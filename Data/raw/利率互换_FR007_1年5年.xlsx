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7" windowHeight="10485"/>
  </bookViews>
  <sheets>
    <sheet name="汇总表" sheetId="3" r:id="rId1"/>
    <sheet name="原始数据_利率互换_FR007_1年" sheetId="1" r:id="rId2"/>
    <sheet name="原始数据_收盘" sheetId="2" r:id="rId3"/>
    <sheet name="说明" sheetId="4" r:id="rId4"/>
  </sheets>
  <definedNames>
    <definedName name="_xlnm._FilterDatabase" localSheetId="0" hidden="1">汇总表!$A$3:$I$6615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<sst xmlns="http://schemas.openxmlformats.org/spreadsheetml/2006/main" count="71" uniqueCount="28">
  <si>
    <t>FR007利率互换收盘曲线_报买:1Y</t>
  </si>
  <si>
    <t>FR007利率互换收盘曲线_报买:5Y</t>
  </si>
  <si>
    <t>FR007利率互换收盘曲线_报卖:1Y</t>
  </si>
  <si>
    <t>FR007利率互换收盘曲线_报卖:5Y</t>
  </si>
  <si>
    <t>FR007利率互换收盘曲线_均值:1Y</t>
  </si>
  <si>
    <t>FR007利率互换收盘曲线_均值:5Y</t>
  </si>
  <si>
    <t>利率互换:FR007:1年</t>
  </si>
  <si>
    <t>利率互换:FR007:5年</t>
  </si>
  <si>
    <t>频率</t>
  </si>
  <si>
    <t>日</t>
  </si>
  <si>
    <t>单位</t>
  </si>
  <si>
    <t>%</t>
  </si>
  <si>
    <t>指标名称</t>
  </si>
  <si>
    <t>指标ID</t>
  </si>
  <si>
    <t>M0048486</t>
  </si>
  <si>
    <t>M0048490</t>
  </si>
  <si>
    <t>来源</t>
  </si>
  <si>
    <t>中国货币网</t>
  </si>
  <si>
    <t>数据来源：Wind</t>
  </si>
  <si>
    <t>利率互换曲线编制方案如下：</t>
  </si>
  <si>
    <t>利率互换曲线由全国银行间同业拆借中心编制和发布。</t>
  </si>
  <si>
    <t>利率互换曲线分为利率互换定盘/收盘曲线和利率互换行情曲线。Shibor3M和FR007利率互换曲线包括利率互换定盘/收盘曲线和利率互换行情曲线，FDR001、FDR007、ShiborO/N、LPR1Y（季付）、LPR5Y（季付）利率互换曲线包括利率互换定盘/收盘曲线。</t>
  </si>
  <si>
    <t>一、利率互換定盘/收盘曲线</t>
  </si>
  <si>
    <t>利率互换定盘/收盘曲线种类与期限：</t>
  </si>
  <si>
    <t>利率互换定盘/收盘曲线数据样本是X-Swap报价。定盘曲线取样时间为11:45-12:00，收盘取样时间为16:15-16:30。</t>
  </si>
  <si>
    <t>计算规则：在取样时间段每隔30秒选取一个取样点（例如收盘曲线取样点为16:15:30，16:16:00，....16:30:00），每个取样点选取X-Swap报价，计算出每个取样点的报买、报卖和均值价格。对30个取样点按均值排序并过滤上下各25％价格后，将剩余报价按照报买和报卖价差倒数为权重加权，计算出可成交报价的报买、报卖和均值利率。</t>
  </si>
  <si>
    <t>发布时间：每个工作日12:10发布当日利率互换定盘曲线，16:40发布当日利率互换收盘曲线。每类曲线发布报买，报卖和均值三条曲线。</t>
  </si>
  <si>
    <t>M0048486和M0048490，为每日收盘后的FR007不同期限的加权平均价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</si>
</sst>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_ "/>
    <numFmt numFmtId="177" formatCode="#,##0.0000_ "/>
    <numFmt numFmtId="178" formatCode="yyyy\-mm\-dd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178" fontId="0" fillId="0" borderId="0" xfId="0" applyNumberFormat="1" applyFont="1" applyAlignment="1"/>
    <xf numFmtId="177" fontId="0" fillId="0" borderId="0" xfId="0" applyNumberFormat="1" applyFont="1" applyAlignment="1">
      <alignment horizontal="right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I6615"/>
  <sheetViews>
    <sheetView showZeros="0" tabSelected="1" zoomScale="85" zoomScaleNormal="85" topLeftCell="A6587" workbookViewId="0">
      <selection activeCell="G6601" sqref="G6601"/>
    </sheetView>
  </sheetViews>
  <sheetFormatPr defaultColWidth="8.96666666666667" defaultRowHeight="17.6"/>
  <cols>
    <col min="1" max="1" width="15.625" customWidth="1"/>
    <col min="2" max="9" width="10.8166666666667" customWidth="1"/>
  </cols>
  <sheetData>
    <row r="1" ht="52.9" spans="1: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4" t="s">
        <v>7</v>
      </c>
    </row>
    <row r="2" ht="17.65" spans="1:9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4" t="s">
        <v>9</v>
      </c>
      <c r="I2" s="4" t="s">
        <v>9</v>
      </c>
    </row>
    <row r="3" ht="17.65" spans="1:9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4" t="s">
        <v>11</v>
      </c>
      <c r="I3" s="4" t="s">
        <v>11</v>
      </c>
    </row>
    <row r="4" spans="1:9">
      <c r="A4" s="6">
        <v>39497</v>
      </c>
      <c r="B4" t="str">
        <f>IFERROR(VLOOKUP($A4,原始数据_收盘!$A$4:$G$3460,2,0),"")</f>
        <v/>
      </c>
      <c r="C4" t="str">
        <f>IFERROR(VLOOKUP($A4,原始数据_收盘!$A$4:$G$3460,3,0),"")</f>
        <v/>
      </c>
      <c r="D4" t="str">
        <f>IFERROR(VLOOKUP($A4,原始数据_收盘!$A$4:$G$3460,4,0),"")</f>
        <v/>
      </c>
      <c r="E4" t="str">
        <f>IFERROR(VLOOKUP($A4,原始数据_收盘!$A$4:$G$3460,5,0),"")</f>
        <v/>
      </c>
      <c r="F4" t="str">
        <f>IFERROR(VLOOKUP($A4,原始数据_收盘!$A$4:$G$3460,6,0),"")</f>
        <v/>
      </c>
      <c r="G4" t="str">
        <f>IFERROR(VLOOKUP($A4,原始数据_收盘!$A$4:$G$3460,7,0),"")</f>
        <v/>
      </c>
      <c r="H4">
        <f>IFERROR(VLOOKUP($A4,原始数据_利率互换_FR007_1年!$A$6:$C$4395,2,0),"")</f>
        <v>0</v>
      </c>
      <c r="I4">
        <f>IFERROR(VLOOKUP($A4,原始数据_利率互换_FR007_1年!$A$6:$C$4395,3,0),"")</f>
        <v>3.59</v>
      </c>
    </row>
    <row r="5" spans="1:9">
      <c r="A5" s="6">
        <v>39498</v>
      </c>
      <c r="B5" t="str">
        <f>IFERROR(VLOOKUP($A5,原始数据_收盘!$A$4:$G$3460,2,0),"")</f>
        <v/>
      </c>
      <c r="C5" t="str">
        <f>IFERROR(VLOOKUP($A5,原始数据_收盘!$A$4:$G$3460,3,0),"")</f>
        <v/>
      </c>
      <c r="D5" t="str">
        <f>IFERROR(VLOOKUP($A5,原始数据_收盘!$A$4:$G$3460,4,0),"")</f>
        <v/>
      </c>
      <c r="E5" t="str">
        <f>IFERROR(VLOOKUP($A5,原始数据_收盘!$A$4:$G$3460,5,0),"")</f>
        <v/>
      </c>
      <c r="F5" t="str">
        <f>IFERROR(VLOOKUP($A5,原始数据_收盘!$A$4:$G$3460,6,0),"")</f>
        <v/>
      </c>
      <c r="G5" t="str">
        <f>IFERROR(VLOOKUP($A5,原始数据_收盘!$A$4:$G$3460,7,0),"")</f>
        <v/>
      </c>
      <c r="H5">
        <f>IFERROR(VLOOKUP($A5,原始数据_利率互换_FR007_1年!$A$6:$C$4395,2,0),"")</f>
        <v>3.11</v>
      </c>
      <c r="I5">
        <f>IFERROR(VLOOKUP($A5,原始数据_利率互换_FR007_1年!$A$6:$C$4395,3,0),"")</f>
        <v>3.65</v>
      </c>
    </row>
    <row r="6" spans="1:9">
      <c r="A6" s="6">
        <v>39499</v>
      </c>
      <c r="B6" t="str">
        <f>IFERROR(VLOOKUP($A6,原始数据_收盘!$A$4:$G$3460,2,0),"")</f>
        <v/>
      </c>
      <c r="C6" t="str">
        <f>IFERROR(VLOOKUP($A6,原始数据_收盘!$A$4:$G$3460,3,0),"")</f>
        <v/>
      </c>
      <c r="D6" t="str">
        <f>IFERROR(VLOOKUP($A6,原始数据_收盘!$A$4:$G$3460,4,0),"")</f>
        <v/>
      </c>
      <c r="E6" t="str">
        <f>IFERROR(VLOOKUP($A6,原始数据_收盘!$A$4:$G$3460,5,0),"")</f>
        <v/>
      </c>
      <c r="F6" t="str">
        <f>IFERROR(VLOOKUP($A6,原始数据_收盘!$A$4:$G$3460,6,0),"")</f>
        <v/>
      </c>
      <c r="G6" t="str">
        <f>IFERROR(VLOOKUP($A6,原始数据_收盘!$A$4:$G$3460,7,0),"")</f>
        <v/>
      </c>
      <c r="H6">
        <f>IFERROR(VLOOKUP($A6,原始数据_利率互换_FR007_1年!$A$6:$C$4395,2,0),"")</f>
        <v>0</v>
      </c>
      <c r="I6">
        <f>IFERROR(VLOOKUP($A6,原始数据_利率互换_FR007_1年!$A$6:$C$4395,3,0),"")</f>
        <v>3.67</v>
      </c>
    </row>
    <row r="7" spans="1:9">
      <c r="A7" s="6">
        <v>39500</v>
      </c>
      <c r="B7" t="str">
        <f>IFERROR(VLOOKUP($A7,原始数据_收盘!$A$4:$G$3460,2,0),"")</f>
        <v/>
      </c>
      <c r="C7" t="str">
        <f>IFERROR(VLOOKUP($A7,原始数据_收盘!$A$4:$G$3460,3,0),"")</f>
        <v/>
      </c>
      <c r="D7" t="str">
        <f>IFERROR(VLOOKUP($A7,原始数据_收盘!$A$4:$G$3460,4,0),"")</f>
        <v/>
      </c>
      <c r="E7" t="str">
        <f>IFERROR(VLOOKUP($A7,原始数据_收盘!$A$4:$G$3460,5,0),"")</f>
        <v/>
      </c>
      <c r="F7" t="str">
        <f>IFERROR(VLOOKUP($A7,原始数据_收盘!$A$4:$G$3460,6,0),"")</f>
        <v/>
      </c>
      <c r="G7" t="str">
        <f>IFERROR(VLOOKUP($A7,原始数据_收盘!$A$4:$G$3460,7,0),"")</f>
        <v/>
      </c>
      <c r="H7">
        <f>IFERROR(VLOOKUP($A7,原始数据_利率互换_FR007_1年!$A$6:$C$4395,2,0),"")</f>
        <v>3.2</v>
      </c>
      <c r="I7">
        <f>IFERROR(VLOOKUP($A7,原始数据_利率互换_FR007_1年!$A$6:$C$4395,3,0),"")</f>
        <v>3.67</v>
      </c>
    </row>
    <row r="8" spans="1:9">
      <c r="A8" s="6">
        <v>39501</v>
      </c>
      <c r="B8" t="str">
        <f>IFERROR(VLOOKUP($A8,原始数据_收盘!$A$4:$G$3460,2,0),"")</f>
        <v/>
      </c>
      <c r="C8" t="str">
        <f>IFERROR(VLOOKUP($A8,原始数据_收盘!$A$4:$G$3460,3,0),"")</f>
        <v/>
      </c>
      <c r="D8" t="str">
        <f>IFERROR(VLOOKUP($A8,原始数据_收盘!$A$4:$G$3460,4,0),"")</f>
        <v/>
      </c>
      <c r="E8" t="str">
        <f>IFERROR(VLOOKUP($A8,原始数据_收盘!$A$4:$G$3460,5,0),"")</f>
        <v/>
      </c>
      <c r="F8" t="str">
        <f>IFERROR(VLOOKUP($A8,原始数据_收盘!$A$4:$G$3460,6,0),"")</f>
        <v/>
      </c>
      <c r="G8" t="str">
        <f>IFERROR(VLOOKUP($A8,原始数据_收盘!$A$4:$G$3460,7,0),"")</f>
        <v/>
      </c>
      <c r="H8" t="str">
        <f>IFERROR(VLOOKUP($A8,原始数据_利率互换_FR007_1年!$A$6:$C$4395,2,0),"")</f>
        <v/>
      </c>
      <c r="I8" t="str">
        <f>IFERROR(VLOOKUP($A8,原始数据_利率互换_FR007_1年!$A$6:$C$4395,3,0),"")</f>
        <v/>
      </c>
    </row>
    <row r="9" spans="1:9">
      <c r="A9" s="6">
        <v>39502</v>
      </c>
      <c r="B9" t="str">
        <f>IFERROR(VLOOKUP($A9,原始数据_收盘!$A$4:$G$3460,2,0),"")</f>
        <v/>
      </c>
      <c r="C9" t="str">
        <f>IFERROR(VLOOKUP($A9,原始数据_收盘!$A$4:$G$3460,3,0),"")</f>
        <v/>
      </c>
      <c r="D9" t="str">
        <f>IFERROR(VLOOKUP($A9,原始数据_收盘!$A$4:$G$3460,4,0),"")</f>
        <v/>
      </c>
      <c r="E9" t="str">
        <f>IFERROR(VLOOKUP($A9,原始数据_收盘!$A$4:$G$3460,5,0),"")</f>
        <v/>
      </c>
      <c r="F9" t="str">
        <f>IFERROR(VLOOKUP($A9,原始数据_收盘!$A$4:$G$3460,6,0),"")</f>
        <v/>
      </c>
      <c r="G9" t="str">
        <f>IFERROR(VLOOKUP($A9,原始数据_收盘!$A$4:$G$3460,7,0),"")</f>
        <v/>
      </c>
      <c r="H9" t="str">
        <f>IFERROR(VLOOKUP($A9,原始数据_利率互换_FR007_1年!$A$6:$C$4395,2,0),"")</f>
        <v/>
      </c>
      <c r="I9" t="str">
        <f>IFERROR(VLOOKUP($A9,原始数据_利率互换_FR007_1年!$A$6:$C$4395,3,0),"")</f>
        <v/>
      </c>
    </row>
    <row r="10" spans="1:9">
      <c r="A10" s="6">
        <v>39503</v>
      </c>
      <c r="B10" t="str">
        <f>IFERROR(VLOOKUP($A10,原始数据_收盘!$A$4:$G$3460,2,0),"")</f>
        <v/>
      </c>
      <c r="C10" t="str">
        <f>IFERROR(VLOOKUP($A10,原始数据_收盘!$A$4:$G$3460,3,0),"")</f>
        <v/>
      </c>
      <c r="D10" t="str">
        <f>IFERROR(VLOOKUP($A10,原始数据_收盘!$A$4:$G$3460,4,0),"")</f>
        <v/>
      </c>
      <c r="E10" t="str">
        <f>IFERROR(VLOOKUP($A10,原始数据_收盘!$A$4:$G$3460,5,0),"")</f>
        <v/>
      </c>
      <c r="F10" t="str">
        <f>IFERROR(VLOOKUP($A10,原始数据_收盘!$A$4:$G$3460,6,0),"")</f>
        <v/>
      </c>
      <c r="G10" t="str">
        <f>IFERROR(VLOOKUP($A10,原始数据_收盘!$A$4:$G$3460,7,0),"")</f>
        <v/>
      </c>
      <c r="H10">
        <f>IFERROR(VLOOKUP($A10,原始数据_利率互换_FR007_1年!$A$6:$C$4395,2,0),"")</f>
        <v>0</v>
      </c>
      <c r="I10">
        <f>IFERROR(VLOOKUP($A10,原始数据_利率互换_FR007_1年!$A$6:$C$4395,3,0),"")</f>
        <v>3.615</v>
      </c>
    </row>
    <row r="11" spans="1:9">
      <c r="A11" s="6">
        <v>39504</v>
      </c>
      <c r="B11" t="str">
        <f>IFERROR(VLOOKUP($A11,原始数据_收盘!$A$4:$G$3460,2,0),"")</f>
        <v/>
      </c>
      <c r="C11" t="str">
        <f>IFERROR(VLOOKUP($A11,原始数据_收盘!$A$4:$G$3460,3,0),"")</f>
        <v/>
      </c>
      <c r="D11" t="str">
        <f>IFERROR(VLOOKUP($A11,原始数据_收盘!$A$4:$G$3460,4,0),"")</f>
        <v/>
      </c>
      <c r="E11" t="str">
        <f>IFERROR(VLOOKUP($A11,原始数据_收盘!$A$4:$G$3460,5,0),"")</f>
        <v/>
      </c>
      <c r="F11" t="str">
        <f>IFERROR(VLOOKUP($A11,原始数据_收盘!$A$4:$G$3460,6,0),"")</f>
        <v/>
      </c>
      <c r="G11" t="str">
        <f>IFERROR(VLOOKUP($A11,原始数据_收盘!$A$4:$G$3460,7,0),"")</f>
        <v/>
      </c>
      <c r="H11">
        <f>IFERROR(VLOOKUP($A11,原始数据_利率互换_FR007_1年!$A$6:$C$4395,2,0),"")</f>
        <v>3.17</v>
      </c>
      <c r="I11">
        <f>IFERROR(VLOOKUP($A11,原始数据_利率互换_FR007_1年!$A$6:$C$4395,3,0),"")</f>
        <v>3.55</v>
      </c>
    </row>
    <row r="12" spans="1:9">
      <c r="A12" s="6">
        <v>39505</v>
      </c>
      <c r="B12" t="str">
        <f>IFERROR(VLOOKUP($A12,原始数据_收盘!$A$4:$G$3460,2,0),"")</f>
        <v/>
      </c>
      <c r="C12" t="str">
        <f>IFERROR(VLOOKUP($A12,原始数据_收盘!$A$4:$G$3460,3,0),"")</f>
        <v/>
      </c>
      <c r="D12" t="str">
        <f>IFERROR(VLOOKUP($A12,原始数据_收盘!$A$4:$G$3460,4,0),"")</f>
        <v/>
      </c>
      <c r="E12" t="str">
        <f>IFERROR(VLOOKUP($A12,原始数据_收盘!$A$4:$G$3460,5,0),"")</f>
        <v/>
      </c>
      <c r="F12" t="str">
        <f>IFERROR(VLOOKUP($A12,原始数据_收盘!$A$4:$G$3460,6,0),"")</f>
        <v/>
      </c>
      <c r="G12" t="str">
        <f>IFERROR(VLOOKUP($A12,原始数据_收盘!$A$4:$G$3460,7,0),"")</f>
        <v/>
      </c>
      <c r="H12">
        <f>IFERROR(VLOOKUP($A12,原始数据_利率互换_FR007_1年!$A$6:$C$4395,2,0),"")</f>
        <v>3.1</v>
      </c>
      <c r="I12">
        <f>IFERROR(VLOOKUP($A12,原始数据_利率互换_FR007_1年!$A$6:$C$4395,3,0),"")</f>
        <v>3.54</v>
      </c>
    </row>
    <row r="13" spans="1:9">
      <c r="A13" s="6">
        <v>39506</v>
      </c>
      <c r="B13" t="str">
        <f>IFERROR(VLOOKUP($A13,原始数据_收盘!$A$4:$G$3460,2,0),"")</f>
        <v/>
      </c>
      <c r="C13" t="str">
        <f>IFERROR(VLOOKUP($A13,原始数据_收盘!$A$4:$G$3460,3,0),"")</f>
        <v/>
      </c>
      <c r="D13" t="str">
        <f>IFERROR(VLOOKUP($A13,原始数据_收盘!$A$4:$G$3460,4,0),"")</f>
        <v/>
      </c>
      <c r="E13" t="str">
        <f>IFERROR(VLOOKUP($A13,原始数据_收盘!$A$4:$G$3460,5,0),"")</f>
        <v/>
      </c>
      <c r="F13" t="str">
        <f>IFERROR(VLOOKUP($A13,原始数据_收盘!$A$4:$G$3460,6,0),"")</f>
        <v/>
      </c>
      <c r="G13" t="str">
        <f>IFERROR(VLOOKUP($A13,原始数据_收盘!$A$4:$G$3460,7,0),"")</f>
        <v/>
      </c>
      <c r="H13">
        <f>IFERROR(VLOOKUP($A13,原始数据_利率互换_FR007_1年!$A$6:$C$4395,2,0),"")</f>
        <v>3.1</v>
      </c>
      <c r="I13">
        <f>IFERROR(VLOOKUP($A13,原始数据_利率互换_FR007_1年!$A$6:$C$4395,3,0),"")</f>
        <v>3.56</v>
      </c>
    </row>
    <row r="14" spans="1:9">
      <c r="A14" s="6">
        <v>39507</v>
      </c>
      <c r="B14" t="str">
        <f>IFERROR(VLOOKUP($A14,原始数据_收盘!$A$4:$G$3460,2,0),"")</f>
        <v/>
      </c>
      <c r="C14" t="str">
        <f>IFERROR(VLOOKUP($A14,原始数据_收盘!$A$4:$G$3460,3,0),"")</f>
        <v/>
      </c>
      <c r="D14" t="str">
        <f>IFERROR(VLOOKUP($A14,原始数据_收盘!$A$4:$G$3460,4,0),"")</f>
        <v/>
      </c>
      <c r="E14" t="str">
        <f>IFERROR(VLOOKUP($A14,原始数据_收盘!$A$4:$G$3460,5,0),"")</f>
        <v/>
      </c>
      <c r="F14" t="str">
        <f>IFERROR(VLOOKUP($A14,原始数据_收盘!$A$4:$G$3460,6,0),"")</f>
        <v/>
      </c>
      <c r="G14" t="str">
        <f>IFERROR(VLOOKUP($A14,原始数据_收盘!$A$4:$G$3460,7,0),"")</f>
        <v/>
      </c>
      <c r="H14">
        <f>IFERROR(VLOOKUP($A14,原始数据_利率互换_FR007_1年!$A$6:$C$4395,2,0),"")</f>
        <v>0</v>
      </c>
      <c r="I14">
        <f>IFERROR(VLOOKUP($A14,原始数据_利率互换_FR007_1年!$A$6:$C$4395,3,0),"")</f>
        <v>3.56</v>
      </c>
    </row>
    <row r="15" spans="1:9">
      <c r="A15" s="6">
        <v>39508</v>
      </c>
      <c r="B15" t="str">
        <f>IFERROR(VLOOKUP($A15,原始数据_收盘!$A$4:$G$3460,2,0),"")</f>
        <v/>
      </c>
      <c r="C15" t="str">
        <f>IFERROR(VLOOKUP($A15,原始数据_收盘!$A$4:$G$3460,3,0),"")</f>
        <v/>
      </c>
      <c r="D15" t="str">
        <f>IFERROR(VLOOKUP($A15,原始数据_收盘!$A$4:$G$3460,4,0),"")</f>
        <v/>
      </c>
      <c r="E15" t="str">
        <f>IFERROR(VLOOKUP($A15,原始数据_收盘!$A$4:$G$3460,5,0),"")</f>
        <v/>
      </c>
      <c r="F15" t="str">
        <f>IFERROR(VLOOKUP($A15,原始数据_收盘!$A$4:$G$3460,6,0),"")</f>
        <v/>
      </c>
      <c r="G15" t="str">
        <f>IFERROR(VLOOKUP($A15,原始数据_收盘!$A$4:$G$3460,7,0),"")</f>
        <v/>
      </c>
      <c r="H15" t="str">
        <f>IFERROR(VLOOKUP($A15,原始数据_利率互换_FR007_1年!$A$6:$C$4395,2,0),"")</f>
        <v/>
      </c>
      <c r="I15" t="str">
        <f>IFERROR(VLOOKUP($A15,原始数据_利率互换_FR007_1年!$A$6:$C$4395,3,0),"")</f>
        <v/>
      </c>
    </row>
    <row r="16" spans="1:9">
      <c r="A16" s="6">
        <v>39509</v>
      </c>
      <c r="B16" t="str">
        <f>IFERROR(VLOOKUP($A16,原始数据_收盘!$A$4:$G$3460,2,0),"")</f>
        <v/>
      </c>
      <c r="C16" t="str">
        <f>IFERROR(VLOOKUP($A16,原始数据_收盘!$A$4:$G$3460,3,0),"")</f>
        <v/>
      </c>
      <c r="D16" t="str">
        <f>IFERROR(VLOOKUP($A16,原始数据_收盘!$A$4:$G$3460,4,0),"")</f>
        <v/>
      </c>
      <c r="E16" t="str">
        <f>IFERROR(VLOOKUP($A16,原始数据_收盘!$A$4:$G$3460,5,0),"")</f>
        <v/>
      </c>
      <c r="F16" t="str">
        <f>IFERROR(VLOOKUP($A16,原始数据_收盘!$A$4:$G$3460,6,0),"")</f>
        <v/>
      </c>
      <c r="G16" t="str">
        <f>IFERROR(VLOOKUP($A16,原始数据_收盘!$A$4:$G$3460,7,0),"")</f>
        <v/>
      </c>
      <c r="H16" t="str">
        <f>IFERROR(VLOOKUP($A16,原始数据_利率互换_FR007_1年!$A$6:$C$4395,2,0),"")</f>
        <v/>
      </c>
      <c r="I16" t="str">
        <f>IFERROR(VLOOKUP($A16,原始数据_利率互换_FR007_1年!$A$6:$C$4395,3,0),"")</f>
        <v/>
      </c>
    </row>
    <row r="17" spans="1:9">
      <c r="A17" s="6">
        <v>39510</v>
      </c>
      <c r="B17" t="str">
        <f>IFERROR(VLOOKUP($A17,原始数据_收盘!$A$4:$G$3460,2,0),"")</f>
        <v/>
      </c>
      <c r="C17" t="str">
        <f>IFERROR(VLOOKUP($A17,原始数据_收盘!$A$4:$G$3460,3,0),"")</f>
        <v/>
      </c>
      <c r="D17" t="str">
        <f>IFERROR(VLOOKUP($A17,原始数据_收盘!$A$4:$G$3460,4,0),"")</f>
        <v/>
      </c>
      <c r="E17" t="str">
        <f>IFERROR(VLOOKUP($A17,原始数据_收盘!$A$4:$G$3460,5,0),"")</f>
        <v/>
      </c>
      <c r="F17" t="str">
        <f>IFERROR(VLOOKUP($A17,原始数据_收盘!$A$4:$G$3460,6,0),"")</f>
        <v/>
      </c>
      <c r="G17" t="str">
        <f>IFERROR(VLOOKUP($A17,原始数据_收盘!$A$4:$G$3460,7,0),"")</f>
        <v/>
      </c>
      <c r="H17">
        <f>IFERROR(VLOOKUP($A17,原始数据_利率互换_FR007_1年!$A$6:$C$4395,2,0),"")</f>
        <v>3.16</v>
      </c>
      <c r="I17">
        <f>IFERROR(VLOOKUP($A17,原始数据_利率互换_FR007_1年!$A$6:$C$4395,3,0),"")</f>
        <v>3.59</v>
      </c>
    </row>
    <row r="18" spans="1:9">
      <c r="A18" s="6">
        <v>39511</v>
      </c>
      <c r="B18" t="str">
        <f>IFERROR(VLOOKUP($A18,原始数据_收盘!$A$4:$G$3460,2,0),"")</f>
        <v/>
      </c>
      <c r="C18" t="str">
        <f>IFERROR(VLOOKUP($A18,原始数据_收盘!$A$4:$G$3460,3,0),"")</f>
        <v/>
      </c>
      <c r="D18" t="str">
        <f>IFERROR(VLOOKUP($A18,原始数据_收盘!$A$4:$G$3460,4,0),"")</f>
        <v/>
      </c>
      <c r="E18" t="str">
        <f>IFERROR(VLOOKUP($A18,原始数据_收盘!$A$4:$G$3460,5,0),"")</f>
        <v/>
      </c>
      <c r="F18" t="str">
        <f>IFERROR(VLOOKUP($A18,原始数据_收盘!$A$4:$G$3460,6,0),"")</f>
        <v/>
      </c>
      <c r="G18" t="str">
        <f>IFERROR(VLOOKUP($A18,原始数据_收盘!$A$4:$G$3460,7,0),"")</f>
        <v/>
      </c>
      <c r="H18">
        <f>IFERROR(VLOOKUP($A18,原始数据_利率互换_FR007_1年!$A$6:$C$4395,2,0),"")</f>
        <v>3.15</v>
      </c>
      <c r="I18">
        <f>IFERROR(VLOOKUP($A18,原始数据_利率互换_FR007_1年!$A$6:$C$4395,3,0),"")</f>
        <v>0</v>
      </c>
    </row>
    <row r="19" spans="1:9">
      <c r="A19" s="6">
        <v>39512</v>
      </c>
      <c r="B19" t="str">
        <f>IFERROR(VLOOKUP($A19,原始数据_收盘!$A$4:$G$3460,2,0),"")</f>
        <v/>
      </c>
      <c r="C19" t="str">
        <f>IFERROR(VLOOKUP($A19,原始数据_收盘!$A$4:$G$3460,3,0),"")</f>
        <v/>
      </c>
      <c r="D19" t="str">
        <f>IFERROR(VLOOKUP($A19,原始数据_收盘!$A$4:$G$3460,4,0),"")</f>
        <v/>
      </c>
      <c r="E19" t="str">
        <f>IFERROR(VLOOKUP($A19,原始数据_收盘!$A$4:$G$3460,5,0),"")</f>
        <v/>
      </c>
      <c r="F19" t="str">
        <f>IFERROR(VLOOKUP($A19,原始数据_收盘!$A$4:$G$3460,6,0),"")</f>
        <v/>
      </c>
      <c r="G19" t="str">
        <f>IFERROR(VLOOKUP($A19,原始数据_收盘!$A$4:$G$3460,7,0),"")</f>
        <v/>
      </c>
      <c r="H19">
        <f>IFERROR(VLOOKUP($A19,原始数据_利率互换_FR007_1年!$A$6:$C$4395,2,0),"")</f>
        <v>3.14</v>
      </c>
      <c r="I19">
        <f>IFERROR(VLOOKUP($A19,原始数据_利率互换_FR007_1年!$A$6:$C$4395,3,0),"")</f>
        <v>0</v>
      </c>
    </row>
    <row r="20" spans="1:9">
      <c r="A20" s="6">
        <v>39513</v>
      </c>
      <c r="B20" t="str">
        <f>IFERROR(VLOOKUP($A20,原始数据_收盘!$A$4:$G$3460,2,0),"")</f>
        <v/>
      </c>
      <c r="C20" t="str">
        <f>IFERROR(VLOOKUP($A20,原始数据_收盘!$A$4:$G$3460,3,0),"")</f>
        <v/>
      </c>
      <c r="D20" t="str">
        <f>IFERROR(VLOOKUP($A20,原始数据_收盘!$A$4:$G$3460,4,0),"")</f>
        <v/>
      </c>
      <c r="E20" t="str">
        <f>IFERROR(VLOOKUP($A20,原始数据_收盘!$A$4:$G$3460,5,0),"")</f>
        <v/>
      </c>
      <c r="F20" t="str">
        <f>IFERROR(VLOOKUP($A20,原始数据_收盘!$A$4:$G$3460,6,0),"")</f>
        <v/>
      </c>
      <c r="G20" t="str">
        <f>IFERROR(VLOOKUP($A20,原始数据_收盘!$A$4:$G$3460,7,0),"")</f>
        <v/>
      </c>
      <c r="H20">
        <f>IFERROR(VLOOKUP($A20,原始数据_利率互换_FR007_1年!$A$6:$C$4395,2,0),"")</f>
        <v>3.15</v>
      </c>
      <c r="I20">
        <f>IFERROR(VLOOKUP($A20,原始数据_利率互换_FR007_1年!$A$6:$C$4395,3,0),"")</f>
        <v>3.61</v>
      </c>
    </row>
    <row r="21" spans="1:9">
      <c r="A21" s="6">
        <v>39514</v>
      </c>
      <c r="B21" t="str">
        <f>IFERROR(VLOOKUP($A21,原始数据_收盘!$A$4:$G$3460,2,0),"")</f>
        <v/>
      </c>
      <c r="C21" t="str">
        <f>IFERROR(VLOOKUP($A21,原始数据_收盘!$A$4:$G$3460,3,0),"")</f>
        <v/>
      </c>
      <c r="D21" t="str">
        <f>IFERROR(VLOOKUP($A21,原始数据_收盘!$A$4:$G$3460,4,0),"")</f>
        <v/>
      </c>
      <c r="E21" t="str">
        <f>IFERROR(VLOOKUP($A21,原始数据_收盘!$A$4:$G$3460,5,0),"")</f>
        <v/>
      </c>
      <c r="F21" t="str">
        <f>IFERROR(VLOOKUP($A21,原始数据_收盘!$A$4:$G$3460,6,0),"")</f>
        <v/>
      </c>
      <c r="G21" t="str">
        <f>IFERROR(VLOOKUP($A21,原始数据_收盘!$A$4:$G$3460,7,0),"")</f>
        <v/>
      </c>
      <c r="H21">
        <f>IFERROR(VLOOKUP($A21,原始数据_利率互换_FR007_1年!$A$6:$C$4395,2,0),"")</f>
        <v>3.14</v>
      </c>
      <c r="I21">
        <f>IFERROR(VLOOKUP($A21,原始数据_利率互换_FR007_1年!$A$6:$C$4395,3,0),"")</f>
        <v>3.62</v>
      </c>
    </row>
    <row r="22" spans="1:9">
      <c r="A22" s="6">
        <v>39515</v>
      </c>
      <c r="B22" t="str">
        <f>IFERROR(VLOOKUP($A22,原始数据_收盘!$A$4:$G$3460,2,0),"")</f>
        <v/>
      </c>
      <c r="C22" t="str">
        <f>IFERROR(VLOOKUP($A22,原始数据_收盘!$A$4:$G$3460,3,0),"")</f>
        <v/>
      </c>
      <c r="D22" t="str">
        <f>IFERROR(VLOOKUP($A22,原始数据_收盘!$A$4:$G$3460,4,0),"")</f>
        <v/>
      </c>
      <c r="E22" t="str">
        <f>IFERROR(VLOOKUP($A22,原始数据_收盘!$A$4:$G$3460,5,0),"")</f>
        <v/>
      </c>
      <c r="F22" t="str">
        <f>IFERROR(VLOOKUP($A22,原始数据_收盘!$A$4:$G$3460,6,0),"")</f>
        <v/>
      </c>
      <c r="G22" t="str">
        <f>IFERROR(VLOOKUP($A22,原始数据_收盘!$A$4:$G$3460,7,0),"")</f>
        <v/>
      </c>
      <c r="H22" t="str">
        <f>IFERROR(VLOOKUP($A22,原始数据_利率互换_FR007_1年!$A$6:$C$4395,2,0),"")</f>
        <v/>
      </c>
      <c r="I22" t="str">
        <f>IFERROR(VLOOKUP($A22,原始数据_利率互换_FR007_1年!$A$6:$C$4395,3,0),"")</f>
        <v/>
      </c>
    </row>
    <row r="23" spans="1:9">
      <c r="A23" s="6">
        <v>39516</v>
      </c>
      <c r="B23" t="str">
        <f>IFERROR(VLOOKUP($A23,原始数据_收盘!$A$4:$G$3460,2,0),"")</f>
        <v/>
      </c>
      <c r="C23" t="str">
        <f>IFERROR(VLOOKUP($A23,原始数据_收盘!$A$4:$G$3460,3,0),"")</f>
        <v/>
      </c>
      <c r="D23" t="str">
        <f>IFERROR(VLOOKUP($A23,原始数据_收盘!$A$4:$G$3460,4,0),"")</f>
        <v/>
      </c>
      <c r="E23" t="str">
        <f>IFERROR(VLOOKUP($A23,原始数据_收盘!$A$4:$G$3460,5,0),"")</f>
        <v/>
      </c>
      <c r="F23" t="str">
        <f>IFERROR(VLOOKUP($A23,原始数据_收盘!$A$4:$G$3460,6,0),"")</f>
        <v/>
      </c>
      <c r="G23" t="str">
        <f>IFERROR(VLOOKUP($A23,原始数据_收盘!$A$4:$G$3460,7,0),"")</f>
        <v/>
      </c>
      <c r="H23" t="str">
        <f>IFERROR(VLOOKUP($A23,原始数据_利率互换_FR007_1年!$A$6:$C$4395,2,0),"")</f>
        <v/>
      </c>
      <c r="I23" t="str">
        <f>IFERROR(VLOOKUP($A23,原始数据_利率互换_FR007_1年!$A$6:$C$4395,3,0),"")</f>
        <v/>
      </c>
    </row>
    <row r="24" spans="1:9">
      <c r="A24" s="6">
        <v>39517</v>
      </c>
      <c r="B24" t="str">
        <f>IFERROR(VLOOKUP($A24,原始数据_收盘!$A$4:$G$3460,2,0),"")</f>
        <v/>
      </c>
      <c r="C24" t="str">
        <f>IFERROR(VLOOKUP($A24,原始数据_收盘!$A$4:$G$3460,3,0),"")</f>
        <v/>
      </c>
      <c r="D24" t="str">
        <f>IFERROR(VLOOKUP($A24,原始数据_收盘!$A$4:$G$3460,4,0),"")</f>
        <v/>
      </c>
      <c r="E24" t="str">
        <f>IFERROR(VLOOKUP($A24,原始数据_收盘!$A$4:$G$3460,5,0),"")</f>
        <v/>
      </c>
      <c r="F24" t="str">
        <f>IFERROR(VLOOKUP($A24,原始数据_收盘!$A$4:$G$3460,6,0),"")</f>
        <v/>
      </c>
      <c r="G24" t="str">
        <f>IFERROR(VLOOKUP($A24,原始数据_收盘!$A$4:$G$3460,7,0),"")</f>
        <v/>
      </c>
      <c r="H24">
        <f>IFERROR(VLOOKUP($A24,原始数据_利率互换_FR007_1年!$A$6:$C$4395,2,0),"")</f>
        <v>0</v>
      </c>
      <c r="I24">
        <f>IFERROR(VLOOKUP($A24,原始数据_利率互换_FR007_1年!$A$6:$C$4395,3,0),"")</f>
        <v>3.66</v>
      </c>
    </row>
    <row r="25" spans="1:9">
      <c r="A25" s="6">
        <v>39518</v>
      </c>
      <c r="B25" t="str">
        <f>IFERROR(VLOOKUP($A25,原始数据_收盘!$A$4:$G$3460,2,0),"")</f>
        <v/>
      </c>
      <c r="C25" t="str">
        <f>IFERROR(VLOOKUP($A25,原始数据_收盘!$A$4:$G$3460,3,0),"")</f>
        <v/>
      </c>
      <c r="D25" t="str">
        <f>IFERROR(VLOOKUP($A25,原始数据_收盘!$A$4:$G$3460,4,0),"")</f>
        <v/>
      </c>
      <c r="E25" t="str">
        <f>IFERROR(VLOOKUP($A25,原始数据_收盘!$A$4:$G$3460,5,0),"")</f>
        <v/>
      </c>
      <c r="F25" t="str">
        <f>IFERROR(VLOOKUP($A25,原始数据_收盘!$A$4:$G$3460,6,0),"")</f>
        <v/>
      </c>
      <c r="G25" t="str">
        <f>IFERROR(VLOOKUP($A25,原始数据_收盘!$A$4:$G$3460,7,0),"")</f>
        <v/>
      </c>
      <c r="H25">
        <f>IFERROR(VLOOKUP($A25,原始数据_利率互换_FR007_1年!$A$6:$C$4395,2,0),"")</f>
        <v>3.12</v>
      </c>
      <c r="I25">
        <f>IFERROR(VLOOKUP($A25,原始数据_利率互换_FR007_1年!$A$6:$C$4395,3,0),"")</f>
        <v>3.65</v>
      </c>
    </row>
    <row r="26" spans="1:9">
      <c r="A26" s="6">
        <v>39519</v>
      </c>
      <c r="B26" t="str">
        <f>IFERROR(VLOOKUP($A26,原始数据_收盘!$A$4:$G$3460,2,0),"")</f>
        <v/>
      </c>
      <c r="C26" t="str">
        <f>IFERROR(VLOOKUP($A26,原始数据_收盘!$A$4:$G$3460,3,0),"")</f>
        <v/>
      </c>
      <c r="D26" t="str">
        <f>IFERROR(VLOOKUP($A26,原始数据_收盘!$A$4:$G$3460,4,0),"")</f>
        <v/>
      </c>
      <c r="E26" t="str">
        <f>IFERROR(VLOOKUP($A26,原始数据_收盘!$A$4:$G$3460,5,0),"")</f>
        <v/>
      </c>
      <c r="F26" t="str">
        <f>IFERROR(VLOOKUP($A26,原始数据_收盘!$A$4:$G$3460,6,0),"")</f>
        <v/>
      </c>
      <c r="G26" t="str">
        <f>IFERROR(VLOOKUP($A26,原始数据_收盘!$A$4:$G$3460,7,0),"")</f>
        <v/>
      </c>
      <c r="H26">
        <f>IFERROR(VLOOKUP($A26,原始数据_利率互换_FR007_1年!$A$6:$C$4395,2,0),"")</f>
        <v>0</v>
      </c>
      <c r="I26">
        <f>IFERROR(VLOOKUP($A26,原始数据_利率互换_FR007_1年!$A$6:$C$4395,3,0),"")</f>
        <v>3.615</v>
      </c>
    </row>
    <row r="27" spans="1:9">
      <c r="A27" s="6">
        <v>39520</v>
      </c>
      <c r="B27" t="str">
        <f>IFERROR(VLOOKUP($A27,原始数据_收盘!$A$4:$G$3460,2,0),"")</f>
        <v/>
      </c>
      <c r="C27" t="str">
        <f>IFERROR(VLOOKUP($A27,原始数据_收盘!$A$4:$G$3460,3,0),"")</f>
        <v/>
      </c>
      <c r="D27" t="str">
        <f>IFERROR(VLOOKUP($A27,原始数据_收盘!$A$4:$G$3460,4,0),"")</f>
        <v/>
      </c>
      <c r="E27" t="str">
        <f>IFERROR(VLOOKUP($A27,原始数据_收盘!$A$4:$G$3460,5,0),"")</f>
        <v/>
      </c>
      <c r="F27" t="str">
        <f>IFERROR(VLOOKUP($A27,原始数据_收盘!$A$4:$G$3460,6,0),"")</f>
        <v/>
      </c>
      <c r="G27" t="str">
        <f>IFERROR(VLOOKUP($A27,原始数据_收盘!$A$4:$G$3460,7,0),"")</f>
        <v/>
      </c>
      <c r="H27" t="str">
        <f>IFERROR(VLOOKUP($A27,原始数据_利率互换_FR007_1年!$A$6:$C$4395,2,0),"")</f>
        <v/>
      </c>
      <c r="I27" t="str">
        <f>IFERROR(VLOOKUP($A27,原始数据_利率互换_FR007_1年!$A$6:$C$4395,3,0),"")</f>
        <v/>
      </c>
    </row>
    <row r="28" spans="1:9">
      <c r="A28" s="6">
        <v>39521</v>
      </c>
      <c r="B28" t="str">
        <f>IFERROR(VLOOKUP($A28,原始数据_收盘!$A$4:$G$3460,2,0),"")</f>
        <v/>
      </c>
      <c r="C28" t="str">
        <f>IFERROR(VLOOKUP($A28,原始数据_收盘!$A$4:$G$3460,3,0),"")</f>
        <v/>
      </c>
      <c r="D28" t="str">
        <f>IFERROR(VLOOKUP($A28,原始数据_收盘!$A$4:$G$3460,4,0),"")</f>
        <v/>
      </c>
      <c r="E28" t="str">
        <f>IFERROR(VLOOKUP($A28,原始数据_收盘!$A$4:$G$3460,5,0),"")</f>
        <v/>
      </c>
      <c r="F28" t="str">
        <f>IFERROR(VLOOKUP($A28,原始数据_收盘!$A$4:$G$3460,6,0),"")</f>
        <v/>
      </c>
      <c r="G28" t="str">
        <f>IFERROR(VLOOKUP($A28,原始数据_收盘!$A$4:$G$3460,7,0),"")</f>
        <v/>
      </c>
      <c r="H28">
        <f>IFERROR(VLOOKUP($A28,原始数据_利率互换_FR007_1年!$A$6:$C$4395,2,0),"")</f>
        <v>3.16</v>
      </c>
      <c r="I28">
        <f>IFERROR(VLOOKUP($A28,原始数据_利率互换_FR007_1年!$A$6:$C$4395,3,0),"")</f>
        <v>3.63</v>
      </c>
    </row>
    <row r="29" spans="1:9">
      <c r="A29" s="6">
        <v>39522</v>
      </c>
      <c r="B29" t="str">
        <f>IFERROR(VLOOKUP($A29,原始数据_收盘!$A$4:$G$3460,2,0),"")</f>
        <v/>
      </c>
      <c r="C29" t="str">
        <f>IFERROR(VLOOKUP($A29,原始数据_收盘!$A$4:$G$3460,3,0),"")</f>
        <v/>
      </c>
      <c r="D29" t="str">
        <f>IFERROR(VLOOKUP($A29,原始数据_收盘!$A$4:$G$3460,4,0),"")</f>
        <v/>
      </c>
      <c r="E29" t="str">
        <f>IFERROR(VLOOKUP($A29,原始数据_收盘!$A$4:$G$3460,5,0),"")</f>
        <v/>
      </c>
      <c r="F29" t="str">
        <f>IFERROR(VLOOKUP($A29,原始数据_收盘!$A$4:$G$3460,6,0),"")</f>
        <v/>
      </c>
      <c r="G29" t="str">
        <f>IFERROR(VLOOKUP($A29,原始数据_收盘!$A$4:$G$3460,7,0),"")</f>
        <v/>
      </c>
      <c r="H29" t="str">
        <f>IFERROR(VLOOKUP($A29,原始数据_利率互换_FR007_1年!$A$6:$C$4395,2,0),"")</f>
        <v/>
      </c>
      <c r="I29" t="str">
        <f>IFERROR(VLOOKUP($A29,原始数据_利率互换_FR007_1年!$A$6:$C$4395,3,0),"")</f>
        <v/>
      </c>
    </row>
    <row r="30" spans="1:9">
      <c r="A30" s="6">
        <v>39523</v>
      </c>
      <c r="B30" t="str">
        <f>IFERROR(VLOOKUP($A30,原始数据_收盘!$A$4:$G$3460,2,0),"")</f>
        <v/>
      </c>
      <c r="C30" t="str">
        <f>IFERROR(VLOOKUP($A30,原始数据_收盘!$A$4:$G$3460,3,0),"")</f>
        <v/>
      </c>
      <c r="D30" t="str">
        <f>IFERROR(VLOOKUP($A30,原始数据_收盘!$A$4:$G$3460,4,0),"")</f>
        <v/>
      </c>
      <c r="E30" t="str">
        <f>IFERROR(VLOOKUP($A30,原始数据_收盘!$A$4:$G$3460,5,0),"")</f>
        <v/>
      </c>
      <c r="F30" t="str">
        <f>IFERROR(VLOOKUP($A30,原始数据_收盘!$A$4:$G$3460,6,0),"")</f>
        <v/>
      </c>
      <c r="G30" t="str">
        <f>IFERROR(VLOOKUP($A30,原始数据_收盘!$A$4:$G$3460,7,0),"")</f>
        <v/>
      </c>
      <c r="H30" t="str">
        <f>IFERROR(VLOOKUP($A30,原始数据_利率互换_FR007_1年!$A$6:$C$4395,2,0),"")</f>
        <v/>
      </c>
      <c r="I30" t="str">
        <f>IFERROR(VLOOKUP($A30,原始数据_利率互换_FR007_1年!$A$6:$C$4395,3,0),"")</f>
        <v/>
      </c>
    </row>
    <row r="31" spans="1:9">
      <c r="A31" s="6">
        <v>39524</v>
      </c>
      <c r="B31" t="str">
        <f>IFERROR(VLOOKUP($A31,原始数据_收盘!$A$4:$G$3460,2,0),"")</f>
        <v/>
      </c>
      <c r="C31" t="str">
        <f>IFERROR(VLOOKUP($A31,原始数据_收盘!$A$4:$G$3460,3,0),"")</f>
        <v/>
      </c>
      <c r="D31" t="str">
        <f>IFERROR(VLOOKUP($A31,原始数据_收盘!$A$4:$G$3460,4,0),"")</f>
        <v/>
      </c>
      <c r="E31" t="str">
        <f>IFERROR(VLOOKUP($A31,原始数据_收盘!$A$4:$G$3460,5,0),"")</f>
        <v/>
      </c>
      <c r="F31" t="str">
        <f>IFERROR(VLOOKUP($A31,原始数据_收盘!$A$4:$G$3460,6,0),"")</f>
        <v/>
      </c>
      <c r="G31" t="str">
        <f>IFERROR(VLOOKUP($A31,原始数据_收盘!$A$4:$G$3460,7,0),"")</f>
        <v/>
      </c>
      <c r="H31">
        <f>IFERROR(VLOOKUP($A31,原始数据_利率互换_FR007_1年!$A$6:$C$4395,2,0),"")</f>
        <v>3.16</v>
      </c>
      <c r="I31">
        <f>IFERROR(VLOOKUP($A31,原始数据_利率互换_FR007_1年!$A$6:$C$4395,3,0),"")</f>
        <v>3.58</v>
      </c>
    </row>
    <row r="32" spans="1:9">
      <c r="A32" s="6">
        <v>39525</v>
      </c>
      <c r="B32" t="str">
        <f>IFERROR(VLOOKUP($A32,原始数据_收盘!$A$4:$G$3460,2,0),"")</f>
        <v/>
      </c>
      <c r="C32" t="str">
        <f>IFERROR(VLOOKUP($A32,原始数据_收盘!$A$4:$G$3460,3,0),"")</f>
        <v/>
      </c>
      <c r="D32" t="str">
        <f>IFERROR(VLOOKUP($A32,原始数据_收盘!$A$4:$G$3460,4,0),"")</f>
        <v/>
      </c>
      <c r="E32" t="str">
        <f>IFERROR(VLOOKUP($A32,原始数据_收盘!$A$4:$G$3460,5,0),"")</f>
        <v/>
      </c>
      <c r="F32" t="str">
        <f>IFERROR(VLOOKUP($A32,原始数据_收盘!$A$4:$G$3460,6,0),"")</f>
        <v/>
      </c>
      <c r="G32" t="str">
        <f>IFERROR(VLOOKUP($A32,原始数据_收盘!$A$4:$G$3460,7,0),"")</f>
        <v/>
      </c>
      <c r="H32">
        <f>IFERROR(VLOOKUP($A32,原始数据_利率互换_FR007_1年!$A$6:$C$4395,2,0),"")</f>
        <v>3.11</v>
      </c>
      <c r="I32">
        <f>IFERROR(VLOOKUP($A32,原始数据_利率互换_FR007_1年!$A$6:$C$4395,3,0),"")</f>
        <v>0</v>
      </c>
    </row>
    <row r="33" spans="1:9">
      <c r="A33" s="6">
        <v>39526</v>
      </c>
      <c r="B33" t="str">
        <f>IFERROR(VLOOKUP($A33,原始数据_收盘!$A$4:$G$3460,2,0),"")</f>
        <v/>
      </c>
      <c r="C33" t="str">
        <f>IFERROR(VLOOKUP($A33,原始数据_收盘!$A$4:$G$3460,3,0),"")</f>
        <v/>
      </c>
      <c r="D33" t="str">
        <f>IFERROR(VLOOKUP($A33,原始数据_收盘!$A$4:$G$3460,4,0),"")</f>
        <v/>
      </c>
      <c r="E33" t="str">
        <f>IFERROR(VLOOKUP($A33,原始数据_收盘!$A$4:$G$3460,5,0),"")</f>
        <v/>
      </c>
      <c r="F33" t="str">
        <f>IFERROR(VLOOKUP($A33,原始数据_收盘!$A$4:$G$3460,6,0),"")</f>
        <v/>
      </c>
      <c r="G33" t="str">
        <f>IFERROR(VLOOKUP($A33,原始数据_收盘!$A$4:$G$3460,7,0),"")</f>
        <v/>
      </c>
      <c r="H33">
        <f>IFERROR(VLOOKUP($A33,原始数据_利率互换_FR007_1年!$A$6:$C$4395,2,0),"")</f>
        <v>0</v>
      </c>
      <c r="I33">
        <f>IFERROR(VLOOKUP($A33,原始数据_利率互换_FR007_1年!$A$6:$C$4395,3,0),"")</f>
        <v>3.55</v>
      </c>
    </row>
    <row r="34" spans="1:9">
      <c r="A34" s="6">
        <v>39527</v>
      </c>
      <c r="B34" t="str">
        <f>IFERROR(VLOOKUP($A34,原始数据_收盘!$A$4:$G$3460,2,0),"")</f>
        <v/>
      </c>
      <c r="C34" t="str">
        <f>IFERROR(VLOOKUP($A34,原始数据_收盘!$A$4:$G$3460,3,0),"")</f>
        <v/>
      </c>
      <c r="D34" t="str">
        <f>IFERROR(VLOOKUP($A34,原始数据_收盘!$A$4:$G$3460,4,0),"")</f>
        <v/>
      </c>
      <c r="E34" t="str">
        <f>IFERROR(VLOOKUP($A34,原始数据_收盘!$A$4:$G$3460,5,0),"")</f>
        <v/>
      </c>
      <c r="F34" t="str">
        <f>IFERROR(VLOOKUP($A34,原始数据_收盘!$A$4:$G$3460,6,0),"")</f>
        <v/>
      </c>
      <c r="G34" t="str">
        <f>IFERROR(VLOOKUP($A34,原始数据_收盘!$A$4:$G$3460,7,0),"")</f>
        <v/>
      </c>
      <c r="H34">
        <f>IFERROR(VLOOKUP($A34,原始数据_利率互换_FR007_1年!$A$6:$C$4395,2,0),"")</f>
        <v>3.09</v>
      </c>
      <c r="I34">
        <f>IFERROR(VLOOKUP($A34,原始数据_利率互换_FR007_1年!$A$6:$C$4395,3,0),"")</f>
        <v>3.42</v>
      </c>
    </row>
    <row r="35" spans="1:9">
      <c r="A35" s="6">
        <v>39528</v>
      </c>
      <c r="B35" t="str">
        <f>IFERROR(VLOOKUP($A35,原始数据_收盘!$A$4:$G$3460,2,0),"")</f>
        <v/>
      </c>
      <c r="C35" t="str">
        <f>IFERROR(VLOOKUP($A35,原始数据_收盘!$A$4:$G$3460,3,0),"")</f>
        <v/>
      </c>
      <c r="D35" t="str">
        <f>IFERROR(VLOOKUP($A35,原始数据_收盘!$A$4:$G$3460,4,0),"")</f>
        <v/>
      </c>
      <c r="E35" t="str">
        <f>IFERROR(VLOOKUP($A35,原始数据_收盘!$A$4:$G$3460,5,0),"")</f>
        <v/>
      </c>
      <c r="F35" t="str">
        <f>IFERROR(VLOOKUP($A35,原始数据_收盘!$A$4:$G$3460,6,0),"")</f>
        <v/>
      </c>
      <c r="G35" t="str">
        <f>IFERROR(VLOOKUP($A35,原始数据_收盘!$A$4:$G$3460,7,0),"")</f>
        <v/>
      </c>
      <c r="H35">
        <f>IFERROR(VLOOKUP($A35,原始数据_利率互换_FR007_1年!$A$6:$C$4395,2,0),"")</f>
        <v>3.08</v>
      </c>
      <c r="I35">
        <f>IFERROR(VLOOKUP($A35,原始数据_利率互换_FR007_1年!$A$6:$C$4395,3,0),"")</f>
        <v>3.5</v>
      </c>
    </row>
    <row r="36" spans="1:9">
      <c r="A36" s="6">
        <v>39529</v>
      </c>
      <c r="B36" t="str">
        <f>IFERROR(VLOOKUP($A36,原始数据_收盘!$A$4:$G$3460,2,0),"")</f>
        <v/>
      </c>
      <c r="C36" t="str">
        <f>IFERROR(VLOOKUP($A36,原始数据_收盘!$A$4:$G$3460,3,0),"")</f>
        <v/>
      </c>
      <c r="D36" t="str">
        <f>IFERROR(VLOOKUP($A36,原始数据_收盘!$A$4:$G$3460,4,0),"")</f>
        <v/>
      </c>
      <c r="E36" t="str">
        <f>IFERROR(VLOOKUP($A36,原始数据_收盘!$A$4:$G$3460,5,0),"")</f>
        <v/>
      </c>
      <c r="F36" t="str">
        <f>IFERROR(VLOOKUP($A36,原始数据_收盘!$A$4:$G$3460,6,0),"")</f>
        <v/>
      </c>
      <c r="G36" t="str">
        <f>IFERROR(VLOOKUP($A36,原始数据_收盘!$A$4:$G$3460,7,0),"")</f>
        <v/>
      </c>
      <c r="H36" t="str">
        <f>IFERROR(VLOOKUP($A36,原始数据_利率互换_FR007_1年!$A$6:$C$4395,2,0),"")</f>
        <v/>
      </c>
      <c r="I36" t="str">
        <f>IFERROR(VLOOKUP($A36,原始数据_利率互换_FR007_1年!$A$6:$C$4395,3,0),"")</f>
        <v/>
      </c>
    </row>
    <row r="37" spans="1:9">
      <c r="A37" s="6">
        <v>39530</v>
      </c>
      <c r="B37" t="str">
        <f>IFERROR(VLOOKUP($A37,原始数据_收盘!$A$4:$G$3460,2,0),"")</f>
        <v/>
      </c>
      <c r="C37" t="str">
        <f>IFERROR(VLOOKUP($A37,原始数据_收盘!$A$4:$G$3460,3,0),"")</f>
        <v/>
      </c>
      <c r="D37" t="str">
        <f>IFERROR(VLOOKUP($A37,原始数据_收盘!$A$4:$G$3460,4,0),"")</f>
        <v/>
      </c>
      <c r="E37" t="str">
        <f>IFERROR(VLOOKUP($A37,原始数据_收盘!$A$4:$G$3460,5,0),"")</f>
        <v/>
      </c>
      <c r="F37" t="str">
        <f>IFERROR(VLOOKUP($A37,原始数据_收盘!$A$4:$G$3460,6,0),"")</f>
        <v/>
      </c>
      <c r="G37" t="str">
        <f>IFERROR(VLOOKUP($A37,原始数据_收盘!$A$4:$G$3460,7,0),"")</f>
        <v/>
      </c>
      <c r="H37" t="str">
        <f>IFERROR(VLOOKUP($A37,原始数据_利率互换_FR007_1年!$A$6:$C$4395,2,0),"")</f>
        <v/>
      </c>
      <c r="I37" t="str">
        <f>IFERROR(VLOOKUP($A37,原始数据_利率互换_FR007_1年!$A$6:$C$4395,3,0),"")</f>
        <v/>
      </c>
    </row>
    <row r="38" spans="1:9">
      <c r="A38" s="6">
        <v>39531</v>
      </c>
      <c r="B38" t="str">
        <f>IFERROR(VLOOKUP($A38,原始数据_收盘!$A$4:$G$3460,2,0),"")</f>
        <v/>
      </c>
      <c r="C38" t="str">
        <f>IFERROR(VLOOKUP($A38,原始数据_收盘!$A$4:$G$3460,3,0),"")</f>
        <v/>
      </c>
      <c r="D38" t="str">
        <f>IFERROR(VLOOKUP($A38,原始数据_收盘!$A$4:$G$3460,4,0),"")</f>
        <v/>
      </c>
      <c r="E38" t="str">
        <f>IFERROR(VLOOKUP($A38,原始数据_收盘!$A$4:$G$3460,5,0),"")</f>
        <v/>
      </c>
      <c r="F38" t="str">
        <f>IFERROR(VLOOKUP($A38,原始数据_收盘!$A$4:$G$3460,6,0),"")</f>
        <v/>
      </c>
      <c r="G38" t="str">
        <f>IFERROR(VLOOKUP($A38,原始数据_收盘!$A$4:$G$3460,7,0),"")</f>
        <v/>
      </c>
      <c r="H38" t="str">
        <f>IFERROR(VLOOKUP($A38,原始数据_利率互换_FR007_1年!$A$6:$C$4395,2,0),"")</f>
        <v/>
      </c>
      <c r="I38" t="str">
        <f>IFERROR(VLOOKUP($A38,原始数据_利率互换_FR007_1年!$A$6:$C$4395,3,0),"")</f>
        <v/>
      </c>
    </row>
    <row r="39" spans="1:9">
      <c r="A39" s="6">
        <v>39532</v>
      </c>
      <c r="B39" t="str">
        <f>IFERROR(VLOOKUP($A39,原始数据_收盘!$A$4:$G$3460,2,0),"")</f>
        <v/>
      </c>
      <c r="C39" t="str">
        <f>IFERROR(VLOOKUP($A39,原始数据_收盘!$A$4:$G$3460,3,0),"")</f>
        <v/>
      </c>
      <c r="D39" t="str">
        <f>IFERROR(VLOOKUP($A39,原始数据_收盘!$A$4:$G$3460,4,0),"")</f>
        <v/>
      </c>
      <c r="E39" t="str">
        <f>IFERROR(VLOOKUP($A39,原始数据_收盘!$A$4:$G$3460,5,0),"")</f>
        <v/>
      </c>
      <c r="F39" t="str">
        <f>IFERROR(VLOOKUP($A39,原始数据_收盘!$A$4:$G$3460,6,0),"")</f>
        <v/>
      </c>
      <c r="G39" t="str">
        <f>IFERROR(VLOOKUP($A39,原始数据_收盘!$A$4:$G$3460,7,0),"")</f>
        <v/>
      </c>
      <c r="H39">
        <f>IFERROR(VLOOKUP($A39,原始数据_利率互换_FR007_1年!$A$6:$C$4395,2,0),"")</f>
        <v>3.08</v>
      </c>
      <c r="I39">
        <f>IFERROR(VLOOKUP($A39,原始数据_利率互换_FR007_1年!$A$6:$C$4395,3,0),"")</f>
        <v>0</v>
      </c>
    </row>
    <row r="40" spans="1:9">
      <c r="A40" s="6">
        <v>39533</v>
      </c>
      <c r="B40" t="str">
        <f>IFERROR(VLOOKUP($A40,原始数据_收盘!$A$4:$G$3460,2,0),"")</f>
        <v/>
      </c>
      <c r="C40" t="str">
        <f>IFERROR(VLOOKUP($A40,原始数据_收盘!$A$4:$G$3460,3,0),"")</f>
        <v/>
      </c>
      <c r="D40" t="str">
        <f>IFERROR(VLOOKUP($A40,原始数据_收盘!$A$4:$G$3460,4,0),"")</f>
        <v/>
      </c>
      <c r="E40" t="str">
        <f>IFERROR(VLOOKUP($A40,原始数据_收盘!$A$4:$G$3460,5,0),"")</f>
        <v/>
      </c>
      <c r="F40" t="str">
        <f>IFERROR(VLOOKUP($A40,原始数据_收盘!$A$4:$G$3460,6,0),"")</f>
        <v/>
      </c>
      <c r="G40" t="str">
        <f>IFERROR(VLOOKUP($A40,原始数据_收盘!$A$4:$G$3460,7,0),"")</f>
        <v/>
      </c>
      <c r="H40">
        <f>IFERROR(VLOOKUP($A40,原始数据_利率互换_FR007_1年!$A$6:$C$4395,2,0),"")</f>
        <v>3.07</v>
      </c>
      <c r="I40">
        <f>IFERROR(VLOOKUP($A40,原始数据_利率互换_FR007_1年!$A$6:$C$4395,3,0),"")</f>
        <v>3.44</v>
      </c>
    </row>
    <row r="41" spans="1:9">
      <c r="A41" s="6">
        <v>39534</v>
      </c>
      <c r="B41" t="str">
        <f>IFERROR(VLOOKUP($A41,原始数据_收盘!$A$4:$G$3460,2,0),"")</f>
        <v/>
      </c>
      <c r="C41" t="str">
        <f>IFERROR(VLOOKUP($A41,原始数据_收盘!$A$4:$G$3460,3,0),"")</f>
        <v/>
      </c>
      <c r="D41" t="str">
        <f>IFERROR(VLOOKUP($A41,原始数据_收盘!$A$4:$G$3460,4,0),"")</f>
        <v/>
      </c>
      <c r="E41" t="str">
        <f>IFERROR(VLOOKUP($A41,原始数据_收盘!$A$4:$G$3460,5,0),"")</f>
        <v/>
      </c>
      <c r="F41" t="str">
        <f>IFERROR(VLOOKUP($A41,原始数据_收盘!$A$4:$G$3460,6,0),"")</f>
        <v/>
      </c>
      <c r="G41" t="str">
        <f>IFERROR(VLOOKUP($A41,原始数据_收盘!$A$4:$G$3460,7,0),"")</f>
        <v/>
      </c>
      <c r="H41">
        <f>IFERROR(VLOOKUP($A41,原始数据_利率互换_FR007_1年!$A$6:$C$4395,2,0),"")</f>
        <v>3.06</v>
      </c>
      <c r="I41">
        <f>IFERROR(VLOOKUP($A41,原始数据_利率互换_FR007_1年!$A$6:$C$4395,3,0),"")</f>
        <v>3.44</v>
      </c>
    </row>
    <row r="42" spans="1:9">
      <c r="A42" s="6">
        <v>39535</v>
      </c>
      <c r="B42" t="str">
        <f>IFERROR(VLOOKUP($A42,原始数据_收盘!$A$4:$G$3460,2,0),"")</f>
        <v/>
      </c>
      <c r="C42" t="str">
        <f>IFERROR(VLOOKUP($A42,原始数据_收盘!$A$4:$G$3460,3,0),"")</f>
        <v/>
      </c>
      <c r="D42" t="str">
        <f>IFERROR(VLOOKUP($A42,原始数据_收盘!$A$4:$G$3460,4,0),"")</f>
        <v/>
      </c>
      <c r="E42" t="str">
        <f>IFERROR(VLOOKUP($A42,原始数据_收盘!$A$4:$G$3460,5,0),"")</f>
        <v/>
      </c>
      <c r="F42" t="str">
        <f>IFERROR(VLOOKUP($A42,原始数据_收盘!$A$4:$G$3460,6,0),"")</f>
        <v/>
      </c>
      <c r="G42" t="str">
        <f>IFERROR(VLOOKUP($A42,原始数据_收盘!$A$4:$G$3460,7,0),"")</f>
        <v/>
      </c>
      <c r="H42">
        <f>IFERROR(VLOOKUP($A42,原始数据_利率互换_FR007_1年!$A$6:$C$4395,2,0),"")</f>
        <v>3.09</v>
      </c>
      <c r="I42">
        <f>IFERROR(VLOOKUP($A42,原始数据_利率互换_FR007_1年!$A$6:$C$4395,3,0),"")</f>
        <v>0</v>
      </c>
    </row>
    <row r="43" spans="1:9">
      <c r="A43" s="6">
        <v>39536</v>
      </c>
      <c r="B43" t="str">
        <f>IFERROR(VLOOKUP($A43,原始数据_收盘!$A$4:$G$3460,2,0),"")</f>
        <v/>
      </c>
      <c r="C43" t="str">
        <f>IFERROR(VLOOKUP($A43,原始数据_收盘!$A$4:$G$3460,3,0),"")</f>
        <v/>
      </c>
      <c r="D43" t="str">
        <f>IFERROR(VLOOKUP($A43,原始数据_收盘!$A$4:$G$3460,4,0),"")</f>
        <v/>
      </c>
      <c r="E43" t="str">
        <f>IFERROR(VLOOKUP($A43,原始数据_收盘!$A$4:$G$3460,5,0),"")</f>
        <v/>
      </c>
      <c r="F43" t="str">
        <f>IFERROR(VLOOKUP($A43,原始数据_收盘!$A$4:$G$3460,6,0),"")</f>
        <v/>
      </c>
      <c r="G43" t="str">
        <f>IFERROR(VLOOKUP($A43,原始数据_收盘!$A$4:$G$3460,7,0),"")</f>
        <v/>
      </c>
      <c r="H43" t="str">
        <f>IFERROR(VLOOKUP($A43,原始数据_利率互换_FR007_1年!$A$6:$C$4395,2,0),"")</f>
        <v/>
      </c>
      <c r="I43" t="str">
        <f>IFERROR(VLOOKUP($A43,原始数据_利率互换_FR007_1年!$A$6:$C$4395,3,0),"")</f>
        <v/>
      </c>
    </row>
    <row r="44" spans="1:9">
      <c r="A44" s="6">
        <v>39537</v>
      </c>
      <c r="B44" t="str">
        <f>IFERROR(VLOOKUP($A44,原始数据_收盘!$A$4:$G$3460,2,0),"")</f>
        <v/>
      </c>
      <c r="C44" t="str">
        <f>IFERROR(VLOOKUP($A44,原始数据_收盘!$A$4:$G$3460,3,0),"")</f>
        <v/>
      </c>
      <c r="D44" t="str">
        <f>IFERROR(VLOOKUP($A44,原始数据_收盘!$A$4:$G$3460,4,0),"")</f>
        <v/>
      </c>
      <c r="E44" t="str">
        <f>IFERROR(VLOOKUP($A44,原始数据_收盘!$A$4:$G$3460,5,0),"")</f>
        <v/>
      </c>
      <c r="F44" t="str">
        <f>IFERROR(VLOOKUP($A44,原始数据_收盘!$A$4:$G$3460,6,0),"")</f>
        <v/>
      </c>
      <c r="G44" t="str">
        <f>IFERROR(VLOOKUP($A44,原始数据_收盘!$A$4:$G$3460,7,0),"")</f>
        <v/>
      </c>
      <c r="H44" t="str">
        <f>IFERROR(VLOOKUP($A44,原始数据_利率互换_FR007_1年!$A$6:$C$4395,2,0),"")</f>
        <v/>
      </c>
      <c r="I44" t="str">
        <f>IFERROR(VLOOKUP($A44,原始数据_利率互换_FR007_1年!$A$6:$C$4395,3,0),"")</f>
        <v/>
      </c>
    </row>
    <row r="45" spans="1:9">
      <c r="A45" s="6">
        <v>39538</v>
      </c>
      <c r="B45" t="str">
        <f>IFERROR(VLOOKUP($A45,原始数据_收盘!$A$4:$G$3460,2,0),"")</f>
        <v/>
      </c>
      <c r="C45" t="str">
        <f>IFERROR(VLOOKUP($A45,原始数据_收盘!$A$4:$G$3460,3,0),"")</f>
        <v/>
      </c>
      <c r="D45" t="str">
        <f>IFERROR(VLOOKUP($A45,原始数据_收盘!$A$4:$G$3460,4,0),"")</f>
        <v/>
      </c>
      <c r="E45" t="str">
        <f>IFERROR(VLOOKUP($A45,原始数据_收盘!$A$4:$G$3460,5,0),"")</f>
        <v/>
      </c>
      <c r="F45" t="str">
        <f>IFERROR(VLOOKUP($A45,原始数据_收盘!$A$4:$G$3460,6,0),"")</f>
        <v/>
      </c>
      <c r="G45" t="str">
        <f>IFERROR(VLOOKUP($A45,原始数据_收盘!$A$4:$G$3460,7,0),"")</f>
        <v/>
      </c>
      <c r="H45" t="str">
        <f>IFERROR(VLOOKUP($A45,原始数据_利率互换_FR007_1年!$A$6:$C$4395,2,0),"")</f>
        <v/>
      </c>
      <c r="I45" t="str">
        <f>IFERROR(VLOOKUP($A45,原始数据_利率互换_FR007_1年!$A$6:$C$4395,3,0),"")</f>
        <v/>
      </c>
    </row>
    <row r="46" spans="1:9">
      <c r="A46" s="6">
        <v>39539</v>
      </c>
      <c r="B46" t="str">
        <f>IFERROR(VLOOKUP($A46,原始数据_收盘!$A$4:$G$3460,2,0),"")</f>
        <v/>
      </c>
      <c r="C46" t="str">
        <f>IFERROR(VLOOKUP($A46,原始数据_收盘!$A$4:$G$3460,3,0),"")</f>
        <v/>
      </c>
      <c r="D46" t="str">
        <f>IFERROR(VLOOKUP($A46,原始数据_收盘!$A$4:$G$3460,4,0),"")</f>
        <v/>
      </c>
      <c r="E46" t="str">
        <f>IFERROR(VLOOKUP($A46,原始数据_收盘!$A$4:$G$3460,5,0),"")</f>
        <v/>
      </c>
      <c r="F46" t="str">
        <f>IFERROR(VLOOKUP($A46,原始数据_收盘!$A$4:$G$3460,6,0),"")</f>
        <v/>
      </c>
      <c r="G46" t="str">
        <f>IFERROR(VLOOKUP($A46,原始数据_收盘!$A$4:$G$3460,7,0),"")</f>
        <v/>
      </c>
      <c r="H46">
        <f>IFERROR(VLOOKUP($A46,原始数据_利率互换_FR007_1年!$A$6:$C$4395,2,0),"")</f>
        <v>3.1</v>
      </c>
      <c r="I46">
        <f>IFERROR(VLOOKUP($A46,原始数据_利率互换_FR007_1年!$A$6:$C$4395,3,0),"")</f>
        <v>0</v>
      </c>
    </row>
    <row r="47" spans="1:9">
      <c r="A47" s="6">
        <v>39540</v>
      </c>
      <c r="B47" t="str">
        <f>IFERROR(VLOOKUP($A47,原始数据_收盘!$A$4:$G$3460,2,0),"")</f>
        <v/>
      </c>
      <c r="C47" t="str">
        <f>IFERROR(VLOOKUP($A47,原始数据_收盘!$A$4:$G$3460,3,0),"")</f>
        <v/>
      </c>
      <c r="D47" t="str">
        <f>IFERROR(VLOOKUP($A47,原始数据_收盘!$A$4:$G$3460,4,0),"")</f>
        <v/>
      </c>
      <c r="E47" t="str">
        <f>IFERROR(VLOOKUP($A47,原始数据_收盘!$A$4:$G$3460,5,0),"")</f>
        <v/>
      </c>
      <c r="F47" t="str">
        <f>IFERROR(VLOOKUP($A47,原始数据_收盘!$A$4:$G$3460,6,0),"")</f>
        <v/>
      </c>
      <c r="G47" t="str">
        <f>IFERROR(VLOOKUP($A47,原始数据_收盘!$A$4:$G$3460,7,0),"")</f>
        <v/>
      </c>
      <c r="H47">
        <f>IFERROR(VLOOKUP($A47,原始数据_利率互换_FR007_1年!$A$6:$C$4395,2,0),"")</f>
        <v>3.1</v>
      </c>
      <c r="I47">
        <f>IFERROR(VLOOKUP($A47,原始数据_利率互换_FR007_1年!$A$6:$C$4395,3,0),"")</f>
        <v>3.5</v>
      </c>
    </row>
    <row r="48" spans="1:9">
      <c r="A48" s="6">
        <v>39541</v>
      </c>
      <c r="B48" t="str">
        <f>IFERROR(VLOOKUP($A48,原始数据_收盘!$A$4:$G$3460,2,0),"")</f>
        <v/>
      </c>
      <c r="C48" t="str">
        <f>IFERROR(VLOOKUP($A48,原始数据_收盘!$A$4:$G$3460,3,0),"")</f>
        <v/>
      </c>
      <c r="D48" t="str">
        <f>IFERROR(VLOOKUP($A48,原始数据_收盘!$A$4:$G$3460,4,0),"")</f>
        <v/>
      </c>
      <c r="E48" t="str">
        <f>IFERROR(VLOOKUP($A48,原始数据_收盘!$A$4:$G$3460,5,0),"")</f>
        <v/>
      </c>
      <c r="F48" t="str">
        <f>IFERROR(VLOOKUP($A48,原始数据_收盘!$A$4:$G$3460,6,0),"")</f>
        <v/>
      </c>
      <c r="G48" t="str">
        <f>IFERROR(VLOOKUP($A48,原始数据_收盘!$A$4:$G$3460,7,0),"")</f>
        <v/>
      </c>
      <c r="H48">
        <f>IFERROR(VLOOKUP($A48,原始数据_利率互换_FR007_1年!$A$6:$C$4395,2,0),"")</f>
        <v>3.1</v>
      </c>
      <c r="I48">
        <f>IFERROR(VLOOKUP($A48,原始数据_利率互换_FR007_1年!$A$6:$C$4395,3,0),"")</f>
        <v>0</v>
      </c>
    </row>
    <row r="49" spans="1:9">
      <c r="A49" s="6">
        <v>39542</v>
      </c>
      <c r="B49" t="str">
        <f>IFERROR(VLOOKUP($A49,原始数据_收盘!$A$4:$G$3460,2,0),"")</f>
        <v/>
      </c>
      <c r="C49" t="str">
        <f>IFERROR(VLOOKUP($A49,原始数据_收盘!$A$4:$G$3460,3,0),"")</f>
        <v/>
      </c>
      <c r="D49" t="str">
        <f>IFERROR(VLOOKUP($A49,原始数据_收盘!$A$4:$G$3460,4,0),"")</f>
        <v/>
      </c>
      <c r="E49" t="str">
        <f>IFERROR(VLOOKUP($A49,原始数据_收盘!$A$4:$G$3460,5,0),"")</f>
        <v/>
      </c>
      <c r="F49" t="str">
        <f>IFERROR(VLOOKUP($A49,原始数据_收盘!$A$4:$G$3460,6,0),"")</f>
        <v/>
      </c>
      <c r="G49" t="str">
        <f>IFERROR(VLOOKUP($A49,原始数据_收盘!$A$4:$G$3460,7,0),"")</f>
        <v/>
      </c>
      <c r="H49" t="str">
        <f>IFERROR(VLOOKUP($A49,原始数据_利率互换_FR007_1年!$A$6:$C$4395,2,0),"")</f>
        <v/>
      </c>
      <c r="I49" t="str">
        <f>IFERROR(VLOOKUP($A49,原始数据_利率互换_FR007_1年!$A$6:$C$4395,3,0),"")</f>
        <v/>
      </c>
    </row>
    <row r="50" spans="1:9">
      <c r="A50" s="6">
        <v>39543</v>
      </c>
      <c r="B50" t="str">
        <f>IFERROR(VLOOKUP($A50,原始数据_收盘!$A$4:$G$3460,2,0),"")</f>
        <v/>
      </c>
      <c r="C50" t="str">
        <f>IFERROR(VLOOKUP($A50,原始数据_收盘!$A$4:$G$3460,3,0),"")</f>
        <v/>
      </c>
      <c r="D50" t="str">
        <f>IFERROR(VLOOKUP($A50,原始数据_收盘!$A$4:$G$3460,4,0),"")</f>
        <v/>
      </c>
      <c r="E50" t="str">
        <f>IFERROR(VLOOKUP($A50,原始数据_收盘!$A$4:$G$3460,5,0),"")</f>
        <v/>
      </c>
      <c r="F50" t="str">
        <f>IFERROR(VLOOKUP($A50,原始数据_收盘!$A$4:$G$3460,6,0),"")</f>
        <v/>
      </c>
      <c r="G50" t="str">
        <f>IFERROR(VLOOKUP($A50,原始数据_收盘!$A$4:$G$3460,7,0),"")</f>
        <v/>
      </c>
      <c r="H50" t="str">
        <f>IFERROR(VLOOKUP($A50,原始数据_利率互换_FR007_1年!$A$6:$C$4395,2,0),"")</f>
        <v/>
      </c>
      <c r="I50" t="str">
        <f>IFERROR(VLOOKUP($A50,原始数据_利率互换_FR007_1年!$A$6:$C$4395,3,0),"")</f>
        <v/>
      </c>
    </row>
    <row r="51" spans="1:9">
      <c r="A51" s="6">
        <v>39544</v>
      </c>
      <c r="B51" t="str">
        <f>IFERROR(VLOOKUP($A51,原始数据_收盘!$A$4:$G$3460,2,0),"")</f>
        <v/>
      </c>
      <c r="C51" t="str">
        <f>IFERROR(VLOOKUP($A51,原始数据_收盘!$A$4:$G$3460,3,0),"")</f>
        <v/>
      </c>
      <c r="D51" t="str">
        <f>IFERROR(VLOOKUP($A51,原始数据_收盘!$A$4:$G$3460,4,0),"")</f>
        <v/>
      </c>
      <c r="E51" t="str">
        <f>IFERROR(VLOOKUP($A51,原始数据_收盘!$A$4:$G$3460,5,0),"")</f>
        <v/>
      </c>
      <c r="F51" t="str">
        <f>IFERROR(VLOOKUP($A51,原始数据_收盘!$A$4:$G$3460,6,0),"")</f>
        <v/>
      </c>
      <c r="G51" t="str">
        <f>IFERROR(VLOOKUP($A51,原始数据_收盘!$A$4:$G$3460,7,0),"")</f>
        <v/>
      </c>
      <c r="H51" t="str">
        <f>IFERROR(VLOOKUP($A51,原始数据_利率互换_FR007_1年!$A$6:$C$4395,2,0),"")</f>
        <v/>
      </c>
      <c r="I51" t="str">
        <f>IFERROR(VLOOKUP($A51,原始数据_利率互换_FR007_1年!$A$6:$C$4395,3,0),"")</f>
        <v/>
      </c>
    </row>
    <row r="52" spans="1:9">
      <c r="A52" s="6">
        <v>39545</v>
      </c>
      <c r="B52" t="str">
        <f>IFERROR(VLOOKUP($A52,原始数据_收盘!$A$4:$G$3460,2,0),"")</f>
        <v/>
      </c>
      <c r="C52" t="str">
        <f>IFERROR(VLOOKUP($A52,原始数据_收盘!$A$4:$G$3460,3,0),"")</f>
        <v/>
      </c>
      <c r="D52" t="str">
        <f>IFERROR(VLOOKUP($A52,原始数据_收盘!$A$4:$G$3460,4,0),"")</f>
        <v/>
      </c>
      <c r="E52" t="str">
        <f>IFERROR(VLOOKUP($A52,原始数据_收盘!$A$4:$G$3460,5,0),"")</f>
        <v/>
      </c>
      <c r="F52" t="str">
        <f>IFERROR(VLOOKUP($A52,原始数据_收盘!$A$4:$G$3460,6,0),"")</f>
        <v/>
      </c>
      <c r="G52" t="str">
        <f>IFERROR(VLOOKUP($A52,原始数据_收盘!$A$4:$G$3460,7,0),"")</f>
        <v/>
      </c>
      <c r="H52">
        <f>IFERROR(VLOOKUP($A52,原始数据_利率互换_FR007_1年!$A$6:$C$4395,2,0),"")</f>
        <v>3.12</v>
      </c>
      <c r="I52">
        <f>IFERROR(VLOOKUP($A52,原始数据_利率互换_FR007_1年!$A$6:$C$4395,3,0),"")</f>
        <v>3.54</v>
      </c>
    </row>
    <row r="53" spans="1:9">
      <c r="A53" s="6">
        <v>39546</v>
      </c>
      <c r="B53" t="str">
        <f>IFERROR(VLOOKUP($A53,原始数据_收盘!$A$4:$G$3460,2,0),"")</f>
        <v/>
      </c>
      <c r="C53" t="str">
        <f>IFERROR(VLOOKUP($A53,原始数据_收盘!$A$4:$G$3460,3,0),"")</f>
        <v/>
      </c>
      <c r="D53" t="str">
        <f>IFERROR(VLOOKUP($A53,原始数据_收盘!$A$4:$G$3460,4,0),"")</f>
        <v/>
      </c>
      <c r="E53" t="str">
        <f>IFERROR(VLOOKUP($A53,原始数据_收盘!$A$4:$G$3460,5,0),"")</f>
        <v/>
      </c>
      <c r="F53" t="str">
        <f>IFERROR(VLOOKUP($A53,原始数据_收盘!$A$4:$G$3460,6,0),"")</f>
        <v/>
      </c>
      <c r="G53" t="str">
        <f>IFERROR(VLOOKUP($A53,原始数据_收盘!$A$4:$G$3460,7,0),"")</f>
        <v/>
      </c>
      <c r="H53">
        <f>IFERROR(VLOOKUP($A53,原始数据_利率互换_FR007_1年!$A$6:$C$4395,2,0),"")</f>
        <v>0</v>
      </c>
      <c r="I53">
        <f>IFERROR(VLOOKUP($A53,原始数据_利率互换_FR007_1年!$A$6:$C$4395,3,0),"")</f>
        <v>3.58</v>
      </c>
    </row>
    <row r="54" spans="1:9">
      <c r="A54" s="6">
        <v>39547</v>
      </c>
      <c r="B54" t="str">
        <f>IFERROR(VLOOKUP($A54,原始数据_收盘!$A$4:$G$3460,2,0),"")</f>
        <v/>
      </c>
      <c r="C54" t="str">
        <f>IFERROR(VLOOKUP($A54,原始数据_收盘!$A$4:$G$3460,3,0),"")</f>
        <v/>
      </c>
      <c r="D54" t="str">
        <f>IFERROR(VLOOKUP($A54,原始数据_收盘!$A$4:$G$3460,4,0),"")</f>
        <v/>
      </c>
      <c r="E54" t="str">
        <f>IFERROR(VLOOKUP($A54,原始数据_收盘!$A$4:$G$3460,5,0),"")</f>
        <v/>
      </c>
      <c r="F54" t="str">
        <f>IFERROR(VLOOKUP($A54,原始数据_收盘!$A$4:$G$3460,6,0),"")</f>
        <v/>
      </c>
      <c r="G54" t="str">
        <f>IFERROR(VLOOKUP($A54,原始数据_收盘!$A$4:$G$3460,7,0),"")</f>
        <v/>
      </c>
      <c r="H54">
        <f>IFERROR(VLOOKUP($A54,原始数据_利率互换_FR007_1年!$A$6:$C$4395,2,0),"")</f>
        <v>0</v>
      </c>
      <c r="I54">
        <f>IFERROR(VLOOKUP($A54,原始数据_利率互换_FR007_1年!$A$6:$C$4395,3,0),"")</f>
        <v>3.58</v>
      </c>
    </row>
    <row r="55" spans="1:9">
      <c r="A55" s="6">
        <v>39548</v>
      </c>
      <c r="B55" t="str">
        <f>IFERROR(VLOOKUP($A55,原始数据_收盘!$A$4:$G$3460,2,0),"")</f>
        <v/>
      </c>
      <c r="C55" t="str">
        <f>IFERROR(VLOOKUP($A55,原始数据_收盘!$A$4:$G$3460,3,0),"")</f>
        <v/>
      </c>
      <c r="D55" t="str">
        <f>IFERROR(VLOOKUP($A55,原始数据_收盘!$A$4:$G$3460,4,0),"")</f>
        <v/>
      </c>
      <c r="E55" t="str">
        <f>IFERROR(VLOOKUP($A55,原始数据_收盘!$A$4:$G$3460,5,0),"")</f>
        <v/>
      </c>
      <c r="F55" t="str">
        <f>IFERROR(VLOOKUP($A55,原始数据_收盘!$A$4:$G$3460,6,0),"")</f>
        <v/>
      </c>
      <c r="G55" t="str">
        <f>IFERROR(VLOOKUP($A55,原始数据_收盘!$A$4:$G$3460,7,0),"")</f>
        <v/>
      </c>
      <c r="H55">
        <f>IFERROR(VLOOKUP($A55,原始数据_利率互换_FR007_1年!$A$6:$C$4395,2,0),"")</f>
        <v>3.08</v>
      </c>
      <c r="I55">
        <f>IFERROR(VLOOKUP($A55,原始数据_利率互换_FR007_1年!$A$6:$C$4395,3,0),"")</f>
        <v>3.57</v>
      </c>
    </row>
    <row r="56" spans="1:9">
      <c r="A56" s="6">
        <v>39549</v>
      </c>
      <c r="B56" t="str">
        <f>IFERROR(VLOOKUP($A56,原始数据_收盘!$A$4:$G$3460,2,0),"")</f>
        <v/>
      </c>
      <c r="C56" t="str">
        <f>IFERROR(VLOOKUP($A56,原始数据_收盘!$A$4:$G$3460,3,0),"")</f>
        <v/>
      </c>
      <c r="D56" t="str">
        <f>IFERROR(VLOOKUP($A56,原始数据_收盘!$A$4:$G$3460,4,0),"")</f>
        <v/>
      </c>
      <c r="E56" t="str">
        <f>IFERROR(VLOOKUP($A56,原始数据_收盘!$A$4:$G$3460,5,0),"")</f>
        <v/>
      </c>
      <c r="F56" t="str">
        <f>IFERROR(VLOOKUP($A56,原始数据_收盘!$A$4:$G$3460,6,0),"")</f>
        <v/>
      </c>
      <c r="G56" t="str">
        <f>IFERROR(VLOOKUP($A56,原始数据_收盘!$A$4:$G$3460,7,0),"")</f>
        <v/>
      </c>
      <c r="H56">
        <f>IFERROR(VLOOKUP($A56,原始数据_利率互换_FR007_1年!$A$6:$C$4395,2,0),"")</f>
        <v>3.05</v>
      </c>
      <c r="I56">
        <f>IFERROR(VLOOKUP($A56,原始数据_利率互换_FR007_1年!$A$6:$C$4395,3,0),"")</f>
        <v>0</v>
      </c>
    </row>
    <row r="57" spans="1:9">
      <c r="A57" s="6">
        <v>39550</v>
      </c>
      <c r="B57" t="str">
        <f>IFERROR(VLOOKUP($A57,原始数据_收盘!$A$4:$G$3460,2,0),"")</f>
        <v/>
      </c>
      <c r="C57" t="str">
        <f>IFERROR(VLOOKUP($A57,原始数据_收盘!$A$4:$G$3460,3,0),"")</f>
        <v/>
      </c>
      <c r="D57" t="str">
        <f>IFERROR(VLOOKUP($A57,原始数据_收盘!$A$4:$G$3460,4,0),"")</f>
        <v/>
      </c>
      <c r="E57" t="str">
        <f>IFERROR(VLOOKUP($A57,原始数据_收盘!$A$4:$G$3460,5,0),"")</f>
        <v/>
      </c>
      <c r="F57" t="str">
        <f>IFERROR(VLOOKUP($A57,原始数据_收盘!$A$4:$G$3460,6,0),"")</f>
        <v/>
      </c>
      <c r="G57" t="str">
        <f>IFERROR(VLOOKUP($A57,原始数据_收盘!$A$4:$G$3460,7,0),"")</f>
        <v/>
      </c>
      <c r="H57" t="str">
        <f>IFERROR(VLOOKUP($A57,原始数据_利率互换_FR007_1年!$A$6:$C$4395,2,0),"")</f>
        <v/>
      </c>
      <c r="I57" t="str">
        <f>IFERROR(VLOOKUP($A57,原始数据_利率互换_FR007_1年!$A$6:$C$4395,3,0),"")</f>
        <v/>
      </c>
    </row>
    <row r="58" spans="1:9">
      <c r="A58" s="6">
        <v>39551</v>
      </c>
      <c r="B58" t="str">
        <f>IFERROR(VLOOKUP($A58,原始数据_收盘!$A$4:$G$3460,2,0),"")</f>
        <v/>
      </c>
      <c r="C58" t="str">
        <f>IFERROR(VLOOKUP($A58,原始数据_收盘!$A$4:$G$3460,3,0),"")</f>
        <v/>
      </c>
      <c r="D58" t="str">
        <f>IFERROR(VLOOKUP($A58,原始数据_收盘!$A$4:$G$3460,4,0),"")</f>
        <v/>
      </c>
      <c r="E58" t="str">
        <f>IFERROR(VLOOKUP($A58,原始数据_收盘!$A$4:$G$3460,5,0),"")</f>
        <v/>
      </c>
      <c r="F58" t="str">
        <f>IFERROR(VLOOKUP($A58,原始数据_收盘!$A$4:$G$3460,6,0),"")</f>
        <v/>
      </c>
      <c r="G58" t="str">
        <f>IFERROR(VLOOKUP($A58,原始数据_收盘!$A$4:$G$3460,7,0),"")</f>
        <v/>
      </c>
      <c r="H58" t="str">
        <f>IFERROR(VLOOKUP($A58,原始数据_利率互换_FR007_1年!$A$6:$C$4395,2,0),"")</f>
        <v/>
      </c>
      <c r="I58" t="str">
        <f>IFERROR(VLOOKUP($A58,原始数据_利率互换_FR007_1年!$A$6:$C$4395,3,0),"")</f>
        <v/>
      </c>
    </row>
    <row r="59" spans="1:9">
      <c r="A59" s="6">
        <v>39552</v>
      </c>
      <c r="B59" t="str">
        <f>IFERROR(VLOOKUP($A59,原始数据_收盘!$A$4:$G$3460,2,0),"")</f>
        <v/>
      </c>
      <c r="C59" t="str">
        <f>IFERROR(VLOOKUP($A59,原始数据_收盘!$A$4:$G$3460,3,0),"")</f>
        <v/>
      </c>
      <c r="D59" t="str">
        <f>IFERROR(VLOOKUP($A59,原始数据_收盘!$A$4:$G$3460,4,0),"")</f>
        <v/>
      </c>
      <c r="E59" t="str">
        <f>IFERROR(VLOOKUP($A59,原始数据_收盘!$A$4:$G$3460,5,0),"")</f>
        <v/>
      </c>
      <c r="F59" t="str">
        <f>IFERROR(VLOOKUP($A59,原始数据_收盘!$A$4:$G$3460,6,0),"")</f>
        <v/>
      </c>
      <c r="G59" t="str">
        <f>IFERROR(VLOOKUP($A59,原始数据_收盘!$A$4:$G$3460,7,0),"")</f>
        <v/>
      </c>
      <c r="H59">
        <f>IFERROR(VLOOKUP($A59,原始数据_利率互换_FR007_1年!$A$6:$C$4395,2,0),"")</f>
        <v>3.05</v>
      </c>
      <c r="I59">
        <f>IFERROR(VLOOKUP($A59,原始数据_利率互换_FR007_1年!$A$6:$C$4395,3,0),"")</f>
        <v>0</v>
      </c>
    </row>
    <row r="60" spans="1:9">
      <c r="A60" s="6">
        <v>39553</v>
      </c>
      <c r="B60" t="str">
        <f>IFERROR(VLOOKUP($A60,原始数据_收盘!$A$4:$G$3460,2,0),"")</f>
        <v/>
      </c>
      <c r="C60" t="str">
        <f>IFERROR(VLOOKUP($A60,原始数据_收盘!$A$4:$G$3460,3,0),"")</f>
        <v/>
      </c>
      <c r="D60" t="str">
        <f>IFERROR(VLOOKUP($A60,原始数据_收盘!$A$4:$G$3460,4,0),"")</f>
        <v/>
      </c>
      <c r="E60" t="str">
        <f>IFERROR(VLOOKUP($A60,原始数据_收盘!$A$4:$G$3460,5,0),"")</f>
        <v/>
      </c>
      <c r="F60" t="str">
        <f>IFERROR(VLOOKUP($A60,原始数据_收盘!$A$4:$G$3460,6,0),"")</f>
        <v/>
      </c>
      <c r="G60" t="str">
        <f>IFERROR(VLOOKUP($A60,原始数据_收盘!$A$4:$G$3460,7,0),"")</f>
        <v/>
      </c>
      <c r="H60">
        <f>IFERROR(VLOOKUP($A60,原始数据_利率互换_FR007_1年!$A$6:$C$4395,2,0),"")</f>
        <v>3.05</v>
      </c>
      <c r="I60">
        <f>IFERROR(VLOOKUP($A60,原始数据_利率互换_FR007_1年!$A$6:$C$4395,3,0),"")</f>
        <v>0</v>
      </c>
    </row>
    <row r="61" spans="1:9">
      <c r="A61" s="6">
        <v>39554</v>
      </c>
      <c r="B61" t="str">
        <f>IFERROR(VLOOKUP($A61,原始数据_收盘!$A$4:$G$3460,2,0),"")</f>
        <v/>
      </c>
      <c r="C61" t="str">
        <f>IFERROR(VLOOKUP($A61,原始数据_收盘!$A$4:$G$3460,3,0),"")</f>
        <v/>
      </c>
      <c r="D61" t="str">
        <f>IFERROR(VLOOKUP($A61,原始数据_收盘!$A$4:$G$3460,4,0),"")</f>
        <v/>
      </c>
      <c r="E61" t="str">
        <f>IFERROR(VLOOKUP($A61,原始数据_收盘!$A$4:$G$3460,5,0),"")</f>
        <v/>
      </c>
      <c r="F61" t="str">
        <f>IFERROR(VLOOKUP($A61,原始数据_收盘!$A$4:$G$3460,6,0),"")</f>
        <v/>
      </c>
      <c r="G61" t="str">
        <f>IFERROR(VLOOKUP($A61,原始数据_收盘!$A$4:$G$3460,7,0),"")</f>
        <v/>
      </c>
      <c r="H61">
        <f>IFERROR(VLOOKUP($A61,原始数据_利率互换_FR007_1年!$A$6:$C$4395,2,0),"")</f>
        <v>3.07</v>
      </c>
      <c r="I61">
        <f>IFERROR(VLOOKUP($A61,原始数据_利率互换_FR007_1年!$A$6:$C$4395,3,0),"")</f>
        <v>0</v>
      </c>
    </row>
    <row r="62" spans="1:9">
      <c r="A62" s="6">
        <v>39555</v>
      </c>
      <c r="B62" t="str">
        <f>IFERROR(VLOOKUP($A62,原始数据_收盘!$A$4:$G$3460,2,0),"")</f>
        <v/>
      </c>
      <c r="C62" t="str">
        <f>IFERROR(VLOOKUP($A62,原始数据_收盘!$A$4:$G$3460,3,0),"")</f>
        <v/>
      </c>
      <c r="D62" t="str">
        <f>IFERROR(VLOOKUP($A62,原始数据_收盘!$A$4:$G$3460,4,0),"")</f>
        <v/>
      </c>
      <c r="E62" t="str">
        <f>IFERROR(VLOOKUP($A62,原始数据_收盘!$A$4:$G$3460,5,0),"")</f>
        <v/>
      </c>
      <c r="F62" t="str">
        <f>IFERROR(VLOOKUP($A62,原始数据_收盘!$A$4:$G$3460,6,0),"")</f>
        <v/>
      </c>
      <c r="G62" t="str">
        <f>IFERROR(VLOOKUP($A62,原始数据_收盘!$A$4:$G$3460,7,0),"")</f>
        <v/>
      </c>
      <c r="H62">
        <f>IFERROR(VLOOKUP($A62,原始数据_利率互换_FR007_1年!$A$6:$C$4395,2,0),"")</f>
        <v>0</v>
      </c>
      <c r="I62">
        <f>IFERROR(VLOOKUP($A62,原始数据_利率互换_FR007_1年!$A$6:$C$4395,3,0),"")</f>
        <v>3.52</v>
      </c>
    </row>
    <row r="63" spans="1:9">
      <c r="A63" s="6">
        <v>39556</v>
      </c>
      <c r="B63" t="str">
        <f>IFERROR(VLOOKUP($A63,原始数据_收盘!$A$4:$G$3460,2,0),"")</f>
        <v/>
      </c>
      <c r="C63" t="str">
        <f>IFERROR(VLOOKUP($A63,原始数据_收盘!$A$4:$G$3460,3,0),"")</f>
        <v/>
      </c>
      <c r="D63" t="str">
        <f>IFERROR(VLOOKUP($A63,原始数据_收盘!$A$4:$G$3460,4,0),"")</f>
        <v/>
      </c>
      <c r="E63" t="str">
        <f>IFERROR(VLOOKUP($A63,原始数据_收盘!$A$4:$G$3460,5,0),"")</f>
        <v/>
      </c>
      <c r="F63" t="str">
        <f>IFERROR(VLOOKUP($A63,原始数据_收盘!$A$4:$G$3460,6,0),"")</f>
        <v/>
      </c>
      <c r="G63" t="str">
        <f>IFERROR(VLOOKUP($A63,原始数据_收盘!$A$4:$G$3460,7,0),"")</f>
        <v/>
      </c>
      <c r="H63">
        <f>IFERROR(VLOOKUP($A63,原始数据_利率互换_FR007_1年!$A$6:$C$4395,2,0),"")</f>
        <v>0</v>
      </c>
      <c r="I63">
        <f>IFERROR(VLOOKUP($A63,原始数据_利率互换_FR007_1年!$A$6:$C$4395,3,0),"")</f>
        <v>3.5</v>
      </c>
    </row>
    <row r="64" spans="1:9">
      <c r="A64" s="6">
        <v>39557</v>
      </c>
      <c r="B64" t="str">
        <f>IFERROR(VLOOKUP($A64,原始数据_收盘!$A$4:$G$3460,2,0),"")</f>
        <v/>
      </c>
      <c r="C64" t="str">
        <f>IFERROR(VLOOKUP($A64,原始数据_收盘!$A$4:$G$3460,3,0),"")</f>
        <v/>
      </c>
      <c r="D64" t="str">
        <f>IFERROR(VLOOKUP($A64,原始数据_收盘!$A$4:$G$3460,4,0),"")</f>
        <v/>
      </c>
      <c r="E64" t="str">
        <f>IFERROR(VLOOKUP($A64,原始数据_收盘!$A$4:$G$3460,5,0),"")</f>
        <v/>
      </c>
      <c r="F64" t="str">
        <f>IFERROR(VLOOKUP($A64,原始数据_收盘!$A$4:$G$3460,6,0),"")</f>
        <v/>
      </c>
      <c r="G64" t="str">
        <f>IFERROR(VLOOKUP($A64,原始数据_收盘!$A$4:$G$3460,7,0),"")</f>
        <v/>
      </c>
      <c r="H64" t="str">
        <f>IFERROR(VLOOKUP($A64,原始数据_利率互换_FR007_1年!$A$6:$C$4395,2,0),"")</f>
        <v/>
      </c>
      <c r="I64" t="str">
        <f>IFERROR(VLOOKUP($A64,原始数据_利率互换_FR007_1年!$A$6:$C$4395,3,0),"")</f>
        <v/>
      </c>
    </row>
    <row r="65" spans="1:9">
      <c r="A65" s="6">
        <v>39558</v>
      </c>
      <c r="B65" t="str">
        <f>IFERROR(VLOOKUP($A65,原始数据_收盘!$A$4:$G$3460,2,0),"")</f>
        <v/>
      </c>
      <c r="C65" t="str">
        <f>IFERROR(VLOOKUP($A65,原始数据_收盘!$A$4:$G$3460,3,0),"")</f>
        <v/>
      </c>
      <c r="D65" t="str">
        <f>IFERROR(VLOOKUP($A65,原始数据_收盘!$A$4:$G$3460,4,0),"")</f>
        <v/>
      </c>
      <c r="E65" t="str">
        <f>IFERROR(VLOOKUP($A65,原始数据_收盘!$A$4:$G$3460,5,0),"")</f>
        <v/>
      </c>
      <c r="F65" t="str">
        <f>IFERROR(VLOOKUP($A65,原始数据_收盘!$A$4:$G$3460,6,0),"")</f>
        <v/>
      </c>
      <c r="G65" t="str">
        <f>IFERROR(VLOOKUP($A65,原始数据_收盘!$A$4:$G$3460,7,0),"")</f>
        <v/>
      </c>
      <c r="H65" t="str">
        <f>IFERROR(VLOOKUP($A65,原始数据_利率互换_FR007_1年!$A$6:$C$4395,2,0),"")</f>
        <v/>
      </c>
      <c r="I65" t="str">
        <f>IFERROR(VLOOKUP($A65,原始数据_利率互换_FR007_1年!$A$6:$C$4395,3,0),"")</f>
        <v/>
      </c>
    </row>
    <row r="66" spans="1:9">
      <c r="A66" s="6">
        <v>39559</v>
      </c>
      <c r="B66" t="str">
        <f>IFERROR(VLOOKUP($A66,原始数据_收盘!$A$4:$G$3460,2,0),"")</f>
        <v/>
      </c>
      <c r="C66" t="str">
        <f>IFERROR(VLOOKUP($A66,原始数据_收盘!$A$4:$G$3460,3,0),"")</f>
        <v/>
      </c>
      <c r="D66" t="str">
        <f>IFERROR(VLOOKUP($A66,原始数据_收盘!$A$4:$G$3460,4,0),"")</f>
        <v/>
      </c>
      <c r="E66" t="str">
        <f>IFERROR(VLOOKUP($A66,原始数据_收盘!$A$4:$G$3460,5,0),"")</f>
        <v/>
      </c>
      <c r="F66" t="str">
        <f>IFERROR(VLOOKUP($A66,原始数据_收盘!$A$4:$G$3460,6,0),"")</f>
        <v/>
      </c>
      <c r="G66" t="str">
        <f>IFERROR(VLOOKUP($A66,原始数据_收盘!$A$4:$G$3460,7,0),"")</f>
        <v/>
      </c>
      <c r="H66">
        <f>IFERROR(VLOOKUP($A66,原始数据_利率互换_FR007_1年!$A$6:$C$4395,2,0),"")</f>
        <v>3.05</v>
      </c>
      <c r="I66">
        <f>IFERROR(VLOOKUP($A66,原始数据_利率互换_FR007_1年!$A$6:$C$4395,3,0),"")</f>
        <v>3.49</v>
      </c>
    </row>
    <row r="67" spans="1:9">
      <c r="A67" s="6">
        <v>39560</v>
      </c>
      <c r="B67" t="str">
        <f>IFERROR(VLOOKUP($A67,原始数据_收盘!$A$4:$G$3460,2,0),"")</f>
        <v/>
      </c>
      <c r="C67" t="str">
        <f>IFERROR(VLOOKUP($A67,原始数据_收盘!$A$4:$G$3460,3,0),"")</f>
        <v/>
      </c>
      <c r="D67" t="str">
        <f>IFERROR(VLOOKUP($A67,原始数据_收盘!$A$4:$G$3460,4,0),"")</f>
        <v/>
      </c>
      <c r="E67" t="str">
        <f>IFERROR(VLOOKUP($A67,原始数据_收盘!$A$4:$G$3460,5,0),"")</f>
        <v/>
      </c>
      <c r="F67" t="str">
        <f>IFERROR(VLOOKUP($A67,原始数据_收盘!$A$4:$G$3460,6,0),"")</f>
        <v/>
      </c>
      <c r="G67" t="str">
        <f>IFERROR(VLOOKUP($A67,原始数据_收盘!$A$4:$G$3460,7,0),"")</f>
        <v/>
      </c>
      <c r="H67">
        <f>IFERROR(VLOOKUP($A67,原始数据_利率互换_FR007_1年!$A$6:$C$4395,2,0),"")</f>
        <v>3.03</v>
      </c>
      <c r="I67">
        <f>IFERROR(VLOOKUP($A67,原始数据_利率互换_FR007_1年!$A$6:$C$4395,3,0),"")</f>
        <v>3.45</v>
      </c>
    </row>
    <row r="68" spans="1:9">
      <c r="A68" s="6">
        <v>39561</v>
      </c>
      <c r="B68" t="str">
        <f>IFERROR(VLOOKUP($A68,原始数据_收盘!$A$4:$G$3460,2,0),"")</f>
        <v/>
      </c>
      <c r="C68" t="str">
        <f>IFERROR(VLOOKUP($A68,原始数据_收盘!$A$4:$G$3460,3,0),"")</f>
        <v/>
      </c>
      <c r="D68" t="str">
        <f>IFERROR(VLOOKUP($A68,原始数据_收盘!$A$4:$G$3460,4,0),"")</f>
        <v/>
      </c>
      <c r="E68" t="str">
        <f>IFERROR(VLOOKUP($A68,原始数据_收盘!$A$4:$G$3460,5,0),"")</f>
        <v/>
      </c>
      <c r="F68" t="str">
        <f>IFERROR(VLOOKUP($A68,原始数据_收盘!$A$4:$G$3460,6,0),"")</f>
        <v/>
      </c>
      <c r="G68" t="str">
        <f>IFERROR(VLOOKUP($A68,原始数据_收盘!$A$4:$G$3460,7,0),"")</f>
        <v/>
      </c>
      <c r="H68">
        <f>IFERROR(VLOOKUP($A68,原始数据_利率互换_FR007_1年!$A$6:$C$4395,2,0),"")</f>
        <v>3.02</v>
      </c>
      <c r="I68">
        <f>IFERROR(VLOOKUP($A68,原始数据_利率互换_FR007_1年!$A$6:$C$4395,3,0),"")</f>
        <v>3.44</v>
      </c>
    </row>
    <row r="69" spans="1:9">
      <c r="A69" s="6">
        <v>39562</v>
      </c>
      <c r="B69" t="str">
        <f>IFERROR(VLOOKUP($A69,原始数据_收盘!$A$4:$G$3460,2,0),"")</f>
        <v/>
      </c>
      <c r="C69" t="str">
        <f>IFERROR(VLOOKUP($A69,原始数据_收盘!$A$4:$G$3460,3,0),"")</f>
        <v/>
      </c>
      <c r="D69" t="str">
        <f>IFERROR(VLOOKUP($A69,原始数据_收盘!$A$4:$G$3460,4,0),"")</f>
        <v/>
      </c>
      <c r="E69" t="str">
        <f>IFERROR(VLOOKUP($A69,原始数据_收盘!$A$4:$G$3460,5,0),"")</f>
        <v/>
      </c>
      <c r="F69" t="str">
        <f>IFERROR(VLOOKUP($A69,原始数据_收盘!$A$4:$G$3460,6,0),"")</f>
        <v/>
      </c>
      <c r="G69" t="str">
        <f>IFERROR(VLOOKUP($A69,原始数据_收盘!$A$4:$G$3460,7,0),"")</f>
        <v/>
      </c>
      <c r="H69">
        <f>IFERROR(VLOOKUP($A69,原始数据_利率互换_FR007_1年!$A$6:$C$4395,2,0),"")</f>
        <v>0</v>
      </c>
      <c r="I69">
        <f>IFERROR(VLOOKUP($A69,原始数据_利率互换_FR007_1年!$A$6:$C$4395,3,0),"")</f>
        <v>3.46</v>
      </c>
    </row>
    <row r="70" spans="1:9">
      <c r="A70" s="6">
        <v>39563</v>
      </c>
      <c r="B70" t="str">
        <f>IFERROR(VLOOKUP($A70,原始数据_收盘!$A$4:$G$3460,2,0),"")</f>
        <v/>
      </c>
      <c r="C70" t="str">
        <f>IFERROR(VLOOKUP($A70,原始数据_收盘!$A$4:$G$3460,3,0),"")</f>
        <v/>
      </c>
      <c r="D70" t="str">
        <f>IFERROR(VLOOKUP($A70,原始数据_收盘!$A$4:$G$3460,4,0),"")</f>
        <v/>
      </c>
      <c r="E70" t="str">
        <f>IFERROR(VLOOKUP($A70,原始数据_收盘!$A$4:$G$3460,5,0),"")</f>
        <v/>
      </c>
      <c r="F70" t="str">
        <f>IFERROR(VLOOKUP($A70,原始数据_收盘!$A$4:$G$3460,6,0),"")</f>
        <v/>
      </c>
      <c r="G70" t="str">
        <f>IFERROR(VLOOKUP($A70,原始数据_收盘!$A$4:$G$3460,7,0),"")</f>
        <v/>
      </c>
      <c r="H70">
        <f>IFERROR(VLOOKUP($A70,原始数据_利率互换_FR007_1年!$A$6:$C$4395,2,0),"")</f>
        <v>0</v>
      </c>
      <c r="I70">
        <f>IFERROR(VLOOKUP($A70,原始数据_利率互换_FR007_1年!$A$6:$C$4395,3,0),"")</f>
        <v>3.45</v>
      </c>
    </row>
    <row r="71" spans="1:9">
      <c r="A71" s="6">
        <v>39564</v>
      </c>
      <c r="B71" t="str">
        <f>IFERROR(VLOOKUP($A71,原始数据_收盘!$A$4:$G$3460,2,0),"")</f>
        <v/>
      </c>
      <c r="C71" t="str">
        <f>IFERROR(VLOOKUP($A71,原始数据_收盘!$A$4:$G$3460,3,0),"")</f>
        <v/>
      </c>
      <c r="D71" t="str">
        <f>IFERROR(VLOOKUP($A71,原始数据_收盘!$A$4:$G$3460,4,0),"")</f>
        <v/>
      </c>
      <c r="E71" t="str">
        <f>IFERROR(VLOOKUP($A71,原始数据_收盘!$A$4:$G$3460,5,0),"")</f>
        <v/>
      </c>
      <c r="F71" t="str">
        <f>IFERROR(VLOOKUP($A71,原始数据_收盘!$A$4:$G$3460,6,0),"")</f>
        <v/>
      </c>
      <c r="G71" t="str">
        <f>IFERROR(VLOOKUP($A71,原始数据_收盘!$A$4:$G$3460,7,0),"")</f>
        <v/>
      </c>
      <c r="H71" t="str">
        <f>IFERROR(VLOOKUP($A71,原始数据_利率互换_FR007_1年!$A$6:$C$4395,2,0),"")</f>
        <v/>
      </c>
      <c r="I71" t="str">
        <f>IFERROR(VLOOKUP($A71,原始数据_利率互换_FR007_1年!$A$6:$C$4395,3,0),"")</f>
        <v/>
      </c>
    </row>
    <row r="72" spans="1:9">
      <c r="A72" s="6">
        <v>39565</v>
      </c>
      <c r="B72" t="str">
        <f>IFERROR(VLOOKUP($A72,原始数据_收盘!$A$4:$G$3460,2,0),"")</f>
        <v/>
      </c>
      <c r="C72" t="str">
        <f>IFERROR(VLOOKUP($A72,原始数据_收盘!$A$4:$G$3460,3,0),"")</f>
        <v/>
      </c>
      <c r="D72" t="str">
        <f>IFERROR(VLOOKUP($A72,原始数据_收盘!$A$4:$G$3460,4,0),"")</f>
        <v/>
      </c>
      <c r="E72" t="str">
        <f>IFERROR(VLOOKUP($A72,原始数据_收盘!$A$4:$G$3460,5,0),"")</f>
        <v/>
      </c>
      <c r="F72" t="str">
        <f>IFERROR(VLOOKUP($A72,原始数据_收盘!$A$4:$G$3460,6,0),"")</f>
        <v/>
      </c>
      <c r="G72" t="str">
        <f>IFERROR(VLOOKUP($A72,原始数据_收盘!$A$4:$G$3460,7,0),"")</f>
        <v/>
      </c>
      <c r="H72" t="str">
        <f>IFERROR(VLOOKUP($A72,原始数据_利率互换_FR007_1年!$A$6:$C$4395,2,0),"")</f>
        <v/>
      </c>
      <c r="I72" t="str">
        <f>IFERROR(VLOOKUP($A72,原始数据_利率互换_FR007_1年!$A$6:$C$4395,3,0),"")</f>
        <v/>
      </c>
    </row>
    <row r="73" spans="1:9">
      <c r="A73" s="6">
        <v>39566</v>
      </c>
      <c r="B73" t="str">
        <f>IFERROR(VLOOKUP($A73,原始数据_收盘!$A$4:$G$3460,2,0),"")</f>
        <v/>
      </c>
      <c r="C73" t="str">
        <f>IFERROR(VLOOKUP($A73,原始数据_收盘!$A$4:$G$3460,3,0),"")</f>
        <v/>
      </c>
      <c r="D73" t="str">
        <f>IFERROR(VLOOKUP($A73,原始数据_收盘!$A$4:$G$3460,4,0),"")</f>
        <v/>
      </c>
      <c r="E73" t="str">
        <f>IFERROR(VLOOKUP($A73,原始数据_收盘!$A$4:$G$3460,5,0),"")</f>
        <v/>
      </c>
      <c r="F73" t="str">
        <f>IFERROR(VLOOKUP($A73,原始数据_收盘!$A$4:$G$3460,6,0),"")</f>
        <v/>
      </c>
      <c r="G73" t="str">
        <f>IFERROR(VLOOKUP($A73,原始数据_收盘!$A$4:$G$3460,7,0),"")</f>
        <v/>
      </c>
      <c r="H73">
        <f>IFERROR(VLOOKUP($A73,原始数据_利率互换_FR007_1年!$A$6:$C$4395,2,0),"")</f>
        <v>0</v>
      </c>
      <c r="I73">
        <f>IFERROR(VLOOKUP($A73,原始数据_利率互换_FR007_1年!$A$6:$C$4395,3,0),"")</f>
        <v>3.48</v>
      </c>
    </row>
    <row r="74" spans="1:9">
      <c r="A74" s="6">
        <v>39567</v>
      </c>
      <c r="B74" t="str">
        <f>IFERROR(VLOOKUP($A74,原始数据_收盘!$A$4:$G$3460,2,0),"")</f>
        <v/>
      </c>
      <c r="C74" t="str">
        <f>IFERROR(VLOOKUP($A74,原始数据_收盘!$A$4:$G$3460,3,0),"")</f>
        <v/>
      </c>
      <c r="D74" t="str">
        <f>IFERROR(VLOOKUP($A74,原始数据_收盘!$A$4:$G$3460,4,0),"")</f>
        <v/>
      </c>
      <c r="E74" t="str">
        <f>IFERROR(VLOOKUP($A74,原始数据_收盘!$A$4:$G$3460,5,0),"")</f>
        <v/>
      </c>
      <c r="F74" t="str">
        <f>IFERROR(VLOOKUP($A74,原始数据_收盘!$A$4:$G$3460,6,0),"")</f>
        <v/>
      </c>
      <c r="G74" t="str">
        <f>IFERROR(VLOOKUP($A74,原始数据_收盘!$A$4:$G$3460,7,0),"")</f>
        <v/>
      </c>
      <c r="H74" t="str">
        <f>IFERROR(VLOOKUP($A74,原始数据_利率互换_FR007_1年!$A$6:$C$4395,2,0),"")</f>
        <v/>
      </c>
      <c r="I74" t="str">
        <f>IFERROR(VLOOKUP($A74,原始数据_利率互换_FR007_1年!$A$6:$C$4395,3,0),"")</f>
        <v/>
      </c>
    </row>
    <row r="75" spans="1:9">
      <c r="A75" s="6">
        <v>39568</v>
      </c>
      <c r="B75" t="str">
        <f>IFERROR(VLOOKUP($A75,原始数据_收盘!$A$4:$G$3460,2,0),"")</f>
        <v/>
      </c>
      <c r="C75" t="str">
        <f>IFERROR(VLOOKUP($A75,原始数据_收盘!$A$4:$G$3460,3,0),"")</f>
        <v/>
      </c>
      <c r="D75" t="str">
        <f>IFERROR(VLOOKUP($A75,原始数据_收盘!$A$4:$G$3460,4,0),"")</f>
        <v/>
      </c>
      <c r="E75" t="str">
        <f>IFERROR(VLOOKUP($A75,原始数据_收盘!$A$4:$G$3460,5,0),"")</f>
        <v/>
      </c>
      <c r="F75" t="str">
        <f>IFERROR(VLOOKUP($A75,原始数据_收盘!$A$4:$G$3460,6,0),"")</f>
        <v/>
      </c>
      <c r="G75" t="str">
        <f>IFERROR(VLOOKUP($A75,原始数据_收盘!$A$4:$G$3460,7,0),"")</f>
        <v/>
      </c>
      <c r="H75" t="str">
        <f>IFERROR(VLOOKUP($A75,原始数据_利率互换_FR007_1年!$A$6:$C$4395,2,0),"")</f>
        <v/>
      </c>
      <c r="I75" t="str">
        <f>IFERROR(VLOOKUP($A75,原始数据_利率互换_FR007_1年!$A$6:$C$4395,3,0),"")</f>
        <v/>
      </c>
    </row>
    <row r="76" spans="1:9">
      <c r="A76" s="6">
        <v>39569</v>
      </c>
      <c r="B76" t="str">
        <f>IFERROR(VLOOKUP($A76,原始数据_收盘!$A$4:$G$3460,2,0),"")</f>
        <v/>
      </c>
      <c r="C76" t="str">
        <f>IFERROR(VLOOKUP($A76,原始数据_收盘!$A$4:$G$3460,3,0),"")</f>
        <v/>
      </c>
      <c r="D76" t="str">
        <f>IFERROR(VLOOKUP($A76,原始数据_收盘!$A$4:$G$3460,4,0),"")</f>
        <v/>
      </c>
      <c r="E76" t="str">
        <f>IFERROR(VLOOKUP($A76,原始数据_收盘!$A$4:$G$3460,5,0),"")</f>
        <v/>
      </c>
      <c r="F76" t="str">
        <f>IFERROR(VLOOKUP($A76,原始数据_收盘!$A$4:$G$3460,6,0),"")</f>
        <v/>
      </c>
      <c r="G76" t="str">
        <f>IFERROR(VLOOKUP($A76,原始数据_收盘!$A$4:$G$3460,7,0),"")</f>
        <v/>
      </c>
      <c r="H76" t="str">
        <f>IFERROR(VLOOKUP($A76,原始数据_利率互换_FR007_1年!$A$6:$C$4395,2,0),"")</f>
        <v/>
      </c>
      <c r="I76" t="str">
        <f>IFERROR(VLOOKUP($A76,原始数据_利率互换_FR007_1年!$A$6:$C$4395,3,0),"")</f>
        <v/>
      </c>
    </row>
    <row r="77" spans="1:9">
      <c r="A77" s="6">
        <v>39570</v>
      </c>
      <c r="B77" t="str">
        <f>IFERROR(VLOOKUP($A77,原始数据_收盘!$A$4:$G$3460,2,0),"")</f>
        <v/>
      </c>
      <c r="C77" t="str">
        <f>IFERROR(VLOOKUP($A77,原始数据_收盘!$A$4:$G$3460,3,0),"")</f>
        <v/>
      </c>
      <c r="D77" t="str">
        <f>IFERROR(VLOOKUP($A77,原始数据_收盘!$A$4:$G$3460,4,0),"")</f>
        <v/>
      </c>
      <c r="E77" t="str">
        <f>IFERROR(VLOOKUP($A77,原始数据_收盘!$A$4:$G$3460,5,0),"")</f>
        <v/>
      </c>
      <c r="F77" t="str">
        <f>IFERROR(VLOOKUP($A77,原始数据_收盘!$A$4:$G$3460,6,0),"")</f>
        <v/>
      </c>
      <c r="G77" t="str">
        <f>IFERROR(VLOOKUP($A77,原始数据_收盘!$A$4:$G$3460,7,0),"")</f>
        <v/>
      </c>
      <c r="H77" t="str">
        <f>IFERROR(VLOOKUP($A77,原始数据_利率互换_FR007_1年!$A$6:$C$4395,2,0),"")</f>
        <v/>
      </c>
      <c r="I77" t="str">
        <f>IFERROR(VLOOKUP($A77,原始数据_利率互换_FR007_1年!$A$6:$C$4395,3,0),"")</f>
        <v/>
      </c>
    </row>
    <row r="78" spans="1:9">
      <c r="A78" s="6">
        <v>39571</v>
      </c>
      <c r="B78" t="str">
        <f>IFERROR(VLOOKUP($A78,原始数据_收盘!$A$4:$G$3460,2,0),"")</f>
        <v/>
      </c>
      <c r="C78" t="str">
        <f>IFERROR(VLOOKUP($A78,原始数据_收盘!$A$4:$G$3460,3,0),"")</f>
        <v/>
      </c>
      <c r="D78" t="str">
        <f>IFERROR(VLOOKUP($A78,原始数据_收盘!$A$4:$G$3460,4,0),"")</f>
        <v/>
      </c>
      <c r="E78" t="str">
        <f>IFERROR(VLOOKUP($A78,原始数据_收盘!$A$4:$G$3460,5,0),"")</f>
        <v/>
      </c>
      <c r="F78" t="str">
        <f>IFERROR(VLOOKUP($A78,原始数据_收盘!$A$4:$G$3460,6,0),"")</f>
        <v/>
      </c>
      <c r="G78" t="str">
        <f>IFERROR(VLOOKUP($A78,原始数据_收盘!$A$4:$G$3460,7,0),"")</f>
        <v/>
      </c>
      <c r="H78" t="str">
        <f>IFERROR(VLOOKUP($A78,原始数据_利率互换_FR007_1年!$A$6:$C$4395,2,0),"")</f>
        <v/>
      </c>
      <c r="I78" t="str">
        <f>IFERROR(VLOOKUP($A78,原始数据_利率互换_FR007_1年!$A$6:$C$4395,3,0),"")</f>
        <v/>
      </c>
    </row>
    <row r="79" spans="1:9">
      <c r="A79" s="6">
        <v>39572</v>
      </c>
      <c r="B79" t="str">
        <f>IFERROR(VLOOKUP($A79,原始数据_收盘!$A$4:$G$3460,2,0),"")</f>
        <v/>
      </c>
      <c r="C79" t="str">
        <f>IFERROR(VLOOKUP($A79,原始数据_收盘!$A$4:$G$3460,3,0),"")</f>
        <v/>
      </c>
      <c r="D79" t="str">
        <f>IFERROR(VLOOKUP($A79,原始数据_收盘!$A$4:$G$3460,4,0),"")</f>
        <v/>
      </c>
      <c r="E79" t="str">
        <f>IFERROR(VLOOKUP($A79,原始数据_收盘!$A$4:$G$3460,5,0),"")</f>
        <v/>
      </c>
      <c r="F79" t="str">
        <f>IFERROR(VLOOKUP($A79,原始数据_收盘!$A$4:$G$3460,6,0),"")</f>
        <v/>
      </c>
      <c r="G79" t="str">
        <f>IFERROR(VLOOKUP($A79,原始数据_收盘!$A$4:$G$3460,7,0),"")</f>
        <v/>
      </c>
      <c r="H79" t="str">
        <f>IFERROR(VLOOKUP($A79,原始数据_利率互换_FR007_1年!$A$6:$C$4395,2,0),"")</f>
        <v/>
      </c>
      <c r="I79" t="str">
        <f>IFERROR(VLOOKUP($A79,原始数据_利率互换_FR007_1年!$A$6:$C$4395,3,0),"")</f>
        <v/>
      </c>
    </row>
    <row r="80" spans="1:9">
      <c r="A80" s="6">
        <v>39573</v>
      </c>
      <c r="B80" t="str">
        <f>IFERROR(VLOOKUP($A80,原始数据_收盘!$A$4:$G$3460,2,0),"")</f>
        <v/>
      </c>
      <c r="C80" t="str">
        <f>IFERROR(VLOOKUP($A80,原始数据_收盘!$A$4:$G$3460,3,0),"")</f>
        <v/>
      </c>
      <c r="D80" t="str">
        <f>IFERROR(VLOOKUP($A80,原始数据_收盘!$A$4:$G$3460,4,0),"")</f>
        <v/>
      </c>
      <c r="E80" t="str">
        <f>IFERROR(VLOOKUP($A80,原始数据_收盘!$A$4:$G$3460,5,0),"")</f>
        <v/>
      </c>
      <c r="F80" t="str">
        <f>IFERROR(VLOOKUP($A80,原始数据_收盘!$A$4:$G$3460,6,0),"")</f>
        <v/>
      </c>
      <c r="G80" t="str">
        <f>IFERROR(VLOOKUP($A80,原始数据_收盘!$A$4:$G$3460,7,0),"")</f>
        <v/>
      </c>
      <c r="H80">
        <f>IFERROR(VLOOKUP($A80,原始数据_利率互换_FR007_1年!$A$6:$C$4395,2,0),"")</f>
        <v>3.07</v>
      </c>
      <c r="I80">
        <f>IFERROR(VLOOKUP($A80,原始数据_利率互换_FR007_1年!$A$6:$C$4395,3,0),"")</f>
        <v>0</v>
      </c>
    </row>
    <row r="81" spans="1:9">
      <c r="A81" s="6">
        <v>39574</v>
      </c>
      <c r="B81" t="str">
        <f>IFERROR(VLOOKUP($A81,原始数据_收盘!$A$4:$G$3460,2,0),"")</f>
        <v/>
      </c>
      <c r="C81" t="str">
        <f>IFERROR(VLOOKUP($A81,原始数据_收盘!$A$4:$G$3460,3,0),"")</f>
        <v/>
      </c>
      <c r="D81" t="str">
        <f>IFERROR(VLOOKUP($A81,原始数据_收盘!$A$4:$G$3460,4,0),"")</f>
        <v/>
      </c>
      <c r="E81" t="str">
        <f>IFERROR(VLOOKUP($A81,原始数据_收盘!$A$4:$G$3460,5,0),"")</f>
        <v/>
      </c>
      <c r="F81" t="str">
        <f>IFERROR(VLOOKUP($A81,原始数据_收盘!$A$4:$G$3460,6,0),"")</f>
        <v/>
      </c>
      <c r="G81" t="str">
        <f>IFERROR(VLOOKUP($A81,原始数据_收盘!$A$4:$G$3460,7,0),"")</f>
        <v/>
      </c>
      <c r="H81">
        <f>IFERROR(VLOOKUP($A81,原始数据_利率互换_FR007_1年!$A$6:$C$4395,2,0),"")</f>
        <v>0</v>
      </c>
      <c r="I81">
        <f>IFERROR(VLOOKUP($A81,原始数据_利率互换_FR007_1年!$A$6:$C$4395,3,0),"")</f>
        <v>3.5</v>
      </c>
    </row>
    <row r="82" spans="1:9">
      <c r="A82" s="6">
        <v>39575</v>
      </c>
      <c r="B82" t="str">
        <f>IFERROR(VLOOKUP($A82,原始数据_收盘!$A$4:$G$3460,2,0),"")</f>
        <v/>
      </c>
      <c r="C82" t="str">
        <f>IFERROR(VLOOKUP($A82,原始数据_收盘!$A$4:$G$3460,3,0),"")</f>
        <v/>
      </c>
      <c r="D82" t="str">
        <f>IFERROR(VLOOKUP($A82,原始数据_收盘!$A$4:$G$3460,4,0),"")</f>
        <v/>
      </c>
      <c r="E82" t="str">
        <f>IFERROR(VLOOKUP($A82,原始数据_收盘!$A$4:$G$3460,5,0),"")</f>
        <v/>
      </c>
      <c r="F82" t="str">
        <f>IFERROR(VLOOKUP($A82,原始数据_收盘!$A$4:$G$3460,6,0),"")</f>
        <v/>
      </c>
      <c r="G82" t="str">
        <f>IFERROR(VLOOKUP($A82,原始数据_收盘!$A$4:$G$3460,7,0),"")</f>
        <v/>
      </c>
      <c r="H82" t="str">
        <f>IFERROR(VLOOKUP($A82,原始数据_利率互换_FR007_1年!$A$6:$C$4395,2,0),"")</f>
        <v/>
      </c>
      <c r="I82" t="str">
        <f>IFERROR(VLOOKUP($A82,原始数据_利率互换_FR007_1年!$A$6:$C$4395,3,0),"")</f>
        <v/>
      </c>
    </row>
    <row r="83" spans="1:9">
      <c r="A83" s="6">
        <v>39576</v>
      </c>
      <c r="B83" t="str">
        <f>IFERROR(VLOOKUP($A83,原始数据_收盘!$A$4:$G$3460,2,0),"")</f>
        <v/>
      </c>
      <c r="C83" t="str">
        <f>IFERROR(VLOOKUP($A83,原始数据_收盘!$A$4:$G$3460,3,0),"")</f>
        <v/>
      </c>
      <c r="D83" t="str">
        <f>IFERROR(VLOOKUP($A83,原始数据_收盘!$A$4:$G$3460,4,0),"")</f>
        <v/>
      </c>
      <c r="E83" t="str">
        <f>IFERROR(VLOOKUP($A83,原始数据_收盘!$A$4:$G$3460,5,0),"")</f>
        <v/>
      </c>
      <c r="F83" t="str">
        <f>IFERROR(VLOOKUP($A83,原始数据_收盘!$A$4:$G$3460,6,0),"")</f>
        <v/>
      </c>
      <c r="G83" t="str">
        <f>IFERROR(VLOOKUP($A83,原始数据_收盘!$A$4:$G$3460,7,0),"")</f>
        <v/>
      </c>
      <c r="H83">
        <f>IFERROR(VLOOKUP($A83,原始数据_利率互换_FR007_1年!$A$6:$C$4395,2,0),"")</f>
        <v>3.1</v>
      </c>
      <c r="I83">
        <f>IFERROR(VLOOKUP($A83,原始数据_利率互换_FR007_1年!$A$6:$C$4395,3,0),"")</f>
        <v>3.53</v>
      </c>
    </row>
    <row r="84" spans="1:9">
      <c r="A84" s="6">
        <v>39577</v>
      </c>
      <c r="B84" t="str">
        <f>IFERROR(VLOOKUP($A84,原始数据_收盘!$A$4:$G$3460,2,0),"")</f>
        <v/>
      </c>
      <c r="C84" t="str">
        <f>IFERROR(VLOOKUP($A84,原始数据_收盘!$A$4:$G$3460,3,0),"")</f>
        <v/>
      </c>
      <c r="D84" t="str">
        <f>IFERROR(VLOOKUP($A84,原始数据_收盘!$A$4:$G$3460,4,0),"")</f>
        <v/>
      </c>
      <c r="E84" t="str">
        <f>IFERROR(VLOOKUP($A84,原始数据_收盘!$A$4:$G$3460,5,0),"")</f>
        <v/>
      </c>
      <c r="F84" t="str">
        <f>IFERROR(VLOOKUP($A84,原始数据_收盘!$A$4:$G$3460,6,0),"")</f>
        <v/>
      </c>
      <c r="G84" t="str">
        <f>IFERROR(VLOOKUP($A84,原始数据_收盘!$A$4:$G$3460,7,0),"")</f>
        <v/>
      </c>
      <c r="H84">
        <f>IFERROR(VLOOKUP($A84,原始数据_利率互换_FR007_1年!$A$6:$C$4395,2,0),"")</f>
        <v>0</v>
      </c>
      <c r="I84">
        <f>IFERROR(VLOOKUP($A84,原始数据_利率互换_FR007_1年!$A$6:$C$4395,3,0),"")</f>
        <v>3.52</v>
      </c>
    </row>
    <row r="85" spans="1:9">
      <c r="A85" s="6">
        <v>39578</v>
      </c>
      <c r="B85" t="str">
        <f>IFERROR(VLOOKUP($A85,原始数据_收盘!$A$4:$G$3460,2,0),"")</f>
        <v/>
      </c>
      <c r="C85" t="str">
        <f>IFERROR(VLOOKUP($A85,原始数据_收盘!$A$4:$G$3460,3,0),"")</f>
        <v/>
      </c>
      <c r="D85" t="str">
        <f>IFERROR(VLOOKUP($A85,原始数据_收盘!$A$4:$G$3460,4,0),"")</f>
        <v/>
      </c>
      <c r="E85" t="str">
        <f>IFERROR(VLOOKUP($A85,原始数据_收盘!$A$4:$G$3460,5,0),"")</f>
        <v/>
      </c>
      <c r="F85" t="str">
        <f>IFERROR(VLOOKUP($A85,原始数据_收盘!$A$4:$G$3460,6,0),"")</f>
        <v/>
      </c>
      <c r="G85" t="str">
        <f>IFERROR(VLOOKUP($A85,原始数据_收盘!$A$4:$G$3460,7,0),"")</f>
        <v/>
      </c>
      <c r="H85" t="str">
        <f>IFERROR(VLOOKUP($A85,原始数据_利率互换_FR007_1年!$A$6:$C$4395,2,0),"")</f>
        <v/>
      </c>
      <c r="I85" t="str">
        <f>IFERROR(VLOOKUP($A85,原始数据_利率互换_FR007_1年!$A$6:$C$4395,3,0),"")</f>
        <v/>
      </c>
    </row>
    <row r="86" spans="1:9">
      <c r="A86" s="6">
        <v>39579</v>
      </c>
      <c r="B86" t="str">
        <f>IFERROR(VLOOKUP($A86,原始数据_收盘!$A$4:$G$3460,2,0),"")</f>
        <v/>
      </c>
      <c r="C86" t="str">
        <f>IFERROR(VLOOKUP($A86,原始数据_收盘!$A$4:$G$3460,3,0),"")</f>
        <v/>
      </c>
      <c r="D86" t="str">
        <f>IFERROR(VLOOKUP($A86,原始数据_收盘!$A$4:$G$3460,4,0),"")</f>
        <v/>
      </c>
      <c r="E86" t="str">
        <f>IFERROR(VLOOKUP($A86,原始数据_收盘!$A$4:$G$3460,5,0),"")</f>
        <v/>
      </c>
      <c r="F86" t="str">
        <f>IFERROR(VLOOKUP($A86,原始数据_收盘!$A$4:$G$3460,6,0),"")</f>
        <v/>
      </c>
      <c r="G86" t="str">
        <f>IFERROR(VLOOKUP($A86,原始数据_收盘!$A$4:$G$3460,7,0),"")</f>
        <v/>
      </c>
      <c r="H86" t="str">
        <f>IFERROR(VLOOKUP($A86,原始数据_利率互换_FR007_1年!$A$6:$C$4395,2,0),"")</f>
        <v/>
      </c>
      <c r="I86" t="str">
        <f>IFERROR(VLOOKUP($A86,原始数据_利率互换_FR007_1年!$A$6:$C$4395,3,0),"")</f>
        <v/>
      </c>
    </row>
    <row r="87" spans="1:9">
      <c r="A87" s="6">
        <v>39580</v>
      </c>
      <c r="B87" t="str">
        <f>IFERROR(VLOOKUP($A87,原始数据_收盘!$A$4:$G$3460,2,0),"")</f>
        <v/>
      </c>
      <c r="C87" t="str">
        <f>IFERROR(VLOOKUP($A87,原始数据_收盘!$A$4:$G$3460,3,0),"")</f>
        <v/>
      </c>
      <c r="D87" t="str">
        <f>IFERROR(VLOOKUP($A87,原始数据_收盘!$A$4:$G$3460,4,0),"")</f>
        <v/>
      </c>
      <c r="E87" t="str">
        <f>IFERROR(VLOOKUP($A87,原始数据_收盘!$A$4:$G$3460,5,0),"")</f>
        <v/>
      </c>
      <c r="F87" t="str">
        <f>IFERROR(VLOOKUP($A87,原始数据_收盘!$A$4:$G$3460,6,0),"")</f>
        <v/>
      </c>
      <c r="G87" t="str">
        <f>IFERROR(VLOOKUP($A87,原始数据_收盘!$A$4:$G$3460,7,0),"")</f>
        <v/>
      </c>
      <c r="H87">
        <f>IFERROR(VLOOKUP($A87,原始数据_利率互换_FR007_1年!$A$6:$C$4395,2,0),"")</f>
        <v>3.12</v>
      </c>
      <c r="I87">
        <f>IFERROR(VLOOKUP($A87,原始数据_利率互换_FR007_1年!$A$6:$C$4395,3,0),"")</f>
        <v>0</v>
      </c>
    </row>
    <row r="88" spans="1:9">
      <c r="A88" s="6">
        <v>39581</v>
      </c>
      <c r="B88" t="str">
        <f>IFERROR(VLOOKUP($A88,原始数据_收盘!$A$4:$G$3460,2,0),"")</f>
        <v/>
      </c>
      <c r="C88" t="str">
        <f>IFERROR(VLOOKUP($A88,原始数据_收盘!$A$4:$G$3460,3,0),"")</f>
        <v/>
      </c>
      <c r="D88" t="str">
        <f>IFERROR(VLOOKUP($A88,原始数据_收盘!$A$4:$G$3460,4,0),"")</f>
        <v/>
      </c>
      <c r="E88" t="str">
        <f>IFERROR(VLOOKUP($A88,原始数据_收盘!$A$4:$G$3460,5,0),"")</f>
        <v/>
      </c>
      <c r="F88" t="str">
        <f>IFERROR(VLOOKUP($A88,原始数据_收盘!$A$4:$G$3460,6,0),"")</f>
        <v/>
      </c>
      <c r="G88" t="str">
        <f>IFERROR(VLOOKUP($A88,原始数据_收盘!$A$4:$G$3460,7,0),"")</f>
        <v/>
      </c>
      <c r="H88" t="str">
        <f>IFERROR(VLOOKUP($A88,原始数据_利率互换_FR007_1年!$A$6:$C$4395,2,0),"")</f>
        <v/>
      </c>
      <c r="I88" t="str">
        <f>IFERROR(VLOOKUP($A88,原始数据_利率互换_FR007_1年!$A$6:$C$4395,3,0),"")</f>
        <v/>
      </c>
    </row>
    <row r="89" spans="1:9">
      <c r="A89" s="6">
        <v>39582</v>
      </c>
      <c r="B89" t="str">
        <f>IFERROR(VLOOKUP($A89,原始数据_收盘!$A$4:$G$3460,2,0),"")</f>
        <v/>
      </c>
      <c r="C89" t="str">
        <f>IFERROR(VLOOKUP($A89,原始数据_收盘!$A$4:$G$3460,3,0),"")</f>
        <v/>
      </c>
      <c r="D89" t="str">
        <f>IFERROR(VLOOKUP($A89,原始数据_收盘!$A$4:$G$3460,4,0),"")</f>
        <v/>
      </c>
      <c r="E89" t="str">
        <f>IFERROR(VLOOKUP($A89,原始数据_收盘!$A$4:$G$3460,5,0),"")</f>
        <v/>
      </c>
      <c r="F89" t="str">
        <f>IFERROR(VLOOKUP($A89,原始数据_收盘!$A$4:$G$3460,6,0),"")</f>
        <v/>
      </c>
      <c r="G89" t="str">
        <f>IFERROR(VLOOKUP($A89,原始数据_收盘!$A$4:$G$3460,7,0),"")</f>
        <v/>
      </c>
      <c r="H89">
        <f>IFERROR(VLOOKUP($A89,原始数据_利率互换_FR007_1年!$A$6:$C$4395,2,0),"")</f>
        <v>3.18</v>
      </c>
      <c r="I89">
        <f>IFERROR(VLOOKUP($A89,原始数据_利率互换_FR007_1年!$A$6:$C$4395,3,0),"")</f>
        <v>3.53</v>
      </c>
    </row>
    <row r="90" spans="1:9">
      <c r="A90" s="6">
        <v>39583</v>
      </c>
      <c r="B90" t="str">
        <f>IFERROR(VLOOKUP($A90,原始数据_收盘!$A$4:$G$3460,2,0),"")</f>
        <v/>
      </c>
      <c r="C90" t="str">
        <f>IFERROR(VLOOKUP($A90,原始数据_收盘!$A$4:$G$3460,3,0),"")</f>
        <v/>
      </c>
      <c r="D90" t="str">
        <f>IFERROR(VLOOKUP($A90,原始数据_收盘!$A$4:$G$3460,4,0),"")</f>
        <v/>
      </c>
      <c r="E90" t="str">
        <f>IFERROR(VLOOKUP($A90,原始数据_收盘!$A$4:$G$3460,5,0),"")</f>
        <v/>
      </c>
      <c r="F90" t="str">
        <f>IFERROR(VLOOKUP($A90,原始数据_收盘!$A$4:$G$3460,6,0),"")</f>
        <v/>
      </c>
      <c r="G90" t="str">
        <f>IFERROR(VLOOKUP($A90,原始数据_收盘!$A$4:$G$3460,7,0),"")</f>
        <v/>
      </c>
      <c r="H90">
        <f>IFERROR(VLOOKUP($A90,原始数据_利率互换_FR007_1年!$A$6:$C$4395,2,0),"")</f>
        <v>3.2</v>
      </c>
      <c r="I90">
        <f>IFERROR(VLOOKUP($A90,原始数据_利率互换_FR007_1年!$A$6:$C$4395,3,0),"")</f>
        <v>3.58</v>
      </c>
    </row>
    <row r="91" spans="1:9">
      <c r="A91" s="6">
        <v>39584</v>
      </c>
      <c r="B91" t="str">
        <f>IFERROR(VLOOKUP($A91,原始数据_收盘!$A$4:$G$3460,2,0),"")</f>
        <v/>
      </c>
      <c r="C91" t="str">
        <f>IFERROR(VLOOKUP($A91,原始数据_收盘!$A$4:$G$3460,3,0),"")</f>
        <v/>
      </c>
      <c r="D91" t="str">
        <f>IFERROR(VLOOKUP($A91,原始数据_收盘!$A$4:$G$3460,4,0),"")</f>
        <v/>
      </c>
      <c r="E91" t="str">
        <f>IFERROR(VLOOKUP($A91,原始数据_收盘!$A$4:$G$3460,5,0),"")</f>
        <v/>
      </c>
      <c r="F91" t="str">
        <f>IFERROR(VLOOKUP($A91,原始数据_收盘!$A$4:$G$3460,6,0),"")</f>
        <v/>
      </c>
      <c r="G91" t="str">
        <f>IFERROR(VLOOKUP($A91,原始数据_收盘!$A$4:$G$3460,7,0),"")</f>
        <v/>
      </c>
      <c r="H91" t="str">
        <f>IFERROR(VLOOKUP($A91,原始数据_利率互换_FR007_1年!$A$6:$C$4395,2,0),"")</f>
        <v/>
      </c>
      <c r="I91" t="str">
        <f>IFERROR(VLOOKUP($A91,原始数据_利率互换_FR007_1年!$A$6:$C$4395,3,0),"")</f>
        <v/>
      </c>
    </row>
    <row r="92" spans="1:9">
      <c r="A92" s="6">
        <v>39585</v>
      </c>
      <c r="B92" t="str">
        <f>IFERROR(VLOOKUP($A92,原始数据_收盘!$A$4:$G$3460,2,0),"")</f>
        <v/>
      </c>
      <c r="C92" t="str">
        <f>IFERROR(VLOOKUP($A92,原始数据_收盘!$A$4:$G$3460,3,0),"")</f>
        <v/>
      </c>
      <c r="D92" t="str">
        <f>IFERROR(VLOOKUP($A92,原始数据_收盘!$A$4:$G$3460,4,0),"")</f>
        <v/>
      </c>
      <c r="E92" t="str">
        <f>IFERROR(VLOOKUP($A92,原始数据_收盘!$A$4:$G$3460,5,0),"")</f>
        <v/>
      </c>
      <c r="F92" t="str">
        <f>IFERROR(VLOOKUP($A92,原始数据_收盘!$A$4:$G$3460,6,0),"")</f>
        <v/>
      </c>
      <c r="G92" t="str">
        <f>IFERROR(VLOOKUP($A92,原始数据_收盘!$A$4:$G$3460,7,0),"")</f>
        <v/>
      </c>
      <c r="H92" t="str">
        <f>IFERROR(VLOOKUP($A92,原始数据_利率互换_FR007_1年!$A$6:$C$4395,2,0),"")</f>
        <v/>
      </c>
      <c r="I92" t="str">
        <f>IFERROR(VLOOKUP($A92,原始数据_利率互换_FR007_1年!$A$6:$C$4395,3,0),"")</f>
        <v/>
      </c>
    </row>
    <row r="93" spans="1:9">
      <c r="A93" s="6">
        <v>39586</v>
      </c>
      <c r="B93" t="str">
        <f>IFERROR(VLOOKUP($A93,原始数据_收盘!$A$4:$G$3460,2,0),"")</f>
        <v/>
      </c>
      <c r="C93" t="str">
        <f>IFERROR(VLOOKUP($A93,原始数据_收盘!$A$4:$G$3460,3,0),"")</f>
        <v/>
      </c>
      <c r="D93" t="str">
        <f>IFERROR(VLOOKUP($A93,原始数据_收盘!$A$4:$G$3460,4,0),"")</f>
        <v/>
      </c>
      <c r="E93" t="str">
        <f>IFERROR(VLOOKUP($A93,原始数据_收盘!$A$4:$G$3460,5,0),"")</f>
        <v/>
      </c>
      <c r="F93" t="str">
        <f>IFERROR(VLOOKUP($A93,原始数据_收盘!$A$4:$G$3460,6,0),"")</f>
        <v/>
      </c>
      <c r="G93" t="str">
        <f>IFERROR(VLOOKUP($A93,原始数据_收盘!$A$4:$G$3460,7,0),"")</f>
        <v/>
      </c>
      <c r="H93" t="str">
        <f>IFERROR(VLOOKUP($A93,原始数据_利率互换_FR007_1年!$A$6:$C$4395,2,0),"")</f>
        <v/>
      </c>
      <c r="I93" t="str">
        <f>IFERROR(VLOOKUP($A93,原始数据_利率互换_FR007_1年!$A$6:$C$4395,3,0),"")</f>
        <v/>
      </c>
    </row>
    <row r="94" spans="1:9">
      <c r="A94" s="6">
        <v>39587</v>
      </c>
      <c r="B94" t="str">
        <f>IFERROR(VLOOKUP($A94,原始数据_收盘!$A$4:$G$3460,2,0),"")</f>
        <v/>
      </c>
      <c r="C94" t="str">
        <f>IFERROR(VLOOKUP($A94,原始数据_收盘!$A$4:$G$3460,3,0),"")</f>
        <v/>
      </c>
      <c r="D94" t="str">
        <f>IFERROR(VLOOKUP($A94,原始数据_收盘!$A$4:$G$3460,4,0),"")</f>
        <v/>
      </c>
      <c r="E94" t="str">
        <f>IFERROR(VLOOKUP($A94,原始数据_收盘!$A$4:$G$3460,5,0),"")</f>
        <v/>
      </c>
      <c r="F94" t="str">
        <f>IFERROR(VLOOKUP($A94,原始数据_收盘!$A$4:$G$3460,6,0),"")</f>
        <v/>
      </c>
      <c r="G94" t="str">
        <f>IFERROR(VLOOKUP($A94,原始数据_收盘!$A$4:$G$3460,7,0),"")</f>
        <v/>
      </c>
      <c r="H94">
        <f>IFERROR(VLOOKUP($A94,原始数据_利率互换_FR007_1年!$A$6:$C$4395,2,0),"")</f>
        <v>3.26</v>
      </c>
      <c r="I94">
        <f>IFERROR(VLOOKUP($A94,原始数据_利率互换_FR007_1年!$A$6:$C$4395,3,0),"")</f>
        <v>3.6</v>
      </c>
    </row>
    <row r="95" spans="1:9">
      <c r="A95" s="6">
        <v>39588</v>
      </c>
      <c r="B95" t="str">
        <f>IFERROR(VLOOKUP($A95,原始数据_收盘!$A$4:$G$3460,2,0),"")</f>
        <v/>
      </c>
      <c r="C95" t="str">
        <f>IFERROR(VLOOKUP($A95,原始数据_收盘!$A$4:$G$3460,3,0),"")</f>
        <v/>
      </c>
      <c r="D95" t="str">
        <f>IFERROR(VLOOKUP($A95,原始数据_收盘!$A$4:$G$3460,4,0),"")</f>
        <v/>
      </c>
      <c r="E95" t="str">
        <f>IFERROR(VLOOKUP($A95,原始数据_收盘!$A$4:$G$3460,5,0),"")</f>
        <v/>
      </c>
      <c r="F95" t="str">
        <f>IFERROR(VLOOKUP($A95,原始数据_收盘!$A$4:$G$3460,6,0),"")</f>
        <v/>
      </c>
      <c r="G95" t="str">
        <f>IFERROR(VLOOKUP($A95,原始数据_收盘!$A$4:$G$3460,7,0),"")</f>
        <v/>
      </c>
      <c r="H95">
        <f>IFERROR(VLOOKUP($A95,原始数据_利率互换_FR007_1年!$A$6:$C$4395,2,0),"")</f>
        <v>3.25</v>
      </c>
      <c r="I95">
        <f>IFERROR(VLOOKUP($A95,原始数据_利率互换_FR007_1年!$A$6:$C$4395,3,0),"")</f>
        <v>0</v>
      </c>
    </row>
    <row r="96" spans="1:9">
      <c r="A96" s="6">
        <v>39589</v>
      </c>
      <c r="B96" t="str">
        <f>IFERROR(VLOOKUP($A96,原始数据_收盘!$A$4:$G$3460,2,0),"")</f>
        <v/>
      </c>
      <c r="C96" t="str">
        <f>IFERROR(VLOOKUP($A96,原始数据_收盘!$A$4:$G$3460,3,0),"")</f>
        <v/>
      </c>
      <c r="D96" t="str">
        <f>IFERROR(VLOOKUP($A96,原始数据_收盘!$A$4:$G$3460,4,0),"")</f>
        <v/>
      </c>
      <c r="E96" t="str">
        <f>IFERROR(VLOOKUP($A96,原始数据_收盘!$A$4:$G$3460,5,0),"")</f>
        <v/>
      </c>
      <c r="F96" t="str">
        <f>IFERROR(VLOOKUP($A96,原始数据_收盘!$A$4:$G$3460,6,0),"")</f>
        <v/>
      </c>
      <c r="G96" t="str">
        <f>IFERROR(VLOOKUP($A96,原始数据_收盘!$A$4:$G$3460,7,0),"")</f>
        <v/>
      </c>
      <c r="H96">
        <f>IFERROR(VLOOKUP($A96,原始数据_利率互换_FR007_1年!$A$6:$C$4395,2,0),"")</f>
        <v>0</v>
      </c>
      <c r="I96">
        <f>IFERROR(VLOOKUP($A96,原始数据_利率互换_FR007_1年!$A$6:$C$4395,3,0),"")</f>
        <v>3.59</v>
      </c>
    </row>
    <row r="97" spans="1:9">
      <c r="A97" s="6">
        <v>39590</v>
      </c>
      <c r="B97" t="str">
        <f>IFERROR(VLOOKUP($A97,原始数据_收盘!$A$4:$G$3460,2,0),"")</f>
        <v/>
      </c>
      <c r="C97" t="str">
        <f>IFERROR(VLOOKUP($A97,原始数据_收盘!$A$4:$G$3460,3,0),"")</f>
        <v/>
      </c>
      <c r="D97" t="str">
        <f>IFERROR(VLOOKUP($A97,原始数据_收盘!$A$4:$G$3460,4,0),"")</f>
        <v/>
      </c>
      <c r="E97" t="str">
        <f>IFERROR(VLOOKUP($A97,原始数据_收盘!$A$4:$G$3460,5,0),"")</f>
        <v/>
      </c>
      <c r="F97" t="str">
        <f>IFERROR(VLOOKUP($A97,原始数据_收盘!$A$4:$G$3460,6,0),"")</f>
        <v/>
      </c>
      <c r="G97" t="str">
        <f>IFERROR(VLOOKUP($A97,原始数据_收盘!$A$4:$G$3460,7,0),"")</f>
        <v/>
      </c>
      <c r="H97">
        <f>IFERROR(VLOOKUP($A97,原始数据_利率互换_FR007_1年!$A$6:$C$4395,2,0),"")</f>
        <v>3.25</v>
      </c>
      <c r="I97">
        <f>IFERROR(VLOOKUP($A97,原始数据_利率互换_FR007_1年!$A$6:$C$4395,3,0),"")</f>
        <v>3.6</v>
      </c>
    </row>
    <row r="98" spans="1:9">
      <c r="A98" s="6">
        <v>39591</v>
      </c>
      <c r="B98" t="str">
        <f>IFERROR(VLOOKUP($A98,原始数据_收盘!$A$4:$G$3460,2,0),"")</f>
        <v/>
      </c>
      <c r="C98" t="str">
        <f>IFERROR(VLOOKUP($A98,原始数据_收盘!$A$4:$G$3460,3,0),"")</f>
        <v/>
      </c>
      <c r="D98" t="str">
        <f>IFERROR(VLOOKUP($A98,原始数据_收盘!$A$4:$G$3460,4,0),"")</f>
        <v/>
      </c>
      <c r="E98" t="str">
        <f>IFERROR(VLOOKUP($A98,原始数据_收盘!$A$4:$G$3460,5,0),"")</f>
        <v/>
      </c>
      <c r="F98" t="str">
        <f>IFERROR(VLOOKUP($A98,原始数据_收盘!$A$4:$G$3460,6,0),"")</f>
        <v/>
      </c>
      <c r="G98" t="str">
        <f>IFERROR(VLOOKUP($A98,原始数据_收盘!$A$4:$G$3460,7,0),"")</f>
        <v/>
      </c>
      <c r="H98">
        <f>IFERROR(VLOOKUP($A98,原始数据_利率互换_FR007_1年!$A$6:$C$4395,2,0),"")</f>
        <v>3.26</v>
      </c>
      <c r="I98">
        <f>IFERROR(VLOOKUP($A98,原始数据_利率互换_FR007_1年!$A$6:$C$4395,3,0),"")</f>
        <v>3.6</v>
      </c>
    </row>
    <row r="99" spans="1:9">
      <c r="A99" s="6">
        <v>39592</v>
      </c>
      <c r="B99" t="str">
        <f>IFERROR(VLOOKUP($A99,原始数据_收盘!$A$4:$G$3460,2,0),"")</f>
        <v/>
      </c>
      <c r="C99" t="str">
        <f>IFERROR(VLOOKUP($A99,原始数据_收盘!$A$4:$G$3460,3,0),"")</f>
        <v/>
      </c>
      <c r="D99" t="str">
        <f>IFERROR(VLOOKUP($A99,原始数据_收盘!$A$4:$G$3460,4,0),"")</f>
        <v/>
      </c>
      <c r="E99" t="str">
        <f>IFERROR(VLOOKUP($A99,原始数据_收盘!$A$4:$G$3460,5,0),"")</f>
        <v/>
      </c>
      <c r="F99" t="str">
        <f>IFERROR(VLOOKUP($A99,原始数据_收盘!$A$4:$G$3460,6,0),"")</f>
        <v/>
      </c>
      <c r="G99" t="str">
        <f>IFERROR(VLOOKUP($A99,原始数据_收盘!$A$4:$G$3460,7,0),"")</f>
        <v/>
      </c>
      <c r="H99" t="str">
        <f>IFERROR(VLOOKUP($A99,原始数据_利率互换_FR007_1年!$A$6:$C$4395,2,0),"")</f>
        <v/>
      </c>
      <c r="I99" t="str">
        <f>IFERROR(VLOOKUP($A99,原始数据_利率互换_FR007_1年!$A$6:$C$4395,3,0),"")</f>
        <v/>
      </c>
    </row>
    <row r="100" spans="1:9">
      <c r="A100" s="6">
        <v>39593</v>
      </c>
      <c r="B100" t="str">
        <f>IFERROR(VLOOKUP($A100,原始数据_收盘!$A$4:$G$3460,2,0),"")</f>
        <v/>
      </c>
      <c r="C100" t="str">
        <f>IFERROR(VLOOKUP($A100,原始数据_收盘!$A$4:$G$3460,3,0),"")</f>
        <v/>
      </c>
      <c r="D100" t="str">
        <f>IFERROR(VLOOKUP($A100,原始数据_收盘!$A$4:$G$3460,4,0),"")</f>
        <v/>
      </c>
      <c r="E100" t="str">
        <f>IFERROR(VLOOKUP($A100,原始数据_收盘!$A$4:$G$3460,5,0),"")</f>
        <v/>
      </c>
      <c r="F100" t="str">
        <f>IFERROR(VLOOKUP($A100,原始数据_收盘!$A$4:$G$3460,6,0),"")</f>
        <v/>
      </c>
      <c r="G100" t="str">
        <f>IFERROR(VLOOKUP($A100,原始数据_收盘!$A$4:$G$3460,7,0),"")</f>
        <v/>
      </c>
      <c r="H100" t="str">
        <f>IFERROR(VLOOKUP($A100,原始数据_利率互换_FR007_1年!$A$6:$C$4395,2,0),"")</f>
        <v/>
      </c>
      <c r="I100" t="str">
        <f>IFERROR(VLOOKUP($A100,原始数据_利率互换_FR007_1年!$A$6:$C$4395,3,0),"")</f>
        <v/>
      </c>
    </row>
    <row r="101" spans="1:9">
      <c r="A101" s="6">
        <v>39594</v>
      </c>
      <c r="B101" t="str">
        <f>IFERROR(VLOOKUP($A101,原始数据_收盘!$A$4:$G$3460,2,0),"")</f>
        <v/>
      </c>
      <c r="C101" t="str">
        <f>IFERROR(VLOOKUP($A101,原始数据_收盘!$A$4:$G$3460,3,0),"")</f>
        <v/>
      </c>
      <c r="D101" t="str">
        <f>IFERROR(VLOOKUP($A101,原始数据_收盘!$A$4:$G$3460,4,0),"")</f>
        <v/>
      </c>
      <c r="E101" t="str">
        <f>IFERROR(VLOOKUP($A101,原始数据_收盘!$A$4:$G$3460,5,0),"")</f>
        <v/>
      </c>
      <c r="F101" t="str">
        <f>IFERROR(VLOOKUP($A101,原始数据_收盘!$A$4:$G$3460,6,0),"")</f>
        <v/>
      </c>
      <c r="G101" t="str">
        <f>IFERROR(VLOOKUP($A101,原始数据_收盘!$A$4:$G$3460,7,0),"")</f>
        <v/>
      </c>
      <c r="H101">
        <f>IFERROR(VLOOKUP($A101,原始数据_利率互换_FR007_1年!$A$6:$C$4395,2,0),"")</f>
        <v>3.25</v>
      </c>
      <c r="I101">
        <f>IFERROR(VLOOKUP($A101,原始数据_利率互换_FR007_1年!$A$6:$C$4395,3,0),"")</f>
        <v>0</v>
      </c>
    </row>
    <row r="102" spans="1:9">
      <c r="A102" s="6">
        <v>39595</v>
      </c>
      <c r="B102" t="str">
        <f>IFERROR(VLOOKUP($A102,原始数据_收盘!$A$4:$G$3460,2,0),"")</f>
        <v/>
      </c>
      <c r="C102" t="str">
        <f>IFERROR(VLOOKUP($A102,原始数据_收盘!$A$4:$G$3460,3,0),"")</f>
        <v/>
      </c>
      <c r="D102" t="str">
        <f>IFERROR(VLOOKUP($A102,原始数据_收盘!$A$4:$G$3460,4,0),"")</f>
        <v/>
      </c>
      <c r="E102" t="str">
        <f>IFERROR(VLOOKUP($A102,原始数据_收盘!$A$4:$G$3460,5,0),"")</f>
        <v/>
      </c>
      <c r="F102" t="str">
        <f>IFERROR(VLOOKUP($A102,原始数据_收盘!$A$4:$G$3460,6,0),"")</f>
        <v/>
      </c>
      <c r="G102" t="str">
        <f>IFERROR(VLOOKUP($A102,原始数据_收盘!$A$4:$G$3460,7,0),"")</f>
        <v/>
      </c>
      <c r="H102">
        <f>IFERROR(VLOOKUP($A102,原始数据_利率互换_FR007_1年!$A$6:$C$4395,2,0),"")</f>
        <v>3.25</v>
      </c>
      <c r="I102">
        <f>IFERROR(VLOOKUP($A102,原始数据_利率互换_FR007_1年!$A$6:$C$4395,3,0),"")</f>
        <v>3.59</v>
      </c>
    </row>
    <row r="103" spans="1:9">
      <c r="A103" s="6">
        <v>39596</v>
      </c>
      <c r="B103" t="str">
        <f>IFERROR(VLOOKUP($A103,原始数据_收盘!$A$4:$G$3460,2,0),"")</f>
        <v/>
      </c>
      <c r="C103" t="str">
        <f>IFERROR(VLOOKUP($A103,原始数据_收盘!$A$4:$G$3460,3,0),"")</f>
        <v/>
      </c>
      <c r="D103" t="str">
        <f>IFERROR(VLOOKUP($A103,原始数据_收盘!$A$4:$G$3460,4,0),"")</f>
        <v/>
      </c>
      <c r="E103" t="str">
        <f>IFERROR(VLOOKUP($A103,原始数据_收盘!$A$4:$G$3460,5,0),"")</f>
        <v/>
      </c>
      <c r="F103" t="str">
        <f>IFERROR(VLOOKUP($A103,原始数据_收盘!$A$4:$G$3460,6,0),"")</f>
        <v/>
      </c>
      <c r="G103" t="str">
        <f>IFERROR(VLOOKUP($A103,原始数据_收盘!$A$4:$G$3460,7,0),"")</f>
        <v/>
      </c>
      <c r="H103">
        <f>IFERROR(VLOOKUP($A103,原始数据_利率互换_FR007_1年!$A$6:$C$4395,2,0),"")</f>
        <v>3.23</v>
      </c>
      <c r="I103">
        <f>IFERROR(VLOOKUP($A103,原始数据_利率互换_FR007_1年!$A$6:$C$4395,3,0),"")</f>
        <v>3.565</v>
      </c>
    </row>
    <row r="104" spans="1:9">
      <c r="A104" s="6">
        <v>39597</v>
      </c>
      <c r="B104" t="str">
        <f>IFERROR(VLOOKUP($A104,原始数据_收盘!$A$4:$G$3460,2,0),"")</f>
        <v/>
      </c>
      <c r="C104" t="str">
        <f>IFERROR(VLOOKUP($A104,原始数据_收盘!$A$4:$G$3460,3,0),"")</f>
        <v/>
      </c>
      <c r="D104" t="str">
        <f>IFERROR(VLOOKUP($A104,原始数据_收盘!$A$4:$G$3460,4,0),"")</f>
        <v/>
      </c>
      <c r="E104" t="str">
        <f>IFERROR(VLOOKUP($A104,原始数据_收盘!$A$4:$G$3460,5,0),"")</f>
        <v/>
      </c>
      <c r="F104" t="str">
        <f>IFERROR(VLOOKUP($A104,原始数据_收盘!$A$4:$G$3460,6,0),"")</f>
        <v/>
      </c>
      <c r="G104" t="str">
        <f>IFERROR(VLOOKUP($A104,原始数据_收盘!$A$4:$G$3460,7,0),"")</f>
        <v/>
      </c>
      <c r="H104">
        <f>IFERROR(VLOOKUP($A104,原始数据_利率互换_FR007_1年!$A$6:$C$4395,2,0),"")</f>
        <v>3.24</v>
      </c>
      <c r="I104">
        <f>IFERROR(VLOOKUP($A104,原始数据_利率互换_FR007_1年!$A$6:$C$4395,3,0),"")</f>
        <v>0</v>
      </c>
    </row>
    <row r="105" spans="1:9">
      <c r="A105" s="6">
        <v>39598</v>
      </c>
      <c r="B105" t="str">
        <f>IFERROR(VLOOKUP($A105,原始数据_收盘!$A$4:$G$3460,2,0),"")</f>
        <v/>
      </c>
      <c r="C105" t="str">
        <f>IFERROR(VLOOKUP($A105,原始数据_收盘!$A$4:$G$3460,3,0),"")</f>
        <v/>
      </c>
      <c r="D105" t="str">
        <f>IFERROR(VLOOKUP($A105,原始数据_收盘!$A$4:$G$3460,4,0),"")</f>
        <v/>
      </c>
      <c r="E105" t="str">
        <f>IFERROR(VLOOKUP($A105,原始数据_收盘!$A$4:$G$3460,5,0),"")</f>
        <v/>
      </c>
      <c r="F105" t="str">
        <f>IFERROR(VLOOKUP($A105,原始数据_收盘!$A$4:$G$3460,6,0),"")</f>
        <v/>
      </c>
      <c r="G105" t="str">
        <f>IFERROR(VLOOKUP($A105,原始数据_收盘!$A$4:$G$3460,7,0),"")</f>
        <v/>
      </c>
      <c r="H105">
        <f>IFERROR(VLOOKUP($A105,原始数据_利率互换_FR007_1年!$A$6:$C$4395,2,0),"")</f>
        <v>3.27</v>
      </c>
      <c r="I105">
        <f>IFERROR(VLOOKUP($A105,原始数据_利率互换_FR007_1年!$A$6:$C$4395,3,0),"")</f>
        <v>3.61</v>
      </c>
    </row>
    <row r="106" spans="1:9">
      <c r="A106" s="6">
        <v>39599</v>
      </c>
      <c r="B106" t="str">
        <f>IFERROR(VLOOKUP($A106,原始数据_收盘!$A$4:$G$3460,2,0),"")</f>
        <v/>
      </c>
      <c r="C106" t="str">
        <f>IFERROR(VLOOKUP($A106,原始数据_收盘!$A$4:$G$3460,3,0),"")</f>
        <v/>
      </c>
      <c r="D106" t="str">
        <f>IFERROR(VLOOKUP($A106,原始数据_收盘!$A$4:$G$3460,4,0),"")</f>
        <v/>
      </c>
      <c r="E106" t="str">
        <f>IFERROR(VLOOKUP($A106,原始数据_收盘!$A$4:$G$3460,5,0),"")</f>
        <v/>
      </c>
      <c r="F106" t="str">
        <f>IFERROR(VLOOKUP($A106,原始数据_收盘!$A$4:$G$3460,6,0),"")</f>
        <v/>
      </c>
      <c r="G106" t="str">
        <f>IFERROR(VLOOKUP($A106,原始数据_收盘!$A$4:$G$3460,7,0),"")</f>
        <v/>
      </c>
      <c r="H106" t="str">
        <f>IFERROR(VLOOKUP($A106,原始数据_利率互换_FR007_1年!$A$6:$C$4395,2,0),"")</f>
        <v/>
      </c>
      <c r="I106" t="str">
        <f>IFERROR(VLOOKUP($A106,原始数据_利率互换_FR007_1年!$A$6:$C$4395,3,0),"")</f>
        <v/>
      </c>
    </row>
    <row r="107" spans="1:9">
      <c r="A107" s="6">
        <v>39600</v>
      </c>
      <c r="B107" t="str">
        <f>IFERROR(VLOOKUP($A107,原始数据_收盘!$A$4:$G$3460,2,0),"")</f>
        <v/>
      </c>
      <c r="C107" t="str">
        <f>IFERROR(VLOOKUP($A107,原始数据_收盘!$A$4:$G$3460,3,0),"")</f>
        <v/>
      </c>
      <c r="D107" t="str">
        <f>IFERROR(VLOOKUP($A107,原始数据_收盘!$A$4:$G$3460,4,0),"")</f>
        <v/>
      </c>
      <c r="E107" t="str">
        <f>IFERROR(VLOOKUP($A107,原始数据_收盘!$A$4:$G$3460,5,0),"")</f>
        <v/>
      </c>
      <c r="F107" t="str">
        <f>IFERROR(VLOOKUP($A107,原始数据_收盘!$A$4:$G$3460,6,0),"")</f>
        <v/>
      </c>
      <c r="G107" t="str">
        <f>IFERROR(VLOOKUP($A107,原始数据_收盘!$A$4:$G$3460,7,0),"")</f>
        <v/>
      </c>
      <c r="H107" t="str">
        <f>IFERROR(VLOOKUP($A107,原始数据_利率互换_FR007_1年!$A$6:$C$4395,2,0),"")</f>
        <v/>
      </c>
      <c r="I107" t="str">
        <f>IFERROR(VLOOKUP($A107,原始数据_利率互换_FR007_1年!$A$6:$C$4395,3,0),"")</f>
        <v/>
      </c>
    </row>
    <row r="108" spans="1:9">
      <c r="A108" s="6">
        <v>39601</v>
      </c>
      <c r="B108" t="str">
        <f>IFERROR(VLOOKUP($A108,原始数据_收盘!$A$4:$G$3460,2,0),"")</f>
        <v/>
      </c>
      <c r="C108" t="str">
        <f>IFERROR(VLOOKUP($A108,原始数据_收盘!$A$4:$G$3460,3,0),"")</f>
        <v/>
      </c>
      <c r="D108" t="str">
        <f>IFERROR(VLOOKUP($A108,原始数据_收盘!$A$4:$G$3460,4,0),"")</f>
        <v/>
      </c>
      <c r="E108" t="str">
        <f>IFERROR(VLOOKUP($A108,原始数据_收盘!$A$4:$G$3460,5,0),"")</f>
        <v/>
      </c>
      <c r="F108" t="str">
        <f>IFERROR(VLOOKUP($A108,原始数据_收盘!$A$4:$G$3460,6,0),"")</f>
        <v/>
      </c>
      <c r="G108" t="str">
        <f>IFERROR(VLOOKUP($A108,原始数据_收盘!$A$4:$G$3460,7,0),"")</f>
        <v/>
      </c>
      <c r="H108">
        <f>IFERROR(VLOOKUP($A108,原始数据_利率互换_FR007_1年!$A$6:$C$4395,2,0),"")</f>
        <v>3.32</v>
      </c>
      <c r="I108">
        <f>IFERROR(VLOOKUP($A108,原始数据_利率互换_FR007_1年!$A$6:$C$4395,3,0),"")</f>
        <v>3.68</v>
      </c>
    </row>
    <row r="109" spans="1:9">
      <c r="A109" s="6">
        <v>39602</v>
      </c>
      <c r="B109" t="str">
        <f>IFERROR(VLOOKUP($A109,原始数据_收盘!$A$4:$G$3460,2,0),"")</f>
        <v/>
      </c>
      <c r="C109" t="str">
        <f>IFERROR(VLOOKUP($A109,原始数据_收盘!$A$4:$G$3460,3,0),"")</f>
        <v/>
      </c>
      <c r="D109" t="str">
        <f>IFERROR(VLOOKUP($A109,原始数据_收盘!$A$4:$G$3460,4,0),"")</f>
        <v/>
      </c>
      <c r="E109" t="str">
        <f>IFERROR(VLOOKUP($A109,原始数据_收盘!$A$4:$G$3460,5,0),"")</f>
        <v/>
      </c>
      <c r="F109" t="str">
        <f>IFERROR(VLOOKUP($A109,原始数据_收盘!$A$4:$G$3460,6,0),"")</f>
        <v/>
      </c>
      <c r="G109" t="str">
        <f>IFERROR(VLOOKUP($A109,原始数据_收盘!$A$4:$G$3460,7,0),"")</f>
        <v/>
      </c>
      <c r="H109" t="str">
        <f>IFERROR(VLOOKUP($A109,原始数据_利率互换_FR007_1年!$A$6:$C$4395,2,0),"")</f>
        <v/>
      </c>
      <c r="I109" t="str">
        <f>IFERROR(VLOOKUP($A109,原始数据_利率互换_FR007_1年!$A$6:$C$4395,3,0),"")</f>
        <v/>
      </c>
    </row>
    <row r="110" spans="1:9">
      <c r="A110" s="6">
        <v>39603</v>
      </c>
      <c r="B110" t="str">
        <f>IFERROR(VLOOKUP($A110,原始数据_收盘!$A$4:$G$3460,2,0),"")</f>
        <v/>
      </c>
      <c r="C110" t="str">
        <f>IFERROR(VLOOKUP($A110,原始数据_收盘!$A$4:$G$3460,3,0),"")</f>
        <v/>
      </c>
      <c r="D110" t="str">
        <f>IFERROR(VLOOKUP($A110,原始数据_收盘!$A$4:$G$3460,4,0),"")</f>
        <v/>
      </c>
      <c r="E110" t="str">
        <f>IFERROR(VLOOKUP($A110,原始数据_收盘!$A$4:$G$3460,5,0),"")</f>
        <v/>
      </c>
      <c r="F110" t="str">
        <f>IFERROR(VLOOKUP($A110,原始数据_收盘!$A$4:$G$3460,6,0),"")</f>
        <v/>
      </c>
      <c r="G110" t="str">
        <f>IFERROR(VLOOKUP($A110,原始数据_收盘!$A$4:$G$3460,7,0),"")</f>
        <v/>
      </c>
      <c r="H110">
        <f>IFERROR(VLOOKUP($A110,原始数据_利率互换_FR007_1年!$A$6:$C$4395,2,0),"")</f>
        <v>3.44</v>
      </c>
      <c r="I110">
        <f>IFERROR(VLOOKUP($A110,原始数据_利率互换_FR007_1年!$A$6:$C$4395,3,0),"")</f>
        <v>3.76</v>
      </c>
    </row>
    <row r="111" spans="1:9">
      <c r="A111" s="6">
        <v>39604</v>
      </c>
      <c r="B111" t="str">
        <f>IFERROR(VLOOKUP($A111,原始数据_收盘!$A$4:$G$3460,2,0),"")</f>
        <v/>
      </c>
      <c r="C111" t="str">
        <f>IFERROR(VLOOKUP($A111,原始数据_收盘!$A$4:$G$3460,3,0),"")</f>
        <v/>
      </c>
      <c r="D111" t="str">
        <f>IFERROR(VLOOKUP($A111,原始数据_收盘!$A$4:$G$3460,4,0),"")</f>
        <v/>
      </c>
      <c r="E111" t="str">
        <f>IFERROR(VLOOKUP($A111,原始数据_收盘!$A$4:$G$3460,5,0),"")</f>
        <v/>
      </c>
      <c r="F111" t="str">
        <f>IFERROR(VLOOKUP($A111,原始数据_收盘!$A$4:$G$3460,6,0),"")</f>
        <v/>
      </c>
      <c r="G111" t="str">
        <f>IFERROR(VLOOKUP($A111,原始数据_收盘!$A$4:$G$3460,7,0),"")</f>
        <v/>
      </c>
      <c r="H111">
        <f>IFERROR(VLOOKUP($A111,原始数据_利率互换_FR007_1年!$A$6:$C$4395,2,0),"")</f>
        <v>3.5</v>
      </c>
      <c r="I111">
        <f>IFERROR(VLOOKUP($A111,原始数据_利率互换_FR007_1年!$A$6:$C$4395,3,0),"")</f>
        <v>3.83</v>
      </c>
    </row>
    <row r="112" spans="1:9">
      <c r="A112" s="6">
        <v>39605</v>
      </c>
      <c r="B112" t="str">
        <f>IFERROR(VLOOKUP($A112,原始数据_收盘!$A$4:$G$3460,2,0),"")</f>
        <v/>
      </c>
      <c r="C112" t="str">
        <f>IFERROR(VLOOKUP($A112,原始数据_收盘!$A$4:$G$3460,3,0),"")</f>
        <v/>
      </c>
      <c r="D112" t="str">
        <f>IFERROR(VLOOKUP($A112,原始数据_收盘!$A$4:$G$3460,4,0),"")</f>
        <v/>
      </c>
      <c r="E112" t="str">
        <f>IFERROR(VLOOKUP($A112,原始数据_收盘!$A$4:$G$3460,5,0),"")</f>
        <v/>
      </c>
      <c r="F112" t="str">
        <f>IFERROR(VLOOKUP($A112,原始数据_收盘!$A$4:$G$3460,6,0),"")</f>
        <v/>
      </c>
      <c r="G112" t="str">
        <f>IFERROR(VLOOKUP($A112,原始数据_收盘!$A$4:$G$3460,7,0),"")</f>
        <v/>
      </c>
      <c r="H112">
        <f>IFERROR(VLOOKUP($A112,原始数据_利率互换_FR007_1年!$A$6:$C$4395,2,0),"")</f>
        <v>3.47</v>
      </c>
      <c r="I112">
        <f>IFERROR(VLOOKUP($A112,原始数据_利率互换_FR007_1年!$A$6:$C$4395,3,0),"")</f>
        <v>3.8</v>
      </c>
    </row>
    <row r="113" spans="1:9">
      <c r="A113" s="6">
        <v>39606</v>
      </c>
      <c r="B113" t="str">
        <f>IFERROR(VLOOKUP($A113,原始数据_收盘!$A$4:$G$3460,2,0),"")</f>
        <v/>
      </c>
      <c r="C113" t="str">
        <f>IFERROR(VLOOKUP($A113,原始数据_收盘!$A$4:$G$3460,3,0),"")</f>
        <v/>
      </c>
      <c r="D113" t="str">
        <f>IFERROR(VLOOKUP($A113,原始数据_收盘!$A$4:$G$3460,4,0),"")</f>
        <v/>
      </c>
      <c r="E113" t="str">
        <f>IFERROR(VLOOKUP($A113,原始数据_收盘!$A$4:$G$3460,5,0),"")</f>
        <v/>
      </c>
      <c r="F113" t="str">
        <f>IFERROR(VLOOKUP($A113,原始数据_收盘!$A$4:$G$3460,6,0),"")</f>
        <v/>
      </c>
      <c r="G113" t="str">
        <f>IFERROR(VLOOKUP($A113,原始数据_收盘!$A$4:$G$3460,7,0),"")</f>
        <v/>
      </c>
      <c r="H113" t="str">
        <f>IFERROR(VLOOKUP($A113,原始数据_利率互换_FR007_1年!$A$6:$C$4395,2,0),"")</f>
        <v/>
      </c>
      <c r="I113" t="str">
        <f>IFERROR(VLOOKUP($A113,原始数据_利率互换_FR007_1年!$A$6:$C$4395,3,0),"")</f>
        <v/>
      </c>
    </row>
    <row r="114" spans="1:9">
      <c r="A114" s="6">
        <v>39607</v>
      </c>
      <c r="B114" t="str">
        <f>IFERROR(VLOOKUP($A114,原始数据_收盘!$A$4:$G$3460,2,0),"")</f>
        <v/>
      </c>
      <c r="C114" t="str">
        <f>IFERROR(VLOOKUP($A114,原始数据_收盘!$A$4:$G$3460,3,0),"")</f>
        <v/>
      </c>
      <c r="D114" t="str">
        <f>IFERROR(VLOOKUP($A114,原始数据_收盘!$A$4:$G$3460,4,0),"")</f>
        <v/>
      </c>
      <c r="E114" t="str">
        <f>IFERROR(VLOOKUP($A114,原始数据_收盘!$A$4:$G$3460,5,0),"")</f>
        <v/>
      </c>
      <c r="F114" t="str">
        <f>IFERROR(VLOOKUP($A114,原始数据_收盘!$A$4:$G$3460,6,0),"")</f>
        <v/>
      </c>
      <c r="G114" t="str">
        <f>IFERROR(VLOOKUP($A114,原始数据_收盘!$A$4:$G$3460,7,0),"")</f>
        <v/>
      </c>
      <c r="H114" t="str">
        <f>IFERROR(VLOOKUP($A114,原始数据_利率互换_FR007_1年!$A$6:$C$4395,2,0),"")</f>
        <v/>
      </c>
      <c r="I114" t="str">
        <f>IFERROR(VLOOKUP($A114,原始数据_利率互换_FR007_1年!$A$6:$C$4395,3,0),"")</f>
        <v/>
      </c>
    </row>
    <row r="115" spans="1:9">
      <c r="A115" s="6">
        <v>39608</v>
      </c>
      <c r="B115" t="str">
        <f>IFERROR(VLOOKUP($A115,原始数据_收盘!$A$4:$G$3460,2,0),"")</f>
        <v/>
      </c>
      <c r="C115" t="str">
        <f>IFERROR(VLOOKUP($A115,原始数据_收盘!$A$4:$G$3460,3,0),"")</f>
        <v/>
      </c>
      <c r="D115" t="str">
        <f>IFERROR(VLOOKUP($A115,原始数据_收盘!$A$4:$G$3460,4,0),"")</f>
        <v/>
      </c>
      <c r="E115" t="str">
        <f>IFERROR(VLOOKUP($A115,原始数据_收盘!$A$4:$G$3460,5,0),"")</f>
        <v/>
      </c>
      <c r="F115" t="str">
        <f>IFERROR(VLOOKUP($A115,原始数据_收盘!$A$4:$G$3460,6,0),"")</f>
        <v/>
      </c>
      <c r="G115" t="str">
        <f>IFERROR(VLOOKUP($A115,原始数据_收盘!$A$4:$G$3460,7,0),"")</f>
        <v/>
      </c>
      <c r="H115" t="str">
        <f>IFERROR(VLOOKUP($A115,原始数据_利率互换_FR007_1年!$A$6:$C$4395,2,0),"")</f>
        <v/>
      </c>
      <c r="I115" t="str">
        <f>IFERROR(VLOOKUP($A115,原始数据_利率互换_FR007_1年!$A$6:$C$4395,3,0),"")</f>
        <v/>
      </c>
    </row>
    <row r="116" spans="1:9">
      <c r="A116" s="6">
        <v>39609</v>
      </c>
      <c r="B116" t="str">
        <f>IFERROR(VLOOKUP($A116,原始数据_收盘!$A$4:$G$3460,2,0),"")</f>
        <v/>
      </c>
      <c r="C116" t="str">
        <f>IFERROR(VLOOKUP($A116,原始数据_收盘!$A$4:$G$3460,3,0),"")</f>
        <v/>
      </c>
      <c r="D116" t="str">
        <f>IFERROR(VLOOKUP($A116,原始数据_收盘!$A$4:$G$3460,4,0),"")</f>
        <v/>
      </c>
      <c r="E116" t="str">
        <f>IFERROR(VLOOKUP($A116,原始数据_收盘!$A$4:$G$3460,5,0),"")</f>
        <v/>
      </c>
      <c r="F116" t="str">
        <f>IFERROR(VLOOKUP($A116,原始数据_收盘!$A$4:$G$3460,6,0),"")</f>
        <v/>
      </c>
      <c r="G116" t="str">
        <f>IFERROR(VLOOKUP($A116,原始数据_收盘!$A$4:$G$3460,7,0),"")</f>
        <v/>
      </c>
      <c r="H116">
        <f>IFERROR(VLOOKUP($A116,原始数据_利率互换_FR007_1年!$A$6:$C$4395,2,0),"")</f>
        <v>3.91</v>
      </c>
      <c r="I116">
        <f>IFERROR(VLOOKUP($A116,原始数据_利率互换_FR007_1年!$A$6:$C$4395,3,0),"")</f>
        <v>4.28</v>
      </c>
    </row>
    <row r="117" spans="1:9">
      <c r="A117" s="6">
        <v>39610</v>
      </c>
      <c r="B117" t="str">
        <f>IFERROR(VLOOKUP($A117,原始数据_收盘!$A$4:$G$3460,2,0),"")</f>
        <v/>
      </c>
      <c r="C117" t="str">
        <f>IFERROR(VLOOKUP($A117,原始数据_收盘!$A$4:$G$3460,3,0),"")</f>
        <v/>
      </c>
      <c r="D117" t="str">
        <f>IFERROR(VLOOKUP($A117,原始数据_收盘!$A$4:$G$3460,4,0),"")</f>
        <v/>
      </c>
      <c r="E117" t="str">
        <f>IFERROR(VLOOKUP($A117,原始数据_收盘!$A$4:$G$3460,5,0),"")</f>
        <v/>
      </c>
      <c r="F117" t="str">
        <f>IFERROR(VLOOKUP($A117,原始数据_收盘!$A$4:$G$3460,6,0),"")</f>
        <v/>
      </c>
      <c r="G117" t="str">
        <f>IFERROR(VLOOKUP($A117,原始数据_收盘!$A$4:$G$3460,7,0),"")</f>
        <v/>
      </c>
      <c r="H117">
        <f>IFERROR(VLOOKUP($A117,原始数据_利率互换_FR007_1年!$A$6:$C$4395,2,0),"")</f>
        <v>3.92</v>
      </c>
      <c r="I117">
        <f>IFERROR(VLOOKUP($A117,原始数据_利率互换_FR007_1年!$A$6:$C$4395,3,0),"")</f>
        <v>4.14</v>
      </c>
    </row>
    <row r="118" spans="1:9">
      <c r="A118" s="6">
        <v>39611</v>
      </c>
      <c r="B118" t="str">
        <f>IFERROR(VLOOKUP($A118,原始数据_收盘!$A$4:$G$3460,2,0),"")</f>
        <v/>
      </c>
      <c r="C118" t="str">
        <f>IFERROR(VLOOKUP($A118,原始数据_收盘!$A$4:$G$3460,3,0),"")</f>
        <v/>
      </c>
      <c r="D118" t="str">
        <f>IFERROR(VLOOKUP($A118,原始数据_收盘!$A$4:$G$3460,4,0),"")</f>
        <v/>
      </c>
      <c r="E118" t="str">
        <f>IFERROR(VLOOKUP($A118,原始数据_收盘!$A$4:$G$3460,5,0),"")</f>
        <v/>
      </c>
      <c r="F118" t="str">
        <f>IFERROR(VLOOKUP($A118,原始数据_收盘!$A$4:$G$3460,6,0),"")</f>
        <v/>
      </c>
      <c r="G118" t="str">
        <f>IFERROR(VLOOKUP($A118,原始数据_收盘!$A$4:$G$3460,7,0),"")</f>
        <v/>
      </c>
      <c r="H118">
        <f>IFERROR(VLOOKUP($A118,原始数据_利率互换_FR007_1年!$A$6:$C$4395,2,0),"")</f>
        <v>3.85</v>
      </c>
      <c r="I118">
        <f>IFERROR(VLOOKUP($A118,原始数据_利率互换_FR007_1年!$A$6:$C$4395,3,0),"")</f>
        <v>4.11</v>
      </c>
    </row>
    <row r="119" spans="1:9">
      <c r="A119" s="6">
        <v>39612</v>
      </c>
      <c r="B119" t="str">
        <f>IFERROR(VLOOKUP($A119,原始数据_收盘!$A$4:$G$3460,2,0),"")</f>
        <v/>
      </c>
      <c r="C119" t="str">
        <f>IFERROR(VLOOKUP($A119,原始数据_收盘!$A$4:$G$3460,3,0),"")</f>
        <v/>
      </c>
      <c r="D119" t="str">
        <f>IFERROR(VLOOKUP($A119,原始数据_收盘!$A$4:$G$3460,4,0),"")</f>
        <v/>
      </c>
      <c r="E119" t="str">
        <f>IFERROR(VLOOKUP($A119,原始数据_收盘!$A$4:$G$3460,5,0),"")</f>
        <v/>
      </c>
      <c r="F119" t="str">
        <f>IFERROR(VLOOKUP($A119,原始数据_收盘!$A$4:$G$3460,6,0),"")</f>
        <v/>
      </c>
      <c r="G119" t="str">
        <f>IFERROR(VLOOKUP($A119,原始数据_收盘!$A$4:$G$3460,7,0),"")</f>
        <v/>
      </c>
      <c r="H119">
        <f>IFERROR(VLOOKUP($A119,原始数据_利率互换_FR007_1年!$A$6:$C$4395,2,0),"")</f>
        <v>3.83</v>
      </c>
      <c r="I119">
        <f>IFERROR(VLOOKUP($A119,原始数据_利率互换_FR007_1年!$A$6:$C$4395,3,0),"")</f>
        <v>3.92</v>
      </c>
    </row>
    <row r="120" spans="1:9">
      <c r="A120" s="6">
        <v>39613</v>
      </c>
      <c r="B120" t="str">
        <f>IFERROR(VLOOKUP($A120,原始数据_收盘!$A$4:$G$3460,2,0),"")</f>
        <v/>
      </c>
      <c r="C120" t="str">
        <f>IFERROR(VLOOKUP($A120,原始数据_收盘!$A$4:$G$3460,3,0),"")</f>
        <v/>
      </c>
      <c r="D120" t="str">
        <f>IFERROR(VLOOKUP($A120,原始数据_收盘!$A$4:$G$3460,4,0),"")</f>
        <v/>
      </c>
      <c r="E120" t="str">
        <f>IFERROR(VLOOKUP($A120,原始数据_收盘!$A$4:$G$3460,5,0),"")</f>
        <v/>
      </c>
      <c r="F120" t="str">
        <f>IFERROR(VLOOKUP($A120,原始数据_收盘!$A$4:$G$3460,6,0),"")</f>
        <v/>
      </c>
      <c r="G120" t="str">
        <f>IFERROR(VLOOKUP($A120,原始数据_收盘!$A$4:$G$3460,7,0),"")</f>
        <v/>
      </c>
      <c r="H120" t="str">
        <f>IFERROR(VLOOKUP($A120,原始数据_利率互换_FR007_1年!$A$6:$C$4395,2,0),"")</f>
        <v/>
      </c>
      <c r="I120" t="str">
        <f>IFERROR(VLOOKUP($A120,原始数据_利率互换_FR007_1年!$A$6:$C$4395,3,0),"")</f>
        <v/>
      </c>
    </row>
    <row r="121" spans="1:9">
      <c r="A121" s="6">
        <v>39614</v>
      </c>
      <c r="B121" t="str">
        <f>IFERROR(VLOOKUP($A121,原始数据_收盘!$A$4:$G$3460,2,0),"")</f>
        <v/>
      </c>
      <c r="C121" t="str">
        <f>IFERROR(VLOOKUP($A121,原始数据_收盘!$A$4:$G$3460,3,0),"")</f>
        <v/>
      </c>
      <c r="D121" t="str">
        <f>IFERROR(VLOOKUP($A121,原始数据_收盘!$A$4:$G$3460,4,0),"")</f>
        <v/>
      </c>
      <c r="E121" t="str">
        <f>IFERROR(VLOOKUP($A121,原始数据_收盘!$A$4:$G$3460,5,0),"")</f>
        <v/>
      </c>
      <c r="F121" t="str">
        <f>IFERROR(VLOOKUP($A121,原始数据_收盘!$A$4:$G$3460,6,0),"")</f>
        <v/>
      </c>
      <c r="G121" t="str">
        <f>IFERROR(VLOOKUP($A121,原始数据_收盘!$A$4:$G$3460,7,0),"")</f>
        <v/>
      </c>
      <c r="H121" t="str">
        <f>IFERROR(VLOOKUP($A121,原始数据_利率互换_FR007_1年!$A$6:$C$4395,2,0),"")</f>
        <v/>
      </c>
      <c r="I121" t="str">
        <f>IFERROR(VLOOKUP($A121,原始数据_利率互换_FR007_1年!$A$6:$C$4395,3,0),"")</f>
        <v/>
      </c>
    </row>
    <row r="122" spans="1:9">
      <c r="A122" s="6">
        <v>39615</v>
      </c>
      <c r="B122" t="str">
        <f>IFERROR(VLOOKUP($A122,原始数据_收盘!$A$4:$G$3460,2,0),"")</f>
        <v/>
      </c>
      <c r="C122" t="str">
        <f>IFERROR(VLOOKUP($A122,原始数据_收盘!$A$4:$G$3460,3,0),"")</f>
        <v/>
      </c>
      <c r="D122" t="str">
        <f>IFERROR(VLOOKUP($A122,原始数据_收盘!$A$4:$G$3460,4,0),"")</f>
        <v/>
      </c>
      <c r="E122" t="str">
        <f>IFERROR(VLOOKUP($A122,原始数据_收盘!$A$4:$G$3460,5,0),"")</f>
        <v/>
      </c>
      <c r="F122" t="str">
        <f>IFERROR(VLOOKUP($A122,原始数据_收盘!$A$4:$G$3460,6,0),"")</f>
        <v/>
      </c>
      <c r="G122" t="str">
        <f>IFERROR(VLOOKUP($A122,原始数据_收盘!$A$4:$G$3460,7,0),"")</f>
        <v/>
      </c>
      <c r="H122">
        <f>IFERROR(VLOOKUP($A122,原始数据_利率互换_FR007_1年!$A$6:$C$4395,2,0),"")</f>
        <v>3.88</v>
      </c>
      <c r="I122">
        <f>IFERROR(VLOOKUP($A122,原始数据_利率互换_FR007_1年!$A$6:$C$4395,3,0),"")</f>
        <v>4.14</v>
      </c>
    </row>
    <row r="123" spans="1:9">
      <c r="A123" s="6">
        <v>39616</v>
      </c>
      <c r="B123" t="str">
        <f>IFERROR(VLOOKUP($A123,原始数据_收盘!$A$4:$G$3460,2,0),"")</f>
        <v/>
      </c>
      <c r="C123" t="str">
        <f>IFERROR(VLOOKUP($A123,原始数据_收盘!$A$4:$G$3460,3,0),"")</f>
        <v/>
      </c>
      <c r="D123" t="str">
        <f>IFERROR(VLOOKUP($A123,原始数据_收盘!$A$4:$G$3460,4,0),"")</f>
        <v/>
      </c>
      <c r="E123" t="str">
        <f>IFERROR(VLOOKUP($A123,原始数据_收盘!$A$4:$G$3460,5,0),"")</f>
        <v/>
      </c>
      <c r="F123" t="str">
        <f>IFERROR(VLOOKUP($A123,原始数据_收盘!$A$4:$G$3460,6,0),"")</f>
        <v/>
      </c>
      <c r="G123" t="str">
        <f>IFERROR(VLOOKUP($A123,原始数据_收盘!$A$4:$G$3460,7,0),"")</f>
        <v/>
      </c>
      <c r="H123">
        <f>IFERROR(VLOOKUP($A123,原始数据_利率互换_FR007_1年!$A$6:$C$4395,2,0),"")</f>
        <v>3.81</v>
      </c>
      <c r="I123">
        <f>IFERROR(VLOOKUP($A123,原始数据_利率互换_FR007_1年!$A$6:$C$4395,3,0),"")</f>
        <v>3.8</v>
      </c>
    </row>
    <row r="124" spans="1:9">
      <c r="A124" s="6">
        <v>39617</v>
      </c>
      <c r="B124" t="str">
        <f>IFERROR(VLOOKUP($A124,原始数据_收盘!$A$4:$G$3460,2,0),"")</f>
        <v/>
      </c>
      <c r="C124" t="str">
        <f>IFERROR(VLOOKUP($A124,原始数据_收盘!$A$4:$G$3460,3,0),"")</f>
        <v/>
      </c>
      <c r="D124" t="str">
        <f>IFERROR(VLOOKUP($A124,原始数据_收盘!$A$4:$G$3460,4,0),"")</f>
        <v/>
      </c>
      <c r="E124" t="str">
        <f>IFERROR(VLOOKUP($A124,原始数据_收盘!$A$4:$G$3460,5,0),"")</f>
        <v/>
      </c>
      <c r="F124" t="str">
        <f>IFERROR(VLOOKUP($A124,原始数据_收盘!$A$4:$G$3460,6,0),"")</f>
        <v/>
      </c>
      <c r="G124" t="str">
        <f>IFERROR(VLOOKUP($A124,原始数据_收盘!$A$4:$G$3460,7,0),"")</f>
        <v/>
      </c>
      <c r="H124">
        <f>IFERROR(VLOOKUP($A124,原始数据_利率互换_FR007_1年!$A$6:$C$4395,2,0),"")</f>
        <v>3.79</v>
      </c>
      <c r="I124">
        <f>IFERROR(VLOOKUP($A124,原始数据_利率互换_FR007_1年!$A$6:$C$4395,3,0),"")</f>
        <v>4.07</v>
      </c>
    </row>
    <row r="125" spans="1:9">
      <c r="A125" s="6">
        <v>39618</v>
      </c>
      <c r="B125" t="str">
        <f>IFERROR(VLOOKUP($A125,原始数据_收盘!$A$4:$G$3460,2,0),"")</f>
        <v/>
      </c>
      <c r="C125" t="str">
        <f>IFERROR(VLOOKUP($A125,原始数据_收盘!$A$4:$G$3460,3,0),"")</f>
        <v/>
      </c>
      <c r="D125" t="str">
        <f>IFERROR(VLOOKUP($A125,原始数据_收盘!$A$4:$G$3460,4,0),"")</f>
        <v/>
      </c>
      <c r="E125" t="str">
        <f>IFERROR(VLOOKUP($A125,原始数据_收盘!$A$4:$G$3460,5,0),"")</f>
        <v/>
      </c>
      <c r="F125" t="str">
        <f>IFERROR(VLOOKUP($A125,原始数据_收盘!$A$4:$G$3460,6,0),"")</f>
        <v/>
      </c>
      <c r="G125" t="str">
        <f>IFERROR(VLOOKUP($A125,原始数据_收盘!$A$4:$G$3460,7,0),"")</f>
        <v/>
      </c>
      <c r="H125">
        <f>IFERROR(VLOOKUP($A125,原始数据_利率互换_FR007_1年!$A$6:$C$4395,2,0),"")</f>
        <v>3.78</v>
      </c>
      <c r="I125">
        <f>IFERROR(VLOOKUP($A125,原始数据_利率互换_FR007_1年!$A$6:$C$4395,3,0),"")</f>
        <v>4.1</v>
      </c>
    </row>
    <row r="126" spans="1:9">
      <c r="A126" s="6">
        <v>39619</v>
      </c>
      <c r="B126" t="str">
        <f>IFERROR(VLOOKUP($A126,原始数据_收盘!$A$4:$G$3460,2,0),"")</f>
        <v/>
      </c>
      <c r="C126" t="str">
        <f>IFERROR(VLOOKUP($A126,原始数据_收盘!$A$4:$G$3460,3,0),"")</f>
        <v/>
      </c>
      <c r="D126" t="str">
        <f>IFERROR(VLOOKUP($A126,原始数据_收盘!$A$4:$G$3460,4,0),"")</f>
        <v/>
      </c>
      <c r="E126" t="str">
        <f>IFERROR(VLOOKUP($A126,原始数据_收盘!$A$4:$G$3460,5,0),"")</f>
        <v/>
      </c>
      <c r="F126" t="str">
        <f>IFERROR(VLOOKUP($A126,原始数据_收盘!$A$4:$G$3460,6,0),"")</f>
        <v/>
      </c>
      <c r="G126" t="str">
        <f>IFERROR(VLOOKUP($A126,原始数据_收盘!$A$4:$G$3460,7,0),"")</f>
        <v/>
      </c>
      <c r="H126">
        <f>IFERROR(VLOOKUP($A126,原始数据_利率互换_FR007_1年!$A$6:$C$4395,2,0),"")</f>
        <v>3.83</v>
      </c>
      <c r="I126">
        <f>IFERROR(VLOOKUP($A126,原始数据_利率互换_FR007_1年!$A$6:$C$4395,3,0),"")</f>
        <v>4.2</v>
      </c>
    </row>
    <row r="127" spans="1:9">
      <c r="A127" s="6">
        <v>39620</v>
      </c>
      <c r="B127" t="str">
        <f>IFERROR(VLOOKUP($A127,原始数据_收盘!$A$4:$G$3460,2,0),"")</f>
        <v/>
      </c>
      <c r="C127" t="str">
        <f>IFERROR(VLOOKUP($A127,原始数据_收盘!$A$4:$G$3460,3,0),"")</f>
        <v/>
      </c>
      <c r="D127" t="str">
        <f>IFERROR(VLOOKUP($A127,原始数据_收盘!$A$4:$G$3460,4,0),"")</f>
        <v/>
      </c>
      <c r="E127" t="str">
        <f>IFERROR(VLOOKUP($A127,原始数据_收盘!$A$4:$G$3460,5,0),"")</f>
        <v/>
      </c>
      <c r="F127" t="str">
        <f>IFERROR(VLOOKUP($A127,原始数据_收盘!$A$4:$G$3460,6,0),"")</f>
        <v/>
      </c>
      <c r="G127" t="str">
        <f>IFERROR(VLOOKUP($A127,原始数据_收盘!$A$4:$G$3460,7,0),"")</f>
        <v/>
      </c>
      <c r="H127" t="str">
        <f>IFERROR(VLOOKUP($A127,原始数据_利率互换_FR007_1年!$A$6:$C$4395,2,0),"")</f>
        <v/>
      </c>
      <c r="I127" t="str">
        <f>IFERROR(VLOOKUP($A127,原始数据_利率互换_FR007_1年!$A$6:$C$4395,3,0),"")</f>
        <v/>
      </c>
    </row>
    <row r="128" spans="1:9">
      <c r="A128" s="6">
        <v>39621</v>
      </c>
      <c r="B128" t="str">
        <f>IFERROR(VLOOKUP($A128,原始数据_收盘!$A$4:$G$3460,2,0),"")</f>
        <v/>
      </c>
      <c r="C128" t="str">
        <f>IFERROR(VLOOKUP($A128,原始数据_收盘!$A$4:$G$3460,3,0),"")</f>
        <v/>
      </c>
      <c r="D128" t="str">
        <f>IFERROR(VLOOKUP($A128,原始数据_收盘!$A$4:$G$3460,4,0),"")</f>
        <v/>
      </c>
      <c r="E128" t="str">
        <f>IFERROR(VLOOKUP($A128,原始数据_收盘!$A$4:$G$3460,5,0),"")</f>
        <v/>
      </c>
      <c r="F128" t="str">
        <f>IFERROR(VLOOKUP($A128,原始数据_收盘!$A$4:$G$3460,6,0),"")</f>
        <v/>
      </c>
      <c r="G128" t="str">
        <f>IFERROR(VLOOKUP($A128,原始数据_收盘!$A$4:$G$3460,7,0),"")</f>
        <v/>
      </c>
      <c r="H128" t="str">
        <f>IFERROR(VLOOKUP($A128,原始数据_利率互换_FR007_1年!$A$6:$C$4395,2,0),"")</f>
        <v/>
      </c>
      <c r="I128" t="str">
        <f>IFERROR(VLOOKUP($A128,原始数据_利率互换_FR007_1年!$A$6:$C$4395,3,0),"")</f>
        <v/>
      </c>
    </row>
    <row r="129" spans="1:9">
      <c r="A129" s="6">
        <v>39622</v>
      </c>
      <c r="B129" t="str">
        <f>IFERROR(VLOOKUP($A129,原始数据_收盘!$A$4:$G$3460,2,0),"")</f>
        <v/>
      </c>
      <c r="C129" t="str">
        <f>IFERROR(VLOOKUP($A129,原始数据_收盘!$A$4:$G$3460,3,0),"")</f>
        <v/>
      </c>
      <c r="D129" t="str">
        <f>IFERROR(VLOOKUP($A129,原始数据_收盘!$A$4:$G$3460,4,0),"")</f>
        <v/>
      </c>
      <c r="E129" t="str">
        <f>IFERROR(VLOOKUP($A129,原始数据_收盘!$A$4:$G$3460,5,0),"")</f>
        <v/>
      </c>
      <c r="F129" t="str">
        <f>IFERROR(VLOOKUP($A129,原始数据_收盘!$A$4:$G$3460,6,0),"")</f>
        <v/>
      </c>
      <c r="G129" t="str">
        <f>IFERROR(VLOOKUP($A129,原始数据_收盘!$A$4:$G$3460,7,0),"")</f>
        <v/>
      </c>
      <c r="H129" t="str">
        <f>IFERROR(VLOOKUP($A129,原始数据_利率互换_FR007_1年!$A$6:$C$4395,2,0),"")</f>
        <v/>
      </c>
      <c r="I129" t="str">
        <f>IFERROR(VLOOKUP($A129,原始数据_利率互换_FR007_1年!$A$6:$C$4395,3,0),"")</f>
        <v/>
      </c>
    </row>
    <row r="130" spans="1:9">
      <c r="A130" s="6">
        <v>39623</v>
      </c>
      <c r="B130" t="str">
        <f>IFERROR(VLOOKUP($A130,原始数据_收盘!$A$4:$G$3460,2,0),"")</f>
        <v/>
      </c>
      <c r="C130" t="str">
        <f>IFERROR(VLOOKUP($A130,原始数据_收盘!$A$4:$G$3460,3,0),"")</f>
        <v/>
      </c>
      <c r="D130" t="str">
        <f>IFERROR(VLOOKUP($A130,原始数据_收盘!$A$4:$G$3460,4,0),"")</f>
        <v/>
      </c>
      <c r="E130" t="str">
        <f>IFERROR(VLOOKUP($A130,原始数据_收盘!$A$4:$G$3460,5,0),"")</f>
        <v/>
      </c>
      <c r="F130" t="str">
        <f>IFERROR(VLOOKUP($A130,原始数据_收盘!$A$4:$G$3460,6,0),"")</f>
        <v/>
      </c>
      <c r="G130" t="str">
        <f>IFERROR(VLOOKUP($A130,原始数据_收盘!$A$4:$G$3460,7,0),"")</f>
        <v/>
      </c>
      <c r="H130">
        <f>IFERROR(VLOOKUP($A130,原始数据_利率互换_FR007_1年!$A$6:$C$4395,2,0),"")</f>
        <v>3.77</v>
      </c>
      <c r="I130">
        <f>IFERROR(VLOOKUP($A130,原始数据_利率互换_FR007_1年!$A$6:$C$4395,3,0),"")</f>
        <v>3.71</v>
      </c>
    </row>
    <row r="131" spans="1:9">
      <c r="A131" s="6">
        <v>39624</v>
      </c>
      <c r="B131" t="str">
        <f>IFERROR(VLOOKUP($A131,原始数据_收盘!$A$4:$G$3460,2,0),"")</f>
        <v/>
      </c>
      <c r="C131" t="str">
        <f>IFERROR(VLOOKUP($A131,原始数据_收盘!$A$4:$G$3460,3,0),"")</f>
        <v/>
      </c>
      <c r="D131" t="str">
        <f>IFERROR(VLOOKUP($A131,原始数据_收盘!$A$4:$G$3460,4,0),"")</f>
        <v/>
      </c>
      <c r="E131" t="str">
        <f>IFERROR(VLOOKUP($A131,原始数据_收盘!$A$4:$G$3460,5,0),"")</f>
        <v/>
      </c>
      <c r="F131" t="str">
        <f>IFERROR(VLOOKUP($A131,原始数据_收盘!$A$4:$G$3460,6,0),"")</f>
        <v/>
      </c>
      <c r="G131" t="str">
        <f>IFERROR(VLOOKUP($A131,原始数据_收盘!$A$4:$G$3460,7,0),"")</f>
        <v/>
      </c>
      <c r="H131">
        <f>IFERROR(VLOOKUP($A131,原始数据_利率互换_FR007_1年!$A$6:$C$4395,2,0),"")</f>
        <v>3.81</v>
      </c>
      <c r="I131">
        <f>IFERROR(VLOOKUP($A131,原始数据_利率互换_FR007_1年!$A$6:$C$4395,3,0),"")</f>
        <v>4.2</v>
      </c>
    </row>
    <row r="132" spans="1:9">
      <c r="A132" s="6">
        <v>39625</v>
      </c>
      <c r="B132" t="str">
        <f>IFERROR(VLOOKUP($A132,原始数据_收盘!$A$4:$G$3460,2,0),"")</f>
        <v/>
      </c>
      <c r="C132" t="str">
        <f>IFERROR(VLOOKUP($A132,原始数据_收盘!$A$4:$G$3460,3,0),"")</f>
        <v/>
      </c>
      <c r="D132" t="str">
        <f>IFERROR(VLOOKUP($A132,原始数据_收盘!$A$4:$G$3460,4,0),"")</f>
        <v/>
      </c>
      <c r="E132" t="str">
        <f>IFERROR(VLOOKUP($A132,原始数据_收盘!$A$4:$G$3460,5,0),"")</f>
        <v/>
      </c>
      <c r="F132" t="str">
        <f>IFERROR(VLOOKUP($A132,原始数据_收盘!$A$4:$G$3460,6,0),"")</f>
        <v/>
      </c>
      <c r="G132" t="str">
        <f>IFERROR(VLOOKUP($A132,原始数据_收盘!$A$4:$G$3460,7,0),"")</f>
        <v/>
      </c>
      <c r="H132">
        <f>IFERROR(VLOOKUP($A132,原始数据_利率互换_FR007_1年!$A$6:$C$4395,2,0),"")</f>
        <v>3.82</v>
      </c>
      <c r="I132">
        <f>IFERROR(VLOOKUP($A132,原始数据_利率互换_FR007_1年!$A$6:$C$4395,3,0),"")</f>
        <v>4.37</v>
      </c>
    </row>
    <row r="133" spans="1:9">
      <c r="A133" s="6">
        <v>39626</v>
      </c>
      <c r="B133" t="str">
        <f>IFERROR(VLOOKUP($A133,原始数据_收盘!$A$4:$G$3460,2,0),"")</f>
        <v/>
      </c>
      <c r="C133" t="str">
        <f>IFERROR(VLOOKUP($A133,原始数据_收盘!$A$4:$G$3460,3,0),"")</f>
        <v/>
      </c>
      <c r="D133" t="str">
        <f>IFERROR(VLOOKUP($A133,原始数据_收盘!$A$4:$G$3460,4,0),"")</f>
        <v/>
      </c>
      <c r="E133" t="str">
        <f>IFERROR(VLOOKUP($A133,原始数据_收盘!$A$4:$G$3460,5,0),"")</f>
        <v/>
      </c>
      <c r="F133" t="str">
        <f>IFERROR(VLOOKUP($A133,原始数据_收盘!$A$4:$G$3460,6,0),"")</f>
        <v/>
      </c>
      <c r="G133" t="str">
        <f>IFERROR(VLOOKUP($A133,原始数据_收盘!$A$4:$G$3460,7,0),"")</f>
        <v/>
      </c>
      <c r="H133">
        <f>IFERROR(VLOOKUP($A133,原始数据_利率互换_FR007_1年!$A$6:$C$4395,2,0),"")</f>
        <v>3.83</v>
      </c>
      <c r="I133">
        <f>IFERROR(VLOOKUP($A133,原始数据_利率互换_FR007_1年!$A$6:$C$4395,3,0),"")</f>
        <v>4.3</v>
      </c>
    </row>
    <row r="134" spans="1:9">
      <c r="A134" s="6">
        <v>39627</v>
      </c>
      <c r="B134" t="str">
        <f>IFERROR(VLOOKUP($A134,原始数据_收盘!$A$4:$G$3460,2,0),"")</f>
        <v/>
      </c>
      <c r="C134" t="str">
        <f>IFERROR(VLOOKUP($A134,原始数据_收盘!$A$4:$G$3460,3,0),"")</f>
        <v/>
      </c>
      <c r="D134" t="str">
        <f>IFERROR(VLOOKUP($A134,原始数据_收盘!$A$4:$G$3460,4,0),"")</f>
        <v/>
      </c>
      <c r="E134" t="str">
        <f>IFERROR(VLOOKUP($A134,原始数据_收盘!$A$4:$G$3460,5,0),"")</f>
        <v/>
      </c>
      <c r="F134" t="str">
        <f>IFERROR(VLOOKUP($A134,原始数据_收盘!$A$4:$G$3460,6,0),"")</f>
        <v/>
      </c>
      <c r="G134" t="str">
        <f>IFERROR(VLOOKUP($A134,原始数据_收盘!$A$4:$G$3460,7,0),"")</f>
        <v/>
      </c>
      <c r="H134" t="str">
        <f>IFERROR(VLOOKUP($A134,原始数据_利率互换_FR007_1年!$A$6:$C$4395,2,0),"")</f>
        <v/>
      </c>
      <c r="I134" t="str">
        <f>IFERROR(VLOOKUP($A134,原始数据_利率互换_FR007_1年!$A$6:$C$4395,3,0),"")</f>
        <v/>
      </c>
    </row>
    <row r="135" spans="1:9">
      <c r="A135" s="6">
        <v>39628</v>
      </c>
      <c r="B135" t="str">
        <f>IFERROR(VLOOKUP($A135,原始数据_收盘!$A$4:$G$3460,2,0),"")</f>
        <v/>
      </c>
      <c r="C135" t="str">
        <f>IFERROR(VLOOKUP($A135,原始数据_收盘!$A$4:$G$3460,3,0),"")</f>
        <v/>
      </c>
      <c r="D135" t="str">
        <f>IFERROR(VLOOKUP($A135,原始数据_收盘!$A$4:$G$3460,4,0),"")</f>
        <v/>
      </c>
      <c r="E135" t="str">
        <f>IFERROR(VLOOKUP($A135,原始数据_收盘!$A$4:$G$3460,5,0),"")</f>
        <v/>
      </c>
      <c r="F135" t="str">
        <f>IFERROR(VLOOKUP($A135,原始数据_收盘!$A$4:$G$3460,6,0),"")</f>
        <v/>
      </c>
      <c r="G135" t="str">
        <f>IFERROR(VLOOKUP($A135,原始数据_收盘!$A$4:$G$3460,7,0),"")</f>
        <v/>
      </c>
      <c r="H135" t="str">
        <f>IFERROR(VLOOKUP($A135,原始数据_利率互换_FR007_1年!$A$6:$C$4395,2,0),"")</f>
        <v/>
      </c>
      <c r="I135" t="str">
        <f>IFERROR(VLOOKUP($A135,原始数据_利率互换_FR007_1年!$A$6:$C$4395,3,0),"")</f>
        <v/>
      </c>
    </row>
    <row r="136" spans="1:9">
      <c r="A136" s="6">
        <v>39629</v>
      </c>
      <c r="B136" t="str">
        <f>IFERROR(VLOOKUP($A136,原始数据_收盘!$A$4:$G$3460,2,0),"")</f>
        <v/>
      </c>
      <c r="C136" t="str">
        <f>IFERROR(VLOOKUP($A136,原始数据_收盘!$A$4:$G$3460,3,0),"")</f>
        <v/>
      </c>
      <c r="D136" t="str">
        <f>IFERROR(VLOOKUP($A136,原始数据_收盘!$A$4:$G$3460,4,0),"")</f>
        <v/>
      </c>
      <c r="E136" t="str">
        <f>IFERROR(VLOOKUP($A136,原始数据_收盘!$A$4:$G$3460,5,0),"")</f>
        <v/>
      </c>
      <c r="F136" t="str">
        <f>IFERROR(VLOOKUP($A136,原始数据_收盘!$A$4:$G$3460,6,0),"")</f>
        <v/>
      </c>
      <c r="G136" t="str">
        <f>IFERROR(VLOOKUP($A136,原始数据_收盘!$A$4:$G$3460,7,0),"")</f>
        <v/>
      </c>
      <c r="H136">
        <f>IFERROR(VLOOKUP($A136,原始数据_利率互换_FR007_1年!$A$6:$C$4395,2,0),"")</f>
        <v>3.805</v>
      </c>
      <c r="I136">
        <f>IFERROR(VLOOKUP($A136,原始数据_利率互换_FR007_1年!$A$6:$C$4395,3,0),"")</f>
        <v>0</v>
      </c>
    </row>
    <row r="137" spans="1:9">
      <c r="A137" s="6">
        <v>39630</v>
      </c>
      <c r="B137" t="str">
        <f>IFERROR(VLOOKUP($A137,原始数据_收盘!$A$4:$G$3460,2,0),"")</f>
        <v/>
      </c>
      <c r="C137" t="str">
        <f>IFERROR(VLOOKUP($A137,原始数据_收盘!$A$4:$G$3460,3,0),"")</f>
        <v/>
      </c>
      <c r="D137" t="str">
        <f>IFERROR(VLOOKUP($A137,原始数据_收盘!$A$4:$G$3460,4,0),"")</f>
        <v/>
      </c>
      <c r="E137" t="str">
        <f>IFERROR(VLOOKUP($A137,原始数据_收盘!$A$4:$G$3460,5,0),"")</f>
        <v/>
      </c>
      <c r="F137" t="str">
        <f>IFERROR(VLOOKUP($A137,原始数据_收盘!$A$4:$G$3460,6,0),"")</f>
        <v/>
      </c>
      <c r="G137" t="str">
        <f>IFERROR(VLOOKUP($A137,原始数据_收盘!$A$4:$G$3460,7,0),"")</f>
        <v/>
      </c>
      <c r="H137">
        <f>IFERROR(VLOOKUP($A137,原始数据_利率互换_FR007_1年!$A$6:$C$4395,2,0),"")</f>
        <v>3.72</v>
      </c>
      <c r="I137">
        <f>IFERROR(VLOOKUP($A137,原始数据_利率互换_FR007_1年!$A$6:$C$4395,3,0),"")</f>
        <v>4.31</v>
      </c>
    </row>
    <row r="138" spans="1:9">
      <c r="A138" s="6">
        <v>39631</v>
      </c>
      <c r="B138" t="str">
        <f>IFERROR(VLOOKUP($A138,原始数据_收盘!$A$4:$G$3460,2,0),"")</f>
        <v/>
      </c>
      <c r="C138" t="str">
        <f>IFERROR(VLOOKUP($A138,原始数据_收盘!$A$4:$G$3460,3,0),"")</f>
        <v/>
      </c>
      <c r="D138" t="str">
        <f>IFERROR(VLOOKUP($A138,原始数据_收盘!$A$4:$G$3460,4,0),"")</f>
        <v/>
      </c>
      <c r="E138" t="str">
        <f>IFERROR(VLOOKUP($A138,原始数据_收盘!$A$4:$G$3460,5,0),"")</f>
        <v/>
      </c>
      <c r="F138" t="str">
        <f>IFERROR(VLOOKUP($A138,原始数据_收盘!$A$4:$G$3460,6,0),"")</f>
        <v/>
      </c>
      <c r="G138" t="str">
        <f>IFERROR(VLOOKUP($A138,原始数据_收盘!$A$4:$G$3460,7,0),"")</f>
        <v/>
      </c>
      <c r="H138">
        <f>IFERROR(VLOOKUP($A138,原始数据_利率互换_FR007_1年!$A$6:$C$4395,2,0),"")</f>
        <v>3.76</v>
      </c>
      <c r="I138">
        <f>IFERROR(VLOOKUP($A138,原始数据_利率互换_FR007_1年!$A$6:$C$4395,3,0),"")</f>
        <v>4.28</v>
      </c>
    </row>
    <row r="139" spans="1:9">
      <c r="A139" s="6">
        <v>39632</v>
      </c>
      <c r="B139" t="str">
        <f>IFERROR(VLOOKUP($A139,原始数据_收盘!$A$4:$G$3460,2,0),"")</f>
        <v/>
      </c>
      <c r="C139" t="str">
        <f>IFERROR(VLOOKUP($A139,原始数据_收盘!$A$4:$G$3460,3,0),"")</f>
        <v/>
      </c>
      <c r="D139" t="str">
        <f>IFERROR(VLOOKUP($A139,原始数据_收盘!$A$4:$G$3460,4,0),"")</f>
        <v/>
      </c>
      <c r="E139" t="str">
        <f>IFERROR(VLOOKUP($A139,原始数据_收盘!$A$4:$G$3460,5,0),"")</f>
        <v/>
      </c>
      <c r="F139" t="str">
        <f>IFERROR(VLOOKUP($A139,原始数据_收盘!$A$4:$G$3460,6,0),"")</f>
        <v/>
      </c>
      <c r="G139" t="str">
        <f>IFERROR(VLOOKUP($A139,原始数据_收盘!$A$4:$G$3460,7,0),"")</f>
        <v/>
      </c>
      <c r="H139">
        <f>IFERROR(VLOOKUP($A139,原始数据_利率互换_FR007_1年!$A$6:$C$4395,2,0),"")</f>
        <v>3.78</v>
      </c>
      <c r="I139">
        <f>IFERROR(VLOOKUP($A139,原始数据_利率互换_FR007_1年!$A$6:$C$4395,3,0),"")</f>
        <v>4.32</v>
      </c>
    </row>
    <row r="140" spans="1:9">
      <c r="A140" s="6">
        <v>39633</v>
      </c>
      <c r="B140" t="str">
        <f>IFERROR(VLOOKUP($A140,原始数据_收盘!$A$4:$G$3460,2,0),"")</f>
        <v/>
      </c>
      <c r="C140" t="str">
        <f>IFERROR(VLOOKUP($A140,原始数据_收盘!$A$4:$G$3460,3,0),"")</f>
        <v/>
      </c>
      <c r="D140" t="str">
        <f>IFERROR(VLOOKUP($A140,原始数据_收盘!$A$4:$G$3460,4,0),"")</f>
        <v/>
      </c>
      <c r="E140" t="str">
        <f>IFERROR(VLOOKUP($A140,原始数据_收盘!$A$4:$G$3460,5,0),"")</f>
        <v/>
      </c>
      <c r="F140" t="str">
        <f>IFERROR(VLOOKUP($A140,原始数据_收盘!$A$4:$G$3460,6,0),"")</f>
        <v/>
      </c>
      <c r="G140" t="str">
        <f>IFERROR(VLOOKUP($A140,原始数据_收盘!$A$4:$G$3460,7,0),"")</f>
        <v/>
      </c>
      <c r="H140">
        <f>IFERROR(VLOOKUP($A140,原始数据_利率互换_FR007_1年!$A$6:$C$4395,2,0),"")</f>
        <v>3.72</v>
      </c>
      <c r="I140">
        <f>IFERROR(VLOOKUP($A140,原始数据_利率互换_FR007_1年!$A$6:$C$4395,3,0),"")</f>
        <v>4.38</v>
      </c>
    </row>
    <row r="141" spans="1:9">
      <c r="A141" s="6">
        <v>39634</v>
      </c>
      <c r="B141" t="str">
        <f>IFERROR(VLOOKUP($A141,原始数据_收盘!$A$4:$G$3460,2,0),"")</f>
        <v/>
      </c>
      <c r="C141" t="str">
        <f>IFERROR(VLOOKUP($A141,原始数据_收盘!$A$4:$G$3460,3,0),"")</f>
        <v/>
      </c>
      <c r="D141" t="str">
        <f>IFERROR(VLOOKUP($A141,原始数据_收盘!$A$4:$G$3460,4,0),"")</f>
        <v/>
      </c>
      <c r="E141" t="str">
        <f>IFERROR(VLOOKUP($A141,原始数据_收盘!$A$4:$G$3460,5,0),"")</f>
        <v/>
      </c>
      <c r="F141" t="str">
        <f>IFERROR(VLOOKUP($A141,原始数据_收盘!$A$4:$G$3460,6,0),"")</f>
        <v/>
      </c>
      <c r="G141" t="str">
        <f>IFERROR(VLOOKUP($A141,原始数据_收盘!$A$4:$G$3460,7,0),"")</f>
        <v/>
      </c>
      <c r="H141" t="str">
        <f>IFERROR(VLOOKUP($A141,原始数据_利率互换_FR007_1年!$A$6:$C$4395,2,0),"")</f>
        <v/>
      </c>
      <c r="I141" t="str">
        <f>IFERROR(VLOOKUP($A141,原始数据_利率互换_FR007_1年!$A$6:$C$4395,3,0),"")</f>
        <v/>
      </c>
    </row>
    <row r="142" spans="1:9">
      <c r="A142" s="6">
        <v>39635</v>
      </c>
      <c r="B142" t="str">
        <f>IFERROR(VLOOKUP($A142,原始数据_收盘!$A$4:$G$3460,2,0),"")</f>
        <v/>
      </c>
      <c r="C142" t="str">
        <f>IFERROR(VLOOKUP($A142,原始数据_收盘!$A$4:$G$3460,3,0),"")</f>
        <v/>
      </c>
      <c r="D142" t="str">
        <f>IFERROR(VLOOKUP($A142,原始数据_收盘!$A$4:$G$3460,4,0),"")</f>
        <v/>
      </c>
      <c r="E142" t="str">
        <f>IFERROR(VLOOKUP($A142,原始数据_收盘!$A$4:$G$3460,5,0),"")</f>
        <v/>
      </c>
      <c r="F142" t="str">
        <f>IFERROR(VLOOKUP($A142,原始数据_收盘!$A$4:$G$3460,6,0),"")</f>
        <v/>
      </c>
      <c r="G142" t="str">
        <f>IFERROR(VLOOKUP($A142,原始数据_收盘!$A$4:$G$3460,7,0),"")</f>
        <v/>
      </c>
      <c r="H142" t="str">
        <f>IFERROR(VLOOKUP($A142,原始数据_利率互换_FR007_1年!$A$6:$C$4395,2,0),"")</f>
        <v/>
      </c>
      <c r="I142" t="str">
        <f>IFERROR(VLOOKUP($A142,原始数据_利率互换_FR007_1年!$A$6:$C$4395,3,0),"")</f>
        <v/>
      </c>
    </row>
    <row r="143" spans="1:9">
      <c r="A143" s="6">
        <v>39636</v>
      </c>
      <c r="B143" t="str">
        <f>IFERROR(VLOOKUP($A143,原始数据_收盘!$A$4:$G$3460,2,0),"")</f>
        <v/>
      </c>
      <c r="C143" t="str">
        <f>IFERROR(VLOOKUP($A143,原始数据_收盘!$A$4:$G$3460,3,0),"")</f>
        <v/>
      </c>
      <c r="D143" t="str">
        <f>IFERROR(VLOOKUP($A143,原始数据_收盘!$A$4:$G$3460,4,0),"")</f>
        <v/>
      </c>
      <c r="E143" t="str">
        <f>IFERROR(VLOOKUP($A143,原始数据_收盘!$A$4:$G$3460,5,0),"")</f>
        <v/>
      </c>
      <c r="F143" t="str">
        <f>IFERROR(VLOOKUP($A143,原始数据_收盘!$A$4:$G$3460,6,0),"")</f>
        <v/>
      </c>
      <c r="G143" t="str">
        <f>IFERROR(VLOOKUP($A143,原始数据_收盘!$A$4:$G$3460,7,0),"")</f>
        <v/>
      </c>
      <c r="H143">
        <f>IFERROR(VLOOKUP($A143,原始数据_利率互换_FR007_1年!$A$6:$C$4395,2,0),"")</f>
        <v>3.68</v>
      </c>
      <c r="I143">
        <f>IFERROR(VLOOKUP($A143,原始数据_利率互换_FR007_1年!$A$6:$C$4395,3,0),"")</f>
        <v>0</v>
      </c>
    </row>
    <row r="144" spans="1:9">
      <c r="A144" s="6">
        <v>39637</v>
      </c>
      <c r="B144" t="str">
        <f>IFERROR(VLOOKUP($A144,原始数据_收盘!$A$4:$G$3460,2,0),"")</f>
        <v/>
      </c>
      <c r="C144" t="str">
        <f>IFERROR(VLOOKUP($A144,原始数据_收盘!$A$4:$G$3460,3,0),"")</f>
        <v/>
      </c>
      <c r="D144" t="str">
        <f>IFERROR(VLOOKUP($A144,原始数据_收盘!$A$4:$G$3460,4,0),"")</f>
        <v/>
      </c>
      <c r="E144" t="str">
        <f>IFERROR(VLOOKUP($A144,原始数据_收盘!$A$4:$G$3460,5,0),"")</f>
        <v/>
      </c>
      <c r="F144" t="str">
        <f>IFERROR(VLOOKUP($A144,原始数据_收盘!$A$4:$G$3460,6,0),"")</f>
        <v/>
      </c>
      <c r="G144" t="str">
        <f>IFERROR(VLOOKUP($A144,原始数据_收盘!$A$4:$G$3460,7,0),"")</f>
        <v/>
      </c>
      <c r="H144">
        <f>IFERROR(VLOOKUP($A144,原始数据_利率互换_FR007_1年!$A$6:$C$4395,2,0),"")</f>
        <v>3.56</v>
      </c>
      <c r="I144">
        <f>IFERROR(VLOOKUP($A144,原始数据_利率互换_FR007_1年!$A$6:$C$4395,3,0),"")</f>
        <v>4.05</v>
      </c>
    </row>
    <row r="145" spans="1:9">
      <c r="A145" s="6">
        <v>39638</v>
      </c>
      <c r="B145" t="str">
        <f>IFERROR(VLOOKUP($A145,原始数据_收盘!$A$4:$G$3460,2,0),"")</f>
        <v/>
      </c>
      <c r="C145" t="str">
        <f>IFERROR(VLOOKUP($A145,原始数据_收盘!$A$4:$G$3460,3,0),"")</f>
        <v/>
      </c>
      <c r="D145" t="str">
        <f>IFERROR(VLOOKUP($A145,原始数据_收盘!$A$4:$G$3460,4,0),"")</f>
        <v/>
      </c>
      <c r="E145" t="str">
        <f>IFERROR(VLOOKUP($A145,原始数据_收盘!$A$4:$G$3460,5,0),"")</f>
        <v/>
      </c>
      <c r="F145" t="str">
        <f>IFERROR(VLOOKUP($A145,原始数据_收盘!$A$4:$G$3460,6,0),"")</f>
        <v/>
      </c>
      <c r="G145" t="str">
        <f>IFERROR(VLOOKUP($A145,原始数据_收盘!$A$4:$G$3460,7,0),"")</f>
        <v/>
      </c>
      <c r="H145">
        <f>IFERROR(VLOOKUP($A145,原始数据_利率互换_FR007_1年!$A$6:$C$4395,2,0),"")</f>
        <v>3.56</v>
      </c>
      <c r="I145">
        <f>IFERROR(VLOOKUP($A145,原始数据_利率互换_FR007_1年!$A$6:$C$4395,3,0),"")</f>
        <v>4</v>
      </c>
    </row>
    <row r="146" spans="1:9">
      <c r="A146" s="6">
        <v>39639</v>
      </c>
      <c r="B146" t="str">
        <f>IFERROR(VLOOKUP($A146,原始数据_收盘!$A$4:$G$3460,2,0),"")</f>
        <v/>
      </c>
      <c r="C146" t="str">
        <f>IFERROR(VLOOKUP($A146,原始数据_收盘!$A$4:$G$3460,3,0),"")</f>
        <v/>
      </c>
      <c r="D146" t="str">
        <f>IFERROR(VLOOKUP($A146,原始数据_收盘!$A$4:$G$3460,4,0),"")</f>
        <v/>
      </c>
      <c r="E146" t="str">
        <f>IFERROR(VLOOKUP($A146,原始数据_收盘!$A$4:$G$3460,5,0),"")</f>
        <v/>
      </c>
      <c r="F146" t="str">
        <f>IFERROR(VLOOKUP($A146,原始数据_收盘!$A$4:$G$3460,6,0),"")</f>
        <v/>
      </c>
      <c r="G146" t="str">
        <f>IFERROR(VLOOKUP($A146,原始数据_收盘!$A$4:$G$3460,7,0),"")</f>
        <v/>
      </c>
      <c r="H146">
        <f>IFERROR(VLOOKUP($A146,原始数据_利率互换_FR007_1年!$A$6:$C$4395,2,0),"")</f>
        <v>3.51</v>
      </c>
      <c r="I146">
        <f>IFERROR(VLOOKUP($A146,原始数据_利率互换_FR007_1年!$A$6:$C$4395,3,0),"")</f>
        <v>3.93</v>
      </c>
    </row>
    <row r="147" spans="1:9">
      <c r="A147" s="6">
        <v>39640</v>
      </c>
      <c r="B147" t="str">
        <f>IFERROR(VLOOKUP($A147,原始数据_收盘!$A$4:$G$3460,2,0),"")</f>
        <v/>
      </c>
      <c r="C147" t="str">
        <f>IFERROR(VLOOKUP($A147,原始数据_收盘!$A$4:$G$3460,3,0),"")</f>
        <v/>
      </c>
      <c r="D147" t="str">
        <f>IFERROR(VLOOKUP($A147,原始数据_收盘!$A$4:$G$3460,4,0),"")</f>
        <v/>
      </c>
      <c r="E147" t="str">
        <f>IFERROR(VLOOKUP($A147,原始数据_收盘!$A$4:$G$3460,5,0),"")</f>
        <v/>
      </c>
      <c r="F147" t="str">
        <f>IFERROR(VLOOKUP($A147,原始数据_收盘!$A$4:$G$3460,6,0),"")</f>
        <v/>
      </c>
      <c r="G147" t="str">
        <f>IFERROR(VLOOKUP($A147,原始数据_收盘!$A$4:$G$3460,7,0),"")</f>
        <v/>
      </c>
      <c r="H147">
        <f>IFERROR(VLOOKUP($A147,原始数据_利率互换_FR007_1年!$A$6:$C$4395,2,0),"")</f>
        <v>3.46</v>
      </c>
      <c r="I147">
        <f>IFERROR(VLOOKUP($A147,原始数据_利率互换_FR007_1年!$A$6:$C$4395,3,0),"")</f>
        <v>3.88</v>
      </c>
    </row>
    <row r="148" spans="1:9">
      <c r="A148" s="6">
        <v>39641</v>
      </c>
      <c r="B148" t="str">
        <f>IFERROR(VLOOKUP($A148,原始数据_收盘!$A$4:$G$3460,2,0),"")</f>
        <v/>
      </c>
      <c r="C148" t="str">
        <f>IFERROR(VLOOKUP($A148,原始数据_收盘!$A$4:$G$3460,3,0),"")</f>
        <v/>
      </c>
      <c r="D148" t="str">
        <f>IFERROR(VLOOKUP($A148,原始数据_收盘!$A$4:$G$3460,4,0),"")</f>
        <v/>
      </c>
      <c r="E148" t="str">
        <f>IFERROR(VLOOKUP($A148,原始数据_收盘!$A$4:$G$3460,5,0),"")</f>
        <v/>
      </c>
      <c r="F148" t="str">
        <f>IFERROR(VLOOKUP($A148,原始数据_收盘!$A$4:$G$3460,6,0),"")</f>
        <v/>
      </c>
      <c r="G148" t="str">
        <f>IFERROR(VLOOKUP($A148,原始数据_收盘!$A$4:$G$3460,7,0),"")</f>
        <v/>
      </c>
      <c r="H148" t="str">
        <f>IFERROR(VLOOKUP($A148,原始数据_利率互换_FR007_1年!$A$6:$C$4395,2,0),"")</f>
        <v/>
      </c>
      <c r="I148" t="str">
        <f>IFERROR(VLOOKUP($A148,原始数据_利率互换_FR007_1年!$A$6:$C$4395,3,0),"")</f>
        <v/>
      </c>
    </row>
    <row r="149" spans="1:9">
      <c r="A149" s="6">
        <v>39642</v>
      </c>
      <c r="B149" t="str">
        <f>IFERROR(VLOOKUP($A149,原始数据_收盘!$A$4:$G$3460,2,0),"")</f>
        <v/>
      </c>
      <c r="C149" t="str">
        <f>IFERROR(VLOOKUP($A149,原始数据_收盘!$A$4:$G$3460,3,0),"")</f>
        <v/>
      </c>
      <c r="D149" t="str">
        <f>IFERROR(VLOOKUP($A149,原始数据_收盘!$A$4:$G$3460,4,0),"")</f>
        <v/>
      </c>
      <c r="E149" t="str">
        <f>IFERROR(VLOOKUP($A149,原始数据_收盘!$A$4:$G$3460,5,0),"")</f>
        <v/>
      </c>
      <c r="F149" t="str">
        <f>IFERROR(VLOOKUP($A149,原始数据_收盘!$A$4:$G$3460,6,0),"")</f>
        <v/>
      </c>
      <c r="G149" t="str">
        <f>IFERROR(VLOOKUP($A149,原始数据_收盘!$A$4:$G$3460,7,0),"")</f>
        <v/>
      </c>
      <c r="H149" t="str">
        <f>IFERROR(VLOOKUP($A149,原始数据_利率互换_FR007_1年!$A$6:$C$4395,2,0),"")</f>
        <v/>
      </c>
      <c r="I149" t="str">
        <f>IFERROR(VLOOKUP($A149,原始数据_利率互换_FR007_1年!$A$6:$C$4395,3,0),"")</f>
        <v/>
      </c>
    </row>
    <row r="150" spans="1:9">
      <c r="A150" s="6">
        <v>39643</v>
      </c>
      <c r="B150" t="str">
        <f>IFERROR(VLOOKUP($A150,原始数据_收盘!$A$4:$G$3460,2,0),"")</f>
        <v/>
      </c>
      <c r="C150" t="str">
        <f>IFERROR(VLOOKUP($A150,原始数据_收盘!$A$4:$G$3460,3,0),"")</f>
        <v/>
      </c>
      <c r="D150" t="str">
        <f>IFERROR(VLOOKUP($A150,原始数据_收盘!$A$4:$G$3460,4,0),"")</f>
        <v/>
      </c>
      <c r="E150" t="str">
        <f>IFERROR(VLOOKUP($A150,原始数据_收盘!$A$4:$G$3460,5,0),"")</f>
        <v/>
      </c>
      <c r="F150" t="str">
        <f>IFERROR(VLOOKUP($A150,原始数据_收盘!$A$4:$G$3460,6,0),"")</f>
        <v/>
      </c>
      <c r="G150" t="str">
        <f>IFERROR(VLOOKUP($A150,原始数据_收盘!$A$4:$G$3460,7,0),"")</f>
        <v/>
      </c>
      <c r="H150">
        <f>IFERROR(VLOOKUP($A150,原始数据_利率互换_FR007_1年!$A$6:$C$4395,2,0),"")</f>
        <v>3.49</v>
      </c>
      <c r="I150">
        <f>IFERROR(VLOOKUP($A150,原始数据_利率互换_FR007_1年!$A$6:$C$4395,3,0),"")</f>
        <v>3.94</v>
      </c>
    </row>
    <row r="151" spans="1:9">
      <c r="A151" s="6">
        <v>39644</v>
      </c>
      <c r="B151" t="str">
        <f>IFERROR(VLOOKUP($A151,原始数据_收盘!$A$4:$G$3460,2,0),"")</f>
        <v/>
      </c>
      <c r="C151" t="str">
        <f>IFERROR(VLOOKUP($A151,原始数据_收盘!$A$4:$G$3460,3,0),"")</f>
        <v/>
      </c>
      <c r="D151" t="str">
        <f>IFERROR(VLOOKUP($A151,原始数据_收盘!$A$4:$G$3460,4,0),"")</f>
        <v/>
      </c>
      <c r="E151" t="str">
        <f>IFERROR(VLOOKUP($A151,原始数据_收盘!$A$4:$G$3460,5,0),"")</f>
        <v/>
      </c>
      <c r="F151" t="str">
        <f>IFERROR(VLOOKUP($A151,原始数据_收盘!$A$4:$G$3460,6,0),"")</f>
        <v/>
      </c>
      <c r="G151" t="str">
        <f>IFERROR(VLOOKUP($A151,原始数据_收盘!$A$4:$G$3460,7,0),"")</f>
        <v/>
      </c>
      <c r="H151">
        <f>IFERROR(VLOOKUP($A151,原始数据_利率互换_FR007_1年!$A$6:$C$4395,2,0),"")</f>
        <v>3.46</v>
      </c>
      <c r="I151">
        <f>IFERROR(VLOOKUP($A151,原始数据_利率互换_FR007_1年!$A$6:$C$4395,3,0),"")</f>
        <v>0</v>
      </c>
    </row>
    <row r="152" spans="1:9">
      <c r="A152" s="6">
        <v>39645</v>
      </c>
      <c r="B152" t="str">
        <f>IFERROR(VLOOKUP($A152,原始数据_收盘!$A$4:$G$3460,2,0),"")</f>
        <v/>
      </c>
      <c r="C152" t="str">
        <f>IFERROR(VLOOKUP($A152,原始数据_收盘!$A$4:$G$3460,3,0),"")</f>
        <v/>
      </c>
      <c r="D152" t="str">
        <f>IFERROR(VLOOKUP($A152,原始数据_收盘!$A$4:$G$3460,4,0),"")</f>
        <v/>
      </c>
      <c r="E152" t="str">
        <f>IFERROR(VLOOKUP($A152,原始数据_收盘!$A$4:$G$3460,5,0),"")</f>
        <v/>
      </c>
      <c r="F152" t="str">
        <f>IFERROR(VLOOKUP($A152,原始数据_收盘!$A$4:$G$3460,6,0),"")</f>
        <v/>
      </c>
      <c r="G152" t="str">
        <f>IFERROR(VLOOKUP($A152,原始数据_收盘!$A$4:$G$3460,7,0),"")</f>
        <v/>
      </c>
      <c r="H152">
        <f>IFERROR(VLOOKUP($A152,原始数据_利率互换_FR007_1年!$A$6:$C$4395,2,0),"")</f>
        <v>3.45</v>
      </c>
      <c r="I152">
        <f>IFERROR(VLOOKUP($A152,原始数据_利率互换_FR007_1年!$A$6:$C$4395,3,0),"")</f>
        <v>3.88</v>
      </c>
    </row>
    <row r="153" spans="1:9">
      <c r="A153" s="6">
        <v>39646</v>
      </c>
      <c r="B153" t="str">
        <f>IFERROR(VLOOKUP($A153,原始数据_收盘!$A$4:$G$3460,2,0),"")</f>
        <v/>
      </c>
      <c r="C153" t="str">
        <f>IFERROR(VLOOKUP($A153,原始数据_收盘!$A$4:$G$3460,3,0),"")</f>
        <v/>
      </c>
      <c r="D153" t="str">
        <f>IFERROR(VLOOKUP($A153,原始数据_收盘!$A$4:$G$3460,4,0),"")</f>
        <v/>
      </c>
      <c r="E153" t="str">
        <f>IFERROR(VLOOKUP($A153,原始数据_收盘!$A$4:$G$3460,5,0),"")</f>
        <v/>
      </c>
      <c r="F153" t="str">
        <f>IFERROR(VLOOKUP($A153,原始数据_收盘!$A$4:$G$3460,6,0),"")</f>
        <v/>
      </c>
      <c r="G153" t="str">
        <f>IFERROR(VLOOKUP($A153,原始数据_收盘!$A$4:$G$3460,7,0),"")</f>
        <v/>
      </c>
      <c r="H153">
        <f>IFERROR(VLOOKUP($A153,原始数据_利率互换_FR007_1年!$A$6:$C$4395,2,0),"")</f>
        <v>3.44</v>
      </c>
      <c r="I153">
        <f>IFERROR(VLOOKUP($A153,原始数据_利率互换_FR007_1年!$A$6:$C$4395,3,0),"")</f>
        <v>3.88</v>
      </c>
    </row>
    <row r="154" spans="1:9">
      <c r="A154" s="6">
        <v>39647</v>
      </c>
      <c r="B154" t="str">
        <f>IFERROR(VLOOKUP($A154,原始数据_收盘!$A$4:$G$3460,2,0),"")</f>
        <v/>
      </c>
      <c r="C154" t="str">
        <f>IFERROR(VLOOKUP($A154,原始数据_收盘!$A$4:$G$3460,3,0),"")</f>
        <v/>
      </c>
      <c r="D154" t="str">
        <f>IFERROR(VLOOKUP($A154,原始数据_收盘!$A$4:$G$3460,4,0),"")</f>
        <v/>
      </c>
      <c r="E154" t="str">
        <f>IFERROR(VLOOKUP($A154,原始数据_收盘!$A$4:$G$3460,5,0),"")</f>
        <v/>
      </c>
      <c r="F154" t="str">
        <f>IFERROR(VLOOKUP($A154,原始数据_收盘!$A$4:$G$3460,6,0),"")</f>
        <v/>
      </c>
      <c r="G154" t="str">
        <f>IFERROR(VLOOKUP($A154,原始数据_收盘!$A$4:$G$3460,7,0),"")</f>
        <v/>
      </c>
      <c r="H154" t="str">
        <f>IFERROR(VLOOKUP($A154,原始数据_利率互换_FR007_1年!$A$6:$C$4395,2,0),"")</f>
        <v/>
      </c>
      <c r="I154" t="str">
        <f>IFERROR(VLOOKUP($A154,原始数据_利率互换_FR007_1年!$A$6:$C$4395,3,0),"")</f>
        <v/>
      </c>
    </row>
    <row r="155" spans="1:9">
      <c r="A155" s="6">
        <v>39648</v>
      </c>
      <c r="B155" t="str">
        <f>IFERROR(VLOOKUP($A155,原始数据_收盘!$A$4:$G$3460,2,0),"")</f>
        <v/>
      </c>
      <c r="C155" t="str">
        <f>IFERROR(VLOOKUP($A155,原始数据_收盘!$A$4:$G$3460,3,0),"")</f>
        <v/>
      </c>
      <c r="D155" t="str">
        <f>IFERROR(VLOOKUP($A155,原始数据_收盘!$A$4:$G$3460,4,0),"")</f>
        <v/>
      </c>
      <c r="E155" t="str">
        <f>IFERROR(VLOOKUP($A155,原始数据_收盘!$A$4:$G$3460,5,0),"")</f>
        <v/>
      </c>
      <c r="F155" t="str">
        <f>IFERROR(VLOOKUP($A155,原始数据_收盘!$A$4:$G$3460,6,0),"")</f>
        <v/>
      </c>
      <c r="G155" t="str">
        <f>IFERROR(VLOOKUP($A155,原始数据_收盘!$A$4:$G$3460,7,0),"")</f>
        <v/>
      </c>
      <c r="H155" t="str">
        <f>IFERROR(VLOOKUP($A155,原始数据_利率互换_FR007_1年!$A$6:$C$4395,2,0),"")</f>
        <v/>
      </c>
      <c r="I155" t="str">
        <f>IFERROR(VLOOKUP($A155,原始数据_利率互换_FR007_1年!$A$6:$C$4395,3,0),"")</f>
        <v/>
      </c>
    </row>
    <row r="156" spans="1:9">
      <c r="A156" s="6">
        <v>39649</v>
      </c>
      <c r="B156" t="str">
        <f>IFERROR(VLOOKUP($A156,原始数据_收盘!$A$4:$G$3460,2,0),"")</f>
        <v/>
      </c>
      <c r="C156" t="str">
        <f>IFERROR(VLOOKUP($A156,原始数据_收盘!$A$4:$G$3460,3,0),"")</f>
        <v/>
      </c>
      <c r="D156" t="str">
        <f>IFERROR(VLOOKUP($A156,原始数据_收盘!$A$4:$G$3460,4,0),"")</f>
        <v/>
      </c>
      <c r="E156" t="str">
        <f>IFERROR(VLOOKUP($A156,原始数据_收盘!$A$4:$G$3460,5,0),"")</f>
        <v/>
      </c>
      <c r="F156" t="str">
        <f>IFERROR(VLOOKUP($A156,原始数据_收盘!$A$4:$G$3460,6,0),"")</f>
        <v/>
      </c>
      <c r="G156" t="str">
        <f>IFERROR(VLOOKUP($A156,原始数据_收盘!$A$4:$G$3460,7,0),"")</f>
        <v/>
      </c>
      <c r="H156" t="str">
        <f>IFERROR(VLOOKUP($A156,原始数据_利率互换_FR007_1年!$A$6:$C$4395,2,0),"")</f>
        <v/>
      </c>
      <c r="I156" t="str">
        <f>IFERROR(VLOOKUP($A156,原始数据_利率互换_FR007_1年!$A$6:$C$4395,3,0),"")</f>
        <v/>
      </c>
    </row>
    <row r="157" spans="1:9">
      <c r="A157" s="6">
        <v>39650</v>
      </c>
      <c r="B157" t="str">
        <f>IFERROR(VLOOKUP($A157,原始数据_收盘!$A$4:$G$3460,2,0),"")</f>
        <v/>
      </c>
      <c r="C157" t="str">
        <f>IFERROR(VLOOKUP($A157,原始数据_收盘!$A$4:$G$3460,3,0),"")</f>
        <v/>
      </c>
      <c r="D157" t="str">
        <f>IFERROR(VLOOKUP($A157,原始数据_收盘!$A$4:$G$3460,4,0),"")</f>
        <v/>
      </c>
      <c r="E157" t="str">
        <f>IFERROR(VLOOKUP($A157,原始数据_收盘!$A$4:$G$3460,5,0),"")</f>
        <v/>
      </c>
      <c r="F157" t="str">
        <f>IFERROR(VLOOKUP($A157,原始数据_收盘!$A$4:$G$3460,6,0),"")</f>
        <v/>
      </c>
      <c r="G157" t="str">
        <f>IFERROR(VLOOKUP($A157,原始数据_收盘!$A$4:$G$3460,7,0),"")</f>
        <v/>
      </c>
      <c r="H157">
        <f>IFERROR(VLOOKUP($A157,原始数据_利率互换_FR007_1年!$A$6:$C$4395,2,0),"")</f>
        <v>3.43</v>
      </c>
      <c r="I157">
        <f>IFERROR(VLOOKUP($A157,原始数据_利率互换_FR007_1年!$A$6:$C$4395,3,0),"")</f>
        <v>0</v>
      </c>
    </row>
    <row r="158" spans="1:9">
      <c r="A158" s="6">
        <v>39651</v>
      </c>
      <c r="B158" t="str">
        <f>IFERROR(VLOOKUP($A158,原始数据_收盘!$A$4:$G$3460,2,0),"")</f>
        <v/>
      </c>
      <c r="C158" t="str">
        <f>IFERROR(VLOOKUP($A158,原始数据_收盘!$A$4:$G$3460,3,0),"")</f>
        <v/>
      </c>
      <c r="D158" t="str">
        <f>IFERROR(VLOOKUP($A158,原始数据_收盘!$A$4:$G$3460,4,0),"")</f>
        <v/>
      </c>
      <c r="E158" t="str">
        <f>IFERROR(VLOOKUP($A158,原始数据_收盘!$A$4:$G$3460,5,0),"")</f>
        <v/>
      </c>
      <c r="F158" t="str">
        <f>IFERROR(VLOOKUP($A158,原始数据_收盘!$A$4:$G$3460,6,0),"")</f>
        <v/>
      </c>
      <c r="G158" t="str">
        <f>IFERROR(VLOOKUP($A158,原始数据_收盘!$A$4:$G$3460,7,0),"")</f>
        <v/>
      </c>
      <c r="H158">
        <f>IFERROR(VLOOKUP($A158,原始数据_利率互换_FR007_1年!$A$6:$C$4395,2,0),"")</f>
        <v>3.44</v>
      </c>
      <c r="I158">
        <f>IFERROR(VLOOKUP($A158,原始数据_利率互换_FR007_1年!$A$6:$C$4395,3,0),"")</f>
        <v>0</v>
      </c>
    </row>
    <row r="159" spans="1:9">
      <c r="A159" s="6">
        <v>39652</v>
      </c>
      <c r="B159" t="str">
        <f>IFERROR(VLOOKUP($A159,原始数据_收盘!$A$4:$G$3460,2,0),"")</f>
        <v/>
      </c>
      <c r="C159" t="str">
        <f>IFERROR(VLOOKUP($A159,原始数据_收盘!$A$4:$G$3460,3,0),"")</f>
        <v/>
      </c>
      <c r="D159" t="str">
        <f>IFERROR(VLOOKUP($A159,原始数据_收盘!$A$4:$G$3460,4,0),"")</f>
        <v/>
      </c>
      <c r="E159" t="str">
        <f>IFERROR(VLOOKUP($A159,原始数据_收盘!$A$4:$G$3460,5,0),"")</f>
        <v/>
      </c>
      <c r="F159" t="str">
        <f>IFERROR(VLOOKUP($A159,原始数据_收盘!$A$4:$G$3460,6,0),"")</f>
        <v/>
      </c>
      <c r="G159" t="str">
        <f>IFERROR(VLOOKUP($A159,原始数据_收盘!$A$4:$G$3460,7,0),"")</f>
        <v/>
      </c>
      <c r="H159">
        <f>IFERROR(VLOOKUP($A159,原始数据_利率互换_FR007_1年!$A$6:$C$4395,2,0),"")</f>
        <v>3.46</v>
      </c>
      <c r="I159">
        <f>IFERROR(VLOOKUP($A159,原始数据_利率互换_FR007_1年!$A$6:$C$4395,3,0),"")</f>
        <v>0</v>
      </c>
    </row>
    <row r="160" spans="1:9">
      <c r="A160" s="6">
        <v>39653</v>
      </c>
      <c r="B160" t="str">
        <f>IFERROR(VLOOKUP($A160,原始数据_收盘!$A$4:$G$3460,2,0),"")</f>
        <v/>
      </c>
      <c r="C160" t="str">
        <f>IFERROR(VLOOKUP($A160,原始数据_收盘!$A$4:$G$3460,3,0),"")</f>
        <v/>
      </c>
      <c r="D160" t="str">
        <f>IFERROR(VLOOKUP($A160,原始数据_收盘!$A$4:$G$3460,4,0),"")</f>
        <v/>
      </c>
      <c r="E160" t="str">
        <f>IFERROR(VLOOKUP($A160,原始数据_收盘!$A$4:$G$3460,5,0),"")</f>
        <v/>
      </c>
      <c r="F160" t="str">
        <f>IFERROR(VLOOKUP($A160,原始数据_收盘!$A$4:$G$3460,6,0),"")</f>
        <v/>
      </c>
      <c r="G160" t="str">
        <f>IFERROR(VLOOKUP($A160,原始数据_收盘!$A$4:$G$3460,7,0),"")</f>
        <v/>
      </c>
      <c r="H160">
        <f>IFERROR(VLOOKUP($A160,原始数据_利率互换_FR007_1年!$A$6:$C$4395,2,0),"")</f>
        <v>3.43</v>
      </c>
      <c r="I160">
        <f>IFERROR(VLOOKUP($A160,原始数据_利率互换_FR007_1年!$A$6:$C$4395,3,0),"")</f>
        <v>3.89</v>
      </c>
    </row>
    <row r="161" spans="1:9">
      <c r="A161" s="6">
        <v>39654</v>
      </c>
      <c r="B161" t="str">
        <f>IFERROR(VLOOKUP($A161,原始数据_收盘!$A$4:$G$3460,2,0),"")</f>
        <v/>
      </c>
      <c r="C161" t="str">
        <f>IFERROR(VLOOKUP($A161,原始数据_收盘!$A$4:$G$3460,3,0),"")</f>
        <v/>
      </c>
      <c r="D161" t="str">
        <f>IFERROR(VLOOKUP($A161,原始数据_收盘!$A$4:$G$3460,4,0),"")</f>
        <v/>
      </c>
      <c r="E161" t="str">
        <f>IFERROR(VLOOKUP($A161,原始数据_收盘!$A$4:$G$3460,5,0),"")</f>
        <v/>
      </c>
      <c r="F161" t="str">
        <f>IFERROR(VLOOKUP($A161,原始数据_收盘!$A$4:$G$3460,6,0),"")</f>
        <v/>
      </c>
      <c r="G161" t="str">
        <f>IFERROR(VLOOKUP($A161,原始数据_收盘!$A$4:$G$3460,7,0),"")</f>
        <v/>
      </c>
      <c r="H161">
        <f>IFERROR(VLOOKUP($A161,原始数据_利率互换_FR007_1年!$A$6:$C$4395,2,0),"")</f>
        <v>3.39</v>
      </c>
      <c r="I161">
        <f>IFERROR(VLOOKUP($A161,原始数据_利率互换_FR007_1年!$A$6:$C$4395,3,0),"")</f>
        <v>3.82</v>
      </c>
    </row>
    <row r="162" spans="1:9">
      <c r="A162" s="6">
        <v>39655</v>
      </c>
      <c r="B162" t="str">
        <f>IFERROR(VLOOKUP($A162,原始数据_收盘!$A$4:$G$3460,2,0),"")</f>
        <v/>
      </c>
      <c r="C162" t="str">
        <f>IFERROR(VLOOKUP($A162,原始数据_收盘!$A$4:$G$3460,3,0),"")</f>
        <v/>
      </c>
      <c r="D162" t="str">
        <f>IFERROR(VLOOKUP($A162,原始数据_收盘!$A$4:$G$3460,4,0),"")</f>
        <v/>
      </c>
      <c r="E162" t="str">
        <f>IFERROR(VLOOKUP($A162,原始数据_收盘!$A$4:$G$3460,5,0),"")</f>
        <v/>
      </c>
      <c r="F162" t="str">
        <f>IFERROR(VLOOKUP($A162,原始数据_收盘!$A$4:$G$3460,6,0),"")</f>
        <v/>
      </c>
      <c r="G162" t="str">
        <f>IFERROR(VLOOKUP($A162,原始数据_收盘!$A$4:$G$3460,7,0),"")</f>
        <v/>
      </c>
      <c r="H162" t="str">
        <f>IFERROR(VLOOKUP($A162,原始数据_利率互换_FR007_1年!$A$6:$C$4395,2,0),"")</f>
        <v/>
      </c>
      <c r="I162" t="str">
        <f>IFERROR(VLOOKUP($A162,原始数据_利率互换_FR007_1年!$A$6:$C$4395,3,0),"")</f>
        <v/>
      </c>
    </row>
    <row r="163" spans="1:9">
      <c r="A163" s="6">
        <v>39656</v>
      </c>
      <c r="B163" t="str">
        <f>IFERROR(VLOOKUP($A163,原始数据_收盘!$A$4:$G$3460,2,0),"")</f>
        <v/>
      </c>
      <c r="C163" t="str">
        <f>IFERROR(VLOOKUP($A163,原始数据_收盘!$A$4:$G$3460,3,0),"")</f>
        <v/>
      </c>
      <c r="D163" t="str">
        <f>IFERROR(VLOOKUP($A163,原始数据_收盘!$A$4:$G$3460,4,0),"")</f>
        <v/>
      </c>
      <c r="E163" t="str">
        <f>IFERROR(VLOOKUP($A163,原始数据_收盘!$A$4:$G$3460,5,0),"")</f>
        <v/>
      </c>
      <c r="F163" t="str">
        <f>IFERROR(VLOOKUP($A163,原始数据_收盘!$A$4:$G$3460,6,0),"")</f>
        <v/>
      </c>
      <c r="G163" t="str">
        <f>IFERROR(VLOOKUP($A163,原始数据_收盘!$A$4:$G$3460,7,0),"")</f>
        <v/>
      </c>
      <c r="H163" t="str">
        <f>IFERROR(VLOOKUP($A163,原始数据_利率互换_FR007_1年!$A$6:$C$4395,2,0),"")</f>
        <v/>
      </c>
      <c r="I163" t="str">
        <f>IFERROR(VLOOKUP($A163,原始数据_利率互换_FR007_1年!$A$6:$C$4395,3,0),"")</f>
        <v/>
      </c>
    </row>
    <row r="164" spans="1:9">
      <c r="A164" s="6">
        <v>39657</v>
      </c>
      <c r="B164" t="str">
        <f>IFERROR(VLOOKUP($A164,原始数据_收盘!$A$4:$G$3460,2,0),"")</f>
        <v/>
      </c>
      <c r="C164" t="str">
        <f>IFERROR(VLOOKUP($A164,原始数据_收盘!$A$4:$G$3460,3,0),"")</f>
        <v/>
      </c>
      <c r="D164" t="str">
        <f>IFERROR(VLOOKUP($A164,原始数据_收盘!$A$4:$G$3460,4,0),"")</f>
        <v/>
      </c>
      <c r="E164" t="str">
        <f>IFERROR(VLOOKUP($A164,原始数据_收盘!$A$4:$G$3460,5,0),"")</f>
        <v/>
      </c>
      <c r="F164" t="str">
        <f>IFERROR(VLOOKUP($A164,原始数据_收盘!$A$4:$G$3460,6,0),"")</f>
        <v/>
      </c>
      <c r="G164" t="str">
        <f>IFERROR(VLOOKUP($A164,原始数据_收盘!$A$4:$G$3460,7,0),"")</f>
        <v/>
      </c>
      <c r="H164">
        <f>IFERROR(VLOOKUP($A164,原始数据_利率互换_FR007_1年!$A$6:$C$4395,2,0),"")</f>
        <v>3.45</v>
      </c>
      <c r="I164">
        <f>IFERROR(VLOOKUP($A164,原始数据_利率互换_FR007_1年!$A$6:$C$4395,3,0),"")</f>
        <v>3.81</v>
      </c>
    </row>
    <row r="165" spans="1:9">
      <c r="A165" s="6">
        <v>39658</v>
      </c>
      <c r="B165" t="str">
        <f>IFERROR(VLOOKUP($A165,原始数据_收盘!$A$4:$G$3460,2,0),"")</f>
        <v/>
      </c>
      <c r="C165" t="str">
        <f>IFERROR(VLOOKUP($A165,原始数据_收盘!$A$4:$G$3460,3,0),"")</f>
        <v/>
      </c>
      <c r="D165" t="str">
        <f>IFERROR(VLOOKUP($A165,原始数据_收盘!$A$4:$G$3460,4,0),"")</f>
        <v/>
      </c>
      <c r="E165" t="str">
        <f>IFERROR(VLOOKUP($A165,原始数据_收盘!$A$4:$G$3460,5,0),"")</f>
        <v/>
      </c>
      <c r="F165" t="str">
        <f>IFERROR(VLOOKUP($A165,原始数据_收盘!$A$4:$G$3460,6,0),"")</f>
        <v/>
      </c>
      <c r="G165" t="str">
        <f>IFERROR(VLOOKUP($A165,原始数据_收盘!$A$4:$G$3460,7,0),"")</f>
        <v/>
      </c>
      <c r="H165">
        <f>IFERROR(VLOOKUP($A165,原始数据_利率互换_FR007_1年!$A$6:$C$4395,2,0),"")</f>
        <v>3.46</v>
      </c>
      <c r="I165">
        <f>IFERROR(VLOOKUP($A165,原始数据_利率互换_FR007_1年!$A$6:$C$4395,3,0),"")</f>
        <v>3.85</v>
      </c>
    </row>
    <row r="166" spans="1:9">
      <c r="A166" s="6">
        <v>39659</v>
      </c>
      <c r="B166" t="str">
        <f>IFERROR(VLOOKUP($A166,原始数据_收盘!$A$4:$G$3460,2,0),"")</f>
        <v/>
      </c>
      <c r="C166" t="str">
        <f>IFERROR(VLOOKUP($A166,原始数据_收盘!$A$4:$G$3460,3,0),"")</f>
        <v/>
      </c>
      <c r="D166" t="str">
        <f>IFERROR(VLOOKUP($A166,原始数据_收盘!$A$4:$G$3460,4,0),"")</f>
        <v/>
      </c>
      <c r="E166" t="str">
        <f>IFERROR(VLOOKUP($A166,原始数据_收盘!$A$4:$G$3460,5,0),"")</f>
        <v/>
      </c>
      <c r="F166" t="str">
        <f>IFERROR(VLOOKUP($A166,原始数据_收盘!$A$4:$G$3460,6,0),"")</f>
        <v/>
      </c>
      <c r="G166" t="str">
        <f>IFERROR(VLOOKUP($A166,原始数据_收盘!$A$4:$G$3460,7,0),"")</f>
        <v/>
      </c>
      <c r="H166">
        <f>IFERROR(VLOOKUP($A166,原始数据_利率互换_FR007_1年!$A$6:$C$4395,2,0),"")</f>
        <v>3.455</v>
      </c>
      <c r="I166">
        <f>IFERROR(VLOOKUP($A166,原始数据_利率互换_FR007_1年!$A$6:$C$4395,3,0),"")</f>
        <v>3.88</v>
      </c>
    </row>
    <row r="167" spans="1:9">
      <c r="A167" s="6">
        <v>39660</v>
      </c>
      <c r="B167" t="str">
        <f>IFERROR(VLOOKUP($A167,原始数据_收盘!$A$4:$G$3460,2,0),"")</f>
        <v/>
      </c>
      <c r="C167" t="str">
        <f>IFERROR(VLOOKUP($A167,原始数据_收盘!$A$4:$G$3460,3,0),"")</f>
        <v/>
      </c>
      <c r="D167" t="str">
        <f>IFERROR(VLOOKUP($A167,原始数据_收盘!$A$4:$G$3460,4,0),"")</f>
        <v/>
      </c>
      <c r="E167" t="str">
        <f>IFERROR(VLOOKUP($A167,原始数据_收盘!$A$4:$G$3460,5,0),"")</f>
        <v/>
      </c>
      <c r="F167" t="str">
        <f>IFERROR(VLOOKUP($A167,原始数据_收盘!$A$4:$G$3460,6,0),"")</f>
        <v/>
      </c>
      <c r="G167" t="str">
        <f>IFERROR(VLOOKUP($A167,原始数据_收盘!$A$4:$G$3460,7,0),"")</f>
        <v/>
      </c>
      <c r="H167">
        <f>IFERROR(VLOOKUP($A167,原始数据_利率互换_FR007_1年!$A$6:$C$4395,2,0),"")</f>
        <v>3.46</v>
      </c>
      <c r="I167">
        <f>IFERROR(VLOOKUP($A167,原始数据_利率互换_FR007_1年!$A$6:$C$4395,3,0),"")</f>
        <v>0</v>
      </c>
    </row>
    <row r="168" spans="1:9">
      <c r="A168" s="6">
        <v>39661</v>
      </c>
      <c r="B168" t="str">
        <f>IFERROR(VLOOKUP($A168,原始数据_收盘!$A$4:$G$3460,2,0),"")</f>
        <v/>
      </c>
      <c r="C168" t="str">
        <f>IFERROR(VLOOKUP($A168,原始数据_收盘!$A$4:$G$3460,3,0),"")</f>
        <v/>
      </c>
      <c r="D168" t="str">
        <f>IFERROR(VLOOKUP($A168,原始数据_收盘!$A$4:$G$3460,4,0),"")</f>
        <v/>
      </c>
      <c r="E168" t="str">
        <f>IFERROR(VLOOKUP($A168,原始数据_收盘!$A$4:$G$3460,5,0),"")</f>
        <v/>
      </c>
      <c r="F168" t="str">
        <f>IFERROR(VLOOKUP($A168,原始数据_收盘!$A$4:$G$3460,6,0),"")</f>
        <v/>
      </c>
      <c r="G168" t="str">
        <f>IFERROR(VLOOKUP($A168,原始数据_收盘!$A$4:$G$3460,7,0),"")</f>
        <v/>
      </c>
      <c r="H168">
        <f>IFERROR(VLOOKUP($A168,原始数据_利率互换_FR007_1年!$A$6:$C$4395,2,0),"")</f>
        <v>3.46</v>
      </c>
      <c r="I168">
        <f>IFERROR(VLOOKUP($A168,原始数据_利率互换_FR007_1年!$A$6:$C$4395,3,0),"")</f>
        <v>3.87</v>
      </c>
    </row>
    <row r="169" spans="1:9">
      <c r="A169" s="6">
        <v>39662</v>
      </c>
      <c r="B169" t="str">
        <f>IFERROR(VLOOKUP($A169,原始数据_收盘!$A$4:$G$3460,2,0),"")</f>
        <v/>
      </c>
      <c r="C169" t="str">
        <f>IFERROR(VLOOKUP($A169,原始数据_收盘!$A$4:$G$3460,3,0),"")</f>
        <v/>
      </c>
      <c r="D169" t="str">
        <f>IFERROR(VLOOKUP($A169,原始数据_收盘!$A$4:$G$3460,4,0),"")</f>
        <v/>
      </c>
      <c r="E169" t="str">
        <f>IFERROR(VLOOKUP($A169,原始数据_收盘!$A$4:$G$3460,5,0),"")</f>
        <v/>
      </c>
      <c r="F169" t="str">
        <f>IFERROR(VLOOKUP($A169,原始数据_收盘!$A$4:$G$3460,6,0),"")</f>
        <v/>
      </c>
      <c r="G169" t="str">
        <f>IFERROR(VLOOKUP($A169,原始数据_收盘!$A$4:$G$3460,7,0),"")</f>
        <v/>
      </c>
      <c r="H169" t="str">
        <f>IFERROR(VLOOKUP($A169,原始数据_利率互换_FR007_1年!$A$6:$C$4395,2,0),"")</f>
        <v/>
      </c>
      <c r="I169" t="str">
        <f>IFERROR(VLOOKUP($A169,原始数据_利率互换_FR007_1年!$A$6:$C$4395,3,0),"")</f>
        <v/>
      </c>
    </row>
    <row r="170" spans="1:9">
      <c r="A170" s="6">
        <v>39663</v>
      </c>
      <c r="B170" t="str">
        <f>IFERROR(VLOOKUP($A170,原始数据_收盘!$A$4:$G$3460,2,0),"")</f>
        <v/>
      </c>
      <c r="C170" t="str">
        <f>IFERROR(VLOOKUP($A170,原始数据_收盘!$A$4:$G$3460,3,0),"")</f>
        <v/>
      </c>
      <c r="D170" t="str">
        <f>IFERROR(VLOOKUP($A170,原始数据_收盘!$A$4:$G$3460,4,0),"")</f>
        <v/>
      </c>
      <c r="E170" t="str">
        <f>IFERROR(VLOOKUP($A170,原始数据_收盘!$A$4:$G$3460,5,0),"")</f>
        <v/>
      </c>
      <c r="F170" t="str">
        <f>IFERROR(VLOOKUP($A170,原始数据_收盘!$A$4:$G$3460,6,0),"")</f>
        <v/>
      </c>
      <c r="G170" t="str">
        <f>IFERROR(VLOOKUP($A170,原始数据_收盘!$A$4:$G$3460,7,0),"")</f>
        <v/>
      </c>
      <c r="H170" t="str">
        <f>IFERROR(VLOOKUP($A170,原始数据_利率互换_FR007_1年!$A$6:$C$4395,2,0),"")</f>
        <v/>
      </c>
      <c r="I170" t="str">
        <f>IFERROR(VLOOKUP($A170,原始数据_利率互换_FR007_1年!$A$6:$C$4395,3,0),"")</f>
        <v/>
      </c>
    </row>
    <row r="171" spans="1:9">
      <c r="A171" s="6">
        <v>39664</v>
      </c>
      <c r="B171" t="str">
        <f>IFERROR(VLOOKUP($A171,原始数据_收盘!$A$4:$G$3460,2,0),"")</f>
        <v/>
      </c>
      <c r="C171" t="str">
        <f>IFERROR(VLOOKUP($A171,原始数据_收盘!$A$4:$G$3460,3,0),"")</f>
        <v/>
      </c>
      <c r="D171" t="str">
        <f>IFERROR(VLOOKUP($A171,原始数据_收盘!$A$4:$G$3460,4,0),"")</f>
        <v/>
      </c>
      <c r="E171" t="str">
        <f>IFERROR(VLOOKUP($A171,原始数据_收盘!$A$4:$G$3460,5,0),"")</f>
        <v/>
      </c>
      <c r="F171" t="str">
        <f>IFERROR(VLOOKUP($A171,原始数据_收盘!$A$4:$G$3460,6,0),"")</f>
        <v/>
      </c>
      <c r="G171" t="str">
        <f>IFERROR(VLOOKUP($A171,原始数据_收盘!$A$4:$G$3460,7,0),"")</f>
        <v/>
      </c>
      <c r="H171">
        <f>IFERROR(VLOOKUP($A171,原始数据_利率互换_FR007_1年!$A$6:$C$4395,2,0),"")</f>
        <v>3.45</v>
      </c>
      <c r="I171">
        <f>IFERROR(VLOOKUP($A171,原始数据_利率互换_FR007_1年!$A$6:$C$4395,3,0),"")</f>
        <v>3.89</v>
      </c>
    </row>
    <row r="172" spans="1:9">
      <c r="A172" s="6">
        <v>39665</v>
      </c>
      <c r="B172" t="str">
        <f>IFERROR(VLOOKUP($A172,原始数据_收盘!$A$4:$G$3460,2,0),"")</f>
        <v/>
      </c>
      <c r="C172" t="str">
        <f>IFERROR(VLOOKUP($A172,原始数据_收盘!$A$4:$G$3460,3,0),"")</f>
        <v/>
      </c>
      <c r="D172" t="str">
        <f>IFERROR(VLOOKUP($A172,原始数据_收盘!$A$4:$G$3460,4,0),"")</f>
        <v/>
      </c>
      <c r="E172" t="str">
        <f>IFERROR(VLOOKUP($A172,原始数据_收盘!$A$4:$G$3460,5,0),"")</f>
        <v/>
      </c>
      <c r="F172" t="str">
        <f>IFERROR(VLOOKUP($A172,原始数据_收盘!$A$4:$G$3460,6,0),"")</f>
        <v/>
      </c>
      <c r="G172" t="str">
        <f>IFERROR(VLOOKUP($A172,原始数据_收盘!$A$4:$G$3460,7,0),"")</f>
        <v/>
      </c>
      <c r="H172">
        <f>IFERROR(VLOOKUP($A172,原始数据_利率互换_FR007_1年!$A$6:$C$4395,2,0),"")</f>
        <v>3.43</v>
      </c>
      <c r="I172">
        <f>IFERROR(VLOOKUP($A172,原始数据_利率互换_FR007_1年!$A$6:$C$4395,3,0),"")</f>
        <v>3.85</v>
      </c>
    </row>
    <row r="173" spans="1:9">
      <c r="A173" s="6">
        <v>39666</v>
      </c>
      <c r="B173" t="str">
        <f>IFERROR(VLOOKUP($A173,原始数据_收盘!$A$4:$G$3460,2,0),"")</f>
        <v/>
      </c>
      <c r="C173" t="str">
        <f>IFERROR(VLOOKUP($A173,原始数据_收盘!$A$4:$G$3460,3,0),"")</f>
        <v/>
      </c>
      <c r="D173" t="str">
        <f>IFERROR(VLOOKUP($A173,原始数据_收盘!$A$4:$G$3460,4,0),"")</f>
        <v/>
      </c>
      <c r="E173" t="str">
        <f>IFERROR(VLOOKUP($A173,原始数据_收盘!$A$4:$G$3460,5,0),"")</f>
        <v/>
      </c>
      <c r="F173" t="str">
        <f>IFERROR(VLOOKUP($A173,原始数据_收盘!$A$4:$G$3460,6,0),"")</f>
        <v/>
      </c>
      <c r="G173" t="str">
        <f>IFERROR(VLOOKUP($A173,原始数据_收盘!$A$4:$G$3460,7,0),"")</f>
        <v/>
      </c>
      <c r="H173">
        <f>IFERROR(VLOOKUP($A173,原始数据_利率互换_FR007_1年!$A$6:$C$4395,2,0),"")</f>
        <v>3.415</v>
      </c>
      <c r="I173">
        <f>IFERROR(VLOOKUP($A173,原始数据_利率互换_FR007_1年!$A$6:$C$4395,3,0),"")</f>
        <v>0</v>
      </c>
    </row>
    <row r="174" spans="1:9">
      <c r="A174" s="6">
        <v>39667</v>
      </c>
      <c r="B174" t="str">
        <f>IFERROR(VLOOKUP($A174,原始数据_收盘!$A$4:$G$3460,2,0),"")</f>
        <v/>
      </c>
      <c r="C174" t="str">
        <f>IFERROR(VLOOKUP($A174,原始数据_收盘!$A$4:$G$3460,3,0),"")</f>
        <v/>
      </c>
      <c r="D174" t="str">
        <f>IFERROR(VLOOKUP($A174,原始数据_收盘!$A$4:$G$3460,4,0),"")</f>
        <v/>
      </c>
      <c r="E174" t="str">
        <f>IFERROR(VLOOKUP($A174,原始数据_收盘!$A$4:$G$3460,5,0),"")</f>
        <v/>
      </c>
      <c r="F174" t="str">
        <f>IFERROR(VLOOKUP($A174,原始数据_收盘!$A$4:$G$3460,6,0),"")</f>
        <v/>
      </c>
      <c r="G174" t="str">
        <f>IFERROR(VLOOKUP($A174,原始数据_收盘!$A$4:$G$3460,7,0),"")</f>
        <v/>
      </c>
      <c r="H174">
        <f>IFERROR(VLOOKUP($A174,原始数据_利率互换_FR007_1年!$A$6:$C$4395,2,0),"")</f>
        <v>3.39</v>
      </c>
      <c r="I174">
        <f>IFERROR(VLOOKUP($A174,原始数据_利率互换_FR007_1年!$A$6:$C$4395,3,0),"")</f>
        <v>3.76</v>
      </c>
    </row>
    <row r="175" spans="1:9">
      <c r="A175" s="6">
        <v>39668</v>
      </c>
      <c r="B175" t="str">
        <f>IFERROR(VLOOKUP($A175,原始数据_收盘!$A$4:$G$3460,2,0),"")</f>
        <v/>
      </c>
      <c r="C175" t="str">
        <f>IFERROR(VLOOKUP($A175,原始数据_收盘!$A$4:$G$3460,3,0),"")</f>
        <v/>
      </c>
      <c r="D175" t="str">
        <f>IFERROR(VLOOKUP($A175,原始数据_收盘!$A$4:$G$3460,4,0),"")</f>
        <v/>
      </c>
      <c r="E175" t="str">
        <f>IFERROR(VLOOKUP($A175,原始数据_收盘!$A$4:$G$3460,5,0),"")</f>
        <v/>
      </c>
      <c r="F175" t="str">
        <f>IFERROR(VLOOKUP($A175,原始数据_收盘!$A$4:$G$3460,6,0),"")</f>
        <v/>
      </c>
      <c r="G175" t="str">
        <f>IFERROR(VLOOKUP($A175,原始数据_收盘!$A$4:$G$3460,7,0),"")</f>
        <v/>
      </c>
      <c r="H175" t="str">
        <f>IFERROR(VLOOKUP($A175,原始数据_利率互换_FR007_1年!$A$6:$C$4395,2,0),"")</f>
        <v/>
      </c>
      <c r="I175" t="str">
        <f>IFERROR(VLOOKUP($A175,原始数据_利率互换_FR007_1年!$A$6:$C$4395,3,0),"")</f>
        <v/>
      </c>
    </row>
    <row r="176" spans="1:9">
      <c r="A176" s="6">
        <v>39669</v>
      </c>
      <c r="B176" t="str">
        <f>IFERROR(VLOOKUP($A176,原始数据_收盘!$A$4:$G$3460,2,0),"")</f>
        <v/>
      </c>
      <c r="C176" t="str">
        <f>IFERROR(VLOOKUP($A176,原始数据_收盘!$A$4:$G$3460,3,0),"")</f>
        <v/>
      </c>
      <c r="D176" t="str">
        <f>IFERROR(VLOOKUP($A176,原始数据_收盘!$A$4:$G$3460,4,0),"")</f>
        <v/>
      </c>
      <c r="E176" t="str">
        <f>IFERROR(VLOOKUP($A176,原始数据_收盘!$A$4:$G$3460,5,0),"")</f>
        <v/>
      </c>
      <c r="F176" t="str">
        <f>IFERROR(VLOOKUP($A176,原始数据_收盘!$A$4:$G$3460,6,0),"")</f>
        <v/>
      </c>
      <c r="G176" t="str">
        <f>IFERROR(VLOOKUP($A176,原始数据_收盘!$A$4:$G$3460,7,0),"")</f>
        <v/>
      </c>
      <c r="H176" t="str">
        <f>IFERROR(VLOOKUP($A176,原始数据_利率互换_FR007_1年!$A$6:$C$4395,2,0),"")</f>
        <v/>
      </c>
      <c r="I176" t="str">
        <f>IFERROR(VLOOKUP($A176,原始数据_利率互换_FR007_1年!$A$6:$C$4395,3,0),"")</f>
        <v/>
      </c>
    </row>
    <row r="177" spans="1:9">
      <c r="A177" s="6">
        <v>39670</v>
      </c>
      <c r="B177" t="str">
        <f>IFERROR(VLOOKUP($A177,原始数据_收盘!$A$4:$G$3460,2,0),"")</f>
        <v/>
      </c>
      <c r="C177" t="str">
        <f>IFERROR(VLOOKUP($A177,原始数据_收盘!$A$4:$G$3460,3,0),"")</f>
        <v/>
      </c>
      <c r="D177" t="str">
        <f>IFERROR(VLOOKUP($A177,原始数据_收盘!$A$4:$G$3460,4,0),"")</f>
        <v/>
      </c>
      <c r="E177" t="str">
        <f>IFERROR(VLOOKUP($A177,原始数据_收盘!$A$4:$G$3460,5,0),"")</f>
        <v/>
      </c>
      <c r="F177" t="str">
        <f>IFERROR(VLOOKUP($A177,原始数据_收盘!$A$4:$G$3460,6,0),"")</f>
        <v/>
      </c>
      <c r="G177" t="str">
        <f>IFERROR(VLOOKUP($A177,原始数据_收盘!$A$4:$G$3460,7,0),"")</f>
        <v/>
      </c>
      <c r="H177" t="str">
        <f>IFERROR(VLOOKUP($A177,原始数据_利率互换_FR007_1年!$A$6:$C$4395,2,0),"")</f>
        <v/>
      </c>
      <c r="I177" t="str">
        <f>IFERROR(VLOOKUP($A177,原始数据_利率互换_FR007_1年!$A$6:$C$4395,3,0),"")</f>
        <v/>
      </c>
    </row>
    <row r="178" spans="1:9">
      <c r="A178" s="6">
        <v>39671</v>
      </c>
      <c r="B178" t="str">
        <f>IFERROR(VLOOKUP($A178,原始数据_收盘!$A$4:$G$3460,2,0),"")</f>
        <v/>
      </c>
      <c r="C178" t="str">
        <f>IFERROR(VLOOKUP($A178,原始数据_收盘!$A$4:$G$3460,3,0),"")</f>
        <v/>
      </c>
      <c r="D178" t="str">
        <f>IFERROR(VLOOKUP($A178,原始数据_收盘!$A$4:$G$3460,4,0),"")</f>
        <v/>
      </c>
      <c r="E178" t="str">
        <f>IFERROR(VLOOKUP($A178,原始数据_收盘!$A$4:$G$3460,5,0),"")</f>
        <v/>
      </c>
      <c r="F178" t="str">
        <f>IFERROR(VLOOKUP($A178,原始数据_收盘!$A$4:$G$3460,6,0),"")</f>
        <v/>
      </c>
      <c r="G178" t="str">
        <f>IFERROR(VLOOKUP($A178,原始数据_收盘!$A$4:$G$3460,7,0),"")</f>
        <v/>
      </c>
      <c r="H178" t="str">
        <f>IFERROR(VLOOKUP($A178,原始数据_利率互换_FR007_1年!$A$6:$C$4395,2,0),"")</f>
        <v/>
      </c>
      <c r="I178" t="str">
        <f>IFERROR(VLOOKUP($A178,原始数据_利率互换_FR007_1年!$A$6:$C$4395,3,0),"")</f>
        <v/>
      </c>
    </row>
    <row r="179" spans="1:9">
      <c r="A179" s="6">
        <v>39672</v>
      </c>
      <c r="B179" t="str">
        <f>IFERROR(VLOOKUP($A179,原始数据_收盘!$A$4:$G$3460,2,0),"")</f>
        <v/>
      </c>
      <c r="C179" t="str">
        <f>IFERROR(VLOOKUP($A179,原始数据_收盘!$A$4:$G$3460,3,0),"")</f>
        <v/>
      </c>
      <c r="D179" t="str">
        <f>IFERROR(VLOOKUP($A179,原始数据_收盘!$A$4:$G$3460,4,0),"")</f>
        <v/>
      </c>
      <c r="E179" t="str">
        <f>IFERROR(VLOOKUP($A179,原始数据_收盘!$A$4:$G$3460,5,0),"")</f>
        <v/>
      </c>
      <c r="F179" t="str">
        <f>IFERROR(VLOOKUP($A179,原始数据_收盘!$A$4:$G$3460,6,0),"")</f>
        <v/>
      </c>
      <c r="G179" t="str">
        <f>IFERROR(VLOOKUP($A179,原始数据_收盘!$A$4:$G$3460,7,0),"")</f>
        <v/>
      </c>
      <c r="H179">
        <f>IFERROR(VLOOKUP($A179,原始数据_利率互换_FR007_1年!$A$6:$C$4395,2,0),"")</f>
        <v>3.37</v>
      </c>
      <c r="I179">
        <f>IFERROR(VLOOKUP($A179,原始数据_利率互换_FR007_1年!$A$6:$C$4395,3,0),"")</f>
        <v>3.76</v>
      </c>
    </row>
    <row r="180" spans="1:9">
      <c r="A180" s="6">
        <v>39673</v>
      </c>
      <c r="B180" t="str">
        <f>IFERROR(VLOOKUP($A180,原始数据_收盘!$A$4:$G$3460,2,0),"")</f>
        <v/>
      </c>
      <c r="C180" t="str">
        <f>IFERROR(VLOOKUP($A180,原始数据_收盘!$A$4:$G$3460,3,0),"")</f>
        <v/>
      </c>
      <c r="D180" t="str">
        <f>IFERROR(VLOOKUP($A180,原始数据_收盘!$A$4:$G$3460,4,0),"")</f>
        <v/>
      </c>
      <c r="E180" t="str">
        <f>IFERROR(VLOOKUP($A180,原始数据_收盘!$A$4:$G$3460,5,0),"")</f>
        <v/>
      </c>
      <c r="F180" t="str">
        <f>IFERROR(VLOOKUP($A180,原始数据_收盘!$A$4:$G$3460,6,0),"")</f>
        <v/>
      </c>
      <c r="G180" t="str">
        <f>IFERROR(VLOOKUP($A180,原始数据_收盘!$A$4:$G$3460,7,0),"")</f>
        <v/>
      </c>
      <c r="H180">
        <f>IFERROR(VLOOKUP($A180,原始数据_利率互换_FR007_1年!$A$6:$C$4395,2,0),"")</f>
        <v>3.365</v>
      </c>
      <c r="I180">
        <f>IFERROR(VLOOKUP($A180,原始数据_利率互换_FR007_1年!$A$6:$C$4395,3,0),"")</f>
        <v>3.8</v>
      </c>
    </row>
    <row r="181" spans="1:9">
      <c r="A181" s="6">
        <v>39674</v>
      </c>
      <c r="B181" t="str">
        <f>IFERROR(VLOOKUP($A181,原始数据_收盘!$A$4:$G$3460,2,0),"")</f>
        <v/>
      </c>
      <c r="C181" t="str">
        <f>IFERROR(VLOOKUP($A181,原始数据_收盘!$A$4:$G$3460,3,0),"")</f>
        <v/>
      </c>
      <c r="D181" t="str">
        <f>IFERROR(VLOOKUP($A181,原始数据_收盘!$A$4:$G$3460,4,0),"")</f>
        <v/>
      </c>
      <c r="E181" t="str">
        <f>IFERROR(VLOOKUP($A181,原始数据_收盘!$A$4:$G$3460,5,0),"")</f>
        <v/>
      </c>
      <c r="F181" t="str">
        <f>IFERROR(VLOOKUP($A181,原始数据_收盘!$A$4:$G$3460,6,0),"")</f>
        <v/>
      </c>
      <c r="G181" t="str">
        <f>IFERROR(VLOOKUP($A181,原始数据_收盘!$A$4:$G$3460,7,0),"")</f>
        <v/>
      </c>
      <c r="H181">
        <f>IFERROR(VLOOKUP($A181,原始数据_利率互换_FR007_1年!$A$6:$C$4395,2,0),"")</f>
        <v>3.385</v>
      </c>
      <c r="I181">
        <f>IFERROR(VLOOKUP($A181,原始数据_利率互换_FR007_1年!$A$6:$C$4395,3,0),"")</f>
        <v>3.81</v>
      </c>
    </row>
    <row r="182" spans="1:9">
      <c r="A182" s="6">
        <v>39675</v>
      </c>
      <c r="B182" t="str">
        <f>IFERROR(VLOOKUP($A182,原始数据_收盘!$A$4:$G$3460,2,0),"")</f>
        <v/>
      </c>
      <c r="C182" t="str">
        <f>IFERROR(VLOOKUP($A182,原始数据_收盘!$A$4:$G$3460,3,0),"")</f>
        <v/>
      </c>
      <c r="D182" t="str">
        <f>IFERROR(VLOOKUP($A182,原始数据_收盘!$A$4:$G$3460,4,0),"")</f>
        <v/>
      </c>
      <c r="E182" t="str">
        <f>IFERROR(VLOOKUP($A182,原始数据_收盘!$A$4:$G$3460,5,0),"")</f>
        <v/>
      </c>
      <c r="F182" t="str">
        <f>IFERROR(VLOOKUP($A182,原始数据_收盘!$A$4:$G$3460,6,0),"")</f>
        <v/>
      </c>
      <c r="G182" t="str">
        <f>IFERROR(VLOOKUP($A182,原始数据_收盘!$A$4:$G$3460,7,0),"")</f>
        <v/>
      </c>
      <c r="H182">
        <f>IFERROR(VLOOKUP($A182,原始数据_利率互换_FR007_1年!$A$6:$C$4395,2,0),"")</f>
        <v>3.34</v>
      </c>
      <c r="I182">
        <f>IFERROR(VLOOKUP($A182,原始数据_利率互换_FR007_1年!$A$6:$C$4395,3,0),"")</f>
        <v>3.805</v>
      </c>
    </row>
    <row r="183" spans="1:9">
      <c r="A183" s="6">
        <v>39676</v>
      </c>
      <c r="B183" t="str">
        <f>IFERROR(VLOOKUP($A183,原始数据_收盘!$A$4:$G$3460,2,0),"")</f>
        <v/>
      </c>
      <c r="C183" t="str">
        <f>IFERROR(VLOOKUP($A183,原始数据_收盘!$A$4:$G$3460,3,0),"")</f>
        <v/>
      </c>
      <c r="D183" t="str">
        <f>IFERROR(VLOOKUP($A183,原始数据_收盘!$A$4:$G$3460,4,0),"")</f>
        <v/>
      </c>
      <c r="E183" t="str">
        <f>IFERROR(VLOOKUP($A183,原始数据_收盘!$A$4:$G$3460,5,0),"")</f>
        <v/>
      </c>
      <c r="F183" t="str">
        <f>IFERROR(VLOOKUP($A183,原始数据_收盘!$A$4:$G$3460,6,0),"")</f>
        <v/>
      </c>
      <c r="G183" t="str">
        <f>IFERROR(VLOOKUP($A183,原始数据_收盘!$A$4:$G$3460,7,0),"")</f>
        <v/>
      </c>
      <c r="H183" t="str">
        <f>IFERROR(VLOOKUP($A183,原始数据_利率互换_FR007_1年!$A$6:$C$4395,2,0),"")</f>
        <v/>
      </c>
      <c r="I183" t="str">
        <f>IFERROR(VLOOKUP($A183,原始数据_利率互换_FR007_1年!$A$6:$C$4395,3,0),"")</f>
        <v/>
      </c>
    </row>
    <row r="184" spans="1:9">
      <c r="A184" s="6">
        <v>39677</v>
      </c>
      <c r="B184" t="str">
        <f>IFERROR(VLOOKUP($A184,原始数据_收盘!$A$4:$G$3460,2,0),"")</f>
        <v/>
      </c>
      <c r="C184" t="str">
        <f>IFERROR(VLOOKUP($A184,原始数据_收盘!$A$4:$G$3460,3,0),"")</f>
        <v/>
      </c>
      <c r="D184" t="str">
        <f>IFERROR(VLOOKUP($A184,原始数据_收盘!$A$4:$G$3460,4,0),"")</f>
        <v/>
      </c>
      <c r="E184" t="str">
        <f>IFERROR(VLOOKUP($A184,原始数据_收盘!$A$4:$G$3460,5,0),"")</f>
        <v/>
      </c>
      <c r="F184" t="str">
        <f>IFERROR(VLOOKUP($A184,原始数据_收盘!$A$4:$G$3460,6,0),"")</f>
        <v/>
      </c>
      <c r="G184" t="str">
        <f>IFERROR(VLOOKUP($A184,原始数据_收盘!$A$4:$G$3460,7,0),"")</f>
        <v/>
      </c>
      <c r="H184" t="str">
        <f>IFERROR(VLOOKUP($A184,原始数据_利率互换_FR007_1年!$A$6:$C$4395,2,0),"")</f>
        <v/>
      </c>
      <c r="I184" t="str">
        <f>IFERROR(VLOOKUP($A184,原始数据_利率互换_FR007_1年!$A$6:$C$4395,3,0),"")</f>
        <v/>
      </c>
    </row>
    <row r="185" spans="1:9">
      <c r="A185" s="6">
        <v>39678</v>
      </c>
      <c r="B185" t="str">
        <f>IFERROR(VLOOKUP($A185,原始数据_收盘!$A$4:$G$3460,2,0),"")</f>
        <v/>
      </c>
      <c r="C185" t="str">
        <f>IFERROR(VLOOKUP($A185,原始数据_收盘!$A$4:$G$3460,3,0),"")</f>
        <v/>
      </c>
      <c r="D185" t="str">
        <f>IFERROR(VLOOKUP($A185,原始数据_收盘!$A$4:$G$3460,4,0),"")</f>
        <v/>
      </c>
      <c r="E185" t="str">
        <f>IFERROR(VLOOKUP($A185,原始数据_收盘!$A$4:$G$3460,5,0),"")</f>
        <v/>
      </c>
      <c r="F185" t="str">
        <f>IFERROR(VLOOKUP($A185,原始数据_收盘!$A$4:$G$3460,6,0),"")</f>
        <v/>
      </c>
      <c r="G185" t="str">
        <f>IFERROR(VLOOKUP($A185,原始数据_收盘!$A$4:$G$3460,7,0),"")</f>
        <v/>
      </c>
      <c r="H185">
        <f>IFERROR(VLOOKUP($A185,原始数据_利率互换_FR007_1年!$A$6:$C$4395,2,0),"")</f>
        <v>3.35</v>
      </c>
      <c r="I185">
        <f>IFERROR(VLOOKUP($A185,原始数据_利率互换_FR007_1年!$A$6:$C$4395,3,0),"")</f>
        <v>0</v>
      </c>
    </row>
    <row r="186" spans="1:9">
      <c r="A186" s="6">
        <v>39679</v>
      </c>
      <c r="B186" t="str">
        <f>IFERROR(VLOOKUP($A186,原始数据_收盘!$A$4:$G$3460,2,0),"")</f>
        <v/>
      </c>
      <c r="C186" t="str">
        <f>IFERROR(VLOOKUP($A186,原始数据_收盘!$A$4:$G$3460,3,0),"")</f>
        <v/>
      </c>
      <c r="D186" t="str">
        <f>IFERROR(VLOOKUP($A186,原始数据_收盘!$A$4:$G$3460,4,0),"")</f>
        <v/>
      </c>
      <c r="E186" t="str">
        <f>IFERROR(VLOOKUP($A186,原始数据_收盘!$A$4:$G$3460,5,0),"")</f>
        <v/>
      </c>
      <c r="F186" t="str">
        <f>IFERROR(VLOOKUP($A186,原始数据_收盘!$A$4:$G$3460,6,0),"")</f>
        <v/>
      </c>
      <c r="G186" t="str">
        <f>IFERROR(VLOOKUP($A186,原始数据_收盘!$A$4:$G$3460,7,0),"")</f>
        <v/>
      </c>
      <c r="H186">
        <f>IFERROR(VLOOKUP($A186,原始数据_利率互换_FR007_1年!$A$6:$C$4395,2,0),"")</f>
        <v>3.31</v>
      </c>
      <c r="I186">
        <f>IFERROR(VLOOKUP($A186,原始数据_利率互换_FR007_1年!$A$6:$C$4395,3,0),"")</f>
        <v>0</v>
      </c>
    </row>
    <row r="187" spans="1:9">
      <c r="A187" s="6">
        <v>39680</v>
      </c>
      <c r="B187" t="str">
        <f>IFERROR(VLOOKUP($A187,原始数据_收盘!$A$4:$G$3460,2,0),"")</f>
        <v/>
      </c>
      <c r="C187" t="str">
        <f>IFERROR(VLOOKUP($A187,原始数据_收盘!$A$4:$G$3460,3,0),"")</f>
        <v/>
      </c>
      <c r="D187" t="str">
        <f>IFERROR(VLOOKUP($A187,原始数据_收盘!$A$4:$G$3460,4,0),"")</f>
        <v/>
      </c>
      <c r="E187" t="str">
        <f>IFERROR(VLOOKUP($A187,原始数据_收盘!$A$4:$G$3460,5,0),"")</f>
        <v/>
      </c>
      <c r="F187" t="str">
        <f>IFERROR(VLOOKUP($A187,原始数据_收盘!$A$4:$G$3460,6,0),"")</f>
        <v/>
      </c>
      <c r="G187" t="str">
        <f>IFERROR(VLOOKUP($A187,原始数据_收盘!$A$4:$G$3460,7,0),"")</f>
        <v/>
      </c>
      <c r="H187">
        <f>IFERROR(VLOOKUP($A187,原始数据_利率互换_FR007_1年!$A$6:$C$4395,2,0),"")</f>
        <v>3.29</v>
      </c>
      <c r="I187">
        <f>IFERROR(VLOOKUP($A187,原始数据_利率互换_FR007_1年!$A$6:$C$4395,3,0),"")</f>
        <v>0</v>
      </c>
    </row>
    <row r="188" spans="1:9">
      <c r="A188" s="6">
        <v>39681</v>
      </c>
      <c r="B188" t="str">
        <f>IFERROR(VLOOKUP($A188,原始数据_收盘!$A$4:$G$3460,2,0),"")</f>
        <v/>
      </c>
      <c r="C188" t="str">
        <f>IFERROR(VLOOKUP($A188,原始数据_收盘!$A$4:$G$3460,3,0),"")</f>
        <v/>
      </c>
      <c r="D188" t="str">
        <f>IFERROR(VLOOKUP($A188,原始数据_收盘!$A$4:$G$3460,4,0),"")</f>
        <v/>
      </c>
      <c r="E188" t="str">
        <f>IFERROR(VLOOKUP($A188,原始数据_收盘!$A$4:$G$3460,5,0),"")</f>
        <v/>
      </c>
      <c r="F188" t="str">
        <f>IFERROR(VLOOKUP($A188,原始数据_收盘!$A$4:$G$3460,6,0),"")</f>
        <v/>
      </c>
      <c r="G188" t="str">
        <f>IFERROR(VLOOKUP($A188,原始数据_收盘!$A$4:$G$3460,7,0),"")</f>
        <v/>
      </c>
      <c r="H188">
        <f>IFERROR(VLOOKUP($A188,原始数据_利率互换_FR007_1年!$A$6:$C$4395,2,0),"")</f>
        <v>3.26</v>
      </c>
      <c r="I188">
        <f>IFERROR(VLOOKUP($A188,原始数据_利率互换_FR007_1年!$A$6:$C$4395,3,0),"")</f>
        <v>3.66</v>
      </c>
    </row>
    <row r="189" spans="1:9">
      <c r="A189" s="6">
        <v>39682</v>
      </c>
      <c r="B189" t="str">
        <f>IFERROR(VLOOKUP($A189,原始数据_收盘!$A$4:$G$3460,2,0),"")</f>
        <v/>
      </c>
      <c r="C189" t="str">
        <f>IFERROR(VLOOKUP($A189,原始数据_收盘!$A$4:$G$3460,3,0),"")</f>
        <v/>
      </c>
      <c r="D189" t="str">
        <f>IFERROR(VLOOKUP($A189,原始数据_收盘!$A$4:$G$3460,4,0),"")</f>
        <v/>
      </c>
      <c r="E189" t="str">
        <f>IFERROR(VLOOKUP($A189,原始数据_收盘!$A$4:$G$3460,5,0),"")</f>
        <v/>
      </c>
      <c r="F189" t="str">
        <f>IFERROR(VLOOKUP($A189,原始数据_收盘!$A$4:$G$3460,6,0),"")</f>
        <v/>
      </c>
      <c r="G189" t="str">
        <f>IFERROR(VLOOKUP($A189,原始数据_收盘!$A$4:$G$3460,7,0),"")</f>
        <v/>
      </c>
      <c r="H189">
        <f>IFERROR(VLOOKUP($A189,原始数据_利率互换_FR007_1年!$A$6:$C$4395,2,0),"")</f>
        <v>3.22</v>
      </c>
      <c r="I189">
        <f>IFERROR(VLOOKUP($A189,原始数据_利率互换_FR007_1年!$A$6:$C$4395,3,0),"")</f>
        <v>3.61</v>
      </c>
    </row>
    <row r="190" spans="1:9">
      <c r="A190" s="6">
        <v>39683</v>
      </c>
      <c r="B190" t="str">
        <f>IFERROR(VLOOKUP($A190,原始数据_收盘!$A$4:$G$3460,2,0),"")</f>
        <v/>
      </c>
      <c r="C190" t="str">
        <f>IFERROR(VLOOKUP($A190,原始数据_收盘!$A$4:$G$3460,3,0),"")</f>
        <v/>
      </c>
      <c r="D190" t="str">
        <f>IFERROR(VLOOKUP($A190,原始数据_收盘!$A$4:$G$3460,4,0),"")</f>
        <v/>
      </c>
      <c r="E190" t="str">
        <f>IFERROR(VLOOKUP($A190,原始数据_收盘!$A$4:$G$3460,5,0),"")</f>
        <v/>
      </c>
      <c r="F190" t="str">
        <f>IFERROR(VLOOKUP($A190,原始数据_收盘!$A$4:$G$3460,6,0),"")</f>
        <v/>
      </c>
      <c r="G190" t="str">
        <f>IFERROR(VLOOKUP($A190,原始数据_收盘!$A$4:$G$3460,7,0),"")</f>
        <v/>
      </c>
      <c r="H190" t="str">
        <f>IFERROR(VLOOKUP($A190,原始数据_利率互换_FR007_1年!$A$6:$C$4395,2,0),"")</f>
        <v/>
      </c>
      <c r="I190" t="str">
        <f>IFERROR(VLOOKUP($A190,原始数据_利率互换_FR007_1年!$A$6:$C$4395,3,0),"")</f>
        <v/>
      </c>
    </row>
    <row r="191" spans="1:9">
      <c r="A191" s="6">
        <v>39684</v>
      </c>
      <c r="B191" t="str">
        <f>IFERROR(VLOOKUP($A191,原始数据_收盘!$A$4:$G$3460,2,0),"")</f>
        <v/>
      </c>
      <c r="C191" t="str">
        <f>IFERROR(VLOOKUP($A191,原始数据_收盘!$A$4:$G$3460,3,0),"")</f>
        <v/>
      </c>
      <c r="D191" t="str">
        <f>IFERROR(VLOOKUP($A191,原始数据_收盘!$A$4:$G$3460,4,0),"")</f>
        <v/>
      </c>
      <c r="E191" t="str">
        <f>IFERROR(VLOOKUP($A191,原始数据_收盘!$A$4:$G$3460,5,0),"")</f>
        <v/>
      </c>
      <c r="F191" t="str">
        <f>IFERROR(VLOOKUP($A191,原始数据_收盘!$A$4:$G$3460,6,0),"")</f>
        <v/>
      </c>
      <c r="G191" t="str">
        <f>IFERROR(VLOOKUP($A191,原始数据_收盘!$A$4:$G$3460,7,0),"")</f>
        <v/>
      </c>
      <c r="H191" t="str">
        <f>IFERROR(VLOOKUP($A191,原始数据_利率互换_FR007_1年!$A$6:$C$4395,2,0),"")</f>
        <v/>
      </c>
      <c r="I191" t="str">
        <f>IFERROR(VLOOKUP($A191,原始数据_利率互换_FR007_1年!$A$6:$C$4395,3,0),"")</f>
        <v/>
      </c>
    </row>
    <row r="192" spans="1:9">
      <c r="A192" s="6">
        <v>39685</v>
      </c>
      <c r="B192" t="str">
        <f>IFERROR(VLOOKUP($A192,原始数据_收盘!$A$4:$G$3460,2,0),"")</f>
        <v/>
      </c>
      <c r="C192" t="str">
        <f>IFERROR(VLOOKUP($A192,原始数据_收盘!$A$4:$G$3460,3,0),"")</f>
        <v/>
      </c>
      <c r="D192" t="str">
        <f>IFERROR(VLOOKUP($A192,原始数据_收盘!$A$4:$G$3460,4,0),"")</f>
        <v/>
      </c>
      <c r="E192" t="str">
        <f>IFERROR(VLOOKUP($A192,原始数据_收盘!$A$4:$G$3460,5,0),"")</f>
        <v/>
      </c>
      <c r="F192" t="str">
        <f>IFERROR(VLOOKUP($A192,原始数据_收盘!$A$4:$G$3460,6,0),"")</f>
        <v/>
      </c>
      <c r="G192" t="str">
        <f>IFERROR(VLOOKUP($A192,原始数据_收盘!$A$4:$G$3460,7,0),"")</f>
        <v/>
      </c>
      <c r="H192" t="str">
        <f>IFERROR(VLOOKUP($A192,原始数据_利率互换_FR007_1年!$A$6:$C$4395,2,0),"")</f>
        <v/>
      </c>
      <c r="I192" t="str">
        <f>IFERROR(VLOOKUP($A192,原始数据_利率互换_FR007_1年!$A$6:$C$4395,3,0),"")</f>
        <v/>
      </c>
    </row>
    <row r="193" spans="1:9">
      <c r="A193" s="6">
        <v>39686</v>
      </c>
      <c r="B193" t="str">
        <f>IFERROR(VLOOKUP($A193,原始数据_收盘!$A$4:$G$3460,2,0),"")</f>
        <v/>
      </c>
      <c r="C193" t="str">
        <f>IFERROR(VLOOKUP($A193,原始数据_收盘!$A$4:$G$3460,3,0),"")</f>
        <v/>
      </c>
      <c r="D193" t="str">
        <f>IFERROR(VLOOKUP($A193,原始数据_收盘!$A$4:$G$3460,4,0),"")</f>
        <v/>
      </c>
      <c r="E193" t="str">
        <f>IFERROR(VLOOKUP($A193,原始数据_收盘!$A$4:$G$3460,5,0),"")</f>
        <v/>
      </c>
      <c r="F193" t="str">
        <f>IFERROR(VLOOKUP($A193,原始数据_收盘!$A$4:$G$3460,6,0),"")</f>
        <v/>
      </c>
      <c r="G193" t="str">
        <f>IFERROR(VLOOKUP($A193,原始数据_收盘!$A$4:$G$3460,7,0),"")</f>
        <v/>
      </c>
      <c r="H193" t="str">
        <f>IFERROR(VLOOKUP($A193,原始数据_利率互换_FR007_1年!$A$6:$C$4395,2,0),"")</f>
        <v/>
      </c>
      <c r="I193" t="str">
        <f>IFERROR(VLOOKUP($A193,原始数据_利率互换_FR007_1年!$A$6:$C$4395,3,0),"")</f>
        <v/>
      </c>
    </row>
    <row r="194" spans="1:9">
      <c r="A194" s="6">
        <v>39687</v>
      </c>
      <c r="B194" t="str">
        <f>IFERROR(VLOOKUP($A194,原始数据_收盘!$A$4:$G$3460,2,0),"")</f>
        <v/>
      </c>
      <c r="C194" t="str">
        <f>IFERROR(VLOOKUP($A194,原始数据_收盘!$A$4:$G$3460,3,0),"")</f>
        <v/>
      </c>
      <c r="D194" t="str">
        <f>IFERROR(VLOOKUP($A194,原始数据_收盘!$A$4:$G$3460,4,0),"")</f>
        <v/>
      </c>
      <c r="E194" t="str">
        <f>IFERROR(VLOOKUP($A194,原始数据_收盘!$A$4:$G$3460,5,0),"")</f>
        <v/>
      </c>
      <c r="F194" t="str">
        <f>IFERROR(VLOOKUP($A194,原始数据_收盘!$A$4:$G$3460,6,0),"")</f>
        <v/>
      </c>
      <c r="G194" t="str">
        <f>IFERROR(VLOOKUP($A194,原始数据_收盘!$A$4:$G$3460,7,0),"")</f>
        <v/>
      </c>
      <c r="H194">
        <f>IFERROR(VLOOKUP($A194,原始数据_利率互换_FR007_1年!$A$6:$C$4395,2,0),"")</f>
        <v>3.22</v>
      </c>
      <c r="I194">
        <f>IFERROR(VLOOKUP($A194,原始数据_利率互换_FR007_1年!$A$6:$C$4395,3,0),"")</f>
        <v>3.64</v>
      </c>
    </row>
    <row r="195" spans="1:9">
      <c r="A195" s="6">
        <v>39688</v>
      </c>
      <c r="B195" t="str">
        <f>IFERROR(VLOOKUP($A195,原始数据_收盘!$A$4:$G$3460,2,0),"")</f>
        <v/>
      </c>
      <c r="C195" t="str">
        <f>IFERROR(VLOOKUP($A195,原始数据_收盘!$A$4:$G$3460,3,0),"")</f>
        <v/>
      </c>
      <c r="D195" t="str">
        <f>IFERROR(VLOOKUP($A195,原始数据_收盘!$A$4:$G$3460,4,0),"")</f>
        <v/>
      </c>
      <c r="E195" t="str">
        <f>IFERROR(VLOOKUP($A195,原始数据_收盘!$A$4:$G$3460,5,0),"")</f>
        <v/>
      </c>
      <c r="F195" t="str">
        <f>IFERROR(VLOOKUP($A195,原始数据_收盘!$A$4:$G$3460,6,0),"")</f>
        <v/>
      </c>
      <c r="G195" t="str">
        <f>IFERROR(VLOOKUP($A195,原始数据_收盘!$A$4:$G$3460,7,0),"")</f>
        <v/>
      </c>
      <c r="H195">
        <f>IFERROR(VLOOKUP($A195,原始数据_利率互换_FR007_1年!$A$6:$C$4395,2,0),"")</f>
        <v>3.24</v>
      </c>
      <c r="I195">
        <f>IFERROR(VLOOKUP($A195,原始数据_利率互换_FR007_1年!$A$6:$C$4395,3,0),"")</f>
        <v>3.66</v>
      </c>
    </row>
    <row r="196" spans="1:9">
      <c r="A196" s="6">
        <v>39689</v>
      </c>
      <c r="B196" t="str">
        <f>IFERROR(VLOOKUP($A196,原始数据_收盘!$A$4:$G$3460,2,0),"")</f>
        <v/>
      </c>
      <c r="C196" t="str">
        <f>IFERROR(VLOOKUP($A196,原始数据_收盘!$A$4:$G$3460,3,0),"")</f>
        <v/>
      </c>
      <c r="D196" t="str">
        <f>IFERROR(VLOOKUP($A196,原始数据_收盘!$A$4:$G$3460,4,0),"")</f>
        <v/>
      </c>
      <c r="E196" t="str">
        <f>IFERROR(VLOOKUP($A196,原始数据_收盘!$A$4:$G$3460,5,0),"")</f>
        <v/>
      </c>
      <c r="F196" t="str">
        <f>IFERROR(VLOOKUP($A196,原始数据_收盘!$A$4:$G$3460,6,0),"")</f>
        <v/>
      </c>
      <c r="G196" t="str">
        <f>IFERROR(VLOOKUP($A196,原始数据_收盘!$A$4:$G$3460,7,0),"")</f>
        <v/>
      </c>
      <c r="H196" t="str">
        <f>IFERROR(VLOOKUP($A196,原始数据_利率互换_FR007_1年!$A$6:$C$4395,2,0),"")</f>
        <v/>
      </c>
      <c r="I196" t="str">
        <f>IFERROR(VLOOKUP($A196,原始数据_利率互换_FR007_1年!$A$6:$C$4395,3,0),"")</f>
        <v/>
      </c>
    </row>
    <row r="197" spans="1:9">
      <c r="A197" s="6">
        <v>39690</v>
      </c>
      <c r="B197" t="str">
        <f>IFERROR(VLOOKUP($A197,原始数据_收盘!$A$4:$G$3460,2,0),"")</f>
        <v/>
      </c>
      <c r="C197" t="str">
        <f>IFERROR(VLOOKUP($A197,原始数据_收盘!$A$4:$G$3460,3,0),"")</f>
        <v/>
      </c>
      <c r="D197" t="str">
        <f>IFERROR(VLOOKUP($A197,原始数据_收盘!$A$4:$G$3460,4,0),"")</f>
        <v/>
      </c>
      <c r="E197" t="str">
        <f>IFERROR(VLOOKUP($A197,原始数据_收盘!$A$4:$G$3460,5,0),"")</f>
        <v/>
      </c>
      <c r="F197" t="str">
        <f>IFERROR(VLOOKUP($A197,原始数据_收盘!$A$4:$G$3460,6,0),"")</f>
        <v/>
      </c>
      <c r="G197" t="str">
        <f>IFERROR(VLOOKUP($A197,原始数据_收盘!$A$4:$G$3460,7,0),"")</f>
        <v/>
      </c>
      <c r="H197" t="str">
        <f>IFERROR(VLOOKUP($A197,原始数据_利率互换_FR007_1年!$A$6:$C$4395,2,0),"")</f>
        <v/>
      </c>
      <c r="I197" t="str">
        <f>IFERROR(VLOOKUP($A197,原始数据_利率互换_FR007_1年!$A$6:$C$4395,3,0),"")</f>
        <v/>
      </c>
    </row>
    <row r="198" spans="1:9">
      <c r="A198" s="6">
        <v>39691</v>
      </c>
      <c r="B198" t="str">
        <f>IFERROR(VLOOKUP($A198,原始数据_收盘!$A$4:$G$3460,2,0),"")</f>
        <v/>
      </c>
      <c r="C198" t="str">
        <f>IFERROR(VLOOKUP($A198,原始数据_收盘!$A$4:$G$3460,3,0),"")</f>
        <v/>
      </c>
      <c r="D198" t="str">
        <f>IFERROR(VLOOKUP($A198,原始数据_收盘!$A$4:$G$3460,4,0),"")</f>
        <v/>
      </c>
      <c r="E198" t="str">
        <f>IFERROR(VLOOKUP($A198,原始数据_收盘!$A$4:$G$3460,5,0),"")</f>
        <v/>
      </c>
      <c r="F198" t="str">
        <f>IFERROR(VLOOKUP($A198,原始数据_收盘!$A$4:$G$3460,6,0),"")</f>
        <v/>
      </c>
      <c r="G198" t="str">
        <f>IFERROR(VLOOKUP($A198,原始数据_收盘!$A$4:$G$3460,7,0),"")</f>
        <v/>
      </c>
      <c r="H198" t="str">
        <f>IFERROR(VLOOKUP($A198,原始数据_利率互换_FR007_1年!$A$6:$C$4395,2,0),"")</f>
        <v/>
      </c>
      <c r="I198" t="str">
        <f>IFERROR(VLOOKUP($A198,原始数据_利率互换_FR007_1年!$A$6:$C$4395,3,0),"")</f>
        <v/>
      </c>
    </row>
    <row r="199" spans="1:9">
      <c r="A199" s="6">
        <v>39692</v>
      </c>
      <c r="B199" t="str">
        <f>IFERROR(VLOOKUP($A199,原始数据_收盘!$A$4:$G$3460,2,0),"")</f>
        <v/>
      </c>
      <c r="C199" t="str">
        <f>IFERROR(VLOOKUP($A199,原始数据_收盘!$A$4:$G$3460,3,0),"")</f>
        <v/>
      </c>
      <c r="D199" t="str">
        <f>IFERROR(VLOOKUP($A199,原始数据_收盘!$A$4:$G$3460,4,0),"")</f>
        <v/>
      </c>
      <c r="E199" t="str">
        <f>IFERROR(VLOOKUP($A199,原始数据_收盘!$A$4:$G$3460,5,0),"")</f>
        <v/>
      </c>
      <c r="F199" t="str">
        <f>IFERROR(VLOOKUP($A199,原始数据_收盘!$A$4:$G$3460,6,0),"")</f>
        <v/>
      </c>
      <c r="G199" t="str">
        <f>IFERROR(VLOOKUP($A199,原始数据_收盘!$A$4:$G$3460,7,0),"")</f>
        <v/>
      </c>
      <c r="H199">
        <f>IFERROR(VLOOKUP($A199,原始数据_利率互换_FR007_1年!$A$6:$C$4395,2,0),"")</f>
        <v>3.23</v>
      </c>
      <c r="I199">
        <f>IFERROR(VLOOKUP($A199,原始数据_利率互换_FR007_1年!$A$6:$C$4395,3,0),"")</f>
        <v>0</v>
      </c>
    </row>
    <row r="200" spans="1:9">
      <c r="A200" s="6">
        <v>39693</v>
      </c>
      <c r="B200" t="str">
        <f>IFERROR(VLOOKUP($A200,原始数据_收盘!$A$4:$G$3460,2,0),"")</f>
        <v/>
      </c>
      <c r="C200" t="str">
        <f>IFERROR(VLOOKUP($A200,原始数据_收盘!$A$4:$G$3460,3,0),"")</f>
        <v/>
      </c>
      <c r="D200" t="str">
        <f>IFERROR(VLOOKUP($A200,原始数据_收盘!$A$4:$G$3460,4,0),"")</f>
        <v/>
      </c>
      <c r="E200" t="str">
        <f>IFERROR(VLOOKUP($A200,原始数据_收盘!$A$4:$G$3460,5,0),"")</f>
        <v/>
      </c>
      <c r="F200" t="str">
        <f>IFERROR(VLOOKUP($A200,原始数据_收盘!$A$4:$G$3460,6,0),"")</f>
        <v/>
      </c>
      <c r="G200" t="str">
        <f>IFERROR(VLOOKUP($A200,原始数据_收盘!$A$4:$G$3460,7,0),"")</f>
        <v/>
      </c>
      <c r="H200">
        <f>IFERROR(VLOOKUP($A200,原始数据_利率互换_FR007_1年!$A$6:$C$4395,2,0),"")</f>
        <v>3.22</v>
      </c>
      <c r="I200">
        <f>IFERROR(VLOOKUP($A200,原始数据_利率互换_FR007_1年!$A$6:$C$4395,3,0),"")</f>
        <v>3.59</v>
      </c>
    </row>
    <row r="201" spans="1:9">
      <c r="A201" s="6">
        <v>39694</v>
      </c>
      <c r="B201" t="str">
        <f>IFERROR(VLOOKUP($A201,原始数据_收盘!$A$4:$G$3460,2,0),"")</f>
        <v/>
      </c>
      <c r="C201" t="str">
        <f>IFERROR(VLOOKUP($A201,原始数据_收盘!$A$4:$G$3460,3,0),"")</f>
        <v/>
      </c>
      <c r="D201" t="str">
        <f>IFERROR(VLOOKUP($A201,原始数据_收盘!$A$4:$G$3460,4,0),"")</f>
        <v/>
      </c>
      <c r="E201" t="str">
        <f>IFERROR(VLOOKUP($A201,原始数据_收盘!$A$4:$G$3460,5,0),"")</f>
        <v/>
      </c>
      <c r="F201" t="str">
        <f>IFERROR(VLOOKUP($A201,原始数据_收盘!$A$4:$G$3460,6,0),"")</f>
        <v/>
      </c>
      <c r="G201" t="str">
        <f>IFERROR(VLOOKUP($A201,原始数据_收盘!$A$4:$G$3460,7,0),"")</f>
        <v/>
      </c>
      <c r="H201">
        <f>IFERROR(VLOOKUP($A201,原始数据_利率互换_FR007_1年!$A$6:$C$4395,2,0),"")</f>
        <v>3.2</v>
      </c>
      <c r="I201">
        <f>IFERROR(VLOOKUP($A201,原始数据_利率互换_FR007_1年!$A$6:$C$4395,3,0),"")</f>
        <v>3.58</v>
      </c>
    </row>
    <row r="202" spans="1:9">
      <c r="A202" s="6">
        <v>39695</v>
      </c>
      <c r="B202" t="str">
        <f>IFERROR(VLOOKUP($A202,原始数据_收盘!$A$4:$G$3460,2,0),"")</f>
        <v/>
      </c>
      <c r="C202" t="str">
        <f>IFERROR(VLOOKUP($A202,原始数据_收盘!$A$4:$G$3460,3,0),"")</f>
        <v/>
      </c>
      <c r="D202" t="str">
        <f>IFERROR(VLOOKUP($A202,原始数据_收盘!$A$4:$G$3460,4,0),"")</f>
        <v/>
      </c>
      <c r="E202" t="str">
        <f>IFERROR(VLOOKUP($A202,原始数据_收盘!$A$4:$G$3460,5,0),"")</f>
        <v/>
      </c>
      <c r="F202" t="str">
        <f>IFERROR(VLOOKUP($A202,原始数据_收盘!$A$4:$G$3460,6,0),"")</f>
        <v/>
      </c>
      <c r="G202" t="str">
        <f>IFERROR(VLOOKUP($A202,原始数据_收盘!$A$4:$G$3460,7,0),"")</f>
        <v/>
      </c>
      <c r="H202">
        <f>IFERROR(VLOOKUP($A202,原始数据_利率互换_FR007_1年!$A$6:$C$4395,2,0),"")</f>
        <v>3.2</v>
      </c>
      <c r="I202">
        <f>IFERROR(VLOOKUP($A202,原始数据_利率互换_FR007_1年!$A$6:$C$4395,3,0),"")</f>
        <v>0</v>
      </c>
    </row>
    <row r="203" spans="1:9">
      <c r="A203" s="6">
        <v>39696</v>
      </c>
      <c r="B203" t="str">
        <f>IFERROR(VLOOKUP($A203,原始数据_收盘!$A$4:$G$3460,2,0),"")</f>
        <v/>
      </c>
      <c r="C203" t="str">
        <f>IFERROR(VLOOKUP($A203,原始数据_收盘!$A$4:$G$3460,3,0),"")</f>
        <v/>
      </c>
      <c r="D203" t="str">
        <f>IFERROR(VLOOKUP($A203,原始数据_收盘!$A$4:$G$3460,4,0),"")</f>
        <v/>
      </c>
      <c r="E203" t="str">
        <f>IFERROR(VLOOKUP($A203,原始数据_收盘!$A$4:$G$3460,5,0),"")</f>
        <v/>
      </c>
      <c r="F203" t="str">
        <f>IFERROR(VLOOKUP($A203,原始数据_收盘!$A$4:$G$3460,6,0),"")</f>
        <v/>
      </c>
      <c r="G203" t="str">
        <f>IFERROR(VLOOKUP($A203,原始数据_收盘!$A$4:$G$3460,7,0),"")</f>
        <v/>
      </c>
      <c r="H203">
        <f>IFERROR(VLOOKUP($A203,原始数据_利率互换_FR007_1年!$A$6:$C$4395,2,0),"")</f>
        <v>3.21</v>
      </c>
      <c r="I203">
        <f>IFERROR(VLOOKUP($A203,原始数据_利率互换_FR007_1年!$A$6:$C$4395,3,0),"")</f>
        <v>3.58</v>
      </c>
    </row>
    <row r="204" spans="1:9">
      <c r="A204" s="6">
        <v>39697</v>
      </c>
      <c r="B204" t="str">
        <f>IFERROR(VLOOKUP($A204,原始数据_收盘!$A$4:$G$3460,2,0),"")</f>
        <v/>
      </c>
      <c r="C204" t="str">
        <f>IFERROR(VLOOKUP($A204,原始数据_收盘!$A$4:$G$3460,3,0),"")</f>
        <v/>
      </c>
      <c r="D204" t="str">
        <f>IFERROR(VLOOKUP($A204,原始数据_收盘!$A$4:$G$3460,4,0),"")</f>
        <v/>
      </c>
      <c r="E204" t="str">
        <f>IFERROR(VLOOKUP($A204,原始数据_收盘!$A$4:$G$3460,5,0),"")</f>
        <v/>
      </c>
      <c r="F204" t="str">
        <f>IFERROR(VLOOKUP($A204,原始数据_收盘!$A$4:$G$3460,6,0),"")</f>
        <v/>
      </c>
      <c r="G204" t="str">
        <f>IFERROR(VLOOKUP($A204,原始数据_收盘!$A$4:$G$3460,7,0),"")</f>
        <v/>
      </c>
      <c r="H204" t="str">
        <f>IFERROR(VLOOKUP($A204,原始数据_利率互换_FR007_1年!$A$6:$C$4395,2,0),"")</f>
        <v/>
      </c>
      <c r="I204" t="str">
        <f>IFERROR(VLOOKUP($A204,原始数据_利率互换_FR007_1年!$A$6:$C$4395,3,0),"")</f>
        <v/>
      </c>
    </row>
    <row r="205" spans="1:9">
      <c r="A205" s="6">
        <v>39698</v>
      </c>
      <c r="B205" t="str">
        <f>IFERROR(VLOOKUP($A205,原始数据_收盘!$A$4:$G$3460,2,0),"")</f>
        <v/>
      </c>
      <c r="C205" t="str">
        <f>IFERROR(VLOOKUP($A205,原始数据_收盘!$A$4:$G$3460,3,0),"")</f>
        <v/>
      </c>
      <c r="D205" t="str">
        <f>IFERROR(VLOOKUP($A205,原始数据_收盘!$A$4:$G$3460,4,0),"")</f>
        <v/>
      </c>
      <c r="E205" t="str">
        <f>IFERROR(VLOOKUP($A205,原始数据_收盘!$A$4:$G$3460,5,0),"")</f>
        <v/>
      </c>
      <c r="F205" t="str">
        <f>IFERROR(VLOOKUP($A205,原始数据_收盘!$A$4:$G$3460,6,0),"")</f>
        <v/>
      </c>
      <c r="G205" t="str">
        <f>IFERROR(VLOOKUP($A205,原始数据_收盘!$A$4:$G$3460,7,0),"")</f>
        <v/>
      </c>
      <c r="H205" t="str">
        <f>IFERROR(VLOOKUP($A205,原始数据_利率互换_FR007_1年!$A$6:$C$4395,2,0),"")</f>
        <v/>
      </c>
      <c r="I205" t="str">
        <f>IFERROR(VLOOKUP($A205,原始数据_利率互换_FR007_1年!$A$6:$C$4395,3,0),"")</f>
        <v/>
      </c>
    </row>
    <row r="206" spans="1:9">
      <c r="A206" s="6">
        <v>39699</v>
      </c>
      <c r="B206" t="str">
        <f>IFERROR(VLOOKUP($A206,原始数据_收盘!$A$4:$G$3460,2,0),"")</f>
        <v/>
      </c>
      <c r="C206" t="str">
        <f>IFERROR(VLOOKUP($A206,原始数据_收盘!$A$4:$G$3460,3,0),"")</f>
        <v/>
      </c>
      <c r="D206" t="str">
        <f>IFERROR(VLOOKUP($A206,原始数据_收盘!$A$4:$G$3460,4,0),"")</f>
        <v/>
      </c>
      <c r="E206" t="str">
        <f>IFERROR(VLOOKUP($A206,原始数据_收盘!$A$4:$G$3460,5,0),"")</f>
        <v/>
      </c>
      <c r="F206" t="str">
        <f>IFERROR(VLOOKUP($A206,原始数据_收盘!$A$4:$G$3460,6,0),"")</f>
        <v/>
      </c>
      <c r="G206" t="str">
        <f>IFERROR(VLOOKUP($A206,原始数据_收盘!$A$4:$G$3460,7,0),"")</f>
        <v/>
      </c>
      <c r="H206">
        <f>IFERROR(VLOOKUP($A206,原始数据_利率互换_FR007_1年!$A$6:$C$4395,2,0),"")</f>
        <v>0</v>
      </c>
      <c r="I206">
        <f>IFERROR(VLOOKUP($A206,原始数据_利率互换_FR007_1年!$A$6:$C$4395,3,0),"")</f>
        <v>3.595</v>
      </c>
    </row>
    <row r="207" spans="1:9">
      <c r="A207" s="6">
        <v>39700</v>
      </c>
      <c r="B207" t="str">
        <f>IFERROR(VLOOKUP($A207,原始数据_收盘!$A$4:$G$3460,2,0),"")</f>
        <v/>
      </c>
      <c r="C207" t="str">
        <f>IFERROR(VLOOKUP($A207,原始数据_收盘!$A$4:$G$3460,3,0),"")</f>
        <v/>
      </c>
      <c r="D207" t="str">
        <f>IFERROR(VLOOKUP($A207,原始数据_收盘!$A$4:$G$3460,4,0),"")</f>
        <v/>
      </c>
      <c r="E207" t="str">
        <f>IFERROR(VLOOKUP($A207,原始数据_收盘!$A$4:$G$3460,5,0),"")</f>
        <v/>
      </c>
      <c r="F207" t="str">
        <f>IFERROR(VLOOKUP($A207,原始数据_收盘!$A$4:$G$3460,6,0),"")</f>
        <v/>
      </c>
      <c r="G207" t="str">
        <f>IFERROR(VLOOKUP($A207,原始数据_收盘!$A$4:$G$3460,7,0),"")</f>
        <v/>
      </c>
      <c r="H207" t="str">
        <f>IFERROR(VLOOKUP($A207,原始数据_利率互换_FR007_1年!$A$6:$C$4395,2,0),"")</f>
        <v/>
      </c>
      <c r="I207" t="str">
        <f>IFERROR(VLOOKUP($A207,原始数据_利率互换_FR007_1年!$A$6:$C$4395,3,0),"")</f>
        <v/>
      </c>
    </row>
    <row r="208" spans="1:9">
      <c r="A208" s="6">
        <v>39701</v>
      </c>
      <c r="B208" t="str">
        <f>IFERROR(VLOOKUP($A208,原始数据_收盘!$A$4:$G$3460,2,0),"")</f>
        <v/>
      </c>
      <c r="C208" t="str">
        <f>IFERROR(VLOOKUP($A208,原始数据_收盘!$A$4:$G$3460,3,0),"")</f>
        <v/>
      </c>
      <c r="D208" t="str">
        <f>IFERROR(VLOOKUP($A208,原始数据_收盘!$A$4:$G$3460,4,0),"")</f>
        <v/>
      </c>
      <c r="E208" t="str">
        <f>IFERROR(VLOOKUP($A208,原始数据_收盘!$A$4:$G$3460,5,0),"")</f>
        <v/>
      </c>
      <c r="F208" t="str">
        <f>IFERROR(VLOOKUP($A208,原始数据_收盘!$A$4:$G$3460,6,0),"")</f>
        <v/>
      </c>
      <c r="G208" t="str">
        <f>IFERROR(VLOOKUP($A208,原始数据_收盘!$A$4:$G$3460,7,0),"")</f>
        <v/>
      </c>
      <c r="H208">
        <f>IFERROR(VLOOKUP($A208,原始数据_利率互换_FR007_1年!$A$6:$C$4395,2,0),"")</f>
        <v>3.185</v>
      </c>
      <c r="I208">
        <f>IFERROR(VLOOKUP($A208,原始数据_利率互换_FR007_1年!$A$6:$C$4395,3,0),"")</f>
        <v>3.57</v>
      </c>
    </row>
    <row r="209" spans="1:9">
      <c r="A209" s="6">
        <v>39702</v>
      </c>
      <c r="B209" t="str">
        <f>IFERROR(VLOOKUP($A209,原始数据_收盘!$A$4:$G$3460,2,0),"")</f>
        <v/>
      </c>
      <c r="C209" t="str">
        <f>IFERROR(VLOOKUP($A209,原始数据_收盘!$A$4:$G$3460,3,0),"")</f>
        <v/>
      </c>
      <c r="D209" t="str">
        <f>IFERROR(VLOOKUP($A209,原始数据_收盘!$A$4:$G$3460,4,0),"")</f>
        <v/>
      </c>
      <c r="E209" t="str">
        <f>IFERROR(VLOOKUP($A209,原始数据_收盘!$A$4:$G$3460,5,0),"")</f>
        <v/>
      </c>
      <c r="F209" t="str">
        <f>IFERROR(VLOOKUP($A209,原始数据_收盘!$A$4:$G$3460,6,0),"")</f>
        <v/>
      </c>
      <c r="G209" t="str">
        <f>IFERROR(VLOOKUP($A209,原始数据_收盘!$A$4:$G$3460,7,0),"")</f>
        <v/>
      </c>
      <c r="H209">
        <f>IFERROR(VLOOKUP($A209,原始数据_利率互换_FR007_1年!$A$6:$C$4395,2,0),"")</f>
        <v>3.18</v>
      </c>
      <c r="I209">
        <f>IFERROR(VLOOKUP($A209,原始数据_利率互换_FR007_1年!$A$6:$C$4395,3,0),"")</f>
        <v>0</v>
      </c>
    </row>
    <row r="210" spans="1:9">
      <c r="A210" s="6">
        <v>39703</v>
      </c>
      <c r="B210" t="str">
        <f>IFERROR(VLOOKUP($A210,原始数据_收盘!$A$4:$G$3460,2,0),"")</f>
        <v/>
      </c>
      <c r="C210" t="str">
        <f>IFERROR(VLOOKUP($A210,原始数据_收盘!$A$4:$G$3460,3,0),"")</f>
        <v/>
      </c>
      <c r="D210" t="str">
        <f>IFERROR(VLOOKUP($A210,原始数据_收盘!$A$4:$G$3460,4,0),"")</f>
        <v/>
      </c>
      <c r="E210" t="str">
        <f>IFERROR(VLOOKUP($A210,原始数据_收盘!$A$4:$G$3460,5,0),"")</f>
        <v/>
      </c>
      <c r="F210" t="str">
        <f>IFERROR(VLOOKUP($A210,原始数据_收盘!$A$4:$G$3460,6,0),"")</f>
        <v/>
      </c>
      <c r="G210" t="str">
        <f>IFERROR(VLOOKUP($A210,原始数据_收盘!$A$4:$G$3460,7,0),"")</f>
        <v/>
      </c>
      <c r="H210">
        <f>IFERROR(VLOOKUP($A210,原始数据_利率互换_FR007_1年!$A$6:$C$4395,2,0),"")</f>
        <v>3.185</v>
      </c>
      <c r="I210">
        <f>IFERROR(VLOOKUP($A210,原始数据_利率互换_FR007_1年!$A$6:$C$4395,3,0),"")</f>
        <v>0</v>
      </c>
    </row>
    <row r="211" spans="1:9">
      <c r="A211" s="6">
        <v>39704</v>
      </c>
      <c r="B211" t="str">
        <f>IFERROR(VLOOKUP($A211,原始数据_收盘!$A$4:$G$3460,2,0),"")</f>
        <v/>
      </c>
      <c r="C211" t="str">
        <f>IFERROR(VLOOKUP($A211,原始数据_收盘!$A$4:$G$3460,3,0),"")</f>
        <v/>
      </c>
      <c r="D211" t="str">
        <f>IFERROR(VLOOKUP($A211,原始数据_收盘!$A$4:$G$3460,4,0),"")</f>
        <v/>
      </c>
      <c r="E211" t="str">
        <f>IFERROR(VLOOKUP($A211,原始数据_收盘!$A$4:$G$3460,5,0),"")</f>
        <v/>
      </c>
      <c r="F211" t="str">
        <f>IFERROR(VLOOKUP($A211,原始数据_收盘!$A$4:$G$3460,6,0),"")</f>
        <v/>
      </c>
      <c r="G211" t="str">
        <f>IFERROR(VLOOKUP($A211,原始数据_收盘!$A$4:$G$3460,7,0),"")</f>
        <v/>
      </c>
      <c r="H211" t="str">
        <f>IFERROR(VLOOKUP($A211,原始数据_利率互换_FR007_1年!$A$6:$C$4395,2,0),"")</f>
        <v/>
      </c>
      <c r="I211" t="str">
        <f>IFERROR(VLOOKUP($A211,原始数据_利率互换_FR007_1年!$A$6:$C$4395,3,0),"")</f>
        <v/>
      </c>
    </row>
    <row r="212" spans="1:9">
      <c r="A212" s="6">
        <v>39705</v>
      </c>
      <c r="B212" t="str">
        <f>IFERROR(VLOOKUP($A212,原始数据_收盘!$A$4:$G$3460,2,0),"")</f>
        <v/>
      </c>
      <c r="C212" t="str">
        <f>IFERROR(VLOOKUP($A212,原始数据_收盘!$A$4:$G$3460,3,0),"")</f>
        <v/>
      </c>
      <c r="D212" t="str">
        <f>IFERROR(VLOOKUP($A212,原始数据_收盘!$A$4:$G$3460,4,0),"")</f>
        <v/>
      </c>
      <c r="E212" t="str">
        <f>IFERROR(VLOOKUP($A212,原始数据_收盘!$A$4:$G$3460,5,0),"")</f>
        <v/>
      </c>
      <c r="F212" t="str">
        <f>IFERROR(VLOOKUP($A212,原始数据_收盘!$A$4:$G$3460,6,0),"")</f>
        <v/>
      </c>
      <c r="G212" t="str">
        <f>IFERROR(VLOOKUP($A212,原始数据_收盘!$A$4:$G$3460,7,0),"")</f>
        <v/>
      </c>
      <c r="H212" t="str">
        <f>IFERROR(VLOOKUP($A212,原始数据_利率互换_FR007_1年!$A$6:$C$4395,2,0),"")</f>
        <v/>
      </c>
      <c r="I212" t="str">
        <f>IFERROR(VLOOKUP($A212,原始数据_利率互换_FR007_1年!$A$6:$C$4395,3,0),"")</f>
        <v/>
      </c>
    </row>
    <row r="213" spans="1:9">
      <c r="A213" s="6">
        <v>39706</v>
      </c>
      <c r="B213" t="str">
        <f>IFERROR(VLOOKUP($A213,原始数据_收盘!$A$4:$G$3460,2,0),"")</f>
        <v/>
      </c>
      <c r="C213" t="str">
        <f>IFERROR(VLOOKUP($A213,原始数据_收盘!$A$4:$G$3460,3,0),"")</f>
        <v/>
      </c>
      <c r="D213" t="str">
        <f>IFERROR(VLOOKUP($A213,原始数据_收盘!$A$4:$G$3460,4,0),"")</f>
        <v/>
      </c>
      <c r="E213" t="str">
        <f>IFERROR(VLOOKUP($A213,原始数据_收盘!$A$4:$G$3460,5,0),"")</f>
        <v/>
      </c>
      <c r="F213" t="str">
        <f>IFERROR(VLOOKUP($A213,原始数据_收盘!$A$4:$G$3460,6,0),"")</f>
        <v/>
      </c>
      <c r="G213" t="str">
        <f>IFERROR(VLOOKUP($A213,原始数据_收盘!$A$4:$G$3460,7,0),"")</f>
        <v/>
      </c>
      <c r="H213" t="str">
        <f>IFERROR(VLOOKUP($A213,原始数据_利率互换_FR007_1年!$A$6:$C$4395,2,0),"")</f>
        <v/>
      </c>
      <c r="I213" t="str">
        <f>IFERROR(VLOOKUP($A213,原始数据_利率互换_FR007_1年!$A$6:$C$4395,3,0),"")</f>
        <v/>
      </c>
    </row>
    <row r="214" spans="1:9">
      <c r="A214" s="6">
        <v>39707</v>
      </c>
      <c r="B214" t="str">
        <f>IFERROR(VLOOKUP($A214,原始数据_收盘!$A$4:$G$3460,2,0),"")</f>
        <v/>
      </c>
      <c r="C214" t="str">
        <f>IFERROR(VLOOKUP($A214,原始数据_收盘!$A$4:$G$3460,3,0),"")</f>
        <v/>
      </c>
      <c r="D214" t="str">
        <f>IFERROR(VLOOKUP($A214,原始数据_收盘!$A$4:$G$3460,4,0),"")</f>
        <v/>
      </c>
      <c r="E214" t="str">
        <f>IFERROR(VLOOKUP($A214,原始数据_收盘!$A$4:$G$3460,5,0),"")</f>
        <v/>
      </c>
      <c r="F214" t="str">
        <f>IFERROR(VLOOKUP($A214,原始数据_收盘!$A$4:$G$3460,6,0),"")</f>
        <v/>
      </c>
      <c r="G214" t="str">
        <f>IFERROR(VLOOKUP($A214,原始数据_收盘!$A$4:$G$3460,7,0),"")</f>
        <v/>
      </c>
      <c r="H214">
        <f>IFERROR(VLOOKUP($A214,原始数据_利率互换_FR007_1年!$A$6:$C$4395,2,0),"")</f>
        <v>0</v>
      </c>
      <c r="I214">
        <f>IFERROR(VLOOKUP($A214,原始数据_利率互换_FR007_1年!$A$6:$C$4395,3,0),"")</f>
        <v>3.175</v>
      </c>
    </row>
    <row r="215" spans="1:9">
      <c r="A215" s="6">
        <v>39708</v>
      </c>
      <c r="B215" t="str">
        <f>IFERROR(VLOOKUP($A215,原始数据_收盘!$A$4:$G$3460,2,0),"")</f>
        <v/>
      </c>
      <c r="C215" t="str">
        <f>IFERROR(VLOOKUP($A215,原始数据_收盘!$A$4:$G$3460,3,0),"")</f>
        <v/>
      </c>
      <c r="D215" t="str">
        <f>IFERROR(VLOOKUP($A215,原始数据_收盘!$A$4:$G$3460,4,0),"")</f>
        <v/>
      </c>
      <c r="E215" t="str">
        <f>IFERROR(VLOOKUP($A215,原始数据_收盘!$A$4:$G$3460,5,0),"")</f>
        <v/>
      </c>
      <c r="F215" t="str">
        <f>IFERROR(VLOOKUP($A215,原始数据_收盘!$A$4:$G$3460,6,0),"")</f>
        <v/>
      </c>
      <c r="G215" t="str">
        <f>IFERROR(VLOOKUP($A215,原始数据_收盘!$A$4:$G$3460,7,0),"")</f>
        <v/>
      </c>
      <c r="H215" t="str">
        <f>IFERROR(VLOOKUP($A215,原始数据_利率互换_FR007_1年!$A$6:$C$4395,2,0),"")</f>
        <v/>
      </c>
      <c r="I215" t="str">
        <f>IFERROR(VLOOKUP($A215,原始数据_利率互换_FR007_1年!$A$6:$C$4395,3,0),"")</f>
        <v/>
      </c>
    </row>
    <row r="216" spans="1:9">
      <c r="A216" s="6">
        <v>39709</v>
      </c>
      <c r="B216" t="str">
        <f>IFERROR(VLOOKUP($A216,原始数据_收盘!$A$4:$G$3460,2,0),"")</f>
        <v/>
      </c>
      <c r="C216" t="str">
        <f>IFERROR(VLOOKUP($A216,原始数据_收盘!$A$4:$G$3460,3,0),"")</f>
        <v/>
      </c>
      <c r="D216" t="str">
        <f>IFERROR(VLOOKUP($A216,原始数据_收盘!$A$4:$G$3460,4,0),"")</f>
        <v/>
      </c>
      <c r="E216" t="str">
        <f>IFERROR(VLOOKUP($A216,原始数据_收盘!$A$4:$G$3460,5,0),"")</f>
        <v/>
      </c>
      <c r="F216" t="str">
        <f>IFERROR(VLOOKUP($A216,原始数据_收盘!$A$4:$G$3460,6,0),"")</f>
        <v/>
      </c>
      <c r="G216" t="str">
        <f>IFERROR(VLOOKUP($A216,原始数据_收盘!$A$4:$G$3460,7,0),"")</f>
        <v/>
      </c>
      <c r="H216">
        <f>IFERROR(VLOOKUP($A216,原始数据_利率互换_FR007_1年!$A$6:$C$4395,2,0),"")</f>
        <v>3.04</v>
      </c>
      <c r="I216">
        <f>IFERROR(VLOOKUP($A216,原始数据_利率互换_FR007_1年!$A$6:$C$4395,3,0),"")</f>
        <v>3.18</v>
      </c>
    </row>
    <row r="217" spans="1:9">
      <c r="A217" s="6">
        <v>39710</v>
      </c>
      <c r="B217" t="str">
        <f>IFERROR(VLOOKUP($A217,原始数据_收盘!$A$4:$G$3460,2,0),"")</f>
        <v/>
      </c>
      <c r="C217" t="str">
        <f>IFERROR(VLOOKUP($A217,原始数据_收盘!$A$4:$G$3460,3,0),"")</f>
        <v/>
      </c>
      <c r="D217" t="str">
        <f>IFERROR(VLOOKUP($A217,原始数据_收盘!$A$4:$G$3460,4,0),"")</f>
        <v/>
      </c>
      <c r="E217" t="str">
        <f>IFERROR(VLOOKUP($A217,原始数据_收盘!$A$4:$G$3460,5,0),"")</f>
        <v/>
      </c>
      <c r="F217" t="str">
        <f>IFERROR(VLOOKUP($A217,原始数据_收盘!$A$4:$G$3460,6,0),"")</f>
        <v/>
      </c>
      <c r="G217" t="str">
        <f>IFERROR(VLOOKUP($A217,原始数据_收盘!$A$4:$G$3460,7,0),"")</f>
        <v/>
      </c>
      <c r="H217">
        <f>IFERROR(VLOOKUP($A217,原始数据_利率互换_FR007_1年!$A$6:$C$4395,2,0),"")</f>
        <v>3.018</v>
      </c>
      <c r="I217">
        <f>IFERROR(VLOOKUP($A217,原始数据_利率互换_FR007_1年!$A$6:$C$4395,3,0),"")</f>
        <v>3.2</v>
      </c>
    </row>
    <row r="218" spans="1:9">
      <c r="A218" s="6">
        <v>39711</v>
      </c>
      <c r="B218" t="str">
        <f>IFERROR(VLOOKUP($A218,原始数据_收盘!$A$4:$G$3460,2,0),"")</f>
        <v/>
      </c>
      <c r="C218" t="str">
        <f>IFERROR(VLOOKUP($A218,原始数据_收盘!$A$4:$G$3460,3,0),"")</f>
        <v/>
      </c>
      <c r="D218" t="str">
        <f>IFERROR(VLOOKUP($A218,原始数据_收盘!$A$4:$G$3460,4,0),"")</f>
        <v/>
      </c>
      <c r="E218" t="str">
        <f>IFERROR(VLOOKUP($A218,原始数据_收盘!$A$4:$G$3460,5,0),"")</f>
        <v/>
      </c>
      <c r="F218" t="str">
        <f>IFERROR(VLOOKUP($A218,原始数据_收盘!$A$4:$G$3460,6,0),"")</f>
        <v/>
      </c>
      <c r="G218" t="str">
        <f>IFERROR(VLOOKUP($A218,原始数据_收盘!$A$4:$G$3460,7,0),"")</f>
        <v/>
      </c>
      <c r="H218" t="str">
        <f>IFERROR(VLOOKUP($A218,原始数据_利率互换_FR007_1年!$A$6:$C$4395,2,0),"")</f>
        <v/>
      </c>
      <c r="I218" t="str">
        <f>IFERROR(VLOOKUP($A218,原始数据_利率互换_FR007_1年!$A$6:$C$4395,3,0),"")</f>
        <v/>
      </c>
    </row>
    <row r="219" spans="1:9">
      <c r="A219" s="6">
        <v>39712</v>
      </c>
      <c r="B219" t="str">
        <f>IFERROR(VLOOKUP($A219,原始数据_收盘!$A$4:$G$3460,2,0),"")</f>
        <v/>
      </c>
      <c r="C219" t="str">
        <f>IFERROR(VLOOKUP($A219,原始数据_收盘!$A$4:$G$3460,3,0),"")</f>
        <v/>
      </c>
      <c r="D219" t="str">
        <f>IFERROR(VLOOKUP($A219,原始数据_收盘!$A$4:$G$3460,4,0),"")</f>
        <v/>
      </c>
      <c r="E219" t="str">
        <f>IFERROR(VLOOKUP($A219,原始数据_收盘!$A$4:$G$3460,5,0),"")</f>
        <v/>
      </c>
      <c r="F219" t="str">
        <f>IFERROR(VLOOKUP($A219,原始数据_收盘!$A$4:$G$3460,6,0),"")</f>
        <v/>
      </c>
      <c r="G219" t="str">
        <f>IFERROR(VLOOKUP($A219,原始数据_收盘!$A$4:$G$3460,7,0),"")</f>
        <v/>
      </c>
      <c r="H219" t="str">
        <f>IFERROR(VLOOKUP($A219,原始数据_利率互换_FR007_1年!$A$6:$C$4395,2,0),"")</f>
        <v/>
      </c>
      <c r="I219" t="str">
        <f>IFERROR(VLOOKUP($A219,原始数据_利率互换_FR007_1年!$A$6:$C$4395,3,0),"")</f>
        <v/>
      </c>
    </row>
    <row r="220" spans="1:9">
      <c r="A220" s="6">
        <v>39713</v>
      </c>
      <c r="B220" t="str">
        <f>IFERROR(VLOOKUP($A220,原始数据_收盘!$A$4:$G$3460,2,0),"")</f>
        <v/>
      </c>
      <c r="C220" t="str">
        <f>IFERROR(VLOOKUP($A220,原始数据_收盘!$A$4:$G$3460,3,0),"")</f>
        <v/>
      </c>
      <c r="D220" t="str">
        <f>IFERROR(VLOOKUP($A220,原始数据_收盘!$A$4:$G$3460,4,0),"")</f>
        <v/>
      </c>
      <c r="E220" t="str">
        <f>IFERROR(VLOOKUP($A220,原始数据_收盘!$A$4:$G$3460,5,0),"")</f>
        <v/>
      </c>
      <c r="F220" t="str">
        <f>IFERROR(VLOOKUP($A220,原始数据_收盘!$A$4:$G$3460,6,0),"")</f>
        <v/>
      </c>
      <c r="G220" t="str">
        <f>IFERROR(VLOOKUP($A220,原始数据_收盘!$A$4:$G$3460,7,0),"")</f>
        <v/>
      </c>
      <c r="H220" t="str">
        <f>IFERROR(VLOOKUP($A220,原始数据_利率互换_FR007_1年!$A$6:$C$4395,2,0),"")</f>
        <v/>
      </c>
      <c r="I220" t="str">
        <f>IFERROR(VLOOKUP($A220,原始数据_利率互换_FR007_1年!$A$6:$C$4395,3,0),"")</f>
        <v/>
      </c>
    </row>
    <row r="221" spans="1:9">
      <c r="A221" s="6">
        <v>39714</v>
      </c>
      <c r="B221" t="str">
        <f>IFERROR(VLOOKUP($A221,原始数据_收盘!$A$4:$G$3460,2,0),"")</f>
        <v/>
      </c>
      <c r="C221" t="str">
        <f>IFERROR(VLOOKUP($A221,原始数据_收盘!$A$4:$G$3460,3,0),"")</f>
        <v/>
      </c>
      <c r="D221" t="str">
        <f>IFERROR(VLOOKUP($A221,原始数据_收盘!$A$4:$G$3460,4,0),"")</f>
        <v/>
      </c>
      <c r="E221" t="str">
        <f>IFERROR(VLOOKUP($A221,原始数据_收盘!$A$4:$G$3460,5,0),"")</f>
        <v/>
      </c>
      <c r="F221" t="str">
        <f>IFERROR(VLOOKUP($A221,原始数据_收盘!$A$4:$G$3460,6,0),"")</f>
        <v/>
      </c>
      <c r="G221" t="str">
        <f>IFERROR(VLOOKUP($A221,原始数据_收盘!$A$4:$G$3460,7,0),"")</f>
        <v/>
      </c>
      <c r="H221">
        <f>IFERROR(VLOOKUP($A221,原始数据_利率互换_FR007_1年!$A$6:$C$4395,2,0),"")</f>
        <v>3.03</v>
      </c>
      <c r="I221">
        <f>IFERROR(VLOOKUP($A221,原始数据_利率互换_FR007_1年!$A$6:$C$4395,3,0),"")</f>
        <v>3.17</v>
      </c>
    </row>
    <row r="222" spans="1:9">
      <c r="A222" s="6">
        <v>39715</v>
      </c>
      <c r="B222" t="str">
        <f>IFERROR(VLOOKUP($A222,原始数据_收盘!$A$4:$G$3460,2,0),"")</f>
        <v/>
      </c>
      <c r="C222" t="str">
        <f>IFERROR(VLOOKUP($A222,原始数据_收盘!$A$4:$G$3460,3,0),"")</f>
        <v/>
      </c>
      <c r="D222" t="str">
        <f>IFERROR(VLOOKUP($A222,原始数据_收盘!$A$4:$G$3460,4,0),"")</f>
        <v/>
      </c>
      <c r="E222" t="str">
        <f>IFERROR(VLOOKUP($A222,原始数据_收盘!$A$4:$G$3460,5,0),"")</f>
        <v/>
      </c>
      <c r="F222" t="str">
        <f>IFERROR(VLOOKUP($A222,原始数据_收盘!$A$4:$G$3460,6,0),"")</f>
        <v/>
      </c>
      <c r="G222" t="str">
        <f>IFERROR(VLOOKUP($A222,原始数据_收盘!$A$4:$G$3460,7,0),"")</f>
        <v/>
      </c>
      <c r="H222">
        <f>IFERROR(VLOOKUP($A222,原始数据_利率互换_FR007_1年!$A$6:$C$4395,2,0),"")</f>
        <v>2.99</v>
      </c>
      <c r="I222">
        <f>IFERROR(VLOOKUP($A222,原始数据_利率互换_FR007_1年!$A$6:$C$4395,3,0),"")</f>
        <v>3.14</v>
      </c>
    </row>
    <row r="223" spans="1:9">
      <c r="A223" s="6">
        <v>39716</v>
      </c>
      <c r="B223" t="str">
        <f>IFERROR(VLOOKUP($A223,原始数据_收盘!$A$4:$G$3460,2,0),"")</f>
        <v/>
      </c>
      <c r="C223" t="str">
        <f>IFERROR(VLOOKUP($A223,原始数据_收盘!$A$4:$G$3460,3,0),"")</f>
        <v/>
      </c>
      <c r="D223" t="str">
        <f>IFERROR(VLOOKUP($A223,原始数据_收盘!$A$4:$G$3460,4,0),"")</f>
        <v/>
      </c>
      <c r="E223" t="str">
        <f>IFERROR(VLOOKUP($A223,原始数据_收盘!$A$4:$G$3460,5,0),"")</f>
        <v/>
      </c>
      <c r="F223" t="str">
        <f>IFERROR(VLOOKUP($A223,原始数据_收盘!$A$4:$G$3460,6,0),"")</f>
        <v/>
      </c>
      <c r="G223" t="str">
        <f>IFERROR(VLOOKUP($A223,原始数据_收盘!$A$4:$G$3460,7,0),"")</f>
        <v/>
      </c>
      <c r="H223">
        <f>IFERROR(VLOOKUP($A223,原始数据_利率互换_FR007_1年!$A$6:$C$4395,2,0),"")</f>
        <v>2.985</v>
      </c>
      <c r="I223">
        <f>IFERROR(VLOOKUP($A223,原始数据_利率互换_FR007_1年!$A$6:$C$4395,3,0),"")</f>
        <v>0</v>
      </c>
    </row>
    <row r="224" spans="1:9">
      <c r="A224" s="6">
        <v>39717</v>
      </c>
      <c r="B224" t="str">
        <f>IFERROR(VLOOKUP($A224,原始数据_收盘!$A$4:$G$3460,2,0),"")</f>
        <v/>
      </c>
      <c r="C224" t="str">
        <f>IFERROR(VLOOKUP($A224,原始数据_收盘!$A$4:$G$3460,3,0),"")</f>
        <v/>
      </c>
      <c r="D224" t="str">
        <f>IFERROR(VLOOKUP($A224,原始数据_收盘!$A$4:$G$3460,4,0),"")</f>
        <v/>
      </c>
      <c r="E224" t="str">
        <f>IFERROR(VLOOKUP($A224,原始数据_收盘!$A$4:$G$3460,5,0),"")</f>
        <v/>
      </c>
      <c r="F224" t="str">
        <f>IFERROR(VLOOKUP($A224,原始数据_收盘!$A$4:$G$3460,6,0),"")</f>
        <v/>
      </c>
      <c r="G224" t="str">
        <f>IFERROR(VLOOKUP($A224,原始数据_收盘!$A$4:$G$3460,7,0),"")</f>
        <v/>
      </c>
      <c r="H224">
        <f>IFERROR(VLOOKUP($A224,原始数据_利率互换_FR007_1年!$A$6:$C$4395,2,0),"")</f>
        <v>2.95</v>
      </c>
      <c r="I224">
        <f>IFERROR(VLOOKUP($A224,原始数据_利率互换_FR007_1年!$A$6:$C$4395,3,0),"")</f>
        <v>3.14</v>
      </c>
    </row>
    <row r="225" spans="1:9">
      <c r="A225" s="6">
        <v>39718</v>
      </c>
      <c r="B225" t="str">
        <f>IFERROR(VLOOKUP($A225,原始数据_收盘!$A$4:$G$3460,2,0),"")</f>
        <v/>
      </c>
      <c r="C225" t="str">
        <f>IFERROR(VLOOKUP($A225,原始数据_收盘!$A$4:$G$3460,3,0),"")</f>
        <v/>
      </c>
      <c r="D225" t="str">
        <f>IFERROR(VLOOKUP($A225,原始数据_收盘!$A$4:$G$3460,4,0),"")</f>
        <v/>
      </c>
      <c r="E225" t="str">
        <f>IFERROR(VLOOKUP($A225,原始数据_收盘!$A$4:$G$3460,5,0),"")</f>
        <v/>
      </c>
      <c r="F225" t="str">
        <f>IFERROR(VLOOKUP($A225,原始数据_收盘!$A$4:$G$3460,6,0),"")</f>
        <v/>
      </c>
      <c r="G225" t="str">
        <f>IFERROR(VLOOKUP($A225,原始数据_收盘!$A$4:$G$3460,7,0),"")</f>
        <v/>
      </c>
      <c r="H225">
        <f>IFERROR(VLOOKUP($A225,原始数据_利率互换_FR007_1年!$A$6:$C$4395,2,0),"")</f>
        <v>2.97</v>
      </c>
      <c r="I225">
        <f>IFERROR(VLOOKUP($A225,原始数据_利率互换_FR007_1年!$A$6:$C$4395,3,0),"")</f>
        <v>0</v>
      </c>
    </row>
    <row r="226" spans="1:9">
      <c r="A226" s="6">
        <v>39719</v>
      </c>
      <c r="B226" t="str">
        <f>IFERROR(VLOOKUP($A226,原始数据_收盘!$A$4:$G$3460,2,0),"")</f>
        <v/>
      </c>
      <c r="C226" t="str">
        <f>IFERROR(VLOOKUP($A226,原始数据_收盘!$A$4:$G$3460,3,0),"")</f>
        <v/>
      </c>
      <c r="D226" t="str">
        <f>IFERROR(VLOOKUP($A226,原始数据_收盘!$A$4:$G$3460,4,0),"")</f>
        <v/>
      </c>
      <c r="E226" t="str">
        <f>IFERROR(VLOOKUP($A226,原始数据_收盘!$A$4:$G$3460,5,0),"")</f>
        <v/>
      </c>
      <c r="F226" t="str">
        <f>IFERROR(VLOOKUP($A226,原始数据_收盘!$A$4:$G$3460,6,0),"")</f>
        <v/>
      </c>
      <c r="G226" t="str">
        <f>IFERROR(VLOOKUP($A226,原始数据_收盘!$A$4:$G$3460,7,0),"")</f>
        <v/>
      </c>
      <c r="H226" t="str">
        <f>IFERROR(VLOOKUP($A226,原始数据_利率互换_FR007_1年!$A$6:$C$4395,2,0),"")</f>
        <v/>
      </c>
      <c r="I226" t="str">
        <f>IFERROR(VLOOKUP($A226,原始数据_利率互换_FR007_1年!$A$6:$C$4395,3,0),"")</f>
        <v/>
      </c>
    </row>
    <row r="227" spans="1:9">
      <c r="A227" s="6">
        <v>39720</v>
      </c>
      <c r="B227" t="str">
        <f>IFERROR(VLOOKUP($A227,原始数据_收盘!$A$4:$G$3460,2,0),"")</f>
        <v/>
      </c>
      <c r="C227" t="str">
        <f>IFERROR(VLOOKUP($A227,原始数据_收盘!$A$4:$G$3460,3,0),"")</f>
        <v/>
      </c>
      <c r="D227" t="str">
        <f>IFERROR(VLOOKUP($A227,原始数据_收盘!$A$4:$G$3460,4,0),"")</f>
        <v/>
      </c>
      <c r="E227" t="str">
        <f>IFERROR(VLOOKUP($A227,原始数据_收盘!$A$4:$G$3460,5,0),"")</f>
        <v/>
      </c>
      <c r="F227" t="str">
        <f>IFERROR(VLOOKUP($A227,原始数据_收盘!$A$4:$G$3460,6,0),"")</f>
        <v/>
      </c>
      <c r="G227" t="str">
        <f>IFERROR(VLOOKUP($A227,原始数据_收盘!$A$4:$G$3460,7,0),"")</f>
        <v/>
      </c>
      <c r="H227" t="str">
        <f>IFERROR(VLOOKUP($A227,原始数据_利率互换_FR007_1年!$A$6:$C$4395,2,0),"")</f>
        <v/>
      </c>
      <c r="I227" t="str">
        <f>IFERROR(VLOOKUP($A227,原始数据_利率互换_FR007_1年!$A$6:$C$4395,3,0),"")</f>
        <v/>
      </c>
    </row>
    <row r="228" spans="1:9">
      <c r="A228" s="6">
        <v>39721</v>
      </c>
      <c r="B228" t="str">
        <f>IFERROR(VLOOKUP($A228,原始数据_收盘!$A$4:$G$3460,2,0),"")</f>
        <v/>
      </c>
      <c r="C228" t="str">
        <f>IFERROR(VLOOKUP($A228,原始数据_收盘!$A$4:$G$3460,3,0),"")</f>
        <v/>
      </c>
      <c r="D228" t="str">
        <f>IFERROR(VLOOKUP($A228,原始数据_收盘!$A$4:$G$3460,4,0),"")</f>
        <v/>
      </c>
      <c r="E228" t="str">
        <f>IFERROR(VLOOKUP($A228,原始数据_收盘!$A$4:$G$3460,5,0),"")</f>
        <v/>
      </c>
      <c r="F228" t="str">
        <f>IFERROR(VLOOKUP($A228,原始数据_收盘!$A$4:$G$3460,6,0),"")</f>
        <v/>
      </c>
      <c r="G228" t="str">
        <f>IFERROR(VLOOKUP($A228,原始数据_收盘!$A$4:$G$3460,7,0),"")</f>
        <v/>
      </c>
      <c r="H228" t="str">
        <f>IFERROR(VLOOKUP($A228,原始数据_利率互换_FR007_1年!$A$6:$C$4395,2,0),"")</f>
        <v/>
      </c>
      <c r="I228" t="str">
        <f>IFERROR(VLOOKUP($A228,原始数据_利率互换_FR007_1年!$A$6:$C$4395,3,0),"")</f>
        <v/>
      </c>
    </row>
    <row r="229" spans="1:9">
      <c r="A229" s="6">
        <v>39722</v>
      </c>
      <c r="B229" t="str">
        <f>IFERROR(VLOOKUP($A229,原始数据_收盘!$A$4:$G$3460,2,0),"")</f>
        <v/>
      </c>
      <c r="C229" t="str">
        <f>IFERROR(VLOOKUP($A229,原始数据_收盘!$A$4:$G$3460,3,0),"")</f>
        <v/>
      </c>
      <c r="D229" t="str">
        <f>IFERROR(VLOOKUP($A229,原始数据_收盘!$A$4:$G$3460,4,0),"")</f>
        <v/>
      </c>
      <c r="E229" t="str">
        <f>IFERROR(VLOOKUP($A229,原始数据_收盘!$A$4:$G$3460,5,0),"")</f>
        <v/>
      </c>
      <c r="F229" t="str">
        <f>IFERROR(VLOOKUP($A229,原始数据_收盘!$A$4:$G$3460,6,0),"")</f>
        <v/>
      </c>
      <c r="G229" t="str">
        <f>IFERROR(VLOOKUP($A229,原始数据_收盘!$A$4:$G$3460,7,0),"")</f>
        <v/>
      </c>
      <c r="H229" t="str">
        <f>IFERROR(VLOOKUP($A229,原始数据_利率互换_FR007_1年!$A$6:$C$4395,2,0),"")</f>
        <v/>
      </c>
      <c r="I229" t="str">
        <f>IFERROR(VLOOKUP($A229,原始数据_利率互换_FR007_1年!$A$6:$C$4395,3,0),"")</f>
        <v/>
      </c>
    </row>
    <row r="230" spans="1:9">
      <c r="A230" s="6">
        <v>39723</v>
      </c>
      <c r="B230" t="str">
        <f>IFERROR(VLOOKUP($A230,原始数据_收盘!$A$4:$G$3460,2,0),"")</f>
        <v/>
      </c>
      <c r="C230" t="str">
        <f>IFERROR(VLOOKUP($A230,原始数据_收盘!$A$4:$G$3460,3,0),"")</f>
        <v/>
      </c>
      <c r="D230" t="str">
        <f>IFERROR(VLOOKUP($A230,原始数据_收盘!$A$4:$G$3460,4,0),"")</f>
        <v/>
      </c>
      <c r="E230" t="str">
        <f>IFERROR(VLOOKUP($A230,原始数据_收盘!$A$4:$G$3460,5,0),"")</f>
        <v/>
      </c>
      <c r="F230" t="str">
        <f>IFERROR(VLOOKUP($A230,原始数据_收盘!$A$4:$G$3460,6,0),"")</f>
        <v/>
      </c>
      <c r="G230" t="str">
        <f>IFERROR(VLOOKUP($A230,原始数据_收盘!$A$4:$G$3460,7,0),"")</f>
        <v/>
      </c>
      <c r="H230" t="str">
        <f>IFERROR(VLOOKUP($A230,原始数据_利率互换_FR007_1年!$A$6:$C$4395,2,0),"")</f>
        <v/>
      </c>
      <c r="I230" t="str">
        <f>IFERROR(VLOOKUP($A230,原始数据_利率互换_FR007_1年!$A$6:$C$4395,3,0),"")</f>
        <v/>
      </c>
    </row>
    <row r="231" spans="1:9">
      <c r="A231" s="6">
        <v>39724</v>
      </c>
      <c r="B231" t="str">
        <f>IFERROR(VLOOKUP($A231,原始数据_收盘!$A$4:$G$3460,2,0),"")</f>
        <v/>
      </c>
      <c r="C231" t="str">
        <f>IFERROR(VLOOKUP($A231,原始数据_收盘!$A$4:$G$3460,3,0),"")</f>
        <v/>
      </c>
      <c r="D231" t="str">
        <f>IFERROR(VLOOKUP($A231,原始数据_收盘!$A$4:$G$3460,4,0),"")</f>
        <v/>
      </c>
      <c r="E231" t="str">
        <f>IFERROR(VLOOKUP($A231,原始数据_收盘!$A$4:$G$3460,5,0),"")</f>
        <v/>
      </c>
      <c r="F231" t="str">
        <f>IFERROR(VLOOKUP($A231,原始数据_收盘!$A$4:$G$3460,6,0),"")</f>
        <v/>
      </c>
      <c r="G231" t="str">
        <f>IFERROR(VLOOKUP($A231,原始数据_收盘!$A$4:$G$3460,7,0),"")</f>
        <v/>
      </c>
      <c r="H231" t="str">
        <f>IFERROR(VLOOKUP($A231,原始数据_利率互换_FR007_1年!$A$6:$C$4395,2,0),"")</f>
        <v/>
      </c>
      <c r="I231" t="str">
        <f>IFERROR(VLOOKUP($A231,原始数据_利率互换_FR007_1年!$A$6:$C$4395,3,0),"")</f>
        <v/>
      </c>
    </row>
    <row r="232" spans="1:9">
      <c r="A232" s="6">
        <v>39725</v>
      </c>
      <c r="B232" t="str">
        <f>IFERROR(VLOOKUP($A232,原始数据_收盘!$A$4:$G$3460,2,0),"")</f>
        <v/>
      </c>
      <c r="C232" t="str">
        <f>IFERROR(VLOOKUP($A232,原始数据_收盘!$A$4:$G$3460,3,0),"")</f>
        <v/>
      </c>
      <c r="D232" t="str">
        <f>IFERROR(VLOOKUP($A232,原始数据_收盘!$A$4:$G$3460,4,0),"")</f>
        <v/>
      </c>
      <c r="E232" t="str">
        <f>IFERROR(VLOOKUP($A232,原始数据_收盘!$A$4:$G$3460,5,0),"")</f>
        <v/>
      </c>
      <c r="F232" t="str">
        <f>IFERROR(VLOOKUP($A232,原始数据_收盘!$A$4:$G$3460,6,0),"")</f>
        <v/>
      </c>
      <c r="G232" t="str">
        <f>IFERROR(VLOOKUP($A232,原始数据_收盘!$A$4:$G$3460,7,0),"")</f>
        <v/>
      </c>
      <c r="H232" t="str">
        <f>IFERROR(VLOOKUP($A232,原始数据_利率互换_FR007_1年!$A$6:$C$4395,2,0),"")</f>
        <v/>
      </c>
      <c r="I232" t="str">
        <f>IFERROR(VLOOKUP($A232,原始数据_利率互换_FR007_1年!$A$6:$C$4395,3,0),"")</f>
        <v/>
      </c>
    </row>
    <row r="233" spans="1:9">
      <c r="A233" s="6">
        <v>39726</v>
      </c>
      <c r="B233" t="str">
        <f>IFERROR(VLOOKUP($A233,原始数据_收盘!$A$4:$G$3460,2,0),"")</f>
        <v/>
      </c>
      <c r="C233" t="str">
        <f>IFERROR(VLOOKUP($A233,原始数据_收盘!$A$4:$G$3460,3,0),"")</f>
        <v/>
      </c>
      <c r="D233" t="str">
        <f>IFERROR(VLOOKUP($A233,原始数据_收盘!$A$4:$G$3460,4,0),"")</f>
        <v/>
      </c>
      <c r="E233" t="str">
        <f>IFERROR(VLOOKUP($A233,原始数据_收盘!$A$4:$G$3460,5,0),"")</f>
        <v/>
      </c>
      <c r="F233" t="str">
        <f>IFERROR(VLOOKUP($A233,原始数据_收盘!$A$4:$G$3460,6,0),"")</f>
        <v/>
      </c>
      <c r="G233" t="str">
        <f>IFERROR(VLOOKUP($A233,原始数据_收盘!$A$4:$G$3460,7,0),"")</f>
        <v/>
      </c>
      <c r="H233" t="str">
        <f>IFERROR(VLOOKUP($A233,原始数据_利率互换_FR007_1年!$A$6:$C$4395,2,0),"")</f>
        <v/>
      </c>
      <c r="I233" t="str">
        <f>IFERROR(VLOOKUP($A233,原始数据_利率互换_FR007_1年!$A$6:$C$4395,3,0),"")</f>
        <v/>
      </c>
    </row>
    <row r="234" spans="1:9">
      <c r="A234" s="6">
        <v>39727</v>
      </c>
      <c r="B234" t="str">
        <f>IFERROR(VLOOKUP($A234,原始数据_收盘!$A$4:$G$3460,2,0),"")</f>
        <v/>
      </c>
      <c r="C234" t="str">
        <f>IFERROR(VLOOKUP($A234,原始数据_收盘!$A$4:$G$3460,3,0),"")</f>
        <v/>
      </c>
      <c r="D234" t="str">
        <f>IFERROR(VLOOKUP($A234,原始数据_收盘!$A$4:$G$3460,4,0),"")</f>
        <v/>
      </c>
      <c r="E234" t="str">
        <f>IFERROR(VLOOKUP($A234,原始数据_收盘!$A$4:$G$3460,5,0),"")</f>
        <v/>
      </c>
      <c r="F234" t="str">
        <f>IFERROR(VLOOKUP($A234,原始数据_收盘!$A$4:$G$3460,6,0),"")</f>
        <v/>
      </c>
      <c r="G234" t="str">
        <f>IFERROR(VLOOKUP($A234,原始数据_收盘!$A$4:$G$3460,7,0),"")</f>
        <v/>
      </c>
      <c r="H234" t="str">
        <f>IFERROR(VLOOKUP($A234,原始数据_利率互换_FR007_1年!$A$6:$C$4395,2,0),"")</f>
        <v/>
      </c>
      <c r="I234" t="str">
        <f>IFERROR(VLOOKUP($A234,原始数据_利率互换_FR007_1年!$A$6:$C$4395,3,0),"")</f>
        <v/>
      </c>
    </row>
    <row r="235" spans="1:9">
      <c r="A235" s="6">
        <v>39728</v>
      </c>
      <c r="B235" t="str">
        <f>IFERROR(VLOOKUP($A235,原始数据_收盘!$A$4:$G$3460,2,0),"")</f>
        <v/>
      </c>
      <c r="C235" t="str">
        <f>IFERROR(VLOOKUP($A235,原始数据_收盘!$A$4:$G$3460,3,0),"")</f>
        <v/>
      </c>
      <c r="D235" t="str">
        <f>IFERROR(VLOOKUP($A235,原始数据_收盘!$A$4:$G$3460,4,0),"")</f>
        <v/>
      </c>
      <c r="E235" t="str">
        <f>IFERROR(VLOOKUP($A235,原始数据_收盘!$A$4:$G$3460,5,0),"")</f>
        <v/>
      </c>
      <c r="F235" t="str">
        <f>IFERROR(VLOOKUP($A235,原始数据_收盘!$A$4:$G$3460,6,0),"")</f>
        <v/>
      </c>
      <c r="G235" t="str">
        <f>IFERROR(VLOOKUP($A235,原始数据_收盘!$A$4:$G$3460,7,0),"")</f>
        <v/>
      </c>
      <c r="H235">
        <f>IFERROR(VLOOKUP($A235,原始数据_利率互换_FR007_1年!$A$6:$C$4395,2,0),"")</f>
        <v>3.01</v>
      </c>
      <c r="I235">
        <f>IFERROR(VLOOKUP($A235,原始数据_利率互换_FR007_1年!$A$6:$C$4395,3,0),"")</f>
        <v>3.02</v>
      </c>
    </row>
    <row r="236" spans="1:9">
      <c r="A236" s="6">
        <v>39729</v>
      </c>
      <c r="B236" t="str">
        <f>IFERROR(VLOOKUP($A236,原始数据_收盘!$A$4:$G$3460,2,0),"")</f>
        <v/>
      </c>
      <c r="C236" t="str">
        <f>IFERROR(VLOOKUP($A236,原始数据_收盘!$A$4:$G$3460,3,0),"")</f>
        <v/>
      </c>
      <c r="D236" t="str">
        <f>IFERROR(VLOOKUP($A236,原始数据_收盘!$A$4:$G$3460,4,0),"")</f>
        <v/>
      </c>
      <c r="E236" t="str">
        <f>IFERROR(VLOOKUP($A236,原始数据_收盘!$A$4:$G$3460,5,0),"")</f>
        <v/>
      </c>
      <c r="F236" t="str">
        <f>IFERROR(VLOOKUP($A236,原始数据_收盘!$A$4:$G$3460,6,0),"")</f>
        <v/>
      </c>
      <c r="G236" t="str">
        <f>IFERROR(VLOOKUP($A236,原始数据_收盘!$A$4:$G$3460,7,0),"")</f>
        <v/>
      </c>
      <c r="H236">
        <f>IFERROR(VLOOKUP($A236,原始数据_利率互换_FR007_1年!$A$6:$C$4395,2,0),"")</f>
        <v>2.805</v>
      </c>
      <c r="I236">
        <f>IFERROR(VLOOKUP($A236,原始数据_利率互换_FR007_1年!$A$6:$C$4395,3,0),"")</f>
        <v>2.71</v>
      </c>
    </row>
    <row r="237" spans="1:9">
      <c r="A237" s="6">
        <v>39730</v>
      </c>
      <c r="B237" t="str">
        <f>IFERROR(VLOOKUP($A237,原始数据_收盘!$A$4:$G$3460,2,0),"")</f>
        <v/>
      </c>
      <c r="C237" t="str">
        <f>IFERROR(VLOOKUP($A237,原始数据_收盘!$A$4:$G$3460,3,0),"")</f>
        <v/>
      </c>
      <c r="D237" t="str">
        <f>IFERROR(VLOOKUP($A237,原始数据_收盘!$A$4:$G$3460,4,0),"")</f>
        <v/>
      </c>
      <c r="E237" t="str">
        <f>IFERROR(VLOOKUP($A237,原始数据_收盘!$A$4:$G$3460,5,0),"")</f>
        <v/>
      </c>
      <c r="F237" t="str">
        <f>IFERROR(VLOOKUP($A237,原始数据_收盘!$A$4:$G$3460,6,0),"")</f>
        <v/>
      </c>
      <c r="G237" t="str">
        <f>IFERROR(VLOOKUP($A237,原始数据_收盘!$A$4:$G$3460,7,0),"")</f>
        <v/>
      </c>
      <c r="H237">
        <f>IFERROR(VLOOKUP($A237,原始数据_利率互换_FR007_1年!$A$6:$C$4395,2,0),"")</f>
        <v>2.638</v>
      </c>
      <c r="I237">
        <f>IFERROR(VLOOKUP($A237,原始数据_利率互换_FR007_1年!$A$6:$C$4395,3,0),"")</f>
        <v>2.548</v>
      </c>
    </row>
    <row r="238" spans="1:9">
      <c r="A238" s="6">
        <v>39731</v>
      </c>
      <c r="B238" t="str">
        <f>IFERROR(VLOOKUP($A238,原始数据_收盘!$A$4:$G$3460,2,0),"")</f>
        <v/>
      </c>
      <c r="C238" t="str">
        <f>IFERROR(VLOOKUP($A238,原始数据_收盘!$A$4:$G$3460,3,0),"")</f>
        <v/>
      </c>
      <c r="D238" t="str">
        <f>IFERROR(VLOOKUP($A238,原始数据_收盘!$A$4:$G$3460,4,0),"")</f>
        <v/>
      </c>
      <c r="E238" t="str">
        <f>IFERROR(VLOOKUP($A238,原始数据_收盘!$A$4:$G$3460,5,0),"")</f>
        <v/>
      </c>
      <c r="F238" t="str">
        <f>IFERROR(VLOOKUP($A238,原始数据_收盘!$A$4:$G$3460,6,0),"")</f>
        <v/>
      </c>
      <c r="G238" t="str">
        <f>IFERROR(VLOOKUP($A238,原始数据_收盘!$A$4:$G$3460,7,0),"")</f>
        <v/>
      </c>
      <c r="H238">
        <f>IFERROR(VLOOKUP($A238,原始数据_利率互换_FR007_1年!$A$6:$C$4395,2,0),"")</f>
        <v>2.62</v>
      </c>
      <c r="I238">
        <f>IFERROR(VLOOKUP($A238,原始数据_利率互换_FR007_1年!$A$6:$C$4395,3,0),"")</f>
        <v>2.641</v>
      </c>
    </row>
    <row r="239" spans="1:9">
      <c r="A239" s="6">
        <v>39732</v>
      </c>
      <c r="B239" t="str">
        <f>IFERROR(VLOOKUP($A239,原始数据_收盘!$A$4:$G$3460,2,0),"")</f>
        <v/>
      </c>
      <c r="C239" t="str">
        <f>IFERROR(VLOOKUP($A239,原始数据_收盘!$A$4:$G$3460,3,0),"")</f>
        <v/>
      </c>
      <c r="D239" t="str">
        <f>IFERROR(VLOOKUP($A239,原始数据_收盘!$A$4:$G$3460,4,0),"")</f>
        <v/>
      </c>
      <c r="E239" t="str">
        <f>IFERROR(VLOOKUP($A239,原始数据_收盘!$A$4:$G$3460,5,0),"")</f>
        <v/>
      </c>
      <c r="F239" t="str">
        <f>IFERROR(VLOOKUP($A239,原始数据_收盘!$A$4:$G$3460,6,0),"")</f>
        <v/>
      </c>
      <c r="G239" t="str">
        <f>IFERROR(VLOOKUP($A239,原始数据_收盘!$A$4:$G$3460,7,0),"")</f>
        <v/>
      </c>
      <c r="H239" t="str">
        <f>IFERROR(VLOOKUP($A239,原始数据_利率互换_FR007_1年!$A$6:$C$4395,2,0),"")</f>
        <v/>
      </c>
      <c r="I239" t="str">
        <f>IFERROR(VLOOKUP($A239,原始数据_利率互换_FR007_1年!$A$6:$C$4395,3,0),"")</f>
        <v/>
      </c>
    </row>
    <row r="240" spans="1:9">
      <c r="A240" s="6">
        <v>39733</v>
      </c>
      <c r="B240" t="str">
        <f>IFERROR(VLOOKUP($A240,原始数据_收盘!$A$4:$G$3460,2,0),"")</f>
        <v/>
      </c>
      <c r="C240" t="str">
        <f>IFERROR(VLOOKUP($A240,原始数据_收盘!$A$4:$G$3460,3,0),"")</f>
        <v/>
      </c>
      <c r="D240" t="str">
        <f>IFERROR(VLOOKUP($A240,原始数据_收盘!$A$4:$G$3460,4,0),"")</f>
        <v/>
      </c>
      <c r="E240" t="str">
        <f>IFERROR(VLOOKUP($A240,原始数据_收盘!$A$4:$G$3460,5,0),"")</f>
        <v/>
      </c>
      <c r="F240" t="str">
        <f>IFERROR(VLOOKUP($A240,原始数据_收盘!$A$4:$G$3460,6,0),"")</f>
        <v/>
      </c>
      <c r="G240" t="str">
        <f>IFERROR(VLOOKUP($A240,原始数据_收盘!$A$4:$G$3460,7,0),"")</f>
        <v/>
      </c>
      <c r="H240" t="str">
        <f>IFERROR(VLOOKUP($A240,原始数据_利率互换_FR007_1年!$A$6:$C$4395,2,0),"")</f>
        <v/>
      </c>
      <c r="I240" t="str">
        <f>IFERROR(VLOOKUP($A240,原始数据_利率互换_FR007_1年!$A$6:$C$4395,3,0),"")</f>
        <v/>
      </c>
    </row>
    <row r="241" spans="1:9">
      <c r="A241" s="6">
        <v>39734</v>
      </c>
      <c r="B241" t="str">
        <f>IFERROR(VLOOKUP($A241,原始数据_收盘!$A$4:$G$3460,2,0),"")</f>
        <v/>
      </c>
      <c r="C241" t="str">
        <f>IFERROR(VLOOKUP($A241,原始数据_收盘!$A$4:$G$3460,3,0),"")</f>
        <v/>
      </c>
      <c r="D241" t="str">
        <f>IFERROR(VLOOKUP($A241,原始数据_收盘!$A$4:$G$3460,4,0),"")</f>
        <v/>
      </c>
      <c r="E241" t="str">
        <f>IFERROR(VLOOKUP($A241,原始数据_收盘!$A$4:$G$3460,5,0),"")</f>
        <v/>
      </c>
      <c r="F241" t="str">
        <f>IFERROR(VLOOKUP($A241,原始数据_收盘!$A$4:$G$3460,6,0),"")</f>
        <v/>
      </c>
      <c r="G241" t="str">
        <f>IFERROR(VLOOKUP($A241,原始数据_收盘!$A$4:$G$3460,7,0),"")</f>
        <v/>
      </c>
      <c r="H241">
        <f>IFERROR(VLOOKUP($A241,原始数据_利率互换_FR007_1年!$A$6:$C$4395,2,0),"")</f>
        <v>2.65</v>
      </c>
      <c r="I241">
        <f>IFERROR(VLOOKUP($A241,原始数据_利率互换_FR007_1年!$A$6:$C$4395,3,0),"")</f>
        <v>0</v>
      </c>
    </row>
    <row r="242" spans="1:9">
      <c r="A242" s="6">
        <v>39735</v>
      </c>
      <c r="B242" t="str">
        <f>IFERROR(VLOOKUP($A242,原始数据_收盘!$A$4:$G$3460,2,0),"")</f>
        <v/>
      </c>
      <c r="C242" t="str">
        <f>IFERROR(VLOOKUP($A242,原始数据_收盘!$A$4:$G$3460,3,0),"")</f>
        <v/>
      </c>
      <c r="D242" t="str">
        <f>IFERROR(VLOOKUP($A242,原始数据_收盘!$A$4:$G$3460,4,0),"")</f>
        <v/>
      </c>
      <c r="E242" t="str">
        <f>IFERROR(VLOOKUP($A242,原始数据_收盘!$A$4:$G$3460,5,0),"")</f>
        <v/>
      </c>
      <c r="F242" t="str">
        <f>IFERROR(VLOOKUP($A242,原始数据_收盘!$A$4:$G$3460,6,0),"")</f>
        <v/>
      </c>
      <c r="G242" t="str">
        <f>IFERROR(VLOOKUP($A242,原始数据_收盘!$A$4:$G$3460,7,0),"")</f>
        <v/>
      </c>
      <c r="H242">
        <f>IFERROR(VLOOKUP($A242,原始数据_利率互换_FR007_1年!$A$6:$C$4395,2,0),"")</f>
        <v>2.67</v>
      </c>
      <c r="I242">
        <f>IFERROR(VLOOKUP($A242,原始数据_利率互换_FR007_1年!$A$6:$C$4395,3,0),"")</f>
        <v>2.7</v>
      </c>
    </row>
    <row r="243" spans="1:9">
      <c r="A243" s="6">
        <v>39736</v>
      </c>
      <c r="B243" t="str">
        <f>IFERROR(VLOOKUP($A243,原始数据_收盘!$A$4:$G$3460,2,0),"")</f>
        <v/>
      </c>
      <c r="C243" t="str">
        <f>IFERROR(VLOOKUP($A243,原始数据_收盘!$A$4:$G$3460,3,0),"")</f>
        <v/>
      </c>
      <c r="D243" t="str">
        <f>IFERROR(VLOOKUP($A243,原始数据_收盘!$A$4:$G$3460,4,0),"")</f>
        <v/>
      </c>
      <c r="E243" t="str">
        <f>IFERROR(VLOOKUP($A243,原始数据_收盘!$A$4:$G$3460,5,0),"")</f>
        <v/>
      </c>
      <c r="F243" t="str">
        <f>IFERROR(VLOOKUP($A243,原始数据_收盘!$A$4:$G$3460,6,0),"")</f>
        <v/>
      </c>
      <c r="G243" t="str">
        <f>IFERROR(VLOOKUP($A243,原始数据_收盘!$A$4:$G$3460,7,0),"")</f>
        <v/>
      </c>
      <c r="H243">
        <f>IFERROR(VLOOKUP($A243,原始数据_利率互换_FR007_1年!$A$6:$C$4395,2,0),"")</f>
        <v>2.66</v>
      </c>
      <c r="I243">
        <f>IFERROR(VLOOKUP($A243,原始数据_利率互换_FR007_1年!$A$6:$C$4395,3,0),"")</f>
        <v>2.66</v>
      </c>
    </row>
    <row r="244" spans="1:9">
      <c r="A244" s="6">
        <v>39737</v>
      </c>
      <c r="B244" t="str">
        <f>IFERROR(VLOOKUP($A244,原始数据_收盘!$A$4:$G$3460,2,0),"")</f>
        <v/>
      </c>
      <c r="C244" t="str">
        <f>IFERROR(VLOOKUP($A244,原始数据_收盘!$A$4:$G$3460,3,0),"")</f>
        <v/>
      </c>
      <c r="D244" t="str">
        <f>IFERROR(VLOOKUP($A244,原始数据_收盘!$A$4:$G$3460,4,0),"")</f>
        <v/>
      </c>
      <c r="E244" t="str">
        <f>IFERROR(VLOOKUP($A244,原始数据_收盘!$A$4:$G$3460,5,0),"")</f>
        <v/>
      </c>
      <c r="F244" t="str">
        <f>IFERROR(VLOOKUP($A244,原始数据_收盘!$A$4:$G$3460,6,0),"")</f>
        <v/>
      </c>
      <c r="G244" t="str">
        <f>IFERROR(VLOOKUP($A244,原始数据_收盘!$A$4:$G$3460,7,0),"")</f>
        <v/>
      </c>
      <c r="H244">
        <f>IFERROR(VLOOKUP($A244,原始数据_利率互换_FR007_1年!$A$6:$C$4395,2,0),"")</f>
        <v>0</v>
      </c>
      <c r="I244">
        <f>IFERROR(VLOOKUP($A244,原始数据_利率互换_FR007_1年!$A$6:$C$4395,3,0),"")</f>
        <v>2.68</v>
      </c>
    </row>
    <row r="245" spans="1:9">
      <c r="A245" s="6">
        <v>39738</v>
      </c>
      <c r="B245" t="str">
        <f>IFERROR(VLOOKUP($A245,原始数据_收盘!$A$4:$G$3460,2,0),"")</f>
        <v/>
      </c>
      <c r="C245" t="str">
        <f>IFERROR(VLOOKUP($A245,原始数据_收盘!$A$4:$G$3460,3,0),"")</f>
        <v/>
      </c>
      <c r="D245" t="str">
        <f>IFERROR(VLOOKUP($A245,原始数据_收盘!$A$4:$G$3460,4,0),"")</f>
        <v/>
      </c>
      <c r="E245" t="str">
        <f>IFERROR(VLOOKUP($A245,原始数据_收盘!$A$4:$G$3460,5,0),"")</f>
        <v/>
      </c>
      <c r="F245" t="str">
        <f>IFERROR(VLOOKUP($A245,原始数据_收盘!$A$4:$G$3460,6,0),"")</f>
        <v/>
      </c>
      <c r="G245" t="str">
        <f>IFERROR(VLOOKUP($A245,原始数据_收盘!$A$4:$G$3460,7,0),"")</f>
        <v/>
      </c>
      <c r="H245">
        <f>IFERROR(VLOOKUP($A245,原始数据_利率互换_FR007_1年!$A$6:$C$4395,2,0),"")</f>
        <v>2.66</v>
      </c>
      <c r="I245">
        <f>IFERROR(VLOOKUP($A245,原始数据_利率互换_FR007_1年!$A$6:$C$4395,3,0),"")</f>
        <v>2.74</v>
      </c>
    </row>
    <row r="246" spans="1:9">
      <c r="A246" s="6">
        <v>39739</v>
      </c>
      <c r="B246" t="str">
        <f>IFERROR(VLOOKUP($A246,原始数据_收盘!$A$4:$G$3460,2,0),"")</f>
        <v/>
      </c>
      <c r="C246" t="str">
        <f>IFERROR(VLOOKUP($A246,原始数据_收盘!$A$4:$G$3460,3,0),"")</f>
        <v/>
      </c>
      <c r="D246" t="str">
        <f>IFERROR(VLOOKUP($A246,原始数据_收盘!$A$4:$G$3460,4,0),"")</f>
        <v/>
      </c>
      <c r="E246" t="str">
        <f>IFERROR(VLOOKUP($A246,原始数据_收盘!$A$4:$G$3460,5,0),"")</f>
        <v/>
      </c>
      <c r="F246" t="str">
        <f>IFERROR(VLOOKUP($A246,原始数据_收盘!$A$4:$G$3460,6,0),"")</f>
        <v/>
      </c>
      <c r="G246" t="str">
        <f>IFERROR(VLOOKUP($A246,原始数据_收盘!$A$4:$G$3460,7,0),"")</f>
        <v/>
      </c>
      <c r="H246" t="str">
        <f>IFERROR(VLOOKUP($A246,原始数据_利率互换_FR007_1年!$A$6:$C$4395,2,0),"")</f>
        <v/>
      </c>
      <c r="I246" t="str">
        <f>IFERROR(VLOOKUP($A246,原始数据_利率互换_FR007_1年!$A$6:$C$4395,3,0),"")</f>
        <v/>
      </c>
    </row>
    <row r="247" spans="1:9">
      <c r="A247" s="6">
        <v>39740</v>
      </c>
      <c r="B247" t="str">
        <f>IFERROR(VLOOKUP($A247,原始数据_收盘!$A$4:$G$3460,2,0),"")</f>
        <v/>
      </c>
      <c r="C247" t="str">
        <f>IFERROR(VLOOKUP($A247,原始数据_收盘!$A$4:$G$3460,3,0),"")</f>
        <v/>
      </c>
      <c r="D247" t="str">
        <f>IFERROR(VLOOKUP($A247,原始数据_收盘!$A$4:$G$3460,4,0),"")</f>
        <v/>
      </c>
      <c r="E247" t="str">
        <f>IFERROR(VLOOKUP($A247,原始数据_收盘!$A$4:$G$3460,5,0),"")</f>
        <v/>
      </c>
      <c r="F247" t="str">
        <f>IFERROR(VLOOKUP($A247,原始数据_收盘!$A$4:$G$3460,6,0),"")</f>
        <v/>
      </c>
      <c r="G247" t="str">
        <f>IFERROR(VLOOKUP($A247,原始数据_收盘!$A$4:$G$3460,7,0),"")</f>
        <v/>
      </c>
      <c r="H247" t="str">
        <f>IFERROR(VLOOKUP($A247,原始数据_利率互换_FR007_1年!$A$6:$C$4395,2,0),"")</f>
        <v/>
      </c>
      <c r="I247" t="str">
        <f>IFERROR(VLOOKUP($A247,原始数据_利率互换_FR007_1年!$A$6:$C$4395,3,0),"")</f>
        <v/>
      </c>
    </row>
    <row r="248" spans="1:9">
      <c r="A248" s="6">
        <v>39741</v>
      </c>
      <c r="B248" t="str">
        <f>IFERROR(VLOOKUP($A248,原始数据_收盘!$A$4:$G$3460,2,0),"")</f>
        <v/>
      </c>
      <c r="C248" t="str">
        <f>IFERROR(VLOOKUP($A248,原始数据_收盘!$A$4:$G$3460,3,0),"")</f>
        <v/>
      </c>
      <c r="D248" t="str">
        <f>IFERROR(VLOOKUP($A248,原始数据_收盘!$A$4:$G$3460,4,0),"")</f>
        <v/>
      </c>
      <c r="E248" t="str">
        <f>IFERROR(VLOOKUP($A248,原始数据_收盘!$A$4:$G$3460,5,0),"")</f>
        <v/>
      </c>
      <c r="F248" t="str">
        <f>IFERROR(VLOOKUP($A248,原始数据_收盘!$A$4:$G$3460,6,0),"")</f>
        <v/>
      </c>
      <c r="G248" t="str">
        <f>IFERROR(VLOOKUP($A248,原始数据_收盘!$A$4:$G$3460,7,0),"")</f>
        <v/>
      </c>
      <c r="H248">
        <f>IFERROR(VLOOKUP($A248,原始数据_利率互换_FR007_1年!$A$6:$C$4395,2,0),"")</f>
        <v>2.66</v>
      </c>
      <c r="I248">
        <f>IFERROR(VLOOKUP($A248,原始数据_利率互换_FR007_1年!$A$6:$C$4395,3,0),"")</f>
        <v>2.63</v>
      </c>
    </row>
    <row r="249" spans="1:9">
      <c r="A249" s="6">
        <v>39742</v>
      </c>
      <c r="B249" t="str">
        <f>IFERROR(VLOOKUP($A249,原始数据_收盘!$A$4:$G$3460,2,0),"")</f>
        <v/>
      </c>
      <c r="C249" t="str">
        <f>IFERROR(VLOOKUP($A249,原始数据_收盘!$A$4:$G$3460,3,0),"")</f>
        <v/>
      </c>
      <c r="D249" t="str">
        <f>IFERROR(VLOOKUP($A249,原始数据_收盘!$A$4:$G$3460,4,0),"")</f>
        <v/>
      </c>
      <c r="E249" t="str">
        <f>IFERROR(VLOOKUP($A249,原始数据_收盘!$A$4:$G$3460,5,0),"")</f>
        <v/>
      </c>
      <c r="F249" t="str">
        <f>IFERROR(VLOOKUP($A249,原始数据_收盘!$A$4:$G$3460,6,0),"")</f>
        <v/>
      </c>
      <c r="G249" t="str">
        <f>IFERROR(VLOOKUP($A249,原始数据_收盘!$A$4:$G$3460,7,0),"")</f>
        <v/>
      </c>
      <c r="H249" t="str">
        <f>IFERROR(VLOOKUP($A249,原始数据_利率互换_FR007_1年!$A$6:$C$4395,2,0),"")</f>
        <v/>
      </c>
      <c r="I249" t="str">
        <f>IFERROR(VLOOKUP($A249,原始数据_利率互换_FR007_1年!$A$6:$C$4395,3,0),"")</f>
        <v/>
      </c>
    </row>
    <row r="250" spans="1:9">
      <c r="A250" s="6">
        <v>39743</v>
      </c>
      <c r="B250" t="str">
        <f>IFERROR(VLOOKUP($A250,原始数据_收盘!$A$4:$G$3460,2,0),"")</f>
        <v/>
      </c>
      <c r="C250" t="str">
        <f>IFERROR(VLOOKUP($A250,原始数据_收盘!$A$4:$G$3460,3,0),"")</f>
        <v/>
      </c>
      <c r="D250" t="str">
        <f>IFERROR(VLOOKUP($A250,原始数据_收盘!$A$4:$G$3460,4,0),"")</f>
        <v/>
      </c>
      <c r="E250" t="str">
        <f>IFERROR(VLOOKUP($A250,原始数据_收盘!$A$4:$G$3460,5,0),"")</f>
        <v/>
      </c>
      <c r="F250" t="str">
        <f>IFERROR(VLOOKUP($A250,原始数据_收盘!$A$4:$G$3460,6,0),"")</f>
        <v/>
      </c>
      <c r="G250" t="str">
        <f>IFERROR(VLOOKUP($A250,原始数据_收盘!$A$4:$G$3460,7,0),"")</f>
        <v/>
      </c>
      <c r="H250">
        <f>IFERROR(VLOOKUP($A250,原始数据_利率互换_FR007_1年!$A$6:$C$4395,2,0),"")</f>
        <v>2.64</v>
      </c>
      <c r="I250">
        <f>IFERROR(VLOOKUP($A250,原始数据_利率互换_FR007_1年!$A$6:$C$4395,3,0),"")</f>
        <v>0</v>
      </c>
    </row>
    <row r="251" spans="1:9">
      <c r="A251" s="6">
        <v>39744</v>
      </c>
      <c r="B251" t="str">
        <f>IFERROR(VLOOKUP($A251,原始数据_收盘!$A$4:$G$3460,2,0),"")</f>
        <v/>
      </c>
      <c r="C251" t="str">
        <f>IFERROR(VLOOKUP($A251,原始数据_收盘!$A$4:$G$3460,3,0),"")</f>
        <v/>
      </c>
      <c r="D251" t="str">
        <f>IFERROR(VLOOKUP($A251,原始数据_收盘!$A$4:$G$3460,4,0),"")</f>
        <v/>
      </c>
      <c r="E251" t="str">
        <f>IFERROR(VLOOKUP($A251,原始数据_收盘!$A$4:$G$3460,5,0),"")</f>
        <v/>
      </c>
      <c r="F251" t="str">
        <f>IFERROR(VLOOKUP($A251,原始数据_收盘!$A$4:$G$3460,6,0),"")</f>
        <v/>
      </c>
      <c r="G251" t="str">
        <f>IFERROR(VLOOKUP($A251,原始数据_收盘!$A$4:$G$3460,7,0),"")</f>
        <v/>
      </c>
      <c r="H251">
        <f>IFERROR(VLOOKUP($A251,原始数据_利率互换_FR007_1年!$A$6:$C$4395,2,0),"")</f>
        <v>2.59</v>
      </c>
      <c r="I251">
        <f>IFERROR(VLOOKUP($A251,原始数据_利率互换_FR007_1年!$A$6:$C$4395,3,0),"")</f>
        <v>0</v>
      </c>
    </row>
    <row r="252" spans="1:9">
      <c r="A252" s="6">
        <v>39745</v>
      </c>
      <c r="B252" t="str">
        <f>IFERROR(VLOOKUP($A252,原始数据_收盘!$A$4:$G$3460,2,0),"")</f>
        <v/>
      </c>
      <c r="C252" t="str">
        <f>IFERROR(VLOOKUP($A252,原始数据_收盘!$A$4:$G$3460,3,0),"")</f>
        <v/>
      </c>
      <c r="D252" t="str">
        <f>IFERROR(VLOOKUP($A252,原始数据_收盘!$A$4:$G$3460,4,0),"")</f>
        <v/>
      </c>
      <c r="E252" t="str">
        <f>IFERROR(VLOOKUP($A252,原始数据_收盘!$A$4:$G$3460,5,0),"")</f>
        <v/>
      </c>
      <c r="F252" t="str">
        <f>IFERROR(VLOOKUP($A252,原始数据_收盘!$A$4:$G$3460,6,0),"")</f>
        <v/>
      </c>
      <c r="G252" t="str">
        <f>IFERROR(VLOOKUP($A252,原始数据_收盘!$A$4:$G$3460,7,0),"")</f>
        <v/>
      </c>
      <c r="H252" t="str">
        <f>IFERROR(VLOOKUP($A252,原始数据_利率互换_FR007_1年!$A$6:$C$4395,2,0),"")</f>
        <v/>
      </c>
      <c r="I252" t="str">
        <f>IFERROR(VLOOKUP($A252,原始数据_利率互换_FR007_1年!$A$6:$C$4395,3,0),"")</f>
        <v/>
      </c>
    </row>
    <row r="253" spans="1:9">
      <c r="A253" s="6">
        <v>39746</v>
      </c>
      <c r="B253" t="str">
        <f>IFERROR(VLOOKUP($A253,原始数据_收盘!$A$4:$G$3460,2,0),"")</f>
        <v/>
      </c>
      <c r="C253" t="str">
        <f>IFERROR(VLOOKUP($A253,原始数据_收盘!$A$4:$G$3460,3,0),"")</f>
        <v/>
      </c>
      <c r="D253" t="str">
        <f>IFERROR(VLOOKUP($A253,原始数据_收盘!$A$4:$G$3460,4,0),"")</f>
        <v/>
      </c>
      <c r="E253" t="str">
        <f>IFERROR(VLOOKUP($A253,原始数据_收盘!$A$4:$G$3460,5,0),"")</f>
        <v/>
      </c>
      <c r="F253" t="str">
        <f>IFERROR(VLOOKUP($A253,原始数据_收盘!$A$4:$G$3460,6,0),"")</f>
        <v/>
      </c>
      <c r="G253" t="str">
        <f>IFERROR(VLOOKUP($A253,原始数据_收盘!$A$4:$G$3460,7,0),"")</f>
        <v/>
      </c>
      <c r="H253" t="str">
        <f>IFERROR(VLOOKUP($A253,原始数据_利率互换_FR007_1年!$A$6:$C$4395,2,0),"")</f>
        <v/>
      </c>
      <c r="I253" t="str">
        <f>IFERROR(VLOOKUP($A253,原始数据_利率互换_FR007_1年!$A$6:$C$4395,3,0),"")</f>
        <v/>
      </c>
    </row>
    <row r="254" spans="1:9">
      <c r="A254" s="6">
        <v>39747</v>
      </c>
      <c r="B254" t="str">
        <f>IFERROR(VLOOKUP($A254,原始数据_收盘!$A$4:$G$3460,2,0),"")</f>
        <v/>
      </c>
      <c r="C254" t="str">
        <f>IFERROR(VLOOKUP($A254,原始数据_收盘!$A$4:$G$3460,3,0),"")</f>
        <v/>
      </c>
      <c r="D254" t="str">
        <f>IFERROR(VLOOKUP($A254,原始数据_收盘!$A$4:$G$3460,4,0),"")</f>
        <v/>
      </c>
      <c r="E254" t="str">
        <f>IFERROR(VLOOKUP($A254,原始数据_收盘!$A$4:$G$3460,5,0),"")</f>
        <v/>
      </c>
      <c r="F254" t="str">
        <f>IFERROR(VLOOKUP($A254,原始数据_收盘!$A$4:$G$3460,6,0),"")</f>
        <v/>
      </c>
      <c r="G254" t="str">
        <f>IFERROR(VLOOKUP($A254,原始数据_收盘!$A$4:$G$3460,7,0),"")</f>
        <v/>
      </c>
      <c r="H254" t="str">
        <f>IFERROR(VLOOKUP($A254,原始数据_利率互换_FR007_1年!$A$6:$C$4395,2,0),"")</f>
        <v/>
      </c>
      <c r="I254" t="str">
        <f>IFERROR(VLOOKUP($A254,原始数据_利率互换_FR007_1年!$A$6:$C$4395,3,0),"")</f>
        <v/>
      </c>
    </row>
    <row r="255" spans="1:9">
      <c r="A255" s="6">
        <v>39748</v>
      </c>
      <c r="B255" t="str">
        <f>IFERROR(VLOOKUP($A255,原始数据_收盘!$A$4:$G$3460,2,0),"")</f>
        <v/>
      </c>
      <c r="C255" t="str">
        <f>IFERROR(VLOOKUP($A255,原始数据_收盘!$A$4:$G$3460,3,0),"")</f>
        <v/>
      </c>
      <c r="D255" t="str">
        <f>IFERROR(VLOOKUP($A255,原始数据_收盘!$A$4:$G$3460,4,0),"")</f>
        <v/>
      </c>
      <c r="E255" t="str">
        <f>IFERROR(VLOOKUP($A255,原始数据_收盘!$A$4:$G$3460,5,0),"")</f>
        <v/>
      </c>
      <c r="F255" t="str">
        <f>IFERROR(VLOOKUP($A255,原始数据_收盘!$A$4:$G$3460,6,0),"")</f>
        <v/>
      </c>
      <c r="G255" t="str">
        <f>IFERROR(VLOOKUP($A255,原始数据_收盘!$A$4:$G$3460,7,0),"")</f>
        <v/>
      </c>
      <c r="H255">
        <f>IFERROR(VLOOKUP($A255,原始数据_利率互换_FR007_1年!$A$6:$C$4395,2,0),"")</f>
        <v>2.52</v>
      </c>
      <c r="I255">
        <f>IFERROR(VLOOKUP($A255,原始数据_利率互换_FR007_1年!$A$6:$C$4395,3,0),"")</f>
        <v>0</v>
      </c>
    </row>
    <row r="256" spans="1:9">
      <c r="A256" s="6">
        <v>39749</v>
      </c>
      <c r="B256" t="str">
        <f>IFERROR(VLOOKUP($A256,原始数据_收盘!$A$4:$G$3460,2,0),"")</f>
        <v/>
      </c>
      <c r="C256" t="str">
        <f>IFERROR(VLOOKUP($A256,原始数据_收盘!$A$4:$G$3460,3,0),"")</f>
        <v/>
      </c>
      <c r="D256" t="str">
        <f>IFERROR(VLOOKUP($A256,原始数据_收盘!$A$4:$G$3460,4,0),"")</f>
        <v/>
      </c>
      <c r="E256" t="str">
        <f>IFERROR(VLOOKUP($A256,原始数据_收盘!$A$4:$G$3460,5,0),"")</f>
        <v/>
      </c>
      <c r="F256" t="str">
        <f>IFERROR(VLOOKUP($A256,原始数据_收盘!$A$4:$G$3460,6,0),"")</f>
        <v/>
      </c>
      <c r="G256" t="str">
        <f>IFERROR(VLOOKUP($A256,原始数据_收盘!$A$4:$G$3460,7,0),"")</f>
        <v/>
      </c>
      <c r="H256" t="str">
        <f>IFERROR(VLOOKUP($A256,原始数据_利率互换_FR007_1年!$A$6:$C$4395,2,0),"")</f>
        <v/>
      </c>
      <c r="I256" t="str">
        <f>IFERROR(VLOOKUP($A256,原始数据_利率互换_FR007_1年!$A$6:$C$4395,3,0),"")</f>
        <v/>
      </c>
    </row>
    <row r="257" spans="1:9">
      <c r="A257" s="6">
        <v>39750</v>
      </c>
      <c r="B257" t="str">
        <f>IFERROR(VLOOKUP($A257,原始数据_收盘!$A$4:$G$3460,2,0),"")</f>
        <v/>
      </c>
      <c r="C257" t="str">
        <f>IFERROR(VLOOKUP($A257,原始数据_收盘!$A$4:$G$3460,3,0),"")</f>
        <v/>
      </c>
      <c r="D257" t="str">
        <f>IFERROR(VLOOKUP($A257,原始数据_收盘!$A$4:$G$3460,4,0),"")</f>
        <v/>
      </c>
      <c r="E257" t="str">
        <f>IFERROR(VLOOKUP($A257,原始数据_收盘!$A$4:$G$3460,5,0),"")</f>
        <v/>
      </c>
      <c r="F257" t="str">
        <f>IFERROR(VLOOKUP($A257,原始数据_收盘!$A$4:$G$3460,6,0),"")</f>
        <v/>
      </c>
      <c r="G257" t="str">
        <f>IFERROR(VLOOKUP($A257,原始数据_收盘!$A$4:$G$3460,7,0),"")</f>
        <v/>
      </c>
      <c r="H257">
        <f>IFERROR(VLOOKUP($A257,原始数据_利率互换_FR007_1年!$A$6:$C$4395,2,0),"")</f>
        <v>2.4</v>
      </c>
      <c r="I257">
        <f>IFERROR(VLOOKUP($A257,原始数据_利率互换_FR007_1年!$A$6:$C$4395,3,0),"")</f>
        <v>2.35</v>
      </c>
    </row>
    <row r="258" spans="1:9">
      <c r="A258" s="6">
        <v>39751</v>
      </c>
      <c r="B258" t="str">
        <f>IFERROR(VLOOKUP($A258,原始数据_收盘!$A$4:$G$3460,2,0),"")</f>
        <v/>
      </c>
      <c r="C258" t="str">
        <f>IFERROR(VLOOKUP($A258,原始数据_收盘!$A$4:$G$3460,3,0),"")</f>
        <v/>
      </c>
      <c r="D258" t="str">
        <f>IFERROR(VLOOKUP($A258,原始数据_收盘!$A$4:$G$3460,4,0),"")</f>
        <v/>
      </c>
      <c r="E258" t="str">
        <f>IFERROR(VLOOKUP($A258,原始数据_收盘!$A$4:$G$3460,5,0),"")</f>
        <v/>
      </c>
      <c r="F258" t="str">
        <f>IFERROR(VLOOKUP($A258,原始数据_收盘!$A$4:$G$3460,6,0),"")</f>
        <v/>
      </c>
      <c r="G258" t="str">
        <f>IFERROR(VLOOKUP($A258,原始数据_收盘!$A$4:$G$3460,7,0),"")</f>
        <v/>
      </c>
      <c r="H258">
        <f>IFERROR(VLOOKUP($A258,原始数据_利率互换_FR007_1年!$A$6:$C$4395,2,0),"")</f>
        <v>2.38</v>
      </c>
      <c r="I258">
        <f>IFERROR(VLOOKUP($A258,原始数据_利率互换_FR007_1年!$A$6:$C$4395,3,0),"")</f>
        <v>2.42</v>
      </c>
    </row>
    <row r="259" spans="1:9">
      <c r="A259" s="6">
        <v>39752</v>
      </c>
      <c r="B259" t="str">
        <f>IFERROR(VLOOKUP($A259,原始数据_收盘!$A$4:$G$3460,2,0),"")</f>
        <v/>
      </c>
      <c r="C259" t="str">
        <f>IFERROR(VLOOKUP($A259,原始数据_收盘!$A$4:$G$3460,3,0),"")</f>
        <v/>
      </c>
      <c r="D259" t="str">
        <f>IFERROR(VLOOKUP($A259,原始数据_收盘!$A$4:$G$3460,4,0),"")</f>
        <v/>
      </c>
      <c r="E259" t="str">
        <f>IFERROR(VLOOKUP($A259,原始数据_收盘!$A$4:$G$3460,5,0),"")</f>
        <v/>
      </c>
      <c r="F259" t="str">
        <f>IFERROR(VLOOKUP($A259,原始数据_收盘!$A$4:$G$3460,6,0),"")</f>
        <v/>
      </c>
      <c r="G259" t="str">
        <f>IFERROR(VLOOKUP($A259,原始数据_收盘!$A$4:$G$3460,7,0),"")</f>
        <v/>
      </c>
      <c r="H259" t="str">
        <f>IFERROR(VLOOKUP($A259,原始数据_利率互换_FR007_1年!$A$6:$C$4395,2,0),"")</f>
        <v/>
      </c>
      <c r="I259" t="str">
        <f>IFERROR(VLOOKUP($A259,原始数据_利率互换_FR007_1年!$A$6:$C$4395,3,0),"")</f>
        <v/>
      </c>
    </row>
    <row r="260" spans="1:9">
      <c r="A260" s="6">
        <v>39753</v>
      </c>
      <c r="B260" t="str">
        <f>IFERROR(VLOOKUP($A260,原始数据_收盘!$A$4:$G$3460,2,0),"")</f>
        <v/>
      </c>
      <c r="C260" t="str">
        <f>IFERROR(VLOOKUP($A260,原始数据_收盘!$A$4:$G$3460,3,0),"")</f>
        <v/>
      </c>
      <c r="D260" t="str">
        <f>IFERROR(VLOOKUP($A260,原始数据_收盘!$A$4:$G$3460,4,0),"")</f>
        <v/>
      </c>
      <c r="E260" t="str">
        <f>IFERROR(VLOOKUP($A260,原始数据_收盘!$A$4:$G$3460,5,0),"")</f>
        <v/>
      </c>
      <c r="F260" t="str">
        <f>IFERROR(VLOOKUP($A260,原始数据_收盘!$A$4:$G$3460,6,0),"")</f>
        <v/>
      </c>
      <c r="G260" t="str">
        <f>IFERROR(VLOOKUP($A260,原始数据_收盘!$A$4:$G$3460,7,0),"")</f>
        <v/>
      </c>
      <c r="H260" t="str">
        <f>IFERROR(VLOOKUP($A260,原始数据_利率互换_FR007_1年!$A$6:$C$4395,2,0),"")</f>
        <v/>
      </c>
      <c r="I260" t="str">
        <f>IFERROR(VLOOKUP($A260,原始数据_利率互换_FR007_1年!$A$6:$C$4395,3,0),"")</f>
        <v/>
      </c>
    </row>
    <row r="261" spans="1:9">
      <c r="A261" s="6">
        <v>39754</v>
      </c>
      <c r="B261" t="str">
        <f>IFERROR(VLOOKUP($A261,原始数据_收盘!$A$4:$G$3460,2,0),"")</f>
        <v/>
      </c>
      <c r="C261" t="str">
        <f>IFERROR(VLOOKUP($A261,原始数据_收盘!$A$4:$G$3460,3,0),"")</f>
        <v/>
      </c>
      <c r="D261" t="str">
        <f>IFERROR(VLOOKUP($A261,原始数据_收盘!$A$4:$G$3460,4,0),"")</f>
        <v/>
      </c>
      <c r="E261" t="str">
        <f>IFERROR(VLOOKUP($A261,原始数据_收盘!$A$4:$G$3460,5,0),"")</f>
        <v/>
      </c>
      <c r="F261" t="str">
        <f>IFERROR(VLOOKUP($A261,原始数据_收盘!$A$4:$G$3460,6,0),"")</f>
        <v/>
      </c>
      <c r="G261" t="str">
        <f>IFERROR(VLOOKUP($A261,原始数据_收盘!$A$4:$G$3460,7,0),"")</f>
        <v/>
      </c>
      <c r="H261" t="str">
        <f>IFERROR(VLOOKUP($A261,原始数据_利率互换_FR007_1年!$A$6:$C$4395,2,0),"")</f>
        <v/>
      </c>
      <c r="I261" t="str">
        <f>IFERROR(VLOOKUP($A261,原始数据_利率互换_FR007_1年!$A$6:$C$4395,3,0),"")</f>
        <v/>
      </c>
    </row>
    <row r="262" spans="1:9">
      <c r="A262" s="6">
        <v>39755</v>
      </c>
      <c r="B262" t="str">
        <f>IFERROR(VLOOKUP($A262,原始数据_收盘!$A$4:$G$3460,2,0),"")</f>
        <v/>
      </c>
      <c r="C262" t="str">
        <f>IFERROR(VLOOKUP($A262,原始数据_收盘!$A$4:$G$3460,3,0),"")</f>
        <v/>
      </c>
      <c r="D262" t="str">
        <f>IFERROR(VLOOKUP($A262,原始数据_收盘!$A$4:$G$3460,4,0),"")</f>
        <v/>
      </c>
      <c r="E262" t="str">
        <f>IFERROR(VLOOKUP($A262,原始数据_收盘!$A$4:$G$3460,5,0),"")</f>
        <v/>
      </c>
      <c r="F262" t="str">
        <f>IFERROR(VLOOKUP($A262,原始数据_收盘!$A$4:$G$3460,6,0),"")</f>
        <v/>
      </c>
      <c r="G262" t="str">
        <f>IFERROR(VLOOKUP($A262,原始数据_收盘!$A$4:$G$3460,7,0),"")</f>
        <v/>
      </c>
      <c r="H262" t="str">
        <f>IFERROR(VLOOKUP($A262,原始数据_利率互换_FR007_1年!$A$6:$C$4395,2,0),"")</f>
        <v/>
      </c>
      <c r="I262" t="str">
        <f>IFERROR(VLOOKUP($A262,原始数据_利率互换_FR007_1年!$A$6:$C$4395,3,0),"")</f>
        <v/>
      </c>
    </row>
    <row r="263" spans="1:9">
      <c r="A263" s="6">
        <v>39756</v>
      </c>
      <c r="B263" t="str">
        <f>IFERROR(VLOOKUP($A263,原始数据_收盘!$A$4:$G$3460,2,0),"")</f>
        <v/>
      </c>
      <c r="C263" t="str">
        <f>IFERROR(VLOOKUP($A263,原始数据_收盘!$A$4:$G$3460,3,0),"")</f>
        <v/>
      </c>
      <c r="D263" t="str">
        <f>IFERROR(VLOOKUP($A263,原始数据_收盘!$A$4:$G$3460,4,0),"")</f>
        <v/>
      </c>
      <c r="E263" t="str">
        <f>IFERROR(VLOOKUP($A263,原始数据_收盘!$A$4:$G$3460,5,0),"")</f>
        <v/>
      </c>
      <c r="F263" t="str">
        <f>IFERROR(VLOOKUP($A263,原始数据_收盘!$A$4:$G$3460,6,0),"")</f>
        <v/>
      </c>
      <c r="G263" t="str">
        <f>IFERROR(VLOOKUP($A263,原始数据_收盘!$A$4:$G$3460,7,0),"")</f>
        <v/>
      </c>
      <c r="H263">
        <f>IFERROR(VLOOKUP($A263,原始数据_利率互换_FR007_1年!$A$6:$C$4395,2,0),"")</f>
        <v>2.38</v>
      </c>
      <c r="I263">
        <f>IFERROR(VLOOKUP($A263,原始数据_利率互换_FR007_1年!$A$6:$C$4395,3,0),"")</f>
        <v>0</v>
      </c>
    </row>
    <row r="264" spans="1:9">
      <c r="A264" s="6">
        <v>39757</v>
      </c>
      <c r="B264" t="str">
        <f>IFERROR(VLOOKUP($A264,原始数据_收盘!$A$4:$G$3460,2,0),"")</f>
        <v/>
      </c>
      <c r="C264" t="str">
        <f>IFERROR(VLOOKUP($A264,原始数据_收盘!$A$4:$G$3460,3,0),"")</f>
        <v/>
      </c>
      <c r="D264" t="str">
        <f>IFERROR(VLOOKUP($A264,原始数据_收盘!$A$4:$G$3460,4,0),"")</f>
        <v/>
      </c>
      <c r="E264" t="str">
        <f>IFERROR(VLOOKUP($A264,原始数据_收盘!$A$4:$G$3460,5,0),"")</f>
        <v/>
      </c>
      <c r="F264" t="str">
        <f>IFERROR(VLOOKUP($A264,原始数据_收盘!$A$4:$G$3460,6,0),"")</f>
        <v/>
      </c>
      <c r="G264" t="str">
        <f>IFERROR(VLOOKUP($A264,原始数据_收盘!$A$4:$G$3460,7,0),"")</f>
        <v/>
      </c>
      <c r="H264" t="str">
        <f>IFERROR(VLOOKUP($A264,原始数据_利率互换_FR007_1年!$A$6:$C$4395,2,0),"")</f>
        <v/>
      </c>
      <c r="I264" t="str">
        <f>IFERROR(VLOOKUP($A264,原始数据_利率互换_FR007_1年!$A$6:$C$4395,3,0),"")</f>
        <v/>
      </c>
    </row>
    <row r="265" spans="1:9">
      <c r="A265" s="6">
        <v>39758</v>
      </c>
      <c r="B265" t="str">
        <f>IFERROR(VLOOKUP($A265,原始数据_收盘!$A$4:$G$3460,2,0),"")</f>
        <v/>
      </c>
      <c r="C265" t="str">
        <f>IFERROR(VLOOKUP($A265,原始数据_收盘!$A$4:$G$3460,3,0),"")</f>
        <v/>
      </c>
      <c r="D265" t="str">
        <f>IFERROR(VLOOKUP($A265,原始数据_收盘!$A$4:$G$3460,4,0),"")</f>
        <v/>
      </c>
      <c r="E265" t="str">
        <f>IFERROR(VLOOKUP($A265,原始数据_收盘!$A$4:$G$3460,5,0),"")</f>
        <v/>
      </c>
      <c r="F265" t="str">
        <f>IFERROR(VLOOKUP($A265,原始数据_收盘!$A$4:$G$3460,6,0),"")</f>
        <v/>
      </c>
      <c r="G265" t="str">
        <f>IFERROR(VLOOKUP($A265,原始数据_收盘!$A$4:$G$3460,7,0),"")</f>
        <v/>
      </c>
      <c r="H265">
        <f>IFERROR(VLOOKUP($A265,原始数据_利率互换_FR007_1年!$A$6:$C$4395,2,0),"")</f>
        <v>2.35</v>
      </c>
      <c r="I265">
        <f>IFERROR(VLOOKUP($A265,原始数据_利率互换_FR007_1年!$A$6:$C$4395,3,0),"")</f>
        <v>0</v>
      </c>
    </row>
    <row r="266" spans="1:9">
      <c r="A266" s="6">
        <v>39759</v>
      </c>
      <c r="B266" t="str">
        <f>IFERROR(VLOOKUP($A266,原始数据_收盘!$A$4:$G$3460,2,0),"")</f>
        <v/>
      </c>
      <c r="C266" t="str">
        <f>IFERROR(VLOOKUP($A266,原始数据_收盘!$A$4:$G$3460,3,0),"")</f>
        <v/>
      </c>
      <c r="D266" t="str">
        <f>IFERROR(VLOOKUP($A266,原始数据_收盘!$A$4:$G$3460,4,0),"")</f>
        <v/>
      </c>
      <c r="E266" t="str">
        <f>IFERROR(VLOOKUP($A266,原始数据_收盘!$A$4:$G$3460,5,0),"")</f>
        <v/>
      </c>
      <c r="F266" t="str">
        <f>IFERROR(VLOOKUP($A266,原始数据_收盘!$A$4:$G$3460,6,0),"")</f>
        <v/>
      </c>
      <c r="G266" t="str">
        <f>IFERROR(VLOOKUP($A266,原始数据_收盘!$A$4:$G$3460,7,0),"")</f>
        <v/>
      </c>
      <c r="H266" t="str">
        <f>IFERROR(VLOOKUP($A266,原始数据_利率互换_FR007_1年!$A$6:$C$4395,2,0),"")</f>
        <v/>
      </c>
      <c r="I266" t="str">
        <f>IFERROR(VLOOKUP($A266,原始数据_利率互换_FR007_1年!$A$6:$C$4395,3,0),"")</f>
        <v/>
      </c>
    </row>
    <row r="267" spans="1:9">
      <c r="A267" s="6">
        <v>39760</v>
      </c>
      <c r="B267" t="str">
        <f>IFERROR(VLOOKUP($A267,原始数据_收盘!$A$4:$G$3460,2,0),"")</f>
        <v/>
      </c>
      <c r="C267" t="str">
        <f>IFERROR(VLOOKUP($A267,原始数据_收盘!$A$4:$G$3460,3,0),"")</f>
        <v/>
      </c>
      <c r="D267" t="str">
        <f>IFERROR(VLOOKUP($A267,原始数据_收盘!$A$4:$G$3460,4,0),"")</f>
        <v/>
      </c>
      <c r="E267" t="str">
        <f>IFERROR(VLOOKUP($A267,原始数据_收盘!$A$4:$G$3460,5,0),"")</f>
        <v/>
      </c>
      <c r="F267" t="str">
        <f>IFERROR(VLOOKUP($A267,原始数据_收盘!$A$4:$G$3460,6,0),"")</f>
        <v/>
      </c>
      <c r="G267" t="str">
        <f>IFERROR(VLOOKUP($A267,原始数据_收盘!$A$4:$G$3460,7,0),"")</f>
        <v/>
      </c>
      <c r="H267" t="str">
        <f>IFERROR(VLOOKUP($A267,原始数据_利率互换_FR007_1年!$A$6:$C$4395,2,0),"")</f>
        <v/>
      </c>
      <c r="I267" t="str">
        <f>IFERROR(VLOOKUP($A267,原始数据_利率互换_FR007_1年!$A$6:$C$4395,3,0),"")</f>
        <v/>
      </c>
    </row>
    <row r="268" spans="1:9">
      <c r="A268" s="6">
        <v>39761</v>
      </c>
      <c r="B268" t="str">
        <f>IFERROR(VLOOKUP($A268,原始数据_收盘!$A$4:$G$3460,2,0),"")</f>
        <v/>
      </c>
      <c r="C268" t="str">
        <f>IFERROR(VLOOKUP($A268,原始数据_收盘!$A$4:$G$3460,3,0),"")</f>
        <v/>
      </c>
      <c r="D268" t="str">
        <f>IFERROR(VLOOKUP($A268,原始数据_收盘!$A$4:$G$3460,4,0),"")</f>
        <v/>
      </c>
      <c r="E268" t="str">
        <f>IFERROR(VLOOKUP($A268,原始数据_收盘!$A$4:$G$3460,5,0),"")</f>
        <v/>
      </c>
      <c r="F268" t="str">
        <f>IFERROR(VLOOKUP($A268,原始数据_收盘!$A$4:$G$3460,6,0),"")</f>
        <v/>
      </c>
      <c r="G268" t="str">
        <f>IFERROR(VLOOKUP($A268,原始数据_收盘!$A$4:$G$3460,7,0),"")</f>
        <v/>
      </c>
      <c r="H268" t="str">
        <f>IFERROR(VLOOKUP($A268,原始数据_利率互换_FR007_1年!$A$6:$C$4395,2,0),"")</f>
        <v/>
      </c>
      <c r="I268" t="str">
        <f>IFERROR(VLOOKUP($A268,原始数据_利率互换_FR007_1年!$A$6:$C$4395,3,0),"")</f>
        <v/>
      </c>
    </row>
    <row r="269" spans="1:9">
      <c r="A269" s="6">
        <v>39762</v>
      </c>
      <c r="B269" t="str">
        <f>IFERROR(VLOOKUP($A269,原始数据_收盘!$A$4:$G$3460,2,0),"")</f>
        <v/>
      </c>
      <c r="C269" t="str">
        <f>IFERROR(VLOOKUP($A269,原始数据_收盘!$A$4:$G$3460,3,0),"")</f>
        <v/>
      </c>
      <c r="D269" t="str">
        <f>IFERROR(VLOOKUP($A269,原始数据_收盘!$A$4:$G$3460,4,0),"")</f>
        <v/>
      </c>
      <c r="E269" t="str">
        <f>IFERROR(VLOOKUP($A269,原始数据_收盘!$A$4:$G$3460,5,0),"")</f>
        <v/>
      </c>
      <c r="F269" t="str">
        <f>IFERROR(VLOOKUP($A269,原始数据_收盘!$A$4:$G$3460,6,0),"")</f>
        <v/>
      </c>
      <c r="G269" t="str">
        <f>IFERROR(VLOOKUP($A269,原始数据_收盘!$A$4:$G$3460,7,0),"")</f>
        <v/>
      </c>
      <c r="H269">
        <f>IFERROR(VLOOKUP($A269,原始数据_利率互换_FR007_1年!$A$6:$C$4395,2,0),"")</f>
        <v>2.29</v>
      </c>
      <c r="I269">
        <f>IFERROR(VLOOKUP($A269,原始数据_利率互换_FR007_1年!$A$6:$C$4395,3,0),"")</f>
        <v>2.35</v>
      </c>
    </row>
    <row r="270" spans="1:9">
      <c r="A270" s="6">
        <v>39763</v>
      </c>
      <c r="B270" t="str">
        <f>IFERROR(VLOOKUP($A270,原始数据_收盘!$A$4:$G$3460,2,0),"")</f>
        <v/>
      </c>
      <c r="C270" t="str">
        <f>IFERROR(VLOOKUP($A270,原始数据_收盘!$A$4:$G$3460,3,0),"")</f>
        <v/>
      </c>
      <c r="D270" t="str">
        <f>IFERROR(VLOOKUP($A270,原始数据_收盘!$A$4:$G$3460,4,0),"")</f>
        <v/>
      </c>
      <c r="E270" t="str">
        <f>IFERROR(VLOOKUP($A270,原始数据_收盘!$A$4:$G$3460,5,0),"")</f>
        <v/>
      </c>
      <c r="F270" t="str">
        <f>IFERROR(VLOOKUP($A270,原始数据_收盘!$A$4:$G$3460,6,0),"")</f>
        <v/>
      </c>
      <c r="G270" t="str">
        <f>IFERROR(VLOOKUP($A270,原始数据_收盘!$A$4:$G$3460,7,0),"")</f>
        <v/>
      </c>
      <c r="H270">
        <f>IFERROR(VLOOKUP($A270,原始数据_利率互换_FR007_1年!$A$6:$C$4395,2,0),"")</f>
        <v>2.16</v>
      </c>
      <c r="I270">
        <f>IFERROR(VLOOKUP($A270,原始数据_利率互换_FR007_1年!$A$6:$C$4395,3,0),"")</f>
        <v>2.24</v>
      </c>
    </row>
    <row r="271" spans="1:9">
      <c r="A271" s="6">
        <v>39764</v>
      </c>
      <c r="B271" t="str">
        <f>IFERROR(VLOOKUP($A271,原始数据_收盘!$A$4:$G$3460,2,0),"")</f>
        <v/>
      </c>
      <c r="C271" t="str">
        <f>IFERROR(VLOOKUP($A271,原始数据_收盘!$A$4:$G$3460,3,0),"")</f>
        <v/>
      </c>
      <c r="D271" t="str">
        <f>IFERROR(VLOOKUP($A271,原始数据_收盘!$A$4:$G$3460,4,0),"")</f>
        <v/>
      </c>
      <c r="E271" t="str">
        <f>IFERROR(VLOOKUP($A271,原始数据_收盘!$A$4:$G$3460,5,0),"")</f>
        <v/>
      </c>
      <c r="F271" t="str">
        <f>IFERROR(VLOOKUP($A271,原始数据_收盘!$A$4:$G$3460,6,0),"")</f>
        <v/>
      </c>
      <c r="G271" t="str">
        <f>IFERROR(VLOOKUP($A271,原始数据_收盘!$A$4:$G$3460,7,0),"")</f>
        <v/>
      </c>
      <c r="H271" t="str">
        <f>IFERROR(VLOOKUP($A271,原始数据_利率互换_FR007_1年!$A$6:$C$4395,2,0),"")</f>
        <v/>
      </c>
      <c r="I271" t="str">
        <f>IFERROR(VLOOKUP($A271,原始数据_利率互换_FR007_1年!$A$6:$C$4395,3,0),"")</f>
        <v/>
      </c>
    </row>
    <row r="272" spans="1:9">
      <c r="A272" s="6">
        <v>39765</v>
      </c>
      <c r="B272" t="str">
        <f>IFERROR(VLOOKUP($A272,原始数据_收盘!$A$4:$G$3460,2,0),"")</f>
        <v/>
      </c>
      <c r="C272" t="str">
        <f>IFERROR(VLOOKUP($A272,原始数据_收盘!$A$4:$G$3460,3,0),"")</f>
        <v/>
      </c>
      <c r="D272" t="str">
        <f>IFERROR(VLOOKUP($A272,原始数据_收盘!$A$4:$G$3460,4,0),"")</f>
        <v/>
      </c>
      <c r="E272" t="str">
        <f>IFERROR(VLOOKUP($A272,原始数据_收盘!$A$4:$G$3460,5,0),"")</f>
        <v/>
      </c>
      <c r="F272" t="str">
        <f>IFERROR(VLOOKUP($A272,原始数据_收盘!$A$4:$G$3460,6,0),"")</f>
        <v/>
      </c>
      <c r="G272" t="str">
        <f>IFERROR(VLOOKUP($A272,原始数据_收盘!$A$4:$G$3460,7,0),"")</f>
        <v/>
      </c>
      <c r="H272">
        <f>IFERROR(VLOOKUP($A272,原始数据_利率互换_FR007_1年!$A$6:$C$4395,2,0),"")</f>
        <v>1.92</v>
      </c>
      <c r="I272">
        <f>IFERROR(VLOOKUP($A272,原始数据_利率互换_FR007_1年!$A$6:$C$4395,3,0),"")</f>
        <v>2</v>
      </c>
    </row>
    <row r="273" spans="1:9">
      <c r="A273" s="6">
        <v>39766</v>
      </c>
      <c r="B273" t="str">
        <f>IFERROR(VLOOKUP($A273,原始数据_收盘!$A$4:$G$3460,2,0),"")</f>
        <v/>
      </c>
      <c r="C273" t="str">
        <f>IFERROR(VLOOKUP($A273,原始数据_收盘!$A$4:$G$3460,3,0),"")</f>
        <v/>
      </c>
      <c r="D273" t="str">
        <f>IFERROR(VLOOKUP($A273,原始数据_收盘!$A$4:$G$3460,4,0),"")</f>
        <v/>
      </c>
      <c r="E273" t="str">
        <f>IFERROR(VLOOKUP($A273,原始数据_收盘!$A$4:$G$3460,5,0),"")</f>
        <v/>
      </c>
      <c r="F273" t="str">
        <f>IFERROR(VLOOKUP($A273,原始数据_收盘!$A$4:$G$3460,6,0),"")</f>
        <v/>
      </c>
      <c r="G273" t="str">
        <f>IFERROR(VLOOKUP($A273,原始数据_收盘!$A$4:$G$3460,7,0),"")</f>
        <v/>
      </c>
      <c r="H273">
        <f>IFERROR(VLOOKUP($A273,原始数据_利率互换_FR007_1年!$A$6:$C$4395,2,0),"")</f>
        <v>1.84</v>
      </c>
      <c r="I273">
        <f>IFERROR(VLOOKUP($A273,原始数据_利率互换_FR007_1年!$A$6:$C$4395,3,0),"")</f>
        <v>1.94</v>
      </c>
    </row>
    <row r="274" spans="1:9">
      <c r="A274" s="6">
        <v>39767</v>
      </c>
      <c r="B274" t="str">
        <f>IFERROR(VLOOKUP($A274,原始数据_收盘!$A$4:$G$3460,2,0),"")</f>
        <v/>
      </c>
      <c r="C274" t="str">
        <f>IFERROR(VLOOKUP($A274,原始数据_收盘!$A$4:$G$3460,3,0),"")</f>
        <v/>
      </c>
      <c r="D274" t="str">
        <f>IFERROR(VLOOKUP($A274,原始数据_收盘!$A$4:$G$3460,4,0),"")</f>
        <v/>
      </c>
      <c r="E274" t="str">
        <f>IFERROR(VLOOKUP($A274,原始数据_收盘!$A$4:$G$3460,5,0),"")</f>
        <v/>
      </c>
      <c r="F274" t="str">
        <f>IFERROR(VLOOKUP($A274,原始数据_收盘!$A$4:$G$3460,6,0),"")</f>
        <v/>
      </c>
      <c r="G274" t="str">
        <f>IFERROR(VLOOKUP($A274,原始数据_收盘!$A$4:$G$3460,7,0),"")</f>
        <v/>
      </c>
      <c r="H274" t="str">
        <f>IFERROR(VLOOKUP($A274,原始数据_利率互换_FR007_1年!$A$6:$C$4395,2,0),"")</f>
        <v/>
      </c>
      <c r="I274" t="str">
        <f>IFERROR(VLOOKUP($A274,原始数据_利率互换_FR007_1年!$A$6:$C$4395,3,0),"")</f>
        <v/>
      </c>
    </row>
    <row r="275" spans="1:9">
      <c r="A275" s="6">
        <v>39768</v>
      </c>
      <c r="B275" t="str">
        <f>IFERROR(VLOOKUP($A275,原始数据_收盘!$A$4:$G$3460,2,0),"")</f>
        <v/>
      </c>
      <c r="C275" t="str">
        <f>IFERROR(VLOOKUP($A275,原始数据_收盘!$A$4:$G$3460,3,0),"")</f>
        <v/>
      </c>
      <c r="D275" t="str">
        <f>IFERROR(VLOOKUP($A275,原始数据_收盘!$A$4:$G$3460,4,0),"")</f>
        <v/>
      </c>
      <c r="E275" t="str">
        <f>IFERROR(VLOOKUP($A275,原始数据_收盘!$A$4:$G$3460,5,0),"")</f>
        <v/>
      </c>
      <c r="F275" t="str">
        <f>IFERROR(VLOOKUP($A275,原始数据_收盘!$A$4:$G$3460,6,0),"")</f>
        <v/>
      </c>
      <c r="G275" t="str">
        <f>IFERROR(VLOOKUP($A275,原始数据_收盘!$A$4:$G$3460,7,0),"")</f>
        <v/>
      </c>
      <c r="H275" t="str">
        <f>IFERROR(VLOOKUP($A275,原始数据_利率互换_FR007_1年!$A$6:$C$4395,2,0),"")</f>
        <v/>
      </c>
      <c r="I275" t="str">
        <f>IFERROR(VLOOKUP($A275,原始数据_利率互换_FR007_1年!$A$6:$C$4395,3,0),"")</f>
        <v/>
      </c>
    </row>
    <row r="276" spans="1:9">
      <c r="A276" s="6">
        <v>39769</v>
      </c>
      <c r="B276" t="str">
        <f>IFERROR(VLOOKUP($A276,原始数据_收盘!$A$4:$G$3460,2,0),"")</f>
        <v/>
      </c>
      <c r="C276" t="str">
        <f>IFERROR(VLOOKUP($A276,原始数据_收盘!$A$4:$G$3460,3,0),"")</f>
        <v/>
      </c>
      <c r="D276" t="str">
        <f>IFERROR(VLOOKUP($A276,原始数据_收盘!$A$4:$G$3460,4,0),"")</f>
        <v/>
      </c>
      <c r="E276" t="str">
        <f>IFERROR(VLOOKUP($A276,原始数据_收盘!$A$4:$G$3460,5,0),"")</f>
        <v/>
      </c>
      <c r="F276" t="str">
        <f>IFERROR(VLOOKUP($A276,原始数据_收盘!$A$4:$G$3460,6,0),"")</f>
        <v/>
      </c>
      <c r="G276" t="str">
        <f>IFERROR(VLOOKUP($A276,原始数据_收盘!$A$4:$G$3460,7,0),"")</f>
        <v/>
      </c>
      <c r="H276" t="str">
        <f>IFERROR(VLOOKUP($A276,原始数据_利率互换_FR007_1年!$A$6:$C$4395,2,0),"")</f>
        <v/>
      </c>
      <c r="I276" t="str">
        <f>IFERROR(VLOOKUP($A276,原始数据_利率互换_FR007_1年!$A$6:$C$4395,3,0),"")</f>
        <v/>
      </c>
    </row>
    <row r="277" spans="1:9">
      <c r="A277" s="6">
        <v>39770</v>
      </c>
      <c r="B277" t="str">
        <f>IFERROR(VLOOKUP($A277,原始数据_收盘!$A$4:$G$3460,2,0),"")</f>
        <v/>
      </c>
      <c r="C277" t="str">
        <f>IFERROR(VLOOKUP($A277,原始数据_收盘!$A$4:$G$3460,3,0),"")</f>
        <v/>
      </c>
      <c r="D277" t="str">
        <f>IFERROR(VLOOKUP($A277,原始数据_收盘!$A$4:$G$3460,4,0),"")</f>
        <v/>
      </c>
      <c r="E277" t="str">
        <f>IFERROR(VLOOKUP($A277,原始数据_收盘!$A$4:$G$3460,5,0),"")</f>
        <v/>
      </c>
      <c r="F277" t="str">
        <f>IFERROR(VLOOKUP($A277,原始数据_收盘!$A$4:$G$3460,6,0),"")</f>
        <v/>
      </c>
      <c r="G277" t="str">
        <f>IFERROR(VLOOKUP($A277,原始数据_收盘!$A$4:$G$3460,7,0),"")</f>
        <v/>
      </c>
      <c r="H277">
        <f>IFERROR(VLOOKUP($A277,原始数据_利率互换_FR007_1年!$A$6:$C$4395,2,0),"")</f>
        <v>0</v>
      </c>
      <c r="I277">
        <f>IFERROR(VLOOKUP($A277,原始数据_利率互换_FR007_1年!$A$6:$C$4395,3,0),"")</f>
        <v>1.98</v>
      </c>
    </row>
    <row r="278" spans="1:9">
      <c r="A278" s="6">
        <v>39771</v>
      </c>
      <c r="B278" t="str">
        <f>IFERROR(VLOOKUP($A278,原始数据_收盘!$A$4:$G$3460,2,0),"")</f>
        <v/>
      </c>
      <c r="C278" t="str">
        <f>IFERROR(VLOOKUP($A278,原始数据_收盘!$A$4:$G$3460,3,0),"")</f>
        <v/>
      </c>
      <c r="D278" t="str">
        <f>IFERROR(VLOOKUP($A278,原始数据_收盘!$A$4:$G$3460,4,0),"")</f>
        <v/>
      </c>
      <c r="E278" t="str">
        <f>IFERROR(VLOOKUP($A278,原始数据_收盘!$A$4:$G$3460,5,0),"")</f>
        <v/>
      </c>
      <c r="F278" t="str">
        <f>IFERROR(VLOOKUP($A278,原始数据_收盘!$A$4:$G$3460,6,0),"")</f>
        <v/>
      </c>
      <c r="G278" t="str">
        <f>IFERROR(VLOOKUP($A278,原始数据_收盘!$A$4:$G$3460,7,0),"")</f>
        <v/>
      </c>
      <c r="H278" t="str">
        <f>IFERROR(VLOOKUP($A278,原始数据_利率互换_FR007_1年!$A$6:$C$4395,2,0),"")</f>
        <v/>
      </c>
      <c r="I278" t="str">
        <f>IFERROR(VLOOKUP($A278,原始数据_利率互换_FR007_1年!$A$6:$C$4395,3,0),"")</f>
        <v/>
      </c>
    </row>
    <row r="279" spans="1:9">
      <c r="A279" s="6">
        <v>39772</v>
      </c>
      <c r="B279" t="str">
        <f>IFERROR(VLOOKUP($A279,原始数据_收盘!$A$4:$G$3460,2,0),"")</f>
        <v/>
      </c>
      <c r="C279" t="str">
        <f>IFERROR(VLOOKUP($A279,原始数据_收盘!$A$4:$G$3460,3,0),"")</f>
        <v/>
      </c>
      <c r="D279" t="str">
        <f>IFERROR(VLOOKUP($A279,原始数据_收盘!$A$4:$G$3460,4,0),"")</f>
        <v/>
      </c>
      <c r="E279" t="str">
        <f>IFERROR(VLOOKUP($A279,原始数据_收盘!$A$4:$G$3460,5,0),"")</f>
        <v/>
      </c>
      <c r="F279" t="str">
        <f>IFERROR(VLOOKUP($A279,原始数据_收盘!$A$4:$G$3460,6,0),"")</f>
        <v/>
      </c>
      <c r="G279" t="str">
        <f>IFERROR(VLOOKUP($A279,原始数据_收盘!$A$4:$G$3460,7,0),"")</f>
        <v/>
      </c>
      <c r="H279">
        <f>IFERROR(VLOOKUP($A279,原始数据_利率互换_FR007_1年!$A$6:$C$4395,2,0),"")</f>
        <v>1.81</v>
      </c>
      <c r="I279">
        <f>IFERROR(VLOOKUP($A279,原始数据_利率互换_FR007_1年!$A$6:$C$4395,3,0),"")</f>
        <v>0</v>
      </c>
    </row>
    <row r="280" spans="1:9">
      <c r="A280" s="6">
        <v>39773</v>
      </c>
      <c r="B280" t="str">
        <f>IFERROR(VLOOKUP($A280,原始数据_收盘!$A$4:$G$3460,2,0),"")</f>
        <v/>
      </c>
      <c r="C280" t="str">
        <f>IFERROR(VLOOKUP($A280,原始数据_收盘!$A$4:$G$3460,3,0),"")</f>
        <v/>
      </c>
      <c r="D280" t="str">
        <f>IFERROR(VLOOKUP($A280,原始数据_收盘!$A$4:$G$3460,4,0),"")</f>
        <v/>
      </c>
      <c r="E280" t="str">
        <f>IFERROR(VLOOKUP($A280,原始数据_收盘!$A$4:$G$3460,5,0),"")</f>
        <v/>
      </c>
      <c r="F280" t="str">
        <f>IFERROR(VLOOKUP($A280,原始数据_收盘!$A$4:$G$3460,6,0),"")</f>
        <v/>
      </c>
      <c r="G280" t="str">
        <f>IFERROR(VLOOKUP($A280,原始数据_收盘!$A$4:$G$3460,7,0),"")</f>
        <v/>
      </c>
      <c r="H280">
        <f>IFERROR(VLOOKUP($A280,原始数据_利率互换_FR007_1年!$A$6:$C$4395,2,0),"")</f>
        <v>1.775</v>
      </c>
      <c r="I280">
        <f>IFERROR(VLOOKUP($A280,原始数据_利率互换_FR007_1年!$A$6:$C$4395,3,0),"")</f>
        <v>0</v>
      </c>
    </row>
    <row r="281" spans="1:9">
      <c r="A281" s="6">
        <v>39774</v>
      </c>
      <c r="B281" t="str">
        <f>IFERROR(VLOOKUP($A281,原始数据_收盘!$A$4:$G$3460,2,0),"")</f>
        <v/>
      </c>
      <c r="C281" t="str">
        <f>IFERROR(VLOOKUP($A281,原始数据_收盘!$A$4:$G$3460,3,0),"")</f>
        <v/>
      </c>
      <c r="D281" t="str">
        <f>IFERROR(VLOOKUP($A281,原始数据_收盘!$A$4:$G$3460,4,0),"")</f>
        <v/>
      </c>
      <c r="E281" t="str">
        <f>IFERROR(VLOOKUP($A281,原始数据_收盘!$A$4:$G$3460,5,0),"")</f>
        <v/>
      </c>
      <c r="F281" t="str">
        <f>IFERROR(VLOOKUP($A281,原始数据_收盘!$A$4:$G$3460,6,0),"")</f>
        <v/>
      </c>
      <c r="G281" t="str">
        <f>IFERROR(VLOOKUP($A281,原始数据_收盘!$A$4:$G$3460,7,0),"")</f>
        <v/>
      </c>
      <c r="H281" t="str">
        <f>IFERROR(VLOOKUP($A281,原始数据_利率互换_FR007_1年!$A$6:$C$4395,2,0),"")</f>
        <v/>
      </c>
      <c r="I281" t="str">
        <f>IFERROR(VLOOKUP($A281,原始数据_利率互换_FR007_1年!$A$6:$C$4395,3,0),"")</f>
        <v/>
      </c>
    </row>
    <row r="282" spans="1:9">
      <c r="A282" s="6">
        <v>39775</v>
      </c>
      <c r="B282" t="str">
        <f>IFERROR(VLOOKUP($A282,原始数据_收盘!$A$4:$G$3460,2,0),"")</f>
        <v/>
      </c>
      <c r="C282" t="str">
        <f>IFERROR(VLOOKUP($A282,原始数据_收盘!$A$4:$G$3460,3,0),"")</f>
        <v/>
      </c>
      <c r="D282" t="str">
        <f>IFERROR(VLOOKUP($A282,原始数据_收盘!$A$4:$G$3460,4,0),"")</f>
        <v/>
      </c>
      <c r="E282" t="str">
        <f>IFERROR(VLOOKUP($A282,原始数据_收盘!$A$4:$G$3460,5,0),"")</f>
        <v/>
      </c>
      <c r="F282" t="str">
        <f>IFERROR(VLOOKUP($A282,原始数据_收盘!$A$4:$G$3460,6,0),"")</f>
        <v/>
      </c>
      <c r="G282" t="str">
        <f>IFERROR(VLOOKUP($A282,原始数据_收盘!$A$4:$G$3460,7,0),"")</f>
        <v/>
      </c>
      <c r="H282" t="str">
        <f>IFERROR(VLOOKUP($A282,原始数据_利率互换_FR007_1年!$A$6:$C$4395,2,0),"")</f>
        <v/>
      </c>
      <c r="I282" t="str">
        <f>IFERROR(VLOOKUP($A282,原始数据_利率互换_FR007_1年!$A$6:$C$4395,3,0),"")</f>
        <v/>
      </c>
    </row>
    <row r="283" spans="1:9">
      <c r="A283" s="6">
        <v>39776</v>
      </c>
      <c r="B283" t="str">
        <f>IFERROR(VLOOKUP($A283,原始数据_收盘!$A$4:$G$3460,2,0),"")</f>
        <v/>
      </c>
      <c r="C283" t="str">
        <f>IFERROR(VLOOKUP($A283,原始数据_收盘!$A$4:$G$3460,3,0),"")</f>
        <v/>
      </c>
      <c r="D283" t="str">
        <f>IFERROR(VLOOKUP($A283,原始数据_收盘!$A$4:$G$3460,4,0),"")</f>
        <v/>
      </c>
      <c r="E283" t="str">
        <f>IFERROR(VLOOKUP($A283,原始数据_收盘!$A$4:$G$3460,5,0),"")</f>
        <v/>
      </c>
      <c r="F283" t="str">
        <f>IFERROR(VLOOKUP($A283,原始数据_收盘!$A$4:$G$3460,6,0),"")</f>
        <v/>
      </c>
      <c r="G283" t="str">
        <f>IFERROR(VLOOKUP($A283,原始数据_收盘!$A$4:$G$3460,7,0),"")</f>
        <v/>
      </c>
      <c r="H283" t="str">
        <f>IFERROR(VLOOKUP($A283,原始数据_利率互换_FR007_1年!$A$6:$C$4395,2,0),"")</f>
        <v/>
      </c>
      <c r="I283" t="str">
        <f>IFERROR(VLOOKUP($A283,原始数据_利率互换_FR007_1年!$A$6:$C$4395,3,0),"")</f>
        <v/>
      </c>
    </row>
    <row r="284" spans="1:9">
      <c r="A284" s="6">
        <v>39777</v>
      </c>
      <c r="B284" t="str">
        <f>IFERROR(VLOOKUP($A284,原始数据_收盘!$A$4:$G$3460,2,0),"")</f>
        <v/>
      </c>
      <c r="C284" t="str">
        <f>IFERROR(VLOOKUP($A284,原始数据_收盘!$A$4:$G$3460,3,0),"")</f>
        <v/>
      </c>
      <c r="D284" t="str">
        <f>IFERROR(VLOOKUP($A284,原始数据_收盘!$A$4:$G$3460,4,0),"")</f>
        <v/>
      </c>
      <c r="E284" t="str">
        <f>IFERROR(VLOOKUP($A284,原始数据_收盘!$A$4:$G$3460,5,0),"")</f>
        <v/>
      </c>
      <c r="F284" t="str">
        <f>IFERROR(VLOOKUP($A284,原始数据_收盘!$A$4:$G$3460,6,0),"")</f>
        <v/>
      </c>
      <c r="G284" t="str">
        <f>IFERROR(VLOOKUP($A284,原始数据_收盘!$A$4:$G$3460,7,0),"")</f>
        <v/>
      </c>
      <c r="H284">
        <f>IFERROR(VLOOKUP($A284,原始数据_利率互换_FR007_1年!$A$6:$C$4395,2,0),"")</f>
        <v>1.79</v>
      </c>
      <c r="I284">
        <f>IFERROR(VLOOKUP($A284,原始数据_利率互换_FR007_1年!$A$6:$C$4395,3,0),"")</f>
        <v>2.1</v>
      </c>
    </row>
    <row r="285" spans="1:9">
      <c r="A285" s="6">
        <v>39778</v>
      </c>
      <c r="B285" t="str">
        <f>IFERROR(VLOOKUP($A285,原始数据_收盘!$A$4:$G$3460,2,0),"")</f>
        <v/>
      </c>
      <c r="C285" t="str">
        <f>IFERROR(VLOOKUP($A285,原始数据_收盘!$A$4:$G$3460,3,0),"")</f>
        <v/>
      </c>
      <c r="D285" t="str">
        <f>IFERROR(VLOOKUP($A285,原始数据_收盘!$A$4:$G$3460,4,0),"")</f>
        <v/>
      </c>
      <c r="E285" t="str">
        <f>IFERROR(VLOOKUP($A285,原始数据_收盘!$A$4:$G$3460,5,0),"")</f>
        <v/>
      </c>
      <c r="F285" t="str">
        <f>IFERROR(VLOOKUP($A285,原始数据_收盘!$A$4:$G$3460,6,0),"")</f>
        <v/>
      </c>
      <c r="G285" t="str">
        <f>IFERROR(VLOOKUP($A285,原始数据_收盘!$A$4:$G$3460,7,0),"")</f>
        <v/>
      </c>
      <c r="H285">
        <f>IFERROR(VLOOKUP($A285,原始数据_利率互换_FR007_1年!$A$6:$C$4395,2,0),"")</f>
        <v>0</v>
      </c>
      <c r="I285">
        <f>IFERROR(VLOOKUP($A285,原始数据_利率互换_FR007_1年!$A$6:$C$4395,3,0),"")</f>
        <v>2.08</v>
      </c>
    </row>
    <row r="286" spans="1:9">
      <c r="A286" s="6">
        <v>39779</v>
      </c>
      <c r="B286" t="str">
        <f>IFERROR(VLOOKUP($A286,原始数据_收盘!$A$4:$G$3460,2,0),"")</f>
        <v/>
      </c>
      <c r="C286" t="str">
        <f>IFERROR(VLOOKUP($A286,原始数据_收盘!$A$4:$G$3460,3,0),"")</f>
        <v/>
      </c>
      <c r="D286" t="str">
        <f>IFERROR(VLOOKUP($A286,原始数据_收盘!$A$4:$G$3460,4,0),"")</f>
        <v/>
      </c>
      <c r="E286" t="str">
        <f>IFERROR(VLOOKUP($A286,原始数据_收盘!$A$4:$G$3460,5,0),"")</f>
        <v/>
      </c>
      <c r="F286" t="str">
        <f>IFERROR(VLOOKUP($A286,原始数据_收盘!$A$4:$G$3460,6,0),"")</f>
        <v/>
      </c>
      <c r="G286" t="str">
        <f>IFERROR(VLOOKUP($A286,原始数据_收盘!$A$4:$G$3460,7,0),"")</f>
        <v/>
      </c>
      <c r="H286">
        <f>IFERROR(VLOOKUP($A286,原始数据_利率互换_FR007_1年!$A$6:$C$4395,2,0),"")</f>
        <v>1.45</v>
      </c>
      <c r="I286">
        <f>IFERROR(VLOOKUP($A286,原始数据_利率互换_FR007_1年!$A$6:$C$4395,3,0),"")</f>
        <v>1.8</v>
      </c>
    </row>
    <row r="287" spans="1:9">
      <c r="A287" s="6">
        <v>39780</v>
      </c>
      <c r="B287" t="str">
        <f>IFERROR(VLOOKUP($A287,原始数据_收盘!$A$4:$G$3460,2,0),"")</f>
        <v/>
      </c>
      <c r="C287" t="str">
        <f>IFERROR(VLOOKUP($A287,原始数据_收盘!$A$4:$G$3460,3,0),"")</f>
        <v/>
      </c>
      <c r="D287" t="str">
        <f>IFERROR(VLOOKUP($A287,原始数据_收盘!$A$4:$G$3460,4,0),"")</f>
        <v/>
      </c>
      <c r="E287" t="str">
        <f>IFERROR(VLOOKUP($A287,原始数据_收盘!$A$4:$G$3460,5,0),"")</f>
        <v/>
      </c>
      <c r="F287" t="str">
        <f>IFERROR(VLOOKUP($A287,原始数据_收盘!$A$4:$G$3460,6,0),"")</f>
        <v/>
      </c>
      <c r="G287" t="str">
        <f>IFERROR(VLOOKUP($A287,原始数据_收盘!$A$4:$G$3460,7,0),"")</f>
        <v/>
      </c>
      <c r="H287">
        <f>IFERROR(VLOOKUP($A287,原始数据_利率互换_FR007_1年!$A$6:$C$4395,2,0),"")</f>
        <v>0</v>
      </c>
      <c r="I287">
        <f>IFERROR(VLOOKUP($A287,原始数据_利率互换_FR007_1年!$A$6:$C$4395,3,0),"")</f>
        <v>1.78</v>
      </c>
    </row>
    <row r="288" spans="1:9">
      <c r="A288" s="6">
        <v>39781</v>
      </c>
      <c r="B288" t="str">
        <f>IFERROR(VLOOKUP($A288,原始数据_收盘!$A$4:$G$3460,2,0),"")</f>
        <v/>
      </c>
      <c r="C288" t="str">
        <f>IFERROR(VLOOKUP($A288,原始数据_收盘!$A$4:$G$3460,3,0),"")</f>
        <v/>
      </c>
      <c r="D288" t="str">
        <f>IFERROR(VLOOKUP($A288,原始数据_收盘!$A$4:$G$3460,4,0),"")</f>
        <v/>
      </c>
      <c r="E288" t="str">
        <f>IFERROR(VLOOKUP($A288,原始数据_收盘!$A$4:$G$3460,5,0),"")</f>
        <v/>
      </c>
      <c r="F288" t="str">
        <f>IFERROR(VLOOKUP($A288,原始数据_收盘!$A$4:$G$3460,6,0),"")</f>
        <v/>
      </c>
      <c r="G288" t="str">
        <f>IFERROR(VLOOKUP($A288,原始数据_收盘!$A$4:$G$3460,7,0),"")</f>
        <v/>
      </c>
      <c r="H288" t="str">
        <f>IFERROR(VLOOKUP($A288,原始数据_利率互换_FR007_1年!$A$6:$C$4395,2,0),"")</f>
        <v/>
      </c>
      <c r="I288" t="str">
        <f>IFERROR(VLOOKUP($A288,原始数据_利率互换_FR007_1年!$A$6:$C$4395,3,0),"")</f>
        <v/>
      </c>
    </row>
    <row r="289" spans="1:9">
      <c r="A289" s="6">
        <v>39782</v>
      </c>
      <c r="B289" t="str">
        <f>IFERROR(VLOOKUP($A289,原始数据_收盘!$A$4:$G$3460,2,0),"")</f>
        <v/>
      </c>
      <c r="C289" t="str">
        <f>IFERROR(VLOOKUP($A289,原始数据_收盘!$A$4:$G$3460,3,0),"")</f>
        <v/>
      </c>
      <c r="D289" t="str">
        <f>IFERROR(VLOOKUP($A289,原始数据_收盘!$A$4:$G$3460,4,0),"")</f>
        <v/>
      </c>
      <c r="E289" t="str">
        <f>IFERROR(VLOOKUP($A289,原始数据_收盘!$A$4:$G$3460,5,0),"")</f>
        <v/>
      </c>
      <c r="F289" t="str">
        <f>IFERROR(VLOOKUP($A289,原始数据_收盘!$A$4:$G$3460,6,0),"")</f>
        <v/>
      </c>
      <c r="G289" t="str">
        <f>IFERROR(VLOOKUP($A289,原始数据_收盘!$A$4:$G$3460,7,0),"")</f>
        <v/>
      </c>
      <c r="H289" t="str">
        <f>IFERROR(VLOOKUP($A289,原始数据_利率互换_FR007_1年!$A$6:$C$4395,2,0),"")</f>
        <v/>
      </c>
      <c r="I289" t="str">
        <f>IFERROR(VLOOKUP($A289,原始数据_利率互换_FR007_1年!$A$6:$C$4395,3,0),"")</f>
        <v/>
      </c>
    </row>
    <row r="290" spans="1:9">
      <c r="A290" s="6">
        <v>39783</v>
      </c>
      <c r="B290" t="str">
        <f>IFERROR(VLOOKUP($A290,原始数据_收盘!$A$4:$G$3460,2,0),"")</f>
        <v/>
      </c>
      <c r="C290" t="str">
        <f>IFERROR(VLOOKUP($A290,原始数据_收盘!$A$4:$G$3460,3,0),"")</f>
        <v/>
      </c>
      <c r="D290" t="str">
        <f>IFERROR(VLOOKUP($A290,原始数据_收盘!$A$4:$G$3460,4,0),"")</f>
        <v/>
      </c>
      <c r="E290" t="str">
        <f>IFERROR(VLOOKUP($A290,原始数据_收盘!$A$4:$G$3460,5,0),"")</f>
        <v/>
      </c>
      <c r="F290" t="str">
        <f>IFERROR(VLOOKUP($A290,原始数据_收盘!$A$4:$G$3460,6,0),"")</f>
        <v/>
      </c>
      <c r="G290" t="str">
        <f>IFERROR(VLOOKUP($A290,原始数据_收盘!$A$4:$G$3460,7,0),"")</f>
        <v/>
      </c>
      <c r="H290">
        <f>IFERROR(VLOOKUP($A290,原始数据_利率互换_FR007_1年!$A$6:$C$4395,2,0),"")</f>
        <v>1.46</v>
      </c>
      <c r="I290">
        <f>IFERROR(VLOOKUP($A290,原始数据_利率互换_FR007_1年!$A$6:$C$4395,3,0),"")</f>
        <v>1.78</v>
      </c>
    </row>
    <row r="291" spans="1:9">
      <c r="A291" s="6">
        <v>39784</v>
      </c>
      <c r="B291" t="str">
        <f>IFERROR(VLOOKUP($A291,原始数据_收盘!$A$4:$G$3460,2,0),"")</f>
        <v/>
      </c>
      <c r="C291" t="str">
        <f>IFERROR(VLOOKUP($A291,原始数据_收盘!$A$4:$G$3460,3,0),"")</f>
        <v/>
      </c>
      <c r="D291" t="str">
        <f>IFERROR(VLOOKUP($A291,原始数据_收盘!$A$4:$G$3460,4,0),"")</f>
        <v/>
      </c>
      <c r="E291" t="str">
        <f>IFERROR(VLOOKUP($A291,原始数据_收盘!$A$4:$G$3460,5,0),"")</f>
        <v/>
      </c>
      <c r="F291" t="str">
        <f>IFERROR(VLOOKUP($A291,原始数据_收盘!$A$4:$G$3460,6,0),"")</f>
        <v/>
      </c>
      <c r="G291" t="str">
        <f>IFERROR(VLOOKUP($A291,原始数据_收盘!$A$4:$G$3460,7,0),"")</f>
        <v/>
      </c>
      <c r="H291">
        <f>IFERROR(VLOOKUP($A291,原始数据_利率互换_FR007_1年!$A$6:$C$4395,2,0),"")</f>
        <v>1.4</v>
      </c>
      <c r="I291">
        <f>IFERROR(VLOOKUP($A291,原始数据_利率互换_FR007_1年!$A$6:$C$4395,3,0),"")</f>
        <v>1.67</v>
      </c>
    </row>
    <row r="292" spans="1:9">
      <c r="A292" s="6">
        <v>39785</v>
      </c>
      <c r="B292" t="str">
        <f>IFERROR(VLOOKUP($A292,原始数据_收盘!$A$4:$G$3460,2,0),"")</f>
        <v/>
      </c>
      <c r="C292" t="str">
        <f>IFERROR(VLOOKUP($A292,原始数据_收盘!$A$4:$G$3460,3,0),"")</f>
        <v/>
      </c>
      <c r="D292" t="str">
        <f>IFERROR(VLOOKUP($A292,原始数据_收盘!$A$4:$G$3460,4,0),"")</f>
        <v/>
      </c>
      <c r="E292" t="str">
        <f>IFERROR(VLOOKUP($A292,原始数据_收盘!$A$4:$G$3460,5,0),"")</f>
        <v/>
      </c>
      <c r="F292" t="str">
        <f>IFERROR(VLOOKUP($A292,原始数据_收盘!$A$4:$G$3460,6,0),"")</f>
        <v/>
      </c>
      <c r="G292" t="str">
        <f>IFERROR(VLOOKUP($A292,原始数据_收盘!$A$4:$G$3460,7,0),"")</f>
        <v/>
      </c>
      <c r="H292">
        <f>IFERROR(VLOOKUP($A292,原始数据_利率互换_FR007_1年!$A$6:$C$4395,2,0),"")</f>
        <v>0</v>
      </c>
      <c r="I292">
        <f>IFERROR(VLOOKUP($A292,原始数据_利率互换_FR007_1年!$A$6:$C$4395,3,0),"")</f>
        <v>1.69</v>
      </c>
    </row>
    <row r="293" spans="1:9">
      <c r="A293" s="6">
        <v>39786</v>
      </c>
      <c r="B293" t="str">
        <f>IFERROR(VLOOKUP($A293,原始数据_收盘!$A$4:$G$3460,2,0),"")</f>
        <v/>
      </c>
      <c r="C293" t="str">
        <f>IFERROR(VLOOKUP($A293,原始数据_收盘!$A$4:$G$3460,3,0),"")</f>
        <v/>
      </c>
      <c r="D293" t="str">
        <f>IFERROR(VLOOKUP($A293,原始数据_收盘!$A$4:$G$3460,4,0),"")</f>
        <v/>
      </c>
      <c r="E293" t="str">
        <f>IFERROR(VLOOKUP($A293,原始数据_收盘!$A$4:$G$3460,5,0),"")</f>
        <v/>
      </c>
      <c r="F293" t="str">
        <f>IFERROR(VLOOKUP($A293,原始数据_收盘!$A$4:$G$3460,6,0),"")</f>
        <v/>
      </c>
      <c r="G293" t="str">
        <f>IFERROR(VLOOKUP($A293,原始数据_收盘!$A$4:$G$3460,7,0),"")</f>
        <v/>
      </c>
      <c r="H293">
        <f>IFERROR(VLOOKUP($A293,原始数据_利率互换_FR007_1年!$A$6:$C$4395,2,0),"")</f>
        <v>1.35</v>
      </c>
      <c r="I293">
        <f>IFERROR(VLOOKUP($A293,原始数据_利率互换_FR007_1年!$A$6:$C$4395,3,0),"")</f>
        <v>1.695</v>
      </c>
    </row>
    <row r="294" spans="1:9">
      <c r="A294" s="6">
        <v>39787</v>
      </c>
      <c r="B294" t="str">
        <f>IFERROR(VLOOKUP($A294,原始数据_收盘!$A$4:$G$3460,2,0),"")</f>
        <v/>
      </c>
      <c r="C294" t="str">
        <f>IFERROR(VLOOKUP($A294,原始数据_收盘!$A$4:$G$3460,3,0),"")</f>
        <v/>
      </c>
      <c r="D294" t="str">
        <f>IFERROR(VLOOKUP($A294,原始数据_收盘!$A$4:$G$3460,4,0),"")</f>
        <v/>
      </c>
      <c r="E294" t="str">
        <f>IFERROR(VLOOKUP($A294,原始数据_收盘!$A$4:$G$3460,5,0),"")</f>
        <v/>
      </c>
      <c r="F294" t="str">
        <f>IFERROR(VLOOKUP($A294,原始数据_收盘!$A$4:$G$3460,6,0),"")</f>
        <v/>
      </c>
      <c r="G294" t="str">
        <f>IFERROR(VLOOKUP($A294,原始数据_收盘!$A$4:$G$3460,7,0),"")</f>
        <v/>
      </c>
      <c r="H294">
        <f>IFERROR(VLOOKUP($A294,原始数据_利率互换_FR007_1年!$A$6:$C$4395,2,0),"")</f>
        <v>1.36</v>
      </c>
      <c r="I294">
        <f>IFERROR(VLOOKUP($A294,原始数据_利率互换_FR007_1年!$A$6:$C$4395,3,0),"")</f>
        <v>0</v>
      </c>
    </row>
    <row r="295" spans="1:9">
      <c r="A295" s="6">
        <v>39788</v>
      </c>
      <c r="B295" t="str">
        <f>IFERROR(VLOOKUP($A295,原始数据_收盘!$A$4:$G$3460,2,0),"")</f>
        <v/>
      </c>
      <c r="C295" t="str">
        <f>IFERROR(VLOOKUP($A295,原始数据_收盘!$A$4:$G$3460,3,0),"")</f>
        <v/>
      </c>
      <c r="D295" t="str">
        <f>IFERROR(VLOOKUP($A295,原始数据_收盘!$A$4:$G$3460,4,0),"")</f>
        <v/>
      </c>
      <c r="E295" t="str">
        <f>IFERROR(VLOOKUP($A295,原始数据_收盘!$A$4:$G$3460,5,0),"")</f>
        <v/>
      </c>
      <c r="F295" t="str">
        <f>IFERROR(VLOOKUP($A295,原始数据_收盘!$A$4:$G$3460,6,0),"")</f>
        <v/>
      </c>
      <c r="G295" t="str">
        <f>IFERROR(VLOOKUP($A295,原始数据_收盘!$A$4:$G$3460,7,0),"")</f>
        <v/>
      </c>
      <c r="H295" t="str">
        <f>IFERROR(VLOOKUP($A295,原始数据_利率互换_FR007_1年!$A$6:$C$4395,2,0),"")</f>
        <v/>
      </c>
      <c r="I295" t="str">
        <f>IFERROR(VLOOKUP($A295,原始数据_利率互换_FR007_1年!$A$6:$C$4395,3,0),"")</f>
        <v/>
      </c>
    </row>
    <row r="296" spans="1:9">
      <c r="A296" s="6">
        <v>39789</v>
      </c>
      <c r="B296" t="str">
        <f>IFERROR(VLOOKUP($A296,原始数据_收盘!$A$4:$G$3460,2,0),"")</f>
        <v/>
      </c>
      <c r="C296" t="str">
        <f>IFERROR(VLOOKUP($A296,原始数据_收盘!$A$4:$G$3460,3,0),"")</f>
        <v/>
      </c>
      <c r="D296" t="str">
        <f>IFERROR(VLOOKUP($A296,原始数据_收盘!$A$4:$G$3460,4,0),"")</f>
        <v/>
      </c>
      <c r="E296" t="str">
        <f>IFERROR(VLOOKUP($A296,原始数据_收盘!$A$4:$G$3460,5,0),"")</f>
        <v/>
      </c>
      <c r="F296" t="str">
        <f>IFERROR(VLOOKUP($A296,原始数据_收盘!$A$4:$G$3460,6,0),"")</f>
        <v/>
      </c>
      <c r="G296" t="str">
        <f>IFERROR(VLOOKUP($A296,原始数据_收盘!$A$4:$G$3460,7,0),"")</f>
        <v/>
      </c>
      <c r="H296" t="str">
        <f>IFERROR(VLOOKUP($A296,原始数据_利率互换_FR007_1年!$A$6:$C$4395,2,0),"")</f>
        <v/>
      </c>
      <c r="I296" t="str">
        <f>IFERROR(VLOOKUP($A296,原始数据_利率互换_FR007_1年!$A$6:$C$4395,3,0),"")</f>
        <v/>
      </c>
    </row>
    <row r="297" spans="1:9">
      <c r="A297" s="6">
        <v>39790</v>
      </c>
      <c r="B297" t="str">
        <f>IFERROR(VLOOKUP($A297,原始数据_收盘!$A$4:$G$3460,2,0),"")</f>
        <v/>
      </c>
      <c r="C297" t="str">
        <f>IFERROR(VLOOKUP($A297,原始数据_收盘!$A$4:$G$3460,3,0),"")</f>
        <v/>
      </c>
      <c r="D297" t="str">
        <f>IFERROR(VLOOKUP($A297,原始数据_收盘!$A$4:$G$3460,4,0),"")</f>
        <v/>
      </c>
      <c r="E297" t="str">
        <f>IFERROR(VLOOKUP($A297,原始数据_收盘!$A$4:$G$3460,5,0),"")</f>
        <v/>
      </c>
      <c r="F297" t="str">
        <f>IFERROR(VLOOKUP($A297,原始数据_收盘!$A$4:$G$3460,6,0),"")</f>
        <v/>
      </c>
      <c r="G297" t="str">
        <f>IFERROR(VLOOKUP($A297,原始数据_收盘!$A$4:$G$3460,7,0),"")</f>
        <v/>
      </c>
      <c r="H297">
        <f>IFERROR(VLOOKUP($A297,原始数据_利率互换_FR007_1年!$A$6:$C$4395,2,0),"")</f>
        <v>1.39</v>
      </c>
      <c r="I297">
        <f>IFERROR(VLOOKUP($A297,原始数据_利率互换_FR007_1年!$A$6:$C$4395,3,0),"")</f>
        <v>0</v>
      </c>
    </row>
    <row r="298" spans="1:9">
      <c r="A298" s="6">
        <v>39791</v>
      </c>
      <c r="B298" t="str">
        <f>IFERROR(VLOOKUP($A298,原始数据_收盘!$A$4:$G$3460,2,0),"")</f>
        <v/>
      </c>
      <c r="C298" t="str">
        <f>IFERROR(VLOOKUP($A298,原始数据_收盘!$A$4:$G$3460,3,0),"")</f>
        <v/>
      </c>
      <c r="D298" t="str">
        <f>IFERROR(VLOOKUP($A298,原始数据_收盘!$A$4:$G$3460,4,0),"")</f>
        <v/>
      </c>
      <c r="E298" t="str">
        <f>IFERROR(VLOOKUP($A298,原始数据_收盘!$A$4:$G$3460,5,0),"")</f>
        <v/>
      </c>
      <c r="F298" t="str">
        <f>IFERROR(VLOOKUP($A298,原始数据_收盘!$A$4:$G$3460,6,0),"")</f>
        <v/>
      </c>
      <c r="G298" t="str">
        <f>IFERROR(VLOOKUP($A298,原始数据_收盘!$A$4:$G$3460,7,0),"")</f>
        <v/>
      </c>
      <c r="H298">
        <f>IFERROR(VLOOKUP($A298,原始数据_利率互换_FR007_1年!$A$6:$C$4395,2,0),"")</f>
        <v>1.33</v>
      </c>
      <c r="I298">
        <f>IFERROR(VLOOKUP($A298,原始数据_利率互换_FR007_1年!$A$6:$C$4395,3,0),"")</f>
        <v>0</v>
      </c>
    </row>
    <row r="299" spans="1:9">
      <c r="A299" s="6">
        <v>39792</v>
      </c>
      <c r="B299" t="str">
        <f>IFERROR(VLOOKUP($A299,原始数据_收盘!$A$4:$G$3460,2,0),"")</f>
        <v/>
      </c>
      <c r="C299" t="str">
        <f>IFERROR(VLOOKUP($A299,原始数据_收盘!$A$4:$G$3460,3,0),"")</f>
        <v/>
      </c>
      <c r="D299" t="str">
        <f>IFERROR(VLOOKUP($A299,原始数据_收盘!$A$4:$G$3460,4,0),"")</f>
        <v/>
      </c>
      <c r="E299" t="str">
        <f>IFERROR(VLOOKUP($A299,原始数据_收盘!$A$4:$G$3460,5,0),"")</f>
        <v/>
      </c>
      <c r="F299" t="str">
        <f>IFERROR(VLOOKUP($A299,原始数据_收盘!$A$4:$G$3460,6,0),"")</f>
        <v/>
      </c>
      <c r="G299" t="str">
        <f>IFERROR(VLOOKUP($A299,原始数据_收盘!$A$4:$G$3460,7,0),"")</f>
        <v/>
      </c>
      <c r="H299">
        <f>IFERROR(VLOOKUP($A299,原始数据_利率互换_FR007_1年!$A$6:$C$4395,2,0),"")</f>
        <v>1.285</v>
      </c>
      <c r="I299">
        <f>IFERROR(VLOOKUP($A299,原始数据_利率互换_FR007_1年!$A$6:$C$4395,3,0),"")</f>
        <v>0</v>
      </c>
    </row>
    <row r="300" spans="1:9">
      <c r="A300" s="6">
        <v>39793</v>
      </c>
      <c r="B300" t="str">
        <f>IFERROR(VLOOKUP($A300,原始数据_收盘!$A$4:$G$3460,2,0),"")</f>
        <v/>
      </c>
      <c r="C300" t="str">
        <f>IFERROR(VLOOKUP($A300,原始数据_收盘!$A$4:$G$3460,3,0),"")</f>
        <v/>
      </c>
      <c r="D300" t="str">
        <f>IFERROR(VLOOKUP($A300,原始数据_收盘!$A$4:$G$3460,4,0),"")</f>
        <v/>
      </c>
      <c r="E300" t="str">
        <f>IFERROR(VLOOKUP($A300,原始数据_收盘!$A$4:$G$3460,5,0),"")</f>
        <v/>
      </c>
      <c r="F300" t="str">
        <f>IFERROR(VLOOKUP($A300,原始数据_收盘!$A$4:$G$3460,6,0),"")</f>
        <v/>
      </c>
      <c r="G300" t="str">
        <f>IFERROR(VLOOKUP($A300,原始数据_收盘!$A$4:$G$3460,7,0),"")</f>
        <v/>
      </c>
      <c r="H300">
        <f>IFERROR(VLOOKUP($A300,原始数据_利率互换_FR007_1年!$A$6:$C$4395,2,0),"")</f>
        <v>1.25</v>
      </c>
      <c r="I300">
        <f>IFERROR(VLOOKUP($A300,原始数据_利率互换_FR007_1年!$A$6:$C$4395,3,0),"")</f>
        <v>0</v>
      </c>
    </row>
    <row r="301" spans="1:9">
      <c r="A301" s="6">
        <v>39794</v>
      </c>
      <c r="B301" t="str">
        <f>IFERROR(VLOOKUP($A301,原始数据_收盘!$A$4:$G$3460,2,0),"")</f>
        <v/>
      </c>
      <c r="C301" t="str">
        <f>IFERROR(VLOOKUP($A301,原始数据_收盘!$A$4:$G$3460,3,0),"")</f>
        <v/>
      </c>
      <c r="D301" t="str">
        <f>IFERROR(VLOOKUP($A301,原始数据_收盘!$A$4:$G$3460,4,0),"")</f>
        <v/>
      </c>
      <c r="E301" t="str">
        <f>IFERROR(VLOOKUP($A301,原始数据_收盘!$A$4:$G$3460,5,0),"")</f>
        <v/>
      </c>
      <c r="F301" t="str">
        <f>IFERROR(VLOOKUP($A301,原始数据_收盘!$A$4:$G$3460,6,0),"")</f>
        <v/>
      </c>
      <c r="G301" t="str">
        <f>IFERROR(VLOOKUP($A301,原始数据_收盘!$A$4:$G$3460,7,0),"")</f>
        <v/>
      </c>
      <c r="H301">
        <f>IFERROR(VLOOKUP($A301,原始数据_利率互换_FR007_1年!$A$6:$C$4395,2,0),"")</f>
        <v>1.205</v>
      </c>
      <c r="I301">
        <f>IFERROR(VLOOKUP($A301,原始数据_利率互换_FR007_1年!$A$6:$C$4395,3,0),"")</f>
        <v>1.69</v>
      </c>
    </row>
    <row r="302" spans="1:9">
      <c r="A302" s="6">
        <v>39795</v>
      </c>
      <c r="B302" t="str">
        <f>IFERROR(VLOOKUP($A302,原始数据_收盘!$A$4:$G$3460,2,0),"")</f>
        <v/>
      </c>
      <c r="C302" t="str">
        <f>IFERROR(VLOOKUP($A302,原始数据_收盘!$A$4:$G$3460,3,0),"")</f>
        <v/>
      </c>
      <c r="D302" t="str">
        <f>IFERROR(VLOOKUP($A302,原始数据_收盘!$A$4:$G$3460,4,0),"")</f>
        <v/>
      </c>
      <c r="E302" t="str">
        <f>IFERROR(VLOOKUP($A302,原始数据_收盘!$A$4:$G$3460,5,0),"")</f>
        <v/>
      </c>
      <c r="F302" t="str">
        <f>IFERROR(VLOOKUP($A302,原始数据_收盘!$A$4:$G$3460,6,0),"")</f>
        <v/>
      </c>
      <c r="G302" t="str">
        <f>IFERROR(VLOOKUP($A302,原始数据_收盘!$A$4:$G$3460,7,0),"")</f>
        <v/>
      </c>
      <c r="H302" t="str">
        <f>IFERROR(VLOOKUP($A302,原始数据_利率互换_FR007_1年!$A$6:$C$4395,2,0),"")</f>
        <v/>
      </c>
      <c r="I302" t="str">
        <f>IFERROR(VLOOKUP($A302,原始数据_利率互换_FR007_1年!$A$6:$C$4395,3,0),"")</f>
        <v/>
      </c>
    </row>
    <row r="303" spans="1:9">
      <c r="A303" s="6">
        <v>39796</v>
      </c>
      <c r="B303" t="str">
        <f>IFERROR(VLOOKUP($A303,原始数据_收盘!$A$4:$G$3460,2,0),"")</f>
        <v/>
      </c>
      <c r="C303" t="str">
        <f>IFERROR(VLOOKUP($A303,原始数据_收盘!$A$4:$G$3460,3,0),"")</f>
        <v/>
      </c>
      <c r="D303" t="str">
        <f>IFERROR(VLOOKUP($A303,原始数据_收盘!$A$4:$G$3460,4,0),"")</f>
        <v/>
      </c>
      <c r="E303" t="str">
        <f>IFERROR(VLOOKUP($A303,原始数据_收盘!$A$4:$G$3460,5,0),"")</f>
        <v/>
      </c>
      <c r="F303" t="str">
        <f>IFERROR(VLOOKUP($A303,原始数据_收盘!$A$4:$G$3460,6,0),"")</f>
        <v/>
      </c>
      <c r="G303" t="str">
        <f>IFERROR(VLOOKUP($A303,原始数据_收盘!$A$4:$G$3460,7,0),"")</f>
        <v/>
      </c>
      <c r="H303" t="str">
        <f>IFERROR(VLOOKUP($A303,原始数据_利率互换_FR007_1年!$A$6:$C$4395,2,0),"")</f>
        <v/>
      </c>
      <c r="I303" t="str">
        <f>IFERROR(VLOOKUP($A303,原始数据_利率互换_FR007_1年!$A$6:$C$4395,3,0),"")</f>
        <v/>
      </c>
    </row>
    <row r="304" spans="1:9">
      <c r="A304" s="6">
        <v>39797</v>
      </c>
      <c r="B304" t="str">
        <f>IFERROR(VLOOKUP($A304,原始数据_收盘!$A$4:$G$3460,2,0),"")</f>
        <v/>
      </c>
      <c r="C304" t="str">
        <f>IFERROR(VLOOKUP($A304,原始数据_收盘!$A$4:$G$3460,3,0),"")</f>
        <v/>
      </c>
      <c r="D304" t="str">
        <f>IFERROR(VLOOKUP($A304,原始数据_收盘!$A$4:$G$3460,4,0),"")</f>
        <v/>
      </c>
      <c r="E304" t="str">
        <f>IFERROR(VLOOKUP($A304,原始数据_收盘!$A$4:$G$3460,5,0),"")</f>
        <v/>
      </c>
      <c r="F304" t="str">
        <f>IFERROR(VLOOKUP($A304,原始数据_收盘!$A$4:$G$3460,6,0),"")</f>
        <v/>
      </c>
      <c r="G304" t="str">
        <f>IFERROR(VLOOKUP($A304,原始数据_收盘!$A$4:$G$3460,7,0),"")</f>
        <v/>
      </c>
      <c r="H304">
        <f>IFERROR(VLOOKUP($A304,原始数据_利率互换_FR007_1年!$A$6:$C$4395,2,0),"")</f>
        <v>1.02</v>
      </c>
      <c r="I304">
        <f>IFERROR(VLOOKUP($A304,原始数据_利率互换_FR007_1年!$A$6:$C$4395,3,0),"")</f>
        <v>0</v>
      </c>
    </row>
    <row r="305" spans="1:9">
      <c r="A305" s="6">
        <v>39798</v>
      </c>
      <c r="B305" t="str">
        <f>IFERROR(VLOOKUP($A305,原始数据_收盘!$A$4:$G$3460,2,0),"")</f>
        <v/>
      </c>
      <c r="C305" t="str">
        <f>IFERROR(VLOOKUP($A305,原始数据_收盘!$A$4:$G$3460,3,0),"")</f>
        <v/>
      </c>
      <c r="D305" t="str">
        <f>IFERROR(VLOOKUP($A305,原始数据_收盘!$A$4:$G$3460,4,0),"")</f>
        <v/>
      </c>
      <c r="E305" t="str">
        <f>IFERROR(VLOOKUP($A305,原始数据_收盘!$A$4:$G$3460,5,0),"")</f>
        <v/>
      </c>
      <c r="F305" t="str">
        <f>IFERROR(VLOOKUP($A305,原始数据_收盘!$A$4:$G$3460,6,0),"")</f>
        <v/>
      </c>
      <c r="G305" t="str">
        <f>IFERROR(VLOOKUP($A305,原始数据_收盘!$A$4:$G$3460,7,0),"")</f>
        <v/>
      </c>
      <c r="H305">
        <f>IFERROR(VLOOKUP($A305,原始数据_利率互换_FR007_1年!$A$6:$C$4395,2,0),"")</f>
        <v>0.99</v>
      </c>
      <c r="I305">
        <f>IFERROR(VLOOKUP($A305,原始数据_利率互换_FR007_1年!$A$6:$C$4395,3,0),"")</f>
        <v>0</v>
      </c>
    </row>
    <row r="306" spans="1:9">
      <c r="A306" s="6">
        <v>39799</v>
      </c>
      <c r="B306" t="str">
        <f>IFERROR(VLOOKUP($A306,原始数据_收盘!$A$4:$G$3460,2,0),"")</f>
        <v/>
      </c>
      <c r="C306" t="str">
        <f>IFERROR(VLOOKUP($A306,原始数据_收盘!$A$4:$G$3460,3,0),"")</f>
        <v/>
      </c>
      <c r="D306" t="str">
        <f>IFERROR(VLOOKUP($A306,原始数据_收盘!$A$4:$G$3460,4,0),"")</f>
        <v/>
      </c>
      <c r="E306" t="str">
        <f>IFERROR(VLOOKUP($A306,原始数据_收盘!$A$4:$G$3460,5,0),"")</f>
        <v/>
      </c>
      <c r="F306" t="str">
        <f>IFERROR(VLOOKUP($A306,原始数据_收盘!$A$4:$G$3460,6,0),"")</f>
        <v/>
      </c>
      <c r="G306" t="str">
        <f>IFERROR(VLOOKUP($A306,原始数据_收盘!$A$4:$G$3460,7,0),"")</f>
        <v/>
      </c>
      <c r="H306">
        <f>IFERROR(VLOOKUP($A306,原始数据_利率互换_FR007_1年!$A$6:$C$4395,2,0),"")</f>
        <v>0.94</v>
      </c>
      <c r="I306">
        <f>IFERROR(VLOOKUP($A306,原始数据_利率互换_FR007_1年!$A$6:$C$4395,3,0),"")</f>
        <v>1.5</v>
      </c>
    </row>
    <row r="307" spans="1:9">
      <c r="A307" s="6">
        <v>39800</v>
      </c>
      <c r="B307" t="str">
        <f>IFERROR(VLOOKUP($A307,原始数据_收盘!$A$4:$G$3460,2,0),"")</f>
        <v/>
      </c>
      <c r="C307" t="str">
        <f>IFERROR(VLOOKUP($A307,原始数据_收盘!$A$4:$G$3460,3,0),"")</f>
        <v/>
      </c>
      <c r="D307" t="str">
        <f>IFERROR(VLOOKUP($A307,原始数据_收盘!$A$4:$G$3460,4,0),"")</f>
        <v/>
      </c>
      <c r="E307" t="str">
        <f>IFERROR(VLOOKUP($A307,原始数据_收盘!$A$4:$G$3460,5,0),"")</f>
        <v/>
      </c>
      <c r="F307" t="str">
        <f>IFERROR(VLOOKUP($A307,原始数据_收盘!$A$4:$G$3460,6,0),"")</f>
        <v/>
      </c>
      <c r="G307" t="str">
        <f>IFERROR(VLOOKUP($A307,原始数据_收盘!$A$4:$G$3460,7,0),"")</f>
        <v/>
      </c>
      <c r="H307" t="str">
        <f>IFERROR(VLOOKUP($A307,原始数据_利率互换_FR007_1年!$A$6:$C$4395,2,0),"")</f>
        <v/>
      </c>
      <c r="I307" t="str">
        <f>IFERROR(VLOOKUP($A307,原始数据_利率互换_FR007_1年!$A$6:$C$4395,3,0),"")</f>
        <v/>
      </c>
    </row>
    <row r="308" spans="1:9">
      <c r="A308" s="6">
        <v>39801</v>
      </c>
      <c r="B308" t="str">
        <f>IFERROR(VLOOKUP($A308,原始数据_收盘!$A$4:$G$3460,2,0),"")</f>
        <v/>
      </c>
      <c r="C308" t="str">
        <f>IFERROR(VLOOKUP($A308,原始数据_收盘!$A$4:$G$3460,3,0),"")</f>
        <v/>
      </c>
      <c r="D308" t="str">
        <f>IFERROR(VLOOKUP($A308,原始数据_收盘!$A$4:$G$3460,4,0),"")</f>
        <v/>
      </c>
      <c r="E308" t="str">
        <f>IFERROR(VLOOKUP($A308,原始数据_收盘!$A$4:$G$3460,5,0),"")</f>
        <v/>
      </c>
      <c r="F308" t="str">
        <f>IFERROR(VLOOKUP($A308,原始数据_收盘!$A$4:$G$3460,6,0),"")</f>
        <v/>
      </c>
      <c r="G308" t="str">
        <f>IFERROR(VLOOKUP($A308,原始数据_收盘!$A$4:$G$3460,7,0),"")</f>
        <v/>
      </c>
      <c r="H308">
        <f>IFERROR(VLOOKUP($A308,原始数据_利率互换_FR007_1年!$A$6:$C$4395,2,0),"")</f>
        <v>0</v>
      </c>
      <c r="I308">
        <f>IFERROR(VLOOKUP($A308,原始数据_利率互换_FR007_1年!$A$6:$C$4395,3,0),"")</f>
        <v>1.46</v>
      </c>
    </row>
    <row r="309" spans="1:9">
      <c r="A309" s="6">
        <v>39802</v>
      </c>
      <c r="B309" t="str">
        <f>IFERROR(VLOOKUP($A309,原始数据_收盘!$A$4:$G$3460,2,0),"")</f>
        <v/>
      </c>
      <c r="C309" t="str">
        <f>IFERROR(VLOOKUP($A309,原始数据_收盘!$A$4:$G$3460,3,0),"")</f>
        <v/>
      </c>
      <c r="D309" t="str">
        <f>IFERROR(VLOOKUP($A309,原始数据_收盘!$A$4:$G$3460,4,0),"")</f>
        <v/>
      </c>
      <c r="E309" t="str">
        <f>IFERROR(VLOOKUP($A309,原始数据_收盘!$A$4:$G$3460,5,0),"")</f>
        <v/>
      </c>
      <c r="F309" t="str">
        <f>IFERROR(VLOOKUP($A309,原始数据_收盘!$A$4:$G$3460,6,0),"")</f>
        <v/>
      </c>
      <c r="G309" t="str">
        <f>IFERROR(VLOOKUP($A309,原始数据_收盘!$A$4:$G$3460,7,0),"")</f>
        <v/>
      </c>
      <c r="H309" t="str">
        <f>IFERROR(VLOOKUP($A309,原始数据_利率互换_FR007_1年!$A$6:$C$4395,2,0),"")</f>
        <v/>
      </c>
      <c r="I309" t="str">
        <f>IFERROR(VLOOKUP($A309,原始数据_利率互换_FR007_1年!$A$6:$C$4395,3,0),"")</f>
        <v/>
      </c>
    </row>
    <row r="310" spans="1:9">
      <c r="A310" s="6">
        <v>39803</v>
      </c>
      <c r="B310" t="str">
        <f>IFERROR(VLOOKUP($A310,原始数据_收盘!$A$4:$G$3460,2,0),"")</f>
        <v/>
      </c>
      <c r="C310" t="str">
        <f>IFERROR(VLOOKUP($A310,原始数据_收盘!$A$4:$G$3460,3,0),"")</f>
        <v/>
      </c>
      <c r="D310" t="str">
        <f>IFERROR(VLOOKUP($A310,原始数据_收盘!$A$4:$G$3460,4,0),"")</f>
        <v/>
      </c>
      <c r="E310" t="str">
        <f>IFERROR(VLOOKUP($A310,原始数据_收盘!$A$4:$G$3460,5,0),"")</f>
        <v/>
      </c>
      <c r="F310" t="str">
        <f>IFERROR(VLOOKUP($A310,原始数据_收盘!$A$4:$G$3460,6,0),"")</f>
        <v/>
      </c>
      <c r="G310" t="str">
        <f>IFERROR(VLOOKUP($A310,原始数据_收盘!$A$4:$G$3460,7,0),"")</f>
        <v/>
      </c>
      <c r="H310" t="str">
        <f>IFERROR(VLOOKUP($A310,原始数据_利率互换_FR007_1年!$A$6:$C$4395,2,0),"")</f>
        <v/>
      </c>
      <c r="I310" t="str">
        <f>IFERROR(VLOOKUP($A310,原始数据_利率互换_FR007_1年!$A$6:$C$4395,3,0),"")</f>
        <v/>
      </c>
    </row>
    <row r="311" spans="1:9">
      <c r="A311" s="6">
        <v>39804</v>
      </c>
      <c r="B311" t="str">
        <f>IFERROR(VLOOKUP($A311,原始数据_收盘!$A$4:$G$3460,2,0),"")</f>
        <v/>
      </c>
      <c r="C311" t="str">
        <f>IFERROR(VLOOKUP($A311,原始数据_收盘!$A$4:$G$3460,3,0),"")</f>
        <v/>
      </c>
      <c r="D311" t="str">
        <f>IFERROR(VLOOKUP($A311,原始数据_收盘!$A$4:$G$3460,4,0),"")</f>
        <v/>
      </c>
      <c r="E311" t="str">
        <f>IFERROR(VLOOKUP($A311,原始数据_收盘!$A$4:$G$3460,5,0),"")</f>
        <v/>
      </c>
      <c r="F311" t="str">
        <f>IFERROR(VLOOKUP($A311,原始数据_收盘!$A$4:$G$3460,6,0),"")</f>
        <v/>
      </c>
      <c r="G311" t="str">
        <f>IFERROR(VLOOKUP($A311,原始数据_收盘!$A$4:$G$3460,7,0),"")</f>
        <v/>
      </c>
      <c r="H311" t="str">
        <f>IFERROR(VLOOKUP($A311,原始数据_利率互换_FR007_1年!$A$6:$C$4395,2,0),"")</f>
        <v/>
      </c>
      <c r="I311" t="str">
        <f>IFERROR(VLOOKUP($A311,原始数据_利率互换_FR007_1年!$A$6:$C$4395,3,0),"")</f>
        <v/>
      </c>
    </row>
    <row r="312" spans="1:9">
      <c r="A312" s="6">
        <v>39805</v>
      </c>
      <c r="B312" t="str">
        <f>IFERROR(VLOOKUP($A312,原始数据_收盘!$A$4:$G$3460,2,0),"")</f>
        <v/>
      </c>
      <c r="C312" t="str">
        <f>IFERROR(VLOOKUP($A312,原始数据_收盘!$A$4:$G$3460,3,0),"")</f>
        <v/>
      </c>
      <c r="D312" t="str">
        <f>IFERROR(VLOOKUP($A312,原始数据_收盘!$A$4:$G$3460,4,0),"")</f>
        <v/>
      </c>
      <c r="E312" t="str">
        <f>IFERROR(VLOOKUP($A312,原始数据_收盘!$A$4:$G$3460,5,0),"")</f>
        <v/>
      </c>
      <c r="F312" t="str">
        <f>IFERROR(VLOOKUP($A312,原始数据_收盘!$A$4:$G$3460,6,0),"")</f>
        <v/>
      </c>
      <c r="G312" t="str">
        <f>IFERROR(VLOOKUP($A312,原始数据_收盘!$A$4:$G$3460,7,0),"")</f>
        <v/>
      </c>
      <c r="H312">
        <f>IFERROR(VLOOKUP($A312,原始数据_利率互换_FR007_1年!$A$6:$C$4395,2,0),"")</f>
        <v>0.86</v>
      </c>
      <c r="I312">
        <f>IFERROR(VLOOKUP($A312,原始数据_利率互换_FR007_1年!$A$6:$C$4395,3,0),"")</f>
        <v>0</v>
      </c>
    </row>
    <row r="313" spans="1:9">
      <c r="A313" s="6">
        <v>39806</v>
      </c>
      <c r="B313" t="str">
        <f>IFERROR(VLOOKUP($A313,原始数据_收盘!$A$4:$G$3460,2,0),"")</f>
        <v/>
      </c>
      <c r="C313" t="str">
        <f>IFERROR(VLOOKUP($A313,原始数据_收盘!$A$4:$G$3460,3,0),"")</f>
        <v/>
      </c>
      <c r="D313" t="str">
        <f>IFERROR(VLOOKUP($A313,原始数据_收盘!$A$4:$G$3460,4,0),"")</f>
        <v/>
      </c>
      <c r="E313" t="str">
        <f>IFERROR(VLOOKUP($A313,原始数据_收盘!$A$4:$G$3460,5,0),"")</f>
        <v/>
      </c>
      <c r="F313" t="str">
        <f>IFERROR(VLOOKUP($A313,原始数据_收盘!$A$4:$G$3460,6,0),"")</f>
        <v/>
      </c>
      <c r="G313" t="str">
        <f>IFERROR(VLOOKUP($A313,原始数据_收盘!$A$4:$G$3460,7,0),"")</f>
        <v/>
      </c>
      <c r="H313">
        <f>IFERROR(VLOOKUP($A313,原始数据_利率互换_FR007_1年!$A$6:$C$4395,2,0),"")</f>
        <v>0.875</v>
      </c>
      <c r="I313">
        <f>IFERROR(VLOOKUP($A313,原始数据_利率互换_FR007_1年!$A$6:$C$4395,3,0),"")</f>
        <v>1.55</v>
      </c>
    </row>
    <row r="314" spans="1:9">
      <c r="A314" s="6">
        <v>39807</v>
      </c>
      <c r="B314" t="str">
        <f>IFERROR(VLOOKUP($A314,原始数据_收盘!$A$4:$G$3460,2,0),"")</f>
        <v/>
      </c>
      <c r="C314" t="str">
        <f>IFERROR(VLOOKUP($A314,原始数据_收盘!$A$4:$G$3460,3,0),"")</f>
        <v/>
      </c>
      <c r="D314" t="str">
        <f>IFERROR(VLOOKUP($A314,原始数据_收盘!$A$4:$G$3460,4,0),"")</f>
        <v/>
      </c>
      <c r="E314" t="str">
        <f>IFERROR(VLOOKUP($A314,原始数据_收盘!$A$4:$G$3460,5,0),"")</f>
        <v/>
      </c>
      <c r="F314" t="str">
        <f>IFERROR(VLOOKUP($A314,原始数据_收盘!$A$4:$G$3460,6,0),"")</f>
        <v/>
      </c>
      <c r="G314" t="str">
        <f>IFERROR(VLOOKUP($A314,原始数据_收盘!$A$4:$G$3460,7,0),"")</f>
        <v/>
      </c>
      <c r="H314" t="str">
        <f>IFERROR(VLOOKUP($A314,原始数据_利率互换_FR007_1年!$A$6:$C$4395,2,0),"")</f>
        <v/>
      </c>
      <c r="I314" t="str">
        <f>IFERROR(VLOOKUP($A314,原始数据_利率互换_FR007_1年!$A$6:$C$4395,3,0),"")</f>
        <v/>
      </c>
    </row>
    <row r="315" spans="1:9">
      <c r="A315" s="6">
        <v>39808</v>
      </c>
      <c r="B315" t="str">
        <f>IFERROR(VLOOKUP($A315,原始数据_收盘!$A$4:$G$3460,2,0),"")</f>
        <v/>
      </c>
      <c r="C315" t="str">
        <f>IFERROR(VLOOKUP($A315,原始数据_收盘!$A$4:$G$3460,3,0),"")</f>
        <v/>
      </c>
      <c r="D315" t="str">
        <f>IFERROR(VLOOKUP($A315,原始数据_收盘!$A$4:$G$3460,4,0),"")</f>
        <v/>
      </c>
      <c r="E315" t="str">
        <f>IFERROR(VLOOKUP($A315,原始数据_收盘!$A$4:$G$3460,5,0),"")</f>
        <v/>
      </c>
      <c r="F315" t="str">
        <f>IFERROR(VLOOKUP($A315,原始数据_收盘!$A$4:$G$3460,6,0),"")</f>
        <v/>
      </c>
      <c r="G315" t="str">
        <f>IFERROR(VLOOKUP($A315,原始数据_收盘!$A$4:$G$3460,7,0),"")</f>
        <v/>
      </c>
      <c r="H315" t="str">
        <f>IFERROR(VLOOKUP($A315,原始数据_利率互换_FR007_1年!$A$6:$C$4395,2,0),"")</f>
        <v/>
      </c>
      <c r="I315" t="str">
        <f>IFERROR(VLOOKUP($A315,原始数据_利率互换_FR007_1年!$A$6:$C$4395,3,0),"")</f>
        <v/>
      </c>
    </row>
    <row r="316" spans="1:9">
      <c r="A316" s="6">
        <v>39809</v>
      </c>
      <c r="B316" t="str">
        <f>IFERROR(VLOOKUP($A316,原始数据_收盘!$A$4:$G$3460,2,0),"")</f>
        <v/>
      </c>
      <c r="C316" t="str">
        <f>IFERROR(VLOOKUP($A316,原始数据_收盘!$A$4:$G$3460,3,0),"")</f>
        <v/>
      </c>
      <c r="D316" t="str">
        <f>IFERROR(VLOOKUP($A316,原始数据_收盘!$A$4:$G$3460,4,0),"")</f>
        <v/>
      </c>
      <c r="E316" t="str">
        <f>IFERROR(VLOOKUP($A316,原始数据_收盘!$A$4:$G$3460,5,0),"")</f>
        <v/>
      </c>
      <c r="F316" t="str">
        <f>IFERROR(VLOOKUP($A316,原始数据_收盘!$A$4:$G$3460,6,0),"")</f>
        <v/>
      </c>
      <c r="G316" t="str">
        <f>IFERROR(VLOOKUP($A316,原始数据_收盘!$A$4:$G$3460,7,0),"")</f>
        <v/>
      </c>
      <c r="H316" t="str">
        <f>IFERROR(VLOOKUP($A316,原始数据_利率互换_FR007_1年!$A$6:$C$4395,2,0),"")</f>
        <v/>
      </c>
      <c r="I316" t="str">
        <f>IFERROR(VLOOKUP($A316,原始数据_利率互换_FR007_1年!$A$6:$C$4395,3,0),"")</f>
        <v/>
      </c>
    </row>
    <row r="317" spans="1:9">
      <c r="A317" s="6">
        <v>39810</v>
      </c>
      <c r="B317" t="str">
        <f>IFERROR(VLOOKUP($A317,原始数据_收盘!$A$4:$G$3460,2,0),"")</f>
        <v/>
      </c>
      <c r="C317" t="str">
        <f>IFERROR(VLOOKUP($A317,原始数据_收盘!$A$4:$G$3460,3,0),"")</f>
        <v/>
      </c>
      <c r="D317" t="str">
        <f>IFERROR(VLOOKUP($A317,原始数据_收盘!$A$4:$G$3460,4,0),"")</f>
        <v/>
      </c>
      <c r="E317" t="str">
        <f>IFERROR(VLOOKUP($A317,原始数据_收盘!$A$4:$G$3460,5,0),"")</f>
        <v/>
      </c>
      <c r="F317" t="str">
        <f>IFERROR(VLOOKUP($A317,原始数据_收盘!$A$4:$G$3460,6,0),"")</f>
        <v/>
      </c>
      <c r="G317" t="str">
        <f>IFERROR(VLOOKUP($A317,原始数据_收盘!$A$4:$G$3460,7,0),"")</f>
        <v/>
      </c>
      <c r="H317" t="str">
        <f>IFERROR(VLOOKUP($A317,原始数据_利率互换_FR007_1年!$A$6:$C$4395,2,0),"")</f>
        <v/>
      </c>
      <c r="I317" t="str">
        <f>IFERROR(VLOOKUP($A317,原始数据_利率互换_FR007_1年!$A$6:$C$4395,3,0),"")</f>
        <v/>
      </c>
    </row>
    <row r="318" spans="1:9">
      <c r="A318" s="6">
        <v>39811</v>
      </c>
      <c r="B318" t="str">
        <f>IFERROR(VLOOKUP($A318,原始数据_收盘!$A$4:$G$3460,2,0),"")</f>
        <v/>
      </c>
      <c r="C318" t="str">
        <f>IFERROR(VLOOKUP($A318,原始数据_收盘!$A$4:$G$3460,3,0),"")</f>
        <v/>
      </c>
      <c r="D318" t="str">
        <f>IFERROR(VLOOKUP($A318,原始数据_收盘!$A$4:$G$3460,4,0),"")</f>
        <v/>
      </c>
      <c r="E318" t="str">
        <f>IFERROR(VLOOKUP($A318,原始数据_收盘!$A$4:$G$3460,5,0),"")</f>
        <v/>
      </c>
      <c r="F318" t="str">
        <f>IFERROR(VLOOKUP($A318,原始数据_收盘!$A$4:$G$3460,6,0),"")</f>
        <v/>
      </c>
      <c r="G318" t="str">
        <f>IFERROR(VLOOKUP($A318,原始数据_收盘!$A$4:$G$3460,7,0),"")</f>
        <v/>
      </c>
      <c r="H318" t="str">
        <f>IFERROR(VLOOKUP($A318,原始数据_利率互换_FR007_1年!$A$6:$C$4395,2,0),"")</f>
        <v/>
      </c>
      <c r="I318" t="str">
        <f>IFERROR(VLOOKUP($A318,原始数据_利率互换_FR007_1年!$A$6:$C$4395,3,0),"")</f>
        <v/>
      </c>
    </row>
    <row r="319" spans="1:9">
      <c r="A319" s="6">
        <v>39812</v>
      </c>
      <c r="B319" t="str">
        <f>IFERROR(VLOOKUP($A319,原始数据_收盘!$A$4:$G$3460,2,0),"")</f>
        <v/>
      </c>
      <c r="C319" t="str">
        <f>IFERROR(VLOOKUP($A319,原始数据_收盘!$A$4:$G$3460,3,0),"")</f>
        <v/>
      </c>
      <c r="D319" t="str">
        <f>IFERROR(VLOOKUP($A319,原始数据_收盘!$A$4:$G$3460,4,0),"")</f>
        <v/>
      </c>
      <c r="E319" t="str">
        <f>IFERROR(VLOOKUP($A319,原始数据_收盘!$A$4:$G$3460,5,0),"")</f>
        <v/>
      </c>
      <c r="F319" t="str">
        <f>IFERROR(VLOOKUP($A319,原始数据_收盘!$A$4:$G$3460,6,0),"")</f>
        <v/>
      </c>
      <c r="G319" t="str">
        <f>IFERROR(VLOOKUP($A319,原始数据_收盘!$A$4:$G$3460,7,0),"")</f>
        <v/>
      </c>
      <c r="H319" t="str">
        <f>IFERROR(VLOOKUP($A319,原始数据_利率互换_FR007_1年!$A$6:$C$4395,2,0),"")</f>
        <v/>
      </c>
      <c r="I319" t="str">
        <f>IFERROR(VLOOKUP($A319,原始数据_利率互换_FR007_1年!$A$6:$C$4395,3,0),"")</f>
        <v/>
      </c>
    </row>
    <row r="320" spans="1:9">
      <c r="A320" s="6">
        <v>39813</v>
      </c>
      <c r="B320" t="str">
        <f>IFERROR(VLOOKUP($A320,原始数据_收盘!$A$4:$G$3460,2,0),"")</f>
        <v/>
      </c>
      <c r="C320" t="str">
        <f>IFERROR(VLOOKUP($A320,原始数据_收盘!$A$4:$G$3460,3,0),"")</f>
        <v/>
      </c>
      <c r="D320" t="str">
        <f>IFERROR(VLOOKUP($A320,原始数据_收盘!$A$4:$G$3460,4,0),"")</f>
        <v/>
      </c>
      <c r="E320" t="str">
        <f>IFERROR(VLOOKUP($A320,原始数据_收盘!$A$4:$G$3460,5,0),"")</f>
        <v/>
      </c>
      <c r="F320" t="str">
        <f>IFERROR(VLOOKUP($A320,原始数据_收盘!$A$4:$G$3460,6,0),"")</f>
        <v/>
      </c>
      <c r="G320" t="str">
        <f>IFERROR(VLOOKUP($A320,原始数据_收盘!$A$4:$G$3460,7,0),"")</f>
        <v/>
      </c>
      <c r="H320" t="str">
        <f>IFERROR(VLOOKUP($A320,原始数据_利率互换_FR007_1年!$A$6:$C$4395,2,0),"")</f>
        <v/>
      </c>
      <c r="I320" t="str">
        <f>IFERROR(VLOOKUP($A320,原始数据_利率互换_FR007_1年!$A$6:$C$4395,3,0),"")</f>
        <v/>
      </c>
    </row>
    <row r="321" spans="1:9">
      <c r="A321" s="6">
        <v>39814</v>
      </c>
      <c r="B321" t="str">
        <f>IFERROR(VLOOKUP($A321,原始数据_收盘!$A$4:$G$3460,2,0),"")</f>
        <v/>
      </c>
      <c r="C321" t="str">
        <f>IFERROR(VLOOKUP($A321,原始数据_收盘!$A$4:$G$3460,3,0),"")</f>
        <v/>
      </c>
      <c r="D321" t="str">
        <f>IFERROR(VLOOKUP($A321,原始数据_收盘!$A$4:$G$3460,4,0),"")</f>
        <v/>
      </c>
      <c r="E321" t="str">
        <f>IFERROR(VLOOKUP($A321,原始数据_收盘!$A$4:$G$3460,5,0),"")</f>
        <v/>
      </c>
      <c r="F321" t="str">
        <f>IFERROR(VLOOKUP($A321,原始数据_收盘!$A$4:$G$3460,6,0),"")</f>
        <v/>
      </c>
      <c r="G321" t="str">
        <f>IFERROR(VLOOKUP($A321,原始数据_收盘!$A$4:$G$3460,7,0),"")</f>
        <v/>
      </c>
      <c r="H321" t="str">
        <f>IFERROR(VLOOKUP($A321,原始数据_利率互换_FR007_1年!$A$6:$C$4395,2,0),"")</f>
        <v/>
      </c>
      <c r="I321" t="str">
        <f>IFERROR(VLOOKUP($A321,原始数据_利率互换_FR007_1年!$A$6:$C$4395,3,0),"")</f>
        <v/>
      </c>
    </row>
    <row r="322" spans="1:9">
      <c r="A322" s="6">
        <v>39815</v>
      </c>
      <c r="B322" t="str">
        <f>IFERROR(VLOOKUP($A322,原始数据_收盘!$A$4:$G$3460,2,0),"")</f>
        <v/>
      </c>
      <c r="C322" t="str">
        <f>IFERROR(VLOOKUP($A322,原始数据_收盘!$A$4:$G$3460,3,0),"")</f>
        <v/>
      </c>
      <c r="D322" t="str">
        <f>IFERROR(VLOOKUP($A322,原始数据_收盘!$A$4:$G$3460,4,0),"")</f>
        <v/>
      </c>
      <c r="E322" t="str">
        <f>IFERROR(VLOOKUP($A322,原始数据_收盘!$A$4:$G$3460,5,0),"")</f>
        <v/>
      </c>
      <c r="F322" t="str">
        <f>IFERROR(VLOOKUP($A322,原始数据_收盘!$A$4:$G$3460,6,0),"")</f>
        <v/>
      </c>
      <c r="G322" t="str">
        <f>IFERROR(VLOOKUP($A322,原始数据_收盘!$A$4:$G$3460,7,0),"")</f>
        <v/>
      </c>
      <c r="H322" t="str">
        <f>IFERROR(VLOOKUP($A322,原始数据_利率互换_FR007_1年!$A$6:$C$4395,2,0),"")</f>
        <v/>
      </c>
      <c r="I322" t="str">
        <f>IFERROR(VLOOKUP($A322,原始数据_利率互换_FR007_1年!$A$6:$C$4395,3,0),"")</f>
        <v/>
      </c>
    </row>
    <row r="323" spans="1:9">
      <c r="A323" s="6">
        <v>39816</v>
      </c>
      <c r="B323" t="str">
        <f>IFERROR(VLOOKUP($A323,原始数据_收盘!$A$4:$G$3460,2,0),"")</f>
        <v/>
      </c>
      <c r="C323" t="str">
        <f>IFERROR(VLOOKUP($A323,原始数据_收盘!$A$4:$G$3460,3,0),"")</f>
        <v/>
      </c>
      <c r="D323" t="str">
        <f>IFERROR(VLOOKUP($A323,原始数据_收盘!$A$4:$G$3460,4,0),"")</f>
        <v/>
      </c>
      <c r="E323" t="str">
        <f>IFERROR(VLOOKUP($A323,原始数据_收盘!$A$4:$G$3460,5,0),"")</f>
        <v/>
      </c>
      <c r="F323" t="str">
        <f>IFERROR(VLOOKUP($A323,原始数据_收盘!$A$4:$G$3460,6,0),"")</f>
        <v/>
      </c>
      <c r="G323" t="str">
        <f>IFERROR(VLOOKUP($A323,原始数据_收盘!$A$4:$G$3460,7,0),"")</f>
        <v/>
      </c>
      <c r="H323" t="str">
        <f>IFERROR(VLOOKUP($A323,原始数据_利率互换_FR007_1年!$A$6:$C$4395,2,0),"")</f>
        <v/>
      </c>
      <c r="I323" t="str">
        <f>IFERROR(VLOOKUP($A323,原始数据_利率互换_FR007_1年!$A$6:$C$4395,3,0),"")</f>
        <v/>
      </c>
    </row>
    <row r="324" spans="1:9">
      <c r="A324" s="6">
        <v>39817</v>
      </c>
      <c r="B324" t="str">
        <f>IFERROR(VLOOKUP($A324,原始数据_收盘!$A$4:$G$3460,2,0),"")</f>
        <v/>
      </c>
      <c r="C324" t="str">
        <f>IFERROR(VLOOKUP($A324,原始数据_收盘!$A$4:$G$3460,3,0),"")</f>
        <v/>
      </c>
      <c r="D324" t="str">
        <f>IFERROR(VLOOKUP($A324,原始数据_收盘!$A$4:$G$3460,4,0),"")</f>
        <v/>
      </c>
      <c r="E324" t="str">
        <f>IFERROR(VLOOKUP($A324,原始数据_收盘!$A$4:$G$3460,5,0),"")</f>
        <v/>
      </c>
      <c r="F324" t="str">
        <f>IFERROR(VLOOKUP($A324,原始数据_收盘!$A$4:$G$3460,6,0),"")</f>
        <v/>
      </c>
      <c r="G324" t="str">
        <f>IFERROR(VLOOKUP($A324,原始数据_收盘!$A$4:$G$3460,7,0),"")</f>
        <v/>
      </c>
      <c r="H324">
        <f>IFERROR(VLOOKUP($A324,原始数据_利率互换_FR007_1年!$A$6:$C$4395,2,0),"")</f>
        <v>0.88</v>
      </c>
      <c r="I324">
        <f>IFERROR(VLOOKUP($A324,原始数据_利率互换_FR007_1年!$A$6:$C$4395,3,0),"")</f>
        <v>0</v>
      </c>
    </row>
    <row r="325" spans="1:9">
      <c r="A325" s="6">
        <v>39818</v>
      </c>
      <c r="B325" t="str">
        <f>IFERROR(VLOOKUP($A325,原始数据_收盘!$A$4:$G$3460,2,0),"")</f>
        <v/>
      </c>
      <c r="C325" t="str">
        <f>IFERROR(VLOOKUP($A325,原始数据_收盘!$A$4:$G$3460,3,0),"")</f>
        <v/>
      </c>
      <c r="D325" t="str">
        <f>IFERROR(VLOOKUP($A325,原始数据_收盘!$A$4:$G$3460,4,0),"")</f>
        <v/>
      </c>
      <c r="E325" t="str">
        <f>IFERROR(VLOOKUP($A325,原始数据_收盘!$A$4:$G$3460,5,0),"")</f>
        <v/>
      </c>
      <c r="F325" t="str">
        <f>IFERROR(VLOOKUP($A325,原始数据_收盘!$A$4:$G$3460,6,0),"")</f>
        <v/>
      </c>
      <c r="G325" t="str">
        <f>IFERROR(VLOOKUP($A325,原始数据_收盘!$A$4:$G$3460,7,0),"")</f>
        <v/>
      </c>
      <c r="H325">
        <f>IFERROR(VLOOKUP($A325,原始数据_利率互换_FR007_1年!$A$6:$C$4395,2,0),"")</f>
        <v>0.874</v>
      </c>
      <c r="I325">
        <f>IFERROR(VLOOKUP($A325,原始数据_利率互换_FR007_1年!$A$6:$C$4395,3,0),"")</f>
        <v>0</v>
      </c>
    </row>
    <row r="326" spans="1:9">
      <c r="A326" s="6">
        <v>39819</v>
      </c>
      <c r="B326" t="str">
        <f>IFERROR(VLOOKUP($A326,原始数据_收盘!$A$4:$G$3460,2,0),"")</f>
        <v/>
      </c>
      <c r="C326" t="str">
        <f>IFERROR(VLOOKUP($A326,原始数据_收盘!$A$4:$G$3460,3,0),"")</f>
        <v/>
      </c>
      <c r="D326" t="str">
        <f>IFERROR(VLOOKUP($A326,原始数据_收盘!$A$4:$G$3460,4,0),"")</f>
        <v/>
      </c>
      <c r="E326" t="str">
        <f>IFERROR(VLOOKUP($A326,原始数据_收盘!$A$4:$G$3460,5,0),"")</f>
        <v/>
      </c>
      <c r="F326" t="str">
        <f>IFERROR(VLOOKUP($A326,原始数据_收盘!$A$4:$G$3460,6,0),"")</f>
        <v/>
      </c>
      <c r="G326" t="str">
        <f>IFERROR(VLOOKUP($A326,原始数据_收盘!$A$4:$G$3460,7,0),"")</f>
        <v/>
      </c>
      <c r="H326">
        <f>IFERROR(VLOOKUP($A326,原始数据_利率互换_FR007_1年!$A$6:$C$4395,2,0),"")</f>
        <v>0.83</v>
      </c>
      <c r="I326">
        <f>IFERROR(VLOOKUP($A326,原始数据_利率互换_FR007_1年!$A$6:$C$4395,3,0),"")</f>
        <v>1.56</v>
      </c>
    </row>
    <row r="327" spans="1:9">
      <c r="A327" s="6">
        <v>39820</v>
      </c>
      <c r="B327" t="str">
        <f>IFERROR(VLOOKUP($A327,原始数据_收盘!$A$4:$G$3460,2,0),"")</f>
        <v/>
      </c>
      <c r="C327" t="str">
        <f>IFERROR(VLOOKUP($A327,原始数据_收盘!$A$4:$G$3460,3,0),"")</f>
        <v/>
      </c>
      <c r="D327" t="str">
        <f>IFERROR(VLOOKUP($A327,原始数据_收盘!$A$4:$G$3460,4,0),"")</f>
        <v/>
      </c>
      <c r="E327" t="str">
        <f>IFERROR(VLOOKUP($A327,原始数据_收盘!$A$4:$G$3460,5,0),"")</f>
        <v/>
      </c>
      <c r="F327" t="str">
        <f>IFERROR(VLOOKUP($A327,原始数据_收盘!$A$4:$G$3460,6,0),"")</f>
        <v/>
      </c>
      <c r="G327" t="str">
        <f>IFERROR(VLOOKUP($A327,原始数据_收盘!$A$4:$G$3460,7,0),"")</f>
        <v/>
      </c>
      <c r="H327">
        <f>IFERROR(VLOOKUP($A327,原始数据_利率互换_FR007_1年!$A$6:$C$4395,2,0),"")</f>
        <v>0.85</v>
      </c>
      <c r="I327">
        <f>IFERROR(VLOOKUP($A327,原始数据_利率互换_FR007_1年!$A$6:$C$4395,3,0),"")</f>
        <v>1.57</v>
      </c>
    </row>
    <row r="328" spans="1:9">
      <c r="A328" s="6">
        <v>39821</v>
      </c>
      <c r="B328" t="str">
        <f>IFERROR(VLOOKUP($A328,原始数据_收盘!$A$4:$G$3460,2,0),"")</f>
        <v/>
      </c>
      <c r="C328" t="str">
        <f>IFERROR(VLOOKUP($A328,原始数据_收盘!$A$4:$G$3460,3,0),"")</f>
        <v/>
      </c>
      <c r="D328" t="str">
        <f>IFERROR(VLOOKUP($A328,原始数据_收盘!$A$4:$G$3460,4,0),"")</f>
        <v/>
      </c>
      <c r="E328" t="str">
        <f>IFERROR(VLOOKUP($A328,原始数据_收盘!$A$4:$G$3460,5,0),"")</f>
        <v/>
      </c>
      <c r="F328" t="str">
        <f>IFERROR(VLOOKUP($A328,原始数据_收盘!$A$4:$G$3460,6,0),"")</f>
        <v/>
      </c>
      <c r="G328" t="str">
        <f>IFERROR(VLOOKUP($A328,原始数据_收盘!$A$4:$G$3460,7,0),"")</f>
        <v/>
      </c>
      <c r="H328">
        <f>IFERROR(VLOOKUP($A328,原始数据_利率互换_FR007_1年!$A$6:$C$4395,2,0),"")</f>
        <v>0.83</v>
      </c>
      <c r="I328">
        <f>IFERROR(VLOOKUP($A328,原始数据_利率互换_FR007_1年!$A$6:$C$4395,3,0),"")</f>
        <v>0</v>
      </c>
    </row>
    <row r="329" spans="1:9">
      <c r="A329" s="6">
        <v>39822</v>
      </c>
      <c r="B329" t="str">
        <f>IFERROR(VLOOKUP($A329,原始数据_收盘!$A$4:$G$3460,2,0),"")</f>
        <v/>
      </c>
      <c r="C329" t="str">
        <f>IFERROR(VLOOKUP($A329,原始数据_收盘!$A$4:$G$3460,3,0),"")</f>
        <v/>
      </c>
      <c r="D329" t="str">
        <f>IFERROR(VLOOKUP($A329,原始数据_收盘!$A$4:$G$3460,4,0),"")</f>
        <v/>
      </c>
      <c r="E329" t="str">
        <f>IFERROR(VLOOKUP($A329,原始数据_收盘!$A$4:$G$3460,5,0),"")</f>
        <v/>
      </c>
      <c r="F329" t="str">
        <f>IFERROR(VLOOKUP($A329,原始数据_收盘!$A$4:$G$3460,6,0),"")</f>
        <v/>
      </c>
      <c r="G329" t="str">
        <f>IFERROR(VLOOKUP($A329,原始数据_收盘!$A$4:$G$3460,7,0),"")</f>
        <v/>
      </c>
      <c r="H329">
        <f>IFERROR(VLOOKUP($A329,原始数据_利率互换_FR007_1年!$A$6:$C$4395,2,0),"")</f>
        <v>0</v>
      </c>
      <c r="I329">
        <f>IFERROR(VLOOKUP($A329,原始数据_利率互换_FR007_1年!$A$6:$C$4395,3,0),"")</f>
        <v>1.52</v>
      </c>
    </row>
    <row r="330" spans="1:9">
      <c r="A330" s="6">
        <v>39823</v>
      </c>
      <c r="B330" t="str">
        <f>IFERROR(VLOOKUP($A330,原始数据_收盘!$A$4:$G$3460,2,0),"")</f>
        <v/>
      </c>
      <c r="C330" t="str">
        <f>IFERROR(VLOOKUP($A330,原始数据_收盘!$A$4:$G$3460,3,0),"")</f>
        <v/>
      </c>
      <c r="D330" t="str">
        <f>IFERROR(VLOOKUP($A330,原始数据_收盘!$A$4:$G$3460,4,0),"")</f>
        <v/>
      </c>
      <c r="E330" t="str">
        <f>IFERROR(VLOOKUP($A330,原始数据_收盘!$A$4:$G$3460,5,0),"")</f>
        <v/>
      </c>
      <c r="F330" t="str">
        <f>IFERROR(VLOOKUP($A330,原始数据_收盘!$A$4:$G$3460,6,0),"")</f>
        <v/>
      </c>
      <c r="G330" t="str">
        <f>IFERROR(VLOOKUP($A330,原始数据_收盘!$A$4:$G$3460,7,0),"")</f>
        <v/>
      </c>
      <c r="H330" t="str">
        <f>IFERROR(VLOOKUP($A330,原始数据_利率互换_FR007_1年!$A$6:$C$4395,2,0),"")</f>
        <v/>
      </c>
      <c r="I330" t="str">
        <f>IFERROR(VLOOKUP($A330,原始数据_利率互换_FR007_1年!$A$6:$C$4395,3,0),"")</f>
        <v/>
      </c>
    </row>
    <row r="331" spans="1:9">
      <c r="A331" s="6">
        <v>39824</v>
      </c>
      <c r="B331" t="str">
        <f>IFERROR(VLOOKUP($A331,原始数据_收盘!$A$4:$G$3460,2,0),"")</f>
        <v/>
      </c>
      <c r="C331" t="str">
        <f>IFERROR(VLOOKUP($A331,原始数据_收盘!$A$4:$G$3460,3,0),"")</f>
        <v/>
      </c>
      <c r="D331" t="str">
        <f>IFERROR(VLOOKUP($A331,原始数据_收盘!$A$4:$G$3460,4,0),"")</f>
        <v/>
      </c>
      <c r="E331" t="str">
        <f>IFERROR(VLOOKUP($A331,原始数据_收盘!$A$4:$G$3460,5,0),"")</f>
        <v/>
      </c>
      <c r="F331" t="str">
        <f>IFERROR(VLOOKUP($A331,原始数据_收盘!$A$4:$G$3460,6,0),"")</f>
        <v/>
      </c>
      <c r="G331" t="str">
        <f>IFERROR(VLOOKUP($A331,原始数据_收盘!$A$4:$G$3460,7,0),"")</f>
        <v/>
      </c>
      <c r="H331" t="str">
        <f>IFERROR(VLOOKUP($A331,原始数据_利率互换_FR007_1年!$A$6:$C$4395,2,0),"")</f>
        <v/>
      </c>
      <c r="I331" t="str">
        <f>IFERROR(VLOOKUP($A331,原始数据_利率互换_FR007_1年!$A$6:$C$4395,3,0),"")</f>
        <v/>
      </c>
    </row>
    <row r="332" spans="1:9">
      <c r="A332" s="6">
        <v>39825</v>
      </c>
      <c r="B332" t="str">
        <f>IFERROR(VLOOKUP($A332,原始数据_收盘!$A$4:$G$3460,2,0),"")</f>
        <v/>
      </c>
      <c r="C332" t="str">
        <f>IFERROR(VLOOKUP($A332,原始数据_收盘!$A$4:$G$3460,3,0),"")</f>
        <v/>
      </c>
      <c r="D332" t="str">
        <f>IFERROR(VLOOKUP($A332,原始数据_收盘!$A$4:$G$3460,4,0),"")</f>
        <v/>
      </c>
      <c r="E332" t="str">
        <f>IFERROR(VLOOKUP($A332,原始数据_收盘!$A$4:$G$3460,5,0),"")</f>
        <v/>
      </c>
      <c r="F332" t="str">
        <f>IFERROR(VLOOKUP($A332,原始数据_收盘!$A$4:$G$3460,6,0),"")</f>
        <v/>
      </c>
      <c r="G332" t="str">
        <f>IFERROR(VLOOKUP($A332,原始数据_收盘!$A$4:$G$3460,7,0),"")</f>
        <v/>
      </c>
      <c r="H332">
        <f>IFERROR(VLOOKUP($A332,原始数据_利率互换_FR007_1年!$A$6:$C$4395,2,0),"")</f>
        <v>0.85</v>
      </c>
      <c r="I332">
        <f>IFERROR(VLOOKUP($A332,原始数据_利率互换_FR007_1年!$A$6:$C$4395,3,0),"")</f>
        <v>1.49</v>
      </c>
    </row>
    <row r="333" spans="1:9">
      <c r="A333" s="6">
        <v>39826</v>
      </c>
      <c r="B333" t="str">
        <f>IFERROR(VLOOKUP($A333,原始数据_收盘!$A$4:$G$3460,2,0),"")</f>
        <v/>
      </c>
      <c r="C333" t="str">
        <f>IFERROR(VLOOKUP($A333,原始数据_收盘!$A$4:$G$3460,3,0),"")</f>
        <v/>
      </c>
      <c r="D333" t="str">
        <f>IFERROR(VLOOKUP($A333,原始数据_收盘!$A$4:$G$3460,4,0),"")</f>
        <v/>
      </c>
      <c r="E333" t="str">
        <f>IFERROR(VLOOKUP($A333,原始数据_收盘!$A$4:$G$3460,5,0),"")</f>
        <v/>
      </c>
      <c r="F333" t="str">
        <f>IFERROR(VLOOKUP($A333,原始数据_收盘!$A$4:$G$3460,6,0),"")</f>
        <v/>
      </c>
      <c r="G333" t="str">
        <f>IFERROR(VLOOKUP($A333,原始数据_收盘!$A$4:$G$3460,7,0),"")</f>
        <v/>
      </c>
      <c r="H333">
        <f>IFERROR(VLOOKUP($A333,原始数据_利率互换_FR007_1年!$A$6:$C$4395,2,0),"")</f>
        <v>0.79</v>
      </c>
      <c r="I333">
        <f>IFERROR(VLOOKUP($A333,原始数据_利率互换_FR007_1年!$A$6:$C$4395,3,0),"")</f>
        <v>1.5</v>
      </c>
    </row>
    <row r="334" spans="1:9">
      <c r="A334" s="6">
        <v>39827</v>
      </c>
      <c r="B334" t="str">
        <f>IFERROR(VLOOKUP($A334,原始数据_收盘!$A$4:$G$3460,2,0),"")</f>
        <v/>
      </c>
      <c r="C334" t="str">
        <f>IFERROR(VLOOKUP($A334,原始数据_收盘!$A$4:$G$3460,3,0),"")</f>
        <v/>
      </c>
      <c r="D334" t="str">
        <f>IFERROR(VLOOKUP($A334,原始数据_收盘!$A$4:$G$3460,4,0),"")</f>
        <v/>
      </c>
      <c r="E334" t="str">
        <f>IFERROR(VLOOKUP($A334,原始数据_收盘!$A$4:$G$3460,5,0),"")</f>
        <v/>
      </c>
      <c r="F334" t="str">
        <f>IFERROR(VLOOKUP($A334,原始数据_收盘!$A$4:$G$3460,6,0),"")</f>
        <v/>
      </c>
      <c r="G334" t="str">
        <f>IFERROR(VLOOKUP($A334,原始数据_收盘!$A$4:$G$3460,7,0),"")</f>
        <v/>
      </c>
      <c r="H334" t="str">
        <f>IFERROR(VLOOKUP($A334,原始数据_利率互换_FR007_1年!$A$6:$C$4395,2,0),"")</f>
        <v/>
      </c>
      <c r="I334" t="str">
        <f>IFERROR(VLOOKUP($A334,原始数据_利率互换_FR007_1年!$A$6:$C$4395,3,0),"")</f>
        <v/>
      </c>
    </row>
    <row r="335" spans="1:9">
      <c r="A335" s="6">
        <v>39828</v>
      </c>
      <c r="B335" t="str">
        <f>IFERROR(VLOOKUP($A335,原始数据_收盘!$A$4:$G$3460,2,0),"")</f>
        <v/>
      </c>
      <c r="C335" t="str">
        <f>IFERROR(VLOOKUP($A335,原始数据_收盘!$A$4:$G$3460,3,0),"")</f>
        <v/>
      </c>
      <c r="D335" t="str">
        <f>IFERROR(VLOOKUP($A335,原始数据_收盘!$A$4:$G$3460,4,0),"")</f>
        <v/>
      </c>
      <c r="E335" t="str">
        <f>IFERROR(VLOOKUP($A335,原始数据_收盘!$A$4:$G$3460,5,0),"")</f>
        <v/>
      </c>
      <c r="F335" t="str">
        <f>IFERROR(VLOOKUP($A335,原始数据_收盘!$A$4:$G$3460,6,0),"")</f>
        <v/>
      </c>
      <c r="G335" t="str">
        <f>IFERROR(VLOOKUP($A335,原始数据_收盘!$A$4:$G$3460,7,0),"")</f>
        <v/>
      </c>
      <c r="H335">
        <f>IFERROR(VLOOKUP($A335,原始数据_利率互换_FR007_1年!$A$6:$C$4395,2,0),"")</f>
        <v>0.845</v>
      </c>
      <c r="I335">
        <f>IFERROR(VLOOKUP($A335,原始数据_利率互换_FR007_1年!$A$6:$C$4395,3,0),"")</f>
        <v>1.5175</v>
      </c>
    </row>
    <row r="336" spans="1:9">
      <c r="A336" s="6">
        <v>39829</v>
      </c>
      <c r="B336" t="str">
        <f>IFERROR(VLOOKUP($A336,原始数据_收盘!$A$4:$G$3460,2,0),"")</f>
        <v/>
      </c>
      <c r="C336" t="str">
        <f>IFERROR(VLOOKUP($A336,原始数据_收盘!$A$4:$G$3460,3,0),"")</f>
        <v/>
      </c>
      <c r="D336" t="str">
        <f>IFERROR(VLOOKUP($A336,原始数据_收盘!$A$4:$G$3460,4,0),"")</f>
        <v/>
      </c>
      <c r="E336" t="str">
        <f>IFERROR(VLOOKUP($A336,原始数据_收盘!$A$4:$G$3460,5,0),"")</f>
        <v/>
      </c>
      <c r="F336" t="str">
        <f>IFERROR(VLOOKUP($A336,原始数据_收盘!$A$4:$G$3460,6,0),"")</f>
        <v/>
      </c>
      <c r="G336" t="str">
        <f>IFERROR(VLOOKUP($A336,原始数据_收盘!$A$4:$G$3460,7,0),"")</f>
        <v/>
      </c>
      <c r="H336">
        <f>IFERROR(VLOOKUP($A336,原始数据_利率互换_FR007_1年!$A$6:$C$4395,2,0),"")</f>
        <v>0.9</v>
      </c>
      <c r="I336">
        <f>IFERROR(VLOOKUP($A336,原始数据_利率互换_FR007_1年!$A$6:$C$4395,3,0),"")</f>
        <v>0</v>
      </c>
    </row>
    <row r="337" spans="1:9">
      <c r="A337" s="6">
        <v>39830</v>
      </c>
      <c r="B337" t="str">
        <f>IFERROR(VLOOKUP($A337,原始数据_收盘!$A$4:$G$3460,2,0),"")</f>
        <v/>
      </c>
      <c r="C337" t="str">
        <f>IFERROR(VLOOKUP($A337,原始数据_收盘!$A$4:$G$3460,3,0),"")</f>
        <v/>
      </c>
      <c r="D337" t="str">
        <f>IFERROR(VLOOKUP($A337,原始数据_收盘!$A$4:$G$3460,4,0),"")</f>
        <v/>
      </c>
      <c r="E337" t="str">
        <f>IFERROR(VLOOKUP($A337,原始数据_收盘!$A$4:$G$3460,5,0),"")</f>
        <v/>
      </c>
      <c r="F337" t="str">
        <f>IFERROR(VLOOKUP($A337,原始数据_收盘!$A$4:$G$3460,6,0),"")</f>
        <v/>
      </c>
      <c r="G337" t="str">
        <f>IFERROR(VLOOKUP($A337,原始数据_收盘!$A$4:$G$3460,7,0),"")</f>
        <v/>
      </c>
      <c r="H337" t="str">
        <f>IFERROR(VLOOKUP($A337,原始数据_利率互换_FR007_1年!$A$6:$C$4395,2,0),"")</f>
        <v/>
      </c>
      <c r="I337" t="str">
        <f>IFERROR(VLOOKUP($A337,原始数据_利率互换_FR007_1年!$A$6:$C$4395,3,0),"")</f>
        <v/>
      </c>
    </row>
    <row r="338" spans="1:9">
      <c r="A338" s="6">
        <v>39831</v>
      </c>
      <c r="B338" t="str">
        <f>IFERROR(VLOOKUP($A338,原始数据_收盘!$A$4:$G$3460,2,0),"")</f>
        <v/>
      </c>
      <c r="C338" t="str">
        <f>IFERROR(VLOOKUP($A338,原始数据_收盘!$A$4:$G$3460,3,0),"")</f>
        <v/>
      </c>
      <c r="D338" t="str">
        <f>IFERROR(VLOOKUP($A338,原始数据_收盘!$A$4:$G$3460,4,0),"")</f>
        <v/>
      </c>
      <c r="E338" t="str">
        <f>IFERROR(VLOOKUP($A338,原始数据_收盘!$A$4:$G$3460,5,0),"")</f>
        <v/>
      </c>
      <c r="F338" t="str">
        <f>IFERROR(VLOOKUP($A338,原始数据_收盘!$A$4:$G$3460,6,0),"")</f>
        <v/>
      </c>
      <c r="G338" t="str">
        <f>IFERROR(VLOOKUP($A338,原始数据_收盘!$A$4:$G$3460,7,0),"")</f>
        <v/>
      </c>
      <c r="H338" t="str">
        <f>IFERROR(VLOOKUP($A338,原始数据_利率互换_FR007_1年!$A$6:$C$4395,2,0),"")</f>
        <v/>
      </c>
      <c r="I338" t="str">
        <f>IFERROR(VLOOKUP($A338,原始数据_利率互换_FR007_1年!$A$6:$C$4395,3,0),"")</f>
        <v/>
      </c>
    </row>
    <row r="339" spans="1:9">
      <c r="A339" s="6">
        <v>39832</v>
      </c>
      <c r="B339" t="str">
        <f>IFERROR(VLOOKUP($A339,原始数据_收盘!$A$4:$G$3460,2,0),"")</f>
        <v/>
      </c>
      <c r="C339" t="str">
        <f>IFERROR(VLOOKUP($A339,原始数据_收盘!$A$4:$G$3460,3,0),"")</f>
        <v/>
      </c>
      <c r="D339" t="str">
        <f>IFERROR(VLOOKUP($A339,原始数据_收盘!$A$4:$G$3460,4,0),"")</f>
        <v/>
      </c>
      <c r="E339" t="str">
        <f>IFERROR(VLOOKUP($A339,原始数据_收盘!$A$4:$G$3460,5,0),"")</f>
        <v/>
      </c>
      <c r="F339" t="str">
        <f>IFERROR(VLOOKUP($A339,原始数据_收盘!$A$4:$G$3460,6,0),"")</f>
        <v/>
      </c>
      <c r="G339" t="str">
        <f>IFERROR(VLOOKUP($A339,原始数据_收盘!$A$4:$G$3460,7,0),"")</f>
        <v/>
      </c>
      <c r="H339">
        <f>IFERROR(VLOOKUP($A339,原始数据_利率互换_FR007_1年!$A$6:$C$4395,2,0),"")</f>
        <v>0</v>
      </c>
      <c r="I339">
        <f>IFERROR(VLOOKUP($A339,原始数据_利率互换_FR007_1年!$A$6:$C$4395,3,0),"")</f>
        <v>1.645</v>
      </c>
    </row>
    <row r="340" spans="1:9">
      <c r="A340" s="6">
        <v>39833</v>
      </c>
      <c r="B340" t="str">
        <f>IFERROR(VLOOKUP($A340,原始数据_收盘!$A$4:$G$3460,2,0),"")</f>
        <v/>
      </c>
      <c r="C340" t="str">
        <f>IFERROR(VLOOKUP($A340,原始数据_收盘!$A$4:$G$3460,3,0),"")</f>
        <v/>
      </c>
      <c r="D340" t="str">
        <f>IFERROR(VLOOKUP($A340,原始数据_收盘!$A$4:$G$3460,4,0),"")</f>
        <v/>
      </c>
      <c r="E340" t="str">
        <f>IFERROR(VLOOKUP($A340,原始数据_收盘!$A$4:$G$3460,5,0),"")</f>
        <v/>
      </c>
      <c r="F340" t="str">
        <f>IFERROR(VLOOKUP($A340,原始数据_收盘!$A$4:$G$3460,6,0),"")</f>
        <v/>
      </c>
      <c r="G340" t="str">
        <f>IFERROR(VLOOKUP($A340,原始数据_收盘!$A$4:$G$3460,7,0),"")</f>
        <v/>
      </c>
      <c r="H340">
        <f>IFERROR(VLOOKUP($A340,原始数据_利率互换_FR007_1年!$A$6:$C$4395,2,0),"")</f>
        <v>0.96</v>
      </c>
      <c r="I340">
        <f>IFERROR(VLOOKUP($A340,原始数据_利率互换_FR007_1年!$A$6:$C$4395,3,0),"")</f>
        <v>1.7</v>
      </c>
    </row>
    <row r="341" spans="1:9">
      <c r="A341" s="6">
        <v>39834</v>
      </c>
      <c r="B341" t="str">
        <f>IFERROR(VLOOKUP($A341,原始数据_收盘!$A$4:$G$3460,2,0),"")</f>
        <v/>
      </c>
      <c r="C341" t="str">
        <f>IFERROR(VLOOKUP($A341,原始数据_收盘!$A$4:$G$3460,3,0),"")</f>
        <v/>
      </c>
      <c r="D341" t="str">
        <f>IFERROR(VLOOKUP($A341,原始数据_收盘!$A$4:$G$3460,4,0),"")</f>
        <v/>
      </c>
      <c r="E341" t="str">
        <f>IFERROR(VLOOKUP($A341,原始数据_收盘!$A$4:$G$3460,5,0),"")</f>
        <v/>
      </c>
      <c r="F341" t="str">
        <f>IFERROR(VLOOKUP($A341,原始数据_收盘!$A$4:$G$3460,6,0),"")</f>
        <v/>
      </c>
      <c r="G341" t="str">
        <f>IFERROR(VLOOKUP($A341,原始数据_收盘!$A$4:$G$3460,7,0),"")</f>
        <v/>
      </c>
      <c r="H341">
        <f>IFERROR(VLOOKUP($A341,原始数据_利率互换_FR007_1年!$A$6:$C$4395,2,0),"")</f>
        <v>0.9</v>
      </c>
      <c r="I341">
        <f>IFERROR(VLOOKUP($A341,原始数据_利率互换_FR007_1年!$A$6:$C$4395,3,0),"")</f>
        <v>1.66</v>
      </c>
    </row>
    <row r="342" spans="1:9">
      <c r="A342" s="6">
        <v>39835</v>
      </c>
      <c r="B342" t="str">
        <f>IFERROR(VLOOKUP($A342,原始数据_收盘!$A$4:$G$3460,2,0),"")</f>
        <v/>
      </c>
      <c r="C342" t="str">
        <f>IFERROR(VLOOKUP($A342,原始数据_收盘!$A$4:$G$3460,3,0),"")</f>
        <v/>
      </c>
      <c r="D342" t="str">
        <f>IFERROR(VLOOKUP($A342,原始数据_收盘!$A$4:$G$3460,4,0),"")</f>
        <v/>
      </c>
      <c r="E342" t="str">
        <f>IFERROR(VLOOKUP($A342,原始数据_收盘!$A$4:$G$3460,5,0),"")</f>
        <v/>
      </c>
      <c r="F342" t="str">
        <f>IFERROR(VLOOKUP($A342,原始数据_收盘!$A$4:$G$3460,6,0),"")</f>
        <v/>
      </c>
      <c r="G342" t="str">
        <f>IFERROR(VLOOKUP($A342,原始数据_收盘!$A$4:$G$3460,7,0),"")</f>
        <v/>
      </c>
      <c r="H342">
        <f>IFERROR(VLOOKUP($A342,原始数据_利率互换_FR007_1年!$A$6:$C$4395,2,0),"")</f>
        <v>0</v>
      </c>
      <c r="I342">
        <f>IFERROR(VLOOKUP($A342,原始数据_利率互换_FR007_1年!$A$6:$C$4395,3,0),"")</f>
        <v>1.68</v>
      </c>
    </row>
    <row r="343" spans="1:9">
      <c r="A343" s="6">
        <v>39836</v>
      </c>
      <c r="B343" t="str">
        <f>IFERROR(VLOOKUP($A343,原始数据_收盘!$A$4:$G$3460,2,0),"")</f>
        <v/>
      </c>
      <c r="C343" t="str">
        <f>IFERROR(VLOOKUP($A343,原始数据_收盘!$A$4:$G$3460,3,0),"")</f>
        <v/>
      </c>
      <c r="D343" t="str">
        <f>IFERROR(VLOOKUP($A343,原始数据_收盘!$A$4:$G$3460,4,0),"")</f>
        <v/>
      </c>
      <c r="E343" t="str">
        <f>IFERROR(VLOOKUP($A343,原始数据_收盘!$A$4:$G$3460,5,0),"")</f>
        <v/>
      </c>
      <c r="F343" t="str">
        <f>IFERROR(VLOOKUP($A343,原始数据_收盘!$A$4:$G$3460,6,0),"")</f>
        <v/>
      </c>
      <c r="G343" t="str">
        <f>IFERROR(VLOOKUP($A343,原始数据_收盘!$A$4:$G$3460,7,0),"")</f>
        <v/>
      </c>
      <c r="H343" t="str">
        <f>IFERROR(VLOOKUP($A343,原始数据_利率互换_FR007_1年!$A$6:$C$4395,2,0),"")</f>
        <v/>
      </c>
      <c r="I343" t="str">
        <f>IFERROR(VLOOKUP($A343,原始数据_利率互换_FR007_1年!$A$6:$C$4395,3,0),"")</f>
        <v/>
      </c>
    </row>
    <row r="344" spans="1:9">
      <c r="A344" s="6">
        <v>39837</v>
      </c>
      <c r="B344" t="str">
        <f>IFERROR(VLOOKUP($A344,原始数据_收盘!$A$4:$G$3460,2,0),"")</f>
        <v/>
      </c>
      <c r="C344" t="str">
        <f>IFERROR(VLOOKUP($A344,原始数据_收盘!$A$4:$G$3460,3,0),"")</f>
        <v/>
      </c>
      <c r="D344" t="str">
        <f>IFERROR(VLOOKUP($A344,原始数据_收盘!$A$4:$G$3460,4,0),"")</f>
        <v/>
      </c>
      <c r="E344" t="str">
        <f>IFERROR(VLOOKUP($A344,原始数据_收盘!$A$4:$G$3460,5,0),"")</f>
        <v/>
      </c>
      <c r="F344" t="str">
        <f>IFERROR(VLOOKUP($A344,原始数据_收盘!$A$4:$G$3460,6,0),"")</f>
        <v/>
      </c>
      <c r="G344" t="str">
        <f>IFERROR(VLOOKUP($A344,原始数据_收盘!$A$4:$G$3460,7,0),"")</f>
        <v/>
      </c>
      <c r="H344" t="str">
        <f>IFERROR(VLOOKUP($A344,原始数据_利率互换_FR007_1年!$A$6:$C$4395,2,0),"")</f>
        <v/>
      </c>
      <c r="I344" t="str">
        <f>IFERROR(VLOOKUP($A344,原始数据_利率互换_FR007_1年!$A$6:$C$4395,3,0),"")</f>
        <v/>
      </c>
    </row>
    <row r="345" spans="1:9">
      <c r="A345" s="6">
        <v>39838</v>
      </c>
      <c r="B345" t="str">
        <f>IFERROR(VLOOKUP($A345,原始数据_收盘!$A$4:$G$3460,2,0),"")</f>
        <v/>
      </c>
      <c r="C345" t="str">
        <f>IFERROR(VLOOKUP($A345,原始数据_收盘!$A$4:$G$3460,3,0),"")</f>
        <v/>
      </c>
      <c r="D345" t="str">
        <f>IFERROR(VLOOKUP($A345,原始数据_收盘!$A$4:$G$3460,4,0),"")</f>
        <v/>
      </c>
      <c r="E345" t="str">
        <f>IFERROR(VLOOKUP($A345,原始数据_收盘!$A$4:$G$3460,5,0),"")</f>
        <v/>
      </c>
      <c r="F345" t="str">
        <f>IFERROR(VLOOKUP($A345,原始数据_收盘!$A$4:$G$3460,6,0),"")</f>
        <v/>
      </c>
      <c r="G345" t="str">
        <f>IFERROR(VLOOKUP($A345,原始数据_收盘!$A$4:$G$3460,7,0),"")</f>
        <v/>
      </c>
      <c r="H345" t="str">
        <f>IFERROR(VLOOKUP($A345,原始数据_利率互换_FR007_1年!$A$6:$C$4395,2,0),"")</f>
        <v/>
      </c>
      <c r="I345" t="str">
        <f>IFERROR(VLOOKUP($A345,原始数据_利率互换_FR007_1年!$A$6:$C$4395,3,0),"")</f>
        <v/>
      </c>
    </row>
    <row r="346" spans="1:9">
      <c r="A346" s="6">
        <v>39839</v>
      </c>
      <c r="B346" t="str">
        <f>IFERROR(VLOOKUP($A346,原始数据_收盘!$A$4:$G$3460,2,0),"")</f>
        <v/>
      </c>
      <c r="C346" t="str">
        <f>IFERROR(VLOOKUP($A346,原始数据_收盘!$A$4:$G$3460,3,0),"")</f>
        <v/>
      </c>
      <c r="D346" t="str">
        <f>IFERROR(VLOOKUP($A346,原始数据_收盘!$A$4:$G$3460,4,0),"")</f>
        <v/>
      </c>
      <c r="E346" t="str">
        <f>IFERROR(VLOOKUP($A346,原始数据_收盘!$A$4:$G$3460,5,0),"")</f>
        <v/>
      </c>
      <c r="F346" t="str">
        <f>IFERROR(VLOOKUP($A346,原始数据_收盘!$A$4:$G$3460,6,0),"")</f>
        <v/>
      </c>
      <c r="G346" t="str">
        <f>IFERROR(VLOOKUP($A346,原始数据_收盘!$A$4:$G$3460,7,0),"")</f>
        <v/>
      </c>
      <c r="H346" t="str">
        <f>IFERROR(VLOOKUP($A346,原始数据_利率互换_FR007_1年!$A$6:$C$4395,2,0),"")</f>
        <v/>
      </c>
      <c r="I346" t="str">
        <f>IFERROR(VLOOKUP($A346,原始数据_利率互换_FR007_1年!$A$6:$C$4395,3,0),"")</f>
        <v/>
      </c>
    </row>
    <row r="347" spans="1:9">
      <c r="A347" s="6">
        <v>39840</v>
      </c>
      <c r="B347" t="str">
        <f>IFERROR(VLOOKUP($A347,原始数据_收盘!$A$4:$G$3460,2,0),"")</f>
        <v/>
      </c>
      <c r="C347" t="str">
        <f>IFERROR(VLOOKUP($A347,原始数据_收盘!$A$4:$G$3460,3,0),"")</f>
        <v/>
      </c>
      <c r="D347" t="str">
        <f>IFERROR(VLOOKUP($A347,原始数据_收盘!$A$4:$G$3460,4,0),"")</f>
        <v/>
      </c>
      <c r="E347" t="str">
        <f>IFERROR(VLOOKUP($A347,原始数据_收盘!$A$4:$G$3460,5,0),"")</f>
        <v/>
      </c>
      <c r="F347" t="str">
        <f>IFERROR(VLOOKUP($A347,原始数据_收盘!$A$4:$G$3460,6,0),"")</f>
        <v/>
      </c>
      <c r="G347" t="str">
        <f>IFERROR(VLOOKUP($A347,原始数据_收盘!$A$4:$G$3460,7,0),"")</f>
        <v/>
      </c>
      <c r="H347" t="str">
        <f>IFERROR(VLOOKUP($A347,原始数据_利率互换_FR007_1年!$A$6:$C$4395,2,0),"")</f>
        <v/>
      </c>
      <c r="I347" t="str">
        <f>IFERROR(VLOOKUP($A347,原始数据_利率互换_FR007_1年!$A$6:$C$4395,3,0),"")</f>
        <v/>
      </c>
    </row>
    <row r="348" spans="1:9">
      <c r="A348" s="6">
        <v>39841</v>
      </c>
      <c r="B348" t="str">
        <f>IFERROR(VLOOKUP($A348,原始数据_收盘!$A$4:$G$3460,2,0),"")</f>
        <v/>
      </c>
      <c r="C348" t="str">
        <f>IFERROR(VLOOKUP($A348,原始数据_收盘!$A$4:$G$3460,3,0),"")</f>
        <v/>
      </c>
      <c r="D348" t="str">
        <f>IFERROR(VLOOKUP($A348,原始数据_收盘!$A$4:$G$3460,4,0),"")</f>
        <v/>
      </c>
      <c r="E348" t="str">
        <f>IFERROR(VLOOKUP($A348,原始数据_收盘!$A$4:$G$3460,5,0),"")</f>
        <v/>
      </c>
      <c r="F348" t="str">
        <f>IFERROR(VLOOKUP($A348,原始数据_收盘!$A$4:$G$3460,6,0),"")</f>
        <v/>
      </c>
      <c r="G348" t="str">
        <f>IFERROR(VLOOKUP($A348,原始数据_收盘!$A$4:$G$3460,7,0),"")</f>
        <v/>
      </c>
      <c r="H348" t="str">
        <f>IFERROR(VLOOKUP($A348,原始数据_利率互换_FR007_1年!$A$6:$C$4395,2,0),"")</f>
        <v/>
      </c>
      <c r="I348" t="str">
        <f>IFERROR(VLOOKUP($A348,原始数据_利率互换_FR007_1年!$A$6:$C$4395,3,0),"")</f>
        <v/>
      </c>
    </row>
    <row r="349" spans="1:9">
      <c r="A349" s="6">
        <v>39842</v>
      </c>
      <c r="B349" t="str">
        <f>IFERROR(VLOOKUP($A349,原始数据_收盘!$A$4:$G$3460,2,0),"")</f>
        <v/>
      </c>
      <c r="C349" t="str">
        <f>IFERROR(VLOOKUP($A349,原始数据_收盘!$A$4:$G$3460,3,0),"")</f>
        <v/>
      </c>
      <c r="D349" t="str">
        <f>IFERROR(VLOOKUP($A349,原始数据_收盘!$A$4:$G$3460,4,0),"")</f>
        <v/>
      </c>
      <c r="E349" t="str">
        <f>IFERROR(VLOOKUP($A349,原始数据_收盘!$A$4:$G$3460,5,0),"")</f>
        <v/>
      </c>
      <c r="F349" t="str">
        <f>IFERROR(VLOOKUP($A349,原始数据_收盘!$A$4:$G$3460,6,0),"")</f>
        <v/>
      </c>
      <c r="G349" t="str">
        <f>IFERROR(VLOOKUP($A349,原始数据_收盘!$A$4:$G$3460,7,0),"")</f>
        <v/>
      </c>
      <c r="H349" t="str">
        <f>IFERROR(VLOOKUP($A349,原始数据_利率互换_FR007_1年!$A$6:$C$4395,2,0),"")</f>
        <v/>
      </c>
      <c r="I349" t="str">
        <f>IFERROR(VLOOKUP($A349,原始数据_利率互换_FR007_1年!$A$6:$C$4395,3,0),"")</f>
        <v/>
      </c>
    </row>
    <row r="350" spans="1:9">
      <c r="A350" s="6">
        <v>39843</v>
      </c>
      <c r="B350" t="str">
        <f>IFERROR(VLOOKUP($A350,原始数据_收盘!$A$4:$G$3460,2,0),"")</f>
        <v/>
      </c>
      <c r="C350" t="str">
        <f>IFERROR(VLOOKUP($A350,原始数据_收盘!$A$4:$G$3460,3,0),"")</f>
        <v/>
      </c>
      <c r="D350" t="str">
        <f>IFERROR(VLOOKUP($A350,原始数据_收盘!$A$4:$G$3460,4,0),"")</f>
        <v/>
      </c>
      <c r="E350" t="str">
        <f>IFERROR(VLOOKUP($A350,原始数据_收盘!$A$4:$G$3460,5,0),"")</f>
        <v/>
      </c>
      <c r="F350" t="str">
        <f>IFERROR(VLOOKUP($A350,原始数据_收盘!$A$4:$G$3460,6,0),"")</f>
        <v/>
      </c>
      <c r="G350" t="str">
        <f>IFERROR(VLOOKUP($A350,原始数据_收盘!$A$4:$G$3460,7,0),"")</f>
        <v/>
      </c>
      <c r="H350" t="str">
        <f>IFERROR(VLOOKUP($A350,原始数据_利率互换_FR007_1年!$A$6:$C$4395,2,0),"")</f>
        <v/>
      </c>
      <c r="I350" t="str">
        <f>IFERROR(VLOOKUP($A350,原始数据_利率互换_FR007_1年!$A$6:$C$4395,3,0),"")</f>
        <v/>
      </c>
    </row>
    <row r="351" spans="1:9">
      <c r="A351" s="6">
        <v>39844</v>
      </c>
      <c r="B351" t="str">
        <f>IFERROR(VLOOKUP($A351,原始数据_收盘!$A$4:$G$3460,2,0),"")</f>
        <v/>
      </c>
      <c r="C351" t="str">
        <f>IFERROR(VLOOKUP($A351,原始数据_收盘!$A$4:$G$3460,3,0),"")</f>
        <v/>
      </c>
      <c r="D351" t="str">
        <f>IFERROR(VLOOKUP($A351,原始数据_收盘!$A$4:$G$3460,4,0),"")</f>
        <v/>
      </c>
      <c r="E351" t="str">
        <f>IFERROR(VLOOKUP($A351,原始数据_收盘!$A$4:$G$3460,5,0),"")</f>
        <v/>
      </c>
      <c r="F351" t="str">
        <f>IFERROR(VLOOKUP($A351,原始数据_收盘!$A$4:$G$3460,6,0),"")</f>
        <v/>
      </c>
      <c r="G351" t="str">
        <f>IFERROR(VLOOKUP($A351,原始数据_收盘!$A$4:$G$3460,7,0),"")</f>
        <v/>
      </c>
      <c r="H351" t="str">
        <f>IFERROR(VLOOKUP($A351,原始数据_利率互换_FR007_1年!$A$6:$C$4395,2,0),"")</f>
        <v/>
      </c>
      <c r="I351" t="str">
        <f>IFERROR(VLOOKUP($A351,原始数据_利率互换_FR007_1年!$A$6:$C$4395,3,0),"")</f>
        <v/>
      </c>
    </row>
    <row r="352" spans="1:9">
      <c r="A352" s="6">
        <v>39845</v>
      </c>
      <c r="B352" t="str">
        <f>IFERROR(VLOOKUP($A352,原始数据_收盘!$A$4:$G$3460,2,0),"")</f>
        <v/>
      </c>
      <c r="C352" t="str">
        <f>IFERROR(VLOOKUP($A352,原始数据_收盘!$A$4:$G$3460,3,0),"")</f>
        <v/>
      </c>
      <c r="D352" t="str">
        <f>IFERROR(VLOOKUP($A352,原始数据_收盘!$A$4:$G$3460,4,0),"")</f>
        <v/>
      </c>
      <c r="E352" t="str">
        <f>IFERROR(VLOOKUP($A352,原始数据_收盘!$A$4:$G$3460,5,0),"")</f>
        <v/>
      </c>
      <c r="F352" t="str">
        <f>IFERROR(VLOOKUP($A352,原始数据_收盘!$A$4:$G$3460,6,0),"")</f>
        <v/>
      </c>
      <c r="G352" t="str">
        <f>IFERROR(VLOOKUP($A352,原始数据_收盘!$A$4:$G$3460,7,0),"")</f>
        <v/>
      </c>
      <c r="H352" t="str">
        <f>IFERROR(VLOOKUP($A352,原始数据_利率互换_FR007_1年!$A$6:$C$4395,2,0),"")</f>
        <v/>
      </c>
      <c r="I352" t="str">
        <f>IFERROR(VLOOKUP($A352,原始数据_利率互换_FR007_1年!$A$6:$C$4395,3,0),"")</f>
        <v/>
      </c>
    </row>
    <row r="353" spans="1:9">
      <c r="A353" s="6">
        <v>39846</v>
      </c>
      <c r="B353" t="str">
        <f>IFERROR(VLOOKUP($A353,原始数据_收盘!$A$4:$G$3460,2,0),"")</f>
        <v/>
      </c>
      <c r="C353" t="str">
        <f>IFERROR(VLOOKUP($A353,原始数据_收盘!$A$4:$G$3460,3,0),"")</f>
        <v/>
      </c>
      <c r="D353" t="str">
        <f>IFERROR(VLOOKUP($A353,原始数据_收盘!$A$4:$G$3460,4,0),"")</f>
        <v/>
      </c>
      <c r="E353" t="str">
        <f>IFERROR(VLOOKUP($A353,原始数据_收盘!$A$4:$G$3460,5,0),"")</f>
        <v/>
      </c>
      <c r="F353" t="str">
        <f>IFERROR(VLOOKUP($A353,原始数据_收盘!$A$4:$G$3460,6,0),"")</f>
        <v/>
      </c>
      <c r="G353" t="str">
        <f>IFERROR(VLOOKUP($A353,原始数据_收盘!$A$4:$G$3460,7,0),"")</f>
        <v/>
      </c>
      <c r="H353">
        <f>IFERROR(VLOOKUP($A353,原始数据_利率互换_FR007_1年!$A$6:$C$4395,2,0),"")</f>
        <v>0</v>
      </c>
      <c r="I353">
        <f>IFERROR(VLOOKUP($A353,原始数据_利率互换_FR007_1年!$A$6:$C$4395,3,0),"")</f>
        <v>1.77</v>
      </c>
    </row>
    <row r="354" spans="1:9">
      <c r="A354" s="6">
        <v>39847</v>
      </c>
      <c r="B354" t="str">
        <f>IFERROR(VLOOKUP($A354,原始数据_收盘!$A$4:$G$3460,2,0),"")</f>
        <v/>
      </c>
      <c r="C354" t="str">
        <f>IFERROR(VLOOKUP($A354,原始数据_收盘!$A$4:$G$3460,3,0),"")</f>
        <v/>
      </c>
      <c r="D354" t="str">
        <f>IFERROR(VLOOKUP($A354,原始数据_收盘!$A$4:$G$3460,4,0),"")</f>
        <v/>
      </c>
      <c r="E354" t="str">
        <f>IFERROR(VLOOKUP($A354,原始数据_收盘!$A$4:$G$3460,5,0),"")</f>
        <v/>
      </c>
      <c r="F354" t="str">
        <f>IFERROR(VLOOKUP($A354,原始数据_收盘!$A$4:$G$3460,6,0),"")</f>
        <v/>
      </c>
      <c r="G354" t="str">
        <f>IFERROR(VLOOKUP($A354,原始数据_收盘!$A$4:$G$3460,7,0),"")</f>
        <v/>
      </c>
      <c r="H354">
        <f>IFERROR(VLOOKUP($A354,原始数据_利率互换_FR007_1年!$A$6:$C$4395,2,0),"")</f>
        <v>1</v>
      </c>
      <c r="I354">
        <f>IFERROR(VLOOKUP($A354,原始数据_利率互换_FR007_1年!$A$6:$C$4395,3,0),"")</f>
        <v>1.99</v>
      </c>
    </row>
    <row r="355" spans="1:9">
      <c r="A355" s="6">
        <v>39848</v>
      </c>
      <c r="B355" t="str">
        <f>IFERROR(VLOOKUP($A355,原始数据_收盘!$A$4:$G$3460,2,0),"")</f>
        <v/>
      </c>
      <c r="C355" t="str">
        <f>IFERROR(VLOOKUP($A355,原始数据_收盘!$A$4:$G$3460,3,0),"")</f>
        <v/>
      </c>
      <c r="D355" t="str">
        <f>IFERROR(VLOOKUP($A355,原始数据_收盘!$A$4:$G$3460,4,0),"")</f>
        <v/>
      </c>
      <c r="E355" t="str">
        <f>IFERROR(VLOOKUP($A355,原始数据_收盘!$A$4:$G$3460,5,0),"")</f>
        <v/>
      </c>
      <c r="F355" t="str">
        <f>IFERROR(VLOOKUP($A355,原始数据_收盘!$A$4:$G$3460,6,0),"")</f>
        <v/>
      </c>
      <c r="G355" t="str">
        <f>IFERROR(VLOOKUP($A355,原始数据_收盘!$A$4:$G$3460,7,0),"")</f>
        <v/>
      </c>
      <c r="H355">
        <f>IFERROR(VLOOKUP($A355,原始数据_利率互换_FR007_1年!$A$6:$C$4395,2,0),"")</f>
        <v>1.11</v>
      </c>
      <c r="I355">
        <f>IFERROR(VLOOKUP($A355,原始数据_利率互换_FR007_1年!$A$6:$C$4395,3,0),"")</f>
        <v>2.09</v>
      </c>
    </row>
    <row r="356" spans="1:9">
      <c r="A356" s="6">
        <v>39849</v>
      </c>
      <c r="B356" t="str">
        <f>IFERROR(VLOOKUP($A356,原始数据_收盘!$A$4:$G$3460,2,0),"")</f>
        <v/>
      </c>
      <c r="C356" t="str">
        <f>IFERROR(VLOOKUP($A356,原始数据_收盘!$A$4:$G$3460,3,0),"")</f>
        <v/>
      </c>
      <c r="D356" t="str">
        <f>IFERROR(VLOOKUP($A356,原始数据_收盘!$A$4:$G$3460,4,0),"")</f>
        <v/>
      </c>
      <c r="E356" t="str">
        <f>IFERROR(VLOOKUP($A356,原始数据_收盘!$A$4:$G$3460,5,0),"")</f>
        <v/>
      </c>
      <c r="F356" t="str">
        <f>IFERROR(VLOOKUP($A356,原始数据_收盘!$A$4:$G$3460,6,0),"")</f>
        <v/>
      </c>
      <c r="G356" t="str">
        <f>IFERROR(VLOOKUP($A356,原始数据_收盘!$A$4:$G$3460,7,0),"")</f>
        <v/>
      </c>
      <c r="H356">
        <f>IFERROR(VLOOKUP($A356,原始数据_利率互换_FR007_1年!$A$6:$C$4395,2,0),"")</f>
        <v>1.12</v>
      </c>
      <c r="I356">
        <f>IFERROR(VLOOKUP($A356,原始数据_利率互换_FR007_1年!$A$6:$C$4395,3,0),"")</f>
        <v>2.22</v>
      </c>
    </row>
    <row r="357" spans="1:9">
      <c r="A357" s="6">
        <v>39850</v>
      </c>
      <c r="B357" t="str">
        <f>IFERROR(VLOOKUP($A357,原始数据_收盘!$A$4:$G$3460,2,0),"")</f>
        <v/>
      </c>
      <c r="C357" t="str">
        <f>IFERROR(VLOOKUP($A357,原始数据_收盘!$A$4:$G$3460,3,0),"")</f>
        <v/>
      </c>
      <c r="D357" t="str">
        <f>IFERROR(VLOOKUP($A357,原始数据_收盘!$A$4:$G$3460,4,0),"")</f>
        <v/>
      </c>
      <c r="E357" t="str">
        <f>IFERROR(VLOOKUP($A357,原始数据_收盘!$A$4:$G$3460,5,0),"")</f>
        <v/>
      </c>
      <c r="F357" t="str">
        <f>IFERROR(VLOOKUP($A357,原始数据_收盘!$A$4:$G$3460,6,0),"")</f>
        <v/>
      </c>
      <c r="G357" t="str">
        <f>IFERROR(VLOOKUP($A357,原始数据_收盘!$A$4:$G$3460,7,0),"")</f>
        <v/>
      </c>
      <c r="H357">
        <f>IFERROR(VLOOKUP($A357,原始数据_利率互换_FR007_1年!$A$6:$C$4395,2,0),"")</f>
        <v>1.16</v>
      </c>
      <c r="I357">
        <f>IFERROR(VLOOKUP($A357,原始数据_利率互换_FR007_1年!$A$6:$C$4395,3,0),"")</f>
        <v>2.34</v>
      </c>
    </row>
    <row r="358" spans="1:9">
      <c r="A358" s="6">
        <v>39851</v>
      </c>
      <c r="B358" t="str">
        <f>IFERROR(VLOOKUP($A358,原始数据_收盘!$A$4:$G$3460,2,0),"")</f>
        <v/>
      </c>
      <c r="C358" t="str">
        <f>IFERROR(VLOOKUP($A358,原始数据_收盘!$A$4:$G$3460,3,0),"")</f>
        <v/>
      </c>
      <c r="D358" t="str">
        <f>IFERROR(VLOOKUP($A358,原始数据_收盘!$A$4:$G$3460,4,0),"")</f>
        <v/>
      </c>
      <c r="E358" t="str">
        <f>IFERROR(VLOOKUP($A358,原始数据_收盘!$A$4:$G$3460,5,0),"")</f>
        <v/>
      </c>
      <c r="F358" t="str">
        <f>IFERROR(VLOOKUP($A358,原始数据_收盘!$A$4:$G$3460,6,0),"")</f>
        <v/>
      </c>
      <c r="G358" t="str">
        <f>IFERROR(VLOOKUP($A358,原始数据_收盘!$A$4:$G$3460,7,0),"")</f>
        <v/>
      </c>
      <c r="H358" t="str">
        <f>IFERROR(VLOOKUP($A358,原始数据_利率互换_FR007_1年!$A$6:$C$4395,2,0),"")</f>
        <v/>
      </c>
      <c r="I358" t="str">
        <f>IFERROR(VLOOKUP($A358,原始数据_利率互换_FR007_1年!$A$6:$C$4395,3,0),"")</f>
        <v/>
      </c>
    </row>
    <row r="359" spans="1:9">
      <c r="A359" s="6">
        <v>39852</v>
      </c>
      <c r="B359" t="str">
        <f>IFERROR(VLOOKUP($A359,原始数据_收盘!$A$4:$G$3460,2,0),"")</f>
        <v/>
      </c>
      <c r="C359" t="str">
        <f>IFERROR(VLOOKUP($A359,原始数据_收盘!$A$4:$G$3460,3,0),"")</f>
        <v/>
      </c>
      <c r="D359" t="str">
        <f>IFERROR(VLOOKUP($A359,原始数据_收盘!$A$4:$G$3460,4,0),"")</f>
        <v/>
      </c>
      <c r="E359" t="str">
        <f>IFERROR(VLOOKUP($A359,原始数据_收盘!$A$4:$G$3460,5,0),"")</f>
        <v/>
      </c>
      <c r="F359" t="str">
        <f>IFERROR(VLOOKUP($A359,原始数据_收盘!$A$4:$G$3460,6,0),"")</f>
        <v/>
      </c>
      <c r="G359" t="str">
        <f>IFERROR(VLOOKUP($A359,原始数据_收盘!$A$4:$G$3460,7,0),"")</f>
        <v/>
      </c>
      <c r="H359" t="str">
        <f>IFERROR(VLOOKUP($A359,原始数据_利率互换_FR007_1年!$A$6:$C$4395,2,0),"")</f>
        <v/>
      </c>
      <c r="I359" t="str">
        <f>IFERROR(VLOOKUP($A359,原始数据_利率互换_FR007_1年!$A$6:$C$4395,3,0),"")</f>
        <v/>
      </c>
    </row>
    <row r="360" spans="1:9">
      <c r="A360" s="6">
        <v>39853</v>
      </c>
      <c r="B360" t="str">
        <f>IFERROR(VLOOKUP($A360,原始数据_收盘!$A$4:$G$3460,2,0),"")</f>
        <v/>
      </c>
      <c r="C360" t="str">
        <f>IFERROR(VLOOKUP($A360,原始数据_收盘!$A$4:$G$3460,3,0),"")</f>
        <v/>
      </c>
      <c r="D360" t="str">
        <f>IFERROR(VLOOKUP($A360,原始数据_收盘!$A$4:$G$3460,4,0),"")</f>
        <v/>
      </c>
      <c r="E360" t="str">
        <f>IFERROR(VLOOKUP($A360,原始数据_收盘!$A$4:$G$3460,5,0),"")</f>
        <v/>
      </c>
      <c r="F360" t="str">
        <f>IFERROR(VLOOKUP($A360,原始数据_收盘!$A$4:$G$3460,6,0),"")</f>
        <v/>
      </c>
      <c r="G360" t="str">
        <f>IFERROR(VLOOKUP($A360,原始数据_收盘!$A$4:$G$3460,7,0),"")</f>
        <v/>
      </c>
      <c r="H360">
        <f>IFERROR(VLOOKUP($A360,原始数据_利率互换_FR007_1年!$A$6:$C$4395,2,0),"")</f>
        <v>1.11</v>
      </c>
      <c r="I360">
        <f>IFERROR(VLOOKUP($A360,原始数据_利率互换_FR007_1年!$A$6:$C$4395,3,0),"")</f>
        <v>2.36</v>
      </c>
    </row>
    <row r="361" spans="1:9">
      <c r="A361" s="6">
        <v>39854</v>
      </c>
      <c r="B361" t="str">
        <f>IFERROR(VLOOKUP($A361,原始数据_收盘!$A$4:$G$3460,2,0),"")</f>
        <v/>
      </c>
      <c r="C361" t="str">
        <f>IFERROR(VLOOKUP($A361,原始数据_收盘!$A$4:$G$3460,3,0),"")</f>
        <v/>
      </c>
      <c r="D361" t="str">
        <f>IFERROR(VLOOKUP($A361,原始数据_收盘!$A$4:$G$3460,4,0),"")</f>
        <v/>
      </c>
      <c r="E361" t="str">
        <f>IFERROR(VLOOKUP($A361,原始数据_收盘!$A$4:$G$3460,5,0),"")</f>
        <v/>
      </c>
      <c r="F361" t="str">
        <f>IFERROR(VLOOKUP($A361,原始数据_收盘!$A$4:$G$3460,6,0),"")</f>
        <v/>
      </c>
      <c r="G361" t="str">
        <f>IFERROR(VLOOKUP($A361,原始数据_收盘!$A$4:$G$3460,7,0),"")</f>
        <v/>
      </c>
      <c r="H361">
        <f>IFERROR(VLOOKUP($A361,原始数据_利率互换_FR007_1年!$A$6:$C$4395,2,0),"")</f>
        <v>1.15</v>
      </c>
      <c r="I361">
        <f>IFERROR(VLOOKUP($A361,原始数据_利率互换_FR007_1年!$A$6:$C$4395,3,0),"")</f>
        <v>0</v>
      </c>
    </row>
    <row r="362" spans="1:9">
      <c r="A362" s="6">
        <v>39855</v>
      </c>
      <c r="B362" t="str">
        <f>IFERROR(VLOOKUP($A362,原始数据_收盘!$A$4:$G$3460,2,0),"")</f>
        <v/>
      </c>
      <c r="C362" t="str">
        <f>IFERROR(VLOOKUP($A362,原始数据_收盘!$A$4:$G$3460,3,0),"")</f>
        <v/>
      </c>
      <c r="D362" t="str">
        <f>IFERROR(VLOOKUP($A362,原始数据_收盘!$A$4:$G$3460,4,0),"")</f>
        <v/>
      </c>
      <c r="E362" t="str">
        <f>IFERROR(VLOOKUP($A362,原始数据_收盘!$A$4:$G$3460,5,0),"")</f>
        <v/>
      </c>
      <c r="F362" t="str">
        <f>IFERROR(VLOOKUP($A362,原始数据_收盘!$A$4:$G$3460,6,0),"")</f>
        <v/>
      </c>
      <c r="G362" t="str">
        <f>IFERROR(VLOOKUP($A362,原始数据_收盘!$A$4:$G$3460,7,0),"")</f>
        <v/>
      </c>
      <c r="H362">
        <f>IFERROR(VLOOKUP($A362,原始数据_利率互换_FR007_1年!$A$6:$C$4395,2,0),"")</f>
        <v>1.04</v>
      </c>
      <c r="I362">
        <f>IFERROR(VLOOKUP($A362,原始数据_利率互换_FR007_1年!$A$6:$C$4395,3,0),"")</f>
        <v>2.1</v>
      </c>
    </row>
    <row r="363" spans="1:9">
      <c r="A363" s="6">
        <v>39856</v>
      </c>
      <c r="B363" t="str">
        <f>IFERROR(VLOOKUP($A363,原始数据_收盘!$A$4:$G$3460,2,0),"")</f>
        <v/>
      </c>
      <c r="C363" t="str">
        <f>IFERROR(VLOOKUP($A363,原始数据_收盘!$A$4:$G$3460,3,0),"")</f>
        <v/>
      </c>
      <c r="D363" t="str">
        <f>IFERROR(VLOOKUP($A363,原始数据_收盘!$A$4:$G$3460,4,0),"")</f>
        <v/>
      </c>
      <c r="E363" t="str">
        <f>IFERROR(VLOOKUP($A363,原始数据_收盘!$A$4:$G$3460,5,0),"")</f>
        <v/>
      </c>
      <c r="F363" t="str">
        <f>IFERROR(VLOOKUP($A363,原始数据_收盘!$A$4:$G$3460,6,0),"")</f>
        <v/>
      </c>
      <c r="G363" t="str">
        <f>IFERROR(VLOOKUP($A363,原始数据_收盘!$A$4:$G$3460,7,0),"")</f>
        <v/>
      </c>
      <c r="H363">
        <f>IFERROR(VLOOKUP($A363,原始数据_利率互换_FR007_1年!$A$6:$C$4395,2,0),"")</f>
        <v>0</v>
      </c>
      <c r="I363">
        <f>IFERROR(VLOOKUP($A363,原始数据_利率互换_FR007_1年!$A$6:$C$4395,3,0),"")</f>
        <v>2.03</v>
      </c>
    </row>
    <row r="364" spans="1:9">
      <c r="A364" s="6">
        <v>39857</v>
      </c>
      <c r="B364" t="str">
        <f>IFERROR(VLOOKUP($A364,原始数据_收盘!$A$4:$G$3460,2,0),"")</f>
        <v/>
      </c>
      <c r="C364" t="str">
        <f>IFERROR(VLOOKUP($A364,原始数据_收盘!$A$4:$G$3460,3,0),"")</f>
        <v/>
      </c>
      <c r="D364" t="str">
        <f>IFERROR(VLOOKUP($A364,原始数据_收盘!$A$4:$G$3460,4,0),"")</f>
        <v/>
      </c>
      <c r="E364" t="str">
        <f>IFERROR(VLOOKUP($A364,原始数据_收盘!$A$4:$G$3460,5,0),"")</f>
        <v/>
      </c>
      <c r="F364" t="str">
        <f>IFERROR(VLOOKUP($A364,原始数据_收盘!$A$4:$G$3460,6,0),"")</f>
        <v/>
      </c>
      <c r="G364" t="str">
        <f>IFERROR(VLOOKUP($A364,原始数据_收盘!$A$4:$G$3460,7,0),"")</f>
        <v/>
      </c>
      <c r="H364">
        <f>IFERROR(VLOOKUP($A364,原始数据_利率互换_FR007_1年!$A$6:$C$4395,2,0),"")</f>
        <v>1.05</v>
      </c>
      <c r="I364">
        <f>IFERROR(VLOOKUP($A364,原始数据_利率互换_FR007_1年!$A$6:$C$4395,3,0),"")</f>
        <v>2.05</v>
      </c>
    </row>
    <row r="365" spans="1:9">
      <c r="A365" s="6">
        <v>39858</v>
      </c>
      <c r="B365" t="str">
        <f>IFERROR(VLOOKUP($A365,原始数据_收盘!$A$4:$G$3460,2,0),"")</f>
        <v/>
      </c>
      <c r="C365" t="str">
        <f>IFERROR(VLOOKUP($A365,原始数据_收盘!$A$4:$G$3460,3,0),"")</f>
        <v/>
      </c>
      <c r="D365" t="str">
        <f>IFERROR(VLOOKUP($A365,原始数据_收盘!$A$4:$G$3460,4,0),"")</f>
        <v/>
      </c>
      <c r="E365" t="str">
        <f>IFERROR(VLOOKUP($A365,原始数据_收盘!$A$4:$G$3460,5,0),"")</f>
        <v/>
      </c>
      <c r="F365" t="str">
        <f>IFERROR(VLOOKUP($A365,原始数据_收盘!$A$4:$G$3460,6,0),"")</f>
        <v/>
      </c>
      <c r="G365" t="str">
        <f>IFERROR(VLOOKUP($A365,原始数据_收盘!$A$4:$G$3460,7,0),"")</f>
        <v/>
      </c>
      <c r="H365" t="str">
        <f>IFERROR(VLOOKUP($A365,原始数据_利率互换_FR007_1年!$A$6:$C$4395,2,0),"")</f>
        <v/>
      </c>
      <c r="I365" t="str">
        <f>IFERROR(VLOOKUP($A365,原始数据_利率互换_FR007_1年!$A$6:$C$4395,3,0),"")</f>
        <v/>
      </c>
    </row>
    <row r="366" spans="1:9">
      <c r="A366" s="6">
        <v>39859</v>
      </c>
      <c r="B366" t="str">
        <f>IFERROR(VLOOKUP($A366,原始数据_收盘!$A$4:$G$3460,2,0),"")</f>
        <v/>
      </c>
      <c r="C366" t="str">
        <f>IFERROR(VLOOKUP($A366,原始数据_收盘!$A$4:$G$3460,3,0),"")</f>
        <v/>
      </c>
      <c r="D366" t="str">
        <f>IFERROR(VLOOKUP($A366,原始数据_收盘!$A$4:$G$3460,4,0),"")</f>
        <v/>
      </c>
      <c r="E366" t="str">
        <f>IFERROR(VLOOKUP($A366,原始数据_收盘!$A$4:$G$3460,5,0),"")</f>
        <v/>
      </c>
      <c r="F366" t="str">
        <f>IFERROR(VLOOKUP($A366,原始数据_收盘!$A$4:$G$3460,6,0),"")</f>
        <v/>
      </c>
      <c r="G366" t="str">
        <f>IFERROR(VLOOKUP($A366,原始数据_收盘!$A$4:$G$3460,7,0),"")</f>
        <v/>
      </c>
      <c r="H366" t="str">
        <f>IFERROR(VLOOKUP($A366,原始数据_利率互换_FR007_1年!$A$6:$C$4395,2,0),"")</f>
        <v/>
      </c>
      <c r="I366" t="str">
        <f>IFERROR(VLOOKUP($A366,原始数据_利率互换_FR007_1年!$A$6:$C$4395,3,0),"")</f>
        <v/>
      </c>
    </row>
    <row r="367" spans="1:9">
      <c r="A367" s="6">
        <v>39860</v>
      </c>
      <c r="B367" t="str">
        <f>IFERROR(VLOOKUP($A367,原始数据_收盘!$A$4:$G$3460,2,0),"")</f>
        <v/>
      </c>
      <c r="C367" t="str">
        <f>IFERROR(VLOOKUP($A367,原始数据_收盘!$A$4:$G$3460,3,0),"")</f>
        <v/>
      </c>
      <c r="D367" t="str">
        <f>IFERROR(VLOOKUP($A367,原始数据_收盘!$A$4:$G$3460,4,0),"")</f>
        <v/>
      </c>
      <c r="E367" t="str">
        <f>IFERROR(VLOOKUP($A367,原始数据_收盘!$A$4:$G$3460,5,0),"")</f>
        <v/>
      </c>
      <c r="F367" t="str">
        <f>IFERROR(VLOOKUP($A367,原始数据_收盘!$A$4:$G$3460,6,0),"")</f>
        <v/>
      </c>
      <c r="G367" t="str">
        <f>IFERROR(VLOOKUP($A367,原始数据_收盘!$A$4:$G$3460,7,0),"")</f>
        <v/>
      </c>
      <c r="H367">
        <f>IFERROR(VLOOKUP($A367,原始数据_利率互换_FR007_1年!$A$6:$C$4395,2,0),"")</f>
        <v>1.05</v>
      </c>
      <c r="I367">
        <f>IFERROR(VLOOKUP($A367,原始数据_利率互换_FR007_1年!$A$6:$C$4395,3,0),"")</f>
        <v>2.11</v>
      </c>
    </row>
    <row r="368" spans="1:9">
      <c r="A368" s="6">
        <v>39861</v>
      </c>
      <c r="B368" t="str">
        <f>IFERROR(VLOOKUP($A368,原始数据_收盘!$A$4:$G$3460,2,0),"")</f>
        <v/>
      </c>
      <c r="C368" t="str">
        <f>IFERROR(VLOOKUP($A368,原始数据_收盘!$A$4:$G$3460,3,0),"")</f>
        <v/>
      </c>
      <c r="D368" t="str">
        <f>IFERROR(VLOOKUP($A368,原始数据_收盘!$A$4:$G$3460,4,0),"")</f>
        <v/>
      </c>
      <c r="E368" t="str">
        <f>IFERROR(VLOOKUP($A368,原始数据_收盘!$A$4:$G$3460,5,0),"")</f>
        <v/>
      </c>
      <c r="F368" t="str">
        <f>IFERROR(VLOOKUP($A368,原始数据_收盘!$A$4:$G$3460,6,0),"")</f>
        <v/>
      </c>
      <c r="G368" t="str">
        <f>IFERROR(VLOOKUP($A368,原始数据_收盘!$A$4:$G$3460,7,0),"")</f>
        <v/>
      </c>
      <c r="H368">
        <f>IFERROR(VLOOKUP($A368,原始数据_利率互换_FR007_1年!$A$6:$C$4395,2,0),"")</f>
        <v>1.08</v>
      </c>
      <c r="I368">
        <f>IFERROR(VLOOKUP($A368,原始数据_利率互换_FR007_1年!$A$6:$C$4395,3,0),"")</f>
        <v>0</v>
      </c>
    </row>
    <row r="369" spans="1:9">
      <c r="A369" s="6">
        <v>39862</v>
      </c>
      <c r="B369" t="str">
        <f>IFERROR(VLOOKUP($A369,原始数据_收盘!$A$4:$G$3460,2,0),"")</f>
        <v/>
      </c>
      <c r="C369" t="str">
        <f>IFERROR(VLOOKUP($A369,原始数据_收盘!$A$4:$G$3460,3,0),"")</f>
        <v/>
      </c>
      <c r="D369" t="str">
        <f>IFERROR(VLOOKUP($A369,原始数据_收盘!$A$4:$G$3460,4,0),"")</f>
        <v/>
      </c>
      <c r="E369" t="str">
        <f>IFERROR(VLOOKUP($A369,原始数据_收盘!$A$4:$G$3460,5,0),"")</f>
        <v/>
      </c>
      <c r="F369" t="str">
        <f>IFERROR(VLOOKUP($A369,原始数据_收盘!$A$4:$G$3460,6,0),"")</f>
        <v/>
      </c>
      <c r="G369" t="str">
        <f>IFERROR(VLOOKUP($A369,原始数据_收盘!$A$4:$G$3460,7,0),"")</f>
        <v/>
      </c>
      <c r="H369">
        <f>IFERROR(VLOOKUP($A369,原始数据_利率互换_FR007_1年!$A$6:$C$4395,2,0),"")</f>
        <v>1.06</v>
      </c>
      <c r="I369">
        <f>IFERROR(VLOOKUP($A369,原始数据_利率互换_FR007_1年!$A$6:$C$4395,3,0),"")</f>
        <v>0</v>
      </c>
    </row>
    <row r="370" spans="1:9">
      <c r="A370" s="6">
        <v>39863</v>
      </c>
      <c r="B370" t="str">
        <f>IFERROR(VLOOKUP($A370,原始数据_收盘!$A$4:$G$3460,2,0),"")</f>
        <v/>
      </c>
      <c r="C370" t="str">
        <f>IFERROR(VLOOKUP($A370,原始数据_收盘!$A$4:$G$3460,3,0),"")</f>
        <v/>
      </c>
      <c r="D370" t="str">
        <f>IFERROR(VLOOKUP($A370,原始数据_收盘!$A$4:$G$3460,4,0),"")</f>
        <v/>
      </c>
      <c r="E370" t="str">
        <f>IFERROR(VLOOKUP($A370,原始数据_收盘!$A$4:$G$3460,5,0),"")</f>
        <v/>
      </c>
      <c r="F370" t="str">
        <f>IFERROR(VLOOKUP($A370,原始数据_收盘!$A$4:$G$3460,6,0),"")</f>
        <v/>
      </c>
      <c r="G370" t="str">
        <f>IFERROR(VLOOKUP($A370,原始数据_收盘!$A$4:$G$3460,7,0),"")</f>
        <v/>
      </c>
      <c r="H370">
        <f>IFERROR(VLOOKUP($A370,原始数据_利率互换_FR007_1年!$A$6:$C$4395,2,0),"")</f>
        <v>1.08</v>
      </c>
      <c r="I370">
        <f>IFERROR(VLOOKUP($A370,原始数据_利率互换_FR007_1年!$A$6:$C$4395,3,0),"")</f>
        <v>0</v>
      </c>
    </row>
    <row r="371" spans="1:9">
      <c r="A371" s="6">
        <v>39864</v>
      </c>
      <c r="B371" t="str">
        <f>IFERROR(VLOOKUP($A371,原始数据_收盘!$A$4:$G$3460,2,0),"")</f>
        <v/>
      </c>
      <c r="C371" t="str">
        <f>IFERROR(VLOOKUP($A371,原始数据_收盘!$A$4:$G$3460,3,0),"")</f>
        <v/>
      </c>
      <c r="D371" t="str">
        <f>IFERROR(VLOOKUP($A371,原始数据_收盘!$A$4:$G$3460,4,0),"")</f>
        <v/>
      </c>
      <c r="E371" t="str">
        <f>IFERROR(VLOOKUP($A371,原始数据_收盘!$A$4:$G$3460,5,0),"")</f>
        <v/>
      </c>
      <c r="F371" t="str">
        <f>IFERROR(VLOOKUP($A371,原始数据_收盘!$A$4:$G$3460,6,0),"")</f>
        <v/>
      </c>
      <c r="G371" t="str">
        <f>IFERROR(VLOOKUP($A371,原始数据_收盘!$A$4:$G$3460,7,0),"")</f>
        <v/>
      </c>
      <c r="H371">
        <f>IFERROR(VLOOKUP($A371,原始数据_利率互换_FR007_1年!$A$6:$C$4395,2,0),"")</f>
        <v>1.09</v>
      </c>
      <c r="I371">
        <f>IFERROR(VLOOKUP($A371,原始数据_利率互换_FR007_1年!$A$6:$C$4395,3,0),"")</f>
        <v>0</v>
      </c>
    </row>
    <row r="372" spans="1:9">
      <c r="A372" s="6">
        <v>39865</v>
      </c>
      <c r="B372" t="str">
        <f>IFERROR(VLOOKUP($A372,原始数据_收盘!$A$4:$G$3460,2,0),"")</f>
        <v/>
      </c>
      <c r="C372" t="str">
        <f>IFERROR(VLOOKUP($A372,原始数据_收盘!$A$4:$G$3460,3,0),"")</f>
        <v/>
      </c>
      <c r="D372" t="str">
        <f>IFERROR(VLOOKUP($A372,原始数据_收盘!$A$4:$G$3460,4,0),"")</f>
        <v/>
      </c>
      <c r="E372" t="str">
        <f>IFERROR(VLOOKUP($A372,原始数据_收盘!$A$4:$G$3460,5,0),"")</f>
        <v/>
      </c>
      <c r="F372" t="str">
        <f>IFERROR(VLOOKUP($A372,原始数据_收盘!$A$4:$G$3460,6,0),"")</f>
        <v/>
      </c>
      <c r="G372" t="str">
        <f>IFERROR(VLOOKUP($A372,原始数据_收盘!$A$4:$G$3460,7,0),"")</f>
        <v/>
      </c>
      <c r="H372" t="str">
        <f>IFERROR(VLOOKUP($A372,原始数据_利率互换_FR007_1年!$A$6:$C$4395,2,0),"")</f>
        <v/>
      </c>
      <c r="I372" t="str">
        <f>IFERROR(VLOOKUP($A372,原始数据_利率互换_FR007_1年!$A$6:$C$4395,3,0),"")</f>
        <v/>
      </c>
    </row>
    <row r="373" spans="1:9">
      <c r="A373" s="6">
        <v>39866</v>
      </c>
      <c r="B373" t="str">
        <f>IFERROR(VLOOKUP($A373,原始数据_收盘!$A$4:$G$3460,2,0),"")</f>
        <v/>
      </c>
      <c r="C373" t="str">
        <f>IFERROR(VLOOKUP($A373,原始数据_收盘!$A$4:$G$3460,3,0),"")</f>
        <v/>
      </c>
      <c r="D373" t="str">
        <f>IFERROR(VLOOKUP($A373,原始数据_收盘!$A$4:$G$3460,4,0),"")</f>
        <v/>
      </c>
      <c r="E373" t="str">
        <f>IFERROR(VLOOKUP($A373,原始数据_收盘!$A$4:$G$3460,5,0),"")</f>
        <v/>
      </c>
      <c r="F373" t="str">
        <f>IFERROR(VLOOKUP($A373,原始数据_收盘!$A$4:$G$3460,6,0),"")</f>
        <v/>
      </c>
      <c r="G373" t="str">
        <f>IFERROR(VLOOKUP($A373,原始数据_收盘!$A$4:$G$3460,7,0),"")</f>
        <v/>
      </c>
      <c r="H373" t="str">
        <f>IFERROR(VLOOKUP($A373,原始数据_利率互换_FR007_1年!$A$6:$C$4395,2,0),"")</f>
        <v/>
      </c>
      <c r="I373" t="str">
        <f>IFERROR(VLOOKUP($A373,原始数据_利率互换_FR007_1年!$A$6:$C$4395,3,0),"")</f>
        <v/>
      </c>
    </row>
    <row r="374" spans="1:9">
      <c r="A374" s="6">
        <v>39867</v>
      </c>
      <c r="B374" t="str">
        <f>IFERROR(VLOOKUP($A374,原始数据_收盘!$A$4:$G$3460,2,0),"")</f>
        <v/>
      </c>
      <c r="C374" t="str">
        <f>IFERROR(VLOOKUP($A374,原始数据_收盘!$A$4:$G$3460,3,0),"")</f>
        <v/>
      </c>
      <c r="D374" t="str">
        <f>IFERROR(VLOOKUP($A374,原始数据_收盘!$A$4:$G$3460,4,0),"")</f>
        <v/>
      </c>
      <c r="E374" t="str">
        <f>IFERROR(VLOOKUP($A374,原始数据_收盘!$A$4:$G$3460,5,0),"")</f>
        <v/>
      </c>
      <c r="F374" t="str">
        <f>IFERROR(VLOOKUP($A374,原始数据_收盘!$A$4:$G$3460,6,0),"")</f>
        <v/>
      </c>
      <c r="G374" t="str">
        <f>IFERROR(VLOOKUP($A374,原始数据_收盘!$A$4:$G$3460,7,0),"")</f>
        <v/>
      </c>
      <c r="H374">
        <f>IFERROR(VLOOKUP($A374,原始数据_利率互换_FR007_1年!$A$6:$C$4395,2,0),"")</f>
        <v>1.11</v>
      </c>
      <c r="I374">
        <f>IFERROR(VLOOKUP($A374,原始数据_利率互换_FR007_1年!$A$6:$C$4395,3,0),"")</f>
        <v>0</v>
      </c>
    </row>
    <row r="375" spans="1:9">
      <c r="A375" s="6">
        <v>39868</v>
      </c>
      <c r="B375" t="str">
        <f>IFERROR(VLOOKUP($A375,原始数据_收盘!$A$4:$G$3460,2,0),"")</f>
        <v/>
      </c>
      <c r="C375" t="str">
        <f>IFERROR(VLOOKUP($A375,原始数据_收盘!$A$4:$G$3460,3,0),"")</f>
        <v/>
      </c>
      <c r="D375" t="str">
        <f>IFERROR(VLOOKUP($A375,原始数据_收盘!$A$4:$G$3460,4,0),"")</f>
        <v/>
      </c>
      <c r="E375" t="str">
        <f>IFERROR(VLOOKUP($A375,原始数据_收盘!$A$4:$G$3460,5,0),"")</f>
        <v/>
      </c>
      <c r="F375" t="str">
        <f>IFERROR(VLOOKUP($A375,原始数据_收盘!$A$4:$G$3460,6,0),"")</f>
        <v/>
      </c>
      <c r="G375" t="str">
        <f>IFERROR(VLOOKUP($A375,原始数据_收盘!$A$4:$G$3460,7,0),"")</f>
        <v/>
      </c>
      <c r="H375">
        <f>IFERROR(VLOOKUP($A375,原始数据_利率互换_FR007_1年!$A$6:$C$4395,2,0),"")</f>
        <v>1.08</v>
      </c>
      <c r="I375">
        <f>IFERROR(VLOOKUP($A375,原始数据_利率互换_FR007_1年!$A$6:$C$4395,3,0),"")</f>
        <v>2.02</v>
      </c>
    </row>
    <row r="376" spans="1:9">
      <c r="A376" s="6">
        <v>39869</v>
      </c>
      <c r="B376" t="str">
        <f>IFERROR(VLOOKUP($A376,原始数据_收盘!$A$4:$G$3460,2,0),"")</f>
        <v/>
      </c>
      <c r="C376" t="str">
        <f>IFERROR(VLOOKUP($A376,原始数据_收盘!$A$4:$G$3460,3,0),"")</f>
        <v/>
      </c>
      <c r="D376" t="str">
        <f>IFERROR(VLOOKUP($A376,原始数据_收盘!$A$4:$G$3460,4,0),"")</f>
        <v/>
      </c>
      <c r="E376" t="str">
        <f>IFERROR(VLOOKUP($A376,原始数据_收盘!$A$4:$G$3460,5,0),"")</f>
        <v/>
      </c>
      <c r="F376" t="str">
        <f>IFERROR(VLOOKUP($A376,原始数据_收盘!$A$4:$G$3460,6,0),"")</f>
        <v/>
      </c>
      <c r="G376" t="str">
        <f>IFERROR(VLOOKUP($A376,原始数据_收盘!$A$4:$G$3460,7,0),"")</f>
        <v/>
      </c>
      <c r="H376">
        <f>IFERROR(VLOOKUP($A376,原始数据_利率互换_FR007_1年!$A$6:$C$4395,2,0),"")</f>
        <v>1.09</v>
      </c>
      <c r="I376">
        <f>IFERROR(VLOOKUP($A376,原始数据_利率互换_FR007_1年!$A$6:$C$4395,3,0),"")</f>
        <v>0</v>
      </c>
    </row>
    <row r="377" spans="1:9">
      <c r="A377" s="6">
        <v>39870</v>
      </c>
      <c r="B377" t="str">
        <f>IFERROR(VLOOKUP($A377,原始数据_收盘!$A$4:$G$3460,2,0),"")</f>
        <v/>
      </c>
      <c r="C377" t="str">
        <f>IFERROR(VLOOKUP($A377,原始数据_收盘!$A$4:$G$3460,3,0),"")</f>
        <v/>
      </c>
      <c r="D377" t="str">
        <f>IFERROR(VLOOKUP($A377,原始数据_收盘!$A$4:$G$3460,4,0),"")</f>
        <v/>
      </c>
      <c r="E377" t="str">
        <f>IFERROR(VLOOKUP($A377,原始数据_收盘!$A$4:$G$3460,5,0),"")</f>
        <v/>
      </c>
      <c r="F377" t="str">
        <f>IFERROR(VLOOKUP($A377,原始数据_收盘!$A$4:$G$3460,6,0),"")</f>
        <v/>
      </c>
      <c r="G377" t="str">
        <f>IFERROR(VLOOKUP($A377,原始数据_收盘!$A$4:$G$3460,7,0),"")</f>
        <v/>
      </c>
      <c r="H377">
        <f>IFERROR(VLOOKUP($A377,原始数据_利率互换_FR007_1年!$A$6:$C$4395,2,0),"")</f>
        <v>1.09</v>
      </c>
      <c r="I377">
        <f>IFERROR(VLOOKUP($A377,原始数据_利率互换_FR007_1年!$A$6:$C$4395,3,0),"")</f>
        <v>2.03</v>
      </c>
    </row>
    <row r="378" spans="1:9">
      <c r="A378" s="6">
        <v>39871</v>
      </c>
      <c r="B378" t="str">
        <f>IFERROR(VLOOKUP($A378,原始数据_收盘!$A$4:$G$3460,2,0),"")</f>
        <v/>
      </c>
      <c r="C378" t="str">
        <f>IFERROR(VLOOKUP($A378,原始数据_收盘!$A$4:$G$3460,3,0),"")</f>
        <v/>
      </c>
      <c r="D378" t="str">
        <f>IFERROR(VLOOKUP($A378,原始数据_收盘!$A$4:$G$3460,4,0),"")</f>
        <v/>
      </c>
      <c r="E378" t="str">
        <f>IFERROR(VLOOKUP($A378,原始数据_收盘!$A$4:$G$3460,5,0),"")</f>
        <v/>
      </c>
      <c r="F378" t="str">
        <f>IFERROR(VLOOKUP($A378,原始数据_收盘!$A$4:$G$3460,6,0),"")</f>
        <v/>
      </c>
      <c r="G378" t="str">
        <f>IFERROR(VLOOKUP($A378,原始数据_收盘!$A$4:$G$3460,7,0),"")</f>
        <v/>
      </c>
      <c r="H378">
        <f>IFERROR(VLOOKUP($A378,原始数据_利率互换_FR007_1年!$A$6:$C$4395,2,0),"")</f>
        <v>1.08</v>
      </c>
      <c r="I378">
        <f>IFERROR(VLOOKUP($A378,原始数据_利率互换_FR007_1年!$A$6:$C$4395,3,0),"")</f>
        <v>0</v>
      </c>
    </row>
    <row r="379" spans="1:9">
      <c r="A379" s="6">
        <v>39872</v>
      </c>
      <c r="B379" t="str">
        <f>IFERROR(VLOOKUP($A379,原始数据_收盘!$A$4:$G$3460,2,0),"")</f>
        <v/>
      </c>
      <c r="C379" t="str">
        <f>IFERROR(VLOOKUP($A379,原始数据_收盘!$A$4:$G$3460,3,0),"")</f>
        <v/>
      </c>
      <c r="D379" t="str">
        <f>IFERROR(VLOOKUP($A379,原始数据_收盘!$A$4:$G$3460,4,0),"")</f>
        <v/>
      </c>
      <c r="E379" t="str">
        <f>IFERROR(VLOOKUP($A379,原始数据_收盘!$A$4:$G$3460,5,0),"")</f>
        <v/>
      </c>
      <c r="F379" t="str">
        <f>IFERROR(VLOOKUP($A379,原始数据_收盘!$A$4:$G$3460,6,0),"")</f>
        <v/>
      </c>
      <c r="G379" t="str">
        <f>IFERROR(VLOOKUP($A379,原始数据_收盘!$A$4:$G$3460,7,0),"")</f>
        <v/>
      </c>
      <c r="H379" t="str">
        <f>IFERROR(VLOOKUP($A379,原始数据_利率互换_FR007_1年!$A$6:$C$4395,2,0),"")</f>
        <v/>
      </c>
      <c r="I379" t="str">
        <f>IFERROR(VLOOKUP($A379,原始数据_利率互换_FR007_1年!$A$6:$C$4395,3,0),"")</f>
        <v/>
      </c>
    </row>
    <row r="380" spans="1:9">
      <c r="A380" s="6">
        <v>39873</v>
      </c>
      <c r="B380" t="str">
        <f>IFERROR(VLOOKUP($A380,原始数据_收盘!$A$4:$G$3460,2,0),"")</f>
        <v/>
      </c>
      <c r="C380" t="str">
        <f>IFERROR(VLOOKUP($A380,原始数据_收盘!$A$4:$G$3460,3,0),"")</f>
        <v/>
      </c>
      <c r="D380" t="str">
        <f>IFERROR(VLOOKUP($A380,原始数据_收盘!$A$4:$G$3460,4,0),"")</f>
        <v/>
      </c>
      <c r="E380" t="str">
        <f>IFERROR(VLOOKUP($A380,原始数据_收盘!$A$4:$G$3460,5,0),"")</f>
        <v/>
      </c>
      <c r="F380" t="str">
        <f>IFERROR(VLOOKUP($A380,原始数据_收盘!$A$4:$G$3460,6,0),"")</f>
        <v/>
      </c>
      <c r="G380" t="str">
        <f>IFERROR(VLOOKUP($A380,原始数据_收盘!$A$4:$G$3460,7,0),"")</f>
        <v/>
      </c>
      <c r="H380" t="str">
        <f>IFERROR(VLOOKUP($A380,原始数据_利率互换_FR007_1年!$A$6:$C$4395,2,0),"")</f>
        <v/>
      </c>
      <c r="I380" t="str">
        <f>IFERROR(VLOOKUP($A380,原始数据_利率互换_FR007_1年!$A$6:$C$4395,3,0),"")</f>
        <v/>
      </c>
    </row>
    <row r="381" spans="1:9">
      <c r="A381" s="6">
        <v>39874</v>
      </c>
      <c r="B381" t="str">
        <f>IFERROR(VLOOKUP($A381,原始数据_收盘!$A$4:$G$3460,2,0),"")</f>
        <v/>
      </c>
      <c r="C381" t="str">
        <f>IFERROR(VLOOKUP($A381,原始数据_收盘!$A$4:$G$3460,3,0),"")</f>
        <v/>
      </c>
      <c r="D381" t="str">
        <f>IFERROR(VLOOKUP($A381,原始数据_收盘!$A$4:$G$3460,4,0),"")</f>
        <v/>
      </c>
      <c r="E381" t="str">
        <f>IFERROR(VLOOKUP($A381,原始数据_收盘!$A$4:$G$3460,5,0),"")</f>
        <v/>
      </c>
      <c r="F381" t="str">
        <f>IFERROR(VLOOKUP($A381,原始数据_收盘!$A$4:$G$3460,6,0),"")</f>
        <v/>
      </c>
      <c r="G381" t="str">
        <f>IFERROR(VLOOKUP($A381,原始数据_收盘!$A$4:$G$3460,7,0),"")</f>
        <v/>
      </c>
      <c r="H381">
        <f>IFERROR(VLOOKUP($A381,原始数据_利率互换_FR007_1年!$A$6:$C$4395,2,0),"")</f>
        <v>1.09</v>
      </c>
      <c r="I381">
        <f>IFERROR(VLOOKUP($A381,原始数据_利率互换_FR007_1年!$A$6:$C$4395,3,0),"")</f>
        <v>2.03</v>
      </c>
    </row>
    <row r="382" spans="1:9">
      <c r="A382" s="6">
        <v>39875</v>
      </c>
      <c r="B382" t="str">
        <f>IFERROR(VLOOKUP($A382,原始数据_收盘!$A$4:$G$3460,2,0),"")</f>
        <v/>
      </c>
      <c r="C382" t="str">
        <f>IFERROR(VLOOKUP($A382,原始数据_收盘!$A$4:$G$3460,3,0),"")</f>
        <v/>
      </c>
      <c r="D382" t="str">
        <f>IFERROR(VLOOKUP($A382,原始数据_收盘!$A$4:$G$3460,4,0),"")</f>
        <v/>
      </c>
      <c r="E382" t="str">
        <f>IFERROR(VLOOKUP($A382,原始数据_收盘!$A$4:$G$3460,5,0),"")</f>
        <v/>
      </c>
      <c r="F382" t="str">
        <f>IFERROR(VLOOKUP($A382,原始数据_收盘!$A$4:$G$3460,6,0),"")</f>
        <v/>
      </c>
      <c r="G382" t="str">
        <f>IFERROR(VLOOKUP($A382,原始数据_收盘!$A$4:$G$3460,7,0),"")</f>
        <v/>
      </c>
      <c r="H382">
        <f>IFERROR(VLOOKUP($A382,原始数据_利率互换_FR007_1年!$A$6:$C$4395,2,0),"")</f>
        <v>1.1</v>
      </c>
      <c r="I382">
        <f>IFERROR(VLOOKUP($A382,原始数据_利率互换_FR007_1年!$A$6:$C$4395,3,0),"")</f>
        <v>2.08</v>
      </c>
    </row>
    <row r="383" spans="1:9">
      <c r="A383" s="6">
        <v>39876</v>
      </c>
      <c r="B383" t="str">
        <f>IFERROR(VLOOKUP($A383,原始数据_收盘!$A$4:$G$3460,2,0),"")</f>
        <v/>
      </c>
      <c r="C383" t="str">
        <f>IFERROR(VLOOKUP($A383,原始数据_收盘!$A$4:$G$3460,3,0),"")</f>
        <v/>
      </c>
      <c r="D383" t="str">
        <f>IFERROR(VLOOKUP($A383,原始数据_收盘!$A$4:$G$3460,4,0),"")</f>
        <v/>
      </c>
      <c r="E383" t="str">
        <f>IFERROR(VLOOKUP($A383,原始数据_收盘!$A$4:$G$3460,5,0),"")</f>
        <v/>
      </c>
      <c r="F383" t="str">
        <f>IFERROR(VLOOKUP($A383,原始数据_收盘!$A$4:$G$3460,6,0),"")</f>
        <v/>
      </c>
      <c r="G383" t="str">
        <f>IFERROR(VLOOKUP($A383,原始数据_收盘!$A$4:$G$3460,7,0),"")</f>
        <v/>
      </c>
      <c r="H383">
        <f>IFERROR(VLOOKUP($A383,原始数据_利率互换_FR007_1年!$A$6:$C$4395,2,0),"")</f>
        <v>1.13</v>
      </c>
      <c r="I383">
        <f>IFERROR(VLOOKUP($A383,原始数据_利率互换_FR007_1年!$A$6:$C$4395,3,0),"")</f>
        <v>2.15</v>
      </c>
    </row>
    <row r="384" spans="1:9">
      <c r="A384" s="6">
        <v>39877</v>
      </c>
      <c r="B384" t="str">
        <f>IFERROR(VLOOKUP($A384,原始数据_收盘!$A$4:$G$3460,2,0),"")</f>
        <v/>
      </c>
      <c r="C384" t="str">
        <f>IFERROR(VLOOKUP($A384,原始数据_收盘!$A$4:$G$3460,3,0),"")</f>
        <v/>
      </c>
      <c r="D384" t="str">
        <f>IFERROR(VLOOKUP($A384,原始数据_收盘!$A$4:$G$3460,4,0),"")</f>
        <v/>
      </c>
      <c r="E384" t="str">
        <f>IFERROR(VLOOKUP($A384,原始数据_收盘!$A$4:$G$3460,5,0),"")</f>
        <v/>
      </c>
      <c r="F384" t="str">
        <f>IFERROR(VLOOKUP($A384,原始数据_收盘!$A$4:$G$3460,6,0),"")</f>
        <v/>
      </c>
      <c r="G384" t="str">
        <f>IFERROR(VLOOKUP($A384,原始数据_收盘!$A$4:$G$3460,7,0),"")</f>
        <v/>
      </c>
      <c r="H384">
        <f>IFERROR(VLOOKUP($A384,原始数据_利率互换_FR007_1年!$A$6:$C$4395,2,0),"")</f>
        <v>0</v>
      </c>
      <c r="I384">
        <f>IFERROR(VLOOKUP($A384,原始数据_利率互换_FR007_1年!$A$6:$C$4395,3,0),"")</f>
        <v>2.17</v>
      </c>
    </row>
    <row r="385" spans="1:9">
      <c r="A385" s="6">
        <v>39878</v>
      </c>
      <c r="B385" t="str">
        <f>IFERROR(VLOOKUP($A385,原始数据_收盘!$A$4:$G$3460,2,0),"")</f>
        <v/>
      </c>
      <c r="C385" t="str">
        <f>IFERROR(VLOOKUP($A385,原始数据_收盘!$A$4:$G$3460,3,0),"")</f>
        <v/>
      </c>
      <c r="D385" t="str">
        <f>IFERROR(VLOOKUP($A385,原始数据_收盘!$A$4:$G$3460,4,0),"")</f>
        <v/>
      </c>
      <c r="E385" t="str">
        <f>IFERROR(VLOOKUP($A385,原始数据_收盘!$A$4:$G$3460,5,0),"")</f>
        <v/>
      </c>
      <c r="F385" t="str">
        <f>IFERROR(VLOOKUP($A385,原始数据_收盘!$A$4:$G$3460,6,0),"")</f>
        <v/>
      </c>
      <c r="G385" t="str">
        <f>IFERROR(VLOOKUP($A385,原始数据_收盘!$A$4:$G$3460,7,0),"")</f>
        <v/>
      </c>
      <c r="H385">
        <f>IFERROR(VLOOKUP($A385,原始数据_利率互换_FR007_1年!$A$6:$C$4395,2,0),"")</f>
        <v>1.11</v>
      </c>
      <c r="I385">
        <f>IFERROR(VLOOKUP($A385,原始数据_利率互换_FR007_1年!$A$6:$C$4395,3,0),"")</f>
        <v>0</v>
      </c>
    </row>
    <row r="386" spans="1:9">
      <c r="A386" s="6">
        <v>39879</v>
      </c>
      <c r="B386" t="str">
        <f>IFERROR(VLOOKUP($A386,原始数据_收盘!$A$4:$G$3460,2,0),"")</f>
        <v/>
      </c>
      <c r="C386" t="str">
        <f>IFERROR(VLOOKUP($A386,原始数据_收盘!$A$4:$G$3460,3,0),"")</f>
        <v/>
      </c>
      <c r="D386" t="str">
        <f>IFERROR(VLOOKUP($A386,原始数据_收盘!$A$4:$G$3460,4,0),"")</f>
        <v/>
      </c>
      <c r="E386" t="str">
        <f>IFERROR(VLOOKUP($A386,原始数据_收盘!$A$4:$G$3460,5,0),"")</f>
        <v/>
      </c>
      <c r="F386" t="str">
        <f>IFERROR(VLOOKUP($A386,原始数据_收盘!$A$4:$G$3460,6,0),"")</f>
        <v/>
      </c>
      <c r="G386" t="str">
        <f>IFERROR(VLOOKUP($A386,原始数据_收盘!$A$4:$G$3460,7,0),"")</f>
        <v/>
      </c>
      <c r="H386" t="str">
        <f>IFERROR(VLOOKUP($A386,原始数据_利率互换_FR007_1年!$A$6:$C$4395,2,0),"")</f>
        <v/>
      </c>
      <c r="I386" t="str">
        <f>IFERROR(VLOOKUP($A386,原始数据_利率互换_FR007_1年!$A$6:$C$4395,3,0),"")</f>
        <v/>
      </c>
    </row>
    <row r="387" spans="1:9">
      <c r="A387" s="6">
        <v>39880</v>
      </c>
      <c r="B387" t="str">
        <f>IFERROR(VLOOKUP($A387,原始数据_收盘!$A$4:$G$3460,2,0),"")</f>
        <v/>
      </c>
      <c r="C387" t="str">
        <f>IFERROR(VLOOKUP($A387,原始数据_收盘!$A$4:$G$3460,3,0),"")</f>
        <v/>
      </c>
      <c r="D387" t="str">
        <f>IFERROR(VLOOKUP($A387,原始数据_收盘!$A$4:$G$3460,4,0),"")</f>
        <v/>
      </c>
      <c r="E387" t="str">
        <f>IFERROR(VLOOKUP($A387,原始数据_收盘!$A$4:$G$3460,5,0),"")</f>
        <v/>
      </c>
      <c r="F387" t="str">
        <f>IFERROR(VLOOKUP($A387,原始数据_收盘!$A$4:$G$3460,6,0),"")</f>
        <v/>
      </c>
      <c r="G387" t="str">
        <f>IFERROR(VLOOKUP($A387,原始数据_收盘!$A$4:$G$3460,7,0),"")</f>
        <v/>
      </c>
      <c r="H387" t="str">
        <f>IFERROR(VLOOKUP($A387,原始数据_利率互换_FR007_1年!$A$6:$C$4395,2,0),"")</f>
        <v/>
      </c>
      <c r="I387" t="str">
        <f>IFERROR(VLOOKUP($A387,原始数据_利率互换_FR007_1年!$A$6:$C$4395,3,0),"")</f>
        <v/>
      </c>
    </row>
    <row r="388" spans="1:9">
      <c r="A388" s="6">
        <v>39881</v>
      </c>
      <c r="B388" t="str">
        <f>IFERROR(VLOOKUP($A388,原始数据_收盘!$A$4:$G$3460,2,0),"")</f>
        <v/>
      </c>
      <c r="C388" t="str">
        <f>IFERROR(VLOOKUP($A388,原始数据_收盘!$A$4:$G$3460,3,0),"")</f>
        <v/>
      </c>
      <c r="D388" t="str">
        <f>IFERROR(VLOOKUP($A388,原始数据_收盘!$A$4:$G$3460,4,0),"")</f>
        <v/>
      </c>
      <c r="E388" t="str">
        <f>IFERROR(VLOOKUP($A388,原始数据_收盘!$A$4:$G$3460,5,0),"")</f>
        <v/>
      </c>
      <c r="F388" t="str">
        <f>IFERROR(VLOOKUP($A388,原始数据_收盘!$A$4:$G$3460,6,0),"")</f>
        <v/>
      </c>
      <c r="G388" t="str">
        <f>IFERROR(VLOOKUP($A388,原始数据_收盘!$A$4:$G$3460,7,0),"")</f>
        <v/>
      </c>
      <c r="H388">
        <f>IFERROR(VLOOKUP($A388,原始数据_利率互换_FR007_1年!$A$6:$C$4395,2,0),"")</f>
        <v>1.13</v>
      </c>
      <c r="I388">
        <f>IFERROR(VLOOKUP($A388,原始数据_利率互换_FR007_1年!$A$6:$C$4395,3,0),"")</f>
        <v>0</v>
      </c>
    </row>
    <row r="389" spans="1:9">
      <c r="A389" s="6">
        <v>39882</v>
      </c>
      <c r="B389" t="str">
        <f>IFERROR(VLOOKUP($A389,原始数据_收盘!$A$4:$G$3460,2,0),"")</f>
        <v/>
      </c>
      <c r="C389" t="str">
        <f>IFERROR(VLOOKUP($A389,原始数据_收盘!$A$4:$G$3460,3,0),"")</f>
        <v/>
      </c>
      <c r="D389" t="str">
        <f>IFERROR(VLOOKUP($A389,原始数据_收盘!$A$4:$G$3460,4,0),"")</f>
        <v/>
      </c>
      <c r="E389" t="str">
        <f>IFERROR(VLOOKUP($A389,原始数据_收盘!$A$4:$G$3460,5,0),"")</f>
        <v/>
      </c>
      <c r="F389" t="str">
        <f>IFERROR(VLOOKUP($A389,原始数据_收盘!$A$4:$G$3460,6,0),"")</f>
        <v/>
      </c>
      <c r="G389" t="str">
        <f>IFERROR(VLOOKUP($A389,原始数据_收盘!$A$4:$G$3460,7,0),"")</f>
        <v/>
      </c>
      <c r="H389">
        <f>IFERROR(VLOOKUP($A389,原始数据_利率互换_FR007_1年!$A$6:$C$4395,2,0),"")</f>
        <v>1.11</v>
      </c>
      <c r="I389">
        <f>IFERROR(VLOOKUP($A389,原始数据_利率互换_FR007_1年!$A$6:$C$4395,3,0),"")</f>
        <v>2.14</v>
      </c>
    </row>
    <row r="390" spans="1:9">
      <c r="A390" s="6">
        <v>39883</v>
      </c>
      <c r="B390" t="str">
        <f>IFERROR(VLOOKUP($A390,原始数据_收盘!$A$4:$G$3460,2,0),"")</f>
        <v/>
      </c>
      <c r="C390" t="str">
        <f>IFERROR(VLOOKUP($A390,原始数据_收盘!$A$4:$G$3460,3,0),"")</f>
        <v/>
      </c>
      <c r="D390" t="str">
        <f>IFERROR(VLOOKUP($A390,原始数据_收盘!$A$4:$G$3460,4,0),"")</f>
        <v/>
      </c>
      <c r="E390" t="str">
        <f>IFERROR(VLOOKUP($A390,原始数据_收盘!$A$4:$G$3460,5,0),"")</f>
        <v/>
      </c>
      <c r="F390" t="str">
        <f>IFERROR(VLOOKUP($A390,原始数据_收盘!$A$4:$G$3460,6,0),"")</f>
        <v/>
      </c>
      <c r="G390" t="str">
        <f>IFERROR(VLOOKUP($A390,原始数据_收盘!$A$4:$G$3460,7,0),"")</f>
        <v/>
      </c>
      <c r="H390">
        <f>IFERROR(VLOOKUP($A390,原始数据_利率互换_FR007_1年!$A$6:$C$4395,2,0),"")</f>
        <v>1.14</v>
      </c>
      <c r="I390">
        <f>IFERROR(VLOOKUP($A390,原始数据_利率互换_FR007_1年!$A$6:$C$4395,3,0),"")</f>
        <v>2.19</v>
      </c>
    </row>
    <row r="391" spans="1:9">
      <c r="A391" s="6">
        <v>39884</v>
      </c>
      <c r="B391" t="str">
        <f>IFERROR(VLOOKUP($A391,原始数据_收盘!$A$4:$G$3460,2,0),"")</f>
        <v/>
      </c>
      <c r="C391" t="str">
        <f>IFERROR(VLOOKUP($A391,原始数据_收盘!$A$4:$G$3460,3,0),"")</f>
        <v/>
      </c>
      <c r="D391" t="str">
        <f>IFERROR(VLOOKUP($A391,原始数据_收盘!$A$4:$G$3460,4,0),"")</f>
        <v/>
      </c>
      <c r="E391" t="str">
        <f>IFERROR(VLOOKUP($A391,原始数据_收盘!$A$4:$G$3460,5,0),"")</f>
        <v/>
      </c>
      <c r="F391" t="str">
        <f>IFERROR(VLOOKUP($A391,原始数据_收盘!$A$4:$G$3460,6,0),"")</f>
        <v/>
      </c>
      <c r="G391" t="str">
        <f>IFERROR(VLOOKUP($A391,原始数据_收盘!$A$4:$G$3460,7,0),"")</f>
        <v/>
      </c>
      <c r="H391">
        <f>IFERROR(VLOOKUP($A391,原始数据_利率互换_FR007_1年!$A$6:$C$4395,2,0),"")</f>
        <v>1.14</v>
      </c>
      <c r="I391">
        <f>IFERROR(VLOOKUP($A391,原始数据_利率互换_FR007_1年!$A$6:$C$4395,3,0),"")</f>
        <v>2.19</v>
      </c>
    </row>
    <row r="392" spans="1:9">
      <c r="A392" s="6">
        <v>39885</v>
      </c>
      <c r="B392" t="str">
        <f>IFERROR(VLOOKUP($A392,原始数据_收盘!$A$4:$G$3460,2,0),"")</f>
        <v/>
      </c>
      <c r="C392" t="str">
        <f>IFERROR(VLOOKUP($A392,原始数据_收盘!$A$4:$G$3460,3,0),"")</f>
        <v/>
      </c>
      <c r="D392" t="str">
        <f>IFERROR(VLOOKUP($A392,原始数据_收盘!$A$4:$G$3460,4,0),"")</f>
        <v/>
      </c>
      <c r="E392" t="str">
        <f>IFERROR(VLOOKUP($A392,原始数据_收盘!$A$4:$G$3460,5,0),"")</f>
        <v/>
      </c>
      <c r="F392" t="str">
        <f>IFERROR(VLOOKUP($A392,原始数据_收盘!$A$4:$G$3460,6,0),"")</f>
        <v/>
      </c>
      <c r="G392" t="str">
        <f>IFERROR(VLOOKUP($A392,原始数据_收盘!$A$4:$G$3460,7,0),"")</f>
        <v/>
      </c>
      <c r="H392">
        <f>IFERROR(VLOOKUP($A392,原始数据_利率互换_FR007_1年!$A$6:$C$4395,2,0),"")</f>
        <v>1.148</v>
      </c>
      <c r="I392">
        <f>IFERROR(VLOOKUP($A392,原始数据_利率互换_FR007_1年!$A$6:$C$4395,3,0),"")</f>
        <v>2.19</v>
      </c>
    </row>
    <row r="393" spans="1:9">
      <c r="A393" s="6">
        <v>39886</v>
      </c>
      <c r="B393" t="str">
        <f>IFERROR(VLOOKUP($A393,原始数据_收盘!$A$4:$G$3460,2,0),"")</f>
        <v/>
      </c>
      <c r="C393" t="str">
        <f>IFERROR(VLOOKUP($A393,原始数据_收盘!$A$4:$G$3460,3,0),"")</f>
        <v/>
      </c>
      <c r="D393" t="str">
        <f>IFERROR(VLOOKUP($A393,原始数据_收盘!$A$4:$G$3460,4,0),"")</f>
        <v/>
      </c>
      <c r="E393" t="str">
        <f>IFERROR(VLOOKUP($A393,原始数据_收盘!$A$4:$G$3460,5,0),"")</f>
        <v/>
      </c>
      <c r="F393" t="str">
        <f>IFERROR(VLOOKUP($A393,原始数据_收盘!$A$4:$G$3460,6,0),"")</f>
        <v/>
      </c>
      <c r="G393" t="str">
        <f>IFERROR(VLOOKUP($A393,原始数据_收盘!$A$4:$G$3460,7,0),"")</f>
        <v/>
      </c>
      <c r="H393" t="str">
        <f>IFERROR(VLOOKUP($A393,原始数据_利率互换_FR007_1年!$A$6:$C$4395,2,0),"")</f>
        <v/>
      </c>
      <c r="I393" t="str">
        <f>IFERROR(VLOOKUP($A393,原始数据_利率互换_FR007_1年!$A$6:$C$4395,3,0),"")</f>
        <v/>
      </c>
    </row>
    <row r="394" spans="1:9">
      <c r="A394" s="6">
        <v>39887</v>
      </c>
      <c r="B394" t="str">
        <f>IFERROR(VLOOKUP($A394,原始数据_收盘!$A$4:$G$3460,2,0),"")</f>
        <v/>
      </c>
      <c r="C394" t="str">
        <f>IFERROR(VLOOKUP($A394,原始数据_收盘!$A$4:$G$3460,3,0),"")</f>
        <v/>
      </c>
      <c r="D394" t="str">
        <f>IFERROR(VLOOKUP($A394,原始数据_收盘!$A$4:$G$3460,4,0),"")</f>
        <v/>
      </c>
      <c r="E394" t="str">
        <f>IFERROR(VLOOKUP($A394,原始数据_收盘!$A$4:$G$3460,5,0),"")</f>
        <v/>
      </c>
      <c r="F394" t="str">
        <f>IFERROR(VLOOKUP($A394,原始数据_收盘!$A$4:$G$3460,6,0),"")</f>
        <v/>
      </c>
      <c r="G394" t="str">
        <f>IFERROR(VLOOKUP($A394,原始数据_收盘!$A$4:$G$3460,7,0),"")</f>
        <v/>
      </c>
      <c r="H394" t="str">
        <f>IFERROR(VLOOKUP($A394,原始数据_利率互换_FR007_1年!$A$6:$C$4395,2,0),"")</f>
        <v/>
      </c>
      <c r="I394" t="str">
        <f>IFERROR(VLOOKUP($A394,原始数据_利率互换_FR007_1年!$A$6:$C$4395,3,0),"")</f>
        <v/>
      </c>
    </row>
    <row r="395" spans="1:9">
      <c r="A395" s="6">
        <v>39888</v>
      </c>
      <c r="B395" t="str">
        <f>IFERROR(VLOOKUP($A395,原始数据_收盘!$A$4:$G$3460,2,0),"")</f>
        <v/>
      </c>
      <c r="C395" t="str">
        <f>IFERROR(VLOOKUP($A395,原始数据_收盘!$A$4:$G$3460,3,0),"")</f>
        <v/>
      </c>
      <c r="D395" t="str">
        <f>IFERROR(VLOOKUP($A395,原始数据_收盘!$A$4:$G$3460,4,0),"")</f>
        <v/>
      </c>
      <c r="E395" t="str">
        <f>IFERROR(VLOOKUP($A395,原始数据_收盘!$A$4:$G$3460,5,0),"")</f>
        <v/>
      </c>
      <c r="F395" t="str">
        <f>IFERROR(VLOOKUP($A395,原始数据_收盘!$A$4:$G$3460,6,0),"")</f>
        <v/>
      </c>
      <c r="G395" t="str">
        <f>IFERROR(VLOOKUP($A395,原始数据_收盘!$A$4:$G$3460,7,0),"")</f>
        <v/>
      </c>
      <c r="H395">
        <f>IFERROR(VLOOKUP($A395,原始数据_利率互换_FR007_1年!$A$6:$C$4395,2,0),"")</f>
        <v>1.135</v>
      </c>
      <c r="I395">
        <f>IFERROR(VLOOKUP($A395,原始数据_利率互换_FR007_1年!$A$6:$C$4395,3,0),"")</f>
        <v>0</v>
      </c>
    </row>
    <row r="396" spans="1:9">
      <c r="A396" s="6">
        <v>39889</v>
      </c>
      <c r="B396" t="str">
        <f>IFERROR(VLOOKUP($A396,原始数据_收盘!$A$4:$G$3460,2,0),"")</f>
        <v/>
      </c>
      <c r="C396" t="str">
        <f>IFERROR(VLOOKUP($A396,原始数据_收盘!$A$4:$G$3460,3,0),"")</f>
        <v/>
      </c>
      <c r="D396" t="str">
        <f>IFERROR(VLOOKUP($A396,原始数据_收盘!$A$4:$G$3460,4,0),"")</f>
        <v/>
      </c>
      <c r="E396" t="str">
        <f>IFERROR(VLOOKUP($A396,原始数据_收盘!$A$4:$G$3460,5,0),"")</f>
        <v/>
      </c>
      <c r="F396" t="str">
        <f>IFERROR(VLOOKUP($A396,原始数据_收盘!$A$4:$G$3460,6,0),"")</f>
        <v/>
      </c>
      <c r="G396" t="str">
        <f>IFERROR(VLOOKUP($A396,原始数据_收盘!$A$4:$G$3460,7,0),"")</f>
        <v/>
      </c>
      <c r="H396">
        <f>IFERROR(VLOOKUP($A396,原始数据_利率互换_FR007_1年!$A$6:$C$4395,2,0),"")</f>
        <v>1.13</v>
      </c>
      <c r="I396">
        <f>IFERROR(VLOOKUP($A396,原始数据_利率互换_FR007_1年!$A$6:$C$4395,3,0),"")</f>
        <v>0</v>
      </c>
    </row>
    <row r="397" spans="1:9">
      <c r="A397" s="6">
        <v>39890</v>
      </c>
      <c r="B397" t="str">
        <f>IFERROR(VLOOKUP($A397,原始数据_收盘!$A$4:$G$3460,2,0),"")</f>
        <v/>
      </c>
      <c r="C397" t="str">
        <f>IFERROR(VLOOKUP($A397,原始数据_收盘!$A$4:$G$3460,3,0),"")</f>
        <v/>
      </c>
      <c r="D397" t="str">
        <f>IFERROR(VLOOKUP($A397,原始数据_收盘!$A$4:$G$3460,4,0),"")</f>
        <v/>
      </c>
      <c r="E397" t="str">
        <f>IFERROR(VLOOKUP($A397,原始数据_收盘!$A$4:$G$3460,5,0),"")</f>
        <v/>
      </c>
      <c r="F397" t="str">
        <f>IFERROR(VLOOKUP($A397,原始数据_收盘!$A$4:$G$3460,6,0),"")</f>
        <v/>
      </c>
      <c r="G397" t="str">
        <f>IFERROR(VLOOKUP($A397,原始数据_收盘!$A$4:$G$3460,7,0),"")</f>
        <v/>
      </c>
      <c r="H397" t="str">
        <f>IFERROR(VLOOKUP($A397,原始数据_利率互换_FR007_1年!$A$6:$C$4395,2,0),"")</f>
        <v/>
      </c>
      <c r="I397" t="str">
        <f>IFERROR(VLOOKUP($A397,原始数据_利率互换_FR007_1年!$A$6:$C$4395,3,0),"")</f>
        <v/>
      </c>
    </row>
    <row r="398" spans="1:9">
      <c r="A398" s="6">
        <v>39891</v>
      </c>
      <c r="B398" t="str">
        <f>IFERROR(VLOOKUP($A398,原始数据_收盘!$A$4:$G$3460,2,0),"")</f>
        <v/>
      </c>
      <c r="C398" t="str">
        <f>IFERROR(VLOOKUP($A398,原始数据_收盘!$A$4:$G$3460,3,0),"")</f>
        <v/>
      </c>
      <c r="D398" t="str">
        <f>IFERROR(VLOOKUP($A398,原始数据_收盘!$A$4:$G$3460,4,0),"")</f>
        <v/>
      </c>
      <c r="E398" t="str">
        <f>IFERROR(VLOOKUP($A398,原始数据_收盘!$A$4:$G$3460,5,0),"")</f>
        <v/>
      </c>
      <c r="F398" t="str">
        <f>IFERROR(VLOOKUP($A398,原始数据_收盘!$A$4:$G$3460,6,0),"")</f>
        <v/>
      </c>
      <c r="G398" t="str">
        <f>IFERROR(VLOOKUP($A398,原始数据_收盘!$A$4:$G$3460,7,0),"")</f>
        <v/>
      </c>
      <c r="H398">
        <f>IFERROR(VLOOKUP($A398,原始数据_利率互换_FR007_1年!$A$6:$C$4395,2,0),"")</f>
        <v>1.11</v>
      </c>
      <c r="I398">
        <f>IFERROR(VLOOKUP($A398,原始数据_利率互换_FR007_1年!$A$6:$C$4395,3,0),"")</f>
        <v>2.135</v>
      </c>
    </row>
    <row r="399" spans="1:9">
      <c r="A399" s="6">
        <v>39892</v>
      </c>
      <c r="B399" t="str">
        <f>IFERROR(VLOOKUP($A399,原始数据_收盘!$A$4:$G$3460,2,0),"")</f>
        <v/>
      </c>
      <c r="C399" t="str">
        <f>IFERROR(VLOOKUP($A399,原始数据_收盘!$A$4:$G$3460,3,0),"")</f>
        <v/>
      </c>
      <c r="D399" t="str">
        <f>IFERROR(VLOOKUP($A399,原始数据_收盘!$A$4:$G$3460,4,0),"")</f>
        <v/>
      </c>
      <c r="E399" t="str">
        <f>IFERROR(VLOOKUP($A399,原始数据_收盘!$A$4:$G$3460,5,0),"")</f>
        <v/>
      </c>
      <c r="F399" t="str">
        <f>IFERROR(VLOOKUP($A399,原始数据_收盘!$A$4:$G$3460,6,0),"")</f>
        <v/>
      </c>
      <c r="G399" t="str">
        <f>IFERROR(VLOOKUP($A399,原始数据_收盘!$A$4:$G$3460,7,0),"")</f>
        <v/>
      </c>
      <c r="H399" t="str">
        <f>IFERROR(VLOOKUP($A399,原始数据_利率互换_FR007_1年!$A$6:$C$4395,2,0),"")</f>
        <v/>
      </c>
      <c r="I399" t="str">
        <f>IFERROR(VLOOKUP($A399,原始数据_利率互换_FR007_1年!$A$6:$C$4395,3,0),"")</f>
        <v/>
      </c>
    </row>
    <row r="400" spans="1:9">
      <c r="A400" s="6">
        <v>39893</v>
      </c>
      <c r="B400" t="str">
        <f>IFERROR(VLOOKUP($A400,原始数据_收盘!$A$4:$G$3460,2,0),"")</f>
        <v/>
      </c>
      <c r="C400" t="str">
        <f>IFERROR(VLOOKUP($A400,原始数据_收盘!$A$4:$G$3460,3,0),"")</f>
        <v/>
      </c>
      <c r="D400" t="str">
        <f>IFERROR(VLOOKUP($A400,原始数据_收盘!$A$4:$G$3460,4,0),"")</f>
        <v/>
      </c>
      <c r="E400" t="str">
        <f>IFERROR(VLOOKUP($A400,原始数据_收盘!$A$4:$G$3460,5,0),"")</f>
        <v/>
      </c>
      <c r="F400" t="str">
        <f>IFERROR(VLOOKUP($A400,原始数据_收盘!$A$4:$G$3460,6,0),"")</f>
        <v/>
      </c>
      <c r="G400" t="str">
        <f>IFERROR(VLOOKUP($A400,原始数据_收盘!$A$4:$G$3460,7,0),"")</f>
        <v/>
      </c>
      <c r="H400" t="str">
        <f>IFERROR(VLOOKUP($A400,原始数据_利率互换_FR007_1年!$A$6:$C$4395,2,0),"")</f>
        <v/>
      </c>
      <c r="I400" t="str">
        <f>IFERROR(VLOOKUP($A400,原始数据_利率互换_FR007_1年!$A$6:$C$4395,3,0),"")</f>
        <v/>
      </c>
    </row>
    <row r="401" spans="1:9">
      <c r="A401" s="6">
        <v>39894</v>
      </c>
      <c r="B401" t="str">
        <f>IFERROR(VLOOKUP($A401,原始数据_收盘!$A$4:$G$3460,2,0),"")</f>
        <v/>
      </c>
      <c r="C401" t="str">
        <f>IFERROR(VLOOKUP($A401,原始数据_收盘!$A$4:$G$3460,3,0),"")</f>
        <v/>
      </c>
      <c r="D401" t="str">
        <f>IFERROR(VLOOKUP($A401,原始数据_收盘!$A$4:$G$3460,4,0),"")</f>
        <v/>
      </c>
      <c r="E401" t="str">
        <f>IFERROR(VLOOKUP($A401,原始数据_收盘!$A$4:$G$3460,5,0),"")</f>
        <v/>
      </c>
      <c r="F401" t="str">
        <f>IFERROR(VLOOKUP($A401,原始数据_收盘!$A$4:$G$3460,6,0),"")</f>
        <v/>
      </c>
      <c r="G401" t="str">
        <f>IFERROR(VLOOKUP($A401,原始数据_收盘!$A$4:$G$3460,7,0),"")</f>
        <v/>
      </c>
      <c r="H401" t="str">
        <f>IFERROR(VLOOKUP($A401,原始数据_利率互换_FR007_1年!$A$6:$C$4395,2,0),"")</f>
        <v/>
      </c>
      <c r="I401" t="str">
        <f>IFERROR(VLOOKUP($A401,原始数据_利率互换_FR007_1年!$A$6:$C$4395,3,0),"")</f>
        <v/>
      </c>
    </row>
    <row r="402" spans="1:9">
      <c r="A402" s="6">
        <v>39895</v>
      </c>
      <c r="B402" t="str">
        <f>IFERROR(VLOOKUP($A402,原始数据_收盘!$A$4:$G$3460,2,0),"")</f>
        <v/>
      </c>
      <c r="C402" t="str">
        <f>IFERROR(VLOOKUP($A402,原始数据_收盘!$A$4:$G$3460,3,0),"")</f>
        <v/>
      </c>
      <c r="D402" t="str">
        <f>IFERROR(VLOOKUP($A402,原始数据_收盘!$A$4:$G$3460,4,0),"")</f>
        <v/>
      </c>
      <c r="E402" t="str">
        <f>IFERROR(VLOOKUP($A402,原始数据_收盘!$A$4:$G$3460,5,0),"")</f>
        <v/>
      </c>
      <c r="F402" t="str">
        <f>IFERROR(VLOOKUP($A402,原始数据_收盘!$A$4:$G$3460,6,0),"")</f>
        <v/>
      </c>
      <c r="G402" t="str">
        <f>IFERROR(VLOOKUP($A402,原始数据_收盘!$A$4:$G$3460,7,0),"")</f>
        <v/>
      </c>
      <c r="H402">
        <f>IFERROR(VLOOKUP($A402,原始数据_利率互换_FR007_1年!$A$6:$C$4395,2,0),"")</f>
        <v>0</v>
      </c>
      <c r="I402">
        <f>IFERROR(VLOOKUP($A402,原始数据_利率互换_FR007_1年!$A$6:$C$4395,3,0),"")</f>
        <v>2.18</v>
      </c>
    </row>
    <row r="403" spans="1:9">
      <c r="A403" s="6">
        <v>39896</v>
      </c>
      <c r="B403" t="str">
        <f>IFERROR(VLOOKUP($A403,原始数据_收盘!$A$4:$G$3460,2,0),"")</f>
        <v/>
      </c>
      <c r="C403" t="str">
        <f>IFERROR(VLOOKUP($A403,原始数据_收盘!$A$4:$G$3460,3,0),"")</f>
        <v/>
      </c>
      <c r="D403" t="str">
        <f>IFERROR(VLOOKUP($A403,原始数据_收盘!$A$4:$G$3460,4,0),"")</f>
        <v/>
      </c>
      <c r="E403" t="str">
        <f>IFERROR(VLOOKUP($A403,原始数据_收盘!$A$4:$G$3460,5,0),"")</f>
        <v/>
      </c>
      <c r="F403" t="str">
        <f>IFERROR(VLOOKUP($A403,原始数据_收盘!$A$4:$G$3460,6,0),"")</f>
        <v/>
      </c>
      <c r="G403" t="str">
        <f>IFERROR(VLOOKUP($A403,原始数据_收盘!$A$4:$G$3460,7,0),"")</f>
        <v/>
      </c>
      <c r="H403">
        <f>IFERROR(VLOOKUP($A403,原始数据_利率互换_FR007_1年!$A$6:$C$4395,2,0),"")</f>
        <v>1.15</v>
      </c>
      <c r="I403">
        <f>IFERROR(VLOOKUP($A403,原始数据_利率互换_FR007_1年!$A$6:$C$4395,3,0),"")</f>
        <v>2.28</v>
      </c>
    </row>
    <row r="404" spans="1:9">
      <c r="A404" s="6">
        <v>39897</v>
      </c>
      <c r="B404" t="str">
        <f>IFERROR(VLOOKUP($A404,原始数据_收盘!$A$4:$G$3460,2,0),"")</f>
        <v/>
      </c>
      <c r="C404" t="str">
        <f>IFERROR(VLOOKUP($A404,原始数据_收盘!$A$4:$G$3460,3,0),"")</f>
        <v/>
      </c>
      <c r="D404" t="str">
        <f>IFERROR(VLOOKUP($A404,原始数据_收盘!$A$4:$G$3460,4,0),"")</f>
        <v/>
      </c>
      <c r="E404" t="str">
        <f>IFERROR(VLOOKUP($A404,原始数据_收盘!$A$4:$G$3460,5,0),"")</f>
        <v/>
      </c>
      <c r="F404" t="str">
        <f>IFERROR(VLOOKUP($A404,原始数据_收盘!$A$4:$G$3460,6,0),"")</f>
        <v/>
      </c>
      <c r="G404" t="str">
        <f>IFERROR(VLOOKUP($A404,原始数据_收盘!$A$4:$G$3460,7,0),"")</f>
        <v/>
      </c>
      <c r="H404">
        <f>IFERROR(VLOOKUP($A404,原始数据_利率互换_FR007_1年!$A$6:$C$4395,2,0),"")</f>
        <v>1.14</v>
      </c>
      <c r="I404">
        <f>IFERROR(VLOOKUP($A404,原始数据_利率互换_FR007_1年!$A$6:$C$4395,3,0),"")</f>
        <v>0</v>
      </c>
    </row>
    <row r="405" spans="1:9">
      <c r="A405" s="6">
        <v>39898</v>
      </c>
      <c r="B405" t="str">
        <f>IFERROR(VLOOKUP($A405,原始数据_收盘!$A$4:$G$3460,2,0),"")</f>
        <v/>
      </c>
      <c r="C405" t="str">
        <f>IFERROR(VLOOKUP($A405,原始数据_收盘!$A$4:$G$3460,3,0),"")</f>
        <v/>
      </c>
      <c r="D405" t="str">
        <f>IFERROR(VLOOKUP($A405,原始数据_收盘!$A$4:$G$3460,4,0),"")</f>
        <v/>
      </c>
      <c r="E405" t="str">
        <f>IFERROR(VLOOKUP($A405,原始数据_收盘!$A$4:$G$3460,5,0),"")</f>
        <v/>
      </c>
      <c r="F405" t="str">
        <f>IFERROR(VLOOKUP($A405,原始数据_收盘!$A$4:$G$3460,6,0),"")</f>
        <v/>
      </c>
      <c r="G405" t="str">
        <f>IFERROR(VLOOKUP($A405,原始数据_收盘!$A$4:$G$3460,7,0),"")</f>
        <v/>
      </c>
      <c r="H405">
        <f>IFERROR(VLOOKUP($A405,原始数据_利率互换_FR007_1年!$A$6:$C$4395,2,0),"")</f>
        <v>0</v>
      </c>
      <c r="I405">
        <f>IFERROR(VLOOKUP($A405,原始数据_利率互换_FR007_1年!$A$6:$C$4395,3,0),"")</f>
        <v>2.295</v>
      </c>
    </row>
    <row r="406" spans="1:9">
      <c r="A406" s="6">
        <v>39899</v>
      </c>
      <c r="B406" t="str">
        <f>IFERROR(VLOOKUP($A406,原始数据_收盘!$A$4:$G$3460,2,0),"")</f>
        <v/>
      </c>
      <c r="C406" t="str">
        <f>IFERROR(VLOOKUP($A406,原始数据_收盘!$A$4:$G$3460,3,0),"")</f>
        <v/>
      </c>
      <c r="D406" t="str">
        <f>IFERROR(VLOOKUP($A406,原始数据_收盘!$A$4:$G$3460,4,0),"")</f>
        <v/>
      </c>
      <c r="E406" t="str">
        <f>IFERROR(VLOOKUP($A406,原始数据_收盘!$A$4:$G$3460,5,0),"")</f>
        <v/>
      </c>
      <c r="F406" t="str">
        <f>IFERROR(VLOOKUP($A406,原始数据_收盘!$A$4:$G$3460,6,0),"")</f>
        <v/>
      </c>
      <c r="G406" t="str">
        <f>IFERROR(VLOOKUP($A406,原始数据_收盘!$A$4:$G$3460,7,0),"")</f>
        <v/>
      </c>
      <c r="H406">
        <f>IFERROR(VLOOKUP($A406,原始数据_利率互换_FR007_1年!$A$6:$C$4395,2,0),"")</f>
        <v>1.15</v>
      </c>
      <c r="I406">
        <f>IFERROR(VLOOKUP($A406,原始数据_利率互换_FR007_1年!$A$6:$C$4395,3,0),"")</f>
        <v>2.32</v>
      </c>
    </row>
    <row r="407" spans="1:9">
      <c r="A407" s="6">
        <v>39900</v>
      </c>
      <c r="B407" t="str">
        <f>IFERROR(VLOOKUP($A407,原始数据_收盘!$A$4:$G$3460,2,0),"")</f>
        <v/>
      </c>
      <c r="C407" t="str">
        <f>IFERROR(VLOOKUP($A407,原始数据_收盘!$A$4:$G$3460,3,0),"")</f>
        <v/>
      </c>
      <c r="D407" t="str">
        <f>IFERROR(VLOOKUP($A407,原始数据_收盘!$A$4:$G$3460,4,0),"")</f>
        <v/>
      </c>
      <c r="E407" t="str">
        <f>IFERROR(VLOOKUP($A407,原始数据_收盘!$A$4:$G$3460,5,0),"")</f>
        <v/>
      </c>
      <c r="F407" t="str">
        <f>IFERROR(VLOOKUP($A407,原始数据_收盘!$A$4:$G$3460,6,0),"")</f>
        <v/>
      </c>
      <c r="G407" t="str">
        <f>IFERROR(VLOOKUP($A407,原始数据_收盘!$A$4:$G$3460,7,0),"")</f>
        <v/>
      </c>
      <c r="H407" t="str">
        <f>IFERROR(VLOOKUP($A407,原始数据_利率互换_FR007_1年!$A$6:$C$4395,2,0),"")</f>
        <v/>
      </c>
      <c r="I407" t="str">
        <f>IFERROR(VLOOKUP($A407,原始数据_利率互换_FR007_1年!$A$6:$C$4395,3,0),"")</f>
        <v/>
      </c>
    </row>
    <row r="408" spans="1:9">
      <c r="A408" s="6">
        <v>39901</v>
      </c>
      <c r="B408" t="str">
        <f>IFERROR(VLOOKUP($A408,原始数据_收盘!$A$4:$G$3460,2,0),"")</f>
        <v/>
      </c>
      <c r="C408" t="str">
        <f>IFERROR(VLOOKUP($A408,原始数据_收盘!$A$4:$G$3460,3,0),"")</f>
        <v/>
      </c>
      <c r="D408" t="str">
        <f>IFERROR(VLOOKUP($A408,原始数据_收盘!$A$4:$G$3460,4,0),"")</f>
        <v/>
      </c>
      <c r="E408" t="str">
        <f>IFERROR(VLOOKUP($A408,原始数据_收盘!$A$4:$G$3460,5,0),"")</f>
        <v/>
      </c>
      <c r="F408" t="str">
        <f>IFERROR(VLOOKUP($A408,原始数据_收盘!$A$4:$G$3460,6,0),"")</f>
        <v/>
      </c>
      <c r="G408" t="str">
        <f>IFERROR(VLOOKUP($A408,原始数据_收盘!$A$4:$G$3460,7,0),"")</f>
        <v/>
      </c>
      <c r="H408" t="str">
        <f>IFERROR(VLOOKUP($A408,原始数据_利率互换_FR007_1年!$A$6:$C$4395,2,0),"")</f>
        <v/>
      </c>
      <c r="I408" t="str">
        <f>IFERROR(VLOOKUP($A408,原始数据_利率互换_FR007_1年!$A$6:$C$4395,3,0),"")</f>
        <v/>
      </c>
    </row>
    <row r="409" spans="1:9">
      <c r="A409" s="6">
        <v>39902</v>
      </c>
      <c r="B409" t="str">
        <f>IFERROR(VLOOKUP($A409,原始数据_收盘!$A$4:$G$3460,2,0),"")</f>
        <v/>
      </c>
      <c r="C409" t="str">
        <f>IFERROR(VLOOKUP($A409,原始数据_收盘!$A$4:$G$3460,3,0),"")</f>
        <v/>
      </c>
      <c r="D409" t="str">
        <f>IFERROR(VLOOKUP($A409,原始数据_收盘!$A$4:$G$3460,4,0),"")</f>
        <v/>
      </c>
      <c r="E409" t="str">
        <f>IFERROR(VLOOKUP($A409,原始数据_收盘!$A$4:$G$3460,5,0),"")</f>
        <v/>
      </c>
      <c r="F409" t="str">
        <f>IFERROR(VLOOKUP($A409,原始数据_收盘!$A$4:$G$3460,6,0),"")</f>
        <v/>
      </c>
      <c r="G409" t="str">
        <f>IFERROR(VLOOKUP($A409,原始数据_收盘!$A$4:$G$3460,7,0),"")</f>
        <v/>
      </c>
      <c r="H409">
        <f>IFERROR(VLOOKUP($A409,原始数据_利率互换_FR007_1年!$A$6:$C$4395,2,0),"")</f>
        <v>1.15</v>
      </c>
      <c r="I409">
        <f>IFERROR(VLOOKUP($A409,原始数据_利率互换_FR007_1年!$A$6:$C$4395,3,0),"")</f>
        <v>2.33</v>
      </c>
    </row>
    <row r="410" spans="1:9">
      <c r="A410" s="6">
        <v>39903</v>
      </c>
      <c r="B410" t="str">
        <f>IFERROR(VLOOKUP($A410,原始数据_收盘!$A$4:$G$3460,2,0),"")</f>
        <v/>
      </c>
      <c r="C410" t="str">
        <f>IFERROR(VLOOKUP($A410,原始数据_收盘!$A$4:$G$3460,3,0),"")</f>
        <v/>
      </c>
      <c r="D410" t="str">
        <f>IFERROR(VLOOKUP($A410,原始数据_收盘!$A$4:$G$3460,4,0),"")</f>
        <v/>
      </c>
      <c r="E410" t="str">
        <f>IFERROR(VLOOKUP($A410,原始数据_收盘!$A$4:$G$3460,5,0),"")</f>
        <v/>
      </c>
      <c r="F410" t="str">
        <f>IFERROR(VLOOKUP($A410,原始数据_收盘!$A$4:$G$3460,6,0),"")</f>
        <v/>
      </c>
      <c r="G410" t="str">
        <f>IFERROR(VLOOKUP($A410,原始数据_收盘!$A$4:$G$3460,7,0),"")</f>
        <v/>
      </c>
      <c r="H410">
        <f>IFERROR(VLOOKUP($A410,原始数据_利率互换_FR007_1年!$A$6:$C$4395,2,0),"")</f>
        <v>1.16</v>
      </c>
      <c r="I410">
        <f>IFERROR(VLOOKUP($A410,原始数据_利率互换_FR007_1年!$A$6:$C$4395,3,0),"")</f>
        <v>2.29</v>
      </c>
    </row>
    <row r="411" spans="1:9">
      <c r="A411" s="6">
        <v>39904</v>
      </c>
      <c r="B411" t="str">
        <f>IFERROR(VLOOKUP($A411,原始数据_收盘!$A$4:$G$3460,2,0),"")</f>
        <v/>
      </c>
      <c r="C411" t="str">
        <f>IFERROR(VLOOKUP($A411,原始数据_收盘!$A$4:$G$3460,3,0),"")</f>
        <v/>
      </c>
      <c r="D411" t="str">
        <f>IFERROR(VLOOKUP($A411,原始数据_收盘!$A$4:$G$3460,4,0),"")</f>
        <v/>
      </c>
      <c r="E411" t="str">
        <f>IFERROR(VLOOKUP($A411,原始数据_收盘!$A$4:$G$3460,5,0),"")</f>
        <v/>
      </c>
      <c r="F411" t="str">
        <f>IFERROR(VLOOKUP($A411,原始数据_收盘!$A$4:$G$3460,6,0),"")</f>
        <v/>
      </c>
      <c r="G411" t="str">
        <f>IFERROR(VLOOKUP($A411,原始数据_收盘!$A$4:$G$3460,7,0),"")</f>
        <v/>
      </c>
      <c r="H411">
        <f>IFERROR(VLOOKUP($A411,原始数据_利率互换_FR007_1年!$A$6:$C$4395,2,0),"")</f>
        <v>0</v>
      </c>
      <c r="I411">
        <f>IFERROR(VLOOKUP($A411,原始数据_利率互换_FR007_1年!$A$6:$C$4395,3,0),"")</f>
        <v>2.3</v>
      </c>
    </row>
    <row r="412" spans="1:9">
      <c r="A412" s="6">
        <v>39905</v>
      </c>
      <c r="B412" t="str">
        <f>IFERROR(VLOOKUP($A412,原始数据_收盘!$A$4:$G$3460,2,0),"")</f>
        <v/>
      </c>
      <c r="C412" t="str">
        <f>IFERROR(VLOOKUP($A412,原始数据_收盘!$A$4:$G$3460,3,0),"")</f>
        <v/>
      </c>
      <c r="D412" t="str">
        <f>IFERROR(VLOOKUP($A412,原始数据_收盘!$A$4:$G$3460,4,0),"")</f>
        <v/>
      </c>
      <c r="E412" t="str">
        <f>IFERROR(VLOOKUP($A412,原始数据_收盘!$A$4:$G$3460,5,0),"")</f>
        <v/>
      </c>
      <c r="F412" t="str">
        <f>IFERROR(VLOOKUP($A412,原始数据_收盘!$A$4:$G$3460,6,0),"")</f>
        <v/>
      </c>
      <c r="G412" t="str">
        <f>IFERROR(VLOOKUP($A412,原始数据_收盘!$A$4:$G$3460,7,0),"")</f>
        <v/>
      </c>
      <c r="H412">
        <f>IFERROR(VLOOKUP($A412,原始数据_利率互换_FR007_1年!$A$6:$C$4395,2,0),"")</f>
        <v>1.2</v>
      </c>
      <c r="I412">
        <f>IFERROR(VLOOKUP($A412,原始数据_利率互换_FR007_1年!$A$6:$C$4395,3,0),"")</f>
        <v>2.35</v>
      </c>
    </row>
    <row r="413" spans="1:9">
      <c r="A413" s="6">
        <v>39906</v>
      </c>
      <c r="B413" t="str">
        <f>IFERROR(VLOOKUP($A413,原始数据_收盘!$A$4:$G$3460,2,0),"")</f>
        <v/>
      </c>
      <c r="C413" t="str">
        <f>IFERROR(VLOOKUP($A413,原始数据_收盘!$A$4:$G$3460,3,0),"")</f>
        <v/>
      </c>
      <c r="D413" t="str">
        <f>IFERROR(VLOOKUP($A413,原始数据_收盘!$A$4:$G$3460,4,0),"")</f>
        <v/>
      </c>
      <c r="E413" t="str">
        <f>IFERROR(VLOOKUP($A413,原始数据_收盘!$A$4:$G$3460,5,0),"")</f>
        <v/>
      </c>
      <c r="F413" t="str">
        <f>IFERROR(VLOOKUP($A413,原始数据_收盘!$A$4:$G$3460,6,0),"")</f>
        <v/>
      </c>
      <c r="G413" t="str">
        <f>IFERROR(VLOOKUP($A413,原始数据_收盘!$A$4:$G$3460,7,0),"")</f>
        <v/>
      </c>
      <c r="H413">
        <f>IFERROR(VLOOKUP($A413,原始数据_利率互换_FR007_1年!$A$6:$C$4395,2,0),"")</f>
        <v>1.21</v>
      </c>
      <c r="I413">
        <f>IFERROR(VLOOKUP($A413,原始数据_利率互换_FR007_1年!$A$6:$C$4395,3,0),"")</f>
        <v>2.47</v>
      </c>
    </row>
    <row r="414" spans="1:9">
      <c r="A414" s="6">
        <v>39907</v>
      </c>
      <c r="B414" t="str">
        <f>IFERROR(VLOOKUP($A414,原始数据_收盘!$A$4:$G$3460,2,0),"")</f>
        <v/>
      </c>
      <c r="C414" t="str">
        <f>IFERROR(VLOOKUP($A414,原始数据_收盘!$A$4:$G$3460,3,0),"")</f>
        <v/>
      </c>
      <c r="D414" t="str">
        <f>IFERROR(VLOOKUP($A414,原始数据_收盘!$A$4:$G$3460,4,0),"")</f>
        <v/>
      </c>
      <c r="E414" t="str">
        <f>IFERROR(VLOOKUP($A414,原始数据_收盘!$A$4:$G$3460,5,0),"")</f>
        <v/>
      </c>
      <c r="F414" t="str">
        <f>IFERROR(VLOOKUP($A414,原始数据_收盘!$A$4:$G$3460,6,0),"")</f>
        <v/>
      </c>
      <c r="G414" t="str">
        <f>IFERROR(VLOOKUP($A414,原始数据_收盘!$A$4:$G$3460,7,0),"")</f>
        <v/>
      </c>
      <c r="H414" t="str">
        <f>IFERROR(VLOOKUP($A414,原始数据_利率互换_FR007_1年!$A$6:$C$4395,2,0),"")</f>
        <v/>
      </c>
      <c r="I414" t="str">
        <f>IFERROR(VLOOKUP($A414,原始数据_利率互换_FR007_1年!$A$6:$C$4395,3,0),"")</f>
        <v/>
      </c>
    </row>
    <row r="415" spans="1:9">
      <c r="A415" s="6">
        <v>39908</v>
      </c>
      <c r="B415" t="str">
        <f>IFERROR(VLOOKUP($A415,原始数据_收盘!$A$4:$G$3460,2,0),"")</f>
        <v/>
      </c>
      <c r="C415" t="str">
        <f>IFERROR(VLOOKUP($A415,原始数据_收盘!$A$4:$G$3460,3,0),"")</f>
        <v/>
      </c>
      <c r="D415" t="str">
        <f>IFERROR(VLOOKUP($A415,原始数据_收盘!$A$4:$G$3460,4,0),"")</f>
        <v/>
      </c>
      <c r="E415" t="str">
        <f>IFERROR(VLOOKUP($A415,原始数据_收盘!$A$4:$G$3460,5,0),"")</f>
        <v/>
      </c>
      <c r="F415" t="str">
        <f>IFERROR(VLOOKUP($A415,原始数据_收盘!$A$4:$G$3460,6,0),"")</f>
        <v/>
      </c>
      <c r="G415" t="str">
        <f>IFERROR(VLOOKUP($A415,原始数据_收盘!$A$4:$G$3460,7,0),"")</f>
        <v/>
      </c>
      <c r="H415" t="str">
        <f>IFERROR(VLOOKUP($A415,原始数据_利率互换_FR007_1年!$A$6:$C$4395,2,0),"")</f>
        <v/>
      </c>
      <c r="I415" t="str">
        <f>IFERROR(VLOOKUP($A415,原始数据_利率互换_FR007_1年!$A$6:$C$4395,3,0),"")</f>
        <v/>
      </c>
    </row>
    <row r="416" spans="1:9">
      <c r="A416" s="6">
        <v>39909</v>
      </c>
      <c r="B416" t="str">
        <f>IFERROR(VLOOKUP($A416,原始数据_收盘!$A$4:$G$3460,2,0),"")</f>
        <v/>
      </c>
      <c r="C416" t="str">
        <f>IFERROR(VLOOKUP($A416,原始数据_收盘!$A$4:$G$3460,3,0),"")</f>
        <v/>
      </c>
      <c r="D416" t="str">
        <f>IFERROR(VLOOKUP($A416,原始数据_收盘!$A$4:$G$3460,4,0),"")</f>
        <v/>
      </c>
      <c r="E416" t="str">
        <f>IFERROR(VLOOKUP($A416,原始数据_收盘!$A$4:$G$3460,5,0),"")</f>
        <v/>
      </c>
      <c r="F416" t="str">
        <f>IFERROR(VLOOKUP($A416,原始数据_收盘!$A$4:$G$3460,6,0),"")</f>
        <v/>
      </c>
      <c r="G416" t="str">
        <f>IFERROR(VLOOKUP($A416,原始数据_收盘!$A$4:$G$3460,7,0),"")</f>
        <v/>
      </c>
      <c r="H416" t="str">
        <f>IFERROR(VLOOKUP($A416,原始数据_利率互换_FR007_1年!$A$6:$C$4395,2,0),"")</f>
        <v/>
      </c>
      <c r="I416" t="str">
        <f>IFERROR(VLOOKUP($A416,原始数据_利率互换_FR007_1年!$A$6:$C$4395,3,0),"")</f>
        <v/>
      </c>
    </row>
    <row r="417" spans="1:9">
      <c r="A417" s="6">
        <v>39910</v>
      </c>
      <c r="B417" t="str">
        <f>IFERROR(VLOOKUP($A417,原始数据_收盘!$A$4:$G$3460,2,0),"")</f>
        <v/>
      </c>
      <c r="C417" t="str">
        <f>IFERROR(VLOOKUP($A417,原始数据_收盘!$A$4:$G$3460,3,0),"")</f>
        <v/>
      </c>
      <c r="D417" t="str">
        <f>IFERROR(VLOOKUP($A417,原始数据_收盘!$A$4:$G$3460,4,0),"")</f>
        <v/>
      </c>
      <c r="E417" t="str">
        <f>IFERROR(VLOOKUP($A417,原始数据_收盘!$A$4:$G$3460,5,0),"")</f>
        <v/>
      </c>
      <c r="F417" t="str">
        <f>IFERROR(VLOOKUP($A417,原始数据_收盘!$A$4:$G$3460,6,0),"")</f>
        <v/>
      </c>
      <c r="G417" t="str">
        <f>IFERROR(VLOOKUP($A417,原始数据_收盘!$A$4:$G$3460,7,0),"")</f>
        <v/>
      </c>
      <c r="H417">
        <f>IFERROR(VLOOKUP($A417,原始数据_利率互换_FR007_1年!$A$6:$C$4395,2,0),"")</f>
        <v>1.22</v>
      </c>
      <c r="I417">
        <f>IFERROR(VLOOKUP($A417,原始数据_利率互换_FR007_1年!$A$6:$C$4395,3,0),"")</f>
        <v>2.46</v>
      </c>
    </row>
    <row r="418" spans="1:9">
      <c r="A418" s="6">
        <v>39911</v>
      </c>
      <c r="B418" t="str">
        <f>IFERROR(VLOOKUP($A418,原始数据_收盘!$A$4:$G$3460,2,0),"")</f>
        <v/>
      </c>
      <c r="C418" t="str">
        <f>IFERROR(VLOOKUP($A418,原始数据_收盘!$A$4:$G$3460,3,0),"")</f>
        <v/>
      </c>
      <c r="D418" t="str">
        <f>IFERROR(VLOOKUP($A418,原始数据_收盘!$A$4:$G$3460,4,0),"")</f>
        <v/>
      </c>
      <c r="E418" t="str">
        <f>IFERROR(VLOOKUP($A418,原始数据_收盘!$A$4:$G$3460,5,0),"")</f>
        <v/>
      </c>
      <c r="F418" t="str">
        <f>IFERROR(VLOOKUP($A418,原始数据_收盘!$A$4:$G$3460,6,0),"")</f>
        <v/>
      </c>
      <c r="G418" t="str">
        <f>IFERROR(VLOOKUP($A418,原始数据_收盘!$A$4:$G$3460,7,0),"")</f>
        <v/>
      </c>
      <c r="H418">
        <f>IFERROR(VLOOKUP($A418,原始数据_利率互换_FR007_1年!$A$6:$C$4395,2,0),"")</f>
        <v>1.24</v>
      </c>
      <c r="I418">
        <f>IFERROR(VLOOKUP($A418,原始数据_利率互换_FR007_1年!$A$6:$C$4395,3,0),"")</f>
        <v>2.48</v>
      </c>
    </row>
    <row r="419" spans="1:9">
      <c r="A419" s="6">
        <v>39912</v>
      </c>
      <c r="B419" t="str">
        <f>IFERROR(VLOOKUP($A419,原始数据_收盘!$A$4:$G$3460,2,0),"")</f>
        <v/>
      </c>
      <c r="C419" t="str">
        <f>IFERROR(VLOOKUP($A419,原始数据_收盘!$A$4:$G$3460,3,0),"")</f>
        <v/>
      </c>
      <c r="D419" t="str">
        <f>IFERROR(VLOOKUP($A419,原始数据_收盘!$A$4:$G$3460,4,0),"")</f>
        <v/>
      </c>
      <c r="E419" t="str">
        <f>IFERROR(VLOOKUP($A419,原始数据_收盘!$A$4:$G$3460,5,0),"")</f>
        <v/>
      </c>
      <c r="F419" t="str">
        <f>IFERROR(VLOOKUP($A419,原始数据_收盘!$A$4:$G$3460,6,0),"")</f>
        <v/>
      </c>
      <c r="G419" t="str">
        <f>IFERROR(VLOOKUP($A419,原始数据_收盘!$A$4:$G$3460,7,0),"")</f>
        <v/>
      </c>
      <c r="H419">
        <f>IFERROR(VLOOKUP($A419,原始数据_利率互换_FR007_1年!$A$6:$C$4395,2,0),"")</f>
        <v>1.29</v>
      </c>
      <c r="I419">
        <f>IFERROR(VLOOKUP($A419,原始数据_利率互换_FR007_1年!$A$6:$C$4395,3,0),"")</f>
        <v>2.53</v>
      </c>
    </row>
    <row r="420" spans="1:9">
      <c r="A420" s="6">
        <v>39913</v>
      </c>
      <c r="B420" t="str">
        <f>IFERROR(VLOOKUP($A420,原始数据_收盘!$A$4:$G$3460,2,0),"")</f>
        <v/>
      </c>
      <c r="C420" t="str">
        <f>IFERROR(VLOOKUP($A420,原始数据_收盘!$A$4:$G$3460,3,0),"")</f>
        <v/>
      </c>
      <c r="D420" t="str">
        <f>IFERROR(VLOOKUP($A420,原始数据_收盘!$A$4:$G$3460,4,0),"")</f>
        <v/>
      </c>
      <c r="E420" t="str">
        <f>IFERROR(VLOOKUP($A420,原始数据_收盘!$A$4:$G$3460,5,0),"")</f>
        <v/>
      </c>
      <c r="F420" t="str">
        <f>IFERROR(VLOOKUP($A420,原始数据_收盘!$A$4:$G$3460,6,0),"")</f>
        <v/>
      </c>
      <c r="G420" t="str">
        <f>IFERROR(VLOOKUP($A420,原始数据_收盘!$A$4:$G$3460,7,0),"")</f>
        <v/>
      </c>
      <c r="H420">
        <f>IFERROR(VLOOKUP($A420,原始数据_利率互换_FR007_1年!$A$6:$C$4395,2,0),"")</f>
        <v>0</v>
      </c>
      <c r="I420">
        <f>IFERROR(VLOOKUP($A420,原始数据_利率互换_FR007_1年!$A$6:$C$4395,3,0),"")</f>
        <v>2.56</v>
      </c>
    </row>
    <row r="421" spans="1:9">
      <c r="A421" s="6">
        <v>39914</v>
      </c>
      <c r="B421" t="str">
        <f>IFERROR(VLOOKUP($A421,原始数据_收盘!$A$4:$G$3460,2,0),"")</f>
        <v/>
      </c>
      <c r="C421" t="str">
        <f>IFERROR(VLOOKUP($A421,原始数据_收盘!$A$4:$G$3460,3,0),"")</f>
        <v/>
      </c>
      <c r="D421" t="str">
        <f>IFERROR(VLOOKUP($A421,原始数据_收盘!$A$4:$G$3460,4,0),"")</f>
        <v/>
      </c>
      <c r="E421" t="str">
        <f>IFERROR(VLOOKUP($A421,原始数据_收盘!$A$4:$G$3460,5,0),"")</f>
        <v/>
      </c>
      <c r="F421" t="str">
        <f>IFERROR(VLOOKUP($A421,原始数据_收盘!$A$4:$G$3460,6,0),"")</f>
        <v/>
      </c>
      <c r="G421" t="str">
        <f>IFERROR(VLOOKUP($A421,原始数据_收盘!$A$4:$G$3460,7,0),"")</f>
        <v/>
      </c>
      <c r="H421" t="str">
        <f>IFERROR(VLOOKUP($A421,原始数据_利率互换_FR007_1年!$A$6:$C$4395,2,0),"")</f>
        <v/>
      </c>
      <c r="I421" t="str">
        <f>IFERROR(VLOOKUP($A421,原始数据_利率互换_FR007_1年!$A$6:$C$4395,3,0),"")</f>
        <v/>
      </c>
    </row>
    <row r="422" spans="1:9">
      <c r="A422" s="6">
        <v>39915</v>
      </c>
      <c r="B422" t="str">
        <f>IFERROR(VLOOKUP($A422,原始数据_收盘!$A$4:$G$3460,2,0),"")</f>
        <v/>
      </c>
      <c r="C422" t="str">
        <f>IFERROR(VLOOKUP($A422,原始数据_收盘!$A$4:$G$3460,3,0),"")</f>
        <v/>
      </c>
      <c r="D422" t="str">
        <f>IFERROR(VLOOKUP($A422,原始数据_收盘!$A$4:$G$3460,4,0),"")</f>
        <v/>
      </c>
      <c r="E422" t="str">
        <f>IFERROR(VLOOKUP($A422,原始数据_收盘!$A$4:$G$3460,5,0),"")</f>
        <v/>
      </c>
      <c r="F422" t="str">
        <f>IFERROR(VLOOKUP($A422,原始数据_收盘!$A$4:$G$3460,6,0),"")</f>
        <v/>
      </c>
      <c r="G422" t="str">
        <f>IFERROR(VLOOKUP($A422,原始数据_收盘!$A$4:$G$3460,7,0),"")</f>
        <v/>
      </c>
      <c r="H422" t="str">
        <f>IFERROR(VLOOKUP($A422,原始数据_利率互换_FR007_1年!$A$6:$C$4395,2,0),"")</f>
        <v/>
      </c>
      <c r="I422" t="str">
        <f>IFERROR(VLOOKUP($A422,原始数据_利率互换_FR007_1年!$A$6:$C$4395,3,0),"")</f>
        <v/>
      </c>
    </row>
    <row r="423" spans="1:9">
      <c r="A423" s="6">
        <v>39916</v>
      </c>
      <c r="B423" t="str">
        <f>IFERROR(VLOOKUP($A423,原始数据_收盘!$A$4:$G$3460,2,0),"")</f>
        <v/>
      </c>
      <c r="C423" t="str">
        <f>IFERROR(VLOOKUP($A423,原始数据_收盘!$A$4:$G$3460,3,0),"")</f>
        <v/>
      </c>
      <c r="D423" t="str">
        <f>IFERROR(VLOOKUP($A423,原始数据_收盘!$A$4:$G$3460,4,0),"")</f>
        <v/>
      </c>
      <c r="E423" t="str">
        <f>IFERROR(VLOOKUP($A423,原始数据_收盘!$A$4:$G$3460,5,0),"")</f>
        <v/>
      </c>
      <c r="F423" t="str">
        <f>IFERROR(VLOOKUP($A423,原始数据_收盘!$A$4:$G$3460,6,0),"")</f>
        <v/>
      </c>
      <c r="G423" t="str">
        <f>IFERROR(VLOOKUP($A423,原始数据_收盘!$A$4:$G$3460,7,0),"")</f>
        <v/>
      </c>
      <c r="H423">
        <f>IFERROR(VLOOKUP($A423,原始数据_利率互换_FR007_1年!$A$6:$C$4395,2,0),"")</f>
        <v>1.37</v>
      </c>
      <c r="I423">
        <f>IFERROR(VLOOKUP($A423,原始数据_利率互换_FR007_1年!$A$6:$C$4395,3,0),"")</f>
        <v>2.7</v>
      </c>
    </row>
    <row r="424" spans="1:9">
      <c r="A424" s="6">
        <v>39917</v>
      </c>
      <c r="B424" t="str">
        <f>IFERROR(VLOOKUP($A424,原始数据_收盘!$A$4:$G$3460,2,0),"")</f>
        <v/>
      </c>
      <c r="C424" t="str">
        <f>IFERROR(VLOOKUP($A424,原始数据_收盘!$A$4:$G$3460,3,0),"")</f>
        <v/>
      </c>
      <c r="D424" t="str">
        <f>IFERROR(VLOOKUP($A424,原始数据_收盘!$A$4:$G$3460,4,0),"")</f>
        <v/>
      </c>
      <c r="E424" t="str">
        <f>IFERROR(VLOOKUP($A424,原始数据_收盘!$A$4:$G$3460,5,0),"")</f>
        <v/>
      </c>
      <c r="F424" t="str">
        <f>IFERROR(VLOOKUP($A424,原始数据_收盘!$A$4:$G$3460,6,0),"")</f>
        <v/>
      </c>
      <c r="G424" t="str">
        <f>IFERROR(VLOOKUP($A424,原始数据_收盘!$A$4:$G$3460,7,0),"")</f>
        <v/>
      </c>
      <c r="H424">
        <f>IFERROR(VLOOKUP($A424,原始数据_利率互换_FR007_1年!$A$6:$C$4395,2,0),"")</f>
        <v>1.34</v>
      </c>
      <c r="I424">
        <f>IFERROR(VLOOKUP($A424,原始数据_利率互换_FR007_1年!$A$6:$C$4395,3,0),"")</f>
        <v>0</v>
      </c>
    </row>
    <row r="425" spans="1:9">
      <c r="A425" s="6">
        <v>39918</v>
      </c>
      <c r="B425" t="str">
        <f>IFERROR(VLOOKUP($A425,原始数据_收盘!$A$4:$G$3460,2,0),"")</f>
        <v/>
      </c>
      <c r="C425" t="str">
        <f>IFERROR(VLOOKUP($A425,原始数据_收盘!$A$4:$G$3460,3,0),"")</f>
        <v/>
      </c>
      <c r="D425" t="str">
        <f>IFERROR(VLOOKUP($A425,原始数据_收盘!$A$4:$G$3460,4,0),"")</f>
        <v/>
      </c>
      <c r="E425" t="str">
        <f>IFERROR(VLOOKUP($A425,原始数据_收盘!$A$4:$G$3460,5,0),"")</f>
        <v/>
      </c>
      <c r="F425" t="str">
        <f>IFERROR(VLOOKUP($A425,原始数据_收盘!$A$4:$G$3460,6,0),"")</f>
        <v/>
      </c>
      <c r="G425" t="str">
        <f>IFERROR(VLOOKUP($A425,原始数据_收盘!$A$4:$G$3460,7,0),"")</f>
        <v/>
      </c>
      <c r="H425">
        <f>IFERROR(VLOOKUP($A425,原始数据_利率互换_FR007_1年!$A$6:$C$4395,2,0),"")</f>
        <v>1.29</v>
      </c>
      <c r="I425">
        <f>IFERROR(VLOOKUP($A425,原始数据_利率互换_FR007_1年!$A$6:$C$4395,3,0),"")</f>
        <v>0</v>
      </c>
    </row>
    <row r="426" spans="1:9">
      <c r="A426" s="6">
        <v>39919</v>
      </c>
      <c r="B426" t="str">
        <f>IFERROR(VLOOKUP($A426,原始数据_收盘!$A$4:$G$3460,2,0),"")</f>
        <v/>
      </c>
      <c r="C426" t="str">
        <f>IFERROR(VLOOKUP($A426,原始数据_收盘!$A$4:$G$3460,3,0),"")</f>
        <v/>
      </c>
      <c r="D426" t="str">
        <f>IFERROR(VLOOKUP($A426,原始数据_收盘!$A$4:$G$3460,4,0),"")</f>
        <v/>
      </c>
      <c r="E426" t="str">
        <f>IFERROR(VLOOKUP($A426,原始数据_收盘!$A$4:$G$3460,5,0),"")</f>
        <v/>
      </c>
      <c r="F426" t="str">
        <f>IFERROR(VLOOKUP($A426,原始数据_收盘!$A$4:$G$3460,6,0),"")</f>
        <v/>
      </c>
      <c r="G426" t="str">
        <f>IFERROR(VLOOKUP($A426,原始数据_收盘!$A$4:$G$3460,7,0),"")</f>
        <v/>
      </c>
      <c r="H426">
        <f>IFERROR(VLOOKUP($A426,原始数据_利率互换_FR007_1年!$A$6:$C$4395,2,0),"")</f>
        <v>1.34</v>
      </c>
      <c r="I426">
        <f>IFERROR(VLOOKUP($A426,原始数据_利率互换_FR007_1年!$A$6:$C$4395,3,0),"")</f>
        <v>0</v>
      </c>
    </row>
    <row r="427" spans="1:9">
      <c r="A427" s="6">
        <v>39920</v>
      </c>
      <c r="B427" t="str">
        <f>IFERROR(VLOOKUP($A427,原始数据_收盘!$A$4:$G$3460,2,0),"")</f>
        <v/>
      </c>
      <c r="C427" t="str">
        <f>IFERROR(VLOOKUP($A427,原始数据_收盘!$A$4:$G$3460,3,0),"")</f>
        <v/>
      </c>
      <c r="D427" t="str">
        <f>IFERROR(VLOOKUP($A427,原始数据_收盘!$A$4:$G$3460,4,0),"")</f>
        <v/>
      </c>
      <c r="E427" t="str">
        <f>IFERROR(VLOOKUP($A427,原始数据_收盘!$A$4:$G$3460,5,0),"")</f>
        <v/>
      </c>
      <c r="F427" t="str">
        <f>IFERROR(VLOOKUP($A427,原始数据_收盘!$A$4:$G$3460,6,0),"")</f>
        <v/>
      </c>
      <c r="G427" t="str">
        <f>IFERROR(VLOOKUP($A427,原始数据_收盘!$A$4:$G$3460,7,0),"")</f>
        <v/>
      </c>
      <c r="H427" t="str">
        <f>IFERROR(VLOOKUP($A427,原始数据_利率互换_FR007_1年!$A$6:$C$4395,2,0),"")</f>
        <v/>
      </c>
      <c r="I427" t="str">
        <f>IFERROR(VLOOKUP($A427,原始数据_利率互换_FR007_1年!$A$6:$C$4395,3,0),"")</f>
        <v/>
      </c>
    </row>
    <row r="428" spans="1:9">
      <c r="A428" s="6">
        <v>39921</v>
      </c>
      <c r="B428" t="str">
        <f>IFERROR(VLOOKUP($A428,原始数据_收盘!$A$4:$G$3460,2,0),"")</f>
        <v/>
      </c>
      <c r="C428" t="str">
        <f>IFERROR(VLOOKUP($A428,原始数据_收盘!$A$4:$G$3460,3,0),"")</f>
        <v/>
      </c>
      <c r="D428" t="str">
        <f>IFERROR(VLOOKUP($A428,原始数据_收盘!$A$4:$G$3460,4,0),"")</f>
        <v/>
      </c>
      <c r="E428" t="str">
        <f>IFERROR(VLOOKUP($A428,原始数据_收盘!$A$4:$G$3460,5,0),"")</f>
        <v/>
      </c>
      <c r="F428" t="str">
        <f>IFERROR(VLOOKUP($A428,原始数据_收盘!$A$4:$G$3460,6,0),"")</f>
        <v/>
      </c>
      <c r="G428" t="str">
        <f>IFERROR(VLOOKUP($A428,原始数据_收盘!$A$4:$G$3460,7,0),"")</f>
        <v/>
      </c>
      <c r="H428" t="str">
        <f>IFERROR(VLOOKUP($A428,原始数据_利率互换_FR007_1年!$A$6:$C$4395,2,0),"")</f>
        <v/>
      </c>
      <c r="I428" t="str">
        <f>IFERROR(VLOOKUP($A428,原始数据_利率互换_FR007_1年!$A$6:$C$4395,3,0),"")</f>
        <v/>
      </c>
    </row>
    <row r="429" spans="1:9">
      <c r="A429" s="6">
        <v>39922</v>
      </c>
      <c r="B429" t="str">
        <f>IFERROR(VLOOKUP($A429,原始数据_收盘!$A$4:$G$3460,2,0),"")</f>
        <v/>
      </c>
      <c r="C429" t="str">
        <f>IFERROR(VLOOKUP($A429,原始数据_收盘!$A$4:$G$3460,3,0),"")</f>
        <v/>
      </c>
      <c r="D429" t="str">
        <f>IFERROR(VLOOKUP($A429,原始数据_收盘!$A$4:$G$3460,4,0),"")</f>
        <v/>
      </c>
      <c r="E429" t="str">
        <f>IFERROR(VLOOKUP($A429,原始数据_收盘!$A$4:$G$3460,5,0),"")</f>
        <v/>
      </c>
      <c r="F429" t="str">
        <f>IFERROR(VLOOKUP($A429,原始数据_收盘!$A$4:$G$3460,6,0),"")</f>
        <v/>
      </c>
      <c r="G429" t="str">
        <f>IFERROR(VLOOKUP($A429,原始数据_收盘!$A$4:$G$3460,7,0),"")</f>
        <v/>
      </c>
      <c r="H429" t="str">
        <f>IFERROR(VLOOKUP($A429,原始数据_利率互换_FR007_1年!$A$6:$C$4395,2,0),"")</f>
        <v/>
      </c>
      <c r="I429" t="str">
        <f>IFERROR(VLOOKUP($A429,原始数据_利率互换_FR007_1年!$A$6:$C$4395,3,0),"")</f>
        <v/>
      </c>
    </row>
    <row r="430" spans="1:9">
      <c r="A430" s="6">
        <v>39923</v>
      </c>
      <c r="B430" t="str">
        <f>IFERROR(VLOOKUP($A430,原始数据_收盘!$A$4:$G$3460,2,0),"")</f>
        <v/>
      </c>
      <c r="C430" t="str">
        <f>IFERROR(VLOOKUP($A430,原始数据_收盘!$A$4:$G$3460,3,0),"")</f>
        <v/>
      </c>
      <c r="D430" t="str">
        <f>IFERROR(VLOOKUP($A430,原始数据_收盘!$A$4:$G$3460,4,0),"")</f>
        <v/>
      </c>
      <c r="E430" t="str">
        <f>IFERROR(VLOOKUP($A430,原始数据_收盘!$A$4:$G$3460,5,0),"")</f>
        <v/>
      </c>
      <c r="F430" t="str">
        <f>IFERROR(VLOOKUP($A430,原始数据_收盘!$A$4:$G$3460,6,0),"")</f>
        <v/>
      </c>
      <c r="G430" t="str">
        <f>IFERROR(VLOOKUP($A430,原始数据_收盘!$A$4:$G$3460,7,0),"")</f>
        <v/>
      </c>
      <c r="H430">
        <f>IFERROR(VLOOKUP($A430,原始数据_利率互换_FR007_1年!$A$6:$C$4395,2,0),"")</f>
        <v>1.326</v>
      </c>
      <c r="I430">
        <f>IFERROR(VLOOKUP($A430,原始数据_利率互换_FR007_1年!$A$6:$C$4395,3,0),"")</f>
        <v>2.5</v>
      </c>
    </row>
    <row r="431" spans="1:9">
      <c r="A431" s="6">
        <v>39924</v>
      </c>
      <c r="B431" t="str">
        <f>IFERROR(VLOOKUP($A431,原始数据_收盘!$A$4:$G$3460,2,0),"")</f>
        <v/>
      </c>
      <c r="C431" t="str">
        <f>IFERROR(VLOOKUP($A431,原始数据_收盘!$A$4:$G$3460,3,0),"")</f>
        <v/>
      </c>
      <c r="D431" t="str">
        <f>IFERROR(VLOOKUP($A431,原始数据_收盘!$A$4:$G$3460,4,0),"")</f>
        <v/>
      </c>
      <c r="E431" t="str">
        <f>IFERROR(VLOOKUP($A431,原始数据_收盘!$A$4:$G$3460,5,0),"")</f>
        <v/>
      </c>
      <c r="F431" t="str">
        <f>IFERROR(VLOOKUP($A431,原始数据_收盘!$A$4:$G$3460,6,0),"")</f>
        <v/>
      </c>
      <c r="G431" t="str">
        <f>IFERROR(VLOOKUP($A431,原始数据_收盘!$A$4:$G$3460,7,0),"")</f>
        <v/>
      </c>
      <c r="H431">
        <f>IFERROR(VLOOKUP($A431,原始数据_利率互换_FR007_1年!$A$6:$C$4395,2,0),"")</f>
        <v>1.32</v>
      </c>
      <c r="I431">
        <f>IFERROR(VLOOKUP($A431,原始数据_利率互换_FR007_1年!$A$6:$C$4395,3,0),"")</f>
        <v>0</v>
      </c>
    </row>
    <row r="432" spans="1:9">
      <c r="A432" s="6">
        <v>39925</v>
      </c>
      <c r="B432" t="str">
        <f>IFERROR(VLOOKUP($A432,原始数据_收盘!$A$4:$G$3460,2,0),"")</f>
        <v/>
      </c>
      <c r="C432" t="str">
        <f>IFERROR(VLOOKUP($A432,原始数据_收盘!$A$4:$G$3460,3,0),"")</f>
        <v/>
      </c>
      <c r="D432" t="str">
        <f>IFERROR(VLOOKUP($A432,原始数据_收盘!$A$4:$G$3460,4,0),"")</f>
        <v/>
      </c>
      <c r="E432" t="str">
        <f>IFERROR(VLOOKUP($A432,原始数据_收盘!$A$4:$G$3460,5,0),"")</f>
        <v/>
      </c>
      <c r="F432" t="str">
        <f>IFERROR(VLOOKUP($A432,原始数据_收盘!$A$4:$G$3460,6,0),"")</f>
        <v/>
      </c>
      <c r="G432" t="str">
        <f>IFERROR(VLOOKUP($A432,原始数据_收盘!$A$4:$G$3460,7,0),"")</f>
        <v/>
      </c>
      <c r="H432" t="str">
        <f>IFERROR(VLOOKUP($A432,原始数据_利率互换_FR007_1年!$A$6:$C$4395,2,0),"")</f>
        <v/>
      </c>
      <c r="I432" t="str">
        <f>IFERROR(VLOOKUP($A432,原始数据_利率互换_FR007_1年!$A$6:$C$4395,3,0),"")</f>
        <v/>
      </c>
    </row>
    <row r="433" spans="1:9">
      <c r="A433" s="6">
        <v>39926</v>
      </c>
      <c r="B433" t="str">
        <f>IFERROR(VLOOKUP($A433,原始数据_收盘!$A$4:$G$3460,2,0),"")</f>
        <v/>
      </c>
      <c r="C433" t="str">
        <f>IFERROR(VLOOKUP($A433,原始数据_收盘!$A$4:$G$3460,3,0),"")</f>
        <v/>
      </c>
      <c r="D433" t="str">
        <f>IFERROR(VLOOKUP($A433,原始数据_收盘!$A$4:$G$3460,4,0),"")</f>
        <v/>
      </c>
      <c r="E433" t="str">
        <f>IFERROR(VLOOKUP($A433,原始数据_收盘!$A$4:$G$3460,5,0),"")</f>
        <v/>
      </c>
      <c r="F433" t="str">
        <f>IFERROR(VLOOKUP($A433,原始数据_收盘!$A$4:$G$3460,6,0),"")</f>
        <v/>
      </c>
      <c r="G433" t="str">
        <f>IFERROR(VLOOKUP($A433,原始数据_收盘!$A$4:$G$3460,7,0),"")</f>
        <v/>
      </c>
      <c r="H433">
        <f>IFERROR(VLOOKUP($A433,原始数据_利率互换_FR007_1年!$A$6:$C$4395,2,0),"")</f>
        <v>1.35</v>
      </c>
      <c r="I433">
        <f>IFERROR(VLOOKUP($A433,原始数据_利率互换_FR007_1年!$A$6:$C$4395,3,0),"")</f>
        <v>2.58</v>
      </c>
    </row>
    <row r="434" spans="1:9">
      <c r="A434" s="6">
        <v>39927</v>
      </c>
      <c r="B434" t="str">
        <f>IFERROR(VLOOKUP($A434,原始数据_收盘!$A$4:$G$3460,2,0),"")</f>
        <v/>
      </c>
      <c r="C434" t="str">
        <f>IFERROR(VLOOKUP($A434,原始数据_收盘!$A$4:$G$3460,3,0),"")</f>
        <v/>
      </c>
      <c r="D434" t="str">
        <f>IFERROR(VLOOKUP($A434,原始数据_收盘!$A$4:$G$3460,4,0),"")</f>
        <v/>
      </c>
      <c r="E434" t="str">
        <f>IFERROR(VLOOKUP($A434,原始数据_收盘!$A$4:$G$3460,5,0),"")</f>
        <v/>
      </c>
      <c r="F434" t="str">
        <f>IFERROR(VLOOKUP($A434,原始数据_收盘!$A$4:$G$3460,6,0),"")</f>
        <v/>
      </c>
      <c r="G434" t="str">
        <f>IFERROR(VLOOKUP($A434,原始数据_收盘!$A$4:$G$3460,7,0),"")</f>
        <v/>
      </c>
      <c r="H434" t="str">
        <f>IFERROR(VLOOKUP($A434,原始数据_利率互换_FR007_1年!$A$6:$C$4395,2,0),"")</f>
        <v/>
      </c>
      <c r="I434" t="str">
        <f>IFERROR(VLOOKUP($A434,原始数据_利率互换_FR007_1年!$A$6:$C$4395,3,0),"")</f>
        <v/>
      </c>
    </row>
    <row r="435" spans="1:9">
      <c r="A435" s="6">
        <v>39928</v>
      </c>
      <c r="B435" t="str">
        <f>IFERROR(VLOOKUP($A435,原始数据_收盘!$A$4:$G$3460,2,0),"")</f>
        <v/>
      </c>
      <c r="C435" t="str">
        <f>IFERROR(VLOOKUP($A435,原始数据_收盘!$A$4:$G$3460,3,0),"")</f>
        <v/>
      </c>
      <c r="D435" t="str">
        <f>IFERROR(VLOOKUP($A435,原始数据_收盘!$A$4:$G$3460,4,0),"")</f>
        <v/>
      </c>
      <c r="E435" t="str">
        <f>IFERROR(VLOOKUP($A435,原始数据_收盘!$A$4:$G$3460,5,0),"")</f>
        <v/>
      </c>
      <c r="F435" t="str">
        <f>IFERROR(VLOOKUP($A435,原始数据_收盘!$A$4:$G$3460,6,0),"")</f>
        <v/>
      </c>
      <c r="G435" t="str">
        <f>IFERROR(VLOOKUP($A435,原始数据_收盘!$A$4:$G$3460,7,0),"")</f>
        <v/>
      </c>
      <c r="H435" t="str">
        <f>IFERROR(VLOOKUP($A435,原始数据_利率互换_FR007_1年!$A$6:$C$4395,2,0),"")</f>
        <v/>
      </c>
      <c r="I435" t="str">
        <f>IFERROR(VLOOKUP($A435,原始数据_利率互换_FR007_1年!$A$6:$C$4395,3,0),"")</f>
        <v/>
      </c>
    </row>
    <row r="436" spans="1:9">
      <c r="A436" s="6">
        <v>39929</v>
      </c>
      <c r="B436" t="str">
        <f>IFERROR(VLOOKUP($A436,原始数据_收盘!$A$4:$G$3460,2,0),"")</f>
        <v/>
      </c>
      <c r="C436" t="str">
        <f>IFERROR(VLOOKUP($A436,原始数据_收盘!$A$4:$G$3460,3,0),"")</f>
        <v/>
      </c>
      <c r="D436" t="str">
        <f>IFERROR(VLOOKUP($A436,原始数据_收盘!$A$4:$G$3460,4,0),"")</f>
        <v/>
      </c>
      <c r="E436" t="str">
        <f>IFERROR(VLOOKUP($A436,原始数据_收盘!$A$4:$G$3460,5,0),"")</f>
        <v/>
      </c>
      <c r="F436" t="str">
        <f>IFERROR(VLOOKUP($A436,原始数据_收盘!$A$4:$G$3460,6,0),"")</f>
        <v/>
      </c>
      <c r="G436" t="str">
        <f>IFERROR(VLOOKUP($A436,原始数据_收盘!$A$4:$G$3460,7,0),"")</f>
        <v/>
      </c>
      <c r="H436" t="str">
        <f>IFERROR(VLOOKUP($A436,原始数据_利率互换_FR007_1年!$A$6:$C$4395,2,0),"")</f>
        <v/>
      </c>
      <c r="I436" t="str">
        <f>IFERROR(VLOOKUP($A436,原始数据_利率互换_FR007_1年!$A$6:$C$4395,3,0),"")</f>
        <v/>
      </c>
    </row>
    <row r="437" spans="1:9">
      <c r="A437" s="6">
        <v>39930</v>
      </c>
      <c r="B437" t="str">
        <f>IFERROR(VLOOKUP($A437,原始数据_收盘!$A$4:$G$3460,2,0),"")</f>
        <v/>
      </c>
      <c r="C437" t="str">
        <f>IFERROR(VLOOKUP($A437,原始数据_收盘!$A$4:$G$3460,3,0),"")</f>
        <v/>
      </c>
      <c r="D437" t="str">
        <f>IFERROR(VLOOKUP($A437,原始数据_收盘!$A$4:$G$3460,4,0),"")</f>
        <v/>
      </c>
      <c r="E437" t="str">
        <f>IFERROR(VLOOKUP($A437,原始数据_收盘!$A$4:$G$3460,5,0),"")</f>
        <v/>
      </c>
      <c r="F437" t="str">
        <f>IFERROR(VLOOKUP($A437,原始数据_收盘!$A$4:$G$3460,6,0),"")</f>
        <v/>
      </c>
      <c r="G437" t="str">
        <f>IFERROR(VLOOKUP($A437,原始数据_收盘!$A$4:$G$3460,7,0),"")</f>
        <v/>
      </c>
      <c r="H437">
        <f>IFERROR(VLOOKUP($A437,原始数据_利率互换_FR007_1年!$A$6:$C$4395,2,0),"")</f>
        <v>1.4</v>
      </c>
      <c r="I437">
        <f>IFERROR(VLOOKUP($A437,原始数据_利率互换_FR007_1年!$A$6:$C$4395,3,0),"")</f>
        <v>2.6</v>
      </c>
    </row>
    <row r="438" spans="1:9">
      <c r="A438" s="6">
        <v>39931</v>
      </c>
      <c r="B438" t="str">
        <f>IFERROR(VLOOKUP($A438,原始数据_收盘!$A$4:$G$3460,2,0),"")</f>
        <v/>
      </c>
      <c r="C438" t="str">
        <f>IFERROR(VLOOKUP($A438,原始数据_收盘!$A$4:$G$3460,3,0),"")</f>
        <v/>
      </c>
      <c r="D438" t="str">
        <f>IFERROR(VLOOKUP($A438,原始数据_收盘!$A$4:$G$3460,4,0),"")</f>
        <v/>
      </c>
      <c r="E438" t="str">
        <f>IFERROR(VLOOKUP($A438,原始数据_收盘!$A$4:$G$3460,5,0),"")</f>
        <v/>
      </c>
      <c r="F438" t="str">
        <f>IFERROR(VLOOKUP($A438,原始数据_收盘!$A$4:$G$3460,6,0),"")</f>
        <v/>
      </c>
      <c r="G438" t="str">
        <f>IFERROR(VLOOKUP($A438,原始数据_收盘!$A$4:$G$3460,7,0),"")</f>
        <v/>
      </c>
      <c r="H438">
        <f>IFERROR(VLOOKUP($A438,原始数据_利率互换_FR007_1年!$A$6:$C$4395,2,0),"")</f>
        <v>1.33</v>
      </c>
      <c r="I438">
        <f>IFERROR(VLOOKUP($A438,原始数据_利率互换_FR007_1年!$A$6:$C$4395,3,0),"")</f>
        <v>2.5</v>
      </c>
    </row>
    <row r="439" spans="1:9">
      <c r="A439" s="6">
        <v>39932</v>
      </c>
      <c r="B439" t="str">
        <f>IFERROR(VLOOKUP($A439,原始数据_收盘!$A$4:$G$3460,2,0),"")</f>
        <v/>
      </c>
      <c r="C439" t="str">
        <f>IFERROR(VLOOKUP($A439,原始数据_收盘!$A$4:$G$3460,3,0),"")</f>
        <v/>
      </c>
      <c r="D439" t="str">
        <f>IFERROR(VLOOKUP($A439,原始数据_收盘!$A$4:$G$3460,4,0),"")</f>
        <v/>
      </c>
      <c r="E439" t="str">
        <f>IFERROR(VLOOKUP($A439,原始数据_收盘!$A$4:$G$3460,5,0),"")</f>
        <v/>
      </c>
      <c r="F439" t="str">
        <f>IFERROR(VLOOKUP($A439,原始数据_收盘!$A$4:$G$3460,6,0),"")</f>
        <v/>
      </c>
      <c r="G439" t="str">
        <f>IFERROR(VLOOKUP($A439,原始数据_收盘!$A$4:$G$3460,7,0),"")</f>
        <v/>
      </c>
      <c r="H439">
        <f>IFERROR(VLOOKUP($A439,原始数据_利率互换_FR007_1年!$A$6:$C$4395,2,0),"")</f>
        <v>1.3</v>
      </c>
      <c r="I439">
        <f>IFERROR(VLOOKUP($A439,原始数据_利率互换_FR007_1年!$A$6:$C$4395,3,0),"")</f>
        <v>2.34</v>
      </c>
    </row>
    <row r="440" spans="1:9">
      <c r="A440" s="6">
        <v>39933</v>
      </c>
      <c r="B440" t="str">
        <f>IFERROR(VLOOKUP($A440,原始数据_收盘!$A$4:$G$3460,2,0),"")</f>
        <v/>
      </c>
      <c r="C440" t="str">
        <f>IFERROR(VLOOKUP($A440,原始数据_收盘!$A$4:$G$3460,3,0),"")</f>
        <v/>
      </c>
      <c r="D440" t="str">
        <f>IFERROR(VLOOKUP($A440,原始数据_收盘!$A$4:$G$3460,4,0),"")</f>
        <v/>
      </c>
      <c r="E440" t="str">
        <f>IFERROR(VLOOKUP($A440,原始数据_收盘!$A$4:$G$3460,5,0),"")</f>
        <v/>
      </c>
      <c r="F440" t="str">
        <f>IFERROR(VLOOKUP($A440,原始数据_收盘!$A$4:$G$3460,6,0),"")</f>
        <v/>
      </c>
      <c r="G440" t="str">
        <f>IFERROR(VLOOKUP($A440,原始数据_收盘!$A$4:$G$3460,7,0),"")</f>
        <v/>
      </c>
      <c r="H440">
        <f>IFERROR(VLOOKUP($A440,原始数据_利率互换_FR007_1年!$A$6:$C$4395,2,0),"")</f>
        <v>1.33</v>
      </c>
      <c r="I440">
        <f>IFERROR(VLOOKUP($A440,原始数据_利率互换_FR007_1年!$A$6:$C$4395,3,0),"")</f>
        <v>0</v>
      </c>
    </row>
    <row r="441" spans="1:9">
      <c r="A441" s="6">
        <v>39934</v>
      </c>
      <c r="B441" t="str">
        <f>IFERROR(VLOOKUP($A441,原始数据_收盘!$A$4:$G$3460,2,0),"")</f>
        <v/>
      </c>
      <c r="C441" t="str">
        <f>IFERROR(VLOOKUP($A441,原始数据_收盘!$A$4:$G$3460,3,0),"")</f>
        <v/>
      </c>
      <c r="D441" t="str">
        <f>IFERROR(VLOOKUP($A441,原始数据_收盘!$A$4:$G$3460,4,0),"")</f>
        <v/>
      </c>
      <c r="E441" t="str">
        <f>IFERROR(VLOOKUP($A441,原始数据_收盘!$A$4:$G$3460,5,0),"")</f>
        <v/>
      </c>
      <c r="F441" t="str">
        <f>IFERROR(VLOOKUP($A441,原始数据_收盘!$A$4:$G$3460,6,0),"")</f>
        <v/>
      </c>
      <c r="G441" t="str">
        <f>IFERROR(VLOOKUP($A441,原始数据_收盘!$A$4:$G$3460,7,0),"")</f>
        <v/>
      </c>
      <c r="H441" t="str">
        <f>IFERROR(VLOOKUP($A441,原始数据_利率互换_FR007_1年!$A$6:$C$4395,2,0),"")</f>
        <v/>
      </c>
      <c r="I441" t="str">
        <f>IFERROR(VLOOKUP($A441,原始数据_利率互换_FR007_1年!$A$6:$C$4395,3,0),"")</f>
        <v/>
      </c>
    </row>
    <row r="442" spans="1:9">
      <c r="A442" s="6">
        <v>39935</v>
      </c>
      <c r="B442" t="str">
        <f>IFERROR(VLOOKUP($A442,原始数据_收盘!$A$4:$G$3460,2,0),"")</f>
        <v/>
      </c>
      <c r="C442" t="str">
        <f>IFERROR(VLOOKUP($A442,原始数据_收盘!$A$4:$G$3460,3,0),"")</f>
        <v/>
      </c>
      <c r="D442" t="str">
        <f>IFERROR(VLOOKUP($A442,原始数据_收盘!$A$4:$G$3460,4,0),"")</f>
        <v/>
      </c>
      <c r="E442" t="str">
        <f>IFERROR(VLOOKUP($A442,原始数据_收盘!$A$4:$G$3460,5,0),"")</f>
        <v/>
      </c>
      <c r="F442" t="str">
        <f>IFERROR(VLOOKUP($A442,原始数据_收盘!$A$4:$G$3460,6,0),"")</f>
        <v/>
      </c>
      <c r="G442" t="str">
        <f>IFERROR(VLOOKUP($A442,原始数据_收盘!$A$4:$G$3460,7,0),"")</f>
        <v/>
      </c>
      <c r="H442" t="str">
        <f>IFERROR(VLOOKUP($A442,原始数据_利率互换_FR007_1年!$A$6:$C$4395,2,0),"")</f>
        <v/>
      </c>
      <c r="I442" t="str">
        <f>IFERROR(VLOOKUP($A442,原始数据_利率互换_FR007_1年!$A$6:$C$4395,3,0),"")</f>
        <v/>
      </c>
    </row>
    <row r="443" spans="1:9">
      <c r="A443" s="6">
        <v>39936</v>
      </c>
      <c r="B443" t="str">
        <f>IFERROR(VLOOKUP($A443,原始数据_收盘!$A$4:$G$3460,2,0),"")</f>
        <v/>
      </c>
      <c r="C443" t="str">
        <f>IFERROR(VLOOKUP($A443,原始数据_收盘!$A$4:$G$3460,3,0),"")</f>
        <v/>
      </c>
      <c r="D443" t="str">
        <f>IFERROR(VLOOKUP($A443,原始数据_收盘!$A$4:$G$3460,4,0),"")</f>
        <v/>
      </c>
      <c r="E443" t="str">
        <f>IFERROR(VLOOKUP($A443,原始数据_收盘!$A$4:$G$3460,5,0),"")</f>
        <v/>
      </c>
      <c r="F443" t="str">
        <f>IFERROR(VLOOKUP($A443,原始数据_收盘!$A$4:$G$3460,6,0),"")</f>
        <v/>
      </c>
      <c r="G443" t="str">
        <f>IFERROR(VLOOKUP($A443,原始数据_收盘!$A$4:$G$3460,7,0),"")</f>
        <v/>
      </c>
      <c r="H443" t="str">
        <f>IFERROR(VLOOKUP($A443,原始数据_利率互换_FR007_1年!$A$6:$C$4395,2,0),"")</f>
        <v/>
      </c>
      <c r="I443" t="str">
        <f>IFERROR(VLOOKUP($A443,原始数据_利率互换_FR007_1年!$A$6:$C$4395,3,0),"")</f>
        <v/>
      </c>
    </row>
    <row r="444" spans="1:9">
      <c r="A444" s="6">
        <v>39937</v>
      </c>
      <c r="B444" t="str">
        <f>IFERROR(VLOOKUP($A444,原始数据_收盘!$A$4:$G$3460,2,0),"")</f>
        <v/>
      </c>
      <c r="C444" t="str">
        <f>IFERROR(VLOOKUP($A444,原始数据_收盘!$A$4:$G$3460,3,0),"")</f>
        <v/>
      </c>
      <c r="D444" t="str">
        <f>IFERROR(VLOOKUP($A444,原始数据_收盘!$A$4:$G$3460,4,0),"")</f>
        <v/>
      </c>
      <c r="E444" t="str">
        <f>IFERROR(VLOOKUP($A444,原始数据_收盘!$A$4:$G$3460,5,0),"")</f>
        <v/>
      </c>
      <c r="F444" t="str">
        <f>IFERROR(VLOOKUP($A444,原始数据_收盘!$A$4:$G$3460,6,0),"")</f>
        <v/>
      </c>
      <c r="G444" t="str">
        <f>IFERROR(VLOOKUP($A444,原始数据_收盘!$A$4:$G$3460,7,0),"")</f>
        <v/>
      </c>
      <c r="H444">
        <f>IFERROR(VLOOKUP($A444,原始数据_利率互换_FR007_1年!$A$6:$C$4395,2,0),"")</f>
        <v>1.32</v>
      </c>
      <c r="I444">
        <f>IFERROR(VLOOKUP($A444,原始数据_利率互换_FR007_1年!$A$6:$C$4395,3,0),"")</f>
        <v>0</v>
      </c>
    </row>
    <row r="445" spans="1:9">
      <c r="A445" s="6">
        <v>39938</v>
      </c>
      <c r="B445" t="str">
        <f>IFERROR(VLOOKUP($A445,原始数据_收盘!$A$4:$G$3460,2,0),"")</f>
        <v/>
      </c>
      <c r="C445" t="str">
        <f>IFERROR(VLOOKUP($A445,原始数据_收盘!$A$4:$G$3460,3,0),"")</f>
        <v/>
      </c>
      <c r="D445" t="str">
        <f>IFERROR(VLOOKUP($A445,原始数据_收盘!$A$4:$G$3460,4,0),"")</f>
        <v/>
      </c>
      <c r="E445" t="str">
        <f>IFERROR(VLOOKUP($A445,原始数据_收盘!$A$4:$G$3460,5,0),"")</f>
        <v/>
      </c>
      <c r="F445" t="str">
        <f>IFERROR(VLOOKUP($A445,原始数据_收盘!$A$4:$G$3460,6,0),"")</f>
        <v/>
      </c>
      <c r="G445" t="str">
        <f>IFERROR(VLOOKUP($A445,原始数据_收盘!$A$4:$G$3460,7,0),"")</f>
        <v/>
      </c>
      <c r="H445">
        <f>IFERROR(VLOOKUP($A445,原始数据_利率互换_FR007_1年!$A$6:$C$4395,2,0),"")</f>
        <v>1.31</v>
      </c>
      <c r="I445">
        <f>IFERROR(VLOOKUP($A445,原始数据_利率互换_FR007_1年!$A$6:$C$4395,3,0),"")</f>
        <v>0</v>
      </c>
    </row>
    <row r="446" spans="1:9">
      <c r="A446" s="6">
        <v>39939</v>
      </c>
      <c r="B446" t="str">
        <f>IFERROR(VLOOKUP($A446,原始数据_收盘!$A$4:$G$3460,2,0),"")</f>
        <v/>
      </c>
      <c r="C446" t="str">
        <f>IFERROR(VLOOKUP($A446,原始数据_收盘!$A$4:$G$3460,3,0),"")</f>
        <v/>
      </c>
      <c r="D446" t="str">
        <f>IFERROR(VLOOKUP($A446,原始数据_收盘!$A$4:$G$3460,4,0),"")</f>
        <v/>
      </c>
      <c r="E446" t="str">
        <f>IFERROR(VLOOKUP($A446,原始数据_收盘!$A$4:$G$3460,5,0),"")</f>
        <v/>
      </c>
      <c r="F446" t="str">
        <f>IFERROR(VLOOKUP($A446,原始数据_收盘!$A$4:$G$3460,6,0),"")</f>
        <v/>
      </c>
      <c r="G446" t="str">
        <f>IFERROR(VLOOKUP($A446,原始数据_收盘!$A$4:$G$3460,7,0),"")</f>
        <v/>
      </c>
      <c r="H446" t="str">
        <f>IFERROR(VLOOKUP($A446,原始数据_利率互换_FR007_1年!$A$6:$C$4395,2,0),"")</f>
        <v/>
      </c>
      <c r="I446" t="str">
        <f>IFERROR(VLOOKUP($A446,原始数据_利率互换_FR007_1年!$A$6:$C$4395,3,0),"")</f>
        <v/>
      </c>
    </row>
    <row r="447" spans="1:9">
      <c r="A447" s="6">
        <v>39940</v>
      </c>
      <c r="B447" t="str">
        <f>IFERROR(VLOOKUP($A447,原始数据_收盘!$A$4:$G$3460,2,0),"")</f>
        <v/>
      </c>
      <c r="C447" t="str">
        <f>IFERROR(VLOOKUP($A447,原始数据_收盘!$A$4:$G$3460,3,0),"")</f>
        <v/>
      </c>
      <c r="D447" t="str">
        <f>IFERROR(VLOOKUP($A447,原始数据_收盘!$A$4:$G$3460,4,0),"")</f>
        <v/>
      </c>
      <c r="E447" t="str">
        <f>IFERROR(VLOOKUP($A447,原始数据_收盘!$A$4:$G$3460,5,0),"")</f>
        <v/>
      </c>
      <c r="F447" t="str">
        <f>IFERROR(VLOOKUP($A447,原始数据_收盘!$A$4:$G$3460,6,0),"")</f>
        <v/>
      </c>
      <c r="G447" t="str">
        <f>IFERROR(VLOOKUP($A447,原始数据_收盘!$A$4:$G$3460,7,0),"")</f>
        <v/>
      </c>
      <c r="H447">
        <f>IFERROR(VLOOKUP($A447,原始数据_利率互换_FR007_1年!$A$6:$C$4395,2,0),"")</f>
        <v>1.3</v>
      </c>
      <c r="I447">
        <f>IFERROR(VLOOKUP($A447,原始数据_利率互换_FR007_1年!$A$6:$C$4395,3,0),"")</f>
        <v>2.52</v>
      </c>
    </row>
    <row r="448" spans="1:9">
      <c r="A448" s="6">
        <v>39941</v>
      </c>
      <c r="B448" t="str">
        <f>IFERROR(VLOOKUP($A448,原始数据_收盘!$A$4:$G$3460,2,0),"")</f>
        <v/>
      </c>
      <c r="C448" t="str">
        <f>IFERROR(VLOOKUP($A448,原始数据_收盘!$A$4:$G$3460,3,0),"")</f>
        <v/>
      </c>
      <c r="D448" t="str">
        <f>IFERROR(VLOOKUP($A448,原始数据_收盘!$A$4:$G$3460,4,0),"")</f>
        <v/>
      </c>
      <c r="E448" t="str">
        <f>IFERROR(VLOOKUP($A448,原始数据_收盘!$A$4:$G$3460,5,0),"")</f>
        <v/>
      </c>
      <c r="F448" t="str">
        <f>IFERROR(VLOOKUP($A448,原始数据_收盘!$A$4:$G$3460,6,0),"")</f>
        <v/>
      </c>
      <c r="G448" t="str">
        <f>IFERROR(VLOOKUP($A448,原始数据_收盘!$A$4:$G$3460,7,0),"")</f>
        <v/>
      </c>
      <c r="H448">
        <f>IFERROR(VLOOKUP($A448,原始数据_利率互换_FR007_1年!$A$6:$C$4395,2,0),"")</f>
        <v>1.3</v>
      </c>
      <c r="I448">
        <f>IFERROR(VLOOKUP($A448,原始数据_利率互换_FR007_1年!$A$6:$C$4395,3,0),"")</f>
        <v>0</v>
      </c>
    </row>
    <row r="449" spans="1:9">
      <c r="A449" s="6">
        <v>39942</v>
      </c>
      <c r="B449" t="str">
        <f>IFERROR(VLOOKUP($A449,原始数据_收盘!$A$4:$G$3460,2,0),"")</f>
        <v/>
      </c>
      <c r="C449" t="str">
        <f>IFERROR(VLOOKUP($A449,原始数据_收盘!$A$4:$G$3460,3,0),"")</f>
        <v/>
      </c>
      <c r="D449" t="str">
        <f>IFERROR(VLOOKUP($A449,原始数据_收盘!$A$4:$G$3460,4,0),"")</f>
        <v/>
      </c>
      <c r="E449" t="str">
        <f>IFERROR(VLOOKUP($A449,原始数据_收盘!$A$4:$G$3460,5,0),"")</f>
        <v/>
      </c>
      <c r="F449" t="str">
        <f>IFERROR(VLOOKUP($A449,原始数据_收盘!$A$4:$G$3460,6,0),"")</f>
        <v/>
      </c>
      <c r="G449" t="str">
        <f>IFERROR(VLOOKUP($A449,原始数据_收盘!$A$4:$G$3460,7,0),"")</f>
        <v/>
      </c>
      <c r="H449" t="str">
        <f>IFERROR(VLOOKUP($A449,原始数据_利率互换_FR007_1年!$A$6:$C$4395,2,0),"")</f>
        <v/>
      </c>
      <c r="I449" t="str">
        <f>IFERROR(VLOOKUP($A449,原始数据_利率互换_FR007_1年!$A$6:$C$4395,3,0),"")</f>
        <v/>
      </c>
    </row>
    <row r="450" spans="1:9">
      <c r="A450" s="6">
        <v>39943</v>
      </c>
      <c r="B450" t="str">
        <f>IFERROR(VLOOKUP($A450,原始数据_收盘!$A$4:$G$3460,2,0),"")</f>
        <v/>
      </c>
      <c r="C450" t="str">
        <f>IFERROR(VLOOKUP($A450,原始数据_收盘!$A$4:$G$3460,3,0),"")</f>
        <v/>
      </c>
      <c r="D450" t="str">
        <f>IFERROR(VLOOKUP($A450,原始数据_收盘!$A$4:$G$3460,4,0),"")</f>
        <v/>
      </c>
      <c r="E450" t="str">
        <f>IFERROR(VLOOKUP($A450,原始数据_收盘!$A$4:$G$3460,5,0),"")</f>
        <v/>
      </c>
      <c r="F450" t="str">
        <f>IFERROR(VLOOKUP($A450,原始数据_收盘!$A$4:$G$3460,6,0),"")</f>
        <v/>
      </c>
      <c r="G450" t="str">
        <f>IFERROR(VLOOKUP($A450,原始数据_收盘!$A$4:$G$3460,7,0),"")</f>
        <v/>
      </c>
      <c r="H450" t="str">
        <f>IFERROR(VLOOKUP($A450,原始数据_利率互换_FR007_1年!$A$6:$C$4395,2,0),"")</f>
        <v/>
      </c>
      <c r="I450" t="str">
        <f>IFERROR(VLOOKUP($A450,原始数据_利率互换_FR007_1年!$A$6:$C$4395,3,0),"")</f>
        <v/>
      </c>
    </row>
    <row r="451" spans="1:9">
      <c r="A451" s="6">
        <v>39944</v>
      </c>
      <c r="B451" t="str">
        <f>IFERROR(VLOOKUP($A451,原始数据_收盘!$A$4:$G$3460,2,0),"")</f>
        <v/>
      </c>
      <c r="C451" t="str">
        <f>IFERROR(VLOOKUP($A451,原始数据_收盘!$A$4:$G$3460,3,0),"")</f>
        <v/>
      </c>
      <c r="D451" t="str">
        <f>IFERROR(VLOOKUP($A451,原始数据_收盘!$A$4:$G$3460,4,0),"")</f>
        <v/>
      </c>
      <c r="E451" t="str">
        <f>IFERROR(VLOOKUP($A451,原始数据_收盘!$A$4:$G$3460,5,0),"")</f>
        <v/>
      </c>
      <c r="F451" t="str">
        <f>IFERROR(VLOOKUP($A451,原始数据_收盘!$A$4:$G$3460,6,0),"")</f>
        <v/>
      </c>
      <c r="G451" t="str">
        <f>IFERROR(VLOOKUP($A451,原始数据_收盘!$A$4:$G$3460,7,0),"")</f>
        <v/>
      </c>
      <c r="H451">
        <f>IFERROR(VLOOKUP($A451,原始数据_利率互换_FR007_1年!$A$6:$C$4395,2,0),"")</f>
        <v>1.29</v>
      </c>
      <c r="I451">
        <f>IFERROR(VLOOKUP($A451,原始数据_利率互换_FR007_1年!$A$6:$C$4395,3,0),"")</f>
        <v>2.5</v>
      </c>
    </row>
    <row r="452" spans="1:9">
      <c r="A452" s="6">
        <v>39945</v>
      </c>
      <c r="B452" t="str">
        <f>IFERROR(VLOOKUP($A452,原始数据_收盘!$A$4:$G$3460,2,0),"")</f>
        <v/>
      </c>
      <c r="C452" t="str">
        <f>IFERROR(VLOOKUP($A452,原始数据_收盘!$A$4:$G$3460,3,0),"")</f>
        <v/>
      </c>
      <c r="D452" t="str">
        <f>IFERROR(VLOOKUP($A452,原始数据_收盘!$A$4:$G$3460,4,0),"")</f>
        <v/>
      </c>
      <c r="E452" t="str">
        <f>IFERROR(VLOOKUP($A452,原始数据_收盘!$A$4:$G$3460,5,0),"")</f>
        <v/>
      </c>
      <c r="F452" t="str">
        <f>IFERROR(VLOOKUP($A452,原始数据_收盘!$A$4:$G$3460,6,0),"")</f>
        <v/>
      </c>
      <c r="G452" t="str">
        <f>IFERROR(VLOOKUP($A452,原始数据_收盘!$A$4:$G$3460,7,0),"")</f>
        <v/>
      </c>
      <c r="H452">
        <f>IFERROR(VLOOKUP($A452,原始数据_利率互换_FR007_1年!$A$6:$C$4395,2,0),"")</f>
        <v>1.26</v>
      </c>
      <c r="I452">
        <f>IFERROR(VLOOKUP($A452,原始数据_利率互换_FR007_1年!$A$6:$C$4395,3,0),"")</f>
        <v>2.48</v>
      </c>
    </row>
    <row r="453" spans="1:9">
      <c r="A453" s="6">
        <v>39946</v>
      </c>
      <c r="B453" t="str">
        <f>IFERROR(VLOOKUP($A453,原始数据_收盘!$A$4:$G$3460,2,0),"")</f>
        <v/>
      </c>
      <c r="C453" t="str">
        <f>IFERROR(VLOOKUP($A453,原始数据_收盘!$A$4:$G$3460,3,0),"")</f>
        <v/>
      </c>
      <c r="D453" t="str">
        <f>IFERROR(VLOOKUP($A453,原始数据_收盘!$A$4:$G$3460,4,0),"")</f>
        <v/>
      </c>
      <c r="E453" t="str">
        <f>IFERROR(VLOOKUP($A453,原始数据_收盘!$A$4:$G$3460,5,0),"")</f>
        <v/>
      </c>
      <c r="F453" t="str">
        <f>IFERROR(VLOOKUP($A453,原始数据_收盘!$A$4:$G$3460,6,0),"")</f>
        <v/>
      </c>
      <c r="G453" t="str">
        <f>IFERROR(VLOOKUP($A453,原始数据_收盘!$A$4:$G$3460,7,0),"")</f>
        <v/>
      </c>
      <c r="H453">
        <f>IFERROR(VLOOKUP($A453,原始数据_利率互换_FR007_1年!$A$6:$C$4395,2,0),"")</f>
        <v>1.23</v>
      </c>
      <c r="I453">
        <f>IFERROR(VLOOKUP($A453,原始数据_利率互换_FR007_1年!$A$6:$C$4395,3,0),"")</f>
        <v>2.39</v>
      </c>
    </row>
    <row r="454" spans="1:9">
      <c r="A454" s="6">
        <v>39947</v>
      </c>
      <c r="B454" t="str">
        <f>IFERROR(VLOOKUP($A454,原始数据_收盘!$A$4:$G$3460,2,0),"")</f>
        <v/>
      </c>
      <c r="C454" t="str">
        <f>IFERROR(VLOOKUP($A454,原始数据_收盘!$A$4:$G$3460,3,0),"")</f>
        <v/>
      </c>
      <c r="D454" t="str">
        <f>IFERROR(VLOOKUP($A454,原始数据_收盘!$A$4:$G$3460,4,0),"")</f>
        <v/>
      </c>
      <c r="E454" t="str">
        <f>IFERROR(VLOOKUP($A454,原始数据_收盘!$A$4:$G$3460,5,0),"")</f>
        <v/>
      </c>
      <c r="F454" t="str">
        <f>IFERROR(VLOOKUP($A454,原始数据_收盘!$A$4:$G$3460,6,0),"")</f>
        <v/>
      </c>
      <c r="G454" t="str">
        <f>IFERROR(VLOOKUP($A454,原始数据_收盘!$A$4:$G$3460,7,0),"")</f>
        <v/>
      </c>
      <c r="H454">
        <f>IFERROR(VLOOKUP($A454,原始数据_利率互换_FR007_1年!$A$6:$C$4395,2,0),"")</f>
        <v>0</v>
      </c>
      <c r="I454">
        <f>IFERROR(VLOOKUP($A454,原始数据_利率互换_FR007_1年!$A$6:$C$4395,3,0),"")</f>
        <v>2.4</v>
      </c>
    </row>
    <row r="455" spans="1:9">
      <c r="A455" s="6">
        <v>39948</v>
      </c>
      <c r="B455" t="str">
        <f>IFERROR(VLOOKUP($A455,原始数据_收盘!$A$4:$G$3460,2,0),"")</f>
        <v/>
      </c>
      <c r="C455" t="str">
        <f>IFERROR(VLOOKUP($A455,原始数据_收盘!$A$4:$G$3460,3,0),"")</f>
        <v/>
      </c>
      <c r="D455" t="str">
        <f>IFERROR(VLOOKUP($A455,原始数据_收盘!$A$4:$G$3460,4,0),"")</f>
        <v/>
      </c>
      <c r="E455" t="str">
        <f>IFERROR(VLOOKUP($A455,原始数据_收盘!$A$4:$G$3460,5,0),"")</f>
        <v/>
      </c>
      <c r="F455" t="str">
        <f>IFERROR(VLOOKUP($A455,原始数据_收盘!$A$4:$G$3460,6,0),"")</f>
        <v/>
      </c>
      <c r="G455" t="str">
        <f>IFERROR(VLOOKUP($A455,原始数据_收盘!$A$4:$G$3460,7,0),"")</f>
        <v/>
      </c>
      <c r="H455">
        <f>IFERROR(VLOOKUP($A455,原始数据_利率互换_FR007_1年!$A$6:$C$4395,2,0),"")</f>
        <v>0</v>
      </c>
      <c r="I455">
        <f>IFERROR(VLOOKUP($A455,原始数据_利率互换_FR007_1年!$A$6:$C$4395,3,0),"")</f>
        <v>2.39</v>
      </c>
    </row>
    <row r="456" spans="1:9">
      <c r="A456" s="6">
        <v>39949</v>
      </c>
      <c r="B456" t="str">
        <f>IFERROR(VLOOKUP($A456,原始数据_收盘!$A$4:$G$3460,2,0),"")</f>
        <v/>
      </c>
      <c r="C456" t="str">
        <f>IFERROR(VLOOKUP($A456,原始数据_收盘!$A$4:$G$3460,3,0),"")</f>
        <v/>
      </c>
      <c r="D456" t="str">
        <f>IFERROR(VLOOKUP($A456,原始数据_收盘!$A$4:$G$3460,4,0),"")</f>
        <v/>
      </c>
      <c r="E456" t="str">
        <f>IFERROR(VLOOKUP($A456,原始数据_收盘!$A$4:$G$3460,5,0),"")</f>
        <v/>
      </c>
      <c r="F456" t="str">
        <f>IFERROR(VLOOKUP($A456,原始数据_收盘!$A$4:$G$3460,6,0),"")</f>
        <v/>
      </c>
      <c r="G456" t="str">
        <f>IFERROR(VLOOKUP($A456,原始数据_收盘!$A$4:$G$3460,7,0),"")</f>
        <v/>
      </c>
      <c r="H456" t="str">
        <f>IFERROR(VLOOKUP($A456,原始数据_利率互换_FR007_1年!$A$6:$C$4395,2,0),"")</f>
        <v/>
      </c>
      <c r="I456" t="str">
        <f>IFERROR(VLOOKUP($A456,原始数据_利率互换_FR007_1年!$A$6:$C$4395,3,0),"")</f>
        <v/>
      </c>
    </row>
    <row r="457" spans="1:9">
      <c r="A457" s="6">
        <v>39950</v>
      </c>
      <c r="B457" t="str">
        <f>IFERROR(VLOOKUP($A457,原始数据_收盘!$A$4:$G$3460,2,0),"")</f>
        <v/>
      </c>
      <c r="C457" t="str">
        <f>IFERROR(VLOOKUP($A457,原始数据_收盘!$A$4:$G$3460,3,0),"")</f>
        <v/>
      </c>
      <c r="D457" t="str">
        <f>IFERROR(VLOOKUP($A457,原始数据_收盘!$A$4:$G$3460,4,0),"")</f>
        <v/>
      </c>
      <c r="E457" t="str">
        <f>IFERROR(VLOOKUP($A457,原始数据_收盘!$A$4:$G$3460,5,0),"")</f>
        <v/>
      </c>
      <c r="F457" t="str">
        <f>IFERROR(VLOOKUP($A457,原始数据_收盘!$A$4:$G$3460,6,0),"")</f>
        <v/>
      </c>
      <c r="G457" t="str">
        <f>IFERROR(VLOOKUP($A457,原始数据_收盘!$A$4:$G$3460,7,0),"")</f>
        <v/>
      </c>
      <c r="H457" t="str">
        <f>IFERROR(VLOOKUP($A457,原始数据_利率互换_FR007_1年!$A$6:$C$4395,2,0),"")</f>
        <v/>
      </c>
      <c r="I457" t="str">
        <f>IFERROR(VLOOKUP($A457,原始数据_利率互换_FR007_1年!$A$6:$C$4395,3,0),"")</f>
        <v/>
      </c>
    </row>
    <row r="458" spans="1:9">
      <c r="A458" s="6">
        <v>39951</v>
      </c>
      <c r="B458" t="str">
        <f>IFERROR(VLOOKUP($A458,原始数据_收盘!$A$4:$G$3460,2,0),"")</f>
        <v/>
      </c>
      <c r="C458" t="str">
        <f>IFERROR(VLOOKUP($A458,原始数据_收盘!$A$4:$G$3460,3,0),"")</f>
        <v/>
      </c>
      <c r="D458" t="str">
        <f>IFERROR(VLOOKUP($A458,原始数据_收盘!$A$4:$G$3460,4,0),"")</f>
        <v/>
      </c>
      <c r="E458" t="str">
        <f>IFERROR(VLOOKUP($A458,原始数据_收盘!$A$4:$G$3460,5,0),"")</f>
        <v/>
      </c>
      <c r="F458" t="str">
        <f>IFERROR(VLOOKUP($A458,原始数据_收盘!$A$4:$G$3460,6,0),"")</f>
        <v/>
      </c>
      <c r="G458" t="str">
        <f>IFERROR(VLOOKUP($A458,原始数据_收盘!$A$4:$G$3460,7,0),"")</f>
        <v/>
      </c>
      <c r="H458" t="str">
        <f>IFERROR(VLOOKUP($A458,原始数据_利率互换_FR007_1年!$A$6:$C$4395,2,0),"")</f>
        <v/>
      </c>
      <c r="I458" t="str">
        <f>IFERROR(VLOOKUP($A458,原始数据_利率互换_FR007_1年!$A$6:$C$4395,3,0),"")</f>
        <v/>
      </c>
    </row>
    <row r="459" spans="1:9">
      <c r="A459" s="6">
        <v>39952</v>
      </c>
      <c r="B459" t="str">
        <f>IFERROR(VLOOKUP($A459,原始数据_收盘!$A$4:$G$3460,2,0),"")</f>
        <v/>
      </c>
      <c r="C459" t="str">
        <f>IFERROR(VLOOKUP($A459,原始数据_收盘!$A$4:$G$3460,3,0),"")</f>
        <v/>
      </c>
      <c r="D459" t="str">
        <f>IFERROR(VLOOKUP($A459,原始数据_收盘!$A$4:$G$3460,4,0),"")</f>
        <v/>
      </c>
      <c r="E459" t="str">
        <f>IFERROR(VLOOKUP($A459,原始数据_收盘!$A$4:$G$3460,5,0),"")</f>
        <v/>
      </c>
      <c r="F459" t="str">
        <f>IFERROR(VLOOKUP($A459,原始数据_收盘!$A$4:$G$3460,6,0),"")</f>
        <v/>
      </c>
      <c r="G459" t="str">
        <f>IFERROR(VLOOKUP($A459,原始数据_收盘!$A$4:$G$3460,7,0),"")</f>
        <v/>
      </c>
      <c r="H459">
        <f>IFERROR(VLOOKUP($A459,原始数据_利率互换_FR007_1年!$A$6:$C$4395,2,0),"")</f>
        <v>0</v>
      </c>
      <c r="I459">
        <f>IFERROR(VLOOKUP($A459,原始数据_利率互换_FR007_1年!$A$6:$C$4395,3,0),"")</f>
        <v>2.41</v>
      </c>
    </row>
    <row r="460" spans="1:9">
      <c r="A460" s="6">
        <v>39953</v>
      </c>
      <c r="B460" t="str">
        <f>IFERROR(VLOOKUP($A460,原始数据_收盘!$A$4:$G$3460,2,0),"")</f>
        <v/>
      </c>
      <c r="C460" t="str">
        <f>IFERROR(VLOOKUP($A460,原始数据_收盘!$A$4:$G$3460,3,0),"")</f>
        <v/>
      </c>
      <c r="D460" t="str">
        <f>IFERROR(VLOOKUP($A460,原始数据_收盘!$A$4:$G$3460,4,0),"")</f>
        <v/>
      </c>
      <c r="E460" t="str">
        <f>IFERROR(VLOOKUP($A460,原始数据_收盘!$A$4:$G$3460,5,0),"")</f>
        <v/>
      </c>
      <c r="F460" t="str">
        <f>IFERROR(VLOOKUP($A460,原始数据_收盘!$A$4:$G$3460,6,0),"")</f>
        <v/>
      </c>
      <c r="G460" t="str">
        <f>IFERROR(VLOOKUP($A460,原始数据_收盘!$A$4:$G$3460,7,0),"")</f>
        <v/>
      </c>
      <c r="H460" t="str">
        <f>IFERROR(VLOOKUP($A460,原始数据_利率互换_FR007_1年!$A$6:$C$4395,2,0),"")</f>
        <v/>
      </c>
      <c r="I460" t="str">
        <f>IFERROR(VLOOKUP($A460,原始数据_利率互换_FR007_1年!$A$6:$C$4395,3,0),"")</f>
        <v/>
      </c>
    </row>
    <row r="461" spans="1:9">
      <c r="A461" s="6">
        <v>39954</v>
      </c>
      <c r="B461" t="str">
        <f>IFERROR(VLOOKUP($A461,原始数据_收盘!$A$4:$G$3460,2,0),"")</f>
        <v/>
      </c>
      <c r="C461" t="str">
        <f>IFERROR(VLOOKUP($A461,原始数据_收盘!$A$4:$G$3460,3,0),"")</f>
        <v/>
      </c>
      <c r="D461" t="str">
        <f>IFERROR(VLOOKUP($A461,原始数据_收盘!$A$4:$G$3460,4,0),"")</f>
        <v/>
      </c>
      <c r="E461" t="str">
        <f>IFERROR(VLOOKUP($A461,原始数据_收盘!$A$4:$G$3460,5,0),"")</f>
        <v/>
      </c>
      <c r="F461" t="str">
        <f>IFERROR(VLOOKUP($A461,原始数据_收盘!$A$4:$G$3460,6,0),"")</f>
        <v/>
      </c>
      <c r="G461" t="str">
        <f>IFERROR(VLOOKUP($A461,原始数据_收盘!$A$4:$G$3460,7,0),"")</f>
        <v/>
      </c>
      <c r="H461">
        <f>IFERROR(VLOOKUP($A461,原始数据_利率互换_FR007_1年!$A$6:$C$4395,2,0),"")</f>
        <v>1.22</v>
      </c>
      <c r="I461">
        <f>IFERROR(VLOOKUP($A461,原始数据_利率互换_FR007_1年!$A$6:$C$4395,3,0),"")</f>
        <v>0</v>
      </c>
    </row>
    <row r="462" spans="1:9">
      <c r="A462" s="6">
        <v>39955</v>
      </c>
      <c r="B462" t="str">
        <f>IFERROR(VLOOKUP($A462,原始数据_收盘!$A$4:$G$3460,2,0),"")</f>
        <v/>
      </c>
      <c r="C462" t="str">
        <f>IFERROR(VLOOKUP($A462,原始数据_收盘!$A$4:$G$3460,3,0),"")</f>
        <v/>
      </c>
      <c r="D462" t="str">
        <f>IFERROR(VLOOKUP($A462,原始数据_收盘!$A$4:$G$3460,4,0),"")</f>
        <v/>
      </c>
      <c r="E462" t="str">
        <f>IFERROR(VLOOKUP($A462,原始数据_收盘!$A$4:$G$3460,5,0),"")</f>
        <v/>
      </c>
      <c r="F462" t="str">
        <f>IFERROR(VLOOKUP($A462,原始数据_收盘!$A$4:$G$3460,6,0),"")</f>
        <v/>
      </c>
      <c r="G462" t="str">
        <f>IFERROR(VLOOKUP($A462,原始数据_收盘!$A$4:$G$3460,7,0),"")</f>
        <v/>
      </c>
      <c r="H462">
        <f>IFERROR(VLOOKUP($A462,原始数据_利率互换_FR007_1年!$A$6:$C$4395,2,0),"")</f>
        <v>0</v>
      </c>
      <c r="I462">
        <f>IFERROR(VLOOKUP($A462,原始数据_利率互换_FR007_1年!$A$6:$C$4395,3,0),"")</f>
        <v>2.42</v>
      </c>
    </row>
    <row r="463" spans="1:9">
      <c r="A463" s="6">
        <v>39956</v>
      </c>
      <c r="B463" t="str">
        <f>IFERROR(VLOOKUP($A463,原始数据_收盘!$A$4:$G$3460,2,0),"")</f>
        <v/>
      </c>
      <c r="C463" t="str">
        <f>IFERROR(VLOOKUP($A463,原始数据_收盘!$A$4:$G$3460,3,0),"")</f>
        <v/>
      </c>
      <c r="D463" t="str">
        <f>IFERROR(VLOOKUP($A463,原始数据_收盘!$A$4:$G$3460,4,0),"")</f>
        <v/>
      </c>
      <c r="E463" t="str">
        <f>IFERROR(VLOOKUP($A463,原始数据_收盘!$A$4:$G$3460,5,0),"")</f>
        <v/>
      </c>
      <c r="F463" t="str">
        <f>IFERROR(VLOOKUP($A463,原始数据_收盘!$A$4:$G$3460,6,0),"")</f>
        <v/>
      </c>
      <c r="G463" t="str">
        <f>IFERROR(VLOOKUP($A463,原始数据_收盘!$A$4:$G$3460,7,0),"")</f>
        <v/>
      </c>
      <c r="H463" t="str">
        <f>IFERROR(VLOOKUP($A463,原始数据_利率互换_FR007_1年!$A$6:$C$4395,2,0),"")</f>
        <v/>
      </c>
      <c r="I463" t="str">
        <f>IFERROR(VLOOKUP($A463,原始数据_利率互换_FR007_1年!$A$6:$C$4395,3,0),"")</f>
        <v/>
      </c>
    </row>
    <row r="464" spans="1:9">
      <c r="A464" s="6">
        <v>39957</v>
      </c>
      <c r="B464" t="str">
        <f>IFERROR(VLOOKUP($A464,原始数据_收盘!$A$4:$G$3460,2,0),"")</f>
        <v/>
      </c>
      <c r="C464" t="str">
        <f>IFERROR(VLOOKUP($A464,原始数据_收盘!$A$4:$G$3460,3,0),"")</f>
        <v/>
      </c>
      <c r="D464" t="str">
        <f>IFERROR(VLOOKUP($A464,原始数据_收盘!$A$4:$G$3460,4,0),"")</f>
        <v/>
      </c>
      <c r="E464" t="str">
        <f>IFERROR(VLOOKUP($A464,原始数据_收盘!$A$4:$G$3460,5,0),"")</f>
        <v/>
      </c>
      <c r="F464" t="str">
        <f>IFERROR(VLOOKUP($A464,原始数据_收盘!$A$4:$G$3460,6,0),"")</f>
        <v/>
      </c>
      <c r="G464" t="str">
        <f>IFERROR(VLOOKUP($A464,原始数据_收盘!$A$4:$G$3460,7,0),"")</f>
        <v/>
      </c>
      <c r="H464" t="str">
        <f>IFERROR(VLOOKUP($A464,原始数据_利率互换_FR007_1年!$A$6:$C$4395,2,0),"")</f>
        <v/>
      </c>
      <c r="I464" t="str">
        <f>IFERROR(VLOOKUP($A464,原始数据_利率互换_FR007_1年!$A$6:$C$4395,3,0),"")</f>
        <v/>
      </c>
    </row>
    <row r="465" spans="1:9">
      <c r="A465" s="6">
        <v>39958</v>
      </c>
      <c r="B465" t="str">
        <f>IFERROR(VLOOKUP($A465,原始数据_收盘!$A$4:$G$3460,2,0),"")</f>
        <v/>
      </c>
      <c r="C465" t="str">
        <f>IFERROR(VLOOKUP($A465,原始数据_收盘!$A$4:$G$3460,3,0),"")</f>
        <v/>
      </c>
      <c r="D465" t="str">
        <f>IFERROR(VLOOKUP($A465,原始数据_收盘!$A$4:$G$3460,4,0),"")</f>
        <v/>
      </c>
      <c r="E465" t="str">
        <f>IFERROR(VLOOKUP($A465,原始数据_收盘!$A$4:$G$3460,5,0),"")</f>
        <v/>
      </c>
      <c r="F465" t="str">
        <f>IFERROR(VLOOKUP($A465,原始数据_收盘!$A$4:$G$3460,6,0),"")</f>
        <v/>
      </c>
      <c r="G465" t="str">
        <f>IFERROR(VLOOKUP($A465,原始数据_收盘!$A$4:$G$3460,7,0),"")</f>
        <v/>
      </c>
      <c r="H465">
        <f>IFERROR(VLOOKUP($A465,原始数据_利率互换_FR007_1年!$A$6:$C$4395,2,0),"")</f>
        <v>1.35</v>
      </c>
      <c r="I465">
        <f>IFERROR(VLOOKUP($A465,原始数据_利率互换_FR007_1年!$A$6:$C$4395,3,0),"")</f>
        <v>2.46</v>
      </c>
    </row>
    <row r="466" spans="1:9">
      <c r="A466" s="6">
        <v>39959</v>
      </c>
      <c r="B466" t="str">
        <f>IFERROR(VLOOKUP($A466,原始数据_收盘!$A$4:$G$3460,2,0),"")</f>
        <v/>
      </c>
      <c r="C466" t="str">
        <f>IFERROR(VLOOKUP($A466,原始数据_收盘!$A$4:$G$3460,3,0),"")</f>
        <v/>
      </c>
      <c r="D466" t="str">
        <f>IFERROR(VLOOKUP($A466,原始数据_收盘!$A$4:$G$3460,4,0),"")</f>
        <v/>
      </c>
      <c r="E466" t="str">
        <f>IFERROR(VLOOKUP($A466,原始数据_收盘!$A$4:$G$3460,5,0),"")</f>
        <v/>
      </c>
      <c r="F466" t="str">
        <f>IFERROR(VLOOKUP($A466,原始数据_收盘!$A$4:$G$3460,6,0),"")</f>
        <v/>
      </c>
      <c r="G466" t="str">
        <f>IFERROR(VLOOKUP($A466,原始数据_收盘!$A$4:$G$3460,7,0),"")</f>
        <v/>
      </c>
      <c r="H466">
        <f>IFERROR(VLOOKUP($A466,原始数据_利率互换_FR007_1年!$A$6:$C$4395,2,0),"")</f>
        <v>1.34</v>
      </c>
      <c r="I466">
        <f>IFERROR(VLOOKUP($A466,原始数据_利率互换_FR007_1年!$A$6:$C$4395,3,0),"")</f>
        <v>2.46</v>
      </c>
    </row>
    <row r="467" spans="1:9">
      <c r="A467" s="6">
        <v>39960</v>
      </c>
      <c r="B467" t="str">
        <f>IFERROR(VLOOKUP($A467,原始数据_收盘!$A$4:$G$3460,2,0),"")</f>
        <v/>
      </c>
      <c r="C467" t="str">
        <f>IFERROR(VLOOKUP($A467,原始数据_收盘!$A$4:$G$3460,3,0),"")</f>
        <v/>
      </c>
      <c r="D467" t="str">
        <f>IFERROR(VLOOKUP($A467,原始数据_收盘!$A$4:$G$3460,4,0),"")</f>
        <v/>
      </c>
      <c r="E467" t="str">
        <f>IFERROR(VLOOKUP($A467,原始数据_收盘!$A$4:$G$3460,5,0),"")</f>
        <v/>
      </c>
      <c r="F467" t="str">
        <f>IFERROR(VLOOKUP($A467,原始数据_收盘!$A$4:$G$3460,6,0),"")</f>
        <v/>
      </c>
      <c r="G467" t="str">
        <f>IFERROR(VLOOKUP($A467,原始数据_收盘!$A$4:$G$3460,7,0),"")</f>
        <v/>
      </c>
      <c r="H467" t="str">
        <f>IFERROR(VLOOKUP($A467,原始数据_利率互换_FR007_1年!$A$6:$C$4395,2,0),"")</f>
        <v/>
      </c>
      <c r="I467" t="str">
        <f>IFERROR(VLOOKUP($A467,原始数据_利率互换_FR007_1年!$A$6:$C$4395,3,0),"")</f>
        <v/>
      </c>
    </row>
    <row r="468" spans="1:9">
      <c r="A468" s="6">
        <v>39961</v>
      </c>
      <c r="B468" t="str">
        <f>IFERROR(VLOOKUP($A468,原始数据_收盘!$A$4:$G$3460,2,0),"")</f>
        <v/>
      </c>
      <c r="C468" t="str">
        <f>IFERROR(VLOOKUP($A468,原始数据_收盘!$A$4:$G$3460,3,0),"")</f>
        <v/>
      </c>
      <c r="D468" t="str">
        <f>IFERROR(VLOOKUP($A468,原始数据_收盘!$A$4:$G$3460,4,0),"")</f>
        <v/>
      </c>
      <c r="E468" t="str">
        <f>IFERROR(VLOOKUP($A468,原始数据_收盘!$A$4:$G$3460,5,0),"")</f>
        <v/>
      </c>
      <c r="F468" t="str">
        <f>IFERROR(VLOOKUP($A468,原始数据_收盘!$A$4:$G$3460,6,0),"")</f>
        <v/>
      </c>
      <c r="G468" t="str">
        <f>IFERROR(VLOOKUP($A468,原始数据_收盘!$A$4:$G$3460,7,0),"")</f>
        <v/>
      </c>
      <c r="H468" t="str">
        <f>IFERROR(VLOOKUP($A468,原始数据_利率互换_FR007_1年!$A$6:$C$4395,2,0),"")</f>
        <v/>
      </c>
      <c r="I468" t="str">
        <f>IFERROR(VLOOKUP($A468,原始数据_利率互换_FR007_1年!$A$6:$C$4395,3,0),"")</f>
        <v/>
      </c>
    </row>
    <row r="469" spans="1:9">
      <c r="A469" s="6">
        <v>39962</v>
      </c>
      <c r="B469" t="str">
        <f>IFERROR(VLOOKUP($A469,原始数据_收盘!$A$4:$G$3460,2,0),"")</f>
        <v/>
      </c>
      <c r="C469" t="str">
        <f>IFERROR(VLOOKUP($A469,原始数据_收盘!$A$4:$G$3460,3,0),"")</f>
        <v/>
      </c>
      <c r="D469" t="str">
        <f>IFERROR(VLOOKUP($A469,原始数据_收盘!$A$4:$G$3460,4,0),"")</f>
        <v/>
      </c>
      <c r="E469" t="str">
        <f>IFERROR(VLOOKUP($A469,原始数据_收盘!$A$4:$G$3460,5,0),"")</f>
        <v/>
      </c>
      <c r="F469" t="str">
        <f>IFERROR(VLOOKUP($A469,原始数据_收盘!$A$4:$G$3460,6,0),"")</f>
        <v/>
      </c>
      <c r="G469" t="str">
        <f>IFERROR(VLOOKUP($A469,原始数据_收盘!$A$4:$G$3460,7,0),"")</f>
        <v/>
      </c>
      <c r="H469" t="str">
        <f>IFERROR(VLOOKUP($A469,原始数据_利率互换_FR007_1年!$A$6:$C$4395,2,0),"")</f>
        <v/>
      </c>
      <c r="I469" t="str">
        <f>IFERROR(VLOOKUP($A469,原始数据_利率互换_FR007_1年!$A$6:$C$4395,3,0),"")</f>
        <v/>
      </c>
    </row>
    <row r="470" spans="1:9">
      <c r="A470" s="6">
        <v>39963</v>
      </c>
      <c r="B470" t="str">
        <f>IFERROR(VLOOKUP($A470,原始数据_收盘!$A$4:$G$3460,2,0),"")</f>
        <v/>
      </c>
      <c r="C470" t="str">
        <f>IFERROR(VLOOKUP($A470,原始数据_收盘!$A$4:$G$3460,3,0),"")</f>
        <v/>
      </c>
      <c r="D470" t="str">
        <f>IFERROR(VLOOKUP($A470,原始数据_收盘!$A$4:$G$3460,4,0),"")</f>
        <v/>
      </c>
      <c r="E470" t="str">
        <f>IFERROR(VLOOKUP($A470,原始数据_收盘!$A$4:$G$3460,5,0),"")</f>
        <v/>
      </c>
      <c r="F470" t="str">
        <f>IFERROR(VLOOKUP($A470,原始数据_收盘!$A$4:$G$3460,6,0),"")</f>
        <v/>
      </c>
      <c r="G470" t="str">
        <f>IFERROR(VLOOKUP($A470,原始数据_收盘!$A$4:$G$3460,7,0),"")</f>
        <v/>
      </c>
      <c r="H470" t="str">
        <f>IFERROR(VLOOKUP($A470,原始数据_利率互换_FR007_1年!$A$6:$C$4395,2,0),"")</f>
        <v/>
      </c>
      <c r="I470" t="str">
        <f>IFERROR(VLOOKUP($A470,原始数据_利率互换_FR007_1年!$A$6:$C$4395,3,0),"")</f>
        <v/>
      </c>
    </row>
    <row r="471" spans="1:9">
      <c r="A471" s="6">
        <v>39964</v>
      </c>
      <c r="B471" t="str">
        <f>IFERROR(VLOOKUP($A471,原始数据_收盘!$A$4:$G$3460,2,0),"")</f>
        <v/>
      </c>
      <c r="C471" t="str">
        <f>IFERROR(VLOOKUP($A471,原始数据_收盘!$A$4:$G$3460,3,0),"")</f>
        <v/>
      </c>
      <c r="D471" t="str">
        <f>IFERROR(VLOOKUP($A471,原始数据_收盘!$A$4:$G$3460,4,0),"")</f>
        <v/>
      </c>
      <c r="E471" t="str">
        <f>IFERROR(VLOOKUP($A471,原始数据_收盘!$A$4:$G$3460,5,0),"")</f>
        <v/>
      </c>
      <c r="F471" t="str">
        <f>IFERROR(VLOOKUP($A471,原始数据_收盘!$A$4:$G$3460,6,0),"")</f>
        <v/>
      </c>
      <c r="G471" t="str">
        <f>IFERROR(VLOOKUP($A471,原始数据_收盘!$A$4:$G$3460,7,0),"")</f>
        <v/>
      </c>
      <c r="H471" t="str">
        <f>IFERROR(VLOOKUP($A471,原始数据_利率互换_FR007_1年!$A$6:$C$4395,2,0),"")</f>
        <v/>
      </c>
      <c r="I471" t="str">
        <f>IFERROR(VLOOKUP($A471,原始数据_利率互换_FR007_1年!$A$6:$C$4395,3,0),"")</f>
        <v/>
      </c>
    </row>
    <row r="472" spans="1:9">
      <c r="A472" s="6">
        <v>39965</v>
      </c>
      <c r="B472" t="str">
        <f>IFERROR(VLOOKUP($A472,原始数据_收盘!$A$4:$G$3460,2,0),"")</f>
        <v/>
      </c>
      <c r="C472" t="str">
        <f>IFERROR(VLOOKUP($A472,原始数据_收盘!$A$4:$G$3460,3,0),"")</f>
        <v/>
      </c>
      <c r="D472" t="str">
        <f>IFERROR(VLOOKUP($A472,原始数据_收盘!$A$4:$G$3460,4,0),"")</f>
        <v/>
      </c>
      <c r="E472" t="str">
        <f>IFERROR(VLOOKUP($A472,原始数据_收盘!$A$4:$G$3460,5,0),"")</f>
        <v/>
      </c>
      <c r="F472" t="str">
        <f>IFERROR(VLOOKUP($A472,原始数据_收盘!$A$4:$G$3460,6,0),"")</f>
        <v/>
      </c>
      <c r="G472" t="str">
        <f>IFERROR(VLOOKUP($A472,原始数据_收盘!$A$4:$G$3460,7,0),"")</f>
        <v/>
      </c>
      <c r="H472">
        <f>IFERROR(VLOOKUP($A472,原始数据_利率互换_FR007_1年!$A$6:$C$4395,2,0),"")</f>
        <v>1.34</v>
      </c>
      <c r="I472">
        <f>IFERROR(VLOOKUP($A472,原始数据_利率互换_FR007_1年!$A$6:$C$4395,3,0),"")</f>
        <v>0</v>
      </c>
    </row>
    <row r="473" spans="1:9">
      <c r="A473" s="6">
        <v>39966</v>
      </c>
      <c r="B473" t="str">
        <f>IFERROR(VLOOKUP($A473,原始数据_收盘!$A$4:$G$3460,2,0),"")</f>
        <v/>
      </c>
      <c r="C473" t="str">
        <f>IFERROR(VLOOKUP($A473,原始数据_收盘!$A$4:$G$3460,3,0),"")</f>
        <v/>
      </c>
      <c r="D473" t="str">
        <f>IFERROR(VLOOKUP($A473,原始数据_收盘!$A$4:$G$3460,4,0),"")</f>
        <v/>
      </c>
      <c r="E473" t="str">
        <f>IFERROR(VLOOKUP($A473,原始数据_收盘!$A$4:$G$3460,5,0),"")</f>
        <v/>
      </c>
      <c r="F473" t="str">
        <f>IFERROR(VLOOKUP($A473,原始数据_收盘!$A$4:$G$3460,6,0),"")</f>
        <v/>
      </c>
      <c r="G473" t="str">
        <f>IFERROR(VLOOKUP($A473,原始数据_收盘!$A$4:$G$3460,7,0),"")</f>
        <v/>
      </c>
      <c r="H473">
        <f>IFERROR(VLOOKUP($A473,原始数据_利率互换_FR007_1年!$A$6:$C$4395,2,0),"")</f>
        <v>1.38</v>
      </c>
      <c r="I473">
        <f>IFERROR(VLOOKUP($A473,原始数据_利率互换_FR007_1年!$A$6:$C$4395,3,0),"")</f>
        <v>2.53</v>
      </c>
    </row>
    <row r="474" spans="1:9">
      <c r="A474" s="6">
        <v>39967</v>
      </c>
      <c r="B474" t="str">
        <f>IFERROR(VLOOKUP($A474,原始数据_收盘!$A$4:$G$3460,2,0),"")</f>
        <v/>
      </c>
      <c r="C474" t="str">
        <f>IFERROR(VLOOKUP($A474,原始数据_收盘!$A$4:$G$3460,3,0),"")</f>
        <v/>
      </c>
      <c r="D474" t="str">
        <f>IFERROR(VLOOKUP($A474,原始数据_收盘!$A$4:$G$3460,4,0),"")</f>
        <v/>
      </c>
      <c r="E474" t="str">
        <f>IFERROR(VLOOKUP($A474,原始数据_收盘!$A$4:$G$3460,5,0),"")</f>
        <v/>
      </c>
      <c r="F474" t="str">
        <f>IFERROR(VLOOKUP($A474,原始数据_收盘!$A$4:$G$3460,6,0),"")</f>
        <v/>
      </c>
      <c r="G474" t="str">
        <f>IFERROR(VLOOKUP($A474,原始数据_收盘!$A$4:$G$3460,7,0),"")</f>
        <v/>
      </c>
      <c r="H474">
        <f>IFERROR(VLOOKUP($A474,原始数据_利率互换_FR007_1年!$A$6:$C$4395,2,0),"")</f>
        <v>0</v>
      </c>
      <c r="I474">
        <f>IFERROR(VLOOKUP($A474,原始数据_利率互换_FR007_1年!$A$6:$C$4395,3,0),"")</f>
        <v>2.56</v>
      </c>
    </row>
    <row r="475" spans="1:9">
      <c r="A475" s="6">
        <v>39968</v>
      </c>
      <c r="B475" t="str">
        <f>IFERROR(VLOOKUP($A475,原始数据_收盘!$A$4:$G$3460,2,0),"")</f>
        <v/>
      </c>
      <c r="C475" t="str">
        <f>IFERROR(VLOOKUP($A475,原始数据_收盘!$A$4:$G$3460,3,0),"")</f>
        <v/>
      </c>
      <c r="D475" t="str">
        <f>IFERROR(VLOOKUP($A475,原始数据_收盘!$A$4:$G$3460,4,0),"")</f>
        <v/>
      </c>
      <c r="E475" t="str">
        <f>IFERROR(VLOOKUP($A475,原始数据_收盘!$A$4:$G$3460,5,0),"")</f>
        <v/>
      </c>
      <c r="F475" t="str">
        <f>IFERROR(VLOOKUP($A475,原始数据_收盘!$A$4:$G$3460,6,0),"")</f>
        <v/>
      </c>
      <c r="G475" t="str">
        <f>IFERROR(VLOOKUP($A475,原始数据_收盘!$A$4:$G$3460,7,0),"")</f>
        <v/>
      </c>
      <c r="H475" t="str">
        <f>IFERROR(VLOOKUP($A475,原始数据_利率互换_FR007_1年!$A$6:$C$4395,2,0),"")</f>
        <v/>
      </c>
      <c r="I475" t="str">
        <f>IFERROR(VLOOKUP($A475,原始数据_利率互换_FR007_1年!$A$6:$C$4395,3,0),"")</f>
        <v/>
      </c>
    </row>
    <row r="476" spans="1:9">
      <c r="A476" s="6">
        <v>39969</v>
      </c>
      <c r="B476" t="str">
        <f>IFERROR(VLOOKUP($A476,原始数据_收盘!$A$4:$G$3460,2,0),"")</f>
        <v/>
      </c>
      <c r="C476" t="str">
        <f>IFERROR(VLOOKUP($A476,原始数据_收盘!$A$4:$G$3460,3,0),"")</f>
        <v/>
      </c>
      <c r="D476" t="str">
        <f>IFERROR(VLOOKUP($A476,原始数据_收盘!$A$4:$G$3460,4,0),"")</f>
        <v/>
      </c>
      <c r="E476" t="str">
        <f>IFERROR(VLOOKUP($A476,原始数据_收盘!$A$4:$G$3460,5,0),"")</f>
        <v/>
      </c>
      <c r="F476" t="str">
        <f>IFERROR(VLOOKUP($A476,原始数据_收盘!$A$4:$G$3460,6,0),"")</f>
        <v/>
      </c>
      <c r="G476" t="str">
        <f>IFERROR(VLOOKUP($A476,原始数据_收盘!$A$4:$G$3460,7,0),"")</f>
        <v/>
      </c>
      <c r="H476">
        <f>IFERROR(VLOOKUP($A476,原始数据_利率互换_FR007_1年!$A$6:$C$4395,2,0),"")</f>
        <v>0</v>
      </c>
      <c r="I476">
        <f>IFERROR(VLOOKUP($A476,原始数据_利率互换_FR007_1年!$A$6:$C$4395,3,0),"")</f>
        <v>2.51</v>
      </c>
    </row>
    <row r="477" spans="1:9">
      <c r="A477" s="6">
        <v>39970</v>
      </c>
      <c r="B477" t="str">
        <f>IFERROR(VLOOKUP($A477,原始数据_收盘!$A$4:$G$3460,2,0),"")</f>
        <v/>
      </c>
      <c r="C477" t="str">
        <f>IFERROR(VLOOKUP($A477,原始数据_收盘!$A$4:$G$3460,3,0),"")</f>
        <v/>
      </c>
      <c r="D477" t="str">
        <f>IFERROR(VLOOKUP($A477,原始数据_收盘!$A$4:$G$3460,4,0),"")</f>
        <v/>
      </c>
      <c r="E477" t="str">
        <f>IFERROR(VLOOKUP($A477,原始数据_收盘!$A$4:$G$3460,5,0),"")</f>
        <v/>
      </c>
      <c r="F477" t="str">
        <f>IFERROR(VLOOKUP($A477,原始数据_收盘!$A$4:$G$3460,6,0),"")</f>
        <v/>
      </c>
      <c r="G477" t="str">
        <f>IFERROR(VLOOKUP($A477,原始数据_收盘!$A$4:$G$3460,7,0),"")</f>
        <v/>
      </c>
      <c r="H477" t="str">
        <f>IFERROR(VLOOKUP($A477,原始数据_利率互换_FR007_1年!$A$6:$C$4395,2,0),"")</f>
        <v/>
      </c>
      <c r="I477" t="str">
        <f>IFERROR(VLOOKUP($A477,原始数据_利率互换_FR007_1年!$A$6:$C$4395,3,0),"")</f>
        <v/>
      </c>
    </row>
    <row r="478" spans="1:9">
      <c r="A478" s="6">
        <v>39971</v>
      </c>
      <c r="B478" t="str">
        <f>IFERROR(VLOOKUP($A478,原始数据_收盘!$A$4:$G$3460,2,0),"")</f>
        <v/>
      </c>
      <c r="C478" t="str">
        <f>IFERROR(VLOOKUP($A478,原始数据_收盘!$A$4:$G$3460,3,0),"")</f>
        <v/>
      </c>
      <c r="D478" t="str">
        <f>IFERROR(VLOOKUP($A478,原始数据_收盘!$A$4:$G$3460,4,0),"")</f>
        <v/>
      </c>
      <c r="E478" t="str">
        <f>IFERROR(VLOOKUP($A478,原始数据_收盘!$A$4:$G$3460,5,0),"")</f>
        <v/>
      </c>
      <c r="F478" t="str">
        <f>IFERROR(VLOOKUP($A478,原始数据_收盘!$A$4:$G$3460,6,0),"")</f>
        <v/>
      </c>
      <c r="G478" t="str">
        <f>IFERROR(VLOOKUP($A478,原始数据_收盘!$A$4:$G$3460,7,0),"")</f>
        <v/>
      </c>
      <c r="H478" t="str">
        <f>IFERROR(VLOOKUP($A478,原始数据_利率互换_FR007_1年!$A$6:$C$4395,2,0),"")</f>
        <v/>
      </c>
      <c r="I478" t="str">
        <f>IFERROR(VLOOKUP($A478,原始数据_利率互换_FR007_1年!$A$6:$C$4395,3,0),"")</f>
        <v/>
      </c>
    </row>
    <row r="479" spans="1:9">
      <c r="A479" s="6">
        <v>39972</v>
      </c>
      <c r="B479" t="str">
        <f>IFERROR(VLOOKUP($A479,原始数据_收盘!$A$4:$G$3460,2,0),"")</f>
        <v/>
      </c>
      <c r="C479" t="str">
        <f>IFERROR(VLOOKUP($A479,原始数据_收盘!$A$4:$G$3460,3,0),"")</f>
        <v/>
      </c>
      <c r="D479" t="str">
        <f>IFERROR(VLOOKUP($A479,原始数据_收盘!$A$4:$G$3460,4,0),"")</f>
        <v/>
      </c>
      <c r="E479" t="str">
        <f>IFERROR(VLOOKUP($A479,原始数据_收盘!$A$4:$G$3460,5,0),"")</f>
        <v/>
      </c>
      <c r="F479" t="str">
        <f>IFERROR(VLOOKUP($A479,原始数据_收盘!$A$4:$G$3460,6,0),"")</f>
        <v/>
      </c>
      <c r="G479" t="str">
        <f>IFERROR(VLOOKUP($A479,原始数据_收盘!$A$4:$G$3460,7,0),"")</f>
        <v/>
      </c>
      <c r="H479">
        <f>IFERROR(VLOOKUP($A479,原始数据_利率互换_FR007_1年!$A$6:$C$4395,2,0),"")</f>
        <v>0</v>
      </c>
      <c r="I479">
        <f>IFERROR(VLOOKUP($A479,原始数据_利率互换_FR007_1年!$A$6:$C$4395,3,0),"")</f>
        <v>2.564</v>
      </c>
    </row>
    <row r="480" spans="1:9">
      <c r="A480" s="6">
        <v>39973</v>
      </c>
      <c r="B480" t="str">
        <f>IFERROR(VLOOKUP($A480,原始数据_收盘!$A$4:$G$3460,2,0),"")</f>
        <v/>
      </c>
      <c r="C480" t="str">
        <f>IFERROR(VLOOKUP($A480,原始数据_收盘!$A$4:$G$3460,3,0),"")</f>
        <v/>
      </c>
      <c r="D480" t="str">
        <f>IFERROR(VLOOKUP($A480,原始数据_收盘!$A$4:$G$3460,4,0),"")</f>
        <v/>
      </c>
      <c r="E480" t="str">
        <f>IFERROR(VLOOKUP($A480,原始数据_收盘!$A$4:$G$3460,5,0),"")</f>
        <v/>
      </c>
      <c r="F480" t="str">
        <f>IFERROR(VLOOKUP($A480,原始数据_收盘!$A$4:$G$3460,6,0),"")</f>
        <v/>
      </c>
      <c r="G480" t="str">
        <f>IFERROR(VLOOKUP($A480,原始数据_收盘!$A$4:$G$3460,7,0),"")</f>
        <v/>
      </c>
      <c r="H480">
        <f>IFERROR(VLOOKUP($A480,原始数据_利率互换_FR007_1年!$A$6:$C$4395,2,0),"")</f>
        <v>0</v>
      </c>
      <c r="I480">
        <f>IFERROR(VLOOKUP($A480,原始数据_利率互换_FR007_1年!$A$6:$C$4395,3,0),"")</f>
        <v>2.585</v>
      </c>
    </row>
    <row r="481" spans="1:9">
      <c r="A481" s="6">
        <v>39974</v>
      </c>
      <c r="B481" t="str">
        <f>IFERROR(VLOOKUP($A481,原始数据_收盘!$A$4:$G$3460,2,0),"")</f>
        <v/>
      </c>
      <c r="C481" t="str">
        <f>IFERROR(VLOOKUP($A481,原始数据_收盘!$A$4:$G$3460,3,0),"")</f>
        <v/>
      </c>
      <c r="D481" t="str">
        <f>IFERROR(VLOOKUP($A481,原始数据_收盘!$A$4:$G$3460,4,0),"")</f>
        <v/>
      </c>
      <c r="E481" t="str">
        <f>IFERROR(VLOOKUP($A481,原始数据_收盘!$A$4:$G$3460,5,0),"")</f>
        <v/>
      </c>
      <c r="F481" t="str">
        <f>IFERROR(VLOOKUP($A481,原始数据_收盘!$A$4:$G$3460,6,0),"")</f>
        <v/>
      </c>
      <c r="G481" t="str">
        <f>IFERROR(VLOOKUP($A481,原始数据_收盘!$A$4:$G$3460,7,0),"")</f>
        <v/>
      </c>
      <c r="H481">
        <f>IFERROR(VLOOKUP($A481,原始数据_利率互换_FR007_1年!$A$6:$C$4395,2,0),"")</f>
        <v>1.43</v>
      </c>
      <c r="I481">
        <f>IFERROR(VLOOKUP($A481,原始数据_利率互换_FR007_1年!$A$6:$C$4395,3,0),"")</f>
        <v>2.686</v>
      </c>
    </row>
    <row r="482" spans="1:9">
      <c r="A482" s="6">
        <v>39975</v>
      </c>
      <c r="B482" t="str">
        <f>IFERROR(VLOOKUP($A482,原始数据_收盘!$A$4:$G$3460,2,0),"")</f>
        <v/>
      </c>
      <c r="C482" t="str">
        <f>IFERROR(VLOOKUP($A482,原始数据_收盘!$A$4:$G$3460,3,0),"")</f>
        <v/>
      </c>
      <c r="D482" t="str">
        <f>IFERROR(VLOOKUP($A482,原始数据_收盘!$A$4:$G$3460,4,0),"")</f>
        <v/>
      </c>
      <c r="E482" t="str">
        <f>IFERROR(VLOOKUP($A482,原始数据_收盘!$A$4:$G$3460,5,0),"")</f>
        <v/>
      </c>
      <c r="F482" t="str">
        <f>IFERROR(VLOOKUP($A482,原始数据_收盘!$A$4:$G$3460,6,0),"")</f>
        <v/>
      </c>
      <c r="G482" t="str">
        <f>IFERROR(VLOOKUP($A482,原始数据_收盘!$A$4:$G$3460,7,0),"")</f>
        <v/>
      </c>
      <c r="H482">
        <f>IFERROR(VLOOKUP($A482,原始数据_利率互换_FR007_1年!$A$6:$C$4395,2,0),"")</f>
        <v>1.49</v>
      </c>
      <c r="I482">
        <f>IFERROR(VLOOKUP($A482,原始数据_利率互换_FR007_1年!$A$6:$C$4395,3,0),"")</f>
        <v>2.72</v>
      </c>
    </row>
    <row r="483" spans="1:9">
      <c r="A483" s="6">
        <v>39976</v>
      </c>
      <c r="B483" t="str">
        <f>IFERROR(VLOOKUP($A483,原始数据_收盘!$A$4:$G$3460,2,0),"")</f>
        <v/>
      </c>
      <c r="C483" t="str">
        <f>IFERROR(VLOOKUP($A483,原始数据_收盘!$A$4:$G$3460,3,0),"")</f>
        <v/>
      </c>
      <c r="D483" t="str">
        <f>IFERROR(VLOOKUP($A483,原始数据_收盘!$A$4:$G$3460,4,0),"")</f>
        <v/>
      </c>
      <c r="E483" t="str">
        <f>IFERROR(VLOOKUP($A483,原始数据_收盘!$A$4:$G$3460,5,0),"")</f>
        <v/>
      </c>
      <c r="F483" t="str">
        <f>IFERROR(VLOOKUP($A483,原始数据_收盘!$A$4:$G$3460,6,0),"")</f>
        <v/>
      </c>
      <c r="G483" t="str">
        <f>IFERROR(VLOOKUP($A483,原始数据_收盘!$A$4:$G$3460,7,0),"")</f>
        <v/>
      </c>
      <c r="H483">
        <f>IFERROR(VLOOKUP($A483,原始数据_利率互换_FR007_1年!$A$6:$C$4395,2,0),"")</f>
        <v>1.43</v>
      </c>
      <c r="I483">
        <f>IFERROR(VLOOKUP($A483,原始数据_利率互换_FR007_1年!$A$6:$C$4395,3,0),"")</f>
        <v>0</v>
      </c>
    </row>
    <row r="484" spans="1:9">
      <c r="A484" s="6">
        <v>39977</v>
      </c>
      <c r="B484" t="str">
        <f>IFERROR(VLOOKUP($A484,原始数据_收盘!$A$4:$G$3460,2,0),"")</f>
        <v/>
      </c>
      <c r="C484" t="str">
        <f>IFERROR(VLOOKUP($A484,原始数据_收盘!$A$4:$G$3460,3,0),"")</f>
        <v/>
      </c>
      <c r="D484" t="str">
        <f>IFERROR(VLOOKUP($A484,原始数据_收盘!$A$4:$G$3460,4,0),"")</f>
        <v/>
      </c>
      <c r="E484" t="str">
        <f>IFERROR(VLOOKUP($A484,原始数据_收盘!$A$4:$G$3460,5,0),"")</f>
        <v/>
      </c>
      <c r="F484" t="str">
        <f>IFERROR(VLOOKUP($A484,原始数据_收盘!$A$4:$G$3460,6,0),"")</f>
        <v/>
      </c>
      <c r="G484" t="str">
        <f>IFERROR(VLOOKUP($A484,原始数据_收盘!$A$4:$G$3460,7,0),"")</f>
        <v/>
      </c>
      <c r="H484" t="str">
        <f>IFERROR(VLOOKUP($A484,原始数据_利率互换_FR007_1年!$A$6:$C$4395,2,0),"")</f>
        <v/>
      </c>
      <c r="I484" t="str">
        <f>IFERROR(VLOOKUP($A484,原始数据_利率互换_FR007_1年!$A$6:$C$4395,3,0),"")</f>
        <v/>
      </c>
    </row>
    <row r="485" spans="1:9">
      <c r="A485" s="6">
        <v>39978</v>
      </c>
      <c r="B485" t="str">
        <f>IFERROR(VLOOKUP($A485,原始数据_收盘!$A$4:$G$3460,2,0),"")</f>
        <v/>
      </c>
      <c r="C485" t="str">
        <f>IFERROR(VLOOKUP($A485,原始数据_收盘!$A$4:$G$3460,3,0),"")</f>
        <v/>
      </c>
      <c r="D485" t="str">
        <f>IFERROR(VLOOKUP($A485,原始数据_收盘!$A$4:$G$3460,4,0),"")</f>
        <v/>
      </c>
      <c r="E485" t="str">
        <f>IFERROR(VLOOKUP($A485,原始数据_收盘!$A$4:$G$3460,5,0),"")</f>
        <v/>
      </c>
      <c r="F485" t="str">
        <f>IFERROR(VLOOKUP($A485,原始数据_收盘!$A$4:$G$3460,6,0),"")</f>
        <v/>
      </c>
      <c r="G485" t="str">
        <f>IFERROR(VLOOKUP($A485,原始数据_收盘!$A$4:$G$3460,7,0),"")</f>
        <v/>
      </c>
      <c r="H485" t="str">
        <f>IFERROR(VLOOKUP($A485,原始数据_利率互换_FR007_1年!$A$6:$C$4395,2,0),"")</f>
        <v/>
      </c>
      <c r="I485" t="str">
        <f>IFERROR(VLOOKUP($A485,原始数据_利率互换_FR007_1年!$A$6:$C$4395,3,0),"")</f>
        <v/>
      </c>
    </row>
    <row r="486" spans="1:9">
      <c r="A486" s="6">
        <v>39979</v>
      </c>
      <c r="B486" t="str">
        <f>IFERROR(VLOOKUP($A486,原始数据_收盘!$A$4:$G$3460,2,0),"")</f>
        <v/>
      </c>
      <c r="C486" t="str">
        <f>IFERROR(VLOOKUP($A486,原始数据_收盘!$A$4:$G$3460,3,0),"")</f>
        <v/>
      </c>
      <c r="D486" t="str">
        <f>IFERROR(VLOOKUP($A486,原始数据_收盘!$A$4:$G$3460,4,0),"")</f>
        <v/>
      </c>
      <c r="E486" t="str">
        <f>IFERROR(VLOOKUP($A486,原始数据_收盘!$A$4:$G$3460,5,0),"")</f>
        <v/>
      </c>
      <c r="F486" t="str">
        <f>IFERROR(VLOOKUP($A486,原始数据_收盘!$A$4:$G$3460,6,0),"")</f>
        <v/>
      </c>
      <c r="G486" t="str">
        <f>IFERROR(VLOOKUP($A486,原始数据_收盘!$A$4:$G$3460,7,0),"")</f>
        <v/>
      </c>
      <c r="H486">
        <f>IFERROR(VLOOKUP($A486,原始数据_利率互换_FR007_1年!$A$6:$C$4395,2,0),"")</f>
        <v>0</v>
      </c>
      <c r="I486">
        <f>IFERROR(VLOOKUP($A486,原始数据_利率互换_FR007_1年!$A$6:$C$4395,3,0),"")</f>
        <v>2.69</v>
      </c>
    </row>
    <row r="487" spans="1:9">
      <c r="A487" s="6">
        <v>39980</v>
      </c>
      <c r="B487" t="str">
        <f>IFERROR(VLOOKUP($A487,原始数据_收盘!$A$4:$G$3460,2,0),"")</f>
        <v/>
      </c>
      <c r="C487" t="str">
        <f>IFERROR(VLOOKUP($A487,原始数据_收盘!$A$4:$G$3460,3,0),"")</f>
        <v/>
      </c>
      <c r="D487" t="str">
        <f>IFERROR(VLOOKUP($A487,原始数据_收盘!$A$4:$G$3460,4,0),"")</f>
        <v/>
      </c>
      <c r="E487" t="str">
        <f>IFERROR(VLOOKUP($A487,原始数据_收盘!$A$4:$G$3460,5,0),"")</f>
        <v/>
      </c>
      <c r="F487" t="str">
        <f>IFERROR(VLOOKUP($A487,原始数据_收盘!$A$4:$G$3460,6,0),"")</f>
        <v/>
      </c>
      <c r="G487" t="str">
        <f>IFERROR(VLOOKUP($A487,原始数据_收盘!$A$4:$G$3460,7,0),"")</f>
        <v/>
      </c>
      <c r="H487">
        <f>IFERROR(VLOOKUP($A487,原始数据_利率互换_FR007_1年!$A$6:$C$4395,2,0),"")</f>
        <v>1.42</v>
      </c>
      <c r="I487">
        <f>IFERROR(VLOOKUP($A487,原始数据_利率互换_FR007_1年!$A$6:$C$4395,3,0),"")</f>
        <v>2.66</v>
      </c>
    </row>
    <row r="488" spans="1:9">
      <c r="A488" s="6">
        <v>39981</v>
      </c>
      <c r="B488" t="str">
        <f>IFERROR(VLOOKUP($A488,原始数据_收盘!$A$4:$G$3460,2,0),"")</f>
        <v/>
      </c>
      <c r="C488" t="str">
        <f>IFERROR(VLOOKUP($A488,原始数据_收盘!$A$4:$G$3460,3,0),"")</f>
        <v/>
      </c>
      <c r="D488" t="str">
        <f>IFERROR(VLOOKUP($A488,原始数据_收盘!$A$4:$G$3460,4,0),"")</f>
        <v/>
      </c>
      <c r="E488" t="str">
        <f>IFERROR(VLOOKUP($A488,原始数据_收盘!$A$4:$G$3460,5,0),"")</f>
        <v/>
      </c>
      <c r="F488" t="str">
        <f>IFERROR(VLOOKUP($A488,原始数据_收盘!$A$4:$G$3460,6,0),"")</f>
        <v/>
      </c>
      <c r="G488" t="str">
        <f>IFERROR(VLOOKUP($A488,原始数据_收盘!$A$4:$G$3460,7,0),"")</f>
        <v/>
      </c>
      <c r="H488" t="str">
        <f>IFERROR(VLOOKUP($A488,原始数据_利率互换_FR007_1年!$A$6:$C$4395,2,0),"")</f>
        <v/>
      </c>
      <c r="I488" t="str">
        <f>IFERROR(VLOOKUP($A488,原始数据_利率互换_FR007_1年!$A$6:$C$4395,3,0),"")</f>
        <v/>
      </c>
    </row>
    <row r="489" spans="1:9">
      <c r="A489" s="6">
        <v>39982</v>
      </c>
      <c r="B489" t="str">
        <f>IFERROR(VLOOKUP($A489,原始数据_收盘!$A$4:$G$3460,2,0),"")</f>
        <v/>
      </c>
      <c r="C489" t="str">
        <f>IFERROR(VLOOKUP($A489,原始数据_收盘!$A$4:$G$3460,3,0),"")</f>
        <v/>
      </c>
      <c r="D489" t="str">
        <f>IFERROR(VLOOKUP($A489,原始数据_收盘!$A$4:$G$3460,4,0),"")</f>
        <v/>
      </c>
      <c r="E489" t="str">
        <f>IFERROR(VLOOKUP($A489,原始数据_收盘!$A$4:$G$3460,5,0),"")</f>
        <v/>
      </c>
      <c r="F489" t="str">
        <f>IFERROR(VLOOKUP($A489,原始数据_收盘!$A$4:$G$3460,6,0),"")</f>
        <v/>
      </c>
      <c r="G489" t="str">
        <f>IFERROR(VLOOKUP($A489,原始数据_收盘!$A$4:$G$3460,7,0),"")</f>
        <v/>
      </c>
      <c r="H489">
        <f>IFERROR(VLOOKUP($A489,原始数据_利率互换_FR007_1年!$A$6:$C$4395,2,0),"")</f>
        <v>1.49</v>
      </c>
      <c r="I489">
        <f>IFERROR(VLOOKUP($A489,原始数据_利率互换_FR007_1年!$A$6:$C$4395,3,0),"")</f>
        <v>0</v>
      </c>
    </row>
    <row r="490" spans="1:9">
      <c r="A490" s="6">
        <v>39983</v>
      </c>
      <c r="B490" t="str">
        <f>IFERROR(VLOOKUP($A490,原始数据_收盘!$A$4:$G$3460,2,0),"")</f>
        <v/>
      </c>
      <c r="C490" t="str">
        <f>IFERROR(VLOOKUP($A490,原始数据_收盘!$A$4:$G$3460,3,0),"")</f>
        <v/>
      </c>
      <c r="D490" t="str">
        <f>IFERROR(VLOOKUP($A490,原始数据_收盘!$A$4:$G$3460,4,0),"")</f>
        <v/>
      </c>
      <c r="E490" t="str">
        <f>IFERROR(VLOOKUP($A490,原始数据_收盘!$A$4:$G$3460,5,0),"")</f>
        <v/>
      </c>
      <c r="F490" t="str">
        <f>IFERROR(VLOOKUP($A490,原始数据_收盘!$A$4:$G$3460,6,0),"")</f>
        <v/>
      </c>
      <c r="G490" t="str">
        <f>IFERROR(VLOOKUP($A490,原始数据_收盘!$A$4:$G$3460,7,0),"")</f>
        <v/>
      </c>
      <c r="H490">
        <f>IFERROR(VLOOKUP($A490,原始数据_利率互换_FR007_1年!$A$6:$C$4395,2,0),"")</f>
        <v>1.545</v>
      </c>
      <c r="I490">
        <f>IFERROR(VLOOKUP($A490,原始数据_利率互换_FR007_1年!$A$6:$C$4395,3,0),"")</f>
        <v>2.81</v>
      </c>
    </row>
    <row r="491" spans="1:9">
      <c r="A491" s="6">
        <v>39984</v>
      </c>
      <c r="B491" t="str">
        <f>IFERROR(VLOOKUP($A491,原始数据_收盘!$A$4:$G$3460,2,0),"")</f>
        <v/>
      </c>
      <c r="C491" t="str">
        <f>IFERROR(VLOOKUP($A491,原始数据_收盘!$A$4:$G$3460,3,0),"")</f>
        <v/>
      </c>
      <c r="D491" t="str">
        <f>IFERROR(VLOOKUP($A491,原始数据_收盘!$A$4:$G$3460,4,0),"")</f>
        <v/>
      </c>
      <c r="E491" t="str">
        <f>IFERROR(VLOOKUP($A491,原始数据_收盘!$A$4:$G$3460,5,0),"")</f>
        <v/>
      </c>
      <c r="F491" t="str">
        <f>IFERROR(VLOOKUP($A491,原始数据_收盘!$A$4:$G$3460,6,0),"")</f>
        <v/>
      </c>
      <c r="G491" t="str">
        <f>IFERROR(VLOOKUP($A491,原始数据_收盘!$A$4:$G$3460,7,0),"")</f>
        <v/>
      </c>
      <c r="H491" t="str">
        <f>IFERROR(VLOOKUP($A491,原始数据_利率互换_FR007_1年!$A$6:$C$4395,2,0),"")</f>
        <v/>
      </c>
      <c r="I491" t="str">
        <f>IFERROR(VLOOKUP($A491,原始数据_利率互换_FR007_1年!$A$6:$C$4395,3,0),"")</f>
        <v/>
      </c>
    </row>
    <row r="492" spans="1:9">
      <c r="A492" s="6">
        <v>39985</v>
      </c>
      <c r="B492" t="str">
        <f>IFERROR(VLOOKUP($A492,原始数据_收盘!$A$4:$G$3460,2,0),"")</f>
        <v/>
      </c>
      <c r="C492" t="str">
        <f>IFERROR(VLOOKUP($A492,原始数据_收盘!$A$4:$G$3460,3,0),"")</f>
        <v/>
      </c>
      <c r="D492" t="str">
        <f>IFERROR(VLOOKUP($A492,原始数据_收盘!$A$4:$G$3460,4,0),"")</f>
        <v/>
      </c>
      <c r="E492" t="str">
        <f>IFERROR(VLOOKUP($A492,原始数据_收盘!$A$4:$G$3460,5,0),"")</f>
        <v/>
      </c>
      <c r="F492" t="str">
        <f>IFERROR(VLOOKUP($A492,原始数据_收盘!$A$4:$G$3460,6,0),"")</f>
        <v/>
      </c>
      <c r="G492" t="str">
        <f>IFERROR(VLOOKUP($A492,原始数据_收盘!$A$4:$G$3460,7,0),"")</f>
        <v/>
      </c>
      <c r="H492" t="str">
        <f>IFERROR(VLOOKUP($A492,原始数据_利率互换_FR007_1年!$A$6:$C$4395,2,0),"")</f>
        <v/>
      </c>
      <c r="I492" t="str">
        <f>IFERROR(VLOOKUP($A492,原始数据_利率互换_FR007_1年!$A$6:$C$4395,3,0),"")</f>
        <v/>
      </c>
    </row>
    <row r="493" spans="1:9">
      <c r="A493" s="6">
        <v>39986</v>
      </c>
      <c r="B493" t="str">
        <f>IFERROR(VLOOKUP($A493,原始数据_收盘!$A$4:$G$3460,2,0),"")</f>
        <v/>
      </c>
      <c r="C493" t="str">
        <f>IFERROR(VLOOKUP($A493,原始数据_收盘!$A$4:$G$3460,3,0),"")</f>
        <v/>
      </c>
      <c r="D493" t="str">
        <f>IFERROR(VLOOKUP($A493,原始数据_收盘!$A$4:$G$3460,4,0),"")</f>
        <v/>
      </c>
      <c r="E493" t="str">
        <f>IFERROR(VLOOKUP($A493,原始数据_收盘!$A$4:$G$3460,5,0),"")</f>
        <v/>
      </c>
      <c r="F493" t="str">
        <f>IFERROR(VLOOKUP($A493,原始数据_收盘!$A$4:$G$3460,6,0),"")</f>
        <v/>
      </c>
      <c r="G493" t="str">
        <f>IFERROR(VLOOKUP($A493,原始数据_收盘!$A$4:$G$3460,7,0),"")</f>
        <v/>
      </c>
      <c r="H493">
        <f>IFERROR(VLOOKUP($A493,原始数据_利率互换_FR007_1年!$A$6:$C$4395,2,0),"")</f>
        <v>1.58</v>
      </c>
      <c r="I493">
        <f>IFERROR(VLOOKUP($A493,原始数据_利率互换_FR007_1年!$A$6:$C$4395,3,0),"")</f>
        <v>0</v>
      </c>
    </row>
    <row r="494" spans="1:9">
      <c r="A494" s="6">
        <v>39987</v>
      </c>
      <c r="B494" t="str">
        <f>IFERROR(VLOOKUP($A494,原始数据_收盘!$A$4:$G$3460,2,0),"")</f>
        <v/>
      </c>
      <c r="C494" t="str">
        <f>IFERROR(VLOOKUP($A494,原始数据_收盘!$A$4:$G$3460,3,0),"")</f>
        <v/>
      </c>
      <c r="D494" t="str">
        <f>IFERROR(VLOOKUP($A494,原始数据_收盘!$A$4:$G$3460,4,0),"")</f>
        <v/>
      </c>
      <c r="E494" t="str">
        <f>IFERROR(VLOOKUP($A494,原始数据_收盘!$A$4:$G$3460,5,0),"")</f>
        <v/>
      </c>
      <c r="F494" t="str">
        <f>IFERROR(VLOOKUP($A494,原始数据_收盘!$A$4:$G$3460,6,0),"")</f>
        <v/>
      </c>
      <c r="G494" t="str">
        <f>IFERROR(VLOOKUP($A494,原始数据_收盘!$A$4:$G$3460,7,0),"")</f>
        <v/>
      </c>
      <c r="H494">
        <f>IFERROR(VLOOKUP($A494,原始数据_利率互换_FR007_1年!$A$6:$C$4395,2,0),"")</f>
        <v>1.53</v>
      </c>
      <c r="I494">
        <f>IFERROR(VLOOKUP($A494,原始数据_利率互换_FR007_1年!$A$6:$C$4395,3,0),"")</f>
        <v>2.76</v>
      </c>
    </row>
    <row r="495" spans="1:9">
      <c r="A495" s="6">
        <v>39988</v>
      </c>
      <c r="B495" t="str">
        <f>IFERROR(VLOOKUP($A495,原始数据_收盘!$A$4:$G$3460,2,0),"")</f>
        <v/>
      </c>
      <c r="C495" t="str">
        <f>IFERROR(VLOOKUP($A495,原始数据_收盘!$A$4:$G$3460,3,0),"")</f>
        <v/>
      </c>
      <c r="D495" t="str">
        <f>IFERROR(VLOOKUP($A495,原始数据_收盘!$A$4:$G$3460,4,0),"")</f>
        <v/>
      </c>
      <c r="E495" t="str">
        <f>IFERROR(VLOOKUP($A495,原始数据_收盘!$A$4:$G$3460,5,0),"")</f>
        <v/>
      </c>
      <c r="F495" t="str">
        <f>IFERROR(VLOOKUP($A495,原始数据_收盘!$A$4:$G$3460,6,0),"")</f>
        <v/>
      </c>
      <c r="G495" t="str">
        <f>IFERROR(VLOOKUP($A495,原始数据_收盘!$A$4:$G$3460,7,0),"")</f>
        <v/>
      </c>
      <c r="H495">
        <f>IFERROR(VLOOKUP($A495,原始数据_利率互换_FR007_1年!$A$6:$C$4395,2,0),"")</f>
        <v>1.56</v>
      </c>
      <c r="I495">
        <f>IFERROR(VLOOKUP($A495,原始数据_利率互换_FR007_1年!$A$6:$C$4395,3,0),"")</f>
        <v>0</v>
      </c>
    </row>
    <row r="496" spans="1:9">
      <c r="A496" s="6">
        <v>39989</v>
      </c>
      <c r="B496" t="str">
        <f>IFERROR(VLOOKUP($A496,原始数据_收盘!$A$4:$G$3460,2,0),"")</f>
        <v/>
      </c>
      <c r="C496" t="str">
        <f>IFERROR(VLOOKUP($A496,原始数据_收盘!$A$4:$G$3460,3,0),"")</f>
        <v/>
      </c>
      <c r="D496" t="str">
        <f>IFERROR(VLOOKUP($A496,原始数据_收盘!$A$4:$G$3460,4,0),"")</f>
        <v/>
      </c>
      <c r="E496" t="str">
        <f>IFERROR(VLOOKUP($A496,原始数据_收盘!$A$4:$G$3460,5,0),"")</f>
        <v/>
      </c>
      <c r="F496" t="str">
        <f>IFERROR(VLOOKUP($A496,原始数据_收盘!$A$4:$G$3460,6,0),"")</f>
        <v/>
      </c>
      <c r="G496" t="str">
        <f>IFERROR(VLOOKUP($A496,原始数据_收盘!$A$4:$G$3460,7,0),"")</f>
        <v/>
      </c>
      <c r="H496">
        <f>IFERROR(VLOOKUP($A496,原始数据_利率互换_FR007_1年!$A$6:$C$4395,2,0),"")</f>
        <v>1.56</v>
      </c>
      <c r="I496">
        <f>IFERROR(VLOOKUP($A496,原始数据_利率互换_FR007_1年!$A$6:$C$4395,3,0),"")</f>
        <v>2.795</v>
      </c>
    </row>
    <row r="497" spans="1:9">
      <c r="A497" s="6">
        <v>39990</v>
      </c>
      <c r="B497" t="str">
        <f>IFERROR(VLOOKUP($A497,原始数据_收盘!$A$4:$G$3460,2,0),"")</f>
        <v/>
      </c>
      <c r="C497" t="str">
        <f>IFERROR(VLOOKUP($A497,原始数据_收盘!$A$4:$G$3460,3,0),"")</f>
        <v/>
      </c>
      <c r="D497" t="str">
        <f>IFERROR(VLOOKUP($A497,原始数据_收盘!$A$4:$G$3460,4,0),"")</f>
        <v/>
      </c>
      <c r="E497" t="str">
        <f>IFERROR(VLOOKUP($A497,原始数据_收盘!$A$4:$G$3460,5,0),"")</f>
        <v/>
      </c>
      <c r="F497" t="str">
        <f>IFERROR(VLOOKUP($A497,原始数据_收盘!$A$4:$G$3460,6,0),"")</f>
        <v/>
      </c>
      <c r="G497" t="str">
        <f>IFERROR(VLOOKUP($A497,原始数据_收盘!$A$4:$G$3460,7,0),"")</f>
        <v/>
      </c>
      <c r="H497">
        <f>IFERROR(VLOOKUP($A497,原始数据_利率互换_FR007_1年!$A$6:$C$4395,2,0),"")</f>
        <v>1.55</v>
      </c>
      <c r="I497">
        <f>IFERROR(VLOOKUP($A497,原始数据_利率互换_FR007_1年!$A$6:$C$4395,3,0),"")</f>
        <v>0</v>
      </c>
    </row>
    <row r="498" spans="1:9">
      <c r="A498" s="6">
        <v>39991</v>
      </c>
      <c r="B498" t="str">
        <f>IFERROR(VLOOKUP($A498,原始数据_收盘!$A$4:$G$3460,2,0),"")</f>
        <v/>
      </c>
      <c r="C498" t="str">
        <f>IFERROR(VLOOKUP($A498,原始数据_收盘!$A$4:$G$3460,3,0),"")</f>
        <v/>
      </c>
      <c r="D498" t="str">
        <f>IFERROR(VLOOKUP($A498,原始数据_收盘!$A$4:$G$3460,4,0),"")</f>
        <v/>
      </c>
      <c r="E498" t="str">
        <f>IFERROR(VLOOKUP($A498,原始数据_收盘!$A$4:$G$3460,5,0),"")</f>
        <v/>
      </c>
      <c r="F498" t="str">
        <f>IFERROR(VLOOKUP($A498,原始数据_收盘!$A$4:$G$3460,6,0),"")</f>
        <v/>
      </c>
      <c r="G498" t="str">
        <f>IFERROR(VLOOKUP($A498,原始数据_收盘!$A$4:$G$3460,7,0),"")</f>
        <v/>
      </c>
      <c r="H498" t="str">
        <f>IFERROR(VLOOKUP($A498,原始数据_利率互换_FR007_1年!$A$6:$C$4395,2,0),"")</f>
        <v/>
      </c>
      <c r="I498" t="str">
        <f>IFERROR(VLOOKUP($A498,原始数据_利率互换_FR007_1年!$A$6:$C$4395,3,0),"")</f>
        <v/>
      </c>
    </row>
    <row r="499" spans="1:9">
      <c r="A499" s="6">
        <v>39992</v>
      </c>
      <c r="B499" t="str">
        <f>IFERROR(VLOOKUP($A499,原始数据_收盘!$A$4:$G$3460,2,0),"")</f>
        <v/>
      </c>
      <c r="C499" t="str">
        <f>IFERROR(VLOOKUP($A499,原始数据_收盘!$A$4:$G$3460,3,0),"")</f>
        <v/>
      </c>
      <c r="D499" t="str">
        <f>IFERROR(VLOOKUP($A499,原始数据_收盘!$A$4:$G$3460,4,0),"")</f>
        <v/>
      </c>
      <c r="E499" t="str">
        <f>IFERROR(VLOOKUP($A499,原始数据_收盘!$A$4:$G$3460,5,0),"")</f>
        <v/>
      </c>
      <c r="F499" t="str">
        <f>IFERROR(VLOOKUP($A499,原始数据_收盘!$A$4:$G$3460,6,0),"")</f>
        <v/>
      </c>
      <c r="G499" t="str">
        <f>IFERROR(VLOOKUP($A499,原始数据_收盘!$A$4:$G$3460,7,0),"")</f>
        <v/>
      </c>
      <c r="H499" t="str">
        <f>IFERROR(VLOOKUP($A499,原始数据_利率互换_FR007_1年!$A$6:$C$4395,2,0),"")</f>
        <v/>
      </c>
      <c r="I499" t="str">
        <f>IFERROR(VLOOKUP($A499,原始数据_利率互换_FR007_1年!$A$6:$C$4395,3,0),"")</f>
        <v/>
      </c>
    </row>
    <row r="500" spans="1:9">
      <c r="A500" s="6">
        <v>39993</v>
      </c>
      <c r="B500" t="str">
        <f>IFERROR(VLOOKUP($A500,原始数据_收盘!$A$4:$G$3460,2,0),"")</f>
        <v/>
      </c>
      <c r="C500" t="str">
        <f>IFERROR(VLOOKUP($A500,原始数据_收盘!$A$4:$G$3460,3,0),"")</f>
        <v/>
      </c>
      <c r="D500" t="str">
        <f>IFERROR(VLOOKUP($A500,原始数据_收盘!$A$4:$G$3460,4,0),"")</f>
        <v/>
      </c>
      <c r="E500" t="str">
        <f>IFERROR(VLOOKUP($A500,原始数据_收盘!$A$4:$G$3460,5,0),"")</f>
        <v/>
      </c>
      <c r="F500" t="str">
        <f>IFERROR(VLOOKUP($A500,原始数据_收盘!$A$4:$G$3460,6,0),"")</f>
        <v/>
      </c>
      <c r="G500" t="str">
        <f>IFERROR(VLOOKUP($A500,原始数据_收盘!$A$4:$G$3460,7,0),"")</f>
        <v/>
      </c>
      <c r="H500" t="str">
        <f>IFERROR(VLOOKUP($A500,原始数据_利率互换_FR007_1年!$A$6:$C$4395,2,0),"")</f>
        <v/>
      </c>
      <c r="I500" t="str">
        <f>IFERROR(VLOOKUP($A500,原始数据_利率互换_FR007_1年!$A$6:$C$4395,3,0),"")</f>
        <v/>
      </c>
    </row>
    <row r="501" spans="1:9">
      <c r="A501" s="6">
        <v>39994</v>
      </c>
      <c r="B501" t="str">
        <f>IFERROR(VLOOKUP($A501,原始数据_收盘!$A$4:$G$3460,2,0),"")</f>
        <v/>
      </c>
      <c r="C501" t="str">
        <f>IFERROR(VLOOKUP($A501,原始数据_收盘!$A$4:$G$3460,3,0),"")</f>
        <v/>
      </c>
      <c r="D501" t="str">
        <f>IFERROR(VLOOKUP($A501,原始数据_收盘!$A$4:$G$3460,4,0),"")</f>
        <v/>
      </c>
      <c r="E501" t="str">
        <f>IFERROR(VLOOKUP($A501,原始数据_收盘!$A$4:$G$3460,5,0),"")</f>
        <v/>
      </c>
      <c r="F501" t="str">
        <f>IFERROR(VLOOKUP($A501,原始数据_收盘!$A$4:$G$3460,6,0),"")</f>
        <v/>
      </c>
      <c r="G501" t="str">
        <f>IFERROR(VLOOKUP($A501,原始数据_收盘!$A$4:$G$3460,7,0),"")</f>
        <v/>
      </c>
      <c r="H501">
        <f>IFERROR(VLOOKUP($A501,原始数据_利率互换_FR007_1年!$A$6:$C$4395,2,0),"")</f>
        <v>1.58</v>
      </c>
      <c r="I501">
        <f>IFERROR(VLOOKUP($A501,原始数据_利率互换_FR007_1年!$A$6:$C$4395,3,0),"")</f>
        <v>2.825</v>
      </c>
    </row>
    <row r="502" spans="1:9">
      <c r="A502" s="6">
        <v>39995</v>
      </c>
      <c r="B502" t="str">
        <f>IFERROR(VLOOKUP($A502,原始数据_收盘!$A$4:$G$3460,2,0),"")</f>
        <v/>
      </c>
      <c r="C502" t="str">
        <f>IFERROR(VLOOKUP($A502,原始数据_收盘!$A$4:$G$3460,3,0),"")</f>
        <v/>
      </c>
      <c r="D502" t="str">
        <f>IFERROR(VLOOKUP($A502,原始数据_收盘!$A$4:$G$3460,4,0),"")</f>
        <v/>
      </c>
      <c r="E502" t="str">
        <f>IFERROR(VLOOKUP($A502,原始数据_收盘!$A$4:$G$3460,5,0),"")</f>
        <v/>
      </c>
      <c r="F502" t="str">
        <f>IFERROR(VLOOKUP($A502,原始数据_收盘!$A$4:$G$3460,6,0),"")</f>
        <v/>
      </c>
      <c r="G502" t="str">
        <f>IFERROR(VLOOKUP($A502,原始数据_收盘!$A$4:$G$3460,7,0),"")</f>
        <v/>
      </c>
      <c r="H502">
        <f>IFERROR(VLOOKUP($A502,原始数据_利率互换_FR007_1年!$A$6:$C$4395,2,0),"")</f>
        <v>1.63</v>
      </c>
      <c r="I502">
        <f>IFERROR(VLOOKUP($A502,原始数据_利率互换_FR007_1年!$A$6:$C$4395,3,0),"")</f>
        <v>2.89</v>
      </c>
    </row>
    <row r="503" spans="1:9">
      <c r="A503" s="6">
        <v>39996</v>
      </c>
      <c r="B503" t="str">
        <f>IFERROR(VLOOKUP($A503,原始数据_收盘!$A$4:$G$3460,2,0),"")</f>
        <v/>
      </c>
      <c r="C503" t="str">
        <f>IFERROR(VLOOKUP($A503,原始数据_收盘!$A$4:$G$3460,3,0),"")</f>
        <v/>
      </c>
      <c r="D503" t="str">
        <f>IFERROR(VLOOKUP($A503,原始数据_收盘!$A$4:$G$3460,4,0),"")</f>
        <v/>
      </c>
      <c r="E503" t="str">
        <f>IFERROR(VLOOKUP($A503,原始数据_收盘!$A$4:$G$3460,5,0),"")</f>
        <v/>
      </c>
      <c r="F503" t="str">
        <f>IFERROR(VLOOKUP($A503,原始数据_收盘!$A$4:$G$3460,6,0),"")</f>
        <v/>
      </c>
      <c r="G503" t="str">
        <f>IFERROR(VLOOKUP($A503,原始数据_收盘!$A$4:$G$3460,7,0),"")</f>
        <v/>
      </c>
      <c r="H503">
        <f>IFERROR(VLOOKUP($A503,原始数据_利率互换_FR007_1年!$A$6:$C$4395,2,0),"")</f>
        <v>1.76</v>
      </c>
      <c r="I503">
        <f>IFERROR(VLOOKUP($A503,原始数据_利率互换_FR007_1年!$A$6:$C$4395,3,0),"")</f>
        <v>0</v>
      </c>
    </row>
    <row r="504" spans="1:9">
      <c r="A504" s="6">
        <v>39997</v>
      </c>
      <c r="B504" t="str">
        <f>IFERROR(VLOOKUP($A504,原始数据_收盘!$A$4:$G$3460,2,0),"")</f>
        <v/>
      </c>
      <c r="C504" t="str">
        <f>IFERROR(VLOOKUP($A504,原始数据_收盘!$A$4:$G$3460,3,0),"")</f>
        <v/>
      </c>
      <c r="D504" t="str">
        <f>IFERROR(VLOOKUP($A504,原始数据_收盘!$A$4:$G$3460,4,0),"")</f>
        <v/>
      </c>
      <c r="E504" t="str">
        <f>IFERROR(VLOOKUP($A504,原始数据_收盘!$A$4:$G$3460,5,0),"")</f>
        <v/>
      </c>
      <c r="F504" t="str">
        <f>IFERROR(VLOOKUP($A504,原始数据_收盘!$A$4:$G$3460,6,0),"")</f>
        <v/>
      </c>
      <c r="G504" t="str">
        <f>IFERROR(VLOOKUP($A504,原始数据_收盘!$A$4:$G$3460,7,0),"")</f>
        <v/>
      </c>
      <c r="H504">
        <f>IFERROR(VLOOKUP($A504,原始数据_利率互换_FR007_1年!$A$6:$C$4395,2,0),"")</f>
        <v>1.75</v>
      </c>
      <c r="I504">
        <f>IFERROR(VLOOKUP($A504,原始数据_利率互换_FR007_1年!$A$6:$C$4395,3,0),"")</f>
        <v>0</v>
      </c>
    </row>
    <row r="505" spans="1:9">
      <c r="A505" s="6">
        <v>39998</v>
      </c>
      <c r="B505" t="str">
        <f>IFERROR(VLOOKUP($A505,原始数据_收盘!$A$4:$G$3460,2,0),"")</f>
        <v/>
      </c>
      <c r="C505" t="str">
        <f>IFERROR(VLOOKUP($A505,原始数据_收盘!$A$4:$G$3460,3,0),"")</f>
        <v/>
      </c>
      <c r="D505" t="str">
        <f>IFERROR(VLOOKUP($A505,原始数据_收盘!$A$4:$G$3460,4,0),"")</f>
        <v/>
      </c>
      <c r="E505" t="str">
        <f>IFERROR(VLOOKUP($A505,原始数据_收盘!$A$4:$G$3460,5,0),"")</f>
        <v/>
      </c>
      <c r="F505" t="str">
        <f>IFERROR(VLOOKUP($A505,原始数据_收盘!$A$4:$G$3460,6,0),"")</f>
        <v/>
      </c>
      <c r="G505" t="str">
        <f>IFERROR(VLOOKUP($A505,原始数据_收盘!$A$4:$G$3460,7,0),"")</f>
        <v/>
      </c>
      <c r="H505" t="str">
        <f>IFERROR(VLOOKUP($A505,原始数据_利率互换_FR007_1年!$A$6:$C$4395,2,0),"")</f>
        <v/>
      </c>
      <c r="I505" t="str">
        <f>IFERROR(VLOOKUP($A505,原始数据_利率互换_FR007_1年!$A$6:$C$4395,3,0),"")</f>
        <v/>
      </c>
    </row>
    <row r="506" spans="1:9">
      <c r="A506" s="6">
        <v>39999</v>
      </c>
      <c r="B506" t="str">
        <f>IFERROR(VLOOKUP($A506,原始数据_收盘!$A$4:$G$3460,2,0),"")</f>
        <v/>
      </c>
      <c r="C506" t="str">
        <f>IFERROR(VLOOKUP($A506,原始数据_收盘!$A$4:$G$3460,3,0),"")</f>
        <v/>
      </c>
      <c r="D506" t="str">
        <f>IFERROR(VLOOKUP($A506,原始数据_收盘!$A$4:$G$3460,4,0),"")</f>
        <v/>
      </c>
      <c r="E506" t="str">
        <f>IFERROR(VLOOKUP($A506,原始数据_收盘!$A$4:$G$3460,5,0),"")</f>
        <v/>
      </c>
      <c r="F506" t="str">
        <f>IFERROR(VLOOKUP($A506,原始数据_收盘!$A$4:$G$3460,6,0),"")</f>
        <v/>
      </c>
      <c r="G506" t="str">
        <f>IFERROR(VLOOKUP($A506,原始数据_收盘!$A$4:$G$3460,7,0),"")</f>
        <v/>
      </c>
      <c r="H506" t="str">
        <f>IFERROR(VLOOKUP($A506,原始数据_利率互换_FR007_1年!$A$6:$C$4395,2,0),"")</f>
        <v/>
      </c>
      <c r="I506" t="str">
        <f>IFERROR(VLOOKUP($A506,原始数据_利率互换_FR007_1年!$A$6:$C$4395,3,0),"")</f>
        <v/>
      </c>
    </row>
    <row r="507" spans="1:9">
      <c r="A507" s="6">
        <v>40000</v>
      </c>
      <c r="B507" t="str">
        <f>IFERROR(VLOOKUP($A507,原始数据_收盘!$A$4:$G$3460,2,0),"")</f>
        <v/>
      </c>
      <c r="C507" t="str">
        <f>IFERROR(VLOOKUP($A507,原始数据_收盘!$A$4:$G$3460,3,0),"")</f>
        <v/>
      </c>
      <c r="D507" t="str">
        <f>IFERROR(VLOOKUP($A507,原始数据_收盘!$A$4:$G$3460,4,0),"")</f>
        <v/>
      </c>
      <c r="E507" t="str">
        <f>IFERROR(VLOOKUP($A507,原始数据_收盘!$A$4:$G$3460,5,0),"")</f>
        <v/>
      </c>
      <c r="F507" t="str">
        <f>IFERROR(VLOOKUP($A507,原始数据_收盘!$A$4:$G$3460,6,0),"")</f>
        <v/>
      </c>
      <c r="G507" t="str">
        <f>IFERROR(VLOOKUP($A507,原始数据_收盘!$A$4:$G$3460,7,0),"")</f>
        <v/>
      </c>
      <c r="H507">
        <f>IFERROR(VLOOKUP($A507,原始数据_利率互换_FR007_1年!$A$6:$C$4395,2,0),"")</f>
        <v>1.9</v>
      </c>
      <c r="I507">
        <f>IFERROR(VLOOKUP($A507,原始数据_利率互换_FR007_1年!$A$6:$C$4395,3,0),"")</f>
        <v>3.1</v>
      </c>
    </row>
    <row r="508" spans="1:9">
      <c r="A508" s="6">
        <v>40001</v>
      </c>
      <c r="B508" t="str">
        <f>IFERROR(VLOOKUP($A508,原始数据_收盘!$A$4:$G$3460,2,0),"")</f>
        <v/>
      </c>
      <c r="C508" t="str">
        <f>IFERROR(VLOOKUP($A508,原始数据_收盘!$A$4:$G$3460,3,0),"")</f>
        <v/>
      </c>
      <c r="D508" t="str">
        <f>IFERROR(VLOOKUP($A508,原始数据_收盘!$A$4:$G$3460,4,0),"")</f>
        <v/>
      </c>
      <c r="E508" t="str">
        <f>IFERROR(VLOOKUP($A508,原始数据_收盘!$A$4:$G$3460,5,0),"")</f>
        <v/>
      </c>
      <c r="F508" t="str">
        <f>IFERROR(VLOOKUP($A508,原始数据_收盘!$A$4:$G$3460,6,0),"")</f>
        <v/>
      </c>
      <c r="G508" t="str">
        <f>IFERROR(VLOOKUP($A508,原始数据_收盘!$A$4:$G$3460,7,0),"")</f>
        <v/>
      </c>
      <c r="H508">
        <f>IFERROR(VLOOKUP($A508,原始数据_利率互换_FR007_1年!$A$6:$C$4395,2,0),"")</f>
        <v>1.98</v>
      </c>
      <c r="I508">
        <f>IFERROR(VLOOKUP($A508,原始数据_利率互换_FR007_1年!$A$6:$C$4395,3,0),"")</f>
        <v>3.06</v>
      </c>
    </row>
    <row r="509" spans="1:9">
      <c r="A509" s="6">
        <v>40002</v>
      </c>
      <c r="B509" t="str">
        <f>IFERROR(VLOOKUP($A509,原始数据_收盘!$A$4:$G$3460,2,0),"")</f>
        <v/>
      </c>
      <c r="C509" t="str">
        <f>IFERROR(VLOOKUP($A509,原始数据_收盘!$A$4:$G$3460,3,0),"")</f>
        <v/>
      </c>
      <c r="D509" t="str">
        <f>IFERROR(VLOOKUP($A509,原始数据_收盘!$A$4:$G$3460,4,0),"")</f>
        <v/>
      </c>
      <c r="E509" t="str">
        <f>IFERROR(VLOOKUP($A509,原始数据_收盘!$A$4:$G$3460,5,0),"")</f>
        <v/>
      </c>
      <c r="F509" t="str">
        <f>IFERROR(VLOOKUP($A509,原始数据_收盘!$A$4:$G$3460,6,0),"")</f>
        <v/>
      </c>
      <c r="G509" t="str">
        <f>IFERROR(VLOOKUP($A509,原始数据_收盘!$A$4:$G$3460,7,0),"")</f>
        <v/>
      </c>
      <c r="H509">
        <f>IFERROR(VLOOKUP($A509,原始数据_利率互换_FR007_1年!$A$6:$C$4395,2,0),"")</f>
        <v>1.96</v>
      </c>
      <c r="I509">
        <f>IFERROR(VLOOKUP($A509,原始数据_利率互换_FR007_1年!$A$6:$C$4395,3,0),"")</f>
        <v>3.05</v>
      </c>
    </row>
    <row r="510" spans="1:9">
      <c r="A510" s="6">
        <v>40003</v>
      </c>
      <c r="B510" t="str">
        <f>IFERROR(VLOOKUP($A510,原始数据_收盘!$A$4:$G$3460,2,0),"")</f>
        <v/>
      </c>
      <c r="C510" t="str">
        <f>IFERROR(VLOOKUP($A510,原始数据_收盘!$A$4:$G$3460,3,0),"")</f>
        <v/>
      </c>
      <c r="D510" t="str">
        <f>IFERROR(VLOOKUP($A510,原始数据_收盘!$A$4:$G$3460,4,0),"")</f>
        <v/>
      </c>
      <c r="E510" t="str">
        <f>IFERROR(VLOOKUP($A510,原始数据_收盘!$A$4:$G$3460,5,0),"")</f>
        <v/>
      </c>
      <c r="F510" t="str">
        <f>IFERROR(VLOOKUP($A510,原始数据_收盘!$A$4:$G$3460,6,0),"")</f>
        <v/>
      </c>
      <c r="G510" t="str">
        <f>IFERROR(VLOOKUP($A510,原始数据_收盘!$A$4:$G$3460,7,0),"")</f>
        <v/>
      </c>
      <c r="H510">
        <f>IFERROR(VLOOKUP($A510,原始数据_利率互换_FR007_1年!$A$6:$C$4395,2,0),"")</f>
        <v>2.09</v>
      </c>
      <c r="I510">
        <f>IFERROR(VLOOKUP($A510,原始数据_利率互换_FR007_1年!$A$6:$C$4395,3,0),"")</f>
        <v>3.13</v>
      </c>
    </row>
    <row r="511" spans="1:9">
      <c r="A511" s="6">
        <v>40004</v>
      </c>
      <c r="B511" t="str">
        <f>IFERROR(VLOOKUP($A511,原始数据_收盘!$A$4:$G$3460,2,0),"")</f>
        <v/>
      </c>
      <c r="C511" t="str">
        <f>IFERROR(VLOOKUP($A511,原始数据_收盘!$A$4:$G$3460,3,0),"")</f>
        <v/>
      </c>
      <c r="D511" t="str">
        <f>IFERROR(VLOOKUP($A511,原始数据_收盘!$A$4:$G$3460,4,0),"")</f>
        <v/>
      </c>
      <c r="E511" t="str">
        <f>IFERROR(VLOOKUP($A511,原始数据_收盘!$A$4:$G$3460,5,0),"")</f>
        <v/>
      </c>
      <c r="F511" t="str">
        <f>IFERROR(VLOOKUP($A511,原始数据_收盘!$A$4:$G$3460,6,0),"")</f>
        <v/>
      </c>
      <c r="G511" t="str">
        <f>IFERROR(VLOOKUP($A511,原始数据_收盘!$A$4:$G$3460,7,0),"")</f>
        <v/>
      </c>
      <c r="H511">
        <f>IFERROR(VLOOKUP($A511,原始数据_利率互换_FR007_1年!$A$6:$C$4395,2,0),"")</f>
        <v>2.13</v>
      </c>
      <c r="I511">
        <f>IFERROR(VLOOKUP($A511,原始数据_利率互换_FR007_1年!$A$6:$C$4395,3,0),"")</f>
        <v>3.2</v>
      </c>
    </row>
    <row r="512" spans="1:9">
      <c r="A512" s="6">
        <v>40005</v>
      </c>
      <c r="B512" t="str">
        <f>IFERROR(VLOOKUP($A512,原始数据_收盘!$A$4:$G$3460,2,0),"")</f>
        <v/>
      </c>
      <c r="C512" t="str">
        <f>IFERROR(VLOOKUP($A512,原始数据_收盘!$A$4:$G$3460,3,0),"")</f>
        <v/>
      </c>
      <c r="D512" t="str">
        <f>IFERROR(VLOOKUP($A512,原始数据_收盘!$A$4:$G$3460,4,0),"")</f>
        <v/>
      </c>
      <c r="E512" t="str">
        <f>IFERROR(VLOOKUP($A512,原始数据_收盘!$A$4:$G$3460,5,0),"")</f>
        <v/>
      </c>
      <c r="F512" t="str">
        <f>IFERROR(VLOOKUP($A512,原始数据_收盘!$A$4:$G$3460,6,0),"")</f>
        <v/>
      </c>
      <c r="G512" t="str">
        <f>IFERROR(VLOOKUP($A512,原始数据_收盘!$A$4:$G$3460,7,0),"")</f>
        <v/>
      </c>
      <c r="H512" t="str">
        <f>IFERROR(VLOOKUP($A512,原始数据_利率互换_FR007_1年!$A$6:$C$4395,2,0),"")</f>
        <v/>
      </c>
      <c r="I512" t="str">
        <f>IFERROR(VLOOKUP($A512,原始数据_利率互换_FR007_1年!$A$6:$C$4395,3,0),"")</f>
        <v/>
      </c>
    </row>
    <row r="513" spans="1:9">
      <c r="A513" s="6">
        <v>40006</v>
      </c>
      <c r="B513" t="str">
        <f>IFERROR(VLOOKUP($A513,原始数据_收盘!$A$4:$G$3460,2,0),"")</f>
        <v/>
      </c>
      <c r="C513" t="str">
        <f>IFERROR(VLOOKUP($A513,原始数据_收盘!$A$4:$G$3460,3,0),"")</f>
        <v/>
      </c>
      <c r="D513" t="str">
        <f>IFERROR(VLOOKUP($A513,原始数据_收盘!$A$4:$G$3460,4,0),"")</f>
        <v/>
      </c>
      <c r="E513" t="str">
        <f>IFERROR(VLOOKUP($A513,原始数据_收盘!$A$4:$G$3460,5,0),"")</f>
        <v/>
      </c>
      <c r="F513" t="str">
        <f>IFERROR(VLOOKUP($A513,原始数据_收盘!$A$4:$G$3460,6,0),"")</f>
        <v/>
      </c>
      <c r="G513" t="str">
        <f>IFERROR(VLOOKUP($A513,原始数据_收盘!$A$4:$G$3460,7,0),"")</f>
        <v/>
      </c>
      <c r="H513" t="str">
        <f>IFERROR(VLOOKUP($A513,原始数据_利率互换_FR007_1年!$A$6:$C$4395,2,0),"")</f>
        <v/>
      </c>
      <c r="I513" t="str">
        <f>IFERROR(VLOOKUP($A513,原始数据_利率互换_FR007_1年!$A$6:$C$4395,3,0),"")</f>
        <v/>
      </c>
    </row>
    <row r="514" spans="1:9">
      <c r="A514" s="6">
        <v>40007</v>
      </c>
      <c r="B514" t="str">
        <f>IFERROR(VLOOKUP($A514,原始数据_收盘!$A$4:$G$3460,2,0),"")</f>
        <v/>
      </c>
      <c r="C514" t="str">
        <f>IFERROR(VLOOKUP($A514,原始数据_收盘!$A$4:$G$3460,3,0),"")</f>
        <v/>
      </c>
      <c r="D514" t="str">
        <f>IFERROR(VLOOKUP($A514,原始数据_收盘!$A$4:$G$3460,4,0),"")</f>
        <v/>
      </c>
      <c r="E514" t="str">
        <f>IFERROR(VLOOKUP($A514,原始数据_收盘!$A$4:$G$3460,5,0),"")</f>
        <v/>
      </c>
      <c r="F514" t="str">
        <f>IFERROR(VLOOKUP($A514,原始数据_收盘!$A$4:$G$3460,6,0),"")</f>
        <v/>
      </c>
      <c r="G514" t="str">
        <f>IFERROR(VLOOKUP($A514,原始数据_收盘!$A$4:$G$3460,7,0),"")</f>
        <v/>
      </c>
      <c r="H514">
        <f>IFERROR(VLOOKUP($A514,原始数据_利率互换_FR007_1年!$A$6:$C$4395,2,0),"")</f>
        <v>2.04</v>
      </c>
      <c r="I514">
        <f>IFERROR(VLOOKUP($A514,原始数据_利率互换_FR007_1年!$A$6:$C$4395,3,0),"")</f>
        <v>3.14</v>
      </c>
    </row>
    <row r="515" spans="1:9">
      <c r="A515" s="6">
        <v>40008</v>
      </c>
      <c r="B515" t="str">
        <f>IFERROR(VLOOKUP($A515,原始数据_收盘!$A$4:$G$3460,2,0),"")</f>
        <v/>
      </c>
      <c r="C515" t="str">
        <f>IFERROR(VLOOKUP($A515,原始数据_收盘!$A$4:$G$3460,3,0),"")</f>
        <v/>
      </c>
      <c r="D515" t="str">
        <f>IFERROR(VLOOKUP($A515,原始数据_收盘!$A$4:$G$3460,4,0),"")</f>
        <v/>
      </c>
      <c r="E515" t="str">
        <f>IFERROR(VLOOKUP($A515,原始数据_收盘!$A$4:$G$3460,5,0),"")</f>
        <v/>
      </c>
      <c r="F515" t="str">
        <f>IFERROR(VLOOKUP($A515,原始数据_收盘!$A$4:$G$3460,6,0),"")</f>
        <v/>
      </c>
      <c r="G515" t="str">
        <f>IFERROR(VLOOKUP($A515,原始数据_收盘!$A$4:$G$3460,7,0),"")</f>
        <v/>
      </c>
      <c r="H515">
        <f>IFERROR(VLOOKUP($A515,原始数据_利率互换_FR007_1年!$A$6:$C$4395,2,0),"")</f>
        <v>2.04</v>
      </c>
      <c r="I515">
        <f>IFERROR(VLOOKUP($A515,原始数据_利率互换_FR007_1年!$A$6:$C$4395,3,0),"")</f>
        <v>3.21</v>
      </c>
    </row>
    <row r="516" spans="1:9">
      <c r="A516" s="6">
        <v>40009</v>
      </c>
      <c r="B516" t="str">
        <f>IFERROR(VLOOKUP($A516,原始数据_收盘!$A$4:$G$3460,2,0),"")</f>
        <v/>
      </c>
      <c r="C516" t="str">
        <f>IFERROR(VLOOKUP($A516,原始数据_收盘!$A$4:$G$3460,3,0),"")</f>
        <v/>
      </c>
      <c r="D516" t="str">
        <f>IFERROR(VLOOKUP($A516,原始数据_收盘!$A$4:$G$3460,4,0),"")</f>
        <v/>
      </c>
      <c r="E516" t="str">
        <f>IFERROR(VLOOKUP($A516,原始数据_收盘!$A$4:$G$3460,5,0),"")</f>
        <v/>
      </c>
      <c r="F516" t="str">
        <f>IFERROR(VLOOKUP($A516,原始数据_收盘!$A$4:$G$3460,6,0),"")</f>
        <v/>
      </c>
      <c r="G516" t="str">
        <f>IFERROR(VLOOKUP($A516,原始数据_收盘!$A$4:$G$3460,7,0),"")</f>
        <v/>
      </c>
      <c r="H516">
        <f>IFERROR(VLOOKUP($A516,原始数据_利率互换_FR007_1年!$A$6:$C$4395,2,0),"")</f>
        <v>2.09</v>
      </c>
      <c r="I516">
        <f>IFERROR(VLOOKUP($A516,原始数据_利率互换_FR007_1年!$A$6:$C$4395,3,0),"")</f>
        <v>3.26</v>
      </c>
    </row>
    <row r="517" spans="1:9">
      <c r="A517" s="6">
        <v>40010</v>
      </c>
      <c r="B517" t="str">
        <f>IFERROR(VLOOKUP($A517,原始数据_收盘!$A$4:$G$3460,2,0),"")</f>
        <v/>
      </c>
      <c r="C517" t="str">
        <f>IFERROR(VLOOKUP($A517,原始数据_收盘!$A$4:$G$3460,3,0),"")</f>
        <v/>
      </c>
      <c r="D517" t="str">
        <f>IFERROR(VLOOKUP($A517,原始数据_收盘!$A$4:$G$3460,4,0),"")</f>
        <v/>
      </c>
      <c r="E517" t="str">
        <f>IFERROR(VLOOKUP($A517,原始数据_收盘!$A$4:$G$3460,5,0),"")</f>
        <v/>
      </c>
      <c r="F517" t="str">
        <f>IFERROR(VLOOKUP($A517,原始数据_收盘!$A$4:$G$3460,6,0),"")</f>
        <v/>
      </c>
      <c r="G517" t="str">
        <f>IFERROR(VLOOKUP($A517,原始数据_收盘!$A$4:$G$3460,7,0),"")</f>
        <v/>
      </c>
      <c r="H517">
        <f>IFERROR(VLOOKUP($A517,原始数据_利率互换_FR007_1年!$A$6:$C$4395,2,0),"")</f>
        <v>2.13</v>
      </c>
      <c r="I517">
        <f>IFERROR(VLOOKUP($A517,原始数据_利率互换_FR007_1年!$A$6:$C$4395,3,0),"")</f>
        <v>3.36</v>
      </c>
    </row>
    <row r="518" spans="1:9">
      <c r="A518" s="6">
        <v>40011</v>
      </c>
      <c r="B518" t="str">
        <f>IFERROR(VLOOKUP($A518,原始数据_收盘!$A$4:$G$3460,2,0),"")</f>
        <v/>
      </c>
      <c r="C518" t="str">
        <f>IFERROR(VLOOKUP($A518,原始数据_收盘!$A$4:$G$3460,3,0),"")</f>
        <v/>
      </c>
      <c r="D518" t="str">
        <f>IFERROR(VLOOKUP($A518,原始数据_收盘!$A$4:$G$3460,4,0),"")</f>
        <v/>
      </c>
      <c r="E518" t="str">
        <f>IFERROR(VLOOKUP($A518,原始数据_收盘!$A$4:$G$3460,5,0),"")</f>
        <v/>
      </c>
      <c r="F518" t="str">
        <f>IFERROR(VLOOKUP($A518,原始数据_收盘!$A$4:$G$3460,6,0),"")</f>
        <v/>
      </c>
      <c r="G518" t="str">
        <f>IFERROR(VLOOKUP($A518,原始数据_收盘!$A$4:$G$3460,7,0),"")</f>
        <v/>
      </c>
      <c r="H518">
        <f>IFERROR(VLOOKUP($A518,原始数据_利率互换_FR007_1年!$A$6:$C$4395,2,0),"")</f>
        <v>2.14</v>
      </c>
      <c r="I518">
        <f>IFERROR(VLOOKUP($A518,原始数据_利率互换_FR007_1年!$A$6:$C$4395,3,0),"")</f>
        <v>3.44</v>
      </c>
    </row>
    <row r="519" spans="1:9">
      <c r="A519" s="6">
        <v>40012</v>
      </c>
      <c r="B519" t="str">
        <f>IFERROR(VLOOKUP($A519,原始数据_收盘!$A$4:$G$3460,2,0),"")</f>
        <v/>
      </c>
      <c r="C519" t="str">
        <f>IFERROR(VLOOKUP($A519,原始数据_收盘!$A$4:$G$3460,3,0),"")</f>
        <v/>
      </c>
      <c r="D519" t="str">
        <f>IFERROR(VLOOKUP($A519,原始数据_收盘!$A$4:$G$3460,4,0),"")</f>
        <v/>
      </c>
      <c r="E519" t="str">
        <f>IFERROR(VLOOKUP($A519,原始数据_收盘!$A$4:$G$3460,5,0),"")</f>
        <v/>
      </c>
      <c r="F519" t="str">
        <f>IFERROR(VLOOKUP($A519,原始数据_收盘!$A$4:$G$3460,6,0),"")</f>
        <v/>
      </c>
      <c r="G519" t="str">
        <f>IFERROR(VLOOKUP($A519,原始数据_收盘!$A$4:$G$3460,7,0),"")</f>
        <v/>
      </c>
      <c r="H519" t="str">
        <f>IFERROR(VLOOKUP($A519,原始数据_利率互换_FR007_1年!$A$6:$C$4395,2,0),"")</f>
        <v/>
      </c>
      <c r="I519" t="str">
        <f>IFERROR(VLOOKUP($A519,原始数据_利率互换_FR007_1年!$A$6:$C$4395,3,0),"")</f>
        <v/>
      </c>
    </row>
    <row r="520" spans="1:9">
      <c r="A520" s="6">
        <v>40013</v>
      </c>
      <c r="B520" t="str">
        <f>IFERROR(VLOOKUP($A520,原始数据_收盘!$A$4:$G$3460,2,0),"")</f>
        <v/>
      </c>
      <c r="C520" t="str">
        <f>IFERROR(VLOOKUP($A520,原始数据_收盘!$A$4:$G$3460,3,0),"")</f>
        <v/>
      </c>
      <c r="D520" t="str">
        <f>IFERROR(VLOOKUP($A520,原始数据_收盘!$A$4:$G$3460,4,0),"")</f>
        <v/>
      </c>
      <c r="E520" t="str">
        <f>IFERROR(VLOOKUP($A520,原始数据_收盘!$A$4:$G$3460,5,0),"")</f>
        <v/>
      </c>
      <c r="F520" t="str">
        <f>IFERROR(VLOOKUP($A520,原始数据_收盘!$A$4:$G$3460,6,0),"")</f>
        <v/>
      </c>
      <c r="G520" t="str">
        <f>IFERROR(VLOOKUP($A520,原始数据_收盘!$A$4:$G$3460,7,0),"")</f>
        <v/>
      </c>
      <c r="H520" t="str">
        <f>IFERROR(VLOOKUP($A520,原始数据_利率互换_FR007_1年!$A$6:$C$4395,2,0),"")</f>
        <v/>
      </c>
      <c r="I520" t="str">
        <f>IFERROR(VLOOKUP($A520,原始数据_利率互换_FR007_1年!$A$6:$C$4395,3,0),"")</f>
        <v/>
      </c>
    </row>
    <row r="521" spans="1:9">
      <c r="A521" s="6">
        <v>40014</v>
      </c>
      <c r="B521" t="str">
        <f>IFERROR(VLOOKUP($A521,原始数据_收盘!$A$4:$G$3460,2,0),"")</f>
        <v/>
      </c>
      <c r="C521" t="str">
        <f>IFERROR(VLOOKUP($A521,原始数据_收盘!$A$4:$G$3460,3,0),"")</f>
        <v/>
      </c>
      <c r="D521" t="str">
        <f>IFERROR(VLOOKUP($A521,原始数据_收盘!$A$4:$G$3460,4,0),"")</f>
        <v/>
      </c>
      <c r="E521" t="str">
        <f>IFERROR(VLOOKUP($A521,原始数据_收盘!$A$4:$G$3460,5,0),"")</f>
        <v/>
      </c>
      <c r="F521" t="str">
        <f>IFERROR(VLOOKUP($A521,原始数据_收盘!$A$4:$G$3460,6,0),"")</f>
        <v/>
      </c>
      <c r="G521" t="str">
        <f>IFERROR(VLOOKUP($A521,原始数据_收盘!$A$4:$G$3460,7,0),"")</f>
        <v/>
      </c>
      <c r="H521">
        <f>IFERROR(VLOOKUP($A521,原始数据_利率互换_FR007_1年!$A$6:$C$4395,2,0),"")</f>
        <v>2.04</v>
      </c>
      <c r="I521">
        <f>IFERROR(VLOOKUP($A521,原始数据_利率互换_FR007_1年!$A$6:$C$4395,3,0),"")</f>
        <v>0</v>
      </c>
    </row>
    <row r="522" spans="1:9">
      <c r="A522" s="6">
        <v>40015</v>
      </c>
      <c r="B522" t="str">
        <f>IFERROR(VLOOKUP($A522,原始数据_收盘!$A$4:$G$3460,2,0),"")</f>
        <v/>
      </c>
      <c r="C522" t="str">
        <f>IFERROR(VLOOKUP($A522,原始数据_收盘!$A$4:$G$3460,3,0),"")</f>
        <v/>
      </c>
      <c r="D522" t="str">
        <f>IFERROR(VLOOKUP($A522,原始数据_收盘!$A$4:$G$3460,4,0),"")</f>
        <v/>
      </c>
      <c r="E522" t="str">
        <f>IFERROR(VLOOKUP($A522,原始数据_收盘!$A$4:$G$3460,5,0),"")</f>
        <v/>
      </c>
      <c r="F522" t="str">
        <f>IFERROR(VLOOKUP($A522,原始数据_收盘!$A$4:$G$3460,6,0),"")</f>
        <v/>
      </c>
      <c r="G522" t="str">
        <f>IFERROR(VLOOKUP($A522,原始数据_收盘!$A$4:$G$3460,7,0),"")</f>
        <v/>
      </c>
      <c r="H522">
        <f>IFERROR(VLOOKUP($A522,原始数据_利率互换_FR007_1年!$A$6:$C$4395,2,0),"")</f>
        <v>2.04</v>
      </c>
      <c r="I522">
        <f>IFERROR(VLOOKUP($A522,原始数据_利率互换_FR007_1年!$A$6:$C$4395,3,0),"")</f>
        <v>3.34</v>
      </c>
    </row>
    <row r="523" spans="1:9">
      <c r="A523" s="6">
        <v>40016</v>
      </c>
      <c r="B523" t="str">
        <f>IFERROR(VLOOKUP($A523,原始数据_收盘!$A$4:$G$3460,2,0),"")</f>
        <v/>
      </c>
      <c r="C523" t="str">
        <f>IFERROR(VLOOKUP($A523,原始数据_收盘!$A$4:$G$3460,3,0),"")</f>
        <v/>
      </c>
      <c r="D523" t="str">
        <f>IFERROR(VLOOKUP($A523,原始数据_收盘!$A$4:$G$3460,4,0),"")</f>
        <v/>
      </c>
      <c r="E523" t="str">
        <f>IFERROR(VLOOKUP($A523,原始数据_收盘!$A$4:$G$3460,5,0),"")</f>
        <v/>
      </c>
      <c r="F523" t="str">
        <f>IFERROR(VLOOKUP($A523,原始数据_收盘!$A$4:$G$3460,6,0),"")</f>
        <v/>
      </c>
      <c r="G523" t="str">
        <f>IFERROR(VLOOKUP($A523,原始数据_收盘!$A$4:$G$3460,7,0),"")</f>
        <v/>
      </c>
      <c r="H523">
        <f>IFERROR(VLOOKUP($A523,原始数据_利率互换_FR007_1年!$A$6:$C$4395,2,0),"")</f>
        <v>1.94</v>
      </c>
      <c r="I523">
        <f>IFERROR(VLOOKUP($A523,原始数据_利率互换_FR007_1年!$A$6:$C$4395,3,0),"")</f>
        <v>3.26</v>
      </c>
    </row>
    <row r="524" spans="1:9">
      <c r="A524" s="6">
        <v>40017</v>
      </c>
      <c r="B524" t="str">
        <f>IFERROR(VLOOKUP($A524,原始数据_收盘!$A$4:$G$3460,2,0),"")</f>
        <v/>
      </c>
      <c r="C524" t="str">
        <f>IFERROR(VLOOKUP($A524,原始数据_收盘!$A$4:$G$3460,3,0),"")</f>
        <v/>
      </c>
      <c r="D524" t="str">
        <f>IFERROR(VLOOKUP($A524,原始数据_收盘!$A$4:$G$3460,4,0),"")</f>
        <v/>
      </c>
      <c r="E524" t="str">
        <f>IFERROR(VLOOKUP($A524,原始数据_收盘!$A$4:$G$3460,5,0),"")</f>
        <v/>
      </c>
      <c r="F524" t="str">
        <f>IFERROR(VLOOKUP($A524,原始数据_收盘!$A$4:$G$3460,6,0),"")</f>
        <v/>
      </c>
      <c r="G524" t="str">
        <f>IFERROR(VLOOKUP($A524,原始数据_收盘!$A$4:$G$3460,7,0),"")</f>
        <v/>
      </c>
      <c r="H524">
        <f>IFERROR(VLOOKUP($A524,原始数据_利率互换_FR007_1年!$A$6:$C$4395,2,0),"")</f>
        <v>1.89</v>
      </c>
      <c r="I524">
        <f>IFERROR(VLOOKUP($A524,原始数据_利率互换_FR007_1年!$A$6:$C$4395,3,0),"")</f>
        <v>3.2</v>
      </c>
    </row>
    <row r="525" spans="1:9">
      <c r="A525" s="6">
        <v>40018</v>
      </c>
      <c r="B525" t="str">
        <f>IFERROR(VLOOKUP($A525,原始数据_收盘!$A$4:$G$3460,2,0),"")</f>
        <v/>
      </c>
      <c r="C525" t="str">
        <f>IFERROR(VLOOKUP($A525,原始数据_收盘!$A$4:$G$3460,3,0),"")</f>
        <v/>
      </c>
      <c r="D525" t="str">
        <f>IFERROR(VLOOKUP($A525,原始数据_收盘!$A$4:$G$3460,4,0),"")</f>
        <v/>
      </c>
      <c r="E525" t="str">
        <f>IFERROR(VLOOKUP($A525,原始数据_收盘!$A$4:$G$3460,5,0),"")</f>
        <v/>
      </c>
      <c r="F525" t="str">
        <f>IFERROR(VLOOKUP($A525,原始数据_收盘!$A$4:$G$3460,6,0),"")</f>
        <v/>
      </c>
      <c r="G525" t="str">
        <f>IFERROR(VLOOKUP($A525,原始数据_收盘!$A$4:$G$3460,7,0),"")</f>
        <v/>
      </c>
      <c r="H525">
        <f>IFERROR(VLOOKUP($A525,原始数据_利率互换_FR007_1年!$A$6:$C$4395,2,0),"")</f>
        <v>1.88</v>
      </c>
      <c r="I525">
        <f>IFERROR(VLOOKUP($A525,原始数据_利率互换_FR007_1年!$A$6:$C$4395,3,0),"")</f>
        <v>0</v>
      </c>
    </row>
    <row r="526" spans="1:9">
      <c r="A526" s="6">
        <v>40019</v>
      </c>
      <c r="B526" t="str">
        <f>IFERROR(VLOOKUP($A526,原始数据_收盘!$A$4:$G$3460,2,0),"")</f>
        <v/>
      </c>
      <c r="C526" t="str">
        <f>IFERROR(VLOOKUP($A526,原始数据_收盘!$A$4:$G$3460,3,0),"")</f>
        <v/>
      </c>
      <c r="D526" t="str">
        <f>IFERROR(VLOOKUP($A526,原始数据_收盘!$A$4:$G$3460,4,0),"")</f>
        <v/>
      </c>
      <c r="E526" t="str">
        <f>IFERROR(VLOOKUP($A526,原始数据_收盘!$A$4:$G$3460,5,0),"")</f>
        <v/>
      </c>
      <c r="F526" t="str">
        <f>IFERROR(VLOOKUP($A526,原始数据_收盘!$A$4:$G$3460,6,0),"")</f>
        <v/>
      </c>
      <c r="G526" t="str">
        <f>IFERROR(VLOOKUP($A526,原始数据_收盘!$A$4:$G$3460,7,0),"")</f>
        <v/>
      </c>
      <c r="H526" t="str">
        <f>IFERROR(VLOOKUP($A526,原始数据_利率互换_FR007_1年!$A$6:$C$4395,2,0),"")</f>
        <v/>
      </c>
      <c r="I526" t="str">
        <f>IFERROR(VLOOKUP($A526,原始数据_利率互换_FR007_1年!$A$6:$C$4395,3,0),"")</f>
        <v/>
      </c>
    </row>
    <row r="527" spans="1:9">
      <c r="A527" s="6">
        <v>40020</v>
      </c>
      <c r="B527" t="str">
        <f>IFERROR(VLOOKUP($A527,原始数据_收盘!$A$4:$G$3460,2,0),"")</f>
        <v/>
      </c>
      <c r="C527" t="str">
        <f>IFERROR(VLOOKUP($A527,原始数据_收盘!$A$4:$G$3460,3,0),"")</f>
        <v/>
      </c>
      <c r="D527" t="str">
        <f>IFERROR(VLOOKUP($A527,原始数据_收盘!$A$4:$G$3460,4,0),"")</f>
        <v/>
      </c>
      <c r="E527" t="str">
        <f>IFERROR(VLOOKUP($A527,原始数据_收盘!$A$4:$G$3460,5,0),"")</f>
        <v/>
      </c>
      <c r="F527" t="str">
        <f>IFERROR(VLOOKUP($A527,原始数据_收盘!$A$4:$G$3460,6,0),"")</f>
        <v/>
      </c>
      <c r="G527" t="str">
        <f>IFERROR(VLOOKUP($A527,原始数据_收盘!$A$4:$G$3460,7,0),"")</f>
        <v/>
      </c>
      <c r="H527" t="str">
        <f>IFERROR(VLOOKUP($A527,原始数据_利率互换_FR007_1年!$A$6:$C$4395,2,0),"")</f>
        <v/>
      </c>
      <c r="I527" t="str">
        <f>IFERROR(VLOOKUP($A527,原始数据_利率互换_FR007_1年!$A$6:$C$4395,3,0),"")</f>
        <v/>
      </c>
    </row>
    <row r="528" spans="1:9">
      <c r="A528" s="6">
        <v>40021</v>
      </c>
      <c r="B528" t="str">
        <f>IFERROR(VLOOKUP($A528,原始数据_收盘!$A$4:$G$3460,2,0),"")</f>
        <v/>
      </c>
      <c r="C528" t="str">
        <f>IFERROR(VLOOKUP($A528,原始数据_收盘!$A$4:$G$3460,3,0),"")</f>
        <v/>
      </c>
      <c r="D528" t="str">
        <f>IFERROR(VLOOKUP($A528,原始数据_收盘!$A$4:$G$3460,4,0),"")</f>
        <v/>
      </c>
      <c r="E528" t="str">
        <f>IFERROR(VLOOKUP($A528,原始数据_收盘!$A$4:$G$3460,5,0),"")</f>
        <v/>
      </c>
      <c r="F528" t="str">
        <f>IFERROR(VLOOKUP($A528,原始数据_收盘!$A$4:$G$3460,6,0),"")</f>
        <v/>
      </c>
      <c r="G528" t="str">
        <f>IFERROR(VLOOKUP($A528,原始数据_收盘!$A$4:$G$3460,7,0),"")</f>
        <v/>
      </c>
      <c r="H528">
        <f>IFERROR(VLOOKUP($A528,原始数据_利率互换_FR007_1年!$A$6:$C$4395,2,0),"")</f>
        <v>1.94</v>
      </c>
      <c r="I528">
        <f>IFERROR(VLOOKUP($A528,原始数据_利率互换_FR007_1年!$A$6:$C$4395,3,0),"")</f>
        <v>0</v>
      </c>
    </row>
    <row r="529" spans="1:9">
      <c r="A529" s="6">
        <v>40022</v>
      </c>
      <c r="B529" t="str">
        <f>IFERROR(VLOOKUP($A529,原始数据_收盘!$A$4:$G$3460,2,0),"")</f>
        <v/>
      </c>
      <c r="C529" t="str">
        <f>IFERROR(VLOOKUP($A529,原始数据_收盘!$A$4:$G$3460,3,0),"")</f>
        <v/>
      </c>
      <c r="D529" t="str">
        <f>IFERROR(VLOOKUP($A529,原始数据_收盘!$A$4:$G$3460,4,0),"")</f>
        <v/>
      </c>
      <c r="E529" t="str">
        <f>IFERROR(VLOOKUP($A529,原始数据_收盘!$A$4:$G$3460,5,0),"")</f>
        <v/>
      </c>
      <c r="F529" t="str">
        <f>IFERROR(VLOOKUP($A529,原始数据_收盘!$A$4:$G$3460,6,0),"")</f>
        <v/>
      </c>
      <c r="G529" t="str">
        <f>IFERROR(VLOOKUP($A529,原始数据_收盘!$A$4:$G$3460,7,0),"")</f>
        <v/>
      </c>
      <c r="H529">
        <f>IFERROR(VLOOKUP($A529,原始数据_利率互换_FR007_1年!$A$6:$C$4395,2,0),"")</f>
        <v>1.9875</v>
      </c>
      <c r="I529">
        <f>IFERROR(VLOOKUP($A529,原始数据_利率互换_FR007_1年!$A$6:$C$4395,3,0),"")</f>
        <v>3.3275</v>
      </c>
    </row>
    <row r="530" spans="1:9">
      <c r="A530" s="6">
        <v>40023</v>
      </c>
      <c r="B530" t="str">
        <f>IFERROR(VLOOKUP($A530,原始数据_收盘!$A$4:$G$3460,2,0),"")</f>
        <v/>
      </c>
      <c r="C530" t="str">
        <f>IFERROR(VLOOKUP($A530,原始数据_收盘!$A$4:$G$3460,3,0),"")</f>
        <v/>
      </c>
      <c r="D530" t="str">
        <f>IFERROR(VLOOKUP($A530,原始数据_收盘!$A$4:$G$3460,4,0),"")</f>
        <v/>
      </c>
      <c r="E530" t="str">
        <f>IFERROR(VLOOKUP($A530,原始数据_收盘!$A$4:$G$3460,5,0),"")</f>
        <v/>
      </c>
      <c r="F530" t="str">
        <f>IFERROR(VLOOKUP($A530,原始数据_收盘!$A$4:$G$3460,6,0),"")</f>
        <v/>
      </c>
      <c r="G530" t="str">
        <f>IFERROR(VLOOKUP($A530,原始数据_收盘!$A$4:$G$3460,7,0),"")</f>
        <v/>
      </c>
      <c r="H530">
        <f>IFERROR(VLOOKUP($A530,原始数据_利率互换_FR007_1年!$A$6:$C$4395,2,0),"")</f>
        <v>1.96</v>
      </c>
      <c r="I530">
        <f>IFERROR(VLOOKUP($A530,原始数据_利率互换_FR007_1年!$A$6:$C$4395,3,0),"")</f>
        <v>3.29</v>
      </c>
    </row>
    <row r="531" spans="1:9">
      <c r="A531" s="6">
        <v>40024</v>
      </c>
      <c r="B531" t="str">
        <f>IFERROR(VLOOKUP($A531,原始数据_收盘!$A$4:$G$3460,2,0),"")</f>
        <v/>
      </c>
      <c r="C531" t="str">
        <f>IFERROR(VLOOKUP($A531,原始数据_收盘!$A$4:$G$3460,3,0),"")</f>
        <v/>
      </c>
      <c r="D531" t="str">
        <f>IFERROR(VLOOKUP($A531,原始数据_收盘!$A$4:$G$3460,4,0),"")</f>
        <v/>
      </c>
      <c r="E531" t="str">
        <f>IFERROR(VLOOKUP($A531,原始数据_收盘!$A$4:$G$3460,5,0),"")</f>
        <v/>
      </c>
      <c r="F531" t="str">
        <f>IFERROR(VLOOKUP($A531,原始数据_收盘!$A$4:$G$3460,6,0),"")</f>
        <v/>
      </c>
      <c r="G531" t="str">
        <f>IFERROR(VLOOKUP($A531,原始数据_收盘!$A$4:$G$3460,7,0),"")</f>
        <v/>
      </c>
      <c r="H531">
        <f>IFERROR(VLOOKUP($A531,原始数据_利率互换_FR007_1年!$A$6:$C$4395,2,0),"")</f>
        <v>0</v>
      </c>
      <c r="I531">
        <f>IFERROR(VLOOKUP($A531,原始数据_利率互换_FR007_1年!$A$6:$C$4395,3,0),"")</f>
        <v>3.29</v>
      </c>
    </row>
    <row r="532" spans="1:9">
      <c r="A532" s="6">
        <v>40025</v>
      </c>
      <c r="B532" t="str">
        <f>IFERROR(VLOOKUP($A532,原始数据_收盘!$A$4:$G$3460,2,0),"")</f>
        <v/>
      </c>
      <c r="C532" t="str">
        <f>IFERROR(VLOOKUP($A532,原始数据_收盘!$A$4:$G$3460,3,0),"")</f>
        <v/>
      </c>
      <c r="D532" t="str">
        <f>IFERROR(VLOOKUP($A532,原始数据_收盘!$A$4:$G$3460,4,0),"")</f>
        <v/>
      </c>
      <c r="E532" t="str">
        <f>IFERROR(VLOOKUP($A532,原始数据_收盘!$A$4:$G$3460,5,0),"")</f>
        <v/>
      </c>
      <c r="F532" t="str">
        <f>IFERROR(VLOOKUP($A532,原始数据_收盘!$A$4:$G$3460,6,0),"")</f>
        <v/>
      </c>
      <c r="G532" t="str">
        <f>IFERROR(VLOOKUP($A532,原始数据_收盘!$A$4:$G$3460,7,0),"")</f>
        <v/>
      </c>
      <c r="H532">
        <f>IFERROR(VLOOKUP($A532,原始数据_利率互换_FR007_1年!$A$6:$C$4395,2,0),"")</f>
        <v>2</v>
      </c>
      <c r="I532">
        <f>IFERROR(VLOOKUP($A532,原始数据_利率互换_FR007_1年!$A$6:$C$4395,3,0),"")</f>
        <v>3.33</v>
      </c>
    </row>
    <row r="533" spans="1:9">
      <c r="A533" s="6">
        <v>40026</v>
      </c>
      <c r="B533" t="str">
        <f>IFERROR(VLOOKUP($A533,原始数据_收盘!$A$4:$G$3460,2,0),"")</f>
        <v/>
      </c>
      <c r="C533" t="str">
        <f>IFERROR(VLOOKUP($A533,原始数据_收盘!$A$4:$G$3460,3,0),"")</f>
        <v/>
      </c>
      <c r="D533" t="str">
        <f>IFERROR(VLOOKUP($A533,原始数据_收盘!$A$4:$G$3460,4,0),"")</f>
        <v/>
      </c>
      <c r="E533" t="str">
        <f>IFERROR(VLOOKUP($A533,原始数据_收盘!$A$4:$G$3460,5,0),"")</f>
        <v/>
      </c>
      <c r="F533" t="str">
        <f>IFERROR(VLOOKUP($A533,原始数据_收盘!$A$4:$G$3460,6,0),"")</f>
        <v/>
      </c>
      <c r="G533" t="str">
        <f>IFERROR(VLOOKUP($A533,原始数据_收盘!$A$4:$G$3460,7,0),"")</f>
        <v/>
      </c>
      <c r="H533" t="str">
        <f>IFERROR(VLOOKUP($A533,原始数据_利率互换_FR007_1年!$A$6:$C$4395,2,0),"")</f>
        <v/>
      </c>
      <c r="I533" t="str">
        <f>IFERROR(VLOOKUP($A533,原始数据_利率互换_FR007_1年!$A$6:$C$4395,3,0),"")</f>
        <v/>
      </c>
    </row>
    <row r="534" spans="1:9">
      <c r="A534" s="6">
        <v>40027</v>
      </c>
      <c r="B534" t="str">
        <f>IFERROR(VLOOKUP($A534,原始数据_收盘!$A$4:$G$3460,2,0),"")</f>
        <v/>
      </c>
      <c r="C534" t="str">
        <f>IFERROR(VLOOKUP($A534,原始数据_收盘!$A$4:$G$3460,3,0),"")</f>
        <v/>
      </c>
      <c r="D534" t="str">
        <f>IFERROR(VLOOKUP($A534,原始数据_收盘!$A$4:$G$3460,4,0),"")</f>
        <v/>
      </c>
      <c r="E534" t="str">
        <f>IFERROR(VLOOKUP($A534,原始数据_收盘!$A$4:$G$3460,5,0),"")</f>
        <v/>
      </c>
      <c r="F534" t="str">
        <f>IFERROR(VLOOKUP($A534,原始数据_收盘!$A$4:$G$3460,6,0),"")</f>
        <v/>
      </c>
      <c r="G534" t="str">
        <f>IFERROR(VLOOKUP($A534,原始数据_收盘!$A$4:$G$3460,7,0),"")</f>
        <v/>
      </c>
      <c r="H534" t="str">
        <f>IFERROR(VLOOKUP($A534,原始数据_利率互换_FR007_1年!$A$6:$C$4395,2,0),"")</f>
        <v/>
      </c>
      <c r="I534" t="str">
        <f>IFERROR(VLOOKUP($A534,原始数据_利率互换_FR007_1年!$A$6:$C$4395,3,0),"")</f>
        <v/>
      </c>
    </row>
    <row r="535" spans="1:9">
      <c r="A535" s="6">
        <v>40028</v>
      </c>
      <c r="B535" t="str">
        <f>IFERROR(VLOOKUP($A535,原始数据_收盘!$A$4:$G$3460,2,0),"")</f>
        <v/>
      </c>
      <c r="C535" t="str">
        <f>IFERROR(VLOOKUP($A535,原始数据_收盘!$A$4:$G$3460,3,0),"")</f>
        <v/>
      </c>
      <c r="D535" t="str">
        <f>IFERROR(VLOOKUP($A535,原始数据_收盘!$A$4:$G$3460,4,0),"")</f>
        <v/>
      </c>
      <c r="E535" t="str">
        <f>IFERROR(VLOOKUP($A535,原始数据_收盘!$A$4:$G$3460,5,0),"")</f>
        <v/>
      </c>
      <c r="F535" t="str">
        <f>IFERROR(VLOOKUP($A535,原始数据_收盘!$A$4:$G$3460,6,0),"")</f>
        <v/>
      </c>
      <c r="G535" t="str">
        <f>IFERROR(VLOOKUP($A535,原始数据_收盘!$A$4:$G$3460,7,0),"")</f>
        <v/>
      </c>
      <c r="H535">
        <f>IFERROR(VLOOKUP($A535,原始数据_利率互换_FR007_1年!$A$6:$C$4395,2,0),"")</f>
        <v>0</v>
      </c>
      <c r="I535">
        <f>IFERROR(VLOOKUP($A535,原始数据_利率互换_FR007_1年!$A$6:$C$4395,3,0),"")</f>
        <v>3.33</v>
      </c>
    </row>
    <row r="536" spans="1:9">
      <c r="A536" s="6">
        <v>40029</v>
      </c>
      <c r="B536" t="str">
        <f>IFERROR(VLOOKUP($A536,原始数据_收盘!$A$4:$G$3460,2,0),"")</f>
        <v/>
      </c>
      <c r="C536" t="str">
        <f>IFERROR(VLOOKUP($A536,原始数据_收盘!$A$4:$G$3460,3,0),"")</f>
        <v/>
      </c>
      <c r="D536" t="str">
        <f>IFERROR(VLOOKUP($A536,原始数据_收盘!$A$4:$G$3460,4,0),"")</f>
        <v/>
      </c>
      <c r="E536" t="str">
        <f>IFERROR(VLOOKUP($A536,原始数据_收盘!$A$4:$G$3460,5,0),"")</f>
        <v/>
      </c>
      <c r="F536" t="str">
        <f>IFERROR(VLOOKUP($A536,原始数据_收盘!$A$4:$G$3460,6,0),"")</f>
        <v/>
      </c>
      <c r="G536" t="str">
        <f>IFERROR(VLOOKUP($A536,原始数据_收盘!$A$4:$G$3460,7,0),"")</f>
        <v/>
      </c>
      <c r="H536">
        <f>IFERROR(VLOOKUP($A536,原始数据_利率互换_FR007_1年!$A$6:$C$4395,2,0),"")</f>
        <v>2.02</v>
      </c>
      <c r="I536">
        <f>IFERROR(VLOOKUP($A536,原始数据_利率互换_FR007_1年!$A$6:$C$4395,3,0),"")</f>
        <v>0</v>
      </c>
    </row>
    <row r="537" spans="1:9">
      <c r="A537" s="6">
        <v>40030</v>
      </c>
      <c r="B537" t="str">
        <f>IFERROR(VLOOKUP($A537,原始数据_收盘!$A$4:$G$3460,2,0),"")</f>
        <v/>
      </c>
      <c r="C537" t="str">
        <f>IFERROR(VLOOKUP($A537,原始数据_收盘!$A$4:$G$3460,3,0),"")</f>
        <v/>
      </c>
      <c r="D537" t="str">
        <f>IFERROR(VLOOKUP($A537,原始数据_收盘!$A$4:$G$3460,4,0),"")</f>
        <v/>
      </c>
      <c r="E537" t="str">
        <f>IFERROR(VLOOKUP($A537,原始数据_收盘!$A$4:$G$3460,5,0),"")</f>
        <v/>
      </c>
      <c r="F537" t="str">
        <f>IFERROR(VLOOKUP($A537,原始数据_收盘!$A$4:$G$3460,6,0),"")</f>
        <v/>
      </c>
      <c r="G537" t="str">
        <f>IFERROR(VLOOKUP($A537,原始数据_收盘!$A$4:$G$3460,7,0),"")</f>
        <v/>
      </c>
      <c r="H537">
        <f>IFERROR(VLOOKUP($A537,原始数据_利率互换_FR007_1年!$A$6:$C$4395,2,0),"")</f>
        <v>2</v>
      </c>
      <c r="I537">
        <f>IFERROR(VLOOKUP($A537,原始数据_利率互换_FR007_1年!$A$6:$C$4395,3,0),"")</f>
        <v>3.34</v>
      </c>
    </row>
    <row r="538" spans="1:9">
      <c r="A538" s="6">
        <v>40031</v>
      </c>
      <c r="B538" t="str">
        <f>IFERROR(VLOOKUP($A538,原始数据_收盘!$A$4:$G$3460,2,0),"")</f>
        <v/>
      </c>
      <c r="C538" t="str">
        <f>IFERROR(VLOOKUP($A538,原始数据_收盘!$A$4:$G$3460,3,0),"")</f>
        <v/>
      </c>
      <c r="D538" t="str">
        <f>IFERROR(VLOOKUP($A538,原始数据_收盘!$A$4:$G$3460,4,0),"")</f>
        <v/>
      </c>
      <c r="E538" t="str">
        <f>IFERROR(VLOOKUP($A538,原始数据_收盘!$A$4:$G$3460,5,0),"")</f>
        <v/>
      </c>
      <c r="F538" t="str">
        <f>IFERROR(VLOOKUP($A538,原始数据_收盘!$A$4:$G$3460,6,0),"")</f>
        <v/>
      </c>
      <c r="G538" t="str">
        <f>IFERROR(VLOOKUP($A538,原始数据_收盘!$A$4:$G$3460,7,0),"")</f>
        <v/>
      </c>
      <c r="H538">
        <f>IFERROR(VLOOKUP($A538,原始数据_利率互换_FR007_1年!$A$6:$C$4395,2,0),"")</f>
        <v>1.97</v>
      </c>
      <c r="I538">
        <f>IFERROR(VLOOKUP($A538,原始数据_利率互换_FR007_1年!$A$6:$C$4395,3,0),"")</f>
        <v>3.34</v>
      </c>
    </row>
    <row r="539" spans="1:9">
      <c r="A539" s="6">
        <v>40032</v>
      </c>
      <c r="B539" t="str">
        <f>IFERROR(VLOOKUP($A539,原始数据_收盘!$A$4:$G$3460,2,0),"")</f>
        <v/>
      </c>
      <c r="C539" t="str">
        <f>IFERROR(VLOOKUP($A539,原始数据_收盘!$A$4:$G$3460,3,0),"")</f>
        <v/>
      </c>
      <c r="D539" t="str">
        <f>IFERROR(VLOOKUP($A539,原始数据_收盘!$A$4:$G$3460,4,0),"")</f>
        <v/>
      </c>
      <c r="E539" t="str">
        <f>IFERROR(VLOOKUP($A539,原始数据_收盘!$A$4:$G$3460,5,0),"")</f>
        <v/>
      </c>
      <c r="F539" t="str">
        <f>IFERROR(VLOOKUP($A539,原始数据_收盘!$A$4:$G$3460,6,0),"")</f>
        <v/>
      </c>
      <c r="G539" t="str">
        <f>IFERROR(VLOOKUP($A539,原始数据_收盘!$A$4:$G$3460,7,0),"")</f>
        <v/>
      </c>
      <c r="H539">
        <f>IFERROR(VLOOKUP($A539,原始数据_利率互换_FR007_1年!$A$6:$C$4395,2,0),"")</f>
        <v>0</v>
      </c>
      <c r="I539">
        <f>IFERROR(VLOOKUP($A539,原始数据_利率互换_FR007_1年!$A$6:$C$4395,3,0),"")</f>
        <v>3.37</v>
      </c>
    </row>
    <row r="540" spans="1:9">
      <c r="A540" s="6">
        <v>40033</v>
      </c>
      <c r="B540" t="str">
        <f>IFERROR(VLOOKUP($A540,原始数据_收盘!$A$4:$G$3460,2,0),"")</f>
        <v/>
      </c>
      <c r="C540" t="str">
        <f>IFERROR(VLOOKUP($A540,原始数据_收盘!$A$4:$G$3460,3,0),"")</f>
        <v/>
      </c>
      <c r="D540" t="str">
        <f>IFERROR(VLOOKUP($A540,原始数据_收盘!$A$4:$G$3460,4,0),"")</f>
        <v/>
      </c>
      <c r="E540" t="str">
        <f>IFERROR(VLOOKUP($A540,原始数据_收盘!$A$4:$G$3460,5,0),"")</f>
        <v/>
      </c>
      <c r="F540" t="str">
        <f>IFERROR(VLOOKUP($A540,原始数据_收盘!$A$4:$G$3460,6,0),"")</f>
        <v/>
      </c>
      <c r="G540" t="str">
        <f>IFERROR(VLOOKUP($A540,原始数据_收盘!$A$4:$G$3460,7,0),"")</f>
        <v/>
      </c>
      <c r="H540" t="str">
        <f>IFERROR(VLOOKUP($A540,原始数据_利率互换_FR007_1年!$A$6:$C$4395,2,0),"")</f>
        <v/>
      </c>
      <c r="I540" t="str">
        <f>IFERROR(VLOOKUP($A540,原始数据_利率互换_FR007_1年!$A$6:$C$4395,3,0),"")</f>
        <v/>
      </c>
    </row>
    <row r="541" spans="1:9">
      <c r="A541" s="6">
        <v>40034</v>
      </c>
      <c r="B541" t="str">
        <f>IFERROR(VLOOKUP($A541,原始数据_收盘!$A$4:$G$3460,2,0),"")</f>
        <v/>
      </c>
      <c r="C541" t="str">
        <f>IFERROR(VLOOKUP($A541,原始数据_收盘!$A$4:$G$3460,3,0),"")</f>
        <v/>
      </c>
      <c r="D541" t="str">
        <f>IFERROR(VLOOKUP($A541,原始数据_收盘!$A$4:$G$3460,4,0),"")</f>
        <v/>
      </c>
      <c r="E541" t="str">
        <f>IFERROR(VLOOKUP($A541,原始数据_收盘!$A$4:$G$3460,5,0),"")</f>
        <v/>
      </c>
      <c r="F541" t="str">
        <f>IFERROR(VLOOKUP($A541,原始数据_收盘!$A$4:$G$3460,6,0),"")</f>
        <v/>
      </c>
      <c r="G541" t="str">
        <f>IFERROR(VLOOKUP($A541,原始数据_收盘!$A$4:$G$3460,7,0),"")</f>
        <v/>
      </c>
      <c r="H541" t="str">
        <f>IFERROR(VLOOKUP($A541,原始数据_利率互换_FR007_1年!$A$6:$C$4395,2,0),"")</f>
        <v/>
      </c>
      <c r="I541" t="str">
        <f>IFERROR(VLOOKUP($A541,原始数据_利率互换_FR007_1年!$A$6:$C$4395,3,0),"")</f>
        <v/>
      </c>
    </row>
    <row r="542" spans="1:9">
      <c r="A542" s="6">
        <v>40035</v>
      </c>
      <c r="B542" t="str">
        <f>IFERROR(VLOOKUP($A542,原始数据_收盘!$A$4:$G$3460,2,0),"")</f>
        <v/>
      </c>
      <c r="C542" t="str">
        <f>IFERROR(VLOOKUP($A542,原始数据_收盘!$A$4:$G$3460,3,0),"")</f>
        <v/>
      </c>
      <c r="D542" t="str">
        <f>IFERROR(VLOOKUP($A542,原始数据_收盘!$A$4:$G$3460,4,0),"")</f>
        <v/>
      </c>
      <c r="E542" t="str">
        <f>IFERROR(VLOOKUP($A542,原始数据_收盘!$A$4:$G$3460,5,0),"")</f>
        <v/>
      </c>
      <c r="F542" t="str">
        <f>IFERROR(VLOOKUP($A542,原始数据_收盘!$A$4:$G$3460,6,0),"")</f>
        <v/>
      </c>
      <c r="G542" t="str">
        <f>IFERROR(VLOOKUP($A542,原始数据_收盘!$A$4:$G$3460,7,0),"")</f>
        <v/>
      </c>
      <c r="H542">
        <f>IFERROR(VLOOKUP($A542,原始数据_利率互换_FR007_1年!$A$6:$C$4395,2,0),"")</f>
        <v>2</v>
      </c>
      <c r="I542">
        <f>IFERROR(VLOOKUP($A542,原始数据_利率互换_FR007_1年!$A$6:$C$4395,3,0),"")</f>
        <v>0</v>
      </c>
    </row>
    <row r="543" spans="1:9">
      <c r="A543" s="6">
        <v>40036</v>
      </c>
      <c r="B543" t="str">
        <f>IFERROR(VLOOKUP($A543,原始数据_收盘!$A$4:$G$3460,2,0),"")</f>
        <v/>
      </c>
      <c r="C543" t="str">
        <f>IFERROR(VLOOKUP($A543,原始数据_收盘!$A$4:$G$3460,3,0),"")</f>
        <v/>
      </c>
      <c r="D543" t="str">
        <f>IFERROR(VLOOKUP($A543,原始数据_收盘!$A$4:$G$3460,4,0),"")</f>
        <v/>
      </c>
      <c r="E543" t="str">
        <f>IFERROR(VLOOKUP($A543,原始数据_收盘!$A$4:$G$3460,5,0),"")</f>
        <v/>
      </c>
      <c r="F543" t="str">
        <f>IFERROR(VLOOKUP($A543,原始数据_收盘!$A$4:$G$3460,6,0),"")</f>
        <v/>
      </c>
      <c r="G543" t="str">
        <f>IFERROR(VLOOKUP($A543,原始数据_收盘!$A$4:$G$3460,7,0),"")</f>
        <v/>
      </c>
      <c r="H543">
        <f>IFERROR(VLOOKUP($A543,原始数据_利率互换_FR007_1年!$A$6:$C$4395,2,0),"")</f>
        <v>0</v>
      </c>
      <c r="I543">
        <f>IFERROR(VLOOKUP($A543,原始数据_利率互换_FR007_1年!$A$6:$C$4395,3,0),"")</f>
        <v>3.38</v>
      </c>
    </row>
    <row r="544" spans="1:9">
      <c r="A544" s="6">
        <v>40037</v>
      </c>
      <c r="B544" t="str">
        <f>IFERROR(VLOOKUP($A544,原始数据_收盘!$A$4:$G$3460,2,0),"")</f>
        <v/>
      </c>
      <c r="C544" t="str">
        <f>IFERROR(VLOOKUP($A544,原始数据_收盘!$A$4:$G$3460,3,0),"")</f>
        <v/>
      </c>
      <c r="D544" t="str">
        <f>IFERROR(VLOOKUP($A544,原始数据_收盘!$A$4:$G$3460,4,0),"")</f>
        <v/>
      </c>
      <c r="E544" t="str">
        <f>IFERROR(VLOOKUP($A544,原始数据_收盘!$A$4:$G$3460,5,0),"")</f>
        <v/>
      </c>
      <c r="F544" t="str">
        <f>IFERROR(VLOOKUP($A544,原始数据_收盘!$A$4:$G$3460,6,0),"")</f>
        <v/>
      </c>
      <c r="G544" t="str">
        <f>IFERROR(VLOOKUP($A544,原始数据_收盘!$A$4:$G$3460,7,0),"")</f>
        <v/>
      </c>
      <c r="H544">
        <f>IFERROR(VLOOKUP($A544,原始数据_利率互换_FR007_1年!$A$6:$C$4395,2,0),"")</f>
        <v>1.98</v>
      </c>
      <c r="I544">
        <f>IFERROR(VLOOKUP($A544,原始数据_利率互换_FR007_1年!$A$6:$C$4395,3,0),"")</f>
        <v>0</v>
      </c>
    </row>
    <row r="545" spans="1:9">
      <c r="A545" s="6">
        <v>40038</v>
      </c>
      <c r="B545" t="str">
        <f>IFERROR(VLOOKUP($A545,原始数据_收盘!$A$4:$G$3460,2,0),"")</f>
        <v/>
      </c>
      <c r="C545" t="str">
        <f>IFERROR(VLOOKUP($A545,原始数据_收盘!$A$4:$G$3460,3,0),"")</f>
        <v/>
      </c>
      <c r="D545" t="str">
        <f>IFERROR(VLOOKUP($A545,原始数据_收盘!$A$4:$G$3460,4,0),"")</f>
        <v/>
      </c>
      <c r="E545" t="str">
        <f>IFERROR(VLOOKUP($A545,原始数据_收盘!$A$4:$G$3460,5,0),"")</f>
        <v/>
      </c>
      <c r="F545" t="str">
        <f>IFERROR(VLOOKUP($A545,原始数据_收盘!$A$4:$G$3460,6,0),"")</f>
        <v/>
      </c>
      <c r="G545" t="str">
        <f>IFERROR(VLOOKUP($A545,原始数据_收盘!$A$4:$G$3460,7,0),"")</f>
        <v/>
      </c>
      <c r="H545">
        <f>IFERROR(VLOOKUP($A545,原始数据_利率互换_FR007_1年!$A$6:$C$4395,2,0),"")</f>
        <v>1.99</v>
      </c>
      <c r="I545">
        <f>IFERROR(VLOOKUP($A545,原始数据_利率互换_FR007_1年!$A$6:$C$4395,3,0),"")</f>
        <v>0</v>
      </c>
    </row>
    <row r="546" spans="1:9">
      <c r="A546" s="6">
        <v>40039</v>
      </c>
      <c r="B546" t="str">
        <f>IFERROR(VLOOKUP($A546,原始数据_收盘!$A$4:$G$3460,2,0),"")</f>
        <v/>
      </c>
      <c r="C546" t="str">
        <f>IFERROR(VLOOKUP($A546,原始数据_收盘!$A$4:$G$3460,3,0),"")</f>
        <v/>
      </c>
      <c r="D546" t="str">
        <f>IFERROR(VLOOKUP($A546,原始数据_收盘!$A$4:$G$3460,4,0),"")</f>
        <v/>
      </c>
      <c r="E546" t="str">
        <f>IFERROR(VLOOKUP($A546,原始数据_收盘!$A$4:$G$3460,5,0),"")</f>
        <v/>
      </c>
      <c r="F546" t="str">
        <f>IFERROR(VLOOKUP($A546,原始数据_收盘!$A$4:$G$3460,6,0),"")</f>
        <v/>
      </c>
      <c r="G546" t="str">
        <f>IFERROR(VLOOKUP($A546,原始数据_收盘!$A$4:$G$3460,7,0),"")</f>
        <v/>
      </c>
      <c r="H546">
        <f>IFERROR(VLOOKUP($A546,原始数据_利率互换_FR007_1年!$A$6:$C$4395,2,0),"")</f>
        <v>2</v>
      </c>
      <c r="I546">
        <f>IFERROR(VLOOKUP($A546,原始数据_利率互换_FR007_1年!$A$6:$C$4395,3,0),"")</f>
        <v>0</v>
      </c>
    </row>
    <row r="547" spans="1:9">
      <c r="A547" s="6">
        <v>40040</v>
      </c>
      <c r="B547" t="str">
        <f>IFERROR(VLOOKUP($A547,原始数据_收盘!$A$4:$G$3460,2,0),"")</f>
        <v/>
      </c>
      <c r="C547" t="str">
        <f>IFERROR(VLOOKUP($A547,原始数据_收盘!$A$4:$G$3460,3,0),"")</f>
        <v/>
      </c>
      <c r="D547" t="str">
        <f>IFERROR(VLOOKUP($A547,原始数据_收盘!$A$4:$G$3460,4,0),"")</f>
        <v/>
      </c>
      <c r="E547" t="str">
        <f>IFERROR(VLOOKUP($A547,原始数据_收盘!$A$4:$G$3460,5,0),"")</f>
        <v/>
      </c>
      <c r="F547" t="str">
        <f>IFERROR(VLOOKUP($A547,原始数据_收盘!$A$4:$G$3460,6,0),"")</f>
        <v/>
      </c>
      <c r="G547" t="str">
        <f>IFERROR(VLOOKUP($A547,原始数据_收盘!$A$4:$G$3460,7,0),"")</f>
        <v/>
      </c>
      <c r="H547" t="str">
        <f>IFERROR(VLOOKUP($A547,原始数据_利率互换_FR007_1年!$A$6:$C$4395,2,0),"")</f>
        <v/>
      </c>
      <c r="I547" t="str">
        <f>IFERROR(VLOOKUP($A547,原始数据_利率互换_FR007_1年!$A$6:$C$4395,3,0),"")</f>
        <v/>
      </c>
    </row>
    <row r="548" spans="1:9">
      <c r="A548" s="6">
        <v>40041</v>
      </c>
      <c r="B548" t="str">
        <f>IFERROR(VLOOKUP($A548,原始数据_收盘!$A$4:$G$3460,2,0),"")</f>
        <v/>
      </c>
      <c r="C548" t="str">
        <f>IFERROR(VLOOKUP($A548,原始数据_收盘!$A$4:$G$3460,3,0),"")</f>
        <v/>
      </c>
      <c r="D548" t="str">
        <f>IFERROR(VLOOKUP($A548,原始数据_收盘!$A$4:$G$3460,4,0),"")</f>
        <v/>
      </c>
      <c r="E548" t="str">
        <f>IFERROR(VLOOKUP($A548,原始数据_收盘!$A$4:$G$3460,5,0),"")</f>
        <v/>
      </c>
      <c r="F548" t="str">
        <f>IFERROR(VLOOKUP($A548,原始数据_收盘!$A$4:$G$3460,6,0),"")</f>
        <v/>
      </c>
      <c r="G548" t="str">
        <f>IFERROR(VLOOKUP($A548,原始数据_收盘!$A$4:$G$3460,7,0),"")</f>
        <v/>
      </c>
      <c r="H548" t="str">
        <f>IFERROR(VLOOKUP($A548,原始数据_利率互换_FR007_1年!$A$6:$C$4395,2,0),"")</f>
        <v/>
      </c>
      <c r="I548" t="str">
        <f>IFERROR(VLOOKUP($A548,原始数据_利率互换_FR007_1年!$A$6:$C$4395,3,0),"")</f>
        <v/>
      </c>
    </row>
    <row r="549" spans="1:9">
      <c r="A549" s="6">
        <v>40042</v>
      </c>
      <c r="B549" t="str">
        <f>IFERROR(VLOOKUP($A549,原始数据_收盘!$A$4:$G$3460,2,0),"")</f>
        <v/>
      </c>
      <c r="C549" t="str">
        <f>IFERROR(VLOOKUP($A549,原始数据_收盘!$A$4:$G$3460,3,0),"")</f>
        <v/>
      </c>
      <c r="D549" t="str">
        <f>IFERROR(VLOOKUP($A549,原始数据_收盘!$A$4:$G$3460,4,0),"")</f>
        <v/>
      </c>
      <c r="E549" t="str">
        <f>IFERROR(VLOOKUP($A549,原始数据_收盘!$A$4:$G$3460,5,0),"")</f>
        <v/>
      </c>
      <c r="F549" t="str">
        <f>IFERROR(VLOOKUP($A549,原始数据_收盘!$A$4:$G$3460,6,0),"")</f>
        <v/>
      </c>
      <c r="G549" t="str">
        <f>IFERROR(VLOOKUP($A549,原始数据_收盘!$A$4:$G$3460,7,0),"")</f>
        <v/>
      </c>
      <c r="H549" t="str">
        <f>IFERROR(VLOOKUP($A549,原始数据_利率互换_FR007_1年!$A$6:$C$4395,2,0),"")</f>
        <v/>
      </c>
      <c r="I549" t="str">
        <f>IFERROR(VLOOKUP($A549,原始数据_利率互换_FR007_1年!$A$6:$C$4395,3,0),"")</f>
        <v/>
      </c>
    </row>
    <row r="550" spans="1:9">
      <c r="A550" s="6">
        <v>40043</v>
      </c>
      <c r="B550" t="str">
        <f>IFERROR(VLOOKUP($A550,原始数据_收盘!$A$4:$G$3460,2,0),"")</f>
        <v/>
      </c>
      <c r="C550" t="str">
        <f>IFERROR(VLOOKUP($A550,原始数据_收盘!$A$4:$G$3460,3,0),"")</f>
        <v/>
      </c>
      <c r="D550" t="str">
        <f>IFERROR(VLOOKUP($A550,原始数据_收盘!$A$4:$G$3460,4,0),"")</f>
        <v/>
      </c>
      <c r="E550" t="str">
        <f>IFERROR(VLOOKUP($A550,原始数据_收盘!$A$4:$G$3460,5,0),"")</f>
        <v/>
      </c>
      <c r="F550" t="str">
        <f>IFERROR(VLOOKUP($A550,原始数据_收盘!$A$4:$G$3460,6,0),"")</f>
        <v/>
      </c>
      <c r="G550" t="str">
        <f>IFERROR(VLOOKUP($A550,原始数据_收盘!$A$4:$G$3460,7,0),"")</f>
        <v/>
      </c>
      <c r="H550">
        <f>IFERROR(VLOOKUP($A550,原始数据_利率互换_FR007_1年!$A$6:$C$4395,2,0),"")</f>
        <v>1.94</v>
      </c>
      <c r="I550">
        <f>IFERROR(VLOOKUP($A550,原始数据_利率互换_FR007_1年!$A$6:$C$4395,3,0),"")</f>
        <v>0</v>
      </c>
    </row>
    <row r="551" spans="1:9">
      <c r="A551" s="6">
        <v>40044</v>
      </c>
      <c r="B551" t="str">
        <f>IFERROR(VLOOKUP($A551,原始数据_收盘!$A$4:$G$3460,2,0),"")</f>
        <v/>
      </c>
      <c r="C551" t="str">
        <f>IFERROR(VLOOKUP($A551,原始数据_收盘!$A$4:$G$3460,3,0),"")</f>
        <v/>
      </c>
      <c r="D551" t="str">
        <f>IFERROR(VLOOKUP($A551,原始数据_收盘!$A$4:$G$3460,4,0),"")</f>
        <v/>
      </c>
      <c r="E551" t="str">
        <f>IFERROR(VLOOKUP($A551,原始数据_收盘!$A$4:$G$3460,5,0),"")</f>
        <v/>
      </c>
      <c r="F551" t="str">
        <f>IFERROR(VLOOKUP($A551,原始数据_收盘!$A$4:$G$3460,6,0),"")</f>
        <v/>
      </c>
      <c r="G551" t="str">
        <f>IFERROR(VLOOKUP($A551,原始数据_收盘!$A$4:$G$3460,7,0),"")</f>
        <v/>
      </c>
      <c r="H551">
        <f>IFERROR(VLOOKUP($A551,原始数据_利率互换_FR007_1年!$A$6:$C$4395,2,0),"")</f>
        <v>1.9</v>
      </c>
      <c r="I551">
        <f>IFERROR(VLOOKUP($A551,原始数据_利率互换_FR007_1年!$A$6:$C$4395,3,0),"")</f>
        <v>0</v>
      </c>
    </row>
    <row r="552" spans="1:9">
      <c r="A552" s="6">
        <v>40045</v>
      </c>
      <c r="B552" t="str">
        <f>IFERROR(VLOOKUP($A552,原始数据_收盘!$A$4:$G$3460,2,0),"")</f>
        <v/>
      </c>
      <c r="C552" t="str">
        <f>IFERROR(VLOOKUP($A552,原始数据_收盘!$A$4:$G$3460,3,0),"")</f>
        <v/>
      </c>
      <c r="D552" t="str">
        <f>IFERROR(VLOOKUP($A552,原始数据_收盘!$A$4:$G$3460,4,0),"")</f>
        <v/>
      </c>
      <c r="E552" t="str">
        <f>IFERROR(VLOOKUP($A552,原始数据_收盘!$A$4:$G$3460,5,0),"")</f>
        <v/>
      </c>
      <c r="F552" t="str">
        <f>IFERROR(VLOOKUP($A552,原始数据_收盘!$A$4:$G$3460,6,0),"")</f>
        <v/>
      </c>
      <c r="G552" t="str">
        <f>IFERROR(VLOOKUP($A552,原始数据_收盘!$A$4:$G$3460,7,0),"")</f>
        <v/>
      </c>
      <c r="H552">
        <f>IFERROR(VLOOKUP($A552,原始数据_利率互换_FR007_1年!$A$6:$C$4395,2,0),"")</f>
        <v>1.86</v>
      </c>
      <c r="I552">
        <f>IFERROR(VLOOKUP($A552,原始数据_利率互换_FR007_1年!$A$6:$C$4395,3,0),"")</f>
        <v>0</v>
      </c>
    </row>
    <row r="553" spans="1:9">
      <c r="A553" s="6">
        <v>40046</v>
      </c>
      <c r="B553" t="str">
        <f>IFERROR(VLOOKUP($A553,原始数据_收盘!$A$4:$G$3460,2,0),"")</f>
        <v/>
      </c>
      <c r="C553" t="str">
        <f>IFERROR(VLOOKUP($A553,原始数据_收盘!$A$4:$G$3460,3,0),"")</f>
        <v/>
      </c>
      <c r="D553" t="str">
        <f>IFERROR(VLOOKUP($A553,原始数据_收盘!$A$4:$G$3460,4,0),"")</f>
        <v/>
      </c>
      <c r="E553" t="str">
        <f>IFERROR(VLOOKUP($A553,原始数据_收盘!$A$4:$G$3460,5,0),"")</f>
        <v/>
      </c>
      <c r="F553" t="str">
        <f>IFERROR(VLOOKUP($A553,原始数据_收盘!$A$4:$G$3460,6,0),"")</f>
        <v/>
      </c>
      <c r="G553" t="str">
        <f>IFERROR(VLOOKUP($A553,原始数据_收盘!$A$4:$G$3460,7,0),"")</f>
        <v/>
      </c>
      <c r="H553">
        <f>IFERROR(VLOOKUP($A553,原始数据_利率互换_FR007_1年!$A$6:$C$4395,2,0),"")</f>
        <v>1.88</v>
      </c>
      <c r="I553">
        <f>IFERROR(VLOOKUP($A553,原始数据_利率互换_FR007_1年!$A$6:$C$4395,3,0),"")</f>
        <v>3.27</v>
      </c>
    </row>
    <row r="554" spans="1:9">
      <c r="A554" s="6">
        <v>40047</v>
      </c>
      <c r="B554" t="str">
        <f>IFERROR(VLOOKUP($A554,原始数据_收盘!$A$4:$G$3460,2,0),"")</f>
        <v/>
      </c>
      <c r="C554" t="str">
        <f>IFERROR(VLOOKUP($A554,原始数据_收盘!$A$4:$G$3460,3,0),"")</f>
        <v/>
      </c>
      <c r="D554" t="str">
        <f>IFERROR(VLOOKUP($A554,原始数据_收盘!$A$4:$G$3460,4,0),"")</f>
        <v/>
      </c>
      <c r="E554" t="str">
        <f>IFERROR(VLOOKUP($A554,原始数据_收盘!$A$4:$G$3460,5,0),"")</f>
        <v/>
      </c>
      <c r="F554" t="str">
        <f>IFERROR(VLOOKUP($A554,原始数据_收盘!$A$4:$G$3460,6,0),"")</f>
        <v/>
      </c>
      <c r="G554" t="str">
        <f>IFERROR(VLOOKUP($A554,原始数据_收盘!$A$4:$G$3460,7,0),"")</f>
        <v/>
      </c>
      <c r="H554" t="str">
        <f>IFERROR(VLOOKUP($A554,原始数据_利率互换_FR007_1年!$A$6:$C$4395,2,0),"")</f>
        <v/>
      </c>
      <c r="I554" t="str">
        <f>IFERROR(VLOOKUP($A554,原始数据_利率互换_FR007_1年!$A$6:$C$4395,3,0),"")</f>
        <v/>
      </c>
    </row>
    <row r="555" spans="1:9">
      <c r="A555" s="6">
        <v>40048</v>
      </c>
      <c r="B555" t="str">
        <f>IFERROR(VLOOKUP($A555,原始数据_收盘!$A$4:$G$3460,2,0),"")</f>
        <v/>
      </c>
      <c r="C555" t="str">
        <f>IFERROR(VLOOKUP($A555,原始数据_收盘!$A$4:$G$3460,3,0),"")</f>
        <v/>
      </c>
      <c r="D555" t="str">
        <f>IFERROR(VLOOKUP($A555,原始数据_收盘!$A$4:$G$3460,4,0),"")</f>
        <v/>
      </c>
      <c r="E555" t="str">
        <f>IFERROR(VLOOKUP($A555,原始数据_收盘!$A$4:$G$3460,5,0),"")</f>
        <v/>
      </c>
      <c r="F555" t="str">
        <f>IFERROR(VLOOKUP($A555,原始数据_收盘!$A$4:$G$3460,6,0),"")</f>
        <v/>
      </c>
      <c r="G555" t="str">
        <f>IFERROR(VLOOKUP($A555,原始数据_收盘!$A$4:$G$3460,7,0),"")</f>
        <v/>
      </c>
      <c r="H555" t="str">
        <f>IFERROR(VLOOKUP($A555,原始数据_利率互换_FR007_1年!$A$6:$C$4395,2,0),"")</f>
        <v/>
      </c>
      <c r="I555" t="str">
        <f>IFERROR(VLOOKUP($A555,原始数据_利率互换_FR007_1年!$A$6:$C$4395,3,0),"")</f>
        <v/>
      </c>
    </row>
    <row r="556" spans="1:9">
      <c r="A556" s="6">
        <v>40049</v>
      </c>
      <c r="B556" t="str">
        <f>IFERROR(VLOOKUP($A556,原始数据_收盘!$A$4:$G$3460,2,0),"")</f>
        <v/>
      </c>
      <c r="C556" t="str">
        <f>IFERROR(VLOOKUP($A556,原始数据_收盘!$A$4:$G$3460,3,0),"")</f>
        <v/>
      </c>
      <c r="D556" t="str">
        <f>IFERROR(VLOOKUP($A556,原始数据_收盘!$A$4:$G$3460,4,0),"")</f>
        <v/>
      </c>
      <c r="E556" t="str">
        <f>IFERROR(VLOOKUP($A556,原始数据_收盘!$A$4:$G$3460,5,0),"")</f>
        <v/>
      </c>
      <c r="F556" t="str">
        <f>IFERROR(VLOOKUP($A556,原始数据_收盘!$A$4:$G$3460,6,0),"")</f>
        <v/>
      </c>
      <c r="G556" t="str">
        <f>IFERROR(VLOOKUP($A556,原始数据_收盘!$A$4:$G$3460,7,0),"")</f>
        <v/>
      </c>
      <c r="H556">
        <f>IFERROR(VLOOKUP($A556,原始数据_利率互换_FR007_1年!$A$6:$C$4395,2,0),"")</f>
        <v>1.94</v>
      </c>
      <c r="I556">
        <f>IFERROR(VLOOKUP($A556,原始数据_利率互换_FR007_1年!$A$6:$C$4395,3,0),"")</f>
        <v>3.34</v>
      </c>
    </row>
    <row r="557" spans="1:9">
      <c r="A557" s="6">
        <v>40050</v>
      </c>
      <c r="B557" t="str">
        <f>IFERROR(VLOOKUP($A557,原始数据_收盘!$A$4:$G$3460,2,0),"")</f>
        <v/>
      </c>
      <c r="C557" t="str">
        <f>IFERROR(VLOOKUP($A557,原始数据_收盘!$A$4:$G$3460,3,0),"")</f>
        <v/>
      </c>
      <c r="D557" t="str">
        <f>IFERROR(VLOOKUP($A557,原始数据_收盘!$A$4:$G$3460,4,0),"")</f>
        <v/>
      </c>
      <c r="E557" t="str">
        <f>IFERROR(VLOOKUP($A557,原始数据_收盘!$A$4:$G$3460,5,0),"")</f>
        <v/>
      </c>
      <c r="F557" t="str">
        <f>IFERROR(VLOOKUP($A557,原始数据_收盘!$A$4:$G$3460,6,0),"")</f>
        <v/>
      </c>
      <c r="G557" t="str">
        <f>IFERROR(VLOOKUP($A557,原始数据_收盘!$A$4:$G$3460,7,0),"")</f>
        <v/>
      </c>
      <c r="H557">
        <f>IFERROR(VLOOKUP($A557,原始数据_利率互换_FR007_1年!$A$6:$C$4395,2,0),"")</f>
        <v>1.89</v>
      </c>
      <c r="I557">
        <f>IFERROR(VLOOKUP($A557,原始数据_利率互换_FR007_1年!$A$6:$C$4395,3,0),"")</f>
        <v>3.32</v>
      </c>
    </row>
    <row r="558" spans="1:9">
      <c r="A558" s="6">
        <v>40051</v>
      </c>
      <c r="B558" t="str">
        <f>IFERROR(VLOOKUP($A558,原始数据_收盘!$A$4:$G$3460,2,0),"")</f>
        <v/>
      </c>
      <c r="C558" t="str">
        <f>IFERROR(VLOOKUP($A558,原始数据_收盘!$A$4:$G$3460,3,0),"")</f>
        <v/>
      </c>
      <c r="D558" t="str">
        <f>IFERROR(VLOOKUP($A558,原始数据_收盘!$A$4:$G$3460,4,0),"")</f>
        <v/>
      </c>
      <c r="E558" t="str">
        <f>IFERROR(VLOOKUP($A558,原始数据_收盘!$A$4:$G$3460,5,0),"")</f>
        <v/>
      </c>
      <c r="F558" t="str">
        <f>IFERROR(VLOOKUP($A558,原始数据_收盘!$A$4:$G$3460,6,0),"")</f>
        <v/>
      </c>
      <c r="G558" t="str">
        <f>IFERROR(VLOOKUP($A558,原始数据_收盘!$A$4:$G$3460,7,0),"")</f>
        <v/>
      </c>
      <c r="H558">
        <f>IFERROR(VLOOKUP($A558,原始数据_利率互换_FR007_1年!$A$6:$C$4395,2,0),"")</f>
        <v>1.89</v>
      </c>
      <c r="I558">
        <f>IFERROR(VLOOKUP($A558,原始数据_利率互换_FR007_1年!$A$6:$C$4395,3,0),"")</f>
        <v>3.33</v>
      </c>
    </row>
    <row r="559" spans="1:9">
      <c r="A559" s="6">
        <v>40052</v>
      </c>
      <c r="B559" t="str">
        <f>IFERROR(VLOOKUP($A559,原始数据_收盘!$A$4:$G$3460,2,0),"")</f>
        <v/>
      </c>
      <c r="C559" t="str">
        <f>IFERROR(VLOOKUP($A559,原始数据_收盘!$A$4:$G$3460,3,0),"")</f>
        <v/>
      </c>
      <c r="D559" t="str">
        <f>IFERROR(VLOOKUP($A559,原始数据_收盘!$A$4:$G$3460,4,0),"")</f>
        <v/>
      </c>
      <c r="E559" t="str">
        <f>IFERROR(VLOOKUP($A559,原始数据_收盘!$A$4:$G$3460,5,0),"")</f>
        <v/>
      </c>
      <c r="F559" t="str">
        <f>IFERROR(VLOOKUP($A559,原始数据_收盘!$A$4:$G$3460,6,0),"")</f>
        <v/>
      </c>
      <c r="G559" t="str">
        <f>IFERROR(VLOOKUP($A559,原始数据_收盘!$A$4:$G$3460,7,0),"")</f>
        <v/>
      </c>
      <c r="H559">
        <f>IFERROR(VLOOKUP($A559,原始数据_利率互换_FR007_1年!$A$6:$C$4395,2,0),"")</f>
        <v>1.89</v>
      </c>
      <c r="I559">
        <f>IFERROR(VLOOKUP($A559,原始数据_利率互换_FR007_1年!$A$6:$C$4395,3,0),"")</f>
        <v>3.33</v>
      </c>
    </row>
    <row r="560" spans="1:9">
      <c r="A560" s="6">
        <v>40053</v>
      </c>
      <c r="B560" t="str">
        <f>IFERROR(VLOOKUP($A560,原始数据_收盘!$A$4:$G$3460,2,0),"")</f>
        <v/>
      </c>
      <c r="C560" t="str">
        <f>IFERROR(VLOOKUP($A560,原始数据_收盘!$A$4:$G$3460,3,0),"")</f>
        <v/>
      </c>
      <c r="D560" t="str">
        <f>IFERROR(VLOOKUP($A560,原始数据_收盘!$A$4:$G$3460,4,0),"")</f>
        <v/>
      </c>
      <c r="E560" t="str">
        <f>IFERROR(VLOOKUP($A560,原始数据_收盘!$A$4:$G$3460,5,0),"")</f>
        <v/>
      </c>
      <c r="F560" t="str">
        <f>IFERROR(VLOOKUP($A560,原始数据_收盘!$A$4:$G$3460,6,0),"")</f>
        <v/>
      </c>
      <c r="G560" t="str">
        <f>IFERROR(VLOOKUP($A560,原始数据_收盘!$A$4:$G$3460,7,0),"")</f>
        <v/>
      </c>
      <c r="H560">
        <f>IFERROR(VLOOKUP($A560,原始数据_利率互换_FR007_1年!$A$6:$C$4395,2,0),"")</f>
        <v>1.87</v>
      </c>
      <c r="I560">
        <f>IFERROR(VLOOKUP($A560,原始数据_利率互换_FR007_1年!$A$6:$C$4395,3,0),"")</f>
        <v>3.24</v>
      </c>
    </row>
    <row r="561" spans="1:9">
      <c r="A561" s="6">
        <v>40054</v>
      </c>
      <c r="B561" t="str">
        <f>IFERROR(VLOOKUP($A561,原始数据_收盘!$A$4:$G$3460,2,0),"")</f>
        <v/>
      </c>
      <c r="C561" t="str">
        <f>IFERROR(VLOOKUP($A561,原始数据_收盘!$A$4:$G$3460,3,0),"")</f>
        <v/>
      </c>
      <c r="D561" t="str">
        <f>IFERROR(VLOOKUP($A561,原始数据_收盘!$A$4:$G$3460,4,0),"")</f>
        <v/>
      </c>
      <c r="E561" t="str">
        <f>IFERROR(VLOOKUP($A561,原始数据_收盘!$A$4:$G$3460,5,0),"")</f>
        <v/>
      </c>
      <c r="F561" t="str">
        <f>IFERROR(VLOOKUP($A561,原始数据_收盘!$A$4:$G$3460,6,0),"")</f>
        <v/>
      </c>
      <c r="G561" t="str">
        <f>IFERROR(VLOOKUP($A561,原始数据_收盘!$A$4:$G$3460,7,0),"")</f>
        <v/>
      </c>
      <c r="H561" t="str">
        <f>IFERROR(VLOOKUP($A561,原始数据_利率互换_FR007_1年!$A$6:$C$4395,2,0),"")</f>
        <v/>
      </c>
      <c r="I561" t="str">
        <f>IFERROR(VLOOKUP($A561,原始数据_利率互换_FR007_1年!$A$6:$C$4395,3,0),"")</f>
        <v/>
      </c>
    </row>
    <row r="562" spans="1:9">
      <c r="A562" s="6">
        <v>40055</v>
      </c>
      <c r="B562" t="str">
        <f>IFERROR(VLOOKUP($A562,原始数据_收盘!$A$4:$G$3460,2,0),"")</f>
        <v/>
      </c>
      <c r="C562" t="str">
        <f>IFERROR(VLOOKUP($A562,原始数据_收盘!$A$4:$G$3460,3,0),"")</f>
        <v/>
      </c>
      <c r="D562" t="str">
        <f>IFERROR(VLOOKUP($A562,原始数据_收盘!$A$4:$G$3460,4,0),"")</f>
        <v/>
      </c>
      <c r="E562" t="str">
        <f>IFERROR(VLOOKUP($A562,原始数据_收盘!$A$4:$G$3460,5,0),"")</f>
        <v/>
      </c>
      <c r="F562" t="str">
        <f>IFERROR(VLOOKUP($A562,原始数据_收盘!$A$4:$G$3460,6,0),"")</f>
        <v/>
      </c>
      <c r="G562" t="str">
        <f>IFERROR(VLOOKUP($A562,原始数据_收盘!$A$4:$G$3460,7,0),"")</f>
        <v/>
      </c>
      <c r="H562" t="str">
        <f>IFERROR(VLOOKUP($A562,原始数据_利率互换_FR007_1年!$A$6:$C$4395,2,0),"")</f>
        <v/>
      </c>
      <c r="I562" t="str">
        <f>IFERROR(VLOOKUP($A562,原始数据_利率互换_FR007_1年!$A$6:$C$4395,3,0),"")</f>
        <v/>
      </c>
    </row>
    <row r="563" spans="1:9">
      <c r="A563" s="6">
        <v>40056</v>
      </c>
      <c r="B563" t="str">
        <f>IFERROR(VLOOKUP($A563,原始数据_收盘!$A$4:$G$3460,2,0),"")</f>
        <v/>
      </c>
      <c r="C563" t="str">
        <f>IFERROR(VLOOKUP($A563,原始数据_收盘!$A$4:$G$3460,3,0),"")</f>
        <v/>
      </c>
      <c r="D563" t="str">
        <f>IFERROR(VLOOKUP($A563,原始数据_收盘!$A$4:$G$3460,4,0),"")</f>
        <v/>
      </c>
      <c r="E563" t="str">
        <f>IFERROR(VLOOKUP($A563,原始数据_收盘!$A$4:$G$3460,5,0),"")</f>
        <v/>
      </c>
      <c r="F563" t="str">
        <f>IFERROR(VLOOKUP($A563,原始数据_收盘!$A$4:$G$3460,6,0),"")</f>
        <v/>
      </c>
      <c r="G563" t="str">
        <f>IFERROR(VLOOKUP($A563,原始数据_收盘!$A$4:$G$3460,7,0),"")</f>
        <v/>
      </c>
      <c r="H563">
        <f>IFERROR(VLOOKUP($A563,原始数据_利率互换_FR007_1年!$A$6:$C$4395,2,0),"")</f>
        <v>1.85</v>
      </c>
      <c r="I563">
        <f>IFERROR(VLOOKUP($A563,原始数据_利率互换_FR007_1年!$A$6:$C$4395,3,0),"")</f>
        <v>0</v>
      </c>
    </row>
    <row r="564" spans="1:9">
      <c r="A564" s="6">
        <v>40057</v>
      </c>
      <c r="B564" t="str">
        <f>IFERROR(VLOOKUP($A564,原始数据_收盘!$A$4:$G$3460,2,0),"")</f>
        <v/>
      </c>
      <c r="C564" t="str">
        <f>IFERROR(VLOOKUP($A564,原始数据_收盘!$A$4:$G$3460,3,0),"")</f>
        <v/>
      </c>
      <c r="D564" t="str">
        <f>IFERROR(VLOOKUP($A564,原始数据_收盘!$A$4:$G$3460,4,0),"")</f>
        <v/>
      </c>
      <c r="E564" t="str">
        <f>IFERROR(VLOOKUP($A564,原始数据_收盘!$A$4:$G$3460,5,0),"")</f>
        <v/>
      </c>
      <c r="F564" t="str">
        <f>IFERROR(VLOOKUP($A564,原始数据_收盘!$A$4:$G$3460,6,0),"")</f>
        <v/>
      </c>
      <c r="G564" t="str">
        <f>IFERROR(VLOOKUP($A564,原始数据_收盘!$A$4:$G$3460,7,0),"")</f>
        <v/>
      </c>
      <c r="H564">
        <f>IFERROR(VLOOKUP($A564,原始数据_利率互换_FR007_1年!$A$6:$C$4395,2,0),"")</f>
        <v>1.86</v>
      </c>
      <c r="I564">
        <f>IFERROR(VLOOKUP($A564,原始数据_利率互换_FR007_1年!$A$6:$C$4395,3,0),"")</f>
        <v>3.22</v>
      </c>
    </row>
    <row r="565" spans="1:9">
      <c r="A565" s="6">
        <v>40058</v>
      </c>
      <c r="B565" t="str">
        <f>IFERROR(VLOOKUP($A565,原始数据_收盘!$A$4:$G$3460,2,0),"")</f>
        <v/>
      </c>
      <c r="C565" t="str">
        <f>IFERROR(VLOOKUP($A565,原始数据_收盘!$A$4:$G$3460,3,0),"")</f>
        <v/>
      </c>
      <c r="D565" t="str">
        <f>IFERROR(VLOOKUP($A565,原始数据_收盘!$A$4:$G$3460,4,0),"")</f>
        <v/>
      </c>
      <c r="E565" t="str">
        <f>IFERROR(VLOOKUP($A565,原始数据_收盘!$A$4:$G$3460,5,0),"")</f>
        <v/>
      </c>
      <c r="F565" t="str">
        <f>IFERROR(VLOOKUP($A565,原始数据_收盘!$A$4:$G$3460,6,0),"")</f>
        <v/>
      </c>
      <c r="G565" t="str">
        <f>IFERROR(VLOOKUP($A565,原始数据_收盘!$A$4:$G$3460,7,0),"")</f>
        <v/>
      </c>
      <c r="H565">
        <f>IFERROR(VLOOKUP($A565,原始数据_利率互换_FR007_1年!$A$6:$C$4395,2,0),"")</f>
        <v>1.83</v>
      </c>
      <c r="I565">
        <f>IFERROR(VLOOKUP($A565,原始数据_利率互换_FR007_1年!$A$6:$C$4395,3,0),"")</f>
        <v>3.2</v>
      </c>
    </row>
    <row r="566" spans="1:9">
      <c r="A566" s="6">
        <v>40059</v>
      </c>
      <c r="B566" t="str">
        <f>IFERROR(VLOOKUP($A566,原始数据_收盘!$A$4:$G$3460,2,0),"")</f>
        <v/>
      </c>
      <c r="C566" t="str">
        <f>IFERROR(VLOOKUP($A566,原始数据_收盘!$A$4:$G$3460,3,0),"")</f>
        <v/>
      </c>
      <c r="D566" t="str">
        <f>IFERROR(VLOOKUP($A566,原始数据_收盘!$A$4:$G$3460,4,0),"")</f>
        <v/>
      </c>
      <c r="E566" t="str">
        <f>IFERROR(VLOOKUP($A566,原始数据_收盘!$A$4:$G$3460,5,0),"")</f>
        <v/>
      </c>
      <c r="F566" t="str">
        <f>IFERROR(VLOOKUP($A566,原始数据_收盘!$A$4:$G$3460,6,0),"")</f>
        <v/>
      </c>
      <c r="G566" t="str">
        <f>IFERROR(VLOOKUP($A566,原始数据_收盘!$A$4:$G$3460,7,0),"")</f>
        <v/>
      </c>
      <c r="H566">
        <f>IFERROR(VLOOKUP($A566,原始数据_利率互换_FR007_1年!$A$6:$C$4395,2,0),"")</f>
        <v>1.84</v>
      </c>
      <c r="I566">
        <f>IFERROR(VLOOKUP($A566,原始数据_利率互换_FR007_1年!$A$6:$C$4395,3,0),"")</f>
        <v>3.17</v>
      </c>
    </row>
    <row r="567" spans="1:9">
      <c r="A567" s="6">
        <v>40060</v>
      </c>
      <c r="B567" t="str">
        <f>IFERROR(VLOOKUP($A567,原始数据_收盘!$A$4:$G$3460,2,0),"")</f>
        <v/>
      </c>
      <c r="C567" t="str">
        <f>IFERROR(VLOOKUP($A567,原始数据_收盘!$A$4:$G$3460,3,0),"")</f>
        <v/>
      </c>
      <c r="D567" t="str">
        <f>IFERROR(VLOOKUP($A567,原始数据_收盘!$A$4:$G$3460,4,0),"")</f>
        <v/>
      </c>
      <c r="E567" t="str">
        <f>IFERROR(VLOOKUP($A567,原始数据_收盘!$A$4:$G$3460,5,0),"")</f>
        <v/>
      </c>
      <c r="F567" t="str">
        <f>IFERROR(VLOOKUP($A567,原始数据_收盘!$A$4:$G$3460,6,0),"")</f>
        <v/>
      </c>
      <c r="G567" t="str">
        <f>IFERROR(VLOOKUP($A567,原始数据_收盘!$A$4:$G$3460,7,0),"")</f>
        <v/>
      </c>
      <c r="H567">
        <f>IFERROR(VLOOKUP($A567,原始数据_利率互换_FR007_1年!$A$6:$C$4395,2,0),"")</f>
        <v>1.86</v>
      </c>
      <c r="I567">
        <f>IFERROR(VLOOKUP($A567,原始数据_利率互换_FR007_1年!$A$6:$C$4395,3,0),"")</f>
        <v>3.23</v>
      </c>
    </row>
    <row r="568" spans="1:9">
      <c r="A568" s="6">
        <v>40061</v>
      </c>
      <c r="B568" t="str">
        <f>IFERROR(VLOOKUP($A568,原始数据_收盘!$A$4:$G$3460,2,0),"")</f>
        <v/>
      </c>
      <c r="C568" t="str">
        <f>IFERROR(VLOOKUP($A568,原始数据_收盘!$A$4:$G$3460,3,0),"")</f>
        <v/>
      </c>
      <c r="D568" t="str">
        <f>IFERROR(VLOOKUP($A568,原始数据_收盘!$A$4:$G$3460,4,0),"")</f>
        <v/>
      </c>
      <c r="E568" t="str">
        <f>IFERROR(VLOOKUP($A568,原始数据_收盘!$A$4:$G$3460,5,0),"")</f>
        <v/>
      </c>
      <c r="F568" t="str">
        <f>IFERROR(VLOOKUP($A568,原始数据_收盘!$A$4:$G$3460,6,0),"")</f>
        <v/>
      </c>
      <c r="G568" t="str">
        <f>IFERROR(VLOOKUP($A568,原始数据_收盘!$A$4:$G$3460,7,0),"")</f>
        <v/>
      </c>
      <c r="H568" t="str">
        <f>IFERROR(VLOOKUP($A568,原始数据_利率互换_FR007_1年!$A$6:$C$4395,2,0),"")</f>
        <v/>
      </c>
      <c r="I568" t="str">
        <f>IFERROR(VLOOKUP($A568,原始数据_利率互换_FR007_1年!$A$6:$C$4395,3,0),"")</f>
        <v/>
      </c>
    </row>
    <row r="569" spans="1:9">
      <c r="A569" s="6">
        <v>40062</v>
      </c>
      <c r="B569" t="str">
        <f>IFERROR(VLOOKUP($A569,原始数据_收盘!$A$4:$G$3460,2,0),"")</f>
        <v/>
      </c>
      <c r="C569" t="str">
        <f>IFERROR(VLOOKUP($A569,原始数据_收盘!$A$4:$G$3460,3,0),"")</f>
        <v/>
      </c>
      <c r="D569" t="str">
        <f>IFERROR(VLOOKUP($A569,原始数据_收盘!$A$4:$G$3460,4,0),"")</f>
        <v/>
      </c>
      <c r="E569" t="str">
        <f>IFERROR(VLOOKUP($A569,原始数据_收盘!$A$4:$G$3460,5,0),"")</f>
        <v/>
      </c>
      <c r="F569" t="str">
        <f>IFERROR(VLOOKUP($A569,原始数据_收盘!$A$4:$G$3460,6,0),"")</f>
        <v/>
      </c>
      <c r="G569" t="str">
        <f>IFERROR(VLOOKUP($A569,原始数据_收盘!$A$4:$G$3460,7,0),"")</f>
        <v/>
      </c>
      <c r="H569" t="str">
        <f>IFERROR(VLOOKUP($A569,原始数据_利率互换_FR007_1年!$A$6:$C$4395,2,0),"")</f>
        <v/>
      </c>
      <c r="I569" t="str">
        <f>IFERROR(VLOOKUP($A569,原始数据_利率互换_FR007_1年!$A$6:$C$4395,3,0),"")</f>
        <v/>
      </c>
    </row>
    <row r="570" spans="1:9">
      <c r="A570" s="6">
        <v>40063</v>
      </c>
      <c r="B570" t="str">
        <f>IFERROR(VLOOKUP($A570,原始数据_收盘!$A$4:$G$3460,2,0),"")</f>
        <v/>
      </c>
      <c r="C570" t="str">
        <f>IFERROR(VLOOKUP($A570,原始数据_收盘!$A$4:$G$3460,3,0),"")</f>
        <v/>
      </c>
      <c r="D570" t="str">
        <f>IFERROR(VLOOKUP($A570,原始数据_收盘!$A$4:$G$3460,4,0),"")</f>
        <v/>
      </c>
      <c r="E570" t="str">
        <f>IFERROR(VLOOKUP($A570,原始数据_收盘!$A$4:$G$3460,5,0),"")</f>
        <v/>
      </c>
      <c r="F570" t="str">
        <f>IFERROR(VLOOKUP($A570,原始数据_收盘!$A$4:$G$3460,6,0),"")</f>
        <v/>
      </c>
      <c r="G570" t="str">
        <f>IFERROR(VLOOKUP($A570,原始数据_收盘!$A$4:$G$3460,7,0),"")</f>
        <v/>
      </c>
      <c r="H570">
        <f>IFERROR(VLOOKUP($A570,原始数据_利率互换_FR007_1年!$A$6:$C$4395,2,0),"")</f>
        <v>1.85</v>
      </c>
      <c r="I570">
        <f>IFERROR(VLOOKUP($A570,原始数据_利率互换_FR007_1年!$A$6:$C$4395,3,0),"")</f>
        <v>3.22</v>
      </c>
    </row>
    <row r="571" spans="1:9">
      <c r="A571" s="6">
        <v>40064</v>
      </c>
      <c r="B571" t="str">
        <f>IFERROR(VLOOKUP($A571,原始数据_收盘!$A$4:$G$3460,2,0),"")</f>
        <v/>
      </c>
      <c r="C571" t="str">
        <f>IFERROR(VLOOKUP($A571,原始数据_收盘!$A$4:$G$3460,3,0),"")</f>
        <v/>
      </c>
      <c r="D571" t="str">
        <f>IFERROR(VLOOKUP($A571,原始数据_收盘!$A$4:$G$3460,4,0),"")</f>
        <v/>
      </c>
      <c r="E571" t="str">
        <f>IFERROR(VLOOKUP($A571,原始数据_收盘!$A$4:$G$3460,5,0),"")</f>
        <v/>
      </c>
      <c r="F571" t="str">
        <f>IFERROR(VLOOKUP($A571,原始数据_收盘!$A$4:$G$3460,6,0),"")</f>
        <v/>
      </c>
      <c r="G571" t="str">
        <f>IFERROR(VLOOKUP($A571,原始数据_收盘!$A$4:$G$3460,7,0),"")</f>
        <v/>
      </c>
      <c r="H571">
        <f>IFERROR(VLOOKUP($A571,原始数据_利率互换_FR007_1年!$A$6:$C$4395,2,0),"")</f>
        <v>1.85</v>
      </c>
      <c r="I571">
        <f>IFERROR(VLOOKUP($A571,原始数据_利率互换_FR007_1年!$A$6:$C$4395,3,0),"")</f>
        <v>3.21</v>
      </c>
    </row>
    <row r="572" spans="1:9">
      <c r="A572" s="6">
        <v>40065</v>
      </c>
      <c r="B572" t="str">
        <f>IFERROR(VLOOKUP($A572,原始数据_收盘!$A$4:$G$3460,2,0),"")</f>
        <v/>
      </c>
      <c r="C572" t="str">
        <f>IFERROR(VLOOKUP($A572,原始数据_收盘!$A$4:$G$3460,3,0),"")</f>
        <v/>
      </c>
      <c r="D572" t="str">
        <f>IFERROR(VLOOKUP($A572,原始数据_收盘!$A$4:$G$3460,4,0),"")</f>
        <v/>
      </c>
      <c r="E572" t="str">
        <f>IFERROR(VLOOKUP($A572,原始数据_收盘!$A$4:$G$3460,5,0),"")</f>
        <v/>
      </c>
      <c r="F572" t="str">
        <f>IFERROR(VLOOKUP($A572,原始数据_收盘!$A$4:$G$3460,6,0),"")</f>
        <v/>
      </c>
      <c r="G572" t="str">
        <f>IFERROR(VLOOKUP($A572,原始数据_收盘!$A$4:$G$3460,7,0),"")</f>
        <v/>
      </c>
      <c r="H572">
        <f>IFERROR(VLOOKUP($A572,原始数据_利率互换_FR007_1年!$A$6:$C$4395,2,0),"")</f>
        <v>1.85</v>
      </c>
      <c r="I572">
        <f>IFERROR(VLOOKUP($A572,原始数据_利率互换_FR007_1年!$A$6:$C$4395,3,0),"")</f>
        <v>0</v>
      </c>
    </row>
    <row r="573" spans="1:9">
      <c r="A573" s="6">
        <v>40066</v>
      </c>
      <c r="B573" t="str">
        <f>IFERROR(VLOOKUP($A573,原始数据_收盘!$A$4:$G$3460,2,0),"")</f>
        <v/>
      </c>
      <c r="C573" t="str">
        <f>IFERROR(VLOOKUP($A573,原始数据_收盘!$A$4:$G$3460,3,0),"")</f>
        <v/>
      </c>
      <c r="D573" t="str">
        <f>IFERROR(VLOOKUP($A573,原始数据_收盘!$A$4:$G$3460,4,0),"")</f>
        <v/>
      </c>
      <c r="E573" t="str">
        <f>IFERROR(VLOOKUP($A573,原始数据_收盘!$A$4:$G$3460,5,0),"")</f>
        <v/>
      </c>
      <c r="F573" t="str">
        <f>IFERROR(VLOOKUP($A573,原始数据_收盘!$A$4:$G$3460,6,0),"")</f>
        <v/>
      </c>
      <c r="G573" t="str">
        <f>IFERROR(VLOOKUP($A573,原始数据_收盘!$A$4:$G$3460,7,0),"")</f>
        <v/>
      </c>
      <c r="H573">
        <f>IFERROR(VLOOKUP($A573,原始数据_利率互换_FR007_1年!$A$6:$C$4395,2,0),"")</f>
        <v>1.85</v>
      </c>
      <c r="I573">
        <f>IFERROR(VLOOKUP($A573,原始数据_利率互换_FR007_1年!$A$6:$C$4395,3,0),"")</f>
        <v>0</v>
      </c>
    </row>
    <row r="574" spans="1:9">
      <c r="A574" s="6">
        <v>40067</v>
      </c>
      <c r="B574" t="str">
        <f>IFERROR(VLOOKUP($A574,原始数据_收盘!$A$4:$G$3460,2,0),"")</f>
        <v/>
      </c>
      <c r="C574" t="str">
        <f>IFERROR(VLOOKUP($A574,原始数据_收盘!$A$4:$G$3460,3,0),"")</f>
        <v/>
      </c>
      <c r="D574" t="str">
        <f>IFERROR(VLOOKUP($A574,原始数据_收盘!$A$4:$G$3460,4,0),"")</f>
        <v/>
      </c>
      <c r="E574" t="str">
        <f>IFERROR(VLOOKUP($A574,原始数据_收盘!$A$4:$G$3460,5,0),"")</f>
        <v/>
      </c>
      <c r="F574" t="str">
        <f>IFERROR(VLOOKUP($A574,原始数据_收盘!$A$4:$G$3460,6,0),"")</f>
        <v/>
      </c>
      <c r="G574" t="str">
        <f>IFERROR(VLOOKUP($A574,原始数据_收盘!$A$4:$G$3460,7,0),"")</f>
        <v/>
      </c>
      <c r="H574" t="str">
        <f>IFERROR(VLOOKUP($A574,原始数据_利率互换_FR007_1年!$A$6:$C$4395,2,0),"")</f>
        <v/>
      </c>
      <c r="I574" t="str">
        <f>IFERROR(VLOOKUP($A574,原始数据_利率互换_FR007_1年!$A$6:$C$4395,3,0),"")</f>
        <v/>
      </c>
    </row>
    <row r="575" spans="1:9">
      <c r="A575" s="6">
        <v>40068</v>
      </c>
      <c r="B575" t="str">
        <f>IFERROR(VLOOKUP($A575,原始数据_收盘!$A$4:$G$3460,2,0),"")</f>
        <v/>
      </c>
      <c r="C575" t="str">
        <f>IFERROR(VLOOKUP($A575,原始数据_收盘!$A$4:$G$3460,3,0),"")</f>
        <v/>
      </c>
      <c r="D575" t="str">
        <f>IFERROR(VLOOKUP($A575,原始数据_收盘!$A$4:$G$3460,4,0),"")</f>
        <v/>
      </c>
      <c r="E575" t="str">
        <f>IFERROR(VLOOKUP($A575,原始数据_收盘!$A$4:$G$3460,5,0),"")</f>
        <v/>
      </c>
      <c r="F575" t="str">
        <f>IFERROR(VLOOKUP($A575,原始数据_收盘!$A$4:$G$3460,6,0),"")</f>
        <v/>
      </c>
      <c r="G575" t="str">
        <f>IFERROR(VLOOKUP($A575,原始数据_收盘!$A$4:$G$3460,7,0),"")</f>
        <v/>
      </c>
      <c r="H575" t="str">
        <f>IFERROR(VLOOKUP($A575,原始数据_利率互换_FR007_1年!$A$6:$C$4395,2,0),"")</f>
        <v/>
      </c>
      <c r="I575" t="str">
        <f>IFERROR(VLOOKUP($A575,原始数据_利率互换_FR007_1年!$A$6:$C$4395,3,0),"")</f>
        <v/>
      </c>
    </row>
    <row r="576" spans="1:9">
      <c r="A576" s="6">
        <v>40069</v>
      </c>
      <c r="B576" t="str">
        <f>IFERROR(VLOOKUP($A576,原始数据_收盘!$A$4:$G$3460,2,0),"")</f>
        <v/>
      </c>
      <c r="C576" t="str">
        <f>IFERROR(VLOOKUP($A576,原始数据_收盘!$A$4:$G$3460,3,0),"")</f>
        <v/>
      </c>
      <c r="D576" t="str">
        <f>IFERROR(VLOOKUP($A576,原始数据_收盘!$A$4:$G$3460,4,0),"")</f>
        <v/>
      </c>
      <c r="E576" t="str">
        <f>IFERROR(VLOOKUP($A576,原始数据_收盘!$A$4:$G$3460,5,0),"")</f>
        <v/>
      </c>
      <c r="F576" t="str">
        <f>IFERROR(VLOOKUP($A576,原始数据_收盘!$A$4:$G$3460,6,0),"")</f>
        <v/>
      </c>
      <c r="G576" t="str">
        <f>IFERROR(VLOOKUP($A576,原始数据_收盘!$A$4:$G$3460,7,0),"")</f>
        <v/>
      </c>
      <c r="H576" t="str">
        <f>IFERROR(VLOOKUP($A576,原始数据_利率互换_FR007_1年!$A$6:$C$4395,2,0),"")</f>
        <v/>
      </c>
      <c r="I576" t="str">
        <f>IFERROR(VLOOKUP($A576,原始数据_利率互换_FR007_1年!$A$6:$C$4395,3,0),"")</f>
        <v/>
      </c>
    </row>
    <row r="577" spans="1:9">
      <c r="A577" s="6">
        <v>40070</v>
      </c>
      <c r="B577" t="str">
        <f>IFERROR(VLOOKUP($A577,原始数据_收盘!$A$4:$G$3460,2,0),"")</f>
        <v/>
      </c>
      <c r="C577" t="str">
        <f>IFERROR(VLOOKUP($A577,原始数据_收盘!$A$4:$G$3460,3,0),"")</f>
        <v/>
      </c>
      <c r="D577" t="str">
        <f>IFERROR(VLOOKUP($A577,原始数据_收盘!$A$4:$G$3460,4,0),"")</f>
        <v/>
      </c>
      <c r="E577" t="str">
        <f>IFERROR(VLOOKUP($A577,原始数据_收盘!$A$4:$G$3460,5,0),"")</f>
        <v/>
      </c>
      <c r="F577" t="str">
        <f>IFERROR(VLOOKUP($A577,原始数据_收盘!$A$4:$G$3460,6,0),"")</f>
        <v/>
      </c>
      <c r="G577" t="str">
        <f>IFERROR(VLOOKUP($A577,原始数据_收盘!$A$4:$G$3460,7,0),"")</f>
        <v/>
      </c>
      <c r="H577">
        <f>IFERROR(VLOOKUP($A577,原始数据_利率互换_FR007_1年!$A$6:$C$4395,2,0),"")</f>
        <v>0</v>
      </c>
      <c r="I577">
        <f>IFERROR(VLOOKUP($A577,原始数据_利率互换_FR007_1年!$A$6:$C$4395,3,0),"")</f>
        <v>3.22</v>
      </c>
    </row>
    <row r="578" spans="1:9">
      <c r="A578" s="6">
        <v>40071</v>
      </c>
      <c r="B578" t="str">
        <f>IFERROR(VLOOKUP($A578,原始数据_收盘!$A$4:$G$3460,2,0),"")</f>
        <v/>
      </c>
      <c r="C578" t="str">
        <f>IFERROR(VLOOKUP($A578,原始数据_收盘!$A$4:$G$3460,3,0),"")</f>
        <v/>
      </c>
      <c r="D578" t="str">
        <f>IFERROR(VLOOKUP($A578,原始数据_收盘!$A$4:$G$3460,4,0),"")</f>
        <v/>
      </c>
      <c r="E578" t="str">
        <f>IFERROR(VLOOKUP($A578,原始数据_收盘!$A$4:$G$3460,5,0),"")</f>
        <v/>
      </c>
      <c r="F578" t="str">
        <f>IFERROR(VLOOKUP($A578,原始数据_收盘!$A$4:$G$3460,6,0),"")</f>
        <v/>
      </c>
      <c r="G578" t="str">
        <f>IFERROR(VLOOKUP($A578,原始数据_收盘!$A$4:$G$3460,7,0),"")</f>
        <v/>
      </c>
      <c r="H578">
        <f>IFERROR(VLOOKUP($A578,原始数据_利率互换_FR007_1年!$A$6:$C$4395,2,0),"")</f>
        <v>1.85</v>
      </c>
      <c r="I578">
        <f>IFERROR(VLOOKUP($A578,原始数据_利率互换_FR007_1年!$A$6:$C$4395,3,0),"")</f>
        <v>3.26</v>
      </c>
    </row>
    <row r="579" spans="1:9">
      <c r="A579" s="6">
        <v>40072</v>
      </c>
      <c r="B579" t="str">
        <f>IFERROR(VLOOKUP($A579,原始数据_收盘!$A$4:$G$3460,2,0),"")</f>
        <v/>
      </c>
      <c r="C579" t="str">
        <f>IFERROR(VLOOKUP($A579,原始数据_收盘!$A$4:$G$3460,3,0),"")</f>
        <v/>
      </c>
      <c r="D579" t="str">
        <f>IFERROR(VLOOKUP($A579,原始数据_收盘!$A$4:$G$3460,4,0),"")</f>
        <v/>
      </c>
      <c r="E579" t="str">
        <f>IFERROR(VLOOKUP($A579,原始数据_收盘!$A$4:$G$3460,5,0),"")</f>
        <v/>
      </c>
      <c r="F579" t="str">
        <f>IFERROR(VLOOKUP($A579,原始数据_收盘!$A$4:$G$3460,6,0),"")</f>
        <v/>
      </c>
      <c r="G579" t="str">
        <f>IFERROR(VLOOKUP($A579,原始数据_收盘!$A$4:$G$3460,7,0),"")</f>
        <v/>
      </c>
      <c r="H579" t="str">
        <f>IFERROR(VLOOKUP($A579,原始数据_利率互换_FR007_1年!$A$6:$C$4395,2,0),"")</f>
        <v/>
      </c>
      <c r="I579" t="str">
        <f>IFERROR(VLOOKUP($A579,原始数据_利率互换_FR007_1年!$A$6:$C$4395,3,0),"")</f>
        <v/>
      </c>
    </row>
    <row r="580" spans="1:9">
      <c r="A580" s="6">
        <v>40073</v>
      </c>
      <c r="B580" t="str">
        <f>IFERROR(VLOOKUP($A580,原始数据_收盘!$A$4:$G$3460,2,0),"")</f>
        <v/>
      </c>
      <c r="C580" t="str">
        <f>IFERROR(VLOOKUP($A580,原始数据_收盘!$A$4:$G$3460,3,0),"")</f>
        <v/>
      </c>
      <c r="D580" t="str">
        <f>IFERROR(VLOOKUP($A580,原始数据_收盘!$A$4:$G$3460,4,0),"")</f>
        <v/>
      </c>
      <c r="E580" t="str">
        <f>IFERROR(VLOOKUP($A580,原始数据_收盘!$A$4:$G$3460,5,0),"")</f>
        <v/>
      </c>
      <c r="F580" t="str">
        <f>IFERROR(VLOOKUP($A580,原始数据_收盘!$A$4:$G$3460,6,0),"")</f>
        <v/>
      </c>
      <c r="G580" t="str">
        <f>IFERROR(VLOOKUP($A580,原始数据_收盘!$A$4:$G$3460,7,0),"")</f>
        <v/>
      </c>
      <c r="H580">
        <f>IFERROR(VLOOKUP($A580,原始数据_利率互换_FR007_1年!$A$6:$C$4395,2,0),"")</f>
        <v>0</v>
      </c>
      <c r="I580">
        <f>IFERROR(VLOOKUP($A580,原始数据_利率互换_FR007_1年!$A$6:$C$4395,3,0),"")</f>
        <v>3.31</v>
      </c>
    </row>
    <row r="581" spans="1:9">
      <c r="A581" s="6">
        <v>40074</v>
      </c>
      <c r="B581" t="str">
        <f>IFERROR(VLOOKUP($A581,原始数据_收盘!$A$4:$G$3460,2,0),"")</f>
        <v/>
      </c>
      <c r="C581" t="str">
        <f>IFERROR(VLOOKUP($A581,原始数据_收盘!$A$4:$G$3460,3,0),"")</f>
        <v/>
      </c>
      <c r="D581" t="str">
        <f>IFERROR(VLOOKUP($A581,原始数据_收盘!$A$4:$G$3460,4,0),"")</f>
        <v/>
      </c>
      <c r="E581" t="str">
        <f>IFERROR(VLOOKUP($A581,原始数据_收盘!$A$4:$G$3460,5,0),"")</f>
        <v/>
      </c>
      <c r="F581" t="str">
        <f>IFERROR(VLOOKUP($A581,原始数据_收盘!$A$4:$G$3460,6,0),"")</f>
        <v/>
      </c>
      <c r="G581" t="str">
        <f>IFERROR(VLOOKUP($A581,原始数据_收盘!$A$4:$G$3460,7,0),"")</f>
        <v/>
      </c>
      <c r="H581" t="str">
        <f>IFERROR(VLOOKUP($A581,原始数据_利率互换_FR007_1年!$A$6:$C$4395,2,0),"")</f>
        <v/>
      </c>
      <c r="I581" t="str">
        <f>IFERROR(VLOOKUP($A581,原始数据_利率互换_FR007_1年!$A$6:$C$4395,3,0),"")</f>
        <v/>
      </c>
    </row>
    <row r="582" spans="1:9">
      <c r="A582" s="6">
        <v>40075</v>
      </c>
      <c r="B582" t="str">
        <f>IFERROR(VLOOKUP($A582,原始数据_收盘!$A$4:$G$3460,2,0),"")</f>
        <v/>
      </c>
      <c r="C582" t="str">
        <f>IFERROR(VLOOKUP($A582,原始数据_收盘!$A$4:$G$3460,3,0),"")</f>
        <v/>
      </c>
      <c r="D582" t="str">
        <f>IFERROR(VLOOKUP($A582,原始数据_收盘!$A$4:$G$3460,4,0),"")</f>
        <v/>
      </c>
      <c r="E582" t="str">
        <f>IFERROR(VLOOKUP($A582,原始数据_收盘!$A$4:$G$3460,5,0),"")</f>
        <v/>
      </c>
      <c r="F582" t="str">
        <f>IFERROR(VLOOKUP($A582,原始数据_收盘!$A$4:$G$3460,6,0),"")</f>
        <v/>
      </c>
      <c r="G582" t="str">
        <f>IFERROR(VLOOKUP($A582,原始数据_收盘!$A$4:$G$3460,7,0),"")</f>
        <v/>
      </c>
      <c r="H582" t="str">
        <f>IFERROR(VLOOKUP($A582,原始数据_利率互换_FR007_1年!$A$6:$C$4395,2,0),"")</f>
        <v/>
      </c>
      <c r="I582" t="str">
        <f>IFERROR(VLOOKUP($A582,原始数据_利率互换_FR007_1年!$A$6:$C$4395,3,0),"")</f>
        <v/>
      </c>
    </row>
    <row r="583" spans="1:9">
      <c r="A583" s="6">
        <v>40076</v>
      </c>
      <c r="B583" t="str">
        <f>IFERROR(VLOOKUP($A583,原始数据_收盘!$A$4:$G$3460,2,0),"")</f>
        <v/>
      </c>
      <c r="C583" t="str">
        <f>IFERROR(VLOOKUP($A583,原始数据_收盘!$A$4:$G$3460,3,0),"")</f>
        <v/>
      </c>
      <c r="D583" t="str">
        <f>IFERROR(VLOOKUP($A583,原始数据_收盘!$A$4:$G$3460,4,0),"")</f>
        <v/>
      </c>
      <c r="E583" t="str">
        <f>IFERROR(VLOOKUP($A583,原始数据_收盘!$A$4:$G$3460,5,0),"")</f>
        <v/>
      </c>
      <c r="F583" t="str">
        <f>IFERROR(VLOOKUP($A583,原始数据_收盘!$A$4:$G$3460,6,0),"")</f>
        <v/>
      </c>
      <c r="G583" t="str">
        <f>IFERROR(VLOOKUP($A583,原始数据_收盘!$A$4:$G$3460,7,0),"")</f>
        <v/>
      </c>
      <c r="H583" t="str">
        <f>IFERROR(VLOOKUP($A583,原始数据_利率互换_FR007_1年!$A$6:$C$4395,2,0),"")</f>
        <v/>
      </c>
      <c r="I583" t="str">
        <f>IFERROR(VLOOKUP($A583,原始数据_利率互换_FR007_1年!$A$6:$C$4395,3,0),"")</f>
        <v/>
      </c>
    </row>
    <row r="584" spans="1:9">
      <c r="A584" s="6">
        <v>40077</v>
      </c>
      <c r="B584" t="str">
        <f>IFERROR(VLOOKUP($A584,原始数据_收盘!$A$4:$G$3460,2,0),"")</f>
        <v/>
      </c>
      <c r="C584" t="str">
        <f>IFERROR(VLOOKUP($A584,原始数据_收盘!$A$4:$G$3460,3,0),"")</f>
        <v/>
      </c>
      <c r="D584" t="str">
        <f>IFERROR(VLOOKUP($A584,原始数据_收盘!$A$4:$G$3460,4,0),"")</f>
        <v/>
      </c>
      <c r="E584" t="str">
        <f>IFERROR(VLOOKUP($A584,原始数据_收盘!$A$4:$G$3460,5,0),"")</f>
        <v/>
      </c>
      <c r="F584" t="str">
        <f>IFERROR(VLOOKUP($A584,原始数据_收盘!$A$4:$G$3460,6,0),"")</f>
        <v/>
      </c>
      <c r="G584" t="str">
        <f>IFERROR(VLOOKUP($A584,原始数据_收盘!$A$4:$G$3460,7,0),"")</f>
        <v/>
      </c>
      <c r="H584">
        <f>IFERROR(VLOOKUP($A584,原始数据_利率互换_FR007_1年!$A$6:$C$4395,2,0),"")</f>
        <v>1.88</v>
      </c>
      <c r="I584">
        <f>IFERROR(VLOOKUP($A584,原始数据_利率互换_FR007_1年!$A$6:$C$4395,3,0),"")</f>
        <v>3.33</v>
      </c>
    </row>
    <row r="585" spans="1:9">
      <c r="A585" s="6">
        <v>40078</v>
      </c>
      <c r="B585" t="str">
        <f>IFERROR(VLOOKUP($A585,原始数据_收盘!$A$4:$G$3460,2,0),"")</f>
        <v/>
      </c>
      <c r="C585" t="str">
        <f>IFERROR(VLOOKUP($A585,原始数据_收盘!$A$4:$G$3460,3,0),"")</f>
        <v/>
      </c>
      <c r="D585" t="str">
        <f>IFERROR(VLOOKUP($A585,原始数据_收盘!$A$4:$G$3460,4,0),"")</f>
        <v/>
      </c>
      <c r="E585" t="str">
        <f>IFERROR(VLOOKUP($A585,原始数据_收盘!$A$4:$G$3460,5,0),"")</f>
        <v/>
      </c>
      <c r="F585" t="str">
        <f>IFERROR(VLOOKUP($A585,原始数据_收盘!$A$4:$G$3460,6,0),"")</f>
        <v/>
      </c>
      <c r="G585" t="str">
        <f>IFERROR(VLOOKUP($A585,原始数据_收盘!$A$4:$G$3460,7,0),"")</f>
        <v/>
      </c>
      <c r="H585">
        <f>IFERROR(VLOOKUP($A585,原始数据_利率互换_FR007_1年!$A$6:$C$4395,2,0),"")</f>
        <v>1.89</v>
      </c>
      <c r="I585">
        <f>IFERROR(VLOOKUP($A585,原始数据_利率互换_FR007_1年!$A$6:$C$4395,3,0),"")</f>
        <v>3.34</v>
      </c>
    </row>
    <row r="586" spans="1:9">
      <c r="A586" s="6">
        <v>40079</v>
      </c>
      <c r="B586" t="str">
        <f>IFERROR(VLOOKUP($A586,原始数据_收盘!$A$4:$G$3460,2,0),"")</f>
        <v/>
      </c>
      <c r="C586" t="str">
        <f>IFERROR(VLOOKUP($A586,原始数据_收盘!$A$4:$G$3460,3,0),"")</f>
        <v/>
      </c>
      <c r="D586" t="str">
        <f>IFERROR(VLOOKUP($A586,原始数据_收盘!$A$4:$G$3460,4,0),"")</f>
        <v/>
      </c>
      <c r="E586" t="str">
        <f>IFERROR(VLOOKUP($A586,原始数据_收盘!$A$4:$G$3460,5,0),"")</f>
        <v/>
      </c>
      <c r="F586" t="str">
        <f>IFERROR(VLOOKUP($A586,原始数据_收盘!$A$4:$G$3460,6,0),"")</f>
        <v/>
      </c>
      <c r="G586" t="str">
        <f>IFERROR(VLOOKUP($A586,原始数据_收盘!$A$4:$G$3460,7,0),"")</f>
        <v/>
      </c>
      <c r="H586">
        <f>IFERROR(VLOOKUP($A586,原始数据_利率互换_FR007_1年!$A$6:$C$4395,2,0),"")</f>
        <v>1.91</v>
      </c>
      <c r="I586">
        <f>IFERROR(VLOOKUP($A586,原始数据_利率互换_FR007_1年!$A$6:$C$4395,3,0),"")</f>
        <v>3.37</v>
      </c>
    </row>
    <row r="587" spans="1:9">
      <c r="A587" s="6">
        <v>40080</v>
      </c>
      <c r="B587" t="str">
        <f>IFERROR(VLOOKUP($A587,原始数据_收盘!$A$4:$G$3460,2,0),"")</f>
        <v/>
      </c>
      <c r="C587" t="str">
        <f>IFERROR(VLOOKUP($A587,原始数据_收盘!$A$4:$G$3460,3,0),"")</f>
        <v/>
      </c>
      <c r="D587" t="str">
        <f>IFERROR(VLOOKUP($A587,原始数据_收盘!$A$4:$G$3460,4,0),"")</f>
        <v/>
      </c>
      <c r="E587" t="str">
        <f>IFERROR(VLOOKUP($A587,原始数据_收盘!$A$4:$G$3460,5,0),"")</f>
        <v/>
      </c>
      <c r="F587" t="str">
        <f>IFERROR(VLOOKUP($A587,原始数据_收盘!$A$4:$G$3460,6,0),"")</f>
        <v/>
      </c>
      <c r="G587" t="str">
        <f>IFERROR(VLOOKUP($A587,原始数据_收盘!$A$4:$G$3460,7,0),"")</f>
        <v/>
      </c>
      <c r="H587">
        <f>IFERROR(VLOOKUP($A587,原始数据_利率互换_FR007_1年!$A$6:$C$4395,2,0),"")</f>
        <v>1.9</v>
      </c>
      <c r="I587">
        <f>IFERROR(VLOOKUP($A587,原始数据_利率互换_FR007_1年!$A$6:$C$4395,3,0),"")</f>
        <v>3.35</v>
      </c>
    </row>
    <row r="588" spans="1:9">
      <c r="A588" s="6">
        <v>40081</v>
      </c>
      <c r="B588" t="str">
        <f>IFERROR(VLOOKUP($A588,原始数据_收盘!$A$4:$G$3460,2,0),"")</f>
        <v/>
      </c>
      <c r="C588" t="str">
        <f>IFERROR(VLOOKUP($A588,原始数据_收盘!$A$4:$G$3460,3,0),"")</f>
        <v/>
      </c>
      <c r="D588" t="str">
        <f>IFERROR(VLOOKUP($A588,原始数据_收盘!$A$4:$G$3460,4,0),"")</f>
        <v/>
      </c>
      <c r="E588" t="str">
        <f>IFERROR(VLOOKUP($A588,原始数据_收盘!$A$4:$G$3460,5,0),"")</f>
        <v/>
      </c>
      <c r="F588" t="str">
        <f>IFERROR(VLOOKUP($A588,原始数据_收盘!$A$4:$G$3460,6,0),"")</f>
        <v/>
      </c>
      <c r="G588" t="str">
        <f>IFERROR(VLOOKUP($A588,原始数据_收盘!$A$4:$G$3460,7,0),"")</f>
        <v/>
      </c>
      <c r="H588">
        <f>IFERROR(VLOOKUP($A588,原始数据_利率互换_FR007_1年!$A$6:$C$4395,2,0),"")</f>
        <v>0</v>
      </c>
      <c r="I588">
        <f>IFERROR(VLOOKUP($A588,原始数据_利率互换_FR007_1年!$A$6:$C$4395,3,0),"")</f>
        <v>3.34</v>
      </c>
    </row>
    <row r="589" spans="1:9">
      <c r="A589" s="6">
        <v>40082</v>
      </c>
      <c r="B589" t="str">
        <f>IFERROR(VLOOKUP($A589,原始数据_收盘!$A$4:$G$3460,2,0),"")</f>
        <v/>
      </c>
      <c r="C589" t="str">
        <f>IFERROR(VLOOKUP($A589,原始数据_收盘!$A$4:$G$3460,3,0),"")</f>
        <v/>
      </c>
      <c r="D589" t="str">
        <f>IFERROR(VLOOKUP($A589,原始数据_收盘!$A$4:$G$3460,4,0),"")</f>
        <v/>
      </c>
      <c r="E589" t="str">
        <f>IFERROR(VLOOKUP($A589,原始数据_收盘!$A$4:$G$3460,5,0),"")</f>
        <v/>
      </c>
      <c r="F589" t="str">
        <f>IFERROR(VLOOKUP($A589,原始数据_收盘!$A$4:$G$3460,6,0),"")</f>
        <v/>
      </c>
      <c r="G589" t="str">
        <f>IFERROR(VLOOKUP($A589,原始数据_收盘!$A$4:$G$3460,7,0),"")</f>
        <v/>
      </c>
      <c r="H589" t="str">
        <f>IFERROR(VLOOKUP($A589,原始数据_利率互换_FR007_1年!$A$6:$C$4395,2,0),"")</f>
        <v/>
      </c>
      <c r="I589" t="str">
        <f>IFERROR(VLOOKUP($A589,原始数据_利率互换_FR007_1年!$A$6:$C$4395,3,0),"")</f>
        <v/>
      </c>
    </row>
    <row r="590" spans="1:9">
      <c r="A590" s="6">
        <v>40083</v>
      </c>
      <c r="B590" t="str">
        <f>IFERROR(VLOOKUP($A590,原始数据_收盘!$A$4:$G$3460,2,0),"")</f>
        <v/>
      </c>
      <c r="C590" t="str">
        <f>IFERROR(VLOOKUP($A590,原始数据_收盘!$A$4:$G$3460,3,0),"")</f>
        <v/>
      </c>
      <c r="D590" t="str">
        <f>IFERROR(VLOOKUP($A590,原始数据_收盘!$A$4:$G$3460,4,0),"")</f>
        <v/>
      </c>
      <c r="E590" t="str">
        <f>IFERROR(VLOOKUP($A590,原始数据_收盘!$A$4:$G$3460,5,0),"")</f>
        <v/>
      </c>
      <c r="F590" t="str">
        <f>IFERROR(VLOOKUP($A590,原始数据_收盘!$A$4:$G$3460,6,0),"")</f>
        <v/>
      </c>
      <c r="G590" t="str">
        <f>IFERROR(VLOOKUP($A590,原始数据_收盘!$A$4:$G$3460,7,0),"")</f>
        <v/>
      </c>
      <c r="H590">
        <f>IFERROR(VLOOKUP($A590,原始数据_利率互换_FR007_1年!$A$6:$C$4395,2,0),"")</f>
        <v>1.91</v>
      </c>
      <c r="I590">
        <f>IFERROR(VLOOKUP($A590,原始数据_利率互换_FR007_1年!$A$6:$C$4395,3,0),"")</f>
        <v>0</v>
      </c>
    </row>
    <row r="591" spans="1:9">
      <c r="A591" s="6">
        <v>40084</v>
      </c>
      <c r="B591" t="str">
        <f>IFERROR(VLOOKUP($A591,原始数据_收盘!$A$4:$G$3460,2,0),"")</f>
        <v/>
      </c>
      <c r="C591" t="str">
        <f>IFERROR(VLOOKUP($A591,原始数据_收盘!$A$4:$G$3460,3,0),"")</f>
        <v/>
      </c>
      <c r="D591" t="str">
        <f>IFERROR(VLOOKUP($A591,原始数据_收盘!$A$4:$G$3460,4,0),"")</f>
        <v/>
      </c>
      <c r="E591" t="str">
        <f>IFERROR(VLOOKUP($A591,原始数据_收盘!$A$4:$G$3460,5,0),"")</f>
        <v/>
      </c>
      <c r="F591" t="str">
        <f>IFERROR(VLOOKUP($A591,原始数据_收盘!$A$4:$G$3460,6,0),"")</f>
        <v/>
      </c>
      <c r="G591" t="str">
        <f>IFERROR(VLOOKUP($A591,原始数据_收盘!$A$4:$G$3460,7,0),"")</f>
        <v/>
      </c>
      <c r="H591">
        <f>IFERROR(VLOOKUP($A591,原始数据_利率互换_FR007_1年!$A$6:$C$4395,2,0),"")</f>
        <v>1.91</v>
      </c>
      <c r="I591">
        <f>IFERROR(VLOOKUP($A591,原始数据_利率互换_FR007_1年!$A$6:$C$4395,3,0),"")</f>
        <v>0</v>
      </c>
    </row>
    <row r="592" spans="1:9">
      <c r="A592" s="6">
        <v>40085</v>
      </c>
      <c r="B592" t="str">
        <f>IFERROR(VLOOKUP($A592,原始数据_收盘!$A$4:$G$3460,2,0),"")</f>
        <v/>
      </c>
      <c r="C592" t="str">
        <f>IFERROR(VLOOKUP($A592,原始数据_收盘!$A$4:$G$3460,3,0),"")</f>
        <v/>
      </c>
      <c r="D592" t="str">
        <f>IFERROR(VLOOKUP($A592,原始数据_收盘!$A$4:$G$3460,4,0),"")</f>
        <v/>
      </c>
      <c r="E592" t="str">
        <f>IFERROR(VLOOKUP($A592,原始数据_收盘!$A$4:$G$3460,5,0),"")</f>
        <v/>
      </c>
      <c r="F592" t="str">
        <f>IFERROR(VLOOKUP($A592,原始数据_收盘!$A$4:$G$3460,6,0),"")</f>
        <v/>
      </c>
      <c r="G592" t="str">
        <f>IFERROR(VLOOKUP($A592,原始数据_收盘!$A$4:$G$3460,7,0),"")</f>
        <v/>
      </c>
      <c r="H592" t="str">
        <f>IFERROR(VLOOKUP($A592,原始数据_利率互换_FR007_1年!$A$6:$C$4395,2,0),"")</f>
        <v/>
      </c>
      <c r="I592" t="str">
        <f>IFERROR(VLOOKUP($A592,原始数据_利率互换_FR007_1年!$A$6:$C$4395,3,0),"")</f>
        <v/>
      </c>
    </row>
    <row r="593" spans="1:9">
      <c r="A593" s="6">
        <v>40086</v>
      </c>
      <c r="B593" t="str">
        <f>IFERROR(VLOOKUP($A593,原始数据_收盘!$A$4:$G$3460,2,0),"")</f>
        <v/>
      </c>
      <c r="C593" t="str">
        <f>IFERROR(VLOOKUP($A593,原始数据_收盘!$A$4:$G$3460,3,0),"")</f>
        <v/>
      </c>
      <c r="D593" t="str">
        <f>IFERROR(VLOOKUP($A593,原始数据_收盘!$A$4:$G$3460,4,0),"")</f>
        <v/>
      </c>
      <c r="E593" t="str">
        <f>IFERROR(VLOOKUP($A593,原始数据_收盘!$A$4:$G$3460,5,0),"")</f>
        <v/>
      </c>
      <c r="F593" t="str">
        <f>IFERROR(VLOOKUP($A593,原始数据_收盘!$A$4:$G$3460,6,0),"")</f>
        <v/>
      </c>
      <c r="G593" t="str">
        <f>IFERROR(VLOOKUP($A593,原始数据_收盘!$A$4:$G$3460,7,0),"")</f>
        <v/>
      </c>
      <c r="H593">
        <f>IFERROR(VLOOKUP($A593,原始数据_利率互换_FR007_1年!$A$6:$C$4395,2,0),"")</f>
        <v>1.92</v>
      </c>
      <c r="I593">
        <f>IFERROR(VLOOKUP($A593,原始数据_利率互换_FR007_1年!$A$6:$C$4395,3,0),"")</f>
        <v>0</v>
      </c>
    </row>
    <row r="594" spans="1:9">
      <c r="A594" s="6">
        <v>40087</v>
      </c>
      <c r="B594" t="str">
        <f>IFERROR(VLOOKUP($A594,原始数据_收盘!$A$4:$G$3460,2,0),"")</f>
        <v/>
      </c>
      <c r="C594" t="str">
        <f>IFERROR(VLOOKUP($A594,原始数据_收盘!$A$4:$G$3460,3,0),"")</f>
        <v/>
      </c>
      <c r="D594" t="str">
        <f>IFERROR(VLOOKUP($A594,原始数据_收盘!$A$4:$G$3460,4,0),"")</f>
        <v/>
      </c>
      <c r="E594" t="str">
        <f>IFERROR(VLOOKUP($A594,原始数据_收盘!$A$4:$G$3460,5,0),"")</f>
        <v/>
      </c>
      <c r="F594" t="str">
        <f>IFERROR(VLOOKUP($A594,原始数据_收盘!$A$4:$G$3460,6,0),"")</f>
        <v/>
      </c>
      <c r="G594" t="str">
        <f>IFERROR(VLOOKUP($A594,原始数据_收盘!$A$4:$G$3460,7,0),"")</f>
        <v/>
      </c>
      <c r="H594" t="str">
        <f>IFERROR(VLOOKUP($A594,原始数据_利率互换_FR007_1年!$A$6:$C$4395,2,0),"")</f>
        <v/>
      </c>
      <c r="I594" t="str">
        <f>IFERROR(VLOOKUP($A594,原始数据_利率互换_FR007_1年!$A$6:$C$4395,3,0),"")</f>
        <v/>
      </c>
    </row>
    <row r="595" spans="1:9">
      <c r="A595" s="6">
        <v>40088</v>
      </c>
      <c r="B595" t="str">
        <f>IFERROR(VLOOKUP($A595,原始数据_收盘!$A$4:$G$3460,2,0),"")</f>
        <v/>
      </c>
      <c r="C595" t="str">
        <f>IFERROR(VLOOKUP($A595,原始数据_收盘!$A$4:$G$3460,3,0),"")</f>
        <v/>
      </c>
      <c r="D595" t="str">
        <f>IFERROR(VLOOKUP($A595,原始数据_收盘!$A$4:$G$3460,4,0),"")</f>
        <v/>
      </c>
      <c r="E595" t="str">
        <f>IFERROR(VLOOKUP($A595,原始数据_收盘!$A$4:$G$3460,5,0),"")</f>
        <v/>
      </c>
      <c r="F595" t="str">
        <f>IFERROR(VLOOKUP($A595,原始数据_收盘!$A$4:$G$3460,6,0),"")</f>
        <v/>
      </c>
      <c r="G595" t="str">
        <f>IFERROR(VLOOKUP($A595,原始数据_收盘!$A$4:$G$3460,7,0),"")</f>
        <v/>
      </c>
      <c r="H595" t="str">
        <f>IFERROR(VLOOKUP($A595,原始数据_利率互换_FR007_1年!$A$6:$C$4395,2,0),"")</f>
        <v/>
      </c>
      <c r="I595" t="str">
        <f>IFERROR(VLOOKUP($A595,原始数据_利率互换_FR007_1年!$A$6:$C$4395,3,0),"")</f>
        <v/>
      </c>
    </row>
    <row r="596" spans="1:9">
      <c r="A596" s="6">
        <v>40089</v>
      </c>
      <c r="B596" t="str">
        <f>IFERROR(VLOOKUP($A596,原始数据_收盘!$A$4:$G$3460,2,0),"")</f>
        <v/>
      </c>
      <c r="C596" t="str">
        <f>IFERROR(VLOOKUP($A596,原始数据_收盘!$A$4:$G$3460,3,0),"")</f>
        <v/>
      </c>
      <c r="D596" t="str">
        <f>IFERROR(VLOOKUP($A596,原始数据_收盘!$A$4:$G$3460,4,0),"")</f>
        <v/>
      </c>
      <c r="E596" t="str">
        <f>IFERROR(VLOOKUP($A596,原始数据_收盘!$A$4:$G$3460,5,0),"")</f>
        <v/>
      </c>
      <c r="F596" t="str">
        <f>IFERROR(VLOOKUP($A596,原始数据_收盘!$A$4:$G$3460,6,0),"")</f>
        <v/>
      </c>
      <c r="G596" t="str">
        <f>IFERROR(VLOOKUP($A596,原始数据_收盘!$A$4:$G$3460,7,0),"")</f>
        <v/>
      </c>
      <c r="H596" t="str">
        <f>IFERROR(VLOOKUP($A596,原始数据_利率互换_FR007_1年!$A$6:$C$4395,2,0),"")</f>
        <v/>
      </c>
      <c r="I596" t="str">
        <f>IFERROR(VLOOKUP($A596,原始数据_利率互换_FR007_1年!$A$6:$C$4395,3,0),"")</f>
        <v/>
      </c>
    </row>
    <row r="597" spans="1:9">
      <c r="A597" s="6">
        <v>40090</v>
      </c>
      <c r="B597" t="str">
        <f>IFERROR(VLOOKUP($A597,原始数据_收盘!$A$4:$G$3460,2,0),"")</f>
        <v/>
      </c>
      <c r="C597" t="str">
        <f>IFERROR(VLOOKUP($A597,原始数据_收盘!$A$4:$G$3460,3,0),"")</f>
        <v/>
      </c>
      <c r="D597" t="str">
        <f>IFERROR(VLOOKUP($A597,原始数据_收盘!$A$4:$G$3460,4,0),"")</f>
        <v/>
      </c>
      <c r="E597" t="str">
        <f>IFERROR(VLOOKUP($A597,原始数据_收盘!$A$4:$G$3460,5,0),"")</f>
        <v/>
      </c>
      <c r="F597" t="str">
        <f>IFERROR(VLOOKUP($A597,原始数据_收盘!$A$4:$G$3460,6,0),"")</f>
        <v/>
      </c>
      <c r="G597" t="str">
        <f>IFERROR(VLOOKUP($A597,原始数据_收盘!$A$4:$G$3460,7,0),"")</f>
        <v/>
      </c>
      <c r="H597" t="str">
        <f>IFERROR(VLOOKUP($A597,原始数据_利率互换_FR007_1年!$A$6:$C$4395,2,0),"")</f>
        <v/>
      </c>
      <c r="I597" t="str">
        <f>IFERROR(VLOOKUP($A597,原始数据_利率互换_FR007_1年!$A$6:$C$4395,3,0),"")</f>
        <v/>
      </c>
    </row>
    <row r="598" spans="1:9">
      <c r="A598" s="6">
        <v>40091</v>
      </c>
      <c r="B598" t="str">
        <f>IFERROR(VLOOKUP($A598,原始数据_收盘!$A$4:$G$3460,2,0),"")</f>
        <v/>
      </c>
      <c r="C598" t="str">
        <f>IFERROR(VLOOKUP($A598,原始数据_收盘!$A$4:$G$3460,3,0),"")</f>
        <v/>
      </c>
      <c r="D598" t="str">
        <f>IFERROR(VLOOKUP($A598,原始数据_收盘!$A$4:$G$3460,4,0),"")</f>
        <v/>
      </c>
      <c r="E598" t="str">
        <f>IFERROR(VLOOKUP($A598,原始数据_收盘!$A$4:$G$3460,5,0),"")</f>
        <v/>
      </c>
      <c r="F598" t="str">
        <f>IFERROR(VLOOKUP($A598,原始数据_收盘!$A$4:$G$3460,6,0),"")</f>
        <v/>
      </c>
      <c r="G598" t="str">
        <f>IFERROR(VLOOKUP($A598,原始数据_收盘!$A$4:$G$3460,7,0),"")</f>
        <v/>
      </c>
      <c r="H598" t="str">
        <f>IFERROR(VLOOKUP($A598,原始数据_利率互换_FR007_1年!$A$6:$C$4395,2,0),"")</f>
        <v/>
      </c>
      <c r="I598" t="str">
        <f>IFERROR(VLOOKUP($A598,原始数据_利率互换_FR007_1年!$A$6:$C$4395,3,0),"")</f>
        <v/>
      </c>
    </row>
    <row r="599" spans="1:9">
      <c r="A599" s="6">
        <v>40092</v>
      </c>
      <c r="B599" t="str">
        <f>IFERROR(VLOOKUP($A599,原始数据_收盘!$A$4:$G$3460,2,0),"")</f>
        <v/>
      </c>
      <c r="C599" t="str">
        <f>IFERROR(VLOOKUP($A599,原始数据_收盘!$A$4:$G$3460,3,0),"")</f>
        <v/>
      </c>
      <c r="D599" t="str">
        <f>IFERROR(VLOOKUP($A599,原始数据_收盘!$A$4:$G$3460,4,0),"")</f>
        <v/>
      </c>
      <c r="E599" t="str">
        <f>IFERROR(VLOOKUP($A599,原始数据_收盘!$A$4:$G$3460,5,0),"")</f>
        <v/>
      </c>
      <c r="F599" t="str">
        <f>IFERROR(VLOOKUP($A599,原始数据_收盘!$A$4:$G$3460,6,0),"")</f>
        <v/>
      </c>
      <c r="G599" t="str">
        <f>IFERROR(VLOOKUP($A599,原始数据_收盘!$A$4:$G$3460,7,0),"")</f>
        <v/>
      </c>
      <c r="H599" t="str">
        <f>IFERROR(VLOOKUP($A599,原始数据_利率互换_FR007_1年!$A$6:$C$4395,2,0),"")</f>
        <v/>
      </c>
      <c r="I599" t="str">
        <f>IFERROR(VLOOKUP($A599,原始数据_利率互换_FR007_1年!$A$6:$C$4395,3,0),"")</f>
        <v/>
      </c>
    </row>
    <row r="600" spans="1:9">
      <c r="A600" s="6">
        <v>40093</v>
      </c>
      <c r="B600" t="str">
        <f>IFERROR(VLOOKUP($A600,原始数据_收盘!$A$4:$G$3460,2,0),"")</f>
        <v/>
      </c>
      <c r="C600" t="str">
        <f>IFERROR(VLOOKUP($A600,原始数据_收盘!$A$4:$G$3460,3,0),"")</f>
        <v/>
      </c>
      <c r="D600" t="str">
        <f>IFERROR(VLOOKUP($A600,原始数据_收盘!$A$4:$G$3460,4,0),"")</f>
        <v/>
      </c>
      <c r="E600" t="str">
        <f>IFERROR(VLOOKUP($A600,原始数据_收盘!$A$4:$G$3460,5,0),"")</f>
        <v/>
      </c>
      <c r="F600" t="str">
        <f>IFERROR(VLOOKUP($A600,原始数据_收盘!$A$4:$G$3460,6,0),"")</f>
        <v/>
      </c>
      <c r="G600" t="str">
        <f>IFERROR(VLOOKUP($A600,原始数据_收盘!$A$4:$G$3460,7,0),"")</f>
        <v/>
      </c>
      <c r="H600" t="str">
        <f>IFERROR(VLOOKUP($A600,原始数据_利率互换_FR007_1年!$A$6:$C$4395,2,0),"")</f>
        <v/>
      </c>
      <c r="I600" t="str">
        <f>IFERROR(VLOOKUP($A600,原始数据_利率互换_FR007_1年!$A$6:$C$4395,3,0),"")</f>
        <v/>
      </c>
    </row>
    <row r="601" spans="1:9">
      <c r="A601" s="6">
        <v>40094</v>
      </c>
      <c r="B601" t="str">
        <f>IFERROR(VLOOKUP($A601,原始数据_收盘!$A$4:$G$3460,2,0),"")</f>
        <v/>
      </c>
      <c r="C601" t="str">
        <f>IFERROR(VLOOKUP($A601,原始数据_收盘!$A$4:$G$3460,3,0),"")</f>
        <v/>
      </c>
      <c r="D601" t="str">
        <f>IFERROR(VLOOKUP($A601,原始数据_收盘!$A$4:$G$3460,4,0),"")</f>
        <v/>
      </c>
      <c r="E601" t="str">
        <f>IFERROR(VLOOKUP($A601,原始数据_收盘!$A$4:$G$3460,5,0),"")</f>
        <v/>
      </c>
      <c r="F601" t="str">
        <f>IFERROR(VLOOKUP($A601,原始数据_收盘!$A$4:$G$3460,6,0),"")</f>
        <v/>
      </c>
      <c r="G601" t="str">
        <f>IFERROR(VLOOKUP($A601,原始数据_收盘!$A$4:$G$3460,7,0),"")</f>
        <v/>
      </c>
      <c r="H601" t="str">
        <f>IFERROR(VLOOKUP($A601,原始数据_利率互换_FR007_1年!$A$6:$C$4395,2,0),"")</f>
        <v/>
      </c>
      <c r="I601" t="str">
        <f>IFERROR(VLOOKUP($A601,原始数据_利率互换_FR007_1年!$A$6:$C$4395,3,0),"")</f>
        <v/>
      </c>
    </row>
    <row r="602" spans="1:9">
      <c r="A602" s="6">
        <v>40095</v>
      </c>
      <c r="B602" t="str">
        <f>IFERROR(VLOOKUP($A602,原始数据_收盘!$A$4:$G$3460,2,0),"")</f>
        <v/>
      </c>
      <c r="C602" t="str">
        <f>IFERROR(VLOOKUP($A602,原始数据_收盘!$A$4:$G$3460,3,0),"")</f>
        <v/>
      </c>
      <c r="D602" t="str">
        <f>IFERROR(VLOOKUP($A602,原始数据_收盘!$A$4:$G$3460,4,0),"")</f>
        <v/>
      </c>
      <c r="E602" t="str">
        <f>IFERROR(VLOOKUP($A602,原始数据_收盘!$A$4:$G$3460,5,0),"")</f>
        <v/>
      </c>
      <c r="F602" t="str">
        <f>IFERROR(VLOOKUP($A602,原始数据_收盘!$A$4:$G$3460,6,0),"")</f>
        <v/>
      </c>
      <c r="G602" t="str">
        <f>IFERROR(VLOOKUP($A602,原始数据_收盘!$A$4:$G$3460,7,0),"")</f>
        <v/>
      </c>
      <c r="H602">
        <f>IFERROR(VLOOKUP($A602,原始数据_利率互换_FR007_1年!$A$6:$C$4395,2,0),"")</f>
        <v>1.96</v>
      </c>
      <c r="I602">
        <f>IFERROR(VLOOKUP($A602,原始数据_利率互换_FR007_1年!$A$6:$C$4395,3,0),"")</f>
        <v>0</v>
      </c>
    </row>
    <row r="603" spans="1:9">
      <c r="A603" s="6">
        <v>40096</v>
      </c>
      <c r="B603" t="str">
        <f>IFERROR(VLOOKUP($A603,原始数据_收盘!$A$4:$G$3460,2,0),"")</f>
        <v/>
      </c>
      <c r="C603" t="str">
        <f>IFERROR(VLOOKUP($A603,原始数据_收盘!$A$4:$G$3460,3,0),"")</f>
        <v/>
      </c>
      <c r="D603" t="str">
        <f>IFERROR(VLOOKUP($A603,原始数据_收盘!$A$4:$G$3460,4,0),"")</f>
        <v/>
      </c>
      <c r="E603" t="str">
        <f>IFERROR(VLOOKUP($A603,原始数据_收盘!$A$4:$G$3460,5,0),"")</f>
        <v/>
      </c>
      <c r="F603" t="str">
        <f>IFERROR(VLOOKUP($A603,原始数据_收盘!$A$4:$G$3460,6,0),"")</f>
        <v/>
      </c>
      <c r="G603" t="str">
        <f>IFERROR(VLOOKUP($A603,原始数据_收盘!$A$4:$G$3460,7,0),"")</f>
        <v/>
      </c>
      <c r="H603" t="str">
        <f>IFERROR(VLOOKUP($A603,原始数据_利率互换_FR007_1年!$A$6:$C$4395,2,0),"")</f>
        <v/>
      </c>
      <c r="I603" t="str">
        <f>IFERROR(VLOOKUP($A603,原始数据_利率互换_FR007_1年!$A$6:$C$4395,3,0),"")</f>
        <v/>
      </c>
    </row>
    <row r="604" spans="1:9">
      <c r="A604" s="6">
        <v>40097</v>
      </c>
      <c r="B604" t="str">
        <f>IFERROR(VLOOKUP($A604,原始数据_收盘!$A$4:$G$3460,2,0),"")</f>
        <v/>
      </c>
      <c r="C604" t="str">
        <f>IFERROR(VLOOKUP($A604,原始数据_收盘!$A$4:$G$3460,3,0),"")</f>
        <v/>
      </c>
      <c r="D604" t="str">
        <f>IFERROR(VLOOKUP($A604,原始数据_收盘!$A$4:$G$3460,4,0),"")</f>
        <v/>
      </c>
      <c r="E604" t="str">
        <f>IFERROR(VLOOKUP($A604,原始数据_收盘!$A$4:$G$3460,5,0),"")</f>
        <v/>
      </c>
      <c r="F604" t="str">
        <f>IFERROR(VLOOKUP($A604,原始数据_收盘!$A$4:$G$3460,6,0),"")</f>
        <v/>
      </c>
      <c r="G604" t="str">
        <f>IFERROR(VLOOKUP($A604,原始数据_收盘!$A$4:$G$3460,7,0),"")</f>
        <v/>
      </c>
      <c r="H604" t="str">
        <f>IFERROR(VLOOKUP($A604,原始数据_利率互换_FR007_1年!$A$6:$C$4395,2,0),"")</f>
        <v/>
      </c>
      <c r="I604" t="str">
        <f>IFERROR(VLOOKUP($A604,原始数据_利率互换_FR007_1年!$A$6:$C$4395,3,0),"")</f>
        <v/>
      </c>
    </row>
    <row r="605" spans="1:9">
      <c r="A605" s="6">
        <v>40098</v>
      </c>
      <c r="B605" t="str">
        <f>IFERROR(VLOOKUP($A605,原始数据_收盘!$A$4:$G$3460,2,0),"")</f>
        <v/>
      </c>
      <c r="C605" t="str">
        <f>IFERROR(VLOOKUP($A605,原始数据_收盘!$A$4:$G$3460,3,0),"")</f>
        <v/>
      </c>
      <c r="D605" t="str">
        <f>IFERROR(VLOOKUP($A605,原始数据_收盘!$A$4:$G$3460,4,0),"")</f>
        <v/>
      </c>
      <c r="E605" t="str">
        <f>IFERROR(VLOOKUP($A605,原始数据_收盘!$A$4:$G$3460,5,0),"")</f>
        <v/>
      </c>
      <c r="F605" t="str">
        <f>IFERROR(VLOOKUP($A605,原始数据_收盘!$A$4:$G$3460,6,0),"")</f>
        <v/>
      </c>
      <c r="G605" t="str">
        <f>IFERROR(VLOOKUP($A605,原始数据_收盘!$A$4:$G$3460,7,0),"")</f>
        <v/>
      </c>
      <c r="H605">
        <f>IFERROR(VLOOKUP($A605,原始数据_利率互换_FR007_1年!$A$6:$C$4395,2,0),"")</f>
        <v>2.03</v>
      </c>
      <c r="I605">
        <f>IFERROR(VLOOKUP($A605,原始数据_利率互换_FR007_1年!$A$6:$C$4395,3,0),"")</f>
        <v>3.46</v>
      </c>
    </row>
    <row r="606" spans="1:9">
      <c r="A606" s="6">
        <v>40099</v>
      </c>
      <c r="B606" t="str">
        <f>IFERROR(VLOOKUP($A606,原始数据_收盘!$A$4:$G$3460,2,0),"")</f>
        <v/>
      </c>
      <c r="C606" t="str">
        <f>IFERROR(VLOOKUP($A606,原始数据_收盘!$A$4:$G$3460,3,0),"")</f>
        <v/>
      </c>
      <c r="D606" t="str">
        <f>IFERROR(VLOOKUP($A606,原始数据_收盘!$A$4:$G$3460,4,0),"")</f>
        <v/>
      </c>
      <c r="E606" t="str">
        <f>IFERROR(VLOOKUP($A606,原始数据_收盘!$A$4:$G$3460,5,0),"")</f>
        <v/>
      </c>
      <c r="F606" t="str">
        <f>IFERROR(VLOOKUP($A606,原始数据_收盘!$A$4:$G$3460,6,0),"")</f>
        <v/>
      </c>
      <c r="G606" t="str">
        <f>IFERROR(VLOOKUP($A606,原始数据_收盘!$A$4:$G$3460,7,0),"")</f>
        <v/>
      </c>
      <c r="H606">
        <f>IFERROR(VLOOKUP($A606,原始数据_利率互换_FR007_1年!$A$6:$C$4395,2,0),"")</f>
        <v>2.06</v>
      </c>
      <c r="I606">
        <f>IFERROR(VLOOKUP($A606,原始数据_利率互换_FR007_1年!$A$6:$C$4395,3,0),"")</f>
        <v>3.46</v>
      </c>
    </row>
    <row r="607" spans="1:9">
      <c r="A607" s="6">
        <v>40100</v>
      </c>
      <c r="B607" t="str">
        <f>IFERROR(VLOOKUP($A607,原始数据_收盘!$A$4:$G$3460,2,0),"")</f>
        <v/>
      </c>
      <c r="C607" t="str">
        <f>IFERROR(VLOOKUP($A607,原始数据_收盘!$A$4:$G$3460,3,0),"")</f>
        <v/>
      </c>
      <c r="D607" t="str">
        <f>IFERROR(VLOOKUP($A607,原始数据_收盘!$A$4:$G$3460,4,0),"")</f>
        <v/>
      </c>
      <c r="E607" t="str">
        <f>IFERROR(VLOOKUP($A607,原始数据_收盘!$A$4:$G$3460,5,0),"")</f>
        <v/>
      </c>
      <c r="F607" t="str">
        <f>IFERROR(VLOOKUP($A607,原始数据_收盘!$A$4:$G$3460,6,0),"")</f>
        <v/>
      </c>
      <c r="G607" t="str">
        <f>IFERROR(VLOOKUP($A607,原始数据_收盘!$A$4:$G$3460,7,0),"")</f>
        <v/>
      </c>
      <c r="H607">
        <f>IFERROR(VLOOKUP($A607,原始数据_利率互换_FR007_1年!$A$6:$C$4395,2,0),"")</f>
        <v>2.05</v>
      </c>
      <c r="I607">
        <f>IFERROR(VLOOKUP($A607,原始数据_利率互换_FR007_1年!$A$6:$C$4395,3,0),"")</f>
        <v>0</v>
      </c>
    </row>
    <row r="608" spans="1:9">
      <c r="A608" s="6">
        <v>40101</v>
      </c>
      <c r="B608" t="str">
        <f>IFERROR(VLOOKUP($A608,原始数据_收盘!$A$4:$G$3460,2,0),"")</f>
        <v/>
      </c>
      <c r="C608" t="str">
        <f>IFERROR(VLOOKUP($A608,原始数据_收盘!$A$4:$G$3460,3,0),"")</f>
        <v/>
      </c>
      <c r="D608" t="str">
        <f>IFERROR(VLOOKUP($A608,原始数据_收盘!$A$4:$G$3460,4,0),"")</f>
        <v/>
      </c>
      <c r="E608" t="str">
        <f>IFERROR(VLOOKUP($A608,原始数据_收盘!$A$4:$G$3460,5,0),"")</f>
        <v/>
      </c>
      <c r="F608" t="str">
        <f>IFERROR(VLOOKUP($A608,原始数据_收盘!$A$4:$G$3460,6,0),"")</f>
        <v/>
      </c>
      <c r="G608" t="str">
        <f>IFERROR(VLOOKUP($A608,原始数据_收盘!$A$4:$G$3460,7,0),"")</f>
        <v/>
      </c>
      <c r="H608">
        <f>IFERROR(VLOOKUP($A608,原始数据_利率互换_FR007_1年!$A$6:$C$4395,2,0),"")</f>
        <v>2.14</v>
      </c>
      <c r="I608">
        <f>IFERROR(VLOOKUP($A608,原始数据_利率互换_FR007_1年!$A$6:$C$4395,3,0),"")</f>
        <v>3.58</v>
      </c>
    </row>
    <row r="609" spans="1:9">
      <c r="A609" s="6">
        <v>40102</v>
      </c>
      <c r="B609" t="str">
        <f>IFERROR(VLOOKUP($A609,原始数据_收盘!$A$4:$G$3460,2,0),"")</f>
        <v/>
      </c>
      <c r="C609" t="str">
        <f>IFERROR(VLOOKUP($A609,原始数据_收盘!$A$4:$G$3460,3,0),"")</f>
        <v/>
      </c>
      <c r="D609" t="str">
        <f>IFERROR(VLOOKUP($A609,原始数据_收盘!$A$4:$G$3460,4,0),"")</f>
        <v/>
      </c>
      <c r="E609" t="str">
        <f>IFERROR(VLOOKUP($A609,原始数据_收盘!$A$4:$G$3460,5,0),"")</f>
        <v/>
      </c>
      <c r="F609" t="str">
        <f>IFERROR(VLOOKUP($A609,原始数据_收盘!$A$4:$G$3460,6,0),"")</f>
        <v/>
      </c>
      <c r="G609" t="str">
        <f>IFERROR(VLOOKUP($A609,原始数据_收盘!$A$4:$G$3460,7,0),"")</f>
        <v/>
      </c>
      <c r="H609">
        <f>IFERROR(VLOOKUP($A609,原始数据_利率互换_FR007_1年!$A$6:$C$4395,2,0),"")</f>
        <v>2.15</v>
      </c>
      <c r="I609">
        <f>IFERROR(VLOOKUP($A609,原始数据_利率互换_FR007_1年!$A$6:$C$4395,3,0),"")</f>
        <v>3.61</v>
      </c>
    </row>
    <row r="610" spans="1:9">
      <c r="A610" s="6">
        <v>40103</v>
      </c>
      <c r="B610" t="str">
        <f>IFERROR(VLOOKUP($A610,原始数据_收盘!$A$4:$G$3460,2,0),"")</f>
        <v/>
      </c>
      <c r="C610" t="str">
        <f>IFERROR(VLOOKUP($A610,原始数据_收盘!$A$4:$G$3460,3,0),"")</f>
        <v/>
      </c>
      <c r="D610" t="str">
        <f>IFERROR(VLOOKUP($A610,原始数据_收盘!$A$4:$G$3460,4,0),"")</f>
        <v/>
      </c>
      <c r="E610" t="str">
        <f>IFERROR(VLOOKUP($A610,原始数据_收盘!$A$4:$G$3460,5,0),"")</f>
        <v/>
      </c>
      <c r="F610" t="str">
        <f>IFERROR(VLOOKUP($A610,原始数据_收盘!$A$4:$G$3460,6,0),"")</f>
        <v/>
      </c>
      <c r="G610" t="str">
        <f>IFERROR(VLOOKUP($A610,原始数据_收盘!$A$4:$G$3460,7,0),"")</f>
        <v/>
      </c>
      <c r="H610" t="str">
        <f>IFERROR(VLOOKUP($A610,原始数据_利率互换_FR007_1年!$A$6:$C$4395,2,0),"")</f>
        <v/>
      </c>
      <c r="I610" t="str">
        <f>IFERROR(VLOOKUP($A610,原始数据_利率互换_FR007_1年!$A$6:$C$4395,3,0),"")</f>
        <v/>
      </c>
    </row>
    <row r="611" spans="1:9">
      <c r="A611" s="6">
        <v>40104</v>
      </c>
      <c r="B611" t="str">
        <f>IFERROR(VLOOKUP($A611,原始数据_收盘!$A$4:$G$3460,2,0),"")</f>
        <v/>
      </c>
      <c r="C611" t="str">
        <f>IFERROR(VLOOKUP($A611,原始数据_收盘!$A$4:$G$3460,3,0),"")</f>
        <v/>
      </c>
      <c r="D611" t="str">
        <f>IFERROR(VLOOKUP($A611,原始数据_收盘!$A$4:$G$3460,4,0),"")</f>
        <v/>
      </c>
      <c r="E611" t="str">
        <f>IFERROR(VLOOKUP($A611,原始数据_收盘!$A$4:$G$3460,5,0),"")</f>
        <v/>
      </c>
      <c r="F611" t="str">
        <f>IFERROR(VLOOKUP($A611,原始数据_收盘!$A$4:$G$3460,6,0),"")</f>
        <v/>
      </c>
      <c r="G611" t="str">
        <f>IFERROR(VLOOKUP($A611,原始数据_收盘!$A$4:$G$3460,7,0),"")</f>
        <v/>
      </c>
      <c r="H611" t="str">
        <f>IFERROR(VLOOKUP($A611,原始数据_利率互换_FR007_1年!$A$6:$C$4395,2,0),"")</f>
        <v/>
      </c>
      <c r="I611" t="str">
        <f>IFERROR(VLOOKUP($A611,原始数据_利率互换_FR007_1年!$A$6:$C$4395,3,0),"")</f>
        <v/>
      </c>
    </row>
    <row r="612" spans="1:9">
      <c r="A612" s="6">
        <v>40105</v>
      </c>
      <c r="B612" t="str">
        <f>IFERROR(VLOOKUP($A612,原始数据_收盘!$A$4:$G$3460,2,0),"")</f>
        <v/>
      </c>
      <c r="C612" t="str">
        <f>IFERROR(VLOOKUP($A612,原始数据_收盘!$A$4:$G$3460,3,0),"")</f>
        <v/>
      </c>
      <c r="D612" t="str">
        <f>IFERROR(VLOOKUP($A612,原始数据_收盘!$A$4:$G$3460,4,0),"")</f>
        <v/>
      </c>
      <c r="E612" t="str">
        <f>IFERROR(VLOOKUP($A612,原始数据_收盘!$A$4:$G$3460,5,0),"")</f>
        <v/>
      </c>
      <c r="F612" t="str">
        <f>IFERROR(VLOOKUP($A612,原始数据_收盘!$A$4:$G$3460,6,0),"")</f>
        <v/>
      </c>
      <c r="G612" t="str">
        <f>IFERROR(VLOOKUP($A612,原始数据_收盘!$A$4:$G$3460,7,0),"")</f>
        <v/>
      </c>
      <c r="H612">
        <f>IFERROR(VLOOKUP($A612,原始数据_利率互换_FR007_1年!$A$6:$C$4395,2,0),"")</f>
        <v>2.15</v>
      </c>
      <c r="I612">
        <f>IFERROR(VLOOKUP($A612,原始数据_利率互换_FR007_1年!$A$6:$C$4395,3,0),"")</f>
        <v>3.61</v>
      </c>
    </row>
    <row r="613" spans="1:9">
      <c r="A613" s="6">
        <v>40106</v>
      </c>
      <c r="B613" t="str">
        <f>IFERROR(VLOOKUP($A613,原始数据_收盘!$A$4:$G$3460,2,0),"")</f>
        <v/>
      </c>
      <c r="C613" t="str">
        <f>IFERROR(VLOOKUP($A613,原始数据_收盘!$A$4:$G$3460,3,0),"")</f>
        <v/>
      </c>
      <c r="D613" t="str">
        <f>IFERROR(VLOOKUP($A613,原始数据_收盘!$A$4:$G$3460,4,0),"")</f>
        <v/>
      </c>
      <c r="E613" t="str">
        <f>IFERROR(VLOOKUP($A613,原始数据_收盘!$A$4:$G$3460,5,0),"")</f>
        <v/>
      </c>
      <c r="F613" t="str">
        <f>IFERROR(VLOOKUP($A613,原始数据_收盘!$A$4:$G$3460,6,0),"")</f>
        <v/>
      </c>
      <c r="G613" t="str">
        <f>IFERROR(VLOOKUP($A613,原始数据_收盘!$A$4:$G$3460,7,0),"")</f>
        <v/>
      </c>
      <c r="H613">
        <f>IFERROR(VLOOKUP($A613,原始数据_利率互换_FR007_1年!$A$6:$C$4395,2,0),"")</f>
        <v>2.17</v>
      </c>
      <c r="I613">
        <f>IFERROR(VLOOKUP($A613,原始数据_利率互换_FR007_1年!$A$6:$C$4395,3,0),"")</f>
        <v>3.61</v>
      </c>
    </row>
    <row r="614" spans="1:9">
      <c r="A614" s="6">
        <v>40107</v>
      </c>
      <c r="B614" t="str">
        <f>IFERROR(VLOOKUP($A614,原始数据_收盘!$A$4:$G$3460,2,0),"")</f>
        <v/>
      </c>
      <c r="C614" t="str">
        <f>IFERROR(VLOOKUP($A614,原始数据_收盘!$A$4:$G$3460,3,0),"")</f>
        <v/>
      </c>
      <c r="D614" t="str">
        <f>IFERROR(VLOOKUP($A614,原始数据_收盘!$A$4:$G$3460,4,0),"")</f>
        <v/>
      </c>
      <c r="E614" t="str">
        <f>IFERROR(VLOOKUP($A614,原始数据_收盘!$A$4:$G$3460,5,0),"")</f>
        <v/>
      </c>
      <c r="F614" t="str">
        <f>IFERROR(VLOOKUP($A614,原始数据_收盘!$A$4:$G$3460,6,0),"")</f>
        <v/>
      </c>
      <c r="G614" t="str">
        <f>IFERROR(VLOOKUP($A614,原始数据_收盘!$A$4:$G$3460,7,0),"")</f>
        <v/>
      </c>
      <c r="H614">
        <f>IFERROR(VLOOKUP($A614,原始数据_利率互换_FR007_1年!$A$6:$C$4395,2,0),"")</f>
        <v>2.14</v>
      </c>
      <c r="I614">
        <f>IFERROR(VLOOKUP($A614,原始数据_利率互换_FR007_1年!$A$6:$C$4395,3,0),"")</f>
        <v>3.58</v>
      </c>
    </row>
    <row r="615" spans="1:9">
      <c r="A615" s="6">
        <v>40108</v>
      </c>
      <c r="B615" t="str">
        <f>IFERROR(VLOOKUP($A615,原始数据_收盘!$A$4:$G$3460,2,0),"")</f>
        <v/>
      </c>
      <c r="C615" t="str">
        <f>IFERROR(VLOOKUP($A615,原始数据_收盘!$A$4:$G$3460,3,0),"")</f>
        <v/>
      </c>
      <c r="D615" t="str">
        <f>IFERROR(VLOOKUP($A615,原始数据_收盘!$A$4:$G$3460,4,0),"")</f>
        <v/>
      </c>
      <c r="E615" t="str">
        <f>IFERROR(VLOOKUP($A615,原始数据_收盘!$A$4:$G$3460,5,0),"")</f>
        <v/>
      </c>
      <c r="F615" t="str">
        <f>IFERROR(VLOOKUP($A615,原始数据_收盘!$A$4:$G$3460,6,0),"")</f>
        <v/>
      </c>
      <c r="G615" t="str">
        <f>IFERROR(VLOOKUP($A615,原始数据_收盘!$A$4:$G$3460,7,0),"")</f>
        <v/>
      </c>
      <c r="H615">
        <f>IFERROR(VLOOKUP($A615,原始数据_利率互换_FR007_1年!$A$6:$C$4395,2,0),"")</f>
        <v>2.18</v>
      </c>
      <c r="I615">
        <f>IFERROR(VLOOKUP($A615,原始数据_利率互换_FR007_1年!$A$6:$C$4395,3,0),"")</f>
        <v>3.63</v>
      </c>
    </row>
    <row r="616" spans="1:9">
      <c r="A616" s="6">
        <v>40109</v>
      </c>
      <c r="B616" t="str">
        <f>IFERROR(VLOOKUP($A616,原始数据_收盘!$A$4:$G$3460,2,0),"")</f>
        <v/>
      </c>
      <c r="C616" t="str">
        <f>IFERROR(VLOOKUP($A616,原始数据_收盘!$A$4:$G$3460,3,0),"")</f>
        <v/>
      </c>
      <c r="D616" t="str">
        <f>IFERROR(VLOOKUP($A616,原始数据_收盘!$A$4:$G$3460,4,0),"")</f>
        <v/>
      </c>
      <c r="E616" t="str">
        <f>IFERROR(VLOOKUP($A616,原始数据_收盘!$A$4:$G$3460,5,0),"")</f>
        <v/>
      </c>
      <c r="F616" t="str">
        <f>IFERROR(VLOOKUP($A616,原始数据_收盘!$A$4:$G$3460,6,0),"")</f>
        <v/>
      </c>
      <c r="G616" t="str">
        <f>IFERROR(VLOOKUP($A616,原始数据_收盘!$A$4:$G$3460,7,0),"")</f>
        <v/>
      </c>
      <c r="H616">
        <f>IFERROR(VLOOKUP($A616,原始数据_利率互换_FR007_1年!$A$6:$C$4395,2,0),"")</f>
        <v>2.18</v>
      </c>
      <c r="I616">
        <f>IFERROR(VLOOKUP($A616,原始数据_利率互换_FR007_1年!$A$6:$C$4395,3,0),"")</f>
        <v>3.71</v>
      </c>
    </row>
    <row r="617" spans="1:9">
      <c r="A617" s="6">
        <v>40110</v>
      </c>
      <c r="B617" t="str">
        <f>IFERROR(VLOOKUP($A617,原始数据_收盘!$A$4:$G$3460,2,0),"")</f>
        <v/>
      </c>
      <c r="C617" t="str">
        <f>IFERROR(VLOOKUP($A617,原始数据_收盘!$A$4:$G$3460,3,0),"")</f>
        <v/>
      </c>
      <c r="D617" t="str">
        <f>IFERROR(VLOOKUP($A617,原始数据_收盘!$A$4:$G$3460,4,0),"")</f>
        <v/>
      </c>
      <c r="E617" t="str">
        <f>IFERROR(VLOOKUP($A617,原始数据_收盘!$A$4:$G$3460,5,0),"")</f>
        <v/>
      </c>
      <c r="F617" t="str">
        <f>IFERROR(VLOOKUP($A617,原始数据_收盘!$A$4:$G$3460,6,0),"")</f>
        <v/>
      </c>
      <c r="G617" t="str">
        <f>IFERROR(VLOOKUP($A617,原始数据_收盘!$A$4:$G$3460,7,0),"")</f>
        <v/>
      </c>
      <c r="H617" t="str">
        <f>IFERROR(VLOOKUP($A617,原始数据_利率互换_FR007_1年!$A$6:$C$4395,2,0),"")</f>
        <v/>
      </c>
      <c r="I617" t="str">
        <f>IFERROR(VLOOKUP($A617,原始数据_利率互换_FR007_1年!$A$6:$C$4395,3,0),"")</f>
        <v/>
      </c>
    </row>
    <row r="618" spans="1:9">
      <c r="A618" s="6">
        <v>40111</v>
      </c>
      <c r="B618" t="str">
        <f>IFERROR(VLOOKUP($A618,原始数据_收盘!$A$4:$G$3460,2,0),"")</f>
        <v/>
      </c>
      <c r="C618" t="str">
        <f>IFERROR(VLOOKUP($A618,原始数据_收盘!$A$4:$G$3460,3,0),"")</f>
        <v/>
      </c>
      <c r="D618" t="str">
        <f>IFERROR(VLOOKUP($A618,原始数据_收盘!$A$4:$G$3460,4,0),"")</f>
        <v/>
      </c>
      <c r="E618" t="str">
        <f>IFERROR(VLOOKUP($A618,原始数据_收盘!$A$4:$G$3460,5,0),"")</f>
        <v/>
      </c>
      <c r="F618" t="str">
        <f>IFERROR(VLOOKUP($A618,原始数据_收盘!$A$4:$G$3460,6,0),"")</f>
        <v/>
      </c>
      <c r="G618" t="str">
        <f>IFERROR(VLOOKUP($A618,原始数据_收盘!$A$4:$G$3460,7,0),"")</f>
        <v/>
      </c>
      <c r="H618" t="str">
        <f>IFERROR(VLOOKUP($A618,原始数据_利率互换_FR007_1年!$A$6:$C$4395,2,0),"")</f>
        <v/>
      </c>
      <c r="I618" t="str">
        <f>IFERROR(VLOOKUP($A618,原始数据_利率互换_FR007_1年!$A$6:$C$4395,3,0),"")</f>
        <v/>
      </c>
    </row>
    <row r="619" spans="1:9">
      <c r="A619" s="6">
        <v>40112</v>
      </c>
      <c r="B619" t="str">
        <f>IFERROR(VLOOKUP($A619,原始数据_收盘!$A$4:$G$3460,2,0),"")</f>
        <v/>
      </c>
      <c r="C619" t="str">
        <f>IFERROR(VLOOKUP($A619,原始数据_收盘!$A$4:$G$3460,3,0),"")</f>
        <v/>
      </c>
      <c r="D619" t="str">
        <f>IFERROR(VLOOKUP($A619,原始数据_收盘!$A$4:$G$3460,4,0),"")</f>
        <v/>
      </c>
      <c r="E619" t="str">
        <f>IFERROR(VLOOKUP($A619,原始数据_收盘!$A$4:$G$3460,5,0),"")</f>
        <v/>
      </c>
      <c r="F619" t="str">
        <f>IFERROR(VLOOKUP($A619,原始数据_收盘!$A$4:$G$3460,6,0),"")</f>
        <v/>
      </c>
      <c r="G619" t="str">
        <f>IFERROR(VLOOKUP($A619,原始数据_收盘!$A$4:$G$3460,7,0),"")</f>
        <v/>
      </c>
      <c r="H619">
        <f>IFERROR(VLOOKUP($A619,原始数据_利率互换_FR007_1年!$A$6:$C$4395,2,0),"")</f>
        <v>2.18</v>
      </c>
      <c r="I619">
        <f>IFERROR(VLOOKUP($A619,原始数据_利率互换_FR007_1年!$A$6:$C$4395,3,0),"")</f>
        <v>3.73</v>
      </c>
    </row>
    <row r="620" spans="1:9">
      <c r="A620" s="6">
        <v>40113</v>
      </c>
      <c r="B620" t="str">
        <f>IFERROR(VLOOKUP($A620,原始数据_收盘!$A$4:$G$3460,2,0),"")</f>
        <v/>
      </c>
      <c r="C620" t="str">
        <f>IFERROR(VLOOKUP($A620,原始数据_收盘!$A$4:$G$3460,3,0),"")</f>
        <v/>
      </c>
      <c r="D620" t="str">
        <f>IFERROR(VLOOKUP($A620,原始数据_收盘!$A$4:$G$3460,4,0),"")</f>
        <v/>
      </c>
      <c r="E620" t="str">
        <f>IFERROR(VLOOKUP($A620,原始数据_收盘!$A$4:$G$3460,5,0),"")</f>
        <v/>
      </c>
      <c r="F620" t="str">
        <f>IFERROR(VLOOKUP($A620,原始数据_收盘!$A$4:$G$3460,6,0),"")</f>
        <v/>
      </c>
      <c r="G620" t="str">
        <f>IFERROR(VLOOKUP($A620,原始数据_收盘!$A$4:$G$3460,7,0),"")</f>
        <v/>
      </c>
      <c r="H620">
        <f>IFERROR(VLOOKUP($A620,原始数据_利率互换_FR007_1年!$A$6:$C$4395,2,0),"")</f>
        <v>2.17</v>
      </c>
      <c r="I620">
        <f>IFERROR(VLOOKUP($A620,原始数据_利率互换_FR007_1年!$A$6:$C$4395,3,0),"")</f>
        <v>3.73</v>
      </c>
    </row>
    <row r="621" spans="1:9">
      <c r="A621" s="6">
        <v>40114</v>
      </c>
      <c r="B621" t="str">
        <f>IFERROR(VLOOKUP($A621,原始数据_收盘!$A$4:$G$3460,2,0),"")</f>
        <v/>
      </c>
      <c r="C621" t="str">
        <f>IFERROR(VLOOKUP($A621,原始数据_收盘!$A$4:$G$3460,3,0),"")</f>
        <v/>
      </c>
      <c r="D621" t="str">
        <f>IFERROR(VLOOKUP($A621,原始数据_收盘!$A$4:$G$3460,4,0),"")</f>
        <v/>
      </c>
      <c r="E621" t="str">
        <f>IFERROR(VLOOKUP($A621,原始数据_收盘!$A$4:$G$3460,5,0),"")</f>
        <v/>
      </c>
      <c r="F621" t="str">
        <f>IFERROR(VLOOKUP($A621,原始数据_收盘!$A$4:$G$3460,6,0),"")</f>
        <v/>
      </c>
      <c r="G621" t="str">
        <f>IFERROR(VLOOKUP($A621,原始数据_收盘!$A$4:$G$3460,7,0),"")</f>
        <v/>
      </c>
      <c r="H621">
        <f>IFERROR(VLOOKUP($A621,原始数据_利率互换_FR007_1年!$A$6:$C$4395,2,0),"")</f>
        <v>2.16</v>
      </c>
      <c r="I621">
        <f>IFERROR(VLOOKUP($A621,原始数据_利率互换_FR007_1年!$A$6:$C$4395,3,0),"")</f>
        <v>3.72</v>
      </c>
    </row>
    <row r="622" spans="1:9">
      <c r="A622" s="6">
        <v>40115</v>
      </c>
      <c r="B622" t="str">
        <f>IFERROR(VLOOKUP($A622,原始数据_收盘!$A$4:$G$3460,2,0),"")</f>
        <v/>
      </c>
      <c r="C622" t="str">
        <f>IFERROR(VLOOKUP($A622,原始数据_收盘!$A$4:$G$3460,3,0),"")</f>
        <v/>
      </c>
      <c r="D622" t="str">
        <f>IFERROR(VLOOKUP($A622,原始数据_收盘!$A$4:$G$3460,4,0),"")</f>
        <v/>
      </c>
      <c r="E622" t="str">
        <f>IFERROR(VLOOKUP($A622,原始数据_收盘!$A$4:$G$3460,5,0),"")</f>
        <v/>
      </c>
      <c r="F622" t="str">
        <f>IFERROR(VLOOKUP($A622,原始数据_收盘!$A$4:$G$3460,6,0),"")</f>
        <v/>
      </c>
      <c r="G622" t="str">
        <f>IFERROR(VLOOKUP($A622,原始数据_收盘!$A$4:$G$3460,7,0),"")</f>
        <v/>
      </c>
      <c r="H622">
        <f>IFERROR(VLOOKUP($A622,原始数据_利率互换_FR007_1年!$A$6:$C$4395,2,0),"")</f>
        <v>2.1</v>
      </c>
      <c r="I622">
        <f>IFERROR(VLOOKUP($A622,原始数据_利率互换_FR007_1年!$A$6:$C$4395,3,0),"")</f>
        <v>3.65</v>
      </c>
    </row>
    <row r="623" spans="1:9">
      <c r="A623" s="6">
        <v>40116</v>
      </c>
      <c r="B623" t="str">
        <f>IFERROR(VLOOKUP($A623,原始数据_收盘!$A$4:$G$3460,2,0),"")</f>
        <v/>
      </c>
      <c r="C623" t="str">
        <f>IFERROR(VLOOKUP($A623,原始数据_收盘!$A$4:$G$3460,3,0),"")</f>
        <v/>
      </c>
      <c r="D623" t="str">
        <f>IFERROR(VLOOKUP($A623,原始数据_收盘!$A$4:$G$3460,4,0),"")</f>
        <v/>
      </c>
      <c r="E623" t="str">
        <f>IFERROR(VLOOKUP($A623,原始数据_收盘!$A$4:$G$3460,5,0),"")</f>
        <v/>
      </c>
      <c r="F623" t="str">
        <f>IFERROR(VLOOKUP($A623,原始数据_收盘!$A$4:$G$3460,6,0),"")</f>
        <v/>
      </c>
      <c r="G623" t="str">
        <f>IFERROR(VLOOKUP($A623,原始数据_收盘!$A$4:$G$3460,7,0),"")</f>
        <v/>
      </c>
      <c r="H623">
        <f>IFERROR(VLOOKUP($A623,原始数据_利率互换_FR007_1年!$A$6:$C$4395,2,0),"")</f>
        <v>2.14</v>
      </c>
      <c r="I623">
        <f>IFERROR(VLOOKUP($A623,原始数据_利率互换_FR007_1年!$A$6:$C$4395,3,0),"")</f>
        <v>0</v>
      </c>
    </row>
    <row r="624" spans="1:9">
      <c r="A624" s="6">
        <v>40117</v>
      </c>
      <c r="B624" t="str">
        <f>IFERROR(VLOOKUP($A624,原始数据_收盘!$A$4:$G$3460,2,0),"")</f>
        <v/>
      </c>
      <c r="C624" t="str">
        <f>IFERROR(VLOOKUP($A624,原始数据_收盘!$A$4:$G$3460,3,0),"")</f>
        <v/>
      </c>
      <c r="D624" t="str">
        <f>IFERROR(VLOOKUP($A624,原始数据_收盘!$A$4:$G$3460,4,0),"")</f>
        <v/>
      </c>
      <c r="E624" t="str">
        <f>IFERROR(VLOOKUP($A624,原始数据_收盘!$A$4:$G$3460,5,0),"")</f>
        <v/>
      </c>
      <c r="F624" t="str">
        <f>IFERROR(VLOOKUP($A624,原始数据_收盘!$A$4:$G$3460,6,0),"")</f>
        <v/>
      </c>
      <c r="G624" t="str">
        <f>IFERROR(VLOOKUP($A624,原始数据_收盘!$A$4:$G$3460,7,0),"")</f>
        <v/>
      </c>
      <c r="H624" t="str">
        <f>IFERROR(VLOOKUP($A624,原始数据_利率互换_FR007_1年!$A$6:$C$4395,2,0),"")</f>
        <v/>
      </c>
      <c r="I624" t="str">
        <f>IFERROR(VLOOKUP($A624,原始数据_利率互换_FR007_1年!$A$6:$C$4395,3,0),"")</f>
        <v/>
      </c>
    </row>
    <row r="625" spans="1:9">
      <c r="A625" s="6">
        <v>40118</v>
      </c>
      <c r="B625" t="str">
        <f>IFERROR(VLOOKUP($A625,原始数据_收盘!$A$4:$G$3460,2,0),"")</f>
        <v/>
      </c>
      <c r="C625" t="str">
        <f>IFERROR(VLOOKUP($A625,原始数据_收盘!$A$4:$G$3460,3,0),"")</f>
        <v/>
      </c>
      <c r="D625" t="str">
        <f>IFERROR(VLOOKUP($A625,原始数据_收盘!$A$4:$G$3460,4,0),"")</f>
        <v/>
      </c>
      <c r="E625" t="str">
        <f>IFERROR(VLOOKUP($A625,原始数据_收盘!$A$4:$G$3460,5,0),"")</f>
        <v/>
      </c>
      <c r="F625" t="str">
        <f>IFERROR(VLOOKUP($A625,原始数据_收盘!$A$4:$G$3460,6,0),"")</f>
        <v/>
      </c>
      <c r="G625" t="str">
        <f>IFERROR(VLOOKUP($A625,原始数据_收盘!$A$4:$G$3460,7,0),"")</f>
        <v/>
      </c>
      <c r="H625" t="str">
        <f>IFERROR(VLOOKUP($A625,原始数据_利率互换_FR007_1年!$A$6:$C$4395,2,0),"")</f>
        <v/>
      </c>
      <c r="I625" t="str">
        <f>IFERROR(VLOOKUP($A625,原始数据_利率互换_FR007_1年!$A$6:$C$4395,3,0),"")</f>
        <v/>
      </c>
    </row>
    <row r="626" spans="1:9">
      <c r="A626" s="6">
        <v>40119</v>
      </c>
      <c r="B626" t="str">
        <f>IFERROR(VLOOKUP($A626,原始数据_收盘!$A$4:$G$3460,2,0),"")</f>
        <v/>
      </c>
      <c r="C626" t="str">
        <f>IFERROR(VLOOKUP($A626,原始数据_收盘!$A$4:$G$3460,3,0),"")</f>
        <v/>
      </c>
      <c r="D626" t="str">
        <f>IFERROR(VLOOKUP($A626,原始数据_收盘!$A$4:$G$3460,4,0),"")</f>
        <v/>
      </c>
      <c r="E626" t="str">
        <f>IFERROR(VLOOKUP($A626,原始数据_收盘!$A$4:$G$3460,5,0),"")</f>
        <v/>
      </c>
      <c r="F626" t="str">
        <f>IFERROR(VLOOKUP($A626,原始数据_收盘!$A$4:$G$3460,6,0),"")</f>
        <v/>
      </c>
      <c r="G626" t="str">
        <f>IFERROR(VLOOKUP($A626,原始数据_收盘!$A$4:$G$3460,7,0),"")</f>
        <v/>
      </c>
      <c r="H626">
        <f>IFERROR(VLOOKUP($A626,原始数据_利率互换_FR007_1年!$A$6:$C$4395,2,0),"")</f>
        <v>2.1</v>
      </c>
      <c r="I626">
        <f>IFERROR(VLOOKUP($A626,原始数据_利率互换_FR007_1年!$A$6:$C$4395,3,0),"")</f>
        <v>3.64</v>
      </c>
    </row>
    <row r="627" spans="1:9">
      <c r="A627" s="6">
        <v>40120</v>
      </c>
      <c r="B627" t="str">
        <f>IFERROR(VLOOKUP($A627,原始数据_收盘!$A$4:$G$3460,2,0),"")</f>
        <v/>
      </c>
      <c r="C627" t="str">
        <f>IFERROR(VLOOKUP($A627,原始数据_收盘!$A$4:$G$3460,3,0),"")</f>
        <v/>
      </c>
      <c r="D627" t="str">
        <f>IFERROR(VLOOKUP($A627,原始数据_收盘!$A$4:$G$3460,4,0),"")</f>
        <v/>
      </c>
      <c r="E627" t="str">
        <f>IFERROR(VLOOKUP($A627,原始数据_收盘!$A$4:$G$3460,5,0),"")</f>
        <v/>
      </c>
      <c r="F627" t="str">
        <f>IFERROR(VLOOKUP($A627,原始数据_收盘!$A$4:$G$3460,6,0),"")</f>
        <v/>
      </c>
      <c r="G627" t="str">
        <f>IFERROR(VLOOKUP($A627,原始数据_收盘!$A$4:$G$3460,7,0),"")</f>
        <v/>
      </c>
      <c r="H627">
        <f>IFERROR(VLOOKUP($A627,原始数据_利率互换_FR007_1年!$A$6:$C$4395,2,0),"")</f>
        <v>2.14</v>
      </c>
      <c r="I627">
        <f>IFERROR(VLOOKUP($A627,原始数据_利率互换_FR007_1年!$A$6:$C$4395,3,0),"")</f>
        <v>3.65</v>
      </c>
    </row>
    <row r="628" spans="1:9">
      <c r="A628" s="6">
        <v>40121</v>
      </c>
      <c r="B628" t="str">
        <f>IFERROR(VLOOKUP($A628,原始数据_收盘!$A$4:$G$3460,2,0),"")</f>
        <v/>
      </c>
      <c r="C628" t="str">
        <f>IFERROR(VLOOKUP($A628,原始数据_收盘!$A$4:$G$3460,3,0),"")</f>
        <v/>
      </c>
      <c r="D628" t="str">
        <f>IFERROR(VLOOKUP($A628,原始数据_收盘!$A$4:$G$3460,4,0),"")</f>
        <v/>
      </c>
      <c r="E628" t="str">
        <f>IFERROR(VLOOKUP($A628,原始数据_收盘!$A$4:$G$3460,5,0),"")</f>
        <v/>
      </c>
      <c r="F628" t="str">
        <f>IFERROR(VLOOKUP($A628,原始数据_收盘!$A$4:$G$3460,6,0),"")</f>
        <v/>
      </c>
      <c r="G628" t="str">
        <f>IFERROR(VLOOKUP($A628,原始数据_收盘!$A$4:$G$3460,7,0),"")</f>
        <v/>
      </c>
      <c r="H628">
        <f>IFERROR(VLOOKUP($A628,原始数据_利率互换_FR007_1年!$A$6:$C$4395,2,0),"")</f>
        <v>2.13</v>
      </c>
      <c r="I628">
        <f>IFERROR(VLOOKUP($A628,原始数据_利率互换_FR007_1年!$A$6:$C$4395,3,0),"")</f>
        <v>0</v>
      </c>
    </row>
    <row r="629" spans="1:9">
      <c r="A629" s="6">
        <v>40122</v>
      </c>
      <c r="B629" t="str">
        <f>IFERROR(VLOOKUP($A629,原始数据_收盘!$A$4:$G$3460,2,0),"")</f>
        <v/>
      </c>
      <c r="C629" t="str">
        <f>IFERROR(VLOOKUP($A629,原始数据_收盘!$A$4:$G$3460,3,0),"")</f>
        <v/>
      </c>
      <c r="D629" t="str">
        <f>IFERROR(VLOOKUP($A629,原始数据_收盘!$A$4:$G$3460,4,0),"")</f>
        <v/>
      </c>
      <c r="E629" t="str">
        <f>IFERROR(VLOOKUP($A629,原始数据_收盘!$A$4:$G$3460,5,0),"")</f>
        <v/>
      </c>
      <c r="F629" t="str">
        <f>IFERROR(VLOOKUP($A629,原始数据_收盘!$A$4:$G$3460,6,0),"")</f>
        <v/>
      </c>
      <c r="G629" t="str">
        <f>IFERROR(VLOOKUP($A629,原始数据_收盘!$A$4:$G$3460,7,0),"")</f>
        <v/>
      </c>
      <c r="H629">
        <f>IFERROR(VLOOKUP($A629,原始数据_利率互换_FR007_1年!$A$6:$C$4395,2,0),"")</f>
        <v>2.14</v>
      </c>
      <c r="I629">
        <f>IFERROR(VLOOKUP($A629,原始数据_利率互换_FR007_1年!$A$6:$C$4395,3,0),"")</f>
        <v>3.69</v>
      </c>
    </row>
    <row r="630" spans="1:9">
      <c r="A630" s="6">
        <v>40123</v>
      </c>
      <c r="B630" t="str">
        <f>IFERROR(VLOOKUP($A630,原始数据_收盘!$A$4:$G$3460,2,0),"")</f>
        <v/>
      </c>
      <c r="C630" t="str">
        <f>IFERROR(VLOOKUP($A630,原始数据_收盘!$A$4:$G$3460,3,0),"")</f>
        <v/>
      </c>
      <c r="D630" t="str">
        <f>IFERROR(VLOOKUP($A630,原始数据_收盘!$A$4:$G$3460,4,0),"")</f>
        <v/>
      </c>
      <c r="E630" t="str">
        <f>IFERROR(VLOOKUP($A630,原始数据_收盘!$A$4:$G$3460,5,0),"")</f>
        <v/>
      </c>
      <c r="F630" t="str">
        <f>IFERROR(VLOOKUP($A630,原始数据_收盘!$A$4:$G$3460,6,0),"")</f>
        <v/>
      </c>
      <c r="G630" t="str">
        <f>IFERROR(VLOOKUP($A630,原始数据_收盘!$A$4:$G$3460,7,0),"")</f>
        <v/>
      </c>
      <c r="H630">
        <f>IFERROR(VLOOKUP($A630,原始数据_利率互换_FR007_1年!$A$6:$C$4395,2,0),"")</f>
        <v>2.15</v>
      </c>
      <c r="I630">
        <f>IFERROR(VLOOKUP($A630,原始数据_利率互换_FR007_1年!$A$6:$C$4395,3,0),"")</f>
        <v>0</v>
      </c>
    </row>
    <row r="631" spans="1:9">
      <c r="A631" s="6">
        <v>40124</v>
      </c>
      <c r="B631" t="str">
        <f>IFERROR(VLOOKUP($A631,原始数据_收盘!$A$4:$G$3460,2,0),"")</f>
        <v/>
      </c>
      <c r="C631" t="str">
        <f>IFERROR(VLOOKUP($A631,原始数据_收盘!$A$4:$G$3460,3,0),"")</f>
        <v/>
      </c>
      <c r="D631" t="str">
        <f>IFERROR(VLOOKUP($A631,原始数据_收盘!$A$4:$G$3460,4,0),"")</f>
        <v/>
      </c>
      <c r="E631" t="str">
        <f>IFERROR(VLOOKUP($A631,原始数据_收盘!$A$4:$G$3460,5,0),"")</f>
        <v/>
      </c>
      <c r="F631" t="str">
        <f>IFERROR(VLOOKUP($A631,原始数据_收盘!$A$4:$G$3460,6,0),"")</f>
        <v/>
      </c>
      <c r="G631" t="str">
        <f>IFERROR(VLOOKUP($A631,原始数据_收盘!$A$4:$G$3460,7,0),"")</f>
        <v/>
      </c>
      <c r="H631" t="str">
        <f>IFERROR(VLOOKUP($A631,原始数据_利率互换_FR007_1年!$A$6:$C$4395,2,0),"")</f>
        <v/>
      </c>
      <c r="I631" t="str">
        <f>IFERROR(VLOOKUP($A631,原始数据_利率互换_FR007_1年!$A$6:$C$4395,3,0),"")</f>
        <v/>
      </c>
    </row>
    <row r="632" spans="1:9">
      <c r="A632" s="6">
        <v>40125</v>
      </c>
      <c r="B632" t="str">
        <f>IFERROR(VLOOKUP($A632,原始数据_收盘!$A$4:$G$3460,2,0),"")</f>
        <v/>
      </c>
      <c r="C632" t="str">
        <f>IFERROR(VLOOKUP($A632,原始数据_收盘!$A$4:$G$3460,3,0),"")</f>
        <v/>
      </c>
      <c r="D632" t="str">
        <f>IFERROR(VLOOKUP($A632,原始数据_收盘!$A$4:$G$3460,4,0),"")</f>
        <v/>
      </c>
      <c r="E632" t="str">
        <f>IFERROR(VLOOKUP($A632,原始数据_收盘!$A$4:$G$3460,5,0),"")</f>
        <v/>
      </c>
      <c r="F632" t="str">
        <f>IFERROR(VLOOKUP($A632,原始数据_收盘!$A$4:$G$3460,6,0),"")</f>
        <v/>
      </c>
      <c r="G632" t="str">
        <f>IFERROR(VLOOKUP($A632,原始数据_收盘!$A$4:$G$3460,7,0),"")</f>
        <v/>
      </c>
      <c r="H632" t="str">
        <f>IFERROR(VLOOKUP($A632,原始数据_利率互换_FR007_1年!$A$6:$C$4395,2,0),"")</f>
        <v/>
      </c>
      <c r="I632" t="str">
        <f>IFERROR(VLOOKUP($A632,原始数据_利率互换_FR007_1年!$A$6:$C$4395,3,0),"")</f>
        <v/>
      </c>
    </row>
    <row r="633" spans="1:9">
      <c r="A633" s="6">
        <v>40126</v>
      </c>
      <c r="B633" t="str">
        <f>IFERROR(VLOOKUP($A633,原始数据_收盘!$A$4:$G$3460,2,0),"")</f>
        <v/>
      </c>
      <c r="C633" t="str">
        <f>IFERROR(VLOOKUP($A633,原始数据_收盘!$A$4:$G$3460,3,0),"")</f>
        <v/>
      </c>
      <c r="D633" t="str">
        <f>IFERROR(VLOOKUP($A633,原始数据_收盘!$A$4:$G$3460,4,0),"")</f>
        <v/>
      </c>
      <c r="E633" t="str">
        <f>IFERROR(VLOOKUP($A633,原始数据_收盘!$A$4:$G$3460,5,0),"")</f>
        <v/>
      </c>
      <c r="F633" t="str">
        <f>IFERROR(VLOOKUP($A633,原始数据_收盘!$A$4:$G$3460,6,0),"")</f>
        <v/>
      </c>
      <c r="G633" t="str">
        <f>IFERROR(VLOOKUP($A633,原始数据_收盘!$A$4:$G$3460,7,0),"")</f>
        <v/>
      </c>
      <c r="H633">
        <f>IFERROR(VLOOKUP($A633,原始数据_利率互换_FR007_1年!$A$6:$C$4395,2,0),"")</f>
        <v>2.15</v>
      </c>
      <c r="I633">
        <f>IFERROR(VLOOKUP($A633,原始数据_利率互换_FR007_1年!$A$6:$C$4395,3,0),"")</f>
        <v>3.67</v>
      </c>
    </row>
    <row r="634" spans="1:9">
      <c r="A634" s="6">
        <v>40127</v>
      </c>
      <c r="B634" t="str">
        <f>IFERROR(VLOOKUP($A634,原始数据_收盘!$A$4:$G$3460,2,0),"")</f>
        <v/>
      </c>
      <c r="C634" t="str">
        <f>IFERROR(VLOOKUP($A634,原始数据_收盘!$A$4:$G$3460,3,0),"")</f>
        <v/>
      </c>
      <c r="D634" t="str">
        <f>IFERROR(VLOOKUP($A634,原始数据_收盘!$A$4:$G$3460,4,0),"")</f>
        <v/>
      </c>
      <c r="E634" t="str">
        <f>IFERROR(VLOOKUP($A634,原始数据_收盘!$A$4:$G$3460,5,0),"")</f>
        <v/>
      </c>
      <c r="F634" t="str">
        <f>IFERROR(VLOOKUP($A634,原始数据_收盘!$A$4:$G$3460,6,0),"")</f>
        <v/>
      </c>
      <c r="G634" t="str">
        <f>IFERROR(VLOOKUP($A634,原始数据_收盘!$A$4:$G$3460,7,0),"")</f>
        <v/>
      </c>
      <c r="H634">
        <f>IFERROR(VLOOKUP($A634,原始数据_利率互换_FR007_1年!$A$6:$C$4395,2,0),"")</f>
        <v>2.13</v>
      </c>
      <c r="I634">
        <f>IFERROR(VLOOKUP($A634,原始数据_利率互换_FR007_1年!$A$6:$C$4395,3,0),"")</f>
        <v>3.63</v>
      </c>
    </row>
    <row r="635" spans="1:9">
      <c r="A635" s="6">
        <v>40128</v>
      </c>
      <c r="B635" t="str">
        <f>IFERROR(VLOOKUP($A635,原始数据_收盘!$A$4:$G$3460,2,0),"")</f>
        <v/>
      </c>
      <c r="C635" t="str">
        <f>IFERROR(VLOOKUP($A635,原始数据_收盘!$A$4:$G$3460,3,0),"")</f>
        <v/>
      </c>
      <c r="D635" t="str">
        <f>IFERROR(VLOOKUP($A635,原始数据_收盘!$A$4:$G$3460,4,0),"")</f>
        <v/>
      </c>
      <c r="E635" t="str">
        <f>IFERROR(VLOOKUP($A635,原始数据_收盘!$A$4:$G$3460,5,0),"")</f>
        <v/>
      </c>
      <c r="F635" t="str">
        <f>IFERROR(VLOOKUP($A635,原始数据_收盘!$A$4:$G$3460,6,0),"")</f>
        <v/>
      </c>
      <c r="G635" t="str">
        <f>IFERROR(VLOOKUP($A635,原始数据_收盘!$A$4:$G$3460,7,0),"")</f>
        <v/>
      </c>
      <c r="H635">
        <f>IFERROR(VLOOKUP($A635,原始数据_利率互换_FR007_1年!$A$6:$C$4395,2,0),"")</f>
        <v>2.12</v>
      </c>
      <c r="I635">
        <f>IFERROR(VLOOKUP($A635,原始数据_利率互换_FR007_1年!$A$6:$C$4395,3,0),"")</f>
        <v>3.65</v>
      </c>
    </row>
    <row r="636" spans="1:9">
      <c r="A636" s="6">
        <v>40129</v>
      </c>
      <c r="B636" t="str">
        <f>IFERROR(VLOOKUP($A636,原始数据_收盘!$A$4:$G$3460,2,0),"")</f>
        <v/>
      </c>
      <c r="C636" t="str">
        <f>IFERROR(VLOOKUP($A636,原始数据_收盘!$A$4:$G$3460,3,0),"")</f>
        <v/>
      </c>
      <c r="D636" t="str">
        <f>IFERROR(VLOOKUP($A636,原始数据_收盘!$A$4:$G$3460,4,0),"")</f>
        <v/>
      </c>
      <c r="E636" t="str">
        <f>IFERROR(VLOOKUP($A636,原始数据_收盘!$A$4:$G$3460,5,0),"")</f>
        <v/>
      </c>
      <c r="F636" t="str">
        <f>IFERROR(VLOOKUP($A636,原始数据_收盘!$A$4:$G$3460,6,0),"")</f>
        <v/>
      </c>
      <c r="G636" t="str">
        <f>IFERROR(VLOOKUP($A636,原始数据_收盘!$A$4:$G$3460,7,0),"")</f>
        <v/>
      </c>
      <c r="H636">
        <f>IFERROR(VLOOKUP($A636,原始数据_利率互换_FR007_1年!$A$6:$C$4395,2,0),"")</f>
        <v>2.07</v>
      </c>
      <c r="I636">
        <f>IFERROR(VLOOKUP($A636,原始数据_利率互换_FR007_1年!$A$6:$C$4395,3,0),"")</f>
        <v>3.6</v>
      </c>
    </row>
    <row r="637" spans="1:9">
      <c r="A637" s="6">
        <v>40130</v>
      </c>
      <c r="B637" t="str">
        <f>IFERROR(VLOOKUP($A637,原始数据_收盘!$A$4:$G$3460,2,0),"")</f>
        <v/>
      </c>
      <c r="C637" t="str">
        <f>IFERROR(VLOOKUP($A637,原始数据_收盘!$A$4:$G$3460,3,0),"")</f>
        <v/>
      </c>
      <c r="D637" t="str">
        <f>IFERROR(VLOOKUP($A637,原始数据_收盘!$A$4:$G$3460,4,0),"")</f>
        <v/>
      </c>
      <c r="E637" t="str">
        <f>IFERROR(VLOOKUP($A637,原始数据_收盘!$A$4:$G$3460,5,0),"")</f>
        <v/>
      </c>
      <c r="F637" t="str">
        <f>IFERROR(VLOOKUP($A637,原始数据_收盘!$A$4:$G$3460,6,0),"")</f>
        <v/>
      </c>
      <c r="G637" t="str">
        <f>IFERROR(VLOOKUP($A637,原始数据_收盘!$A$4:$G$3460,7,0),"")</f>
        <v/>
      </c>
      <c r="H637">
        <f>IFERROR(VLOOKUP($A637,原始数据_利率互换_FR007_1年!$A$6:$C$4395,2,0),"")</f>
        <v>2.07</v>
      </c>
      <c r="I637">
        <f>IFERROR(VLOOKUP($A637,原始数据_利率互换_FR007_1年!$A$6:$C$4395,3,0),"")</f>
        <v>3.56</v>
      </c>
    </row>
    <row r="638" spans="1:9">
      <c r="A638" s="6">
        <v>40131</v>
      </c>
      <c r="B638" t="str">
        <f>IFERROR(VLOOKUP($A638,原始数据_收盘!$A$4:$G$3460,2,0),"")</f>
        <v/>
      </c>
      <c r="C638" t="str">
        <f>IFERROR(VLOOKUP($A638,原始数据_收盘!$A$4:$G$3460,3,0),"")</f>
        <v/>
      </c>
      <c r="D638" t="str">
        <f>IFERROR(VLOOKUP($A638,原始数据_收盘!$A$4:$G$3460,4,0),"")</f>
        <v/>
      </c>
      <c r="E638" t="str">
        <f>IFERROR(VLOOKUP($A638,原始数据_收盘!$A$4:$G$3460,5,0),"")</f>
        <v/>
      </c>
      <c r="F638" t="str">
        <f>IFERROR(VLOOKUP($A638,原始数据_收盘!$A$4:$G$3460,6,0),"")</f>
        <v/>
      </c>
      <c r="G638" t="str">
        <f>IFERROR(VLOOKUP($A638,原始数据_收盘!$A$4:$G$3460,7,0),"")</f>
        <v/>
      </c>
      <c r="H638" t="str">
        <f>IFERROR(VLOOKUP($A638,原始数据_利率互换_FR007_1年!$A$6:$C$4395,2,0),"")</f>
        <v/>
      </c>
      <c r="I638" t="str">
        <f>IFERROR(VLOOKUP($A638,原始数据_利率互换_FR007_1年!$A$6:$C$4395,3,0),"")</f>
        <v/>
      </c>
    </row>
    <row r="639" spans="1:9">
      <c r="A639" s="6">
        <v>40132</v>
      </c>
      <c r="B639" t="str">
        <f>IFERROR(VLOOKUP($A639,原始数据_收盘!$A$4:$G$3460,2,0),"")</f>
        <v/>
      </c>
      <c r="C639" t="str">
        <f>IFERROR(VLOOKUP($A639,原始数据_收盘!$A$4:$G$3460,3,0),"")</f>
        <v/>
      </c>
      <c r="D639" t="str">
        <f>IFERROR(VLOOKUP($A639,原始数据_收盘!$A$4:$G$3460,4,0),"")</f>
        <v/>
      </c>
      <c r="E639" t="str">
        <f>IFERROR(VLOOKUP($A639,原始数据_收盘!$A$4:$G$3460,5,0),"")</f>
        <v/>
      </c>
      <c r="F639" t="str">
        <f>IFERROR(VLOOKUP($A639,原始数据_收盘!$A$4:$G$3460,6,0),"")</f>
        <v/>
      </c>
      <c r="G639" t="str">
        <f>IFERROR(VLOOKUP($A639,原始数据_收盘!$A$4:$G$3460,7,0),"")</f>
        <v/>
      </c>
      <c r="H639" t="str">
        <f>IFERROR(VLOOKUP($A639,原始数据_利率互换_FR007_1年!$A$6:$C$4395,2,0),"")</f>
        <v/>
      </c>
      <c r="I639" t="str">
        <f>IFERROR(VLOOKUP($A639,原始数据_利率互换_FR007_1年!$A$6:$C$4395,3,0),"")</f>
        <v/>
      </c>
    </row>
    <row r="640" spans="1:9">
      <c r="A640" s="6">
        <v>40133</v>
      </c>
      <c r="B640" t="str">
        <f>IFERROR(VLOOKUP($A640,原始数据_收盘!$A$4:$G$3460,2,0),"")</f>
        <v/>
      </c>
      <c r="C640" t="str">
        <f>IFERROR(VLOOKUP($A640,原始数据_收盘!$A$4:$G$3460,3,0),"")</f>
        <v/>
      </c>
      <c r="D640" t="str">
        <f>IFERROR(VLOOKUP($A640,原始数据_收盘!$A$4:$G$3460,4,0),"")</f>
        <v/>
      </c>
      <c r="E640" t="str">
        <f>IFERROR(VLOOKUP($A640,原始数据_收盘!$A$4:$G$3460,5,0),"")</f>
        <v/>
      </c>
      <c r="F640" t="str">
        <f>IFERROR(VLOOKUP($A640,原始数据_收盘!$A$4:$G$3460,6,0),"")</f>
        <v/>
      </c>
      <c r="G640" t="str">
        <f>IFERROR(VLOOKUP($A640,原始数据_收盘!$A$4:$G$3460,7,0),"")</f>
        <v/>
      </c>
      <c r="H640">
        <f>IFERROR(VLOOKUP($A640,原始数据_利率互换_FR007_1年!$A$6:$C$4395,2,0),"")</f>
        <v>2.05</v>
      </c>
      <c r="I640">
        <f>IFERROR(VLOOKUP($A640,原始数据_利率互换_FR007_1年!$A$6:$C$4395,3,0),"")</f>
        <v>3.58</v>
      </c>
    </row>
    <row r="641" spans="1:9">
      <c r="A641" s="6">
        <v>40134</v>
      </c>
      <c r="B641" t="str">
        <f>IFERROR(VLOOKUP($A641,原始数据_收盘!$A$4:$G$3460,2,0),"")</f>
        <v/>
      </c>
      <c r="C641" t="str">
        <f>IFERROR(VLOOKUP($A641,原始数据_收盘!$A$4:$G$3460,3,0),"")</f>
        <v/>
      </c>
      <c r="D641" t="str">
        <f>IFERROR(VLOOKUP($A641,原始数据_收盘!$A$4:$G$3460,4,0),"")</f>
        <v/>
      </c>
      <c r="E641" t="str">
        <f>IFERROR(VLOOKUP($A641,原始数据_收盘!$A$4:$G$3460,5,0),"")</f>
        <v/>
      </c>
      <c r="F641" t="str">
        <f>IFERROR(VLOOKUP($A641,原始数据_收盘!$A$4:$G$3460,6,0),"")</f>
        <v/>
      </c>
      <c r="G641" t="str">
        <f>IFERROR(VLOOKUP($A641,原始数据_收盘!$A$4:$G$3460,7,0),"")</f>
        <v/>
      </c>
      <c r="H641">
        <f>IFERROR(VLOOKUP($A641,原始数据_利率互换_FR007_1年!$A$6:$C$4395,2,0),"")</f>
        <v>0</v>
      </c>
      <c r="I641">
        <f>IFERROR(VLOOKUP($A641,原始数据_利率互换_FR007_1年!$A$6:$C$4395,3,0),"")</f>
        <v>3.61</v>
      </c>
    </row>
    <row r="642" spans="1:9">
      <c r="A642" s="6">
        <v>40135</v>
      </c>
      <c r="B642" t="str">
        <f>IFERROR(VLOOKUP($A642,原始数据_收盘!$A$4:$G$3460,2,0),"")</f>
        <v/>
      </c>
      <c r="C642" t="str">
        <f>IFERROR(VLOOKUP($A642,原始数据_收盘!$A$4:$G$3460,3,0),"")</f>
        <v/>
      </c>
      <c r="D642" t="str">
        <f>IFERROR(VLOOKUP($A642,原始数据_收盘!$A$4:$G$3460,4,0),"")</f>
        <v/>
      </c>
      <c r="E642" t="str">
        <f>IFERROR(VLOOKUP($A642,原始数据_收盘!$A$4:$G$3460,5,0),"")</f>
        <v/>
      </c>
      <c r="F642" t="str">
        <f>IFERROR(VLOOKUP($A642,原始数据_收盘!$A$4:$G$3460,6,0),"")</f>
        <v/>
      </c>
      <c r="G642" t="str">
        <f>IFERROR(VLOOKUP($A642,原始数据_收盘!$A$4:$G$3460,7,0),"")</f>
        <v/>
      </c>
      <c r="H642">
        <f>IFERROR(VLOOKUP($A642,原始数据_利率互换_FR007_1年!$A$6:$C$4395,2,0),"")</f>
        <v>2.07</v>
      </c>
      <c r="I642">
        <f>IFERROR(VLOOKUP($A642,原始数据_利率互换_FR007_1年!$A$6:$C$4395,3,0),"")</f>
        <v>0</v>
      </c>
    </row>
    <row r="643" spans="1:9">
      <c r="A643" s="6">
        <v>40136</v>
      </c>
      <c r="B643" t="str">
        <f>IFERROR(VLOOKUP($A643,原始数据_收盘!$A$4:$G$3460,2,0),"")</f>
        <v/>
      </c>
      <c r="C643" t="str">
        <f>IFERROR(VLOOKUP($A643,原始数据_收盘!$A$4:$G$3460,3,0),"")</f>
        <v/>
      </c>
      <c r="D643" t="str">
        <f>IFERROR(VLOOKUP($A643,原始数据_收盘!$A$4:$G$3460,4,0),"")</f>
        <v/>
      </c>
      <c r="E643" t="str">
        <f>IFERROR(VLOOKUP($A643,原始数据_收盘!$A$4:$G$3460,5,0),"")</f>
        <v/>
      </c>
      <c r="F643" t="str">
        <f>IFERROR(VLOOKUP($A643,原始数据_收盘!$A$4:$G$3460,6,0),"")</f>
        <v/>
      </c>
      <c r="G643" t="str">
        <f>IFERROR(VLOOKUP($A643,原始数据_收盘!$A$4:$G$3460,7,0),"")</f>
        <v/>
      </c>
      <c r="H643">
        <f>IFERROR(VLOOKUP($A643,原始数据_利率互换_FR007_1年!$A$6:$C$4395,2,0),"")</f>
        <v>0</v>
      </c>
      <c r="I643">
        <f>IFERROR(VLOOKUP($A643,原始数据_利率互换_FR007_1年!$A$6:$C$4395,3,0),"")</f>
        <v>3.57</v>
      </c>
    </row>
    <row r="644" spans="1:9">
      <c r="A644" s="6">
        <v>40137</v>
      </c>
      <c r="B644" t="str">
        <f>IFERROR(VLOOKUP($A644,原始数据_收盘!$A$4:$G$3460,2,0),"")</f>
        <v/>
      </c>
      <c r="C644" t="str">
        <f>IFERROR(VLOOKUP($A644,原始数据_收盘!$A$4:$G$3460,3,0),"")</f>
        <v/>
      </c>
      <c r="D644" t="str">
        <f>IFERROR(VLOOKUP($A644,原始数据_收盘!$A$4:$G$3460,4,0),"")</f>
        <v/>
      </c>
      <c r="E644" t="str">
        <f>IFERROR(VLOOKUP($A644,原始数据_收盘!$A$4:$G$3460,5,0),"")</f>
        <v/>
      </c>
      <c r="F644" t="str">
        <f>IFERROR(VLOOKUP($A644,原始数据_收盘!$A$4:$G$3460,6,0),"")</f>
        <v/>
      </c>
      <c r="G644" t="str">
        <f>IFERROR(VLOOKUP($A644,原始数据_收盘!$A$4:$G$3460,7,0),"")</f>
        <v/>
      </c>
      <c r="H644">
        <f>IFERROR(VLOOKUP($A644,原始数据_利率互换_FR007_1年!$A$6:$C$4395,2,0),"")</f>
        <v>2.02</v>
      </c>
      <c r="I644">
        <f>IFERROR(VLOOKUP($A644,原始数据_利率互换_FR007_1年!$A$6:$C$4395,3,0),"")</f>
        <v>3.57</v>
      </c>
    </row>
    <row r="645" spans="1:9">
      <c r="A645" s="6">
        <v>40138</v>
      </c>
      <c r="B645" t="str">
        <f>IFERROR(VLOOKUP($A645,原始数据_收盘!$A$4:$G$3460,2,0),"")</f>
        <v/>
      </c>
      <c r="C645" t="str">
        <f>IFERROR(VLOOKUP($A645,原始数据_收盘!$A$4:$G$3460,3,0),"")</f>
        <v/>
      </c>
      <c r="D645" t="str">
        <f>IFERROR(VLOOKUP($A645,原始数据_收盘!$A$4:$G$3460,4,0),"")</f>
        <v/>
      </c>
      <c r="E645" t="str">
        <f>IFERROR(VLOOKUP($A645,原始数据_收盘!$A$4:$G$3460,5,0),"")</f>
        <v/>
      </c>
      <c r="F645" t="str">
        <f>IFERROR(VLOOKUP($A645,原始数据_收盘!$A$4:$G$3460,6,0),"")</f>
        <v/>
      </c>
      <c r="G645" t="str">
        <f>IFERROR(VLOOKUP($A645,原始数据_收盘!$A$4:$G$3460,7,0),"")</f>
        <v/>
      </c>
      <c r="H645" t="str">
        <f>IFERROR(VLOOKUP($A645,原始数据_利率互换_FR007_1年!$A$6:$C$4395,2,0),"")</f>
        <v/>
      </c>
      <c r="I645" t="str">
        <f>IFERROR(VLOOKUP($A645,原始数据_利率互换_FR007_1年!$A$6:$C$4395,3,0),"")</f>
        <v/>
      </c>
    </row>
    <row r="646" spans="1:9">
      <c r="A646" s="6">
        <v>40139</v>
      </c>
      <c r="B646" t="str">
        <f>IFERROR(VLOOKUP($A646,原始数据_收盘!$A$4:$G$3460,2,0),"")</f>
        <v/>
      </c>
      <c r="C646" t="str">
        <f>IFERROR(VLOOKUP($A646,原始数据_收盘!$A$4:$G$3460,3,0),"")</f>
        <v/>
      </c>
      <c r="D646" t="str">
        <f>IFERROR(VLOOKUP($A646,原始数据_收盘!$A$4:$G$3460,4,0),"")</f>
        <v/>
      </c>
      <c r="E646" t="str">
        <f>IFERROR(VLOOKUP($A646,原始数据_收盘!$A$4:$G$3460,5,0),"")</f>
        <v/>
      </c>
      <c r="F646" t="str">
        <f>IFERROR(VLOOKUP($A646,原始数据_收盘!$A$4:$G$3460,6,0),"")</f>
        <v/>
      </c>
      <c r="G646" t="str">
        <f>IFERROR(VLOOKUP($A646,原始数据_收盘!$A$4:$G$3460,7,0),"")</f>
        <v/>
      </c>
      <c r="H646" t="str">
        <f>IFERROR(VLOOKUP($A646,原始数据_利率互换_FR007_1年!$A$6:$C$4395,2,0),"")</f>
        <v/>
      </c>
      <c r="I646" t="str">
        <f>IFERROR(VLOOKUP($A646,原始数据_利率互换_FR007_1年!$A$6:$C$4395,3,0),"")</f>
        <v/>
      </c>
    </row>
    <row r="647" spans="1:9">
      <c r="A647" s="6">
        <v>40140</v>
      </c>
      <c r="B647" t="str">
        <f>IFERROR(VLOOKUP($A647,原始数据_收盘!$A$4:$G$3460,2,0),"")</f>
        <v/>
      </c>
      <c r="C647" t="str">
        <f>IFERROR(VLOOKUP($A647,原始数据_收盘!$A$4:$G$3460,3,0),"")</f>
        <v/>
      </c>
      <c r="D647" t="str">
        <f>IFERROR(VLOOKUP($A647,原始数据_收盘!$A$4:$G$3460,4,0),"")</f>
        <v/>
      </c>
      <c r="E647" t="str">
        <f>IFERROR(VLOOKUP($A647,原始数据_收盘!$A$4:$G$3460,5,0),"")</f>
        <v/>
      </c>
      <c r="F647" t="str">
        <f>IFERROR(VLOOKUP($A647,原始数据_收盘!$A$4:$G$3460,6,0),"")</f>
        <v/>
      </c>
      <c r="G647" t="str">
        <f>IFERROR(VLOOKUP($A647,原始数据_收盘!$A$4:$G$3460,7,0),"")</f>
        <v/>
      </c>
      <c r="H647">
        <f>IFERROR(VLOOKUP($A647,原始数据_利率互换_FR007_1年!$A$6:$C$4395,2,0),"")</f>
        <v>2.05</v>
      </c>
      <c r="I647">
        <f>IFERROR(VLOOKUP($A647,原始数据_利率互换_FR007_1年!$A$6:$C$4395,3,0),"")</f>
        <v>3.53</v>
      </c>
    </row>
    <row r="648" spans="1:9">
      <c r="A648" s="6">
        <v>40141</v>
      </c>
      <c r="B648" t="str">
        <f>IFERROR(VLOOKUP($A648,原始数据_收盘!$A$4:$G$3460,2,0),"")</f>
        <v/>
      </c>
      <c r="C648" t="str">
        <f>IFERROR(VLOOKUP($A648,原始数据_收盘!$A$4:$G$3460,3,0),"")</f>
        <v/>
      </c>
      <c r="D648" t="str">
        <f>IFERROR(VLOOKUP($A648,原始数据_收盘!$A$4:$G$3460,4,0),"")</f>
        <v/>
      </c>
      <c r="E648" t="str">
        <f>IFERROR(VLOOKUP($A648,原始数据_收盘!$A$4:$G$3460,5,0),"")</f>
        <v/>
      </c>
      <c r="F648" t="str">
        <f>IFERROR(VLOOKUP($A648,原始数据_收盘!$A$4:$G$3460,6,0),"")</f>
        <v/>
      </c>
      <c r="G648" t="str">
        <f>IFERROR(VLOOKUP($A648,原始数据_收盘!$A$4:$G$3460,7,0),"")</f>
        <v/>
      </c>
      <c r="H648">
        <f>IFERROR(VLOOKUP($A648,原始数据_利率互换_FR007_1年!$A$6:$C$4395,2,0),"")</f>
        <v>2.03</v>
      </c>
      <c r="I648">
        <f>IFERROR(VLOOKUP($A648,原始数据_利率互换_FR007_1年!$A$6:$C$4395,3,0),"")</f>
        <v>3.55</v>
      </c>
    </row>
    <row r="649" spans="1:9">
      <c r="A649" s="6">
        <v>40142</v>
      </c>
      <c r="B649" t="str">
        <f>IFERROR(VLOOKUP($A649,原始数据_收盘!$A$4:$G$3460,2,0),"")</f>
        <v/>
      </c>
      <c r="C649" t="str">
        <f>IFERROR(VLOOKUP($A649,原始数据_收盘!$A$4:$G$3460,3,0),"")</f>
        <v/>
      </c>
      <c r="D649" t="str">
        <f>IFERROR(VLOOKUP($A649,原始数据_收盘!$A$4:$G$3460,4,0),"")</f>
        <v/>
      </c>
      <c r="E649" t="str">
        <f>IFERROR(VLOOKUP($A649,原始数据_收盘!$A$4:$G$3460,5,0),"")</f>
        <v/>
      </c>
      <c r="F649" t="str">
        <f>IFERROR(VLOOKUP($A649,原始数据_收盘!$A$4:$G$3460,6,0),"")</f>
        <v/>
      </c>
      <c r="G649" t="str">
        <f>IFERROR(VLOOKUP($A649,原始数据_收盘!$A$4:$G$3460,7,0),"")</f>
        <v/>
      </c>
      <c r="H649" t="str">
        <f>IFERROR(VLOOKUP($A649,原始数据_利率互换_FR007_1年!$A$6:$C$4395,2,0),"")</f>
        <v/>
      </c>
      <c r="I649" t="str">
        <f>IFERROR(VLOOKUP($A649,原始数据_利率互换_FR007_1年!$A$6:$C$4395,3,0),"")</f>
        <v/>
      </c>
    </row>
    <row r="650" spans="1:9">
      <c r="A650" s="6">
        <v>40143</v>
      </c>
      <c r="B650" t="str">
        <f>IFERROR(VLOOKUP($A650,原始数据_收盘!$A$4:$G$3460,2,0),"")</f>
        <v/>
      </c>
      <c r="C650" t="str">
        <f>IFERROR(VLOOKUP($A650,原始数据_收盘!$A$4:$G$3460,3,0),"")</f>
        <v/>
      </c>
      <c r="D650" t="str">
        <f>IFERROR(VLOOKUP($A650,原始数据_收盘!$A$4:$G$3460,4,0),"")</f>
        <v/>
      </c>
      <c r="E650" t="str">
        <f>IFERROR(VLOOKUP($A650,原始数据_收盘!$A$4:$G$3460,5,0),"")</f>
        <v/>
      </c>
      <c r="F650" t="str">
        <f>IFERROR(VLOOKUP($A650,原始数据_收盘!$A$4:$G$3460,6,0),"")</f>
        <v/>
      </c>
      <c r="G650" t="str">
        <f>IFERROR(VLOOKUP($A650,原始数据_收盘!$A$4:$G$3460,7,0),"")</f>
        <v/>
      </c>
      <c r="H650">
        <f>IFERROR(VLOOKUP($A650,原始数据_利率互换_FR007_1年!$A$6:$C$4395,2,0),"")</f>
        <v>0</v>
      </c>
      <c r="I650">
        <f>IFERROR(VLOOKUP($A650,原始数据_利率互换_FR007_1年!$A$6:$C$4395,3,0),"")</f>
        <v>3.5</v>
      </c>
    </row>
    <row r="651" spans="1:9">
      <c r="A651" s="6">
        <v>40144</v>
      </c>
      <c r="B651" t="str">
        <f>IFERROR(VLOOKUP($A651,原始数据_收盘!$A$4:$G$3460,2,0),"")</f>
        <v/>
      </c>
      <c r="C651" t="str">
        <f>IFERROR(VLOOKUP($A651,原始数据_收盘!$A$4:$G$3460,3,0),"")</f>
        <v/>
      </c>
      <c r="D651" t="str">
        <f>IFERROR(VLOOKUP($A651,原始数据_收盘!$A$4:$G$3460,4,0),"")</f>
        <v/>
      </c>
      <c r="E651" t="str">
        <f>IFERROR(VLOOKUP($A651,原始数据_收盘!$A$4:$G$3460,5,0),"")</f>
        <v/>
      </c>
      <c r="F651" t="str">
        <f>IFERROR(VLOOKUP($A651,原始数据_收盘!$A$4:$G$3460,6,0),"")</f>
        <v/>
      </c>
      <c r="G651" t="str">
        <f>IFERROR(VLOOKUP($A651,原始数据_收盘!$A$4:$G$3460,7,0),"")</f>
        <v/>
      </c>
      <c r="H651">
        <f>IFERROR(VLOOKUP($A651,原始数据_利率互换_FR007_1年!$A$6:$C$4395,2,0),"")</f>
        <v>2.01</v>
      </c>
      <c r="I651">
        <f>IFERROR(VLOOKUP($A651,原始数据_利率互换_FR007_1年!$A$6:$C$4395,3,0),"")</f>
        <v>3.42</v>
      </c>
    </row>
    <row r="652" spans="1:9">
      <c r="A652" s="6">
        <v>40145</v>
      </c>
      <c r="B652" t="str">
        <f>IFERROR(VLOOKUP($A652,原始数据_收盘!$A$4:$G$3460,2,0),"")</f>
        <v/>
      </c>
      <c r="C652" t="str">
        <f>IFERROR(VLOOKUP($A652,原始数据_收盘!$A$4:$G$3460,3,0),"")</f>
        <v/>
      </c>
      <c r="D652" t="str">
        <f>IFERROR(VLOOKUP($A652,原始数据_收盘!$A$4:$G$3460,4,0),"")</f>
        <v/>
      </c>
      <c r="E652" t="str">
        <f>IFERROR(VLOOKUP($A652,原始数据_收盘!$A$4:$G$3460,5,0),"")</f>
        <v/>
      </c>
      <c r="F652" t="str">
        <f>IFERROR(VLOOKUP($A652,原始数据_收盘!$A$4:$G$3460,6,0),"")</f>
        <v/>
      </c>
      <c r="G652" t="str">
        <f>IFERROR(VLOOKUP($A652,原始数据_收盘!$A$4:$G$3460,7,0),"")</f>
        <v/>
      </c>
      <c r="H652" t="str">
        <f>IFERROR(VLOOKUP($A652,原始数据_利率互换_FR007_1年!$A$6:$C$4395,2,0),"")</f>
        <v/>
      </c>
      <c r="I652" t="str">
        <f>IFERROR(VLOOKUP($A652,原始数据_利率互换_FR007_1年!$A$6:$C$4395,3,0),"")</f>
        <v/>
      </c>
    </row>
    <row r="653" spans="1:9">
      <c r="A653" s="6">
        <v>40146</v>
      </c>
      <c r="B653" t="str">
        <f>IFERROR(VLOOKUP($A653,原始数据_收盘!$A$4:$G$3460,2,0),"")</f>
        <v/>
      </c>
      <c r="C653" t="str">
        <f>IFERROR(VLOOKUP($A653,原始数据_收盘!$A$4:$G$3460,3,0),"")</f>
        <v/>
      </c>
      <c r="D653" t="str">
        <f>IFERROR(VLOOKUP($A653,原始数据_收盘!$A$4:$G$3460,4,0),"")</f>
        <v/>
      </c>
      <c r="E653" t="str">
        <f>IFERROR(VLOOKUP($A653,原始数据_收盘!$A$4:$G$3460,5,0),"")</f>
        <v/>
      </c>
      <c r="F653" t="str">
        <f>IFERROR(VLOOKUP($A653,原始数据_收盘!$A$4:$G$3460,6,0),"")</f>
        <v/>
      </c>
      <c r="G653" t="str">
        <f>IFERROR(VLOOKUP($A653,原始数据_收盘!$A$4:$G$3460,7,0),"")</f>
        <v/>
      </c>
      <c r="H653" t="str">
        <f>IFERROR(VLOOKUP($A653,原始数据_利率互换_FR007_1年!$A$6:$C$4395,2,0),"")</f>
        <v/>
      </c>
      <c r="I653" t="str">
        <f>IFERROR(VLOOKUP($A653,原始数据_利率互换_FR007_1年!$A$6:$C$4395,3,0),"")</f>
        <v/>
      </c>
    </row>
    <row r="654" spans="1:9">
      <c r="A654" s="6">
        <v>40147</v>
      </c>
      <c r="B654" t="str">
        <f>IFERROR(VLOOKUP($A654,原始数据_收盘!$A$4:$G$3460,2,0),"")</f>
        <v/>
      </c>
      <c r="C654" t="str">
        <f>IFERROR(VLOOKUP($A654,原始数据_收盘!$A$4:$G$3460,3,0),"")</f>
        <v/>
      </c>
      <c r="D654" t="str">
        <f>IFERROR(VLOOKUP($A654,原始数据_收盘!$A$4:$G$3460,4,0),"")</f>
        <v/>
      </c>
      <c r="E654" t="str">
        <f>IFERROR(VLOOKUP($A654,原始数据_收盘!$A$4:$G$3460,5,0),"")</f>
        <v/>
      </c>
      <c r="F654" t="str">
        <f>IFERROR(VLOOKUP($A654,原始数据_收盘!$A$4:$G$3460,6,0),"")</f>
        <v/>
      </c>
      <c r="G654" t="str">
        <f>IFERROR(VLOOKUP($A654,原始数据_收盘!$A$4:$G$3460,7,0),"")</f>
        <v/>
      </c>
      <c r="H654">
        <f>IFERROR(VLOOKUP($A654,原始数据_利率互换_FR007_1年!$A$6:$C$4395,2,0),"")</f>
        <v>2</v>
      </c>
      <c r="I654">
        <f>IFERROR(VLOOKUP($A654,原始数据_利率互换_FR007_1年!$A$6:$C$4395,3,0),"")</f>
        <v>0</v>
      </c>
    </row>
    <row r="655" spans="1:9">
      <c r="A655" s="6">
        <v>40148</v>
      </c>
      <c r="B655" t="str">
        <f>IFERROR(VLOOKUP($A655,原始数据_收盘!$A$4:$G$3460,2,0),"")</f>
        <v/>
      </c>
      <c r="C655" t="str">
        <f>IFERROR(VLOOKUP($A655,原始数据_收盘!$A$4:$G$3460,3,0),"")</f>
        <v/>
      </c>
      <c r="D655" t="str">
        <f>IFERROR(VLOOKUP($A655,原始数据_收盘!$A$4:$G$3460,4,0),"")</f>
        <v/>
      </c>
      <c r="E655" t="str">
        <f>IFERROR(VLOOKUP($A655,原始数据_收盘!$A$4:$G$3460,5,0),"")</f>
        <v/>
      </c>
      <c r="F655" t="str">
        <f>IFERROR(VLOOKUP($A655,原始数据_收盘!$A$4:$G$3460,6,0),"")</f>
        <v/>
      </c>
      <c r="G655" t="str">
        <f>IFERROR(VLOOKUP($A655,原始数据_收盘!$A$4:$G$3460,7,0),"")</f>
        <v/>
      </c>
      <c r="H655" t="str">
        <f>IFERROR(VLOOKUP($A655,原始数据_利率互换_FR007_1年!$A$6:$C$4395,2,0),"")</f>
        <v/>
      </c>
      <c r="I655" t="str">
        <f>IFERROR(VLOOKUP($A655,原始数据_利率互换_FR007_1年!$A$6:$C$4395,3,0),"")</f>
        <v/>
      </c>
    </row>
    <row r="656" spans="1:9">
      <c r="A656" s="6">
        <v>40149</v>
      </c>
      <c r="B656" t="str">
        <f>IFERROR(VLOOKUP($A656,原始数据_收盘!$A$4:$G$3460,2,0),"")</f>
        <v/>
      </c>
      <c r="C656" t="str">
        <f>IFERROR(VLOOKUP($A656,原始数据_收盘!$A$4:$G$3460,3,0),"")</f>
        <v/>
      </c>
      <c r="D656" t="str">
        <f>IFERROR(VLOOKUP($A656,原始数据_收盘!$A$4:$G$3460,4,0),"")</f>
        <v/>
      </c>
      <c r="E656" t="str">
        <f>IFERROR(VLOOKUP($A656,原始数据_收盘!$A$4:$G$3460,5,0),"")</f>
        <v/>
      </c>
      <c r="F656" t="str">
        <f>IFERROR(VLOOKUP($A656,原始数据_收盘!$A$4:$G$3460,6,0),"")</f>
        <v/>
      </c>
      <c r="G656" t="str">
        <f>IFERROR(VLOOKUP($A656,原始数据_收盘!$A$4:$G$3460,7,0),"")</f>
        <v/>
      </c>
      <c r="H656" t="str">
        <f>IFERROR(VLOOKUP($A656,原始数据_利率互换_FR007_1年!$A$6:$C$4395,2,0),"")</f>
        <v/>
      </c>
      <c r="I656" t="str">
        <f>IFERROR(VLOOKUP($A656,原始数据_利率互换_FR007_1年!$A$6:$C$4395,3,0),"")</f>
        <v/>
      </c>
    </row>
    <row r="657" spans="1:9">
      <c r="A657" s="6">
        <v>40150</v>
      </c>
      <c r="B657" t="str">
        <f>IFERROR(VLOOKUP($A657,原始数据_收盘!$A$4:$G$3460,2,0),"")</f>
        <v/>
      </c>
      <c r="C657" t="str">
        <f>IFERROR(VLOOKUP($A657,原始数据_收盘!$A$4:$G$3460,3,0),"")</f>
        <v/>
      </c>
      <c r="D657" t="str">
        <f>IFERROR(VLOOKUP($A657,原始数据_收盘!$A$4:$G$3460,4,0),"")</f>
        <v/>
      </c>
      <c r="E657" t="str">
        <f>IFERROR(VLOOKUP($A657,原始数据_收盘!$A$4:$G$3460,5,0),"")</f>
        <v/>
      </c>
      <c r="F657" t="str">
        <f>IFERROR(VLOOKUP($A657,原始数据_收盘!$A$4:$G$3460,6,0),"")</f>
        <v/>
      </c>
      <c r="G657" t="str">
        <f>IFERROR(VLOOKUP($A657,原始数据_收盘!$A$4:$G$3460,7,0),"")</f>
        <v/>
      </c>
      <c r="H657">
        <f>IFERROR(VLOOKUP($A657,原始数据_利率互换_FR007_1年!$A$6:$C$4395,2,0),"")</f>
        <v>0</v>
      </c>
      <c r="I657">
        <f>IFERROR(VLOOKUP($A657,原始数据_利率互换_FR007_1年!$A$6:$C$4395,3,0),"")</f>
        <v>3.55</v>
      </c>
    </row>
    <row r="658" spans="1:9">
      <c r="A658" s="6">
        <v>40151</v>
      </c>
      <c r="B658" t="str">
        <f>IFERROR(VLOOKUP($A658,原始数据_收盘!$A$4:$G$3460,2,0),"")</f>
        <v/>
      </c>
      <c r="C658" t="str">
        <f>IFERROR(VLOOKUP($A658,原始数据_收盘!$A$4:$G$3460,3,0),"")</f>
        <v/>
      </c>
      <c r="D658" t="str">
        <f>IFERROR(VLOOKUP($A658,原始数据_收盘!$A$4:$G$3460,4,0),"")</f>
        <v/>
      </c>
      <c r="E658" t="str">
        <f>IFERROR(VLOOKUP($A658,原始数据_收盘!$A$4:$G$3460,5,0),"")</f>
        <v/>
      </c>
      <c r="F658" t="str">
        <f>IFERROR(VLOOKUP($A658,原始数据_收盘!$A$4:$G$3460,6,0),"")</f>
        <v/>
      </c>
      <c r="G658" t="str">
        <f>IFERROR(VLOOKUP($A658,原始数据_收盘!$A$4:$G$3460,7,0),"")</f>
        <v/>
      </c>
      <c r="H658" t="str">
        <f>IFERROR(VLOOKUP($A658,原始数据_利率互换_FR007_1年!$A$6:$C$4395,2,0),"")</f>
        <v/>
      </c>
      <c r="I658" t="str">
        <f>IFERROR(VLOOKUP($A658,原始数据_利率互换_FR007_1年!$A$6:$C$4395,3,0),"")</f>
        <v/>
      </c>
    </row>
    <row r="659" spans="1:9">
      <c r="A659" s="6">
        <v>40152</v>
      </c>
      <c r="B659" t="str">
        <f>IFERROR(VLOOKUP($A659,原始数据_收盘!$A$4:$G$3460,2,0),"")</f>
        <v/>
      </c>
      <c r="C659" t="str">
        <f>IFERROR(VLOOKUP($A659,原始数据_收盘!$A$4:$G$3460,3,0),"")</f>
        <v/>
      </c>
      <c r="D659" t="str">
        <f>IFERROR(VLOOKUP($A659,原始数据_收盘!$A$4:$G$3460,4,0),"")</f>
        <v/>
      </c>
      <c r="E659" t="str">
        <f>IFERROR(VLOOKUP($A659,原始数据_收盘!$A$4:$G$3460,5,0),"")</f>
        <v/>
      </c>
      <c r="F659" t="str">
        <f>IFERROR(VLOOKUP($A659,原始数据_收盘!$A$4:$G$3460,6,0),"")</f>
        <v/>
      </c>
      <c r="G659" t="str">
        <f>IFERROR(VLOOKUP($A659,原始数据_收盘!$A$4:$G$3460,7,0),"")</f>
        <v/>
      </c>
      <c r="H659" t="str">
        <f>IFERROR(VLOOKUP($A659,原始数据_利率互换_FR007_1年!$A$6:$C$4395,2,0),"")</f>
        <v/>
      </c>
      <c r="I659" t="str">
        <f>IFERROR(VLOOKUP($A659,原始数据_利率互换_FR007_1年!$A$6:$C$4395,3,0),"")</f>
        <v/>
      </c>
    </row>
    <row r="660" spans="1:9">
      <c r="A660" s="6">
        <v>40153</v>
      </c>
      <c r="B660" t="str">
        <f>IFERROR(VLOOKUP($A660,原始数据_收盘!$A$4:$G$3460,2,0),"")</f>
        <v/>
      </c>
      <c r="C660" t="str">
        <f>IFERROR(VLOOKUP($A660,原始数据_收盘!$A$4:$G$3460,3,0),"")</f>
        <v/>
      </c>
      <c r="D660" t="str">
        <f>IFERROR(VLOOKUP($A660,原始数据_收盘!$A$4:$G$3460,4,0),"")</f>
        <v/>
      </c>
      <c r="E660" t="str">
        <f>IFERROR(VLOOKUP($A660,原始数据_收盘!$A$4:$G$3460,5,0),"")</f>
        <v/>
      </c>
      <c r="F660" t="str">
        <f>IFERROR(VLOOKUP($A660,原始数据_收盘!$A$4:$G$3460,6,0),"")</f>
        <v/>
      </c>
      <c r="G660" t="str">
        <f>IFERROR(VLOOKUP($A660,原始数据_收盘!$A$4:$G$3460,7,0),"")</f>
        <v/>
      </c>
      <c r="H660" t="str">
        <f>IFERROR(VLOOKUP($A660,原始数据_利率互换_FR007_1年!$A$6:$C$4395,2,0),"")</f>
        <v/>
      </c>
      <c r="I660" t="str">
        <f>IFERROR(VLOOKUP($A660,原始数据_利率互换_FR007_1年!$A$6:$C$4395,3,0),"")</f>
        <v/>
      </c>
    </row>
    <row r="661" spans="1:9">
      <c r="A661" s="6">
        <v>40154</v>
      </c>
      <c r="B661" t="str">
        <f>IFERROR(VLOOKUP($A661,原始数据_收盘!$A$4:$G$3460,2,0),"")</f>
        <v/>
      </c>
      <c r="C661" t="str">
        <f>IFERROR(VLOOKUP($A661,原始数据_收盘!$A$4:$G$3460,3,0),"")</f>
        <v/>
      </c>
      <c r="D661" t="str">
        <f>IFERROR(VLOOKUP($A661,原始数据_收盘!$A$4:$G$3460,4,0),"")</f>
        <v/>
      </c>
      <c r="E661" t="str">
        <f>IFERROR(VLOOKUP($A661,原始数据_收盘!$A$4:$G$3460,5,0),"")</f>
        <v/>
      </c>
      <c r="F661" t="str">
        <f>IFERROR(VLOOKUP($A661,原始数据_收盘!$A$4:$G$3460,6,0),"")</f>
        <v/>
      </c>
      <c r="G661" t="str">
        <f>IFERROR(VLOOKUP($A661,原始数据_收盘!$A$4:$G$3460,7,0),"")</f>
        <v/>
      </c>
      <c r="H661">
        <f>IFERROR(VLOOKUP($A661,原始数据_利率互换_FR007_1年!$A$6:$C$4395,2,0),"")</f>
        <v>2.1</v>
      </c>
      <c r="I661">
        <f>IFERROR(VLOOKUP($A661,原始数据_利率互换_FR007_1年!$A$6:$C$4395,3,0),"")</f>
        <v>3.61</v>
      </c>
    </row>
    <row r="662" spans="1:9">
      <c r="A662" s="6">
        <v>40155</v>
      </c>
      <c r="B662" t="str">
        <f>IFERROR(VLOOKUP($A662,原始数据_收盘!$A$4:$G$3460,2,0),"")</f>
        <v/>
      </c>
      <c r="C662" t="str">
        <f>IFERROR(VLOOKUP($A662,原始数据_收盘!$A$4:$G$3460,3,0),"")</f>
        <v/>
      </c>
      <c r="D662" t="str">
        <f>IFERROR(VLOOKUP($A662,原始数据_收盘!$A$4:$G$3460,4,0),"")</f>
        <v/>
      </c>
      <c r="E662" t="str">
        <f>IFERROR(VLOOKUP($A662,原始数据_收盘!$A$4:$G$3460,5,0),"")</f>
        <v/>
      </c>
      <c r="F662" t="str">
        <f>IFERROR(VLOOKUP($A662,原始数据_收盘!$A$4:$G$3460,6,0),"")</f>
        <v/>
      </c>
      <c r="G662" t="str">
        <f>IFERROR(VLOOKUP($A662,原始数据_收盘!$A$4:$G$3460,7,0),"")</f>
        <v/>
      </c>
      <c r="H662">
        <f>IFERROR(VLOOKUP($A662,原始数据_利率互换_FR007_1年!$A$6:$C$4395,2,0),"")</f>
        <v>2.05</v>
      </c>
      <c r="I662">
        <f>IFERROR(VLOOKUP($A662,原始数据_利率互换_FR007_1年!$A$6:$C$4395,3,0),"")</f>
        <v>3.59</v>
      </c>
    </row>
    <row r="663" spans="1:9">
      <c r="A663" s="6">
        <v>40156</v>
      </c>
      <c r="B663" t="str">
        <f>IFERROR(VLOOKUP($A663,原始数据_收盘!$A$4:$G$3460,2,0),"")</f>
        <v/>
      </c>
      <c r="C663" t="str">
        <f>IFERROR(VLOOKUP($A663,原始数据_收盘!$A$4:$G$3460,3,0),"")</f>
        <v/>
      </c>
      <c r="D663" t="str">
        <f>IFERROR(VLOOKUP($A663,原始数据_收盘!$A$4:$G$3460,4,0),"")</f>
        <v/>
      </c>
      <c r="E663" t="str">
        <f>IFERROR(VLOOKUP($A663,原始数据_收盘!$A$4:$G$3460,5,0),"")</f>
        <v/>
      </c>
      <c r="F663" t="str">
        <f>IFERROR(VLOOKUP($A663,原始数据_收盘!$A$4:$G$3460,6,0),"")</f>
        <v/>
      </c>
      <c r="G663" t="str">
        <f>IFERROR(VLOOKUP($A663,原始数据_收盘!$A$4:$G$3460,7,0),"")</f>
        <v/>
      </c>
      <c r="H663">
        <f>IFERROR(VLOOKUP($A663,原始数据_利率互换_FR007_1年!$A$6:$C$4395,2,0),"")</f>
        <v>2.04</v>
      </c>
      <c r="I663">
        <f>IFERROR(VLOOKUP($A663,原始数据_利率互换_FR007_1年!$A$6:$C$4395,3,0),"")</f>
        <v>3.55</v>
      </c>
    </row>
    <row r="664" spans="1:9">
      <c r="A664" s="6">
        <v>40157</v>
      </c>
      <c r="B664" t="str">
        <f>IFERROR(VLOOKUP($A664,原始数据_收盘!$A$4:$G$3460,2,0),"")</f>
        <v/>
      </c>
      <c r="C664" t="str">
        <f>IFERROR(VLOOKUP($A664,原始数据_收盘!$A$4:$G$3460,3,0),"")</f>
        <v/>
      </c>
      <c r="D664" t="str">
        <f>IFERROR(VLOOKUP($A664,原始数据_收盘!$A$4:$G$3460,4,0),"")</f>
        <v/>
      </c>
      <c r="E664" t="str">
        <f>IFERROR(VLOOKUP($A664,原始数据_收盘!$A$4:$G$3460,5,0),"")</f>
        <v/>
      </c>
      <c r="F664" t="str">
        <f>IFERROR(VLOOKUP($A664,原始数据_收盘!$A$4:$G$3460,6,0),"")</f>
        <v/>
      </c>
      <c r="G664" t="str">
        <f>IFERROR(VLOOKUP($A664,原始数据_收盘!$A$4:$G$3460,7,0),"")</f>
        <v/>
      </c>
      <c r="H664">
        <f>IFERROR(VLOOKUP($A664,原始数据_利率互换_FR007_1年!$A$6:$C$4395,2,0),"")</f>
        <v>2.07</v>
      </c>
      <c r="I664">
        <f>IFERROR(VLOOKUP($A664,原始数据_利率互换_FR007_1年!$A$6:$C$4395,3,0),"")</f>
        <v>3.58</v>
      </c>
    </row>
    <row r="665" spans="1:9">
      <c r="A665" s="6">
        <v>40158</v>
      </c>
      <c r="B665" t="str">
        <f>IFERROR(VLOOKUP($A665,原始数据_收盘!$A$4:$G$3460,2,0),"")</f>
        <v/>
      </c>
      <c r="C665" t="str">
        <f>IFERROR(VLOOKUP($A665,原始数据_收盘!$A$4:$G$3460,3,0),"")</f>
        <v/>
      </c>
      <c r="D665" t="str">
        <f>IFERROR(VLOOKUP($A665,原始数据_收盘!$A$4:$G$3460,4,0),"")</f>
        <v/>
      </c>
      <c r="E665" t="str">
        <f>IFERROR(VLOOKUP($A665,原始数据_收盘!$A$4:$G$3460,5,0),"")</f>
        <v/>
      </c>
      <c r="F665" t="str">
        <f>IFERROR(VLOOKUP($A665,原始数据_收盘!$A$4:$G$3460,6,0),"")</f>
        <v/>
      </c>
      <c r="G665" t="str">
        <f>IFERROR(VLOOKUP($A665,原始数据_收盘!$A$4:$G$3460,7,0),"")</f>
        <v/>
      </c>
      <c r="H665">
        <f>IFERROR(VLOOKUP($A665,原始数据_利率互换_FR007_1年!$A$6:$C$4395,2,0),"")</f>
        <v>2.07</v>
      </c>
      <c r="I665">
        <f>IFERROR(VLOOKUP($A665,原始数据_利率互换_FR007_1年!$A$6:$C$4395,3,0),"")</f>
        <v>3.55</v>
      </c>
    </row>
    <row r="666" spans="1:9">
      <c r="A666" s="6">
        <v>40159</v>
      </c>
      <c r="B666" t="str">
        <f>IFERROR(VLOOKUP($A666,原始数据_收盘!$A$4:$G$3460,2,0),"")</f>
        <v/>
      </c>
      <c r="C666" t="str">
        <f>IFERROR(VLOOKUP($A666,原始数据_收盘!$A$4:$G$3460,3,0),"")</f>
        <v/>
      </c>
      <c r="D666" t="str">
        <f>IFERROR(VLOOKUP($A666,原始数据_收盘!$A$4:$G$3460,4,0),"")</f>
        <v/>
      </c>
      <c r="E666" t="str">
        <f>IFERROR(VLOOKUP($A666,原始数据_收盘!$A$4:$G$3460,5,0),"")</f>
        <v/>
      </c>
      <c r="F666" t="str">
        <f>IFERROR(VLOOKUP($A666,原始数据_收盘!$A$4:$G$3460,6,0),"")</f>
        <v/>
      </c>
      <c r="G666" t="str">
        <f>IFERROR(VLOOKUP($A666,原始数据_收盘!$A$4:$G$3460,7,0),"")</f>
        <v/>
      </c>
      <c r="H666" t="str">
        <f>IFERROR(VLOOKUP($A666,原始数据_利率互换_FR007_1年!$A$6:$C$4395,2,0),"")</f>
        <v/>
      </c>
      <c r="I666" t="str">
        <f>IFERROR(VLOOKUP($A666,原始数据_利率互换_FR007_1年!$A$6:$C$4395,3,0),"")</f>
        <v/>
      </c>
    </row>
    <row r="667" spans="1:9">
      <c r="A667" s="6">
        <v>40160</v>
      </c>
      <c r="B667" t="str">
        <f>IFERROR(VLOOKUP($A667,原始数据_收盘!$A$4:$G$3460,2,0),"")</f>
        <v/>
      </c>
      <c r="C667" t="str">
        <f>IFERROR(VLOOKUP($A667,原始数据_收盘!$A$4:$G$3460,3,0),"")</f>
        <v/>
      </c>
      <c r="D667" t="str">
        <f>IFERROR(VLOOKUP($A667,原始数据_收盘!$A$4:$G$3460,4,0),"")</f>
        <v/>
      </c>
      <c r="E667" t="str">
        <f>IFERROR(VLOOKUP($A667,原始数据_收盘!$A$4:$G$3460,5,0),"")</f>
        <v/>
      </c>
      <c r="F667" t="str">
        <f>IFERROR(VLOOKUP($A667,原始数据_收盘!$A$4:$G$3460,6,0),"")</f>
        <v/>
      </c>
      <c r="G667" t="str">
        <f>IFERROR(VLOOKUP($A667,原始数据_收盘!$A$4:$G$3460,7,0),"")</f>
        <v/>
      </c>
      <c r="H667" t="str">
        <f>IFERROR(VLOOKUP($A667,原始数据_利率互换_FR007_1年!$A$6:$C$4395,2,0),"")</f>
        <v/>
      </c>
      <c r="I667" t="str">
        <f>IFERROR(VLOOKUP($A667,原始数据_利率互换_FR007_1年!$A$6:$C$4395,3,0),"")</f>
        <v/>
      </c>
    </row>
    <row r="668" spans="1:9">
      <c r="A668" s="6">
        <v>40161</v>
      </c>
      <c r="B668" t="str">
        <f>IFERROR(VLOOKUP($A668,原始数据_收盘!$A$4:$G$3460,2,0),"")</f>
        <v/>
      </c>
      <c r="C668" t="str">
        <f>IFERROR(VLOOKUP($A668,原始数据_收盘!$A$4:$G$3460,3,0),"")</f>
        <v/>
      </c>
      <c r="D668" t="str">
        <f>IFERROR(VLOOKUP($A668,原始数据_收盘!$A$4:$G$3460,4,0),"")</f>
        <v/>
      </c>
      <c r="E668" t="str">
        <f>IFERROR(VLOOKUP($A668,原始数据_收盘!$A$4:$G$3460,5,0),"")</f>
        <v/>
      </c>
      <c r="F668" t="str">
        <f>IFERROR(VLOOKUP($A668,原始数据_收盘!$A$4:$G$3460,6,0),"")</f>
        <v/>
      </c>
      <c r="G668" t="str">
        <f>IFERROR(VLOOKUP($A668,原始数据_收盘!$A$4:$G$3460,7,0),"")</f>
        <v/>
      </c>
      <c r="H668">
        <f>IFERROR(VLOOKUP($A668,原始数据_利率互换_FR007_1年!$A$6:$C$4395,2,0),"")</f>
        <v>2.07</v>
      </c>
      <c r="I668">
        <f>IFERROR(VLOOKUP($A668,原始数据_利率互换_FR007_1年!$A$6:$C$4395,3,0),"")</f>
        <v>0</v>
      </c>
    </row>
    <row r="669" spans="1:9">
      <c r="A669" s="6">
        <v>40162</v>
      </c>
      <c r="B669" t="str">
        <f>IFERROR(VLOOKUP($A669,原始数据_收盘!$A$4:$G$3460,2,0),"")</f>
        <v/>
      </c>
      <c r="C669" t="str">
        <f>IFERROR(VLOOKUP($A669,原始数据_收盘!$A$4:$G$3460,3,0),"")</f>
        <v/>
      </c>
      <c r="D669" t="str">
        <f>IFERROR(VLOOKUP($A669,原始数据_收盘!$A$4:$G$3460,4,0),"")</f>
        <v/>
      </c>
      <c r="E669" t="str">
        <f>IFERROR(VLOOKUP($A669,原始数据_收盘!$A$4:$G$3460,5,0),"")</f>
        <v/>
      </c>
      <c r="F669" t="str">
        <f>IFERROR(VLOOKUP($A669,原始数据_收盘!$A$4:$G$3460,6,0),"")</f>
        <v/>
      </c>
      <c r="G669" t="str">
        <f>IFERROR(VLOOKUP($A669,原始数据_收盘!$A$4:$G$3460,7,0),"")</f>
        <v/>
      </c>
      <c r="H669" t="str">
        <f>IFERROR(VLOOKUP($A669,原始数据_利率互换_FR007_1年!$A$6:$C$4395,2,0),"")</f>
        <v/>
      </c>
      <c r="I669" t="str">
        <f>IFERROR(VLOOKUP($A669,原始数据_利率互换_FR007_1年!$A$6:$C$4395,3,0),"")</f>
        <v/>
      </c>
    </row>
    <row r="670" spans="1:9">
      <c r="A670" s="6">
        <v>40163</v>
      </c>
      <c r="B670" t="str">
        <f>IFERROR(VLOOKUP($A670,原始数据_收盘!$A$4:$G$3460,2,0),"")</f>
        <v/>
      </c>
      <c r="C670" t="str">
        <f>IFERROR(VLOOKUP($A670,原始数据_收盘!$A$4:$G$3460,3,0),"")</f>
        <v/>
      </c>
      <c r="D670" t="str">
        <f>IFERROR(VLOOKUP($A670,原始数据_收盘!$A$4:$G$3460,4,0),"")</f>
        <v/>
      </c>
      <c r="E670" t="str">
        <f>IFERROR(VLOOKUP($A670,原始数据_收盘!$A$4:$G$3460,5,0),"")</f>
        <v/>
      </c>
      <c r="F670" t="str">
        <f>IFERROR(VLOOKUP($A670,原始数据_收盘!$A$4:$G$3460,6,0),"")</f>
        <v/>
      </c>
      <c r="G670" t="str">
        <f>IFERROR(VLOOKUP($A670,原始数据_收盘!$A$4:$G$3460,7,0),"")</f>
        <v/>
      </c>
      <c r="H670">
        <f>IFERROR(VLOOKUP($A670,原始数据_利率互换_FR007_1年!$A$6:$C$4395,2,0),"")</f>
        <v>2.07</v>
      </c>
      <c r="I670">
        <f>IFERROR(VLOOKUP($A670,原始数据_利率互换_FR007_1年!$A$6:$C$4395,3,0),"")</f>
        <v>3.6</v>
      </c>
    </row>
    <row r="671" spans="1:9">
      <c r="A671" s="6">
        <v>40164</v>
      </c>
      <c r="B671" t="str">
        <f>IFERROR(VLOOKUP($A671,原始数据_收盘!$A$4:$G$3460,2,0),"")</f>
        <v/>
      </c>
      <c r="C671" t="str">
        <f>IFERROR(VLOOKUP($A671,原始数据_收盘!$A$4:$G$3460,3,0),"")</f>
        <v/>
      </c>
      <c r="D671" t="str">
        <f>IFERROR(VLOOKUP($A671,原始数据_收盘!$A$4:$G$3460,4,0),"")</f>
        <v/>
      </c>
      <c r="E671" t="str">
        <f>IFERROR(VLOOKUP($A671,原始数据_收盘!$A$4:$G$3460,5,0),"")</f>
        <v/>
      </c>
      <c r="F671" t="str">
        <f>IFERROR(VLOOKUP($A671,原始数据_收盘!$A$4:$G$3460,6,0),"")</f>
        <v/>
      </c>
      <c r="G671" t="str">
        <f>IFERROR(VLOOKUP($A671,原始数据_收盘!$A$4:$G$3460,7,0),"")</f>
        <v/>
      </c>
      <c r="H671" t="str">
        <f>IFERROR(VLOOKUP($A671,原始数据_利率互换_FR007_1年!$A$6:$C$4395,2,0),"")</f>
        <v/>
      </c>
      <c r="I671" t="str">
        <f>IFERROR(VLOOKUP($A671,原始数据_利率互换_FR007_1年!$A$6:$C$4395,3,0),"")</f>
        <v/>
      </c>
    </row>
    <row r="672" spans="1:9">
      <c r="A672" s="6">
        <v>40165</v>
      </c>
      <c r="B672" t="str">
        <f>IFERROR(VLOOKUP($A672,原始数据_收盘!$A$4:$G$3460,2,0),"")</f>
        <v/>
      </c>
      <c r="C672" t="str">
        <f>IFERROR(VLOOKUP($A672,原始数据_收盘!$A$4:$G$3460,3,0),"")</f>
        <v/>
      </c>
      <c r="D672" t="str">
        <f>IFERROR(VLOOKUP($A672,原始数据_收盘!$A$4:$G$3460,4,0),"")</f>
        <v/>
      </c>
      <c r="E672" t="str">
        <f>IFERROR(VLOOKUP($A672,原始数据_收盘!$A$4:$G$3460,5,0),"")</f>
        <v/>
      </c>
      <c r="F672" t="str">
        <f>IFERROR(VLOOKUP($A672,原始数据_收盘!$A$4:$G$3460,6,0),"")</f>
        <v/>
      </c>
      <c r="G672" t="str">
        <f>IFERROR(VLOOKUP($A672,原始数据_收盘!$A$4:$G$3460,7,0),"")</f>
        <v/>
      </c>
      <c r="H672">
        <f>IFERROR(VLOOKUP($A672,原始数据_利率互换_FR007_1年!$A$6:$C$4395,2,0),"")</f>
        <v>0</v>
      </c>
      <c r="I672">
        <f>IFERROR(VLOOKUP($A672,原始数据_利率互换_FR007_1年!$A$6:$C$4395,3,0),"")</f>
        <v>3.58</v>
      </c>
    </row>
    <row r="673" spans="1:9">
      <c r="A673" s="6">
        <v>40166</v>
      </c>
      <c r="B673" t="str">
        <f>IFERROR(VLOOKUP($A673,原始数据_收盘!$A$4:$G$3460,2,0),"")</f>
        <v/>
      </c>
      <c r="C673" t="str">
        <f>IFERROR(VLOOKUP($A673,原始数据_收盘!$A$4:$G$3460,3,0),"")</f>
        <v/>
      </c>
      <c r="D673" t="str">
        <f>IFERROR(VLOOKUP($A673,原始数据_收盘!$A$4:$G$3460,4,0),"")</f>
        <v/>
      </c>
      <c r="E673" t="str">
        <f>IFERROR(VLOOKUP($A673,原始数据_收盘!$A$4:$G$3460,5,0),"")</f>
        <v/>
      </c>
      <c r="F673" t="str">
        <f>IFERROR(VLOOKUP($A673,原始数据_收盘!$A$4:$G$3460,6,0),"")</f>
        <v/>
      </c>
      <c r="G673" t="str">
        <f>IFERROR(VLOOKUP($A673,原始数据_收盘!$A$4:$G$3460,7,0),"")</f>
        <v/>
      </c>
      <c r="H673" t="str">
        <f>IFERROR(VLOOKUP($A673,原始数据_利率互换_FR007_1年!$A$6:$C$4395,2,0),"")</f>
        <v/>
      </c>
      <c r="I673" t="str">
        <f>IFERROR(VLOOKUP($A673,原始数据_利率互换_FR007_1年!$A$6:$C$4395,3,0),"")</f>
        <v/>
      </c>
    </row>
    <row r="674" spans="1:9">
      <c r="A674" s="6">
        <v>40167</v>
      </c>
      <c r="B674" t="str">
        <f>IFERROR(VLOOKUP($A674,原始数据_收盘!$A$4:$G$3460,2,0),"")</f>
        <v/>
      </c>
      <c r="C674" t="str">
        <f>IFERROR(VLOOKUP($A674,原始数据_收盘!$A$4:$G$3460,3,0),"")</f>
        <v/>
      </c>
      <c r="D674" t="str">
        <f>IFERROR(VLOOKUP($A674,原始数据_收盘!$A$4:$G$3460,4,0),"")</f>
        <v/>
      </c>
      <c r="E674" t="str">
        <f>IFERROR(VLOOKUP($A674,原始数据_收盘!$A$4:$G$3460,5,0),"")</f>
        <v/>
      </c>
      <c r="F674" t="str">
        <f>IFERROR(VLOOKUP($A674,原始数据_收盘!$A$4:$G$3460,6,0),"")</f>
        <v/>
      </c>
      <c r="G674" t="str">
        <f>IFERROR(VLOOKUP($A674,原始数据_收盘!$A$4:$G$3460,7,0),"")</f>
        <v/>
      </c>
      <c r="H674" t="str">
        <f>IFERROR(VLOOKUP($A674,原始数据_利率互换_FR007_1年!$A$6:$C$4395,2,0),"")</f>
        <v/>
      </c>
      <c r="I674" t="str">
        <f>IFERROR(VLOOKUP($A674,原始数据_利率互换_FR007_1年!$A$6:$C$4395,3,0),"")</f>
        <v/>
      </c>
    </row>
    <row r="675" spans="1:9">
      <c r="A675" s="6">
        <v>40168</v>
      </c>
      <c r="B675" t="str">
        <f>IFERROR(VLOOKUP($A675,原始数据_收盘!$A$4:$G$3460,2,0),"")</f>
        <v/>
      </c>
      <c r="C675" t="str">
        <f>IFERROR(VLOOKUP($A675,原始数据_收盘!$A$4:$G$3460,3,0),"")</f>
        <v/>
      </c>
      <c r="D675" t="str">
        <f>IFERROR(VLOOKUP($A675,原始数据_收盘!$A$4:$G$3460,4,0),"")</f>
        <v/>
      </c>
      <c r="E675" t="str">
        <f>IFERROR(VLOOKUP($A675,原始数据_收盘!$A$4:$G$3460,5,0),"")</f>
        <v/>
      </c>
      <c r="F675" t="str">
        <f>IFERROR(VLOOKUP($A675,原始数据_收盘!$A$4:$G$3460,6,0),"")</f>
        <v/>
      </c>
      <c r="G675" t="str">
        <f>IFERROR(VLOOKUP($A675,原始数据_收盘!$A$4:$G$3460,7,0),"")</f>
        <v/>
      </c>
      <c r="H675" t="str">
        <f>IFERROR(VLOOKUP($A675,原始数据_利率互换_FR007_1年!$A$6:$C$4395,2,0),"")</f>
        <v/>
      </c>
      <c r="I675" t="str">
        <f>IFERROR(VLOOKUP($A675,原始数据_利率互换_FR007_1年!$A$6:$C$4395,3,0),"")</f>
        <v/>
      </c>
    </row>
    <row r="676" spans="1:9">
      <c r="A676" s="6">
        <v>40169</v>
      </c>
      <c r="B676" t="str">
        <f>IFERROR(VLOOKUP($A676,原始数据_收盘!$A$4:$G$3460,2,0),"")</f>
        <v/>
      </c>
      <c r="C676" t="str">
        <f>IFERROR(VLOOKUP($A676,原始数据_收盘!$A$4:$G$3460,3,0),"")</f>
        <v/>
      </c>
      <c r="D676" t="str">
        <f>IFERROR(VLOOKUP($A676,原始数据_收盘!$A$4:$G$3460,4,0),"")</f>
        <v/>
      </c>
      <c r="E676" t="str">
        <f>IFERROR(VLOOKUP($A676,原始数据_收盘!$A$4:$G$3460,5,0),"")</f>
        <v/>
      </c>
      <c r="F676" t="str">
        <f>IFERROR(VLOOKUP($A676,原始数据_收盘!$A$4:$G$3460,6,0),"")</f>
        <v/>
      </c>
      <c r="G676" t="str">
        <f>IFERROR(VLOOKUP($A676,原始数据_收盘!$A$4:$G$3460,7,0),"")</f>
        <v/>
      </c>
      <c r="H676">
        <f>IFERROR(VLOOKUP($A676,原始数据_利率互换_FR007_1年!$A$6:$C$4395,2,0),"")</f>
        <v>2.07</v>
      </c>
      <c r="I676">
        <f>IFERROR(VLOOKUP($A676,原始数据_利率互换_FR007_1年!$A$6:$C$4395,3,0),"")</f>
        <v>3.62</v>
      </c>
    </row>
    <row r="677" spans="1:9">
      <c r="A677" s="6">
        <v>40170</v>
      </c>
      <c r="B677" t="str">
        <f>IFERROR(VLOOKUP($A677,原始数据_收盘!$A$4:$G$3460,2,0),"")</f>
        <v/>
      </c>
      <c r="C677" t="str">
        <f>IFERROR(VLOOKUP($A677,原始数据_收盘!$A$4:$G$3460,3,0),"")</f>
        <v/>
      </c>
      <c r="D677" t="str">
        <f>IFERROR(VLOOKUP($A677,原始数据_收盘!$A$4:$G$3460,4,0),"")</f>
        <v/>
      </c>
      <c r="E677" t="str">
        <f>IFERROR(VLOOKUP($A677,原始数据_收盘!$A$4:$G$3460,5,0),"")</f>
        <v/>
      </c>
      <c r="F677" t="str">
        <f>IFERROR(VLOOKUP($A677,原始数据_收盘!$A$4:$G$3460,6,0),"")</f>
        <v/>
      </c>
      <c r="G677" t="str">
        <f>IFERROR(VLOOKUP($A677,原始数据_收盘!$A$4:$G$3460,7,0),"")</f>
        <v/>
      </c>
      <c r="H677" t="str">
        <f>IFERROR(VLOOKUP($A677,原始数据_利率互换_FR007_1年!$A$6:$C$4395,2,0),"")</f>
        <v/>
      </c>
      <c r="I677" t="str">
        <f>IFERROR(VLOOKUP($A677,原始数据_利率互换_FR007_1年!$A$6:$C$4395,3,0),"")</f>
        <v/>
      </c>
    </row>
    <row r="678" spans="1:9">
      <c r="A678" s="6">
        <v>40171</v>
      </c>
      <c r="B678" t="str">
        <f>IFERROR(VLOOKUP($A678,原始数据_收盘!$A$4:$G$3460,2,0),"")</f>
        <v/>
      </c>
      <c r="C678" t="str">
        <f>IFERROR(VLOOKUP($A678,原始数据_收盘!$A$4:$G$3460,3,0),"")</f>
        <v/>
      </c>
      <c r="D678" t="str">
        <f>IFERROR(VLOOKUP($A678,原始数据_收盘!$A$4:$G$3460,4,0),"")</f>
        <v/>
      </c>
      <c r="E678" t="str">
        <f>IFERROR(VLOOKUP($A678,原始数据_收盘!$A$4:$G$3460,5,0),"")</f>
        <v/>
      </c>
      <c r="F678" t="str">
        <f>IFERROR(VLOOKUP($A678,原始数据_收盘!$A$4:$G$3460,6,0),"")</f>
        <v/>
      </c>
      <c r="G678" t="str">
        <f>IFERROR(VLOOKUP($A678,原始数据_收盘!$A$4:$G$3460,7,0),"")</f>
        <v/>
      </c>
      <c r="H678" t="str">
        <f>IFERROR(VLOOKUP($A678,原始数据_利率互换_FR007_1年!$A$6:$C$4395,2,0),"")</f>
        <v/>
      </c>
      <c r="I678" t="str">
        <f>IFERROR(VLOOKUP($A678,原始数据_利率互换_FR007_1年!$A$6:$C$4395,3,0),"")</f>
        <v/>
      </c>
    </row>
    <row r="679" spans="1:9">
      <c r="A679" s="6">
        <v>40172</v>
      </c>
      <c r="B679" t="str">
        <f>IFERROR(VLOOKUP($A679,原始数据_收盘!$A$4:$G$3460,2,0),"")</f>
        <v/>
      </c>
      <c r="C679" t="str">
        <f>IFERROR(VLOOKUP($A679,原始数据_收盘!$A$4:$G$3460,3,0),"")</f>
        <v/>
      </c>
      <c r="D679" t="str">
        <f>IFERROR(VLOOKUP($A679,原始数据_收盘!$A$4:$G$3460,4,0),"")</f>
        <v/>
      </c>
      <c r="E679" t="str">
        <f>IFERROR(VLOOKUP($A679,原始数据_收盘!$A$4:$G$3460,5,0),"")</f>
        <v/>
      </c>
      <c r="F679" t="str">
        <f>IFERROR(VLOOKUP($A679,原始数据_收盘!$A$4:$G$3460,6,0),"")</f>
        <v/>
      </c>
      <c r="G679" t="str">
        <f>IFERROR(VLOOKUP($A679,原始数据_收盘!$A$4:$G$3460,7,0),"")</f>
        <v/>
      </c>
      <c r="H679">
        <f>IFERROR(VLOOKUP($A679,原始数据_利率互换_FR007_1年!$A$6:$C$4395,2,0),"")</f>
        <v>2.07</v>
      </c>
      <c r="I679">
        <f>IFERROR(VLOOKUP($A679,原始数据_利率互换_FR007_1年!$A$6:$C$4395,3,0),"")</f>
        <v>0</v>
      </c>
    </row>
    <row r="680" spans="1:9">
      <c r="A680" s="6">
        <v>40173</v>
      </c>
      <c r="B680" t="str">
        <f>IFERROR(VLOOKUP($A680,原始数据_收盘!$A$4:$G$3460,2,0),"")</f>
        <v/>
      </c>
      <c r="C680" t="str">
        <f>IFERROR(VLOOKUP($A680,原始数据_收盘!$A$4:$G$3460,3,0),"")</f>
        <v/>
      </c>
      <c r="D680" t="str">
        <f>IFERROR(VLOOKUP($A680,原始数据_收盘!$A$4:$G$3460,4,0),"")</f>
        <v/>
      </c>
      <c r="E680" t="str">
        <f>IFERROR(VLOOKUP($A680,原始数据_收盘!$A$4:$G$3460,5,0),"")</f>
        <v/>
      </c>
      <c r="F680" t="str">
        <f>IFERROR(VLOOKUP($A680,原始数据_收盘!$A$4:$G$3460,6,0),"")</f>
        <v/>
      </c>
      <c r="G680" t="str">
        <f>IFERROR(VLOOKUP($A680,原始数据_收盘!$A$4:$G$3460,7,0),"")</f>
        <v/>
      </c>
      <c r="H680" t="str">
        <f>IFERROR(VLOOKUP($A680,原始数据_利率互换_FR007_1年!$A$6:$C$4395,2,0),"")</f>
        <v/>
      </c>
      <c r="I680" t="str">
        <f>IFERROR(VLOOKUP($A680,原始数据_利率互换_FR007_1年!$A$6:$C$4395,3,0),"")</f>
        <v/>
      </c>
    </row>
    <row r="681" spans="1:9">
      <c r="A681" s="6">
        <v>40174</v>
      </c>
      <c r="B681" t="str">
        <f>IFERROR(VLOOKUP($A681,原始数据_收盘!$A$4:$G$3460,2,0),"")</f>
        <v/>
      </c>
      <c r="C681" t="str">
        <f>IFERROR(VLOOKUP($A681,原始数据_收盘!$A$4:$G$3460,3,0),"")</f>
        <v/>
      </c>
      <c r="D681" t="str">
        <f>IFERROR(VLOOKUP($A681,原始数据_收盘!$A$4:$G$3460,4,0),"")</f>
        <v/>
      </c>
      <c r="E681" t="str">
        <f>IFERROR(VLOOKUP($A681,原始数据_收盘!$A$4:$G$3460,5,0),"")</f>
        <v/>
      </c>
      <c r="F681" t="str">
        <f>IFERROR(VLOOKUP($A681,原始数据_收盘!$A$4:$G$3460,6,0),"")</f>
        <v/>
      </c>
      <c r="G681" t="str">
        <f>IFERROR(VLOOKUP($A681,原始数据_收盘!$A$4:$G$3460,7,0),"")</f>
        <v/>
      </c>
      <c r="H681" t="str">
        <f>IFERROR(VLOOKUP($A681,原始数据_利率互换_FR007_1年!$A$6:$C$4395,2,0),"")</f>
        <v/>
      </c>
      <c r="I681" t="str">
        <f>IFERROR(VLOOKUP($A681,原始数据_利率互换_FR007_1年!$A$6:$C$4395,3,0),"")</f>
        <v/>
      </c>
    </row>
    <row r="682" spans="1:9">
      <c r="A682" s="6">
        <v>40175</v>
      </c>
      <c r="B682" t="str">
        <f>IFERROR(VLOOKUP($A682,原始数据_收盘!$A$4:$G$3460,2,0),"")</f>
        <v/>
      </c>
      <c r="C682" t="str">
        <f>IFERROR(VLOOKUP($A682,原始数据_收盘!$A$4:$G$3460,3,0),"")</f>
        <v/>
      </c>
      <c r="D682" t="str">
        <f>IFERROR(VLOOKUP($A682,原始数据_收盘!$A$4:$G$3460,4,0),"")</f>
        <v/>
      </c>
      <c r="E682" t="str">
        <f>IFERROR(VLOOKUP($A682,原始数据_收盘!$A$4:$G$3460,5,0),"")</f>
        <v/>
      </c>
      <c r="F682" t="str">
        <f>IFERROR(VLOOKUP($A682,原始数据_收盘!$A$4:$G$3460,6,0),"")</f>
        <v/>
      </c>
      <c r="G682" t="str">
        <f>IFERROR(VLOOKUP($A682,原始数据_收盘!$A$4:$G$3460,7,0),"")</f>
        <v/>
      </c>
      <c r="H682">
        <f>IFERROR(VLOOKUP($A682,原始数据_利率互换_FR007_1年!$A$6:$C$4395,2,0),"")</f>
        <v>2.09</v>
      </c>
      <c r="I682">
        <f>IFERROR(VLOOKUP($A682,原始数据_利率互换_FR007_1年!$A$6:$C$4395,3,0),"")</f>
        <v>3.67</v>
      </c>
    </row>
    <row r="683" spans="1:9">
      <c r="A683" s="6">
        <v>40176</v>
      </c>
      <c r="B683" t="str">
        <f>IFERROR(VLOOKUP($A683,原始数据_收盘!$A$4:$G$3460,2,0),"")</f>
        <v/>
      </c>
      <c r="C683" t="str">
        <f>IFERROR(VLOOKUP($A683,原始数据_收盘!$A$4:$G$3460,3,0),"")</f>
        <v/>
      </c>
      <c r="D683" t="str">
        <f>IFERROR(VLOOKUP($A683,原始数据_收盘!$A$4:$G$3460,4,0),"")</f>
        <v/>
      </c>
      <c r="E683" t="str">
        <f>IFERROR(VLOOKUP($A683,原始数据_收盘!$A$4:$G$3460,5,0),"")</f>
        <v/>
      </c>
      <c r="F683" t="str">
        <f>IFERROR(VLOOKUP($A683,原始数据_收盘!$A$4:$G$3460,6,0),"")</f>
        <v/>
      </c>
      <c r="G683" t="str">
        <f>IFERROR(VLOOKUP($A683,原始数据_收盘!$A$4:$G$3460,7,0),"")</f>
        <v/>
      </c>
      <c r="H683">
        <f>IFERROR(VLOOKUP($A683,原始数据_利率互换_FR007_1年!$A$6:$C$4395,2,0),"")</f>
        <v>0</v>
      </c>
      <c r="I683">
        <f>IFERROR(VLOOKUP($A683,原始数据_利率互换_FR007_1年!$A$6:$C$4395,3,0),"")</f>
        <v>3.67</v>
      </c>
    </row>
    <row r="684" spans="1:9">
      <c r="A684" s="6">
        <v>40177</v>
      </c>
      <c r="B684" t="str">
        <f>IFERROR(VLOOKUP($A684,原始数据_收盘!$A$4:$G$3460,2,0),"")</f>
        <v/>
      </c>
      <c r="C684" t="str">
        <f>IFERROR(VLOOKUP($A684,原始数据_收盘!$A$4:$G$3460,3,0),"")</f>
        <v/>
      </c>
      <c r="D684" t="str">
        <f>IFERROR(VLOOKUP($A684,原始数据_收盘!$A$4:$G$3460,4,0),"")</f>
        <v/>
      </c>
      <c r="E684" t="str">
        <f>IFERROR(VLOOKUP($A684,原始数据_收盘!$A$4:$G$3460,5,0),"")</f>
        <v/>
      </c>
      <c r="F684" t="str">
        <f>IFERROR(VLOOKUP($A684,原始数据_收盘!$A$4:$G$3460,6,0),"")</f>
        <v/>
      </c>
      <c r="G684" t="str">
        <f>IFERROR(VLOOKUP($A684,原始数据_收盘!$A$4:$G$3460,7,0),"")</f>
        <v/>
      </c>
      <c r="H684" t="str">
        <f>IFERROR(VLOOKUP($A684,原始数据_利率互换_FR007_1年!$A$6:$C$4395,2,0),"")</f>
        <v/>
      </c>
      <c r="I684" t="str">
        <f>IFERROR(VLOOKUP($A684,原始数据_利率互换_FR007_1年!$A$6:$C$4395,3,0),"")</f>
        <v/>
      </c>
    </row>
    <row r="685" spans="1:9">
      <c r="A685" s="6">
        <v>40178</v>
      </c>
      <c r="B685" t="str">
        <f>IFERROR(VLOOKUP($A685,原始数据_收盘!$A$4:$G$3460,2,0),"")</f>
        <v/>
      </c>
      <c r="C685" t="str">
        <f>IFERROR(VLOOKUP($A685,原始数据_收盘!$A$4:$G$3460,3,0),"")</f>
        <v/>
      </c>
      <c r="D685" t="str">
        <f>IFERROR(VLOOKUP($A685,原始数据_收盘!$A$4:$G$3460,4,0),"")</f>
        <v/>
      </c>
      <c r="E685" t="str">
        <f>IFERROR(VLOOKUP($A685,原始数据_收盘!$A$4:$G$3460,5,0),"")</f>
        <v/>
      </c>
      <c r="F685" t="str">
        <f>IFERROR(VLOOKUP($A685,原始数据_收盘!$A$4:$G$3460,6,0),"")</f>
        <v/>
      </c>
      <c r="G685" t="str">
        <f>IFERROR(VLOOKUP($A685,原始数据_收盘!$A$4:$G$3460,7,0),"")</f>
        <v/>
      </c>
      <c r="H685" t="str">
        <f>IFERROR(VLOOKUP($A685,原始数据_利率互换_FR007_1年!$A$6:$C$4395,2,0),"")</f>
        <v/>
      </c>
      <c r="I685" t="str">
        <f>IFERROR(VLOOKUP($A685,原始数据_利率互换_FR007_1年!$A$6:$C$4395,3,0),"")</f>
        <v/>
      </c>
    </row>
    <row r="686" spans="1:9">
      <c r="A686" s="6">
        <v>40179</v>
      </c>
      <c r="B686" t="str">
        <f>IFERROR(VLOOKUP($A686,原始数据_收盘!$A$4:$G$3460,2,0),"")</f>
        <v/>
      </c>
      <c r="C686" t="str">
        <f>IFERROR(VLOOKUP($A686,原始数据_收盘!$A$4:$G$3460,3,0),"")</f>
        <v/>
      </c>
      <c r="D686" t="str">
        <f>IFERROR(VLOOKUP($A686,原始数据_收盘!$A$4:$G$3460,4,0),"")</f>
        <v/>
      </c>
      <c r="E686" t="str">
        <f>IFERROR(VLOOKUP($A686,原始数据_收盘!$A$4:$G$3460,5,0),"")</f>
        <v/>
      </c>
      <c r="F686" t="str">
        <f>IFERROR(VLOOKUP($A686,原始数据_收盘!$A$4:$G$3460,6,0),"")</f>
        <v/>
      </c>
      <c r="G686" t="str">
        <f>IFERROR(VLOOKUP($A686,原始数据_收盘!$A$4:$G$3460,7,0),"")</f>
        <v/>
      </c>
      <c r="H686" t="str">
        <f>IFERROR(VLOOKUP($A686,原始数据_利率互换_FR007_1年!$A$6:$C$4395,2,0),"")</f>
        <v/>
      </c>
      <c r="I686" t="str">
        <f>IFERROR(VLOOKUP($A686,原始数据_利率互换_FR007_1年!$A$6:$C$4395,3,0),"")</f>
        <v/>
      </c>
    </row>
    <row r="687" spans="1:9">
      <c r="A687" s="6">
        <v>40180</v>
      </c>
      <c r="B687" t="str">
        <f>IFERROR(VLOOKUP($A687,原始数据_收盘!$A$4:$G$3460,2,0),"")</f>
        <v/>
      </c>
      <c r="C687" t="str">
        <f>IFERROR(VLOOKUP($A687,原始数据_收盘!$A$4:$G$3460,3,0),"")</f>
        <v/>
      </c>
      <c r="D687" t="str">
        <f>IFERROR(VLOOKUP($A687,原始数据_收盘!$A$4:$G$3460,4,0),"")</f>
        <v/>
      </c>
      <c r="E687" t="str">
        <f>IFERROR(VLOOKUP($A687,原始数据_收盘!$A$4:$G$3460,5,0),"")</f>
        <v/>
      </c>
      <c r="F687" t="str">
        <f>IFERROR(VLOOKUP($A687,原始数据_收盘!$A$4:$G$3460,6,0),"")</f>
        <v/>
      </c>
      <c r="G687" t="str">
        <f>IFERROR(VLOOKUP($A687,原始数据_收盘!$A$4:$G$3460,7,0),"")</f>
        <v/>
      </c>
      <c r="H687" t="str">
        <f>IFERROR(VLOOKUP($A687,原始数据_利率互换_FR007_1年!$A$6:$C$4395,2,0),"")</f>
        <v/>
      </c>
      <c r="I687" t="str">
        <f>IFERROR(VLOOKUP($A687,原始数据_利率互换_FR007_1年!$A$6:$C$4395,3,0),"")</f>
        <v/>
      </c>
    </row>
    <row r="688" spans="1:9">
      <c r="A688" s="6">
        <v>40181</v>
      </c>
      <c r="B688" t="str">
        <f>IFERROR(VLOOKUP($A688,原始数据_收盘!$A$4:$G$3460,2,0),"")</f>
        <v/>
      </c>
      <c r="C688" t="str">
        <f>IFERROR(VLOOKUP($A688,原始数据_收盘!$A$4:$G$3460,3,0),"")</f>
        <v/>
      </c>
      <c r="D688" t="str">
        <f>IFERROR(VLOOKUP($A688,原始数据_收盘!$A$4:$G$3460,4,0),"")</f>
        <v/>
      </c>
      <c r="E688" t="str">
        <f>IFERROR(VLOOKUP($A688,原始数据_收盘!$A$4:$G$3460,5,0),"")</f>
        <v/>
      </c>
      <c r="F688" t="str">
        <f>IFERROR(VLOOKUP($A688,原始数据_收盘!$A$4:$G$3460,6,0),"")</f>
        <v/>
      </c>
      <c r="G688" t="str">
        <f>IFERROR(VLOOKUP($A688,原始数据_收盘!$A$4:$G$3460,7,0),"")</f>
        <v/>
      </c>
      <c r="H688" t="str">
        <f>IFERROR(VLOOKUP($A688,原始数据_利率互换_FR007_1年!$A$6:$C$4395,2,0),"")</f>
        <v/>
      </c>
      <c r="I688" t="str">
        <f>IFERROR(VLOOKUP($A688,原始数据_利率互换_FR007_1年!$A$6:$C$4395,3,0),"")</f>
        <v/>
      </c>
    </row>
    <row r="689" spans="1:9">
      <c r="A689" s="6">
        <v>40182</v>
      </c>
      <c r="B689" t="str">
        <f>IFERROR(VLOOKUP($A689,原始数据_收盘!$A$4:$G$3460,2,0),"")</f>
        <v/>
      </c>
      <c r="C689" t="str">
        <f>IFERROR(VLOOKUP($A689,原始数据_收盘!$A$4:$G$3460,3,0),"")</f>
        <v/>
      </c>
      <c r="D689" t="str">
        <f>IFERROR(VLOOKUP($A689,原始数据_收盘!$A$4:$G$3460,4,0),"")</f>
        <v/>
      </c>
      <c r="E689" t="str">
        <f>IFERROR(VLOOKUP($A689,原始数据_收盘!$A$4:$G$3460,5,0),"")</f>
        <v/>
      </c>
      <c r="F689" t="str">
        <f>IFERROR(VLOOKUP($A689,原始数据_收盘!$A$4:$G$3460,6,0),"")</f>
        <v/>
      </c>
      <c r="G689" t="str">
        <f>IFERROR(VLOOKUP($A689,原始数据_收盘!$A$4:$G$3460,7,0),"")</f>
        <v/>
      </c>
      <c r="H689">
        <f>IFERROR(VLOOKUP($A689,原始数据_利率互换_FR007_1年!$A$6:$C$4395,2,0),"")</f>
        <v>2.17</v>
      </c>
      <c r="I689">
        <f>IFERROR(VLOOKUP($A689,原始数据_利率互换_FR007_1年!$A$6:$C$4395,3,0),"")</f>
        <v>3.78</v>
      </c>
    </row>
    <row r="690" spans="1:9">
      <c r="A690" s="6">
        <v>40183</v>
      </c>
      <c r="B690" t="str">
        <f>IFERROR(VLOOKUP($A690,原始数据_收盘!$A$4:$G$3460,2,0),"")</f>
        <v/>
      </c>
      <c r="C690" t="str">
        <f>IFERROR(VLOOKUP($A690,原始数据_收盘!$A$4:$G$3460,3,0),"")</f>
        <v/>
      </c>
      <c r="D690" t="str">
        <f>IFERROR(VLOOKUP($A690,原始数据_收盘!$A$4:$G$3460,4,0),"")</f>
        <v/>
      </c>
      <c r="E690" t="str">
        <f>IFERROR(VLOOKUP($A690,原始数据_收盘!$A$4:$G$3460,5,0),"")</f>
        <v/>
      </c>
      <c r="F690" t="str">
        <f>IFERROR(VLOOKUP($A690,原始数据_收盘!$A$4:$G$3460,6,0),"")</f>
        <v/>
      </c>
      <c r="G690" t="str">
        <f>IFERROR(VLOOKUP($A690,原始数据_收盘!$A$4:$G$3460,7,0),"")</f>
        <v/>
      </c>
      <c r="H690">
        <f>IFERROR(VLOOKUP($A690,原始数据_利率互换_FR007_1年!$A$6:$C$4395,2,0),"")</f>
        <v>2.17</v>
      </c>
      <c r="I690">
        <f>IFERROR(VLOOKUP($A690,原始数据_利率互换_FR007_1年!$A$6:$C$4395,3,0),"")</f>
        <v>0</v>
      </c>
    </row>
    <row r="691" spans="1:9">
      <c r="A691" s="6">
        <v>40184</v>
      </c>
      <c r="B691" t="str">
        <f>IFERROR(VLOOKUP($A691,原始数据_收盘!$A$4:$G$3460,2,0),"")</f>
        <v/>
      </c>
      <c r="C691" t="str">
        <f>IFERROR(VLOOKUP($A691,原始数据_收盘!$A$4:$G$3460,3,0),"")</f>
        <v/>
      </c>
      <c r="D691" t="str">
        <f>IFERROR(VLOOKUP($A691,原始数据_收盘!$A$4:$G$3460,4,0),"")</f>
        <v/>
      </c>
      <c r="E691" t="str">
        <f>IFERROR(VLOOKUP($A691,原始数据_收盘!$A$4:$G$3460,5,0),"")</f>
        <v/>
      </c>
      <c r="F691" t="str">
        <f>IFERROR(VLOOKUP($A691,原始数据_收盘!$A$4:$G$3460,6,0),"")</f>
        <v/>
      </c>
      <c r="G691" t="str">
        <f>IFERROR(VLOOKUP($A691,原始数据_收盘!$A$4:$G$3460,7,0),"")</f>
        <v/>
      </c>
      <c r="H691">
        <f>IFERROR(VLOOKUP($A691,原始数据_利率互换_FR007_1年!$A$6:$C$4395,2,0),"")</f>
        <v>2.13</v>
      </c>
      <c r="I691">
        <f>IFERROR(VLOOKUP($A691,原始数据_利率互换_FR007_1年!$A$6:$C$4395,3,0),"")</f>
        <v>3.77</v>
      </c>
    </row>
    <row r="692" spans="1:9">
      <c r="A692" s="6">
        <v>40185</v>
      </c>
      <c r="B692" t="str">
        <f>IFERROR(VLOOKUP($A692,原始数据_收盘!$A$4:$G$3460,2,0),"")</f>
        <v/>
      </c>
      <c r="C692" t="str">
        <f>IFERROR(VLOOKUP($A692,原始数据_收盘!$A$4:$G$3460,3,0),"")</f>
        <v/>
      </c>
      <c r="D692" t="str">
        <f>IFERROR(VLOOKUP($A692,原始数据_收盘!$A$4:$G$3460,4,0),"")</f>
        <v/>
      </c>
      <c r="E692" t="str">
        <f>IFERROR(VLOOKUP($A692,原始数据_收盘!$A$4:$G$3460,5,0),"")</f>
        <v/>
      </c>
      <c r="F692" t="str">
        <f>IFERROR(VLOOKUP($A692,原始数据_收盘!$A$4:$G$3460,6,0),"")</f>
        <v/>
      </c>
      <c r="G692" t="str">
        <f>IFERROR(VLOOKUP($A692,原始数据_收盘!$A$4:$G$3460,7,0),"")</f>
        <v/>
      </c>
      <c r="H692">
        <f>IFERROR(VLOOKUP($A692,原始数据_利率互换_FR007_1年!$A$6:$C$4395,2,0),"")</f>
        <v>2.2</v>
      </c>
      <c r="I692">
        <f>IFERROR(VLOOKUP($A692,原始数据_利率互换_FR007_1年!$A$6:$C$4395,3,0),"")</f>
        <v>3.95</v>
      </c>
    </row>
    <row r="693" spans="1:9">
      <c r="A693" s="6">
        <v>40186</v>
      </c>
      <c r="B693" t="str">
        <f>IFERROR(VLOOKUP($A693,原始数据_收盘!$A$4:$G$3460,2,0),"")</f>
        <v/>
      </c>
      <c r="C693" t="str">
        <f>IFERROR(VLOOKUP($A693,原始数据_收盘!$A$4:$G$3460,3,0),"")</f>
        <v/>
      </c>
      <c r="D693" t="str">
        <f>IFERROR(VLOOKUP($A693,原始数据_收盘!$A$4:$G$3460,4,0),"")</f>
        <v/>
      </c>
      <c r="E693" t="str">
        <f>IFERROR(VLOOKUP($A693,原始数据_收盘!$A$4:$G$3460,5,0),"")</f>
        <v/>
      </c>
      <c r="F693" t="str">
        <f>IFERROR(VLOOKUP($A693,原始数据_收盘!$A$4:$G$3460,6,0),"")</f>
        <v/>
      </c>
      <c r="G693" t="str">
        <f>IFERROR(VLOOKUP($A693,原始数据_收盘!$A$4:$G$3460,7,0),"")</f>
        <v/>
      </c>
      <c r="H693">
        <f>IFERROR(VLOOKUP($A693,原始数据_利率互换_FR007_1年!$A$6:$C$4395,2,0),"")</f>
        <v>2.27</v>
      </c>
      <c r="I693">
        <f>IFERROR(VLOOKUP($A693,原始数据_利率互换_FR007_1年!$A$6:$C$4395,3,0),"")</f>
        <v>4.06</v>
      </c>
    </row>
    <row r="694" spans="1:9">
      <c r="A694" s="6">
        <v>40187</v>
      </c>
      <c r="B694" t="str">
        <f>IFERROR(VLOOKUP($A694,原始数据_收盘!$A$4:$G$3460,2,0),"")</f>
        <v/>
      </c>
      <c r="C694" t="str">
        <f>IFERROR(VLOOKUP($A694,原始数据_收盘!$A$4:$G$3460,3,0),"")</f>
        <v/>
      </c>
      <c r="D694" t="str">
        <f>IFERROR(VLOOKUP($A694,原始数据_收盘!$A$4:$G$3460,4,0),"")</f>
        <v/>
      </c>
      <c r="E694" t="str">
        <f>IFERROR(VLOOKUP($A694,原始数据_收盘!$A$4:$G$3460,5,0),"")</f>
        <v/>
      </c>
      <c r="F694" t="str">
        <f>IFERROR(VLOOKUP($A694,原始数据_收盘!$A$4:$G$3460,6,0),"")</f>
        <v/>
      </c>
      <c r="G694" t="str">
        <f>IFERROR(VLOOKUP($A694,原始数据_收盘!$A$4:$G$3460,7,0),"")</f>
        <v/>
      </c>
      <c r="H694" t="str">
        <f>IFERROR(VLOOKUP($A694,原始数据_利率互换_FR007_1年!$A$6:$C$4395,2,0),"")</f>
        <v/>
      </c>
      <c r="I694" t="str">
        <f>IFERROR(VLOOKUP($A694,原始数据_利率互换_FR007_1年!$A$6:$C$4395,3,0),"")</f>
        <v/>
      </c>
    </row>
    <row r="695" spans="1:9">
      <c r="A695" s="6">
        <v>40188</v>
      </c>
      <c r="B695" t="str">
        <f>IFERROR(VLOOKUP($A695,原始数据_收盘!$A$4:$G$3460,2,0),"")</f>
        <v/>
      </c>
      <c r="C695" t="str">
        <f>IFERROR(VLOOKUP($A695,原始数据_收盘!$A$4:$G$3460,3,0),"")</f>
        <v/>
      </c>
      <c r="D695" t="str">
        <f>IFERROR(VLOOKUP($A695,原始数据_收盘!$A$4:$G$3460,4,0),"")</f>
        <v/>
      </c>
      <c r="E695" t="str">
        <f>IFERROR(VLOOKUP($A695,原始数据_收盘!$A$4:$G$3460,5,0),"")</f>
        <v/>
      </c>
      <c r="F695" t="str">
        <f>IFERROR(VLOOKUP($A695,原始数据_收盘!$A$4:$G$3460,6,0),"")</f>
        <v/>
      </c>
      <c r="G695" t="str">
        <f>IFERROR(VLOOKUP($A695,原始数据_收盘!$A$4:$G$3460,7,0),"")</f>
        <v/>
      </c>
      <c r="H695" t="str">
        <f>IFERROR(VLOOKUP($A695,原始数据_利率互换_FR007_1年!$A$6:$C$4395,2,0),"")</f>
        <v/>
      </c>
      <c r="I695" t="str">
        <f>IFERROR(VLOOKUP($A695,原始数据_利率互换_FR007_1年!$A$6:$C$4395,3,0),"")</f>
        <v/>
      </c>
    </row>
    <row r="696" spans="1:9">
      <c r="A696" s="6">
        <v>40189</v>
      </c>
      <c r="B696" t="str">
        <f>IFERROR(VLOOKUP($A696,原始数据_收盘!$A$4:$G$3460,2,0),"")</f>
        <v/>
      </c>
      <c r="C696" t="str">
        <f>IFERROR(VLOOKUP($A696,原始数据_收盘!$A$4:$G$3460,3,0),"")</f>
        <v/>
      </c>
      <c r="D696" t="str">
        <f>IFERROR(VLOOKUP($A696,原始数据_收盘!$A$4:$G$3460,4,0),"")</f>
        <v/>
      </c>
      <c r="E696" t="str">
        <f>IFERROR(VLOOKUP($A696,原始数据_收盘!$A$4:$G$3460,5,0),"")</f>
        <v/>
      </c>
      <c r="F696" t="str">
        <f>IFERROR(VLOOKUP($A696,原始数据_收盘!$A$4:$G$3460,6,0),"")</f>
        <v/>
      </c>
      <c r="G696" t="str">
        <f>IFERROR(VLOOKUP($A696,原始数据_收盘!$A$4:$G$3460,7,0),"")</f>
        <v/>
      </c>
      <c r="H696">
        <f>IFERROR(VLOOKUP($A696,原始数据_利率互换_FR007_1年!$A$6:$C$4395,2,0),"")</f>
        <v>2.28</v>
      </c>
      <c r="I696">
        <f>IFERROR(VLOOKUP($A696,原始数据_利率互换_FR007_1年!$A$6:$C$4395,3,0),"")</f>
        <v>4.07</v>
      </c>
    </row>
    <row r="697" spans="1:9">
      <c r="A697" s="6">
        <v>40190</v>
      </c>
      <c r="B697" t="str">
        <f>IFERROR(VLOOKUP($A697,原始数据_收盘!$A$4:$G$3460,2,0),"")</f>
        <v/>
      </c>
      <c r="C697" t="str">
        <f>IFERROR(VLOOKUP($A697,原始数据_收盘!$A$4:$G$3460,3,0),"")</f>
        <v/>
      </c>
      <c r="D697" t="str">
        <f>IFERROR(VLOOKUP($A697,原始数据_收盘!$A$4:$G$3460,4,0),"")</f>
        <v/>
      </c>
      <c r="E697" t="str">
        <f>IFERROR(VLOOKUP($A697,原始数据_收盘!$A$4:$G$3460,5,0),"")</f>
        <v/>
      </c>
      <c r="F697" t="str">
        <f>IFERROR(VLOOKUP($A697,原始数据_收盘!$A$4:$G$3460,6,0),"")</f>
        <v/>
      </c>
      <c r="G697" t="str">
        <f>IFERROR(VLOOKUP($A697,原始数据_收盘!$A$4:$G$3460,7,0),"")</f>
        <v/>
      </c>
      <c r="H697">
        <f>IFERROR(VLOOKUP($A697,原始数据_利率互换_FR007_1年!$A$6:$C$4395,2,0),"")</f>
        <v>2.23</v>
      </c>
      <c r="I697">
        <f>IFERROR(VLOOKUP($A697,原始数据_利率互换_FR007_1年!$A$6:$C$4395,3,0),"")</f>
        <v>4</v>
      </c>
    </row>
    <row r="698" spans="1:9">
      <c r="A698" s="6">
        <v>40191</v>
      </c>
      <c r="B698" t="str">
        <f>IFERROR(VLOOKUP($A698,原始数据_收盘!$A$4:$G$3460,2,0),"")</f>
        <v/>
      </c>
      <c r="C698" t="str">
        <f>IFERROR(VLOOKUP($A698,原始数据_收盘!$A$4:$G$3460,3,0),"")</f>
        <v/>
      </c>
      <c r="D698" t="str">
        <f>IFERROR(VLOOKUP($A698,原始数据_收盘!$A$4:$G$3460,4,0),"")</f>
        <v/>
      </c>
      <c r="E698" t="str">
        <f>IFERROR(VLOOKUP($A698,原始数据_收盘!$A$4:$G$3460,5,0),"")</f>
        <v/>
      </c>
      <c r="F698" t="str">
        <f>IFERROR(VLOOKUP($A698,原始数据_收盘!$A$4:$G$3460,6,0),"")</f>
        <v/>
      </c>
      <c r="G698" t="str">
        <f>IFERROR(VLOOKUP($A698,原始数据_收盘!$A$4:$G$3460,7,0),"")</f>
        <v/>
      </c>
      <c r="H698">
        <f>IFERROR(VLOOKUP($A698,原始数据_利率互换_FR007_1年!$A$6:$C$4395,2,0),"")</f>
        <v>2.33</v>
      </c>
      <c r="I698">
        <f>IFERROR(VLOOKUP($A698,原始数据_利率互换_FR007_1年!$A$6:$C$4395,3,0),"")</f>
        <v>0</v>
      </c>
    </row>
    <row r="699" spans="1:9">
      <c r="A699" s="6">
        <v>40192</v>
      </c>
      <c r="B699" t="str">
        <f>IFERROR(VLOOKUP($A699,原始数据_收盘!$A$4:$G$3460,2,0),"")</f>
        <v/>
      </c>
      <c r="C699" t="str">
        <f>IFERROR(VLOOKUP($A699,原始数据_收盘!$A$4:$G$3460,3,0),"")</f>
        <v/>
      </c>
      <c r="D699" t="str">
        <f>IFERROR(VLOOKUP($A699,原始数据_收盘!$A$4:$G$3460,4,0),"")</f>
        <v/>
      </c>
      <c r="E699" t="str">
        <f>IFERROR(VLOOKUP($A699,原始数据_收盘!$A$4:$G$3460,5,0),"")</f>
        <v/>
      </c>
      <c r="F699" t="str">
        <f>IFERROR(VLOOKUP($A699,原始数据_收盘!$A$4:$G$3460,6,0),"")</f>
        <v/>
      </c>
      <c r="G699" t="str">
        <f>IFERROR(VLOOKUP($A699,原始数据_收盘!$A$4:$G$3460,7,0),"")</f>
        <v/>
      </c>
      <c r="H699">
        <f>IFERROR(VLOOKUP($A699,原始数据_利率互换_FR007_1年!$A$6:$C$4395,2,0),"")</f>
        <v>2.31</v>
      </c>
      <c r="I699">
        <f>IFERROR(VLOOKUP($A699,原始数据_利率互换_FR007_1年!$A$6:$C$4395,3,0),"")</f>
        <v>3.9</v>
      </c>
    </row>
    <row r="700" spans="1:9">
      <c r="A700" s="6">
        <v>40193</v>
      </c>
      <c r="B700" t="str">
        <f>IFERROR(VLOOKUP($A700,原始数据_收盘!$A$4:$G$3460,2,0),"")</f>
        <v/>
      </c>
      <c r="C700" t="str">
        <f>IFERROR(VLOOKUP($A700,原始数据_收盘!$A$4:$G$3460,3,0),"")</f>
        <v/>
      </c>
      <c r="D700" t="str">
        <f>IFERROR(VLOOKUP($A700,原始数据_收盘!$A$4:$G$3460,4,0),"")</f>
        <v/>
      </c>
      <c r="E700" t="str">
        <f>IFERROR(VLOOKUP($A700,原始数据_收盘!$A$4:$G$3460,5,0),"")</f>
        <v/>
      </c>
      <c r="F700" t="str">
        <f>IFERROR(VLOOKUP($A700,原始数据_收盘!$A$4:$G$3460,6,0),"")</f>
        <v/>
      </c>
      <c r="G700" t="str">
        <f>IFERROR(VLOOKUP($A700,原始数据_收盘!$A$4:$G$3460,7,0),"")</f>
        <v/>
      </c>
      <c r="H700">
        <f>IFERROR(VLOOKUP($A700,原始数据_利率互换_FR007_1年!$A$6:$C$4395,2,0),"")</f>
        <v>2.27</v>
      </c>
      <c r="I700">
        <f>IFERROR(VLOOKUP($A700,原始数据_利率互换_FR007_1年!$A$6:$C$4395,3,0),"")</f>
        <v>0</v>
      </c>
    </row>
    <row r="701" spans="1:9">
      <c r="A701" s="6">
        <v>40194</v>
      </c>
      <c r="B701" t="str">
        <f>IFERROR(VLOOKUP($A701,原始数据_收盘!$A$4:$G$3460,2,0),"")</f>
        <v/>
      </c>
      <c r="C701" t="str">
        <f>IFERROR(VLOOKUP($A701,原始数据_收盘!$A$4:$G$3460,3,0),"")</f>
        <v/>
      </c>
      <c r="D701" t="str">
        <f>IFERROR(VLOOKUP($A701,原始数据_收盘!$A$4:$G$3460,4,0),"")</f>
        <v/>
      </c>
      <c r="E701" t="str">
        <f>IFERROR(VLOOKUP($A701,原始数据_收盘!$A$4:$G$3460,5,0),"")</f>
        <v/>
      </c>
      <c r="F701" t="str">
        <f>IFERROR(VLOOKUP($A701,原始数据_收盘!$A$4:$G$3460,6,0),"")</f>
        <v/>
      </c>
      <c r="G701" t="str">
        <f>IFERROR(VLOOKUP($A701,原始数据_收盘!$A$4:$G$3460,7,0),"")</f>
        <v/>
      </c>
      <c r="H701" t="str">
        <f>IFERROR(VLOOKUP($A701,原始数据_利率互换_FR007_1年!$A$6:$C$4395,2,0),"")</f>
        <v/>
      </c>
      <c r="I701" t="str">
        <f>IFERROR(VLOOKUP($A701,原始数据_利率互换_FR007_1年!$A$6:$C$4395,3,0),"")</f>
        <v/>
      </c>
    </row>
    <row r="702" spans="1:9">
      <c r="A702" s="6">
        <v>40195</v>
      </c>
      <c r="B702" t="str">
        <f>IFERROR(VLOOKUP($A702,原始数据_收盘!$A$4:$G$3460,2,0),"")</f>
        <v/>
      </c>
      <c r="C702" t="str">
        <f>IFERROR(VLOOKUP($A702,原始数据_收盘!$A$4:$G$3460,3,0),"")</f>
        <v/>
      </c>
      <c r="D702" t="str">
        <f>IFERROR(VLOOKUP($A702,原始数据_收盘!$A$4:$G$3460,4,0),"")</f>
        <v/>
      </c>
      <c r="E702" t="str">
        <f>IFERROR(VLOOKUP($A702,原始数据_收盘!$A$4:$G$3460,5,0),"")</f>
        <v/>
      </c>
      <c r="F702" t="str">
        <f>IFERROR(VLOOKUP($A702,原始数据_收盘!$A$4:$G$3460,6,0),"")</f>
        <v/>
      </c>
      <c r="G702" t="str">
        <f>IFERROR(VLOOKUP($A702,原始数据_收盘!$A$4:$G$3460,7,0),"")</f>
        <v/>
      </c>
      <c r="H702" t="str">
        <f>IFERROR(VLOOKUP($A702,原始数据_利率互换_FR007_1年!$A$6:$C$4395,2,0),"")</f>
        <v/>
      </c>
      <c r="I702" t="str">
        <f>IFERROR(VLOOKUP($A702,原始数据_利率互换_FR007_1年!$A$6:$C$4395,3,0),"")</f>
        <v/>
      </c>
    </row>
    <row r="703" spans="1:9">
      <c r="A703" s="6">
        <v>40196</v>
      </c>
      <c r="B703" t="str">
        <f>IFERROR(VLOOKUP($A703,原始数据_收盘!$A$4:$G$3460,2,0),"")</f>
        <v/>
      </c>
      <c r="C703" t="str">
        <f>IFERROR(VLOOKUP($A703,原始数据_收盘!$A$4:$G$3460,3,0),"")</f>
        <v/>
      </c>
      <c r="D703" t="str">
        <f>IFERROR(VLOOKUP($A703,原始数据_收盘!$A$4:$G$3460,4,0),"")</f>
        <v/>
      </c>
      <c r="E703" t="str">
        <f>IFERROR(VLOOKUP($A703,原始数据_收盘!$A$4:$G$3460,5,0),"")</f>
        <v/>
      </c>
      <c r="F703" t="str">
        <f>IFERROR(VLOOKUP($A703,原始数据_收盘!$A$4:$G$3460,6,0),"")</f>
        <v/>
      </c>
      <c r="G703" t="str">
        <f>IFERROR(VLOOKUP($A703,原始数据_收盘!$A$4:$G$3460,7,0),"")</f>
        <v/>
      </c>
      <c r="H703">
        <f>IFERROR(VLOOKUP($A703,原始数据_利率互换_FR007_1年!$A$6:$C$4395,2,0),"")</f>
        <v>2.26</v>
      </c>
      <c r="I703">
        <f>IFERROR(VLOOKUP($A703,原始数据_利率互换_FR007_1年!$A$6:$C$4395,3,0),"")</f>
        <v>0</v>
      </c>
    </row>
    <row r="704" spans="1:9">
      <c r="A704" s="6">
        <v>40197</v>
      </c>
      <c r="B704" t="str">
        <f>IFERROR(VLOOKUP($A704,原始数据_收盘!$A$4:$G$3460,2,0),"")</f>
        <v/>
      </c>
      <c r="C704" t="str">
        <f>IFERROR(VLOOKUP($A704,原始数据_收盘!$A$4:$G$3460,3,0),"")</f>
        <v/>
      </c>
      <c r="D704" t="str">
        <f>IFERROR(VLOOKUP($A704,原始数据_收盘!$A$4:$G$3460,4,0),"")</f>
        <v/>
      </c>
      <c r="E704" t="str">
        <f>IFERROR(VLOOKUP($A704,原始数据_收盘!$A$4:$G$3460,5,0),"")</f>
        <v/>
      </c>
      <c r="F704" t="str">
        <f>IFERROR(VLOOKUP($A704,原始数据_收盘!$A$4:$G$3460,6,0),"")</f>
        <v/>
      </c>
      <c r="G704" t="str">
        <f>IFERROR(VLOOKUP($A704,原始数据_收盘!$A$4:$G$3460,7,0),"")</f>
        <v/>
      </c>
      <c r="H704">
        <f>IFERROR(VLOOKUP($A704,原始数据_利率互换_FR007_1年!$A$6:$C$4395,2,0),"")</f>
        <v>2.29</v>
      </c>
      <c r="I704">
        <f>IFERROR(VLOOKUP($A704,原始数据_利率互换_FR007_1年!$A$6:$C$4395,3,0),"")</f>
        <v>3.99</v>
      </c>
    </row>
    <row r="705" spans="1:9">
      <c r="A705" s="6">
        <v>40198</v>
      </c>
      <c r="B705" t="str">
        <f>IFERROR(VLOOKUP($A705,原始数据_收盘!$A$4:$G$3460,2,0),"")</f>
        <v/>
      </c>
      <c r="C705" t="str">
        <f>IFERROR(VLOOKUP($A705,原始数据_收盘!$A$4:$G$3460,3,0),"")</f>
        <v/>
      </c>
      <c r="D705" t="str">
        <f>IFERROR(VLOOKUP($A705,原始数据_收盘!$A$4:$G$3460,4,0),"")</f>
        <v/>
      </c>
      <c r="E705" t="str">
        <f>IFERROR(VLOOKUP($A705,原始数据_收盘!$A$4:$G$3460,5,0),"")</f>
        <v/>
      </c>
      <c r="F705" t="str">
        <f>IFERROR(VLOOKUP($A705,原始数据_收盘!$A$4:$G$3460,6,0),"")</f>
        <v/>
      </c>
      <c r="G705" t="str">
        <f>IFERROR(VLOOKUP($A705,原始数据_收盘!$A$4:$G$3460,7,0),"")</f>
        <v/>
      </c>
      <c r="H705">
        <f>IFERROR(VLOOKUP($A705,原始数据_利率互换_FR007_1年!$A$6:$C$4395,2,0),"")</f>
        <v>2.28</v>
      </c>
      <c r="I705">
        <f>IFERROR(VLOOKUP($A705,原始数据_利率互换_FR007_1年!$A$6:$C$4395,3,0),"")</f>
        <v>0</v>
      </c>
    </row>
    <row r="706" spans="1:9">
      <c r="A706" s="6">
        <v>40199</v>
      </c>
      <c r="B706" t="str">
        <f>IFERROR(VLOOKUP($A706,原始数据_收盘!$A$4:$G$3460,2,0),"")</f>
        <v/>
      </c>
      <c r="C706" t="str">
        <f>IFERROR(VLOOKUP($A706,原始数据_收盘!$A$4:$G$3460,3,0),"")</f>
        <v/>
      </c>
      <c r="D706" t="str">
        <f>IFERROR(VLOOKUP($A706,原始数据_收盘!$A$4:$G$3460,4,0),"")</f>
        <v/>
      </c>
      <c r="E706" t="str">
        <f>IFERROR(VLOOKUP($A706,原始数据_收盘!$A$4:$G$3460,5,0),"")</f>
        <v/>
      </c>
      <c r="F706" t="str">
        <f>IFERROR(VLOOKUP($A706,原始数据_收盘!$A$4:$G$3460,6,0),"")</f>
        <v/>
      </c>
      <c r="G706" t="str">
        <f>IFERROR(VLOOKUP($A706,原始数据_收盘!$A$4:$G$3460,7,0),"")</f>
        <v/>
      </c>
      <c r="H706">
        <f>IFERROR(VLOOKUP($A706,原始数据_利率互换_FR007_1年!$A$6:$C$4395,2,0),"")</f>
        <v>2.3</v>
      </c>
      <c r="I706">
        <f>IFERROR(VLOOKUP($A706,原始数据_利率互换_FR007_1年!$A$6:$C$4395,3,0),"")</f>
        <v>3.93</v>
      </c>
    </row>
    <row r="707" spans="1:9">
      <c r="A707" s="6">
        <v>40200</v>
      </c>
      <c r="B707" t="str">
        <f>IFERROR(VLOOKUP($A707,原始数据_收盘!$A$4:$G$3460,2,0),"")</f>
        <v/>
      </c>
      <c r="C707" t="str">
        <f>IFERROR(VLOOKUP($A707,原始数据_收盘!$A$4:$G$3460,3,0),"")</f>
        <v/>
      </c>
      <c r="D707" t="str">
        <f>IFERROR(VLOOKUP($A707,原始数据_收盘!$A$4:$G$3460,4,0),"")</f>
        <v/>
      </c>
      <c r="E707" t="str">
        <f>IFERROR(VLOOKUP($A707,原始数据_收盘!$A$4:$G$3460,5,0),"")</f>
        <v/>
      </c>
      <c r="F707" t="str">
        <f>IFERROR(VLOOKUP($A707,原始数据_收盘!$A$4:$G$3460,6,0),"")</f>
        <v/>
      </c>
      <c r="G707" t="str">
        <f>IFERROR(VLOOKUP($A707,原始数据_收盘!$A$4:$G$3460,7,0),"")</f>
        <v/>
      </c>
      <c r="H707">
        <f>IFERROR(VLOOKUP($A707,原始数据_利率互换_FR007_1年!$A$6:$C$4395,2,0),"")</f>
        <v>2.29</v>
      </c>
      <c r="I707">
        <f>IFERROR(VLOOKUP($A707,原始数据_利率互换_FR007_1年!$A$6:$C$4395,3,0),"")</f>
        <v>0</v>
      </c>
    </row>
    <row r="708" spans="1:9">
      <c r="A708" s="6">
        <v>40201</v>
      </c>
      <c r="B708" t="str">
        <f>IFERROR(VLOOKUP($A708,原始数据_收盘!$A$4:$G$3460,2,0),"")</f>
        <v/>
      </c>
      <c r="C708" t="str">
        <f>IFERROR(VLOOKUP($A708,原始数据_收盘!$A$4:$G$3460,3,0),"")</f>
        <v/>
      </c>
      <c r="D708" t="str">
        <f>IFERROR(VLOOKUP($A708,原始数据_收盘!$A$4:$G$3460,4,0),"")</f>
        <v/>
      </c>
      <c r="E708" t="str">
        <f>IFERROR(VLOOKUP($A708,原始数据_收盘!$A$4:$G$3460,5,0),"")</f>
        <v/>
      </c>
      <c r="F708" t="str">
        <f>IFERROR(VLOOKUP($A708,原始数据_收盘!$A$4:$G$3460,6,0),"")</f>
        <v/>
      </c>
      <c r="G708" t="str">
        <f>IFERROR(VLOOKUP($A708,原始数据_收盘!$A$4:$G$3460,7,0),"")</f>
        <v/>
      </c>
      <c r="H708" t="str">
        <f>IFERROR(VLOOKUP($A708,原始数据_利率互换_FR007_1年!$A$6:$C$4395,2,0),"")</f>
        <v/>
      </c>
      <c r="I708" t="str">
        <f>IFERROR(VLOOKUP($A708,原始数据_利率互换_FR007_1年!$A$6:$C$4395,3,0),"")</f>
        <v/>
      </c>
    </row>
    <row r="709" spans="1:9">
      <c r="A709" s="6">
        <v>40202</v>
      </c>
      <c r="B709" t="str">
        <f>IFERROR(VLOOKUP($A709,原始数据_收盘!$A$4:$G$3460,2,0),"")</f>
        <v/>
      </c>
      <c r="C709" t="str">
        <f>IFERROR(VLOOKUP($A709,原始数据_收盘!$A$4:$G$3460,3,0),"")</f>
        <v/>
      </c>
      <c r="D709" t="str">
        <f>IFERROR(VLOOKUP($A709,原始数据_收盘!$A$4:$G$3460,4,0),"")</f>
        <v/>
      </c>
      <c r="E709" t="str">
        <f>IFERROR(VLOOKUP($A709,原始数据_收盘!$A$4:$G$3460,5,0),"")</f>
        <v/>
      </c>
      <c r="F709" t="str">
        <f>IFERROR(VLOOKUP($A709,原始数据_收盘!$A$4:$G$3460,6,0),"")</f>
        <v/>
      </c>
      <c r="G709" t="str">
        <f>IFERROR(VLOOKUP($A709,原始数据_收盘!$A$4:$G$3460,7,0),"")</f>
        <v/>
      </c>
      <c r="H709" t="str">
        <f>IFERROR(VLOOKUP($A709,原始数据_利率互换_FR007_1年!$A$6:$C$4395,2,0),"")</f>
        <v/>
      </c>
      <c r="I709" t="str">
        <f>IFERROR(VLOOKUP($A709,原始数据_利率互换_FR007_1年!$A$6:$C$4395,3,0),"")</f>
        <v/>
      </c>
    </row>
    <row r="710" spans="1:9">
      <c r="A710" s="6">
        <v>40203</v>
      </c>
      <c r="B710" t="str">
        <f>IFERROR(VLOOKUP($A710,原始数据_收盘!$A$4:$G$3460,2,0),"")</f>
        <v/>
      </c>
      <c r="C710" t="str">
        <f>IFERROR(VLOOKUP($A710,原始数据_收盘!$A$4:$G$3460,3,0),"")</f>
        <v/>
      </c>
      <c r="D710" t="str">
        <f>IFERROR(VLOOKUP($A710,原始数据_收盘!$A$4:$G$3460,4,0),"")</f>
        <v/>
      </c>
      <c r="E710" t="str">
        <f>IFERROR(VLOOKUP($A710,原始数据_收盘!$A$4:$G$3460,5,0),"")</f>
        <v/>
      </c>
      <c r="F710" t="str">
        <f>IFERROR(VLOOKUP($A710,原始数据_收盘!$A$4:$G$3460,6,0),"")</f>
        <v/>
      </c>
      <c r="G710" t="str">
        <f>IFERROR(VLOOKUP($A710,原始数据_收盘!$A$4:$G$3460,7,0),"")</f>
        <v/>
      </c>
      <c r="H710">
        <f>IFERROR(VLOOKUP($A710,原始数据_利率互换_FR007_1年!$A$6:$C$4395,2,0),"")</f>
        <v>2.26</v>
      </c>
      <c r="I710">
        <f>IFERROR(VLOOKUP($A710,原始数据_利率互换_FR007_1年!$A$6:$C$4395,3,0),"")</f>
        <v>3.9</v>
      </c>
    </row>
    <row r="711" spans="1:9">
      <c r="A711" s="6">
        <v>40204</v>
      </c>
      <c r="B711" t="str">
        <f>IFERROR(VLOOKUP($A711,原始数据_收盘!$A$4:$G$3460,2,0),"")</f>
        <v/>
      </c>
      <c r="C711" t="str">
        <f>IFERROR(VLOOKUP($A711,原始数据_收盘!$A$4:$G$3460,3,0),"")</f>
        <v/>
      </c>
      <c r="D711" t="str">
        <f>IFERROR(VLOOKUP($A711,原始数据_收盘!$A$4:$G$3460,4,0),"")</f>
        <v/>
      </c>
      <c r="E711" t="str">
        <f>IFERROR(VLOOKUP($A711,原始数据_收盘!$A$4:$G$3460,5,0),"")</f>
        <v/>
      </c>
      <c r="F711" t="str">
        <f>IFERROR(VLOOKUP($A711,原始数据_收盘!$A$4:$G$3460,6,0),"")</f>
        <v/>
      </c>
      <c r="G711" t="str">
        <f>IFERROR(VLOOKUP($A711,原始数据_收盘!$A$4:$G$3460,7,0),"")</f>
        <v/>
      </c>
      <c r="H711">
        <f>IFERROR(VLOOKUP($A711,原始数据_利率互换_FR007_1年!$A$6:$C$4395,2,0),"")</f>
        <v>2.24</v>
      </c>
      <c r="I711">
        <f>IFERROR(VLOOKUP($A711,原始数据_利率互换_FR007_1年!$A$6:$C$4395,3,0),"")</f>
        <v>3.87</v>
      </c>
    </row>
    <row r="712" spans="1:9">
      <c r="A712" s="6">
        <v>40205</v>
      </c>
      <c r="B712" t="str">
        <f>IFERROR(VLOOKUP($A712,原始数据_收盘!$A$4:$G$3460,2,0),"")</f>
        <v/>
      </c>
      <c r="C712" t="str">
        <f>IFERROR(VLOOKUP($A712,原始数据_收盘!$A$4:$G$3460,3,0),"")</f>
        <v/>
      </c>
      <c r="D712" t="str">
        <f>IFERROR(VLOOKUP($A712,原始数据_收盘!$A$4:$G$3460,4,0),"")</f>
        <v/>
      </c>
      <c r="E712" t="str">
        <f>IFERROR(VLOOKUP($A712,原始数据_收盘!$A$4:$G$3460,5,0),"")</f>
        <v/>
      </c>
      <c r="F712" t="str">
        <f>IFERROR(VLOOKUP($A712,原始数据_收盘!$A$4:$G$3460,6,0),"")</f>
        <v/>
      </c>
      <c r="G712" t="str">
        <f>IFERROR(VLOOKUP($A712,原始数据_收盘!$A$4:$G$3460,7,0),"")</f>
        <v/>
      </c>
      <c r="H712">
        <f>IFERROR(VLOOKUP($A712,原始数据_利率互换_FR007_1年!$A$6:$C$4395,2,0),"")</f>
        <v>2.25</v>
      </c>
      <c r="I712">
        <f>IFERROR(VLOOKUP($A712,原始数据_利率互换_FR007_1年!$A$6:$C$4395,3,0),"")</f>
        <v>3.86</v>
      </c>
    </row>
    <row r="713" spans="1:9">
      <c r="A713" s="6">
        <v>40206</v>
      </c>
      <c r="B713" t="str">
        <f>IFERROR(VLOOKUP($A713,原始数据_收盘!$A$4:$G$3460,2,0),"")</f>
        <v/>
      </c>
      <c r="C713" t="str">
        <f>IFERROR(VLOOKUP($A713,原始数据_收盘!$A$4:$G$3460,3,0),"")</f>
        <v/>
      </c>
      <c r="D713" t="str">
        <f>IFERROR(VLOOKUP($A713,原始数据_收盘!$A$4:$G$3460,4,0),"")</f>
        <v/>
      </c>
      <c r="E713" t="str">
        <f>IFERROR(VLOOKUP($A713,原始数据_收盘!$A$4:$G$3460,5,0),"")</f>
        <v/>
      </c>
      <c r="F713" t="str">
        <f>IFERROR(VLOOKUP($A713,原始数据_收盘!$A$4:$G$3460,6,0),"")</f>
        <v/>
      </c>
      <c r="G713" t="str">
        <f>IFERROR(VLOOKUP($A713,原始数据_收盘!$A$4:$G$3460,7,0),"")</f>
        <v/>
      </c>
      <c r="H713">
        <f>IFERROR(VLOOKUP($A713,原始数据_利率互换_FR007_1年!$A$6:$C$4395,2,0),"")</f>
        <v>2.29</v>
      </c>
      <c r="I713">
        <f>IFERROR(VLOOKUP($A713,原始数据_利率互换_FR007_1年!$A$6:$C$4395,3,0),"")</f>
        <v>3.87</v>
      </c>
    </row>
    <row r="714" spans="1:9">
      <c r="A714" s="6">
        <v>40207</v>
      </c>
      <c r="B714" t="str">
        <f>IFERROR(VLOOKUP($A714,原始数据_收盘!$A$4:$G$3460,2,0),"")</f>
        <v/>
      </c>
      <c r="C714" t="str">
        <f>IFERROR(VLOOKUP($A714,原始数据_收盘!$A$4:$G$3460,3,0),"")</f>
        <v/>
      </c>
      <c r="D714" t="str">
        <f>IFERROR(VLOOKUP($A714,原始数据_收盘!$A$4:$G$3460,4,0),"")</f>
        <v/>
      </c>
      <c r="E714" t="str">
        <f>IFERROR(VLOOKUP($A714,原始数据_收盘!$A$4:$G$3460,5,0),"")</f>
        <v/>
      </c>
      <c r="F714" t="str">
        <f>IFERROR(VLOOKUP($A714,原始数据_收盘!$A$4:$G$3460,6,0),"")</f>
        <v/>
      </c>
      <c r="G714" t="str">
        <f>IFERROR(VLOOKUP($A714,原始数据_收盘!$A$4:$G$3460,7,0),"")</f>
        <v/>
      </c>
      <c r="H714">
        <f>IFERROR(VLOOKUP($A714,原始数据_利率互换_FR007_1年!$A$6:$C$4395,2,0),"")</f>
        <v>2.27</v>
      </c>
      <c r="I714">
        <f>IFERROR(VLOOKUP($A714,原始数据_利率互换_FR007_1年!$A$6:$C$4395,3,0),"")</f>
        <v>3.81</v>
      </c>
    </row>
    <row r="715" spans="1:9">
      <c r="A715" s="6">
        <v>40208</v>
      </c>
      <c r="B715" t="str">
        <f>IFERROR(VLOOKUP($A715,原始数据_收盘!$A$4:$G$3460,2,0),"")</f>
        <v/>
      </c>
      <c r="C715" t="str">
        <f>IFERROR(VLOOKUP($A715,原始数据_收盘!$A$4:$G$3460,3,0),"")</f>
        <v/>
      </c>
      <c r="D715" t="str">
        <f>IFERROR(VLOOKUP($A715,原始数据_收盘!$A$4:$G$3460,4,0),"")</f>
        <v/>
      </c>
      <c r="E715" t="str">
        <f>IFERROR(VLOOKUP($A715,原始数据_收盘!$A$4:$G$3460,5,0),"")</f>
        <v/>
      </c>
      <c r="F715" t="str">
        <f>IFERROR(VLOOKUP($A715,原始数据_收盘!$A$4:$G$3460,6,0),"")</f>
        <v/>
      </c>
      <c r="G715" t="str">
        <f>IFERROR(VLOOKUP($A715,原始数据_收盘!$A$4:$G$3460,7,0),"")</f>
        <v/>
      </c>
      <c r="H715" t="str">
        <f>IFERROR(VLOOKUP($A715,原始数据_利率互换_FR007_1年!$A$6:$C$4395,2,0),"")</f>
        <v/>
      </c>
      <c r="I715" t="str">
        <f>IFERROR(VLOOKUP($A715,原始数据_利率互换_FR007_1年!$A$6:$C$4395,3,0),"")</f>
        <v/>
      </c>
    </row>
    <row r="716" spans="1:9">
      <c r="A716" s="6">
        <v>40209</v>
      </c>
      <c r="B716" t="str">
        <f>IFERROR(VLOOKUP($A716,原始数据_收盘!$A$4:$G$3460,2,0),"")</f>
        <v/>
      </c>
      <c r="C716" t="str">
        <f>IFERROR(VLOOKUP($A716,原始数据_收盘!$A$4:$G$3460,3,0),"")</f>
        <v/>
      </c>
      <c r="D716" t="str">
        <f>IFERROR(VLOOKUP($A716,原始数据_收盘!$A$4:$G$3460,4,0),"")</f>
        <v/>
      </c>
      <c r="E716" t="str">
        <f>IFERROR(VLOOKUP($A716,原始数据_收盘!$A$4:$G$3460,5,0),"")</f>
        <v/>
      </c>
      <c r="F716" t="str">
        <f>IFERROR(VLOOKUP($A716,原始数据_收盘!$A$4:$G$3460,6,0),"")</f>
        <v/>
      </c>
      <c r="G716" t="str">
        <f>IFERROR(VLOOKUP($A716,原始数据_收盘!$A$4:$G$3460,7,0),"")</f>
        <v/>
      </c>
      <c r="H716" t="str">
        <f>IFERROR(VLOOKUP($A716,原始数据_利率互换_FR007_1年!$A$6:$C$4395,2,0),"")</f>
        <v/>
      </c>
      <c r="I716" t="str">
        <f>IFERROR(VLOOKUP($A716,原始数据_利率互换_FR007_1年!$A$6:$C$4395,3,0),"")</f>
        <v/>
      </c>
    </row>
    <row r="717" spans="1:9">
      <c r="A717" s="6">
        <v>40210</v>
      </c>
      <c r="B717" t="str">
        <f>IFERROR(VLOOKUP($A717,原始数据_收盘!$A$4:$G$3460,2,0),"")</f>
        <v/>
      </c>
      <c r="C717" t="str">
        <f>IFERROR(VLOOKUP($A717,原始数据_收盘!$A$4:$G$3460,3,0),"")</f>
        <v/>
      </c>
      <c r="D717" t="str">
        <f>IFERROR(VLOOKUP($A717,原始数据_收盘!$A$4:$G$3460,4,0),"")</f>
        <v/>
      </c>
      <c r="E717" t="str">
        <f>IFERROR(VLOOKUP($A717,原始数据_收盘!$A$4:$G$3460,5,0),"")</f>
        <v/>
      </c>
      <c r="F717" t="str">
        <f>IFERROR(VLOOKUP($A717,原始数据_收盘!$A$4:$G$3460,6,0),"")</f>
        <v/>
      </c>
      <c r="G717" t="str">
        <f>IFERROR(VLOOKUP($A717,原始数据_收盘!$A$4:$G$3460,7,0),"")</f>
        <v/>
      </c>
      <c r="H717">
        <f>IFERROR(VLOOKUP($A717,原始数据_利率互换_FR007_1年!$A$6:$C$4395,2,0),"")</f>
        <v>0</v>
      </c>
      <c r="I717">
        <f>IFERROR(VLOOKUP($A717,原始数据_利率互换_FR007_1年!$A$6:$C$4395,3,0),"")</f>
        <v>3.83</v>
      </c>
    </row>
    <row r="718" spans="1:9">
      <c r="A718" s="6">
        <v>40211</v>
      </c>
      <c r="B718" t="str">
        <f>IFERROR(VLOOKUP($A718,原始数据_收盘!$A$4:$G$3460,2,0),"")</f>
        <v/>
      </c>
      <c r="C718" t="str">
        <f>IFERROR(VLOOKUP($A718,原始数据_收盘!$A$4:$G$3460,3,0),"")</f>
        <v/>
      </c>
      <c r="D718" t="str">
        <f>IFERROR(VLOOKUP($A718,原始数据_收盘!$A$4:$G$3460,4,0),"")</f>
        <v/>
      </c>
      <c r="E718" t="str">
        <f>IFERROR(VLOOKUP($A718,原始数据_收盘!$A$4:$G$3460,5,0),"")</f>
        <v/>
      </c>
      <c r="F718" t="str">
        <f>IFERROR(VLOOKUP($A718,原始数据_收盘!$A$4:$G$3460,6,0),"")</f>
        <v/>
      </c>
      <c r="G718" t="str">
        <f>IFERROR(VLOOKUP($A718,原始数据_收盘!$A$4:$G$3460,7,0),"")</f>
        <v/>
      </c>
      <c r="H718">
        <f>IFERROR(VLOOKUP($A718,原始数据_利率互换_FR007_1年!$A$6:$C$4395,2,0),"")</f>
        <v>0</v>
      </c>
      <c r="I718">
        <f>IFERROR(VLOOKUP($A718,原始数据_利率互换_FR007_1年!$A$6:$C$4395,3,0),"")</f>
        <v>3.85</v>
      </c>
    </row>
    <row r="719" spans="1:9">
      <c r="A719" s="6">
        <v>40212</v>
      </c>
      <c r="B719" t="str">
        <f>IFERROR(VLOOKUP($A719,原始数据_收盘!$A$4:$G$3460,2,0),"")</f>
        <v/>
      </c>
      <c r="C719" t="str">
        <f>IFERROR(VLOOKUP($A719,原始数据_收盘!$A$4:$G$3460,3,0),"")</f>
        <v/>
      </c>
      <c r="D719" t="str">
        <f>IFERROR(VLOOKUP($A719,原始数据_收盘!$A$4:$G$3460,4,0),"")</f>
        <v/>
      </c>
      <c r="E719" t="str">
        <f>IFERROR(VLOOKUP($A719,原始数据_收盘!$A$4:$G$3460,5,0),"")</f>
        <v/>
      </c>
      <c r="F719" t="str">
        <f>IFERROR(VLOOKUP($A719,原始数据_收盘!$A$4:$G$3460,6,0),"")</f>
        <v/>
      </c>
      <c r="G719" t="str">
        <f>IFERROR(VLOOKUP($A719,原始数据_收盘!$A$4:$G$3460,7,0),"")</f>
        <v/>
      </c>
      <c r="H719">
        <f>IFERROR(VLOOKUP($A719,原始数据_利率互换_FR007_1年!$A$6:$C$4395,2,0),"")</f>
        <v>2.3</v>
      </c>
      <c r="I719">
        <f>IFERROR(VLOOKUP($A719,原始数据_利率互换_FR007_1年!$A$6:$C$4395,3,0),"")</f>
        <v>3.9</v>
      </c>
    </row>
    <row r="720" spans="1:9">
      <c r="A720" s="6">
        <v>40213</v>
      </c>
      <c r="B720" t="str">
        <f>IFERROR(VLOOKUP($A720,原始数据_收盘!$A$4:$G$3460,2,0),"")</f>
        <v/>
      </c>
      <c r="C720" t="str">
        <f>IFERROR(VLOOKUP($A720,原始数据_收盘!$A$4:$G$3460,3,0),"")</f>
        <v/>
      </c>
      <c r="D720" t="str">
        <f>IFERROR(VLOOKUP($A720,原始数据_收盘!$A$4:$G$3460,4,0),"")</f>
        <v/>
      </c>
      <c r="E720" t="str">
        <f>IFERROR(VLOOKUP($A720,原始数据_收盘!$A$4:$G$3460,5,0),"")</f>
        <v/>
      </c>
      <c r="F720" t="str">
        <f>IFERROR(VLOOKUP($A720,原始数据_收盘!$A$4:$G$3460,6,0),"")</f>
        <v/>
      </c>
      <c r="G720" t="str">
        <f>IFERROR(VLOOKUP($A720,原始数据_收盘!$A$4:$G$3460,7,0),"")</f>
        <v/>
      </c>
      <c r="H720">
        <f>IFERROR(VLOOKUP($A720,原始数据_利率互换_FR007_1年!$A$6:$C$4395,2,0),"")</f>
        <v>0</v>
      </c>
      <c r="I720">
        <f>IFERROR(VLOOKUP($A720,原始数据_利率互换_FR007_1年!$A$6:$C$4395,3,0),"")</f>
        <v>3.88</v>
      </c>
    </row>
    <row r="721" spans="1:9">
      <c r="A721" s="6">
        <v>40214</v>
      </c>
      <c r="B721" t="str">
        <f>IFERROR(VLOOKUP($A721,原始数据_收盘!$A$4:$G$3460,2,0),"")</f>
        <v/>
      </c>
      <c r="C721" t="str">
        <f>IFERROR(VLOOKUP($A721,原始数据_收盘!$A$4:$G$3460,3,0),"")</f>
        <v/>
      </c>
      <c r="D721" t="str">
        <f>IFERROR(VLOOKUP($A721,原始数据_收盘!$A$4:$G$3460,4,0),"")</f>
        <v/>
      </c>
      <c r="E721" t="str">
        <f>IFERROR(VLOOKUP($A721,原始数据_收盘!$A$4:$G$3460,5,0),"")</f>
        <v/>
      </c>
      <c r="F721" t="str">
        <f>IFERROR(VLOOKUP($A721,原始数据_收盘!$A$4:$G$3460,6,0),"")</f>
        <v/>
      </c>
      <c r="G721" t="str">
        <f>IFERROR(VLOOKUP($A721,原始数据_收盘!$A$4:$G$3460,7,0),"")</f>
        <v/>
      </c>
      <c r="H721">
        <f>IFERROR(VLOOKUP($A721,原始数据_利率互换_FR007_1年!$A$6:$C$4395,2,0),"")</f>
        <v>2.29</v>
      </c>
      <c r="I721">
        <f>IFERROR(VLOOKUP($A721,原始数据_利率互换_FR007_1年!$A$6:$C$4395,3,0),"")</f>
        <v>3.83</v>
      </c>
    </row>
    <row r="722" spans="1:9">
      <c r="A722" s="6">
        <v>40215</v>
      </c>
      <c r="B722" t="str">
        <f>IFERROR(VLOOKUP($A722,原始数据_收盘!$A$4:$G$3460,2,0),"")</f>
        <v/>
      </c>
      <c r="C722" t="str">
        <f>IFERROR(VLOOKUP($A722,原始数据_收盘!$A$4:$G$3460,3,0),"")</f>
        <v/>
      </c>
      <c r="D722" t="str">
        <f>IFERROR(VLOOKUP($A722,原始数据_收盘!$A$4:$G$3460,4,0),"")</f>
        <v/>
      </c>
      <c r="E722" t="str">
        <f>IFERROR(VLOOKUP($A722,原始数据_收盘!$A$4:$G$3460,5,0),"")</f>
        <v/>
      </c>
      <c r="F722" t="str">
        <f>IFERROR(VLOOKUP($A722,原始数据_收盘!$A$4:$G$3460,6,0),"")</f>
        <v/>
      </c>
      <c r="G722" t="str">
        <f>IFERROR(VLOOKUP($A722,原始数据_收盘!$A$4:$G$3460,7,0),"")</f>
        <v/>
      </c>
      <c r="H722" t="str">
        <f>IFERROR(VLOOKUP($A722,原始数据_利率互换_FR007_1年!$A$6:$C$4395,2,0),"")</f>
        <v/>
      </c>
      <c r="I722" t="str">
        <f>IFERROR(VLOOKUP($A722,原始数据_利率互换_FR007_1年!$A$6:$C$4395,3,0),"")</f>
        <v/>
      </c>
    </row>
    <row r="723" spans="1:9">
      <c r="A723" s="6">
        <v>40216</v>
      </c>
      <c r="B723" t="str">
        <f>IFERROR(VLOOKUP($A723,原始数据_收盘!$A$4:$G$3460,2,0),"")</f>
        <v/>
      </c>
      <c r="C723" t="str">
        <f>IFERROR(VLOOKUP($A723,原始数据_收盘!$A$4:$G$3460,3,0),"")</f>
        <v/>
      </c>
      <c r="D723" t="str">
        <f>IFERROR(VLOOKUP($A723,原始数据_收盘!$A$4:$G$3460,4,0),"")</f>
        <v/>
      </c>
      <c r="E723" t="str">
        <f>IFERROR(VLOOKUP($A723,原始数据_收盘!$A$4:$G$3460,5,0),"")</f>
        <v/>
      </c>
      <c r="F723" t="str">
        <f>IFERROR(VLOOKUP($A723,原始数据_收盘!$A$4:$G$3460,6,0),"")</f>
        <v/>
      </c>
      <c r="G723" t="str">
        <f>IFERROR(VLOOKUP($A723,原始数据_收盘!$A$4:$G$3460,7,0),"")</f>
        <v/>
      </c>
      <c r="H723" t="str">
        <f>IFERROR(VLOOKUP($A723,原始数据_利率互换_FR007_1年!$A$6:$C$4395,2,0),"")</f>
        <v/>
      </c>
      <c r="I723" t="str">
        <f>IFERROR(VLOOKUP($A723,原始数据_利率互换_FR007_1年!$A$6:$C$4395,3,0),"")</f>
        <v/>
      </c>
    </row>
    <row r="724" spans="1:9">
      <c r="A724" s="6">
        <v>40217</v>
      </c>
      <c r="B724" t="str">
        <f>IFERROR(VLOOKUP($A724,原始数据_收盘!$A$4:$G$3460,2,0),"")</f>
        <v/>
      </c>
      <c r="C724" t="str">
        <f>IFERROR(VLOOKUP($A724,原始数据_收盘!$A$4:$G$3460,3,0),"")</f>
        <v/>
      </c>
      <c r="D724" t="str">
        <f>IFERROR(VLOOKUP($A724,原始数据_收盘!$A$4:$G$3460,4,0),"")</f>
        <v/>
      </c>
      <c r="E724" t="str">
        <f>IFERROR(VLOOKUP($A724,原始数据_收盘!$A$4:$G$3460,5,0),"")</f>
        <v/>
      </c>
      <c r="F724" t="str">
        <f>IFERROR(VLOOKUP($A724,原始数据_收盘!$A$4:$G$3460,6,0),"")</f>
        <v/>
      </c>
      <c r="G724" t="str">
        <f>IFERROR(VLOOKUP($A724,原始数据_收盘!$A$4:$G$3460,7,0),"")</f>
        <v/>
      </c>
      <c r="H724">
        <f>IFERROR(VLOOKUP($A724,原始数据_利率互换_FR007_1年!$A$6:$C$4395,2,0),"")</f>
        <v>0</v>
      </c>
      <c r="I724">
        <f>IFERROR(VLOOKUP($A724,原始数据_利率互换_FR007_1年!$A$6:$C$4395,3,0),"")</f>
        <v>3.81</v>
      </c>
    </row>
    <row r="725" spans="1:9">
      <c r="A725" s="6">
        <v>40218</v>
      </c>
      <c r="B725" t="str">
        <f>IFERROR(VLOOKUP($A725,原始数据_收盘!$A$4:$G$3460,2,0),"")</f>
        <v/>
      </c>
      <c r="C725" t="str">
        <f>IFERROR(VLOOKUP($A725,原始数据_收盘!$A$4:$G$3460,3,0),"")</f>
        <v/>
      </c>
      <c r="D725" t="str">
        <f>IFERROR(VLOOKUP($A725,原始数据_收盘!$A$4:$G$3460,4,0),"")</f>
        <v/>
      </c>
      <c r="E725" t="str">
        <f>IFERROR(VLOOKUP($A725,原始数据_收盘!$A$4:$G$3460,5,0),"")</f>
        <v/>
      </c>
      <c r="F725" t="str">
        <f>IFERROR(VLOOKUP($A725,原始数据_收盘!$A$4:$G$3460,6,0),"")</f>
        <v/>
      </c>
      <c r="G725" t="str">
        <f>IFERROR(VLOOKUP($A725,原始数据_收盘!$A$4:$G$3460,7,0),"")</f>
        <v/>
      </c>
      <c r="H725">
        <f>IFERROR(VLOOKUP($A725,原始数据_利率互换_FR007_1年!$A$6:$C$4395,2,0),"")</f>
        <v>2.3</v>
      </c>
      <c r="I725">
        <f>IFERROR(VLOOKUP($A725,原始数据_利率互换_FR007_1年!$A$6:$C$4395,3,0),"")</f>
        <v>3.83</v>
      </c>
    </row>
    <row r="726" spans="1:9">
      <c r="A726" s="6">
        <v>40219</v>
      </c>
      <c r="B726" t="str">
        <f>IFERROR(VLOOKUP($A726,原始数据_收盘!$A$4:$G$3460,2,0),"")</f>
        <v/>
      </c>
      <c r="C726" t="str">
        <f>IFERROR(VLOOKUP($A726,原始数据_收盘!$A$4:$G$3460,3,0),"")</f>
        <v/>
      </c>
      <c r="D726" t="str">
        <f>IFERROR(VLOOKUP($A726,原始数据_收盘!$A$4:$G$3460,4,0),"")</f>
        <v/>
      </c>
      <c r="E726" t="str">
        <f>IFERROR(VLOOKUP($A726,原始数据_收盘!$A$4:$G$3460,5,0),"")</f>
        <v/>
      </c>
      <c r="F726" t="str">
        <f>IFERROR(VLOOKUP($A726,原始数据_收盘!$A$4:$G$3460,6,0),"")</f>
        <v/>
      </c>
      <c r="G726" t="str">
        <f>IFERROR(VLOOKUP($A726,原始数据_收盘!$A$4:$G$3460,7,0),"")</f>
        <v/>
      </c>
      <c r="H726">
        <f>IFERROR(VLOOKUP($A726,原始数据_利率互换_FR007_1年!$A$6:$C$4395,2,0),"")</f>
        <v>2.32</v>
      </c>
      <c r="I726">
        <f>IFERROR(VLOOKUP($A726,原始数据_利率互换_FR007_1年!$A$6:$C$4395,3,0),"")</f>
        <v>3.82</v>
      </c>
    </row>
    <row r="727" spans="1:9">
      <c r="A727" s="6">
        <v>40220</v>
      </c>
      <c r="B727" t="str">
        <f>IFERROR(VLOOKUP($A727,原始数据_收盘!$A$4:$G$3460,2,0),"")</f>
        <v/>
      </c>
      <c r="C727" t="str">
        <f>IFERROR(VLOOKUP($A727,原始数据_收盘!$A$4:$G$3460,3,0),"")</f>
        <v/>
      </c>
      <c r="D727" t="str">
        <f>IFERROR(VLOOKUP($A727,原始数据_收盘!$A$4:$G$3460,4,0),"")</f>
        <v/>
      </c>
      <c r="E727" t="str">
        <f>IFERROR(VLOOKUP($A727,原始数据_收盘!$A$4:$G$3460,5,0),"")</f>
        <v/>
      </c>
      <c r="F727" t="str">
        <f>IFERROR(VLOOKUP($A727,原始数据_收盘!$A$4:$G$3460,6,0),"")</f>
        <v/>
      </c>
      <c r="G727" t="str">
        <f>IFERROR(VLOOKUP($A727,原始数据_收盘!$A$4:$G$3460,7,0),"")</f>
        <v/>
      </c>
      <c r="H727">
        <f>IFERROR(VLOOKUP($A727,原始数据_利率互换_FR007_1年!$A$6:$C$4395,2,0),"")</f>
        <v>2.32</v>
      </c>
      <c r="I727">
        <f>IFERROR(VLOOKUP($A727,原始数据_利率互换_FR007_1年!$A$6:$C$4395,3,0),"")</f>
        <v>0</v>
      </c>
    </row>
    <row r="728" spans="1:9">
      <c r="A728" s="6">
        <v>40221</v>
      </c>
      <c r="B728" t="str">
        <f>IFERROR(VLOOKUP($A728,原始数据_收盘!$A$4:$G$3460,2,0),"")</f>
        <v/>
      </c>
      <c r="C728" t="str">
        <f>IFERROR(VLOOKUP($A728,原始数据_收盘!$A$4:$G$3460,3,0),"")</f>
        <v/>
      </c>
      <c r="D728" t="str">
        <f>IFERROR(VLOOKUP($A728,原始数据_收盘!$A$4:$G$3460,4,0),"")</f>
        <v/>
      </c>
      <c r="E728" t="str">
        <f>IFERROR(VLOOKUP($A728,原始数据_收盘!$A$4:$G$3460,5,0),"")</f>
        <v/>
      </c>
      <c r="F728" t="str">
        <f>IFERROR(VLOOKUP($A728,原始数据_收盘!$A$4:$G$3460,6,0),"")</f>
        <v/>
      </c>
      <c r="G728" t="str">
        <f>IFERROR(VLOOKUP($A728,原始数据_收盘!$A$4:$G$3460,7,0),"")</f>
        <v/>
      </c>
      <c r="H728" t="str">
        <f>IFERROR(VLOOKUP($A728,原始数据_利率互换_FR007_1年!$A$6:$C$4395,2,0),"")</f>
        <v/>
      </c>
      <c r="I728" t="str">
        <f>IFERROR(VLOOKUP($A728,原始数据_利率互换_FR007_1年!$A$6:$C$4395,3,0),"")</f>
        <v/>
      </c>
    </row>
    <row r="729" spans="1:9">
      <c r="A729" s="6">
        <v>40222</v>
      </c>
      <c r="B729" t="str">
        <f>IFERROR(VLOOKUP($A729,原始数据_收盘!$A$4:$G$3460,2,0),"")</f>
        <v/>
      </c>
      <c r="C729" t="str">
        <f>IFERROR(VLOOKUP($A729,原始数据_收盘!$A$4:$G$3460,3,0),"")</f>
        <v/>
      </c>
      <c r="D729" t="str">
        <f>IFERROR(VLOOKUP($A729,原始数据_收盘!$A$4:$G$3460,4,0),"")</f>
        <v/>
      </c>
      <c r="E729" t="str">
        <f>IFERROR(VLOOKUP($A729,原始数据_收盘!$A$4:$G$3460,5,0),"")</f>
        <v/>
      </c>
      <c r="F729" t="str">
        <f>IFERROR(VLOOKUP($A729,原始数据_收盘!$A$4:$G$3460,6,0),"")</f>
        <v/>
      </c>
      <c r="G729" t="str">
        <f>IFERROR(VLOOKUP($A729,原始数据_收盘!$A$4:$G$3460,7,0),"")</f>
        <v/>
      </c>
      <c r="H729" t="str">
        <f>IFERROR(VLOOKUP($A729,原始数据_利率互换_FR007_1年!$A$6:$C$4395,2,0),"")</f>
        <v/>
      </c>
      <c r="I729" t="str">
        <f>IFERROR(VLOOKUP($A729,原始数据_利率互换_FR007_1年!$A$6:$C$4395,3,0),"")</f>
        <v/>
      </c>
    </row>
    <row r="730" spans="1:9">
      <c r="A730" s="6">
        <v>40223</v>
      </c>
      <c r="B730" t="str">
        <f>IFERROR(VLOOKUP($A730,原始数据_收盘!$A$4:$G$3460,2,0),"")</f>
        <v/>
      </c>
      <c r="C730" t="str">
        <f>IFERROR(VLOOKUP($A730,原始数据_收盘!$A$4:$G$3460,3,0),"")</f>
        <v/>
      </c>
      <c r="D730" t="str">
        <f>IFERROR(VLOOKUP($A730,原始数据_收盘!$A$4:$G$3460,4,0),"")</f>
        <v/>
      </c>
      <c r="E730" t="str">
        <f>IFERROR(VLOOKUP($A730,原始数据_收盘!$A$4:$G$3460,5,0),"")</f>
        <v/>
      </c>
      <c r="F730" t="str">
        <f>IFERROR(VLOOKUP($A730,原始数据_收盘!$A$4:$G$3460,6,0),"")</f>
        <v/>
      </c>
      <c r="G730" t="str">
        <f>IFERROR(VLOOKUP($A730,原始数据_收盘!$A$4:$G$3460,7,0),"")</f>
        <v/>
      </c>
      <c r="H730" t="str">
        <f>IFERROR(VLOOKUP($A730,原始数据_利率互换_FR007_1年!$A$6:$C$4395,2,0),"")</f>
        <v/>
      </c>
      <c r="I730" t="str">
        <f>IFERROR(VLOOKUP($A730,原始数据_利率互换_FR007_1年!$A$6:$C$4395,3,0),"")</f>
        <v/>
      </c>
    </row>
    <row r="731" spans="1:9">
      <c r="A731" s="6">
        <v>40224</v>
      </c>
      <c r="B731" t="str">
        <f>IFERROR(VLOOKUP($A731,原始数据_收盘!$A$4:$G$3460,2,0),"")</f>
        <v/>
      </c>
      <c r="C731" t="str">
        <f>IFERROR(VLOOKUP($A731,原始数据_收盘!$A$4:$G$3460,3,0),"")</f>
        <v/>
      </c>
      <c r="D731" t="str">
        <f>IFERROR(VLOOKUP($A731,原始数据_收盘!$A$4:$G$3460,4,0),"")</f>
        <v/>
      </c>
      <c r="E731" t="str">
        <f>IFERROR(VLOOKUP($A731,原始数据_收盘!$A$4:$G$3460,5,0),"")</f>
        <v/>
      </c>
      <c r="F731" t="str">
        <f>IFERROR(VLOOKUP($A731,原始数据_收盘!$A$4:$G$3460,6,0),"")</f>
        <v/>
      </c>
      <c r="G731" t="str">
        <f>IFERROR(VLOOKUP($A731,原始数据_收盘!$A$4:$G$3460,7,0),"")</f>
        <v/>
      </c>
      <c r="H731" t="str">
        <f>IFERROR(VLOOKUP($A731,原始数据_利率互换_FR007_1年!$A$6:$C$4395,2,0),"")</f>
        <v/>
      </c>
      <c r="I731" t="str">
        <f>IFERROR(VLOOKUP($A731,原始数据_利率互换_FR007_1年!$A$6:$C$4395,3,0),"")</f>
        <v/>
      </c>
    </row>
    <row r="732" spans="1:9">
      <c r="A732" s="6">
        <v>40225</v>
      </c>
      <c r="B732" t="str">
        <f>IFERROR(VLOOKUP($A732,原始数据_收盘!$A$4:$G$3460,2,0),"")</f>
        <v/>
      </c>
      <c r="C732" t="str">
        <f>IFERROR(VLOOKUP($A732,原始数据_收盘!$A$4:$G$3460,3,0),"")</f>
        <v/>
      </c>
      <c r="D732" t="str">
        <f>IFERROR(VLOOKUP($A732,原始数据_收盘!$A$4:$G$3460,4,0),"")</f>
        <v/>
      </c>
      <c r="E732" t="str">
        <f>IFERROR(VLOOKUP($A732,原始数据_收盘!$A$4:$G$3460,5,0),"")</f>
        <v/>
      </c>
      <c r="F732" t="str">
        <f>IFERROR(VLOOKUP($A732,原始数据_收盘!$A$4:$G$3460,6,0),"")</f>
        <v/>
      </c>
      <c r="G732" t="str">
        <f>IFERROR(VLOOKUP($A732,原始数据_收盘!$A$4:$G$3460,7,0),"")</f>
        <v/>
      </c>
      <c r="H732" t="str">
        <f>IFERROR(VLOOKUP($A732,原始数据_利率互换_FR007_1年!$A$6:$C$4395,2,0),"")</f>
        <v/>
      </c>
      <c r="I732" t="str">
        <f>IFERROR(VLOOKUP($A732,原始数据_利率互换_FR007_1年!$A$6:$C$4395,3,0),"")</f>
        <v/>
      </c>
    </row>
    <row r="733" spans="1:9">
      <c r="A733" s="6">
        <v>40226</v>
      </c>
      <c r="B733" t="str">
        <f>IFERROR(VLOOKUP($A733,原始数据_收盘!$A$4:$G$3460,2,0),"")</f>
        <v/>
      </c>
      <c r="C733" t="str">
        <f>IFERROR(VLOOKUP($A733,原始数据_收盘!$A$4:$G$3460,3,0),"")</f>
        <v/>
      </c>
      <c r="D733" t="str">
        <f>IFERROR(VLOOKUP($A733,原始数据_收盘!$A$4:$G$3460,4,0),"")</f>
        <v/>
      </c>
      <c r="E733" t="str">
        <f>IFERROR(VLOOKUP($A733,原始数据_收盘!$A$4:$G$3460,5,0),"")</f>
        <v/>
      </c>
      <c r="F733" t="str">
        <f>IFERROR(VLOOKUP($A733,原始数据_收盘!$A$4:$G$3460,6,0),"")</f>
        <v/>
      </c>
      <c r="G733" t="str">
        <f>IFERROR(VLOOKUP($A733,原始数据_收盘!$A$4:$G$3460,7,0),"")</f>
        <v/>
      </c>
      <c r="H733" t="str">
        <f>IFERROR(VLOOKUP($A733,原始数据_利率互换_FR007_1年!$A$6:$C$4395,2,0),"")</f>
        <v/>
      </c>
      <c r="I733" t="str">
        <f>IFERROR(VLOOKUP($A733,原始数据_利率互换_FR007_1年!$A$6:$C$4395,3,0),"")</f>
        <v/>
      </c>
    </row>
    <row r="734" spans="1:9">
      <c r="A734" s="6">
        <v>40227</v>
      </c>
      <c r="B734" t="str">
        <f>IFERROR(VLOOKUP($A734,原始数据_收盘!$A$4:$G$3460,2,0),"")</f>
        <v/>
      </c>
      <c r="C734" t="str">
        <f>IFERROR(VLOOKUP($A734,原始数据_收盘!$A$4:$G$3460,3,0),"")</f>
        <v/>
      </c>
      <c r="D734" t="str">
        <f>IFERROR(VLOOKUP($A734,原始数据_收盘!$A$4:$G$3460,4,0),"")</f>
        <v/>
      </c>
      <c r="E734" t="str">
        <f>IFERROR(VLOOKUP($A734,原始数据_收盘!$A$4:$G$3460,5,0),"")</f>
        <v/>
      </c>
      <c r="F734" t="str">
        <f>IFERROR(VLOOKUP($A734,原始数据_收盘!$A$4:$G$3460,6,0),"")</f>
        <v/>
      </c>
      <c r="G734" t="str">
        <f>IFERROR(VLOOKUP($A734,原始数据_收盘!$A$4:$G$3460,7,0),"")</f>
        <v/>
      </c>
      <c r="H734" t="str">
        <f>IFERROR(VLOOKUP($A734,原始数据_利率互换_FR007_1年!$A$6:$C$4395,2,0),"")</f>
        <v/>
      </c>
      <c r="I734" t="str">
        <f>IFERROR(VLOOKUP($A734,原始数据_利率互换_FR007_1年!$A$6:$C$4395,3,0),"")</f>
        <v/>
      </c>
    </row>
    <row r="735" spans="1:9">
      <c r="A735" s="6">
        <v>40228</v>
      </c>
      <c r="B735" t="str">
        <f>IFERROR(VLOOKUP($A735,原始数据_收盘!$A$4:$G$3460,2,0),"")</f>
        <v/>
      </c>
      <c r="C735" t="str">
        <f>IFERROR(VLOOKUP($A735,原始数据_收盘!$A$4:$G$3460,3,0),"")</f>
        <v/>
      </c>
      <c r="D735" t="str">
        <f>IFERROR(VLOOKUP($A735,原始数据_收盘!$A$4:$G$3460,4,0),"")</f>
        <v/>
      </c>
      <c r="E735" t="str">
        <f>IFERROR(VLOOKUP($A735,原始数据_收盘!$A$4:$G$3460,5,0),"")</f>
        <v/>
      </c>
      <c r="F735" t="str">
        <f>IFERROR(VLOOKUP($A735,原始数据_收盘!$A$4:$G$3460,6,0),"")</f>
        <v/>
      </c>
      <c r="G735" t="str">
        <f>IFERROR(VLOOKUP($A735,原始数据_收盘!$A$4:$G$3460,7,0),"")</f>
        <v/>
      </c>
      <c r="H735" t="str">
        <f>IFERROR(VLOOKUP($A735,原始数据_利率互换_FR007_1年!$A$6:$C$4395,2,0),"")</f>
        <v/>
      </c>
      <c r="I735" t="str">
        <f>IFERROR(VLOOKUP($A735,原始数据_利率互换_FR007_1年!$A$6:$C$4395,3,0),"")</f>
        <v/>
      </c>
    </row>
    <row r="736" spans="1:9">
      <c r="A736" s="6">
        <v>40229</v>
      </c>
      <c r="B736" t="str">
        <f>IFERROR(VLOOKUP($A736,原始数据_收盘!$A$4:$G$3460,2,0),"")</f>
        <v/>
      </c>
      <c r="C736" t="str">
        <f>IFERROR(VLOOKUP($A736,原始数据_收盘!$A$4:$G$3460,3,0),"")</f>
        <v/>
      </c>
      <c r="D736" t="str">
        <f>IFERROR(VLOOKUP($A736,原始数据_收盘!$A$4:$G$3460,4,0),"")</f>
        <v/>
      </c>
      <c r="E736" t="str">
        <f>IFERROR(VLOOKUP($A736,原始数据_收盘!$A$4:$G$3460,5,0),"")</f>
        <v/>
      </c>
      <c r="F736" t="str">
        <f>IFERROR(VLOOKUP($A736,原始数据_收盘!$A$4:$G$3460,6,0),"")</f>
        <v/>
      </c>
      <c r="G736" t="str">
        <f>IFERROR(VLOOKUP($A736,原始数据_收盘!$A$4:$G$3460,7,0),"")</f>
        <v/>
      </c>
      <c r="H736">
        <f>IFERROR(VLOOKUP($A736,原始数据_利率互换_FR007_1年!$A$6:$C$4395,2,0),"")</f>
        <v>2.36</v>
      </c>
      <c r="I736">
        <f>IFERROR(VLOOKUP($A736,原始数据_利率互换_FR007_1年!$A$6:$C$4395,3,0),"")</f>
        <v>3.92</v>
      </c>
    </row>
    <row r="737" spans="1:9">
      <c r="A737" s="6">
        <v>40230</v>
      </c>
      <c r="B737" t="str">
        <f>IFERROR(VLOOKUP($A737,原始数据_收盘!$A$4:$G$3460,2,0),"")</f>
        <v/>
      </c>
      <c r="C737" t="str">
        <f>IFERROR(VLOOKUP($A737,原始数据_收盘!$A$4:$G$3460,3,0),"")</f>
        <v/>
      </c>
      <c r="D737" t="str">
        <f>IFERROR(VLOOKUP($A737,原始数据_收盘!$A$4:$G$3460,4,0),"")</f>
        <v/>
      </c>
      <c r="E737" t="str">
        <f>IFERROR(VLOOKUP($A737,原始数据_收盘!$A$4:$G$3460,5,0),"")</f>
        <v/>
      </c>
      <c r="F737" t="str">
        <f>IFERROR(VLOOKUP($A737,原始数据_收盘!$A$4:$G$3460,6,0),"")</f>
        <v/>
      </c>
      <c r="G737" t="str">
        <f>IFERROR(VLOOKUP($A737,原始数据_收盘!$A$4:$G$3460,7,0),"")</f>
        <v/>
      </c>
      <c r="H737" t="str">
        <f>IFERROR(VLOOKUP($A737,原始数据_利率互换_FR007_1年!$A$6:$C$4395,2,0),"")</f>
        <v/>
      </c>
      <c r="I737" t="str">
        <f>IFERROR(VLOOKUP($A737,原始数据_利率互换_FR007_1年!$A$6:$C$4395,3,0),"")</f>
        <v/>
      </c>
    </row>
    <row r="738" spans="1:9">
      <c r="A738" s="6">
        <v>40231</v>
      </c>
      <c r="B738" t="str">
        <f>IFERROR(VLOOKUP($A738,原始数据_收盘!$A$4:$G$3460,2,0),"")</f>
        <v/>
      </c>
      <c r="C738" t="str">
        <f>IFERROR(VLOOKUP($A738,原始数据_收盘!$A$4:$G$3460,3,0),"")</f>
        <v/>
      </c>
      <c r="D738" t="str">
        <f>IFERROR(VLOOKUP($A738,原始数据_收盘!$A$4:$G$3460,4,0),"")</f>
        <v/>
      </c>
      <c r="E738" t="str">
        <f>IFERROR(VLOOKUP($A738,原始数据_收盘!$A$4:$G$3460,5,0),"")</f>
        <v/>
      </c>
      <c r="F738" t="str">
        <f>IFERROR(VLOOKUP($A738,原始数据_收盘!$A$4:$G$3460,6,0),"")</f>
        <v/>
      </c>
      <c r="G738" t="str">
        <f>IFERROR(VLOOKUP($A738,原始数据_收盘!$A$4:$G$3460,7,0),"")</f>
        <v/>
      </c>
      <c r="H738">
        <f>IFERROR(VLOOKUP($A738,原始数据_利率互换_FR007_1年!$A$6:$C$4395,2,0),"")</f>
        <v>2.35</v>
      </c>
      <c r="I738">
        <f>IFERROR(VLOOKUP($A738,原始数据_利率互换_FR007_1年!$A$6:$C$4395,3,0),"")</f>
        <v>3.92</v>
      </c>
    </row>
    <row r="739" spans="1:9">
      <c r="A739" s="6">
        <v>40232</v>
      </c>
      <c r="B739" t="str">
        <f>IFERROR(VLOOKUP($A739,原始数据_收盘!$A$4:$G$3460,2,0),"")</f>
        <v/>
      </c>
      <c r="C739" t="str">
        <f>IFERROR(VLOOKUP($A739,原始数据_收盘!$A$4:$G$3460,3,0),"")</f>
        <v/>
      </c>
      <c r="D739" t="str">
        <f>IFERROR(VLOOKUP($A739,原始数据_收盘!$A$4:$G$3460,4,0),"")</f>
        <v/>
      </c>
      <c r="E739" t="str">
        <f>IFERROR(VLOOKUP($A739,原始数据_收盘!$A$4:$G$3460,5,0),"")</f>
        <v/>
      </c>
      <c r="F739" t="str">
        <f>IFERROR(VLOOKUP($A739,原始数据_收盘!$A$4:$G$3460,6,0),"")</f>
        <v/>
      </c>
      <c r="G739" t="str">
        <f>IFERROR(VLOOKUP($A739,原始数据_收盘!$A$4:$G$3460,7,0),"")</f>
        <v/>
      </c>
      <c r="H739">
        <f>IFERROR(VLOOKUP($A739,原始数据_利率互换_FR007_1年!$A$6:$C$4395,2,0),"")</f>
        <v>2.32</v>
      </c>
      <c r="I739">
        <f>IFERROR(VLOOKUP($A739,原始数据_利率互换_FR007_1年!$A$6:$C$4395,3,0),"")</f>
        <v>3.84</v>
      </c>
    </row>
    <row r="740" spans="1:9">
      <c r="A740" s="6">
        <v>40233</v>
      </c>
      <c r="B740" t="str">
        <f>IFERROR(VLOOKUP($A740,原始数据_收盘!$A$4:$G$3460,2,0),"")</f>
        <v/>
      </c>
      <c r="C740" t="str">
        <f>IFERROR(VLOOKUP($A740,原始数据_收盘!$A$4:$G$3460,3,0),"")</f>
        <v/>
      </c>
      <c r="D740" t="str">
        <f>IFERROR(VLOOKUP($A740,原始数据_收盘!$A$4:$G$3460,4,0),"")</f>
        <v/>
      </c>
      <c r="E740" t="str">
        <f>IFERROR(VLOOKUP($A740,原始数据_收盘!$A$4:$G$3460,5,0),"")</f>
        <v/>
      </c>
      <c r="F740" t="str">
        <f>IFERROR(VLOOKUP($A740,原始数据_收盘!$A$4:$G$3460,6,0),"")</f>
        <v/>
      </c>
      <c r="G740" t="str">
        <f>IFERROR(VLOOKUP($A740,原始数据_收盘!$A$4:$G$3460,7,0),"")</f>
        <v/>
      </c>
      <c r="H740" t="str">
        <f>IFERROR(VLOOKUP($A740,原始数据_利率互换_FR007_1年!$A$6:$C$4395,2,0),"")</f>
        <v/>
      </c>
      <c r="I740" t="str">
        <f>IFERROR(VLOOKUP($A740,原始数据_利率互换_FR007_1年!$A$6:$C$4395,3,0),"")</f>
        <v/>
      </c>
    </row>
    <row r="741" spans="1:9">
      <c r="A741" s="6">
        <v>40234</v>
      </c>
      <c r="B741" t="str">
        <f>IFERROR(VLOOKUP($A741,原始数据_收盘!$A$4:$G$3460,2,0),"")</f>
        <v/>
      </c>
      <c r="C741" t="str">
        <f>IFERROR(VLOOKUP($A741,原始数据_收盘!$A$4:$G$3460,3,0),"")</f>
        <v/>
      </c>
      <c r="D741" t="str">
        <f>IFERROR(VLOOKUP($A741,原始数据_收盘!$A$4:$G$3460,4,0),"")</f>
        <v/>
      </c>
      <c r="E741" t="str">
        <f>IFERROR(VLOOKUP($A741,原始数据_收盘!$A$4:$G$3460,5,0),"")</f>
        <v/>
      </c>
      <c r="F741" t="str">
        <f>IFERROR(VLOOKUP($A741,原始数据_收盘!$A$4:$G$3460,6,0),"")</f>
        <v/>
      </c>
      <c r="G741" t="str">
        <f>IFERROR(VLOOKUP($A741,原始数据_收盘!$A$4:$G$3460,7,0),"")</f>
        <v/>
      </c>
      <c r="H741">
        <f>IFERROR(VLOOKUP($A741,原始数据_利率互换_FR007_1年!$A$6:$C$4395,2,0),"")</f>
        <v>2.3</v>
      </c>
      <c r="I741">
        <f>IFERROR(VLOOKUP($A741,原始数据_利率互换_FR007_1年!$A$6:$C$4395,3,0),"")</f>
        <v>0</v>
      </c>
    </row>
    <row r="742" spans="1:9">
      <c r="A742" s="6">
        <v>40235</v>
      </c>
      <c r="B742" t="str">
        <f>IFERROR(VLOOKUP($A742,原始数据_收盘!$A$4:$G$3460,2,0),"")</f>
        <v/>
      </c>
      <c r="C742" t="str">
        <f>IFERROR(VLOOKUP($A742,原始数据_收盘!$A$4:$G$3460,3,0),"")</f>
        <v/>
      </c>
      <c r="D742" t="str">
        <f>IFERROR(VLOOKUP($A742,原始数据_收盘!$A$4:$G$3460,4,0),"")</f>
        <v/>
      </c>
      <c r="E742" t="str">
        <f>IFERROR(VLOOKUP($A742,原始数据_收盘!$A$4:$G$3460,5,0),"")</f>
        <v/>
      </c>
      <c r="F742" t="str">
        <f>IFERROR(VLOOKUP($A742,原始数据_收盘!$A$4:$G$3460,6,0),"")</f>
        <v/>
      </c>
      <c r="G742" t="str">
        <f>IFERROR(VLOOKUP($A742,原始数据_收盘!$A$4:$G$3460,7,0),"")</f>
        <v/>
      </c>
      <c r="H742">
        <f>IFERROR(VLOOKUP($A742,原始数据_利率互换_FR007_1年!$A$6:$C$4395,2,0),"")</f>
        <v>2.29</v>
      </c>
      <c r="I742">
        <f>IFERROR(VLOOKUP($A742,原始数据_利率互换_FR007_1年!$A$6:$C$4395,3,0),"")</f>
        <v>3.75</v>
      </c>
    </row>
    <row r="743" spans="1:9">
      <c r="A743" s="6">
        <v>40236</v>
      </c>
      <c r="B743" t="str">
        <f>IFERROR(VLOOKUP($A743,原始数据_收盘!$A$4:$G$3460,2,0),"")</f>
        <v/>
      </c>
      <c r="C743" t="str">
        <f>IFERROR(VLOOKUP($A743,原始数据_收盘!$A$4:$G$3460,3,0),"")</f>
        <v/>
      </c>
      <c r="D743" t="str">
        <f>IFERROR(VLOOKUP($A743,原始数据_收盘!$A$4:$G$3460,4,0),"")</f>
        <v/>
      </c>
      <c r="E743" t="str">
        <f>IFERROR(VLOOKUP($A743,原始数据_收盘!$A$4:$G$3460,5,0),"")</f>
        <v/>
      </c>
      <c r="F743" t="str">
        <f>IFERROR(VLOOKUP($A743,原始数据_收盘!$A$4:$G$3460,6,0),"")</f>
        <v/>
      </c>
      <c r="G743" t="str">
        <f>IFERROR(VLOOKUP($A743,原始数据_收盘!$A$4:$G$3460,7,0),"")</f>
        <v/>
      </c>
      <c r="H743" t="str">
        <f>IFERROR(VLOOKUP($A743,原始数据_利率互换_FR007_1年!$A$6:$C$4395,2,0),"")</f>
        <v/>
      </c>
      <c r="I743" t="str">
        <f>IFERROR(VLOOKUP($A743,原始数据_利率互换_FR007_1年!$A$6:$C$4395,3,0),"")</f>
        <v/>
      </c>
    </row>
    <row r="744" spans="1:9">
      <c r="A744" s="6">
        <v>40237</v>
      </c>
      <c r="B744" t="str">
        <f>IFERROR(VLOOKUP($A744,原始数据_收盘!$A$4:$G$3460,2,0),"")</f>
        <v/>
      </c>
      <c r="C744" t="str">
        <f>IFERROR(VLOOKUP($A744,原始数据_收盘!$A$4:$G$3460,3,0),"")</f>
        <v/>
      </c>
      <c r="D744" t="str">
        <f>IFERROR(VLOOKUP($A744,原始数据_收盘!$A$4:$G$3460,4,0),"")</f>
        <v/>
      </c>
      <c r="E744" t="str">
        <f>IFERROR(VLOOKUP($A744,原始数据_收盘!$A$4:$G$3460,5,0),"")</f>
        <v/>
      </c>
      <c r="F744" t="str">
        <f>IFERROR(VLOOKUP($A744,原始数据_收盘!$A$4:$G$3460,6,0),"")</f>
        <v/>
      </c>
      <c r="G744" t="str">
        <f>IFERROR(VLOOKUP($A744,原始数据_收盘!$A$4:$G$3460,7,0),"")</f>
        <v/>
      </c>
      <c r="H744" t="str">
        <f>IFERROR(VLOOKUP($A744,原始数据_利率互换_FR007_1年!$A$6:$C$4395,2,0),"")</f>
        <v/>
      </c>
      <c r="I744" t="str">
        <f>IFERROR(VLOOKUP($A744,原始数据_利率互换_FR007_1年!$A$6:$C$4395,3,0),"")</f>
        <v/>
      </c>
    </row>
    <row r="745" spans="1:9">
      <c r="A745" s="6">
        <v>40238</v>
      </c>
      <c r="B745" t="str">
        <f>IFERROR(VLOOKUP($A745,原始数据_收盘!$A$4:$G$3460,2,0),"")</f>
        <v/>
      </c>
      <c r="C745" t="str">
        <f>IFERROR(VLOOKUP($A745,原始数据_收盘!$A$4:$G$3460,3,0),"")</f>
        <v/>
      </c>
      <c r="D745" t="str">
        <f>IFERROR(VLOOKUP($A745,原始数据_收盘!$A$4:$G$3460,4,0),"")</f>
        <v/>
      </c>
      <c r="E745" t="str">
        <f>IFERROR(VLOOKUP($A745,原始数据_收盘!$A$4:$G$3460,5,0),"")</f>
        <v/>
      </c>
      <c r="F745" t="str">
        <f>IFERROR(VLOOKUP($A745,原始数据_收盘!$A$4:$G$3460,6,0),"")</f>
        <v/>
      </c>
      <c r="G745" t="str">
        <f>IFERROR(VLOOKUP($A745,原始数据_收盘!$A$4:$G$3460,7,0),"")</f>
        <v/>
      </c>
      <c r="H745">
        <f>IFERROR(VLOOKUP($A745,原始数据_利率互换_FR007_1年!$A$6:$C$4395,2,0),"")</f>
        <v>2.24</v>
      </c>
      <c r="I745">
        <f>IFERROR(VLOOKUP($A745,原始数据_利率互换_FR007_1年!$A$6:$C$4395,3,0),"")</f>
        <v>0</v>
      </c>
    </row>
    <row r="746" spans="1:9">
      <c r="A746" s="6">
        <v>40239</v>
      </c>
      <c r="B746" t="str">
        <f>IFERROR(VLOOKUP($A746,原始数据_收盘!$A$4:$G$3460,2,0),"")</f>
        <v/>
      </c>
      <c r="C746" t="str">
        <f>IFERROR(VLOOKUP($A746,原始数据_收盘!$A$4:$G$3460,3,0),"")</f>
        <v/>
      </c>
      <c r="D746" t="str">
        <f>IFERROR(VLOOKUP($A746,原始数据_收盘!$A$4:$G$3460,4,0),"")</f>
        <v/>
      </c>
      <c r="E746" t="str">
        <f>IFERROR(VLOOKUP($A746,原始数据_收盘!$A$4:$G$3460,5,0),"")</f>
        <v/>
      </c>
      <c r="F746" t="str">
        <f>IFERROR(VLOOKUP($A746,原始数据_收盘!$A$4:$G$3460,6,0),"")</f>
        <v/>
      </c>
      <c r="G746" t="str">
        <f>IFERROR(VLOOKUP($A746,原始数据_收盘!$A$4:$G$3460,7,0),"")</f>
        <v/>
      </c>
      <c r="H746">
        <f>IFERROR(VLOOKUP($A746,原始数据_利率互换_FR007_1年!$A$6:$C$4395,2,0),"")</f>
        <v>2.26</v>
      </c>
      <c r="I746">
        <f>IFERROR(VLOOKUP($A746,原始数据_利率互换_FR007_1年!$A$6:$C$4395,3,0),"")</f>
        <v>3.72</v>
      </c>
    </row>
    <row r="747" spans="1:9">
      <c r="A747" s="6">
        <v>40240</v>
      </c>
      <c r="B747" t="str">
        <f>IFERROR(VLOOKUP($A747,原始数据_收盘!$A$4:$G$3460,2,0),"")</f>
        <v/>
      </c>
      <c r="C747" t="str">
        <f>IFERROR(VLOOKUP($A747,原始数据_收盘!$A$4:$G$3460,3,0),"")</f>
        <v/>
      </c>
      <c r="D747" t="str">
        <f>IFERROR(VLOOKUP($A747,原始数据_收盘!$A$4:$G$3460,4,0),"")</f>
        <v/>
      </c>
      <c r="E747" t="str">
        <f>IFERROR(VLOOKUP($A747,原始数据_收盘!$A$4:$G$3460,5,0),"")</f>
        <v/>
      </c>
      <c r="F747" t="str">
        <f>IFERROR(VLOOKUP($A747,原始数据_收盘!$A$4:$G$3460,6,0),"")</f>
        <v/>
      </c>
      <c r="G747" t="str">
        <f>IFERROR(VLOOKUP($A747,原始数据_收盘!$A$4:$G$3460,7,0),"")</f>
        <v/>
      </c>
      <c r="H747">
        <f>IFERROR(VLOOKUP($A747,原始数据_利率互换_FR007_1年!$A$6:$C$4395,2,0),"")</f>
        <v>2.27</v>
      </c>
      <c r="I747">
        <f>IFERROR(VLOOKUP($A747,原始数据_利率互换_FR007_1年!$A$6:$C$4395,3,0),"")</f>
        <v>3.76</v>
      </c>
    </row>
    <row r="748" spans="1:9">
      <c r="A748" s="6">
        <v>40241</v>
      </c>
      <c r="B748" t="str">
        <f>IFERROR(VLOOKUP($A748,原始数据_收盘!$A$4:$G$3460,2,0),"")</f>
        <v/>
      </c>
      <c r="C748" t="str">
        <f>IFERROR(VLOOKUP($A748,原始数据_收盘!$A$4:$G$3460,3,0),"")</f>
        <v/>
      </c>
      <c r="D748" t="str">
        <f>IFERROR(VLOOKUP($A748,原始数据_收盘!$A$4:$G$3460,4,0),"")</f>
        <v/>
      </c>
      <c r="E748" t="str">
        <f>IFERROR(VLOOKUP($A748,原始数据_收盘!$A$4:$G$3460,5,0),"")</f>
        <v/>
      </c>
      <c r="F748" t="str">
        <f>IFERROR(VLOOKUP($A748,原始数据_收盘!$A$4:$G$3460,6,0),"")</f>
        <v/>
      </c>
      <c r="G748" t="str">
        <f>IFERROR(VLOOKUP($A748,原始数据_收盘!$A$4:$G$3460,7,0),"")</f>
        <v/>
      </c>
      <c r="H748">
        <f>IFERROR(VLOOKUP($A748,原始数据_利率互换_FR007_1年!$A$6:$C$4395,2,0),"")</f>
        <v>2.27</v>
      </c>
      <c r="I748">
        <f>IFERROR(VLOOKUP($A748,原始数据_利率互换_FR007_1年!$A$6:$C$4395,3,0),"")</f>
        <v>0</v>
      </c>
    </row>
    <row r="749" spans="1:9">
      <c r="A749" s="6">
        <v>40242</v>
      </c>
      <c r="B749" t="str">
        <f>IFERROR(VLOOKUP($A749,原始数据_收盘!$A$4:$G$3460,2,0),"")</f>
        <v/>
      </c>
      <c r="C749" t="str">
        <f>IFERROR(VLOOKUP($A749,原始数据_收盘!$A$4:$G$3460,3,0),"")</f>
        <v/>
      </c>
      <c r="D749" t="str">
        <f>IFERROR(VLOOKUP($A749,原始数据_收盘!$A$4:$G$3460,4,0),"")</f>
        <v/>
      </c>
      <c r="E749" t="str">
        <f>IFERROR(VLOOKUP($A749,原始数据_收盘!$A$4:$G$3460,5,0),"")</f>
        <v/>
      </c>
      <c r="F749" t="str">
        <f>IFERROR(VLOOKUP($A749,原始数据_收盘!$A$4:$G$3460,6,0),"")</f>
        <v/>
      </c>
      <c r="G749" t="str">
        <f>IFERROR(VLOOKUP($A749,原始数据_收盘!$A$4:$G$3460,7,0),"")</f>
        <v/>
      </c>
      <c r="H749">
        <f>IFERROR(VLOOKUP($A749,原始数据_利率互换_FR007_1年!$A$6:$C$4395,2,0),"")</f>
        <v>2.25</v>
      </c>
      <c r="I749">
        <f>IFERROR(VLOOKUP($A749,原始数据_利率互换_FR007_1年!$A$6:$C$4395,3,0),"")</f>
        <v>0</v>
      </c>
    </row>
    <row r="750" spans="1:9">
      <c r="A750" s="6">
        <v>40243</v>
      </c>
      <c r="B750" t="str">
        <f>IFERROR(VLOOKUP($A750,原始数据_收盘!$A$4:$G$3460,2,0),"")</f>
        <v/>
      </c>
      <c r="C750" t="str">
        <f>IFERROR(VLOOKUP($A750,原始数据_收盘!$A$4:$G$3460,3,0),"")</f>
        <v/>
      </c>
      <c r="D750" t="str">
        <f>IFERROR(VLOOKUP($A750,原始数据_收盘!$A$4:$G$3460,4,0),"")</f>
        <v/>
      </c>
      <c r="E750" t="str">
        <f>IFERROR(VLOOKUP($A750,原始数据_收盘!$A$4:$G$3460,5,0),"")</f>
        <v/>
      </c>
      <c r="F750" t="str">
        <f>IFERROR(VLOOKUP($A750,原始数据_收盘!$A$4:$G$3460,6,0),"")</f>
        <v/>
      </c>
      <c r="G750" t="str">
        <f>IFERROR(VLOOKUP($A750,原始数据_收盘!$A$4:$G$3460,7,0),"")</f>
        <v/>
      </c>
      <c r="H750" t="str">
        <f>IFERROR(VLOOKUP($A750,原始数据_利率互换_FR007_1年!$A$6:$C$4395,2,0),"")</f>
        <v/>
      </c>
      <c r="I750" t="str">
        <f>IFERROR(VLOOKUP($A750,原始数据_利率互换_FR007_1年!$A$6:$C$4395,3,0),"")</f>
        <v/>
      </c>
    </row>
    <row r="751" spans="1:9">
      <c r="A751" s="6">
        <v>40244</v>
      </c>
      <c r="B751" t="str">
        <f>IFERROR(VLOOKUP($A751,原始数据_收盘!$A$4:$G$3460,2,0),"")</f>
        <v/>
      </c>
      <c r="C751" t="str">
        <f>IFERROR(VLOOKUP($A751,原始数据_收盘!$A$4:$G$3460,3,0),"")</f>
        <v/>
      </c>
      <c r="D751" t="str">
        <f>IFERROR(VLOOKUP($A751,原始数据_收盘!$A$4:$G$3460,4,0),"")</f>
        <v/>
      </c>
      <c r="E751" t="str">
        <f>IFERROR(VLOOKUP($A751,原始数据_收盘!$A$4:$G$3460,5,0),"")</f>
        <v/>
      </c>
      <c r="F751" t="str">
        <f>IFERROR(VLOOKUP($A751,原始数据_收盘!$A$4:$G$3460,6,0),"")</f>
        <v/>
      </c>
      <c r="G751" t="str">
        <f>IFERROR(VLOOKUP($A751,原始数据_收盘!$A$4:$G$3460,7,0),"")</f>
        <v/>
      </c>
      <c r="H751" t="str">
        <f>IFERROR(VLOOKUP($A751,原始数据_利率互换_FR007_1年!$A$6:$C$4395,2,0),"")</f>
        <v/>
      </c>
      <c r="I751" t="str">
        <f>IFERROR(VLOOKUP($A751,原始数据_利率互换_FR007_1年!$A$6:$C$4395,3,0),"")</f>
        <v/>
      </c>
    </row>
    <row r="752" spans="1:9">
      <c r="A752" s="6">
        <v>40245</v>
      </c>
      <c r="B752" t="str">
        <f>IFERROR(VLOOKUP($A752,原始数据_收盘!$A$4:$G$3460,2,0),"")</f>
        <v/>
      </c>
      <c r="C752" t="str">
        <f>IFERROR(VLOOKUP($A752,原始数据_收盘!$A$4:$G$3460,3,0),"")</f>
        <v/>
      </c>
      <c r="D752" t="str">
        <f>IFERROR(VLOOKUP($A752,原始数据_收盘!$A$4:$G$3460,4,0),"")</f>
        <v/>
      </c>
      <c r="E752" t="str">
        <f>IFERROR(VLOOKUP($A752,原始数据_收盘!$A$4:$G$3460,5,0),"")</f>
        <v/>
      </c>
      <c r="F752" t="str">
        <f>IFERROR(VLOOKUP($A752,原始数据_收盘!$A$4:$G$3460,6,0),"")</f>
        <v/>
      </c>
      <c r="G752" t="str">
        <f>IFERROR(VLOOKUP($A752,原始数据_收盘!$A$4:$G$3460,7,0),"")</f>
        <v/>
      </c>
      <c r="H752">
        <f>IFERROR(VLOOKUP($A752,原始数据_利率互换_FR007_1年!$A$6:$C$4395,2,0),"")</f>
        <v>0</v>
      </c>
      <c r="I752">
        <f>IFERROR(VLOOKUP($A752,原始数据_利率互换_FR007_1年!$A$6:$C$4395,3,0),"")</f>
        <v>3.7</v>
      </c>
    </row>
    <row r="753" spans="1:9">
      <c r="A753" s="6">
        <v>40246</v>
      </c>
      <c r="B753" t="str">
        <f>IFERROR(VLOOKUP($A753,原始数据_收盘!$A$4:$G$3460,2,0),"")</f>
        <v/>
      </c>
      <c r="C753" t="str">
        <f>IFERROR(VLOOKUP($A753,原始数据_收盘!$A$4:$G$3460,3,0),"")</f>
        <v/>
      </c>
      <c r="D753" t="str">
        <f>IFERROR(VLOOKUP($A753,原始数据_收盘!$A$4:$G$3460,4,0),"")</f>
        <v/>
      </c>
      <c r="E753" t="str">
        <f>IFERROR(VLOOKUP($A753,原始数据_收盘!$A$4:$G$3460,5,0),"")</f>
        <v/>
      </c>
      <c r="F753" t="str">
        <f>IFERROR(VLOOKUP($A753,原始数据_收盘!$A$4:$G$3460,6,0),"")</f>
        <v/>
      </c>
      <c r="G753" t="str">
        <f>IFERROR(VLOOKUP($A753,原始数据_收盘!$A$4:$G$3460,7,0),"")</f>
        <v/>
      </c>
      <c r="H753">
        <f>IFERROR(VLOOKUP($A753,原始数据_利率互换_FR007_1年!$A$6:$C$4395,2,0),"")</f>
        <v>2.28</v>
      </c>
      <c r="I753">
        <f>IFERROR(VLOOKUP($A753,原始数据_利率互换_FR007_1年!$A$6:$C$4395,3,0),"")</f>
        <v>3.75</v>
      </c>
    </row>
    <row r="754" spans="1:9">
      <c r="A754" s="6">
        <v>40247</v>
      </c>
      <c r="B754" t="str">
        <f>IFERROR(VLOOKUP($A754,原始数据_收盘!$A$4:$G$3460,2,0),"")</f>
        <v/>
      </c>
      <c r="C754" t="str">
        <f>IFERROR(VLOOKUP($A754,原始数据_收盘!$A$4:$G$3460,3,0),"")</f>
        <v/>
      </c>
      <c r="D754" t="str">
        <f>IFERROR(VLOOKUP($A754,原始数据_收盘!$A$4:$G$3460,4,0),"")</f>
        <v/>
      </c>
      <c r="E754" t="str">
        <f>IFERROR(VLOOKUP($A754,原始数据_收盘!$A$4:$G$3460,5,0),"")</f>
        <v/>
      </c>
      <c r="F754" t="str">
        <f>IFERROR(VLOOKUP($A754,原始数据_收盘!$A$4:$G$3460,6,0),"")</f>
        <v/>
      </c>
      <c r="G754" t="str">
        <f>IFERROR(VLOOKUP($A754,原始数据_收盘!$A$4:$G$3460,7,0),"")</f>
        <v/>
      </c>
      <c r="H754">
        <f>IFERROR(VLOOKUP($A754,原始数据_利率互换_FR007_1年!$A$6:$C$4395,2,0),"")</f>
        <v>2.3</v>
      </c>
      <c r="I754">
        <f>IFERROR(VLOOKUP($A754,原始数据_利率互换_FR007_1年!$A$6:$C$4395,3,0),"")</f>
        <v>3.79</v>
      </c>
    </row>
    <row r="755" spans="1:9">
      <c r="A755" s="6">
        <v>40248</v>
      </c>
      <c r="B755" t="str">
        <f>IFERROR(VLOOKUP($A755,原始数据_收盘!$A$4:$G$3460,2,0),"")</f>
        <v/>
      </c>
      <c r="C755" t="str">
        <f>IFERROR(VLOOKUP($A755,原始数据_收盘!$A$4:$G$3460,3,0),"")</f>
        <v/>
      </c>
      <c r="D755" t="str">
        <f>IFERROR(VLOOKUP($A755,原始数据_收盘!$A$4:$G$3460,4,0),"")</f>
        <v/>
      </c>
      <c r="E755" t="str">
        <f>IFERROR(VLOOKUP($A755,原始数据_收盘!$A$4:$G$3460,5,0),"")</f>
        <v/>
      </c>
      <c r="F755" t="str">
        <f>IFERROR(VLOOKUP($A755,原始数据_收盘!$A$4:$G$3460,6,0),"")</f>
        <v/>
      </c>
      <c r="G755" t="str">
        <f>IFERROR(VLOOKUP($A755,原始数据_收盘!$A$4:$G$3460,7,0),"")</f>
        <v/>
      </c>
      <c r="H755">
        <f>IFERROR(VLOOKUP($A755,原始数据_利率互换_FR007_1年!$A$6:$C$4395,2,0),"")</f>
        <v>2.3</v>
      </c>
      <c r="I755">
        <f>IFERROR(VLOOKUP($A755,原始数据_利率互换_FR007_1年!$A$6:$C$4395,3,0),"")</f>
        <v>3.79</v>
      </c>
    </row>
    <row r="756" spans="1:9">
      <c r="A756" s="6">
        <v>40249</v>
      </c>
      <c r="B756" t="str">
        <f>IFERROR(VLOOKUP($A756,原始数据_收盘!$A$4:$G$3460,2,0),"")</f>
        <v/>
      </c>
      <c r="C756" t="str">
        <f>IFERROR(VLOOKUP($A756,原始数据_收盘!$A$4:$G$3460,3,0),"")</f>
        <v/>
      </c>
      <c r="D756" t="str">
        <f>IFERROR(VLOOKUP($A756,原始数据_收盘!$A$4:$G$3460,4,0),"")</f>
        <v/>
      </c>
      <c r="E756" t="str">
        <f>IFERROR(VLOOKUP($A756,原始数据_收盘!$A$4:$G$3460,5,0),"")</f>
        <v/>
      </c>
      <c r="F756" t="str">
        <f>IFERROR(VLOOKUP($A756,原始数据_收盘!$A$4:$G$3460,6,0),"")</f>
        <v/>
      </c>
      <c r="G756" t="str">
        <f>IFERROR(VLOOKUP($A756,原始数据_收盘!$A$4:$G$3460,7,0),"")</f>
        <v/>
      </c>
      <c r="H756">
        <f>IFERROR(VLOOKUP($A756,原始数据_利率互换_FR007_1年!$A$6:$C$4395,2,0),"")</f>
        <v>2.32</v>
      </c>
      <c r="I756">
        <f>IFERROR(VLOOKUP($A756,原始数据_利率互换_FR007_1年!$A$6:$C$4395,3,0),"")</f>
        <v>3.77</v>
      </c>
    </row>
    <row r="757" spans="1:9">
      <c r="A757" s="6">
        <v>40250</v>
      </c>
      <c r="B757" t="str">
        <f>IFERROR(VLOOKUP($A757,原始数据_收盘!$A$4:$G$3460,2,0),"")</f>
        <v/>
      </c>
      <c r="C757" t="str">
        <f>IFERROR(VLOOKUP($A757,原始数据_收盘!$A$4:$G$3460,3,0),"")</f>
        <v/>
      </c>
      <c r="D757" t="str">
        <f>IFERROR(VLOOKUP($A757,原始数据_收盘!$A$4:$G$3460,4,0),"")</f>
        <v/>
      </c>
      <c r="E757" t="str">
        <f>IFERROR(VLOOKUP($A757,原始数据_收盘!$A$4:$G$3460,5,0),"")</f>
        <v/>
      </c>
      <c r="F757" t="str">
        <f>IFERROR(VLOOKUP($A757,原始数据_收盘!$A$4:$G$3460,6,0),"")</f>
        <v/>
      </c>
      <c r="G757" t="str">
        <f>IFERROR(VLOOKUP($A757,原始数据_收盘!$A$4:$G$3460,7,0),"")</f>
        <v/>
      </c>
      <c r="H757" t="str">
        <f>IFERROR(VLOOKUP($A757,原始数据_利率互换_FR007_1年!$A$6:$C$4395,2,0),"")</f>
        <v/>
      </c>
      <c r="I757" t="str">
        <f>IFERROR(VLOOKUP($A757,原始数据_利率互换_FR007_1年!$A$6:$C$4395,3,0),"")</f>
        <v/>
      </c>
    </row>
    <row r="758" spans="1:9">
      <c r="A758" s="6">
        <v>40251</v>
      </c>
      <c r="B758" t="str">
        <f>IFERROR(VLOOKUP($A758,原始数据_收盘!$A$4:$G$3460,2,0),"")</f>
        <v/>
      </c>
      <c r="C758" t="str">
        <f>IFERROR(VLOOKUP($A758,原始数据_收盘!$A$4:$G$3460,3,0),"")</f>
        <v/>
      </c>
      <c r="D758" t="str">
        <f>IFERROR(VLOOKUP($A758,原始数据_收盘!$A$4:$G$3460,4,0),"")</f>
        <v/>
      </c>
      <c r="E758" t="str">
        <f>IFERROR(VLOOKUP($A758,原始数据_收盘!$A$4:$G$3460,5,0),"")</f>
        <v/>
      </c>
      <c r="F758" t="str">
        <f>IFERROR(VLOOKUP($A758,原始数据_收盘!$A$4:$G$3460,6,0),"")</f>
        <v/>
      </c>
      <c r="G758" t="str">
        <f>IFERROR(VLOOKUP($A758,原始数据_收盘!$A$4:$G$3460,7,0),"")</f>
        <v/>
      </c>
      <c r="H758" t="str">
        <f>IFERROR(VLOOKUP($A758,原始数据_利率互换_FR007_1年!$A$6:$C$4395,2,0),"")</f>
        <v/>
      </c>
      <c r="I758" t="str">
        <f>IFERROR(VLOOKUP($A758,原始数据_利率互换_FR007_1年!$A$6:$C$4395,3,0),"")</f>
        <v/>
      </c>
    </row>
    <row r="759" spans="1:9">
      <c r="A759" s="6">
        <v>40252</v>
      </c>
      <c r="B759" t="str">
        <f>IFERROR(VLOOKUP($A759,原始数据_收盘!$A$4:$G$3460,2,0),"")</f>
        <v/>
      </c>
      <c r="C759" t="str">
        <f>IFERROR(VLOOKUP($A759,原始数据_收盘!$A$4:$G$3460,3,0),"")</f>
        <v/>
      </c>
      <c r="D759" t="str">
        <f>IFERROR(VLOOKUP($A759,原始数据_收盘!$A$4:$G$3460,4,0),"")</f>
        <v/>
      </c>
      <c r="E759" t="str">
        <f>IFERROR(VLOOKUP($A759,原始数据_收盘!$A$4:$G$3460,5,0),"")</f>
        <v/>
      </c>
      <c r="F759" t="str">
        <f>IFERROR(VLOOKUP($A759,原始数据_收盘!$A$4:$G$3460,6,0),"")</f>
        <v/>
      </c>
      <c r="G759" t="str">
        <f>IFERROR(VLOOKUP($A759,原始数据_收盘!$A$4:$G$3460,7,0),"")</f>
        <v/>
      </c>
      <c r="H759">
        <f>IFERROR(VLOOKUP($A759,原始数据_利率互换_FR007_1年!$A$6:$C$4395,2,0),"")</f>
        <v>2.32</v>
      </c>
      <c r="I759">
        <f>IFERROR(VLOOKUP($A759,原始数据_利率互换_FR007_1年!$A$6:$C$4395,3,0),"")</f>
        <v>3.71</v>
      </c>
    </row>
    <row r="760" spans="1:9">
      <c r="A760" s="6">
        <v>40253</v>
      </c>
      <c r="B760" t="str">
        <f>IFERROR(VLOOKUP($A760,原始数据_收盘!$A$4:$G$3460,2,0),"")</f>
        <v/>
      </c>
      <c r="C760" t="str">
        <f>IFERROR(VLOOKUP($A760,原始数据_收盘!$A$4:$G$3460,3,0),"")</f>
        <v/>
      </c>
      <c r="D760" t="str">
        <f>IFERROR(VLOOKUP($A760,原始数据_收盘!$A$4:$G$3460,4,0),"")</f>
        <v/>
      </c>
      <c r="E760" t="str">
        <f>IFERROR(VLOOKUP($A760,原始数据_收盘!$A$4:$G$3460,5,0),"")</f>
        <v/>
      </c>
      <c r="F760" t="str">
        <f>IFERROR(VLOOKUP($A760,原始数据_收盘!$A$4:$G$3460,6,0),"")</f>
        <v/>
      </c>
      <c r="G760" t="str">
        <f>IFERROR(VLOOKUP($A760,原始数据_收盘!$A$4:$G$3460,7,0),"")</f>
        <v/>
      </c>
      <c r="H760">
        <f>IFERROR(VLOOKUP($A760,原始数据_利率互换_FR007_1年!$A$6:$C$4395,2,0),"")</f>
        <v>2.29</v>
      </c>
      <c r="I760">
        <f>IFERROR(VLOOKUP($A760,原始数据_利率互换_FR007_1年!$A$6:$C$4395,3,0),"")</f>
        <v>3.68</v>
      </c>
    </row>
    <row r="761" spans="1:9">
      <c r="A761" s="6">
        <v>40254</v>
      </c>
      <c r="B761" t="str">
        <f>IFERROR(VLOOKUP($A761,原始数据_收盘!$A$4:$G$3460,2,0),"")</f>
        <v/>
      </c>
      <c r="C761" t="str">
        <f>IFERROR(VLOOKUP($A761,原始数据_收盘!$A$4:$G$3460,3,0),"")</f>
        <v/>
      </c>
      <c r="D761" t="str">
        <f>IFERROR(VLOOKUP($A761,原始数据_收盘!$A$4:$G$3460,4,0),"")</f>
        <v/>
      </c>
      <c r="E761" t="str">
        <f>IFERROR(VLOOKUP($A761,原始数据_收盘!$A$4:$G$3460,5,0),"")</f>
        <v/>
      </c>
      <c r="F761" t="str">
        <f>IFERROR(VLOOKUP($A761,原始数据_收盘!$A$4:$G$3460,6,0),"")</f>
        <v/>
      </c>
      <c r="G761" t="str">
        <f>IFERROR(VLOOKUP($A761,原始数据_收盘!$A$4:$G$3460,7,0),"")</f>
        <v/>
      </c>
      <c r="H761">
        <f>IFERROR(VLOOKUP($A761,原始数据_利率互换_FR007_1年!$A$6:$C$4395,2,0),"")</f>
        <v>2.25</v>
      </c>
      <c r="I761">
        <f>IFERROR(VLOOKUP($A761,原始数据_利率互换_FR007_1年!$A$6:$C$4395,3,0),"")</f>
        <v>3.61</v>
      </c>
    </row>
    <row r="762" spans="1:9">
      <c r="A762" s="6">
        <v>40255</v>
      </c>
      <c r="B762" t="str">
        <f>IFERROR(VLOOKUP($A762,原始数据_收盘!$A$4:$G$3460,2,0),"")</f>
        <v/>
      </c>
      <c r="C762" t="str">
        <f>IFERROR(VLOOKUP($A762,原始数据_收盘!$A$4:$G$3460,3,0),"")</f>
        <v/>
      </c>
      <c r="D762" t="str">
        <f>IFERROR(VLOOKUP($A762,原始数据_收盘!$A$4:$G$3460,4,0),"")</f>
        <v/>
      </c>
      <c r="E762" t="str">
        <f>IFERROR(VLOOKUP($A762,原始数据_收盘!$A$4:$G$3460,5,0),"")</f>
        <v/>
      </c>
      <c r="F762" t="str">
        <f>IFERROR(VLOOKUP($A762,原始数据_收盘!$A$4:$G$3460,6,0),"")</f>
        <v/>
      </c>
      <c r="G762" t="str">
        <f>IFERROR(VLOOKUP($A762,原始数据_收盘!$A$4:$G$3460,7,0),"")</f>
        <v/>
      </c>
      <c r="H762">
        <f>IFERROR(VLOOKUP($A762,原始数据_利率互换_FR007_1年!$A$6:$C$4395,2,0),"")</f>
        <v>2.31</v>
      </c>
      <c r="I762">
        <f>IFERROR(VLOOKUP($A762,原始数据_利率互换_FR007_1年!$A$6:$C$4395,3,0),"")</f>
        <v>3.59</v>
      </c>
    </row>
    <row r="763" spans="1:9">
      <c r="A763" s="6">
        <v>40256</v>
      </c>
      <c r="B763" t="str">
        <f>IFERROR(VLOOKUP($A763,原始数据_收盘!$A$4:$G$3460,2,0),"")</f>
        <v/>
      </c>
      <c r="C763" t="str">
        <f>IFERROR(VLOOKUP($A763,原始数据_收盘!$A$4:$G$3460,3,0),"")</f>
        <v/>
      </c>
      <c r="D763" t="str">
        <f>IFERROR(VLOOKUP($A763,原始数据_收盘!$A$4:$G$3460,4,0),"")</f>
        <v/>
      </c>
      <c r="E763" t="str">
        <f>IFERROR(VLOOKUP($A763,原始数据_收盘!$A$4:$G$3460,5,0),"")</f>
        <v/>
      </c>
      <c r="F763" t="str">
        <f>IFERROR(VLOOKUP($A763,原始数据_收盘!$A$4:$G$3460,6,0),"")</f>
        <v/>
      </c>
      <c r="G763" t="str">
        <f>IFERROR(VLOOKUP($A763,原始数据_收盘!$A$4:$G$3460,7,0),"")</f>
        <v/>
      </c>
      <c r="H763">
        <f>IFERROR(VLOOKUP($A763,原始数据_利率互换_FR007_1年!$A$6:$C$4395,2,0),"")</f>
        <v>0</v>
      </c>
      <c r="I763">
        <f>IFERROR(VLOOKUP($A763,原始数据_利率互换_FR007_1年!$A$6:$C$4395,3,0),"")</f>
        <v>3.56</v>
      </c>
    </row>
    <row r="764" spans="1:9">
      <c r="A764" s="6">
        <v>40257</v>
      </c>
      <c r="B764" t="str">
        <f>IFERROR(VLOOKUP($A764,原始数据_收盘!$A$4:$G$3460,2,0),"")</f>
        <v/>
      </c>
      <c r="C764" t="str">
        <f>IFERROR(VLOOKUP($A764,原始数据_收盘!$A$4:$G$3460,3,0),"")</f>
        <v/>
      </c>
      <c r="D764" t="str">
        <f>IFERROR(VLOOKUP($A764,原始数据_收盘!$A$4:$G$3460,4,0),"")</f>
        <v/>
      </c>
      <c r="E764" t="str">
        <f>IFERROR(VLOOKUP($A764,原始数据_收盘!$A$4:$G$3460,5,0),"")</f>
        <v/>
      </c>
      <c r="F764" t="str">
        <f>IFERROR(VLOOKUP($A764,原始数据_收盘!$A$4:$G$3460,6,0),"")</f>
        <v/>
      </c>
      <c r="G764" t="str">
        <f>IFERROR(VLOOKUP($A764,原始数据_收盘!$A$4:$G$3460,7,0),"")</f>
        <v/>
      </c>
      <c r="H764" t="str">
        <f>IFERROR(VLOOKUP($A764,原始数据_利率互换_FR007_1年!$A$6:$C$4395,2,0),"")</f>
        <v/>
      </c>
      <c r="I764" t="str">
        <f>IFERROR(VLOOKUP($A764,原始数据_利率互换_FR007_1年!$A$6:$C$4395,3,0),"")</f>
        <v/>
      </c>
    </row>
    <row r="765" spans="1:9">
      <c r="A765" s="6">
        <v>40258</v>
      </c>
      <c r="B765" t="str">
        <f>IFERROR(VLOOKUP($A765,原始数据_收盘!$A$4:$G$3460,2,0),"")</f>
        <v/>
      </c>
      <c r="C765" t="str">
        <f>IFERROR(VLOOKUP($A765,原始数据_收盘!$A$4:$G$3460,3,0),"")</f>
        <v/>
      </c>
      <c r="D765" t="str">
        <f>IFERROR(VLOOKUP($A765,原始数据_收盘!$A$4:$G$3460,4,0),"")</f>
        <v/>
      </c>
      <c r="E765" t="str">
        <f>IFERROR(VLOOKUP($A765,原始数据_收盘!$A$4:$G$3460,5,0),"")</f>
        <v/>
      </c>
      <c r="F765" t="str">
        <f>IFERROR(VLOOKUP($A765,原始数据_收盘!$A$4:$G$3460,6,0),"")</f>
        <v/>
      </c>
      <c r="G765" t="str">
        <f>IFERROR(VLOOKUP($A765,原始数据_收盘!$A$4:$G$3460,7,0),"")</f>
        <v/>
      </c>
      <c r="H765" t="str">
        <f>IFERROR(VLOOKUP($A765,原始数据_利率互换_FR007_1年!$A$6:$C$4395,2,0),"")</f>
        <v/>
      </c>
      <c r="I765" t="str">
        <f>IFERROR(VLOOKUP($A765,原始数据_利率互换_FR007_1年!$A$6:$C$4395,3,0),"")</f>
        <v/>
      </c>
    </row>
    <row r="766" spans="1:9">
      <c r="A766" s="6">
        <v>40259</v>
      </c>
      <c r="B766" t="str">
        <f>IFERROR(VLOOKUP($A766,原始数据_收盘!$A$4:$G$3460,2,0),"")</f>
        <v/>
      </c>
      <c r="C766" t="str">
        <f>IFERROR(VLOOKUP($A766,原始数据_收盘!$A$4:$G$3460,3,0),"")</f>
        <v/>
      </c>
      <c r="D766" t="str">
        <f>IFERROR(VLOOKUP($A766,原始数据_收盘!$A$4:$G$3460,4,0),"")</f>
        <v/>
      </c>
      <c r="E766" t="str">
        <f>IFERROR(VLOOKUP($A766,原始数据_收盘!$A$4:$G$3460,5,0),"")</f>
        <v/>
      </c>
      <c r="F766" t="str">
        <f>IFERROR(VLOOKUP($A766,原始数据_收盘!$A$4:$G$3460,6,0),"")</f>
        <v/>
      </c>
      <c r="G766" t="str">
        <f>IFERROR(VLOOKUP($A766,原始数据_收盘!$A$4:$G$3460,7,0),"")</f>
        <v/>
      </c>
      <c r="H766">
        <f>IFERROR(VLOOKUP($A766,原始数据_利率互换_FR007_1年!$A$6:$C$4395,2,0),"")</f>
        <v>2.25</v>
      </c>
      <c r="I766">
        <f>IFERROR(VLOOKUP($A766,原始数据_利率互换_FR007_1年!$A$6:$C$4395,3,0),"")</f>
        <v>3.63</v>
      </c>
    </row>
    <row r="767" spans="1:9">
      <c r="A767" s="6">
        <v>40260</v>
      </c>
      <c r="B767" t="str">
        <f>IFERROR(VLOOKUP($A767,原始数据_收盘!$A$4:$G$3460,2,0),"")</f>
        <v/>
      </c>
      <c r="C767" t="str">
        <f>IFERROR(VLOOKUP($A767,原始数据_收盘!$A$4:$G$3460,3,0),"")</f>
        <v/>
      </c>
      <c r="D767" t="str">
        <f>IFERROR(VLOOKUP($A767,原始数据_收盘!$A$4:$G$3460,4,0),"")</f>
        <v/>
      </c>
      <c r="E767" t="str">
        <f>IFERROR(VLOOKUP($A767,原始数据_收盘!$A$4:$G$3460,5,0),"")</f>
        <v/>
      </c>
      <c r="F767" t="str">
        <f>IFERROR(VLOOKUP($A767,原始数据_收盘!$A$4:$G$3460,6,0),"")</f>
        <v/>
      </c>
      <c r="G767" t="str">
        <f>IFERROR(VLOOKUP($A767,原始数据_收盘!$A$4:$G$3460,7,0),"")</f>
        <v/>
      </c>
      <c r="H767">
        <f>IFERROR(VLOOKUP($A767,原始数据_利率互换_FR007_1年!$A$6:$C$4395,2,0),"")</f>
        <v>0</v>
      </c>
      <c r="I767">
        <f>IFERROR(VLOOKUP($A767,原始数据_利率互换_FR007_1年!$A$6:$C$4395,3,0),"")</f>
        <v>3.63</v>
      </c>
    </row>
    <row r="768" spans="1:9">
      <c r="A768" s="6">
        <v>40261</v>
      </c>
      <c r="B768" t="str">
        <f>IFERROR(VLOOKUP($A768,原始数据_收盘!$A$4:$G$3460,2,0),"")</f>
        <v/>
      </c>
      <c r="C768" t="str">
        <f>IFERROR(VLOOKUP($A768,原始数据_收盘!$A$4:$G$3460,3,0),"")</f>
        <v/>
      </c>
      <c r="D768" t="str">
        <f>IFERROR(VLOOKUP($A768,原始数据_收盘!$A$4:$G$3460,4,0),"")</f>
        <v/>
      </c>
      <c r="E768" t="str">
        <f>IFERROR(VLOOKUP($A768,原始数据_收盘!$A$4:$G$3460,5,0),"")</f>
        <v/>
      </c>
      <c r="F768" t="str">
        <f>IFERROR(VLOOKUP($A768,原始数据_收盘!$A$4:$G$3460,6,0),"")</f>
        <v/>
      </c>
      <c r="G768" t="str">
        <f>IFERROR(VLOOKUP($A768,原始数据_收盘!$A$4:$G$3460,7,0),"")</f>
        <v/>
      </c>
      <c r="H768" t="str">
        <f>IFERROR(VLOOKUP($A768,原始数据_利率互换_FR007_1年!$A$6:$C$4395,2,0),"")</f>
        <v/>
      </c>
      <c r="I768" t="str">
        <f>IFERROR(VLOOKUP($A768,原始数据_利率互换_FR007_1年!$A$6:$C$4395,3,0),"")</f>
        <v/>
      </c>
    </row>
    <row r="769" spans="1:9">
      <c r="A769" s="6">
        <v>40262</v>
      </c>
      <c r="B769" t="str">
        <f>IFERROR(VLOOKUP($A769,原始数据_收盘!$A$4:$G$3460,2,0),"")</f>
        <v/>
      </c>
      <c r="C769" t="str">
        <f>IFERROR(VLOOKUP($A769,原始数据_收盘!$A$4:$G$3460,3,0),"")</f>
        <v/>
      </c>
      <c r="D769" t="str">
        <f>IFERROR(VLOOKUP($A769,原始数据_收盘!$A$4:$G$3460,4,0),"")</f>
        <v/>
      </c>
      <c r="E769" t="str">
        <f>IFERROR(VLOOKUP($A769,原始数据_收盘!$A$4:$G$3460,5,0),"")</f>
        <v/>
      </c>
      <c r="F769" t="str">
        <f>IFERROR(VLOOKUP($A769,原始数据_收盘!$A$4:$G$3460,6,0),"")</f>
        <v/>
      </c>
      <c r="G769" t="str">
        <f>IFERROR(VLOOKUP($A769,原始数据_收盘!$A$4:$G$3460,7,0),"")</f>
        <v/>
      </c>
      <c r="H769">
        <f>IFERROR(VLOOKUP($A769,原始数据_利率互换_FR007_1年!$A$6:$C$4395,2,0),"")</f>
        <v>0</v>
      </c>
      <c r="I769">
        <f>IFERROR(VLOOKUP($A769,原始数据_利率互换_FR007_1年!$A$6:$C$4395,3,0),"")</f>
        <v>3.67</v>
      </c>
    </row>
    <row r="770" spans="1:9">
      <c r="A770" s="6">
        <v>40263</v>
      </c>
      <c r="B770" t="str">
        <f>IFERROR(VLOOKUP($A770,原始数据_收盘!$A$4:$G$3460,2,0),"")</f>
        <v/>
      </c>
      <c r="C770" t="str">
        <f>IFERROR(VLOOKUP($A770,原始数据_收盘!$A$4:$G$3460,3,0),"")</f>
        <v/>
      </c>
      <c r="D770" t="str">
        <f>IFERROR(VLOOKUP($A770,原始数据_收盘!$A$4:$G$3460,4,0),"")</f>
        <v/>
      </c>
      <c r="E770" t="str">
        <f>IFERROR(VLOOKUP($A770,原始数据_收盘!$A$4:$G$3460,5,0),"")</f>
        <v/>
      </c>
      <c r="F770" t="str">
        <f>IFERROR(VLOOKUP($A770,原始数据_收盘!$A$4:$G$3460,6,0),"")</f>
        <v/>
      </c>
      <c r="G770" t="str">
        <f>IFERROR(VLOOKUP($A770,原始数据_收盘!$A$4:$G$3460,7,0),"")</f>
        <v/>
      </c>
      <c r="H770">
        <f>IFERROR(VLOOKUP($A770,原始数据_利率互换_FR007_1年!$A$6:$C$4395,2,0),"")</f>
        <v>2.26</v>
      </c>
      <c r="I770">
        <f>IFERROR(VLOOKUP($A770,原始数据_利率互换_FR007_1年!$A$6:$C$4395,3,0),"")</f>
        <v>3.66</v>
      </c>
    </row>
    <row r="771" spans="1:9">
      <c r="A771" s="6">
        <v>40264</v>
      </c>
      <c r="B771" t="str">
        <f>IFERROR(VLOOKUP($A771,原始数据_收盘!$A$4:$G$3460,2,0),"")</f>
        <v/>
      </c>
      <c r="C771" t="str">
        <f>IFERROR(VLOOKUP($A771,原始数据_收盘!$A$4:$G$3460,3,0),"")</f>
        <v/>
      </c>
      <c r="D771" t="str">
        <f>IFERROR(VLOOKUP($A771,原始数据_收盘!$A$4:$G$3460,4,0),"")</f>
        <v/>
      </c>
      <c r="E771" t="str">
        <f>IFERROR(VLOOKUP($A771,原始数据_收盘!$A$4:$G$3460,5,0),"")</f>
        <v/>
      </c>
      <c r="F771" t="str">
        <f>IFERROR(VLOOKUP($A771,原始数据_收盘!$A$4:$G$3460,6,0),"")</f>
        <v/>
      </c>
      <c r="G771" t="str">
        <f>IFERROR(VLOOKUP($A771,原始数据_收盘!$A$4:$G$3460,7,0),"")</f>
        <v/>
      </c>
      <c r="H771" t="str">
        <f>IFERROR(VLOOKUP($A771,原始数据_利率互换_FR007_1年!$A$6:$C$4395,2,0),"")</f>
        <v/>
      </c>
      <c r="I771" t="str">
        <f>IFERROR(VLOOKUP($A771,原始数据_利率互换_FR007_1年!$A$6:$C$4395,3,0),"")</f>
        <v/>
      </c>
    </row>
    <row r="772" spans="1:9">
      <c r="A772" s="6">
        <v>40265</v>
      </c>
      <c r="B772" t="str">
        <f>IFERROR(VLOOKUP($A772,原始数据_收盘!$A$4:$G$3460,2,0),"")</f>
        <v/>
      </c>
      <c r="C772" t="str">
        <f>IFERROR(VLOOKUP($A772,原始数据_收盘!$A$4:$G$3460,3,0),"")</f>
        <v/>
      </c>
      <c r="D772" t="str">
        <f>IFERROR(VLOOKUP($A772,原始数据_收盘!$A$4:$G$3460,4,0),"")</f>
        <v/>
      </c>
      <c r="E772" t="str">
        <f>IFERROR(VLOOKUP($A772,原始数据_收盘!$A$4:$G$3460,5,0),"")</f>
        <v/>
      </c>
      <c r="F772" t="str">
        <f>IFERROR(VLOOKUP($A772,原始数据_收盘!$A$4:$G$3460,6,0),"")</f>
        <v/>
      </c>
      <c r="G772" t="str">
        <f>IFERROR(VLOOKUP($A772,原始数据_收盘!$A$4:$G$3460,7,0),"")</f>
        <v/>
      </c>
      <c r="H772" t="str">
        <f>IFERROR(VLOOKUP($A772,原始数据_利率互换_FR007_1年!$A$6:$C$4395,2,0),"")</f>
        <v/>
      </c>
      <c r="I772" t="str">
        <f>IFERROR(VLOOKUP($A772,原始数据_利率互换_FR007_1年!$A$6:$C$4395,3,0),"")</f>
        <v/>
      </c>
    </row>
    <row r="773" spans="1:9">
      <c r="A773" s="6">
        <v>40266</v>
      </c>
      <c r="B773" t="str">
        <f>IFERROR(VLOOKUP($A773,原始数据_收盘!$A$4:$G$3460,2,0),"")</f>
        <v/>
      </c>
      <c r="C773" t="str">
        <f>IFERROR(VLOOKUP($A773,原始数据_收盘!$A$4:$G$3460,3,0),"")</f>
        <v/>
      </c>
      <c r="D773" t="str">
        <f>IFERROR(VLOOKUP($A773,原始数据_收盘!$A$4:$G$3460,4,0),"")</f>
        <v/>
      </c>
      <c r="E773" t="str">
        <f>IFERROR(VLOOKUP($A773,原始数据_收盘!$A$4:$G$3460,5,0),"")</f>
        <v/>
      </c>
      <c r="F773" t="str">
        <f>IFERROR(VLOOKUP($A773,原始数据_收盘!$A$4:$G$3460,6,0),"")</f>
        <v/>
      </c>
      <c r="G773" t="str">
        <f>IFERROR(VLOOKUP($A773,原始数据_收盘!$A$4:$G$3460,7,0),"")</f>
        <v/>
      </c>
      <c r="H773">
        <f>IFERROR(VLOOKUP($A773,原始数据_利率互换_FR007_1年!$A$6:$C$4395,2,0),"")</f>
        <v>2.28</v>
      </c>
      <c r="I773">
        <f>IFERROR(VLOOKUP($A773,原始数据_利率互换_FR007_1年!$A$6:$C$4395,3,0),"")</f>
        <v>3.72</v>
      </c>
    </row>
    <row r="774" spans="1:9">
      <c r="A774" s="6">
        <v>40267</v>
      </c>
      <c r="B774" t="str">
        <f>IFERROR(VLOOKUP($A774,原始数据_收盘!$A$4:$G$3460,2,0),"")</f>
        <v/>
      </c>
      <c r="C774" t="str">
        <f>IFERROR(VLOOKUP($A774,原始数据_收盘!$A$4:$G$3460,3,0),"")</f>
        <v/>
      </c>
      <c r="D774" t="str">
        <f>IFERROR(VLOOKUP($A774,原始数据_收盘!$A$4:$G$3460,4,0),"")</f>
        <v/>
      </c>
      <c r="E774" t="str">
        <f>IFERROR(VLOOKUP($A774,原始数据_收盘!$A$4:$G$3460,5,0),"")</f>
        <v/>
      </c>
      <c r="F774" t="str">
        <f>IFERROR(VLOOKUP($A774,原始数据_收盘!$A$4:$G$3460,6,0),"")</f>
        <v/>
      </c>
      <c r="G774" t="str">
        <f>IFERROR(VLOOKUP($A774,原始数据_收盘!$A$4:$G$3460,7,0),"")</f>
        <v/>
      </c>
      <c r="H774">
        <f>IFERROR(VLOOKUP($A774,原始数据_利率互换_FR007_1年!$A$6:$C$4395,2,0),"")</f>
        <v>2.27</v>
      </c>
      <c r="I774">
        <f>IFERROR(VLOOKUP($A774,原始数据_利率互换_FR007_1年!$A$6:$C$4395,3,0),"")</f>
        <v>3.7</v>
      </c>
    </row>
    <row r="775" spans="1:9">
      <c r="A775" s="6">
        <v>40268</v>
      </c>
      <c r="B775" t="str">
        <f>IFERROR(VLOOKUP($A775,原始数据_收盘!$A$4:$G$3460,2,0),"")</f>
        <v/>
      </c>
      <c r="C775" t="str">
        <f>IFERROR(VLOOKUP($A775,原始数据_收盘!$A$4:$G$3460,3,0),"")</f>
        <v/>
      </c>
      <c r="D775" t="str">
        <f>IFERROR(VLOOKUP($A775,原始数据_收盘!$A$4:$G$3460,4,0),"")</f>
        <v/>
      </c>
      <c r="E775" t="str">
        <f>IFERROR(VLOOKUP($A775,原始数据_收盘!$A$4:$G$3460,5,0),"")</f>
        <v/>
      </c>
      <c r="F775" t="str">
        <f>IFERROR(VLOOKUP($A775,原始数据_收盘!$A$4:$G$3460,6,0),"")</f>
        <v/>
      </c>
      <c r="G775" t="str">
        <f>IFERROR(VLOOKUP($A775,原始数据_收盘!$A$4:$G$3460,7,0),"")</f>
        <v/>
      </c>
      <c r="H775">
        <f>IFERROR(VLOOKUP($A775,原始数据_利率互换_FR007_1年!$A$6:$C$4395,2,0),"")</f>
        <v>2.26</v>
      </c>
      <c r="I775">
        <f>IFERROR(VLOOKUP($A775,原始数据_利率互换_FR007_1年!$A$6:$C$4395,3,0),"")</f>
        <v>3.71</v>
      </c>
    </row>
    <row r="776" spans="1:9">
      <c r="A776" s="6">
        <v>40269</v>
      </c>
      <c r="B776" t="str">
        <f>IFERROR(VLOOKUP($A776,原始数据_收盘!$A$4:$G$3460,2,0),"")</f>
        <v/>
      </c>
      <c r="C776" t="str">
        <f>IFERROR(VLOOKUP($A776,原始数据_收盘!$A$4:$G$3460,3,0),"")</f>
        <v/>
      </c>
      <c r="D776" t="str">
        <f>IFERROR(VLOOKUP($A776,原始数据_收盘!$A$4:$G$3460,4,0),"")</f>
        <v/>
      </c>
      <c r="E776" t="str">
        <f>IFERROR(VLOOKUP($A776,原始数据_收盘!$A$4:$G$3460,5,0),"")</f>
        <v/>
      </c>
      <c r="F776" t="str">
        <f>IFERROR(VLOOKUP($A776,原始数据_收盘!$A$4:$G$3460,6,0),"")</f>
        <v/>
      </c>
      <c r="G776" t="str">
        <f>IFERROR(VLOOKUP($A776,原始数据_收盘!$A$4:$G$3460,7,0),"")</f>
        <v/>
      </c>
      <c r="H776">
        <f>IFERROR(VLOOKUP($A776,原始数据_利率互换_FR007_1年!$A$6:$C$4395,2,0),"")</f>
        <v>2.25</v>
      </c>
      <c r="I776">
        <f>IFERROR(VLOOKUP($A776,原始数据_利率互换_FR007_1年!$A$6:$C$4395,3,0),"")</f>
        <v>3.75</v>
      </c>
    </row>
    <row r="777" spans="1:9">
      <c r="A777" s="6">
        <v>40270</v>
      </c>
      <c r="B777" t="str">
        <f>IFERROR(VLOOKUP($A777,原始数据_收盘!$A$4:$G$3460,2,0),"")</f>
        <v/>
      </c>
      <c r="C777" t="str">
        <f>IFERROR(VLOOKUP($A777,原始数据_收盘!$A$4:$G$3460,3,0),"")</f>
        <v/>
      </c>
      <c r="D777" t="str">
        <f>IFERROR(VLOOKUP($A777,原始数据_收盘!$A$4:$G$3460,4,0),"")</f>
        <v/>
      </c>
      <c r="E777" t="str">
        <f>IFERROR(VLOOKUP($A777,原始数据_收盘!$A$4:$G$3460,5,0),"")</f>
        <v/>
      </c>
      <c r="F777" t="str">
        <f>IFERROR(VLOOKUP($A777,原始数据_收盘!$A$4:$G$3460,6,0),"")</f>
        <v/>
      </c>
      <c r="G777" t="str">
        <f>IFERROR(VLOOKUP($A777,原始数据_收盘!$A$4:$G$3460,7,0),"")</f>
        <v/>
      </c>
      <c r="H777">
        <f>IFERROR(VLOOKUP($A777,原始数据_利率互换_FR007_1年!$A$6:$C$4395,2,0),"")</f>
        <v>2.25</v>
      </c>
      <c r="I777">
        <f>IFERROR(VLOOKUP($A777,原始数据_利率互换_FR007_1年!$A$6:$C$4395,3,0),"")</f>
        <v>3.74</v>
      </c>
    </row>
    <row r="778" spans="1:9">
      <c r="A778" s="6">
        <v>40271</v>
      </c>
      <c r="B778" t="str">
        <f>IFERROR(VLOOKUP($A778,原始数据_收盘!$A$4:$G$3460,2,0),"")</f>
        <v/>
      </c>
      <c r="C778" t="str">
        <f>IFERROR(VLOOKUP($A778,原始数据_收盘!$A$4:$G$3460,3,0),"")</f>
        <v/>
      </c>
      <c r="D778" t="str">
        <f>IFERROR(VLOOKUP($A778,原始数据_收盘!$A$4:$G$3460,4,0),"")</f>
        <v/>
      </c>
      <c r="E778" t="str">
        <f>IFERROR(VLOOKUP($A778,原始数据_收盘!$A$4:$G$3460,5,0),"")</f>
        <v/>
      </c>
      <c r="F778" t="str">
        <f>IFERROR(VLOOKUP($A778,原始数据_收盘!$A$4:$G$3460,6,0),"")</f>
        <v/>
      </c>
      <c r="G778" t="str">
        <f>IFERROR(VLOOKUP($A778,原始数据_收盘!$A$4:$G$3460,7,0),"")</f>
        <v/>
      </c>
      <c r="H778" t="str">
        <f>IFERROR(VLOOKUP($A778,原始数据_利率互换_FR007_1年!$A$6:$C$4395,2,0),"")</f>
        <v/>
      </c>
      <c r="I778" t="str">
        <f>IFERROR(VLOOKUP($A778,原始数据_利率互换_FR007_1年!$A$6:$C$4395,3,0),"")</f>
        <v/>
      </c>
    </row>
    <row r="779" spans="1:9">
      <c r="A779" s="6">
        <v>40272</v>
      </c>
      <c r="B779" t="str">
        <f>IFERROR(VLOOKUP($A779,原始数据_收盘!$A$4:$G$3460,2,0),"")</f>
        <v/>
      </c>
      <c r="C779" t="str">
        <f>IFERROR(VLOOKUP($A779,原始数据_收盘!$A$4:$G$3460,3,0),"")</f>
        <v/>
      </c>
      <c r="D779" t="str">
        <f>IFERROR(VLOOKUP($A779,原始数据_收盘!$A$4:$G$3460,4,0),"")</f>
        <v/>
      </c>
      <c r="E779" t="str">
        <f>IFERROR(VLOOKUP($A779,原始数据_收盘!$A$4:$G$3460,5,0),"")</f>
        <v/>
      </c>
      <c r="F779" t="str">
        <f>IFERROR(VLOOKUP($A779,原始数据_收盘!$A$4:$G$3460,6,0),"")</f>
        <v/>
      </c>
      <c r="G779" t="str">
        <f>IFERROR(VLOOKUP($A779,原始数据_收盘!$A$4:$G$3460,7,0),"")</f>
        <v/>
      </c>
      <c r="H779" t="str">
        <f>IFERROR(VLOOKUP($A779,原始数据_利率互换_FR007_1年!$A$6:$C$4395,2,0),"")</f>
        <v/>
      </c>
      <c r="I779" t="str">
        <f>IFERROR(VLOOKUP($A779,原始数据_利率互换_FR007_1年!$A$6:$C$4395,3,0),"")</f>
        <v/>
      </c>
    </row>
    <row r="780" spans="1:9">
      <c r="A780" s="6">
        <v>40273</v>
      </c>
      <c r="B780" t="str">
        <f>IFERROR(VLOOKUP($A780,原始数据_收盘!$A$4:$G$3460,2,0),"")</f>
        <v/>
      </c>
      <c r="C780" t="str">
        <f>IFERROR(VLOOKUP($A780,原始数据_收盘!$A$4:$G$3460,3,0),"")</f>
        <v/>
      </c>
      <c r="D780" t="str">
        <f>IFERROR(VLOOKUP($A780,原始数据_收盘!$A$4:$G$3460,4,0),"")</f>
        <v/>
      </c>
      <c r="E780" t="str">
        <f>IFERROR(VLOOKUP($A780,原始数据_收盘!$A$4:$G$3460,5,0),"")</f>
        <v/>
      </c>
      <c r="F780" t="str">
        <f>IFERROR(VLOOKUP($A780,原始数据_收盘!$A$4:$G$3460,6,0),"")</f>
        <v/>
      </c>
      <c r="G780" t="str">
        <f>IFERROR(VLOOKUP($A780,原始数据_收盘!$A$4:$G$3460,7,0),"")</f>
        <v/>
      </c>
      <c r="H780" t="str">
        <f>IFERROR(VLOOKUP($A780,原始数据_利率互换_FR007_1年!$A$6:$C$4395,2,0),"")</f>
        <v/>
      </c>
      <c r="I780" t="str">
        <f>IFERROR(VLOOKUP($A780,原始数据_利率互换_FR007_1年!$A$6:$C$4395,3,0),"")</f>
        <v/>
      </c>
    </row>
    <row r="781" spans="1:9">
      <c r="A781" s="6">
        <v>40274</v>
      </c>
      <c r="B781" t="str">
        <f>IFERROR(VLOOKUP($A781,原始数据_收盘!$A$4:$G$3460,2,0),"")</f>
        <v/>
      </c>
      <c r="C781" t="str">
        <f>IFERROR(VLOOKUP($A781,原始数据_收盘!$A$4:$G$3460,3,0),"")</f>
        <v/>
      </c>
      <c r="D781" t="str">
        <f>IFERROR(VLOOKUP($A781,原始数据_收盘!$A$4:$G$3460,4,0),"")</f>
        <v/>
      </c>
      <c r="E781" t="str">
        <f>IFERROR(VLOOKUP($A781,原始数据_收盘!$A$4:$G$3460,5,0),"")</f>
        <v/>
      </c>
      <c r="F781" t="str">
        <f>IFERROR(VLOOKUP($A781,原始数据_收盘!$A$4:$G$3460,6,0),"")</f>
        <v/>
      </c>
      <c r="G781" t="str">
        <f>IFERROR(VLOOKUP($A781,原始数据_收盘!$A$4:$G$3460,7,0),"")</f>
        <v/>
      </c>
      <c r="H781">
        <f>IFERROR(VLOOKUP($A781,原始数据_利率互换_FR007_1年!$A$6:$C$4395,2,0),"")</f>
        <v>0</v>
      </c>
      <c r="I781">
        <f>IFERROR(VLOOKUP($A781,原始数据_利率互换_FR007_1年!$A$6:$C$4395,3,0),"")</f>
        <v>3.76</v>
      </c>
    </row>
    <row r="782" spans="1:9">
      <c r="A782" s="6">
        <v>40275</v>
      </c>
      <c r="B782" t="str">
        <f>IFERROR(VLOOKUP($A782,原始数据_收盘!$A$4:$G$3460,2,0),"")</f>
        <v/>
      </c>
      <c r="C782" t="str">
        <f>IFERROR(VLOOKUP($A782,原始数据_收盘!$A$4:$G$3460,3,0),"")</f>
        <v/>
      </c>
      <c r="D782" t="str">
        <f>IFERROR(VLOOKUP($A782,原始数据_收盘!$A$4:$G$3460,4,0),"")</f>
        <v/>
      </c>
      <c r="E782" t="str">
        <f>IFERROR(VLOOKUP($A782,原始数据_收盘!$A$4:$G$3460,5,0),"")</f>
        <v/>
      </c>
      <c r="F782" t="str">
        <f>IFERROR(VLOOKUP($A782,原始数据_收盘!$A$4:$G$3460,6,0),"")</f>
        <v/>
      </c>
      <c r="G782" t="str">
        <f>IFERROR(VLOOKUP($A782,原始数据_收盘!$A$4:$G$3460,7,0),"")</f>
        <v/>
      </c>
      <c r="H782">
        <f>IFERROR(VLOOKUP($A782,原始数据_利率互换_FR007_1年!$A$6:$C$4395,2,0),"")</f>
        <v>2.29</v>
      </c>
      <c r="I782">
        <f>IFERROR(VLOOKUP($A782,原始数据_利率互换_FR007_1年!$A$6:$C$4395,3,0),"")</f>
        <v>3.77</v>
      </c>
    </row>
    <row r="783" spans="1:9">
      <c r="A783" s="6">
        <v>40276</v>
      </c>
      <c r="B783" t="str">
        <f>IFERROR(VLOOKUP($A783,原始数据_收盘!$A$4:$G$3460,2,0),"")</f>
        <v/>
      </c>
      <c r="C783" t="str">
        <f>IFERROR(VLOOKUP($A783,原始数据_收盘!$A$4:$G$3460,3,0),"")</f>
        <v/>
      </c>
      <c r="D783" t="str">
        <f>IFERROR(VLOOKUP($A783,原始数据_收盘!$A$4:$G$3460,4,0),"")</f>
        <v/>
      </c>
      <c r="E783" t="str">
        <f>IFERROR(VLOOKUP($A783,原始数据_收盘!$A$4:$G$3460,5,0),"")</f>
        <v/>
      </c>
      <c r="F783" t="str">
        <f>IFERROR(VLOOKUP($A783,原始数据_收盘!$A$4:$G$3460,6,0),"")</f>
        <v/>
      </c>
      <c r="G783" t="str">
        <f>IFERROR(VLOOKUP($A783,原始数据_收盘!$A$4:$G$3460,7,0),"")</f>
        <v/>
      </c>
      <c r="H783">
        <f>IFERROR(VLOOKUP($A783,原始数据_利率互换_FR007_1年!$A$6:$C$4395,2,0),"")</f>
        <v>0</v>
      </c>
      <c r="I783">
        <f>IFERROR(VLOOKUP($A783,原始数据_利率互换_FR007_1年!$A$6:$C$4395,3,0),"")</f>
        <v>3.73</v>
      </c>
    </row>
    <row r="784" spans="1:9">
      <c r="A784" s="6">
        <v>40277</v>
      </c>
      <c r="B784" t="str">
        <f>IFERROR(VLOOKUP($A784,原始数据_收盘!$A$4:$G$3460,2,0),"")</f>
        <v/>
      </c>
      <c r="C784" t="str">
        <f>IFERROR(VLOOKUP($A784,原始数据_收盘!$A$4:$G$3460,3,0),"")</f>
        <v/>
      </c>
      <c r="D784" t="str">
        <f>IFERROR(VLOOKUP($A784,原始数据_收盘!$A$4:$G$3460,4,0),"")</f>
        <v/>
      </c>
      <c r="E784" t="str">
        <f>IFERROR(VLOOKUP($A784,原始数据_收盘!$A$4:$G$3460,5,0),"")</f>
        <v/>
      </c>
      <c r="F784" t="str">
        <f>IFERROR(VLOOKUP($A784,原始数据_收盘!$A$4:$G$3460,6,0),"")</f>
        <v/>
      </c>
      <c r="G784" t="str">
        <f>IFERROR(VLOOKUP($A784,原始数据_收盘!$A$4:$G$3460,7,0),"")</f>
        <v/>
      </c>
      <c r="H784">
        <f>IFERROR(VLOOKUP($A784,原始数据_利率互换_FR007_1年!$A$6:$C$4395,2,0),"")</f>
        <v>0</v>
      </c>
      <c r="I784">
        <f>IFERROR(VLOOKUP($A784,原始数据_利率互换_FR007_1年!$A$6:$C$4395,3,0),"")</f>
        <v>3.69</v>
      </c>
    </row>
    <row r="785" spans="1:9">
      <c r="A785" s="6">
        <v>40278</v>
      </c>
      <c r="B785" t="str">
        <f>IFERROR(VLOOKUP($A785,原始数据_收盘!$A$4:$G$3460,2,0),"")</f>
        <v/>
      </c>
      <c r="C785" t="str">
        <f>IFERROR(VLOOKUP($A785,原始数据_收盘!$A$4:$G$3460,3,0),"")</f>
        <v/>
      </c>
      <c r="D785" t="str">
        <f>IFERROR(VLOOKUP($A785,原始数据_收盘!$A$4:$G$3460,4,0),"")</f>
        <v/>
      </c>
      <c r="E785" t="str">
        <f>IFERROR(VLOOKUP($A785,原始数据_收盘!$A$4:$G$3460,5,0),"")</f>
        <v/>
      </c>
      <c r="F785" t="str">
        <f>IFERROR(VLOOKUP($A785,原始数据_收盘!$A$4:$G$3460,6,0),"")</f>
        <v/>
      </c>
      <c r="G785" t="str">
        <f>IFERROR(VLOOKUP($A785,原始数据_收盘!$A$4:$G$3460,7,0),"")</f>
        <v/>
      </c>
      <c r="H785" t="str">
        <f>IFERROR(VLOOKUP($A785,原始数据_利率互换_FR007_1年!$A$6:$C$4395,2,0),"")</f>
        <v/>
      </c>
      <c r="I785" t="str">
        <f>IFERROR(VLOOKUP($A785,原始数据_利率互换_FR007_1年!$A$6:$C$4395,3,0),"")</f>
        <v/>
      </c>
    </row>
    <row r="786" spans="1:9">
      <c r="A786" s="6">
        <v>40279</v>
      </c>
      <c r="B786" t="str">
        <f>IFERROR(VLOOKUP($A786,原始数据_收盘!$A$4:$G$3460,2,0),"")</f>
        <v/>
      </c>
      <c r="C786" t="str">
        <f>IFERROR(VLOOKUP($A786,原始数据_收盘!$A$4:$G$3460,3,0),"")</f>
        <v/>
      </c>
      <c r="D786" t="str">
        <f>IFERROR(VLOOKUP($A786,原始数据_收盘!$A$4:$G$3460,4,0),"")</f>
        <v/>
      </c>
      <c r="E786" t="str">
        <f>IFERROR(VLOOKUP($A786,原始数据_收盘!$A$4:$G$3460,5,0),"")</f>
        <v/>
      </c>
      <c r="F786" t="str">
        <f>IFERROR(VLOOKUP($A786,原始数据_收盘!$A$4:$G$3460,6,0),"")</f>
        <v/>
      </c>
      <c r="G786" t="str">
        <f>IFERROR(VLOOKUP($A786,原始数据_收盘!$A$4:$G$3460,7,0),"")</f>
        <v/>
      </c>
      <c r="H786" t="str">
        <f>IFERROR(VLOOKUP($A786,原始数据_利率互换_FR007_1年!$A$6:$C$4395,2,0),"")</f>
        <v/>
      </c>
      <c r="I786" t="str">
        <f>IFERROR(VLOOKUP($A786,原始数据_利率互换_FR007_1年!$A$6:$C$4395,3,0),"")</f>
        <v/>
      </c>
    </row>
    <row r="787" spans="1:9">
      <c r="A787" s="6">
        <v>40280</v>
      </c>
      <c r="B787" t="str">
        <f>IFERROR(VLOOKUP($A787,原始数据_收盘!$A$4:$G$3460,2,0),"")</f>
        <v/>
      </c>
      <c r="C787" t="str">
        <f>IFERROR(VLOOKUP($A787,原始数据_收盘!$A$4:$G$3460,3,0),"")</f>
        <v/>
      </c>
      <c r="D787" t="str">
        <f>IFERROR(VLOOKUP($A787,原始数据_收盘!$A$4:$G$3460,4,0),"")</f>
        <v/>
      </c>
      <c r="E787" t="str">
        <f>IFERROR(VLOOKUP($A787,原始数据_收盘!$A$4:$G$3460,5,0),"")</f>
        <v/>
      </c>
      <c r="F787" t="str">
        <f>IFERROR(VLOOKUP($A787,原始数据_收盘!$A$4:$G$3460,6,0),"")</f>
        <v/>
      </c>
      <c r="G787" t="str">
        <f>IFERROR(VLOOKUP($A787,原始数据_收盘!$A$4:$G$3460,7,0),"")</f>
        <v/>
      </c>
      <c r="H787">
        <f>IFERROR(VLOOKUP($A787,原始数据_利率互换_FR007_1年!$A$6:$C$4395,2,0),"")</f>
        <v>2.24</v>
      </c>
      <c r="I787">
        <f>IFERROR(VLOOKUP($A787,原始数据_利率互换_FR007_1年!$A$6:$C$4395,3,0),"")</f>
        <v>3.64</v>
      </c>
    </row>
    <row r="788" spans="1:9">
      <c r="A788" s="6">
        <v>40281</v>
      </c>
      <c r="B788" t="str">
        <f>IFERROR(VLOOKUP($A788,原始数据_收盘!$A$4:$G$3460,2,0),"")</f>
        <v/>
      </c>
      <c r="C788" t="str">
        <f>IFERROR(VLOOKUP($A788,原始数据_收盘!$A$4:$G$3460,3,0),"")</f>
        <v/>
      </c>
      <c r="D788" t="str">
        <f>IFERROR(VLOOKUP($A788,原始数据_收盘!$A$4:$G$3460,4,0),"")</f>
        <v/>
      </c>
      <c r="E788" t="str">
        <f>IFERROR(VLOOKUP($A788,原始数据_收盘!$A$4:$G$3460,5,0),"")</f>
        <v/>
      </c>
      <c r="F788" t="str">
        <f>IFERROR(VLOOKUP($A788,原始数据_收盘!$A$4:$G$3460,6,0),"")</f>
        <v/>
      </c>
      <c r="G788" t="str">
        <f>IFERROR(VLOOKUP($A788,原始数据_收盘!$A$4:$G$3460,7,0),"")</f>
        <v/>
      </c>
      <c r="H788">
        <f>IFERROR(VLOOKUP($A788,原始数据_利率互换_FR007_1年!$A$6:$C$4395,2,0),"")</f>
        <v>2.22</v>
      </c>
      <c r="I788">
        <f>IFERROR(VLOOKUP($A788,原始数据_利率互换_FR007_1年!$A$6:$C$4395,3,0),"")</f>
        <v>0</v>
      </c>
    </row>
    <row r="789" spans="1:9">
      <c r="A789" s="6">
        <v>40282</v>
      </c>
      <c r="B789" t="str">
        <f>IFERROR(VLOOKUP($A789,原始数据_收盘!$A$4:$G$3460,2,0),"")</f>
        <v/>
      </c>
      <c r="C789" t="str">
        <f>IFERROR(VLOOKUP($A789,原始数据_收盘!$A$4:$G$3460,3,0),"")</f>
        <v/>
      </c>
      <c r="D789" t="str">
        <f>IFERROR(VLOOKUP($A789,原始数据_收盘!$A$4:$G$3460,4,0),"")</f>
        <v/>
      </c>
      <c r="E789" t="str">
        <f>IFERROR(VLOOKUP($A789,原始数据_收盘!$A$4:$G$3460,5,0),"")</f>
        <v/>
      </c>
      <c r="F789" t="str">
        <f>IFERROR(VLOOKUP($A789,原始数据_收盘!$A$4:$G$3460,6,0),"")</f>
        <v/>
      </c>
      <c r="G789" t="str">
        <f>IFERROR(VLOOKUP($A789,原始数据_收盘!$A$4:$G$3460,7,0),"")</f>
        <v/>
      </c>
      <c r="H789">
        <f>IFERROR(VLOOKUP($A789,原始数据_利率互换_FR007_1年!$A$6:$C$4395,2,0),"")</f>
        <v>2.21</v>
      </c>
      <c r="I789">
        <f>IFERROR(VLOOKUP($A789,原始数据_利率互换_FR007_1年!$A$6:$C$4395,3,0),"")</f>
        <v>3.59</v>
      </c>
    </row>
    <row r="790" spans="1:9">
      <c r="A790" s="6">
        <v>40283</v>
      </c>
      <c r="B790" t="str">
        <f>IFERROR(VLOOKUP($A790,原始数据_收盘!$A$4:$G$3460,2,0),"")</f>
        <v/>
      </c>
      <c r="C790" t="str">
        <f>IFERROR(VLOOKUP($A790,原始数据_收盘!$A$4:$G$3460,3,0),"")</f>
        <v/>
      </c>
      <c r="D790" t="str">
        <f>IFERROR(VLOOKUP($A790,原始数据_收盘!$A$4:$G$3460,4,0),"")</f>
        <v/>
      </c>
      <c r="E790" t="str">
        <f>IFERROR(VLOOKUP($A790,原始数据_收盘!$A$4:$G$3460,5,0),"")</f>
        <v/>
      </c>
      <c r="F790" t="str">
        <f>IFERROR(VLOOKUP($A790,原始数据_收盘!$A$4:$G$3460,6,0),"")</f>
        <v/>
      </c>
      <c r="G790" t="str">
        <f>IFERROR(VLOOKUP($A790,原始数据_收盘!$A$4:$G$3460,7,0),"")</f>
        <v/>
      </c>
      <c r="H790">
        <f>IFERROR(VLOOKUP($A790,原始数据_利率互换_FR007_1年!$A$6:$C$4395,2,0),"")</f>
        <v>0</v>
      </c>
      <c r="I790">
        <f>IFERROR(VLOOKUP($A790,原始数据_利率互换_FR007_1年!$A$6:$C$4395,3,0),"")</f>
        <v>3.55</v>
      </c>
    </row>
    <row r="791" spans="1:9">
      <c r="A791" s="6">
        <v>40284</v>
      </c>
      <c r="B791" t="str">
        <f>IFERROR(VLOOKUP($A791,原始数据_收盘!$A$4:$G$3460,2,0),"")</f>
        <v/>
      </c>
      <c r="C791" t="str">
        <f>IFERROR(VLOOKUP($A791,原始数据_收盘!$A$4:$G$3460,3,0),"")</f>
        <v/>
      </c>
      <c r="D791" t="str">
        <f>IFERROR(VLOOKUP($A791,原始数据_收盘!$A$4:$G$3460,4,0),"")</f>
        <v/>
      </c>
      <c r="E791" t="str">
        <f>IFERROR(VLOOKUP($A791,原始数据_收盘!$A$4:$G$3460,5,0),"")</f>
        <v/>
      </c>
      <c r="F791" t="str">
        <f>IFERROR(VLOOKUP($A791,原始数据_收盘!$A$4:$G$3460,6,0),"")</f>
        <v/>
      </c>
      <c r="G791" t="str">
        <f>IFERROR(VLOOKUP($A791,原始数据_收盘!$A$4:$G$3460,7,0),"")</f>
        <v/>
      </c>
      <c r="H791" t="str">
        <f>IFERROR(VLOOKUP($A791,原始数据_利率互换_FR007_1年!$A$6:$C$4395,2,0),"")</f>
        <v/>
      </c>
      <c r="I791" t="str">
        <f>IFERROR(VLOOKUP($A791,原始数据_利率互换_FR007_1年!$A$6:$C$4395,3,0),"")</f>
        <v/>
      </c>
    </row>
    <row r="792" spans="1:9">
      <c r="A792" s="6">
        <v>40285</v>
      </c>
      <c r="B792" t="str">
        <f>IFERROR(VLOOKUP($A792,原始数据_收盘!$A$4:$G$3460,2,0),"")</f>
        <v/>
      </c>
      <c r="C792" t="str">
        <f>IFERROR(VLOOKUP($A792,原始数据_收盘!$A$4:$G$3460,3,0),"")</f>
        <v/>
      </c>
      <c r="D792" t="str">
        <f>IFERROR(VLOOKUP($A792,原始数据_收盘!$A$4:$G$3460,4,0),"")</f>
        <v/>
      </c>
      <c r="E792" t="str">
        <f>IFERROR(VLOOKUP($A792,原始数据_收盘!$A$4:$G$3460,5,0),"")</f>
        <v/>
      </c>
      <c r="F792" t="str">
        <f>IFERROR(VLOOKUP($A792,原始数据_收盘!$A$4:$G$3460,6,0),"")</f>
        <v/>
      </c>
      <c r="G792" t="str">
        <f>IFERROR(VLOOKUP($A792,原始数据_收盘!$A$4:$G$3460,7,0),"")</f>
        <v/>
      </c>
      <c r="H792" t="str">
        <f>IFERROR(VLOOKUP($A792,原始数据_利率互换_FR007_1年!$A$6:$C$4395,2,0),"")</f>
        <v/>
      </c>
      <c r="I792" t="str">
        <f>IFERROR(VLOOKUP($A792,原始数据_利率互换_FR007_1年!$A$6:$C$4395,3,0),"")</f>
        <v/>
      </c>
    </row>
    <row r="793" spans="1:9">
      <c r="A793" s="6">
        <v>40286</v>
      </c>
      <c r="B793" t="str">
        <f>IFERROR(VLOOKUP($A793,原始数据_收盘!$A$4:$G$3460,2,0),"")</f>
        <v/>
      </c>
      <c r="C793" t="str">
        <f>IFERROR(VLOOKUP($A793,原始数据_收盘!$A$4:$G$3460,3,0),"")</f>
        <v/>
      </c>
      <c r="D793" t="str">
        <f>IFERROR(VLOOKUP($A793,原始数据_收盘!$A$4:$G$3460,4,0),"")</f>
        <v/>
      </c>
      <c r="E793" t="str">
        <f>IFERROR(VLOOKUP($A793,原始数据_收盘!$A$4:$G$3460,5,0),"")</f>
        <v/>
      </c>
      <c r="F793" t="str">
        <f>IFERROR(VLOOKUP($A793,原始数据_收盘!$A$4:$G$3460,6,0),"")</f>
        <v/>
      </c>
      <c r="G793" t="str">
        <f>IFERROR(VLOOKUP($A793,原始数据_收盘!$A$4:$G$3460,7,0),"")</f>
        <v/>
      </c>
      <c r="H793" t="str">
        <f>IFERROR(VLOOKUP($A793,原始数据_利率互换_FR007_1年!$A$6:$C$4395,2,0),"")</f>
        <v/>
      </c>
      <c r="I793" t="str">
        <f>IFERROR(VLOOKUP($A793,原始数据_利率互换_FR007_1年!$A$6:$C$4395,3,0),"")</f>
        <v/>
      </c>
    </row>
    <row r="794" spans="1:9">
      <c r="A794" s="6">
        <v>40287</v>
      </c>
      <c r="B794" t="str">
        <f>IFERROR(VLOOKUP($A794,原始数据_收盘!$A$4:$G$3460,2,0),"")</f>
        <v/>
      </c>
      <c r="C794" t="str">
        <f>IFERROR(VLOOKUP($A794,原始数据_收盘!$A$4:$G$3460,3,0),"")</f>
        <v/>
      </c>
      <c r="D794" t="str">
        <f>IFERROR(VLOOKUP($A794,原始数据_收盘!$A$4:$G$3460,4,0),"")</f>
        <v/>
      </c>
      <c r="E794" t="str">
        <f>IFERROR(VLOOKUP($A794,原始数据_收盘!$A$4:$G$3460,5,0),"")</f>
        <v/>
      </c>
      <c r="F794" t="str">
        <f>IFERROR(VLOOKUP($A794,原始数据_收盘!$A$4:$G$3460,6,0),"")</f>
        <v/>
      </c>
      <c r="G794" t="str">
        <f>IFERROR(VLOOKUP($A794,原始数据_收盘!$A$4:$G$3460,7,0),"")</f>
        <v/>
      </c>
      <c r="H794">
        <f>IFERROR(VLOOKUP($A794,原始数据_利率互换_FR007_1年!$A$6:$C$4395,2,0),"")</f>
        <v>2.19</v>
      </c>
      <c r="I794">
        <f>IFERROR(VLOOKUP($A794,原始数据_利率互换_FR007_1年!$A$6:$C$4395,3,0),"")</f>
        <v>3.51</v>
      </c>
    </row>
    <row r="795" spans="1:9">
      <c r="A795" s="6">
        <v>40288</v>
      </c>
      <c r="B795" t="str">
        <f>IFERROR(VLOOKUP($A795,原始数据_收盘!$A$4:$G$3460,2,0),"")</f>
        <v/>
      </c>
      <c r="C795" t="str">
        <f>IFERROR(VLOOKUP($A795,原始数据_收盘!$A$4:$G$3460,3,0),"")</f>
        <v/>
      </c>
      <c r="D795" t="str">
        <f>IFERROR(VLOOKUP($A795,原始数据_收盘!$A$4:$G$3460,4,0),"")</f>
        <v/>
      </c>
      <c r="E795" t="str">
        <f>IFERROR(VLOOKUP($A795,原始数据_收盘!$A$4:$G$3460,5,0),"")</f>
        <v/>
      </c>
      <c r="F795" t="str">
        <f>IFERROR(VLOOKUP($A795,原始数据_收盘!$A$4:$G$3460,6,0),"")</f>
        <v/>
      </c>
      <c r="G795" t="str">
        <f>IFERROR(VLOOKUP($A795,原始数据_收盘!$A$4:$G$3460,7,0),"")</f>
        <v/>
      </c>
      <c r="H795">
        <f>IFERROR(VLOOKUP($A795,原始数据_利率互换_FR007_1年!$A$6:$C$4395,2,0),"")</f>
        <v>2.17</v>
      </c>
      <c r="I795">
        <f>IFERROR(VLOOKUP($A795,原始数据_利率互换_FR007_1年!$A$6:$C$4395,3,0),"")</f>
        <v>3.48</v>
      </c>
    </row>
    <row r="796" spans="1:9">
      <c r="A796" s="6">
        <v>40289</v>
      </c>
      <c r="B796" t="str">
        <f>IFERROR(VLOOKUP($A796,原始数据_收盘!$A$4:$G$3460,2,0),"")</f>
        <v/>
      </c>
      <c r="C796" t="str">
        <f>IFERROR(VLOOKUP($A796,原始数据_收盘!$A$4:$G$3460,3,0),"")</f>
        <v/>
      </c>
      <c r="D796" t="str">
        <f>IFERROR(VLOOKUP($A796,原始数据_收盘!$A$4:$G$3460,4,0),"")</f>
        <v/>
      </c>
      <c r="E796" t="str">
        <f>IFERROR(VLOOKUP($A796,原始数据_收盘!$A$4:$G$3460,5,0),"")</f>
        <v/>
      </c>
      <c r="F796" t="str">
        <f>IFERROR(VLOOKUP($A796,原始数据_收盘!$A$4:$G$3460,6,0),"")</f>
        <v/>
      </c>
      <c r="G796" t="str">
        <f>IFERROR(VLOOKUP($A796,原始数据_收盘!$A$4:$G$3460,7,0),"")</f>
        <v/>
      </c>
      <c r="H796">
        <f>IFERROR(VLOOKUP($A796,原始数据_利率互换_FR007_1年!$A$6:$C$4395,2,0),"")</f>
        <v>2.16</v>
      </c>
      <c r="I796">
        <f>IFERROR(VLOOKUP($A796,原始数据_利率互换_FR007_1年!$A$6:$C$4395,3,0),"")</f>
        <v>0</v>
      </c>
    </row>
    <row r="797" spans="1:9">
      <c r="A797" s="6">
        <v>40290</v>
      </c>
      <c r="B797" t="str">
        <f>IFERROR(VLOOKUP($A797,原始数据_收盘!$A$4:$G$3460,2,0),"")</f>
        <v/>
      </c>
      <c r="C797" t="str">
        <f>IFERROR(VLOOKUP($A797,原始数据_收盘!$A$4:$G$3460,3,0),"")</f>
        <v/>
      </c>
      <c r="D797" t="str">
        <f>IFERROR(VLOOKUP($A797,原始数据_收盘!$A$4:$G$3460,4,0),"")</f>
        <v/>
      </c>
      <c r="E797" t="str">
        <f>IFERROR(VLOOKUP($A797,原始数据_收盘!$A$4:$G$3460,5,0),"")</f>
        <v/>
      </c>
      <c r="F797" t="str">
        <f>IFERROR(VLOOKUP($A797,原始数据_收盘!$A$4:$G$3460,6,0),"")</f>
        <v/>
      </c>
      <c r="G797" t="str">
        <f>IFERROR(VLOOKUP($A797,原始数据_收盘!$A$4:$G$3460,7,0),"")</f>
        <v/>
      </c>
      <c r="H797">
        <f>IFERROR(VLOOKUP($A797,原始数据_利率互换_FR007_1年!$A$6:$C$4395,2,0),"")</f>
        <v>2.14</v>
      </c>
      <c r="I797">
        <f>IFERROR(VLOOKUP($A797,原始数据_利率互换_FR007_1年!$A$6:$C$4395,3,0),"")</f>
        <v>3.42</v>
      </c>
    </row>
    <row r="798" spans="1:9">
      <c r="A798" s="6">
        <v>40291</v>
      </c>
      <c r="B798" t="str">
        <f>IFERROR(VLOOKUP($A798,原始数据_收盘!$A$4:$G$3460,2,0),"")</f>
        <v/>
      </c>
      <c r="C798" t="str">
        <f>IFERROR(VLOOKUP($A798,原始数据_收盘!$A$4:$G$3460,3,0),"")</f>
        <v/>
      </c>
      <c r="D798" t="str">
        <f>IFERROR(VLOOKUP($A798,原始数据_收盘!$A$4:$G$3460,4,0),"")</f>
        <v/>
      </c>
      <c r="E798" t="str">
        <f>IFERROR(VLOOKUP($A798,原始数据_收盘!$A$4:$G$3460,5,0),"")</f>
        <v/>
      </c>
      <c r="F798" t="str">
        <f>IFERROR(VLOOKUP($A798,原始数据_收盘!$A$4:$G$3460,6,0),"")</f>
        <v/>
      </c>
      <c r="G798" t="str">
        <f>IFERROR(VLOOKUP($A798,原始数据_收盘!$A$4:$G$3460,7,0),"")</f>
        <v/>
      </c>
      <c r="H798">
        <f>IFERROR(VLOOKUP($A798,原始数据_利率互换_FR007_1年!$A$6:$C$4395,2,0),"")</f>
        <v>2.13</v>
      </c>
      <c r="I798">
        <f>IFERROR(VLOOKUP($A798,原始数据_利率互换_FR007_1年!$A$6:$C$4395,3,0),"")</f>
        <v>0</v>
      </c>
    </row>
    <row r="799" spans="1:9">
      <c r="A799" s="6">
        <v>40292</v>
      </c>
      <c r="B799" t="str">
        <f>IFERROR(VLOOKUP($A799,原始数据_收盘!$A$4:$G$3460,2,0),"")</f>
        <v/>
      </c>
      <c r="C799" t="str">
        <f>IFERROR(VLOOKUP($A799,原始数据_收盘!$A$4:$G$3460,3,0),"")</f>
        <v/>
      </c>
      <c r="D799" t="str">
        <f>IFERROR(VLOOKUP($A799,原始数据_收盘!$A$4:$G$3460,4,0),"")</f>
        <v/>
      </c>
      <c r="E799" t="str">
        <f>IFERROR(VLOOKUP($A799,原始数据_收盘!$A$4:$G$3460,5,0),"")</f>
        <v/>
      </c>
      <c r="F799" t="str">
        <f>IFERROR(VLOOKUP($A799,原始数据_收盘!$A$4:$G$3460,6,0),"")</f>
        <v/>
      </c>
      <c r="G799" t="str">
        <f>IFERROR(VLOOKUP($A799,原始数据_收盘!$A$4:$G$3460,7,0),"")</f>
        <v/>
      </c>
      <c r="H799" t="str">
        <f>IFERROR(VLOOKUP($A799,原始数据_利率互换_FR007_1年!$A$6:$C$4395,2,0),"")</f>
        <v/>
      </c>
      <c r="I799" t="str">
        <f>IFERROR(VLOOKUP($A799,原始数据_利率互换_FR007_1年!$A$6:$C$4395,3,0),"")</f>
        <v/>
      </c>
    </row>
    <row r="800" spans="1:9">
      <c r="A800" s="6">
        <v>40293</v>
      </c>
      <c r="B800" t="str">
        <f>IFERROR(VLOOKUP($A800,原始数据_收盘!$A$4:$G$3460,2,0),"")</f>
        <v/>
      </c>
      <c r="C800" t="str">
        <f>IFERROR(VLOOKUP($A800,原始数据_收盘!$A$4:$G$3460,3,0),"")</f>
        <v/>
      </c>
      <c r="D800" t="str">
        <f>IFERROR(VLOOKUP($A800,原始数据_收盘!$A$4:$G$3460,4,0),"")</f>
        <v/>
      </c>
      <c r="E800" t="str">
        <f>IFERROR(VLOOKUP($A800,原始数据_收盘!$A$4:$G$3460,5,0),"")</f>
        <v/>
      </c>
      <c r="F800" t="str">
        <f>IFERROR(VLOOKUP($A800,原始数据_收盘!$A$4:$G$3460,6,0),"")</f>
        <v/>
      </c>
      <c r="G800" t="str">
        <f>IFERROR(VLOOKUP($A800,原始数据_收盘!$A$4:$G$3460,7,0),"")</f>
        <v/>
      </c>
      <c r="H800" t="str">
        <f>IFERROR(VLOOKUP($A800,原始数据_利率互换_FR007_1年!$A$6:$C$4395,2,0),"")</f>
        <v/>
      </c>
      <c r="I800" t="str">
        <f>IFERROR(VLOOKUP($A800,原始数据_利率互换_FR007_1年!$A$6:$C$4395,3,0),"")</f>
        <v/>
      </c>
    </row>
    <row r="801" spans="1:9">
      <c r="A801" s="6">
        <v>40294</v>
      </c>
      <c r="B801" t="str">
        <f>IFERROR(VLOOKUP($A801,原始数据_收盘!$A$4:$G$3460,2,0),"")</f>
        <v/>
      </c>
      <c r="C801" t="str">
        <f>IFERROR(VLOOKUP($A801,原始数据_收盘!$A$4:$G$3460,3,0),"")</f>
        <v/>
      </c>
      <c r="D801" t="str">
        <f>IFERROR(VLOOKUP($A801,原始数据_收盘!$A$4:$G$3460,4,0),"")</f>
        <v/>
      </c>
      <c r="E801" t="str">
        <f>IFERROR(VLOOKUP($A801,原始数据_收盘!$A$4:$G$3460,5,0),"")</f>
        <v/>
      </c>
      <c r="F801" t="str">
        <f>IFERROR(VLOOKUP($A801,原始数据_收盘!$A$4:$G$3460,6,0),"")</f>
        <v/>
      </c>
      <c r="G801" t="str">
        <f>IFERROR(VLOOKUP($A801,原始数据_收盘!$A$4:$G$3460,7,0),"")</f>
        <v/>
      </c>
      <c r="H801">
        <f>IFERROR(VLOOKUP($A801,原始数据_利率互换_FR007_1年!$A$6:$C$4395,2,0),"")</f>
        <v>2.1</v>
      </c>
      <c r="I801">
        <f>IFERROR(VLOOKUP($A801,原始数据_利率互换_FR007_1年!$A$6:$C$4395,3,0),"")</f>
        <v>3.32</v>
      </c>
    </row>
    <row r="802" spans="1:9">
      <c r="A802" s="6">
        <v>40295</v>
      </c>
      <c r="B802" t="str">
        <f>IFERROR(VLOOKUP($A802,原始数据_收盘!$A$4:$G$3460,2,0),"")</f>
        <v/>
      </c>
      <c r="C802" t="str">
        <f>IFERROR(VLOOKUP($A802,原始数据_收盘!$A$4:$G$3460,3,0),"")</f>
        <v/>
      </c>
      <c r="D802" t="str">
        <f>IFERROR(VLOOKUP($A802,原始数据_收盘!$A$4:$G$3460,4,0),"")</f>
        <v/>
      </c>
      <c r="E802" t="str">
        <f>IFERROR(VLOOKUP($A802,原始数据_收盘!$A$4:$G$3460,5,0),"")</f>
        <v/>
      </c>
      <c r="F802" t="str">
        <f>IFERROR(VLOOKUP($A802,原始数据_收盘!$A$4:$G$3460,6,0),"")</f>
        <v/>
      </c>
      <c r="G802" t="str">
        <f>IFERROR(VLOOKUP($A802,原始数据_收盘!$A$4:$G$3460,7,0),"")</f>
        <v/>
      </c>
      <c r="H802">
        <f>IFERROR(VLOOKUP($A802,原始数据_利率互换_FR007_1年!$A$6:$C$4395,2,0),"")</f>
        <v>2.12</v>
      </c>
      <c r="I802">
        <f>IFERROR(VLOOKUP($A802,原始数据_利率互换_FR007_1年!$A$6:$C$4395,3,0),"")</f>
        <v>0</v>
      </c>
    </row>
    <row r="803" spans="1:9">
      <c r="A803" s="6">
        <v>40296</v>
      </c>
      <c r="B803" t="str">
        <f>IFERROR(VLOOKUP($A803,原始数据_收盘!$A$4:$G$3460,2,0),"")</f>
        <v/>
      </c>
      <c r="C803" t="str">
        <f>IFERROR(VLOOKUP($A803,原始数据_收盘!$A$4:$G$3460,3,0),"")</f>
        <v/>
      </c>
      <c r="D803" t="str">
        <f>IFERROR(VLOOKUP($A803,原始数据_收盘!$A$4:$G$3460,4,0),"")</f>
        <v/>
      </c>
      <c r="E803" t="str">
        <f>IFERROR(VLOOKUP($A803,原始数据_收盘!$A$4:$G$3460,5,0),"")</f>
        <v/>
      </c>
      <c r="F803" t="str">
        <f>IFERROR(VLOOKUP($A803,原始数据_收盘!$A$4:$G$3460,6,0),"")</f>
        <v/>
      </c>
      <c r="G803" t="str">
        <f>IFERROR(VLOOKUP($A803,原始数据_收盘!$A$4:$G$3460,7,0),"")</f>
        <v/>
      </c>
      <c r="H803">
        <f>IFERROR(VLOOKUP($A803,原始数据_利率互换_FR007_1年!$A$6:$C$4395,2,0),"")</f>
        <v>2.13</v>
      </c>
      <c r="I803">
        <f>IFERROR(VLOOKUP($A803,原始数据_利率互换_FR007_1年!$A$6:$C$4395,3,0),"")</f>
        <v>3.37</v>
      </c>
    </row>
    <row r="804" spans="1:9">
      <c r="A804" s="6">
        <v>40297</v>
      </c>
      <c r="B804" t="str">
        <f>IFERROR(VLOOKUP($A804,原始数据_收盘!$A$4:$G$3460,2,0),"")</f>
        <v/>
      </c>
      <c r="C804" t="str">
        <f>IFERROR(VLOOKUP($A804,原始数据_收盘!$A$4:$G$3460,3,0),"")</f>
        <v/>
      </c>
      <c r="D804" t="str">
        <f>IFERROR(VLOOKUP($A804,原始数据_收盘!$A$4:$G$3460,4,0),"")</f>
        <v/>
      </c>
      <c r="E804" t="str">
        <f>IFERROR(VLOOKUP($A804,原始数据_收盘!$A$4:$G$3460,5,0),"")</f>
        <v/>
      </c>
      <c r="F804" t="str">
        <f>IFERROR(VLOOKUP($A804,原始数据_收盘!$A$4:$G$3460,6,0),"")</f>
        <v/>
      </c>
      <c r="G804" t="str">
        <f>IFERROR(VLOOKUP($A804,原始数据_收盘!$A$4:$G$3460,7,0),"")</f>
        <v/>
      </c>
      <c r="H804">
        <f>IFERROR(VLOOKUP($A804,原始数据_利率互换_FR007_1年!$A$6:$C$4395,2,0),"")</f>
        <v>2.12</v>
      </c>
      <c r="I804">
        <f>IFERROR(VLOOKUP($A804,原始数据_利率互换_FR007_1年!$A$6:$C$4395,3,0),"")</f>
        <v>3.37</v>
      </c>
    </row>
    <row r="805" spans="1:9">
      <c r="A805" s="6">
        <v>40298</v>
      </c>
      <c r="B805" t="str">
        <f>IFERROR(VLOOKUP($A805,原始数据_收盘!$A$4:$G$3460,2,0),"")</f>
        <v/>
      </c>
      <c r="C805" t="str">
        <f>IFERROR(VLOOKUP($A805,原始数据_收盘!$A$4:$G$3460,3,0),"")</f>
        <v/>
      </c>
      <c r="D805" t="str">
        <f>IFERROR(VLOOKUP($A805,原始数据_收盘!$A$4:$G$3460,4,0),"")</f>
        <v/>
      </c>
      <c r="E805" t="str">
        <f>IFERROR(VLOOKUP($A805,原始数据_收盘!$A$4:$G$3460,5,0),"")</f>
        <v/>
      </c>
      <c r="F805" t="str">
        <f>IFERROR(VLOOKUP($A805,原始数据_收盘!$A$4:$G$3460,6,0),"")</f>
        <v/>
      </c>
      <c r="G805" t="str">
        <f>IFERROR(VLOOKUP($A805,原始数据_收盘!$A$4:$G$3460,7,0),"")</f>
        <v/>
      </c>
      <c r="H805">
        <f>IFERROR(VLOOKUP($A805,原始数据_利率互换_FR007_1年!$A$6:$C$4395,2,0),"")</f>
        <v>0</v>
      </c>
      <c r="I805">
        <f>IFERROR(VLOOKUP($A805,原始数据_利率互换_FR007_1年!$A$6:$C$4395,3,0),"")</f>
        <v>3.41</v>
      </c>
    </row>
    <row r="806" spans="1:9">
      <c r="A806" s="6">
        <v>40299</v>
      </c>
      <c r="B806" t="str">
        <f>IFERROR(VLOOKUP($A806,原始数据_收盘!$A$4:$G$3460,2,0),"")</f>
        <v/>
      </c>
      <c r="C806" t="str">
        <f>IFERROR(VLOOKUP($A806,原始数据_收盘!$A$4:$G$3460,3,0),"")</f>
        <v/>
      </c>
      <c r="D806" t="str">
        <f>IFERROR(VLOOKUP($A806,原始数据_收盘!$A$4:$G$3460,4,0),"")</f>
        <v/>
      </c>
      <c r="E806" t="str">
        <f>IFERROR(VLOOKUP($A806,原始数据_收盘!$A$4:$G$3460,5,0),"")</f>
        <v/>
      </c>
      <c r="F806" t="str">
        <f>IFERROR(VLOOKUP($A806,原始数据_收盘!$A$4:$G$3460,6,0),"")</f>
        <v/>
      </c>
      <c r="G806" t="str">
        <f>IFERROR(VLOOKUP($A806,原始数据_收盘!$A$4:$G$3460,7,0),"")</f>
        <v/>
      </c>
      <c r="H806" t="str">
        <f>IFERROR(VLOOKUP($A806,原始数据_利率互换_FR007_1年!$A$6:$C$4395,2,0),"")</f>
        <v/>
      </c>
      <c r="I806" t="str">
        <f>IFERROR(VLOOKUP($A806,原始数据_利率互换_FR007_1年!$A$6:$C$4395,3,0),"")</f>
        <v/>
      </c>
    </row>
    <row r="807" spans="1:9">
      <c r="A807" s="6">
        <v>40300</v>
      </c>
      <c r="B807" t="str">
        <f>IFERROR(VLOOKUP($A807,原始数据_收盘!$A$4:$G$3460,2,0),"")</f>
        <v/>
      </c>
      <c r="C807" t="str">
        <f>IFERROR(VLOOKUP($A807,原始数据_收盘!$A$4:$G$3460,3,0),"")</f>
        <v/>
      </c>
      <c r="D807" t="str">
        <f>IFERROR(VLOOKUP($A807,原始数据_收盘!$A$4:$G$3460,4,0),"")</f>
        <v/>
      </c>
      <c r="E807" t="str">
        <f>IFERROR(VLOOKUP($A807,原始数据_收盘!$A$4:$G$3460,5,0),"")</f>
        <v/>
      </c>
      <c r="F807" t="str">
        <f>IFERROR(VLOOKUP($A807,原始数据_收盘!$A$4:$G$3460,6,0),"")</f>
        <v/>
      </c>
      <c r="G807" t="str">
        <f>IFERROR(VLOOKUP($A807,原始数据_收盘!$A$4:$G$3460,7,0),"")</f>
        <v/>
      </c>
      <c r="H807" t="str">
        <f>IFERROR(VLOOKUP($A807,原始数据_利率互换_FR007_1年!$A$6:$C$4395,2,0),"")</f>
        <v/>
      </c>
      <c r="I807" t="str">
        <f>IFERROR(VLOOKUP($A807,原始数据_利率互换_FR007_1年!$A$6:$C$4395,3,0),"")</f>
        <v/>
      </c>
    </row>
    <row r="808" spans="1:9">
      <c r="A808" s="6">
        <v>40301</v>
      </c>
      <c r="B808" t="str">
        <f>IFERROR(VLOOKUP($A808,原始数据_收盘!$A$4:$G$3460,2,0),"")</f>
        <v/>
      </c>
      <c r="C808" t="str">
        <f>IFERROR(VLOOKUP($A808,原始数据_收盘!$A$4:$G$3460,3,0),"")</f>
        <v/>
      </c>
      <c r="D808" t="str">
        <f>IFERROR(VLOOKUP($A808,原始数据_收盘!$A$4:$G$3460,4,0),"")</f>
        <v/>
      </c>
      <c r="E808" t="str">
        <f>IFERROR(VLOOKUP($A808,原始数据_收盘!$A$4:$G$3460,5,0),"")</f>
        <v/>
      </c>
      <c r="F808" t="str">
        <f>IFERROR(VLOOKUP($A808,原始数据_收盘!$A$4:$G$3460,6,0),"")</f>
        <v/>
      </c>
      <c r="G808" t="str">
        <f>IFERROR(VLOOKUP($A808,原始数据_收盘!$A$4:$G$3460,7,0),"")</f>
        <v/>
      </c>
      <c r="H808" t="str">
        <f>IFERROR(VLOOKUP($A808,原始数据_利率互换_FR007_1年!$A$6:$C$4395,2,0),"")</f>
        <v/>
      </c>
      <c r="I808" t="str">
        <f>IFERROR(VLOOKUP($A808,原始数据_利率互换_FR007_1年!$A$6:$C$4395,3,0),"")</f>
        <v/>
      </c>
    </row>
    <row r="809" spans="1:9">
      <c r="A809" s="6">
        <v>40302</v>
      </c>
      <c r="B809" t="str">
        <f>IFERROR(VLOOKUP($A809,原始数据_收盘!$A$4:$G$3460,2,0),"")</f>
        <v/>
      </c>
      <c r="C809" t="str">
        <f>IFERROR(VLOOKUP($A809,原始数据_收盘!$A$4:$G$3460,3,0),"")</f>
        <v/>
      </c>
      <c r="D809" t="str">
        <f>IFERROR(VLOOKUP($A809,原始数据_收盘!$A$4:$G$3460,4,0),"")</f>
        <v/>
      </c>
      <c r="E809" t="str">
        <f>IFERROR(VLOOKUP($A809,原始数据_收盘!$A$4:$G$3460,5,0),"")</f>
        <v/>
      </c>
      <c r="F809" t="str">
        <f>IFERROR(VLOOKUP($A809,原始数据_收盘!$A$4:$G$3460,6,0),"")</f>
        <v/>
      </c>
      <c r="G809" t="str">
        <f>IFERROR(VLOOKUP($A809,原始数据_收盘!$A$4:$G$3460,7,0),"")</f>
        <v/>
      </c>
      <c r="H809">
        <f>IFERROR(VLOOKUP($A809,原始数据_利率互换_FR007_1年!$A$6:$C$4395,2,0),"")</f>
        <v>2.15</v>
      </c>
      <c r="I809">
        <f>IFERROR(VLOOKUP($A809,原始数据_利率互换_FR007_1年!$A$6:$C$4395,3,0),"")</f>
        <v>3.41</v>
      </c>
    </row>
    <row r="810" spans="1:9">
      <c r="A810" s="6">
        <v>40303</v>
      </c>
      <c r="B810" t="str">
        <f>IFERROR(VLOOKUP($A810,原始数据_收盘!$A$4:$G$3460,2,0),"")</f>
        <v/>
      </c>
      <c r="C810" t="str">
        <f>IFERROR(VLOOKUP($A810,原始数据_收盘!$A$4:$G$3460,3,0),"")</f>
        <v/>
      </c>
      <c r="D810" t="str">
        <f>IFERROR(VLOOKUP($A810,原始数据_收盘!$A$4:$G$3460,4,0),"")</f>
        <v/>
      </c>
      <c r="E810" t="str">
        <f>IFERROR(VLOOKUP($A810,原始数据_收盘!$A$4:$G$3460,5,0),"")</f>
        <v/>
      </c>
      <c r="F810" t="str">
        <f>IFERROR(VLOOKUP($A810,原始数据_收盘!$A$4:$G$3460,6,0),"")</f>
        <v/>
      </c>
      <c r="G810" t="str">
        <f>IFERROR(VLOOKUP($A810,原始数据_收盘!$A$4:$G$3460,7,0),"")</f>
        <v/>
      </c>
      <c r="H810">
        <f>IFERROR(VLOOKUP($A810,原始数据_利率互换_FR007_1年!$A$6:$C$4395,2,0),"")</f>
        <v>2.12</v>
      </c>
      <c r="I810">
        <f>IFERROR(VLOOKUP($A810,原始数据_利率互换_FR007_1年!$A$6:$C$4395,3,0),"")</f>
        <v>3.37</v>
      </c>
    </row>
    <row r="811" spans="1:9">
      <c r="A811" s="6">
        <v>40304</v>
      </c>
      <c r="B811" t="str">
        <f>IFERROR(VLOOKUP($A811,原始数据_收盘!$A$4:$G$3460,2,0),"")</f>
        <v/>
      </c>
      <c r="C811" t="str">
        <f>IFERROR(VLOOKUP($A811,原始数据_收盘!$A$4:$G$3460,3,0),"")</f>
        <v/>
      </c>
      <c r="D811" t="str">
        <f>IFERROR(VLOOKUP($A811,原始数据_收盘!$A$4:$G$3460,4,0),"")</f>
        <v/>
      </c>
      <c r="E811" t="str">
        <f>IFERROR(VLOOKUP($A811,原始数据_收盘!$A$4:$G$3460,5,0),"")</f>
        <v/>
      </c>
      <c r="F811" t="str">
        <f>IFERROR(VLOOKUP($A811,原始数据_收盘!$A$4:$G$3460,6,0),"")</f>
        <v/>
      </c>
      <c r="G811" t="str">
        <f>IFERROR(VLOOKUP($A811,原始数据_收盘!$A$4:$G$3460,7,0),"")</f>
        <v/>
      </c>
      <c r="H811">
        <f>IFERROR(VLOOKUP($A811,原始数据_利率互换_FR007_1年!$A$6:$C$4395,2,0),"")</f>
        <v>2.1</v>
      </c>
      <c r="I811">
        <f>IFERROR(VLOOKUP($A811,原始数据_利率互换_FR007_1年!$A$6:$C$4395,3,0),"")</f>
        <v>3.24</v>
      </c>
    </row>
    <row r="812" spans="1:9">
      <c r="A812" s="6">
        <v>40305</v>
      </c>
      <c r="B812" t="str">
        <f>IFERROR(VLOOKUP($A812,原始数据_收盘!$A$4:$G$3460,2,0),"")</f>
        <v/>
      </c>
      <c r="C812" t="str">
        <f>IFERROR(VLOOKUP($A812,原始数据_收盘!$A$4:$G$3460,3,0),"")</f>
        <v/>
      </c>
      <c r="D812" t="str">
        <f>IFERROR(VLOOKUP($A812,原始数据_收盘!$A$4:$G$3460,4,0),"")</f>
        <v/>
      </c>
      <c r="E812" t="str">
        <f>IFERROR(VLOOKUP($A812,原始数据_收盘!$A$4:$G$3460,5,0),"")</f>
        <v/>
      </c>
      <c r="F812" t="str">
        <f>IFERROR(VLOOKUP($A812,原始数据_收盘!$A$4:$G$3460,6,0),"")</f>
        <v/>
      </c>
      <c r="G812" t="str">
        <f>IFERROR(VLOOKUP($A812,原始数据_收盘!$A$4:$G$3460,7,0),"")</f>
        <v/>
      </c>
      <c r="H812">
        <f>IFERROR(VLOOKUP($A812,原始数据_利率互换_FR007_1年!$A$6:$C$4395,2,0),"")</f>
        <v>2.11</v>
      </c>
      <c r="I812">
        <f>IFERROR(VLOOKUP($A812,原始数据_利率互换_FR007_1年!$A$6:$C$4395,3,0),"")</f>
        <v>3.07</v>
      </c>
    </row>
    <row r="813" spans="1:9">
      <c r="A813" s="6">
        <v>40306</v>
      </c>
      <c r="B813" t="str">
        <f>IFERROR(VLOOKUP($A813,原始数据_收盘!$A$4:$G$3460,2,0),"")</f>
        <v/>
      </c>
      <c r="C813" t="str">
        <f>IFERROR(VLOOKUP($A813,原始数据_收盘!$A$4:$G$3460,3,0),"")</f>
        <v/>
      </c>
      <c r="D813" t="str">
        <f>IFERROR(VLOOKUP($A813,原始数据_收盘!$A$4:$G$3460,4,0),"")</f>
        <v/>
      </c>
      <c r="E813" t="str">
        <f>IFERROR(VLOOKUP($A813,原始数据_收盘!$A$4:$G$3460,5,0),"")</f>
        <v/>
      </c>
      <c r="F813" t="str">
        <f>IFERROR(VLOOKUP($A813,原始数据_收盘!$A$4:$G$3460,6,0),"")</f>
        <v/>
      </c>
      <c r="G813" t="str">
        <f>IFERROR(VLOOKUP($A813,原始数据_收盘!$A$4:$G$3460,7,0),"")</f>
        <v/>
      </c>
      <c r="H813" t="str">
        <f>IFERROR(VLOOKUP($A813,原始数据_利率互换_FR007_1年!$A$6:$C$4395,2,0),"")</f>
        <v/>
      </c>
      <c r="I813" t="str">
        <f>IFERROR(VLOOKUP($A813,原始数据_利率互换_FR007_1年!$A$6:$C$4395,3,0),"")</f>
        <v/>
      </c>
    </row>
    <row r="814" spans="1:9">
      <c r="A814" s="6">
        <v>40307</v>
      </c>
      <c r="B814" t="str">
        <f>IFERROR(VLOOKUP($A814,原始数据_收盘!$A$4:$G$3460,2,0),"")</f>
        <v/>
      </c>
      <c r="C814" t="str">
        <f>IFERROR(VLOOKUP($A814,原始数据_收盘!$A$4:$G$3460,3,0),"")</f>
        <v/>
      </c>
      <c r="D814" t="str">
        <f>IFERROR(VLOOKUP($A814,原始数据_收盘!$A$4:$G$3460,4,0),"")</f>
        <v/>
      </c>
      <c r="E814" t="str">
        <f>IFERROR(VLOOKUP($A814,原始数据_收盘!$A$4:$G$3460,5,0),"")</f>
        <v/>
      </c>
      <c r="F814" t="str">
        <f>IFERROR(VLOOKUP($A814,原始数据_收盘!$A$4:$G$3460,6,0),"")</f>
        <v/>
      </c>
      <c r="G814" t="str">
        <f>IFERROR(VLOOKUP($A814,原始数据_收盘!$A$4:$G$3460,7,0),"")</f>
        <v/>
      </c>
      <c r="H814" t="str">
        <f>IFERROR(VLOOKUP($A814,原始数据_利率互换_FR007_1年!$A$6:$C$4395,2,0),"")</f>
        <v/>
      </c>
      <c r="I814" t="str">
        <f>IFERROR(VLOOKUP($A814,原始数据_利率互换_FR007_1年!$A$6:$C$4395,3,0),"")</f>
        <v/>
      </c>
    </row>
    <row r="815" spans="1:9">
      <c r="A815" s="6">
        <v>40308</v>
      </c>
      <c r="B815" t="str">
        <f>IFERROR(VLOOKUP($A815,原始数据_收盘!$A$4:$G$3460,2,0),"")</f>
        <v/>
      </c>
      <c r="C815" t="str">
        <f>IFERROR(VLOOKUP($A815,原始数据_收盘!$A$4:$G$3460,3,0),"")</f>
        <v/>
      </c>
      <c r="D815" t="str">
        <f>IFERROR(VLOOKUP($A815,原始数据_收盘!$A$4:$G$3460,4,0),"")</f>
        <v/>
      </c>
      <c r="E815" t="str">
        <f>IFERROR(VLOOKUP($A815,原始数据_收盘!$A$4:$G$3460,5,0),"")</f>
        <v/>
      </c>
      <c r="F815" t="str">
        <f>IFERROR(VLOOKUP($A815,原始数据_收盘!$A$4:$G$3460,6,0),"")</f>
        <v/>
      </c>
      <c r="G815" t="str">
        <f>IFERROR(VLOOKUP($A815,原始数据_收盘!$A$4:$G$3460,7,0),"")</f>
        <v/>
      </c>
      <c r="H815">
        <f>IFERROR(VLOOKUP($A815,原始数据_利率互换_FR007_1年!$A$6:$C$4395,2,0),"")</f>
        <v>2.11</v>
      </c>
      <c r="I815">
        <f>IFERROR(VLOOKUP($A815,原始数据_利率互换_FR007_1年!$A$6:$C$4395,3,0),"")</f>
        <v>3.17</v>
      </c>
    </row>
    <row r="816" spans="1:9">
      <c r="A816" s="6">
        <v>40309</v>
      </c>
      <c r="B816" t="str">
        <f>IFERROR(VLOOKUP($A816,原始数据_收盘!$A$4:$G$3460,2,0),"")</f>
        <v/>
      </c>
      <c r="C816" t="str">
        <f>IFERROR(VLOOKUP($A816,原始数据_收盘!$A$4:$G$3460,3,0),"")</f>
        <v/>
      </c>
      <c r="D816" t="str">
        <f>IFERROR(VLOOKUP($A816,原始数据_收盘!$A$4:$G$3460,4,0),"")</f>
        <v/>
      </c>
      <c r="E816" t="str">
        <f>IFERROR(VLOOKUP($A816,原始数据_收盘!$A$4:$G$3460,5,0),"")</f>
        <v/>
      </c>
      <c r="F816" t="str">
        <f>IFERROR(VLOOKUP($A816,原始数据_收盘!$A$4:$G$3460,6,0),"")</f>
        <v/>
      </c>
      <c r="G816" t="str">
        <f>IFERROR(VLOOKUP($A816,原始数据_收盘!$A$4:$G$3460,7,0),"")</f>
        <v/>
      </c>
      <c r="H816">
        <f>IFERROR(VLOOKUP($A816,原始数据_利率互换_FR007_1年!$A$6:$C$4395,2,0),"")</f>
        <v>2.1</v>
      </c>
      <c r="I816">
        <f>IFERROR(VLOOKUP($A816,原始数据_利率互换_FR007_1年!$A$6:$C$4395,3,0),"")</f>
        <v>3.19</v>
      </c>
    </row>
    <row r="817" spans="1:9">
      <c r="A817" s="6">
        <v>40310</v>
      </c>
      <c r="B817" t="str">
        <f>IFERROR(VLOOKUP($A817,原始数据_收盘!$A$4:$G$3460,2,0),"")</f>
        <v/>
      </c>
      <c r="C817" t="str">
        <f>IFERROR(VLOOKUP($A817,原始数据_收盘!$A$4:$G$3460,3,0),"")</f>
        <v/>
      </c>
      <c r="D817" t="str">
        <f>IFERROR(VLOOKUP($A817,原始数据_收盘!$A$4:$G$3460,4,0),"")</f>
        <v/>
      </c>
      <c r="E817" t="str">
        <f>IFERROR(VLOOKUP($A817,原始数据_收盘!$A$4:$G$3460,5,0),"")</f>
        <v/>
      </c>
      <c r="F817" t="str">
        <f>IFERROR(VLOOKUP($A817,原始数据_收盘!$A$4:$G$3460,6,0),"")</f>
        <v/>
      </c>
      <c r="G817" t="str">
        <f>IFERROR(VLOOKUP($A817,原始数据_收盘!$A$4:$G$3460,7,0),"")</f>
        <v/>
      </c>
      <c r="H817">
        <f>IFERROR(VLOOKUP($A817,原始数据_利率互换_FR007_1年!$A$6:$C$4395,2,0),"")</f>
        <v>2.11</v>
      </c>
      <c r="I817">
        <f>IFERROR(VLOOKUP($A817,原始数据_利率互换_FR007_1年!$A$6:$C$4395,3,0),"")</f>
        <v>3.16</v>
      </c>
    </row>
    <row r="818" spans="1:9">
      <c r="A818" s="6">
        <v>40311</v>
      </c>
      <c r="B818" t="str">
        <f>IFERROR(VLOOKUP($A818,原始数据_收盘!$A$4:$G$3460,2,0),"")</f>
        <v/>
      </c>
      <c r="C818" t="str">
        <f>IFERROR(VLOOKUP($A818,原始数据_收盘!$A$4:$G$3460,3,0),"")</f>
        <v/>
      </c>
      <c r="D818" t="str">
        <f>IFERROR(VLOOKUP($A818,原始数据_收盘!$A$4:$G$3460,4,0),"")</f>
        <v/>
      </c>
      <c r="E818" t="str">
        <f>IFERROR(VLOOKUP($A818,原始数据_收盘!$A$4:$G$3460,5,0),"")</f>
        <v/>
      </c>
      <c r="F818" t="str">
        <f>IFERROR(VLOOKUP($A818,原始数据_收盘!$A$4:$G$3460,6,0),"")</f>
        <v/>
      </c>
      <c r="G818" t="str">
        <f>IFERROR(VLOOKUP($A818,原始数据_收盘!$A$4:$G$3460,7,0),"")</f>
        <v/>
      </c>
      <c r="H818">
        <f>IFERROR(VLOOKUP($A818,原始数据_利率互换_FR007_1年!$A$6:$C$4395,2,0),"")</f>
        <v>2.13</v>
      </c>
      <c r="I818">
        <f>IFERROR(VLOOKUP($A818,原始数据_利率互换_FR007_1年!$A$6:$C$4395,3,0),"")</f>
        <v>3.14</v>
      </c>
    </row>
    <row r="819" spans="1:9">
      <c r="A819" s="6">
        <v>40312</v>
      </c>
      <c r="B819" t="str">
        <f>IFERROR(VLOOKUP($A819,原始数据_收盘!$A$4:$G$3460,2,0),"")</f>
        <v/>
      </c>
      <c r="C819" t="str">
        <f>IFERROR(VLOOKUP($A819,原始数据_收盘!$A$4:$G$3460,3,0),"")</f>
        <v/>
      </c>
      <c r="D819" t="str">
        <f>IFERROR(VLOOKUP($A819,原始数据_收盘!$A$4:$G$3460,4,0),"")</f>
        <v/>
      </c>
      <c r="E819" t="str">
        <f>IFERROR(VLOOKUP($A819,原始数据_收盘!$A$4:$G$3460,5,0),"")</f>
        <v/>
      </c>
      <c r="F819" t="str">
        <f>IFERROR(VLOOKUP($A819,原始数据_收盘!$A$4:$G$3460,6,0),"")</f>
        <v/>
      </c>
      <c r="G819" t="str">
        <f>IFERROR(VLOOKUP($A819,原始数据_收盘!$A$4:$G$3460,7,0),"")</f>
        <v/>
      </c>
      <c r="H819">
        <f>IFERROR(VLOOKUP($A819,原始数据_利率互换_FR007_1年!$A$6:$C$4395,2,0),"")</f>
        <v>0</v>
      </c>
      <c r="I819">
        <f>IFERROR(VLOOKUP($A819,原始数据_利率互换_FR007_1年!$A$6:$C$4395,3,0),"")</f>
        <v>3.17</v>
      </c>
    </row>
    <row r="820" spans="1:9">
      <c r="A820" s="6">
        <v>40313</v>
      </c>
      <c r="B820" t="str">
        <f>IFERROR(VLOOKUP($A820,原始数据_收盘!$A$4:$G$3460,2,0),"")</f>
        <v/>
      </c>
      <c r="C820" t="str">
        <f>IFERROR(VLOOKUP($A820,原始数据_收盘!$A$4:$G$3460,3,0),"")</f>
        <v/>
      </c>
      <c r="D820" t="str">
        <f>IFERROR(VLOOKUP($A820,原始数据_收盘!$A$4:$G$3460,4,0),"")</f>
        <v/>
      </c>
      <c r="E820" t="str">
        <f>IFERROR(VLOOKUP($A820,原始数据_收盘!$A$4:$G$3460,5,0),"")</f>
        <v/>
      </c>
      <c r="F820" t="str">
        <f>IFERROR(VLOOKUP($A820,原始数据_收盘!$A$4:$G$3460,6,0),"")</f>
        <v/>
      </c>
      <c r="G820" t="str">
        <f>IFERROR(VLOOKUP($A820,原始数据_收盘!$A$4:$G$3460,7,0),"")</f>
        <v/>
      </c>
      <c r="H820" t="str">
        <f>IFERROR(VLOOKUP($A820,原始数据_利率互换_FR007_1年!$A$6:$C$4395,2,0),"")</f>
        <v/>
      </c>
      <c r="I820" t="str">
        <f>IFERROR(VLOOKUP($A820,原始数据_利率互换_FR007_1年!$A$6:$C$4395,3,0),"")</f>
        <v/>
      </c>
    </row>
    <row r="821" spans="1:9">
      <c r="A821" s="6">
        <v>40314</v>
      </c>
      <c r="B821" t="str">
        <f>IFERROR(VLOOKUP($A821,原始数据_收盘!$A$4:$G$3460,2,0),"")</f>
        <v/>
      </c>
      <c r="C821" t="str">
        <f>IFERROR(VLOOKUP($A821,原始数据_收盘!$A$4:$G$3460,3,0),"")</f>
        <v/>
      </c>
      <c r="D821" t="str">
        <f>IFERROR(VLOOKUP($A821,原始数据_收盘!$A$4:$G$3460,4,0),"")</f>
        <v/>
      </c>
      <c r="E821" t="str">
        <f>IFERROR(VLOOKUP($A821,原始数据_收盘!$A$4:$G$3460,5,0),"")</f>
        <v/>
      </c>
      <c r="F821" t="str">
        <f>IFERROR(VLOOKUP($A821,原始数据_收盘!$A$4:$G$3460,6,0),"")</f>
        <v/>
      </c>
      <c r="G821" t="str">
        <f>IFERROR(VLOOKUP($A821,原始数据_收盘!$A$4:$G$3460,7,0),"")</f>
        <v/>
      </c>
      <c r="H821" t="str">
        <f>IFERROR(VLOOKUP($A821,原始数据_利率互换_FR007_1年!$A$6:$C$4395,2,0),"")</f>
        <v/>
      </c>
      <c r="I821" t="str">
        <f>IFERROR(VLOOKUP($A821,原始数据_利率互换_FR007_1年!$A$6:$C$4395,3,0),"")</f>
        <v/>
      </c>
    </row>
    <row r="822" spans="1:9">
      <c r="A822" s="6">
        <v>40315</v>
      </c>
      <c r="B822" t="str">
        <f>IFERROR(VLOOKUP($A822,原始数据_收盘!$A$4:$G$3460,2,0),"")</f>
        <v/>
      </c>
      <c r="C822" t="str">
        <f>IFERROR(VLOOKUP($A822,原始数据_收盘!$A$4:$G$3460,3,0),"")</f>
        <v/>
      </c>
      <c r="D822" t="str">
        <f>IFERROR(VLOOKUP($A822,原始数据_收盘!$A$4:$G$3460,4,0),"")</f>
        <v/>
      </c>
      <c r="E822" t="str">
        <f>IFERROR(VLOOKUP($A822,原始数据_收盘!$A$4:$G$3460,5,0),"")</f>
        <v/>
      </c>
      <c r="F822" t="str">
        <f>IFERROR(VLOOKUP($A822,原始数据_收盘!$A$4:$G$3460,6,0),"")</f>
        <v/>
      </c>
      <c r="G822" t="str">
        <f>IFERROR(VLOOKUP($A822,原始数据_收盘!$A$4:$G$3460,7,0),"")</f>
        <v/>
      </c>
      <c r="H822">
        <f>IFERROR(VLOOKUP($A822,原始数据_利率互换_FR007_1年!$A$6:$C$4395,2,0),"")</f>
        <v>2.11</v>
      </c>
      <c r="I822">
        <f>IFERROR(VLOOKUP($A822,原始数据_利率互换_FR007_1年!$A$6:$C$4395,3,0),"")</f>
        <v>3.11</v>
      </c>
    </row>
    <row r="823" spans="1:9">
      <c r="A823" s="6">
        <v>40316</v>
      </c>
      <c r="B823" t="str">
        <f>IFERROR(VLOOKUP($A823,原始数据_收盘!$A$4:$G$3460,2,0),"")</f>
        <v/>
      </c>
      <c r="C823" t="str">
        <f>IFERROR(VLOOKUP($A823,原始数据_收盘!$A$4:$G$3460,3,0),"")</f>
        <v/>
      </c>
      <c r="D823" t="str">
        <f>IFERROR(VLOOKUP($A823,原始数据_收盘!$A$4:$G$3460,4,0),"")</f>
        <v/>
      </c>
      <c r="E823" t="str">
        <f>IFERROR(VLOOKUP($A823,原始数据_收盘!$A$4:$G$3460,5,0),"")</f>
        <v/>
      </c>
      <c r="F823" t="str">
        <f>IFERROR(VLOOKUP($A823,原始数据_收盘!$A$4:$G$3460,6,0),"")</f>
        <v/>
      </c>
      <c r="G823" t="str">
        <f>IFERROR(VLOOKUP($A823,原始数据_收盘!$A$4:$G$3460,7,0),"")</f>
        <v/>
      </c>
      <c r="H823">
        <f>IFERROR(VLOOKUP($A823,原始数据_利率互换_FR007_1年!$A$6:$C$4395,2,0),"")</f>
        <v>2.12</v>
      </c>
      <c r="I823">
        <f>IFERROR(VLOOKUP($A823,原始数据_利率互换_FR007_1年!$A$6:$C$4395,3,0),"")</f>
        <v>3.13</v>
      </c>
    </row>
    <row r="824" spans="1:9">
      <c r="A824" s="6">
        <v>40317</v>
      </c>
      <c r="B824" t="str">
        <f>IFERROR(VLOOKUP($A824,原始数据_收盘!$A$4:$G$3460,2,0),"")</f>
        <v/>
      </c>
      <c r="C824" t="str">
        <f>IFERROR(VLOOKUP($A824,原始数据_收盘!$A$4:$G$3460,3,0),"")</f>
        <v/>
      </c>
      <c r="D824" t="str">
        <f>IFERROR(VLOOKUP($A824,原始数据_收盘!$A$4:$G$3460,4,0),"")</f>
        <v/>
      </c>
      <c r="E824" t="str">
        <f>IFERROR(VLOOKUP($A824,原始数据_收盘!$A$4:$G$3460,5,0),"")</f>
        <v/>
      </c>
      <c r="F824" t="str">
        <f>IFERROR(VLOOKUP($A824,原始数据_收盘!$A$4:$G$3460,6,0),"")</f>
        <v/>
      </c>
      <c r="G824" t="str">
        <f>IFERROR(VLOOKUP($A824,原始数据_收盘!$A$4:$G$3460,7,0),"")</f>
        <v/>
      </c>
      <c r="H824">
        <f>IFERROR(VLOOKUP($A824,原始数据_利率互换_FR007_1年!$A$6:$C$4395,2,0),"")</f>
        <v>2.11</v>
      </c>
      <c r="I824">
        <f>IFERROR(VLOOKUP($A824,原始数据_利率互换_FR007_1年!$A$6:$C$4395,3,0),"")</f>
        <v>3.07</v>
      </c>
    </row>
    <row r="825" spans="1:9">
      <c r="A825" s="6">
        <v>40318</v>
      </c>
      <c r="B825" t="str">
        <f>IFERROR(VLOOKUP($A825,原始数据_收盘!$A$4:$G$3460,2,0),"")</f>
        <v/>
      </c>
      <c r="C825" t="str">
        <f>IFERROR(VLOOKUP($A825,原始数据_收盘!$A$4:$G$3460,3,0),"")</f>
        <v/>
      </c>
      <c r="D825" t="str">
        <f>IFERROR(VLOOKUP($A825,原始数据_收盘!$A$4:$G$3460,4,0),"")</f>
        <v/>
      </c>
      <c r="E825" t="str">
        <f>IFERROR(VLOOKUP($A825,原始数据_收盘!$A$4:$G$3460,5,0),"")</f>
        <v/>
      </c>
      <c r="F825" t="str">
        <f>IFERROR(VLOOKUP($A825,原始数据_收盘!$A$4:$G$3460,6,0),"")</f>
        <v/>
      </c>
      <c r="G825" t="str">
        <f>IFERROR(VLOOKUP($A825,原始数据_收盘!$A$4:$G$3460,7,0),"")</f>
        <v/>
      </c>
      <c r="H825">
        <f>IFERROR(VLOOKUP($A825,原始数据_利率互换_FR007_1年!$A$6:$C$4395,2,0),"")</f>
        <v>2.13</v>
      </c>
      <c r="I825">
        <f>IFERROR(VLOOKUP($A825,原始数据_利率互换_FR007_1年!$A$6:$C$4395,3,0),"")</f>
        <v>3.08</v>
      </c>
    </row>
    <row r="826" spans="1:9">
      <c r="A826" s="6">
        <v>40319</v>
      </c>
      <c r="B826" t="str">
        <f>IFERROR(VLOOKUP($A826,原始数据_收盘!$A$4:$G$3460,2,0),"")</f>
        <v/>
      </c>
      <c r="C826" t="str">
        <f>IFERROR(VLOOKUP($A826,原始数据_收盘!$A$4:$G$3460,3,0),"")</f>
        <v/>
      </c>
      <c r="D826" t="str">
        <f>IFERROR(VLOOKUP($A826,原始数据_收盘!$A$4:$G$3460,4,0),"")</f>
        <v/>
      </c>
      <c r="E826" t="str">
        <f>IFERROR(VLOOKUP($A826,原始数据_收盘!$A$4:$G$3460,5,0),"")</f>
        <v/>
      </c>
      <c r="F826" t="str">
        <f>IFERROR(VLOOKUP($A826,原始数据_收盘!$A$4:$G$3460,6,0),"")</f>
        <v/>
      </c>
      <c r="G826" t="str">
        <f>IFERROR(VLOOKUP($A826,原始数据_收盘!$A$4:$G$3460,7,0),"")</f>
        <v/>
      </c>
      <c r="H826">
        <f>IFERROR(VLOOKUP($A826,原始数据_利率互换_FR007_1年!$A$6:$C$4395,2,0),"")</f>
        <v>0</v>
      </c>
      <c r="I826">
        <f>IFERROR(VLOOKUP($A826,原始数据_利率互换_FR007_1年!$A$6:$C$4395,3,0),"")</f>
        <v>3.03</v>
      </c>
    </row>
    <row r="827" spans="1:9">
      <c r="A827" s="6">
        <v>40320</v>
      </c>
      <c r="B827" t="str">
        <f>IFERROR(VLOOKUP($A827,原始数据_收盘!$A$4:$G$3460,2,0),"")</f>
        <v/>
      </c>
      <c r="C827" t="str">
        <f>IFERROR(VLOOKUP($A827,原始数据_收盘!$A$4:$G$3460,3,0),"")</f>
        <v/>
      </c>
      <c r="D827" t="str">
        <f>IFERROR(VLOOKUP($A827,原始数据_收盘!$A$4:$G$3460,4,0),"")</f>
        <v/>
      </c>
      <c r="E827" t="str">
        <f>IFERROR(VLOOKUP($A827,原始数据_收盘!$A$4:$G$3460,5,0),"")</f>
        <v/>
      </c>
      <c r="F827" t="str">
        <f>IFERROR(VLOOKUP($A827,原始数据_收盘!$A$4:$G$3460,6,0),"")</f>
        <v/>
      </c>
      <c r="G827" t="str">
        <f>IFERROR(VLOOKUP($A827,原始数据_收盘!$A$4:$G$3460,7,0),"")</f>
        <v/>
      </c>
      <c r="H827" t="str">
        <f>IFERROR(VLOOKUP($A827,原始数据_利率互换_FR007_1年!$A$6:$C$4395,2,0),"")</f>
        <v/>
      </c>
      <c r="I827" t="str">
        <f>IFERROR(VLOOKUP($A827,原始数据_利率互换_FR007_1年!$A$6:$C$4395,3,0),"")</f>
        <v/>
      </c>
    </row>
    <row r="828" spans="1:9">
      <c r="A828" s="6">
        <v>40321</v>
      </c>
      <c r="B828" t="str">
        <f>IFERROR(VLOOKUP($A828,原始数据_收盘!$A$4:$G$3460,2,0),"")</f>
        <v/>
      </c>
      <c r="C828" t="str">
        <f>IFERROR(VLOOKUP($A828,原始数据_收盘!$A$4:$G$3460,3,0),"")</f>
        <v/>
      </c>
      <c r="D828" t="str">
        <f>IFERROR(VLOOKUP($A828,原始数据_收盘!$A$4:$G$3460,4,0),"")</f>
        <v/>
      </c>
      <c r="E828" t="str">
        <f>IFERROR(VLOOKUP($A828,原始数据_收盘!$A$4:$G$3460,5,0),"")</f>
        <v/>
      </c>
      <c r="F828" t="str">
        <f>IFERROR(VLOOKUP($A828,原始数据_收盘!$A$4:$G$3460,6,0),"")</f>
        <v/>
      </c>
      <c r="G828" t="str">
        <f>IFERROR(VLOOKUP($A828,原始数据_收盘!$A$4:$G$3460,7,0),"")</f>
        <v/>
      </c>
      <c r="H828" t="str">
        <f>IFERROR(VLOOKUP($A828,原始数据_利率互换_FR007_1年!$A$6:$C$4395,2,0),"")</f>
        <v/>
      </c>
      <c r="I828" t="str">
        <f>IFERROR(VLOOKUP($A828,原始数据_利率互换_FR007_1年!$A$6:$C$4395,3,0),"")</f>
        <v/>
      </c>
    </row>
    <row r="829" spans="1:9">
      <c r="A829" s="6">
        <v>40322</v>
      </c>
      <c r="B829" t="str">
        <f>IFERROR(VLOOKUP($A829,原始数据_收盘!$A$4:$G$3460,2,0),"")</f>
        <v/>
      </c>
      <c r="C829" t="str">
        <f>IFERROR(VLOOKUP($A829,原始数据_收盘!$A$4:$G$3460,3,0),"")</f>
        <v/>
      </c>
      <c r="D829" t="str">
        <f>IFERROR(VLOOKUP($A829,原始数据_收盘!$A$4:$G$3460,4,0),"")</f>
        <v/>
      </c>
      <c r="E829" t="str">
        <f>IFERROR(VLOOKUP($A829,原始数据_收盘!$A$4:$G$3460,5,0),"")</f>
        <v/>
      </c>
      <c r="F829" t="str">
        <f>IFERROR(VLOOKUP($A829,原始数据_收盘!$A$4:$G$3460,6,0),"")</f>
        <v/>
      </c>
      <c r="G829" t="str">
        <f>IFERROR(VLOOKUP($A829,原始数据_收盘!$A$4:$G$3460,7,0),"")</f>
        <v/>
      </c>
      <c r="H829">
        <f>IFERROR(VLOOKUP($A829,原始数据_利率互换_FR007_1年!$A$6:$C$4395,2,0),"")</f>
        <v>2.17</v>
      </c>
      <c r="I829">
        <f>IFERROR(VLOOKUP($A829,原始数据_利率互换_FR007_1年!$A$6:$C$4395,3,0),"")</f>
        <v>3.08</v>
      </c>
    </row>
    <row r="830" spans="1:9">
      <c r="A830" s="6">
        <v>40323</v>
      </c>
      <c r="B830" t="str">
        <f>IFERROR(VLOOKUP($A830,原始数据_收盘!$A$4:$G$3460,2,0),"")</f>
        <v/>
      </c>
      <c r="C830" t="str">
        <f>IFERROR(VLOOKUP($A830,原始数据_收盘!$A$4:$G$3460,3,0),"")</f>
        <v/>
      </c>
      <c r="D830" t="str">
        <f>IFERROR(VLOOKUP($A830,原始数据_收盘!$A$4:$G$3460,4,0),"")</f>
        <v/>
      </c>
      <c r="E830" t="str">
        <f>IFERROR(VLOOKUP($A830,原始数据_收盘!$A$4:$G$3460,5,0),"")</f>
        <v/>
      </c>
      <c r="F830" t="str">
        <f>IFERROR(VLOOKUP($A830,原始数据_收盘!$A$4:$G$3460,6,0),"")</f>
        <v/>
      </c>
      <c r="G830" t="str">
        <f>IFERROR(VLOOKUP($A830,原始数据_收盘!$A$4:$G$3460,7,0),"")</f>
        <v/>
      </c>
      <c r="H830">
        <f>IFERROR(VLOOKUP($A830,原始数据_利率互换_FR007_1年!$A$6:$C$4395,2,0),"")</f>
        <v>2.15</v>
      </c>
      <c r="I830">
        <f>IFERROR(VLOOKUP($A830,原始数据_利率互换_FR007_1年!$A$6:$C$4395,3,0),"")</f>
        <v>3.01</v>
      </c>
    </row>
    <row r="831" spans="1:9">
      <c r="A831" s="6">
        <v>40324</v>
      </c>
      <c r="B831" t="str">
        <f>IFERROR(VLOOKUP($A831,原始数据_收盘!$A$4:$G$3460,2,0),"")</f>
        <v/>
      </c>
      <c r="C831" t="str">
        <f>IFERROR(VLOOKUP($A831,原始数据_收盘!$A$4:$G$3460,3,0),"")</f>
        <v/>
      </c>
      <c r="D831" t="str">
        <f>IFERROR(VLOOKUP($A831,原始数据_收盘!$A$4:$G$3460,4,0),"")</f>
        <v/>
      </c>
      <c r="E831" t="str">
        <f>IFERROR(VLOOKUP($A831,原始数据_收盘!$A$4:$G$3460,5,0),"")</f>
        <v/>
      </c>
      <c r="F831" t="str">
        <f>IFERROR(VLOOKUP($A831,原始数据_收盘!$A$4:$G$3460,6,0),"")</f>
        <v/>
      </c>
      <c r="G831" t="str">
        <f>IFERROR(VLOOKUP($A831,原始数据_收盘!$A$4:$G$3460,7,0),"")</f>
        <v/>
      </c>
      <c r="H831">
        <f>IFERROR(VLOOKUP($A831,原始数据_利率互换_FR007_1年!$A$6:$C$4395,2,0),"")</f>
        <v>2.15</v>
      </c>
      <c r="I831">
        <f>IFERROR(VLOOKUP($A831,原始数据_利率互换_FR007_1年!$A$6:$C$4395,3,0),"")</f>
        <v>2.97</v>
      </c>
    </row>
    <row r="832" spans="1:9">
      <c r="A832" s="6">
        <v>40325</v>
      </c>
      <c r="B832" t="str">
        <f>IFERROR(VLOOKUP($A832,原始数据_收盘!$A$4:$G$3460,2,0),"")</f>
        <v/>
      </c>
      <c r="C832" t="str">
        <f>IFERROR(VLOOKUP($A832,原始数据_收盘!$A$4:$G$3460,3,0),"")</f>
        <v/>
      </c>
      <c r="D832" t="str">
        <f>IFERROR(VLOOKUP($A832,原始数据_收盘!$A$4:$G$3460,4,0),"")</f>
        <v/>
      </c>
      <c r="E832" t="str">
        <f>IFERROR(VLOOKUP($A832,原始数据_收盘!$A$4:$G$3460,5,0),"")</f>
        <v/>
      </c>
      <c r="F832" t="str">
        <f>IFERROR(VLOOKUP($A832,原始数据_收盘!$A$4:$G$3460,6,0),"")</f>
        <v/>
      </c>
      <c r="G832" t="str">
        <f>IFERROR(VLOOKUP($A832,原始数据_收盘!$A$4:$G$3460,7,0),"")</f>
        <v/>
      </c>
      <c r="H832">
        <f>IFERROR(VLOOKUP($A832,原始数据_利率互换_FR007_1年!$A$6:$C$4395,2,0),"")</f>
        <v>2.11</v>
      </c>
      <c r="I832">
        <f>IFERROR(VLOOKUP($A832,原始数据_利率互换_FR007_1年!$A$6:$C$4395,3,0),"")</f>
        <v>3.03</v>
      </c>
    </row>
    <row r="833" spans="1:9">
      <c r="A833" s="6">
        <v>40326</v>
      </c>
      <c r="B833" t="str">
        <f>IFERROR(VLOOKUP($A833,原始数据_收盘!$A$4:$G$3460,2,0),"")</f>
        <v/>
      </c>
      <c r="C833" t="str">
        <f>IFERROR(VLOOKUP($A833,原始数据_收盘!$A$4:$G$3460,3,0),"")</f>
        <v/>
      </c>
      <c r="D833" t="str">
        <f>IFERROR(VLOOKUP($A833,原始数据_收盘!$A$4:$G$3460,4,0),"")</f>
        <v/>
      </c>
      <c r="E833" t="str">
        <f>IFERROR(VLOOKUP($A833,原始数据_收盘!$A$4:$G$3460,5,0),"")</f>
        <v/>
      </c>
      <c r="F833" t="str">
        <f>IFERROR(VLOOKUP($A833,原始数据_收盘!$A$4:$G$3460,6,0),"")</f>
        <v/>
      </c>
      <c r="G833" t="str">
        <f>IFERROR(VLOOKUP($A833,原始数据_收盘!$A$4:$G$3460,7,0),"")</f>
        <v/>
      </c>
      <c r="H833">
        <f>IFERROR(VLOOKUP($A833,原始数据_利率互换_FR007_1年!$A$6:$C$4395,2,0),"")</f>
        <v>2.19</v>
      </c>
      <c r="I833">
        <f>IFERROR(VLOOKUP($A833,原始数据_利率互换_FR007_1年!$A$6:$C$4395,3,0),"")</f>
        <v>3.06</v>
      </c>
    </row>
    <row r="834" spans="1:9">
      <c r="A834" s="6">
        <v>40327</v>
      </c>
      <c r="B834" t="str">
        <f>IFERROR(VLOOKUP($A834,原始数据_收盘!$A$4:$G$3460,2,0),"")</f>
        <v/>
      </c>
      <c r="C834" t="str">
        <f>IFERROR(VLOOKUP($A834,原始数据_收盘!$A$4:$G$3460,3,0),"")</f>
        <v/>
      </c>
      <c r="D834" t="str">
        <f>IFERROR(VLOOKUP($A834,原始数据_收盘!$A$4:$G$3460,4,0),"")</f>
        <v/>
      </c>
      <c r="E834" t="str">
        <f>IFERROR(VLOOKUP($A834,原始数据_收盘!$A$4:$G$3460,5,0),"")</f>
        <v/>
      </c>
      <c r="F834" t="str">
        <f>IFERROR(VLOOKUP($A834,原始数据_收盘!$A$4:$G$3460,6,0),"")</f>
        <v/>
      </c>
      <c r="G834" t="str">
        <f>IFERROR(VLOOKUP($A834,原始数据_收盘!$A$4:$G$3460,7,0),"")</f>
        <v/>
      </c>
      <c r="H834" t="str">
        <f>IFERROR(VLOOKUP($A834,原始数据_利率互换_FR007_1年!$A$6:$C$4395,2,0),"")</f>
        <v/>
      </c>
      <c r="I834" t="str">
        <f>IFERROR(VLOOKUP($A834,原始数据_利率互换_FR007_1年!$A$6:$C$4395,3,0),"")</f>
        <v/>
      </c>
    </row>
    <row r="835" spans="1:9">
      <c r="A835" s="6">
        <v>40328</v>
      </c>
      <c r="B835" t="str">
        <f>IFERROR(VLOOKUP($A835,原始数据_收盘!$A$4:$G$3460,2,0),"")</f>
        <v/>
      </c>
      <c r="C835" t="str">
        <f>IFERROR(VLOOKUP($A835,原始数据_收盘!$A$4:$G$3460,3,0),"")</f>
        <v/>
      </c>
      <c r="D835" t="str">
        <f>IFERROR(VLOOKUP($A835,原始数据_收盘!$A$4:$G$3460,4,0),"")</f>
        <v/>
      </c>
      <c r="E835" t="str">
        <f>IFERROR(VLOOKUP($A835,原始数据_收盘!$A$4:$G$3460,5,0),"")</f>
        <v/>
      </c>
      <c r="F835" t="str">
        <f>IFERROR(VLOOKUP($A835,原始数据_收盘!$A$4:$G$3460,6,0),"")</f>
        <v/>
      </c>
      <c r="G835" t="str">
        <f>IFERROR(VLOOKUP($A835,原始数据_收盘!$A$4:$G$3460,7,0),"")</f>
        <v/>
      </c>
      <c r="H835" t="str">
        <f>IFERROR(VLOOKUP($A835,原始数据_利率互换_FR007_1年!$A$6:$C$4395,2,0),"")</f>
        <v/>
      </c>
      <c r="I835" t="str">
        <f>IFERROR(VLOOKUP($A835,原始数据_利率互换_FR007_1年!$A$6:$C$4395,3,0),"")</f>
        <v/>
      </c>
    </row>
    <row r="836" spans="1:9">
      <c r="A836" s="6">
        <v>40329</v>
      </c>
      <c r="B836" t="str">
        <f>IFERROR(VLOOKUP($A836,原始数据_收盘!$A$4:$G$3460,2,0),"")</f>
        <v/>
      </c>
      <c r="C836" t="str">
        <f>IFERROR(VLOOKUP($A836,原始数据_收盘!$A$4:$G$3460,3,0),"")</f>
        <v/>
      </c>
      <c r="D836" t="str">
        <f>IFERROR(VLOOKUP($A836,原始数据_收盘!$A$4:$G$3460,4,0),"")</f>
        <v/>
      </c>
      <c r="E836" t="str">
        <f>IFERROR(VLOOKUP($A836,原始数据_收盘!$A$4:$G$3460,5,0),"")</f>
        <v/>
      </c>
      <c r="F836" t="str">
        <f>IFERROR(VLOOKUP($A836,原始数据_收盘!$A$4:$G$3460,6,0),"")</f>
        <v/>
      </c>
      <c r="G836" t="str">
        <f>IFERROR(VLOOKUP($A836,原始数据_收盘!$A$4:$G$3460,7,0),"")</f>
        <v/>
      </c>
      <c r="H836">
        <f>IFERROR(VLOOKUP($A836,原始数据_利率互换_FR007_1年!$A$6:$C$4395,2,0),"")</f>
        <v>2.19</v>
      </c>
      <c r="I836">
        <f>IFERROR(VLOOKUP($A836,原始数据_利率互换_FR007_1年!$A$6:$C$4395,3,0),"")</f>
        <v>3.04</v>
      </c>
    </row>
    <row r="837" spans="1:9">
      <c r="A837" s="6">
        <v>40330</v>
      </c>
      <c r="B837" t="str">
        <f>IFERROR(VLOOKUP($A837,原始数据_收盘!$A$4:$G$3460,2,0),"")</f>
        <v/>
      </c>
      <c r="C837" t="str">
        <f>IFERROR(VLOOKUP($A837,原始数据_收盘!$A$4:$G$3460,3,0),"")</f>
        <v/>
      </c>
      <c r="D837" t="str">
        <f>IFERROR(VLOOKUP($A837,原始数据_收盘!$A$4:$G$3460,4,0),"")</f>
        <v/>
      </c>
      <c r="E837" t="str">
        <f>IFERROR(VLOOKUP($A837,原始数据_收盘!$A$4:$G$3460,5,0),"")</f>
        <v/>
      </c>
      <c r="F837" t="str">
        <f>IFERROR(VLOOKUP($A837,原始数据_收盘!$A$4:$G$3460,6,0),"")</f>
        <v/>
      </c>
      <c r="G837" t="str">
        <f>IFERROR(VLOOKUP($A837,原始数据_收盘!$A$4:$G$3460,7,0),"")</f>
        <v/>
      </c>
      <c r="H837">
        <f>IFERROR(VLOOKUP($A837,原始数据_利率互换_FR007_1年!$A$6:$C$4395,2,0),"")</f>
        <v>2.22</v>
      </c>
      <c r="I837">
        <f>IFERROR(VLOOKUP($A837,原始数据_利率互换_FR007_1年!$A$6:$C$4395,3,0),"")</f>
        <v>3.09</v>
      </c>
    </row>
    <row r="838" spans="1:9">
      <c r="A838" s="6">
        <v>40331</v>
      </c>
      <c r="B838" t="str">
        <f>IFERROR(VLOOKUP($A838,原始数据_收盘!$A$4:$G$3460,2,0),"")</f>
        <v/>
      </c>
      <c r="C838" t="str">
        <f>IFERROR(VLOOKUP($A838,原始数据_收盘!$A$4:$G$3460,3,0),"")</f>
        <v/>
      </c>
      <c r="D838" t="str">
        <f>IFERROR(VLOOKUP($A838,原始数据_收盘!$A$4:$G$3460,4,0),"")</f>
        <v/>
      </c>
      <c r="E838" t="str">
        <f>IFERROR(VLOOKUP($A838,原始数据_收盘!$A$4:$G$3460,5,0),"")</f>
        <v/>
      </c>
      <c r="F838" t="str">
        <f>IFERROR(VLOOKUP($A838,原始数据_收盘!$A$4:$G$3460,6,0),"")</f>
        <v/>
      </c>
      <c r="G838" t="str">
        <f>IFERROR(VLOOKUP($A838,原始数据_收盘!$A$4:$G$3460,7,0),"")</f>
        <v/>
      </c>
      <c r="H838">
        <f>IFERROR(VLOOKUP($A838,原始数据_利率互换_FR007_1年!$A$6:$C$4395,2,0),"")</f>
        <v>2.26</v>
      </c>
      <c r="I838">
        <f>IFERROR(VLOOKUP($A838,原始数据_利率互换_FR007_1年!$A$6:$C$4395,3,0),"")</f>
        <v>3.14</v>
      </c>
    </row>
    <row r="839" spans="1:9">
      <c r="A839" s="6">
        <v>40332</v>
      </c>
      <c r="B839" t="str">
        <f>IFERROR(VLOOKUP($A839,原始数据_收盘!$A$4:$G$3460,2,0),"")</f>
        <v/>
      </c>
      <c r="C839" t="str">
        <f>IFERROR(VLOOKUP($A839,原始数据_收盘!$A$4:$G$3460,3,0),"")</f>
        <v/>
      </c>
      <c r="D839" t="str">
        <f>IFERROR(VLOOKUP($A839,原始数据_收盘!$A$4:$G$3460,4,0),"")</f>
        <v/>
      </c>
      <c r="E839" t="str">
        <f>IFERROR(VLOOKUP($A839,原始数据_收盘!$A$4:$G$3460,5,0),"")</f>
        <v/>
      </c>
      <c r="F839" t="str">
        <f>IFERROR(VLOOKUP($A839,原始数据_收盘!$A$4:$G$3460,6,0),"")</f>
        <v/>
      </c>
      <c r="G839" t="str">
        <f>IFERROR(VLOOKUP($A839,原始数据_收盘!$A$4:$G$3460,7,0),"")</f>
        <v/>
      </c>
      <c r="H839">
        <f>IFERROR(VLOOKUP($A839,原始数据_利率互换_FR007_1年!$A$6:$C$4395,2,0),"")</f>
        <v>2.58</v>
      </c>
      <c r="I839">
        <f>IFERROR(VLOOKUP($A839,原始数据_利率互换_FR007_1年!$A$6:$C$4395,3,0),"")</f>
        <v>3.16</v>
      </c>
    </row>
    <row r="840" spans="1:9">
      <c r="A840" s="6">
        <v>40333</v>
      </c>
      <c r="B840" t="str">
        <f>IFERROR(VLOOKUP($A840,原始数据_收盘!$A$4:$G$3460,2,0),"")</f>
        <v/>
      </c>
      <c r="C840" t="str">
        <f>IFERROR(VLOOKUP($A840,原始数据_收盘!$A$4:$G$3460,3,0),"")</f>
        <v/>
      </c>
      <c r="D840" t="str">
        <f>IFERROR(VLOOKUP($A840,原始数据_收盘!$A$4:$G$3460,4,0),"")</f>
        <v/>
      </c>
      <c r="E840" t="str">
        <f>IFERROR(VLOOKUP($A840,原始数据_收盘!$A$4:$G$3460,5,0),"")</f>
        <v/>
      </c>
      <c r="F840" t="str">
        <f>IFERROR(VLOOKUP($A840,原始数据_收盘!$A$4:$G$3460,6,0),"")</f>
        <v/>
      </c>
      <c r="G840" t="str">
        <f>IFERROR(VLOOKUP($A840,原始数据_收盘!$A$4:$G$3460,7,0),"")</f>
        <v/>
      </c>
      <c r="H840">
        <f>IFERROR(VLOOKUP($A840,原始数据_利率互换_FR007_1年!$A$6:$C$4395,2,0),"")</f>
        <v>2.23</v>
      </c>
      <c r="I840">
        <f>IFERROR(VLOOKUP($A840,原始数据_利率互换_FR007_1年!$A$6:$C$4395,3,0),"")</f>
        <v>3.11</v>
      </c>
    </row>
    <row r="841" spans="1:9">
      <c r="A841" s="6">
        <v>40334</v>
      </c>
      <c r="B841" t="str">
        <f>IFERROR(VLOOKUP($A841,原始数据_收盘!$A$4:$G$3460,2,0),"")</f>
        <v/>
      </c>
      <c r="C841" t="str">
        <f>IFERROR(VLOOKUP($A841,原始数据_收盘!$A$4:$G$3460,3,0),"")</f>
        <v/>
      </c>
      <c r="D841" t="str">
        <f>IFERROR(VLOOKUP($A841,原始数据_收盘!$A$4:$G$3460,4,0),"")</f>
        <v/>
      </c>
      <c r="E841" t="str">
        <f>IFERROR(VLOOKUP($A841,原始数据_收盘!$A$4:$G$3460,5,0),"")</f>
        <v/>
      </c>
      <c r="F841" t="str">
        <f>IFERROR(VLOOKUP($A841,原始数据_收盘!$A$4:$G$3460,6,0),"")</f>
        <v/>
      </c>
      <c r="G841" t="str">
        <f>IFERROR(VLOOKUP($A841,原始数据_收盘!$A$4:$G$3460,7,0),"")</f>
        <v/>
      </c>
      <c r="H841" t="str">
        <f>IFERROR(VLOOKUP($A841,原始数据_利率互换_FR007_1年!$A$6:$C$4395,2,0),"")</f>
        <v/>
      </c>
      <c r="I841" t="str">
        <f>IFERROR(VLOOKUP($A841,原始数据_利率互换_FR007_1年!$A$6:$C$4395,3,0),"")</f>
        <v/>
      </c>
    </row>
    <row r="842" spans="1:9">
      <c r="A842" s="6">
        <v>40335</v>
      </c>
      <c r="B842" t="str">
        <f>IFERROR(VLOOKUP($A842,原始数据_收盘!$A$4:$G$3460,2,0),"")</f>
        <v/>
      </c>
      <c r="C842" t="str">
        <f>IFERROR(VLOOKUP($A842,原始数据_收盘!$A$4:$G$3460,3,0),"")</f>
        <v/>
      </c>
      <c r="D842" t="str">
        <f>IFERROR(VLOOKUP($A842,原始数据_收盘!$A$4:$G$3460,4,0),"")</f>
        <v/>
      </c>
      <c r="E842" t="str">
        <f>IFERROR(VLOOKUP($A842,原始数据_收盘!$A$4:$G$3460,5,0),"")</f>
        <v/>
      </c>
      <c r="F842" t="str">
        <f>IFERROR(VLOOKUP($A842,原始数据_收盘!$A$4:$G$3460,6,0),"")</f>
        <v/>
      </c>
      <c r="G842" t="str">
        <f>IFERROR(VLOOKUP($A842,原始数据_收盘!$A$4:$G$3460,7,0),"")</f>
        <v/>
      </c>
      <c r="H842" t="str">
        <f>IFERROR(VLOOKUP($A842,原始数据_利率互换_FR007_1年!$A$6:$C$4395,2,0),"")</f>
        <v/>
      </c>
      <c r="I842" t="str">
        <f>IFERROR(VLOOKUP($A842,原始数据_利率互换_FR007_1年!$A$6:$C$4395,3,0),"")</f>
        <v/>
      </c>
    </row>
    <row r="843" spans="1:9">
      <c r="A843" s="6">
        <v>40336</v>
      </c>
      <c r="B843" t="str">
        <f>IFERROR(VLOOKUP($A843,原始数据_收盘!$A$4:$G$3460,2,0),"")</f>
        <v/>
      </c>
      <c r="C843" t="str">
        <f>IFERROR(VLOOKUP($A843,原始数据_收盘!$A$4:$G$3460,3,0),"")</f>
        <v/>
      </c>
      <c r="D843" t="str">
        <f>IFERROR(VLOOKUP($A843,原始数据_收盘!$A$4:$G$3460,4,0),"")</f>
        <v/>
      </c>
      <c r="E843" t="str">
        <f>IFERROR(VLOOKUP($A843,原始数据_收盘!$A$4:$G$3460,5,0),"")</f>
        <v/>
      </c>
      <c r="F843" t="str">
        <f>IFERROR(VLOOKUP($A843,原始数据_收盘!$A$4:$G$3460,6,0),"")</f>
        <v/>
      </c>
      <c r="G843" t="str">
        <f>IFERROR(VLOOKUP($A843,原始数据_收盘!$A$4:$G$3460,7,0),"")</f>
        <v/>
      </c>
      <c r="H843">
        <f>IFERROR(VLOOKUP($A843,原始数据_利率互换_FR007_1年!$A$6:$C$4395,2,0),"")</f>
        <v>2.2</v>
      </c>
      <c r="I843">
        <f>IFERROR(VLOOKUP($A843,原始数据_利率互换_FR007_1年!$A$6:$C$4395,3,0),"")</f>
        <v>3.02</v>
      </c>
    </row>
    <row r="844" spans="1:9">
      <c r="A844" s="6">
        <v>40337</v>
      </c>
      <c r="B844" t="str">
        <f>IFERROR(VLOOKUP($A844,原始数据_收盘!$A$4:$G$3460,2,0),"")</f>
        <v/>
      </c>
      <c r="C844" t="str">
        <f>IFERROR(VLOOKUP($A844,原始数据_收盘!$A$4:$G$3460,3,0),"")</f>
        <v/>
      </c>
      <c r="D844" t="str">
        <f>IFERROR(VLOOKUP($A844,原始数据_收盘!$A$4:$G$3460,4,0),"")</f>
        <v/>
      </c>
      <c r="E844" t="str">
        <f>IFERROR(VLOOKUP($A844,原始数据_收盘!$A$4:$G$3460,5,0),"")</f>
        <v/>
      </c>
      <c r="F844" t="str">
        <f>IFERROR(VLOOKUP($A844,原始数据_收盘!$A$4:$G$3460,6,0),"")</f>
        <v/>
      </c>
      <c r="G844" t="str">
        <f>IFERROR(VLOOKUP($A844,原始数据_收盘!$A$4:$G$3460,7,0),"")</f>
        <v/>
      </c>
      <c r="H844">
        <f>IFERROR(VLOOKUP($A844,原始数据_利率互换_FR007_1年!$A$6:$C$4395,2,0),"")</f>
        <v>2.24</v>
      </c>
      <c r="I844">
        <f>IFERROR(VLOOKUP($A844,原始数据_利率互换_FR007_1年!$A$6:$C$4395,3,0),"")</f>
        <v>0</v>
      </c>
    </row>
    <row r="845" spans="1:9">
      <c r="A845" s="6">
        <v>40338</v>
      </c>
      <c r="B845" t="str">
        <f>IFERROR(VLOOKUP($A845,原始数据_收盘!$A$4:$G$3460,2,0),"")</f>
        <v/>
      </c>
      <c r="C845" t="str">
        <f>IFERROR(VLOOKUP($A845,原始数据_收盘!$A$4:$G$3460,3,0),"")</f>
        <v/>
      </c>
      <c r="D845" t="str">
        <f>IFERROR(VLOOKUP($A845,原始数据_收盘!$A$4:$G$3460,4,0),"")</f>
        <v/>
      </c>
      <c r="E845" t="str">
        <f>IFERROR(VLOOKUP($A845,原始数据_收盘!$A$4:$G$3460,5,0),"")</f>
        <v/>
      </c>
      <c r="F845" t="str">
        <f>IFERROR(VLOOKUP($A845,原始数据_收盘!$A$4:$G$3460,6,0),"")</f>
        <v/>
      </c>
      <c r="G845" t="str">
        <f>IFERROR(VLOOKUP($A845,原始数据_收盘!$A$4:$G$3460,7,0),"")</f>
        <v/>
      </c>
      <c r="H845">
        <f>IFERROR(VLOOKUP($A845,原始数据_利率互换_FR007_1年!$A$6:$C$4395,2,0),"")</f>
        <v>2.27</v>
      </c>
      <c r="I845">
        <f>IFERROR(VLOOKUP($A845,原始数据_利率互换_FR007_1年!$A$6:$C$4395,3,0),"")</f>
        <v>3.08</v>
      </c>
    </row>
    <row r="846" spans="1:9">
      <c r="A846" s="6">
        <v>40339</v>
      </c>
      <c r="B846" t="str">
        <f>IFERROR(VLOOKUP($A846,原始数据_收盘!$A$4:$G$3460,2,0),"")</f>
        <v/>
      </c>
      <c r="C846" t="str">
        <f>IFERROR(VLOOKUP($A846,原始数据_收盘!$A$4:$G$3460,3,0),"")</f>
        <v/>
      </c>
      <c r="D846" t="str">
        <f>IFERROR(VLOOKUP($A846,原始数据_收盘!$A$4:$G$3460,4,0),"")</f>
        <v/>
      </c>
      <c r="E846" t="str">
        <f>IFERROR(VLOOKUP($A846,原始数据_收盘!$A$4:$G$3460,5,0),"")</f>
        <v/>
      </c>
      <c r="F846" t="str">
        <f>IFERROR(VLOOKUP($A846,原始数据_收盘!$A$4:$G$3460,6,0),"")</f>
        <v/>
      </c>
      <c r="G846" t="str">
        <f>IFERROR(VLOOKUP($A846,原始数据_收盘!$A$4:$G$3460,7,0),"")</f>
        <v/>
      </c>
      <c r="H846">
        <f>IFERROR(VLOOKUP($A846,原始数据_利率互换_FR007_1年!$A$6:$C$4395,2,0),"")</f>
        <v>2.33</v>
      </c>
      <c r="I846">
        <f>IFERROR(VLOOKUP($A846,原始数据_利率互换_FR007_1年!$A$6:$C$4395,3,0),"")</f>
        <v>3.12</v>
      </c>
    </row>
    <row r="847" spans="1:9">
      <c r="A847" s="6">
        <v>40340</v>
      </c>
      <c r="B847" t="str">
        <f>IFERROR(VLOOKUP($A847,原始数据_收盘!$A$4:$G$3460,2,0),"")</f>
        <v/>
      </c>
      <c r="C847" t="str">
        <f>IFERROR(VLOOKUP($A847,原始数据_收盘!$A$4:$G$3460,3,0),"")</f>
        <v/>
      </c>
      <c r="D847" t="str">
        <f>IFERROR(VLOOKUP($A847,原始数据_收盘!$A$4:$G$3460,4,0),"")</f>
        <v/>
      </c>
      <c r="E847" t="str">
        <f>IFERROR(VLOOKUP($A847,原始数据_收盘!$A$4:$G$3460,5,0),"")</f>
        <v/>
      </c>
      <c r="F847" t="str">
        <f>IFERROR(VLOOKUP($A847,原始数据_收盘!$A$4:$G$3460,6,0),"")</f>
        <v/>
      </c>
      <c r="G847" t="str">
        <f>IFERROR(VLOOKUP($A847,原始数据_收盘!$A$4:$G$3460,7,0),"")</f>
        <v/>
      </c>
      <c r="H847">
        <f>IFERROR(VLOOKUP($A847,原始数据_利率互换_FR007_1年!$A$6:$C$4395,2,0),"")</f>
        <v>2.37</v>
      </c>
      <c r="I847">
        <f>IFERROR(VLOOKUP($A847,原始数据_利率互换_FR007_1年!$A$6:$C$4395,3,0),"")</f>
        <v>3.12</v>
      </c>
    </row>
    <row r="848" spans="1:9">
      <c r="A848" s="6">
        <v>40341</v>
      </c>
      <c r="B848" t="str">
        <f>IFERROR(VLOOKUP($A848,原始数据_收盘!$A$4:$G$3460,2,0),"")</f>
        <v/>
      </c>
      <c r="C848" t="str">
        <f>IFERROR(VLOOKUP($A848,原始数据_收盘!$A$4:$G$3460,3,0),"")</f>
        <v/>
      </c>
      <c r="D848" t="str">
        <f>IFERROR(VLOOKUP($A848,原始数据_收盘!$A$4:$G$3460,4,0),"")</f>
        <v/>
      </c>
      <c r="E848" t="str">
        <f>IFERROR(VLOOKUP($A848,原始数据_收盘!$A$4:$G$3460,5,0),"")</f>
        <v/>
      </c>
      <c r="F848" t="str">
        <f>IFERROR(VLOOKUP($A848,原始数据_收盘!$A$4:$G$3460,6,0),"")</f>
        <v/>
      </c>
      <c r="G848" t="str">
        <f>IFERROR(VLOOKUP($A848,原始数据_收盘!$A$4:$G$3460,7,0),"")</f>
        <v/>
      </c>
      <c r="H848">
        <f>IFERROR(VLOOKUP($A848,原始数据_利率互换_FR007_1年!$A$6:$C$4395,2,0),"")</f>
        <v>0</v>
      </c>
      <c r="I848">
        <f>IFERROR(VLOOKUP($A848,原始数据_利率互换_FR007_1年!$A$6:$C$4395,3,0),"")</f>
        <v>3.17</v>
      </c>
    </row>
    <row r="849" spans="1:9">
      <c r="A849" s="6">
        <v>40342</v>
      </c>
      <c r="B849" t="str">
        <f>IFERROR(VLOOKUP($A849,原始数据_收盘!$A$4:$G$3460,2,0),"")</f>
        <v/>
      </c>
      <c r="C849" t="str">
        <f>IFERROR(VLOOKUP($A849,原始数据_收盘!$A$4:$G$3460,3,0),"")</f>
        <v/>
      </c>
      <c r="D849" t="str">
        <f>IFERROR(VLOOKUP($A849,原始数据_收盘!$A$4:$G$3460,4,0),"")</f>
        <v/>
      </c>
      <c r="E849" t="str">
        <f>IFERROR(VLOOKUP($A849,原始数据_收盘!$A$4:$G$3460,5,0),"")</f>
        <v/>
      </c>
      <c r="F849" t="str">
        <f>IFERROR(VLOOKUP($A849,原始数据_收盘!$A$4:$G$3460,6,0),"")</f>
        <v/>
      </c>
      <c r="G849" t="str">
        <f>IFERROR(VLOOKUP($A849,原始数据_收盘!$A$4:$G$3460,7,0),"")</f>
        <v/>
      </c>
      <c r="H849">
        <f>IFERROR(VLOOKUP($A849,原始数据_利率互换_FR007_1年!$A$6:$C$4395,2,0),"")</f>
        <v>2.36</v>
      </c>
      <c r="I849">
        <f>IFERROR(VLOOKUP($A849,原始数据_利率互换_FR007_1年!$A$6:$C$4395,3,0),"")</f>
        <v>3.22</v>
      </c>
    </row>
    <row r="850" spans="1:9">
      <c r="A850" s="6">
        <v>40343</v>
      </c>
      <c r="B850" t="str">
        <f>IFERROR(VLOOKUP($A850,原始数据_收盘!$A$4:$G$3460,2,0),"")</f>
        <v/>
      </c>
      <c r="C850" t="str">
        <f>IFERROR(VLOOKUP($A850,原始数据_收盘!$A$4:$G$3460,3,0),"")</f>
        <v/>
      </c>
      <c r="D850" t="str">
        <f>IFERROR(VLOOKUP($A850,原始数据_收盘!$A$4:$G$3460,4,0),"")</f>
        <v/>
      </c>
      <c r="E850" t="str">
        <f>IFERROR(VLOOKUP($A850,原始数据_收盘!$A$4:$G$3460,5,0),"")</f>
        <v/>
      </c>
      <c r="F850" t="str">
        <f>IFERROR(VLOOKUP($A850,原始数据_收盘!$A$4:$G$3460,6,0),"")</f>
        <v/>
      </c>
      <c r="G850" t="str">
        <f>IFERROR(VLOOKUP($A850,原始数据_收盘!$A$4:$G$3460,7,0),"")</f>
        <v/>
      </c>
      <c r="H850" t="str">
        <f>IFERROR(VLOOKUP($A850,原始数据_利率互换_FR007_1年!$A$6:$C$4395,2,0),"")</f>
        <v/>
      </c>
      <c r="I850" t="str">
        <f>IFERROR(VLOOKUP($A850,原始数据_利率互换_FR007_1年!$A$6:$C$4395,3,0),"")</f>
        <v/>
      </c>
    </row>
    <row r="851" spans="1:9">
      <c r="A851" s="6">
        <v>40344</v>
      </c>
      <c r="B851" t="str">
        <f>IFERROR(VLOOKUP($A851,原始数据_收盘!$A$4:$G$3460,2,0),"")</f>
        <v/>
      </c>
      <c r="C851" t="str">
        <f>IFERROR(VLOOKUP($A851,原始数据_收盘!$A$4:$G$3460,3,0),"")</f>
        <v/>
      </c>
      <c r="D851" t="str">
        <f>IFERROR(VLOOKUP($A851,原始数据_收盘!$A$4:$G$3460,4,0),"")</f>
        <v/>
      </c>
      <c r="E851" t="str">
        <f>IFERROR(VLOOKUP($A851,原始数据_收盘!$A$4:$G$3460,5,0),"")</f>
        <v/>
      </c>
      <c r="F851" t="str">
        <f>IFERROR(VLOOKUP($A851,原始数据_收盘!$A$4:$G$3460,6,0),"")</f>
        <v/>
      </c>
      <c r="G851" t="str">
        <f>IFERROR(VLOOKUP($A851,原始数据_收盘!$A$4:$G$3460,7,0),"")</f>
        <v/>
      </c>
      <c r="H851" t="str">
        <f>IFERROR(VLOOKUP($A851,原始数据_利率互换_FR007_1年!$A$6:$C$4395,2,0),"")</f>
        <v/>
      </c>
      <c r="I851" t="str">
        <f>IFERROR(VLOOKUP($A851,原始数据_利率互换_FR007_1年!$A$6:$C$4395,3,0),"")</f>
        <v/>
      </c>
    </row>
    <row r="852" spans="1:9">
      <c r="A852" s="6">
        <v>40345</v>
      </c>
      <c r="B852" t="str">
        <f>IFERROR(VLOOKUP($A852,原始数据_收盘!$A$4:$G$3460,2,0),"")</f>
        <v/>
      </c>
      <c r="C852" t="str">
        <f>IFERROR(VLOOKUP($A852,原始数据_收盘!$A$4:$G$3460,3,0),"")</f>
        <v/>
      </c>
      <c r="D852" t="str">
        <f>IFERROR(VLOOKUP($A852,原始数据_收盘!$A$4:$G$3460,4,0),"")</f>
        <v/>
      </c>
      <c r="E852" t="str">
        <f>IFERROR(VLOOKUP($A852,原始数据_收盘!$A$4:$G$3460,5,0),"")</f>
        <v/>
      </c>
      <c r="F852" t="str">
        <f>IFERROR(VLOOKUP($A852,原始数据_收盘!$A$4:$G$3460,6,0),"")</f>
        <v/>
      </c>
      <c r="G852" t="str">
        <f>IFERROR(VLOOKUP($A852,原始数据_收盘!$A$4:$G$3460,7,0),"")</f>
        <v/>
      </c>
      <c r="H852" t="str">
        <f>IFERROR(VLOOKUP($A852,原始数据_利率互换_FR007_1年!$A$6:$C$4395,2,0),"")</f>
        <v/>
      </c>
      <c r="I852" t="str">
        <f>IFERROR(VLOOKUP($A852,原始数据_利率互换_FR007_1年!$A$6:$C$4395,3,0),"")</f>
        <v/>
      </c>
    </row>
    <row r="853" spans="1:9">
      <c r="A853" s="6">
        <v>40346</v>
      </c>
      <c r="B853" t="str">
        <f>IFERROR(VLOOKUP($A853,原始数据_收盘!$A$4:$G$3460,2,0),"")</f>
        <v/>
      </c>
      <c r="C853" t="str">
        <f>IFERROR(VLOOKUP($A853,原始数据_收盘!$A$4:$G$3460,3,0),"")</f>
        <v/>
      </c>
      <c r="D853" t="str">
        <f>IFERROR(VLOOKUP($A853,原始数据_收盘!$A$4:$G$3460,4,0),"")</f>
        <v/>
      </c>
      <c r="E853" t="str">
        <f>IFERROR(VLOOKUP($A853,原始数据_收盘!$A$4:$G$3460,5,0),"")</f>
        <v/>
      </c>
      <c r="F853" t="str">
        <f>IFERROR(VLOOKUP($A853,原始数据_收盘!$A$4:$G$3460,6,0),"")</f>
        <v/>
      </c>
      <c r="G853" t="str">
        <f>IFERROR(VLOOKUP($A853,原始数据_收盘!$A$4:$G$3460,7,0),"")</f>
        <v/>
      </c>
      <c r="H853">
        <f>IFERROR(VLOOKUP($A853,原始数据_利率互换_FR007_1年!$A$6:$C$4395,2,0),"")</f>
        <v>2.39</v>
      </c>
      <c r="I853">
        <f>IFERROR(VLOOKUP($A853,原始数据_利率互换_FR007_1年!$A$6:$C$4395,3,0),"")</f>
        <v>3.2</v>
      </c>
    </row>
    <row r="854" spans="1:9">
      <c r="A854" s="6">
        <v>40347</v>
      </c>
      <c r="B854" t="str">
        <f>IFERROR(VLOOKUP($A854,原始数据_收盘!$A$4:$G$3460,2,0),"")</f>
        <v/>
      </c>
      <c r="C854" t="str">
        <f>IFERROR(VLOOKUP($A854,原始数据_收盘!$A$4:$G$3460,3,0),"")</f>
        <v/>
      </c>
      <c r="D854" t="str">
        <f>IFERROR(VLOOKUP($A854,原始数据_收盘!$A$4:$G$3460,4,0),"")</f>
        <v/>
      </c>
      <c r="E854" t="str">
        <f>IFERROR(VLOOKUP($A854,原始数据_收盘!$A$4:$G$3460,5,0),"")</f>
        <v/>
      </c>
      <c r="F854" t="str">
        <f>IFERROR(VLOOKUP($A854,原始数据_收盘!$A$4:$G$3460,6,0),"")</f>
        <v/>
      </c>
      <c r="G854" t="str">
        <f>IFERROR(VLOOKUP($A854,原始数据_收盘!$A$4:$G$3460,7,0),"")</f>
        <v/>
      </c>
      <c r="H854">
        <f>IFERROR(VLOOKUP($A854,原始数据_利率互换_FR007_1年!$A$6:$C$4395,2,0),"")</f>
        <v>2.46</v>
      </c>
      <c r="I854">
        <f>IFERROR(VLOOKUP($A854,原始数据_利率互换_FR007_1年!$A$6:$C$4395,3,0),"")</f>
        <v>3.25</v>
      </c>
    </row>
    <row r="855" spans="1:9">
      <c r="A855" s="6">
        <v>40348</v>
      </c>
      <c r="B855" t="str">
        <f>IFERROR(VLOOKUP($A855,原始数据_收盘!$A$4:$G$3460,2,0),"")</f>
        <v/>
      </c>
      <c r="C855" t="str">
        <f>IFERROR(VLOOKUP($A855,原始数据_收盘!$A$4:$G$3460,3,0),"")</f>
        <v/>
      </c>
      <c r="D855" t="str">
        <f>IFERROR(VLOOKUP($A855,原始数据_收盘!$A$4:$G$3460,4,0),"")</f>
        <v/>
      </c>
      <c r="E855" t="str">
        <f>IFERROR(VLOOKUP($A855,原始数据_收盘!$A$4:$G$3460,5,0),"")</f>
        <v/>
      </c>
      <c r="F855" t="str">
        <f>IFERROR(VLOOKUP($A855,原始数据_收盘!$A$4:$G$3460,6,0),"")</f>
        <v/>
      </c>
      <c r="G855" t="str">
        <f>IFERROR(VLOOKUP($A855,原始数据_收盘!$A$4:$G$3460,7,0),"")</f>
        <v/>
      </c>
      <c r="H855" t="str">
        <f>IFERROR(VLOOKUP($A855,原始数据_利率互换_FR007_1年!$A$6:$C$4395,2,0),"")</f>
        <v/>
      </c>
      <c r="I855" t="str">
        <f>IFERROR(VLOOKUP($A855,原始数据_利率互换_FR007_1年!$A$6:$C$4395,3,0),"")</f>
        <v/>
      </c>
    </row>
    <row r="856" spans="1:9">
      <c r="A856" s="6">
        <v>40349</v>
      </c>
      <c r="B856" t="str">
        <f>IFERROR(VLOOKUP($A856,原始数据_收盘!$A$4:$G$3460,2,0),"")</f>
        <v/>
      </c>
      <c r="C856" t="str">
        <f>IFERROR(VLOOKUP($A856,原始数据_收盘!$A$4:$G$3460,3,0),"")</f>
        <v/>
      </c>
      <c r="D856" t="str">
        <f>IFERROR(VLOOKUP($A856,原始数据_收盘!$A$4:$G$3460,4,0),"")</f>
        <v/>
      </c>
      <c r="E856" t="str">
        <f>IFERROR(VLOOKUP($A856,原始数据_收盘!$A$4:$G$3460,5,0),"")</f>
        <v/>
      </c>
      <c r="F856" t="str">
        <f>IFERROR(VLOOKUP($A856,原始数据_收盘!$A$4:$G$3460,6,0),"")</f>
        <v/>
      </c>
      <c r="G856" t="str">
        <f>IFERROR(VLOOKUP($A856,原始数据_收盘!$A$4:$G$3460,7,0),"")</f>
        <v/>
      </c>
      <c r="H856" t="str">
        <f>IFERROR(VLOOKUP($A856,原始数据_利率互换_FR007_1年!$A$6:$C$4395,2,0),"")</f>
        <v/>
      </c>
      <c r="I856" t="str">
        <f>IFERROR(VLOOKUP($A856,原始数据_利率互换_FR007_1年!$A$6:$C$4395,3,0),"")</f>
        <v/>
      </c>
    </row>
    <row r="857" spans="1:9">
      <c r="A857" s="6">
        <v>40350</v>
      </c>
      <c r="B857" t="str">
        <f>IFERROR(VLOOKUP($A857,原始数据_收盘!$A$4:$G$3460,2,0),"")</f>
        <v/>
      </c>
      <c r="C857" t="str">
        <f>IFERROR(VLOOKUP($A857,原始数据_收盘!$A$4:$G$3460,3,0),"")</f>
        <v/>
      </c>
      <c r="D857" t="str">
        <f>IFERROR(VLOOKUP($A857,原始数据_收盘!$A$4:$G$3460,4,0),"")</f>
        <v/>
      </c>
      <c r="E857" t="str">
        <f>IFERROR(VLOOKUP($A857,原始数据_收盘!$A$4:$G$3460,5,0),"")</f>
        <v/>
      </c>
      <c r="F857" t="str">
        <f>IFERROR(VLOOKUP($A857,原始数据_收盘!$A$4:$G$3460,6,0),"")</f>
        <v/>
      </c>
      <c r="G857" t="str">
        <f>IFERROR(VLOOKUP($A857,原始数据_收盘!$A$4:$G$3460,7,0),"")</f>
        <v/>
      </c>
      <c r="H857">
        <f>IFERROR(VLOOKUP($A857,原始数据_利率互换_FR007_1年!$A$6:$C$4395,2,0),"")</f>
        <v>2.37</v>
      </c>
      <c r="I857">
        <f>IFERROR(VLOOKUP($A857,原始数据_利率互换_FR007_1年!$A$6:$C$4395,3,0),"")</f>
        <v>3.15</v>
      </c>
    </row>
    <row r="858" spans="1:9">
      <c r="A858" s="6">
        <v>40351</v>
      </c>
      <c r="B858" t="str">
        <f>IFERROR(VLOOKUP($A858,原始数据_收盘!$A$4:$G$3460,2,0),"")</f>
        <v/>
      </c>
      <c r="C858" t="str">
        <f>IFERROR(VLOOKUP($A858,原始数据_收盘!$A$4:$G$3460,3,0),"")</f>
        <v/>
      </c>
      <c r="D858" t="str">
        <f>IFERROR(VLOOKUP($A858,原始数据_收盘!$A$4:$G$3460,4,0),"")</f>
        <v/>
      </c>
      <c r="E858" t="str">
        <f>IFERROR(VLOOKUP($A858,原始数据_收盘!$A$4:$G$3460,5,0),"")</f>
        <v/>
      </c>
      <c r="F858" t="str">
        <f>IFERROR(VLOOKUP($A858,原始数据_收盘!$A$4:$G$3460,6,0),"")</f>
        <v/>
      </c>
      <c r="G858" t="str">
        <f>IFERROR(VLOOKUP($A858,原始数据_收盘!$A$4:$G$3460,7,0),"")</f>
        <v/>
      </c>
      <c r="H858">
        <f>IFERROR(VLOOKUP($A858,原始数据_利率互换_FR007_1年!$A$6:$C$4395,2,0),"")</f>
        <v>2.37</v>
      </c>
      <c r="I858">
        <f>IFERROR(VLOOKUP($A858,原始数据_利率互换_FR007_1年!$A$6:$C$4395,3,0),"")</f>
        <v>3.2</v>
      </c>
    </row>
    <row r="859" spans="1:9">
      <c r="A859" s="6">
        <v>40352</v>
      </c>
      <c r="B859" t="str">
        <f>IFERROR(VLOOKUP($A859,原始数据_收盘!$A$4:$G$3460,2,0),"")</f>
        <v/>
      </c>
      <c r="C859" t="str">
        <f>IFERROR(VLOOKUP($A859,原始数据_收盘!$A$4:$G$3460,3,0),"")</f>
        <v/>
      </c>
      <c r="D859" t="str">
        <f>IFERROR(VLOOKUP($A859,原始数据_收盘!$A$4:$G$3460,4,0),"")</f>
        <v/>
      </c>
      <c r="E859" t="str">
        <f>IFERROR(VLOOKUP($A859,原始数据_收盘!$A$4:$G$3460,5,0),"")</f>
        <v/>
      </c>
      <c r="F859" t="str">
        <f>IFERROR(VLOOKUP($A859,原始数据_收盘!$A$4:$G$3460,6,0),"")</f>
        <v/>
      </c>
      <c r="G859" t="str">
        <f>IFERROR(VLOOKUP($A859,原始数据_收盘!$A$4:$G$3460,7,0),"")</f>
        <v/>
      </c>
      <c r="H859">
        <f>IFERROR(VLOOKUP($A859,原始数据_利率互换_FR007_1年!$A$6:$C$4395,2,0),"")</f>
        <v>2.38</v>
      </c>
      <c r="I859">
        <f>IFERROR(VLOOKUP($A859,原始数据_利率互换_FR007_1年!$A$6:$C$4395,3,0),"")</f>
        <v>3.2</v>
      </c>
    </row>
    <row r="860" spans="1:9">
      <c r="A860" s="6">
        <v>40353</v>
      </c>
      <c r="B860" t="str">
        <f>IFERROR(VLOOKUP($A860,原始数据_收盘!$A$4:$G$3460,2,0),"")</f>
        <v/>
      </c>
      <c r="C860" t="str">
        <f>IFERROR(VLOOKUP($A860,原始数据_收盘!$A$4:$G$3460,3,0),"")</f>
        <v/>
      </c>
      <c r="D860" t="str">
        <f>IFERROR(VLOOKUP($A860,原始数据_收盘!$A$4:$G$3460,4,0),"")</f>
        <v/>
      </c>
      <c r="E860" t="str">
        <f>IFERROR(VLOOKUP($A860,原始数据_收盘!$A$4:$G$3460,5,0),"")</f>
        <v/>
      </c>
      <c r="F860" t="str">
        <f>IFERROR(VLOOKUP($A860,原始数据_收盘!$A$4:$G$3460,6,0),"")</f>
        <v/>
      </c>
      <c r="G860" t="str">
        <f>IFERROR(VLOOKUP($A860,原始数据_收盘!$A$4:$G$3460,7,0),"")</f>
        <v/>
      </c>
      <c r="H860">
        <f>IFERROR(VLOOKUP($A860,原始数据_利率互换_FR007_1年!$A$6:$C$4395,2,0),"")</f>
        <v>2.36</v>
      </c>
      <c r="I860">
        <f>IFERROR(VLOOKUP($A860,原始数据_利率互换_FR007_1年!$A$6:$C$4395,3,0),"")</f>
        <v>3.16</v>
      </c>
    </row>
    <row r="861" spans="1:9">
      <c r="A861" s="6">
        <v>40354</v>
      </c>
      <c r="B861" t="str">
        <f>IFERROR(VLOOKUP($A861,原始数据_收盘!$A$4:$G$3460,2,0),"")</f>
        <v/>
      </c>
      <c r="C861" t="str">
        <f>IFERROR(VLOOKUP($A861,原始数据_收盘!$A$4:$G$3460,3,0),"")</f>
        <v/>
      </c>
      <c r="D861" t="str">
        <f>IFERROR(VLOOKUP($A861,原始数据_收盘!$A$4:$G$3460,4,0),"")</f>
        <v/>
      </c>
      <c r="E861" t="str">
        <f>IFERROR(VLOOKUP($A861,原始数据_收盘!$A$4:$G$3460,5,0),"")</f>
        <v/>
      </c>
      <c r="F861" t="str">
        <f>IFERROR(VLOOKUP($A861,原始数据_收盘!$A$4:$G$3460,6,0),"")</f>
        <v/>
      </c>
      <c r="G861" t="str">
        <f>IFERROR(VLOOKUP($A861,原始数据_收盘!$A$4:$G$3460,7,0),"")</f>
        <v/>
      </c>
      <c r="H861">
        <f>IFERROR(VLOOKUP($A861,原始数据_利率互换_FR007_1年!$A$6:$C$4395,2,0),"")</f>
        <v>2.35</v>
      </c>
      <c r="I861">
        <f>IFERROR(VLOOKUP($A861,原始数据_利率互换_FR007_1年!$A$6:$C$4395,3,0),"")</f>
        <v>3.15</v>
      </c>
    </row>
    <row r="862" spans="1:9">
      <c r="A862" s="6">
        <v>40355</v>
      </c>
      <c r="B862" t="str">
        <f>IFERROR(VLOOKUP($A862,原始数据_收盘!$A$4:$G$3460,2,0),"")</f>
        <v/>
      </c>
      <c r="C862" t="str">
        <f>IFERROR(VLOOKUP($A862,原始数据_收盘!$A$4:$G$3460,3,0),"")</f>
        <v/>
      </c>
      <c r="D862" t="str">
        <f>IFERROR(VLOOKUP($A862,原始数据_收盘!$A$4:$G$3460,4,0),"")</f>
        <v/>
      </c>
      <c r="E862" t="str">
        <f>IFERROR(VLOOKUP($A862,原始数据_收盘!$A$4:$G$3460,5,0),"")</f>
        <v/>
      </c>
      <c r="F862" t="str">
        <f>IFERROR(VLOOKUP($A862,原始数据_收盘!$A$4:$G$3460,6,0),"")</f>
        <v/>
      </c>
      <c r="G862" t="str">
        <f>IFERROR(VLOOKUP($A862,原始数据_收盘!$A$4:$G$3460,7,0),"")</f>
        <v/>
      </c>
      <c r="H862" t="str">
        <f>IFERROR(VLOOKUP($A862,原始数据_利率互换_FR007_1年!$A$6:$C$4395,2,0),"")</f>
        <v/>
      </c>
      <c r="I862" t="str">
        <f>IFERROR(VLOOKUP($A862,原始数据_利率互换_FR007_1年!$A$6:$C$4395,3,0),"")</f>
        <v/>
      </c>
    </row>
    <row r="863" spans="1:9">
      <c r="A863" s="6">
        <v>40356</v>
      </c>
      <c r="B863" t="str">
        <f>IFERROR(VLOOKUP($A863,原始数据_收盘!$A$4:$G$3460,2,0),"")</f>
        <v/>
      </c>
      <c r="C863" t="str">
        <f>IFERROR(VLOOKUP($A863,原始数据_收盘!$A$4:$G$3460,3,0),"")</f>
        <v/>
      </c>
      <c r="D863" t="str">
        <f>IFERROR(VLOOKUP($A863,原始数据_收盘!$A$4:$G$3460,4,0),"")</f>
        <v/>
      </c>
      <c r="E863" t="str">
        <f>IFERROR(VLOOKUP($A863,原始数据_收盘!$A$4:$G$3460,5,0),"")</f>
        <v/>
      </c>
      <c r="F863" t="str">
        <f>IFERROR(VLOOKUP($A863,原始数据_收盘!$A$4:$G$3460,6,0),"")</f>
        <v/>
      </c>
      <c r="G863" t="str">
        <f>IFERROR(VLOOKUP($A863,原始数据_收盘!$A$4:$G$3460,7,0),"")</f>
        <v/>
      </c>
      <c r="H863" t="str">
        <f>IFERROR(VLOOKUP($A863,原始数据_利率互换_FR007_1年!$A$6:$C$4395,2,0),"")</f>
        <v/>
      </c>
      <c r="I863" t="str">
        <f>IFERROR(VLOOKUP($A863,原始数据_利率互换_FR007_1年!$A$6:$C$4395,3,0),"")</f>
        <v/>
      </c>
    </row>
    <row r="864" spans="1:9">
      <c r="A864" s="6">
        <v>40357</v>
      </c>
      <c r="B864" t="str">
        <f>IFERROR(VLOOKUP($A864,原始数据_收盘!$A$4:$G$3460,2,0),"")</f>
        <v/>
      </c>
      <c r="C864" t="str">
        <f>IFERROR(VLOOKUP($A864,原始数据_收盘!$A$4:$G$3460,3,0),"")</f>
        <v/>
      </c>
      <c r="D864" t="str">
        <f>IFERROR(VLOOKUP($A864,原始数据_收盘!$A$4:$G$3460,4,0),"")</f>
        <v/>
      </c>
      <c r="E864" t="str">
        <f>IFERROR(VLOOKUP($A864,原始数据_收盘!$A$4:$G$3460,5,0),"")</f>
        <v/>
      </c>
      <c r="F864" t="str">
        <f>IFERROR(VLOOKUP($A864,原始数据_收盘!$A$4:$G$3460,6,0),"")</f>
        <v/>
      </c>
      <c r="G864" t="str">
        <f>IFERROR(VLOOKUP($A864,原始数据_收盘!$A$4:$G$3460,7,0),"")</f>
        <v/>
      </c>
      <c r="H864" t="str">
        <f>IFERROR(VLOOKUP($A864,原始数据_利率互换_FR007_1年!$A$6:$C$4395,2,0),"")</f>
        <v/>
      </c>
      <c r="I864" t="str">
        <f>IFERROR(VLOOKUP($A864,原始数据_利率互换_FR007_1年!$A$6:$C$4395,3,0),"")</f>
        <v/>
      </c>
    </row>
    <row r="865" spans="1:9">
      <c r="A865" s="6">
        <v>40358</v>
      </c>
      <c r="B865" t="str">
        <f>IFERROR(VLOOKUP($A865,原始数据_收盘!$A$4:$G$3460,2,0),"")</f>
        <v/>
      </c>
      <c r="C865" t="str">
        <f>IFERROR(VLOOKUP($A865,原始数据_收盘!$A$4:$G$3460,3,0),"")</f>
        <v/>
      </c>
      <c r="D865" t="str">
        <f>IFERROR(VLOOKUP($A865,原始数据_收盘!$A$4:$G$3460,4,0),"")</f>
        <v/>
      </c>
      <c r="E865" t="str">
        <f>IFERROR(VLOOKUP($A865,原始数据_收盘!$A$4:$G$3460,5,0),"")</f>
        <v/>
      </c>
      <c r="F865" t="str">
        <f>IFERROR(VLOOKUP($A865,原始数据_收盘!$A$4:$G$3460,6,0),"")</f>
        <v/>
      </c>
      <c r="G865" t="str">
        <f>IFERROR(VLOOKUP($A865,原始数据_收盘!$A$4:$G$3460,7,0),"")</f>
        <v/>
      </c>
      <c r="H865">
        <f>IFERROR(VLOOKUP($A865,原始数据_利率互换_FR007_1年!$A$6:$C$4395,2,0),"")</f>
        <v>2.31</v>
      </c>
      <c r="I865">
        <f>IFERROR(VLOOKUP($A865,原始数据_利率互换_FR007_1年!$A$6:$C$4395,3,0),"")</f>
        <v>3.07</v>
      </c>
    </row>
    <row r="866" spans="1:9">
      <c r="A866" s="6">
        <v>40359</v>
      </c>
      <c r="B866" t="str">
        <f>IFERROR(VLOOKUP($A866,原始数据_收盘!$A$4:$G$3460,2,0),"")</f>
        <v/>
      </c>
      <c r="C866" t="str">
        <f>IFERROR(VLOOKUP($A866,原始数据_收盘!$A$4:$G$3460,3,0),"")</f>
        <v/>
      </c>
      <c r="D866" t="str">
        <f>IFERROR(VLOOKUP($A866,原始数据_收盘!$A$4:$G$3460,4,0),"")</f>
        <v/>
      </c>
      <c r="E866" t="str">
        <f>IFERROR(VLOOKUP($A866,原始数据_收盘!$A$4:$G$3460,5,0),"")</f>
        <v/>
      </c>
      <c r="F866" t="str">
        <f>IFERROR(VLOOKUP($A866,原始数据_收盘!$A$4:$G$3460,6,0),"")</f>
        <v/>
      </c>
      <c r="G866" t="str">
        <f>IFERROR(VLOOKUP($A866,原始数据_收盘!$A$4:$G$3460,7,0),"")</f>
        <v/>
      </c>
      <c r="H866">
        <f>IFERROR(VLOOKUP($A866,原始数据_利率互换_FR007_1年!$A$6:$C$4395,2,0),"")</f>
        <v>2.27</v>
      </c>
      <c r="I866">
        <f>IFERROR(VLOOKUP($A866,原始数据_利率互换_FR007_1年!$A$6:$C$4395,3,0),"")</f>
        <v>3.03</v>
      </c>
    </row>
    <row r="867" spans="1:9">
      <c r="A867" s="6">
        <v>40360</v>
      </c>
      <c r="B867" t="str">
        <f>IFERROR(VLOOKUP($A867,原始数据_收盘!$A$4:$G$3460,2,0),"")</f>
        <v/>
      </c>
      <c r="C867" t="str">
        <f>IFERROR(VLOOKUP($A867,原始数据_收盘!$A$4:$G$3460,3,0),"")</f>
        <v/>
      </c>
      <c r="D867" t="str">
        <f>IFERROR(VLOOKUP($A867,原始数据_收盘!$A$4:$G$3460,4,0),"")</f>
        <v/>
      </c>
      <c r="E867" t="str">
        <f>IFERROR(VLOOKUP($A867,原始数据_收盘!$A$4:$G$3460,5,0),"")</f>
        <v/>
      </c>
      <c r="F867" t="str">
        <f>IFERROR(VLOOKUP($A867,原始数据_收盘!$A$4:$G$3460,6,0),"")</f>
        <v/>
      </c>
      <c r="G867" t="str">
        <f>IFERROR(VLOOKUP($A867,原始数据_收盘!$A$4:$G$3460,7,0),"")</f>
        <v/>
      </c>
      <c r="H867">
        <f>IFERROR(VLOOKUP($A867,原始数据_利率互换_FR007_1年!$A$6:$C$4395,2,0),"")</f>
        <v>2.26</v>
      </c>
      <c r="I867">
        <f>IFERROR(VLOOKUP($A867,原始数据_利率互换_FR007_1年!$A$6:$C$4395,3,0),"")</f>
        <v>3.04</v>
      </c>
    </row>
    <row r="868" spans="1:9">
      <c r="A868" s="6">
        <v>40361</v>
      </c>
      <c r="B868" t="str">
        <f>IFERROR(VLOOKUP($A868,原始数据_收盘!$A$4:$G$3460,2,0),"")</f>
        <v/>
      </c>
      <c r="C868" t="str">
        <f>IFERROR(VLOOKUP($A868,原始数据_收盘!$A$4:$G$3460,3,0),"")</f>
        <v/>
      </c>
      <c r="D868" t="str">
        <f>IFERROR(VLOOKUP($A868,原始数据_收盘!$A$4:$G$3460,4,0),"")</f>
        <v/>
      </c>
      <c r="E868" t="str">
        <f>IFERROR(VLOOKUP($A868,原始数据_收盘!$A$4:$G$3460,5,0),"")</f>
        <v/>
      </c>
      <c r="F868" t="str">
        <f>IFERROR(VLOOKUP($A868,原始数据_收盘!$A$4:$G$3460,6,0),"")</f>
        <v/>
      </c>
      <c r="G868" t="str">
        <f>IFERROR(VLOOKUP($A868,原始数据_收盘!$A$4:$G$3460,7,0),"")</f>
        <v/>
      </c>
      <c r="H868">
        <f>IFERROR(VLOOKUP($A868,原始数据_利率互换_FR007_1年!$A$6:$C$4395,2,0),"")</f>
        <v>2.26</v>
      </c>
      <c r="I868">
        <f>IFERROR(VLOOKUP($A868,原始数据_利率互换_FR007_1年!$A$6:$C$4395,3,0),"")</f>
        <v>2.97</v>
      </c>
    </row>
    <row r="869" spans="1:9">
      <c r="A869" s="6">
        <v>40362</v>
      </c>
      <c r="B869" t="str">
        <f>IFERROR(VLOOKUP($A869,原始数据_收盘!$A$4:$G$3460,2,0),"")</f>
        <v/>
      </c>
      <c r="C869" t="str">
        <f>IFERROR(VLOOKUP($A869,原始数据_收盘!$A$4:$G$3460,3,0),"")</f>
        <v/>
      </c>
      <c r="D869" t="str">
        <f>IFERROR(VLOOKUP($A869,原始数据_收盘!$A$4:$G$3460,4,0),"")</f>
        <v/>
      </c>
      <c r="E869" t="str">
        <f>IFERROR(VLOOKUP($A869,原始数据_收盘!$A$4:$G$3460,5,0),"")</f>
        <v/>
      </c>
      <c r="F869" t="str">
        <f>IFERROR(VLOOKUP($A869,原始数据_收盘!$A$4:$G$3460,6,0),"")</f>
        <v/>
      </c>
      <c r="G869" t="str">
        <f>IFERROR(VLOOKUP($A869,原始数据_收盘!$A$4:$G$3460,7,0),"")</f>
        <v/>
      </c>
      <c r="H869" t="str">
        <f>IFERROR(VLOOKUP($A869,原始数据_利率互换_FR007_1年!$A$6:$C$4395,2,0),"")</f>
        <v/>
      </c>
      <c r="I869" t="str">
        <f>IFERROR(VLOOKUP($A869,原始数据_利率互换_FR007_1年!$A$6:$C$4395,3,0),"")</f>
        <v/>
      </c>
    </row>
    <row r="870" spans="1:9">
      <c r="A870" s="6">
        <v>40363</v>
      </c>
      <c r="B870" t="str">
        <f>IFERROR(VLOOKUP($A870,原始数据_收盘!$A$4:$G$3460,2,0),"")</f>
        <v/>
      </c>
      <c r="C870" t="str">
        <f>IFERROR(VLOOKUP($A870,原始数据_收盘!$A$4:$G$3460,3,0),"")</f>
        <v/>
      </c>
      <c r="D870" t="str">
        <f>IFERROR(VLOOKUP($A870,原始数据_收盘!$A$4:$G$3460,4,0),"")</f>
        <v/>
      </c>
      <c r="E870" t="str">
        <f>IFERROR(VLOOKUP($A870,原始数据_收盘!$A$4:$G$3460,5,0),"")</f>
        <v/>
      </c>
      <c r="F870" t="str">
        <f>IFERROR(VLOOKUP($A870,原始数据_收盘!$A$4:$G$3460,6,0),"")</f>
        <v/>
      </c>
      <c r="G870" t="str">
        <f>IFERROR(VLOOKUP($A870,原始数据_收盘!$A$4:$G$3460,7,0),"")</f>
        <v/>
      </c>
      <c r="H870" t="str">
        <f>IFERROR(VLOOKUP($A870,原始数据_利率互换_FR007_1年!$A$6:$C$4395,2,0),"")</f>
        <v/>
      </c>
      <c r="I870" t="str">
        <f>IFERROR(VLOOKUP($A870,原始数据_利率互换_FR007_1年!$A$6:$C$4395,3,0),"")</f>
        <v/>
      </c>
    </row>
    <row r="871" spans="1:9">
      <c r="A871" s="6">
        <v>40364</v>
      </c>
      <c r="B871" t="str">
        <f>IFERROR(VLOOKUP($A871,原始数据_收盘!$A$4:$G$3460,2,0),"")</f>
        <v/>
      </c>
      <c r="C871" t="str">
        <f>IFERROR(VLOOKUP($A871,原始数据_收盘!$A$4:$G$3460,3,0),"")</f>
        <v/>
      </c>
      <c r="D871" t="str">
        <f>IFERROR(VLOOKUP($A871,原始数据_收盘!$A$4:$G$3460,4,0),"")</f>
        <v/>
      </c>
      <c r="E871" t="str">
        <f>IFERROR(VLOOKUP($A871,原始数据_收盘!$A$4:$G$3460,5,0),"")</f>
        <v/>
      </c>
      <c r="F871" t="str">
        <f>IFERROR(VLOOKUP($A871,原始数据_收盘!$A$4:$G$3460,6,0),"")</f>
        <v/>
      </c>
      <c r="G871" t="str">
        <f>IFERROR(VLOOKUP($A871,原始数据_收盘!$A$4:$G$3460,7,0),"")</f>
        <v/>
      </c>
      <c r="H871">
        <f>IFERROR(VLOOKUP($A871,原始数据_利率互换_FR007_1年!$A$6:$C$4395,2,0),"")</f>
        <v>2.28</v>
      </c>
      <c r="I871">
        <f>IFERROR(VLOOKUP($A871,原始数据_利率互换_FR007_1年!$A$6:$C$4395,3,0),"")</f>
        <v>3.02</v>
      </c>
    </row>
    <row r="872" spans="1:9">
      <c r="A872" s="6">
        <v>40365</v>
      </c>
      <c r="B872" t="str">
        <f>IFERROR(VLOOKUP($A872,原始数据_收盘!$A$4:$G$3460,2,0),"")</f>
        <v/>
      </c>
      <c r="C872" t="str">
        <f>IFERROR(VLOOKUP($A872,原始数据_收盘!$A$4:$G$3460,3,0),"")</f>
        <v/>
      </c>
      <c r="D872" t="str">
        <f>IFERROR(VLOOKUP($A872,原始数据_收盘!$A$4:$G$3460,4,0),"")</f>
        <v/>
      </c>
      <c r="E872" t="str">
        <f>IFERROR(VLOOKUP($A872,原始数据_收盘!$A$4:$G$3460,5,0),"")</f>
        <v/>
      </c>
      <c r="F872" t="str">
        <f>IFERROR(VLOOKUP($A872,原始数据_收盘!$A$4:$G$3460,6,0),"")</f>
        <v/>
      </c>
      <c r="G872" t="str">
        <f>IFERROR(VLOOKUP($A872,原始数据_收盘!$A$4:$G$3460,7,0),"")</f>
        <v/>
      </c>
      <c r="H872">
        <f>IFERROR(VLOOKUP($A872,原始数据_利率互换_FR007_1年!$A$6:$C$4395,2,0),"")</f>
        <v>2.25</v>
      </c>
      <c r="I872">
        <f>IFERROR(VLOOKUP($A872,原始数据_利率互换_FR007_1年!$A$6:$C$4395,3,0),"")</f>
        <v>3</v>
      </c>
    </row>
    <row r="873" spans="1:9">
      <c r="A873" s="6">
        <v>40366</v>
      </c>
      <c r="B873" t="str">
        <f>IFERROR(VLOOKUP($A873,原始数据_收盘!$A$4:$G$3460,2,0),"")</f>
        <v/>
      </c>
      <c r="C873" t="str">
        <f>IFERROR(VLOOKUP($A873,原始数据_收盘!$A$4:$G$3460,3,0),"")</f>
        <v/>
      </c>
      <c r="D873" t="str">
        <f>IFERROR(VLOOKUP($A873,原始数据_收盘!$A$4:$G$3460,4,0),"")</f>
        <v/>
      </c>
      <c r="E873" t="str">
        <f>IFERROR(VLOOKUP($A873,原始数据_收盘!$A$4:$G$3460,5,0),"")</f>
        <v/>
      </c>
      <c r="F873" t="str">
        <f>IFERROR(VLOOKUP($A873,原始数据_收盘!$A$4:$G$3460,6,0),"")</f>
        <v/>
      </c>
      <c r="G873" t="str">
        <f>IFERROR(VLOOKUP($A873,原始数据_收盘!$A$4:$G$3460,7,0),"")</f>
        <v/>
      </c>
      <c r="H873">
        <f>IFERROR(VLOOKUP($A873,原始数据_利率互换_FR007_1年!$A$6:$C$4395,2,0),"")</f>
        <v>2.25</v>
      </c>
      <c r="I873">
        <f>IFERROR(VLOOKUP($A873,原始数据_利率互换_FR007_1年!$A$6:$C$4395,3,0),"")</f>
        <v>3</v>
      </c>
    </row>
    <row r="874" spans="1:9">
      <c r="A874" s="6">
        <v>40367</v>
      </c>
      <c r="B874" t="str">
        <f>IFERROR(VLOOKUP($A874,原始数据_收盘!$A$4:$G$3460,2,0),"")</f>
        <v/>
      </c>
      <c r="C874" t="str">
        <f>IFERROR(VLOOKUP($A874,原始数据_收盘!$A$4:$G$3460,3,0),"")</f>
        <v/>
      </c>
      <c r="D874" t="str">
        <f>IFERROR(VLOOKUP($A874,原始数据_收盘!$A$4:$G$3460,4,0),"")</f>
        <v/>
      </c>
      <c r="E874" t="str">
        <f>IFERROR(VLOOKUP($A874,原始数据_收盘!$A$4:$G$3460,5,0),"")</f>
        <v/>
      </c>
      <c r="F874" t="str">
        <f>IFERROR(VLOOKUP($A874,原始数据_收盘!$A$4:$G$3460,6,0),"")</f>
        <v/>
      </c>
      <c r="G874" t="str">
        <f>IFERROR(VLOOKUP($A874,原始数据_收盘!$A$4:$G$3460,7,0),"")</f>
        <v/>
      </c>
      <c r="H874">
        <f>IFERROR(VLOOKUP($A874,原始数据_利率互换_FR007_1年!$A$6:$C$4395,2,0),"")</f>
        <v>2.24</v>
      </c>
      <c r="I874">
        <f>IFERROR(VLOOKUP($A874,原始数据_利率互换_FR007_1年!$A$6:$C$4395,3,0),"")</f>
        <v>3.01</v>
      </c>
    </row>
    <row r="875" spans="1:9">
      <c r="A875" s="6">
        <v>40368</v>
      </c>
      <c r="B875" t="str">
        <f>IFERROR(VLOOKUP($A875,原始数据_收盘!$A$4:$G$3460,2,0),"")</f>
        <v/>
      </c>
      <c r="C875" t="str">
        <f>IFERROR(VLOOKUP($A875,原始数据_收盘!$A$4:$G$3460,3,0),"")</f>
        <v/>
      </c>
      <c r="D875" t="str">
        <f>IFERROR(VLOOKUP($A875,原始数据_收盘!$A$4:$G$3460,4,0),"")</f>
        <v/>
      </c>
      <c r="E875" t="str">
        <f>IFERROR(VLOOKUP($A875,原始数据_收盘!$A$4:$G$3460,5,0),"")</f>
        <v/>
      </c>
      <c r="F875" t="str">
        <f>IFERROR(VLOOKUP($A875,原始数据_收盘!$A$4:$G$3460,6,0),"")</f>
        <v/>
      </c>
      <c r="G875" t="str">
        <f>IFERROR(VLOOKUP($A875,原始数据_收盘!$A$4:$G$3460,7,0),"")</f>
        <v/>
      </c>
      <c r="H875">
        <f>IFERROR(VLOOKUP($A875,原始数据_利率互换_FR007_1年!$A$6:$C$4395,2,0),"")</f>
        <v>2.23</v>
      </c>
      <c r="I875">
        <f>IFERROR(VLOOKUP($A875,原始数据_利率互换_FR007_1年!$A$6:$C$4395,3,0),"")</f>
        <v>0</v>
      </c>
    </row>
    <row r="876" spans="1:9">
      <c r="A876" s="6">
        <v>40369</v>
      </c>
      <c r="B876" t="str">
        <f>IFERROR(VLOOKUP($A876,原始数据_收盘!$A$4:$G$3460,2,0),"")</f>
        <v/>
      </c>
      <c r="C876" t="str">
        <f>IFERROR(VLOOKUP($A876,原始数据_收盘!$A$4:$G$3460,3,0),"")</f>
        <v/>
      </c>
      <c r="D876" t="str">
        <f>IFERROR(VLOOKUP($A876,原始数据_收盘!$A$4:$G$3460,4,0),"")</f>
        <v/>
      </c>
      <c r="E876" t="str">
        <f>IFERROR(VLOOKUP($A876,原始数据_收盘!$A$4:$G$3460,5,0),"")</f>
        <v/>
      </c>
      <c r="F876" t="str">
        <f>IFERROR(VLOOKUP($A876,原始数据_收盘!$A$4:$G$3460,6,0),"")</f>
        <v/>
      </c>
      <c r="G876" t="str">
        <f>IFERROR(VLOOKUP($A876,原始数据_收盘!$A$4:$G$3460,7,0),"")</f>
        <v/>
      </c>
      <c r="H876" t="str">
        <f>IFERROR(VLOOKUP($A876,原始数据_利率互换_FR007_1年!$A$6:$C$4395,2,0),"")</f>
        <v/>
      </c>
      <c r="I876" t="str">
        <f>IFERROR(VLOOKUP($A876,原始数据_利率互换_FR007_1年!$A$6:$C$4395,3,0),"")</f>
        <v/>
      </c>
    </row>
    <row r="877" spans="1:9">
      <c r="A877" s="6">
        <v>40370</v>
      </c>
      <c r="B877" t="str">
        <f>IFERROR(VLOOKUP($A877,原始数据_收盘!$A$4:$G$3460,2,0),"")</f>
        <v/>
      </c>
      <c r="C877" t="str">
        <f>IFERROR(VLOOKUP($A877,原始数据_收盘!$A$4:$G$3460,3,0),"")</f>
        <v/>
      </c>
      <c r="D877" t="str">
        <f>IFERROR(VLOOKUP($A877,原始数据_收盘!$A$4:$G$3460,4,0),"")</f>
        <v/>
      </c>
      <c r="E877" t="str">
        <f>IFERROR(VLOOKUP($A877,原始数据_收盘!$A$4:$G$3460,5,0),"")</f>
        <v/>
      </c>
      <c r="F877" t="str">
        <f>IFERROR(VLOOKUP($A877,原始数据_收盘!$A$4:$G$3460,6,0),"")</f>
        <v/>
      </c>
      <c r="G877" t="str">
        <f>IFERROR(VLOOKUP($A877,原始数据_收盘!$A$4:$G$3460,7,0),"")</f>
        <v/>
      </c>
      <c r="H877" t="str">
        <f>IFERROR(VLOOKUP($A877,原始数据_利率互换_FR007_1年!$A$6:$C$4395,2,0),"")</f>
        <v/>
      </c>
      <c r="I877" t="str">
        <f>IFERROR(VLOOKUP($A877,原始数据_利率互换_FR007_1年!$A$6:$C$4395,3,0),"")</f>
        <v/>
      </c>
    </row>
    <row r="878" spans="1:9">
      <c r="A878" s="6">
        <v>40371</v>
      </c>
      <c r="B878" t="str">
        <f>IFERROR(VLOOKUP($A878,原始数据_收盘!$A$4:$G$3460,2,0),"")</f>
        <v/>
      </c>
      <c r="C878" t="str">
        <f>IFERROR(VLOOKUP($A878,原始数据_收盘!$A$4:$G$3460,3,0),"")</f>
        <v/>
      </c>
      <c r="D878" t="str">
        <f>IFERROR(VLOOKUP($A878,原始数据_收盘!$A$4:$G$3460,4,0),"")</f>
        <v/>
      </c>
      <c r="E878" t="str">
        <f>IFERROR(VLOOKUP($A878,原始数据_收盘!$A$4:$G$3460,5,0),"")</f>
        <v/>
      </c>
      <c r="F878" t="str">
        <f>IFERROR(VLOOKUP($A878,原始数据_收盘!$A$4:$G$3460,6,0),"")</f>
        <v/>
      </c>
      <c r="G878" t="str">
        <f>IFERROR(VLOOKUP($A878,原始数据_收盘!$A$4:$G$3460,7,0),"")</f>
        <v/>
      </c>
      <c r="H878">
        <f>IFERROR(VLOOKUP($A878,原始数据_利率互换_FR007_1年!$A$6:$C$4395,2,0),"")</f>
        <v>2.21</v>
      </c>
      <c r="I878">
        <f>IFERROR(VLOOKUP($A878,原始数据_利率互换_FR007_1年!$A$6:$C$4395,3,0),"")</f>
        <v>2.99</v>
      </c>
    </row>
    <row r="879" spans="1:9">
      <c r="A879" s="6">
        <v>40372</v>
      </c>
      <c r="B879" t="str">
        <f>IFERROR(VLOOKUP($A879,原始数据_收盘!$A$4:$G$3460,2,0),"")</f>
        <v/>
      </c>
      <c r="C879" t="str">
        <f>IFERROR(VLOOKUP($A879,原始数据_收盘!$A$4:$G$3460,3,0),"")</f>
        <v/>
      </c>
      <c r="D879" t="str">
        <f>IFERROR(VLOOKUP($A879,原始数据_收盘!$A$4:$G$3460,4,0),"")</f>
        <v/>
      </c>
      <c r="E879" t="str">
        <f>IFERROR(VLOOKUP($A879,原始数据_收盘!$A$4:$G$3460,5,0),"")</f>
        <v/>
      </c>
      <c r="F879" t="str">
        <f>IFERROR(VLOOKUP($A879,原始数据_收盘!$A$4:$G$3460,6,0),"")</f>
        <v/>
      </c>
      <c r="G879" t="str">
        <f>IFERROR(VLOOKUP($A879,原始数据_收盘!$A$4:$G$3460,7,0),"")</f>
        <v/>
      </c>
      <c r="H879">
        <f>IFERROR(VLOOKUP($A879,原始数据_利率互换_FR007_1年!$A$6:$C$4395,2,0),"")</f>
        <v>2.17</v>
      </c>
      <c r="I879">
        <f>IFERROR(VLOOKUP($A879,原始数据_利率互换_FR007_1年!$A$6:$C$4395,3,0),"")</f>
        <v>2.91</v>
      </c>
    </row>
    <row r="880" spans="1:9">
      <c r="A880" s="6">
        <v>40373</v>
      </c>
      <c r="B880" t="str">
        <f>IFERROR(VLOOKUP($A880,原始数据_收盘!$A$4:$G$3460,2,0),"")</f>
        <v/>
      </c>
      <c r="C880" t="str">
        <f>IFERROR(VLOOKUP($A880,原始数据_收盘!$A$4:$G$3460,3,0),"")</f>
        <v/>
      </c>
      <c r="D880" t="str">
        <f>IFERROR(VLOOKUP($A880,原始数据_收盘!$A$4:$G$3460,4,0),"")</f>
        <v/>
      </c>
      <c r="E880" t="str">
        <f>IFERROR(VLOOKUP($A880,原始数据_收盘!$A$4:$G$3460,5,0),"")</f>
        <v/>
      </c>
      <c r="F880" t="str">
        <f>IFERROR(VLOOKUP($A880,原始数据_收盘!$A$4:$G$3460,6,0),"")</f>
        <v/>
      </c>
      <c r="G880" t="str">
        <f>IFERROR(VLOOKUP($A880,原始数据_收盘!$A$4:$G$3460,7,0),"")</f>
        <v/>
      </c>
      <c r="H880">
        <f>IFERROR(VLOOKUP($A880,原始数据_利率互换_FR007_1年!$A$6:$C$4395,2,0),"")</f>
        <v>2.12</v>
      </c>
      <c r="I880">
        <f>IFERROR(VLOOKUP($A880,原始数据_利率互换_FR007_1年!$A$6:$C$4395,3,0),"")</f>
        <v>2.92</v>
      </c>
    </row>
    <row r="881" spans="1:9">
      <c r="A881" s="6">
        <v>40374</v>
      </c>
      <c r="B881" t="str">
        <f>IFERROR(VLOOKUP($A881,原始数据_收盘!$A$4:$G$3460,2,0),"")</f>
        <v/>
      </c>
      <c r="C881" t="str">
        <f>IFERROR(VLOOKUP($A881,原始数据_收盘!$A$4:$G$3460,3,0),"")</f>
        <v/>
      </c>
      <c r="D881" t="str">
        <f>IFERROR(VLOOKUP($A881,原始数据_收盘!$A$4:$G$3460,4,0),"")</f>
        <v/>
      </c>
      <c r="E881" t="str">
        <f>IFERROR(VLOOKUP($A881,原始数据_收盘!$A$4:$G$3460,5,0),"")</f>
        <v/>
      </c>
      <c r="F881" t="str">
        <f>IFERROR(VLOOKUP($A881,原始数据_收盘!$A$4:$G$3460,6,0),"")</f>
        <v/>
      </c>
      <c r="G881" t="str">
        <f>IFERROR(VLOOKUP($A881,原始数据_收盘!$A$4:$G$3460,7,0),"")</f>
        <v/>
      </c>
      <c r="H881">
        <f>IFERROR(VLOOKUP($A881,原始数据_利率互换_FR007_1年!$A$6:$C$4395,2,0),"")</f>
        <v>2.13</v>
      </c>
      <c r="I881">
        <f>IFERROR(VLOOKUP($A881,原始数据_利率互换_FR007_1年!$A$6:$C$4395,3,0),"")</f>
        <v>2.89</v>
      </c>
    </row>
    <row r="882" spans="1:9">
      <c r="A882" s="6">
        <v>40375</v>
      </c>
      <c r="B882" t="str">
        <f>IFERROR(VLOOKUP($A882,原始数据_收盘!$A$4:$G$3460,2,0),"")</f>
        <v/>
      </c>
      <c r="C882" t="str">
        <f>IFERROR(VLOOKUP($A882,原始数据_收盘!$A$4:$G$3460,3,0),"")</f>
        <v/>
      </c>
      <c r="D882" t="str">
        <f>IFERROR(VLOOKUP($A882,原始数据_收盘!$A$4:$G$3460,4,0),"")</f>
        <v/>
      </c>
      <c r="E882" t="str">
        <f>IFERROR(VLOOKUP($A882,原始数据_收盘!$A$4:$G$3460,5,0),"")</f>
        <v/>
      </c>
      <c r="F882" t="str">
        <f>IFERROR(VLOOKUP($A882,原始数据_收盘!$A$4:$G$3460,6,0),"")</f>
        <v/>
      </c>
      <c r="G882" t="str">
        <f>IFERROR(VLOOKUP($A882,原始数据_收盘!$A$4:$G$3460,7,0),"")</f>
        <v/>
      </c>
      <c r="H882">
        <f>IFERROR(VLOOKUP($A882,原始数据_利率互换_FR007_1年!$A$6:$C$4395,2,0),"")</f>
        <v>2.12</v>
      </c>
      <c r="I882">
        <f>IFERROR(VLOOKUP($A882,原始数据_利率互换_FR007_1年!$A$6:$C$4395,3,0),"")</f>
        <v>2.87</v>
      </c>
    </row>
    <row r="883" spans="1:9">
      <c r="A883" s="6">
        <v>40376</v>
      </c>
      <c r="B883" t="str">
        <f>IFERROR(VLOOKUP($A883,原始数据_收盘!$A$4:$G$3460,2,0),"")</f>
        <v/>
      </c>
      <c r="C883" t="str">
        <f>IFERROR(VLOOKUP($A883,原始数据_收盘!$A$4:$G$3460,3,0),"")</f>
        <v/>
      </c>
      <c r="D883" t="str">
        <f>IFERROR(VLOOKUP($A883,原始数据_收盘!$A$4:$G$3460,4,0),"")</f>
        <v/>
      </c>
      <c r="E883" t="str">
        <f>IFERROR(VLOOKUP($A883,原始数据_收盘!$A$4:$G$3460,5,0),"")</f>
        <v/>
      </c>
      <c r="F883" t="str">
        <f>IFERROR(VLOOKUP($A883,原始数据_收盘!$A$4:$G$3460,6,0),"")</f>
        <v/>
      </c>
      <c r="G883" t="str">
        <f>IFERROR(VLOOKUP($A883,原始数据_收盘!$A$4:$G$3460,7,0),"")</f>
        <v/>
      </c>
      <c r="H883" t="str">
        <f>IFERROR(VLOOKUP($A883,原始数据_利率互换_FR007_1年!$A$6:$C$4395,2,0),"")</f>
        <v/>
      </c>
      <c r="I883" t="str">
        <f>IFERROR(VLOOKUP($A883,原始数据_利率互换_FR007_1年!$A$6:$C$4395,3,0),"")</f>
        <v/>
      </c>
    </row>
    <row r="884" spans="1:9">
      <c r="A884" s="6">
        <v>40377</v>
      </c>
      <c r="B884" t="str">
        <f>IFERROR(VLOOKUP($A884,原始数据_收盘!$A$4:$G$3460,2,0),"")</f>
        <v/>
      </c>
      <c r="C884" t="str">
        <f>IFERROR(VLOOKUP($A884,原始数据_收盘!$A$4:$G$3460,3,0),"")</f>
        <v/>
      </c>
      <c r="D884" t="str">
        <f>IFERROR(VLOOKUP($A884,原始数据_收盘!$A$4:$G$3460,4,0),"")</f>
        <v/>
      </c>
      <c r="E884" t="str">
        <f>IFERROR(VLOOKUP($A884,原始数据_收盘!$A$4:$G$3460,5,0),"")</f>
        <v/>
      </c>
      <c r="F884" t="str">
        <f>IFERROR(VLOOKUP($A884,原始数据_收盘!$A$4:$G$3460,6,0),"")</f>
        <v/>
      </c>
      <c r="G884" t="str">
        <f>IFERROR(VLOOKUP($A884,原始数据_收盘!$A$4:$G$3460,7,0),"")</f>
        <v/>
      </c>
      <c r="H884" t="str">
        <f>IFERROR(VLOOKUP($A884,原始数据_利率互换_FR007_1年!$A$6:$C$4395,2,0),"")</f>
        <v/>
      </c>
      <c r="I884" t="str">
        <f>IFERROR(VLOOKUP($A884,原始数据_利率互换_FR007_1年!$A$6:$C$4395,3,0),"")</f>
        <v/>
      </c>
    </row>
    <row r="885" spans="1:9">
      <c r="A885" s="6">
        <v>40378</v>
      </c>
      <c r="B885" t="str">
        <f>IFERROR(VLOOKUP($A885,原始数据_收盘!$A$4:$G$3460,2,0),"")</f>
        <v/>
      </c>
      <c r="C885" t="str">
        <f>IFERROR(VLOOKUP($A885,原始数据_收盘!$A$4:$G$3460,3,0),"")</f>
        <v/>
      </c>
      <c r="D885" t="str">
        <f>IFERROR(VLOOKUP($A885,原始数据_收盘!$A$4:$G$3460,4,0),"")</f>
        <v/>
      </c>
      <c r="E885" t="str">
        <f>IFERROR(VLOOKUP($A885,原始数据_收盘!$A$4:$G$3460,5,0),"")</f>
        <v/>
      </c>
      <c r="F885" t="str">
        <f>IFERROR(VLOOKUP($A885,原始数据_收盘!$A$4:$G$3460,6,0),"")</f>
        <v/>
      </c>
      <c r="G885" t="str">
        <f>IFERROR(VLOOKUP($A885,原始数据_收盘!$A$4:$G$3460,7,0),"")</f>
        <v/>
      </c>
      <c r="H885">
        <f>IFERROR(VLOOKUP($A885,原始数据_利率互换_FR007_1年!$A$6:$C$4395,2,0),"")</f>
        <v>2.09</v>
      </c>
      <c r="I885">
        <f>IFERROR(VLOOKUP($A885,原始数据_利率互换_FR007_1年!$A$6:$C$4395,3,0),"")</f>
        <v>2.77</v>
      </c>
    </row>
    <row r="886" spans="1:9">
      <c r="A886" s="6">
        <v>40379</v>
      </c>
      <c r="B886" t="str">
        <f>IFERROR(VLOOKUP($A886,原始数据_收盘!$A$4:$G$3460,2,0),"")</f>
        <v/>
      </c>
      <c r="C886" t="str">
        <f>IFERROR(VLOOKUP($A886,原始数据_收盘!$A$4:$G$3460,3,0),"")</f>
        <v/>
      </c>
      <c r="D886" t="str">
        <f>IFERROR(VLOOKUP($A886,原始数据_收盘!$A$4:$G$3460,4,0),"")</f>
        <v/>
      </c>
      <c r="E886" t="str">
        <f>IFERROR(VLOOKUP($A886,原始数据_收盘!$A$4:$G$3460,5,0),"")</f>
        <v/>
      </c>
      <c r="F886" t="str">
        <f>IFERROR(VLOOKUP($A886,原始数据_收盘!$A$4:$G$3460,6,0),"")</f>
        <v/>
      </c>
      <c r="G886" t="str">
        <f>IFERROR(VLOOKUP($A886,原始数据_收盘!$A$4:$G$3460,7,0),"")</f>
        <v/>
      </c>
      <c r="H886">
        <f>IFERROR(VLOOKUP($A886,原始数据_利率互换_FR007_1年!$A$6:$C$4395,2,0),"")</f>
        <v>2.11</v>
      </c>
      <c r="I886">
        <f>IFERROR(VLOOKUP($A886,原始数据_利率互换_FR007_1年!$A$6:$C$4395,3,0),"")</f>
        <v>2.82</v>
      </c>
    </row>
    <row r="887" spans="1:9">
      <c r="A887" s="6">
        <v>40380</v>
      </c>
      <c r="B887" t="str">
        <f>IFERROR(VLOOKUP($A887,原始数据_收盘!$A$4:$G$3460,2,0),"")</f>
        <v/>
      </c>
      <c r="C887" t="str">
        <f>IFERROR(VLOOKUP($A887,原始数据_收盘!$A$4:$G$3460,3,0),"")</f>
        <v/>
      </c>
      <c r="D887" t="str">
        <f>IFERROR(VLOOKUP($A887,原始数据_收盘!$A$4:$G$3460,4,0),"")</f>
        <v/>
      </c>
      <c r="E887" t="str">
        <f>IFERROR(VLOOKUP($A887,原始数据_收盘!$A$4:$G$3460,5,0),"")</f>
        <v/>
      </c>
      <c r="F887" t="str">
        <f>IFERROR(VLOOKUP($A887,原始数据_收盘!$A$4:$G$3460,6,0),"")</f>
        <v/>
      </c>
      <c r="G887" t="str">
        <f>IFERROR(VLOOKUP($A887,原始数据_收盘!$A$4:$G$3460,7,0),"")</f>
        <v/>
      </c>
      <c r="H887">
        <f>IFERROR(VLOOKUP($A887,原始数据_利率互换_FR007_1年!$A$6:$C$4395,2,0),"")</f>
        <v>2.12</v>
      </c>
      <c r="I887">
        <f>IFERROR(VLOOKUP($A887,原始数据_利率互换_FR007_1年!$A$6:$C$4395,3,0),"")</f>
        <v>2.85</v>
      </c>
    </row>
    <row r="888" spans="1:9">
      <c r="A888" s="6">
        <v>40381</v>
      </c>
      <c r="B888" t="str">
        <f>IFERROR(VLOOKUP($A888,原始数据_收盘!$A$4:$G$3460,2,0),"")</f>
        <v/>
      </c>
      <c r="C888" t="str">
        <f>IFERROR(VLOOKUP($A888,原始数据_收盘!$A$4:$G$3460,3,0),"")</f>
        <v/>
      </c>
      <c r="D888" t="str">
        <f>IFERROR(VLOOKUP($A888,原始数据_收盘!$A$4:$G$3460,4,0),"")</f>
        <v/>
      </c>
      <c r="E888" t="str">
        <f>IFERROR(VLOOKUP($A888,原始数据_收盘!$A$4:$G$3460,5,0),"")</f>
        <v/>
      </c>
      <c r="F888" t="str">
        <f>IFERROR(VLOOKUP($A888,原始数据_收盘!$A$4:$G$3460,6,0),"")</f>
        <v/>
      </c>
      <c r="G888" t="str">
        <f>IFERROR(VLOOKUP($A888,原始数据_收盘!$A$4:$G$3460,7,0),"")</f>
        <v/>
      </c>
      <c r="H888">
        <f>IFERROR(VLOOKUP($A888,原始数据_利率互换_FR007_1年!$A$6:$C$4395,2,0),"")</f>
        <v>2.06</v>
      </c>
      <c r="I888">
        <f>IFERROR(VLOOKUP($A888,原始数据_利率互换_FR007_1年!$A$6:$C$4395,3,0),"")</f>
        <v>2.84</v>
      </c>
    </row>
    <row r="889" spans="1:9">
      <c r="A889" s="6">
        <v>40382</v>
      </c>
      <c r="B889" t="str">
        <f>IFERROR(VLOOKUP($A889,原始数据_收盘!$A$4:$G$3460,2,0),"")</f>
        <v/>
      </c>
      <c r="C889" t="str">
        <f>IFERROR(VLOOKUP($A889,原始数据_收盘!$A$4:$G$3460,3,0),"")</f>
        <v/>
      </c>
      <c r="D889" t="str">
        <f>IFERROR(VLOOKUP($A889,原始数据_收盘!$A$4:$G$3460,4,0),"")</f>
        <v/>
      </c>
      <c r="E889" t="str">
        <f>IFERROR(VLOOKUP($A889,原始数据_收盘!$A$4:$G$3460,5,0),"")</f>
        <v/>
      </c>
      <c r="F889" t="str">
        <f>IFERROR(VLOOKUP($A889,原始数据_收盘!$A$4:$G$3460,6,0),"")</f>
        <v/>
      </c>
      <c r="G889" t="str">
        <f>IFERROR(VLOOKUP($A889,原始数据_收盘!$A$4:$G$3460,7,0),"")</f>
        <v/>
      </c>
      <c r="H889">
        <f>IFERROR(VLOOKUP($A889,原始数据_利率互换_FR007_1年!$A$6:$C$4395,2,0),"")</f>
        <v>2.1</v>
      </c>
      <c r="I889">
        <f>IFERROR(VLOOKUP($A889,原始数据_利率互换_FR007_1年!$A$6:$C$4395,3,0),"")</f>
        <v>2.89</v>
      </c>
    </row>
    <row r="890" spans="1:9">
      <c r="A890" s="6">
        <v>40383</v>
      </c>
      <c r="B890" t="str">
        <f>IFERROR(VLOOKUP($A890,原始数据_收盘!$A$4:$G$3460,2,0),"")</f>
        <v/>
      </c>
      <c r="C890" t="str">
        <f>IFERROR(VLOOKUP($A890,原始数据_收盘!$A$4:$G$3460,3,0),"")</f>
        <v/>
      </c>
      <c r="D890" t="str">
        <f>IFERROR(VLOOKUP($A890,原始数据_收盘!$A$4:$G$3460,4,0),"")</f>
        <v/>
      </c>
      <c r="E890" t="str">
        <f>IFERROR(VLOOKUP($A890,原始数据_收盘!$A$4:$G$3460,5,0),"")</f>
        <v/>
      </c>
      <c r="F890" t="str">
        <f>IFERROR(VLOOKUP($A890,原始数据_收盘!$A$4:$G$3460,6,0),"")</f>
        <v/>
      </c>
      <c r="G890" t="str">
        <f>IFERROR(VLOOKUP($A890,原始数据_收盘!$A$4:$G$3460,7,0),"")</f>
        <v/>
      </c>
      <c r="H890" t="str">
        <f>IFERROR(VLOOKUP($A890,原始数据_利率互换_FR007_1年!$A$6:$C$4395,2,0),"")</f>
        <v/>
      </c>
      <c r="I890" t="str">
        <f>IFERROR(VLOOKUP($A890,原始数据_利率互换_FR007_1年!$A$6:$C$4395,3,0),"")</f>
        <v/>
      </c>
    </row>
    <row r="891" spans="1:9">
      <c r="A891" s="6">
        <v>40384</v>
      </c>
      <c r="B891" t="str">
        <f>IFERROR(VLOOKUP($A891,原始数据_收盘!$A$4:$G$3460,2,0),"")</f>
        <v/>
      </c>
      <c r="C891" t="str">
        <f>IFERROR(VLOOKUP($A891,原始数据_收盘!$A$4:$G$3460,3,0),"")</f>
        <v/>
      </c>
      <c r="D891" t="str">
        <f>IFERROR(VLOOKUP($A891,原始数据_收盘!$A$4:$G$3460,4,0),"")</f>
        <v/>
      </c>
      <c r="E891" t="str">
        <f>IFERROR(VLOOKUP($A891,原始数据_收盘!$A$4:$G$3460,5,0),"")</f>
        <v/>
      </c>
      <c r="F891" t="str">
        <f>IFERROR(VLOOKUP($A891,原始数据_收盘!$A$4:$G$3460,6,0),"")</f>
        <v/>
      </c>
      <c r="G891" t="str">
        <f>IFERROR(VLOOKUP($A891,原始数据_收盘!$A$4:$G$3460,7,0),"")</f>
        <v/>
      </c>
      <c r="H891" t="str">
        <f>IFERROR(VLOOKUP($A891,原始数据_利率互换_FR007_1年!$A$6:$C$4395,2,0),"")</f>
        <v/>
      </c>
      <c r="I891" t="str">
        <f>IFERROR(VLOOKUP($A891,原始数据_利率互换_FR007_1年!$A$6:$C$4395,3,0),"")</f>
        <v/>
      </c>
    </row>
    <row r="892" spans="1:9">
      <c r="A892" s="6">
        <v>40385</v>
      </c>
      <c r="B892" t="str">
        <f>IFERROR(VLOOKUP($A892,原始数据_收盘!$A$4:$G$3460,2,0),"")</f>
        <v/>
      </c>
      <c r="C892" t="str">
        <f>IFERROR(VLOOKUP($A892,原始数据_收盘!$A$4:$G$3460,3,0),"")</f>
        <v/>
      </c>
      <c r="D892" t="str">
        <f>IFERROR(VLOOKUP($A892,原始数据_收盘!$A$4:$G$3460,4,0),"")</f>
        <v/>
      </c>
      <c r="E892" t="str">
        <f>IFERROR(VLOOKUP($A892,原始数据_收盘!$A$4:$G$3460,5,0),"")</f>
        <v/>
      </c>
      <c r="F892" t="str">
        <f>IFERROR(VLOOKUP($A892,原始数据_收盘!$A$4:$G$3460,6,0),"")</f>
        <v/>
      </c>
      <c r="G892" t="str">
        <f>IFERROR(VLOOKUP($A892,原始数据_收盘!$A$4:$G$3460,7,0),"")</f>
        <v/>
      </c>
      <c r="H892">
        <f>IFERROR(VLOOKUP($A892,原始数据_利率互换_FR007_1年!$A$6:$C$4395,2,0),"")</f>
        <v>2.13</v>
      </c>
      <c r="I892">
        <f>IFERROR(VLOOKUP($A892,原始数据_利率互换_FR007_1年!$A$6:$C$4395,3,0),"")</f>
        <v>2.92</v>
      </c>
    </row>
    <row r="893" spans="1:9">
      <c r="A893" s="6">
        <v>40386</v>
      </c>
      <c r="B893" t="str">
        <f>IFERROR(VLOOKUP($A893,原始数据_收盘!$A$4:$G$3460,2,0),"")</f>
        <v/>
      </c>
      <c r="C893" t="str">
        <f>IFERROR(VLOOKUP($A893,原始数据_收盘!$A$4:$G$3460,3,0),"")</f>
        <v/>
      </c>
      <c r="D893" t="str">
        <f>IFERROR(VLOOKUP($A893,原始数据_收盘!$A$4:$G$3460,4,0),"")</f>
        <v/>
      </c>
      <c r="E893" t="str">
        <f>IFERROR(VLOOKUP($A893,原始数据_收盘!$A$4:$G$3460,5,0),"")</f>
        <v/>
      </c>
      <c r="F893" t="str">
        <f>IFERROR(VLOOKUP($A893,原始数据_收盘!$A$4:$G$3460,6,0),"")</f>
        <v/>
      </c>
      <c r="G893" t="str">
        <f>IFERROR(VLOOKUP($A893,原始数据_收盘!$A$4:$G$3460,7,0),"")</f>
        <v/>
      </c>
      <c r="H893">
        <f>IFERROR(VLOOKUP($A893,原始数据_利率互换_FR007_1年!$A$6:$C$4395,2,0),"")</f>
        <v>2.12</v>
      </c>
      <c r="I893">
        <f>IFERROR(VLOOKUP($A893,原始数据_利率互换_FR007_1年!$A$6:$C$4395,3,0),"")</f>
        <v>2.92</v>
      </c>
    </row>
    <row r="894" spans="1:9">
      <c r="A894" s="6">
        <v>40387</v>
      </c>
      <c r="B894" t="str">
        <f>IFERROR(VLOOKUP($A894,原始数据_收盘!$A$4:$G$3460,2,0),"")</f>
        <v/>
      </c>
      <c r="C894" t="str">
        <f>IFERROR(VLOOKUP($A894,原始数据_收盘!$A$4:$G$3460,3,0),"")</f>
        <v/>
      </c>
      <c r="D894" t="str">
        <f>IFERROR(VLOOKUP($A894,原始数据_收盘!$A$4:$G$3460,4,0),"")</f>
        <v/>
      </c>
      <c r="E894" t="str">
        <f>IFERROR(VLOOKUP($A894,原始数据_收盘!$A$4:$G$3460,5,0),"")</f>
        <v/>
      </c>
      <c r="F894" t="str">
        <f>IFERROR(VLOOKUP($A894,原始数据_收盘!$A$4:$G$3460,6,0),"")</f>
        <v/>
      </c>
      <c r="G894" t="str">
        <f>IFERROR(VLOOKUP($A894,原始数据_收盘!$A$4:$G$3460,7,0),"")</f>
        <v/>
      </c>
      <c r="H894">
        <f>IFERROR(VLOOKUP($A894,原始数据_利率互换_FR007_1年!$A$6:$C$4395,2,0),"")</f>
        <v>2.08</v>
      </c>
      <c r="I894">
        <f>IFERROR(VLOOKUP($A894,原始数据_利率互换_FR007_1年!$A$6:$C$4395,3,0),"")</f>
        <v>2.85</v>
      </c>
    </row>
    <row r="895" spans="1:9">
      <c r="A895" s="6">
        <v>40388</v>
      </c>
      <c r="B895" t="str">
        <f>IFERROR(VLOOKUP($A895,原始数据_收盘!$A$4:$G$3460,2,0),"")</f>
        <v/>
      </c>
      <c r="C895" t="str">
        <f>IFERROR(VLOOKUP($A895,原始数据_收盘!$A$4:$G$3460,3,0),"")</f>
        <v/>
      </c>
      <c r="D895" t="str">
        <f>IFERROR(VLOOKUP($A895,原始数据_收盘!$A$4:$G$3460,4,0),"")</f>
        <v/>
      </c>
      <c r="E895" t="str">
        <f>IFERROR(VLOOKUP($A895,原始数据_收盘!$A$4:$G$3460,5,0),"")</f>
        <v/>
      </c>
      <c r="F895" t="str">
        <f>IFERROR(VLOOKUP($A895,原始数据_收盘!$A$4:$G$3460,6,0),"")</f>
        <v/>
      </c>
      <c r="G895" t="str">
        <f>IFERROR(VLOOKUP($A895,原始数据_收盘!$A$4:$G$3460,7,0),"")</f>
        <v/>
      </c>
      <c r="H895">
        <f>IFERROR(VLOOKUP($A895,原始数据_利率互换_FR007_1年!$A$6:$C$4395,2,0),"")</f>
        <v>2.09</v>
      </c>
      <c r="I895">
        <f>IFERROR(VLOOKUP($A895,原始数据_利率互换_FR007_1年!$A$6:$C$4395,3,0),"")</f>
        <v>2.89</v>
      </c>
    </row>
    <row r="896" spans="1:9">
      <c r="A896" s="6">
        <v>40389</v>
      </c>
      <c r="B896" t="str">
        <f>IFERROR(VLOOKUP($A896,原始数据_收盘!$A$4:$G$3460,2,0),"")</f>
        <v/>
      </c>
      <c r="C896" t="str">
        <f>IFERROR(VLOOKUP($A896,原始数据_收盘!$A$4:$G$3460,3,0),"")</f>
        <v/>
      </c>
      <c r="D896" t="str">
        <f>IFERROR(VLOOKUP($A896,原始数据_收盘!$A$4:$G$3460,4,0),"")</f>
        <v/>
      </c>
      <c r="E896" t="str">
        <f>IFERROR(VLOOKUP($A896,原始数据_收盘!$A$4:$G$3460,5,0),"")</f>
        <v/>
      </c>
      <c r="F896" t="str">
        <f>IFERROR(VLOOKUP($A896,原始数据_收盘!$A$4:$G$3460,6,0),"")</f>
        <v/>
      </c>
      <c r="G896" t="str">
        <f>IFERROR(VLOOKUP($A896,原始数据_收盘!$A$4:$G$3460,7,0),"")</f>
        <v/>
      </c>
      <c r="H896">
        <f>IFERROR(VLOOKUP($A896,原始数据_利率互换_FR007_1年!$A$6:$C$4395,2,0),"")</f>
        <v>2.1</v>
      </c>
      <c r="I896">
        <f>IFERROR(VLOOKUP($A896,原始数据_利率互换_FR007_1年!$A$6:$C$4395,3,0),"")</f>
        <v>2.89</v>
      </c>
    </row>
    <row r="897" spans="1:9">
      <c r="A897" s="6">
        <v>40390</v>
      </c>
      <c r="B897" t="str">
        <f>IFERROR(VLOOKUP($A897,原始数据_收盘!$A$4:$G$3460,2,0),"")</f>
        <v/>
      </c>
      <c r="C897" t="str">
        <f>IFERROR(VLOOKUP($A897,原始数据_收盘!$A$4:$G$3460,3,0),"")</f>
        <v/>
      </c>
      <c r="D897" t="str">
        <f>IFERROR(VLOOKUP($A897,原始数据_收盘!$A$4:$G$3460,4,0),"")</f>
        <v/>
      </c>
      <c r="E897" t="str">
        <f>IFERROR(VLOOKUP($A897,原始数据_收盘!$A$4:$G$3460,5,0),"")</f>
        <v/>
      </c>
      <c r="F897" t="str">
        <f>IFERROR(VLOOKUP($A897,原始数据_收盘!$A$4:$G$3460,6,0),"")</f>
        <v/>
      </c>
      <c r="G897" t="str">
        <f>IFERROR(VLOOKUP($A897,原始数据_收盘!$A$4:$G$3460,7,0),"")</f>
        <v/>
      </c>
      <c r="H897" t="str">
        <f>IFERROR(VLOOKUP($A897,原始数据_利率互换_FR007_1年!$A$6:$C$4395,2,0),"")</f>
        <v/>
      </c>
      <c r="I897" t="str">
        <f>IFERROR(VLOOKUP($A897,原始数据_利率互换_FR007_1年!$A$6:$C$4395,3,0),"")</f>
        <v/>
      </c>
    </row>
    <row r="898" spans="1:9">
      <c r="A898" s="6">
        <v>40391</v>
      </c>
      <c r="B898" t="str">
        <f>IFERROR(VLOOKUP($A898,原始数据_收盘!$A$4:$G$3460,2,0),"")</f>
        <v/>
      </c>
      <c r="C898" t="str">
        <f>IFERROR(VLOOKUP($A898,原始数据_收盘!$A$4:$G$3460,3,0),"")</f>
        <v/>
      </c>
      <c r="D898" t="str">
        <f>IFERROR(VLOOKUP($A898,原始数据_收盘!$A$4:$G$3460,4,0),"")</f>
        <v/>
      </c>
      <c r="E898" t="str">
        <f>IFERROR(VLOOKUP($A898,原始数据_收盘!$A$4:$G$3460,5,0),"")</f>
        <v/>
      </c>
      <c r="F898" t="str">
        <f>IFERROR(VLOOKUP($A898,原始数据_收盘!$A$4:$G$3460,6,0),"")</f>
        <v/>
      </c>
      <c r="G898" t="str">
        <f>IFERROR(VLOOKUP($A898,原始数据_收盘!$A$4:$G$3460,7,0),"")</f>
        <v/>
      </c>
      <c r="H898" t="str">
        <f>IFERROR(VLOOKUP($A898,原始数据_利率互换_FR007_1年!$A$6:$C$4395,2,0),"")</f>
        <v/>
      </c>
      <c r="I898" t="str">
        <f>IFERROR(VLOOKUP($A898,原始数据_利率互换_FR007_1年!$A$6:$C$4395,3,0),"")</f>
        <v/>
      </c>
    </row>
    <row r="899" spans="1:9">
      <c r="A899" s="6">
        <v>40392</v>
      </c>
      <c r="B899" t="str">
        <f>IFERROR(VLOOKUP($A899,原始数据_收盘!$A$4:$G$3460,2,0),"")</f>
        <v/>
      </c>
      <c r="C899" t="str">
        <f>IFERROR(VLOOKUP($A899,原始数据_收盘!$A$4:$G$3460,3,0),"")</f>
        <v/>
      </c>
      <c r="D899" t="str">
        <f>IFERROR(VLOOKUP($A899,原始数据_收盘!$A$4:$G$3460,4,0),"")</f>
        <v/>
      </c>
      <c r="E899" t="str">
        <f>IFERROR(VLOOKUP($A899,原始数据_收盘!$A$4:$G$3460,5,0),"")</f>
        <v/>
      </c>
      <c r="F899" t="str">
        <f>IFERROR(VLOOKUP($A899,原始数据_收盘!$A$4:$G$3460,6,0),"")</f>
        <v/>
      </c>
      <c r="G899" t="str">
        <f>IFERROR(VLOOKUP($A899,原始数据_收盘!$A$4:$G$3460,7,0),"")</f>
        <v/>
      </c>
      <c r="H899">
        <f>IFERROR(VLOOKUP($A899,原始数据_利率互换_FR007_1年!$A$6:$C$4395,2,0),"")</f>
        <v>2.11</v>
      </c>
      <c r="I899">
        <f>IFERROR(VLOOKUP($A899,原始数据_利率互换_FR007_1年!$A$6:$C$4395,3,0),"")</f>
        <v>2.91</v>
      </c>
    </row>
    <row r="900" spans="1:9">
      <c r="A900" s="6">
        <v>40393</v>
      </c>
      <c r="B900" t="str">
        <f>IFERROR(VLOOKUP($A900,原始数据_收盘!$A$4:$G$3460,2,0),"")</f>
        <v/>
      </c>
      <c r="C900" t="str">
        <f>IFERROR(VLOOKUP($A900,原始数据_收盘!$A$4:$G$3460,3,0),"")</f>
        <v/>
      </c>
      <c r="D900" t="str">
        <f>IFERROR(VLOOKUP($A900,原始数据_收盘!$A$4:$G$3460,4,0),"")</f>
        <v/>
      </c>
      <c r="E900" t="str">
        <f>IFERROR(VLOOKUP($A900,原始数据_收盘!$A$4:$G$3460,5,0),"")</f>
        <v/>
      </c>
      <c r="F900" t="str">
        <f>IFERROR(VLOOKUP($A900,原始数据_收盘!$A$4:$G$3460,6,0),"")</f>
        <v/>
      </c>
      <c r="G900" t="str">
        <f>IFERROR(VLOOKUP($A900,原始数据_收盘!$A$4:$G$3460,7,0),"")</f>
        <v/>
      </c>
      <c r="H900">
        <f>IFERROR(VLOOKUP($A900,原始数据_利率互换_FR007_1年!$A$6:$C$4395,2,0),"")</f>
        <v>0</v>
      </c>
      <c r="I900">
        <f>IFERROR(VLOOKUP($A900,原始数据_利率互换_FR007_1年!$A$6:$C$4395,3,0),"")</f>
        <v>2.92</v>
      </c>
    </row>
    <row r="901" spans="1:9">
      <c r="A901" s="6">
        <v>40394</v>
      </c>
      <c r="B901" t="str">
        <f>IFERROR(VLOOKUP($A901,原始数据_收盘!$A$4:$G$3460,2,0),"")</f>
        <v/>
      </c>
      <c r="C901" t="str">
        <f>IFERROR(VLOOKUP($A901,原始数据_收盘!$A$4:$G$3460,3,0),"")</f>
        <v/>
      </c>
      <c r="D901" t="str">
        <f>IFERROR(VLOOKUP($A901,原始数据_收盘!$A$4:$G$3460,4,0),"")</f>
        <v/>
      </c>
      <c r="E901" t="str">
        <f>IFERROR(VLOOKUP($A901,原始数据_收盘!$A$4:$G$3460,5,0),"")</f>
        <v/>
      </c>
      <c r="F901" t="str">
        <f>IFERROR(VLOOKUP($A901,原始数据_收盘!$A$4:$G$3460,6,0),"")</f>
        <v/>
      </c>
      <c r="G901" t="str">
        <f>IFERROR(VLOOKUP($A901,原始数据_收盘!$A$4:$G$3460,7,0),"")</f>
        <v/>
      </c>
      <c r="H901">
        <f>IFERROR(VLOOKUP($A901,原始数据_利率互换_FR007_1年!$A$6:$C$4395,2,0),"")</f>
        <v>2.09</v>
      </c>
      <c r="I901">
        <f>IFERROR(VLOOKUP($A901,原始数据_利率互换_FR007_1年!$A$6:$C$4395,3,0),"")</f>
        <v>2.88</v>
      </c>
    </row>
    <row r="902" spans="1:9">
      <c r="A902" s="6">
        <v>40395</v>
      </c>
      <c r="B902" t="str">
        <f>IFERROR(VLOOKUP($A902,原始数据_收盘!$A$4:$G$3460,2,0),"")</f>
        <v/>
      </c>
      <c r="C902" t="str">
        <f>IFERROR(VLOOKUP($A902,原始数据_收盘!$A$4:$G$3460,3,0),"")</f>
        <v/>
      </c>
      <c r="D902" t="str">
        <f>IFERROR(VLOOKUP($A902,原始数据_收盘!$A$4:$G$3460,4,0),"")</f>
        <v/>
      </c>
      <c r="E902" t="str">
        <f>IFERROR(VLOOKUP($A902,原始数据_收盘!$A$4:$G$3460,5,0),"")</f>
        <v/>
      </c>
      <c r="F902" t="str">
        <f>IFERROR(VLOOKUP($A902,原始数据_收盘!$A$4:$G$3460,6,0),"")</f>
        <v/>
      </c>
      <c r="G902" t="str">
        <f>IFERROR(VLOOKUP($A902,原始数据_收盘!$A$4:$G$3460,7,0),"")</f>
        <v/>
      </c>
      <c r="H902">
        <f>IFERROR(VLOOKUP($A902,原始数据_利率互换_FR007_1年!$A$6:$C$4395,2,0),"")</f>
        <v>2.08</v>
      </c>
      <c r="I902">
        <f>IFERROR(VLOOKUP($A902,原始数据_利率互换_FR007_1年!$A$6:$C$4395,3,0),"")</f>
        <v>2.87</v>
      </c>
    </row>
    <row r="903" spans="1:9">
      <c r="A903" s="6">
        <v>40396</v>
      </c>
      <c r="B903" t="str">
        <f>IFERROR(VLOOKUP($A903,原始数据_收盘!$A$4:$G$3460,2,0),"")</f>
        <v/>
      </c>
      <c r="C903" t="str">
        <f>IFERROR(VLOOKUP($A903,原始数据_收盘!$A$4:$G$3460,3,0),"")</f>
        <v/>
      </c>
      <c r="D903" t="str">
        <f>IFERROR(VLOOKUP($A903,原始数据_收盘!$A$4:$G$3460,4,0),"")</f>
        <v/>
      </c>
      <c r="E903" t="str">
        <f>IFERROR(VLOOKUP($A903,原始数据_收盘!$A$4:$G$3460,5,0),"")</f>
        <v/>
      </c>
      <c r="F903" t="str">
        <f>IFERROR(VLOOKUP($A903,原始数据_收盘!$A$4:$G$3460,6,0),"")</f>
        <v/>
      </c>
      <c r="G903" t="str">
        <f>IFERROR(VLOOKUP($A903,原始数据_收盘!$A$4:$G$3460,7,0),"")</f>
        <v/>
      </c>
      <c r="H903">
        <f>IFERROR(VLOOKUP($A903,原始数据_利率互换_FR007_1年!$A$6:$C$4395,2,0),"")</f>
        <v>2.05</v>
      </c>
      <c r="I903">
        <f>IFERROR(VLOOKUP($A903,原始数据_利率互换_FR007_1年!$A$6:$C$4395,3,0),"")</f>
        <v>0</v>
      </c>
    </row>
    <row r="904" spans="1:9">
      <c r="A904" s="6">
        <v>40397</v>
      </c>
      <c r="B904" t="str">
        <f>IFERROR(VLOOKUP($A904,原始数据_收盘!$A$4:$G$3460,2,0),"")</f>
        <v/>
      </c>
      <c r="C904" t="str">
        <f>IFERROR(VLOOKUP($A904,原始数据_收盘!$A$4:$G$3460,3,0),"")</f>
        <v/>
      </c>
      <c r="D904" t="str">
        <f>IFERROR(VLOOKUP($A904,原始数据_收盘!$A$4:$G$3460,4,0),"")</f>
        <v/>
      </c>
      <c r="E904" t="str">
        <f>IFERROR(VLOOKUP($A904,原始数据_收盘!$A$4:$G$3460,5,0),"")</f>
        <v/>
      </c>
      <c r="F904" t="str">
        <f>IFERROR(VLOOKUP($A904,原始数据_收盘!$A$4:$G$3460,6,0),"")</f>
        <v/>
      </c>
      <c r="G904" t="str">
        <f>IFERROR(VLOOKUP($A904,原始数据_收盘!$A$4:$G$3460,7,0),"")</f>
        <v/>
      </c>
      <c r="H904" t="str">
        <f>IFERROR(VLOOKUP($A904,原始数据_利率互换_FR007_1年!$A$6:$C$4395,2,0),"")</f>
        <v/>
      </c>
      <c r="I904" t="str">
        <f>IFERROR(VLOOKUP($A904,原始数据_利率互换_FR007_1年!$A$6:$C$4395,3,0),"")</f>
        <v/>
      </c>
    </row>
    <row r="905" spans="1:9">
      <c r="A905" s="6">
        <v>40398</v>
      </c>
      <c r="B905" t="str">
        <f>IFERROR(VLOOKUP($A905,原始数据_收盘!$A$4:$G$3460,2,0),"")</f>
        <v/>
      </c>
      <c r="C905" t="str">
        <f>IFERROR(VLOOKUP($A905,原始数据_收盘!$A$4:$G$3460,3,0),"")</f>
        <v/>
      </c>
      <c r="D905" t="str">
        <f>IFERROR(VLOOKUP($A905,原始数据_收盘!$A$4:$G$3460,4,0),"")</f>
        <v/>
      </c>
      <c r="E905" t="str">
        <f>IFERROR(VLOOKUP($A905,原始数据_收盘!$A$4:$G$3460,5,0),"")</f>
        <v/>
      </c>
      <c r="F905" t="str">
        <f>IFERROR(VLOOKUP($A905,原始数据_收盘!$A$4:$G$3460,6,0),"")</f>
        <v/>
      </c>
      <c r="G905" t="str">
        <f>IFERROR(VLOOKUP($A905,原始数据_收盘!$A$4:$G$3460,7,0),"")</f>
        <v/>
      </c>
      <c r="H905" t="str">
        <f>IFERROR(VLOOKUP($A905,原始数据_利率互换_FR007_1年!$A$6:$C$4395,2,0),"")</f>
        <v/>
      </c>
      <c r="I905" t="str">
        <f>IFERROR(VLOOKUP($A905,原始数据_利率互换_FR007_1年!$A$6:$C$4395,3,0),"")</f>
        <v/>
      </c>
    </row>
    <row r="906" spans="1:9">
      <c r="A906" s="6">
        <v>40399</v>
      </c>
      <c r="B906" t="str">
        <f>IFERROR(VLOOKUP($A906,原始数据_收盘!$A$4:$G$3460,2,0),"")</f>
        <v/>
      </c>
      <c r="C906" t="str">
        <f>IFERROR(VLOOKUP($A906,原始数据_收盘!$A$4:$G$3460,3,0),"")</f>
        <v/>
      </c>
      <c r="D906" t="str">
        <f>IFERROR(VLOOKUP($A906,原始数据_收盘!$A$4:$G$3460,4,0),"")</f>
        <v/>
      </c>
      <c r="E906" t="str">
        <f>IFERROR(VLOOKUP($A906,原始数据_收盘!$A$4:$G$3460,5,0),"")</f>
        <v/>
      </c>
      <c r="F906" t="str">
        <f>IFERROR(VLOOKUP($A906,原始数据_收盘!$A$4:$G$3460,6,0),"")</f>
        <v/>
      </c>
      <c r="G906" t="str">
        <f>IFERROR(VLOOKUP($A906,原始数据_收盘!$A$4:$G$3460,7,0),"")</f>
        <v/>
      </c>
      <c r="H906">
        <f>IFERROR(VLOOKUP($A906,原始数据_利率互换_FR007_1年!$A$6:$C$4395,2,0),"")</f>
        <v>0</v>
      </c>
      <c r="I906">
        <f>IFERROR(VLOOKUP($A906,原始数据_利率互换_FR007_1年!$A$6:$C$4395,3,0),"")</f>
        <v>2.85</v>
      </c>
    </row>
    <row r="907" spans="1:9">
      <c r="A907" s="6">
        <v>40400</v>
      </c>
      <c r="B907" t="str">
        <f>IFERROR(VLOOKUP($A907,原始数据_收盘!$A$4:$G$3460,2,0),"")</f>
        <v/>
      </c>
      <c r="C907" t="str">
        <f>IFERROR(VLOOKUP($A907,原始数据_收盘!$A$4:$G$3460,3,0),"")</f>
        <v/>
      </c>
      <c r="D907" t="str">
        <f>IFERROR(VLOOKUP($A907,原始数据_收盘!$A$4:$G$3460,4,0),"")</f>
        <v/>
      </c>
      <c r="E907" t="str">
        <f>IFERROR(VLOOKUP($A907,原始数据_收盘!$A$4:$G$3460,5,0),"")</f>
        <v/>
      </c>
      <c r="F907" t="str">
        <f>IFERROR(VLOOKUP($A907,原始数据_收盘!$A$4:$G$3460,6,0),"")</f>
        <v/>
      </c>
      <c r="G907" t="str">
        <f>IFERROR(VLOOKUP($A907,原始数据_收盘!$A$4:$G$3460,7,0),"")</f>
        <v/>
      </c>
      <c r="H907">
        <f>IFERROR(VLOOKUP($A907,原始数据_利率互换_FR007_1年!$A$6:$C$4395,2,0),"")</f>
        <v>2.06</v>
      </c>
      <c r="I907">
        <f>IFERROR(VLOOKUP($A907,原始数据_利率互换_FR007_1年!$A$6:$C$4395,3,0),"")</f>
        <v>2.82</v>
      </c>
    </row>
    <row r="908" spans="1:9">
      <c r="A908" s="6">
        <v>40401</v>
      </c>
      <c r="B908" t="str">
        <f>IFERROR(VLOOKUP($A908,原始数据_收盘!$A$4:$G$3460,2,0),"")</f>
        <v/>
      </c>
      <c r="C908" t="str">
        <f>IFERROR(VLOOKUP($A908,原始数据_收盘!$A$4:$G$3460,3,0),"")</f>
        <v/>
      </c>
      <c r="D908" t="str">
        <f>IFERROR(VLOOKUP($A908,原始数据_收盘!$A$4:$G$3460,4,0),"")</f>
        <v/>
      </c>
      <c r="E908" t="str">
        <f>IFERROR(VLOOKUP($A908,原始数据_收盘!$A$4:$G$3460,5,0),"")</f>
        <v/>
      </c>
      <c r="F908" t="str">
        <f>IFERROR(VLOOKUP($A908,原始数据_收盘!$A$4:$G$3460,6,0),"")</f>
        <v/>
      </c>
      <c r="G908" t="str">
        <f>IFERROR(VLOOKUP($A908,原始数据_收盘!$A$4:$G$3460,7,0),"")</f>
        <v/>
      </c>
      <c r="H908">
        <f>IFERROR(VLOOKUP($A908,原始数据_利率互换_FR007_1年!$A$6:$C$4395,2,0),"")</f>
        <v>1.96</v>
      </c>
      <c r="I908">
        <f>IFERROR(VLOOKUP($A908,原始数据_利率互换_FR007_1年!$A$6:$C$4395,3,0),"")</f>
        <v>2.74</v>
      </c>
    </row>
    <row r="909" spans="1:9">
      <c r="A909" s="6">
        <v>40402</v>
      </c>
      <c r="B909" t="str">
        <f>IFERROR(VLOOKUP($A909,原始数据_收盘!$A$4:$G$3460,2,0),"")</f>
        <v/>
      </c>
      <c r="C909" t="str">
        <f>IFERROR(VLOOKUP($A909,原始数据_收盘!$A$4:$G$3460,3,0),"")</f>
        <v/>
      </c>
      <c r="D909" t="str">
        <f>IFERROR(VLOOKUP($A909,原始数据_收盘!$A$4:$G$3460,4,0),"")</f>
        <v/>
      </c>
      <c r="E909" t="str">
        <f>IFERROR(VLOOKUP($A909,原始数据_收盘!$A$4:$G$3460,5,0),"")</f>
        <v/>
      </c>
      <c r="F909" t="str">
        <f>IFERROR(VLOOKUP($A909,原始数据_收盘!$A$4:$G$3460,6,0),"")</f>
        <v/>
      </c>
      <c r="G909" t="str">
        <f>IFERROR(VLOOKUP($A909,原始数据_收盘!$A$4:$G$3460,7,0),"")</f>
        <v/>
      </c>
      <c r="H909">
        <f>IFERROR(VLOOKUP($A909,原始数据_利率互换_FR007_1年!$A$6:$C$4395,2,0),"")</f>
        <v>1.96</v>
      </c>
      <c r="I909">
        <f>IFERROR(VLOOKUP($A909,原始数据_利率互换_FR007_1年!$A$6:$C$4395,3,0),"")</f>
        <v>2.69</v>
      </c>
    </row>
    <row r="910" spans="1:9">
      <c r="A910" s="6">
        <v>40403</v>
      </c>
      <c r="B910" t="str">
        <f>IFERROR(VLOOKUP($A910,原始数据_收盘!$A$4:$G$3460,2,0),"")</f>
        <v/>
      </c>
      <c r="C910" t="str">
        <f>IFERROR(VLOOKUP($A910,原始数据_收盘!$A$4:$G$3460,3,0),"")</f>
        <v/>
      </c>
      <c r="D910" t="str">
        <f>IFERROR(VLOOKUP($A910,原始数据_收盘!$A$4:$G$3460,4,0),"")</f>
        <v/>
      </c>
      <c r="E910" t="str">
        <f>IFERROR(VLOOKUP($A910,原始数据_收盘!$A$4:$G$3460,5,0),"")</f>
        <v/>
      </c>
      <c r="F910" t="str">
        <f>IFERROR(VLOOKUP($A910,原始数据_收盘!$A$4:$G$3460,6,0),"")</f>
        <v/>
      </c>
      <c r="G910" t="str">
        <f>IFERROR(VLOOKUP($A910,原始数据_收盘!$A$4:$G$3460,7,0),"")</f>
        <v/>
      </c>
      <c r="H910">
        <f>IFERROR(VLOOKUP($A910,原始数据_利率互换_FR007_1年!$A$6:$C$4395,2,0),"")</f>
        <v>0</v>
      </c>
      <c r="I910">
        <f>IFERROR(VLOOKUP($A910,原始数据_利率互换_FR007_1年!$A$6:$C$4395,3,0),"")</f>
        <v>2.7</v>
      </c>
    </row>
    <row r="911" spans="1:9">
      <c r="A911" s="6">
        <v>40404</v>
      </c>
      <c r="B911" t="str">
        <f>IFERROR(VLOOKUP($A911,原始数据_收盘!$A$4:$G$3460,2,0),"")</f>
        <v/>
      </c>
      <c r="C911" t="str">
        <f>IFERROR(VLOOKUP($A911,原始数据_收盘!$A$4:$G$3460,3,0),"")</f>
        <v/>
      </c>
      <c r="D911" t="str">
        <f>IFERROR(VLOOKUP($A911,原始数据_收盘!$A$4:$G$3460,4,0),"")</f>
        <v/>
      </c>
      <c r="E911" t="str">
        <f>IFERROR(VLOOKUP($A911,原始数据_收盘!$A$4:$G$3460,5,0),"")</f>
        <v/>
      </c>
      <c r="F911" t="str">
        <f>IFERROR(VLOOKUP($A911,原始数据_收盘!$A$4:$G$3460,6,0),"")</f>
        <v/>
      </c>
      <c r="G911" t="str">
        <f>IFERROR(VLOOKUP($A911,原始数据_收盘!$A$4:$G$3460,7,0),"")</f>
        <v/>
      </c>
      <c r="H911" t="str">
        <f>IFERROR(VLOOKUP($A911,原始数据_利率互换_FR007_1年!$A$6:$C$4395,2,0),"")</f>
        <v/>
      </c>
      <c r="I911" t="str">
        <f>IFERROR(VLOOKUP($A911,原始数据_利率互换_FR007_1年!$A$6:$C$4395,3,0),"")</f>
        <v/>
      </c>
    </row>
    <row r="912" spans="1:9">
      <c r="A912" s="6">
        <v>40405</v>
      </c>
      <c r="B912" t="str">
        <f>IFERROR(VLOOKUP($A912,原始数据_收盘!$A$4:$G$3460,2,0),"")</f>
        <v/>
      </c>
      <c r="C912" t="str">
        <f>IFERROR(VLOOKUP($A912,原始数据_收盘!$A$4:$G$3460,3,0),"")</f>
        <v/>
      </c>
      <c r="D912" t="str">
        <f>IFERROR(VLOOKUP($A912,原始数据_收盘!$A$4:$G$3460,4,0),"")</f>
        <v/>
      </c>
      <c r="E912" t="str">
        <f>IFERROR(VLOOKUP($A912,原始数据_收盘!$A$4:$G$3460,5,0),"")</f>
        <v/>
      </c>
      <c r="F912" t="str">
        <f>IFERROR(VLOOKUP($A912,原始数据_收盘!$A$4:$G$3460,6,0),"")</f>
        <v/>
      </c>
      <c r="G912" t="str">
        <f>IFERROR(VLOOKUP($A912,原始数据_收盘!$A$4:$G$3460,7,0),"")</f>
        <v/>
      </c>
      <c r="H912" t="str">
        <f>IFERROR(VLOOKUP($A912,原始数据_利率互换_FR007_1年!$A$6:$C$4395,2,0),"")</f>
        <v/>
      </c>
      <c r="I912" t="str">
        <f>IFERROR(VLOOKUP($A912,原始数据_利率互换_FR007_1年!$A$6:$C$4395,3,0),"")</f>
        <v/>
      </c>
    </row>
    <row r="913" spans="1:9">
      <c r="A913" s="6">
        <v>40406</v>
      </c>
      <c r="B913" t="str">
        <f>IFERROR(VLOOKUP($A913,原始数据_收盘!$A$4:$G$3460,2,0),"")</f>
        <v/>
      </c>
      <c r="C913" t="str">
        <f>IFERROR(VLOOKUP($A913,原始数据_收盘!$A$4:$G$3460,3,0),"")</f>
        <v/>
      </c>
      <c r="D913" t="str">
        <f>IFERROR(VLOOKUP($A913,原始数据_收盘!$A$4:$G$3460,4,0),"")</f>
        <v/>
      </c>
      <c r="E913" t="str">
        <f>IFERROR(VLOOKUP($A913,原始数据_收盘!$A$4:$G$3460,5,0),"")</f>
        <v/>
      </c>
      <c r="F913" t="str">
        <f>IFERROR(VLOOKUP($A913,原始数据_收盘!$A$4:$G$3460,6,0),"")</f>
        <v/>
      </c>
      <c r="G913" t="str">
        <f>IFERROR(VLOOKUP($A913,原始数据_收盘!$A$4:$G$3460,7,0),"")</f>
        <v/>
      </c>
      <c r="H913">
        <f>IFERROR(VLOOKUP($A913,原始数据_利率互换_FR007_1年!$A$6:$C$4395,2,0),"")</f>
        <v>2</v>
      </c>
      <c r="I913">
        <f>IFERROR(VLOOKUP($A913,原始数据_利率互换_FR007_1年!$A$6:$C$4395,3,0),"")</f>
        <v>2.7</v>
      </c>
    </row>
    <row r="914" spans="1:9">
      <c r="A914" s="6">
        <v>40407</v>
      </c>
      <c r="B914" t="str">
        <f>IFERROR(VLOOKUP($A914,原始数据_收盘!$A$4:$G$3460,2,0),"")</f>
        <v/>
      </c>
      <c r="C914" t="str">
        <f>IFERROR(VLOOKUP($A914,原始数据_收盘!$A$4:$G$3460,3,0),"")</f>
        <v/>
      </c>
      <c r="D914" t="str">
        <f>IFERROR(VLOOKUP($A914,原始数据_收盘!$A$4:$G$3460,4,0),"")</f>
        <v/>
      </c>
      <c r="E914" t="str">
        <f>IFERROR(VLOOKUP($A914,原始数据_收盘!$A$4:$G$3460,5,0),"")</f>
        <v/>
      </c>
      <c r="F914" t="str">
        <f>IFERROR(VLOOKUP($A914,原始数据_收盘!$A$4:$G$3460,6,0),"")</f>
        <v/>
      </c>
      <c r="G914" t="str">
        <f>IFERROR(VLOOKUP($A914,原始数据_收盘!$A$4:$G$3460,7,0),"")</f>
        <v/>
      </c>
      <c r="H914">
        <f>IFERROR(VLOOKUP($A914,原始数据_利率互换_FR007_1年!$A$6:$C$4395,2,0),"")</f>
        <v>2.01</v>
      </c>
      <c r="I914">
        <f>IFERROR(VLOOKUP($A914,原始数据_利率互换_FR007_1年!$A$6:$C$4395,3,0),"")</f>
        <v>2.71</v>
      </c>
    </row>
    <row r="915" spans="1:9">
      <c r="A915" s="6">
        <v>40408</v>
      </c>
      <c r="B915" t="str">
        <f>IFERROR(VLOOKUP($A915,原始数据_收盘!$A$4:$G$3460,2,0),"")</f>
        <v/>
      </c>
      <c r="C915" t="str">
        <f>IFERROR(VLOOKUP($A915,原始数据_收盘!$A$4:$G$3460,3,0),"")</f>
        <v/>
      </c>
      <c r="D915" t="str">
        <f>IFERROR(VLOOKUP($A915,原始数据_收盘!$A$4:$G$3460,4,0),"")</f>
        <v/>
      </c>
      <c r="E915" t="str">
        <f>IFERROR(VLOOKUP($A915,原始数据_收盘!$A$4:$G$3460,5,0),"")</f>
        <v/>
      </c>
      <c r="F915" t="str">
        <f>IFERROR(VLOOKUP($A915,原始数据_收盘!$A$4:$G$3460,6,0),"")</f>
        <v/>
      </c>
      <c r="G915" t="str">
        <f>IFERROR(VLOOKUP($A915,原始数据_收盘!$A$4:$G$3460,7,0),"")</f>
        <v/>
      </c>
      <c r="H915">
        <f>IFERROR(VLOOKUP($A915,原始数据_利率互换_FR007_1年!$A$6:$C$4395,2,0),"")</f>
        <v>2.03</v>
      </c>
      <c r="I915">
        <f>IFERROR(VLOOKUP($A915,原始数据_利率互换_FR007_1年!$A$6:$C$4395,3,0),"")</f>
        <v>2.74</v>
      </c>
    </row>
    <row r="916" spans="1:9">
      <c r="A916" s="6">
        <v>40409</v>
      </c>
      <c r="B916" t="str">
        <f>IFERROR(VLOOKUP($A916,原始数据_收盘!$A$4:$G$3460,2,0),"")</f>
        <v/>
      </c>
      <c r="C916" t="str">
        <f>IFERROR(VLOOKUP($A916,原始数据_收盘!$A$4:$G$3460,3,0),"")</f>
        <v/>
      </c>
      <c r="D916" t="str">
        <f>IFERROR(VLOOKUP($A916,原始数据_收盘!$A$4:$G$3460,4,0),"")</f>
        <v/>
      </c>
      <c r="E916" t="str">
        <f>IFERROR(VLOOKUP($A916,原始数据_收盘!$A$4:$G$3460,5,0),"")</f>
        <v/>
      </c>
      <c r="F916" t="str">
        <f>IFERROR(VLOOKUP($A916,原始数据_收盘!$A$4:$G$3460,6,0),"")</f>
        <v/>
      </c>
      <c r="G916" t="str">
        <f>IFERROR(VLOOKUP($A916,原始数据_收盘!$A$4:$G$3460,7,0),"")</f>
        <v/>
      </c>
      <c r="H916">
        <f>IFERROR(VLOOKUP($A916,原始数据_利率互换_FR007_1年!$A$6:$C$4395,2,0),"")</f>
        <v>2.03</v>
      </c>
      <c r="I916">
        <f>IFERROR(VLOOKUP($A916,原始数据_利率互换_FR007_1年!$A$6:$C$4395,3,0),"")</f>
        <v>2.77</v>
      </c>
    </row>
    <row r="917" spans="1:9">
      <c r="A917" s="6">
        <v>40410</v>
      </c>
      <c r="B917" t="str">
        <f>IFERROR(VLOOKUP($A917,原始数据_收盘!$A$4:$G$3460,2,0),"")</f>
        <v/>
      </c>
      <c r="C917" t="str">
        <f>IFERROR(VLOOKUP($A917,原始数据_收盘!$A$4:$G$3460,3,0),"")</f>
        <v/>
      </c>
      <c r="D917" t="str">
        <f>IFERROR(VLOOKUP($A917,原始数据_收盘!$A$4:$G$3460,4,0),"")</f>
        <v/>
      </c>
      <c r="E917" t="str">
        <f>IFERROR(VLOOKUP($A917,原始数据_收盘!$A$4:$G$3460,5,0),"")</f>
        <v/>
      </c>
      <c r="F917" t="str">
        <f>IFERROR(VLOOKUP($A917,原始数据_收盘!$A$4:$G$3460,6,0),"")</f>
        <v/>
      </c>
      <c r="G917" t="str">
        <f>IFERROR(VLOOKUP($A917,原始数据_收盘!$A$4:$G$3460,7,0),"")</f>
        <v/>
      </c>
      <c r="H917">
        <f>IFERROR(VLOOKUP($A917,原始数据_利率互换_FR007_1年!$A$6:$C$4395,2,0),"")</f>
        <v>2.02</v>
      </c>
      <c r="I917">
        <f>IFERROR(VLOOKUP($A917,原始数据_利率互换_FR007_1年!$A$6:$C$4395,3,0),"")</f>
        <v>2.74</v>
      </c>
    </row>
    <row r="918" spans="1:9">
      <c r="A918" s="6">
        <v>40411</v>
      </c>
      <c r="B918" t="str">
        <f>IFERROR(VLOOKUP($A918,原始数据_收盘!$A$4:$G$3460,2,0),"")</f>
        <v/>
      </c>
      <c r="C918" t="str">
        <f>IFERROR(VLOOKUP($A918,原始数据_收盘!$A$4:$G$3460,3,0),"")</f>
        <v/>
      </c>
      <c r="D918" t="str">
        <f>IFERROR(VLOOKUP($A918,原始数据_收盘!$A$4:$G$3460,4,0),"")</f>
        <v/>
      </c>
      <c r="E918" t="str">
        <f>IFERROR(VLOOKUP($A918,原始数据_收盘!$A$4:$G$3460,5,0),"")</f>
        <v/>
      </c>
      <c r="F918" t="str">
        <f>IFERROR(VLOOKUP($A918,原始数据_收盘!$A$4:$G$3460,6,0),"")</f>
        <v/>
      </c>
      <c r="G918" t="str">
        <f>IFERROR(VLOOKUP($A918,原始数据_收盘!$A$4:$G$3460,7,0),"")</f>
        <v/>
      </c>
      <c r="H918" t="str">
        <f>IFERROR(VLOOKUP($A918,原始数据_利率互换_FR007_1年!$A$6:$C$4395,2,0),"")</f>
        <v/>
      </c>
      <c r="I918" t="str">
        <f>IFERROR(VLOOKUP($A918,原始数据_利率互换_FR007_1年!$A$6:$C$4395,3,0),"")</f>
        <v/>
      </c>
    </row>
    <row r="919" spans="1:9">
      <c r="A919" s="6">
        <v>40412</v>
      </c>
      <c r="B919" t="str">
        <f>IFERROR(VLOOKUP($A919,原始数据_收盘!$A$4:$G$3460,2,0),"")</f>
        <v/>
      </c>
      <c r="C919" t="str">
        <f>IFERROR(VLOOKUP($A919,原始数据_收盘!$A$4:$G$3460,3,0),"")</f>
        <v/>
      </c>
      <c r="D919" t="str">
        <f>IFERROR(VLOOKUP($A919,原始数据_收盘!$A$4:$G$3460,4,0),"")</f>
        <v/>
      </c>
      <c r="E919" t="str">
        <f>IFERROR(VLOOKUP($A919,原始数据_收盘!$A$4:$G$3460,5,0),"")</f>
        <v/>
      </c>
      <c r="F919" t="str">
        <f>IFERROR(VLOOKUP($A919,原始数据_收盘!$A$4:$G$3460,6,0),"")</f>
        <v/>
      </c>
      <c r="G919" t="str">
        <f>IFERROR(VLOOKUP($A919,原始数据_收盘!$A$4:$G$3460,7,0),"")</f>
        <v/>
      </c>
      <c r="H919" t="str">
        <f>IFERROR(VLOOKUP($A919,原始数据_利率互换_FR007_1年!$A$6:$C$4395,2,0),"")</f>
        <v/>
      </c>
      <c r="I919" t="str">
        <f>IFERROR(VLOOKUP($A919,原始数据_利率互换_FR007_1年!$A$6:$C$4395,3,0),"")</f>
        <v/>
      </c>
    </row>
    <row r="920" spans="1:9">
      <c r="A920" s="6">
        <v>40413</v>
      </c>
      <c r="B920" t="str">
        <f>IFERROR(VLOOKUP($A920,原始数据_收盘!$A$4:$G$3460,2,0),"")</f>
        <v/>
      </c>
      <c r="C920" t="str">
        <f>IFERROR(VLOOKUP($A920,原始数据_收盘!$A$4:$G$3460,3,0),"")</f>
        <v/>
      </c>
      <c r="D920" t="str">
        <f>IFERROR(VLOOKUP($A920,原始数据_收盘!$A$4:$G$3460,4,0),"")</f>
        <v/>
      </c>
      <c r="E920" t="str">
        <f>IFERROR(VLOOKUP($A920,原始数据_收盘!$A$4:$G$3460,5,0),"")</f>
        <v/>
      </c>
      <c r="F920" t="str">
        <f>IFERROR(VLOOKUP($A920,原始数据_收盘!$A$4:$G$3460,6,0),"")</f>
        <v/>
      </c>
      <c r="G920" t="str">
        <f>IFERROR(VLOOKUP($A920,原始数据_收盘!$A$4:$G$3460,7,0),"")</f>
        <v/>
      </c>
      <c r="H920">
        <f>IFERROR(VLOOKUP($A920,原始数据_利率互换_FR007_1年!$A$6:$C$4395,2,0),"")</f>
        <v>0</v>
      </c>
      <c r="I920">
        <f>IFERROR(VLOOKUP($A920,原始数据_利率互换_FR007_1年!$A$6:$C$4395,3,0),"")</f>
        <v>2.73</v>
      </c>
    </row>
    <row r="921" spans="1:9">
      <c r="A921" s="6">
        <v>40414</v>
      </c>
      <c r="B921" t="str">
        <f>IFERROR(VLOOKUP($A921,原始数据_收盘!$A$4:$G$3460,2,0),"")</f>
        <v/>
      </c>
      <c r="C921" t="str">
        <f>IFERROR(VLOOKUP($A921,原始数据_收盘!$A$4:$G$3460,3,0),"")</f>
        <v/>
      </c>
      <c r="D921" t="str">
        <f>IFERROR(VLOOKUP($A921,原始数据_收盘!$A$4:$G$3460,4,0),"")</f>
        <v/>
      </c>
      <c r="E921" t="str">
        <f>IFERROR(VLOOKUP($A921,原始数据_收盘!$A$4:$G$3460,5,0),"")</f>
        <v/>
      </c>
      <c r="F921" t="str">
        <f>IFERROR(VLOOKUP($A921,原始数据_收盘!$A$4:$G$3460,6,0),"")</f>
        <v/>
      </c>
      <c r="G921" t="str">
        <f>IFERROR(VLOOKUP($A921,原始数据_收盘!$A$4:$G$3460,7,0),"")</f>
        <v/>
      </c>
      <c r="H921">
        <f>IFERROR(VLOOKUP($A921,原始数据_利率互换_FR007_1年!$A$6:$C$4395,2,0),"")</f>
        <v>1.99</v>
      </c>
      <c r="I921">
        <f>IFERROR(VLOOKUP($A921,原始数据_利率互换_FR007_1年!$A$6:$C$4395,3,0),"")</f>
        <v>2.71</v>
      </c>
    </row>
    <row r="922" spans="1:9">
      <c r="A922" s="6">
        <v>40415</v>
      </c>
      <c r="B922" t="str">
        <f>IFERROR(VLOOKUP($A922,原始数据_收盘!$A$4:$G$3460,2,0),"")</f>
        <v/>
      </c>
      <c r="C922" t="str">
        <f>IFERROR(VLOOKUP($A922,原始数据_收盘!$A$4:$G$3460,3,0),"")</f>
        <v/>
      </c>
      <c r="D922" t="str">
        <f>IFERROR(VLOOKUP($A922,原始数据_收盘!$A$4:$G$3460,4,0),"")</f>
        <v/>
      </c>
      <c r="E922" t="str">
        <f>IFERROR(VLOOKUP($A922,原始数据_收盘!$A$4:$G$3460,5,0),"")</f>
        <v/>
      </c>
      <c r="F922" t="str">
        <f>IFERROR(VLOOKUP($A922,原始数据_收盘!$A$4:$G$3460,6,0),"")</f>
        <v/>
      </c>
      <c r="G922" t="str">
        <f>IFERROR(VLOOKUP($A922,原始数据_收盘!$A$4:$G$3460,7,0),"")</f>
        <v/>
      </c>
      <c r="H922">
        <f>IFERROR(VLOOKUP($A922,原始数据_利率互换_FR007_1年!$A$6:$C$4395,2,0),"")</f>
        <v>0</v>
      </c>
      <c r="I922">
        <f>IFERROR(VLOOKUP($A922,原始数据_利率互换_FR007_1年!$A$6:$C$4395,3,0),"")</f>
        <v>2.7</v>
      </c>
    </row>
    <row r="923" spans="1:9">
      <c r="A923" s="6">
        <v>40416</v>
      </c>
      <c r="B923" t="str">
        <f>IFERROR(VLOOKUP($A923,原始数据_收盘!$A$4:$G$3460,2,0),"")</f>
        <v/>
      </c>
      <c r="C923" t="str">
        <f>IFERROR(VLOOKUP($A923,原始数据_收盘!$A$4:$G$3460,3,0),"")</f>
        <v/>
      </c>
      <c r="D923" t="str">
        <f>IFERROR(VLOOKUP($A923,原始数据_收盘!$A$4:$G$3460,4,0),"")</f>
        <v/>
      </c>
      <c r="E923" t="str">
        <f>IFERROR(VLOOKUP($A923,原始数据_收盘!$A$4:$G$3460,5,0),"")</f>
        <v/>
      </c>
      <c r="F923" t="str">
        <f>IFERROR(VLOOKUP($A923,原始数据_收盘!$A$4:$G$3460,6,0),"")</f>
        <v/>
      </c>
      <c r="G923" t="str">
        <f>IFERROR(VLOOKUP($A923,原始数据_收盘!$A$4:$G$3460,7,0),"")</f>
        <v/>
      </c>
      <c r="H923">
        <f>IFERROR(VLOOKUP($A923,原始数据_利率互换_FR007_1年!$A$6:$C$4395,2,0),"")</f>
        <v>2.02</v>
      </c>
      <c r="I923">
        <f>IFERROR(VLOOKUP($A923,原始数据_利率互换_FR007_1年!$A$6:$C$4395,3,0),"")</f>
        <v>2.72</v>
      </c>
    </row>
    <row r="924" spans="1:9">
      <c r="A924" s="6">
        <v>40417</v>
      </c>
      <c r="B924" t="str">
        <f>IFERROR(VLOOKUP($A924,原始数据_收盘!$A$4:$G$3460,2,0),"")</f>
        <v/>
      </c>
      <c r="C924" t="str">
        <f>IFERROR(VLOOKUP($A924,原始数据_收盘!$A$4:$G$3460,3,0),"")</f>
        <v/>
      </c>
      <c r="D924" t="str">
        <f>IFERROR(VLOOKUP($A924,原始数据_收盘!$A$4:$G$3460,4,0),"")</f>
        <v/>
      </c>
      <c r="E924" t="str">
        <f>IFERROR(VLOOKUP($A924,原始数据_收盘!$A$4:$G$3460,5,0),"")</f>
        <v/>
      </c>
      <c r="F924" t="str">
        <f>IFERROR(VLOOKUP($A924,原始数据_收盘!$A$4:$G$3460,6,0),"")</f>
        <v/>
      </c>
      <c r="G924" t="str">
        <f>IFERROR(VLOOKUP($A924,原始数据_收盘!$A$4:$G$3460,7,0),"")</f>
        <v/>
      </c>
      <c r="H924">
        <f>IFERROR(VLOOKUP($A924,原始数据_利率互换_FR007_1年!$A$6:$C$4395,2,0),"")</f>
        <v>2.05</v>
      </c>
      <c r="I924">
        <f>IFERROR(VLOOKUP($A924,原始数据_利率互换_FR007_1年!$A$6:$C$4395,3,0),"")</f>
        <v>2.74</v>
      </c>
    </row>
    <row r="925" spans="1:9">
      <c r="A925" s="6">
        <v>40418</v>
      </c>
      <c r="B925" t="str">
        <f>IFERROR(VLOOKUP($A925,原始数据_收盘!$A$4:$G$3460,2,0),"")</f>
        <v/>
      </c>
      <c r="C925" t="str">
        <f>IFERROR(VLOOKUP($A925,原始数据_收盘!$A$4:$G$3460,3,0),"")</f>
        <v/>
      </c>
      <c r="D925" t="str">
        <f>IFERROR(VLOOKUP($A925,原始数据_收盘!$A$4:$G$3460,4,0),"")</f>
        <v/>
      </c>
      <c r="E925" t="str">
        <f>IFERROR(VLOOKUP($A925,原始数据_收盘!$A$4:$G$3460,5,0),"")</f>
        <v/>
      </c>
      <c r="F925" t="str">
        <f>IFERROR(VLOOKUP($A925,原始数据_收盘!$A$4:$G$3460,6,0),"")</f>
        <v/>
      </c>
      <c r="G925" t="str">
        <f>IFERROR(VLOOKUP($A925,原始数据_收盘!$A$4:$G$3460,7,0),"")</f>
        <v/>
      </c>
      <c r="H925" t="str">
        <f>IFERROR(VLOOKUP($A925,原始数据_利率互换_FR007_1年!$A$6:$C$4395,2,0),"")</f>
        <v/>
      </c>
      <c r="I925" t="str">
        <f>IFERROR(VLOOKUP($A925,原始数据_利率互换_FR007_1年!$A$6:$C$4395,3,0),"")</f>
        <v/>
      </c>
    </row>
    <row r="926" spans="1:9">
      <c r="A926" s="6">
        <v>40419</v>
      </c>
      <c r="B926" t="str">
        <f>IFERROR(VLOOKUP($A926,原始数据_收盘!$A$4:$G$3460,2,0),"")</f>
        <v/>
      </c>
      <c r="C926" t="str">
        <f>IFERROR(VLOOKUP($A926,原始数据_收盘!$A$4:$G$3460,3,0),"")</f>
        <v/>
      </c>
      <c r="D926" t="str">
        <f>IFERROR(VLOOKUP($A926,原始数据_收盘!$A$4:$G$3460,4,0),"")</f>
        <v/>
      </c>
      <c r="E926" t="str">
        <f>IFERROR(VLOOKUP($A926,原始数据_收盘!$A$4:$G$3460,5,0),"")</f>
        <v/>
      </c>
      <c r="F926" t="str">
        <f>IFERROR(VLOOKUP($A926,原始数据_收盘!$A$4:$G$3460,6,0),"")</f>
        <v/>
      </c>
      <c r="G926" t="str">
        <f>IFERROR(VLOOKUP($A926,原始数据_收盘!$A$4:$G$3460,7,0),"")</f>
        <v/>
      </c>
      <c r="H926" t="str">
        <f>IFERROR(VLOOKUP($A926,原始数据_利率互换_FR007_1年!$A$6:$C$4395,2,0),"")</f>
        <v/>
      </c>
      <c r="I926" t="str">
        <f>IFERROR(VLOOKUP($A926,原始数据_利率互换_FR007_1年!$A$6:$C$4395,3,0),"")</f>
        <v/>
      </c>
    </row>
    <row r="927" spans="1:9">
      <c r="A927" s="6">
        <v>40420</v>
      </c>
      <c r="B927" t="str">
        <f>IFERROR(VLOOKUP($A927,原始数据_收盘!$A$4:$G$3460,2,0),"")</f>
        <v/>
      </c>
      <c r="C927" t="str">
        <f>IFERROR(VLOOKUP($A927,原始数据_收盘!$A$4:$G$3460,3,0),"")</f>
        <v/>
      </c>
      <c r="D927" t="str">
        <f>IFERROR(VLOOKUP($A927,原始数据_收盘!$A$4:$G$3460,4,0),"")</f>
        <v/>
      </c>
      <c r="E927" t="str">
        <f>IFERROR(VLOOKUP($A927,原始数据_收盘!$A$4:$G$3460,5,0),"")</f>
        <v/>
      </c>
      <c r="F927" t="str">
        <f>IFERROR(VLOOKUP($A927,原始数据_收盘!$A$4:$G$3460,6,0),"")</f>
        <v/>
      </c>
      <c r="G927" t="str">
        <f>IFERROR(VLOOKUP($A927,原始数据_收盘!$A$4:$G$3460,7,0),"")</f>
        <v/>
      </c>
      <c r="H927">
        <f>IFERROR(VLOOKUP($A927,原始数据_利率互换_FR007_1年!$A$6:$C$4395,2,0),"")</f>
        <v>2.05</v>
      </c>
      <c r="I927">
        <f>IFERROR(VLOOKUP($A927,原始数据_利率互换_FR007_1年!$A$6:$C$4395,3,0),"")</f>
        <v>2.76</v>
      </c>
    </row>
    <row r="928" spans="1:9">
      <c r="A928" s="6">
        <v>40421</v>
      </c>
      <c r="B928" t="str">
        <f>IFERROR(VLOOKUP($A928,原始数据_收盘!$A$4:$G$3460,2,0),"")</f>
        <v/>
      </c>
      <c r="C928" t="str">
        <f>IFERROR(VLOOKUP($A928,原始数据_收盘!$A$4:$G$3460,3,0),"")</f>
        <v/>
      </c>
      <c r="D928" t="str">
        <f>IFERROR(VLOOKUP($A928,原始数据_收盘!$A$4:$G$3460,4,0),"")</f>
        <v/>
      </c>
      <c r="E928" t="str">
        <f>IFERROR(VLOOKUP($A928,原始数据_收盘!$A$4:$G$3460,5,0),"")</f>
        <v/>
      </c>
      <c r="F928" t="str">
        <f>IFERROR(VLOOKUP($A928,原始数据_收盘!$A$4:$G$3460,6,0),"")</f>
        <v/>
      </c>
      <c r="G928" t="str">
        <f>IFERROR(VLOOKUP($A928,原始数据_收盘!$A$4:$G$3460,7,0),"")</f>
        <v/>
      </c>
      <c r="H928">
        <f>IFERROR(VLOOKUP($A928,原始数据_利率互换_FR007_1年!$A$6:$C$4395,2,0),"")</f>
        <v>2.03</v>
      </c>
      <c r="I928">
        <f>IFERROR(VLOOKUP($A928,原始数据_利率互换_FR007_1年!$A$6:$C$4395,3,0),"")</f>
        <v>2.7</v>
      </c>
    </row>
    <row r="929" spans="1:9">
      <c r="A929" s="6">
        <v>40422</v>
      </c>
      <c r="B929" t="str">
        <f>IFERROR(VLOOKUP($A929,原始数据_收盘!$A$4:$G$3460,2,0),"")</f>
        <v/>
      </c>
      <c r="C929" t="str">
        <f>IFERROR(VLOOKUP($A929,原始数据_收盘!$A$4:$G$3460,3,0),"")</f>
        <v/>
      </c>
      <c r="D929" t="str">
        <f>IFERROR(VLOOKUP($A929,原始数据_收盘!$A$4:$G$3460,4,0),"")</f>
        <v/>
      </c>
      <c r="E929" t="str">
        <f>IFERROR(VLOOKUP($A929,原始数据_收盘!$A$4:$G$3460,5,0),"")</f>
        <v/>
      </c>
      <c r="F929" t="str">
        <f>IFERROR(VLOOKUP($A929,原始数据_收盘!$A$4:$G$3460,6,0),"")</f>
        <v/>
      </c>
      <c r="G929" t="str">
        <f>IFERROR(VLOOKUP($A929,原始数据_收盘!$A$4:$G$3460,7,0),"")</f>
        <v/>
      </c>
      <c r="H929">
        <f>IFERROR(VLOOKUP($A929,原始数据_利率互换_FR007_1年!$A$6:$C$4395,2,0),"")</f>
        <v>2.03</v>
      </c>
      <c r="I929">
        <f>IFERROR(VLOOKUP($A929,原始数据_利率互换_FR007_1年!$A$6:$C$4395,3,0),"")</f>
        <v>2.72</v>
      </c>
    </row>
    <row r="930" spans="1:9">
      <c r="A930" s="6">
        <v>40423</v>
      </c>
      <c r="B930" t="str">
        <f>IFERROR(VLOOKUP($A930,原始数据_收盘!$A$4:$G$3460,2,0),"")</f>
        <v/>
      </c>
      <c r="C930" t="str">
        <f>IFERROR(VLOOKUP($A930,原始数据_收盘!$A$4:$G$3460,3,0),"")</f>
        <v/>
      </c>
      <c r="D930" t="str">
        <f>IFERROR(VLOOKUP($A930,原始数据_收盘!$A$4:$G$3460,4,0),"")</f>
        <v/>
      </c>
      <c r="E930" t="str">
        <f>IFERROR(VLOOKUP($A930,原始数据_收盘!$A$4:$G$3460,5,0),"")</f>
        <v/>
      </c>
      <c r="F930" t="str">
        <f>IFERROR(VLOOKUP($A930,原始数据_收盘!$A$4:$G$3460,6,0),"")</f>
        <v/>
      </c>
      <c r="G930" t="str">
        <f>IFERROR(VLOOKUP($A930,原始数据_收盘!$A$4:$G$3460,7,0),"")</f>
        <v/>
      </c>
      <c r="H930">
        <f>IFERROR(VLOOKUP($A930,原始数据_利率互换_FR007_1年!$A$6:$C$4395,2,0),"")</f>
        <v>2.02</v>
      </c>
      <c r="I930">
        <f>IFERROR(VLOOKUP($A930,原始数据_利率互换_FR007_1年!$A$6:$C$4395,3,0),"")</f>
        <v>2.73</v>
      </c>
    </row>
    <row r="931" spans="1:9">
      <c r="A931" s="6">
        <v>40424</v>
      </c>
      <c r="B931" t="str">
        <f>IFERROR(VLOOKUP($A931,原始数据_收盘!$A$4:$G$3460,2,0),"")</f>
        <v/>
      </c>
      <c r="C931" t="str">
        <f>IFERROR(VLOOKUP($A931,原始数据_收盘!$A$4:$G$3460,3,0),"")</f>
        <v/>
      </c>
      <c r="D931" t="str">
        <f>IFERROR(VLOOKUP($A931,原始数据_收盘!$A$4:$G$3460,4,0),"")</f>
        <v/>
      </c>
      <c r="E931" t="str">
        <f>IFERROR(VLOOKUP($A931,原始数据_收盘!$A$4:$G$3460,5,0),"")</f>
        <v/>
      </c>
      <c r="F931" t="str">
        <f>IFERROR(VLOOKUP($A931,原始数据_收盘!$A$4:$G$3460,6,0),"")</f>
        <v/>
      </c>
      <c r="G931" t="str">
        <f>IFERROR(VLOOKUP($A931,原始数据_收盘!$A$4:$G$3460,7,0),"")</f>
        <v/>
      </c>
      <c r="H931">
        <f>IFERROR(VLOOKUP($A931,原始数据_利率互换_FR007_1年!$A$6:$C$4395,2,0),"")</f>
        <v>2.02</v>
      </c>
      <c r="I931">
        <f>IFERROR(VLOOKUP($A931,原始数据_利率互换_FR007_1年!$A$6:$C$4395,3,0),"")</f>
        <v>2.74</v>
      </c>
    </row>
    <row r="932" spans="1:9">
      <c r="A932" s="6">
        <v>40425</v>
      </c>
      <c r="B932" t="str">
        <f>IFERROR(VLOOKUP($A932,原始数据_收盘!$A$4:$G$3460,2,0),"")</f>
        <v/>
      </c>
      <c r="C932" t="str">
        <f>IFERROR(VLOOKUP($A932,原始数据_收盘!$A$4:$G$3460,3,0),"")</f>
        <v/>
      </c>
      <c r="D932" t="str">
        <f>IFERROR(VLOOKUP($A932,原始数据_收盘!$A$4:$G$3460,4,0),"")</f>
        <v/>
      </c>
      <c r="E932" t="str">
        <f>IFERROR(VLOOKUP($A932,原始数据_收盘!$A$4:$G$3460,5,0),"")</f>
        <v/>
      </c>
      <c r="F932" t="str">
        <f>IFERROR(VLOOKUP($A932,原始数据_收盘!$A$4:$G$3460,6,0),"")</f>
        <v/>
      </c>
      <c r="G932" t="str">
        <f>IFERROR(VLOOKUP($A932,原始数据_收盘!$A$4:$G$3460,7,0),"")</f>
        <v/>
      </c>
      <c r="H932" t="str">
        <f>IFERROR(VLOOKUP($A932,原始数据_利率互换_FR007_1年!$A$6:$C$4395,2,0),"")</f>
        <v/>
      </c>
      <c r="I932" t="str">
        <f>IFERROR(VLOOKUP($A932,原始数据_利率互换_FR007_1年!$A$6:$C$4395,3,0),"")</f>
        <v/>
      </c>
    </row>
    <row r="933" spans="1:9">
      <c r="A933" s="6">
        <v>40426</v>
      </c>
      <c r="B933" t="str">
        <f>IFERROR(VLOOKUP($A933,原始数据_收盘!$A$4:$G$3460,2,0),"")</f>
        <v/>
      </c>
      <c r="C933" t="str">
        <f>IFERROR(VLOOKUP($A933,原始数据_收盘!$A$4:$G$3460,3,0),"")</f>
        <v/>
      </c>
      <c r="D933" t="str">
        <f>IFERROR(VLOOKUP($A933,原始数据_收盘!$A$4:$G$3460,4,0),"")</f>
        <v/>
      </c>
      <c r="E933" t="str">
        <f>IFERROR(VLOOKUP($A933,原始数据_收盘!$A$4:$G$3460,5,0),"")</f>
        <v/>
      </c>
      <c r="F933" t="str">
        <f>IFERROR(VLOOKUP($A933,原始数据_收盘!$A$4:$G$3460,6,0),"")</f>
        <v/>
      </c>
      <c r="G933" t="str">
        <f>IFERROR(VLOOKUP($A933,原始数据_收盘!$A$4:$G$3460,7,0),"")</f>
        <v/>
      </c>
      <c r="H933" t="str">
        <f>IFERROR(VLOOKUP($A933,原始数据_利率互换_FR007_1年!$A$6:$C$4395,2,0),"")</f>
        <v/>
      </c>
      <c r="I933" t="str">
        <f>IFERROR(VLOOKUP($A933,原始数据_利率互换_FR007_1年!$A$6:$C$4395,3,0),"")</f>
        <v/>
      </c>
    </row>
    <row r="934" spans="1:9">
      <c r="A934" s="6">
        <v>40427</v>
      </c>
      <c r="B934" t="str">
        <f>IFERROR(VLOOKUP($A934,原始数据_收盘!$A$4:$G$3460,2,0),"")</f>
        <v/>
      </c>
      <c r="C934" t="str">
        <f>IFERROR(VLOOKUP($A934,原始数据_收盘!$A$4:$G$3460,3,0),"")</f>
        <v/>
      </c>
      <c r="D934" t="str">
        <f>IFERROR(VLOOKUP($A934,原始数据_收盘!$A$4:$G$3460,4,0),"")</f>
        <v/>
      </c>
      <c r="E934" t="str">
        <f>IFERROR(VLOOKUP($A934,原始数据_收盘!$A$4:$G$3460,5,0),"")</f>
        <v/>
      </c>
      <c r="F934" t="str">
        <f>IFERROR(VLOOKUP($A934,原始数据_收盘!$A$4:$G$3460,6,0),"")</f>
        <v/>
      </c>
      <c r="G934" t="str">
        <f>IFERROR(VLOOKUP($A934,原始数据_收盘!$A$4:$G$3460,7,0),"")</f>
        <v/>
      </c>
      <c r="H934">
        <f>IFERROR(VLOOKUP($A934,原始数据_利率互换_FR007_1年!$A$6:$C$4395,2,0),"")</f>
        <v>2.04</v>
      </c>
      <c r="I934">
        <f>IFERROR(VLOOKUP($A934,原始数据_利率互换_FR007_1年!$A$6:$C$4395,3,0),"")</f>
        <v>2.76</v>
      </c>
    </row>
    <row r="935" spans="1:9">
      <c r="A935" s="6">
        <v>40428</v>
      </c>
      <c r="B935" t="str">
        <f>IFERROR(VLOOKUP($A935,原始数据_收盘!$A$4:$G$3460,2,0),"")</f>
        <v/>
      </c>
      <c r="C935" t="str">
        <f>IFERROR(VLOOKUP($A935,原始数据_收盘!$A$4:$G$3460,3,0),"")</f>
        <v/>
      </c>
      <c r="D935" t="str">
        <f>IFERROR(VLOOKUP($A935,原始数据_收盘!$A$4:$G$3460,4,0),"")</f>
        <v/>
      </c>
      <c r="E935" t="str">
        <f>IFERROR(VLOOKUP($A935,原始数据_收盘!$A$4:$G$3460,5,0),"")</f>
        <v/>
      </c>
      <c r="F935" t="str">
        <f>IFERROR(VLOOKUP($A935,原始数据_收盘!$A$4:$G$3460,6,0),"")</f>
        <v/>
      </c>
      <c r="G935" t="str">
        <f>IFERROR(VLOOKUP($A935,原始数据_收盘!$A$4:$G$3460,7,0),"")</f>
        <v/>
      </c>
      <c r="H935">
        <f>IFERROR(VLOOKUP($A935,原始数据_利率互换_FR007_1年!$A$6:$C$4395,2,0),"")</f>
        <v>0</v>
      </c>
      <c r="I935">
        <f>IFERROR(VLOOKUP($A935,原始数据_利率互换_FR007_1年!$A$6:$C$4395,3,0),"")</f>
        <v>2.75</v>
      </c>
    </row>
    <row r="936" spans="1:9">
      <c r="A936" s="6">
        <v>40429</v>
      </c>
      <c r="B936" t="str">
        <f>IFERROR(VLOOKUP($A936,原始数据_收盘!$A$4:$G$3460,2,0),"")</f>
        <v/>
      </c>
      <c r="C936" t="str">
        <f>IFERROR(VLOOKUP($A936,原始数据_收盘!$A$4:$G$3460,3,0),"")</f>
        <v/>
      </c>
      <c r="D936" t="str">
        <f>IFERROR(VLOOKUP($A936,原始数据_收盘!$A$4:$G$3460,4,0),"")</f>
        <v/>
      </c>
      <c r="E936" t="str">
        <f>IFERROR(VLOOKUP($A936,原始数据_收盘!$A$4:$G$3460,5,0),"")</f>
        <v/>
      </c>
      <c r="F936" t="str">
        <f>IFERROR(VLOOKUP($A936,原始数据_收盘!$A$4:$G$3460,6,0),"")</f>
        <v/>
      </c>
      <c r="G936" t="str">
        <f>IFERROR(VLOOKUP($A936,原始数据_收盘!$A$4:$G$3460,7,0),"")</f>
        <v/>
      </c>
      <c r="H936">
        <f>IFERROR(VLOOKUP($A936,原始数据_利率互换_FR007_1年!$A$6:$C$4395,2,0),"")</f>
        <v>2.05</v>
      </c>
      <c r="I936">
        <f>IFERROR(VLOOKUP($A936,原始数据_利率互换_FR007_1年!$A$6:$C$4395,3,0),"")</f>
        <v>2.74</v>
      </c>
    </row>
    <row r="937" spans="1:9">
      <c r="A937" s="6">
        <v>40430</v>
      </c>
      <c r="B937" t="str">
        <f>IFERROR(VLOOKUP($A937,原始数据_收盘!$A$4:$G$3460,2,0),"")</f>
        <v/>
      </c>
      <c r="C937" t="str">
        <f>IFERROR(VLOOKUP($A937,原始数据_收盘!$A$4:$G$3460,3,0),"")</f>
        <v/>
      </c>
      <c r="D937" t="str">
        <f>IFERROR(VLOOKUP($A937,原始数据_收盘!$A$4:$G$3460,4,0),"")</f>
        <v/>
      </c>
      <c r="E937" t="str">
        <f>IFERROR(VLOOKUP($A937,原始数据_收盘!$A$4:$G$3460,5,0),"")</f>
        <v/>
      </c>
      <c r="F937" t="str">
        <f>IFERROR(VLOOKUP($A937,原始数据_收盘!$A$4:$G$3460,6,0),"")</f>
        <v/>
      </c>
      <c r="G937" t="str">
        <f>IFERROR(VLOOKUP($A937,原始数据_收盘!$A$4:$G$3460,7,0),"")</f>
        <v/>
      </c>
      <c r="H937">
        <f>IFERROR(VLOOKUP($A937,原始数据_利率互换_FR007_1年!$A$6:$C$4395,2,0),"")</f>
        <v>2.07</v>
      </c>
      <c r="I937">
        <f>IFERROR(VLOOKUP($A937,原始数据_利率互换_FR007_1年!$A$6:$C$4395,3,0),"")</f>
        <v>2.76</v>
      </c>
    </row>
    <row r="938" spans="1:9">
      <c r="A938" s="6">
        <v>40431</v>
      </c>
      <c r="B938" t="str">
        <f>IFERROR(VLOOKUP($A938,原始数据_收盘!$A$4:$G$3460,2,0),"")</f>
        <v/>
      </c>
      <c r="C938" t="str">
        <f>IFERROR(VLOOKUP($A938,原始数据_收盘!$A$4:$G$3460,3,0),"")</f>
        <v/>
      </c>
      <c r="D938" t="str">
        <f>IFERROR(VLOOKUP($A938,原始数据_收盘!$A$4:$G$3460,4,0),"")</f>
        <v/>
      </c>
      <c r="E938" t="str">
        <f>IFERROR(VLOOKUP($A938,原始数据_收盘!$A$4:$G$3460,5,0),"")</f>
        <v/>
      </c>
      <c r="F938" t="str">
        <f>IFERROR(VLOOKUP($A938,原始数据_收盘!$A$4:$G$3460,6,0),"")</f>
        <v/>
      </c>
      <c r="G938" t="str">
        <f>IFERROR(VLOOKUP($A938,原始数据_收盘!$A$4:$G$3460,7,0),"")</f>
        <v/>
      </c>
      <c r="H938">
        <f>IFERROR(VLOOKUP($A938,原始数据_利率互换_FR007_1年!$A$6:$C$4395,2,0),"")</f>
        <v>2.09</v>
      </c>
      <c r="I938">
        <f>IFERROR(VLOOKUP($A938,原始数据_利率互换_FR007_1年!$A$6:$C$4395,3,0),"")</f>
        <v>2.8</v>
      </c>
    </row>
    <row r="939" spans="1:9">
      <c r="A939" s="6">
        <v>40432</v>
      </c>
      <c r="B939" t="str">
        <f>IFERROR(VLOOKUP($A939,原始数据_收盘!$A$4:$G$3460,2,0),"")</f>
        <v/>
      </c>
      <c r="C939" t="str">
        <f>IFERROR(VLOOKUP($A939,原始数据_收盘!$A$4:$G$3460,3,0),"")</f>
        <v/>
      </c>
      <c r="D939" t="str">
        <f>IFERROR(VLOOKUP($A939,原始数据_收盘!$A$4:$G$3460,4,0),"")</f>
        <v/>
      </c>
      <c r="E939" t="str">
        <f>IFERROR(VLOOKUP($A939,原始数据_收盘!$A$4:$G$3460,5,0),"")</f>
        <v/>
      </c>
      <c r="F939" t="str">
        <f>IFERROR(VLOOKUP($A939,原始数据_收盘!$A$4:$G$3460,6,0),"")</f>
        <v/>
      </c>
      <c r="G939" t="str">
        <f>IFERROR(VLOOKUP($A939,原始数据_收盘!$A$4:$G$3460,7,0),"")</f>
        <v/>
      </c>
      <c r="H939" t="str">
        <f>IFERROR(VLOOKUP($A939,原始数据_利率互换_FR007_1年!$A$6:$C$4395,2,0),"")</f>
        <v/>
      </c>
      <c r="I939" t="str">
        <f>IFERROR(VLOOKUP($A939,原始数据_利率互换_FR007_1年!$A$6:$C$4395,3,0),"")</f>
        <v/>
      </c>
    </row>
    <row r="940" spans="1:9">
      <c r="A940" s="6">
        <v>40433</v>
      </c>
      <c r="B940" t="str">
        <f>IFERROR(VLOOKUP($A940,原始数据_收盘!$A$4:$G$3460,2,0),"")</f>
        <v/>
      </c>
      <c r="C940" t="str">
        <f>IFERROR(VLOOKUP($A940,原始数据_收盘!$A$4:$G$3460,3,0),"")</f>
        <v/>
      </c>
      <c r="D940" t="str">
        <f>IFERROR(VLOOKUP($A940,原始数据_收盘!$A$4:$G$3460,4,0),"")</f>
        <v/>
      </c>
      <c r="E940" t="str">
        <f>IFERROR(VLOOKUP($A940,原始数据_收盘!$A$4:$G$3460,5,0),"")</f>
        <v/>
      </c>
      <c r="F940" t="str">
        <f>IFERROR(VLOOKUP($A940,原始数据_收盘!$A$4:$G$3460,6,0),"")</f>
        <v/>
      </c>
      <c r="G940" t="str">
        <f>IFERROR(VLOOKUP($A940,原始数据_收盘!$A$4:$G$3460,7,0),"")</f>
        <v/>
      </c>
      <c r="H940" t="str">
        <f>IFERROR(VLOOKUP($A940,原始数据_利率互换_FR007_1年!$A$6:$C$4395,2,0),"")</f>
        <v/>
      </c>
      <c r="I940" t="str">
        <f>IFERROR(VLOOKUP($A940,原始数据_利率互换_FR007_1年!$A$6:$C$4395,3,0),"")</f>
        <v/>
      </c>
    </row>
    <row r="941" spans="1:9">
      <c r="A941" s="6">
        <v>40434</v>
      </c>
      <c r="B941" t="str">
        <f>IFERROR(VLOOKUP($A941,原始数据_收盘!$A$4:$G$3460,2,0),"")</f>
        <v/>
      </c>
      <c r="C941" t="str">
        <f>IFERROR(VLOOKUP($A941,原始数据_收盘!$A$4:$G$3460,3,0),"")</f>
        <v/>
      </c>
      <c r="D941" t="str">
        <f>IFERROR(VLOOKUP($A941,原始数据_收盘!$A$4:$G$3460,4,0),"")</f>
        <v/>
      </c>
      <c r="E941" t="str">
        <f>IFERROR(VLOOKUP($A941,原始数据_收盘!$A$4:$G$3460,5,0),"")</f>
        <v/>
      </c>
      <c r="F941" t="str">
        <f>IFERROR(VLOOKUP($A941,原始数据_收盘!$A$4:$G$3460,6,0),"")</f>
        <v/>
      </c>
      <c r="G941" t="str">
        <f>IFERROR(VLOOKUP($A941,原始数据_收盘!$A$4:$G$3460,7,0),"")</f>
        <v/>
      </c>
      <c r="H941">
        <f>IFERROR(VLOOKUP($A941,原始数据_利率互换_FR007_1年!$A$6:$C$4395,2,0),"")</f>
        <v>2.16</v>
      </c>
      <c r="I941">
        <f>IFERROR(VLOOKUP($A941,原始数据_利率互换_FR007_1年!$A$6:$C$4395,3,0),"")</f>
        <v>2.85</v>
      </c>
    </row>
    <row r="942" spans="1:9">
      <c r="A942" s="6">
        <v>40435</v>
      </c>
      <c r="B942" t="str">
        <f>IFERROR(VLOOKUP($A942,原始数据_收盘!$A$4:$G$3460,2,0),"")</f>
        <v/>
      </c>
      <c r="C942" t="str">
        <f>IFERROR(VLOOKUP($A942,原始数据_收盘!$A$4:$G$3460,3,0),"")</f>
        <v/>
      </c>
      <c r="D942" t="str">
        <f>IFERROR(VLOOKUP($A942,原始数据_收盘!$A$4:$G$3460,4,0),"")</f>
        <v/>
      </c>
      <c r="E942" t="str">
        <f>IFERROR(VLOOKUP($A942,原始数据_收盘!$A$4:$G$3460,5,0),"")</f>
        <v/>
      </c>
      <c r="F942" t="str">
        <f>IFERROR(VLOOKUP($A942,原始数据_收盘!$A$4:$G$3460,6,0),"")</f>
        <v/>
      </c>
      <c r="G942" t="str">
        <f>IFERROR(VLOOKUP($A942,原始数据_收盘!$A$4:$G$3460,7,0),"")</f>
        <v/>
      </c>
      <c r="H942">
        <f>IFERROR(VLOOKUP($A942,原始数据_利率互换_FR007_1年!$A$6:$C$4395,2,0),"")</f>
        <v>2.16</v>
      </c>
      <c r="I942">
        <f>IFERROR(VLOOKUP($A942,原始数据_利率互换_FR007_1年!$A$6:$C$4395,3,0),"")</f>
        <v>2.86</v>
      </c>
    </row>
    <row r="943" spans="1:9">
      <c r="A943" s="6">
        <v>40436</v>
      </c>
      <c r="B943" t="str">
        <f>IFERROR(VLOOKUP($A943,原始数据_收盘!$A$4:$G$3460,2,0),"")</f>
        <v/>
      </c>
      <c r="C943" t="str">
        <f>IFERROR(VLOOKUP($A943,原始数据_收盘!$A$4:$G$3460,3,0),"")</f>
        <v/>
      </c>
      <c r="D943" t="str">
        <f>IFERROR(VLOOKUP($A943,原始数据_收盘!$A$4:$G$3460,4,0),"")</f>
        <v/>
      </c>
      <c r="E943" t="str">
        <f>IFERROR(VLOOKUP($A943,原始数据_收盘!$A$4:$G$3460,5,0),"")</f>
        <v/>
      </c>
      <c r="F943" t="str">
        <f>IFERROR(VLOOKUP($A943,原始数据_收盘!$A$4:$G$3460,6,0),"")</f>
        <v/>
      </c>
      <c r="G943" t="str">
        <f>IFERROR(VLOOKUP($A943,原始数据_收盘!$A$4:$G$3460,7,0),"")</f>
        <v/>
      </c>
      <c r="H943" t="str">
        <f>IFERROR(VLOOKUP($A943,原始数据_利率互换_FR007_1年!$A$6:$C$4395,2,0),"")</f>
        <v/>
      </c>
      <c r="I943" t="str">
        <f>IFERROR(VLOOKUP($A943,原始数据_利率互换_FR007_1年!$A$6:$C$4395,3,0),"")</f>
        <v/>
      </c>
    </row>
    <row r="944" spans="1:9">
      <c r="A944" s="6">
        <v>40437</v>
      </c>
      <c r="B944" t="str">
        <f>IFERROR(VLOOKUP($A944,原始数据_收盘!$A$4:$G$3460,2,0),"")</f>
        <v/>
      </c>
      <c r="C944" t="str">
        <f>IFERROR(VLOOKUP($A944,原始数据_收盘!$A$4:$G$3460,3,0),"")</f>
        <v/>
      </c>
      <c r="D944" t="str">
        <f>IFERROR(VLOOKUP($A944,原始数据_收盘!$A$4:$G$3460,4,0),"")</f>
        <v/>
      </c>
      <c r="E944" t="str">
        <f>IFERROR(VLOOKUP($A944,原始数据_收盘!$A$4:$G$3460,5,0),"")</f>
        <v/>
      </c>
      <c r="F944" t="str">
        <f>IFERROR(VLOOKUP($A944,原始数据_收盘!$A$4:$G$3460,6,0),"")</f>
        <v/>
      </c>
      <c r="G944" t="str">
        <f>IFERROR(VLOOKUP($A944,原始数据_收盘!$A$4:$G$3460,7,0),"")</f>
        <v/>
      </c>
      <c r="H944">
        <f>IFERROR(VLOOKUP($A944,原始数据_利率互换_FR007_1年!$A$6:$C$4395,2,0),"")</f>
        <v>2.22</v>
      </c>
      <c r="I944">
        <f>IFERROR(VLOOKUP($A944,原始数据_利率互换_FR007_1年!$A$6:$C$4395,3,0),"")</f>
        <v>2.8942</v>
      </c>
    </row>
    <row r="945" spans="1:9">
      <c r="A945" s="6">
        <v>40438</v>
      </c>
      <c r="B945" t="str">
        <f>IFERROR(VLOOKUP($A945,原始数据_收盘!$A$4:$G$3460,2,0),"")</f>
        <v/>
      </c>
      <c r="C945" t="str">
        <f>IFERROR(VLOOKUP($A945,原始数据_收盘!$A$4:$G$3460,3,0),"")</f>
        <v/>
      </c>
      <c r="D945" t="str">
        <f>IFERROR(VLOOKUP($A945,原始数据_收盘!$A$4:$G$3460,4,0),"")</f>
        <v/>
      </c>
      <c r="E945" t="str">
        <f>IFERROR(VLOOKUP($A945,原始数据_收盘!$A$4:$G$3460,5,0),"")</f>
        <v/>
      </c>
      <c r="F945" t="str">
        <f>IFERROR(VLOOKUP($A945,原始数据_收盘!$A$4:$G$3460,6,0),"")</f>
        <v/>
      </c>
      <c r="G945" t="str">
        <f>IFERROR(VLOOKUP($A945,原始数据_收盘!$A$4:$G$3460,7,0),"")</f>
        <v/>
      </c>
      <c r="H945">
        <f>IFERROR(VLOOKUP($A945,原始数据_利率互换_FR007_1年!$A$6:$C$4395,2,0),"")</f>
        <v>2.2028</v>
      </c>
      <c r="I945">
        <f>IFERROR(VLOOKUP($A945,原始数据_利率互换_FR007_1年!$A$6:$C$4395,3,0),"")</f>
        <v>2.9679</v>
      </c>
    </row>
    <row r="946" spans="1:9">
      <c r="A946" s="6">
        <v>40439</v>
      </c>
      <c r="B946" t="str">
        <f>IFERROR(VLOOKUP($A946,原始数据_收盘!$A$4:$G$3460,2,0),"")</f>
        <v/>
      </c>
      <c r="C946" t="str">
        <f>IFERROR(VLOOKUP($A946,原始数据_收盘!$A$4:$G$3460,3,0),"")</f>
        <v/>
      </c>
      <c r="D946" t="str">
        <f>IFERROR(VLOOKUP($A946,原始数据_收盘!$A$4:$G$3460,4,0),"")</f>
        <v/>
      </c>
      <c r="E946" t="str">
        <f>IFERROR(VLOOKUP($A946,原始数据_收盘!$A$4:$G$3460,5,0),"")</f>
        <v/>
      </c>
      <c r="F946" t="str">
        <f>IFERROR(VLOOKUP($A946,原始数据_收盘!$A$4:$G$3460,6,0),"")</f>
        <v/>
      </c>
      <c r="G946" t="str">
        <f>IFERROR(VLOOKUP($A946,原始数据_收盘!$A$4:$G$3460,7,0),"")</f>
        <v/>
      </c>
      <c r="H946" t="str">
        <f>IFERROR(VLOOKUP($A946,原始数据_利率互换_FR007_1年!$A$6:$C$4395,2,0),"")</f>
        <v/>
      </c>
      <c r="I946" t="str">
        <f>IFERROR(VLOOKUP($A946,原始数据_利率互换_FR007_1年!$A$6:$C$4395,3,0),"")</f>
        <v/>
      </c>
    </row>
    <row r="947" spans="1:9">
      <c r="A947" s="6">
        <v>40440</v>
      </c>
      <c r="B947" t="str">
        <f>IFERROR(VLOOKUP($A947,原始数据_收盘!$A$4:$G$3460,2,0),"")</f>
        <v/>
      </c>
      <c r="C947" t="str">
        <f>IFERROR(VLOOKUP($A947,原始数据_收盘!$A$4:$G$3460,3,0),"")</f>
        <v/>
      </c>
      <c r="D947" t="str">
        <f>IFERROR(VLOOKUP($A947,原始数据_收盘!$A$4:$G$3460,4,0),"")</f>
        <v/>
      </c>
      <c r="E947" t="str">
        <f>IFERROR(VLOOKUP($A947,原始数据_收盘!$A$4:$G$3460,5,0),"")</f>
        <v/>
      </c>
      <c r="F947" t="str">
        <f>IFERROR(VLOOKUP($A947,原始数据_收盘!$A$4:$G$3460,6,0),"")</f>
        <v/>
      </c>
      <c r="G947" t="str">
        <f>IFERROR(VLOOKUP($A947,原始数据_收盘!$A$4:$G$3460,7,0),"")</f>
        <v/>
      </c>
      <c r="H947">
        <f>IFERROR(VLOOKUP($A947,原始数据_利率互换_FR007_1年!$A$6:$C$4395,2,0),"")</f>
        <v>0</v>
      </c>
      <c r="I947">
        <f>IFERROR(VLOOKUP($A947,原始数据_利率互换_FR007_1年!$A$6:$C$4395,3,0),"")</f>
        <v>2.96</v>
      </c>
    </row>
    <row r="948" spans="1:9">
      <c r="A948" s="6">
        <v>40441</v>
      </c>
      <c r="B948" t="str">
        <f>IFERROR(VLOOKUP($A948,原始数据_收盘!$A$4:$G$3460,2,0),"")</f>
        <v/>
      </c>
      <c r="C948" t="str">
        <f>IFERROR(VLOOKUP($A948,原始数据_收盘!$A$4:$G$3460,3,0),"")</f>
        <v/>
      </c>
      <c r="D948" t="str">
        <f>IFERROR(VLOOKUP($A948,原始数据_收盘!$A$4:$G$3460,4,0),"")</f>
        <v/>
      </c>
      <c r="E948" t="str">
        <f>IFERROR(VLOOKUP($A948,原始数据_收盘!$A$4:$G$3460,5,0),"")</f>
        <v/>
      </c>
      <c r="F948" t="str">
        <f>IFERROR(VLOOKUP($A948,原始数据_收盘!$A$4:$G$3460,6,0),"")</f>
        <v/>
      </c>
      <c r="G948" t="str">
        <f>IFERROR(VLOOKUP($A948,原始数据_收盘!$A$4:$G$3460,7,0),"")</f>
        <v/>
      </c>
      <c r="H948">
        <f>IFERROR(VLOOKUP($A948,原始数据_利率互换_FR007_1年!$A$6:$C$4395,2,0),"")</f>
        <v>2.19</v>
      </c>
      <c r="I948">
        <f>IFERROR(VLOOKUP($A948,原始数据_利率互换_FR007_1年!$A$6:$C$4395,3,0),"")</f>
        <v>2.9991</v>
      </c>
    </row>
    <row r="949" spans="1:9">
      <c r="A949" s="6">
        <v>40442</v>
      </c>
      <c r="B949" t="str">
        <f>IFERROR(VLOOKUP($A949,原始数据_收盘!$A$4:$G$3460,2,0),"")</f>
        <v/>
      </c>
      <c r="C949" t="str">
        <f>IFERROR(VLOOKUP($A949,原始数据_收盘!$A$4:$G$3460,3,0),"")</f>
        <v/>
      </c>
      <c r="D949" t="str">
        <f>IFERROR(VLOOKUP($A949,原始数据_收盘!$A$4:$G$3460,4,0),"")</f>
        <v/>
      </c>
      <c r="E949" t="str">
        <f>IFERROR(VLOOKUP($A949,原始数据_收盘!$A$4:$G$3460,5,0),"")</f>
        <v/>
      </c>
      <c r="F949" t="str">
        <f>IFERROR(VLOOKUP($A949,原始数据_收盘!$A$4:$G$3460,6,0),"")</f>
        <v/>
      </c>
      <c r="G949" t="str">
        <f>IFERROR(VLOOKUP($A949,原始数据_收盘!$A$4:$G$3460,7,0),"")</f>
        <v/>
      </c>
      <c r="H949">
        <f>IFERROR(VLOOKUP($A949,原始数据_利率互换_FR007_1年!$A$6:$C$4395,2,0),"")</f>
        <v>0</v>
      </c>
      <c r="I949">
        <f>IFERROR(VLOOKUP($A949,原始数据_利率互换_FR007_1年!$A$6:$C$4395,3,0),"")</f>
        <v>2.9786</v>
      </c>
    </row>
    <row r="950" spans="1:9">
      <c r="A950" s="6">
        <v>40443</v>
      </c>
      <c r="B950" t="str">
        <f>IFERROR(VLOOKUP($A950,原始数据_收盘!$A$4:$G$3460,2,0),"")</f>
        <v/>
      </c>
      <c r="C950" t="str">
        <f>IFERROR(VLOOKUP($A950,原始数据_收盘!$A$4:$G$3460,3,0),"")</f>
        <v/>
      </c>
      <c r="D950" t="str">
        <f>IFERROR(VLOOKUP($A950,原始数据_收盘!$A$4:$G$3460,4,0),"")</f>
        <v/>
      </c>
      <c r="E950" t="str">
        <f>IFERROR(VLOOKUP($A950,原始数据_收盘!$A$4:$G$3460,5,0),"")</f>
        <v/>
      </c>
      <c r="F950" t="str">
        <f>IFERROR(VLOOKUP($A950,原始数据_收盘!$A$4:$G$3460,6,0),"")</f>
        <v/>
      </c>
      <c r="G950" t="str">
        <f>IFERROR(VLOOKUP($A950,原始数据_收盘!$A$4:$G$3460,7,0),"")</f>
        <v/>
      </c>
      <c r="H950" t="str">
        <f>IFERROR(VLOOKUP($A950,原始数据_利率互换_FR007_1年!$A$6:$C$4395,2,0),"")</f>
        <v/>
      </c>
      <c r="I950" t="str">
        <f>IFERROR(VLOOKUP($A950,原始数据_利率互换_FR007_1年!$A$6:$C$4395,3,0),"")</f>
        <v/>
      </c>
    </row>
    <row r="951" spans="1:9">
      <c r="A951" s="6">
        <v>40444</v>
      </c>
      <c r="B951" t="str">
        <f>IFERROR(VLOOKUP($A951,原始数据_收盘!$A$4:$G$3460,2,0),"")</f>
        <v/>
      </c>
      <c r="C951" t="str">
        <f>IFERROR(VLOOKUP($A951,原始数据_收盘!$A$4:$G$3460,3,0),"")</f>
        <v/>
      </c>
      <c r="D951" t="str">
        <f>IFERROR(VLOOKUP($A951,原始数据_收盘!$A$4:$G$3460,4,0),"")</f>
        <v/>
      </c>
      <c r="E951" t="str">
        <f>IFERROR(VLOOKUP($A951,原始数据_收盘!$A$4:$G$3460,5,0),"")</f>
        <v/>
      </c>
      <c r="F951" t="str">
        <f>IFERROR(VLOOKUP($A951,原始数据_收盘!$A$4:$G$3460,6,0),"")</f>
        <v/>
      </c>
      <c r="G951" t="str">
        <f>IFERROR(VLOOKUP($A951,原始数据_收盘!$A$4:$G$3460,7,0),"")</f>
        <v/>
      </c>
      <c r="H951" t="str">
        <f>IFERROR(VLOOKUP($A951,原始数据_利率互换_FR007_1年!$A$6:$C$4395,2,0),"")</f>
        <v/>
      </c>
      <c r="I951" t="str">
        <f>IFERROR(VLOOKUP($A951,原始数据_利率互换_FR007_1年!$A$6:$C$4395,3,0),"")</f>
        <v/>
      </c>
    </row>
    <row r="952" spans="1:9">
      <c r="A952" s="6">
        <v>40445</v>
      </c>
      <c r="B952" t="str">
        <f>IFERROR(VLOOKUP($A952,原始数据_收盘!$A$4:$G$3460,2,0),"")</f>
        <v/>
      </c>
      <c r="C952" t="str">
        <f>IFERROR(VLOOKUP($A952,原始数据_收盘!$A$4:$G$3460,3,0),"")</f>
        <v/>
      </c>
      <c r="D952" t="str">
        <f>IFERROR(VLOOKUP($A952,原始数据_收盘!$A$4:$G$3460,4,0),"")</f>
        <v/>
      </c>
      <c r="E952" t="str">
        <f>IFERROR(VLOOKUP($A952,原始数据_收盘!$A$4:$G$3460,5,0),"")</f>
        <v/>
      </c>
      <c r="F952" t="str">
        <f>IFERROR(VLOOKUP($A952,原始数据_收盘!$A$4:$G$3460,6,0),"")</f>
        <v/>
      </c>
      <c r="G952" t="str">
        <f>IFERROR(VLOOKUP($A952,原始数据_收盘!$A$4:$G$3460,7,0),"")</f>
        <v/>
      </c>
      <c r="H952" t="str">
        <f>IFERROR(VLOOKUP($A952,原始数据_利率互换_FR007_1年!$A$6:$C$4395,2,0),"")</f>
        <v/>
      </c>
      <c r="I952" t="str">
        <f>IFERROR(VLOOKUP($A952,原始数据_利率互换_FR007_1年!$A$6:$C$4395,3,0),"")</f>
        <v/>
      </c>
    </row>
    <row r="953" spans="1:9">
      <c r="A953" s="6">
        <v>40446</v>
      </c>
      <c r="B953" t="str">
        <f>IFERROR(VLOOKUP($A953,原始数据_收盘!$A$4:$G$3460,2,0),"")</f>
        <v/>
      </c>
      <c r="C953" t="str">
        <f>IFERROR(VLOOKUP($A953,原始数据_收盘!$A$4:$G$3460,3,0),"")</f>
        <v/>
      </c>
      <c r="D953" t="str">
        <f>IFERROR(VLOOKUP($A953,原始数据_收盘!$A$4:$G$3460,4,0),"")</f>
        <v/>
      </c>
      <c r="E953" t="str">
        <f>IFERROR(VLOOKUP($A953,原始数据_收盘!$A$4:$G$3460,5,0),"")</f>
        <v/>
      </c>
      <c r="F953" t="str">
        <f>IFERROR(VLOOKUP($A953,原始数据_收盘!$A$4:$G$3460,6,0),"")</f>
        <v/>
      </c>
      <c r="G953" t="str">
        <f>IFERROR(VLOOKUP($A953,原始数据_收盘!$A$4:$G$3460,7,0),"")</f>
        <v/>
      </c>
      <c r="H953">
        <f>IFERROR(VLOOKUP($A953,原始数据_利率互换_FR007_1年!$A$6:$C$4395,2,0),"")</f>
        <v>0</v>
      </c>
      <c r="I953">
        <f>IFERROR(VLOOKUP($A953,原始数据_利率互换_FR007_1年!$A$6:$C$4395,3,0),"")</f>
        <v>2.955</v>
      </c>
    </row>
    <row r="954" spans="1:9">
      <c r="A954" s="6">
        <v>40447</v>
      </c>
      <c r="B954" t="str">
        <f>IFERROR(VLOOKUP($A954,原始数据_收盘!$A$4:$G$3460,2,0),"")</f>
        <v/>
      </c>
      <c r="C954" t="str">
        <f>IFERROR(VLOOKUP($A954,原始数据_收盘!$A$4:$G$3460,3,0),"")</f>
        <v/>
      </c>
      <c r="D954" t="str">
        <f>IFERROR(VLOOKUP($A954,原始数据_收盘!$A$4:$G$3460,4,0),"")</f>
        <v/>
      </c>
      <c r="E954" t="str">
        <f>IFERROR(VLOOKUP($A954,原始数据_收盘!$A$4:$G$3460,5,0),"")</f>
        <v/>
      </c>
      <c r="F954" t="str">
        <f>IFERROR(VLOOKUP($A954,原始数据_收盘!$A$4:$G$3460,6,0),"")</f>
        <v/>
      </c>
      <c r="G954" t="str">
        <f>IFERROR(VLOOKUP($A954,原始数据_收盘!$A$4:$G$3460,7,0),"")</f>
        <v/>
      </c>
      <c r="H954" t="str">
        <f>IFERROR(VLOOKUP($A954,原始数据_利率互换_FR007_1年!$A$6:$C$4395,2,0),"")</f>
        <v/>
      </c>
      <c r="I954" t="str">
        <f>IFERROR(VLOOKUP($A954,原始数据_利率互换_FR007_1年!$A$6:$C$4395,3,0),"")</f>
        <v/>
      </c>
    </row>
    <row r="955" spans="1:9">
      <c r="A955" s="6">
        <v>40448</v>
      </c>
      <c r="B955" t="str">
        <f>IFERROR(VLOOKUP($A955,原始数据_收盘!$A$4:$G$3460,2,0),"")</f>
        <v/>
      </c>
      <c r="C955" t="str">
        <f>IFERROR(VLOOKUP($A955,原始数据_收盘!$A$4:$G$3460,3,0),"")</f>
        <v/>
      </c>
      <c r="D955" t="str">
        <f>IFERROR(VLOOKUP($A955,原始数据_收盘!$A$4:$G$3460,4,0),"")</f>
        <v/>
      </c>
      <c r="E955" t="str">
        <f>IFERROR(VLOOKUP($A955,原始数据_收盘!$A$4:$G$3460,5,0),"")</f>
        <v/>
      </c>
      <c r="F955" t="str">
        <f>IFERROR(VLOOKUP($A955,原始数据_收盘!$A$4:$G$3460,6,0),"")</f>
        <v/>
      </c>
      <c r="G955" t="str">
        <f>IFERROR(VLOOKUP($A955,原始数据_收盘!$A$4:$G$3460,7,0),"")</f>
        <v/>
      </c>
      <c r="H955">
        <f>IFERROR(VLOOKUP($A955,原始数据_利率互换_FR007_1年!$A$6:$C$4395,2,0),"")</f>
        <v>0</v>
      </c>
      <c r="I955">
        <f>IFERROR(VLOOKUP($A955,原始数据_利率互换_FR007_1年!$A$6:$C$4395,3,0),"")</f>
        <v>2.9567</v>
      </c>
    </row>
    <row r="956" spans="1:9">
      <c r="A956" s="6">
        <v>40449</v>
      </c>
      <c r="B956" t="str">
        <f>IFERROR(VLOOKUP($A956,原始数据_收盘!$A$4:$G$3460,2,0),"")</f>
        <v/>
      </c>
      <c r="C956" t="str">
        <f>IFERROR(VLOOKUP($A956,原始数据_收盘!$A$4:$G$3460,3,0),"")</f>
        <v/>
      </c>
      <c r="D956" t="str">
        <f>IFERROR(VLOOKUP($A956,原始数据_收盘!$A$4:$G$3460,4,0),"")</f>
        <v/>
      </c>
      <c r="E956" t="str">
        <f>IFERROR(VLOOKUP($A956,原始数据_收盘!$A$4:$G$3460,5,0),"")</f>
        <v/>
      </c>
      <c r="F956" t="str">
        <f>IFERROR(VLOOKUP($A956,原始数据_收盘!$A$4:$G$3460,6,0),"")</f>
        <v/>
      </c>
      <c r="G956" t="str">
        <f>IFERROR(VLOOKUP($A956,原始数据_收盘!$A$4:$G$3460,7,0),"")</f>
        <v/>
      </c>
      <c r="H956">
        <f>IFERROR(VLOOKUP($A956,原始数据_利率互换_FR007_1年!$A$6:$C$4395,2,0),"")</f>
        <v>2.16</v>
      </c>
      <c r="I956">
        <f>IFERROR(VLOOKUP($A956,原始数据_利率互换_FR007_1年!$A$6:$C$4395,3,0),"")</f>
        <v>2.9132</v>
      </c>
    </row>
    <row r="957" spans="1:9">
      <c r="A957" s="6">
        <v>40450</v>
      </c>
      <c r="B957" t="str">
        <f>IFERROR(VLOOKUP($A957,原始数据_收盘!$A$4:$G$3460,2,0),"")</f>
        <v/>
      </c>
      <c r="C957" t="str">
        <f>IFERROR(VLOOKUP($A957,原始数据_收盘!$A$4:$G$3460,3,0),"")</f>
        <v/>
      </c>
      <c r="D957" t="str">
        <f>IFERROR(VLOOKUP($A957,原始数据_收盘!$A$4:$G$3460,4,0),"")</f>
        <v/>
      </c>
      <c r="E957" t="str">
        <f>IFERROR(VLOOKUP($A957,原始数据_收盘!$A$4:$G$3460,5,0),"")</f>
        <v/>
      </c>
      <c r="F957" t="str">
        <f>IFERROR(VLOOKUP($A957,原始数据_收盘!$A$4:$G$3460,6,0),"")</f>
        <v/>
      </c>
      <c r="G957" t="str">
        <f>IFERROR(VLOOKUP($A957,原始数据_收盘!$A$4:$G$3460,7,0),"")</f>
        <v/>
      </c>
      <c r="H957">
        <f>IFERROR(VLOOKUP($A957,原始数据_利率互换_FR007_1年!$A$6:$C$4395,2,0),"")</f>
        <v>2.182</v>
      </c>
      <c r="I957">
        <f>IFERROR(VLOOKUP($A957,原始数据_利率互换_FR007_1年!$A$6:$C$4395,3,0),"")</f>
        <v>2.9056</v>
      </c>
    </row>
    <row r="958" spans="1:9">
      <c r="A958" s="6">
        <v>40451</v>
      </c>
      <c r="B958" t="str">
        <f>IFERROR(VLOOKUP($A958,原始数据_收盘!$A$4:$G$3460,2,0),"")</f>
        <v/>
      </c>
      <c r="C958" t="str">
        <f>IFERROR(VLOOKUP($A958,原始数据_收盘!$A$4:$G$3460,3,0),"")</f>
        <v/>
      </c>
      <c r="D958" t="str">
        <f>IFERROR(VLOOKUP($A958,原始数据_收盘!$A$4:$G$3460,4,0),"")</f>
        <v/>
      </c>
      <c r="E958" t="str">
        <f>IFERROR(VLOOKUP($A958,原始数据_收盘!$A$4:$G$3460,5,0),"")</f>
        <v/>
      </c>
      <c r="F958" t="str">
        <f>IFERROR(VLOOKUP($A958,原始数据_收盘!$A$4:$G$3460,6,0),"")</f>
        <v/>
      </c>
      <c r="G958" t="str">
        <f>IFERROR(VLOOKUP($A958,原始数据_收盘!$A$4:$G$3460,7,0),"")</f>
        <v/>
      </c>
      <c r="H958">
        <f>IFERROR(VLOOKUP($A958,原始数据_利率互换_FR007_1年!$A$6:$C$4395,2,0),"")</f>
        <v>2.1678</v>
      </c>
      <c r="I958">
        <f>IFERROR(VLOOKUP($A958,原始数据_利率互换_FR007_1年!$A$6:$C$4395,3,0),"")</f>
        <v>2.8969</v>
      </c>
    </row>
    <row r="959" spans="1:9">
      <c r="A959" s="6">
        <v>40452</v>
      </c>
      <c r="B959" t="str">
        <f>IFERROR(VLOOKUP($A959,原始数据_收盘!$A$4:$G$3460,2,0),"")</f>
        <v/>
      </c>
      <c r="C959" t="str">
        <f>IFERROR(VLOOKUP($A959,原始数据_收盘!$A$4:$G$3460,3,0),"")</f>
        <v/>
      </c>
      <c r="D959" t="str">
        <f>IFERROR(VLOOKUP($A959,原始数据_收盘!$A$4:$G$3460,4,0),"")</f>
        <v/>
      </c>
      <c r="E959" t="str">
        <f>IFERROR(VLOOKUP($A959,原始数据_收盘!$A$4:$G$3460,5,0),"")</f>
        <v/>
      </c>
      <c r="F959" t="str">
        <f>IFERROR(VLOOKUP($A959,原始数据_收盘!$A$4:$G$3460,6,0),"")</f>
        <v/>
      </c>
      <c r="G959" t="str">
        <f>IFERROR(VLOOKUP($A959,原始数据_收盘!$A$4:$G$3460,7,0),"")</f>
        <v/>
      </c>
      <c r="H959" t="str">
        <f>IFERROR(VLOOKUP($A959,原始数据_利率互换_FR007_1年!$A$6:$C$4395,2,0),"")</f>
        <v/>
      </c>
      <c r="I959" t="str">
        <f>IFERROR(VLOOKUP($A959,原始数据_利率互换_FR007_1年!$A$6:$C$4395,3,0),"")</f>
        <v/>
      </c>
    </row>
    <row r="960" spans="1:9">
      <c r="A960" s="6">
        <v>40453</v>
      </c>
      <c r="B960" t="str">
        <f>IFERROR(VLOOKUP($A960,原始数据_收盘!$A$4:$G$3460,2,0),"")</f>
        <v/>
      </c>
      <c r="C960" t="str">
        <f>IFERROR(VLOOKUP($A960,原始数据_收盘!$A$4:$G$3460,3,0),"")</f>
        <v/>
      </c>
      <c r="D960" t="str">
        <f>IFERROR(VLOOKUP($A960,原始数据_收盘!$A$4:$G$3460,4,0),"")</f>
        <v/>
      </c>
      <c r="E960" t="str">
        <f>IFERROR(VLOOKUP($A960,原始数据_收盘!$A$4:$G$3460,5,0),"")</f>
        <v/>
      </c>
      <c r="F960" t="str">
        <f>IFERROR(VLOOKUP($A960,原始数据_收盘!$A$4:$G$3460,6,0),"")</f>
        <v/>
      </c>
      <c r="G960" t="str">
        <f>IFERROR(VLOOKUP($A960,原始数据_收盘!$A$4:$G$3460,7,0),"")</f>
        <v/>
      </c>
      <c r="H960" t="str">
        <f>IFERROR(VLOOKUP($A960,原始数据_利率互换_FR007_1年!$A$6:$C$4395,2,0),"")</f>
        <v/>
      </c>
      <c r="I960" t="str">
        <f>IFERROR(VLOOKUP($A960,原始数据_利率互换_FR007_1年!$A$6:$C$4395,3,0),"")</f>
        <v/>
      </c>
    </row>
    <row r="961" spans="1:9">
      <c r="A961" s="6">
        <v>40454</v>
      </c>
      <c r="B961" t="str">
        <f>IFERROR(VLOOKUP($A961,原始数据_收盘!$A$4:$G$3460,2,0),"")</f>
        <v/>
      </c>
      <c r="C961" t="str">
        <f>IFERROR(VLOOKUP($A961,原始数据_收盘!$A$4:$G$3460,3,0),"")</f>
        <v/>
      </c>
      <c r="D961" t="str">
        <f>IFERROR(VLOOKUP($A961,原始数据_收盘!$A$4:$G$3460,4,0),"")</f>
        <v/>
      </c>
      <c r="E961" t="str">
        <f>IFERROR(VLOOKUP($A961,原始数据_收盘!$A$4:$G$3460,5,0),"")</f>
        <v/>
      </c>
      <c r="F961" t="str">
        <f>IFERROR(VLOOKUP($A961,原始数据_收盘!$A$4:$G$3460,6,0),"")</f>
        <v/>
      </c>
      <c r="G961" t="str">
        <f>IFERROR(VLOOKUP($A961,原始数据_收盘!$A$4:$G$3460,7,0),"")</f>
        <v/>
      </c>
      <c r="H961" t="str">
        <f>IFERROR(VLOOKUP($A961,原始数据_利率互换_FR007_1年!$A$6:$C$4395,2,0),"")</f>
        <v/>
      </c>
      <c r="I961" t="str">
        <f>IFERROR(VLOOKUP($A961,原始数据_利率互换_FR007_1年!$A$6:$C$4395,3,0),"")</f>
        <v/>
      </c>
    </row>
    <row r="962" spans="1:9">
      <c r="A962" s="6">
        <v>40455</v>
      </c>
      <c r="B962" t="str">
        <f>IFERROR(VLOOKUP($A962,原始数据_收盘!$A$4:$G$3460,2,0),"")</f>
        <v/>
      </c>
      <c r="C962" t="str">
        <f>IFERROR(VLOOKUP($A962,原始数据_收盘!$A$4:$G$3460,3,0),"")</f>
        <v/>
      </c>
      <c r="D962" t="str">
        <f>IFERROR(VLOOKUP($A962,原始数据_收盘!$A$4:$G$3460,4,0),"")</f>
        <v/>
      </c>
      <c r="E962" t="str">
        <f>IFERROR(VLOOKUP($A962,原始数据_收盘!$A$4:$G$3460,5,0),"")</f>
        <v/>
      </c>
      <c r="F962" t="str">
        <f>IFERROR(VLOOKUP($A962,原始数据_收盘!$A$4:$G$3460,6,0),"")</f>
        <v/>
      </c>
      <c r="G962" t="str">
        <f>IFERROR(VLOOKUP($A962,原始数据_收盘!$A$4:$G$3460,7,0),"")</f>
        <v/>
      </c>
      <c r="H962" t="str">
        <f>IFERROR(VLOOKUP($A962,原始数据_利率互换_FR007_1年!$A$6:$C$4395,2,0),"")</f>
        <v/>
      </c>
      <c r="I962" t="str">
        <f>IFERROR(VLOOKUP($A962,原始数据_利率互换_FR007_1年!$A$6:$C$4395,3,0),"")</f>
        <v/>
      </c>
    </row>
    <row r="963" spans="1:9">
      <c r="A963" s="6">
        <v>40456</v>
      </c>
      <c r="B963" t="str">
        <f>IFERROR(VLOOKUP($A963,原始数据_收盘!$A$4:$G$3460,2,0),"")</f>
        <v/>
      </c>
      <c r="C963" t="str">
        <f>IFERROR(VLOOKUP($A963,原始数据_收盘!$A$4:$G$3460,3,0),"")</f>
        <v/>
      </c>
      <c r="D963" t="str">
        <f>IFERROR(VLOOKUP($A963,原始数据_收盘!$A$4:$G$3460,4,0),"")</f>
        <v/>
      </c>
      <c r="E963" t="str">
        <f>IFERROR(VLOOKUP($A963,原始数据_收盘!$A$4:$G$3460,5,0),"")</f>
        <v/>
      </c>
      <c r="F963" t="str">
        <f>IFERROR(VLOOKUP($A963,原始数据_收盘!$A$4:$G$3460,6,0),"")</f>
        <v/>
      </c>
      <c r="G963" t="str">
        <f>IFERROR(VLOOKUP($A963,原始数据_收盘!$A$4:$G$3460,7,0),"")</f>
        <v/>
      </c>
      <c r="H963" t="str">
        <f>IFERROR(VLOOKUP($A963,原始数据_利率互换_FR007_1年!$A$6:$C$4395,2,0),"")</f>
        <v/>
      </c>
      <c r="I963" t="str">
        <f>IFERROR(VLOOKUP($A963,原始数据_利率互换_FR007_1年!$A$6:$C$4395,3,0),"")</f>
        <v/>
      </c>
    </row>
    <row r="964" spans="1:9">
      <c r="A964" s="6">
        <v>40457</v>
      </c>
      <c r="B964" t="str">
        <f>IFERROR(VLOOKUP($A964,原始数据_收盘!$A$4:$G$3460,2,0),"")</f>
        <v/>
      </c>
      <c r="C964" t="str">
        <f>IFERROR(VLOOKUP($A964,原始数据_收盘!$A$4:$G$3460,3,0),"")</f>
        <v/>
      </c>
      <c r="D964" t="str">
        <f>IFERROR(VLOOKUP($A964,原始数据_收盘!$A$4:$G$3460,4,0),"")</f>
        <v/>
      </c>
      <c r="E964" t="str">
        <f>IFERROR(VLOOKUP($A964,原始数据_收盘!$A$4:$G$3460,5,0),"")</f>
        <v/>
      </c>
      <c r="F964" t="str">
        <f>IFERROR(VLOOKUP($A964,原始数据_收盘!$A$4:$G$3460,6,0),"")</f>
        <v/>
      </c>
      <c r="G964" t="str">
        <f>IFERROR(VLOOKUP($A964,原始数据_收盘!$A$4:$G$3460,7,0),"")</f>
        <v/>
      </c>
      <c r="H964" t="str">
        <f>IFERROR(VLOOKUP($A964,原始数据_利率互换_FR007_1年!$A$6:$C$4395,2,0),"")</f>
        <v/>
      </c>
      <c r="I964" t="str">
        <f>IFERROR(VLOOKUP($A964,原始数据_利率互换_FR007_1年!$A$6:$C$4395,3,0),"")</f>
        <v/>
      </c>
    </row>
    <row r="965" spans="1:9">
      <c r="A965" s="6">
        <v>40458</v>
      </c>
      <c r="B965" t="str">
        <f>IFERROR(VLOOKUP($A965,原始数据_收盘!$A$4:$G$3460,2,0),"")</f>
        <v/>
      </c>
      <c r="C965" t="str">
        <f>IFERROR(VLOOKUP($A965,原始数据_收盘!$A$4:$G$3460,3,0),"")</f>
        <v/>
      </c>
      <c r="D965" t="str">
        <f>IFERROR(VLOOKUP($A965,原始数据_收盘!$A$4:$G$3460,4,0),"")</f>
        <v/>
      </c>
      <c r="E965" t="str">
        <f>IFERROR(VLOOKUP($A965,原始数据_收盘!$A$4:$G$3460,5,0),"")</f>
        <v/>
      </c>
      <c r="F965" t="str">
        <f>IFERROR(VLOOKUP($A965,原始数据_收盘!$A$4:$G$3460,6,0),"")</f>
        <v/>
      </c>
      <c r="G965" t="str">
        <f>IFERROR(VLOOKUP($A965,原始数据_收盘!$A$4:$G$3460,7,0),"")</f>
        <v/>
      </c>
      <c r="H965" t="str">
        <f>IFERROR(VLOOKUP($A965,原始数据_利率互换_FR007_1年!$A$6:$C$4395,2,0),"")</f>
        <v/>
      </c>
      <c r="I965" t="str">
        <f>IFERROR(VLOOKUP($A965,原始数据_利率互换_FR007_1年!$A$6:$C$4395,3,0),"")</f>
        <v/>
      </c>
    </row>
    <row r="966" spans="1:9">
      <c r="A966" s="6">
        <v>40459</v>
      </c>
      <c r="B966" t="str">
        <f>IFERROR(VLOOKUP($A966,原始数据_收盘!$A$4:$G$3460,2,0),"")</f>
        <v/>
      </c>
      <c r="C966" t="str">
        <f>IFERROR(VLOOKUP($A966,原始数据_收盘!$A$4:$G$3460,3,0),"")</f>
        <v/>
      </c>
      <c r="D966" t="str">
        <f>IFERROR(VLOOKUP($A966,原始数据_收盘!$A$4:$G$3460,4,0),"")</f>
        <v/>
      </c>
      <c r="E966" t="str">
        <f>IFERROR(VLOOKUP($A966,原始数据_收盘!$A$4:$G$3460,5,0),"")</f>
        <v/>
      </c>
      <c r="F966" t="str">
        <f>IFERROR(VLOOKUP($A966,原始数据_收盘!$A$4:$G$3460,6,0),"")</f>
        <v/>
      </c>
      <c r="G966" t="str">
        <f>IFERROR(VLOOKUP($A966,原始数据_收盘!$A$4:$G$3460,7,0),"")</f>
        <v/>
      </c>
      <c r="H966">
        <f>IFERROR(VLOOKUP($A966,原始数据_利率互换_FR007_1年!$A$6:$C$4395,2,0),"")</f>
        <v>0</v>
      </c>
      <c r="I966">
        <f>IFERROR(VLOOKUP($A966,原始数据_利率互换_FR007_1年!$A$6:$C$4395,3,0),"")</f>
        <v>2.96</v>
      </c>
    </row>
    <row r="967" spans="1:9">
      <c r="A967" s="6">
        <v>40460</v>
      </c>
      <c r="B967" t="str">
        <f>IFERROR(VLOOKUP($A967,原始数据_收盘!$A$4:$G$3460,2,0),"")</f>
        <v/>
      </c>
      <c r="C967" t="str">
        <f>IFERROR(VLOOKUP($A967,原始数据_收盘!$A$4:$G$3460,3,0),"")</f>
        <v/>
      </c>
      <c r="D967" t="str">
        <f>IFERROR(VLOOKUP($A967,原始数据_收盘!$A$4:$G$3460,4,0),"")</f>
        <v/>
      </c>
      <c r="E967" t="str">
        <f>IFERROR(VLOOKUP($A967,原始数据_收盘!$A$4:$G$3460,5,0),"")</f>
        <v/>
      </c>
      <c r="F967" t="str">
        <f>IFERROR(VLOOKUP($A967,原始数据_收盘!$A$4:$G$3460,6,0),"")</f>
        <v/>
      </c>
      <c r="G967" t="str">
        <f>IFERROR(VLOOKUP($A967,原始数据_收盘!$A$4:$G$3460,7,0),"")</f>
        <v/>
      </c>
      <c r="H967" t="str">
        <f>IFERROR(VLOOKUP($A967,原始数据_利率互换_FR007_1年!$A$6:$C$4395,2,0),"")</f>
        <v/>
      </c>
      <c r="I967" t="str">
        <f>IFERROR(VLOOKUP($A967,原始数据_利率互换_FR007_1年!$A$6:$C$4395,3,0),"")</f>
        <v/>
      </c>
    </row>
    <row r="968" spans="1:9">
      <c r="A968" s="6">
        <v>40461</v>
      </c>
      <c r="B968" t="str">
        <f>IFERROR(VLOOKUP($A968,原始数据_收盘!$A$4:$G$3460,2,0),"")</f>
        <v/>
      </c>
      <c r="C968" t="str">
        <f>IFERROR(VLOOKUP($A968,原始数据_收盘!$A$4:$G$3460,3,0),"")</f>
        <v/>
      </c>
      <c r="D968" t="str">
        <f>IFERROR(VLOOKUP($A968,原始数据_收盘!$A$4:$G$3460,4,0),"")</f>
        <v/>
      </c>
      <c r="E968" t="str">
        <f>IFERROR(VLOOKUP($A968,原始数据_收盘!$A$4:$G$3460,5,0),"")</f>
        <v/>
      </c>
      <c r="F968" t="str">
        <f>IFERROR(VLOOKUP($A968,原始数据_收盘!$A$4:$G$3460,6,0),"")</f>
        <v/>
      </c>
      <c r="G968" t="str">
        <f>IFERROR(VLOOKUP($A968,原始数据_收盘!$A$4:$G$3460,7,0),"")</f>
        <v/>
      </c>
      <c r="H968" t="str">
        <f>IFERROR(VLOOKUP($A968,原始数据_利率互换_FR007_1年!$A$6:$C$4395,2,0),"")</f>
        <v/>
      </c>
      <c r="I968" t="str">
        <f>IFERROR(VLOOKUP($A968,原始数据_利率互换_FR007_1年!$A$6:$C$4395,3,0),"")</f>
        <v/>
      </c>
    </row>
    <row r="969" spans="1:9">
      <c r="A969" s="6">
        <v>40462</v>
      </c>
      <c r="B969" t="str">
        <f>IFERROR(VLOOKUP($A969,原始数据_收盘!$A$4:$G$3460,2,0),"")</f>
        <v/>
      </c>
      <c r="C969" t="str">
        <f>IFERROR(VLOOKUP($A969,原始数据_收盘!$A$4:$G$3460,3,0),"")</f>
        <v/>
      </c>
      <c r="D969" t="str">
        <f>IFERROR(VLOOKUP($A969,原始数据_收盘!$A$4:$G$3460,4,0),"")</f>
        <v/>
      </c>
      <c r="E969" t="str">
        <f>IFERROR(VLOOKUP($A969,原始数据_收盘!$A$4:$G$3460,5,0),"")</f>
        <v/>
      </c>
      <c r="F969" t="str">
        <f>IFERROR(VLOOKUP($A969,原始数据_收盘!$A$4:$G$3460,6,0),"")</f>
        <v/>
      </c>
      <c r="G969" t="str">
        <f>IFERROR(VLOOKUP($A969,原始数据_收盘!$A$4:$G$3460,7,0),"")</f>
        <v/>
      </c>
      <c r="H969">
        <f>IFERROR(VLOOKUP($A969,原始数据_利率互换_FR007_1年!$A$6:$C$4395,2,0),"")</f>
        <v>2.14</v>
      </c>
      <c r="I969">
        <f>IFERROR(VLOOKUP($A969,原始数据_利率互换_FR007_1年!$A$6:$C$4395,3,0),"")</f>
        <v>2.9652</v>
      </c>
    </row>
    <row r="970" spans="1:9">
      <c r="A970" s="6">
        <v>40463</v>
      </c>
      <c r="B970" t="str">
        <f>IFERROR(VLOOKUP($A970,原始数据_收盘!$A$4:$G$3460,2,0),"")</f>
        <v/>
      </c>
      <c r="C970" t="str">
        <f>IFERROR(VLOOKUP($A970,原始数据_收盘!$A$4:$G$3460,3,0),"")</f>
        <v/>
      </c>
      <c r="D970" t="str">
        <f>IFERROR(VLOOKUP($A970,原始数据_收盘!$A$4:$G$3460,4,0),"")</f>
        <v/>
      </c>
      <c r="E970" t="str">
        <f>IFERROR(VLOOKUP($A970,原始数据_收盘!$A$4:$G$3460,5,0),"")</f>
        <v/>
      </c>
      <c r="F970" t="str">
        <f>IFERROR(VLOOKUP($A970,原始数据_收盘!$A$4:$G$3460,6,0),"")</f>
        <v/>
      </c>
      <c r="G970" t="str">
        <f>IFERROR(VLOOKUP($A970,原始数据_收盘!$A$4:$G$3460,7,0),"")</f>
        <v/>
      </c>
      <c r="H970">
        <f>IFERROR(VLOOKUP($A970,原始数据_利率互换_FR007_1年!$A$6:$C$4395,2,0),"")</f>
        <v>2.15</v>
      </c>
      <c r="I970">
        <f>IFERROR(VLOOKUP($A970,原始数据_利率互换_FR007_1年!$A$6:$C$4395,3,0),"")</f>
        <v>2.9942</v>
      </c>
    </row>
    <row r="971" spans="1:9">
      <c r="A971" s="6">
        <v>40464</v>
      </c>
      <c r="B971" t="str">
        <f>IFERROR(VLOOKUP($A971,原始数据_收盘!$A$4:$G$3460,2,0),"")</f>
        <v/>
      </c>
      <c r="C971" t="str">
        <f>IFERROR(VLOOKUP($A971,原始数据_收盘!$A$4:$G$3460,3,0),"")</f>
        <v/>
      </c>
      <c r="D971" t="str">
        <f>IFERROR(VLOOKUP($A971,原始数据_收盘!$A$4:$G$3460,4,0),"")</f>
        <v/>
      </c>
      <c r="E971" t="str">
        <f>IFERROR(VLOOKUP($A971,原始数据_收盘!$A$4:$G$3460,5,0),"")</f>
        <v/>
      </c>
      <c r="F971" t="str">
        <f>IFERROR(VLOOKUP($A971,原始数据_收盘!$A$4:$G$3460,6,0),"")</f>
        <v/>
      </c>
      <c r="G971" t="str">
        <f>IFERROR(VLOOKUP($A971,原始数据_收盘!$A$4:$G$3460,7,0),"")</f>
        <v/>
      </c>
      <c r="H971">
        <f>IFERROR(VLOOKUP($A971,原始数据_利率互换_FR007_1年!$A$6:$C$4395,2,0),"")</f>
        <v>2.18</v>
      </c>
      <c r="I971">
        <f>IFERROR(VLOOKUP($A971,原始数据_利率互换_FR007_1年!$A$6:$C$4395,3,0),"")</f>
        <v>3.0197</v>
      </c>
    </row>
    <row r="972" spans="1:9">
      <c r="A972" s="6">
        <v>40465</v>
      </c>
      <c r="B972" t="str">
        <f>IFERROR(VLOOKUP($A972,原始数据_收盘!$A$4:$G$3460,2,0),"")</f>
        <v/>
      </c>
      <c r="C972" t="str">
        <f>IFERROR(VLOOKUP($A972,原始数据_收盘!$A$4:$G$3460,3,0),"")</f>
        <v/>
      </c>
      <c r="D972" t="str">
        <f>IFERROR(VLOOKUP($A972,原始数据_收盘!$A$4:$G$3460,4,0),"")</f>
        <v/>
      </c>
      <c r="E972" t="str">
        <f>IFERROR(VLOOKUP($A972,原始数据_收盘!$A$4:$G$3460,5,0),"")</f>
        <v/>
      </c>
      <c r="F972" t="str">
        <f>IFERROR(VLOOKUP($A972,原始数据_收盘!$A$4:$G$3460,6,0),"")</f>
        <v/>
      </c>
      <c r="G972" t="str">
        <f>IFERROR(VLOOKUP($A972,原始数据_收盘!$A$4:$G$3460,7,0),"")</f>
        <v/>
      </c>
      <c r="H972">
        <f>IFERROR(VLOOKUP($A972,原始数据_利率互换_FR007_1年!$A$6:$C$4395,2,0),"")</f>
        <v>2.1648</v>
      </c>
      <c r="I972">
        <f>IFERROR(VLOOKUP($A972,原始数据_利率互换_FR007_1年!$A$6:$C$4395,3,0),"")</f>
        <v>3.0214</v>
      </c>
    </row>
    <row r="973" spans="1:9">
      <c r="A973" s="6">
        <v>40466</v>
      </c>
      <c r="B973" t="str">
        <f>IFERROR(VLOOKUP($A973,原始数据_收盘!$A$4:$G$3460,2,0),"")</f>
        <v/>
      </c>
      <c r="C973" t="str">
        <f>IFERROR(VLOOKUP($A973,原始数据_收盘!$A$4:$G$3460,3,0),"")</f>
        <v/>
      </c>
      <c r="D973" t="str">
        <f>IFERROR(VLOOKUP($A973,原始数据_收盘!$A$4:$G$3460,4,0),"")</f>
        <v/>
      </c>
      <c r="E973" t="str">
        <f>IFERROR(VLOOKUP($A973,原始数据_收盘!$A$4:$G$3460,5,0),"")</f>
        <v/>
      </c>
      <c r="F973" t="str">
        <f>IFERROR(VLOOKUP($A973,原始数据_收盘!$A$4:$G$3460,6,0),"")</f>
        <v/>
      </c>
      <c r="G973" t="str">
        <f>IFERROR(VLOOKUP($A973,原始数据_收盘!$A$4:$G$3460,7,0),"")</f>
        <v/>
      </c>
      <c r="H973">
        <f>IFERROR(VLOOKUP($A973,原始数据_利率互换_FR007_1年!$A$6:$C$4395,2,0),"")</f>
        <v>2.1723</v>
      </c>
      <c r="I973">
        <f>IFERROR(VLOOKUP($A973,原始数据_利率互换_FR007_1年!$A$6:$C$4395,3,0),"")</f>
        <v>3.0505</v>
      </c>
    </row>
    <row r="974" spans="1:9">
      <c r="A974" s="6">
        <v>40467</v>
      </c>
      <c r="B974" t="str">
        <f>IFERROR(VLOOKUP($A974,原始数据_收盘!$A$4:$G$3460,2,0),"")</f>
        <v/>
      </c>
      <c r="C974" t="str">
        <f>IFERROR(VLOOKUP($A974,原始数据_收盘!$A$4:$G$3460,3,0),"")</f>
        <v/>
      </c>
      <c r="D974" t="str">
        <f>IFERROR(VLOOKUP($A974,原始数据_收盘!$A$4:$G$3460,4,0),"")</f>
        <v/>
      </c>
      <c r="E974" t="str">
        <f>IFERROR(VLOOKUP($A974,原始数据_收盘!$A$4:$G$3460,5,0),"")</f>
        <v/>
      </c>
      <c r="F974" t="str">
        <f>IFERROR(VLOOKUP($A974,原始数据_收盘!$A$4:$G$3460,6,0),"")</f>
        <v/>
      </c>
      <c r="G974" t="str">
        <f>IFERROR(VLOOKUP($A974,原始数据_收盘!$A$4:$G$3460,7,0),"")</f>
        <v/>
      </c>
      <c r="H974" t="str">
        <f>IFERROR(VLOOKUP($A974,原始数据_利率互换_FR007_1年!$A$6:$C$4395,2,0),"")</f>
        <v/>
      </c>
      <c r="I974" t="str">
        <f>IFERROR(VLOOKUP($A974,原始数据_利率互换_FR007_1年!$A$6:$C$4395,3,0),"")</f>
        <v/>
      </c>
    </row>
    <row r="975" spans="1:9">
      <c r="A975" s="6">
        <v>40468</v>
      </c>
      <c r="B975" t="str">
        <f>IFERROR(VLOOKUP($A975,原始数据_收盘!$A$4:$G$3460,2,0),"")</f>
        <v/>
      </c>
      <c r="C975" t="str">
        <f>IFERROR(VLOOKUP($A975,原始数据_收盘!$A$4:$G$3460,3,0),"")</f>
        <v/>
      </c>
      <c r="D975" t="str">
        <f>IFERROR(VLOOKUP($A975,原始数据_收盘!$A$4:$G$3460,4,0),"")</f>
        <v/>
      </c>
      <c r="E975" t="str">
        <f>IFERROR(VLOOKUP($A975,原始数据_收盘!$A$4:$G$3460,5,0),"")</f>
        <v/>
      </c>
      <c r="F975" t="str">
        <f>IFERROR(VLOOKUP($A975,原始数据_收盘!$A$4:$G$3460,6,0),"")</f>
        <v/>
      </c>
      <c r="G975" t="str">
        <f>IFERROR(VLOOKUP($A975,原始数据_收盘!$A$4:$G$3460,7,0),"")</f>
        <v/>
      </c>
      <c r="H975" t="str">
        <f>IFERROR(VLOOKUP($A975,原始数据_利率互换_FR007_1年!$A$6:$C$4395,2,0),"")</f>
        <v/>
      </c>
      <c r="I975" t="str">
        <f>IFERROR(VLOOKUP($A975,原始数据_利率互换_FR007_1年!$A$6:$C$4395,3,0),"")</f>
        <v/>
      </c>
    </row>
    <row r="976" spans="1:9">
      <c r="A976" s="6">
        <v>40469</v>
      </c>
      <c r="B976" t="str">
        <f>IFERROR(VLOOKUP($A976,原始数据_收盘!$A$4:$G$3460,2,0),"")</f>
        <v/>
      </c>
      <c r="C976" t="str">
        <f>IFERROR(VLOOKUP($A976,原始数据_收盘!$A$4:$G$3460,3,0),"")</f>
        <v/>
      </c>
      <c r="D976" t="str">
        <f>IFERROR(VLOOKUP($A976,原始数据_收盘!$A$4:$G$3460,4,0),"")</f>
        <v/>
      </c>
      <c r="E976" t="str">
        <f>IFERROR(VLOOKUP($A976,原始数据_收盘!$A$4:$G$3460,5,0),"")</f>
        <v/>
      </c>
      <c r="F976" t="str">
        <f>IFERROR(VLOOKUP($A976,原始数据_收盘!$A$4:$G$3460,6,0),"")</f>
        <v/>
      </c>
      <c r="G976" t="str">
        <f>IFERROR(VLOOKUP($A976,原始数据_收盘!$A$4:$G$3460,7,0),"")</f>
        <v/>
      </c>
      <c r="H976">
        <f>IFERROR(VLOOKUP($A976,原始数据_利率互换_FR007_1年!$A$6:$C$4395,2,0),"")</f>
        <v>2.1773</v>
      </c>
      <c r="I976">
        <f>IFERROR(VLOOKUP($A976,原始数据_利率互换_FR007_1年!$A$6:$C$4395,3,0),"")</f>
        <v>3.1226</v>
      </c>
    </row>
    <row r="977" spans="1:9">
      <c r="A977" s="6">
        <v>40470</v>
      </c>
      <c r="B977" t="str">
        <f>IFERROR(VLOOKUP($A977,原始数据_收盘!$A$4:$G$3460,2,0),"")</f>
        <v/>
      </c>
      <c r="C977" t="str">
        <f>IFERROR(VLOOKUP($A977,原始数据_收盘!$A$4:$G$3460,3,0),"")</f>
        <v/>
      </c>
      <c r="D977" t="str">
        <f>IFERROR(VLOOKUP($A977,原始数据_收盘!$A$4:$G$3460,4,0),"")</f>
        <v/>
      </c>
      <c r="E977" t="str">
        <f>IFERROR(VLOOKUP($A977,原始数据_收盘!$A$4:$G$3460,5,0),"")</f>
        <v/>
      </c>
      <c r="F977" t="str">
        <f>IFERROR(VLOOKUP($A977,原始数据_收盘!$A$4:$G$3460,6,0),"")</f>
        <v/>
      </c>
      <c r="G977" t="str">
        <f>IFERROR(VLOOKUP($A977,原始数据_收盘!$A$4:$G$3460,7,0),"")</f>
        <v/>
      </c>
      <c r="H977">
        <f>IFERROR(VLOOKUP($A977,原始数据_利率互换_FR007_1年!$A$6:$C$4395,2,0),"")</f>
        <v>2.18</v>
      </c>
      <c r="I977">
        <f>IFERROR(VLOOKUP($A977,原始数据_利率互换_FR007_1年!$A$6:$C$4395,3,0),"")</f>
        <v>3.1226</v>
      </c>
    </row>
    <row r="978" spans="1:9">
      <c r="A978" s="6">
        <v>40471</v>
      </c>
      <c r="B978" t="str">
        <f>IFERROR(VLOOKUP($A978,原始数据_收盘!$A$4:$G$3460,2,0),"")</f>
        <v/>
      </c>
      <c r="C978" t="str">
        <f>IFERROR(VLOOKUP($A978,原始数据_收盘!$A$4:$G$3460,3,0),"")</f>
        <v/>
      </c>
      <c r="D978" t="str">
        <f>IFERROR(VLOOKUP($A978,原始数据_收盘!$A$4:$G$3460,4,0),"")</f>
        <v/>
      </c>
      <c r="E978" t="str">
        <f>IFERROR(VLOOKUP($A978,原始数据_收盘!$A$4:$G$3460,5,0),"")</f>
        <v/>
      </c>
      <c r="F978" t="str">
        <f>IFERROR(VLOOKUP($A978,原始数据_收盘!$A$4:$G$3460,6,0),"")</f>
        <v/>
      </c>
      <c r="G978" t="str">
        <f>IFERROR(VLOOKUP($A978,原始数据_收盘!$A$4:$G$3460,7,0),"")</f>
        <v/>
      </c>
      <c r="H978">
        <f>IFERROR(VLOOKUP($A978,原始数据_利率互换_FR007_1年!$A$6:$C$4395,2,0),"")</f>
        <v>2.3656</v>
      </c>
      <c r="I978">
        <f>IFERROR(VLOOKUP($A978,原始数据_利率互换_FR007_1年!$A$6:$C$4395,3,0),"")</f>
        <v>3.4239</v>
      </c>
    </row>
    <row r="979" spans="1:9">
      <c r="A979" s="6">
        <v>40472</v>
      </c>
      <c r="B979" t="str">
        <f>IFERROR(VLOOKUP($A979,原始数据_收盘!$A$4:$G$3460,2,0),"")</f>
        <v/>
      </c>
      <c r="C979" t="str">
        <f>IFERROR(VLOOKUP($A979,原始数据_收盘!$A$4:$G$3460,3,0),"")</f>
        <v/>
      </c>
      <c r="D979" t="str">
        <f>IFERROR(VLOOKUP($A979,原始数据_收盘!$A$4:$G$3460,4,0),"")</f>
        <v/>
      </c>
      <c r="E979" t="str">
        <f>IFERROR(VLOOKUP($A979,原始数据_收盘!$A$4:$G$3460,5,0),"")</f>
        <v/>
      </c>
      <c r="F979" t="str">
        <f>IFERROR(VLOOKUP($A979,原始数据_收盘!$A$4:$G$3460,6,0),"")</f>
        <v/>
      </c>
      <c r="G979" t="str">
        <f>IFERROR(VLOOKUP($A979,原始数据_收盘!$A$4:$G$3460,7,0),"")</f>
        <v/>
      </c>
      <c r="H979">
        <f>IFERROR(VLOOKUP($A979,原始数据_利率互换_FR007_1年!$A$6:$C$4395,2,0),"")</f>
        <v>2.4044</v>
      </c>
      <c r="I979">
        <f>IFERROR(VLOOKUP($A979,原始数据_利率互换_FR007_1年!$A$6:$C$4395,3,0),"")</f>
        <v>3.4688</v>
      </c>
    </row>
    <row r="980" spans="1:9">
      <c r="A980" s="6">
        <v>40473</v>
      </c>
      <c r="B980" t="str">
        <f>IFERROR(VLOOKUP($A980,原始数据_收盘!$A$4:$G$3460,2,0),"")</f>
        <v/>
      </c>
      <c r="C980" t="str">
        <f>IFERROR(VLOOKUP($A980,原始数据_收盘!$A$4:$G$3460,3,0),"")</f>
        <v/>
      </c>
      <c r="D980" t="str">
        <f>IFERROR(VLOOKUP($A980,原始数据_收盘!$A$4:$G$3460,4,0),"")</f>
        <v/>
      </c>
      <c r="E980" t="str">
        <f>IFERROR(VLOOKUP($A980,原始数据_收盘!$A$4:$G$3460,5,0),"")</f>
        <v/>
      </c>
      <c r="F980" t="str">
        <f>IFERROR(VLOOKUP($A980,原始数据_收盘!$A$4:$G$3460,6,0),"")</f>
        <v/>
      </c>
      <c r="G980" t="str">
        <f>IFERROR(VLOOKUP($A980,原始数据_收盘!$A$4:$G$3460,7,0),"")</f>
        <v/>
      </c>
      <c r="H980">
        <f>IFERROR(VLOOKUP($A980,原始数据_利率互换_FR007_1年!$A$6:$C$4395,2,0),"")</f>
        <v>2.3643</v>
      </c>
      <c r="I980">
        <f>IFERROR(VLOOKUP($A980,原始数据_利率互换_FR007_1年!$A$6:$C$4395,3,0),"")</f>
        <v>3.4227</v>
      </c>
    </row>
    <row r="981" spans="1:9">
      <c r="A981" s="6">
        <v>40474</v>
      </c>
      <c r="B981" t="str">
        <f>IFERROR(VLOOKUP($A981,原始数据_收盘!$A$4:$G$3460,2,0),"")</f>
        <v/>
      </c>
      <c r="C981" t="str">
        <f>IFERROR(VLOOKUP($A981,原始数据_收盘!$A$4:$G$3460,3,0),"")</f>
        <v/>
      </c>
      <c r="D981" t="str">
        <f>IFERROR(VLOOKUP($A981,原始数据_收盘!$A$4:$G$3460,4,0),"")</f>
        <v/>
      </c>
      <c r="E981" t="str">
        <f>IFERROR(VLOOKUP($A981,原始数据_收盘!$A$4:$G$3460,5,0),"")</f>
        <v/>
      </c>
      <c r="F981" t="str">
        <f>IFERROR(VLOOKUP($A981,原始数据_收盘!$A$4:$G$3460,6,0),"")</f>
        <v/>
      </c>
      <c r="G981" t="str">
        <f>IFERROR(VLOOKUP($A981,原始数据_收盘!$A$4:$G$3460,7,0),"")</f>
        <v/>
      </c>
      <c r="H981" t="str">
        <f>IFERROR(VLOOKUP($A981,原始数据_利率互换_FR007_1年!$A$6:$C$4395,2,0),"")</f>
        <v/>
      </c>
      <c r="I981" t="str">
        <f>IFERROR(VLOOKUP($A981,原始数据_利率互换_FR007_1年!$A$6:$C$4395,3,0),"")</f>
        <v/>
      </c>
    </row>
    <row r="982" spans="1:9">
      <c r="A982" s="6">
        <v>40475</v>
      </c>
      <c r="B982" t="str">
        <f>IFERROR(VLOOKUP($A982,原始数据_收盘!$A$4:$G$3460,2,0),"")</f>
        <v/>
      </c>
      <c r="C982" t="str">
        <f>IFERROR(VLOOKUP($A982,原始数据_收盘!$A$4:$G$3460,3,0),"")</f>
        <v/>
      </c>
      <c r="D982" t="str">
        <f>IFERROR(VLOOKUP($A982,原始数据_收盘!$A$4:$G$3460,4,0),"")</f>
        <v/>
      </c>
      <c r="E982" t="str">
        <f>IFERROR(VLOOKUP($A982,原始数据_收盘!$A$4:$G$3460,5,0),"")</f>
        <v/>
      </c>
      <c r="F982" t="str">
        <f>IFERROR(VLOOKUP($A982,原始数据_收盘!$A$4:$G$3460,6,0),"")</f>
        <v/>
      </c>
      <c r="G982" t="str">
        <f>IFERROR(VLOOKUP($A982,原始数据_收盘!$A$4:$G$3460,7,0),"")</f>
        <v/>
      </c>
      <c r="H982" t="str">
        <f>IFERROR(VLOOKUP($A982,原始数据_利率互换_FR007_1年!$A$6:$C$4395,2,0),"")</f>
        <v/>
      </c>
      <c r="I982" t="str">
        <f>IFERROR(VLOOKUP($A982,原始数据_利率互换_FR007_1年!$A$6:$C$4395,3,0),"")</f>
        <v/>
      </c>
    </row>
    <row r="983" spans="1:9">
      <c r="A983" s="6">
        <v>40476</v>
      </c>
      <c r="B983" t="str">
        <f>IFERROR(VLOOKUP($A983,原始数据_收盘!$A$4:$G$3460,2,0),"")</f>
        <v/>
      </c>
      <c r="C983" t="str">
        <f>IFERROR(VLOOKUP($A983,原始数据_收盘!$A$4:$G$3460,3,0),"")</f>
        <v/>
      </c>
      <c r="D983" t="str">
        <f>IFERROR(VLOOKUP($A983,原始数据_收盘!$A$4:$G$3460,4,0),"")</f>
        <v/>
      </c>
      <c r="E983" t="str">
        <f>IFERROR(VLOOKUP($A983,原始数据_收盘!$A$4:$G$3460,5,0),"")</f>
        <v/>
      </c>
      <c r="F983" t="str">
        <f>IFERROR(VLOOKUP($A983,原始数据_收盘!$A$4:$G$3460,6,0),"")</f>
        <v/>
      </c>
      <c r="G983" t="str">
        <f>IFERROR(VLOOKUP($A983,原始数据_收盘!$A$4:$G$3460,7,0),"")</f>
        <v/>
      </c>
      <c r="H983">
        <f>IFERROR(VLOOKUP($A983,原始数据_利率互换_FR007_1年!$A$6:$C$4395,2,0),"")</f>
        <v>0</v>
      </c>
      <c r="I983">
        <f>IFERROR(VLOOKUP($A983,原始数据_利率互换_FR007_1年!$A$6:$C$4395,3,0),"")</f>
        <v>3.4375</v>
      </c>
    </row>
    <row r="984" spans="1:9">
      <c r="A984" s="6">
        <v>40477</v>
      </c>
      <c r="B984" t="str">
        <f>IFERROR(VLOOKUP($A984,原始数据_收盘!$A$4:$G$3460,2,0),"")</f>
        <v/>
      </c>
      <c r="C984" t="str">
        <f>IFERROR(VLOOKUP($A984,原始数据_收盘!$A$4:$G$3460,3,0),"")</f>
        <v/>
      </c>
      <c r="D984" t="str">
        <f>IFERROR(VLOOKUP($A984,原始数据_收盘!$A$4:$G$3460,4,0),"")</f>
        <v/>
      </c>
      <c r="E984" t="str">
        <f>IFERROR(VLOOKUP($A984,原始数据_收盘!$A$4:$G$3460,5,0),"")</f>
        <v/>
      </c>
      <c r="F984" t="str">
        <f>IFERROR(VLOOKUP($A984,原始数据_收盘!$A$4:$G$3460,6,0),"")</f>
        <v/>
      </c>
      <c r="G984" t="str">
        <f>IFERROR(VLOOKUP($A984,原始数据_收盘!$A$4:$G$3460,7,0),"")</f>
        <v/>
      </c>
      <c r="H984">
        <f>IFERROR(VLOOKUP($A984,原始数据_利率互换_FR007_1年!$A$6:$C$4395,2,0),"")</f>
        <v>2.38</v>
      </c>
      <c r="I984">
        <f>IFERROR(VLOOKUP($A984,原始数据_利率互换_FR007_1年!$A$6:$C$4395,3,0),"")</f>
        <v>3.4656</v>
      </c>
    </row>
    <row r="985" spans="1:9">
      <c r="A985" s="6">
        <v>40478</v>
      </c>
      <c r="B985" t="str">
        <f>IFERROR(VLOOKUP($A985,原始数据_收盘!$A$4:$G$3460,2,0),"")</f>
        <v/>
      </c>
      <c r="C985" t="str">
        <f>IFERROR(VLOOKUP($A985,原始数据_收盘!$A$4:$G$3460,3,0),"")</f>
        <v/>
      </c>
      <c r="D985" t="str">
        <f>IFERROR(VLOOKUP($A985,原始数据_收盘!$A$4:$G$3460,4,0),"")</f>
        <v/>
      </c>
      <c r="E985" t="str">
        <f>IFERROR(VLOOKUP($A985,原始数据_收盘!$A$4:$G$3460,5,0),"")</f>
        <v/>
      </c>
      <c r="F985" t="str">
        <f>IFERROR(VLOOKUP($A985,原始数据_收盘!$A$4:$G$3460,6,0),"")</f>
        <v/>
      </c>
      <c r="G985" t="str">
        <f>IFERROR(VLOOKUP($A985,原始数据_收盘!$A$4:$G$3460,7,0),"")</f>
        <v/>
      </c>
      <c r="H985">
        <f>IFERROR(VLOOKUP($A985,原始数据_利率互换_FR007_1年!$A$6:$C$4395,2,0),"")</f>
        <v>2.37</v>
      </c>
      <c r="I985">
        <f>IFERROR(VLOOKUP($A985,原始数据_利率互换_FR007_1年!$A$6:$C$4395,3,0),"")</f>
        <v>3.4702</v>
      </c>
    </row>
    <row r="986" spans="1:9">
      <c r="A986" s="6">
        <v>40479</v>
      </c>
      <c r="B986" t="str">
        <f>IFERROR(VLOOKUP($A986,原始数据_收盘!$A$4:$G$3460,2,0),"")</f>
        <v/>
      </c>
      <c r="C986" t="str">
        <f>IFERROR(VLOOKUP($A986,原始数据_收盘!$A$4:$G$3460,3,0),"")</f>
        <v/>
      </c>
      <c r="D986" t="str">
        <f>IFERROR(VLOOKUP($A986,原始数据_收盘!$A$4:$G$3460,4,0),"")</f>
        <v/>
      </c>
      <c r="E986" t="str">
        <f>IFERROR(VLOOKUP($A986,原始数据_收盘!$A$4:$G$3460,5,0),"")</f>
        <v/>
      </c>
      <c r="F986" t="str">
        <f>IFERROR(VLOOKUP($A986,原始数据_收盘!$A$4:$G$3460,6,0),"")</f>
        <v/>
      </c>
      <c r="G986" t="str">
        <f>IFERROR(VLOOKUP($A986,原始数据_收盘!$A$4:$G$3460,7,0),"")</f>
        <v/>
      </c>
      <c r="H986">
        <f>IFERROR(VLOOKUP($A986,原始数据_利率互换_FR007_1年!$A$6:$C$4395,2,0),"")</f>
        <v>2.345</v>
      </c>
      <c r="I986">
        <f>IFERROR(VLOOKUP($A986,原始数据_利率互换_FR007_1年!$A$6:$C$4395,3,0),"")</f>
        <v>3.4569</v>
      </c>
    </row>
    <row r="987" spans="1:9">
      <c r="A987" s="6">
        <v>40480</v>
      </c>
      <c r="B987" t="str">
        <f>IFERROR(VLOOKUP($A987,原始数据_收盘!$A$4:$G$3460,2,0),"")</f>
        <v/>
      </c>
      <c r="C987" t="str">
        <f>IFERROR(VLOOKUP($A987,原始数据_收盘!$A$4:$G$3460,3,0),"")</f>
        <v/>
      </c>
      <c r="D987" t="str">
        <f>IFERROR(VLOOKUP($A987,原始数据_收盘!$A$4:$G$3460,4,0),"")</f>
        <v/>
      </c>
      <c r="E987" t="str">
        <f>IFERROR(VLOOKUP($A987,原始数据_收盘!$A$4:$G$3460,5,0),"")</f>
        <v/>
      </c>
      <c r="F987" t="str">
        <f>IFERROR(VLOOKUP($A987,原始数据_收盘!$A$4:$G$3460,6,0),"")</f>
        <v/>
      </c>
      <c r="G987" t="str">
        <f>IFERROR(VLOOKUP($A987,原始数据_收盘!$A$4:$G$3460,7,0),"")</f>
        <v/>
      </c>
      <c r="H987">
        <f>IFERROR(VLOOKUP($A987,原始数据_利率互换_FR007_1年!$A$6:$C$4395,2,0),"")</f>
        <v>2.35</v>
      </c>
      <c r="I987">
        <f>IFERROR(VLOOKUP($A987,原始数据_利率互换_FR007_1年!$A$6:$C$4395,3,0),"")</f>
        <v>3.4155</v>
      </c>
    </row>
    <row r="988" spans="1:9">
      <c r="A988" s="6">
        <v>40481</v>
      </c>
      <c r="B988" t="str">
        <f>IFERROR(VLOOKUP($A988,原始数据_收盘!$A$4:$G$3460,2,0),"")</f>
        <v/>
      </c>
      <c r="C988" t="str">
        <f>IFERROR(VLOOKUP($A988,原始数据_收盘!$A$4:$G$3460,3,0),"")</f>
        <v/>
      </c>
      <c r="D988" t="str">
        <f>IFERROR(VLOOKUP($A988,原始数据_收盘!$A$4:$G$3460,4,0),"")</f>
        <v/>
      </c>
      <c r="E988" t="str">
        <f>IFERROR(VLOOKUP($A988,原始数据_收盘!$A$4:$G$3460,5,0),"")</f>
        <v/>
      </c>
      <c r="F988" t="str">
        <f>IFERROR(VLOOKUP($A988,原始数据_收盘!$A$4:$G$3460,6,0),"")</f>
        <v/>
      </c>
      <c r="G988" t="str">
        <f>IFERROR(VLOOKUP($A988,原始数据_收盘!$A$4:$G$3460,7,0),"")</f>
        <v/>
      </c>
      <c r="H988" t="str">
        <f>IFERROR(VLOOKUP($A988,原始数据_利率互换_FR007_1年!$A$6:$C$4395,2,0),"")</f>
        <v/>
      </c>
      <c r="I988" t="str">
        <f>IFERROR(VLOOKUP($A988,原始数据_利率互换_FR007_1年!$A$6:$C$4395,3,0),"")</f>
        <v/>
      </c>
    </row>
    <row r="989" spans="1:9">
      <c r="A989" s="6">
        <v>40482</v>
      </c>
      <c r="B989" t="str">
        <f>IFERROR(VLOOKUP($A989,原始数据_收盘!$A$4:$G$3460,2,0),"")</f>
        <v/>
      </c>
      <c r="C989" t="str">
        <f>IFERROR(VLOOKUP($A989,原始数据_收盘!$A$4:$G$3460,3,0),"")</f>
        <v/>
      </c>
      <c r="D989" t="str">
        <f>IFERROR(VLOOKUP($A989,原始数据_收盘!$A$4:$G$3460,4,0),"")</f>
        <v/>
      </c>
      <c r="E989" t="str">
        <f>IFERROR(VLOOKUP($A989,原始数据_收盘!$A$4:$G$3460,5,0),"")</f>
        <v/>
      </c>
      <c r="F989" t="str">
        <f>IFERROR(VLOOKUP($A989,原始数据_收盘!$A$4:$G$3460,6,0),"")</f>
        <v/>
      </c>
      <c r="G989" t="str">
        <f>IFERROR(VLOOKUP($A989,原始数据_收盘!$A$4:$G$3460,7,0),"")</f>
        <v/>
      </c>
      <c r="H989" t="str">
        <f>IFERROR(VLOOKUP($A989,原始数据_利率互换_FR007_1年!$A$6:$C$4395,2,0),"")</f>
        <v/>
      </c>
      <c r="I989" t="str">
        <f>IFERROR(VLOOKUP($A989,原始数据_利率互换_FR007_1年!$A$6:$C$4395,3,0),"")</f>
        <v/>
      </c>
    </row>
    <row r="990" spans="1:9">
      <c r="A990" s="6">
        <v>40483</v>
      </c>
      <c r="B990" t="str">
        <f>IFERROR(VLOOKUP($A990,原始数据_收盘!$A$4:$G$3460,2,0),"")</f>
        <v/>
      </c>
      <c r="C990" t="str">
        <f>IFERROR(VLOOKUP($A990,原始数据_收盘!$A$4:$G$3460,3,0),"")</f>
        <v/>
      </c>
      <c r="D990" t="str">
        <f>IFERROR(VLOOKUP($A990,原始数据_收盘!$A$4:$G$3460,4,0),"")</f>
        <v/>
      </c>
      <c r="E990" t="str">
        <f>IFERROR(VLOOKUP($A990,原始数据_收盘!$A$4:$G$3460,5,0),"")</f>
        <v/>
      </c>
      <c r="F990" t="str">
        <f>IFERROR(VLOOKUP($A990,原始数据_收盘!$A$4:$G$3460,6,0),"")</f>
        <v/>
      </c>
      <c r="G990" t="str">
        <f>IFERROR(VLOOKUP($A990,原始数据_收盘!$A$4:$G$3460,7,0),"")</f>
        <v/>
      </c>
      <c r="H990">
        <f>IFERROR(VLOOKUP($A990,原始数据_利率互换_FR007_1年!$A$6:$C$4395,2,0),"")</f>
        <v>0</v>
      </c>
      <c r="I990">
        <f>IFERROR(VLOOKUP($A990,原始数据_利率互换_FR007_1年!$A$6:$C$4395,3,0),"")</f>
        <v>3.4716</v>
      </c>
    </row>
    <row r="991" spans="1:9">
      <c r="A991" s="6">
        <v>40484</v>
      </c>
      <c r="B991" t="str">
        <f>IFERROR(VLOOKUP($A991,原始数据_收盘!$A$4:$G$3460,2,0),"")</f>
        <v/>
      </c>
      <c r="C991" t="str">
        <f>IFERROR(VLOOKUP($A991,原始数据_收盘!$A$4:$G$3460,3,0),"")</f>
        <v/>
      </c>
      <c r="D991" t="str">
        <f>IFERROR(VLOOKUP($A991,原始数据_收盘!$A$4:$G$3460,4,0),"")</f>
        <v/>
      </c>
      <c r="E991" t="str">
        <f>IFERROR(VLOOKUP($A991,原始数据_收盘!$A$4:$G$3460,5,0),"")</f>
        <v/>
      </c>
      <c r="F991" t="str">
        <f>IFERROR(VLOOKUP($A991,原始数据_收盘!$A$4:$G$3460,6,0),"")</f>
        <v/>
      </c>
      <c r="G991" t="str">
        <f>IFERROR(VLOOKUP($A991,原始数据_收盘!$A$4:$G$3460,7,0),"")</f>
        <v/>
      </c>
      <c r="H991">
        <f>IFERROR(VLOOKUP($A991,原始数据_利率互换_FR007_1年!$A$6:$C$4395,2,0),"")</f>
        <v>2.395</v>
      </c>
      <c r="I991">
        <f>IFERROR(VLOOKUP($A991,原始数据_利率互换_FR007_1年!$A$6:$C$4395,3,0),"")</f>
        <v>3.602</v>
      </c>
    </row>
    <row r="992" spans="1:9">
      <c r="A992" s="6">
        <v>40485</v>
      </c>
      <c r="B992" t="str">
        <f>IFERROR(VLOOKUP($A992,原始数据_收盘!$A$4:$G$3460,2,0),"")</f>
        <v/>
      </c>
      <c r="C992" t="str">
        <f>IFERROR(VLOOKUP($A992,原始数据_收盘!$A$4:$G$3460,3,0),"")</f>
        <v/>
      </c>
      <c r="D992" t="str">
        <f>IFERROR(VLOOKUP($A992,原始数据_收盘!$A$4:$G$3460,4,0),"")</f>
        <v/>
      </c>
      <c r="E992" t="str">
        <f>IFERROR(VLOOKUP($A992,原始数据_收盘!$A$4:$G$3460,5,0),"")</f>
        <v/>
      </c>
      <c r="F992" t="str">
        <f>IFERROR(VLOOKUP($A992,原始数据_收盘!$A$4:$G$3460,6,0),"")</f>
        <v/>
      </c>
      <c r="G992" t="str">
        <f>IFERROR(VLOOKUP($A992,原始数据_收盘!$A$4:$G$3460,7,0),"")</f>
        <v/>
      </c>
      <c r="H992">
        <f>IFERROR(VLOOKUP($A992,原始数据_利率互换_FR007_1年!$A$6:$C$4395,2,0),"")</f>
        <v>2.4268</v>
      </c>
      <c r="I992">
        <f>IFERROR(VLOOKUP($A992,原始数据_利率互换_FR007_1年!$A$6:$C$4395,3,0),"")</f>
        <v>3.5916</v>
      </c>
    </row>
    <row r="993" spans="1:9">
      <c r="A993" s="6">
        <v>40486</v>
      </c>
      <c r="B993" t="str">
        <f>IFERROR(VLOOKUP($A993,原始数据_收盘!$A$4:$G$3460,2,0),"")</f>
        <v/>
      </c>
      <c r="C993" t="str">
        <f>IFERROR(VLOOKUP($A993,原始数据_收盘!$A$4:$G$3460,3,0),"")</f>
        <v/>
      </c>
      <c r="D993" t="str">
        <f>IFERROR(VLOOKUP($A993,原始数据_收盘!$A$4:$G$3460,4,0),"")</f>
        <v/>
      </c>
      <c r="E993" t="str">
        <f>IFERROR(VLOOKUP($A993,原始数据_收盘!$A$4:$G$3460,5,0),"")</f>
        <v/>
      </c>
      <c r="F993" t="str">
        <f>IFERROR(VLOOKUP($A993,原始数据_收盘!$A$4:$G$3460,6,0),"")</f>
        <v/>
      </c>
      <c r="G993" t="str">
        <f>IFERROR(VLOOKUP($A993,原始数据_收盘!$A$4:$G$3460,7,0),"")</f>
        <v/>
      </c>
      <c r="H993">
        <f>IFERROR(VLOOKUP($A993,原始数据_利率互换_FR007_1年!$A$6:$C$4395,2,0),"")</f>
        <v>2.4969</v>
      </c>
      <c r="I993">
        <f>IFERROR(VLOOKUP($A993,原始数据_利率互换_FR007_1年!$A$6:$C$4395,3,0),"")</f>
        <v>3.7713</v>
      </c>
    </row>
    <row r="994" spans="1:9">
      <c r="A994" s="6">
        <v>40487</v>
      </c>
      <c r="B994" t="str">
        <f>IFERROR(VLOOKUP($A994,原始数据_收盘!$A$4:$G$3460,2,0),"")</f>
        <v/>
      </c>
      <c r="C994" t="str">
        <f>IFERROR(VLOOKUP($A994,原始数据_收盘!$A$4:$G$3460,3,0),"")</f>
        <v/>
      </c>
      <c r="D994" t="str">
        <f>IFERROR(VLOOKUP($A994,原始数据_收盘!$A$4:$G$3460,4,0),"")</f>
        <v/>
      </c>
      <c r="E994" t="str">
        <f>IFERROR(VLOOKUP($A994,原始数据_收盘!$A$4:$G$3460,5,0),"")</f>
        <v/>
      </c>
      <c r="F994" t="str">
        <f>IFERROR(VLOOKUP($A994,原始数据_收盘!$A$4:$G$3460,6,0),"")</f>
        <v/>
      </c>
      <c r="G994" t="str">
        <f>IFERROR(VLOOKUP($A994,原始数据_收盘!$A$4:$G$3460,7,0),"")</f>
        <v/>
      </c>
      <c r="H994">
        <f>IFERROR(VLOOKUP($A994,原始数据_利率互换_FR007_1年!$A$6:$C$4395,2,0),"")</f>
        <v>2.5245</v>
      </c>
      <c r="I994">
        <f>IFERROR(VLOOKUP($A994,原始数据_利率互换_FR007_1年!$A$6:$C$4395,3,0),"")</f>
        <v>3.7931</v>
      </c>
    </row>
    <row r="995" spans="1:9">
      <c r="A995" s="6">
        <v>40488</v>
      </c>
      <c r="B995" t="str">
        <f>IFERROR(VLOOKUP($A995,原始数据_收盘!$A$4:$G$3460,2,0),"")</f>
        <v/>
      </c>
      <c r="C995" t="str">
        <f>IFERROR(VLOOKUP($A995,原始数据_收盘!$A$4:$G$3460,3,0),"")</f>
        <v/>
      </c>
      <c r="D995" t="str">
        <f>IFERROR(VLOOKUP($A995,原始数据_收盘!$A$4:$G$3460,4,0),"")</f>
        <v/>
      </c>
      <c r="E995" t="str">
        <f>IFERROR(VLOOKUP($A995,原始数据_收盘!$A$4:$G$3460,5,0),"")</f>
        <v/>
      </c>
      <c r="F995" t="str">
        <f>IFERROR(VLOOKUP($A995,原始数据_收盘!$A$4:$G$3460,6,0),"")</f>
        <v/>
      </c>
      <c r="G995" t="str">
        <f>IFERROR(VLOOKUP($A995,原始数据_收盘!$A$4:$G$3460,7,0),"")</f>
        <v/>
      </c>
      <c r="H995" t="str">
        <f>IFERROR(VLOOKUP($A995,原始数据_利率互换_FR007_1年!$A$6:$C$4395,2,0),"")</f>
        <v/>
      </c>
      <c r="I995" t="str">
        <f>IFERROR(VLOOKUP($A995,原始数据_利率互换_FR007_1年!$A$6:$C$4395,3,0),"")</f>
        <v/>
      </c>
    </row>
    <row r="996" spans="1:9">
      <c r="A996" s="6">
        <v>40489</v>
      </c>
      <c r="B996" t="str">
        <f>IFERROR(VLOOKUP($A996,原始数据_收盘!$A$4:$G$3460,2,0),"")</f>
        <v/>
      </c>
      <c r="C996" t="str">
        <f>IFERROR(VLOOKUP($A996,原始数据_收盘!$A$4:$G$3460,3,0),"")</f>
        <v/>
      </c>
      <c r="D996" t="str">
        <f>IFERROR(VLOOKUP($A996,原始数据_收盘!$A$4:$G$3460,4,0),"")</f>
        <v/>
      </c>
      <c r="E996" t="str">
        <f>IFERROR(VLOOKUP($A996,原始数据_收盘!$A$4:$G$3460,5,0),"")</f>
        <v/>
      </c>
      <c r="F996" t="str">
        <f>IFERROR(VLOOKUP($A996,原始数据_收盘!$A$4:$G$3460,6,0),"")</f>
        <v/>
      </c>
      <c r="G996" t="str">
        <f>IFERROR(VLOOKUP($A996,原始数据_收盘!$A$4:$G$3460,7,0),"")</f>
        <v/>
      </c>
      <c r="H996" t="str">
        <f>IFERROR(VLOOKUP($A996,原始数据_利率互换_FR007_1年!$A$6:$C$4395,2,0),"")</f>
        <v/>
      </c>
      <c r="I996" t="str">
        <f>IFERROR(VLOOKUP($A996,原始数据_利率互换_FR007_1年!$A$6:$C$4395,3,0),"")</f>
        <v/>
      </c>
    </row>
    <row r="997" spans="1:9">
      <c r="A997" s="6">
        <v>40490</v>
      </c>
      <c r="B997" t="str">
        <f>IFERROR(VLOOKUP($A997,原始数据_收盘!$A$4:$G$3460,2,0),"")</f>
        <v/>
      </c>
      <c r="C997" t="str">
        <f>IFERROR(VLOOKUP($A997,原始数据_收盘!$A$4:$G$3460,3,0),"")</f>
        <v/>
      </c>
      <c r="D997" t="str">
        <f>IFERROR(VLOOKUP($A997,原始数据_收盘!$A$4:$G$3460,4,0),"")</f>
        <v/>
      </c>
      <c r="E997" t="str">
        <f>IFERROR(VLOOKUP($A997,原始数据_收盘!$A$4:$G$3460,5,0),"")</f>
        <v/>
      </c>
      <c r="F997" t="str">
        <f>IFERROR(VLOOKUP($A997,原始数据_收盘!$A$4:$G$3460,6,0),"")</f>
        <v/>
      </c>
      <c r="G997" t="str">
        <f>IFERROR(VLOOKUP($A997,原始数据_收盘!$A$4:$G$3460,7,0),"")</f>
        <v/>
      </c>
      <c r="H997">
        <f>IFERROR(VLOOKUP($A997,原始数据_利率互换_FR007_1年!$A$6:$C$4395,2,0),"")</f>
        <v>2.4565</v>
      </c>
      <c r="I997">
        <f>IFERROR(VLOOKUP($A997,原始数据_利率互换_FR007_1年!$A$6:$C$4395,3,0),"")</f>
        <v>3.7209</v>
      </c>
    </row>
    <row r="998" spans="1:9">
      <c r="A998" s="6">
        <v>40491</v>
      </c>
      <c r="B998" t="str">
        <f>IFERROR(VLOOKUP($A998,原始数据_收盘!$A$4:$G$3460,2,0),"")</f>
        <v/>
      </c>
      <c r="C998" t="str">
        <f>IFERROR(VLOOKUP($A998,原始数据_收盘!$A$4:$G$3460,3,0),"")</f>
        <v/>
      </c>
      <c r="D998" t="str">
        <f>IFERROR(VLOOKUP($A998,原始数据_收盘!$A$4:$G$3460,4,0),"")</f>
        <v/>
      </c>
      <c r="E998" t="str">
        <f>IFERROR(VLOOKUP($A998,原始数据_收盘!$A$4:$G$3460,5,0),"")</f>
        <v/>
      </c>
      <c r="F998" t="str">
        <f>IFERROR(VLOOKUP($A998,原始数据_收盘!$A$4:$G$3460,6,0),"")</f>
        <v/>
      </c>
      <c r="G998" t="str">
        <f>IFERROR(VLOOKUP($A998,原始数据_收盘!$A$4:$G$3460,7,0),"")</f>
        <v/>
      </c>
      <c r="H998">
        <f>IFERROR(VLOOKUP($A998,原始数据_利率互换_FR007_1年!$A$6:$C$4395,2,0),"")</f>
        <v>2.4466</v>
      </c>
      <c r="I998">
        <f>IFERROR(VLOOKUP($A998,原始数据_利率互换_FR007_1年!$A$6:$C$4395,3,0),"")</f>
        <v>3.6835</v>
      </c>
    </row>
    <row r="999" spans="1:9">
      <c r="A999" s="6">
        <v>40492</v>
      </c>
      <c r="B999" t="str">
        <f>IFERROR(VLOOKUP($A999,原始数据_收盘!$A$4:$G$3460,2,0),"")</f>
        <v/>
      </c>
      <c r="C999" t="str">
        <f>IFERROR(VLOOKUP($A999,原始数据_收盘!$A$4:$G$3460,3,0),"")</f>
        <v/>
      </c>
      <c r="D999" t="str">
        <f>IFERROR(VLOOKUP($A999,原始数据_收盘!$A$4:$G$3460,4,0),"")</f>
        <v/>
      </c>
      <c r="E999" t="str">
        <f>IFERROR(VLOOKUP($A999,原始数据_收盘!$A$4:$G$3460,5,0),"")</f>
        <v/>
      </c>
      <c r="F999" t="str">
        <f>IFERROR(VLOOKUP($A999,原始数据_收盘!$A$4:$G$3460,6,0),"")</f>
        <v/>
      </c>
      <c r="G999" t="str">
        <f>IFERROR(VLOOKUP($A999,原始数据_收盘!$A$4:$G$3460,7,0),"")</f>
        <v/>
      </c>
      <c r="H999">
        <f>IFERROR(VLOOKUP($A999,原始数据_利率互换_FR007_1年!$A$6:$C$4395,2,0),"")</f>
        <v>2.5663</v>
      </c>
      <c r="I999">
        <f>IFERROR(VLOOKUP($A999,原始数据_利率互换_FR007_1年!$A$6:$C$4395,3,0),"")</f>
        <v>3.8363</v>
      </c>
    </row>
    <row r="1000" spans="1:9">
      <c r="A1000" s="6">
        <v>40493</v>
      </c>
      <c r="B1000" t="str">
        <f>IFERROR(VLOOKUP($A1000,原始数据_收盘!$A$4:$G$3460,2,0),"")</f>
        <v/>
      </c>
      <c r="C1000" t="str">
        <f>IFERROR(VLOOKUP($A1000,原始数据_收盘!$A$4:$G$3460,3,0),"")</f>
        <v/>
      </c>
      <c r="D1000" t="str">
        <f>IFERROR(VLOOKUP($A1000,原始数据_收盘!$A$4:$G$3460,4,0),"")</f>
        <v/>
      </c>
      <c r="E1000" t="str">
        <f>IFERROR(VLOOKUP($A1000,原始数据_收盘!$A$4:$G$3460,5,0),"")</f>
        <v/>
      </c>
      <c r="F1000" t="str">
        <f>IFERROR(VLOOKUP($A1000,原始数据_收盘!$A$4:$G$3460,6,0),"")</f>
        <v/>
      </c>
      <c r="G1000" t="str">
        <f>IFERROR(VLOOKUP($A1000,原始数据_收盘!$A$4:$G$3460,7,0),"")</f>
        <v/>
      </c>
      <c r="H1000">
        <f>IFERROR(VLOOKUP($A1000,原始数据_利率互换_FR007_1年!$A$6:$C$4395,2,0),"")</f>
        <v>2.5958</v>
      </c>
      <c r="I1000">
        <f>IFERROR(VLOOKUP($A1000,原始数据_利率互换_FR007_1年!$A$6:$C$4395,3,0),"")</f>
        <v>3.8696</v>
      </c>
    </row>
    <row r="1001" spans="1:9">
      <c r="A1001" s="6">
        <v>40494</v>
      </c>
      <c r="B1001" t="str">
        <f>IFERROR(VLOOKUP($A1001,原始数据_收盘!$A$4:$G$3460,2,0),"")</f>
        <v/>
      </c>
      <c r="C1001" t="str">
        <f>IFERROR(VLOOKUP($A1001,原始数据_收盘!$A$4:$G$3460,3,0),"")</f>
        <v/>
      </c>
      <c r="D1001" t="str">
        <f>IFERROR(VLOOKUP($A1001,原始数据_收盘!$A$4:$G$3460,4,0),"")</f>
        <v/>
      </c>
      <c r="E1001" t="str">
        <f>IFERROR(VLOOKUP($A1001,原始数据_收盘!$A$4:$G$3460,5,0),"")</f>
        <v/>
      </c>
      <c r="F1001" t="str">
        <f>IFERROR(VLOOKUP($A1001,原始数据_收盘!$A$4:$G$3460,6,0),"")</f>
        <v/>
      </c>
      <c r="G1001" t="str">
        <f>IFERROR(VLOOKUP($A1001,原始数据_收盘!$A$4:$G$3460,7,0),"")</f>
        <v/>
      </c>
      <c r="H1001">
        <f>IFERROR(VLOOKUP($A1001,原始数据_利率互换_FR007_1年!$A$6:$C$4395,2,0),"")</f>
        <v>2.582</v>
      </c>
      <c r="I1001">
        <f>IFERROR(VLOOKUP($A1001,原始数据_利率互换_FR007_1年!$A$6:$C$4395,3,0),"")</f>
        <v>3.845</v>
      </c>
    </row>
    <row r="1002" spans="1:9">
      <c r="A1002" s="6">
        <v>40495</v>
      </c>
      <c r="B1002" t="str">
        <f>IFERROR(VLOOKUP($A1002,原始数据_收盘!$A$4:$G$3460,2,0),"")</f>
        <v/>
      </c>
      <c r="C1002" t="str">
        <f>IFERROR(VLOOKUP($A1002,原始数据_收盘!$A$4:$G$3460,3,0),"")</f>
        <v/>
      </c>
      <c r="D1002" t="str">
        <f>IFERROR(VLOOKUP($A1002,原始数据_收盘!$A$4:$G$3460,4,0),"")</f>
        <v/>
      </c>
      <c r="E1002" t="str">
        <f>IFERROR(VLOOKUP($A1002,原始数据_收盘!$A$4:$G$3460,5,0),"")</f>
        <v/>
      </c>
      <c r="F1002" t="str">
        <f>IFERROR(VLOOKUP($A1002,原始数据_收盘!$A$4:$G$3460,6,0),"")</f>
        <v/>
      </c>
      <c r="G1002" t="str">
        <f>IFERROR(VLOOKUP($A1002,原始数据_收盘!$A$4:$G$3460,7,0),"")</f>
        <v/>
      </c>
      <c r="H1002" t="str">
        <f>IFERROR(VLOOKUP($A1002,原始数据_利率互换_FR007_1年!$A$6:$C$4395,2,0),"")</f>
        <v/>
      </c>
      <c r="I1002" t="str">
        <f>IFERROR(VLOOKUP($A1002,原始数据_利率互换_FR007_1年!$A$6:$C$4395,3,0),"")</f>
        <v/>
      </c>
    </row>
    <row r="1003" spans="1:9">
      <c r="A1003" s="6">
        <v>40496</v>
      </c>
      <c r="B1003" t="str">
        <f>IFERROR(VLOOKUP($A1003,原始数据_收盘!$A$4:$G$3460,2,0),"")</f>
        <v/>
      </c>
      <c r="C1003" t="str">
        <f>IFERROR(VLOOKUP($A1003,原始数据_收盘!$A$4:$G$3460,3,0),"")</f>
        <v/>
      </c>
      <c r="D1003" t="str">
        <f>IFERROR(VLOOKUP($A1003,原始数据_收盘!$A$4:$G$3460,4,0),"")</f>
        <v/>
      </c>
      <c r="E1003" t="str">
        <f>IFERROR(VLOOKUP($A1003,原始数据_收盘!$A$4:$G$3460,5,0),"")</f>
        <v/>
      </c>
      <c r="F1003" t="str">
        <f>IFERROR(VLOOKUP($A1003,原始数据_收盘!$A$4:$G$3460,6,0),"")</f>
        <v/>
      </c>
      <c r="G1003" t="str">
        <f>IFERROR(VLOOKUP($A1003,原始数据_收盘!$A$4:$G$3460,7,0),"")</f>
        <v/>
      </c>
      <c r="H1003" t="str">
        <f>IFERROR(VLOOKUP($A1003,原始数据_利率互换_FR007_1年!$A$6:$C$4395,2,0),"")</f>
        <v/>
      </c>
      <c r="I1003" t="str">
        <f>IFERROR(VLOOKUP($A1003,原始数据_利率互换_FR007_1年!$A$6:$C$4395,3,0),"")</f>
        <v/>
      </c>
    </row>
    <row r="1004" spans="1:9">
      <c r="A1004" s="6">
        <v>40497</v>
      </c>
      <c r="B1004" t="str">
        <f>IFERROR(VLOOKUP($A1004,原始数据_收盘!$A$4:$G$3460,2,0),"")</f>
        <v/>
      </c>
      <c r="C1004" t="str">
        <f>IFERROR(VLOOKUP($A1004,原始数据_收盘!$A$4:$G$3460,3,0),"")</f>
        <v/>
      </c>
      <c r="D1004" t="str">
        <f>IFERROR(VLOOKUP($A1004,原始数据_收盘!$A$4:$G$3460,4,0),"")</f>
        <v/>
      </c>
      <c r="E1004" t="str">
        <f>IFERROR(VLOOKUP($A1004,原始数据_收盘!$A$4:$G$3460,5,0),"")</f>
        <v/>
      </c>
      <c r="F1004" t="str">
        <f>IFERROR(VLOOKUP($A1004,原始数据_收盘!$A$4:$G$3460,6,0),"")</f>
        <v/>
      </c>
      <c r="G1004" t="str">
        <f>IFERROR(VLOOKUP($A1004,原始数据_收盘!$A$4:$G$3460,7,0),"")</f>
        <v/>
      </c>
      <c r="H1004">
        <f>IFERROR(VLOOKUP($A1004,原始数据_利率互换_FR007_1年!$A$6:$C$4395,2,0),"")</f>
        <v>2.6041</v>
      </c>
      <c r="I1004">
        <f>IFERROR(VLOOKUP($A1004,原始数据_利率互换_FR007_1年!$A$6:$C$4395,3,0),"")</f>
        <v>3.8212</v>
      </c>
    </row>
    <row r="1005" spans="1:9">
      <c r="A1005" s="6">
        <v>40498</v>
      </c>
      <c r="B1005" t="str">
        <f>IFERROR(VLOOKUP($A1005,原始数据_收盘!$A$4:$G$3460,2,0),"")</f>
        <v/>
      </c>
      <c r="C1005" t="str">
        <f>IFERROR(VLOOKUP($A1005,原始数据_收盘!$A$4:$G$3460,3,0),"")</f>
        <v/>
      </c>
      <c r="D1005" t="str">
        <f>IFERROR(VLOOKUP($A1005,原始数据_收盘!$A$4:$G$3460,4,0),"")</f>
        <v/>
      </c>
      <c r="E1005" t="str">
        <f>IFERROR(VLOOKUP($A1005,原始数据_收盘!$A$4:$G$3460,5,0),"")</f>
        <v/>
      </c>
      <c r="F1005" t="str">
        <f>IFERROR(VLOOKUP($A1005,原始数据_收盘!$A$4:$G$3460,6,0),"")</f>
        <v/>
      </c>
      <c r="G1005" t="str">
        <f>IFERROR(VLOOKUP($A1005,原始数据_收盘!$A$4:$G$3460,7,0),"")</f>
        <v/>
      </c>
      <c r="H1005">
        <f>IFERROR(VLOOKUP($A1005,原始数据_利率互换_FR007_1年!$A$6:$C$4395,2,0),"")</f>
        <v>2.6267</v>
      </c>
      <c r="I1005">
        <f>IFERROR(VLOOKUP($A1005,原始数据_利率互换_FR007_1年!$A$6:$C$4395,3,0),"")</f>
        <v>3.7873</v>
      </c>
    </row>
    <row r="1006" spans="1:9">
      <c r="A1006" s="6">
        <v>40499</v>
      </c>
      <c r="B1006" t="str">
        <f>IFERROR(VLOOKUP($A1006,原始数据_收盘!$A$4:$G$3460,2,0),"")</f>
        <v/>
      </c>
      <c r="C1006" t="str">
        <f>IFERROR(VLOOKUP($A1006,原始数据_收盘!$A$4:$G$3460,3,0),"")</f>
        <v/>
      </c>
      <c r="D1006" t="str">
        <f>IFERROR(VLOOKUP($A1006,原始数据_收盘!$A$4:$G$3460,4,0),"")</f>
        <v/>
      </c>
      <c r="E1006" t="str">
        <f>IFERROR(VLOOKUP($A1006,原始数据_收盘!$A$4:$G$3460,5,0),"")</f>
        <v/>
      </c>
      <c r="F1006" t="str">
        <f>IFERROR(VLOOKUP($A1006,原始数据_收盘!$A$4:$G$3460,6,0),"")</f>
        <v/>
      </c>
      <c r="G1006" t="str">
        <f>IFERROR(VLOOKUP($A1006,原始数据_收盘!$A$4:$G$3460,7,0),"")</f>
        <v/>
      </c>
      <c r="H1006">
        <f>IFERROR(VLOOKUP($A1006,原始数据_利率互换_FR007_1年!$A$6:$C$4395,2,0),"")</f>
        <v>2.6609</v>
      </c>
      <c r="I1006">
        <f>IFERROR(VLOOKUP($A1006,原始数据_利率互换_FR007_1年!$A$6:$C$4395,3,0),"")</f>
        <v>3.7375</v>
      </c>
    </row>
    <row r="1007" spans="1:9">
      <c r="A1007" s="6">
        <v>40500</v>
      </c>
      <c r="B1007" t="str">
        <f>IFERROR(VLOOKUP($A1007,原始数据_收盘!$A$4:$G$3460,2,0),"")</f>
        <v/>
      </c>
      <c r="C1007" t="str">
        <f>IFERROR(VLOOKUP($A1007,原始数据_收盘!$A$4:$G$3460,3,0),"")</f>
        <v/>
      </c>
      <c r="D1007" t="str">
        <f>IFERROR(VLOOKUP($A1007,原始数据_收盘!$A$4:$G$3460,4,0),"")</f>
        <v/>
      </c>
      <c r="E1007" t="str">
        <f>IFERROR(VLOOKUP($A1007,原始数据_收盘!$A$4:$G$3460,5,0),"")</f>
        <v/>
      </c>
      <c r="F1007" t="str">
        <f>IFERROR(VLOOKUP($A1007,原始数据_收盘!$A$4:$G$3460,6,0),"")</f>
        <v/>
      </c>
      <c r="G1007" t="str">
        <f>IFERROR(VLOOKUP($A1007,原始数据_收盘!$A$4:$G$3460,7,0),"")</f>
        <v/>
      </c>
      <c r="H1007">
        <f>IFERROR(VLOOKUP($A1007,原始数据_利率互换_FR007_1年!$A$6:$C$4395,2,0),"")</f>
        <v>2.6826</v>
      </c>
      <c r="I1007">
        <f>IFERROR(VLOOKUP($A1007,原始数据_利率互换_FR007_1年!$A$6:$C$4395,3,0),"")</f>
        <v>3.738</v>
      </c>
    </row>
    <row r="1008" spans="1:9">
      <c r="A1008" s="6">
        <v>40501</v>
      </c>
      <c r="B1008" t="str">
        <f>IFERROR(VLOOKUP($A1008,原始数据_收盘!$A$4:$G$3460,2,0),"")</f>
        <v/>
      </c>
      <c r="C1008" t="str">
        <f>IFERROR(VLOOKUP($A1008,原始数据_收盘!$A$4:$G$3460,3,0),"")</f>
        <v/>
      </c>
      <c r="D1008" t="str">
        <f>IFERROR(VLOOKUP($A1008,原始数据_收盘!$A$4:$G$3460,4,0),"")</f>
        <v/>
      </c>
      <c r="E1008" t="str">
        <f>IFERROR(VLOOKUP($A1008,原始数据_收盘!$A$4:$G$3460,5,0),"")</f>
        <v/>
      </c>
      <c r="F1008" t="str">
        <f>IFERROR(VLOOKUP($A1008,原始数据_收盘!$A$4:$G$3460,6,0),"")</f>
        <v/>
      </c>
      <c r="G1008" t="str">
        <f>IFERROR(VLOOKUP($A1008,原始数据_收盘!$A$4:$G$3460,7,0),"")</f>
        <v/>
      </c>
      <c r="H1008">
        <f>IFERROR(VLOOKUP($A1008,原始数据_利率互换_FR007_1年!$A$6:$C$4395,2,0),"")</f>
        <v>2.7881</v>
      </c>
      <c r="I1008">
        <f>IFERROR(VLOOKUP($A1008,原始数据_利率互换_FR007_1年!$A$6:$C$4395,3,0),"")</f>
        <v>3.7842</v>
      </c>
    </row>
    <row r="1009" spans="1:9">
      <c r="A1009" s="6">
        <v>40502</v>
      </c>
      <c r="B1009" t="str">
        <f>IFERROR(VLOOKUP($A1009,原始数据_收盘!$A$4:$G$3460,2,0),"")</f>
        <v/>
      </c>
      <c r="C1009" t="str">
        <f>IFERROR(VLOOKUP($A1009,原始数据_收盘!$A$4:$G$3460,3,0),"")</f>
        <v/>
      </c>
      <c r="D1009" t="str">
        <f>IFERROR(VLOOKUP($A1009,原始数据_收盘!$A$4:$G$3460,4,0),"")</f>
        <v/>
      </c>
      <c r="E1009" t="str">
        <f>IFERROR(VLOOKUP($A1009,原始数据_收盘!$A$4:$G$3460,5,0),"")</f>
        <v/>
      </c>
      <c r="F1009" t="str">
        <f>IFERROR(VLOOKUP($A1009,原始数据_收盘!$A$4:$G$3460,6,0),"")</f>
        <v/>
      </c>
      <c r="G1009" t="str">
        <f>IFERROR(VLOOKUP($A1009,原始数据_收盘!$A$4:$G$3460,7,0),"")</f>
        <v/>
      </c>
      <c r="H1009" t="str">
        <f>IFERROR(VLOOKUP($A1009,原始数据_利率互换_FR007_1年!$A$6:$C$4395,2,0),"")</f>
        <v/>
      </c>
      <c r="I1009" t="str">
        <f>IFERROR(VLOOKUP($A1009,原始数据_利率互换_FR007_1年!$A$6:$C$4395,3,0),"")</f>
        <v/>
      </c>
    </row>
    <row r="1010" spans="1:9">
      <c r="A1010" s="6">
        <v>40503</v>
      </c>
      <c r="B1010" t="str">
        <f>IFERROR(VLOOKUP($A1010,原始数据_收盘!$A$4:$G$3460,2,0),"")</f>
        <v/>
      </c>
      <c r="C1010" t="str">
        <f>IFERROR(VLOOKUP($A1010,原始数据_收盘!$A$4:$G$3460,3,0),"")</f>
        <v/>
      </c>
      <c r="D1010" t="str">
        <f>IFERROR(VLOOKUP($A1010,原始数据_收盘!$A$4:$G$3460,4,0),"")</f>
        <v/>
      </c>
      <c r="E1010" t="str">
        <f>IFERROR(VLOOKUP($A1010,原始数据_收盘!$A$4:$G$3460,5,0),"")</f>
        <v/>
      </c>
      <c r="F1010" t="str">
        <f>IFERROR(VLOOKUP($A1010,原始数据_收盘!$A$4:$G$3460,6,0),"")</f>
        <v/>
      </c>
      <c r="G1010" t="str">
        <f>IFERROR(VLOOKUP($A1010,原始数据_收盘!$A$4:$G$3460,7,0),"")</f>
        <v/>
      </c>
      <c r="H1010" t="str">
        <f>IFERROR(VLOOKUP($A1010,原始数据_利率互换_FR007_1年!$A$6:$C$4395,2,0),"")</f>
        <v/>
      </c>
      <c r="I1010" t="str">
        <f>IFERROR(VLOOKUP($A1010,原始数据_利率互换_FR007_1年!$A$6:$C$4395,3,0),"")</f>
        <v/>
      </c>
    </row>
    <row r="1011" spans="1:9">
      <c r="A1011" s="6">
        <v>40504</v>
      </c>
      <c r="B1011" t="str">
        <f>IFERROR(VLOOKUP($A1011,原始数据_收盘!$A$4:$G$3460,2,0),"")</f>
        <v/>
      </c>
      <c r="C1011" t="str">
        <f>IFERROR(VLOOKUP($A1011,原始数据_收盘!$A$4:$G$3460,3,0),"")</f>
        <v/>
      </c>
      <c r="D1011" t="str">
        <f>IFERROR(VLOOKUP($A1011,原始数据_收盘!$A$4:$G$3460,4,0),"")</f>
        <v/>
      </c>
      <c r="E1011" t="str">
        <f>IFERROR(VLOOKUP($A1011,原始数据_收盘!$A$4:$G$3460,5,0),"")</f>
        <v/>
      </c>
      <c r="F1011" t="str">
        <f>IFERROR(VLOOKUP($A1011,原始数据_收盘!$A$4:$G$3460,6,0),"")</f>
        <v/>
      </c>
      <c r="G1011" t="str">
        <f>IFERROR(VLOOKUP($A1011,原始数据_收盘!$A$4:$G$3460,7,0),"")</f>
        <v/>
      </c>
      <c r="H1011">
        <f>IFERROR(VLOOKUP($A1011,原始数据_利率互换_FR007_1年!$A$6:$C$4395,2,0),"")</f>
        <v>2.9533</v>
      </c>
      <c r="I1011">
        <f>IFERROR(VLOOKUP($A1011,原始数据_利率互换_FR007_1年!$A$6:$C$4395,3,0),"")</f>
        <v>3.862</v>
      </c>
    </row>
    <row r="1012" spans="1:9">
      <c r="A1012" s="6">
        <v>40505</v>
      </c>
      <c r="B1012" t="str">
        <f>IFERROR(VLOOKUP($A1012,原始数据_收盘!$A$4:$G$3460,2,0),"")</f>
        <v/>
      </c>
      <c r="C1012" t="str">
        <f>IFERROR(VLOOKUP($A1012,原始数据_收盘!$A$4:$G$3460,3,0),"")</f>
        <v/>
      </c>
      <c r="D1012" t="str">
        <f>IFERROR(VLOOKUP($A1012,原始数据_收盘!$A$4:$G$3460,4,0),"")</f>
        <v/>
      </c>
      <c r="E1012" t="str">
        <f>IFERROR(VLOOKUP($A1012,原始数据_收盘!$A$4:$G$3460,5,0),"")</f>
        <v/>
      </c>
      <c r="F1012" t="str">
        <f>IFERROR(VLOOKUP($A1012,原始数据_收盘!$A$4:$G$3460,6,0),"")</f>
        <v/>
      </c>
      <c r="G1012" t="str">
        <f>IFERROR(VLOOKUP($A1012,原始数据_收盘!$A$4:$G$3460,7,0),"")</f>
        <v/>
      </c>
      <c r="H1012">
        <f>IFERROR(VLOOKUP($A1012,原始数据_利率互换_FR007_1年!$A$6:$C$4395,2,0),"")</f>
        <v>2.994</v>
      </c>
      <c r="I1012">
        <f>IFERROR(VLOOKUP($A1012,原始数据_利率互换_FR007_1年!$A$6:$C$4395,3,0),"")</f>
        <v>3.8706</v>
      </c>
    </row>
    <row r="1013" spans="1:9">
      <c r="A1013" s="6">
        <v>40506</v>
      </c>
      <c r="B1013" t="str">
        <f>IFERROR(VLOOKUP($A1013,原始数据_收盘!$A$4:$G$3460,2,0),"")</f>
        <v/>
      </c>
      <c r="C1013" t="str">
        <f>IFERROR(VLOOKUP($A1013,原始数据_收盘!$A$4:$G$3460,3,0),"")</f>
        <v/>
      </c>
      <c r="D1013" t="str">
        <f>IFERROR(VLOOKUP($A1013,原始数据_收盘!$A$4:$G$3460,4,0),"")</f>
        <v/>
      </c>
      <c r="E1013" t="str">
        <f>IFERROR(VLOOKUP($A1013,原始数据_收盘!$A$4:$G$3460,5,0),"")</f>
        <v/>
      </c>
      <c r="F1013" t="str">
        <f>IFERROR(VLOOKUP($A1013,原始数据_收盘!$A$4:$G$3460,6,0),"")</f>
        <v/>
      </c>
      <c r="G1013" t="str">
        <f>IFERROR(VLOOKUP($A1013,原始数据_收盘!$A$4:$G$3460,7,0),"")</f>
        <v/>
      </c>
      <c r="H1013">
        <f>IFERROR(VLOOKUP($A1013,原始数据_利率互换_FR007_1年!$A$6:$C$4395,2,0),"")</f>
        <v>2.9988</v>
      </c>
      <c r="I1013">
        <f>IFERROR(VLOOKUP($A1013,原始数据_利率互换_FR007_1年!$A$6:$C$4395,3,0),"")</f>
        <v>3.8353</v>
      </c>
    </row>
    <row r="1014" spans="1:9">
      <c r="A1014" s="6">
        <v>40507</v>
      </c>
      <c r="B1014" t="str">
        <f>IFERROR(VLOOKUP($A1014,原始数据_收盘!$A$4:$G$3460,2,0),"")</f>
        <v/>
      </c>
      <c r="C1014" t="str">
        <f>IFERROR(VLOOKUP($A1014,原始数据_收盘!$A$4:$G$3460,3,0),"")</f>
        <v/>
      </c>
      <c r="D1014" t="str">
        <f>IFERROR(VLOOKUP($A1014,原始数据_收盘!$A$4:$G$3460,4,0),"")</f>
        <v/>
      </c>
      <c r="E1014" t="str">
        <f>IFERROR(VLOOKUP($A1014,原始数据_收盘!$A$4:$G$3460,5,0),"")</f>
        <v/>
      </c>
      <c r="F1014" t="str">
        <f>IFERROR(VLOOKUP($A1014,原始数据_收盘!$A$4:$G$3460,6,0),"")</f>
        <v/>
      </c>
      <c r="G1014" t="str">
        <f>IFERROR(VLOOKUP($A1014,原始数据_收盘!$A$4:$G$3460,7,0),"")</f>
        <v/>
      </c>
      <c r="H1014">
        <f>IFERROR(VLOOKUP($A1014,原始数据_利率互换_FR007_1年!$A$6:$C$4395,2,0),"")</f>
        <v>3.1612</v>
      </c>
      <c r="I1014">
        <f>IFERROR(VLOOKUP($A1014,原始数据_利率互换_FR007_1年!$A$6:$C$4395,3,0),"")</f>
        <v>3.8538</v>
      </c>
    </row>
    <row r="1015" spans="1:9">
      <c r="A1015" s="6">
        <v>40508</v>
      </c>
      <c r="B1015" t="str">
        <f>IFERROR(VLOOKUP($A1015,原始数据_收盘!$A$4:$G$3460,2,0),"")</f>
        <v/>
      </c>
      <c r="C1015" t="str">
        <f>IFERROR(VLOOKUP($A1015,原始数据_收盘!$A$4:$G$3460,3,0),"")</f>
        <v/>
      </c>
      <c r="D1015" t="str">
        <f>IFERROR(VLOOKUP($A1015,原始数据_收盘!$A$4:$G$3460,4,0),"")</f>
        <v/>
      </c>
      <c r="E1015" t="str">
        <f>IFERROR(VLOOKUP($A1015,原始数据_收盘!$A$4:$G$3460,5,0),"")</f>
        <v/>
      </c>
      <c r="F1015" t="str">
        <f>IFERROR(VLOOKUP($A1015,原始数据_收盘!$A$4:$G$3460,6,0),"")</f>
        <v/>
      </c>
      <c r="G1015" t="str">
        <f>IFERROR(VLOOKUP($A1015,原始数据_收盘!$A$4:$G$3460,7,0),"")</f>
        <v/>
      </c>
      <c r="H1015">
        <f>IFERROR(VLOOKUP($A1015,原始数据_利率互换_FR007_1年!$A$6:$C$4395,2,0),"")</f>
        <v>3.2969</v>
      </c>
      <c r="I1015">
        <f>IFERROR(VLOOKUP($A1015,原始数据_利率互换_FR007_1年!$A$6:$C$4395,3,0),"")</f>
        <v>3.9486</v>
      </c>
    </row>
    <row r="1016" spans="1:9">
      <c r="A1016" s="6">
        <v>40509</v>
      </c>
      <c r="B1016" t="str">
        <f>IFERROR(VLOOKUP($A1016,原始数据_收盘!$A$4:$G$3460,2,0),"")</f>
        <v/>
      </c>
      <c r="C1016" t="str">
        <f>IFERROR(VLOOKUP($A1016,原始数据_收盘!$A$4:$G$3460,3,0),"")</f>
        <v/>
      </c>
      <c r="D1016" t="str">
        <f>IFERROR(VLOOKUP($A1016,原始数据_收盘!$A$4:$G$3460,4,0),"")</f>
        <v/>
      </c>
      <c r="E1016" t="str">
        <f>IFERROR(VLOOKUP($A1016,原始数据_收盘!$A$4:$G$3460,5,0),"")</f>
        <v/>
      </c>
      <c r="F1016" t="str">
        <f>IFERROR(VLOOKUP($A1016,原始数据_收盘!$A$4:$G$3460,6,0),"")</f>
        <v/>
      </c>
      <c r="G1016" t="str">
        <f>IFERROR(VLOOKUP($A1016,原始数据_收盘!$A$4:$G$3460,7,0),"")</f>
        <v/>
      </c>
      <c r="H1016" t="str">
        <f>IFERROR(VLOOKUP($A1016,原始数据_利率互换_FR007_1年!$A$6:$C$4395,2,0),"")</f>
        <v/>
      </c>
      <c r="I1016" t="str">
        <f>IFERROR(VLOOKUP($A1016,原始数据_利率互换_FR007_1年!$A$6:$C$4395,3,0),"")</f>
        <v/>
      </c>
    </row>
    <row r="1017" spans="1:9">
      <c r="A1017" s="6">
        <v>40510</v>
      </c>
      <c r="B1017" t="str">
        <f>IFERROR(VLOOKUP($A1017,原始数据_收盘!$A$4:$G$3460,2,0),"")</f>
        <v/>
      </c>
      <c r="C1017" t="str">
        <f>IFERROR(VLOOKUP($A1017,原始数据_收盘!$A$4:$G$3460,3,0),"")</f>
        <v/>
      </c>
      <c r="D1017" t="str">
        <f>IFERROR(VLOOKUP($A1017,原始数据_收盘!$A$4:$G$3460,4,0),"")</f>
        <v/>
      </c>
      <c r="E1017" t="str">
        <f>IFERROR(VLOOKUP($A1017,原始数据_收盘!$A$4:$G$3460,5,0),"")</f>
        <v/>
      </c>
      <c r="F1017" t="str">
        <f>IFERROR(VLOOKUP($A1017,原始数据_收盘!$A$4:$G$3460,6,0),"")</f>
        <v/>
      </c>
      <c r="G1017" t="str">
        <f>IFERROR(VLOOKUP($A1017,原始数据_收盘!$A$4:$G$3460,7,0),"")</f>
        <v/>
      </c>
      <c r="H1017" t="str">
        <f>IFERROR(VLOOKUP($A1017,原始数据_利率互换_FR007_1年!$A$6:$C$4395,2,0),"")</f>
        <v/>
      </c>
      <c r="I1017" t="str">
        <f>IFERROR(VLOOKUP($A1017,原始数据_利率互换_FR007_1年!$A$6:$C$4395,3,0),"")</f>
        <v/>
      </c>
    </row>
    <row r="1018" spans="1:9">
      <c r="A1018" s="6">
        <v>40511</v>
      </c>
      <c r="B1018" t="str">
        <f>IFERROR(VLOOKUP($A1018,原始数据_收盘!$A$4:$G$3460,2,0),"")</f>
        <v/>
      </c>
      <c r="C1018" t="str">
        <f>IFERROR(VLOOKUP($A1018,原始数据_收盘!$A$4:$G$3460,3,0),"")</f>
        <v/>
      </c>
      <c r="D1018" t="str">
        <f>IFERROR(VLOOKUP($A1018,原始数据_收盘!$A$4:$G$3460,4,0),"")</f>
        <v/>
      </c>
      <c r="E1018" t="str">
        <f>IFERROR(VLOOKUP($A1018,原始数据_收盘!$A$4:$G$3460,5,0),"")</f>
        <v/>
      </c>
      <c r="F1018" t="str">
        <f>IFERROR(VLOOKUP($A1018,原始数据_收盘!$A$4:$G$3460,6,0),"")</f>
        <v/>
      </c>
      <c r="G1018" t="str">
        <f>IFERROR(VLOOKUP($A1018,原始数据_收盘!$A$4:$G$3460,7,0),"")</f>
        <v/>
      </c>
      <c r="H1018">
        <f>IFERROR(VLOOKUP($A1018,原始数据_利率互换_FR007_1年!$A$6:$C$4395,2,0),"")</f>
        <v>3.3061</v>
      </c>
      <c r="I1018">
        <f>IFERROR(VLOOKUP($A1018,原始数据_利率互换_FR007_1年!$A$6:$C$4395,3,0),"")</f>
        <v>3.9905</v>
      </c>
    </row>
    <row r="1019" spans="1:9">
      <c r="A1019" s="6">
        <v>40512</v>
      </c>
      <c r="B1019" t="str">
        <f>IFERROR(VLOOKUP($A1019,原始数据_收盘!$A$4:$G$3460,2,0),"")</f>
        <v/>
      </c>
      <c r="C1019" t="str">
        <f>IFERROR(VLOOKUP($A1019,原始数据_收盘!$A$4:$G$3460,3,0),"")</f>
        <v/>
      </c>
      <c r="D1019" t="str">
        <f>IFERROR(VLOOKUP($A1019,原始数据_收盘!$A$4:$G$3460,4,0),"")</f>
        <v/>
      </c>
      <c r="E1019" t="str">
        <f>IFERROR(VLOOKUP($A1019,原始数据_收盘!$A$4:$G$3460,5,0),"")</f>
        <v/>
      </c>
      <c r="F1019" t="str">
        <f>IFERROR(VLOOKUP($A1019,原始数据_收盘!$A$4:$G$3460,6,0),"")</f>
        <v/>
      </c>
      <c r="G1019" t="str">
        <f>IFERROR(VLOOKUP($A1019,原始数据_收盘!$A$4:$G$3460,7,0),"")</f>
        <v/>
      </c>
      <c r="H1019">
        <f>IFERROR(VLOOKUP($A1019,原始数据_利率互换_FR007_1年!$A$6:$C$4395,2,0),"")</f>
        <v>3.6226</v>
      </c>
      <c r="I1019">
        <f>IFERROR(VLOOKUP($A1019,原始数据_利率互换_FR007_1年!$A$6:$C$4395,3,0),"")</f>
        <v>3.9388</v>
      </c>
    </row>
    <row r="1020" spans="1:9">
      <c r="A1020" s="6">
        <v>40513</v>
      </c>
      <c r="B1020" t="str">
        <f>IFERROR(VLOOKUP($A1020,原始数据_收盘!$A$4:$G$3460,2,0),"")</f>
        <v/>
      </c>
      <c r="C1020" t="str">
        <f>IFERROR(VLOOKUP($A1020,原始数据_收盘!$A$4:$G$3460,3,0),"")</f>
        <v/>
      </c>
      <c r="D1020" t="str">
        <f>IFERROR(VLOOKUP($A1020,原始数据_收盘!$A$4:$G$3460,4,0),"")</f>
        <v/>
      </c>
      <c r="E1020" t="str">
        <f>IFERROR(VLOOKUP($A1020,原始数据_收盘!$A$4:$G$3460,5,0),"")</f>
        <v/>
      </c>
      <c r="F1020" t="str">
        <f>IFERROR(VLOOKUP($A1020,原始数据_收盘!$A$4:$G$3460,6,0),"")</f>
        <v/>
      </c>
      <c r="G1020" t="str">
        <f>IFERROR(VLOOKUP($A1020,原始数据_收盘!$A$4:$G$3460,7,0),"")</f>
        <v/>
      </c>
      <c r="H1020">
        <f>IFERROR(VLOOKUP($A1020,原始数据_利率互换_FR007_1年!$A$6:$C$4395,2,0),"")</f>
        <v>3.1603</v>
      </c>
      <c r="I1020">
        <f>IFERROR(VLOOKUP($A1020,原始数据_利率互换_FR007_1年!$A$6:$C$4395,3,0),"")</f>
        <v>3.9374</v>
      </c>
    </row>
    <row r="1021" spans="1:9">
      <c r="A1021" s="6">
        <v>40514</v>
      </c>
      <c r="B1021" t="str">
        <f>IFERROR(VLOOKUP($A1021,原始数据_收盘!$A$4:$G$3460,2,0),"")</f>
        <v/>
      </c>
      <c r="C1021" t="str">
        <f>IFERROR(VLOOKUP($A1021,原始数据_收盘!$A$4:$G$3460,3,0),"")</f>
        <v/>
      </c>
      <c r="D1021" t="str">
        <f>IFERROR(VLOOKUP($A1021,原始数据_收盘!$A$4:$G$3460,4,0),"")</f>
        <v/>
      </c>
      <c r="E1021" t="str">
        <f>IFERROR(VLOOKUP($A1021,原始数据_收盘!$A$4:$G$3460,5,0),"")</f>
        <v/>
      </c>
      <c r="F1021" t="str">
        <f>IFERROR(VLOOKUP($A1021,原始数据_收盘!$A$4:$G$3460,6,0),"")</f>
        <v/>
      </c>
      <c r="G1021" t="str">
        <f>IFERROR(VLOOKUP($A1021,原始数据_收盘!$A$4:$G$3460,7,0),"")</f>
        <v/>
      </c>
      <c r="H1021">
        <f>IFERROR(VLOOKUP($A1021,原始数据_利率互换_FR007_1年!$A$6:$C$4395,2,0),"")</f>
        <v>3.1066</v>
      </c>
      <c r="I1021">
        <f>IFERROR(VLOOKUP($A1021,原始数据_利率互换_FR007_1年!$A$6:$C$4395,3,0),"")</f>
        <v>3.8786</v>
      </c>
    </row>
    <row r="1022" spans="1:9">
      <c r="A1022" s="6">
        <v>40515</v>
      </c>
      <c r="B1022" t="str">
        <f>IFERROR(VLOOKUP($A1022,原始数据_收盘!$A$4:$G$3460,2,0),"")</f>
        <v/>
      </c>
      <c r="C1022" t="str">
        <f>IFERROR(VLOOKUP($A1022,原始数据_收盘!$A$4:$G$3460,3,0),"")</f>
        <v/>
      </c>
      <c r="D1022" t="str">
        <f>IFERROR(VLOOKUP($A1022,原始数据_收盘!$A$4:$G$3460,4,0),"")</f>
        <v/>
      </c>
      <c r="E1022" t="str">
        <f>IFERROR(VLOOKUP($A1022,原始数据_收盘!$A$4:$G$3460,5,0),"")</f>
        <v/>
      </c>
      <c r="F1022" t="str">
        <f>IFERROR(VLOOKUP($A1022,原始数据_收盘!$A$4:$G$3460,6,0),"")</f>
        <v/>
      </c>
      <c r="G1022" t="str">
        <f>IFERROR(VLOOKUP($A1022,原始数据_收盘!$A$4:$G$3460,7,0),"")</f>
        <v/>
      </c>
      <c r="H1022">
        <f>IFERROR(VLOOKUP($A1022,原始数据_利率互换_FR007_1年!$A$6:$C$4395,2,0),"")</f>
        <v>3.1072</v>
      </c>
      <c r="I1022">
        <f>IFERROR(VLOOKUP($A1022,原始数据_利率互换_FR007_1年!$A$6:$C$4395,3,0),"")</f>
        <v>3.8978</v>
      </c>
    </row>
    <row r="1023" spans="1:9">
      <c r="A1023" s="6">
        <v>40516</v>
      </c>
      <c r="B1023" t="str">
        <f>IFERROR(VLOOKUP($A1023,原始数据_收盘!$A$4:$G$3460,2,0),"")</f>
        <v/>
      </c>
      <c r="C1023" t="str">
        <f>IFERROR(VLOOKUP($A1023,原始数据_收盘!$A$4:$G$3460,3,0),"")</f>
        <v/>
      </c>
      <c r="D1023" t="str">
        <f>IFERROR(VLOOKUP($A1023,原始数据_收盘!$A$4:$G$3460,4,0),"")</f>
        <v/>
      </c>
      <c r="E1023" t="str">
        <f>IFERROR(VLOOKUP($A1023,原始数据_收盘!$A$4:$G$3460,5,0),"")</f>
        <v/>
      </c>
      <c r="F1023" t="str">
        <f>IFERROR(VLOOKUP($A1023,原始数据_收盘!$A$4:$G$3460,6,0),"")</f>
        <v/>
      </c>
      <c r="G1023" t="str">
        <f>IFERROR(VLOOKUP($A1023,原始数据_收盘!$A$4:$G$3460,7,0),"")</f>
        <v/>
      </c>
      <c r="H1023" t="str">
        <f>IFERROR(VLOOKUP($A1023,原始数据_利率互换_FR007_1年!$A$6:$C$4395,2,0),"")</f>
        <v/>
      </c>
      <c r="I1023" t="str">
        <f>IFERROR(VLOOKUP($A1023,原始数据_利率互换_FR007_1年!$A$6:$C$4395,3,0),"")</f>
        <v/>
      </c>
    </row>
    <row r="1024" spans="1:9">
      <c r="A1024" s="6">
        <v>40517</v>
      </c>
      <c r="B1024" t="str">
        <f>IFERROR(VLOOKUP($A1024,原始数据_收盘!$A$4:$G$3460,2,0),"")</f>
        <v/>
      </c>
      <c r="C1024" t="str">
        <f>IFERROR(VLOOKUP($A1024,原始数据_收盘!$A$4:$G$3460,3,0),"")</f>
        <v/>
      </c>
      <c r="D1024" t="str">
        <f>IFERROR(VLOOKUP($A1024,原始数据_收盘!$A$4:$G$3460,4,0),"")</f>
        <v/>
      </c>
      <c r="E1024" t="str">
        <f>IFERROR(VLOOKUP($A1024,原始数据_收盘!$A$4:$G$3460,5,0),"")</f>
        <v/>
      </c>
      <c r="F1024" t="str">
        <f>IFERROR(VLOOKUP($A1024,原始数据_收盘!$A$4:$G$3460,6,0),"")</f>
        <v/>
      </c>
      <c r="G1024" t="str">
        <f>IFERROR(VLOOKUP($A1024,原始数据_收盘!$A$4:$G$3460,7,0),"")</f>
        <v/>
      </c>
      <c r="H1024" t="str">
        <f>IFERROR(VLOOKUP($A1024,原始数据_利率互换_FR007_1年!$A$6:$C$4395,2,0),"")</f>
        <v/>
      </c>
      <c r="I1024" t="str">
        <f>IFERROR(VLOOKUP($A1024,原始数据_利率互换_FR007_1年!$A$6:$C$4395,3,0),"")</f>
        <v/>
      </c>
    </row>
    <row r="1025" spans="1:9">
      <c r="A1025" s="6">
        <v>40518</v>
      </c>
      <c r="B1025" t="str">
        <f>IFERROR(VLOOKUP($A1025,原始数据_收盘!$A$4:$G$3460,2,0),"")</f>
        <v/>
      </c>
      <c r="C1025" t="str">
        <f>IFERROR(VLOOKUP($A1025,原始数据_收盘!$A$4:$G$3460,3,0),"")</f>
        <v/>
      </c>
      <c r="D1025" t="str">
        <f>IFERROR(VLOOKUP($A1025,原始数据_收盘!$A$4:$G$3460,4,0),"")</f>
        <v/>
      </c>
      <c r="E1025" t="str">
        <f>IFERROR(VLOOKUP($A1025,原始数据_收盘!$A$4:$G$3460,5,0),"")</f>
        <v/>
      </c>
      <c r="F1025" t="str">
        <f>IFERROR(VLOOKUP($A1025,原始数据_收盘!$A$4:$G$3460,6,0),"")</f>
        <v/>
      </c>
      <c r="G1025" t="str">
        <f>IFERROR(VLOOKUP($A1025,原始数据_收盘!$A$4:$G$3460,7,0),"")</f>
        <v/>
      </c>
      <c r="H1025">
        <f>IFERROR(VLOOKUP($A1025,原始数据_利率互换_FR007_1年!$A$6:$C$4395,2,0),"")</f>
        <v>3.0243</v>
      </c>
      <c r="I1025">
        <f>IFERROR(VLOOKUP($A1025,原始数据_利率互换_FR007_1年!$A$6:$C$4395,3,0),"")</f>
        <v>3.7611</v>
      </c>
    </row>
    <row r="1026" spans="1:9">
      <c r="A1026" s="6">
        <v>40519</v>
      </c>
      <c r="B1026" t="str">
        <f>IFERROR(VLOOKUP($A1026,原始数据_收盘!$A$4:$G$3460,2,0),"")</f>
        <v/>
      </c>
      <c r="C1026" t="str">
        <f>IFERROR(VLOOKUP($A1026,原始数据_收盘!$A$4:$G$3460,3,0),"")</f>
        <v/>
      </c>
      <c r="D1026" t="str">
        <f>IFERROR(VLOOKUP($A1026,原始数据_收盘!$A$4:$G$3460,4,0),"")</f>
        <v/>
      </c>
      <c r="E1026" t="str">
        <f>IFERROR(VLOOKUP($A1026,原始数据_收盘!$A$4:$G$3460,5,0),"")</f>
        <v/>
      </c>
      <c r="F1026" t="str">
        <f>IFERROR(VLOOKUP($A1026,原始数据_收盘!$A$4:$G$3460,6,0),"")</f>
        <v/>
      </c>
      <c r="G1026" t="str">
        <f>IFERROR(VLOOKUP($A1026,原始数据_收盘!$A$4:$G$3460,7,0),"")</f>
        <v/>
      </c>
      <c r="H1026">
        <f>IFERROR(VLOOKUP($A1026,原始数据_利率互换_FR007_1年!$A$6:$C$4395,2,0),"")</f>
        <v>2.9465</v>
      </c>
      <c r="I1026">
        <f>IFERROR(VLOOKUP($A1026,原始数据_利率互换_FR007_1年!$A$6:$C$4395,3,0),"")</f>
        <v>3.7149</v>
      </c>
    </row>
    <row r="1027" spans="1:9">
      <c r="A1027" s="6">
        <v>40520</v>
      </c>
      <c r="B1027" t="str">
        <f>IFERROR(VLOOKUP($A1027,原始数据_收盘!$A$4:$G$3460,2,0),"")</f>
        <v/>
      </c>
      <c r="C1027" t="str">
        <f>IFERROR(VLOOKUP($A1027,原始数据_收盘!$A$4:$G$3460,3,0),"")</f>
        <v/>
      </c>
      <c r="D1027" t="str">
        <f>IFERROR(VLOOKUP($A1027,原始数据_收盘!$A$4:$G$3460,4,0),"")</f>
        <v/>
      </c>
      <c r="E1027" t="str">
        <f>IFERROR(VLOOKUP($A1027,原始数据_收盘!$A$4:$G$3460,5,0),"")</f>
        <v/>
      </c>
      <c r="F1027" t="str">
        <f>IFERROR(VLOOKUP($A1027,原始数据_收盘!$A$4:$G$3460,6,0),"")</f>
        <v/>
      </c>
      <c r="G1027" t="str">
        <f>IFERROR(VLOOKUP($A1027,原始数据_收盘!$A$4:$G$3460,7,0),"")</f>
        <v/>
      </c>
      <c r="H1027">
        <f>IFERROR(VLOOKUP($A1027,原始数据_利率互换_FR007_1年!$A$6:$C$4395,2,0),"")</f>
        <v>3.0003</v>
      </c>
      <c r="I1027">
        <f>IFERROR(VLOOKUP($A1027,原始数据_利率互换_FR007_1年!$A$6:$C$4395,3,0),"")</f>
        <v>3.8057</v>
      </c>
    </row>
    <row r="1028" spans="1:9">
      <c r="A1028" s="6">
        <v>40521</v>
      </c>
      <c r="B1028" t="str">
        <f>IFERROR(VLOOKUP($A1028,原始数据_收盘!$A$4:$G$3460,2,0),"")</f>
        <v/>
      </c>
      <c r="C1028" t="str">
        <f>IFERROR(VLOOKUP($A1028,原始数据_收盘!$A$4:$G$3460,3,0),"")</f>
        <v/>
      </c>
      <c r="D1028" t="str">
        <f>IFERROR(VLOOKUP($A1028,原始数据_收盘!$A$4:$G$3460,4,0),"")</f>
        <v/>
      </c>
      <c r="E1028" t="str">
        <f>IFERROR(VLOOKUP($A1028,原始数据_收盘!$A$4:$G$3460,5,0),"")</f>
        <v/>
      </c>
      <c r="F1028" t="str">
        <f>IFERROR(VLOOKUP($A1028,原始数据_收盘!$A$4:$G$3460,6,0),"")</f>
        <v/>
      </c>
      <c r="G1028" t="str">
        <f>IFERROR(VLOOKUP($A1028,原始数据_收盘!$A$4:$G$3460,7,0),"")</f>
        <v/>
      </c>
      <c r="H1028">
        <f>IFERROR(VLOOKUP($A1028,原始数据_利率互换_FR007_1年!$A$6:$C$4395,2,0),"")</f>
        <v>3.0982</v>
      </c>
      <c r="I1028">
        <f>IFERROR(VLOOKUP($A1028,原始数据_利率互换_FR007_1年!$A$6:$C$4395,3,0),"")</f>
        <v>3.9332</v>
      </c>
    </row>
    <row r="1029" spans="1:9">
      <c r="A1029" s="6">
        <v>40522</v>
      </c>
      <c r="B1029" t="str">
        <f>IFERROR(VLOOKUP($A1029,原始数据_收盘!$A$4:$G$3460,2,0),"")</f>
        <v/>
      </c>
      <c r="C1029" t="str">
        <f>IFERROR(VLOOKUP($A1029,原始数据_收盘!$A$4:$G$3460,3,0),"")</f>
        <v/>
      </c>
      <c r="D1029" t="str">
        <f>IFERROR(VLOOKUP($A1029,原始数据_收盘!$A$4:$G$3460,4,0),"")</f>
        <v/>
      </c>
      <c r="E1029" t="str">
        <f>IFERROR(VLOOKUP($A1029,原始数据_收盘!$A$4:$G$3460,5,0),"")</f>
        <v/>
      </c>
      <c r="F1029" t="str">
        <f>IFERROR(VLOOKUP($A1029,原始数据_收盘!$A$4:$G$3460,6,0),"")</f>
        <v/>
      </c>
      <c r="G1029" t="str">
        <f>IFERROR(VLOOKUP($A1029,原始数据_收盘!$A$4:$G$3460,7,0),"")</f>
        <v/>
      </c>
      <c r="H1029">
        <f>IFERROR(VLOOKUP($A1029,原始数据_利率互换_FR007_1年!$A$6:$C$4395,2,0),"")</f>
        <v>3.1557</v>
      </c>
      <c r="I1029">
        <f>IFERROR(VLOOKUP($A1029,原始数据_利率互换_FR007_1年!$A$6:$C$4395,3,0),"")</f>
        <v>3.9119</v>
      </c>
    </row>
    <row r="1030" spans="1:9">
      <c r="A1030" s="6">
        <v>40523</v>
      </c>
      <c r="B1030" t="str">
        <f>IFERROR(VLOOKUP($A1030,原始数据_收盘!$A$4:$G$3460,2,0),"")</f>
        <v/>
      </c>
      <c r="C1030" t="str">
        <f>IFERROR(VLOOKUP($A1030,原始数据_收盘!$A$4:$G$3460,3,0),"")</f>
        <v/>
      </c>
      <c r="D1030" t="str">
        <f>IFERROR(VLOOKUP($A1030,原始数据_收盘!$A$4:$G$3460,4,0),"")</f>
        <v/>
      </c>
      <c r="E1030" t="str">
        <f>IFERROR(VLOOKUP($A1030,原始数据_收盘!$A$4:$G$3460,5,0),"")</f>
        <v/>
      </c>
      <c r="F1030" t="str">
        <f>IFERROR(VLOOKUP($A1030,原始数据_收盘!$A$4:$G$3460,6,0),"")</f>
        <v/>
      </c>
      <c r="G1030" t="str">
        <f>IFERROR(VLOOKUP($A1030,原始数据_收盘!$A$4:$G$3460,7,0),"")</f>
        <v/>
      </c>
      <c r="H1030" t="str">
        <f>IFERROR(VLOOKUP($A1030,原始数据_利率互换_FR007_1年!$A$6:$C$4395,2,0),"")</f>
        <v/>
      </c>
      <c r="I1030" t="str">
        <f>IFERROR(VLOOKUP($A1030,原始数据_利率互换_FR007_1年!$A$6:$C$4395,3,0),"")</f>
        <v/>
      </c>
    </row>
    <row r="1031" spans="1:9">
      <c r="A1031" s="6">
        <v>40524</v>
      </c>
      <c r="B1031" t="str">
        <f>IFERROR(VLOOKUP($A1031,原始数据_收盘!$A$4:$G$3460,2,0),"")</f>
        <v/>
      </c>
      <c r="C1031" t="str">
        <f>IFERROR(VLOOKUP($A1031,原始数据_收盘!$A$4:$G$3460,3,0),"")</f>
        <v/>
      </c>
      <c r="D1031" t="str">
        <f>IFERROR(VLOOKUP($A1031,原始数据_收盘!$A$4:$G$3460,4,0),"")</f>
        <v/>
      </c>
      <c r="E1031" t="str">
        <f>IFERROR(VLOOKUP($A1031,原始数据_收盘!$A$4:$G$3460,5,0),"")</f>
        <v/>
      </c>
      <c r="F1031" t="str">
        <f>IFERROR(VLOOKUP($A1031,原始数据_收盘!$A$4:$G$3460,6,0),"")</f>
        <v/>
      </c>
      <c r="G1031" t="str">
        <f>IFERROR(VLOOKUP($A1031,原始数据_收盘!$A$4:$G$3460,7,0),"")</f>
        <v/>
      </c>
      <c r="H1031" t="str">
        <f>IFERROR(VLOOKUP($A1031,原始数据_利率互换_FR007_1年!$A$6:$C$4395,2,0),"")</f>
        <v/>
      </c>
      <c r="I1031" t="str">
        <f>IFERROR(VLOOKUP($A1031,原始数据_利率互换_FR007_1年!$A$6:$C$4395,3,0),"")</f>
        <v/>
      </c>
    </row>
    <row r="1032" spans="1:9">
      <c r="A1032" s="6">
        <v>40525</v>
      </c>
      <c r="B1032" t="str">
        <f>IFERROR(VLOOKUP($A1032,原始数据_收盘!$A$4:$G$3460,2,0),"")</f>
        <v/>
      </c>
      <c r="C1032" t="str">
        <f>IFERROR(VLOOKUP($A1032,原始数据_收盘!$A$4:$G$3460,3,0),"")</f>
        <v/>
      </c>
      <c r="D1032" t="str">
        <f>IFERROR(VLOOKUP($A1032,原始数据_收盘!$A$4:$G$3460,4,0),"")</f>
        <v/>
      </c>
      <c r="E1032" t="str">
        <f>IFERROR(VLOOKUP($A1032,原始数据_收盘!$A$4:$G$3460,5,0),"")</f>
        <v/>
      </c>
      <c r="F1032" t="str">
        <f>IFERROR(VLOOKUP($A1032,原始数据_收盘!$A$4:$G$3460,6,0),"")</f>
        <v/>
      </c>
      <c r="G1032" t="str">
        <f>IFERROR(VLOOKUP($A1032,原始数据_收盘!$A$4:$G$3460,7,0),"")</f>
        <v/>
      </c>
      <c r="H1032">
        <f>IFERROR(VLOOKUP($A1032,原始数据_利率互换_FR007_1年!$A$6:$C$4395,2,0),"")</f>
        <v>3.1238</v>
      </c>
      <c r="I1032">
        <f>IFERROR(VLOOKUP($A1032,原始数据_利率互换_FR007_1年!$A$6:$C$4395,3,0),"")</f>
        <v>3.825</v>
      </c>
    </row>
    <row r="1033" spans="1:9">
      <c r="A1033" s="6">
        <v>40526</v>
      </c>
      <c r="B1033" t="str">
        <f>IFERROR(VLOOKUP($A1033,原始数据_收盘!$A$4:$G$3460,2,0),"")</f>
        <v/>
      </c>
      <c r="C1033" t="str">
        <f>IFERROR(VLOOKUP($A1033,原始数据_收盘!$A$4:$G$3460,3,0),"")</f>
        <v/>
      </c>
      <c r="D1033" t="str">
        <f>IFERROR(VLOOKUP($A1033,原始数据_收盘!$A$4:$G$3460,4,0),"")</f>
        <v/>
      </c>
      <c r="E1033" t="str">
        <f>IFERROR(VLOOKUP($A1033,原始数据_收盘!$A$4:$G$3460,5,0),"")</f>
        <v/>
      </c>
      <c r="F1033" t="str">
        <f>IFERROR(VLOOKUP($A1033,原始数据_收盘!$A$4:$G$3460,6,0),"")</f>
        <v/>
      </c>
      <c r="G1033" t="str">
        <f>IFERROR(VLOOKUP($A1033,原始数据_收盘!$A$4:$G$3460,7,0),"")</f>
        <v/>
      </c>
      <c r="H1033">
        <f>IFERROR(VLOOKUP($A1033,原始数据_利率互换_FR007_1年!$A$6:$C$4395,2,0),"")</f>
        <v>3.1015</v>
      </c>
      <c r="I1033">
        <f>IFERROR(VLOOKUP($A1033,原始数据_利率互换_FR007_1年!$A$6:$C$4395,3,0),"")</f>
        <v>3.8563</v>
      </c>
    </row>
    <row r="1034" spans="1:9">
      <c r="A1034" s="6">
        <v>40527</v>
      </c>
      <c r="B1034" t="str">
        <f>IFERROR(VLOOKUP($A1034,原始数据_收盘!$A$4:$G$3460,2,0),"")</f>
        <v/>
      </c>
      <c r="C1034" t="str">
        <f>IFERROR(VLOOKUP($A1034,原始数据_收盘!$A$4:$G$3460,3,0),"")</f>
        <v/>
      </c>
      <c r="D1034" t="str">
        <f>IFERROR(VLOOKUP($A1034,原始数据_收盘!$A$4:$G$3460,4,0),"")</f>
        <v/>
      </c>
      <c r="E1034" t="str">
        <f>IFERROR(VLOOKUP($A1034,原始数据_收盘!$A$4:$G$3460,5,0),"")</f>
        <v/>
      </c>
      <c r="F1034" t="str">
        <f>IFERROR(VLOOKUP($A1034,原始数据_收盘!$A$4:$G$3460,6,0),"")</f>
        <v/>
      </c>
      <c r="G1034" t="str">
        <f>IFERROR(VLOOKUP($A1034,原始数据_收盘!$A$4:$G$3460,7,0),"")</f>
        <v/>
      </c>
      <c r="H1034">
        <f>IFERROR(VLOOKUP($A1034,原始数据_利率互换_FR007_1年!$A$6:$C$4395,2,0),"")</f>
        <v>3.1338</v>
      </c>
      <c r="I1034">
        <f>IFERROR(VLOOKUP($A1034,原始数据_利率互换_FR007_1年!$A$6:$C$4395,3,0),"")</f>
        <v>0</v>
      </c>
    </row>
    <row r="1035" spans="1:9">
      <c r="A1035" s="6">
        <v>40528</v>
      </c>
      <c r="B1035" t="str">
        <f>IFERROR(VLOOKUP($A1035,原始数据_收盘!$A$4:$G$3460,2,0),"")</f>
        <v/>
      </c>
      <c r="C1035" t="str">
        <f>IFERROR(VLOOKUP($A1035,原始数据_收盘!$A$4:$G$3460,3,0),"")</f>
        <v/>
      </c>
      <c r="D1035" t="str">
        <f>IFERROR(VLOOKUP($A1035,原始数据_收盘!$A$4:$G$3460,4,0),"")</f>
        <v/>
      </c>
      <c r="E1035" t="str">
        <f>IFERROR(VLOOKUP($A1035,原始数据_收盘!$A$4:$G$3460,5,0),"")</f>
        <v/>
      </c>
      <c r="F1035" t="str">
        <f>IFERROR(VLOOKUP($A1035,原始数据_收盘!$A$4:$G$3460,6,0),"")</f>
        <v/>
      </c>
      <c r="G1035" t="str">
        <f>IFERROR(VLOOKUP($A1035,原始数据_收盘!$A$4:$G$3460,7,0),"")</f>
        <v/>
      </c>
      <c r="H1035">
        <f>IFERROR(VLOOKUP($A1035,原始数据_利率互换_FR007_1年!$A$6:$C$4395,2,0),"")</f>
        <v>3.15</v>
      </c>
      <c r="I1035">
        <f>IFERROR(VLOOKUP($A1035,原始数据_利率互换_FR007_1年!$A$6:$C$4395,3,0),"")</f>
        <v>0</v>
      </c>
    </row>
    <row r="1036" spans="1:9">
      <c r="A1036" s="6">
        <v>40529</v>
      </c>
      <c r="B1036" t="str">
        <f>IFERROR(VLOOKUP($A1036,原始数据_收盘!$A$4:$G$3460,2,0),"")</f>
        <v/>
      </c>
      <c r="C1036" t="str">
        <f>IFERROR(VLOOKUP($A1036,原始数据_收盘!$A$4:$G$3460,3,0),"")</f>
        <v/>
      </c>
      <c r="D1036" t="str">
        <f>IFERROR(VLOOKUP($A1036,原始数据_收盘!$A$4:$G$3460,4,0),"")</f>
        <v/>
      </c>
      <c r="E1036" t="str">
        <f>IFERROR(VLOOKUP($A1036,原始数据_收盘!$A$4:$G$3460,5,0),"")</f>
        <v/>
      </c>
      <c r="F1036" t="str">
        <f>IFERROR(VLOOKUP($A1036,原始数据_收盘!$A$4:$G$3460,6,0),"")</f>
        <v/>
      </c>
      <c r="G1036" t="str">
        <f>IFERROR(VLOOKUP($A1036,原始数据_收盘!$A$4:$G$3460,7,0),"")</f>
        <v/>
      </c>
      <c r="H1036">
        <f>IFERROR(VLOOKUP($A1036,原始数据_利率互换_FR007_1年!$A$6:$C$4395,2,0),"")</f>
        <v>3.1286</v>
      </c>
      <c r="I1036">
        <f>IFERROR(VLOOKUP($A1036,原始数据_利率互换_FR007_1年!$A$6:$C$4395,3,0),"")</f>
        <v>3.831</v>
      </c>
    </row>
    <row r="1037" spans="1:9">
      <c r="A1037" s="6">
        <v>40530</v>
      </c>
      <c r="B1037" t="str">
        <f>IFERROR(VLOOKUP($A1037,原始数据_收盘!$A$4:$G$3460,2,0),"")</f>
        <v/>
      </c>
      <c r="C1037" t="str">
        <f>IFERROR(VLOOKUP($A1037,原始数据_收盘!$A$4:$G$3460,3,0),"")</f>
        <v/>
      </c>
      <c r="D1037" t="str">
        <f>IFERROR(VLOOKUP($A1037,原始数据_收盘!$A$4:$G$3460,4,0),"")</f>
        <v/>
      </c>
      <c r="E1037" t="str">
        <f>IFERROR(VLOOKUP($A1037,原始数据_收盘!$A$4:$G$3460,5,0),"")</f>
        <v/>
      </c>
      <c r="F1037" t="str">
        <f>IFERROR(VLOOKUP($A1037,原始数据_收盘!$A$4:$G$3460,6,0),"")</f>
        <v/>
      </c>
      <c r="G1037" t="str">
        <f>IFERROR(VLOOKUP($A1037,原始数据_收盘!$A$4:$G$3460,7,0),"")</f>
        <v/>
      </c>
      <c r="H1037" t="str">
        <f>IFERROR(VLOOKUP($A1037,原始数据_利率互换_FR007_1年!$A$6:$C$4395,2,0),"")</f>
        <v/>
      </c>
      <c r="I1037" t="str">
        <f>IFERROR(VLOOKUP($A1037,原始数据_利率互换_FR007_1年!$A$6:$C$4395,3,0),"")</f>
        <v/>
      </c>
    </row>
    <row r="1038" spans="1:9">
      <c r="A1038" s="6">
        <v>40531</v>
      </c>
      <c r="B1038" t="str">
        <f>IFERROR(VLOOKUP($A1038,原始数据_收盘!$A$4:$G$3460,2,0),"")</f>
        <v/>
      </c>
      <c r="C1038" t="str">
        <f>IFERROR(VLOOKUP($A1038,原始数据_收盘!$A$4:$G$3460,3,0),"")</f>
        <v/>
      </c>
      <c r="D1038" t="str">
        <f>IFERROR(VLOOKUP($A1038,原始数据_收盘!$A$4:$G$3460,4,0),"")</f>
        <v/>
      </c>
      <c r="E1038" t="str">
        <f>IFERROR(VLOOKUP($A1038,原始数据_收盘!$A$4:$G$3460,5,0),"")</f>
        <v/>
      </c>
      <c r="F1038" t="str">
        <f>IFERROR(VLOOKUP($A1038,原始数据_收盘!$A$4:$G$3460,6,0),"")</f>
        <v/>
      </c>
      <c r="G1038" t="str">
        <f>IFERROR(VLOOKUP($A1038,原始数据_收盘!$A$4:$G$3460,7,0),"")</f>
        <v/>
      </c>
      <c r="H1038" t="str">
        <f>IFERROR(VLOOKUP($A1038,原始数据_利率互换_FR007_1年!$A$6:$C$4395,2,0),"")</f>
        <v/>
      </c>
      <c r="I1038" t="str">
        <f>IFERROR(VLOOKUP($A1038,原始数据_利率互换_FR007_1年!$A$6:$C$4395,3,0),"")</f>
        <v/>
      </c>
    </row>
    <row r="1039" spans="1:9">
      <c r="A1039" s="6">
        <v>40532</v>
      </c>
      <c r="B1039" t="str">
        <f>IFERROR(VLOOKUP($A1039,原始数据_收盘!$A$4:$G$3460,2,0),"")</f>
        <v/>
      </c>
      <c r="C1039" t="str">
        <f>IFERROR(VLOOKUP($A1039,原始数据_收盘!$A$4:$G$3460,3,0),"")</f>
        <v/>
      </c>
      <c r="D1039" t="str">
        <f>IFERROR(VLOOKUP($A1039,原始数据_收盘!$A$4:$G$3460,4,0),"")</f>
        <v/>
      </c>
      <c r="E1039" t="str">
        <f>IFERROR(VLOOKUP($A1039,原始数据_收盘!$A$4:$G$3460,5,0),"")</f>
        <v/>
      </c>
      <c r="F1039" t="str">
        <f>IFERROR(VLOOKUP($A1039,原始数据_收盘!$A$4:$G$3460,6,0),"")</f>
        <v/>
      </c>
      <c r="G1039" t="str">
        <f>IFERROR(VLOOKUP($A1039,原始数据_收盘!$A$4:$G$3460,7,0),"")</f>
        <v/>
      </c>
      <c r="H1039">
        <f>IFERROR(VLOOKUP($A1039,原始数据_利率互换_FR007_1年!$A$6:$C$4395,2,0),"")</f>
        <v>3.0517</v>
      </c>
      <c r="I1039">
        <f>IFERROR(VLOOKUP($A1039,原始数据_利率互换_FR007_1年!$A$6:$C$4395,3,0),"")</f>
        <v>3.7436</v>
      </c>
    </row>
    <row r="1040" spans="1:9">
      <c r="A1040" s="6">
        <v>40533</v>
      </c>
      <c r="B1040" t="str">
        <f>IFERROR(VLOOKUP($A1040,原始数据_收盘!$A$4:$G$3460,2,0),"")</f>
        <v/>
      </c>
      <c r="C1040" t="str">
        <f>IFERROR(VLOOKUP($A1040,原始数据_收盘!$A$4:$G$3460,3,0),"")</f>
        <v/>
      </c>
      <c r="D1040" t="str">
        <f>IFERROR(VLOOKUP($A1040,原始数据_收盘!$A$4:$G$3460,4,0),"")</f>
        <v/>
      </c>
      <c r="E1040" t="str">
        <f>IFERROR(VLOOKUP($A1040,原始数据_收盘!$A$4:$G$3460,5,0),"")</f>
        <v/>
      </c>
      <c r="F1040" t="str">
        <f>IFERROR(VLOOKUP($A1040,原始数据_收盘!$A$4:$G$3460,6,0),"")</f>
        <v/>
      </c>
      <c r="G1040" t="str">
        <f>IFERROR(VLOOKUP($A1040,原始数据_收盘!$A$4:$G$3460,7,0),"")</f>
        <v/>
      </c>
      <c r="H1040">
        <f>IFERROR(VLOOKUP($A1040,原始数据_利率互换_FR007_1年!$A$6:$C$4395,2,0),"")</f>
        <v>3.0451</v>
      </c>
      <c r="I1040">
        <f>IFERROR(VLOOKUP($A1040,原始数据_利率互换_FR007_1年!$A$6:$C$4395,3,0),"")</f>
        <v>3.765</v>
      </c>
    </row>
    <row r="1041" spans="1:9">
      <c r="A1041" s="6">
        <v>40534</v>
      </c>
      <c r="B1041" t="str">
        <f>IFERROR(VLOOKUP($A1041,原始数据_收盘!$A$4:$G$3460,2,0),"")</f>
        <v/>
      </c>
      <c r="C1041" t="str">
        <f>IFERROR(VLOOKUP($A1041,原始数据_收盘!$A$4:$G$3460,3,0),"")</f>
        <v/>
      </c>
      <c r="D1041" t="str">
        <f>IFERROR(VLOOKUP($A1041,原始数据_收盘!$A$4:$G$3460,4,0),"")</f>
        <v/>
      </c>
      <c r="E1041" t="str">
        <f>IFERROR(VLOOKUP($A1041,原始数据_收盘!$A$4:$G$3460,5,0),"")</f>
        <v/>
      </c>
      <c r="F1041" t="str">
        <f>IFERROR(VLOOKUP($A1041,原始数据_收盘!$A$4:$G$3460,6,0),"")</f>
        <v/>
      </c>
      <c r="G1041" t="str">
        <f>IFERROR(VLOOKUP($A1041,原始数据_收盘!$A$4:$G$3460,7,0),"")</f>
        <v/>
      </c>
      <c r="H1041">
        <f>IFERROR(VLOOKUP($A1041,原始数据_利率互换_FR007_1年!$A$6:$C$4395,2,0),"")</f>
        <v>3.08</v>
      </c>
      <c r="I1041">
        <f>IFERROR(VLOOKUP($A1041,原始数据_利率互换_FR007_1年!$A$6:$C$4395,3,0),"")</f>
        <v>0</v>
      </c>
    </row>
    <row r="1042" spans="1:9">
      <c r="A1042" s="6">
        <v>40535</v>
      </c>
      <c r="B1042" t="str">
        <f>IFERROR(VLOOKUP($A1042,原始数据_收盘!$A$4:$G$3460,2,0),"")</f>
        <v/>
      </c>
      <c r="C1042" t="str">
        <f>IFERROR(VLOOKUP($A1042,原始数据_收盘!$A$4:$G$3460,3,0),"")</f>
        <v/>
      </c>
      <c r="D1042" t="str">
        <f>IFERROR(VLOOKUP($A1042,原始数据_收盘!$A$4:$G$3460,4,0),"")</f>
        <v/>
      </c>
      <c r="E1042" t="str">
        <f>IFERROR(VLOOKUP($A1042,原始数据_收盘!$A$4:$G$3460,5,0),"")</f>
        <v/>
      </c>
      <c r="F1042" t="str">
        <f>IFERROR(VLOOKUP($A1042,原始数据_收盘!$A$4:$G$3460,6,0),"")</f>
        <v/>
      </c>
      <c r="G1042" t="str">
        <f>IFERROR(VLOOKUP($A1042,原始数据_收盘!$A$4:$G$3460,7,0),"")</f>
        <v/>
      </c>
      <c r="H1042">
        <f>IFERROR(VLOOKUP($A1042,原始数据_利率互换_FR007_1年!$A$6:$C$4395,2,0),"")</f>
        <v>3.1232</v>
      </c>
      <c r="I1042">
        <f>IFERROR(VLOOKUP($A1042,原始数据_利率互换_FR007_1年!$A$6:$C$4395,3,0),"")</f>
        <v>3.82</v>
      </c>
    </row>
    <row r="1043" spans="1:9">
      <c r="A1043" s="6">
        <v>40536</v>
      </c>
      <c r="B1043" t="str">
        <f>IFERROR(VLOOKUP($A1043,原始数据_收盘!$A$4:$G$3460,2,0),"")</f>
        <v/>
      </c>
      <c r="C1043" t="str">
        <f>IFERROR(VLOOKUP($A1043,原始数据_收盘!$A$4:$G$3460,3,0),"")</f>
        <v/>
      </c>
      <c r="D1043" t="str">
        <f>IFERROR(VLOOKUP($A1043,原始数据_收盘!$A$4:$G$3460,4,0),"")</f>
        <v/>
      </c>
      <c r="E1043" t="str">
        <f>IFERROR(VLOOKUP($A1043,原始数据_收盘!$A$4:$G$3460,5,0),"")</f>
        <v/>
      </c>
      <c r="F1043" t="str">
        <f>IFERROR(VLOOKUP($A1043,原始数据_收盘!$A$4:$G$3460,6,0),"")</f>
        <v/>
      </c>
      <c r="G1043" t="str">
        <f>IFERROR(VLOOKUP($A1043,原始数据_收盘!$A$4:$G$3460,7,0),"")</f>
        <v/>
      </c>
      <c r="H1043">
        <f>IFERROR(VLOOKUP($A1043,原始数据_利率互换_FR007_1年!$A$6:$C$4395,2,0),"")</f>
        <v>3.1956</v>
      </c>
      <c r="I1043">
        <f>IFERROR(VLOOKUP($A1043,原始数据_利率互换_FR007_1年!$A$6:$C$4395,3,0),"")</f>
        <v>3.81</v>
      </c>
    </row>
    <row r="1044" spans="1:9">
      <c r="A1044" s="6">
        <v>40537</v>
      </c>
      <c r="B1044" t="str">
        <f>IFERROR(VLOOKUP($A1044,原始数据_收盘!$A$4:$G$3460,2,0),"")</f>
        <v/>
      </c>
      <c r="C1044" t="str">
        <f>IFERROR(VLOOKUP($A1044,原始数据_收盘!$A$4:$G$3460,3,0),"")</f>
        <v/>
      </c>
      <c r="D1044" t="str">
        <f>IFERROR(VLOOKUP($A1044,原始数据_收盘!$A$4:$G$3460,4,0),"")</f>
        <v/>
      </c>
      <c r="E1044" t="str">
        <f>IFERROR(VLOOKUP($A1044,原始数据_收盘!$A$4:$G$3460,5,0),"")</f>
        <v/>
      </c>
      <c r="F1044" t="str">
        <f>IFERROR(VLOOKUP($A1044,原始数据_收盘!$A$4:$G$3460,6,0),"")</f>
        <v/>
      </c>
      <c r="G1044" t="str">
        <f>IFERROR(VLOOKUP($A1044,原始数据_收盘!$A$4:$G$3460,7,0),"")</f>
        <v/>
      </c>
      <c r="H1044" t="str">
        <f>IFERROR(VLOOKUP($A1044,原始数据_利率互换_FR007_1年!$A$6:$C$4395,2,0),"")</f>
        <v/>
      </c>
      <c r="I1044" t="str">
        <f>IFERROR(VLOOKUP($A1044,原始数据_利率互换_FR007_1年!$A$6:$C$4395,3,0),"")</f>
        <v/>
      </c>
    </row>
    <row r="1045" spans="1:9">
      <c r="A1045" s="6">
        <v>40538</v>
      </c>
      <c r="B1045" t="str">
        <f>IFERROR(VLOOKUP($A1045,原始数据_收盘!$A$4:$G$3460,2,0),"")</f>
        <v/>
      </c>
      <c r="C1045" t="str">
        <f>IFERROR(VLOOKUP($A1045,原始数据_收盘!$A$4:$G$3460,3,0),"")</f>
        <v/>
      </c>
      <c r="D1045" t="str">
        <f>IFERROR(VLOOKUP($A1045,原始数据_收盘!$A$4:$G$3460,4,0),"")</f>
        <v/>
      </c>
      <c r="E1045" t="str">
        <f>IFERROR(VLOOKUP($A1045,原始数据_收盘!$A$4:$G$3460,5,0),"")</f>
        <v/>
      </c>
      <c r="F1045" t="str">
        <f>IFERROR(VLOOKUP($A1045,原始数据_收盘!$A$4:$G$3460,6,0),"")</f>
        <v/>
      </c>
      <c r="G1045" t="str">
        <f>IFERROR(VLOOKUP($A1045,原始数据_收盘!$A$4:$G$3460,7,0),"")</f>
        <v/>
      </c>
      <c r="H1045" t="str">
        <f>IFERROR(VLOOKUP($A1045,原始数据_利率互换_FR007_1年!$A$6:$C$4395,2,0),"")</f>
        <v/>
      </c>
      <c r="I1045" t="str">
        <f>IFERROR(VLOOKUP($A1045,原始数据_利率互换_FR007_1年!$A$6:$C$4395,3,0),"")</f>
        <v/>
      </c>
    </row>
    <row r="1046" spans="1:9">
      <c r="A1046" s="6">
        <v>40539</v>
      </c>
      <c r="B1046" t="str">
        <f>IFERROR(VLOOKUP($A1046,原始数据_收盘!$A$4:$G$3460,2,0),"")</f>
        <v/>
      </c>
      <c r="C1046" t="str">
        <f>IFERROR(VLOOKUP($A1046,原始数据_收盘!$A$4:$G$3460,3,0),"")</f>
        <v/>
      </c>
      <c r="D1046" t="str">
        <f>IFERROR(VLOOKUP($A1046,原始数据_收盘!$A$4:$G$3460,4,0),"")</f>
        <v/>
      </c>
      <c r="E1046" t="str">
        <f>IFERROR(VLOOKUP($A1046,原始数据_收盘!$A$4:$G$3460,5,0),"")</f>
        <v/>
      </c>
      <c r="F1046" t="str">
        <f>IFERROR(VLOOKUP($A1046,原始数据_收盘!$A$4:$G$3460,6,0),"")</f>
        <v/>
      </c>
      <c r="G1046" t="str">
        <f>IFERROR(VLOOKUP($A1046,原始数据_收盘!$A$4:$G$3460,7,0),"")</f>
        <v/>
      </c>
      <c r="H1046">
        <f>IFERROR(VLOOKUP($A1046,原始数据_利率互换_FR007_1年!$A$6:$C$4395,2,0),"")</f>
        <v>3.2391</v>
      </c>
      <c r="I1046">
        <f>IFERROR(VLOOKUP($A1046,原始数据_利率互换_FR007_1年!$A$6:$C$4395,3,0),"")</f>
        <v>0</v>
      </c>
    </row>
    <row r="1047" spans="1:9">
      <c r="A1047" s="6">
        <v>40540</v>
      </c>
      <c r="B1047" t="str">
        <f>IFERROR(VLOOKUP($A1047,原始数据_收盘!$A$4:$G$3460,2,0),"")</f>
        <v/>
      </c>
      <c r="C1047" t="str">
        <f>IFERROR(VLOOKUP($A1047,原始数据_收盘!$A$4:$G$3460,3,0),"")</f>
        <v/>
      </c>
      <c r="D1047" t="str">
        <f>IFERROR(VLOOKUP($A1047,原始数据_收盘!$A$4:$G$3460,4,0),"")</f>
        <v/>
      </c>
      <c r="E1047" t="str">
        <f>IFERROR(VLOOKUP($A1047,原始数据_收盘!$A$4:$G$3460,5,0),"")</f>
        <v/>
      </c>
      <c r="F1047" t="str">
        <f>IFERROR(VLOOKUP($A1047,原始数据_收盘!$A$4:$G$3460,6,0),"")</f>
        <v/>
      </c>
      <c r="G1047" t="str">
        <f>IFERROR(VLOOKUP($A1047,原始数据_收盘!$A$4:$G$3460,7,0),"")</f>
        <v/>
      </c>
      <c r="H1047">
        <f>IFERROR(VLOOKUP($A1047,原始数据_利率互换_FR007_1年!$A$6:$C$4395,2,0),"")</f>
        <v>3.24</v>
      </c>
      <c r="I1047">
        <f>IFERROR(VLOOKUP($A1047,原始数据_利率互换_FR007_1年!$A$6:$C$4395,3,0),"")</f>
        <v>0</v>
      </c>
    </row>
    <row r="1048" spans="1:9">
      <c r="A1048" s="6">
        <v>40541</v>
      </c>
      <c r="B1048" t="str">
        <f>IFERROR(VLOOKUP($A1048,原始数据_收盘!$A$4:$G$3460,2,0),"")</f>
        <v/>
      </c>
      <c r="C1048" t="str">
        <f>IFERROR(VLOOKUP($A1048,原始数据_收盘!$A$4:$G$3460,3,0),"")</f>
        <v/>
      </c>
      <c r="D1048" t="str">
        <f>IFERROR(VLOOKUP($A1048,原始数据_收盘!$A$4:$G$3460,4,0),"")</f>
        <v/>
      </c>
      <c r="E1048" t="str">
        <f>IFERROR(VLOOKUP($A1048,原始数据_收盘!$A$4:$G$3460,5,0),"")</f>
        <v/>
      </c>
      <c r="F1048" t="str">
        <f>IFERROR(VLOOKUP($A1048,原始数据_收盘!$A$4:$G$3460,6,0),"")</f>
        <v/>
      </c>
      <c r="G1048" t="str">
        <f>IFERROR(VLOOKUP($A1048,原始数据_收盘!$A$4:$G$3460,7,0),"")</f>
        <v/>
      </c>
      <c r="H1048">
        <f>IFERROR(VLOOKUP($A1048,原始数据_利率互换_FR007_1年!$A$6:$C$4395,2,0),"")</f>
        <v>0</v>
      </c>
      <c r="I1048">
        <f>IFERROR(VLOOKUP($A1048,原始数据_利率互换_FR007_1年!$A$6:$C$4395,3,0),"")</f>
        <v>3.84</v>
      </c>
    </row>
    <row r="1049" spans="1:9">
      <c r="A1049" s="6">
        <v>40542</v>
      </c>
      <c r="B1049" t="str">
        <f>IFERROR(VLOOKUP($A1049,原始数据_收盘!$A$4:$G$3460,2,0),"")</f>
        <v/>
      </c>
      <c r="C1049" t="str">
        <f>IFERROR(VLOOKUP($A1049,原始数据_收盘!$A$4:$G$3460,3,0),"")</f>
        <v/>
      </c>
      <c r="D1049" t="str">
        <f>IFERROR(VLOOKUP($A1049,原始数据_收盘!$A$4:$G$3460,4,0),"")</f>
        <v/>
      </c>
      <c r="E1049" t="str">
        <f>IFERROR(VLOOKUP($A1049,原始数据_收盘!$A$4:$G$3460,5,0),"")</f>
        <v/>
      </c>
      <c r="F1049" t="str">
        <f>IFERROR(VLOOKUP($A1049,原始数据_收盘!$A$4:$G$3460,6,0),"")</f>
        <v/>
      </c>
      <c r="G1049" t="str">
        <f>IFERROR(VLOOKUP($A1049,原始数据_收盘!$A$4:$G$3460,7,0),"")</f>
        <v/>
      </c>
      <c r="H1049">
        <f>IFERROR(VLOOKUP($A1049,原始数据_利率互换_FR007_1年!$A$6:$C$4395,2,0),"")</f>
        <v>0</v>
      </c>
      <c r="I1049">
        <f>IFERROR(VLOOKUP($A1049,原始数据_利率互换_FR007_1年!$A$6:$C$4395,3,0),"")</f>
        <v>3.84</v>
      </c>
    </row>
    <row r="1050" spans="1:9">
      <c r="A1050" s="6">
        <v>40543</v>
      </c>
      <c r="B1050" t="str">
        <f>IFERROR(VLOOKUP($A1050,原始数据_收盘!$A$4:$G$3460,2,0),"")</f>
        <v/>
      </c>
      <c r="C1050" t="str">
        <f>IFERROR(VLOOKUP($A1050,原始数据_收盘!$A$4:$G$3460,3,0),"")</f>
        <v/>
      </c>
      <c r="D1050" t="str">
        <f>IFERROR(VLOOKUP($A1050,原始数据_收盘!$A$4:$G$3460,4,0),"")</f>
        <v/>
      </c>
      <c r="E1050" t="str">
        <f>IFERROR(VLOOKUP($A1050,原始数据_收盘!$A$4:$G$3460,5,0),"")</f>
        <v/>
      </c>
      <c r="F1050" t="str">
        <f>IFERROR(VLOOKUP($A1050,原始数据_收盘!$A$4:$G$3460,6,0),"")</f>
        <v/>
      </c>
      <c r="G1050" t="str">
        <f>IFERROR(VLOOKUP($A1050,原始数据_收盘!$A$4:$G$3460,7,0),"")</f>
        <v/>
      </c>
      <c r="H1050">
        <f>IFERROR(VLOOKUP($A1050,原始数据_利率互换_FR007_1年!$A$6:$C$4395,2,0),"")</f>
        <v>0</v>
      </c>
      <c r="I1050">
        <f>IFERROR(VLOOKUP($A1050,原始数据_利率互换_FR007_1年!$A$6:$C$4395,3,0),"")</f>
        <v>3.7925</v>
      </c>
    </row>
    <row r="1051" spans="1:9">
      <c r="A1051" s="6">
        <v>40544</v>
      </c>
      <c r="B1051" t="str">
        <f>IFERROR(VLOOKUP($A1051,原始数据_收盘!$A$4:$G$3460,2,0),"")</f>
        <v/>
      </c>
      <c r="C1051" t="str">
        <f>IFERROR(VLOOKUP($A1051,原始数据_收盘!$A$4:$G$3460,3,0),"")</f>
        <v/>
      </c>
      <c r="D1051" t="str">
        <f>IFERROR(VLOOKUP($A1051,原始数据_收盘!$A$4:$G$3460,4,0),"")</f>
        <v/>
      </c>
      <c r="E1051" t="str">
        <f>IFERROR(VLOOKUP($A1051,原始数据_收盘!$A$4:$G$3460,5,0),"")</f>
        <v/>
      </c>
      <c r="F1051" t="str">
        <f>IFERROR(VLOOKUP($A1051,原始数据_收盘!$A$4:$G$3460,6,0),"")</f>
        <v/>
      </c>
      <c r="G1051" t="str">
        <f>IFERROR(VLOOKUP($A1051,原始数据_收盘!$A$4:$G$3460,7,0),"")</f>
        <v/>
      </c>
      <c r="H1051" t="str">
        <f>IFERROR(VLOOKUP($A1051,原始数据_利率互换_FR007_1年!$A$6:$C$4395,2,0),"")</f>
        <v/>
      </c>
      <c r="I1051" t="str">
        <f>IFERROR(VLOOKUP($A1051,原始数据_利率互换_FR007_1年!$A$6:$C$4395,3,0),"")</f>
        <v/>
      </c>
    </row>
    <row r="1052" spans="1:9">
      <c r="A1052" s="6">
        <v>40545</v>
      </c>
      <c r="B1052" t="str">
        <f>IFERROR(VLOOKUP($A1052,原始数据_收盘!$A$4:$G$3460,2,0),"")</f>
        <v/>
      </c>
      <c r="C1052" t="str">
        <f>IFERROR(VLOOKUP($A1052,原始数据_收盘!$A$4:$G$3460,3,0),"")</f>
        <v/>
      </c>
      <c r="D1052" t="str">
        <f>IFERROR(VLOOKUP($A1052,原始数据_收盘!$A$4:$G$3460,4,0),"")</f>
        <v/>
      </c>
      <c r="E1052" t="str">
        <f>IFERROR(VLOOKUP($A1052,原始数据_收盘!$A$4:$G$3460,5,0),"")</f>
        <v/>
      </c>
      <c r="F1052" t="str">
        <f>IFERROR(VLOOKUP($A1052,原始数据_收盘!$A$4:$G$3460,6,0),"")</f>
        <v/>
      </c>
      <c r="G1052" t="str">
        <f>IFERROR(VLOOKUP($A1052,原始数据_收盘!$A$4:$G$3460,7,0),"")</f>
        <v/>
      </c>
      <c r="H1052" t="str">
        <f>IFERROR(VLOOKUP($A1052,原始数据_利率互换_FR007_1年!$A$6:$C$4395,2,0),"")</f>
        <v/>
      </c>
      <c r="I1052" t="str">
        <f>IFERROR(VLOOKUP($A1052,原始数据_利率互换_FR007_1年!$A$6:$C$4395,3,0),"")</f>
        <v/>
      </c>
    </row>
    <row r="1053" spans="1:9">
      <c r="A1053" s="6">
        <v>40546</v>
      </c>
      <c r="B1053" t="str">
        <f>IFERROR(VLOOKUP($A1053,原始数据_收盘!$A$4:$G$3460,2,0),"")</f>
        <v/>
      </c>
      <c r="C1053" t="str">
        <f>IFERROR(VLOOKUP($A1053,原始数据_收盘!$A$4:$G$3460,3,0),"")</f>
        <v/>
      </c>
      <c r="D1053" t="str">
        <f>IFERROR(VLOOKUP($A1053,原始数据_收盘!$A$4:$G$3460,4,0),"")</f>
        <v/>
      </c>
      <c r="E1053" t="str">
        <f>IFERROR(VLOOKUP($A1053,原始数据_收盘!$A$4:$G$3460,5,0),"")</f>
        <v/>
      </c>
      <c r="F1053" t="str">
        <f>IFERROR(VLOOKUP($A1053,原始数据_收盘!$A$4:$G$3460,6,0),"")</f>
        <v/>
      </c>
      <c r="G1053" t="str">
        <f>IFERROR(VLOOKUP($A1053,原始数据_收盘!$A$4:$G$3460,7,0),"")</f>
        <v/>
      </c>
      <c r="H1053" t="str">
        <f>IFERROR(VLOOKUP($A1053,原始数据_利率互换_FR007_1年!$A$6:$C$4395,2,0),"")</f>
        <v/>
      </c>
      <c r="I1053" t="str">
        <f>IFERROR(VLOOKUP($A1053,原始数据_利率互换_FR007_1年!$A$6:$C$4395,3,0),"")</f>
        <v/>
      </c>
    </row>
    <row r="1054" spans="1:9">
      <c r="A1054" s="6">
        <v>40547</v>
      </c>
      <c r="B1054" t="str">
        <f>IFERROR(VLOOKUP($A1054,原始数据_收盘!$A$4:$G$3460,2,0),"")</f>
        <v/>
      </c>
      <c r="C1054" t="str">
        <f>IFERROR(VLOOKUP($A1054,原始数据_收盘!$A$4:$G$3460,3,0),"")</f>
        <v/>
      </c>
      <c r="D1054" t="str">
        <f>IFERROR(VLOOKUP($A1054,原始数据_收盘!$A$4:$G$3460,4,0),"")</f>
        <v/>
      </c>
      <c r="E1054" t="str">
        <f>IFERROR(VLOOKUP($A1054,原始数据_收盘!$A$4:$G$3460,5,0),"")</f>
        <v/>
      </c>
      <c r="F1054" t="str">
        <f>IFERROR(VLOOKUP($A1054,原始数据_收盘!$A$4:$G$3460,6,0),"")</f>
        <v/>
      </c>
      <c r="G1054" t="str">
        <f>IFERROR(VLOOKUP($A1054,原始数据_收盘!$A$4:$G$3460,7,0),"")</f>
        <v/>
      </c>
      <c r="H1054">
        <f>IFERROR(VLOOKUP($A1054,原始数据_利率互换_FR007_1年!$A$6:$C$4395,2,0),"")</f>
        <v>3.1153</v>
      </c>
      <c r="I1054">
        <f>IFERROR(VLOOKUP($A1054,原始数据_利率互换_FR007_1年!$A$6:$C$4395,3,0),"")</f>
        <v>3.7963</v>
      </c>
    </row>
    <row r="1055" spans="1:9">
      <c r="A1055" s="6">
        <v>40548</v>
      </c>
      <c r="B1055" t="str">
        <f>IFERROR(VLOOKUP($A1055,原始数据_收盘!$A$4:$G$3460,2,0),"")</f>
        <v/>
      </c>
      <c r="C1055" t="str">
        <f>IFERROR(VLOOKUP($A1055,原始数据_收盘!$A$4:$G$3460,3,0),"")</f>
        <v/>
      </c>
      <c r="D1055" t="str">
        <f>IFERROR(VLOOKUP($A1055,原始数据_收盘!$A$4:$G$3460,4,0),"")</f>
        <v/>
      </c>
      <c r="E1055" t="str">
        <f>IFERROR(VLOOKUP($A1055,原始数据_收盘!$A$4:$G$3460,5,0),"")</f>
        <v/>
      </c>
      <c r="F1055" t="str">
        <f>IFERROR(VLOOKUP($A1055,原始数据_收盘!$A$4:$G$3460,6,0),"")</f>
        <v/>
      </c>
      <c r="G1055" t="str">
        <f>IFERROR(VLOOKUP($A1055,原始数据_收盘!$A$4:$G$3460,7,0),"")</f>
        <v/>
      </c>
      <c r="H1055">
        <f>IFERROR(VLOOKUP($A1055,原始数据_利率互换_FR007_1年!$A$6:$C$4395,2,0),"")</f>
        <v>3.128</v>
      </c>
      <c r="I1055">
        <f>IFERROR(VLOOKUP($A1055,原始数据_利率互换_FR007_1年!$A$6:$C$4395,3,0),"")</f>
        <v>3.7973</v>
      </c>
    </row>
    <row r="1056" spans="1:9">
      <c r="A1056" s="6">
        <v>40549</v>
      </c>
      <c r="B1056" t="str">
        <f>IFERROR(VLOOKUP($A1056,原始数据_收盘!$A$4:$G$3460,2,0),"")</f>
        <v/>
      </c>
      <c r="C1056" t="str">
        <f>IFERROR(VLOOKUP($A1056,原始数据_收盘!$A$4:$G$3460,3,0),"")</f>
        <v/>
      </c>
      <c r="D1056" t="str">
        <f>IFERROR(VLOOKUP($A1056,原始数据_收盘!$A$4:$G$3460,4,0),"")</f>
        <v/>
      </c>
      <c r="E1056" t="str">
        <f>IFERROR(VLOOKUP($A1056,原始数据_收盘!$A$4:$G$3460,5,0),"")</f>
        <v/>
      </c>
      <c r="F1056" t="str">
        <f>IFERROR(VLOOKUP($A1056,原始数据_收盘!$A$4:$G$3460,6,0),"")</f>
        <v/>
      </c>
      <c r="G1056" t="str">
        <f>IFERROR(VLOOKUP($A1056,原始数据_收盘!$A$4:$G$3460,7,0),"")</f>
        <v/>
      </c>
      <c r="H1056">
        <f>IFERROR(VLOOKUP($A1056,原始数据_利率互换_FR007_1年!$A$6:$C$4395,2,0),"")</f>
        <v>3.1575</v>
      </c>
      <c r="I1056">
        <f>IFERROR(VLOOKUP($A1056,原始数据_利率互换_FR007_1年!$A$6:$C$4395,3,0),"")</f>
        <v>3.8716</v>
      </c>
    </row>
    <row r="1057" spans="1:9">
      <c r="A1057" s="6">
        <v>40550</v>
      </c>
      <c r="B1057" t="str">
        <f>IFERROR(VLOOKUP($A1057,原始数据_收盘!$A$4:$G$3460,2,0),"")</f>
        <v/>
      </c>
      <c r="C1057" t="str">
        <f>IFERROR(VLOOKUP($A1057,原始数据_收盘!$A$4:$G$3460,3,0),"")</f>
        <v/>
      </c>
      <c r="D1057" t="str">
        <f>IFERROR(VLOOKUP($A1057,原始数据_收盘!$A$4:$G$3460,4,0),"")</f>
        <v/>
      </c>
      <c r="E1057" t="str">
        <f>IFERROR(VLOOKUP($A1057,原始数据_收盘!$A$4:$G$3460,5,0),"")</f>
        <v/>
      </c>
      <c r="F1057" t="str">
        <f>IFERROR(VLOOKUP($A1057,原始数据_收盘!$A$4:$G$3460,6,0),"")</f>
        <v/>
      </c>
      <c r="G1057" t="str">
        <f>IFERROR(VLOOKUP($A1057,原始数据_收盘!$A$4:$G$3460,7,0),"")</f>
        <v/>
      </c>
      <c r="H1057">
        <f>IFERROR(VLOOKUP($A1057,原始数据_利率互换_FR007_1年!$A$6:$C$4395,2,0),"")</f>
        <v>3.155</v>
      </c>
      <c r="I1057">
        <f>IFERROR(VLOOKUP($A1057,原始数据_利率互换_FR007_1年!$A$6:$C$4395,3,0),"")</f>
        <v>3.892</v>
      </c>
    </row>
    <row r="1058" spans="1:9">
      <c r="A1058" s="6">
        <v>40551</v>
      </c>
      <c r="B1058" t="str">
        <f>IFERROR(VLOOKUP($A1058,原始数据_收盘!$A$4:$G$3460,2,0),"")</f>
        <v/>
      </c>
      <c r="C1058" t="str">
        <f>IFERROR(VLOOKUP($A1058,原始数据_收盘!$A$4:$G$3460,3,0),"")</f>
        <v/>
      </c>
      <c r="D1058" t="str">
        <f>IFERROR(VLOOKUP($A1058,原始数据_收盘!$A$4:$G$3460,4,0),"")</f>
        <v/>
      </c>
      <c r="E1058" t="str">
        <f>IFERROR(VLOOKUP($A1058,原始数据_收盘!$A$4:$G$3460,5,0),"")</f>
        <v/>
      </c>
      <c r="F1058" t="str">
        <f>IFERROR(VLOOKUP($A1058,原始数据_收盘!$A$4:$G$3460,6,0),"")</f>
        <v/>
      </c>
      <c r="G1058" t="str">
        <f>IFERROR(VLOOKUP($A1058,原始数据_收盘!$A$4:$G$3460,7,0),"")</f>
        <v/>
      </c>
      <c r="H1058" t="str">
        <f>IFERROR(VLOOKUP($A1058,原始数据_利率互换_FR007_1年!$A$6:$C$4395,2,0),"")</f>
        <v/>
      </c>
      <c r="I1058" t="str">
        <f>IFERROR(VLOOKUP($A1058,原始数据_利率互换_FR007_1年!$A$6:$C$4395,3,0),"")</f>
        <v/>
      </c>
    </row>
    <row r="1059" spans="1:9">
      <c r="A1059" s="6">
        <v>40552</v>
      </c>
      <c r="B1059" t="str">
        <f>IFERROR(VLOOKUP($A1059,原始数据_收盘!$A$4:$G$3460,2,0),"")</f>
        <v/>
      </c>
      <c r="C1059" t="str">
        <f>IFERROR(VLOOKUP($A1059,原始数据_收盘!$A$4:$G$3460,3,0),"")</f>
        <v/>
      </c>
      <c r="D1059" t="str">
        <f>IFERROR(VLOOKUP($A1059,原始数据_收盘!$A$4:$G$3460,4,0),"")</f>
        <v/>
      </c>
      <c r="E1059" t="str">
        <f>IFERROR(VLOOKUP($A1059,原始数据_收盘!$A$4:$G$3460,5,0),"")</f>
        <v/>
      </c>
      <c r="F1059" t="str">
        <f>IFERROR(VLOOKUP($A1059,原始数据_收盘!$A$4:$G$3460,6,0),"")</f>
        <v/>
      </c>
      <c r="G1059" t="str">
        <f>IFERROR(VLOOKUP($A1059,原始数据_收盘!$A$4:$G$3460,7,0),"")</f>
        <v/>
      </c>
      <c r="H1059" t="str">
        <f>IFERROR(VLOOKUP($A1059,原始数据_利率互换_FR007_1年!$A$6:$C$4395,2,0),"")</f>
        <v/>
      </c>
      <c r="I1059" t="str">
        <f>IFERROR(VLOOKUP($A1059,原始数据_利率互换_FR007_1年!$A$6:$C$4395,3,0),"")</f>
        <v/>
      </c>
    </row>
    <row r="1060" spans="1:9">
      <c r="A1060" s="6">
        <v>40553</v>
      </c>
      <c r="B1060" t="str">
        <f>IFERROR(VLOOKUP($A1060,原始数据_收盘!$A$4:$G$3460,2,0),"")</f>
        <v/>
      </c>
      <c r="C1060" t="str">
        <f>IFERROR(VLOOKUP($A1060,原始数据_收盘!$A$4:$G$3460,3,0),"")</f>
        <v/>
      </c>
      <c r="D1060" t="str">
        <f>IFERROR(VLOOKUP($A1060,原始数据_收盘!$A$4:$G$3460,4,0),"")</f>
        <v/>
      </c>
      <c r="E1060" t="str">
        <f>IFERROR(VLOOKUP($A1060,原始数据_收盘!$A$4:$G$3460,5,0),"")</f>
        <v/>
      </c>
      <c r="F1060" t="str">
        <f>IFERROR(VLOOKUP($A1060,原始数据_收盘!$A$4:$G$3460,6,0),"")</f>
        <v/>
      </c>
      <c r="G1060" t="str">
        <f>IFERROR(VLOOKUP($A1060,原始数据_收盘!$A$4:$G$3460,7,0),"")</f>
        <v/>
      </c>
      <c r="H1060">
        <f>IFERROR(VLOOKUP($A1060,原始数据_利率互换_FR007_1年!$A$6:$C$4395,2,0),"")</f>
        <v>0</v>
      </c>
      <c r="I1060">
        <f>IFERROR(VLOOKUP($A1060,原始数据_利率互换_FR007_1年!$A$6:$C$4395,3,0),"")</f>
        <v>3.8959</v>
      </c>
    </row>
    <row r="1061" spans="1:9">
      <c r="A1061" s="6">
        <v>40554</v>
      </c>
      <c r="B1061" t="str">
        <f>IFERROR(VLOOKUP($A1061,原始数据_收盘!$A$4:$G$3460,2,0),"")</f>
        <v/>
      </c>
      <c r="C1061" t="str">
        <f>IFERROR(VLOOKUP($A1061,原始数据_收盘!$A$4:$G$3460,3,0),"")</f>
        <v/>
      </c>
      <c r="D1061" t="str">
        <f>IFERROR(VLOOKUP($A1061,原始数据_收盘!$A$4:$G$3460,4,0),"")</f>
        <v/>
      </c>
      <c r="E1061" t="str">
        <f>IFERROR(VLOOKUP($A1061,原始数据_收盘!$A$4:$G$3460,5,0),"")</f>
        <v/>
      </c>
      <c r="F1061" t="str">
        <f>IFERROR(VLOOKUP($A1061,原始数据_收盘!$A$4:$G$3460,6,0),"")</f>
        <v/>
      </c>
      <c r="G1061" t="str">
        <f>IFERROR(VLOOKUP($A1061,原始数据_收盘!$A$4:$G$3460,7,0),"")</f>
        <v/>
      </c>
      <c r="H1061">
        <f>IFERROR(VLOOKUP($A1061,原始数据_利率互换_FR007_1年!$A$6:$C$4395,2,0),"")</f>
        <v>3.1629</v>
      </c>
      <c r="I1061">
        <f>IFERROR(VLOOKUP($A1061,原始数据_利率互换_FR007_1年!$A$6:$C$4395,3,0),"")</f>
        <v>4.0242</v>
      </c>
    </row>
    <row r="1062" spans="1:9">
      <c r="A1062" s="6">
        <v>40555</v>
      </c>
      <c r="B1062" t="str">
        <f>IFERROR(VLOOKUP($A1062,原始数据_收盘!$A$4:$G$3460,2,0),"")</f>
        <v/>
      </c>
      <c r="C1062" t="str">
        <f>IFERROR(VLOOKUP($A1062,原始数据_收盘!$A$4:$G$3460,3,0),"")</f>
        <v/>
      </c>
      <c r="D1062" t="str">
        <f>IFERROR(VLOOKUP($A1062,原始数据_收盘!$A$4:$G$3460,4,0),"")</f>
        <v/>
      </c>
      <c r="E1062" t="str">
        <f>IFERROR(VLOOKUP($A1062,原始数据_收盘!$A$4:$G$3460,5,0),"")</f>
        <v/>
      </c>
      <c r="F1062" t="str">
        <f>IFERROR(VLOOKUP($A1062,原始数据_收盘!$A$4:$G$3460,6,0),"")</f>
        <v/>
      </c>
      <c r="G1062" t="str">
        <f>IFERROR(VLOOKUP($A1062,原始数据_收盘!$A$4:$G$3460,7,0),"")</f>
        <v/>
      </c>
      <c r="H1062">
        <f>IFERROR(VLOOKUP($A1062,原始数据_利率互换_FR007_1年!$A$6:$C$4395,2,0),"")</f>
        <v>3.1645</v>
      </c>
      <c r="I1062">
        <f>IFERROR(VLOOKUP($A1062,原始数据_利率互换_FR007_1年!$A$6:$C$4395,3,0),"")</f>
        <v>3.9832</v>
      </c>
    </row>
    <row r="1063" spans="1:9">
      <c r="A1063" s="6">
        <v>40556</v>
      </c>
      <c r="B1063" t="str">
        <f>IFERROR(VLOOKUP($A1063,原始数据_收盘!$A$4:$G$3460,2,0),"")</f>
        <v/>
      </c>
      <c r="C1063" t="str">
        <f>IFERROR(VLOOKUP($A1063,原始数据_收盘!$A$4:$G$3460,3,0),"")</f>
        <v/>
      </c>
      <c r="D1063" t="str">
        <f>IFERROR(VLOOKUP($A1063,原始数据_收盘!$A$4:$G$3460,4,0),"")</f>
        <v/>
      </c>
      <c r="E1063" t="str">
        <f>IFERROR(VLOOKUP($A1063,原始数据_收盘!$A$4:$G$3460,5,0),"")</f>
        <v/>
      </c>
      <c r="F1063" t="str">
        <f>IFERROR(VLOOKUP($A1063,原始数据_收盘!$A$4:$G$3460,6,0),"")</f>
        <v/>
      </c>
      <c r="G1063" t="str">
        <f>IFERROR(VLOOKUP($A1063,原始数据_收盘!$A$4:$G$3460,7,0),"")</f>
        <v/>
      </c>
      <c r="H1063">
        <f>IFERROR(VLOOKUP($A1063,原始数据_利率互换_FR007_1年!$A$6:$C$4395,2,0),"")</f>
        <v>3.2015</v>
      </c>
      <c r="I1063">
        <f>IFERROR(VLOOKUP($A1063,原始数据_利率互换_FR007_1年!$A$6:$C$4395,3,0),"")</f>
        <v>4.0463</v>
      </c>
    </row>
    <row r="1064" spans="1:9">
      <c r="A1064" s="6">
        <v>40557</v>
      </c>
      <c r="B1064" t="str">
        <f>IFERROR(VLOOKUP($A1064,原始数据_收盘!$A$4:$G$3460,2,0),"")</f>
        <v/>
      </c>
      <c r="C1064" t="str">
        <f>IFERROR(VLOOKUP($A1064,原始数据_收盘!$A$4:$G$3460,3,0),"")</f>
        <v/>
      </c>
      <c r="D1064" t="str">
        <f>IFERROR(VLOOKUP($A1064,原始数据_收盘!$A$4:$G$3460,4,0),"")</f>
        <v/>
      </c>
      <c r="E1064" t="str">
        <f>IFERROR(VLOOKUP($A1064,原始数据_收盘!$A$4:$G$3460,5,0),"")</f>
        <v/>
      </c>
      <c r="F1064" t="str">
        <f>IFERROR(VLOOKUP($A1064,原始数据_收盘!$A$4:$G$3460,6,0),"")</f>
        <v/>
      </c>
      <c r="G1064" t="str">
        <f>IFERROR(VLOOKUP($A1064,原始数据_收盘!$A$4:$G$3460,7,0),"")</f>
        <v/>
      </c>
      <c r="H1064">
        <f>IFERROR(VLOOKUP($A1064,原始数据_利率互换_FR007_1年!$A$6:$C$4395,2,0),"")</f>
        <v>3.251</v>
      </c>
      <c r="I1064">
        <f>IFERROR(VLOOKUP($A1064,原始数据_利率互换_FR007_1年!$A$6:$C$4395,3,0),"")</f>
        <v>4.0355</v>
      </c>
    </row>
    <row r="1065" spans="1:9">
      <c r="A1065" s="6">
        <v>40558</v>
      </c>
      <c r="B1065" t="str">
        <f>IFERROR(VLOOKUP($A1065,原始数据_收盘!$A$4:$G$3460,2,0),"")</f>
        <v/>
      </c>
      <c r="C1065" t="str">
        <f>IFERROR(VLOOKUP($A1065,原始数据_收盘!$A$4:$G$3460,3,0),"")</f>
        <v/>
      </c>
      <c r="D1065" t="str">
        <f>IFERROR(VLOOKUP($A1065,原始数据_收盘!$A$4:$G$3460,4,0),"")</f>
        <v/>
      </c>
      <c r="E1065" t="str">
        <f>IFERROR(VLOOKUP($A1065,原始数据_收盘!$A$4:$G$3460,5,0),"")</f>
        <v/>
      </c>
      <c r="F1065" t="str">
        <f>IFERROR(VLOOKUP($A1065,原始数据_收盘!$A$4:$G$3460,6,0),"")</f>
        <v/>
      </c>
      <c r="G1065" t="str">
        <f>IFERROR(VLOOKUP($A1065,原始数据_收盘!$A$4:$G$3460,7,0),"")</f>
        <v/>
      </c>
      <c r="H1065" t="str">
        <f>IFERROR(VLOOKUP($A1065,原始数据_利率互换_FR007_1年!$A$6:$C$4395,2,0),"")</f>
        <v/>
      </c>
      <c r="I1065" t="str">
        <f>IFERROR(VLOOKUP($A1065,原始数据_利率互换_FR007_1年!$A$6:$C$4395,3,0),"")</f>
        <v/>
      </c>
    </row>
    <row r="1066" spans="1:9">
      <c r="A1066" s="6">
        <v>40559</v>
      </c>
      <c r="B1066" t="str">
        <f>IFERROR(VLOOKUP($A1066,原始数据_收盘!$A$4:$G$3460,2,0),"")</f>
        <v/>
      </c>
      <c r="C1066" t="str">
        <f>IFERROR(VLOOKUP($A1066,原始数据_收盘!$A$4:$G$3460,3,0),"")</f>
        <v/>
      </c>
      <c r="D1066" t="str">
        <f>IFERROR(VLOOKUP($A1066,原始数据_收盘!$A$4:$G$3460,4,0),"")</f>
        <v/>
      </c>
      <c r="E1066" t="str">
        <f>IFERROR(VLOOKUP($A1066,原始数据_收盘!$A$4:$G$3460,5,0),"")</f>
        <v/>
      </c>
      <c r="F1066" t="str">
        <f>IFERROR(VLOOKUP($A1066,原始数据_收盘!$A$4:$G$3460,6,0),"")</f>
        <v/>
      </c>
      <c r="G1066" t="str">
        <f>IFERROR(VLOOKUP($A1066,原始数据_收盘!$A$4:$G$3460,7,0),"")</f>
        <v/>
      </c>
      <c r="H1066" t="str">
        <f>IFERROR(VLOOKUP($A1066,原始数据_利率互换_FR007_1年!$A$6:$C$4395,2,0),"")</f>
        <v/>
      </c>
      <c r="I1066" t="str">
        <f>IFERROR(VLOOKUP($A1066,原始数据_利率互换_FR007_1年!$A$6:$C$4395,3,0),"")</f>
        <v/>
      </c>
    </row>
    <row r="1067" spans="1:9">
      <c r="A1067" s="6">
        <v>40560</v>
      </c>
      <c r="B1067" t="str">
        <f>IFERROR(VLOOKUP($A1067,原始数据_收盘!$A$4:$G$3460,2,0),"")</f>
        <v/>
      </c>
      <c r="C1067" t="str">
        <f>IFERROR(VLOOKUP($A1067,原始数据_收盘!$A$4:$G$3460,3,0),"")</f>
        <v/>
      </c>
      <c r="D1067" t="str">
        <f>IFERROR(VLOOKUP($A1067,原始数据_收盘!$A$4:$G$3460,4,0),"")</f>
        <v/>
      </c>
      <c r="E1067" t="str">
        <f>IFERROR(VLOOKUP($A1067,原始数据_收盘!$A$4:$G$3460,5,0),"")</f>
        <v/>
      </c>
      <c r="F1067" t="str">
        <f>IFERROR(VLOOKUP($A1067,原始数据_收盘!$A$4:$G$3460,6,0),"")</f>
        <v/>
      </c>
      <c r="G1067" t="str">
        <f>IFERROR(VLOOKUP($A1067,原始数据_收盘!$A$4:$G$3460,7,0),"")</f>
        <v/>
      </c>
      <c r="H1067">
        <f>IFERROR(VLOOKUP($A1067,原始数据_利率互换_FR007_1年!$A$6:$C$4395,2,0),"")</f>
        <v>3.3636</v>
      </c>
      <c r="I1067">
        <f>IFERROR(VLOOKUP($A1067,原始数据_利率互换_FR007_1年!$A$6:$C$4395,3,0),"")</f>
        <v>4.0793</v>
      </c>
    </row>
    <row r="1068" spans="1:9">
      <c r="A1068" s="6">
        <v>40561</v>
      </c>
      <c r="B1068" t="str">
        <f>IFERROR(VLOOKUP($A1068,原始数据_收盘!$A$4:$G$3460,2,0),"")</f>
        <v/>
      </c>
      <c r="C1068" t="str">
        <f>IFERROR(VLOOKUP($A1068,原始数据_收盘!$A$4:$G$3460,3,0),"")</f>
        <v/>
      </c>
      <c r="D1068" t="str">
        <f>IFERROR(VLOOKUP($A1068,原始数据_收盘!$A$4:$G$3460,4,0),"")</f>
        <v/>
      </c>
      <c r="E1068" t="str">
        <f>IFERROR(VLOOKUP($A1068,原始数据_收盘!$A$4:$G$3460,5,0),"")</f>
        <v/>
      </c>
      <c r="F1068" t="str">
        <f>IFERROR(VLOOKUP($A1068,原始数据_收盘!$A$4:$G$3460,6,0),"")</f>
        <v/>
      </c>
      <c r="G1068" t="str">
        <f>IFERROR(VLOOKUP($A1068,原始数据_收盘!$A$4:$G$3460,7,0),"")</f>
        <v/>
      </c>
      <c r="H1068">
        <f>IFERROR(VLOOKUP($A1068,原始数据_利率互换_FR007_1年!$A$6:$C$4395,2,0),"")</f>
        <v>3.4301</v>
      </c>
      <c r="I1068">
        <f>IFERROR(VLOOKUP($A1068,原始数据_利率互换_FR007_1年!$A$6:$C$4395,3,0),"")</f>
        <v>4.0633</v>
      </c>
    </row>
    <row r="1069" spans="1:9">
      <c r="A1069" s="6">
        <v>40562</v>
      </c>
      <c r="B1069" t="str">
        <f>IFERROR(VLOOKUP($A1069,原始数据_收盘!$A$4:$G$3460,2,0),"")</f>
        <v/>
      </c>
      <c r="C1069" t="str">
        <f>IFERROR(VLOOKUP($A1069,原始数据_收盘!$A$4:$G$3460,3,0),"")</f>
        <v/>
      </c>
      <c r="D1069" t="str">
        <f>IFERROR(VLOOKUP($A1069,原始数据_收盘!$A$4:$G$3460,4,0),"")</f>
        <v/>
      </c>
      <c r="E1069" t="str">
        <f>IFERROR(VLOOKUP($A1069,原始数据_收盘!$A$4:$G$3460,5,0),"")</f>
        <v/>
      </c>
      <c r="F1069" t="str">
        <f>IFERROR(VLOOKUP($A1069,原始数据_收盘!$A$4:$G$3460,6,0),"")</f>
        <v/>
      </c>
      <c r="G1069" t="str">
        <f>IFERROR(VLOOKUP($A1069,原始数据_收盘!$A$4:$G$3460,7,0),"")</f>
        <v/>
      </c>
      <c r="H1069">
        <f>IFERROR(VLOOKUP($A1069,原始数据_利率互换_FR007_1年!$A$6:$C$4395,2,0),"")</f>
        <v>3.4839</v>
      </c>
      <c r="I1069">
        <f>IFERROR(VLOOKUP($A1069,原始数据_利率互换_FR007_1年!$A$6:$C$4395,3,0),"")</f>
        <v>4.1063</v>
      </c>
    </row>
    <row r="1070" spans="1:9">
      <c r="A1070" s="6">
        <v>40563</v>
      </c>
      <c r="B1070" t="str">
        <f>IFERROR(VLOOKUP($A1070,原始数据_收盘!$A$4:$G$3460,2,0),"")</f>
        <v/>
      </c>
      <c r="C1070" t="str">
        <f>IFERROR(VLOOKUP($A1070,原始数据_收盘!$A$4:$G$3460,3,0),"")</f>
        <v/>
      </c>
      <c r="D1070" t="str">
        <f>IFERROR(VLOOKUP($A1070,原始数据_收盘!$A$4:$G$3460,4,0),"")</f>
        <v/>
      </c>
      <c r="E1070" t="str">
        <f>IFERROR(VLOOKUP($A1070,原始数据_收盘!$A$4:$G$3460,5,0),"")</f>
        <v/>
      </c>
      <c r="F1070" t="str">
        <f>IFERROR(VLOOKUP($A1070,原始数据_收盘!$A$4:$G$3460,6,0),"")</f>
        <v/>
      </c>
      <c r="G1070" t="str">
        <f>IFERROR(VLOOKUP($A1070,原始数据_收盘!$A$4:$G$3460,7,0),"")</f>
        <v/>
      </c>
      <c r="H1070">
        <f>IFERROR(VLOOKUP($A1070,原始数据_利率互换_FR007_1年!$A$6:$C$4395,2,0),"")</f>
        <v>3.5805</v>
      </c>
      <c r="I1070">
        <f>IFERROR(VLOOKUP($A1070,原始数据_利率互换_FR007_1年!$A$6:$C$4395,3,0),"")</f>
        <v>4.1145</v>
      </c>
    </row>
    <row r="1071" spans="1:9">
      <c r="A1071" s="6">
        <v>40564</v>
      </c>
      <c r="B1071" t="str">
        <f>IFERROR(VLOOKUP($A1071,原始数据_收盘!$A$4:$G$3460,2,0),"")</f>
        <v/>
      </c>
      <c r="C1071" t="str">
        <f>IFERROR(VLOOKUP($A1071,原始数据_收盘!$A$4:$G$3460,3,0),"")</f>
        <v/>
      </c>
      <c r="D1071" t="str">
        <f>IFERROR(VLOOKUP($A1071,原始数据_收盘!$A$4:$G$3460,4,0),"")</f>
        <v/>
      </c>
      <c r="E1071" t="str">
        <f>IFERROR(VLOOKUP($A1071,原始数据_收盘!$A$4:$G$3460,5,0),"")</f>
        <v/>
      </c>
      <c r="F1071" t="str">
        <f>IFERROR(VLOOKUP($A1071,原始数据_收盘!$A$4:$G$3460,6,0),"")</f>
        <v/>
      </c>
      <c r="G1071" t="str">
        <f>IFERROR(VLOOKUP($A1071,原始数据_收盘!$A$4:$G$3460,7,0),"")</f>
        <v/>
      </c>
      <c r="H1071">
        <f>IFERROR(VLOOKUP($A1071,原始数据_利率互换_FR007_1年!$A$6:$C$4395,2,0),"")</f>
        <v>3.6318</v>
      </c>
      <c r="I1071">
        <f>IFERROR(VLOOKUP($A1071,原始数据_利率互换_FR007_1年!$A$6:$C$4395,3,0),"")</f>
        <v>4.1258</v>
      </c>
    </row>
    <row r="1072" spans="1:9">
      <c r="A1072" s="6">
        <v>40565</v>
      </c>
      <c r="B1072" t="str">
        <f>IFERROR(VLOOKUP($A1072,原始数据_收盘!$A$4:$G$3460,2,0),"")</f>
        <v/>
      </c>
      <c r="C1072" t="str">
        <f>IFERROR(VLOOKUP($A1072,原始数据_收盘!$A$4:$G$3460,3,0),"")</f>
        <v/>
      </c>
      <c r="D1072" t="str">
        <f>IFERROR(VLOOKUP($A1072,原始数据_收盘!$A$4:$G$3460,4,0),"")</f>
        <v/>
      </c>
      <c r="E1072" t="str">
        <f>IFERROR(VLOOKUP($A1072,原始数据_收盘!$A$4:$G$3460,5,0),"")</f>
        <v/>
      </c>
      <c r="F1072" t="str">
        <f>IFERROR(VLOOKUP($A1072,原始数据_收盘!$A$4:$G$3460,6,0),"")</f>
        <v/>
      </c>
      <c r="G1072" t="str">
        <f>IFERROR(VLOOKUP($A1072,原始数据_收盘!$A$4:$G$3460,7,0),"")</f>
        <v/>
      </c>
      <c r="H1072" t="str">
        <f>IFERROR(VLOOKUP($A1072,原始数据_利率互换_FR007_1年!$A$6:$C$4395,2,0),"")</f>
        <v/>
      </c>
      <c r="I1072" t="str">
        <f>IFERROR(VLOOKUP($A1072,原始数据_利率互换_FR007_1年!$A$6:$C$4395,3,0),"")</f>
        <v/>
      </c>
    </row>
    <row r="1073" spans="1:9">
      <c r="A1073" s="6">
        <v>40566</v>
      </c>
      <c r="B1073" t="str">
        <f>IFERROR(VLOOKUP($A1073,原始数据_收盘!$A$4:$G$3460,2,0),"")</f>
        <v/>
      </c>
      <c r="C1073" t="str">
        <f>IFERROR(VLOOKUP($A1073,原始数据_收盘!$A$4:$G$3460,3,0),"")</f>
        <v/>
      </c>
      <c r="D1073" t="str">
        <f>IFERROR(VLOOKUP($A1073,原始数据_收盘!$A$4:$G$3460,4,0),"")</f>
        <v/>
      </c>
      <c r="E1073" t="str">
        <f>IFERROR(VLOOKUP($A1073,原始数据_收盘!$A$4:$G$3460,5,0),"")</f>
        <v/>
      </c>
      <c r="F1073" t="str">
        <f>IFERROR(VLOOKUP($A1073,原始数据_收盘!$A$4:$G$3460,6,0),"")</f>
        <v/>
      </c>
      <c r="G1073" t="str">
        <f>IFERROR(VLOOKUP($A1073,原始数据_收盘!$A$4:$G$3460,7,0),"")</f>
        <v/>
      </c>
      <c r="H1073" t="str">
        <f>IFERROR(VLOOKUP($A1073,原始数据_利率互换_FR007_1年!$A$6:$C$4395,2,0),"")</f>
        <v/>
      </c>
      <c r="I1073" t="str">
        <f>IFERROR(VLOOKUP($A1073,原始数据_利率互换_FR007_1年!$A$6:$C$4395,3,0),"")</f>
        <v/>
      </c>
    </row>
    <row r="1074" spans="1:9">
      <c r="A1074" s="6">
        <v>40567</v>
      </c>
      <c r="B1074" t="str">
        <f>IFERROR(VLOOKUP($A1074,原始数据_收盘!$A$4:$G$3460,2,0),"")</f>
        <v/>
      </c>
      <c r="C1074" t="str">
        <f>IFERROR(VLOOKUP($A1074,原始数据_收盘!$A$4:$G$3460,3,0),"")</f>
        <v/>
      </c>
      <c r="D1074" t="str">
        <f>IFERROR(VLOOKUP($A1074,原始数据_收盘!$A$4:$G$3460,4,0),"")</f>
        <v/>
      </c>
      <c r="E1074" t="str">
        <f>IFERROR(VLOOKUP($A1074,原始数据_收盘!$A$4:$G$3460,5,0),"")</f>
        <v/>
      </c>
      <c r="F1074" t="str">
        <f>IFERROR(VLOOKUP($A1074,原始数据_收盘!$A$4:$G$3460,6,0),"")</f>
        <v/>
      </c>
      <c r="G1074" t="str">
        <f>IFERROR(VLOOKUP($A1074,原始数据_收盘!$A$4:$G$3460,7,0),"")</f>
        <v/>
      </c>
      <c r="H1074">
        <f>IFERROR(VLOOKUP($A1074,原始数据_利率互换_FR007_1年!$A$6:$C$4395,2,0),"")</f>
        <v>3.5942</v>
      </c>
      <c r="I1074">
        <f>IFERROR(VLOOKUP($A1074,原始数据_利率互换_FR007_1年!$A$6:$C$4395,3,0),"")</f>
        <v>4.1</v>
      </c>
    </row>
    <row r="1075" spans="1:9">
      <c r="A1075" s="6">
        <v>40568</v>
      </c>
      <c r="B1075" t="str">
        <f>IFERROR(VLOOKUP($A1075,原始数据_收盘!$A$4:$G$3460,2,0),"")</f>
        <v/>
      </c>
      <c r="C1075" t="str">
        <f>IFERROR(VLOOKUP($A1075,原始数据_收盘!$A$4:$G$3460,3,0),"")</f>
        <v/>
      </c>
      <c r="D1075" t="str">
        <f>IFERROR(VLOOKUP($A1075,原始数据_收盘!$A$4:$G$3460,4,0),"")</f>
        <v/>
      </c>
      <c r="E1075" t="str">
        <f>IFERROR(VLOOKUP($A1075,原始数据_收盘!$A$4:$G$3460,5,0),"")</f>
        <v/>
      </c>
      <c r="F1075" t="str">
        <f>IFERROR(VLOOKUP($A1075,原始数据_收盘!$A$4:$G$3460,6,0),"")</f>
        <v/>
      </c>
      <c r="G1075" t="str">
        <f>IFERROR(VLOOKUP($A1075,原始数据_收盘!$A$4:$G$3460,7,0),"")</f>
        <v/>
      </c>
      <c r="H1075">
        <f>IFERROR(VLOOKUP($A1075,原始数据_利率互换_FR007_1年!$A$6:$C$4395,2,0),"")</f>
        <v>3.6076</v>
      </c>
      <c r="I1075">
        <f>IFERROR(VLOOKUP($A1075,原始数据_利率互换_FR007_1年!$A$6:$C$4395,3,0),"")</f>
        <v>4.1025</v>
      </c>
    </row>
    <row r="1076" spans="1:9">
      <c r="A1076" s="6">
        <v>40569</v>
      </c>
      <c r="B1076" t="str">
        <f>IFERROR(VLOOKUP($A1076,原始数据_收盘!$A$4:$G$3460,2,0),"")</f>
        <v/>
      </c>
      <c r="C1076" t="str">
        <f>IFERROR(VLOOKUP($A1076,原始数据_收盘!$A$4:$G$3460,3,0),"")</f>
        <v/>
      </c>
      <c r="D1076" t="str">
        <f>IFERROR(VLOOKUP($A1076,原始数据_收盘!$A$4:$G$3460,4,0),"")</f>
        <v/>
      </c>
      <c r="E1076" t="str">
        <f>IFERROR(VLOOKUP($A1076,原始数据_收盘!$A$4:$G$3460,5,0),"")</f>
        <v/>
      </c>
      <c r="F1076" t="str">
        <f>IFERROR(VLOOKUP($A1076,原始数据_收盘!$A$4:$G$3460,6,0),"")</f>
        <v/>
      </c>
      <c r="G1076" t="str">
        <f>IFERROR(VLOOKUP($A1076,原始数据_收盘!$A$4:$G$3460,7,0),"")</f>
        <v/>
      </c>
      <c r="H1076">
        <f>IFERROR(VLOOKUP($A1076,原始数据_利率互换_FR007_1年!$A$6:$C$4395,2,0),"")</f>
        <v>3.6088</v>
      </c>
      <c r="I1076">
        <f>IFERROR(VLOOKUP($A1076,原始数据_利率互换_FR007_1年!$A$6:$C$4395,3,0),"")</f>
        <v>4.094</v>
      </c>
    </row>
    <row r="1077" spans="1:9">
      <c r="A1077" s="6">
        <v>40570</v>
      </c>
      <c r="B1077" t="str">
        <f>IFERROR(VLOOKUP($A1077,原始数据_收盘!$A$4:$G$3460,2,0),"")</f>
        <v/>
      </c>
      <c r="C1077" t="str">
        <f>IFERROR(VLOOKUP($A1077,原始数据_收盘!$A$4:$G$3460,3,0),"")</f>
        <v/>
      </c>
      <c r="D1077" t="str">
        <f>IFERROR(VLOOKUP($A1077,原始数据_收盘!$A$4:$G$3460,4,0),"")</f>
        <v/>
      </c>
      <c r="E1077" t="str">
        <f>IFERROR(VLOOKUP($A1077,原始数据_收盘!$A$4:$G$3460,5,0),"")</f>
        <v/>
      </c>
      <c r="F1077" t="str">
        <f>IFERROR(VLOOKUP($A1077,原始数据_收盘!$A$4:$G$3460,6,0),"")</f>
        <v/>
      </c>
      <c r="G1077" t="str">
        <f>IFERROR(VLOOKUP($A1077,原始数据_收盘!$A$4:$G$3460,7,0),"")</f>
        <v/>
      </c>
      <c r="H1077">
        <f>IFERROR(VLOOKUP($A1077,原始数据_利率互换_FR007_1年!$A$6:$C$4395,2,0),"")</f>
        <v>3.6391</v>
      </c>
      <c r="I1077">
        <f>IFERROR(VLOOKUP($A1077,原始数据_利率互换_FR007_1年!$A$6:$C$4395,3,0),"")</f>
        <v>4.1748</v>
      </c>
    </row>
    <row r="1078" spans="1:9">
      <c r="A1078" s="6">
        <v>40571</v>
      </c>
      <c r="B1078" t="str">
        <f>IFERROR(VLOOKUP($A1078,原始数据_收盘!$A$4:$G$3460,2,0),"")</f>
        <v/>
      </c>
      <c r="C1078" t="str">
        <f>IFERROR(VLOOKUP($A1078,原始数据_收盘!$A$4:$G$3460,3,0),"")</f>
        <v/>
      </c>
      <c r="D1078" t="str">
        <f>IFERROR(VLOOKUP($A1078,原始数据_收盘!$A$4:$G$3460,4,0),"")</f>
        <v/>
      </c>
      <c r="E1078" t="str">
        <f>IFERROR(VLOOKUP($A1078,原始数据_收盘!$A$4:$G$3460,5,0),"")</f>
        <v/>
      </c>
      <c r="F1078" t="str">
        <f>IFERROR(VLOOKUP($A1078,原始数据_收盘!$A$4:$G$3460,6,0),"")</f>
        <v/>
      </c>
      <c r="G1078" t="str">
        <f>IFERROR(VLOOKUP($A1078,原始数据_收盘!$A$4:$G$3460,7,0),"")</f>
        <v/>
      </c>
      <c r="H1078">
        <f>IFERROR(VLOOKUP($A1078,原始数据_利率互换_FR007_1年!$A$6:$C$4395,2,0),"")</f>
        <v>3.7169</v>
      </c>
      <c r="I1078">
        <f>IFERROR(VLOOKUP($A1078,原始数据_利率互换_FR007_1年!$A$6:$C$4395,3,0),"")</f>
        <v>4.1906</v>
      </c>
    </row>
    <row r="1079" spans="1:9">
      <c r="A1079" s="6">
        <v>40572</v>
      </c>
      <c r="B1079" t="str">
        <f>IFERROR(VLOOKUP($A1079,原始数据_收盘!$A$4:$G$3460,2,0),"")</f>
        <v/>
      </c>
      <c r="C1079" t="str">
        <f>IFERROR(VLOOKUP($A1079,原始数据_收盘!$A$4:$G$3460,3,0),"")</f>
        <v/>
      </c>
      <c r="D1079" t="str">
        <f>IFERROR(VLOOKUP($A1079,原始数据_收盘!$A$4:$G$3460,4,0),"")</f>
        <v/>
      </c>
      <c r="E1079" t="str">
        <f>IFERROR(VLOOKUP($A1079,原始数据_收盘!$A$4:$G$3460,5,0),"")</f>
        <v/>
      </c>
      <c r="F1079" t="str">
        <f>IFERROR(VLOOKUP($A1079,原始数据_收盘!$A$4:$G$3460,6,0),"")</f>
        <v/>
      </c>
      <c r="G1079" t="str">
        <f>IFERROR(VLOOKUP($A1079,原始数据_收盘!$A$4:$G$3460,7,0),"")</f>
        <v/>
      </c>
      <c r="H1079" t="str">
        <f>IFERROR(VLOOKUP($A1079,原始数据_利率互换_FR007_1年!$A$6:$C$4395,2,0),"")</f>
        <v/>
      </c>
      <c r="I1079" t="str">
        <f>IFERROR(VLOOKUP($A1079,原始数据_利率互换_FR007_1年!$A$6:$C$4395,3,0),"")</f>
        <v/>
      </c>
    </row>
    <row r="1080" spans="1:9">
      <c r="A1080" s="6">
        <v>40573</v>
      </c>
      <c r="B1080" t="str">
        <f>IFERROR(VLOOKUP($A1080,原始数据_收盘!$A$4:$G$3460,2,0),"")</f>
        <v/>
      </c>
      <c r="C1080" t="str">
        <f>IFERROR(VLOOKUP($A1080,原始数据_收盘!$A$4:$G$3460,3,0),"")</f>
        <v/>
      </c>
      <c r="D1080" t="str">
        <f>IFERROR(VLOOKUP($A1080,原始数据_收盘!$A$4:$G$3460,4,0),"")</f>
        <v/>
      </c>
      <c r="E1080" t="str">
        <f>IFERROR(VLOOKUP($A1080,原始数据_收盘!$A$4:$G$3460,5,0),"")</f>
        <v/>
      </c>
      <c r="F1080" t="str">
        <f>IFERROR(VLOOKUP($A1080,原始数据_收盘!$A$4:$G$3460,6,0),"")</f>
        <v/>
      </c>
      <c r="G1080" t="str">
        <f>IFERROR(VLOOKUP($A1080,原始数据_收盘!$A$4:$G$3460,7,0),"")</f>
        <v/>
      </c>
      <c r="H1080" t="str">
        <f>IFERROR(VLOOKUP($A1080,原始数据_利率互换_FR007_1年!$A$6:$C$4395,2,0),"")</f>
        <v/>
      </c>
      <c r="I1080" t="str">
        <f>IFERROR(VLOOKUP($A1080,原始数据_利率互换_FR007_1年!$A$6:$C$4395,3,0),"")</f>
        <v/>
      </c>
    </row>
    <row r="1081" spans="1:9">
      <c r="A1081" s="6">
        <v>40574</v>
      </c>
      <c r="B1081" t="str">
        <f>IFERROR(VLOOKUP($A1081,原始数据_收盘!$A$4:$G$3460,2,0),"")</f>
        <v/>
      </c>
      <c r="C1081" t="str">
        <f>IFERROR(VLOOKUP($A1081,原始数据_收盘!$A$4:$G$3460,3,0),"")</f>
        <v/>
      </c>
      <c r="D1081" t="str">
        <f>IFERROR(VLOOKUP($A1081,原始数据_收盘!$A$4:$G$3460,4,0),"")</f>
        <v/>
      </c>
      <c r="E1081" t="str">
        <f>IFERROR(VLOOKUP($A1081,原始数据_收盘!$A$4:$G$3460,5,0),"")</f>
        <v/>
      </c>
      <c r="F1081" t="str">
        <f>IFERROR(VLOOKUP($A1081,原始数据_收盘!$A$4:$G$3460,6,0),"")</f>
        <v/>
      </c>
      <c r="G1081" t="str">
        <f>IFERROR(VLOOKUP($A1081,原始数据_收盘!$A$4:$G$3460,7,0),"")</f>
        <v/>
      </c>
      <c r="H1081">
        <f>IFERROR(VLOOKUP($A1081,原始数据_利率互换_FR007_1年!$A$6:$C$4395,2,0),"")</f>
        <v>3.783</v>
      </c>
      <c r="I1081">
        <f>IFERROR(VLOOKUP($A1081,原始数据_利率互换_FR007_1年!$A$6:$C$4395,3,0),"")</f>
        <v>4.224</v>
      </c>
    </row>
    <row r="1082" spans="1:9">
      <c r="A1082" s="6">
        <v>40575</v>
      </c>
      <c r="B1082" t="str">
        <f>IFERROR(VLOOKUP($A1082,原始数据_收盘!$A$4:$G$3460,2,0),"")</f>
        <v/>
      </c>
      <c r="C1082" t="str">
        <f>IFERROR(VLOOKUP($A1082,原始数据_收盘!$A$4:$G$3460,3,0),"")</f>
        <v/>
      </c>
      <c r="D1082" t="str">
        <f>IFERROR(VLOOKUP($A1082,原始数据_收盘!$A$4:$G$3460,4,0),"")</f>
        <v/>
      </c>
      <c r="E1082" t="str">
        <f>IFERROR(VLOOKUP($A1082,原始数据_收盘!$A$4:$G$3460,5,0),"")</f>
        <v/>
      </c>
      <c r="F1082" t="str">
        <f>IFERROR(VLOOKUP($A1082,原始数据_收盘!$A$4:$G$3460,6,0),"")</f>
        <v/>
      </c>
      <c r="G1082" t="str">
        <f>IFERROR(VLOOKUP($A1082,原始数据_收盘!$A$4:$G$3460,7,0),"")</f>
        <v/>
      </c>
      <c r="H1082">
        <f>IFERROR(VLOOKUP($A1082,原始数据_利率互换_FR007_1年!$A$6:$C$4395,2,0),"")</f>
        <v>3.6702</v>
      </c>
      <c r="I1082">
        <f>IFERROR(VLOOKUP($A1082,原始数据_利率互换_FR007_1年!$A$6:$C$4395,3,0),"")</f>
        <v>4.1617</v>
      </c>
    </row>
    <row r="1083" spans="1:9">
      <c r="A1083" s="6">
        <v>40576</v>
      </c>
      <c r="B1083" t="str">
        <f>IFERROR(VLOOKUP($A1083,原始数据_收盘!$A$4:$G$3460,2,0),"")</f>
        <v/>
      </c>
      <c r="C1083" t="str">
        <f>IFERROR(VLOOKUP($A1083,原始数据_收盘!$A$4:$G$3460,3,0),"")</f>
        <v/>
      </c>
      <c r="D1083" t="str">
        <f>IFERROR(VLOOKUP($A1083,原始数据_收盘!$A$4:$G$3460,4,0),"")</f>
        <v/>
      </c>
      <c r="E1083" t="str">
        <f>IFERROR(VLOOKUP($A1083,原始数据_收盘!$A$4:$G$3460,5,0),"")</f>
        <v/>
      </c>
      <c r="F1083" t="str">
        <f>IFERROR(VLOOKUP($A1083,原始数据_收盘!$A$4:$G$3460,6,0),"")</f>
        <v/>
      </c>
      <c r="G1083" t="str">
        <f>IFERROR(VLOOKUP($A1083,原始数据_收盘!$A$4:$G$3460,7,0),"")</f>
        <v/>
      </c>
      <c r="H1083" t="str">
        <f>IFERROR(VLOOKUP($A1083,原始数据_利率互换_FR007_1年!$A$6:$C$4395,2,0),"")</f>
        <v/>
      </c>
      <c r="I1083" t="str">
        <f>IFERROR(VLOOKUP($A1083,原始数据_利率互换_FR007_1年!$A$6:$C$4395,3,0),"")</f>
        <v/>
      </c>
    </row>
    <row r="1084" spans="1:9">
      <c r="A1084" s="6">
        <v>40577</v>
      </c>
      <c r="B1084" t="str">
        <f>IFERROR(VLOOKUP($A1084,原始数据_收盘!$A$4:$G$3460,2,0),"")</f>
        <v/>
      </c>
      <c r="C1084" t="str">
        <f>IFERROR(VLOOKUP($A1084,原始数据_收盘!$A$4:$G$3460,3,0),"")</f>
        <v/>
      </c>
      <c r="D1084" t="str">
        <f>IFERROR(VLOOKUP($A1084,原始数据_收盘!$A$4:$G$3460,4,0),"")</f>
        <v/>
      </c>
      <c r="E1084" t="str">
        <f>IFERROR(VLOOKUP($A1084,原始数据_收盘!$A$4:$G$3460,5,0),"")</f>
        <v/>
      </c>
      <c r="F1084" t="str">
        <f>IFERROR(VLOOKUP($A1084,原始数据_收盘!$A$4:$G$3460,6,0),"")</f>
        <v/>
      </c>
      <c r="G1084" t="str">
        <f>IFERROR(VLOOKUP($A1084,原始数据_收盘!$A$4:$G$3460,7,0),"")</f>
        <v/>
      </c>
      <c r="H1084" t="str">
        <f>IFERROR(VLOOKUP($A1084,原始数据_利率互换_FR007_1年!$A$6:$C$4395,2,0),"")</f>
        <v/>
      </c>
      <c r="I1084" t="str">
        <f>IFERROR(VLOOKUP($A1084,原始数据_利率互换_FR007_1年!$A$6:$C$4395,3,0),"")</f>
        <v/>
      </c>
    </row>
    <row r="1085" spans="1:9">
      <c r="A1085" s="6">
        <v>40578</v>
      </c>
      <c r="B1085" t="str">
        <f>IFERROR(VLOOKUP($A1085,原始数据_收盘!$A$4:$G$3460,2,0),"")</f>
        <v/>
      </c>
      <c r="C1085" t="str">
        <f>IFERROR(VLOOKUP($A1085,原始数据_收盘!$A$4:$G$3460,3,0),"")</f>
        <v/>
      </c>
      <c r="D1085" t="str">
        <f>IFERROR(VLOOKUP($A1085,原始数据_收盘!$A$4:$G$3460,4,0),"")</f>
        <v/>
      </c>
      <c r="E1085" t="str">
        <f>IFERROR(VLOOKUP($A1085,原始数据_收盘!$A$4:$G$3460,5,0),"")</f>
        <v/>
      </c>
      <c r="F1085" t="str">
        <f>IFERROR(VLOOKUP($A1085,原始数据_收盘!$A$4:$G$3460,6,0),"")</f>
        <v/>
      </c>
      <c r="G1085" t="str">
        <f>IFERROR(VLOOKUP($A1085,原始数据_收盘!$A$4:$G$3460,7,0),"")</f>
        <v/>
      </c>
      <c r="H1085" t="str">
        <f>IFERROR(VLOOKUP($A1085,原始数据_利率互换_FR007_1年!$A$6:$C$4395,2,0),"")</f>
        <v/>
      </c>
      <c r="I1085" t="str">
        <f>IFERROR(VLOOKUP($A1085,原始数据_利率互换_FR007_1年!$A$6:$C$4395,3,0),"")</f>
        <v/>
      </c>
    </row>
    <row r="1086" spans="1:9">
      <c r="A1086" s="6">
        <v>40579</v>
      </c>
      <c r="B1086" t="str">
        <f>IFERROR(VLOOKUP($A1086,原始数据_收盘!$A$4:$G$3460,2,0),"")</f>
        <v/>
      </c>
      <c r="C1086" t="str">
        <f>IFERROR(VLOOKUP($A1086,原始数据_收盘!$A$4:$G$3460,3,0),"")</f>
        <v/>
      </c>
      <c r="D1086" t="str">
        <f>IFERROR(VLOOKUP($A1086,原始数据_收盘!$A$4:$G$3460,4,0),"")</f>
        <v/>
      </c>
      <c r="E1086" t="str">
        <f>IFERROR(VLOOKUP($A1086,原始数据_收盘!$A$4:$G$3460,5,0),"")</f>
        <v/>
      </c>
      <c r="F1086" t="str">
        <f>IFERROR(VLOOKUP($A1086,原始数据_收盘!$A$4:$G$3460,6,0),"")</f>
        <v/>
      </c>
      <c r="G1086" t="str">
        <f>IFERROR(VLOOKUP($A1086,原始数据_收盘!$A$4:$G$3460,7,0),"")</f>
        <v/>
      </c>
      <c r="H1086" t="str">
        <f>IFERROR(VLOOKUP($A1086,原始数据_利率互换_FR007_1年!$A$6:$C$4395,2,0),"")</f>
        <v/>
      </c>
      <c r="I1086" t="str">
        <f>IFERROR(VLOOKUP($A1086,原始数据_利率互换_FR007_1年!$A$6:$C$4395,3,0),"")</f>
        <v/>
      </c>
    </row>
    <row r="1087" spans="1:9">
      <c r="A1087" s="6">
        <v>40580</v>
      </c>
      <c r="B1087" t="str">
        <f>IFERROR(VLOOKUP($A1087,原始数据_收盘!$A$4:$G$3460,2,0),"")</f>
        <v/>
      </c>
      <c r="C1087" t="str">
        <f>IFERROR(VLOOKUP($A1087,原始数据_收盘!$A$4:$G$3460,3,0),"")</f>
        <v/>
      </c>
      <c r="D1087" t="str">
        <f>IFERROR(VLOOKUP($A1087,原始数据_收盘!$A$4:$G$3460,4,0),"")</f>
        <v/>
      </c>
      <c r="E1087" t="str">
        <f>IFERROR(VLOOKUP($A1087,原始数据_收盘!$A$4:$G$3460,5,0),"")</f>
        <v/>
      </c>
      <c r="F1087" t="str">
        <f>IFERROR(VLOOKUP($A1087,原始数据_收盘!$A$4:$G$3460,6,0),"")</f>
        <v/>
      </c>
      <c r="G1087" t="str">
        <f>IFERROR(VLOOKUP($A1087,原始数据_收盘!$A$4:$G$3460,7,0),"")</f>
        <v/>
      </c>
      <c r="H1087" t="str">
        <f>IFERROR(VLOOKUP($A1087,原始数据_利率互换_FR007_1年!$A$6:$C$4395,2,0),"")</f>
        <v/>
      </c>
      <c r="I1087" t="str">
        <f>IFERROR(VLOOKUP($A1087,原始数据_利率互换_FR007_1年!$A$6:$C$4395,3,0),"")</f>
        <v/>
      </c>
    </row>
    <row r="1088" spans="1:9">
      <c r="A1088" s="6">
        <v>40581</v>
      </c>
      <c r="B1088" t="str">
        <f>IFERROR(VLOOKUP($A1088,原始数据_收盘!$A$4:$G$3460,2,0),"")</f>
        <v/>
      </c>
      <c r="C1088" t="str">
        <f>IFERROR(VLOOKUP($A1088,原始数据_收盘!$A$4:$G$3460,3,0),"")</f>
        <v/>
      </c>
      <c r="D1088" t="str">
        <f>IFERROR(VLOOKUP($A1088,原始数据_收盘!$A$4:$G$3460,4,0),"")</f>
        <v/>
      </c>
      <c r="E1088" t="str">
        <f>IFERROR(VLOOKUP($A1088,原始数据_收盘!$A$4:$G$3460,5,0),"")</f>
        <v/>
      </c>
      <c r="F1088" t="str">
        <f>IFERROR(VLOOKUP($A1088,原始数据_收盘!$A$4:$G$3460,6,0),"")</f>
        <v/>
      </c>
      <c r="G1088" t="str">
        <f>IFERROR(VLOOKUP($A1088,原始数据_收盘!$A$4:$G$3460,7,0),"")</f>
        <v/>
      </c>
      <c r="H1088" t="str">
        <f>IFERROR(VLOOKUP($A1088,原始数据_利率互换_FR007_1年!$A$6:$C$4395,2,0),"")</f>
        <v/>
      </c>
      <c r="I1088" t="str">
        <f>IFERROR(VLOOKUP($A1088,原始数据_利率互换_FR007_1年!$A$6:$C$4395,3,0),"")</f>
        <v/>
      </c>
    </row>
    <row r="1089" spans="1:9">
      <c r="A1089" s="6">
        <v>40582</v>
      </c>
      <c r="B1089" t="str">
        <f>IFERROR(VLOOKUP($A1089,原始数据_收盘!$A$4:$G$3460,2,0),"")</f>
        <v/>
      </c>
      <c r="C1089" t="str">
        <f>IFERROR(VLOOKUP($A1089,原始数据_收盘!$A$4:$G$3460,3,0),"")</f>
        <v/>
      </c>
      <c r="D1089" t="str">
        <f>IFERROR(VLOOKUP($A1089,原始数据_收盘!$A$4:$G$3460,4,0),"")</f>
        <v/>
      </c>
      <c r="E1089" t="str">
        <f>IFERROR(VLOOKUP($A1089,原始数据_收盘!$A$4:$G$3460,5,0),"")</f>
        <v/>
      </c>
      <c r="F1089" t="str">
        <f>IFERROR(VLOOKUP($A1089,原始数据_收盘!$A$4:$G$3460,6,0),"")</f>
        <v/>
      </c>
      <c r="G1089" t="str">
        <f>IFERROR(VLOOKUP($A1089,原始数据_收盘!$A$4:$G$3460,7,0),"")</f>
        <v/>
      </c>
      <c r="H1089" t="str">
        <f>IFERROR(VLOOKUP($A1089,原始数据_利率互换_FR007_1年!$A$6:$C$4395,2,0),"")</f>
        <v/>
      </c>
      <c r="I1089" t="str">
        <f>IFERROR(VLOOKUP($A1089,原始数据_利率互换_FR007_1年!$A$6:$C$4395,3,0),"")</f>
        <v/>
      </c>
    </row>
    <row r="1090" spans="1:9">
      <c r="A1090" s="6">
        <v>40583</v>
      </c>
      <c r="B1090" t="str">
        <f>IFERROR(VLOOKUP($A1090,原始数据_收盘!$A$4:$G$3460,2,0),"")</f>
        <v/>
      </c>
      <c r="C1090" t="str">
        <f>IFERROR(VLOOKUP($A1090,原始数据_收盘!$A$4:$G$3460,3,0),"")</f>
        <v/>
      </c>
      <c r="D1090" t="str">
        <f>IFERROR(VLOOKUP($A1090,原始数据_收盘!$A$4:$G$3460,4,0),"")</f>
        <v/>
      </c>
      <c r="E1090" t="str">
        <f>IFERROR(VLOOKUP($A1090,原始数据_收盘!$A$4:$G$3460,5,0),"")</f>
        <v/>
      </c>
      <c r="F1090" t="str">
        <f>IFERROR(VLOOKUP($A1090,原始数据_收盘!$A$4:$G$3460,6,0),"")</f>
        <v/>
      </c>
      <c r="G1090" t="str">
        <f>IFERROR(VLOOKUP($A1090,原始数据_收盘!$A$4:$G$3460,7,0),"")</f>
        <v/>
      </c>
      <c r="H1090">
        <f>IFERROR(VLOOKUP($A1090,原始数据_利率互换_FR007_1年!$A$6:$C$4395,2,0),"")</f>
        <v>3.8831</v>
      </c>
      <c r="I1090">
        <f>IFERROR(VLOOKUP($A1090,原始数据_利率互换_FR007_1年!$A$6:$C$4395,3,0),"")</f>
        <v>4.3713</v>
      </c>
    </row>
    <row r="1091" spans="1:9">
      <c r="A1091" s="6">
        <v>40584</v>
      </c>
      <c r="B1091" t="str">
        <f>IFERROR(VLOOKUP($A1091,原始数据_收盘!$A$4:$G$3460,2,0),"")</f>
        <v/>
      </c>
      <c r="C1091" t="str">
        <f>IFERROR(VLOOKUP($A1091,原始数据_收盘!$A$4:$G$3460,3,0),"")</f>
        <v/>
      </c>
      <c r="D1091" t="str">
        <f>IFERROR(VLOOKUP($A1091,原始数据_收盘!$A$4:$G$3460,4,0),"")</f>
        <v/>
      </c>
      <c r="E1091" t="str">
        <f>IFERROR(VLOOKUP($A1091,原始数据_收盘!$A$4:$G$3460,5,0),"")</f>
        <v/>
      </c>
      <c r="F1091" t="str">
        <f>IFERROR(VLOOKUP($A1091,原始数据_收盘!$A$4:$G$3460,6,0),"")</f>
        <v/>
      </c>
      <c r="G1091" t="str">
        <f>IFERROR(VLOOKUP($A1091,原始数据_收盘!$A$4:$G$3460,7,0),"")</f>
        <v/>
      </c>
      <c r="H1091">
        <f>IFERROR(VLOOKUP($A1091,原始数据_利率互换_FR007_1年!$A$6:$C$4395,2,0),"")</f>
        <v>3.8717</v>
      </c>
      <c r="I1091">
        <f>IFERROR(VLOOKUP($A1091,原始数据_利率互换_FR007_1年!$A$6:$C$4395,3,0),"")</f>
        <v>4.4126</v>
      </c>
    </row>
    <row r="1092" spans="1:9">
      <c r="A1092" s="6">
        <v>40585</v>
      </c>
      <c r="B1092" t="str">
        <f>IFERROR(VLOOKUP($A1092,原始数据_收盘!$A$4:$G$3460,2,0),"")</f>
        <v/>
      </c>
      <c r="C1092" t="str">
        <f>IFERROR(VLOOKUP($A1092,原始数据_收盘!$A$4:$G$3460,3,0),"")</f>
        <v/>
      </c>
      <c r="D1092" t="str">
        <f>IFERROR(VLOOKUP($A1092,原始数据_收盘!$A$4:$G$3460,4,0),"")</f>
        <v/>
      </c>
      <c r="E1092" t="str">
        <f>IFERROR(VLOOKUP($A1092,原始数据_收盘!$A$4:$G$3460,5,0),"")</f>
        <v/>
      </c>
      <c r="F1092" t="str">
        <f>IFERROR(VLOOKUP($A1092,原始数据_收盘!$A$4:$G$3460,6,0),"")</f>
        <v/>
      </c>
      <c r="G1092" t="str">
        <f>IFERROR(VLOOKUP($A1092,原始数据_收盘!$A$4:$G$3460,7,0),"")</f>
        <v/>
      </c>
      <c r="H1092">
        <f>IFERROR(VLOOKUP($A1092,原始数据_利率互换_FR007_1年!$A$6:$C$4395,2,0),"")</f>
        <v>3.8401</v>
      </c>
      <c r="I1092">
        <f>IFERROR(VLOOKUP($A1092,原始数据_利率互换_FR007_1年!$A$6:$C$4395,3,0),"")</f>
        <v>4.37</v>
      </c>
    </row>
    <row r="1093" spans="1:9">
      <c r="A1093" s="6">
        <v>40586</v>
      </c>
      <c r="B1093" t="str">
        <f>IFERROR(VLOOKUP($A1093,原始数据_收盘!$A$4:$G$3460,2,0),"")</f>
        <v/>
      </c>
      <c r="C1093" t="str">
        <f>IFERROR(VLOOKUP($A1093,原始数据_收盘!$A$4:$G$3460,3,0),"")</f>
        <v/>
      </c>
      <c r="D1093" t="str">
        <f>IFERROR(VLOOKUP($A1093,原始数据_收盘!$A$4:$G$3460,4,0),"")</f>
        <v/>
      </c>
      <c r="E1093" t="str">
        <f>IFERROR(VLOOKUP($A1093,原始数据_收盘!$A$4:$G$3460,5,0),"")</f>
        <v/>
      </c>
      <c r="F1093" t="str">
        <f>IFERROR(VLOOKUP($A1093,原始数据_收盘!$A$4:$G$3460,6,0),"")</f>
        <v/>
      </c>
      <c r="G1093" t="str">
        <f>IFERROR(VLOOKUP($A1093,原始数据_收盘!$A$4:$G$3460,7,0),"")</f>
        <v/>
      </c>
      <c r="H1093" t="str">
        <f>IFERROR(VLOOKUP($A1093,原始数据_利率互换_FR007_1年!$A$6:$C$4395,2,0),"")</f>
        <v/>
      </c>
      <c r="I1093" t="str">
        <f>IFERROR(VLOOKUP($A1093,原始数据_利率互换_FR007_1年!$A$6:$C$4395,3,0),"")</f>
        <v/>
      </c>
    </row>
    <row r="1094" spans="1:9">
      <c r="A1094" s="6">
        <v>40587</v>
      </c>
      <c r="B1094" t="str">
        <f>IFERROR(VLOOKUP($A1094,原始数据_收盘!$A$4:$G$3460,2,0),"")</f>
        <v/>
      </c>
      <c r="C1094" t="str">
        <f>IFERROR(VLOOKUP($A1094,原始数据_收盘!$A$4:$G$3460,3,0),"")</f>
        <v/>
      </c>
      <c r="D1094" t="str">
        <f>IFERROR(VLOOKUP($A1094,原始数据_收盘!$A$4:$G$3460,4,0),"")</f>
        <v/>
      </c>
      <c r="E1094" t="str">
        <f>IFERROR(VLOOKUP($A1094,原始数据_收盘!$A$4:$G$3460,5,0),"")</f>
        <v/>
      </c>
      <c r="F1094" t="str">
        <f>IFERROR(VLOOKUP($A1094,原始数据_收盘!$A$4:$G$3460,6,0),"")</f>
        <v/>
      </c>
      <c r="G1094" t="str">
        <f>IFERROR(VLOOKUP($A1094,原始数据_收盘!$A$4:$G$3460,7,0),"")</f>
        <v/>
      </c>
      <c r="H1094" t="str">
        <f>IFERROR(VLOOKUP($A1094,原始数据_利率互换_FR007_1年!$A$6:$C$4395,2,0),"")</f>
        <v/>
      </c>
      <c r="I1094" t="str">
        <f>IFERROR(VLOOKUP($A1094,原始数据_利率互换_FR007_1年!$A$6:$C$4395,3,0),"")</f>
        <v/>
      </c>
    </row>
    <row r="1095" spans="1:9">
      <c r="A1095" s="6">
        <v>40588</v>
      </c>
      <c r="B1095" t="str">
        <f>IFERROR(VLOOKUP($A1095,原始数据_收盘!$A$4:$G$3460,2,0),"")</f>
        <v/>
      </c>
      <c r="C1095" t="str">
        <f>IFERROR(VLOOKUP($A1095,原始数据_收盘!$A$4:$G$3460,3,0),"")</f>
        <v/>
      </c>
      <c r="D1095" t="str">
        <f>IFERROR(VLOOKUP($A1095,原始数据_收盘!$A$4:$G$3460,4,0),"")</f>
        <v/>
      </c>
      <c r="E1095" t="str">
        <f>IFERROR(VLOOKUP($A1095,原始数据_收盘!$A$4:$G$3460,5,0),"")</f>
        <v/>
      </c>
      <c r="F1095" t="str">
        <f>IFERROR(VLOOKUP($A1095,原始数据_收盘!$A$4:$G$3460,6,0),"")</f>
        <v/>
      </c>
      <c r="G1095" t="str">
        <f>IFERROR(VLOOKUP($A1095,原始数据_收盘!$A$4:$G$3460,7,0),"")</f>
        <v/>
      </c>
      <c r="H1095">
        <f>IFERROR(VLOOKUP($A1095,原始数据_利率互换_FR007_1年!$A$6:$C$4395,2,0),"")</f>
        <v>3.755</v>
      </c>
      <c r="I1095">
        <f>IFERROR(VLOOKUP($A1095,原始数据_利率互换_FR007_1年!$A$6:$C$4395,3,0),"")</f>
        <v>4.2922</v>
      </c>
    </row>
    <row r="1096" spans="1:9">
      <c r="A1096" s="6">
        <v>40589</v>
      </c>
      <c r="B1096" t="str">
        <f>IFERROR(VLOOKUP($A1096,原始数据_收盘!$A$4:$G$3460,2,0),"")</f>
        <v/>
      </c>
      <c r="C1096" t="str">
        <f>IFERROR(VLOOKUP($A1096,原始数据_收盘!$A$4:$G$3460,3,0),"")</f>
        <v/>
      </c>
      <c r="D1096" t="str">
        <f>IFERROR(VLOOKUP($A1096,原始数据_收盘!$A$4:$G$3460,4,0),"")</f>
        <v/>
      </c>
      <c r="E1096" t="str">
        <f>IFERROR(VLOOKUP($A1096,原始数据_收盘!$A$4:$G$3460,5,0),"")</f>
        <v/>
      </c>
      <c r="F1096" t="str">
        <f>IFERROR(VLOOKUP($A1096,原始数据_收盘!$A$4:$G$3460,6,0),"")</f>
        <v/>
      </c>
      <c r="G1096" t="str">
        <f>IFERROR(VLOOKUP($A1096,原始数据_收盘!$A$4:$G$3460,7,0),"")</f>
        <v/>
      </c>
      <c r="H1096">
        <f>IFERROR(VLOOKUP($A1096,原始数据_利率互换_FR007_1年!$A$6:$C$4395,2,0),"")</f>
        <v>3.7841</v>
      </c>
      <c r="I1096">
        <f>IFERROR(VLOOKUP($A1096,原始数据_利率互换_FR007_1年!$A$6:$C$4395,3,0),"")</f>
        <v>4.4069</v>
      </c>
    </row>
    <row r="1097" spans="1:9">
      <c r="A1097" s="6">
        <v>40590</v>
      </c>
      <c r="B1097" t="str">
        <f>IFERROR(VLOOKUP($A1097,原始数据_收盘!$A$4:$G$3460,2,0),"")</f>
        <v/>
      </c>
      <c r="C1097" t="str">
        <f>IFERROR(VLOOKUP($A1097,原始数据_收盘!$A$4:$G$3460,3,0),"")</f>
        <v/>
      </c>
      <c r="D1097" t="str">
        <f>IFERROR(VLOOKUP($A1097,原始数据_收盘!$A$4:$G$3460,4,0),"")</f>
        <v/>
      </c>
      <c r="E1097" t="str">
        <f>IFERROR(VLOOKUP($A1097,原始数据_收盘!$A$4:$G$3460,5,0),"")</f>
        <v/>
      </c>
      <c r="F1097" t="str">
        <f>IFERROR(VLOOKUP($A1097,原始数据_收盘!$A$4:$G$3460,6,0),"")</f>
        <v/>
      </c>
      <c r="G1097" t="str">
        <f>IFERROR(VLOOKUP($A1097,原始数据_收盘!$A$4:$G$3460,7,0),"")</f>
        <v/>
      </c>
      <c r="H1097">
        <f>IFERROR(VLOOKUP($A1097,原始数据_利率互换_FR007_1年!$A$6:$C$4395,2,0),"")</f>
        <v>3.8493</v>
      </c>
      <c r="I1097">
        <f>IFERROR(VLOOKUP($A1097,原始数据_利率互换_FR007_1年!$A$6:$C$4395,3,0),"")</f>
        <v>4.4894</v>
      </c>
    </row>
    <row r="1098" spans="1:9">
      <c r="A1098" s="6">
        <v>40591</v>
      </c>
      <c r="B1098" t="str">
        <f>IFERROR(VLOOKUP($A1098,原始数据_收盘!$A$4:$G$3460,2,0),"")</f>
        <v/>
      </c>
      <c r="C1098" t="str">
        <f>IFERROR(VLOOKUP($A1098,原始数据_收盘!$A$4:$G$3460,3,0),"")</f>
        <v/>
      </c>
      <c r="D1098" t="str">
        <f>IFERROR(VLOOKUP($A1098,原始数据_收盘!$A$4:$G$3460,4,0),"")</f>
        <v/>
      </c>
      <c r="E1098" t="str">
        <f>IFERROR(VLOOKUP($A1098,原始数据_收盘!$A$4:$G$3460,5,0),"")</f>
        <v/>
      </c>
      <c r="F1098" t="str">
        <f>IFERROR(VLOOKUP($A1098,原始数据_收盘!$A$4:$G$3460,6,0),"")</f>
        <v/>
      </c>
      <c r="G1098" t="str">
        <f>IFERROR(VLOOKUP($A1098,原始数据_收盘!$A$4:$G$3460,7,0),"")</f>
        <v/>
      </c>
      <c r="H1098">
        <f>IFERROR(VLOOKUP($A1098,原始数据_利率互换_FR007_1年!$A$6:$C$4395,2,0),"")</f>
        <v>3.8464</v>
      </c>
      <c r="I1098">
        <f>IFERROR(VLOOKUP($A1098,原始数据_利率互换_FR007_1年!$A$6:$C$4395,3,0),"")</f>
        <v>4.4638</v>
      </c>
    </row>
    <row r="1099" spans="1:9">
      <c r="A1099" s="6">
        <v>40592</v>
      </c>
      <c r="B1099" t="str">
        <f>IFERROR(VLOOKUP($A1099,原始数据_收盘!$A$4:$G$3460,2,0),"")</f>
        <v/>
      </c>
      <c r="C1099" t="str">
        <f>IFERROR(VLOOKUP($A1099,原始数据_收盘!$A$4:$G$3460,3,0),"")</f>
        <v/>
      </c>
      <c r="D1099" t="str">
        <f>IFERROR(VLOOKUP($A1099,原始数据_收盘!$A$4:$G$3460,4,0),"")</f>
        <v/>
      </c>
      <c r="E1099" t="str">
        <f>IFERROR(VLOOKUP($A1099,原始数据_收盘!$A$4:$G$3460,5,0),"")</f>
        <v/>
      </c>
      <c r="F1099" t="str">
        <f>IFERROR(VLOOKUP($A1099,原始数据_收盘!$A$4:$G$3460,6,0),"")</f>
        <v/>
      </c>
      <c r="G1099" t="str">
        <f>IFERROR(VLOOKUP($A1099,原始数据_收盘!$A$4:$G$3460,7,0),"")</f>
        <v/>
      </c>
      <c r="H1099">
        <f>IFERROR(VLOOKUP($A1099,原始数据_利率互换_FR007_1年!$A$6:$C$4395,2,0),"")</f>
        <v>3.8332</v>
      </c>
      <c r="I1099">
        <f>IFERROR(VLOOKUP($A1099,原始数据_利率互换_FR007_1年!$A$6:$C$4395,3,0),"")</f>
        <v>4.4175</v>
      </c>
    </row>
    <row r="1100" spans="1:9">
      <c r="A1100" s="6">
        <v>40593</v>
      </c>
      <c r="B1100" t="str">
        <f>IFERROR(VLOOKUP($A1100,原始数据_收盘!$A$4:$G$3460,2,0),"")</f>
        <v/>
      </c>
      <c r="C1100" t="str">
        <f>IFERROR(VLOOKUP($A1100,原始数据_收盘!$A$4:$G$3460,3,0),"")</f>
        <v/>
      </c>
      <c r="D1100" t="str">
        <f>IFERROR(VLOOKUP($A1100,原始数据_收盘!$A$4:$G$3460,4,0),"")</f>
        <v/>
      </c>
      <c r="E1100" t="str">
        <f>IFERROR(VLOOKUP($A1100,原始数据_收盘!$A$4:$G$3460,5,0),"")</f>
        <v/>
      </c>
      <c r="F1100" t="str">
        <f>IFERROR(VLOOKUP($A1100,原始数据_收盘!$A$4:$G$3460,6,0),"")</f>
        <v/>
      </c>
      <c r="G1100" t="str">
        <f>IFERROR(VLOOKUP($A1100,原始数据_收盘!$A$4:$G$3460,7,0),"")</f>
        <v/>
      </c>
      <c r="H1100" t="str">
        <f>IFERROR(VLOOKUP($A1100,原始数据_利率互换_FR007_1年!$A$6:$C$4395,2,0),"")</f>
        <v/>
      </c>
      <c r="I1100" t="str">
        <f>IFERROR(VLOOKUP($A1100,原始数据_利率互换_FR007_1年!$A$6:$C$4395,3,0),"")</f>
        <v/>
      </c>
    </row>
    <row r="1101" spans="1:9">
      <c r="A1101" s="6">
        <v>40594</v>
      </c>
      <c r="B1101" t="str">
        <f>IFERROR(VLOOKUP($A1101,原始数据_收盘!$A$4:$G$3460,2,0),"")</f>
        <v/>
      </c>
      <c r="C1101" t="str">
        <f>IFERROR(VLOOKUP($A1101,原始数据_收盘!$A$4:$G$3460,3,0),"")</f>
        <v/>
      </c>
      <c r="D1101" t="str">
        <f>IFERROR(VLOOKUP($A1101,原始数据_收盘!$A$4:$G$3460,4,0),"")</f>
        <v/>
      </c>
      <c r="E1101" t="str">
        <f>IFERROR(VLOOKUP($A1101,原始数据_收盘!$A$4:$G$3460,5,0),"")</f>
        <v/>
      </c>
      <c r="F1101" t="str">
        <f>IFERROR(VLOOKUP($A1101,原始数据_收盘!$A$4:$G$3460,6,0),"")</f>
        <v/>
      </c>
      <c r="G1101" t="str">
        <f>IFERROR(VLOOKUP($A1101,原始数据_收盘!$A$4:$G$3460,7,0),"")</f>
        <v/>
      </c>
      <c r="H1101" t="str">
        <f>IFERROR(VLOOKUP($A1101,原始数据_利率互换_FR007_1年!$A$6:$C$4395,2,0),"")</f>
        <v/>
      </c>
      <c r="I1101" t="str">
        <f>IFERROR(VLOOKUP($A1101,原始数据_利率互换_FR007_1年!$A$6:$C$4395,3,0),"")</f>
        <v/>
      </c>
    </row>
    <row r="1102" spans="1:9">
      <c r="A1102" s="6">
        <v>40595</v>
      </c>
      <c r="B1102" t="str">
        <f>IFERROR(VLOOKUP($A1102,原始数据_收盘!$A$4:$G$3460,2,0),"")</f>
        <v/>
      </c>
      <c r="C1102" t="str">
        <f>IFERROR(VLOOKUP($A1102,原始数据_收盘!$A$4:$G$3460,3,0),"")</f>
        <v/>
      </c>
      <c r="D1102" t="str">
        <f>IFERROR(VLOOKUP($A1102,原始数据_收盘!$A$4:$G$3460,4,0),"")</f>
        <v/>
      </c>
      <c r="E1102" t="str">
        <f>IFERROR(VLOOKUP($A1102,原始数据_收盘!$A$4:$G$3460,5,0),"")</f>
        <v/>
      </c>
      <c r="F1102" t="str">
        <f>IFERROR(VLOOKUP($A1102,原始数据_收盘!$A$4:$G$3460,6,0),"")</f>
        <v/>
      </c>
      <c r="G1102" t="str">
        <f>IFERROR(VLOOKUP($A1102,原始数据_收盘!$A$4:$G$3460,7,0),"")</f>
        <v/>
      </c>
      <c r="H1102">
        <f>IFERROR(VLOOKUP($A1102,原始数据_利率互换_FR007_1年!$A$6:$C$4395,2,0),"")</f>
        <v>3.9855</v>
      </c>
      <c r="I1102">
        <f>IFERROR(VLOOKUP($A1102,原始数据_利率互换_FR007_1年!$A$6:$C$4395,3,0),"")</f>
        <v>4.5257</v>
      </c>
    </row>
    <row r="1103" spans="1:9">
      <c r="A1103" s="6">
        <v>40596</v>
      </c>
      <c r="B1103" t="str">
        <f>IFERROR(VLOOKUP($A1103,原始数据_收盘!$A$4:$G$3460,2,0),"")</f>
        <v/>
      </c>
      <c r="C1103" t="str">
        <f>IFERROR(VLOOKUP($A1103,原始数据_收盘!$A$4:$G$3460,3,0),"")</f>
        <v/>
      </c>
      <c r="D1103" t="str">
        <f>IFERROR(VLOOKUP($A1103,原始数据_收盘!$A$4:$G$3460,4,0),"")</f>
        <v/>
      </c>
      <c r="E1103" t="str">
        <f>IFERROR(VLOOKUP($A1103,原始数据_收盘!$A$4:$G$3460,5,0),"")</f>
        <v/>
      </c>
      <c r="F1103" t="str">
        <f>IFERROR(VLOOKUP($A1103,原始数据_收盘!$A$4:$G$3460,6,0),"")</f>
        <v/>
      </c>
      <c r="G1103" t="str">
        <f>IFERROR(VLOOKUP($A1103,原始数据_收盘!$A$4:$G$3460,7,0),"")</f>
        <v/>
      </c>
      <c r="H1103">
        <f>IFERROR(VLOOKUP($A1103,原始数据_利率互换_FR007_1年!$A$6:$C$4395,2,0),"")</f>
        <v>3.9536</v>
      </c>
      <c r="I1103">
        <f>IFERROR(VLOOKUP($A1103,原始数据_利率互换_FR007_1年!$A$6:$C$4395,3,0),"")</f>
        <v>4.4413</v>
      </c>
    </row>
    <row r="1104" spans="1:9">
      <c r="A1104" s="6">
        <v>40597</v>
      </c>
      <c r="B1104" t="str">
        <f>IFERROR(VLOOKUP($A1104,原始数据_收盘!$A$4:$G$3460,2,0),"")</f>
        <v/>
      </c>
      <c r="C1104" t="str">
        <f>IFERROR(VLOOKUP($A1104,原始数据_收盘!$A$4:$G$3460,3,0),"")</f>
        <v/>
      </c>
      <c r="D1104" t="str">
        <f>IFERROR(VLOOKUP($A1104,原始数据_收盘!$A$4:$G$3460,4,0),"")</f>
        <v/>
      </c>
      <c r="E1104" t="str">
        <f>IFERROR(VLOOKUP($A1104,原始数据_收盘!$A$4:$G$3460,5,0),"")</f>
        <v/>
      </c>
      <c r="F1104" t="str">
        <f>IFERROR(VLOOKUP($A1104,原始数据_收盘!$A$4:$G$3460,6,0),"")</f>
        <v/>
      </c>
      <c r="G1104" t="str">
        <f>IFERROR(VLOOKUP($A1104,原始数据_收盘!$A$4:$G$3460,7,0),"")</f>
        <v/>
      </c>
      <c r="H1104">
        <f>IFERROR(VLOOKUP($A1104,原始数据_利率互换_FR007_1年!$A$6:$C$4395,2,0),"")</f>
        <v>3.8377</v>
      </c>
      <c r="I1104">
        <f>IFERROR(VLOOKUP($A1104,原始数据_利率互换_FR007_1年!$A$6:$C$4395,3,0),"")</f>
        <v>4.3224</v>
      </c>
    </row>
    <row r="1105" spans="1:9">
      <c r="A1105" s="6">
        <v>40598</v>
      </c>
      <c r="B1105" t="str">
        <f>IFERROR(VLOOKUP($A1105,原始数据_收盘!$A$4:$G$3460,2,0),"")</f>
        <v/>
      </c>
      <c r="C1105" t="str">
        <f>IFERROR(VLOOKUP($A1105,原始数据_收盘!$A$4:$G$3460,3,0),"")</f>
        <v/>
      </c>
      <c r="D1105" t="str">
        <f>IFERROR(VLOOKUP($A1105,原始数据_收盘!$A$4:$G$3460,4,0),"")</f>
        <v/>
      </c>
      <c r="E1105" t="str">
        <f>IFERROR(VLOOKUP($A1105,原始数据_收盘!$A$4:$G$3460,5,0),"")</f>
        <v/>
      </c>
      <c r="F1105" t="str">
        <f>IFERROR(VLOOKUP($A1105,原始数据_收盘!$A$4:$G$3460,6,0),"")</f>
        <v/>
      </c>
      <c r="G1105" t="str">
        <f>IFERROR(VLOOKUP($A1105,原始数据_收盘!$A$4:$G$3460,7,0),"")</f>
        <v/>
      </c>
      <c r="H1105">
        <f>IFERROR(VLOOKUP($A1105,原始数据_利率互换_FR007_1年!$A$6:$C$4395,2,0),"")</f>
        <v>3.7513</v>
      </c>
      <c r="I1105">
        <f>IFERROR(VLOOKUP($A1105,原始数据_利率互换_FR007_1年!$A$6:$C$4395,3,0),"")</f>
        <v>4.2391</v>
      </c>
    </row>
    <row r="1106" spans="1:9">
      <c r="A1106" s="6">
        <v>40599</v>
      </c>
      <c r="B1106" t="str">
        <f>IFERROR(VLOOKUP($A1106,原始数据_收盘!$A$4:$G$3460,2,0),"")</f>
        <v/>
      </c>
      <c r="C1106" t="str">
        <f>IFERROR(VLOOKUP($A1106,原始数据_收盘!$A$4:$G$3460,3,0),"")</f>
        <v/>
      </c>
      <c r="D1106" t="str">
        <f>IFERROR(VLOOKUP($A1106,原始数据_收盘!$A$4:$G$3460,4,0),"")</f>
        <v/>
      </c>
      <c r="E1106" t="str">
        <f>IFERROR(VLOOKUP($A1106,原始数据_收盘!$A$4:$G$3460,5,0),"")</f>
        <v/>
      </c>
      <c r="F1106" t="str">
        <f>IFERROR(VLOOKUP($A1106,原始数据_收盘!$A$4:$G$3460,6,0),"")</f>
        <v/>
      </c>
      <c r="G1106" t="str">
        <f>IFERROR(VLOOKUP($A1106,原始数据_收盘!$A$4:$G$3460,7,0),"")</f>
        <v/>
      </c>
      <c r="H1106">
        <f>IFERROR(VLOOKUP($A1106,原始数据_利率互换_FR007_1年!$A$6:$C$4395,2,0),"")</f>
        <v>3.7129</v>
      </c>
      <c r="I1106">
        <f>IFERROR(VLOOKUP($A1106,原始数据_利率互换_FR007_1年!$A$6:$C$4395,3,0),"")</f>
        <v>0</v>
      </c>
    </row>
    <row r="1107" spans="1:9">
      <c r="A1107" s="6">
        <v>40600</v>
      </c>
      <c r="B1107" t="str">
        <f>IFERROR(VLOOKUP($A1107,原始数据_收盘!$A$4:$G$3460,2,0),"")</f>
        <v/>
      </c>
      <c r="C1107" t="str">
        <f>IFERROR(VLOOKUP($A1107,原始数据_收盘!$A$4:$G$3460,3,0),"")</f>
        <v/>
      </c>
      <c r="D1107" t="str">
        <f>IFERROR(VLOOKUP($A1107,原始数据_收盘!$A$4:$G$3460,4,0),"")</f>
        <v/>
      </c>
      <c r="E1107" t="str">
        <f>IFERROR(VLOOKUP($A1107,原始数据_收盘!$A$4:$G$3460,5,0),"")</f>
        <v/>
      </c>
      <c r="F1107" t="str">
        <f>IFERROR(VLOOKUP($A1107,原始数据_收盘!$A$4:$G$3460,6,0),"")</f>
        <v/>
      </c>
      <c r="G1107" t="str">
        <f>IFERROR(VLOOKUP($A1107,原始数据_收盘!$A$4:$G$3460,7,0),"")</f>
        <v/>
      </c>
      <c r="H1107" t="str">
        <f>IFERROR(VLOOKUP($A1107,原始数据_利率互换_FR007_1年!$A$6:$C$4395,2,0),"")</f>
        <v/>
      </c>
      <c r="I1107" t="str">
        <f>IFERROR(VLOOKUP($A1107,原始数据_利率互换_FR007_1年!$A$6:$C$4395,3,0),"")</f>
        <v/>
      </c>
    </row>
    <row r="1108" spans="1:9">
      <c r="A1108" s="6">
        <v>40601</v>
      </c>
      <c r="B1108" t="str">
        <f>IFERROR(VLOOKUP($A1108,原始数据_收盘!$A$4:$G$3460,2,0),"")</f>
        <v/>
      </c>
      <c r="C1108" t="str">
        <f>IFERROR(VLOOKUP($A1108,原始数据_收盘!$A$4:$G$3460,3,0),"")</f>
        <v/>
      </c>
      <c r="D1108" t="str">
        <f>IFERROR(VLOOKUP($A1108,原始数据_收盘!$A$4:$G$3460,4,0),"")</f>
        <v/>
      </c>
      <c r="E1108" t="str">
        <f>IFERROR(VLOOKUP($A1108,原始数据_收盘!$A$4:$G$3460,5,0),"")</f>
        <v/>
      </c>
      <c r="F1108" t="str">
        <f>IFERROR(VLOOKUP($A1108,原始数据_收盘!$A$4:$G$3460,6,0),"")</f>
        <v/>
      </c>
      <c r="G1108" t="str">
        <f>IFERROR(VLOOKUP($A1108,原始数据_收盘!$A$4:$G$3460,7,0),"")</f>
        <v/>
      </c>
      <c r="H1108" t="str">
        <f>IFERROR(VLOOKUP($A1108,原始数据_利率互换_FR007_1年!$A$6:$C$4395,2,0),"")</f>
        <v/>
      </c>
      <c r="I1108" t="str">
        <f>IFERROR(VLOOKUP($A1108,原始数据_利率互换_FR007_1年!$A$6:$C$4395,3,0),"")</f>
        <v/>
      </c>
    </row>
    <row r="1109" spans="1:9">
      <c r="A1109" s="6">
        <v>40602</v>
      </c>
      <c r="B1109" t="str">
        <f>IFERROR(VLOOKUP($A1109,原始数据_收盘!$A$4:$G$3460,2,0),"")</f>
        <v/>
      </c>
      <c r="C1109" t="str">
        <f>IFERROR(VLOOKUP($A1109,原始数据_收盘!$A$4:$G$3460,3,0),"")</f>
        <v/>
      </c>
      <c r="D1109" t="str">
        <f>IFERROR(VLOOKUP($A1109,原始数据_收盘!$A$4:$G$3460,4,0),"")</f>
        <v/>
      </c>
      <c r="E1109" t="str">
        <f>IFERROR(VLOOKUP($A1109,原始数据_收盘!$A$4:$G$3460,5,0),"")</f>
        <v/>
      </c>
      <c r="F1109" t="str">
        <f>IFERROR(VLOOKUP($A1109,原始数据_收盘!$A$4:$G$3460,6,0),"")</f>
        <v/>
      </c>
      <c r="G1109" t="str">
        <f>IFERROR(VLOOKUP($A1109,原始数据_收盘!$A$4:$G$3460,7,0),"")</f>
        <v/>
      </c>
      <c r="H1109">
        <f>IFERROR(VLOOKUP($A1109,原始数据_利率互换_FR007_1年!$A$6:$C$4395,2,0),"")</f>
        <v>3.7225</v>
      </c>
      <c r="I1109">
        <f>IFERROR(VLOOKUP($A1109,原始数据_利率互换_FR007_1年!$A$6:$C$4395,3,0),"")</f>
        <v>4.1766</v>
      </c>
    </row>
    <row r="1110" spans="1:9">
      <c r="A1110" s="6">
        <v>40603</v>
      </c>
      <c r="B1110" t="str">
        <f>IFERROR(VLOOKUP($A1110,原始数据_收盘!$A$4:$G$3460,2,0),"")</f>
        <v/>
      </c>
      <c r="C1110" t="str">
        <f>IFERROR(VLOOKUP($A1110,原始数据_收盘!$A$4:$G$3460,3,0),"")</f>
        <v/>
      </c>
      <c r="D1110" t="str">
        <f>IFERROR(VLOOKUP($A1110,原始数据_收盘!$A$4:$G$3460,4,0),"")</f>
        <v/>
      </c>
      <c r="E1110" t="str">
        <f>IFERROR(VLOOKUP($A1110,原始数据_收盘!$A$4:$G$3460,5,0),"")</f>
        <v/>
      </c>
      <c r="F1110" t="str">
        <f>IFERROR(VLOOKUP($A1110,原始数据_收盘!$A$4:$G$3460,6,0),"")</f>
        <v/>
      </c>
      <c r="G1110" t="str">
        <f>IFERROR(VLOOKUP($A1110,原始数据_收盘!$A$4:$G$3460,7,0),"")</f>
        <v/>
      </c>
      <c r="H1110">
        <f>IFERROR(VLOOKUP($A1110,原始数据_利率互换_FR007_1年!$A$6:$C$4395,2,0),"")</f>
        <v>0</v>
      </c>
      <c r="I1110">
        <f>IFERROR(VLOOKUP($A1110,原始数据_利率互换_FR007_1年!$A$6:$C$4395,3,0),"")</f>
        <v>4.2226</v>
      </c>
    </row>
    <row r="1111" spans="1:9">
      <c r="A1111" s="6">
        <v>40604</v>
      </c>
      <c r="B1111" t="str">
        <f>IFERROR(VLOOKUP($A1111,原始数据_收盘!$A$4:$G$3460,2,0),"")</f>
        <v/>
      </c>
      <c r="C1111" t="str">
        <f>IFERROR(VLOOKUP($A1111,原始数据_收盘!$A$4:$G$3460,3,0),"")</f>
        <v/>
      </c>
      <c r="D1111" t="str">
        <f>IFERROR(VLOOKUP($A1111,原始数据_收盘!$A$4:$G$3460,4,0),"")</f>
        <v/>
      </c>
      <c r="E1111" t="str">
        <f>IFERROR(VLOOKUP($A1111,原始数据_收盘!$A$4:$G$3460,5,0),"")</f>
        <v/>
      </c>
      <c r="F1111" t="str">
        <f>IFERROR(VLOOKUP($A1111,原始数据_收盘!$A$4:$G$3460,6,0),"")</f>
        <v/>
      </c>
      <c r="G1111" t="str">
        <f>IFERROR(VLOOKUP($A1111,原始数据_收盘!$A$4:$G$3460,7,0),"")</f>
        <v/>
      </c>
      <c r="H1111">
        <f>IFERROR(VLOOKUP($A1111,原始数据_利率互换_FR007_1年!$A$6:$C$4395,2,0),"")</f>
        <v>3.78</v>
      </c>
      <c r="I1111">
        <f>IFERROR(VLOOKUP($A1111,原始数据_利率互换_FR007_1年!$A$6:$C$4395,3,0),"")</f>
        <v>4.2563</v>
      </c>
    </row>
    <row r="1112" spans="1:9">
      <c r="A1112" s="6">
        <v>40605</v>
      </c>
      <c r="B1112" t="str">
        <f>IFERROR(VLOOKUP($A1112,原始数据_收盘!$A$4:$G$3460,2,0),"")</f>
        <v/>
      </c>
      <c r="C1112" t="str">
        <f>IFERROR(VLOOKUP($A1112,原始数据_收盘!$A$4:$G$3460,3,0),"")</f>
        <v/>
      </c>
      <c r="D1112" t="str">
        <f>IFERROR(VLOOKUP($A1112,原始数据_收盘!$A$4:$G$3460,4,0),"")</f>
        <v/>
      </c>
      <c r="E1112" t="str">
        <f>IFERROR(VLOOKUP($A1112,原始数据_收盘!$A$4:$G$3460,5,0),"")</f>
        <v/>
      </c>
      <c r="F1112" t="str">
        <f>IFERROR(VLOOKUP($A1112,原始数据_收盘!$A$4:$G$3460,6,0),"")</f>
        <v/>
      </c>
      <c r="G1112" t="str">
        <f>IFERROR(VLOOKUP($A1112,原始数据_收盘!$A$4:$G$3460,7,0),"")</f>
        <v/>
      </c>
      <c r="H1112">
        <f>IFERROR(VLOOKUP($A1112,原始数据_利率互换_FR007_1年!$A$6:$C$4395,2,0),"")</f>
        <v>3.772</v>
      </c>
      <c r="I1112">
        <f>IFERROR(VLOOKUP($A1112,原始数据_利率互换_FR007_1年!$A$6:$C$4395,3,0),"")</f>
        <v>0</v>
      </c>
    </row>
    <row r="1113" spans="1:9">
      <c r="A1113" s="6">
        <v>40606</v>
      </c>
      <c r="B1113" t="str">
        <f>IFERROR(VLOOKUP($A1113,原始数据_收盘!$A$4:$G$3460,2,0),"")</f>
        <v/>
      </c>
      <c r="C1113" t="str">
        <f>IFERROR(VLOOKUP($A1113,原始数据_收盘!$A$4:$G$3460,3,0),"")</f>
        <v/>
      </c>
      <c r="D1113" t="str">
        <f>IFERROR(VLOOKUP($A1113,原始数据_收盘!$A$4:$G$3460,4,0),"")</f>
        <v/>
      </c>
      <c r="E1113" t="str">
        <f>IFERROR(VLOOKUP($A1113,原始数据_收盘!$A$4:$G$3460,5,0),"")</f>
        <v/>
      </c>
      <c r="F1113" t="str">
        <f>IFERROR(VLOOKUP($A1113,原始数据_收盘!$A$4:$G$3460,6,0),"")</f>
        <v/>
      </c>
      <c r="G1113" t="str">
        <f>IFERROR(VLOOKUP($A1113,原始数据_收盘!$A$4:$G$3460,7,0),"")</f>
        <v/>
      </c>
      <c r="H1113">
        <f>IFERROR(VLOOKUP($A1113,原始数据_利率互换_FR007_1年!$A$6:$C$4395,2,0),"")</f>
        <v>3.7826</v>
      </c>
      <c r="I1113">
        <f>IFERROR(VLOOKUP($A1113,原始数据_利率互换_FR007_1年!$A$6:$C$4395,3,0),"")</f>
        <v>4.23</v>
      </c>
    </row>
    <row r="1114" spans="1:9">
      <c r="A1114" s="6">
        <v>40607</v>
      </c>
      <c r="B1114" t="str">
        <f>IFERROR(VLOOKUP($A1114,原始数据_收盘!$A$4:$G$3460,2,0),"")</f>
        <v/>
      </c>
      <c r="C1114" t="str">
        <f>IFERROR(VLOOKUP($A1114,原始数据_收盘!$A$4:$G$3460,3,0),"")</f>
        <v/>
      </c>
      <c r="D1114" t="str">
        <f>IFERROR(VLOOKUP($A1114,原始数据_收盘!$A$4:$G$3460,4,0),"")</f>
        <v/>
      </c>
      <c r="E1114" t="str">
        <f>IFERROR(VLOOKUP($A1114,原始数据_收盘!$A$4:$G$3460,5,0),"")</f>
        <v/>
      </c>
      <c r="F1114" t="str">
        <f>IFERROR(VLOOKUP($A1114,原始数据_收盘!$A$4:$G$3460,6,0),"")</f>
        <v/>
      </c>
      <c r="G1114" t="str">
        <f>IFERROR(VLOOKUP($A1114,原始数据_收盘!$A$4:$G$3460,7,0),"")</f>
        <v/>
      </c>
      <c r="H1114" t="str">
        <f>IFERROR(VLOOKUP($A1114,原始数据_利率互换_FR007_1年!$A$6:$C$4395,2,0),"")</f>
        <v/>
      </c>
      <c r="I1114" t="str">
        <f>IFERROR(VLOOKUP($A1114,原始数据_利率互换_FR007_1年!$A$6:$C$4395,3,0),"")</f>
        <v/>
      </c>
    </row>
    <row r="1115" spans="1:9">
      <c r="A1115" s="6">
        <v>40608</v>
      </c>
      <c r="B1115" t="str">
        <f>IFERROR(VLOOKUP($A1115,原始数据_收盘!$A$4:$G$3460,2,0),"")</f>
        <v/>
      </c>
      <c r="C1115" t="str">
        <f>IFERROR(VLOOKUP($A1115,原始数据_收盘!$A$4:$G$3460,3,0),"")</f>
        <v/>
      </c>
      <c r="D1115" t="str">
        <f>IFERROR(VLOOKUP($A1115,原始数据_收盘!$A$4:$G$3460,4,0),"")</f>
        <v/>
      </c>
      <c r="E1115" t="str">
        <f>IFERROR(VLOOKUP($A1115,原始数据_收盘!$A$4:$G$3460,5,0),"")</f>
        <v/>
      </c>
      <c r="F1115" t="str">
        <f>IFERROR(VLOOKUP($A1115,原始数据_收盘!$A$4:$G$3460,6,0),"")</f>
        <v/>
      </c>
      <c r="G1115" t="str">
        <f>IFERROR(VLOOKUP($A1115,原始数据_收盘!$A$4:$G$3460,7,0),"")</f>
        <v/>
      </c>
      <c r="H1115" t="str">
        <f>IFERROR(VLOOKUP($A1115,原始数据_利率互换_FR007_1年!$A$6:$C$4395,2,0),"")</f>
        <v/>
      </c>
      <c r="I1115" t="str">
        <f>IFERROR(VLOOKUP($A1115,原始数据_利率互换_FR007_1年!$A$6:$C$4395,3,0),"")</f>
        <v/>
      </c>
    </row>
    <row r="1116" spans="1:9">
      <c r="A1116" s="6">
        <v>40609</v>
      </c>
      <c r="B1116" t="str">
        <f>IFERROR(VLOOKUP($A1116,原始数据_收盘!$A$4:$G$3460,2,0),"")</f>
        <v/>
      </c>
      <c r="C1116" t="str">
        <f>IFERROR(VLOOKUP($A1116,原始数据_收盘!$A$4:$G$3460,3,0),"")</f>
        <v/>
      </c>
      <c r="D1116" t="str">
        <f>IFERROR(VLOOKUP($A1116,原始数据_收盘!$A$4:$G$3460,4,0),"")</f>
        <v/>
      </c>
      <c r="E1116" t="str">
        <f>IFERROR(VLOOKUP($A1116,原始数据_收盘!$A$4:$G$3460,5,0),"")</f>
        <v/>
      </c>
      <c r="F1116" t="str">
        <f>IFERROR(VLOOKUP($A1116,原始数据_收盘!$A$4:$G$3460,6,0),"")</f>
        <v/>
      </c>
      <c r="G1116" t="str">
        <f>IFERROR(VLOOKUP($A1116,原始数据_收盘!$A$4:$G$3460,7,0),"")</f>
        <v/>
      </c>
      <c r="H1116">
        <f>IFERROR(VLOOKUP($A1116,原始数据_利率互换_FR007_1年!$A$6:$C$4395,2,0),"")</f>
        <v>3.7086</v>
      </c>
      <c r="I1116">
        <f>IFERROR(VLOOKUP($A1116,原始数据_利率互换_FR007_1年!$A$6:$C$4395,3,0),"")</f>
        <v>4.2033</v>
      </c>
    </row>
    <row r="1117" spans="1:9">
      <c r="A1117" s="6">
        <v>40610</v>
      </c>
      <c r="B1117" t="str">
        <f>IFERROR(VLOOKUP($A1117,原始数据_收盘!$A$4:$G$3460,2,0),"")</f>
        <v/>
      </c>
      <c r="C1117" t="str">
        <f>IFERROR(VLOOKUP($A1117,原始数据_收盘!$A$4:$G$3460,3,0),"")</f>
        <v/>
      </c>
      <c r="D1117" t="str">
        <f>IFERROR(VLOOKUP($A1117,原始数据_收盘!$A$4:$G$3460,4,0),"")</f>
        <v/>
      </c>
      <c r="E1117" t="str">
        <f>IFERROR(VLOOKUP($A1117,原始数据_收盘!$A$4:$G$3460,5,0),"")</f>
        <v/>
      </c>
      <c r="F1117" t="str">
        <f>IFERROR(VLOOKUP($A1117,原始数据_收盘!$A$4:$G$3460,6,0),"")</f>
        <v/>
      </c>
      <c r="G1117" t="str">
        <f>IFERROR(VLOOKUP($A1117,原始数据_收盘!$A$4:$G$3460,7,0),"")</f>
        <v/>
      </c>
      <c r="H1117">
        <f>IFERROR(VLOOKUP($A1117,原始数据_利率互换_FR007_1年!$A$6:$C$4395,2,0),"")</f>
        <v>3.6003</v>
      </c>
      <c r="I1117">
        <f>IFERROR(VLOOKUP($A1117,原始数据_利率互换_FR007_1年!$A$6:$C$4395,3,0),"")</f>
        <v>4.1084</v>
      </c>
    </row>
    <row r="1118" spans="1:9">
      <c r="A1118" s="6">
        <v>40611</v>
      </c>
      <c r="B1118" t="str">
        <f>IFERROR(VLOOKUP($A1118,原始数据_收盘!$A$4:$G$3460,2,0),"")</f>
        <v/>
      </c>
      <c r="C1118" t="str">
        <f>IFERROR(VLOOKUP($A1118,原始数据_收盘!$A$4:$G$3460,3,0),"")</f>
        <v/>
      </c>
      <c r="D1118" t="str">
        <f>IFERROR(VLOOKUP($A1118,原始数据_收盘!$A$4:$G$3460,4,0),"")</f>
        <v/>
      </c>
      <c r="E1118" t="str">
        <f>IFERROR(VLOOKUP($A1118,原始数据_收盘!$A$4:$G$3460,5,0),"")</f>
        <v/>
      </c>
      <c r="F1118" t="str">
        <f>IFERROR(VLOOKUP($A1118,原始数据_收盘!$A$4:$G$3460,6,0),"")</f>
        <v/>
      </c>
      <c r="G1118" t="str">
        <f>IFERROR(VLOOKUP($A1118,原始数据_收盘!$A$4:$G$3460,7,0),"")</f>
        <v/>
      </c>
      <c r="H1118">
        <f>IFERROR(VLOOKUP($A1118,原始数据_利率互换_FR007_1年!$A$6:$C$4395,2,0),"")</f>
        <v>3.4498</v>
      </c>
      <c r="I1118">
        <f>IFERROR(VLOOKUP($A1118,原始数据_利率互换_FR007_1年!$A$6:$C$4395,3,0),"")</f>
        <v>4.0275</v>
      </c>
    </row>
    <row r="1119" spans="1:9">
      <c r="A1119" s="6">
        <v>40612</v>
      </c>
      <c r="B1119" t="str">
        <f>IFERROR(VLOOKUP($A1119,原始数据_收盘!$A$4:$G$3460,2,0),"")</f>
        <v/>
      </c>
      <c r="C1119" t="str">
        <f>IFERROR(VLOOKUP($A1119,原始数据_收盘!$A$4:$G$3460,3,0),"")</f>
        <v/>
      </c>
      <c r="D1119" t="str">
        <f>IFERROR(VLOOKUP($A1119,原始数据_收盘!$A$4:$G$3460,4,0),"")</f>
        <v/>
      </c>
      <c r="E1119" t="str">
        <f>IFERROR(VLOOKUP($A1119,原始数据_收盘!$A$4:$G$3460,5,0),"")</f>
        <v/>
      </c>
      <c r="F1119" t="str">
        <f>IFERROR(VLOOKUP($A1119,原始数据_收盘!$A$4:$G$3460,6,0),"")</f>
        <v/>
      </c>
      <c r="G1119" t="str">
        <f>IFERROR(VLOOKUP($A1119,原始数据_收盘!$A$4:$G$3460,7,0),"")</f>
        <v/>
      </c>
      <c r="H1119">
        <f>IFERROR(VLOOKUP($A1119,原始数据_利率互换_FR007_1年!$A$6:$C$4395,2,0),"")</f>
        <v>3.4703</v>
      </c>
      <c r="I1119">
        <f>IFERROR(VLOOKUP($A1119,原始数据_利率互换_FR007_1年!$A$6:$C$4395,3,0),"")</f>
        <v>4.0576</v>
      </c>
    </row>
    <row r="1120" spans="1:9">
      <c r="A1120" s="6">
        <v>40613</v>
      </c>
      <c r="B1120" t="str">
        <f>IFERROR(VLOOKUP($A1120,原始数据_收盘!$A$4:$G$3460,2,0),"")</f>
        <v/>
      </c>
      <c r="C1120" t="str">
        <f>IFERROR(VLOOKUP($A1120,原始数据_收盘!$A$4:$G$3460,3,0),"")</f>
        <v/>
      </c>
      <c r="D1120" t="str">
        <f>IFERROR(VLOOKUP($A1120,原始数据_收盘!$A$4:$G$3460,4,0),"")</f>
        <v/>
      </c>
      <c r="E1120" t="str">
        <f>IFERROR(VLOOKUP($A1120,原始数据_收盘!$A$4:$G$3460,5,0),"")</f>
        <v/>
      </c>
      <c r="F1120" t="str">
        <f>IFERROR(VLOOKUP($A1120,原始数据_收盘!$A$4:$G$3460,6,0),"")</f>
        <v/>
      </c>
      <c r="G1120" t="str">
        <f>IFERROR(VLOOKUP($A1120,原始数据_收盘!$A$4:$G$3460,7,0),"")</f>
        <v/>
      </c>
      <c r="H1120">
        <f>IFERROR(VLOOKUP($A1120,原始数据_利率互换_FR007_1年!$A$6:$C$4395,2,0),"")</f>
        <v>3.4194</v>
      </c>
      <c r="I1120">
        <f>IFERROR(VLOOKUP($A1120,原始数据_利率互换_FR007_1年!$A$6:$C$4395,3,0),"")</f>
        <v>4.0997</v>
      </c>
    </row>
    <row r="1121" spans="1:9">
      <c r="A1121" s="6">
        <v>40614</v>
      </c>
      <c r="B1121" t="str">
        <f>IFERROR(VLOOKUP($A1121,原始数据_收盘!$A$4:$G$3460,2,0),"")</f>
        <v/>
      </c>
      <c r="C1121" t="str">
        <f>IFERROR(VLOOKUP($A1121,原始数据_收盘!$A$4:$G$3460,3,0),"")</f>
        <v/>
      </c>
      <c r="D1121" t="str">
        <f>IFERROR(VLOOKUP($A1121,原始数据_收盘!$A$4:$G$3460,4,0),"")</f>
        <v/>
      </c>
      <c r="E1121" t="str">
        <f>IFERROR(VLOOKUP($A1121,原始数据_收盘!$A$4:$G$3460,5,0),"")</f>
        <v/>
      </c>
      <c r="F1121" t="str">
        <f>IFERROR(VLOOKUP($A1121,原始数据_收盘!$A$4:$G$3460,6,0),"")</f>
        <v/>
      </c>
      <c r="G1121" t="str">
        <f>IFERROR(VLOOKUP($A1121,原始数据_收盘!$A$4:$G$3460,7,0),"")</f>
        <v/>
      </c>
      <c r="H1121" t="str">
        <f>IFERROR(VLOOKUP($A1121,原始数据_利率互换_FR007_1年!$A$6:$C$4395,2,0),"")</f>
        <v/>
      </c>
      <c r="I1121" t="str">
        <f>IFERROR(VLOOKUP($A1121,原始数据_利率互换_FR007_1年!$A$6:$C$4395,3,0),"")</f>
        <v/>
      </c>
    </row>
    <row r="1122" spans="1:9">
      <c r="A1122" s="6">
        <v>40615</v>
      </c>
      <c r="B1122" t="str">
        <f>IFERROR(VLOOKUP($A1122,原始数据_收盘!$A$4:$G$3460,2,0),"")</f>
        <v/>
      </c>
      <c r="C1122" t="str">
        <f>IFERROR(VLOOKUP($A1122,原始数据_收盘!$A$4:$G$3460,3,0),"")</f>
        <v/>
      </c>
      <c r="D1122" t="str">
        <f>IFERROR(VLOOKUP($A1122,原始数据_收盘!$A$4:$G$3460,4,0),"")</f>
        <v/>
      </c>
      <c r="E1122" t="str">
        <f>IFERROR(VLOOKUP($A1122,原始数据_收盘!$A$4:$G$3460,5,0),"")</f>
        <v/>
      </c>
      <c r="F1122" t="str">
        <f>IFERROR(VLOOKUP($A1122,原始数据_收盘!$A$4:$G$3460,6,0),"")</f>
        <v/>
      </c>
      <c r="G1122" t="str">
        <f>IFERROR(VLOOKUP($A1122,原始数据_收盘!$A$4:$G$3460,7,0),"")</f>
        <v/>
      </c>
      <c r="H1122" t="str">
        <f>IFERROR(VLOOKUP($A1122,原始数据_利率互换_FR007_1年!$A$6:$C$4395,2,0),"")</f>
        <v/>
      </c>
      <c r="I1122" t="str">
        <f>IFERROR(VLOOKUP($A1122,原始数据_利率互换_FR007_1年!$A$6:$C$4395,3,0),"")</f>
        <v/>
      </c>
    </row>
    <row r="1123" spans="1:9">
      <c r="A1123" s="6">
        <v>40616</v>
      </c>
      <c r="B1123" t="str">
        <f>IFERROR(VLOOKUP($A1123,原始数据_收盘!$A$4:$G$3460,2,0),"")</f>
        <v/>
      </c>
      <c r="C1123" t="str">
        <f>IFERROR(VLOOKUP($A1123,原始数据_收盘!$A$4:$G$3460,3,0),"")</f>
        <v/>
      </c>
      <c r="D1123" t="str">
        <f>IFERROR(VLOOKUP($A1123,原始数据_收盘!$A$4:$G$3460,4,0),"")</f>
        <v/>
      </c>
      <c r="E1123" t="str">
        <f>IFERROR(VLOOKUP($A1123,原始数据_收盘!$A$4:$G$3460,5,0),"")</f>
        <v/>
      </c>
      <c r="F1123" t="str">
        <f>IFERROR(VLOOKUP($A1123,原始数据_收盘!$A$4:$G$3460,6,0),"")</f>
        <v/>
      </c>
      <c r="G1123" t="str">
        <f>IFERROR(VLOOKUP($A1123,原始数据_收盘!$A$4:$G$3460,7,0),"")</f>
        <v/>
      </c>
      <c r="H1123">
        <f>IFERROR(VLOOKUP($A1123,原始数据_利率互换_FR007_1年!$A$6:$C$4395,2,0),"")</f>
        <v>3.3207</v>
      </c>
      <c r="I1123">
        <f>IFERROR(VLOOKUP($A1123,原始数据_利率互换_FR007_1年!$A$6:$C$4395,3,0),"")</f>
        <v>3.9884</v>
      </c>
    </row>
    <row r="1124" spans="1:9">
      <c r="A1124" s="6">
        <v>40617</v>
      </c>
      <c r="B1124" t="str">
        <f>IFERROR(VLOOKUP($A1124,原始数据_收盘!$A$4:$G$3460,2,0),"")</f>
        <v/>
      </c>
      <c r="C1124" t="str">
        <f>IFERROR(VLOOKUP($A1124,原始数据_收盘!$A$4:$G$3460,3,0),"")</f>
        <v/>
      </c>
      <c r="D1124" t="str">
        <f>IFERROR(VLOOKUP($A1124,原始数据_收盘!$A$4:$G$3460,4,0),"")</f>
        <v/>
      </c>
      <c r="E1124" t="str">
        <f>IFERROR(VLOOKUP($A1124,原始数据_收盘!$A$4:$G$3460,5,0),"")</f>
        <v/>
      </c>
      <c r="F1124" t="str">
        <f>IFERROR(VLOOKUP($A1124,原始数据_收盘!$A$4:$G$3460,6,0),"")</f>
        <v/>
      </c>
      <c r="G1124" t="str">
        <f>IFERROR(VLOOKUP($A1124,原始数据_收盘!$A$4:$G$3460,7,0),"")</f>
        <v/>
      </c>
      <c r="H1124">
        <f>IFERROR(VLOOKUP($A1124,原始数据_利率互换_FR007_1年!$A$6:$C$4395,2,0),"")</f>
        <v>3.3237</v>
      </c>
      <c r="I1124">
        <f>IFERROR(VLOOKUP($A1124,原始数据_利率互换_FR007_1年!$A$6:$C$4395,3,0),"")</f>
        <v>3.9124</v>
      </c>
    </row>
    <row r="1125" spans="1:9">
      <c r="A1125" s="6">
        <v>40618</v>
      </c>
      <c r="B1125" t="str">
        <f>IFERROR(VLOOKUP($A1125,原始数据_收盘!$A$4:$G$3460,2,0),"")</f>
        <v/>
      </c>
      <c r="C1125" t="str">
        <f>IFERROR(VLOOKUP($A1125,原始数据_收盘!$A$4:$G$3460,3,0),"")</f>
        <v/>
      </c>
      <c r="D1125" t="str">
        <f>IFERROR(VLOOKUP($A1125,原始数据_收盘!$A$4:$G$3460,4,0),"")</f>
        <v/>
      </c>
      <c r="E1125" t="str">
        <f>IFERROR(VLOOKUP($A1125,原始数据_收盘!$A$4:$G$3460,5,0),"")</f>
        <v/>
      </c>
      <c r="F1125" t="str">
        <f>IFERROR(VLOOKUP($A1125,原始数据_收盘!$A$4:$G$3460,6,0),"")</f>
        <v/>
      </c>
      <c r="G1125" t="str">
        <f>IFERROR(VLOOKUP($A1125,原始数据_收盘!$A$4:$G$3460,7,0),"")</f>
        <v/>
      </c>
      <c r="H1125">
        <f>IFERROR(VLOOKUP($A1125,原始数据_利率互换_FR007_1年!$A$6:$C$4395,2,0),"")</f>
        <v>3.2595</v>
      </c>
      <c r="I1125">
        <f>IFERROR(VLOOKUP($A1125,原始数据_利率互换_FR007_1年!$A$6:$C$4395,3,0),"")</f>
        <v>3.9234</v>
      </c>
    </row>
    <row r="1126" spans="1:9">
      <c r="A1126" s="6">
        <v>40619</v>
      </c>
      <c r="B1126" t="str">
        <f>IFERROR(VLOOKUP($A1126,原始数据_收盘!$A$4:$G$3460,2,0),"")</f>
        <v/>
      </c>
      <c r="C1126" t="str">
        <f>IFERROR(VLOOKUP($A1126,原始数据_收盘!$A$4:$G$3460,3,0),"")</f>
        <v/>
      </c>
      <c r="D1126" t="str">
        <f>IFERROR(VLOOKUP($A1126,原始数据_收盘!$A$4:$G$3460,4,0),"")</f>
        <v/>
      </c>
      <c r="E1126" t="str">
        <f>IFERROR(VLOOKUP($A1126,原始数据_收盘!$A$4:$G$3460,5,0),"")</f>
        <v/>
      </c>
      <c r="F1126" t="str">
        <f>IFERROR(VLOOKUP($A1126,原始数据_收盘!$A$4:$G$3460,6,0),"")</f>
        <v/>
      </c>
      <c r="G1126" t="str">
        <f>IFERROR(VLOOKUP($A1126,原始数据_收盘!$A$4:$G$3460,7,0),"")</f>
        <v/>
      </c>
      <c r="H1126">
        <f>IFERROR(VLOOKUP($A1126,原始数据_利率互换_FR007_1年!$A$6:$C$4395,2,0),"")</f>
        <v>3.2352</v>
      </c>
      <c r="I1126">
        <f>IFERROR(VLOOKUP($A1126,原始数据_利率互换_FR007_1年!$A$6:$C$4395,3,0),"")</f>
        <v>3.9045</v>
      </c>
    </row>
    <row r="1127" spans="1:9">
      <c r="A1127" s="6">
        <v>40620</v>
      </c>
      <c r="B1127" t="str">
        <f>IFERROR(VLOOKUP($A1127,原始数据_收盘!$A$4:$G$3460,2,0),"")</f>
        <v/>
      </c>
      <c r="C1127" t="str">
        <f>IFERROR(VLOOKUP($A1127,原始数据_收盘!$A$4:$G$3460,3,0),"")</f>
        <v/>
      </c>
      <c r="D1127" t="str">
        <f>IFERROR(VLOOKUP($A1127,原始数据_收盘!$A$4:$G$3460,4,0),"")</f>
        <v/>
      </c>
      <c r="E1127" t="str">
        <f>IFERROR(VLOOKUP($A1127,原始数据_收盘!$A$4:$G$3460,5,0),"")</f>
        <v/>
      </c>
      <c r="F1127" t="str">
        <f>IFERROR(VLOOKUP($A1127,原始数据_收盘!$A$4:$G$3460,6,0),"")</f>
        <v/>
      </c>
      <c r="G1127" t="str">
        <f>IFERROR(VLOOKUP($A1127,原始数据_收盘!$A$4:$G$3460,7,0),"")</f>
        <v/>
      </c>
      <c r="H1127">
        <f>IFERROR(VLOOKUP($A1127,原始数据_利率互换_FR007_1年!$A$6:$C$4395,2,0),"")</f>
        <v>3.2108</v>
      </c>
      <c r="I1127">
        <f>IFERROR(VLOOKUP($A1127,原始数据_利率互换_FR007_1年!$A$6:$C$4395,3,0),"")</f>
        <v>3.8855</v>
      </c>
    </row>
    <row r="1128" spans="1:9">
      <c r="A1128" s="6">
        <v>40621</v>
      </c>
      <c r="B1128" t="str">
        <f>IFERROR(VLOOKUP($A1128,原始数据_收盘!$A$4:$G$3460,2,0),"")</f>
        <v/>
      </c>
      <c r="C1128" t="str">
        <f>IFERROR(VLOOKUP($A1128,原始数据_收盘!$A$4:$G$3460,3,0),"")</f>
        <v/>
      </c>
      <c r="D1128" t="str">
        <f>IFERROR(VLOOKUP($A1128,原始数据_收盘!$A$4:$G$3460,4,0),"")</f>
        <v/>
      </c>
      <c r="E1128" t="str">
        <f>IFERROR(VLOOKUP($A1128,原始数据_收盘!$A$4:$G$3460,5,0),"")</f>
        <v/>
      </c>
      <c r="F1128" t="str">
        <f>IFERROR(VLOOKUP($A1128,原始数据_收盘!$A$4:$G$3460,6,0),"")</f>
        <v/>
      </c>
      <c r="G1128" t="str">
        <f>IFERROR(VLOOKUP($A1128,原始数据_收盘!$A$4:$G$3460,7,0),"")</f>
        <v/>
      </c>
      <c r="H1128" t="str">
        <f>IFERROR(VLOOKUP($A1128,原始数据_利率互换_FR007_1年!$A$6:$C$4395,2,0),"")</f>
        <v/>
      </c>
      <c r="I1128" t="str">
        <f>IFERROR(VLOOKUP($A1128,原始数据_利率互换_FR007_1年!$A$6:$C$4395,3,0),"")</f>
        <v/>
      </c>
    </row>
    <row r="1129" spans="1:9">
      <c r="A1129" s="6">
        <v>40622</v>
      </c>
      <c r="B1129" t="str">
        <f>IFERROR(VLOOKUP($A1129,原始数据_收盘!$A$4:$G$3460,2,0),"")</f>
        <v/>
      </c>
      <c r="C1129" t="str">
        <f>IFERROR(VLOOKUP($A1129,原始数据_收盘!$A$4:$G$3460,3,0),"")</f>
        <v/>
      </c>
      <c r="D1129" t="str">
        <f>IFERROR(VLOOKUP($A1129,原始数据_收盘!$A$4:$G$3460,4,0),"")</f>
        <v/>
      </c>
      <c r="E1129" t="str">
        <f>IFERROR(VLOOKUP($A1129,原始数据_收盘!$A$4:$G$3460,5,0),"")</f>
        <v/>
      </c>
      <c r="F1129" t="str">
        <f>IFERROR(VLOOKUP($A1129,原始数据_收盘!$A$4:$G$3460,6,0),"")</f>
        <v/>
      </c>
      <c r="G1129" t="str">
        <f>IFERROR(VLOOKUP($A1129,原始数据_收盘!$A$4:$G$3460,7,0),"")</f>
        <v/>
      </c>
      <c r="H1129" t="str">
        <f>IFERROR(VLOOKUP($A1129,原始数据_利率互换_FR007_1年!$A$6:$C$4395,2,0),"")</f>
        <v/>
      </c>
      <c r="I1129" t="str">
        <f>IFERROR(VLOOKUP($A1129,原始数据_利率互换_FR007_1年!$A$6:$C$4395,3,0),"")</f>
        <v/>
      </c>
    </row>
    <row r="1130" spans="1:9">
      <c r="A1130" s="6">
        <v>40623</v>
      </c>
      <c r="B1130" t="str">
        <f>IFERROR(VLOOKUP($A1130,原始数据_收盘!$A$4:$G$3460,2,0),"")</f>
        <v/>
      </c>
      <c r="C1130" t="str">
        <f>IFERROR(VLOOKUP($A1130,原始数据_收盘!$A$4:$G$3460,3,0),"")</f>
        <v/>
      </c>
      <c r="D1130" t="str">
        <f>IFERROR(VLOOKUP($A1130,原始数据_收盘!$A$4:$G$3460,4,0),"")</f>
        <v/>
      </c>
      <c r="E1130" t="str">
        <f>IFERROR(VLOOKUP($A1130,原始数据_收盘!$A$4:$G$3460,5,0),"")</f>
        <v/>
      </c>
      <c r="F1130" t="str">
        <f>IFERROR(VLOOKUP($A1130,原始数据_收盘!$A$4:$G$3460,6,0),"")</f>
        <v/>
      </c>
      <c r="G1130" t="str">
        <f>IFERROR(VLOOKUP($A1130,原始数据_收盘!$A$4:$G$3460,7,0),"")</f>
        <v/>
      </c>
      <c r="H1130">
        <f>IFERROR(VLOOKUP($A1130,原始数据_利率互换_FR007_1年!$A$6:$C$4395,2,0),"")</f>
        <v>3.3453</v>
      </c>
      <c r="I1130">
        <f>IFERROR(VLOOKUP($A1130,原始数据_利率互换_FR007_1年!$A$6:$C$4395,3,0),"")</f>
        <v>3.9906</v>
      </c>
    </row>
    <row r="1131" spans="1:9">
      <c r="A1131" s="6">
        <v>40624</v>
      </c>
      <c r="B1131" t="str">
        <f>IFERROR(VLOOKUP($A1131,原始数据_收盘!$A$4:$G$3460,2,0),"")</f>
        <v/>
      </c>
      <c r="C1131" t="str">
        <f>IFERROR(VLOOKUP($A1131,原始数据_收盘!$A$4:$G$3460,3,0),"")</f>
        <v/>
      </c>
      <c r="D1131" t="str">
        <f>IFERROR(VLOOKUP($A1131,原始数据_收盘!$A$4:$G$3460,4,0),"")</f>
        <v/>
      </c>
      <c r="E1131" t="str">
        <f>IFERROR(VLOOKUP($A1131,原始数据_收盘!$A$4:$G$3460,5,0),"")</f>
        <v/>
      </c>
      <c r="F1131" t="str">
        <f>IFERROR(VLOOKUP($A1131,原始数据_收盘!$A$4:$G$3460,6,0),"")</f>
        <v/>
      </c>
      <c r="G1131" t="str">
        <f>IFERROR(VLOOKUP($A1131,原始数据_收盘!$A$4:$G$3460,7,0),"")</f>
        <v/>
      </c>
      <c r="H1131">
        <f>IFERROR(VLOOKUP($A1131,原始数据_利率互换_FR007_1年!$A$6:$C$4395,2,0),"")</f>
        <v>3.407</v>
      </c>
      <c r="I1131">
        <f>IFERROR(VLOOKUP($A1131,原始数据_利率互换_FR007_1年!$A$6:$C$4395,3,0),"")</f>
        <v>4.0611</v>
      </c>
    </row>
    <row r="1132" spans="1:9">
      <c r="A1132" s="6">
        <v>40625</v>
      </c>
      <c r="B1132" t="str">
        <f>IFERROR(VLOOKUP($A1132,原始数据_收盘!$A$4:$G$3460,2,0),"")</f>
        <v/>
      </c>
      <c r="C1132" t="str">
        <f>IFERROR(VLOOKUP($A1132,原始数据_收盘!$A$4:$G$3460,3,0),"")</f>
        <v/>
      </c>
      <c r="D1132" t="str">
        <f>IFERROR(VLOOKUP($A1132,原始数据_收盘!$A$4:$G$3460,4,0),"")</f>
        <v/>
      </c>
      <c r="E1132" t="str">
        <f>IFERROR(VLOOKUP($A1132,原始数据_收盘!$A$4:$G$3460,5,0),"")</f>
        <v/>
      </c>
      <c r="F1132" t="str">
        <f>IFERROR(VLOOKUP($A1132,原始数据_收盘!$A$4:$G$3460,6,0),"")</f>
        <v/>
      </c>
      <c r="G1132" t="str">
        <f>IFERROR(VLOOKUP($A1132,原始数据_收盘!$A$4:$G$3460,7,0),"")</f>
        <v/>
      </c>
      <c r="H1132">
        <f>IFERROR(VLOOKUP($A1132,原始数据_利率互换_FR007_1年!$A$6:$C$4395,2,0),"")</f>
        <v>3.3215</v>
      </c>
      <c r="I1132">
        <f>IFERROR(VLOOKUP($A1132,原始数据_利率互换_FR007_1年!$A$6:$C$4395,3,0),"")</f>
        <v>4.016</v>
      </c>
    </row>
    <row r="1133" spans="1:9">
      <c r="A1133" s="6">
        <v>40626</v>
      </c>
      <c r="B1133" t="str">
        <f>IFERROR(VLOOKUP($A1133,原始数据_收盘!$A$4:$G$3460,2,0),"")</f>
        <v/>
      </c>
      <c r="C1133" t="str">
        <f>IFERROR(VLOOKUP($A1133,原始数据_收盘!$A$4:$G$3460,3,0),"")</f>
        <v/>
      </c>
      <c r="D1133" t="str">
        <f>IFERROR(VLOOKUP($A1133,原始数据_收盘!$A$4:$G$3460,4,0),"")</f>
        <v/>
      </c>
      <c r="E1133" t="str">
        <f>IFERROR(VLOOKUP($A1133,原始数据_收盘!$A$4:$G$3460,5,0),"")</f>
        <v/>
      </c>
      <c r="F1133" t="str">
        <f>IFERROR(VLOOKUP($A1133,原始数据_收盘!$A$4:$G$3460,6,0),"")</f>
        <v/>
      </c>
      <c r="G1133" t="str">
        <f>IFERROR(VLOOKUP($A1133,原始数据_收盘!$A$4:$G$3460,7,0),"")</f>
        <v/>
      </c>
      <c r="H1133">
        <f>IFERROR(VLOOKUP($A1133,原始数据_利率互换_FR007_1年!$A$6:$C$4395,2,0),"")</f>
        <v>3.2689</v>
      </c>
      <c r="I1133">
        <f>IFERROR(VLOOKUP($A1133,原始数据_利率互换_FR007_1年!$A$6:$C$4395,3,0),"")</f>
        <v>3.9643</v>
      </c>
    </row>
    <row r="1134" spans="1:9">
      <c r="A1134" s="6">
        <v>40627</v>
      </c>
      <c r="B1134" t="str">
        <f>IFERROR(VLOOKUP($A1134,原始数据_收盘!$A$4:$G$3460,2,0),"")</f>
        <v/>
      </c>
      <c r="C1134" t="str">
        <f>IFERROR(VLOOKUP($A1134,原始数据_收盘!$A$4:$G$3460,3,0),"")</f>
        <v/>
      </c>
      <c r="D1134" t="str">
        <f>IFERROR(VLOOKUP($A1134,原始数据_收盘!$A$4:$G$3460,4,0),"")</f>
        <v/>
      </c>
      <c r="E1134" t="str">
        <f>IFERROR(VLOOKUP($A1134,原始数据_收盘!$A$4:$G$3460,5,0),"")</f>
        <v/>
      </c>
      <c r="F1134" t="str">
        <f>IFERROR(VLOOKUP($A1134,原始数据_收盘!$A$4:$G$3460,6,0),"")</f>
        <v/>
      </c>
      <c r="G1134" t="str">
        <f>IFERROR(VLOOKUP($A1134,原始数据_收盘!$A$4:$G$3460,7,0),"")</f>
        <v/>
      </c>
      <c r="H1134">
        <f>IFERROR(VLOOKUP($A1134,原始数据_利率互换_FR007_1年!$A$6:$C$4395,2,0),"")</f>
        <v>3.3216</v>
      </c>
      <c r="I1134">
        <f>IFERROR(VLOOKUP($A1134,原始数据_利率互换_FR007_1年!$A$6:$C$4395,3,0),"")</f>
        <v>3.9518</v>
      </c>
    </row>
    <row r="1135" spans="1:9">
      <c r="A1135" s="6">
        <v>40628</v>
      </c>
      <c r="B1135" t="str">
        <f>IFERROR(VLOOKUP($A1135,原始数据_收盘!$A$4:$G$3460,2,0),"")</f>
        <v/>
      </c>
      <c r="C1135" t="str">
        <f>IFERROR(VLOOKUP($A1135,原始数据_收盘!$A$4:$G$3460,3,0),"")</f>
        <v/>
      </c>
      <c r="D1135" t="str">
        <f>IFERROR(VLOOKUP($A1135,原始数据_收盘!$A$4:$G$3460,4,0),"")</f>
        <v/>
      </c>
      <c r="E1135" t="str">
        <f>IFERROR(VLOOKUP($A1135,原始数据_收盘!$A$4:$G$3460,5,0),"")</f>
        <v/>
      </c>
      <c r="F1135" t="str">
        <f>IFERROR(VLOOKUP($A1135,原始数据_收盘!$A$4:$G$3460,6,0),"")</f>
        <v/>
      </c>
      <c r="G1135" t="str">
        <f>IFERROR(VLOOKUP($A1135,原始数据_收盘!$A$4:$G$3460,7,0),"")</f>
        <v/>
      </c>
      <c r="H1135" t="str">
        <f>IFERROR(VLOOKUP($A1135,原始数据_利率互换_FR007_1年!$A$6:$C$4395,2,0),"")</f>
        <v/>
      </c>
      <c r="I1135" t="str">
        <f>IFERROR(VLOOKUP($A1135,原始数据_利率互换_FR007_1年!$A$6:$C$4395,3,0),"")</f>
        <v/>
      </c>
    </row>
    <row r="1136" spans="1:9">
      <c r="A1136" s="6">
        <v>40629</v>
      </c>
      <c r="B1136" t="str">
        <f>IFERROR(VLOOKUP($A1136,原始数据_收盘!$A$4:$G$3460,2,0),"")</f>
        <v/>
      </c>
      <c r="C1136" t="str">
        <f>IFERROR(VLOOKUP($A1136,原始数据_收盘!$A$4:$G$3460,3,0),"")</f>
        <v/>
      </c>
      <c r="D1136" t="str">
        <f>IFERROR(VLOOKUP($A1136,原始数据_收盘!$A$4:$G$3460,4,0),"")</f>
        <v/>
      </c>
      <c r="E1136" t="str">
        <f>IFERROR(VLOOKUP($A1136,原始数据_收盘!$A$4:$G$3460,5,0),"")</f>
        <v/>
      </c>
      <c r="F1136" t="str">
        <f>IFERROR(VLOOKUP($A1136,原始数据_收盘!$A$4:$G$3460,6,0),"")</f>
        <v/>
      </c>
      <c r="G1136" t="str">
        <f>IFERROR(VLOOKUP($A1136,原始数据_收盘!$A$4:$G$3460,7,0),"")</f>
        <v/>
      </c>
      <c r="H1136" t="str">
        <f>IFERROR(VLOOKUP($A1136,原始数据_利率互换_FR007_1年!$A$6:$C$4395,2,0),"")</f>
        <v/>
      </c>
      <c r="I1136" t="str">
        <f>IFERROR(VLOOKUP($A1136,原始数据_利率互换_FR007_1年!$A$6:$C$4395,3,0),"")</f>
        <v/>
      </c>
    </row>
    <row r="1137" spans="1:9">
      <c r="A1137" s="6">
        <v>40630</v>
      </c>
      <c r="B1137" t="str">
        <f>IFERROR(VLOOKUP($A1137,原始数据_收盘!$A$4:$G$3460,2,0),"")</f>
        <v/>
      </c>
      <c r="C1137" t="str">
        <f>IFERROR(VLOOKUP($A1137,原始数据_收盘!$A$4:$G$3460,3,0),"")</f>
        <v/>
      </c>
      <c r="D1137" t="str">
        <f>IFERROR(VLOOKUP($A1137,原始数据_收盘!$A$4:$G$3460,4,0),"")</f>
        <v/>
      </c>
      <c r="E1137" t="str">
        <f>IFERROR(VLOOKUP($A1137,原始数据_收盘!$A$4:$G$3460,5,0),"")</f>
        <v/>
      </c>
      <c r="F1137" t="str">
        <f>IFERROR(VLOOKUP($A1137,原始数据_收盘!$A$4:$G$3460,6,0),"")</f>
        <v/>
      </c>
      <c r="G1137" t="str">
        <f>IFERROR(VLOOKUP($A1137,原始数据_收盘!$A$4:$G$3460,7,0),"")</f>
        <v/>
      </c>
      <c r="H1137">
        <f>IFERROR(VLOOKUP($A1137,原始数据_利率互换_FR007_1年!$A$6:$C$4395,2,0),"")</f>
        <v>3.2573</v>
      </c>
      <c r="I1137">
        <f>IFERROR(VLOOKUP($A1137,原始数据_利率互换_FR007_1年!$A$6:$C$4395,3,0),"")</f>
        <v>3.94</v>
      </c>
    </row>
    <row r="1138" spans="1:9">
      <c r="A1138" s="6">
        <v>40631</v>
      </c>
      <c r="B1138" t="str">
        <f>IFERROR(VLOOKUP($A1138,原始数据_收盘!$A$4:$G$3460,2,0),"")</f>
        <v/>
      </c>
      <c r="C1138" t="str">
        <f>IFERROR(VLOOKUP($A1138,原始数据_收盘!$A$4:$G$3460,3,0),"")</f>
        <v/>
      </c>
      <c r="D1138" t="str">
        <f>IFERROR(VLOOKUP($A1138,原始数据_收盘!$A$4:$G$3460,4,0),"")</f>
        <v/>
      </c>
      <c r="E1138" t="str">
        <f>IFERROR(VLOOKUP($A1138,原始数据_收盘!$A$4:$G$3460,5,0),"")</f>
        <v/>
      </c>
      <c r="F1138" t="str">
        <f>IFERROR(VLOOKUP($A1138,原始数据_收盘!$A$4:$G$3460,6,0),"")</f>
        <v/>
      </c>
      <c r="G1138" t="str">
        <f>IFERROR(VLOOKUP($A1138,原始数据_收盘!$A$4:$G$3460,7,0),"")</f>
        <v/>
      </c>
      <c r="H1138">
        <f>IFERROR(VLOOKUP($A1138,原始数据_利率互换_FR007_1年!$A$6:$C$4395,2,0),"")</f>
        <v>3.2713</v>
      </c>
      <c r="I1138">
        <f>IFERROR(VLOOKUP($A1138,原始数据_利率互换_FR007_1年!$A$6:$C$4395,3,0),"")</f>
        <v>4.0325</v>
      </c>
    </row>
    <row r="1139" spans="1:9">
      <c r="A1139" s="6">
        <v>40632</v>
      </c>
      <c r="B1139" t="str">
        <f>IFERROR(VLOOKUP($A1139,原始数据_收盘!$A$4:$G$3460,2,0),"")</f>
        <v/>
      </c>
      <c r="C1139" t="str">
        <f>IFERROR(VLOOKUP($A1139,原始数据_收盘!$A$4:$G$3460,3,0),"")</f>
        <v/>
      </c>
      <c r="D1139" t="str">
        <f>IFERROR(VLOOKUP($A1139,原始数据_收盘!$A$4:$G$3460,4,0),"")</f>
        <v/>
      </c>
      <c r="E1139" t="str">
        <f>IFERROR(VLOOKUP($A1139,原始数据_收盘!$A$4:$G$3460,5,0),"")</f>
        <v/>
      </c>
      <c r="F1139" t="str">
        <f>IFERROR(VLOOKUP($A1139,原始数据_收盘!$A$4:$G$3460,6,0),"")</f>
        <v/>
      </c>
      <c r="G1139" t="str">
        <f>IFERROR(VLOOKUP($A1139,原始数据_收盘!$A$4:$G$3460,7,0),"")</f>
        <v/>
      </c>
      <c r="H1139">
        <f>IFERROR(VLOOKUP($A1139,原始数据_利率互换_FR007_1年!$A$6:$C$4395,2,0),"")</f>
        <v>3.3088</v>
      </c>
      <c r="I1139">
        <f>IFERROR(VLOOKUP($A1139,原始数据_利率互换_FR007_1年!$A$6:$C$4395,3,0),"")</f>
        <v>4.0625</v>
      </c>
    </row>
    <row r="1140" spans="1:9">
      <c r="A1140" s="6">
        <v>40633</v>
      </c>
      <c r="B1140" t="str">
        <f>IFERROR(VLOOKUP($A1140,原始数据_收盘!$A$4:$G$3460,2,0),"")</f>
        <v/>
      </c>
      <c r="C1140" t="str">
        <f>IFERROR(VLOOKUP($A1140,原始数据_收盘!$A$4:$G$3460,3,0),"")</f>
        <v/>
      </c>
      <c r="D1140" t="str">
        <f>IFERROR(VLOOKUP($A1140,原始数据_收盘!$A$4:$G$3460,4,0),"")</f>
        <v/>
      </c>
      <c r="E1140" t="str">
        <f>IFERROR(VLOOKUP($A1140,原始数据_收盘!$A$4:$G$3460,5,0),"")</f>
        <v/>
      </c>
      <c r="F1140" t="str">
        <f>IFERROR(VLOOKUP($A1140,原始数据_收盘!$A$4:$G$3460,6,0),"")</f>
        <v/>
      </c>
      <c r="G1140" t="str">
        <f>IFERROR(VLOOKUP($A1140,原始数据_收盘!$A$4:$G$3460,7,0),"")</f>
        <v/>
      </c>
      <c r="H1140">
        <f>IFERROR(VLOOKUP($A1140,原始数据_利率互换_FR007_1年!$A$6:$C$4395,2,0),"")</f>
        <v>3.3436</v>
      </c>
      <c r="I1140">
        <f>IFERROR(VLOOKUP($A1140,原始数据_利率互换_FR007_1年!$A$6:$C$4395,3,0),"")</f>
        <v>4.1031</v>
      </c>
    </row>
    <row r="1141" spans="1:9">
      <c r="A1141" s="6">
        <v>40634</v>
      </c>
      <c r="B1141" t="str">
        <f>IFERROR(VLOOKUP($A1141,原始数据_收盘!$A$4:$G$3460,2,0),"")</f>
        <v/>
      </c>
      <c r="C1141" t="str">
        <f>IFERROR(VLOOKUP($A1141,原始数据_收盘!$A$4:$G$3460,3,0),"")</f>
        <v/>
      </c>
      <c r="D1141" t="str">
        <f>IFERROR(VLOOKUP($A1141,原始数据_收盘!$A$4:$G$3460,4,0),"")</f>
        <v/>
      </c>
      <c r="E1141" t="str">
        <f>IFERROR(VLOOKUP($A1141,原始数据_收盘!$A$4:$G$3460,5,0),"")</f>
        <v/>
      </c>
      <c r="F1141" t="str">
        <f>IFERROR(VLOOKUP($A1141,原始数据_收盘!$A$4:$G$3460,6,0),"")</f>
        <v/>
      </c>
      <c r="G1141" t="str">
        <f>IFERROR(VLOOKUP($A1141,原始数据_收盘!$A$4:$G$3460,7,0),"")</f>
        <v/>
      </c>
      <c r="H1141">
        <f>IFERROR(VLOOKUP($A1141,原始数据_利率互换_FR007_1年!$A$6:$C$4395,2,0),"")</f>
        <v>3.3312</v>
      </c>
      <c r="I1141">
        <f>IFERROR(VLOOKUP($A1141,原始数据_利率互换_FR007_1年!$A$6:$C$4395,3,0),"")</f>
        <v>4.0873</v>
      </c>
    </row>
    <row r="1142" spans="1:9">
      <c r="A1142" s="6">
        <v>40635</v>
      </c>
      <c r="B1142" t="str">
        <f>IFERROR(VLOOKUP($A1142,原始数据_收盘!$A$4:$G$3460,2,0),"")</f>
        <v/>
      </c>
      <c r="C1142" t="str">
        <f>IFERROR(VLOOKUP($A1142,原始数据_收盘!$A$4:$G$3460,3,0),"")</f>
        <v/>
      </c>
      <c r="D1142" t="str">
        <f>IFERROR(VLOOKUP($A1142,原始数据_收盘!$A$4:$G$3460,4,0),"")</f>
        <v/>
      </c>
      <c r="E1142" t="str">
        <f>IFERROR(VLOOKUP($A1142,原始数据_收盘!$A$4:$G$3460,5,0),"")</f>
        <v/>
      </c>
      <c r="F1142" t="str">
        <f>IFERROR(VLOOKUP($A1142,原始数据_收盘!$A$4:$G$3460,6,0),"")</f>
        <v/>
      </c>
      <c r="G1142" t="str">
        <f>IFERROR(VLOOKUP($A1142,原始数据_收盘!$A$4:$G$3460,7,0),"")</f>
        <v/>
      </c>
      <c r="H1142" t="str">
        <f>IFERROR(VLOOKUP($A1142,原始数据_利率互换_FR007_1年!$A$6:$C$4395,2,0),"")</f>
        <v/>
      </c>
      <c r="I1142" t="str">
        <f>IFERROR(VLOOKUP($A1142,原始数据_利率互换_FR007_1年!$A$6:$C$4395,3,0),"")</f>
        <v/>
      </c>
    </row>
    <row r="1143" spans="1:9">
      <c r="A1143" s="6">
        <v>40636</v>
      </c>
      <c r="B1143" t="str">
        <f>IFERROR(VLOOKUP($A1143,原始数据_收盘!$A$4:$G$3460,2,0),"")</f>
        <v/>
      </c>
      <c r="C1143" t="str">
        <f>IFERROR(VLOOKUP($A1143,原始数据_收盘!$A$4:$G$3460,3,0),"")</f>
        <v/>
      </c>
      <c r="D1143" t="str">
        <f>IFERROR(VLOOKUP($A1143,原始数据_收盘!$A$4:$G$3460,4,0),"")</f>
        <v/>
      </c>
      <c r="E1143" t="str">
        <f>IFERROR(VLOOKUP($A1143,原始数据_收盘!$A$4:$G$3460,5,0),"")</f>
        <v/>
      </c>
      <c r="F1143" t="str">
        <f>IFERROR(VLOOKUP($A1143,原始数据_收盘!$A$4:$G$3460,6,0),"")</f>
        <v/>
      </c>
      <c r="G1143" t="str">
        <f>IFERROR(VLOOKUP($A1143,原始数据_收盘!$A$4:$G$3460,7,0),"")</f>
        <v/>
      </c>
      <c r="H1143" t="str">
        <f>IFERROR(VLOOKUP($A1143,原始数据_利率互换_FR007_1年!$A$6:$C$4395,2,0),"")</f>
        <v/>
      </c>
      <c r="I1143" t="str">
        <f>IFERROR(VLOOKUP($A1143,原始数据_利率互换_FR007_1年!$A$6:$C$4395,3,0),"")</f>
        <v/>
      </c>
    </row>
    <row r="1144" spans="1:9">
      <c r="A1144" s="6">
        <v>40637</v>
      </c>
      <c r="B1144" t="str">
        <f>IFERROR(VLOOKUP($A1144,原始数据_收盘!$A$4:$G$3460,2,0),"")</f>
        <v/>
      </c>
      <c r="C1144" t="str">
        <f>IFERROR(VLOOKUP($A1144,原始数据_收盘!$A$4:$G$3460,3,0),"")</f>
        <v/>
      </c>
      <c r="D1144" t="str">
        <f>IFERROR(VLOOKUP($A1144,原始数据_收盘!$A$4:$G$3460,4,0),"")</f>
        <v/>
      </c>
      <c r="E1144" t="str">
        <f>IFERROR(VLOOKUP($A1144,原始数据_收盘!$A$4:$G$3460,5,0),"")</f>
        <v/>
      </c>
      <c r="F1144" t="str">
        <f>IFERROR(VLOOKUP($A1144,原始数据_收盘!$A$4:$G$3460,6,0),"")</f>
        <v/>
      </c>
      <c r="G1144" t="str">
        <f>IFERROR(VLOOKUP($A1144,原始数据_收盘!$A$4:$G$3460,7,0),"")</f>
        <v/>
      </c>
      <c r="H1144" t="str">
        <f>IFERROR(VLOOKUP($A1144,原始数据_利率互换_FR007_1年!$A$6:$C$4395,2,0),"")</f>
        <v/>
      </c>
      <c r="I1144" t="str">
        <f>IFERROR(VLOOKUP($A1144,原始数据_利率互换_FR007_1年!$A$6:$C$4395,3,0),"")</f>
        <v/>
      </c>
    </row>
    <row r="1145" spans="1:9">
      <c r="A1145" s="6">
        <v>40638</v>
      </c>
      <c r="B1145" t="str">
        <f>IFERROR(VLOOKUP($A1145,原始数据_收盘!$A$4:$G$3460,2,0),"")</f>
        <v/>
      </c>
      <c r="C1145" t="str">
        <f>IFERROR(VLOOKUP($A1145,原始数据_收盘!$A$4:$G$3460,3,0),"")</f>
        <v/>
      </c>
      <c r="D1145" t="str">
        <f>IFERROR(VLOOKUP($A1145,原始数据_收盘!$A$4:$G$3460,4,0),"")</f>
        <v/>
      </c>
      <c r="E1145" t="str">
        <f>IFERROR(VLOOKUP($A1145,原始数据_收盘!$A$4:$G$3460,5,0),"")</f>
        <v/>
      </c>
      <c r="F1145" t="str">
        <f>IFERROR(VLOOKUP($A1145,原始数据_收盘!$A$4:$G$3460,6,0),"")</f>
        <v/>
      </c>
      <c r="G1145" t="str">
        <f>IFERROR(VLOOKUP($A1145,原始数据_收盘!$A$4:$G$3460,7,0),"")</f>
        <v/>
      </c>
      <c r="H1145" t="str">
        <f>IFERROR(VLOOKUP($A1145,原始数据_利率互换_FR007_1年!$A$6:$C$4395,2,0),"")</f>
        <v/>
      </c>
      <c r="I1145" t="str">
        <f>IFERROR(VLOOKUP($A1145,原始数据_利率互换_FR007_1年!$A$6:$C$4395,3,0),"")</f>
        <v/>
      </c>
    </row>
    <row r="1146" spans="1:9">
      <c r="A1146" s="6">
        <v>40639</v>
      </c>
      <c r="B1146" t="str">
        <f>IFERROR(VLOOKUP($A1146,原始数据_收盘!$A$4:$G$3460,2,0),"")</f>
        <v/>
      </c>
      <c r="C1146" t="str">
        <f>IFERROR(VLOOKUP($A1146,原始数据_收盘!$A$4:$G$3460,3,0),"")</f>
        <v/>
      </c>
      <c r="D1146" t="str">
        <f>IFERROR(VLOOKUP($A1146,原始数据_收盘!$A$4:$G$3460,4,0),"")</f>
        <v/>
      </c>
      <c r="E1146" t="str">
        <f>IFERROR(VLOOKUP($A1146,原始数据_收盘!$A$4:$G$3460,5,0),"")</f>
        <v/>
      </c>
      <c r="F1146" t="str">
        <f>IFERROR(VLOOKUP($A1146,原始数据_收盘!$A$4:$G$3460,6,0),"")</f>
        <v/>
      </c>
      <c r="G1146" t="str">
        <f>IFERROR(VLOOKUP($A1146,原始数据_收盘!$A$4:$G$3460,7,0),"")</f>
        <v/>
      </c>
      <c r="H1146">
        <f>IFERROR(VLOOKUP($A1146,原始数据_利率互换_FR007_1年!$A$6:$C$4395,2,0),"")</f>
        <v>3.4019</v>
      </c>
      <c r="I1146">
        <f>IFERROR(VLOOKUP($A1146,原始数据_利率互换_FR007_1年!$A$6:$C$4395,3,0),"")</f>
        <v>4.1055</v>
      </c>
    </row>
    <row r="1147" spans="1:9">
      <c r="A1147" s="6">
        <v>40640</v>
      </c>
      <c r="B1147" t="str">
        <f>IFERROR(VLOOKUP($A1147,原始数据_收盘!$A$4:$G$3460,2,0),"")</f>
        <v/>
      </c>
      <c r="C1147" t="str">
        <f>IFERROR(VLOOKUP($A1147,原始数据_收盘!$A$4:$G$3460,3,0),"")</f>
        <v/>
      </c>
      <c r="D1147" t="str">
        <f>IFERROR(VLOOKUP($A1147,原始数据_收盘!$A$4:$G$3460,4,0),"")</f>
        <v/>
      </c>
      <c r="E1147" t="str">
        <f>IFERROR(VLOOKUP($A1147,原始数据_收盘!$A$4:$G$3460,5,0),"")</f>
        <v/>
      </c>
      <c r="F1147" t="str">
        <f>IFERROR(VLOOKUP($A1147,原始数据_收盘!$A$4:$G$3460,6,0),"")</f>
        <v/>
      </c>
      <c r="G1147" t="str">
        <f>IFERROR(VLOOKUP($A1147,原始数据_收盘!$A$4:$G$3460,7,0),"")</f>
        <v/>
      </c>
      <c r="H1147">
        <f>IFERROR(VLOOKUP($A1147,原始数据_利率互换_FR007_1年!$A$6:$C$4395,2,0),"")</f>
        <v>3.3268</v>
      </c>
      <c r="I1147">
        <f>IFERROR(VLOOKUP($A1147,原始数据_利率互换_FR007_1年!$A$6:$C$4395,3,0),"")</f>
        <v>4.0588</v>
      </c>
    </row>
    <row r="1148" spans="1:9">
      <c r="A1148" s="6">
        <v>40641</v>
      </c>
      <c r="B1148" t="str">
        <f>IFERROR(VLOOKUP($A1148,原始数据_收盘!$A$4:$G$3460,2,0),"")</f>
        <v/>
      </c>
      <c r="C1148" t="str">
        <f>IFERROR(VLOOKUP($A1148,原始数据_收盘!$A$4:$G$3460,3,0),"")</f>
        <v/>
      </c>
      <c r="D1148" t="str">
        <f>IFERROR(VLOOKUP($A1148,原始数据_收盘!$A$4:$G$3460,4,0),"")</f>
        <v/>
      </c>
      <c r="E1148" t="str">
        <f>IFERROR(VLOOKUP($A1148,原始数据_收盘!$A$4:$G$3460,5,0),"")</f>
        <v/>
      </c>
      <c r="F1148" t="str">
        <f>IFERROR(VLOOKUP($A1148,原始数据_收盘!$A$4:$G$3460,6,0),"")</f>
        <v/>
      </c>
      <c r="G1148" t="str">
        <f>IFERROR(VLOOKUP($A1148,原始数据_收盘!$A$4:$G$3460,7,0),"")</f>
        <v/>
      </c>
      <c r="H1148">
        <f>IFERROR(VLOOKUP($A1148,原始数据_利率互换_FR007_1年!$A$6:$C$4395,2,0),"")</f>
        <v>3.3625</v>
      </c>
      <c r="I1148">
        <f>IFERROR(VLOOKUP($A1148,原始数据_利率互换_FR007_1年!$A$6:$C$4395,3,0),"")</f>
        <v>4.1</v>
      </c>
    </row>
    <row r="1149" spans="1:9">
      <c r="A1149" s="6">
        <v>40642</v>
      </c>
      <c r="B1149" t="str">
        <f>IFERROR(VLOOKUP($A1149,原始数据_收盘!$A$4:$G$3460,2,0),"")</f>
        <v/>
      </c>
      <c r="C1149" t="str">
        <f>IFERROR(VLOOKUP($A1149,原始数据_收盘!$A$4:$G$3460,3,0),"")</f>
        <v/>
      </c>
      <c r="D1149" t="str">
        <f>IFERROR(VLOOKUP($A1149,原始数据_收盘!$A$4:$G$3460,4,0),"")</f>
        <v/>
      </c>
      <c r="E1149" t="str">
        <f>IFERROR(VLOOKUP($A1149,原始数据_收盘!$A$4:$G$3460,5,0),"")</f>
        <v/>
      </c>
      <c r="F1149" t="str">
        <f>IFERROR(VLOOKUP($A1149,原始数据_收盘!$A$4:$G$3460,6,0),"")</f>
        <v/>
      </c>
      <c r="G1149" t="str">
        <f>IFERROR(VLOOKUP($A1149,原始数据_收盘!$A$4:$G$3460,7,0),"")</f>
        <v/>
      </c>
      <c r="H1149" t="str">
        <f>IFERROR(VLOOKUP($A1149,原始数据_利率互换_FR007_1年!$A$6:$C$4395,2,0),"")</f>
        <v/>
      </c>
      <c r="I1149" t="str">
        <f>IFERROR(VLOOKUP($A1149,原始数据_利率互换_FR007_1年!$A$6:$C$4395,3,0),"")</f>
        <v/>
      </c>
    </row>
    <row r="1150" spans="1:9">
      <c r="A1150" s="6">
        <v>40643</v>
      </c>
      <c r="B1150" t="str">
        <f>IFERROR(VLOOKUP($A1150,原始数据_收盘!$A$4:$G$3460,2,0),"")</f>
        <v/>
      </c>
      <c r="C1150" t="str">
        <f>IFERROR(VLOOKUP($A1150,原始数据_收盘!$A$4:$G$3460,3,0),"")</f>
        <v/>
      </c>
      <c r="D1150" t="str">
        <f>IFERROR(VLOOKUP($A1150,原始数据_收盘!$A$4:$G$3460,4,0),"")</f>
        <v/>
      </c>
      <c r="E1150" t="str">
        <f>IFERROR(VLOOKUP($A1150,原始数据_收盘!$A$4:$G$3460,5,0),"")</f>
        <v/>
      </c>
      <c r="F1150" t="str">
        <f>IFERROR(VLOOKUP($A1150,原始数据_收盘!$A$4:$G$3460,6,0),"")</f>
        <v/>
      </c>
      <c r="G1150" t="str">
        <f>IFERROR(VLOOKUP($A1150,原始数据_收盘!$A$4:$G$3460,7,0),"")</f>
        <v/>
      </c>
      <c r="H1150" t="str">
        <f>IFERROR(VLOOKUP($A1150,原始数据_利率互换_FR007_1年!$A$6:$C$4395,2,0),"")</f>
        <v/>
      </c>
      <c r="I1150" t="str">
        <f>IFERROR(VLOOKUP($A1150,原始数据_利率互换_FR007_1年!$A$6:$C$4395,3,0),"")</f>
        <v/>
      </c>
    </row>
    <row r="1151" spans="1:9">
      <c r="A1151" s="6">
        <v>40644</v>
      </c>
      <c r="B1151" t="str">
        <f>IFERROR(VLOOKUP($A1151,原始数据_收盘!$A$4:$G$3460,2,0),"")</f>
        <v/>
      </c>
      <c r="C1151" t="str">
        <f>IFERROR(VLOOKUP($A1151,原始数据_收盘!$A$4:$G$3460,3,0),"")</f>
        <v/>
      </c>
      <c r="D1151" t="str">
        <f>IFERROR(VLOOKUP($A1151,原始数据_收盘!$A$4:$G$3460,4,0),"")</f>
        <v/>
      </c>
      <c r="E1151" t="str">
        <f>IFERROR(VLOOKUP($A1151,原始数据_收盘!$A$4:$G$3460,5,0),"")</f>
        <v/>
      </c>
      <c r="F1151" t="str">
        <f>IFERROR(VLOOKUP($A1151,原始数据_收盘!$A$4:$G$3460,6,0),"")</f>
        <v/>
      </c>
      <c r="G1151" t="str">
        <f>IFERROR(VLOOKUP($A1151,原始数据_收盘!$A$4:$G$3460,7,0),"")</f>
        <v/>
      </c>
      <c r="H1151">
        <f>IFERROR(VLOOKUP($A1151,原始数据_利率互换_FR007_1年!$A$6:$C$4395,2,0),"")</f>
        <v>3.3517</v>
      </c>
      <c r="I1151">
        <f>IFERROR(VLOOKUP($A1151,原始数据_利率互换_FR007_1年!$A$6:$C$4395,3,0),"")</f>
        <v>4.0775</v>
      </c>
    </row>
    <row r="1152" spans="1:9">
      <c r="A1152" s="6">
        <v>40645</v>
      </c>
      <c r="B1152" t="str">
        <f>IFERROR(VLOOKUP($A1152,原始数据_收盘!$A$4:$G$3460,2,0),"")</f>
        <v/>
      </c>
      <c r="C1152" t="str">
        <f>IFERROR(VLOOKUP($A1152,原始数据_收盘!$A$4:$G$3460,3,0),"")</f>
        <v/>
      </c>
      <c r="D1152" t="str">
        <f>IFERROR(VLOOKUP($A1152,原始数据_收盘!$A$4:$G$3460,4,0),"")</f>
        <v/>
      </c>
      <c r="E1152" t="str">
        <f>IFERROR(VLOOKUP($A1152,原始数据_收盘!$A$4:$G$3460,5,0),"")</f>
        <v/>
      </c>
      <c r="F1152" t="str">
        <f>IFERROR(VLOOKUP($A1152,原始数据_收盘!$A$4:$G$3460,6,0),"")</f>
        <v/>
      </c>
      <c r="G1152" t="str">
        <f>IFERROR(VLOOKUP($A1152,原始数据_收盘!$A$4:$G$3460,7,0),"")</f>
        <v/>
      </c>
      <c r="H1152">
        <f>IFERROR(VLOOKUP($A1152,原始数据_利率互换_FR007_1年!$A$6:$C$4395,2,0),"")</f>
        <v>3.3281</v>
      </c>
      <c r="I1152">
        <f>IFERROR(VLOOKUP($A1152,原始数据_利率互换_FR007_1年!$A$6:$C$4395,3,0),"")</f>
        <v>4.025</v>
      </c>
    </row>
    <row r="1153" spans="1:9">
      <c r="A1153" s="6">
        <v>40646</v>
      </c>
      <c r="B1153" t="str">
        <f>IFERROR(VLOOKUP($A1153,原始数据_收盘!$A$4:$G$3460,2,0),"")</f>
        <v/>
      </c>
      <c r="C1153" t="str">
        <f>IFERROR(VLOOKUP($A1153,原始数据_收盘!$A$4:$G$3460,3,0),"")</f>
        <v/>
      </c>
      <c r="D1153" t="str">
        <f>IFERROR(VLOOKUP($A1153,原始数据_收盘!$A$4:$G$3460,4,0),"")</f>
        <v/>
      </c>
      <c r="E1153" t="str">
        <f>IFERROR(VLOOKUP($A1153,原始数据_收盘!$A$4:$G$3460,5,0),"")</f>
        <v/>
      </c>
      <c r="F1153" t="str">
        <f>IFERROR(VLOOKUP($A1153,原始数据_收盘!$A$4:$G$3460,6,0),"")</f>
        <v/>
      </c>
      <c r="G1153" t="str">
        <f>IFERROR(VLOOKUP($A1153,原始数据_收盘!$A$4:$G$3460,7,0),"")</f>
        <v/>
      </c>
      <c r="H1153">
        <f>IFERROR(VLOOKUP($A1153,原始数据_利率互换_FR007_1年!$A$6:$C$4395,2,0),"")</f>
        <v>3.3118</v>
      </c>
      <c r="I1153">
        <f>IFERROR(VLOOKUP($A1153,原始数据_利率互换_FR007_1年!$A$6:$C$4395,3,0),"")</f>
        <v>4.024</v>
      </c>
    </row>
    <row r="1154" spans="1:9">
      <c r="A1154" s="6">
        <v>40647</v>
      </c>
      <c r="B1154" t="str">
        <f>IFERROR(VLOOKUP($A1154,原始数据_收盘!$A$4:$G$3460,2,0),"")</f>
        <v/>
      </c>
      <c r="C1154" t="str">
        <f>IFERROR(VLOOKUP($A1154,原始数据_收盘!$A$4:$G$3460,3,0),"")</f>
        <v/>
      </c>
      <c r="D1154" t="str">
        <f>IFERROR(VLOOKUP($A1154,原始数据_收盘!$A$4:$G$3460,4,0),"")</f>
        <v/>
      </c>
      <c r="E1154" t="str">
        <f>IFERROR(VLOOKUP($A1154,原始数据_收盘!$A$4:$G$3460,5,0),"")</f>
        <v/>
      </c>
      <c r="F1154" t="str">
        <f>IFERROR(VLOOKUP($A1154,原始数据_收盘!$A$4:$G$3460,6,0),"")</f>
        <v/>
      </c>
      <c r="G1154" t="str">
        <f>IFERROR(VLOOKUP($A1154,原始数据_收盘!$A$4:$G$3460,7,0),"")</f>
        <v/>
      </c>
      <c r="H1154">
        <f>IFERROR(VLOOKUP($A1154,原始数据_利率互换_FR007_1年!$A$6:$C$4395,2,0),"")</f>
        <v>3.351</v>
      </c>
      <c r="I1154">
        <f>IFERROR(VLOOKUP($A1154,原始数据_利率互换_FR007_1年!$A$6:$C$4395,3,0),"")</f>
        <v>3.9652</v>
      </c>
    </row>
    <row r="1155" spans="1:9">
      <c r="A1155" s="6">
        <v>40648</v>
      </c>
      <c r="B1155" t="str">
        <f>IFERROR(VLOOKUP($A1155,原始数据_收盘!$A$4:$G$3460,2,0),"")</f>
        <v/>
      </c>
      <c r="C1155" t="str">
        <f>IFERROR(VLOOKUP($A1155,原始数据_收盘!$A$4:$G$3460,3,0),"")</f>
        <v/>
      </c>
      <c r="D1155" t="str">
        <f>IFERROR(VLOOKUP($A1155,原始数据_收盘!$A$4:$G$3460,4,0),"")</f>
        <v/>
      </c>
      <c r="E1155" t="str">
        <f>IFERROR(VLOOKUP($A1155,原始数据_收盘!$A$4:$G$3460,5,0),"")</f>
        <v/>
      </c>
      <c r="F1155" t="str">
        <f>IFERROR(VLOOKUP($A1155,原始数据_收盘!$A$4:$G$3460,6,0),"")</f>
        <v/>
      </c>
      <c r="G1155" t="str">
        <f>IFERROR(VLOOKUP($A1155,原始数据_收盘!$A$4:$G$3460,7,0),"")</f>
        <v/>
      </c>
      <c r="H1155">
        <f>IFERROR(VLOOKUP($A1155,原始数据_利率互换_FR007_1年!$A$6:$C$4395,2,0),"")</f>
        <v>3.37</v>
      </c>
      <c r="I1155">
        <f>IFERROR(VLOOKUP($A1155,原始数据_利率互换_FR007_1年!$A$6:$C$4395,3,0),"")</f>
        <v>4.0697</v>
      </c>
    </row>
    <row r="1156" spans="1:9">
      <c r="A1156" s="6">
        <v>40649</v>
      </c>
      <c r="B1156" t="str">
        <f>IFERROR(VLOOKUP($A1156,原始数据_收盘!$A$4:$G$3460,2,0),"")</f>
        <v/>
      </c>
      <c r="C1156" t="str">
        <f>IFERROR(VLOOKUP($A1156,原始数据_收盘!$A$4:$G$3460,3,0),"")</f>
        <v/>
      </c>
      <c r="D1156" t="str">
        <f>IFERROR(VLOOKUP($A1156,原始数据_收盘!$A$4:$G$3460,4,0),"")</f>
        <v/>
      </c>
      <c r="E1156" t="str">
        <f>IFERROR(VLOOKUP($A1156,原始数据_收盘!$A$4:$G$3460,5,0),"")</f>
        <v/>
      </c>
      <c r="F1156" t="str">
        <f>IFERROR(VLOOKUP($A1156,原始数据_收盘!$A$4:$G$3460,6,0),"")</f>
        <v/>
      </c>
      <c r="G1156" t="str">
        <f>IFERROR(VLOOKUP($A1156,原始数据_收盘!$A$4:$G$3460,7,0),"")</f>
        <v/>
      </c>
      <c r="H1156" t="str">
        <f>IFERROR(VLOOKUP($A1156,原始数据_利率互换_FR007_1年!$A$6:$C$4395,2,0),"")</f>
        <v/>
      </c>
      <c r="I1156" t="str">
        <f>IFERROR(VLOOKUP($A1156,原始数据_利率互换_FR007_1年!$A$6:$C$4395,3,0),"")</f>
        <v/>
      </c>
    </row>
    <row r="1157" spans="1:9">
      <c r="A1157" s="6">
        <v>40650</v>
      </c>
      <c r="B1157" t="str">
        <f>IFERROR(VLOOKUP($A1157,原始数据_收盘!$A$4:$G$3460,2,0),"")</f>
        <v/>
      </c>
      <c r="C1157" t="str">
        <f>IFERROR(VLOOKUP($A1157,原始数据_收盘!$A$4:$G$3460,3,0),"")</f>
        <v/>
      </c>
      <c r="D1157" t="str">
        <f>IFERROR(VLOOKUP($A1157,原始数据_收盘!$A$4:$G$3460,4,0),"")</f>
        <v/>
      </c>
      <c r="E1157" t="str">
        <f>IFERROR(VLOOKUP($A1157,原始数据_收盘!$A$4:$G$3460,5,0),"")</f>
        <v/>
      </c>
      <c r="F1157" t="str">
        <f>IFERROR(VLOOKUP($A1157,原始数据_收盘!$A$4:$G$3460,6,0),"")</f>
        <v/>
      </c>
      <c r="G1157" t="str">
        <f>IFERROR(VLOOKUP($A1157,原始数据_收盘!$A$4:$G$3460,7,0),"")</f>
        <v/>
      </c>
      <c r="H1157" t="str">
        <f>IFERROR(VLOOKUP($A1157,原始数据_利率互换_FR007_1年!$A$6:$C$4395,2,0),"")</f>
        <v/>
      </c>
      <c r="I1157" t="str">
        <f>IFERROR(VLOOKUP($A1157,原始数据_利率互换_FR007_1年!$A$6:$C$4395,3,0),"")</f>
        <v/>
      </c>
    </row>
    <row r="1158" spans="1:9">
      <c r="A1158" s="6">
        <v>40651</v>
      </c>
      <c r="B1158" t="str">
        <f>IFERROR(VLOOKUP($A1158,原始数据_收盘!$A$4:$G$3460,2,0),"")</f>
        <v/>
      </c>
      <c r="C1158" t="str">
        <f>IFERROR(VLOOKUP($A1158,原始数据_收盘!$A$4:$G$3460,3,0),"")</f>
        <v/>
      </c>
      <c r="D1158" t="str">
        <f>IFERROR(VLOOKUP($A1158,原始数据_收盘!$A$4:$G$3460,4,0),"")</f>
        <v/>
      </c>
      <c r="E1158" t="str">
        <f>IFERROR(VLOOKUP($A1158,原始数据_收盘!$A$4:$G$3460,5,0),"")</f>
        <v/>
      </c>
      <c r="F1158" t="str">
        <f>IFERROR(VLOOKUP($A1158,原始数据_收盘!$A$4:$G$3460,6,0),"")</f>
        <v/>
      </c>
      <c r="G1158" t="str">
        <f>IFERROR(VLOOKUP($A1158,原始数据_收盘!$A$4:$G$3460,7,0),"")</f>
        <v/>
      </c>
      <c r="H1158">
        <f>IFERROR(VLOOKUP($A1158,原始数据_利率互换_FR007_1年!$A$6:$C$4395,2,0),"")</f>
        <v>3.385</v>
      </c>
      <c r="I1158">
        <f>IFERROR(VLOOKUP($A1158,原始数据_利率互换_FR007_1年!$A$6:$C$4395,3,0),"")</f>
        <v>4.01</v>
      </c>
    </row>
    <row r="1159" spans="1:9">
      <c r="A1159" s="6">
        <v>40652</v>
      </c>
      <c r="B1159" t="str">
        <f>IFERROR(VLOOKUP($A1159,原始数据_收盘!$A$4:$G$3460,2,0),"")</f>
        <v/>
      </c>
      <c r="C1159" t="str">
        <f>IFERROR(VLOOKUP($A1159,原始数据_收盘!$A$4:$G$3460,3,0),"")</f>
        <v/>
      </c>
      <c r="D1159" t="str">
        <f>IFERROR(VLOOKUP($A1159,原始数据_收盘!$A$4:$G$3460,4,0),"")</f>
        <v/>
      </c>
      <c r="E1159" t="str">
        <f>IFERROR(VLOOKUP($A1159,原始数据_收盘!$A$4:$G$3460,5,0),"")</f>
        <v/>
      </c>
      <c r="F1159" t="str">
        <f>IFERROR(VLOOKUP($A1159,原始数据_收盘!$A$4:$G$3460,6,0),"")</f>
        <v/>
      </c>
      <c r="G1159" t="str">
        <f>IFERROR(VLOOKUP($A1159,原始数据_收盘!$A$4:$G$3460,7,0),"")</f>
        <v/>
      </c>
      <c r="H1159">
        <f>IFERROR(VLOOKUP($A1159,原始数据_利率互换_FR007_1年!$A$6:$C$4395,2,0),"")</f>
        <v>3.377</v>
      </c>
      <c r="I1159">
        <f>IFERROR(VLOOKUP($A1159,原始数据_利率互换_FR007_1年!$A$6:$C$4395,3,0),"")</f>
        <v>4.0575</v>
      </c>
    </row>
    <row r="1160" spans="1:9">
      <c r="A1160" s="6">
        <v>40653</v>
      </c>
      <c r="B1160" t="str">
        <f>IFERROR(VLOOKUP($A1160,原始数据_收盘!$A$4:$G$3460,2,0),"")</f>
        <v/>
      </c>
      <c r="C1160" t="str">
        <f>IFERROR(VLOOKUP($A1160,原始数据_收盘!$A$4:$G$3460,3,0),"")</f>
        <v/>
      </c>
      <c r="D1160" t="str">
        <f>IFERROR(VLOOKUP($A1160,原始数据_收盘!$A$4:$G$3460,4,0),"")</f>
        <v/>
      </c>
      <c r="E1160" t="str">
        <f>IFERROR(VLOOKUP($A1160,原始数据_收盘!$A$4:$G$3460,5,0),"")</f>
        <v/>
      </c>
      <c r="F1160" t="str">
        <f>IFERROR(VLOOKUP($A1160,原始数据_收盘!$A$4:$G$3460,6,0),"")</f>
        <v/>
      </c>
      <c r="G1160" t="str">
        <f>IFERROR(VLOOKUP($A1160,原始数据_收盘!$A$4:$G$3460,7,0),"")</f>
        <v/>
      </c>
      <c r="H1160">
        <f>IFERROR(VLOOKUP($A1160,原始数据_利率互换_FR007_1年!$A$6:$C$4395,2,0),"")</f>
        <v>3.4114</v>
      </c>
      <c r="I1160">
        <f>IFERROR(VLOOKUP($A1160,原始数据_利率互换_FR007_1年!$A$6:$C$4395,3,0),"")</f>
        <v>4.0525</v>
      </c>
    </row>
    <row r="1161" spans="1:9">
      <c r="A1161" s="6">
        <v>40654</v>
      </c>
      <c r="B1161" t="str">
        <f>IFERROR(VLOOKUP($A1161,原始数据_收盘!$A$4:$G$3460,2,0),"")</f>
        <v/>
      </c>
      <c r="C1161" t="str">
        <f>IFERROR(VLOOKUP($A1161,原始数据_收盘!$A$4:$G$3460,3,0),"")</f>
        <v/>
      </c>
      <c r="D1161" t="str">
        <f>IFERROR(VLOOKUP($A1161,原始数据_收盘!$A$4:$G$3460,4,0),"")</f>
        <v/>
      </c>
      <c r="E1161" t="str">
        <f>IFERROR(VLOOKUP($A1161,原始数据_收盘!$A$4:$G$3460,5,0),"")</f>
        <v/>
      </c>
      <c r="F1161" t="str">
        <f>IFERROR(VLOOKUP($A1161,原始数据_收盘!$A$4:$G$3460,6,0),"")</f>
        <v/>
      </c>
      <c r="G1161" t="str">
        <f>IFERROR(VLOOKUP($A1161,原始数据_收盘!$A$4:$G$3460,7,0),"")</f>
        <v/>
      </c>
      <c r="H1161">
        <f>IFERROR(VLOOKUP($A1161,原始数据_利率互换_FR007_1年!$A$6:$C$4395,2,0),"")</f>
        <v>3.4498</v>
      </c>
      <c r="I1161">
        <f>IFERROR(VLOOKUP($A1161,原始数据_利率互换_FR007_1年!$A$6:$C$4395,3,0),"")</f>
        <v>4.0803</v>
      </c>
    </row>
    <row r="1162" spans="1:9">
      <c r="A1162" s="6">
        <v>40655</v>
      </c>
      <c r="B1162" t="str">
        <f>IFERROR(VLOOKUP($A1162,原始数据_收盘!$A$4:$G$3460,2,0),"")</f>
        <v/>
      </c>
      <c r="C1162" t="str">
        <f>IFERROR(VLOOKUP($A1162,原始数据_收盘!$A$4:$G$3460,3,0),"")</f>
        <v/>
      </c>
      <c r="D1162" t="str">
        <f>IFERROR(VLOOKUP($A1162,原始数据_收盘!$A$4:$G$3460,4,0),"")</f>
        <v/>
      </c>
      <c r="E1162" t="str">
        <f>IFERROR(VLOOKUP($A1162,原始数据_收盘!$A$4:$G$3460,5,0),"")</f>
        <v/>
      </c>
      <c r="F1162" t="str">
        <f>IFERROR(VLOOKUP($A1162,原始数据_收盘!$A$4:$G$3460,6,0),"")</f>
        <v/>
      </c>
      <c r="G1162" t="str">
        <f>IFERROR(VLOOKUP($A1162,原始数据_收盘!$A$4:$G$3460,7,0),"")</f>
        <v/>
      </c>
      <c r="H1162">
        <f>IFERROR(VLOOKUP($A1162,原始数据_利率互换_FR007_1年!$A$6:$C$4395,2,0),"")</f>
        <v>3.4196</v>
      </c>
      <c r="I1162">
        <f>IFERROR(VLOOKUP($A1162,原始数据_利率互换_FR007_1年!$A$6:$C$4395,3,0),"")</f>
        <v>4.0693</v>
      </c>
    </row>
    <row r="1163" spans="1:9">
      <c r="A1163" s="6">
        <v>40656</v>
      </c>
      <c r="B1163" t="str">
        <f>IFERROR(VLOOKUP($A1163,原始数据_收盘!$A$4:$G$3460,2,0),"")</f>
        <v/>
      </c>
      <c r="C1163" t="str">
        <f>IFERROR(VLOOKUP($A1163,原始数据_收盘!$A$4:$G$3460,3,0),"")</f>
        <v/>
      </c>
      <c r="D1163" t="str">
        <f>IFERROR(VLOOKUP($A1163,原始数据_收盘!$A$4:$G$3460,4,0),"")</f>
        <v/>
      </c>
      <c r="E1163" t="str">
        <f>IFERROR(VLOOKUP($A1163,原始数据_收盘!$A$4:$G$3460,5,0),"")</f>
        <v/>
      </c>
      <c r="F1163" t="str">
        <f>IFERROR(VLOOKUP($A1163,原始数据_收盘!$A$4:$G$3460,6,0),"")</f>
        <v/>
      </c>
      <c r="G1163" t="str">
        <f>IFERROR(VLOOKUP($A1163,原始数据_收盘!$A$4:$G$3460,7,0),"")</f>
        <v/>
      </c>
      <c r="H1163" t="str">
        <f>IFERROR(VLOOKUP($A1163,原始数据_利率互换_FR007_1年!$A$6:$C$4395,2,0),"")</f>
        <v/>
      </c>
      <c r="I1163" t="str">
        <f>IFERROR(VLOOKUP($A1163,原始数据_利率互换_FR007_1年!$A$6:$C$4395,3,0),"")</f>
        <v/>
      </c>
    </row>
    <row r="1164" spans="1:9">
      <c r="A1164" s="6">
        <v>40657</v>
      </c>
      <c r="B1164" t="str">
        <f>IFERROR(VLOOKUP($A1164,原始数据_收盘!$A$4:$G$3460,2,0),"")</f>
        <v/>
      </c>
      <c r="C1164" t="str">
        <f>IFERROR(VLOOKUP($A1164,原始数据_收盘!$A$4:$G$3460,3,0),"")</f>
        <v/>
      </c>
      <c r="D1164" t="str">
        <f>IFERROR(VLOOKUP($A1164,原始数据_收盘!$A$4:$G$3460,4,0),"")</f>
        <v/>
      </c>
      <c r="E1164" t="str">
        <f>IFERROR(VLOOKUP($A1164,原始数据_收盘!$A$4:$G$3460,5,0),"")</f>
        <v/>
      </c>
      <c r="F1164" t="str">
        <f>IFERROR(VLOOKUP($A1164,原始数据_收盘!$A$4:$G$3460,6,0),"")</f>
        <v/>
      </c>
      <c r="G1164" t="str">
        <f>IFERROR(VLOOKUP($A1164,原始数据_收盘!$A$4:$G$3460,7,0),"")</f>
        <v/>
      </c>
      <c r="H1164" t="str">
        <f>IFERROR(VLOOKUP($A1164,原始数据_利率互换_FR007_1年!$A$6:$C$4395,2,0),"")</f>
        <v/>
      </c>
      <c r="I1164" t="str">
        <f>IFERROR(VLOOKUP($A1164,原始数据_利率互换_FR007_1年!$A$6:$C$4395,3,0),"")</f>
        <v/>
      </c>
    </row>
    <row r="1165" spans="1:9">
      <c r="A1165" s="6">
        <v>40658</v>
      </c>
      <c r="B1165" t="str">
        <f>IFERROR(VLOOKUP($A1165,原始数据_收盘!$A$4:$G$3460,2,0),"")</f>
        <v/>
      </c>
      <c r="C1165" t="str">
        <f>IFERROR(VLOOKUP($A1165,原始数据_收盘!$A$4:$G$3460,3,0),"")</f>
        <v/>
      </c>
      <c r="D1165" t="str">
        <f>IFERROR(VLOOKUP($A1165,原始数据_收盘!$A$4:$G$3460,4,0),"")</f>
        <v/>
      </c>
      <c r="E1165" t="str">
        <f>IFERROR(VLOOKUP($A1165,原始数据_收盘!$A$4:$G$3460,5,0),"")</f>
        <v/>
      </c>
      <c r="F1165" t="str">
        <f>IFERROR(VLOOKUP($A1165,原始数据_收盘!$A$4:$G$3460,6,0),"")</f>
        <v/>
      </c>
      <c r="G1165" t="str">
        <f>IFERROR(VLOOKUP($A1165,原始数据_收盘!$A$4:$G$3460,7,0),"")</f>
        <v/>
      </c>
      <c r="H1165">
        <f>IFERROR(VLOOKUP($A1165,原始数据_利率互换_FR007_1年!$A$6:$C$4395,2,0),"")</f>
        <v>3.4464</v>
      </c>
      <c r="I1165">
        <f>IFERROR(VLOOKUP($A1165,原始数据_利率互换_FR007_1年!$A$6:$C$4395,3,0),"")</f>
        <v>4.0375</v>
      </c>
    </row>
    <row r="1166" spans="1:9">
      <c r="A1166" s="6">
        <v>40659</v>
      </c>
      <c r="B1166" t="str">
        <f>IFERROR(VLOOKUP($A1166,原始数据_收盘!$A$4:$G$3460,2,0),"")</f>
        <v/>
      </c>
      <c r="C1166" t="str">
        <f>IFERROR(VLOOKUP($A1166,原始数据_收盘!$A$4:$G$3460,3,0),"")</f>
        <v/>
      </c>
      <c r="D1166" t="str">
        <f>IFERROR(VLOOKUP($A1166,原始数据_收盘!$A$4:$G$3460,4,0),"")</f>
        <v/>
      </c>
      <c r="E1166" t="str">
        <f>IFERROR(VLOOKUP($A1166,原始数据_收盘!$A$4:$G$3460,5,0),"")</f>
        <v/>
      </c>
      <c r="F1166" t="str">
        <f>IFERROR(VLOOKUP($A1166,原始数据_收盘!$A$4:$G$3460,6,0),"")</f>
        <v/>
      </c>
      <c r="G1166" t="str">
        <f>IFERROR(VLOOKUP($A1166,原始数据_收盘!$A$4:$G$3460,7,0),"")</f>
        <v/>
      </c>
      <c r="H1166">
        <f>IFERROR(VLOOKUP($A1166,原始数据_利率互换_FR007_1年!$A$6:$C$4395,2,0),"")</f>
        <v>3.4364</v>
      </c>
      <c r="I1166">
        <f>IFERROR(VLOOKUP($A1166,原始数据_利率互换_FR007_1年!$A$6:$C$4395,3,0),"")</f>
        <v>4.0643</v>
      </c>
    </row>
    <row r="1167" spans="1:9">
      <c r="A1167" s="6">
        <v>40660</v>
      </c>
      <c r="B1167" t="str">
        <f>IFERROR(VLOOKUP($A1167,原始数据_收盘!$A$4:$G$3460,2,0),"")</f>
        <v/>
      </c>
      <c r="C1167" t="str">
        <f>IFERROR(VLOOKUP($A1167,原始数据_收盘!$A$4:$G$3460,3,0),"")</f>
        <v/>
      </c>
      <c r="D1167" t="str">
        <f>IFERROR(VLOOKUP($A1167,原始数据_收盘!$A$4:$G$3460,4,0),"")</f>
        <v/>
      </c>
      <c r="E1167" t="str">
        <f>IFERROR(VLOOKUP($A1167,原始数据_收盘!$A$4:$G$3460,5,0),"")</f>
        <v/>
      </c>
      <c r="F1167" t="str">
        <f>IFERROR(VLOOKUP($A1167,原始数据_收盘!$A$4:$G$3460,6,0),"")</f>
        <v/>
      </c>
      <c r="G1167" t="str">
        <f>IFERROR(VLOOKUP($A1167,原始数据_收盘!$A$4:$G$3460,7,0),"")</f>
        <v/>
      </c>
      <c r="H1167">
        <f>IFERROR(VLOOKUP($A1167,原始数据_利率互换_FR007_1年!$A$6:$C$4395,2,0),"")</f>
        <v>3.4043</v>
      </c>
      <c r="I1167">
        <f>IFERROR(VLOOKUP($A1167,原始数据_利率互换_FR007_1年!$A$6:$C$4395,3,0),"")</f>
        <v>0</v>
      </c>
    </row>
    <row r="1168" spans="1:9">
      <c r="A1168" s="6">
        <v>40661</v>
      </c>
      <c r="B1168" t="str">
        <f>IFERROR(VLOOKUP($A1168,原始数据_收盘!$A$4:$G$3460,2,0),"")</f>
        <v/>
      </c>
      <c r="C1168" t="str">
        <f>IFERROR(VLOOKUP($A1168,原始数据_收盘!$A$4:$G$3460,3,0),"")</f>
        <v/>
      </c>
      <c r="D1168" t="str">
        <f>IFERROR(VLOOKUP($A1168,原始数据_收盘!$A$4:$G$3460,4,0),"")</f>
        <v/>
      </c>
      <c r="E1168" t="str">
        <f>IFERROR(VLOOKUP($A1168,原始数据_收盘!$A$4:$G$3460,5,0),"")</f>
        <v/>
      </c>
      <c r="F1168" t="str">
        <f>IFERROR(VLOOKUP($A1168,原始数据_收盘!$A$4:$G$3460,6,0),"")</f>
        <v/>
      </c>
      <c r="G1168" t="str">
        <f>IFERROR(VLOOKUP($A1168,原始数据_收盘!$A$4:$G$3460,7,0),"")</f>
        <v/>
      </c>
      <c r="H1168">
        <f>IFERROR(VLOOKUP($A1168,原始数据_利率互换_FR007_1年!$A$6:$C$4395,2,0),"")</f>
        <v>3.4126</v>
      </c>
      <c r="I1168">
        <f>IFERROR(VLOOKUP($A1168,原始数据_利率互换_FR007_1年!$A$6:$C$4395,3,0),"")</f>
        <v>4.0413</v>
      </c>
    </row>
    <row r="1169" spans="1:9">
      <c r="A1169" s="6">
        <v>40662</v>
      </c>
      <c r="B1169" t="str">
        <f>IFERROR(VLOOKUP($A1169,原始数据_收盘!$A$4:$G$3460,2,0),"")</f>
        <v/>
      </c>
      <c r="C1169" t="str">
        <f>IFERROR(VLOOKUP($A1169,原始数据_收盘!$A$4:$G$3460,3,0),"")</f>
        <v/>
      </c>
      <c r="D1169" t="str">
        <f>IFERROR(VLOOKUP($A1169,原始数据_收盘!$A$4:$G$3460,4,0),"")</f>
        <v/>
      </c>
      <c r="E1169" t="str">
        <f>IFERROR(VLOOKUP($A1169,原始数据_收盘!$A$4:$G$3460,5,0),"")</f>
        <v/>
      </c>
      <c r="F1169" t="str">
        <f>IFERROR(VLOOKUP($A1169,原始数据_收盘!$A$4:$G$3460,6,0),"")</f>
        <v/>
      </c>
      <c r="G1169" t="str">
        <f>IFERROR(VLOOKUP($A1169,原始数据_收盘!$A$4:$G$3460,7,0),"")</f>
        <v/>
      </c>
      <c r="H1169">
        <f>IFERROR(VLOOKUP($A1169,原始数据_利率互换_FR007_1年!$A$6:$C$4395,2,0),"")</f>
        <v>3.486</v>
      </c>
      <c r="I1169">
        <f>IFERROR(VLOOKUP($A1169,原始数据_利率互换_FR007_1年!$A$6:$C$4395,3,0),"")</f>
        <v>4.0411</v>
      </c>
    </row>
    <row r="1170" spans="1:9">
      <c r="A1170" s="6">
        <v>40663</v>
      </c>
      <c r="B1170" t="str">
        <f>IFERROR(VLOOKUP($A1170,原始数据_收盘!$A$4:$G$3460,2,0),"")</f>
        <v/>
      </c>
      <c r="C1170" t="str">
        <f>IFERROR(VLOOKUP($A1170,原始数据_收盘!$A$4:$G$3460,3,0),"")</f>
        <v/>
      </c>
      <c r="D1170" t="str">
        <f>IFERROR(VLOOKUP($A1170,原始数据_收盘!$A$4:$G$3460,4,0),"")</f>
        <v/>
      </c>
      <c r="E1170" t="str">
        <f>IFERROR(VLOOKUP($A1170,原始数据_收盘!$A$4:$G$3460,5,0),"")</f>
        <v/>
      </c>
      <c r="F1170" t="str">
        <f>IFERROR(VLOOKUP($A1170,原始数据_收盘!$A$4:$G$3460,6,0),"")</f>
        <v/>
      </c>
      <c r="G1170" t="str">
        <f>IFERROR(VLOOKUP($A1170,原始数据_收盘!$A$4:$G$3460,7,0),"")</f>
        <v/>
      </c>
      <c r="H1170" t="str">
        <f>IFERROR(VLOOKUP($A1170,原始数据_利率互换_FR007_1年!$A$6:$C$4395,2,0),"")</f>
        <v/>
      </c>
      <c r="I1170" t="str">
        <f>IFERROR(VLOOKUP($A1170,原始数据_利率互换_FR007_1年!$A$6:$C$4395,3,0),"")</f>
        <v/>
      </c>
    </row>
    <row r="1171" spans="1:9">
      <c r="A1171" s="6">
        <v>40664</v>
      </c>
      <c r="B1171" t="str">
        <f>IFERROR(VLOOKUP($A1171,原始数据_收盘!$A$4:$G$3460,2,0),"")</f>
        <v/>
      </c>
      <c r="C1171" t="str">
        <f>IFERROR(VLOOKUP($A1171,原始数据_收盘!$A$4:$G$3460,3,0),"")</f>
        <v/>
      </c>
      <c r="D1171" t="str">
        <f>IFERROR(VLOOKUP($A1171,原始数据_收盘!$A$4:$G$3460,4,0),"")</f>
        <v/>
      </c>
      <c r="E1171" t="str">
        <f>IFERROR(VLOOKUP($A1171,原始数据_收盘!$A$4:$G$3460,5,0),"")</f>
        <v/>
      </c>
      <c r="F1171" t="str">
        <f>IFERROR(VLOOKUP($A1171,原始数据_收盘!$A$4:$G$3460,6,0),"")</f>
        <v/>
      </c>
      <c r="G1171" t="str">
        <f>IFERROR(VLOOKUP($A1171,原始数据_收盘!$A$4:$G$3460,7,0),"")</f>
        <v/>
      </c>
      <c r="H1171" t="str">
        <f>IFERROR(VLOOKUP($A1171,原始数据_利率互换_FR007_1年!$A$6:$C$4395,2,0),"")</f>
        <v/>
      </c>
      <c r="I1171" t="str">
        <f>IFERROR(VLOOKUP($A1171,原始数据_利率互换_FR007_1年!$A$6:$C$4395,3,0),"")</f>
        <v/>
      </c>
    </row>
    <row r="1172" spans="1:9">
      <c r="A1172" s="6">
        <v>40665</v>
      </c>
      <c r="B1172" t="str">
        <f>IFERROR(VLOOKUP($A1172,原始数据_收盘!$A$4:$G$3460,2,0),"")</f>
        <v/>
      </c>
      <c r="C1172" t="str">
        <f>IFERROR(VLOOKUP($A1172,原始数据_收盘!$A$4:$G$3460,3,0),"")</f>
        <v/>
      </c>
      <c r="D1172" t="str">
        <f>IFERROR(VLOOKUP($A1172,原始数据_收盘!$A$4:$G$3460,4,0),"")</f>
        <v/>
      </c>
      <c r="E1172" t="str">
        <f>IFERROR(VLOOKUP($A1172,原始数据_收盘!$A$4:$G$3460,5,0),"")</f>
        <v/>
      </c>
      <c r="F1172" t="str">
        <f>IFERROR(VLOOKUP($A1172,原始数据_收盘!$A$4:$G$3460,6,0),"")</f>
        <v/>
      </c>
      <c r="G1172" t="str">
        <f>IFERROR(VLOOKUP($A1172,原始数据_收盘!$A$4:$G$3460,7,0),"")</f>
        <v/>
      </c>
      <c r="H1172" t="str">
        <f>IFERROR(VLOOKUP($A1172,原始数据_利率互换_FR007_1年!$A$6:$C$4395,2,0),"")</f>
        <v/>
      </c>
      <c r="I1172" t="str">
        <f>IFERROR(VLOOKUP($A1172,原始数据_利率互换_FR007_1年!$A$6:$C$4395,3,0),"")</f>
        <v/>
      </c>
    </row>
    <row r="1173" spans="1:9">
      <c r="A1173" s="6">
        <v>40666</v>
      </c>
      <c r="B1173" t="str">
        <f>IFERROR(VLOOKUP($A1173,原始数据_收盘!$A$4:$G$3460,2,0),"")</f>
        <v/>
      </c>
      <c r="C1173" t="str">
        <f>IFERROR(VLOOKUP($A1173,原始数据_收盘!$A$4:$G$3460,3,0),"")</f>
        <v/>
      </c>
      <c r="D1173" t="str">
        <f>IFERROR(VLOOKUP($A1173,原始数据_收盘!$A$4:$G$3460,4,0),"")</f>
        <v/>
      </c>
      <c r="E1173" t="str">
        <f>IFERROR(VLOOKUP($A1173,原始数据_收盘!$A$4:$G$3460,5,0),"")</f>
        <v/>
      </c>
      <c r="F1173" t="str">
        <f>IFERROR(VLOOKUP($A1173,原始数据_收盘!$A$4:$G$3460,6,0),"")</f>
        <v/>
      </c>
      <c r="G1173" t="str">
        <f>IFERROR(VLOOKUP($A1173,原始数据_收盘!$A$4:$G$3460,7,0),"")</f>
        <v/>
      </c>
      <c r="H1173">
        <f>IFERROR(VLOOKUP($A1173,原始数据_利率互换_FR007_1年!$A$6:$C$4395,2,0),"")</f>
        <v>3.4357</v>
      </c>
      <c r="I1173">
        <f>IFERROR(VLOOKUP($A1173,原始数据_利率互换_FR007_1年!$A$6:$C$4395,3,0),"")</f>
        <v>4.035</v>
      </c>
    </row>
    <row r="1174" spans="1:9">
      <c r="A1174" s="6">
        <v>40667</v>
      </c>
      <c r="B1174" t="str">
        <f>IFERROR(VLOOKUP($A1174,原始数据_收盘!$A$4:$G$3460,2,0),"")</f>
        <v/>
      </c>
      <c r="C1174" t="str">
        <f>IFERROR(VLOOKUP($A1174,原始数据_收盘!$A$4:$G$3460,3,0),"")</f>
        <v/>
      </c>
      <c r="D1174" t="str">
        <f>IFERROR(VLOOKUP($A1174,原始数据_收盘!$A$4:$G$3460,4,0),"")</f>
        <v/>
      </c>
      <c r="E1174" t="str">
        <f>IFERROR(VLOOKUP($A1174,原始数据_收盘!$A$4:$G$3460,5,0),"")</f>
        <v/>
      </c>
      <c r="F1174" t="str">
        <f>IFERROR(VLOOKUP($A1174,原始数据_收盘!$A$4:$G$3460,6,0),"")</f>
        <v/>
      </c>
      <c r="G1174" t="str">
        <f>IFERROR(VLOOKUP($A1174,原始数据_收盘!$A$4:$G$3460,7,0),"")</f>
        <v/>
      </c>
      <c r="H1174">
        <f>IFERROR(VLOOKUP($A1174,原始数据_利率互换_FR007_1年!$A$6:$C$4395,2,0),"")</f>
        <v>3.4436</v>
      </c>
      <c r="I1174">
        <f>IFERROR(VLOOKUP($A1174,原始数据_利率互换_FR007_1年!$A$6:$C$4395,3,0),"")</f>
        <v>4.0375</v>
      </c>
    </row>
    <row r="1175" spans="1:9">
      <c r="A1175" s="6">
        <v>40668</v>
      </c>
      <c r="B1175" t="str">
        <f>IFERROR(VLOOKUP($A1175,原始数据_收盘!$A$4:$G$3460,2,0),"")</f>
        <v/>
      </c>
      <c r="C1175" t="str">
        <f>IFERROR(VLOOKUP($A1175,原始数据_收盘!$A$4:$G$3460,3,0),"")</f>
        <v/>
      </c>
      <c r="D1175" t="str">
        <f>IFERROR(VLOOKUP($A1175,原始数据_收盘!$A$4:$G$3460,4,0),"")</f>
        <v/>
      </c>
      <c r="E1175" t="str">
        <f>IFERROR(VLOOKUP($A1175,原始数据_收盘!$A$4:$G$3460,5,0),"")</f>
        <v/>
      </c>
      <c r="F1175" t="str">
        <f>IFERROR(VLOOKUP($A1175,原始数据_收盘!$A$4:$G$3460,6,0),"")</f>
        <v/>
      </c>
      <c r="G1175" t="str">
        <f>IFERROR(VLOOKUP($A1175,原始数据_收盘!$A$4:$G$3460,7,0),"")</f>
        <v/>
      </c>
      <c r="H1175">
        <f>IFERROR(VLOOKUP($A1175,原始数据_利率互换_FR007_1年!$A$6:$C$4395,2,0),"")</f>
        <v>3.459</v>
      </c>
      <c r="I1175">
        <f>IFERROR(VLOOKUP($A1175,原始数据_利率互换_FR007_1年!$A$6:$C$4395,3,0),"")</f>
        <v>4.0517</v>
      </c>
    </row>
    <row r="1176" spans="1:9">
      <c r="A1176" s="6">
        <v>40669</v>
      </c>
      <c r="B1176" t="str">
        <f>IFERROR(VLOOKUP($A1176,原始数据_收盘!$A$4:$G$3460,2,0),"")</f>
        <v/>
      </c>
      <c r="C1176" t="str">
        <f>IFERROR(VLOOKUP($A1176,原始数据_收盘!$A$4:$G$3460,3,0),"")</f>
        <v/>
      </c>
      <c r="D1176" t="str">
        <f>IFERROR(VLOOKUP($A1176,原始数据_收盘!$A$4:$G$3460,4,0),"")</f>
        <v/>
      </c>
      <c r="E1176" t="str">
        <f>IFERROR(VLOOKUP($A1176,原始数据_收盘!$A$4:$G$3460,5,0),"")</f>
        <v/>
      </c>
      <c r="F1176" t="str">
        <f>IFERROR(VLOOKUP($A1176,原始数据_收盘!$A$4:$G$3460,6,0),"")</f>
        <v/>
      </c>
      <c r="G1176" t="str">
        <f>IFERROR(VLOOKUP($A1176,原始数据_收盘!$A$4:$G$3460,7,0),"")</f>
        <v/>
      </c>
      <c r="H1176">
        <f>IFERROR(VLOOKUP($A1176,原始数据_利率互换_FR007_1年!$A$6:$C$4395,2,0),"")</f>
        <v>3.4363</v>
      </c>
      <c r="I1176">
        <f>IFERROR(VLOOKUP($A1176,原始数据_利率互换_FR007_1年!$A$6:$C$4395,3,0),"")</f>
        <v>4.0069</v>
      </c>
    </row>
    <row r="1177" spans="1:9">
      <c r="A1177" s="6">
        <v>40670</v>
      </c>
      <c r="B1177" t="str">
        <f>IFERROR(VLOOKUP($A1177,原始数据_收盘!$A$4:$G$3460,2,0),"")</f>
        <v/>
      </c>
      <c r="C1177" t="str">
        <f>IFERROR(VLOOKUP($A1177,原始数据_收盘!$A$4:$G$3460,3,0),"")</f>
        <v/>
      </c>
      <c r="D1177" t="str">
        <f>IFERROR(VLOOKUP($A1177,原始数据_收盘!$A$4:$G$3460,4,0),"")</f>
        <v/>
      </c>
      <c r="E1177" t="str">
        <f>IFERROR(VLOOKUP($A1177,原始数据_收盘!$A$4:$G$3460,5,0),"")</f>
        <v/>
      </c>
      <c r="F1177" t="str">
        <f>IFERROR(VLOOKUP($A1177,原始数据_收盘!$A$4:$G$3460,6,0),"")</f>
        <v/>
      </c>
      <c r="G1177" t="str">
        <f>IFERROR(VLOOKUP($A1177,原始数据_收盘!$A$4:$G$3460,7,0),"")</f>
        <v/>
      </c>
      <c r="H1177" t="str">
        <f>IFERROR(VLOOKUP($A1177,原始数据_利率互换_FR007_1年!$A$6:$C$4395,2,0),"")</f>
        <v/>
      </c>
      <c r="I1177" t="str">
        <f>IFERROR(VLOOKUP($A1177,原始数据_利率互换_FR007_1年!$A$6:$C$4395,3,0),"")</f>
        <v/>
      </c>
    </row>
    <row r="1178" spans="1:9">
      <c r="A1178" s="6">
        <v>40671</v>
      </c>
      <c r="B1178" t="str">
        <f>IFERROR(VLOOKUP($A1178,原始数据_收盘!$A$4:$G$3460,2,0),"")</f>
        <v/>
      </c>
      <c r="C1178" t="str">
        <f>IFERROR(VLOOKUP($A1178,原始数据_收盘!$A$4:$G$3460,3,0),"")</f>
        <v/>
      </c>
      <c r="D1178" t="str">
        <f>IFERROR(VLOOKUP($A1178,原始数据_收盘!$A$4:$G$3460,4,0),"")</f>
        <v/>
      </c>
      <c r="E1178" t="str">
        <f>IFERROR(VLOOKUP($A1178,原始数据_收盘!$A$4:$G$3460,5,0),"")</f>
        <v/>
      </c>
      <c r="F1178" t="str">
        <f>IFERROR(VLOOKUP($A1178,原始数据_收盘!$A$4:$G$3460,6,0),"")</f>
        <v/>
      </c>
      <c r="G1178" t="str">
        <f>IFERROR(VLOOKUP($A1178,原始数据_收盘!$A$4:$G$3460,7,0),"")</f>
        <v/>
      </c>
      <c r="H1178" t="str">
        <f>IFERROR(VLOOKUP($A1178,原始数据_利率互换_FR007_1年!$A$6:$C$4395,2,0),"")</f>
        <v/>
      </c>
      <c r="I1178" t="str">
        <f>IFERROR(VLOOKUP($A1178,原始数据_利率互换_FR007_1年!$A$6:$C$4395,3,0),"")</f>
        <v/>
      </c>
    </row>
    <row r="1179" spans="1:9">
      <c r="A1179" s="6">
        <v>40672</v>
      </c>
      <c r="B1179" t="str">
        <f>IFERROR(VLOOKUP($A1179,原始数据_收盘!$A$4:$G$3460,2,0),"")</f>
        <v/>
      </c>
      <c r="C1179" t="str">
        <f>IFERROR(VLOOKUP($A1179,原始数据_收盘!$A$4:$G$3460,3,0),"")</f>
        <v/>
      </c>
      <c r="D1179" t="str">
        <f>IFERROR(VLOOKUP($A1179,原始数据_收盘!$A$4:$G$3460,4,0),"")</f>
        <v/>
      </c>
      <c r="E1179" t="str">
        <f>IFERROR(VLOOKUP($A1179,原始数据_收盘!$A$4:$G$3460,5,0),"")</f>
        <v/>
      </c>
      <c r="F1179" t="str">
        <f>IFERROR(VLOOKUP($A1179,原始数据_收盘!$A$4:$G$3460,6,0),"")</f>
        <v/>
      </c>
      <c r="G1179" t="str">
        <f>IFERROR(VLOOKUP($A1179,原始数据_收盘!$A$4:$G$3460,7,0),"")</f>
        <v/>
      </c>
      <c r="H1179">
        <f>IFERROR(VLOOKUP($A1179,原始数据_利率互换_FR007_1年!$A$6:$C$4395,2,0),"")</f>
        <v>3.425</v>
      </c>
      <c r="I1179">
        <f>IFERROR(VLOOKUP($A1179,原始数据_利率互换_FR007_1年!$A$6:$C$4395,3,0),"")</f>
        <v>3.98</v>
      </c>
    </row>
    <row r="1180" spans="1:9">
      <c r="A1180" s="6">
        <v>40673</v>
      </c>
      <c r="B1180" t="str">
        <f>IFERROR(VLOOKUP($A1180,原始数据_收盘!$A$4:$G$3460,2,0),"")</f>
        <v/>
      </c>
      <c r="C1180" t="str">
        <f>IFERROR(VLOOKUP($A1180,原始数据_收盘!$A$4:$G$3460,3,0),"")</f>
        <v/>
      </c>
      <c r="D1180" t="str">
        <f>IFERROR(VLOOKUP($A1180,原始数据_收盘!$A$4:$G$3460,4,0),"")</f>
        <v/>
      </c>
      <c r="E1180" t="str">
        <f>IFERROR(VLOOKUP($A1180,原始数据_收盘!$A$4:$G$3460,5,0),"")</f>
        <v/>
      </c>
      <c r="F1180" t="str">
        <f>IFERROR(VLOOKUP($A1180,原始数据_收盘!$A$4:$G$3460,6,0),"")</f>
        <v/>
      </c>
      <c r="G1180" t="str">
        <f>IFERROR(VLOOKUP($A1180,原始数据_收盘!$A$4:$G$3460,7,0),"")</f>
        <v/>
      </c>
      <c r="H1180">
        <f>IFERROR(VLOOKUP($A1180,原始数据_利率互换_FR007_1年!$A$6:$C$4395,2,0),"")</f>
        <v>3.421</v>
      </c>
      <c r="I1180">
        <f>IFERROR(VLOOKUP($A1180,原始数据_利率互换_FR007_1年!$A$6:$C$4395,3,0),"")</f>
        <v>4.0057</v>
      </c>
    </row>
    <row r="1181" spans="1:9">
      <c r="A1181" s="6">
        <v>40674</v>
      </c>
      <c r="B1181" t="str">
        <f>IFERROR(VLOOKUP($A1181,原始数据_收盘!$A$4:$G$3460,2,0),"")</f>
        <v/>
      </c>
      <c r="C1181" t="str">
        <f>IFERROR(VLOOKUP($A1181,原始数据_收盘!$A$4:$G$3460,3,0),"")</f>
        <v/>
      </c>
      <c r="D1181" t="str">
        <f>IFERROR(VLOOKUP($A1181,原始数据_收盘!$A$4:$G$3460,4,0),"")</f>
        <v/>
      </c>
      <c r="E1181" t="str">
        <f>IFERROR(VLOOKUP($A1181,原始数据_收盘!$A$4:$G$3460,5,0),"")</f>
        <v/>
      </c>
      <c r="F1181" t="str">
        <f>IFERROR(VLOOKUP($A1181,原始数据_收盘!$A$4:$G$3460,6,0),"")</f>
        <v/>
      </c>
      <c r="G1181" t="str">
        <f>IFERROR(VLOOKUP($A1181,原始数据_收盘!$A$4:$G$3460,7,0),"")</f>
        <v/>
      </c>
      <c r="H1181">
        <f>IFERROR(VLOOKUP($A1181,原始数据_利率互换_FR007_1年!$A$6:$C$4395,2,0),"")</f>
        <v>3.4353</v>
      </c>
      <c r="I1181">
        <f>IFERROR(VLOOKUP($A1181,原始数据_利率互换_FR007_1年!$A$6:$C$4395,3,0),"")</f>
        <v>3.999</v>
      </c>
    </row>
    <row r="1182" spans="1:9">
      <c r="A1182" s="6">
        <v>40675</v>
      </c>
      <c r="B1182" t="str">
        <f>IFERROR(VLOOKUP($A1182,原始数据_收盘!$A$4:$G$3460,2,0),"")</f>
        <v/>
      </c>
      <c r="C1182" t="str">
        <f>IFERROR(VLOOKUP($A1182,原始数据_收盘!$A$4:$G$3460,3,0),"")</f>
        <v/>
      </c>
      <c r="D1182" t="str">
        <f>IFERROR(VLOOKUP($A1182,原始数据_收盘!$A$4:$G$3460,4,0),"")</f>
        <v/>
      </c>
      <c r="E1182" t="str">
        <f>IFERROR(VLOOKUP($A1182,原始数据_收盘!$A$4:$G$3460,5,0),"")</f>
        <v/>
      </c>
      <c r="F1182" t="str">
        <f>IFERROR(VLOOKUP($A1182,原始数据_收盘!$A$4:$G$3460,6,0),"")</f>
        <v/>
      </c>
      <c r="G1182" t="str">
        <f>IFERROR(VLOOKUP($A1182,原始数据_收盘!$A$4:$G$3460,7,0),"")</f>
        <v/>
      </c>
      <c r="H1182">
        <f>IFERROR(VLOOKUP($A1182,原始数据_利率互换_FR007_1年!$A$6:$C$4395,2,0),"")</f>
        <v>3.4438</v>
      </c>
      <c r="I1182">
        <f>IFERROR(VLOOKUP($A1182,原始数据_利率互换_FR007_1年!$A$6:$C$4395,3,0),"")</f>
        <v>3.9499</v>
      </c>
    </row>
    <row r="1183" spans="1:9">
      <c r="A1183" s="6">
        <v>40676</v>
      </c>
      <c r="B1183" t="str">
        <f>IFERROR(VLOOKUP($A1183,原始数据_收盘!$A$4:$G$3460,2,0),"")</f>
        <v/>
      </c>
      <c r="C1183" t="str">
        <f>IFERROR(VLOOKUP($A1183,原始数据_收盘!$A$4:$G$3460,3,0),"")</f>
        <v/>
      </c>
      <c r="D1183" t="str">
        <f>IFERROR(VLOOKUP($A1183,原始数据_收盘!$A$4:$G$3460,4,0),"")</f>
        <v/>
      </c>
      <c r="E1183" t="str">
        <f>IFERROR(VLOOKUP($A1183,原始数据_收盘!$A$4:$G$3460,5,0),"")</f>
        <v/>
      </c>
      <c r="F1183" t="str">
        <f>IFERROR(VLOOKUP($A1183,原始数据_收盘!$A$4:$G$3460,6,0),"")</f>
        <v/>
      </c>
      <c r="G1183" t="str">
        <f>IFERROR(VLOOKUP($A1183,原始数据_收盘!$A$4:$G$3460,7,0),"")</f>
        <v/>
      </c>
      <c r="H1183">
        <f>IFERROR(VLOOKUP($A1183,原始数据_利率互换_FR007_1年!$A$6:$C$4395,2,0),"")</f>
        <v>3.4523</v>
      </c>
      <c r="I1183">
        <f>IFERROR(VLOOKUP($A1183,原始数据_利率互换_FR007_1年!$A$6:$C$4395,3,0),"")</f>
        <v>3.9009</v>
      </c>
    </row>
    <row r="1184" spans="1:9">
      <c r="A1184" s="6">
        <v>40677</v>
      </c>
      <c r="B1184" t="str">
        <f>IFERROR(VLOOKUP($A1184,原始数据_收盘!$A$4:$G$3460,2,0),"")</f>
        <v/>
      </c>
      <c r="C1184" t="str">
        <f>IFERROR(VLOOKUP($A1184,原始数据_收盘!$A$4:$G$3460,3,0),"")</f>
        <v/>
      </c>
      <c r="D1184" t="str">
        <f>IFERROR(VLOOKUP($A1184,原始数据_收盘!$A$4:$G$3460,4,0),"")</f>
        <v/>
      </c>
      <c r="E1184" t="str">
        <f>IFERROR(VLOOKUP($A1184,原始数据_收盘!$A$4:$G$3460,5,0),"")</f>
        <v/>
      </c>
      <c r="F1184" t="str">
        <f>IFERROR(VLOOKUP($A1184,原始数据_收盘!$A$4:$G$3460,6,0),"")</f>
        <v/>
      </c>
      <c r="G1184" t="str">
        <f>IFERROR(VLOOKUP($A1184,原始数据_收盘!$A$4:$G$3460,7,0),"")</f>
        <v/>
      </c>
      <c r="H1184" t="str">
        <f>IFERROR(VLOOKUP($A1184,原始数据_利率互换_FR007_1年!$A$6:$C$4395,2,0),"")</f>
        <v/>
      </c>
      <c r="I1184" t="str">
        <f>IFERROR(VLOOKUP($A1184,原始数据_利率互换_FR007_1年!$A$6:$C$4395,3,0),"")</f>
        <v/>
      </c>
    </row>
    <row r="1185" spans="1:9">
      <c r="A1185" s="6">
        <v>40678</v>
      </c>
      <c r="B1185" t="str">
        <f>IFERROR(VLOOKUP($A1185,原始数据_收盘!$A$4:$G$3460,2,0),"")</f>
        <v/>
      </c>
      <c r="C1185" t="str">
        <f>IFERROR(VLOOKUP($A1185,原始数据_收盘!$A$4:$G$3460,3,0),"")</f>
        <v/>
      </c>
      <c r="D1185" t="str">
        <f>IFERROR(VLOOKUP($A1185,原始数据_收盘!$A$4:$G$3460,4,0),"")</f>
        <v/>
      </c>
      <c r="E1185" t="str">
        <f>IFERROR(VLOOKUP($A1185,原始数据_收盘!$A$4:$G$3460,5,0),"")</f>
        <v/>
      </c>
      <c r="F1185" t="str">
        <f>IFERROR(VLOOKUP($A1185,原始数据_收盘!$A$4:$G$3460,6,0),"")</f>
        <v/>
      </c>
      <c r="G1185" t="str">
        <f>IFERROR(VLOOKUP($A1185,原始数据_收盘!$A$4:$G$3460,7,0),"")</f>
        <v/>
      </c>
      <c r="H1185" t="str">
        <f>IFERROR(VLOOKUP($A1185,原始数据_利率互换_FR007_1年!$A$6:$C$4395,2,0),"")</f>
        <v/>
      </c>
      <c r="I1185" t="str">
        <f>IFERROR(VLOOKUP($A1185,原始数据_利率互换_FR007_1年!$A$6:$C$4395,3,0),"")</f>
        <v/>
      </c>
    </row>
    <row r="1186" spans="1:9">
      <c r="A1186" s="6">
        <v>40679</v>
      </c>
      <c r="B1186" t="str">
        <f>IFERROR(VLOOKUP($A1186,原始数据_收盘!$A$4:$G$3460,2,0),"")</f>
        <v/>
      </c>
      <c r="C1186" t="str">
        <f>IFERROR(VLOOKUP($A1186,原始数据_收盘!$A$4:$G$3460,3,0),"")</f>
        <v/>
      </c>
      <c r="D1186" t="str">
        <f>IFERROR(VLOOKUP($A1186,原始数据_收盘!$A$4:$G$3460,4,0),"")</f>
        <v/>
      </c>
      <c r="E1186" t="str">
        <f>IFERROR(VLOOKUP($A1186,原始数据_收盘!$A$4:$G$3460,5,0),"")</f>
        <v/>
      </c>
      <c r="F1186" t="str">
        <f>IFERROR(VLOOKUP($A1186,原始数据_收盘!$A$4:$G$3460,6,0),"")</f>
        <v/>
      </c>
      <c r="G1186" t="str">
        <f>IFERROR(VLOOKUP($A1186,原始数据_收盘!$A$4:$G$3460,7,0),"")</f>
        <v/>
      </c>
      <c r="H1186">
        <f>IFERROR(VLOOKUP($A1186,原始数据_利率互换_FR007_1年!$A$6:$C$4395,2,0),"")</f>
        <v>3.495</v>
      </c>
      <c r="I1186">
        <f>IFERROR(VLOOKUP($A1186,原始数据_利率互换_FR007_1年!$A$6:$C$4395,3,0),"")</f>
        <v>3.8688</v>
      </c>
    </row>
    <row r="1187" spans="1:9">
      <c r="A1187" s="6">
        <v>40680</v>
      </c>
      <c r="B1187" t="str">
        <f>IFERROR(VLOOKUP($A1187,原始数据_收盘!$A$4:$G$3460,2,0),"")</f>
        <v/>
      </c>
      <c r="C1187" t="str">
        <f>IFERROR(VLOOKUP($A1187,原始数据_收盘!$A$4:$G$3460,3,0),"")</f>
        <v/>
      </c>
      <c r="D1187" t="str">
        <f>IFERROR(VLOOKUP($A1187,原始数据_收盘!$A$4:$G$3460,4,0),"")</f>
        <v/>
      </c>
      <c r="E1187" t="str">
        <f>IFERROR(VLOOKUP($A1187,原始数据_收盘!$A$4:$G$3460,5,0),"")</f>
        <v/>
      </c>
      <c r="F1187" t="str">
        <f>IFERROR(VLOOKUP($A1187,原始数据_收盘!$A$4:$G$3460,6,0),"")</f>
        <v/>
      </c>
      <c r="G1187" t="str">
        <f>IFERROR(VLOOKUP($A1187,原始数据_收盘!$A$4:$G$3460,7,0),"")</f>
        <v/>
      </c>
      <c r="H1187">
        <f>IFERROR(VLOOKUP($A1187,原始数据_利率互换_FR007_1年!$A$6:$C$4395,2,0),"")</f>
        <v>3.4777</v>
      </c>
      <c r="I1187">
        <f>IFERROR(VLOOKUP($A1187,原始数据_利率互换_FR007_1年!$A$6:$C$4395,3,0),"")</f>
        <v>3.9025</v>
      </c>
    </row>
    <row r="1188" spans="1:9">
      <c r="A1188" s="6">
        <v>40681</v>
      </c>
      <c r="B1188" t="str">
        <f>IFERROR(VLOOKUP($A1188,原始数据_收盘!$A$4:$G$3460,2,0),"")</f>
        <v/>
      </c>
      <c r="C1188" t="str">
        <f>IFERROR(VLOOKUP($A1188,原始数据_收盘!$A$4:$G$3460,3,0),"")</f>
        <v/>
      </c>
      <c r="D1188" t="str">
        <f>IFERROR(VLOOKUP($A1188,原始数据_收盘!$A$4:$G$3460,4,0),"")</f>
        <v/>
      </c>
      <c r="E1188" t="str">
        <f>IFERROR(VLOOKUP($A1188,原始数据_收盘!$A$4:$G$3460,5,0),"")</f>
        <v/>
      </c>
      <c r="F1188" t="str">
        <f>IFERROR(VLOOKUP($A1188,原始数据_收盘!$A$4:$G$3460,6,0),"")</f>
        <v/>
      </c>
      <c r="G1188" t="str">
        <f>IFERROR(VLOOKUP($A1188,原始数据_收盘!$A$4:$G$3460,7,0),"")</f>
        <v/>
      </c>
      <c r="H1188">
        <f>IFERROR(VLOOKUP($A1188,原始数据_利率互换_FR007_1年!$A$6:$C$4395,2,0),"")</f>
        <v>3.4574</v>
      </c>
      <c r="I1188">
        <f>IFERROR(VLOOKUP($A1188,原始数据_利率互换_FR007_1年!$A$6:$C$4395,3,0),"")</f>
        <v>3.903</v>
      </c>
    </row>
    <row r="1189" spans="1:9">
      <c r="A1189" s="6">
        <v>40682</v>
      </c>
      <c r="B1189" t="str">
        <f>IFERROR(VLOOKUP($A1189,原始数据_收盘!$A$4:$G$3460,2,0),"")</f>
        <v/>
      </c>
      <c r="C1189" t="str">
        <f>IFERROR(VLOOKUP($A1189,原始数据_收盘!$A$4:$G$3460,3,0),"")</f>
        <v/>
      </c>
      <c r="D1189" t="str">
        <f>IFERROR(VLOOKUP($A1189,原始数据_收盘!$A$4:$G$3460,4,0),"")</f>
        <v/>
      </c>
      <c r="E1189" t="str">
        <f>IFERROR(VLOOKUP($A1189,原始数据_收盘!$A$4:$G$3460,5,0),"")</f>
        <v/>
      </c>
      <c r="F1189" t="str">
        <f>IFERROR(VLOOKUP($A1189,原始数据_收盘!$A$4:$G$3460,6,0),"")</f>
        <v/>
      </c>
      <c r="G1189" t="str">
        <f>IFERROR(VLOOKUP($A1189,原始数据_收盘!$A$4:$G$3460,7,0),"")</f>
        <v/>
      </c>
      <c r="H1189">
        <f>IFERROR(VLOOKUP($A1189,原始数据_利率互换_FR007_1年!$A$6:$C$4395,2,0),"")</f>
        <v>3.4705</v>
      </c>
      <c r="I1189">
        <f>IFERROR(VLOOKUP($A1189,原始数据_利率互换_FR007_1年!$A$6:$C$4395,3,0),"")</f>
        <v>3.9438</v>
      </c>
    </row>
    <row r="1190" spans="1:9">
      <c r="A1190" s="6">
        <v>40683</v>
      </c>
      <c r="B1190" t="str">
        <f>IFERROR(VLOOKUP($A1190,原始数据_收盘!$A$4:$G$3460,2,0),"")</f>
        <v/>
      </c>
      <c r="C1190" t="str">
        <f>IFERROR(VLOOKUP($A1190,原始数据_收盘!$A$4:$G$3460,3,0),"")</f>
        <v/>
      </c>
      <c r="D1190" t="str">
        <f>IFERROR(VLOOKUP($A1190,原始数据_收盘!$A$4:$G$3460,4,0),"")</f>
        <v/>
      </c>
      <c r="E1190" t="str">
        <f>IFERROR(VLOOKUP($A1190,原始数据_收盘!$A$4:$G$3460,5,0),"")</f>
        <v/>
      </c>
      <c r="F1190" t="str">
        <f>IFERROR(VLOOKUP($A1190,原始数据_收盘!$A$4:$G$3460,6,0),"")</f>
        <v/>
      </c>
      <c r="G1190" t="str">
        <f>IFERROR(VLOOKUP($A1190,原始数据_收盘!$A$4:$G$3460,7,0),"")</f>
        <v/>
      </c>
      <c r="H1190">
        <f>IFERROR(VLOOKUP($A1190,原始数据_利率互换_FR007_1年!$A$6:$C$4395,2,0),"")</f>
        <v>3.5554</v>
      </c>
      <c r="I1190">
        <f>IFERROR(VLOOKUP($A1190,原始数据_利率互换_FR007_1年!$A$6:$C$4395,3,0),"")</f>
        <v>3.9456</v>
      </c>
    </row>
    <row r="1191" spans="1:9">
      <c r="A1191" s="6">
        <v>40684</v>
      </c>
      <c r="B1191" t="str">
        <f>IFERROR(VLOOKUP($A1191,原始数据_收盘!$A$4:$G$3460,2,0),"")</f>
        <v/>
      </c>
      <c r="C1191" t="str">
        <f>IFERROR(VLOOKUP($A1191,原始数据_收盘!$A$4:$G$3460,3,0),"")</f>
        <v/>
      </c>
      <c r="D1191" t="str">
        <f>IFERROR(VLOOKUP($A1191,原始数据_收盘!$A$4:$G$3460,4,0),"")</f>
        <v/>
      </c>
      <c r="E1191" t="str">
        <f>IFERROR(VLOOKUP($A1191,原始数据_收盘!$A$4:$G$3460,5,0),"")</f>
        <v/>
      </c>
      <c r="F1191" t="str">
        <f>IFERROR(VLOOKUP($A1191,原始数据_收盘!$A$4:$G$3460,6,0),"")</f>
        <v/>
      </c>
      <c r="G1191" t="str">
        <f>IFERROR(VLOOKUP($A1191,原始数据_收盘!$A$4:$G$3460,7,0),"")</f>
        <v/>
      </c>
      <c r="H1191" t="str">
        <f>IFERROR(VLOOKUP($A1191,原始数据_利率互换_FR007_1年!$A$6:$C$4395,2,0),"")</f>
        <v/>
      </c>
      <c r="I1191" t="str">
        <f>IFERROR(VLOOKUP($A1191,原始数据_利率互换_FR007_1年!$A$6:$C$4395,3,0),"")</f>
        <v/>
      </c>
    </row>
    <row r="1192" spans="1:9">
      <c r="A1192" s="6">
        <v>40685</v>
      </c>
      <c r="B1192" t="str">
        <f>IFERROR(VLOOKUP($A1192,原始数据_收盘!$A$4:$G$3460,2,0),"")</f>
        <v/>
      </c>
      <c r="C1192" t="str">
        <f>IFERROR(VLOOKUP($A1192,原始数据_收盘!$A$4:$G$3460,3,0),"")</f>
        <v/>
      </c>
      <c r="D1192" t="str">
        <f>IFERROR(VLOOKUP($A1192,原始数据_收盘!$A$4:$G$3460,4,0),"")</f>
        <v/>
      </c>
      <c r="E1192" t="str">
        <f>IFERROR(VLOOKUP($A1192,原始数据_收盘!$A$4:$G$3460,5,0),"")</f>
        <v/>
      </c>
      <c r="F1192" t="str">
        <f>IFERROR(VLOOKUP($A1192,原始数据_收盘!$A$4:$G$3460,6,0),"")</f>
        <v/>
      </c>
      <c r="G1192" t="str">
        <f>IFERROR(VLOOKUP($A1192,原始数据_收盘!$A$4:$G$3460,7,0),"")</f>
        <v/>
      </c>
      <c r="H1192" t="str">
        <f>IFERROR(VLOOKUP($A1192,原始数据_利率互换_FR007_1年!$A$6:$C$4395,2,0),"")</f>
        <v/>
      </c>
      <c r="I1192" t="str">
        <f>IFERROR(VLOOKUP($A1192,原始数据_利率互换_FR007_1年!$A$6:$C$4395,3,0),"")</f>
        <v/>
      </c>
    </row>
    <row r="1193" spans="1:9">
      <c r="A1193" s="6">
        <v>40686</v>
      </c>
      <c r="B1193" t="str">
        <f>IFERROR(VLOOKUP($A1193,原始数据_收盘!$A$4:$G$3460,2,0),"")</f>
        <v/>
      </c>
      <c r="C1193" t="str">
        <f>IFERROR(VLOOKUP($A1193,原始数据_收盘!$A$4:$G$3460,3,0),"")</f>
        <v/>
      </c>
      <c r="D1193" t="str">
        <f>IFERROR(VLOOKUP($A1193,原始数据_收盘!$A$4:$G$3460,4,0),"")</f>
        <v/>
      </c>
      <c r="E1193" t="str">
        <f>IFERROR(VLOOKUP($A1193,原始数据_收盘!$A$4:$G$3460,5,0),"")</f>
        <v/>
      </c>
      <c r="F1193" t="str">
        <f>IFERROR(VLOOKUP($A1193,原始数据_收盘!$A$4:$G$3460,6,0),"")</f>
        <v/>
      </c>
      <c r="G1193" t="str">
        <f>IFERROR(VLOOKUP($A1193,原始数据_收盘!$A$4:$G$3460,7,0),"")</f>
        <v/>
      </c>
      <c r="H1193">
        <f>IFERROR(VLOOKUP($A1193,原始数据_利率互换_FR007_1年!$A$6:$C$4395,2,0),"")</f>
        <v>3.5388</v>
      </c>
      <c r="I1193">
        <f>IFERROR(VLOOKUP($A1193,原始数据_利率互换_FR007_1年!$A$6:$C$4395,3,0),"")</f>
        <v>3.881</v>
      </c>
    </row>
    <row r="1194" spans="1:9">
      <c r="A1194" s="6">
        <v>40687</v>
      </c>
      <c r="B1194" t="str">
        <f>IFERROR(VLOOKUP($A1194,原始数据_收盘!$A$4:$G$3460,2,0),"")</f>
        <v/>
      </c>
      <c r="C1194" t="str">
        <f>IFERROR(VLOOKUP($A1194,原始数据_收盘!$A$4:$G$3460,3,0),"")</f>
        <v/>
      </c>
      <c r="D1194" t="str">
        <f>IFERROR(VLOOKUP($A1194,原始数据_收盘!$A$4:$G$3460,4,0),"")</f>
        <v/>
      </c>
      <c r="E1194" t="str">
        <f>IFERROR(VLOOKUP($A1194,原始数据_收盘!$A$4:$G$3460,5,0),"")</f>
        <v/>
      </c>
      <c r="F1194" t="str">
        <f>IFERROR(VLOOKUP($A1194,原始数据_收盘!$A$4:$G$3460,6,0),"")</f>
        <v/>
      </c>
      <c r="G1194" t="str">
        <f>IFERROR(VLOOKUP($A1194,原始数据_收盘!$A$4:$G$3460,7,0),"")</f>
        <v/>
      </c>
      <c r="H1194">
        <f>IFERROR(VLOOKUP($A1194,原始数据_利率互换_FR007_1年!$A$6:$C$4395,2,0),"")</f>
        <v>3.4905</v>
      </c>
      <c r="I1194">
        <f>IFERROR(VLOOKUP($A1194,原始数据_利率互换_FR007_1年!$A$6:$C$4395,3,0),"")</f>
        <v>3.8516</v>
      </c>
    </row>
    <row r="1195" spans="1:9">
      <c r="A1195" s="6">
        <v>40688</v>
      </c>
      <c r="B1195" t="str">
        <f>IFERROR(VLOOKUP($A1195,原始数据_收盘!$A$4:$G$3460,2,0),"")</f>
        <v/>
      </c>
      <c r="C1195" t="str">
        <f>IFERROR(VLOOKUP($A1195,原始数据_收盘!$A$4:$G$3460,3,0),"")</f>
        <v/>
      </c>
      <c r="D1195" t="str">
        <f>IFERROR(VLOOKUP($A1195,原始数据_收盘!$A$4:$G$3460,4,0),"")</f>
        <v/>
      </c>
      <c r="E1195" t="str">
        <f>IFERROR(VLOOKUP($A1195,原始数据_收盘!$A$4:$G$3460,5,0),"")</f>
        <v/>
      </c>
      <c r="F1195" t="str">
        <f>IFERROR(VLOOKUP($A1195,原始数据_收盘!$A$4:$G$3460,6,0),"")</f>
        <v/>
      </c>
      <c r="G1195" t="str">
        <f>IFERROR(VLOOKUP($A1195,原始数据_收盘!$A$4:$G$3460,7,0),"")</f>
        <v/>
      </c>
      <c r="H1195">
        <f>IFERROR(VLOOKUP($A1195,原始数据_利率互换_FR007_1年!$A$6:$C$4395,2,0),"")</f>
        <v>3.4993</v>
      </c>
      <c r="I1195">
        <f>IFERROR(VLOOKUP($A1195,原始数据_利率互换_FR007_1年!$A$6:$C$4395,3,0),"")</f>
        <v>3.8278</v>
      </c>
    </row>
    <row r="1196" spans="1:9">
      <c r="A1196" s="6">
        <v>40689</v>
      </c>
      <c r="B1196" t="str">
        <f>IFERROR(VLOOKUP($A1196,原始数据_收盘!$A$4:$G$3460,2,0),"")</f>
        <v/>
      </c>
      <c r="C1196" t="str">
        <f>IFERROR(VLOOKUP($A1196,原始数据_收盘!$A$4:$G$3460,3,0),"")</f>
        <v/>
      </c>
      <c r="D1196" t="str">
        <f>IFERROR(VLOOKUP($A1196,原始数据_收盘!$A$4:$G$3460,4,0),"")</f>
        <v/>
      </c>
      <c r="E1196" t="str">
        <f>IFERROR(VLOOKUP($A1196,原始数据_收盘!$A$4:$G$3460,5,0),"")</f>
        <v/>
      </c>
      <c r="F1196" t="str">
        <f>IFERROR(VLOOKUP($A1196,原始数据_收盘!$A$4:$G$3460,6,0),"")</f>
        <v/>
      </c>
      <c r="G1196" t="str">
        <f>IFERROR(VLOOKUP($A1196,原始数据_收盘!$A$4:$G$3460,7,0),"")</f>
        <v/>
      </c>
      <c r="H1196">
        <f>IFERROR(VLOOKUP($A1196,原始数据_利率互换_FR007_1年!$A$6:$C$4395,2,0),"")</f>
        <v>3.4896</v>
      </c>
      <c r="I1196">
        <f>IFERROR(VLOOKUP($A1196,原始数据_利率互换_FR007_1年!$A$6:$C$4395,3,0),"")</f>
        <v>3.8444</v>
      </c>
    </row>
    <row r="1197" spans="1:9">
      <c r="A1197" s="6">
        <v>40690</v>
      </c>
      <c r="B1197" t="str">
        <f>IFERROR(VLOOKUP($A1197,原始数据_收盘!$A$4:$G$3460,2,0),"")</f>
        <v/>
      </c>
      <c r="C1197" t="str">
        <f>IFERROR(VLOOKUP($A1197,原始数据_收盘!$A$4:$G$3460,3,0),"")</f>
        <v/>
      </c>
      <c r="D1197" t="str">
        <f>IFERROR(VLOOKUP($A1197,原始数据_收盘!$A$4:$G$3460,4,0),"")</f>
        <v/>
      </c>
      <c r="E1197" t="str">
        <f>IFERROR(VLOOKUP($A1197,原始数据_收盘!$A$4:$G$3460,5,0),"")</f>
        <v/>
      </c>
      <c r="F1197" t="str">
        <f>IFERROR(VLOOKUP($A1197,原始数据_收盘!$A$4:$G$3460,6,0),"")</f>
        <v/>
      </c>
      <c r="G1197" t="str">
        <f>IFERROR(VLOOKUP($A1197,原始数据_收盘!$A$4:$G$3460,7,0),"")</f>
        <v/>
      </c>
      <c r="H1197">
        <f>IFERROR(VLOOKUP($A1197,原始数据_利率互换_FR007_1年!$A$6:$C$4395,2,0),"")</f>
        <v>3.4421</v>
      </c>
      <c r="I1197">
        <f>IFERROR(VLOOKUP($A1197,原始数据_利率互换_FR007_1年!$A$6:$C$4395,3,0),"")</f>
        <v>0</v>
      </c>
    </row>
    <row r="1198" spans="1:9">
      <c r="A1198" s="6">
        <v>40691</v>
      </c>
      <c r="B1198" t="str">
        <f>IFERROR(VLOOKUP($A1198,原始数据_收盘!$A$4:$G$3460,2,0),"")</f>
        <v/>
      </c>
      <c r="C1198" t="str">
        <f>IFERROR(VLOOKUP($A1198,原始数据_收盘!$A$4:$G$3460,3,0),"")</f>
        <v/>
      </c>
      <c r="D1198" t="str">
        <f>IFERROR(VLOOKUP($A1198,原始数据_收盘!$A$4:$G$3460,4,0),"")</f>
        <v/>
      </c>
      <c r="E1198" t="str">
        <f>IFERROR(VLOOKUP($A1198,原始数据_收盘!$A$4:$G$3460,5,0),"")</f>
        <v/>
      </c>
      <c r="F1198" t="str">
        <f>IFERROR(VLOOKUP($A1198,原始数据_收盘!$A$4:$G$3460,6,0),"")</f>
        <v/>
      </c>
      <c r="G1198" t="str">
        <f>IFERROR(VLOOKUP($A1198,原始数据_收盘!$A$4:$G$3460,7,0),"")</f>
        <v/>
      </c>
      <c r="H1198" t="str">
        <f>IFERROR(VLOOKUP($A1198,原始数据_利率互换_FR007_1年!$A$6:$C$4395,2,0),"")</f>
        <v/>
      </c>
      <c r="I1198" t="str">
        <f>IFERROR(VLOOKUP($A1198,原始数据_利率互换_FR007_1年!$A$6:$C$4395,3,0),"")</f>
        <v/>
      </c>
    </row>
    <row r="1199" spans="1:9">
      <c r="A1199" s="6">
        <v>40692</v>
      </c>
      <c r="B1199" t="str">
        <f>IFERROR(VLOOKUP($A1199,原始数据_收盘!$A$4:$G$3460,2,0),"")</f>
        <v/>
      </c>
      <c r="C1199" t="str">
        <f>IFERROR(VLOOKUP($A1199,原始数据_收盘!$A$4:$G$3460,3,0),"")</f>
        <v/>
      </c>
      <c r="D1199" t="str">
        <f>IFERROR(VLOOKUP($A1199,原始数据_收盘!$A$4:$G$3460,4,0),"")</f>
        <v/>
      </c>
      <c r="E1199" t="str">
        <f>IFERROR(VLOOKUP($A1199,原始数据_收盘!$A$4:$G$3460,5,0),"")</f>
        <v/>
      </c>
      <c r="F1199" t="str">
        <f>IFERROR(VLOOKUP($A1199,原始数据_收盘!$A$4:$G$3460,6,0),"")</f>
        <v/>
      </c>
      <c r="G1199" t="str">
        <f>IFERROR(VLOOKUP($A1199,原始数据_收盘!$A$4:$G$3460,7,0),"")</f>
        <v/>
      </c>
      <c r="H1199" t="str">
        <f>IFERROR(VLOOKUP($A1199,原始数据_利率互换_FR007_1年!$A$6:$C$4395,2,0),"")</f>
        <v/>
      </c>
      <c r="I1199" t="str">
        <f>IFERROR(VLOOKUP($A1199,原始数据_利率互换_FR007_1年!$A$6:$C$4395,3,0),"")</f>
        <v/>
      </c>
    </row>
    <row r="1200" spans="1:9">
      <c r="A1200" s="6">
        <v>40693</v>
      </c>
      <c r="B1200" t="str">
        <f>IFERROR(VLOOKUP($A1200,原始数据_收盘!$A$4:$G$3460,2,0),"")</f>
        <v/>
      </c>
      <c r="C1200" t="str">
        <f>IFERROR(VLOOKUP($A1200,原始数据_收盘!$A$4:$G$3460,3,0),"")</f>
        <v/>
      </c>
      <c r="D1200" t="str">
        <f>IFERROR(VLOOKUP($A1200,原始数据_收盘!$A$4:$G$3460,4,0),"")</f>
        <v/>
      </c>
      <c r="E1200" t="str">
        <f>IFERROR(VLOOKUP($A1200,原始数据_收盘!$A$4:$G$3460,5,0),"")</f>
        <v/>
      </c>
      <c r="F1200" t="str">
        <f>IFERROR(VLOOKUP($A1200,原始数据_收盘!$A$4:$G$3460,6,0),"")</f>
        <v/>
      </c>
      <c r="G1200" t="str">
        <f>IFERROR(VLOOKUP($A1200,原始数据_收盘!$A$4:$G$3460,7,0),"")</f>
        <v/>
      </c>
      <c r="H1200">
        <f>IFERROR(VLOOKUP($A1200,原始数据_利率互换_FR007_1年!$A$6:$C$4395,2,0),"")</f>
        <v>3.4141</v>
      </c>
      <c r="I1200">
        <f>IFERROR(VLOOKUP($A1200,原始数据_利率互换_FR007_1年!$A$6:$C$4395,3,0),"")</f>
        <v>3.81</v>
      </c>
    </row>
    <row r="1201" spans="1:9">
      <c r="A1201" s="6">
        <v>40694</v>
      </c>
      <c r="B1201" t="str">
        <f>IFERROR(VLOOKUP($A1201,原始数据_收盘!$A$4:$G$3460,2,0),"")</f>
        <v/>
      </c>
      <c r="C1201" t="str">
        <f>IFERROR(VLOOKUP($A1201,原始数据_收盘!$A$4:$G$3460,3,0),"")</f>
        <v/>
      </c>
      <c r="D1201" t="str">
        <f>IFERROR(VLOOKUP($A1201,原始数据_收盘!$A$4:$G$3460,4,0),"")</f>
        <v/>
      </c>
      <c r="E1201" t="str">
        <f>IFERROR(VLOOKUP($A1201,原始数据_收盘!$A$4:$G$3460,5,0),"")</f>
        <v/>
      </c>
      <c r="F1201" t="str">
        <f>IFERROR(VLOOKUP($A1201,原始数据_收盘!$A$4:$G$3460,6,0),"")</f>
        <v/>
      </c>
      <c r="G1201" t="str">
        <f>IFERROR(VLOOKUP($A1201,原始数据_收盘!$A$4:$G$3460,7,0),"")</f>
        <v/>
      </c>
      <c r="H1201">
        <f>IFERROR(VLOOKUP($A1201,原始数据_利率互换_FR007_1年!$A$6:$C$4395,2,0),"")</f>
        <v>3.4588</v>
      </c>
      <c r="I1201">
        <f>IFERROR(VLOOKUP($A1201,原始数据_利率互换_FR007_1年!$A$6:$C$4395,3,0),"")</f>
        <v>3.8663</v>
      </c>
    </row>
    <row r="1202" spans="1:9">
      <c r="A1202" s="6">
        <v>40695</v>
      </c>
      <c r="B1202" t="str">
        <f>IFERROR(VLOOKUP($A1202,原始数据_收盘!$A$4:$G$3460,2,0),"")</f>
        <v/>
      </c>
      <c r="C1202" t="str">
        <f>IFERROR(VLOOKUP($A1202,原始数据_收盘!$A$4:$G$3460,3,0),"")</f>
        <v/>
      </c>
      <c r="D1202" t="str">
        <f>IFERROR(VLOOKUP($A1202,原始数据_收盘!$A$4:$G$3460,4,0),"")</f>
        <v/>
      </c>
      <c r="E1202" t="str">
        <f>IFERROR(VLOOKUP($A1202,原始数据_收盘!$A$4:$G$3460,5,0),"")</f>
        <v/>
      </c>
      <c r="F1202" t="str">
        <f>IFERROR(VLOOKUP($A1202,原始数据_收盘!$A$4:$G$3460,6,0),"")</f>
        <v/>
      </c>
      <c r="G1202" t="str">
        <f>IFERROR(VLOOKUP($A1202,原始数据_收盘!$A$4:$G$3460,7,0),"")</f>
        <v/>
      </c>
      <c r="H1202">
        <f>IFERROR(VLOOKUP($A1202,原始数据_利率互换_FR007_1年!$A$6:$C$4395,2,0),"")</f>
        <v>3.4617</v>
      </c>
      <c r="I1202">
        <f>IFERROR(VLOOKUP($A1202,原始数据_利率互换_FR007_1年!$A$6:$C$4395,3,0),"")</f>
        <v>3.8715</v>
      </c>
    </row>
    <row r="1203" spans="1:9">
      <c r="A1203" s="6">
        <v>40696</v>
      </c>
      <c r="B1203" t="str">
        <f>IFERROR(VLOOKUP($A1203,原始数据_收盘!$A$4:$G$3460,2,0),"")</f>
        <v/>
      </c>
      <c r="C1203" t="str">
        <f>IFERROR(VLOOKUP($A1203,原始数据_收盘!$A$4:$G$3460,3,0),"")</f>
        <v/>
      </c>
      <c r="D1203" t="str">
        <f>IFERROR(VLOOKUP($A1203,原始数据_收盘!$A$4:$G$3460,4,0),"")</f>
        <v/>
      </c>
      <c r="E1203" t="str">
        <f>IFERROR(VLOOKUP($A1203,原始数据_收盘!$A$4:$G$3460,5,0),"")</f>
        <v/>
      </c>
      <c r="F1203" t="str">
        <f>IFERROR(VLOOKUP($A1203,原始数据_收盘!$A$4:$G$3460,6,0),"")</f>
        <v/>
      </c>
      <c r="G1203" t="str">
        <f>IFERROR(VLOOKUP($A1203,原始数据_收盘!$A$4:$G$3460,7,0),"")</f>
        <v/>
      </c>
      <c r="H1203">
        <f>IFERROR(VLOOKUP($A1203,原始数据_利率互换_FR007_1年!$A$6:$C$4395,2,0),"")</f>
        <v>3.456</v>
      </c>
      <c r="I1203">
        <f>IFERROR(VLOOKUP($A1203,原始数据_利率互换_FR007_1年!$A$6:$C$4395,3,0),"")</f>
        <v>3.8379</v>
      </c>
    </row>
    <row r="1204" spans="1:9">
      <c r="A1204" s="6">
        <v>40697</v>
      </c>
      <c r="B1204" t="str">
        <f>IFERROR(VLOOKUP($A1204,原始数据_收盘!$A$4:$G$3460,2,0),"")</f>
        <v/>
      </c>
      <c r="C1204" t="str">
        <f>IFERROR(VLOOKUP($A1204,原始数据_收盘!$A$4:$G$3460,3,0),"")</f>
        <v/>
      </c>
      <c r="D1204" t="str">
        <f>IFERROR(VLOOKUP($A1204,原始数据_收盘!$A$4:$G$3460,4,0),"")</f>
        <v/>
      </c>
      <c r="E1204" t="str">
        <f>IFERROR(VLOOKUP($A1204,原始数据_收盘!$A$4:$G$3460,5,0),"")</f>
        <v/>
      </c>
      <c r="F1204" t="str">
        <f>IFERROR(VLOOKUP($A1204,原始数据_收盘!$A$4:$G$3460,6,0),"")</f>
        <v/>
      </c>
      <c r="G1204" t="str">
        <f>IFERROR(VLOOKUP($A1204,原始数据_收盘!$A$4:$G$3460,7,0),"")</f>
        <v/>
      </c>
      <c r="H1204">
        <f>IFERROR(VLOOKUP($A1204,原始数据_利率互换_FR007_1年!$A$6:$C$4395,2,0),"")</f>
        <v>3.43</v>
      </c>
      <c r="I1204">
        <f>IFERROR(VLOOKUP($A1204,原始数据_利率互换_FR007_1年!$A$6:$C$4395,3,0),"")</f>
        <v>3.815</v>
      </c>
    </row>
    <row r="1205" spans="1:9">
      <c r="A1205" s="6">
        <v>40698</v>
      </c>
      <c r="B1205" t="str">
        <f>IFERROR(VLOOKUP($A1205,原始数据_收盘!$A$4:$G$3460,2,0),"")</f>
        <v/>
      </c>
      <c r="C1205" t="str">
        <f>IFERROR(VLOOKUP($A1205,原始数据_收盘!$A$4:$G$3460,3,0),"")</f>
        <v/>
      </c>
      <c r="D1205" t="str">
        <f>IFERROR(VLOOKUP($A1205,原始数据_收盘!$A$4:$G$3460,4,0),"")</f>
        <v/>
      </c>
      <c r="E1205" t="str">
        <f>IFERROR(VLOOKUP($A1205,原始数据_收盘!$A$4:$G$3460,5,0),"")</f>
        <v/>
      </c>
      <c r="F1205" t="str">
        <f>IFERROR(VLOOKUP($A1205,原始数据_收盘!$A$4:$G$3460,6,0),"")</f>
        <v/>
      </c>
      <c r="G1205" t="str">
        <f>IFERROR(VLOOKUP($A1205,原始数据_收盘!$A$4:$G$3460,7,0),"")</f>
        <v/>
      </c>
      <c r="H1205" t="str">
        <f>IFERROR(VLOOKUP($A1205,原始数据_利率互换_FR007_1年!$A$6:$C$4395,2,0),"")</f>
        <v/>
      </c>
      <c r="I1205" t="str">
        <f>IFERROR(VLOOKUP($A1205,原始数据_利率互换_FR007_1年!$A$6:$C$4395,3,0),"")</f>
        <v/>
      </c>
    </row>
    <row r="1206" spans="1:9">
      <c r="A1206" s="6">
        <v>40699</v>
      </c>
      <c r="B1206" t="str">
        <f>IFERROR(VLOOKUP($A1206,原始数据_收盘!$A$4:$G$3460,2,0),"")</f>
        <v/>
      </c>
      <c r="C1206" t="str">
        <f>IFERROR(VLOOKUP($A1206,原始数据_收盘!$A$4:$G$3460,3,0),"")</f>
        <v/>
      </c>
      <c r="D1206" t="str">
        <f>IFERROR(VLOOKUP($A1206,原始数据_收盘!$A$4:$G$3460,4,0),"")</f>
        <v/>
      </c>
      <c r="E1206" t="str">
        <f>IFERROR(VLOOKUP($A1206,原始数据_收盘!$A$4:$G$3460,5,0),"")</f>
        <v/>
      </c>
      <c r="F1206" t="str">
        <f>IFERROR(VLOOKUP($A1206,原始数据_收盘!$A$4:$G$3460,6,0),"")</f>
        <v/>
      </c>
      <c r="G1206" t="str">
        <f>IFERROR(VLOOKUP($A1206,原始数据_收盘!$A$4:$G$3460,7,0),"")</f>
        <v/>
      </c>
      <c r="H1206" t="str">
        <f>IFERROR(VLOOKUP($A1206,原始数据_利率互换_FR007_1年!$A$6:$C$4395,2,0),"")</f>
        <v/>
      </c>
      <c r="I1206" t="str">
        <f>IFERROR(VLOOKUP($A1206,原始数据_利率互换_FR007_1年!$A$6:$C$4395,3,0),"")</f>
        <v/>
      </c>
    </row>
    <row r="1207" spans="1:9">
      <c r="A1207" s="6">
        <v>40700</v>
      </c>
      <c r="B1207" t="str">
        <f>IFERROR(VLOOKUP($A1207,原始数据_收盘!$A$4:$G$3460,2,0),"")</f>
        <v/>
      </c>
      <c r="C1207" t="str">
        <f>IFERROR(VLOOKUP($A1207,原始数据_收盘!$A$4:$G$3460,3,0),"")</f>
        <v/>
      </c>
      <c r="D1207" t="str">
        <f>IFERROR(VLOOKUP($A1207,原始数据_收盘!$A$4:$G$3460,4,0),"")</f>
        <v/>
      </c>
      <c r="E1207" t="str">
        <f>IFERROR(VLOOKUP($A1207,原始数据_收盘!$A$4:$G$3460,5,0),"")</f>
        <v/>
      </c>
      <c r="F1207" t="str">
        <f>IFERROR(VLOOKUP($A1207,原始数据_收盘!$A$4:$G$3460,6,0),"")</f>
        <v/>
      </c>
      <c r="G1207" t="str">
        <f>IFERROR(VLOOKUP($A1207,原始数据_收盘!$A$4:$G$3460,7,0),"")</f>
        <v/>
      </c>
      <c r="H1207" t="str">
        <f>IFERROR(VLOOKUP($A1207,原始数据_利率互换_FR007_1年!$A$6:$C$4395,2,0),"")</f>
        <v/>
      </c>
      <c r="I1207" t="str">
        <f>IFERROR(VLOOKUP($A1207,原始数据_利率互换_FR007_1年!$A$6:$C$4395,3,0),"")</f>
        <v/>
      </c>
    </row>
    <row r="1208" spans="1:9">
      <c r="A1208" s="6">
        <v>40701</v>
      </c>
      <c r="B1208" t="str">
        <f>IFERROR(VLOOKUP($A1208,原始数据_收盘!$A$4:$G$3460,2,0),"")</f>
        <v/>
      </c>
      <c r="C1208" t="str">
        <f>IFERROR(VLOOKUP($A1208,原始数据_收盘!$A$4:$G$3460,3,0),"")</f>
        <v/>
      </c>
      <c r="D1208" t="str">
        <f>IFERROR(VLOOKUP($A1208,原始数据_收盘!$A$4:$G$3460,4,0),"")</f>
        <v/>
      </c>
      <c r="E1208" t="str">
        <f>IFERROR(VLOOKUP($A1208,原始数据_收盘!$A$4:$G$3460,5,0),"")</f>
        <v/>
      </c>
      <c r="F1208" t="str">
        <f>IFERROR(VLOOKUP($A1208,原始数据_收盘!$A$4:$G$3460,6,0),"")</f>
        <v/>
      </c>
      <c r="G1208" t="str">
        <f>IFERROR(VLOOKUP($A1208,原始数据_收盘!$A$4:$G$3460,7,0),"")</f>
        <v/>
      </c>
      <c r="H1208">
        <f>IFERROR(VLOOKUP($A1208,原始数据_利率互换_FR007_1年!$A$6:$C$4395,2,0),"")</f>
        <v>3.4147</v>
      </c>
      <c r="I1208">
        <f>IFERROR(VLOOKUP($A1208,原始数据_利率互换_FR007_1年!$A$6:$C$4395,3,0),"")</f>
        <v>3.8075</v>
      </c>
    </row>
    <row r="1209" spans="1:9">
      <c r="A1209" s="6">
        <v>40702</v>
      </c>
      <c r="B1209" t="str">
        <f>IFERROR(VLOOKUP($A1209,原始数据_收盘!$A$4:$G$3460,2,0),"")</f>
        <v/>
      </c>
      <c r="C1209" t="str">
        <f>IFERROR(VLOOKUP($A1209,原始数据_收盘!$A$4:$G$3460,3,0),"")</f>
        <v/>
      </c>
      <c r="D1209" t="str">
        <f>IFERROR(VLOOKUP($A1209,原始数据_收盘!$A$4:$G$3460,4,0),"")</f>
        <v/>
      </c>
      <c r="E1209" t="str">
        <f>IFERROR(VLOOKUP($A1209,原始数据_收盘!$A$4:$G$3460,5,0),"")</f>
        <v/>
      </c>
      <c r="F1209" t="str">
        <f>IFERROR(VLOOKUP($A1209,原始数据_收盘!$A$4:$G$3460,6,0),"")</f>
        <v/>
      </c>
      <c r="G1209" t="str">
        <f>IFERROR(VLOOKUP($A1209,原始数据_收盘!$A$4:$G$3460,7,0),"")</f>
        <v/>
      </c>
      <c r="H1209">
        <f>IFERROR(VLOOKUP($A1209,原始数据_利率互换_FR007_1年!$A$6:$C$4395,2,0),"")</f>
        <v>3.4712</v>
      </c>
      <c r="I1209">
        <f>IFERROR(VLOOKUP($A1209,原始数据_利率互换_FR007_1年!$A$6:$C$4395,3,0),"")</f>
        <v>3.8273</v>
      </c>
    </row>
    <row r="1210" spans="1:9">
      <c r="A1210" s="6">
        <v>40703</v>
      </c>
      <c r="B1210" t="str">
        <f>IFERROR(VLOOKUP($A1210,原始数据_收盘!$A$4:$G$3460,2,0),"")</f>
        <v/>
      </c>
      <c r="C1210" t="str">
        <f>IFERROR(VLOOKUP($A1210,原始数据_收盘!$A$4:$G$3460,3,0),"")</f>
        <v/>
      </c>
      <c r="D1210" t="str">
        <f>IFERROR(VLOOKUP($A1210,原始数据_收盘!$A$4:$G$3460,4,0),"")</f>
        <v/>
      </c>
      <c r="E1210" t="str">
        <f>IFERROR(VLOOKUP($A1210,原始数据_收盘!$A$4:$G$3460,5,0),"")</f>
        <v/>
      </c>
      <c r="F1210" t="str">
        <f>IFERROR(VLOOKUP($A1210,原始数据_收盘!$A$4:$G$3460,6,0),"")</f>
        <v/>
      </c>
      <c r="G1210" t="str">
        <f>IFERROR(VLOOKUP($A1210,原始数据_收盘!$A$4:$G$3460,7,0),"")</f>
        <v/>
      </c>
      <c r="H1210">
        <f>IFERROR(VLOOKUP($A1210,原始数据_利率互换_FR007_1年!$A$6:$C$4395,2,0),"")</f>
        <v>3.4807</v>
      </c>
      <c r="I1210">
        <f>IFERROR(VLOOKUP($A1210,原始数据_利率互换_FR007_1年!$A$6:$C$4395,3,0),"")</f>
        <v>3.8435</v>
      </c>
    </row>
    <row r="1211" spans="1:9">
      <c r="A1211" s="6">
        <v>40704</v>
      </c>
      <c r="B1211" t="str">
        <f>IFERROR(VLOOKUP($A1211,原始数据_收盘!$A$4:$G$3460,2,0),"")</f>
        <v/>
      </c>
      <c r="C1211" t="str">
        <f>IFERROR(VLOOKUP($A1211,原始数据_收盘!$A$4:$G$3460,3,0),"")</f>
        <v/>
      </c>
      <c r="D1211" t="str">
        <f>IFERROR(VLOOKUP($A1211,原始数据_收盘!$A$4:$G$3460,4,0),"")</f>
        <v/>
      </c>
      <c r="E1211" t="str">
        <f>IFERROR(VLOOKUP($A1211,原始数据_收盘!$A$4:$G$3460,5,0),"")</f>
        <v/>
      </c>
      <c r="F1211" t="str">
        <f>IFERROR(VLOOKUP($A1211,原始数据_收盘!$A$4:$G$3460,6,0),"")</f>
        <v/>
      </c>
      <c r="G1211" t="str">
        <f>IFERROR(VLOOKUP($A1211,原始数据_收盘!$A$4:$G$3460,7,0),"")</f>
        <v/>
      </c>
      <c r="H1211">
        <f>IFERROR(VLOOKUP($A1211,原始数据_利率互换_FR007_1年!$A$6:$C$4395,2,0),"")</f>
        <v>3.4881</v>
      </c>
      <c r="I1211">
        <f>IFERROR(VLOOKUP($A1211,原始数据_利率互换_FR007_1年!$A$6:$C$4395,3,0),"")</f>
        <v>3.8267</v>
      </c>
    </row>
    <row r="1212" spans="1:9">
      <c r="A1212" s="6">
        <v>40705</v>
      </c>
      <c r="B1212" t="str">
        <f>IFERROR(VLOOKUP($A1212,原始数据_收盘!$A$4:$G$3460,2,0),"")</f>
        <v/>
      </c>
      <c r="C1212" t="str">
        <f>IFERROR(VLOOKUP($A1212,原始数据_收盘!$A$4:$G$3460,3,0),"")</f>
        <v/>
      </c>
      <c r="D1212" t="str">
        <f>IFERROR(VLOOKUP($A1212,原始数据_收盘!$A$4:$G$3460,4,0),"")</f>
        <v/>
      </c>
      <c r="E1212" t="str">
        <f>IFERROR(VLOOKUP($A1212,原始数据_收盘!$A$4:$G$3460,5,0),"")</f>
        <v/>
      </c>
      <c r="F1212" t="str">
        <f>IFERROR(VLOOKUP($A1212,原始数据_收盘!$A$4:$G$3460,6,0),"")</f>
        <v/>
      </c>
      <c r="G1212" t="str">
        <f>IFERROR(VLOOKUP($A1212,原始数据_收盘!$A$4:$G$3460,7,0),"")</f>
        <v/>
      </c>
      <c r="H1212" t="str">
        <f>IFERROR(VLOOKUP($A1212,原始数据_利率互换_FR007_1年!$A$6:$C$4395,2,0),"")</f>
        <v/>
      </c>
      <c r="I1212" t="str">
        <f>IFERROR(VLOOKUP($A1212,原始数据_利率互换_FR007_1年!$A$6:$C$4395,3,0),"")</f>
        <v/>
      </c>
    </row>
    <row r="1213" spans="1:9">
      <c r="A1213" s="6">
        <v>40706</v>
      </c>
      <c r="B1213" t="str">
        <f>IFERROR(VLOOKUP($A1213,原始数据_收盘!$A$4:$G$3460,2,0),"")</f>
        <v/>
      </c>
      <c r="C1213" t="str">
        <f>IFERROR(VLOOKUP($A1213,原始数据_收盘!$A$4:$G$3460,3,0),"")</f>
        <v/>
      </c>
      <c r="D1213" t="str">
        <f>IFERROR(VLOOKUP($A1213,原始数据_收盘!$A$4:$G$3460,4,0),"")</f>
        <v/>
      </c>
      <c r="E1213" t="str">
        <f>IFERROR(VLOOKUP($A1213,原始数据_收盘!$A$4:$G$3460,5,0),"")</f>
        <v/>
      </c>
      <c r="F1213" t="str">
        <f>IFERROR(VLOOKUP($A1213,原始数据_收盘!$A$4:$G$3460,6,0),"")</f>
        <v/>
      </c>
      <c r="G1213" t="str">
        <f>IFERROR(VLOOKUP($A1213,原始数据_收盘!$A$4:$G$3460,7,0),"")</f>
        <v/>
      </c>
      <c r="H1213" t="str">
        <f>IFERROR(VLOOKUP($A1213,原始数据_利率互换_FR007_1年!$A$6:$C$4395,2,0),"")</f>
        <v/>
      </c>
      <c r="I1213" t="str">
        <f>IFERROR(VLOOKUP($A1213,原始数据_利率互换_FR007_1年!$A$6:$C$4395,3,0),"")</f>
        <v/>
      </c>
    </row>
    <row r="1214" spans="1:9">
      <c r="A1214" s="6">
        <v>40707</v>
      </c>
      <c r="B1214" t="str">
        <f>IFERROR(VLOOKUP($A1214,原始数据_收盘!$A$4:$G$3460,2,0),"")</f>
        <v/>
      </c>
      <c r="C1214" t="str">
        <f>IFERROR(VLOOKUP($A1214,原始数据_收盘!$A$4:$G$3460,3,0),"")</f>
        <v/>
      </c>
      <c r="D1214" t="str">
        <f>IFERROR(VLOOKUP($A1214,原始数据_收盘!$A$4:$G$3460,4,0),"")</f>
        <v/>
      </c>
      <c r="E1214" t="str">
        <f>IFERROR(VLOOKUP($A1214,原始数据_收盘!$A$4:$G$3460,5,0),"")</f>
        <v/>
      </c>
      <c r="F1214" t="str">
        <f>IFERROR(VLOOKUP($A1214,原始数据_收盘!$A$4:$G$3460,6,0),"")</f>
        <v/>
      </c>
      <c r="G1214" t="str">
        <f>IFERROR(VLOOKUP($A1214,原始数据_收盘!$A$4:$G$3460,7,0),"")</f>
        <v/>
      </c>
      <c r="H1214">
        <f>IFERROR(VLOOKUP($A1214,原始数据_利率互换_FR007_1年!$A$6:$C$4395,2,0),"")</f>
        <v>3.4915</v>
      </c>
      <c r="I1214">
        <f>IFERROR(VLOOKUP($A1214,原始数据_利率互换_FR007_1年!$A$6:$C$4395,3,0),"")</f>
        <v>3.7978</v>
      </c>
    </row>
    <row r="1215" spans="1:9">
      <c r="A1215" s="6">
        <v>40708</v>
      </c>
      <c r="B1215" t="str">
        <f>IFERROR(VLOOKUP($A1215,原始数据_收盘!$A$4:$G$3460,2,0),"")</f>
        <v/>
      </c>
      <c r="C1215" t="str">
        <f>IFERROR(VLOOKUP($A1215,原始数据_收盘!$A$4:$G$3460,3,0),"")</f>
        <v/>
      </c>
      <c r="D1215" t="str">
        <f>IFERROR(VLOOKUP($A1215,原始数据_收盘!$A$4:$G$3460,4,0),"")</f>
        <v/>
      </c>
      <c r="E1215" t="str">
        <f>IFERROR(VLOOKUP($A1215,原始数据_收盘!$A$4:$G$3460,5,0),"")</f>
        <v/>
      </c>
      <c r="F1215" t="str">
        <f>IFERROR(VLOOKUP($A1215,原始数据_收盘!$A$4:$G$3460,6,0),"")</f>
        <v/>
      </c>
      <c r="G1215" t="str">
        <f>IFERROR(VLOOKUP($A1215,原始数据_收盘!$A$4:$G$3460,7,0),"")</f>
        <v/>
      </c>
      <c r="H1215">
        <f>IFERROR(VLOOKUP($A1215,原始数据_利率互换_FR007_1年!$A$6:$C$4395,2,0),"")</f>
        <v>3.5499</v>
      </c>
      <c r="I1215">
        <f>IFERROR(VLOOKUP($A1215,原始数据_利率互换_FR007_1年!$A$6:$C$4395,3,0),"")</f>
        <v>3.79</v>
      </c>
    </row>
    <row r="1216" spans="1:9">
      <c r="A1216" s="6">
        <v>40709</v>
      </c>
      <c r="B1216" t="str">
        <f>IFERROR(VLOOKUP($A1216,原始数据_收盘!$A$4:$G$3460,2,0),"")</f>
        <v/>
      </c>
      <c r="C1216" t="str">
        <f>IFERROR(VLOOKUP($A1216,原始数据_收盘!$A$4:$G$3460,3,0),"")</f>
        <v/>
      </c>
      <c r="D1216" t="str">
        <f>IFERROR(VLOOKUP($A1216,原始数据_收盘!$A$4:$G$3460,4,0),"")</f>
        <v/>
      </c>
      <c r="E1216" t="str">
        <f>IFERROR(VLOOKUP($A1216,原始数据_收盘!$A$4:$G$3460,5,0),"")</f>
        <v/>
      </c>
      <c r="F1216" t="str">
        <f>IFERROR(VLOOKUP($A1216,原始数据_收盘!$A$4:$G$3460,6,0),"")</f>
        <v/>
      </c>
      <c r="G1216" t="str">
        <f>IFERROR(VLOOKUP($A1216,原始数据_收盘!$A$4:$G$3460,7,0),"")</f>
        <v/>
      </c>
      <c r="H1216">
        <f>IFERROR(VLOOKUP($A1216,原始数据_利率互换_FR007_1年!$A$6:$C$4395,2,0),"")</f>
        <v>3.722</v>
      </c>
      <c r="I1216">
        <f>IFERROR(VLOOKUP($A1216,原始数据_利率互换_FR007_1年!$A$6:$C$4395,3,0),"")</f>
        <v>3.9256</v>
      </c>
    </row>
    <row r="1217" spans="1:9">
      <c r="A1217" s="6">
        <v>40710</v>
      </c>
      <c r="B1217" t="str">
        <f>IFERROR(VLOOKUP($A1217,原始数据_收盘!$A$4:$G$3460,2,0),"")</f>
        <v/>
      </c>
      <c r="C1217" t="str">
        <f>IFERROR(VLOOKUP($A1217,原始数据_收盘!$A$4:$G$3460,3,0),"")</f>
        <v/>
      </c>
      <c r="D1217" t="str">
        <f>IFERROR(VLOOKUP($A1217,原始数据_收盘!$A$4:$G$3460,4,0),"")</f>
        <v/>
      </c>
      <c r="E1217" t="str">
        <f>IFERROR(VLOOKUP($A1217,原始数据_收盘!$A$4:$G$3460,5,0),"")</f>
        <v/>
      </c>
      <c r="F1217" t="str">
        <f>IFERROR(VLOOKUP($A1217,原始数据_收盘!$A$4:$G$3460,6,0),"")</f>
        <v/>
      </c>
      <c r="G1217" t="str">
        <f>IFERROR(VLOOKUP($A1217,原始数据_收盘!$A$4:$G$3460,7,0),"")</f>
        <v/>
      </c>
      <c r="H1217">
        <f>IFERROR(VLOOKUP($A1217,原始数据_利率互换_FR007_1年!$A$6:$C$4395,2,0),"")</f>
        <v>3.841</v>
      </c>
      <c r="I1217">
        <f>IFERROR(VLOOKUP($A1217,原始数据_利率互换_FR007_1年!$A$6:$C$4395,3,0),"")</f>
        <v>3.9722</v>
      </c>
    </row>
    <row r="1218" spans="1:9">
      <c r="A1218" s="6">
        <v>40711</v>
      </c>
      <c r="B1218" t="str">
        <f>IFERROR(VLOOKUP($A1218,原始数据_收盘!$A$4:$G$3460,2,0),"")</f>
        <v/>
      </c>
      <c r="C1218" t="str">
        <f>IFERROR(VLOOKUP($A1218,原始数据_收盘!$A$4:$G$3460,3,0),"")</f>
        <v/>
      </c>
      <c r="D1218" t="str">
        <f>IFERROR(VLOOKUP($A1218,原始数据_收盘!$A$4:$G$3460,4,0),"")</f>
        <v/>
      </c>
      <c r="E1218" t="str">
        <f>IFERROR(VLOOKUP($A1218,原始数据_收盘!$A$4:$G$3460,5,0),"")</f>
        <v/>
      </c>
      <c r="F1218" t="str">
        <f>IFERROR(VLOOKUP($A1218,原始数据_收盘!$A$4:$G$3460,6,0),"")</f>
        <v/>
      </c>
      <c r="G1218" t="str">
        <f>IFERROR(VLOOKUP($A1218,原始数据_收盘!$A$4:$G$3460,7,0),"")</f>
        <v/>
      </c>
      <c r="H1218">
        <f>IFERROR(VLOOKUP($A1218,原始数据_利率互换_FR007_1年!$A$6:$C$4395,2,0),"")</f>
        <v>3.8149</v>
      </c>
      <c r="I1218">
        <f>IFERROR(VLOOKUP($A1218,原始数据_利率互换_FR007_1年!$A$6:$C$4395,3,0),"")</f>
        <v>3.8927</v>
      </c>
    </row>
    <row r="1219" spans="1:9">
      <c r="A1219" s="6">
        <v>40712</v>
      </c>
      <c r="B1219" t="str">
        <f>IFERROR(VLOOKUP($A1219,原始数据_收盘!$A$4:$G$3460,2,0),"")</f>
        <v/>
      </c>
      <c r="C1219" t="str">
        <f>IFERROR(VLOOKUP($A1219,原始数据_收盘!$A$4:$G$3460,3,0),"")</f>
        <v/>
      </c>
      <c r="D1219" t="str">
        <f>IFERROR(VLOOKUP($A1219,原始数据_收盘!$A$4:$G$3460,4,0),"")</f>
        <v/>
      </c>
      <c r="E1219" t="str">
        <f>IFERROR(VLOOKUP($A1219,原始数据_收盘!$A$4:$G$3460,5,0),"")</f>
        <v/>
      </c>
      <c r="F1219" t="str">
        <f>IFERROR(VLOOKUP($A1219,原始数据_收盘!$A$4:$G$3460,6,0),"")</f>
        <v/>
      </c>
      <c r="G1219" t="str">
        <f>IFERROR(VLOOKUP($A1219,原始数据_收盘!$A$4:$G$3460,7,0),"")</f>
        <v/>
      </c>
      <c r="H1219" t="str">
        <f>IFERROR(VLOOKUP($A1219,原始数据_利率互换_FR007_1年!$A$6:$C$4395,2,0),"")</f>
        <v/>
      </c>
      <c r="I1219" t="str">
        <f>IFERROR(VLOOKUP($A1219,原始数据_利率互换_FR007_1年!$A$6:$C$4395,3,0),"")</f>
        <v/>
      </c>
    </row>
    <row r="1220" spans="1:9">
      <c r="A1220" s="6">
        <v>40713</v>
      </c>
      <c r="B1220" t="str">
        <f>IFERROR(VLOOKUP($A1220,原始数据_收盘!$A$4:$G$3460,2,0),"")</f>
        <v/>
      </c>
      <c r="C1220" t="str">
        <f>IFERROR(VLOOKUP($A1220,原始数据_收盘!$A$4:$G$3460,3,0),"")</f>
        <v/>
      </c>
      <c r="D1220" t="str">
        <f>IFERROR(VLOOKUP($A1220,原始数据_收盘!$A$4:$G$3460,4,0),"")</f>
        <v/>
      </c>
      <c r="E1220" t="str">
        <f>IFERROR(VLOOKUP($A1220,原始数据_收盘!$A$4:$G$3460,5,0),"")</f>
        <v/>
      </c>
      <c r="F1220" t="str">
        <f>IFERROR(VLOOKUP($A1220,原始数据_收盘!$A$4:$G$3460,6,0),"")</f>
        <v/>
      </c>
      <c r="G1220" t="str">
        <f>IFERROR(VLOOKUP($A1220,原始数据_收盘!$A$4:$G$3460,7,0),"")</f>
        <v/>
      </c>
      <c r="H1220" t="str">
        <f>IFERROR(VLOOKUP($A1220,原始数据_利率互换_FR007_1年!$A$6:$C$4395,2,0),"")</f>
        <v/>
      </c>
      <c r="I1220" t="str">
        <f>IFERROR(VLOOKUP($A1220,原始数据_利率互换_FR007_1年!$A$6:$C$4395,3,0),"")</f>
        <v/>
      </c>
    </row>
    <row r="1221" spans="1:9">
      <c r="A1221" s="6">
        <v>40714</v>
      </c>
      <c r="B1221" t="str">
        <f>IFERROR(VLOOKUP($A1221,原始数据_收盘!$A$4:$G$3460,2,0),"")</f>
        <v/>
      </c>
      <c r="C1221" t="str">
        <f>IFERROR(VLOOKUP($A1221,原始数据_收盘!$A$4:$G$3460,3,0),"")</f>
        <v/>
      </c>
      <c r="D1221" t="str">
        <f>IFERROR(VLOOKUP($A1221,原始数据_收盘!$A$4:$G$3460,4,0),"")</f>
        <v/>
      </c>
      <c r="E1221" t="str">
        <f>IFERROR(VLOOKUP($A1221,原始数据_收盘!$A$4:$G$3460,5,0),"")</f>
        <v/>
      </c>
      <c r="F1221" t="str">
        <f>IFERROR(VLOOKUP($A1221,原始数据_收盘!$A$4:$G$3460,6,0),"")</f>
        <v/>
      </c>
      <c r="G1221" t="str">
        <f>IFERROR(VLOOKUP($A1221,原始数据_收盘!$A$4:$G$3460,7,0),"")</f>
        <v/>
      </c>
      <c r="H1221">
        <f>IFERROR(VLOOKUP($A1221,原始数据_利率互换_FR007_1年!$A$6:$C$4395,2,0),"")</f>
        <v>3.8001</v>
      </c>
      <c r="I1221">
        <f>IFERROR(VLOOKUP($A1221,原始数据_利率互换_FR007_1年!$A$6:$C$4395,3,0),"")</f>
        <v>3.8895</v>
      </c>
    </row>
    <row r="1222" spans="1:9">
      <c r="A1222" s="6">
        <v>40715</v>
      </c>
      <c r="B1222" t="str">
        <f>IFERROR(VLOOKUP($A1222,原始数据_收盘!$A$4:$G$3460,2,0),"")</f>
        <v/>
      </c>
      <c r="C1222" t="str">
        <f>IFERROR(VLOOKUP($A1222,原始数据_收盘!$A$4:$G$3460,3,0),"")</f>
        <v/>
      </c>
      <c r="D1222" t="str">
        <f>IFERROR(VLOOKUP($A1222,原始数据_收盘!$A$4:$G$3460,4,0),"")</f>
        <v/>
      </c>
      <c r="E1222" t="str">
        <f>IFERROR(VLOOKUP($A1222,原始数据_收盘!$A$4:$G$3460,5,0),"")</f>
        <v/>
      </c>
      <c r="F1222" t="str">
        <f>IFERROR(VLOOKUP($A1222,原始数据_收盘!$A$4:$G$3460,6,0),"")</f>
        <v/>
      </c>
      <c r="G1222" t="str">
        <f>IFERROR(VLOOKUP($A1222,原始数据_收盘!$A$4:$G$3460,7,0),"")</f>
        <v/>
      </c>
      <c r="H1222">
        <f>IFERROR(VLOOKUP($A1222,原始数据_利率互换_FR007_1年!$A$6:$C$4395,2,0),"")</f>
        <v>3.8184</v>
      </c>
      <c r="I1222">
        <f>IFERROR(VLOOKUP($A1222,原始数据_利率互换_FR007_1年!$A$6:$C$4395,3,0),"")</f>
        <v>3.9342</v>
      </c>
    </row>
    <row r="1223" spans="1:9">
      <c r="A1223" s="6">
        <v>40716</v>
      </c>
      <c r="B1223" t="str">
        <f>IFERROR(VLOOKUP($A1223,原始数据_收盘!$A$4:$G$3460,2,0),"")</f>
        <v/>
      </c>
      <c r="C1223" t="str">
        <f>IFERROR(VLOOKUP($A1223,原始数据_收盘!$A$4:$G$3460,3,0),"")</f>
        <v/>
      </c>
      <c r="D1223" t="str">
        <f>IFERROR(VLOOKUP($A1223,原始数据_收盘!$A$4:$G$3460,4,0),"")</f>
        <v/>
      </c>
      <c r="E1223" t="str">
        <f>IFERROR(VLOOKUP($A1223,原始数据_收盘!$A$4:$G$3460,5,0),"")</f>
        <v/>
      </c>
      <c r="F1223" t="str">
        <f>IFERROR(VLOOKUP($A1223,原始数据_收盘!$A$4:$G$3460,6,0),"")</f>
        <v/>
      </c>
      <c r="G1223" t="str">
        <f>IFERROR(VLOOKUP($A1223,原始数据_收盘!$A$4:$G$3460,7,0),"")</f>
        <v/>
      </c>
      <c r="H1223">
        <f>IFERROR(VLOOKUP($A1223,原始数据_利率互换_FR007_1年!$A$6:$C$4395,2,0),"")</f>
        <v>3.9166</v>
      </c>
      <c r="I1223">
        <f>IFERROR(VLOOKUP($A1223,原始数据_利率互换_FR007_1年!$A$6:$C$4395,3,0),"")</f>
        <v>4.0014</v>
      </c>
    </row>
    <row r="1224" spans="1:9">
      <c r="A1224" s="6">
        <v>40717</v>
      </c>
      <c r="B1224" t="str">
        <f>IFERROR(VLOOKUP($A1224,原始数据_收盘!$A$4:$G$3460,2,0),"")</f>
        <v/>
      </c>
      <c r="C1224" t="str">
        <f>IFERROR(VLOOKUP($A1224,原始数据_收盘!$A$4:$G$3460,3,0),"")</f>
        <v/>
      </c>
      <c r="D1224" t="str">
        <f>IFERROR(VLOOKUP($A1224,原始数据_收盘!$A$4:$G$3460,4,0),"")</f>
        <v/>
      </c>
      <c r="E1224" t="str">
        <f>IFERROR(VLOOKUP($A1224,原始数据_收盘!$A$4:$G$3460,5,0),"")</f>
        <v/>
      </c>
      <c r="F1224" t="str">
        <f>IFERROR(VLOOKUP($A1224,原始数据_收盘!$A$4:$G$3460,6,0),"")</f>
        <v/>
      </c>
      <c r="G1224" t="str">
        <f>IFERROR(VLOOKUP($A1224,原始数据_收盘!$A$4:$G$3460,7,0),"")</f>
        <v/>
      </c>
      <c r="H1224">
        <f>IFERROR(VLOOKUP($A1224,原始数据_利率互换_FR007_1年!$A$6:$C$4395,2,0),"")</f>
        <v>3.9808</v>
      </c>
      <c r="I1224">
        <f>IFERROR(VLOOKUP($A1224,原始数据_利率互换_FR007_1年!$A$6:$C$4395,3,0),"")</f>
        <v>4.0513</v>
      </c>
    </row>
    <row r="1225" spans="1:9">
      <c r="A1225" s="6">
        <v>40718</v>
      </c>
      <c r="B1225" t="str">
        <f>IFERROR(VLOOKUP($A1225,原始数据_收盘!$A$4:$G$3460,2,0),"")</f>
        <v/>
      </c>
      <c r="C1225" t="str">
        <f>IFERROR(VLOOKUP($A1225,原始数据_收盘!$A$4:$G$3460,3,0),"")</f>
        <v/>
      </c>
      <c r="D1225" t="str">
        <f>IFERROR(VLOOKUP($A1225,原始数据_收盘!$A$4:$G$3460,4,0),"")</f>
        <v/>
      </c>
      <c r="E1225" t="str">
        <f>IFERROR(VLOOKUP($A1225,原始数据_收盘!$A$4:$G$3460,5,0),"")</f>
        <v/>
      </c>
      <c r="F1225" t="str">
        <f>IFERROR(VLOOKUP($A1225,原始数据_收盘!$A$4:$G$3460,6,0),"")</f>
        <v/>
      </c>
      <c r="G1225" t="str">
        <f>IFERROR(VLOOKUP($A1225,原始数据_收盘!$A$4:$G$3460,7,0),"")</f>
        <v/>
      </c>
      <c r="H1225">
        <f>IFERROR(VLOOKUP($A1225,原始数据_利率互换_FR007_1年!$A$6:$C$4395,2,0),"")</f>
        <v>3.8624</v>
      </c>
      <c r="I1225">
        <f>IFERROR(VLOOKUP($A1225,原始数据_利率互换_FR007_1年!$A$6:$C$4395,3,0),"")</f>
        <v>3.9509</v>
      </c>
    </row>
    <row r="1226" spans="1:9">
      <c r="A1226" s="6">
        <v>40719</v>
      </c>
      <c r="B1226" t="str">
        <f>IFERROR(VLOOKUP($A1226,原始数据_收盘!$A$4:$G$3460,2,0),"")</f>
        <v/>
      </c>
      <c r="C1226" t="str">
        <f>IFERROR(VLOOKUP($A1226,原始数据_收盘!$A$4:$G$3460,3,0),"")</f>
        <v/>
      </c>
      <c r="D1226" t="str">
        <f>IFERROR(VLOOKUP($A1226,原始数据_收盘!$A$4:$G$3460,4,0),"")</f>
        <v/>
      </c>
      <c r="E1226" t="str">
        <f>IFERROR(VLOOKUP($A1226,原始数据_收盘!$A$4:$G$3460,5,0),"")</f>
        <v/>
      </c>
      <c r="F1226" t="str">
        <f>IFERROR(VLOOKUP($A1226,原始数据_收盘!$A$4:$G$3460,6,0),"")</f>
        <v/>
      </c>
      <c r="G1226" t="str">
        <f>IFERROR(VLOOKUP($A1226,原始数据_收盘!$A$4:$G$3460,7,0),"")</f>
        <v/>
      </c>
      <c r="H1226" t="str">
        <f>IFERROR(VLOOKUP($A1226,原始数据_利率互换_FR007_1年!$A$6:$C$4395,2,0),"")</f>
        <v/>
      </c>
      <c r="I1226" t="str">
        <f>IFERROR(VLOOKUP($A1226,原始数据_利率互换_FR007_1年!$A$6:$C$4395,3,0),"")</f>
        <v/>
      </c>
    </row>
    <row r="1227" spans="1:9">
      <c r="A1227" s="6">
        <v>40720</v>
      </c>
      <c r="B1227" t="str">
        <f>IFERROR(VLOOKUP($A1227,原始数据_收盘!$A$4:$G$3460,2,0),"")</f>
        <v/>
      </c>
      <c r="C1227" t="str">
        <f>IFERROR(VLOOKUP($A1227,原始数据_收盘!$A$4:$G$3460,3,0),"")</f>
        <v/>
      </c>
      <c r="D1227" t="str">
        <f>IFERROR(VLOOKUP($A1227,原始数据_收盘!$A$4:$G$3460,4,0),"")</f>
        <v/>
      </c>
      <c r="E1227" t="str">
        <f>IFERROR(VLOOKUP($A1227,原始数据_收盘!$A$4:$G$3460,5,0),"")</f>
        <v/>
      </c>
      <c r="F1227" t="str">
        <f>IFERROR(VLOOKUP($A1227,原始数据_收盘!$A$4:$G$3460,6,0),"")</f>
        <v/>
      </c>
      <c r="G1227" t="str">
        <f>IFERROR(VLOOKUP($A1227,原始数据_收盘!$A$4:$G$3460,7,0),"")</f>
        <v/>
      </c>
      <c r="H1227" t="str">
        <f>IFERROR(VLOOKUP($A1227,原始数据_利率互换_FR007_1年!$A$6:$C$4395,2,0),"")</f>
        <v/>
      </c>
      <c r="I1227" t="str">
        <f>IFERROR(VLOOKUP($A1227,原始数据_利率互换_FR007_1年!$A$6:$C$4395,3,0),"")</f>
        <v/>
      </c>
    </row>
    <row r="1228" spans="1:9">
      <c r="A1228" s="6">
        <v>40721</v>
      </c>
      <c r="B1228" t="str">
        <f>IFERROR(VLOOKUP($A1228,原始数据_收盘!$A$4:$G$3460,2,0),"")</f>
        <v/>
      </c>
      <c r="C1228" t="str">
        <f>IFERROR(VLOOKUP($A1228,原始数据_收盘!$A$4:$G$3460,3,0),"")</f>
        <v/>
      </c>
      <c r="D1228" t="str">
        <f>IFERROR(VLOOKUP($A1228,原始数据_收盘!$A$4:$G$3460,4,0),"")</f>
        <v/>
      </c>
      <c r="E1228" t="str">
        <f>IFERROR(VLOOKUP($A1228,原始数据_收盘!$A$4:$G$3460,5,0),"")</f>
        <v/>
      </c>
      <c r="F1228" t="str">
        <f>IFERROR(VLOOKUP($A1228,原始数据_收盘!$A$4:$G$3460,6,0),"")</f>
        <v/>
      </c>
      <c r="G1228" t="str">
        <f>IFERROR(VLOOKUP($A1228,原始数据_收盘!$A$4:$G$3460,7,0),"")</f>
        <v/>
      </c>
      <c r="H1228">
        <f>IFERROR(VLOOKUP($A1228,原始数据_利率互换_FR007_1年!$A$6:$C$4395,2,0),"")</f>
        <v>3.7602</v>
      </c>
      <c r="I1228">
        <f>IFERROR(VLOOKUP($A1228,原始数据_利率互换_FR007_1年!$A$6:$C$4395,3,0),"")</f>
        <v>3.8758</v>
      </c>
    </row>
    <row r="1229" spans="1:9">
      <c r="A1229" s="6">
        <v>40722</v>
      </c>
      <c r="B1229" t="str">
        <f>IFERROR(VLOOKUP($A1229,原始数据_收盘!$A$4:$G$3460,2,0),"")</f>
        <v/>
      </c>
      <c r="C1229" t="str">
        <f>IFERROR(VLOOKUP($A1229,原始数据_收盘!$A$4:$G$3460,3,0),"")</f>
        <v/>
      </c>
      <c r="D1229" t="str">
        <f>IFERROR(VLOOKUP($A1229,原始数据_收盘!$A$4:$G$3460,4,0),"")</f>
        <v/>
      </c>
      <c r="E1229" t="str">
        <f>IFERROR(VLOOKUP($A1229,原始数据_收盘!$A$4:$G$3460,5,0),"")</f>
        <v/>
      </c>
      <c r="F1229" t="str">
        <f>IFERROR(VLOOKUP($A1229,原始数据_收盘!$A$4:$G$3460,6,0),"")</f>
        <v/>
      </c>
      <c r="G1229" t="str">
        <f>IFERROR(VLOOKUP($A1229,原始数据_收盘!$A$4:$G$3460,7,0),"")</f>
        <v/>
      </c>
      <c r="H1229">
        <f>IFERROR(VLOOKUP($A1229,原始数据_利率互换_FR007_1年!$A$6:$C$4395,2,0),"")</f>
        <v>3.7509</v>
      </c>
      <c r="I1229">
        <f>IFERROR(VLOOKUP($A1229,原始数据_利率互换_FR007_1年!$A$6:$C$4395,3,0),"")</f>
        <v>3.9216</v>
      </c>
    </row>
    <row r="1230" spans="1:9">
      <c r="A1230" s="6">
        <v>40723</v>
      </c>
      <c r="B1230" t="str">
        <f>IFERROR(VLOOKUP($A1230,原始数据_收盘!$A$4:$G$3460,2,0),"")</f>
        <v/>
      </c>
      <c r="C1230" t="str">
        <f>IFERROR(VLOOKUP($A1230,原始数据_收盘!$A$4:$G$3460,3,0),"")</f>
        <v/>
      </c>
      <c r="D1230" t="str">
        <f>IFERROR(VLOOKUP($A1230,原始数据_收盘!$A$4:$G$3460,4,0),"")</f>
        <v/>
      </c>
      <c r="E1230" t="str">
        <f>IFERROR(VLOOKUP($A1230,原始数据_收盘!$A$4:$G$3460,5,0),"")</f>
        <v/>
      </c>
      <c r="F1230" t="str">
        <f>IFERROR(VLOOKUP($A1230,原始数据_收盘!$A$4:$G$3460,6,0),"")</f>
        <v/>
      </c>
      <c r="G1230" t="str">
        <f>IFERROR(VLOOKUP($A1230,原始数据_收盘!$A$4:$G$3460,7,0),"")</f>
        <v/>
      </c>
      <c r="H1230">
        <f>IFERROR(VLOOKUP($A1230,原始数据_利率互换_FR007_1年!$A$6:$C$4395,2,0),"")</f>
        <v>3.8032</v>
      </c>
      <c r="I1230">
        <f>IFERROR(VLOOKUP($A1230,原始数据_利率互换_FR007_1年!$A$6:$C$4395,3,0),"")</f>
        <v>3.99</v>
      </c>
    </row>
    <row r="1231" spans="1:9">
      <c r="A1231" s="6">
        <v>40724</v>
      </c>
      <c r="B1231" t="str">
        <f>IFERROR(VLOOKUP($A1231,原始数据_收盘!$A$4:$G$3460,2,0),"")</f>
        <v/>
      </c>
      <c r="C1231" t="str">
        <f>IFERROR(VLOOKUP($A1231,原始数据_收盘!$A$4:$G$3460,3,0),"")</f>
        <v/>
      </c>
      <c r="D1231" t="str">
        <f>IFERROR(VLOOKUP($A1231,原始数据_收盘!$A$4:$G$3460,4,0),"")</f>
        <v/>
      </c>
      <c r="E1231" t="str">
        <f>IFERROR(VLOOKUP($A1231,原始数据_收盘!$A$4:$G$3460,5,0),"")</f>
        <v/>
      </c>
      <c r="F1231" t="str">
        <f>IFERROR(VLOOKUP($A1231,原始数据_收盘!$A$4:$G$3460,6,0),"")</f>
        <v/>
      </c>
      <c r="G1231" t="str">
        <f>IFERROR(VLOOKUP($A1231,原始数据_收盘!$A$4:$G$3460,7,0),"")</f>
        <v/>
      </c>
      <c r="H1231">
        <f>IFERROR(VLOOKUP($A1231,原始数据_利率互换_FR007_1年!$A$6:$C$4395,2,0),"")</f>
        <v>3.856</v>
      </c>
      <c r="I1231">
        <f>IFERROR(VLOOKUP($A1231,原始数据_利率互换_FR007_1年!$A$6:$C$4395,3,0),"")</f>
        <v>4.0689</v>
      </c>
    </row>
    <row r="1232" spans="1:9">
      <c r="A1232" s="6">
        <v>40725</v>
      </c>
      <c r="B1232" t="str">
        <f>IFERROR(VLOOKUP($A1232,原始数据_收盘!$A$4:$G$3460,2,0),"")</f>
        <v/>
      </c>
      <c r="C1232" t="str">
        <f>IFERROR(VLOOKUP($A1232,原始数据_收盘!$A$4:$G$3460,3,0),"")</f>
        <v/>
      </c>
      <c r="D1232" t="str">
        <f>IFERROR(VLOOKUP($A1232,原始数据_收盘!$A$4:$G$3460,4,0),"")</f>
        <v/>
      </c>
      <c r="E1232" t="str">
        <f>IFERROR(VLOOKUP($A1232,原始数据_收盘!$A$4:$G$3460,5,0),"")</f>
        <v/>
      </c>
      <c r="F1232" t="str">
        <f>IFERROR(VLOOKUP($A1232,原始数据_收盘!$A$4:$G$3460,6,0),"")</f>
        <v/>
      </c>
      <c r="G1232" t="str">
        <f>IFERROR(VLOOKUP($A1232,原始数据_收盘!$A$4:$G$3460,7,0),"")</f>
        <v/>
      </c>
      <c r="H1232">
        <f>IFERROR(VLOOKUP($A1232,原始数据_利率互换_FR007_1年!$A$6:$C$4395,2,0),"")</f>
        <v>3.8008</v>
      </c>
      <c r="I1232">
        <f>IFERROR(VLOOKUP($A1232,原始数据_利率互换_FR007_1年!$A$6:$C$4395,3,0),"")</f>
        <v>4.0469</v>
      </c>
    </row>
    <row r="1233" spans="1:9">
      <c r="A1233" s="6">
        <v>40726</v>
      </c>
      <c r="B1233" t="str">
        <f>IFERROR(VLOOKUP($A1233,原始数据_收盘!$A$4:$G$3460,2,0),"")</f>
        <v/>
      </c>
      <c r="C1233" t="str">
        <f>IFERROR(VLOOKUP($A1233,原始数据_收盘!$A$4:$G$3460,3,0),"")</f>
        <v/>
      </c>
      <c r="D1233" t="str">
        <f>IFERROR(VLOOKUP($A1233,原始数据_收盘!$A$4:$G$3460,4,0),"")</f>
        <v/>
      </c>
      <c r="E1233" t="str">
        <f>IFERROR(VLOOKUP($A1233,原始数据_收盘!$A$4:$G$3460,5,0),"")</f>
        <v/>
      </c>
      <c r="F1233" t="str">
        <f>IFERROR(VLOOKUP($A1233,原始数据_收盘!$A$4:$G$3460,6,0),"")</f>
        <v/>
      </c>
      <c r="G1233" t="str">
        <f>IFERROR(VLOOKUP($A1233,原始数据_收盘!$A$4:$G$3460,7,0),"")</f>
        <v/>
      </c>
      <c r="H1233" t="str">
        <f>IFERROR(VLOOKUP($A1233,原始数据_利率互换_FR007_1年!$A$6:$C$4395,2,0),"")</f>
        <v/>
      </c>
      <c r="I1233" t="str">
        <f>IFERROR(VLOOKUP($A1233,原始数据_利率互换_FR007_1年!$A$6:$C$4395,3,0),"")</f>
        <v/>
      </c>
    </row>
    <row r="1234" spans="1:9">
      <c r="A1234" s="6">
        <v>40727</v>
      </c>
      <c r="B1234" t="str">
        <f>IFERROR(VLOOKUP($A1234,原始数据_收盘!$A$4:$G$3460,2,0),"")</f>
        <v/>
      </c>
      <c r="C1234" t="str">
        <f>IFERROR(VLOOKUP($A1234,原始数据_收盘!$A$4:$G$3460,3,0),"")</f>
        <v/>
      </c>
      <c r="D1234" t="str">
        <f>IFERROR(VLOOKUP($A1234,原始数据_收盘!$A$4:$G$3460,4,0),"")</f>
        <v/>
      </c>
      <c r="E1234" t="str">
        <f>IFERROR(VLOOKUP($A1234,原始数据_收盘!$A$4:$G$3460,5,0),"")</f>
        <v/>
      </c>
      <c r="F1234" t="str">
        <f>IFERROR(VLOOKUP($A1234,原始数据_收盘!$A$4:$G$3460,6,0),"")</f>
        <v/>
      </c>
      <c r="G1234" t="str">
        <f>IFERROR(VLOOKUP($A1234,原始数据_收盘!$A$4:$G$3460,7,0),"")</f>
        <v/>
      </c>
      <c r="H1234" t="str">
        <f>IFERROR(VLOOKUP($A1234,原始数据_利率互换_FR007_1年!$A$6:$C$4395,2,0),"")</f>
        <v/>
      </c>
      <c r="I1234" t="str">
        <f>IFERROR(VLOOKUP($A1234,原始数据_利率互换_FR007_1年!$A$6:$C$4395,3,0),"")</f>
        <v/>
      </c>
    </row>
    <row r="1235" spans="1:9">
      <c r="A1235" s="6">
        <v>40728</v>
      </c>
      <c r="B1235" t="str">
        <f>IFERROR(VLOOKUP($A1235,原始数据_收盘!$A$4:$G$3460,2,0),"")</f>
        <v/>
      </c>
      <c r="C1235" t="str">
        <f>IFERROR(VLOOKUP($A1235,原始数据_收盘!$A$4:$G$3460,3,0),"")</f>
        <v/>
      </c>
      <c r="D1235" t="str">
        <f>IFERROR(VLOOKUP($A1235,原始数据_收盘!$A$4:$G$3460,4,0),"")</f>
        <v/>
      </c>
      <c r="E1235" t="str">
        <f>IFERROR(VLOOKUP($A1235,原始数据_收盘!$A$4:$G$3460,5,0),"")</f>
        <v/>
      </c>
      <c r="F1235" t="str">
        <f>IFERROR(VLOOKUP($A1235,原始数据_收盘!$A$4:$G$3460,6,0),"")</f>
        <v/>
      </c>
      <c r="G1235" t="str">
        <f>IFERROR(VLOOKUP($A1235,原始数据_收盘!$A$4:$G$3460,7,0),"")</f>
        <v/>
      </c>
      <c r="H1235">
        <f>IFERROR(VLOOKUP($A1235,原始数据_利率互换_FR007_1年!$A$6:$C$4395,2,0),"")</f>
        <v>3.7765</v>
      </c>
      <c r="I1235">
        <f>IFERROR(VLOOKUP($A1235,原始数据_利率互换_FR007_1年!$A$6:$C$4395,3,0),"")</f>
        <v>4.0671</v>
      </c>
    </row>
    <row r="1236" spans="1:9">
      <c r="A1236" s="6">
        <v>40729</v>
      </c>
      <c r="B1236" t="str">
        <f>IFERROR(VLOOKUP($A1236,原始数据_收盘!$A$4:$G$3460,2,0),"")</f>
        <v/>
      </c>
      <c r="C1236" t="str">
        <f>IFERROR(VLOOKUP($A1236,原始数据_收盘!$A$4:$G$3460,3,0),"")</f>
        <v/>
      </c>
      <c r="D1236" t="str">
        <f>IFERROR(VLOOKUP($A1236,原始数据_收盘!$A$4:$G$3460,4,0),"")</f>
        <v/>
      </c>
      <c r="E1236" t="str">
        <f>IFERROR(VLOOKUP($A1236,原始数据_收盘!$A$4:$G$3460,5,0),"")</f>
        <v/>
      </c>
      <c r="F1236" t="str">
        <f>IFERROR(VLOOKUP($A1236,原始数据_收盘!$A$4:$G$3460,6,0),"")</f>
        <v/>
      </c>
      <c r="G1236" t="str">
        <f>IFERROR(VLOOKUP($A1236,原始数据_收盘!$A$4:$G$3460,7,0),"")</f>
        <v/>
      </c>
      <c r="H1236">
        <f>IFERROR(VLOOKUP($A1236,原始数据_利率互换_FR007_1年!$A$6:$C$4395,2,0),"")</f>
        <v>3.8351</v>
      </c>
      <c r="I1236">
        <f>IFERROR(VLOOKUP($A1236,原始数据_利率互换_FR007_1年!$A$6:$C$4395,3,0),"")</f>
        <v>4.1075</v>
      </c>
    </row>
    <row r="1237" spans="1:9">
      <c r="A1237" s="6">
        <v>40730</v>
      </c>
      <c r="B1237" t="str">
        <f>IFERROR(VLOOKUP($A1237,原始数据_收盘!$A$4:$G$3460,2,0),"")</f>
        <v/>
      </c>
      <c r="C1237" t="str">
        <f>IFERROR(VLOOKUP($A1237,原始数据_收盘!$A$4:$G$3460,3,0),"")</f>
        <v/>
      </c>
      <c r="D1237" t="str">
        <f>IFERROR(VLOOKUP($A1237,原始数据_收盘!$A$4:$G$3460,4,0),"")</f>
        <v/>
      </c>
      <c r="E1237" t="str">
        <f>IFERROR(VLOOKUP($A1237,原始数据_收盘!$A$4:$G$3460,5,0),"")</f>
        <v/>
      </c>
      <c r="F1237" t="str">
        <f>IFERROR(VLOOKUP($A1237,原始数据_收盘!$A$4:$G$3460,6,0),"")</f>
        <v/>
      </c>
      <c r="G1237" t="str">
        <f>IFERROR(VLOOKUP($A1237,原始数据_收盘!$A$4:$G$3460,7,0),"")</f>
        <v/>
      </c>
      <c r="H1237">
        <f>IFERROR(VLOOKUP($A1237,原始数据_利率互换_FR007_1年!$A$6:$C$4395,2,0),"")</f>
        <v>3.8698</v>
      </c>
      <c r="I1237">
        <f>IFERROR(VLOOKUP($A1237,原始数据_利率互换_FR007_1年!$A$6:$C$4395,3,0),"")</f>
        <v>4.1284</v>
      </c>
    </row>
    <row r="1238" spans="1:9">
      <c r="A1238" s="6">
        <v>40731</v>
      </c>
      <c r="B1238" t="str">
        <f>IFERROR(VLOOKUP($A1238,原始数据_收盘!$A$4:$G$3460,2,0),"")</f>
        <v/>
      </c>
      <c r="C1238" t="str">
        <f>IFERROR(VLOOKUP($A1238,原始数据_收盘!$A$4:$G$3460,3,0),"")</f>
        <v/>
      </c>
      <c r="D1238" t="str">
        <f>IFERROR(VLOOKUP($A1238,原始数据_收盘!$A$4:$G$3460,4,0),"")</f>
        <v/>
      </c>
      <c r="E1238" t="str">
        <f>IFERROR(VLOOKUP($A1238,原始数据_收盘!$A$4:$G$3460,5,0),"")</f>
        <v/>
      </c>
      <c r="F1238" t="str">
        <f>IFERROR(VLOOKUP($A1238,原始数据_收盘!$A$4:$G$3460,6,0),"")</f>
        <v/>
      </c>
      <c r="G1238" t="str">
        <f>IFERROR(VLOOKUP($A1238,原始数据_收盘!$A$4:$G$3460,7,0),"")</f>
        <v/>
      </c>
      <c r="H1238">
        <f>IFERROR(VLOOKUP($A1238,原始数据_利率互换_FR007_1年!$A$6:$C$4395,2,0),"")</f>
        <v>3.8956</v>
      </c>
      <c r="I1238">
        <f>IFERROR(VLOOKUP($A1238,原始数据_利率互换_FR007_1年!$A$6:$C$4395,3,0),"")</f>
        <v>4.1494</v>
      </c>
    </row>
    <row r="1239" spans="1:9">
      <c r="A1239" s="6">
        <v>40732</v>
      </c>
      <c r="B1239" t="str">
        <f>IFERROR(VLOOKUP($A1239,原始数据_收盘!$A$4:$G$3460,2,0),"")</f>
        <v/>
      </c>
      <c r="C1239" t="str">
        <f>IFERROR(VLOOKUP($A1239,原始数据_收盘!$A$4:$G$3460,3,0),"")</f>
        <v/>
      </c>
      <c r="D1239" t="str">
        <f>IFERROR(VLOOKUP($A1239,原始数据_收盘!$A$4:$G$3460,4,0),"")</f>
        <v/>
      </c>
      <c r="E1239" t="str">
        <f>IFERROR(VLOOKUP($A1239,原始数据_收盘!$A$4:$G$3460,5,0),"")</f>
        <v/>
      </c>
      <c r="F1239" t="str">
        <f>IFERROR(VLOOKUP($A1239,原始数据_收盘!$A$4:$G$3460,6,0),"")</f>
        <v/>
      </c>
      <c r="G1239" t="str">
        <f>IFERROR(VLOOKUP($A1239,原始数据_收盘!$A$4:$G$3460,7,0),"")</f>
        <v/>
      </c>
      <c r="H1239">
        <f>IFERROR(VLOOKUP($A1239,原始数据_利率互换_FR007_1年!$A$6:$C$4395,2,0),"")</f>
        <v>3.8414</v>
      </c>
      <c r="I1239">
        <f>IFERROR(VLOOKUP($A1239,原始数据_利率互换_FR007_1年!$A$6:$C$4395,3,0),"")</f>
        <v>4.1203</v>
      </c>
    </row>
    <row r="1240" spans="1:9">
      <c r="A1240" s="6">
        <v>40733</v>
      </c>
      <c r="B1240" t="str">
        <f>IFERROR(VLOOKUP($A1240,原始数据_收盘!$A$4:$G$3460,2,0),"")</f>
        <v/>
      </c>
      <c r="C1240" t="str">
        <f>IFERROR(VLOOKUP($A1240,原始数据_收盘!$A$4:$G$3460,3,0),"")</f>
        <v/>
      </c>
      <c r="D1240" t="str">
        <f>IFERROR(VLOOKUP($A1240,原始数据_收盘!$A$4:$G$3460,4,0),"")</f>
        <v/>
      </c>
      <c r="E1240" t="str">
        <f>IFERROR(VLOOKUP($A1240,原始数据_收盘!$A$4:$G$3460,5,0),"")</f>
        <v/>
      </c>
      <c r="F1240" t="str">
        <f>IFERROR(VLOOKUP($A1240,原始数据_收盘!$A$4:$G$3460,6,0),"")</f>
        <v/>
      </c>
      <c r="G1240" t="str">
        <f>IFERROR(VLOOKUP($A1240,原始数据_收盘!$A$4:$G$3460,7,0),"")</f>
        <v/>
      </c>
      <c r="H1240" t="str">
        <f>IFERROR(VLOOKUP($A1240,原始数据_利率互换_FR007_1年!$A$6:$C$4395,2,0),"")</f>
        <v/>
      </c>
      <c r="I1240" t="str">
        <f>IFERROR(VLOOKUP($A1240,原始数据_利率互换_FR007_1年!$A$6:$C$4395,3,0),"")</f>
        <v/>
      </c>
    </row>
    <row r="1241" spans="1:9">
      <c r="A1241" s="6">
        <v>40734</v>
      </c>
      <c r="B1241" t="str">
        <f>IFERROR(VLOOKUP($A1241,原始数据_收盘!$A$4:$G$3460,2,0),"")</f>
        <v/>
      </c>
      <c r="C1241" t="str">
        <f>IFERROR(VLOOKUP($A1241,原始数据_收盘!$A$4:$G$3460,3,0),"")</f>
        <v/>
      </c>
      <c r="D1241" t="str">
        <f>IFERROR(VLOOKUP($A1241,原始数据_收盘!$A$4:$G$3460,4,0),"")</f>
        <v/>
      </c>
      <c r="E1241" t="str">
        <f>IFERROR(VLOOKUP($A1241,原始数据_收盘!$A$4:$G$3460,5,0),"")</f>
        <v/>
      </c>
      <c r="F1241" t="str">
        <f>IFERROR(VLOOKUP($A1241,原始数据_收盘!$A$4:$G$3460,6,0),"")</f>
        <v/>
      </c>
      <c r="G1241" t="str">
        <f>IFERROR(VLOOKUP($A1241,原始数据_收盘!$A$4:$G$3460,7,0),"")</f>
        <v/>
      </c>
      <c r="H1241" t="str">
        <f>IFERROR(VLOOKUP($A1241,原始数据_利率互换_FR007_1年!$A$6:$C$4395,2,0),"")</f>
        <v/>
      </c>
      <c r="I1241" t="str">
        <f>IFERROR(VLOOKUP($A1241,原始数据_利率互换_FR007_1年!$A$6:$C$4395,3,0),"")</f>
        <v/>
      </c>
    </row>
    <row r="1242" spans="1:9">
      <c r="A1242" s="6">
        <v>40735</v>
      </c>
      <c r="B1242" t="str">
        <f>IFERROR(VLOOKUP($A1242,原始数据_收盘!$A$4:$G$3460,2,0),"")</f>
        <v/>
      </c>
      <c r="C1242" t="str">
        <f>IFERROR(VLOOKUP($A1242,原始数据_收盘!$A$4:$G$3460,3,0),"")</f>
        <v/>
      </c>
      <c r="D1242" t="str">
        <f>IFERROR(VLOOKUP($A1242,原始数据_收盘!$A$4:$G$3460,4,0),"")</f>
        <v/>
      </c>
      <c r="E1242" t="str">
        <f>IFERROR(VLOOKUP($A1242,原始数据_收盘!$A$4:$G$3460,5,0),"")</f>
        <v/>
      </c>
      <c r="F1242" t="str">
        <f>IFERROR(VLOOKUP($A1242,原始数据_收盘!$A$4:$G$3460,6,0),"")</f>
        <v/>
      </c>
      <c r="G1242" t="str">
        <f>IFERROR(VLOOKUP($A1242,原始数据_收盘!$A$4:$G$3460,7,0),"")</f>
        <v/>
      </c>
      <c r="H1242">
        <f>IFERROR(VLOOKUP($A1242,原始数据_利率互换_FR007_1年!$A$6:$C$4395,2,0),"")</f>
        <v>3.8023</v>
      </c>
      <c r="I1242">
        <f>IFERROR(VLOOKUP($A1242,原始数据_利率互换_FR007_1年!$A$6:$C$4395,3,0),"")</f>
        <v>4.0429</v>
      </c>
    </row>
    <row r="1243" spans="1:9">
      <c r="A1243" s="6">
        <v>40736</v>
      </c>
      <c r="B1243" t="str">
        <f>IFERROR(VLOOKUP($A1243,原始数据_收盘!$A$4:$G$3460,2,0),"")</f>
        <v/>
      </c>
      <c r="C1243" t="str">
        <f>IFERROR(VLOOKUP($A1243,原始数据_收盘!$A$4:$G$3460,3,0),"")</f>
        <v/>
      </c>
      <c r="D1243" t="str">
        <f>IFERROR(VLOOKUP($A1243,原始数据_收盘!$A$4:$G$3460,4,0),"")</f>
        <v/>
      </c>
      <c r="E1243" t="str">
        <f>IFERROR(VLOOKUP($A1243,原始数据_收盘!$A$4:$G$3460,5,0),"")</f>
        <v/>
      </c>
      <c r="F1243" t="str">
        <f>IFERROR(VLOOKUP($A1243,原始数据_收盘!$A$4:$G$3460,6,0),"")</f>
        <v/>
      </c>
      <c r="G1243" t="str">
        <f>IFERROR(VLOOKUP($A1243,原始数据_收盘!$A$4:$G$3460,7,0),"")</f>
        <v/>
      </c>
      <c r="H1243">
        <f>IFERROR(VLOOKUP($A1243,原始数据_利率互换_FR007_1年!$A$6:$C$4395,2,0),"")</f>
        <v>3.8121</v>
      </c>
      <c r="I1243">
        <f>IFERROR(VLOOKUP($A1243,原始数据_利率互换_FR007_1年!$A$6:$C$4395,3,0),"")</f>
        <v>3.9824</v>
      </c>
    </row>
    <row r="1244" spans="1:9">
      <c r="A1244" s="6">
        <v>40737</v>
      </c>
      <c r="B1244" t="str">
        <f>IFERROR(VLOOKUP($A1244,原始数据_收盘!$A$4:$G$3460,2,0),"")</f>
        <v/>
      </c>
      <c r="C1244" t="str">
        <f>IFERROR(VLOOKUP($A1244,原始数据_收盘!$A$4:$G$3460,3,0),"")</f>
        <v/>
      </c>
      <c r="D1244" t="str">
        <f>IFERROR(VLOOKUP($A1244,原始数据_收盘!$A$4:$G$3460,4,0),"")</f>
        <v/>
      </c>
      <c r="E1244" t="str">
        <f>IFERROR(VLOOKUP($A1244,原始数据_收盘!$A$4:$G$3460,5,0),"")</f>
        <v/>
      </c>
      <c r="F1244" t="str">
        <f>IFERROR(VLOOKUP($A1244,原始数据_收盘!$A$4:$G$3460,6,0),"")</f>
        <v/>
      </c>
      <c r="G1244" t="str">
        <f>IFERROR(VLOOKUP($A1244,原始数据_收盘!$A$4:$G$3460,7,0),"")</f>
        <v/>
      </c>
      <c r="H1244">
        <f>IFERROR(VLOOKUP($A1244,原始数据_利率互换_FR007_1年!$A$6:$C$4395,2,0),"")</f>
        <v>3.77</v>
      </c>
      <c r="I1244">
        <f>IFERROR(VLOOKUP($A1244,原始数据_利率互换_FR007_1年!$A$6:$C$4395,3,0),"")</f>
        <v>3.9876</v>
      </c>
    </row>
    <row r="1245" spans="1:9">
      <c r="A1245" s="6">
        <v>40738</v>
      </c>
      <c r="B1245" t="str">
        <f>IFERROR(VLOOKUP($A1245,原始数据_收盘!$A$4:$G$3460,2,0),"")</f>
        <v/>
      </c>
      <c r="C1245" t="str">
        <f>IFERROR(VLOOKUP($A1245,原始数据_收盘!$A$4:$G$3460,3,0),"")</f>
        <v/>
      </c>
      <c r="D1245" t="str">
        <f>IFERROR(VLOOKUP($A1245,原始数据_收盘!$A$4:$G$3460,4,0),"")</f>
        <v/>
      </c>
      <c r="E1245" t="str">
        <f>IFERROR(VLOOKUP($A1245,原始数据_收盘!$A$4:$G$3460,5,0),"")</f>
        <v/>
      </c>
      <c r="F1245" t="str">
        <f>IFERROR(VLOOKUP($A1245,原始数据_收盘!$A$4:$G$3460,6,0),"")</f>
        <v/>
      </c>
      <c r="G1245" t="str">
        <f>IFERROR(VLOOKUP($A1245,原始数据_收盘!$A$4:$G$3460,7,0),"")</f>
        <v/>
      </c>
      <c r="H1245">
        <f>IFERROR(VLOOKUP($A1245,原始数据_利率互换_FR007_1年!$A$6:$C$4395,2,0),"")</f>
        <v>3.8494</v>
      </c>
      <c r="I1245">
        <f>IFERROR(VLOOKUP($A1245,原始数据_利率互换_FR007_1年!$A$6:$C$4395,3,0),"")</f>
        <v>4.0475</v>
      </c>
    </row>
    <row r="1246" spans="1:9">
      <c r="A1246" s="6">
        <v>40739</v>
      </c>
      <c r="B1246" t="str">
        <f>IFERROR(VLOOKUP($A1246,原始数据_收盘!$A$4:$G$3460,2,0),"")</f>
        <v/>
      </c>
      <c r="C1246" t="str">
        <f>IFERROR(VLOOKUP($A1246,原始数据_收盘!$A$4:$G$3460,3,0),"")</f>
        <v/>
      </c>
      <c r="D1246" t="str">
        <f>IFERROR(VLOOKUP($A1246,原始数据_收盘!$A$4:$G$3460,4,0),"")</f>
        <v/>
      </c>
      <c r="E1246" t="str">
        <f>IFERROR(VLOOKUP($A1246,原始数据_收盘!$A$4:$G$3460,5,0),"")</f>
        <v/>
      </c>
      <c r="F1246" t="str">
        <f>IFERROR(VLOOKUP($A1246,原始数据_收盘!$A$4:$G$3460,6,0),"")</f>
        <v/>
      </c>
      <c r="G1246" t="str">
        <f>IFERROR(VLOOKUP($A1246,原始数据_收盘!$A$4:$G$3460,7,0),"")</f>
        <v/>
      </c>
      <c r="H1246">
        <f>IFERROR(VLOOKUP($A1246,原始数据_利率互换_FR007_1年!$A$6:$C$4395,2,0),"")</f>
        <v>3.8359</v>
      </c>
      <c r="I1246">
        <f>IFERROR(VLOOKUP($A1246,原始数据_利率互换_FR007_1年!$A$6:$C$4395,3,0),"")</f>
        <v>4.0366</v>
      </c>
    </row>
    <row r="1247" spans="1:9">
      <c r="A1247" s="6">
        <v>40740</v>
      </c>
      <c r="B1247" t="str">
        <f>IFERROR(VLOOKUP($A1247,原始数据_收盘!$A$4:$G$3460,2,0),"")</f>
        <v/>
      </c>
      <c r="C1247" t="str">
        <f>IFERROR(VLOOKUP($A1247,原始数据_收盘!$A$4:$G$3460,3,0),"")</f>
        <v/>
      </c>
      <c r="D1247" t="str">
        <f>IFERROR(VLOOKUP($A1247,原始数据_收盘!$A$4:$G$3460,4,0),"")</f>
        <v/>
      </c>
      <c r="E1247" t="str">
        <f>IFERROR(VLOOKUP($A1247,原始数据_收盘!$A$4:$G$3460,5,0),"")</f>
        <v/>
      </c>
      <c r="F1247" t="str">
        <f>IFERROR(VLOOKUP($A1247,原始数据_收盘!$A$4:$G$3460,6,0),"")</f>
        <v/>
      </c>
      <c r="G1247" t="str">
        <f>IFERROR(VLOOKUP($A1247,原始数据_收盘!$A$4:$G$3460,7,0),"")</f>
        <v/>
      </c>
      <c r="H1247" t="str">
        <f>IFERROR(VLOOKUP($A1247,原始数据_利率互换_FR007_1年!$A$6:$C$4395,2,0),"")</f>
        <v/>
      </c>
      <c r="I1247" t="str">
        <f>IFERROR(VLOOKUP($A1247,原始数据_利率互换_FR007_1年!$A$6:$C$4395,3,0),"")</f>
        <v/>
      </c>
    </row>
    <row r="1248" spans="1:9">
      <c r="A1248" s="6">
        <v>40741</v>
      </c>
      <c r="B1248" t="str">
        <f>IFERROR(VLOOKUP($A1248,原始数据_收盘!$A$4:$G$3460,2,0),"")</f>
        <v/>
      </c>
      <c r="C1248" t="str">
        <f>IFERROR(VLOOKUP($A1248,原始数据_收盘!$A$4:$G$3460,3,0),"")</f>
        <v/>
      </c>
      <c r="D1248" t="str">
        <f>IFERROR(VLOOKUP($A1248,原始数据_收盘!$A$4:$G$3460,4,0),"")</f>
        <v/>
      </c>
      <c r="E1248" t="str">
        <f>IFERROR(VLOOKUP($A1248,原始数据_收盘!$A$4:$G$3460,5,0),"")</f>
        <v/>
      </c>
      <c r="F1248" t="str">
        <f>IFERROR(VLOOKUP($A1248,原始数据_收盘!$A$4:$G$3460,6,0),"")</f>
        <v/>
      </c>
      <c r="G1248" t="str">
        <f>IFERROR(VLOOKUP($A1248,原始数据_收盘!$A$4:$G$3460,7,0),"")</f>
        <v/>
      </c>
      <c r="H1248" t="str">
        <f>IFERROR(VLOOKUP($A1248,原始数据_利率互换_FR007_1年!$A$6:$C$4395,2,0),"")</f>
        <v/>
      </c>
      <c r="I1248" t="str">
        <f>IFERROR(VLOOKUP($A1248,原始数据_利率互换_FR007_1年!$A$6:$C$4395,3,0),"")</f>
        <v/>
      </c>
    </row>
    <row r="1249" spans="1:9">
      <c r="A1249" s="6">
        <v>40742</v>
      </c>
      <c r="B1249" t="str">
        <f>IFERROR(VLOOKUP($A1249,原始数据_收盘!$A$4:$G$3460,2,0),"")</f>
        <v/>
      </c>
      <c r="C1249" t="str">
        <f>IFERROR(VLOOKUP($A1249,原始数据_收盘!$A$4:$G$3460,3,0),"")</f>
        <v/>
      </c>
      <c r="D1249" t="str">
        <f>IFERROR(VLOOKUP($A1249,原始数据_收盘!$A$4:$G$3460,4,0),"")</f>
        <v/>
      </c>
      <c r="E1249" t="str">
        <f>IFERROR(VLOOKUP($A1249,原始数据_收盘!$A$4:$G$3460,5,0),"")</f>
        <v/>
      </c>
      <c r="F1249" t="str">
        <f>IFERROR(VLOOKUP($A1249,原始数据_收盘!$A$4:$G$3460,6,0),"")</f>
        <v/>
      </c>
      <c r="G1249" t="str">
        <f>IFERROR(VLOOKUP($A1249,原始数据_收盘!$A$4:$G$3460,7,0),"")</f>
        <v/>
      </c>
      <c r="H1249">
        <f>IFERROR(VLOOKUP($A1249,原始数据_利率互换_FR007_1年!$A$6:$C$4395,2,0),"")</f>
        <v>3.8585</v>
      </c>
      <c r="I1249">
        <f>IFERROR(VLOOKUP($A1249,原始数据_利率互换_FR007_1年!$A$6:$C$4395,3,0),"")</f>
        <v>4.0196</v>
      </c>
    </row>
    <row r="1250" spans="1:9">
      <c r="A1250" s="6">
        <v>40743</v>
      </c>
      <c r="B1250" t="str">
        <f>IFERROR(VLOOKUP($A1250,原始数据_收盘!$A$4:$G$3460,2,0),"")</f>
        <v/>
      </c>
      <c r="C1250" t="str">
        <f>IFERROR(VLOOKUP($A1250,原始数据_收盘!$A$4:$G$3460,3,0),"")</f>
        <v/>
      </c>
      <c r="D1250" t="str">
        <f>IFERROR(VLOOKUP($A1250,原始数据_收盘!$A$4:$G$3460,4,0),"")</f>
        <v/>
      </c>
      <c r="E1250" t="str">
        <f>IFERROR(VLOOKUP($A1250,原始数据_收盘!$A$4:$G$3460,5,0),"")</f>
        <v/>
      </c>
      <c r="F1250" t="str">
        <f>IFERROR(VLOOKUP($A1250,原始数据_收盘!$A$4:$G$3460,6,0),"")</f>
        <v/>
      </c>
      <c r="G1250" t="str">
        <f>IFERROR(VLOOKUP($A1250,原始数据_收盘!$A$4:$G$3460,7,0),"")</f>
        <v/>
      </c>
      <c r="H1250">
        <f>IFERROR(VLOOKUP($A1250,原始数据_利率互换_FR007_1年!$A$6:$C$4395,2,0),"")</f>
        <v>3.9383</v>
      </c>
      <c r="I1250">
        <f>IFERROR(VLOOKUP($A1250,原始数据_利率互换_FR007_1年!$A$6:$C$4395,3,0),"")</f>
        <v>4.0826</v>
      </c>
    </row>
    <row r="1251" spans="1:9">
      <c r="A1251" s="6">
        <v>40744</v>
      </c>
      <c r="B1251" t="str">
        <f>IFERROR(VLOOKUP($A1251,原始数据_收盘!$A$4:$G$3460,2,0),"")</f>
        <v/>
      </c>
      <c r="C1251" t="str">
        <f>IFERROR(VLOOKUP($A1251,原始数据_收盘!$A$4:$G$3460,3,0),"")</f>
        <v/>
      </c>
      <c r="D1251" t="str">
        <f>IFERROR(VLOOKUP($A1251,原始数据_收盘!$A$4:$G$3460,4,0),"")</f>
        <v/>
      </c>
      <c r="E1251" t="str">
        <f>IFERROR(VLOOKUP($A1251,原始数据_收盘!$A$4:$G$3460,5,0),"")</f>
        <v/>
      </c>
      <c r="F1251" t="str">
        <f>IFERROR(VLOOKUP($A1251,原始数据_收盘!$A$4:$G$3460,6,0),"")</f>
        <v/>
      </c>
      <c r="G1251" t="str">
        <f>IFERROR(VLOOKUP($A1251,原始数据_收盘!$A$4:$G$3460,7,0),"")</f>
        <v/>
      </c>
      <c r="H1251">
        <f>IFERROR(VLOOKUP($A1251,原始数据_利率互换_FR007_1年!$A$6:$C$4395,2,0),"")</f>
        <v>4.0374</v>
      </c>
      <c r="I1251">
        <f>IFERROR(VLOOKUP($A1251,原始数据_利率互换_FR007_1年!$A$6:$C$4395,3,0),"")</f>
        <v>4.1684</v>
      </c>
    </row>
    <row r="1252" spans="1:9">
      <c r="A1252" s="6">
        <v>40745</v>
      </c>
      <c r="B1252" t="str">
        <f>IFERROR(VLOOKUP($A1252,原始数据_收盘!$A$4:$G$3460,2,0),"")</f>
        <v/>
      </c>
      <c r="C1252" t="str">
        <f>IFERROR(VLOOKUP($A1252,原始数据_收盘!$A$4:$G$3460,3,0),"")</f>
        <v/>
      </c>
      <c r="D1252" t="str">
        <f>IFERROR(VLOOKUP($A1252,原始数据_收盘!$A$4:$G$3460,4,0),"")</f>
        <v/>
      </c>
      <c r="E1252" t="str">
        <f>IFERROR(VLOOKUP($A1252,原始数据_收盘!$A$4:$G$3460,5,0),"")</f>
        <v/>
      </c>
      <c r="F1252" t="str">
        <f>IFERROR(VLOOKUP($A1252,原始数据_收盘!$A$4:$G$3460,6,0),"")</f>
        <v/>
      </c>
      <c r="G1252" t="str">
        <f>IFERROR(VLOOKUP($A1252,原始数据_收盘!$A$4:$G$3460,7,0),"")</f>
        <v/>
      </c>
      <c r="H1252">
        <f>IFERROR(VLOOKUP($A1252,原始数据_利率互换_FR007_1年!$A$6:$C$4395,2,0),"")</f>
        <v>4.1932</v>
      </c>
      <c r="I1252">
        <f>IFERROR(VLOOKUP($A1252,原始数据_利率互换_FR007_1年!$A$6:$C$4395,3,0),"")</f>
        <v>4.2346</v>
      </c>
    </row>
    <row r="1253" spans="1:9">
      <c r="A1253" s="6">
        <v>40746</v>
      </c>
      <c r="B1253" t="str">
        <f>IFERROR(VLOOKUP($A1253,原始数据_收盘!$A$4:$G$3460,2,0),"")</f>
        <v/>
      </c>
      <c r="C1253" t="str">
        <f>IFERROR(VLOOKUP($A1253,原始数据_收盘!$A$4:$G$3460,3,0),"")</f>
        <v/>
      </c>
      <c r="D1253" t="str">
        <f>IFERROR(VLOOKUP($A1253,原始数据_收盘!$A$4:$G$3460,4,0),"")</f>
        <v/>
      </c>
      <c r="E1253" t="str">
        <f>IFERROR(VLOOKUP($A1253,原始数据_收盘!$A$4:$G$3460,5,0),"")</f>
        <v/>
      </c>
      <c r="F1253" t="str">
        <f>IFERROR(VLOOKUP($A1253,原始数据_收盘!$A$4:$G$3460,6,0),"")</f>
        <v/>
      </c>
      <c r="G1253" t="str">
        <f>IFERROR(VLOOKUP($A1253,原始数据_收盘!$A$4:$G$3460,7,0),"")</f>
        <v/>
      </c>
      <c r="H1253">
        <f>IFERROR(VLOOKUP($A1253,原始数据_利率互换_FR007_1年!$A$6:$C$4395,2,0),"")</f>
        <v>4.2396</v>
      </c>
      <c r="I1253">
        <f>IFERROR(VLOOKUP($A1253,原始数据_利率互换_FR007_1年!$A$6:$C$4395,3,0),"")</f>
        <v>4.2246</v>
      </c>
    </row>
    <row r="1254" spans="1:9">
      <c r="A1254" s="6">
        <v>40747</v>
      </c>
      <c r="B1254" t="str">
        <f>IFERROR(VLOOKUP($A1254,原始数据_收盘!$A$4:$G$3460,2,0),"")</f>
        <v/>
      </c>
      <c r="C1254" t="str">
        <f>IFERROR(VLOOKUP($A1254,原始数据_收盘!$A$4:$G$3460,3,0),"")</f>
        <v/>
      </c>
      <c r="D1254" t="str">
        <f>IFERROR(VLOOKUP($A1254,原始数据_收盘!$A$4:$G$3460,4,0),"")</f>
        <v/>
      </c>
      <c r="E1254" t="str">
        <f>IFERROR(VLOOKUP($A1254,原始数据_收盘!$A$4:$G$3460,5,0),"")</f>
        <v/>
      </c>
      <c r="F1254" t="str">
        <f>IFERROR(VLOOKUP($A1254,原始数据_收盘!$A$4:$G$3460,6,0),"")</f>
        <v/>
      </c>
      <c r="G1254" t="str">
        <f>IFERROR(VLOOKUP($A1254,原始数据_收盘!$A$4:$G$3460,7,0),"")</f>
        <v/>
      </c>
      <c r="H1254" t="str">
        <f>IFERROR(VLOOKUP($A1254,原始数据_利率互换_FR007_1年!$A$6:$C$4395,2,0),"")</f>
        <v/>
      </c>
      <c r="I1254" t="str">
        <f>IFERROR(VLOOKUP($A1254,原始数据_利率互换_FR007_1年!$A$6:$C$4395,3,0),"")</f>
        <v/>
      </c>
    </row>
    <row r="1255" spans="1:9">
      <c r="A1255" s="6">
        <v>40748</v>
      </c>
      <c r="B1255" t="str">
        <f>IFERROR(VLOOKUP($A1255,原始数据_收盘!$A$4:$G$3460,2,0),"")</f>
        <v/>
      </c>
      <c r="C1255" t="str">
        <f>IFERROR(VLOOKUP($A1255,原始数据_收盘!$A$4:$G$3460,3,0),"")</f>
        <v/>
      </c>
      <c r="D1255" t="str">
        <f>IFERROR(VLOOKUP($A1255,原始数据_收盘!$A$4:$G$3460,4,0),"")</f>
        <v/>
      </c>
      <c r="E1255" t="str">
        <f>IFERROR(VLOOKUP($A1255,原始数据_收盘!$A$4:$G$3460,5,0),"")</f>
        <v/>
      </c>
      <c r="F1255" t="str">
        <f>IFERROR(VLOOKUP($A1255,原始数据_收盘!$A$4:$G$3460,6,0),"")</f>
        <v/>
      </c>
      <c r="G1255" t="str">
        <f>IFERROR(VLOOKUP($A1255,原始数据_收盘!$A$4:$G$3460,7,0),"")</f>
        <v/>
      </c>
      <c r="H1255" t="str">
        <f>IFERROR(VLOOKUP($A1255,原始数据_利率互换_FR007_1年!$A$6:$C$4395,2,0),"")</f>
        <v/>
      </c>
      <c r="I1255" t="str">
        <f>IFERROR(VLOOKUP($A1255,原始数据_利率互换_FR007_1年!$A$6:$C$4395,3,0),"")</f>
        <v/>
      </c>
    </row>
    <row r="1256" spans="1:9">
      <c r="A1256" s="6">
        <v>40749</v>
      </c>
      <c r="B1256" t="str">
        <f>IFERROR(VLOOKUP($A1256,原始数据_收盘!$A$4:$G$3460,2,0),"")</f>
        <v/>
      </c>
      <c r="C1256" t="str">
        <f>IFERROR(VLOOKUP($A1256,原始数据_收盘!$A$4:$G$3460,3,0),"")</f>
        <v/>
      </c>
      <c r="D1256" t="str">
        <f>IFERROR(VLOOKUP($A1256,原始数据_收盘!$A$4:$G$3460,4,0),"")</f>
        <v/>
      </c>
      <c r="E1256" t="str">
        <f>IFERROR(VLOOKUP($A1256,原始数据_收盘!$A$4:$G$3460,5,0),"")</f>
        <v/>
      </c>
      <c r="F1256" t="str">
        <f>IFERROR(VLOOKUP($A1256,原始数据_收盘!$A$4:$G$3460,6,0),"")</f>
        <v/>
      </c>
      <c r="G1256" t="str">
        <f>IFERROR(VLOOKUP($A1256,原始数据_收盘!$A$4:$G$3460,7,0),"")</f>
        <v/>
      </c>
      <c r="H1256">
        <f>IFERROR(VLOOKUP($A1256,原始数据_利率互换_FR007_1年!$A$6:$C$4395,2,0),"")</f>
        <v>4.1957</v>
      </c>
      <c r="I1256">
        <f>IFERROR(VLOOKUP($A1256,原始数据_利率互换_FR007_1年!$A$6:$C$4395,3,0),"")</f>
        <v>4.2095</v>
      </c>
    </row>
    <row r="1257" spans="1:9">
      <c r="A1257" s="6">
        <v>40750</v>
      </c>
      <c r="B1257" t="str">
        <f>IFERROR(VLOOKUP($A1257,原始数据_收盘!$A$4:$G$3460,2,0),"")</f>
        <v/>
      </c>
      <c r="C1257" t="str">
        <f>IFERROR(VLOOKUP($A1257,原始数据_收盘!$A$4:$G$3460,3,0),"")</f>
        <v/>
      </c>
      <c r="D1257" t="str">
        <f>IFERROR(VLOOKUP($A1257,原始数据_收盘!$A$4:$G$3460,4,0),"")</f>
        <v/>
      </c>
      <c r="E1257" t="str">
        <f>IFERROR(VLOOKUP($A1257,原始数据_收盘!$A$4:$G$3460,5,0),"")</f>
        <v/>
      </c>
      <c r="F1257" t="str">
        <f>IFERROR(VLOOKUP($A1257,原始数据_收盘!$A$4:$G$3460,6,0),"")</f>
        <v/>
      </c>
      <c r="G1257" t="str">
        <f>IFERROR(VLOOKUP($A1257,原始数据_收盘!$A$4:$G$3460,7,0),"")</f>
        <v/>
      </c>
      <c r="H1257">
        <f>IFERROR(VLOOKUP($A1257,原始数据_利率互换_FR007_1年!$A$6:$C$4395,2,0),"")</f>
        <v>4.2323</v>
      </c>
      <c r="I1257">
        <f>IFERROR(VLOOKUP($A1257,原始数据_利率互换_FR007_1年!$A$6:$C$4395,3,0),"")</f>
        <v>0</v>
      </c>
    </row>
    <row r="1258" spans="1:9">
      <c r="A1258" s="6">
        <v>40751</v>
      </c>
      <c r="B1258" t="str">
        <f>IFERROR(VLOOKUP($A1258,原始数据_收盘!$A$4:$G$3460,2,0),"")</f>
        <v/>
      </c>
      <c r="C1258" t="str">
        <f>IFERROR(VLOOKUP($A1258,原始数据_收盘!$A$4:$G$3460,3,0),"")</f>
        <v/>
      </c>
      <c r="D1258" t="str">
        <f>IFERROR(VLOOKUP($A1258,原始数据_收盘!$A$4:$G$3460,4,0),"")</f>
        <v/>
      </c>
      <c r="E1258" t="str">
        <f>IFERROR(VLOOKUP($A1258,原始数据_收盘!$A$4:$G$3460,5,0),"")</f>
        <v/>
      </c>
      <c r="F1258" t="str">
        <f>IFERROR(VLOOKUP($A1258,原始数据_收盘!$A$4:$G$3460,6,0),"")</f>
        <v/>
      </c>
      <c r="G1258" t="str">
        <f>IFERROR(VLOOKUP($A1258,原始数据_收盘!$A$4:$G$3460,7,0),"")</f>
        <v/>
      </c>
      <c r="H1258">
        <f>IFERROR(VLOOKUP($A1258,原始数据_利率互换_FR007_1年!$A$6:$C$4395,2,0),"")</f>
        <v>4.2417</v>
      </c>
      <c r="I1258">
        <f>IFERROR(VLOOKUP($A1258,原始数据_利率互换_FR007_1年!$A$6:$C$4395,3,0),"")</f>
        <v>4.2486</v>
      </c>
    </row>
    <row r="1259" spans="1:9">
      <c r="A1259" s="6">
        <v>40752</v>
      </c>
      <c r="B1259" t="str">
        <f>IFERROR(VLOOKUP($A1259,原始数据_收盘!$A$4:$G$3460,2,0),"")</f>
        <v/>
      </c>
      <c r="C1259" t="str">
        <f>IFERROR(VLOOKUP($A1259,原始数据_收盘!$A$4:$G$3460,3,0),"")</f>
        <v/>
      </c>
      <c r="D1259" t="str">
        <f>IFERROR(VLOOKUP($A1259,原始数据_收盘!$A$4:$G$3460,4,0),"")</f>
        <v/>
      </c>
      <c r="E1259" t="str">
        <f>IFERROR(VLOOKUP($A1259,原始数据_收盘!$A$4:$G$3460,5,0),"")</f>
        <v/>
      </c>
      <c r="F1259" t="str">
        <f>IFERROR(VLOOKUP($A1259,原始数据_收盘!$A$4:$G$3460,6,0),"")</f>
        <v/>
      </c>
      <c r="G1259" t="str">
        <f>IFERROR(VLOOKUP($A1259,原始数据_收盘!$A$4:$G$3460,7,0),"")</f>
        <v/>
      </c>
      <c r="H1259">
        <f>IFERROR(VLOOKUP($A1259,原始数据_利率互换_FR007_1年!$A$6:$C$4395,2,0),"")</f>
        <v>4.2255</v>
      </c>
      <c r="I1259">
        <f>IFERROR(VLOOKUP($A1259,原始数据_利率互换_FR007_1年!$A$6:$C$4395,3,0),"")</f>
        <v>4.2333</v>
      </c>
    </row>
    <row r="1260" spans="1:9">
      <c r="A1260" s="6">
        <v>40753</v>
      </c>
      <c r="B1260" t="str">
        <f>IFERROR(VLOOKUP($A1260,原始数据_收盘!$A$4:$G$3460,2,0),"")</f>
        <v/>
      </c>
      <c r="C1260" t="str">
        <f>IFERROR(VLOOKUP($A1260,原始数据_收盘!$A$4:$G$3460,3,0),"")</f>
        <v/>
      </c>
      <c r="D1260" t="str">
        <f>IFERROR(VLOOKUP($A1260,原始数据_收盘!$A$4:$G$3460,4,0),"")</f>
        <v/>
      </c>
      <c r="E1260" t="str">
        <f>IFERROR(VLOOKUP($A1260,原始数据_收盘!$A$4:$G$3460,5,0),"")</f>
        <v/>
      </c>
      <c r="F1260" t="str">
        <f>IFERROR(VLOOKUP($A1260,原始数据_收盘!$A$4:$G$3460,6,0),"")</f>
        <v/>
      </c>
      <c r="G1260" t="str">
        <f>IFERROR(VLOOKUP($A1260,原始数据_收盘!$A$4:$G$3460,7,0),"")</f>
        <v/>
      </c>
      <c r="H1260">
        <f>IFERROR(VLOOKUP($A1260,原始数据_利率互换_FR007_1年!$A$6:$C$4395,2,0),"")</f>
        <v>4.1809</v>
      </c>
      <c r="I1260">
        <f>IFERROR(VLOOKUP($A1260,原始数据_利率互换_FR007_1年!$A$6:$C$4395,3,0),"")</f>
        <v>4.1815</v>
      </c>
    </row>
    <row r="1261" spans="1:9">
      <c r="A1261" s="6">
        <v>40754</v>
      </c>
      <c r="B1261" t="str">
        <f>IFERROR(VLOOKUP($A1261,原始数据_收盘!$A$4:$G$3460,2,0),"")</f>
        <v/>
      </c>
      <c r="C1261" t="str">
        <f>IFERROR(VLOOKUP($A1261,原始数据_收盘!$A$4:$G$3460,3,0),"")</f>
        <v/>
      </c>
      <c r="D1261" t="str">
        <f>IFERROR(VLOOKUP($A1261,原始数据_收盘!$A$4:$G$3460,4,0),"")</f>
        <v/>
      </c>
      <c r="E1261" t="str">
        <f>IFERROR(VLOOKUP($A1261,原始数据_收盘!$A$4:$G$3460,5,0),"")</f>
        <v/>
      </c>
      <c r="F1261" t="str">
        <f>IFERROR(VLOOKUP($A1261,原始数据_收盘!$A$4:$G$3460,6,0),"")</f>
        <v/>
      </c>
      <c r="G1261" t="str">
        <f>IFERROR(VLOOKUP($A1261,原始数据_收盘!$A$4:$G$3460,7,0),"")</f>
        <v/>
      </c>
      <c r="H1261" t="str">
        <f>IFERROR(VLOOKUP($A1261,原始数据_利率互换_FR007_1年!$A$6:$C$4395,2,0),"")</f>
        <v/>
      </c>
      <c r="I1261" t="str">
        <f>IFERROR(VLOOKUP($A1261,原始数据_利率互换_FR007_1年!$A$6:$C$4395,3,0),"")</f>
        <v/>
      </c>
    </row>
    <row r="1262" spans="1:9">
      <c r="A1262" s="6">
        <v>40755</v>
      </c>
      <c r="B1262" t="str">
        <f>IFERROR(VLOOKUP($A1262,原始数据_收盘!$A$4:$G$3460,2,0),"")</f>
        <v/>
      </c>
      <c r="C1262" t="str">
        <f>IFERROR(VLOOKUP($A1262,原始数据_收盘!$A$4:$G$3460,3,0),"")</f>
        <v/>
      </c>
      <c r="D1262" t="str">
        <f>IFERROR(VLOOKUP($A1262,原始数据_收盘!$A$4:$G$3460,4,0),"")</f>
        <v/>
      </c>
      <c r="E1262" t="str">
        <f>IFERROR(VLOOKUP($A1262,原始数据_收盘!$A$4:$G$3460,5,0),"")</f>
        <v/>
      </c>
      <c r="F1262" t="str">
        <f>IFERROR(VLOOKUP($A1262,原始数据_收盘!$A$4:$G$3460,6,0),"")</f>
        <v/>
      </c>
      <c r="G1262" t="str">
        <f>IFERROR(VLOOKUP($A1262,原始数据_收盘!$A$4:$G$3460,7,0),"")</f>
        <v/>
      </c>
      <c r="H1262" t="str">
        <f>IFERROR(VLOOKUP($A1262,原始数据_利率互换_FR007_1年!$A$6:$C$4395,2,0),"")</f>
        <v/>
      </c>
      <c r="I1262" t="str">
        <f>IFERROR(VLOOKUP($A1262,原始数据_利率互换_FR007_1年!$A$6:$C$4395,3,0),"")</f>
        <v/>
      </c>
    </row>
    <row r="1263" spans="1:9">
      <c r="A1263" s="6">
        <v>40756</v>
      </c>
      <c r="B1263" t="str">
        <f>IFERROR(VLOOKUP($A1263,原始数据_收盘!$A$4:$G$3460,2,0),"")</f>
        <v/>
      </c>
      <c r="C1263" t="str">
        <f>IFERROR(VLOOKUP($A1263,原始数据_收盘!$A$4:$G$3460,3,0),"")</f>
        <v/>
      </c>
      <c r="D1263" t="str">
        <f>IFERROR(VLOOKUP($A1263,原始数据_收盘!$A$4:$G$3460,4,0),"")</f>
        <v/>
      </c>
      <c r="E1263" t="str">
        <f>IFERROR(VLOOKUP($A1263,原始数据_收盘!$A$4:$G$3460,5,0),"")</f>
        <v/>
      </c>
      <c r="F1263" t="str">
        <f>IFERROR(VLOOKUP($A1263,原始数据_收盘!$A$4:$G$3460,6,0),"")</f>
        <v/>
      </c>
      <c r="G1263" t="str">
        <f>IFERROR(VLOOKUP($A1263,原始数据_收盘!$A$4:$G$3460,7,0),"")</f>
        <v/>
      </c>
      <c r="H1263">
        <f>IFERROR(VLOOKUP($A1263,原始数据_利率互换_FR007_1年!$A$6:$C$4395,2,0),"")</f>
        <v>4.1699</v>
      </c>
      <c r="I1263">
        <f>IFERROR(VLOOKUP($A1263,原始数据_利率互换_FR007_1年!$A$6:$C$4395,3,0),"")</f>
        <v>4.1726</v>
      </c>
    </row>
    <row r="1264" spans="1:9">
      <c r="A1264" s="6">
        <v>40757</v>
      </c>
      <c r="B1264" t="str">
        <f>IFERROR(VLOOKUP($A1264,原始数据_收盘!$A$4:$G$3460,2,0),"")</f>
        <v/>
      </c>
      <c r="C1264" t="str">
        <f>IFERROR(VLOOKUP($A1264,原始数据_收盘!$A$4:$G$3460,3,0),"")</f>
        <v/>
      </c>
      <c r="D1264" t="str">
        <f>IFERROR(VLOOKUP($A1264,原始数据_收盘!$A$4:$G$3460,4,0),"")</f>
        <v/>
      </c>
      <c r="E1264" t="str">
        <f>IFERROR(VLOOKUP($A1264,原始数据_收盘!$A$4:$G$3460,5,0),"")</f>
        <v/>
      </c>
      <c r="F1264" t="str">
        <f>IFERROR(VLOOKUP($A1264,原始数据_收盘!$A$4:$G$3460,6,0),"")</f>
        <v/>
      </c>
      <c r="G1264" t="str">
        <f>IFERROR(VLOOKUP($A1264,原始数据_收盘!$A$4:$G$3460,7,0),"")</f>
        <v/>
      </c>
      <c r="H1264">
        <f>IFERROR(VLOOKUP($A1264,原始数据_利率互换_FR007_1年!$A$6:$C$4395,2,0),"")</f>
        <v>4.1533</v>
      </c>
      <c r="I1264">
        <f>IFERROR(VLOOKUP($A1264,原始数据_利率互换_FR007_1年!$A$6:$C$4395,3,0),"")</f>
        <v>4.1637</v>
      </c>
    </row>
    <row r="1265" spans="1:9">
      <c r="A1265" s="6">
        <v>40758</v>
      </c>
      <c r="B1265" t="str">
        <f>IFERROR(VLOOKUP($A1265,原始数据_收盘!$A$4:$G$3460,2,0),"")</f>
        <v/>
      </c>
      <c r="C1265" t="str">
        <f>IFERROR(VLOOKUP($A1265,原始数据_收盘!$A$4:$G$3460,3,0),"")</f>
        <v/>
      </c>
      <c r="D1265" t="str">
        <f>IFERROR(VLOOKUP($A1265,原始数据_收盘!$A$4:$G$3460,4,0),"")</f>
        <v/>
      </c>
      <c r="E1265" t="str">
        <f>IFERROR(VLOOKUP($A1265,原始数据_收盘!$A$4:$G$3460,5,0),"")</f>
        <v/>
      </c>
      <c r="F1265" t="str">
        <f>IFERROR(VLOOKUP($A1265,原始数据_收盘!$A$4:$G$3460,6,0),"")</f>
        <v/>
      </c>
      <c r="G1265" t="str">
        <f>IFERROR(VLOOKUP($A1265,原始数据_收盘!$A$4:$G$3460,7,0),"")</f>
        <v/>
      </c>
      <c r="H1265">
        <f>IFERROR(VLOOKUP($A1265,原始数据_利率互换_FR007_1年!$A$6:$C$4395,2,0),"")</f>
        <v>4.1156</v>
      </c>
      <c r="I1265">
        <f>IFERROR(VLOOKUP($A1265,原始数据_利率互换_FR007_1年!$A$6:$C$4395,3,0),"")</f>
        <v>4.0846</v>
      </c>
    </row>
    <row r="1266" spans="1:9">
      <c r="A1266" s="6">
        <v>40759</v>
      </c>
      <c r="B1266" t="str">
        <f>IFERROR(VLOOKUP($A1266,原始数据_收盘!$A$4:$G$3460,2,0),"")</f>
        <v/>
      </c>
      <c r="C1266" t="str">
        <f>IFERROR(VLOOKUP($A1266,原始数据_收盘!$A$4:$G$3460,3,0),"")</f>
        <v/>
      </c>
      <c r="D1266" t="str">
        <f>IFERROR(VLOOKUP($A1266,原始数据_收盘!$A$4:$G$3460,4,0),"")</f>
        <v/>
      </c>
      <c r="E1266" t="str">
        <f>IFERROR(VLOOKUP($A1266,原始数据_收盘!$A$4:$G$3460,5,0),"")</f>
        <v/>
      </c>
      <c r="F1266" t="str">
        <f>IFERROR(VLOOKUP($A1266,原始数据_收盘!$A$4:$G$3460,6,0),"")</f>
        <v/>
      </c>
      <c r="G1266" t="str">
        <f>IFERROR(VLOOKUP($A1266,原始数据_收盘!$A$4:$G$3460,7,0),"")</f>
        <v/>
      </c>
      <c r="H1266">
        <f>IFERROR(VLOOKUP($A1266,原始数据_利率互换_FR007_1年!$A$6:$C$4395,2,0),"")</f>
        <v>4.0054</v>
      </c>
      <c r="I1266">
        <f>IFERROR(VLOOKUP($A1266,原始数据_利率互换_FR007_1年!$A$6:$C$4395,3,0),"")</f>
        <v>3.989</v>
      </c>
    </row>
    <row r="1267" spans="1:9">
      <c r="A1267" s="6">
        <v>40760</v>
      </c>
      <c r="B1267" t="str">
        <f>IFERROR(VLOOKUP($A1267,原始数据_收盘!$A$4:$G$3460,2,0),"")</f>
        <v/>
      </c>
      <c r="C1267" t="str">
        <f>IFERROR(VLOOKUP($A1267,原始数据_收盘!$A$4:$G$3460,3,0),"")</f>
        <v/>
      </c>
      <c r="D1267" t="str">
        <f>IFERROR(VLOOKUP($A1267,原始数据_收盘!$A$4:$G$3460,4,0),"")</f>
        <v/>
      </c>
      <c r="E1267" t="str">
        <f>IFERROR(VLOOKUP($A1267,原始数据_收盘!$A$4:$G$3460,5,0),"")</f>
        <v/>
      </c>
      <c r="F1267" t="str">
        <f>IFERROR(VLOOKUP($A1267,原始数据_收盘!$A$4:$G$3460,6,0),"")</f>
        <v/>
      </c>
      <c r="G1267" t="str">
        <f>IFERROR(VLOOKUP($A1267,原始数据_收盘!$A$4:$G$3460,7,0),"")</f>
        <v/>
      </c>
      <c r="H1267">
        <f>IFERROR(VLOOKUP($A1267,原始数据_利率互换_FR007_1年!$A$6:$C$4395,2,0),"")</f>
        <v>3.8952</v>
      </c>
      <c r="I1267">
        <f>IFERROR(VLOOKUP($A1267,原始数据_利率互换_FR007_1年!$A$6:$C$4395,3,0),"")</f>
        <v>3.8953</v>
      </c>
    </row>
    <row r="1268" spans="1:9">
      <c r="A1268" s="6">
        <v>40761</v>
      </c>
      <c r="B1268" t="str">
        <f>IFERROR(VLOOKUP($A1268,原始数据_收盘!$A$4:$G$3460,2,0),"")</f>
        <v/>
      </c>
      <c r="C1268" t="str">
        <f>IFERROR(VLOOKUP($A1268,原始数据_收盘!$A$4:$G$3460,3,0),"")</f>
        <v/>
      </c>
      <c r="D1268" t="str">
        <f>IFERROR(VLOOKUP($A1268,原始数据_收盘!$A$4:$G$3460,4,0),"")</f>
        <v/>
      </c>
      <c r="E1268" t="str">
        <f>IFERROR(VLOOKUP($A1268,原始数据_收盘!$A$4:$G$3460,5,0),"")</f>
        <v/>
      </c>
      <c r="F1268" t="str">
        <f>IFERROR(VLOOKUP($A1268,原始数据_收盘!$A$4:$G$3460,6,0),"")</f>
        <v/>
      </c>
      <c r="G1268" t="str">
        <f>IFERROR(VLOOKUP($A1268,原始数据_收盘!$A$4:$G$3460,7,0),"")</f>
        <v/>
      </c>
      <c r="H1268" t="str">
        <f>IFERROR(VLOOKUP($A1268,原始数据_利率互换_FR007_1年!$A$6:$C$4395,2,0),"")</f>
        <v/>
      </c>
      <c r="I1268" t="str">
        <f>IFERROR(VLOOKUP($A1268,原始数据_利率互换_FR007_1年!$A$6:$C$4395,3,0),"")</f>
        <v/>
      </c>
    </row>
    <row r="1269" spans="1:9">
      <c r="A1269" s="6">
        <v>40762</v>
      </c>
      <c r="B1269" t="str">
        <f>IFERROR(VLOOKUP($A1269,原始数据_收盘!$A$4:$G$3460,2,0),"")</f>
        <v/>
      </c>
      <c r="C1269" t="str">
        <f>IFERROR(VLOOKUP($A1269,原始数据_收盘!$A$4:$G$3460,3,0),"")</f>
        <v/>
      </c>
      <c r="D1269" t="str">
        <f>IFERROR(VLOOKUP($A1269,原始数据_收盘!$A$4:$G$3460,4,0),"")</f>
        <v/>
      </c>
      <c r="E1269" t="str">
        <f>IFERROR(VLOOKUP($A1269,原始数据_收盘!$A$4:$G$3460,5,0),"")</f>
        <v/>
      </c>
      <c r="F1269" t="str">
        <f>IFERROR(VLOOKUP($A1269,原始数据_收盘!$A$4:$G$3460,6,0),"")</f>
        <v/>
      </c>
      <c r="G1269" t="str">
        <f>IFERROR(VLOOKUP($A1269,原始数据_收盘!$A$4:$G$3460,7,0),"")</f>
        <v/>
      </c>
      <c r="H1269" t="str">
        <f>IFERROR(VLOOKUP($A1269,原始数据_利率互换_FR007_1年!$A$6:$C$4395,2,0),"")</f>
        <v/>
      </c>
      <c r="I1269" t="str">
        <f>IFERROR(VLOOKUP($A1269,原始数据_利率互换_FR007_1年!$A$6:$C$4395,3,0),"")</f>
        <v/>
      </c>
    </row>
    <row r="1270" spans="1:9">
      <c r="A1270" s="6">
        <v>40763</v>
      </c>
      <c r="B1270" t="str">
        <f>IFERROR(VLOOKUP($A1270,原始数据_收盘!$A$4:$G$3460,2,0),"")</f>
        <v/>
      </c>
      <c r="C1270" t="str">
        <f>IFERROR(VLOOKUP($A1270,原始数据_收盘!$A$4:$G$3460,3,0),"")</f>
        <v/>
      </c>
      <c r="D1270" t="str">
        <f>IFERROR(VLOOKUP($A1270,原始数据_收盘!$A$4:$G$3460,4,0),"")</f>
        <v/>
      </c>
      <c r="E1270" t="str">
        <f>IFERROR(VLOOKUP($A1270,原始数据_收盘!$A$4:$G$3460,5,0),"")</f>
        <v/>
      </c>
      <c r="F1270" t="str">
        <f>IFERROR(VLOOKUP($A1270,原始数据_收盘!$A$4:$G$3460,6,0),"")</f>
        <v/>
      </c>
      <c r="G1270" t="str">
        <f>IFERROR(VLOOKUP($A1270,原始数据_收盘!$A$4:$G$3460,7,0),"")</f>
        <v/>
      </c>
      <c r="H1270">
        <f>IFERROR(VLOOKUP($A1270,原始数据_利率互换_FR007_1年!$A$6:$C$4395,2,0),"")</f>
        <v>3.7454</v>
      </c>
      <c r="I1270">
        <f>IFERROR(VLOOKUP($A1270,原始数据_利率互换_FR007_1年!$A$6:$C$4395,3,0),"")</f>
        <v>3.8534</v>
      </c>
    </row>
    <row r="1271" spans="1:9">
      <c r="A1271" s="6">
        <v>40764</v>
      </c>
      <c r="B1271" t="str">
        <f>IFERROR(VLOOKUP($A1271,原始数据_收盘!$A$4:$G$3460,2,0),"")</f>
        <v/>
      </c>
      <c r="C1271" t="str">
        <f>IFERROR(VLOOKUP($A1271,原始数据_收盘!$A$4:$G$3460,3,0),"")</f>
        <v/>
      </c>
      <c r="D1271" t="str">
        <f>IFERROR(VLOOKUP($A1271,原始数据_收盘!$A$4:$G$3460,4,0),"")</f>
        <v/>
      </c>
      <c r="E1271" t="str">
        <f>IFERROR(VLOOKUP($A1271,原始数据_收盘!$A$4:$G$3460,5,0),"")</f>
        <v/>
      </c>
      <c r="F1271" t="str">
        <f>IFERROR(VLOOKUP($A1271,原始数据_收盘!$A$4:$G$3460,6,0),"")</f>
        <v/>
      </c>
      <c r="G1271" t="str">
        <f>IFERROR(VLOOKUP($A1271,原始数据_收盘!$A$4:$G$3460,7,0),"")</f>
        <v/>
      </c>
      <c r="H1271">
        <f>IFERROR(VLOOKUP($A1271,原始数据_利率互换_FR007_1年!$A$6:$C$4395,2,0),"")</f>
        <v>3.68</v>
      </c>
      <c r="I1271">
        <f>IFERROR(VLOOKUP($A1271,原始数据_利率互换_FR007_1年!$A$6:$C$4395,3,0),"")</f>
        <v>3.8194</v>
      </c>
    </row>
    <row r="1272" spans="1:9">
      <c r="A1272" s="6">
        <v>40765</v>
      </c>
      <c r="B1272" t="str">
        <f>IFERROR(VLOOKUP($A1272,原始数据_收盘!$A$4:$G$3460,2,0),"")</f>
        <v/>
      </c>
      <c r="C1272" t="str">
        <f>IFERROR(VLOOKUP($A1272,原始数据_收盘!$A$4:$G$3460,3,0),"")</f>
        <v/>
      </c>
      <c r="D1272" t="str">
        <f>IFERROR(VLOOKUP($A1272,原始数据_收盘!$A$4:$G$3460,4,0),"")</f>
        <v/>
      </c>
      <c r="E1272" t="str">
        <f>IFERROR(VLOOKUP($A1272,原始数据_收盘!$A$4:$G$3460,5,0),"")</f>
        <v/>
      </c>
      <c r="F1272" t="str">
        <f>IFERROR(VLOOKUP($A1272,原始数据_收盘!$A$4:$G$3460,6,0),"")</f>
        <v/>
      </c>
      <c r="G1272" t="str">
        <f>IFERROR(VLOOKUP($A1272,原始数据_收盘!$A$4:$G$3460,7,0),"")</f>
        <v/>
      </c>
      <c r="H1272">
        <f>IFERROR(VLOOKUP($A1272,原始数据_利率互换_FR007_1年!$A$6:$C$4395,2,0),"")</f>
        <v>3.7246</v>
      </c>
      <c r="I1272">
        <f>IFERROR(VLOOKUP($A1272,原始数据_利率互换_FR007_1年!$A$6:$C$4395,3,0),"")</f>
        <v>3.866</v>
      </c>
    </row>
    <row r="1273" spans="1:9">
      <c r="A1273" s="6">
        <v>40766</v>
      </c>
      <c r="B1273" t="str">
        <f>IFERROR(VLOOKUP($A1273,原始数据_收盘!$A$4:$G$3460,2,0),"")</f>
        <v/>
      </c>
      <c r="C1273" t="str">
        <f>IFERROR(VLOOKUP($A1273,原始数据_收盘!$A$4:$G$3460,3,0),"")</f>
        <v/>
      </c>
      <c r="D1273" t="str">
        <f>IFERROR(VLOOKUP($A1273,原始数据_收盘!$A$4:$G$3460,4,0),"")</f>
        <v/>
      </c>
      <c r="E1273" t="str">
        <f>IFERROR(VLOOKUP($A1273,原始数据_收盘!$A$4:$G$3460,5,0),"")</f>
        <v/>
      </c>
      <c r="F1273" t="str">
        <f>IFERROR(VLOOKUP($A1273,原始数据_收盘!$A$4:$G$3460,6,0),"")</f>
        <v/>
      </c>
      <c r="G1273" t="str">
        <f>IFERROR(VLOOKUP($A1273,原始数据_收盘!$A$4:$G$3460,7,0),"")</f>
        <v/>
      </c>
      <c r="H1273">
        <f>IFERROR(VLOOKUP($A1273,原始数据_利率互换_FR007_1年!$A$6:$C$4395,2,0),"")</f>
        <v>3.5882</v>
      </c>
      <c r="I1273">
        <f>IFERROR(VLOOKUP($A1273,原始数据_利率互换_FR007_1年!$A$6:$C$4395,3,0),"")</f>
        <v>3.7101</v>
      </c>
    </row>
    <row r="1274" spans="1:9">
      <c r="A1274" s="6">
        <v>40767</v>
      </c>
      <c r="B1274" t="str">
        <f>IFERROR(VLOOKUP($A1274,原始数据_收盘!$A$4:$G$3460,2,0),"")</f>
        <v/>
      </c>
      <c r="C1274" t="str">
        <f>IFERROR(VLOOKUP($A1274,原始数据_收盘!$A$4:$G$3460,3,0),"")</f>
        <v/>
      </c>
      <c r="D1274" t="str">
        <f>IFERROR(VLOOKUP($A1274,原始数据_收盘!$A$4:$G$3460,4,0),"")</f>
        <v/>
      </c>
      <c r="E1274" t="str">
        <f>IFERROR(VLOOKUP($A1274,原始数据_收盘!$A$4:$G$3460,5,0),"")</f>
        <v/>
      </c>
      <c r="F1274" t="str">
        <f>IFERROR(VLOOKUP($A1274,原始数据_收盘!$A$4:$G$3460,6,0),"")</f>
        <v/>
      </c>
      <c r="G1274" t="str">
        <f>IFERROR(VLOOKUP($A1274,原始数据_收盘!$A$4:$G$3460,7,0),"")</f>
        <v/>
      </c>
      <c r="H1274">
        <f>IFERROR(VLOOKUP($A1274,原始数据_利率互换_FR007_1年!$A$6:$C$4395,2,0),"")</f>
        <v>3.6034</v>
      </c>
      <c r="I1274">
        <f>IFERROR(VLOOKUP($A1274,原始数据_利率互换_FR007_1年!$A$6:$C$4395,3,0),"")</f>
        <v>3.7733</v>
      </c>
    </row>
    <row r="1275" spans="1:9">
      <c r="A1275" s="6">
        <v>40768</v>
      </c>
      <c r="B1275" t="str">
        <f>IFERROR(VLOOKUP($A1275,原始数据_收盘!$A$4:$G$3460,2,0),"")</f>
        <v/>
      </c>
      <c r="C1275" t="str">
        <f>IFERROR(VLOOKUP($A1275,原始数据_收盘!$A$4:$G$3460,3,0),"")</f>
        <v/>
      </c>
      <c r="D1275" t="str">
        <f>IFERROR(VLOOKUP($A1275,原始数据_收盘!$A$4:$G$3460,4,0),"")</f>
        <v/>
      </c>
      <c r="E1275" t="str">
        <f>IFERROR(VLOOKUP($A1275,原始数据_收盘!$A$4:$G$3460,5,0),"")</f>
        <v/>
      </c>
      <c r="F1275" t="str">
        <f>IFERROR(VLOOKUP($A1275,原始数据_收盘!$A$4:$G$3460,6,0),"")</f>
        <v/>
      </c>
      <c r="G1275" t="str">
        <f>IFERROR(VLOOKUP($A1275,原始数据_收盘!$A$4:$G$3460,7,0),"")</f>
        <v/>
      </c>
      <c r="H1275" t="str">
        <f>IFERROR(VLOOKUP($A1275,原始数据_利率互换_FR007_1年!$A$6:$C$4395,2,0),"")</f>
        <v/>
      </c>
      <c r="I1275" t="str">
        <f>IFERROR(VLOOKUP($A1275,原始数据_利率互换_FR007_1年!$A$6:$C$4395,3,0),"")</f>
        <v/>
      </c>
    </row>
    <row r="1276" spans="1:9">
      <c r="A1276" s="6">
        <v>40769</v>
      </c>
      <c r="B1276" t="str">
        <f>IFERROR(VLOOKUP($A1276,原始数据_收盘!$A$4:$G$3460,2,0),"")</f>
        <v/>
      </c>
      <c r="C1276" t="str">
        <f>IFERROR(VLOOKUP($A1276,原始数据_收盘!$A$4:$G$3460,3,0),"")</f>
        <v/>
      </c>
      <c r="D1276" t="str">
        <f>IFERROR(VLOOKUP($A1276,原始数据_收盘!$A$4:$G$3460,4,0),"")</f>
        <v/>
      </c>
      <c r="E1276" t="str">
        <f>IFERROR(VLOOKUP($A1276,原始数据_收盘!$A$4:$G$3460,5,0),"")</f>
        <v/>
      </c>
      <c r="F1276" t="str">
        <f>IFERROR(VLOOKUP($A1276,原始数据_收盘!$A$4:$G$3460,6,0),"")</f>
        <v/>
      </c>
      <c r="G1276" t="str">
        <f>IFERROR(VLOOKUP($A1276,原始数据_收盘!$A$4:$G$3460,7,0),"")</f>
        <v/>
      </c>
      <c r="H1276" t="str">
        <f>IFERROR(VLOOKUP($A1276,原始数据_利率互换_FR007_1年!$A$6:$C$4395,2,0),"")</f>
        <v/>
      </c>
      <c r="I1276" t="str">
        <f>IFERROR(VLOOKUP($A1276,原始数据_利率互换_FR007_1年!$A$6:$C$4395,3,0),"")</f>
        <v/>
      </c>
    </row>
    <row r="1277" spans="1:9">
      <c r="A1277" s="6">
        <v>40770</v>
      </c>
      <c r="B1277" t="str">
        <f>IFERROR(VLOOKUP($A1277,原始数据_收盘!$A$4:$G$3460,2,0),"")</f>
        <v/>
      </c>
      <c r="C1277" t="str">
        <f>IFERROR(VLOOKUP($A1277,原始数据_收盘!$A$4:$G$3460,3,0),"")</f>
        <v/>
      </c>
      <c r="D1277" t="str">
        <f>IFERROR(VLOOKUP($A1277,原始数据_收盘!$A$4:$G$3460,4,0),"")</f>
        <v/>
      </c>
      <c r="E1277" t="str">
        <f>IFERROR(VLOOKUP($A1277,原始数据_收盘!$A$4:$G$3460,5,0),"")</f>
        <v/>
      </c>
      <c r="F1277" t="str">
        <f>IFERROR(VLOOKUP($A1277,原始数据_收盘!$A$4:$G$3460,6,0),"")</f>
        <v/>
      </c>
      <c r="G1277" t="str">
        <f>IFERROR(VLOOKUP($A1277,原始数据_收盘!$A$4:$G$3460,7,0),"")</f>
        <v/>
      </c>
      <c r="H1277">
        <f>IFERROR(VLOOKUP($A1277,原始数据_利率互换_FR007_1年!$A$6:$C$4395,2,0),"")</f>
        <v>3.6162</v>
      </c>
      <c r="I1277">
        <f>IFERROR(VLOOKUP($A1277,原始数据_利率互换_FR007_1年!$A$6:$C$4395,3,0),"")</f>
        <v>3.7527</v>
      </c>
    </row>
    <row r="1278" spans="1:9">
      <c r="A1278" s="6">
        <v>40771</v>
      </c>
      <c r="B1278" t="str">
        <f>IFERROR(VLOOKUP($A1278,原始数据_收盘!$A$4:$G$3460,2,0),"")</f>
        <v/>
      </c>
      <c r="C1278" t="str">
        <f>IFERROR(VLOOKUP($A1278,原始数据_收盘!$A$4:$G$3460,3,0),"")</f>
        <v/>
      </c>
      <c r="D1278" t="str">
        <f>IFERROR(VLOOKUP($A1278,原始数据_收盘!$A$4:$G$3460,4,0),"")</f>
        <v/>
      </c>
      <c r="E1278" t="str">
        <f>IFERROR(VLOOKUP($A1278,原始数据_收盘!$A$4:$G$3460,5,0),"")</f>
        <v/>
      </c>
      <c r="F1278" t="str">
        <f>IFERROR(VLOOKUP($A1278,原始数据_收盘!$A$4:$G$3460,6,0),"")</f>
        <v/>
      </c>
      <c r="G1278" t="str">
        <f>IFERROR(VLOOKUP($A1278,原始数据_收盘!$A$4:$G$3460,7,0),"")</f>
        <v/>
      </c>
      <c r="H1278">
        <f>IFERROR(VLOOKUP($A1278,原始数据_利率互换_FR007_1年!$A$6:$C$4395,2,0),"")</f>
        <v>3.7212</v>
      </c>
      <c r="I1278">
        <f>IFERROR(VLOOKUP($A1278,原始数据_利率互换_FR007_1年!$A$6:$C$4395,3,0),"")</f>
        <v>3.8729</v>
      </c>
    </row>
    <row r="1279" spans="1:9">
      <c r="A1279" s="6">
        <v>40772</v>
      </c>
      <c r="B1279" t="str">
        <f>IFERROR(VLOOKUP($A1279,原始数据_收盘!$A$4:$G$3460,2,0),"")</f>
        <v/>
      </c>
      <c r="C1279" t="str">
        <f>IFERROR(VLOOKUP($A1279,原始数据_收盘!$A$4:$G$3460,3,0),"")</f>
        <v/>
      </c>
      <c r="D1279" t="str">
        <f>IFERROR(VLOOKUP($A1279,原始数据_收盘!$A$4:$G$3460,4,0),"")</f>
        <v/>
      </c>
      <c r="E1279" t="str">
        <f>IFERROR(VLOOKUP($A1279,原始数据_收盘!$A$4:$G$3460,5,0),"")</f>
        <v/>
      </c>
      <c r="F1279" t="str">
        <f>IFERROR(VLOOKUP($A1279,原始数据_收盘!$A$4:$G$3460,6,0),"")</f>
        <v/>
      </c>
      <c r="G1279" t="str">
        <f>IFERROR(VLOOKUP($A1279,原始数据_收盘!$A$4:$G$3460,7,0),"")</f>
        <v/>
      </c>
      <c r="H1279">
        <f>IFERROR(VLOOKUP($A1279,原始数据_利率互换_FR007_1年!$A$6:$C$4395,2,0),"")</f>
        <v>3.7405</v>
      </c>
      <c r="I1279">
        <f>IFERROR(VLOOKUP($A1279,原始数据_利率互换_FR007_1年!$A$6:$C$4395,3,0),"")</f>
        <v>3.8414</v>
      </c>
    </row>
    <row r="1280" spans="1:9">
      <c r="A1280" s="6">
        <v>40773</v>
      </c>
      <c r="B1280" t="str">
        <f>IFERROR(VLOOKUP($A1280,原始数据_收盘!$A$4:$G$3460,2,0),"")</f>
        <v/>
      </c>
      <c r="C1280" t="str">
        <f>IFERROR(VLOOKUP($A1280,原始数据_收盘!$A$4:$G$3460,3,0),"")</f>
        <v/>
      </c>
      <c r="D1280" t="str">
        <f>IFERROR(VLOOKUP($A1280,原始数据_收盘!$A$4:$G$3460,4,0),"")</f>
        <v/>
      </c>
      <c r="E1280" t="str">
        <f>IFERROR(VLOOKUP($A1280,原始数据_收盘!$A$4:$G$3460,5,0),"")</f>
        <v/>
      </c>
      <c r="F1280" t="str">
        <f>IFERROR(VLOOKUP($A1280,原始数据_收盘!$A$4:$G$3460,6,0),"")</f>
        <v/>
      </c>
      <c r="G1280" t="str">
        <f>IFERROR(VLOOKUP($A1280,原始数据_收盘!$A$4:$G$3460,7,0),"")</f>
        <v/>
      </c>
      <c r="H1280">
        <f>IFERROR(VLOOKUP($A1280,原始数据_利率互换_FR007_1年!$A$6:$C$4395,2,0),"")</f>
        <v>3.7526</v>
      </c>
      <c r="I1280">
        <f>IFERROR(VLOOKUP($A1280,原始数据_利率互换_FR007_1年!$A$6:$C$4395,3,0),"")</f>
        <v>3.8415</v>
      </c>
    </row>
    <row r="1281" spans="1:9">
      <c r="A1281" s="6">
        <v>40774</v>
      </c>
      <c r="B1281" t="str">
        <f>IFERROR(VLOOKUP($A1281,原始数据_收盘!$A$4:$G$3460,2,0),"")</f>
        <v/>
      </c>
      <c r="C1281" t="str">
        <f>IFERROR(VLOOKUP($A1281,原始数据_收盘!$A$4:$G$3460,3,0),"")</f>
        <v/>
      </c>
      <c r="D1281" t="str">
        <f>IFERROR(VLOOKUP($A1281,原始数据_收盘!$A$4:$G$3460,4,0),"")</f>
        <v/>
      </c>
      <c r="E1281" t="str">
        <f>IFERROR(VLOOKUP($A1281,原始数据_收盘!$A$4:$G$3460,5,0),"")</f>
        <v/>
      </c>
      <c r="F1281" t="str">
        <f>IFERROR(VLOOKUP($A1281,原始数据_收盘!$A$4:$G$3460,6,0),"")</f>
        <v/>
      </c>
      <c r="G1281" t="str">
        <f>IFERROR(VLOOKUP($A1281,原始数据_收盘!$A$4:$G$3460,7,0),"")</f>
        <v/>
      </c>
      <c r="H1281">
        <f>IFERROR(VLOOKUP($A1281,原始数据_利率互换_FR007_1年!$A$6:$C$4395,2,0),"")</f>
        <v>3.7031</v>
      </c>
      <c r="I1281">
        <f>IFERROR(VLOOKUP($A1281,原始数据_利率互换_FR007_1年!$A$6:$C$4395,3,0),"")</f>
        <v>3.6605</v>
      </c>
    </row>
    <row r="1282" spans="1:9">
      <c r="A1282" s="6">
        <v>40775</v>
      </c>
      <c r="B1282" t="str">
        <f>IFERROR(VLOOKUP($A1282,原始数据_收盘!$A$4:$G$3460,2,0),"")</f>
        <v/>
      </c>
      <c r="C1282" t="str">
        <f>IFERROR(VLOOKUP($A1282,原始数据_收盘!$A$4:$G$3460,3,0),"")</f>
        <v/>
      </c>
      <c r="D1282" t="str">
        <f>IFERROR(VLOOKUP($A1282,原始数据_收盘!$A$4:$G$3460,4,0),"")</f>
        <v/>
      </c>
      <c r="E1282" t="str">
        <f>IFERROR(VLOOKUP($A1282,原始数据_收盘!$A$4:$G$3460,5,0),"")</f>
        <v/>
      </c>
      <c r="F1282" t="str">
        <f>IFERROR(VLOOKUP($A1282,原始数据_收盘!$A$4:$G$3460,6,0),"")</f>
        <v/>
      </c>
      <c r="G1282" t="str">
        <f>IFERROR(VLOOKUP($A1282,原始数据_收盘!$A$4:$G$3460,7,0),"")</f>
        <v/>
      </c>
      <c r="H1282" t="str">
        <f>IFERROR(VLOOKUP($A1282,原始数据_利率互换_FR007_1年!$A$6:$C$4395,2,0),"")</f>
        <v/>
      </c>
      <c r="I1282" t="str">
        <f>IFERROR(VLOOKUP($A1282,原始数据_利率互换_FR007_1年!$A$6:$C$4395,3,0),"")</f>
        <v/>
      </c>
    </row>
    <row r="1283" spans="1:9">
      <c r="A1283" s="6">
        <v>40776</v>
      </c>
      <c r="B1283" t="str">
        <f>IFERROR(VLOOKUP($A1283,原始数据_收盘!$A$4:$G$3460,2,0),"")</f>
        <v/>
      </c>
      <c r="C1283" t="str">
        <f>IFERROR(VLOOKUP($A1283,原始数据_收盘!$A$4:$G$3460,3,0),"")</f>
        <v/>
      </c>
      <c r="D1283" t="str">
        <f>IFERROR(VLOOKUP($A1283,原始数据_收盘!$A$4:$G$3460,4,0),"")</f>
        <v/>
      </c>
      <c r="E1283" t="str">
        <f>IFERROR(VLOOKUP($A1283,原始数据_收盘!$A$4:$G$3460,5,0),"")</f>
        <v/>
      </c>
      <c r="F1283" t="str">
        <f>IFERROR(VLOOKUP($A1283,原始数据_收盘!$A$4:$G$3460,6,0),"")</f>
        <v/>
      </c>
      <c r="G1283" t="str">
        <f>IFERROR(VLOOKUP($A1283,原始数据_收盘!$A$4:$G$3460,7,0),"")</f>
        <v/>
      </c>
      <c r="H1283" t="str">
        <f>IFERROR(VLOOKUP($A1283,原始数据_利率互换_FR007_1年!$A$6:$C$4395,2,0),"")</f>
        <v/>
      </c>
      <c r="I1283" t="str">
        <f>IFERROR(VLOOKUP($A1283,原始数据_利率互换_FR007_1年!$A$6:$C$4395,3,0),"")</f>
        <v/>
      </c>
    </row>
    <row r="1284" spans="1:9">
      <c r="A1284" s="6">
        <v>40777</v>
      </c>
      <c r="B1284" t="str">
        <f>IFERROR(VLOOKUP($A1284,原始数据_收盘!$A$4:$G$3460,2,0),"")</f>
        <v/>
      </c>
      <c r="C1284" t="str">
        <f>IFERROR(VLOOKUP($A1284,原始数据_收盘!$A$4:$G$3460,3,0),"")</f>
        <v/>
      </c>
      <c r="D1284" t="str">
        <f>IFERROR(VLOOKUP($A1284,原始数据_收盘!$A$4:$G$3460,4,0),"")</f>
        <v/>
      </c>
      <c r="E1284" t="str">
        <f>IFERROR(VLOOKUP($A1284,原始数据_收盘!$A$4:$G$3460,5,0),"")</f>
        <v/>
      </c>
      <c r="F1284" t="str">
        <f>IFERROR(VLOOKUP($A1284,原始数据_收盘!$A$4:$G$3460,6,0),"")</f>
        <v/>
      </c>
      <c r="G1284" t="str">
        <f>IFERROR(VLOOKUP($A1284,原始数据_收盘!$A$4:$G$3460,7,0),"")</f>
        <v/>
      </c>
      <c r="H1284">
        <f>IFERROR(VLOOKUP($A1284,原始数据_利率互换_FR007_1年!$A$6:$C$4395,2,0),"")</f>
        <v>3.7769</v>
      </c>
      <c r="I1284">
        <f>IFERROR(VLOOKUP($A1284,原始数据_利率互换_FR007_1年!$A$6:$C$4395,3,0),"")</f>
        <v>3.7467</v>
      </c>
    </row>
    <row r="1285" spans="1:9">
      <c r="A1285" s="6">
        <v>40778</v>
      </c>
      <c r="B1285" t="str">
        <f>IFERROR(VLOOKUP($A1285,原始数据_收盘!$A$4:$G$3460,2,0),"")</f>
        <v/>
      </c>
      <c r="C1285" t="str">
        <f>IFERROR(VLOOKUP($A1285,原始数据_收盘!$A$4:$G$3460,3,0),"")</f>
        <v/>
      </c>
      <c r="D1285" t="str">
        <f>IFERROR(VLOOKUP($A1285,原始数据_收盘!$A$4:$G$3460,4,0),"")</f>
        <v/>
      </c>
      <c r="E1285" t="str">
        <f>IFERROR(VLOOKUP($A1285,原始数据_收盘!$A$4:$G$3460,5,0),"")</f>
        <v/>
      </c>
      <c r="F1285" t="str">
        <f>IFERROR(VLOOKUP($A1285,原始数据_收盘!$A$4:$G$3460,6,0),"")</f>
        <v/>
      </c>
      <c r="G1285" t="str">
        <f>IFERROR(VLOOKUP($A1285,原始数据_收盘!$A$4:$G$3460,7,0),"")</f>
        <v/>
      </c>
      <c r="H1285">
        <f>IFERROR(VLOOKUP($A1285,原始数据_利率互换_FR007_1年!$A$6:$C$4395,2,0),"")</f>
        <v>3.8228</v>
      </c>
      <c r="I1285">
        <f>IFERROR(VLOOKUP($A1285,原始数据_利率互换_FR007_1年!$A$6:$C$4395,3,0),"")</f>
        <v>3.7663</v>
      </c>
    </row>
    <row r="1286" spans="1:9">
      <c r="A1286" s="6">
        <v>40779</v>
      </c>
      <c r="B1286" t="str">
        <f>IFERROR(VLOOKUP($A1286,原始数据_收盘!$A$4:$G$3460,2,0),"")</f>
        <v/>
      </c>
      <c r="C1286" t="str">
        <f>IFERROR(VLOOKUP($A1286,原始数据_收盘!$A$4:$G$3460,3,0),"")</f>
        <v/>
      </c>
      <c r="D1286" t="str">
        <f>IFERROR(VLOOKUP($A1286,原始数据_收盘!$A$4:$G$3460,4,0),"")</f>
        <v/>
      </c>
      <c r="E1286" t="str">
        <f>IFERROR(VLOOKUP($A1286,原始数据_收盘!$A$4:$G$3460,5,0),"")</f>
        <v/>
      </c>
      <c r="F1286" t="str">
        <f>IFERROR(VLOOKUP($A1286,原始数据_收盘!$A$4:$G$3460,6,0),"")</f>
        <v/>
      </c>
      <c r="G1286" t="str">
        <f>IFERROR(VLOOKUP($A1286,原始数据_收盘!$A$4:$G$3460,7,0),"")</f>
        <v/>
      </c>
      <c r="H1286">
        <f>IFERROR(VLOOKUP($A1286,原始数据_利率互换_FR007_1年!$A$6:$C$4395,2,0),"")</f>
        <v>3.8053</v>
      </c>
      <c r="I1286">
        <f>IFERROR(VLOOKUP($A1286,原始数据_利率互换_FR007_1年!$A$6:$C$4395,3,0),"")</f>
        <v>3.7467</v>
      </c>
    </row>
    <row r="1287" spans="1:9">
      <c r="A1287" s="6">
        <v>40780</v>
      </c>
      <c r="B1287" t="str">
        <f>IFERROR(VLOOKUP($A1287,原始数据_收盘!$A$4:$G$3460,2,0),"")</f>
        <v/>
      </c>
      <c r="C1287" t="str">
        <f>IFERROR(VLOOKUP($A1287,原始数据_收盘!$A$4:$G$3460,3,0),"")</f>
        <v/>
      </c>
      <c r="D1287" t="str">
        <f>IFERROR(VLOOKUP($A1287,原始数据_收盘!$A$4:$G$3460,4,0),"")</f>
        <v/>
      </c>
      <c r="E1287" t="str">
        <f>IFERROR(VLOOKUP($A1287,原始数据_收盘!$A$4:$G$3460,5,0),"")</f>
        <v/>
      </c>
      <c r="F1287" t="str">
        <f>IFERROR(VLOOKUP($A1287,原始数据_收盘!$A$4:$G$3460,6,0),"")</f>
        <v/>
      </c>
      <c r="G1287" t="str">
        <f>IFERROR(VLOOKUP($A1287,原始数据_收盘!$A$4:$G$3460,7,0),"")</f>
        <v/>
      </c>
      <c r="H1287">
        <f>IFERROR(VLOOKUP($A1287,原始数据_利率互换_FR007_1年!$A$6:$C$4395,2,0),"")</f>
        <v>3.8158</v>
      </c>
      <c r="I1287">
        <f>IFERROR(VLOOKUP($A1287,原始数据_利率互换_FR007_1年!$A$6:$C$4395,3,0),"")</f>
        <v>3.7811</v>
      </c>
    </row>
    <row r="1288" spans="1:9">
      <c r="A1288" s="6">
        <v>40781</v>
      </c>
      <c r="B1288" t="str">
        <f>IFERROR(VLOOKUP($A1288,原始数据_收盘!$A$4:$G$3460,2,0),"")</f>
        <v/>
      </c>
      <c r="C1288" t="str">
        <f>IFERROR(VLOOKUP($A1288,原始数据_收盘!$A$4:$G$3460,3,0),"")</f>
        <v/>
      </c>
      <c r="D1288" t="str">
        <f>IFERROR(VLOOKUP($A1288,原始数据_收盘!$A$4:$G$3460,4,0),"")</f>
        <v/>
      </c>
      <c r="E1288" t="str">
        <f>IFERROR(VLOOKUP($A1288,原始数据_收盘!$A$4:$G$3460,5,0),"")</f>
        <v/>
      </c>
      <c r="F1288" t="str">
        <f>IFERROR(VLOOKUP($A1288,原始数据_收盘!$A$4:$G$3460,6,0),"")</f>
        <v/>
      </c>
      <c r="G1288" t="str">
        <f>IFERROR(VLOOKUP($A1288,原始数据_收盘!$A$4:$G$3460,7,0),"")</f>
        <v/>
      </c>
      <c r="H1288">
        <f>IFERROR(VLOOKUP($A1288,原始数据_利率互换_FR007_1年!$A$6:$C$4395,2,0),"")</f>
        <v>3.8933</v>
      </c>
      <c r="I1288">
        <f>IFERROR(VLOOKUP($A1288,原始数据_利率互换_FR007_1年!$A$6:$C$4395,3,0),"")</f>
        <v>3.8466</v>
      </c>
    </row>
    <row r="1289" spans="1:9">
      <c r="A1289" s="6">
        <v>40782</v>
      </c>
      <c r="B1289" t="str">
        <f>IFERROR(VLOOKUP($A1289,原始数据_收盘!$A$4:$G$3460,2,0),"")</f>
        <v/>
      </c>
      <c r="C1289" t="str">
        <f>IFERROR(VLOOKUP($A1289,原始数据_收盘!$A$4:$G$3460,3,0),"")</f>
        <v/>
      </c>
      <c r="D1289" t="str">
        <f>IFERROR(VLOOKUP($A1289,原始数据_收盘!$A$4:$G$3460,4,0),"")</f>
        <v/>
      </c>
      <c r="E1289" t="str">
        <f>IFERROR(VLOOKUP($A1289,原始数据_收盘!$A$4:$G$3460,5,0),"")</f>
        <v/>
      </c>
      <c r="F1289" t="str">
        <f>IFERROR(VLOOKUP($A1289,原始数据_收盘!$A$4:$G$3460,6,0),"")</f>
        <v/>
      </c>
      <c r="G1289" t="str">
        <f>IFERROR(VLOOKUP($A1289,原始数据_收盘!$A$4:$G$3460,7,0),"")</f>
        <v/>
      </c>
      <c r="H1289" t="str">
        <f>IFERROR(VLOOKUP($A1289,原始数据_利率互换_FR007_1年!$A$6:$C$4395,2,0),"")</f>
        <v/>
      </c>
      <c r="I1289" t="str">
        <f>IFERROR(VLOOKUP($A1289,原始数据_利率互换_FR007_1年!$A$6:$C$4395,3,0),"")</f>
        <v/>
      </c>
    </row>
    <row r="1290" spans="1:9">
      <c r="A1290" s="6">
        <v>40783</v>
      </c>
      <c r="B1290" t="str">
        <f>IFERROR(VLOOKUP($A1290,原始数据_收盘!$A$4:$G$3460,2,0),"")</f>
        <v/>
      </c>
      <c r="C1290" t="str">
        <f>IFERROR(VLOOKUP($A1290,原始数据_收盘!$A$4:$G$3460,3,0),"")</f>
        <v/>
      </c>
      <c r="D1290" t="str">
        <f>IFERROR(VLOOKUP($A1290,原始数据_收盘!$A$4:$G$3460,4,0),"")</f>
        <v/>
      </c>
      <c r="E1290" t="str">
        <f>IFERROR(VLOOKUP($A1290,原始数据_收盘!$A$4:$G$3460,5,0),"")</f>
        <v/>
      </c>
      <c r="F1290" t="str">
        <f>IFERROR(VLOOKUP($A1290,原始数据_收盘!$A$4:$G$3460,6,0),"")</f>
        <v/>
      </c>
      <c r="G1290" t="str">
        <f>IFERROR(VLOOKUP($A1290,原始数据_收盘!$A$4:$G$3460,7,0),"")</f>
        <v/>
      </c>
      <c r="H1290" t="str">
        <f>IFERROR(VLOOKUP($A1290,原始数据_利率互换_FR007_1年!$A$6:$C$4395,2,0),"")</f>
        <v/>
      </c>
      <c r="I1290" t="str">
        <f>IFERROR(VLOOKUP($A1290,原始数据_利率互换_FR007_1年!$A$6:$C$4395,3,0),"")</f>
        <v/>
      </c>
    </row>
    <row r="1291" spans="1:9">
      <c r="A1291" s="6">
        <v>40784</v>
      </c>
      <c r="B1291" t="str">
        <f>IFERROR(VLOOKUP($A1291,原始数据_收盘!$A$4:$G$3460,2,0),"")</f>
        <v/>
      </c>
      <c r="C1291" t="str">
        <f>IFERROR(VLOOKUP($A1291,原始数据_收盘!$A$4:$G$3460,3,0),"")</f>
        <v/>
      </c>
      <c r="D1291" t="str">
        <f>IFERROR(VLOOKUP($A1291,原始数据_收盘!$A$4:$G$3460,4,0),"")</f>
        <v/>
      </c>
      <c r="E1291" t="str">
        <f>IFERROR(VLOOKUP($A1291,原始数据_收盘!$A$4:$G$3460,5,0),"")</f>
        <v/>
      </c>
      <c r="F1291" t="str">
        <f>IFERROR(VLOOKUP($A1291,原始数据_收盘!$A$4:$G$3460,6,0),"")</f>
        <v/>
      </c>
      <c r="G1291" t="str">
        <f>IFERROR(VLOOKUP($A1291,原始数据_收盘!$A$4:$G$3460,7,0),"")</f>
        <v/>
      </c>
      <c r="H1291">
        <f>IFERROR(VLOOKUP($A1291,原始数据_利率互换_FR007_1年!$A$6:$C$4395,2,0),"")</f>
        <v>4.1739</v>
      </c>
      <c r="I1291">
        <f>IFERROR(VLOOKUP($A1291,原始数据_利率互换_FR007_1年!$A$6:$C$4395,3,0),"")</f>
        <v>4.01</v>
      </c>
    </row>
    <row r="1292" spans="1:9">
      <c r="A1292" s="6">
        <v>40785</v>
      </c>
      <c r="B1292" t="str">
        <f>IFERROR(VLOOKUP($A1292,原始数据_收盘!$A$4:$G$3460,2,0),"")</f>
        <v/>
      </c>
      <c r="C1292" t="str">
        <f>IFERROR(VLOOKUP($A1292,原始数据_收盘!$A$4:$G$3460,3,0),"")</f>
        <v/>
      </c>
      <c r="D1292" t="str">
        <f>IFERROR(VLOOKUP($A1292,原始数据_收盘!$A$4:$G$3460,4,0),"")</f>
        <v/>
      </c>
      <c r="E1292" t="str">
        <f>IFERROR(VLOOKUP($A1292,原始数据_收盘!$A$4:$G$3460,5,0),"")</f>
        <v/>
      </c>
      <c r="F1292" t="str">
        <f>IFERROR(VLOOKUP($A1292,原始数据_收盘!$A$4:$G$3460,6,0),"")</f>
        <v/>
      </c>
      <c r="G1292" t="str">
        <f>IFERROR(VLOOKUP($A1292,原始数据_收盘!$A$4:$G$3460,7,0),"")</f>
        <v/>
      </c>
      <c r="H1292">
        <f>IFERROR(VLOOKUP($A1292,原始数据_利率互换_FR007_1年!$A$6:$C$4395,2,0),"")</f>
        <v>4.4228</v>
      </c>
      <c r="I1292">
        <f>IFERROR(VLOOKUP($A1292,原始数据_利率互换_FR007_1年!$A$6:$C$4395,3,0),"")</f>
        <v>4.0819</v>
      </c>
    </row>
    <row r="1293" spans="1:9">
      <c r="A1293" s="6">
        <v>40786</v>
      </c>
      <c r="B1293" t="str">
        <f>IFERROR(VLOOKUP($A1293,原始数据_收盘!$A$4:$G$3460,2,0),"")</f>
        <v/>
      </c>
      <c r="C1293" t="str">
        <f>IFERROR(VLOOKUP($A1293,原始数据_收盘!$A$4:$G$3460,3,0),"")</f>
        <v/>
      </c>
      <c r="D1293" t="str">
        <f>IFERROR(VLOOKUP($A1293,原始数据_收盘!$A$4:$G$3460,4,0),"")</f>
        <v/>
      </c>
      <c r="E1293" t="str">
        <f>IFERROR(VLOOKUP($A1293,原始数据_收盘!$A$4:$G$3460,5,0),"")</f>
        <v/>
      </c>
      <c r="F1293" t="str">
        <f>IFERROR(VLOOKUP($A1293,原始数据_收盘!$A$4:$G$3460,6,0),"")</f>
        <v/>
      </c>
      <c r="G1293" t="str">
        <f>IFERROR(VLOOKUP($A1293,原始数据_收盘!$A$4:$G$3460,7,0),"")</f>
        <v/>
      </c>
      <c r="H1293">
        <f>IFERROR(VLOOKUP($A1293,原始数据_利率互换_FR007_1年!$A$6:$C$4395,2,0),"")</f>
        <v>4.405</v>
      </c>
      <c r="I1293">
        <f>IFERROR(VLOOKUP($A1293,原始数据_利率互换_FR007_1年!$A$6:$C$4395,3,0),"")</f>
        <v>4.0692</v>
      </c>
    </row>
    <row r="1294" spans="1:9">
      <c r="A1294" s="6">
        <v>40787</v>
      </c>
      <c r="B1294" t="str">
        <f>IFERROR(VLOOKUP($A1294,原始数据_收盘!$A$4:$G$3460,2,0),"")</f>
        <v/>
      </c>
      <c r="C1294" t="str">
        <f>IFERROR(VLOOKUP($A1294,原始数据_收盘!$A$4:$G$3460,3,0),"")</f>
        <v/>
      </c>
      <c r="D1294" t="str">
        <f>IFERROR(VLOOKUP($A1294,原始数据_收盘!$A$4:$G$3460,4,0),"")</f>
        <v/>
      </c>
      <c r="E1294" t="str">
        <f>IFERROR(VLOOKUP($A1294,原始数据_收盘!$A$4:$G$3460,5,0),"")</f>
        <v/>
      </c>
      <c r="F1294" t="str">
        <f>IFERROR(VLOOKUP($A1294,原始数据_收盘!$A$4:$G$3460,6,0),"")</f>
        <v/>
      </c>
      <c r="G1294" t="str">
        <f>IFERROR(VLOOKUP($A1294,原始数据_收盘!$A$4:$G$3460,7,0),"")</f>
        <v/>
      </c>
      <c r="H1294" t="str">
        <f>IFERROR(VLOOKUP($A1294,原始数据_利率互换_FR007_1年!$A$6:$C$4395,2,0),"")</f>
        <v/>
      </c>
      <c r="I1294" t="str">
        <f>IFERROR(VLOOKUP($A1294,原始数据_利率互换_FR007_1年!$A$6:$C$4395,3,0),"")</f>
        <v/>
      </c>
    </row>
    <row r="1295" spans="1:9">
      <c r="A1295" s="6">
        <v>40788</v>
      </c>
      <c r="B1295" t="str">
        <f>IFERROR(VLOOKUP($A1295,原始数据_收盘!$A$4:$G$3460,2,0),"")</f>
        <v/>
      </c>
      <c r="C1295" t="str">
        <f>IFERROR(VLOOKUP($A1295,原始数据_收盘!$A$4:$G$3460,3,0),"")</f>
        <v/>
      </c>
      <c r="D1295" t="str">
        <f>IFERROR(VLOOKUP($A1295,原始数据_收盘!$A$4:$G$3460,4,0),"")</f>
        <v/>
      </c>
      <c r="E1295" t="str">
        <f>IFERROR(VLOOKUP($A1295,原始数据_收盘!$A$4:$G$3460,5,0),"")</f>
        <v/>
      </c>
      <c r="F1295" t="str">
        <f>IFERROR(VLOOKUP($A1295,原始数据_收盘!$A$4:$G$3460,6,0),"")</f>
        <v/>
      </c>
      <c r="G1295" t="str">
        <f>IFERROR(VLOOKUP($A1295,原始数据_收盘!$A$4:$G$3460,7,0),"")</f>
        <v/>
      </c>
      <c r="H1295" t="str">
        <f>IFERROR(VLOOKUP($A1295,原始数据_利率互换_FR007_1年!$A$6:$C$4395,2,0),"")</f>
        <v/>
      </c>
      <c r="I1295" t="str">
        <f>IFERROR(VLOOKUP($A1295,原始数据_利率互换_FR007_1年!$A$6:$C$4395,3,0),"")</f>
        <v/>
      </c>
    </row>
    <row r="1296" spans="1:9">
      <c r="A1296" s="6">
        <v>40789</v>
      </c>
      <c r="B1296" t="str">
        <f>IFERROR(VLOOKUP($A1296,原始数据_收盘!$A$4:$G$3460,2,0),"")</f>
        <v/>
      </c>
      <c r="C1296" t="str">
        <f>IFERROR(VLOOKUP($A1296,原始数据_收盘!$A$4:$G$3460,3,0),"")</f>
        <v/>
      </c>
      <c r="D1296" t="str">
        <f>IFERROR(VLOOKUP($A1296,原始数据_收盘!$A$4:$G$3460,4,0),"")</f>
        <v/>
      </c>
      <c r="E1296" t="str">
        <f>IFERROR(VLOOKUP($A1296,原始数据_收盘!$A$4:$G$3460,5,0),"")</f>
        <v/>
      </c>
      <c r="F1296" t="str">
        <f>IFERROR(VLOOKUP($A1296,原始数据_收盘!$A$4:$G$3460,6,0),"")</f>
        <v/>
      </c>
      <c r="G1296" t="str">
        <f>IFERROR(VLOOKUP($A1296,原始数据_收盘!$A$4:$G$3460,7,0),"")</f>
        <v/>
      </c>
      <c r="H1296" t="str">
        <f>IFERROR(VLOOKUP($A1296,原始数据_利率互换_FR007_1年!$A$6:$C$4395,2,0),"")</f>
        <v/>
      </c>
      <c r="I1296" t="str">
        <f>IFERROR(VLOOKUP($A1296,原始数据_利率互换_FR007_1年!$A$6:$C$4395,3,0),"")</f>
        <v/>
      </c>
    </row>
    <row r="1297" spans="1:9">
      <c r="A1297" s="6">
        <v>40790</v>
      </c>
      <c r="B1297" t="str">
        <f>IFERROR(VLOOKUP($A1297,原始数据_收盘!$A$4:$G$3460,2,0),"")</f>
        <v/>
      </c>
      <c r="C1297" t="str">
        <f>IFERROR(VLOOKUP($A1297,原始数据_收盘!$A$4:$G$3460,3,0),"")</f>
        <v/>
      </c>
      <c r="D1297" t="str">
        <f>IFERROR(VLOOKUP($A1297,原始数据_收盘!$A$4:$G$3460,4,0),"")</f>
        <v/>
      </c>
      <c r="E1297" t="str">
        <f>IFERROR(VLOOKUP($A1297,原始数据_收盘!$A$4:$G$3460,5,0),"")</f>
        <v/>
      </c>
      <c r="F1297" t="str">
        <f>IFERROR(VLOOKUP($A1297,原始数据_收盘!$A$4:$G$3460,6,0),"")</f>
        <v/>
      </c>
      <c r="G1297" t="str">
        <f>IFERROR(VLOOKUP($A1297,原始数据_收盘!$A$4:$G$3460,7,0),"")</f>
        <v/>
      </c>
      <c r="H1297" t="str">
        <f>IFERROR(VLOOKUP($A1297,原始数据_利率互换_FR007_1年!$A$6:$C$4395,2,0),"")</f>
        <v/>
      </c>
      <c r="I1297" t="str">
        <f>IFERROR(VLOOKUP($A1297,原始数据_利率互换_FR007_1年!$A$6:$C$4395,3,0),"")</f>
        <v/>
      </c>
    </row>
    <row r="1298" spans="1:9">
      <c r="A1298" s="6">
        <v>40791</v>
      </c>
      <c r="B1298" t="str">
        <f>IFERROR(VLOOKUP($A1298,原始数据_收盘!$A$4:$G$3460,2,0),"")</f>
        <v/>
      </c>
      <c r="C1298" t="str">
        <f>IFERROR(VLOOKUP($A1298,原始数据_收盘!$A$4:$G$3460,3,0),"")</f>
        <v/>
      </c>
      <c r="D1298" t="str">
        <f>IFERROR(VLOOKUP($A1298,原始数据_收盘!$A$4:$G$3460,4,0),"")</f>
        <v/>
      </c>
      <c r="E1298" t="str">
        <f>IFERROR(VLOOKUP($A1298,原始数据_收盘!$A$4:$G$3460,5,0),"")</f>
        <v/>
      </c>
      <c r="F1298" t="str">
        <f>IFERROR(VLOOKUP($A1298,原始数据_收盘!$A$4:$G$3460,6,0),"")</f>
        <v/>
      </c>
      <c r="G1298" t="str">
        <f>IFERROR(VLOOKUP($A1298,原始数据_收盘!$A$4:$G$3460,7,0),"")</f>
        <v/>
      </c>
      <c r="H1298">
        <f>IFERROR(VLOOKUP($A1298,原始数据_利率互换_FR007_1年!$A$6:$C$4395,2,0),"")</f>
        <v>4.3001</v>
      </c>
      <c r="I1298">
        <f>IFERROR(VLOOKUP($A1298,原始数据_利率互换_FR007_1年!$A$6:$C$4395,3,0),"")</f>
        <v>3.8177</v>
      </c>
    </row>
    <row r="1299" spans="1:9">
      <c r="A1299" s="6">
        <v>40792</v>
      </c>
      <c r="B1299" t="str">
        <f>IFERROR(VLOOKUP($A1299,原始数据_收盘!$A$4:$G$3460,2,0),"")</f>
        <v/>
      </c>
      <c r="C1299" t="str">
        <f>IFERROR(VLOOKUP($A1299,原始数据_收盘!$A$4:$G$3460,3,0),"")</f>
        <v/>
      </c>
      <c r="D1299" t="str">
        <f>IFERROR(VLOOKUP($A1299,原始数据_收盘!$A$4:$G$3460,4,0),"")</f>
        <v/>
      </c>
      <c r="E1299" t="str">
        <f>IFERROR(VLOOKUP($A1299,原始数据_收盘!$A$4:$G$3460,5,0),"")</f>
        <v/>
      </c>
      <c r="F1299" t="str">
        <f>IFERROR(VLOOKUP($A1299,原始数据_收盘!$A$4:$G$3460,6,0),"")</f>
        <v/>
      </c>
      <c r="G1299" t="str">
        <f>IFERROR(VLOOKUP($A1299,原始数据_收盘!$A$4:$G$3460,7,0),"")</f>
        <v/>
      </c>
      <c r="H1299">
        <f>IFERROR(VLOOKUP($A1299,原始数据_利率互换_FR007_1年!$A$6:$C$4395,2,0),"")</f>
        <v>4.2707</v>
      </c>
      <c r="I1299">
        <f>IFERROR(VLOOKUP($A1299,原始数据_利率互换_FR007_1年!$A$6:$C$4395,3,0),"")</f>
        <v>3.7144</v>
      </c>
    </row>
    <row r="1300" spans="1:9">
      <c r="A1300" s="6">
        <v>40793</v>
      </c>
      <c r="B1300" t="str">
        <f>IFERROR(VLOOKUP($A1300,原始数据_收盘!$A$4:$G$3460,2,0),"")</f>
        <v/>
      </c>
      <c r="C1300" t="str">
        <f>IFERROR(VLOOKUP($A1300,原始数据_收盘!$A$4:$G$3460,3,0),"")</f>
        <v/>
      </c>
      <c r="D1300" t="str">
        <f>IFERROR(VLOOKUP($A1300,原始数据_收盘!$A$4:$G$3460,4,0),"")</f>
        <v/>
      </c>
      <c r="E1300" t="str">
        <f>IFERROR(VLOOKUP($A1300,原始数据_收盘!$A$4:$G$3460,5,0),"")</f>
        <v/>
      </c>
      <c r="F1300" t="str">
        <f>IFERROR(VLOOKUP($A1300,原始数据_收盘!$A$4:$G$3460,6,0),"")</f>
        <v/>
      </c>
      <c r="G1300" t="str">
        <f>IFERROR(VLOOKUP($A1300,原始数据_收盘!$A$4:$G$3460,7,0),"")</f>
        <v/>
      </c>
      <c r="H1300">
        <f>IFERROR(VLOOKUP($A1300,原始数据_利率互换_FR007_1年!$A$6:$C$4395,2,0),"")</f>
        <v>4.2812</v>
      </c>
      <c r="I1300">
        <f>IFERROR(VLOOKUP($A1300,原始数据_利率互换_FR007_1年!$A$6:$C$4395,3,0),"")</f>
        <v>3.7727</v>
      </c>
    </row>
    <row r="1301" spans="1:9">
      <c r="A1301" s="6">
        <v>40794</v>
      </c>
      <c r="B1301" t="str">
        <f>IFERROR(VLOOKUP($A1301,原始数据_收盘!$A$4:$G$3460,2,0),"")</f>
        <v/>
      </c>
      <c r="C1301" t="str">
        <f>IFERROR(VLOOKUP($A1301,原始数据_收盘!$A$4:$G$3460,3,0),"")</f>
        <v/>
      </c>
      <c r="D1301" t="str">
        <f>IFERROR(VLOOKUP($A1301,原始数据_收盘!$A$4:$G$3460,4,0),"")</f>
        <v/>
      </c>
      <c r="E1301" t="str">
        <f>IFERROR(VLOOKUP($A1301,原始数据_收盘!$A$4:$G$3460,5,0),"")</f>
        <v/>
      </c>
      <c r="F1301" t="str">
        <f>IFERROR(VLOOKUP($A1301,原始数据_收盘!$A$4:$G$3460,6,0),"")</f>
        <v/>
      </c>
      <c r="G1301" t="str">
        <f>IFERROR(VLOOKUP($A1301,原始数据_收盘!$A$4:$G$3460,7,0),"")</f>
        <v/>
      </c>
      <c r="H1301">
        <f>IFERROR(VLOOKUP($A1301,原始数据_利率互换_FR007_1年!$A$6:$C$4395,2,0),"")</f>
        <v>4.3038</v>
      </c>
      <c r="I1301">
        <f>IFERROR(VLOOKUP($A1301,原始数据_利率互换_FR007_1年!$A$6:$C$4395,3,0),"")</f>
        <v>3.8189</v>
      </c>
    </row>
    <row r="1302" spans="1:9">
      <c r="A1302" s="6">
        <v>40795</v>
      </c>
      <c r="B1302" t="str">
        <f>IFERROR(VLOOKUP($A1302,原始数据_收盘!$A$4:$G$3460,2,0),"")</f>
        <v/>
      </c>
      <c r="C1302" t="str">
        <f>IFERROR(VLOOKUP($A1302,原始数据_收盘!$A$4:$G$3460,3,0),"")</f>
        <v/>
      </c>
      <c r="D1302" t="str">
        <f>IFERROR(VLOOKUP($A1302,原始数据_收盘!$A$4:$G$3460,4,0),"")</f>
        <v/>
      </c>
      <c r="E1302" t="str">
        <f>IFERROR(VLOOKUP($A1302,原始数据_收盘!$A$4:$G$3460,5,0),"")</f>
        <v/>
      </c>
      <c r="F1302" t="str">
        <f>IFERROR(VLOOKUP($A1302,原始数据_收盘!$A$4:$G$3460,6,0),"")</f>
        <v/>
      </c>
      <c r="G1302" t="str">
        <f>IFERROR(VLOOKUP($A1302,原始数据_收盘!$A$4:$G$3460,7,0),"")</f>
        <v/>
      </c>
      <c r="H1302">
        <f>IFERROR(VLOOKUP($A1302,原始数据_利率互换_FR007_1年!$A$6:$C$4395,2,0),"")</f>
        <v>4.2561</v>
      </c>
      <c r="I1302">
        <f>IFERROR(VLOOKUP($A1302,原始数据_利率互换_FR007_1年!$A$6:$C$4395,3,0),"")</f>
        <v>0</v>
      </c>
    </row>
    <row r="1303" spans="1:9">
      <c r="A1303" s="6">
        <v>40796</v>
      </c>
      <c r="B1303" t="str">
        <f>IFERROR(VLOOKUP($A1303,原始数据_收盘!$A$4:$G$3460,2,0),"")</f>
        <v/>
      </c>
      <c r="C1303" t="str">
        <f>IFERROR(VLOOKUP($A1303,原始数据_收盘!$A$4:$G$3460,3,0),"")</f>
        <v/>
      </c>
      <c r="D1303" t="str">
        <f>IFERROR(VLOOKUP($A1303,原始数据_收盘!$A$4:$G$3460,4,0),"")</f>
        <v/>
      </c>
      <c r="E1303" t="str">
        <f>IFERROR(VLOOKUP($A1303,原始数据_收盘!$A$4:$G$3460,5,0),"")</f>
        <v/>
      </c>
      <c r="F1303" t="str">
        <f>IFERROR(VLOOKUP($A1303,原始数据_收盘!$A$4:$G$3460,6,0),"")</f>
        <v/>
      </c>
      <c r="G1303" t="str">
        <f>IFERROR(VLOOKUP($A1303,原始数据_收盘!$A$4:$G$3460,7,0),"")</f>
        <v/>
      </c>
      <c r="H1303" t="str">
        <f>IFERROR(VLOOKUP($A1303,原始数据_利率互换_FR007_1年!$A$6:$C$4395,2,0),"")</f>
        <v/>
      </c>
      <c r="I1303" t="str">
        <f>IFERROR(VLOOKUP($A1303,原始数据_利率互换_FR007_1年!$A$6:$C$4395,3,0),"")</f>
        <v/>
      </c>
    </row>
    <row r="1304" spans="1:9">
      <c r="A1304" s="6">
        <v>40797</v>
      </c>
      <c r="B1304" t="str">
        <f>IFERROR(VLOOKUP($A1304,原始数据_收盘!$A$4:$G$3460,2,0),"")</f>
        <v/>
      </c>
      <c r="C1304" t="str">
        <f>IFERROR(VLOOKUP($A1304,原始数据_收盘!$A$4:$G$3460,3,0),"")</f>
        <v/>
      </c>
      <c r="D1304" t="str">
        <f>IFERROR(VLOOKUP($A1304,原始数据_收盘!$A$4:$G$3460,4,0),"")</f>
        <v/>
      </c>
      <c r="E1304" t="str">
        <f>IFERROR(VLOOKUP($A1304,原始数据_收盘!$A$4:$G$3460,5,0),"")</f>
        <v/>
      </c>
      <c r="F1304" t="str">
        <f>IFERROR(VLOOKUP($A1304,原始数据_收盘!$A$4:$G$3460,6,0),"")</f>
        <v/>
      </c>
      <c r="G1304" t="str">
        <f>IFERROR(VLOOKUP($A1304,原始数据_收盘!$A$4:$G$3460,7,0),"")</f>
        <v/>
      </c>
      <c r="H1304" t="str">
        <f>IFERROR(VLOOKUP($A1304,原始数据_利率互换_FR007_1年!$A$6:$C$4395,2,0),"")</f>
        <v/>
      </c>
      <c r="I1304" t="str">
        <f>IFERROR(VLOOKUP($A1304,原始数据_利率互换_FR007_1年!$A$6:$C$4395,3,0),"")</f>
        <v/>
      </c>
    </row>
    <row r="1305" spans="1:9">
      <c r="A1305" s="6">
        <v>40798</v>
      </c>
      <c r="B1305" t="str">
        <f>IFERROR(VLOOKUP($A1305,原始数据_收盘!$A$4:$G$3460,2,0),"")</f>
        <v/>
      </c>
      <c r="C1305" t="str">
        <f>IFERROR(VLOOKUP($A1305,原始数据_收盘!$A$4:$G$3460,3,0),"")</f>
        <v/>
      </c>
      <c r="D1305" t="str">
        <f>IFERROR(VLOOKUP($A1305,原始数据_收盘!$A$4:$G$3460,4,0),"")</f>
        <v/>
      </c>
      <c r="E1305" t="str">
        <f>IFERROR(VLOOKUP($A1305,原始数据_收盘!$A$4:$G$3460,5,0),"")</f>
        <v/>
      </c>
      <c r="F1305" t="str">
        <f>IFERROR(VLOOKUP($A1305,原始数据_收盘!$A$4:$G$3460,6,0),"")</f>
        <v/>
      </c>
      <c r="G1305" t="str">
        <f>IFERROR(VLOOKUP($A1305,原始数据_收盘!$A$4:$G$3460,7,0),"")</f>
        <v/>
      </c>
      <c r="H1305" t="str">
        <f>IFERROR(VLOOKUP($A1305,原始数据_利率互换_FR007_1年!$A$6:$C$4395,2,0),"")</f>
        <v/>
      </c>
      <c r="I1305" t="str">
        <f>IFERROR(VLOOKUP($A1305,原始数据_利率互换_FR007_1年!$A$6:$C$4395,3,0),"")</f>
        <v/>
      </c>
    </row>
    <row r="1306" spans="1:9">
      <c r="A1306" s="6">
        <v>40799</v>
      </c>
      <c r="B1306" t="str">
        <f>IFERROR(VLOOKUP($A1306,原始数据_收盘!$A$4:$G$3460,2,0),"")</f>
        <v/>
      </c>
      <c r="C1306" t="str">
        <f>IFERROR(VLOOKUP($A1306,原始数据_收盘!$A$4:$G$3460,3,0),"")</f>
        <v/>
      </c>
      <c r="D1306" t="str">
        <f>IFERROR(VLOOKUP($A1306,原始数据_收盘!$A$4:$G$3460,4,0),"")</f>
        <v/>
      </c>
      <c r="E1306" t="str">
        <f>IFERROR(VLOOKUP($A1306,原始数据_收盘!$A$4:$G$3460,5,0),"")</f>
        <v/>
      </c>
      <c r="F1306" t="str">
        <f>IFERROR(VLOOKUP($A1306,原始数据_收盘!$A$4:$G$3460,6,0),"")</f>
        <v/>
      </c>
      <c r="G1306" t="str">
        <f>IFERROR(VLOOKUP($A1306,原始数据_收盘!$A$4:$G$3460,7,0),"")</f>
        <v/>
      </c>
      <c r="H1306">
        <f>IFERROR(VLOOKUP($A1306,原始数据_利率互换_FR007_1年!$A$6:$C$4395,2,0),"")</f>
        <v>4.1557</v>
      </c>
      <c r="I1306">
        <f>IFERROR(VLOOKUP($A1306,原始数据_利率互换_FR007_1年!$A$6:$C$4395,3,0),"")</f>
        <v>0</v>
      </c>
    </row>
    <row r="1307" spans="1:9">
      <c r="A1307" s="6">
        <v>40800</v>
      </c>
      <c r="B1307" t="str">
        <f>IFERROR(VLOOKUP($A1307,原始数据_收盘!$A$4:$G$3460,2,0),"")</f>
        <v/>
      </c>
      <c r="C1307" t="str">
        <f>IFERROR(VLOOKUP($A1307,原始数据_收盘!$A$4:$G$3460,3,0),"")</f>
        <v/>
      </c>
      <c r="D1307" t="str">
        <f>IFERROR(VLOOKUP($A1307,原始数据_收盘!$A$4:$G$3460,4,0),"")</f>
        <v/>
      </c>
      <c r="E1307" t="str">
        <f>IFERROR(VLOOKUP($A1307,原始数据_收盘!$A$4:$G$3460,5,0),"")</f>
        <v/>
      </c>
      <c r="F1307" t="str">
        <f>IFERROR(VLOOKUP($A1307,原始数据_收盘!$A$4:$G$3460,6,0),"")</f>
        <v/>
      </c>
      <c r="G1307" t="str">
        <f>IFERROR(VLOOKUP($A1307,原始数据_收盘!$A$4:$G$3460,7,0),"")</f>
        <v/>
      </c>
      <c r="H1307">
        <f>IFERROR(VLOOKUP($A1307,原始数据_利率互换_FR007_1年!$A$6:$C$4395,2,0),"")</f>
        <v>4.0753</v>
      </c>
      <c r="I1307">
        <f>IFERROR(VLOOKUP($A1307,原始数据_利率互换_FR007_1年!$A$6:$C$4395,3,0),"")</f>
        <v>3.7014</v>
      </c>
    </row>
    <row r="1308" spans="1:9">
      <c r="A1308" s="6">
        <v>40801</v>
      </c>
      <c r="B1308" t="str">
        <f>IFERROR(VLOOKUP($A1308,原始数据_收盘!$A$4:$G$3460,2,0),"")</f>
        <v/>
      </c>
      <c r="C1308" t="str">
        <f>IFERROR(VLOOKUP($A1308,原始数据_收盘!$A$4:$G$3460,3,0),"")</f>
        <v/>
      </c>
      <c r="D1308" t="str">
        <f>IFERROR(VLOOKUP($A1308,原始数据_收盘!$A$4:$G$3460,4,0),"")</f>
        <v/>
      </c>
      <c r="E1308" t="str">
        <f>IFERROR(VLOOKUP($A1308,原始数据_收盘!$A$4:$G$3460,5,0),"")</f>
        <v/>
      </c>
      <c r="F1308" t="str">
        <f>IFERROR(VLOOKUP($A1308,原始数据_收盘!$A$4:$G$3460,6,0),"")</f>
        <v/>
      </c>
      <c r="G1308" t="str">
        <f>IFERROR(VLOOKUP($A1308,原始数据_收盘!$A$4:$G$3460,7,0),"")</f>
        <v/>
      </c>
      <c r="H1308">
        <f>IFERROR(VLOOKUP($A1308,原始数据_利率互换_FR007_1年!$A$6:$C$4395,2,0),"")</f>
        <v>4.1461</v>
      </c>
      <c r="I1308">
        <f>IFERROR(VLOOKUP($A1308,原始数据_利率互换_FR007_1年!$A$6:$C$4395,3,0),"")</f>
        <v>3.724</v>
      </c>
    </row>
    <row r="1309" spans="1:9">
      <c r="A1309" s="6">
        <v>40802</v>
      </c>
      <c r="B1309" t="str">
        <f>IFERROR(VLOOKUP($A1309,原始数据_收盘!$A$4:$G$3460,2,0),"")</f>
        <v/>
      </c>
      <c r="C1309" t="str">
        <f>IFERROR(VLOOKUP($A1309,原始数据_收盘!$A$4:$G$3460,3,0),"")</f>
        <v/>
      </c>
      <c r="D1309" t="str">
        <f>IFERROR(VLOOKUP($A1309,原始数据_收盘!$A$4:$G$3460,4,0),"")</f>
        <v/>
      </c>
      <c r="E1309" t="str">
        <f>IFERROR(VLOOKUP($A1309,原始数据_收盘!$A$4:$G$3460,5,0),"")</f>
        <v/>
      </c>
      <c r="F1309" t="str">
        <f>IFERROR(VLOOKUP($A1309,原始数据_收盘!$A$4:$G$3460,6,0),"")</f>
        <v/>
      </c>
      <c r="G1309" t="str">
        <f>IFERROR(VLOOKUP($A1309,原始数据_收盘!$A$4:$G$3460,7,0),"")</f>
        <v/>
      </c>
      <c r="H1309">
        <f>IFERROR(VLOOKUP($A1309,原始数据_利率互换_FR007_1年!$A$6:$C$4395,2,0),"")</f>
        <v>4.2298</v>
      </c>
      <c r="I1309">
        <f>IFERROR(VLOOKUP($A1309,原始数据_利率互换_FR007_1年!$A$6:$C$4395,3,0),"")</f>
        <v>3.8125</v>
      </c>
    </row>
    <row r="1310" spans="1:9">
      <c r="A1310" s="6">
        <v>40803</v>
      </c>
      <c r="B1310" t="str">
        <f>IFERROR(VLOOKUP($A1310,原始数据_收盘!$A$4:$G$3460,2,0),"")</f>
        <v/>
      </c>
      <c r="C1310" t="str">
        <f>IFERROR(VLOOKUP($A1310,原始数据_收盘!$A$4:$G$3460,3,0),"")</f>
        <v/>
      </c>
      <c r="D1310" t="str">
        <f>IFERROR(VLOOKUP($A1310,原始数据_收盘!$A$4:$G$3460,4,0),"")</f>
        <v/>
      </c>
      <c r="E1310" t="str">
        <f>IFERROR(VLOOKUP($A1310,原始数据_收盘!$A$4:$G$3460,5,0),"")</f>
        <v/>
      </c>
      <c r="F1310" t="str">
        <f>IFERROR(VLOOKUP($A1310,原始数据_收盘!$A$4:$G$3460,6,0),"")</f>
        <v/>
      </c>
      <c r="G1310" t="str">
        <f>IFERROR(VLOOKUP($A1310,原始数据_收盘!$A$4:$G$3460,7,0),"")</f>
        <v/>
      </c>
      <c r="H1310" t="str">
        <f>IFERROR(VLOOKUP($A1310,原始数据_利率互换_FR007_1年!$A$6:$C$4395,2,0),"")</f>
        <v/>
      </c>
      <c r="I1310" t="str">
        <f>IFERROR(VLOOKUP($A1310,原始数据_利率互换_FR007_1年!$A$6:$C$4395,3,0),"")</f>
        <v/>
      </c>
    </row>
    <row r="1311" spans="1:9">
      <c r="A1311" s="6">
        <v>40804</v>
      </c>
      <c r="B1311" t="str">
        <f>IFERROR(VLOOKUP($A1311,原始数据_收盘!$A$4:$G$3460,2,0),"")</f>
        <v/>
      </c>
      <c r="C1311" t="str">
        <f>IFERROR(VLOOKUP($A1311,原始数据_收盘!$A$4:$G$3460,3,0),"")</f>
        <v/>
      </c>
      <c r="D1311" t="str">
        <f>IFERROR(VLOOKUP($A1311,原始数据_收盘!$A$4:$G$3460,4,0),"")</f>
        <v/>
      </c>
      <c r="E1311" t="str">
        <f>IFERROR(VLOOKUP($A1311,原始数据_收盘!$A$4:$G$3460,5,0),"")</f>
        <v/>
      </c>
      <c r="F1311" t="str">
        <f>IFERROR(VLOOKUP($A1311,原始数据_收盘!$A$4:$G$3460,6,0),"")</f>
        <v/>
      </c>
      <c r="G1311" t="str">
        <f>IFERROR(VLOOKUP($A1311,原始数据_收盘!$A$4:$G$3460,7,0),"")</f>
        <v/>
      </c>
      <c r="H1311" t="str">
        <f>IFERROR(VLOOKUP($A1311,原始数据_利率互换_FR007_1年!$A$6:$C$4395,2,0),"")</f>
        <v/>
      </c>
      <c r="I1311" t="str">
        <f>IFERROR(VLOOKUP($A1311,原始数据_利率互换_FR007_1年!$A$6:$C$4395,3,0),"")</f>
        <v/>
      </c>
    </row>
    <row r="1312" spans="1:9">
      <c r="A1312" s="6">
        <v>40805</v>
      </c>
      <c r="B1312" t="str">
        <f>IFERROR(VLOOKUP($A1312,原始数据_收盘!$A$4:$G$3460,2,0),"")</f>
        <v/>
      </c>
      <c r="C1312" t="str">
        <f>IFERROR(VLOOKUP($A1312,原始数据_收盘!$A$4:$G$3460,3,0),"")</f>
        <v/>
      </c>
      <c r="D1312" t="str">
        <f>IFERROR(VLOOKUP($A1312,原始数据_收盘!$A$4:$G$3460,4,0),"")</f>
        <v/>
      </c>
      <c r="E1312" t="str">
        <f>IFERROR(VLOOKUP($A1312,原始数据_收盘!$A$4:$G$3460,5,0),"")</f>
        <v/>
      </c>
      <c r="F1312" t="str">
        <f>IFERROR(VLOOKUP($A1312,原始数据_收盘!$A$4:$G$3460,6,0),"")</f>
        <v/>
      </c>
      <c r="G1312" t="str">
        <f>IFERROR(VLOOKUP($A1312,原始数据_收盘!$A$4:$G$3460,7,0),"")</f>
        <v/>
      </c>
      <c r="H1312">
        <f>IFERROR(VLOOKUP($A1312,原始数据_利率互换_FR007_1年!$A$6:$C$4395,2,0),"")</f>
        <v>4.259</v>
      </c>
      <c r="I1312">
        <f>IFERROR(VLOOKUP($A1312,原始数据_利率互换_FR007_1年!$A$6:$C$4395,3,0),"")</f>
        <v>3.7925</v>
      </c>
    </row>
    <row r="1313" spans="1:9">
      <c r="A1313" s="6">
        <v>40806</v>
      </c>
      <c r="B1313" t="str">
        <f>IFERROR(VLOOKUP($A1313,原始数据_收盘!$A$4:$G$3460,2,0),"")</f>
        <v/>
      </c>
      <c r="C1313" t="str">
        <f>IFERROR(VLOOKUP($A1313,原始数据_收盘!$A$4:$G$3460,3,0),"")</f>
        <v/>
      </c>
      <c r="D1313" t="str">
        <f>IFERROR(VLOOKUP($A1313,原始数据_收盘!$A$4:$G$3460,4,0),"")</f>
        <v/>
      </c>
      <c r="E1313" t="str">
        <f>IFERROR(VLOOKUP($A1313,原始数据_收盘!$A$4:$G$3460,5,0),"")</f>
        <v/>
      </c>
      <c r="F1313" t="str">
        <f>IFERROR(VLOOKUP($A1313,原始数据_收盘!$A$4:$G$3460,6,0),"")</f>
        <v/>
      </c>
      <c r="G1313" t="str">
        <f>IFERROR(VLOOKUP($A1313,原始数据_收盘!$A$4:$G$3460,7,0),"")</f>
        <v/>
      </c>
      <c r="H1313">
        <f>IFERROR(VLOOKUP($A1313,原始数据_利率互换_FR007_1年!$A$6:$C$4395,2,0),"")</f>
        <v>4.214</v>
      </c>
      <c r="I1313">
        <f>IFERROR(VLOOKUP($A1313,原始数据_利率互换_FR007_1年!$A$6:$C$4395,3,0),"")</f>
        <v>3.79</v>
      </c>
    </row>
    <row r="1314" spans="1:9">
      <c r="A1314" s="6">
        <v>40807</v>
      </c>
      <c r="B1314" t="str">
        <f>IFERROR(VLOOKUP($A1314,原始数据_收盘!$A$4:$G$3460,2,0),"")</f>
        <v/>
      </c>
      <c r="C1314" t="str">
        <f>IFERROR(VLOOKUP($A1314,原始数据_收盘!$A$4:$G$3460,3,0),"")</f>
        <v/>
      </c>
      <c r="D1314" t="str">
        <f>IFERROR(VLOOKUP($A1314,原始数据_收盘!$A$4:$G$3460,4,0),"")</f>
        <v/>
      </c>
      <c r="E1314" t="str">
        <f>IFERROR(VLOOKUP($A1314,原始数据_收盘!$A$4:$G$3460,5,0),"")</f>
        <v/>
      </c>
      <c r="F1314" t="str">
        <f>IFERROR(VLOOKUP($A1314,原始数据_收盘!$A$4:$G$3460,6,0),"")</f>
        <v/>
      </c>
      <c r="G1314" t="str">
        <f>IFERROR(VLOOKUP($A1314,原始数据_收盘!$A$4:$G$3460,7,0),"")</f>
        <v/>
      </c>
      <c r="H1314">
        <f>IFERROR(VLOOKUP($A1314,原始数据_利率互换_FR007_1年!$A$6:$C$4395,2,0),"")</f>
        <v>4.1626</v>
      </c>
      <c r="I1314">
        <f>IFERROR(VLOOKUP($A1314,原始数据_利率互换_FR007_1年!$A$6:$C$4395,3,0),"")</f>
        <v>3.76</v>
      </c>
    </row>
    <row r="1315" spans="1:9">
      <c r="A1315" s="6">
        <v>40808</v>
      </c>
      <c r="B1315" t="str">
        <f>IFERROR(VLOOKUP($A1315,原始数据_收盘!$A$4:$G$3460,2,0),"")</f>
        <v/>
      </c>
      <c r="C1315" t="str">
        <f>IFERROR(VLOOKUP($A1315,原始数据_收盘!$A$4:$G$3460,3,0),"")</f>
        <v/>
      </c>
      <c r="D1315" t="str">
        <f>IFERROR(VLOOKUP($A1315,原始数据_收盘!$A$4:$G$3460,4,0),"")</f>
        <v/>
      </c>
      <c r="E1315" t="str">
        <f>IFERROR(VLOOKUP($A1315,原始数据_收盘!$A$4:$G$3460,5,0),"")</f>
        <v/>
      </c>
      <c r="F1315" t="str">
        <f>IFERROR(VLOOKUP($A1315,原始数据_收盘!$A$4:$G$3460,6,0),"")</f>
        <v/>
      </c>
      <c r="G1315" t="str">
        <f>IFERROR(VLOOKUP($A1315,原始数据_收盘!$A$4:$G$3460,7,0),"")</f>
        <v/>
      </c>
      <c r="H1315">
        <f>IFERROR(VLOOKUP($A1315,原始数据_利率互换_FR007_1年!$A$6:$C$4395,2,0),"")</f>
        <v>4.0673</v>
      </c>
      <c r="I1315">
        <f>IFERROR(VLOOKUP($A1315,原始数据_利率互换_FR007_1年!$A$6:$C$4395,3,0),"")</f>
        <v>3.7003</v>
      </c>
    </row>
    <row r="1316" spans="1:9">
      <c r="A1316" s="6">
        <v>40809</v>
      </c>
      <c r="B1316" t="str">
        <f>IFERROR(VLOOKUP($A1316,原始数据_收盘!$A$4:$G$3460,2,0),"")</f>
        <v/>
      </c>
      <c r="C1316" t="str">
        <f>IFERROR(VLOOKUP($A1316,原始数据_收盘!$A$4:$G$3460,3,0),"")</f>
        <v/>
      </c>
      <c r="D1316" t="str">
        <f>IFERROR(VLOOKUP($A1316,原始数据_收盘!$A$4:$G$3460,4,0),"")</f>
        <v/>
      </c>
      <c r="E1316" t="str">
        <f>IFERROR(VLOOKUP($A1316,原始数据_收盘!$A$4:$G$3460,5,0),"")</f>
        <v/>
      </c>
      <c r="F1316" t="str">
        <f>IFERROR(VLOOKUP($A1316,原始数据_收盘!$A$4:$G$3460,6,0),"")</f>
        <v/>
      </c>
      <c r="G1316" t="str">
        <f>IFERROR(VLOOKUP($A1316,原始数据_收盘!$A$4:$G$3460,7,0),"")</f>
        <v/>
      </c>
      <c r="H1316">
        <f>IFERROR(VLOOKUP($A1316,原始数据_利率互换_FR007_1年!$A$6:$C$4395,2,0),"")</f>
        <v>3.9146</v>
      </c>
      <c r="I1316">
        <f>IFERROR(VLOOKUP($A1316,原始数据_利率互换_FR007_1年!$A$6:$C$4395,3,0),"")</f>
        <v>3.6763</v>
      </c>
    </row>
    <row r="1317" spans="1:9">
      <c r="A1317" s="6">
        <v>40810</v>
      </c>
      <c r="B1317" t="str">
        <f>IFERROR(VLOOKUP($A1317,原始数据_收盘!$A$4:$G$3460,2,0),"")</f>
        <v/>
      </c>
      <c r="C1317" t="str">
        <f>IFERROR(VLOOKUP($A1317,原始数据_收盘!$A$4:$G$3460,3,0),"")</f>
        <v/>
      </c>
      <c r="D1317" t="str">
        <f>IFERROR(VLOOKUP($A1317,原始数据_收盘!$A$4:$G$3460,4,0),"")</f>
        <v/>
      </c>
      <c r="E1317" t="str">
        <f>IFERROR(VLOOKUP($A1317,原始数据_收盘!$A$4:$G$3460,5,0),"")</f>
        <v/>
      </c>
      <c r="F1317" t="str">
        <f>IFERROR(VLOOKUP($A1317,原始数据_收盘!$A$4:$G$3460,6,0),"")</f>
        <v/>
      </c>
      <c r="G1317" t="str">
        <f>IFERROR(VLOOKUP($A1317,原始数据_收盘!$A$4:$G$3460,7,0),"")</f>
        <v/>
      </c>
      <c r="H1317" t="str">
        <f>IFERROR(VLOOKUP($A1317,原始数据_利率互换_FR007_1年!$A$6:$C$4395,2,0),"")</f>
        <v/>
      </c>
      <c r="I1317" t="str">
        <f>IFERROR(VLOOKUP($A1317,原始数据_利率互换_FR007_1年!$A$6:$C$4395,3,0),"")</f>
        <v/>
      </c>
    </row>
    <row r="1318" spans="1:9">
      <c r="A1318" s="6">
        <v>40811</v>
      </c>
      <c r="B1318" t="str">
        <f>IFERROR(VLOOKUP($A1318,原始数据_收盘!$A$4:$G$3460,2,0),"")</f>
        <v/>
      </c>
      <c r="C1318" t="str">
        <f>IFERROR(VLOOKUP($A1318,原始数据_收盘!$A$4:$G$3460,3,0),"")</f>
        <v/>
      </c>
      <c r="D1318" t="str">
        <f>IFERROR(VLOOKUP($A1318,原始数据_收盘!$A$4:$G$3460,4,0),"")</f>
        <v/>
      </c>
      <c r="E1318" t="str">
        <f>IFERROR(VLOOKUP($A1318,原始数据_收盘!$A$4:$G$3460,5,0),"")</f>
        <v/>
      </c>
      <c r="F1318" t="str">
        <f>IFERROR(VLOOKUP($A1318,原始数据_收盘!$A$4:$G$3460,6,0),"")</f>
        <v/>
      </c>
      <c r="G1318" t="str">
        <f>IFERROR(VLOOKUP($A1318,原始数据_收盘!$A$4:$G$3460,7,0),"")</f>
        <v/>
      </c>
      <c r="H1318" t="str">
        <f>IFERROR(VLOOKUP($A1318,原始数据_利率互换_FR007_1年!$A$6:$C$4395,2,0),"")</f>
        <v/>
      </c>
      <c r="I1318" t="str">
        <f>IFERROR(VLOOKUP($A1318,原始数据_利率互换_FR007_1年!$A$6:$C$4395,3,0),"")</f>
        <v/>
      </c>
    </row>
    <row r="1319" spans="1:9">
      <c r="A1319" s="6">
        <v>40812</v>
      </c>
      <c r="B1319" t="str">
        <f>IFERROR(VLOOKUP($A1319,原始数据_收盘!$A$4:$G$3460,2,0),"")</f>
        <v/>
      </c>
      <c r="C1319" t="str">
        <f>IFERROR(VLOOKUP($A1319,原始数据_收盘!$A$4:$G$3460,3,0),"")</f>
        <v/>
      </c>
      <c r="D1319" t="str">
        <f>IFERROR(VLOOKUP($A1319,原始数据_收盘!$A$4:$G$3460,4,0),"")</f>
        <v/>
      </c>
      <c r="E1319" t="str">
        <f>IFERROR(VLOOKUP($A1319,原始数据_收盘!$A$4:$G$3460,5,0),"")</f>
        <v/>
      </c>
      <c r="F1319" t="str">
        <f>IFERROR(VLOOKUP($A1319,原始数据_收盘!$A$4:$G$3460,6,0),"")</f>
        <v/>
      </c>
      <c r="G1319" t="str">
        <f>IFERROR(VLOOKUP($A1319,原始数据_收盘!$A$4:$G$3460,7,0),"")</f>
        <v/>
      </c>
      <c r="H1319">
        <f>IFERROR(VLOOKUP($A1319,原始数据_利率互换_FR007_1年!$A$6:$C$4395,2,0),"")</f>
        <v>3.8224</v>
      </c>
      <c r="I1319">
        <f>IFERROR(VLOOKUP($A1319,原始数据_利率互换_FR007_1年!$A$6:$C$4395,3,0),"")</f>
        <v>3.62</v>
      </c>
    </row>
    <row r="1320" spans="1:9">
      <c r="A1320" s="6">
        <v>40813</v>
      </c>
      <c r="B1320" t="str">
        <f>IFERROR(VLOOKUP($A1320,原始数据_收盘!$A$4:$G$3460,2,0),"")</f>
        <v/>
      </c>
      <c r="C1320" t="str">
        <f>IFERROR(VLOOKUP($A1320,原始数据_收盘!$A$4:$G$3460,3,0),"")</f>
        <v/>
      </c>
      <c r="D1320" t="str">
        <f>IFERROR(VLOOKUP($A1320,原始数据_收盘!$A$4:$G$3460,4,0),"")</f>
        <v/>
      </c>
      <c r="E1320" t="str">
        <f>IFERROR(VLOOKUP($A1320,原始数据_收盘!$A$4:$G$3460,5,0),"")</f>
        <v/>
      </c>
      <c r="F1320" t="str">
        <f>IFERROR(VLOOKUP($A1320,原始数据_收盘!$A$4:$G$3460,6,0),"")</f>
        <v/>
      </c>
      <c r="G1320" t="str">
        <f>IFERROR(VLOOKUP($A1320,原始数据_收盘!$A$4:$G$3460,7,0),"")</f>
        <v/>
      </c>
      <c r="H1320">
        <f>IFERROR(VLOOKUP($A1320,原始数据_利率互换_FR007_1年!$A$6:$C$4395,2,0),"")</f>
        <v>3.8409</v>
      </c>
      <c r="I1320">
        <f>IFERROR(VLOOKUP($A1320,原始数据_利率互换_FR007_1年!$A$6:$C$4395,3,0),"")</f>
        <v>3.6854</v>
      </c>
    </row>
    <row r="1321" spans="1:9">
      <c r="A1321" s="6">
        <v>40814</v>
      </c>
      <c r="B1321" t="str">
        <f>IFERROR(VLOOKUP($A1321,原始数据_收盘!$A$4:$G$3460,2,0),"")</f>
        <v/>
      </c>
      <c r="C1321" t="str">
        <f>IFERROR(VLOOKUP($A1321,原始数据_收盘!$A$4:$G$3460,3,0),"")</f>
        <v/>
      </c>
      <c r="D1321" t="str">
        <f>IFERROR(VLOOKUP($A1321,原始数据_收盘!$A$4:$G$3460,4,0),"")</f>
        <v/>
      </c>
      <c r="E1321" t="str">
        <f>IFERROR(VLOOKUP($A1321,原始数据_收盘!$A$4:$G$3460,5,0),"")</f>
        <v/>
      </c>
      <c r="F1321" t="str">
        <f>IFERROR(VLOOKUP($A1321,原始数据_收盘!$A$4:$G$3460,6,0),"")</f>
        <v/>
      </c>
      <c r="G1321" t="str">
        <f>IFERROR(VLOOKUP($A1321,原始数据_收盘!$A$4:$G$3460,7,0),"")</f>
        <v/>
      </c>
      <c r="H1321">
        <f>IFERROR(VLOOKUP($A1321,原始数据_利率互换_FR007_1年!$A$6:$C$4395,2,0),"")</f>
        <v>3.9</v>
      </c>
      <c r="I1321">
        <f>IFERROR(VLOOKUP($A1321,原始数据_利率互换_FR007_1年!$A$6:$C$4395,3,0),"")</f>
        <v>3.658</v>
      </c>
    </row>
    <row r="1322" spans="1:9">
      <c r="A1322" s="6">
        <v>40815</v>
      </c>
      <c r="B1322" t="str">
        <f>IFERROR(VLOOKUP($A1322,原始数据_收盘!$A$4:$G$3460,2,0),"")</f>
        <v/>
      </c>
      <c r="C1322" t="str">
        <f>IFERROR(VLOOKUP($A1322,原始数据_收盘!$A$4:$G$3460,3,0),"")</f>
        <v/>
      </c>
      <c r="D1322" t="str">
        <f>IFERROR(VLOOKUP($A1322,原始数据_收盘!$A$4:$G$3460,4,0),"")</f>
        <v/>
      </c>
      <c r="E1322" t="str">
        <f>IFERROR(VLOOKUP($A1322,原始数据_收盘!$A$4:$G$3460,5,0),"")</f>
        <v/>
      </c>
      <c r="F1322" t="str">
        <f>IFERROR(VLOOKUP($A1322,原始数据_收盘!$A$4:$G$3460,6,0),"")</f>
        <v/>
      </c>
      <c r="G1322" t="str">
        <f>IFERROR(VLOOKUP($A1322,原始数据_收盘!$A$4:$G$3460,7,0),"")</f>
        <v/>
      </c>
      <c r="H1322">
        <f>IFERROR(VLOOKUP($A1322,原始数据_利率互换_FR007_1年!$A$6:$C$4395,2,0),"")</f>
        <v>0</v>
      </c>
      <c r="I1322">
        <f>IFERROR(VLOOKUP($A1322,原始数据_利率互换_FR007_1年!$A$6:$C$4395,3,0),"")</f>
        <v>3.65</v>
      </c>
    </row>
    <row r="1323" spans="1:9">
      <c r="A1323" s="6">
        <v>40816</v>
      </c>
      <c r="B1323" t="str">
        <f>IFERROR(VLOOKUP($A1323,原始数据_收盘!$A$4:$G$3460,2,0),"")</f>
        <v/>
      </c>
      <c r="C1323" t="str">
        <f>IFERROR(VLOOKUP($A1323,原始数据_收盘!$A$4:$G$3460,3,0),"")</f>
        <v/>
      </c>
      <c r="D1323" t="str">
        <f>IFERROR(VLOOKUP($A1323,原始数据_收盘!$A$4:$G$3460,4,0),"")</f>
        <v/>
      </c>
      <c r="E1323" t="str">
        <f>IFERROR(VLOOKUP($A1323,原始数据_收盘!$A$4:$G$3460,5,0),"")</f>
        <v/>
      </c>
      <c r="F1323" t="str">
        <f>IFERROR(VLOOKUP($A1323,原始数据_收盘!$A$4:$G$3460,6,0),"")</f>
        <v/>
      </c>
      <c r="G1323" t="str">
        <f>IFERROR(VLOOKUP($A1323,原始数据_收盘!$A$4:$G$3460,7,0),"")</f>
        <v/>
      </c>
      <c r="H1323">
        <f>IFERROR(VLOOKUP($A1323,原始数据_利率互换_FR007_1年!$A$6:$C$4395,2,0),"")</f>
        <v>3.7875</v>
      </c>
      <c r="I1323">
        <f>IFERROR(VLOOKUP($A1323,原始数据_利率互换_FR007_1年!$A$6:$C$4395,3,0),"")</f>
        <v>3.5883</v>
      </c>
    </row>
    <row r="1324" spans="1:9">
      <c r="A1324" s="6">
        <v>40817</v>
      </c>
      <c r="B1324" t="str">
        <f>IFERROR(VLOOKUP($A1324,原始数据_收盘!$A$4:$G$3460,2,0),"")</f>
        <v/>
      </c>
      <c r="C1324" t="str">
        <f>IFERROR(VLOOKUP($A1324,原始数据_收盘!$A$4:$G$3460,3,0),"")</f>
        <v/>
      </c>
      <c r="D1324" t="str">
        <f>IFERROR(VLOOKUP($A1324,原始数据_收盘!$A$4:$G$3460,4,0),"")</f>
        <v/>
      </c>
      <c r="E1324" t="str">
        <f>IFERROR(VLOOKUP($A1324,原始数据_收盘!$A$4:$G$3460,5,0),"")</f>
        <v/>
      </c>
      <c r="F1324" t="str">
        <f>IFERROR(VLOOKUP($A1324,原始数据_收盘!$A$4:$G$3460,6,0),"")</f>
        <v/>
      </c>
      <c r="G1324" t="str">
        <f>IFERROR(VLOOKUP($A1324,原始数据_收盘!$A$4:$G$3460,7,0),"")</f>
        <v/>
      </c>
      <c r="H1324" t="str">
        <f>IFERROR(VLOOKUP($A1324,原始数据_利率互换_FR007_1年!$A$6:$C$4395,2,0),"")</f>
        <v/>
      </c>
      <c r="I1324" t="str">
        <f>IFERROR(VLOOKUP($A1324,原始数据_利率互换_FR007_1年!$A$6:$C$4395,3,0),"")</f>
        <v/>
      </c>
    </row>
    <row r="1325" spans="1:9">
      <c r="A1325" s="6">
        <v>40818</v>
      </c>
      <c r="B1325" t="str">
        <f>IFERROR(VLOOKUP($A1325,原始数据_收盘!$A$4:$G$3460,2,0),"")</f>
        <v/>
      </c>
      <c r="C1325" t="str">
        <f>IFERROR(VLOOKUP($A1325,原始数据_收盘!$A$4:$G$3460,3,0),"")</f>
        <v/>
      </c>
      <c r="D1325" t="str">
        <f>IFERROR(VLOOKUP($A1325,原始数据_收盘!$A$4:$G$3460,4,0),"")</f>
        <v/>
      </c>
      <c r="E1325" t="str">
        <f>IFERROR(VLOOKUP($A1325,原始数据_收盘!$A$4:$G$3460,5,0),"")</f>
        <v/>
      </c>
      <c r="F1325" t="str">
        <f>IFERROR(VLOOKUP($A1325,原始数据_收盘!$A$4:$G$3460,6,0),"")</f>
        <v/>
      </c>
      <c r="G1325" t="str">
        <f>IFERROR(VLOOKUP($A1325,原始数据_收盘!$A$4:$G$3460,7,0),"")</f>
        <v/>
      </c>
      <c r="H1325" t="str">
        <f>IFERROR(VLOOKUP($A1325,原始数据_利率互换_FR007_1年!$A$6:$C$4395,2,0),"")</f>
        <v/>
      </c>
      <c r="I1325" t="str">
        <f>IFERROR(VLOOKUP($A1325,原始数据_利率互换_FR007_1年!$A$6:$C$4395,3,0),"")</f>
        <v/>
      </c>
    </row>
    <row r="1326" spans="1:9">
      <c r="A1326" s="6">
        <v>40819</v>
      </c>
      <c r="B1326" t="str">
        <f>IFERROR(VLOOKUP($A1326,原始数据_收盘!$A$4:$G$3460,2,0),"")</f>
        <v/>
      </c>
      <c r="C1326" t="str">
        <f>IFERROR(VLOOKUP($A1326,原始数据_收盘!$A$4:$G$3460,3,0),"")</f>
        <v/>
      </c>
      <c r="D1326" t="str">
        <f>IFERROR(VLOOKUP($A1326,原始数据_收盘!$A$4:$G$3460,4,0),"")</f>
        <v/>
      </c>
      <c r="E1326" t="str">
        <f>IFERROR(VLOOKUP($A1326,原始数据_收盘!$A$4:$G$3460,5,0),"")</f>
        <v/>
      </c>
      <c r="F1326" t="str">
        <f>IFERROR(VLOOKUP($A1326,原始数据_收盘!$A$4:$G$3460,6,0),"")</f>
        <v/>
      </c>
      <c r="G1326" t="str">
        <f>IFERROR(VLOOKUP($A1326,原始数据_收盘!$A$4:$G$3460,7,0),"")</f>
        <v/>
      </c>
      <c r="H1326" t="str">
        <f>IFERROR(VLOOKUP($A1326,原始数据_利率互换_FR007_1年!$A$6:$C$4395,2,0),"")</f>
        <v/>
      </c>
      <c r="I1326" t="str">
        <f>IFERROR(VLOOKUP($A1326,原始数据_利率互换_FR007_1年!$A$6:$C$4395,3,0),"")</f>
        <v/>
      </c>
    </row>
    <row r="1327" spans="1:9">
      <c r="A1327" s="6">
        <v>40820</v>
      </c>
      <c r="B1327" t="str">
        <f>IFERROR(VLOOKUP($A1327,原始数据_收盘!$A$4:$G$3460,2,0),"")</f>
        <v/>
      </c>
      <c r="C1327" t="str">
        <f>IFERROR(VLOOKUP($A1327,原始数据_收盘!$A$4:$G$3460,3,0),"")</f>
        <v/>
      </c>
      <c r="D1327" t="str">
        <f>IFERROR(VLOOKUP($A1327,原始数据_收盘!$A$4:$G$3460,4,0),"")</f>
        <v/>
      </c>
      <c r="E1327" t="str">
        <f>IFERROR(VLOOKUP($A1327,原始数据_收盘!$A$4:$G$3460,5,0),"")</f>
        <v/>
      </c>
      <c r="F1327" t="str">
        <f>IFERROR(VLOOKUP($A1327,原始数据_收盘!$A$4:$G$3460,6,0),"")</f>
        <v/>
      </c>
      <c r="G1327" t="str">
        <f>IFERROR(VLOOKUP($A1327,原始数据_收盘!$A$4:$G$3460,7,0),"")</f>
        <v/>
      </c>
      <c r="H1327" t="str">
        <f>IFERROR(VLOOKUP($A1327,原始数据_利率互换_FR007_1年!$A$6:$C$4395,2,0),"")</f>
        <v/>
      </c>
      <c r="I1327" t="str">
        <f>IFERROR(VLOOKUP($A1327,原始数据_利率互换_FR007_1年!$A$6:$C$4395,3,0),"")</f>
        <v/>
      </c>
    </row>
    <row r="1328" spans="1:9">
      <c r="A1328" s="6">
        <v>40821</v>
      </c>
      <c r="B1328" t="str">
        <f>IFERROR(VLOOKUP($A1328,原始数据_收盘!$A$4:$G$3460,2,0),"")</f>
        <v/>
      </c>
      <c r="C1328" t="str">
        <f>IFERROR(VLOOKUP($A1328,原始数据_收盘!$A$4:$G$3460,3,0),"")</f>
        <v/>
      </c>
      <c r="D1328" t="str">
        <f>IFERROR(VLOOKUP($A1328,原始数据_收盘!$A$4:$G$3460,4,0),"")</f>
        <v/>
      </c>
      <c r="E1328" t="str">
        <f>IFERROR(VLOOKUP($A1328,原始数据_收盘!$A$4:$G$3460,5,0),"")</f>
        <v/>
      </c>
      <c r="F1328" t="str">
        <f>IFERROR(VLOOKUP($A1328,原始数据_收盘!$A$4:$G$3460,6,0),"")</f>
        <v/>
      </c>
      <c r="G1328" t="str">
        <f>IFERROR(VLOOKUP($A1328,原始数据_收盘!$A$4:$G$3460,7,0),"")</f>
        <v/>
      </c>
      <c r="H1328" t="str">
        <f>IFERROR(VLOOKUP($A1328,原始数据_利率互换_FR007_1年!$A$6:$C$4395,2,0),"")</f>
        <v/>
      </c>
      <c r="I1328" t="str">
        <f>IFERROR(VLOOKUP($A1328,原始数据_利率互换_FR007_1年!$A$6:$C$4395,3,0),"")</f>
        <v/>
      </c>
    </row>
    <row r="1329" spans="1:9">
      <c r="A1329" s="6">
        <v>40822</v>
      </c>
      <c r="B1329" t="str">
        <f>IFERROR(VLOOKUP($A1329,原始数据_收盘!$A$4:$G$3460,2,0),"")</f>
        <v/>
      </c>
      <c r="C1329" t="str">
        <f>IFERROR(VLOOKUP($A1329,原始数据_收盘!$A$4:$G$3460,3,0),"")</f>
        <v/>
      </c>
      <c r="D1329" t="str">
        <f>IFERROR(VLOOKUP($A1329,原始数据_收盘!$A$4:$G$3460,4,0),"")</f>
        <v/>
      </c>
      <c r="E1329" t="str">
        <f>IFERROR(VLOOKUP($A1329,原始数据_收盘!$A$4:$G$3460,5,0),"")</f>
        <v/>
      </c>
      <c r="F1329" t="str">
        <f>IFERROR(VLOOKUP($A1329,原始数据_收盘!$A$4:$G$3460,6,0),"")</f>
        <v/>
      </c>
      <c r="G1329" t="str">
        <f>IFERROR(VLOOKUP($A1329,原始数据_收盘!$A$4:$G$3460,7,0),"")</f>
        <v/>
      </c>
      <c r="H1329" t="str">
        <f>IFERROR(VLOOKUP($A1329,原始数据_利率互换_FR007_1年!$A$6:$C$4395,2,0),"")</f>
        <v/>
      </c>
      <c r="I1329" t="str">
        <f>IFERROR(VLOOKUP($A1329,原始数据_利率互换_FR007_1年!$A$6:$C$4395,3,0),"")</f>
        <v/>
      </c>
    </row>
    <row r="1330" spans="1:9">
      <c r="A1330" s="6">
        <v>40823</v>
      </c>
      <c r="B1330" t="str">
        <f>IFERROR(VLOOKUP($A1330,原始数据_收盘!$A$4:$G$3460,2,0),"")</f>
        <v/>
      </c>
      <c r="C1330" t="str">
        <f>IFERROR(VLOOKUP($A1330,原始数据_收盘!$A$4:$G$3460,3,0),"")</f>
        <v/>
      </c>
      <c r="D1330" t="str">
        <f>IFERROR(VLOOKUP($A1330,原始数据_收盘!$A$4:$G$3460,4,0),"")</f>
        <v/>
      </c>
      <c r="E1330" t="str">
        <f>IFERROR(VLOOKUP($A1330,原始数据_收盘!$A$4:$G$3460,5,0),"")</f>
        <v/>
      </c>
      <c r="F1330" t="str">
        <f>IFERROR(VLOOKUP($A1330,原始数据_收盘!$A$4:$G$3460,6,0),"")</f>
        <v/>
      </c>
      <c r="G1330" t="str">
        <f>IFERROR(VLOOKUP($A1330,原始数据_收盘!$A$4:$G$3460,7,0),"")</f>
        <v/>
      </c>
      <c r="H1330" t="str">
        <f>IFERROR(VLOOKUP($A1330,原始数据_利率互换_FR007_1年!$A$6:$C$4395,2,0),"")</f>
        <v/>
      </c>
      <c r="I1330" t="str">
        <f>IFERROR(VLOOKUP($A1330,原始数据_利率互换_FR007_1年!$A$6:$C$4395,3,0),"")</f>
        <v/>
      </c>
    </row>
    <row r="1331" spans="1:9">
      <c r="A1331" s="6">
        <v>40824</v>
      </c>
      <c r="B1331" t="str">
        <f>IFERROR(VLOOKUP($A1331,原始数据_收盘!$A$4:$G$3460,2,0),"")</f>
        <v/>
      </c>
      <c r="C1331" t="str">
        <f>IFERROR(VLOOKUP($A1331,原始数据_收盘!$A$4:$G$3460,3,0),"")</f>
        <v/>
      </c>
      <c r="D1331" t="str">
        <f>IFERROR(VLOOKUP($A1331,原始数据_收盘!$A$4:$G$3460,4,0),"")</f>
        <v/>
      </c>
      <c r="E1331" t="str">
        <f>IFERROR(VLOOKUP($A1331,原始数据_收盘!$A$4:$G$3460,5,0),"")</f>
        <v/>
      </c>
      <c r="F1331" t="str">
        <f>IFERROR(VLOOKUP($A1331,原始数据_收盘!$A$4:$G$3460,6,0),"")</f>
        <v/>
      </c>
      <c r="G1331" t="str">
        <f>IFERROR(VLOOKUP($A1331,原始数据_收盘!$A$4:$G$3460,7,0),"")</f>
        <v/>
      </c>
      <c r="H1331" t="str">
        <f>IFERROR(VLOOKUP($A1331,原始数据_利率互换_FR007_1年!$A$6:$C$4395,2,0),"")</f>
        <v/>
      </c>
      <c r="I1331" t="str">
        <f>IFERROR(VLOOKUP($A1331,原始数据_利率互换_FR007_1年!$A$6:$C$4395,3,0),"")</f>
        <v/>
      </c>
    </row>
    <row r="1332" spans="1:9">
      <c r="A1332" s="6">
        <v>40825</v>
      </c>
      <c r="B1332" t="str">
        <f>IFERROR(VLOOKUP($A1332,原始数据_收盘!$A$4:$G$3460,2,0),"")</f>
        <v/>
      </c>
      <c r="C1332" t="str">
        <f>IFERROR(VLOOKUP($A1332,原始数据_收盘!$A$4:$G$3460,3,0),"")</f>
        <v/>
      </c>
      <c r="D1332" t="str">
        <f>IFERROR(VLOOKUP($A1332,原始数据_收盘!$A$4:$G$3460,4,0),"")</f>
        <v/>
      </c>
      <c r="E1332" t="str">
        <f>IFERROR(VLOOKUP($A1332,原始数据_收盘!$A$4:$G$3460,5,0),"")</f>
        <v/>
      </c>
      <c r="F1332" t="str">
        <f>IFERROR(VLOOKUP($A1332,原始数据_收盘!$A$4:$G$3460,6,0),"")</f>
        <v/>
      </c>
      <c r="G1332" t="str">
        <f>IFERROR(VLOOKUP($A1332,原始数据_收盘!$A$4:$G$3460,7,0),"")</f>
        <v/>
      </c>
      <c r="H1332" t="str">
        <f>IFERROR(VLOOKUP($A1332,原始数据_利率互换_FR007_1年!$A$6:$C$4395,2,0),"")</f>
        <v/>
      </c>
      <c r="I1332" t="str">
        <f>IFERROR(VLOOKUP($A1332,原始数据_利率互换_FR007_1年!$A$6:$C$4395,3,0),"")</f>
        <v/>
      </c>
    </row>
    <row r="1333" spans="1:9">
      <c r="A1333" s="6">
        <v>40826</v>
      </c>
      <c r="B1333" t="str">
        <f>IFERROR(VLOOKUP($A1333,原始数据_收盘!$A$4:$G$3460,2,0),"")</f>
        <v/>
      </c>
      <c r="C1333" t="str">
        <f>IFERROR(VLOOKUP($A1333,原始数据_收盘!$A$4:$G$3460,3,0),"")</f>
        <v/>
      </c>
      <c r="D1333" t="str">
        <f>IFERROR(VLOOKUP($A1333,原始数据_收盘!$A$4:$G$3460,4,0),"")</f>
        <v/>
      </c>
      <c r="E1333" t="str">
        <f>IFERROR(VLOOKUP($A1333,原始数据_收盘!$A$4:$G$3460,5,0),"")</f>
        <v/>
      </c>
      <c r="F1333" t="str">
        <f>IFERROR(VLOOKUP($A1333,原始数据_收盘!$A$4:$G$3460,6,0),"")</f>
        <v/>
      </c>
      <c r="G1333" t="str">
        <f>IFERROR(VLOOKUP($A1333,原始数据_收盘!$A$4:$G$3460,7,0),"")</f>
        <v/>
      </c>
      <c r="H1333">
        <f>IFERROR(VLOOKUP($A1333,原始数据_利率互换_FR007_1年!$A$6:$C$4395,2,0),"")</f>
        <v>3.7125</v>
      </c>
      <c r="I1333">
        <f>IFERROR(VLOOKUP($A1333,原始数据_利率互换_FR007_1年!$A$6:$C$4395,3,0),"")</f>
        <v>3.5867</v>
      </c>
    </row>
    <row r="1334" spans="1:9">
      <c r="A1334" s="6">
        <v>40827</v>
      </c>
      <c r="B1334" t="str">
        <f>IFERROR(VLOOKUP($A1334,原始数据_收盘!$A$4:$G$3460,2,0),"")</f>
        <v/>
      </c>
      <c r="C1334" t="str">
        <f>IFERROR(VLOOKUP($A1334,原始数据_收盘!$A$4:$G$3460,3,0),"")</f>
        <v/>
      </c>
      <c r="D1334" t="str">
        <f>IFERROR(VLOOKUP($A1334,原始数据_收盘!$A$4:$G$3460,4,0),"")</f>
        <v/>
      </c>
      <c r="E1334" t="str">
        <f>IFERROR(VLOOKUP($A1334,原始数据_收盘!$A$4:$G$3460,5,0),"")</f>
        <v/>
      </c>
      <c r="F1334" t="str">
        <f>IFERROR(VLOOKUP($A1334,原始数据_收盘!$A$4:$G$3460,6,0),"")</f>
        <v/>
      </c>
      <c r="G1334" t="str">
        <f>IFERROR(VLOOKUP($A1334,原始数据_收盘!$A$4:$G$3460,7,0),"")</f>
        <v/>
      </c>
      <c r="H1334">
        <f>IFERROR(VLOOKUP($A1334,原始数据_利率互换_FR007_1年!$A$6:$C$4395,2,0),"")</f>
        <v>3.7025</v>
      </c>
      <c r="I1334">
        <f>IFERROR(VLOOKUP($A1334,原始数据_利率互换_FR007_1年!$A$6:$C$4395,3,0),"")</f>
        <v>3.5888</v>
      </c>
    </row>
    <row r="1335" spans="1:9">
      <c r="A1335" s="6">
        <v>40828</v>
      </c>
      <c r="B1335" t="str">
        <f>IFERROR(VLOOKUP($A1335,原始数据_收盘!$A$4:$G$3460,2,0),"")</f>
        <v/>
      </c>
      <c r="C1335" t="str">
        <f>IFERROR(VLOOKUP($A1335,原始数据_收盘!$A$4:$G$3460,3,0),"")</f>
        <v/>
      </c>
      <c r="D1335" t="str">
        <f>IFERROR(VLOOKUP($A1335,原始数据_收盘!$A$4:$G$3460,4,0),"")</f>
        <v/>
      </c>
      <c r="E1335" t="str">
        <f>IFERROR(VLOOKUP($A1335,原始数据_收盘!$A$4:$G$3460,5,0),"")</f>
        <v/>
      </c>
      <c r="F1335" t="str">
        <f>IFERROR(VLOOKUP($A1335,原始数据_收盘!$A$4:$G$3460,6,0),"")</f>
        <v/>
      </c>
      <c r="G1335" t="str">
        <f>IFERROR(VLOOKUP($A1335,原始数据_收盘!$A$4:$G$3460,7,0),"")</f>
        <v/>
      </c>
      <c r="H1335">
        <f>IFERROR(VLOOKUP($A1335,原始数据_利率互换_FR007_1年!$A$6:$C$4395,2,0),"")</f>
        <v>3.5847</v>
      </c>
      <c r="I1335">
        <f>IFERROR(VLOOKUP($A1335,原始数据_利率互换_FR007_1年!$A$6:$C$4395,3,0),"")</f>
        <v>3.57</v>
      </c>
    </row>
    <row r="1336" spans="1:9">
      <c r="A1336" s="6">
        <v>40829</v>
      </c>
      <c r="B1336" t="str">
        <f>IFERROR(VLOOKUP($A1336,原始数据_收盘!$A$4:$G$3460,2,0),"")</f>
        <v/>
      </c>
      <c r="C1336" t="str">
        <f>IFERROR(VLOOKUP($A1336,原始数据_收盘!$A$4:$G$3460,3,0),"")</f>
        <v/>
      </c>
      <c r="D1336" t="str">
        <f>IFERROR(VLOOKUP($A1336,原始数据_收盘!$A$4:$G$3460,4,0),"")</f>
        <v/>
      </c>
      <c r="E1336" t="str">
        <f>IFERROR(VLOOKUP($A1336,原始数据_收盘!$A$4:$G$3460,5,0),"")</f>
        <v/>
      </c>
      <c r="F1336" t="str">
        <f>IFERROR(VLOOKUP($A1336,原始数据_收盘!$A$4:$G$3460,6,0),"")</f>
        <v/>
      </c>
      <c r="G1336" t="str">
        <f>IFERROR(VLOOKUP($A1336,原始数据_收盘!$A$4:$G$3460,7,0),"")</f>
        <v/>
      </c>
      <c r="H1336">
        <f>IFERROR(VLOOKUP($A1336,原始数据_利率互换_FR007_1年!$A$6:$C$4395,2,0),"")</f>
        <v>3.5532</v>
      </c>
      <c r="I1336">
        <f>IFERROR(VLOOKUP($A1336,原始数据_利率互换_FR007_1年!$A$6:$C$4395,3,0),"")</f>
        <v>3.5972</v>
      </c>
    </row>
    <row r="1337" spans="1:9">
      <c r="A1337" s="6">
        <v>40830</v>
      </c>
      <c r="B1337" t="str">
        <f>IFERROR(VLOOKUP($A1337,原始数据_收盘!$A$4:$G$3460,2,0),"")</f>
        <v/>
      </c>
      <c r="C1337" t="str">
        <f>IFERROR(VLOOKUP($A1337,原始数据_收盘!$A$4:$G$3460,3,0),"")</f>
        <v/>
      </c>
      <c r="D1337" t="str">
        <f>IFERROR(VLOOKUP($A1337,原始数据_收盘!$A$4:$G$3460,4,0),"")</f>
        <v/>
      </c>
      <c r="E1337" t="str">
        <f>IFERROR(VLOOKUP($A1337,原始数据_收盘!$A$4:$G$3460,5,0),"")</f>
        <v/>
      </c>
      <c r="F1337" t="str">
        <f>IFERROR(VLOOKUP($A1337,原始数据_收盘!$A$4:$G$3460,6,0),"")</f>
        <v/>
      </c>
      <c r="G1337" t="str">
        <f>IFERROR(VLOOKUP($A1337,原始数据_收盘!$A$4:$G$3460,7,0),"")</f>
        <v/>
      </c>
      <c r="H1337">
        <f>IFERROR(VLOOKUP($A1337,原始数据_利率互换_FR007_1年!$A$6:$C$4395,2,0),"")</f>
        <v>3.4664</v>
      </c>
      <c r="I1337">
        <f>IFERROR(VLOOKUP($A1337,原始数据_利率互换_FR007_1年!$A$6:$C$4395,3,0),"")</f>
        <v>3.55</v>
      </c>
    </row>
    <row r="1338" spans="1:9">
      <c r="A1338" s="6">
        <v>40831</v>
      </c>
      <c r="B1338" t="str">
        <f>IFERROR(VLOOKUP($A1338,原始数据_收盘!$A$4:$G$3460,2,0),"")</f>
        <v/>
      </c>
      <c r="C1338" t="str">
        <f>IFERROR(VLOOKUP($A1338,原始数据_收盘!$A$4:$G$3460,3,0),"")</f>
        <v/>
      </c>
      <c r="D1338" t="str">
        <f>IFERROR(VLOOKUP($A1338,原始数据_收盘!$A$4:$G$3460,4,0),"")</f>
        <v/>
      </c>
      <c r="E1338" t="str">
        <f>IFERROR(VLOOKUP($A1338,原始数据_收盘!$A$4:$G$3460,5,0),"")</f>
        <v/>
      </c>
      <c r="F1338" t="str">
        <f>IFERROR(VLOOKUP($A1338,原始数据_收盘!$A$4:$G$3460,6,0),"")</f>
        <v/>
      </c>
      <c r="G1338" t="str">
        <f>IFERROR(VLOOKUP($A1338,原始数据_收盘!$A$4:$G$3460,7,0),"")</f>
        <v/>
      </c>
      <c r="H1338" t="str">
        <f>IFERROR(VLOOKUP($A1338,原始数据_利率互换_FR007_1年!$A$6:$C$4395,2,0),"")</f>
        <v/>
      </c>
      <c r="I1338" t="str">
        <f>IFERROR(VLOOKUP($A1338,原始数据_利率互换_FR007_1年!$A$6:$C$4395,3,0),"")</f>
        <v/>
      </c>
    </row>
    <row r="1339" spans="1:9">
      <c r="A1339" s="6">
        <v>40832</v>
      </c>
      <c r="B1339" t="str">
        <f>IFERROR(VLOOKUP($A1339,原始数据_收盘!$A$4:$G$3460,2,0),"")</f>
        <v/>
      </c>
      <c r="C1339" t="str">
        <f>IFERROR(VLOOKUP($A1339,原始数据_收盘!$A$4:$G$3460,3,0),"")</f>
        <v/>
      </c>
      <c r="D1339" t="str">
        <f>IFERROR(VLOOKUP($A1339,原始数据_收盘!$A$4:$G$3460,4,0),"")</f>
        <v/>
      </c>
      <c r="E1339" t="str">
        <f>IFERROR(VLOOKUP($A1339,原始数据_收盘!$A$4:$G$3460,5,0),"")</f>
        <v/>
      </c>
      <c r="F1339" t="str">
        <f>IFERROR(VLOOKUP($A1339,原始数据_收盘!$A$4:$G$3460,6,0),"")</f>
        <v/>
      </c>
      <c r="G1339" t="str">
        <f>IFERROR(VLOOKUP($A1339,原始数据_收盘!$A$4:$G$3460,7,0),"")</f>
        <v/>
      </c>
      <c r="H1339" t="str">
        <f>IFERROR(VLOOKUP($A1339,原始数据_利率互换_FR007_1年!$A$6:$C$4395,2,0),"")</f>
        <v/>
      </c>
      <c r="I1339" t="str">
        <f>IFERROR(VLOOKUP($A1339,原始数据_利率互换_FR007_1年!$A$6:$C$4395,3,0),"")</f>
        <v/>
      </c>
    </row>
    <row r="1340" spans="1:9">
      <c r="A1340" s="6">
        <v>40833</v>
      </c>
      <c r="B1340" t="str">
        <f>IFERROR(VLOOKUP($A1340,原始数据_收盘!$A$4:$G$3460,2,0),"")</f>
        <v/>
      </c>
      <c r="C1340" t="str">
        <f>IFERROR(VLOOKUP($A1340,原始数据_收盘!$A$4:$G$3460,3,0),"")</f>
        <v/>
      </c>
      <c r="D1340" t="str">
        <f>IFERROR(VLOOKUP($A1340,原始数据_收盘!$A$4:$G$3460,4,0),"")</f>
        <v/>
      </c>
      <c r="E1340" t="str">
        <f>IFERROR(VLOOKUP($A1340,原始数据_收盘!$A$4:$G$3460,5,0),"")</f>
        <v/>
      </c>
      <c r="F1340" t="str">
        <f>IFERROR(VLOOKUP($A1340,原始数据_收盘!$A$4:$G$3460,6,0),"")</f>
        <v/>
      </c>
      <c r="G1340" t="str">
        <f>IFERROR(VLOOKUP($A1340,原始数据_收盘!$A$4:$G$3460,7,0),"")</f>
        <v/>
      </c>
      <c r="H1340">
        <f>IFERROR(VLOOKUP($A1340,原始数据_利率互换_FR007_1年!$A$6:$C$4395,2,0),"")</f>
        <v>3.4638</v>
      </c>
      <c r="I1340">
        <f>IFERROR(VLOOKUP($A1340,原始数据_利率互换_FR007_1年!$A$6:$C$4395,3,0),"")</f>
        <v>0</v>
      </c>
    </row>
    <row r="1341" spans="1:9">
      <c r="A1341" s="6">
        <v>40834</v>
      </c>
      <c r="B1341" t="str">
        <f>IFERROR(VLOOKUP($A1341,原始数据_收盘!$A$4:$G$3460,2,0),"")</f>
        <v/>
      </c>
      <c r="C1341" t="str">
        <f>IFERROR(VLOOKUP($A1341,原始数据_收盘!$A$4:$G$3460,3,0),"")</f>
        <v/>
      </c>
      <c r="D1341" t="str">
        <f>IFERROR(VLOOKUP($A1341,原始数据_收盘!$A$4:$G$3460,4,0),"")</f>
        <v/>
      </c>
      <c r="E1341" t="str">
        <f>IFERROR(VLOOKUP($A1341,原始数据_收盘!$A$4:$G$3460,5,0),"")</f>
        <v/>
      </c>
      <c r="F1341" t="str">
        <f>IFERROR(VLOOKUP($A1341,原始数据_收盘!$A$4:$G$3460,6,0),"")</f>
        <v/>
      </c>
      <c r="G1341" t="str">
        <f>IFERROR(VLOOKUP($A1341,原始数据_收盘!$A$4:$G$3460,7,0),"")</f>
        <v/>
      </c>
      <c r="H1341">
        <f>IFERROR(VLOOKUP($A1341,原始数据_利率互换_FR007_1年!$A$6:$C$4395,2,0),"")</f>
        <v>3.4785</v>
      </c>
      <c r="I1341">
        <f>IFERROR(VLOOKUP($A1341,原始数据_利率互换_FR007_1年!$A$6:$C$4395,3,0),"")</f>
        <v>3.545</v>
      </c>
    </row>
    <row r="1342" spans="1:9">
      <c r="A1342" s="6">
        <v>40835</v>
      </c>
      <c r="B1342" t="str">
        <f>IFERROR(VLOOKUP($A1342,原始数据_收盘!$A$4:$G$3460,2,0),"")</f>
        <v/>
      </c>
      <c r="C1342" t="str">
        <f>IFERROR(VLOOKUP($A1342,原始数据_收盘!$A$4:$G$3460,3,0),"")</f>
        <v/>
      </c>
      <c r="D1342" t="str">
        <f>IFERROR(VLOOKUP($A1342,原始数据_收盘!$A$4:$G$3460,4,0),"")</f>
        <v/>
      </c>
      <c r="E1342" t="str">
        <f>IFERROR(VLOOKUP($A1342,原始数据_收盘!$A$4:$G$3460,5,0),"")</f>
        <v/>
      </c>
      <c r="F1342" t="str">
        <f>IFERROR(VLOOKUP($A1342,原始数据_收盘!$A$4:$G$3460,6,0),"")</f>
        <v/>
      </c>
      <c r="G1342" t="str">
        <f>IFERROR(VLOOKUP($A1342,原始数据_收盘!$A$4:$G$3460,7,0),"")</f>
        <v/>
      </c>
      <c r="H1342">
        <f>IFERROR(VLOOKUP($A1342,原始数据_利率互换_FR007_1年!$A$6:$C$4395,2,0),"")</f>
        <v>3.485</v>
      </c>
      <c r="I1342">
        <f>IFERROR(VLOOKUP($A1342,原始数据_利率互换_FR007_1年!$A$6:$C$4395,3,0),"")</f>
        <v>3.5388</v>
      </c>
    </row>
    <row r="1343" spans="1:9">
      <c r="A1343" s="6">
        <v>40836</v>
      </c>
      <c r="B1343" t="str">
        <f>IFERROR(VLOOKUP($A1343,原始数据_收盘!$A$4:$G$3460,2,0),"")</f>
        <v/>
      </c>
      <c r="C1343" t="str">
        <f>IFERROR(VLOOKUP($A1343,原始数据_收盘!$A$4:$G$3460,3,0),"")</f>
        <v/>
      </c>
      <c r="D1343" t="str">
        <f>IFERROR(VLOOKUP($A1343,原始数据_收盘!$A$4:$G$3460,4,0),"")</f>
        <v/>
      </c>
      <c r="E1343" t="str">
        <f>IFERROR(VLOOKUP($A1343,原始数据_收盘!$A$4:$G$3460,5,0),"")</f>
        <v/>
      </c>
      <c r="F1343" t="str">
        <f>IFERROR(VLOOKUP($A1343,原始数据_收盘!$A$4:$G$3460,6,0),"")</f>
        <v/>
      </c>
      <c r="G1343" t="str">
        <f>IFERROR(VLOOKUP($A1343,原始数据_收盘!$A$4:$G$3460,7,0),"")</f>
        <v/>
      </c>
      <c r="H1343">
        <f>IFERROR(VLOOKUP($A1343,原始数据_利率互换_FR007_1年!$A$6:$C$4395,2,0),"")</f>
        <v>3.4803</v>
      </c>
      <c r="I1343">
        <f>IFERROR(VLOOKUP($A1343,原始数据_利率互换_FR007_1年!$A$6:$C$4395,3,0),"")</f>
        <v>3.5359</v>
      </c>
    </row>
    <row r="1344" spans="1:9">
      <c r="A1344" s="6">
        <v>40837</v>
      </c>
      <c r="B1344" t="str">
        <f>IFERROR(VLOOKUP($A1344,原始数据_收盘!$A$4:$G$3460,2,0),"")</f>
        <v/>
      </c>
      <c r="C1344" t="str">
        <f>IFERROR(VLOOKUP($A1344,原始数据_收盘!$A$4:$G$3460,3,0),"")</f>
        <v/>
      </c>
      <c r="D1344" t="str">
        <f>IFERROR(VLOOKUP($A1344,原始数据_收盘!$A$4:$G$3460,4,0),"")</f>
        <v/>
      </c>
      <c r="E1344" t="str">
        <f>IFERROR(VLOOKUP($A1344,原始数据_收盘!$A$4:$G$3460,5,0),"")</f>
        <v/>
      </c>
      <c r="F1344" t="str">
        <f>IFERROR(VLOOKUP($A1344,原始数据_收盘!$A$4:$G$3460,6,0),"")</f>
        <v/>
      </c>
      <c r="G1344" t="str">
        <f>IFERROR(VLOOKUP($A1344,原始数据_收盘!$A$4:$G$3460,7,0),"")</f>
        <v/>
      </c>
      <c r="H1344">
        <f>IFERROR(VLOOKUP($A1344,原始数据_利率互换_FR007_1年!$A$6:$C$4395,2,0),"")</f>
        <v>3.4775</v>
      </c>
      <c r="I1344">
        <f>IFERROR(VLOOKUP($A1344,原始数据_利率互换_FR007_1年!$A$6:$C$4395,3,0),"")</f>
        <v>3.5658</v>
      </c>
    </row>
    <row r="1345" spans="1:9">
      <c r="A1345" s="6">
        <v>40838</v>
      </c>
      <c r="B1345" t="str">
        <f>IFERROR(VLOOKUP($A1345,原始数据_收盘!$A$4:$G$3460,2,0),"")</f>
        <v/>
      </c>
      <c r="C1345" t="str">
        <f>IFERROR(VLOOKUP($A1345,原始数据_收盘!$A$4:$G$3460,3,0),"")</f>
        <v/>
      </c>
      <c r="D1345" t="str">
        <f>IFERROR(VLOOKUP($A1345,原始数据_收盘!$A$4:$G$3460,4,0),"")</f>
        <v/>
      </c>
      <c r="E1345" t="str">
        <f>IFERROR(VLOOKUP($A1345,原始数据_收盘!$A$4:$G$3460,5,0),"")</f>
        <v/>
      </c>
      <c r="F1345" t="str">
        <f>IFERROR(VLOOKUP($A1345,原始数据_收盘!$A$4:$G$3460,6,0),"")</f>
        <v/>
      </c>
      <c r="G1345" t="str">
        <f>IFERROR(VLOOKUP($A1345,原始数据_收盘!$A$4:$G$3460,7,0),"")</f>
        <v/>
      </c>
      <c r="H1345" t="str">
        <f>IFERROR(VLOOKUP($A1345,原始数据_利率互换_FR007_1年!$A$6:$C$4395,2,0),"")</f>
        <v/>
      </c>
      <c r="I1345" t="str">
        <f>IFERROR(VLOOKUP($A1345,原始数据_利率互换_FR007_1年!$A$6:$C$4395,3,0),"")</f>
        <v/>
      </c>
    </row>
    <row r="1346" spans="1:9">
      <c r="A1346" s="6">
        <v>40839</v>
      </c>
      <c r="B1346" t="str">
        <f>IFERROR(VLOOKUP($A1346,原始数据_收盘!$A$4:$G$3460,2,0),"")</f>
        <v/>
      </c>
      <c r="C1346" t="str">
        <f>IFERROR(VLOOKUP($A1346,原始数据_收盘!$A$4:$G$3460,3,0),"")</f>
        <v/>
      </c>
      <c r="D1346" t="str">
        <f>IFERROR(VLOOKUP($A1346,原始数据_收盘!$A$4:$G$3460,4,0),"")</f>
        <v/>
      </c>
      <c r="E1346" t="str">
        <f>IFERROR(VLOOKUP($A1346,原始数据_收盘!$A$4:$G$3460,5,0),"")</f>
        <v/>
      </c>
      <c r="F1346" t="str">
        <f>IFERROR(VLOOKUP($A1346,原始数据_收盘!$A$4:$G$3460,6,0),"")</f>
        <v/>
      </c>
      <c r="G1346" t="str">
        <f>IFERROR(VLOOKUP($A1346,原始数据_收盘!$A$4:$G$3460,7,0),"")</f>
        <v/>
      </c>
      <c r="H1346" t="str">
        <f>IFERROR(VLOOKUP($A1346,原始数据_利率互换_FR007_1年!$A$6:$C$4395,2,0),"")</f>
        <v/>
      </c>
      <c r="I1346" t="str">
        <f>IFERROR(VLOOKUP($A1346,原始数据_利率互换_FR007_1年!$A$6:$C$4395,3,0),"")</f>
        <v/>
      </c>
    </row>
    <row r="1347" spans="1:9">
      <c r="A1347" s="6">
        <v>40840</v>
      </c>
      <c r="B1347" t="str">
        <f>IFERROR(VLOOKUP($A1347,原始数据_收盘!$A$4:$G$3460,2,0),"")</f>
        <v/>
      </c>
      <c r="C1347" t="str">
        <f>IFERROR(VLOOKUP($A1347,原始数据_收盘!$A$4:$G$3460,3,0),"")</f>
        <v/>
      </c>
      <c r="D1347" t="str">
        <f>IFERROR(VLOOKUP($A1347,原始数据_收盘!$A$4:$G$3460,4,0),"")</f>
        <v/>
      </c>
      <c r="E1347" t="str">
        <f>IFERROR(VLOOKUP($A1347,原始数据_收盘!$A$4:$G$3460,5,0),"")</f>
        <v/>
      </c>
      <c r="F1347" t="str">
        <f>IFERROR(VLOOKUP($A1347,原始数据_收盘!$A$4:$G$3460,6,0),"")</f>
        <v/>
      </c>
      <c r="G1347" t="str">
        <f>IFERROR(VLOOKUP($A1347,原始数据_收盘!$A$4:$G$3460,7,0),"")</f>
        <v/>
      </c>
      <c r="H1347">
        <f>IFERROR(VLOOKUP($A1347,原始数据_利率互换_FR007_1年!$A$6:$C$4395,2,0),"")</f>
        <v>3.532</v>
      </c>
      <c r="I1347">
        <f>IFERROR(VLOOKUP($A1347,原始数据_利率互换_FR007_1年!$A$6:$C$4395,3,0),"")</f>
        <v>3.6239</v>
      </c>
    </row>
    <row r="1348" spans="1:9">
      <c r="A1348" s="6">
        <v>40841</v>
      </c>
      <c r="B1348" t="str">
        <f>IFERROR(VLOOKUP($A1348,原始数据_收盘!$A$4:$G$3460,2,0),"")</f>
        <v/>
      </c>
      <c r="C1348" t="str">
        <f>IFERROR(VLOOKUP($A1348,原始数据_收盘!$A$4:$G$3460,3,0),"")</f>
        <v/>
      </c>
      <c r="D1348" t="str">
        <f>IFERROR(VLOOKUP($A1348,原始数据_收盘!$A$4:$G$3460,4,0),"")</f>
        <v/>
      </c>
      <c r="E1348" t="str">
        <f>IFERROR(VLOOKUP($A1348,原始数据_收盘!$A$4:$G$3460,5,0),"")</f>
        <v/>
      </c>
      <c r="F1348" t="str">
        <f>IFERROR(VLOOKUP($A1348,原始数据_收盘!$A$4:$G$3460,6,0),"")</f>
        <v/>
      </c>
      <c r="G1348" t="str">
        <f>IFERROR(VLOOKUP($A1348,原始数据_收盘!$A$4:$G$3460,7,0),"")</f>
        <v/>
      </c>
      <c r="H1348">
        <f>IFERROR(VLOOKUP($A1348,原始数据_利率互换_FR007_1年!$A$6:$C$4395,2,0),"")</f>
        <v>3.6103</v>
      </c>
      <c r="I1348">
        <f>IFERROR(VLOOKUP($A1348,原始数据_利率互换_FR007_1年!$A$6:$C$4395,3,0),"")</f>
        <v>3.6797</v>
      </c>
    </row>
    <row r="1349" spans="1:9">
      <c r="A1349" s="6">
        <v>40842</v>
      </c>
      <c r="B1349" t="str">
        <f>IFERROR(VLOOKUP($A1349,原始数据_收盘!$A$4:$G$3460,2,0),"")</f>
        <v/>
      </c>
      <c r="C1349" t="str">
        <f>IFERROR(VLOOKUP($A1349,原始数据_收盘!$A$4:$G$3460,3,0),"")</f>
        <v/>
      </c>
      <c r="D1349" t="str">
        <f>IFERROR(VLOOKUP($A1349,原始数据_收盘!$A$4:$G$3460,4,0),"")</f>
        <v/>
      </c>
      <c r="E1349" t="str">
        <f>IFERROR(VLOOKUP($A1349,原始数据_收盘!$A$4:$G$3460,5,0),"")</f>
        <v/>
      </c>
      <c r="F1349" t="str">
        <f>IFERROR(VLOOKUP($A1349,原始数据_收盘!$A$4:$G$3460,6,0),"")</f>
        <v/>
      </c>
      <c r="G1349" t="str">
        <f>IFERROR(VLOOKUP($A1349,原始数据_收盘!$A$4:$G$3460,7,0),"")</f>
        <v/>
      </c>
      <c r="H1349">
        <f>IFERROR(VLOOKUP($A1349,原始数据_利率互换_FR007_1年!$A$6:$C$4395,2,0),"")</f>
        <v>3.6518</v>
      </c>
      <c r="I1349">
        <f>IFERROR(VLOOKUP($A1349,原始数据_利率互换_FR007_1年!$A$6:$C$4395,3,0),"")</f>
        <v>3.6413</v>
      </c>
    </row>
    <row r="1350" spans="1:9">
      <c r="A1350" s="6">
        <v>40843</v>
      </c>
      <c r="B1350" t="str">
        <f>IFERROR(VLOOKUP($A1350,原始数据_收盘!$A$4:$G$3460,2,0),"")</f>
        <v/>
      </c>
      <c r="C1350" t="str">
        <f>IFERROR(VLOOKUP($A1350,原始数据_收盘!$A$4:$G$3460,3,0),"")</f>
        <v/>
      </c>
      <c r="D1350" t="str">
        <f>IFERROR(VLOOKUP($A1350,原始数据_收盘!$A$4:$G$3460,4,0),"")</f>
        <v/>
      </c>
      <c r="E1350" t="str">
        <f>IFERROR(VLOOKUP($A1350,原始数据_收盘!$A$4:$G$3460,5,0),"")</f>
        <v/>
      </c>
      <c r="F1350" t="str">
        <f>IFERROR(VLOOKUP($A1350,原始数据_收盘!$A$4:$G$3460,6,0),"")</f>
        <v/>
      </c>
      <c r="G1350" t="str">
        <f>IFERROR(VLOOKUP($A1350,原始数据_收盘!$A$4:$G$3460,7,0),"")</f>
        <v/>
      </c>
      <c r="H1350">
        <f>IFERROR(VLOOKUP($A1350,原始数据_利率互换_FR007_1年!$A$6:$C$4395,2,0),"")</f>
        <v>3.6663</v>
      </c>
      <c r="I1350">
        <f>IFERROR(VLOOKUP($A1350,原始数据_利率互换_FR007_1年!$A$6:$C$4395,3,0),"")</f>
        <v>3.6706</v>
      </c>
    </row>
    <row r="1351" spans="1:9">
      <c r="A1351" s="6">
        <v>40844</v>
      </c>
      <c r="B1351" t="str">
        <f>IFERROR(VLOOKUP($A1351,原始数据_收盘!$A$4:$G$3460,2,0),"")</f>
        <v/>
      </c>
      <c r="C1351" t="str">
        <f>IFERROR(VLOOKUP($A1351,原始数据_收盘!$A$4:$G$3460,3,0),"")</f>
        <v/>
      </c>
      <c r="D1351" t="str">
        <f>IFERROR(VLOOKUP($A1351,原始数据_收盘!$A$4:$G$3460,4,0),"")</f>
        <v/>
      </c>
      <c r="E1351" t="str">
        <f>IFERROR(VLOOKUP($A1351,原始数据_收盘!$A$4:$G$3460,5,0),"")</f>
        <v/>
      </c>
      <c r="F1351" t="str">
        <f>IFERROR(VLOOKUP($A1351,原始数据_收盘!$A$4:$G$3460,6,0),"")</f>
        <v/>
      </c>
      <c r="G1351" t="str">
        <f>IFERROR(VLOOKUP($A1351,原始数据_收盘!$A$4:$G$3460,7,0),"")</f>
        <v/>
      </c>
      <c r="H1351">
        <f>IFERROR(VLOOKUP($A1351,原始数据_利率互换_FR007_1年!$A$6:$C$4395,2,0),"")</f>
        <v>3.6598</v>
      </c>
      <c r="I1351">
        <f>IFERROR(VLOOKUP($A1351,原始数据_利率互换_FR007_1年!$A$6:$C$4395,3,0),"")</f>
        <v>3.6983</v>
      </c>
    </row>
    <row r="1352" spans="1:9">
      <c r="A1352" s="6">
        <v>40845</v>
      </c>
      <c r="B1352" t="str">
        <f>IFERROR(VLOOKUP($A1352,原始数据_收盘!$A$4:$G$3460,2,0),"")</f>
        <v/>
      </c>
      <c r="C1352" t="str">
        <f>IFERROR(VLOOKUP($A1352,原始数据_收盘!$A$4:$G$3460,3,0),"")</f>
        <v/>
      </c>
      <c r="D1352" t="str">
        <f>IFERROR(VLOOKUP($A1352,原始数据_收盘!$A$4:$G$3460,4,0),"")</f>
        <v/>
      </c>
      <c r="E1352" t="str">
        <f>IFERROR(VLOOKUP($A1352,原始数据_收盘!$A$4:$G$3460,5,0),"")</f>
        <v/>
      </c>
      <c r="F1352" t="str">
        <f>IFERROR(VLOOKUP($A1352,原始数据_收盘!$A$4:$G$3460,6,0),"")</f>
        <v/>
      </c>
      <c r="G1352" t="str">
        <f>IFERROR(VLOOKUP($A1352,原始数据_收盘!$A$4:$G$3460,7,0),"")</f>
        <v/>
      </c>
      <c r="H1352" t="str">
        <f>IFERROR(VLOOKUP($A1352,原始数据_利率互换_FR007_1年!$A$6:$C$4395,2,0),"")</f>
        <v/>
      </c>
      <c r="I1352" t="str">
        <f>IFERROR(VLOOKUP($A1352,原始数据_利率互换_FR007_1年!$A$6:$C$4395,3,0),"")</f>
        <v/>
      </c>
    </row>
    <row r="1353" spans="1:9">
      <c r="A1353" s="6">
        <v>40846</v>
      </c>
      <c r="B1353" t="str">
        <f>IFERROR(VLOOKUP($A1353,原始数据_收盘!$A$4:$G$3460,2,0),"")</f>
        <v/>
      </c>
      <c r="C1353" t="str">
        <f>IFERROR(VLOOKUP($A1353,原始数据_收盘!$A$4:$G$3460,3,0),"")</f>
        <v/>
      </c>
      <c r="D1353" t="str">
        <f>IFERROR(VLOOKUP($A1353,原始数据_收盘!$A$4:$G$3460,4,0),"")</f>
        <v/>
      </c>
      <c r="E1353" t="str">
        <f>IFERROR(VLOOKUP($A1353,原始数据_收盘!$A$4:$G$3460,5,0),"")</f>
        <v/>
      </c>
      <c r="F1353" t="str">
        <f>IFERROR(VLOOKUP($A1353,原始数据_收盘!$A$4:$G$3460,6,0),"")</f>
        <v/>
      </c>
      <c r="G1353" t="str">
        <f>IFERROR(VLOOKUP($A1353,原始数据_收盘!$A$4:$G$3460,7,0),"")</f>
        <v/>
      </c>
      <c r="H1353" t="str">
        <f>IFERROR(VLOOKUP($A1353,原始数据_利率互换_FR007_1年!$A$6:$C$4395,2,0),"")</f>
        <v/>
      </c>
      <c r="I1353" t="str">
        <f>IFERROR(VLOOKUP($A1353,原始数据_利率互换_FR007_1年!$A$6:$C$4395,3,0),"")</f>
        <v/>
      </c>
    </row>
    <row r="1354" spans="1:9">
      <c r="A1354" s="6">
        <v>40847</v>
      </c>
      <c r="B1354" t="str">
        <f>IFERROR(VLOOKUP($A1354,原始数据_收盘!$A$4:$G$3460,2,0),"")</f>
        <v/>
      </c>
      <c r="C1354" t="str">
        <f>IFERROR(VLOOKUP($A1354,原始数据_收盘!$A$4:$G$3460,3,0),"")</f>
        <v/>
      </c>
      <c r="D1354" t="str">
        <f>IFERROR(VLOOKUP($A1354,原始数据_收盘!$A$4:$G$3460,4,0),"")</f>
        <v/>
      </c>
      <c r="E1354" t="str">
        <f>IFERROR(VLOOKUP($A1354,原始数据_收盘!$A$4:$G$3460,5,0),"")</f>
        <v/>
      </c>
      <c r="F1354" t="str">
        <f>IFERROR(VLOOKUP($A1354,原始数据_收盘!$A$4:$G$3460,6,0),"")</f>
        <v/>
      </c>
      <c r="G1354" t="str">
        <f>IFERROR(VLOOKUP($A1354,原始数据_收盘!$A$4:$G$3460,7,0),"")</f>
        <v/>
      </c>
      <c r="H1354">
        <f>IFERROR(VLOOKUP($A1354,原始数据_利率互换_FR007_1年!$A$6:$C$4395,2,0),"")</f>
        <v>3.6309</v>
      </c>
      <c r="I1354">
        <f>IFERROR(VLOOKUP($A1354,原始数据_利率互换_FR007_1年!$A$6:$C$4395,3,0),"")</f>
        <v>3.65</v>
      </c>
    </row>
    <row r="1355" spans="1:9">
      <c r="A1355" s="6">
        <v>40848</v>
      </c>
      <c r="B1355" t="str">
        <f>IFERROR(VLOOKUP($A1355,原始数据_收盘!$A$4:$G$3460,2,0),"")</f>
        <v/>
      </c>
      <c r="C1355" t="str">
        <f>IFERROR(VLOOKUP($A1355,原始数据_收盘!$A$4:$G$3460,3,0),"")</f>
        <v/>
      </c>
      <c r="D1355" t="str">
        <f>IFERROR(VLOOKUP($A1355,原始数据_收盘!$A$4:$G$3460,4,0),"")</f>
        <v/>
      </c>
      <c r="E1355" t="str">
        <f>IFERROR(VLOOKUP($A1355,原始数据_收盘!$A$4:$G$3460,5,0),"")</f>
        <v/>
      </c>
      <c r="F1355" t="str">
        <f>IFERROR(VLOOKUP($A1355,原始数据_收盘!$A$4:$G$3460,6,0),"")</f>
        <v/>
      </c>
      <c r="G1355" t="str">
        <f>IFERROR(VLOOKUP($A1355,原始数据_收盘!$A$4:$G$3460,7,0),"")</f>
        <v/>
      </c>
      <c r="H1355">
        <f>IFERROR(VLOOKUP($A1355,原始数据_利率互换_FR007_1年!$A$6:$C$4395,2,0),"")</f>
        <v>3.5717</v>
      </c>
      <c r="I1355">
        <f>IFERROR(VLOOKUP($A1355,原始数据_利率互换_FR007_1年!$A$6:$C$4395,3,0),"")</f>
        <v>3.5965</v>
      </c>
    </row>
    <row r="1356" spans="1:9">
      <c r="A1356" s="6">
        <v>40849</v>
      </c>
      <c r="B1356" t="str">
        <f>IFERROR(VLOOKUP($A1356,原始数据_收盘!$A$4:$G$3460,2,0),"")</f>
        <v/>
      </c>
      <c r="C1356" t="str">
        <f>IFERROR(VLOOKUP($A1356,原始数据_收盘!$A$4:$G$3460,3,0),"")</f>
        <v/>
      </c>
      <c r="D1356" t="str">
        <f>IFERROR(VLOOKUP($A1356,原始数据_收盘!$A$4:$G$3460,4,0),"")</f>
        <v/>
      </c>
      <c r="E1356" t="str">
        <f>IFERROR(VLOOKUP($A1356,原始数据_收盘!$A$4:$G$3460,5,0),"")</f>
        <v/>
      </c>
      <c r="F1356" t="str">
        <f>IFERROR(VLOOKUP($A1356,原始数据_收盘!$A$4:$G$3460,6,0),"")</f>
        <v/>
      </c>
      <c r="G1356" t="str">
        <f>IFERROR(VLOOKUP($A1356,原始数据_收盘!$A$4:$G$3460,7,0),"")</f>
        <v/>
      </c>
      <c r="H1356">
        <f>IFERROR(VLOOKUP($A1356,原始数据_利率互换_FR007_1年!$A$6:$C$4395,2,0),"")</f>
        <v>3.428</v>
      </c>
      <c r="I1356">
        <f>IFERROR(VLOOKUP($A1356,原始数据_利率互换_FR007_1年!$A$6:$C$4395,3,0),"")</f>
        <v>3.5507</v>
      </c>
    </row>
    <row r="1357" spans="1:9">
      <c r="A1357" s="6">
        <v>40850</v>
      </c>
      <c r="B1357" t="str">
        <f>IFERROR(VLOOKUP($A1357,原始数据_收盘!$A$4:$G$3460,2,0),"")</f>
        <v/>
      </c>
      <c r="C1357" t="str">
        <f>IFERROR(VLOOKUP($A1357,原始数据_收盘!$A$4:$G$3460,3,0),"")</f>
        <v/>
      </c>
      <c r="D1357" t="str">
        <f>IFERROR(VLOOKUP($A1357,原始数据_收盘!$A$4:$G$3460,4,0),"")</f>
        <v/>
      </c>
      <c r="E1357" t="str">
        <f>IFERROR(VLOOKUP($A1357,原始数据_收盘!$A$4:$G$3460,5,0),"")</f>
        <v/>
      </c>
      <c r="F1357" t="str">
        <f>IFERROR(VLOOKUP($A1357,原始数据_收盘!$A$4:$G$3460,6,0),"")</f>
        <v/>
      </c>
      <c r="G1357" t="str">
        <f>IFERROR(VLOOKUP($A1357,原始数据_收盘!$A$4:$G$3460,7,0),"")</f>
        <v/>
      </c>
      <c r="H1357">
        <f>IFERROR(VLOOKUP($A1357,原始数据_利率互换_FR007_1年!$A$6:$C$4395,2,0),"")</f>
        <v>3.3452</v>
      </c>
      <c r="I1357">
        <f>IFERROR(VLOOKUP($A1357,原始数据_利率互换_FR007_1年!$A$6:$C$4395,3,0),"")</f>
        <v>3.4814</v>
      </c>
    </row>
    <row r="1358" spans="1:9">
      <c r="A1358" s="6">
        <v>40851</v>
      </c>
      <c r="B1358" t="str">
        <f>IFERROR(VLOOKUP($A1358,原始数据_收盘!$A$4:$G$3460,2,0),"")</f>
        <v/>
      </c>
      <c r="C1358" t="str">
        <f>IFERROR(VLOOKUP($A1358,原始数据_收盘!$A$4:$G$3460,3,0),"")</f>
        <v/>
      </c>
      <c r="D1358" t="str">
        <f>IFERROR(VLOOKUP($A1358,原始数据_收盘!$A$4:$G$3460,4,0),"")</f>
        <v/>
      </c>
      <c r="E1358" t="str">
        <f>IFERROR(VLOOKUP($A1358,原始数据_收盘!$A$4:$G$3460,5,0),"")</f>
        <v/>
      </c>
      <c r="F1358" t="str">
        <f>IFERROR(VLOOKUP($A1358,原始数据_收盘!$A$4:$G$3460,6,0),"")</f>
        <v/>
      </c>
      <c r="G1358" t="str">
        <f>IFERROR(VLOOKUP($A1358,原始数据_收盘!$A$4:$G$3460,7,0),"")</f>
        <v/>
      </c>
      <c r="H1358">
        <f>IFERROR(VLOOKUP($A1358,原始数据_利率互换_FR007_1年!$A$6:$C$4395,2,0),"")</f>
        <v>0</v>
      </c>
      <c r="I1358">
        <f>IFERROR(VLOOKUP($A1358,原始数据_利率互换_FR007_1年!$A$6:$C$4395,3,0),"")</f>
        <v>3.4032</v>
      </c>
    </row>
    <row r="1359" spans="1:9">
      <c r="A1359" s="6">
        <v>40852</v>
      </c>
      <c r="B1359" t="str">
        <f>IFERROR(VLOOKUP($A1359,原始数据_收盘!$A$4:$G$3460,2,0),"")</f>
        <v/>
      </c>
      <c r="C1359" t="str">
        <f>IFERROR(VLOOKUP($A1359,原始数据_收盘!$A$4:$G$3460,3,0),"")</f>
        <v/>
      </c>
      <c r="D1359" t="str">
        <f>IFERROR(VLOOKUP($A1359,原始数据_收盘!$A$4:$G$3460,4,0),"")</f>
        <v/>
      </c>
      <c r="E1359" t="str">
        <f>IFERROR(VLOOKUP($A1359,原始数据_收盘!$A$4:$G$3460,5,0),"")</f>
        <v/>
      </c>
      <c r="F1359" t="str">
        <f>IFERROR(VLOOKUP($A1359,原始数据_收盘!$A$4:$G$3460,6,0),"")</f>
        <v/>
      </c>
      <c r="G1359" t="str">
        <f>IFERROR(VLOOKUP($A1359,原始数据_收盘!$A$4:$G$3460,7,0),"")</f>
        <v/>
      </c>
      <c r="H1359" t="str">
        <f>IFERROR(VLOOKUP($A1359,原始数据_利率互换_FR007_1年!$A$6:$C$4395,2,0),"")</f>
        <v/>
      </c>
      <c r="I1359" t="str">
        <f>IFERROR(VLOOKUP($A1359,原始数据_利率互换_FR007_1年!$A$6:$C$4395,3,0),"")</f>
        <v/>
      </c>
    </row>
    <row r="1360" spans="1:9">
      <c r="A1360" s="6">
        <v>40853</v>
      </c>
      <c r="B1360" t="str">
        <f>IFERROR(VLOOKUP($A1360,原始数据_收盘!$A$4:$G$3460,2,0),"")</f>
        <v/>
      </c>
      <c r="C1360" t="str">
        <f>IFERROR(VLOOKUP($A1360,原始数据_收盘!$A$4:$G$3460,3,0),"")</f>
        <v/>
      </c>
      <c r="D1360" t="str">
        <f>IFERROR(VLOOKUP($A1360,原始数据_收盘!$A$4:$G$3460,4,0),"")</f>
        <v/>
      </c>
      <c r="E1360" t="str">
        <f>IFERROR(VLOOKUP($A1360,原始数据_收盘!$A$4:$G$3460,5,0),"")</f>
        <v/>
      </c>
      <c r="F1360" t="str">
        <f>IFERROR(VLOOKUP($A1360,原始数据_收盘!$A$4:$G$3460,6,0),"")</f>
        <v/>
      </c>
      <c r="G1360" t="str">
        <f>IFERROR(VLOOKUP($A1360,原始数据_收盘!$A$4:$G$3460,7,0),"")</f>
        <v/>
      </c>
      <c r="H1360" t="str">
        <f>IFERROR(VLOOKUP($A1360,原始数据_利率互换_FR007_1年!$A$6:$C$4395,2,0),"")</f>
        <v/>
      </c>
      <c r="I1360" t="str">
        <f>IFERROR(VLOOKUP($A1360,原始数据_利率互换_FR007_1年!$A$6:$C$4395,3,0),"")</f>
        <v/>
      </c>
    </row>
    <row r="1361" spans="1:9">
      <c r="A1361" s="6">
        <v>40854</v>
      </c>
      <c r="B1361" t="str">
        <f>IFERROR(VLOOKUP($A1361,原始数据_收盘!$A$4:$G$3460,2,0),"")</f>
        <v/>
      </c>
      <c r="C1361" t="str">
        <f>IFERROR(VLOOKUP($A1361,原始数据_收盘!$A$4:$G$3460,3,0),"")</f>
        <v/>
      </c>
      <c r="D1361" t="str">
        <f>IFERROR(VLOOKUP($A1361,原始数据_收盘!$A$4:$G$3460,4,0),"")</f>
        <v/>
      </c>
      <c r="E1361" t="str">
        <f>IFERROR(VLOOKUP($A1361,原始数据_收盘!$A$4:$G$3460,5,0),"")</f>
        <v/>
      </c>
      <c r="F1361" t="str">
        <f>IFERROR(VLOOKUP($A1361,原始数据_收盘!$A$4:$G$3460,6,0),"")</f>
        <v/>
      </c>
      <c r="G1361" t="str">
        <f>IFERROR(VLOOKUP($A1361,原始数据_收盘!$A$4:$G$3460,7,0),"")</f>
        <v/>
      </c>
      <c r="H1361">
        <f>IFERROR(VLOOKUP($A1361,原始数据_利率互换_FR007_1年!$A$6:$C$4395,2,0),"")</f>
        <v>0</v>
      </c>
      <c r="I1361">
        <f>IFERROR(VLOOKUP($A1361,原始数据_利率互换_FR007_1年!$A$6:$C$4395,3,0),"")</f>
        <v>3.402</v>
      </c>
    </row>
    <row r="1362" spans="1:9">
      <c r="A1362" s="6">
        <v>40855</v>
      </c>
      <c r="B1362" t="str">
        <f>IFERROR(VLOOKUP($A1362,原始数据_收盘!$A$4:$G$3460,2,0),"")</f>
        <v/>
      </c>
      <c r="C1362" t="str">
        <f>IFERROR(VLOOKUP($A1362,原始数据_收盘!$A$4:$G$3460,3,0),"")</f>
        <v/>
      </c>
      <c r="D1362" t="str">
        <f>IFERROR(VLOOKUP($A1362,原始数据_收盘!$A$4:$G$3460,4,0),"")</f>
        <v/>
      </c>
      <c r="E1362" t="str">
        <f>IFERROR(VLOOKUP($A1362,原始数据_收盘!$A$4:$G$3460,5,0),"")</f>
        <v/>
      </c>
      <c r="F1362" t="str">
        <f>IFERROR(VLOOKUP($A1362,原始数据_收盘!$A$4:$G$3460,6,0),"")</f>
        <v/>
      </c>
      <c r="G1362" t="str">
        <f>IFERROR(VLOOKUP($A1362,原始数据_收盘!$A$4:$G$3460,7,0),"")</f>
        <v/>
      </c>
      <c r="H1362">
        <f>IFERROR(VLOOKUP($A1362,原始数据_利率互换_FR007_1年!$A$6:$C$4395,2,0),"")</f>
        <v>3.1782</v>
      </c>
      <c r="I1362">
        <f>IFERROR(VLOOKUP($A1362,原始数据_利率互换_FR007_1年!$A$6:$C$4395,3,0),"")</f>
        <v>3.36</v>
      </c>
    </row>
    <row r="1363" spans="1:9">
      <c r="A1363" s="6">
        <v>40856</v>
      </c>
      <c r="B1363" t="str">
        <f>IFERROR(VLOOKUP($A1363,原始数据_收盘!$A$4:$G$3460,2,0),"")</f>
        <v/>
      </c>
      <c r="C1363" t="str">
        <f>IFERROR(VLOOKUP($A1363,原始数据_收盘!$A$4:$G$3460,3,0),"")</f>
        <v/>
      </c>
      <c r="D1363" t="str">
        <f>IFERROR(VLOOKUP($A1363,原始数据_收盘!$A$4:$G$3460,4,0),"")</f>
        <v/>
      </c>
      <c r="E1363" t="str">
        <f>IFERROR(VLOOKUP($A1363,原始数据_收盘!$A$4:$G$3460,5,0),"")</f>
        <v/>
      </c>
      <c r="F1363" t="str">
        <f>IFERROR(VLOOKUP($A1363,原始数据_收盘!$A$4:$G$3460,6,0),"")</f>
        <v/>
      </c>
      <c r="G1363" t="str">
        <f>IFERROR(VLOOKUP($A1363,原始数据_收盘!$A$4:$G$3460,7,0),"")</f>
        <v/>
      </c>
      <c r="H1363">
        <f>IFERROR(VLOOKUP($A1363,原始数据_利率互换_FR007_1年!$A$6:$C$4395,2,0),"")</f>
        <v>3.1182</v>
      </c>
      <c r="I1363">
        <f>IFERROR(VLOOKUP($A1363,原始数据_利率互换_FR007_1年!$A$6:$C$4395,3,0),"")</f>
        <v>3.2519</v>
      </c>
    </row>
    <row r="1364" spans="1:9">
      <c r="A1364" s="6">
        <v>40857</v>
      </c>
      <c r="B1364" t="str">
        <f>IFERROR(VLOOKUP($A1364,原始数据_收盘!$A$4:$G$3460,2,0),"")</f>
        <v/>
      </c>
      <c r="C1364" t="str">
        <f>IFERROR(VLOOKUP($A1364,原始数据_收盘!$A$4:$G$3460,3,0),"")</f>
        <v/>
      </c>
      <c r="D1364" t="str">
        <f>IFERROR(VLOOKUP($A1364,原始数据_收盘!$A$4:$G$3460,4,0),"")</f>
        <v/>
      </c>
      <c r="E1364" t="str">
        <f>IFERROR(VLOOKUP($A1364,原始数据_收盘!$A$4:$G$3460,5,0),"")</f>
        <v/>
      </c>
      <c r="F1364" t="str">
        <f>IFERROR(VLOOKUP($A1364,原始数据_收盘!$A$4:$G$3460,6,0),"")</f>
        <v/>
      </c>
      <c r="G1364" t="str">
        <f>IFERROR(VLOOKUP($A1364,原始数据_收盘!$A$4:$G$3460,7,0),"")</f>
        <v/>
      </c>
      <c r="H1364">
        <f>IFERROR(VLOOKUP($A1364,原始数据_利率互换_FR007_1年!$A$6:$C$4395,2,0),"")</f>
        <v>2.9603</v>
      </c>
      <c r="I1364">
        <f>IFERROR(VLOOKUP($A1364,原始数据_利率互换_FR007_1年!$A$6:$C$4395,3,0),"")</f>
        <v>3.1324</v>
      </c>
    </row>
    <row r="1365" spans="1:9">
      <c r="A1365" s="6">
        <v>40858</v>
      </c>
      <c r="B1365" t="str">
        <f>IFERROR(VLOOKUP($A1365,原始数据_收盘!$A$4:$G$3460,2,0),"")</f>
        <v/>
      </c>
      <c r="C1365" t="str">
        <f>IFERROR(VLOOKUP($A1365,原始数据_收盘!$A$4:$G$3460,3,0),"")</f>
        <v/>
      </c>
      <c r="D1365" t="str">
        <f>IFERROR(VLOOKUP($A1365,原始数据_收盘!$A$4:$G$3460,4,0),"")</f>
        <v/>
      </c>
      <c r="E1365" t="str">
        <f>IFERROR(VLOOKUP($A1365,原始数据_收盘!$A$4:$G$3460,5,0),"")</f>
        <v/>
      </c>
      <c r="F1365" t="str">
        <f>IFERROR(VLOOKUP($A1365,原始数据_收盘!$A$4:$G$3460,6,0),"")</f>
        <v/>
      </c>
      <c r="G1365" t="str">
        <f>IFERROR(VLOOKUP($A1365,原始数据_收盘!$A$4:$G$3460,7,0),"")</f>
        <v/>
      </c>
      <c r="H1365">
        <f>IFERROR(VLOOKUP($A1365,原始数据_利率互换_FR007_1年!$A$6:$C$4395,2,0),"")</f>
        <v>2.9713</v>
      </c>
      <c r="I1365">
        <f>IFERROR(VLOOKUP($A1365,原始数据_利率互换_FR007_1年!$A$6:$C$4395,3,0),"")</f>
        <v>3.1833</v>
      </c>
    </row>
    <row r="1366" spans="1:9">
      <c r="A1366" s="6">
        <v>40859</v>
      </c>
      <c r="B1366" t="str">
        <f>IFERROR(VLOOKUP($A1366,原始数据_收盘!$A$4:$G$3460,2,0),"")</f>
        <v/>
      </c>
      <c r="C1366" t="str">
        <f>IFERROR(VLOOKUP($A1366,原始数据_收盘!$A$4:$G$3460,3,0),"")</f>
        <v/>
      </c>
      <c r="D1366" t="str">
        <f>IFERROR(VLOOKUP($A1366,原始数据_收盘!$A$4:$G$3460,4,0),"")</f>
        <v/>
      </c>
      <c r="E1366" t="str">
        <f>IFERROR(VLOOKUP($A1366,原始数据_收盘!$A$4:$G$3460,5,0),"")</f>
        <v/>
      </c>
      <c r="F1366" t="str">
        <f>IFERROR(VLOOKUP($A1366,原始数据_收盘!$A$4:$G$3460,6,0),"")</f>
        <v/>
      </c>
      <c r="G1366" t="str">
        <f>IFERROR(VLOOKUP($A1366,原始数据_收盘!$A$4:$G$3460,7,0),"")</f>
        <v/>
      </c>
      <c r="H1366" t="str">
        <f>IFERROR(VLOOKUP($A1366,原始数据_利率互换_FR007_1年!$A$6:$C$4395,2,0),"")</f>
        <v/>
      </c>
      <c r="I1366" t="str">
        <f>IFERROR(VLOOKUP($A1366,原始数据_利率互换_FR007_1年!$A$6:$C$4395,3,0),"")</f>
        <v/>
      </c>
    </row>
    <row r="1367" spans="1:9">
      <c r="A1367" s="6">
        <v>40860</v>
      </c>
      <c r="B1367" t="str">
        <f>IFERROR(VLOOKUP($A1367,原始数据_收盘!$A$4:$G$3460,2,0),"")</f>
        <v/>
      </c>
      <c r="C1367" t="str">
        <f>IFERROR(VLOOKUP($A1367,原始数据_收盘!$A$4:$G$3460,3,0),"")</f>
        <v/>
      </c>
      <c r="D1367" t="str">
        <f>IFERROR(VLOOKUP($A1367,原始数据_收盘!$A$4:$G$3460,4,0),"")</f>
        <v/>
      </c>
      <c r="E1367" t="str">
        <f>IFERROR(VLOOKUP($A1367,原始数据_收盘!$A$4:$G$3460,5,0),"")</f>
        <v/>
      </c>
      <c r="F1367" t="str">
        <f>IFERROR(VLOOKUP($A1367,原始数据_收盘!$A$4:$G$3460,6,0),"")</f>
        <v/>
      </c>
      <c r="G1367" t="str">
        <f>IFERROR(VLOOKUP($A1367,原始数据_收盘!$A$4:$G$3460,7,0),"")</f>
        <v/>
      </c>
      <c r="H1367" t="str">
        <f>IFERROR(VLOOKUP($A1367,原始数据_利率互换_FR007_1年!$A$6:$C$4395,2,0),"")</f>
        <v/>
      </c>
      <c r="I1367" t="str">
        <f>IFERROR(VLOOKUP($A1367,原始数据_利率互换_FR007_1年!$A$6:$C$4395,3,0),"")</f>
        <v/>
      </c>
    </row>
    <row r="1368" spans="1:9">
      <c r="A1368" s="6">
        <v>40861</v>
      </c>
      <c r="B1368" t="str">
        <f>IFERROR(VLOOKUP($A1368,原始数据_收盘!$A$4:$G$3460,2,0),"")</f>
        <v/>
      </c>
      <c r="C1368" t="str">
        <f>IFERROR(VLOOKUP($A1368,原始数据_收盘!$A$4:$G$3460,3,0),"")</f>
        <v/>
      </c>
      <c r="D1368" t="str">
        <f>IFERROR(VLOOKUP($A1368,原始数据_收盘!$A$4:$G$3460,4,0),"")</f>
        <v/>
      </c>
      <c r="E1368" t="str">
        <f>IFERROR(VLOOKUP($A1368,原始数据_收盘!$A$4:$G$3460,5,0),"")</f>
        <v/>
      </c>
      <c r="F1368" t="str">
        <f>IFERROR(VLOOKUP($A1368,原始数据_收盘!$A$4:$G$3460,6,0),"")</f>
        <v/>
      </c>
      <c r="G1368" t="str">
        <f>IFERROR(VLOOKUP($A1368,原始数据_收盘!$A$4:$G$3460,7,0),"")</f>
        <v/>
      </c>
      <c r="H1368">
        <f>IFERROR(VLOOKUP($A1368,原始数据_利率互换_FR007_1年!$A$6:$C$4395,2,0),"")</f>
        <v>2.9881</v>
      </c>
      <c r="I1368">
        <f>IFERROR(VLOOKUP($A1368,原始数据_利率互换_FR007_1年!$A$6:$C$4395,3,0),"")</f>
        <v>3.2024</v>
      </c>
    </row>
    <row r="1369" spans="1:9">
      <c r="A1369" s="6">
        <v>40862</v>
      </c>
      <c r="B1369" t="str">
        <f>IFERROR(VLOOKUP($A1369,原始数据_收盘!$A$4:$G$3460,2,0),"")</f>
        <v/>
      </c>
      <c r="C1369" t="str">
        <f>IFERROR(VLOOKUP($A1369,原始数据_收盘!$A$4:$G$3460,3,0),"")</f>
        <v/>
      </c>
      <c r="D1369" t="str">
        <f>IFERROR(VLOOKUP($A1369,原始数据_收盘!$A$4:$G$3460,4,0),"")</f>
        <v/>
      </c>
      <c r="E1369" t="str">
        <f>IFERROR(VLOOKUP($A1369,原始数据_收盘!$A$4:$G$3460,5,0),"")</f>
        <v/>
      </c>
      <c r="F1369" t="str">
        <f>IFERROR(VLOOKUP($A1369,原始数据_收盘!$A$4:$G$3460,6,0),"")</f>
        <v/>
      </c>
      <c r="G1369" t="str">
        <f>IFERROR(VLOOKUP($A1369,原始数据_收盘!$A$4:$G$3460,7,0),"")</f>
        <v/>
      </c>
      <c r="H1369">
        <f>IFERROR(VLOOKUP($A1369,原始数据_利率互换_FR007_1年!$A$6:$C$4395,2,0),"")</f>
        <v>3.02</v>
      </c>
      <c r="I1369">
        <f>IFERROR(VLOOKUP($A1369,原始数据_利率互换_FR007_1年!$A$6:$C$4395,3,0),"")</f>
        <v>3.2252</v>
      </c>
    </row>
    <row r="1370" spans="1:9">
      <c r="A1370" s="6">
        <v>40863</v>
      </c>
      <c r="B1370" t="str">
        <f>IFERROR(VLOOKUP($A1370,原始数据_收盘!$A$4:$G$3460,2,0),"")</f>
        <v/>
      </c>
      <c r="C1370" t="str">
        <f>IFERROR(VLOOKUP($A1370,原始数据_收盘!$A$4:$G$3460,3,0),"")</f>
        <v/>
      </c>
      <c r="D1370" t="str">
        <f>IFERROR(VLOOKUP($A1370,原始数据_收盘!$A$4:$G$3460,4,0),"")</f>
        <v/>
      </c>
      <c r="E1370" t="str">
        <f>IFERROR(VLOOKUP($A1370,原始数据_收盘!$A$4:$G$3460,5,0),"")</f>
        <v/>
      </c>
      <c r="F1370" t="str">
        <f>IFERROR(VLOOKUP($A1370,原始数据_收盘!$A$4:$G$3460,6,0),"")</f>
        <v/>
      </c>
      <c r="G1370" t="str">
        <f>IFERROR(VLOOKUP($A1370,原始数据_收盘!$A$4:$G$3460,7,0),"")</f>
        <v/>
      </c>
      <c r="H1370">
        <f>IFERROR(VLOOKUP($A1370,原始数据_利率互换_FR007_1年!$A$6:$C$4395,2,0),"")</f>
        <v>3.0496</v>
      </c>
      <c r="I1370">
        <f>IFERROR(VLOOKUP($A1370,原始数据_利率互换_FR007_1年!$A$6:$C$4395,3,0),"")</f>
        <v>3.26</v>
      </c>
    </row>
    <row r="1371" spans="1:9">
      <c r="A1371" s="6">
        <v>40864</v>
      </c>
      <c r="B1371" t="str">
        <f>IFERROR(VLOOKUP($A1371,原始数据_收盘!$A$4:$G$3460,2,0),"")</f>
        <v/>
      </c>
      <c r="C1371" t="str">
        <f>IFERROR(VLOOKUP($A1371,原始数据_收盘!$A$4:$G$3460,3,0),"")</f>
        <v/>
      </c>
      <c r="D1371" t="str">
        <f>IFERROR(VLOOKUP($A1371,原始数据_收盘!$A$4:$G$3460,4,0),"")</f>
        <v/>
      </c>
      <c r="E1371" t="str">
        <f>IFERROR(VLOOKUP($A1371,原始数据_收盘!$A$4:$G$3460,5,0),"")</f>
        <v/>
      </c>
      <c r="F1371" t="str">
        <f>IFERROR(VLOOKUP($A1371,原始数据_收盘!$A$4:$G$3460,6,0),"")</f>
        <v/>
      </c>
      <c r="G1371" t="str">
        <f>IFERROR(VLOOKUP($A1371,原始数据_收盘!$A$4:$G$3460,7,0),"")</f>
        <v/>
      </c>
      <c r="H1371">
        <f>IFERROR(VLOOKUP($A1371,原始数据_利率互换_FR007_1年!$A$6:$C$4395,2,0),"")</f>
        <v>3.0914</v>
      </c>
      <c r="I1371">
        <f>IFERROR(VLOOKUP($A1371,原始数据_利率互换_FR007_1年!$A$6:$C$4395,3,0),"")</f>
        <v>3.26</v>
      </c>
    </row>
    <row r="1372" spans="1:9">
      <c r="A1372" s="6">
        <v>40865</v>
      </c>
      <c r="B1372" t="str">
        <f>IFERROR(VLOOKUP($A1372,原始数据_收盘!$A$4:$G$3460,2,0),"")</f>
        <v/>
      </c>
      <c r="C1372" t="str">
        <f>IFERROR(VLOOKUP($A1372,原始数据_收盘!$A$4:$G$3460,3,0),"")</f>
        <v/>
      </c>
      <c r="D1372" t="str">
        <f>IFERROR(VLOOKUP($A1372,原始数据_收盘!$A$4:$G$3460,4,0),"")</f>
        <v/>
      </c>
      <c r="E1372" t="str">
        <f>IFERROR(VLOOKUP($A1372,原始数据_收盘!$A$4:$G$3460,5,0),"")</f>
        <v/>
      </c>
      <c r="F1372" t="str">
        <f>IFERROR(VLOOKUP($A1372,原始数据_收盘!$A$4:$G$3460,6,0),"")</f>
        <v/>
      </c>
      <c r="G1372" t="str">
        <f>IFERROR(VLOOKUP($A1372,原始数据_收盘!$A$4:$G$3460,7,0),"")</f>
        <v/>
      </c>
      <c r="H1372">
        <f>IFERROR(VLOOKUP($A1372,原始数据_利率互换_FR007_1年!$A$6:$C$4395,2,0),"")</f>
        <v>3.1096</v>
      </c>
      <c r="I1372">
        <f>IFERROR(VLOOKUP($A1372,原始数据_利率互换_FR007_1年!$A$6:$C$4395,3,0),"")</f>
        <v>3.2838</v>
      </c>
    </row>
    <row r="1373" spans="1:9">
      <c r="A1373" s="6">
        <v>40866</v>
      </c>
      <c r="B1373" t="str">
        <f>IFERROR(VLOOKUP($A1373,原始数据_收盘!$A$4:$G$3460,2,0),"")</f>
        <v/>
      </c>
      <c r="C1373" t="str">
        <f>IFERROR(VLOOKUP($A1373,原始数据_收盘!$A$4:$G$3460,3,0),"")</f>
        <v/>
      </c>
      <c r="D1373" t="str">
        <f>IFERROR(VLOOKUP($A1373,原始数据_收盘!$A$4:$G$3460,4,0),"")</f>
        <v/>
      </c>
      <c r="E1373" t="str">
        <f>IFERROR(VLOOKUP($A1373,原始数据_收盘!$A$4:$G$3460,5,0),"")</f>
        <v/>
      </c>
      <c r="F1373" t="str">
        <f>IFERROR(VLOOKUP($A1373,原始数据_收盘!$A$4:$G$3460,6,0),"")</f>
        <v/>
      </c>
      <c r="G1373" t="str">
        <f>IFERROR(VLOOKUP($A1373,原始数据_收盘!$A$4:$G$3460,7,0),"")</f>
        <v/>
      </c>
      <c r="H1373" t="str">
        <f>IFERROR(VLOOKUP($A1373,原始数据_利率互换_FR007_1年!$A$6:$C$4395,2,0),"")</f>
        <v/>
      </c>
      <c r="I1373" t="str">
        <f>IFERROR(VLOOKUP($A1373,原始数据_利率互换_FR007_1年!$A$6:$C$4395,3,0),"")</f>
        <v/>
      </c>
    </row>
    <row r="1374" spans="1:9">
      <c r="A1374" s="6">
        <v>40867</v>
      </c>
      <c r="B1374" t="str">
        <f>IFERROR(VLOOKUP($A1374,原始数据_收盘!$A$4:$G$3460,2,0),"")</f>
        <v/>
      </c>
      <c r="C1374" t="str">
        <f>IFERROR(VLOOKUP($A1374,原始数据_收盘!$A$4:$G$3460,3,0),"")</f>
        <v/>
      </c>
      <c r="D1374" t="str">
        <f>IFERROR(VLOOKUP($A1374,原始数据_收盘!$A$4:$G$3460,4,0),"")</f>
        <v/>
      </c>
      <c r="E1374" t="str">
        <f>IFERROR(VLOOKUP($A1374,原始数据_收盘!$A$4:$G$3460,5,0),"")</f>
        <v/>
      </c>
      <c r="F1374" t="str">
        <f>IFERROR(VLOOKUP($A1374,原始数据_收盘!$A$4:$G$3460,6,0),"")</f>
        <v/>
      </c>
      <c r="G1374" t="str">
        <f>IFERROR(VLOOKUP($A1374,原始数据_收盘!$A$4:$G$3460,7,0),"")</f>
        <v/>
      </c>
      <c r="H1374" t="str">
        <f>IFERROR(VLOOKUP($A1374,原始数据_利率互换_FR007_1年!$A$6:$C$4395,2,0),"")</f>
        <v/>
      </c>
      <c r="I1374" t="str">
        <f>IFERROR(VLOOKUP($A1374,原始数据_利率互换_FR007_1年!$A$6:$C$4395,3,0),"")</f>
        <v/>
      </c>
    </row>
    <row r="1375" spans="1:9">
      <c r="A1375" s="6">
        <v>40868</v>
      </c>
      <c r="B1375" t="str">
        <f>IFERROR(VLOOKUP($A1375,原始数据_收盘!$A$4:$G$3460,2,0),"")</f>
        <v/>
      </c>
      <c r="C1375" t="str">
        <f>IFERROR(VLOOKUP($A1375,原始数据_收盘!$A$4:$G$3460,3,0),"")</f>
        <v/>
      </c>
      <c r="D1375" t="str">
        <f>IFERROR(VLOOKUP($A1375,原始数据_收盘!$A$4:$G$3460,4,0),"")</f>
        <v/>
      </c>
      <c r="E1375" t="str">
        <f>IFERROR(VLOOKUP($A1375,原始数据_收盘!$A$4:$G$3460,5,0),"")</f>
        <v/>
      </c>
      <c r="F1375" t="str">
        <f>IFERROR(VLOOKUP($A1375,原始数据_收盘!$A$4:$G$3460,6,0),"")</f>
        <v/>
      </c>
      <c r="G1375" t="str">
        <f>IFERROR(VLOOKUP($A1375,原始数据_收盘!$A$4:$G$3460,7,0),"")</f>
        <v/>
      </c>
      <c r="H1375">
        <f>IFERROR(VLOOKUP($A1375,原始数据_利率互换_FR007_1年!$A$6:$C$4395,2,0),"")</f>
        <v>3.1713</v>
      </c>
      <c r="I1375">
        <f>IFERROR(VLOOKUP($A1375,原始数据_利率互换_FR007_1年!$A$6:$C$4395,3,0),"")</f>
        <v>3.279</v>
      </c>
    </row>
    <row r="1376" spans="1:9">
      <c r="A1376" s="6">
        <v>40869</v>
      </c>
      <c r="B1376" t="str">
        <f>IFERROR(VLOOKUP($A1376,原始数据_收盘!$A$4:$G$3460,2,0),"")</f>
        <v/>
      </c>
      <c r="C1376" t="str">
        <f>IFERROR(VLOOKUP($A1376,原始数据_收盘!$A$4:$G$3460,3,0),"")</f>
        <v/>
      </c>
      <c r="D1376" t="str">
        <f>IFERROR(VLOOKUP($A1376,原始数据_收盘!$A$4:$G$3460,4,0),"")</f>
        <v/>
      </c>
      <c r="E1376" t="str">
        <f>IFERROR(VLOOKUP($A1376,原始数据_收盘!$A$4:$G$3460,5,0),"")</f>
        <v/>
      </c>
      <c r="F1376" t="str">
        <f>IFERROR(VLOOKUP($A1376,原始数据_收盘!$A$4:$G$3460,6,0),"")</f>
        <v/>
      </c>
      <c r="G1376" t="str">
        <f>IFERROR(VLOOKUP($A1376,原始数据_收盘!$A$4:$G$3460,7,0),"")</f>
        <v/>
      </c>
      <c r="H1376">
        <f>IFERROR(VLOOKUP($A1376,原始数据_利率互换_FR007_1年!$A$6:$C$4395,2,0),"")</f>
        <v>3.1545</v>
      </c>
      <c r="I1376">
        <f>IFERROR(VLOOKUP($A1376,原始数据_利率互换_FR007_1年!$A$6:$C$4395,3,0),"")</f>
        <v>3.1975</v>
      </c>
    </row>
    <row r="1377" spans="1:9">
      <c r="A1377" s="6">
        <v>40870</v>
      </c>
      <c r="B1377" t="str">
        <f>IFERROR(VLOOKUP($A1377,原始数据_收盘!$A$4:$G$3460,2,0),"")</f>
        <v/>
      </c>
      <c r="C1377" t="str">
        <f>IFERROR(VLOOKUP($A1377,原始数据_收盘!$A$4:$G$3460,3,0),"")</f>
        <v/>
      </c>
      <c r="D1377" t="str">
        <f>IFERROR(VLOOKUP($A1377,原始数据_收盘!$A$4:$G$3460,4,0),"")</f>
        <v/>
      </c>
      <c r="E1377" t="str">
        <f>IFERROR(VLOOKUP($A1377,原始数据_收盘!$A$4:$G$3460,5,0),"")</f>
        <v/>
      </c>
      <c r="F1377" t="str">
        <f>IFERROR(VLOOKUP($A1377,原始数据_收盘!$A$4:$G$3460,6,0),"")</f>
        <v/>
      </c>
      <c r="G1377" t="str">
        <f>IFERROR(VLOOKUP($A1377,原始数据_收盘!$A$4:$G$3460,7,0),"")</f>
        <v/>
      </c>
      <c r="H1377">
        <f>IFERROR(VLOOKUP($A1377,原始数据_利率互换_FR007_1年!$A$6:$C$4395,2,0),"")</f>
        <v>3.0656</v>
      </c>
      <c r="I1377">
        <f>IFERROR(VLOOKUP($A1377,原始数据_利率互换_FR007_1年!$A$6:$C$4395,3,0),"")</f>
        <v>3.0648</v>
      </c>
    </row>
    <row r="1378" spans="1:9">
      <c r="A1378" s="6">
        <v>40871</v>
      </c>
      <c r="B1378" t="str">
        <f>IFERROR(VLOOKUP($A1378,原始数据_收盘!$A$4:$G$3460,2,0),"")</f>
        <v/>
      </c>
      <c r="C1378" t="str">
        <f>IFERROR(VLOOKUP($A1378,原始数据_收盘!$A$4:$G$3460,3,0),"")</f>
        <v/>
      </c>
      <c r="D1378" t="str">
        <f>IFERROR(VLOOKUP($A1378,原始数据_收盘!$A$4:$G$3460,4,0),"")</f>
        <v/>
      </c>
      <c r="E1378" t="str">
        <f>IFERROR(VLOOKUP($A1378,原始数据_收盘!$A$4:$G$3460,5,0),"")</f>
        <v/>
      </c>
      <c r="F1378" t="str">
        <f>IFERROR(VLOOKUP($A1378,原始数据_收盘!$A$4:$G$3460,6,0),"")</f>
        <v/>
      </c>
      <c r="G1378" t="str">
        <f>IFERROR(VLOOKUP($A1378,原始数据_收盘!$A$4:$G$3460,7,0),"")</f>
        <v/>
      </c>
      <c r="H1378" t="str">
        <f>IFERROR(VLOOKUP($A1378,原始数据_利率互换_FR007_1年!$A$6:$C$4395,2,0),"")</f>
        <v/>
      </c>
      <c r="I1378" t="str">
        <f>IFERROR(VLOOKUP($A1378,原始数据_利率互换_FR007_1年!$A$6:$C$4395,3,0),"")</f>
        <v/>
      </c>
    </row>
    <row r="1379" spans="1:9">
      <c r="A1379" s="6">
        <v>40872</v>
      </c>
      <c r="B1379" t="str">
        <f>IFERROR(VLOOKUP($A1379,原始数据_收盘!$A$4:$G$3460,2,0),"")</f>
        <v/>
      </c>
      <c r="C1379" t="str">
        <f>IFERROR(VLOOKUP($A1379,原始数据_收盘!$A$4:$G$3460,3,0),"")</f>
        <v/>
      </c>
      <c r="D1379" t="str">
        <f>IFERROR(VLOOKUP($A1379,原始数据_收盘!$A$4:$G$3460,4,0),"")</f>
        <v/>
      </c>
      <c r="E1379" t="str">
        <f>IFERROR(VLOOKUP($A1379,原始数据_收盘!$A$4:$G$3460,5,0),"")</f>
        <v/>
      </c>
      <c r="F1379" t="str">
        <f>IFERROR(VLOOKUP($A1379,原始数据_收盘!$A$4:$G$3460,6,0),"")</f>
        <v/>
      </c>
      <c r="G1379" t="str">
        <f>IFERROR(VLOOKUP($A1379,原始数据_收盘!$A$4:$G$3460,7,0),"")</f>
        <v/>
      </c>
      <c r="H1379" t="str">
        <f>IFERROR(VLOOKUP($A1379,原始数据_利率互换_FR007_1年!$A$6:$C$4395,2,0),"")</f>
        <v/>
      </c>
      <c r="I1379" t="str">
        <f>IFERROR(VLOOKUP($A1379,原始数据_利率互换_FR007_1年!$A$6:$C$4395,3,0),"")</f>
        <v/>
      </c>
    </row>
    <row r="1380" spans="1:9">
      <c r="A1380" s="6">
        <v>40873</v>
      </c>
      <c r="B1380" t="str">
        <f>IFERROR(VLOOKUP($A1380,原始数据_收盘!$A$4:$G$3460,2,0),"")</f>
        <v/>
      </c>
      <c r="C1380" t="str">
        <f>IFERROR(VLOOKUP($A1380,原始数据_收盘!$A$4:$G$3460,3,0),"")</f>
        <v/>
      </c>
      <c r="D1380" t="str">
        <f>IFERROR(VLOOKUP($A1380,原始数据_收盘!$A$4:$G$3460,4,0),"")</f>
        <v/>
      </c>
      <c r="E1380" t="str">
        <f>IFERROR(VLOOKUP($A1380,原始数据_收盘!$A$4:$G$3460,5,0),"")</f>
        <v/>
      </c>
      <c r="F1380" t="str">
        <f>IFERROR(VLOOKUP($A1380,原始数据_收盘!$A$4:$G$3460,6,0),"")</f>
        <v/>
      </c>
      <c r="G1380" t="str">
        <f>IFERROR(VLOOKUP($A1380,原始数据_收盘!$A$4:$G$3460,7,0),"")</f>
        <v/>
      </c>
      <c r="H1380" t="str">
        <f>IFERROR(VLOOKUP($A1380,原始数据_利率互换_FR007_1年!$A$6:$C$4395,2,0),"")</f>
        <v/>
      </c>
      <c r="I1380" t="str">
        <f>IFERROR(VLOOKUP($A1380,原始数据_利率互换_FR007_1年!$A$6:$C$4395,3,0),"")</f>
        <v/>
      </c>
    </row>
    <row r="1381" spans="1:9">
      <c r="A1381" s="6">
        <v>40874</v>
      </c>
      <c r="B1381" t="str">
        <f>IFERROR(VLOOKUP($A1381,原始数据_收盘!$A$4:$G$3460,2,0),"")</f>
        <v/>
      </c>
      <c r="C1381" t="str">
        <f>IFERROR(VLOOKUP($A1381,原始数据_收盘!$A$4:$G$3460,3,0),"")</f>
        <v/>
      </c>
      <c r="D1381" t="str">
        <f>IFERROR(VLOOKUP($A1381,原始数据_收盘!$A$4:$G$3460,4,0),"")</f>
        <v/>
      </c>
      <c r="E1381" t="str">
        <f>IFERROR(VLOOKUP($A1381,原始数据_收盘!$A$4:$G$3460,5,0),"")</f>
        <v/>
      </c>
      <c r="F1381" t="str">
        <f>IFERROR(VLOOKUP($A1381,原始数据_收盘!$A$4:$G$3460,6,0),"")</f>
        <v/>
      </c>
      <c r="G1381" t="str">
        <f>IFERROR(VLOOKUP($A1381,原始数据_收盘!$A$4:$G$3460,7,0),"")</f>
        <v/>
      </c>
      <c r="H1381" t="str">
        <f>IFERROR(VLOOKUP($A1381,原始数据_利率互换_FR007_1年!$A$6:$C$4395,2,0),"")</f>
        <v/>
      </c>
      <c r="I1381" t="str">
        <f>IFERROR(VLOOKUP($A1381,原始数据_利率互换_FR007_1年!$A$6:$C$4395,3,0),"")</f>
        <v/>
      </c>
    </row>
    <row r="1382" spans="1:9">
      <c r="A1382" s="6">
        <v>40875</v>
      </c>
      <c r="B1382" t="str">
        <f>IFERROR(VLOOKUP($A1382,原始数据_收盘!$A$4:$G$3460,2,0),"")</f>
        <v/>
      </c>
      <c r="C1382" t="str">
        <f>IFERROR(VLOOKUP($A1382,原始数据_收盘!$A$4:$G$3460,3,0),"")</f>
        <v/>
      </c>
      <c r="D1382" t="str">
        <f>IFERROR(VLOOKUP($A1382,原始数据_收盘!$A$4:$G$3460,4,0),"")</f>
        <v/>
      </c>
      <c r="E1382" t="str">
        <f>IFERROR(VLOOKUP($A1382,原始数据_收盘!$A$4:$G$3460,5,0),"")</f>
        <v/>
      </c>
      <c r="F1382" t="str">
        <f>IFERROR(VLOOKUP($A1382,原始数据_收盘!$A$4:$G$3460,6,0),"")</f>
        <v/>
      </c>
      <c r="G1382" t="str">
        <f>IFERROR(VLOOKUP($A1382,原始数据_收盘!$A$4:$G$3460,7,0),"")</f>
        <v/>
      </c>
      <c r="H1382">
        <f>IFERROR(VLOOKUP($A1382,原始数据_利率互换_FR007_1年!$A$6:$C$4395,2,0),"")</f>
        <v>0</v>
      </c>
      <c r="I1382">
        <f>IFERROR(VLOOKUP($A1382,原始数据_利率互换_FR007_1年!$A$6:$C$4395,3,0),"")</f>
        <v>3.01</v>
      </c>
    </row>
    <row r="1383" spans="1:9">
      <c r="A1383" s="6">
        <v>40876</v>
      </c>
      <c r="B1383" t="str">
        <f>IFERROR(VLOOKUP($A1383,原始数据_收盘!$A$4:$G$3460,2,0),"")</f>
        <v/>
      </c>
      <c r="C1383" t="str">
        <f>IFERROR(VLOOKUP($A1383,原始数据_收盘!$A$4:$G$3460,3,0),"")</f>
        <v/>
      </c>
      <c r="D1383" t="str">
        <f>IFERROR(VLOOKUP($A1383,原始数据_收盘!$A$4:$G$3460,4,0),"")</f>
        <v/>
      </c>
      <c r="E1383" t="str">
        <f>IFERROR(VLOOKUP($A1383,原始数据_收盘!$A$4:$G$3460,5,0),"")</f>
        <v/>
      </c>
      <c r="F1383" t="str">
        <f>IFERROR(VLOOKUP($A1383,原始数据_收盘!$A$4:$G$3460,6,0),"")</f>
        <v/>
      </c>
      <c r="G1383" t="str">
        <f>IFERROR(VLOOKUP($A1383,原始数据_收盘!$A$4:$G$3460,7,0),"")</f>
        <v/>
      </c>
      <c r="H1383">
        <f>IFERROR(VLOOKUP($A1383,原始数据_利率互换_FR007_1年!$A$6:$C$4395,2,0),"")</f>
        <v>3.01</v>
      </c>
      <c r="I1383">
        <f>IFERROR(VLOOKUP($A1383,原始数据_利率互换_FR007_1年!$A$6:$C$4395,3,0),"")</f>
        <v>3.0189</v>
      </c>
    </row>
    <row r="1384" spans="1:9">
      <c r="A1384" s="6">
        <v>40877</v>
      </c>
      <c r="B1384" t="str">
        <f>IFERROR(VLOOKUP($A1384,原始数据_收盘!$A$4:$G$3460,2,0),"")</f>
        <v/>
      </c>
      <c r="C1384" t="str">
        <f>IFERROR(VLOOKUP($A1384,原始数据_收盘!$A$4:$G$3460,3,0),"")</f>
        <v/>
      </c>
      <c r="D1384" t="str">
        <f>IFERROR(VLOOKUP($A1384,原始数据_收盘!$A$4:$G$3460,4,0),"")</f>
        <v/>
      </c>
      <c r="E1384" t="str">
        <f>IFERROR(VLOOKUP($A1384,原始数据_收盘!$A$4:$G$3460,5,0),"")</f>
        <v/>
      </c>
      <c r="F1384" t="str">
        <f>IFERROR(VLOOKUP($A1384,原始数据_收盘!$A$4:$G$3460,6,0),"")</f>
        <v/>
      </c>
      <c r="G1384" t="str">
        <f>IFERROR(VLOOKUP($A1384,原始数据_收盘!$A$4:$G$3460,7,0),"")</f>
        <v/>
      </c>
      <c r="H1384">
        <f>IFERROR(VLOOKUP($A1384,原始数据_利率互换_FR007_1年!$A$6:$C$4395,2,0),"")</f>
        <v>3.0035</v>
      </c>
      <c r="I1384">
        <f>IFERROR(VLOOKUP($A1384,原始数据_利率互换_FR007_1年!$A$6:$C$4395,3,0),"")</f>
        <v>3.0188</v>
      </c>
    </row>
    <row r="1385" spans="1:9">
      <c r="A1385" s="6">
        <v>40878</v>
      </c>
      <c r="B1385" t="str">
        <f>IFERROR(VLOOKUP($A1385,原始数据_收盘!$A$4:$G$3460,2,0),"")</f>
        <v/>
      </c>
      <c r="C1385" t="str">
        <f>IFERROR(VLOOKUP($A1385,原始数据_收盘!$A$4:$G$3460,3,0),"")</f>
        <v/>
      </c>
      <c r="D1385" t="str">
        <f>IFERROR(VLOOKUP($A1385,原始数据_收盘!$A$4:$G$3460,4,0),"")</f>
        <v/>
      </c>
      <c r="E1385" t="str">
        <f>IFERROR(VLOOKUP($A1385,原始数据_收盘!$A$4:$G$3460,5,0),"")</f>
        <v/>
      </c>
      <c r="F1385" t="str">
        <f>IFERROR(VLOOKUP($A1385,原始数据_收盘!$A$4:$G$3460,6,0),"")</f>
        <v/>
      </c>
      <c r="G1385" t="str">
        <f>IFERROR(VLOOKUP($A1385,原始数据_收盘!$A$4:$G$3460,7,0),"")</f>
        <v/>
      </c>
      <c r="H1385">
        <f>IFERROR(VLOOKUP($A1385,原始数据_利率互换_FR007_1年!$A$6:$C$4395,2,0),"")</f>
        <v>2.8495</v>
      </c>
      <c r="I1385">
        <f>IFERROR(VLOOKUP($A1385,原始数据_利率互换_FR007_1年!$A$6:$C$4395,3,0),"")</f>
        <v>2.8715</v>
      </c>
    </row>
    <row r="1386" spans="1:9">
      <c r="A1386" s="6">
        <v>40879</v>
      </c>
      <c r="B1386" t="str">
        <f>IFERROR(VLOOKUP($A1386,原始数据_收盘!$A$4:$G$3460,2,0),"")</f>
        <v/>
      </c>
      <c r="C1386" t="str">
        <f>IFERROR(VLOOKUP($A1386,原始数据_收盘!$A$4:$G$3460,3,0),"")</f>
        <v/>
      </c>
      <c r="D1386" t="str">
        <f>IFERROR(VLOOKUP($A1386,原始数据_收盘!$A$4:$G$3460,4,0),"")</f>
        <v/>
      </c>
      <c r="E1386" t="str">
        <f>IFERROR(VLOOKUP($A1386,原始数据_收盘!$A$4:$G$3460,5,0),"")</f>
        <v/>
      </c>
      <c r="F1386" t="str">
        <f>IFERROR(VLOOKUP($A1386,原始数据_收盘!$A$4:$G$3460,6,0),"")</f>
        <v/>
      </c>
      <c r="G1386" t="str">
        <f>IFERROR(VLOOKUP($A1386,原始数据_收盘!$A$4:$G$3460,7,0),"")</f>
        <v/>
      </c>
      <c r="H1386">
        <f>IFERROR(VLOOKUP($A1386,原始数据_利率互换_FR007_1年!$A$6:$C$4395,2,0),"")</f>
        <v>2.7344</v>
      </c>
      <c r="I1386">
        <f>IFERROR(VLOOKUP($A1386,原始数据_利率互换_FR007_1年!$A$6:$C$4395,3,0),"")</f>
        <v>2.87</v>
      </c>
    </row>
    <row r="1387" spans="1:9">
      <c r="A1387" s="6">
        <v>40880</v>
      </c>
      <c r="B1387" t="str">
        <f>IFERROR(VLOOKUP($A1387,原始数据_收盘!$A$4:$G$3460,2,0),"")</f>
        <v/>
      </c>
      <c r="C1387" t="str">
        <f>IFERROR(VLOOKUP($A1387,原始数据_收盘!$A$4:$G$3460,3,0),"")</f>
        <v/>
      </c>
      <c r="D1387" t="str">
        <f>IFERROR(VLOOKUP($A1387,原始数据_收盘!$A$4:$G$3460,4,0),"")</f>
        <v/>
      </c>
      <c r="E1387" t="str">
        <f>IFERROR(VLOOKUP($A1387,原始数据_收盘!$A$4:$G$3460,5,0),"")</f>
        <v/>
      </c>
      <c r="F1387" t="str">
        <f>IFERROR(VLOOKUP($A1387,原始数据_收盘!$A$4:$G$3460,6,0),"")</f>
        <v/>
      </c>
      <c r="G1387" t="str">
        <f>IFERROR(VLOOKUP($A1387,原始数据_收盘!$A$4:$G$3460,7,0),"")</f>
        <v/>
      </c>
      <c r="H1387" t="str">
        <f>IFERROR(VLOOKUP($A1387,原始数据_利率互换_FR007_1年!$A$6:$C$4395,2,0),"")</f>
        <v/>
      </c>
      <c r="I1387" t="str">
        <f>IFERROR(VLOOKUP($A1387,原始数据_利率互换_FR007_1年!$A$6:$C$4395,3,0),"")</f>
        <v/>
      </c>
    </row>
    <row r="1388" spans="1:9">
      <c r="A1388" s="6">
        <v>40881</v>
      </c>
      <c r="B1388" t="str">
        <f>IFERROR(VLOOKUP($A1388,原始数据_收盘!$A$4:$G$3460,2,0),"")</f>
        <v/>
      </c>
      <c r="C1388" t="str">
        <f>IFERROR(VLOOKUP($A1388,原始数据_收盘!$A$4:$G$3460,3,0),"")</f>
        <v/>
      </c>
      <c r="D1388" t="str">
        <f>IFERROR(VLOOKUP($A1388,原始数据_收盘!$A$4:$G$3460,4,0),"")</f>
        <v/>
      </c>
      <c r="E1388" t="str">
        <f>IFERROR(VLOOKUP($A1388,原始数据_收盘!$A$4:$G$3460,5,0),"")</f>
        <v/>
      </c>
      <c r="F1388" t="str">
        <f>IFERROR(VLOOKUP($A1388,原始数据_收盘!$A$4:$G$3460,6,0),"")</f>
        <v/>
      </c>
      <c r="G1388" t="str">
        <f>IFERROR(VLOOKUP($A1388,原始数据_收盘!$A$4:$G$3460,7,0),"")</f>
        <v/>
      </c>
      <c r="H1388" t="str">
        <f>IFERROR(VLOOKUP($A1388,原始数据_利率互换_FR007_1年!$A$6:$C$4395,2,0),"")</f>
        <v/>
      </c>
      <c r="I1388" t="str">
        <f>IFERROR(VLOOKUP($A1388,原始数据_利率互换_FR007_1年!$A$6:$C$4395,3,0),"")</f>
        <v/>
      </c>
    </row>
    <row r="1389" spans="1:9">
      <c r="A1389" s="6">
        <v>40882</v>
      </c>
      <c r="B1389" t="str">
        <f>IFERROR(VLOOKUP($A1389,原始数据_收盘!$A$4:$G$3460,2,0),"")</f>
        <v/>
      </c>
      <c r="C1389" t="str">
        <f>IFERROR(VLOOKUP($A1389,原始数据_收盘!$A$4:$G$3460,3,0),"")</f>
        <v/>
      </c>
      <c r="D1389" t="str">
        <f>IFERROR(VLOOKUP($A1389,原始数据_收盘!$A$4:$G$3460,4,0),"")</f>
        <v/>
      </c>
      <c r="E1389" t="str">
        <f>IFERROR(VLOOKUP($A1389,原始数据_收盘!$A$4:$G$3460,5,0),"")</f>
        <v/>
      </c>
      <c r="F1389" t="str">
        <f>IFERROR(VLOOKUP($A1389,原始数据_收盘!$A$4:$G$3460,6,0),"")</f>
        <v/>
      </c>
      <c r="G1389" t="str">
        <f>IFERROR(VLOOKUP($A1389,原始数据_收盘!$A$4:$G$3460,7,0),"")</f>
        <v/>
      </c>
      <c r="H1389">
        <f>IFERROR(VLOOKUP($A1389,原始数据_利率互换_FR007_1年!$A$6:$C$4395,2,0),"")</f>
        <v>2.6638</v>
      </c>
      <c r="I1389">
        <f>IFERROR(VLOOKUP($A1389,原始数据_利率互换_FR007_1年!$A$6:$C$4395,3,0),"")</f>
        <v>0</v>
      </c>
    </row>
    <row r="1390" spans="1:9">
      <c r="A1390" s="6">
        <v>40883</v>
      </c>
      <c r="B1390" t="str">
        <f>IFERROR(VLOOKUP($A1390,原始数据_收盘!$A$4:$G$3460,2,0),"")</f>
        <v/>
      </c>
      <c r="C1390" t="str">
        <f>IFERROR(VLOOKUP($A1390,原始数据_收盘!$A$4:$G$3460,3,0),"")</f>
        <v/>
      </c>
      <c r="D1390" t="str">
        <f>IFERROR(VLOOKUP($A1390,原始数据_收盘!$A$4:$G$3460,4,0),"")</f>
        <v/>
      </c>
      <c r="E1390" t="str">
        <f>IFERROR(VLOOKUP($A1390,原始数据_收盘!$A$4:$G$3460,5,0),"")</f>
        <v/>
      </c>
      <c r="F1390" t="str">
        <f>IFERROR(VLOOKUP($A1390,原始数据_收盘!$A$4:$G$3460,6,0),"")</f>
        <v/>
      </c>
      <c r="G1390" t="str">
        <f>IFERROR(VLOOKUP($A1390,原始数据_收盘!$A$4:$G$3460,7,0),"")</f>
        <v/>
      </c>
      <c r="H1390">
        <f>IFERROR(VLOOKUP($A1390,原始数据_利率互换_FR007_1年!$A$6:$C$4395,2,0),"")</f>
        <v>2.7013</v>
      </c>
      <c r="I1390">
        <f>IFERROR(VLOOKUP($A1390,原始数据_利率互换_FR007_1年!$A$6:$C$4395,3,0),"")</f>
        <v>0</v>
      </c>
    </row>
    <row r="1391" spans="1:9">
      <c r="A1391" s="6">
        <v>40884</v>
      </c>
      <c r="B1391" t="str">
        <f>IFERROR(VLOOKUP($A1391,原始数据_收盘!$A$4:$G$3460,2,0),"")</f>
        <v/>
      </c>
      <c r="C1391" t="str">
        <f>IFERROR(VLOOKUP($A1391,原始数据_收盘!$A$4:$G$3460,3,0),"")</f>
        <v/>
      </c>
      <c r="D1391" t="str">
        <f>IFERROR(VLOOKUP($A1391,原始数据_收盘!$A$4:$G$3460,4,0),"")</f>
        <v/>
      </c>
      <c r="E1391" t="str">
        <f>IFERROR(VLOOKUP($A1391,原始数据_收盘!$A$4:$G$3460,5,0),"")</f>
        <v/>
      </c>
      <c r="F1391" t="str">
        <f>IFERROR(VLOOKUP($A1391,原始数据_收盘!$A$4:$G$3460,6,0),"")</f>
        <v/>
      </c>
      <c r="G1391" t="str">
        <f>IFERROR(VLOOKUP($A1391,原始数据_收盘!$A$4:$G$3460,7,0),"")</f>
        <v/>
      </c>
      <c r="H1391">
        <f>IFERROR(VLOOKUP($A1391,原始数据_利率互换_FR007_1年!$A$6:$C$4395,2,0),"")</f>
        <v>2.7589</v>
      </c>
      <c r="I1391">
        <f>IFERROR(VLOOKUP($A1391,原始数据_利率互换_FR007_1年!$A$6:$C$4395,3,0),"")</f>
        <v>2.93</v>
      </c>
    </row>
    <row r="1392" spans="1:9">
      <c r="A1392" s="6">
        <v>40885</v>
      </c>
      <c r="B1392" t="str">
        <f>IFERROR(VLOOKUP($A1392,原始数据_收盘!$A$4:$G$3460,2,0),"")</f>
        <v/>
      </c>
      <c r="C1392" t="str">
        <f>IFERROR(VLOOKUP($A1392,原始数据_收盘!$A$4:$G$3460,3,0),"")</f>
        <v/>
      </c>
      <c r="D1392" t="str">
        <f>IFERROR(VLOOKUP($A1392,原始数据_收盘!$A$4:$G$3460,4,0),"")</f>
        <v/>
      </c>
      <c r="E1392" t="str">
        <f>IFERROR(VLOOKUP($A1392,原始数据_收盘!$A$4:$G$3460,5,0),"")</f>
        <v/>
      </c>
      <c r="F1392" t="str">
        <f>IFERROR(VLOOKUP($A1392,原始数据_收盘!$A$4:$G$3460,6,0),"")</f>
        <v/>
      </c>
      <c r="G1392" t="str">
        <f>IFERROR(VLOOKUP($A1392,原始数据_收盘!$A$4:$G$3460,7,0),"")</f>
        <v/>
      </c>
      <c r="H1392" t="str">
        <f>IFERROR(VLOOKUP($A1392,原始数据_利率互换_FR007_1年!$A$6:$C$4395,2,0),"")</f>
        <v/>
      </c>
      <c r="I1392" t="str">
        <f>IFERROR(VLOOKUP($A1392,原始数据_利率互换_FR007_1年!$A$6:$C$4395,3,0),"")</f>
        <v/>
      </c>
    </row>
    <row r="1393" spans="1:9">
      <c r="A1393" s="6">
        <v>40886</v>
      </c>
      <c r="B1393" t="str">
        <f>IFERROR(VLOOKUP($A1393,原始数据_收盘!$A$4:$G$3460,2,0),"")</f>
        <v/>
      </c>
      <c r="C1393" t="str">
        <f>IFERROR(VLOOKUP($A1393,原始数据_收盘!$A$4:$G$3460,3,0),"")</f>
        <v/>
      </c>
      <c r="D1393" t="str">
        <f>IFERROR(VLOOKUP($A1393,原始数据_收盘!$A$4:$G$3460,4,0),"")</f>
        <v/>
      </c>
      <c r="E1393" t="str">
        <f>IFERROR(VLOOKUP($A1393,原始数据_收盘!$A$4:$G$3460,5,0),"")</f>
        <v/>
      </c>
      <c r="F1393" t="str">
        <f>IFERROR(VLOOKUP($A1393,原始数据_收盘!$A$4:$G$3460,6,0),"")</f>
        <v/>
      </c>
      <c r="G1393" t="str">
        <f>IFERROR(VLOOKUP($A1393,原始数据_收盘!$A$4:$G$3460,7,0),"")</f>
        <v/>
      </c>
      <c r="H1393">
        <f>IFERROR(VLOOKUP($A1393,原始数据_利率互换_FR007_1年!$A$6:$C$4395,2,0),"")</f>
        <v>2.76</v>
      </c>
      <c r="I1393">
        <f>IFERROR(VLOOKUP($A1393,原始数据_利率互换_FR007_1年!$A$6:$C$4395,3,0),"")</f>
        <v>2.94</v>
      </c>
    </row>
    <row r="1394" spans="1:9">
      <c r="A1394" s="6">
        <v>40887</v>
      </c>
      <c r="B1394" t="str">
        <f>IFERROR(VLOOKUP($A1394,原始数据_收盘!$A$4:$G$3460,2,0),"")</f>
        <v/>
      </c>
      <c r="C1394" t="str">
        <f>IFERROR(VLOOKUP($A1394,原始数据_收盘!$A$4:$G$3460,3,0),"")</f>
        <v/>
      </c>
      <c r="D1394" t="str">
        <f>IFERROR(VLOOKUP($A1394,原始数据_收盘!$A$4:$G$3460,4,0),"")</f>
        <v/>
      </c>
      <c r="E1394" t="str">
        <f>IFERROR(VLOOKUP($A1394,原始数据_收盘!$A$4:$G$3460,5,0),"")</f>
        <v/>
      </c>
      <c r="F1394" t="str">
        <f>IFERROR(VLOOKUP($A1394,原始数据_收盘!$A$4:$G$3460,6,0),"")</f>
        <v/>
      </c>
      <c r="G1394" t="str">
        <f>IFERROR(VLOOKUP($A1394,原始数据_收盘!$A$4:$G$3460,7,0),"")</f>
        <v/>
      </c>
      <c r="H1394" t="str">
        <f>IFERROR(VLOOKUP($A1394,原始数据_利率互换_FR007_1年!$A$6:$C$4395,2,0),"")</f>
        <v/>
      </c>
      <c r="I1394" t="str">
        <f>IFERROR(VLOOKUP($A1394,原始数据_利率互换_FR007_1年!$A$6:$C$4395,3,0),"")</f>
        <v/>
      </c>
    </row>
    <row r="1395" spans="1:9">
      <c r="A1395" s="6">
        <v>40888</v>
      </c>
      <c r="B1395" t="str">
        <f>IFERROR(VLOOKUP($A1395,原始数据_收盘!$A$4:$G$3460,2,0),"")</f>
        <v/>
      </c>
      <c r="C1395" t="str">
        <f>IFERROR(VLOOKUP($A1395,原始数据_收盘!$A$4:$G$3460,3,0),"")</f>
        <v/>
      </c>
      <c r="D1395" t="str">
        <f>IFERROR(VLOOKUP($A1395,原始数据_收盘!$A$4:$G$3460,4,0),"")</f>
        <v/>
      </c>
      <c r="E1395" t="str">
        <f>IFERROR(VLOOKUP($A1395,原始数据_收盘!$A$4:$G$3460,5,0),"")</f>
        <v/>
      </c>
      <c r="F1395" t="str">
        <f>IFERROR(VLOOKUP($A1395,原始数据_收盘!$A$4:$G$3460,6,0),"")</f>
        <v/>
      </c>
      <c r="G1395" t="str">
        <f>IFERROR(VLOOKUP($A1395,原始数据_收盘!$A$4:$G$3460,7,0),"")</f>
        <v/>
      </c>
      <c r="H1395" t="str">
        <f>IFERROR(VLOOKUP($A1395,原始数据_利率互换_FR007_1年!$A$6:$C$4395,2,0),"")</f>
        <v/>
      </c>
      <c r="I1395" t="str">
        <f>IFERROR(VLOOKUP($A1395,原始数据_利率互换_FR007_1年!$A$6:$C$4395,3,0),"")</f>
        <v/>
      </c>
    </row>
    <row r="1396" spans="1:9">
      <c r="A1396" s="6">
        <v>40889</v>
      </c>
      <c r="B1396" t="str">
        <f>IFERROR(VLOOKUP($A1396,原始数据_收盘!$A$4:$G$3460,2,0),"")</f>
        <v/>
      </c>
      <c r="C1396" t="str">
        <f>IFERROR(VLOOKUP($A1396,原始数据_收盘!$A$4:$G$3460,3,0),"")</f>
        <v/>
      </c>
      <c r="D1396" t="str">
        <f>IFERROR(VLOOKUP($A1396,原始数据_收盘!$A$4:$G$3460,4,0),"")</f>
        <v/>
      </c>
      <c r="E1396" t="str">
        <f>IFERROR(VLOOKUP($A1396,原始数据_收盘!$A$4:$G$3460,5,0),"")</f>
        <v/>
      </c>
      <c r="F1396" t="str">
        <f>IFERROR(VLOOKUP($A1396,原始数据_收盘!$A$4:$G$3460,6,0),"")</f>
        <v/>
      </c>
      <c r="G1396" t="str">
        <f>IFERROR(VLOOKUP($A1396,原始数据_收盘!$A$4:$G$3460,7,0),"")</f>
        <v/>
      </c>
      <c r="H1396">
        <f>IFERROR(VLOOKUP($A1396,原始数据_利率互换_FR007_1年!$A$6:$C$4395,2,0),"")</f>
        <v>2.8067</v>
      </c>
      <c r="I1396">
        <f>IFERROR(VLOOKUP($A1396,原始数据_利率互换_FR007_1年!$A$6:$C$4395,3,0),"")</f>
        <v>0</v>
      </c>
    </row>
    <row r="1397" spans="1:9">
      <c r="A1397" s="6">
        <v>40890</v>
      </c>
      <c r="B1397" t="str">
        <f>IFERROR(VLOOKUP($A1397,原始数据_收盘!$A$4:$G$3460,2,0),"")</f>
        <v/>
      </c>
      <c r="C1397" t="str">
        <f>IFERROR(VLOOKUP($A1397,原始数据_收盘!$A$4:$G$3460,3,0),"")</f>
        <v/>
      </c>
      <c r="D1397" t="str">
        <f>IFERROR(VLOOKUP($A1397,原始数据_收盘!$A$4:$G$3460,4,0),"")</f>
        <v/>
      </c>
      <c r="E1397" t="str">
        <f>IFERROR(VLOOKUP($A1397,原始数据_收盘!$A$4:$G$3460,5,0),"")</f>
        <v/>
      </c>
      <c r="F1397" t="str">
        <f>IFERROR(VLOOKUP($A1397,原始数据_收盘!$A$4:$G$3460,6,0),"")</f>
        <v/>
      </c>
      <c r="G1397" t="str">
        <f>IFERROR(VLOOKUP($A1397,原始数据_收盘!$A$4:$G$3460,7,0),"")</f>
        <v/>
      </c>
      <c r="H1397">
        <f>IFERROR(VLOOKUP($A1397,原始数据_利率互换_FR007_1年!$A$6:$C$4395,2,0),"")</f>
        <v>2.895</v>
      </c>
      <c r="I1397">
        <f>IFERROR(VLOOKUP($A1397,原始数据_利率互换_FR007_1年!$A$6:$C$4395,3,0),"")</f>
        <v>0</v>
      </c>
    </row>
    <row r="1398" spans="1:9">
      <c r="A1398" s="6">
        <v>40891</v>
      </c>
      <c r="B1398" t="str">
        <f>IFERROR(VLOOKUP($A1398,原始数据_收盘!$A$4:$G$3460,2,0),"")</f>
        <v/>
      </c>
      <c r="C1398" t="str">
        <f>IFERROR(VLOOKUP($A1398,原始数据_收盘!$A$4:$G$3460,3,0),"")</f>
        <v/>
      </c>
      <c r="D1398" t="str">
        <f>IFERROR(VLOOKUP($A1398,原始数据_收盘!$A$4:$G$3460,4,0),"")</f>
        <v/>
      </c>
      <c r="E1398" t="str">
        <f>IFERROR(VLOOKUP($A1398,原始数据_收盘!$A$4:$G$3460,5,0),"")</f>
        <v/>
      </c>
      <c r="F1398" t="str">
        <f>IFERROR(VLOOKUP($A1398,原始数据_收盘!$A$4:$G$3460,6,0),"")</f>
        <v/>
      </c>
      <c r="G1398" t="str">
        <f>IFERROR(VLOOKUP($A1398,原始数据_收盘!$A$4:$G$3460,7,0),"")</f>
        <v/>
      </c>
      <c r="H1398">
        <f>IFERROR(VLOOKUP($A1398,原始数据_利率互换_FR007_1年!$A$6:$C$4395,2,0),"")</f>
        <v>2.8582</v>
      </c>
      <c r="I1398">
        <f>IFERROR(VLOOKUP($A1398,原始数据_利率互换_FR007_1年!$A$6:$C$4395,3,0),"")</f>
        <v>0</v>
      </c>
    </row>
    <row r="1399" spans="1:9">
      <c r="A1399" s="6">
        <v>40892</v>
      </c>
      <c r="B1399" t="str">
        <f>IFERROR(VLOOKUP($A1399,原始数据_收盘!$A$4:$G$3460,2,0),"")</f>
        <v/>
      </c>
      <c r="C1399" t="str">
        <f>IFERROR(VLOOKUP($A1399,原始数据_收盘!$A$4:$G$3460,3,0),"")</f>
        <v/>
      </c>
      <c r="D1399" t="str">
        <f>IFERROR(VLOOKUP($A1399,原始数据_收盘!$A$4:$G$3460,4,0),"")</f>
        <v/>
      </c>
      <c r="E1399" t="str">
        <f>IFERROR(VLOOKUP($A1399,原始数据_收盘!$A$4:$G$3460,5,0),"")</f>
        <v/>
      </c>
      <c r="F1399" t="str">
        <f>IFERROR(VLOOKUP($A1399,原始数据_收盘!$A$4:$G$3460,6,0),"")</f>
        <v/>
      </c>
      <c r="G1399" t="str">
        <f>IFERROR(VLOOKUP($A1399,原始数据_收盘!$A$4:$G$3460,7,0),"")</f>
        <v/>
      </c>
      <c r="H1399">
        <f>IFERROR(VLOOKUP($A1399,原始数据_利率互换_FR007_1年!$A$6:$C$4395,2,0),"")</f>
        <v>2.82</v>
      </c>
      <c r="I1399">
        <f>IFERROR(VLOOKUP($A1399,原始数据_利率互换_FR007_1年!$A$6:$C$4395,3,0),"")</f>
        <v>2.92</v>
      </c>
    </row>
    <row r="1400" spans="1:9">
      <c r="A1400" s="6">
        <v>40893</v>
      </c>
      <c r="B1400" t="str">
        <f>IFERROR(VLOOKUP($A1400,原始数据_收盘!$A$4:$G$3460,2,0),"")</f>
        <v/>
      </c>
      <c r="C1400" t="str">
        <f>IFERROR(VLOOKUP($A1400,原始数据_收盘!$A$4:$G$3460,3,0),"")</f>
        <v/>
      </c>
      <c r="D1400" t="str">
        <f>IFERROR(VLOOKUP($A1400,原始数据_收盘!$A$4:$G$3460,4,0),"")</f>
        <v/>
      </c>
      <c r="E1400" t="str">
        <f>IFERROR(VLOOKUP($A1400,原始数据_收盘!$A$4:$G$3460,5,0),"")</f>
        <v/>
      </c>
      <c r="F1400" t="str">
        <f>IFERROR(VLOOKUP($A1400,原始数据_收盘!$A$4:$G$3460,6,0),"")</f>
        <v/>
      </c>
      <c r="G1400" t="str">
        <f>IFERROR(VLOOKUP($A1400,原始数据_收盘!$A$4:$G$3460,7,0),"")</f>
        <v/>
      </c>
      <c r="H1400">
        <f>IFERROR(VLOOKUP($A1400,原始数据_利率互换_FR007_1年!$A$6:$C$4395,2,0),"")</f>
        <v>2.7829</v>
      </c>
      <c r="I1400">
        <f>IFERROR(VLOOKUP($A1400,原始数据_利率互换_FR007_1年!$A$6:$C$4395,3,0),"")</f>
        <v>2.9192</v>
      </c>
    </row>
    <row r="1401" spans="1:9">
      <c r="A1401" s="6">
        <v>40894</v>
      </c>
      <c r="B1401" t="str">
        <f>IFERROR(VLOOKUP($A1401,原始数据_收盘!$A$4:$G$3460,2,0),"")</f>
        <v/>
      </c>
      <c r="C1401" t="str">
        <f>IFERROR(VLOOKUP($A1401,原始数据_收盘!$A$4:$G$3460,3,0),"")</f>
        <v/>
      </c>
      <c r="D1401" t="str">
        <f>IFERROR(VLOOKUP($A1401,原始数据_收盘!$A$4:$G$3460,4,0),"")</f>
        <v/>
      </c>
      <c r="E1401" t="str">
        <f>IFERROR(VLOOKUP($A1401,原始数据_收盘!$A$4:$G$3460,5,0),"")</f>
        <v/>
      </c>
      <c r="F1401" t="str">
        <f>IFERROR(VLOOKUP($A1401,原始数据_收盘!$A$4:$G$3460,6,0),"")</f>
        <v/>
      </c>
      <c r="G1401" t="str">
        <f>IFERROR(VLOOKUP($A1401,原始数据_收盘!$A$4:$G$3460,7,0),"")</f>
        <v/>
      </c>
      <c r="H1401" t="str">
        <f>IFERROR(VLOOKUP($A1401,原始数据_利率互换_FR007_1年!$A$6:$C$4395,2,0),"")</f>
        <v/>
      </c>
      <c r="I1401" t="str">
        <f>IFERROR(VLOOKUP($A1401,原始数据_利率互换_FR007_1年!$A$6:$C$4395,3,0),"")</f>
        <v/>
      </c>
    </row>
    <row r="1402" spans="1:9">
      <c r="A1402" s="6">
        <v>40895</v>
      </c>
      <c r="B1402" t="str">
        <f>IFERROR(VLOOKUP($A1402,原始数据_收盘!$A$4:$G$3460,2,0),"")</f>
        <v/>
      </c>
      <c r="C1402" t="str">
        <f>IFERROR(VLOOKUP($A1402,原始数据_收盘!$A$4:$G$3460,3,0),"")</f>
        <v/>
      </c>
      <c r="D1402" t="str">
        <f>IFERROR(VLOOKUP($A1402,原始数据_收盘!$A$4:$G$3460,4,0),"")</f>
        <v/>
      </c>
      <c r="E1402" t="str">
        <f>IFERROR(VLOOKUP($A1402,原始数据_收盘!$A$4:$G$3460,5,0),"")</f>
        <v/>
      </c>
      <c r="F1402" t="str">
        <f>IFERROR(VLOOKUP($A1402,原始数据_收盘!$A$4:$G$3460,6,0),"")</f>
        <v/>
      </c>
      <c r="G1402" t="str">
        <f>IFERROR(VLOOKUP($A1402,原始数据_收盘!$A$4:$G$3460,7,0),"")</f>
        <v/>
      </c>
      <c r="H1402" t="str">
        <f>IFERROR(VLOOKUP($A1402,原始数据_利率互换_FR007_1年!$A$6:$C$4395,2,0),"")</f>
        <v/>
      </c>
      <c r="I1402" t="str">
        <f>IFERROR(VLOOKUP($A1402,原始数据_利率互换_FR007_1年!$A$6:$C$4395,3,0),"")</f>
        <v/>
      </c>
    </row>
    <row r="1403" spans="1:9">
      <c r="A1403" s="6">
        <v>40896</v>
      </c>
      <c r="B1403" t="str">
        <f>IFERROR(VLOOKUP($A1403,原始数据_收盘!$A$4:$G$3460,2,0),"")</f>
        <v/>
      </c>
      <c r="C1403" t="str">
        <f>IFERROR(VLOOKUP($A1403,原始数据_收盘!$A$4:$G$3460,3,0),"")</f>
        <v/>
      </c>
      <c r="D1403" t="str">
        <f>IFERROR(VLOOKUP($A1403,原始数据_收盘!$A$4:$G$3460,4,0),"")</f>
        <v/>
      </c>
      <c r="E1403" t="str">
        <f>IFERROR(VLOOKUP($A1403,原始数据_收盘!$A$4:$G$3460,5,0),"")</f>
        <v/>
      </c>
      <c r="F1403" t="str">
        <f>IFERROR(VLOOKUP($A1403,原始数据_收盘!$A$4:$G$3460,6,0),"")</f>
        <v/>
      </c>
      <c r="G1403" t="str">
        <f>IFERROR(VLOOKUP($A1403,原始数据_收盘!$A$4:$G$3460,7,0),"")</f>
        <v/>
      </c>
      <c r="H1403">
        <f>IFERROR(VLOOKUP($A1403,原始数据_利率互换_FR007_1年!$A$6:$C$4395,2,0),"")</f>
        <v>2.7111</v>
      </c>
      <c r="I1403">
        <f>IFERROR(VLOOKUP($A1403,原始数据_利率互换_FR007_1年!$A$6:$C$4395,3,0),"")</f>
        <v>2.86</v>
      </c>
    </row>
    <row r="1404" spans="1:9">
      <c r="A1404" s="6">
        <v>40897</v>
      </c>
      <c r="B1404" t="str">
        <f>IFERROR(VLOOKUP($A1404,原始数据_收盘!$A$4:$G$3460,2,0),"")</f>
        <v/>
      </c>
      <c r="C1404" t="str">
        <f>IFERROR(VLOOKUP($A1404,原始数据_收盘!$A$4:$G$3460,3,0),"")</f>
        <v/>
      </c>
      <c r="D1404" t="str">
        <f>IFERROR(VLOOKUP($A1404,原始数据_收盘!$A$4:$G$3460,4,0),"")</f>
        <v/>
      </c>
      <c r="E1404" t="str">
        <f>IFERROR(VLOOKUP($A1404,原始数据_收盘!$A$4:$G$3460,5,0),"")</f>
        <v/>
      </c>
      <c r="F1404" t="str">
        <f>IFERROR(VLOOKUP($A1404,原始数据_收盘!$A$4:$G$3460,6,0),"")</f>
        <v/>
      </c>
      <c r="G1404" t="str">
        <f>IFERROR(VLOOKUP($A1404,原始数据_收盘!$A$4:$G$3460,7,0),"")</f>
        <v/>
      </c>
      <c r="H1404">
        <f>IFERROR(VLOOKUP($A1404,原始数据_利率互换_FR007_1年!$A$6:$C$4395,2,0),"")</f>
        <v>2.7167</v>
      </c>
      <c r="I1404">
        <f>IFERROR(VLOOKUP($A1404,原始数据_利率互换_FR007_1年!$A$6:$C$4395,3,0),"")</f>
        <v>0</v>
      </c>
    </row>
    <row r="1405" spans="1:9">
      <c r="A1405" s="6">
        <v>40898</v>
      </c>
      <c r="B1405" t="str">
        <f>IFERROR(VLOOKUP($A1405,原始数据_收盘!$A$4:$G$3460,2,0),"")</f>
        <v/>
      </c>
      <c r="C1405" t="str">
        <f>IFERROR(VLOOKUP($A1405,原始数据_收盘!$A$4:$G$3460,3,0),"")</f>
        <v/>
      </c>
      <c r="D1405" t="str">
        <f>IFERROR(VLOOKUP($A1405,原始数据_收盘!$A$4:$G$3460,4,0),"")</f>
        <v/>
      </c>
      <c r="E1405" t="str">
        <f>IFERROR(VLOOKUP($A1405,原始数据_收盘!$A$4:$G$3460,5,0),"")</f>
        <v/>
      </c>
      <c r="F1405" t="str">
        <f>IFERROR(VLOOKUP($A1405,原始数据_收盘!$A$4:$G$3460,6,0),"")</f>
        <v/>
      </c>
      <c r="G1405" t="str">
        <f>IFERROR(VLOOKUP($A1405,原始数据_收盘!$A$4:$G$3460,7,0),"")</f>
        <v/>
      </c>
      <c r="H1405">
        <f>IFERROR(VLOOKUP($A1405,原始数据_利率互换_FR007_1年!$A$6:$C$4395,2,0),"")</f>
        <v>2.7757</v>
      </c>
      <c r="I1405">
        <f>IFERROR(VLOOKUP($A1405,原始数据_利率互换_FR007_1年!$A$6:$C$4395,3,0),"")</f>
        <v>2.88</v>
      </c>
    </row>
    <row r="1406" spans="1:9">
      <c r="A1406" s="6">
        <v>40899</v>
      </c>
      <c r="B1406" t="str">
        <f>IFERROR(VLOOKUP($A1406,原始数据_收盘!$A$4:$G$3460,2,0),"")</f>
        <v/>
      </c>
      <c r="C1406" t="str">
        <f>IFERROR(VLOOKUP($A1406,原始数据_收盘!$A$4:$G$3460,3,0),"")</f>
        <v/>
      </c>
      <c r="D1406" t="str">
        <f>IFERROR(VLOOKUP($A1406,原始数据_收盘!$A$4:$G$3460,4,0),"")</f>
        <v/>
      </c>
      <c r="E1406" t="str">
        <f>IFERROR(VLOOKUP($A1406,原始数据_收盘!$A$4:$G$3460,5,0),"")</f>
        <v/>
      </c>
      <c r="F1406" t="str">
        <f>IFERROR(VLOOKUP($A1406,原始数据_收盘!$A$4:$G$3460,6,0),"")</f>
        <v/>
      </c>
      <c r="G1406" t="str">
        <f>IFERROR(VLOOKUP($A1406,原始数据_收盘!$A$4:$G$3460,7,0),"")</f>
        <v/>
      </c>
      <c r="H1406">
        <f>IFERROR(VLOOKUP($A1406,原始数据_利率互换_FR007_1年!$A$6:$C$4395,2,0),"")</f>
        <v>2.7986</v>
      </c>
      <c r="I1406">
        <f>IFERROR(VLOOKUP($A1406,原始数据_利率互换_FR007_1年!$A$6:$C$4395,3,0),"")</f>
        <v>0</v>
      </c>
    </row>
    <row r="1407" spans="1:9">
      <c r="A1407" s="6">
        <v>40900</v>
      </c>
      <c r="B1407" t="str">
        <f>IFERROR(VLOOKUP($A1407,原始数据_收盘!$A$4:$G$3460,2,0),"")</f>
        <v/>
      </c>
      <c r="C1407" t="str">
        <f>IFERROR(VLOOKUP($A1407,原始数据_收盘!$A$4:$G$3460,3,0),"")</f>
        <v/>
      </c>
      <c r="D1407" t="str">
        <f>IFERROR(VLOOKUP($A1407,原始数据_收盘!$A$4:$G$3460,4,0),"")</f>
        <v/>
      </c>
      <c r="E1407" t="str">
        <f>IFERROR(VLOOKUP($A1407,原始数据_收盘!$A$4:$G$3460,5,0),"")</f>
        <v/>
      </c>
      <c r="F1407" t="str">
        <f>IFERROR(VLOOKUP($A1407,原始数据_收盘!$A$4:$G$3460,6,0),"")</f>
        <v/>
      </c>
      <c r="G1407" t="str">
        <f>IFERROR(VLOOKUP($A1407,原始数据_收盘!$A$4:$G$3460,7,0),"")</f>
        <v/>
      </c>
      <c r="H1407">
        <f>IFERROR(VLOOKUP($A1407,原始数据_利率互换_FR007_1年!$A$6:$C$4395,2,0),"")</f>
        <v>2.745</v>
      </c>
      <c r="I1407">
        <f>IFERROR(VLOOKUP($A1407,原始数据_利率互换_FR007_1年!$A$6:$C$4395,3,0),"")</f>
        <v>0</v>
      </c>
    </row>
    <row r="1408" spans="1:9">
      <c r="A1408" s="6">
        <v>40901</v>
      </c>
      <c r="B1408" t="str">
        <f>IFERROR(VLOOKUP($A1408,原始数据_收盘!$A$4:$G$3460,2,0),"")</f>
        <v/>
      </c>
      <c r="C1408" t="str">
        <f>IFERROR(VLOOKUP($A1408,原始数据_收盘!$A$4:$G$3460,3,0),"")</f>
        <v/>
      </c>
      <c r="D1408" t="str">
        <f>IFERROR(VLOOKUP($A1408,原始数据_收盘!$A$4:$G$3460,4,0),"")</f>
        <v/>
      </c>
      <c r="E1408" t="str">
        <f>IFERROR(VLOOKUP($A1408,原始数据_收盘!$A$4:$G$3460,5,0),"")</f>
        <v/>
      </c>
      <c r="F1408" t="str">
        <f>IFERROR(VLOOKUP($A1408,原始数据_收盘!$A$4:$G$3460,6,0),"")</f>
        <v/>
      </c>
      <c r="G1408" t="str">
        <f>IFERROR(VLOOKUP($A1408,原始数据_收盘!$A$4:$G$3460,7,0),"")</f>
        <v/>
      </c>
      <c r="H1408" t="str">
        <f>IFERROR(VLOOKUP($A1408,原始数据_利率互换_FR007_1年!$A$6:$C$4395,2,0),"")</f>
        <v/>
      </c>
      <c r="I1408" t="str">
        <f>IFERROR(VLOOKUP($A1408,原始数据_利率互换_FR007_1年!$A$6:$C$4395,3,0),"")</f>
        <v/>
      </c>
    </row>
    <row r="1409" spans="1:9">
      <c r="A1409" s="6">
        <v>40902</v>
      </c>
      <c r="B1409" t="str">
        <f>IFERROR(VLOOKUP($A1409,原始数据_收盘!$A$4:$G$3460,2,0),"")</f>
        <v/>
      </c>
      <c r="C1409" t="str">
        <f>IFERROR(VLOOKUP($A1409,原始数据_收盘!$A$4:$G$3460,3,0),"")</f>
        <v/>
      </c>
      <c r="D1409" t="str">
        <f>IFERROR(VLOOKUP($A1409,原始数据_收盘!$A$4:$G$3460,4,0),"")</f>
        <v/>
      </c>
      <c r="E1409" t="str">
        <f>IFERROR(VLOOKUP($A1409,原始数据_收盘!$A$4:$G$3460,5,0),"")</f>
        <v/>
      </c>
      <c r="F1409" t="str">
        <f>IFERROR(VLOOKUP($A1409,原始数据_收盘!$A$4:$G$3460,6,0),"")</f>
        <v/>
      </c>
      <c r="G1409" t="str">
        <f>IFERROR(VLOOKUP($A1409,原始数据_收盘!$A$4:$G$3460,7,0),"")</f>
        <v/>
      </c>
      <c r="H1409" t="str">
        <f>IFERROR(VLOOKUP($A1409,原始数据_利率互换_FR007_1年!$A$6:$C$4395,2,0),"")</f>
        <v/>
      </c>
      <c r="I1409" t="str">
        <f>IFERROR(VLOOKUP($A1409,原始数据_利率互换_FR007_1年!$A$6:$C$4395,3,0),"")</f>
        <v/>
      </c>
    </row>
    <row r="1410" spans="1:9">
      <c r="A1410" s="6">
        <v>40903</v>
      </c>
      <c r="B1410" t="str">
        <f>IFERROR(VLOOKUP($A1410,原始数据_收盘!$A$4:$G$3460,2,0),"")</f>
        <v/>
      </c>
      <c r="C1410" t="str">
        <f>IFERROR(VLOOKUP($A1410,原始数据_收盘!$A$4:$G$3460,3,0),"")</f>
        <v/>
      </c>
      <c r="D1410" t="str">
        <f>IFERROR(VLOOKUP($A1410,原始数据_收盘!$A$4:$G$3460,4,0),"")</f>
        <v/>
      </c>
      <c r="E1410" t="str">
        <f>IFERROR(VLOOKUP($A1410,原始数据_收盘!$A$4:$G$3460,5,0),"")</f>
        <v/>
      </c>
      <c r="F1410" t="str">
        <f>IFERROR(VLOOKUP($A1410,原始数据_收盘!$A$4:$G$3460,6,0),"")</f>
        <v/>
      </c>
      <c r="G1410" t="str">
        <f>IFERROR(VLOOKUP($A1410,原始数据_收盘!$A$4:$G$3460,7,0),"")</f>
        <v/>
      </c>
      <c r="H1410" t="str">
        <f>IFERROR(VLOOKUP($A1410,原始数据_利率互换_FR007_1年!$A$6:$C$4395,2,0),"")</f>
        <v/>
      </c>
      <c r="I1410" t="str">
        <f>IFERROR(VLOOKUP($A1410,原始数据_利率互换_FR007_1年!$A$6:$C$4395,3,0),"")</f>
        <v/>
      </c>
    </row>
    <row r="1411" spans="1:9">
      <c r="A1411" s="6">
        <v>40904</v>
      </c>
      <c r="B1411" t="str">
        <f>IFERROR(VLOOKUP($A1411,原始数据_收盘!$A$4:$G$3460,2,0),"")</f>
        <v/>
      </c>
      <c r="C1411" t="str">
        <f>IFERROR(VLOOKUP($A1411,原始数据_收盘!$A$4:$G$3460,3,0),"")</f>
        <v/>
      </c>
      <c r="D1411" t="str">
        <f>IFERROR(VLOOKUP($A1411,原始数据_收盘!$A$4:$G$3460,4,0),"")</f>
        <v/>
      </c>
      <c r="E1411" t="str">
        <f>IFERROR(VLOOKUP($A1411,原始数据_收盘!$A$4:$G$3460,5,0),"")</f>
        <v/>
      </c>
      <c r="F1411" t="str">
        <f>IFERROR(VLOOKUP($A1411,原始数据_收盘!$A$4:$G$3460,6,0),"")</f>
        <v/>
      </c>
      <c r="G1411" t="str">
        <f>IFERROR(VLOOKUP($A1411,原始数据_收盘!$A$4:$G$3460,7,0),"")</f>
        <v/>
      </c>
      <c r="H1411">
        <f>IFERROR(VLOOKUP($A1411,原始数据_利率互换_FR007_1年!$A$6:$C$4395,2,0),"")</f>
        <v>2.7941</v>
      </c>
      <c r="I1411">
        <f>IFERROR(VLOOKUP($A1411,原始数据_利率互换_FR007_1年!$A$6:$C$4395,3,0),"")</f>
        <v>0</v>
      </c>
    </row>
    <row r="1412" spans="1:9">
      <c r="A1412" s="6">
        <v>40905</v>
      </c>
      <c r="B1412" t="str">
        <f>IFERROR(VLOOKUP($A1412,原始数据_收盘!$A$4:$G$3460,2,0),"")</f>
        <v/>
      </c>
      <c r="C1412" t="str">
        <f>IFERROR(VLOOKUP($A1412,原始数据_收盘!$A$4:$G$3460,3,0),"")</f>
        <v/>
      </c>
      <c r="D1412" t="str">
        <f>IFERROR(VLOOKUP($A1412,原始数据_收盘!$A$4:$G$3460,4,0),"")</f>
        <v/>
      </c>
      <c r="E1412" t="str">
        <f>IFERROR(VLOOKUP($A1412,原始数据_收盘!$A$4:$G$3460,5,0),"")</f>
        <v/>
      </c>
      <c r="F1412" t="str">
        <f>IFERROR(VLOOKUP($A1412,原始数据_收盘!$A$4:$G$3460,6,0),"")</f>
        <v/>
      </c>
      <c r="G1412" t="str">
        <f>IFERROR(VLOOKUP($A1412,原始数据_收盘!$A$4:$G$3460,7,0),"")</f>
        <v/>
      </c>
      <c r="H1412">
        <f>IFERROR(VLOOKUP($A1412,原始数据_利率互换_FR007_1年!$A$6:$C$4395,2,0),"")</f>
        <v>2.7875</v>
      </c>
      <c r="I1412">
        <f>IFERROR(VLOOKUP($A1412,原始数据_利率互换_FR007_1年!$A$6:$C$4395,3,0),"")</f>
        <v>0</v>
      </c>
    </row>
    <row r="1413" spans="1:9">
      <c r="A1413" s="6">
        <v>40906</v>
      </c>
      <c r="B1413" t="str">
        <f>IFERROR(VLOOKUP($A1413,原始数据_收盘!$A$4:$G$3460,2,0),"")</f>
        <v/>
      </c>
      <c r="C1413" t="str">
        <f>IFERROR(VLOOKUP($A1413,原始数据_收盘!$A$4:$G$3460,3,0),"")</f>
        <v/>
      </c>
      <c r="D1413" t="str">
        <f>IFERROR(VLOOKUP($A1413,原始数据_收盘!$A$4:$G$3460,4,0),"")</f>
        <v/>
      </c>
      <c r="E1413" t="str">
        <f>IFERROR(VLOOKUP($A1413,原始数据_收盘!$A$4:$G$3460,5,0),"")</f>
        <v/>
      </c>
      <c r="F1413" t="str">
        <f>IFERROR(VLOOKUP($A1413,原始数据_收盘!$A$4:$G$3460,6,0),"")</f>
        <v/>
      </c>
      <c r="G1413" t="str">
        <f>IFERROR(VLOOKUP($A1413,原始数据_收盘!$A$4:$G$3460,7,0),"")</f>
        <v/>
      </c>
      <c r="H1413">
        <f>IFERROR(VLOOKUP($A1413,原始数据_利率互换_FR007_1年!$A$6:$C$4395,2,0),"")</f>
        <v>2.7957</v>
      </c>
      <c r="I1413">
        <f>IFERROR(VLOOKUP($A1413,原始数据_利率互换_FR007_1年!$A$6:$C$4395,3,0),"")</f>
        <v>0</v>
      </c>
    </row>
    <row r="1414" spans="1:9">
      <c r="A1414" s="6">
        <v>40907</v>
      </c>
      <c r="B1414" t="str">
        <f>IFERROR(VLOOKUP($A1414,原始数据_收盘!$A$4:$G$3460,2,0),"")</f>
        <v/>
      </c>
      <c r="C1414" t="str">
        <f>IFERROR(VLOOKUP($A1414,原始数据_收盘!$A$4:$G$3460,3,0),"")</f>
        <v/>
      </c>
      <c r="D1414" t="str">
        <f>IFERROR(VLOOKUP($A1414,原始数据_收盘!$A$4:$G$3460,4,0),"")</f>
        <v/>
      </c>
      <c r="E1414" t="str">
        <f>IFERROR(VLOOKUP($A1414,原始数据_收盘!$A$4:$G$3460,5,0),"")</f>
        <v/>
      </c>
      <c r="F1414" t="str">
        <f>IFERROR(VLOOKUP($A1414,原始数据_收盘!$A$4:$G$3460,6,0),"")</f>
        <v/>
      </c>
      <c r="G1414" t="str">
        <f>IFERROR(VLOOKUP($A1414,原始数据_收盘!$A$4:$G$3460,7,0),"")</f>
        <v/>
      </c>
      <c r="H1414" t="str">
        <f>IFERROR(VLOOKUP($A1414,原始数据_利率互换_FR007_1年!$A$6:$C$4395,2,0),"")</f>
        <v/>
      </c>
      <c r="I1414" t="str">
        <f>IFERROR(VLOOKUP($A1414,原始数据_利率互换_FR007_1年!$A$6:$C$4395,3,0),"")</f>
        <v/>
      </c>
    </row>
    <row r="1415" spans="1:9">
      <c r="A1415" s="6">
        <v>40908</v>
      </c>
      <c r="B1415" t="str">
        <f>IFERROR(VLOOKUP($A1415,原始数据_收盘!$A$4:$G$3460,2,0),"")</f>
        <v/>
      </c>
      <c r="C1415" t="str">
        <f>IFERROR(VLOOKUP($A1415,原始数据_收盘!$A$4:$G$3460,3,0),"")</f>
        <v/>
      </c>
      <c r="D1415" t="str">
        <f>IFERROR(VLOOKUP($A1415,原始数据_收盘!$A$4:$G$3460,4,0),"")</f>
        <v/>
      </c>
      <c r="E1415" t="str">
        <f>IFERROR(VLOOKUP($A1415,原始数据_收盘!$A$4:$G$3460,5,0),"")</f>
        <v/>
      </c>
      <c r="F1415" t="str">
        <f>IFERROR(VLOOKUP($A1415,原始数据_收盘!$A$4:$G$3460,6,0),"")</f>
        <v/>
      </c>
      <c r="G1415" t="str">
        <f>IFERROR(VLOOKUP($A1415,原始数据_收盘!$A$4:$G$3460,7,0),"")</f>
        <v/>
      </c>
      <c r="H1415" t="str">
        <f>IFERROR(VLOOKUP($A1415,原始数据_利率互换_FR007_1年!$A$6:$C$4395,2,0),"")</f>
        <v/>
      </c>
      <c r="I1415" t="str">
        <f>IFERROR(VLOOKUP($A1415,原始数据_利率互换_FR007_1年!$A$6:$C$4395,3,0),"")</f>
        <v/>
      </c>
    </row>
    <row r="1416" spans="1:9">
      <c r="A1416" s="6">
        <v>40909</v>
      </c>
      <c r="B1416" t="str">
        <f>IFERROR(VLOOKUP($A1416,原始数据_收盘!$A$4:$G$3460,2,0),"")</f>
        <v/>
      </c>
      <c r="C1416" t="str">
        <f>IFERROR(VLOOKUP($A1416,原始数据_收盘!$A$4:$G$3460,3,0),"")</f>
        <v/>
      </c>
      <c r="D1416" t="str">
        <f>IFERROR(VLOOKUP($A1416,原始数据_收盘!$A$4:$G$3460,4,0),"")</f>
        <v/>
      </c>
      <c r="E1416" t="str">
        <f>IFERROR(VLOOKUP($A1416,原始数据_收盘!$A$4:$G$3460,5,0),"")</f>
        <v/>
      </c>
      <c r="F1416" t="str">
        <f>IFERROR(VLOOKUP($A1416,原始数据_收盘!$A$4:$G$3460,6,0),"")</f>
        <v/>
      </c>
      <c r="G1416" t="str">
        <f>IFERROR(VLOOKUP($A1416,原始数据_收盘!$A$4:$G$3460,7,0),"")</f>
        <v/>
      </c>
      <c r="H1416" t="str">
        <f>IFERROR(VLOOKUP($A1416,原始数据_利率互换_FR007_1年!$A$6:$C$4395,2,0),"")</f>
        <v/>
      </c>
      <c r="I1416" t="str">
        <f>IFERROR(VLOOKUP($A1416,原始数据_利率互换_FR007_1年!$A$6:$C$4395,3,0),"")</f>
        <v/>
      </c>
    </row>
    <row r="1417" spans="1:9">
      <c r="A1417" s="6">
        <v>40910</v>
      </c>
      <c r="B1417" t="str">
        <f>IFERROR(VLOOKUP($A1417,原始数据_收盘!$A$4:$G$3460,2,0),"")</f>
        <v/>
      </c>
      <c r="C1417" t="str">
        <f>IFERROR(VLOOKUP($A1417,原始数据_收盘!$A$4:$G$3460,3,0),"")</f>
        <v/>
      </c>
      <c r="D1417" t="str">
        <f>IFERROR(VLOOKUP($A1417,原始数据_收盘!$A$4:$G$3460,4,0),"")</f>
        <v/>
      </c>
      <c r="E1417" t="str">
        <f>IFERROR(VLOOKUP($A1417,原始数据_收盘!$A$4:$G$3460,5,0),"")</f>
        <v/>
      </c>
      <c r="F1417" t="str">
        <f>IFERROR(VLOOKUP($A1417,原始数据_收盘!$A$4:$G$3460,6,0),"")</f>
        <v/>
      </c>
      <c r="G1417" t="str">
        <f>IFERROR(VLOOKUP($A1417,原始数据_收盘!$A$4:$G$3460,7,0),"")</f>
        <v/>
      </c>
      <c r="H1417" t="str">
        <f>IFERROR(VLOOKUP($A1417,原始数据_利率互换_FR007_1年!$A$6:$C$4395,2,0),"")</f>
        <v/>
      </c>
      <c r="I1417" t="str">
        <f>IFERROR(VLOOKUP($A1417,原始数据_利率互换_FR007_1年!$A$6:$C$4395,3,0),"")</f>
        <v/>
      </c>
    </row>
    <row r="1418" spans="1:9">
      <c r="A1418" s="6">
        <v>40911</v>
      </c>
      <c r="B1418" t="str">
        <f>IFERROR(VLOOKUP($A1418,原始数据_收盘!$A$4:$G$3460,2,0),"")</f>
        <v/>
      </c>
      <c r="C1418" t="str">
        <f>IFERROR(VLOOKUP($A1418,原始数据_收盘!$A$4:$G$3460,3,0),"")</f>
        <v/>
      </c>
      <c r="D1418" t="str">
        <f>IFERROR(VLOOKUP($A1418,原始数据_收盘!$A$4:$G$3460,4,0),"")</f>
        <v/>
      </c>
      <c r="E1418" t="str">
        <f>IFERROR(VLOOKUP($A1418,原始数据_收盘!$A$4:$G$3460,5,0),"")</f>
        <v/>
      </c>
      <c r="F1418" t="str">
        <f>IFERROR(VLOOKUP($A1418,原始数据_收盘!$A$4:$G$3460,6,0),"")</f>
        <v/>
      </c>
      <c r="G1418" t="str">
        <f>IFERROR(VLOOKUP($A1418,原始数据_收盘!$A$4:$G$3460,7,0),"")</f>
        <v/>
      </c>
      <c r="H1418" t="str">
        <f>IFERROR(VLOOKUP($A1418,原始数据_利率互换_FR007_1年!$A$6:$C$4395,2,0),"")</f>
        <v/>
      </c>
      <c r="I1418" t="str">
        <f>IFERROR(VLOOKUP($A1418,原始数据_利率互换_FR007_1年!$A$6:$C$4395,3,0),"")</f>
        <v/>
      </c>
    </row>
    <row r="1419" spans="1:9">
      <c r="A1419" s="6">
        <v>40912</v>
      </c>
      <c r="B1419" t="str">
        <f>IFERROR(VLOOKUP($A1419,原始数据_收盘!$A$4:$G$3460,2,0),"")</f>
        <v/>
      </c>
      <c r="C1419" t="str">
        <f>IFERROR(VLOOKUP($A1419,原始数据_收盘!$A$4:$G$3460,3,0),"")</f>
        <v/>
      </c>
      <c r="D1419" t="str">
        <f>IFERROR(VLOOKUP($A1419,原始数据_收盘!$A$4:$G$3460,4,0),"")</f>
        <v/>
      </c>
      <c r="E1419" t="str">
        <f>IFERROR(VLOOKUP($A1419,原始数据_收盘!$A$4:$G$3460,5,0),"")</f>
        <v/>
      </c>
      <c r="F1419" t="str">
        <f>IFERROR(VLOOKUP($A1419,原始数据_收盘!$A$4:$G$3460,6,0),"")</f>
        <v/>
      </c>
      <c r="G1419" t="str">
        <f>IFERROR(VLOOKUP($A1419,原始数据_收盘!$A$4:$G$3460,7,0),"")</f>
        <v/>
      </c>
      <c r="H1419">
        <f>IFERROR(VLOOKUP($A1419,原始数据_利率互换_FR007_1年!$A$6:$C$4395,2,0),"")</f>
        <v>2.8645</v>
      </c>
      <c r="I1419">
        <f>IFERROR(VLOOKUP($A1419,原始数据_利率互换_FR007_1年!$A$6:$C$4395,3,0),"")</f>
        <v>2.9467</v>
      </c>
    </row>
    <row r="1420" spans="1:9">
      <c r="A1420" s="6">
        <v>40913</v>
      </c>
      <c r="B1420" t="str">
        <f>IFERROR(VLOOKUP($A1420,原始数据_收盘!$A$4:$G$3460,2,0),"")</f>
        <v/>
      </c>
      <c r="C1420" t="str">
        <f>IFERROR(VLOOKUP($A1420,原始数据_收盘!$A$4:$G$3460,3,0),"")</f>
        <v/>
      </c>
      <c r="D1420" t="str">
        <f>IFERROR(VLOOKUP($A1420,原始数据_收盘!$A$4:$G$3460,4,0),"")</f>
        <v/>
      </c>
      <c r="E1420" t="str">
        <f>IFERROR(VLOOKUP($A1420,原始数据_收盘!$A$4:$G$3460,5,0),"")</f>
        <v/>
      </c>
      <c r="F1420" t="str">
        <f>IFERROR(VLOOKUP($A1420,原始数据_收盘!$A$4:$G$3460,6,0),"")</f>
        <v/>
      </c>
      <c r="G1420" t="str">
        <f>IFERROR(VLOOKUP($A1420,原始数据_收盘!$A$4:$G$3460,7,0),"")</f>
        <v/>
      </c>
      <c r="H1420">
        <f>IFERROR(VLOOKUP($A1420,原始数据_利率互换_FR007_1年!$A$6:$C$4395,2,0),"")</f>
        <v>2.9467</v>
      </c>
      <c r="I1420">
        <f>IFERROR(VLOOKUP($A1420,原始数据_利率互换_FR007_1年!$A$6:$C$4395,3,0),"")</f>
        <v>2.9744</v>
      </c>
    </row>
    <row r="1421" spans="1:9">
      <c r="A1421" s="6">
        <v>40914</v>
      </c>
      <c r="B1421" t="str">
        <f>IFERROR(VLOOKUP($A1421,原始数据_收盘!$A$4:$G$3460,2,0),"")</f>
        <v/>
      </c>
      <c r="C1421" t="str">
        <f>IFERROR(VLOOKUP($A1421,原始数据_收盘!$A$4:$G$3460,3,0),"")</f>
        <v/>
      </c>
      <c r="D1421" t="str">
        <f>IFERROR(VLOOKUP($A1421,原始数据_收盘!$A$4:$G$3460,4,0),"")</f>
        <v/>
      </c>
      <c r="E1421" t="str">
        <f>IFERROR(VLOOKUP($A1421,原始数据_收盘!$A$4:$G$3460,5,0),"")</f>
        <v/>
      </c>
      <c r="F1421" t="str">
        <f>IFERROR(VLOOKUP($A1421,原始数据_收盘!$A$4:$G$3460,6,0),"")</f>
        <v/>
      </c>
      <c r="G1421" t="str">
        <f>IFERROR(VLOOKUP($A1421,原始数据_收盘!$A$4:$G$3460,7,0),"")</f>
        <v/>
      </c>
      <c r="H1421">
        <f>IFERROR(VLOOKUP($A1421,原始数据_利率互换_FR007_1年!$A$6:$C$4395,2,0),"")</f>
        <v>2.9335</v>
      </c>
      <c r="I1421">
        <f>IFERROR(VLOOKUP($A1421,原始数据_利率互换_FR007_1年!$A$6:$C$4395,3,0),"")</f>
        <v>2.935</v>
      </c>
    </row>
    <row r="1422" spans="1:9">
      <c r="A1422" s="6">
        <v>40915</v>
      </c>
      <c r="B1422" t="str">
        <f>IFERROR(VLOOKUP($A1422,原始数据_收盘!$A$4:$G$3460,2,0),"")</f>
        <v/>
      </c>
      <c r="C1422" t="str">
        <f>IFERROR(VLOOKUP($A1422,原始数据_收盘!$A$4:$G$3460,3,0),"")</f>
        <v/>
      </c>
      <c r="D1422" t="str">
        <f>IFERROR(VLOOKUP($A1422,原始数据_收盘!$A$4:$G$3460,4,0),"")</f>
        <v/>
      </c>
      <c r="E1422" t="str">
        <f>IFERROR(VLOOKUP($A1422,原始数据_收盘!$A$4:$G$3460,5,0),"")</f>
        <v/>
      </c>
      <c r="F1422" t="str">
        <f>IFERROR(VLOOKUP($A1422,原始数据_收盘!$A$4:$G$3460,6,0),"")</f>
        <v/>
      </c>
      <c r="G1422" t="str">
        <f>IFERROR(VLOOKUP($A1422,原始数据_收盘!$A$4:$G$3460,7,0),"")</f>
        <v/>
      </c>
      <c r="H1422" t="str">
        <f>IFERROR(VLOOKUP($A1422,原始数据_利率互换_FR007_1年!$A$6:$C$4395,2,0),"")</f>
        <v/>
      </c>
      <c r="I1422" t="str">
        <f>IFERROR(VLOOKUP($A1422,原始数据_利率互换_FR007_1年!$A$6:$C$4395,3,0),"")</f>
        <v/>
      </c>
    </row>
    <row r="1423" spans="1:9">
      <c r="A1423" s="6">
        <v>40916</v>
      </c>
      <c r="B1423" t="str">
        <f>IFERROR(VLOOKUP($A1423,原始数据_收盘!$A$4:$G$3460,2,0),"")</f>
        <v/>
      </c>
      <c r="C1423" t="str">
        <f>IFERROR(VLOOKUP($A1423,原始数据_收盘!$A$4:$G$3460,3,0),"")</f>
        <v/>
      </c>
      <c r="D1423" t="str">
        <f>IFERROR(VLOOKUP($A1423,原始数据_收盘!$A$4:$G$3460,4,0),"")</f>
        <v/>
      </c>
      <c r="E1423" t="str">
        <f>IFERROR(VLOOKUP($A1423,原始数据_收盘!$A$4:$G$3460,5,0),"")</f>
        <v/>
      </c>
      <c r="F1423" t="str">
        <f>IFERROR(VLOOKUP($A1423,原始数据_收盘!$A$4:$G$3460,6,0),"")</f>
        <v/>
      </c>
      <c r="G1423" t="str">
        <f>IFERROR(VLOOKUP($A1423,原始数据_收盘!$A$4:$G$3460,7,0),"")</f>
        <v/>
      </c>
      <c r="H1423" t="str">
        <f>IFERROR(VLOOKUP($A1423,原始数据_利率互换_FR007_1年!$A$6:$C$4395,2,0),"")</f>
        <v/>
      </c>
      <c r="I1423" t="str">
        <f>IFERROR(VLOOKUP($A1423,原始数据_利率互换_FR007_1年!$A$6:$C$4395,3,0),"")</f>
        <v/>
      </c>
    </row>
    <row r="1424" spans="1:9">
      <c r="A1424" s="6">
        <v>40917</v>
      </c>
      <c r="B1424" t="str">
        <f>IFERROR(VLOOKUP($A1424,原始数据_收盘!$A$4:$G$3460,2,0),"")</f>
        <v/>
      </c>
      <c r="C1424" t="str">
        <f>IFERROR(VLOOKUP($A1424,原始数据_收盘!$A$4:$G$3460,3,0),"")</f>
        <v/>
      </c>
      <c r="D1424" t="str">
        <f>IFERROR(VLOOKUP($A1424,原始数据_收盘!$A$4:$G$3460,4,0),"")</f>
        <v/>
      </c>
      <c r="E1424" t="str">
        <f>IFERROR(VLOOKUP($A1424,原始数据_收盘!$A$4:$G$3460,5,0),"")</f>
        <v/>
      </c>
      <c r="F1424" t="str">
        <f>IFERROR(VLOOKUP($A1424,原始数据_收盘!$A$4:$G$3460,6,0),"")</f>
        <v/>
      </c>
      <c r="G1424" t="str">
        <f>IFERROR(VLOOKUP($A1424,原始数据_收盘!$A$4:$G$3460,7,0),"")</f>
        <v/>
      </c>
      <c r="H1424">
        <f>IFERROR(VLOOKUP($A1424,原始数据_利率互换_FR007_1年!$A$6:$C$4395,2,0),"")</f>
        <v>2.9874</v>
      </c>
      <c r="I1424">
        <f>IFERROR(VLOOKUP($A1424,原始数据_利率互换_FR007_1年!$A$6:$C$4395,3,0),"")</f>
        <v>2.955</v>
      </c>
    </row>
    <row r="1425" spans="1:9">
      <c r="A1425" s="6">
        <v>40918</v>
      </c>
      <c r="B1425" t="str">
        <f>IFERROR(VLOOKUP($A1425,原始数据_收盘!$A$4:$G$3460,2,0),"")</f>
        <v/>
      </c>
      <c r="C1425" t="str">
        <f>IFERROR(VLOOKUP($A1425,原始数据_收盘!$A$4:$G$3460,3,0),"")</f>
        <v/>
      </c>
      <c r="D1425" t="str">
        <f>IFERROR(VLOOKUP($A1425,原始数据_收盘!$A$4:$G$3460,4,0),"")</f>
        <v/>
      </c>
      <c r="E1425" t="str">
        <f>IFERROR(VLOOKUP($A1425,原始数据_收盘!$A$4:$G$3460,5,0),"")</f>
        <v/>
      </c>
      <c r="F1425" t="str">
        <f>IFERROR(VLOOKUP($A1425,原始数据_收盘!$A$4:$G$3460,6,0),"")</f>
        <v/>
      </c>
      <c r="G1425" t="str">
        <f>IFERROR(VLOOKUP($A1425,原始数据_收盘!$A$4:$G$3460,7,0),"")</f>
        <v/>
      </c>
      <c r="H1425">
        <f>IFERROR(VLOOKUP($A1425,原始数据_利率互换_FR007_1年!$A$6:$C$4395,2,0),"")</f>
        <v>2.99</v>
      </c>
      <c r="I1425">
        <f>IFERROR(VLOOKUP($A1425,原始数据_利率互换_FR007_1年!$A$6:$C$4395,3,0),"")</f>
        <v>0</v>
      </c>
    </row>
    <row r="1426" spans="1:9">
      <c r="A1426" s="6">
        <v>40919</v>
      </c>
      <c r="B1426" t="str">
        <f>IFERROR(VLOOKUP($A1426,原始数据_收盘!$A$4:$G$3460,2,0),"")</f>
        <v/>
      </c>
      <c r="C1426" t="str">
        <f>IFERROR(VLOOKUP($A1426,原始数据_收盘!$A$4:$G$3460,3,0),"")</f>
        <v/>
      </c>
      <c r="D1426" t="str">
        <f>IFERROR(VLOOKUP($A1426,原始数据_收盘!$A$4:$G$3460,4,0),"")</f>
        <v/>
      </c>
      <c r="E1426" t="str">
        <f>IFERROR(VLOOKUP($A1426,原始数据_收盘!$A$4:$G$3460,5,0),"")</f>
        <v/>
      </c>
      <c r="F1426" t="str">
        <f>IFERROR(VLOOKUP($A1426,原始数据_收盘!$A$4:$G$3460,6,0),"")</f>
        <v/>
      </c>
      <c r="G1426" t="str">
        <f>IFERROR(VLOOKUP($A1426,原始数据_收盘!$A$4:$G$3460,7,0),"")</f>
        <v/>
      </c>
      <c r="H1426">
        <f>IFERROR(VLOOKUP($A1426,原始数据_利率互换_FR007_1年!$A$6:$C$4395,2,0),"")</f>
        <v>3.0132</v>
      </c>
      <c r="I1426">
        <f>IFERROR(VLOOKUP($A1426,原始数据_利率互换_FR007_1年!$A$6:$C$4395,3,0),"")</f>
        <v>3.0185</v>
      </c>
    </row>
    <row r="1427" spans="1:9">
      <c r="A1427" s="6">
        <v>40920</v>
      </c>
      <c r="B1427" t="str">
        <f>IFERROR(VLOOKUP($A1427,原始数据_收盘!$A$4:$G$3460,2,0),"")</f>
        <v/>
      </c>
      <c r="C1427" t="str">
        <f>IFERROR(VLOOKUP($A1427,原始数据_收盘!$A$4:$G$3460,3,0),"")</f>
        <v/>
      </c>
      <c r="D1427" t="str">
        <f>IFERROR(VLOOKUP($A1427,原始数据_收盘!$A$4:$G$3460,4,0),"")</f>
        <v/>
      </c>
      <c r="E1427" t="str">
        <f>IFERROR(VLOOKUP($A1427,原始数据_收盘!$A$4:$G$3460,5,0),"")</f>
        <v/>
      </c>
      <c r="F1427" t="str">
        <f>IFERROR(VLOOKUP($A1427,原始数据_收盘!$A$4:$G$3460,6,0),"")</f>
        <v/>
      </c>
      <c r="G1427" t="str">
        <f>IFERROR(VLOOKUP($A1427,原始数据_收盘!$A$4:$G$3460,7,0),"")</f>
        <v/>
      </c>
      <c r="H1427" t="str">
        <f>IFERROR(VLOOKUP($A1427,原始数据_利率互换_FR007_1年!$A$6:$C$4395,2,0),"")</f>
        <v/>
      </c>
      <c r="I1427" t="str">
        <f>IFERROR(VLOOKUP($A1427,原始数据_利率互换_FR007_1年!$A$6:$C$4395,3,0),"")</f>
        <v/>
      </c>
    </row>
    <row r="1428" spans="1:9">
      <c r="A1428" s="6">
        <v>40921</v>
      </c>
      <c r="B1428" t="str">
        <f>IFERROR(VLOOKUP($A1428,原始数据_收盘!$A$4:$G$3460,2,0),"")</f>
        <v/>
      </c>
      <c r="C1428" t="str">
        <f>IFERROR(VLOOKUP($A1428,原始数据_收盘!$A$4:$G$3460,3,0),"")</f>
        <v/>
      </c>
      <c r="D1428" t="str">
        <f>IFERROR(VLOOKUP($A1428,原始数据_收盘!$A$4:$G$3460,4,0),"")</f>
        <v/>
      </c>
      <c r="E1428" t="str">
        <f>IFERROR(VLOOKUP($A1428,原始数据_收盘!$A$4:$G$3460,5,0),"")</f>
        <v/>
      </c>
      <c r="F1428" t="str">
        <f>IFERROR(VLOOKUP($A1428,原始数据_收盘!$A$4:$G$3460,6,0),"")</f>
        <v/>
      </c>
      <c r="G1428" t="str">
        <f>IFERROR(VLOOKUP($A1428,原始数据_收盘!$A$4:$G$3460,7,0),"")</f>
        <v/>
      </c>
      <c r="H1428">
        <f>IFERROR(VLOOKUP($A1428,原始数据_利率互换_FR007_1年!$A$6:$C$4395,2,0),"")</f>
        <v>3.0483</v>
      </c>
      <c r="I1428">
        <f>IFERROR(VLOOKUP($A1428,原始数据_利率互换_FR007_1年!$A$6:$C$4395,3,0),"")</f>
        <v>0</v>
      </c>
    </row>
    <row r="1429" spans="1:9">
      <c r="A1429" s="6">
        <v>40922</v>
      </c>
      <c r="B1429" t="str">
        <f>IFERROR(VLOOKUP($A1429,原始数据_收盘!$A$4:$G$3460,2,0),"")</f>
        <v/>
      </c>
      <c r="C1429" t="str">
        <f>IFERROR(VLOOKUP($A1429,原始数据_收盘!$A$4:$G$3460,3,0),"")</f>
        <v/>
      </c>
      <c r="D1429" t="str">
        <f>IFERROR(VLOOKUP($A1429,原始数据_收盘!$A$4:$G$3460,4,0),"")</f>
        <v/>
      </c>
      <c r="E1429" t="str">
        <f>IFERROR(VLOOKUP($A1429,原始数据_收盘!$A$4:$G$3460,5,0),"")</f>
        <v/>
      </c>
      <c r="F1429" t="str">
        <f>IFERROR(VLOOKUP($A1429,原始数据_收盘!$A$4:$G$3460,6,0),"")</f>
        <v/>
      </c>
      <c r="G1429" t="str">
        <f>IFERROR(VLOOKUP($A1429,原始数据_收盘!$A$4:$G$3460,7,0),"")</f>
        <v/>
      </c>
      <c r="H1429" t="str">
        <f>IFERROR(VLOOKUP($A1429,原始数据_利率互换_FR007_1年!$A$6:$C$4395,2,0),"")</f>
        <v/>
      </c>
      <c r="I1429" t="str">
        <f>IFERROR(VLOOKUP($A1429,原始数据_利率互换_FR007_1年!$A$6:$C$4395,3,0),"")</f>
        <v/>
      </c>
    </row>
    <row r="1430" spans="1:9">
      <c r="A1430" s="6">
        <v>40923</v>
      </c>
      <c r="B1430" t="str">
        <f>IFERROR(VLOOKUP($A1430,原始数据_收盘!$A$4:$G$3460,2,0),"")</f>
        <v/>
      </c>
      <c r="C1430" t="str">
        <f>IFERROR(VLOOKUP($A1430,原始数据_收盘!$A$4:$G$3460,3,0),"")</f>
        <v/>
      </c>
      <c r="D1430" t="str">
        <f>IFERROR(VLOOKUP($A1430,原始数据_收盘!$A$4:$G$3460,4,0),"")</f>
        <v/>
      </c>
      <c r="E1430" t="str">
        <f>IFERROR(VLOOKUP($A1430,原始数据_收盘!$A$4:$G$3460,5,0),"")</f>
        <v/>
      </c>
      <c r="F1430" t="str">
        <f>IFERROR(VLOOKUP($A1430,原始数据_收盘!$A$4:$G$3460,6,0),"")</f>
        <v/>
      </c>
      <c r="G1430" t="str">
        <f>IFERROR(VLOOKUP($A1430,原始数据_收盘!$A$4:$G$3460,7,0),"")</f>
        <v/>
      </c>
      <c r="H1430" t="str">
        <f>IFERROR(VLOOKUP($A1430,原始数据_利率互换_FR007_1年!$A$6:$C$4395,2,0),"")</f>
        <v/>
      </c>
      <c r="I1430" t="str">
        <f>IFERROR(VLOOKUP($A1430,原始数据_利率互换_FR007_1年!$A$6:$C$4395,3,0),"")</f>
        <v/>
      </c>
    </row>
    <row r="1431" spans="1:9">
      <c r="A1431" s="6">
        <v>40924</v>
      </c>
      <c r="B1431" t="str">
        <f>IFERROR(VLOOKUP($A1431,原始数据_收盘!$A$4:$G$3460,2,0),"")</f>
        <v/>
      </c>
      <c r="C1431" t="str">
        <f>IFERROR(VLOOKUP($A1431,原始数据_收盘!$A$4:$G$3460,3,0),"")</f>
        <v/>
      </c>
      <c r="D1431" t="str">
        <f>IFERROR(VLOOKUP($A1431,原始数据_收盘!$A$4:$G$3460,4,0),"")</f>
        <v/>
      </c>
      <c r="E1431" t="str">
        <f>IFERROR(VLOOKUP($A1431,原始数据_收盘!$A$4:$G$3460,5,0),"")</f>
        <v/>
      </c>
      <c r="F1431" t="str">
        <f>IFERROR(VLOOKUP($A1431,原始数据_收盘!$A$4:$G$3460,6,0),"")</f>
        <v/>
      </c>
      <c r="G1431" t="str">
        <f>IFERROR(VLOOKUP($A1431,原始数据_收盘!$A$4:$G$3460,7,0),"")</f>
        <v/>
      </c>
      <c r="H1431">
        <f>IFERROR(VLOOKUP($A1431,原始数据_利率互换_FR007_1年!$A$6:$C$4395,2,0),"")</f>
        <v>3.0653</v>
      </c>
      <c r="I1431">
        <f>IFERROR(VLOOKUP($A1431,原始数据_利率互换_FR007_1年!$A$6:$C$4395,3,0),"")</f>
        <v>3.0286</v>
      </c>
    </row>
    <row r="1432" spans="1:9">
      <c r="A1432" s="6">
        <v>40925</v>
      </c>
      <c r="B1432" t="str">
        <f>IFERROR(VLOOKUP($A1432,原始数据_收盘!$A$4:$G$3460,2,0),"")</f>
        <v/>
      </c>
      <c r="C1432" t="str">
        <f>IFERROR(VLOOKUP($A1432,原始数据_收盘!$A$4:$G$3460,3,0),"")</f>
        <v/>
      </c>
      <c r="D1432" t="str">
        <f>IFERROR(VLOOKUP($A1432,原始数据_收盘!$A$4:$G$3460,4,0),"")</f>
        <v/>
      </c>
      <c r="E1432" t="str">
        <f>IFERROR(VLOOKUP($A1432,原始数据_收盘!$A$4:$G$3460,5,0),"")</f>
        <v/>
      </c>
      <c r="F1432" t="str">
        <f>IFERROR(VLOOKUP($A1432,原始数据_收盘!$A$4:$G$3460,6,0),"")</f>
        <v/>
      </c>
      <c r="G1432" t="str">
        <f>IFERROR(VLOOKUP($A1432,原始数据_收盘!$A$4:$G$3460,7,0),"")</f>
        <v/>
      </c>
      <c r="H1432">
        <f>IFERROR(VLOOKUP($A1432,原始数据_利率互换_FR007_1年!$A$6:$C$4395,2,0),"")</f>
        <v>3.0797</v>
      </c>
      <c r="I1432">
        <f>IFERROR(VLOOKUP($A1432,原始数据_利率互换_FR007_1年!$A$6:$C$4395,3,0),"")</f>
        <v>3.0303</v>
      </c>
    </row>
    <row r="1433" spans="1:9">
      <c r="A1433" s="6">
        <v>40926</v>
      </c>
      <c r="B1433" t="str">
        <f>IFERROR(VLOOKUP($A1433,原始数据_收盘!$A$4:$G$3460,2,0),"")</f>
        <v/>
      </c>
      <c r="C1433" t="str">
        <f>IFERROR(VLOOKUP($A1433,原始数据_收盘!$A$4:$G$3460,3,0),"")</f>
        <v/>
      </c>
      <c r="D1433" t="str">
        <f>IFERROR(VLOOKUP($A1433,原始数据_收盘!$A$4:$G$3460,4,0),"")</f>
        <v/>
      </c>
      <c r="E1433" t="str">
        <f>IFERROR(VLOOKUP($A1433,原始数据_收盘!$A$4:$G$3460,5,0),"")</f>
        <v/>
      </c>
      <c r="F1433" t="str">
        <f>IFERROR(VLOOKUP($A1433,原始数据_收盘!$A$4:$G$3460,6,0),"")</f>
        <v/>
      </c>
      <c r="G1433" t="str">
        <f>IFERROR(VLOOKUP($A1433,原始数据_收盘!$A$4:$G$3460,7,0),"")</f>
        <v/>
      </c>
      <c r="H1433">
        <f>IFERROR(VLOOKUP($A1433,原始数据_利率互换_FR007_1年!$A$6:$C$4395,2,0),"")</f>
        <v>3.1429</v>
      </c>
      <c r="I1433">
        <f>IFERROR(VLOOKUP($A1433,原始数据_利率互换_FR007_1年!$A$6:$C$4395,3,0),"")</f>
        <v>3.0475</v>
      </c>
    </row>
    <row r="1434" spans="1:9">
      <c r="A1434" s="6">
        <v>40927</v>
      </c>
      <c r="B1434" t="str">
        <f>IFERROR(VLOOKUP($A1434,原始数据_收盘!$A$4:$G$3460,2,0),"")</f>
        <v/>
      </c>
      <c r="C1434" t="str">
        <f>IFERROR(VLOOKUP($A1434,原始数据_收盘!$A$4:$G$3460,3,0),"")</f>
        <v/>
      </c>
      <c r="D1434" t="str">
        <f>IFERROR(VLOOKUP($A1434,原始数据_收盘!$A$4:$G$3460,4,0),"")</f>
        <v/>
      </c>
      <c r="E1434" t="str">
        <f>IFERROR(VLOOKUP($A1434,原始数据_收盘!$A$4:$G$3460,5,0),"")</f>
        <v/>
      </c>
      <c r="F1434" t="str">
        <f>IFERROR(VLOOKUP($A1434,原始数据_收盘!$A$4:$G$3460,6,0),"")</f>
        <v/>
      </c>
      <c r="G1434" t="str">
        <f>IFERROR(VLOOKUP($A1434,原始数据_收盘!$A$4:$G$3460,7,0),"")</f>
        <v/>
      </c>
      <c r="H1434">
        <f>IFERROR(VLOOKUP($A1434,原始数据_利率互换_FR007_1年!$A$6:$C$4395,2,0),"")</f>
        <v>3.0525</v>
      </c>
      <c r="I1434">
        <f>IFERROR(VLOOKUP($A1434,原始数据_利率互换_FR007_1年!$A$6:$C$4395,3,0),"")</f>
        <v>0</v>
      </c>
    </row>
    <row r="1435" spans="1:9">
      <c r="A1435" s="6">
        <v>40928</v>
      </c>
      <c r="B1435" t="str">
        <f>IFERROR(VLOOKUP($A1435,原始数据_收盘!$A$4:$G$3460,2,0),"")</f>
        <v/>
      </c>
      <c r="C1435" t="str">
        <f>IFERROR(VLOOKUP($A1435,原始数据_收盘!$A$4:$G$3460,3,0),"")</f>
        <v/>
      </c>
      <c r="D1435" t="str">
        <f>IFERROR(VLOOKUP($A1435,原始数据_收盘!$A$4:$G$3460,4,0),"")</f>
        <v/>
      </c>
      <c r="E1435" t="str">
        <f>IFERROR(VLOOKUP($A1435,原始数据_收盘!$A$4:$G$3460,5,0),"")</f>
        <v/>
      </c>
      <c r="F1435" t="str">
        <f>IFERROR(VLOOKUP($A1435,原始数据_收盘!$A$4:$G$3460,6,0),"")</f>
        <v/>
      </c>
      <c r="G1435" t="str">
        <f>IFERROR(VLOOKUP($A1435,原始数据_收盘!$A$4:$G$3460,7,0),"")</f>
        <v/>
      </c>
      <c r="H1435">
        <f>IFERROR(VLOOKUP($A1435,原始数据_利率互换_FR007_1年!$A$6:$C$4395,2,0),"")</f>
        <v>2.9997</v>
      </c>
      <c r="I1435">
        <f>IFERROR(VLOOKUP($A1435,原始数据_利率互换_FR007_1年!$A$6:$C$4395,3,0),"")</f>
        <v>2.9694</v>
      </c>
    </row>
    <row r="1436" spans="1:9">
      <c r="A1436" s="6">
        <v>40929</v>
      </c>
      <c r="B1436" t="str">
        <f>IFERROR(VLOOKUP($A1436,原始数据_收盘!$A$4:$G$3460,2,0),"")</f>
        <v/>
      </c>
      <c r="C1436" t="str">
        <f>IFERROR(VLOOKUP($A1436,原始数据_收盘!$A$4:$G$3460,3,0),"")</f>
        <v/>
      </c>
      <c r="D1436" t="str">
        <f>IFERROR(VLOOKUP($A1436,原始数据_收盘!$A$4:$G$3460,4,0),"")</f>
        <v/>
      </c>
      <c r="E1436" t="str">
        <f>IFERROR(VLOOKUP($A1436,原始数据_收盘!$A$4:$G$3460,5,0),"")</f>
        <v/>
      </c>
      <c r="F1436" t="str">
        <f>IFERROR(VLOOKUP($A1436,原始数据_收盘!$A$4:$G$3460,6,0),"")</f>
        <v/>
      </c>
      <c r="G1436" t="str">
        <f>IFERROR(VLOOKUP($A1436,原始数据_收盘!$A$4:$G$3460,7,0),"")</f>
        <v/>
      </c>
      <c r="H1436">
        <f>IFERROR(VLOOKUP($A1436,原始数据_利率互换_FR007_1年!$A$6:$C$4395,2,0),"")</f>
        <v>3.0021</v>
      </c>
      <c r="I1436">
        <f>IFERROR(VLOOKUP($A1436,原始数据_利率互换_FR007_1年!$A$6:$C$4395,3,0),"")</f>
        <v>0</v>
      </c>
    </row>
    <row r="1437" spans="1:9">
      <c r="A1437" s="6">
        <v>40930</v>
      </c>
      <c r="B1437" t="str">
        <f>IFERROR(VLOOKUP($A1437,原始数据_收盘!$A$4:$G$3460,2,0),"")</f>
        <v/>
      </c>
      <c r="C1437" t="str">
        <f>IFERROR(VLOOKUP($A1437,原始数据_收盘!$A$4:$G$3460,3,0),"")</f>
        <v/>
      </c>
      <c r="D1437" t="str">
        <f>IFERROR(VLOOKUP($A1437,原始数据_收盘!$A$4:$G$3460,4,0),"")</f>
        <v/>
      </c>
      <c r="E1437" t="str">
        <f>IFERROR(VLOOKUP($A1437,原始数据_收盘!$A$4:$G$3460,5,0),"")</f>
        <v/>
      </c>
      <c r="F1437" t="str">
        <f>IFERROR(VLOOKUP($A1437,原始数据_收盘!$A$4:$G$3460,6,0),"")</f>
        <v/>
      </c>
      <c r="G1437" t="str">
        <f>IFERROR(VLOOKUP($A1437,原始数据_收盘!$A$4:$G$3460,7,0),"")</f>
        <v/>
      </c>
      <c r="H1437" t="str">
        <f>IFERROR(VLOOKUP($A1437,原始数据_利率互换_FR007_1年!$A$6:$C$4395,2,0),"")</f>
        <v/>
      </c>
      <c r="I1437" t="str">
        <f>IFERROR(VLOOKUP($A1437,原始数据_利率互换_FR007_1年!$A$6:$C$4395,3,0),"")</f>
        <v/>
      </c>
    </row>
    <row r="1438" spans="1:9">
      <c r="A1438" s="6">
        <v>40931</v>
      </c>
      <c r="B1438" t="str">
        <f>IFERROR(VLOOKUP($A1438,原始数据_收盘!$A$4:$G$3460,2,0),"")</f>
        <v/>
      </c>
      <c r="C1438" t="str">
        <f>IFERROR(VLOOKUP($A1438,原始数据_收盘!$A$4:$G$3460,3,0),"")</f>
        <v/>
      </c>
      <c r="D1438" t="str">
        <f>IFERROR(VLOOKUP($A1438,原始数据_收盘!$A$4:$G$3460,4,0),"")</f>
        <v/>
      </c>
      <c r="E1438" t="str">
        <f>IFERROR(VLOOKUP($A1438,原始数据_收盘!$A$4:$G$3460,5,0),"")</f>
        <v/>
      </c>
      <c r="F1438" t="str">
        <f>IFERROR(VLOOKUP($A1438,原始数据_收盘!$A$4:$G$3460,6,0),"")</f>
        <v/>
      </c>
      <c r="G1438" t="str">
        <f>IFERROR(VLOOKUP($A1438,原始数据_收盘!$A$4:$G$3460,7,0),"")</f>
        <v/>
      </c>
      <c r="H1438" t="str">
        <f>IFERROR(VLOOKUP($A1438,原始数据_利率互换_FR007_1年!$A$6:$C$4395,2,0),"")</f>
        <v/>
      </c>
      <c r="I1438" t="str">
        <f>IFERROR(VLOOKUP($A1438,原始数据_利率互换_FR007_1年!$A$6:$C$4395,3,0),"")</f>
        <v/>
      </c>
    </row>
    <row r="1439" spans="1:9">
      <c r="A1439" s="6">
        <v>40932</v>
      </c>
      <c r="B1439" t="str">
        <f>IFERROR(VLOOKUP($A1439,原始数据_收盘!$A$4:$G$3460,2,0),"")</f>
        <v/>
      </c>
      <c r="C1439" t="str">
        <f>IFERROR(VLOOKUP($A1439,原始数据_收盘!$A$4:$G$3460,3,0),"")</f>
        <v/>
      </c>
      <c r="D1439" t="str">
        <f>IFERROR(VLOOKUP($A1439,原始数据_收盘!$A$4:$G$3460,4,0),"")</f>
        <v/>
      </c>
      <c r="E1439" t="str">
        <f>IFERROR(VLOOKUP($A1439,原始数据_收盘!$A$4:$G$3460,5,0),"")</f>
        <v/>
      </c>
      <c r="F1439" t="str">
        <f>IFERROR(VLOOKUP($A1439,原始数据_收盘!$A$4:$G$3460,6,0),"")</f>
        <v/>
      </c>
      <c r="G1439" t="str">
        <f>IFERROR(VLOOKUP($A1439,原始数据_收盘!$A$4:$G$3460,7,0),"")</f>
        <v/>
      </c>
      <c r="H1439" t="str">
        <f>IFERROR(VLOOKUP($A1439,原始数据_利率互换_FR007_1年!$A$6:$C$4395,2,0),"")</f>
        <v/>
      </c>
      <c r="I1439" t="str">
        <f>IFERROR(VLOOKUP($A1439,原始数据_利率互换_FR007_1年!$A$6:$C$4395,3,0),"")</f>
        <v/>
      </c>
    </row>
    <row r="1440" spans="1:9">
      <c r="A1440" s="6">
        <v>40933</v>
      </c>
      <c r="B1440" t="str">
        <f>IFERROR(VLOOKUP($A1440,原始数据_收盘!$A$4:$G$3460,2,0),"")</f>
        <v/>
      </c>
      <c r="C1440" t="str">
        <f>IFERROR(VLOOKUP($A1440,原始数据_收盘!$A$4:$G$3460,3,0),"")</f>
        <v/>
      </c>
      <c r="D1440" t="str">
        <f>IFERROR(VLOOKUP($A1440,原始数据_收盘!$A$4:$G$3460,4,0),"")</f>
        <v/>
      </c>
      <c r="E1440" t="str">
        <f>IFERROR(VLOOKUP($A1440,原始数据_收盘!$A$4:$G$3460,5,0),"")</f>
        <v/>
      </c>
      <c r="F1440" t="str">
        <f>IFERROR(VLOOKUP($A1440,原始数据_收盘!$A$4:$G$3460,6,0),"")</f>
        <v/>
      </c>
      <c r="G1440" t="str">
        <f>IFERROR(VLOOKUP($A1440,原始数据_收盘!$A$4:$G$3460,7,0),"")</f>
        <v/>
      </c>
      <c r="H1440" t="str">
        <f>IFERROR(VLOOKUP($A1440,原始数据_利率互换_FR007_1年!$A$6:$C$4395,2,0),"")</f>
        <v/>
      </c>
      <c r="I1440" t="str">
        <f>IFERROR(VLOOKUP($A1440,原始数据_利率互换_FR007_1年!$A$6:$C$4395,3,0),"")</f>
        <v/>
      </c>
    </row>
    <row r="1441" spans="1:9">
      <c r="A1441" s="6">
        <v>40934</v>
      </c>
      <c r="B1441" t="str">
        <f>IFERROR(VLOOKUP($A1441,原始数据_收盘!$A$4:$G$3460,2,0),"")</f>
        <v/>
      </c>
      <c r="C1441" t="str">
        <f>IFERROR(VLOOKUP($A1441,原始数据_收盘!$A$4:$G$3460,3,0),"")</f>
        <v/>
      </c>
      <c r="D1441" t="str">
        <f>IFERROR(VLOOKUP($A1441,原始数据_收盘!$A$4:$G$3460,4,0),"")</f>
        <v/>
      </c>
      <c r="E1441" t="str">
        <f>IFERROR(VLOOKUP($A1441,原始数据_收盘!$A$4:$G$3460,5,0),"")</f>
        <v/>
      </c>
      <c r="F1441" t="str">
        <f>IFERROR(VLOOKUP($A1441,原始数据_收盘!$A$4:$G$3460,6,0),"")</f>
        <v/>
      </c>
      <c r="G1441" t="str">
        <f>IFERROR(VLOOKUP($A1441,原始数据_收盘!$A$4:$G$3460,7,0),"")</f>
        <v/>
      </c>
      <c r="H1441" t="str">
        <f>IFERROR(VLOOKUP($A1441,原始数据_利率互换_FR007_1年!$A$6:$C$4395,2,0),"")</f>
        <v/>
      </c>
      <c r="I1441" t="str">
        <f>IFERROR(VLOOKUP($A1441,原始数据_利率互换_FR007_1年!$A$6:$C$4395,3,0),"")</f>
        <v/>
      </c>
    </row>
    <row r="1442" spans="1:9">
      <c r="A1442" s="6">
        <v>40935</v>
      </c>
      <c r="B1442" t="str">
        <f>IFERROR(VLOOKUP($A1442,原始数据_收盘!$A$4:$G$3460,2,0),"")</f>
        <v/>
      </c>
      <c r="C1442" t="str">
        <f>IFERROR(VLOOKUP($A1442,原始数据_收盘!$A$4:$G$3460,3,0),"")</f>
        <v/>
      </c>
      <c r="D1442" t="str">
        <f>IFERROR(VLOOKUP($A1442,原始数据_收盘!$A$4:$G$3460,4,0),"")</f>
        <v/>
      </c>
      <c r="E1442" t="str">
        <f>IFERROR(VLOOKUP($A1442,原始数据_收盘!$A$4:$G$3460,5,0),"")</f>
        <v/>
      </c>
      <c r="F1442" t="str">
        <f>IFERROR(VLOOKUP($A1442,原始数据_收盘!$A$4:$G$3460,6,0),"")</f>
        <v/>
      </c>
      <c r="G1442" t="str">
        <f>IFERROR(VLOOKUP($A1442,原始数据_收盘!$A$4:$G$3460,7,0),"")</f>
        <v/>
      </c>
      <c r="H1442" t="str">
        <f>IFERROR(VLOOKUP($A1442,原始数据_利率互换_FR007_1年!$A$6:$C$4395,2,0),"")</f>
        <v/>
      </c>
      <c r="I1442" t="str">
        <f>IFERROR(VLOOKUP($A1442,原始数据_利率互换_FR007_1年!$A$6:$C$4395,3,0),"")</f>
        <v/>
      </c>
    </row>
    <row r="1443" spans="1:9">
      <c r="A1443" s="6">
        <v>40936</v>
      </c>
      <c r="B1443" t="str">
        <f>IFERROR(VLOOKUP($A1443,原始数据_收盘!$A$4:$G$3460,2,0),"")</f>
        <v/>
      </c>
      <c r="C1443" t="str">
        <f>IFERROR(VLOOKUP($A1443,原始数据_收盘!$A$4:$G$3460,3,0),"")</f>
        <v/>
      </c>
      <c r="D1443" t="str">
        <f>IFERROR(VLOOKUP($A1443,原始数据_收盘!$A$4:$G$3460,4,0),"")</f>
        <v/>
      </c>
      <c r="E1443" t="str">
        <f>IFERROR(VLOOKUP($A1443,原始数据_收盘!$A$4:$G$3460,5,0),"")</f>
        <v/>
      </c>
      <c r="F1443" t="str">
        <f>IFERROR(VLOOKUP($A1443,原始数据_收盘!$A$4:$G$3460,6,0),"")</f>
        <v/>
      </c>
      <c r="G1443" t="str">
        <f>IFERROR(VLOOKUP($A1443,原始数据_收盘!$A$4:$G$3460,7,0),"")</f>
        <v/>
      </c>
      <c r="H1443" t="str">
        <f>IFERROR(VLOOKUP($A1443,原始数据_利率互换_FR007_1年!$A$6:$C$4395,2,0),"")</f>
        <v/>
      </c>
      <c r="I1443" t="str">
        <f>IFERROR(VLOOKUP($A1443,原始数据_利率互换_FR007_1年!$A$6:$C$4395,3,0),"")</f>
        <v/>
      </c>
    </row>
    <row r="1444" spans="1:9">
      <c r="A1444" s="6">
        <v>40937</v>
      </c>
      <c r="B1444" t="str">
        <f>IFERROR(VLOOKUP($A1444,原始数据_收盘!$A$4:$G$3460,2,0),"")</f>
        <v/>
      </c>
      <c r="C1444" t="str">
        <f>IFERROR(VLOOKUP($A1444,原始数据_收盘!$A$4:$G$3460,3,0),"")</f>
        <v/>
      </c>
      <c r="D1444" t="str">
        <f>IFERROR(VLOOKUP($A1444,原始数据_收盘!$A$4:$G$3460,4,0),"")</f>
        <v/>
      </c>
      <c r="E1444" t="str">
        <f>IFERROR(VLOOKUP($A1444,原始数据_收盘!$A$4:$G$3460,5,0),"")</f>
        <v/>
      </c>
      <c r="F1444" t="str">
        <f>IFERROR(VLOOKUP($A1444,原始数据_收盘!$A$4:$G$3460,6,0),"")</f>
        <v/>
      </c>
      <c r="G1444" t="str">
        <f>IFERROR(VLOOKUP($A1444,原始数据_收盘!$A$4:$G$3460,7,0),"")</f>
        <v/>
      </c>
      <c r="H1444">
        <f>IFERROR(VLOOKUP($A1444,原始数据_利率互换_FR007_1年!$A$6:$C$4395,2,0),"")</f>
        <v>3.02</v>
      </c>
      <c r="I1444">
        <f>IFERROR(VLOOKUP($A1444,原始数据_利率互换_FR007_1年!$A$6:$C$4395,3,0),"")</f>
        <v>0</v>
      </c>
    </row>
    <row r="1445" spans="1:9">
      <c r="A1445" s="6">
        <v>40938</v>
      </c>
      <c r="B1445" t="str">
        <f>IFERROR(VLOOKUP($A1445,原始数据_收盘!$A$4:$G$3460,2,0),"")</f>
        <v/>
      </c>
      <c r="C1445" t="str">
        <f>IFERROR(VLOOKUP($A1445,原始数据_收盘!$A$4:$G$3460,3,0),"")</f>
        <v/>
      </c>
      <c r="D1445" t="str">
        <f>IFERROR(VLOOKUP($A1445,原始数据_收盘!$A$4:$G$3460,4,0),"")</f>
        <v/>
      </c>
      <c r="E1445" t="str">
        <f>IFERROR(VLOOKUP($A1445,原始数据_收盘!$A$4:$G$3460,5,0),"")</f>
        <v/>
      </c>
      <c r="F1445" t="str">
        <f>IFERROR(VLOOKUP($A1445,原始数据_收盘!$A$4:$G$3460,6,0),"")</f>
        <v/>
      </c>
      <c r="G1445" t="str">
        <f>IFERROR(VLOOKUP($A1445,原始数据_收盘!$A$4:$G$3460,7,0),"")</f>
        <v/>
      </c>
      <c r="H1445">
        <f>IFERROR(VLOOKUP($A1445,原始数据_利率互换_FR007_1年!$A$6:$C$4395,2,0),"")</f>
        <v>3.0609</v>
      </c>
      <c r="I1445">
        <f>IFERROR(VLOOKUP($A1445,原始数据_利率互换_FR007_1年!$A$6:$C$4395,3,0),"")</f>
        <v>3.0613</v>
      </c>
    </row>
    <row r="1446" spans="1:9">
      <c r="A1446" s="6">
        <v>40939</v>
      </c>
      <c r="B1446" t="str">
        <f>IFERROR(VLOOKUP($A1446,原始数据_收盘!$A$4:$G$3460,2,0),"")</f>
        <v/>
      </c>
      <c r="C1446" t="str">
        <f>IFERROR(VLOOKUP($A1446,原始数据_收盘!$A$4:$G$3460,3,0),"")</f>
        <v/>
      </c>
      <c r="D1446" t="str">
        <f>IFERROR(VLOOKUP($A1446,原始数据_收盘!$A$4:$G$3460,4,0),"")</f>
        <v/>
      </c>
      <c r="E1446" t="str">
        <f>IFERROR(VLOOKUP($A1446,原始数据_收盘!$A$4:$G$3460,5,0),"")</f>
        <v/>
      </c>
      <c r="F1446" t="str">
        <f>IFERROR(VLOOKUP($A1446,原始数据_收盘!$A$4:$G$3460,6,0),"")</f>
        <v/>
      </c>
      <c r="G1446" t="str">
        <f>IFERROR(VLOOKUP($A1446,原始数据_收盘!$A$4:$G$3460,7,0),"")</f>
        <v/>
      </c>
      <c r="H1446">
        <f>IFERROR(VLOOKUP($A1446,原始数据_利率互换_FR007_1年!$A$6:$C$4395,2,0),"")</f>
        <v>3.0772</v>
      </c>
      <c r="I1446">
        <f>IFERROR(VLOOKUP($A1446,原始数据_利率互换_FR007_1年!$A$6:$C$4395,3,0),"")</f>
        <v>3.0598</v>
      </c>
    </row>
    <row r="1447" spans="1:9">
      <c r="A1447" s="6">
        <v>40940</v>
      </c>
      <c r="B1447" t="str">
        <f>IFERROR(VLOOKUP($A1447,原始数据_收盘!$A$4:$G$3460,2,0),"")</f>
        <v/>
      </c>
      <c r="C1447" t="str">
        <f>IFERROR(VLOOKUP($A1447,原始数据_收盘!$A$4:$G$3460,3,0),"")</f>
        <v/>
      </c>
      <c r="D1447" t="str">
        <f>IFERROR(VLOOKUP($A1447,原始数据_收盘!$A$4:$G$3460,4,0),"")</f>
        <v/>
      </c>
      <c r="E1447" t="str">
        <f>IFERROR(VLOOKUP($A1447,原始数据_收盘!$A$4:$G$3460,5,0),"")</f>
        <v/>
      </c>
      <c r="F1447" t="str">
        <f>IFERROR(VLOOKUP($A1447,原始数据_收盘!$A$4:$G$3460,6,0),"")</f>
        <v/>
      </c>
      <c r="G1447" t="str">
        <f>IFERROR(VLOOKUP($A1447,原始数据_收盘!$A$4:$G$3460,7,0),"")</f>
        <v/>
      </c>
      <c r="H1447">
        <f>IFERROR(VLOOKUP($A1447,原始数据_利率互换_FR007_1年!$A$6:$C$4395,2,0),"")</f>
        <v>3.2158</v>
      </c>
      <c r="I1447">
        <f>IFERROR(VLOOKUP($A1447,原始数据_利率互换_FR007_1年!$A$6:$C$4395,3,0),"")</f>
        <v>3.1731</v>
      </c>
    </row>
    <row r="1448" spans="1:9">
      <c r="A1448" s="6">
        <v>40941</v>
      </c>
      <c r="B1448" t="str">
        <f>IFERROR(VLOOKUP($A1448,原始数据_收盘!$A$4:$G$3460,2,0),"")</f>
        <v/>
      </c>
      <c r="C1448" t="str">
        <f>IFERROR(VLOOKUP($A1448,原始数据_收盘!$A$4:$G$3460,3,0),"")</f>
        <v/>
      </c>
      <c r="D1448" t="str">
        <f>IFERROR(VLOOKUP($A1448,原始数据_收盘!$A$4:$G$3460,4,0),"")</f>
        <v/>
      </c>
      <c r="E1448" t="str">
        <f>IFERROR(VLOOKUP($A1448,原始数据_收盘!$A$4:$G$3460,5,0),"")</f>
        <v/>
      </c>
      <c r="F1448" t="str">
        <f>IFERROR(VLOOKUP($A1448,原始数据_收盘!$A$4:$G$3460,6,0),"")</f>
        <v/>
      </c>
      <c r="G1448" t="str">
        <f>IFERROR(VLOOKUP($A1448,原始数据_收盘!$A$4:$G$3460,7,0),"")</f>
        <v/>
      </c>
      <c r="H1448">
        <f>IFERROR(VLOOKUP($A1448,原始数据_利率互换_FR007_1年!$A$6:$C$4395,2,0),"")</f>
        <v>3.2123</v>
      </c>
      <c r="I1448">
        <f>IFERROR(VLOOKUP($A1448,原始数据_利率互换_FR007_1年!$A$6:$C$4395,3,0),"")</f>
        <v>3.2218</v>
      </c>
    </row>
    <row r="1449" spans="1:9">
      <c r="A1449" s="6">
        <v>40942</v>
      </c>
      <c r="B1449" t="str">
        <f>IFERROR(VLOOKUP($A1449,原始数据_收盘!$A$4:$G$3460,2,0),"")</f>
        <v/>
      </c>
      <c r="C1449" t="str">
        <f>IFERROR(VLOOKUP($A1449,原始数据_收盘!$A$4:$G$3460,3,0),"")</f>
        <v/>
      </c>
      <c r="D1449" t="str">
        <f>IFERROR(VLOOKUP($A1449,原始数据_收盘!$A$4:$G$3460,4,0),"")</f>
        <v/>
      </c>
      <c r="E1449" t="str">
        <f>IFERROR(VLOOKUP($A1449,原始数据_收盘!$A$4:$G$3460,5,0),"")</f>
        <v/>
      </c>
      <c r="F1449" t="str">
        <f>IFERROR(VLOOKUP($A1449,原始数据_收盘!$A$4:$G$3460,6,0),"")</f>
        <v/>
      </c>
      <c r="G1449" t="str">
        <f>IFERROR(VLOOKUP($A1449,原始数据_收盘!$A$4:$G$3460,7,0),"")</f>
        <v/>
      </c>
      <c r="H1449">
        <f>IFERROR(VLOOKUP($A1449,原始数据_利率互换_FR007_1年!$A$6:$C$4395,2,0),"")</f>
        <v>3.1113</v>
      </c>
      <c r="I1449">
        <f>IFERROR(VLOOKUP($A1449,原始数据_利率互换_FR007_1年!$A$6:$C$4395,3,0),"")</f>
        <v>3.1142</v>
      </c>
    </row>
    <row r="1450" spans="1:9">
      <c r="A1450" s="6">
        <v>40943</v>
      </c>
      <c r="B1450" t="str">
        <f>IFERROR(VLOOKUP($A1450,原始数据_收盘!$A$4:$G$3460,2,0),"")</f>
        <v/>
      </c>
      <c r="C1450" t="str">
        <f>IFERROR(VLOOKUP($A1450,原始数据_收盘!$A$4:$G$3460,3,0),"")</f>
        <v/>
      </c>
      <c r="D1450" t="str">
        <f>IFERROR(VLOOKUP($A1450,原始数据_收盘!$A$4:$G$3460,4,0),"")</f>
        <v/>
      </c>
      <c r="E1450" t="str">
        <f>IFERROR(VLOOKUP($A1450,原始数据_收盘!$A$4:$G$3460,5,0),"")</f>
        <v/>
      </c>
      <c r="F1450" t="str">
        <f>IFERROR(VLOOKUP($A1450,原始数据_收盘!$A$4:$G$3460,6,0),"")</f>
        <v/>
      </c>
      <c r="G1450" t="str">
        <f>IFERROR(VLOOKUP($A1450,原始数据_收盘!$A$4:$G$3460,7,0),"")</f>
        <v/>
      </c>
      <c r="H1450" t="str">
        <f>IFERROR(VLOOKUP($A1450,原始数据_利率互换_FR007_1年!$A$6:$C$4395,2,0),"")</f>
        <v/>
      </c>
      <c r="I1450" t="str">
        <f>IFERROR(VLOOKUP($A1450,原始数据_利率互换_FR007_1年!$A$6:$C$4395,3,0),"")</f>
        <v/>
      </c>
    </row>
    <row r="1451" spans="1:9">
      <c r="A1451" s="6">
        <v>40944</v>
      </c>
      <c r="B1451" t="str">
        <f>IFERROR(VLOOKUP($A1451,原始数据_收盘!$A$4:$G$3460,2,0),"")</f>
        <v/>
      </c>
      <c r="C1451" t="str">
        <f>IFERROR(VLOOKUP($A1451,原始数据_收盘!$A$4:$G$3460,3,0),"")</f>
        <v/>
      </c>
      <c r="D1451" t="str">
        <f>IFERROR(VLOOKUP($A1451,原始数据_收盘!$A$4:$G$3460,4,0),"")</f>
        <v/>
      </c>
      <c r="E1451" t="str">
        <f>IFERROR(VLOOKUP($A1451,原始数据_收盘!$A$4:$G$3460,5,0),"")</f>
        <v/>
      </c>
      <c r="F1451" t="str">
        <f>IFERROR(VLOOKUP($A1451,原始数据_收盘!$A$4:$G$3460,6,0),"")</f>
        <v/>
      </c>
      <c r="G1451" t="str">
        <f>IFERROR(VLOOKUP($A1451,原始数据_收盘!$A$4:$G$3460,7,0),"")</f>
        <v/>
      </c>
      <c r="H1451" t="str">
        <f>IFERROR(VLOOKUP($A1451,原始数据_利率互换_FR007_1年!$A$6:$C$4395,2,0),"")</f>
        <v/>
      </c>
      <c r="I1451" t="str">
        <f>IFERROR(VLOOKUP($A1451,原始数据_利率互换_FR007_1年!$A$6:$C$4395,3,0),"")</f>
        <v/>
      </c>
    </row>
    <row r="1452" spans="1:9">
      <c r="A1452" s="6">
        <v>40945</v>
      </c>
      <c r="B1452" t="str">
        <f>IFERROR(VLOOKUP($A1452,原始数据_收盘!$A$4:$G$3460,2,0),"")</f>
        <v/>
      </c>
      <c r="C1452" t="str">
        <f>IFERROR(VLOOKUP($A1452,原始数据_收盘!$A$4:$G$3460,3,0),"")</f>
        <v/>
      </c>
      <c r="D1452" t="str">
        <f>IFERROR(VLOOKUP($A1452,原始数据_收盘!$A$4:$G$3460,4,0),"")</f>
        <v/>
      </c>
      <c r="E1452" t="str">
        <f>IFERROR(VLOOKUP($A1452,原始数据_收盘!$A$4:$G$3460,5,0),"")</f>
        <v/>
      </c>
      <c r="F1452" t="str">
        <f>IFERROR(VLOOKUP($A1452,原始数据_收盘!$A$4:$G$3460,6,0),"")</f>
        <v/>
      </c>
      <c r="G1452" t="str">
        <f>IFERROR(VLOOKUP($A1452,原始数据_收盘!$A$4:$G$3460,7,0),"")</f>
        <v/>
      </c>
      <c r="H1452">
        <f>IFERROR(VLOOKUP($A1452,原始数据_利率互换_FR007_1年!$A$6:$C$4395,2,0),"")</f>
        <v>3.1647</v>
      </c>
      <c r="I1452">
        <f>IFERROR(VLOOKUP($A1452,原始数据_利率互换_FR007_1年!$A$6:$C$4395,3,0),"")</f>
        <v>3.2519</v>
      </c>
    </row>
    <row r="1453" spans="1:9">
      <c r="A1453" s="6">
        <v>40946</v>
      </c>
      <c r="B1453" t="str">
        <f>IFERROR(VLOOKUP($A1453,原始数据_收盘!$A$4:$G$3460,2,0),"")</f>
        <v/>
      </c>
      <c r="C1453" t="str">
        <f>IFERROR(VLOOKUP($A1453,原始数据_收盘!$A$4:$G$3460,3,0),"")</f>
        <v/>
      </c>
      <c r="D1453" t="str">
        <f>IFERROR(VLOOKUP($A1453,原始数据_收盘!$A$4:$G$3460,4,0),"")</f>
        <v/>
      </c>
      <c r="E1453" t="str">
        <f>IFERROR(VLOOKUP($A1453,原始数据_收盘!$A$4:$G$3460,5,0),"")</f>
        <v/>
      </c>
      <c r="F1453" t="str">
        <f>IFERROR(VLOOKUP($A1453,原始数据_收盘!$A$4:$G$3460,6,0),"")</f>
        <v/>
      </c>
      <c r="G1453" t="str">
        <f>IFERROR(VLOOKUP($A1453,原始数据_收盘!$A$4:$G$3460,7,0),"")</f>
        <v/>
      </c>
      <c r="H1453">
        <f>IFERROR(VLOOKUP($A1453,原始数据_利率互换_FR007_1年!$A$6:$C$4395,2,0),"")</f>
        <v>3.1904</v>
      </c>
      <c r="I1453">
        <f>IFERROR(VLOOKUP($A1453,原始数据_利率互换_FR007_1年!$A$6:$C$4395,3,0),"")</f>
        <v>3.2992</v>
      </c>
    </row>
    <row r="1454" spans="1:9">
      <c r="A1454" s="6">
        <v>40947</v>
      </c>
      <c r="B1454" t="str">
        <f>IFERROR(VLOOKUP($A1454,原始数据_收盘!$A$4:$G$3460,2,0),"")</f>
        <v/>
      </c>
      <c r="C1454" t="str">
        <f>IFERROR(VLOOKUP($A1454,原始数据_收盘!$A$4:$G$3460,3,0),"")</f>
        <v/>
      </c>
      <c r="D1454" t="str">
        <f>IFERROR(VLOOKUP($A1454,原始数据_收盘!$A$4:$G$3460,4,0),"")</f>
        <v/>
      </c>
      <c r="E1454" t="str">
        <f>IFERROR(VLOOKUP($A1454,原始数据_收盘!$A$4:$G$3460,5,0),"")</f>
        <v/>
      </c>
      <c r="F1454" t="str">
        <f>IFERROR(VLOOKUP($A1454,原始数据_收盘!$A$4:$G$3460,6,0),"")</f>
        <v/>
      </c>
      <c r="G1454" t="str">
        <f>IFERROR(VLOOKUP($A1454,原始数据_收盘!$A$4:$G$3460,7,0),"")</f>
        <v/>
      </c>
      <c r="H1454">
        <f>IFERROR(VLOOKUP($A1454,原始数据_利率互换_FR007_1年!$A$6:$C$4395,2,0),"")</f>
        <v>3.2331</v>
      </c>
      <c r="I1454">
        <f>IFERROR(VLOOKUP($A1454,原始数据_利率互换_FR007_1年!$A$6:$C$4395,3,0),"")</f>
        <v>3.3863</v>
      </c>
    </row>
    <row r="1455" spans="1:9">
      <c r="A1455" s="6">
        <v>40948</v>
      </c>
      <c r="B1455" t="str">
        <f>IFERROR(VLOOKUP($A1455,原始数据_收盘!$A$4:$G$3460,2,0),"")</f>
        <v/>
      </c>
      <c r="C1455" t="str">
        <f>IFERROR(VLOOKUP($A1455,原始数据_收盘!$A$4:$G$3460,3,0),"")</f>
        <v/>
      </c>
      <c r="D1455" t="str">
        <f>IFERROR(VLOOKUP($A1455,原始数据_收盘!$A$4:$G$3460,4,0),"")</f>
        <v/>
      </c>
      <c r="E1455" t="str">
        <f>IFERROR(VLOOKUP($A1455,原始数据_收盘!$A$4:$G$3460,5,0),"")</f>
        <v/>
      </c>
      <c r="F1455" t="str">
        <f>IFERROR(VLOOKUP($A1455,原始数据_收盘!$A$4:$G$3460,6,0),"")</f>
        <v/>
      </c>
      <c r="G1455" t="str">
        <f>IFERROR(VLOOKUP($A1455,原始数据_收盘!$A$4:$G$3460,7,0),"")</f>
        <v/>
      </c>
      <c r="H1455">
        <f>IFERROR(VLOOKUP($A1455,原始数据_利率互换_FR007_1年!$A$6:$C$4395,2,0),"")</f>
        <v>3.3399</v>
      </c>
      <c r="I1455">
        <f>IFERROR(VLOOKUP($A1455,原始数据_利率互换_FR007_1年!$A$6:$C$4395,3,0),"")</f>
        <v>3.4529</v>
      </c>
    </row>
    <row r="1456" spans="1:9">
      <c r="A1456" s="6">
        <v>40949</v>
      </c>
      <c r="B1456" t="str">
        <f>IFERROR(VLOOKUP($A1456,原始数据_收盘!$A$4:$G$3460,2,0),"")</f>
        <v/>
      </c>
      <c r="C1456" t="str">
        <f>IFERROR(VLOOKUP($A1456,原始数据_收盘!$A$4:$G$3460,3,0),"")</f>
        <v/>
      </c>
      <c r="D1456" t="str">
        <f>IFERROR(VLOOKUP($A1456,原始数据_收盘!$A$4:$G$3460,4,0),"")</f>
        <v/>
      </c>
      <c r="E1456" t="str">
        <f>IFERROR(VLOOKUP($A1456,原始数据_收盘!$A$4:$G$3460,5,0),"")</f>
        <v/>
      </c>
      <c r="F1456" t="str">
        <f>IFERROR(VLOOKUP($A1456,原始数据_收盘!$A$4:$G$3460,6,0),"")</f>
        <v/>
      </c>
      <c r="G1456" t="str">
        <f>IFERROR(VLOOKUP($A1456,原始数据_收盘!$A$4:$G$3460,7,0),"")</f>
        <v/>
      </c>
      <c r="H1456">
        <f>IFERROR(VLOOKUP($A1456,原始数据_利率互换_FR007_1年!$A$6:$C$4395,2,0),"")</f>
        <v>3.2907</v>
      </c>
      <c r="I1456">
        <f>IFERROR(VLOOKUP($A1456,原始数据_利率互换_FR007_1年!$A$6:$C$4395,3,0),"")</f>
        <v>3.4271</v>
      </c>
    </row>
    <row r="1457" spans="1:9">
      <c r="A1457" s="6">
        <v>40950</v>
      </c>
      <c r="B1457" t="str">
        <f>IFERROR(VLOOKUP($A1457,原始数据_收盘!$A$4:$G$3460,2,0),"")</f>
        <v/>
      </c>
      <c r="C1457" t="str">
        <f>IFERROR(VLOOKUP($A1457,原始数据_收盘!$A$4:$G$3460,3,0),"")</f>
        <v/>
      </c>
      <c r="D1457" t="str">
        <f>IFERROR(VLOOKUP($A1457,原始数据_收盘!$A$4:$G$3460,4,0),"")</f>
        <v/>
      </c>
      <c r="E1457" t="str">
        <f>IFERROR(VLOOKUP($A1457,原始数据_收盘!$A$4:$G$3460,5,0),"")</f>
        <v/>
      </c>
      <c r="F1457" t="str">
        <f>IFERROR(VLOOKUP($A1457,原始数据_收盘!$A$4:$G$3460,6,0),"")</f>
        <v/>
      </c>
      <c r="G1457" t="str">
        <f>IFERROR(VLOOKUP($A1457,原始数据_收盘!$A$4:$G$3460,7,0),"")</f>
        <v/>
      </c>
      <c r="H1457" t="str">
        <f>IFERROR(VLOOKUP($A1457,原始数据_利率互换_FR007_1年!$A$6:$C$4395,2,0),"")</f>
        <v/>
      </c>
      <c r="I1457" t="str">
        <f>IFERROR(VLOOKUP($A1457,原始数据_利率互换_FR007_1年!$A$6:$C$4395,3,0),"")</f>
        <v/>
      </c>
    </row>
    <row r="1458" spans="1:9">
      <c r="A1458" s="6">
        <v>40951</v>
      </c>
      <c r="B1458" t="str">
        <f>IFERROR(VLOOKUP($A1458,原始数据_收盘!$A$4:$G$3460,2,0),"")</f>
        <v/>
      </c>
      <c r="C1458" t="str">
        <f>IFERROR(VLOOKUP($A1458,原始数据_收盘!$A$4:$G$3460,3,0),"")</f>
        <v/>
      </c>
      <c r="D1458" t="str">
        <f>IFERROR(VLOOKUP($A1458,原始数据_收盘!$A$4:$G$3460,4,0),"")</f>
        <v/>
      </c>
      <c r="E1458" t="str">
        <f>IFERROR(VLOOKUP($A1458,原始数据_收盘!$A$4:$G$3460,5,0),"")</f>
        <v/>
      </c>
      <c r="F1458" t="str">
        <f>IFERROR(VLOOKUP($A1458,原始数据_收盘!$A$4:$G$3460,6,0),"")</f>
        <v/>
      </c>
      <c r="G1458" t="str">
        <f>IFERROR(VLOOKUP($A1458,原始数据_收盘!$A$4:$G$3460,7,0),"")</f>
        <v/>
      </c>
      <c r="H1458" t="str">
        <f>IFERROR(VLOOKUP($A1458,原始数据_利率互换_FR007_1年!$A$6:$C$4395,2,0),"")</f>
        <v/>
      </c>
      <c r="I1458" t="str">
        <f>IFERROR(VLOOKUP($A1458,原始数据_利率互换_FR007_1年!$A$6:$C$4395,3,0),"")</f>
        <v/>
      </c>
    </row>
    <row r="1459" spans="1:9">
      <c r="A1459" s="6">
        <v>40952</v>
      </c>
      <c r="B1459" t="str">
        <f>IFERROR(VLOOKUP($A1459,原始数据_收盘!$A$4:$G$3460,2,0),"")</f>
        <v/>
      </c>
      <c r="C1459" t="str">
        <f>IFERROR(VLOOKUP($A1459,原始数据_收盘!$A$4:$G$3460,3,0),"")</f>
        <v/>
      </c>
      <c r="D1459" t="str">
        <f>IFERROR(VLOOKUP($A1459,原始数据_收盘!$A$4:$G$3460,4,0),"")</f>
        <v/>
      </c>
      <c r="E1459" t="str">
        <f>IFERROR(VLOOKUP($A1459,原始数据_收盘!$A$4:$G$3460,5,0),"")</f>
        <v/>
      </c>
      <c r="F1459" t="str">
        <f>IFERROR(VLOOKUP($A1459,原始数据_收盘!$A$4:$G$3460,6,0),"")</f>
        <v/>
      </c>
      <c r="G1459" t="str">
        <f>IFERROR(VLOOKUP($A1459,原始数据_收盘!$A$4:$G$3460,7,0),"")</f>
        <v/>
      </c>
      <c r="H1459">
        <f>IFERROR(VLOOKUP($A1459,原始数据_利率互换_FR007_1年!$A$6:$C$4395,2,0),"")</f>
        <v>3.253</v>
      </c>
      <c r="I1459">
        <f>IFERROR(VLOOKUP($A1459,原始数据_利率互换_FR007_1年!$A$6:$C$4395,3,0),"")</f>
        <v>3.3883</v>
      </c>
    </row>
    <row r="1460" spans="1:9">
      <c r="A1460" s="6">
        <v>40953</v>
      </c>
      <c r="B1460" t="str">
        <f>IFERROR(VLOOKUP($A1460,原始数据_收盘!$A$4:$G$3460,2,0),"")</f>
        <v/>
      </c>
      <c r="C1460" t="str">
        <f>IFERROR(VLOOKUP($A1460,原始数据_收盘!$A$4:$G$3460,3,0),"")</f>
        <v/>
      </c>
      <c r="D1460" t="str">
        <f>IFERROR(VLOOKUP($A1460,原始数据_收盘!$A$4:$G$3460,4,0),"")</f>
        <v/>
      </c>
      <c r="E1460" t="str">
        <f>IFERROR(VLOOKUP($A1460,原始数据_收盘!$A$4:$G$3460,5,0),"")</f>
        <v/>
      </c>
      <c r="F1460" t="str">
        <f>IFERROR(VLOOKUP($A1460,原始数据_收盘!$A$4:$G$3460,6,0),"")</f>
        <v/>
      </c>
      <c r="G1460" t="str">
        <f>IFERROR(VLOOKUP($A1460,原始数据_收盘!$A$4:$G$3460,7,0),"")</f>
        <v/>
      </c>
      <c r="H1460">
        <f>IFERROR(VLOOKUP($A1460,原始数据_利率互换_FR007_1年!$A$6:$C$4395,2,0),"")</f>
        <v>3.2798</v>
      </c>
      <c r="I1460">
        <f>IFERROR(VLOOKUP($A1460,原始数据_利率互换_FR007_1年!$A$6:$C$4395,3,0),"")</f>
        <v>3.41</v>
      </c>
    </row>
    <row r="1461" spans="1:9">
      <c r="A1461" s="6">
        <v>40954</v>
      </c>
      <c r="B1461" t="str">
        <f>IFERROR(VLOOKUP($A1461,原始数据_收盘!$A$4:$G$3460,2,0),"")</f>
        <v/>
      </c>
      <c r="C1461" t="str">
        <f>IFERROR(VLOOKUP($A1461,原始数据_收盘!$A$4:$G$3460,3,0),"")</f>
        <v/>
      </c>
      <c r="D1461" t="str">
        <f>IFERROR(VLOOKUP($A1461,原始数据_收盘!$A$4:$G$3460,4,0),"")</f>
        <v/>
      </c>
      <c r="E1461" t="str">
        <f>IFERROR(VLOOKUP($A1461,原始数据_收盘!$A$4:$G$3460,5,0),"")</f>
        <v/>
      </c>
      <c r="F1461" t="str">
        <f>IFERROR(VLOOKUP($A1461,原始数据_收盘!$A$4:$G$3460,6,0),"")</f>
        <v/>
      </c>
      <c r="G1461" t="str">
        <f>IFERROR(VLOOKUP($A1461,原始数据_收盘!$A$4:$G$3460,7,0),"")</f>
        <v/>
      </c>
      <c r="H1461">
        <f>IFERROR(VLOOKUP($A1461,原始数据_利率互换_FR007_1年!$A$6:$C$4395,2,0),"")</f>
        <v>3.3245</v>
      </c>
      <c r="I1461">
        <f>IFERROR(VLOOKUP($A1461,原始数据_利率互换_FR007_1年!$A$6:$C$4395,3,0),"")</f>
        <v>3.4264</v>
      </c>
    </row>
    <row r="1462" spans="1:9">
      <c r="A1462" s="6">
        <v>40955</v>
      </c>
      <c r="B1462" t="str">
        <f>IFERROR(VLOOKUP($A1462,原始数据_收盘!$A$4:$G$3460,2,0),"")</f>
        <v/>
      </c>
      <c r="C1462" t="str">
        <f>IFERROR(VLOOKUP($A1462,原始数据_收盘!$A$4:$G$3460,3,0),"")</f>
        <v/>
      </c>
      <c r="D1462" t="str">
        <f>IFERROR(VLOOKUP($A1462,原始数据_收盘!$A$4:$G$3460,4,0),"")</f>
        <v/>
      </c>
      <c r="E1462" t="str">
        <f>IFERROR(VLOOKUP($A1462,原始数据_收盘!$A$4:$G$3460,5,0),"")</f>
        <v/>
      </c>
      <c r="F1462" t="str">
        <f>IFERROR(VLOOKUP($A1462,原始数据_收盘!$A$4:$G$3460,6,0),"")</f>
        <v/>
      </c>
      <c r="G1462" t="str">
        <f>IFERROR(VLOOKUP($A1462,原始数据_收盘!$A$4:$G$3460,7,0),"")</f>
        <v/>
      </c>
      <c r="H1462">
        <f>IFERROR(VLOOKUP($A1462,原始数据_利率互换_FR007_1年!$A$6:$C$4395,2,0),"")</f>
        <v>3.3724</v>
      </c>
      <c r="I1462">
        <f>IFERROR(VLOOKUP($A1462,原始数据_利率互换_FR007_1年!$A$6:$C$4395,3,0),"")</f>
        <v>3.4444</v>
      </c>
    </row>
    <row r="1463" spans="1:9">
      <c r="A1463" s="6">
        <v>40956</v>
      </c>
      <c r="B1463" t="str">
        <f>IFERROR(VLOOKUP($A1463,原始数据_收盘!$A$4:$G$3460,2,0),"")</f>
        <v/>
      </c>
      <c r="C1463" t="str">
        <f>IFERROR(VLOOKUP($A1463,原始数据_收盘!$A$4:$G$3460,3,0),"")</f>
        <v/>
      </c>
      <c r="D1463" t="str">
        <f>IFERROR(VLOOKUP($A1463,原始数据_收盘!$A$4:$G$3460,4,0),"")</f>
        <v/>
      </c>
      <c r="E1463" t="str">
        <f>IFERROR(VLOOKUP($A1463,原始数据_收盘!$A$4:$G$3460,5,0),"")</f>
        <v/>
      </c>
      <c r="F1463" t="str">
        <f>IFERROR(VLOOKUP($A1463,原始数据_收盘!$A$4:$G$3460,6,0),"")</f>
        <v/>
      </c>
      <c r="G1463" t="str">
        <f>IFERROR(VLOOKUP($A1463,原始数据_收盘!$A$4:$G$3460,7,0),"")</f>
        <v/>
      </c>
      <c r="H1463">
        <f>IFERROR(VLOOKUP($A1463,原始数据_利率互换_FR007_1年!$A$6:$C$4395,2,0),"")</f>
        <v>3.4111</v>
      </c>
      <c r="I1463">
        <f>IFERROR(VLOOKUP($A1463,原始数据_利率互换_FR007_1年!$A$6:$C$4395,3,0),"")</f>
        <v>3.4345</v>
      </c>
    </row>
    <row r="1464" spans="1:9">
      <c r="A1464" s="6">
        <v>40957</v>
      </c>
      <c r="B1464" t="str">
        <f>IFERROR(VLOOKUP($A1464,原始数据_收盘!$A$4:$G$3460,2,0),"")</f>
        <v/>
      </c>
      <c r="C1464" t="str">
        <f>IFERROR(VLOOKUP($A1464,原始数据_收盘!$A$4:$G$3460,3,0),"")</f>
        <v/>
      </c>
      <c r="D1464" t="str">
        <f>IFERROR(VLOOKUP($A1464,原始数据_收盘!$A$4:$G$3460,4,0),"")</f>
        <v/>
      </c>
      <c r="E1464" t="str">
        <f>IFERROR(VLOOKUP($A1464,原始数据_收盘!$A$4:$G$3460,5,0),"")</f>
        <v/>
      </c>
      <c r="F1464" t="str">
        <f>IFERROR(VLOOKUP($A1464,原始数据_收盘!$A$4:$G$3460,6,0),"")</f>
        <v/>
      </c>
      <c r="G1464" t="str">
        <f>IFERROR(VLOOKUP($A1464,原始数据_收盘!$A$4:$G$3460,7,0),"")</f>
        <v/>
      </c>
      <c r="H1464" t="str">
        <f>IFERROR(VLOOKUP($A1464,原始数据_利率互换_FR007_1年!$A$6:$C$4395,2,0),"")</f>
        <v/>
      </c>
      <c r="I1464" t="str">
        <f>IFERROR(VLOOKUP($A1464,原始数据_利率互换_FR007_1年!$A$6:$C$4395,3,0),"")</f>
        <v/>
      </c>
    </row>
    <row r="1465" spans="1:9">
      <c r="A1465" s="6">
        <v>40958</v>
      </c>
      <c r="B1465" t="str">
        <f>IFERROR(VLOOKUP($A1465,原始数据_收盘!$A$4:$G$3460,2,0),"")</f>
        <v/>
      </c>
      <c r="C1465" t="str">
        <f>IFERROR(VLOOKUP($A1465,原始数据_收盘!$A$4:$G$3460,3,0),"")</f>
        <v/>
      </c>
      <c r="D1465" t="str">
        <f>IFERROR(VLOOKUP($A1465,原始数据_收盘!$A$4:$G$3460,4,0),"")</f>
        <v/>
      </c>
      <c r="E1465" t="str">
        <f>IFERROR(VLOOKUP($A1465,原始数据_收盘!$A$4:$G$3460,5,0),"")</f>
        <v/>
      </c>
      <c r="F1465" t="str">
        <f>IFERROR(VLOOKUP($A1465,原始数据_收盘!$A$4:$G$3460,6,0),"")</f>
        <v/>
      </c>
      <c r="G1465" t="str">
        <f>IFERROR(VLOOKUP($A1465,原始数据_收盘!$A$4:$G$3460,7,0),"")</f>
        <v/>
      </c>
      <c r="H1465" t="str">
        <f>IFERROR(VLOOKUP($A1465,原始数据_利率互换_FR007_1年!$A$6:$C$4395,2,0),"")</f>
        <v/>
      </c>
      <c r="I1465" t="str">
        <f>IFERROR(VLOOKUP($A1465,原始数据_利率互换_FR007_1年!$A$6:$C$4395,3,0),"")</f>
        <v/>
      </c>
    </row>
    <row r="1466" spans="1:9">
      <c r="A1466" s="6">
        <v>40959</v>
      </c>
      <c r="B1466" t="str">
        <f>IFERROR(VLOOKUP($A1466,原始数据_收盘!$A$4:$G$3460,2,0),"")</f>
        <v/>
      </c>
      <c r="C1466" t="str">
        <f>IFERROR(VLOOKUP($A1466,原始数据_收盘!$A$4:$G$3460,3,0),"")</f>
        <v/>
      </c>
      <c r="D1466" t="str">
        <f>IFERROR(VLOOKUP($A1466,原始数据_收盘!$A$4:$G$3460,4,0),"")</f>
        <v/>
      </c>
      <c r="E1466" t="str">
        <f>IFERROR(VLOOKUP($A1466,原始数据_收盘!$A$4:$G$3460,5,0),"")</f>
        <v/>
      </c>
      <c r="F1466" t="str">
        <f>IFERROR(VLOOKUP($A1466,原始数据_收盘!$A$4:$G$3460,6,0),"")</f>
        <v/>
      </c>
      <c r="G1466" t="str">
        <f>IFERROR(VLOOKUP($A1466,原始数据_收盘!$A$4:$G$3460,7,0),"")</f>
        <v/>
      </c>
      <c r="H1466">
        <f>IFERROR(VLOOKUP($A1466,原始数据_利率互换_FR007_1年!$A$6:$C$4395,2,0),"")</f>
        <v>3.2442</v>
      </c>
      <c r="I1466">
        <f>IFERROR(VLOOKUP($A1466,原始数据_利率互换_FR007_1年!$A$6:$C$4395,3,0),"")</f>
        <v>3.3862</v>
      </c>
    </row>
    <row r="1467" spans="1:9">
      <c r="A1467" s="6">
        <v>40960</v>
      </c>
      <c r="B1467" t="str">
        <f>IFERROR(VLOOKUP($A1467,原始数据_收盘!$A$4:$G$3460,2,0),"")</f>
        <v/>
      </c>
      <c r="C1467" t="str">
        <f>IFERROR(VLOOKUP($A1467,原始数据_收盘!$A$4:$G$3460,3,0),"")</f>
        <v/>
      </c>
      <c r="D1467" t="str">
        <f>IFERROR(VLOOKUP($A1467,原始数据_收盘!$A$4:$G$3460,4,0),"")</f>
        <v/>
      </c>
      <c r="E1467" t="str">
        <f>IFERROR(VLOOKUP($A1467,原始数据_收盘!$A$4:$G$3460,5,0),"")</f>
        <v/>
      </c>
      <c r="F1467" t="str">
        <f>IFERROR(VLOOKUP($A1467,原始数据_收盘!$A$4:$G$3460,6,0),"")</f>
        <v/>
      </c>
      <c r="G1467" t="str">
        <f>IFERROR(VLOOKUP($A1467,原始数据_收盘!$A$4:$G$3460,7,0),"")</f>
        <v/>
      </c>
      <c r="H1467">
        <f>IFERROR(VLOOKUP($A1467,原始数据_利率互换_FR007_1年!$A$6:$C$4395,2,0),"")</f>
        <v>3.3372</v>
      </c>
      <c r="I1467">
        <f>IFERROR(VLOOKUP($A1467,原始数据_利率互换_FR007_1年!$A$6:$C$4395,3,0),"")</f>
        <v>3.4206</v>
      </c>
    </row>
    <row r="1468" spans="1:9">
      <c r="A1468" s="6">
        <v>40961</v>
      </c>
      <c r="B1468" t="str">
        <f>IFERROR(VLOOKUP($A1468,原始数据_收盘!$A$4:$G$3460,2,0),"")</f>
        <v/>
      </c>
      <c r="C1468" t="str">
        <f>IFERROR(VLOOKUP($A1468,原始数据_收盘!$A$4:$G$3460,3,0),"")</f>
        <v/>
      </c>
      <c r="D1468" t="str">
        <f>IFERROR(VLOOKUP($A1468,原始数据_收盘!$A$4:$G$3460,4,0),"")</f>
        <v/>
      </c>
      <c r="E1468" t="str">
        <f>IFERROR(VLOOKUP($A1468,原始数据_收盘!$A$4:$G$3460,5,0),"")</f>
        <v/>
      </c>
      <c r="F1468" t="str">
        <f>IFERROR(VLOOKUP($A1468,原始数据_收盘!$A$4:$G$3460,6,0),"")</f>
        <v/>
      </c>
      <c r="G1468" t="str">
        <f>IFERROR(VLOOKUP($A1468,原始数据_收盘!$A$4:$G$3460,7,0),"")</f>
        <v/>
      </c>
      <c r="H1468">
        <f>IFERROR(VLOOKUP($A1468,原始数据_利率互换_FR007_1年!$A$6:$C$4395,2,0),"")</f>
        <v>3.2857</v>
      </c>
      <c r="I1468">
        <f>IFERROR(VLOOKUP($A1468,原始数据_利率互换_FR007_1年!$A$6:$C$4395,3,0),"")</f>
        <v>0</v>
      </c>
    </row>
    <row r="1469" spans="1:9">
      <c r="A1469" s="6">
        <v>40962</v>
      </c>
      <c r="B1469" t="str">
        <f>IFERROR(VLOOKUP($A1469,原始数据_收盘!$A$4:$G$3460,2,0),"")</f>
        <v/>
      </c>
      <c r="C1469" t="str">
        <f>IFERROR(VLOOKUP($A1469,原始数据_收盘!$A$4:$G$3460,3,0),"")</f>
        <v/>
      </c>
      <c r="D1469" t="str">
        <f>IFERROR(VLOOKUP($A1469,原始数据_收盘!$A$4:$G$3460,4,0),"")</f>
        <v/>
      </c>
      <c r="E1469" t="str">
        <f>IFERROR(VLOOKUP($A1469,原始数据_收盘!$A$4:$G$3460,5,0),"")</f>
        <v/>
      </c>
      <c r="F1469" t="str">
        <f>IFERROR(VLOOKUP($A1469,原始数据_收盘!$A$4:$G$3460,6,0),"")</f>
        <v/>
      </c>
      <c r="G1469" t="str">
        <f>IFERROR(VLOOKUP($A1469,原始数据_收盘!$A$4:$G$3460,7,0),"")</f>
        <v/>
      </c>
      <c r="H1469">
        <f>IFERROR(VLOOKUP($A1469,原始数据_利率互换_FR007_1年!$A$6:$C$4395,2,0),"")</f>
        <v>3.3219</v>
      </c>
      <c r="I1469">
        <f>IFERROR(VLOOKUP($A1469,原始数据_利率互换_FR007_1年!$A$6:$C$4395,3,0),"")</f>
        <v>3.385</v>
      </c>
    </row>
    <row r="1470" spans="1:9">
      <c r="A1470" s="6">
        <v>40963</v>
      </c>
      <c r="B1470" t="str">
        <f>IFERROR(VLOOKUP($A1470,原始数据_收盘!$A$4:$G$3460,2,0),"")</f>
        <v/>
      </c>
      <c r="C1470" t="str">
        <f>IFERROR(VLOOKUP($A1470,原始数据_收盘!$A$4:$G$3460,3,0),"")</f>
        <v/>
      </c>
      <c r="D1470" t="str">
        <f>IFERROR(VLOOKUP($A1470,原始数据_收盘!$A$4:$G$3460,4,0),"")</f>
        <v/>
      </c>
      <c r="E1470" t="str">
        <f>IFERROR(VLOOKUP($A1470,原始数据_收盘!$A$4:$G$3460,5,0),"")</f>
        <v/>
      </c>
      <c r="F1470" t="str">
        <f>IFERROR(VLOOKUP($A1470,原始数据_收盘!$A$4:$G$3460,6,0),"")</f>
        <v/>
      </c>
      <c r="G1470" t="str">
        <f>IFERROR(VLOOKUP($A1470,原始数据_收盘!$A$4:$G$3460,7,0),"")</f>
        <v/>
      </c>
      <c r="H1470">
        <f>IFERROR(VLOOKUP($A1470,原始数据_利率互换_FR007_1年!$A$6:$C$4395,2,0),"")</f>
        <v>3.3184</v>
      </c>
      <c r="I1470">
        <f>IFERROR(VLOOKUP($A1470,原始数据_利率互换_FR007_1年!$A$6:$C$4395,3,0),"")</f>
        <v>3.4064</v>
      </c>
    </row>
    <row r="1471" spans="1:9">
      <c r="A1471" s="6">
        <v>40964</v>
      </c>
      <c r="B1471" t="str">
        <f>IFERROR(VLOOKUP($A1471,原始数据_收盘!$A$4:$G$3460,2,0),"")</f>
        <v/>
      </c>
      <c r="C1471" t="str">
        <f>IFERROR(VLOOKUP($A1471,原始数据_收盘!$A$4:$G$3460,3,0),"")</f>
        <v/>
      </c>
      <c r="D1471" t="str">
        <f>IFERROR(VLOOKUP($A1471,原始数据_收盘!$A$4:$G$3460,4,0),"")</f>
        <v/>
      </c>
      <c r="E1471" t="str">
        <f>IFERROR(VLOOKUP($A1471,原始数据_收盘!$A$4:$G$3460,5,0),"")</f>
        <v/>
      </c>
      <c r="F1471" t="str">
        <f>IFERROR(VLOOKUP($A1471,原始数据_收盘!$A$4:$G$3460,6,0),"")</f>
        <v/>
      </c>
      <c r="G1471" t="str">
        <f>IFERROR(VLOOKUP($A1471,原始数据_收盘!$A$4:$G$3460,7,0),"")</f>
        <v/>
      </c>
      <c r="H1471" t="str">
        <f>IFERROR(VLOOKUP($A1471,原始数据_利率互换_FR007_1年!$A$6:$C$4395,2,0),"")</f>
        <v/>
      </c>
      <c r="I1471" t="str">
        <f>IFERROR(VLOOKUP($A1471,原始数据_利率互换_FR007_1年!$A$6:$C$4395,3,0),"")</f>
        <v/>
      </c>
    </row>
    <row r="1472" spans="1:9">
      <c r="A1472" s="6">
        <v>40965</v>
      </c>
      <c r="B1472" t="str">
        <f>IFERROR(VLOOKUP($A1472,原始数据_收盘!$A$4:$G$3460,2,0),"")</f>
        <v/>
      </c>
      <c r="C1472" t="str">
        <f>IFERROR(VLOOKUP($A1472,原始数据_收盘!$A$4:$G$3460,3,0),"")</f>
        <v/>
      </c>
      <c r="D1472" t="str">
        <f>IFERROR(VLOOKUP($A1472,原始数据_收盘!$A$4:$G$3460,4,0),"")</f>
        <v/>
      </c>
      <c r="E1472" t="str">
        <f>IFERROR(VLOOKUP($A1472,原始数据_收盘!$A$4:$G$3460,5,0),"")</f>
        <v/>
      </c>
      <c r="F1472" t="str">
        <f>IFERROR(VLOOKUP($A1472,原始数据_收盘!$A$4:$G$3460,6,0),"")</f>
        <v/>
      </c>
      <c r="G1472" t="str">
        <f>IFERROR(VLOOKUP($A1472,原始数据_收盘!$A$4:$G$3460,7,0),"")</f>
        <v/>
      </c>
      <c r="H1472" t="str">
        <f>IFERROR(VLOOKUP($A1472,原始数据_利率互换_FR007_1年!$A$6:$C$4395,2,0),"")</f>
        <v/>
      </c>
      <c r="I1472" t="str">
        <f>IFERROR(VLOOKUP($A1472,原始数据_利率互换_FR007_1年!$A$6:$C$4395,3,0),"")</f>
        <v/>
      </c>
    </row>
    <row r="1473" spans="1:9">
      <c r="A1473" s="6">
        <v>40966</v>
      </c>
      <c r="B1473" t="str">
        <f>IFERROR(VLOOKUP($A1473,原始数据_收盘!$A$4:$G$3460,2,0),"")</f>
        <v/>
      </c>
      <c r="C1473" t="str">
        <f>IFERROR(VLOOKUP($A1473,原始数据_收盘!$A$4:$G$3460,3,0),"")</f>
        <v/>
      </c>
      <c r="D1473" t="str">
        <f>IFERROR(VLOOKUP($A1473,原始数据_收盘!$A$4:$G$3460,4,0),"")</f>
        <v/>
      </c>
      <c r="E1473" t="str">
        <f>IFERROR(VLOOKUP($A1473,原始数据_收盘!$A$4:$G$3460,5,0),"")</f>
        <v/>
      </c>
      <c r="F1473" t="str">
        <f>IFERROR(VLOOKUP($A1473,原始数据_收盘!$A$4:$G$3460,6,0),"")</f>
        <v/>
      </c>
      <c r="G1473" t="str">
        <f>IFERROR(VLOOKUP($A1473,原始数据_收盘!$A$4:$G$3460,7,0),"")</f>
        <v/>
      </c>
      <c r="H1473">
        <f>IFERROR(VLOOKUP($A1473,原始数据_利率互换_FR007_1年!$A$6:$C$4395,2,0),"")</f>
        <v>3.3245</v>
      </c>
      <c r="I1473">
        <f>IFERROR(VLOOKUP($A1473,原始数据_利率互换_FR007_1年!$A$6:$C$4395,3,0),"")</f>
        <v>3.4336</v>
      </c>
    </row>
    <row r="1474" spans="1:9">
      <c r="A1474" s="6">
        <v>40967</v>
      </c>
      <c r="B1474" t="str">
        <f>IFERROR(VLOOKUP($A1474,原始数据_收盘!$A$4:$G$3460,2,0),"")</f>
        <v/>
      </c>
      <c r="C1474" t="str">
        <f>IFERROR(VLOOKUP($A1474,原始数据_收盘!$A$4:$G$3460,3,0),"")</f>
        <v/>
      </c>
      <c r="D1474" t="str">
        <f>IFERROR(VLOOKUP($A1474,原始数据_收盘!$A$4:$G$3460,4,0),"")</f>
        <v/>
      </c>
      <c r="E1474" t="str">
        <f>IFERROR(VLOOKUP($A1474,原始数据_收盘!$A$4:$G$3460,5,0),"")</f>
        <v/>
      </c>
      <c r="F1474" t="str">
        <f>IFERROR(VLOOKUP($A1474,原始数据_收盘!$A$4:$G$3460,6,0),"")</f>
        <v/>
      </c>
      <c r="G1474" t="str">
        <f>IFERROR(VLOOKUP($A1474,原始数据_收盘!$A$4:$G$3460,7,0),"")</f>
        <v/>
      </c>
      <c r="H1474">
        <f>IFERROR(VLOOKUP($A1474,原始数据_利率互换_FR007_1年!$A$6:$C$4395,2,0),"")</f>
        <v>3.3292</v>
      </c>
      <c r="I1474">
        <f>IFERROR(VLOOKUP($A1474,原始数据_利率互换_FR007_1年!$A$6:$C$4395,3,0),"")</f>
        <v>3.4556</v>
      </c>
    </row>
    <row r="1475" spans="1:9">
      <c r="A1475" s="6">
        <v>40968</v>
      </c>
      <c r="B1475" t="str">
        <f>IFERROR(VLOOKUP($A1475,原始数据_收盘!$A$4:$G$3460,2,0),"")</f>
        <v/>
      </c>
      <c r="C1475" t="str">
        <f>IFERROR(VLOOKUP($A1475,原始数据_收盘!$A$4:$G$3460,3,0),"")</f>
        <v/>
      </c>
      <c r="D1475" t="str">
        <f>IFERROR(VLOOKUP($A1475,原始数据_收盘!$A$4:$G$3460,4,0),"")</f>
        <v/>
      </c>
      <c r="E1475" t="str">
        <f>IFERROR(VLOOKUP($A1475,原始数据_收盘!$A$4:$G$3460,5,0),"")</f>
        <v/>
      </c>
      <c r="F1475" t="str">
        <f>IFERROR(VLOOKUP($A1475,原始数据_收盘!$A$4:$G$3460,6,0),"")</f>
        <v/>
      </c>
      <c r="G1475" t="str">
        <f>IFERROR(VLOOKUP($A1475,原始数据_收盘!$A$4:$G$3460,7,0),"")</f>
        <v/>
      </c>
      <c r="H1475">
        <f>IFERROR(VLOOKUP($A1475,原始数据_利率互换_FR007_1年!$A$6:$C$4395,2,0),"")</f>
        <v>3.3333</v>
      </c>
      <c r="I1475">
        <f>IFERROR(VLOOKUP($A1475,原始数据_利率互换_FR007_1年!$A$6:$C$4395,3,0),"")</f>
        <v>3.4259</v>
      </c>
    </row>
    <row r="1476" spans="1:9">
      <c r="A1476" s="6">
        <v>40969</v>
      </c>
      <c r="B1476" t="str">
        <f>IFERROR(VLOOKUP($A1476,原始数据_收盘!$A$4:$G$3460,2,0),"")</f>
        <v/>
      </c>
      <c r="C1476" t="str">
        <f>IFERROR(VLOOKUP($A1476,原始数据_收盘!$A$4:$G$3460,3,0),"")</f>
        <v/>
      </c>
      <c r="D1476" t="str">
        <f>IFERROR(VLOOKUP($A1476,原始数据_收盘!$A$4:$G$3460,4,0),"")</f>
        <v/>
      </c>
      <c r="E1476" t="str">
        <f>IFERROR(VLOOKUP($A1476,原始数据_收盘!$A$4:$G$3460,5,0),"")</f>
        <v/>
      </c>
      <c r="F1476" t="str">
        <f>IFERROR(VLOOKUP($A1476,原始数据_收盘!$A$4:$G$3460,6,0),"")</f>
        <v/>
      </c>
      <c r="G1476" t="str">
        <f>IFERROR(VLOOKUP($A1476,原始数据_收盘!$A$4:$G$3460,7,0),"")</f>
        <v/>
      </c>
      <c r="H1476">
        <f>IFERROR(VLOOKUP($A1476,原始数据_利率互换_FR007_1年!$A$6:$C$4395,2,0),"")</f>
        <v>3.2944</v>
      </c>
      <c r="I1476">
        <f>IFERROR(VLOOKUP($A1476,原始数据_利率互换_FR007_1年!$A$6:$C$4395,3,0),"")</f>
        <v>3.426</v>
      </c>
    </row>
    <row r="1477" spans="1:9">
      <c r="A1477" s="6">
        <v>40970</v>
      </c>
      <c r="B1477" t="str">
        <f>IFERROR(VLOOKUP($A1477,原始数据_收盘!$A$4:$G$3460,2,0),"")</f>
        <v/>
      </c>
      <c r="C1477" t="str">
        <f>IFERROR(VLOOKUP($A1477,原始数据_收盘!$A$4:$G$3460,3,0),"")</f>
        <v/>
      </c>
      <c r="D1477" t="str">
        <f>IFERROR(VLOOKUP($A1477,原始数据_收盘!$A$4:$G$3460,4,0),"")</f>
        <v/>
      </c>
      <c r="E1477" t="str">
        <f>IFERROR(VLOOKUP($A1477,原始数据_收盘!$A$4:$G$3460,5,0),"")</f>
        <v/>
      </c>
      <c r="F1477" t="str">
        <f>IFERROR(VLOOKUP($A1477,原始数据_收盘!$A$4:$G$3460,6,0),"")</f>
        <v/>
      </c>
      <c r="G1477" t="str">
        <f>IFERROR(VLOOKUP($A1477,原始数据_收盘!$A$4:$G$3460,7,0),"")</f>
        <v/>
      </c>
      <c r="H1477">
        <f>IFERROR(VLOOKUP($A1477,原始数据_利率互换_FR007_1年!$A$6:$C$4395,2,0),"")</f>
        <v>3.3145</v>
      </c>
      <c r="I1477">
        <f>IFERROR(VLOOKUP($A1477,原始数据_利率互换_FR007_1年!$A$6:$C$4395,3,0),"")</f>
        <v>3.4708</v>
      </c>
    </row>
    <row r="1478" spans="1:9">
      <c r="A1478" s="6">
        <v>40971</v>
      </c>
      <c r="B1478" t="str">
        <f>IFERROR(VLOOKUP($A1478,原始数据_收盘!$A$4:$G$3460,2,0),"")</f>
        <v/>
      </c>
      <c r="C1478" t="str">
        <f>IFERROR(VLOOKUP($A1478,原始数据_收盘!$A$4:$G$3460,3,0),"")</f>
        <v/>
      </c>
      <c r="D1478" t="str">
        <f>IFERROR(VLOOKUP($A1478,原始数据_收盘!$A$4:$G$3460,4,0),"")</f>
        <v/>
      </c>
      <c r="E1478" t="str">
        <f>IFERROR(VLOOKUP($A1478,原始数据_收盘!$A$4:$G$3460,5,0),"")</f>
        <v/>
      </c>
      <c r="F1478" t="str">
        <f>IFERROR(VLOOKUP($A1478,原始数据_收盘!$A$4:$G$3460,6,0),"")</f>
        <v/>
      </c>
      <c r="G1478" t="str">
        <f>IFERROR(VLOOKUP($A1478,原始数据_收盘!$A$4:$G$3460,7,0),"")</f>
        <v/>
      </c>
      <c r="H1478" t="str">
        <f>IFERROR(VLOOKUP($A1478,原始数据_利率互换_FR007_1年!$A$6:$C$4395,2,0),"")</f>
        <v/>
      </c>
      <c r="I1478" t="str">
        <f>IFERROR(VLOOKUP($A1478,原始数据_利率互换_FR007_1年!$A$6:$C$4395,3,0),"")</f>
        <v/>
      </c>
    </row>
    <row r="1479" spans="1:9">
      <c r="A1479" s="6">
        <v>40972</v>
      </c>
      <c r="B1479" t="str">
        <f>IFERROR(VLOOKUP($A1479,原始数据_收盘!$A$4:$G$3460,2,0),"")</f>
        <v/>
      </c>
      <c r="C1479" t="str">
        <f>IFERROR(VLOOKUP($A1479,原始数据_收盘!$A$4:$G$3460,3,0),"")</f>
        <v/>
      </c>
      <c r="D1479" t="str">
        <f>IFERROR(VLOOKUP($A1479,原始数据_收盘!$A$4:$G$3460,4,0),"")</f>
        <v/>
      </c>
      <c r="E1479" t="str">
        <f>IFERROR(VLOOKUP($A1479,原始数据_收盘!$A$4:$G$3460,5,0),"")</f>
        <v/>
      </c>
      <c r="F1479" t="str">
        <f>IFERROR(VLOOKUP($A1479,原始数据_收盘!$A$4:$G$3460,6,0),"")</f>
        <v/>
      </c>
      <c r="G1479" t="str">
        <f>IFERROR(VLOOKUP($A1479,原始数据_收盘!$A$4:$G$3460,7,0),"")</f>
        <v/>
      </c>
      <c r="H1479" t="str">
        <f>IFERROR(VLOOKUP($A1479,原始数据_利率互换_FR007_1年!$A$6:$C$4395,2,0),"")</f>
        <v/>
      </c>
      <c r="I1479" t="str">
        <f>IFERROR(VLOOKUP($A1479,原始数据_利率互换_FR007_1年!$A$6:$C$4395,3,0),"")</f>
        <v/>
      </c>
    </row>
    <row r="1480" spans="1:9">
      <c r="A1480" s="6">
        <v>40973</v>
      </c>
      <c r="B1480" t="str">
        <f>IFERROR(VLOOKUP($A1480,原始数据_收盘!$A$4:$G$3460,2,0),"")</f>
        <v/>
      </c>
      <c r="C1480" t="str">
        <f>IFERROR(VLOOKUP($A1480,原始数据_收盘!$A$4:$G$3460,3,0),"")</f>
        <v/>
      </c>
      <c r="D1480" t="str">
        <f>IFERROR(VLOOKUP($A1480,原始数据_收盘!$A$4:$G$3460,4,0),"")</f>
        <v/>
      </c>
      <c r="E1480" t="str">
        <f>IFERROR(VLOOKUP($A1480,原始数据_收盘!$A$4:$G$3460,5,0),"")</f>
        <v/>
      </c>
      <c r="F1480" t="str">
        <f>IFERROR(VLOOKUP($A1480,原始数据_收盘!$A$4:$G$3460,6,0),"")</f>
        <v/>
      </c>
      <c r="G1480" t="str">
        <f>IFERROR(VLOOKUP($A1480,原始数据_收盘!$A$4:$G$3460,7,0),"")</f>
        <v/>
      </c>
      <c r="H1480">
        <f>IFERROR(VLOOKUP($A1480,原始数据_利率互换_FR007_1年!$A$6:$C$4395,2,0),"")</f>
        <v>3.3115</v>
      </c>
      <c r="I1480">
        <f>IFERROR(VLOOKUP($A1480,原始数据_利率互换_FR007_1年!$A$6:$C$4395,3,0),"")</f>
        <v>3.4805</v>
      </c>
    </row>
    <row r="1481" spans="1:9">
      <c r="A1481" s="6">
        <v>40974</v>
      </c>
      <c r="B1481" t="str">
        <f>IFERROR(VLOOKUP($A1481,原始数据_收盘!$A$4:$G$3460,2,0),"")</f>
        <v/>
      </c>
      <c r="C1481" t="str">
        <f>IFERROR(VLOOKUP($A1481,原始数据_收盘!$A$4:$G$3460,3,0),"")</f>
        <v/>
      </c>
      <c r="D1481" t="str">
        <f>IFERROR(VLOOKUP($A1481,原始数据_收盘!$A$4:$G$3460,4,0),"")</f>
        <v/>
      </c>
      <c r="E1481" t="str">
        <f>IFERROR(VLOOKUP($A1481,原始数据_收盘!$A$4:$G$3460,5,0),"")</f>
        <v/>
      </c>
      <c r="F1481" t="str">
        <f>IFERROR(VLOOKUP($A1481,原始数据_收盘!$A$4:$G$3460,6,0),"")</f>
        <v/>
      </c>
      <c r="G1481" t="str">
        <f>IFERROR(VLOOKUP($A1481,原始数据_收盘!$A$4:$G$3460,7,0),"")</f>
        <v/>
      </c>
      <c r="H1481">
        <f>IFERROR(VLOOKUP($A1481,原始数据_利率互换_FR007_1年!$A$6:$C$4395,2,0),"")</f>
        <v>3.273</v>
      </c>
      <c r="I1481">
        <f>IFERROR(VLOOKUP($A1481,原始数据_利率互换_FR007_1年!$A$6:$C$4395,3,0),"")</f>
        <v>3.453</v>
      </c>
    </row>
    <row r="1482" spans="1:9">
      <c r="A1482" s="6">
        <v>40975</v>
      </c>
      <c r="B1482" t="str">
        <f>IFERROR(VLOOKUP($A1482,原始数据_收盘!$A$4:$G$3460,2,0),"")</f>
        <v/>
      </c>
      <c r="C1482" t="str">
        <f>IFERROR(VLOOKUP($A1482,原始数据_收盘!$A$4:$G$3460,3,0),"")</f>
        <v/>
      </c>
      <c r="D1482" t="str">
        <f>IFERROR(VLOOKUP($A1482,原始数据_收盘!$A$4:$G$3460,4,0),"")</f>
        <v/>
      </c>
      <c r="E1482" t="str">
        <f>IFERROR(VLOOKUP($A1482,原始数据_收盘!$A$4:$G$3460,5,0),"")</f>
        <v/>
      </c>
      <c r="F1482" t="str">
        <f>IFERROR(VLOOKUP($A1482,原始数据_收盘!$A$4:$G$3460,6,0),"")</f>
        <v/>
      </c>
      <c r="G1482" t="str">
        <f>IFERROR(VLOOKUP($A1482,原始数据_收盘!$A$4:$G$3460,7,0),"")</f>
        <v/>
      </c>
      <c r="H1482">
        <f>IFERROR(VLOOKUP($A1482,原始数据_利率互换_FR007_1年!$A$6:$C$4395,2,0),"")</f>
        <v>3.2366</v>
      </c>
      <c r="I1482">
        <f>IFERROR(VLOOKUP($A1482,原始数据_利率互换_FR007_1年!$A$6:$C$4395,3,0),"")</f>
        <v>3.3919</v>
      </c>
    </row>
    <row r="1483" spans="1:9">
      <c r="A1483" s="6">
        <v>40976</v>
      </c>
      <c r="B1483" t="str">
        <f>IFERROR(VLOOKUP($A1483,原始数据_收盘!$A$4:$G$3460,2,0),"")</f>
        <v/>
      </c>
      <c r="C1483" t="str">
        <f>IFERROR(VLOOKUP($A1483,原始数据_收盘!$A$4:$G$3460,3,0),"")</f>
        <v/>
      </c>
      <c r="D1483" t="str">
        <f>IFERROR(VLOOKUP($A1483,原始数据_收盘!$A$4:$G$3460,4,0),"")</f>
        <v/>
      </c>
      <c r="E1483" t="str">
        <f>IFERROR(VLOOKUP($A1483,原始数据_收盘!$A$4:$G$3460,5,0),"")</f>
        <v/>
      </c>
      <c r="F1483" t="str">
        <f>IFERROR(VLOOKUP($A1483,原始数据_收盘!$A$4:$G$3460,6,0),"")</f>
        <v/>
      </c>
      <c r="G1483" t="str">
        <f>IFERROR(VLOOKUP($A1483,原始数据_收盘!$A$4:$G$3460,7,0),"")</f>
        <v/>
      </c>
      <c r="H1483">
        <f>IFERROR(VLOOKUP($A1483,原始数据_利率互换_FR007_1年!$A$6:$C$4395,2,0),"")</f>
        <v>3.1899</v>
      </c>
      <c r="I1483">
        <f>IFERROR(VLOOKUP($A1483,原始数据_利率互换_FR007_1年!$A$6:$C$4395,3,0),"")</f>
        <v>3.3737</v>
      </c>
    </row>
    <row r="1484" spans="1:9">
      <c r="A1484" s="6">
        <v>40977</v>
      </c>
      <c r="B1484" t="str">
        <f>IFERROR(VLOOKUP($A1484,原始数据_收盘!$A$4:$G$3460,2,0),"")</f>
        <v/>
      </c>
      <c r="C1484" t="str">
        <f>IFERROR(VLOOKUP($A1484,原始数据_收盘!$A$4:$G$3460,3,0),"")</f>
        <v/>
      </c>
      <c r="D1484" t="str">
        <f>IFERROR(VLOOKUP($A1484,原始数据_收盘!$A$4:$G$3460,4,0),"")</f>
        <v/>
      </c>
      <c r="E1484" t="str">
        <f>IFERROR(VLOOKUP($A1484,原始数据_收盘!$A$4:$G$3460,5,0),"")</f>
        <v/>
      </c>
      <c r="F1484" t="str">
        <f>IFERROR(VLOOKUP($A1484,原始数据_收盘!$A$4:$G$3460,6,0),"")</f>
        <v/>
      </c>
      <c r="G1484" t="str">
        <f>IFERROR(VLOOKUP($A1484,原始数据_收盘!$A$4:$G$3460,7,0),"")</f>
        <v/>
      </c>
      <c r="H1484">
        <f>IFERROR(VLOOKUP($A1484,原始数据_利率互换_FR007_1年!$A$6:$C$4395,2,0),"")</f>
        <v>3.1915</v>
      </c>
      <c r="I1484">
        <f>IFERROR(VLOOKUP($A1484,原始数据_利率互换_FR007_1年!$A$6:$C$4395,3,0),"")</f>
        <v>3.3879</v>
      </c>
    </row>
    <row r="1485" spans="1:9">
      <c r="A1485" s="6">
        <v>40978</v>
      </c>
      <c r="B1485" t="str">
        <f>IFERROR(VLOOKUP($A1485,原始数据_收盘!$A$4:$G$3460,2,0),"")</f>
        <v/>
      </c>
      <c r="C1485" t="str">
        <f>IFERROR(VLOOKUP($A1485,原始数据_收盘!$A$4:$G$3460,3,0),"")</f>
        <v/>
      </c>
      <c r="D1485" t="str">
        <f>IFERROR(VLOOKUP($A1485,原始数据_收盘!$A$4:$G$3460,4,0),"")</f>
        <v/>
      </c>
      <c r="E1485" t="str">
        <f>IFERROR(VLOOKUP($A1485,原始数据_收盘!$A$4:$G$3460,5,0),"")</f>
        <v/>
      </c>
      <c r="F1485" t="str">
        <f>IFERROR(VLOOKUP($A1485,原始数据_收盘!$A$4:$G$3460,6,0),"")</f>
        <v/>
      </c>
      <c r="G1485" t="str">
        <f>IFERROR(VLOOKUP($A1485,原始数据_收盘!$A$4:$G$3460,7,0),"")</f>
        <v/>
      </c>
      <c r="H1485" t="str">
        <f>IFERROR(VLOOKUP($A1485,原始数据_利率互换_FR007_1年!$A$6:$C$4395,2,0),"")</f>
        <v/>
      </c>
      <c r="I1485" t="str">
        <f>IFERROR(VLOOKUP($A1485,原始数据_利率互换_FR007_1年!$A$6:$C$4395,3,0),"")</f>
        <v/>
      </c>
    </row>
    <row r="1486" spans="1:9">
      <c r="A1486" s="6">
        <v>40979</v>
      </c>
      <c r="B1486" t="str">
        <f>IFERROR(VLOOKUP($A1486,原始数据_收盘!$A$4:$G$3460,2,0),"")</f>
        <v/>
      </c>
      <c r="C1486" t="str">
        <f>IFERROR(VLOOKUP($A1486,原始数据_收盘!$A$4:$G$3460,3,0),"")</f>
        <v/>
      </c>
      <c r="D1486" t="str">
        <f>IFERROR(VLOOKUP($A1486,原始数据_收盘!$A$4:$G$3460,4,0),"")</f>
        <v/>
      </c>
      <c r="E1486" t="str">
        <f>IFERROR(VLOOKUP($A1486,原始数据_收盘!$A$4:$G$3460,5,0),"")</f>
        <v/>
      </c>
      <c r="F1486" t="str">
        <f>IFERROR(VLOOKUP($A1486,原始数据_收盘!$A$4:$G$3460,6,0),"")</f>
        <v/>
      </c>
      <c r="G1486" t="str">
        <f>IFERROR(VLOOKUP($A1486,原始数据_收盘!$A$4:$G$3460,7,0),"")</f>
        <v/>
      </c>
      <c r="H1486" t="str">
        <f>IFERROR(VLOOKUP($A1486,原始数据_利率互换_FR007_1年!$A$6:$C$4395,2,0),"")</f>
        <v/>
      </c>
      <c r="I1486" t="str">
        <f>IFERROR(VLOOKUP($A1486,原始数据_利率互换_FR007_1年!$A$6:$C$4395,3,0),"")</f>
        <v/>
      </c>
    </row>
    <row r="1487" spans="1:9">
      <c r="A1487" s="6">
        <v>40980</v>
      </c>
      <c r="B1487" t="str">
        <f>IFERROR(VLOOKUP($A1487,原始数据_收盘!$A$4:$G$3460,2,0),"")</f>
        <v/>
      </c>
      <c r="C1487" t="str">
        <f>IFERROR(VLOOKUP($A1487,原始数据_收盘!$A$4:$G$3460,3,0),"")</f>
        <v/>
      </c>
      <c r="D1487" t="str">
        <f>IFERROR(VLOOKUP($A1487,原始数据_收盘!$A$4:$G$3460,4,0),"")</f>
        <v/>
      </c>
      <c r="E1487" t="str">
        <f>IFERROR(VLOOKUP($A1487,原始数据_收盘!$A$4:$G$3460,5,0),"")</f>
        <v/>
      </c>
      <c r="F1487" t="str">
        <f>IFERROR(VLOOKUP($A1487,原始数据_收盘!$A$4:$G$3460,6,0),"")</f>
        <v/>
      </c>
      <c r="G1487" t="str">
        <f>IFERROR(VLOOKUP($A1487,原始数据_收盘!$A$4:$G$3460,7,0),"")</f>
        <v/>
      </c>
      <c r="H1487">
        <f>IFERROR(VLOOKUP($A1487,原始数据_利率互换_FR007_1年!$A$6:$C$4395,2,0),"")</f>
        <v>3.1308</v>
      </c>
      <c r="I1487">
        <f>IFERROR(VLOOKUP($A1487,原始数据_利率互换_FR007_1年!$A$6:$C$4395,3,0),"")</f>
        <v>3.3071</v>
      </c>
    </row>
    <row r="1488" spans="1:9">
      <c r="A1488" s="6">
        <v>40981</v>
      </c>
      <c r="B1488" t="str">
        <f>IFERROR(VLOOKUP($A1488,原始数据_收盘!$A$4:$G$3460,2,0),"")</f>
        <v/>
      </c>
      <c r="C1488" t="str">
        <f>IFERROR(VLOOKUP($A1488,原始数据_收盘!$A$4:$G$3460,3,0),"")</f>
        <v/>
      </c>
      <c r="D1488" t="str">
        <f>IFERROR(VLOOKUP($A1488,原始数据_收盘!$A$4:$G$3460,4,0),"")</f>
        <v/>
      </c>
      <c r="E1488" t="str">
        <f>IFERROR(VLOOKUP($A1488,原始数据_收盘!$A$4:$G$3460,5,0),"")</f>
        <v/>
      </c>
      <c r="F1488" t="str">
        <f>IFERROR(VLOOKUP($A1488,原始数据_收盘!$A$4:$G$3460,6,0),"")</f>
        <v/>
      </c>
      <c r="G1488" t="str">
        <f>IFERROR(VLOOKUP($A1488,原始数据_收盘!$A$4:$G$3460,7,0),"")</f>
        <v/>
      </c>
      <c r="H1488">
        <f>IFERROR(VLOOKUP($A1488,原始数据_利率互换_FR007_1年!$A$6:$C$4395,2,0),"")</f>
        <v>3.1209</v>
      </c>
      <c r="I1488">
        <f>IFERROR(VLOOKUP($A1488,原始数据_利率互换_FR007_1年!$A$6:$C$4395,3,0),"")</f>
        <v>3.3595</v>
      </c>
    </row>
    <row r="1489" spans="1:9">
      <c r="A1489" s="6">
        <v>40982</v>
      </c>
      <c r="B1489" t="str">
        <f>IFERROR(VLOOKUP($A1489,原始数据_收盘!$A$4:$G$3460,2,0),"")</f>
        <v/>
      </c>
      <c r="C1489" t="str">
        <f>IFERROR(VLOOKUP($A1489,原始数据_收盘!$A$4:$G$3460,3,0),"")</f>
        <v/>
      </c>
      <c r="D1489" t="str">
        <f>IFERROR(VLOOKUP($A1489,原始数据_收盘!$A$4:$G$3460,4,0),"")</f>
        <v/>
      </c>
      <c r="E1489" t="str">
        <f>IFERROR(VLOOKUP($A1489,原始数据_收盘!$A$4:$G$3460,5,0),"")</f>
        <v/>
      </c>
      <c r="F1489" t="str">
        <f>IFERROR(VLOOKUP($A1489,原始数据_收盘!$A$4:$G$3460,6,0),"")</f>
        <v/>
      </c>
      <c r="G1489" t="str">
        <f>IFERROR(VLOOKUP($A1489,原始数据_收盘!$A$4:$G$3460,7,0),"")</f>
        <v/>
      </c>
      <c r="H1489">
        <f>IFERROR(VLOOKUP($A1489,原始数据_利率互换_FR007_1年!$A$6:$C$4395,2,0),"")</f>
        <v>3.1562</v>
      </c>
      <c r="I1489">
        <f>IFERROR(VLOOKUP($A1489,原始数据_利率互换_FR007_1年!$A$6:$C$4395,3,0),"")</f>
        <v>3.3885</v>
      </c>
    </row>
    <row r="1490" spans="1:9">
      <c r="A1490" s="6">
        <v>40983</v>
      </c>
      <c r="B1490" t="str">
        <f>IFERROR(VLOOKUP($A1490,原始数据_收盘!$A$4:$G$3460,2,0),"")</f>
        <v/>
      </c>
      <c r="C1490" t="str">
        <f>IFERROR(VLOOKUP($A1490,原始数据_收盘!$A$4:$G$3460,3,0),"")</f>
        <v/>
      </c>
      <c r="D1490" t="str">
        <f>IFERROR(VLOOKUP($A1490,原始数据_收盘!$A$4:$G$3460,4,0),"")</f>
        <v/>
      </c>
      <c r="E1490" t="str">
        <f>IFERROR(VLOOKUP($A1490,原始数据_收盘!$A$4:$G$3460,5,0),"")</f>
        <v/>
      </c>
      <c r="F1490" t="str">
        <f>IFERROR(VLOOKUP($A1490,原始数据_收盘!$A$4:$G$3460,6,0),"")</f>
        <v/>
      </c>
      <c r="G1490" t="str">
        <f>IFERROR(VLOOKUP($A1490,原始数据_收盘!$A$4:$G$3460,7,0),"")</f>
        <v/>
      </c>
      <c r="H1490">
        <f>IFERROR(VLOOKUP($A1490,原始数据_利率互换_FR007_1年!$A$6:$C$4395,2,0),"")</f>
        <v>3.1689</v>
      </c>
      <c r="I1490">
        <f>IFERROR(VLOOKUP($A1490,原始数据_利率互换_FR007_1年!$A$6:$C$4395,3,0),"")</f>
        <v>3.433</v>
      </c>
    </row>
    <row r="1491" spans="1:9">
      <c r="A1491" s="6">
        <v>40984</v>
      </c>
      <c r="B1491" t="str">
        <f>IFERROR(VLOOKUP($A1491,原始数据_收盘!$A$4:$G$3460,2,0),"")</f>
        <v/>
      </c>
      <c r="C1491" t="str">
        <f>IFERROR(VLOOKUP($A1491,原始数据_收盘!$A$4:$G$3460,3,0),"")</f>
        <v/>
      </c>
      <c r="D1491" t="str">
        <f>IFERROR(VLOOKUP($A1491,原始数据_收盘!$A$4:$G$3460,4,0),"")</f>
        <v/>
      </c>
      <c r="E1491" t="str">
        <f>IFERROR(VLOOKUP($A1491,原始数据_收盘!$A$4:$G$3460,5,0),"")</f>
        <v/>
      </c>
      <c r="F1491" t="str">
        <f>IFERROR(VLOOKUP($A1491,原始数据_收盘!$A$4:$G$3460,6,0),"")</f>
        <v/>
      </c>
      <c r="G1491" t="str">
        <f>IFERROR(VLOOKUP($A1491,原始数据_收盘!$A$4:$G$3460,7,0),"")</f>
        <v/>
      </c>
      <c r="H1491">
        <f>IFERROR(VLOOKUP($A1491,原始数据_利率互换_FR007_1年!$A$6:$C$4395,2,0),"")</f>
        <v>3.1327</v>
      </c>
      <c r="I1491">
        <f>IFERROR(VLOOKUP($A1491,原始数据_利率互换_FR007_1年!$A$6:$C$4395,3,0),"")</f>
        <v>3.4314</v>
      </c>
    </row>
    <row r="1492" spans="1:9">
      <c r="A1492" s="6">
        <v>40985</v>
      </c>
      <c r="B1492" t="str">
        <f>IFERROR(VLOOKUP($A1492,原始数据_收盘!$A$4:$G$3460,2,0),"")</f>
        <v/>
      </c>
      <c r="C1492" t="str">
        <f>IFERROR(VLOOKUP($A1492,原始数据_收盘!$A$4:$G$3460,3,0),"")</f>
        <v/>
      </c>
      <c r="D1492" t="str">
        <f>IFERROR(VLOOKUP($A1492,原始数据_收盘!$A$4:$G$3460,4,0),"")</f>
        <v/>
      </c>
      <c r="E1492" t="str">
        <f>IFERROR(VLOOKUP($A1492,原始数据_收盘!$A$4:$G$3460,5,0),"")</f>
        <v/>
      </c>
      <c r="F1492" t="str">
        <f>IFERROR(VLOOKUP($A1492,原始数据_收盘!$A$4:$G$3460,6,0),"")</f>
        <v/>
      </c>
      <c r="G1492" t="str">
        <f>IFERROR(VLOOKUP($A1492,原始数据_收盘!$A$4:$G$3460,7,0),"")</f>
        <v/>
      </c>
      <c r="H1492" t="str">
        <f>IFERROR(VLOOKUP($A1492,原始数据_利率互换_FR007_1年!$A$6:$C$4395,2,0),"")</f>
        <v/>
      </c>
      <c r="I1492" t="str">
        <f>IFERROR(VLOOKUP($A1492,原始数据_利率互换_FR007_1年!$A$6:$C$4395,3,0),"")</f>
        <v/>
      </c>
    </row>
    <row r="1493" spans="1:9">
      <c r="A1493" s="6">
        <v>40986</v>
      </c>
      <c r="B1493" t="str">
        <f>IFERROR(VLOOKUP($A1493,原始数据_收盘!$A$4:$G$3460,2,0),"")</f>
        <v/>
      </c>
      <c r="C1493" t="str">
        <f>IFERROR(VLOOKUP($A1493,原始数据_收盘!$A$4:$G$3460,3,0),"")</f>
        <v/>
      </c>
      <c r="D1493" t="str">
        <f>IFERROR(VLOOKUP($A1493,原始数据_收盘!$A$4:$G$3460,4,0),"")</f>
        <v/>
      </c>
      <c r="E1493" t="str">
        <f>IFERROR(VLOOKUP($A1493,原始数据_收盘!$A$4:$G$3460,5,0),"")</f>
        <v/>
      </c>
      <c r="F1493" t="str">
        <f>IFERROR(VLOOKUP($A1493,原始数据_收盘!$A$4:$G$3460,6,0),"")</f>
        <v/>
      </c>
      <c r="G1493" t="str">
        <f>IFERROR(VLOOKUP($A1493,原始数据_收盘!$A$4:$G$3460,7,0),"")</f>
        <v/>
      </c>
      <c r="H1493" t="str">
        <f>IFERROR(VLOOKUP($A1493,原始数据_利率互换_FR007_1年!$A$6:$C$4395,2,0),"")</f>
        <v/>
      </c>
      <c r="I1493" t="str">
        <f>IFERROR(VLOOKUP($A1493,原始数据_利率互换_FR007_1年!$A$6:$C$4395,3,0),"")</f>
        <v/>
      </c>
    </row>
    <row r="1494" spans="1:9">
      <c r="A1494" s="6">
        <v>40987</v>
      </c>
      <c r="B1494" t="str">
        <f>IFERROR(VLOOKUP($A1494,原始数据_收盘!$A$4:$G$3460,2,0),"")</f>
        <v/>
      </c>
      <c r="C1494" t="str">
        <f>IFERROR(VLOOKUP($A1494,原始数据_收盘!$A$4:$G$3460,3,0),"")</f>
        <v/>
      </c>
      <c r="D1494" t="str">
        <f>IFERROR(VLOOKUP($A1494,原始数据_收盘!$A$4:$G$3460,4,0),"")</f>
        <v/>
      </c>
      <c r="E1494" t="str">
        <f>IFERROR(VLOOKUP($A1494,原始数据_收盘!$A$4:$G$3460,5,0),"")</f>
        <v/>
      </c>
      <c r="F1494" t="str">
        <f>IFERROR(VLOOKUP($A1494,原始数据_收盘!$A$4:$G$3460,6,0),"")</f>
        <v/>
      </c>
      <c r="G1494" t="str">
        <f>IFERROR(VLOOKUP($A1494,原始数据_收盘!$A$4:$G$3460,7,0),"")</f>
        <v/>
      </c>
      <c r="H1494">
        <f>IFERROR(VLOOKUP($A1494,原始数据_利率互换_FR007_1年!$A$6:$C$4395,2,0),"")</f>
        <v>3.14</v>
      </c>
      <c r="I1494">
        <f>IFERROR(VLOOKUP($A1494,原始数据_利率互换_FR007_1年!$A$6:$C$4395,3,0),"")</f>
        <v>3.4393</v>
      </c>
    </row>
    <row r="1495" spans="1:9">
      <c r="A1495" s="6">
        <v>40988</v>
      </c>
      <c r="B1495" t="str">
        <f>IFERROR(VLOOKUP($A1495,原始数据_收盘!$A$4:$G$3460,2,0),"")</f>
        <v/>
      </c>
      <c r="C1495" t="str">
        <f>IFERROR(VLOOKUP($A1495,原始数据_收盘!$A$4:$G$3460,3,0),"")</f>
        <v/>
      </c>
      <c r="D1495" t="str">
        <f>IFERROR(VLOOKUP($A1495,原始数据_收盘!$A$4:$G$3460,4,0),"")</f>
        <v/>
      </c>
      <c r="E1495" t="str">
        <f>IFERROR(VLOOKUP($A1495,原始数据_收盘!$A$4:$G$3460,5,0),"")</f>
        <v/>
      </c>
      <c r="F1495" t="str">
        <f>IFERROR(VLOOKUP($A1495,原始数据_收盘!$A$4:$G$3460,6,0),"")</f>
        <v/>
      </c>
      <c r="G1495" t="str">
        <f>IFERROR(VLOOKUP($A1495,原始数据_收盘!$A$4:$G$3460,7,0),"")</f>
        <v/>
      </c>
      <c r="H1495" t="str">
        <f>IFERROR(VLOOKUP($A1495,原始数据_利率互换_FR007_1年!$A$6:$C$4395,2,0),"")</f>
        <v/>
      </c>
      <c r="I1495" t="str">
        <f>IFERROR(VLOOKUP($A1495,原始数据_利率互换_FR007_1年!$A$6:$C$4395,3,0),"")</f>
        <v/>
      </c>
    </row>
    <row r="1496" spans="1:9">
      <c r="A1496" s="6">
        <v>40989</v>
      </c>
      <c r="B1496" t="str">
        <f>IFERROR(VLOOKUP($A1496,原始数据_收盘!$A$4:$G$3460,2,0),"")</f>
        <v/>
      </c>
      <c r="C1496" t="str">
        <f>IFERROR(VLOOKUP($A1496,原始数据_收盘!$A$4:$G$3460,3,0),"")</f>
        <v/>
      </c>
      <c r="D1496" t="str">
        <f>IFERROR(VLOOKUP($A1496,原始数据_收盘!$A$4:$G$3460,4,0),"")</f>
        <v/>
      </c>
      <c r="E1496" t="str">
        <f>IFERROR(VLOOKUP($A1496,原始数据_收盘!$A$4:$G$3460,5,0),"")</f>
        <v/>
      </c>
      <c r="F1496" t="str">
        <f>IFERROR(VLOOKUP($A1496,原始数据_收盘!$A$4:$G$3460,6,0),"")</f>
        <v/>
      </c>
      <c r="G1496" t="str">
        <f>IFERROR(VLOOKUP($A1496,原始数据_收盘!$A$4:$G$3460,7,0),"")</f>
        <v/>
      </c>
      <c r="H1496">
        <f>IFERROR(VLOOKUP($A1496,原始数据_利率互换_FR007_1年!$A$6:$C$4395,2,0),"")</f>
        <v>3.2317</v>
      </c>
      <c r="I1496">
        <f>IFERROR(VLOOKUP($A1496,原始数据_利率互换_FR007_1年!$A$6:$C$4395,3,0),"")</f>
        <v>3.455</v>
      </c>
    </row>
    <row r="1497" spans="1:9">
      <c r="A1497" s="6">
        <v>40990</v>
      </c>
      <c r="B1497" t="str">
        <f>IFERROR(VLOOKUP($A1497,原始数据_收盘!$A$4:$G$3460,2,0),"")</f>
        <v/>
      </c>
      <c r="C1497" t="str">
        <f>IFERROR(VLOOKUP($A1497,原始数据_收盘!$A$4:$G$3460,3,0),"")</f>
        <v/>
      </c>
      <c r="D1497" t="str">
        <f>IFERROR(VLOOKUP($A1497,原始数据_收盘!$A$4:$G$3460,4,0),"")</f>
        <v/>
      </c>
      <c r="E1497" t="str">
        <f>IFERROR(VLOOKUP($A1497,原始数据_收盘!$A$4:$G$3460,5,0),"")</f>
        <v/>
      </c>
      <c r="F1497" t="str">
        <f>IFERROR(VLOOKUP($A1497,原始数据_收盘!$A$4:$G$3460,6,0),"")</f>
        <v/>
      </c>
      <c r="G1497" t="str">
        <f>IFERROR(VLOOKUP($A1497,原始数据_收盘!$A$4:$G$3460,7,0),"")</f>
        <v/>
      </c>
      <c r="H1497">
        <f>IFERROR(VLOOKUP($A1497,原始数据_利率互换_FR007_1年!$A$6:$C$4395,2,0),"")</f>
        <v>3.1933</v>
      </c>
      <c r="I1497">
        <f>IFERROR(VLOOKUP($A1497,原始数据_利率互换_FR007_1年!$A$6:$C$4395,3,0),"")</f>
        <v>3.4046</v>
      </c>
    </row>
    <row r="1498" spans="1:9">
      <c r="A1498" s="6">
        <v>40991</v>
      </c>
      <c r="B1498" t="str">
        <f>IFERROR(VLOOKUP($A1498,原始数据_收盘!$A$4:$G$3460,2,0),"")</f>
        <v/>
      </c>
      <c r="C1498" t="str">
        <f>IFERROR(VLOOKUP($A1498,原始数据_收盘!$A$4:$G$3460,3,0),"")</f>
        <v/>
      </c>
      <c r="D1498" t="str">
        <f>IFERROR(VLOOKUP($A1498,原始数据_收盘!$A$4:$G$3460,4,0),"")</f>
        <v/>
      </c>
      <c r="E1498" t="str">
        <f>IFERROR(VLOOKUP($A1498,原始数据_收盘!$A$4:$G$3460,5,0),"")</f>
        <v/>
      </c>
      <c r="F1498" t="str">
        <f>IFERROR(VLOOKUP($A1498,原始数据_收盘!$A$4:$G$3460,6,0),"")</f>
        <v/>
      </c>
      <c r="G1498" t="str">
        <f>IFERROR(VLOOKUP($A1498,原始数据_收盘!$A$4:$G$3460,7,0),"")</f>
        <v/>
      </c>
      <c r="H1498" t="str">
        <f>IFERROR(VLOOKUP($A1498,原始数据_利率互换_FR007_1年!$A$6:$C$4395,2,0),"")</f>
        <v/>
      </c>
      <c r="I1498" t="str">
        <f>IFERROR(VLOOKUP($A1498,原始数据_利率互换_FR007_1年!$A$6:$C$4395,3,0),"")</f>
        <v/>
      </c>
    </row>
    <row r="1499" spans="1:9">
      <c r="A1499" s="6">
        <v>40992</v>
      </c>
      <c r="B1499" t="str">
        <f>IFERROR(VLOOKUP($A1499,原始数据_收盘!$A$4:$G$3460,2,0),"")</f>
        <v/>
      </c>
      <c r="C1499" t="str">
        <f>IFERROR(VLOOKUP($A1499,原始数据_收盘!$A$4:$G$3460,3,0),"")</f>
        <v/>
      </c>
      <c r="D1499" t="str">
        <f>IFERROR(VLOOKUP($A1499,原始数据_收盘!$A$4:$G$3460,4,0),"")</f>
        <v/>
      </c>
      <c r="E1499" t="str">
        <f>IFERROR(VLOOKUP($A1499,原始数据_收盘!$A$4:$G$3460,5,0),"")</f>
        <v/>
      </c>
      <c r="F1499" t="str">
        <f>IFERROR(VLOOKUP($A1499,原始数据_收盘!$A$4:$G$3460,6,0),"")</f>
        <v/>
      </c>
      <c r="G1499" t="str">
        <f>IFERROR(VLOOKUP($A1499,原始数据_收盘!$A$4:$G$3460,7,0),"")</f>
        <v/>
      </c>
      <c r="H1499" t="str">
        <f>IFERROR(VLOOKUP($A1499,原始数据_利率互换_FR007_1年!$A$6:$C$4395,2,0),"")</f>
        <v/>
      </c>
      <c r="I1499" t="str">
        <f>IFERROR(VLOOKUP($A1499,原始数据_利率互换_FR007_1年!$A$6:$C$4395,3,0),"")</f>
        <v/>
      </c>
    </row>
    <row r="1500" spans="1:9">
      <c r="A1500" s="6">
        <v>40993</v>
      </c>
      <c r="B1500" t="str">
        <f>IFERROR(VLOOKUP($A1500,原始数据_收盘!$A$4:$G$3460,2,0),"")</f>
        <v/>
      </c>
      <c r="C1500" t="str">
        <f>IFERROR(VLOOKUP($A1500,原始数据_收盘!$A$4:$G$3460,3,0),"")</f>
        <v/>
      </c>
      <c r="D1500" t="str">
        <f>IFERROR(VLOOKUP($A1500,原始数据_收盘!$A$4:$G$3460,4,0),"")</f>
        <v/>
      </c>
      <c r="E1500" t="str">
        <f>IFERROR(VLOOKUP($A1500,原始数据_收盘!$A$4:$G$3460,5,0),"")</f>
        <v/>
      </c>
      <c r="F1500" t="str">
        <f>IFERROR(VLOOKUP($A1500,原始数据_收盘!$A$4:$G$3460,6,0),"")</f>
        <v/>
      </c>
      <c r="G1500" t="str">
        <f>IFERROR(VLOOKUP($A1500,原始数据_收盘!$A$4:$G$3460,7,0),"")</f>
        <v/>
      </c>
      <c r="H1500" t="str">
        <f>IFERROR(VLOOKUP($A1500,原始数据_利率互换_FR007_1年!$A$6:$C$4395,2,0),"")</f>
        <v/>
      </c>
      <c r="I1500" t="str">
        <f>IFERROR(VLOOKUP($A1500,原始数据_利率互换_FR007_1年!$A$6:$C$4395,3,0),"")</f>
        <v/>
      </c>
    </row>
    <row r="1501" spans="1:9">
      <c r="A1501" s="6">
        <v>40994</v>
      </c>
      <c r="B1501" t="str">
        <f>IFERROR(VLOOKUP($A1501,原始数据_收盘!$A$4:$G$3460,2,0),"")</f>
        <v/>
      </c>
      <c r="C1501" t="str">
        <f>IFERROR(VLOOKUP($A1501,原始数据_收盘!$A$4:$G$3460,3,0),"")</f>
        <v/>
      </c>
      <c r="D1501" t="str">
        <f>IFERROR(VLOOKUP($A1501,原始数据_收盘!$A$4:$G$3460,4,0),"")</f>
        <v/>
      </c>
      <c r="E1501" t="str">
        <f>IFERROR(VLOOKUP($A1501,原始数据_收盘!$A$4:$G$3460,5,0),"")</f>
        <v/>
      </c>
      <c r="F1501" t="str">
        <f>IFERROR(VLOOKUP($A1501,原始数据_收盘!$A$4:$G$3460,6,0),"")</f>
        <v/>
      </c>
      <c r="G1501" t="str">
        <f>IFERROR(VLOOKUP($A1501,原始数据_收盘!$A$4:$G$3460,7,0),"")</f>
        <v/>
      </c>
      <c r="H1501">
        <f>IFERROR(VLOOKUP($A1501,原始数据_利率互换_FR007_1年!$A$6:$C$4395,2,0),"")</f>
        <v>3.1615</v>
      </c>
      <c r="I1501">
        <f>IFERROR(VLOOKUP($A1501,原始数据_利率互换_FR007_1年!$A$6:$C$4395,3,0),"")</f>
        <v>3.3775</v>
      </c>
    </row>
    <row r="1502" spans="1:9">
      <c r="A1502" s="6">
        <v>40995</v>
      </c>
      <c r="B1502" t="str">
        <f>IFERROR(VLOOKUP($A1502,原始数据_收盘!$A$4:$G$3460,2,0),"")</f>
        <v/>
      </c>
      <c r="C1502" t="str">
        <f>IFERROR(VLOOKUP($A1502,原始数据_收盘!$A$4:$G$3460,3,0),"")</f>
        <v/>
      </c>
      <c r="D1502" t="str">
        <f>IFERROR(VLOOKUP($A1502,原始数据_收盘!$A$4:$G$3460,4,0),"")</f>
        <v/>
      </c>
      <c r="E1502" t="str">
        <f>IFERROR(VLOOKUP($A1502,原始数据_收盘!$A$4:$G$3460,5,0),"")</f>
        <v/>
      </c>
      <c r="F1502" t="str">
        <f>IFERROR(VLOOKUP($A1502,原始数据_收盘!$A$4:$G$3460,6,0),"")</f>
        <v/>
      </c>
      <c r="G1502" t="str">
        <f>IFERROR(VLOOKUP($A1502,原始数据_收盘!$A$4:$G$3460,7,0),"")</f>
        <v/>
      </c>
      <c r="H1502">
        <f>IFERROR(VLOOKUP($A1502,原始数据_利率互换_FR007_1年!$A$6:$C$4395,2,0),"")</f>
        <v>3.1666</v>
      </c>
      <c r="I1502">
        <f>IFERROR(VLOOKUP($A1502,原始数据_利率互换_FR007_1年!$A$6:$C$4395,3,0),"")</f>
        <v>3.3817</v>
      </c>
    </row>
    <row r="1503" spans="1:9">
      <c r="A1503" s="6">
        <v>40996</v>
      </c>
      <c r="B1503" t="str">
        <f>IFERROR(VLOOKUP($A1503,原始数据_收盘!$A$4:$G$3460,2,0),"")</f>
        <v/>
      </c>
      <c r="C1503" t="str">
        <f>IFERROR(VLOOKUP($A1503,原始数据_收盘!$A$4:$G$3460,3,0),"")</f>
        <v/>
      </c>
      <c r="D1503" t="str">
        <f>IFERROR(VLOOKUP($A1503,原始数据_收盘!$A$4:$G$3460,4,0),"")</f>
        <v/>
      </c>
      <c r="E1503" t="str">
        <f>IFERROR(VLOOKUP($A1503,原始数据_收盘!$A$4:$G$3460,5,0),"")</f>
        <v/>
      </c>
      <c r="F1503" t="str">
        <f>IFERROR(VLOOKUP($A1503,原始数据_收盘!$A$4:$G$3460,6,0),"")</f>
        <v/>
      </c>
      <c r="G1503" t="str">
        <f>IFERROR(VLOOKUP($A1503,原始数据_收盘!$A$4:$G$3460,7,0),"")</f>
        <v/>
      </c>
      <c r="H1503">
        <f>IFERROR(VLOOKUP($A1503,原始数据_利率互换_FR007_1年!$A$6:$C$4395,2,0),"")</f>
        <v>3.1393</v>
      </c>
      <c r="I1503">
        <f>IFERROR(VLOOKUP($A1503,原始数据_利率互换_FR007_1年!$A$6:$C$4395,3,0),"")</f>
        <v>3.3508</v>
      </c>
    </row>
    <row r="1504" spans="1:9">
      <c r="A1504" s="6">
        <v>40997</v>
      </c>
      <c r="B1504" t="str">
        <f>IFERROR(VLOOKUP($A1504,原始数据_收盘!$A$4:$G$3460,2,0),"")</f>
        <v/>
      </c>
      <c r="C1504" t="str">
        <f>IFERROR(VLOOKUP($A1504,原始数据_收盘!$A$4:$G$3460,3,0),"")</f>
        <v/>
      </c>
      <c r="D1504" t="str">
        <f>IFERROR(VLOOKUP($A1504,原始数据_收盘!$A$4:$G$3460,4,0),"")</f>
        <v/>
      </c>
      <c r="E1504" t="str">
        <f>IFERROR(VLOOKUP($A1504,原始数据_收盘!$A$4:$G$3460,5,0),"")</f>
        <v/>
      </c>
      <c r="F1504" t="str">
        <f>IFERROR(VLOOKUP($A1504,原始数据_收盘!$A$4:$G$3460,6,0),"")</f>
        <v/>
      </c>
      <c r="G1504" t="str">
        <f>IFERROR(VLOOKUP($A1504,原始数据_收盘!$A$4:$G$3460,7,0),"")</f>
        <v/>
      </c>
      <c r="H1504">
        <f>IFERROR(VLOOKUP($A1504,原始数据_利率互换_FR007_1年!$A$6:$C$4395,2,0),"")</f>
        <v>3.1197</v>
      </c>
      <c r="I1504">
        <f>IFERROR(VLOOKUP($A1504,原始数据_利率互换_FR007_1年!$A$6:$C$4395,3,0),"")</f>
        <v>3.3255</v>
      </c>
    </row>
    <row r="1505" spans="1:9">
      <c r="A1505" s="6">
        <v>40998</v>
      </c>
      <c r="B1505" t="str">
        <f>IFERROR(VLOOKUP($A1505,原始数据_收盘!$A$4:$G$3460,2,0),"")</f>
        <v/>
      </c>
      <c r="C1505" t="str">
        <f>IFERROR(VLOOKUP($A1505,原始数据_收盘!$A$4:$G$3460,3,0),"")</f>
        <v/>
      </c>
      <c r="D1505" t="str">
        <f>IFERROR(VLOOKUP($A1505,原始数据_收盘!$A$4:$G$3460,4,0),"")</f>
        <v/>
      </c>
      <c r="E1505" t="str">
        <f>IFERROR(VLOOKUP($A1505,原始数据_收盘!$A$4:$G$3460,5,0),"")</f>
        <v/>
      </c>
      <c r="F1505" t="str">
        <f>IFERROR(VLOOKUP($A1505,原始数据_收盘!$A$4:$G$3460,6,0),"")</f>
        <v/>
      </c>
      <c r="G1505" t="str">
        <f>IFERROR(VLOOKUP($A1505,原始数据_收盘!$A$4:$G$3460,7,0),"")</f>
        <v/>
      </c>
      <c r="H1505">
        <f>IFERROR(VLOOKUP($A1505,原始数据_利率互换_FR007_1年!$A$6:$C$4395,2,0),"")</f>
        <v>3.1275</v>
      </c>
      <c r="I1505">
        <f>IFERROR(VLOOKUP($A1505,原始数据_利率互换_FR007_1年!$A$6:$C$4395,3,0),"")</f>
        <v>3.3241</v>
      </c>
    </row>
    <row r="1506" spans="1:9">
      <c r="A1506" s="6">
        <v>40999</v>
      </c>
      <c r="B1506" t="str">
        <f>IFERROR(VLOOKUP($A1506,原始数据_收盘!$A$4:$G$3460,2,0),"")</f>
        <v/>
      </c>
      <c r="C1506" t="str">
        <f>IFERROR(VLOOKUP($A1506,原始数据_收盘!$A$4:$G$3460,3,0),"")</f>
        <v/>
      </c>
      <c r="D1506" t="str">
        <f>IFERROR(VLOOKUP($A1506,原始数据_收盘!$A$4:$G$3460,4,0),"")</f>
        <v/>
      </c>
      <c r="E1506" t="str">
        <f>IFERROR(VLOOKUP($A1506,原始数据_收盘!$A$4:$G$3460,5,0),"")</f>
        <v/>
      </c>
      <c r="F1506" t="str">
        <f>IFERROR(VLOOKUP($A1506,原始数据_收盘!$A$4:$G$3460,6,0),"")</f>
        <v/>
      </c>
      <c r="G1506" t="str">
        <f>IFERROR(VLOOKUP($A1506,原始数据_收盘!$A$4:$G$3460,7,0),"")</f>
        <v/>
      </c>
      <c r="H1506">
        <f>IFERROR(VLOOKUP($A1506,原始数据_利率互换_FR007_1年!$A$6:$C$4395,2,0),"")</f>
        <v>3.1275</v>
      </c>
      <c r="I1506">
        <f>IFERROR(VLOOKUP($A1506,原始数据_利率互换_FR007_1年!$A$6:$C$4395,3,0),"")</f>
        <v>0</v>
      </c>
    </row>
    <row r="1507" spans="1:9">
      <c r="A1507" s="6">
        <v>41000</v>
      </c>
      <c r="B1507" t="str">
        <f>IFERROR(VLOOKUP($A1507,原始数据_收盘!$A$4:$G$3460,2,0),"")</f>
        <v/>
      </c>
      <c r="C1507" t="str">
        <f>IFERROR(VLOOKUP($A1507,原始数据_收盘!$A$4:$G$3460,3,0),"")</f>
        <v/>
      </c>
      <c r="D1507" t="str">
        <f>IFERROR(VLOOKUP($A1507,原始数据_收盘!$A$4:$G$3460,4,0),"")</f>
        <v/>
      </c>
      <c r="E1507" t="str">
        <f>IFERROR(VLOOKUP($A1507,原始数据_收盘!$A$4:$G$3460,5,0),"")</f>
        <v/>
      </c>
      <c r="F1507" t="str">
        <f>IFERROR(VLOOKUP($A1507,原始数据_收盘!$A$4:$G$3460,6,0),"")</f>
        <v/>
      </c>
      <c r="G1507" t="str">
        <f>IFERROR(VLOOKUP($A1507,原始数据_收盘!$A$4:$G$3460,7,0),"")</f>
        <v/>
      </c>
      <c r="H1507">
        <f>IFERROR(VLOOKUP($A1507,原始数据_利率互换_FR007_1年!$A$6:$C$4395,2,0),"")</f>
        <v>3.1393</v>
      </c>
      <c r="I1507">
        <f>IFERROR(VLOOKUP($A1507,原始数据_利率互换_FR007_1年!$A$6:$C$4395,3,0),"")</f>
        <v>3.3875</v>
      </c>
    </row>
    <row r="1508" spans="1:9">
      <c r="A1508" s="6">
        <v>41001</v>
      </c>
      <c r="B1508" t="str">
        <f>IFERROR(VLOOKUP($A1508,原始数据_收盘!$A$4:$G$3460,2,0),"")</f>
        <v/>
      </c>
      <c r="C1508" t="str">
        <f>IFERROR(VLOOKUP($A1508,原始数据_收盘!$A$4:$G$3460,3,0),"")</f>
        <v/>
      </c>
      <c r="D1508" t="str">
        <f>IFERROR(VLOOKUP($A1508,原始数据_收盘!$A$4:$G$3460,4,0),"")</f>
        <v/>
      </c>
      <c r="E1508" t="str">
        <f>IFERROR(VLOOKUP($A1508,原始数据_收盘!$A$4:$G$3460,5,0),"")</f>
        <v/>
      </c>
      <c r="F1508" t="str">
        <f>IFERROR(VLOOKUP($A1508,原始数据_收盘!$A$4:$G$3460,6,0),"")</f>
        <v/>
      </c>
      <c r="G1508" t="str">
        <f>IFERROR(VLOOKUP($A1508,原始数据_收盘!$A$4:$G$3460,7,0),"")</f>
        <v/>
      </c>
      <c r="H1508" t="str">
        <f>IFERROR(VLOOKUP($A1508,原始数据_利率互换_FR007_1年!$A$6:$C$4395,2,0),"")</f>
        <v/>
      </c>
      <c r="I1508" t="str">
        <f>IFERROR(VLOOKUP($A1508,原始数据_利率互换_FR007_1年!$A$6:$C$4395,3,0),"")</f>
        <v/>
      </c>
    </row>
    <row r="1509" spans="1:9">
      <c r="A1509" s="6">
        <v>41002</v>
      </c>
      <c r="B1509" t="str">
        <f>IFERROR(VLOOKUP($A1509,原始数据_收盘!$A$4:$G$3460,2,0),"")</f>
        <v/>
      </c>
      <c r="C1509" t="str">
        <f>IFERROR(VLOOKUP($A1509,原始数据_收盘!$A$4:$G$3460,3,0),"")</f>
        <v/>
      </c>
      <c r="D1509" t="str">
        <f>IFERROR(VLOOKUP($A1509,原始数据_收盘!$A$4:$G$3460,4,0),"")</f>
        <v/>
      </c>
      <c r="E1509" t="str">
        <f>IFERROR(VLOOKUP($A1509,原始数据_收盘!$A$4:$G$3460,5,0),"")</f>
        <v/>
      </c>
      <c r="F1509" t="str">
        <f>IFERROR(VLOOKUP($A1509,原始数据_收盘!$A$4:$G$3460,6,0),"")</f>
        <v/>
      </c>
      <c r="G1509" t="str">
        <f>IFERROR(VLOOKUP($A1509,原始数据_收盘!$A$4:$G$3460,7,0),"")</f>
        <v/>
      </c>
      <c r="H1509" t="str">
        <f>IFERROR(VLOOKUP($A1509,原始数据_利率互换_FR007_1年!$A$6:$C$4395,2,0),"")</f>
        <v/>
      </c>
      <c r="I1509" t="str">
        <f>IFERROR(VLOOKUP($A1509,原始数据_利率互换_FR007_1年!$A$6:$C$4395,3,0),"")</f>
        <v/>
      </c>
    </row>
    <row r="1510" spans="1:9">
      <c r="A1510" s="6">
        <v>41003</v>
      </c>
      <c r="B1510" t="str">
        <f>IFERROR(VLOOKUP($A1510,原始数据_收盘!$A$4:$G$3460,2,0),"")</f>
        <v/>
      </c>
      <c r="C1510" t="str">
        <f>IFERROR(VLOOKUP($A1510,原始数据_收盘!$A$4:$G$3460,3,0),"")</f>
        <v/>
      </c>
      <c r="D1510" t="str">
        <f>IFERROR(VLOOKUP($A1510,原始数据_收盘!$A$4:$G$3460,4,0),"")</f>
        <v/>
      </c>
      <c r="E1510" t="str">
        <f>IFERROR(VLOOKUP($A1510,原始数据_收盘!$A$4:$G$3460,5,0),"")</f>
        <v/>
      </c>
      <c r="F1510" t="str">
        <f>IFERROR(VLOOKUP($A1510,原始数据_收盘!$A$4:$G$3460,6,0),"")</f>
        <v/>
      </c>
      <c r="G1510" t="str">
        <f>IFERROR(VLOOKUP($A1510,原始数据_收盘!$A$4:$G$3460,7,0),"")</f>
        <v/>
      </c>
      <c r="H1510" t="str">
        <f>IFERROR(VLOOKUP($A1510,原始数据_利率互换_FR007_1年!$A$6:$C$4395,2,0),"")</f>
        <v/>
      </c>
      <c r="I1510" t="str">
        <f>IFERROR(VLOOKUP($A1510,原始数据_利率互换_FR007_1年!$A$6:$C$4395,3,0),"")</f>
        <v/>
      </c>
    </row>
    <row r="1511" spans="1:9">
      <c r="A1511" s="6">
        <v>41004</v>
      </c>
      <c r="B1511" t="str">
        <f>IFERROR(VLOOKUP($A1511,原始数据_收盘!$A$4:$G$3460,2,0),"")</f>
        <v/>
      </c>
      <c r="C1511" t="str">
        <f>IFERROR(VLOOKUP($A1511,原始数据_收盘!$A$4:$G$3460,3,0),"")</f>
        <v/>
      </c>
      <c r="D1511" t="str">
        <f>IFERROR(VLOOKUP($A1511,原始数据_收盘!$A$4:$G$3460,4,0),"")</f>
        <v/>
      </c>
      <c r="E1511" t="str">
        <f>IFERROR(VLOOKUP($A1511,原始数据_收盘!$A$4:$G$3460,5,0),"")</f>
        <v/>
      </c>
      <c r="F1511" t="str">
        <f>IFERROR(VLOOKUP($A1511,原始数据_收盘!$A$4:$G$3460,6,0),"")</f>
        <v/>
      </c>
      <c r="G1511" t="str">
        <f>IFERROR(VLOOKUP($A1511,原始数据_收盘!$A$4:$G$3460,7,0),"")</f>
        <v/>
      </c>
      <c r="H1511">
        <f>IFERROR(VLOOKUP($A1511,原始数据_利率互换_FR007_1年!$A$6:$C$4395,2,0),"")</f>
        <v>3.1633</v>
      </c>
      <c r="I1511">
        <f>IFERROR(VLOOKUP($A1511,原始数据_利率互换_FR007_1年!$A$6:$C$4395,3,0),"")</f>
        <v>3.3975</v>
      </c>
    </row>
    <row r="1512" spans="1:9">
      <c r="A1512" s="6">
        <v>41005</v>
      </c>
      <c r="B1512" t="str">
        <f>IFERROR(VLOOKUP($A1512,原始数据_收盘!$A$4:$G$3460,2,0),"")</f>
        <v/>
      </c>
      <c r="C1512" t="str">
        <f>IFERROR(VLOOKUP($A1512,原始数据_收盘!$A$4:$G$3460,3,0),"")</f>
        <v/>
      </c>
      <c r="D1512" t="str">
        <f>IFERROR(VLOOKUP($A1512,原始数据_收盘!$A$4:$G$3460,4,0),"")</f>
        <v/>
      </c>
      <c r="E1512" t="str">
        <f>IFERROR(VLOOKUP($A1512,原始数据_收盘!$A$4:$G$3460,5,0),"")</f>
        <v/>
      </c>
      <c r="F1512" t="str">
        <f>IFERROR(VLOOKUP($A1512,原始数据_收盘!$A$4:$G$3460,6,0),"")</f>
        <v/>
      </c>
      <c r="G1512" t="str">
        <f>IFERROR(VLOOKUP($A1512,原始数据_收盘!$A$4:$G$3460,7,0),"")</f>
        <v/>
      </c>
      <c r="H1512">
        <f>IFERROR(VLOOKUP($A1512,原始数据_利率互换_FR007_1年!$A$6:$C$4395,2,0),"")</f>
        <v>3.1786</v>
      </c>
      <c r="I1512">
        <f>IFERROR(VLOOKUP($A1512,原始数据_利率互换_FR007_1年!$A$6:$C$4395,3,0),"")</f>
        <v>0</v>
      </c>
    </row>
    <row r="1513" spans="1:9">
      <c r="A1513" s="6">
        <v>41006</v>
      </c>
      <c r="B1513" t="str">
        <f>IFERROR(VLOOKUP($A1513,原始数据_收盘!$A$4:$G$3460,2,0),"")</f>
        <v/>
      </c>
      <c r="C1513" t="str">
        <f>IFERROR(VLOOKUP($A1513,原始数据_收盘!$A$4:$G$3460,3,0),"")</f>
        <v/>
      </c>
      <c r="D1513" t="str">
        <f>IFERROR(VLOOKUP($A1513,原始数据_收盘!$A$4:$G$3460,4,0),"")</f>
        <v/>
      </c>
      <c r="E1513" t="str">
        <f>IFERROR(VLOOKUP($A1513,原始数据_收盘!$A$4:$G$3460,5,0),"")</f>
        <v/>
      </c>
      <c r="F1513" t="str">
        <f>IFERROR(VLOOKUP($A1513,原始数据_收盘!$A$4:$G$3460,6,0),"")</f>
        <v/>
      </c>
      <c r="G1513" t="str">
        <f>IFERROR(VLOOKUP($A1513,原始数据_收盘!$A$4:$G$3460,7,0),"")</f>
        <v/>
      </c>
      <c r="H1513" t="str">
        <f>IFERROR(VLOOKUP($A1513,原始数据_利率互换_FR007_1年!$A$6:$C$4395,2,0),"")</f>
        <v/>
      </c>
      <c r="I1513" t="str">
        <f>IFERROR(VLOOKUP($A1513,原始数据_利率互换_FR007_1年!$A$6:$C$4395,3,0),"")</f>
        <v/>
      </c>
    </row>
    <row r="1514" spans="1:9">
      <c r="A1514" s="6">
        <v>41007</v>
      </c>
      <c r="B1514" t="str">
        <f>IFERROR(VLOOKUP($A1514,原始数据_收盘!$A$4:$G$3460,2,0),"")</f>
        <v/>
      </c>
      <c r="C1514" t="str">
        <f>IFERROR(VLOOKUP($A1514,原始数据_收盘!$A$4:$G$3460,3,0),"")</f>
        <v/>
      </c>
      <c r="D1514" t="str">
        <f>IFERROR(VLOOKUP($A1514,原始数据_收盘!$A$4:$G$3460,4,0),"")</f>
        <v/>
      </c>
      <c r="E1514" t="str">
        <f>IFERROR(VLOOKUP($A1514,原始数据_收盘!$A$4:$G$3460,5,0),"")</f>
        <v/>
      </c>
      <c r="F1514" t="str">
        <f>IFERROR(VLOOKUP($A1514,原始数据_收盘!$A$4:$G$3460,6,0),"")</f>
        <v/>
      </c>
      <c r="G1514" t="str">
        <f>IFERROR(VLOOKUP($A1514,原始数据_收盘!$A$4:$G$3460,7,0),"")</f>
        <v/>
      </c>
      <c r="H1514" t="str">
        <f>IFERROR(VLOOKUP($A1514,原始数据_利率互换_FR007_1年!$A$6:$C$4395,2,0),"")</f>
        <v/>
      </c>
      <c r="I1514" t="str">
        <f>IFERROR(VLOOKUP($A1514,原始数据_利率互换_FR007_1年!$A$6:$C$4395,3,0),"")</f>
        <v/>
      </c>
    </row>
    <row r="1515" spans="1:9">
      <c r="A1515" s="6">
        <v>41008</v>
      </c>
      <c r="B1515" t="str">
        <f>IFERROR(VLOOKUP($A1515,原始数据_收盘!$A$4:$G$3460,2,0),"")</f>
        <v/>
      </c>
      <c r="C1515" t="str">
        <f>IFERROR(VLOOKUP($A1515,原始数据_收盘!$A$4:$G$3460,3,0),"")</f>
        <v/>
      </c>
      <c r="D1515" t="str">
        <f>IFERROR(VLOOKUP($A1515,原始数据_收盘!$A$4:$G$3460,4,0),"")</f>
        <v/>
      </c>
      <c r="E1515" t="str">
        <f>IFERROR(VLOOKUP($A1515,原始数据_收盘!$A$4:$G$3460,5,0),"")</f>
        <v/>
      </c>
      <c r="F1515" t="str">
        <f>IFERROR(VLOOKUP($A1515,原始数据_收盘!$A$4:$G$3460,6,0),"")</f>
        <v/>
      </c>
      <c r="G1515" t="str">
        <f>IFERROR(VLOOKUP($A1515,原始数据_收盘!$A$4:$G$3460,7,0),"")</f>
        <v/>
      </c>
      <c r="H1515">
        <f>IFERROR(VLOOKUP($A1515,原始数据_利率互换_FR007_1年!$A$6:$C$4395,2,0),"")</f>
        <v>3.2959</v>
      </c>
      <c r="I1515">
        <f>IFERROR(VLOOKUP($A1515,原始数据_利率互换_FR007_1年!$A$6:$C$4395,3,0),"")</f>
        <v>0</v>
      </c>
    </row>
    <row r="1516" spans="1:9">
      <c r="A1516" s="6">
        <v>41009</v>
      </c>
      <c r="B1516" t="str">
        <f>IFERROR(VLOOKUP($A1516,原始数据_收盘!$A$4:$G$3460,2,0),"")</f>
        <v/>
      </c>
      <c r="C1516" t="str">
        <f>IFERROR(VLOOKUP($A1516,原始数据_收盘!$A$4:$G$3460,3,0),"")</f>
        <v/>
      </c>
      <c r="D1516" t="str">
        <f>IFERROR(VLOOKUP($A1516,原始数据_收盘!$A$4:$G$3460,4,0),"")</f>
        <v/>
      </c>
      <c r="E1516" t="str">
        <f>IFERROR(VLOOKUP($A1516,原始数据_收盘!$A$4:$G$3460,5,0),"")</f>
        <v/>
      </c>
      <c r="F1516" t="str">
        <f>IFERROR(VLOOKUP($A1516,原始数据_收盘!$A$4:$G$3460,6,0),"")</f>
        <v/>
      </c>
      <c r="G1516" t="str">
        <f>IFERROR(VLOOKUP($A1516,原始数据_收盘!$A$4:$G$3460,7,0),"")</f>
        <v/>
      </c>
      <c r="H1516">
        <f>IFERROR(VLOOKUP($A1516,原始数据_利率互换_FR007_1年!$A$6:$C$4395,2,0),"")</f>
        <v>3.1811</v>
      </c>
      <c r="I1516">
        <f>IFERROR(VLOOKUP($A1516,原始数据_利率互换_FR007_1年!$A$6:$C$4395,3,0),"")</f>
        <v>3.4135</v>
      </c>
    </row>
    <row r="1517" spans="1:9">
      <c r="A1517" s="6">
        <v>41010</v>
      </c>
      <c r="B1517" t="str">
        <f>IFERROR(VLOOKUP($A1517,原始数据_收盘!$A$4:$G$3460,2,0),"")</f>
        <v/>
      </c>
      <c r="C1517" t="str">
        <f>IFERROR(VLOOKUP($A1517,原始数据_收盘!$A$4:$G$3460,3,0),"")</f>
        <v/>
      </c>
      <c r="D1517" t="str">
        <f>IFERROR(VLOOKUP($A1517,原始数据_收盘!$A$4:$G$3460,4,0),"")</f>
        <v/>
      </c>
      <c r="E1517" t="str">
        <f>IFERROR(VLOOKUP($A1517,原始数据_收盘!$A$4:$G$3460,5,0),"")</f>
        <v/>
      </c>
      <c r="F1517" t="str">
        <f>IFERROR(VLOOKUP($A1517,原始数据_收盘!$A$4:$G$3460,6,0),"")</f>
        <v/>
      </c>
      <c r="G1517" t="str">
        <f>IFERROR(VLOOKUP($A1517,原始数据_收盘!$A$4:$G$3460,7,0),"")</f>
        <v/>
      </c>
      <c r="H1517">
        <f>IFERROR(VLOOKUP($A1517,原始数据_利率互换_FR007_1年!$A$6:$C$4395,2,0),"")</f>
        <v>3.19</v>
      </c>
      <c r="I1517">
        <f>IFERROR(VLOOKUP($A1517,原始数据_利率互换_FR007_1年!$A$6:$C$4395,3,0),"")</f>
        <v>3.3992</v>
      </c>
    </row>
    <row r="1518" spans="1:9">
      <c r="A1518" s="6">
        <v>41011</v>
      </c>
      <c r="B1518" t="str">
        <f>IFERROR(VLOOKUP($A1518,原始数据_收盘!$A$4:$G$3460,2,0),"")</f>
        <v/>
      </c>
      <c r="C1518" t="str">
        <f>IFERROR(VLOOKUP($A1518,原始数据_收盘!$A$4:$G$3460,3,0),"")</f>
        <v/>
      </c>
      <c r="D1518" t="str">
        <f>IFERROR(VLOOKUP($A1518,原始数据_收盘!$A$4:$G$3460,4,0),"")</f>
        <v/>
      </c>
      <c r="E1518" t="str">
        <f>IFERROR(VLOOKUP($A1518,原始数据_收盘!$A$4:$G$3460,5,0),"")</f>
        <v/>
      </c>
      <c r="F1518" t="str">
        <f>IFERROR(VLOOKUP($A1518,原始数据_收盘!$A$4:$G$3460,6,0),"")</f>
        <v/>
      </c>
      <c r="G1518" t="str">
        <f>IFERROR(VLOOKUP($A1518,原始数据_收盘!$A$4:$G$3460,7,0),"")</f>
        <v/>
      </c>
      <c r="H1518">
        <f>IFERROR(VLOOKUP($A1518,原始数据_利率互换_FR007_1年!$A$6:$C$4395,2,0),"")</f>
        <v>3.2272</v>
      </c>
      <c r="I1518">
        <f>IFERROR(VLOOKUP($A1518,原始数据_利率互换_FR007_1年!$A$6:$C$4395,3,0),"")</f>
        <v>3.4402</v>
      </c>
    </row>
    <row r="1519" spans="1:9">
      <c r="A1519" s="6">
        <v>41012</v>
      </c>
      <c r="B1519" t="str">
        <f>IFERROR(VLOOKUP($A1519,原始数据_收盘!$A$4:$G$3460,2,0),"")</f>
        <v/>
      </c>
      <c r="C1519" t="str">
        <f>IFERROR(VLOOKUP($A1519,原始数据_收盘!$A$4:$G$3460,3,0),"")</f>
        <v/>
      </c>
      <c r="D1519" t="str">
        <f>IFERROR(VLOOKUP($A1519,原始数据_收盘!$A$4:$G$3460,4,0),"")</f>
        <v/>
      </c>
      <c r="E1519" t="str">
        <f>IFERROR(VLOOKUP($A1519,原始数据_收盘!$A$4:$G$3460,5,0),"")</f>
        <v/>
      </c>
      <c r="F1519" t="str">
        <f>IFERROR(VLOOKUP($A1519,原始数据_收盘!$A$4:$G$3460,6,0),"")</f>
        <v/>
      </c>
      <c r="G1519" t="str">
        <f>IFERROR(VLOOKUP($A1519,原始数据_收盘!$A$4:$G$3460,7,0),"")</f>
        <v/>
      </c>
      <c r="H1519">
        <f>IFERROR(VLOOKUP($A1519,原始数据_利率互换_FR007_1年!$A$6:$C$4395,2,0),"")</f>
        <v>3.2458</v>
      </c>
      <c r="I1519">
        <f>IFERROR(VLOOKUP($A1519,原始数据_利率互换_FR007_1年!$A$6:$C$4395,3,0),"")</f>
        <v>3.4618</v>
      </c>
    </row>
    <row r="1520" spans="1:9">
      <c r="A1520" s="6">
        <v>41013</v>
      </c>
      <c r="B1520" t="str">
        <f>IFERROR(VLOOKUP($A1520,原始数据_收盘!$A$4:$G$3460,2,0),"")</f>
        <v/>
      </c>
      <c r="C1520" t="str">
        <f>IFERROR(VLOOKUP($A1520,原始数据_收盘!$A$4:$G$3460,3,0),"")</f>
        <v/>
      </c>
      <c r="D1520" t="str">
        <f>IFERROR(VLOOKUP($A1520,原始数据_收盘!$A$4:$G$3460,4,0),"")</f>
        <v/>
      </c>
      <c r="E1520" t="str">
        <f>IFERROR(VLOOKUP($A1520,原始数据_收盘!$A$4:$G$3460,5,0),"")</f>
        <v/>
      </c>
      <c r="F1520" t="str">
        <f>IFERROR(VLOOKUP($A1520,原始数据_收盘!$A$4:$G$3460,6,0),"")</f>
        <v/>
      </c>
      <c r="G1520" t="str">
        <f>IFERROR(VLOOKUP($A1520,原始数据_收盘!$A$4:$G$3460,7,0),"")</f>
        <v/>
      </c>
      <c r="H1520" t="str">
        <f>IFERROR(VLOOKUP($A1520,原始数据_利率互换_FR007_1年!$A$6:$C$4395,2,0),"")</f>
        <v/>
      </c>
      <c r="I1520" t="str">
        <f>IFERROR(VLOOKUP($A1520,原始数据_利率互换_FR007_1年!$A$6:$C$4395,3,0),"")</f>
        <v/>
      </c>
    </row>
    <row r="1521" spans="1:9">
      <c r="A1521" s="6">
        <v>41014</v>
      </c>
      <c r="B1521" t="str">
        <f>IFERROR(VLOOKUP($A1521,原始数据_收盘!$A$4:$G$3460,2,0),"")</f>
        <v/>
      </c>
      <c r="C1521" t="str">
        <f>IFERROR(VLOOKUP($A1521,原始数据_收盘!$A$4:$G$3460,3,0),"")</f>
        <v/>
      </c>
      <c r="D1521" t="str">
        <f>IFERROR(VLOOKUP($A1521,原始数据_收盘!$A$4:$G$3460,4,0),"")</f>
        <v/>
      </c>
      <c r="E1521" t="str">
        <f>IFERROR(VLOOKUP($A1521,原始数据_收盘!$A$4:$G$3460,5,0),"")</f>
        <v/>
      </c>
      <c r="F1521" t="str">
        <f>IFERROR(VLOOKUP($A1521,原始数据_收盘!$A$4:$G$3460,6,0),"")</f>
        <v/>
      </c>
      <c r="G1521" t="str">
        <f>IFERROR(VLOOKUP($A1521,原始数据_收盘!$A$4:$G$3460,7,0),"")</f>
        <v/>
      </c>
      <c r="H1521" t="str">
        <f>IFERROR(VLOOKUP($A1521,原始数据_利率互换_FR007_1年!$A$6:$C$4395,2,0),"")</f>
        <v/>
      </c>
      <c r="I1521" t="str">
        <f>IFERROR(VLOOKUP($A1521,原始数据_利率互换_FR007_1年!$A$6:$C$4395,3,0),"")</f>
        <v/>
      </c>
    </row>
    <row r="1522" spans="1:9">
      <c r="A1522" s="6">
        <v>41015</v>
      </c>
      <c r="B1522" t="str">
        <f>IFERROR(VLOOKUP($A1522,原始数据_收盘!$A$4:$G$3460,2,0),"")</f>
        <v/>
      </c>
      <c r="C1522" t="str">
        <f>IFERROR(VLOOKUP($A1522,原始数据_收盘!$A$4:$G$3460,3,0),"")</f>
        <v/>
      </c>
      <c r="D1522" t="str">
        <f>IFERROR(VLOOKUP($A1522,原始数据_收盘!$A$4:$G$3460,4,0),"")</f>
        <v/>
      </c>
      <c r="E1522" t="str">
        <f>IFERROR(VLOOKUP($A1522,原始数据_收盘!$A$4:$G$3460,5,0),"")</f>
        <v/>
      </c>
      <c r="F1522" t="str">
        <f>IFERROR(VLOOKUP($A1522,原始数据_收盘!$A$4:$G$3460,6,0),"")</f>
        <v/>
      </c>
      <c r="G1522" t="str">
        <f>IFERROR(VLOOKUP($A1522,原始数据_收盘!$A$4:$G$3460,7,0),"")</f>
        <v/>
      </c>
      <c r="H1522">
        <f>IFERROR(VLOOKUP($A1522,原始数据_利率互换_FR007_1年!$A$6:$C$4395,2,0),"")</f>
        <v>3.2145</v>
      </c>
      <c r="I1522">
        <f>IFERROR(VLOOKUP($A1522,原始数据_利率互换_FR007_1年!$A$6:$C$4395,3,0),"")</f>
        <v>3.4279</v>
      </c>
    </row>
    <row r="1523" spans="1:9">
      <c r="A1523" s="6">
        <v>41016</v>
      </c>
      <c r="B1523" t="str">
        <f>IFERROR(VLOOKUP($A1523,原始数据_收盘!$A$4:$G$3460,2,0),"")</f>
        <v/>
      </c>
      <c r="C1523" t="str">
        <f>IFERROR(VLOOKUP($A1523,原始数据_收盘!$A$4:$G$3460,3,0),"")</f>
        <v/>
      </c>
      <c r="D1523" t="str">
        <f>IFERROR(VLOOKUP($A1523,原始数据_收盘!$A$4:$G$3460,4,0),"")</f>
        <v/>
      </c>
      <c r="E1523" t="str">
        <f>IFERROR(VLOOKUP($A1523,原始数据_收盘!$A$4:$G$3460,5,0),"")</f>
        <v/>
      </c>
      <c r="F1523" t="str">
        <f>IFERROR(VLOOKUP($A1523,原始数据_收盘!$A$4:$G$3460,6,0),"")</f>
        <v/>
      </c>
      <c r="G1523" t="str">
        <f>IFERROR(VLOOKUP($A1523,原始数据_收盘!$A$4:$G$3460,7,0),"")</f>
        <v/>
      </c>
      <c r="H1523">
        <f>IFERROR(VLOOKUP($A1523,原始数据_利率互换_FR007_1年!$A$6:$C$4395,2,0),"")</f>
        <v>3.2021</v>
      </c>
      <c r="I1523">
        <f>IFERROR(VLOOKUP($A1523,原始数据_利率互换_FR007_1年!$A$6:$C$4395,3,0),"")</f>
        <v>3.4267</v>
      </c>
    </row>
    <row r="1524" spans="1:9">
      <c r="A1524" s="6">
        <v>41017</v>
      </c>
      <c r="B1524" t="str">
        <f>IFERROR(VLOOKUP($A1524,原始数据_收盘!$A$4:$G$3460,2,0),"")</f>
        <v/>
      </c>
      <c r="C1524" t="str">
        <f>IFERROR(VLOOKUP($A1524,原始数据_收盘!$A$4:$G$3460,3,0),"")</f>
        <v/>
      </c>
      <c r="D1524" t="str">
        <f>IFERROR(VLOOKUP($A1524,原始数据_收盘!$A$4:$G$3460,4,0),"")</f>
        <v/>
      </c>
      <c r="E1524" t="str">
        <f>IFERROR(VLOOKUP($A1524,原始数据_收盘!$A$4:$G$3460,5,0),"")</f>
        <v/>
      </c>
      <c r="F1524" t="str">
        <f>IFERROR(VLOOKUP($A1524,原始数据_收盘!$A$4:$G$3460,6,0),"")</f>
        <v/>
      </c>
      <c r="G1524" t="str">
        <f>IFERROR(VLOOKUP($A1524,原始数据_收盘!$A$4:$G$3460,7,0),"")</f>
        <v/>
      </c>
      <c r="H1524">
        <f>IFERROR(VLOOKUP($A1524,原始数据_利率互换_FR007_1年!$A$6:$C$4395,2,0),"")</f>
        <v>3.2488</v>
      </c>
      <c r="I1524">
        <f>IFERROR(VLOOKUP($A1524,原始数据_利率互换_FR007_1年!$A$6:$C$4395,3,0),"")</f>
        <v>3.445</v>
      </c>
    </row>
    <row r="1525" spans="1:9">
      <c r="A1525" s="6">
        <v>41018</v>
      </c>
      <c r="B1525" t="str">
        <f>IFERROR(VLOOKUP($A1525,原始数据_收盘!$A$4:$G$3460,2,0),"")</f>
        <v/>
      </c>
      <c r="C1525" t="str">
        <f>IFERROR(VLOOKUP($A1525,原始数据_收盘!$A$4:$G$3460,3,0),"")</f>
        <v/>
      </c>
      <c r="D1525" t="str">
        <f>IFERROR(VLOOKUP($A1525,原始数据_收盘!$A$4:$G$3460,4,0),"")</f>
        <v/>
      </c>
      <c r="E1525" t="str">
        <f>IFERROR(VLOOKUP($A1525,原始数据_收盘!$A$4:$G$3460,5,0),"")</f>
        <v/>
      </c>
      <c r="F1525" t="str">
        <f>IFERROR(VLOOKUP($A1525,原始数据_收盘!$A$4:$G$3460,6,0),"")</f>
        <v/>
      </c>
      <c r="G1525" t="str">
        <f>IFERROR(VLOOKUP($A1525,原始数据_收盘!$A$4:$G$3460,7,0),"")</f>
        <v/>
      </c>
      <c r="H1525">
        <f>IFERROR(VLOOKUP($A1525,原始数据_利率互换_FR007_1年!$A$6:$C$4395,2,0),"")</f>
        <v>3.2108</v>
      </c>
      <c r="I1525">
        <f>IFERROR(VLOOKUP($A1525,原始数据_利率互换_FR007_1年!$A$6:$C$4395,3,0),"")</f>
        <v>3.43</v>
      </c>
    </row>
    <row r="1526" spans="1:9">
      <c r="A1526" s="6">
        <v>41019</v>
      </c>
      <c r="B1526" t="str">
        <f>IFERROR(VLOOKUP($A1526,原始数据_收盘!$A$4:$G$3460,2,0),"")</f>
        <v/>
      </c>
      <c r="C1526" t="str">
        <f>IFERROR(VLOOKUP($A1526,原始数据_收盘!$A$4:$G$3460,3,0),"")</f>
        <v/>
      </c>
      <c r="D1526" t="str">
        <f>IFERROR(VLOOKUP($A1526,原始数据_收盘!$A$4:$G$3460,4,0),"")</f>
        <v/>
      </c>
      <c r="E1526" t="str">
        <f>IFERROR(VLOOKUP($A1526,原始数据_收盘!$A$4:$G$3460,5,0),"")</f>
        <v/>
      </c>
      <c r="F1526" t="str">
        <f>IFERROR(VLOOKUP($A1526,原始数据_收盘!$A$4:$G$3460,6,0),"")</f>
        <v/>
      </c>
      <c r="G1526" t="str">
        <f>IFERROR(VLOOKUP($A1526,原始数据_收盘!$A$4:$G$3460,7,0),"")</f>
        <v/>
      </c>
      <c r="H1526">
        <f>IFERROR(VLOOKUP($A1526,原始数据_利率互换_FR007_1年!$A$6:$C$4395,2,0),"")</f>
        <v>3.2147</v>
      </c>
      <c r="I1526">
        <f>IFERROR(VLOOKUP($A1526,原始数据_利率互换_FR007_1年!$A$6:$C$4395,3,0),"")</f>
        <v>0</v>
      </c>
    </row>
    <row r="1527" spans="1:9">
      <c r="A1527" s="6">
        <v>41020</v>
      </c>
      <c r="B1527" t="str">
        <f>IFERROR(VLOOKUP($A1527,原始数据_收盘!$A$4:$G$3460,2,0),"")</f>
        <v/>
      </c>
      <c r="C1527" t="str">
        <f>IFERROR(VLOOKUP($A1527,原始数据_收盘!$A$4:$G$3460,3,0),"")</f>
        <v/>
      </c>
      <c r="D1527" t="str">
        <f>IFERROR(VLOOKUP($A1527,原始数据_收盘!$A$4:$G$3460,4,0),"")</f>
        <v/>
      </c>
      <c r="E1527" t="str">
        <f>IFERROR(VLOOKUP($A1527,原始数据_收盘!$A$4:$G$3460,5,0),"")</f>
        <v/>
      </c>
      <c r="F1527" t="str">
        <f>IFERROR(VLOOKUP($A1527,原始数据_收盘!$A$4:$G$3460,6,0),"")</f>
        <v/>
      </c>
      <c r="G1527" t="str">
        <f>IFERROR(VLOOKUP($A1527,原始数据_收盘!$A$4:$G$3460,7,0),"")</f>
        <v/>
      </c>
      <c r="H1527" t="str">
        <f>IFERROR(VLOOKUP($A1527,原始数据_利率互换_FR007_1年!$A$6:$C$4395,2,0),"")</f>
        <v/>
      </c>
      <c r="I1527" t="str">
        <f>IFERROR(VLOOKUP($A1527,原始数据_利率互换_FR007_1年!$A$6:$C$4395,3,0),"")</f>
        <v/>
      </c>
    </row>
    <row r="1528" spans="1:9">
      <c r="A1528" s="6">
        <v>41021</v>
      </c>
      <c r="B1528" t="str">
        <f>IFERROR(VLOOKUP($A1528,原始数据_收盘!$A$4:$G$3460,2,0),"")</f>
        <v/>
      </c>
      <c r="C1528" t="str">
        <f>IFERROR(VLOOKUP($A1528,原始数据_收盘!$A$4:$G$3460,3,0),"")</f>
        <v/>
      </c>
      <c r="D1528" t="str">
        <f>IFERROR(VLOOKUP($A1528,原始数据_收盘!$A$4:$G$3460,4,0),"")</f>
        <v/>
      </c>
      <c r="E1528" t="str">
        <f>IFERROR(VLOOKUP($A1528,原始数据_收盘!$A$4:$G$3460,5,0),"")</f>
        <v/>
      </c>
      <c r="F1528" t="str">
        <f>IFERROR(VLOOKUP($A1528,原始数据_收盘!$A$4:$G$3460,6,0),"")</f>
        <v/>
      </c>
      <c r="G1528" t="str">
        <f>IFERROR(VLOOKUP($A1528,原始数据_收盘!$A$4:$G$3460,7,0),"")</f>
        <v/>
      </c>
      <c r="H1528" t="str">
        <f>IFERROR(VLOOKUP($A1528,原始数据_利率互换_FR007_1年!$A$6:$C$4395,2,0),"")</f>
        <v/>
      </c>
      <c r="I1528" t="str">
        <f>IFERROR(VLOOKUP($A1528,原始数据_利率互换_FR007_1年!$A$6:$C$4395,3,0),"")</f>
        <v/>
      </c>
    </row>
    <row r="1529" spans="1:9">
      <c r="A1529" s="6">
        <v>41022</v>
      </c>
      <c r="B1529" t="str">
        <f>IFERROR(VLOOKUP($A1529,原始数据_收盘!$A$4:$G$3460,2,0),"")</f>
        <v/>
      </c>
      <c r="C1529" t="str">
        <f>IFERROR(VLOOKUP($A1529,原始数据_收盘!$A$4:$G$3460,3,0),"")</f>
        <v/>
      </c>
      <c r="D1529" t="str">
        <f>IFERROR(VLOOKUP($A1529,原始数据_收盘!$A$4:$G$3460,4,0),"")</f>
        <v/>
      </c>
      <c r="E1529" t="str">
        <f>IFERROR(VLOOKUP($A1529,原始数据_收盘!$A$4:$G$3460,5,0),"")</f>
        <v/>
      </c>
      <c r="F1529" t="str">
        <f>IFERROR(VLOOKUP($A1529,原始数据_收盘!$A$4:$G$3460,6,0),"")</f>
        <v/>
      </c>
      <c r="G1529" t="str">
        <f>IFERROR(VLOOKUP($A1529,原始数据_收盘!$A$4:$G$3460,7,0),"")</f>
        <v/>
      </c>
      <c r="H1529">
        <f>IFERROR(VLOOKUP($A1529,原始数据_利率互换_FR007_1年!$A$6:$C$4395,2,0),"")</f>
        <v>3.2291</v>
      </c>
      <c r="I1529">
        <f>IFERROR(VLOOKUP($A1529,原始数据_利率互换_FR007_1年!$A$6:$C$4395,3,0),"")</f>
        <v>3.42</v>
      </c>
    </row>
    <row r="1530" spans="1:9">
      <c r="A1530" s="6">
        <v>41023</v>
      </c>
      <c r="B1530" t="str">
        <f>IFERROR(VLOOKUP($A1530,原始数据_收盘!$A$4:$G$3460,2,0),"")</f>
        <v/>
      </c>
      <c r="C1530" t="str">
        <f>IFERROR(VLOOKUP($A1530,原始数据_收盘!$A$4:$G$3460,3,0),"")</f>
        <v/>
      </c>
      <c r="D1530" t="str">
        <f>IFERROR(VLOOKUP($A1530,原始数据_收盘!$A$4:$G$3460,4,0),"")</f>
        <v/>
      </c>
      <c r="E1530" t="str">
        <f>IFERROR(VLOOKUP($A1530,原始数据_收盘!$A$4:$G$3460,5,0),"")</f>
        <v/>
      </c>
      <c r="F1530" t="str">
        <f>IFERROR(VLOOKUP($A1530,原始数据_收盘!$A$4:$G$3460,6,0),"")</f>
        <v/>
      </c>
      <c r="G1530" t="str">
        <f>IFERROR(VLOOKUP($A1530,原始数据_收盘!$A$4:$G$3460,7,0),"")</f>
        <v/>
      </c>
      <c r="H1530">
        <f>IFERROR(VLOOKUP($A1530,原始数据_利率互换_FR007_1年!$A$6:$C$4395,2,0),"")</f>
        <v>3.2043</v>
      </c>
      <c r="I1530">
        <f>IFERROR(VLOOKUP($A1530,原始数据_利率互换_FR007_1年!$A$6:$C$4395,3,0),"")</f>
        <v>3.4014</v>
      </c>
    </row>
    <row r="1531" spans="1:9">
      <c r="A1531" s="6">
        <v>41024</v>
      </c>
      <c r="B1531" t="str">
        <f>IFERROR(VLOOKUP($A1531,原始数据_收盘!$A$4:$G$3460,2,0),"")</f>
        <v/>
      </c>
      <c r="C1531" t="str">
        <f>IFERROR(VLOOKUP($A1531,原始数据_收盘!$A$4:$G$3460,3,0),"")</f>
        <v/>
      </c>
      <c r="D1531" t="str">
        <f>IFERROR(VLOOKUP($A1531,原始数据_收盘!$A$4:$G$3460,4,0),"")</f>
        <v/>
      </c>
      <c r="E1531" t="str">
        <f>IFERROR(VLOOKUP($A1531,原始数据_收盘!$A$4:$G$3460,5,0),"")</f>
        <v/>
      </c>
      <c r="F1531" t="str">
        <f>IFERROR(VLOOKUP($A1531,原始数据_收盘!$A$4:$G$3460,6,0),"")</f>
        <v/>
      </c>
      <c r="G1531" t="str">
        <f>IFERROR(VLOOKUP($A1531,原始数据_收盘!$A$4:$G$3460,7,0),"")</f>
        <v/>
      </c>
      <c r="H1531">
        <f>IFERROR(VLOOKUP($A1531,原始数据_利率互换_FR007_1年!$A$6:$C$4395,2,0),"")</f>
        <v>3.2267</v>
      </c>
      <c r="I1531">
        <f>IFERROR(VLOOKUP($A1531,原始数据_利率互换_FR007_1年!$A$6:$C$4395,3,0),"")</f>
        <v>0</v>
      </c>
    </row>
    <row r="1532" spans="1:9">
      <c r="A1532" s="6">
        <v>41025</v>
      </c>
      <c r="B1532" t="str">
        <f>IFERROR(VLOOKUP($A1532,原始数据_收盘!$A$4:$G$3460,2,0),"")</f>
        <v/>
      </c>
      <c r="C1532" t="str">
        <f>IFERROR(VLOOKUP($A1532,原始数据_收盘!$A$4:$G$3460,3,0),"")</f>
        <v/>
      </c>
      <c r="D1532" t="str">
        <f>IFERROR(VLOOKUP($A1532,原始数据_收盘!$A$4:$G$3460,4,0),"")</f>
        <v/>
      </c>
      <c r="E1532" t="str">
        <f>IFERROR(VLOOKUP($A1532,原始数据_收盘!$A$4:$G$3460,5,0),"")</f>
        <v/>
      </c>
      <c r="F1532" t="str">
        <f>IFERROR(VLOOKUP($A1532,原始数据_收盘!$A$4:$G$3460,6,0),"")</f>
        <v/>
      </c>
      <c r="G1532" t="str">
        <f>IFERROR(VLOOKUP($A1532,原始数据_收盘!$A$4:$G$3460,7,0),"")</f>
        <v/>
      </c>
      <c r="H1532">
        <f>IFERROR(VLOOKUP($A1532,原始数据_利率互换_FR007_1年!$A$6:$C$4395,2,0),"")</f>
        <v>3.2561</v>
      </c>
      <c r="I1532">
        <f>IFERROR(VLOOKUP($A1532,原始数据_利率互换_FR007_1年!$A$6:$C$4395,3,0),"")</f>
        <v>3.43</v>
      </c>
    </row>
    <row r="1533" spans="1:9">
      <c r="A1533" s="6">
        <v>41026</v>
      </c>
      <c r="B1533" t="str">
        <f>IFERROR(VLOOKUP($A1533,原始数据_收盘!$A$4:$G$3460,2,0),"")</f>
        <v/>
      </c>
      <c r="C1533" t="str">
        <f>IFERROR(VLOOKUP($A1533,原始数据_收盘!$A$4:$G$3460,3,0),"")</f>
        <v/>
      </c>
      <c r="D1533" t="str">
        <f>IFERROR(VLOOKUP($A1533,原始数据_收盘!$A$4:$G$3460,4,0),"")</f>
        <v/>
      </c>
      <c r="E1533" t="str">
        <f>IFERROR(VLOOKUP($A1533,原始数据_收盘!$A$4:$G$3460,5,0),"")</f>
        <v/>
      </c>
      <c r="F1533" t="str">
        <f>IFERROR(VLOOKUP($A1533,原始数据_收盘!$A$4:$G$3460,6,0),"")</f>
        <v/>
      </c>
      <c r="G1533" t="str">
        <f>IFERROR(VLOOKUP($A1533,原始数据_收盘!$A$4:$G$3460,7,0),"")</f>
        <v/>
      </c>
      <c r="H1533">
        <f>IFERROR(VLOOKUP($A1533,原始数据_利率互换_FR007_1年!$A$6:$C$4395,2,0),"")</f>
        <v>3.241</v>
      </c>
      <c r="I1533">
        <f>IFERROR(VLOOKUP($A1533,原始数据_利率互换_FR007_1年!$A$6:$C$4395,3,0),"")</f>
        <v>0</v>
      </c>
    </row>
    <row r="1534" spans="1:9">
      <c r="A1534" s="6">
        <v>41027</v>
      </c>
      <c r="B1534" t="str">
        <f>IFERROR(VLOOKUP($A1534,原始数据_收盘!$A$4:$G$3460,2,0),"")</f>
        <v/>
      </c>
      <c r="C1534" t="str">
        <f>IFERROR(VLOOKUP($A1534,原始数据_收盘!$A$4:$G$3460,3,0),"")</f>
        <v/>
      </c>
      <c r="D1534" t="str">
        <f>IFERROR(VLOOKUP($A1534,原始数据_收盘!$A$4:$G$3460,4,0),"")</f>
        <v/>
      </c>
      <c r="E1534" t="str">
        <f>IFERROR(VLOOKUP($A1534,原始数据_收盘!$A$4:$G$3460,5,0),"")</f>
        <v/>
      </c>
      <c r="F1534" t="str">
        <f>IFERROR(VLOOKUP($A1534,原始数据_收盘!$A$4:$G$3460,6,0),"")</f>
        <v/>
      </c>
      <c r="G1534" t="str">
        <f>IFERROR(VLOOKUP($A1534,原始数据_收盘!$A$4:$G$3460,7,0),"")</f>
        <v/>
      </c>
      <c r="H1534" t="str">
        <f>IFERROR(VLOOKUP($A1534,原始数据_利率互换_FR007_1年!$A$6:$C$4395,2,0),"")</f>
        <v/>
      </c>
      <c r="I1534" t="str">
        <f>IFERROR(VLOOKUP($A1534,原始数据_利率互换_FR007_1年!$A$6:$C$4395,3,0),"")</f>
        <v/>
      </c>
    </row>
    <row r="1535" spans="1:9">
      <c r="A1535" s="6">
        <v>41028</v>
      </c>
      <c r="B1535" t="str">
        <f>IFERROR(VLOOKUP($A1535,原始数据_收盘!$A$4:$G$3460,2,0),"")</f>
        <v/>
      </c>
      <c r="C1535" t="str">
        <f>IFERROR(VLOOKUP($A1535,原始数据_收盘!$A$4:$G$3460,3,0),"")</f>
        <v/>
      </c>
      <c r="D1535" t="str">
        <f>IFERROR(VLOOKUP($A1535,原始数据_收盘!$A$4:$G$3460,4,0),"")</f>
        <v/>
      </c>
      <c r="E1535" t="str">
        <f>IFERROR(VLOOKUP($A1535,原始数据_收盘!$A$4:$G$3460,5,0),"")</f>
        <v/>
      </c>
      <c r="F1535" t="str">
        <f>IFERROR(VLOOKUP($A1535,原始数据_收盘!$A$4:$G$3460,6,0),"")</f>
        <v/>
      </c>
      <c r="G1535" t="str">
        <f>IFERROR(VLOOKUP($A1535,原始数据_收盘!$A$4:$G$3460,7,0),"")</f>
        <v/>
      </c>
      <c r="H1535" t="str">
        <f>IFERROR(VLOOKUP($A1535,原始数据_利率互换_FR007_1年!$A$6:$C$4395,2,0),"")</f>
        <v/>
      </c>
      <c r="I1535" t="str">
        <f>IFERROR(VLOOKUP($A1535,原始数据_利率互换_FR007_1年!$A$6:$C$4395,3,0),"")</f>
        <v/>
      </c>
    </row>
    <row r="1536" spans="1:9">
      <c r="A1536" s="6">
        <v>41029</v>
      </c>
      <c r="B1536" t="str">
        <f>IFERROR(VLOOKUP($A1536,原始数据_收盘!$A$4:$G$3460,2,0),"")</f>
        <v/>
      </c>
      <c r="C1536" t="str">
        <f>IFERROR(VLOOKUP($A1536,原始数据_收盘!$A$4:$G$3460,3,0),"")</f>
        <v/>
      </c>
      <c r="D1536" t="str">
        <f>IFERROR(VLOOKUP($A1536,原始数据_收盘!$A$4:$G$3460,4,0),"")</f>
        <v/>
      </c>
      <c r="E1536" t="str">
        <f>IFERROR(VLOOKUP($A1536,原始数据_收盘!$A$4:$G$3460,5,0),"")</f>
        <v/>
      </c>
      <c r="F1536" t="str">
        <f>IFERROR(VLOOKUP($A1536,原始数据_收盘!$A$4:$G$3460,6,0),"")</f>
        <v/>
      </c>
      <c r="G1536" t="str">
        <f>IFERROR(VLOOKUP($A1536,原始数据_收盘!$A$4:$G$3460,7,0),"")</f>
        <v/>
      </c>
      <c r="H1536" t="str">
        <f>IFERROR(VLOOKUP($A1536,原始数据_利率互换_FR007_1年!$A$6:$C$4395,2,0),"")</f>
        <v/>
      </c>
      <c r="I1536" t="str">
        <f>IFERROR(VLOOKUP($A1536,原始数据_利率互换_FR007_1年!$A$6:$C$4395,3,0),"")</f>
        <v/>
      </c>
    </row>
    <row r="1537" spans="1:9">
      <c r="A1537" s="6">
        <v>41030</v>
      </c>
      <c r="B1537" t="str">
        <f>IFERROR(VLOOKUP($A1537,原始数据_收盘!$A$4:$G$3460,2,0),"")</f>
        <v/>
      </c>
      <c r="C1537" t="str">
        <f>IFERROR(VLOOKUP($A1537,原始数据_收盘!$A$4:$G$3460,3,0),"")</f>
        <v/>
      </c>
      <c r="D1537" t="str">
        <f>IFERROR(VLOOKUP($A1537,原始数据_收盘!$A$4:$G$3460,4,0),"")</f>
        <v/>
      </c>
      <c r="E1537" t="str">
        <f>IFERROR(VLOOKUP($A1537,原始数据_收盘!$A$4:$G$3460,5,0),"")</f>
        <v/>
      </c>
      <c r="F1537" t="str">
        <f>IFERROR(VLOOKUP($A1537,原始数据_收盘!$A$4:$G$3460,6,0),"")</f>
        <v/>
      </c>
      <c r="G1537" t="str">
        <f>IFERROR(VLOOKUP($A1537,原始数据_收盘!$A$4:$G$3460,7,0),"")</f>
        <v/>
      </c>
      <c r="H1537" t="str">
        <f>IFERROR(VLOOKUP($A1537,原始数据_利率互换_FR007_1年!$A$6:$C$4395,2,0),"")</f>
        <v/>
      </c>
      <c r="I1537" t="str">
        <f>IFERROR(VLOOKUP($A1537,原始数据_利率互换_FR007_1年!$A$6:$C$4395,3,0),"")</f>
        <v/>
      </c>
    </row>
    <row r="1538" spans="1:9">
      <c r="A1538" s="6">
        <v>41031</v>
      </c>
      <c r="B1538" t="str">
        <f>IFERROR(VLOOKUP($A1538,原始数据_收盘!$A$4:$G$3460,2,0),"")</f>
        <v/>
      </c>
      <c r="C1538" t="str">
        <f>IFERROR(VLOOKUP($A1538,原始数据_收盘!$A$4:$G$3460,3,0),"")</f>
        <v/>
      </c>
      <c r="D1538" t="str">
        <f>IFERROR(VLOOKUP($A1538,原始数据_收盘!$A$4:$G$3460,4,0),"")</f>
        <v/>
      </c>
      <c r="E1538" t="str">
        <f>IFERROR(VLOOKUP($A1538,原始数据_收盘!$A$4:$G$3460,5,0),"")</f>
        <v/>
      </c>
      <c r="F1538" t="str">
        <f>IFERROR(VLOOKUP($A1538,原始数据_收盘!$A$4:$G$3460,6,0),"")</f>
        <v/>
      </c>
      <c r="G1538" t="str">
        <f>IFERROR(VLOOKUP($A1538,原始数据_收盘!$A$4:$G$3460,7,0),"")</f>
        <v/>
      </c>
      <c r="H1538">
        <f>IFERROR(VLOOKUP($A1538,原始数据_利率互换_FR007_1年!$A$6:$C$4395,2,0),"")</f>
        <v>3.2705</v>
      </c>
      <c r="I1538">
        <f>IFERROR(VLOOKUP($A1538,原始数据_利率互换_FR007_1年!$A$6:$C$4395,3,0),"")</f>
        <v>3.4362</v>
      </c>
    </row>
    <row r="1539" spans="1:9">
      <c r="A1539" s="6">
        <v>41032</v>
      </c>
      <c r="B1539" t="str">
        <f>IFERROR(VLOOKUP($A1539,原始数据_收盘!$A$4:$G$3460,2,0),"")</f>
        <v/>
      </c>
      <c r="C1539" t="str">
        <f>IFERROR(VLOOKUP($A1539,原始数据_收盘!$A$4:$G$3460,3,0),"")</f>
        <v/>
      </c>
      <c r="D1539" t="str">
        <f>IFERROR(VLOOKUP($A1539,原始数据_收盘!$A$4:$G$3460,4,0),"")</f>
        <v/>
      </c>
      <c r="E1539" t="str">
        <f>IFERROR(VLOOKUP($A1539,原始数据_收盘!$A$4:$G$3460,5,0),"")</f>
        <v/>
      </c>
      <c r="F1539" t="str">
        <f>IFERROR(VLOOKUP($A1539,原始数据_收盘!$A$4:$G$3460,6,0),"")</f>
        <v/>
      </c>
      <c r="G1539" t="str">
        <f>IFERROR(VLOOKUP($A1539,原始数据_收盘!$A$4:$G$3460,7,0),"")</f>
        <v/>
      </c>
      <c r="H1539">
        <f>IFERROR(VLOOKUP($A1539,原始数据_利率互换_FR007_1年!$A$6:$C$4395,2,0),"")</f>
        <v>3.2808</v>
      </c>
      <c r="I1539">
        <f>IFERROR(VLOOKUP($A1539,原始数据_利率互换_FR007_1年!$A$6:$C$4395,3,0),"")</f>
        <v>3.456</v>
      </c>
    </row>
    <row r="1540" spans="1:9">
      <c r="A1540" s="6">
        <v>41033</v>
      </c>
      <c r="B1540" t="str">
        <f>IFERROR(VLOOKUP($A1540,原始数据_收盘!$A$4:$G$3460,2,0),"")</f>
        <v/>
      </c>
      <c r="C1540" t="str">
        <f>IFERROR(VLOOKUP($A1540,原始数据_收盘!$A$4:$G$3460,3,0),"")</f>
        <v/>
      </c>
      <c r="D1540" t="str">
        <f>IFERROR(VLOOKUP($A1540,原始数据_收盘!$A$4:$G$3460,4,0),"")</f>
        <v/>
      </c>
      <c r="E1540" t="str">
        <f>IFERROR(VLOOKUP($A1540,原始数据_收盘!$A$4:$G$3460,5,0),"")</f>
        <v/>
      </c>
      <c r="F1540" t="str">
        <f>IFERROR(VLOOKUP($A1540,原始数据_收盘!$A$4:$G$3460,6,0),"")</f>
        <v/>
      </c>
      <c r="G1540" t="str">
        <f>IFERROR(VLOOKUP($A1540,原始数据_收盘!$A$4:$G$3460,7,0),"")</f>
        <v/>
      </c>
      <c r="H1540">
        <f>IFERROR(VLOOKUP($A1540,原始数据_利率互换_FR007_1年!$A$6:$C$4395,2,0),"")</f>
        <v>3.3602</v>
      </c>
      <c r="I1540">
        <f>IFERROR(VLOOKUP($A1540,原始数据_利率互换_FR007_1年!$A$6:$C$4395,3,0),"")</f>
        <v>3.5118</v>
      </c>
    </row>
    <row r="1541" spans="1:9">
      <c r="A1541" s="6">
        <v>41034</v>
      </c>
      <c r="B1541" t="str">
        <f>IFERROR(VLOOKUP($A1541,原始数据_收盘!$A$4:$G$3460,2,0),"")</f>
        <v/>
      </c>
      <c r="C1541" t="str">
        <f>IFERROR(VLOOKUP($A1541,原始数据_收盘!$A$4:$G$3460,3,0),"")</f>
        <v/>
      </c>
      <c r="D1541" t="str">
        <f>IFERROR(VLOOKUP($A1541,原始数据_收盘!$A$4:$G$3460,4,0),"")</f>
        <v/>
      </c>
      <c r="E1541" t="str">
        <f>IFERROR(VLOOKUP($A1541,原始数据_收盘!$A$4:$G$3460,5,0),"")</f>
        <v/>
      </c>
      <c r="F1541" t="str">
        <f>IFERROR(VLOOKUP($A1541,原始数据_收盘!$A$4:$G$3460,6,0),"")</f>
        <v/>
      </c>
      <c r="G1541" t="str">
        <f>IFERROR(VLOOKUP($A1541,原始数据_收盘!$A$4:$G$3460,7,0),"")</f>
        <v/>
      </c>
      <c r="H1541" t="str">
        <f>IFERROR(VLOOKUP($A1541,原始数据_利率互换_FR007_1年!$A$6:$C$4395,2,0),"")</f>
        <v/>
      </c>
      <c r="I1541" t="str">
        <f>IFERROR(VLOOKUP($A1541,原始数据_利率互换_FR007_1年!$A$6:$C$4395,3,0),"")</f>
        <v/>
      </c>
    </row>
    <row r="1542" spans="1:9">
      <c r="A1542" s="6">
        <v>41035</v>
      </c>
      <c r="B1542" t="str">
        <f>IFERROR(VLOOKUP($A1542,原始数据_收盘!$A$4:$G$3460,2,0),"")</f>
        <v/>
      </c>
      <c r="C1542" t="str">
        <f>IFERROR(VLOOKUP($A1542,原始数据_收盘!$A$4:$G$3460,3,0),"")</f>
        <v/>
      </c>
      <c r="D1542" t="str">
        <f>IFERROR(VLOOKUP($A1542,原始数据_收盘!$A$4:$G$3460,4,0),"")</f>
        <v/>
      </c>
      <c r="E1542" t="str">
        <f>IFERROR(VLOOKUP($A1542,原始数据_收盘!$A$4:$G$3460,5,0),"")</f>
        <v/>
      </c>
      <c r="F1542" t="str">
        <f>IFERROR(VLOOKUP($A1542,原始数据_收盘!$A$4:$G$3460,6,0),"")</f>
        <v/>
      </c>
      <c r="G1542" t="str">
        <f>IFERROR(VLOOKUP($A1542,原始数据_收盘!$A$4:$G$3460,7,0),"")</f>
        <v/>
      </c>
      <c r="H1542" t="str">
        <f>IFERROR(VLOOKUP($A1542,原始数据_利率互换_FR007_1年!$A$6:$C$4395,2,0),"")</f>
        <v/>
      </c>
      <c r="I1542" t="str">
        <f>IFERROR(VLOOKUP($A1542,原始数据_利率互换_FR007_1年!$A$6:$C$4395,3,0),"")</f>
        <v/>
      </c>
    </row>
    <row r="1543" spans="1:9">
      <c r="A1543" s="6">
        <v>41036</v>
      </c>
      <c r="B1543" t="str">
        <f>IFERROR(VLOOKUP($A1543,原始数据_收盘!$A$4:$G$3460,2,0),"")</f>
        <v/>
      </c>
      <c r="C1543" t="str">
        <f>IFERROR(VLOOKUP($A1543,原始数据_收盘!$A$4:$G$3460,3,0),"")</f>
        <v/>
      </c>
      <c r="D1543" t="str">
        <f>IFERROR(VLOOKUP($A1543,原始数据_收盘!$A$4:$G$3460,4,0),"")</f>
        <v/>
      </c>
      <c r="E1543" t="str">
        <f>IFERROR(VLOOKUP($A1543,原始数据_收盘!$A$4:$G$3460,5,0),"")</f>
        <v/>
      </c>
      <c r="F1543" t="str">
        <f>IFERROR(VLOOKUP($A1543,原始数据_收盘!$A$4:$G$3460,6,0),"")</f>
        <v/>
      </c>
      <c r="G1543" t="str">
        <f>IFERROR(VLOOKUP($A1543,原始数据_收盘!$A$4:$G$3460,7,0),"")</f>
        <v/>
      </c>
      <c r="H1543">
        <f>IFERROR(VLOOKUP($A1543,原始数据_利率互换_FR007_1年!$A$6:$C$4395,2,0),"")</f>
        <v>3.3467</v>
      </c>
      <c r="I1543">
        <f>IFERROR(VLOOKUP($A1543,原始数据_利率互换_FR007_1年!$A$6:$C$4395,3,0),"")</f>
        <v>3.4487</v>
      </c>
    </row>
    <row r="1544" spans="1:9">
      <c r="A1544" s="6">
        <v>41037</v>
      </c>
      <c r="B1544" t="str">
        <f>IFERROR(VLOOKUP($A1544,原始数据_收盘!$A$4:$G$3460,2,0),"")</f>
        <v/>
      </c>
      <c r="C1544" t="str">
        <f>IFERROR(VLOOKUP($A1544,原始数据_收盘!$A$4:$G$3460,3,0),"")</f>
        <v/>
      </c>
      <c r="D1544" t="str">
        <f>IFERROR(VLOOKUP($A1544,原始数据_收盘!$A$4:$G$3460,4,0),"")</f>
        <v/>
      </c>
      <c r="E1544" t="str">
        <f>IFERROR(VLOOKUP($A1544,原始数据_收盘!$A$4:$G$3460,5,0),"")</f>
        <v/>
      </c>
      <c r="F1544" t="str">
        <f>IFERROR(VLOOKUP($A1544,原始数据_收盘!$A$4:$G$3460,6,0),"")</f>
        <v/>
      </c>
      <c r="G1544" t="str">
        <f>IFERROR(VLOOKUP($A1544,原始数据_收盘!$A$4:$G$3460,7,0),"")</f>
        <v/>
      </c>
      <c r="H1544">
        <f>IFERROR(VLOOKUP($A1544,原始数据_利率互换_FR007_1年!$A$6:$C$4395,2,0),"")</f>
        <v>3.3262</v>
      </c>
      <c r="I1544">
        <f>IFERROR(VLOOKUP($A1544,原始数据_利率互换_FR007_1年!$A$6:$C$4395,3,0),"")</f>
        <v>3.4308</v>
      </c>
    </row>
    <row r="1545" spans="1:9">
      <c r="A1545" s="6">
        <v>41038</v>
      </c>
      <c r="B1545" t="str">
        <f>IFERROR(VLOOKUP($A1545,原始数据_收盘!$A$4:$G$3460,2,0),"")</f>
        <v/>
      </c>
      <c r="C1545" t="str">
        <f>IFERROR(VLOOKUP($A1545,原始数据_收盘!$A$4:$G$3460,3,0),"")</f>
        <v/>
      </c>
      <c r="D1545" t="str">
        <f>IFERROR(VLOOKUP($A1545,原始数据_收盘!$A$4:$G$3460,4,0),"")</f>
        <v/>
      </c>
      <c r="E1545" t="str">
        <f>IFERROR(VLOOKUP($A1545,原始数据_收盘!$A$4:$G$3460,5,0),"")</f>
        <v/>
      </c>
      <c r="F1545" t="str">
        <f>IFERROR(VLOOKUP($A1545,原始数据_收盘!$A$4:$G$3460,6,0),"")</f>
        <v/>
      </c>
      <c r="G1545" t="str">
        <f>IFERROR(VLOOKUP($A1545,原始数据_收盘!$A$4:$G$3460,7,0),"")</f>
        <v/>
      </c>
      <c r="H1545">
        <f>IFERROR(VLOOKUP($A1545,原始数据_利率互换_FR007_1年!$A$6:$C$4395,2,0),"")</f>
        <v>3.2579</v>
      </c>
      <c r="I1545">
        <f>IFERROR(VLOOKUP($A1545,原始数据_利率互换_FR007_1年!$A$6:$C$4395,3,0),"")</f>
        <v>3.3708</v>
      </c>
    </row>
    <row r="1546" spans="1:9">
      <c r="A1546" s="6">
        <v>41039</v>
      </c>
      <c r="B1546" t="str">
        <f>IFERROR(VLOOKUP($A1546,原始数据_收盘!$A$4:$G$3460,2,0),"")</f>
        <v/>
      </c>
      <c r="C1546" t="str">
        <f>IFERROR(VLOOKUP($A1546,原始数据_收盘!$A$4:$G$3460,3,0),"")</f>
        <v/>
      </c>
      <c r="D1546" t="str">
        <f>IFERROR(VLOOKUP($A1546,原始数据_收盘!$A$4:$G$3460,4,0),"")</f>
        <v/>
      </c>
      <c r="E1546" t="str">
        <f>IFERROR(VLOOKUP($A1546,原始数据_收盘!$A$4:$G$3460,5,0),"")</f>
        <v/>
      </c>
      <c r="F1546" t="str">
        <f>IFERROR(VLOOKUP($A1546,原始数据_收盘!$A$4:$G$3460,6,0),"")</f>
        <v/>
      </c>
      <c r="G1546" t="str">
        <f>IFERROR(VLOOKUP($A1546,原始数据_收盘!$A$4:$G$3460,7,0),"")</f>
        <v/>
      </c>
      <c r="H1546">
        <f>IFERROR(VLOOKUP($A1546,原始数据_利率互换_FR007_1年!$A$6:$C$4395,2,0),"")</f>
        <v>3.195</v>
      </c>
      <c r="I1546">
        <f>IFERROR(VLOOKUP($A1546,原始数据_利率互换_FR007_1年!$A$6:$C$4395,3,0),"")</f>
        <v>3.351</v>
      </c>
    </row>
    <row r="1547" spans="1:9">
      <c r="A1547" s="6">
        <v>41040</v>
      </c>
      <c r="B1547" t="str">
        <f>IFERROR(VLOOKUP($A1547,原始数据_收盘!$A$4:$G$3460,2,0),"")</f>
        <v/>
      </c>
      <c r="C1547" t="str">
        <f>IFERROR(VLOOKUP($A1547,原始数据_收盘!$A$4:$G$3460,3,0),"")</f>
        <v/>
      </c>
      <c r="D1547" t="str">
        <f>IFERROR(VLOOKUP($A1547,原始数据_收盘!$A$4:$G$3460,4,0),"")</f>
        <v/>
      </c>
      <c r="E1547" t="str">
        <f>IFERROR(VLOOKUP($A1547,原始数据_收盘!$A$4:$G$3460,5,0),"")</f>
        <v/>
      </c>
      <c r="F1547" t="str">
        <f>IFERROR(VLOOKUP($A1547,原始数据_收盘!$A$4:$G$3460,6,0),"")</f>
        <v/>
      </c>
      <c r="G1547" t="str">
        <f>IFERROR(VLOOKUP($A1547,原始数据_收盘!$A$4:$G$3460,7,0),"")</f>
        <v/>
      </c>
      <c r="H1547">
        <f>IFERROR(VLOOKUP($A1547,原始数据_利率互换_FR007_1年!$A$6:$C$4395,2,0),"")</f>
        <v>3.1455</v>
      </c>
      <c r="I1547">
        <f>IFERROR(VLOOKUP($A1547,原始数据_利率互换_FR007_1年!$A$6:$C$4395,3,0),"")</f>
        <v>3.3133</v>
      </c>
    </row>
    <row r="1548" spans="1:9">
      <c r="A1548" s="6">
        <v>41041</v>
      </c>
      <c r="B1548" t="str">
        <f>IFERROR(VLOOKUP($A1548,原始数据_收盘!$A$4:$G$3460,2,0),"")</f>
        <v/>
      </c>
      <c r="C1548" t="str">
        <f>IFERROR(VLOOKUP($A1548,原始数据_收盘!$A$4:$G$3460,3,0),"")</f>
        <v/>
      </c>
      <c r="D1548" t="str">
        <f>IFERROR(VLOOKUP($A1548,原始数据_收盘!$A$4:$G$3460,4,0),"")</f>
        <v/>
      </c>
      <c r="E1548" t="str">
        <f>IFERROR(VLOOKUP($A1548,原始数据_收盘!$A$4:$G$3460,5,0),"")</f>
        <v/>
      </c>
      <c r="F1548" t="str">
        <f>IFERROR(VLOOKUP($A1548,原始数据_收盘!$A$4:$G$3460,6,0),"")</f>
        <v/>
      </c>
      <c r="G1548" t="str">
        <f>IFERROR(VLOOKUP($A1548,原始数据_收盘!$A$4:$G$3460,7,0),"")</f>
        <v/>
      </c>
      <c r="H1548" t="str">
        <f>IFERROR(VLOOKUP($A1548,原始数据_利率互换_FR007_1年!$A$6:$C$4395,2,0),"")</f>
        <v/>
      </c>
      <c r="I1548" t="str">
        <f>IFERROR(VLOOKUP($A1548,原始数据_利率互换_FR007_1年!$A$6:$C$4395,3,0),"")</f>
        <v/>
      </c>
    </row>
    <row r="1549" spans="1:9">
      <c r="A1549" s="6">
        <v>41042</v>
      </c>
      <c r="B1549" t="str">
        <f>IFERROR(VLOOKUP($A1549,原始数据_收盘!$A$4:$G$3460,2,0),"")</f>
        <v/>
      </c>
      <c r="C1549" t="str">
        <f>IFERROR(VLOOKUP($A1549,原始数据_收盘!$A$4:$G$3460,3,0),"")</f>
        <v/>
      </c>
      <c r="D1549" t="str">
        <f>IFERROR(VLOOKUP($A1549,原始数据_收盘!$A$4:$G$3460,4,0),"")</f>
        <v/>
      </c>
      <c r="E1549" t="str">
        <f>IFERROR(VLOOKUP($A1549,原始数据_收盘!$A$4:$G$3460,5,0),"")</f>
        <v/>
      </c>
      <c r="F1549" t="str">
        <f>IFERROR(VLOOKUP($A1549,原始数据_收盘!$A$4:$G$3460,6,0),"")</f>
        <v/>
      </c>
      <c r="G1549" t="str">
        <f>IFERROR(VLOOKUP($A1549,原始数据_收盘!$A$4:$G$3460,7,0),"")</f>
        <v/>
      </c>
      <c r="H1549" t="str">
        <f>IFERROR(VLOOKUP($A1549,原始数据_利率互换_FR007_1年!$A$6:$C$4395,2,0),"")</f>
        <v/>
      </c>
      <c r="I1549" t="str">
        <f>IFERROR(VLOOKUP($A1549,原始数据_利率互换_FR007_1年!$A$6:$C$4395,3,0),"")</f>
        <v/>
      </c>
    </row>
    <row r="1550" spans="1:9">
      <c r="A1550" s="6">
        <v>41043</v>
      </c>
      <c r="B1550" t="str">
        <f>IFERROR(VLOOKUP($A1550,原始数据_收盘!$A$4:$G$3460,2,0),"")</f>
        <v/>
      </c>
      <c r="C1550" t="str">
        <f>IFERROR(VLOOKUP($A1550,原始数据_收盘!$A$4:$G$3460,3,0),"")</f>
        <v/>
      </c>
      <c r="D1550" t="str">
        <f>IFERROR(VLOOKUP($A1550,原始数据_收盘!$A$4:$G$3460,4,0),"")</f>
        <v/>
      </c>
      <c r="E1550" t="str">
        <f>IFERROR(VLOOKUP($A1550,原始数据_收盘!$A$4:$G$3460,5,0),"")</f>
        <v/>
      </c>
      <c r="F1550" t="str">
        <f>IFERROR(VLOOKUP($A1550,原始数据_收盘!$A$4:$G$3460,6,0),"")</f>
        <v/>
      </c>
      <c r="G1550" t="str">
        <f>IFERROR(VLOOKUP($A1550,原始数据_收盘!$A$4:$G$3460,7,0),"")</f>
        <v/>
      </c>
      <c r="H1550">
        <f>IFERROR(VLOOKUP($A1550,原始数据_利率互换_FR007_1年!$A$6:$C$4395,2,0),"")</f>
        <v>2.94</v>
      </c>
      <c r="I1550">
        <f>IFERROR(VLOOKUP($A1550,原始数据_利率互换_FR007_1年!$A$6:$C$4395,3,0),"")</f>
        <v>3.1962</v>
      </c>
    </row>
    <row r="1551" spans="1:9">
      <c r="A1551" s="6">
        <v>41044</v>
      </c>
      <c r="B1551" t="str">
        <f>IFERROR(VLOOKUP($A1551,原始数据_收盘!$A$4:$G$3460,2,0),"")</f>
        <v/>
      </c>
      <c r="C1551" t="str">
        <f>IFERROR(VLOOKUP($A1551,原始数据_收盘!$A$4:$G$3460,3,0),"")</f>
        <v/>
      </c>
      <c r="D1551" t="str">
        <f>IFERROR(VLOOKUP($A1551,原始数据_收盘!$A$4:$G$3460,4,0),"")</f>
        <v/>
      </c>
      <c r="E1551" t="str">
        <f>IFERROR(VLOOKUP($A1551,原始数据_收盘!$A$4:$G$3460,5,0),"")</f>
        <v/>
      </c>
      <c r="F1551" t="str">
        <f>IFERROR(VLOOKUP($A1551,原始数据_收盘!$A$4:$G$3460,6,0),"")</f>
        <v/>
      </c>
      <c r="G1551" t="str">
        <f>IFERROR(VLOOKUP($A1551,原始数据_收盘!$A$4:$G$3460,7,0),"")</f>
        <v/>
      </c>
      <c r="H1551">
        <f>IFERROR(VLOOKUP($A1551,原始数据_利率互换_FR007_1年!$A$6:$C$4395,2,0),"")</f>
        <v>2.8566</v>
      </c>
      <c r="I1551">
        <f>IFERROR(VLOOKUP($A1551,原始数据_利率互换_FR007_1年!$A$6:$C$4395,3,0),"")</f>
        <v>3.067</v>
      </c>
    </row>
    <row r="1552" spans="1:9">
      <c r="A1552" s="6">
        <v>41045</v>
      </c>
      <c r="B1552" t="str">
        <f>IFERROR(VLOOKUP($A1552,原始数据_收盘!$A$4:$G$3460,2,0),"")</f>
        <v/>
      </c>
      <c r="C1552" t="str">
        <f>IFERROR(VLOOKUP($A1552,原始数据_收盘!$A$4:$G$3460,3,0),"")</f>
        <v/>
      </c>
      <c r="D1552" t="str">
        <f>IFERROR(VLOOKUP($A1552,原始数据_收盘!$A$4:$G$3460,4,0),"")</f>
        <v/>
      </c>
      <c r="E1552" t="str">
        <f>IFERROR(VLOOKUP($A1552,原始数据_收盘!$A$4:$G$3460,5,0),"")</f>
        <v/>
      </c>
      <c r="F1552" t="str">
        <f>IFERROR(VLOOKUP($A1552,原始数据_收盘!$A$4:$G$3460,6,0),"")</f>
        <v/>
      </c>
      <c r="G1552" t="str">
        <f>IFERROR(VLOOKUP($A1552,原始数据_收盘!$A$4:$G$3460,7,0),"")</f>
        <v/>
      </c>
      <c r="H1552" t="str">
        <f>IFERROR(VLOOKUP($A1552,原始数据_利率互换_FR007_1年!$A$6:$C$4395,2,0),"")</f>
        <v/>
      </c>
      <c r="I1552" t="str">
        <f>IFERROR(VLOOKUP($A1552,原始数据_利率互换_FR007_1年!$A$6:$C$4395,3,0),"")</f>
        <v/>
      </c>
    </row>
    <row r="1553" spans="1:9">
      <c r="A1553" s="6">
        <v>41046</v>
      </c>
      <c r="B1553" t="str">
        <f>IFERROR(VLOOKUP($A1553,原始数据_收盘!$A$4:$G$3460,2,0),"")</f>
        <v/>
      </c>
      <c r="C1553" t="str">
        <f>IFERROR(VLOOKUP($A1553,原始数据_收盘!$A$4:$G$3460,3,0),"")</f>
        <v/>
      </c>
      <c r="D1553" t="str">
        <f>IFERROR(VLOOKUP($A1553,原始数据_收盘!$A$4:$G$3460,4,0),"")</f>
        <v/>
      </c>
      <c r="E1553" t="str">
        <f>IFERROR(VLOOKUP($A1553,原始数据_收盘!$A$4:$G$3460,5,0),"")</f>
        <v/>
      </c>
      <c r="F1553" t="str">
        <f>IFERROR(VLOOKUP($A1553,原始数据_收盘!$A$4:$G$3460,6,0),"")</f>
        <v/>
      </c>
      <c r="G1553" t="str">
        <f>IFERROR(VLOOKUP($A1553,原始数据_收盘!$A$4:$G$3460,7,0),"")</f>
        <v/>
      </c>
      <c r="H1553" t="str">
        <f>IFERROR(VLOOKUP($A1553,原始数据_利率互换_FR007_1年!$A$6:$C$4395,2,0),"")</f>
        <v/>
      </c>
      <c r="I1553" t="str">
        <f>IFERROR(VLOOKUP($A1553,原始数据_利率互换_FR007_1年!$A$6:$C$4395,3,0),"")</f>
        <v/>
      </c>
    </row>
    <row r="1554" spans="1:9">
      <c r="A1554" s="6">
        <v>41047</v>
      </c>
      <c r="B1554" t="str">
        <f>IFERROR(VLOOKUP($A1554,原始数据_收盘!$A$4:$G$3460,2,0),"")</f>
        <v/>
      </c>
      <c r="C1554" t="str">
        <f>IFERROR(VLOOKUP($A1554,原始数据_收盘!$A$4:$G$3460,3,0),"")</f>
        <v/>
      </c>
      <c r="D1554" t="str">
        <f>IFERROR(VLOOKUP($A1554,原始数据_收盘!$A$4:$G$3460,4,0),"")</f>
        <v/>
      </c>
      <c r="E1554" t="str">
        <f>IFERROR(VLOOKUP($A1554,原始数据_收盘!$A$4:$G$3460,5,0),"")</f>
        <v/>
      </c>
      <c r="F1554" t="str">
        <f>IFERROR(VLOOKUP($A1554,原始数据_收盘!$A$4:$G$3460,6,0),"")</f>
        <v/>
      </c>
      <c r="G1554" t="str">
        <f>IFERROR(VLOOKUP($A1554,原始数据_收盘!$A$4:$G$3460,7,0),"")</f>
        <v/>
      </c>
      <c r="H1554">
        <f>IFERROR(VLOOKUP($A1554,原始数据_利率互换_FR007_1年!$A$6:$C$4395,2,0),"")</f>
        <v>2.7572</v>
      </c>
      <c r="I1554">
        <f>IFERROR(VLOOKUP($A1554,原始数据_利率互换_FR007_1年!$A$6:$C$4395,3,0),"")</f>
        <v>2.98</v>
      </c>
    </row>
    <row r="1555" spans="1:9">
      <c r="A1555" s="6">
        <v>41048</v>
      </c>
      <c r="B1555" t="str">
        <f>IFERROR(VLOOKUP($A1555,原始数据_收盘!$A$4:$G$3460,2,0),"")</f>
        <v/>
      </c>
      <c r="C1555" t="str">
        <f>IFERROR(VLOOKUP($A1555,原始数据_收盘!$A$4:$G$3460,3,0),"")</f>
        <v/>
      </c>
      <c r="D1555" t="str">
        <f>IFERROR(VLOOKUP($A1555,原始数据_收盘!$A$4:$G$3460,4,0),"")</f>
        <v/>
      </c>
      <c r="E1555" t="str">
        <f>IFERROR(VLOOKUP($A1555,原始数据_收盘!$A$4:$G$3460,5,0),"")</f>
        <v/>
      </c>
      <c r="F1555" t="str">
        <f>IFERROR(VLOOKUP($A1555,原始数据_收盘!$A$4:$G$3460,6,0),"")</f>
        <v/>
      </c>
      <c r="G1555" t="str">
        <f>IFERROR(VLOOKUP($A1555,原始数据_收盘!$A$4:$G$3460,7,0),"")</f>
        <v/>
      </c>
      <c r="H1555" t="str">
        <f>IFERROR(VLOOKUP($A1555,原始数据_利率互换_FR007_1年!$A$6:$C$4395,2,0),"")</f>
        <v/>
      </c>
      <c r="I1555" t="str">
        <f>IFERROR(VLOOKUP($A1555,原始数据_利率互换_FR007_1年!$A$6:$C$4395,3,0),"")</f>
        <v/>
      </c>
    </row>
    <row r="1556" spans="1:9">
      <c r="A1556" s="6">
        <v>41049</v>
      </c>
      <c r="B1556" t="str">
        <f>IFERROR(VLOOKUP($A1556,原始数据_收盘!$A$4:$G$3460,2,0),"")</f>
        <v/>
      </c>
      <c r="C1556" t="str">
        <f>IFERROR(VLOOKUP($A1556,原始数据_收盘!$A$4:$G$3460,3,0),"")</f>
        <v/>
      </c>
      <c r="D1556" t="str">
        <f>IFERROR(VLOOKUP($A1556,原始数据_收盘!$A$4:$G$3460,4,0),"")</f>
        <v/>
      </c>
      <c r="E1556" t="str">
        <f>IFERROR(VLOOKUP($A1556,原始数据_收盘!$A$4:$G$3460,5,0),"")</f>
        <v/>
      </c>
      <c r="F1556" t="str">
        <f>IFERROR(VLOOKUP($A1556,原始数据_收盘!$A$4:$G$3460,6,0),"")</f>
        <v/>
      </c>
      <c r="G1556" t="str">
        <f>IFERROR(VLOOKUP($A1556,原始数据_收盘!$A$4:$G$3460,7,0),"")</f>
        <v/>
      </c>
      <c r="H1556" t="str">
        <f>IFERROR(VLOOKUP($A1556,原始数据_利率互换_FR007_1年!$A$6:$C$4395,2,0),"")</f>
        <v/>
      </c>
      <c r="I1556" t="str">
        <f>IFERROR(VLOOKUP($A1556,原始数据_利率互换_FR007_1年!$A$6:$C$4395,3,0),"")</f>
        <v/>
      </c>
    </row>
    <row r="1557" spans="1:9">
      <c r="A1557" s="6">
        <v>41050</v>
      </c>
      <c r="B1557">
        <f>IFERROR(VLOOKUP($A1557,原始数据_收盘!$A$4:$G$3460,2,0),"")</f>
        <v>2.7355</v>
      </c>
      <c r="C1557">
        <f>IFERROR(VLOOKUP($A1557,原始数据_收盘!$A$4:$G$3460,3,0),"")</f>
        <v>2.9953</v>
      </c>
      <c r="D1557">
        <f>IFERROR(VLOOKUP($A1557,原始数据_收盘!$A$4:$G$3460,4,0),"")</f>
        <v>2.7951</v>
      </c>
      <c r="E1557">
        <f>IFERROR(VLOOKUP($A1557,原始数据_收盘!$A$4:$G$3460,5,0),"")</f>
        <v>3.0625</v>
      </c>
      <c r="F1557">
        <f>IFERROR(VLOOKUP($A1557,原始数据_收盘!$A$4:$G$3460,6,0),"")</f>
        <v>2.7653</v>
      </c>
      <c r="G1557">
        <f>IFERROR(VLOOKUP($A1557,原始数据_收盘!$A$4:$G$3460,7,0),"")</f>
        <v>3.0289</v>
      </c>
      <c r="H1557">
        <f>IFERROR(VLOOKUP($A1557,原始数据_利率互换_FR007_1年!$A$6:$C$4395,2,0),"")</f>
        <v>2.7518</v>
      </c>
      <c r="I1557">
        <f>IFERROR(VLOOKUP($A1557,原始数据_利率互换_FR007_1年!$A$6:$C$4395,3,0),"")</f>
        <v>3.0289</v>
      </c>
    </row>
    <row r="1558" spans="1:9">
      <c r="A1558" s="6">
        <v>41051</v>
      </c>
      <c r="B1558">
        <f>IFERROR(VLOOKUP($A1558,原始数据_收盘!$A$4:$G$3460,2,0),"")</f>
        <v>2.7992</v>
      </c>
      <c r="C1558">
        <f>IFERROR(VLOOKUP($A1558,原始数据_收盘!$A$4:$G$3460,3,0),"")</f>
        <v>3.0362</v>
      </c>
      <c r="D1558">
        <f>IFERROR(VLOOKUP($A1558,原始数据_收盘!$A$4:$G$3460,4,0),"")</f>
        <v>2.8537</v>
      </c>
      <c r="E1558">
        <f>IFERROR(VLOOKUP($A1558,原始数据_收盘!$A$4:$G$3460,5,0),"")</f>
        <v>3.0986</v>
      </c>
      <c r="F1558">
        <f>IFERROR(VLOOKUP($A1558,原始数据_收盘!$A$4:$G$3460,6,0),"")</f>
        <v>2.8264</v>
      </c>
      <c r="G1558">
        <f>IFERROR(VLOOKUP($A1558,原始数据_收盘!$A$4:$G$3460,7,0),"")</f>
        <v>3.0674</v>
      </c>
      <c r="H1558">
        <f>IFERROR(VLOOKUP($A1558,原始数据_利率互换_FR007_1年!$A$6:$C$4395,2,0),"")</f>
        <v>2.8153</v>
      </c>
      <c r="I1558">
        <f>IFERROR(VLOOKUP($A1558,原始数据_利率互换_FR007_1年!$A$6:$C$4395,3,0),"")</f>
        <v>3.0779</v>
      </c>
    </row>
    <row r="1559" spans="1:9">
      <c r="A1559" s="6">
        <v>41052</v>
      </c>
      <c r="B1559">
        <f>IFERROR(VLOOKUP($A1559,原始数据_收盘!$A$4:$G$3460,2,0),"")</f>
        <v>2.6911</v>
      </c>
      <c r="C1559">
        <f>IFERROR(VLOOKUP($A1559,原始数据_收盘!$A$4:$G$3460,3,0),"")</f>
        <v>2.9707</v>
      </c>
      <c r="D1559">
        <f>IFERROR(VLOOKUP($A1559,原始数据_收盘!$A$4:$G$3460,4,0),"")</f>
        <v>2.7482</v>
      </c>
      <c r="E1559">
        <f>IFERROR(VLOOKUP($A1559,原始数据_收盘!$A$4:$G$3460,5,0),"")</f>
        <v>3.0396</v>
      </c>
      <c r="F1559">
        <f>IFERROR(VLOOKUP($A1559,原始数据_收盘!$A$4:$G$3460,6,0),"")</f>
        <v>2.7196</v>
      </c>
      <c r="G1559">
        <f>IFERROR(VLOOKUP($A1559,原始数据_收盘!$A$4:$G$3460,7,0),"")</f>
        <v>3.0052</v>
      </c>
      <c r="H1559">
        <f>IFERROR(VLOOKUP($A1559,原始数据_利率互换_FR007_1年!$A$6:$C$4395,2,0),"")</f>
        <v>2.756</v>
      </c>
      <c r="I1559">
        <f>IFERROR(VLOOKUP($A1559,原始数据_利率互换_FR007_1年!$A$6:$C$4395,3,0),"")</f>
        <v>3.0236</v>
      </c>
    </row>
    <row r="1560" spans="1:9">
      <c r="A1560" s="6">
        <v>41053</v>
      </c>
      <c r="B1560">
        <f>IFERROR(VLOOKUP($A1560,原始数据_收盘!$A$4:$G$3460,2,0),"")</f>
        <v>2.4582</v>
      </c>
      <c r="C1560">
        <f>IFERROR(VLOOKUP($A1560,原始数据_收盘!$A$4:$G$3460,3,0),"")</f>
        <v>2.7518</v>
      </c>
      <c r="D1560">
        <f>IFERROR(VLOOKUP($A1560,原始数据_收盘!$A$4:$G$3460,4,0),"")</f>
        <v>2.5213</v>
      </c>
      <c r="E1560">
        <f>IFERROR(VLOOKUP($A1560,原始数据_收盘!$A$4:$G$3460,5,0),"")</f>
        <v>2.8286</v>
      </c>
      <c r="F1560">
        <f>IFERROR(VLOOKUP($A1560,原始数据_收盘!$A$4:$G$3460,6,0),"")</f>
        <v>2.4897</v>
      </c>
      <c r="G1560">
        <f>IFERROR(VLOOKUP($A1560,原始数据_收盘!$A$4:$G$3460,7,0),"")</f>
        <v>2.7902</v>
      </c>
      <c r="H1560">
        <f>IFERROR(VLOOKUP($A1560,原始数据_利率互换_FR007_1年!$A$6:$C$4395,2,0),"")</f>
        <v>2.5709</v>
      </c>
      <c r="I1560">
        <f>IFERROR(VLOOKUP($A1560,原始数据_利率互换_FR007_1年!$A$6:$C$4395,3,0),"")</f>
        <v>2.8888</v>
      </c>
    </row>
    <row r="1561" spans="1:9">
      <c r="A1561" s="6">
        <v>41054</v>
      </c>
      <c r="B1561">
        <f>IFERROR(VLOOKUP($A1561,原始数据_收盘!$A$4:$G$3460,2,0),"")</f>
        <v>2.4734</v>
      </c>
      <c r="C1561">
        <f>IFERROR(VLOOKUP($A1561,原始数据_收盘!$A$4:$G$3460,3,0),"")</f>
        <v>2.7736</v>
      </c>
      <c r="D1561">
        <f>IFERROR(VLOOKUP($A1561,原始数据_收盘!$A$4:$G$3460,4,0),"")</f>
        <v>2.5321</v>
      </c>
      <c r="E1561">
        <f>IFERROR(VLOOKUP($A1561,原始数据_收盘!$A$4:$G$3460,5,0),"")</f>
        <v>2.8434</v>
      </c>
      <c r="F1561">
        <f>IFERROR(VLOOKUP($A1561,原始数据_收盘!$A$4:$G$3460,6,0),"")</f>
        <v>2.5028</v>
      </c>
      <c r="G1561">
        <f>IFERROR(VLOOKUP($A1561,原始数据_收盘!$A$4:$G$3460,7,0),"")</f>
        <v>2.8085</v>
      </c>
      <c r="H1561">
        <f>IFERROR(VLOOKUP($A1561,原始数据_利率互换_FR007_1年!$A$6:$C$4395,2,0),"")</f>
        <v>2.5268</v>
      </c>
      <c r="I1561">
        <f>IFERROR(VLOOKUP($A1561,原始数据_利率互换_FR007_1年!$A$6:$C$4395,3,0),"")</f>
        <v>2.818</v>
      </c>
    </row>
    <row r="1562" spans="1:9">
      <c r="A1562" s="6">
        <v>41055</v>
      </c>
      <c r="B1562" t="str">
        <f>IFERROR(VLOOKUP($A1562,原始数据_收盘!$A$4:$G$3460,2,0),"")</f>
        <v/>
      </c>
      <c r="C1562" t="str">
        <f>IFERROR(VLOOKUP($A1562,原始数据_收盘!$A$4:$G$3460,3,0),"")</f>
        <v/>
      </c>
      <c r="D1562" t="str">
        <f>IFERROR(VLOOKUP($A1562,原始数据_收盘!$A$4:$G$3460,4,0),"")</f>
        <v/>
      </c>
      <c r="E1562" t="str">
        <f>IFERROR(VLOOKUP($A1562,原始数据_收盘!$A$4:$G$3460,5,0),"")</f>
        <v/>
      </c>
      <c r="F1562" t="str">
        <f>IFERROR(VLOOKUP($A1562,原始数据_收盘!$A$4:$G$3460,6,0),"")</f>
        <v/>
      </c>
      <c r="G1562" t="str">
        <f>IFERROR(VLOOKUP($A1562,原始数据_收盘!$A$4:$G$3460,7,0),"")</f>
        <v/>
      </c>
      <c r="H1562" t="str">
        <f>IFERROR(VLOOKUP($A1562,原始数据_利率互换_FR007_1年!$A$6:$C$4395,2,0),"")</f>
        <v/>
      </c>
      <c r="I1562" t="str">
        <f>IFERROR(VLOOKUP($A1562,原始数据_利率互换_FR007_1年!$A$6:$C$4395,3,0),"")</f>
        <v/>
      </c>
    </row>
    <row r="1563" spans="1:9">
      <c r="A1563" s="6">
        <v>41056</v>
      </c>
      <c r="B1563" t="str">
        <f>IFERROR(VLOOKUP($A1563,原始数据_收盘!$A$4:$G$3460,2,0),"")</f>
        <v/>
      </c>
      <c r="C1563" t="str">
        <f>IFERROR(VLOOKUP($A1563,原始数据_收盘!$A$4:$G$3460,3,0),"")</f>
        <v/>
      </c>
      <c r="D1563" t="str">
        <f>IFERROR(VLOOKUP($A1563,原始数据_收盘!$A$4:$G$3460,4,0),"")</f>
        <v/>
      </c>
      <c r="E1563" t="str">
        <f>IFERROR(VLOOKUP($A1563,原始数据_收盘!$A$4:$G$3460,5,0),"")</f>
        <v/>
      </c>
      <c r="F1563" t="str">
        <f>IFERROR(VLOOKUP($A1563,原始数据_收盘!$A$4:$G$3460,6,0),"")</f>
        <v/>
      </c>
      <c r="G1563" t="str">
        <f>IFERROR(VLOOKUP($A1563,原始数据_收盘!$A$4:$G$3460,7,0),"")</f>
        <v/>
      </c>
      <c r="H1563" t="str">
        <f>IFERROR(VLOOKUP($A1563,原始数据_利率互换_FR007_1年!$A$6:$C$4395,2,0),"")</f>
        <v/>
      </c>
      <c r="I1563" t="str">
        <f>IFERROR(VLOOKUP($A1563,原始数据_利率互换_FR007_1年!$A$6:$C$4395,3,0),"")</f>
        <v/>
      </c>
    </row>
    <row r="1564" spans="1:9">
      <c r="A1564" s="6">
        <v>41057</v>
      </c>
      <c r="B1564">
        <f>IFERROR(VLOOKUP($A1564,原始数据_收盘!$A$4:$G$3460,2,0),"")</f>
        <v>2.5386</v>
      </c>
      <c r="C1564">
        <f>IFERROR(VLOOKUP($A1564,原始数据_收盘!$A$4:$G$3460,3,0),"")</f>
        <v>2.8527</v>
      </c>
      <c r="D1564">
        <f>IFERROR(VLOOKUP($A1564,原始数据_收盘!$A$4:$G$3460,4,0),"")</f>
        <v>2.6005</v>
      </c>
      <c r="E1564">
        <f>IFERROR(VLOOKUP($A1564,原始数据_收盘!$A$4:$G$3460,5,0),"")</f>
        <v>2.9141</v>
      </c>
      <c r="F1564">
        <f>IFERROR(VLOOKUP($A1564,原始数据_收盘!$A$4:$G$3460,6,0),"")</f>
        <v>2.5695</v>
      </c>
      <c r="G1564">
        <f>IFERROR(VLOOKUP($A1564,原始数据_收盘!$A$4:$G$3460,7,0),"")</f>
        <v>2.8834</v>
      </c>
      <c r="H1564">
        <f>IFERROR(VLOOKUP($A1564,原始数据_利率互换_FR007_1年!$A$6:$C$4395,2,0),"")</f>
        <v>2.5579</v>
      </c>
      <c r="I1564">
        <f>IFERROR(VLOOKUP($A1564,原始数据_利率互换_FR007_1年!$A$6:$C$4395,3,0),"")</f>
        <v>2.8817</v>
      </c>
    </row>
    <row r="1565" spans="1:9">
      <c r="A1565" s="6">
        <v>41058</v>
      </c>
      <c r="B1565">
        <f>IFERROR(VLOOKUP($A1565,原始数据_收盘!$A$4:$G$3460,2,0),"")</f>
        <v>2.5838</v>
      </c>
      <c r="C1565">
        <f>IFERROR(VLOOKUP($A1565,原始数据_收盘!$A$4:$G$3460,3,0),"")</f>
        <v>2.8696</v>
      </c>
      <c r="D1565">
        <f>IFERROR(VLOOKUP($A1565,原始数据_收盘!$A$4:$G$3460,4,0),"")</f>
        <v>2.6363</v>
      </c>
      <c r="E1565">
        <f>IFERROR(VLOOKUP($A1565,原始数据_收盘!$A$4:$G$3460,5,0),"")</f>
        <v>2.935</v>
      </c>
      <c r="F1565">
        <f>IFERROR(VLOOKUP($A1565,原始数据_收盘!$A$4:$G$3460,6,0),"")</f>
        <v>2.61</v>
      </c>
      <c r="G1565">
        <f>IFERROR(VLOOKUP($A1565,原始数据_收盘!$A$4:$G$3460,7,0),"")</f>
        <v>2.9023</v>
      </c>
      <c r="H1565">
        <f>IFERROR(VLOOKUP($A1565,原始数据_利率互换_FR007_1年!$A$6:$C$4395,2,0),"")</f>
        <v>2.6212</v>
      </c>
      <c r="I1565">
        <f>IFERROR(VLOOKUP($A1565,原始数据_利率互换_FR007_1年!$A$6:$C$4395,3,0),"")</f>
        <v>2.9257</v>
      </c>
    </row>
    <row r="1566" spans="1:9">
      <c r="A1566" s="6">
        <v>41059</v>
      </c>
      <c r="B1566">
        <f>IFERROR(VLOOKUP($A1566,原始数据_收盘!$A$4:$G$3460,2,0),"")</f>
        <v>2.5267</v>
      </c>
      <c r="C1566">
        <f>IFERROR(VLOOKUP($A1566,原始数据_收盘!$A$4:$G$3460,3,0),"")</f>
        <v>2.833</v>
      </c>
      <c r="D1566">
        <f>IFERROR(VLOOKUP($A1566,原始数据_收盘!$A$4:$G$3460,4,0),"")</f>
        <v>2.5881</v>
      </c>
      <c r="E1566">
        <f>IFERROR(VLOOKUP($A1566,原始数据_收盘!$A$4:$G$3460,5,0),"")</f>
        <v>2.9016</v>
      </c>
      <c r="F1566">
        <f>IFERROR(VLOOKUP($A1566,原始数据_收盘!$A$4:$G$3460,6,0),"")</f>
        <v>2.5574</v>
      </c>
      <c r="G1566">
        <f>IFERROR(VLOOKUP($A1566,原始数据_收盘!$A$4:$G$3460,7,0),"")</f>
        <v>2.8673</v>
      </c>
      <c r="H1566">
        <f>IFERROR(VLOOKUP($A1566,原始数据_利率互换_FR007_1年!$A$6:$C$4395,2,0),"")</f>
        <v>2.6338</v>
      </c>
      <c r="I1566">
        <f>IFERROR(VLOOKUP($A1566,原始数据_利率互换_FR007_1年!$A$6:$C$4395,3,0),"")</f>
        <v>2.8659</v>
      </c>
    </row>
    <row r="1567" spans="1:9">
      <c r="A1567" s="6">
        <v>41060</v>
      </c>
      <c r="B1567">
        <f>IFERROR(VLOOKUP($A1567,原始数据_收盘!$A$4:$G$3460,2,0),"")</f>
        <v>2.4289</v>
      </c>
      <c r="C1567">
        <f>IFERROR(VLOOKUP($A1567,原始数据_收盘!$A$4:$G$3460,3,0),"")</f>
        <v>2.7371</v>
      </c>
      <c r="D1567">
        <f>IFERROR(VLOOKUP($A1567,原始数据_收盘!$A$4:$G$3460,4,0),"")</f>
        <v>2.4846</v>
      </c>
      <c r="E1567">
        <f>IFERROR(VLOOKUP($A1567,原始数据_收盘!$A$4:$G$3460,5,0),"")</f>
        <v>2.7988</v>
      </c>
      <c r="F1567">
        <f>IFERROR(VLOOKUP($A1567,原始数据_收盘!$A$4:$G$3460,6,0),"")</f>
        <v>2.4567</v>
      </c>
      <c r="G1567">
        <f>IFERROR(VLOOKUP($A1567,原始数据_收盘!$A$4:$G$3460,7,0),"")</f>
        <v>2.7679</v>
      </c>
      <c r="H1567">
        <f>IFERROR(VLOOKUP($A1567,原始数据_利率互换_FR007_1年!$A$6:$C$4395,2,0),"")</f>
        <v>2.4622</v>
      </c>
      <c r="I1567">
        <f>IFERROR(VLOOKUP($A1567,原始数据_利率互换_FR007_1年!$A$6:$C$4395,3,0),"")</f>
        <v>2.7808</v>
      </c>
    </row>
    <row r="1568" spans="1:9">
      <c r="A1568" s="6">
        <v>41061</v>
      </c>
      <c r="B1568">
        <f>IFERROR(VLOOKUP($A1568,原始数据_收盘!$A$4:$G$3460,2,0),"")</f>
        <v>2.3969</v>
      </c>
      <c r="C1568">
        <f>IFERROR(VLOOKUP($A1568,原始数据_收盘!$A$4:$G$3460,3,0),"")</f>
        <v>2.7158</v>
      </c>
      <c r="D1568">
        <f>IFERROR(VLOOKUP($A1568,原始数据_收盘!$A$4:$G$3460,4,0),"")</f>
        <v>2.4558</v>
      </c>
      <c r="E1568">
        <f>IFERROR(VLOOKUP($A1568,原始数据_收盘!$A$4:$G$3460,5,0),"")</f>
        <v>2.7796</v>
      </c>
      <c r="F1568">
        <f>IFERROR(VLOOKUP($A1568,原始数据_收盘!$A$4:$G$3460,6,0),"")</f>
        <v>2.4263</v>
      </c>
      <c r="G1568">
        <f>IFERROR(VLOOKUP($A1568,原始数据_收盘!$A$4:$G$3460,7,0),"")</f>
        <v>2.7477</v>
      </c>
      <c r="H1568">
        <f>IFERROR(VLOOKUP($A1568,原始数据_利率互换_FR007_1年!$A$6:$C$4395,2,0),"")</f>
        <v>2.4118</v>
      </c>
      <c r="I1568">
        <f>IFERROR(VLOOKUP($A1568,原始数据_利率互换_FR007_1年!$A$6:$C$4395,3,0),"")</f>
        <v>2.7261</v>
      </c>
    </row>
    <row r="1569" spans="1:9">
      <c r="A1569" s="6">
        <v>41062</v>
      </c>
      <c r="B1569" t="str">
        <f>IFERROR(VLOOKUP($A1569,原始数据_收盘!$A$4:$G$3460,2,0),"")</f>
        <v/>
      </c>
      <c r="C1569" t="str">
        <f>IFERROR(VLOOKUP($A1569,原始数据_收盘!$A$4:$G$3460,3,0),"")</f>
        <v/>
      </c>
      <c r="D1569" t="str">
        <f>IFERROR(VLOOKUP($A1569,原始数据_收盘!$A$4:$G$3460,4,0),"")</f>
        <v/>
      </c>
      <c r="E1569" t="str">
        <f>IFERROR(VLOOKUP($A1569,原始数据_收盘!$A$4:$G$3460,5,0),"")</f>
        <v/>
      </c>
      <c r="F1569" t="str">
        <f>IFERROR(VLOOKUP($A1569,原始数据_收盘!$A$4:$G$3460,6,0),"")</f>
        <v/>
      </c>
      <c r="G1569" t="str">
        <f>IFERROR(VLOOKUP($A1569,原始数据_收盘!$A$4:$G$3460,7,0),"")</f>
        <v/>
      </c>
      <c r="H1569" t="str">
        <f>IFERROR(VLOOKUP($A1569,原始数据_利率互换_FR007_1年!$A$6:$C$4395,2,0),"")</f>
        <v/>
      </c>
      <c r="I1569" t="str">
        <f>IFERROR(VLOOKUP($A1569,原始数据_利率互换_FR007_1年!$A$6:$C$4395,3,0),"")</f>
        <v/>
      </c>
    </row>
    <row r="1570" spans="1:9">
      <c r="A1570" s="6">
        <v>41063</v>
      </c>
      <c r="B1570" t="str">
        <f>IFERROR(VLOOKUP($A1570,原始数据_收盘!$A$4:$G$3460,2,0),"")</f>
        <v/>
      </c>
      <c r="C1570" t="str">
        <f>IFERROR(VLOOKUP($A1570,原始数据_收盘!$A$4:$G$3460,3,0),"")</f>
        <v/>
      </c>
      <c r="D1570" t="str">
        <f>IFERROR(VLOOKUP($A1570,原始数据_收盘!$A$4:$G$3460,4,0),"")</f>
        <v/>
      </c>
      <c r="E1570" t="str">
        <f>IFERROR(VLOOKUP($A1570,原始数据_收盘!$A$4:$G$3460,5,0),"")</f>
        <v/>
      </c>
      <c r="F1570" t="str">
        <f>IFERROR(VLOOKUP($A1570,原始数据_收盘!$A$4:$G$3460,6,0),"")</f>
        <v/>
      </c>
      <c r="G1570" t="str">
        <f>IFERROR(VLOOKUP($A1570,原始数据_收盘!$A$4:$G$3460,7,0),"")</f>
        <v/>
      </c>
      <c r="H1570" t="str">
        <f>IFERROR(VLOOKUP($A1570,原始数据_利率互换_FR007_1年!$A$6:$C$4395,2,0),"")</f>
        <v/>
      </c>
      <c r="I1570" t="str">
        <f>IFERROR(VLOOKUP($A1570,原始数据_利率互换_FR007_1年!$A$6:$C$4395,3,0),"")</f>
        <v/>
      </c>
    </row>
    <row r="1571" spans="1:9">
      <c r="A1571" s="6">
        <v>41064</v>
      </c>
      <c r="B1571">
        <f>IFERROR(VLOOKUP($A1571,原始数据_收盘!$A$4:$G$3460,2,0),"")</f>
        <v>2.3846</v>
      </c>
      <c r="C1571">
        <f>IFERROR(VLOOKUP($A1571,原始数据_收盘!$A$4:$G$3460,3,0),"")</f>
        <v>2.6873</v>
      </c>
      <c r="D1571">
        <f>IFERROR(VLOOKUP($A1571,原始数据_收盘!$A$4:$G$3460,4,0),"")</f>
        <v>2.4435</v>
      </c>
      <c r="E1571">
        <f>IFERROR(VLOOKUP($A1571,原始数据_收盘!$A$4:$G$3460,5,0),"")</f>
        <v>2.7496</v>
      </c>
      <c r="F1571">
        <f>IFERROR(VLOOKUP($A1571,原始数据_收盘!$A$4:$G$3460,6,0),"")</f>
        <v>2.414</v>
      </c>
      <c r="G1571">
        <f>IFERROR(VLOOKUP($A1571,原始数据_收盘!$A$4:$G$3460,7,0),"")</f>
        <v>2.7185</v>
      </c>
      <c r="H1571">
        <f>IFERROR(VLOOKUP($A1571,原始数据_利率互换_FR007_1年!$A$6:$C$4395,2,0),"")</f>
        <v>2.3858</v>
      </c>
      <c r="I1571">
        <f>IFERROR(VLOOKUP($A1571,原始数据_利率互换_FR007_1年!$A$6:$C$4395,3,0),"")</f>
        <v>2.6851</v>
      </c>
    </row>
    <row r="1572" spans="1:9">
      <c r="A1572" s="6">
        <v>41065</v>
      </c>
      <c r="B1572">
        <f>IFERROR(VLOOKUP($A1572,原始数据_收盘!$A$4:$G$3460,2,0),"")</f>
        <v>2.4425</v>
      </c>
      <c r="C1572">
        <f>IFERROR(VLOOKUP($A1572,原始数据_收盘!$A$4:$G$3460,3,0),"")</f>
        <v>2.7462</v>
      </c>
      <c r="D1572">
        <f>IFERROR(VLOOKUP($A1572,原始数据_收盘!$A$4:$G$3460,4,0),"")</f>
        <v>2.4963</v>
      </c>
      <c r="E1572">
        <f>IFERROR(VLOOKUP($A1572,原始数据_收盘!$A$4:$G$3460,5,0),"")</f>
        <v>2.8117</v>
      </c>
      <c r="F1572">
        <f>IFERROR(VLOOKUP($A1572,原始数据_收盘!$A$4:$G$3460,6,0),"")</f>
        <v>2.4694</v>
      </c>
      <c r="G1572">
        <f>IFERROR(VLOOKUP($A1572,原始数据_收盘!$A$4:$G$3460,7,0),"")</f>
        <v>2.7789</v>
      </c>
      <c r="H1572">
        <f>IFERROR(VLOOKUP($A1572,原始数据_利率互换_FR007_1年!$A$6:$C$4395,2,0),"")</f>
        <v>2.468</v>
      </c>
      <c r="I1572">
        <f>IFERROR(VLOOKUP($A1572,原始数据_利率互换_FR007_1年!$A$6:$C$4395,3,0),"")</f>
        <v>2.7861</v>
      </c>
    </row>
    <row r="1573" spans="1:9">
      <c r="A1573" s="6">
        <v>41066</v>
      </c>
      <c r="B1573">
        <f>IFERROR(VLOOKUP($A1573,原始数据_收盘!$A$4:$G$3460,2,0),"")</f>
        <v>2.5013</v>
      </c>
      <c r="C1573">
        <f>IFERROR(VLOOKUP($A1573,原始数据_收盘!$A$4:$G$3460,3,0),"")</f>
        <v>2.7943</v>
      </c>
      <c r="D1573">
        <f>IFERROR(VLOOKUP($A1573,原始数据_收盘!$A$4:$G$3460,4,0),"")</f>
        <v>2.557</v>
      </c>
      <c r="E1573">
        <f>IFERROR(VLOOKUP($A1573,原始数据_收盘!$A$4:$G$3460,5,0),"")</f>
        <v>2.8561</v>
      </c>
      <c r="F1573">
        <f>IFERROR(VLOOKUP($A1573,原始数据_收盘!$A$4:$G$3460,6,0),"")</f>
        <v>2.5292</v>
      </c>
      <c r="G1573">
        <f>IFERROR(VLOOKUP($A1573,原始数据_收盘!$A$4:$G$3460,7,0),"")</f>
        <v>2.8252</v>
      </c>
      <c r="H1573">
        <f>IFERROR(VLOOKUP($A1573,原始数据_利率互换_FR007_1年!$A$6:$C$4395,2,0),"")</f>
        <v>2.533</v>
      </c>
      <c r="I1573">
        <f>IFERROR(VLOOKUP($A1573,原始数据_利率互换_FR007_1年!$A$6:$C$4395,3,0),"")</f>
        <v>2.8343</v>
      </c>
    </row>
    <row r="1574" spans="1:9">
      <c r="A1574" s="6">
        <v>41067</v>
      </c>
      <c r="B1574">
        <f>IFERROR(VLOOKUP($A1574,原始数据_收盘!$A$4:$G$3460,2,0),"")</f>
        <v>2.4961</v>
      </c>
      <c r="C1574">
        <f>IFERROR(VLOOKUP($A1574,原始数据_收盘!$A$4:$G$3460,3,0),"")</f>
        <v>2.8042</v>
      </c>
      <c r="D1574">
        <f>IFERROR(VLOOKUP($A1574,原始数据_收盘!$A$4:$G$3460,4,0),"")</f>
        <v>2.555</v>
      </c>
      <c r="E1574">
        <f>IFERROR(VLOOKUP($A1574,原始数据_收盘!$A$4:$G$3460,5,0),"")</f>
        <v>2.8685</v>
      </c>
      <c r="F1574">
        <f>IFERROR(VLOOKUP($A1574,原始数据_收盘!$A$4:$G$3460,6,0),"")</f>
        <v>2.5255</v>
      </c>
      <c r="G1574">
        <f>IFERROR(VLOOKUP($A1574,原始数据_收盘!$A$4:$G$3460,7,0),"")</f>
        <v>2.8363</v>
      </c>
      <c r="H1574">
        <f>IFERROR(VLOOKUP($A1574,原始数据_利率互换_FR007_1年!$A$6:$C$4395,2,0),"")</f>
        <v>2.5579</v>
      </c>
      <c r="I1574">
        <f>IFERROR(VLOOKUP($A1574,原始数据_利率互换_FR007_1年!$A$6:$C$4395,3,0),"")</f>
        <v>2.8712</v>
      </c>
    </row>
    <row r="1575" spans="1:9">
      <c r="A1575" s="6">
        <v>41068</v>
      </c>
      <c r="B1575">
        <f>IFERROR(VLOOKUP($A1575,原始数据_收盘!$A$4:$G$3460,2,0),"")</f>
        <v>2.3667</v>
      </c>
      <c r="C1575">
        <f>IFERROR(VLOOKUP($A1575,原始数据_收盘!$A$4:$G$3460,3,0),"")</f>
        <v>2.6642</v>
      </c>
      <c r="D1575">
        <f>IFERROR(VLOOKUP($A1575,原始数据_收盘!$A$4:$G$3460,4,0),"")</f>
        <v>2.4242</v>
      </c>
      <c r="E1575">
        <f>IFERROR(VLOOKUP($A1575,原始数据_收盘!$A$4:$G$3460,5,0),"")</f>
        <v>2.7265</v>
      </c>
      <c r="F1575">
        <f>IFERROR(VLOOKUP($A1575,原始数据_收盘!$A$4:$G$3460,6,0),"")</f>
        <v>2.3954</v>
      </c>
      <c r="G1575">
        <f>IFERROR(VLOOKUP($A1575,原始数据_收盘!$A$4:$G$3460,7,0),"")</f>
        <v>2.6953</v>
      </c>
      <c r="H1575">
        <f>IFERROR(VLOOKUP($A1575,原始数据_利率互换_FR007_1年!$A$6:$C$4395,2,0),"")</f>
        <v>2.384</v>
      </c>
      <c r="I1575">
        <f>IFERROR(VLOOKUP($A1575,原始数据_利率互换_FR007_1年!$A$6:$C$4395,3,0),"")</f>
        <v>2.6661</v>
      </c>
    </row>
    <row r="1576" spans="1:9">
      <c r="A1576" s="6">
        <v>41069</v>
      </c>
      <c r="B1576" t="str">
        <f>IFERROR(VLOOKUP($A1576,原始数据_收盘!$A$4:$G$3460,2,0),"")</f>
        <v/>
      </c>
      <c r="C1576" t="str">
        <f>IFERROR(VLOOKUP($A1576,原始数据_收盘!$A$4:$G$3460,3,0),"")</f>
        <v/>
      </c>
      <c r="D1576" t="str">
        <f>IFERROR(VLOOKUP($A1576,原始数据_收盘!$A$4:$G$3460,4,0),"")</f>
        <v/>
      </c>
      <c r="E1576" t="str">
        <f>IFERROR(VLOOKUP($A1576,原始数据_收盘!$A$4:$G$3460,5,0),"")</f>
        <v/>
      </c>
      <c r="F1576" t="str">
        <f>IFERROR(VLOOKUP($A1576,原始数据_收盘!$A$4:$G$3460,6,0),"")</f>
        <v/>
      </c>
      <c r="G1576" t="str">
        <f>IFERROR(VLOOKUP($A1576,原始数据_收盘!$A$4:$G$3460,7,0),"")</f>
        <v/>
      </c>
      <c r="H1576" t="str">
        <f>IFERROR(VLOOKUP($A1576,原始数据_利率互换_FR007_1年!$A$6:$C$4395,2,0),"")</f>
        <v/>
      </c>
      <c r="I1576" t="str">
        <f>IFERROR(VLOOKUP($A1576,原始数据_利率互换_FR007_1年!$A$6:$C$4395,3,0),"")</f>
        <v/>
      </c>
    </row>
    <row r="1577" spans="1:9">
      <c r="A1577" s="6">
        <v>41070</v>
      </c>
      <c r="B1577" t="str">
        <f>IFERROR(VLOOKUP($A1577,原始数据_收盘!$A$4:$G$3460,2,0),"")</f>
        <v/>
      </c>
      <c r="C1577" t="str">
        <f>IFERROR(VLOOKUP($A1577,原始数据_收盘!$A$4:$G$3460,3,0),"")</f>
        <v/>
      </c>
      <c r="D1577" t="str">
        <f>IFERROR(VLOOKUP($A1577,原始数据_收盘!$A$4:$G$3460,4,0),"")</f>
        <v/>
      </c>
      <c r="E1577" t="str">
        <f>IFERROR(VLOOKUP($A1577,原始数据_收盘!$A$4:$G$3460,5,0),"")</f>
        <v/>
      </c>
      <c r="F1577" t="str">
        <f>IFERROR(VLOOKUP($A1577,原始数据_收盘!$A$4:$G$3460,6,0),"")</f>
        <v/>
      </c>
      <c r="G1577" t="str">
        <f>IFERROR(VLOOKUP($A1577,原始数据_收盘!$A$4:$G$3460,7,0),"")</f>
        <v/>
      </c>
      <c r="H1577" t="str">
        <f>IFERROR(VLOOKUP($A1577,原始数据_利率互换_FR007_1年!$A$6:$C$4395,2,0),"")</f>
        <v/>
      </c>
      <c r="I1577" t="str">
        <f>IFERROR(VLOOKUP($A1577,原始数据_利率互换_FR007_1年!$A$6:$C$4395,3,0),"")</f>
        <v/>
      </c>
    </row>
    <row r="1578" spans="1:9">
      <c r="A1578" s="6">
        <v>41071</v>
      </c>
      <c r="B1578">
        <f>IFERROR(VLOOKUP($A1578,原始数据_收盘!$A$4:$G$3460,2,0),"")</f>
        <v>2.4168</v>
      </c>
      <c r="C1578">
        <f>IFERROR(VLOOKUP($A1578,原始数据_收盘!$A$4:$G$3460,3,0),"")</f>
        <v>2.7294</v>
      </c>
      <c r="D1578">
        <f>IFERROR(VLOOKUP($A1578,原始数据_收盘!$A$4:$G$3460,4,0),"")</f>
        <v>2.4733</v>
      </c>
      <c r="E1578">
        <f>IFERROR(VLOOKUP($A1578,原始数据_收盘!$A$4:$G$3460,5,0),"")</f>
        <v>2.7931</v>
      </c>
      <c r="F1578">
        <f>IFERROR(VLOOKUP($A1578,原始数据_收盘!$A$4:$G$3460,6,0),"")</f>
        <v>2.4451</v>
      </c>
      <c r="G1578">
        <f>IFERROR(VLOOKUP($A1578,原始数据_收盘!$A$4:$G$3460,7,0),"")</f>
        <v>2.7613</v>
      </c>
      <c r="H1578">
        <f>IFERROR(VLOOKUP($A1578,原始数据_利率互换_FR007_1年!$A$6:$C$4395,2,0),"")</f>
        <v>2.4293</v>
      </c>
      <c r="I1578">
        <f>IFERROR(VLOOKUP($A1578,原始数据_利率互换_FR007_1年!$A$6:$C$4395,3,0),"")</f>
        <v>2.7475</v>
      </c>
    </row>
    <row r="1579" spans="1:9">
      <c r="A1579" s="6">
        <v>41072</v>
      </c>
      <c r="B1579">
        <f>IFERROR(VLOOKUP($A1579,原始数据_收盘!$A$4:$G$3460,2,0),"")</f>
        <v>2.4753</v>
      </c>
      <c r="C1579">
        <f>IFERROR(VLOOKUP($A1579,原始数据_收盘!$A$4:$G$3460,3,0),"")</f>
        <v>2.7692</v>
      </c>
      <c r="D1579">
        <f>IFERROR(VLOOKUP($A1579,原始数据_收盘!$A$4:$G$3460,4,0),"")</f>
        <v>2.5294</v>
      </c>
      <c r="E1579">
        <f>IFERROR(VLOOKUP($A1579,原始数据_收盘!$A$4:$G$3460,5,0),"")</f>
        <v>2.8328</v>
      </c>
      <c r="F1579">
        <f>IFERROR(VLOOKUP($A1579,原始数据_收盘!$A$4:$G$3460,6,0),"")</f>
        <v>2.5023</v>
      </c>
      <c r="G1579">
        <f>IFERROR(VLOOKUP($A1579,原始数据_收盘!$A$4:$G$3460,7,0),"")</f>
        <v>2.801</v>
      </c>
      <c r="H1579">
        <f>IFERROR(VLOOKUP($A1579,原始数据_利率互换_FR007_1年!$A$6:$C$4395,2,0),"")</f>
        <v>2.4865</v>
      </c>
      <c r="I1579">
        <f>IFERROR(VLOOKUP($A1579,原始数据_利率互换_FR007_1年!$A$6:$C$4395,3,0),"")</f>
        <v>2.7763</v>
      </c>
    </row>
    <row r="1580" spans="1:9">
      <c r="A1580" s="6">
        <v>41073</v>
      </c>
      <c r="B1580">
        <f>IFERROR(VLOOKUP($A1580,原始数据_收盘!$A$4:$G$3460,2,0),"")</f>
        <v>2.5717</v>
      </c>
      <c r="C1580">
        <f>IFERROR(VLOOKUP($A1580,原始数据_收盘!$A$4:$G$3460,3,0),"")</f>
        <v>2.8493</v>
      </c>
      <c r="D1580">
        <f>IFERROR(VLOOKUP($A1580,原始数据_收盘!$A$4:$G$3460,4,0),"")</f>
        <v>2.6253</v>
      </c>
      <c r="E1580">
        <f>IFERROR(VLOOKUP($A1580,原始数据_收盘!$A$4:$G$3460,5,0),"")</f>
        <v>2.9095</v>
      </c>
      <c r="F1580">
        <f>IFERROR(VLOOKUP($A1580,原始数据_收盘!$A$4:$G$3460,6,0),"")</f>
        <v>2.5985</v>
      </c>
      <c r="G1580">
        <f>IFERROR(VLOOKUP($A1580,原始数据_收盘!$A$4:$G$3460,7,0),"")</f>
        <v>2.8794</v>
      </c>
      <c r="H1580">
        <f>IFERROR(VLOOKUP($A1580,原始数据_利率互换_FR007_1年!$A$6:$C$4395,2,0),"")</f>
        <v>2.5743</v>
      </c>
      <c r="I1580">
        <f>IFERROR(VLOOKUP($A1580,原始数据_利率互换_FR007_1年!$A$6:$C$4395,3,0),"")</f>
        <v>2.8833</v>
      </c>
    </row>
    <row r="1581" spans="1:9">
      <c r="A1581" s="6">
        <v>41074</v>
      </c>
      <c r="B1581">
        <f>IFERROR(VLOOKUP($A1581,原始数据_收盘!$A$4:$G$3460,2,0),"")</f>
        <v>2.5416</v>
      </c>
      <c r="C1581">
        <f>IFERROR(VLOOKUP($A1581,原始数据_收盘!$A$4:$G$3460,3,0),"")</f>
        <v>2.817</v>
      </c>
      <c r="D1581">
        <f>IFERROR(VLOOKUP($A1581,原始数据_收盘!$A$4:$G$3460,4,0),"")</f>
        <v>2.5962</v>
      </c>
      <c r="E1581">
        <f>IFERROR(VLOOKUP($A1581,原始数据_收盘!$A$4:$G$3460,5,0),"")</f>
        <v>2.8788</v>
      </c>
      <c r="F1581">
        <f>IFERROR(VLOOKUP($A1581,原始数据_收盘!$A$4:$G$3460,6,0),"")</f>
        <v>2.5689</v>
      </c>
      <c r="G1581">
        <f>IFERROR(VLOOKUP($A1581,原始数据_收盘!$A$4:$G$3460,7,0),"")</f>
        <v>2.8479</v>
      </c>
      <c r="H1581">
        <f>IFERROR(VLOOKUP($A1581,原始数据_利率互换_FR007_1年!$A$6:$C$4395,2,0),"")</f>
        <v>2.5724</v>
      </c>
      <c r="I1581">
        <f>IFERROR(VLOOKUP($A1581,原始数据_利率互换_FR007_1年!$A$6:$C$4395,3,0),"")</f>
        <v>2.8471</v>
      </c>
    </row>
    <row r="1582" spans="1:9">
      <c r="A1582" s="6">
        <v>41075</v>
      </c>
      <c r="B1582">
        <f>IFERROR(VLOOKUP($A1582,原始数据_收盘!$A$4:$G$3460,2,0),"")</f>
        <v>2.5374</v>
      </c>
      <c r="C1582">
        <f>IFERROR(VLOOKUP($A1582,原始数据_收盘!$A$4:$G$3460,3,0),"")</f>
        <v>2.8168</v>
      </c>
      <c r="D1582">
        <f>IFERROR(VLOOKUP($A1582,原始数据_收盘!$A$4:$G$3460,4,0),"")</f>
        <v>2.592</v>
      </c>
      <c r="E1582">
        <f>IFERROR(VLOOKUP($A1582,原始数据_收盘!$A$4:$G$3460,5,0),"")</f>
        <v>2.8789</v>
      </c>
      <c r="F1582">
        <f>IFERROR(VLOOKUP($A1582,原始数据_收盘!$A$4:$G$3460,6,0),"")</f>
        <v>2.5647</v>
      </c>
      <c r="G1582">
        <f>IFERROR(VLOOKUP($A1582,原始数据_收盘!$A$4:$G$3460,7,0),"")</f>
        <v>2.8479</v>
      </c>
      <c r="H1582">
        <f>IFERROR(VLOOKUP($A1582,原始数据_利率互换_FR007_1年!$A$6:$C$4395,2,0),"")</f>
        <v>2.5433</v>
      </c>
      <c r="I1582">
        <f>IFERROR(VLOOKUP($A1582,原始数据_利率互换_FR007_1年!$A$6:$C$4395,3,0),"")</f>
        <v>0</v>
      </c>
    </row>
    <row r="1583" spans="1:9">
      <c r="A1583" s="6">
        <v>41076</v>
      </c>
      <c r="B1583" t="str">
        <f>IFERROR(VLOOKUP($A1583,原始数据_收盘!$A$4:$G$3460,2,0),"")</f>
        <v/>
      </c>
      <c r="C1583" t="str">
        <f>IFERROR(VLOOKUP($A1583,原始数据_收盘!$A$4:$G$3460,3,0),"")</f>
        <v/>
      </c>
      <c r="D1583" t="str">
        <f>IFERROR(VLOOKUP($A1583,原始数据_收盘!$A$4:$G$3460,4,0),"")</f>
        <v/>
      </c>
      <c r="E1583" t="str">
        <f>IFERROR(VLOOKUP($A1583,原始数据_收盘!$A$4:$G$3460,5,0),"")</f>
        <v/>
      </c>
      <c r="F1583" t="str">
        <f>IFERROR(VLOOKUP($A1583,原始数据_收盘!$A$4:$G$3460,6,0),"")</f>
        <v/>
      </c>
      <c r="G1583" t="str">
        <f>IFERROR(VLOOKUP($A1583,原始数据_收盘!$A$4:$G$3460,7,0),"")</f>
        <v/>
      </c>
      <c r="H1583" t="str">
        <f>IFERROR(VLOOKUP($A1583,原始数据_利率互换_FR007_1年!$A$6:$C$4395,2,0),"")</f>
        <v/>
      </c>
      <c r="I1583" t="str">
        <f>IFERROR(VLOOKUP($A1583,原始数据_利率互换_FR007_1年!$A$6:$C$4395,3,0),"")</f>
        <v/>
      </c>
    </row>
    <row r="1584" spans="1:9">
      <c r="A1584" s="6">
        <v>41077</v>
      </c>
      <c r="B1584" t="str">
        <f>IFERROR(VLOOKUP($A1584,原始数据_收盘!$A$4:$G$3460,2,0),"")</f>
        <v/>
      </c>
      <c r="C1584" t="str">
        <f>IFERROR(VLOOKUP($A1584,原始数据_收盘!$A$4:$G$3460,3,0),"")</f>
        <v/>
      </c>
      <c r="D1584" t="str">
        <f>IFERROR(VLOOKUP($A1584,原始数据_收盘!$A$4:$G$3460,4,0),"")</f>
        <v/>
      </c>
      <c r="E1584" t="str">
        <f>IFERROR(VLOOKUP($A1584,原始数据_收盘!$A$4:$G$3460,5,0),"")</f>
        <v/>
      </c>
      <c r="F1584" t="str">
        <f>IFERROR(VLOOKUP($A1584,原始数据_收盘!$A$4:$G$3460,6,0),"")</f>
        <v/>
      </c>
      <c r="G1584" t="str">
        <f>IFERROR(VLOOKUP($A1584,原始数据_收盘!$A$4:$G$3460,7,0),"")</f>
        <v/>
      </c>
      <c r="H1584" t="str">
        <f>IFERROR(VLOOKUP($A1584,原始数据_利率互换_FR007_1年!$A$6:$C$4395,2,0),"")</f>
        <v/>
      </c>
      <c r="I1584" t="str">
        <f>IFERROR(VLOOKUP($A1584,原始数据_利率互换_FR007_1年!$A$6:$C$4395,3,0),"")</f>
        <v/>
      </c>
    </row>
    <row r="1585" spans="1:9">
      <c r="A1585" s="6">
        <v>41078</v>
      </c>
      <c r="B1585">
        <f>IFERROR(VLOOKUP($A1585,原始数据_收盘!$A$4:$G$3460,2,0),"")</f>
        <v>2.5668</v>
      </c>
      <c r="C1585">
        <f>IFERROR(VLOOKUP($A1585,原始数据_收盘!$A$4:$G$3460,3,0),"")</f>
        <v>2.8409</v>
      </c>
      <c r="D1585">
        <f>IFERROR(VLOOKUP($A1585,原始数据_收盘!$A$4:$G$3460,4,0),"")</f>
        <v>2.6247</v>
      </c>
      <c r="E1585">
        <f>IFERROR(VLOOKUP($A1585,原始数据_收盘!$A$4:$G$3460,5,0),"")</f>
        <v>2.8992</v>
      </c>
      <c r="F1585">
        <f>IFERROR(VLOOKUP($A1585,原始数据_收盘!$A$4:$G$3460,6,0),"")</f>
        <v>2.5957</v>
      </c>
      <c r="G1585">
        <f>IFERROR(VLOOKUP($A1585,原始数据_收盘!$A$4:$G$3460,7,0),"")</f>
        <v>2.8701</v>
      </c>
      <c r="H1585">
        <f>IFERROR(VLOOKUP($A1585,原始数据_利率互换_FR007_1年!$A$6:$C$4395,2,0),"")</f>
        <v>2.5948</v>
      </c>
      <c r="I1585">
        <f>IFERROR(VLOOKUP($A1585,原始数据_利率互换_FR007_1年!$A$6:$C$4395,3,0),"")</f>
        <v>2.863</v>
      </c>
    </row>
    <row r="1586" spans="1:9">
      <c r="A1586" s="6">
        <v>41079</v>
      </c>
      <c r="B1586">
        <f>IFERROR(VLOOKUP($A1586,原始数据_收盘!$A$4:$G$3460,2,0),"")</f>
        <v>2.6309</v>
      </c>
      <c r="C1586">
        <f>IFERROR(VLOOKUP($A1586,原始数据_收盘!$A$4:$G$3460,3,0),"")</f>
        <v>2.8614</v>
      </c>
      <c r="D1586">
        <f>IFERROR(VLOOKUP($A1586,原始数据_收盘!$A$4:$G$3460,4,0),"")</f>
        <v>2.6773</v>
      </c>
      <c r="E1586">
        <f>IFERROR(VLOOKUP($A1586,原始数据_收盘!$A$4:$G$3460,5,0),"")</f>
        <v>2.9264</v>
      </c>
      <c r="F1586">
        <f>IFERROR(VLOOKUP($A1586,原始数据_收盘!$A$4:$G$3460,6,0),"")</f>
        <v>2.6541</v>
      </c>
      <c r="G1586">
        <f>IFERROR(VLOOKUP($A1586,原始数据_收盘!$A$4:$G$3460,7,0),"")</f>
        <v>2.8939</v>
      </c>
      <c r="H1586">
        <f>IFERROR(VLOOKUP($A1586,原始数据_利率互换_FR007_1年!$A$6:$C$4395,2,0),"")</f>
        <v>2.6404</v>
      </c>
      <c r="I1586">
        <f>IFERROR(VLOOKUP($A1586,原始数据_利率互换_FR007_1年!$A$6:$C$4395,3,0),"")</f>
        <v>2.8935</v>
      </c>
    </row>
    <row r="1587" spans="1:9">
      <c r="A1587" s="6">
        <v>41080</v>
      </c>
      <c r="B1587">
        <f>IFERROR(VLOOKUP($A1587,原始数据_收盘!$A$4:$G$3460,2,0),"")</f>
        <v>2.6437</v>
      </c>
      <c r="C1587">
        <f>IFERROR(VLOOKUP($A1587,原始数据_收盘!$A$4:$G$3460,3,0),"")</f>
        <v>2.8641</v>
      </c>
      <c r="D1587">
        <f>IFERROR(VLOOKUP($A1587,原始数据_收盘!$A$4:$G$3460,4,0),"")</f>
        <v>2.696</v>
      </c>
      <c r="E1587">
        <f>IFERROR(VLOOKUP($A1587,原始数据_收盘!$A$4:$G$3460,5,0),"")</f>
        <v>2.9229</v>
      </c>
      <c r="F1587">
        <f>IFERROR(VLOOKUP($A1587,原始数据_收盘!$A$4:$G$3460,6,0),"")</f>
        <v>2.6699</v>
      </c>
      <c r="G1587">
        <f>IFERROR(VLOOKUP($A1587,原始数据_收盘!$A$4:$G$3460,7,0),"")</f>
        <v>2.8935</v>
      </c>
      <c r="H1587">
        <f>IFERROR(VLOOKUP($A1587,原始数据_利率互换_FR007_1年!$A$6:$C$4395,2,0),"")</f>
        <v>2.6601</v>
      </c>
      <c r="I1587">
        <f>IFERROR(VLOOKUP($A1587,原始数据_利率互换_FR007_1年!$A$6:$C$4395,3,0),"")</f>
        <v>2.8937</v>
      </c>
    </row>
    <row r="1588" spans="1:9">
      <c r="A1588" s="6">
        <v>41081</v>
      </c>
      <c r="B1588">
        <f>IFERROR(VLOOKUP($A1588,原始数据_收盘!$A$4:$G$3460,2,0),"")</f>
        <v>2.6404</v>
      </c>
      <c r="C1588">
        <f>IFERROR(VLOOKUP($A1588,原始数据_收盘!$A$4:$G$3460,3,0),"")</f>
        <v>2.8377</v>
      </c>
      <c r="D1588">
        <f>IFERROR(VLOOKUP($A1588,原始数据_收盘!$A$4:$G$3460,4,0),"")</f>
        <v>2.6954</v>
      </c>
      <c r="E1588">
        <f>IFERROR(VLOOKUP($A1588,原始数据_收盘!$A$4:$G$3460,5,0),"")</f>
        <v>2.8985</v>
      </c>
      <c r="F1588">
        <f>IFERROR(VLOOKUP($A1588,原始数据_收盘!$A$4:$G$3460,6,0),"")</f>
        <v>2.6679</v>
      </c>
      <c r="G1588">
        <f>IFERROR(VLOOKUP($A1588,原始数据_收盘!$A$4:$G$3460,7,0),"")</f>
        <v>2.8681</v>
      </c>
      <c r="H1588">
        <f>IFERROR(VLOOKUP($A1588,原始数据_利率互换_FR007_1年!$A$6:$C$4395,2,0),"")</f>
        <v>2.6823</v>
      </c>
      <c r="I1588">
        <f>IFERROR(VLOOKUP($A1588,原始数据_利率互换_FR007_1年!$A$6:$C$4395,3,0),"")</f>
        <v>2.8878</v>
      </c>
    </row>
    <row r="1589" spans="1:9">
      <c r="A1589" s="6">
        <v>41082</v>
      </c>
      <c r="B1589" t="str">
        <f>IFERROR(VLOOKUP($A1589,原始数据_收盘!$A$4:$G$3460,2,0),"")</f>
        <v/>
      </c>
      <c r="C1589" t="str">
        <f>IFERROR(VLOOKUP($A1589,原始数据_收盘!$A$4:$G$3460,3,0),"")</f>
        <v/>
      </c>
      <c r="D1589" t="str">
        <f>IFERROR(VLOOKUP($A1589,原始数据_收盘!$A$4:$G$3460,4,0),"")</f>
        <v/>
      </c>
      <c r="E1589" t="str">
        <f>IFERROR(VLOOKUP($A1589,原始数据_收盘!$A$4:$G$3460,5,0),"")</f>
        <v/>
      </c>
      <c r="F1589" t="str">
        <f>IFERROR(VLOOKUP($A1589,原始数据_收盘!$A$4:$G$3460,6,0),"")</f>
        <v/>
      </c>
      <c r="G1589" t="str">
        <f>IFERROR(VLOOKUP($A1589,原始数据_收盘!$A$4:$G$3460,7,0),"")</f>
        <v/>
      </c>
      <c r="H1589" t="str">
        <f>IFERROR(VLOOKUP($A1589,原始数据_利率互换_FR007_1年!$A$6:$C$4395,2,0),"")</f>
        <v/>
      </c>
      <c r="I1589" t="str">
        <f>IFERROR(VLOOKUP($A1589,原始数据_利率互换_FR007_1年!$A$6:$C$4395,3,0),"")</f>
        <v/>
      </c>
    </row>
    <row r="1590" spans="1:9">
      <c r="A1590" s="6">
        <v>41083</v>
      </c>
      <c r="B1590" t="str">
        <f>IFERROR(VLOOKUP($A1590,原始数据_收盘!$A$4:$G$3460,2,0),"")</f>
        <v/>
      </c>
      <c r="C1590" t="str">
        <f>IFERROR(VLOOKUP($A1590,原始数据_收盘!$A$4:$G$3460,3,0),"")</f>
        <v/>
      </c>
      <c r="D1590" t="str">
        <f>IFERROR(VLOOKUP($A1590,原始数据_收盘!$A$4:$G$3460,4,0),"")</f>
        <v/>
      </c>
      <c r="E1590" t="str">
        <f>IFERROR(VLOOKUP($A1590,原始数据_收盘!$A$4:$G$3460,5,0),"")</f>
        <v/>
      </c>
      <c r="F1590" t="str">
        <f>IFERROR(VLOOKUP($A1590,原始数据_收盘!$A$4:$G$3460,6,0),"")</f>
        <v/>
      </c>
      <c r="G1590" t="str">
        <f>IFERROR(VLOOKUP($A1590,原始数据_收盘!$A$4:$G$3460,7,0),"")</f>
        <v/>
      </c>
      <c r="H1590" t="str">
        <f>IFERROR(VLOOKUP($A1590,原始数据_利率互换_FR007_1年!$A$6:$C$4395,2,0),"")</f>
        <v/>
      </c>
      <c r="I1590" t="str">
        <f>IFERROR(VLOOKUP($A1590,原始数据_利率互换_FR007_1年!$A$6:$C$4395,3,0),"")</f>
        <v/>
      </c>
    </row>
    <row r="1591" spans="1:9">
      <c r="A1591" s="6">
        <v>41084</v>
      </c>
      <c r="B1591" t="str">
        <f>IFERROR(VLOOKUP($A1591,原始数据_收盘!$A$4:$G$3460,2,0),"")</f>
        <v/>
      </c>
      <c r="C1591" t="str">
        <f>IFERROR(VLOOKUP($A1591,原始数据_收盘!$A$4:$G$3460,3,0),"")</f>
        <v/>
      </c>
      <c r="D1591" t="str">
        <f>IFERROR(VLOOKUP($A1591,原始数据_收盘!$A$4:$G$3460,4,0),"")</f>
        <v/>
      </c>
      <c r="E1591" t="str">
        <f>IFERROR(VLOOKUP($A1591,原始数据_收盘!$A$4:$G$3460,5,0),"")</f>
        <v/>
      </c>
      <c r="F1591" t="str">
        <f>IFERROR(VLOOKUP($A1591,原始数据_收盘!$A$4:$G$3460,6,0),"")</f>
        <v/>
      </c>
      <c r="G1591" t="str">
        <f>IFERROR(VLOOKUP($A1591,原始数据_收盘!$A$4:$G$3460,7,0),"")</f>
        <v/>
      </c>
      <c r="H1591" t="str">
        <f>IFERROR(VLOOKUP($A1591,原始数据_利率互换_FR007_1年!$A$6:$C$4395,2,0),"")</f>
        <v/>
      </c>
      <c r="I1591" t="str">
        <f>IFERROR(VLOOKUP($A1591,原始数据_利率互换_FR007_1年!$A$6:$C$4395,3,0),"")</f>
        <v/>
      </c>
    </row>
    <row r="1592" spans="1:9">
      <c r="A1592" s="6">
        <v>41085</v>
      </c>
      <c r="B1592">
        <f>IFERROR(VLOOKUP($A1592,原始数据_收盘!$A$4:$G$3460,2,0),"")</f>
        <v>2.6428</v>
      </c>
      <c r="C1592">
        <f>IFERROR(VLOOKUP($A1592,原始数据_收盘!$A$4:$G$3460,3,0),"")</f>
        <v>2.8456</v>
      </c>
      <c r="D1592">
        <f>IFERROR(VLOOKUP($A1592,原始数据_收盘!$A$4:$G$3460,4,0),"")</f>
        <v>2.6992</v>
      </c>
      <c r="E1592">
        <f>IFERROR(VLOOKUP($A1592,原始数据_收盘!$A$4:$G$3460,5,0),"")</f>
        <v>2.8997</v>
      </c>
      <c r="F1592">
        <f>IFERROR(VLOOKUP($A1592,原始数据_收盘!$A$4:$G$3460,6,0),"")</f>
        <v>2.671</v>
      </c>
      <c r="G1592">
        <f>IFERROR(VLOOKUP($A1592,原始数据_收盘!$A$4:$G$3460,7,0),"")</f>
        <v>2.8726</v>
      </c>
      <c r="H1592">
        <f>IFERROR(VLOOKUP($A1592,原始数据_利率互换_FR007_1年!$A$6:$C$4395,2,0),"")</f>
        <v>2.6853</v>
      </c>
      <c r="I1592">
        <f>IFERROR(VLOOKUP($A1592,原始数据_利率互换_FR007_1年!$A$6:$C$4395,3,0),"")</f>
        <v>2.9053</v>
      </c>
    </row>
    <row r="1593" spans="1:9">
      <c r="A1593" s="6">
        <v>41086</v>
      </c>
      <c r="B1593">
        <f>IFERROR(VLOOKUP($A1593,原始数据_收盘!$A$4:$G$3460,2,0),"")</f>
        <v>2.625</v>
      </c>
      <c r="C1593">
        <f>IFERROR(VLOOKUP($A1593,原始数据_收盘!$A$4:$G$3460,3,0),"")</f>
        <v>2.8209</v>
      </c>
      <c r="D1593">
        <f>IFERROR(VLOOKUP($A1593,原始数据_收盘!$A$4:$G$3460,4,0),"")</f>
        <v>2.6797</v>
      </c>
      <c r="E1593">
        <f>IFERROR(VLOOKUP($A1593,原始数据_收盘!$A$4:$G$3460,5,0),"")</f>
        <v>2.8774</v>
      </c>
      <c r="F1593">
        <f>IFERROR(VLOOKUP($A1593,原始数据_收盘!$A$4:$G$3460,6,0),"")</f>
        <v>2.6523</v>
      </c>
      <c r="G1593">
        <f>IFERROR(VLOOKUP($A1593,原始数据_收盘!$A$4:$G$3460,7,0),"")</f>
        <v>2.8492</v>
      </c>
      <c r="H1593">
        <f>IFERROR(VLOOKUP($A1593,原始数据_利率互换_FR007_1年!$A$6:$C$4395,2,0),"")</f>
        <v>2.6568</v>
      </c>
      <c r="I1593">
        <f>IFERROR(VLOOKUP($A1593,原始数据_利率互换_FR007_1年!$A$6:$C$4395,3,0),"")</f>
        <v>2.8558</v>
      </c>
    </row>
    <row r="1594" spans="1:9">
      <c r="A1594" s="6">
        <v>41087</v>
      </c>
      <c r="B1594">
        <f>IFERROR(VLOOKUP($A1594,原始数据_收盘!$A$4:$G$3460,2,0),"")</f>
        <v>2.6063</v>
      </c>
      <c r="C1594">
        <f>IFERROR(VLOOKUP($A1594,原始数据_收盘!$A$4:$G$3460,3,0),"")</f>
        <v>2.8093</v>
      </c>
      <c r="D1594">
        <f>IFERROR(VLOOKUP($A1594,原始数据_收盘!$A$4:$G$3460,4,0),"")</f>
        <v>2.6586</v>
      </c>
      <c r="E1594">
        <f>IFERROR(VLOOKUP($A1594,原始数据_收盘!$A$4:$G$3460,5,0),"")</f>
        <v>2.8682</v>
      </c>
      <c r="F1594">
        <f>IFERROR(VLOOKUP($A1594,原始数据_收盘!$A$4:$G$3460,6,0),"")</f>
        <v>2.6324</v>
      </c>
      <c r="G1594">
        <f>IFERROR(VLOOKUP($A1594,原始数据_收盘!$A$4:$G$3460,7,0),"")</f>
        <v>2.8388</v>
      </c>
      <c r="H1594">
        <f>IFERROR(VLOOKUP($A1594,原始数据_利率互换_FR007_1年!$A$6:$C$4395,2,0),"")</f>
        <v>2.6354</v>
      </c>
      <c r="I1594">
        <f>IFERROR(VLOOKUP($A1594,原始数据_利率互换_FR007_1年!$A$6:$C$4395,3,0),"")</f>
        <v>2.8471</v>
      </c>
    </row>
    <row r="1595" spans="1:9">
      <c r="A1595" s="6">
        <v>41088</v>
      </c>
      <c r="B1595">
        <f>IFERROR(VLOOKUP($A1595,原始数据_收盘!$A$4:$G$3460,2,0),"")</f>
        <v>2.563</v>
      </c>
      <c r="C1595">
        <f>IFERROR(VLOOKUP($A1595,原始数据_收盘!$A$4:$G$3460,3,0),"")</f>
        <v>2.766</v>
      </c>
      <c r="D1595">
        <f>IFERROR(VLOOKUP($A1595,原始数据_收盘!$A$4:$G$3460,4,0),"")</f>
        <v>2.6159</v>
      </c>
      <c r="E1595">
        <f>IFERROR(VLOOKUP($A1595,原始数据_收盘!$A$4:$G$3460,5,0),"")</f>
        <v>2.8242</v>
      </c>
      <c r="F1595">
        <f>IFERROR(VLOOKUP($A1595,原始数据_收盘!$A$4:$G$3460,6,0),"")</f>
        <v>2.5894</v>
      </c>
      <c r="G1595">
        <f>IFERROR(VLOOKUP($A1595,原始数据_收盘!$A$4:$G$3460,7,0),"")</f>
        <v>2.7951</v>
      </c>
      <c r="H1595">
        <f>IFERROR(VLOOKUP($A1595,原始数据_利率互换_FR007_1年!$A$6:$C$4395,2,0),"")</f>
        <v>2.5964</v>
      </c>
      <c r="I1595">
        <f>IFERROR(VLOOKUP($A1595,原始数据_利率互换_FR007_1年!$A$6:$C$4395,3,0),"")</f>
        <v>2.8013</v>
      </c>
    </row>
    <row r="1596" spans="1:9">
      <c r="A1596" s="6">
        <v>41089</v>
      </c>
      <c r="B1596">
        <f>IFERROR(VLOOKUP($A1596,原始数据_收盘!$A$4:$G$3460,2,0),"")</f>
        <v>2.5635</v>
      </c>
      <c r="C1596">
        <f>IFERROR(VLOOKUP($A1596,原始数据_收盘!$A$4:$G$3460,3,0),"")</f>
        <v>2.7658</v>
      </c>
      <c r="D1596">
        <f>IFERROR(VLOOKUP($A1596,原始数据_收盘!$A$4:$G$3460,4,0),"")</f>
        <v>2.6112</v>
      </c>
      <c r="E1596">
        <f>IFERROR(VLOOKUP($A1596,原始数据_收盘!$A$4:$G$3460,5,0),"")</f>
        <v>2.8219</v>
      </c>
      <c r="F1596">
        <f>IFERROR(VLOOKUP($A1596,原始数据_收盘!$A$4:$G$3460,6,0),"")</f>
        <v>2.5873</v>
      </c>
      <c r="G1596">
        <f>IFERROR(VLOOKUP($A1596,原始数据_收盘!$A$4:$G$3460,7,0),"")</f>
        <v>2.7938</v>
      </c>
      <c r="H1596">
        <f>IFERROR(VLOOKUP($A1596,原始数据_利率互换_FR007_1年!$A$6:$C$4395,2,0),"")</f>
        <v>2.5765</v>
      </c>
      <c r="I1596">
        <f>IFERROR(VLOOKUP($A1596,原始数据_利率互换_FR007_1年!$A$6:$C$4395,3,0),"")</f>
        <v>2.79</v>
      </c>
    </row>
    <row r="1597" spans="1:9">
      <c r="A1597" s="6">
        <v>41090</v>
      </c>
      <c r="B1597" t="str">
        <f>IFERROR(VLOOKUP($A1597,原始数据_收盘!$A$4:$G$3460,2,0),"")</f>
        <v/>
      </c>
      <c r="C1597" t="str">
        <f>IFERROR(VLOOKUP($A1597,原始数据_收盘!$A$4:$G$3460,3,0),"")</f>
        <v/>
      </c>
      <c r="D1597" t="str">
        <f>IFERROR(VLOOKUP($A1597,原始数据_收盘!$A$4:$G$3460,4,0),"")</f>
        <v/>
      </c>
      <c r="E1597" t="str">
        <f>IFERROR(VLOOKUP($A1597,原始数据_收盘!$A$4:$G$3460,5,0),"")</f>
        <v/>
      </c>
      <c r="F1597" t="str">
        <f>IFERROR(VLOOKUP($A1597,原始数据_收盘!$A$4:$G$3460,6,0),"")</f>
        <v/>
      </c>
      <c r="G1597" t="str">
        <f>IFERROR(VLOOKUP($A1597,原始数据_收盘!$A$4:$G$3460,7,0),"")</f>
        <v/>
      </c>
      <c r="H1597" t="str">
        <f>IFERROR(VLOOKUP($A1597,原始数据_利率互换_FR007_1年!$A$6:$C$4395,2,0),"")</f>
        <v/>
      </c>
      <c r="I1597" t="str">
        <f>IFERROR(VLOOKUP($A1597,原始数据_利率互换_FR007_1年!$A$6:$C$4395,3,0),"")</f>
        <v/>
      </c>
    </row>
    <row r="1598" spans="1:9">
      <c r="A1598" s="6">
        <v>41091</v>
      </c>
      <c r="B1598" t="str">
        <f>IFERROR(VLOOKUP($A1598,原始数据_收盘!$A$4:$G$3460,2,0),"")</f>
        <v/>
      </c>
      <c r="C1598" t="str">
        <f>IFERROR(VLOOKUP($A1598,原始数据_收盘!$A$4:$G$3460,3,0),"")</f>
        <v/>
      </c>
      <c r="D1598" t="str">
        <f>IFERROR(VLOOKUP($A1598,原始数据_收盘!$A$4:$G$3460,4,0),"")</f>
        <v/>
      </c>
      <c r="E1598" t="str">
        <f>IFERROR(VLOOKUP($A1598,原始数据_收盘!$A$4:$G$3460,5,0),"")</f>
        <v/>
      </c>
      <c r="F1598" t="str">
        <f>IFERROR(VLOOKUP($A1598,原始数据_收盘!$A$4:$G$3460,6,0),"")</f>
        <v/>
      </c>
      <c r="G1598" t="str">
        <f>IFERROR(VLOOKUP($A1598,原始数据_收盘!$A$4:$G$3460,7,0),"")</f>
        <v/>
      </c>
      <c r="H1598" t="str">
        <f>IFERROR(VLOOKUP($A1598,原始数据_利率互换_FR007_1年!$A$6:$C$4395,2,0),"")</f>
        <v/>
      </c>
      <c r="I1598" t="str">
        <f>IFERROR(VLOOKUP($A1598,原始数据_利率互换_FR007_1年!$A$6:$C$4395,3,0),"")</f>
        <v/>
      </c>
    </row>
    <row r="1599" spans="1:9">
      <c r="A1599" s="6">
        <v>41092</v>
      </c>
      <c r="B1599">
        <f>IFERROR(VLOOKUP($A1599,原始数据_收盘!$A$4:$G$3460,2,0),"")</f>
        <v>2.598</v>
      </c>
      <c r="C1599">
        <f>IFERROR(VLOOKUP($A1599,原始数据_收盘!$A$4:$G$3460,3,0),"")</f>
        <v>2.8135</v>
      </c>
      <c r="D1599">
        <f>IFERROR(VLOOKUP($A1599,原始数据_收盘!$A$4:$G$3460,4,0),"")</f>
        <v>2.6499</v>
      </c>
      <c r="E1599">
        <f>IFERROR(VLOOKUP($A1599,原始数据_收盘!$A$4:$G$3460,5,0),"")</f>
        <v>2.8693</v>
      </c>
      <c r="F1599">
        <f>IFERROR(VLOOKUP($A1599,原始数据_收盘!$A$4:$G$3460,6,0),"")</f>
        <v>2.6239</v>
      </c>
      <c r="G1599">
        <f>IFERROR(VLOOKUP($A1599,原始数据_收盘!$A$4:$G$3460,7,0),"")</f>
        <v>2.8414</v>
      </c>
      <c r="H1599">
        <f>IFERROR(VLOOKUP($A1599,原始数据_利率互换_FR007_1年!$A$6:$C$4395,2,0),"")</f>
        <v>2.6305</v>
      </c>
      <c r="I1599">
        <f>IFERROR(VLOOKUP($A1599,原始数据_利率互换_FR007_1年!$A$6:$C$4395,3,0),"")</f>
        <v>2.8356</v>
      </c>
    </row>
    <row r="1600" spans="1:9">
      <c r="A1600" s="6">
        <v>41093</v>
      </c>
      <c r="B1600">
        <f>IFERROR(VLOOKUP($A1600,原始数据_收盘!$A$4:$G$3460,2,0),"")</f>
        <v>2.5586</v>
      </c>
      <c r="C1600">
        <f>IFERROR(VLOOKUP($A1600,原始数据_收盘!$A$4:$G$3460,3,0),"")</f>
        <v>2.7747</v>
      </c>
      <c r="D1600">
        <f>IFERROR(VLOOKUP($A1600,原始数据_收盘!$A$4:$G$3460,4,0),"")</f>
        <v>2.6096</v>
      </c>
      <c r="E1600">
        <f>IFERROR(VLOOKUP($A1600,原始数据_收盘!$A$4:$G$3460,5,0),"")</f>
        <v>2.8264</v>
      </c>
      <c r="F1600">
        <f>IFERROR(VLOOKUP($A1600,原始数据_收盘!$A$4:$G$3460,6,0),"")</f>
        <v>2.5841</v>
      </c>
      <c r="G1600">
        <f>IFERROR(VLOOKUP($A1600,原始数据_收盘!$A$4:$G$3460,7,0),"")</f>
        <v>2.8005</v>
      </c>
      <c r="H1600">
        <f>IFERROR(VLOOKUP($A1600,原始数据_利率互换_FR007_1年!$A$6:$C$4395,2,0),"")</f>
        <v>2.5872</v>
      </c>
      <c r="I1600">
        <f>IFERROR(VLOOKUP($A1600,原始数据_利率互换_FR007_1年!$A$6:$C$4395,3,0),"")</f>
        <v>2.8142</v>
      </c>
    </row>
    <row r="1601" spans="1:9">
      <c r="A1601" s="6">
        <v>41094</v>
      </c>
      <c r="B1601">
        <f>IFERROR(VLOOKUP($A1601,原始数据_收盘!$A$4:$G$3460,2,0),"")</f>
        <v>2.5496</v>
      </c>
      <c r="C1601">
        <f>IFERROR(VLOOKUP($A1601,原始数据_收盘!$A$4:$G$3460,3,0),"")</f>
        <v>2.7605</v>
      </c>
      <c r="D1601">
        <f>IFERROR(VLOOKUP($A1601,原始数据_收盘!$A$4:$G$3460,4,0),"")</f>
        <v>2.5986</v>
      </c>
      <c r="E1601">
        <f>IFERROR(VLOOKUP($A1601,原始数据_收盘!$A$4:$G$3460,5,0),"")</f>
        <v>2.8155</v>
      </c>
      <c r="F1601">
        <f>IFERROR(VLOOKUP($A1601,原始数据_收盘!$A$4:$G$3460,6,0),"")</f>
        <v>2.5741</v>
      </c>
      <c r="G1601">
        <f>IFERROR(VLOOKUP($A1601,原始数据_收盘!$A$4:$G$3460,7,0),"")</f>
        <v>2.788</v>
      </c>
      <c r="H1601">
        <f>IFERROR(VLOOKUP($A1601,原始数据_利率互换_FR007_1年!$A$6:$C$4395,2,0),"")</f>
        <v>2.5783</v>
      </c>
      <c r="I1601">
        <f>IFERROR(VLOOKUP($A1601,原始数据_利率互换_FR007_1年!$A$6:$C$4395,3,0),"")</f>
        <v>2.79</v>
      </c>
    </row>
    <row r="1602" spans="1:9">
      <c r="A1602" s="6">
        <v>41095</v>
      </c>
      <c r="B1602">
        <f>IFERROR(VLOOKUP($A1602,原始数据_收盘!$A$4:$G$3460,2,0),"")</f>
        <v>2.5377</v>
      </c>
      <c r="C1602">
        <f>IFERROR(VLOOKUP($A1602,原始数据_收盘!$A$4:$G$3460,3,0),"")</f>
        <v>2.7677</v>
      </c>
      <c r="D1602">
        <f>IFERROR(VLOOKUP($A1602,原始数据_收盘!$A$4:$G$3460,4,0),"")</f>
        <v>2.585</v>
      </c>
      <c r="E1602">
        <f>IFERROR(VLOOKUP($A1602,原始数据_收盘!$A$4:$G$3460,5,0),"")</f>
        <v>2.8218</v>
      </c>
      <c r="F1602">
        <f>IFERROR(VLOOKUP($A1602,原始数据_收盘!$A$4:$G$3460,6,0),"")</f>
        <v>2.5614</v>
      </c>
      <c r="G1602">
        <f>IFERROR(VLOOKUP($A1602,原始数据_收盘!$A$4:$G$3460,7,0),"")</f>
        <v>2.7948</v>
      </c>
      <c r="H1602">
        <f>IFERROR(VLOOKUP($A1602,原始数据_利率互换_FR007_1年!$A$6:$C$4395,2,0),"")</f>
        <v>2.5519</v>
      </c>
      <c r="I1602">
        <f>IFERROR(VLOOKUP($A1602,原始数据_利率互换_FR007_1年!$A$6:$C$4395,3,0),"")</f>
        <v>2.7961</v>
      </c>
    </row>
    <row r="1603" spans="1:9">
      <c r="A1603" s="6">
        <v>41096</v>
      </c>
      <c r="B1603">
        <f>IFERROR(VLOOKUP($A1603,原始数据_收盘!$A$4:$G$3460,2,0),"")</f>
        <v>2.435</v>
      </c>
      <c r="C1603">
        <f>IFERROR(VLOOKUP($A1603,原始数据_收盘!$A$4:$G$3460,3,0),"")</f>
        <v>2.6815</v>
      </c>
      <c r="D1603">
        <f>IFERROR(VLOOKUP($A1603,原始数据_收盘!$A$4:$G$3460,4,0),"")</f>
        <v>2.4912</v>
      </c>
      <c r="E1603">
        <f>IFERROR(VLOOKUP($A1603,原始数据_收盘!$A$4:$G$3460,5,0),"")</f>
        <v>2.7412</v>
      </c>
      <c r="F1603">
        <f>IFERROR(VLOOKUP($A1603,原始数据_收盘!$A$4:$G$3460,6,0),"")</f>
        <v>2.4631</v>
      </c>
      <c r="G1603">
        <f>IFERROR(VLOOKUP($A1603,原始数据_收盘!$A$4:$G$3460,7,0),"")</f>
        <v>2.7113</v>
      </c>
      <c r="H1603">
        <f>IFERROR(VLOOKUP($A1603,原始数据_利率互换_FR007_1年!$A$6:$C$4395,2,0),"")</f>
        <v>2.4624</v>
      </c>
      <c r="I1603">
        <f>IFERROR(VLOOKUP($A1603,原始数据_利率互换_FR007_1年!$A$6:$C$4395,3,0),"")</f>
        <v>2.7055</v>
      </c>
    </row>
    <row r="1604" spans="1:9">
      <c r="A1604" s="6">
        <v>41097</v>
      </c>
      <c r="B1604" t="str">
        <f>IFERROR(VLOOKUP($A1604,原始数据_收盘!$A$4:$G$3460,2,0),"")</f>
        <v/>
      </c>
      <c r="C1604" t="str">
        <f>IFERROR(VLOOKUP($A1604,原始数据_收盘!$A$4:$G$3460,3,0),"")</f>
        <v/>
      </c>
      <c r="D1604" t="str">
        <f>IFERROR(VLOOKUP($A1604,原始数据_收盘!$A$4:$G$3460,4,0),"")</f>
        <v/>
      </c>
      <c r="E1604" t="str">
        <f>IFERROR(VLOOKUP($A1604,原始数据_收盘!$A$4:$G$3460,5,0),"")</f>
        <v/>
      </c>
      <c r="F1604" t="str">
        <f>IFERROR(VLOOKUP($A1604,原始数据_收盘!$A$4:$G$3460,6,0),"")</f>
        <v/>
      </c>
      <c r="G1604" t="str">
        <f>IFERROR(VLOOKUP($A1604,原始数据_收盘!$A$4:$G$3460,7,0),"")</f>
        <v/>
      </c>
      <c r="H1604" t="str">
        <f>IFERROR(VLOOKUP($A1604,原始数据_利率互换_FR007_1年!$A$6:$C$4395,2,0),"")</f>
        <v/>
      </c>
      <c r="I1604" t="str">
        <f>IFERROR(VLOOKUP($A1604,原始数据_利率互换_FR007_1年!$A$6:$C$4395,3,0),"")</f>
        <v/>
      </c>
    </row>
    <row r="1605" spans="1:9">
      <c r="A1605" s="6">
        <v>41098</v>
      </c>
      <c r="B1605" t="str">
        <f>IFERROR(VLOOKUP($A1605,原始数据_收盘!$A$4:$G$3460,2,0),"")</f>
        <v/>
      </c>
      <c r="C1605" t="str">
        <f>IFERROR(VLOOKUP($A1605,原始数据_收盘!$A$4:$G$3460,3,0),"")</f>
        <v/>
      </c>
      <c r="D1605" t="str">
        <f>IFERROR(VLOOKUP($A1605,原始数据_收盘!$A$4:$G$3460,4,0),"")</f>
        <v/>
      </c>
      <c r="E1605" t="str">
        <f>IFERROR(VLOOKUP($A1605,原始数据_收盘!$A$4:$G$3460,5,0),"")</f>
        <v/>
      </c>
      <c r="F1605" t="str">
        <f>IFERROR(VLOOKUP($A1605,原始数据_收盘!$A$4:$G$3460,6,0),"")</f>
        <v/>
      </c>
      <c r="G1605" t="str">
        <f>IFERROR(VLOOKUP($A1605,原始数据_收盘!$A$4:$G$3460,7,0),"")</f>
        <v/>
      </c>
      <c r="H1605" t="str">
        <f>IFERROR(VLOOKUP($A1605,原始数据_利率互换_FR007_1年!$A$6:$C$4395,2,0),"")</f>
        <v/>
      </c>
      <c r="I1605" t="str">
        <f>IFERROR(VLOOKUP($A1605,原始数据_利率互换_FR007_1年!$A$6:$C$4395,3,0),"")</f>
        <v/>
      </c>
    </row>
    <row r="1606" spans="1:9">
      <c r="A1606" s="6">
        <v>41099</v>
      </c>
      <c r="B1606">
        <f>IFERROR(VLOOKUP($A1606,原始数据_收盘!$A$4:$G$3460,2,0),"")</f>
        <v>2.4114</v>
      </c>
      <c r="C1606">
        <f>IFERROR(VLOOKUP($A1606,原始数据_收盘!$A$4:$G$3460,3,0),"")</f>
        <v>2.6508</v>
      </c>
      <c r="D1606">
        <f>IFERROR(VLOOKUP($A1606,原始数据_收盘!$A$4:$G$3460,4,0),"")</f>
        <v>2.4621</v>
      </c>
      <c r="E1606">
        <f>IFERROR(VLOOKUP($A1606,原始数据_收盘!$A$4:$G$3460,5,0),"")</f>
        <v>2.7094</v>
      </c>
      <c r="F1606">
        <f>IFERROR(VLOOKUP($A1606,原始数据_收盘!$A$4:$G$3460,6,0),"")</f>
        <v>2.4368</v>
      </c>
      <c r="G1606">
        <f>IFERROR(VLOOKUP($A1606,原始数据_收盘!$A$4:$G$3460,7,0),"")</f>
        <v>2.6801</v>
      </c>
      <c r="H1606">
        <f>IFERROR(VLOOKUP($A1606,原始数据_利率互换_FR007_1年!$A$6:$C$4395,2,0),"")</f>
        <v>2.4165</v>
      </c>
      <c r="I1606">
        <f>IFERROR(VLOOKUP($A1606,原始数据_利率互换_FR007_1年!$A$6:$C$4395,3,0),"")</f>
        <v>2.6695</v>
      </c>
    </row>
    <row r="1607" spans="1:9">
      <c r="A1607" s="6">
        <v>41100</v>
      </c>
      <c r="B1607">
        <f>IFERROR(VLOOKUP($A1607,原始数据_收盘!$A$4:$G$3460,2,0),"")</f>
        <v>2.4032</v>
      </c>
      <c r="C1607">
        <f>IFERROR(VLOOKUP($A1607,原始数据_收盘!$A$4:$G$3460,3,0),"")</f>
        <v>2.6361</v>
      </c>
      <c r="D1607">
        <f>IFERROR(VLOOKUP($A1607,原始数据_收盘!$A$4:$G$3460,4,0),"")</f>
        <v>2.4546</v>
      </c>
      <c r="E1607">
        <f>IFERROR(VLOOKUP($A1607,原始数据_收盘!$A$4:$G$3460,5,0),"")</f>
        <v>2.6985</v>
      </c>
      <c r="F1607">
        <f>IFERROR(VLOOKUP($A1607,原始数据_收盘!$A$4:$G$3460,6,0),"")</f>
        <v>2.4289</v>
      </c>
      <c r="G1607">
        <f>IFERROR(VLOOKUP($A1607,原始数据_收盘!$A$4:$G$3460,7,0),"")</f>
        <v>2.6673</v>
      </c>
      <c r="H1607">
        <f>IFERROR(VLOOKUP($A1607,原始数据_利率互换_FR007_1年!$A$6:$C$4395,2,0),"")</f>
        <v>2.4225</v>
      </c>
      <c r="I1607">
        <f>IFERROR(VLOOKUP($A1607,原始数据_利率互换_FR007_1年!$A$6:$C$4395,3,0),"")</f>
        <v>2.6556</v>
      </c>
    </row>
    <row r="1608" spans="1:9">
      <c r="A1608" s="6">
        <v>41101</v>
      </c>
      <c r="B1608">
        <f>IFERROR(VLOOKUP($A1608,原始数据_收盘!$A$4:$G$3460,2,0),"")</f>
        <v>2.4001</v>
      </c>
      <c r="C1608">
        <f>IFERROR(VLOOKUP($A1608,原始数据_收盘!$A$4:$G$3460,3,0),"")</f>
        <v>2.6167</v>
      </c>
      <c r="D1608">
        <f>IFERROR(VLOOKUP($A1608,原始数据_收盘!$A$4:$G$3460,4,0),"")</f>
        <v>2.4487</v>
      </c>
      <c r="E1608">
        <f>IFERROR(VLOOKUP($A1608,原始数据_收盘!$A$4:$G$3460,5,0),"")</f>
        <v>2.6751</v>
      </c>
      <c r="F1608">
        <f>IFERROR(VLOOKUP($A1608,原始数据_收盘!$A$4:$G$3460,6,0),"")</f>
        <v>2.4244</v>
      </c>
      <c r="G1608">
        <f>IFERROR(VLOOKUP($A1608,原始数据_收盘!$A$4:$G$3460,7,0),"")</f>
        <v>2.6459</v>
      </c>
      <c r="H1608">
        <f>IFERROR(VLOOKUP($A1608,原始数据_利率互换_FR007_1年!$A$6:$C$4395,2,0),"")</f>
        <v>2.4193</v>
      </c>
      <c r="I1608">
        <f>IFERROR(VLOOKUP($A1608,原始数据_利率互换_FR007_1年!$A$6:$C$4395,3,0),"")</f>
        <v>2.6454</v>
      </c>
    </row>
    <row r="1609" spans="1:9">
      <c r="A1609" s="6">
        <v>41102</v>
      </c>
      <c r="B1609">
        <f>IFERROR(VLOOKUP($A1609,原始数据_收盘!$A$4:$G$3460,2,0),"")</f>
        <v>2.3621</v>
      </c>
      <c r="C1609">
        <f>IFERROR(VLOOKUP($A1609,原始数据_收盘!$A$4:$G$3460,3,0),"")</f>
        <v>2.5511</v>
      </c>
      <c r="D1609">
        <f>IFERROR(VLOOKUP($A1609,原始数据_收盘!$A$4:$G$3460,4,0),"")</f>
        <v>2.4135</v>
      </c>
      <c r="E1609">
        <f>IFERROR(VLOOKUP($A1609,原始数据_收盘!$A$4:$G$3460,5,0),"")</f>
        <v>2.6175</v>
      </c>
      <c r="F1609">
        <f>IFERROR(VLOOKUP($A1609,原始数据_收盘!$A$4:$G$3460,6,0),"")</f>
        <v>2.3878</v>
      </c>
      <c r="G1609">
        <f>IFERROR(VLOOKUP($A1609,原始数据_收盘!$A$4:$G$3460,7,0),"")</f>
        <v>2.5843</v>
      </c>
      <c r="H1609">
        <f>IFERROR(VLOOKUP($A1609,原始数据_利率互换_FR007_1年!$A$6:$C$4395,2,0),"")</f>
        <v>2.394</v>
      </c>
      <c r="I1609">
        <f>IFERROR(VLOOKUP($A1609,原始数据_利率互换_FR007_1年!$A$6:$C$4395,3,0),"")</f>
        <v>2.5982</v>
      </c>
    </row>
    <row r="1610" spans="1:9">
      <c r="A1610" s="6">
        <v>41103</v>
      </c>
      <c r="B1610">
        <f>IFERROR(VLOOKUP($A1610,原始数据_收盘!$A$4:$G$3460,2,0),"")</f>
        <v>2.3857</v>
      </c>
      <c r="C1610">
        <f>IFERROR(VLOOKUP($A1610,原始数据_收盘!$A$4:$G$3460,3,0),"")</f>
        <v>2.5709</v>
      </c>
      <c r="D1610">
        <f>IFERROR(VLOOKUP($A1610,原始数据_收盘!$A$4:$G$3460,4,0),"")</f>
        <v>2.4383</v>
      </c>
      <c r="E1610">
        <f>IFERROR(VLOOKUP($A1610,原始数据_收盘!$A$4:$G$3460,5,0),"")</f>
        <v>2.6298</v>
      </c>
      <c r="F1610">
        <f>IFERROR(VLOOKUP($A1610,原始数据_收盘!$A$4:$G$3460,6,0),"")</f>
        <v>2.412</v>
      </c>
      <c r="G1610">
        <f>IFERROR(VLOOKUP($A1610,原始数据_收盘!$A$4:$G$3460,7,0),"")</f>
        <v>2.6003</v>
      </c>
      <c r="H1610">
        <f>IFERROR(VLOOKUP($A1610,原始数据_利率互换_FR007_1年!$A$6:$C$4395,2,0),"")</f>
        <v>2.4008</v>
      </c>
      <c r="I1610">
        <f>IFERROR(VLOOKUP($A1610,原始数据_利率互换_FR007_1年!$A$6:$C$4395,3,0),"")</f>
        <v>2.5867</v>
      </c>
    </row>
    <row r="1611" spans="1:9">
      <c r="A1611" s="6">
        <v>41104</v>
      </c>
      <c r="B1611" t="str">
        <f>IFERROR(VLOOKUP($A1611,原始数据_收盘!$A$4:$G$3460,2,0),"")</f>
        <v/>
      </c>
      <c r="C1611" t="str">
        <f>IFERROR(VLOOKUP($A1611,原始数据_收盘!$A$4:$G$3460,3,0),"")</f>
        <v/>
      </c>
      <c r="D1611" t="str">
        <f>IFERROR(VLOOKUP($A1611,原始数据_收盘!$A$4:$G$3460,4,0),"")</f>
        <v/>
      </c>
      <c r="E1611" t="str">
        <f>IFERROR(VLOOKUP($A1611,原始数据_收盘!$A$4:$G$3460,5,0),"")</f>
        <v/>
      </c>
      <c r="F1611" t="str">
        <f>IFERROR(VLOOKUP($A1611,原始数据_收盘!$A$4:$G$3460,6,0),"")</f>
        <v/>
      </c>
      <c r="G1611" t="str">
        <f>IFERROR(VLOOKUP($A1611,原始数据_收盘!$A$4:$G$3460,7,0),"")</f>
        <v/>
      </c>
      <c r="H1611" t="str">
        <f>IFERROR(VLOOKUP($A1611,原始数据_利率互换_FR007_1年!$A$6:$C$4395,2,0),"")</f>
        <v/>
      </c>
      <c r="I1611" t="str">
        <f>IFERROR(VLOOKUP($A1611,原始数据_利率互换_FR007_1年!$A$6:$C$4395,3,0),"")</f>
        <v/>
      </c>
    </row>
    <row r="1612" spans="1:9">
      <c r="A1612" s="6">
        <v>41105</v>
      </c>
      <c r="B1612" t="str">
        <f>IFERROR(VLOOKUP($A1612,原始数据_收盘!$A$4:$G$3460,2,0),"")</f>
        <v/>
      </c>
      <c r="C1612" t="str">
        <f>IFERROR(VLOOKUP($A1612,原始数据_收盘!$A$4:$G$3460,3,0),"")</f>
        <v/>
      </c>
      <c r="D1612" t="str">
        <f>IFERROR(VLOOKUP($A1612,原始数据_收盘!$A$4:$G$3460,4,0),"")</f>
        <v/>
      </c>
      <c r="E1612" t="str">
        <f>IFERROR(VLOOKUP($A1612,原始数据_收盘!$A$4:$G$3460,5,0),"")</f>
        <v/>
      </c>
      <c r="F1612" t="str">
        <f>IFERROR(VLOOKUP($A1612,原始数据_收盘!$A$4:$G$3460,6,0),"")</f>
        <v/>
      </c>
      <c r="G1612" t="str">
        <f>IFERROR(VLOOKUP($A1612,原始数据_收盘!$A$4:$G$3460,7,0),"")</f>
        <v/>
      </c>
      <c r="H1612" t="str">
        <f>IFERROR(VLOOKUP($A1612,原始数据_利率互换_FR007_1年!$A$6:$C$4395,2,0),"")</f>
        <v/>
      </c>
      <c r="I1612" t="str">
        <f>IFERROR(VLOOKUP($A1612,原始数据_利率互换_FR007_1年!$A$6:$C$4395,3,0),"")</f>
        <v/>
      </c>
    </row>
    <row r="1613" spans="1:9">
      <c r="A1613" s="6">
        <v>41106</v>
      </c>
      <c r="B1613">
        <f>IFERROR(VLOOKUP($A1613,原始数据_收盘!$A$4:$G$3460,2,0),"")</f>
        <v>2.4237</v>
      </c>
      <c r="C1613">
        <f>IFERROR(VLOOKUP($A1613,原始数据_收盘!$A$4:$G$3460,3,0),"")</f>
        <v>2.6173</v>
      </c>
      <c r="D1613">
        <f>IFERROR(VLOOKUP($A1613,原始数据_收盘!$A$4:$G$3460,4,0),"")</f>
        <v>2.4757</v>
      </c>
      <c r="E1613">
        <f>IFERROR(VLOOKUP($A1613,原始数据_收盘!$A$4:$G$3460,5,0),"")</f>
        <v>2.676</v>
      </c>
      <c r="F1613">
        <f>IFERROR(VLOOKUP($A1613,原始数据_收盘!$A$4:$G$3460,6,0),"")</f>
        <v>2.4497</v>
      </c>
      <c r="G1613">
        <f>IFERROR(VLOOKUP($A1613,原始数据_收盘!$A$4:$G$3460,7,0),"")</f>
        <v>2.6467</v>
      </c>
      <c r="H1613">
        <f>IFERROR(VLOOKUP($A1613,原始数据_利率互换_FR007_1年!$A$6:$C$4395,2,0),"")</f>
        <v>2.4454</v>
      </c>
      <c r="I1613">
        <f>IFERROR(VLOOKUP($A1613,原始数据_利率互换_FR007_1年!$A$6:$C$4395,3,0),"")</f>
        <v>2.6565</v>
      </c>
    </row>
    <row r="1614" spans="1:9">
      <c r="A1614" s="6">
        <v>41107</v>
      </c>
      <c r="B1614">
        <f>IFERROR(VLOOKUP($A1614,原始数据_收盘!$A$4:$G$3460,2,0),"")</f>
        <v>2.4659</v>
      </c>
      <c r="C1614">
        <f>IFERROR(VLOOKUP($A1614,原始数据_收盘!$A$4:$G$3460,3,0),"")</f>
        <v>2.6577</v>
      </c>
      <c r="D1614">
        <f>IFERROR(VLOOKUP($A1614,原始数据_收盘!$A$4:$G$3460,4,0),"")</f>
        <v>2.5164</v>
      </c>
      <c r="E1614">
        <f>IFERROR(VLOOKUP($A1614,原始数据_收盘!$A$4:$G$3460,5,0),"")</f>
        <v>2.716</v>
      </c>
      <c r="F1614">
        <f>IFERROR(VLOOKUP($A1614,原始数据_收盘!$A$4:$G$3460,6,0),"")</f>
        <v>2.4911</v>
      </c>
      <c r="G1614">
        <f>IFERROR(VLOOKUP($A1614,原始数据_收盘!$A$4:$G$3460,7,0),"")</f>
        <v>2.6869</v>
      </c>
      <c r="H1614">
        <f>IFERROR(VLOOKUP($A1614,原始数据_利率互换_FR007_1年!$A$6:$C$4395,2,0),"")</f>
        <v>2.4879</v>
      </c>
      <c r="I1614">
        <f>IFERROR(VLOOKUP($A1614,原始数据_利率互换_FR007_1年!$A$6:$C$4395,3,0),"")</f>
        <v>2.6877</v>
      </c>
    </row>
    <row r="1615" spans="1:9">
      <c r="A1615" s="6">
        <v>41108</v>
      </c>
      <c r="B1615">
        <f>IFERROR(VLOOKUP($A1615,原始数据_收盘!$A$4:$G$3460,2,0),"")</f>
        <v>2.4801</v>
      </c>
      <c r="C1615">
        <f>IFERROR(VLOOKUP($A1615,原始数据_收盘!$A$4:$G$3460,3,0),"")</f>
        <v>2.6607</v>
      </c>
      <c r="D1615">
        <f>IFERROR(VLOOKUP($A1615,原始数据_收盘!$A$4:$G$3460,4,0),"")</f>
        <v>2.5295</v>
      </c>
      <c r="E1615">
        <f>IFERROR(VLOOKUP($A1615,原始数据_收盘!$A$4:$G$3460,5,0),"")</f>
        <v>2.7148</v>
      </c>
      <c r="F1615">
        <f>IFERROR(VLOOKUP($A1615,原始数据_收盘!$A$4:$G$3460,6,0),"")</f>
        <v>2.5048</v>
      </c>
      <c r="G1615">
        <f>IFERROR(VLOOKUP($A1615,原始数据_收盘!$A$4:$G$3460,7,0),"")</f>
        <v>2.6878</v>
      </c>
      <c r="H1615">
        <f>IFERROR(VLOOKUP($A1615,原始数据_利率互换_FR007_1年!$A$6:$C$4395,2,0),"")</f>
        <v>2.5133</v>
      </c>
      <c r="I1615">
        <f>IFERROR(VLOOKUP($A1615,原始数据_利率互换_FR007_1年!$A$6:$C$4395,3,0),"")</f>
        <v>2.7007</v>
      </c>
    </row>
    <row r="1616" spans="1:9">
      <c r="A1616" s="6">
        <v>41109</v>
      </c>
      <c r="B1616">
        <f>IFERROR(VLOOKUP($A1616,原始数据_收盘!$A$4:$G$3460,2,0),"")</f>
        <v>2.4897</v>
      </c>
      <c r="C1616">
        <f>IFERROR(VLOOKUP($A1616,原始数据_收盘!$A$4:$G$3460,3,0),"")</f>
        <v>2.6628</v>
      </c>
      <c r="D1616">
        <f>IFERROR(VLOOKUP($A1616,原始数据_收盘!$A$4:$G$3460,4,0),"")</f>
        <v>2.5392</v>
      </c>
      <c r="E1616">
        <f>IFERROR(VLOOKUP($A1616,原始数据_收盘!$A$4:$G$3460,5,0),"")</f>
        <v>2.7184</v>
      </c>
      <c r="F1616">
        <f>IFERROR(VLOOKUP($A1616,原始数据_收盘!$A$4:$G$3460,6,0),"")</f>
        <v>2.5144</v>
      </c>
      <c r="G1616">
        <f>IFERROR(VLOOKUP($A1616,原始数据_收盘!$A$4:$G$3460,7,0),"")</f>
        <v>2.6906</v>
      </c>
      <c r="H1616">
        <f>IFERROR(VLOOKUP($A1616,原始数据_利率互换_FR007_1年!$A$6:$C$4395,2,0),"")</f>
        <v>2.5223</v>
      </c>
      <c r="I1616">
        <f>IFERROR(VLOOKUP($A1616,原始数据_利率互换_FR007_1年!$A$6:$C$4395,3,0),"")</f>
        <v>2.7025</v>
      </c>
    </row>
    <row r="1617" spans="1:9">
      <c r="A1617" s="6">
        <v>41110</v>
      </c>
      <c r="B1617">
        <f>IFERROR(VLOOKUP($A1617,原始数据_收盘!$A$4:$G$3460,2,0),"")</f>
        <v>2.4866</v>
      </c>
      <c r="C1617">
        <f>IFERROR(VLOOKUP($A1617,原始数据_收盘!$A$4:$G$3460,3,0),"")</f>
        <v>2.6658</v>
      </c>
      <c r="D1617">
        <f>IFERROR(VLOOKUP($A1617,原始数据_收盘!$A$4:$G$3460,4,0),"")</f>
        <v>2.5341</v>
      </c>
      <c r="E1617">
        <f>IFERROR(VLOOKUP($A1617,原始数据_收盘!$A$4:$G$3460,5,0),"")</f>
        <v>2.7171</v>
      </c>
      <c r="F1617">
        <f>IFERROR(VLOOKUP($A1617,原始数据_收盘!$A$4:$G$3460,6,0),"")</f>
        <v>2.5103</v>
      </c>
      <c r="G1617">
        <f>IFERROR(VLOOKUP($A1617,原始数据_收盘!$A$4:$G$3460,7,0),"")</f>
        <v>2.6914</v>
      </c>
      <c r="H1617">
        <f>IFERROR(VLOOKUP($A1617,原始数据_利率互换_FR007_1年!$A$6:$C$4395,2,0),"")</f>
        <v>2.5119</v>
      </c>
      <c r="I1617">
        <f>IFERROR(VLOOKUP($A1617,原始数据_利率互换_FR007_1年!$A$6:$C$4395,3,0),"")</f>
        <v>2.688</v>
      </c>
    </row>
    <row r="1618" spans="1:9">
      <c r="A1618" s="6">
        <v>41111</v>
      </c>
      <c r="B1618" t="str">
        <f>IFERROR(VLOOKUP($A1618,原始数据_收盘!$A$4:$G$3460,2,0),"")</f>
        <v/>
      </c>
      <c r="C1618" t="str">
        <f>IFERROR(VLOOKUP($A1618,原始数据_收盘!$A$4:$G$3460,3,0),"")</f>
        <v/>
      </c>
      <c r="D1618" t="str">
        <f>IFERROR(VLOOKUP($A1618,原始数据_收盘!$A$4:$G$3460,4,0),"")</f>
        <v/>
      </c>
      <c r="E1618" t="str">
        <f>IFERROR(VLOOKUP($A1618,原始数据_收盘!$A$4:$G$3460,5,0),"")</f>
        <v/>
      </c>
      <c r="F1618" t="str">
        <f>IFERROR(VLOOKUP($A1618,原始数据_收盘!$A$4:$G$3460,6,0),"")</f>
        <v/>
      </c>
      <c r="G1618" t="str">
        <f>IFERROR(VLOOKUP($A1618,原始数据_收盘!$A$4:$G$3460,7,0),"")</f>
        <v/>
      </c>
      <c r="H1618" t="str">
        <f>IFERROR(VLOOKUP($A1618,原始数据_利率互换_FR007_1年!$A$6:$C$4395,2,0),"")</f>
        <v/>
      </c>
      <c r="I1618" t="str">
        <f>IFERROR(VLOOKUP($A1618,原始数据_利率互换_FR007_1年!$A$6:$C$4395,3,0),"")</f>
        <v/>
      </c>
    </row>
    <row r="1619" spans="1:9">
      <c r="A1619" s="6">
        <v>41112</v>
      </c>
      <c r="B1619" t="str">
        <f>IFERROR(VLOOKUP($A1619,原始数据_收盘!$A$4:$G$3460,2,0),"")</f>
        <v/>
      </c>
      <c r="C1619" t="str">
        <f>IFERROR(VLOOKUP($A1619,原始数据_收盘!$A$4:$G$3460,3,0),"")</f>
        <v/>
      </c>
      <c r="D1619" t="str">
        <f>IFERROR(VLOOKUP($A1619,原始数据_收盘!$A$4:$G$3460,4,0),"")</f>
        <v/>
      </c>
      <c r="E1619" t="str">
        <f>IFERROR(VLOOKUP($A1619,原始数据_收盘!$A$4:$G$3460,5,0),"")</f>
        <v/>
      </c>
      <c r="F1619" t="str">
        <f>IFERROR(VLOOKUP($A1619,原始数据_收盘!$A$4:$G$3460,6,0),"")</f>
        <v/>
      </c>
      <c r="G1619" t="str">
        <f>IFERROR(VLOOKUP($A1619,原始数据_收盘!$A$4:$G$3460,7,0),"")</f>
        <v/>
      </c>
      <c r="H1619" t="str">
        <f>IFERROR(VLOOKUP($A1619,原始数据_利率互换_FR007_1年!$A$6:$C$4395,2,0),"")</f>
        <v/>
      </c>
      <c r="I1619" t="str">
        <f>IFERROR(VLOOKUP($A1619,原始数据_利率互换_FR007_1年!$A$6:$C$4395,3,0),"")</f>
        <v/>
      </c>
    </row>
    <row r="1620" spans="1:9">
      <c r="A1620" s="6">
        <v>41113</v>
      </c>
      <c r="B1620">
        <f>IFERROR(VLOOKUP($A1620,原始数据_收盘!$A$4:$G$3460,2,0),"")</f>
        <v>2.5351</v>
      </c>
      <c r="C1620">
        <f>IFERROR(VLOOKUP($A1620,原始数据_收盘!$A$4:$G$3460,3,0),"")</f>
        <v>2.6656</v>
      </c>
      <c r="D1620">
        <f>IFERROR(VLOOKUP($A1620,原始数据_收盘!$A$4:$G$3460,4,0),"")</f>
        <v>2.5823</v>
      </c>
      <c r="E1620">
        <f>IFERROR(VLOOKUP($A1620,原始数据_收盘!$A$4:$G$3460,5,0),"")</f>
        <v>2.7266</v>
      </c>
      <c r="F1620">
        <f>IFERROR(VLOOKUP($A1620,原始数据_收盘!$A$4:$G$3460,6,0),"")</f>
        <v>2.5587</v>
      </c>
      <c r="G1620">
        <f>IFERROR(VLOOKUP($A1620,原始数据_收盘!$A$4:$G$3460,7,0),"")</f>
        <v>2.6961</v>
      </c>
      <c r="H1620">
        <f>IFERROR(VLOOKUP($A1620,原始数据_利率互换_FR007_1年!$A$6:$C$4395,2,0),"")</f>
        <v>2.5508</v>
      </c>
      <c r="I1620">
        <f>IFERROR(VLOOKUP($A1620,原始数据_利率互换_FR007_1年!$A$6:$C$4395,3,0),"")</f>
        <v>2.7018</v>
      </c>
    </row>
    <row r="1621" spans="1:9">
      <c r="A1621" s="6">
        <v>41114</v>
      </c>
      <c r="B1621">
        <f>IFERROR(VLOOKUP($A1621,原始数据_收盘!$A$4:$G$3460,2,0),"")</f>
        <v>2.521</v>
      </c>
      <c r="C1621">
        <f>IFERROR(VLOOKUP($A1621,原始数据_收盘!$A$4:$G$3460,3,0),"")</f>
        <v>2.654</v>
      </c>
      <c r="D1621">
        <f>IFERROR(VLOOKUP($A1621,原始数据_收盘!$A$4:$G$3460,4,0),"")</f>
        <v>2.5677</v>
      </c>
      <c r="E1621">
        <f>IFERROR(VLOOKUP($A1621,原始数据_收盘!$A$4:$G$3460,5,0),"")</f>
        <v>2.7118</v>
      </c>
      <c r="F1621">
        <f>IFERROR(VLOOKUP($A1621,原始数据_收盘!$A$4:$G$3460,6,0),"")</f>
        <v>2.5443</v>
      </c>
      <c r="G1621">
        <f>IFERROR(VLOOKUP($A1621,原始数据_收盘!$A$4:$G$3460,7,0),"")</f>
        <v>2.6829</v>
      </c>
      <c r="H1621">
        <f>IFERROR(VLOOKUP($A1621,原始数据_利率互换_FR007_1年!$A$6:$C$4395,2,0),"")</f>
        <v>2.5404</v>
      </c>
      <c r="I1621">
        <f>IFERROR(VLOOKUP($A1621,原始数据_利率互换_FR007_1年!$A$6:$C$4395,3,0),"")</f>
        <v>2.6758</v>
      </c>
    </row>
    <row r="1622" spans="1:9">
      <c r="A1622" s="6">
        <v>41115</v>
      </c>
      <c r="B1622">
        <f>IFERROR(VLOOKUP($A1622,原始数据_收盘!$A$4:$G$3460,2,0),"")</f>
        <v>2.5019</v>
      </c>
      <c r="C1622">
        <f>IFERROR(VLOOKUP($A1622,原始数据_收盘!$A$4:$G$3460,3,0),"")</f>
        <v>2.6474</v>
      </c>
      <c r="D1622">
        <f>IFERROR(VLOOKUP($A1622,原始数据_收盘!$A$4:$G$3460,4,0),"")</f>
        <v>2.5532</v>
      </c>
      <c r="E1622">
        <f>IFERROR(VLOOKUP($A1622,原始数据_收盘!$A$4:$G$3460,5,0),"")</f>
        <v>2.7087</v>
      </c>
      <c r="F1622">
        <f>IFERROR(VLOOKUP($A1622,原始数据_收盘!$A$4:$G$3460,6,0),"")</f>
        <v>2.5276</v>
      </c>
      <c r="G1622">
        <f>IFERROR(VLOOKUP($A1622,原始数据_收盘!$A$4:$G$3460,7,0),"")</f>
        <v>2.6781</v>
      </c>
      <c r="H1622">
        <f>IFERROR(VLOOKUP($A1622,原始数据_利率互换_FR007_1年!$A$6:$C$4395,2,0),"")</f>
        <v>2.508</v>
      </c>
      <c r="I1622">
        <f>IFERROR(VLOOKUP($A1622,原始数据_利率互换_FR007_1年!$A$6:$C$4395,3,0),"")</f>
        <v>2.6718</v>
      </c>
    </row>
    <row r="1623" spans="1:9">
      <c r="A1623" s="6">
        <v>41116</v>
      </c>
      <c r="B1623">
        <f>IFERROR(VLOOKUP($A1623,原始数据_收盘!$A$4:$G$3460,2,0),"")</f>
        <v>2.5154</v>
      </c>
      <c r="C1623">
        <f>IFERROR(VLOOKUP($A1623,原始数据_收盘!$A$4:$G$3460,3,0),"")</f>
        <v>2.6564</v>
      </c>
      <c r="D1623">
        <f>IFERROR(VLOOKUP($A1623,原始数据_收盘!$A$4:$G$3460,4,0),"")</f>
        <v>2.5696</v>
      </c>
      <c r="E1623">
        <f>IFERROR(VLOOKUP($A1623,原始数据_收盘!$A$4:$G$3460,5,0),"")</f>
        <v>2.7114</v>
      </c>
      <c r="F1623">
        <f>IFERROR(VLOOKUP($A1623,原始数据_收盘!$A$4:$G$3460,6,0),"")</f>
        <v>2.5425</v>
      </c>
      <c r="G1623">
        <f>IFERROR(VLOOKUP($A1623,原始数据_收盘!$A$4:$G$3460,7,0),"")</f>
        <v>2.6839</v>
      </c>
      <c r="H1623">
        <f>IFERROR(VLOOKUP($A1623,原始数据_利率互换_FR007_1年!$A$6:$C$4395,2,0),"")</f>
        <v>2.539</v>
      </c>
      <c r="I1623">
        <f>IFERROR(VLOOKUP($A1623,原始数据_利率互换_FR007_1年!$A$6:$C$4395,3,0),"")</f>
        <v>2.685</v>
      </c>
    </row>
    <row r="1624" spans="1:9">
      <c r="A1624" s="6">
        <v>41117</v>
      </c>
      <c r="B1624">
        <f>IFERROR(VLOOKUP($A1624,原始数据_收盘!$A$4:$G$3460,2,0),"")</f>
        <v>2.5396</v>
      </c>
      <c r="C1624">
        <f>IFERROR(VLOOKUP($A1624,原始数据_收盘!$A$4:$G$3460,3,0),"")</f>
        <v>2.6808</v>
      </c>
      <c r="D1624">
        <f>IFERROR(VLOOKUP($A1624,原始数据_收盘!$A$4:$G$3460,4,0),"")</f>
        <v>2.5918</v>
      </c>
      <c r="E1624">
        <f>IFERROR(VLOOKUP($A1624,原始数据_收盘!$A$4:$G$3460,5,0),"")</f>
        <v>2.7371</v>
      </c>
      <c r="F1624">
        <f>IFERROR(VLOOKUP($A1624,原始数据_收盘!$A$4:$G$3460,6,0),"")</f>
        <v>2.5657</v>
      </c>
      <c r="G1624">
        <f>IFERROR(VLOOKUP($A1624,原始数据_收盘!$A$4:$G$3460,7,0),"")</f>
        <v>2.7089</v>
      </c>
      <c r="H1624">
        <f>IFERROR(VLOOKUP($A1624,原始数据_利率互换_FR007_1年!$A$6:$C$4395,2,0),"")</f>
        <v>2.5716</v>
      </c>
      <c r="I1624">
        <f>IFERROR(VLOOKUP($A1624,原始数据_利率互换_FR007_1年!$A$6:$C$4395,3,0),"")</f>
        <v>2.7263</v>
      </c>
    </row>
    <row r="1625" spans="1:9">
      <c r="A1625" s="6">
        <v>41118</v>
      </c>
      <c r="B1625" t="str">
        <f>IFERROR(VLOOKUP($A1625,原始数据_收盘!$A$4:$G$3460,2,0),"")</f>
        <v/>
      </c>
      <c r="C1625" t="str">
        <f>IFERROR(VLOOKUP($A1625,原始数据_收盘!$A$4:$G$3460,3,0),"")</f>
        <v/>
      </c>
      <c r="D1625" t="str">
        <f>IFERROR(VLOOKUP($A1625,原始数据_收盘!$A$4:$G$3460,4,0),"")</f>
        <v/>
      </c>
      <c r="E1625" t="str">
        <f>IFERROR(VLOOKUP($A1625,原始数据_收盘!$A$4:$G$3460,5,0),"")</f>
        <v/>
      </c>
      <c r="F1625" t="str">
        <f>IFERROR(VLOOKUP($A1625,原始数据_收盘!$A$4:$G$3460,6,0),"")</f>
        <v/>
      </c>
      <c r="G1625" t="str">
        <f>IFERROR(VLOOKUP($A1625,原始数据_收盘!$A$4:$G$3460,7,0),"")</f>
        <v/>
      </c>
      <c r="H1625" t="str">
        <f>IFERROR(VLOOKUP($A1625,原始数据_利率互换_FR007_1年!$A$6:$C$4395,2,0),"")</f>
        <v/>
      </c>
      <c r="I1625" t="str">
        <f>IFERROR(VLOOKUP($A1625,原始数据_利率互换_FR007_1年!$A$6:$C$4395,3,0),"")</f>
        <v/>
      </c>
    </row>
    <row r="1626" spans="1:9">
      <c r="A1626" s="6">
        <v>41119</v>
      </c>
      <c r="B1626" t="str">
        <f>IFERROR(VLOOKUP($A1626,原始数据_收盘!$A$4:$G$3460,2,0),"")</f>
        <v/>
      </c>
      <c r="C1626" t="str">
        <f>IFERROR(VLOOKUP($A1626,原始数据_收盘!$A$4:$G$3460,3,0),"")</f>
        <v/>
      </c>
      <c r="D1626" t="str">
        <f>IFERROR(VLOOKUP($A1626,原始数据_收盘!$A$4:$G$3460,4,0),"")</f>
        <v/>
      </c>
      <c r="E1626" t="str">
        <f>IFERROR(VLOOKUP($A1626,原始数据_收盘!$A$4:$G$3460,5,0),"")</f>
        <v/>
      </c>
      <c r="F1626" t="str">
        <f>IFERROR(VLOOKUP($A1626,原始数据_收盘!$A$4:$G$3460,6,0),"")</f>
        <v/>
      </c>
      <c r="G1626" t="str">
        <f>IFERROR(VLOOKUP($A1626,原始数据_收盘!$A$4:$G$3460,7,0),"")</f>
        <v/>
      </c>
      <c r="H1626" t="str">
        <f>IFERROR(VLOOKUP($A1626,原始数据_利率互换_FR007_1年!$A$6:$C$4395,2,0),"")</f>
        <v/>
      </c>
      <c r="I1626" t="str">
        <f>IFERROR(VLOOKUP($A1626,原始数据_利率互换_FR007_1年!$A$6:$C$4395,3,0),"")</f>
        <v/>
      </c>
    </row>
    <row r="1627" spans="1:9">
      <c r="A1627" s="6">
        <v>41120</v>
      </c>
      <c r="B1627">
        <f>IFERROR(VLOOKUP($A1627,原始数据_收盘!$A$4:$G$3460,2,0),"")</f>
        <v>2.5518</v>
      </c>
      <c r="C1627">
        <f>IFERROR(VLOOKUP($A1627,原始数据_收盘!$A$4:$G$3460,3,0),"")</f>
        <v>2.6883</v>
      </c>
      <c r="D1627">
        <f>IFERROR(VLOOKUP($A1627,原始数据_收盘!$A$4:$G$3460,4,0),"")</f>
        <v>2.6021</v>
      </c>
      <c r="E1627">
        <f>IFERROR(VLOOKUP($A1627,原始数据_收盘!$A$4:$G$3460,5,0),"")</f>
        <v>2.7474</v>
      </c>
      <c r="F1627">
        <f>IFERROR(VLOOKUP($A1627,原始数据_收盘!$A$4:$G$3460,6,0),"")</f>
        <v>2.5769</v>
      </c>
      <c r="G1627">
        <f>IFERROR(VLOOKUP($A1627,原始数据_收盘!$A$4:$G$3460,7,0),"")</f>
        <v>2.7178</v>
      </c>
      <c r="H1627">
        <f>IFERROR(VLOOKUP($A1627,原始数据_利率互换_FR007_1年!$A$6:$C$4395,2,0),"")</f>
        <v>2.6</v>
      </c>
      <c r="I1627">
        <f>IFERROR(VLOOKUP($A1627,原始数据_利率互换_FR007_1年!$A$6:$C$4395,3,0),"")</f>
        <v>2.7</v>
      </c>
    </row>
    <row r="1628" spans="1:9">
      <c r="A1628" s="6">
        <v>41121</v>
      </c>
      <c r="B1628">
        <f>IFERROR(VLOOKUP($A1628,原始数据_收盘!$A$4:$G$3460,2,0),"")</f>
        <v>2.581</v>
      </c>
      <c r="C1628">
        <f>IFERROR(VLOOKUP($A1628,原始数据_收盘!$A$4:$G$3460,3,0),"")</f>
        <v>2.712</v>
      </c>
      <c r="D1628">
        <f>IFERROR(VLOOKUP($A1628,原始数据_收盘!$A$4:$G$3460,4,0),"")</f>
        <v>2.627</v>
      </c>
      <c r="E1628">
        <f>IFERROR(VLOOKUP($A1628,原始数据_收盘!$A$4:$G$3460,5,0),"")</f>
        <v>2.7673</v>
      </c>
      <c r="F1628">
        <f>IFERROR(VLOOKUP($A1628,原始数据_收盘!$A$4:$G$3460,6,0),"")</f>
        <v>2.604</v>
      </c>
      <c r="G1628">
        <f>IFERROR(VLOOKUP($A1628,原始数据_收盘!$A$4:$G$3460,7,0),"")</f>
        <v>2.7397</v>
      </c>
      <c r="H1628">
        <f>IFERROR(VLOOKUP($A1628,原始数据_利率互换_FR007_1年!$A$6:$C$4395,2,0),"")</f>
        <v>2.5984</v>
      </c>
      <c r="I1628">
        <f>IFERROR(VLOOKUP($A1628,原始数据_利率互换_FR007_1年!$A$6:$C$4395,3,0),"")</f>
        <v>2.7334</v>
      </c>
    </row>
    <row r="1629" spans="1:9">
      <c r="A1629" s="6">
        <v>41122</v>
      </c>
      <c r="B1629">
        <f>IFERROR(VLOOKUP($A1629,原始数据_收盘!$A$4:$G$3460,2,0),"")</f>
        <v>2.5703</v>
      </c>
      <c r="C1629">
        <f>IFERROR(VLOOKUP($A1629,原始数据_收盘!$A$4:$G$3460,3,0),"")</f>
        <v>2.6993</v>
      </c>
      <c r="D1629">
        <f>IFERROR(VLOOKUP($A1629,原始数据_收盘!$A$4:$G$3460,4,0),"")</f>
        <v>2.6177</v>
      </c>
      <c r="E1629">
        <f>IFERROR(VLOOKUP($A1629,原始数据_收盘!$A$4:$G$3460,5,0),"")</f>
        <v>2.7561</v>
      </c>
      <c r="F1629">
        <f>IFERROR(VLOOKUP($A1629,原始数据_收盘!$A$4:$G$3460,6,0),"")</f>
        <v>2.594</v>
      </c>
      <c r="G1629">
        <f>IFERROR(VLOOKUP($A1629,原始数据_收盘!$A$4:$G$3460,7,0),"")</f>
        <v>2.7277</v>
      </c>
      <c r="H1629">
        <f>IFERROR(VLOOKUP($A1629,原始数据_利率互换_FR007_1年!$A$6:$C$4395,2,0),"")</f>
        <v>2.5929</v>
      </c>
      <c r="I1629">
        <f>IFERROR(VLOOKUP($A1629,原始数据_利率互换_FR007_1年!$A$6:$C$4395,3,0),"")</f>
        <v>2.7231</v>
      </c>
    </row>
    <row r="1630" spans="1:9">
      <c r="A1630" s="6">
        <v>41123</v>
      </c>
      <c r="B1630">
        <f>IFERROR(VLOOKUP($A1630,原始数据_收盘!$A$4:$G$3460,2,0),"")</f>
        <v>2.5808</v>
      </c>
      <c r="C1630">
        <f>IFERROR(VLOOKUP($A1630,原始数据_收盘!$A$4:$G$3460,3,0),"")</f>
        <v>2.6963</v>
      </c>
      <c r="D1630">
        <f>IFERROR(VLOOKUP($A1630,原始数据_收盘!$A$4:$G$3460,4,0),"")</f>
        <v>2.6322</v>
      </c>
      <c r="E1630">
        <f>IFERROR(VLOOKUP($A1630,原始数据_收盘!$A$4:$G$3460,5,0),"")</f>
        <v>2.7579</v>
      </c>
      <c r="F1630">
        <f>IFERROR(VLOOKUP($A1630,原始数据_收盘!$A$4:$G$3460,6,0),"")</f>
        <v>2.6065</v>
      </c>
      <c r="G1630">
        <f>IFERROR(VLOOKUP($A1630,原始数据_收盘!$A$4:$G$3460,7,0),"")</f>
        <v>2.7271</v>
      </c>
      <c r="H1630">
        <f>IFERROR(VLOOKUP($A1630,原始数据_利率互换_FR007_1年!$A$6:$C$4395,2,0),"")</f>
        <v>2.6012</v>
      </c>
      <c r="I1630">
        <f>IFERROR(VLOOKUP($A1630,原始数据_利率互换_FR007_1年!$A$6:$C$4395,3,0),"")</f>
        <v>2.7296</v>
      </c>
    </row>
    <row r="1631" spans="1:9">
      <c r="A1631" s="6">
        <v>41124</v>
      </c>
      <c r="B1631">
        <f>IFERROR(VLOOKUP($A1631,原始数据_收盘!$A$4:$G$3460,2,0),"")</f>
        <v>2.5813</v>
      </c>
      <c r="C1631">
        <f>IFERROR(VLOOKUP($A1631,原始数据_收盘!$A$4:$G$3460,3,0),"")</f>
        <v>2.6992</v>
      </c>
      <c r="D1631">
        <f>IFERROR(VLOOKUP($A1631,原始数据_收盘!$A$4:$G$3460,4,0),"")</f>
        <v>2.6246</v>
      </c>
      <c r="E1631">
        <f>IFERROR(VLOOKUP($A1631,原始数据_收盘!$A$4:$G$3460,5,0),"")</f>
        <v>2.7567</v>
      </c>
      <c r="F1631">
        <f>IFERROR(VLOOKUP($A1631,原始数据_收盘!$A$4:$G$3460,6,0),"")</f>
        <v>2.6029</v>
      </c>
      <c r="G1631">
        <f>IFERROR(VLOOKUP($A1631,原始数据_收盘!$A$4:$G$3460,7,0),"")</f>
        <v>2.7279</v>
      </c>
      <c r="H1631">
        <f>IFERROR(VLOOKUP($A1631,原始数据_利率互换_FR007_1年!$A$6:$C$4395,2,0),"")</f>
        <v>2.605</v>
      </c>
      <c r="I1631">
        <f>IFERROR(VLOOKUP($A1631,原始数据_利率互换_FR007_1年!$A$6:$C$4395,3,0),"")</f>
        <v>2.7257</v>
      </c>
    </row>
    <row r="1632" spans="1:9">
      <c r="A1632" s="6">
        <v>41125</v>
      </c>
      <c r="B1632" t="str">
        <f>IFERROR(VLOOKUP($A1632,原始数据_收盘!$A$4:$G$3460,2,0),"")</f>
        <v/>
      </c>
      <c r="C1632" t="str">
        <f>IFERROR(VLOOKUP($A1632,原始数据_收盘!$A$4:$G$3460,3,0),"")</f>
        <v/>
      </c>
      <c r="D1632" t="str">
        <f>IFERROR(VLOOKUP($A1632,原始数据_收盘!$A$4:$G$3460,4,0),"")</f>
        <v/>
      </c>
      <c r="E1632" t="str">
        <f>IFERROR(VLOOKUP($A1632,原始数据_收盘!$A$4:$G$3460,5,0),"")</f>
        <v/>
      </c>
      <c r="F1632" t="str">
        <f>IFERROR(VLOOKUP($A1632,原始数据_收盘!$A$4:$G$3460,6,0),"")</f>
        <v/>
      </c>
      <c r="G1632" t="str">
        <f>IFERROR(VLOOKUP($A1632,原始数据_收盘!$A$4:$G$3460,7,0),"")</f>
        <v/>
      </c>
      <c r="H1632" t="str">
        <f>IFERROR(VLOOKUP($A1632,原始数据_利率互换_FR007_1年!$A$6:$C$4395,2,0),"")</f>
        <v/>
      </c>
      <c r="I1632" t="str">
        <f>IFERROR(VLOOKUP($A1632,原始数据_利率互换_FR007_1年!$A$6:$C$4395,3,0),"")</f>
        <v/>
      </c>
    </row>
    <row r="1633" spans="1:9">
      <c r="A1633" s="6">
        <v>41126</v>
      </c>
      <c r="B1633" t="str">
        <f>IFERROR(VLOOKUP($A1633,原始数据_收盘!$A$4:$G$3460,2,0),"")</f>
        <v/>
      </c>
      <c r="C1633" t="str">
        <f>IFERROR(VLOOKUP($A1633,原始数据_收盘!$A$4:$G$3460,3,0),"")</f>
        <v/>
      </c>
      <c r="D1633" t="str">
        <f>IFERROR(VLOOKUP($A1633,原始数据_收盘!$A$4:$G$3460,4,0),"")</f>
        <v/>
      </c>
      <c r="E1633" t="str">
        <f>IFERROR(VLOOKUP($A1633,原始数据_收盘!$A$4:$G$3460,5,0),"")</f>
        <v/>
      </c>
      <c r="F1633" t="str">
        <f>IFERROR(VLOOKUP($A1633,原始数据_收盘!$A$4:$G$3460,6,0),"")</f>
        <v/>
      </c>
      <c r="G1633" t="str">
        <f>IFERROR(VLOOKUP($A1633,原始数据_收盘!$A$4:$G$3460,7,0),"")</f>
        <v/>
      </c>
      <c r="H1633" t="str">
        <f>IFERROR(VLOOKUP($A1633,原始数据_利率互换_FR007_1年!$A$6:$C$4395,2,0),"")</f>
        <v/>
      </c>
      <c r="I1633" t="str">
        <f>IFERROR(VLOOKUP($A1633,原始数据_利率互换_FR007_1年!$A$6:$C$4395,3,0),"")</f>
        <v/>
      </c>
    </row>
    <row r="1634" spans="1:9">
      <c r="A1634" s="6">
        <v>41127</v>
      </c>
      <c r="B1634">
        <f>IFERROR(VLOOKUP($A1634,原始数据_收盘!$A$4:$G$3460,2,0),"")</f>
        <v>2.6841</v>
      </c>
      <c r="C1634">
        <f>IFERROR(VLOOKUP($A1634,原始数据_收盘!$A$4:$G$3460,3,0),"")</f>
        <v>2.7923</v>
      </c>
      <c r="D1634">
        <f>IFERROR(VLOOKUP($A1634,原始数据_收盘!$A$4:$G$3460,4,0),"")</f>
        <v>2.7335</v>
      </c>
      <c r="E1634">
        <f>IFERROR(VLOOKUP($A1634,原始数据_收盘!$A$4:$G$3460,5,0),"")</f>
        <v>2.8474</v>
      </c>
      <c r="F1634">
        <f>IFERROR(VLOOKUP($A1634,原始数据_收盘!$A$4:$G$3460,6,0),"")</f>
        <v>2.7088</v>
      </c>
      <c r="G1634">
        <f>IFERROR(VLOOKUP($A1634,原始数据_收盘!$A$4:$G$3460,7,0),"")</f>
        <v>2.8199</v>
      </c>
      <c r="H1634">
        <f>IFERROR(VLOOKUP($A1634,原始数据_利率互换_FR007_1年!$A$6:$C$4395,2,0),"")</f>
        <v>2.6799</v>
      </c>
      <c r="I1634">
        <f>IFERROR(VLOOKUP($A1634,原始数据_利率互换_FR007_1年!$A$6:$C$4395,3,0),"")</f>
        <v>2.8223</v>
      </c>
    </row>
    <row r="1635" spans="1:9">
      <c r="A1635" s="6">
        <v>41128</v>
      </c>
      <c r="B1635">
        <f>IFERROR(VLOOKUP($A1635,原始数据_收盘!$A$4:$G$3460,2,0),"")</f>
        <v>2.7438</v>
      </c>
      <c r="C1635">
        <f>IFERROR(VLOOKUP($A1635,原始数据_收盘!$A$4:$G$3460,3,0),"")</f>
        <v>2.8395</v>
      </c>
      <c r="D1635">
        <f>IFERROR(VLOOKUP($A1635,原始数据_收盘!$A$4:$G$3460,4,0),"")</f>
        <v>2.7945</v>
      </c>
      <c r="E1635">
        <f>IFERROR(VLOOKUP($A1635,原始数据_收盘!$A$4:$G$3460,5,0),"")</f>
        <v>2.8969</v>
      </c>
      <c r="F1635">
        <f>IFERROR(VLOOKUP($A1635,原始数据_收盘!$A$4:$G$3460,6,0),"")</f>
        <v>2.7692</v>
      </c>
      <c r="G1635">
        <f>IFERROR(VLOOKUP($A1635,原始数据_收盘!$A$4:$G$3460,7,0),"")</f>
        <v>2.8682</v>
      </c>
      <c r="H1635">
        <f>IFERROR(VLOOKUP($A1635,原始数据_利率互换_FR007_1年!$A$6:$C$4395,2,0),"")</f>
        <v>2.7754</v>
      </c>
      <c r="I1635">
        <f>IFERROR(VLOOKUP($A1635,原始数据_利率互换_FR007_1年!$A$6:$C$4395,3,0),"")</f>
        <v>2.8608</v>
      </c>
    </row>
    <row r="1636" spans="1:9">
      <c r="A1636" s="6">
        <v>41129</v>
      </c>
      <c r="B1636">
        <f>IFERROR(VLOOKUP($A1636,原始数据_收盘!$A$4:$G$3460,2,0),"")</f>
        <v>2.7588</v>
      </c>
      <c r="C1636">
        <f>IFERROR(VLOOKUP($A1636,原始数据_收盘!$A$4:$G$3460,3,0),"")</f>
        <v>2.8587</v>
      </c>
      <c r="D1636">
        <f>IFERROR(VLOOKUP($A1636,原始数据_收盘!$A$4:$G$3460,4,0),"")</f>
        <v>2.804</v>
      </c>
      <c r="E1636">
        <f>IFERROR(VLOOKUP($A1636,原始数据_收盘!$A$4:$G$3460,5,0),"")</f>
        <v>2.914</v>
      </c>
      <c r="F1636">
        <f>IFERROR(VLOOKUP($A1636,原始数据_收盘!$A$4:$G$3460,6,0),"")</f>
        <v>2.7814</v>
      </c>
      <c r="G1636">
        <f>IFERROR(VLOOKUP($A1636,原始数据_收盘!$A$4:$G$3460,7,0),"")</f>
        <v>2.8863</v>
      </c>
      <c r="H1636">
        <f>IFERROR(VLOOKUP($A1636,原始数据_利率互换_FR007_1年!$A$6:$C$4395,2,0),"")</f>
        <v>2.7843</v>
      </c>
      <c r="I1636">
        <f>IFERROR(VLOOKUP($A1636,原始数据_利率互换_FR007_1年!$A$6:$C$4395,3,0),"")</f>
        <v>2.8956</v>
      </c>
    </row>
    <row r="1637" spans="1:9">
      <c r="A1637" s="6">
        <v>41130</v>
      </c>
      <c r="B1637">
        <f>IFERROR(VLOOKUP($A1637,原始数据_收盘!$A$4:$G$3460,2,0),"")</f>
        <v>2.7293</v>
      </c>
      <c r="C1637">
        <f>IFERROR(VLOOKUP($A1637,原始数据_收盘!$A$4:$G$3460,3,0),"")</f>
        <v>2.839</v>
      </c>
      <c r="D1637">
        <f>IFERROR(VLOOKUP($A1637,原始数据_收盘!$A$4:$G$3460,4,0),"")</f>
        <v>2.7767</v>
      </c>
      <c r="E1637">
        <f>IFERROR(VLOOKUP($A1637,原始数据_收盘!$A$4:$G$3460,5,0),"")</f>
        <v>2.8942</v>
      </c>
      <c r="F1637">
        <f>IFERROR(VLOOKUP($A1637,原始数据_收盘!$A$4:$G$3460,6,0),"")</f>
        <v>2.753</v>
      </c>
      <c r="G1637">
        <f>IFERROR(VLOOKUP($A1637,原始数据_收盘!$A$4:$G$3460,7,0),"")</f>
        <v>2.8666</v>
      </c>
      <c r="H1637" t="str">
        <f>IFERROR(VLOOKUP($A1637,原始数据_利率互换_FR007_1年!$A$6:$C$4395,2,0),"")</f>
        <v/>
      </c>
      <c r="I1637" t="str">
        <f>IFERROR(VLOOKUP($A1637,原始数据_利率互换_FR007_1年!$A$6:$C$4395,3,0),"")</f>
        <v/>
      </c>
    </row>
    <row r="1638" spans="1:9">
      <c r="A1638" s="6">
        <v>41131</v>
      </c>
      <c r="B1638">
        <f>IFERROR(VLOOKUP($A1638,原始数据_收盘!$A$4:$G$3460,2,0),"")</f>
        <v>2.6663</v>
      </c>
      <c r="C1638">
        <f>IFERROR(VLOOKUP($A1638,原始数据_收盘!$A$4:$G$3460,3,0),"")</f>
        <v>2.7693</v>
      </c>
      <c r="D1638">
        <f>IFERROR(VLOOKUP($A1638,原始数据_收盘!$A$4:$G$3460,4,0),"")</f>
        <v>2.7203</v>
      </c>
      <c r="E1638">
        <f>IFERROR(VLOOKUP($A1638,原始数据_收盘!$A$4:$G$3460,5,0),"")</f>
        <v>2.8243</v>
      </c>
      <c r="F1638">
        <f>IFERROR(VLOOKUP($A1638,原始数据_收盘!$A$4:$G$3460,6,0),"")</f>
        <v>2.6933</v>
      </c>
      <c r="G1638">
        <f>IFERROR(VLOOKUP($A1638,原始数据_收盘!$A$4:$G$3460,7,0),"")</f>
        <v>2.7968</v>
      </c>
      <c r="H1638">
        <f>IFERROR(VLOOKUP($A1638,原始数据_利率互换_FR007_1年!$A$6:$C$4395,2,0),"")</f>
        <v>2.6889</v>
      </c>
      <c r="I1638">
        <f>IFERROR(VLOOKUP($A1638,原始数据_利率互换_FR007_1年!$A$6:$C$4395,3,0),"")</f>
        <v>2.8098</v>
      </c>
    </row>
    <row r="1639" spans="1:9">
      <c r="A1639" s="6">
        <v>41132</v>
      </c>
      <c r="B1639" t="str">
        <f>IFERROR(VLOOKUP($A1639,原始数据_收盘!$A$4:$G$3460,2,0),"")</f>
        <v/>
      </c>
      <c r="C1639" t="str">
        <f>IFERROR(VLOOKUP($A1639,原始数据_收盘!$A$4:$G$3460,3,0),"")</f>
        <v/>
      </c>
      <c r="D1639" t="str">
        <f>IFERROR(VLOOKUP($A1639,原始数据_收盘!$A$4:$G$3460,4,0),"")</f>
        <v/>
      </c>
      <c r="E1639" t="str">
        <f>IFERROR(VLOOKUP($A1639,原始数据_收盘!$A$4:$G$3460,5,0),"")</f>
        <v/>
      </c>
      <c r="F1639" t="str">
        <f>IFERROR(VLOOKUP($A1639,原始数据_收盘!$A$4:$G$3460,6,0),"")</f>
        <v/>
      </c>
      <c r="G1639" t="str">
        <f>IFERROR(VLOOKUP($A1639,原始数据_收盘!$A$4:$G$3460,7,0),"")</f>
        <v/>
      </c>
      <c r="H1639" t="str">
        <f>IFERROR(VLOOKUP($A1639,原始数据_利率互换_FR007_1年!$A$6:$C$4395,2,0),"")</f>
        <v/>
      </c>
      <c r="I1639" t="str">
        <f>IFERROR(VLOOKUP($A1639,原始数据_利率互换_FR007_1年!$A$6:$C$4395,3,0),"")</f>
        <v/>
      </c>
    </row>
    <row r="1640" spans="1:9">
      <c r="A1640" s="6">
        <v>41133</v>
      </c>
      <c r="B1640" t="str">
        <f>IFERROR(VLOOKUP($A1640,原始数据_收盘!$A$4:$G$3460,2,0),"")</f>
        <v/>
      </c>
      <c r="C1640" t="str">
        <f>IFERROR(VLOOKUP($A1640,原始数据_收盘!$A$4:$G$3460,3,0),"")</f>
        <v/>
      </c>
      <c r="D1640" t="str">
        <f>IFERROR(VLOOKUP($A1640,原始数据_收盘!$A$4:$G$3460,4,0),"")</f>
        <v/>
      </c>
      <c r="E1640" t="str">
        <f>IFERROR(VLOOKUP($A1640,原始数据_收盘!$A$4:$G$3460,5,0),"")</f>
        <v/>
      </c>
      <c r="F1640" t="str">
        <f>IFERROR(VLOOKUP($A1640,原始数据_收盘!$A$4:$G$3460,6,0),"")</f>
        <v/>
      </c>
      <c r="G1640" t="str">
        <f>IFERROR(VLOOKUP($A1640,原始数据_收盘!$A$4:$G$3460,7,0),"")</f>
        <v/>
      </c>
      <c r="H1640" t="str">
        <f>IFERROR(VLOOKUP($A1640,原始数据_利率互换_FR007_1年!$A$6:$C$4395,2,0),"")</f>
        <v/>
      </c>
      <c r="I1640" t="str">
        <f>IFERROR(VLOOKUP($A1640,原始数据_利率互换_FR007_1年!$A$6:$C$4395,3,0),"")</f>
        <v/>
      </c>
    </row>
    <row r="1641" spans="1:9">
      <c r="A1641" s="6">
        <v>41134</v>
      </c>
      <c r="B1641">
        <f>IFERROR(VLOOKUP($A1641,原始数据_收盘!$A$4:$G$3460,2,0),"")</f>
        <v>2.7427</v>
      </c>
      <c r="C1641">
        <f>IFERROR(VLOOKUP($A1641,原始数据_收盘!$A$4:$G$3460,3,0),"")</f>
        <v>2.8133</v>
      </c>
      <c r="D1641">
        <f>IFERROR(VLOOKUP($A1641,原始数据_收盘!$A$4:$G$3460,4,0),"")</f>
        <v>2.7877</v>
      </c>
      <c r="E1641">
        <f>IFERROR(VLOOKUP($A1641,原始数据_收盘!$A$4:$G$3460,5,0),"")</f>
        <v>2.8649</v>
      </c>
      <c r="F1641">
        <f>IFERROR(VLOOKUP($A1641,原始数据_收盘!$A$4:$G$3460,6,0),"")</f>
        <v>2.7652</v>
      </c>
      <c r="G1641">
        <f>IFERROR(VLOOKUP($A1641,原始数据_收盘!$A$4:$G$3460,7,0),"")</f>
        <v>2.8391</v>
      </c>
      <c r="H1641">
        <f>IFERROR(VLOOKUP($A1641,原始数据_利率互换_FR007_1年!$A$6:$C$4395,2,0),"")</f>
        <v>2.7641</v>
      </c>
      <c r="I1641">
        <f>IFERROR(VLOOKUP($A1641,原始数据_利率互换_FR007_1年!$A$6:$C$4395,3,0),"")</f>
        <v>2.8491</v>
      </c>
    </row>
    <row r="1642" spans="1:9">
      <c r="A1642" s="6">
        <v>41135</v>
      </c>
      <c r="B1642">
        <f>IFERROR(VLOOKUP($A1642,原始数据_收盘!$A$4:$G$3460,2,0),"")</f>
        <v>2.7805</v>
      </c>
      <c r="C1642">
        <f>IFERROR(VLOOKUP($A1642,原始数据_收盘!$A$4:$G$3460,3,0),"")</f>
        <v>2.8499</v>
      </c>
      <c r="D1642">
        <f>IFERROR(VLOOKUP($A1642,原始数据_收盘!$A$4:$G$3460,4,0),"")</f>
        <v>2.829</v>
      </c>
      <c r="E1642">
        <f>IFERROR(VLOOKUP($A1642,原始数据_收盘!$A$4:$G$3460,5,0),"")</f>
        <v>2.9069</v>
      </c>
      <c r="F1642">
        <f>IFERROR(VLOOKUP($A1642,原始数据_收盘!$A$4:$G$3460,6,0),"")</f>
        <v>2.8047</v>
      </c>
      <c r="G1642">
        <f>IFERROR(VLOOKUP($A1642,原始数据_收盘!$A$4:$G$3460,7,0),"")</f>
        <v>2.8784</v>
      </c>
      <c r="H1642">
        <f>IFERROR(VLOOKUP($A1642,原始数据_利率互换_FR007_1年!$A$6:$C$4395,2,0),"")</f>
        <v>2.8031</v>
      </c>
      <c r="I1642">
        <f>IFERROR(VLOOKUP($A1642,原始数据_利率互换_FR007_1年!$A$6:$C$4395,3,0),"")</f>
        <v>2.884</v>
      </c>
    </row>
    <row r="1643" spans="1:9">
      <c r="A1643" s="6">
        <v>41136</v>
      </c>
      <c r="B1643">
        <f>IFERROR(VLOOKUP($A1643,原始数据_收盘!$A$4:$G$3460,2,0),"")</f>
        <v>2.839</v>
      </c>
      <c r="C1643">
        <f>IFERROR(VLOOKUP($A1643,原始数据_收盘!$A$4:$G$3460,3,0),"")</f>
        <v>2.903</v>
      </c>
      <c r="D1643">
        <f>IFERROR(VLOOKUP($A1643,原始数据_收盘!$A$4:$G$3460,4,0),"")</f>
        <v>2.8886</v>
      </c>
      <c r="E1643">
        <f>IFERROR(VLOOKUP($A1643,原始数据_收盘!$A$4:$G$3460,5,0),"")</f>
        <v>2.9567</v>
      </c>
      <c r="F1643">
        <f>IFERROR(VLOOKUP($A1643,原始数据_收盘!$A$4:$G$3460,6,0),"")</f>
        <v>2.8638</v>
      </c>
      <c r="G1643">
        <f>IFERROR(VLOOKUP($A1643,原始数据_收盘!$A$4:$G$3460,7,0),"")</f>
        <v>2.9298</v>
      </c>
      <c r="H1643">
        <f>IFERROR(VLOOKUP($A1643,原始数据_利率互换_FR007_1年!$A$6:$C$4395,2,0),"")</f>
        <v>2.8598</v>
      </c>
      <c r="I1643">
        <f>IFERROR(VLOOKUP($A1643,原始数据_利率互换_FR007_1年!$A$6:$C$4395,3,0),"")</f>
        <v>2.9447</v>
      </c>
    </row>
    <row r="1644" spans="1:9">
      <c r="A1644" s="6">
        <v>41137</v>
      </c>
      <c r="B1644">
        <f>IFERROR(VLOOKUP($A1644,原始数据_收盘!$A$4:$G$3460,2,0),"")</f>
        <v>2.8714</v>
      </c>
      <c r="C1644">
        <f>IFERROR(VLOOKUP($A1644,原始数据_收盘!$A$4:$G$3460,3,0),"")</f>
        <v>2.9073</v>
      </c>
      <c r="D1644">
        <f>IFERROR(VLOOKUP($A1644,原始数据_收盘!$A$4:$G$3460,4,0),"")</f>
        <v>2.9105</v>
      </c>
      <c r="E1644">
        <f>IFERROR(VLOOKUP($A1644,原始数据_收盘!$A$4:$G$3460,5,0),"")</f>
        <v>2.9562</v>
      </c>
      <c r="F1644">
        <f>IFERROR(VLOOKUP($A1644,原始数据_收盘!$A$4:$G$3460,6,0),"")</f>
        <v>2.8909</v>
      </c>
      <c r="G1644">
        <f>IFERROR(VLOOKUP($A1644,原始数据_收盘!$A$4:$G$3460,7,0),"")</f>
        <v>2.9317</v>
      </c>
      <c r="H1644">
        <f>IFERROR(VLOOKUP($A1644,原始数据_利率互换_FR007_1年!$A$6:$C$4395,2,0),"")</f>
        <v>2.8927</v>
      </c>
      <c r="I1644">
        <f>IFERROR(VLOOKUP($A1644,原始数据_利率互换_FR007_1年!$A$6:$C$4395,3,0),"")</f>
        <v>2.9317</v>
      </c>
    </row>
    <row r="1645" spans="1:9">
      <c r="A1645" s="6">
        <v>41138</v>
      </c>
      <c r="B1645">
        <f>IFERROR(VLOOKUP($A1645,原始数据_收盘!$A$4:$G$3460,2,0),"")</f>
        <v>2.858</v>
      </c>
      <c r="C1645">
        <f>IFERROR(VLOOKUP($A1645,原始数据_收盘!$A$4:$G$3460,3,0),"")</f>
        <v>2.8879</v>
      </c>
      <c r="D1645">
        <f>IFERROR(VLOOKUP($A1645,原始数据_收盘!$A$4:$G$3460,4,0),"")</f>
        <v>2.9087</v>
      </c>
      <c r="E1645">
        <f>IFERROR(VLOOKUP($A1645,原始数据_收盘!$A$4:$G$3460,5,0),"")</f>
        <v>2.9499</v>
      </c>
      <c r="F1645">
        <f>IFERROR(VLOOKUP($A1645,原始数据_收盘!$A$4:$G$3460,6,0),"")</f>
        <v>2.8833</v>
      </c>
      <c r="G1645">
        <f>IFERROR(VLOOKUP($A1645,原始数据_收盘!$A$4:$G$3460,7,0),"")</f>
        <v>2.9189</v>
      </c>
      <c r="H1645">
        <f>IFERROR(VLOOKUP($A1645,原始数据_利率互换_FR007_1年!$A$6:$C$4395,2,0),"")</f>
        <v>2.8963</v>
      </c>
      <c r="I1645">
        <f>IFERROR(VLOOKUP($A1645,原始数据_利率互换_FR007_1年!$A$6:$C$4395,3,0),"")</f>
        <v>2.9226</v>
      </c>
    </row>
    <row r="1646" spans="1:9">
      <c r="A1646" s="6">
        <v>41139</v>
      </c>
      <c r="B1646" t="str">
        <f>IFERROR(VLOOKUP($A1646,原始数据_收盘!$A$4:$G$3460,2,0),"")</f>
        <v/>
      </c>
      <c r="C1646" t="str">
        <f>IFERROR(VLOOKUP($A1646,原始数据_收盘!$A$4:$G$3460,3,0),"")</f>
        <v/>
      </c>
      <c r="D1646" t="str">
        <f>IFERROR(VLOOKUP($A1646,原始数据_收盘!$A$4:$G$3460,4,0),"")</f>
        <v/>
      </c>
      <c r="E1646" t="str">
        <f>IFERROR(VLOOKUP($A1646,原始数据_收盘!$A$4:$G$3460,5,0),"")</f>
        <v/>
      </c>
      <c r="F1646" t="str">
        <f>IFERROR(VLOOKUP($A1646,原始数据_收盘!$A$4:$G$3460,6,0),"")</f>
        <v/>
      </c>
      <c r="G1646" t="str">
        <f>IFERROR(VLOOKUP($A1646,原始数据_收盘!$A$4:$G$3460,7,0),"")</f>
        <v/>
      </c>
      <c r="H1646" t="str">
        <f>IFERROR(VLOOKUP($A1646,原始数据_利率互换_FR007_1年!$A$6:$C$4395,2,0),"")</f>
        <v/>
      </c>
      <c r="I1646" t="str">
        <f>IFERROR(VLOOKUP($A1646,原始数据_利率互换_FR007_1年!$A$6:$C$4395,3,0),"")</f>
        <v/>
      </c>
    </row>
    <row r="1647" spans="1:9">
      <c r="A1647" s="6">
        <v>41140</v>
      </c>
      <c r="B1647" t="str">
        <f>IFERROR(VLOOKUP($A1647,原始数据_收盘!$A$4:$G$3460,2,0),"")</f>
        <v/>
      </c>
      <c r="C1647" t="str">
        <f>IFERROR(VLOOKUP($A1647,原始数据_收盘!$A$4:$G$3460,3,0),"")</f>
        <v/>
      </c>
      <c r="D1647" t="str">
        <f>IFERROR(VLOOKUP($A1647,原始数据_收盘!$A$4:$G$3460,4,0),"")</f>
        <v/>
      </c>
      <c r="E1647" t="str">
        <f>IFERROR(VLOOKUP($A1647,原始数据_收盘!$A$4:$G$3460,5,0),"")</f>
        <v/>
      </c>
      <c r="F1647" t="str">
        <f>IFERROR(VLOOKUP($A1647,原始数据_收盘!$A$4:$G$3460,6,0),"")</f>
        <v/>
      </c>
      <c r="G1647" t="str">
        <f>IFERROR(VLOOKUP($A1647,原始数据_收盘!$A$4:$G$3460,7,0),"")</f>
        <v/>
      </c>
      <c r="H1647" t="str">
        <f>IFERROR(VLOOKUP($A1647,原始数据_利率互换_FR007_1年!$A$6:$C$4395,2,0),"")</f>
        <v/>
      </c>
      <c r="I1647" t="str">
        <f>IFERROR(VLOOKUP($A1647,原始数据_利率互换_FR007_1年!$A$6:$C$4395,3,0),"")</f>
        <v/>
      </c>
    </row>
    <row r="1648" spans="1:9">
      <c r="A1648" s="6">
        <v>41141</v>
      </c>
      <c r="B1648">
        <f>IFERROR(VLOOKUP($A1648,原始数据_收盘!$A$4:$G$3460,2,0),"")</f>
        <v>2.9904</v>
      </c>
      <c r="C1648">
        <f>IFERROR(VLOOKUP($A1648,原始数据_收盘!$A$4:$G$3460,3,0),"")</f>
        <v>2.9877</v>
      </c>
      <c r="D1648">
        <f>IFERROR(VLOOKUP($A1648,原始数据_收盘!$A$4:$G$3460,4,0),"")</f>
        <v>3.0394</v>
      </c>
      <c r="E1648">
        <f>IFERROR(VLOOKUP($A1648,原始数据_收盘!$A$4:$G$3460,5,0),"")</f>
        <v>3.041</v>
      </c>
      <c r="F1648">
        <f>IFERROR(VLOOKUP($A1648,原始数据_收盘!$A$4:$G$3460,6,0),"")</f>
        <v>3.0149</v>
      </c>
      <c r="G1648">
        <f>IFERROR(VLOOKUP($A1648,原始数据_收盘!$A$4:$G$3460,7,0),"")</f>
        <v>3.0144</v>
      </c>
      <c r="H1648">
        <f>IFERROR(VLOOKUP($A1648,原始数据_利率互换_FR007_1年!$A$6:$C$4395,2,0),"")</f>
        <v>3.0033</v>
      </c>
      <c r="I1648">
        <f>IFERROR(VLOOKUP($A1648,原始数据_利率互换_FR007_1年!$A$6:$C$4395,3,0),"")</f>
        <v>2.9572</v>
      </c>
    </row>
    <row r="1649" spans="1:9">
      <c r="A1649" s="6">
        <v>41142</v>
      </c>
      <c r="B1649">
        <f>IFERROR(VLOOKUP($A1649,原始数据_收盘!$A$4:$G$3460,2,0),"")</f>
        <v>3.0786</v>
      </c>
      <c r="C1649">
        <f>IFERROR(VLOOKUP($A1649,原始数据_收盘!$A$4:$G$3460,3,0),"")</f>
        <v>3.0571</v>
      </c>
      <c r="D1649">
        <f>IFERROR(VLOOKUP($A1649,原始数据_收盘!$A$4:$G$3460,4,0),"")</f>
        <v>3.1291</v>
      </c>
      <c r="E1649">
        <f>IFERROR(VLOOKUP($A1649,原始数据_收盘!$A$4:$G$3460,5,0),"")</f>
        <v>3.1156</v>
      </c>
      <c r="F1649">
        <f>IFERROR(VLOOKUP($A1649,原始数据_收盘!$A$4:$G$3460,6,0),"")</f>
        <v>3.1038</v>
      </c>
      <c r="G1649">
        <f>IFERROR(VLOOKUP($A1649,原始数据_收盘!$A$4:$G$3460,7,0),"")</f>
        <v>3.0864</v>
      </c>
      <c r="H1649">
        <f>IFERROR(VLOOKUP($A1649,原始数据_利率互换_FR007_1年!$A$6:$C$4395,2,0),"")</f>
        <v>3.0625</v>
      </c>
      <c r="I1649">
        <f>IFERROR(VLOOKUP($A1649,原始数据_利率互换_FR007_1年!$A$6:$C$4395,3,0),"")</f>
        <v>3.0482</v>
      </c>
    </row>
    <row r="1650" spans="1:9">
      <c r="A1650" s="6">
        <v>41143</v>
      </c>
      <c r="B1650">
        <f>IFERROR(VLOOKUP($A1650,原始数据_收盘!$A$4:$G$3460,2,0),"")</f>
        <v>3.1696</v>
      </c>
      <c r="C1650">
        <f>IFERROR(VLOOKUP($A1650,原始数据_收盘!$A$4:$G$3460,3,0),"")</f>
        <v>3.1564</v>
      </c>
      <c r="D1650">
        <f>IFERROR(VLOOKUP($A1650,原始数据_收盘!$A$4:$G$3460,4,0),"")</f>
        <v>3.2232</v>
      </c>
      <c r="E1650">
        <f>IFERROR(VLOOKUP($A1650,原始数据_收盘!$A$4:$G$3460,5,0),"")</f>
        <v>3.2183</v>
      </c>
      <c r="F1650">
        <f>IFERROR(VLOOKUP($A1650,原始数据_收盘!$A$4:$G$3460,6,0),"")</f>
        <v>3.1964</v>
      </c>
      <c r="G1650">
        <f>IFERROR(VLOOKUP($A1650,原始数据_收盘!$A$4:$G$3460,7,0),"")</f>
        <v>3.1874</v>
      </c>
      <c r="H1650">
        <f>IFERROR(VLOOKUP($A1650,原始数据_利率互换_FR007_1年!$A$6:$C$4395,2,0),"")</f>
        <v>3.1523</v>
      </c>
      <c r="I1650">
        <f>IFERROR(VLOOKUP($A1650,原始数据_利率互换_FR007_1年!$A$6:$C$4395,3,0),"")</f>
        <v>3.1393</v>
      </c>
    </row>
    <row r="1651" spans="1:9">
      <c r="A1651" s="6">
        <v>41144</v>
      </c>
      <c r="B1651">
        <f>IFERROR(VLOOKUP($A1651,原始数据_收盘!$A$4:$G$3460,2,0),"")</f>
        <v>3.1165</v>
      </c>
      <c r="C1651">
        <f>IFERROR(VLOOKUP($A1651,原始数据_收盘!$A$4:$G$3460,3,0),"")</f>
        <v>3.0837</v>
      </c>
      <c r="D1651">
        <f>IFERROR(VLOOKUP($A1651,原始数据_收盘!$A$4:$G$3460,4,0),"")</f>
        <v>3.1642</v>
      </c>
      <c r="E1651">
        <f>IFERROR(VLOOKUP($A1651,原始数据_收盘!$A$4:$G$3460,5,0),"")</f>
        <v>3.1425</v>
      </c>
      <c r="F1651">
        <f>IFERROR(VLOOKUP($A1651,原始数据_收盘!$A$4:$G$3460,6,0),"")</f>
        <v>3.1403</v>
      </c>
      <c r="G1651">
        <f>IFERROR(VLOOKUP($A1651,原始数据_收盘!$A$4:$G$3460,7,0),"")</f>
        <v>3.1131</v>
      </c>
      <c r="H1651">
        <f>IFERROR(VLOOKUP($A1651,原始数据_利率互换_FR007_1年!$A$6:$C$4395,2,0),"")</f>
        <v>3.1605</v>
      </c>
      <c r="I1651">
        <f>IFERROR(VLOOKUP($A1651,原始数据_利率互换_FR007_1年!$A$6:$C$4395,3,0),"")</f>
        <v>3.1399</v>
      </c>
    </row>
    <row r="1652" spans="1:9">
      <c r="A1652" s="6">
        <v>41145</v>
      </c>
      <c r="B1652">
        <f>IFERROR(VLOOKUP($A1652,原始数据_收盘!$A$4:$G$3460,2,0),"")</f>
        <v>3.068</v>
      </c>
      <c r="C1652">
        <f>IFERROR(VLOOKUP($A1652,原始数据_收盘!$A$4:$G$3460,3,0),"")</f>
        <v>3.0631</v>
      </c>
      <c r="D1652">
        <f>IFERROR(VLOOKUP($A1652,原始数据_收盘!$A$4:$G$3460,4,0),"")</f>
        <v>3.1207</v>
      </c>
      <c r="E1652">
        <f>IFERROR(VLOOKUP($A1652,原始数据_收盘!$A$4:$G$3460,5,0),"")</f>
        <v>3.1239</v>
      </c>
      <c r="F1652">
        <f>IFERROR(VLOOKUP($A1652,原始数据_收盘!$A$4:$G$3460,6,0),"")</f>
        <v>3.0944</v>
      </c>
      <c r="G1652">
        <f>IFERROR(VLOOKUP($A1652,原始数据_收盘!$A$4:$G$3460,7,0),"")</f>
        <v>3.0935</v>
      </c>
      <c r="H1652">
        <f>IFERROR(VLOOKUP($A1652,原始数据_利率互换_FR007_1年!$A$6:$C$4395,2,0),"")</f>
        <v>3.0888</v>
      </c>
      <c r="I1652">
        <f>IFERROR(VLOOKUP($A1652,原始数据_利率互换_FR007_1年!$A$6:$C$4395,3,0),"")</f>
        <v>3.0848</v>
      </c>
    </row>
    <row r="1653" spans="1:9">
      <c r="A1653" s="6">
        <v>41146</v>
      </c>
      <c r="B1653" t="str">
        <f>IFERROR(VLOOKUP($A1653,原始数据_收盘!$A$4:$G$3460,2,0),"")</f>
        <v/>
      </c>
      <c r="C1653" t="str">
        <f>IFERROR(VLOOKUP($A1653,原始数据_收盘!$A$4:$G$3460,3,0),"")</f>
        <v/>
      </c>
      <c r="D1653" t="str">
        <f>IFERROR(VLOOKUP($A1653,原始数据_收盘!$A$4:$G$3460,4,0),"")</f>
        <v/>
      </c>
      <c r="E1653" t="str">
        <f>IFERROR(VLOOKUP($A1653,原始数据_收盘!$A$4:$G$3460,5,0),"")</f>
        <v/>
      </c>
      <c r="F1653" t="str">
        <f>IFERROR(VLOOKUP($A1653,原始数据_收盘!$A$4:$G$3460,6,0),"")</f>
        <v/>
      </c>
      <c r="G1653" t="str">
        <f>IFERROR(VLOOKUP($A1653,原始数据_收盘!$A$4:$G$3460,7,0),"")</f>
        <v/>
      </c>
      <c r="H1653" t="str">
        <f>IFERROR(VLOOKUP($A1653,原始数据_利率互换_FR007_1年!$A$6:$C$4395,2,0),"")</f>
        <v/>
      </c>
      <c r="I1653" t="str">
        <f>IFERROR(VLOOKUP($A1653,原始数据_利率互换_FR007_1年!$A$6:$C$4395,3,0),"")</f>
        <v/>
      </c>
    </row>
    <row r="1654" spans="1:9">
      <c r="A1654" s="6">
        <v>41147</v>
      </c>
      <c r="B1654" t="str">
        <f>IFERROR(VLOOKUP($A1654,原始数据_收盘!$A$4:$G$3460,2,0),"")</f>
        <v/>
      </c>
      <c r="C1654" t="str">
        <f>IFERROR(VLOOKUP($A1654,原始数据_收盘!$A$4:$G$3460,3,0),"")</f>
        <v/>
      </c>
      <c r="D1654" t="str">
        <f>IFERROR(VLOOKUP($A1654,原始数据_收盘!$A$4:$G$3460,4,0),"")</f>
        <v/>
      </c>
      <c r="E1654" t="str">
        <f>IFERROR(VLOOKUP($A1654,原始数据_收盘!$A$4:$G$3460,5,0),"")</f>
        <v/>
      </c>
      <c r="F1654" t="str">
        <f>IFERROR(VLOOKUP($A1654,原始数据_收盘!$A$4:$G$3460,6,0),"")</f>
        <v/>
      </c>
      <c r="G1654" t="str">
        <f>IFERROR(VLOOKUP($A1654,原始数据_收盘!$A$4:$G$3460,7,0),"")</f>
        <v/>
      </c>
      <c r="H1654" t="str">
        <f>IFERROR(VLOOKUP($A1654,原始数据_利率互换_FR007_1年!$A$6:$C$4395,2,0),"")</f>
        <v/>
      </c>
      <c r="I1654" t="str">
        <f>IFERROR(VLOOKUP($A1654,原始数据_利率互换_FR007_1年!$A$6:$C$4395,3,0),"")</f>
        <v/>
      </c>
    </row>
    <row r="1655" spans="1:9">
      <c r="A1655" s="6">
        <v>41148</v>
      </c>
      <c r="B1655">
        <f>IFERROR(VLOOKUP($A1655,原始数据_收盘!$A$4:$G$3460,2,0),"")</f>
        <v>3.0896</v>
      </c>
      <c r="C1655">
        <f>IFERROR(VLOOKUP($A1655,原始数据_收盘!$A$4:$G$3460,3,0),"")</f>
        <v>3.0738</v>
      </c>
      <c r="D1655">
        <f>IFERROR(VLOOKUP($A1655,原始数据_收盘!$A$4:$G$3460,4,0),"")</f>
        <v>3.1396</v>
      </c>
      <c r="E1655">
        <f>IFERROR(VLOOKUP($A1655,原始数据_收盘!$A$4:$G$3460,5,0),"")</f>
        <v>3.1322</v>
      </c>
      <c r="F1655">
        <f>IFERROR(VLOOKUP($A1655,原始数据_收盘!$A$4:$G$3460,6,0),"")</f>
        <v>3.1146</v>
      </c>
      <c r="G1655">
        <f>IFERROR(VLOOKUP($A1655,原始数据_收盘!$A$4:$G$3460,7,0),"")</f>
        <v>3.103</v>
      </c>
      <c r="H1655">
        <f>IFERROR(VLOOKUP($A1655,原始数据_利率互换_FR007_1年!$A$6:$C$4395,2,0),"")</f>
        <v>3.1069</v>
      </c>
      <c r="I1655">
        <f>IFERROR(VLOOKUP($A1655,原始数据_利率互换_FR007_1年!$A$6:$C$4395,3,0),"")</f>
        <v>3.1089</v>
      </c>
    </row>
    <row r="1656" spans="1:9">
      <c r="A1656" s="6">
        <v>41149</v>
      </c>
      <c r="B1656">
        <f>IFERROR(VLOOKUP($A1656,原始数据_收盘!$A$4:$G$3460,2,0),"")</f>
        <v>3.0475</v>
      </c>
      <c r="C1656">
        <f>IFERROR(VLOOKUP($A1656,原始数据_收盘!$A$4:$G$3460,3,0),"")</f>
        <v>3.0379</v>
      </c>
      <c r="D1656">
        <f>IFERROR(VLOOKUP($A1656,原始数据_收盘!$A$4:$G$3460,4,0),"")</f>
        <v>3.1032</v>
      </c>
      <c r="E1656">
        <f>IFERROR(VLOOKUP($A1656,原始数据_收盘!$A$4:$G$3460,5,0),"")</f>
        <v>3.0986</v>
      </c>
      <c r="F1656">
        <f>IFERROR(VLOOKUP($A1656,原始数据_收盘!$A$4:$G$3460,6,0),"")</f>
        <v>3.0754</v>
      </c>
      <c r="G1656">
        <f>IFERROR(VLOOKUP($A1656,原始数据_收盘!$A$4:$G$3460,7,0),"")</f>
        <v>3.0682</v>
      </c>
      <c r="H1656">
        <f>IFERROR(VLOOKUP($A1656,原始数据_利率互换_FR007_1年!$A$6:$C$4395,2,0),"")</f>
        <v>3.0692</v>
      </c>
      <c r="I1656">
        <f>IFERROR(VLOOKUP($A1656,原始数据_利率互换_FR007_1年!$A$6:$C$4395,3,0),"")</f>
        <v>3.0664</v>
      </c>
    </row>
    <row r="1657" spans="1:9">
      <c r="A1657" s="6">
        <v>41150</v>
      </c>
      <c r="B1657">
        <f>IFERROR(VLOOKUP($A1657,原始数据_收盘!$A$4:$G$3460,2,0),"")</f>
        <v>3.0732</v>
      </c>
      <c r="C1657">
        <f>IFERROR(VLOOKUP($A1657,原始数据_收盘!$A$4:$G$3460,3,0),"")</f>
        <v>3.0611</v>
      </c>
      <c r="D1657">
        <f>IFERROR(VLOOKUP($A1657,原始数据_收盘!$A$4:$G$3460,4,0),"")</f>
        <v>3.1239</v>
      </c>
      <c r="E1657">
        <f>IFERROR(VLOOKUP($A1657,原始数据_收盘!$A$4:$G$3460,5,0),"")</f>
        <v>3.1198</v>
      </c>
      <c r="F1657">
        <f>IFERROR(VLOOKUP($A1657,原始数据_收盘!$A$4:$G$3460,6,0),"")</f>
        <v>3.0986</v>
      </c>
      <c r="G1657">
        <f>IFERROR(VLOOKUP($A1657,原始数据_收盘!$A$4:$G$3460,7,0),"")</f>
        <v>3.0904</v>
      </c>
      <c r="H1657">
        <f>IFERROR(VLOOKUP($A1657,原始数据_利率互换_FR007_1年!$A$6:$C$4395,2,0),"")</f>
        <v>3.0946</v>
      </c>
      <c r="I1657">
        <f>IFERROR(VLOOKUP($A1657,原始数据_利率互换_FR007_1年!$A$6:$C$4395,3,0),"")</f>
        <v>3.09</v>
      </c>
    </row>
    <row r="1658" spans="1:9">
      <c r="A1658" s="6">
        <v>41151</v>
      </c>
      <c r="B1658">
        <f>IFERROR(VLOOKUP($A1658,原始数据_收盘!$A$4:$G$3460,2,0),"")</f>
        <v>3.0854</v>
      </c>
      <c r="C1658">
        <f>IFERROR(VLOOKUP($A1658,原始数据_收盘!$A$4:$G$3460,3,0),"")</f>
        <v>3.0589</v>
      </c>
      <c r="D1658">
        <f>IFERROR(VLOOKUP($A1658,原始数据_收盘!$A$4:$G$3460,4,0),"")</f>
        <v>3.1349</v>
      </c>
      <c r="E1658">
        <f>IFERROR(VLOOKUP($A1658,原始数据_收盘!$A$4:$G$3460,5,0),"")</f>
        <v>3.1181</v>
      </c>
      <c r="F1658">
        <f>IFERROR(VLOOKUP($A1658,原始数据_收盘!$A$4:$G$3460,6,0),"")</f>
        <v>3.1101</v>
      </c>
      <c r="G1658">
        <f>IFERROR(VLOOKUP($A1658,原始数据_收盘!$A$4:$G$3460,7,0),"")</f>
        <v>3.0885</v>
      </c>
      <c r="H1658">
        <f>IFERROR(VLOOKUP($A1658,原始数据_利率互换_FR007_1年!$A$6:$C$4395,2,0),"")</f>
        <v>3.1078</v>
      </c>
      <c r="I1658">
        <f>IFERROR(VLOOKUP($A1658,原始数据_利率互换_FR007_1年!$A$6:$C$4395,3,0),"")</f>
        <v>3.0904</v>
      </c>
    </row>
    <row r="1659" spans="1:9">
      <c r="A1659" s="6">
        <v>41152</v>
      </c>
      <c r="B1659">
        <f>IFERROR(VLOOKUP($A1659,原始数据_收盘!$A$4:$G$3460,2,0),"")</f>
        <v>3.0909</v>
      </c>
      <c r="C1659">
        <f>IFERROR(VLOOKUP($A1659,原始数据_收盘!$A$4:$G$3460,3,0),"")</f>
        <v>3.0663</v>
      </c>
      <c r="D1659">
        <f>IFERROR(VLOOKUP($A1659,原始数据_收盘!$A$4:$G$3460,4,0),"")</f>
        <v>3.1394</v>
      </c>
      <c r="E1659">
        <f>IFERROR(VLOOKUP($A1659,原始数据_收盘!$A$4:$G$3460,5,0),"")</f>
        <v>3.1182</v>
      </c>
      <c r="F1659">
        <f>IFERROR(VLOOKUP($A1659,原始数据_收盘!$A$4:$G$3460,6,0),"")</f>
        <v>3.1152</v>
      </c>
      <c r="G1659">
        <f>IFERROR(VLOOKUP($A1659,原始数据_收盘!$A$4:$G$3460,7,0),"")</f>
        <v>3.0923</v>
      </c>
      <c r="H1659">
        <f>IFERROR(VLOOKUP($A1659,原始数据_利率互换_FR007_1年!$A$6:$C$4395,2,0),"")</f>
        <v>3.1044</v>
      </c>
      <c r="I1659">
        <f>IFERROR(VLOOKUP($A1659,原始数据_利率互换_FR007_1年!$A$6:$C$4395,3,0),"")</f>
        <v>3.0968</v>
      </c>
    </row>
    <row r="1660" spans="1:9">
      <c r="A1660" s="6">
        <v>41153</v>
      </c>
      <c r="B1660" t="str">
        <f>IFERROR(VLOOKUP($A1660,原始数据_收盘!$A$4:$G$3460,2,0),"")</f>
        <v/>
      </c>
      <c r="C1660" t="str">
        <f>IFERROR(VLOOKUP($A1660,原始数据_收盘!$A$4:$G$3460,3,0),"")</f>
        <v/>
      </c>
      <c r="D1660" t="str">
        <f>IFERROR(VLOOKUP($A1660,原始数据_收盘!$A$4:$G$3460,4,0),"")</f>
        <v/>
      </c>
      <c r="E1660" t="str">
        <f>IFERROR(VLOOKUP($A1660,原始数据_收盘!$A$4:$G$3460,5,0),"")</f>
        <v/>
      </c>
      <c r="F1660" t="str">
        <f>IFERROR(VLOOKUP($A1660,原始数据_收盘!$A$4:$G$3460,6,0),"")</f>
        <v/>
      </c>
      <c r="G1660" t="str">
        <f>IFERROR(VLOOKUP($A1660,原始数据_收盘!$A$4:$G$3460,7,0),"")</f>
        <v/>
      </c>
      <c r="H1660" t="str">
        <f>IFERROR(VLOOKUP($A1660,原始数据_利率互换_FR007_1年!$A$6:$C$4395,2,0),"")</f>
        <v/>
      </c>
      <c r="I1660" t="str">
        <f>IFERROR(VLOOKUP($A1660,原始数据_利率互换_FR007_1年!$A$6:$C$4395,3,0),"")</f>
        <v/>
      </c>
    </row>
    <row r="1661" spans="1:9">
      <c r="A1661" s="6">
        <v>41154</v>
      </c>
      <c r="B1661" t="str">
        <f>IFERROR(VLOOKUP($A1661,原始数据_收盘!$A$4:$G$3460,2,0),"")</f>
        <v/>
      </c>
      <c r="C1661" t="str">
        <f>IFERROR(VLOOKUP($A1661,原始数据_收盘!$A$4:$G$3460,3,0),"")</f>
        <v/>
      </c>
      <c r="D1661" t="str">
        <f>IFERROR(VLOOKUP($A1661,原始数据_收盘!$A$4:$G$3460,4,0),"")</f>
        <v/>
      </c>
      <c r="E1661" t="str">
        <f>IFERROR(VLOOKUP($A1661,原始数据_收盘!$A$4:$G$3460,5,0),"")</f>
        <v/>
      </c>
      <c r="F1661" t="str">
        <f>IFERROR(VLOOKUP($A1661,原始数据_收盘!$A$4:$G$3460,6,0),"")</f>
        <v/>
      </c>
      <c r="G1661" t="str">
        <f>IFERROR(VLOOKUP($A1661,原始数据_收盘!$A$4:$G$3460,7,0),"")</f>
        <v/>
      </c>
      <c r="H1661" t="str">
        <f>IFERROR(VLOOKUP($A1661,原始数据_利率互换_FR007_1年!$A$6:$C$4395,2,0),"")</f>
        <v/>
      </c>
      <c r="I1661" t="str">
        <f>IFERROR(VLOOKUP($A1661,原始数据_利率互换_FR007_1年!$A$6:$C$4395,3,0),"")</f>
        <v/>
      </c>
    </row>
    <row r="1662" spans="1:9">
      <c r="A1662" s="6">
        <v>41155</v>
      </c>
      <c r="B1662">
        <f>IFERROR(VLOOKUP($A1662,原始数据_收盘!$A$4:$G$3460,2,0),"")</f>
        <v>3.0486</v>
      </c>
      <c r="C1662">
        <f>IFERROR(VLOOKUP($A1662,原始数据_收盘!$A$4:$G$3460,3,0),"")</f>
        <v>3.0116</v>
      </c>
      <c r="D1662">
        <f>IFERROR(VLOOKUP($A1662,原始数据_收盘!$A$4:$G$3460,4,0),"")</f>
        <v>3.096</v>
      </c>
      <c r="E1662">
        <f>IFERROR(VLOOKUP($A1662,原始数据_收盘!$A$4:$G$3460,5,0),"")</f>
        <v>3.0621</v>
      </c>
      <c r="F1662">
        <f>IFERROR(VLOOKUP($A1662,原始数据_收盘!$A$4:$G$3460,6,0),"")</f>
        <v>3.0723</v>
      </c>
      <c r="G1662">
        <f>IFERROR(VLOOKUP($A1662,原始数据_收盘!$A$4:$G$3460,7,0),"")</f>
        <v>3.0368</v>
      </c>
      <c r="H1662">
        <f>IFERROR(VLOOKUP($A1662,原始数据_利率互换_FR007_1年!$A$6:$C$4395,2,0),"")</f>
        <v>3.0636</v>
      </c>
      <c r="I1662">
        <f>IFERROR(VLOOKUP($A1662,原始数据_利率互换_FR007_1年!$A$6:$C$4395,3,0),"")</f>
        <v>3.0261</v>
      </c>
    </row>
    <row r="1663" spans="1:9">
      <c r="A1663" s="6">
        <v>41156</v>
      </c>
      <c r="B1663">
        <f>IFERROR(VLOOKUP($A1663,原始数据_收盘!$A$4:$G$3460,2,0),"")</f>
        <v>2.9481</v>
      </c>
      <c r="C1663">
        <f>IFERROR(VLOOKUP($A1663,原始数据_收盘!$A$4:$G$3460,3,0),"")</f>
        <v>2.9301</v>
      </c>
      <c r="D1663">
        <f>IFERROR(VLOOKUP($A1663,原始数据_收盘!$A$4:$G$3460,4,0),"")</f>
        <v>2.9988</v>
      </c>
      <c r="E1663">
        <f>IFERROR(VLOOKUP($A1663,原始数据_收盘!$A$4:$G$3460,5,0),"")</f>
        <v>2.9923</v>
      </c>
      <c r="F1663">
        <f>IFERROR(VLOOKUP($A1663,原始数据_收盘!$A$4:$G$3460,6,0),"")</f>
        <v>2.9735</v>
      </c>
      <c r="G1663">
        <f>IFERROR(VLOOKUP($A1663,原始数据_收盘!$A$4:$G$3460,7,0),"")</f>
        <v>2.9612</v>
      </c>
      <c r="H1663">
        <f>IFERROR(VLOOKUP($A1663,原始数据_利率互换_FR007_1年!$A$6:$C$4395,2,0),"")</f>
        <v>3.004</v>
      </c>
      <c r="I1663">
        <f>IFERROR(VLOOKUP($A1663,原始数据_利率互换_FR007_1年!$A$6:$C$4395,3,0),"")</f>
        <v>2.9736</v>
      </c>
    </row>
    <row r="1664" spans="1:9">
      <c r="A1664" s="6">
        <v>41157</v>
      </c>
      <c r="B1664">
        <f>IFERROR(VLOOKUP($A1664,原始数据_收盘!$A$4:$G$3460,2,0),"")</f>
        <v>3.0009</v>
      </c>
      <c r="C1664">
        <f>IFERROR(VLOOKUP($A1664,原始数据_收盘!$A$4:$G$3460,3,0),"")</f>
        <v>2.97</v>
      </c>
      <c r="D1664">
        <f>IFERROR(VLOOKUP($A1664,原始数据_收盘!$A$4:$G$3460,4,0),"")</f>
        <v>3.0488</v>
      </c>
      <c r="E1664">
        <f>IFERROR(VLOOKUP($A1664,原始数据_收盘!$A$4:$G$3460,5,0),"")</f>
        <v>3.0241</v>
      </c>
      <c r="F1664">
        <f>IFERROR(VLOOKUP($A1664,原始数据_收盘!$A$4:$G$3460,6,0),"")</f>
        <v>3.0249</v>
      </c>
      <c r="G1664">
        <f>IFERROR(VLOOKUP($A1664,原始数据_收盘!$A$4:$G$3460,7,0),"")</f>
        <v>2.997</v>
      </c>
      <c r="H1664">
        <f>IFERROR(VLOOKUP($A1664,原始数据_利率互换_FR007_1年!$A$6:$C$4395,2,0),"")</f>
        <v>3.0246</v>
      </c>
      <c r="I1664">
        <f>IFERROR(VLOOKUP($A1664,原始数据_利率互换_FR007_1年!$A$6:$C$4395,3,0),"")</f>
        <v>2.9971</v>
      </c>
    </row>
    <row r="1665" spans="1:9">
      <c r="A1665" s="6">
        <v>41158</v>
      </c>
      <c r="B1665">
        <f>IFERROR(VLOOKUP($A1665,原始数据_收盘!$A$4:$G$3460,2,0),"")</f>
        <v>3.0138</v>
      </c>
      <c r="C1665">
        <f>IFERROR(VLOOKUP($A1665,原始数据_收盘!$A$4:$G$3460,3,0),"")</f>
        <v>2.981</v>
      </c>
      <c r="D1665">
        <f>IFERROR(VLOOKUP($A1665,原始数据_收盘!$A$4:$G$3460,4,0),"")</f>
        <v>3.0588</v>
      </c>
      <c r="E1665">
        <f>IFERROR(VLOOKUP($A1665,原始数据_收盘!$A$4:$G$3460,5,0),"")</f>
        <v>3.0333</v>
      </c>
      <c r="F1665">
        <f>IFERROR(VLOOKUP($A1665,原始数据_收盘!$A$4:$G$3460,6,0),"")</f>
        <v>3.0363</v>
      </c>
      <c r="G1665">
        <f>IFERROR(VLOOKUP($A1665,原始数据_收盘!$A$4:$G$3460,7,0),"")</f>
        <v>3.0072</v>
      </c>
      <c r="H1665">
        <f>IFERROR(VLOOKUP($A1665,原始数据_利率互换_FR007_1年!$A$6:$C$4395,2,0),"")</f>
        <v>3.0272</v>
      </c>
      <c r="I1665">
        <f>IFERROR(VLOOKUP($A1665,原始数据_利率互换_FR007_1年!$A$6:$C$4395,3,0),"")</f>
        <v>2.995</v>
      </c>
    </row>
    <row r="1666" spans="1:9">
      <c r="A1666" s="6">
        <v>41159</v>
      </c>
      <c r="B1666">
        <f>IFERROR(VLOOKUP($A1666,原始数据_收盘!$A$4:$G$3460,2,0),"")</f>
        <v>3.0732</v>
      </c>
      <c r="C1666">
        <f>IFERROR(VLOOKUP($A1666,原始数据_收盘!$A$4:$G$3460,3,0),"")</f>
        <v>3.0685</v>
      </c>
      <c r="D1666">
        <f>IFERROR(VLOOKUP($A1666,原始数据_收盘!$A$4:$G$3460,4,0),"")</f>
        <v>3.1192</v>
      </c>
      <c r="E1666">
        <f>IFERROR(VLOOKUP($A1666,原始数据_收盘!$A$4:$G$3460,5,0),"")</f>
        <v>3.1277</v>
      </c>
      <c r="F1666">
        <f>IFERROR(VLOOKUP($A1666,原始数据_收盘!$A$4:$G$3460,6,0),"")</f>
        <v>3.0962</v>
      </c>
      <c r="G1666">
        <f>IFERROR(VLOOKUP($A1666,原始数据_收盘!$A$4:$G$3460,7,0),"")</f>
        <v>3.0981</v>
      </c>
      <c r="H1666">
        <f>IFERROR(VLOOKUP($A1666,原始数据_利率互换_FR007_1年!$A$6:$C$4395,2,0),"")</f>
        <v>3.0754</v>
      </c>
      <c r="I1666">
        <f>IFERROR(VLOOKUP($A1666,原始数据_利率互换_FR007_1年!$A$6:$C$4395,3,0),"")</f>
        <v>3.086</v>
      </c>
    </row>
    <row r="1667" spans="1:9">
      <c r="A1667" s="6">
        <v>41160</v>
      </c>
      <c r="B1667" t="str">
        <f>IFERROR(VLOOKUP($A1667,原始数据_收盘!$A$4:$G$3460,2,0),"")</f>
        <v/>
      </c>
      <c r="C1667" t="str">
        <f>IFERROR(VLOOKUP($A1667,原始数据_收盘!$A$4:$G$3460,3,0),"")</f>
        <v/>
      </c>
      <c r="D1667" t="str">
        <f>IFERROR(VLOOKUP($A1667,原始数据_收盘!$A$4:$G$3460,4,0),"")</f>
        <v/>
      </c>
      <c r="E1667" t="str">
        <f>IFERROR(VLOOKUP($A1667,原始数据_收盘!$A$4:$G$3460,5,0),"")</f>
        <v/>
      </c>
      <c r="F1667" t="str">
        <f>IFERROR(VLOOKUP($A1667,原始数据_收盘!$A$4:$G$3460,6,0),"")</f>
        <v/>
      </c>
      <c r="G1667" t="str">
        <f>IFERROR(VLOOKUP($A1667,原始数据_收盘!$A$4:$G$3460,7,0),"")</f>
        <v/>
      </c>
      <c r="H1667" t="str">
        <f>IFERROR(VLOOKUP($A1667,原始数据_利率互换_FR007_1年!$A$6:$C$4395,2,0),"")</f>
        <v/>
      </c>
      <c r="I1667" t="str">
        <f>IFERROR(VLOOKUP($A1667,原始数据_利率互换_FR007_1年!$A$6:$C$4395,3,0),"")</f>
        <v/>
      </c>
    </row>
    <row r="1668" spans="1:9">
      <c r="A1668" s="6">
        <v>41161</v>
      </c>
      <c r="B1668" t="str">
        <f>IFERROR(VLOOKUP($A1668,原始数据_收盘!$A$4:$G$3460,2,0),"")</f>
        <v/>
      </c>
      <c r="C1668" t="str">
        <f>IFERROR(VLOOKUP($A1668,原始数据_收盘!$A$4:$G$3460,3,0),"")</f>
        <v/>
      </c>
      <c r="D1668" t="str">
        <f>IFERROR(VLOOKUP($A1668,原始数据_收盘!$A$4:$G$3460,4,0),"")</f>
        <v/>
      </c>
      <c r="E1668" t="str">
        <f>IFERROR(VLOOKUP($A1668,原始数据_收盘!$A$4:$G$3460,5,0),"")</f>
        <v/>
      </c>
      <c r="F1668" t="str">
        <f>IFERROR(VLOOKUP($A1668,原始数据_收盘!$A$4:$G$3460,6,0),"")</f>
        <v/>
      </c>
      <c r="G1668" t="str">
        <f>IFERROR(VLOOKUP($A1668,原始数据_收盘!$A$4:$G$3460,7,0),"")</f>
        <v/>
      </c>
      <c r="H1668" t="str">
        <f>IFERROR(VLOOKUP($A1668,原始数据_利率互换_FR007_1年!$A$6:$C$4395,2,0),"")</f>
        <v/>
      </c>
      <c r="I1668" t="str">
        <f>IFERROR(VLOOKUP($A1668,原始数据_利率互换_FR007_1年!$A$6:$C$4395,3,0),"")</f>
        <v/>
      </c>
    </row>
    <row r="1669" spans="1:9">
      <c r="A1669" s="6">
        <v>41162</v>
      </c>
      <c r="B1669">
        <f>IFERROR(VLOOKUP($A1669,原始数据_收盘!$A$4:$G$3460,2,0),"")</f>
        <v>3.0561</v>
      </c>
      <c r="C1669">
        <f>IFERROR(VLOOKUP($A1669,原始数据_收盘!$A$4:$G$3460,3,0),"")</f>
        <v>3.1029</v>
      </c>
      <c r="D1669">
        <f>IFERROR(VLOOKUP($A1669,原始数据_收盘!$A$4:$G$3460,4,0),"")</f>
        <v>3.1039</v>
      </c>
      <c r="E1669">
        <f>IFERROR(VLOOKUP($A1669,原始数据_收盘!$A$4:$G$3460,5,0),"")</f>
        <v>3.1571</v>
      </c>
      <c r="F1669">
        <f>IFERROR(VLOOKUP($A1669,原始数据_收盘!$A$4:$G$3460,6,0),"")</f>
        <v>3.08</v>
      </c>
      <c r="G1669">
        <f>IFERROR(VLOOKUP($A1669,原始数据_收盘!$A$4:$G$3460,7,0),"")</f>
        <v>3.13</v>
      </c>
      <c r="H1669">
        <f>IFERROR(VLOOKUP($A1669,原始数据_利率互换_FR007_1年!$A$6:$C$4395,2,0),"")</f>
        <v>3.0838</v>
      </c>
      <c r="I1669">
        <f>IFERROR(VLOOKUP($A1669,原始数据_利率互换_FR007_1年!$A$6:$C$4395,3,0),"")</f>
        <v>3.1085</v>
      </c>
    </row>
    <row r="1670" spans="1:9">
      <c r="A1670" s="6">
        <v>41163</v>
      </c>
      <c r="B1670">
        <f>IFERROR(VLOOKUP($A1670,原始数据_收盘!$A$4:$G$3460,2,0),"")</f>
        <v>3.0381</v>
      </c>
      <c r="C1670">
        <f>IFERROR(VLOOKUP($A1670,原始数据_收盘!$A$4:$G$3460,3,0),"")</f>
        <v>3.1196</v>
      </c>
      <c r="D1670">
        <f>IFERROR(VLOOKUP($A1670,原始数据_收盘!$A$4:$G$3460,4,0),"")</f>
        <v>3.0781</v>
      </c>
      <c r="E1670">
        <f>IFERROR(VLOOKUP($A1670,原始数据_收盘!$A$4:$G$3460,5,0),"")</f>
        <v>3.1679</v>
      </c>
      <c r="F1670">
        <f>IFERROR(VLOOKUP($A1670,原始数据_收盘!$A$4:$G$3460,6,0),"")</f>
        <v>3.0581</v>
      </c>
      <c r="G1670">
        <f>IFERROR(VLOOKUP($A1670,原始数据_收盘!$A$4:$G$3460,7,0),"")</f>
        <v>3.1438</v>
      </c>
      <c r="H1670">
        <f>IFERROR(VLOOKUP($A1670,原始数据_利率互换_FR007_1年!$A$6:$C$4395,2,0),"")</f>
        <v>3.0389</v>
      </c>
      <c r="I1670">
        <f>IFERROR(VLOOKUP($A1670,原始数据_利率互换_FR007_1年!$A$6:$C$4395,3,0),"")</f>
        <v>3.1248</v>
      </c>
    </row>
    <row r="1671" spans="1:9">
      <c r="A1671" s="6">
        <v>41164</v>
      </c>
      <c r="B1671">
        <f>IFERROR(VLOOKUP($A1671,原始数据_收盘!$A$4:$G$3460,2,0),"")</f>
        <v>3.0954</v>
      </c>
      <c r="C1671">
        <f>IFERROR(VLOOKUP($A1671,原始数据_收盘!$A$4:$G$3460,3,0),"")</f>
        <v>3.2088</v>
      </c>
      <c r="D1671">
        <f>IFERROR(VLOOKUP($A1671,原始数据_收盘!$A$4:$G$3460,4,0),"")</f>
        <v>3.1446</v>
      </c>
      <c r="E1671">
        <f>IFERROR(VLOOKUP($A1671,原始数据_收盘!$A$4:$G$3460,5,0),"")</f>
        <v>3.259</v>
      </c>
      <c r="F1671">
        <f>IFERROR(VLOOKUP($A1671,原始数据_收盘!$A$4:$G$3460,6,0),"")</f>
        <v>3.12</v>
      </c>
      <c r="G1671">
        <f>IFERROR(VLOOKUP($A1671,原始数据_收盘!$A$4:$G$3460,7,0),"")</f>
        <v>3.2339</v>
      </c>
      <c r="H1671">
        <f>IFERROR(VLOOKUP($A1671,原始数据_利率互换_FR007_1年!$A$6:$C$4395,2,0),"")</f>
        <v>3.0995</v>
      </c>
      <c r="I1671">
        <f>IFERROR(VLOOKUP($A1671,原始数据_利率互换_FR007_1年!$A$6:$C$4395,3,0),"")</f>
        <v>3.2072</v>
      </c>
    </row>
    <row r="1672" spans="1:9">
      <c r="A1672" s="6">
        <v>41165</v>
      </c>
      <c r="B1672">
        <f>IFERROR(VLOOKUP($A1672,原始数据_收盘!$A$4:$G$3460,2,0),"")</f>
        <v>3.1014</v>
      </c>
      <c r="C1672">
        <f>IFERROR(VLOOKUP($A1672,原始数据_收盘!$A$4:$G$3460,3,0),"")</f>
        <v>3.1937</v>
      </c>
      <c r="D1672">
        <f>IFERROR(VLOOKUP($A1672,原始数据_收盘!$A$4:$G$3460,4,0),"")</f>
        <v>3.1529</v>
      </c>
      <c r="E1672">
        <f>IFERROR(VLOOKUP($A1672,原始数据_收盘!$A$4:$G$3460,5,0),"")</f>
        <v>3.2497</v>
      </c>
      <c r="F1672">
        <f>IFERROR(VLOOKUP($A1672,原始数据_收盘!$A$4:$G$3460,6,0),"")</f>
        <v>3.1271</v>
      </c>
      <c r="G1672">
        <f>IFERROR(VLOOKUP($A1672,原始数据_收盘!$A$4:$G$3460,7,0),"")</f>
        <v>3.2217</v>
      </c>
      <c r="H1672">
        <f>IFERROR(VLOOKUP($A1672,原始数据_利率互换_FR007_1年!$A$6:$C$4395,2,0),"")</f>
        <v>3.1391</v>
      </c>
      <c r="I1672">
        <f>IFERROR(VLOOKUP($A1672,原始数据_利率互换_FR007_1年!$A$6:$C$4395,3,0),"")</f>
        <v>3.2414</v>
      </c>
    </row>
    <row r="1673" spans="1:9">
      <c r="A1673" s="6">
        <v>41166</v>
      </c>
      <c r="B1673">
        <f>IFERROR(VLOOKUP($A1673,原始数据_收盘!$A$4:$G$3460,2,0),"")</f>
        <v>3.1786</v>
      </c>
      <c r="C1673">
        <f>IFERROR(VLOOKUP($A1673,原始数据_收盘!$A$4:$G$3460,3,0),"")</f>
        <v>3.2871</v>
      </c>
      <c r="D1673">
        <f>IFERROR(VLOOKUP($A1673,原始数据_收盘!$A$4:$G$3460,4,0),"")</f>
        <v>3.2296</v>
      </c>
      <c r="E1673">
        <f>IFERROR(VLOOKUP($A1673,原始数据_收盘!$A$4:$G$3460,5,0),"")</f>
        <v>3.3404</v>
      </c>
      <c r="F1673">
        <f>IFERROR(VLOOKUP($A1673,原始数据_收盘!$A$4:$G$3460,6,0),"")</f>
        <v>3.2041</v>
      </c>
      <c r="G1673">
        <f>IFERROR(VLOOKUP($A1673,原始数据_收盘!$A$4:$G$3460,7,0),"")</f>
        <v>3.3137</v>
      </c>
      <c r="H1673">
        <f>IFERROR(VLOOKUP($A1673,原始数据_利率互换_FR007_1年!$A$6:$C$4395,2,0),"")</f>
        <v>3.2007</v>
      </c>
      <c r="I1673">
        <f>IFERROR(VLOOKUP($A1673,原始数据_利率互换_FR007_1年!$A$6:$C$4395,3,0),"")</f>
        <v>3.3398</v>
      </c>
    </row>
    <row r="1674" spans="1:9">
      <c r="A1674" s="6">
        <v>41167</v>
      </c>
      <c r="B1674" t="str">
        <f>IFERROR(VLOOKUP($A1674,原始数据_收盘!$A$4:$G$3460,2,0),"")</f>
        <v/>
      </c>
      <c r="C1674" t="str">
        <f>IFERROR(VLOOKUP($A1674,原始数据_收盘!$A$4:$G$3460,3,0),"")</f>
        <v/>
      </c>
      <c r="D1674" t="str">
        <f>IFERROR(VLOOKUP($A1674,原始数据_收盘!$A$4:$G$3460,4,0),"")</f>
        <v/>
      </c>
      <c r="E1674" t="str">
        <f>IFERROR(VLOOKUP($A1674,原始数据_收盘!$A$4:$G$3460,5,0),"")</f>
        <v/>
      </c>
      <c r="F1674" t="str">
        <f>IFERROR(VLOOKUP($A1674,原始数据_收盘!$A$4:$G$3460,6,0),"")</f>
        <v/>
      </c>
      <c r="G1674" t="str">
        <f>IFERROR(VLOOKUP($A1674,原始数据_收盘!$A$4:$G$3460,7,0),"")</f>
        <v/>
      </c>
      <c r="H1674" t="str">
        <f>IFERROR(VLOOKUP($A1674,原始数据_利率互换_FR007_1年!$A$6:$C$4395,2,0),"")</f>
        <v/>
      </c>
      <c r="I1674" t="str">
        <f>IFERROR(VLOOKUP($A1674,原始数据_利率互换_FR007_1年!$A$6:$C$4395,3,0),"")</f>
        <v/>
      </c>
    </row>
    <row r="1675" spans="1:9">
      <c r="A1675" s="6">
        <v>41168</v>
      </c>
      <c r="B1675" t="str">
        <f>IFERROR(VLOOKUP($A1675,原始数据_收盘!$A$4:$G$3460,2,0),"")</f>
        <v/>
      </c>
      <c r="C1675" t="str">
        <f>IFERROR(VLOOKUP($A1675,原始数据_收盘!$A$4:$G$3460,3,0),"")</f>
        <v/>
      </c>
      <c r="D1675" t="str">
        <f>IFERROR(VLOOKUP($A1675,原始数据_收盘!$A$4:$G$3460,4,0),"")</f>
        <v/>
      </c>
      <c r="E1675" t="str">
        <f>IFERROR(VLOOKUP($A1675,原始数据_收盘!$A$4:$G$3460,5,0),"")</f>
        <v/>
      </c>
      <c r="F1675" t="str">
        <f>IFERROR(VLOOKUP($A1675,原始数据_收盘!$A$4:$G$3460,6,0),"")</f>
        <v/>
      </c>
      <c r="G1675" t="str">
        <f>IFERROR(VLOOKUP($A1675,原始数据_收盘!$A$4:$G$3460,7,0),"")</f>
        <v/>
      </c>
      <c r="H1675" t="str">
        <f>IFERROR(VLOOKUP($A1675,原始数据_利率互换_FR007_1年!$A$6:$C$4395,2,0),"")</f>
        <v/>
      </c>
      <c r="I1675" t="str">
        <f>IFERROR(VLOOKUP($A1675,原始数据_利率互换_FR007_1年!$A$6:$C$4395,3,0),"")</f>
        <v/>
      </c>
    </row>
    <row r="1676" spans="1:9">
      <c r="A1676" s="6">
        <v>41169</v>
      </c>
      <c r="B1676">
        <f>IFERROR(VLOOKUP($A1676,原始数据_收盘!$A$4:$G$3460,2,0),"")</f>
        <v>3.2101</v>
      </c>
      <c r="C1676">
        <f>IFERROR(VLOOKUP($A1676,原始数据_收盘!$A$4:$G$3460,3,0),"")</f>
        <v>3.3368</v>
      </c>
      <c r="D1676">
        <f>IFERROR(VLOOKUP($A1676,原始数据_收盘!$A$4:$G$3460,4,0),"")</f>
        <v>3.2582</v>
      </c>
      <c r="E1676">
        <f>IFERROR(VLOOKUP($A1676,原始数据_收盘!$A$4:$G$3460,5,0),"")</f>
        <v>3.3933</v>
      </c>
      <c r="F1676">
        <f>IFERROR(VLOOKUP($A1676,原始数据_收盘!$A$4:$G$3460,6,0),"")</f>
        <v>3.2342</v>
      </c>
      <c r="G1676">
        <f>IFERROR(VLOOKUP($A1676,原始数据_收盘!$A$4:$G$3460,7,0),"")</f>
        <v>3.3651</v>
      </c>
      <c r="H1676">
        <f>IFERROR(VLOOKUP($A1676,原始数据_利率互换_FR007_1年!$A$6:$C$4395,2,0),"")</f>
        <v>3.2275</v>
      </c>
      <c r="I1676">
        <f>IFERROR(VLOOKUP($A1676,原始数据_利率互换_FR007_1年!$A$6:$C$4395,3,0),"")</f>
        <v>3.3769</v>
      </c>
    </row>
    <row r="1677" spans="1:9">
      <c r="A1677" s="6">
        <v>41170</v>
      </c>
      <c r="B1677">
        <f>IFERROR(VLOOKUP($A1677,原始数据_收盘!$A$4:$G$3460,2,0),"")</f>
        <v>3.1521</v>
      </c>
      <c r="C1677">
        <f>IFERROR(VLOOKUP($A1677,原始数据_收盘!$A$4:$G$3460,3,0),"")</f>
        <v>3.2417</v>
      </c>
      <c r="D1677">
        <f>IFERROR(VLOOKUP($A1677,原始数据_收盘!$A$4:$G$3460,4,0),"")</f>
        <v>3.1988</v>
      </c>
      <c r="E1677">
        <f>IFERROR(VLOOKUP($A1677,原始数据_收盘!$A$4:$G$3460,5,0),"")</f>
        <v>3.2946</v>
      </c>
      <c r="F1677">
        <f>IFERROR(VLOOKUP($A1677,原始数据_收盘!$A$4:$G$3460,6,0),"")</f>
        <v>3.1754</v>
      </c>
      <c r="G1677">
        <f>IFERROR(VLOOKUP($A1677,原始数据_收盘!$A$4:$G$3460,7,0),"")</f>
        <v>3.2681</v>
      </c>
      <c r="H1677">
        <f>IFERROR(VLOOKUP($A1677,原始数据_利率互换_FR007_1年!$A$6:$C$4395,2,0),"")</f>
        <v>3.1789</v>
      </c>
      <c r="I1677">
        <f>IFERROR(VLOOKUP($A1677,原始数据_利率互换_FR007_1年!$A$6:$C$4395,3,0),"")</f>
        <v>3.2952</v>
      </c>
    </row>
    <row r="1678" spans="1:9">
      <c r="A1678" s="6">
        <v>41171</v>
      </c>
      <c r="B1678">
        <f>IFERROR(VLOOKUP($A1678,原始数据_收盘!$A$4:$G$3460,2,0),"")</f>
        <v>3.2067</v>
      </c>
      <c r="C1678">
        <f>IFERROR(VLOOKUP($A1678,原始数据_收盘!$A$4:$G$3460,3,0),"")</f>
        <v>3.2625</v>
      </c>
      <c r="D1678">
        <f>IFERROR(VLOOKUP($A1678,原始数据_收盘!$A$4:$G$3460,4,0),"")</f>
        <v>3.2632</v>
      </c>
      <c r="E1678">
        <f>IFERROR(VLOOKUP($A1678,原始数据_收盘!$A$4:$G$3460,5,0),"")</f>
        <v>3.3278</v>
      </c>
      <c r="F1678">
        <f>IFERROR(VLOOKUP($A1678,原始数据_收盘!$A$4:$G$3460,6,0),"")</f>
        <v>3.2349</v>
      </c>
      <c r="G1678">
        <f>IFERROR(VLOOKUP($A1678,原始数据_收盘!$A$4:$G$3460,7,0),"")</f>
        <v>3.2951</v>
      </c>
      <c r="H1678">
        <f>IFERROR(VLOOKUP($A1678,原始数据_利率互换_FR007_1年!$A$6:$C$4395,2,0),"")</f>
        <v>3.2277</v>
      </c>
      <c r="I1678">
        <f>IFERROR(VLOOKUP($A1678,原始数据_利率互换_FR007_1年!$A$6:$C$4395,3,0),"")</f>
        <v>3.3008</v>
      </c>
    </row>
    <row r="1679" spans="1:9">
      <c r="A1679" s="6">
        <v>41172</v>
      </c>
      <c r="B1679">
        <f>IFERROR(VLOOKUP($A1679,原始数据_收盘!$A$4:$G$3460,2,0),"")</f>
        <v>3.1963</v>
      </c>
      <c r="C1679">
        <f>IFERROR(VLOOKUP($A1679,原始数据_收盘!$A$4:$G$3460,3,0),"")</f>
        <v>3.2364</v>
      </c>
      <c r="D1679">
        <f>IFERROR(VLOOKUP($A1679,原始数据_收盘!$A$4:$G$3460,4,0),"")</f>
        <v>3.2538</v>
      </c>
      <c r="E1679">
        <f>IFERROR(VLOOKUP($A1679,原始数据_收盘!$A$4:$G$3460,5,0),"")</f>
        <v>3.2954</v>
      </c>
      <c r="F1679">
        <f>IFERROR(VLOOKUP($A1679,原始数据_收盘!$A$4:$G$3460,6,0),"")</f>
        <v>3.225</v>
      </c>
      <c r="G1679">
        <f>IFERROR(VLOOKUP($A1679,原始数据_收盘!$A$4:$G$3460,7,0),"")</f>
        <v>3.2659</v>
      </c>
      <c r="H1679">
        <f>IFERROR(VLOOKUP($A1679,原始数据_利率互换_FR007_1年!$A$6:$C$4395,2,0),"")</f>
        <v>3.2431</v>
      </c>
      <c r="I1679">
        <f>IFERROR(VLOOKUP($A1679,原始数据_利率互换_FR007_1年!$A$6:$C$4395,3,0),"")</f>
        <v>3.2605</v>
      </c>
    </row>
    <row r="1680" spans="1:9">
      <c r="A1680" s="6">
        <v>41173</v>
      </c>
      <c r="B1680">
        <f>IFERROR(VLOOKUP($A1680,原始数据_收盘!$A$4:$G$3460,2,0),"")</f>
        <v>3.2214</v>
      </c>
      <c r="C1680">
        <f>IFERROR(VLOOKUP($A1680,原始数据_收盘!$A$4:$G$3460,3,0),"")</f>
        <v>3.2254</v>
      </c>
      <c r="D1680">
        <f>IFERROR(VLOOKUP($A1680,原始数据_收盘!$A$4:$G$3460,4,0),"")</f>
        <v>3.2722</v>
      </c>
      <c r="E1680">
        <f>IFERROR(VLOOKUP($A1680,原始数据_收盘!$A$4:$G$3460,5,0),"")</f>
        <v>3.2869</v>
      </c>
      <c r="F1680">
        <f>IFERROR(VLOOKUP($A1680,原始数据_收盘!$A$4:$G$3460,6,0),"")</f>
        <v>3.2468</v>
      </c>
      <c r="G1680">
        <f>IFERROR(VLOOKUP($A1680,原始数据_收盘!$A$4:$G$3460,7,0),"")</f>
        <v>3.2562</v>
      </c>
      <c r="H1680">
        <f>IFERROR(VLOOKUP($A1680,原始数据_利率互换_FR007_1年!$A$6:$C$4395,2,0),"")</f>
        <v>3.239</v>
      </c>
      <c r="I1680">
        <f>IFERROR(VLOOKUP($A1680,原始数据_利率互换_FR007_1年!$A$6:$C$4395,3,0),"")</f>
        <v>3.2455</v>
      </c>
    </row>
    <row r="1681" spans="1:9">
      <c r="A1681" s="6">
        <v>41174</v>
      </c>
      <c r="B1681" t="str">
        <f>IFERROR(VLOOKUP($A1681,原始数据_收盘!$A$4:$G$3460,2,0),"")</f>
        <v/>
      </c>
      <c r="C1681" t="str">
        <f>IFERROR(VLOOKUP($A1681,原始数据_收盘!$A$4:$G$3460,3,0),"")</f>
        <v/>
      </c>
      <c r="D1681" t="str">
        <f>IFERROR(VLOOKUP($A1681,原始数据_收盘!$A$4:$G$3460,4,0),"")</f>
        <v/>
      </c>
      <c r="E1681" t="str">
        <f>IFERROR(VLOOKUP($A1681,原始数据_收盘!$A$4:$G$3460,5,0),"")</f>
        <v/>
      </c>
      <c r="F1681" t="str">
        <f>IFERROR(VLOOKUP($A1681,原始数据_收盘!$A$4:$G$3460,6,0),"")</f>
        <v/>
      </c>
      <c r="G1681" t="str">
        <f>IFERROR(VLOOKUP($A1681,原始数据_收盘!$A$4:$G$3460,7,0),"")</f>
        <v/>
      </c>
      <c r="H1681" t="str">
        <f>IFERROR(VLOOKUP($A1681,原始数据_利率互换_FR007_1年!$A$6:$C$4395,2,0),"")</f>
        <v/>
      </c>
      <c r="I1681" t="str">
        <f>IFERROR(VLOOKUP($A1681,原始数据_利率互换_FR007_1年!$A$6:$C$4395,3,0),"")</f>
        <v/>
      </c>
    </row>
    <row r="1682" spans="1:9">
      <c r="A1682" s="6">
        <v>41175</v>
      </c>
      <c r="B1682" t="str">
        <f>IFERROR(VLOOKUP($A1682,原始数据_收盘!$A$4:$G$3460,2,0),"")</f>
        <v/>
      </c>
      <c r="C1682" t="str">
        <f>IFERROR(VLOOKUP($A1682,原始数据_收盘!$A$4:$G$3460,3,0),"")</f>
        <v/>
      </c>
      <c r="D1682" t="str">
        <f>IFERROR(VLOOKUP($A1682,原始数据_收盘!$A$4:$G$3460,4,0),"")</f>
        <v/>
      </c>
      <c r="E1682" t="str">
        <f>IFERROR(VLOOKUP($A1682,原始数据_收盘!$A$4:$G$3460,5,0),"")</f>
        <v/>
      </c>
      <c r="F1682" t="str">
        <f>IFERROR(VLOOKUP($A1682,原始数据_收盘!$A$4:$G$3460,6,0),"")</f>
        <v/>
      </c>
      <c r="G1682" t="str">
        <f>IFERROR(VLOOKUP($A1682,原始数据_收盘!$A$4:$G$3460,7,0),"")</f>
        <v/>
      </c>
      <c r="H1682" t="str">
        <f>IFERROR(VLOOKUP($A1682,原始数据_利率互换_FR007_1年!$A$6:$C$4395,2,0),"")</f>
        <v/>
      </c>
      <c r="I1682" t="str">
        <f>IFERROR(VLOOKUP($A1682,原始数据_利率互换_FR007_1年!$A$6:$C$4395,3,0),"")</f>
        <v/>
      </c>
    </row>
    <row r="1683" spans="1:9">
      <c r="A1683" s="6">
        <v>41176</v>
      </c>
      <c r="B1683">
        <f>IFERROR(VLOOKUP($A1683,原始数据_收盘!$A$4:$G$3460,2,0),"")</f>
        <v>3.2239</v>
      </c>
      <c r="C1683">
        <f>IFERROR(VLOOKUP($A1683,原始数据_收盘!$A$4:$G$3460,3,0),"")</f>
        <v>3.2229</v>
      </c>
      <c r="D1683">
        <f>IFERROR(VLOOKUP($A1683,原始数据_收盘!$A$4:$G$3460,4,0),"")</f>
        <v>3.2732</v>
      </c>
      <c r="E1683">
        <f>IFERROR(VLOOKUP($A1683,原始数据_收盘!$A$4:$G$3460,5,0),"")</f>
        <v>3.2773</v>
      </c>
      <c r="F1683">
        <f>IFERROR(VLOOKUP($A1683,原始数据_收盘!$A$4:$G$3460,6,0),"")</f>
        <v>3.2486</v>
      </c>
      <c r="G1683">
        <f>IFERROR(VLOOKUP($A1683,原始数据_收盘!$A$4:$G$3460,7,0),"")</f>
        <v>3.2501</v>
      </c>
      <c r="H1683">
        <f>IFERROR(VLOOKUP($A1683,原始数据_利率互换_FR007_1年!$A$6:$C$4395,2,0),"")</f>
        <v>3.2542</v>
      </c>
      <c r="I1683">
        <f>IFERROR(VLOOKUP($A1683,原始数据_利率互换_FR007_1年!$A$6:$C$4395,3,0),"")</f>
        <v>3.2388</v>
      </c>
    </row>
    <row r="1684" spans="1:9">
      <c r="A1684" s="6">
        <v>41177</v>
      </c>
      <c r="B1684">
        <f>IFERROR(VLOOKUP($A1684,原始数据_收盘!$A$4:$G$3460,2,0),"")</f>
        <v>3.1489</v>
      </c>
      <c r="C1684">
        <f>IFERROR(VLOOKUP($A1684,原始数据_收盘!$A$4:$G$3460,3,0),"")</f>
        <v>3.1471</v>
      </c>
      <c r="D1684">
        <f>IFERROR(VLOOKUP($A1684,原始数据_收盘!$A$4:$G$3460,4,0),"")</f>
        <v>3.2037</v>
      </c>
      <c r="E1684">
        <f>IFERROR(VLOOKUP($A1684,原始数据_收盘!$A$4:$G$3460,5,0),"")</f>
        <v>3.2063</v>
      </c>
      <c r="F1684">
        <f>IFERROR(VLOOKUP($A1684,原始数据_收盘!$A$4:$G$3460,6,0),"")</f>
        <v>3.1763</v>
      </c>
      <c r="G1684">
        <f>IFERROR(VLOOKUP($A1684,原始数据_收盘!$A$4:$G$3460,7,0),"")</f>
        <v>3.1767</v>
      </c>
      <c r="H1684">
        <f>IFERROR(VLOOKUP($A1684,原始数据_利率互换_FR007_1年!$A$6:$C$4395,2,0),"")</f>
        <v>3.1857</v>
      </c>
      <c r="I1684">
        <f>IFERROR(VLOOKUP($A1684,原始数据_利率互换_FR007_1年!$A$6:$C$4395,3,0),"")</f>
        <v>3.1777</v>
      </c>
    </row>
    <row r="1685" spans="1:9">
      <c r="A1685" s="6">
        <v>41178</v>
      </c>
      <c r="B1685">
        <f>IFERROR(VLOOKUP($A1685,原始数据_收盘!$A$4:$G$3460,2,0),"")</f>
        <v>3.1037</v>
      </c>
      <c r="C1685">
        <f>IFERROR(VLOOKUP($A1685,原始数据_收盘!$A$4:$G$3460,3,0),"")</f>
        <v>3.1324</v>
      </c>
      <c r="D1685">
        <f>IFERROR(VLOOKUP($A1685,原始数据_收盘!$A$4:$G$3460,4,0),"")</f>
        <v>3.152</v>
      </c>
      <c r="E1685">
        <f>IFERROR(VLOOKUP($A1685,原始数据_收盘!$A$4:$G$3460,5,0),"")</f>
        <v>3.1857</v>
      </c>
      <c r="F1685">
        <f>IFERROR(VLOOKUP($A1685,原始数据_收盘!$A$4:$G$3460,6,0),"")</f>
        <v>3.1279</v>
      </c>
      <c r="G1685">
        <f>IFERROR(VLOOKUP($A1685,原始数据_收盘!$A$4:$G$3460,7,0),"")</f>
        <v>3.159</v>
      </c>
      <c r="H1685">
        <f>IFERROR(VLOOKUP($A1685,原始数据_利率互换_FR007_1年!$A$6:$C$4395,2,0),"")</f>
        <v>3.1222</v>
      </c>
      <c r="I1685">
        <f>IFERROR(VLOOKUP($A1685,原始数据_利率互换_FR007_1年!$A$6:$C$4395,3,0),"")</f>
        <v>3.1467</v>
      </c>
    </row>
    <row r="1686" spans="1:9">
      <c r="A1686" s="6">
        <v>41179</v>
      </c>
      <c r="B1686">
        <f>IFERROR(VLOOKUP($A1686,原始数据_收盘!$A$4:$G$3460,2,0),"")</f>
        <v>3.0998</v>
      </c>
      <c r="C1686">
        <f>IFERROR(VLOOKUP($A1686,原始数据_收盘!$A$4:$G$3460,3,0),"")</f>
        <v>3.1415</v>
      </c>
      <c r="D1686">
        <f>IFERROR(VLOOKUP($A1686,原始数据_收盘!$A$4:$G$3460,4,0),"")</f>
        <v>3.1475</v>
      </c>
      <c r="E1686">
        <f>IFERROR(VLOOKUP($A1686,原始数据_收盘!$A$4:$G$3460,5,0),"")</f>
        <v>3.191</v>
      </c>
      <c r="F1686">
        <f>IFERROR(VLOOKUP($A1686,原始数据_收盘!$A$4:$G$3460,6,0),"")</f>
        <v>3.1237</v>
      </c>
      <c r="G1686">
        <f>IFERROR(VLOOKUP($A1686,原始数据_收盘!$A$4:$G$3460,7,0),"")</f>
        <v>3.1663</v>
      </c>
      <c r="H1686">
        <f>IFERROR(VLOOKUP($A1686,原始数据_利率互换_FR007_1年!$A$6:$C$4395,2,0),"")</f>
        <v>3.1123</v>
      </c>
      <c r="I1686">
        <f>IFERROR(VLOOKUP($A1686,原始数据_利率互换_FR007_1年!$A$6:$C$4395,3,0),"")</f>
        <v>3.1451</v>
      </c>
    </row>
    <row r="1687" spans="1:9">
      <c r="A1687" s="6">
        <v>41180</v>
      </c>
      <c r="B1687">
        <f>IFERROR(VLOOKUP($A1687,原始数据_收盘!$A$4:$G$3460,2,0),"")</f>
        <v>3.0942</v>
      </c>
      <c r="C1687">
        <f>IFERROR(VLOOKUP($A1687,原始数据_收盘!$A$4:$G$3460,3,0),"")</f>
        <v>3.1458</v>
      </c>
      <c r="D1687">
        <f>IFERROR(VLOOKUP($A1687,原始数据_收盘!$A$4:$G$3460,4,0),"")</f>
        <v>3.1412</v>
      </c>
      <c r="E1687">
        <f>IFERROR(VLOOKUP($A1687,原始数据_收盘!$A$4:$G$3460,5,0),"")</f>
        <v>3.1985</v>
      </c>
      <c r="F1687">
        <f>IFERROR(VLOOKUP($A1687,原始数据_收盘!$A$4:$G$3460,6,0),"")</f>
        <v>3.1177</v>
      </c>
      <c r="G1687">
        <f>IFERROR(VLOOKUP($A1687,原始数据_收盘!$A$4:$G$3460,7,0),"")</f>
        <v>3.1721</v>
      </c>
      <c r="H1687">
        <f>IFERROR(VLOOKUP($A1687,原始数据_利率互换_FR007_1年!$A$6:$C$4395,2,0),"")</f>
        <v>3.1143</v>
      </c>
      <c r="I1687">
        <f>IFERROR(VLOOKUP($A1687,原始数据_利率互换_FR007_1年!$A$6:$C$4395,3,0),"")</f>
        <v>3.1713</v>
      </c>
    </row>
    <row r="1688" spans="1:9">
      <c r="A1688" s="6">
        <v>41181</v>
      </c>
      <c r="B1688">
        <f>IFERROR(VLOOKUP($A1688,原始数据_收盘!$A$4:$G$3460,2,0),"")</f>
        <v>3.0906</v>
      </c>
      <c r="C1688">
        <f>IFERROR(VLOOKUP($A1688,原始数据_收盘!$A$4:$G$3460,3,0),"")</f>
        <v>3.1382</v>
      </c>
      <c r="D1688">
        <f>IFERROR(VLOOKUP($A1688,原始数据_收盘!$A$4:$G$3460,4,0),"")</f>
        <v>3.1413</v>
      </c>
      <c r="E1688">
        <f>IFERROR(VLOOKUP($A1688,原始数据_收盘!$A$4:$G$3460,5,0),"")</f>
        <v>3.1969</v>
      </c>
      <c r="F1688">
        <f>IFERROR(VLOOKUP($A1688,原始数据_收盘!$A$4:$G$3460,6,0),"")</f>
        <v>3.116</v>
      </c>
      <c r="G1688">
        <f>IFERROR(VLOOKUP($A1688,原始数据_收盘!$A$4:$G$3460,7,0),"")</f>
        <v>3.1676</v>
      </c>
      <c r="H1688" t="str">
        <f>IFERROR(VLOOKUP($A1688,原始数据_利率互换_FR007_1年!$A$6:$C$4395,2,0),"")</f>
        <v/>
      </c>
      <c r="I1688" t="str">
        <f>IFERROR(VLOOKUP($A1688,原始数据_利率互换_FR007_1年!$A$6:$C$4395,3,0),"")</f>
        <v/>
      </c>
    </row>
    <row r="1689" spans="1:9">
      <c r="A1689" s="6">
        <v>41182</v>
      </c>
      <c r="B1689" t="str">
        <f>IFERROR(VLOOKUP($A1689,原始数据_收盘!$A$4:$G$3460,2,0),"")</f>
        <v/>
      </c>
      <c r="C1689" t="str">
        <f>IFERROR(VLOOKUP($A1689,原始数据_收盘!$A$4:$G$3460,3,0),"")</f>
        <v/>
      </c>
      <c r="D1689" t="str">
        <f>IFERROR(VLOOKUP($A1689,原始数据_收盘!$A$4:$G$3460,4,0),"")</f>
        <v/>
      </c>
      <c r="E1689" t="str">
        <f>IFERROR(VLOOKUP($A1689,原始数据_收盘!$A$4:$G$3460,5,0),"")</f>
        <v/>
      </c>
      <c r="F1689" t="str">
        <f>IFERROR(VLOOKUP($A1689,原始数据_收盘!$A$4:$G$3460,6,0),"")</f>
        <v/>
      </c>
      <c r="G1689" t="str">
        <f>IFERROR(VLOOKUP($A1689,原始数据_收盘!$A$4:$G$3460,7,0),"")</f>
        <v/>
      </c>
      <c r="H1689" t="str">
        <f>IFERROR(VLOOKUP($A1689,原始数据_利率互换_FR007_1年!$A$6:$C$4395,2,0),"")</f>
        <v/>
      </c>
      <c r="I1689" t="str">
        <f>IFERROR(VLOOKUP($A1689,原始数据_利率互换_FR007_1年!$A$6:$C$4395,3,0),"")</f>
        <v/>
      </c>
    </row>
    <row r="1690" spans="1:9">
      <c r="A1690" s="6">
        <v>41183</v>
      </c>
      <c r="B1690" t="str">
        <f>IFERROR(VLOOKUP($A1690,原始数据_收盘!$A$4:$G$3460,2,0),"")</f>
        <v/>
      </c>
      <c r="C1690" t="str">
        <f>IFERROR(VLOOKUP($A1690,原始数据_收盘!$A$4:$G$3460,3,0),"")</f>
        <v/>
      </c>
      <c r="D1690" t="str">
        <f>IFERROR(VLOOKUP($A1690,原始数据_收盘!$A$4:$G$3460,4,0),"")</f>
        <v/>
      </c>
      <c r="E1690" t="str">
        <f>IFERROR(VLOOKUP($A1690,原始数据_收盘!$A$4:$G$3460,5,0),"")</f>
        <v/>
      </c>
      <c r="F1690" t="str">
        <f>IFERROR(VLOOKUP($A1690,原始数据_收盘!$A$4:$G$3460,6,0),"")</f>
        <v/>
      </c>
      <c r="G1690" t="str">
        <f>IFERROR(VLOOKUP($A1690,原始数据_收盘!$A$4:$G$3460,7,0),"")</f>
        <v/>
      </c>
      <c r="H1690" t="str">
        <f>IFERROR(VLOOKUP($A1690,原始数据_利率互换_FR007_1年!$A$6:$C$4395,2,0),"")</f>
        <v/>
      </c>
      <c r="I1690" t="str">
        <f>IFERROR(VLOOKUP($A1690,原始数据_利率互换_FR007_1年!$A$6:$C$4395,3,0),"")</f>
        <v/>
      </c>
    </row>
    <row r="1691" spans="1:9">
      <c r="A1691" s="6">
        <v>41184</v>
      </c>
      <c r="B1691" t="str">
        <f>IFERROR(VLOOKUP($A1691,原始数据_收盘!$A$4:$G$3460,2,0),"")</f>
        <v/>
      </c>
      <c r="C1691" t="str">
        <f>IFERROR(VLOOKUP($A1691,原始数据_收盘!$A$4:$G$3460,3,0),"")</f>
        <v/>
      </c>
      <c r="D1691" t="str">
        <f>IFERROR(VLOOKUP($A1691,原始数据_收盘!$A$4:$G$3460,4,0),"")</f>
        <v/>
      </c>
      <c r="E1691" t="str">
        <f>IFERROR(VLOOKUP($A1691,原始数据_收盘!$A$4:$G$3460,5,0),"")</f>
        <v/>
      </c>
      <c r="F1691" t="str">
        <f>IFERROR(VLOOKUP($A1691,原始数据_收盘!$A$4:$G$3460,6,0),"")</f>
        <v/>
      </c>
      <c r="G1691" t="str">
        <f>IFERROR(VLOOKUP($A1691,原始数据_收盘!$A$4:$G$3460,7,0),"")</f>
        <v/>
      </c>
      <c r="H1691" t="str">
        <f>IFERROR(VLOOKUP($A1691,原始数据_利率互换_FR007_1年!$A$6:$C$4395,2,0),"")</f>
        <v/>
      </c>
      <c r="I1691" t="str">
        <f>IFERROR(VLOOKUP($A1691,原始数据_利率互换_FR007_1年!$A$6:$C$4395,3,0),"")</f>
        <v/>
      </c>
    </row>
    <row r="1692" spans="1:9">
      <c r="A1692" s="6">
        <v>41185</v>
      </c>
      <c r="B1692" t="str">
        <f>IFERROR(VLOOKUP($A1692,原始数据_收盘!$A$4:$G$3460,2,0),"")</f>
        <v/>
      </c>
      <c r="C1692" t="str">
        <f>IFERROR(VLOOKUP($A1692,原始数据_收盘!$A$4:$G$3460,3,0),"")</f>
        <v/>
      </c>
      <c r="D1692" t="str">
        <f>IFERROR(VLOOKUP($A1692,原始数据_收盘!$A$4:$G$3460,4,0),"")</f>
        <v/>
      </c>
      <c r="E1692" t="str">
        <f>IFERROR(VLOOKUP($A1692,原始数据_收盘!$A$4:$G$3460,5,0),"")</f>
        <v/>
      </c>
      <c r="F1692" t="str">
        <f>IFERROR(VLOOKUP($A1692,原始数据_收盘!$A$4:$G$3460,6,0),"")</f>
        <v/>
      </c>
      <c r="G1692" t="str">
        <f>IFERROR(VLOOKUP($A1692,原始数据_收盘!$A$4:$G$3460,7,0),"")</f>
        <v/>
      </c>
      <c r="H1692" t="str">
        <f>IFERROR(VLOOKUP($A1692,原始数据_利率互换_FR007_1年!$A$6:$C$4395,2,0),"")</f>
        <v/>
      </c>
      <c r="I1692" t="str">
        <f>IFERROR(VLOOKUP($A1692,原始数据_利率互换_FR007_1年!$A$6:$C$4395,3,0),"")</f>
        <v/>
      </c>
    </row>
    <row r="1693" spans="1:9">
      <c r="A1693" s="6">
        <v>41186</v>
      </c>
      <c r="B1693" t="str">
        <f>IFERROR(VLOOKUP($A1693,原始数据_收盘!$A$4:$G$3460,2,0),"")</f>
        <v/>
      </c>
      <c r="C1693" t="str">
        <f>IFERROR(VLOOKUP($A1693,原始数据_收盘!$A$4:$G$3460,3,0),"")</f>
        <v/>
      </c>
      <c r="D1693" t="str">
        <f>IFERROR(VLOOKUP($A1693,原始数据_收盘!$A$4:$G$3460,4,0),"")</f>
        <v/>
      </c>
      <c r="E1693" t="str">
        <f>IFERROR(VLOOKUP($A1693,原始数据_收盘!$A$4:$G$3460,5,0),"")</f>
        <v/>
      </c>
      <c r="F1693" t="str">
        <f>IFERROR(VLOOKUP($A1693,原始数据_收盘!$A$4:$G$3460,6,0),"")</f>
        <v/>
      </c>
      <c r="G1693" t="str">
        <f>IFERROR(VLOOKUP($A1693,原始数据_收盘!$A$4:$G$3460,7,0),"")</f>
        <v/>
      </c>
      <c r="H1693" t="str">
        <f>IFERROR(VLOOKUP($A1693,原始数据_利率互换_FR007_1年!$A$6:$C$4395,2,0),"")</f>
        <v/>
      </c>
      <c r="I1693" t="str">
        <f>IFERROR(VLOOKUP($A1693,原始数据_利率互换_FR007_1年!$A$6:$C$4395,3,0),"")</f>
        <v/>
      </c>
    </row>
    <row r="1694" spans="1:9">
      <c r="A1694" s="6">
        <v>41187</v>
      </c>
      <c r="B1694" t="str">
        <f>IFERROR(VLOOKUP($A1694,原始数据_收盘!$A$4:$G$3460,2,0),"")</f>
        <v/>
      </c>
      <c r="C1694" t="str">
        <f>IFERROR(VLOOKUP($A1694,原始数据_收盘!$A$4:$G$3460,3,0),"")</f>
        <v/>
      </c>
      <c r="D1694" t="str">
        <f>IFERROR(VLOOKUP($A1694,原始数据_收盘!$A$4:$G$3460,4,0),"")</f>
        <v/>
      </c>
      <c r="E1694" t="str">
        <f>IFERROR(VLOOKUP($A1694,原始数据_收盘!$A$4:$G$3460,5,0),"")</f>
        <v/>
      </c>
      <c r="F1694" t="str">
        <f>IFERROR(VLOOKUP($A1694,原始数据_收盘!$A$4:$G$3460,6,0),"")</f>
        <v/>
      </c>
      <c r="G1694" t="str">
        <f>IFERROR(VLOOKUP($A1694,原始数据_收盘!$A$4:$G$3460,7,0),"")</f>
        <v/>
      </c>
      <c r="H1694" t="str">
        <f>IFERROR(VLOOKUP($A1694,原始数据_利率互换_FR007_1年!$A$6:$C$4395,2,0),"")</f>
        <v/>
      </c>
      <c r="I1694" t="str">
        <f>IFERROR(VLOOKUP($A1694,原始数据_利率互换_FR007_1年!$A$6:$C$4395,3,0),"")</f>
        <v/>
      </c>
    </row>
    <row r="1695" spans="1:9">
      <c r="A1695" s="6">
        <v>41188</v>
      </c>
      <c r="B1695" t="str">
        <f>IFERROR(VLOOKUP($A1695,原始数据_收盘!$A$4:$G$3460,2,0),"")</f>
        <v/>
      </c>
      <c r="C1695" t="str">
        <f>IFERROR(VLOOKUP($A1695,原始数据_收盘!$A$4:$G$3460,3,0),"")</f>
        <v/>
      </c>
      <c r="D1695" t="str">
        <f>IFERROR(VLOOKUP($A1695,原始数据_收盘!$A$4:$G$3460,4,0),"")</f>
        <v/>
      </c>
      <c r="E1695" t="str">
        <f>IFERROR(VLOOKUP($A1695,原始数据_收盘!$A$4:$G$3460,5,0),"")</f>
        <v/>
      </c>
      <c r="F1695" t="str">
        <f>IFERROR(VLOOKUP($A1695,原始数据_收盘!$A$4:$G$3460,6,0),"")</f>
        <v/>
      </c>
      <c r="G1695" t="str">
        <f>IFERROR(VLOOKUP($A1695,原始数据_收盘!$A$4:$G$3460,7,0),"")</f>
        <v/>
      </c>
      <c r="H1695" t="str">
        <f>IFERROR(VLOOKUP($A1695,原始数据_利率互换_FR007_1年!$A$6:$C$4395,2,0),"")</f>
        <v/>
      </c>
      <c r="I1695" t="str">
        <f>IFERROR(VLOOKUP($A1695,原始数据_利率互换_FR007_1年!$A$6:$C$4395,3,0),"")</f>
        <v/>
      </c>
    </row>
    <row r="1696" spans="1:9">
      <c r="A1696" s="6">
        <v>41189</v>
      </c>
      <c r="B1696" t="str">
        <f>IFERROR(VLOOKUP($A1696,原始数据_收盘!$A$4:$G$3460,2,0),"")</f>
        <v/>
      </c>
      <c r="C1696" t="str">
        <f>IFERROR(VLOOKUP($A1696,原始数据_收盘!$A$4:$G$3460,3,0),"")</f>
        <v/>
      </c>
      <c r="D1696" t="str">
        <f>IFERROR(VLOOKUP($A1696,原始数据_收盘!$A$4:$G$3460,4,0),"")</f>
        <v/>
      </c>
      <c r="E1696" t="str">
        <f>IFERROR(VLOOKUP($A1696,原始数据_收盘!$A$4:$G$3460,5,0),"")</f>
        <v/>
      </c>
      <c r="F1696" t="str">
        <f>IFERROR(VLOOKUP($A1696,原始数据_收盘!$A$4:$G$3460,6,0),"")</f>
        <v/>
      </c>
      <c r="G1696" t="str">
        <f>IFERROR(VLOOKUP($A1696,原始数据_收盘!$A$4:$G$3460,7,0),"")</f>
        <v/>
      </c>
      <c r="H1696" t="str">
        <f>IFERROR(VLOOKUP($A1696,原始数据_利率互换_FR007_1年!$A$6:$C$4395,2,0),"")</f>
        <v/>
      </c>
      <c r="I1696" t="str">
        <f>IFERROR(VLOOKUP($A1696,原始数据_利率互换_FR007_1年!$A$6:$C$4395,3,0),"")</f>
        <v/>
      </c>
    </row>
    <row r="1697" spans="1:9">
      <c r="A1697" s="6">
        <v>41190</v>
      </c>
      <c r="B1697">
        <f>IFERROR(VLOOKUP($A1697,原始数据_收盘!$A$4:$G$3460,2,0),"")</f>
        <v>3.1285</v>
      </c>
      <c r="C1697">
        <f>IFERROR(VLOOKUP($A1697,原始数据_收盘!$A$4:$G$3460,3,0),"")</f>
        <v>3.1627</v>
      </c>
      <c r="D1697">
        <f>IFERROR(VLOOKUP($A1697,原始数据_收盘!$A$4:$G$3460,4,0),"")</f>
        <v>3.1855</v>
      </c>
      <c r="E1697">
        <f>IFERROR(VLOOKUP($A1697,原始数据_收盘!$A$4:$G$3460,5,0),"")</f>
        <v>3.2322</v>
      </c>
      <c r="F1697">
        <f>IFERROR(VLOOKUP($A1697,原始数据_收盘!$A$4:$G$3460,6,0),"")</f>
        <v>3.157</v>
      </c>
      <c r="G1697">
        <f>IFERROR(VLOOKUP($A1697,原始数据_收盘!$A$4:$G$3460,7,0),"")</f>
        <v>3.1974</v>
      </c>
      <c r="H1697">
        <f>IFERROR(VLOOKUP($A1697,原始数据_利率互换_FR007_1年!$A$6:$C$4395,2,0),"")</f>
        <v>3.16</v>
      </c>
      <c r="I1697">
        <f>IFERROR(VLOOKUP($A1697,原始数据_利率互换_FR007_1年!$A$6:$C$4395,3,0),"")</f>
        <v>3.155</v>
      </c>
    </row>
    <row r="1698" spans="1:9">
      <c r="A1698" s="6">
        <v>41191</v>
      </c>
      <c r="B1698">
        <f>IFERROR(VLOOKUP($A1698,原始数据_收盘!$A$4:$G$3460,2,0),"")</f>
        <v>3.1216</v>
      </c>
      <c r="C1698">
        <f>IFERROR(VLOOKUP($A1698,原始数据_收盘!$A$4:$G$3460,3,0),"")</f>
        <v>3.1635</v>
      </c>
      <c r="D1698">
        <f>IFERROR(VLOOKUP($A1698,原始数据_收盘!$A$4:$G$3460,4,0),"")</f>
        <v>3.1746</v>
      </c>
      <c r="E1698">
        <f>IFERROR(VLOOKUP($A1698,原始数据_收盘!$A$4:$G$3460,5,0),"")</f>
        <v>3.2244</v>
      </c>
      <c r="F1698">
        <f>IFERROR(VLOOKUP($A1698,原始数据_收盘!$A$4:$G$3460,6,0),"")</f>
        <v>3.1481</v>
      </c>
      <c r="G1698">
        <f>IFERROR(VLOOKUP($A1698,原始数据_收盘!$A$4:$G$3460,7,0),"")</f>
        <v>3.1939</v>
      </c>
      <c r="H1698">
        <f>IFERROR(VLOOKUP($A1698,原始数据_利率互换_FR007_1年!$A$6:$C$4395,2,0),"")</f>
        <v>3.148</v>
      </c>
      <c r="I1698">
        <f>IFERROR(VLOOKUP($A1698,原始数据_利率互换_FR007_1年!$A$6:$C$4395,3,0),"")</f>
        <v>0</v>
      </c>
    </row>
    <row r="1699" spans="1:9">
      <c r="A1699" s="6">
        <v>41192</v>
      </c>
      <c r="B1699">
        <f>IFERROR(VLOOKUP($A1699,原始数据_收盘!$A$4:$G$3460,2,0),"")</f>
        <v>3.1403</v>
      </c>
      <c r="C1699">
        <f>IFERROR(VLOOKUP($A1699,原始数据_收盘!$A$4:$G$3460,3,0),"")</f>
        <v>3.1992</v>
      </c>
      <c r="D1699">
        <f>IFERROR(VLOOKUP($A1699,原始数据_收盘!$A$4:$G$3460,4,0),"")</f>
        <v>3.1947</v>
      </c>
      <c r="E1699">
        <f>IFERROR(VLOOKUP($A1699,原始数据_收盘!$A$4:$G$3460,5,0),"")</f>
        <v>3.2546</v>
      </c>
      <c r="F1699">
        <f>IFERROR(VLOOKUP($A1699,原始数据_收盘!$A$4:$G$3460,6,0),"")</f>
        <v>3.1675</v>
      </c>
      <c r="G1699">
        <f>IFERROR(VLOOKUP($A1699,原始数据_收盘!$A$4:$G$3460,7,0),"")</f>
        <v>3.2269</v>
      </c>
      <c r="H1699">
        <f>IFERROR(VLOOKUP($A1699,原始数据_利率互换_FR007_1年!$A$6:$C$4395,2,0),"")</f>
        <v>3.1525</v>
      </c>
      <c r="I1699">
        <f>IFERROR(VLOOKUP($A1699,原始数据_利率互换_FR007_1年!$A$6:$C$4395,3,0),"")</f>
        <v>3.2238</v>
      </c>
    </row>
    <row r="1700" spans="1:9">
      <c r="A1700" s="6">
        <v>41193</v>
      </c>
      <c r="B1700">
        <f>IFERROR(VLOOKUP($A1700,原始数据_收盘!$A$4:$G$3460,2,0),"")</f>
        <v>3.1188</v>
      </c>
      <c r="C1700">
        <f>IFERROR(VLOOKUP($A1700,原始数据_收盘!$A$4:$G$3460,3,0),"")</f>
        <v>3.1901</v>
      </c>
      <c r="D1700">
        <f>IFERROR(VLOOKUP($A1700,原始数据_收盘!$A$4:$G$3460,4,0),"")</f>
        <v>3.1696</v>
      </c>
      <c r="E1700">
        <f>IFERROR(VLOOKUP($A1700,原始数据_收盘!$A$4:$G$3460,5,0),"")</f>
        <v>3.2474</v>
      </c>
      <c r="F1700">
        <f>IFERROR(VLOOKUP($A1700,原始数据_收盘!$A$4:$G$3460,6,0),"")</f>
        <v>3.1442</v>
      </c>
      <c r="G1700">
        <f>IFERROR(VLOOKUP($A1700,原始数据_收盘!$A$4:$G$3460,7,0),"")</f>
        <v>3.2188</v>
      </c>
      <c r="H1700">
        <f>IFERROR(VLOOKUP($A1700,原始数据_利率互换_FR007_1年!$A$6:$C$4395,2,0),"")</f>
        <v>3.1428</v>
      </c>
      <c r="I1700">
        <f>IFERROR(VLOOKUP($A1700,原始数据_利率互换_FR007_1年!$A$6:$C$4395,3,0),"")</f>
        <v>3.2181</v>
      </c>
    </row>
    <row r="1701" spans="1:9">
      <c r="A1701" s="6">
        <v>41194</v>
      </c>
      <c r="B1701">
        <f>IFERROR(VLOOKUP($A1701,原始数据_收盘!$A$4:$G$3460,2,0),"")</f>
        <v>3.0931</v>
      </c>
      <c r="C1701">
        <f>IFERROR(VLOOKUP($A1701,原始数据_收盘!$A$4:$G$3460,3,0),"")</f>
        <v>3.1767</v>
      </c>
      <c r="D1701">
        <f>IFERROR(VLOOKUP($A1701,原始数据_收盘!$A$4:$G$3460,4,0),"")</f>
        <v>3.1462</v>
      </c>
      <c r="E1701">
        <f>IFERROR(VLOOKUP($A1701,原始数据_收盘!$A$4:$G$3460,5,0),"")</f>
        <v>3.2335</v>
      </c>
      <c r="F1701">
        <f>IFERROR(VLOOKUP($A1701,原始数据_收盘!$A$4:$G$3460,6,0),"")</f>
        <v>3.1196</v>
      </c>
      <c r="G1701">
        <f>IFERROR(VLOOKUP($A1701,原始数据_收盘!$A$4:$G$3460,7,0),"")</f>
        <v>3.2051</v>
      </c>
      <c r="H1701">
        <f>IFERROR(VLOOKUP($A1701,原始数据_利率互换_FR007_1年!$A$6:$C$4395,2,0),"")</f>
        <v>3.1217</v>
      </c>
      <c r="I1701">
        <f>IFERROR(VLOOKUP($A1701,原始数据_利率互换_FR007_1年!$A$6:$C$4395,3,0),"")</f>
        <v>3.2073</v>
      </c>
    </row>
    <row r="1702" spans="1:9">
      <c r="A1702" s="6">
        <v>41195</v>
      </c>
      <c r="B1702" t="str">
        <f>IFERROR(VLOOKUP($A1702,原始数据_收盘!$A$4:$G$3460,2,0),"")</f>
        <v/>
      </c>
      <c r="C1702" t="str">
        <f>IFERROR(VLOOKUP($A1702,原始数据_收盘!$A$4:$G$3460,3,0),"")</f>
        <v/>
      </c>
      <c r="D1702" t="str">
        <f>IFERROR(VLOOKUP($A1702,原始数据_收盘!$A$4:$G$3460,4,0),"")</f>
        <v/>
      </c>
      <c r="E1702" t="str">
        <f>IFERROR(VLOOKUP($A1702,原始数据_收盘!$A$4:$G$3460,5,0),"")</f>
        <v/>
      </c>
      <c r="F1702" t="str">
        <f>IFERROR(VLOOKUP($A1702,原始数据_收盘!$A$4:$G$3460,6,0),"")</f>
        <v/>
      </c>
      <c r="G1702" t="str">
        <f>IFERROR(VLOOKUP($A1702,原始数据_收盘!$A$4:$G$3460,7,0),"")</f>
        <v/>
      </c>
      <c r="H1702" t="str">
        <f>IFERROR(VLOOKUP($A1702,原始数据_利率互换_FR007_1年!$A$6:$C$4395,2,0),"")</f>
        <v/>
      </c>
      <c r="I1702" t="str">
        <f>IFERROR(VLOOKUP($A1702,原始数据_利率互换_FR007_1年!$A$6:$C$4395,3,0),"")</f>
        <v/>
      </c>
    </row>
    <row r="1703" spans="1:9">
      <c r="A1703" s="6">
        <v>41196</v>
      </c>
      <c r="B1703" t="str">
        <f>IFERROR(VLOOKUP($A1703,原始数据_收盘!$A$4:$G$3460,2,0),"")</f>
        <v/>
      </c>
      <c r="C1703" t="str">
        <f>IFERROR(VLOOKUP($A1703,原始数据_收盘!$A$4:$G$3460,3,0),"")</f>
        <v/>
      </c>
      <c r="D1703" t="str">
        <f>IFERROR(VLOOKUP($A1703,原始数据_收盘!$A$4:$G$3460,4,0),"")</f>
        <v/>
      </c>
      <c r="E1703" t="str">
        <f>IFERROR(VLOOKUP($A1703,原始数据_收盘!$A$4:$G$3460,5,0),"")</f>
        <v/>
      </c>
      <c r="F1703" t="str">
        <f>IFERROR(VLOOKUP($A1703,原始数据_收盘!$A$4:$G$3460,6,0),"")</f>
        <v/>
      </c>
      <c r="G1703" t="str">
        <f>IFERROR(VLOOKUP($A1703,原始数据_收盘!$A$4:$G$3460,7,0),"")</f>
        <v/>
      </c>
      <c r="H1703" t="str">
        <f>IFERROR(VLOOKUP($A1703,原始数据_利率互换_FR007_1年!$A$6:$C$4395,2,0),"")</f>
        <v/>
      </c>
      <c r="I1703" t="str">
        <f>IFERROR(VLOOKUP($A1703,原始数据_利率互换_FR007_1年!$A$6:$C$4395,3,0),"")</f>
        <v/>
      </c>
    </row>
    <row r="1704" spans="1:9">
      <c r="A1704" s="6">
        <v>41197</v>
      </c>
      <c r="B1704">
        <f>IFERROR(VLOOKUP($A1704,原始数据_收盘!$A$4:$G$3460,2,0),"")</f>
        <v>3.0839</v>
      </c>
      <c r="C1704">
        <f>IFERROR(VLOOKUP($A1704,原始数据_收盘!$A$4:$G$3460,3,0),"")</f>
        <v>3.1837</v>
      </c>
      <c r="D1704">
        <f>IFERROR(VLOOKUP($A1704,原始数据_收盘!$A$4:$G$3460,4,0),"")</f>
        <v>3.1318</v>
      </c>
      <c r="E1704">
        <f>IFERROR(VLOOKUP($A1704,原始数据_收盘!$A$4:$G$3460,5,0),"")</f>
        <v>3.241</v>
      </c>
      <c r="F1704">
        <f>IFERROR(VLOOKUP($A1704,原始数据_收盘!$A$4:$G$3460,6,0),"")</f>
        <v>3.1079</v>
      </c>
      <c r="G1704">
        <f>IFERROR(VLOOKUP($A1704,原始数据_收盘!$A$4:$G$3460,7,0),"")</f>
        <v>3.2123</v>
      </c>
      <c r="H1704">
        <f>IFERROR(VLOOKUP($A1704,原始数据_利率互换_FR007_1年!$A$6:$C$4395,2,0),"")</f>
        <v>3.0954</v>
      </c>
      <c r="I1704">
        <f>IFERROR(VLOOKUP($A1704,原始数据_利率互换_FR007_1年!$A$6:$C$4395,3,0),"")</f>
        <v>3.1957</v>
      </c>
    </row>
    <row r="1705" spans="1:9">
      <c r="A1705" s="6">
        <v>41198</v>
      </c>
      <c r="B1705">
        <f>IFERROR(VLOOKUP($A1705,原始数据_收盘!$A$4:$G$3460,2,0),"")</f>
        <v>3.0793</v>
      </c>
      <c r="C1705">
        <f>IFERROR(VLOOKUP($A1705,原始数据_收盘!$A$4:$G$3460,3,0),"")</f>
        <v>3.2029</v>
      </c>
      <c r="D1705">
        <f>IFERROR(VLOOKUP($A1705,原始数据_收盘!$A$4:$G$3460,4,0),"")</f>
        <v>3.1257</v>
      </c>
      <c r="E1705">
        <f>IFERROR(VLOOKUP($A1705,原始数据_收盘!$A$4:$G$3460,5,0),"")</f>
        <v>3.2556</v>
      </c>
      <c r="F1705">
        <f>IFERROR(VLOOKUP($A1705,原始数据_收盘!$A$4:$G$3460,6,0),"")</f>
        <v>3.1025</v>
      </c>
      <c r="G1705">
        <f>IFERROR(VLOOKUP($A1705,原始数据_收盘!$A$4:$G$3460,7,0),"")</f>
        <v>3.2292</v>
      </c>
      <c r="H1705">
        <f>IFERROR(VLOOKUP($A1705,原始数据_利率互换_FR007_1年!$A$6:$C$4395,2,0),"")</f>
        <v>3.1067</v>
      </c>
      <c r="I1705">
        <f>IFERROR(VLOOKUP($A1705,原始数据_利率互换_FR007_1年!$A$6:$C$4395,3,0),"")</f>
        <v>3.2199</v>
      </c>
    </row>
    <row r="1706" spans="1:9">
      <c r="A1706" s="6">
        <v>41199</v>
      </c>
      <c r="B1706">
        <f>IFERROR(VLOOKUP($A1706,原始数据_收盘!$A$4:$G$3460,2,0),"")</f>
        <v>3.0892</v>
      </c>
      <c r="C1706">
        <f>IFERROR(VLOOKUP($A1706,原始数据_收盘!$A$4:$G$3460,3,0),"")</f>
        <v>3.2605</v>
      </c>
      <c r="D1706">
        <f>IFERROR(VLOOKUP($A1706,原始数据_收盘!$A$4:$G$3460,4,0),"")</f>
        <v>3.133</v>
      </c>
      <c r="E1706">
        <f>IFERROR(VLOOKUP($A1706,原始数据_收盘!$A$4:$G$3460,5,0),"")</f>
        <v>3.3141</v>
      </c>
      <c r="F1706">
        <f>IFERROR(VLOOKUP($A1706,原始数据_收盘!$A$4:$G$3460,6,0),"")</f>
        <v>3.1111</v>
      </c>
      <c r="G1706">
        <f>IFERROR(VLOOKUP($A1706,原始数据_收盘!$A$4:$G$3460,7,0),"")</f>
        <v>3.2873</v>
      </c>
      <c r="H1706">
        <f>IFERROR(VLOOKUP($A1706,原始数据_利率互换_FR007_1年!$A$6:$C$4395,2,0),"")</f>
        <v>3.1121</v>
      </c>
      <c r="I1706">
        <f>IFERROR(VLOOKUP($A1706,原始数据_利率互换_FR007_1年!$A$6:$C$4395,3,0),"")</f>
        <v>3.2724</v>
      </c>
    </row>
    <row r="1707" spans="1:9">
      <c r="A1707" s="6">
        <v>41200</v>
      </c>
      <c r="B1707">
        <f>IFERROR(VLOOKUP($A1707,原始数据_收盘!$A$4:$G$3460,2,0),"")</f>
        <v>3.0777</v>
      </c>
      <c r="C1707">
        <f>IFERROR(VLOOKUP($A1707,原始数据_收盘!$A$4:$G$3460,3,0),"")</f>
        <v>3.2829</v>
      </c>
      <c r="D1707">
        <f>IFERROR(VLOOKUP($A1707,原始数据_收盘!$A$4:$G$3460,4,0),"")</f>
        <v>3.1266</v>
      </c>
      <c r="E1707">
        <f>IFERROR(VLOOKUP($A1707,原始数据_收盘!$A$4:$G$3460,5,0),"")</f>
        <v>3.3429</v>
      </c>
      <c r="F1707">
        <f>IFERROR(VLOOKUP($A1707,原始数据_收盘!$A$4:$G$3460,6,0),"")</f>
        <v>3.1021</v>
      </c>
      <c r="G1707">
        <f>IFERROR(VLOOKUP($A1707,原始数据_收盘!$A$4:$G$3460,7,0),"")</f>
        <v>3.3129</v>
      </c>
      <c r="H1707">
        <f>IFERROR(VLOOKUP($A1707,原始数据_利率互换_FR007_1年!$A$6:$C$4395,2,0),"")</f>
        <v>3.1091</v>
      </c>
      <c r="I1707">
        <f>IFERROR(VLOOKUP($A1707,原始数据_利率互换_FR007_1年!$A$6:$C$4395,3,0),"")</f>
        <v>3.3136</v>
      </c>
    </row>
    <row r="1708" spans="1:9">
      <c r="A1708" s="6">
        <v>41201</v>
      </c>
      <c r="B1708">
        <f>IFERROR(VLOOKUP($A1708,原始数据_收盘!$A$4:$G$3460,2,0),"")</f>
        <v>3.076</v>
      </c>
      <c r="C1708">
        <f>IFERROR(VLOOKUP($A1708,原始数据_收盘!$A$4:$G$3460,3,0),"")</f>
        <v>3.2845</v>
      </c>
      <c r="D1708">
        <f>IFERROR(VLOOKUP($A1708,原始数据_收盘!$A$4:$G$3460,4,0),"")</f>
        <v>3.1273</v>
      </c>
      <c r="E1708">
        <f>IFERROR(VLOOKUP($A1708,原始数据_收盘!$A$4:$G$3460,5,0),"")</f>
        <v>3.3446</v>
      </c>
      <c r="F1708">
        <f>IFERROR(VLOOKUP($A1708,原始数据_收盘!$A$4:$G$3460,6,0),"")</f>
        <v>3.1017</v>
      </c>
      <c r="G1708">
        <f>IFERROR(VLOOKUP($A1708,原始数据_收盘!$A$4:$G$3460,7,0),"")</f>
        <v>3.3146</v>
      </c>
      <c r="H1708">
        <f>IFERROR(VLOOKUP($A1708,原始数据_利率互换_FR007_1年!$A$6:$C$4395,2,0),"")</f>
        <v>3.1006</v>
      </c>
      <c r="I1708">
        <f>IFERROR(VLOOKUP($A1708,原始数据_利率互换_FR007_1年!$A$6:$C$4395,3,0),"")</f>
        <v>0</v>
      </c>
    </row>
    <row r="1709" spans="1:9">
      <c r="A1709" s="6">
        <v>41202</v>
      </c>
      <c r="B1709" t="str">
        <f>IFERROR(VLOOKUP($A1709,原始数据_收盘!$A$4:$G$3460,2,0),"")</f>
        <v/>
      </c>
      <c r="C1709" t="str">
        <f>IFERROR(VLOOKUP($A1709,原始数据_收盘!$A$4:$G$3460,3,0),"")</f>
        <v/>
      </c>
      <c r="D1709" t="str">
        <f>IFERROR(VLOOKUP($A1709,原始数据_收盘!$A$4:$G$3460,4,0),"")</f>
        <v/>
      </c>
      <c r="E1709" t="str">
        <f>IFERROR(VLOOKUP($A1709,原始数据_收盘!$A$4:$G$3460,5,0),"")</f>
        <v/>
      </c>
      <c r="F1709" t="str">
        <f>IFERROR(VLOOKUP($A1709,原始数据_收盘!$A$4:$G$3460,6,0),"")</f>
        <v/>
      </c>
      <c r="G1709" t="str">
        <f>IFERROR(VLOOKUP($A1709,原始数据_收盘!$A$4:$G$3460,7,0),"")</f>
        <v/>
      </c>
      <c r="H1709" t="str">
        <f>IFERROR(VLOOKUP($A1709,原始数据_利率互换_FR007_1年!$A$6:$C$4395,2,0),"")</f>
        <v/>
      </c>
      <c r="I1709" t="str">
        <f>IFERROR(VLOOKUP($A1709,原始数据_利率互换_FR007_1年!$A$6:$C$4395,3,0),"")</f>
        <v/>
      </c>
    </row>
    <row r="1710" spans="1:9">
      <c r="A1710" s="6">
        <v>41203</v>
      </c>
      <c r="B1710" t="str">
        <f>IFERROR(VLOOKUP($A1710,原始数据_收盘!$A$4:$G$3460,2,0),"")</f>
        <v/>
      </c>
      <c r="C1710" t="str">
        <f>IFERROR(VLOOKUP($A1710,原始数据_收盘!$A$4:$G$3460,3,0),"")</f>
        <v/>
      </c>
      <c r="D1710" t="str">
        <f>IFERROR(VLOOKUP($A1710,原始数据_收盘!$A$4:$G$3460,4,0),"")</f>
        <v/>
      </c>
      <c r="E1710" t="str">
        <f>IFERROR(VLOOKUP($A1710,原始数据_收盘!$A$4:$G$3460,5,0),"")</f>
        <v/>
      </c>
      <c r="F1710" t="str">
        <f>IFERROR(VLOOKUP($A1710,原始数据_收盘!$A$4:$G$3460,6,0),"")</f>
        <v/>
      </c>
      <c r="G1710" t="str">
        <f>IFERROR(VLOOKUP($A1710,原始数据_收盘!$A$4:$G$3460,7,0),"")</f>
        <v/>
      </c>
      <c r="H1710" t="str">
        <f>IFERROR(VLOOKUP($A1710,原始数据_利率互换_FR007_1年!$A$6:$C$4395,2,0),"")</f>
        <v/>
      </c>
      <c r="I1710" t="str">
        <f>IFERROR(VLOOKUP($A1710,原始数据_利率互换_FR007_1年!$A$6:$C$4395,3,0),"")</f>
        <v/>
      </c>
    </row>
    <row r="1711" spans="1:9">
      <c r="A1711" s="6">
        <v>41204</v>
      </c>
      <c r="B1711">
        <f>IFERROR(VLOOKUP($A1711,原始数据_收盘!$A$4:$G$3460,2,0),"")</f>
        <v>3.0707</v>
      </c>
      <c r="C1711">
        <f>IFERROR(VLOOKUP($A1711,原始数据_收盘!$A$4:$G$3460,3,0),"")</f>
        <v>3.2669</v>
      </c>
      <c r="D1711">
        <f>IFERROR(VLOOKUP($A1711,原始数据_收盘!$A$4:$G$3460,4,0),"")</f>
        <v>3.1163</v>
      </c>
      <c r="E1711">
        <f>IFERROR(VLOOKUP($A1711,原始数据_收盘!$A$4:$G$3460,5,0),"")</f>
        <v>3.3225</v>
      </c>
      <c r="F1711">
        <f>IFERROR(VLOOKUP($A1711,原始数据_收盘!$A$4:$G$3460,6,0),"")</f>
        <v>3.0935</v>
      </c>
      <c r="G1711">
        <f>IFERROR(VLOOKUP($A1711,原始数据_收盘!$A$4:$G$3460,7,0),"")</f>
        <v>3.2947</v>
      </c>
      <c r="H1711">
        <f>IFERROR(VLOOKUP($A1711,原始数据_利率互换_FR007_1年!$A$6:$C$4395,2,0),"")</f>
        <v>3.0821</v>
      </c>
      <c r="I1711">
        <f>IFERROR(VLOOKUP($A1711,原始数据_利率互换_FR007_1年!$A$6:$C$4395,3,0),"")</f>
        <v>3.2786</v>
      </c>
    </row>
    <row r="1712" spans="1:9">
      <c r="A1712" s="6">
        <v>41205</v>
      </c>
      <c r="B1712">
        <f>IFERROR(VLOOKUP($A1712,原始数据_收盘!$A$4:$G$3460,2,0),"")</f>
        <v>3.0972</v>
      </c>
      <c r="C1712">
        <f>IFERROR(VLOOKUP($A1712,原始数据_收盘!$A$4:$G$3460,3,0),"")</f>
        <v>3.2731</v>
      </c>
      <c r="D1712">
        <f>IFERROR(VLOOKUP($A1712,原始数据_收盘!$A$4:$G$3460,4,0),"")</f>
        <v>3.1459</v>
      </c>
      <c r="E1712">
        <f>IFERROR(VLOOKUP($A1712,原始数据_收盘!$A$4:$G$3460,5,0),"")</f>
        <v>3.326</v>
      </c>
      <c r="F1712">
        <f>IFERROR(VLOOKUP($A1712,原始数据_收盘!$A$4:$G$3460,6,0),"")</f>
        <v>3.1216</v>
      </c>
      <c r="G1712">
        <f>IFERROR(VLOOKUP($A1712,原始数据_收盘!$A$4:$G$3460,7,0),"")</f>
        <v>3.2996</v>
      </c>
      <c r="H1712">
        <f>IFERROR(VLOOKUP($A1712,原始数据_利率互换_FR007_1年!$A$6:$C$4395,2,0),"")</f>
        <v>3.1287</v>
      </c>
      <c r="I1712">
        <f>IFERROR(VLOOKUP($A1712,原始数据_利率互换_FR007_1年!$A$6:$C$4395,3,0),"")</f>
        <v>3.2973</v>
      </c>
    </row>
    <row r="1713" spans="1:9">
      <c r="A1713" s="6">
        <v>41206</v>
      </c>
      <c r="B1713">
        <f>IFERROR(VLOOKUP($A1713,原始数据_收盘!$A$4:$G$3460,2,0),"")</f>
        <v>3.1378</v>
      </c>
      <c r="C1713">
        <f>IFERROR(VLOOKUP($A1713,原始数据_收盘!$A$4:$G$3460,3,0),"")</f>
        <v>3.2842</v>
      </c>
      <c r="D1713">
        <f>IFERROR(VLOOKUP($A1713,原始数据_收盘!$A$4:$G$3460,4,0),"")</f>
        <v>3.1824</v>
      </c>
      <c r="E1713">
        <f>IFERROR(VLOOKUP($A1713,原始数据_收盘!$A$4:$G$3460,5,0),"")</f>
        <v>3.3342</v>
      </c>
      <c r="F1713">
        <f>IFERROR(VLOOKUP($A1713,原始数据_收盘!$A$4:$G$3460,6,0),"")</f>
        <v>3.1601</v>
      </c>
      <c r="G1713">
        <f>IFERROR(VLOOKUP($A1713,原始数据_收盘!$A$4:$G$3460,7,0),"")</f>
        <v>3.3092</v>
      </c>
      <c r="H1713">
        <f>IFERROR(VLOOKUP($A1713,原始数据_利率互换_FR007_1年!$A$6:$C$4395,2,0),"")</f>
        <v>3.1594</v>
      </c>
      <c r="I1713">
        <f>IFERROR(VLOOKUP($A1713,原始数据_利率互换_FR007_1年!$A$6:$C$4395,3,0),"")</f>
        <v>3.3</v>
      </c>
    </row>
    <row r="1714" spans="1:9">
      <c r="A1714" s="6">
        <v>41207</v>
      </c>
      <c r="B1714">
        <f>IFERROR(VLOOKUP($A1714,原始数据_收盘!$A$4:$G$3460,2,0),"")</f>
        <v>3.1485</v>
      </c>
      <c r="C1714">
        <f>IFERROR(VLOOKUP($A1714,原始数据_收盘!$A$4:$G$3460,3,0),"")</f>
        <v>3.3046</v>
      </c>
      <c r="D1714">
        <f>IFERROR(VLOOKUP($A1714,原始数据_收盘!$A$4:$G$3460,4,0),"")</f>
        <v>3.1968</v>
      </c>
      <c r="E1714">
        <f>IFERROR(VLOOKUP($A1714,原始数据_收盘!$A$4:$G$3460,5,0),"")</f>
        <v>3.3589</v>
      </c>
      <c r="F1714">
        <f>IFERROR(VLOOKUP($A1714,原始数据_收盘!$A$4:$G$3460,6,0),"")</f>
        <v>3.1726</v>
      </c>
      <c r="G1714">
        <f>IFERROR(VLOOKUP($A1714,原始数据_收盘!$A$4:$G$3460,7,0),"")</f>
        <v>3.3317</v>
      </c>
      <c r="H1714">
        <f>IFERROR(VLOOKUP($A1714,原始数据_利率互换_FR007_1年!$A$6:$C$4395,2,0),"")</f>
        <v>3.1652</v>
      </c>
      <c r="I1714">
        <f>IFERROR(VLOOKUP($A1714,原始数据_利率互换_FR007_1年!$A$6:$C$4395,3,0),"")</f>
        <v>3.3139</v>
      </c>
    </row>
    <row r="1715" spans="1:9">
      <c r="A1715" s="6">
        <v>41208</v>
      </c>
      <c r="B1715">
        <f>IFERROR(VLOOKUP($A1715,原始数据_收盘!$A$4:$G$3460,2,0),"")</f>
        <v>3.1644</v>
      </c>
      <c r="C1715">
        <f>IFERROR(VLOOKUP($A1715,原始数据_收盘!$A$4:$G$3460,3,0),"")</f>
        <v>3.3086</v>
      </c>
      <c r="D1715">
        <f>IFERROR(VLOOKUP($A1715,原始数据_收盘!$A$4:$G$3460,4,0),"")</f>
        <v>3.2118</v>
      </c>
      <c r="E1715">
        <f>IFERROR(VLOOKUP($A1715,原始数据_收盘!$A$4:$G$3460,5,0),"")</f>
        <v>3.3619</v>
      </c>
      <c r="F1715">
        <f>IFERROR(VLOOKUP($A1715,原始数据_收盘!$A$4:$G$3460,6,0),"")</f>
        <v>3.1881</v>
      </c>
      <c r="G1715">
        <f>IFERROR(VLOOKUP($A1715,原始数据_收盘!$A$4:$G$3460,7,0),"")</f>
        <v>3.3352</v>
      </c>
      <c r="H1715">
        <f>IFERROR(VLOOKUP($A1715,原始数据_利率互换_FR007_1年!$A$6:$C$4395,2,0),"")</f>
        <v>3.1933</v>
      </c>
      <c r="I1715">
        <f>IFERROR(VLOOKUP($A1715,原始数据_利率互换_FR007_1年!$A$6:$C$4395,3,0),"")</f>
        <v>3.3358</v>
      </c>
    </row>
    <row r="1716" spans="1:9">
      <c r="A1716" s="6">
        <v>41209</v>
      </c>
      <c r="B1716" t="str">
        <f>IFERROR(VLOOKUP($A1716,原始数据_收盘!$A$4:$G$3460,2,0),"")</f>
        <v/>
      </c>
      <c r="C1716" t="str">
        <f>IFERROR(VLOOKUP($A1716,原始数据_收盘!$A$4:$G$3460,3,0),"")</f>
        <v/>
      </c>
      <c r="D1716" t="str">
        <f>IFERROR(VLOOKUP($A1716,原始数据_收盘!$A$4:$G$3460,4,0),"")</f>
        <v/>
      </c>
      <c r="E1716" t="str">
        <f>IFERROR(VLOOKUP($A1716,原始数据_收盘!$A$4:$G$3460,5,0),"")</f>
        <v/>
      </c>
      <c r="F1716" t="str">
        <f>IFERROR(VLOOKUP($A1716,原始数据_收盘!$A$4:$G$3460,6,0),"")</f>
        <v/>
      </c>
      <c r="G1716" t="str">
        <f>IFERROR(VLOOKUP($A1716,原始数据_收盘!$A$4:$G$3460,7,0),"")</f>
        <v/>
      </c>
      <c r="H1716" t="str">
        <f>IFERROR(VLOOKUP($A1716,原始数据_利率互换_FR007_1年!$A$6:$C$4395,2,0),"")</f>
        <v/>
      </c>
      <c r="I1716" t="str">
        <f>IFERROR(VLOOKUP($A1716,原始数据_利率互换_FR007_1年!$A$6:$C$4395,3,0),"")</f>
        <v/>
      </c>
    </row>
    <row r="1717" spans="1:9">
      <c r="A1717" s="6">
        <v>41210</v>
      </c>
      <c r="B1717" t="str">
        <f>IFERROR(VLOOKUP($A1717,原始数据_收盘!$A$4:$G$3460,2,0),"")</f>
        <v/>
      </c>
      <c r="C1717" t="str">
        <f>IFERROR(VLOOKUP($A1717,原始数据_收盘!$A$4:$G$3460,3,0),"")</f>
        <v/>
      </c>
      <c r="D1717" t="str">
        <f>IFERROR(VLOOKUP($A1717,原始数据_收盘!$A$4:$G$3460,4,0),"")</f>
        <v/>
      </c>
      <c r="E1717" t="str">
        <f>IFERROR(VLOOKUP($A1717,原始数据_收盘!$A$4:$G$3460,5,0),"")</f>
        <v/>
      </c>
      <c r="F1717" t="str">
        <f>IFERROR(VLOOKUP($A1717,原始数据_收盘!$A$4:$G$3460,6,0),"")</f>
        <v/>
      </c>
      <c r="G1717" t="str">
        <f>IFERROR(VLOOKUP($A1717,原始数据_收盘!$A$4:$G$3460,7,0),"")</f>
        <v/>
      </c>
      <c r="H1717" t="str">
        <f>IFERROR(VLOOKUP($A1717,原始数据_利率互换_FR007_1年!$A$6:$C$4395,2,0),"")</f>
        <v/>
      </c>
      <c r="I1717" t="str">
        <f>IFERROR(VLOOKUP($A1717,原始数据_利率互换_FR007_1年!$A$6:$C$4395,3,0),"")</f>
        <v/>
      </c>
    </row>
    <row r="1718" spans="1:9">
      <c r="A1718" s="6">
        <v>41211</v>
      </c>
      <c r="B1718">
        <f>IFERROR(VLOOKUP($A1718,原始数据_收盘!$A$4:$G$3460,2,0),"")</f>
        <v>3.1554</v>
      </c>
      <c r="C1718">
        <f>IFERROR(VLOOKUP($A1718,原始数据_收盘!$A$4:$G$3460,3,0),"")</f>
        <v>3.3004</v>
      </c>
      <c r="D1718">
        <f>IFERROR(VLOOKUP($A1718,原始数据_收盘!$A$4:$G$3460,4,0),"")</f>
        <v>3.2038</v>
      </c>
      <c r="E1718">
        <f>IFERROR(VLOOKUP($A1718,原始数据_收盘!$A$4:$G$3460,5,0),"")</f>
        <v>3.3517</v>
      </c>
      <c r="F1718">
        <f>IFERROR(VLOOKUP($A1718,原始数据_收盘!$A$4:$G$3460,6,0),"")</f>
        <v>3.1796</v>
      </c>
      <c r="G1718">
        <f>IFERROR(VLOOKUP($A1718,原始数据_收盘!$A$4:$G$3460,7,0),"")</f>
        <v>3.326</v>
      </c>
      <c r="H1718">
        <f>IFERROR(VLOOKUP($A1718,原始数据_利率互换_FR007_1年!$A$6:$C$4395,2,0),"")</f>
        <v>3.1819</v>
      </c>
      <c r="I1718">
        <f>IFERROR(VLOOKUP($A1718,原始数据_利率互换_FR007_1年!$A$6:$C$4395,3,0),"")</f>
        <v>3.335</v>
      </c>
    </row>
    <row r="1719" spans="1:9">
      <c r="A1719" s="6">
        <v>41212</v>
      </c>
      <c r="B1719">
        <f>IFERROR(VLOOKUP($A1719,原始数据_收盘!$A$4:$G$3460,2,0),"")</f>
        <v>3.1377</v>
      </c>
      <c r="C1719">
        <f>IFERROR(VLOOKUP($A1719,原始数据_收盘!$A$4:$G$3460,3,0),"")</f>
        <v>3.307</v>
      </c>
      <c r="D1719">
        <f>IFERROR(VLOOKUP($A1719,原始数据_收盘!$A$4:$G$3460,4,0),"")</f>
        <v>3.187</v>
      </c>
      <c r="E1719">
        <f>IFERROR(VLOOKUP($A1719,原始数据_收盘!$A$4:$G$3460,5,0),"")</f>
        <v>3.3571</v>
      </c>
      <c r="F1719">
        <f>IFERROR(VLOOKUP($A1719,原始数据_收盘!$A$4:$G$3460,6,0),"")</f>
        <v>3.1623</v>
      </c>
      <c r="G1719">
        <f>IFERROR(VLOOKUP($A1719,原始数据_收盘!$A$4:$G$3460,7,0),"")</f>
        <v>3.3321</v>
      </c>
      <c r="H1719">
        <f>IFERROR(VLOOKUP($A1719,原始数据_利率互换_FR007_1年!$A$6:$C$4395,2,0),"")</f>
        <v>3.1581</v>
      </c>
      <c r="I1719">
        <f>IFERROR(VLOOKUP($A1719,原始数据_利率互换_FR007_1年!$A$6:$C$4395,3,0),"")</f>
        <v>3.3318</v>
      </c>
    </row>
    <row r="1720" spans="1:9">
      <c r="A1720" s="6">
        <v>41213</v>
      </c>
      <c r="B1720">
        <f>IFERROR(VLOOKUP($A1720,原始数据_收盘!$A$4:$G$3460,2,0),"")</f>
        <v>3.1547</v>
      </c>
      <c r="C1720">
        <f>IFERROR(VLOOKUP($A1720,原始数据_收盘!$A$4:$G$3460,3,0),"")</f>
        <v>3.3499</v>
      </c>
      <c r="D1720">
        <f>IFERROR(VLOOKUP($A1720,原始数据_收盘!$A$4:$G$3460,4,0),"")</f>
        <v>3.206</v>
      </c>
      <c r="E1720">
        <f>IFERROR(VLOOKUP($A1720,原始数据_收盘!$A$4:$G$3460,5,0),"")</f>
        <v>3.4031</v>
      </c>
      <c r="F1720">
        <f>IFERROR(VLOOKUP($A1720,原始数据_收盘!$A$4:$G$3460,6,0),"")</f>
        <v>3.1804</v>
      </c>
      <c r="G1720">
        <f>IFERROR(VLOOKUP($A1720,原始数据_收盘!$A$4:$G$3460,7,0),"")</f>
        <v>3.3765</v>
      </c>
      <c r="H1720">
        <f>IFERROR(VLOOKUP($A1720,原始数据_利率互换_FR007_1年!$A$6:$C$4395,2,0),"")</f>
        <v>3.1786</v>
      </c>
      <c r="I1720">
        <f>IFERROR(VLOOKUP($A1720,原始数据_利率互换_FR007_1年!$A$6:$C$4395,3,0),"")</f>
        <v>3.3674</v>
      </c>
    </row>
    <row r="1721" spans="1:9">
      <c r="A1721" s="6">
        <v>41214</v>
      </c>
      <c r="B1721">
        <f>IFERROR(VLOOKUP($A1721,原始数据_收盘!$A$4:$G$3460,2,0),"")</f>
        <v>3.1732</v>
      </c>
      <c r="C1721">
        <f>IFERROR(VLOOKUP($A1721,原始数据_收盘!$A$4:$G$3460,3,0),"")</f>
        <v>3.3776</v>
      </c>
      <c r="D1721">
        <f>IFERROR(VLOOKUP($A1721,原始数据_收盘!$A$4:$G$3460,4,0),"")</f>
        <v>3.2239</v>
      </c>
      <c r="E1721">
        <f>IFERROR(VLOOKUP($A1721,原始数据_收盘!$A$4:$G$3460,5,0),"")</f>
        <v>3.4399</v>
      </c>
      <c r="F1721">
        <f>IFERROR(VLOOKUP($A1721,原始数据_收盘!$A$4:$G$3460,6,0),"")</f>
        <v>3.1986</v>
      </c>
      <c r="G1721">
        <f>IFERROR(VLOOKUP($A1721,原始数据_收盘!$A$4:$G$3460,7,0),"")</f>
        <v>3.4087</v>
      </c>
      <c r="H1721">
        <f>IFERROR(VLOOKUP($A1721,原始数据_利率互换_FR007_1年!$A$6:$C$4395,2,0),"")</f>
        <v>3.2056</v>
      </c>
      <c r="I1721">
        <f>IFERROR(VLOOKUP($A1721,原始数据_利率互换_FR007_1年!$A$6:$C$4395,3,0),"")</f>
        <v>3.4075</v>
      </c>
    </row>
    <row r="1722" spans="1:9">
      <c r="A1722" s="6">
        <v>41215</v>
      </c>
      <c r="B1722">
        <f>IFERROR(VLOOKUP($A1722,原始数据_收盘!$A$4:$G$3460,2,0),"")</f>
        <v>3.1976</v>
      </c>
      <c r="C1722">
        <f>IFERROR(VLOOKUP($A1722,原始数据_收盘!$A$4:$G$3460,3,0),"")</f>
        <v>3.4228</v>
      </c>
      <c r="D1722">
        <f>IFERROR(VLOOKUP($A1722,原始数据_收盘!$A$4:$G$3460,4,0),"")</f>
        <v>3.2472</v>
      </c>
      <c r="E1722">
        <f>IFERROR(VLOOKUP($A1722,原始数据_收盘!$A$4:$G$3460,5,0),"")</f>
        <v>3.4852</v>
      </c>
      <c r="F1722">
        <f>IFERROR(VLOOKUP($A1722,原始数据_收盘!$A$4:$G$3460,6,0),"")</f>
        <v>3.2224</v>
      </c>
      <c r="G1722">
        <f>IFERROR(VLOOKUP($A1722,原始数据_收盘!$A$4:$G$3460,7,0),"")</f>
        <v>3.454</v>
      </c>
      <c r="H1722">
        <f>IFERROR(VLOOKUP($A1722,原始数据_利率互换_FR007_1年!$A$6:$C$4395,2,0),"")</f>
        <v>3.1914</v>
      </c>
      <c r="I1722">
        <f>IFERROR(VLOOKUP($A1722,原始数据_利率互换_FR007_1年!$A$6:$C$4395,3,0),"")</f>
        <v>3.4368</v>
      </c>
    </row>
    <row r="1723" spans="1:9">
      <c r="A1723" s="6">
        <v>41216</v>
      </c>
      <c r="B1723" t="str">
        <f>IFERROR(VLOOKUP($A1723,原始数据_收盘!$A$4:$G$3460,2,0),"")</f>
        <v/>
      </c>
      <c r="C1723" t="str">
        <f>IFERROR(VLOOKUP($A1723,原始数据_收盘!$A$4:$G$3460,3,0),"")</f>
        <v/>
      </c>
      <c r="D1723" t="str">
        <f>IFERROR(VLOOKUP($A1723,原始数据_收盘!$A$4:$G$3460,4,0),"")</f>
        <v/>
      </c>
      <c r="E1723" t="str">
        <f>IFERROR(VLOOKUP($A1723,原始数据_收盘!$A$4:$G$3460,5,0),"")</f>
        <v/>
      </c>
      <c r="F1723" t="str">
        <f>IFERROR(VLOOKUP($A1723,原始数据_收盘!$A$4:$G$3460,6,0),"")</f>
        <v/>
      </c>
      <c r="G1723" t="str">
        <f>IFERROR(VLOOKUP($A1723,原始数据_收盘!$A$4:$G$3460,7,0),"")</f>
        <v/>
      </c>
      <c r="H1723" t="str">
        <f>IFERROR(VLOOKUP($A1723,原始数据_利率互换_FR007_1年!$A$6:$C$4395,2,0),"")</f>
        <v/>
      </c>
      <c r="I1723" t="str">
        <f>IFERROR(VLOOKUP($A1723,原始数据_利率互换_FR007_1年!$A$6:$C$4395,3,0),"")</f>
        <v/>
      </c>
    </row>
    <row r="1724" spans="1:9">
      <c r="A1724" s="6">
        <v>41217</v>
      </c>
      <c r="B1724" t="str">
        <f>IFERROR(VLOOKUP($A1724,原始数据_收盘!$A$4:$G$3460,2,0),"")</f>
        <v/>
      </c>
      <c r="C1724" t="str">
        <f>IFERROR(VLOOKUP($A1724,原始数据_收盘!$A$4:$G$3460,3,0),"")</f>
        <v/>
      </c>
      <c r="D1724" t="str">
        <f>IFERROR(VLOOKUP($A1724,原始数据_收盘!$A$4:$G$3460,4,0),"")</f>
        <v/>
      </c>
      <c r="E1724" t="str">
        <f>IFERROR(VLOOKUP($A1724,原始数据_收盘!$A$4:$G$3460,5,0),"")</f>
        <v/>
      </c>
      <c r="F1724" t="str">
        <f>IFERROR(VLOOKUP($A1724,原始数据_收盘!$A$4:$G$3460,6,0),"")</f>
        <v/>
      </c>
      <c r="G1724" t="str">
        <f>IFERROR(VLOOKUP($A1724,原始数据_收盘!$A$4:$G$3460,7,0),"")</f>
        <v/>
      </c>
      <c r="H1724" t="str">
        <f>IFERROR(VLOOKUP($A1724,原始数据_利率互换_FR007_1年!$A$6:$C$4395,2,0),"")</f>
        <v/>
      </c>
      <c r="I1724" t="str">
        <f>IFERROR(VLOOKUP($A1724,原始数据_利率互换_FR007_1年!$A$6:$C$4395,3,0),"")</f>
        <v/>
      </c>
    </row>
    <row r="1725" spans="1:9">
      <c r="A1725" s="6">
        <v>41218</v>
      </c>
      <c r="B1725">
        <f>IFERROR(VLOOKUP($A1725,原始数据_收盘!$A$4:$G$3460,2,0),"")</f>
        <v>3.1814</v>
      </c>
      <c r="C1725">
        <f>IFERROR(VLOOKUP($A1725,原始数据_收盘!$A$4:$G$3460,3,0),"")</f>
        <v>3.3985</v>
      </c>
      <c r="D1725">
        <f>IFERROR(VLOOKUP($A1725,原始数据_收盘!$A$4:$G$3460,4,0),"")</f>
        <v>3.2294</v>
      </c>
      <c r="E1725">
        <f>IFERROR(VLOOKUP($A1725,原始数据_收盘!$A$4:$G$3460,5,0),"")</f>
        <v>3.4578</v>
      </c>
      <c r="F1725">
        <f>IFERROR(VLOOKUP($A1725,原始数据_收盘!$A$4:$G$3460,6,0),"")</f>
        <v>3.2054</v>
      </c>
      <c r="G1725">
        <f>IFERROR(VLOOKUP($A1725,原始数据_收盘!$A$4:$G$3460,7,0),"")</f>
        <v>3.4281</v>
      </c>
      <c r="H1725">
        <f>IFERROR(VLOOKUP($A1725,原始数据_利率互换_FR007_1年!$A$6:$C$4395,2,0),"")</f>
        <v>3.2122</v>
      </c>
      <c r="I1725">
        <f>IFERROR(VLOOKUP($A1725,原始数据_利率互换_FR007_1年!$A$6:$C$4395,3,0),"")</f>
        <v>3.4352</v>
      </c>
    </row>
    <row r="1726" spans="1:9">
      <c r="A1726" s="6">
        <v>41219</v>
      </c>
      <c r="B1726">
        <f>IFERROR(VLOOKUP($A1726,原始数据_收盘!$A$4:$G$3460,2,0),"")</f>
        <v>3.1571</v>
      </c>
      <c r="C1726">
        <f>IFERROR(VLOOKUP($A1726,原始数据_收盘!$A$4:$G$3460,3,0),"")</f>
        <v>3.3792</v>
      </c>
      <c r="D1726">
        <f>IFERROR(VLOOKUP($A1726,原始数据_收盘!$A$4:$G$3460,4,0),"")</f>
        <v>3.2088</v>
      </c>
      <c r="E1726">
        <f>IFERROR(VLOOKUP($A1726,原始数据_收盘!$A$4:$G$3460,5,0),"")</f>
        <v>3.4354</v>
      </c>
      <c r="F1726">
        <f>IFERROR(VLOOKUP($A1726,原始数据_收盘!$A$4:$G$3460,6,0),"")</f>
        <v>3.1829</v>
      </c>
      <c r="G1726">
        <f>IFERROR(VLOOKUP($A1726,原始数据_收盘!$A$4:$G$3460,7,0),"")</f>
        <v>3.4073</v>
      </c>
      <c r="H1726">
        <f>IFERROR(VLOOKUP($A1726,原始数据_利率互换_FR007_1年!$A$6:$C$4395,2,0),"")</f>
        <v>3.1839</v>
      </c>
      <c r="I1726">
        <f>IFERROR(VLOOKUP($A1726,原始数据_利率互换_FR007_1年!$A$6:$C$4395,3,0),"")</f>
        <v>3.4064</v>
      </c>
    </row>
    <row r="1727" spans="1:9">
      <c r="A1727" s="6">
        <v>41220</v>
      </c>
      <c r="B1727">
        <f>IFERROR(VLOOKUP($A1727,原始数据_收盘!$A$4:$G$3460,2,0),"")</f>
        <v>3.1653</v>
      </c>
      <c r="C1727">
        <f>IFERROR(VLOOKUP($A1727,原始数据_收盘!$A$4:$G$3460,3,0),"")</f>
        <v>3.3927</v>
      </c>
      <c r="D1727">
        <f>IFERROR(VLOOKUP($A1727,原始数据_收盘!$A$4:$G$3460,4,0),"")</f>
        <v>3.2135</v>
      </c>
      <c r="E1727">
        <f>IFERROR(VLOOKUP($A1727,原始数据_收盘!$A$4:$G$3460,5,0),"")</f>
        <v>3.4463</v>
      </c>
      <c r="F1727">
        <f>IFERROR(VLOOKUP($A1727,原始数据_收盘!$A$4:$G$3460,6,0),"")</f>
        <v>3.1894</v>
      </c>
      <c r="G1727">
        <f>IFERROR(VLOOKUP($A1727,原始数据_收盘!$A$4:$G$3460,7,0),"")</f>
        <v>3.4195</v>
      </c>
      <c r="H1727">
        <f>IFERROR(VLOOKUP($A1727,原始数据_利率互换_FR007_1年!$A$6:$C$4395,2,0),"")</f>
        <v>3.1885</v>
      </c>
      <c r="I1727">
        <f>IFERROR(VLOOKUP($A1727,原始数据_利率互换_FR007_1年!$A$6:$C$4395,3,0),"")</f>
        <v>3.4</v>
      </c>
    </row>
    <row r="1728" spans="1:9">
      <c r="A1728" s="6">
        <v>41221</v>
      </c>
      <c r="B1728">
        <f>IFERROR(VLOOKUP($A1728,原始数据_收盘!$A$4:$G$3460,2,0),"")</f>
        <v>3.1685</v>
      </c>
      <c r="C1728">
        <f>IFERROR(VLOOKUP($A1728,原始数据_收盘!$A$4:$G$3460,3,0),"")</f>
        <v>3.3795</v>
      </c>
      <c r="D1728">
        <f>IFERROR(VLOOKUP($A1728,原始数据_收盘!$A$4:$G$3460,4,0),"")</f>
        <v>3.2283</v>
      </c>
      <c r="E1728">
        <f>IFERROR(VLOOKUP($A1728,原始数据_收盘!$A$4:$G$3460,5,0),"")</f>
        <v>3.4426</v>
      </c>
      <c r="F1728">
        <f>IFERROR(VLOOKUP($A1728,原始数据_收盘!$A$4:$G$3460,6,0),"")</f>
        <v>3.1984</v>
      </c>
      <c r="G1728">
        <f>IFERROR(VLOOKUP($A1728,原始数据_收盘!$A$4:$G$3460,7,0),"")</f>
        <v>3.4111</v>
      </c>
      <c r="H1728">
        <f>IFERROR(VLOOKUP($A1728,原始数据_利率互换_FR007_1年!$A$6:$C$4395,2,0),"")</f>
        <v>3.1971</v>
      </c>
      <c r="I1728">
        <f>IFERROR(VLOOKUP($A1728,原始数据_利率互换_FR007_1年!$A$6:$C$4395,3,0),"")</f>
        <v>3.4101</v>
      </c>
    </row>
    <row r="1729" spans="1:9">
      <c r="A1729" s="6">
        <v>41222</v>
      </c>
      <c r="B1729">
        <f>IFERROR(VLOOKUP($A1729,原始数据_收盘!$A$4:$G$3460,2,0),"")</f>
        <v>3.1681</v>
      </c>
      <c r="C1729">
        <f>IFERROR(VLOOKUP($A1729,原始数据_收盘!$A$4:$G$3460,3,0),"")</f>
        <v>3.3869</v>
      </c>
      <c r="D1729">
        <f>IFERROR(VLOOKUP($A1729,原始数据_收盘!$A$4:$G$3460,4,0),"")</f>
        <v>3.2212</v>
      </c>
      <c r="E1729">
        <f>IFERROR(VLOOKUP($A1729,原始数据_收盘!$A$4:$G$3460,5,0),"")</f>
        <v>3.4415</v>
      </c>
      <c r="F1729">
        <f>IFERROR(VLOOKUP($A1729,原始数据_收盘!$A$4:$G$3460,6,0),"")</f>
        <v>3.1946</v>
      </c>
      <c r="G1729">
        <f>IFERROR(VLOOKUP($A1729,原始数据_收盘!$A$4:$G$3460,7,0),"")</f>
        <v>3.4142</v>
      </c>
      <c r="H1729">
        <f>IFERROR(VLOOKUP($A1729,原始数据_利率互换_FR007_1年!$A$6:$C$4395,2,0),"")</f>
        <v>3.195</v>
      </c>
      <c r="I1729">
        <f>IFERROR(VLOOKUP($A1729,原始数据_利率互换_FR007_1年!$A$6:$C$4395,3,0),"")</f>
        <v>3.3983</v>
      </c>
    </row>
    <row r="1730" spans="1:9">
      <c r="A1730" s="6">
        <v>41223</v>
      </c>
      <c r="B1730" t="str">
        <f>IFERROR(VLOOKUP($A1730,原始数据_收盘!$A$4:$G$3460,2,0),"")</f>
        <v/>
      </c>
      <c r="C1730" t="str">
        <f>IFERROR(VLOOKUP($A1730,原始数据_收盘!$A$4:$G$3460,3,0),"")</f>
        <v/>
      </c>
      <c r="D1730" t="str">
        <f>IFERROR(VLOOKUP($A1730,原始数据_收盘!$A$4:$G$3460,4,0),"")</f>
        <v/>
      </c>
      <c r="E1730" t="str">
        <f>IFERROR(VLOOKUP($A1730,原始数据_收盘!$A$4:$G$3460,5,0),"")</f>
        <v/>
      </c>
      <c r="F1730" t="str">
        <f>IFERROR(VLOOKUP($A1730,原始数据_收盘!$A$4:$G$3460,6,0),"")</f>
        <v/>
      </c>
      <c r="G1730" t="str">
        <f>IFERROR(VLOOKUP($A1730,原始数据_收盘!$A$4:$G$3460,7,0),"")</f>
        <v/>
      </c>
      <c r="H1730" t="str">
        <f>IFERROR(VLOOKUP($A1730,原始数据_利率互换_FR007_1年!$A$6:$C$4395,2,0),"")</f>
        <v/>
      </c>
      <c r="I1730" t="str">
        <f>IFERROR(VLOOKUP($A1730,原始数据_利率互换_FR007_1年!$A$6:$C$4395,3,0),"")</f>
        <v/>
      </c>
    </row>
    <row r="1731" spans="1:9">
      <c r="A1731" s="6">
        <v>41224</v>
      </c>
      <c r="B1731" t="str">
        <f>IFERROR(VLOOKUP($A1731,原始数据_收盘!$A$4:$G$3460,2,0),"")</f>
        <v/>
      </c>
      <c r="C1731" t="str">
        <f>IFERROR(VLOOKUP($A1731,原始数据_收盘!$A$4:$G$3460,3,0),"")</f>
        <v/>
      </c>
      <c r="D1731" t="str">
        <f>IFERROR(VLOOKUP($A1731,原始数据_收盘!$A$4:$G$3460,4,0),"")</f>
        <v/>
      </c>
      <c r="E1731" t="str">
        <f>IFERROR(VLOOKUP($A1731,原始数据_收盘!$A$4:$G$3460,5,0),"")</f>
        <v/>
      </c>
      <c r="F1731" t="str">
        <f>IFERROR(VLOOKUP($A1731,原始数据_收盘!$A$4:$G$3460,6,0),"")</f>
        <v/>
      </c>
      <c r="G1731" t="str">
        <f>IFERROR(VLOOKUP($A1731,原始数据_收盘!$A$4:$G$3460,7,0),"")</f>
        <v/>
      </c>
      <c r="H1731" t="str">
        <f>IFERROR(VLOOKUP($A1731,原始数据_利率互换_FR007_1年!$A$6:$C$4395,2,0),"")</f>
        <v/>
      </c>
      <c r="I1731" t="str">
        <f>IFERROR(VLOOKUP($A1731,原始数据_利率互换_FR007_1年!$A$6:$C$4395,3,0),"")</f>
        <v/>
      </c>
    </row>
    <row r="1732" spans="1:9">
      <c r="A1732" s="6">
        <v>41225</v>
      </c>
      <c r="B1732">
        <f>IFERROR(VLOOKUP($A1732,原始数据_收盘!$A$4:$G$3460,2,0),"")</f>
        <v>3.1681</v>
      </c>
      <c r="C1732">
        <f>IFERROR(VLOOKUP($A1732,原始数据_收盘!$A$4:$G$3460,3,0),"")</f>
        <v>3.3881</v>
      </c>
      <c r="D1732">
        <f>IFERROR(VLOOKUP($A1732,原始数据_收盘!$A$4:$G$3460,4,0),"")</f>
        <v>3.2177</v>
      </c>
      <c r="E1732">
        <f>IFERROR(VLOOKUP($A1732,原始数据_收盘!$A$4:$G$3460,5,0),"")</f>
        <v>3.4429</v>
      </c>
      <c r="F1732">
        <f>IFERROR(VLOOKUP($A1732,原始数据_收盘!$A$4:$G$3460,6,0),"")</f>
        <v>3.1929</v>
      </c>
      <c r="G1732">
        <f>IFERROR(VLOOKUP($A1732,原始数据_收盘!$A$4:$G$3460,7,0),"")</f>
        <v>3.4155</v>
      </c>
      <c r="H1732">
        <f>IFERROR(VLOOKUP($A1732,原始数据_利率互换_FR007_1年!$A$6:$C$4395,2,0),"")</f>
        <v>3.1917</v>
      </c>
      <c r="I1732">
        <f>IFERROR(VLOOKUP($A1732,原始数据_利率互换_FR007_1年!$A$6:$C$4395,3,0),"")</f>
        <v>0</v>
      </c>
    </row>
    <row r="1733" spans="1:9">
      <c r="A1733" s="6">
        <v>41226</v>
      </c>
      <c r="B1733">
        <f>IFERROR(VLOOKUP($A1733,原始数据_收盘!$A$4:$G$3460,2,0),"")</f>
        <v>3.1637</v>
      </c>
      <c r="C1733">
        <f>IFERROR(VLOOKUP($A1733,原始数据_收盘!$A$4:$G$3460,3,0),"")</f>
        <v>3.3782</v>
      </c>
      <c r="D1733">
        <f>IFERROR(VLOOKUP($A1733,原始数据_收盘!$A$4:$G$3460,4,0),"")</f>
        <v>3.2108</v>
      </c>
      <c r="E1733">
        <f>IFERROR(VLOOKUP($A1733,原始数据_收盘!$A$4:$G$3460,5,0),"")</f>
        <v>3.4302</v>
      </c>
      <c r="F1733">
        <f>IFERROR(VLOOKUP($A1733,原始数据_收盘!$A$4:$G$3460,6,0),"")</f>
        <v>3.1873</v>
      </c>
      <c r="G1733">
        <f>IFERROR(VLOOKUP($A1733,原始数据_收盘!$A$4:$G$3460,7,0),"")</f>
        <v>3.4042</v>
      </c>
      <c r="H1733">
        <f>IFERROR(VLOOKUP($A1733,原始数据_利率互换_FR007_1年!$A$6:$C$4395,2,0),"")</f>
        <v>3.1798</v>
      </c>
      <c r="I1733">
        <f>IFERROR(VLOOKUP($A1733,原始数据_利率互换_FR007_1年!$A$6:$C$4395,3,0),"")</f>
        <v>3.4038</v>
      </c>
    </row>
    <row r="1734" spans="1:9">
      <c r="A1734" s="6">
        <v>41227</v>
      </c>
      <c r="B1734">
        <f>IFERROR(VLOOKUP($A1734,原始数据_收盘!$A$4:$G$3460,2,0),"")</f>
        <v>3.1791</v>
      </c>
      <c r="C1734">
        <f>IFERROR(VLOOKUP($A1734,原始数据_收盘!$A$4:$G$3460,3,0),"")</f>
        <v>3.3859</v>
      </c>
      <c r="D1734">
        <f>IFERROR(VLOOKUP($A1734,原始数据_收盘!$A$4:$G$3460,4,0),"")</f>
        <v>3.2251</v>
      </c>
      <c r="E1734">
        <f>IFERROR(VLOOKUP($A1734,原始数据_收盘!$A$4:$G$3460,5,0),"")</f>
        <v>3.439</v>
      </c>
      <c r="F1734">
        <f>IFERROR(VLOOKUP($A1734,原始数据_收盘!$A$4:$G$3460,6,0),"")</f>
        <v>3.2021</v>
      </c>
      <c r="G1734">
        <f>IFERROR(VLOOKUP($A1734,原始数据_收盘!$A$4:$G$3460,7,0),"")</f>
        <v>3.4124</v>
      </c>
      <c r="H1734">
        <f>IFERROR(VLOOKUP($A1734,原始数据_利率互换_FR007_1年!$A$6:$C$4395,2,0),"")</f>
        <v>3.1997</v>
      </c>
      <c r="I1734">
        <f>IFERROR(VLOOKUP($A1734,原始数据_利率互换_FR007_1年!$A$6:$C$4395,3,0),"")</f>
        <v>3.408</v>
      </c>
    </row>
    <row r="1735" spans="1:9">
      <c r="A1735" s="6">
        <v>41228</v>
      </c>
      <c r="B1735">
        <f>IFERROR(VLOOKUP($A1735,原始数据_收盘!$A$4:$G$3460,2,0),"")</f>
        <v>3.2055</v>
      </c>
      <c r="C1735">
        <f>IFERROR(VLOOKUP($A1735,原始数据_收盘!$A$4:$G$3460,3,0),"")</f>
        <v>3.4169</v>
      </c>
      <c r="D1735">
        <f>IFERROR(VLOOKUP($A1735,原始数据_收盘!$A$4:$G$3460,4,0),"")</f>
        <v>3.2514</v>
      </c>
      <c r="E1735">
        <f>IFERROR(VLOOKUP($A1735,原始数据_收盘!$A$4:$G$3460,5,0),"")</f>
        <v>3.4692</v>
      </c>
      <c r="F1735">
        <f>IFERROR(VLOOKUP($A1735,原始数据_收盘!$A$4:$G$3460,6,0),"")</f>
        <v>3.2285</v>
      </c>
      <c r="G1735">
        <f>IFERROR(VLOOKUP($A1735,原始数据_收盘!$A$4:$G$3460,7,0),"")</f>
        <v>3.4431</v>
      </c>
      <c r="H1735">
        <f>IFERROR(VLOOKUP($A1735,原始数据_利率互换_FR007_1年!$A$6:$C$4395,2,0),"")</f>
        <v>3.2231</v>
      </c>
      <c r="I1735">
        <f>IFERROR(VLOOKUP($A1735,原始数据_利率互换_FR007_1年!$A$6:$C$4395,3,0),"")</f>
        <v>3.4409</v>
      </c>
    </row>
    <row r="1736" spans="1:9">
      <c r="A1736" s="6">
        <v>41229</v>
      </c>
      <c r="B1736">
        <f>IFERROR(VLOOKUP($A1736,原始数据_收盘!$A$4:$G$3460,2,0),"")</f>
        <v>3.2005</v>
      </c>
      <c r="C1736">
        <f>IFERROR(VLOOKUP($A1736,原始数据_收盘!$A$4:$G$3460,3,0),"")</f>
        <v>3.4141</v>
      </c>
      <c r="D1736">
        <f>IFERROR(VLOOKUP($A1736,原始数据_收盘!$A$4:$G$3460,4,0),"")</f>
        <v>3.2453</v>
      </c>
      <c r="E1736">
        <f>IFERROR(VLOOKUP($A1736,原始数据_收盘!$A$4:$G$3460,5,0),"")</f>
        <v>3.4612</v>
      </c>
      <c r="F1736">
        <f>IFERROR(VLOOKUP($A1736,原始数据_收盘!$A$4:$G$3460,6,0),"")</f>
        <v>3.2229</v>
      </c>
      <c r="G1736">
        <f>IFERROR(VLOOKUP($A1736,原始数据_收盘!$A$4:$G$3460,7,0),"")</f>
        <v>3.4377</v>
      </c>
      <c r="H1736">
        <f>IFERROR(VLOOKUP($A1736,原始数据_利率互换_FR007_1年!$A$6:$C$4395,2,0),"")</f>
        <v>3.2408</v>
      </c>
      <c r="I1736">
        <f>IFERROR(VLOOKUP($A1736,原始数据_利率互换_FR007_1年!$A$6:$C$4395,3,0),"")</f>
        <v>3.4535</v>
      </c>
    </row>
    <row r="1737" spans="1:9">
      <c r="A1737" s="6">
        <v>41230</v>
      </c>
      <c r="B1737" t="str">
        <f>IFERROR(VLOOKUP($A1737,原始数据_收盘!$A$4:$G$3460,2,0),"")</f>
        <v/>
      </c>
      <c r="C1737" t="str">
        <f>IFERROR(VLOOKUP($A1737,原始数据_收盘!$A$4:$G$3460,3,0),"")</f>
        <v/>
      </c>
      <c r="D1737" t="str">
        <f>IFERROR(VLOOKUP($A1737,原始数据_收盘!$A$4:$G$3460,4,0),"")</f>
        <v/>
      </c>
      <c r="E1737" t="str">
        <f>IFERROR(VLOOKUP($A1737,原始数据_收盘!$A$4:$G$3460,5,0),"")</f>
        <v/>
      </c>
      <c r="F1737" t="str">
        <f>IFERROR(VLOOKUP($A1737,原始数据_收盘!$A$4:$G$3460,6,0),"")</f>
        <v/>
      </c>
      <c r="G1737" t="str">
        <f>IFERROR(VLOOKUP($A1737,原始数据_收盘!$A$4:$G$3460,7,0),"")</f>
        <v/>
      </c>
      <c r="H1737" t="str">
        <f>IFERROR(VLOOKUP($A1737,原始数据_利率互换_FR007_1年!$A$6:$C$4395,2,0),"")</f>
        <v/>
      </c>
      <c r="I1737" t="str">
        <f>IFERROR(VLOOKUP($A1737,原始数据_利率互换_FR007_1年!$A$6:$C$4395,3,0),"")</f>
        <v/>
      </c>
    </row>
    <row r="1738" spans="1:9">
      <c r="A1738" s="6">
        <v>41231</v>
      </c>
      <c r="B1738" t="str">
        <f>IFERROR(VLOOKUP($A1738,原始数据_收盘!$A$4:$G$3460,2,0),"")</f>
        <v/>
      </c>
      <c r="C1738" t="str">
        <f>IFERROR(VLOOKUP($A1738,原始数据_收盘!$A$4:$G$3460,3,0),"")</f>
        <v/>
      </c>
      <c r="D1738" t="str">
        <f>IFERROR(VLOOKUP($A1738,原始数据_收盘!$A$4:$G$3460,4,0),"")</f>
        <v/>
      </c>
      <c r="E1738" t="str">
        <f>IFERROR(VLOOKUP($A1738,原始数据_收盘!$A$4:$G$3460,5,0),"")</f>
        <v/>
      </c>
      <c r="F1738" t="str">
        <f>IFERROR(VLOOKUP($A1738,原始数据_收盘!$A$4:$G$3460,6,0),"")</f>
        <v/>
      </c>
      <c r="G1738" t="str">
        <f>IFERROR(VLOOKUP($A1738,原始数据_收盘!$A$4:$G$3460,7,0),"")</f>
        <v/>
      </c>
      <c r="H1738" t="str">
        <f>IFERROR(VLOOKUP($A1738,原始数据_利率互换_FR007_1年!$A$6:$C$4395,2,0),"")</f>
        <v/>
      </c>
      <c r="I1738" t="str">
        <f>IFERROR(VLOOKUP($A1738,原始数据_利率互换_FR007_1年!$A$6:$C$4395,3,0),"")</f>
        <v/>
      </c>
    </row>
    <row r="1739" spans="1:9">
      <c r="A1739" s="6">
        <v>41232</v>
      </c>
      <c r="B1739">
        <f>IFERROR(VLOOKUP($A1739,原始数据_收盘!$A$4:$G$3460,2,0),"")</f>
        <v>3.1995</v>
      </c>
      <c r="C1739">
        <f>IFERROR(VLOOKUP($A1739,原始数据_收盘!$A$4:$G$3460,3,0),"")</f>
        <v>3.4128</v>
      </c>
      <c r="D1739">
        <f>IFERROR(VLOOKUP($A1739,原始数据_收盘!$A$4:$G$3460,4,0),"")</f>
        <v>3.2495</v>
      </c>
      <c r="E1739">
        <f>IFERROR(VLOOKUP($A1739,原始数据_收盘!$A$4:$G$3460,5,0),"")</f>
        <v>3.463</v>
      </c>
      <c r="F1739">
        <f>IFERROR(VLOOKUP($A1739,原始数据_收盘!$A$4:$G$3460,6,0),"")</f>
        <v>3.2245</v>
      </c>
      <c r="G1739">
        <f>IFERROR(VLOOKUP($A1739,原始数据_收盘!$A$4:$G$3460,7,0),"")</f>
        <v>3.4379</v>
      </c>
      <c r="H1739">
        <f>IFERROR(VLOOKUP($A1739,原始数据_利率互换_FR007_1年!$A$6:$C$4395,2,0),"")</f>
        <v>0</v>
      </c>
      <c r="I1739">
        <f>IFERROR(VLOOKUP($A1739,原始数据_利率互换_FR007_1年!$A$6:$C$4395,3,0),"")</f>
        <v>3.4433</v>
      </c>
    </row>
    <row r="1740" spans="1:9">
      <c r="A1740" s="6">
        <v>41233</v>
      </c>
      <c r="B1740">
        <f>IFERROR(VLOOKUP($A1740,原始数据_收盘!$A$4:$G$3460,2,0),"")</f>
        <v>3.2457</v>
      </c>
      <c r="C1740">
        <f>IFERROR(VLOOKUP($A1740,原始数据_收盘!$A$4:$G$3460,3,0),"")</f>
        <v>3.4536</v>
      </c>
      <c r="D1740">
        <f>IFERROR(VLOOKUP($A1740,原始数据_收盘!$A$4:$G$3460,4,0),"")</f>
        <v>3.2929</v>
      </c>
      <c r="E1740">
        <f>IFERROR(VLOOKUP($A1740,原始数据_收盘!$A$4:$G$3460,5,0),"")</f>
        <v>3.4993</v>
      </c>
      <c r="F1740">
        <f>IFERROR(VLOOKUP($A1740,原始数据_收盘!$A$4:$G$3460,6,0),"")</f>
        <v>3.2693</v>
      </c>
      <c r="G1740">
        <f>IFERROR(VLOOKUP($A1740,原始数据_收盘!$A$4:$G$3460,7,0),"")</f>
        <v>3.4764</v>
      </c>
      <c r="H1740">
        <f>IFERROR(VLOOKUP($A1740,原始数据_利率互换_FR007_1年!$A$6:$C$4395,2,0),"")</f>
        <v>3.2743</v>
      </c>
      <c r="I1740">
        <f>IFERROR(VLOOKUP($A1740,原始数据_利率互换_FR007_1年!$A$6:$C$4395,3,0),"")</f>
        <v>3.4751</v>
      </c>
    </row>
    <row r="1741" spans="1:9">
      <c r="A1741" s="6">
        <v>41234</v>
      </c>
      <c r="B1741">
        <f>IFERROR(VLOOKUP($A1741,原始数据_收盘!$A$4:$G$3460,2,0),"")</f>
        <v>3.2547</v>
      </c>
      <c r="C1741">
        <f>IFERROR(VLOOKUP($A1741,原始数据_收盘!$A$4:$G$3460,3,0),"")</f>
        <v>3.4692</v>
      </c>
      <c r="D1741">
        <f>IFERROR(VLOOKUP($A1741,原始数据_收盘!$A$4:$G$3460,4,0),"")</f>
        <v>3.2979</v>
      </c>
      <c r="E1741">
        <f>IFERROR(VLOOKUP($A1741,原始数据_收盘!$A$4:$G$3460,5,0),"")</f>
        <v>3.5164</v>
      </c>
      <c r="F1741">
        <f>IFERROR(VLOOKUP($A1741,原始数据_收盘!$A$4:$G$3460,6,0),"")</f>
        <v>3.2763</v>
      </c>
      <c r="G1741">
        <f>IFERROR(VLOOKUP($A1741,原始数据_收盘!$A$4:$G$3460,7,0),"")</f>
        <v>3.4928</v>
      </c>
      <c r="H1741">
        <f>IFERROR(VLOOKUP($A1741,原始数据_利率互换_FR007_1年!$A$6:$C$4395,2,0),"")</f>
        <v>3.285</v>
      </c>
      <c r="I1741">
        <f>IFERROR(VLOOKUP($A1741,原始数据_利率互换_FR007_1年!$A$6:$C$4395,3,0),"")</f>
        <v>3.5123</v>
      </c>
    </row>
    <row r="1742" spans="1:9">
      <c r="A1742" s="6">
        <v>41235</v>
      </c>
      <c r="B1742">
        <f>IFERROR(VLOOKUP($A1742,原始数据_收盘!$A$4:$G$3460,2,0),"")</f>
        <v>3.3041</v>
      </c>
      <c r="C1742">
        <f>IFERROR(VLOOKUP($A1742,原始数据_收盘!$A$4:$G$3460,3,0),"")</f>
        <v>3.5402</v>
      </c>
      <c r="D1742">
        <f>IFERROR(VLOOKUP($A1742,原始数据_收盘!$A$4:$G$3460,4,0),"")</f>
        <v>3.3508</v>
      </c>
      <c r="E1742">
        <f>IFERROR(VLOOKUP($A1742,原始数据_收盘!$A$4:$G$3460,5,0),"")</f>
        <v>3.5994</v>
      </c>
      <c r="F1742">
        <f>IFERROR(VLOOKUP($A1742,原始数据_收盘!$A$4:$G$3460,6,0),"")</f>
        <v>3.3274</v>
      </c>
      <c r="G1742">
        <f>IFERROR(VLOOKUP($A1742,原始数据_收盘!$A$4:$G$3460,7,0),"")</f>
        <v>3.5698</v>
      </c>
      <c r="H1742">
        <f>IFERROR(VLOOKUP($A1742,原始数据_利率互换_FR007_1年!$A$6:$C$4395,2,0),"")</f>
        <v>3.3315</v>
      </c>
      <c r="I1742">
        <f>IFERROR(VLOOKUP($A1742,原始数据_利率互换_FR007_1年!$A$6:$C$4395,3,0),"")</f>
        <v>3.5552</v>
      </c>
    </row>
    <row r="1743" spans="1:9">
      <c r="A1743" s="6">
        <v>41236</v>
      </c>
      <c r="B1743">
        <f>IFERROR(VLOOKUP($A1743,原始数据_收盘!$A$4:$G$3460,2,0),"")</f>
        <v>3.2939</v>
      </c>
      <c r="C1743">
        <f>IFERROR(VLOOKUP($A1743,原始数据_收盘!$A$4:$G$3460,3,0),"")</f>
        <v>3.5385</v>
      </c>
      <c r="D1743">
        <f>IFERROR(VLOOKUP($A1743,原始数据_收盘!$A$4:$G$3460,4,0),"")</f>
        <v>3.3425</v>
      </c>
      <c r="E1743">
        <f>IFERROR(VLOOKUP($A1743,原始数据_收盘!$A$4:$G$3460,5,0),"")</f>
        <v>3.5903</v>
      </c>
      <c r="F1743">
        <f>IFERROR(VLOOKUP($A1743,原始数据_收盘!$A$4:$G$3460,6,0),"")</f>
        <v>3.3182</v>
      </c>
      <c r="G1743">
        <f>IFERROR(VLOOKUP($A1743,原始数据_收盘!$A$4:$G$3460,7,0),"")</f>
        <v>3.5644</v>
      </c>
      <c r="H1743">
        <f>IFERROR(VLOOKUP($A1743,原始数据_利率互换_FR007_1年!$A$6:$C$4395,2,0),"")</f>
        <v>3.3217</v>
      </c>
      <c r="I1743">
        <f>IFERROR(VLOOKUP($A1743,原始数据_利率互换_FR007_1年!$A$6:$C$4395,3,0),"")</f>
        <v>3.5681</v>
      </c>
    </row>
    <row r="1744" spans="1:9">
      <c r="A1744" s="6">
        <v>41237</v>
      </c>
      <c r="B1744" t="str">
        <f>IFERROR(VLOOKUP($A1744,原始数据_收盘!$A$4:$G$3460,2,0),"")</f>
        <v/>
      </c>
      <c r="C1744" t="str">
        <f>IFERROR(VLOOKUP($A1744,原始数据_收盘!$A$4:$G$3460,3,0),"")</f>
        <v/>
      </c>
      <c r="D1744" t="str">
        <f>IFERROR(VLOOKUP($A1744,原始数据_收盘!$A$4:$G$3460,4,0),"")</f>
        <v/>
      </c>
      <c r="E1744" t="str">
        <f>IFERROR(VLOOKUP($A1744,原始数据_收盘!$A$4:$G$3460,5,0),"")</f>
        <v/>
      </c>
      <c r="F1744" t="str">
        <f>IFERROR(VLOOKUP($A1744,原始数据_收盘!$A$4:$G$3460,6,0),"")</f>
        <v/>
      </c>
      <c r="G1744" t="str">
        <f>IFERROR(VLOOKUP($A1744,原始数据_收盘!$A$4:$G$3460,7,0),"")</f>
        <v/>
      </c>
      <c r="H1744" t="str">
        <f>IFERROR(VLOOKUP($A1744,原始数据_利率互换_FR007_1年!$A$6:$C$4395,2,0),"")</f>
        <v/>
      </c>
      <c r="I1744" t="str">
        <f>IFERROR(VLOOKUP($A1744,原始数据_利率互换_FR007_1年!$A$6:$C$4395,3,0),"")</f>
        <v/>
      </c>
    </row>
    <row r="1745" spans="1:9">
      <c r="A1745" s="6">
        <v>41238</v>
      </c>
      <c r="B1745" t="str">
        <f>IFERROR(VLOOKUP($A1745,原始数据_收盘!$A$4:$G$3460,2,0),"")</f>
        <v/>
      </c>
      <c r="C1745" t="str">
        <f>IFERROR(VLOOKUP($A1745,原始数据_收盘!$A$4:$G$3460,3,0),"")</f>
        <v/>
      </c>
      <c r="D1745" t="str">
        <f>IFERROR(VLOOKUP($A1745,原始数据_收盘!$A$4:$G$3460,4,0),"")</f>
        <v/>
      </c>
      <c r="E1745" t="str">
        <f>IFERROR(VLOOKUP($A1745,原始数据_收盘!$A$4:$G$3460,5,0),"")</f>
        <v/>
      </c>
      <c r="F1745" t="str">
        <f>IFERROR(VLOOKUP($A1745,原始数据_收盘!$A$4:$G$3460,6,0),"")</f>
        <v/>
      </c>
      <c r="G1745" t="str">
        <f>IFERROR(VLOOKUP($A1745,原始数据_收盘!$A$4:$G$3460,7,0),"")</f>
        <v/>
      </c>
      <c r="H1745" t="str">
        <f>IFERROR(VLOOKUP($A1745,原始数据_利率互换_FR007_1年!$A$6:$C$4395,2,0),"")</f>
        <v/>
      </c>
      <c r="I1745" t="str">
        <f>IFERROR(VLOOKUP($A1745,原始数据_利率互换_FR007_1年!$A$6:$C$4395,3,0),"")</f>
        <v/>
      </c>
    </row>
    <row r="1746" spans="1:9">
      <c r="A1746" s="6">
        <v>41239</v>
      </c>
      <c r="B1746">
        <f>IFERROR(VLOOKUP($A1746,原始数据_收盘!$A$4:$G$3460,2,0),"")</f>
        <v>3.2969</v>
      </c>
      <c r="C1746">
        <f>IFERROR(VLOOKUP($A1746,原始数据_收盘!$A$4:$G$3460,3,0),"")</f>
        <v>3.5474</v>
      </c>
      <c r="D1746">
        <f>IFERROR(VLOOKUP($A1746,原始数据_收盘!$A$4:$G$3460,4,0),"")</f>
        <v>3.3504</v>
      </c>
      <c r="E1746">
        <f>IFERROR(VLOOKUP($A1746,原始数据_收盘!$A$4:$G$3460,5,0),"")</f>
        <v>3.6022</v>
      </c>
      <c r="F1746">
        <f>IFERROR(VLOOKUP($A1746,原始数据_收盘!$A$4:$G$3460,6,0),"")</f>
        <v>3.3237</v>
      </c>
      <c r="G1746">
        <f>IFERROR(VLOOKUP($A1746,原始数据_收盘!$A$4:$G$3460,7,0),"")</f>
        <v>3.5748</v>
      </c>
      <c r="H1746">
        <f>IFERROR(VLOOKUP($A1746,原始数据_利率互换_FR007_1年!$A$6:$C$4395,2,0),"")</f>
        <v>3.3235</v>
      </c>
      <c r="I1746">
        <f>IFERROR(VLOOKUP($A1746,原始数据_利率互换_FR007_1年!$A$6:$C$4395,3,0),"")</f>
        <v>3.5752</v>
      </c>
    </row>
    <row r="1747" spans="1:9">
      <c r="A1747" s="6">
        <v>41240</v>
      </c>
      <c r="B1747">
        <f>IFERROR(VLOOKUP($A1747,原始数据_收盘!$A$4:$G$3460,2,0),"")</f>
        <v>3.3218</v>
      </c>
      <c r="C1747">
        <f>IFERROR(VLOOKUP($A1747,原始数据_收盘!$A$4:$G$3460,3,0),"")</f>
        <v>3.5937</v>
      </c>
      <c r="D1747">
        <f>IFERROR(VLOOKUP($A1747,原始数据_收盘!$A$4:$G$3460,4,0),"")</f>
        <v>3.3718</v>
      </c>
      <c r="E1747">
        <f>IFERROR(VLOOKUP($A1747,原始数据_收盘!$A$4:$G$3460,5,0),"")</f>
        <v>3.6488</v>
      </c>
      <c r="F1747">
        <f>IFERROR(VLOOKUP($A1747,原始数据_收盘!$A$4:$G$3460,6,0),"")</f>
        <v>3.3468</v>
      </c>
      <c r="G1747">
        <f>IFERROR(VLOOKUP($A1747,原始数据_收盘!$A$4:$G$3460,7,0),"")</f>
        <v>3.6213</v>
      </c>
      <c r="H1747">
        <f>IFERROR(VLOOKUP($A1747,原始数据_利率互换_FR007_1年!$A$6:$C$4395,2,0),"")</f>
        <v>3.348</v>
      </c>
      <c r="I1747">
        <f>IFERROR(VLOOKUP($A1747,原始数据_利率互换_FR007_1年!$A$6:$C$4395,3,0),"")</f>
        <v>3.6059</v>
      </c>
    </row>
    <row r="1748" spans="1:9">
      <c r="A1748" s="6">
        <v>41241</v>
      </c>
      <c r="B1748">
        <f>IFERROR(VLOOKUP($A1748,原始数据_收盘!$A$4:$G$3460,2,0),"")</f>
        <v>3.3628</v>
      </c>
      <c r="C1748">
        <f>IFERROR(VLOOKUP($A1748,原始数据_收盘!$A$4:$G$3460,3,0),"")</f>
        <v>3.6069</v>
      </c>
      <c r="D1748">
        <f>IFERROR(VLOOKUP($A1748,原始数据_收盘!$A$4:$G$3460,4,0),"")</f>
        <v>3.4228</v>
      </c>
      <c r="E1748">
        <f>IFERROR(VLOOKUP($A1748,原始数据_收盘!$A$4:$G$3460,5,0),"")</f>
        <v>3.669</v>
      </c>
      <c r="F1748">
        <f>IFERROR(VLOOKUP($A1748,原始数据_收盘!$A$4:$G$3460,6,0),"")</f>
        <v>3.3928</v>
      </c>
      <c r="G1748">
        <f>IFERROR(VLOOKUP($A1748,原始数据_收盘!$A$4:$G$3460,7,0),"")</f>
        <v>3.6379</v>
      </c>
      <c r="H1748">
        <f>IFERROR(VLOOKUP($A1748,原始数据_利率互换_FR007_1年!$A$6:$C$4395,2,0),"")</f>
        <v>3.4034</v>
      </c>
      <c r="I1748">
        <f>IFERROR(VLOOKUP($A1748,原始数据_利率互换_FR007_1年!$A$6:$C$4395,3,0),"")</f>
        <v>3.64</v>
      </c>
    </row>
    <row r="1749" spans="1:9">
      <c r="A1749" s="6">
        <v>41242</v>
      </c>
      <c r="B1749">
        <f>IFERROR(VLOOKUP($A1749,原始数据_收盘!$A$4:$G$3460,2,0),"")</f>
        <v>3.3723</v>
      </c>
      <c r="C1749">
        <f>IFERROR(VLOOKUP($A1749,原始数据_收盘!$A$4:$G$3460,3,0),"")</f>
        <v>3.6103</v>
      </c>
      <c r="D1749">
        <f>IFERROR(VLOOKUP($A1749,原始数据_收盘!$A$4:$G$3460,4,0),"")</f>
        <v>3.4196</v>
      </c>
      <c r="E1749">
        <f>IFERROR(VLOOKUP($A1749,原始数据_收盘!$A$4:$G$3460,5,0),"")</f>
        <v>3.6608</v>
      </c>
      <c r="F1749">
        <f>IFERROR(VLOOKUP($A1749,原始数据_收盘!$A$4:$G$3460,6,0),"")</f>
        <v>3.396</v>
      </c>
      <c r="G1749">
        <f>IFERROR(VLOOKUP($A1749,原始数据_收盘!$A$4:$G$3460,7,0),"")</f>
        <v>3.6355</v>
      </c>
      <c r="H1749">
        <f>IFERROR(VLOOKUP($A1749,原始数据_利率互换_FR007_1年!$A$6:$C$4395,2,0),"")</f>
        <v>3.4559</v>
      </c>
      <c r="I1749">
        <f>IFERROR(VLOOKUP($A1749,原始数据_利率互换_FR007_1年!$A$6:$C$4395,3,0),"")</f>
        <v>3.635</v>
      </c>
    </row>
    <row r="1750" spans="1:9">
      <c r="A1750" s="6">
        <v>41243</v>
      </c>
      <c r="B1750">
        <f>IFERROR(VLOOKUP($A1750,原始数据_收盘!$A$4:$G$3460,2,0),"")</f>
        <v>3.3847</v>
      </c>
      <c r="C1750">
        <f>IFERROR(VLOOKUP($A1750,原始数据_收盘!$A$4:$G$3460,3,0),"")</f>
        <v>3.6169</v>
      </c>
      <c r="D1750">
        <f>IFERROR(VLOOKUP($A1750,原始数据_收盘!$A$4:$G$3460,4,0),"")</f>
        <v>3.4396</v>
      </c>
      <c r="E1750">
        <f>IFERROR(VLOOKUP($A1750,原始数据_收盘!$A$4:$G$3460,5,0),"")</f>
        <v>3.6744</v>
      </c>
      <c r="F1750">
        <f>IFERROR(VLOOKUP($A1750,原始数据_收盘!$A$4:$G$3460,6,0),"")</f>
        <v>3.4122</v>
      </c>
      <c r="G1750">
        <f>IFERROR(VLOOKUP($A1750,原始数据_收盘!$A$4:$G$3460,7,0),"")</f>
        <v>3.6456</v>
      </c>
      <c r="H1750">
        <f>IFERROR(VLOOKUP($A1750,原始数据_利率互换_FR007_1年!$A$6:$C$4395,2,0),"")</f>
        <v>3.42</v>
      </c>
      <c r="I1750">
        <f>IFERROR(VLOOKUP($A1750,原始数据_利率互换_FR007_1年!$A$6:$C$4395,3,0),"")</f>
        <v>3.6475</v>
      </c>
    </row>
    <row r="1751" spans="1:9">
      <c r="A1751" s="6">
        <v>41244</v>
      </c>
      <c r="B1751" t="str">
        <f>IFERROR(VLOOKUP($A1751,原始数据_收盘!$A$4:$G$3460,2,0),"")</f>
        <v/>
      </c>
      <c r="C1751" t="str">
        <f>IFERROR(VLOOKUP($A1751,原始数据_收盘!$A$4:$G$3460,3,0),"")</f>
        <v/>
      </c>
      <c r="D1751" t="str">
        <f>IFERROR(VLOOKUP($A1751,原始数据_收盘!$A$4:$G$3460,4,0),"")</f>
        <v/>
      </c>
      <c r="E1751" t="str">
        <f>IFERROR(VLOOKUP($A1751,原始数据_收盘!$A$4:$G$3460,5,0),"")</f>
        <v/>
      </c>
      <c r="F1751" t="str">
        <f>IFERROR(VLOOKUP($A1751,原始数据_收盘!$A$4:$G$3460,6,0),"")</f>
        <v/>
      </c>
      <c r="G1751" t="str">
        <f>IFERROR(VLOOKUP($A1751,原始数据_收盘!$A$4:$G$3460,7,0),"")</f>
        <v/>
      </c>
      <c r="H1751" t="str">
        <f>IFERROR(VLOOKUP($A1751,原始数据_利率互换_FR007_1年!$A$6:$C$4395,2,0),"")</f>
        <v/>
      </c>
      <c r="I1751" t="str">
        <f>IFERROR(VLOOKUP($A1751,原始数据_利率互换_FR007_1年!$A$6:$C$4395,3,0),"")</f>
        <v/>
      </c>
    </row>
    <row r="1752" spans="1:9">
      <c r="A1752" s="6">
        <v>41245</v>
      </c>
      <c r="B1752" t="str">
        <f>IFERROR(VLOOKUP($A1752,原始数据_收盘!$A$4:$G$3460,2,0),"")</f>
        <v/>
      </c>
      <c r="C1752" t="str">
        <f>IFERROR(VLOOKUP($A1752,原始数据_收盘!$A$4:$G$3460,3,0),"")</f>
        <v/>
      </c>
      <c r="D1752" t="str">
        <f>IFERROR(VLOOKUP($A1752,原始数据_收盘!$A$4:$G$3460,4,0),"")</f>
        <v/>
      </c>
      <c r="E1752" t="str">
        <f>IFERROR(VLOOKUP($A1752,原始数据_收盘!$A$4:$G$3460,5,0),"")</f>
        <v/>
      </c>
      <c r="F1752" t="str">
        <f>IFERROR(VLOOKUP($A1752,原始数据_收盘!$A$4:$G$3460,6,0),"")</f>
        <v/>
      </c>
      <c r="G1752" t="str">
        <f>IFERROR(VLOOKUP($A1752,原始数据_收盘!$A$4:$G$3460,7,0),"")</f>
        <v/>
      </c>
      <c r="H1752" t="str">
        <f>IFERROR(VLOOKUP($A1752,原始数据_利率互换_FR007_1年!$A$6:$C$4395,2,0),"")</f>
        <v/>
      </c>
      <c r="I1752" t="str">
        <f>IFERROR(VLOOKUP($A1752,原始数据_利率互换_FR007_1年!$A$6:$C$4395,3,0),"")</f>
        <v/>
      </c>
    </row>
    <row r="1753" spans="1:9">
      <c r="A1753" s="6">
        <v>41246</v>
      </c>
      <c r="B1753">
        <f>IFERROR(VLOOKUP($A1753,原始数据_收盘!$A$4:$G$3460,2,0),"")</f>
        <v>3.3849</v>
      </c>
      <c r="C1753">
        <f>IFERROR(VLOOKUP($A1753,原始数据_收盘!$A$4:$G$3460,3,0),"")</f>
        <v>3.609</v>
      </c>
      <c r="D1753">
        <f>IFERROR(VLOOKUP($A1753,原始数据_收盘!$A$4:$G$3460,4,0),"")</f>
        <v>3.4303</v>
      </c>
      <c r="E1753">
        <f>IFERROR(VLOOKUP($A1753,原始数据_收盘!$A$4:$G$3460,5,0),"")</f>
        <v>3.6591</v>
      </c>
      <c r="F1753">
        <f>IFERROR(VLOOKUP($A1753,原始数据_收盘!$A$4:$G$3460,6,0),"")</f>
        <v>3.4076</v>
      </c>
      <c r="G1753">
        <f>IFERROR(VLOOKUP($A1753,原始数据_收盘!$A$4:$G$3460,7,0),"")</f>
        <v>3.634</v>
      </c>
      <c r="H1753">
        <f>IFERROR(VLOOKUP($A1753,原始数据_利率互换_FR007_1年!$A$6:$C$4395,2,0),"")</f>
        <v>3.4088</v>
      </c>
      <c r="I1753">
        <f>IFERROR(VLOOKUP($A1753,原始数据_利率互换_FR007_1年!$A$6:$C$4395,3,0),"")</f>
        <v>3.64</v>
      </c>
    </row>
    <row r="1754" spans="1:9">
      <c r="A1754" s="6">
        <v>41247</v>
      </c>
      <c r="B1754">
        <f>IFERROR(VLOOKUP($A1754,原始数据_收盘!$A$4:$G$3460,2,0),"")</f>
        <v>3.3407</v>
      </c>
      <c r="C1754">
        <f>IFERROR(VLOOKUP($A1754,原始数据_收盘!$A$4:$G$3460,3,0),"")</f>
        <v>3.5669</v>
      </c>
      <c r="D1754">
        <f>IFERROR(VLOOKUP($A1754,原始数据_收盘!$A$4:$G$3460,4,0),"")</f>
        <v>3.3893</v>
      </c>
      <c r="E1754">
        <f>IFERROR(VLOOKUP($A1754,原始数据_收盘!$A$4:$G$3460,5,0),"")</f>
        <v>3.6168</v>
      </c>
      <c r="F1754">
        <f>IFERROR(VLOOKUP($A1754,原始数据_收盘!$A$4:$G$3460,6,0),"")</f>
        <v>3.365</v>
      </c>
      <c r="G1754">
        <f>IFERROR(VLOOKUP($A1754,原始数据_收盘!$A$4:$G$3460,7,0),"")</f>
        <v>3.5919</v>
      </c>
      <c r="H1754">
        <f>IFERROR(VLOOKUP($A1754,原始数据_利率互换_FR007_1年!$A$6:$C$4395,2,0),"")</f>
        <v>3.3947</v>
      </c>
      <c r="I1754">
        <f>IFERROR(VLOOKUP($A1754,原始数据_利率互换_FR007_1年!$A$6:$C$4395,3,0),"")</f>
        <v>3.6374</v>
      </c>
    </row>
    <row r="1755" spans="1:9">
      <c r="A1755" s="6">
        <v>41248</v>
      </c>
      <c r="B1755">
        <f>IFERROR(VLOOKUP($A1755,原始数据_收盘!$A$4:$G$3460,2,0),"")</f>
        <v>3.3276</v>
      </c>
      <c r="C1755">
        <f>IFERROR(VLOOKUP($A1755,原始数据_收盘!$A$4:$G$3460,3,0),"")</f>
        <v>3.5533</v>
      </c>
      <c r="D1755">
        <f>IFERROR(VLOOKUP($A1755,原始数据_收盘!$A$4:$G$3460,4,0),"")</f>
        <v>3.3791</v>
      </c>
      <c r="E1755">
        <f>IFERROR(VLOOKUP($A1755,原始数据_收盘!$A$4:$G$3460,5,0),"")</f>
        <v>3.6036</v>
      </c>
      <c r="F1755">
        <f>IFERROR(VLOOKUP($A1755,原始数据_收盘!$A$4:$G$3460,6,0),"")</f>
        <v>3.3533</v>
      </c>
      <c r="G1755">
        <f>IFERROR(VLOOKUP($A1755,原始数据_收盘!$A$4:$G$3460,7,0),"")</f>
        <v>3.5785</v>
      </c>
      <c r="H1755">
        <f>IFERROR(VLOOKUP($A1755,原始数据_利率互换_FR007_1年!$A$6:$C$4395,2,0),"")</f>
        <v>3.3529</v>
      </c>
      <c r="I1755">
        <f>IFERROR(VLOOKUP($A1755,原始数据_利率互换_FR007_1年!$A$6:$C$4395,3,0),"")</f>
        <v>3.5819</v>
      </c>
    </row>
    <row r="1756" spans="1:9">
      <c r="A1756" s="6">
        <v>41249</v>
      </c>
      <c r="B1756">
        <f>IFERROR(VLOOKUP($A1756,原始数据_收盘!$A$4:$G$3460,2,0),"")</f>
        <v>3.3245</v>
      </c>
      <c r="C1756">
        <f>IFERROR(VLOOKUP($A1756,原始数据_收盘!$A$4:$G$3460,3,0),"")</f>
        <v>3.5503</v>
      </c>
      <c r="D1756">
        <f>IFERROR(VLOOKUP($A1756,原始数据_收盘!$A$4:$G$3460,4,0),"")</f>
        <v>3.374</v>
      </c>
      <c r="E1756">
        <f>IFERROR(VLOOKUP($A1756,原始数据_收盘!$A$4:$G$3460,5,0),"")</f>
        <v>3.6008</v>
      </c>
      <c r="F1756">
        <f>IFERROR(VLOOKUP($A1756,原始数据_收盘!$A$4:$G$3460,6,0),"")</f>
        <v>3.3493</v>
      </c>
      <c r="G1756">
        <f>IFERROR(VLOOKUP($A1756,原始数据_收盘!$A$4:$G$3460,7,0),"")</f>
        <v>3.5756</v>
      </c>
      <c r="H1756">
        <f>IFERROR(VLOOKUP($A1756,原始数据_利率互换_FR007_1年!$A$6:$C$4395,2,0),"")</f>
        <v>3.3486</v>
      </c>
      <c r="I1756">
        <f>IFERROR(VLOOKUP($A1756,原始数据_利率互换_FR007_1年!$A$6:$C$4395,3,0),"")</f>
        <v>3.5925</v>
      </c>
    </row>
    <row r="1757" spans="1:9">
      <c r="A1757" s="6">
        <v>41250</v>
      </c>
      <c r="B1757">
        <f>IFERROR(VLOOKUP($A1757,原始数据_收盘!$A$4:$G$3460,2,0),"")</f>
        <v>3.3365</v>
      </c>
      <c r="C1757">
        <f>IFERROR(VLOOKUP($A1757,原始数据_收盘!$A$4:$G$3460,3,0),"")</f>
        <v>3.5481</v>
      </c>
      <c r="D1757">
        <f>IFERROR(VLOOKUP($A1757,原始数据_收盘!$A$4:$G$3460,4,0),"")</f>
        <v>3.3844</v>
      </c>
      <c r="E1757">
        <f>IFERROR(VLOOKUP($A1757,原始数据_收盘!$A$4:$G$3460,5,0),"")</f>
        <v>3.6002</v>
      </c>
      <c r="F1757">
        <f>IFERROR(VLOOKUP($A1757,原始数据_收盘!$A$4:$G$3460,6,0),"")</f>
        <v>3.3604</v>
      </c>
      <c r="G1757">
        <f>IFERROR(VLOOKUP($A1757,原始数据_收盘!$A$4:$G$3460,7,0),"")</f>
        <v>3.5742</v>
      </c>
      <c r="H1757">
        <f>IFERROR(VLOOKUP($A1757,原始数据_利率互换_FR007_1年!$A$6:$C$4395,2,0),"")</f>
        <v>3.3613</v>
      </c>
      <c r="I1757">
        <f>IFERROR(VLOOKUP($A1757,原始数据_利率互换_FR007_1年!$A$6:$C$4395,3,0),"")</f>
        <v>3.5742</v>
      </c>
    </row>
    <row r="1758" spans="1:9">
      <c r="A1758" s="6">
        <v>41251</v>
      </c>
      <c r="B1758" t="str">
        <f>IFERROR(VLOOKUP($A1758,原始数据_收盘!$A$4:$G$3460,2,0),"")</f>
        <v/>
      </c>
      <c r="C1758" t="str">
        <f>IFERROR(VLOOKUP($A1758,原始数据_收盘!$A$4:$G$3460,3,0),"")</f>
        <v/>
      </c>
      <c r="D1758" t="str">
        <f>IFERROR(VLOOKUP($A1758,原始数据_收盘!$A$4:$G$3460,4,0),"")</f>
        <v/>
      </c>
      <c r="E1758" t="str">
        <f>IFERROR(VLOOKUP($A1758,原始数据_收盘!$A$4:$G$3460,5,0),"")</f>
        <v/>
      </c>
      <c r="F1758" t="str">
        <f>IFERROR(VLOOKUP($A1758,原始数据_收盘!$A$4:$G$3460,6,0),"")</f>
        <v/>
      </c>
      <c r="G1758" t="str">
        <f>IFERROR(VLOOKUP($A1758,原始数据_收盘!$A$4:$G$3460,7,0),"")</f>
        <v/>
      </c>
      <c r="H1758" t="str">
        <f>IFERROR(VLOOKUP($A1758,原始数据_利率互换_FR007_1年!$A$6:$C$4395,2,0),"")</f>
        <v/>
      </c>
      <c r="I1758" t="str">
        <f>IFERROR(VLOOKUP($A1758,原始数据_利率互换_FR007_1年!$A$6:$C$4395,3,0),"")</f>
        <v/>
      </c>
    </row>
    <row r="1759" spans="1:9">
      <c r="A1759" s="6">
        <v>41252</v>
      </c>
      <c r="B1759" t="str">
        <f>IFERROR(VLOOKUP($A1759,原始数据_收盘!$A$4:$G$3460,2,0),"")</f>
        <v/>
      </c>
      <c r="C1759" t="str">
        <f>IFERROR(VLOOKUP($A1759,原始数据_收盘!$A$4:$G$3460,3,0),"")</f>
        <v/>
      </c>
      <c r="D1759" t="str">
        <f>IFERROR(VLOOKUP($A1759,原始数据_收盘!$A$4:$G$3460,4,0),"")</f>
        <v/>
      </c>
      <c r="E1759" t="str">
        <f>IFERROR(VLOOKUP($A1759,原始数据_收盘!$A$4:$G$3460,5,0),"")</f>
        <v/>
      </c>
      <c r="F1759" t="str">
        <f>IFERROR(VLOOKUP($A1759,原始数据_收盘!$A$4:$G$3460,6,0),"")</f>
        <v/>
      </c>
      <c r="G1759" t="str">
        <f>IFERROR(VLOOKUP($A1759,原始数据_收盘!$A$4:$G$3460,7,0),"")</f>
        <v/>
      </c>
      <c r="H1759" t="str">
        <f>IFERROR(VLOOKUP($A1759,原始数据_利率互换_FR007_1年!$A$6:$C$4395,2,0),"")</f>
        <v/>
      </c>
      <c r="I1759" t="str">
        <f>IFERROR(VLOOKUP($A1759,原始数据_利率互换_FR007_1年!$A$6:$C$4395,3,0),"")</f>
        <v/>
      </c>
    </row>
    <row r="1760" spans="1:9">
      <c r="A1760" s="6">
        <v>41253</v>
      </c>
      <c r="B1760">
        <f>IFERROR(VLOOKUP($A1760,原始数据_收盘!$A$4:$G$3460,2,0),"")</f>
        <v>3.3663</v>
      </c>
      <c r="C1760">
        <f>IFERROR(VLOOKUP($A1760,原始数据_收盘!$A$4:$G$3460,3,0),"")</f>
        <v>3.6087</v>
      </c>
      <c r="D1760">
        <f>IFERROR(VLOOKUP($A1760,原始数据_收盘!$A$4:$G$3460,4,0),"")</f>
        <v>3.4185</v>
      </c>
      <c r="E1760">
        <f>IFERROR(VLOOKUP($A1760,原始数据_收盘!$A$4:$G$3460,5,0),"")</f>
        <v>3.6642</v>
      </c>
      <c r="F1760">
        <f>IFERROR(VLOOKUP($A1760,原始数据_收盘!$A$4:$G$3460,6,0),"")</f>
        <v>3.3924</v>
      </c>
      <c r="G1760">
        <f>IFERROR(VLOOKUP($A1760,原始数据_收盘!$A$4:$G$3460,7,0),"")</f>
        <v>3.6365</v>
      </c>
      <c r="H1760">
        <f>IFERROR(VLOOKUP($A1760,原始数据_利率互换_FR007_1年!$A$6:$C$4395,2,0),"")</f>
        <v>3.4066</v>
      </c>
      <c r="I1760">
        <f>IFERROR(VLOOKUP($A1760,原始数据_利率互换_FR007_1年!$A$6:$C$4395,3,0),"")</f>
        <v>3.6343</v>
      </c>
    </row>
    <row r="1761" spans="1:9">
      <c r="A1761" s="6">
        <v>41254</v>
      </c>
      <c r="B1761">
        <f>IFERROR(VLOOKUP($A1761,原始数据_收盘!$A$4:$G$3460,2,0),"")</f>
        <v>3.3413</v>
      </c>
      <c r="C1761">
        <f>IFERROR(VLOOKUP($A1761,原始数据_收盘!$A$4:$G$3460,3,0),"")</f>
        <v>3.6046</v>
      </c>
      <c r="D1761">
        <f>IFERROR(VLOOKUP($A1761,原始数据_收盘!$A$4:$G$3460,4,0),"")</f>
        <v>3.3954</v>
      </c>
      <c r="E1761">
        <f>IFERROR(VLOOKUP($A1761,原始数据_收盘!$A$4:$G$3460,5,0),"")</f>
        <v>3.6621</v>
      </c>
      <c r="F1761">
        <f>IFERROR(VLOOKUP($A1761,原始数据_收盘!$A$4:$G$3460,6,0),"")</f>
        <v>3.3683</v>
      </c>
      <c r="G1761">
        <f>IFERROR(VLOOKUP($A1761,原始数据_收盘!$A$4:$G$3460,7,0),"")</f>
        <v>3.6333</v>
      </c>
      <c r="H1761">
        <f>IFERROR(VLOOKUP($A1761,原始数据_利率互换_FR007_1年!$A$6:$C$4395,2,0),"")</f>
        <v>3.3725</v>
      </c>
      <c r="I1761">
        <f>IFERROR(VLOOKUP($A1761,原始数据_利率互换_FR007_1年!$A$6:$C$4395,3,0),"")</f>
        <v>3.63</v>
      </c>
    </row>
    <row r="1762" spans="1:9">
      <c r="A1762" s="6">
        <v>41255</v>
      </c>
      <c r="B1762">
        <f>IFERROR(VLOOKUP($A1762,原始数据_收盘!$A$4:$G$3460,2,0),"")</f>
        <v>3.3088</v>
      </c>
      <c r="C1762">
        <f>IFERROR(VLOOKUP($A1762,原始数据_收盘!$A$4:$G$3460,3,0),"")</f>
        <v>3.5881</v>
      </c>
      <c r="D1762">
        <f>IFERROR(VLOOKUP($A1762,原始数据_收盘!$A$4:$G$3460,4,0),"")</f>
        <v>3.355</v>
      </c>
      <c r="E1762">
        <f>IFERROR(VLOOKUP($A1762,原始数据_收盘!$A$4:$G$3460,5,0),"")</f>
        <v>3.6451</v>
      </c>
      <c r="F1762">
        <f>IFERROR(VLOOKUP($A1762,原始数据_收盘!$A$4:$G$3460,6,0),"")</f>
        <v>3.3319</v>
      </c>
      <c r="G1762">
        <f>IFERROR(VLOOKUP($A1762,原始数据_收盘!$A$4:$G$3460,7,0),"")</f>
        <v>3.6166</v>
      </c>
      <c r="H1762">
        <f>IFERROR(VLOOKUP($A1762,原始数据_利率互换_FR007_1年!$A$6:$C$4395,2,0),"")</f>
        <v>3.3259</v>
      </c>
      <c r="I1762">
        <f>IFERROR(VLOOKUP($A1762,原始数据_利率互换_FR007_1年!$A$6:$C$4395,3,0),"")</f>
        <v>3.6121</v>
      </c>
    </row>
    <row r="1763" spans="1:9">
      <c r="A1763" s="6">
        <v>41256</v>
      </c>
      <c r="B1763">
        <f>IFERROR(VLOOKUP($A1763,原始数据_收盘!$A$4:$G$3460,2,0),"")</f>
        <v>3.325</v>
      </c>
      <c r="C1763">
        <f>IFERROR(VLOOKUP($A1763,原始数据_收盘!$A$4:$G$3460,3,0),"")</f>
        <v>3.6193</v>
      </c>
      <c r="D1763">
        <f>IFERROR(VLOOKUP($A1763,原始数据_收盘!$A$4:$G$3460,4,0),"")</f>
        <v>3.373</v>
      </c>
      <c r="E1763">
        <f>IFERROR(VLOOKUP($A1763,原始数据_收盘!$A$4:$G$3460,5,0),"")</f>
        <v>3.6691</v>
      </c>
      <c r="F1763">
        <f>IFERROR(VLOOKUP($A1763,原始数据_收盘!$A$4:$G$3460,6,0),"")</f>
        <v>3.349</v>
      </c>
      <c r="G1763">
        <f>IFERROR(VLOOKUP($A1763,原始数据_收盘!$A$4:$G$3460,7,0),"")</f>
        <v>3.6442</v>
      </c>
      <c r="H1763">
        <f>IFERROR(VLOOKUP($A1763,原始数据_利率互换_FR007_1年!$A$6:$C$4395,2,0),"")</f>
        <v>3.3471</v>
      </c>
      <c r="I1763">
        <f>IFERROR(VLOOKUP($A1763,原始数据_利率互换_FR007_1年!$A$6:$C$4395,3,0),"")</f>
        <v>3.6529</v>
      </c>
    </row>
    <row r="1764" spans="1:9">
      <c r="A1764" s="6">
        <v>41257</v>
      </c>
      <c r="B1764">
        <f>IFERROR(VLOOKUP($A1764,原始数据_收盘!$A$4:$G$3460,2,0),"")</f>
        <v>3.3219</v>
      </c>
      <c r="C1764">
        <f>IFERROR(VLOOKUP($A1764,原始数据_收盘!$A$4:$G$3460,3,0),"")</f>
        <v>3.6276</v>
      </c>
      <c r="D1764">
        <f>IFERROR(VLOOKUP($A1764,原始数据_收盘!$A$4:$G$3460,4,0),"")</f>
        <v>3.3796</v>
      </c>
      <c r="E1764">
        <f>IFERROR(VLOOKUP($A1764,原始数据_收盘!$A$4:$G$3460,5,0),"")</f>
        <v>3.6877</v>
      </c>
      <c r="F1764">
        <f>IFERROR(VLOOKUP($A1764,原始数据_收盘!$A$4:$G$3460,6,0),"")</f>
        <v>3.3508</v>
      </c>
      <c r="G1764">
        <f>IFERROR(VLOOKUP($A1764,原始数据_收盘!$A$4:$G$3460,7,0),"")</f>
        <v>3.6576</v>
      </c>
      <c r="H1764">
        <f>IFERROR(VLOOKUP($A1764,原始数据_利率互换_FR007_1年!$A$6:$C$4395,2,0),"")</f>
        <v>3.342</v>
      </c>
      <c r="I1764">
        <f>IFERROR(VLOOKUP($A1764,原始数据_利率互换_FR007_1年!$A$6:$C$4395,3,0),"")</f>
        <v>3.6567</v>
      </c>
    </row>
    <row r="1765" spans="1:9">
      <c r="A1765" s="6">
        <v>41258</v>
      </c>
      <c r="B1765" t="str">
        <f>IFERROR(VLOOKUP($A1765,原始数据_收盘!$A$4:$G$3460,2,0),"")</f>
        <v/>
      </c>
      <c r="C1765" t="str">
        <f>IFERROR(VLOOKUP($A1765,原始数据_收盘!$A$4:$G$3460,3,0),"")</f>
        <v/>
      </c>
      <c r="D1765" t="str">
        <f>IFERROR(VLOOKUP($A1765,原始数据_收盘!$A$4:$G$3460,4,0),"")</f>
        <v/>
      </c>
      <c r="E1765" t="str">
        <f>IFERROR(VLOOKUP($A1765,原始数据_收盘!$A$4:$G$3460,5,0),"")</f>
        <v/>
      </c>
      <c r="F1765" t="str">
        <f>IFERROR(VLOOKUP($A1765,原始数据_收盘!$A$4:$G$3460,6,0),"")</f>
        <v/>
      </c>
      <c r="G1765" t="str">
        <f>IFERROR(VLOOKUP($A1765,原始数据_收盘!$A$4:$G$3460,7,0),"")</f>
        <v/>
      </c>
      <c r="H1765" t="str">
        <f>IFERROR(VLOOKUP($A1765,原始数据_利率互换_FR007_1年!$A$6:$C$4395,2,0),"")</f>
        <v/>
      </c>
      <c r="I1765" t="str">
        <f>IFERROR(VLOOKUP($A1765,原始数据_利率互换_FR007_1年!$A$6:$C$4395,3,0),"")</f>
        <v/>
      </c>
    </row>
    <row r="1766" spans="1:9">
      <c r="A1766" s="6">
        <v>41259</v>
      </c>
      <c r="B1766" t="str">
        <f>IFERROR(VLOOKUP($A1766,原始数据_收盘!$A$4:$G$3460,2,0),"")</f>
        <v/>
      </c>
      <c r="C1766" t="str">
        <f>IFERROR(VLOOKUP($A1766,原始数据_收盘!$A$4:$G$3460,3,0),"")</f>
        <v/>
      </c>
      <c r="D1766" t="str">
        <f>IFERROR(VLOOKUP($A1766,原始数据_收盘!$A$4:$G$3460,4,0),"")</f>
        <v/>
      </c>
      <c r="E1766" t="str">
        <f>IFERROR(VLOOKUP($A1766,原始数据_收盘!$A$4:$G$3460,5,0),"")</f>
        <v/>
      </c>
      <c r="F1766" t="str">
        <f>IFERROR(VLOOKUP($A1766,原始数据_收盘!$A$4:$G$3460,6,0),"")</f>
        <v/>
      </c>
      <c r="G1766" t="str">
        <f>IFERROR(VLOOKUP($A1766,原始数据_收盘!$A$4:$G$3460,7,0),"")</f>
        <v/>
      </c>
      <c r="H1766" t="str">
        <f>IFERROR(VLOOKUP($A1766,原始数据_利率互换_FR007_1年!$A$6:$C$4395,2,0),"")</f>
        <v/>
      </c>
      <c r="I1766" t="str">
        <f>IFERROR(VLOOKUP($A1766,原始数据_利率互换_FR007_1年!$A$6:$C$4395,3,0),"")</f>
        <v/>
      </c>
    </row>
    <row r="1767" spans="1:9">
      <c r="A1767" s="6">
        <v>41260</v>
      </c>
      <c r="B1767">
        <f>IFERROR(VLOOKUP($A1767,原始数据_收盘!$A$4:$G$3460,2,0),"")</f>
        <v>3.3019</v>
      </c>
      <c r="C1767">
        <f>IFERROR(VLOOKUP($A1767,原始数据_收盘!$A$4:$G$3460,3,0),"")</f>
        <v>3.63</v>
      </c>
      <c r="D1767">
        <f>IFERROR(VLOOKUP($A1767,原始数据_收盘!$A$4:$G$3460,4,0),"")</f>
        <v>3.3545</v>
      </c>
      <c r="E1767">
        <f>IFERROR(VLOOKUP($A1767,原始数据_收盘!$A$4:$G$3460,5,0),"")</f>
        <v>3.6869</v>
      </c>
      <c r="F1767">
        <f>IFERROR(VLOOKUP($A1767,原始数据_收盘!$A$4:$G$3460,6,0),"")</f>
        <v>3.3282</v>
      </c>
      <c r="G1767">
        <f>IFERROR(VLOOKUP($A1767,原始数据_收盘!$A$4:$G$3460,7,0),"")</f>
        <v>3.6585</v>
      </c>
      <c r="H1767">
        <f>IFERROR(VLOOKUP($A1767,原始数据_利率互换_FR007_1年!$A$6:$C$4395,2,0),"")</f>
        <v>3.325</v>
      </c>
      <c r="I1767">
        <f>IFERROR(VLOOKUP($A1767,原始数据_利率互换_FR007_1年!$A$6:$C$4395,3,0),"")</f>
        <v>3.6589</v>
      </c>
    </row>
    <row r="1768" spans="1:9">
      <c r="A1768" s="6">
        <v>41261</v>
      </c>
      <c r="B1768">
        <f>IFERROR(VLOOKUP($A1768,原始数据_收盘!$A$4:$G$3460,2,0),"")</f>
        <v>3.3184</v>
      </c>
      <c r="C1768">
        <f>IFERROR(VLOOKUP($A1768,原始数据_收盘!$A$4:$G$3460,3,0),"")</f>
        <v>3.6336</v>
      </c>
      <c r="D1768">
        <f>IFERROR(VLOOKUP($A1768,原始数据_收盘!$A$4:$G$3460,4,0),"")</f>
        <v>3.3687</v>
      </c>
      <c r="E1768">
        <f>IFERROR(VLOOKUP($A1768,原始数据_收盘!$A$4:$G$3460,5,0),"")</f>
        <v>3.6883</v>
      </c>
      <c r="F1768">
        <f>IFERROR(VLOOKUP($A1768,原始数据_收盘!$A$4:$G$3460,6,0),"")</f>
        <v>3.3436</v>
      </c>
      <c r="G1768">
        <f>IFERROR(VLOOKUP($A1768,原始数据_收盘!$A$4:$G$3460,7,0),"")</f>
        <v>3.6609</v>
      </c>
      <c r="H1768">
        <f>IFERROR(VLOOKUP($A1768,原始数据_利率互换_FR007_1年!$A$6:$C$4395,2,0),"")</f>
        <v>3.3352</v>
      </c>
      <c r="I1768">
        <f>IFERROR(VLOOKUP($A1768,原始数据_利率互换_FR007_1年!$A$6:$C$4395,3,0),"")</f>
        <v>3.6529</v>
      </c>
    </row>
    <row r="1769" spans="1:9">
      <c r="A1769" s="6">
        <v>41262</v>
      </c>
      <c r="B1769">
        <f>IFERROR(VLOOKUP($A1769,原始数据_收盘!$A$4:$G$3460,2,0),"")</f>
        <v>3.3404</v>
      </c>
      <c r="C1769">
        <f>IFERROR(VLOOKUP($A1769,原始数据_收盘!$A$4:$G$3460,3,0),"")</f>
        <v>3.6835</v>
      </c>
      <c r="D1769">
        <f>IFERROR(VLOOKUP($A1769,原始数据_收盘!$A$4:$G$3460,4,0),"")</f>
        <v>3.3965</v>
      </c>
      <c r="E1769">
        <f>IFERROR(VLOOKUP($A1769,原始数据_收盘!$A$4:$G$3460,5,0),"")</f>
        <v>3.7405</v>
      </c>
      <c r="F1769">
        <f>IFERROR(VLOOKUP($A1769,原始数据_收盘!$A$4:$G$3460,6,0),"")</f>
        <v>3.3685</v>
      </c>
      <c r="G1769">
        <f>IFERROR(VLOOKUP($A1769,原始数据_收盘!$A$4:$G$3460,7,0),"")</f>
        <v>3.712</v>
      </c>
      <c r="H1769">
        <f>IFERROR(VLOOKUP($A1769,原始数据_利率互换_FR007_1年!$A$6:$C$4395,2,0),"")</f>
        <v>3.3616</v>
      </c>
      <c r="I1769">
        <f>IFERROR(VLOOKUP($A1769,原始数据_利率互换_FR007_1年!$A$6:$C$4395,3,0),"")</f>
        <v>3.6991</v>
      </c>
    </row>
    <row r="1770" spans="1:9">
      <c r="A1770" s="6">
        <v>41263</v>
      </c>
      <c r="B1770">
        <f>IFERROR(VLOOKUP($A1770,原始数据_收盘!$A$4:$G$3460,2,0),"")</f>
        <v>3.331</v>
      </c>
      <c r="C1770">
        <f>IFERROR(VLOOKUP($A1770,原始数据_收盘!$A$4:$G$3460,3,0),"")</f>
        <v>3.6786</v>
      </c>
      <c r="D1770">
        <f>IFERROR(VLOOKUP($A1770,原始数据_收盘!$A$4:$G$3460,4,0),"")</f>
        <v>3.3823</v>
      </c>
      <c r="E1770">
        <f>IFERROR(VLOOKUP($A1770,原始数据_收盘!$A$4:$G$3460,5,0),"")</f>
        <v>3.7331</v>
      </c>
      <c r="F1770">
        <f>IFERROR(VLOOKUP($A1770,原始数据_收盘!$A$4:$G$3460,6,0),"")</f>
        <v>3.3567</v>
      </c>
      <c r="G1770">
        <f>IFERROR(VLOOKUP($A1770,原始数据_收盘!$A$4:$G$3460,7,0),"")</f>
        <v>3.7058</v>
      </c>
      <c r="H1770">
        <f>IFERROR(VLOOKUP($A1770,原始数据_利率互换_FR007_1年!$A$6:$C$4395,2,0),"")</f>
        <v>3.3567</v>
      </c>
      <c r="I1770">
        <f>IFERROR(VLOOKUP($A1770,原始数据_利率互换_FR007_1年!$A$6:$C$4395,3,0),"")</f>
        <v>3.71</v>
      </c>
    </row>
    <row r="1771" spans="1:9">
      <c r="A1771" s="6">
        <v>41264</v>
      </c>
      <c r="B1771">
        <f>IFERROR(VLOOKUP($A1771,原始数据_收盘!$A$4:$G$3460,2,0),"")</f>
        <v>3.3309</v>
      </c>
      <c r="C1771">
        <f>IFERROR(VLOOKUP($A1771,原始数据_收盘!$A$4:$G$3460,3,0),"")</f>
        <v>3.6668</v>
      </c>
      <c r="D1771">
        <f>IFERROR(VLOOKUP($A1771,原始数据_收盘!$A$4:$G$3460,4,0),"")</f>
        <v>3.3809</v>
      </c>
      <c r="E1771">
        <f>IFERROR(VLOOKUP($A1771,原始数据_收盘!$A$4:$G$3460,5,0),"")</f>
        <v>3.7209</v>
      </c>
      <c r="F1771">
        <f>IFERROR(VLOOKUP($A1771,原始数据_收盘!$A$4:$G$3460,6,0),"")</f>
        <v>3.3559</v>
      </c>
      <c r="G1771">
        <f>IFERROR(VLOOKUP($A1771,原始数据_收盘!$A$4:$G$3460,7,0),"")</f>
        <v>3.6939</v>
      </c>
      <c r="H1771">
        <f>IFERROR(VLOOKUP($A1771,原始数据_利率互换_FR007_1年!$A$6:$C$4395,2,0),"")</f>
        <v>3.3482</v>
      </c>
      <c r="I1771">
        <f>IFERROR(VLOOKUP($A1771,原始数据_利率互换_FR007_1年!$A$6:$C$4395,3,0),"")</f>
        <v>3.6877</v>
      </c>
    </row>
    <row r="1772" spans="1:9">
      <c r="A1772" s="6">
        <v>41265</v>
      </c>
      <c r="B1772" t="str">
        <f>IFERROR(VLOOKUP($A1772,原始数据_收盘!$A$4:$G$3460,2,0),"")</f>
        <v/>
      </c>
      <c r="C1772" t="str">
        <f>IFERROR(VLOOKUP($A1772,原始数据_收盘!$A$4:$G$3460,3,0),"")</f>
        <v/>
      </c>
      <c r="D1772" t="str">
        <f>IFERROR(VLOOKUP($A1772,原始数据_收盘!$A$4:$G$3460,4,0),"")</f>
        <v/>
      </c>
      <c r="E1772" t="str">
        <f>IFERROR(VLOOKUP($A1772,原始数据_收盘!$A$4:$G$3460,5,0),"")</f>
        <v/>
      </c>
      <c r="F1772" t="str">
        <f>IFERROR(VLOOKUP($A1772,原始数据_收盘!$A$4:$G$3460,6,0),"")</f>
        <v/>
      </c>
      <c r="G1772" t="str">
        <f>IFERROR(VLOOKUP($A1772,原始数据_收盘!$A$4:$G$3460,7,0),"")</f>
        <v/>
      </c>
      <c r="H1772" t="str">
        <f>IFERROR(VLOOKUP($A1772,原始数据_利率互换_FR007_1年!$A$6:$C$4395,2,0),"")</f>
        <v/>
      </c>
      <c r="I1772" t="str">
        <f>IFERROR(VLOOKUP($A1772,原始数据_利率互换_FR007_1年!$A$6:$C$4395,3,0),"")</f>
        <v/>
      </c>
    </row>
    <row r="1773" spans="1:9">
      <c r="A1773" s="6">
        <v>41266</v>
      </c>
      <c r="B1773" t="str">
        <f>IFERROR(VLOOKUP($A1773,原始数据_收盘!$A$4:$G$3460,2,0),"")</f>
        <v/>
      </c>
      <c r="C1773" t="str">
        <f>IFERROR(VLOOKUP($A1773,原始数据_收盘!$A$4:$G$3460,3,0),"")</f>
        <v/>
      </c>
      <c r="D1773" t="str">
        <f>IFERROR(VLOOKUP($A1773,原始数据_收盘!$A$4:$G$3460,4,0),"")</f>
        <v/>
      </c>
      <c r="E1773" t="str">
        <f>IFERROR(VLOOKUP($A1773,原始数据_收盘!$A$4:$G$3460,5,0),"")</f>
        <v/>
      </c>
      <c r="F1773" t="str">
        <f>IFERROR(VLOOKUP($A1773,原始数据_收盘!$A$4:$G$3460,6,0),"")</f>
        <v/>
      </c>
      <c r="G1773" t="str">
        <f>IFERROR(VLOOKUP($A1773,原始数据_收盘!$A$4:$G$3460,7,0),"")</f>
        <v/>
      </c>
      <c r="H1773" t="str">
        <f>IFERROR(VLOOKUP($A1773,原始数据_利率互换_FR007_1年!$A$6:$C$4395,2,0),"")</f>
        <v/>
      </c>
      <c r="I1773" t="str">
        <f>IFERROR(VLOOKUP($A1773,原始数据_利率互换_FR007_1年!$A$6:$C$4395,3,0),"")</f>
        <v/>
      </c>
    </row>
    <row r="1774" spans="1:9">
      <c r="A1774" s="6">
        <v>41267</v>
      </c>
      <c r="B1774">
        <f>IFERROR(VLOOKUP($A1774,原始数据_收盘!$A$4:$G$3460,2,0),"")</f>
        <v>3.3259</v>
      </c>
      <c r="C1774">
        <f>IFERROR(VLOOKUP($A1774,原始数据_收盘!$A$4:$G$3460,3,0),"")</f>
        <v>3.6662</v>
      </c>
      <c r="D1774">
        <f>IFERROR(VLOOKUP($A1774,原始数据_收盘!$A$4:$G$3460,4,0),"")</f>
        <v>3.3746</v>
      </c>
      <c r="E1774">
        <f>IFERROR(VLOOKUP($A1774,原始数据_收盘!$A$4:$G$3460,5,0),"")</f>
        <v>3.721</v>
      </c>
      <c r="F1774">
        <f>IFERROR(VLOOKUP($A1774,原始数据_收盘!$A$4:$G$3460,6,0),"")</f>
        <v>3.3502</v>
      </c>
      <c r="G1774">
        <f>IFERROR(VLOOKUP($A1774,原始数据_收盘!$A$4:$G$3460,7,0),"")</f>
        <v>3.6936</v>
      </c>
      <c r="H1774">
        <f>IFERROR(VLOOKUP($A1774,原始数据_利率互换_FR007_1年!$A$6:$C$4395,2,0),"")</f>
        <v>3.3452</v>
      </c>
      <c r="I1774">
        <f>IFERROR(VLOOKUP($A1774,原始数据_利率互换_FR007_1年!$A$6:$C$4395,3,0),"")</f>
        <v>3.6888</v>
      </c>
    </row>
    <row r="1775" spans="1:9">
      <c r="A1775" s="6">
        <v>41268</v>
      </c>
      <c r="B1775">
        <f>IFERROR(VLOOKUP($A1775,原始数据_收盘!$A$4:$G$3460,2,0),"")</f>
        <v>3.3256</v>
      </c>
      <c r="C1775">
        <f>IFERROR(VLOOKUP($A1775,原始数据_收盘!$A$4:$G$3460,3,0),"")</f>
        <v>3.6664</v>
      </c>
      <c r="D1775">
        <f>IFERROR(VLOOKUP($A1775,原始数据_收盘!$A$4:$G$3460,4,0),"")</f>
        <v>3.3772</v>
      </c>
      <c r="E1775">
        <f>IFERROR(VLOOKUP($A1775,原始数据_收盘!$A$4:$G$3460,5,0),"")</f>
        <v>3.7232</v>
      </c>
      <c r="F1775">
        <f>IFERROR(VLOOKUP($A1775,原始数据_收盘!$A$4:$G$3460,6,0),"")</f>
        <v>3.3514</v>
      </c>
      <c r="G1775">
        <f>IFERROR(VLOOKUP($A1775,原始数据_收盘!$A$4:$G$3460,7,0),"")</f>
        <v>3.6948</v>
      </c>
      <c r="H1775">
        <f>IFERROR(VLOOKUP($A1775,原始数据_利率互换_FR007_1年!$A$6:$C$4395,2,0),"")</f>
        <v>3.3455</v>
      </c>
      <c r="I1775">
        <f>IFERROR(VLOOKUP($A1775,原始数据_利率互换_FR007_1年!$A$6:$C$4395,3,0),"")</f>
        <v>3.6865</v>
      </c>
    </row>
    <row r="1776" spans="1:9">
      <c r="A1776" s="6">
        <v>41269</v>
      </c>
      <c r="B1776">
        <f>IFERROR(VLOOKUP($A1776,原始数据_收盘!$A$4:$G$3460,2,0),"")</f>
        <v>3.3281</v>
      </c>
      <c r="C1776">
        <f>IFERROR(VLOOKUP($A1776,原始数据_收盘!$A$4:$G$3460,3,0),"")</f>
        <v>3.6662</v>
      </c>
      <c r="D1776">
        <f>IFERROR(VLOOKUP($A1776,原始数据_收盘!$A$4:$G$3460,4,0),"")</f>
        <v>3.377</v>
      </c>
      <c r="E1776">
        <f>IFERROR(VLOOKUP($A1776,原始数据_收盘!$A$4:$G$3460,5,0),"")</f>
        <v>3.722</v>
      </c>
      <c r="F1776">
        <f>IFERROR(VLOOKUP($A1776,原始数据_收盘!$A$4:$G$3460,6,0),"")</f>
        <v>3.3526</v>
      </c>
      <c r="G1776">
        <f>IFERROR(VLOOKUP($A1776,原始数据_收盘!$A$4:$G$3460,7,0),"")</f>
        <v>3.6941</v>
      </c>
      <c r="H1776">
        <f>IFERROR(VLOOKUP($A1776,原始数据_利率互换_FR007_1年!$A$6:$C$4395,2,0),"")</f>
        <v>3.347</v>
      </c>
      <c r="I1776">
        <f>IFERROR(VLOOKUP($A1776,原始数据_利率互换_FR007_1年!$A$6:$C$4395,3,0),"")</f>
        <v>3.6875</v>
      </c>
    </row>
    <row r="1777" spans="1:9">
      <c r="A1777" s="6">
        <v>41270</v>
      </c>
      <c r="B1777">
        <f>IFERROR(VLOOKUP($A1777,原始数据_收盘!$A$4:$G$3460,2,0),"")</f>
        <v>3.325</v>
      </c>
      <c r="C1777">
        <f>IFERROR(VLOOKUP($A1777,原始数据_收盘!$A$4:$G$3460,3,0),"")</f>
        <v>3.6621</v>
      </c>
      <c r="D1777">
        <f>IFERROR(VLOOKUP($A1777,原始数据_收盘!$A$4:$G$3460,4,0),"")</f>
        <v>3.3723</v>
      </c>
      <c r="E1777">
        <f>IFERROR(VLOOKUP($A1777,原始数据_收盘!$A$4:$G$3460,5,0),"")</f>
        <v>3.7151</v>
      </c>
      <c r="F1777">
        <f>IFERROR(VLOOKUP($A1777,原始数据_收盘!$A$4:$G$3460,6,0),"")</f>
        <v>3.3487</v>
      </c>
      <c r="G1777">
        <f>IFERROR(VLOOKUP($A1777,原始数据_收盘!$A$4:$G$3460,7,0),"")</f>
        <v>3.6886</v>
      </c>
      <c r="H1777">
        <f>IFERROR(VLOOKUP($A1777,原始数据_利率互换_FR007_1年!$A$6:$C$4395,2,0),"")</f>
        <v>3.345</v>
      </c>
      <c r="I1777">
        <f>IFERROR(VLOOKUP($A1777,原始数据_利率互换_FR007_1年!$A$6:$C$4395,3,0),"")</f>
        <v>3.6775</v>
      </c>
    </row>
    <row r="1778" spans="1:9">
      <c r="A1778" s="6">
        <v>41271</v>
      </c>
      <c r="B1778">
        <f>IFERROR(VLOOKUP($A1778,原始数据_收盘!$A$4:$G$3460,2,0),"")</f>
        <v>3.3254</v>
      </c>
      <c r="C1778">
        <f>IFERROR(VLOOKUP($A1778,原始数据_收盘!$A$4:$G$3460,3,0),"")</f>
        <v>3.6535</v>
      </c>
      <c r="D1778">
        <f>IFERROR(VLOOKUP($A1778,原始数据_收盘!$A$4:$G$3460,4,0),"")</f>
        <v>3.3779</v>
      </c>
      <c r="E1778">
        <f>IFERROR(VLOOKUP($A1778,原始数据_收盘!$A$4:$G$3460,5,0),"")</f>
        <v>3.7107</v>
      </c>
      <c r="F1778">
        <f>IFERROR(VLOOKUP($A1778,原始数据_收盘!$A$4:$G$3460,6,0),"")</f>
        <v>3.3516</v>
      </c>
      <c r="G1778">
        <f>IFERROR(VLOOKUP($A1778,原始数据_收盘!$A$4:$G$3460,7,0),"")</f>
        <v>3.6821</v>
      </c>
      <c r="H1778">
        <f>IFERROR(VLOOKUP($A1778,原始数据_利率互换_FR007_1年!$A$6:$C$4395,2,0),"")</f>
        <v>3.36</v>
      </c>
      <c r="I1778">
        <f>IFERROR(VLOOKUP($A1778,原始数据_利率互换_FR007_1年!$A$6:$C$4395,3,0),"")</f>
        <v>0</v>
      </c>
    </row>
    <row r="1779" spans="1:9">
      <c r="A1779" s="6">
        <v>41272</v>
      </c>
      <c r="B1779" t="str">
        <f>IFERROR(VLOOKUP($A1779,原始数据_收盘!$A$4:$G$3460,2,0),"")</f>
        <v/>
      </c>
      <c r="C1779" t="str">
        <f>IFERROR(VLOOKUP($A1779,原始数据_收盘!$A$4:$G$3460,3,0),"")</f>
        <v/>
      </c>
      <c r="D1779" t="str">
        <f>IFERROR(VLOOKUP($A1779,原始数据_收盘!$A$4:$G$3460,4,0),"")</f>
        <v/>
      </c>
      <c r="E1779" t="str">
        <f>IFERROR(VLOOKUP($A1779,原始数据_收盘!$A$4:$G$3460,5,0),"")</f>
        <v/>
      </c>
      <c r="F1779" t="str">
        <f>IFERROR(VLOOKUP($A1779,原始数据_收盘!$A$4:$G$3460,6,0),"")</f>
        <v/>
      </c>
      <c r="G1779" t="str">
        <f>IFERROR(VLOOKUP($A1779,原始数据_收盘!$A$4:$G$3460,7,0),"")</f>
        <v/>
      </c>
      <c r="H1779" t="str">
        <f>IFERROR(VLOOKUP($A1779,原始数据_利率互换_FR007_1年!$A$6:$C$4395,2,0),"")</f>
        <v/>
      </c>
      <c r="I1779" t="str">
        <f>IFERROR(VLOOKUP($A1779,原始数据_利率互换_FR007_1年!$A$6:$C$4395,3,0),"")</f>
        <v/>
      </c>
    </row>
    <row r="1780" spans="1:9">
      <c r="A1780" s="6">
        <v>41273</v>
      </c>
      <c r="B1780" t="str">
        <f>IFERROR(VLOOKUP($A1780,原始数据_收盘!$A$4:$G$3460,2,0),"")</f>
        <v/>
      </c>
      <c r="C1780" t="str">
        <f>IFERROR(VLOOKUP($A1780,原始数据_收盘!$A$4:$G$3460,3,0),"")</f>
        <v/>
      </c>
      <c r="D1780" t="str">
        <f>IFERROR(VLOOKUP($A1780,原始数据_收盘!$A$4:$G$3460,4,0),"")</f>
        <v/>
      </c>
      <c r="E1780" t="str">
        <f>IFERROR(VLOOKUP($A1780,原始数据_收盘!$A$4:$G$3460,5,0),"")</f>
        <v/>
      </c>
      <c r="F1780" t="str">
        <f>IFERROR(VLOOKUP($A1780,原始数据_收盘!$A$4:$G$3460,6,0),"")</f>
        <v/>
      </c>
      <c r="G1780" t="str">
        <f>IFERROR(VLOOKUP($A1780,原始数据_收盘!$A$4:$G$3460,7,0),"")</f>
        <v/>
      </c>
      <c r="H1780" t="str">
        <f>IFERROR(VLOOKUP($A1780,原始数据_利率互换_FR007_1年!$A$6:$C$4395,2,0),"")</f>
        <v/>
      </c>
      <c r="I1780" t="str">
        <f>IFERROR(VLOOKUP($A1780,原始数据_利率互换_FR007_1年!$A$6:$C$4395,3,0),"")</f>
        <v/>
      </c>
    </row>
    <row r="1781" spans="1:9">
      <c r="A1781" s="6">
        <v>41274</v>
      </c>
      <c r="B1781">
        <f>IFERROR(VLOOKUP($A1781,原始数据_收盘!$A$4:$G$3460,2,0),"")</f>
        <v>3.3246</v>
      </c>
      <c r="C1781">
        <f>IFERROR(VLOOKUP($A1781,原始数据_收盘!$A$4:$G$3460,3,0),"")</f>
        <v>3.6511</v>
      </c>
      <c r="D1781">
        <f>IFERROR(VLOOKUP($A1781,原始数据_收盘!$A$4:$G$3460,4,0),"")</f>
        <v>3.3775</v>
      </c>
      <c r="E1781">
        <f>IFERROR(VLOOKUP($A1781,原始数据_收盘!$A$4:$G$3460,5,0),"")</f>
        <v>3.7092</v>
      </c>
      <c r="F1781">
        <f>IFERROR(VLOOKUP($A1781,原始数据_收盘!$A$4:$G$3460,6,0),"")</f>
        <v>3.351</v>
      </c>
      <c r="G1781">
        <f>IFERROR(VLOOKUP($A1781,原始数据_收盘!$A$4:$G$3460,7,0),"")</f>
        <v>3.6801</v>
      </c>
      <c r="H1781">
        <f>IFERROR(VLOOKUP($A1781,原始数据_利率互换_FR007_1年!$A$6:$C$4395,2,0),"")</f>
        <v>0</v>
      </c>
      <c r="I1781">
        <f>IFERROR(VLOOKUP($A1781,原始数据_利率互换_FR007_1年!$A$6:$C$4395,3,0),"")</f>
        <v>3.695</v>
      </c>
    </row>
    <row r="1782" spans="1:9">
      <c r="A1782" s="6">
        <v>41275</v>
      </c>
      <c r="B1782" t="str">
        <f>IFERROR(VLOOKUP($A1782,原始数据_收盘!$A$4:$G$3460,2,0),"")</f>
        <v/>
      </c>
      <c r="C1782" t="str">
        <f>IFERROR(VLOOKUP($A1782,原始数据_收盘!$A$4:$G$3460,3,0),"")</f>
        <v/>
      </c>
      <c r="D1782" t="str">
        <f>IFERROR(VLOOKUP($A1782,原始数据_收盘!$A$4:$G$3460,4,0),"")</f>
        <v/>
      </c>
      <c r="E1782" t="str">
        <f>IFERROR(VLOOKUP($A1782,原始数据_收盘!$A$4:$G$3460,5,0),"")</f>
        <v/>
      </c>
      <c r="F1782" t="str">
        <f>IFERROR(VLOOKUP($A1782,原始数据_收盘!$A$4:$G$3460,6,0),"")</f>
        <v/>
      </c>
      <c r="G1782" t="str">
        <f>IFERROR(VLOOKUP($A1782,原始数据_收盘!$A$4:$G$3460,7,0),"")</f>
        <v/>
      </c>
      <c r="H1782" t="str">
        <f>IFERROR(VLOOKUP($A1782,原始数据_利率互换_FR007_1年!$A$6:$C$4395,2,0),"")</f>
        <v/>
      </c>
      <c r="I1782" t="str">
        <f>IFERROR(VLOOKUP($A1782,原始数据_利率互换_FR007_1年!$A$6:$C$4395,3,0),"")</f>
        <v/>
      </c>
    </row>
    <row r="1783" spans="1:9">
      <c r="A1783" s="6">
        <v>41276</v>
      </c>
      <c r="B1783" t="str">
        <f>IFERROR(VLOOKUP($A1783,原始数据_收盘!$A$4:$G$3460,2,0),"")</f>
        <v/>
      </c>
      <c r="C1783" t="str">
        <f>IFERROR(VLOOKUP($A1783,原始数据_收盘!$A$4:$G$3460,3,0),"")</f>
        <v/>
      </c>
      <c r="D1783" t="str">
        <f>IFERROR(VLOOKUP($A1783,原始数据_收盘!$A$4:$G$3460,4,0),"")</f>
        <v/>
      </c>
      <c r="E1783" t="str">
        <f>IFERROR(VLOOKUP($A1783,原始数据_收盘!$A$4:$G$3460,5,0),"")</f>
        <v/>
      </c>
      <c r="F1783" t="str">
        <f>IFERROR(VLOOKUP($A1783,原始数据_收盘!$A$4:$G$3460,6,0),"")</f>
        <v/>
      </c>
      <c r="G1783" t="str">
        <f>IFERROR(VLOOKUP($A1783,原始数据_收盘!$A$4:$G$3460,7,0),"")</f>
        <v/>
      </c>
      <c r="H1783" t="str">
        <f>IFERROR(VLOOKUP($A1783,原始数据_利率互换_FR007_1年!$A$6:$C$4395,2,0),"")</f>
        <v/>
      </c>
      <c r="I1783" t="str">
        <f>IFERROR(VLOOKUP($A1783,原始数据_利率互换_FR007_1年!$A$6:$C$4395,3,0),"")</f>
        <v/>
      </c>
    </row>
    <row r="1784" spans="1:9">
      <c r="A1784" s="6">
        <v>41277</v>
      </c>
      <c r="B1784" t="str">
        <f>IFERROR(VLOOKUP($A1784,原始数据_收盘!$A$4:$G$3460,2,0),"")</f>
        <v/>
      </c>
      <c r="C1784" t="str">
        <f>IFERROR(VLOOKUP($A1784,原始数据_收盘!$A$4:$G$3460,3,0),"")</f>
        <v/>
      </c>
      <c r="D1784" t="str">
        <f>IFERROR(VLOOKUP($A1784,原始数据_收盘!$A$4:$G$3460,4,0),"")</f>
        <v/>
      </c>
      <c r="E1784" t="str">
        <f>IFERROR(VLOOKUP($A1784,原始数据_收盘!$A$4:$G$3460,5,0),"")</f>
        <v/>
      </c>
      <c r="F1784" t="str">
        <f>IFERROR(VLOOKUP($A1784,原始数据_收盘!$A$4:$G$3460,6,0),"")</f>
        <v/>
      </c>
      <c r="G1784" t="str">
        <f>IFERROR(VLOOKUP($A1784,原始数据_收盘!$A$4:$G$3460,7,0),"")</f>
        <v/>
      </c>
      <c r="H1784" t="str">
        <f>IFERROR(VLOOKUP($A1784,原始数据_利率互换_FR007_1年!$A$6:$C$4395,2,0),"")</f>
        <v/>
      </c>
      <c r="I1784" t="str">
        <f>IFERROR(VLOOKUP($A1784,原始数据_利率互换_FR007_1年!$A$6:$C$4395,3,0),"")</f>
        <v/>
      </c>
    </row>
    <row r="1785" spans="1:9">
      <c r="A1785" s="6">
        <v>41278</v>
      </c>
      <c r="B1785">
        <f>IFERROR(VLOOKUP($A1785,原始数据_收盘!$A$4:$G$3460,2,0),"")</f>
        <v>3.4095</v>
      </c>
      <c r="C1785">
        <f>IFERROR(VLOOKUP($A1785,原始数据_收盘!$A$4:$G$3460,3,0),"")</f>
        <v>3.7683</v>
      </c>
      <c r="D1785">
        <f>IFERROR(VLOOKUP($A1785,原始数据_收盘!$A$4:$G$3460,4,0),"")</f>
        <v>3.4541</v>
      </c>
      <c r="E1785">
        <f>IFERROR(VLOOKUP($A1785,原始数据_收盘!$A$4:$G$3460,5,0),"")</f>
        <v>3.8199</v>
      </c>
      <c r="F1785">
        <f>IFERROR(VLOOKUP($A1785,原始数据_收盘!$A$4:$G$3460,6,0),"")</f>
        <v>3.4318</v>
      </c>
      <c r="G1785">
        <f>IFERROR(VLOOKUP($A1785,原始数据_收盘!$A$4:$G$3460,7,0),"")</f>
        <v>3.7941</v>
      </c>
      <c r="H1785">
        <f>IFERROR(VLOOKUP($A1785,原始数据_利率互换_FR007_1年!$A$6:$C$4395,2,0),"")</f>
        <v>3.4358</v>
      </c>
      <c r="I1785">
        <f>IFERROR(VLOOKUP($A1785,原始数据_利率互换_FR007_1年!$A$6:$C$4395,3,0),"")</f>
        <v>3.7906</v>
      </c>
    </row>
    <row r="1786" spans="1:9">
      <c r="A1786" s="6">
        <v>41279</v>
      </c>
      <c r="B1786">
        <f>IFERROR(VLOOKUP($A1786,原始数据_收盘!$A$4:$G$3460,2,0),"")</f>
        <v>3.3818</v>
      </c>
      <c r="C1786">
        <f>IFERROR(VLOOKUP($A1786,原始数据_收盘!$A$4:$G$3460,3,0),"")</f>
        <v>3.7521</v>
      </c>
      <c r="D1786">
        <f>IFERROR(VLOOKUP($A1786,原始数据_收盘!$A$4:$G$3460,4,0),"")</f>
        <v>3.4313</v>
      </c>
      <c r="E1786">
        <f>IFERROR(VLOOKUP($A1786,原始数据_收盘!$A$4:$G$3460,5,0),"")</f>
        <v>3.8053</v>
      </c>
      <c r="F1786">
        <f>IFERROR(VLOOKUP($A1786,原始数据_收盘!$A$4:$G$3460,6,0),"")</f>
        <v>3.4065</v>
      </c>
      <c r="G1786">
        <f>IFERROR(VLOOKUP($A1786,原始数据_收盘!$A$4:$G$3460,7,0),"")</f>
        <v>3.7787</v>
      </c>
      <c r="H1786">
        <f>IFERROR(VLOOKUP($A1786,原始数据_利率互换_FR007_1年!$A$6:$C$4395,2,0),"")</f>
        <v>3.4088</v>
      </c>
      <c r="I1786">
        <f>IFERROR(VLOOKUP($A1786,原始数据_利率互换_FR007_1年!$A$6:$C$4395,3,0),"")</f>
        <v>3.7875</v>
      </c>
    </row>
    <row r="1787" spans="1:9">
      <c r="A1787" s="6">
        <v>41280</v>
      </c>
      <c r="B1787">
        <f>IFERROR(VLOOKUP($A1787,原始数据_收盘!$A$4:$G$3460,2,0),"")</f>
        <v>3.3783</v>
      </c>
      <c r="C1787">
        <f>IFERROR(VLOOKUP($A1787,原始数据_收盘!$A$4:$G$3460,3,0),"")</f>
        <v>3.7451</v>
      </c>
      <c r="D1787">
        <f>IFERROR(VLOOKUP($A1787,原始数据_收盘!$A$4:$G$3460,4,0),"")</f>
        <v>3.4267</v>
      </c>
      <c r="E1787">
        <f>IFERROR(VLOOKUP($A1787,原始数据_收盘!$A$4:$G$3460,5,0),"")</f>
        <v>3.7983</v>
      </c>
      <c r="F1787">
        <f>IFERROR(VLOOKUP($A1787,原始数据_收盘!$A$4:$G$3460,6,0),"")</f>
        <v>3.4025</v>
      </c>
      <c r="G1787">
        <f>IFERROR(VLOOKUP($A1787,原始数据_收盘!$A$4:$G$3460,7,0),"")</f>
        <v>3.7717</v>
      </c>
      <c r="H1787" t="str">
        <f>IFERROR(VLOOKUP($A1787,原始数据_利率互换_FR007_1年!$A$6:$C$4395,2,0),"")</f>
        <v/>
      </c>
      <c r="I1787" t="str">
        <f>IFERROR(VLOOKUP($A1787,原始数据_利率互换_FR007_1年!$A$6:$C$4395,3,0),"")</f>
        <v/>
      </c>
    </row>
    <row r="1788" spans="1:9">
      <c r="A1788" s="6">
        <v>41281</v>
      </c>
      <c r="B1788">
        <f>IFERROR(VLOOKUP($A1788,原始数据_收盘!$A$4:$G$3460,2,0),"")</f>
        <v>3.3714</v>
      </c>
      <c r="C1788">
        <f>IFERROR(VLOOKUP($A1788,原始数据_收盘!$A$4:$G$3460,3,0),"")</f>
        <v>3.7542</v>
      </c>
      <c r="D1788">
        <f>IFERROR(VLOOKUP($A1788,原始数据_收盘!$A$4:$G$3460,4,0),"")</f>
        <v>3.4228</v>
      </c>
      <c r="E1788">
        <f>IFERROR(VLOOKUP($A1788,原始数据_收盘!$A$4:$G$3460,5,0),"")</f>
        <v>3.8108</v>
      </c>
      <c r="F1788">
        <f>IFERROR(VLOOKUP($A1788,原始数据_收盘!$A$4:$G$3460,6,0),"")</f>
        <v>3.3971</v>
      </c>
      <c r="G1788">
        <f>IFERROR(VLOOKUP($A1788,原始数据_收盘!$A$4:$G$3460,7,0),"")</f>
        <v>3.7825</v>
      </c>
      <c r="H1788">
        <f>IFERROR(VLOOKUP($A1788,原始数据_利率互换_FR007_1年!$A$6:$C$4395,2,0),"")</f>
        <v>3.4049</v>
      </c>
      <c r="I1788">
        <f>IFERROR(VLOOKUP($A1788,原始数据_利率互换_FR007_1年!$A$6:$C$4395,3,0),"")</f>
        <v>3.792</v>
      </c>
    </row>
    <row r="1789" spans="1:9">
      <c r="A1789" s="6">
        <v>41282</v>
      </c>
      <c r="B1789">
        <f>IFERROR(VLOOKUP($A1789,原始数据_收盘!$A$4:$G$3460,2,0),"")</f>
        <v>3.3397</v>
      </c>
      <c r="C1789">
        <f>IFERROR(VLOOKUP($A1789,原始数据_收盘!$A$4:$G$3460,3,0),"")</f>
        <v>3.7259</v>
      </c>
      <c r="D1789">
        <f>IFERROR(VLOOKUP($A1789,原始数据_收盘!$A$4:$G$3460,4,0),"")</f>
        <v>3.3921</v>
      </c>
      <c r="E1789">
        <f>IFERROR(VLOOKUP($A1789,原始数据_收盘!$A$4:$G$3460,5,0),"")</f>
        <v>3.7822</v>
      </c>
      <c r="F1789">
        <f>IFERROR(VLOOKUP($A1789,原始数据_收盘!$A$4:$G$3460,6,0),"")</f>
        <v>3.3659</v>
      </c>
      <c r="G1789">
        <f>IFERROR(VLOOKUP($A1789,原始数据_收盘!$A$4:$G$3460,7,0),"")</f>
        <v>3.754</v>
      </c>
      <c r="H1789">
        <f>IFERROR(VLOOKUP($A1789,原始数据_利率互换_FR007_1年!$A$6:$C$4395,2,0),"")</f>
        <v>3.3629</v>
      </c>
      <c r="I1789">
        <f>IFERROR(VLOOKUP($A1789,原始数据_利率互换_FR007_1年!$A$6:$C$4395,3,0),"")</f>
        <v>3.744</v>
      </c>
    </row>
    <row r="1790" spans="1:9">
      <c r="A1790" s="6">
        <v>41283</v>
      </c>
      <c r="B1790">
        <f>IFERROR(VLOOKUP($A1790,原始数据_收盘!$A$4:$G$3460,2,0),"")</f>
        <v>3.3285</v>
      </c>
      <c r="C1790">
        <f>IFERROR(VLOOKUP($A1790,原始数据_收盘!$A$4:$G$3460,3,0),"")</f>
        <v>3.7227</v>
      </c>
      <c r="D1790">
        <f>IFERROR(VLOOKUP($A1790,原始数据_收盘!$A$4:$G$3460,4,0),"")</f>
        <v>3.3744</v>
      </c>
      <c r="E1790">
        <f>IFERROR(VLOOKUP($A1790,原始数据_收盘!$A$4:$G$3460,5,0),"")</f>
        <v>3.7741</v>
      </c>
      <c r="F1790">
        <f>IFERROR(VLOOKUP($A1790,原始数据_收盘!$A$4:$G$3460,6,0),"")</f>
        <v>3.3514</v>
      </c>
      <c r="G1790">
        <f>IFERROR(VLOOKUP($A1790,原始数据_收盘!$A$4:$G$3460,7,0),"")</f>
        <v>3.7484</v>
      </c>
      <c r="H1790">
        <f>IFERROR(VLOOKUP($A1790,原始数据_利率互换_FR007_1年!$A$6:$C$4395,2,0),"")</f>
        <v>3.3404</v>
      </c>
      <c r="I1790">
        <f>IFERROR(VLOOKUP($A1790,原始数据_利率互换_FR007_1年!$A$6:$C$4395,3,0),"")</f>
        <v>3.7421</v>
      </c>
    </row>
    <row r="1791" spans="1:9">
      <c r="A1791" s="6">
        <v>41284</v>
      </c>
      <c r="B1791">
        <f>IFERROR(VLOOKUP($A1791,原始数据_收盘!$A$4:$G$3460,2,0),"")</f>
        <v>3.3464</v>
      </c>
      <c r="C1791">
        <f>IFERROR(VLOOKUP($A1791,原始数据_收盘!$A$4:$G$3460,3,0),"")</f>
        <v>3.7573</v>
      </c>
      <c r="D1791">
        <f>IFERROR(VLOOKUP($A1791,原始数据_收盘!$A$4:$G$3460,4,0),"")</f>
        <v>3.3909</v>
      </c>
      <c r="E1791">
        <f>IFERROR(VLOOKUP($A1791,原始数据_收盘!$A$4:$G$3460,5,0),"")</f>
        <v>3.81</v>
      </c>
      <c r="F1791">
        <f>IFERROR(VLOOKUP($A1791,原始数据_收盘!$A$4:$G$3460,6,0),"")</f>
        <v>3.3686</v>
      </c>
      <c r="G1791">
        <f>IFERROR(VLOOKUP($A1791,原始数据_收盘!$A$4:$G$3460,7,0),"")</f>
        <v>3.7836</v>
      </c>
      <c r="H1791">
        <f>IFERROR(VLOOKUP($A1791,原始数据_利率互换_FR007_1年!$A$6:$C$4395,2,0),"")</f>
        <v>3.3556</v>
      </c>
      <c r="I1791">
        <f>IFERROR(VLOOKUP($A1791,原始数据_利率互换_FR007_1年!$A$6:$C$4395,3,0),"")</f>
        <v>3.7576</v>
      </c>
    </row>
    <row r="1792" spans="1:9">
      <c r="A1792" s="6">
        <v>41285</v>
      </c>
      <c r="B1792">
        <f>IFERROR(VLOOKUP($A1792,原始数据_收盘!$A$4:$G$3460,2,0),"")</f>
        <v>3.3392</v>
      </c>
      <c r="C1792">
        <f>IFERROR(VLOOKUP($A1792,原始数据_收盘!$A$4:$G$3460,3,0),"")</f>
        <v>3.7856</v>
      </c>
      <c r="D1792">
        <f>IFERROR(VLOOKUP($A1792,原始数据_收盘!$A$4:$G$3460,4,0),"")</f>
        <v>3.3878</v>
      </c>
      <c r="E1792">
        <f>IFERROR(VLOOKUP($A1792,原始数据_收盘!$A$4:$G$3460,5,0),"")</f>
        <v>3.8379</v>
      </c>
      <c r="F1792">
        <f>IFERROR(VLOOKUP($A1792,原始数据_收盘!$A$4:$G$3460,6,0),"")</f>
        <v>3.3635</v>
      </c>
      <c r="G1792">
        <f>IFERROR(VLOOKUP($A1792,原始数据_收盘!$A$4:$G$3460,7,0),"")</f>
        <v>3.8117</v>
      </c>
      <c r="H1792">
        <f>IFERROR(VLOOKUP($A1792,原始数据_利率互换_FR007_1年!$A$6:$C$4395,2,0),"")</f>
        <v>3.3535</v>
      </c>
      <c r="I1792">
        <f>IFERROR(VLOOKUP($A1792,原始数据_利率互换_FR007_1年!$A$6:$C$4395,3,0),"")</f>
        <v>3.8322</v>
      </c>
    </row>
    <row r="1793" spans="1:9">
      <c r="A1793" s="6">
        <v>41286</v>
      </c>
      <c r="B1793" t="str">
        <f>IFERROR(VLOOKUP($A1793,原始数据_收盘!$A$4:$G$3460,2,0),"")</f>
        <v/>
      </c>
      <c r="C1793" t="str">
        <f>IFERROR(VLOOKUP($A1793,原始数据_收盘!$A$4:$G$3460,3,0),"")</f>
        <v/>
      </c>
      <c r="D1793" t="str">
        <f>IFERROR(VLOOKUP($A1793,原始数据_收盘!$A$4:$G$3460,4,0),"")</f>
        <v/>
      </c>
      <c r="E1793" t="str">
        <f>IFERROR(VLOOKUP($A1793,原始数据_收盘!$A$4:$G$3460,5,0),"")</f>
        <v/>
      </c>
      <c r="F1793" t="str">
        <f>IFERROR(VLOOKUP($A1793,原始数据_收盘!$A$4:$G$3460,6,0),"")</f>
        <v/>
      </c>
      <c r="G1793" t="str">
        <f>IFERROR(VLOOKUP($A1793,原始数据_收盘!$A$4:$G$3460,7,0),"")</f>
        <v/>
      </c>
      <c r="H1793" t="str">
        <f>IFERROR(VLOOKUP($A1793,原始数据_利率互换_FR007_1年!$A$6:$C$4395,2,0),"")</f>
        <v/>
      </c>
      <c r="I1793" t="str">
        <f>IFERROR(VLOOKUP($A1793,原始数据_利率互换_FR007_1年!$A$6:$C$4395,3,0),"")</f>
        <v/>
      </c>
    </row>
    <row r="1794" spans="1:9">
      <c r="A1794" s="6">
        <v>41287</v>
      </c>
      <c r="B1794" t="str">
        <f>IFERROR(VLOOKUP($A1794,原始数据_收盘!$A$4:$G$3460,2,0),"")</f>
        <v/>
      </c>
      <c r="C1794" t="str">
        <f>IFERROR(VLOOKUP($A1794,原始数据_收盘!$A$4:$G$3460,3,0),"")</f>
        <v/>
      </c>
      <c r="D1794" t="str">
        <f>IFERROR(VLOOKUP($A1794,原始数据_收盘!$A$4:$G$3460,4,0),"")</f>
        <v/>
      </c>
      <c r="E1794" t="str">
        <f>IFERROR(VLOOKUP($A1794,原始数据_收盘!$A$4:$G$3460,5,0),"")</f>
        <v/>
      </c>
      <c r="F1794" t="str">
        <f>IFERROR(VLOOKUP($A1794,原始数据_收盘!$A$4:$G$3460,6,0),"")</f>
        <v/>
      </c>
      <c r="G1794" t="str">
        <f>IFERROR(VLOOKUP($A1794,原始数据_收盘!$A$4:$G$3460,7,0),"")</f>
        <v/>
      </c>
      <c r="H1794" t="str">
        <f>IFERROR(VLOOKUP($A1794,原始数据_利率互换_FR007_1年!$A$6:$C$4395,2,0),"")</f>
        <v/>
      </c>
      <c r="I1794" t="str">
        <f>IFERROR(VLOOKUP($A1794,原始数据_利率互换_FR007_1年!$A$6:$C$4395,3,0),"")</f>
        <v/>
      </c>
    </row>
    <row r="1795" spans="1:9">
      <c r="A1795" s="6">
        <v>41288</v>
      </c>
      <c r="B1795">
        <f>IFERROR(VLOOKUP($A1795,原始数据_收盘!$A$4:$G$3460,2,0),"")</f>
        <v>3.3354</v>
      </c>
      <c r="C1795">
        <f>IFERROR(VLOOKUP($A1795,原始数据_收盘!$A$4:$G$3460,3,0),"")</f>
        <v>3.7894</v>
      </c>
      <c r="D1795">
        <f>IFERROR(VLOOKUP($A1795,原始数据_收盘!$A$4:$G$3460,4,0),"")</f>
        <v>3.3846</v>
      </c>
      <c r="E1795">
        <f>IFERROR(VLOOKUP($A1795,原始数据_收盘!$A$4:$G$3460,5,0),"")</f>
        <v>3.8476</v>
      </c>
      <c r="F1795">
        <f>IFERROR(VLOOKUP($A1795,原始数据_收盘!$A$4:$G$3460,6,0),"")</f>
        <v>3.36</v>
      </c>
      <c r="G1795">
        <f>IFERROR(VLOOKUP($A1795,原始数据_收盘!$A$4:$G$3460,7,0),"")</f>
        <v>3.8185</v>
      </c>
      <c r="H1795">
        <f>IFERROR(VLOOKUP($A1795,原始数据_利率互换_FR007_1年!$A$6:$C$4395,2,0),"")</f>
        <v>3.4757</v>
      </c>
      <c r="I1795">
        <f>IFERROR(VLOOKUP($A1795,原始数据_利率互换_FR007_1年!$A$6:$C$4395,3,0),"")</f>
        <v>3.8111</v>
      </c>
    </row>
    <row r="1796" spans="1:9">
      <c r="A1796" s="6">
        <v>41289</v>
      </c>
      <c r="B1796">
        <f>IFERROR(VLOOKUP($A1796,原始数据_收盘!$A$4:$G$3460,2,0),"")</f>
        <v>3.3238</v>
      </c>
      <c r="C1796">
        <f>IFERROR(VLOOKUP($A1796,原始数据_收盘!$A$4:$G$3460,3,0),"")</f>
        <v>3.7958</v>
      </c>
      <c r="D1796">
        <f>IFERROR(VLOOKUP($A1796,原始数据_收盘!$A$4:$G$3460,4,0),"")</f>
        <v>3.37</v>
      </c>
      <c r="E1796">
        <f>IFERROR(VLOOKUP($A1796,原始数据_收盘!$A$4:$G$3460,5,0),"")</f>
        <v>3.85</v>
      </c>
      <c r="F1796">
        <f>IFERROR(VLOOKUP($A1796,原始数据_收盘!$A$4:$G$3460,6,0),"")</f>
        <v>3.3469</v>
      </c>
      <c r="G1796">
        <f>IFERROR(VLOOKUP($A1796,原始数据_收盘!$A$4:$G$3460,7,0),"")</f>
        <v>3.8229</v>
      </c>
      <c r="H1796">
        <f>IFERROR(VLOOKUP($A1796,原始数据_利率互换_FR007_1年!$A$6:$C$4395,2,0),"")</f>
        <v>3.3413</v>
      </c>
      <c r="I1796">
        <f>IFERROR(VLOOKUP($A1796,原始数据_利率互换_FR007_1年!$A$6:$C$4395,3,0),"")</f>
        <v>3.8372</v>
      </c>
    </row>
    <row r="1797" spans="1:9">
      <c r="A1797" s="6">
        <v>41290</v>
      </c>
      <c r="B1797">
        <f>IFERROR(VLOOKUP($A1797,原始数据_收盘!$A$4:$G$3460,2,0),"")</f>
        <v>3.3079</v>
      </c>
      <c r="C1797">
        <f>IFERROR(VLOOKUP($A1797,原始数据_收盘!$A$4:$G$3460,3,0),"")</f>
        <v>3.7719</v>
      </c>
      <c r="D1797">
        <f>IFERROR(VLOOKUP($A1797,原始数据_收盘!$A$4:$G$3460,4,0),"")</f>
        <v>3.3574</v>
      </c>
      <c r="E1797">
        <f>IFERROR(VLOOKUP($A1797,原始数据_收盘!$A$4:$G$3460,5,0),"")</f>
        <v>3.8223</v>
      </c>
      <c r="F1797">
        <f>IFERROR(VLOOKUP($A1797,原始数据_收盘!$A$4:$G$3460,6,0),"")</f>
        <v>3.3327</v>
      </c>
      <c r="G1797">
        <f>IFERROR(VLOOKUP($A1797,原始数据_收盘!$A$4:$G$3460,7,0),"")</f>
        <v>3.7971</v>
      </c>
      <c r="H1797">
        <f>IFERROR(VLOOKUP($A1797,原始数据_利率互换_FR007_1年!$A$6:$C$4395,2,0),"")</f>
        <v>3.3355</v>
      </c>
      <c r="I1797">
        <f>IFERROR(VLOOKUP($A1797,原始数据_利率互换_FR007_1年!$A$6:$C$4395,3,0),"")</f>
        <v>3.8018</v>
      </c>
    </row>
    <row r="1798" spans="1:9">
      <c r="A1798" s="6">
        <v>41291</v>
      </c>
      <c r="B1798">
        <f>IFERROR(VLOOKUP($A1798,原始数据_收盘!$A$4:$G$3460,2,0),"")</f>
        <v>3.2718</v>
      </c>
      <c r="C1798">
        <f>IFERROR(VLOOKUP($A1798,原始数据_收盘!$A$4:$G$3460,3,0),"")</f>
        <v>3.7137</v>
      </c>
      <c r="D1798">
        <f>IFERROR(VLOOKUP($A1798,原始数据_收盘!$A$4:$G$3460,4,0),"")</f>
        <v>3.3213</v>
      </c>
      <c r="E1798">
        <f>IFERROR(VLOOKUP($A1798,原始数据_收盘!$A$4:$G$3460,5,0),"")</f>
        <v>3.7667</v>
      </c>
      <c r="F1798">
        <f>IFERROR(VLOOKUP($A1798,原始数据_收盘!$A$4:$G$3460,6,0),"")</f>
        <v>3.2965</v>
      </c>
      <c r="G1798">
        <f>IFERROR(VLOOKUP($A1798,原始数据_收盘!$A$4:$G$3460,7,0),"")</f>
        <v>3.7402</v>
      </c>
      <c r="H1798">
        <f>IFERROR(VLOOKUP($A1798,原始数据_利率互换_FR007_1年!$A$6:$C$4395,2,0),"")</f>
        <v>3.307</v>
      </c>
      <c r="I1798">
        <f>IFERROR(VLOOKUP($A1798,原始数据_利率互换_FR007_1年!$A$6:$C$4395,3,0),"")</f>
        <v>3.7545</v>
      </c>
    </row>
    <row r="1799" spans="1:9">
      <c r="A1799" s="6">
        <v>41292</v>
      </c>
      <c r="B1799">
        <f>IFERROR(VLOOKUP($A1799,原始数据_收盘!$A$4:$G$3460,2,0),"")</f>
        <v>3.1468</v>
      </c>
      <c r="C1799">
        <f>IFERROR(VLOOKUP($A1799,原始数据_收盘!$A$4:$G$3460,3,0),"")</f>
        <v>3.638</v>
      </c>
      <c r="D1799">
        <f>IFERROR(VLOOKUP($A1799,原始数据_收盘!$A$4:$G$3460,4,0),"")</f>
        <v>3.1972</v>
      </c>
      <c r="E1799">
        <f>IFERROR(VLOOKUP($A1799,原始数据_收盘!$A$4:$G$3460,5,0),"")</f>
        <v>3.6913</v>
      </c>
      <c r="F1799">
        <f>IFERROR(VLOOKUP($A1799,原始数据_收盘!$A$4:$G$3460,6,0),"")</f>
        <v>3.172</v>
      </c>
      <c r="G1799">
        <f>IFERROR(VLOOKUP($A1799,原始数据_收盘!$A$4:$G$3460,7,0),"")</f>
        <v>3.6647</v>
      </c>
      <c r="H1799">
        <f>IFERROR(VLOOKUP($A1799,原始数据_利率互换_FR007_1年!$A$6:$C$4395,2,0),"")</f>
        <v>3.2182</v>
      </c>
      <c r="I1799">
        <f>IFERROR(VLOOKUP($A1799,原始数据_利率互换_FR007_1年!$A$6:$C$4395,3,0),"")</f>
        <v>3.6844</v>
      </c>
    </row>
    <row r="1800" spans="1:9">
      <c r="A1800" s="6">
        <v>41293</v>
      </c>
      <c r="B1800" t="str">
        <f>IFERROR(VLOOKUP($A1800,原始数据_收盘!$A$4:$G$3460,2,0),"")</f>
        <v/>
      </c>
      <c r="C1800" t="str">
        <f>IFERROR(VLOOKUP($A1800,原始数据_收盘!$A$4:$G$3460,3,0),"")</f>
        <v/>
      </c>
      <c r="D1800" t="str">
        <f>IFERROR(VLOOKUP($A1800,原始数据_收盘!$A$4:$G$3460,4,0),"")</f>
        <v/>
      </c>
      <c r="E1800" t="str">
        <f>IFERROR(VLOOKUP($A1800,原始数据_收盘!$A$4:$G$3460,5,0),"")</f>
        <v/>
      </c>
      <c r="F1800" t="str">
        <f>IFERROR(VLOOKUP($A1800,原始数据_收盘!$A$4:$G$3460,6,0),"")</f>
        <v/>
      </c>
      <c r="G1800" t="str">
        <f>IFERROR(VLOOKUP($A1800,原始数据_收盘!$A$4:$G$3460,7,0),"")</f>
        <v/>
      </c>
      <c r="H1800" t="str">
        <f>IFERROR(VLOOKUP($A1800,原始数据_利率互换_FR007_1年!$A$6:$C$4395,2,0),"")</f>
        <v/>
      </c>
      <c r="I1800" t="str">
        <f>IFERROR(VLOOKUP($A1800,原始数据_利率互换_FR007_1年!$A$6:$C$4395,3,0),"")</f>
        <v/>
      </c>
    </row>
    <row r="1801" spans="1:9">
      <c r="A1801" s="6">
        <v>41294</v>
      </c>
      <c r="B1801" t="str">
        <f>IFERROR(VLOOKUP($A1801,原始数据_收盘!$A$4:$G$3460,2,0),"")</f>
        <v/>
      </c>
      <c r="C1801" t="str">
        <f>IFERROR(VLOOKUP($A1801,原始数据_收盘!$A$4:$G$3460,3,0),"")</f>
        <v/>
      </c>
      <c r="D1801" t="str">
        <f>IFERROR(VLOOKUP($A1801,原始数据_收盘!$A$4:$G$3460,4,0),"")</f>
        <v/>
      </c>
      <c r="E1801" t="str">
        <f>IFERROR(VLOOKUP($A1801,原始数据_收盘!$A$4:$G$3460,5,0),"")</f>
        <v/>
      </c>
      <c r="F1801" t="str">
        <f>IFERROR(VLOOKUP($A1801,原始数据_收盘!$A$4:$G$3460,6,0),"")</f>
        <v/>
      </c>
      <c r="G1801" t="str">
        <f>IFERROR(VLOOKUP($A1801,原始数据_收盘!$A$4:$G$3460,7,0),"")</f>
        <v/>
      </c>
      <c r="H1801" t="str">
        <f>IFERROR(VLOOKUP($A1801,原始数据_利率互换_FR007_1年!$A$6:$C$4395,2,0),"")</f>
        <v/>
      </c>
      <c r="I1801" t="str">
        <f>IFERROR(VLOOKUP($A1801,原始数据_利率互换_FR007_1年!$A$6:$C$4395,3,0),"")</f>
        <v/>
      </c>
    </row>
    <row r="1802" spans="1:9">
      <c r="A1802" s="6">
        <v>41295</v>
      </c>
      <c r="B1802">
        <f>IFERROR(VLOOKUP($A1802,原始数据_收盘!$A$4:$G$3460,2,0),"")</f>
        <v>3.1179</v>
      </c>
      <c r="C1802">
        <f>IFERROR(VLOOKUP($A1802,原始数据_收盘!$A$4:$G$3460,3,0),"")</f>
        <v>3.5746</v>
      </c>
      <c r="D1802">
        <f>IFERROR(VLOOKUP($A1802,原始数据_收盘!$A$4:$G$3460,4,0),"")</f>
        <v>3.1705</v>
      </c>
      <c r="E1802">
        <f>IFERROR(VLOOKUP($A1802,原始数据_收盘!$A$4:$G$3460,5,0),"")</f>
        <v>3.6306</v>
      </c>
      <c r="F1802">
        <f>IFERROR(VLOOKUP($A1802,原始数据_收盘!$A$4:$G$3460,6,0),"")</f>
        <v>3.1442</v>
      </c>
      <c r="G1802">
        <f>IFERROR(VLOOKUP($A1802,原始数据_收盘!$A$4:$G$3460,7,0),"")</f>
        <v>3.6026</v>
      </c>
      <c r="H1802">
        <f>IFERROR(VLOOKUP($A1802,原始数据_利率互换_FR007_1年!$A$6:$C$4395,2,0),"")</f>
        <v>3.1485</v>
      </c>
      <c r="I1802">
        <f>IFERROR(VLOOKUP($A1802,原始数据_利率互换_FR007_1年!$A$6:$C$4395,3,0),"")</f>
        <v>3.6052</v>
      </c>
    </row>
    <row r="1803" spans="1:9">
      <c r="A1803" s="6">
        <v>41296</v>
      </c>
      <c r="B1803">
        <f>IFERROR(VLOOKUP($A1803,原始数据_收盘!$A$4:$G$3460,2,0),"")</f>
        <v>3.1571</v>
      </c>
      <c r="C1803">
        <f>IFERROR(VLOOKUP($A1803,原始数据_收盘!$A$4:$G$3460,3,0),"")</f>
        <v>3.6093</v>
      </c>
      <c r="D1803">
        <f>IFERROR(VLOOKUP($A1803,原始数据_收盘!$A$4:$G$3460,4,0),"")</f>
        <v>3.211</v>
      </c>
      <c r="E1803">
        <f>IFERROR(VLOOKUP($A1803,原始数据_收盘!$A$4:$G$3460,5,0),"")</f>
        <v>3.662</v>
      </c>
      <c r="F1803">
        <f>IFERROR(VLOOKUP($A1803,原始数据_收盘!$A$4:$G$3460,6,0),"")</f>
        <v>3.184</v>
      </c>
      <c r="G1803">
        <f>IFERROR(VLOOKUP($A1803,原始数据_收盘!$A$4:$G$3460,7,0),"")</f>
        <v>3.6357</v>
      </c>
      <c r="H1803">
        <f>IFERROR(VLOOKUP($A1803,原始数据_利率互换_FR007_1年!$A$6:$C$4395,2,0),"")</f>
        <v>3.1755</v>
      </c>
      <c r="I1803">
        <f>IFERROR(VLOOKUP($A1803,原始数据_利率互换_FR007_1年!$A$6:$C$4395,3,0),"")</f>
        <v>3.63</v>
      </c>
    </row>
    <row r="1804" spans="1:9">
      <c r="A1804" s="6">
        <v>41297</v>
      </c>
      <c r="B1804">
        <f>IFERROR(VLOOKUP($A1804,原始数据_收盘!$A$4:$G$3460,2,0),"")</f>
        <v>3.1831</v>
      </c>
      <c r="C1804">
        <f>IFERROR(VLOOKUP($A1804,原始数据_收盘!$A$4:$G$3460,3,0),"")</f>
        <v>3.6346</v>
      </c>
      <c r="D1804">
        <f>IFERROR(VLOOKUP($A1804,原始数据_收盘!$A$4:$G$3460,4,0),"")</f>
        <v>3.2351</v>
      </c>
      <c r="E1804">
        <f>IFERROR(VLOOKUP($A1804,原始数据_收盘!$A$4:$G$3460,5,0),"")</f>
        <v>3.6887</v>
      </c>
      <c r="F1804">
        <f>IFERROR(VLOOKUP($A1804,原始数据_收盘!$A$4:$G$3460,6,0),"")</f>
        <v>3.2091</v>
      </c>
      <c r="G1804">
        <f>IFERROR(VLOOKUP($A1804,原始数据_收盘!$A$4:$G$3460,7,0),"")</f>
        <v>3.6616</v>
      </c>
      <c r="H1804">
        <f>IFERROR(VLOOKUP($A1804,原始数据_利率互换_FR007_1年!$A$6:$C$4395,2,0),"")</f>
        <v>3.2099</v>
      </c>
      <c r="I1804">
        <f>IFERROR(VLOOKUP($A1804,原始数据_利率互换_FR007_1年!$A$6:$C$4395,3,0),"")</f>
        <v>3.6556</v>
      </c>
    </row>
    <row r="1805" spans="1:9">
      <c r="A1805" s="6">
        <v>41298</v>
      </c>
      <c r="B1805">
        <f>IFERROR(VLOOKUP($A1805,原始数据_收盘!$A$4:$G$3460,2,0),"")</f>
        <v>3.1677</v>
      </c>
      <c r="C1805">
        <f>IFERROR(VLOOKUP($A1805,原始数据_收盘!$A$4:$G$3460,3,0),"")</f>
        <v>3.6181</v>
      </c>
      <c r="D1805">
        <f>IFERROR(VLOOKUP($A1805,原始数据_收盘!$A$4:$G$3460,4,0),"")</f>
        <v>3.2169</v>
      </c>
      <c r="E1805">
        <f>IFERROR(VLOOKUP($A1805,原始数据_收盘!$A$4:$G$3460,5,0),"")</f>
        <v>3.6731</v>
      </c>
      <c r="F1805">
        <f>IFERROR(VLOOKUP($A1805,原始数据_收盘!$A$4:$G$3460,6,0),"")</f>
        <v>3.1923</v>
      </c>
      <c r="G1805">
        <f>IFERROR(VLOOKUP($A1805,原始数据_收盘!$A$4:$G$3460,7,0),"")</f>
        <v>3.6456</v>
      </c>
      <c r="H1805">
        <f>IFERROR(VLOOKUP($A1805,原始数据_利率互换_FR007_1年!$A$6:$C$4395,2,0),"")</f>
        <v>3.1968</v>
      </c>
      <c r="I1805">
        <f>IFERROR(VLOOKUP($A1805,原始数据_利率互换_FR007_1年!$A$6:$C$4395,3,0),"")</f>
        <v>3.6425</v>
      </c>
    </row>
    <row r="1806" spans="1:9">
      <c r="A1806" s="6">
        <v>41299</v>
      </c>
      <c r="B1806">
        <f>IFERROR(VLOOKUP($A1806,原始数据_收盘!$A$4:$G$3460,2,0),"")</f>
        <v>3.1304</v>
      </c>
      <c r="C1806">
        <f>IFERROR(VLOOKUP($A1806,原始数据_收盘!$A$4:$G$3460,3,0),"")</f>
        <v>3.6198</v>
      </c>
      <c r="D1806">
        <f>IFERROR(VLOOKUP($A1806,原始数据_收盘!$A$4:$G$3460,4,0),"")</f>
        <v>3.18</v>
      </c>
      <c r="E1806">
        <f>IFERROR(VLOOKUP($A1806,原始数据_收盘!$A$4:$G$3460,5,0),"")</f>
        <v>3.6717</v>
      </c>
      <c r="F1806">
        <f>IFERROR(VLOOKUP($A1806,原始数据_收盘!$A$4:$G$3460,6,0),"")</f>
        <v>3.1552</v>
      </c>
      <c r="G1806">
        <f>IFERROR(VLOOKUP($A1806,原始数据_收盘!$A$4:$G$3460,7,0),"")</f>
        <v>3.6457</v>
      </c>
      <c r="H1806">
        <f>IFERROR(VLOOKUP($A1806,原始数据_利率互换_FR007_1年!$A$6:$C$4395,2,0),"")</f>
        <v>3.1551</v>
      </c>
      <c r="I1806">
        <f>IFERROR(VLOOKUP($A1806,原始数据_利率互换_FR007_1年!$A$6:$C$4395,3,0),"")</f>
        <v>3.6334</v>
      </c>
    </row>
    <row r="1807" spans="1:9">
      <c r="A1807" s="6">
        <v>41300</v>
      </c>
      <c r="B1807" t="str">
        <f>IFERROR(VLOOKUP($A1807,原始数据_收盘!$A$4:$G$3460,2,0),"")</f>
        <v/>
      </c>
      <c r="C1807" t="str">
        <f>IFERROR(VLOOKUP($A1807,原始数据_收盘!$A$4:$G$3460,3,0),"")</f>
        <v/>
      </c>
      <c r="D1807" t="str">
        <f>IFERROR(VLOOKUP($A1807,原始数据_收盘!$A$4:$G$3460,4,0),"")</f>
        <v/>
      </c>
      <c r="E1807" t="str">
        <f>IFERROR(VLOOKUP($A1807,原始数据_收盘!$A$4:$G$3460,5,0),"")</f>
        <v/>
      </c>
      <c r="F1807" t="str">
        <f>IFERROR(VLOOKUP($A1807,原始数据_收盘!$A$4:$G$3460,6,0),"")</f>
        <v/>
      </c>
      <c r="G1807" t="str">
        <f>IFERROR(VLOOKUP($A1807,原始数据_收盘!$A$4:$G$3460,7,0),"")</f>
        <v/>
      </c>
      <c r="H1807" t="str">
        <f>IFERROR(VLOOKUP($A1807,原始数据_利率互换_FR007_1年!$A$6:$C$4395,2,0),"")</f>
        <v/>
      </c>
      <c r="I1807" t="str">
        <f>IFERROR(VLOOKUP($A1807,原始数据_利率互换_FR007_1年!$A$6:$C$4395,3,0),"")</f>
        <v/>
      </c>
    </row>
    <row r="1808" spans="1:9">
      <c r="A1808" s="6">
        <v>41301</v>
      </c>
      <c r="B1808" t="str">
        <f>IFERROR(VLOOKUP($A1808,原始数据_收盘!$A$4:$G$3460,2,0),"")</f>
        <v/>
      </c>
      <c r="C1808" t="str">
        <f>IFERROR(VLOOKUP($A1808,原始数据_收盘!$A$4:$G$3460,3,0),"")</f>
        <v/>
      </c>
      <c r="D1808" t="str">
        <f>IFERROR(VLOOKUP($A1808,原始数据_收盘!$A$4:$G$3460,4,0),"")</f>
        <v/>
      </c>
      <c r="E1808" t="str">
        <f>IFERROR(VLOOKUP($A1808,原始数据_收盘!$A$4:$G$3460,5,0),"")</f>
        <v/>
      </c>
      <c r="F1808" t="str">
        <f>IFERROR(VLOOKUP($A1808,原始数据_收盘!$A$4:$G$3460,6,0),"")</f>
        <v/>
      </c>
      <c r="G1808" t="str">
        <f>IFERROR(VLOOKUP($A1808,原始数据_收盘!$A$4:$G$3460,7,0),"")</f>
        <v/>
      </c>
      <c r="H1808" t="str">
        <f>IFERROR(VLOOKUP($A1808,原始数据_利率互换_FR007_1年!$A$6:$C$4395,2,0),"")</f>
        <v/>
      </c>
      <c r="I1808" t="str">
        <f>IFERROR(VLOOKUP($A1808,原始数据_利率互换_FR007_1年!$A$6:$C$4395,3,0),"")</f>
        <v/>
      </c>
    </row>
    <row r="1809" spans="1:9">
      <c r="A1809" s="6">
        <v>41302</v>
      </c>
      <c r="B1809">
        <f>IFERROR(VLOOKUP($A1809,原始数据_收盘!$A$4:$G$3460,2,0),"")</f>
        <v>3.1588</v>
      </c>
      <c r="C1809">
        <f>IFERROR(VLOOKUP($A1809,原始数据_收盘!$A$4:$G$3460,3,0),"")</f>
        <v>3.6915</v>
      </c>
      <c r="D1809">
        <f>IFERROR(VLOOKUP($A1809,原始数据_收盘!$A$4:$G$3460,4,0),"")</f>
        <v>3.2058</v>
      </c>
      <c r="E1809">
        <f>IFERROR(VLOOKUP($A1809,原始数据_收盘!$A$4:$G$3460,5,0),"")</f>
        <v>3.7417</v>
      </c>
      <c r="F1809">
        <f>IFERROR(VLOOKUP($A1809,原始数据_收盘!$A$4:$G$3460,6,0),"")</f>
        <v>3.1823</v>
      </c>
      <c r="G1809">
        <f>IFERROR(VLOOKUP($A1809,原始数据_收盘!$A$4:$G$3460,7,0),"")</f>
        <v>3.7166</v>
      </c>
      <c r="H1809">
        <f>IFERROR(VLOOKUP($A1809,原始数据_利率互换_FR007_1年!$A$6:$C$4395,2,0),"")</f>
        <v>3.16</v>
      </c>
      <c r="I1809">
        <f>IFERROR(VLOOKUP($A1809,原始数据_利率互换_FR007_1年!$A$6:$C$4395,3,0),"")</f>
        <v>3.6894</v>
      </c>
    </row>
    <row r="1810" spans="1:9">
      <c r="A1810" s="6">
        <v>41303</v>
      </c>
      <c r="B1810">
        <f>IFERROR(VLOOKUP($A1810,原始数据_收盘!$A$4:$G$3460,2,0),"")</f>
        <v>3.157</v>
      </c>
      <c r="C1810">
        <f>IFERROR(VLOOKUP($A1810,原始数据_收盘!$A$4:$G$3460,3,0),"")</f>
        <v>3.6926</v>
      </c>
      <c r="D1810">
        <f>IFERROR(VLOOKUP($A1810,原始数据_收盘!$A$4:$G$3460,4,0),"")</f>
        <v>3.2044</v>
      </c>
      <c r="E1810">
        <f>IFERROR(VLOOKUP($A1810,原始数据_收盘!$A$4:$G$3460,5,0),"")</f>
        <v>3.7439</v>
      </c>
      <c r="F1810">
        <f>IFERROR(VLOOKUP($A1810,原始数据_收盘!$A$4:$G$3460,6,0),"")</f>
        <v>3.1807</v>
      </c>
      <c r="G1810">
        <f>IFERROR(VLOOKUP($A1810,原始数据_收盘!$A$4:$G$3460,7,0),"")</f>
        <v>3.7183</v>
      </c>
      <c r="H1810">
        <f>IFERROR(VLOOKUP($A1810,原始数据_利率互换_FR007_1年!$A$6:$C$4395,2,0),"")</f>
        <v>3.1819</v>
      </c>
      <c r="I1810">
        <f>IFERROR(VLOOKUP($A1810,原始数据_利率互换_FR007_1年!$A$6:$C$4395,3,0),"")</f>
        <v>3.7175</v>
      </c>
    </row>
    <row r="1811" spans="1:9">
      <c r="A1811" s="6">
        <v>41304</v>
      </c>
      <c r="B1811">
        <f>IFERROR(VLOOKUP($A1811,原始数据_收盘!$A$4:$G$3460,2,0),"")</f>
        <v>3.1704</v>
      </c>
      <c r="C1811">
        <f>IFERROR(VLOOKUP($A1811,原始数据_收盘!$A$4:$G$3460,3,0),"")</f>
        <v>3.7521</v>
      </c>
      <c r="D1811">
        <f>IFERROR(VLOOKUP($A1811,原始数据_收盘!$A$4:$G$3460,4,0),"")</f>
        <v>3.2212</v>
      </c>
      <c r="E1811">
        <f>IFERROR(VLOOKUP($A1811,原始数据_收盘!$A$4:$G$3460,5,0),"")</f>
        <v>3.8072</v>
      </c>
      <c r="F1811">
        <f>IFERROR(VLOOKUP($A1811,原始数据_收盘!$A$4:$G$3460,6,0),"")</f>
        <v>3.1958</v>
      </c>
      <c r="G1811">
        <f>IFERROR(VLOOKUP($A1811,原始数据_收盘!$A$4:$G$3460,7,0),"")</f>
        <v>3.7796</v>
      </c>
      <c r="H1811">
        <f>IFERROR(VLOOKUP($A1811,原始数据_利率互换_FR007_1年!$A$6:$C$4395,2,0),"")</f>
        <v>3.195</v>
      </c>
      <c r="I1811">
        <f>IFERROR(VLOOKUP($A1811,原始数据_利率互换_FR007_1年!$A$6:$C$4395,3,0),"")</f>
        <v>3.7678</v>
      </c>
    </row>
    <row r="1812" spans="1:9">
      <c r="A1812" s="6">
        <v>41305</v>
      </c>
      <c r="B1812">
        <f>IFERROR(VLOOKUP($A1812,原始数据_收盘!$A$4:$G$3460,2,0),"")</f>
        <v>3.1479</v>
      </c>
      <c r="C1812">
        <f>IFERROR(VLOOKUP($A1812,原始数据_收盘!$A$4:$G$3460,3,0),"")</f>
        <v>3.7291</v>
      </c>
      <c r="D1812">
        <f>IFERROR(VLOOKUP($A1812,原始数据_收盘!$A$4:$G$3460,4,0),"")</f>
        <v>3.1979</v>
      </c>
      <c r="E1812">
        <f>IFERROR(VLOOKUP($A1812,原始数据_收盘!$A$4:$G$3460,5,0),"")</f>
        <v>3.7812</v>
      </c>
      <c r="F1812">
        <f>IFERROR(VLOOKUP($A1812,原始数据_收盘!$A$4:$G$3460,6,0),"")</f>
        <v>3.1729</v>
      </c>
      <c r="G1812">
        <f>IFERROR(VLOOKUP($A1812,原始数据_收盘!$A$4:$G$3460,7,0),"")</f>
        <v>3.7551</v>
      </c>
      <c r="H1812">
        <f>IFERROR(VLOOKUP($A1812,原始数据_利率互换_FR007_1年!$A$6:$C$4395,2,0),"")</f>
        <v>3.1697</v>
      </c>
      <c r="I1812">
        <f>IFERROR(VLOOKUP($A1812,原始数据_利率互换_FR007_1年!$A$6:$C$4395,3,0),"")</f>
        <v>3.7689</v>
      </c>
    </row>
    <row r="1813" spans="1:9">
      <c r="A1813" s="6">
        <v>41306</v>
      </c>
      <c r="B1813">
        <f>IFERROR(VLOOKUP($A1813,原始数据_收盘!$A$4:$G$3460,2,0),"")</f>
        <v>3.1608</v>
      </c>
      <c r="C1813">
        <f>IFERROR(VLOOKUP($A1813,原始数据_收盘!$A$4:$G$3460,3,0),"")</f>
        <v>3.7536</v>
      </c>
      <c r="D1813">
        <f>IFERROR(VLOOKUP($A1813,原始数据_收盘!$A$4:$G$3460,4,0),"")</f>
        <v>3.2085</v>
      </c>
      <c r="E1813">
        <f>IFERROR(VLOOKUP($A1813,原始数据_收盘!$A$4:$G$3460,5,0),"")</f>
        <v>3.8068</v>
      </c>
      <c r="F1813">
        <f>IFERROR(VLOOKUP($A1813,原始数据_收盘!$A$4:$G$3460,6,0),"")</f>
        <v>3.1846</v>
      </c>
      <c r="G1813">
        <f>IFERROR(VLOOKUP($A1813,原始数据_收盘!$A$4:$G$3460,7,0),"")</f>
        <v>3.7802</v>
      </c>
      <c r="H1813">
        <f>IFERROR(VLOOKUP($A1813,原始数据_利率互换_FR007_1年!$A$6:$C$4395,2,0),"")</f>
        <v>3.1798</v>
      </c>
      <c r="I1813">
        <f>IFERROR(VLOOKUP($A1813,原始数据_利率互换_FR007_1年!$A$6:$C$4395,3,0),"")</f>
        <v>3.7657</v>
      </c>
    </row>
    <row r="1814" spans="1:9">
      <c r="A1814" s="6">
        <v>41307</v>
      </c>
      <c r="B1814" t="str">
        <f>IFERROR(VLOOKUP($A1814,原始数据_收盘!$A$4:$G$3460,2,0),"")</f>
        <v/>
      </c>
      <c r="C1814" t="str">
        <f>IFERROR(VLOOKUP($A1814,原始数据_收盘!$A$4:$G$3460,3,0),"")</f>
        <v/>
      </c>
      <c r="D1814" t="str">
        <f>IFERROR(VLOOKUP($A1814,原始数据_收盘!$A$4:$G$3460,4,0),"")</f>
        <v/>
      </c>
      <c r="E1814" t="str">
        <f>IFERROR(VLOOKUP($A1814,原始数据_收盘!$A$4:$G$3460,5,0),"")</f>
        <v/>
      </c>
      <c r="F1814" t="str">
        <f>IFERROR(VLOOKUP($A1814,原始数据_收盘!$A$4:$G$3460,6,0),"")</f>
        <v/>
      </c>
      <c r="G1814" t="str">
        <f>IFERROR(VLOOKUP($A1814,原始数据_收盘!$A$4:$G$3460,7,0),"")</f>
        <v/>
      </c>
      <c r="H1814" t="str">
        <f>IFERROR(VLOOKUP($A1814,原始数据_利率互换_FR007_1年!$A$6:$C$4395,2,0),"")</f>
        <v/>
      </c>
      <c r="I1814" t="str">
        <f>IFERROR(VLOOKUP($A1814,原始数据_利率互换_FR007_1年!$A$6:$C$4395,3,0),"")</f>
        <v/>
      </c>
    </row>
    <row r="1815" spans="1:9">
      <c r="A1815" s="6">
        <v>41308</v>
      </c>
      <c r="B1815" t="str">
        <f>IFERROR(VLOOKUP($A1815,原始数据_收盘!$A$4:$G$3460,2,0),"")</f>
        <v/>
      </c>
      <c r="C1815" t="str">
        <f>IFERROR(VLOOKUP($A1815,原始数据_收盘!$A$4:$G$3460,3,0),"")</f>
        <v/>
      </c>
      <c r="D1815" t="str">
        <f>IFERROR(VLOOKUP($A1815,原始数据_收盘!$A$4:$G$3460,4,0),"")</f>
        <v/>
      </c>
      <c r="E1815" t="str">
        <f>IFERROR(VLOOKUP($A1815,原始数据_收盘!$A$4:$G$3460,5,0),"")</f>
        <v/>
      </c>
      <c r="F1815" t="str">
        <f>IFERROR(VLOOKUP($A1815,原始数据_收盘!$A$4:$G$3460,6,0),"")</f>
        <v/>
      </c>
      <c r="G1815" t="str">
        <f>IFERROR(VLOOKUP($A1815,原始数据_收盘!$A$4:$G$3460,7,0),"")</f>
        <v/>
      </c>
      <c r="H1815" t="str">
        <f>IFERROR(VLOOKUP($A1815,原始数据_利率互换_FR007_1年!$A$6:$C$4395,2,0),"")</f>
        <v/>
      </c>
      <c r="I1815" t="str">
        <f>IFERROR(VLOOKUP($A1815,原始数据_利率互换_FR007_1年!$A$6:$C$4395,3,0),"")</f>
        <v/>
      </c>
    </row>
    <row r="1816" spans="1:9">
      <c r="A1816" s="6">
        <v>41309</v>
      </c>
      <c r="B1816">
        <f>IFERROR(VLOOKUP($A1816,原始数据_收盘!$A$4:$G$3460,2,0),"")</f>
        <v>3.1433</v>
      </c>
      <c r="C1816">
        <f>IFERROR(VLOOKUP($A1816,原始数据_收盘!$A$4:$G$3460,3,0),"")</f>
        <v>3.7596</v>
      </c>
      <c r="D1816">
        <f>IFERROR(VLOOKUP($A1816,原始数据_收盘!$A$4:$G$3460,4,0),"")</f>
        <v>3.1925</v>
      </c>
      <c r="E1816">
        <f>IFERROR(VLOOKUP($A1816,原始数据_收盘!$A$4:$G$3460,5,0),"")</f>
        <v>3.8126</v>
      </c>
      <c r="F1816">
        <f>IFERROR(VLOOKUP($A1816,原始数据_收盘!$A$4:$G$3460,6,0),"")</f>
        <v>3.1679</v>
      </c>
      <c r="G1816">
        <f>IFERROR(VLOOKUP($A1816,原始数据_收盘!$A$4:$G$3460,7,0),"")</f>
        <v>3.7861</v>
      </c>
      <c r="H1816">
        <f>IFERROR(VLOOKUP($A1816,原始数据_利率互换_FR007_1年!$A$6:$C$4395,2,0),"")</f>
        <v>3.1798</v>
      </c>
      <c r="I1816">
        <f>IFERROR(VLOOKUP($A1816,原始数据_利率互换_FR007_1年!$A$6:$C$4395,3,0),"")</f>
        <v>3.812</v>
      </c>
    </row>
    <row r="1817" spans="1:9">
      <c r="A1817" s="6">
        <v>41310</v>
      </c>
      <c r="B1817">
        <f>IFERROR(VLOOKUP($A1817,原始数据_收盘!$A$4:$G$3460,2,0),"")</f>
        <v>3.14</v>
      </c>
      <c r="C1817">
        <f>IFERROR(VLOOKUP($A1817,原始数据_收盘!$A$4:$G$3460,3,0),"")</f>
        <v>3.7539</v>
      </c>
      <c r="D1817">
        <f>IFERROR(VLOOKUP($A1817,原始数据_收盘!$A$4:$G$3460,4,0),"")</f>
        <v>3.1879</v>
      </c>
      <c r="E1817">
        <f>IFERROR(VLOOKUP($A1817,原始数据_收盘!$A$4:$G$3460,5,0),"")</f>
        <v>3.806</v>
      </c>
      <c r="F1817">
        <f>IFERROR(VLOOKUP($A1817,原始数据_收盘!$A$4:$G$3460,6,0),"")</f>
        <v>3.1639</v>
      </c>
      <c r="G1817">
        <f>IFERROR(VLOOKUP($A1817,原始数据_收盘!$A$4:$G$3460,7,0),"")</f>
        <v>3.7799</v>
      </c>
      <c r="H1817">
        <f>IFERROR(VLOOKUP($A1817,原始数据_利率互换_FR007_1年!$A$6:$C$4395,2,0),"")</f>
        <v>3.1552</v>
      </c>
      <c r="I1817">
        <f>IFERROR(VLOOKUP($A1817,原始数据_利率互换_FR007_1年!$A$6:$C$4395,3,0),"")</f>
        <v>3.775</v>
      </c>
    </row>
    <row r="1818" spans="1:9">
      <c r="A1818" s="6">
        <v>41311</v>
      </c>
      <c r="B1818">
        <f>IFERROR(VLOOKUP($A1818,原始数据_收盘!$A$4:$G$3460,2,0),"")</f>
        <v>3.141</v>
      </c>
      <c r="C1818">
        <f>IFERROR(VLOOKUP($A1818,原始数据_收盘!$A$4:$G$3460,3,0),"")</f>
        <v>3.7542</v>
      </c>
      <c r="D1818">
        <f>IFERROR(VLOOKUP($A1818,原始数据_收盘!$A$4:$G$3460,4,0),"")</f>
        <v>3.1862</v>
      </c>
      <c r="E1818">
        <f>IFERROR(VLOOKUP($A1818,原始数据_收盘!$A$4:$G$3460,5,0),"")</f>
        <v>3.8032</v>
      </c>
      <c r="F1818">
        <f>IFERROR(VLOOKUP($A1818,原始数据_收盘!$A$4:$G$3460,6,0),"")</f>
        <v>3.1636</v>
      </c>
      <c r="G1818">
        <f>IFERROR(VLOOKUP($A1818,原始数据_收盘!$A$4:$G$3460,7,0),"")</f>
        <v>3.7787</v>
      </c>
      <c r="H1818">
        <f>IFERROR(VLOOKUP($A1818,原始数据_利率互换_FR007_1年!$A$6:$C$4395,2,0),"")</f>
        <v>3.1647</v>
      </c>
      <c r="I1818">
        <f>IFERROR(VLOOKUP($A1818,原始数据_利率互换_FR007_1年!$A$6:$C$4395,3,0),"")</f>
        <v>3.7772</v>
      </c>
    </row>
    <row r="1819" spans="1:9">
      <c r="A1819" s="6">
        <v>41312</v>
      </c>
      <c r="B1819">
        <f>IFERROR(VLOOKUP($A1819,原始数据_收盘!$A$4:$G$3460,2,0),"")</f>
        <v>3.1414</v>
      </c>
      <c r="C1819">
        <f>IFERROR(VLOOKUP($A1819,原始数据_收盘!$A$4:$G$3460,3,0),"")</f>
        <v>3.737</v>
      </c>
      <c r="D1819">
        <f>IFERROR(VLOOKUP($A1819,原始数据_收盘!$A$4:$G$3460,4,0),"")</f>
        <v>3.1907</v>
      </c>
      <c r="E1819">
        <f>IFERROR(VLOOKUP($A1819,原始数据_收盘!$A$4:$G$3460,5,0),"")</f>
        <v>3.7911</v>
      </c>
      <c r="F1819">
        <f>IFERROR(VLOOKUP($A1819,原始数据_收盘!$A$4:$G$3460,6,0),"")</f>
        <v>3.1661</v>
      </c>
      <c r="G1819">
        <f>IFERROR(VLOOKUP($A1819,原始数据_收盘!$A$4:$G$3460,7,0),"")</f>
        <v>3.764</v>
      </c>
      <c r="H1819">
        <f>IFERROR(VLOOKUP($A1819,原始数据_利率互换_FR007_1年!$A$6:$C$4395,2,0),"")</f>
        <v>3.1635</v>
      </c>
      <c r="I1819">
        <f>IFERROR(VLOOKUP($A1819,原始数据_利率互换_FR007_1年!$A$6:$C$4395,3,0),"")</f>
        <v>3.7463</v>
      </c>
    </row>
    <row r="1820" spans="1:9">
      <c r="A1820" s="6">
        <v>41313</v>
      </c>
      <c r="B1820">
        <f>IFERROR(VLOOKUP($A1820,原始数据_收盘!$A$4:$G$3460,2,0),"")</f>
        <v>3.1056</v>
      </c>
      <c r="C1820">
        <f>IFERROR(VLOOKUP($A1820,原始数据_收盘!$A$4:$G$3460,3,0),"")</f>
        <v>3.6944</v>
      </c>
      <c r="D1820">
        <f>IFERROR(VLOOKUP($A1820,原始数据_收盘!$A$4:$G$3460,4,0),"")</f>
        <v>3.15</v>
      </c>
      <c r="E1820">
        <f>IFERROR(VLOOKUP($A1820,原始数据_收盘!$A$4:$G$3460,5,0),"")</f>
        <v>3.7404</v>
      </c>
      <c r="F1820">
        <f>IFERROR(VLOOKUP($A1820,原始数据_收盘!$A$4:$G$3460,6,0),"")</f>
        <v>3.1278</v>
      </c>
      <c r="G1820">
        <f>IFERROR(VLOOKUP($A1820,原始数据_收盘!$A$4:$G$3460,7,0),"")</f>
        <v>3.7174</v>
      </c>
      <c r="H1820">
        <f>IFERROR(VLOOKUP($A1820,原始数据_利率互换_FR007_1年!$A$6:$C$4395,2,0),"")</f>
        <v>3.1324</v>
      </c>
      <c r="I1820">
        <f>IFERROR(VLOOKUP($A1820,原始数据_利率互换_FR007_1年!$A$6:$C$4395,3,0),"")</f>
        <v>3.7158</v>
      </c>
    </row>
    <row r="1821" spans="1:9">
      <c r="A1821" s="6">
        <v>41314</v>
      </c>
      <c r="B1821" t="str">
        <f>IFERROR(VLOOKUP($A1821,原始数据_收盘!$A$4:$G$3460,2,0),"")</f>
        <v/>
      </c>
      <c r="C1821" t="str">
        <f>IFERROR(VLOOKUP($A1821,原始数据_收盘!$A$4:$G$3460,3,0),"")</f>
        <v/>
      </c>
      <c r="D1821" t="str">
        <f>IFERROR(VLOOKUP($A1821,原始数据_收盘!$A$4:$G$3460,4,0),"")</f>
        <v/>
      </c>
      <c r="E1821" t="str">
        <f>IFERROR(VLOOKUP($A1821,原始数据_收盘!$A$4:$G$3460,5,0),"")</f>
        <v/>
      </c>
      <c r="F1821" t="str">
        <f>IFERROR(VLOOKUP($A1821,原始数据_收盘!$A$4:$G$3460,6,0),"")</f>
        <v/>
      </c>
      <c r="G1821" t="str">
        <f>IFERROR(VLOOKUP($A1821,原始数据_收盘!$A$4:$G$3460,7,0),"")</f>
        <v/>
      </c>
      <c r="H1821" t="str">
        <f>IFERROR(VLOOKUP($A1821,原始数据_利率互换_FR007_1年!$A$6:$C$4395,2,0),"")</f>
        <v/>
      </c>
      <c r="I1821" t="str">
        <f>IFERROR(VLOOKUP($A1821,原始数据_利率互换_FR007_1年!$A$6:$C$4395,3,0),"")</f>
        <v/>
      </c>
    </row>
    <row r="1822" spans="1:9">
      <c r="A1822" s="6">
        <v>41315</v>
      </c>
      <c r="B1822" t="str">
        <f>IFERROR(VLOOKUP($A1822,原始数据_收盘!$A$4:$G$3460,2,0),"")</f>
        <v/>
      </c>
      <c r="C1822" t="str">
        <f>IFERROR(VLOOKUP($A1822,原始数据_收盘!$A$4:$G$3460,3,0),"")</f>
        <v/>
      </c>
      <c r="D1822" t="str">
        <f>IFERROR(VLOOKUP($A1822,原始数据_收盘!$A$4:$G$3460,4,0),"")</f>
        <v/>
      </c>
      <c r="E1822" t="str">
        <f>IFERROR(VLOOKUP($A1822,原始数据_收盘!$A$4:$G$3460,5,0),"")</f>
        <v/>
      </c>
      <c r="F1822" t="str">
        <f>IFERROR(VLOOKUP($A1822,原始数据_收盘!$A$4:$G$3460,6,0),"")</f>
        <v/>
      </c>
      <c r="G1822" t="str">
        <f>IFERROR(VLOOKUP($A1822,原始数据_收盘!$A$4:$G$3460,7,0),"")</f>
        <v/>
      </c>
      <c r="H1822" t="str">
        <f>IFERROR(VLOOKUP($A1822,原始数据_利率互换_FR007_1年!$A$6:$C$4395,2,0),"")</f>
        <v/>
      </c>
      <c r="I1822" t="str">
        <f>IFERROR(VLOOKUP($A1822,原始数据_利率互换_FR007_1年!$A$6:$C$4395,3,0),"")</f>
        <v/>
      </c>
    </row>
    <row r="1823" spans="1:9">
      <c r="A1823" s="6">
        <v>41316</v>
      </c>
      <c r="B1823" t="str">
        <f>IFERROR(VLOOKUP($A1823,原始数据_收盘!$A$4:$G$3460,2,0),"")</f>
        <v/>
      </c>
      <c r="C1823" t="str">
        <f>IFERROR(VLOOKUP($A1823,原始数据_收盘!$A$4:$G$3460,3,0),"")</f>
        <v/>
      </c>
      <c r="D1823" t="str">
        <f>IFERROR(VLOOKUP($A1823,原始数据_收盘!$A$4:$G$3460,4,0),"")</f>
        <v/>
      </c>
      <c r="E1823" t="str">
        <f>IFERROR(VLOOKUP($A1823,原始数据_收盘!$A$4:$G$3460,5,0),"")</f>
        <v/>
      </c>
      <c r="F1823" t="str">
        <f>IFERROR(VLOOKUP($A1823,原始数据_收盘!$A$4:$G$3460,6,0),"")</f>
        <v/>
      </c>
      <c r="G1823" t="str">
        <f>IFERROR(VLOOKUP($A1823,原始数据_收盘!$A$4:$G$3460,7,0),"")</f>
        <v/>
      </c>
      <c r="H1823" t="str">
        <f>IFERROR(VLOOKUP($A1823,原始数据_利率互换_FR007_1年!$A$6:$C$4395,2,0),"")</f>
        <v/>
      </c>
      <c r="I1823" t="str">
        <f>IFERROR(VLOOKUP($A1823,原始数据_利率互换_FR007_1年!$A$6:$C$4395,3,0),"")</f>
        <v/>
      </c>
    </row>
    <row r="1824" spans="1:9">
      <c r="A1824" s="6">
        <v>41317</v>
      </c>
      <c r="B1824" t="str">
        <f>IFERROR(VLOOKUP($A1824,原始数据_收盘!$A$4:$G$3460,2,0),"")</f>
        <v/>
      </c>
      <c r="C1824" t="str">
        <f>IFERROR(VLOOKUP($A1824,原始数据_收盘!$A$4:$G$3460,3,0),"")</f>
        <v/>
      </c>
      <c r="D1824" t="str">
        <f>IFERROR(VLOOKUP($A1824,原始数据_收盘!$A$4:$G$3460,4,0),"")</f>
        <v/>
      </c>
      <c r="E1824" t="str">
        <f>IFERROR(VLOOKUP($A1824,原始数据_收盘!$A$4:$G$3460,5,0),"")</f>
        <v/>
      </c>
      <c r="F1824" t="str">
        <f>IFERROR(VLOOKUP($A1824,原始数据_收盘!$A$4:$G$3460,6,0),"")</f>
        <v/>
      </c>
      <c r="G1824" t="str">
        <f>IFERROR(VLOOKUP($A1824,原始数据_收盘!$A$4:$G$3460,7,0),"")</f>
        <v/>
      </c>
      <c r="H1824" t="str">
        <f>IFERROR(VLOOKUP($A1824,原始数据_利率互换_FR007_1年!$A$6:$C$4395,2,0),"")</f>
        <v/>
      </c>
      <c r="I1824" t="str">
        <f>IFERROR(VLOOKUP($A1824,原始数据_利率互换_FR007_1年!$A$6:$C$4395,3,0),"")</f>
        <v/>
      </c>
    </row>
    <row r="1825" spans="1:9">
      <c r="A1825" s="6">
        <v>41318</v>
      </c>
      <c r="B1825" t="str">
        <f>IFERROR(VLOOKUP($A1825,原始数据_收盘!$A$4:$G$3460,2,0),"")</f>
        <v/>
      </c>
      <c r="C1825" t="str">
        <f>IFERROR(VLOOKUP($A1825,原始数据_收盘!$A$4:$G$3460,3,0),"")</f>
        <v/>
      </c>
      <c r="D1825" t="str">
        <f>IFERROR(VLOOKUP($A1825,原始数据_收盘!$A$4:$G$3460,4,0),"")</f>
        <v/>
      </c>
      <c r="E1825" t="str">
        <f>IFERROR(VLOOKUP($A1825,原始数据_收盘!$A$4:$G$3460,5,0),"")</f>
        <v/>
      </c>
      <c r="F1825" t="str">
        <f>IFERROR(VLOOKUP($A1825,原始数据_收盘!$A$4:$G$3460,6,0),"")</f>
        <v/>
      </c>
      <c r="G1825" t="str">
        <f>IFERROR(VLOOKUP($A1825,原始数据_收盘!$A$4:$G$3460,7,0),"")</f>
        <v/>
      </c>
      <c r="H1825" t="str">
        <f>IFERROR(VLOOKUP($A1825,原始数据_利率互换_FR007_1年!$A$6:$C$4395,2,0),"")</f>
        <v/>
      </c>
      <c r="I1825" t="str">
        <f>IFERROR(VLOOKUP($A1825,原始数据_利率互换_FR007_1年!$A$6:$C$4395,3,0),"")</f>
        <v/>
      </c>
    </row>
    <row r="1826" spans="1:9">
      <c r="A1826" s="6">
        <v>41319</v>
      </c>
      <c r="B1826" t="str">
        <f>IFERROR(VLOOKUP($A1826,原始数据_收盘!$A$4:$G$3460,2,0),"")</f>
        <v/>
      </c>
      <c r="C1826" t="str">
        <f>IFERROR(VLOOKUP($A1826,原始数据_收盘!$A$4:$G$3460,3,0),"")</f>
        <v/>
      </c>
      <c r="D1826" t="str">
        <f>IFERROR(VLOOKUP($A1826,原始数据_收盘!$A$4:$G$3460,4,0),"")</f>
        <v/>
      </c>
      <c r="E1826" t="str">
        <f>IFERROR(VLOOKUP($A1826,原始数据_收盘!$A$4:$G$3460,5,0),"")</f>
        <v/>
      </c>
      <c r="F1826" t="str">
        <f>IFERROR(VLOOKUP($A1826,原始数据_收盘!$A$4:$G$3460,6,0),"")</f>
        <v/>
      </c>
      <c r="G1826" t="str">
        <f>IFERROR(VLOOKUP($A1826,原始数据_收盘!$A$4:$G$3460,7,0),"")</f>
        <v/>
      </c>
      <c r="H1826" t="str">
        <f>IFERROR(VLOOKUP($A1826,原始数据_利率互换_FR007_1年!$A$6:$C$4395,2,0),"")</f>
        <v/>
      </c>
      <c r="I1826" t="str">
        <f>IFERROR(VLOOKUP($A1826,原始数据_利率互换_FR007_1年!$A$6:$C$4395,3,0),"")</f>
        <v/>
      </c>
    </row>
    <row r="1827" spans="1:9">
      <c r="A1827" s="6">
        <v>41320</v>
      </c>
      <c r="B1827" t="str">
        <f>IFERROR(VLOOKUP($A1827,原始数据_收盘!$A$4:$G$3460,2,0),"")</f>
        <v/>
      </c>
      <c r="C1827" t="str">
        <f>IFERROR(VLOOKUP($A1827,原始数据_收盘!$A$4:$G$3460,3,0),"")</f>
        <v/>
      </c>
      <c r="D1827" t="str">
        <f>IFERROR(VLOOKUP($A1827,原始数据_收盘!$A$4:$G$3460,4,0),"")</f>
        <v/>
      </c>
      <c r="E1827" t="str">
        <f>IFERROR(VLOOKUP($A1827,原始数据_收盘!$A$4:$G$3460,5,0),"")</f>
        <v/>
      </c>
      <c r="F1827" t="str">
        <f>IFERROR(VLOOKUP($A1827,原始数据_收盘!$A$4:$G$3460,6,0),"")</f>
        <v/>
      </c>
      <c r="G1827" t="str">
        <f>IFERROR(VLOOKUP($A1827,原始数据_收盘!$A$4:$G$3460,7,0),"")</f>
        <v/>
      </c>
      <c r="H1827" t="str">
        <f>IFERROR(VLOOKUP($A1827,原始数据_利率互换_FR007_1年!$A$6:$C$4395,2,0),"")</f>
        <v/>
      </c>
      <c r="I1827" t="str">
        <f>IFERROR(VLOOKUP($A1827,原始数据_利率互换_FR007_1年!$A$6:$C$4395,3,0),"")</f>
        <v/>
      </c>
    </row>
    <row r="1828" spans="1:9">
      <c r="A1828" s="6">
        <v>41321</v>
      </c>
      <c r="B1828">
        <f>IFERROR(VLOOKUP($A1828,原始数据_收盘!$A$4:$G$3460,2,0),"")</f>
        <v>3.0363</v>
      </c>
      <c r="C1828">
        <f>IFERROR(VLOOKUP($A1828,原始数据_收盘!$A$4:$G$3460,3,0),"")</f>
        <v>3.6442</v>
      </c>
      <c r="D1828">
        <f>IFERROR(VLOOKUP($A1828,原始数据_收盘!$A$4:$G$3460,4,0),"")</f>
        <v>3.0885</v>
      </c>
      <c r="E1828">
        <f>IFERROR(VLOOKUP($A1828,原始数据_收盘!$A$4:$G$3460,5,0),"")</f>
        <v>3.7096</v>
      </c>
      <c r="F1828">
        <f>IFERROR(VLOOKUP($A1828,原始数据_收盘!$A$4:$G$3460,6,0),"")</f>
        <v>3.0624</v>
      </c>
      <c r="G1828">
        <f>IFERROR(VLOOKUP($A1828,原始数据_收盘!$A$4:$G$3460,7,0),"")</f>
        <v>3.6769</v>
      </c>
      <c r="H1828">
        <f>IFERROR(VLOOKUP($A1828,原始数据_利率互换_FR007_1年!$A$6:$C$4395,2,0),"")</f>
        <v>3.09</v>
      </c>
      <c r="I1828">
        <f>IFERROR(VLOOKUP($A1828,原始数据_利率互换_FR007_1年!$A$6:$C$4395,3,0),"")</f>
        <v>3.6975</v>
      </c>
    </row>
    <row r="1829" spans="1:9">
      <c r="A1829" s="6">
        <v>41322</v>
      </c>
      <c r="B1829">
        <f>IFERROR(VLOOKUP($A1829,原始数据_收盘!$A$4:$G$3460,2,0),"")</f>
        <v>3.0404</v>
      </c>
      <c r="C1829">
        <f>IFERROR(VLOOKUP($A1829,原始数据_收盘!$A$4:$G$3460,3,0),"")</f>
        <v>3.6475</v>
      </c>
      <c r="D1829">
        <f>IFERROR(VLOOKUP($A1829,原始数据_收盘!$A$4:$G$3460,4,0),"")</f>
        <v>3.0932</v>
      </c>
      <c r="E1829">
        <f>IFERROR(VLOOKUP($A1829,原始数据_收盘!$A$4:$G$3460,5,0),"")</f>
        <v>3.7082</v>
      </c>
      <c r="F1829">
        <f>IFERROR(VLOOKUP($A1829,原始数据_收盘!$A$4:$G$3460,6,0),"")</f>
        <v>3.0668</v>
      </c>
      <c r="G1829">
        <f>IFERROR(VLOOKUP($A1829,原始数据_收盘!$A$4:$G$3460,7,0),"")</f>
        <v>3.6779</v>
      </c>
      <c r="H1829">
        <f>IFERROR(VLOOKUP($A1829,原始数据_利率互换_FR007_1年!$A$6:$C$4395,2,0),"")</f>
        <v>3.0729</v>
      </c>
      <c r="I1829">
        <f>IFERROR(VLOOKUP($A1829,原始数据_利率互换_FR007_1年!$A$6:$C$4395,3,0),"")</f>
        <v>0</v>
      </c>
    </row>
    <row r="1830" spans="1:9">
      <c r="A1830" s="6">
        <v>41323</v>
      </c>
      <c r="B1830">
        <f>IFERROR(VLOOKUP($A1830,原始数据_收盘!$A$4:$G$3460,2,0),"")</f>
        <v>3.1014</v>
      </c>
      <c r="C1830">
        <f>IFERROR(VLOOKUP($A1830,原始数据_收盘!$A$4:$G$3460,3,0),"")</f>
        <v>3.7029</v>
      </c>
      <c r="D1830">
        <f>IFERROR(VLOOKUP($A1830,原始数据_收盘!$A$4:$G$3460,4,0),"")</f>
        <v>3.1546</v>
      </c>
      <c r="E1830">
        <f>IFERROR(VLOOKUP($A1830,原始数据_收盘!$A$4:$G$3460,5,0),"")</f>
        <v>3.7576</v>
      </c>
      <c r="F1830">
        <f>IFERROR(VLOOKUP($A1830,原始数据_收盘!$A$4:$G$3460,6,0),"")</f>
        <v>3.128</v>
      </c>
      <c r="G1830">
        <f>IFERROR(VLOOKUP($A1830,原始数据_收盘!$A$4:$G$3460,7,0),"")</f>
        <v>3.7303</v>
      </c>
      <c r="H1830">
        <f>IFERROR(VLOOKUP($A1830,原始数据_利率互换_FR007_1年!$A$6:$C$4395,2,0),"")</f>
        <v>3.1103</v>
      </c>
      <c r="I1830">
        <f>IFERROR(VLOOKUP($A1830,原始数据_利率互换_FR007_1年!$A$6:$C$4395,3,0),"")</f>
        <v>3.7288</v>
      </c>
    </row>
    <row r="1831" spans="1:9">
      <c r="A1831" s="6">
        <v>41324</v>
      </c>
      <c r="B1831">
        <f>IFERROR(VLOOKUP($A1831,原始数据_收盘!$A$4:$G$3460,2,0),"")</f>
        <v>3.0795</v>
      </c>
      <c r="C1831">
        <f>IFERROR(VLOOKUP($A1831,原始数据_收盘!$A$4:$G$3460,3,0),"")</f>
        <v>3.6677</v>
      </c>
      <c r="D1831">
        <f>IFERROR(VLOOKUP($A1831,原始数据_收盘!$A$4:$G$3460,4,0),"")</f>
        <v>3.1298</v>
      </c>
      <c r="E1831">
        <f>IFERROR(VLOOKUP($A1831,原始数据_收盘!$A$4:$G$3460,5,0),"")</f>
        <v>3.7204</v>
      </c>
      <c r="F1831">
        <f>IFERROR(VLOOKUP($A1831,原始数据_收盘!$A$4:$G$3460,6,0),"")</f>
        <v>3.1046</v>
      </c>
      <c r="G1831">
        <f>IFERROR(VLOOKUP($A1831,原始数据_收盘!$A$4:$G$3460,7,0),"")</f>
        <v>3.694</v>
      </c>
      <c r="H1831">
        <f>IFERROR(VLOOKUP($A1831,原始数据_利率互换_FR007_1年!$A$6:$C$4395,2,0),"")</f>
        <v>3.1135</v>
      </c>
      <c r="I1831">
        <f>IFERROR(VLOOKUP($A1831,原始数据_利率互换_FR007_1年!$A$6:$C$4395,3,0),"")</f>
        <v>3.7113</v>
      </c>
    </row>
    <row r="1832" spans="1:9">
      <c r="A1832" s="6">
        <v>41325</v>
      </c>
      <c r="B1832">
        <f>IFERROR(VLOOKUP($A1832,原始数据_收盘!$A$4:$G$3460,2,0),"")</f>
        <v>3.1121</v>
      </c>
      <c r="C1832">
        <f>IFERROR(VLOOKUP($A1832,原始数据_收盘!$A$4:$G$3460,3,0),"")</f>
        <v>3.69</v>
      </c>
      <c r="D1832">
        <f>IFERROR(VLOOKUP($A1832,原始数据_收盘!$A$4:$G$3460,4,0),"")</f>
        <v>3.1592</v>
      </c>
      <c r="E1832">
        <f>IFERROR(VLOOKUP($A1832,原始数据_收盘!$A$4:$G$3460,5,0),"")</f>
        <v>3.7396</v>
      </c>
      <c r="F1832">
        <f>IFERROR(VLOOKUP($A1832,原始数据_收盘!$A$4:$G$3460,6,0),"")</f>
        <v>3.1356</v>
      </c>
      <c r="G1832">
        <f>IFERROR(VLOOKUP($A1832,原始数据_收盘!$A$4:$G$3460,7,0),"")</f>
        <v>3.7148</v>
      </c>
      <c r="H1832">
        <f>IFERROR(VLOOKUP($A1832,原始数据_利率互换_FR007_1年!$A$6:$C$4395,2,0),"")</f>
        <v>3.1317</v>
      </c>
      <c r="I1832">
        <f>IFERROR(VLOOKUP($A1832,原始数据_利率互换_FR007_1年!$A$6:$C$4395,3,0),"")</f>
        <v>3.6985</v>
      </c>
    </row>
    <row r="1833" spans="1:9">
      <c r="A1833" s="6">
        <v>41326</v>
      </c>
      <c r="B1833">
        <f>IFERROR(VLOOKUP($A1833,原始数据_收盘!$A$4:$G$3460,2,0),"")</f>
        <v>3.1333</v>
      </c>
      <c r="C1833">
        <f>IFERROR(VLOOKUP($A1833,原始数据_收盘!$A$4:$G$3460,3,0),"")</f>
        <v>3.6629</v>
      </c>
      <c r="D1833">
        <f>IFERROR(VLOOKUP($A1833,原始数据_收盘!$A$4:$G$3460,4,0),"")</f>
        <v>3.18</v>
      </c>
      <c r="E1833">
        <f>IFERROR(VLOOKUP($A1833,原始数据_收盘!$A$4:$G$3460,5,0),"")</f>
        <v>3.715</v>
      </c>
      <c r="F1833">
        <f>IFERROR(VLOOKUP($A1833,原始数据_收盘!$A$4:$G$3460,6,0),"")</f>
        <v>3.1567</v>
      </c>
      <c r="G1833">
        <f>IFERROR(VLOOKUP($A1833,原始数据_收盘!$A$4:$G$3460,7,0),"")</f>
        <v>3.689</v>
      </c>
      <c r="H1833">
        <f>IFERROR(VLOOKUP($A1833,原始数据_利率互换_FR007_1年!$A$6:$C$4395,2,0),"")</f>
        <v>3.1522</v>
      </c>
      <c r="I1833">
        <f>IFERROR(VLOOKUP($A1833,原始数据_利率互换_FR007_1年!$A$6:$C$4395,3,0),"")</f>
        <v>3.6833</v>
      </c>
    </row>
    <row r="1834" spans="1:9">
      <c r="A1834" s="6">
        <v>41327</v>
      </c>
      <c r="B1834">
        <f>IFERROR(VLOOKUP($A1834,原始数据_收盘!$A$4:$G$3460,2,0),"")</f>
        <v>3.1665</v>
      </c>
      <c r="C1834">
        <f>IFERROR(VLOOKUP($A1834,原始数据_收盘!$A$4:$G$3460,3,0),"")</f>
        <v>3.6732</v>
      </c>
      <c r="D1834">
        <f>IFERROR(VLOOKUP($A1834,原始数据_收盘!$A$4:$G$3460,4,0),"")</f>
        <v>3.2167</v>
      </c>
      <c r="E1834">
        <f>IFERROR(VLOOKUP($A1834,原始数据_收盘!$A$4:$G$3460,5,0),"")</f>
        <v>3.7282</v>
      </c>
      <c r="F1834">
        <f>IFERROR(VLOOKUP($A1834,原始数据_收盘!$A$4:$G$3460,6,0),"")</f>
        <v>3.1916</v>
      </c>
      <c r="G1834">
        <f>IFERROR(VLOOKUP($A1834,原始数据_收盘!$A$4:$G$3460,7,0),"")</f>
        <v>3.7007</v>
      </c>
      <c r="H1834">
        <f>IFERROR(VLOOKUP($A1834,原始数据_利率互换_FR007_1年!$A$6:$C$4395,2,0),"")</f>
        <v>3.1843</v>
      </c>
      <c r="I1834">
        <f>IFERROR(VLOOKUP($A1834,原始数据_利率互换_FR007_1年!$A$6:$C$4395,3,0),"")</f>
        <v>3.6948</v>
      </c>
    </row>
    <row r="1835" spans="1:9">
      <c r="A1835" s="6">
        <v>41328</v>
      </c>
      <c r="B1835" t="str">
        <f>IFERROR(VLOOKUP($A1835,原始数据_收盘!$A$4:$G$3460,2,0),"")</f>
        <v/>
      </c>
      <c r="C1835" t="str">
        <f>IFERROR(VLOOKUP($A1835,原始数据_收盘!$A$4:$G$3460,3,0),"")</f>
        <v/>
      </c>
      <c r="D1835" t="str">
        <f>IFERROR(VLOOKUP($A1835,原始数据_收盘!$A$4:$G$3460,4,0),"")</f>
        <v/>
      </c>
      <c r="E1835" t="str">
        <f>IFERROR(VLOOKUP($A1835,原始数据_收盘!$A$4:$G$3460,5,0),"")</f>
        <v/>
      </c>
      <c r="F1835" t="str">
        <f>IFERROR(VLOOKUP($A1835,原始数据_收盘!$A$4:$G$3460,6,0),"")</f>
        <v/>
      </c>
      <c r="G1835" t="str">
        <f>IFERROR(VLOOKUP($A1835,原始数据_收盘!$A$4:$G$3460,7,0),"")</f>
        <v/>
      </c>
      <c r="H1835" t="str">
        <f>IFERROR(VLOOKUP($A1835,原始数据_利率互换_FR007_1年!$A$6:$C$4395,2,0),"")</f>
        <v/>
      </c>
      <c r="I1835" t="str">
        <f>IFERROR(VLOOKUP($A1835,原始数据_利率互换_FR007_1年!$A$6:$C$4395,3,0),"")</f>
        <v/>
      </c>
    </row>
    <row r="1836" spans="1:9">
      <c r="A1836" s="6">
        <v>41329</v>
      </c>
      <c r="B1836" t="str">
        <f>IFERROR(VLOOKUP($A1836,原始数据_收盘!$A$4:$G$3460,2,0),"")</f>
        <v/>
      </c>
      <c r="C1836" t="str">
        <f>IFERROR(VLOOKUP($A1836,原始数据_收盘!$A$4:$G$3460,3,0),"")</f>
        <v/>
      </c>
      <c r="D1836" t="str">
        <f>IFERROR(VLOOKUP($A1836,原始数据_收盘!$A$4:$G$3460,4,0),"")</f>
        <v/>
      </c>
      <c r="E1836" t="str">
        <f>IFERROR(VLOOKUP($A1836,原始数据_收盘!$A$4:$G$3460,5,0),"")</f>
        <v/>
      </c>
      <c r="F1836" t="str">
        <f>IFERROR(VLOOKUP($A1836,原始数据_收盘!$A$4:$G$3460,6,0),"")</f>
        <v/>
      </c>
      <c r="G1836" t="str">
        <f>IFERROR(VLOOKUP($A1836,原始数据_收盘!$A$4:$G$3460,7,0),"")</f>
        <v/>
      </c>
      <c r="H1836" t="str">
        <f>IFERROR(VLOOKUP($A1836,原始数据_利率互换_FR007_1年!$A$6:$C$4395,2,0),"")</f>
        <v/>
      </c>
      <c r="I1836" t="str">
        <f>IFERROR(VLOOKUP($A1836,原始数据_利率互换_FR007_1年!$A$6:$C$4395,3,0),"")</f>
        <v/>
      </c>
    </row>
    <row r="1837" spans="1:9">
      <c r="A1837" s="6">
        <v>41330</v>
      </c>
      <c r="B1837">
        <f>IFERROR(VLOOKUP($A1837,原始数据_收盘!$A$4:$G$3460,2,0),"")</f>
        <v>3.2231</v>
      </c>
      <c r="C1837">
        <f>IFERROR(VLOOKUP($A1837,原始数据_收盘!$A$4:$G$3460,3,0),"")</f>
        <v>3.6681</v>
      </c>
      <c r="D1837">
        <f>IFERROR(VLOOKUP($A1837,原始数据_收盘!$A$4:$G$3460,4,0),"")</f>
        <v>3.2715</v>
      </c>
      <c r="E1837">
        <f>IFERROR(VLOOKUP($A1837,原始数据_收盘!$A$4:$G$3460,5,0),"")</f>
        <v>3.7223</v>
      </c>
      <c r="F1837">
        <f>IFERROR(VLOOKUP($A1837,原始数据_收盘!$A$4:$G$3460,6,0),"")</f>
        <v>3.2473</v>
      </c>
      <c r="G1837">
        <f>IFERROR(VLOOKUP($A1837,原始数据_收盘!$A$4:$G$3460,7,0),"")</f>
        <v>3.6952</v>
      </c>
      <c r="H1837">
        <f>IFERROR(VLOOKUP($A1837,原始数据_利率互换_FR007_1年!$A$6:$C$4395,2,0),"")</f>
        <v>3.2407</v>
      </c>
      <c r="I1837">
        <f>IFERROR(VLOOKUP($A1837,原始数据_利率互换_FR007_1年!$A$6:$C$4395,3,0),"")</f>
        <v>3.69</v>
      </c>
    </row>
    <row r="1838" spans="1:9">
      <c r="A1838" s="6">
        <v>41331</v>
      </c>
      <c r="B1838">
        <f>IFERROR(VLOOKUP($A1838,原始数据_收盘!$A$4:$G$3460,2,0),"")</f>
        <v>3.2257</v>
      </c>
      <c r="C1838">
        <f>IFERROR(VLOOKUP($A1838,原始数据_收盘!$A$4:$G$3460,3,0),"")</f>
        <v>3.6381</v>
      </c>
      <c r="D1838">
        <f>IFERROR(VLOOKUP($A1838,原始数据_收盘!$A$4:$G$3460,4,0),"")</f>
        <v>3.2767</v>
      </c>
      <c r="E1838">
        <f>IFERROR(VLOOKUP($A1838,原始数据_收盘!$A$4:$G$3460,5,0),"")</f>
        <v>3.6895</v>
      </c>
      <c r="F1838">
        <f>IFERROR(VLOOKUP($A1838,原始数据_收盘!$A$4:$G$3460,6,0),"")</f>
        <v>3.2512</v>
      </c>
      <c r="G1838">
        <f>IFERROR(VLOOKUP($A1838,原始数据_收盘!$A$4:$G$3460,7,0),"")</f>
        <v>3.6638</v>
      </c>
      <c r="H1838">
        <f>IFERROR(VLOOKUP($A1838,原始数据_利率互换_FR007_1年!$A$6:$C$4395,2,0),"")</f>
        <v>3.267</v>
      </c>
      <c r="I1838">
        <f>IFERROR(VLOOKUP($A1838,原始数据_利率互换_FR007_1年!$A$6:$C$4395,3,0),"")</f>
        <v>3.6671</v>
      </c>
    </row>
    <row r="1839" spans="1:9">
      <c r="A1839" s="6">
        <v>41332</v>
      </c>
      <c r="B1839">
        <f>IFERROR(VLOOKUP($A1839,原始数据_收盘!$A$4:$G$3460,2,0),"")</f>
        <v>3.182</v>
      </c>
      <c r="C1839">
        <f>IFERROR(VLOOKUP($A1839,原始数据_收盘!$A$4:$G$3460,3,0),"")</f>
        <v>3.6297</v>
      </c>
      <c r="D1839">
        <f>IFERROR(VLOOKUP($A1839,原始数据_收盘!$A$4:$G$3460,4,0),"")</f>
        <v>3.2353</v>
      </c>
      <c r="E1839">
        <f>IFERROR(VLOOKUP($A1839,原始数据_收盘!$A$4:$G$3460,5,0),"")</f>
        <v>3.6827</v>
      </c>
      <c r="F1839">
        <f>IFERROR(VLOOKUP($A1839,原始数据_收盘!$A$4:$G$3460,6,0),"")</f>
        <v>3.2087</v>
      </c>
      <c r="G1839">
        <f>IFERROR(VLOOKUP($A1839,原始数据_收盘!$A$4:$G$3460,7,0),"")</f>
        <v>3.6562</v>
      </c>
      <c r="H1839">
        <f>IFERROR(VLOOKUP($A1839,原始数据_利率互换_FR007_1年!$A$6:$C$4395,2,0),"")</f>
        <v>3.2129</v>
      </c>
      <c r="I1839">
        <f>IFERROR(VLOOKUP($A1839,原始数据_利率互换_FR007_1年!$A$6:$C$4395,3,0),"")</f>
        <v>3.6497</v>
      </c>
    </row>
    <row r="1840" spans="1:9">
      <c r="A1840" s="6">
        <v>41333</v>
      </c>
      <c r="B1840">
        <f>IFERROR(VLOOKUP($A1840,原始数据_收盘!$A$4:$G$3460,2,0),"")</f>
        <v>3.2425</v>
      </c>
      <c r="C1840">
        <f>IFERROR(VLOOKUP($A1840,原始数据_收盘!$A$4:$G$3460,3,0),"")</f>
        <v>3.6721</v>
      </c>
      <c r="D1840">
        <f>IFERROR(VLOOKUP($A1840,原始数据_收盘!$A$4:$G$3460,4,0),"")</f>
        <v>3.2918</v>
      </c>
      <c r="E1840">
        <f>IFERROR(VLOOKUP($A1840,原始数据_收盘!$A$4:$G$3460,5,0),"")</f>
        <v>3.7245</v>
      </c>
      <c r="F1840">
        <f>IFERROR(VLOOKUP($A1840,原始数据_收盘!$A$4:$G$3460,6,0),"")</f>
        <v>3.2671</v>
      </c>
      <c r="G1840">
        <f>IFERROR(VLOOKUP($A1840,原始数据_收盘!$A$4:$G$3460,7,0),"")</f>
        <v>3.6983</v>
      </c>
      <c r="H1840">
        <f>IFERROR(VLOOKUP($A1840,原始数据_利率互换_FR007_1年!$A$6:$C$4395,2,0),"")</f>
        <v>3.3794</v>
      </c>
      <c r="I1840">
        <f>IFERROR(VLOOKUP($A1840,原始数据_利率互换_FR007_1年!$A$6:$C$4395,3,0),"")</f>
        <v>3.6995</v>
      </c>
    </row>
    <row r="1841" spans="1:9">
      <c r="A1841" s="6">
        <v>41334</v>
      </c>
      <c r="B1841">
        <f>IFERROR(VLOOKUP($A1841,原始数据_收盘!$A$4:$G$3460,2,0),"")</f>
        <v>3.245</v>
      </c>
      <c r="C1841">
        <f>IFERROR(VLOOKUP($A1841,原始数据_收盘!$A$4:$G$3460,3,0),"")</f>
        <v>3.66</v>
      </c>
      <c r="D1841">
        <f>IFERROR(VLOOKUP($A1841,原始数据_收盘!$A$4:$G$3460,4,0),"")</f>
        <v>3.294</v>
      </c>
      <c r="E1841">
        <f>IFERROR(VLOOKUP($A1841,原始数据_收盘!$A$4:$G$3460,5,0),"")</f>
        <v>3.7124</v>
      </c>
      <c r="F1841">
        <f>IFERROR(VLOOKUP($A1841,原始数据_收盘!$A$4:$G$3460,6,0),"")</f>
        <v>3.2695</v>
      </c>
      <c r="G1841">
        <f>IFERROR(VLOOKUP($A1841,原始数据_收盘!$A$4:$G$3460,7,0),"")</f>
        <v>3.6862</v>
      </c>
      <c r="H1841">
        <f>IFERROR(VLOOKUP($A1841,原始数据_利率互换_FR007_1年!$A$6:$C$4395,2,0),"")</f>
        <v>3.2676</v>
      </c>
      <c r="I1841">
        <f>IFERROR(VLOOKUP($A1841,原始数据_利率互换_FR007_1年!$A$6:$C$4395,3,0),"")</f>
        <v>3.7025</v>
      </c>
    </row>
    <row r="1842" spans="1:9">
      <c r="A1842" s="6">
        <v>41335</v>
      </c>
      <c r="B1842" t="str">
        <f>IFERROR(VLOOKUP($A1842,原始数据_收盘!$A$4:$G$3460,2,0),"")</f>
        <v/>
      </c>
      <c r="C1842" t="str">
        <f>IFERROR(VLOOKUP($A1842,原始数据_收盘!$A$4:$G$3460,3,0),"")</f>
        <v/>
      </c>
      <c r="D1842" t="str">
        <f>IFERROR(VLOOKUP($A1842,原始数据_收盘!$A$4:$G$3460,4,0),"")</f>
        <v/>
      </c>
      <c r="E1842" t="str">
        <f>IFERROR(VLOOKUP($A1842,原始数据_收盘!$A$4:$G$3460,5,0),"")</f>
        <v/>
      </c>
      <c r="F1842" t="str">
        <f>IFERROR(VLOOKUP($A1842,原始数据_收盘!$A$4:$G$3460,6,0),"")</f>
        <v/>
      </c>
      <c r="G1842" t="str">
        <f>IFERROR(VLOOKUP($A1842,原始数据_收盘!$A$4:$G$3460,7,0),"")</f>
        <v/>
      </c>
      <c r="H1842" t="str">
        <f>IFERROR(VLOOKUP($A1842,原始数据_利率互换_FR007_1年!$A$6:$C$4395,2,0),"")</f>
        <v/>
      </c>
      <c r="I1842" t="str">
        <f>IFERROR(VLOOKUP($A1842,原始数据_利率互换_FR007_1年!$A$6:$C$4395,3,0),"")</f>
        <v/>
      </c>
    </row>
    <row r="1843" spans="1:9">
      <c r="A1843" s="6">
        <v>41336</v>
      </c>
      <c r="B1843" t="str">
        <f>IFERROR(VLOOKUP($A1843,原始数据_收盘!$A$4:$G$3460,2,0),"")</f>
        <v/>
      </c>
      <c r="C1843" t="str">
        <f>IFERROR(VLOOKUP($A1843,原始数据_收盘!$A$4:$G$3460,3,0),"")</f>
        <v/>
      </c>
      <c r="D1843" t="str">
        <f>IFERROR(VLOOKUP($A1843,原始数据_收盘!$A$4:$G$3460,4,0),"")</f>
        <v/>
      </c>
      <c r="E1843" t="str">
        <f>IFERROR(VLOOKUP($A1843,原始数据_收盘!$A$4:$G$3460,5,0),"")</f>
        <v/>
      </c>
      <c r="F1843" t="str">
        <f>IFERROR(VLOOKUP($A1843,原始数据_收盘!$A$4:$G$3460,6,0),"")</f>
        <v/>
      </c>
      <c r="G1843" t="str">
        <f>IFERROR(VLOOKUP($A1843,原始数据_收盘!$A$4:$G$3460,7,0),"")</f>
        <v/>
      </c>
      <c r="H1843" t="str">
        <f>IFERROR(VLOOKUP($A1843,原始数据_利率互换_FR007_1年!$A$6:$C$4395,2,0),"")</f>
        <v/>
      </c>
      <c r="I1843" t="str">
        <f>IFERROR(VLOOKUP($A1843,原始数据_利率互换_FR007_1年!$A$6:$C$4395,3,0),"")</f>
        <v/>
      </c>
    </row>
    <row r="1844" spans="1:9">
      <c r="A1844" s="6">
        <v>41337</v>
      </c>
      <c r="B1844">
        <f>IFERROR(VLOOKUP($A1844,原始数据_收盘!$A$4:$G$3460,2,0),"")</f>
        <v>3.2261</v>
      </c>
      <c r="C1844">
        <f>IFERROR(VLOOKUP($A1844,原始数据_收盘!$A$4:$G$3460,3,0),"")</f>
        <v>3.6013</v>
      </c>
      <c r="D1844">
        <f>IFERROR(VLOOKUP($A1844,原始数据_收盘!$A$4:$G$3460,4,0),"")</f>
        <v>3.2764</v>
      </c>
      <c r="E1844">
        <f>IFERROR(VLOOKUP($A1844,原始数据_收盘!$A$4:$G$3460,5,0),"")</f>
        <v>3.6561</v>
      </c>
      <c r="F1844">
        <f>IFERROR(VLOOKUP($A1844,原始数据_收盘!$A$4:$G$3460,6,0),"")</f>
        <v>3.2513</v>
      </c>
      <c r="G1844">
        <f>IFERROR(VLOOKUP($A1844,原始数据_收盘!$A$4:$G$3460,7,0),"")</f>
        <v>3.6287</v>
      </c>
      <c r="H1844">
        <f>IFERROR(VLOOKUP($A1844,原始数据_利率互换_FR007_1年!$A$6:$C$4395,2,0),"")</f>
        <v>3.2597</v>
      </c>
      <c r="I1844">
        <f>IFERROR(VLOOKUP($A1844,原始数据_利率互换_FR007_1年!$A$6:$C$4395,3,0),"")</f>
        <v>3.6524</v>
      </c>
    </row>
    <row r="1845" spans="1:9">
      <c r="A1845" s="6">
        <v>41338</v>
      </c>
      <c r="B1845">
        <f>IFERROR(VLOOKUP($A1845,原始数据_收盘!$A$4:$G$3460,2,0),"")</f>
        <v>3.2292</v>
      </c>
      <c r="C1845">
        <f>IFERROR(VLOOKUP($A1845,原始数据_收盘!$A$4:$G$3460,3,0),"")</f>
        <v>3.6258</v>
      </c>
      <c r="D1845">
        <f>IFERROR(VLOOKUP($A1845,原始数据_收盘!$A$4:$G$3460,4,0),"")</f>
        <v>3.2803</v>
      </c>
      <c r="E1845">
        <f>IFERROR(VLOOKUP($A1845,原始数据_收盘!$A$4:$G$3460,5,0),"")</f>
        <v>3.6765</v>
      </c>
      <c r="F1845">
        <f>IFERROR(VLOOKUP($A1845,原始数据_收盘!$A$4:$G$3460,6,0),"")</f>
        <v>3.2547</v>
      </c>
      <c r="G1845">
        <f>IFERROR(VLOOKUP($A1845,原始数据_收盘!$A$4:$G$3460,7,0),"")</f>
        <v>3.6512</v>
      </c>
      <c r="H1845">
        <f>IFERROR(VLOOKUP($A1845,原始数据_利率互换_FR007_1年!$A$6:$C$4395,2,0),"")</f>
        <v>3.2438</v>
      </c>
      <c r="I1845">
        <f>IFERROR(VLOOKUP($A1845,原始数据_利率互换_FR007_1年!$A$6:$C$4395,3,0),"")</f>
        <v>3.6419</v>
      </c>
    </row>
    <row r="1846" spans="1:9">
      <c r="A1846" s="6">
        <v>41339</v>
      </c>
      <c r="B1846">
        <f>IFERROR(VLOOKUP($A1846,原始数据_收盘!$A$4:$G$3460,2,0),"")</f>
        <v>3.2253</v>
      </c>
      <c r="C1846">
        <f>IFERROR(VLOOKUP($A1846,原始数据_收盘!$A$4:$G$3460,3,0),"")</f>
        <v>3.6444</v>
      </c>
      <c r="D1846">
        <f>IFERROR(VLOOKUP($A1846,原始数据_收盘!$A$4:$G$3460,4,0),"")</f>
        <v>3.2736</v>
      </c>
      <c r="E1846">
        <f>IFERROR(VLOOKUP($A1846,原始数据_收盘!$A$4:$G$3460,5,0),"")</f>
        <v>3.6937</v>
      </c>
      <c r="F1846">
        <f>IFERROR(VLOOKUP($A1846,原始数据_收盘!$A$4:$G$3460,6,0),"")</f>
        <v>3.2495</v>
      </c>
      <c r="G1846">
        <f>IFERROR(VLOOKUP($A1846,原始数据_收盘!$A$4:$G$3460,7,0),"")</f>
        <v>3.669</v>
      </c>
      <c r="H1846">
        <f>IFERROR(VLOOKUP($A1846,原始数据_利率互换_FR007_1年!$A$6:$C$4395,2,0),"")</f>
        <v>3.4113</v>
      </c>
      <c r="I1846">
        <f>IFERROR(VLOOKUP($A1846,原始数据_利率互换_FR007_1年!$A$6:$C$4395,3,0),"")</f>
        <v>3.6686</v>
      </c>
    </row>
    <row r="1847" spans="1:9">
      <c r="A1847" s="6">
        <v>41340</v>
      </c>
      <c r="B1847">
        <f>IFERROR(VLOOKUP($A1847,原始数据_收盘!$A$4:$G$3460,2,0),"")</f>
        <v>3.1976</v>
      </c>
      <c r="C1847">
        <f>IFERROR(VLOOKUP($A1847,原始数据_收盘!$A$4:$G$3460,3,0),"")</f>
        <v>3.6446</v>
      </c>
      <c r="D1847">
        <f>IFERROR(VLOOKUP($A1847,原始数据_收盘!$A$4:$G$3460,4,0),"")</f>
        <v>3.2498</v>
      </c>
      <c r="E1847">
        <f>IFERROR(VLOOKUP($A1847,原始数据_收盘!$A$4:$G$3460,5,0),"")</f>
        <v>3.6996</v>
      </c>
      <c r="F1847">
        <f>IFERROR(VLOOKUP($A1847,原始数据_收盘!$A$4:$G$3460,6,0),"")</f>
        <v>3.2237</v>
      </c>
      <c r="G1847">
        <f>IFERROR(VLOOKUP($A1847,原始数据_收盘!$A$4:$G$3460,7,0),"")</f>
        <v>3.6721</v>
      </c>
      <c r="H1847">
        <f>IFERROR(VLOOKUP($A1847,原始数据_利率互换_FR007_1年!$A$6:$C$4395,2,0),"")</f>
        <v>3.2274</v>
      </c>
      <c r="I1847">
        <f>IFERROR(VLOOKUP($A1847,原始数据_利率互换_FR007_1年!$A$6:$C$4395,3,0),"")</f>
        <v>3.6729</v>
      </c>
    </row>
    <row r="1848" spans="1:9">
      <c r="A1848" s="6">
        <v>41341</v>
      </c>
      <c r="B1848">
        <f>IFERROR(VLOOKUP($A1848,原始数据_收盘!$A$4:$G$3460,2,0),"")</f>
        <v>3.1966</v>
      </c>
      <c r="C1848">
        <f>IFERROR(VLOOKUP($A1848,原始数据_收盘!$A$4:$G$3460,3,0),"")</f>
        <v>3.6577</v>
      </c>
      <c r="D1848">
        <f>IFERROR(VLOOKUP($A1848,原始数据_收盘!$A$4:$G$3460,4,0),"")</f>
        <v>3.2488</v>
      </c>
      <c r="E1848">
        <f>IFERROR(VLOOKUP($A1848,原始数据_收盘!$A$4:$G$3460,5,0),"")</f>
        <v>3.7118</v>
      </c>
      <c r="F1848">
        <f>IFERROR(VLOOKUP($A1848,原始数据_收盘!$A$4:$G$3460,6,0),"")</f>
        <v>3.2227</v>
      </c>
      <c r="G1848">
        <f>IFERROR(VLOOKUP($A1848,原始数据_收盘!$A$4:$G$3460,7,0),"")</f>
        <v>3.6847</v>
      </c>
      <c r="H1848">
        <f>IFERROR(VLOOKUP($A1848,原始数据_利率互换_FR007_1年!$A$6:$C$4395,2,0),"")</f>
        <v>3.2917</v>
      </c>
      <c r="I1848">
        <f>IFERROR(VLOOKUP($A1848,原始数据_利率互换_FR007_1年!$A$6:$C$4395,3,0),"")</f>
        <v>3.6721</v>
      </c>
    </row>
    <row r="1849" spans="1:9">
      <c r="A1849" s="6">
        <v>41342</v>
      </c>
      <c r="B1849" t="str">
        <f>IFERROR(VLOOKUP($A1849,原始数据_收盘!$A$4:$G$3460,2,0),"")</f>
        <v/>
      </c>
      <c r="C1849" t="str">
        <f>IFERROR(VLOOKUP($A1849,原始数据_收盘!$A$4:$G$3460,3,0),"")</f>
        <v/>
      </c>
      <c r="D1849" t="str">
        <f>IFERROR(VLOOKUP($A1849,原始数据_收盘!$A$4:$G$3460,4,0),"")</f>
        <v/>
      </c>
      <c r="E1849" t="str">
        <f>IFERROR(VLOOKUP($A1849,原始数据_收盘!$A$4:$G$3460,5,0),"")</f>
        <v/>
      </c>
      <c r="F1849" t="str">
        <f>IFERROR(VLOOKUP($A1849,原始数据_收盘!$A$4:$G$3460,6,0),"")</f>
        <v/>
      </c>
      <c r="G1849" t="str">
        <f>IFERROR(VLOOKUP($A1849,原始数据_收盘!$A$4:$G$3460,7,0),"")</f>
        <v/>
      </c>
      <c r="H1849" t="str">
        <f>IFERROR(VLOOKUP($A1849,原始数据_利率互换_FR007_1年!$A$6:$C$4395,2,0),"")</f>
        <v/>
      </c>
      <c r="I1849" t="str">
        <f>IFERROR(VLOOKUP($A1849,原始数据_利率互换_FR007_1年!$A$6:$C$4395,3,0),"")</f>
        <v/>
      </c>
    </row>
    <row r="1850" spans="1:9">
      <c r="A1850" s="6">
        <v>41343</v>
      </c>
      <c r="B1850" t="str">
        <f>IFERROR(VLOOKUP($A1850,原始数据_收盘!$A$4:$G$3460,2,0),"")</f>
        <v/>
      </c>
      <c r="C1850" t="str">
        <f>IFERROR(VLOOKUP($A1850,原始数据_收盘!$A$4:$G$3460,3,0),"")</f>
        <v/>
      </c>
      <c r="D1850" t="str">
        <f>IFERROR(VLOOKUP($A1850,原始数据_收盘!$A$4:$G$3460,4,0),"")</f>
        <v/>
      </c>
      <c r="E1850" t="str">
        <f>IFERROR(VLOOKUP($A1850,原始数据_收盘!$A$4:$G$3460,5,0),"")</f>
        <v/>
      </c>
      <c r="F1850" t="str">
        <f>IFERROR(VLOOKUP($A1850,原始数据_收盘!$A$4:$G$3460,6,0),"")</f>
        <v/>
      </c>
      <c r="G1850" t="str">
        <f>IFERROR(VLOOKUP($A1850,原始数据_收盘!$A$4:$G$3460,7,0),"")</f>
        <v/>
      </c>
      <c r="H1850" t="str">
        <f>IFERROR(VLOOKUP($A1850,原始数据_利率互换_FR007_1年!$A$6:$C$4395,2,0),"")</f>
        <v/>
      </c>
      <c r="I1850" t="str">
        <f>IFERROR(VLOOKUP($A1850,原始数据_利率互换_FR007_1年!$A$6:$C$4395,3,0),"")</f>
        <v/>
      </c>
    </row>
    <row r="1851" spans="1:9">
      <c r="A1851" s="6">
        <v>41344</v>
      </c>
      <c r="B1851">
        <f>IFERROR(VLOOKUP($A1851,原始数据_收盘!$A$4:$G$3460,2,0),"")</f>
        <v>3.2171</v>
      </c>
      <c r="C1851">
        <f>IFERROR(VLOOKUP($A1851,原始数据_收盘!$A$4:$G$3460,3,0),"")</f>
        <v>3.6654</v>
      </c>
      <c r="D1851">
        <f>IFERROR(VLOOKUP($A1851,原始数据_收盘!$A$4:$G$3460,4,0),"")</f>
        <v>3.2702</v>
      </c>
      <c r="E1851">
        <f>IFERROR(VLOOKUP($A1851,原始数据_收盘!$A$4:$G$3460,5,0),"")</f>
        <v>3.7218</v>
      </c>
      <c r="F1851">
        <f>IFERROR(VLOOKUP($A1851,原始数据_收盘!$A$4:$G$3460,6,0),"")</f>
        <v>3.2437</v>
      </c>
      <c r="G1851">
        <f>IFERROR(VLOOKUP($A1851,原始数据_收盘!$A$4:$G$3460,7,0),"")</f>
        <v>3.6936</v>
      </c>
      <c r="H1851">
        <f>IFERROR(VLOOKUP($A1851,原始数据_利率互换_FR007_1年!$A$6:$C$4395,2,0),"")</f>
        <v>3.2325</v>
      </c>
      <c r="I1851">
        <f>IFERROR(VLOOKUP($A1851,原始数据_利率互换_FR007_1年!$A$6:$C$4395,3,0),"")</f>
        <v>3.7002</v>
      </c>
    </row>
    <row r="1852" spans="1:9">
      <c r="A1852" s="6">
        <v>41345</v>
      </c>
      <c r="B1852">
        <f>IFERROR(VLOOKUP($A1852,原始数据_收盘!$A$4:$G$3460,2,0),"")</f>
        <v>3.2249</v>
      </c>
      <c r="C1852">
        <f>IFERROR(VLOOKUP($A1852,原始数据_收盘!$A$4:$G$3460,3,0),"")</f>
        <v>3.6559</v>
      </c>
      <c r="D1852">
        <f>IFERROR(VLOOKUP($A1852,原始数据_收盘!$A$4:$G$3460,4,0),"")</f>
        <v>3.2767</v>
      </c>
      <c r="E1852">
        <f>IFERROR(VLOOKUP($A1852,原始数据_收盘!$A$4:$G$3460,5,0),"")</f>
        <v>3.7104</v>
      </c>
      <c r="F1852">
        <f>IFERROR(VLOOKUP($A1852,原始数据_收盘!$A$4:$G$3460,6,0),"")</f>
        <v>3.2508</v>
      </c>
      <c r="G1852">
        <f>IFERROR(VLOOKUP($A1852,原始数据_收盘!$A$4:$G$3460,7,0),"")</f>
        <v>3.6832</v>
      </c>
      <c r="H1852">
        <f>IFERROR(VLOOKUP($A1852,原始数据_利率互换_FR007_1年!$A$6:$C$4395,2,0),"")</f>
        <v>3.2659</v>
      </c>
      <c r="I1852">
        <f>IFERROR(VLOOKUP($A1852,原始数据_利率互换_FR007_1年!$A$6:$C$4395,3,0),"")</f>
        <v>3.6936</v>
      </c>
    </row>
    <row r="1853" spans="1:9">
      <c r="A1853" s="6">
        <v>41346</v>
      </c>
      <c r="B1853">
        <f>IFERROR(VLOOKUP($A1853,原始数据_收盘!$A$4:$G$3460,2,0),"")</f>
        <v>3.2388</v>
      </c>
      <c r="C1853">
        <f>IFERROR(VLOOKUP($A1853,原始数据_收盘!$A$4:$G$3460,3,0),"")</f>
        <v>3.6489</v>
      </c>
      <c r="D1853">
        <f>IFERROR(VLOOKUP($A1853,原始数据_收盘!$A$4:$G$3460,4,0),"")</f>
        <v>3.2891</v>
      </c>
      <c r="E1853">
        <f>IFERROR(VLOOKUP($A1853,原始数据_收盘!$A$4:$G$3460,5,0),"")</f>
        <v>3.7044</v>
      </c>
      <c r="F1853">
        <f>IFERROR(VLOOKUP($A1853,原始数据_收盘!$A$4:$G$3460,6,0),"")</f>
        <v>3.2639</v>
      </c>
      <c r="G1853">
        <f>IFERROR(VLOOKUP($A1853,原始数据_收盘!$A$4:$G$3460,7,0),"")</f>
        <v>3.6767</v>
      </c>
      <c r="H1853">
        <f>IFERROR(VLOOKUP($A1853,原始数据_利率互换_FR007_1年!$A$6:$C$4395,2,0),"")</f>
        <v>3.2657</v>
      </c>
      <c r="I1853">
        <f>IFERROR(VLOOKUP($A1853,原始数据_利率互换_FR007_1年!$A$6:$C$4395,3,0),"")</f>
        <v>3.6725</v>
      </c>
    </row>
    <row r="1854" spans="1:9">
      <c r="A1854" s="6">
        <v>41347</v>
      </c>
      <c r="B1854">
        <f>IFERROR(VLOOKUP($A1854,原始数据_收盘!$A$4:$G$3460,2,0),"")</f>
        <v>3.2469</v>
      </c>
      <c r="C1854">
        <f>IFERROR(VLOOKUP($A1854,原始数据_收盘!$A$4:$G$3460,3,0),"")</f>
        <v>3.6553</v>
      </c>
      <c r="D1854">
        <f>IFERROR(VLOOKUP($A1854,原始数据_收盘!$A$4:$G$3460,4,0),"")</f>
        <v>3.2931</v>
      </c>
      <c r="E1854">
        <f>IFERROR(VLOOKUP($A1854,原始数据_收盘!$A$4:$G$3460,5,0),"")</f>
        <v>3.7056</v>
      </c>
      <c r="F1854">
        <f>IFERROR(VLOOKUP($A1854,原始数据_收盘!$A$4:$G$3460,6,0),"")</f>
        <v>3.27</v>
      </c>
      <c r="G1854">
        <f>IFERROR(VLOOKUP($A1854,原始数据_收盘!$A$4:$G$3460,7,0),"")</f>
        <v>3.6805</v>
      </c>
      <c r="H1854">
        <f>IFERROR(VLOOKUP($A1854,原始数据_利率互换_FR007_1年!$A$6:$C$4395,2,0),"")</f>
        <v>3.2713</v>
      </c>
      <c r="I1854">
        <f>IFERROR(VLOOKUP($A1854,原始数据_利率互换_FR007_1年!$A$6:$C$4395,3,0),"")</f>
        <v>3.68</v>
      </c>
    </row>
    <row r="1855" spans="1:9">
      <c r="A1855" s="6">
        <v>41348</v>
      </c>
      <c r="B1855">
        <f>IFERROR(VLOOKUP($A1855,原始数据_收盘!$A$4:$G$3460,2,0),"")</f>
        <v>3.2497</v>
      </c>
      <c r="C1855">
        <f>IFERROR(VLOOKUP($A1855,原始数据_收盘!$A$4:$G$3460,3,0),"")</f>
        <v>3.67</v>
      </c>
      <c r="D1855">
        <f>IFERROR(VLOOKUP($A1855,原始数据_收盘!$A$4:$G$3460,4,0),"")</f>
        <v>3.2929</v>
      </c>
      <c r="E1855">
        <f>IFERROR(VLOOKUP($A1855,原始数据_收盘!$A$4:$G$3460,5,0),"")</f>
        <v>3.717</v>
      </c>
      <c r="F1855">
        <f>IFERROR(VLOOKUP($A1855,原始数据_收盘!$A$4:$G$3460,6,0),"")</f>
        <v>3.2713</v>
      </c>
      <c r="G1855">
        <f>IFERROR(VLOOKUP($A1855,原始数据_收盘!$A$4:$G$3460,7,0),"")</f>
        <v>3.6935</v>
      </c>
      <c r="H1855">
        <f>IFERROR(VLOOKUP($A1855,原始数据_利率互换_FR007_1年!$A$6:$C$4395,2,0),"")</f>
        <v>3.2782</v>
      </c>
      <c r="I1855">
        <f>IFERROR(VLOOKUP($A1855,原始数据_利率互换_FR007_1年!$A$6:$C$4395,3,0),"")</f>
        <v>3.694</v>
      </c>
    </row>
    <row r="1856" spans="1:9">
      <c r="A1856" s="6">
        <v>41349</v>
      </c>
      <c r="B1856" t="str">
        <f>IFERROR(VLOOKUP($A1856,原始数据_收盘!$A$4:$G$3460,2,0),"")</f>
        <v/>
      </c>
      <c r="C1856" t="str">
        <f>IFERROR(VLOOKUP($A1856,原始数据_收盘!$A$4:$G$3460,3,0),"")</f>
        <v/>
      </c>
      <c r="D1856" t="str">
        <f>IFERROR(VLOOKUP($A1856,原始数据_收盘!$A$4:$G$3460,4,0),"")</f>
        <v/>
      </c>
      <c r="E1856" t="str">
        <f>IFERROR(VLOOKUP($A1856,原始数据_收盘!$A$4:$G$3460,5,0),"")</f>
        <v/>
      </c>
      <c r="F1856" t="str">
        <f>IFERROR(VLOOKUP($A1856,原始数据_收盘!$A$4:$G$3460,6,0),"")</f>
        <v/>
      </c>
      <c r="G1856" t="str">
        <f>IFERROR(VLOOKUP($A1856,原始数据_收盘!$A$4:$G$3460,7,0),"")</f>
        <v/>
      </c>
      <c r="H1856" t="str">
        <f>IFERROR(VLOOKUP($A1856,原始数据_利率互换_FR007_1年!$A$6:$C$4395,2,0),"")</f>
        <v/>
      </c>
      <c r="I1856" t="str">
        <f>IFERROR(VLOOKUP($A1856,原始数据_利率互换_FR007_1年!$A$6:$C$4395,3,0),"")</f>
        <v/>
      </c>
    </row>
    <row r="1857" spans="1:9">
      <c r="A1857" s="6">
        <v>41350</v>
      </c>
      <c r="B1857" t="str">
        <f>IFERROR(VLOOKUP($A1857,原始数据_收盘!$A$4:$G$3460,2,0),"")</f>
        <v/>
      </c>
      <c r="C1857" t="str">
        <f>IFERROR(VLOOKUP($A1857,原始数据_收盘!$A$4:$G$3460,3,0),"")</f>
        <v/>
      </c>
      <c r="D1857" t="str">
        <f>IFERROR(VLOOKUP($A1857,原始数据_收盘!$A$4:$G$3460,4,0),"")</f>
        <v/>
      </c>
      <c r="E1857" t="str">
        <f>IFERROR(VLOOKUP($A1857,原始数据_收盘!$A$4:$G$3460,5,0),"")</f>
        <v/>
      </c>
      <c r="F1857" t="str">
        <f>IFERROR(VLOOKUP($A1857,原始数据_收盘!$A$4:$G$3460,6,0),"")</f>
        <v/>
      </c>
      <c r="G1857" t="str">
        <f>IFERROR(VLOOKUP($A1857,原始数据_收盘!$A$4:$G$3460,7,0),"")</f>
        <v/>
      </c>
      <c r="H1857" t="str">
        <f>IFERROR(VLOOKUP($A1857,原始数据_利率互换_FR007_1年!$A$6:$C$4395,2,0),"")</f>
        <v/>
      </c>
      <c r="I1857" t="str">
        <f>IFERROR(VLOOKUP($A1857,原始数据_利率互换_FR007_1年!$A$6:$C$4395,3,0),"")</f>
        <v/>
      </c>
    </row>
    <row r="1858" spans="1:9">
      <c r="A1858" s="6">
        <v>41351</v>
      </c>
      <c r="B1858">
        <f>IFERROR(VLOOKUP($A1858,原始数据_收盘!$A$4:$G$3460,2,0),"")</f>
        <v>3.2432</v>
      </c>
      <c r="C1858">
        <f>IFERROR(VLOOKUP($A1858,原始数据_收盘!$A$4:$G$3460,3,0),"")</f>
        <v>3.6436</v>
      </c>
      <c r="D1858">
        <f>IFERROR(VLOOKUP($A1858,原始数据_收盘!$A$4:$G$3460,4,0),"")</f>
        <v>3.2882</v>
      </c>
      <c r="E1858">
        <f>IFERROR(VLOOKUP($A1858,原始数据_收盘!$A$4:$G$3460,5,0),"")</f>
        <v>3.6939</v>
      </c>
      <c r="F1858">
        <f>IFERROR(VLOOKUP($A1858,原始数据_收盘!$A$4:$G$3460,6,0),"")</f>
        <v>3.2657</v>
      </c>
      <c r="G1858">
        <f>IFERROR(VLOOKUP($A1858,原始数据_收盘!$A$4:$G$3460,7,0),"")</f>
        <v>3.6688</v>
      </c>
      <c r="H1858">
        <f>IFERROR(VLOOKUP($A1858,原始数据_利率互换_FR007_1年!$A$6:$C$4395,2,0),"")</f>
        <v>3.2639</v>
      </c>
      <c r="I1858">
        <f>IFERROR(VLOOKUP($A1858,原始数据_利率互换_FR007_1年!$A$6:$C$4395,3,0),"")</f>
        <v>3.6609</v>
      </c>
    </row>
    <row r="1859" spans="1:9">
      <c r="A1859" s="6">
        <v>41352</v>
      </c>
      <c r="B1859">
        <f>IFERROR(VLOOKUP($A1859,原始数据_收盘!$A$4:$G$3460,2,0),"")</f>
        <v>3.241</v>
      </c>
      <c r="C1859">
        <f>IFERROR(VLOOKUP($A1859,原始数据_收盘!$A$4:$G$3460,3,0),"")</f>
        <v>3.6478</v>
      </c>
      <c r="D1859">
        <f>IFERROR(VLOOKUP($A1859,原始数据_收盘!$A$4:$G$3460,4,0),"")</f>
        <v>3.291</v>
      </c>
      <c r="E1859">
        <f>IFERROR(VLOOKUP($A1859,原始数据_收盘!$A$4:$G$3460,5,0),"")</f>
        <v>3.7004</v>
      </c>
      <c r="F1859">
        <f>IFERROR(VLOOKUP($A1859,原始数据_收盘!$A$4:$G$3460,6,0),"")</f>
        <v>3.266</v>
      </c>
      <c r="G1859">
        <f>IFERROR(VLOOKUP($A1859,原始数据_收盘!$A$4:$G$3460,7,0),"")</f>
        <v>3.6741</v>
      </c>
      <c r="H1859">
        <f>IFERROR(VLOOKUP($A1859,原始数据_利率互换_FR007_1年!$A$6:$C$4395,2,0),"")</f>
        <v>3.27</v>
      </c>
      <c r="I1859">
        <f>IFERROR(VLOOKUP($A1859,原始数据_利率互换_FR007_1年!$A$6:$C$4395,3,0),"")</f>
        <v>3.6656</v>
      </c>
    </row>
    <row r="1860" spans="1:9">
      <c r="A1860" s="6">
        <v>41353</v>
      </c>
      <c r="B1860">
        <f>IFERROR(VLOOKUP($A1860,原始数据_收盘!$A$4:$G$3460,2,0),"")</f>
        <v>3.2479</v>
      </c>
      <c r="C1860">
        <f>IFERROR(VLOOKUP($A1860,原始数据_收盘!$A$4:$G$3460,3,0),"")</f>
        <v>3.6533</v>
      </c>
      <c r="D1860">
        <f>IFERROR(VLOOKUP($A1860,原始数据_收盘!$A$4:$G$3460,4,0),"")</f>
        <v>3.3005</v>
      </c>
      <c r="E1860">
        <f>IFERROR(VLOOKUP($A1860,原始数据_收盘!$A$4:$G$3460,5,0),"")</f>
        <v>3.7104</v>
      </c>
      <c r="F1860">
        <f>IFERROR(VLOOKUP($A1860,原始数据_收盘!$A$4:$G$3460,6,0),"")</f>
        <v>3.2742</v>
      </c>
      <c r="G1860">
        <f>IFERROR(VLOOKUP($A1860,原始数据_收盘!$A$4:$G$3460,7,0),"")</f>
        <v>3.6818</v>
      </c>
      <c r="H1860">
        <f>IFERROR(VLOOKUP($A1860,原始数据_利率互换_FR007_1年!$A$6:$C$4395,2,0),"")</f>
        <v>3.2677</v>
      </c>
      <c r="I1860">
        <f>IFERROR(VLOOKUP($A1860,原始数据_利率互换_FR007_1年!$A$6:$C$4395,3,0),"")</f>
        <v>3.6736</v>
      </c>
    </row>
    <row r="1861" spans="1:9">
      <c r="A1861" s="6">
        <v>41354</v>
      </c>
      <c r="B1861">
        <f>IFERROR(VLOOKUP($A1861,原始数据_收盘!$A$4:$G$3460,2,0),"")</f>
        <v>3.2494</v>
      </c>
      <c r="C1861">
        <f>IFERROR(VLOOKUP($A1861,原始数据_收盘!$A$4:$G$3460,3,0),"")</f>
        <v>3.6646</v>
      </c>
      <c r="D1861">
        <f>IFERROR(VLOOKUP($A1861,原始数据_收盘!$A$4:$G$3460,4,0),"")</f>
        <v>3.3025</v>
      </c>
      <c r="E1861">
        <f>IFERROR(VLOOKUP($A1861,原始数据_收盘!$A$4:$G$3460,5,0),"")</f>
        <v>3.7237</v>
      </c>
      <c r="F1861">
        <f>IFERROR(VLOOKUP($A1861,原始数据_收盘!$A$4:$G$3460,6,0),"")</f>
        <v>3.276</v>
      </c>
      <c r="G1861">
        <f>IFERROR(VLOOKUP($A1861,原始数据_收盘!$A$4:$G$3460,7,0),"")</f>
        <v>3.6942</v>
      </c>
      <c r="H1861">
        <f>IFERROR(VLOOKUP($A1861,原始数据_利率互换_FR007_1年!$A$6:$C$4395,2,0),"")</f>
        <v>3.293</v>
      </c>
      <c r="I1861">
        <f>IFERROR(VLOOKUP($A1861,原始数据_利率互换_FR007_1年!$A$6:$C$4395,3,0),"")</f>
        <v>3.7024</v>
      </c>
    </row>
    <row r="1862" spans="1:9">
      <c r="A1862" s="6">
        <v>41355</v>
      </c>
      <c r="B1862">
        <f>IFERROR(VLOOKUP($A1862,原始数据_收盘!$A$4:$G$3460,2,0),"")</f>
        <v>3.244</v>
      </c>
      <c r="C1862">
        <f>IFERROR(VLOOKUP($A1862,原始数据_收盘!$A$4:$G$3460,3,0),"")</f>
        <v>3.6559</v>
      </c>
      <c r="D1862">
        <f>IFERROR(VLOOKUP($A1862,原始数据_收盘!$A$4:$G$3460,4,0),"")</f>
        <v>3.2962</v>
      </c>
      <c r="E1862">
        <f>IFERROR(VLOOKUP($A1862,原始数据_收盘!$A$4:$G$3460,5,0),"")</f>
        <v>3.7136</v>
      </c>
      <c r="F1862">
        <f>IFERROR(VLOOKUP($A1862,原始数据_收盘!$A$4:$G$3460,6,0),"")</f>
        <v>3.2701</v>
      </c>
      <c r="G1862">
        <f>IFERROR(VLOOKUP($A1862,原始数据_收盘!$A$4:$G$3460,7,0),"")</f>
        <v>3.6847</v>
      </c>
      <c r="H1862">
        <f>IFERROR(VLOOKUP($A1862,原始数据_利率互换_FR007_1年!$A$6:$C$4395,2,0),"")</f>
        <v>3.2747</v>
      </c>
      <c r="I1862">
        <f>IFERROR(VLOOKUP($A1862,原始数据_利率互换_FR007_1年!$A$6:$C$4395,3,0),"")</f>
        <v>3.69</v>
      </c>
    </row>
    <row r="1863" spans="1:9">
      <c r="A1863" s="6">
        <v>41356</v>
      </c>
      <c r="B1863" t="str">
        <f>IFERROR(VLOOKUP($A1863,原始数据_收盘!$A$4:$G$3460,2,0),"")</f>
        <v/>
      </c>
      <c r="C1863" t="str">
        <f>IFERROR(VLOOKUP($A1863,原始数据_收盘!$A$4:$G$3460,3,0),"")</f>
        <v/>
      </c>
      <c r="D1863" t="str">
        <f>IFERROR(VLOOKUP($A1863,原始数据_收盘!$A$4:$G$3460,4,0),"")</f>
        <v/>
      </c>
      <c r="E1863" t="str">
        <f>IFERROR(VLOOKUP($A1863,原始数据_收盘!$A$4:$G$3460,5,0),"")</f>
        <v/>
      </c>
      <c r="F1863" t="str">
        <f>IFERROR(VLOOKUP($A1863,原始数据_收盘!$A$4:$G$3460,6,0),"")</f>
        <v/>
      </c>
      <c r="G1863" t="str">
        <f>IFERROR(VLOOKUP($A1863,原始数据_收盘!$A$4:$G$3460,7,0),"")</f>
        <v/>
      </c>
      <c r="H1863" t="str">
        <f>IFERROR(VLOOKUP($A1863,原始数据_利率互换_FR007_1年!$A$6:$C$4395,2,0),"")</f>
        <v/>
      </c>
      <c r="I1863" t="str">
        <f>IFERROR(VLOOKUP($A1863,原始数据_利率互换_FR007_1年!$A$6:$C$4395,3,0),"")</f>
        <v/>
      </c>
    </row>
    <row r="1864" spans="1:9">
      <c r="A1864" s="6">
        <v>41357</v>
      </c>
      <c r="B1864" t="str">
        <f>IFERROR(VLOOKUP($A1864,原始数据_收盘!$A$4:$G$3460,2,0),"")</f>
        <v/>
      </c>
      <c r="C1864" t="str">
        <f>IFERROR(VLOOKUP($A1864,原始数据_收盘!$A$4:$G$3460,3,0),"")</f>
        <v/>
      </c>
      <c r="D1864" t="str">
        <f>IFERROR(VLOOKUP($A1864,原始数据_收盘!$A$4:$G$3460,4,0),"")</f>
        <v/>
      </c>
      <c r="E1864" t="str">
        <f>IFERROR(VLOOKUP($A1864,原始数据_收盘!$A$4:$G$3460,5,0),"")</f>
        <v/>
      </c>
      <c r="F1864" t="str">
        <f>IFERROR(VLOOKUP($A1864,原始数据_收盘!$A$4:$G$3460,6,0),"")</f>
        <v/>
      </c>
      <c r="G1864" t="str">
        <f>IFERROR(VLOOKUP($A1864,原始数据_收盘!$A$4:$G$3460,7,0),"")</f>
        <v/>
      </c>
      <c r="H1864" t="str">
        <f>IFERROR(VLOOKUP($A1864,原始数据_利率互换_FR007_1年!$A$6:$C$4395,2,0),"")</f>
        <v/>
      </c>
      <c r="I1864" t="str">
        <f>IFERROR(VLOOKUP($A1864,原始数据_利率互换_FR007_1年!$A$6:$C$4395,3,0),"")</f>
        <v/>
      </c>
    </row>
    <row r="1865" spans="1:9">
      <c r="A1865" s="6">
        <v>41358</v>
      </c>
      <c r="B1865">
        <f>IFERROR(VLOOKUP($A1865,原始数据_收盘!$A$4:$G$3460,2,0),"")</f>
        <v>3.2476</v>
      </c>
      <c r="C1865">
        <f>IFERROR(VLOOKUP($A1865,原始数据_收盘!$A$4:$G$3460,3,0),"")</f>
        <v>3.6564</v>
      </c>
      <c r="D1865">
        <f>IFERROR(VLOOKUP($A1865,原始数据_收盘!$A$4:$G$3460,4,0),"")</f>
        <v>3.2988</v>
      </c>
      <c r="E1865">
        <f>IFERROR(VLOOKUP($A1865,原始数据_收盘!$A$4:$G$3460,5,0),"")</f>
        <v>3.7119</v>
      </c>
      <c r="F1865">
        <f>IFERROR(VLOOKUP($A1865,原始数据_收盘!$A$4:$G$3460,6,0),"")</f>
        <v>3.2732</v>
      </c>
      <c r="G1865">
        <f>IFERROR(VLOOKUP($A1865,原始数据_收盘!$A$4:$G$3460,7,0),"")</f>
        <v>3.6842</v>
      </c>
      <c r="H1865">
        <f>IFERROR(VLOOKUP($A1865,原始数据_利率互换_FR007_1年!$A$6:$C$4395,2,0),"")</f>
        <v>3.2816</v>
      </c>
      <c r="I1865">
        <f>IFERROR(VLOOKUP($A1865,原始数据_利率互换_FR007_1年!$A$6:$C$4395,3,0),"")</f>
        <v>3.6825</v>
      </c>
    </row>
    <row r="1866" spans="1:9">
      <c r="A1866" s="6">
        <v>41359</v>
      </c>
      <c r="B1866">
        <f>IFERROR(VLOOKUP($A1866,原始数据_收盘!$A$4:$G$3460,2,0),"")</f>
        <v>3.2484</v>
      </c>
      <c r="C1866">
        <f>IFERROR(VLOOKUP($A1866,原始数据_收盘!$A$4:$G$3460,3,0),"")</f>
        <v>3.6554</v>
      </c>
      <c r="D1866">
        <f>IFERROR(VLOOKUP($A1866,原始数据_收盘!$A$4:$G$3460,4,0),"")</f>
        <v>3.3026</v>
      </c>
      <c r="E1866">
        <f>IFERROR(VLOOKUP($A1866,原始数据_收盘!$A$4:$G$3460,5,0),"")</f>
        <v>3.7149</v>
      </c>
      <c r="F1866">
        <f>IFERROR(VLOOKUP($A1866,原始数据_收盘!$A$4:$G$3460,6,0),"")</f>
        <v>3.2755</v>
      </c>
      <c r="G1866">
        <f>IFERROR(VLOOKUP($A1866,原始数据_收盘!$A$4:$G$3460,7,0),"")</f>
        <v>3.6852</v>
      </c>
      <c r="H1866">
        <f>IFERROR(VLOOKUP($A1866,原始数据_利率互换_FR007_1年!$A$6:$C$4395,2,0),"")</f>
        <v>3.2771</v>
      </c>
      <c r="I1866">
        <f>IFERROR(VLOOKUP($A1866,原始数据_利率互换_FR007_1年!$A$6:$C$4395,3,0),"")</f>
        <v>3.6825</v>
      </c>
    </row>
    <row r="1867" spans="1:9">
      <c r="A1867" s="6">
        <v>41360</v>
      </c>
      <c r="B1867">
        <f>IFERROR(VLOOKUP($A1867,原始数据_收盘!$A$4:$G$3460,2,0),"")</f>
        <v>3.2507</v>
      </c>
      <c r="C1867">
        <f>IFERROR(VLOOKUP($A1867,原始数据_收盘!$A$4:$G$3460,3,0),"")</f>
        <v>3.6629</v>
      </c>
      <c r="D1867">
        <f>IFERROR(VLOOKUP($A1867,原始数据_收盘!$A$4:$G$3460,4,0),"")</f>
        <v>3.3028</v>
      </c>
      <c r="E1867">
        <f>IFERROR(VLOOKUP($A1867,原始数据_收盘!$A$4:$G$3460,5,0),"")</f>
        <v>3.7195</v>
      </c>
      <c r="F1867">
        <f>IFERROR(VLOOKUP($A1867,原始数据_收盘!$A$4:$G$3460,6,0),"")</f>
        <v>3.2768</v>
      </c>
      <c r="G1867">
        <f>IFERROR(VLOOKUP($A1867,原始数据_收盘!$A$4:$G$3460,7,0),"")</f>
        <v>3.6912</v>
      </c>
      <c r="H1867">
        <f>IFERROR(VLOOKUP($A1867,原始数据_利率互换_FR007_1年!$A$6:$C$4395,2,0),"")</f>
        <v>3.2783</v>
      </c>
      <c r="I1867">
        <f>IFERROR(VLOOKUP($A1867,原始数据_利率互换_FR007_1年!$A$6:$C$4395,3,0),"")</f>
        <v>3.6975</v>
      </c>
    </row>
    <row r="1868" spans="1:9">
      <c r="A1868" s="6">
        <v>41361</v>
      </c>
      <c r="B1868">
        <f>IFERROR(VLOOKUP($A1868,原始数据_收盘!$A$4:$G$3460,2,0),"")</f>
        <v>3.2504</v>
      </c>
      <c r="C1868">
        <f>IFERROR(VLOOKUP($A1868,原始数据_收盘!$A$4:$G$3460,3,0),"")</f>
        <v>3.6507</v>
      </c>
      <c r="D1868">
        <f>IFERROR(VLOOKUP($A1868,原始数据_收盘!$A$4:$G$3460,4,0),"")</f>
        <v>3.3011</v>
      </c>
      <c r="E1868">
        <f>IFERROR(VLOOKUP($A1868,原始数据_收盘!$A$4:$G$3460,5,0),"")</f>
        <v>3.7044</v>
      </c>
      <c r="F1868">
        <f>IFERROR(VLOOKUP($A1868,原始数据_收盘!$A$4:$G$3460,6,0),"")</f>
        <v>3.2757</v>
      </c>
      <c r="G1868">
        <f>IFERROR(VLOOKUP($A1868,原始数据_收盘!$A$4:$G$3460,7,0),"")</f>
        <v>3.6776</v>
      </c>
      <c r="H1868">
        <f>IFERROR(VLOOKUP($A1868,原始数据_利率互换_FR007_1年!$A$6:$C$4395,2,0),"")</f>
        <v>3.2708</v>
      </c>
      <c r="I1868">
        <f>IFERROR(VLOOKUP($A1868,原始数据_利率互换_FR007_1年!$A$6:$C$4395,3,0),"")</f>
        <v>3.6713</v>
      </c>
    </row>
    <row r="1869" spans="1:9">
      <c r="A1869" s="6">
        <v>41362</v>
      </c>
      <c r="B1869">
        <f>IFERROR(VLOOKUP($A1869,原始数据_收盘!$A$4:$G$3460,2,0),"")</f>
        <v>3.2517</v>
      </c>
      <c r="C1869">
        <f>IFERROR(VLOOKUP($A1869,原始数据_收盘!$A$4:$G$3460,3,0),"")</f>
        <v>3.6474</v>
      </c>
      <c r="D1869">
        <f>IFERROR(VLOOKUP($A1869,原始数据_收盘!$A$4:$G$3460,4,0),"")</f>
        <v>3.3035</v>
      </c>
      <c r="E1869">
        <f>IFERROR(VLOOKUP($A1869,原始数据_收盘!$A$4:$G$3460,5,0),"")</f>
        <v>3.705</v>
      </c>
      <c r="F1869">
        <f>IFERROR(VLOOKUP($A1869,原始数据_收盘!$A$4:$G$3460,6,0),"")</f>
        <v>3.2776</v>
      </c>
      <c r="G1869">
        <f>IFERROR(VLOOKUP($A1869,原始数据_收盘!$A$4:$G$3460,7,0),"")</f>
        <v>3.6762</v>
      </c>
      <c r="H1869">
        <f>IFERROR(VLOOKUP($A1869,原始数据_利率互换_FR007_1年!$A$6:$C$4395,2,0),"")</f>
        <v>0</v>
      </c>
      <c r="I1869">
        <f>IFERROR(VLOOKUP($A1869,原始数据_利率互换_FR007_1年!$A$6:$C$4395,3,0),"")</f>
        <v>3.6675</v>
      </c>
    </row>
    <row r="1870" spans="1:9">
      <c r="A1870" s="6">
        <v>41363</v>
      </c>
      <c r="B1870" t="str">
        <f>IFERROR(VLOOKUP($A1870,原始数据_收盘!$A$4:$G$3460,2,0),"")</f>
        <v/>
      </c>
      <c r="C1870" t="str">
        <f>IFERROR(VLOOKUP($A1870,原始数据_收盘!$A$4:$G$3460,3,0),"")</f>
        <v/>
      </c>
      <c r="D1870" t="str">
        <f>IFERROR(VLOOKUP($A1870,原始数据_收盘!$A$4:$G$3460,4,0),"")</f>
        <v/>
      </c>
      <c r="E1870" t="str">
        <f>IFERROR(VLOOKUP($A1870,原始数据_收盘!$A$4:$G$3460,5,0),"")</f>
        <v/>
      </c>
      <c r="F1870" t="str">
        <f>IFERROR(VLOOKUP($A1870,原始数据_收盘!$A$4:$G$3460,6,0),"")</f>
        <v/>
      </c>
      <c r="G1870" t="str">
        <f>IFERROR(VLOOKUP($A1870,原始数据_收盘!$A$4:$G$3460,7,0),"")</f>
        <v/>
      </c>
      <c r="H1870" t="str">
        <f>IFERROR(VLOOKUP($A1870,原始数据_利率互换_FR007_1年!$A$6:$C$4395,2,0),"")</f>
        <v/>
      </c>
      <c r="I1870" t="str">
        <f>IFERROR(VLOOKUP($A1870,原始数据_利率互换_FR007_1年!$A$6:$C$4395,3,0),"")</f>
        <v/>
      </c>
    </row>
    <row r="1871" spans="1:9">
      <c r="A1871" s="6">
        <v>41364</v>
      </c>
      <c r="B1871" t="str">
        <f>IFERROR(VLOOKUP($A1871,原始数据_收盘!$A$4:$G$3460,2,0),"")</f>
        <v/>
      </c>
      <c r="C1871" t="str">
        <f>IFERROR(VLOOKUP($A1871,原始数据_收盘!$A$4:$G$3460,3,0),"")</f>
        <v/>
      </c>
      <c r="D1871" t="str">
        <f>IFERROR(VLOOKUP($A1871,原始数据_收盘!$A$4:$G$3460,4,0),"")</f>
        <v/>
      </c>
      <c r="E1871" t="str">
        <f>IFERROR(VLOOKUP($A1871,原始数据_收盘!$A$4:$G$3460,5,0),"")</f>
        <v/>
      </c>
      <c r="F1871" t="str">
        <f>IFERROR(VLOOKUP($A1871,原始数据_收盘!$A$4:$G$3460,6,0),"")</f>
        <v/>
      </c>
      <c r="G1871" t="str">
        <f>IFERROR(VLOOKUP($A1871,原始数据_收盘!$A$4:$G$3460,7,0),"")</f>
        <v/>
      </c>
      <c r="H1871" t="str">
        <f>IFERROR(VLOOKUP($A1871,原始数据_利率互换_FR007_1年!$A$6:$C$4395,2,0),"")</f>
        <v/>
      </c>
      <c r="I1871" t="str">
        <f>IFERROR(VLOOKUP($A1871,原始数据_利率互换_FR007_1年!$A$6:$C$4395,3,0),"")</f>
        <v/>
      </c>
    </row>
    <row r="1872" spans="1:9">
      <c r="A1872" s="6">
        <v>41365</v>
      </c>
      <c r="B1872">
        <f>IFERROR(VLOOKUP($A1872,原始数据_收盘!$A$4:$G$3460,2,0),"")</f>
        <v>3.2573</v>
      </c>
      <c r="C1872">
        <f>IFERROR(VLOOKUP($A1872,原始数据_收盘!$A$4:$G$3460,3,0),"")</f>
        <v>3.6353</v>
      </c>
      <c r="D1872">
        <f>IFERROR(VLOOKUP($A1872,原始数据_收盘!$A$4:$G$3460,4,0),"")</f>
        <v>3.3048</v>
      </c>
      <c r="E1872">
        <f>IFERROR(VLOOKUP($A1872,原始数据_收盘!$A$4:$G$3460,5,0),"")</f>
        <v>3.6876</v>
      </c>
      <c r="F1872">
        <f>IFERROR(VLOOKUP($A1872,原始数据_收盘!$A$4:$G$3460,6,0),"")</f>
        <v>3.2811</v>
      </c>
      <c r="G1872">
        <f>IFERROR(VLOOKUP($A1872,原始数据_收盘!$A$4:$G$3460,7,0),"")</f>
        <v>3.6614</v>
      </c>
      <c r="H1872">
        <f>IFERROR(VLOOKUP($A1872,原始数据_利率互换_FR007_1年!$A$6:$C$4395,2,0),"")</f>
        <v>0</v>
      </c>
      <c r="I1872">
        <f>IFERROR(VLOOKUP($A1872,原始数据_利率互换_FR007_1年!$A$6:$C$4395,3,0),"")</f>
        <v>3.6525</v>
      </c>
    </row>
    <row r="1873" spans="1:9">
      <c r="A1873" s="6">
        <v>41366</v>
      </c>
      <c r="B1873">
        <f>IFERROR(VLOOKUP($A1873,原始数据_收盘!$A$4:$G$3460,2,0),"")</f>
        <v>3.2438</v>
      </c>
      <c r="C1873">
        <f>IFERROR(VLOOKUP($A1873,原始数据_收盘!$A$4:$G$3460,3,0),"")</f>
        <v>3.6104</v>
      </c>
      <c r="D1873">
        <f>IFERROR(VLOOKUP($A1873,原始数据_收盘!$A$4:$G$3460,4,0),"")</f>
        <v>3.2925</v>
      </c>
      <c r="E1873">
        <f>IFERROR(VLOOKUP($A1873,原始数据_收盘!$A$4:$G$3460,5,0),"")</f>
        <v>3.6596</v>
      </c>
      <c r="F1873">
        <f>IFERROR(VLOOKUP($A1873,原始数据_收盘!$A$4:$G$3460,6,0),"")</f>
        <v>3.2681</v>
      </c>
      <c r="G1873">
        <f>IFERROR(VLOOKUP($A1873,原始数据_收盘!$A$4:$G$3460,7,0),"")</f>
        <v>3.635</v>
      </c>
      <c r="H1873">
        <f>IFERROR(VLOOKUP($A1873,原始数据_利率互换_FR007_1年!$A$6:$C$4395,2,0),"")</f>
        <v>3.2662</v>
      </c>
      <c r="I1873">
        <f>IFERROR(VLOOKUP($A1873,原始数据_利率互换_FR007_1年!$A$6:$C$4395,3,0),"")</f>
        <v>3.6305</v>
      </c>
    </row>
    <row r="1874" spans="1:9">
      <c r="A1874" s="6">
        <v>41367</v>
      </c>
      <c r="B1874">
        <f>IFERROR(VLOOKUP($A1874,原始数据_收盘!$A$4:$G$3460,2,0),"")</f>
        <v>3.2453</v>
      </c>
      <c r="C1874">
        <f>IFERROR(VLOOKUP($A1874,原始数据_收盘!$A$4:$G$3460,3,0),"")</f>
        <v>3.6119</v>
      </c>
      <c r="D1874">
        <f>IFERROR(VLOOKUP($A1874,原始数据_收盘!$A$4:$G$3460,4,0),"")</f>
        <v>3.2956</v>
      </c>
      <c r="E1874">
        <f>IFERROR(VLOOKUP($A1874,原始数据_收盘!$A$4:$G$3460,5,0),"")</f>
        <v>3.6611</v>
      </c>
      <c r="F1874">
        <f>IFERROR(VLOOKUP($A1874,原始数据_收盘!$A$4:$G$3460,6,0),"")</f>
        <v>3.2704</v>
      </c>
      <c r="G1874">
        <f>IFERROR(VLOOKUP($A1874,原始数据_收盘!$A$4:$G$3460,7,0),"")</f>
        <v>3.6365</v>
      </c>
      <c r="H1874">
        <f>IFERROR(VLOOKUP($A1874,原始数据_利率互换_FR007_1年!$A$6:$C$4395,2,0),"")</f>
        <v>3.2651</v>
      </c>
      <c r="I1874">
        <f>IFERROR(VLOOKUP($A1874,原始数据_利率互换_FR007_1年!$A$6:$C$4395,3,0),"")</f>
        <v>3.6222</v>
      </c>
    </row>
    <row r="1875" spans="1:9">
      <c r="A1875" s="6">
        <v>41368</v>
      </c>
      <c r="B1875" t="str">
        <f>IFERROR(VLOOKUP($A1875,原始数据_收盘!$A$4:$G$3460,2,0),"")</f>
        <v/>
      </c>
      <c r="C1875" t="str">
        <f>IFERROR(VLOOKUP($A1875,原始数据_收盘!$A$4:$G$3460,3,0),"")</f>
        <v/>
      </c>
      <c r="D1875" t="str">
        <f>IFERROR(VLOOKUP($A1875,原始数据_收盘!$A$4:$G$3460,4,0),"")</f>
        <v/>
      </c>
      <c r="E1875" t="str">
        <f>IFERROR(VLOOKUP($A1875,原始数据_收盘!$A$4:$G$3460,5,0),"")</f>
        <v/>
      </c>
      <c r="F1875" t="str">
        <f>IFERROR(VLOOKUP($A1875,原始数据_收盘!$A$4:$G$3460,6,0),"")</f>
        <v/>
      </c>
      <c r="G1875" t="str">
        <f>IFERROR(VLOOKUP($A1875,原始数据_收盘!$A$4:$G$3460,7,0),"")</f>
        <v/>
      </c>
      <c r="H1875" t="str">
        <f>IFERROR(VLOOKUP($A1875,原始数据_利率互换_FR007_1年!$A$6:$C$4395,2,0),"")</f>
        <v/>
      </c>
      <c r="I1875" t="str">
        <f>IFERROR(VLOOKUP($A1875,原始数据_利率互换_FR007_1年!$A$6:$C$4395,3,0),"")</f>
        <v/>
      </c>
    </row>
    <row r="1876" spans="1:9">
      <c r="A1876" s="6">
        <v>41369</v>
      </c>
      <c r="B1876" t="str">
        <f>IFERROR(VLOOKUP($A1876,原始数据_收盘!$A$4:$G$3460,2,0),"")</f>
        <v/>
      </c>
      <c r="C1876" t="str">
        <f>IFERROR(VLOOKUP($A1876,原始数据_收盘!$A$4:$G$3460,3,0),"")</f>
        <v/>
      </c>
      <c r="D1876" t="str">
        <f>IFERROR(VLOOKUP($A1876,原始数据_收盘!$A$4:$G$3460,4,0),"")</f>
        <v/>
      </c>
      <c r="E1876" t="str">
        <f>IFERROR(VLOOKUP($A1876,原始数据_收盘!$A$4:$G$3460,5,0),"")</f>
        <v/>
      </c>
      <c r="F1876" t="str">
        <f>IFERROR(VLOOKUP($A1876,原始数据_收盘!$A$4:$G$3460,6,0),"")</f>
        <v/>
      </c>
      <c r="G1876" t="str">
        <f>IFERROR(VLOOKUP($A1876,原始数据_收盘!$A$4:$G$3460,7,0),"")</f>
        <v/>
      </c>
      <c r="H1876" t="str">
        <f>IFERROR(VLOOKUP($A1876,原始数据_利率互换_FR007_1年!$A$6:$C$4395,2,0),"")</f>
        <v/>
      </c>
      <c r="I1876" t="str">
        <f>IFERROR(VLOOKUP($A1876,原始数据_利率互换_FR007_1年!$A$6:$C$4395,3,0),"")</f>
        <v/>
      </c>
    </row>
    <row r="1877" spans="1:9">
      <c r="A1877" s="6">
        <v>41370</v>
      </c>
      <c r="B1877" t="str">
        <f>IFERROR(VLOOKUP($A1877,原始数据_收盘!$A$4:$G$3460,2,0),"")</f>
        <v/>
      </c>
      <c r="C1877" t="str">
        <f>IFERROR(VLOOKUP($A1877,原始数据_收盘!$A$4:$G$3460,3,0),"")</f>
        <v/>
      </c>
      <c r="D1877" t="str">
        <f>IFERROR(VLOOKUP($A1877,原始数据_收盘!$A$4:$G$3460,4,0),"")</f>
        <v/>
      </c>
      <c r="E1877" t="str">
        <f>IFERROR(VLOOKUP($A1877,原始数据_收盘!$A$4:$G$3460,5,0),"")</f>
        <v/>
      </c>
      <c r="F1877" t="str">
        <f>IFERROR(VLOOKUP($A1877,原始数据_收盘!$A$4:$G$3460,6,0),"")</f>
        <v/>
      </c>
      <c r="G1877" t="str">
        <f>IFERROR(VLOOKUP($A1877,原始数据_收盘!$A$4:$G$3460,7,0),"")</f>
        <v/>
      </c>
      <c r="H1877" t="str">
        <f>IFERROR(VLOOKUP($A1877,原始数据_利率互换_FR007_1年!$A$6:$C$4395,2,0),"")</f>
        <v/>
      </c>
      <c r="I1877" t="str">
        <f>IFERROR(VLOOKUP($A1877,原始数据_利率互换_FR007_1年!$A$6:$C$4395,3,0),"")</f>
        <v/>
      </c>
    </row>
    <row r="1878" spans="1:9">
      <c r="A1878" s="6">
        <v>41371</v>
      </c>
      <c r="B1878">
        <f>IFERROR(VLOOKUP($A1878,原始数据_收盘!$A$4:$G$3460,2,0),"")</f>
        <v>3.2393</v>
      </c>
      <c r="C1878">
        <f>IFERROR(VLOOKUP($A1878,原始数据_收盘!$A$4:$G$3460,3,0),"")</f>
        <v>3.5568</v>
      </c>
      <c r="D1878">
        <f>IFERROR(VLOOKUP($A1878,原始数据_收盘!$A$4:$G$3460,4,0),"")</f>
        <v>3.2869</v>
      </c>
      <c r="E1878">
        <f>IFERROR(VLOOKUP($A1878,原始数据_收盘!$A$4:$G$3460,5,0),"")</f>
        <v>3.6085</v>
      </c>
      <c r="F1878">
        <f>IFERROR(VLOOKUP($A1878,原始数据_收盘!$A$4:$G$3460,6,0),"")</f>
        <v>3.2631</v>
      </c>
      <c r="G1878">
        <f>IFERROR(VLOOKUP($A1878,原始数据_收盘!$A$4:$G$3460,7,0),"")</f>
        <v>3.5826</v>
      </c>
      <c r="H1878">
        <f>IFERROR(VLOOKUP($A1878,原始数据_利率互换_FR007_1年!$A$6:$C$4395,2,0),"")</f>
        <v>3.255</v>
      </c>
      <c r="I1878">
        <f>IFERROR(VLOOKUP($A1878,原始数据_利率互换_FR007_1年!$A$6:$C$4395,3,0),"")</f>
        <v>3.5756</v>
      </c>
    </row>
    <row r="1879" spans="1:9">
      <c r="A1879" s="6">
        <v>41372</v>
      </c>
      <c r="B1879">
        <f>IFERROR(VLOOKUP($A1879,原始数据_收盘!$A$4:$G$3460,2,0),"")</f>
        <v>3.2421</v>
      </c>
      <c r="C1879">
        <f>IFERROR(VLOOKUP($A1879,原始数据_收盘!$A$4:$G$3460,3,0),"")</f>
        <v>3.5613</v>
      </c>
      <c r="D1879">
        <f>IFERROR(VLOOKUP($A1879,原始数据_收盘!$A$4:$G$3460,4,0),"")</f>
        <v>3.2967</v>
      </c>
      <c r="E1879">
        <f>IFERROR(VLOOKUP($A1879,原始数据_收盘!$A$4:$G$3460,5,0),"")</f>
        <v>3.6191</v>
      </c>
      <c r="F1879">
        <f>IFERROR(VLOOKUP($A1879,原始数据_收盘!$A$4:$G$3460,6,0),"")</f>
        <v>3.2694</v>
      </c>
      <c r="G1879">
        <f>IFERROR(VLOOKUP($A1879,原始数据_收盘!$A$4:$G$3460,7,0),"")</f>
        <v>3.5902</v>
      </c>
      <c r="H1879">
        <f>IFERROR(VLOOKUP($A1879,原始数据_利率互换_FR007_1年!$A$6:$C$4395,2,0),"")</f>
        <v>3.2685</v>
      </c>
      <c r="I1879">
        <f>IFERROR(VLOOKUP($A1879,原始数据_利率互换_FR007_1年!$A$6:$C$4395,3,0),"")</f>
        <v>3.5809</v>
      </c>
    </row>
    <row r="1880" spans="1:9">
      <c r="A1880" s="6">
        <v>41373</v>
      </c>
      <c r="B1880">
        <f>IFERROR(VLOOKUP($A1880,原始数据_收盘!$A$4:$G$3460,2,0),"")</f>
        <v>3.245</v>
      </c>
      <c r="C1880">
        <f>IFERROR(VLOOKUP($A1880,原始数据_收盘!$A$4:$G$3460,3,0),"")</f>
        <v>3.5711</v>
      </c>
      <c r="D1880">
        <f>IFERROR(VLOOKUP($A1880,原始数据_收盘!$A$4:$G$3460,4,0),"")</f>
        <v>3.295</v>
      </c>
      <c r="E1880">
        <f>IFERROR(VLOOKUP($A1880,原始数据_收盘!$A$4:$G$3460,5,0),"")</f>
        <v>3.6233</v>
      </c>
      <c r="F1880">
        <f>IFERROR(VLOOKUP($A1880,原始数据_收盘!$A$4:$G$3460,6,0),"")</f>
        <v>3.27</v>
      </c>
      <c r="G1880">
        <f>IFERROR(VLOOKUP($A1880,原始数据_收盘!$A$4:$G$3460,7,0),"")</f>
        <v>3.5972</v>
      </c>
      <c r="H1880">
        <f>IFERROR(VLOOKUP($A1880,原始数据_利率互换_FR007_1年!$A$6:$C$4395,2,0),"")</f>
        <v>3.263</v>
      </c>
      <c r="I1880">
        <f>IFERROR(VLOOKUP($A1880,原始数据_利率互换_FR007_1年!$A$6:$C$4395,3,0),"")</f>
        <v>3.5903</v>
      </c>
    </row>
    <row r="1881" spans="1:9">
      <c r="A1881" s="6">
        <v>41374</v>
      </c>
      <c r="B1881">
        <f>IFERROR(VLOOKUP($A1881,原始数据_收盘!$A$4:$G$3460,2,0),"")</f>
        <v>3.2479</v>
      </c>
      <c r="C1881">
        <f>IFERROR(VLOOKUP($A1881,原始数据_收盘!$A$4:$G$3460,3,0),"")</f>
        <v>3.5692</v>
      </c>
      <c r="D1881">
        <f>IFERROR(VLOOKUP($A1881,原始数据_收盘!$A$4:$G$3460,4,0),"")</f>
        <v>3.2963</v>
      </c>
      <c r="E1881">
        <f>IFERROR(VLOOKUP($A1881,原始数据_收盘!$A$4:$G$3460,5,0),"")</f>
        <v>3.6192</v>
      </c>
      <c r="F1881">
        <f>IFERROR(VLOOKUP($A1881,原始数据_收盘!$A$4:$G$3460,6,0),"")</f>
        <v>3.2721</v>
      </c>
      <c r="G1881">
        <f>IFERROR(VLOOKUP($A1881,原始数据_收盘!$A$4:$G$3460,7,0),"")</f>
        <v>3.5942</v>
      </c>
      <c r="H1881">
        <f>IFERROR(VLOOKUP($A1881,原始数据_利率互换_FR007_1年!$A$6:$C$4395,2,0),"")</f>
        <v>3.2675</v>
      </c>
      <c r="I1881">
        <f>IFERROR(VLOOKUP($A1881,原始数据_利率互换_FR007_1年!$A$6:$C$4395,3,0),"")</f>
        <v>3.591</v>
      </c>
    </row>
    <row r="1882" spans="1:9">
      <c r="A1882" s="6">
        <v>41375</v>
      </c>
      <c r="B1882">
        <f>IFERROR(VLOOKUP($A1882,原始数据_收盘!$A$4:$G$3460,2,0),"")</f>
        <v>3.2408</v>
      </c>
      <c r="C1882">
        <f>IFERROR(VLOOKUP($A1882,原始数据_收盘!$A$4:$G$3460,3,0),"")</f>
        <v>3.5732</v>
      </c>
      <c r="D1882">
        <f>IFERROR(VLOOKUP($A1882,原始数据_收盘!$A$4:$G$3460,4,0),"")</f>
        <v>3.2928</v>
      </c>
      <c r="E1882">
        <f>IFERROR(VLOOKUP($A1882,原始数据_收盘!$A$4:$G$3460,5,0),"")</f>
        <v>3.6245</v>
      </c>
      <c r="F1882">
        <f>IFERROR(VLOOKUP($A1882,原始数据_收盘!$A$4:$G$3460,6,0),"")</f>
        <v>3.2668</v>
      </c>
      <c r="G1882">
        <f>IFERROR(VLOOKUP($A1882,原始数据_收盘!$A$4:$G$3460,7,0),"")</f>
        <v>3.5988</v>
      </c>
      <c r="H1882">
        <f>IFERROR(VLOOKUP($A1882,原始数据_利率互换_FR007_1年!$A$6:$C$4395,2,0),"")</f>
        <v>3.2731</v>
      </c>
      <c r="I1882">
        <f>IFERROR(VLOOKUP($A1882,原始数据_利率互换_FR007_1年!$A$6:$C$4395,3,0),"")</f>
        <v>3.6037</v>
      </c>
    </row>
    <row r="1883" spans="1:9">
      <c r="A1883" s="6">
        <v>41376</v>
      </c>
      <c r="B1883">
        <f>IFERROR(VLOOKUP($A1883,原始数据_收盘!$A$4:$G$3460,2,0),"")</f>
        <v>3.2344</v>
      </c>
      <c r="C1883">
        <f>IFERROR(VLOOKUP($A1883,原始数据_收盘!$A$4:$G$3460,3,0),"")</f>
        <v>3.5692</v>
      </c>
      <c r="D1883">
        <f>IFERROR(VLOOKUP($A1883,原始数据_收盘!$A$4:$G$3460,4,0),"")</f>
        <v>3.2876</v>
      </c>
      <c r="E1883">
        <f>IFERROR(VLOOKUP($A1883,原始数据_收盘!$A$4:$G$3460,5,0),"")</f>
        <v>3.6218</v>
      </c>
      <c r="F1883">
        <f>IFERROR(VLOOKUP($A1883,原始数据_收盘!$A$4:$G$3460,6,0),"")</f>
        <v>3.261</v>
      </c>
      <c r="G1883">
        <f>IFERROR(VLOOKUP($A1883,原始数据_收盘!$A$4:$G$3460,7,0),"")</f>
        <v>3.5955</v>
      </c>
      <c r="H1883">
        <f>IFERROR(VLOOKUP($A1883,原始数据_利率互换_FR007_1年!$A$6:$C$4395,2,0),"")</f>
        <v>3.256</v>
      </c>
      <c r="I1883">
        <f>IFERROR(VLOOKUP($A1883,原始数据_利率互换_FR007_1年!$A$6:$C$4395,3,0),"")</f>
        <v>3.5888</v>
      </c>
    </row>
    <row r="1884" spans="1:9">
      <c r="A1884" s="6">
        <v>41377</v>
      </c>
      <c r="B1884" t="str">
        <f>IFERROR(VLOOKUP($A1884,原始数据_收盘!$A$4:$G$3460,2,0),"")</f>
        <v/>
      </c>
      <c r="C1884" t="str">
        <f>IFERROR(VLOOKUP($A1884,原始数据_收盘!$A$4:$G$3460,3,0),"")</f>
        <v/>
      </c>
      <c r="D1884" t="str">
        <f>IFERROR(VLOOKUP($A1884,原始数据_收盘!$A$4:$G$3460,4,0),"")</f>
        <v/>
      </c>
      <c r="E1884" t="str">
        <f>IFERROR(VLOOKUP($A1884,原始数据_收盘!$A$4:$G$3460,5,0),"")</f>
        <v/>
      </c>
      <c r="F1884" t="str">
        <f>IFERROR(VLOOKUP($A1884,原始数据_收盘!$A$4:$G$3460,6,0),"")</f>
        <v/>
      </c>
      <c r="G1884" t="str">
        <f>IFERROR(VLOOKUP($A1884,原始数据_收盘!$A$4:$G$3460,7,0),"")</f>
        <v/>
      </c>
      <c r="H1884" t="str">
        <f>IFERROR(VLOOKUP($A1884,原始数据_利率互换_FR007_1年!$A$6:$C$4395,2,0),"")</f>
        <v/>
      </c>
      <c r="I1884" t="str">
        <f>IFERROR(VLOOKUP($A1884,原始数据_利率互换_FR007_1年!$A$6:$C$4395,3,0),"")</f>
        <v/>
      </c>
    </row>
    <row r="1885" spans="1:9">
      <c r="A1885" s="6">
        <v>41378</v>
      </c>
      <c r="B1885" t="str">
        <f>IFERROR(VLOOKUP($A1885,原始数据_收盘!$A$4:$G$3460,2,0),"")</f>
        <v/>
      </c>
      <c r="C1885" t="str">
        <f>IFERROR(VLOOKUP($A1885,原始数据_收盘!$A$4:$G$3460,3,0),"")</f>
        <v/>
      </c>
      <c r="D1885" t="str">
        <f>IFERROR(VLOOKUP($A1885,原始数据_收盘!$A$4:$G$3460,4,0),"")</f>
        <v/>
      </c>
      <c r="E1885" t="str">
        <f>IFERROR(VLOOKUP($A1885,原始数据_收盘!$A$4:$G$3460,5,0),"")</f>
        <v/>
      </c>
      <c r="F1885" t="str">
        <f>IFERROR(VLOOKUP($A1885,原始数据_收盘!$A$4:$G$3460,6,0),"")</f>
        <v/>
      </c>
      <c r="G1885" t="str">
        <f>IFERROR(VLOOKUP($A1885,原始数据_收盘!$A$4:$G$3460,7,0),"")</f>
        <v/>
      </c>
      <c r="H1885" t="str">
        <f>IFERROR(VLOOKUP($A1885,原始数据_利率互换_FR007_1年!$A$6:$C$4395,2,0),"")</f>
        <v/>
      </c>
      <c r="I1885" t="str">
        <f>IFERROR(VLOOKUP($A1885,原始数据_利率互换_FR007_1年!$A$6:$C$4395,3,0),"")</f>
        <v/>
      </c>
    </row>
    <row r="1886" spans="1:9">
      <c r="A1886" s="6">
        <v>41379</v>
      </c>
      <c r="B1886">
        <f>IFERROR(VLOOKUP($A1886,原始数据_收盘!$A$4:$G$3460,2,0),"")</f>
        <v>3.2204</v>
      </c>
      <c r="C1886">
        <f>IFERROR(VLOOKUP($A1886,原始数据_收盘!$A$4:$G$3460,3,0),"")</f>
        <v>3.5431</v>
      </c>
      <c r="D1886">
        <f>IFERROR(VLOOKUP($A1886,原始数据_收盘!$A$4:$G$3460,4,0),"")</f>
        <v>3.2757</v>
      </c>
      <c r="E1886">
        <f>IFERROR(VLOOKUP($A1886,原始数据_收盘!$A$4:$G$3460,5,0),"")</f>
        <v>3.5981</v>
      </c>
      <c r="F1886">
        <f>IFERROR(VLOOKUP($A1886,原始数据_收盘!$A$4:$G$3460,6,0),"")</f>
        <v>3.2481</v>
      </c>
      <c r="G1886">
        <f>IFERROR(VLOOKUP($A1886,原始数据_收盘!$A$4:$G$3460,7,0),"")</f>
        <v>3.5706</v>
      </c>
      <c r="H1886">
        <f>IFERROR(VLOOKUP($A1886,原始数据_利率互换_FR007_1年!$A$6:$C$4395,2,0),"")</f>
        <v>3.2547</v>
      </c>
      <c r="I1886">
        <f>IFERROR(VLOOKUP($A1886,原始数据_利率互换_FR007_1年!$A$6:$C$4395,3,0),"")</f>
        <v>3.5701</v>
      </c>
    </row>
    <row r="1887" spans="1:9">
      <c r="A1887" s="6">
        <v>41380</v>
      </c>
      <c r="B1887">
        <f>IFERROR(VLOOKUP($A1887,原始数据_收盘!$A$4:$G$3460,2,0),"")</f>
        <v>3.205</v>
      </c>
      <c r="C1887">
        <f>IFERROR(VLOOKUP($A1887,原始数据_收盘!$A$4:$G$3460,3,0),"")</f>
        <v>3.4974</v>
      </c>
      <c r="D1887">
        <f>IFERROR(VLOOKUP($A1887,原始数据_收盘!$A$4:$G$3460,4,0),"")</f>
        <v>3.2559</v>
      </c>
      <c r="E1887">
        <f>IFERROR(VLOOKUP($A1887,原始数据_收盘!$A$4:$G$3460,5,0),"")</f>
        <v>3.551</v>
      </c>
      <c r="F1887">
        <f>IFERROR(VLOOKUP($A1887,原始数据_收盘!$A$4:$G$3460,6,0),"")</f>
        <v>3.2305</v>
      </c>
      <c r="G1887">
        <f>IFERROR(VLOOKUP($A1887,原始数据_收盘!$A$4:$G$3460,7,0),"")</f>
        <v>3.5242</v>
      </c>
      <c r="H1887">
        <f>IFERROR(VLOOKUP($A1887,原始数据_利率互换_FR007_1年!$A$6:$C$4395,2,0),"")</f>
        <v>3.2189</v>
      </c>
      <c r="I1887">
        <f>IFERROR(VLOOKUP($A1887,原始数据_利率互换_FR007_1年!$A$6:$C$4395,3,0),"")</f>
        <v>3.5208</v>
      </c>
    </row>
    <row r="1888" spans="1:9">
      <c r="A1888" s="6">
        <v>41381</v>
      </c>
      <c r="B1888">
        <f>IFERROR(VLOOKUP($A1888,原始数据_收盘!$A$4:$G$3460,2,0),"")</f>
        <v>3.2075</v>
      </c>
      <c r="C1888">
        <f>IFERROR(VLOOKUP($A1888,原始数据_收盘!$A$4:$G$3460,3,0),"")</f>
        <v>3.509</v>
      </c>
      <c r="D1888">
        <f>IFERROR(VLOOKUP($A1888,原始数据_收盘!$A$4:$G$3460,4,0),"")</f>
        <v>3.2585</v>
      </c>
      <c r="E1888">
        <f>IFERROR(VLOOKUP($A1888,原始数据_收盘!$A$4:$G$3460,5,0),"")</f>
        <v>3.5605</v>
      </c>
      <c r="F1888">
        <f>IFERROR(VLOOKUP($A1888,原始数据_收盘!$A$4:$G$3460,6,0),"")</f>
        <v>3.233</v>
      </c>
      <c r="G1888">
        <f>IFERROR(VLOOKUP($A1888,原始数据_收盘!$A$4:$G$3460,7,0),"")</f>
        <v>3.5348</v>
      </c>
      <c r="H1888">
        <f>IFERROR(VLOOKUP($A1888,原始数据_利率互换_FR007_1年!$A$6:$C$4395,2,0),"")</f>
        <v>3.2272</v>
      </c>
      <c r="I1888">
        <f>IFERROR(VLOOKUP($A1888,原始数据_利率互换_FR007_1年!$A$6:$C$4395,3,0),"")</f>
        <v>3.5313</v>
      </c>
    </row>
    <row r="1889" spans="1:9">
      <c r="A1889" s="6">
        <v>41382</v>
      </c>
      <c r="B1889">
        <f>IFERROR(VLOOKUP($A1889,原始数据_收盘!$A$4:$G$3460,2,0),"")</f>
        <v>3.2033</v>
      </c>
      <c r="C1889">
        <f>IFERROR(VLOOKUP($A1889,原始数据_收盘!$A$4:$G$3460,3,0),"")</f>
        <v>3.4971</v>
      </c>
      <c r="D1889">
        <f>IFERROR(VLOOKUP($A1889,原始数据_收盘!$A$4:$G$3460,4,0),"")</f>
        <v>3.2507</v>
      </c>
      <c r="E1889">
        <f>IFERROR(VLOOKUP($A1889,原始数据_收盘!$A$4:$G$3460,5,0),"")</f>
        <v>3.5463</v>
      </c>
      <c r="F1889">
        <f>IFERROR(VLOOKUP($A1889,原始数据_收盘!$A$4:$G$3460,6,0),"")</f>
        <v>3.227</v>
      </c>
      <c r="G1889">
        <f>IFERROR(VLOOKUP($A1889,原始数据_收盘!$A$4:$G$3460,7,0),"")</f>
        <v>3.5217</v>
      </c>
      <c r="H1889">
        <f>IFERROR(VLOOKUP($A1889,原始数据_利率互换_FR007_1年!$A$6:$C$4395,2,0),"")</f>
        <v>3.2206</v>
      </c>
      <c r="I1889">
        <f>IFERROR(VLOOKUP($A1889,原始数据_利率互换_FR007_1年!$A$6:$C$4395,3,0),"")</f>
        <v>3.5176</v>
      </c>
    </row>
    <row r="1890" spans="1:9">
      <c r="A1890" s="6">
        <v>41383</v>
      </c>
      <c r="B1890">
        <f>IFERROR(VLOOKUP($A1890,原始数据_收盘!$A$4:$G$3460,2,0),"")</f>
        <v>3.2296</v>
      </c>
      <c r="C1890">
        <f>IFERROR(VLOOKUP($A1890,原始数据_收盘!$A$4:$G$3460,3,0),"")</f>
        <v>3.5296</v>
      </c>
      <c r="D1890">
        <f>IFERROR(VLOOKUP($A1890,原始数据_收盘!$A$4:$G$3460,4,0),"")</f>
        <v>3.2808</v>
      </c>
      <c r="E1890">
        <f>IFERROR(VLOOKUP($A1890,原始数据_收盘!$A$4:$G$3460,5,0),"")</f>
        <v>3.58</v>
      </c>
      <c r="F1890">
        <f>IFERROR(VLOOKUP($A1890,原始数据_收盘!$A$4:$G$3460,6,0),"")</f>
        <v>3.2552</v>
      </c>
      <c r="G1890">
        <f>IFERROR(VLOOKUP($A1890,原始数据_收盘!$A$4:$G$3460,7,0),"")</f>
        <v>3.5548</v>
      </c>
      <c r="H1890">
        <f>IFERROR(VLOOKUP($A1890,原始数据_利率互换_FR007_1年!$A$6:$C$4395,2,0),"")</f>
        <v>3.2549</v>
      </c>
      <c r="I1890">
        <f>IFERROR(VLOOKUP($A1890,原始数据_利率互换_FR007_1年!$A$6:$C$4395,3,0),"")</f>
        <v>3.5483</v>
      </c>
    </row>
    <row r="1891" spans="1:9">
      <c r="A1891" s="6">
        <v>41384</v>
      </c>
      <c r="B1891" t="str">
        <f>IFERROR(VLOOKUP($A1891,原始数据_收盘!$A$4:$G$3460,2,0),"")</f>
        <v/>
      </c>
      <c r="C1891" t="str">
        <f>IFERROR(VLOOKUP($A1891,原始数据_收盘!$A$4:$G$3460,3,0),"")</f>
        <v/>
      </c>
      <c r="D1891" t="str">
        <f>IFERROR(VLOOKUP($A1891,原始数据_收盘!$A$4:$G$3460,4,0),"")</f>
        <v/>
      </c>
      <c r="E1891" t="str">
        <f>IFERROR(VLOOKUP($A1891,原始数据_收盘!$A$4:$G$3460,5,0),"")</f>
        <v/>
      </c>
      <c r="F1891" t="str">
        <f>IFERROR(VLOOKUP($A1891,原始数据_收盘!$A$4:$G$3460,6,0),"")</f>
        <v/>
      </c>
      <c r="G1891" t="str">
        <f>IFERROR(VLOOKUP($A1891,原始数据_收盘!$A$4:$G$3460,7,0),"")</f>
        <v/>
      </c>
      <c r="H1891" t="str">
        <f>IFERROR(VLOOKUP($A1891,原始数据_利率互换_FR007_1年!$A$6:$C$4395,2,0),"")</f>
        <v/>
      </c>
      <c r="I1891" t="str">
        <f>IFERROR(VLOOKUP($A1891,原始数据_利率互换_FR007_1年!$A$6:$C$4395,3,0),"")</f>
        <v/>
      </c>
    </row>
    <row r="1892" spans="1:9">
      <c r="A1892" s="6">
        <v>41385</v>
      </c>
      <c r="B1892" t="str">
        <f>IFERROR(VLOOKUP($A1892,原始数据_收盘!$A$4:$G$3460,2,0),"")</f>
        <v/>
      </c>
      <c r="C1892" t="str">
        <f>IFERROR(VLOOKUP($A1892,原始数据_收盘!$A$4:$G$3460,3,0),"")</f>
        <v/>
      </c>
      <c r="D1892" t="str">
        <f>IFERROR(VLOOKUP($A1892,原始数据_收盘!$A$4:$G$3460,4,0),"")</f>
        <v/>
      </c>
      <c r="E1892" t="str">
        <f>IFERROR(VLOOKUP($A1892,原始数据_收盘!$A$4:$G$3460,5,0),"")</f>
        <v/>
      </c>
      <c r="F1892" t="str">
        <f>IFERROR(VLOOKUP($A1892,原始数据_收盘!$A$4:$G$3460,6,0),"")</f>
        <v/>
      </c>
      <c r="G1892" t="str">
        <f>IFERROR(VLOOKUP($A1892,原始数据_收盘!$A$4:$G$3460,7,0),"")</f>
        <v/>
      </c>
      <c r="H1892" t="str">
        <f>IFERROR(VLOOKUP($A1892,原始数据_利率互换_FR007_1年!$A$6:$C$4395,2,0),"")</f>
        <v/>
      </c>
      <c r="I1892" t="str">
        <f>IFERROR(VLOOKUP($A1892,原始数据_利率互换_FR007_1年!$A$6:$C$4395,3,0),"")</f>
        <v/>
      </c>
    </row>
    <row r="1893" spans="1:9">
      <c r="A1893" s="6">
        <v>41386</v>
      </c>
      <c r="B1893">
        <f>IFERROR(VLOOKUP($A1893,原始数据_收盘!$A$4:$G$3460,2,0),"")</f>
        <v>3.2495</v>
      </c>
      <c r="C1893">
        <f>IFERROR(VLOOKUP($A1893,原始数据_收盘!$A$4:$G$3460,3,0),"")</f>
        <v>3.5511</v>
      </c>
      <c r="D1893">
        <f>IFERROR(VLOOKUP($A1893,原始数据_收盘!$A$4:$G$3460,4,0),"")</f>
        <v>3.3023</v>
      </c>
      <c r="E1893">
        <f>IFERROR(VLOOKUP($A1893,原始数据_收盘!$A$4:$G$3460,5,0),"")</f>
        <v>3.6073</v>
      </c>
      <c r="F1893">
        <f>IFERROR(VLOOKUP($A1893,原始数据_收盘!$A$4:$G$3460,6,0),"")</f>
        <v>3.2759</v>
      </c>
      <c r="G1893">
        <f>IFERROR(VLOOKUP($A1893,原始数据_收盘!$A$4:$G$3460,7,0),"")</f>
        <v>3.5792</v>
      </c>
      <c r="H1893">
        <f>IFERROR(VLOOKUP($A1893,原始数据_利率互换_FR007_1年!$A$6:$C$4395,2,0),"")</f>
        <v>3.2817</v>
      </c>
      <c r="I1893">
        <f>IFERROR(VLOOKUP($A1893,原始数据_利率互换_FR007_1年!$A$6:$C$4395,3,0),"")</f>
        <v>3.58</v>
      </c>
    </row>
    <row r="1894" spans="1:9">
      <c r="A1894" s="6">
        <v>41387</v>
      </c>
      <c r="B1894">
        <f>IFERROR(VLOOKUP($A1894,原始数据_收盘!$A$4:$G$3460,2,0),"")</f>
        <v>3.2541</v>
      </c>
      <c r="C1894">
        <f>IFERROR(VLOOKUP($A1894,原始数据_收盘!$A$4:$G$3460,3,0),"")</f>
        <v>3.5115</v>
      </c>
      <c r="D1894">
        <f>IFERROR(VLOOKUP($A1894,原始数据_收盘!$A$4:$G$3460,4,0),"")</f>
        <v>3.3059</v>
      </c>
      <c r="E1894">
        <f>IFERROR(VLOOKUP($A1894,原始数据_收盘!$A$4:$G$3460,5,0),"")</f>
        <v>3.568</v>
      </c>
      <c r="F1894">
        <f>IFERROR(VLOOKUP($A1894,原始数据_收盘!$A$4:$G$3460,6,0),"")</f>
        <v>3.28</v>
      </c>
      <c r="G1894">
        <f>IFERROR(VLOOKUP($A1894,原始数据_收盘!$A$4:$G$3460,7,0),"")</f>
        <v>3.5398</v>
      </c>
      <c r="H1894">
        <f>IFERROR(VLOOKUP($A1894,原始数据_利率互换_FR007_1年!$A$6:$C$4395,2,0),"")</f>
        <v>3.2893</v>
      </c>
      <c r="I1894">
        <f>IFERROR(VLOOKUP($A1894,原始数据_利率互换_FR007_1年!$A$6:$C$4395,3,0),"")</f>
        <v>3.5508</v>
      </c>
    </row>
    <row r="1895" spans="1:9">
      <c r="A1895" s="6">
        <v>41388</v>
      </c>
      <c r="B1895">
        <f>IFERROR(VLOOKUP($A1895,原始数据_收盘!$A$4:$G$3460,2,0),"")</f>
        <v>3.2596</v>
      </c>
      <c r="C1895">
        <f>IFERROR(VLOOKUP($A1895,原始数据_收盘!$A$4:$G$3460,3,0),"")</f>
        <v>3.5136</v>
      </c>
      <c r="D1895">
        <f>IFERROR(VLOOKUP($A1895,原始数据_收盘!$A$4:$G$3460,4,0),"")</f>
        <v>3.3114</v>
      </c>
      <c r="E1895">
        <f>IFERROR(VLOOKUP($A1895,原始数据_收盘!$A$4:$G$3460,5,0),"")</f>
        <v>3.5682</v>
      </c>
      <c r="F1895">
        <f>IFERROR(VLOOKUP($A1895,原始数据_收盘!$A$4:$G$3460,6,0),"")</f>
        <v>3.2855</v>
      </c>
      <c r="G1895">
        <f>IFERROR(VLOOKUP($A1895,原始数据_收盘!$A$4:$G$3460,7,0),"")</f>
        <v>3.5409</v>
      </c>
      <c r="H1895">
        <f>IFERROR(VLOOKUP($A1895,原始数据_利率互换_FR007_1年!$A$6:$C$4395,2,0),"")</f>
        <v>3.2979</v>
      </c>
      <c r="I1895">
        <f>IFERROR(VLOOKUP($A1895,原始数据_利率互换_FR007_1年!$A$6:$C$4395,3,0),"")</f>
        <v>3.5342</v>
      </c>
    </row>
    <row r="1896" spans="1:9">
      <c r="A1896" s="6">
        <v>41389</v>
      </c>
      <c r="B1896">
        <f>IFERROR(VLOOKUP($A1896,原始数据_收盘!$A$4:$G$3460,2,0),"")</f>
        <v>3.2797</v>
      </c>
      <c r="C1896">
        <f>IFERROR(VLOOKUP($A1896,原始数据_收盘!$A$4:$G$3460,3,0),"")</f>
        <v>3.5114</v>
      </c>
      <c r="D1896">
        <f>IFERROR(VLOOKUP($A1896,原始数据_收盘!$A$4:$G$3460,4,0),"")</f>
        <v>3.3308</v>
      </c>
      <c r="E1896">
        <f>IFERROR(VLOOKUP($A1896,原始数据_收盘!$A$4:$G$3460,5,0),"")</f>
        <v>3.5627</v>
      </c>
      <c r="F1896">
        <f>IFERROR(VLOOKUP($A1896,原始数据_收盘!$A$4:$G$3460,6,0),"")</f>
        <v>3.3053</v>
      </c>
      <c r="G1896">
        <f>IFERROR(VLOOKUP($A1896,原始数据_收盘!$A$4:$G$3460,7,0),"")</f>
        <v>3.5371</v>
      </c>
      <c r="H1896">
        <f>IFERROR(VLOOKUP($A1896,原始数据_利率互换_FR007_1年!$A$6:$C$4395,2,0),"")</f>
        <v>3.3073</v>
      </c>
      <c r="I1896">
        <f>IFERROR(VLOOKUP($A1896,原始数据_利率互换_FR007_1年!$A$6:$C$4395,3,0),"")</f>
        <v>3.5379</v>
      </c>
    </row>
    <row r="1897" spans="1:9">
      <c r="A1897" s="6">
        <v>41390</v>
      </c>
      <c r="B1897">
        <f>IFERROR(VLOOKUP($A1897,原始数据_收盘!$A$4:$G$3460,2,0),"")</f>
        <v>3.2335</v>
      </c>
      <c r="C1897">
        <f>IFERROR(VLOOKUP($A1897,原始数据_收盘!$A$4:$G$3460,3,0),"")</f>
        <v>3.4927</v>
      </c>
      <c r="D1897">
        <f>IFERROR(VLOOKUP($A1897,原始数据_收盘!$A$4:$G$3460,4,0),"")</f>
        <v>3.2877</v>
      </c>
      <c r="E1897">
        <f>IFERROR(VLOOKUP($A1897,原始数据_收盘!$A$4:$G$3460,5,0),"")</f>
        <v>3.5446</v>
      </c>
      <c r="F1897">
        <f>IFERROR(VLOOKUP($A1897,原始数据_收盘!$A$4:$G$3460,6,0),"")</f>
        <v>3.2606</v>
      </c>
      <c r="G1897">
        <f>IFERROR(VLOOKUP($A1897,原始数据_收盘!$A$4:$G$3460,7,0),"")</f>
        <v>3.5187</v>
      </c>
      <c r="H1897">
        <f>IFERROR(VLOOKUP($A1897,原始数据_利率互换_FR007_1年!$A$6:$C$4395,2,0),"")</f>
        <v>3.2673</v>
      </c>
      <c r="I1897">
        <f>IFERROR(VLOOKUP($A1897,原始数据_利率互换_FR007_1年!$A$6:$C$4395,3,0),"")</f>
        <v>3.5143</v>
      </c>
    </row>
    <row r="1898" spans="1:9">
      <c r="A1898" s="6">
        <v>41391</v>
      </c>
      <c r="B1898">
        <f>IFERROR(VLOOKUP($A1898,原始数据_收盘!$A$4:$G$3460,2,0),"")</f>
        <v>3.2339</v>
      </c>
      <c r="C1898">
        <f>IFERROR(VLOOKUP($A1898,原始数据_收盘!$A$4:$G$3460,3,0),"")</f>
        <v>3.4936</v>
      </c>
      <c r="D1898">
        <f>IFERROR(VLOOKUP($A1898,原始数据_收盘!$A$4:$G$3460,4,0),"")</f>
        <v>3.2875</v>
      </c>
      <c r="E1898">
        <f>IFERROR(VLOOKUP($A1898,原始数据_收盘!$A$4:$G$3460,5,0),"")</f>
        <v>3.5477</v>
      </c>
      <c r="F1898">
        <f>IFERROR(VLOOKUP($A1898,原始数据_收盘!$A$4:$G$3460,6,0),"")</f>
        <v>3.2607</v>
      </c>
      <c r="G1898">
        <f>IFERROR(VLOOKUP($A1898,原始数据_收盘!$A$4:$G$3460,7,0),"")</f>
        <v>3.5206</v>
      </c>
      <c r="H1898">
        <f>IFERROR(VLOOKUP($A1898,原始数据_利率互换_FR007_1年!$A$6:$C$4395,2,0),"")</f>
        <v>3.255</v>
      </c>
      <c r="I1898">
        <f>IFERROR(VLOOKUP($A1898,原始数据_利率互换_FR007_1年!$A$6:$C$4395,3,0),"")</f>
        <v>3.5125</v>
      </c>
    </row>
    <row r="1899" spans="1:9">
      <c r="A1899" s="6">
        <v>41392</v>
      </c>
      <c r="B1899">
        <f>IFERROR(VLOOKUP($A1899,原始数据_收盘!$A$4:$G$3460,2,0),"")</f>
        <v>3.2265</v>
      </c>
      <c r="C1899">
        <f>IFERROR(VLOOKUP($A1899,原始数据_收盘!$A$4:$G$3460,3,0),"")</f>
        <v>3.4923</v>
      </c>
      <c r="D1899">
        <f>IFERROR(VLOOKUP($A1899,原始数据_收盘!$A$4:$G$3460,4,0),"")</f>
        <v>3.2788</v>
      </c>
      <c r="E1899">
        <f>IFERROR(VLOOKUP($A1899,原始数据_收盘!$A$4:$G$3460,5,0),"")</f>
        <v>3.5475</v>
      </c>
      <c r="F1899">
        <f>IFERROR(VLOOKUP($A1899,原始数据_收盘!$A$4:$G$3460,6,0),"")</f>
        <v>3.2527</v>
      </c>
      <c r="G1899">
        <f>IFERROR(VLOOKUP($A1899,原始数据_收盘!$A$4:$G$3460,7,0),"")</f>
        <v>3.5199</v>
      </c>
      <c r="H1899">
        <f>IFERROR(VLOOKUP($A1899,原始数据_利率互换_FR007_1年!$A$6:$C$4395,2,0),"")</f>
        <v>3.24</v>
      </c>
      <c r="I1899">
        <f>IFERROR(VLOOKUP($A1899,原始数据_利率互换_FR007_1年!$A$6:$C$4395,3,0),"")</f>
        <v>0</v>
      </c>
    </row>
    <row r="1900" spans="1:9">
      <c r="A1900" s="6">
        <v>41393</v>
      </c>
      <c r="B1900" t="str">
        <f>IFERROR(VLOOKUP($A1900,原始数据_收盘!$A$4:$G$3460,2,0),"")</f>
        <v/>
      </c>
      <c r="C1900" t="str">
        <f>IFERROR(VLOOKUP($A1900,原始数据_收盘!$A$4:$G$3460,3,0),"")</f>
        <v/>
      </c>
      <c r="D1900" t="str">
        <f>IFERROR(VLOOKUP($A1900,原始数据_收盘!$A$4:$G$3460,4,0),"")</f>
        <v/>
      </c>
      <c r="E1900" t="str">
        <f>IFERROR(VLOOKUP($A1900,原始数据_收盘!$A$4:$G$3460,5,0),"")</f>
        <v/>
      </c>
      <c r="F1900" t="str">
        <f>IFERROR(VLOOKUP($A1900,原始数据_收盘!$A$4:$G$3460,6,0),"")</f>
        <v/>
      </c>
      <c r="G1900" t="str">
        <f>IFERROR(VLOOKUP($A1900,原始数据_收盘!$A$4:$G$3460,7,0),"")</f>
        <v/>
      </c>
      <c r="H1900" t="str">
        <f>IFERROR(VLOOKUP($A1900,原始数据_利率互换_FR007_1年!$A$6:$C$4395,2,0),"")</f>
        <v/>
      </c>
      <c r="I1900" t="str">
        <f>IFERROR(VLOOKUP($A1900,原始数据_利率互换_FR007_1年!$A$6:$C$4395,3,0),"")</f>
        <v/>
      </c>
    </row>
    <row r="1901" spans="1:9">
      <c r="A1901" s="6">
        <v>41394</v>
      </c>
      <c r="B1901" t="str">
        <f>IFERROR(VLOOKUP($A1901,原始数据_收盘!$A$4:$G$3460,2,0),"")</f>
        <v/>
      </c>
      <c r="C1901" t="str">
        <f>IFERROR(VLOOKUP($A1901,原始数据_收盘!$A$4:$G$3460,3,0),"")</f>
        <v/>
      </c>
      <c r="D1901" t="str">
        <f>IFERROR(VLOOKUP($A1901,原始数据_收盘!$A$4:$G$3460,4,0),"")</f>
        <v/>
      </c>
      <c r="E1901" t="str">
        <f>IFERROR(VLOOKUP($A1901,原始数据_收盘!$A$4:$G$3460,5,0),"")</f>
        <v/>
      </c>
      <c r="F1901" t="str">
        <f>IFERROR(VLOOKUP($A1901,原始数据_收盘!$A$4:$G$3460,6,0),"")</f>
        <v/>
      </c>
      <c r="G1901" t="str">
        <f>IFERROR(VLOOKUP($A1901,原始数据_收盘!$A$4:$G$3460,7,0),"")</f>
        <v/>
      </c>
      <c r="H1901" t="str">
        <f>IFERROR(VLOOKUP($A1901,原始数据_利率互换_FR007_1年!$A$6:$C$4395,2,0),"")</f>
        <v/>
      </c>
      <c r="I1901" t="str">
        <f>IFERROR(VLOOKUP($A1901,原始数据_利率互换_FR007_1年!$A$6:$C$4395,3,0),"")</f>
        <v/>
      </c>
    </row>
    <row r="1902" spans="1:9">
      <c r="A1902" s="6">
        <v>41395</v>
      </c>
      <c r="B1902" t="str">
        <f>IFERROR(VLOOKUP($A1902,原始数据_收盘!$A$4:$G$3460,2,0),"")</f>
        <v/>
      </c>
      <c r="C1902" t="str">
        <f>IFERROR(VLOOKUP($A1902,原始数据_收盘!$A$4:$G$3460,3,0),"")</f>
        <v/>
      </c>
      <c r="D1902" t="str">
        <f>IFERROR(VLOOKUP($A1902,原始数据_收盘!$A$4:$G$3460,4,0),"")</f>
        <v/>
      </c>
      <c r="E1902" t="str">
        <f>IFERROR(VLOOKUP($A1902,原始数据_收盘!$A$4:$G$3460,5,0),"")</f>
        <v/>
      </c>
      <c r="F1902" t="str">
        <f>IFERROR(VLOOKUP($A1902,原始数据_收盘!$A$4:$G$3460,6,0),"")</f>
        <v/>
      </c>
      <c r="G1902" t="str">
        <f>IFERROR(VLOOKUP($A1902,原始数据_收盘!$A$4:$G$3460,7,0),"")</f>
        <v/>
      </c>
      <c r="H1902" t="str">
        <f>IFERROR(VLOOKUP($A1902,原始数据_利率互换_FR007_1年!$A$6:$C$4395,2,0),"")</f>
        <v/>
      </c>
      <c r="I1902" t="str">
        <f>IFERROR(VLOOKUP($A1902,原始数据_利率互换_FR007_1年!$A$6:$C$4395,3,0),"")</f>
        <v/>
      </c>
    </row>
    <row r="1903" spans="1:9">
      <c r="A1903" s="6">
        <v>41396</v>
      </c>
      <c r="B1903">
        <f>IFERROR(VLOOKUP($A1903,原始数据_收盘!$A$4:$G$3460,2,0),"")</f>
        <v>3.174</v>
      </c>
      <c r="C1903">
        <f>IFERROR(VLOOKUP($A1903,原始数据_收盘!$A$4:$G$3460,3,0),"")</f>
        <v>3.4097</v>
      </c>
      <c r="D1903">
        <f>IFERROR(VLOOKUP($A1903,原始数据_收盘!$A$4:$G$3460,4,0),"")</f>
        <v>3.2218</v>
      </c>
      <c r="E1903">
        <f>IFERROR(VLOOKUP($A1903,原始数据_收盘!$A$4:$G$3460,5,0),"")</f>
        <v>3.4617</v>
      </c>
      <c r="F1903">
        <f>IFERROR(VLOOKUP($A1903,原始数据_收盘!$A$4:$G$3460,6,0),"")</f>
        <v>3.1979</v>
      </c>
      <c r="G1903">
        <f>IFERROR(VLOOKUP($A1903,原始数据_收盘!$A$4:$G$3460,7,0),"")</f>
        <v>3.4357</v>
      </c>
      <c r="H1903">
        <f>IFERROR(VLOOKUP($A1903,原始数据_利率互换_FR007_1年!$A$6:$C$4395,2,0),"")</f>
        <v>3.2027</v>
      </c>
      <c r="I1903">
        <f>IFERROR(VLOOKUP($A1903,原始数据_利率互换_FR007_1年!$A$6:$C$4395,3,0),"")</f>
        <v>3.4446</v>
      </c>
    </row>
    <row r="1904" spans="1:9">
      <c r="A1904" s="6">
        <v>41397</v>
      </c>
      <c r="B1904">
        <f>IFERROR(VLOOKUP($A1904,原始数据_收盘!$A$4:$G$3460,2,0),"")</f>
        <v>3.1892</v>
      </c>
      <c r="C1904">
        <f>IFERROR(VLOOKUP($A1904,原始数据_收盘!$A$4:$G$3460,3,0),"")</f>
        <v>3.4142</v>
      </c>
      <c r="D1904">
        <f>IFERROR(VLOOKUP($A1904,原始数据_收盘!$A$4:$G$3460,4,0),"")</f>
        <v>3.2377</v>
      </c>
      <c r="E1904">
        <f>IFERROR(VLOOKUP($A1904,原始数据_收盘!$A$4:$G$3460,5,0),"")</f>
        <v>3.4657</v>
      </c>
      <c r="F1904">
        <f>IFERROR(VLOOKUP($A1904,原始数据_收盘!$A$4:$G$3460,6,0),"")</f>
        <v>3.2134</v>
      </c>
      <c r="G1904">
        <f>IFERROR(VLOOKUP($A1904,原始数据_收盘!$A$4:$G$3460,7,0),"")</f>
        <v>3.4399</v>
      </c>
      <c r="H1904">
        <f>IFERROR(VLOOKUP($A1904,原始数据_利率互换_FR007_1年!$A$6:$C$4395,2,0),"")</f>
        <v>3.1957</v>
      </c>
      <c r="I1904">
        <f>IFERROR(VLOOKUP($A1904,原始数据_利率互换_FR007_1年!$A$6:$C$4395,3,0),"")</f>
        <v>3.4245</v>
      </c>
    </row>
    <row r="1905" spans="1:9">
      <c r="A1905" s="6">
        <v>41398</v>
      </c>
      <c r="B1905" t="str">
        <f>IFERROR(VLOOKUP($A1905,原始数据_收盘!$A$4:$G$3460,2,0),"")</f>
        <v/>
      </c>
      <c r="C1905" t="str">
        <f>IFERROR(VLOOKUP($A1905,原始数据_收盘!$A$4:$G$3460,3,0),"")</f>
        <v/>
      </c>
      <c r="D1905" t="str">
        <f>IFERROR(VLOOKUP($A1905,原始数据_收盘!$A$4:$G$3460,4,0),"")</f>
        <v/>
      </c>
      <c r="E1905" t="str">
        <f>IFERROR(VLOOKUP($A1905,原始数据_收盘!$A$4:$G$3460,5,0),"")</f>
        <v/>
      </c>
      <c r="F1905" t="str">
        <f>IFERROR(VLOOKUP($A1905,原始数据_收盘!$A$4:$G$3460,6,0),"")</f>
        <v/>
      </c>
      <c r="G1905" t="str">
        <f>IFERROR(VLOOKUP($A1905,原始数据_收盘!$A$4:$G$3460,7,0),"")</f>
        <v/>
      </c>
      <c r="H1905" t="str">
        <f>IFERROR(VLOOKUP($A1905,原始数据_利率互换_FR007_1年!$A$6:$C$4395,2,0),"")</f>
        <v/>
      </c>
      <c r="I1905" t="str">
        <f>IFERROR(VLOOKUP($A1905,原始数据_利率互换_FR007_1年!$A$6:$C$4395,3,0),"")</f>
        <v/>
      </c>
    </row>
    <row r="1906" spans="1:9">
      <c r="A1906" s="6">
        <v>41399</v>
      </c>
      <c r="B1906" t="str">
        <f>IFERROR(VLOOKUP($A1906,原始数据_收盘!$A$4:$G$3460,2,0),"")</f>
        <v/>
      </c>
      <c r="C1906" t="str">
        <f>IFERROR(VLOOKUP($A1906,原始数据_收盘!$A$4:$G$3460,3,0),"")</f>
        <v/>
      </c>
      <c r="D1906" t="str">
        <f>IFERROR(VLOOKUP($A1906,原始数据_收盘!$A$4:$G$3460,4,0),"")</f>
        <v/>
      </c>
      <c r="E1906" t="str">
        <f>IFERROR(VLOOKUP($A1906,原始数据_收盘!$A$4:$G$3460,5,0),"")</f>
        <v/>
      </c>
      <c r="F1906" t="str">
        <f>IFERROR(VLOOKUP($A1906,原始数据_收盘!$A$4:$G$3460,6,0),"")</f>
        <v/>
      </c>
      <c r="G1906" t="str">
        <f>IFERROR(VLOOKUP($A1906,原始数据_收盘!$A$4:$G$3460,7,0),"")</f>
        <v/>
      </c>
      <c r="H1906" t="str">
        <f>IFERROR(VLOOKUP($A1906,原始数据_利率互换_FR007_1年!$A$6:$C$4395,2,0),"")</f>
        <v/>
      </c>
      <c r="I1906" t="str">
        <f>IFERROR(VLOOKUP($A1906,原始数据_利率互换_FR007_1年!$A$6:$C$4395,3,0),"")</f>
        <v/>
      </c>
    </row>
    <row r="1907" spans="1:9">
      <c r="A1907" s="6">
        <v>41400</v>
      </c>
      <c r="B1907">
        <f>IFERROR(VLOOKUP($A1907,原始数据_收盘!$A$4:$G$3460,2,0),"")</f>
        <v>3.2362</v>
      </c>
      <c r="C1907">
        <f>IFERROR(VLOOKUP($A1907,原始数据_收盘!$A$4:$G$3460,3,0),"")</f>
        <v>3.4446</v>
      </c>
      <c r="D1907">
        <f>IFERROR(VLOOKUP($A1907,原始数据_收盘!$A$4:$G$3460,4,0),"")</f>
        <v>3.285</v>
      </c>
      <c r="E1907">
        <f>IFERROR(VLOOKUP($A1907,原始数据_收盘!$A$4:$G$3460,5,0),"")</f>
        <v>3.4971</v>
      </c>
      <c r="F1907">
        <f>IFERROR(VLOOKUP($A1907,原始数据_收盘!$A$4:$G$3460,6,0),"")</f>
        <v>3.2606</v>
      </c>
      <c r="G1907">
        <f>IFERROR(VLOOKUP($A1907,原始数据_收盘!$A$4:$G$3460,7,0),"")</f>
        <v>3.4709</v>
      </c>
      <c r="H1907">
        <f>IFERROR(VLOOKUP($A1907,原始数据_利率互换_FR007_1年!$A$6:$C$4395,2,0),"")</f>
        <v>3.263</v>
      </c>
      <c r="I1907">
        <f>IFERROR(VLOOKUP($A1907,原始数据_利率互换_FR007_1年!$A$6:$C$4395,3,0),"")</f>
        <v>3.4533</v>
      </c>
    </row>
    <row r="1908" spans="1:9">
      <c r="A1908" s="6">
        <v>41401</v>
      </c>
      <c r="B1908">
        <f>IFERROR(VLOOKUP($A1908,原始数据_收盘!$A$4:$G$3460,2,0),"")</f>
        <v>3.2168</v>
      </c>
      <c r="C1908">
        <f>IFERROR(VLOOKUP($A1908,原始数据_收盘!$A$4:$G$3460,3,0),"")</f>
        <v>3.4112</v>
      </c>
      <c r="D1908">
        <f>IFERROR(VLOOKUP($A1908,原始数据_收盘!$A$4:$G$3460,4,0),"")</f>
        <v>3.2671</v>
      </c>
      <c r="E1908">
        <f>IFERROR(VLOOKUP($A1908,原始数据_收盘!$A$4:$G$3460,5,0),"")</f>
        <v>3.4672</v>
      </c>
      <c r="F1908">
        <f>IFERROR(VLOOKUP($A1908,原始数据_收盘!$A$4:$G$3460,6,0),"")</f>
        <v>3.242</v>
      </c>
      <c r="G1908">
        <f>IFERROR(VLOOKUP($A1908,原始数据_收盘!$A$4:$G$3460,7,0),"")</f>
        <v>3.4392</v>
      </c>
      <c r="H1908">
        <f>IFERROR(VLOOKUP($A1908,原始数据_利率互换_FR007_1年!$A$6:$C$4395,2,0),"")</f>
        <v>3.2515</v>
      </c>
      <c r="I1908">
        <f>IFERROR(VLOOKUP($A1908,原始数据_利率互换_FR007_1年!$A$6:$C$4395,3,0),"")</f>
        <v>3.435</v>
      </c>
    </row>
    <row r="1909" spans="1:9">
      <c r="A1909" s="6">
        <v>41402</v>
      </c>
      <c r="B1909">
        <f>IFERROR(VLOOKUP($A1909,原始数据_收盘!$A$4:$G$3460,2,0),"")</f>
        <v>3.241</v>
      </c>
      <c r="C1909">
        <f>IFERROR(VLOOKUP($A1909,原始数据_收盘!$A$4:$G$3460,3,0),"")</f>
        <v>3.4328</v>
      </c>
      <c r="D1909">
        <f>IFERROR(VLOOKUP($A1909,原始数据_收盘!$A$4:$G$3460,4,0),"")</f>
        <v>3.2936</v>
      </c>
      <c r="E1909">
        <f>IFERROR(VLOOKUP($A1909,原始数据_收盘!$A$4:$G$3460,5,0),"")</f>
        <v>3.4881</v>
      </c>
      <c r="F1909">
        <f>IFERROR(VLOOKUP($A1909,原始数据_收盘!$A$4:$G$3460,6,0),"")</f>
        <v>3.2673</v>
      </c>
      <c r="G1909">
        <f>IFERROR(VLOOKUP($A1909,原始数据_收盘!$A$4:$G$3460,7,0),"")</f>
        <v>3.4605</v>
      </c>
      <c r="H1909">
        <f>IFERROR(VLOOKUP($A1909,原始数据_利率互换_FR007_1年!$A$6:$C$4395,2,0),"")</f>
        <v>3.2743</v>
      </c>
      <c r="I1909">
        <f>IFERROR(VLOOKUP($A1909,原始数据_利率互换_FR007_1年!$A$6:$C$4395,3,0),"")</f>
        <v>3.4395</v>
      </c>
    </row>
    <row r="1910" spans="1:9">
      <c r="A1910" s="6">
        <v>41403</v>
      </c>
      <c r="B1910">
        <f>IFERROR(VLOOKUP($A1910,原始数据_收盘!$A$4:$G$3460,2,0),"")</f>
        <v>3.2453</v>
      </c>
      <c r="C1910">
        <f>IFERROR(VLOOKUP($A1910,原始数据_收盘!$A$4:$G$3460,3,0),"")</f>
        <v>3.4317</v>
      </c>
      <c r="D1910">
        <f>IFERROR(VLOOKUP($A1910,原始数据_收盘!$A$4:$G$3460,4,0),"")</f>
        <v>3.2939</v>
      </c>
      <c r="E1910">
        <f>IFERROR(VLOOKUP($A1910,原始数据_收盘!$A$4:$G$3460,5,0),"")</f>
        <v>3.4814</v>
      </c>
      <c r="F1910">
        <f>IFERROR(VLOOKUP($A1910,原始数据_收盘!$A$4:$G$3460,6,0),"")</f>
        <v>3.2696</v>
      </c>
      <c r="G1910">
        <f>IFERROR(VLOOKUP($A1910,原始数据_收盘!$A$4:$G$3460,7,0),"")</f>
        <v>3.4565</v>
      </c>
      <c r="H1910">
        <f>IFERROR(VLOOKUP($A1910,原始数据_利率互换_FR007_1年!$A$6:$C$4395,2,0),"")</f>
        <v>3.2678</v>
      </c>
      <c r="I1910">
        <f>IFERROR(VLOOKUP($A1910,原始数据_利率互换_FR007_1年!$A$6:$C$4395,3,0),"")</f>
        <v>3.4536</v>
      </c>
    </row>
    <row r="1911" spans="1:9">
      <c r="A1911" s="6">
        <v>41404</v>
      </c>
      <c r="B1911">
        <f>IFERROR(VLOOKUP($A1911,原始数据_收盘!$A$4:$G$3460,2,0),"")</f>
        <v>3.2467</v>
      </c>
      <c r="C1911">
        <f>IFERROR(VLOOKUP($A1911,原始数据_收盘!$A$4:$G$3460,3,0),"")</f>
        <v>3.4415</v>
      </c>
      <c r="D1911">
        <f>IFERROR(VLOOKUP($A1911,原始数据_收盘!$A$4:$G$3460,4,0),"")</f>
        <v>3.2956</v>
      </c>
      <c r="E1911">
        <f>IFERROR(VLOOKUP($A1911,原始数据_收盘!$A$4:$G$3460,5,0),"")</f>
        <v>3.4913</v>
      </c>
      <c r="F1911">
        <f>IFERROR(VLOOKUP($A1911,原始数据_收盘!$A$4:$G$3460,6,0),"")</f>
        <v>3.2711</v>
      </c>
      <c r="G1911">
        <f>IFERROR(VLOOKUP($A1911,原始数据_收盘!$A$4:$G$3460,7,0),"")</f>
        <v>3.4664</v>
      </c>
      <c r="H1911">
        <f>IFERROR(VLOOKUP($A1911,原始数据_利率互换_FR007_1年!$A$6:$C$4395,2,0),"")</f>
        <v>3.2693</v>
      </c>
      <c r="I1911">
        <f>IFERROR(VLOOKUP($A1911,原始数据_利率互换_FR007_1年!$A$6:$C$4395,3,0),"")</f>
        <v>3.466</v>
      </c>
    </row>
    <row r="1912" spans="1:9">
      <c r="A1912" s="6">
        <v>41405</v>
      </c>
      <c r="B1912" t="str">
        <f>IFERROR(VLOOKUP($A1912,原始数据_收盘!$A$4:$G$3460,2,0),"")</f>
        <v/>
      </c>
      <c r="C1912" t="str">
        <f>IFERROR(VLOOKUP($A1912,原始数据_收盘!$A$4:$G$3460,3,0),"")</f>
        <v/>
      </c>
      <c r="D1912" t="str">
        <f>IFERROR(VLOOKUP($A1912,原始数据_收盘!$A$4:$G$3460,4,0),"")</f>
        <v/>
      </c>
      <c r="E1912" t="str">
        <f>IFERROR(VLOOKUP($A1912,原始数据_收盘!$A$4:$G$3460,5,0),"")</f>
        <v/>
      </c>
      <c r="F1912" t="str">
        <f>IFERROR(VLOOKUP($A1912,原始数据_收盘!$A$4:$G$3460,6,0),"")</f>
        <v/>
      </c>
      <c r="G1912" t="str">
        <f>IFERROR(VLOOKUP($A1912,原始数据_收盘!$A$4:$G$3460,7,0),"")</f>
        <v/>
      </c>
      <c r="H1912" t="str">
        <f>IFERROR(VLOOKUP($A1912,原始数据_利率互换_FR007_1年!$A$6:$C$4395,2,0),"")</f>
        <v/>
      </c>
      <c r="I1912" t="str">
        <f>IFERROR(VLOOKUP($A1912,原始数据_利率互换_FR007_1年!$A$6:$C$4395,3,0),"")</f>
        <v/>
      </c>
    </row>
    <row r="1913" spans="1:9">
      <c r="A1913" s="6">
        <v>41406</v>
      </c>
      <c r="B1913" t="str">
        <f>IFERROR(VLOOKUP($A1913,原始数据_收盘!$A$4:$G$3460,2,0),"")</f>
        <v/>
      </c>
      <c r="C1913" t="str">
        <f>IFERROR(VLOOKUP($A1913,原始数据_收盘!$A$4:$G$3460,3,0),"")</f>
        <v/>
      </c>
      <c r="D1913" t="str">
        <f>IFERROR(VLOOKUP($A1913,原始数据_收盘!$A$4:$G$3460,4,0),"")</f>
        <v/>
      </c>
      <c r="E1913" t="str">
        <f>IFERROR(VLOOKUP($A1913,原始数据_收盘!$A$4:$G$3460,5,0),"")</f>
        <v/>
      </c>
      <c r="F1913" t="str">
        <f>IFERROR(VLOOKUP($A1913,原始数据_收盘!$A$4:$G$3460,6,0),"")</f>
        <v/>
      </c>
      <c r="G1913" t="str">
        <f>IFERROR(VLOOKUP($A1913,原始数据_收盘!$A$4:$G$3460,7,0),"")</f>
        <v/>
      </c>
      <c r="H1913" t="str">
        <f>IFERROR(VLOOKUP($A1913,原始数据_利率互换_FR007_1年!$A$6:$C$4395,2,0),"")</f>
        <v/>
      </c>
      <c r="I1913" t="str">
        <f>IFERROR(VLOOKUP($A1913,原始数据_利率互换_FR007_1年!$A$6:$C$4395,3,0),"")</f>
        <v/>
      </c>
    </row>
    <row r="1914" spans="1:9">
      <c r="A1914" s="6">
        <v>41407</v>
      </c>
      <c r="B1914">
        <f>IFERROR(VLOOKUP($A1914,原始数据_收盘!$A$4:$G$3460,2,0),"")</f>
        <v>3.2391</v>
      </c>
      <c r="C1914">
        <f>IFERROR(VLOOKUP($A1914,原始数据_收盘!$A$4:$G$3460,3,0),"")</f>
        <v>3.473</v>
      </c>
      <c r="D1914">
        <f>IFERROR(VLOOKUP($A1914,原始数据_收盘!$A$4:$G$3460,4,0),"")</f>
        <v>3.2911</v>
      </c>
      <c r="E1914">
        <f>IFERROR(VLOOKUP($A1914,原始数据_收盘!$A$4:$G$3460,5,0),"")</f>
        <v>3.5264</v>
      </c>
      <c r="F1914">
        <f>IFERROR(VLOOKUP($A1914,原始数据_收盘!$A$4:$G$3460,6,0),"")</f>
        <v>3.2651</v>
      </c>
      <c r="G1914">
        <f>IFERROR(VLOOKUP($A1914,原始数据_收盘!$A$4:$G$3460,7,0),"")</f>
        <v>3.4997</v>
      </c>
      <c r="H1914">
        <f>IFERROR(VLOOKUP($A1914,原始数据_利率互换_FR007_1年!$A$6:$C$4395,2,0),"")</f>
        <v>3.2604</v>
      </c>
      <c r="I1914">
        <f>IFERROR(VLOOKUP($A1914,原始数据_利率互换_FR007_1年!$A$6:$C$4395,3,0),"")</f>
        <v>3.5109</v>
      </c>
    </row>
    <row r="1915" spans="1:9">
      <c r="A1915" s="6">
        <v>41408</v>
      </c>
      <c r="B1915">
        <f>IFERROR(VLOOKUP($A1915,原始数据_收盘!$A$4:$G$3460,2,0),"")</f>
        <v>3.2273</v>
      </c>
      <c r="C1915">
        <f>IFERROR(VLOOKUP($A1915,原始数据_收盘!$A$4:$G$3460,3,0),"")</f>
        <v>3.47</v>
      </c>
      <c r="D1915">
        <f>IFERROR(VLOOKUP($A1915,原始数据_收盘!$A$4:$G$3460,4,0),"")</f>
        <v>3.2799</v>
      </c>
      <c r="E1915">
        <f>IFERROR(VLOOKUP($A1915,原始数据_收盘!$A$4:$G$3460,5,0),"")</f>
        <v>3.5235</v>
      </c>
      <c r="F1915">
        <f>IFERROR(VLOOKUP($A1915,原始数据_收盘!$A$4:$G$3460,6,0),"")</f>
        <v>3.2536</v>
      </c>
      <c r="G1915">
        <f>IFERROR(VLOOKUP($A1915,原始数据_收盘!$A$4:$G$3460,7,0),"")</f>
        <v>3.4967</v>
      </c>
      <c r="H1915">
        <f>IFERROR(VLOOKUP($A1915,原始数据_利率互换_FR007_1年!$A$6:$C$4395,2,0),"")</f>
        <v>3.2545</v>
      </c>
      <c r="I1915">
        <f>IFERROR(VLOOKUP($A1915,原始数据_利率互换_FR007_1年!$A$6:$C$4395,3,0),"")</f>
        <v>3.4945</v>
      </c>
    </row>
    <row r="1916" spans="1:9">
      <c r="A1916" s="6">
        <v>41409</v>
      </c>
      <c r="B1916">
        <f>IFERROR(VLOOKUP($A1916,原始数据_收盘!$A$4:$G$3460,2,0),"")</f>
        <v>3.2274</v>
      </c>
      <c r="C1916">
        <f>IFERROR(VLOOKUP($A1916,原始数据_收盘!$A$4:$G$3460,3,0),"")</f>
        <v>3.4704</v>
      </c>
      <c r="D1916">
        <f>IFERROR(VLOOKUP($A1916,原始数据_收盘!$A$4:$G$3460,4,0),"")</f>
        <v>3.2762</v>
      </c>
      <c r="E1916">
        <f>IFERROR(VLOOKUP($A1916,原始数据_收盘!$A$4:$G$3460,5,0),"")</f>
        <v>3.5221</v>
      </c>
      <c r="F1916">
        <f>IFERROR(VLOOKUP($A1916,原始数据_收盘!$A$4:$G$3460,6,0),"")</f>
        <v>3.2518</v>
      </c>
      <c r="G1916">
        <f>IFERROR(VLOOKUP($A1916,原始数据_收盘!$A$4:$G$3460,7,0),"")</f>
        <v>3.4962</v>
      </c>
      <c r="H1916">
        <f>IFERROR(VLOOKUP($A1916,原始数据_利率互换_FR007_1年!$A$6:$C$4395,2,0),"")</f>
        <v>3.2409</v>
      </c>
      <c r="I1916">
        <f>IFERROR(VLOOKUP($A1916,原始数据_利率互换_FR007_1年!$A$6:$C$4395,3,0),"")</f>
        <v>3.5006</v>
      </c>
    </row>
    <row r="1917" spans="1:9">
      <c r="A1917" s="6">
        <v>41410</v>
      </c>
      <c r="B1917">
        <f>IFERROR(VLOOKUP($A1917,原始数据_收盘!$A$4:$G$3460,2,0),"")</f>
        <v>3.2386</v>
      </c>
      <c r="C1917">
        <f>IFERROR(VLOOKUP($A1917,原始数据_收盘!$A$4:$G$3460,3,0),"")</f>
        <v>3.4736</v>
      </c>
      <c r="D1917">
        <f>IFERROR(VLOOKUP($A1917,原始数据_收盘!$A$4:$G$3460,4,0),"")</f>
        <v>3.287</v>
      </c>
      <c r="E1917">
        <f>IFERROR(VLOOKUP($A1917,原始数据_收盘!$A$4:$G$3460,5,0),"")</f>
        <v>3.5241</v>
      </c>
      <c r="F1917">
        <f>IFERROR(VLOOKUP($A1917,原始数据_收盘!$A$4:$G$3460,6,0),"")</f>
        <v>3.2628</v>
      </c>
      <c r="G1917">
        <f>IFERROR(VLOOKUP($A1917,原始数据_收盘!$A$4:$G$3460,7,0),"")</f>
        <v>3.4988</v>
      </c>
      <c r="H1917">
        <f>IFERROR(VLOOKUP($A1917,原始数据_利率互换_FR007_1年!$A$6:$C$4395,2,0),"")</f>
        <v>3.2508</v>
      </c>
      <c r="I1917">
        <f>IFERROR(VLOOKUP($A1917,原始数据_利率互换_FR007_1年!$A$6:$C$4395,3,0),"")</f>
        <v>3.495</v>
      </c>
    </row>
    <row r="1918" spans="1:9">
      <c r="A1918" s="6">
        <v>41411</v>
      </c>
      <c r="B1918">
        <f>IFERROR(VLOOKUP($A1918,原始数据_收盘!$A$4:$G$3460,2,0),"")</f>
        <v>3.2513</v>
      </c>
      <c r="C1918">
        <f>IFERROR(VLOOKUP($A1918,原始数据_收盘!$A$4:$G$3460,3,0),"")</f>
        <v>3.4776</v>
      </c>
      <c r="D1918">
        <f>IFERROR(VLOOKUP($A1918,原始数据_收盘!$A$4:$G$3460,4,0),"")</f>
        <v>3.2976</v>
      </c>
      <c r="E1918">
        <f>IFERROR(VLOOKUP($A1918,原始数据_收盘!$A$4:$G$3460,5,0),"")</f>
        <v>3.5279</v>
      </c>
      <c r="F1918">
        <f>IFERROR(VLOOKUP($A1918,原始数据_收盘!$A$4:$G$3460,6,0),"")</f>
        <v>3.2744</v>
      </c>
      <c r="G1918">
        <f>IFERROR(VLOOKUP($A1918,原始数据_收盘!$A$4:$G$3460,7,0),"")</f>
        <v>3.5028</v>
      </c>
      <c r="H1918">
        <f>IFERROR(VLOOKUP($A1918,原始数据_利率互换_FR007_1年!$A$6:$C$4395,2,0),"")</f>
        <v>3.2787</v>
      </c>
      <c r="I1918">
        <f>IFERROR(VLOOKUP($A1918,原始数据_利率互换_FR007_1年!$A$6:$C$4395,3,0),"")</f>
        <v>3.51</v>
      </c>
    </row>
    <row r="1919" spans="1:9">
      <c r="A1919" s="6">
        <v>41412</v>
      </c>
      <c r="B1919" t="str">
        <f>IFERROR(VLOOKUP($A1919,原始数据_收盘!$A$4:$G$3460,2,0),"")</f>
        <v/>
      </c>
      <c r="C1919" t="str">
        <f>IFERROR(VLOOKUP($A1919,原始数据_收盘!$A$4:$G$3460,3,0),"")</f>
        <v/>
      </c>
      <c r="D1919" t="str">
        <f>IFERROR(VLOOKUP($A1919,原始数据_收盘!$A$4:$G$3460,4,0),"")</f>
        <v/>
      </c>
      <c r="E1919" t="str">
        <f>IFERROR(VLOOKUP($A1919,原始数据_收盘!$A$4:$G$3460,5,0),"")</f>
        <v/>
      </c>
      <c r="F1919" t="str">
        <f>IFERROR(VLOOKUP($A1919,原始数据_收盘!$A$4:$G$3460,6,0),"")</f>
        <v/>
      </c>
      <c r="G1919" t="str">
        <f>IFERROR(VLOOKUP($A1919,原始数据_收盘!$A$4:$G$3460,7,0),"")</f>
        <v/>
      </c>
      <c r="H1919" t="str">
        <f>IFERROR(VLOOKUP($A1919,原始数据_利率互换_FR007_1年!$A$6:$C$4395,2,0),"")</f>
        <v/>
      </c>
      <c r="I1919" t="str">
        <f>IFERROR(VLOOKUP($A1919,原始数据_利率互换_FR007_1年!$A$6:$C$4395,3,0),"")</f>
        <v/>
      </c>
    </row>
    <row r="1920" spans="1:9">
      <c r="A1920" s="6">
        <v>41413</v>
      </c>
      <c r="B1920" t="str">
        <f>IFERROR(VLOOKUP($A1920,原始数据_收盘!$A$4:$G$3460,2,0),"")</f>
        <v/>
      </c>
      <c r="C1920" t="str">
        <f>IFERROR(VLOOKUP($A1920,原始数据_收盘!$A$4:$G$3460,3,0),"")</f>
        <v/>
      </c>
      <c r="D1920" t="str">
        <f>IFERROR(VLOOKUP($A1920,原始数据_收盘!$A$4:$G$3460,4,0),"")</f>
        <v/>
      </c>
      <c r="E1920" t="str">
        <f>IFERROR(VLOOKUP($A1920,原始数据_收盘!$A$4:$G$3460,5,0),"")</f>
        <v/>
      </c>
      <c r="F1920" t="str">
        <f>IFERROR(VLOOKUP($A1920,原始数据_收盘!$A$4:$G$3460,6,0),"")</f>
        <v/>
      </c>
      <c r="G1920" t="str">
        <f>IFERROR(VLOOKUP($A1920,原始数据_收盘!$A$4:$G$3460,7,0),"")</f>
        <v/>
      </c>
      <c r="H1920" t="str">
        <f>IFERROR(VLOOKUP($A1920,原始数据_利率互换_FR007_1年!$A$6:$C$4395,2,0),"")</f>
        <v/>
      </c>
      <c r="I1920" t="str">
        <f>IFERROR(VLOOKUP($A1920,原始数据_利率互换_FR007_1年!$A$6:$C$4395,3,0),"")</f>
        <v/>
      </c>
    </row>
    <row r="1921" spans="1:9">
      <c r="A1921" s="6">
        <v>41414</v>
      </c>
      <c r="B1921">
        <f>IFERROR(VLOOKUP($A1921,原始数据_收盘!$A$4:$G$3460,2,0),"")</f>
        <v>3.2561</v>
      </c>
      <c r="C1921">
        <f>IFERROR(VLOOKUP($A1921,原始数据_收盘!$A$4:$G$3460,3,0),"")</f>
        <v>3.4829</v>
      </c>
      <c r="D1921">
        <f>IFERROR(VLOOKUP($A1921,原始数据_收盘!$A$4:$G$3460,4,0),"")</f>
        <v>3.3041</v>
      </c>
      <c r="E1921">
        <f>IFERROR(VLOOKUP($A1921,原始数据_收盘!$A$4:$G$3460,5,0),"")</f>
        <v>3.533</v>
      </c>
      <c r="F1921">
        <f>IFERROR(VLOOKUP($A1921,原始数据_收盘!$A$4:$G$3460,6,0),"")</f>
        <v>3.2801</v>
      </c>
      <c r="G1921">
        <f>IFERROR(VLOOKUP($A1921,原始数据_收盘!$A$4:$G$3460,7,0),"")</f>
        <v>3.5079</v>
      </c>
      <c r="H1921">
        <f>IFERROR(VLOOKUP($A1921,原始数据_利率互换_FR007_1年!$A$6:$C$4395,2,0),"")</f>
        <v>3.2836</v>
      </c>
      <c r="I1921">
        <f>IFERROR(VLOOKUP($A1921,原始数据_利率互换_FR007_1年!$A$6:$C$4395,3,0),"")</f>
        <v>3.5053</v>
      </c>
    </row>
    <row r="1922" spans="1:9">
      <c r="A1922" s="6">
        <v>41415</v>
      </c>
      <c r="B1922">
        <f>IFERROR(VLOOKUP($A1922,原始数据_收盘!$A$4:$G$3460,2,0),"")</f>
        <v>3.2538</v>
      </c>
      <c r="C1922">
        <f>IFERROR(VLOOKUP($A1922,原始数据_收盘!$A$4:$G$3460,3,0),"")</f>
        <v>3.4923</v>
      </c>
      <c r="D1922">
        <f>IFERROR(VLOOKUP($A1922,原始数据_收盘!$A$4:$G$3460,4,0),"")</f>
        <v>3.3</v>
      </c>
      <c r="E1922">
        <f>IFERROR(VLOOKUP($A1922,原始数据_收盘!$A$4:$G$3460,5,0),"")</f>
        <v>3.5412</v>
      </c>
      <c r="F1922">
        <f>IFERROR(VLOOKUP($A1922,原始数据_收盘!$A$4:$G$3460,6,0),"")</f>
        <v>3.2769</v>
      </c>
      <c r="G1922">
        <f>IFERROR(VLOOKUP($A1922,原始数据_收盘!$A$4:$G$3460,7,0),"")</f>
        <v>3.5167</v>
      </c>
      <c r="H1922">
        <f>IFERROR(VLOOKUP($A1922,原始数据_利率互换_FR007_1年!$A$6:$C$4395,2,0),"")</f>
        <v>3.2742</v>
      </c>
      <c r="I1922">
        <f>IFERROR(VLOOKUP($A1922,原始数据_利率互换_FR007_1年!$A$6:$C$4395,3,0),"")</f>
        <v>3.5179</v>
      </c>
    </row>
    <row r="1923" spans="1:9">
      <c r="A1923" s="6">
        <v>41416</v>
      </c>
      <c r="B1923">
        <f>IFERROR(VLOOKUP($A1923,原始数据_收盘!$A$4:$G$3460,2,0),"")</f>
        <v>3.2521</v>
      </c>
      <c r="C1923">
        <f>IFERROR(VLOOKUP($A1923,原始数据_收盘!$A$4:$G$3460,3,0),"")</f>
        <v>3.4854</v>
      </c>
      <c r="D1923">
        <f>IFERROR(VLOOKUP($A1923,原始数据_收盘!$A$4:$G$3460,4,0),"")</f>
        <v>3.3009</v>
      </c>
      <c r="E1923">
        <f>IFERROR(VLOOKUP($A1923,原始数据_收盘!$A$4:$G$3460,5,0),"")</f>
        <v>3.5375</v>
      </c>
      <c r="F1923">
        <f>IFERROR(VLOOKUP($A1923,原始数据_收盘!$A$4:$G$3460,6,0),"")</f>
        <v>3.2765</v>
      </c>
      <c r="G1923">
        <f>IFERROR(VLOOKUP($A1923,原始数据_收盘!$A$4:$G$3460,7,0),"")</f>
        <v>3.5114</v>
      </c>
      <c r="H1923">
        <f>IFERROR(VLOOKUP($A1923,原始数据_利率互换_FR007_1年!$A$6:$C$4395,2,0),"")</f>
        <v>3.2707</v>
      </c>
      <c r="I1923">
        <f>IFERROR(VLOOKUP($A1923,原始数据_利率互换_FR007_1年!$A$6:$C$4395,3,0),"")</f>
        <v>3.5075</v>
      </c>
    </row>
    <row r="1924" spans="1:9">
      <c r="A1924" s="6">
        <v>41417</v>
      </c>
      <c r="B1924">
        <f>IFERROR(VLOOKUP($A1924,原始数据_收盘!$A$4:$G$3460,2,0),"")</f>
        <v>3.2519</v>
      </c>
      <c r="C1924">
        <f>IFERROR(VLOOKUP($A1924,原始数据_收盘!$A$4:$G$3460,3,0),"")</f>
        <v>3.4808</v>
      </c>
      <c r="D1924">
        <f>IFERROR(VLOOKUP($A1924,原始数据_收盘!$A$4:$G$3460,4,0),"")</f>
        <v>3.2989</v>
      </c>
      <c r="E1924">
        <f>IFERROR(VLOOKUP($A1924,原始数据_收盘!$A$4:$G$3460,5,0),"")</f>
        <v>3.531</v>
      </c>
      <c r="F1924">
        <f>IFERROR(VLOOKUP($A1924,原始数据_收盘!$A$4:$G$3460,6,0),"")</f>
        <v>3.2754</v>
      </c>
      <c r="G1924">
        <f>IFERROR(VLOOKUP($A1924,原始数据_收盘!$A$4:$G$3460,7,0),"")</f>
        <v>3.5059</v>
      </c>
      <c r="H1924">
        <f>IFERROR(VLOOKUP($A1924,原始数据_利率互换_FR007_1年!$A$6:$C$4395,2,0),"")</f>
        <v>3.2706</v>
      </c>
      <c r="I1924">
        <f>IFERROR(VLOOKUP($A1924,原始数据_利率互换_FR007_1年!$A$6:$C$4395,3,0),"")</f>
        <v>3.5169</v>
      </c>
    </row>
    <row r="1925" spans="1:9">
      <c r="A1925" s="6">
        <v>41418</v>
      </c>
      <c r="B1925">
        <f>IFERROR(VLOOKUP($A1925,原始数据_收盘!$A$4:$G$3460,2,0),"")</f>
        <v>3.254</v>
      </c>
      <c r="C1925">
        <f>IFERROR(VLOOKUP($A1925,原始数据_收盘!$A$4:$G$3460,3,0),"")</f>
        <v>3.4811</v>
      </c>
      <c r="D1925">
        <f>IFERROR(VLOOKUP($A1925,原始数据_收盘!$A$4:$G$3460,4,0),"")</f>
        <v>3.3007</v>
      </c>
      <c r="E1925">
        <f>IFERROR(VLOOKUP($A1925,原始数据_收盘!$A$4:$G$3460,5,0),"")</f>
        <v>3.5318</v>
      </c>
      <c r="F1925">
        <f>IFERROR(VLOOKUP($A1925,原始数据_收盘!$A$4:$G$3460,6,0),"")</f>
        <v>3.2774</v>
      </c>
      <c r="G1925">
        <f>IFERROR(VLOOKUP($A1925,原始数据_收盘!$A$4:$G$3460,7,0),"")</f>
        <v>3.5065</v>
      </c>
      <c r="H1925">
        <f>IFERROR(VLOOKUP($A1925,原始数据_利率互换_FR007_1年!$A$6:$C$4395,2,0),"")</f>
        <v>3.2729</v>
      </c>
      <c r="I1925">
        <f>IFERROR(VLOOKUP($A1925,原始数据_利率互换_FR007_1年!$A$6:$C$4395,3,0),"")</f>
        <v>3.5068</v>
      </c>
    </row>
    <row r="1926" spans="1:9">
      <c r="A1926" s="6">
        <v>41419</v>
      </c>
      <c r="B1926" t="str">
        <f>IFERROR(VLOOKUP($A1926,原始数据_收盘!$A$4:$G$3460,2,0),"")</f>
        <v/>
      </c>
      <c r="C1926" t="str">
        <f>IFERROR(VLOOKUP($A1926,原始数据_收盘!$A$4:$G$3460,3,0),"")</f>
        <v/>
      </c>
      <c r="D1926" t="str">
        <f>IFERROR(VLOOKUP($A1926,原始数据_收盘!$A$4:$G$3460,4,0),"")</f>
        <v/>
      </c>
      <c r="E1926" t="str">
        <f>IFERROR(VLOOKUP($A1926,原始数据_收盘!$A$4:$G$3460,5,0),"")</f>
        <v/>
      </c>
      <c r="F1926" t="str">
        <f>IFERROR(VLOOKUP($A1926,原始数据_收盘!$A$4:$G$3460,6,0),"")</f>
        <v/>
      </c>
      <c r="G1926" t="str">
        <f>IFERROR(VLOOKUP($A1926,原始数据_收盘!$A$4:$G$3460,7,0),"")</f>
        <v/>
      </c>
      <c r="H1926" t="str">
        <f>IFERROR(VLOOKUP($A1926,原始数据_利率互换_FR007_1年!$A$6:$C$4395,2,0),"")</f>
        <v/>
      </c>
      <c r="I1926" t="str">
        <f>IFERROR(VLOOKUP($A1926,原始数据_利率互换_FR007_1年!$A$6:$C$4395,3,0),"")</f>
        <v/>
      </c>
    </row>
    <row r="1927" spans="1:9">
      <c r="A1927" s="6">
        <v>41420</v>
      </c>
      <c r="B1927" t="str">
        <f>IFERROR(VLOOKUP($A1927,原始数据_收盘!$A$4:$G$3460,2,0),"")</f>
        <v/>
      </c>
      <c r="C1927" t="str">
        <f>IFERROR(VLOOKUP($A1927,原始数据_收盘!$A$4:$G$3460,3,0),"")</f>
        <v/>
      </c>
      <c r="D1927" t="str">
        <f>IFERROR(VLOOKUP($A1927,原始数据_收盘!$A$4:$G$3460,4,0),"")</f>
        <v/>
      </c>
      <c r="E1927" t="str">
        <f>IFERROR(VLOOKUP($A1927,原始数据_收盘!$A$4:$G$3460,5,0),"")</f>
        <v/>
      </c>
      <c r="F1927" t="str">
        <f>IFERROR(VLOOKUP($A1927,原始数据_收盘!$A$4:$G$3460,6,0),"")</f>
        <v/>
      </c>
      <c r="G1927" t="str">
        <f>IFERROR(VLOOKUP($A1927,原始数据_收盘!$A$4:$G$3460,7,0),"")</f>
        <v/>
      </c>
      <c r="H1927" t="str">
        <f>IFERROR(VLOOKUP($A1927,原始数据_利率互换_FR007_1年!$A$6:$C$4395,2,0),"")</f>
        <v/>
      </c>
      <c r="I1927" t="str">
        <f>IFERROR(VLOOKUP($A1927,原始数据_利率互换_FR007_1年!$A$6:$C$4395,3,0),"")</f>
        <v/>
      </c>
    </row>
    <row r="1928" spans="1:9">
      <c r="A1928" s="6">
        <v>41421</v>
      </c>
      <c r="B1928">
        <f>IFERROR(VLOOKUP($A1928,原始数据_收盘!$A$4:$G$3460,2,0),"")</f>
        <v>3.254</v>
      </c>
      <c r="C1928">
        <f>IFERROR(VLOOKUP($A1928,原始数据_收盘!$A$4:$G$3460,3,0),"")</f>
        <v>3.4833</v>
      </c>
      <c r="D1928">
        <f>IFERROR(VLOOKUP($A1928,原始数据_收盘!$A$4:$G$3460,4,0),"")</f>
        <v>3.2981</v>
      </c>
      <c r="E1928">
        <f>IFERROR(VLOOKUP($A1928,原始数据_收盘!$A$4:$G$3460,5,0),"")</f>
        <v>3.5322</v>
      </c>
      <c r="F1928">
        <f>IFERROR(VLOOKUP($A1928,原始数据_收盘!$A$4:$G$3460,6,0),"")</f>
        <v>3.276</v>
      </c>
      <c r="G1928">
        <f>IFERROR(VLOOKUP($A1928,原始数据_收盘!$A$4:$G$3460,7,0),"")</f>
        <v>3.5078</v>
      </c>
      <c r="H1928">
        <f>IFERROR(VLOOKUP($A1928,原始数据_利率互换_FR007_1年!$A$6:$C$4395,2,0),"")</f>
        <v>3.2765</v>
      </c>
      <c r="I1928">
        <f>IFERROR(VLOOKUP($A1928,原始数据_利率互换_FR007_1年!$A$6:$C$4395,3,0),"")</f>
        <v>3.5013</v>
      </c>
    </row>
    <row r="1929" spans="1:9">
      <c r="A1929" s="6">
        <v>41422</v>
      </c>
      <c r="B1929">
        <f>IFERROR(VLOOKUP($A1929,原始数据_收盘!$A$4:$G$3460,2,0),"")</f>
        <v>3.2477</v>
      </c>
      <c r="C1929">
        <f>IFERROR(VLOOKUP($A1929,原始数据_收盘!$A$4:$G$3460,3,0),"")</f>
        <v>3.4788</v>
      </c>
      <c r="D1929">
        <f>IFERROR(VLOOKUP($A1929,原始数据_收盘!$A$4:$G$3460,4,0),"")</f>
        <v>3.2963</v>
      </c>
      <c r="E1929">
        <f>IFERROR(VLOOKUP($A1929,原始数据_收盘!$A$4:$G$3460,5,0),"")</f>
        <v>3.5343</v>
      </c>
      <c r="F1929">
        <f>IFERROR(VLOOKUP($A1929,原始数据_收盘!$A$4:$G$3460,6,0),"")</f>
        <v>3.272</v>
      </c>
      <c r="G1929">
        <f>IFERROR(VLOOKUP($A1929,原始数据_收盘!$A$4:$G$3460,7,0),"")</f>
        <v>3.5066</v>
      </c>
      <c r="H1929">
        <f>IFERROR(VLOOKUP($A1929,原始数据_利率互换_FR007_1年!$A$6:$C$4395,2,0),"")</f>
        <v>3.2852</v>
      </c>
      <c r="I1929">
        <f>IFERROR(VLOOKUP($A1929,原始数据_利率互换_FR007_1年!$A$6:$C$4395,3,0),"")</f>
        <v>3.4971</v>
      </c>
    </row>
    <row r="1930" spans="1:9">
      <c r="A1930" s="6">
        <v>41423</v>
      </c>
      <c r="B1930">
        <f>IFERROR(VLOOKUP($A1930,原始数据_收盘!$A$4:$G$3460,2,0),"")</f>
        <v>3.2528</v>
      </c>
      <c r="C1930">
        <f>IFERROR(VLOOKUP($A1930,原始数据_收盘!$A$4:$G$3460,3,0),"")</f>
        <v>3.4971</v>
      </c>
      <c r="D1930">
        <f>IFERROR(VLOOKUP($A1930,原始数据_收盘!$A$4:$G$3460,4,0),"")</f>
        <v>3.3021</v>
      </c>
      <c r="E1930">
        <f>IFERROR(VLOOKUP($A1930,原始数据_收盘!$A$4:$G$3460,5,0),"")</f>
        <v>3.55</v>
      </c>
      <c r="F1930">
        <f>IFERROR(VLOOKUP($A1930,原始数据_收盘!$A$4:$G$3460,6,0),"")</f>
        <v>3.2775</v>
      </c>
      <c r="G1930">
        <f>IFERROR(VLOOKUP($A1930,原始数据_收盘!$A$4:$G$3460,7,0),"")</f>
        <v>3.5235</v>
      </c>
      <c r="H1930">
        <f>IFERROR(VLOOKUP($A1930,原始数据_利率互换_FR007_1年!$A$6:$C$4395,2,0),"")</f>
        <v>3.2762</v>
      </c>
      <c r="I1930">
        <f>IFERROR(VLOOKUP($A1930,原始数据_利率互换_FR007_1年!$A$6:$C$4395,3,0),"")</f>
        <v>3.5406</v>
      </c>
    </row>
    <row r="1931" spans="1:9">
      <c r="A1931" s="6">
        <v>41424</v>
      </c>
      <c r="B1931">
        <f>IFERROR(VLOOKUP($A1931,原始数据_收盘!$A$4:$G$3460,2,0),"")</f>
        <v>3.2641</v>
      </c>
      <c r="C1931">
        <f>IFERROR(VLOOKUP($A1931,原始数据_收盘!$A$4:$G$3460,3,0),"")</f>
        <v>3.505</v>
      </c>
      <c r="D1931">
        <f>IFERROR(VLOOKUP($A1931,原始数据_收盘!$A$4:$G$3460,4,0),"")</f>
        <v>3.3118</v>
      </c>
      <c r="E1931">
        <f>IFERROR(VLOOKUP($A1931,原始数据_收盘!$A$4:$G$3460,5,0),"")</f>
        <v>3.5518</v>
      </c>
      <c r="F1931">
        <f>IFERROR(VLOOKUP($A1931,原始数据_收盘!$A$4:$G$3460,6,0),"")</f>
        <v>3.288</v>
      </c>
      <c r="G1931">
        <f>IFERROR(VLOOKUP($A1931,原始数据_收盘!$A$4:$G$3460,7,0),"")</f>
        <v>3.5284</v>
      </c>
      <c r="H1931">
        <f>IFERROR(VLOOKUP($A1931,原始数据_利率互换_FR007_1年!$A$6:$C$4395,2,0),"")</f>
        <v>3.287</v>
      </c>
      <c r="I1931">
        <f>IFERROR(VLOOKUP($A1931,原始数据_利率互换_FR007_1年!$A$6:$C$4395,3,0),"")</f>
        <v>0</v>
      </c>
    </row>
    <row r="1932" spans="1:9">
      <c r="A1932" s="6">
        <v>41425</v>
      </c>
      <c r="B1932">
        <f>IFERROR(VLOOKUP($A1932,原始数据_收盘!$A$4:$G$3460,2,0),"")</f>
        <v>3.2852</v>
      </c>
      <c r="C1932">
        <f>IFERROR(VLOOKUP($A1932,原始数据_收盘!$A$4:$G$3460,3,0),"")</f>
        <v>3.4994</v>
      </c>
      <c r="D1932">
        <f>IFERROR(VLOOKUP($A1932,原始数据_收盘!$A$4:$G$3460,4,0),"")</f>
        <v>3.335</v>
      </c>
      <c r="E1932">
        <f>IFERROR(VLOOKUP($A1932,原始数据_收盘!$A$4:$G$3460,5,0),"")</f>
        <v>3.5517</v>
      </c>
      <c r="F1932">
        <f>IFERROR(VLOOKUP($A1932,原始数据_收盘!$A$4:$G$3460,6,0),"")</f>
        <v>3.3101</v>
      </c>
      <c r="G1932">
        <f>IFERROR(VLOOKUP($A1932,原始数据_收盘!$A$4:$G$3460,7,0),"")</f>
        <v>3.5255</v>
      </c>
      <c r="H1932">
        <f>IFERROR(VLOOKUP($A1932,原始数据_利率互换_FR007_1年!$A$6:$C$4395,2,0),"")</f>
        <v>3.3113</v>
      </c>
      <c r="I1932">
        <f>IFERROR(VLOOKUP($A1932,原始数据_利率互换_FR007_1年!$A$6:$C$4395,3,0),"")</f>
        <v>3.5238</v>
      </c>
    </row>
    <row r="1933" spans="1:9">
      <c r="A1933" s="6">
        <v>41426</v>
      </c>
      <c r="B1933" t="str">
        <f>IFERROR(VLOOKUP($A1933,原始数据_收盘!$A$4:$G$3460,2,0),"")</f>
        <v/>
      </c>
      <c r="C1933" t="str">
        <f>IFERROR(VLOOKUP($A1933,原始数据_收盘!$A$4:$G$3460,3,0),"")</f>
        <v/>
      </c>
      <c r="D1933" t="str">
        <f>IFERROR(VLOOKUP($A1933,原始数据_收盘!$A$4:$G$3460,4,0),"")</f>
        <v/>
      </c>
      <c r="E1933" t="str">
        <f>IFERROR(VLOOKUP($A1933,原始数据_收盘!$A$4:$G$3460,5,0),"")</f>
        <v/>
      </c>
      <c r="F1933" t="str">
        <f>IFERROR(VLOOKUP($A1933,原始数据_收盘!$A$4:$G$3460,6,0),"")</f>
        <v/>
      </c>
      <c r="G1933" t="str">
        <f>IFERROR(VLOOKUP($A1933,原始数据_收盘!$A$4:$G$3460,7,0),"")</f>
        <v/>
      </c>
      <c r="H1933" t="str">
        <f>IFERROR(VLOOKUP($A1933,原始数据_利率互换_FR007_1年!$A$6:$C$4395,2,0),"")</f>
        <v/>
      </c>
      <c r="I1933" t="str">
        <f>IFERROR(VLOOKUP($A1933,原始数据_利率互换_FR007_1年!$A$6:$C$4395,3,0),"")</f>
        <v/>
      </c>
    </row>
    <row r="1934" spans="1:9">
      <c r="A1934" s="6">
        <v>41427</v>
      </c>
      <c r="B1934" t="str">
        <f>IFERROR(VLOOKUP($A1934,原始数据_收盘!$A$4:$G$3460,2,0),"")</f>
        <v/>
      </c>
      <c r="C1934" t="str">
        <f>IFERROR(VLOOKUP($A1934,原始数据_收盘!$A$4:$G$3460,3,0),"")</f>
        <v/>
      </c>
      <c r="D1934" t="str">
        <f>IFERROR(VLOOKUP($A1934,原始数据_收盘!$A$4:$G$3460,4,0),"")</f>
        <v/>
      </c>
      <c r="E1934" t="str">
        <f>IFERROR(VLOOKUP($A1934,原始数据_收盘!$A$4:$G$3460,5,0),"")</f>
        <v/>
      </c>
      <c r="F1934" t="str">
        <f>IFERROR(VLOOKUP($A1934,原始数据_收盘!$A$4:$G$3460,6,0),"")</f>
        <v/>
      </c>
      <c r="G1934" t="str">
        <f>IFERROR(VLOOKUP($A1934,原始数据_收盘!$A$4:$G$3460,7,0),"")</f>
        <v/>
      </c>
      <c r="H1934" t="str">
        <f>IFERROR(VLOOKUP($A1934,原始数据_利率互换_FR007_1年!$A$6:$C$4395,2,0),"")</f>
        <v/>
      </c>
      <c r="I1934" t="str">
        <f>IFERROR(VLOOKUP($A1934,原始数据_利率互换_FR007_1年!$A$6:$C$4395,3,0),"")</f>
        <v/>
      </c>
    </row>
    <row r="1935" spans="1:9">
      <c r="A1935" s="6">
        <v>41428</v>
      </c>
      <c r="B1935">
        <f>IFERROR(VLOOKUP($A1935,原始数据_收盘!$A$4:$G$3460,2,0),"")</f>
        <v>3.3151</v>
      </c>
      <c r="C1935">
        <f>IFERROR(VLOOKUP($A1935,原始数据_收盘!$A$4:$G$3460,3,0),"")</f>
        <v>3.5149</v>
      </c>
      <c r="D1935">
        <f>IFERROR(VLOOKUP($A1935,原始数据_收盘!$A$4:$G$3460,4,0),"")</f>
        <v>3.3669</v>
      </c>
      <c r="E1935">
        <f>IFERROR(VLOOKUP($A1935,原始数据_收盘!$A$4:$G$3460,5,0),"")</f>
        <v>3.5649</v>
      </c>
      <c r="F1935">
        <f>IFERROR(VLOOKUP($A1935,原始数据_收盘!$A$4:$G$3460,6,0),"")</f>
        <v>3.341</v>
      </c>
      <c r="G1935">
        <f>IFERROR(VLOOKUP($A1935,原始数据_收盘!$A$4:$G$3460,7,0),"")</f>
        <v>3.5399</v>
      </c>
      <c r="H1935">
        <f>IFERROR(VLOOKUP($A1935,原始数据_利率互换_FR007_1年!$A$6:$C$4395,2,0),"")</f>
        <v>3.3341</v>
      </c>
      <c r="I1935">
        <f>IFERROR(VLOOKUP($A1935,原始数据_利率互换_FR007_1年!$A$6:$C$4395,3,0),"")</f>
        <v>3.5393</v>
      </c>
    </row>
    <row r="1936" spans="1:9">
      <c r="A1936" s="6">
        <v>41429</v>
      </c>
      <c r="B1936">
        <f>IFERROR(VLOOKUP($A1936,原始数据_收盘!$A$4:$G$3460,2,0),"")</f>
        <v>3.3405</v>
      </c>
      <c r="C1936">
        <f>IFERROR(VLOOKUP($A1936,原始数据_收盘!$A$4:$G$3460,3,0),"")</f>
        <v>3.522</v>
      </c>
      <c r="D1936">
        <f>IFERROR(VLOOKUP($A1936,原始数据_收盘!$A$4:$G$3460,4,0),"")</f>
        <v>3.395</v>
      </c>
      <c r="E1936">
        <f>IFERROR(VLOOKUP($A1936,原始数据_收盘!$A$4:$G$3460,5,0),"")</f>
        <v>3.5739</v>
      </c>
      <c r="F1936">
        <f>IFERROR(VLOOKUP($A1936,原始数据_收盘!$A$4:$G$3460,6,0),"")</f>
        <v>3.3678</v>
      </c>
      <c r="G1936">
        <f>IFERROR(VLOOKUP($A1936,原始数据_收盘!$A$4:$G$3460,7,0),"")</f>
        <v>3.5479</v>
      </c>
      <c r="H1936">
        <f>IFERROR(VLOOKUP($A1936,原始数据_利率互换_FR007_1年!$A$6:$C$4395,2,0),"")</f>
        <v>3.3737</v>
      </c>
      <c r="I1936">
        <f>IFERROR(VLOOKUP($A1936,原始数据_利率互换_FR007_1年!$A$6:$C$4395,3,0),"")</f>
        <v>3.5538</v>
      </c>
    </row>
    <row r="1937" spans="1:9">
      <c r="A1937" s="6">
        <v>41430</v>
      </c>
      <c r="B1937">
        <f>IFERROR(VLOOKUP($A1937,原始数据_收盘!$A$4:$G$3460,2,0),"")</f>
        <v>3.3863</v>
      </c>
      <c r="C1937">
        <f>IFERROR(VLOOKUP($A1937,原始数据_收盘!$A$4:$G$3460,3,0),"")</f>
        <v>3.5368</v>
      </c>
      <c r="D1937">
        <f>IFERROR(VLOOKUP($A1937,原始数据_收盘!$A$4:$G$3460,4,0),"")</f>
        <v>3.4371</v>
      </c>
      <c r="E1937">
        <f>IFERROR(VLOOKUP($A1937,原始数据_收盘!$A$4:$G$3460,5,0),"")</f>
        <v>3.5879</v>
      </c>
      <c r="F1937">
        <f>IFERROR(VLOOKUP($A1937,原始数据_收盘!$A$4:$G$3460,6,0),"")</f>
        <v>3.4117</v>
      </c>
      <c r="G1937">
        <f>IFERROR(VLOOKUP($A1937,原始数据_收盘!$A$4:$G$3460,7,0),"")</f>
        <v>3.5623</v>
      </c>
      <c r="H1937">
        <f>IFERROR(VLOOKUP($A1937,原始数据_利率互换_FR007_1年!$A$6:$C$4395,2,0),"")</f>
        <v>3.4132</v>
      </c>
      <c r="I1937">
        <f>IFERROR(VLOOKUP($A1937,原始数据_利率互换_FR007_1年!$A$6:$C$4395,3,0),"")</f>
        <v>3.5622</v>
      </c>
    </row>
    <row r="1938" spans="1:9">
      <c r="A1938" s="6">
        <v>41431</v>
      </c>
      <c r="B1938">
        <f>IFERROR(VLOOKUP($A1938,原始数据_收盘!$A$4:$G$3460,2,0),"")</f>
        <v>3.4611</v>
      </c>
      <c r="C1938">
        <f>IFERROR(VLOOKUP($A1938,原始数据_收盘!$A$4:$G$3460,3,0),"")</f>
        <v>3.5441</v>
      </c>
      <c r="D1938">
        <f>IFERROR(VLOOKUP($A1938,原始数据_收盘!$A$4:$G$3460,4,0),"")</f>
        <v>3.5186</v>
      </c>
      <c r="E1938">
        <f>IFERROR(VLOOKUP($A1938,原始数据_收盘!$A$4:$G$3460,5,0),"")</f>
        <v>3.5964</v>
      </c>
      <c r="F1938">
        <f>IFERROR(VLOOKUP($A1938,原始数据_收盘!$A$4:$G$3460,6,0),"")</f>
        <v>3.4899</v>
      </c>
      <c r="G1938">
        <f>IFERROR(VLOOKUP($A1938,原始数据_收盘!$A$4:$G$3460,7,0),"")</f>
        <v>3.5702</v>
      </c>
      <c r="H1938">
        <f>IFERROR(VLOOKUP($A1938,原始数据_利率互换_FR007_1年!$A$6:$C$4395,2,0),"")</f>
        <v>3.4905</v>
      </c>
      <c r="I1938">
        <f>IFERROR(VLOOKUP($A1938,原始数据_利率互换_FR007_1年!$A$6:$C$4395,3,0),"")</f>
        <v>3.5827</v>
      </c>
    </row>
    <row r="1939" spans="1:9">
      <c r="A1939" s="6">
        <v>41432</v>
      </c>
      <c r="B1939">
        <f>IFERROR(VLOOKUP($A1939,原始数据_收盘!$A$4:$G$3460,2,0),"")</f>
        <v>3.5185</v>
      </c>
      <c r="C1939">
        <f>IFERROR(VLOOKUP($A1939,原始数据_收盘!$A$4:$G$3460,3,0),"")</f>
        <v>3.5475</v>
      </c>
      <c r="D1939">
        <f>IFERROR(VLOOKUP($A1939,原始数据_收盘!$A$4:$G$3460,4,0),"")</f>
        <v>3.5718</v>
      </c>
      <c r="E1939">
        <f>IFERROR(VLOOKUP($A1939,原始数据_收盘!$A$4:$G$3460,5,0),"")</f>
        <v>3.6027</v>
      </c>
      <c r="F1939">
        <f>IFERROR(VLOOKUP($A1939,原始数据_收盘!$A$4:$G$3460,6,0),"")</f>
        <v>3.5452</v>
      </c>
      <c r="G1939">
        <f>IFERROR(VLOOKUP($A1939,原始数据_收盘!$A$4:$G$3460,7,0),"")</f>
        <v>3.5751</v>
      </c>
      <c r="H1939">
        <f>IFERROR(VLOOKUP($A1939,原始数据_利率互换_FR007_1年!$A$6:$C$4395,2,0),"")</f>
        <v>3.579</v>
      </c>
      <c r="I1939">
        <f>IFERROR(VLOOKUP($A1939,原始数据_利率互换_FR007_1年!$A$6:$C$4395,3,0),"")</f>
        <v>3.5914</v>
      </c>
    </row>
    <row r="1940" spans="1:9">
      <c r="A1940" s="6">
        <v>41433</v>
      </c>
      <c r="B1940">
        <f>IFERROR(VLOOKUP($A1940,原始数据_收盘!$A$4:$G$3460,2,0),"")</f>
        <v>3.6188</v>
      </c>
      <c r="C1940">
        <f>IFERROR(VLOOKUP($A1940,原始数据_收盘!$A$4:$G$3460,3,0),"")</f>
        <v>3.5838</v>
      </c>
      <c r="D1940">
        <f>IFERROR(VLOOKUP($A1940,原始数据_收盘!$A$4:$G$3460,4,0),"")</f>
        <v>3.6792</v>
      </c>
      <c r="E1940">
        <f>IFERROR(VLOOKUP($A1940,原始数据_收盘!$A$4:$G$3460,5,0),"")</f>
        <v>3.6467</v>
      </c>
      <c r="F1940">
        <f>IFERROR(VLOOKUP($A1940,原始数据_收盘!$A$4:$G$3460,6,0),"")</f>
        <v>3.649</v>
      </c>
      <c r="G1940">
        <f>IFERROR(VLOOKUP($A1940,原始数据_收盘!$A$4:$G$3460,7,0),"")</f>
        <v>3.6152</v>
      </c>
      <c r="H1940">
        <f>IFERROR(VLOOKUP($A1940,原始数据_利率互换_FR007_1年!$A$6:$C$4395,2,0),"")</f>
        <v>3.6419</v>
      </c>
      <c r="I1940">
        <f>IFERROR(VLOOKUP($A1940,原始数据_利率互换_FR007_1年!$A$6:$C$4395,3,0),"")</f>
        <v>3.6085</v>
      </c>
    </row>
    <row r="1941" spans="1:9">
      <c r="A1941" s="6">
        <v>41434</v>
      </c>
      <c r="B1941">
        <f>IFERROR(VLOOKUP($A1941,原始数据_收盘!$A$4:$G$3460,2,0),"")</f>
        <v>3.5178</v>
      </c>
      <c r="C1941">
        <f>IFERROR(VLOOKUP($A1941,原始数据_收盘!$A$4:$G$3460,3,0),"")</f>
        <v>3.5035</v>
      </c>
      <c r="D1941">
        <f>IFERROR(VLOOKUP($A1941,原始数据_收盘!$A$4:$G$3460,4,0),"")</f>
        <v>3.5712</v>
      </c>
      <c r="E1941">
        <f>IFERROR(VLOOKUP($A1941,原始数据_收盘!$A$4:$G$3460,5,0),"")</f>
        <v>3.5599</v>
      </c>
      <c r="F1941">
        <f>IFERROR(VLOOKUP($A1941,原始数据_收盘!$A$4:$G$3460,6,0),"")</f>
        <v>3.5445</v>
      </c>
      <c r="G1941">
        <f>IFERROR(VLOOKUP($A1941,原始数据_收盘!$A$4:$G$3460,7,0),"")</f>
        <v>3.5317</v>
      </c>
      <c r="H1941">
        <f>IFERROR(VLOOKUP($A1941,原始数据_利率互换_FR007_1年!$A$6:$C$4395,2,0),"")</f>
        <v>3.5578</v>
      </c>
      <c r="I1941">
        <f>IFERROR(VLOOKUP($A1941,原始数据_利率互换_FR007_1年!$A$6:$C$4395,3,0),"")</f>
        <v>3.5521</v>
      </c>
    </row>
    <row r="1942" spans="1:9">
      <c r="A1942" s="6">
        <v>41435</v>
      </c>
      <c r="B1942" t="str">
        <f>IFERROR(VLOOKUP($A1942,原始数据_收盘!$A$4:$G$3460,2,0),"")</f>
        <v/>
      </c>
      <c r="C1942" t="str">
        <f>IFERROR(VLOOKUP($A1942,原始数据_收盘!$A$4:$G$3460,3,0),"")</f>
        <v/>
      </c>
      <c r="D1942" t="str">
        <f>IFERROR(VLOOKUP($A1942,原始数据_收盘!$A$4:$G$3460,4,0),"")</f>
        <v/>
      </c>
      <c r="E1942" t="str">
        <f>IFERROR(VLOOKUP($A1942,原始数据_收盘!$A$4:$G$3460,5,0),"")</f>
        <v/>
      </c>
      <c r="F1942" t="str">
        <f>IFERROR(VLOOKUP($A1942,原始数据_收盘!$A$4:$G$3460,6,0),"")</f>
        <v/>
      </c>
      <c r="G1942" t="str">
        <f>IFERROR(VLOOKUP($A1942,原始数据_收盘!$A$4:$G$3460,7,0),"")</f>
        <v/>
      </c>
      <c r="H1942" t="str">
        <f>IFERROR(VLOOKUP($A1942,原始数据_利率互换_FR007_1年!$A$6:$C$4395,2,0),"")</f>
        <v/>
      </c>
      <c r="I1942" t="str">
        <f>IFERROR(VLOOKUP($A1942,原始数据_利率互换_FR007_1年!$A$6:$C$4395,3,0),"")</f>
        <v/>
      </c>
    </row>
    <row r="1943" spans="1:9">
      <c r="A1943" s="6">
        <v>41436</v>
      </c>
      <c r="B1943" t="str">
        <f>IFERROR(VLOOKUP($A1943,原始数据_收盘!$A$4:$G$3460,2,0),"")</f>
        <v/>
      </c>
      <c r="C1943" t="str">
        <f>IFERROR(VLOOKUP($A1943,原始数据_收盘!$A$4:$G$3460,3,0),"")</f>
        <v/>
      </c>
      <c r="D1943" t="str">
        <f>IFERROR(VLOOKUP($A1943,原始数据_收盘!$A$4:$G$3460,4,0),"")</f>
        <v/>
      </c>
      <c r="E1943" t="str">
        <f>IFERROR(VLOOKUP($A1943,原始数据_收盘!$A$4:$G$3460,5,0),"")</f>
        <v/>
      </c>
      <c r="F1943" t="str">
        <f>IFERROR(VLOOKUP($A1943,原始数据_收盘!$A$4:$G$3460,6,0),"")</f>
        <v/>
      </c>
      <c r="G1943" t="str">
        <f>IFERROR(VLOOKUP($A1943,原始数据_收盘!$A$4:$G$3460,7,0),"")</f>
        <v/>
      </c>
      <c r="H1943" t="str">
        <f>IFERROR(VLOOKUP($A1943,原始数据_利率互换_FR007_1年!$A$6:$C$4395,2,0),"")</f>
        <v/>
      </c>
      <c r="I1943" t="str">
        <f>IFERROR(VLOOKUP($A1943,原始数据_利率互换_FR007_1年!$A$6:$C$4395,3,0),"")</f>
        <v/>
      </c>
    </row>
    <row r="1944" spans="1:9">
      <c r="A1944" s="6">
        <v>41437</v>
      </c>
      <c r="B1944" t="str">
        <f>IFERROR(VLOOKUP($A1944,原始数据_收盘!$A$4:$G$3460,2,0),"")</f>
        <v/>
      </c>
      <c r="C1944" t="str">
        <f>IFERROR(VLOOKUP($A1944,原始数据_收盘!$A$4:$G$3460,3,0),"")</f>
        <v/>
      </c>
      <c r="D1944" t="str">
        <f>IFERROR(VLOOKUP($A1944,原始数据_收盘!$A$4:$G$3460,4,0),"")</f>
        <v/>
      </c>
      <c r="E1944" t="str">
        <f>IFERROR(VLOOKUP($A1944,原始数据_收盘!$A$4:$G$3460,5,0),"")</f>
        <v/>
      </c>
      <c r="F1944" t="str">
        <f>IFERROR(VLOOKUP($A1944,原始数据_收盘!$A$4:$G$3460,6,0),"")</f>
        <v/>
      </c>
      <c r="G1944" t="str">
        <f>IFERROR(VLOOKUP($A1944,原始数据_收盘!$A$4:$G$3460,7,0),"")</f>
        <v/>
      </c>
      <c r="H1944" t="str">
        <f>IFERROR(VLOOKUP($A1944,原始数据_利率互换_FR007_1年!$A$6:$C$4395,2,0),"")</f>
        <v/>
      </c>
      <c r="I1944" t="str">
        <f>IFERROR(VLOOKUP($A1944,原始数据_利率互换_FR007_1年!$A$6:$C$4395,3,0),"")</f>
        <v/>
      </c>
    </row>
    <row r="1945" spans="1:9">
      <c r="A1945" s="6">
        <v>41438</v>
      </c>
      <c r="B1945">
        <f>IFERROR(VLOOKUP($A1945,原始数据_收盘!$A$4:$G$3460,2,0),"")</f>
        <v>3.6126</v>
      </c>
      <c r="C1945">
        <f>IFERROR(VLOOKUP($A1945,原始数据_收盘!$A$4:$G$3460,3,0),"")</f>
        <v>3.5588</v>
      </c>
      <c r="D1945">
        <f>IFERROR(VLOOKUP($A1945,原始数据_收盘!$A$4:$G$3460,4,0),"")</f>
        <v>3.6625</v>
      </c>
      <c r="E1945">
        <f>IFERROR(VLOOKUP($A1945,原始数据_收盘!$A$4:$G$3460,5,0),"")</f>
        <v>3.6147</v>
      </c>
      <c r="F1945">
        <f>IFERROR(VLOOKUP($A1945,原始数据_收盘!$A$4:$G$3460,6,0),"")</f>
        <v>3.6376</v>
      </c>
      <c r="G1945">
        <f>IFERROR(VLOOKUP($A1945,原始数据_收盘!$A$4:$G$3460,7,0),"")</f>
        <v>3.5867</v>
      </c>
      <c r="H1945">
        <f>IFERROR(VLOOKUP($A1945,原始数据_利率互换_FR007_1年!$A$6:$C$4395,2,0),"")</f>
        <v>3.6042</v>
      </c>
      <c r="I1945">
        <f>IFERROR(VLOOKUP($A1945,原始数据_利率互换_FR007_1年!$A$6:$C$4395,3,0),"")</f>
        <v>3.5527</v>
      </c>
    </row>
    <row r="1946" spans="1:9">
      <c r="A1946" s="6">
        <v>41439</v>
      </c>
      <c r="B1946">
        <f>IFERROR(VLOOKUP($A1946,原始数据_收盘!$A$4:$G$3460,2,0),"")</f>
        <v>3.7609</v>
      </c>
      <c r="C1946">
        <f>IFERROR(VLOOKUP($A1946,原始数据_收盘!$A$4:$G$3460,3,0),"")</f>
        <v>3.6421</v>
      </c>
      <c r="D1946">
        <f>IFERROR(VLOOKUP($A1946,原始数据_收盘!$A$4:$G$3460,4,0),"")</f>
        <v>3.8161</v>
      </c>
      <c r="E1946">
        <f>IFERROR(VLOOKUP($A1946,原始数据_收盘!$A$4:$G$3460,5,0),"")</f>
        <v>3.6936</v>
      </c>
      <c r="F1946">
        <f>IFERROR(VLOOKUP($A1946,原始数据_收盘!$A$4:$G$3460,6,0),"")</f>
        <v>3.7885</v>
      </c>
      <c r="G1946">
        <f>IFERROR(VLOOKUP($A1946,原始数据_收盘!$A$4:$G$3460,7,0),"")</f>
        <v>3.6679</v>
      </c>
      <c r="H1946">
        <f>IFERROR(VLOOKUP($A1946,原始数据_利率互换_FR007_1年!$A$6:$C$4395,2,0),"")</f>
        <v>3.7621</v>
      </c>
      <c r="I1946">
        <f>IFERROR(VLOOKUP($A1946,原始数据_利率互换_FR007_1年!$A$6:$C$4395,3,0),"")</f>
        <v>3.6622</v>
      </c>
    </row>
    <row r="1947" spans="1:9">
      <c r="A1947" s="6">
        <v>41440</v>
      </c>
      <c r="B1947" t="str">
        <f>IFERROR(VLOOKUP($A1947,原始数据_收盘!$A$4:$G$3460,2,0),"")</f>
        <v/>
      </c>
      <c r="C1947" t="str">
        <f>IFERROR(VLOOKUP($A1947,原始数据_收盘!$A$4:$G$3460,3,0),"")</f>
        <v/>
      </c>
      <c r="D1947" t="str">
        <f>IFERROR(VLOOKUP($A1947,原始数据_收盘!$A$4:$G$3460,4,0),"")</f>
        <v/>
      </c>
      <c r="E1947" t="str">
        <f>IFERROR(VLOOKUP($A1947,原始数据_收盘!$A$4:$G$3460,5,0),"")</f>
        <v/>
      </c>
      <c r="F1947" t="str">
        <f>IFERROR(VLOOKUP($A1947,原始数据_收盘!$A$4:$G$3460,6,0),"")</f>
        <v/>
      </c>
      <c r="G1947" t="str">
        <f>IFERROR(VLOOKUP($A1947,原始数据_收盘!$A$4:$G$3460,7,0),"")</f>
        <v/>
      </c>
      <c r="H1947" t="str">
        <f>IFERROR(VLOOKUP($A1947,原始数据_利率互换_FR007_1年!$A$6:$C$4395,2,0),"")</f>
        <v/>
      </c>
      <c r="I1947" t="str">
        <f>IFERROR(VLOOKUP($A1947,原始数据_利率互换_FR007_1年!$A$6:$C$4395,3,0),"")</f>
        <v/>
      </c>
    </row>
    <row r="1948" spans="1:9">
      <c r="A1948" s="6">
        <v>41441</v>
      </c>
      <c r="B1948" t="str">
        <f>IFERROR(VLOOKUP($A1948,原始数据_收盘!$A$4:$G$3460,2,0),"")</f>
        <v/>
      </c>
      <c r="C1948" t="str">
        <f>IFERROR(VLOOKUP($A1948,原始数据_收盘!$A$4:$G$3460,3,0),"")</f>
        <v/>
      </c>
      <c r="D1948" t="str">
        <f>IFERROR(VLOOKUP($A1948,原始数据_收盘!$A$4:$G$3460,4,0),"")</f>
        <v/>
      </c>
      <c r="E1948" t="str">
        <f>IFERROR(VLOOKUP($A1948,原始数据_收盘!$A$4:$G$3460,5,0),"")</f>
        <v/>
      </c>
      <c r="F1948" t="str">
        <f>IFERROR(VLOOKUP($A1948,原始数据_收盘!$A$4:$G$3460,6,0),"")</f>
        <v/>
      </c>
      <c r="G1948" t="str">
        <f>IFERROR(VLOOKUP($A1948,原始数据_收盘!$A$4:$G$3460,7,0),"")</f>
        <v/>
      </c>
      <c r="H1948" t="str">
        <f>IFERROR(VLOOKUP($A1948,原始数据_利率互换_FR007_1年!$A$6:$C$4395,2,0),"")</f>
        <v/>
      </c>
      <c r="I1948" t="str">
        <f>IFERROR(VLOOKUP($A1948,原始数据_利率互换_FR007_1年!$A$6:$C$4395,3,0),"")</f>
        <v/>
      </c>
    </row>
    <row r="1949" spans="1:9">
      <c r="A1949" s="6">
        <v>41442</v>
      </c>
      <c r="B1949">
        <f>IFERROR(VLOOKUP($A1949,原始数据_收盘!$A$4:$G$3460,2,0),"")</f>
        <v>3.7568</v>
      </c>
      <c r="C1949">
        <f>IFERROR(VLOOKUP($A1949,原始数据_收盘!$A$4:$G$3460,3,0),"")</f>
        <v>3.6395</v>
      </c>
      <c r="D1949">
        <f>IFERROR(VLOOKUP($A1949,原始数据_收盘!$A$4:$G$3460,4,0),"")</f>
        <v>3.8139</v>
      </c>
      <c r="E1949">
        <f>IFERROR(VLOOKUP($A1949,原始数据_收盘!$A$4:$G$3460,5,0),"")</f>
        <v>3.6939</v>
      </c>
      <c r="F1949">
        <f>IFERROR(VLOOKUP($A1949,原始数据_收盘!$A$4:$G$3460,6,0),"")</f>
        <v>3.7853</v>
      </c>
      <c r="G1949">
        <f>IFERROR(VLOOKUP($A1949,原始数据_收盘!$A$4:$G$3460,7,0),"")</f>
        <v>3.6667</v>
      </c>
      <c r="H1949">
        <f>IFERROR(VLOOKUP($A1949,原始数据_利率互换_FR007_1年!$A$6:$C$4395,2,0),"")</f>
        <v>3.7635</v>
      </c>
      <c r="I1949">
        <f>IFERROR(VLOOKUP($A1949,原始数据_利率互换_FR007_1年!$A$6:$C$4395,3,0),"")</f>
        <v>3.672</v>
      </c>
    </row>
    <row r="1950" spans="1:9">
      <c r="A1950" s="6">
        <v>41443</v>
      </c>
      <c r="B1950">
        <f>IFERROR(VLOOKUP($A1950,原始数据_收盘!$A$4:$G$3460,2,0),"")</f>
        <v>3.9548</v>
      </c>
      <c r="C1950">
        <f>IFERROR(VLOOKUP($A1950,原始数据_收盘!$A$4:$G$3460,3,0),"")</f>
        <v>3.7259</v>
      </c>
      <c r="D1950">
        <f>IFERROR(VLOOKUP($A1950,原始数据_收盘!$A$4:$G$3460,4,0),"")</f>
        <v>4.0091</v>
      </c>
      <c r="E1950">
        <f>IFERROR(VLOOKUP($A1950,原始数据_收盘!$A$4:$G$3460,5,0),"")</f>
        <v>3.7805</v>
      </c>
      <c r="F1950">
        <f>IFERROR(VLOOKUP($A1950,原始数据_收盘!$A$4:$G$3460,6,0),"")</f>
        <v>3.982</v>
      </c>
      <c r="G1950">
        <f>IFERROR(VLOOKUP($A1950,原始数据_收盘!$A$4:$G$3460,7,0),"")</f>
        <v>3.7532</v>
      </c>
      <c r="H1950">
        <f>IFERROR(VLOOKUP($A1950,原始数据_利率互换_FR007_1年!$A$6:$C$4395,2,0),"")</f>
        <v>3.9431</v>
      </c>
      <c r="I1950">
        <f>IFERROR(VLOOKUP($A1950,原始数据_利率互换_FR007_1年!$A$6:$C$4395,3,0),"")</f>
        <v>3.7471</v>
      </c>
    </row>
    <row r="1951" spans="1:9">
      <c r="A1951" s="6">
        <v>41444</v>
      </c>
      <c r="B1951">
        <f>IFERROR(VLOOKUP($A1951,原始数据_收盘!$A$4:$G$3460,2,0),"")</f>
        <v>4.3</v>
      </c>
      <c r="C1951">
        <f>IFERROR(VLOOKUP($A1951,原始数据_收盘!$A$4:$G$3460,3,0),"")</f>
        <v>3.8801</v>
      </c>
      <c r="D1951">
        <f>IFERROR(VLOOKUP($A1951,原始数据_收盘!$A$4:$G$3460,4,0),"")</f>
        <v>4.3566</v>
      </c>
      <c r="E1951">
        <f>IFERROR(VLOOKUP($A1951,原始数据_收盘!$A$4:$G$3460,5,0),"")</f>
        <v>3.945</v>
      </c>
      <c r="F1951">
        <f>IFERROR(VLOOKUP($A1951,原始数据_收盘!$A$4:$G$3460,6,0),"")</f>
        <v>4.3283</v>
      </c>
      <c r="G1951">
        <f>IFERROR(VLOOKUP($A1951,原始数据_收盘!$A$4:$G$3460,7,0),"")</f>
        <v>3.9126</v>
      </c>
      <c r="H1951">
        <f>IFERROR(VLOOKUP($A1951,原始数据_利率互换_FR007_1年!$A$6:$C$4395,2,0),"")</f>
        <v>4.1927</v>
      </c>
      <c r="I1951">
        <f>IFERROR(VLOOKUP($A1951,原始数据_利率互换_FR007_1年!$A$6:$C$4395,3,0),"")</f>
        <v>3.9058</v>
      </c>
    </row>
    <row r="1952" spans="1:9">
      <c r="A1952" s="6">
        <v>41445</v>
      </c>
      <c r="B1952">
        <f>IFERROR(VLOOKUP($A1952,原始数据_收盘!$A$4:$G$3460,2,0),"")</f>
        <v>4.7559</v>
      </c>
      <c r="C1952">
        <f>IFERROR(VLOOKUP($A1952,原始数据_收盘!$A$4:$G$3460,3,0),"")</f>
        <v>4.1378</v>
      </c>
      <c r="D1952">
        <f>IFERROR(VLOOKUP($A1952,原始数据_收盘!$A$4:$G$3460,4,0),"")</f>
        <v>4.8304</v>
      </c>
      <c r="E1952">
        <f>IFERROR(VLOOKUP($A1952,原始数据_收盘!$A$4:$G$3460,5,0),"")</f>
        <v>4.2123</v>
      </c>
      <c r="F1952">
        <f>IFERROR(VLOOKUP($A1952,原始数据_收盘!$A$4:$G$3460,6,0),"")</f>
        <v>4.7932</v>
      </c>
      <c r="G1952">
        <f>IFERROR(VLOOKUP($A1952,原始数据_收盘!$A$4:$G$3460,7,0),"")</f>
        <v>4.175</v>
      </c>
      <c r="H1952">
        <f>IFERROR(VLOOKUP($A1952,原始数据_利率互换_FR007_1年!$A$6:$C$4395,2,0),"")</f>
        <v>4.8238</v>
      </c>
      <c r="I1952">
        <f>IFERROR(VLOOKUP($A1952,原始数据_利率互换_FR007_1年!$A$6:$C$4395,3,0),"")</f>
        <v>4.2951</v>
      </c>
    </row>
    <row r="1953" spans="1:9">
      <c r="A1953" s="6">
        <v>41446</v>
      </c>
      <c r="B1953">
        <f>IFERROR(VLOOKUP($A1953,原始数据_收盘!$A$4:$G$3460,2,0),"")</f>
        <v>4.3536</v>
      </c>
      <c r="C1953">
        <f>IFERROR(VLOOKUP($A1953,原始数据_收盘!$A$4:$G$3460,3,0),"")</f>
        <v>3.9409</v>
      </c>
      <c r="D1953">
        <f>IFERROR(VLOOKUP($A1953,原始数据_收盘!$A$4:$G$3460,4,0),"")</f>
        <v>4.43</v>
      </c>
      <c r="E1953">
        <f>IFERROR(VLOOKUP($A1953,原始数据_收盘!$A$4:$G$3460,5,0),"")</f>
        <v>4.0187</v>
      </c>
      <c r="F1953">
        <f>IFERROR(VLOOKUP($A1953,原始数据_收盘!$A$4:$G$3460,6,0),"")</f>
        <v>4.3918</v>
      </c>
      <c r="G1953">
        <f>IFERROR(VLOOKUP($A1953,原始数据_收盘!$A$4:$G$3460,7,0),"")</f>
        <v>3.9798</v>
      </c>
      <c r="H1953">
        <f>IFERROR(VLOOKUP($A1953,原始数据_利率互换_FR007_1年!$A$6:$C$4395,2,0),"")</f>
        <v>4.5219</v>
      </c>
      <c r="I1953">
        <f>IFERROR(VLOOKUP($A1953,原始数据_利率互换_FR007_1年!$A$6:$C$4395,3,0),"")</f>
        <v>4.0283</v>
      </c>
    </row>
    <row r="1954" spans="1:9">
      <c r="A1954" s="6">
        <v>41447</v>
      </c>
      <c r="B1954" t="str">
        <f>IFERROR(VLOOKUP($A1954,原始数据_收盘!$A$4:$G$3460,2,0),"")</f>
        <v/>
      </c>
      <c r="C1954" t="str">
        <f>IFERROR(VLOOKUP($A1954,原始数据_收盘!$A$4:$G$3460,3,0),"")</f>
        <v/>
      </c>
      <c r="D1954" t="str">
        <f>IFERROR(VLOOKUP($A1954,原始数据_收盘!$A$4:$G$3460,4,0),"")</f>
        <v/>
      </c>
      <c r="E1954" t="str">
        <f>IFERROR(VLOOKUP($A1954,原始数据_收盘!$A$4:$G$3460,5,0),"")</f>
        <v/>
      </c>
      <c r="F1954" t="str">
        <f>IFERROR(VLOOKUP($A1954,原始数据_收盘!$A$4:$G$3460,6,0),"")</f>
        <v/>
      </c>
      <c r="G1954" t="str">
        <f>IFERROR(VLOOKUP($A1954,原始数据_收盘!$A$4:$G$3460,7,0),"")</f>
        <v/>
      </c>
      <c r="H1954" t="str">
        <f>IFERROR(VLOOKUP($A1954,原始数据_利率互换_FR007_1年!$A$6:$C$4395,2,0),"")</f>
        <v/>
      </c>
      <c r="I1954" t="str">
        <f>IFERROR(VLOOKUP($A1954,原始数据_利率互换_FR007_1年!$A$6:$C$4395,3,0),"")</f>
        <v/>
      </c>
    </row>
    <row r="1955" spans="1:9">
      <c r="A1955" s="6">
        <v>41448</v>
      </c>
      <c r="B1955" t="str">
        <f>IFERROR(VLOOKUP($A1955,原始数据_收盘!$A$4:$G$3460,2,0),"")</f>
        <v/>
      </c>
      <c r="C1955" t="str">
        <f>IFERROR(VLOOKUP($A1955,原始数据_收盘!$A$4:$G$3460,3,0),"")</f>
        <v/>
      </c>
      <c r="D1955" t="str">
        <f>IFERROR(VLOOKUP($A1955,原始数据_收盘!$A$4:$G$3460,4,0),"")</f>
        <v/>
      </c>
      <c r="E1955" t="str">
        <f>IFERROR(VLOOKUP($A1955,原始数据_收盘!$A$4:$G$3460,5,0),"")</f>
        <v/>
      </c>
      <c r="F1955" t="str">
        <f>IFERROR(VLOOKUP($A1955,原始数据_收盘!$A$4:$G$3460,6,0),"")</f>
        <v/>
      </c>
      <c r="G1955" t="str">
        <f>IFERROR(VLOOKUP($A1955,原始数据_收盘!$A$4:$G$3460,7,0),"")</f>
        <v/>
      </c>
      <c r="H1955" t="str">
        <f>IFERROR(VLOOKUP($A1955,原始数据_利率互换_FR007_1年!$A$6:$C$4395,2,0),"")</f>
        <v/>
      </c>
      <c r="I1955" t="str">
        <f>IFERROR(VLOOKUP($A1955,原始数据_利率互换_FR007_1年!$A$6:$C$4395,3,0),"")</f>
        <v/>
      </c>
    </row>
    <row r="1956" spans="1:9">
      <c r="A1956" s="6">
        <v>41449</v>
      </c>
      <c r="B1956">
        <f>IFERROR(VLOOKUP($A1956,原始数据_收盘!$A$4:$G$3460,2,0),"")</f>
        <v>4.2352</v>
      </c>
      <c r="C1956">
        <f>IFERROR(VLOOKUP($A1956,原始数据_收盘!$A$4:$G$3460,3,0),"")</f>
        <v>3.9435</v>
      </c>
      <c r="D1956">
        <f>IFERROR(VLOOKUP($A1956,原始数据_收盘!$A$4:$G$3460,4,0),"")</f>
        <v>4.2973</v>
      </c>
      <c r="E1956">
        <f>IFERROR(VLOOKUP($A1956,原始数据_收盘!$A$4:$G$3460,5,0),"")</f>
        <v>4.016</v>
      </c>
      <c r="F1956">
        <f>IFERROR(VLOOKUP($A1956,原始数据_收盘!$A$4:$G$3460,6,0),"")</f>
        <v>4.2663</v>
      </c>
      <c r="G1956">
        <f>IFERROR(VLOOKUP($A1956,原始数据_收盘!$A$4:$G$3460,7,0),"")</f>
        <v>3.9797</v>
      </c>
      <c r="H1956">
        <f>IFERROR(VLOOKUP($A1956,原始数据_利率互换_FR007_1年!$A$6:$C$4395,2,0),"")</f>
        <v>4.3699</v>
      </c>
      <c r="I1956">
        <f>IFERROR(VLOOKUP($A1956,原始数据_利率互换_FR007_1年!$A$6:$C$4395,3,0),"")</f>
        <v>4.02</v>
      </c>
    </row>
    <row r="1957" spans="1:9">
      <c r="A1957" s="6">
        <v>41450</v>
      </c>
      <c r="B1957">
        <f>IFERROR(VLOOKUP($A1957,原始数据_收盘!$A$4:$G$3460,2,0),"")</f>
        <v>4.104</v>
      </c>
      <c r="C1957">
        <f>IFERROR(VLOOKUP($A1957,原始数据_收盘!$A$4:$G$3460,3,0),"")</f>
        <v>3.8379</v>
      </c>
      <c r="D1957">
        <f>IFERROR(VLOOKUP($A1957,原始数据_收盘!$A$4:$G$3460,4,0),"")</f>
        <v>4.1729</v>
      </c>
      <c r="E1957">
        <f>IFERROR(VLOOKUP($A1957,原始数据_收盘!$A$4:$G$3460,5,0),"")</f>
        <v>3.9065</v>
      </c>
      <c r="F1957">
        <f>IFERROR(VLOOKUP($A1957,原始数据_收盘!$A$4:$G$3460,6,0),"")</f>
        <v>4.1385</v>
      </c>
      <c r="G1957">
        <f>IFERROR(VLOOKUP($A1957,原始数据_收盘!$A$4:$G$3460,7,0),"")</f>
        <v>3.8722</v>
      </c>
      <c r="H1957">
        <f>IFERROR(VLOOKUP($A1957,原始数据_利率互换_FR007_1年!$A$6:$C$4395,2,0),"")</f>
        <v>4.1473</v>
      </c>
      <c r="I1957">
        <f>IFERROR(VLOOKUP($A1957,原始数据_利率互换_FR007_1年!$A$6:$C$4395,3,0),"")</f>
        <v>3.8735</v>
      </c>
    </row>
    <row r="1958" spans="1:9">
      <c r="A1958" s="6">
        <v>41451</v>
      </c>
      <c r="B1958">
        <f>IFERROR(VLOOKUP($A1958,原始数据_收盘!$A$4:$G$3460,2,0),"")</f>
        <v>3.869</v>
      </c>
      <c r="C1958">
        <f>IFERROR(VLOOKUP($A1958,原始数据_收盘!$A$4:$G$3460,3,0),"")</f>
        <v>3.729</v>
      </c>
      <c r="D1958">
        <f>IFERROR(VLOOKUP($A1958,原始数据_收盘!$A$4:$G$3460,4,0),"")</f>
        <v>3.9323</v>
      </c>
      <c r="E1958">
        <f>IFERROR(VLOOKUP($A1958,原始数据_收盘!$A$4:$G$3460,5,0),"")</f>
        <v>3.7877</v>
      </c>
      <c r="F1958">
        <f>IFERROR(VLOOKUP($A1958,原始数据_收盘!$A$4:$G$3460,6,0),"")</f>
        <v>3.9007</v>
      </c>
      <c r="G1958">
        <f>IFERROR(VLOOKUP($A1958,原始数据_收盘!$A$4:$G$3460,7,0),"")</f>
        <v>3.7583</v>
      </c>
      <c r="H1958">
        <f>IFERROR(VLOOKUP($A1958,原始数据_利率互换_FR007_1年!$A$6:$C$4395,2,0),"")</f>
        <v>3.8502</v>
      </c>
      <c r="I1958">
        <f>IFERROR(VLOOKUP($A1958,原始数据_利率互换_FR007_1年!$A$6:$C$4395,3,0),"")</f>
        <v>3.7349</v>
      </c>
    </row>
    <row r="1959" spans="1:9">
      <c r="A1959" s="6">
        <v>41452</v>
      </c>
      <c r="B1959">
        <f>IFERROR(VLOOKUP($A1959,原始数据_收盘!$A$4:$G$3460,2,0),"")</f>
        <v>3.8748</v>
      </c>
      <c r="C1959">
        <f>IFERROR(VLOOKUP($A1959,原始数据_收盘!$A$4:$G$3460,3,0),"")</f>
        <v>3.7235</v>
      </c>
      <c r="D1959">
        <f>IFERROR(VLOOKUP($A1959,原始数据_收盘!$A$4:$G$3460,4,0),"")</f>
        <v>3.9452</v>
      </c>
      <c r="E1959">
        <f>IFERROR(VLOOKUP($A1959,原始数据_收盘!$A$4:$G$3460,5,0),"")</f>
        <v>3.7902</v>
      </c>
      <c r="F1959">
        <f>IFERROR(VLOOKUP($A1959,原始数据_收盘!$A$4:$G$3460,6,0),"")</f>
        <v>3.91</v>
      </c>
      <c r="G1959">
        <f>IFERROR(VLOOKUP($A1959,原始数据_收盘!$A$4:$G$3460,7,0),"")</f>
        <v>3.7568</v>
      </c>
      <c r="H1959" t="str">
        <f>IFERROR(VLOOKUP($A1959,原始数据_利率互换_FR007_1年!$A$6:$C$4395,2,0),"")</f>
        <v/>
      </c>
      <c r="I1959" t="str">
        <f>IFERROR(VLOOKUP($A1959,原始数据_利率互换_FR007_1年!$A$6:$C$4395,3,0),"")</f>
        <v/>
      </c>
    </row>
    <row r="1960" spans="1:9">
      <c r="A1960" s="6">
        <v>41453</v>
      </c>
      <c r="B1960">
        <f>IFERROR(VLOOKUP($A1960,原始数据_收盘!$A$4:$G$3460,2,0),"")</f>
        <v>3.9366</v>
      </c>
      <c r="C1960">
        <f>IFERROR(VLOOKUP($A1960,原始数据_收盘!$A$4:$G$3460,3,0),"")</f>
        <v>3.7624</v>
      </c>
      <c r="D1960">
        <f>IFERROR(VLOOKUP($A1960,原始数据_收盘!$A$4:$G$3460,4,0),"")</f>
        <v>4.0031</v>
      </c>
      <c r="E1960">
        <f>IFERROR(VLOOKUP($A1960,原始数据_收盘!$A$4:$G$3460,5,0),"")</f>
        <v>3.828</v>
      </c>
      <c r="F1960">
        <f>IFERROR(VLOOKUP($A1960,原始数据_收盘!$A$4:$G$3460,6,0),"")</f>
        <v>3.9699</v>
      </c>
      <c r="G1960">
        <f>IFERROR(VLOOKUP($A1960,原始数据_收盘!$A$4:$G$3460,7,0),"")</f>
        <v>3.7952</v>
      </c>
      <c r="H1960">
        <f>IFERROR(VLOOKUP($A1960,原始数据_利率互换_FR007_1年!$A$6:$C$4395,2,0),"")</f>
        <v>3.9533</v>
      </c>
      <c r="I1960">
        <f>IFERROR(VLOOKUP($A1960,原始数据_利率互换_FR007_1年!$A$6:$C$4395,3,0),"")</f>
        <v>3.7989</v>
      </c>
    </row>
    <row r="1961" spans="1:9">
      <c r="A1961" s="6">
        <v>41454</v>
      </c>
      <c r="B1961" t="str">
        <f>IFERROR(VLOOKUP($A1961,原始数据_收盘!$A$4:$G$3460,2,0),"")</f>
        <v/>
      </c>
      <c r="C1961" t="str">
        <f>IFERROR(VLOOKUP($A1961,原始数据_收盘!$A$4:$G$3460,3,0),"")</f>
        <v/>
      </c>
      <c r="D1961" t="str">
        <f>IFERROR(VLOOKUP($A1961,原始数据_收盘!$A$4:$G$3460,4,0),"")</f>
        <v/>
      </c>
      <c r="E1961" t="str">
        <f>IFERROR(VLOOKUP($A1961,原始数据_收盘!$A$4:$G$3460,5,0),"")</f>
        <v/>
      </c>
      <c r="F1961" t="str">
        <f>IFERROR(VLOOKUP($A1961,原始数据_收盘!$A$4:$G$3460,6,0),"")</f>
        <v/>
      </c>
      <c r="G1961" t="str">
        <f>IFERROR(VLOOKUP($A1961,原始数据_收盘!$A$4:$G$3460,7,0),"")</f>
        <v/>
      </c>
      <c r="H1961" t="str">
        <f>IFERROR(VLOOKUP($A1961,原始数据_利率互换_FR007_1年!$A$6:$C$4395,2,0),"")</f>
        <v/>
      </c>
      <c r="I1961" t="str">
        <f>IFERROR(VLOOKUP($A1961,原始数据_利率互换_FR007_1年!$A$6:$C$4395,3,0),"")</f>
        <v/>
      </c>
    </row>
    <row r="1962" spans="1:9">
      <c r="A1962" s="6">
        <v>41455</v>
      </c>
      <c r="B1962" t="str">
        <f>IFERROR(VLOOKUP($A1962,原始数据_收盘!$A$4:$G$3460,2,0),"")</f>
        <v/>
      </c>
      <c r="C1962" t="str">
        <f>IFERROR(VLOOKUP($A1962,原始数据_收盘!$A$4:$G$3460,3,0),"")</f>
        <v/>
      </c>
      <c r="D1962" t="str">
        <f>IFERROR(VLOOKUP($A1962,原始数据_收盘!$A$4:$G$3460,4,0),"")</f>
        <v/>
      </c>
      <c r="E1962" t="str">
        <f>IFERROR(VLOOKUP($A1962,原始数据_收盘!$A$4:$G$3460,5,0),"")</f>
        <v/>
      </c>
      <c r="F1962" t="str">
        <f>IFERROR(VLOOKUP($A1962,原始数据_收盘!$A$4:$G$3460,6,0),"")</f>
        <v/>
      </c>
      <c r="G1962" t="str">
        <f>IFERROR(VLOOKUP($A1962,原始数据_收盘!$A$4:$G$3460,7,0),"")</f>
        <v/>
      </c>
      <c r="H1962" t="str">
        <f>IFERROR(VLOOKUP($A1962,原始数据_利率互换_FR007_1年!$A$6:$C$4395,2,0),"")</f>
        <v/>
      </c>
      <c r="I1962" t="str">
        <f>IFERROR(VLOOKUP($A1962,原始数据_利率互换_FR007_1年!$A$6:$C$4395,3,0),"")</f>
        <v/>
      </c>
    </row>
    <row r="1963" spans="1:9">
      <c r="A1963" s="6">
        <v>41456</v>
      </c>
      <c r="B1963">
        <f>IFERROR(VLOOKUP($A1963,原始数据_收盘!$A$4:$G$3460,2,0),"")</f>
        <v>3.9373</v>
      </c>
      <c r="C1963">
        <f>IFERROR(VLOOKUP($A1963,原始数据_收盘!$A$4:$G$3460,3,0),"")</f>
        <v>3.7683</v>
      </c>
      <c r="D1963">
        <f>IFERROR(VLOOKUP($A1963,原始数据_收盘!$A$4:$G$3460,4,0),"")</f>
        <v>3.9986</v>
      </c>
      <c r="E1963">
        <f>IFERROR(VLOOKUP($A1963,原始数据_收盘!$A$4:$G$3460,5,0),"")</f>
        <v>3.8293</v>
      </c>
      <c r="F1963">
        <f>IFERROR(VLOOKUP($A1963,原始数据_收盘!$A$4:$G$3460,6,0),"")</f>
        <v>3.9679</v>
      </c>
      <c r="G1963">
        <f>IFERROR(VLOOKUP($A1963,原始数据_收盘!$A$4:$G$3460,7,0),"")</f>
        <v>3.7988</v>
      </c>
      <c r="H1963">
        <f>IFERROR(VLOOKUP($A1963,原始数据_利率互换_FR007_1年!$A$6:$C$4395,2,0),"")</f>
        <v>3.9521</v>
      </c>
      <c r="I1963">
        <f>IFERROR(VLOOKUP($A1963,原始数据_利率互换_FR007_1年!$A$6:$C$4395,3,0),"")</f>
        <v>3.7867</v>
      </c>
    </row>
    <row r="1964" spans="1:9">
      <c r="A1964" s="6">
        <v>41457</v>
      </c>
      <c r="B1964">
        <f>IFERROR(VLOOKUP($A1964,原始数据_收盘!$A$4:$G$3460,2,0),"")</f>
        <v>3.8717</v>
      </c>
      <c r="C1964">
        <f>IFERROR(VLOOKUP($A1964,原始数据_收盘!$A$4:$G$3460,3,0),"")</f>
        <v>3.7613</v>
      </c>
      <c r="D1964">
        <f>IFERROR(VLOOKUP($A1964,原始数据_收盘!$A$4:$G$3460,4,0),"")</f>
        <v>3.9367</v>
      </c>
      <c r="E1964">
        <f>IFERROR(VLOOKUP($A1964,原始数据_收盘!$A$4:$G$3460,5,0),"")</f>
        <v>3.8208</v>
      </c>
      <c r="F1964">
        <f>IFERROR(VLOOKUP($A1964,原始数据_收盘!$A$4:$G$3460,6,0),"")</f>
        <v>3.9042</v>
      </c>
      <c r="G1964">
        <f>IFERROR(VLOOKUP($A1964,原始数据_收盘!$A$4:$G$3460,7,0),"")</f>
        <v>3.791</v>
      </c>
      <c r="H1964">
        <f>IFERROR(VLOOKUP($A1964,原始数据_利率互换_FR007_1年!$A$6:$C$4395,2,0),"")</f>
        <v>3.9109</v>
      </c>
      <c r="I1964">
        <f>IFERROR(VLOOKUP($A1964,原始数据_利率互换_FR007_1年!$A$6:$C$4395,3,0),"")</f>
        <v>3.7817</v>
      </c>
    </row>
    <row r="1965" spans="1:9">
      <c r="A1965" s="6">
        <v>41458</v>
      </c>
      <c r="B1965">
        <f>IFERROR(VLOOKUP($A1965,原始数据_收盘!$A$4:$G$3460,2,0),"")</f>
        <v>3.8035</v>
      </c>
      <c r="C1965">
        <f>IFERROR(VLOOKUP($A1965,原始数据_收盘!$A$4:$G$3460,3,0),"")</f>
        <v>3.7282</v>
      </c>
      <c r="D1965">
        <f>IFERROR(VLOOKUP($A1965,原始数据_收盘!$A$4:$G$3460,4,0),"")</f>
        <v>3.8701</v>
      </c>
      <c r="E1965">
        <f>IFERROR(VLOOKUP($A1965,原始数据_收盘!$A$4:$G$3460,5,0),"")</f>
        <v>3.7962</v>
      </c>
      <c r="F1965">
        <f>IFERROR(VLOOKUP($A1965,原始数据_收盘!$A$4:$G$3460,6,0),"")</f>
        <v>3.8368</v>
      </c>
      <c r="G1965">
        <f>IFERROR(VLOOKUP($A1965,原始数据_收盘!$A$4:$G$3460,7,0),"")</f>
        <v>3.7622</v>
      </c>
      <c r="H1965">
        <f>IFERROR(VLOOKUP($A1965,原始数据_利率互换_FR007_1年!$A$6:$C$4395,2,0),"")</f>
        <v>3.8346</v>
      </c>
      <c r="I1965">
        <f>IFERROR(VLOOKUP($A1965,原始数据_利率互换_FR007_1年!$A$6:$C$4395,3,0),"")</f>
        <v>3.7529</v>
      </c>
    </row>
    <row r="1966" spans="1:9">
      <c r="A1966" s="6">
        <v>41459</v>
      </c>
      <c r="B1966">
        <f>IFERROR(VLOOKUP($A1966,原始数据_收盘!$A$4:$G$3460,2,0),"")</f>
        <v>3.7604</v>
      </c>
      <c r="C1966">
        <f>IFERROR(VLOOKUP($A1966,原始数据_收盘!$A$4:$G$3460,3,0),"")</f>
        <v>3.7079</v>
      </c>
      <c r="D1966">
        <f>IFERROR(VLOOKUP($A1966,原始数据_收盘!$A$4:$G$3460,4,0),"")</f>
        <v>3.8261</v>
      </c>
      <c r="E1966">
        <f>IFERROR(VLOOKUP($A1966,原始数据_收盘!$A$4:$G$3460,5,0),"")</f>
        <v>3.7714</v>
      </c>
      <c r="F1966">
        <f>IFERROR(VLOOKUP($A1966,原始数据_收盘!$A$4:$G$3460,6,0),"")</f>
        <v>3.7933</v>
      </c>
      <c r="G1966">
        <f>IFERROR(VLOOKUP($A1966,原始数据_收盘!$A$4:$G$3460,7,0),"")</f>
        <v>3.7397</v>
      </c>
      <c r="H1966">
        <f>IFERROR(VLOOKUP($A1966,原始数据_利率互换_FR007_1年!$A$6:$C$4395,2,0),"")</f>
        <v>3.7993</v>
      </c>
      <c r="I1966">
        <f>IFERROR(VLOOKUP($A1966,原始数据_利率互换_FR007_1年!$A$6:$C$4395,3,0),"")</f>
        <v>3.7378</v>
      </c>
    </row>
    <row r="1967" spans="1:9">
      <c r="A1967" s="6">
        <v>41460</v>
      </c>
      <c r="B1967">
        <f>IFERROR(VLOOKUP($A1967,原始数据_收盘!$A$4:$G$3460,2,0),"")</f>
        <v>3.7906</v>
      </c>
      <c r="C1967">
        <f>IFERROR(VLOOKUP($A1967,原始数据_收盘!$A$4:$G$3460,3,0),"")</f>
        <v>3.755</v>
      </c>
      <c r="D1967">
        <f>IFERROR(VLOOKUP($A1967,原始数据_收盘!$A$4:$G$3460,4,0),"")</f>
        <v>3.8568</v>
      </c>
      <c r="E1967">
        <f>IFERROR(VLOOKUP($A1967,原始数据_收盘!$A$4:$G$3460,5,0),"")</f>
        <v>3.8223</v>
      </c>
      <c r="F1967">
        <f>IFERROR(VLOOKUP($A1967,原始数据_收盘!$A$4:$G$3460,6,0),"")</f>
        <v>3.8237</v>
      </c>
      <c r="G1967">
        <f>IFERROR(VLOOKUP($A1967,原始数据_收盘!$A$4:$G$3460,7,0),"")</f>
        <v>3.7886</v>
      </c>
      <c r="H1967">
        <f>IFERROR(VLOOKUP($A1967,原始数据_利率互换_FR007_1年!$A$6:$C$4395,2,0),"")</f>
        <v>3.7934</v>
      </c>
      <c r="I1967">
        <f>IFERROR(VLOOKUP($A1967,原始数据_利率互换_FR007_1年!$A$6:$C$4395,3,0),"")</f>
        <v>3.7755</v>
      </c>
    </row>
    <row r="1968" spans="1:9">
      <c r="A1968" s="6">
        <v>41461</v>
      </c>
      <c r="B1968" t="str">
        <f>IFERROR(VLOOKUP($A1968,原始数据_收盘!$A$4:$G$3460,2,0),"")</f>
        <v/>
      </c>
      <c r="C1968" t="str">
        <f>IFERROR(VLOOKUP($A1968,原始数据_收盘!$A$4:$G$3460,3,0),"")</f>
        <v/>
      </c>
      <c r="D1968" t="str">
        <f>IFERROR(VLOOKUP($A1968,原始数据_收盘!$A$4:$G$3460,4,0),"")</f>
        <v/>
      </c>
      <c r="E1968" t="str">
        <f>IFERROR(VLOOKUP($A1968,原始数据_收盘!$A$4:$G$3460,5,0),"")</f>
        <v/>
      </c>
      <c r="F1968" t="str">
        <f>IFERROR(VLOOKUP($A1968,原始数据_收盘!$A$4:$G$3460,6,0),"")</f>
        <v/>
      </c>
      <c r="G1968" t="str">
        <f>IFERROR(VLOOKUP($A1968,原始数据_收盘!$A$4:$G$3460,7,0),"")</f>
        <v/>
      </c>
      <c r="H1968" t="str">
        <f>IFERROR(VLOOKUP($A1968,原始数据_利率互换_FR007_1年!$A$6:$C$4395,2,0),"")</f>
        <v/>
      </c>
      <c r="I1968" t="str">
        <f>IFERROR(VLOOKUP($A1968,原始数据_利率互换_FR007_1年!$A$6:$C$4395,3,0),"")</f>
        <v/>
      </c>
    </row>
    <row r="1969" spans="1:9">
      <c r="A1969" s="6">
        <v>41462</v>
      </c>
      <c r="B1969" t="str">
        <f>IFERROR(VLOOKUP($A1969,原始数据_收盘!$A$4:$G$3460,2,0),"")</f>
        <v/>
      </c>
      <c r="C1969" t="str">
        <f>IFERROR(VLOOKUP($A1969,原始数据_收盘!$A$4:$G$3460,3,0),"")</f>
        <v/>
      </c>
      <c r="D1969" t="str">
        <f>IFERROR(VLOOKUP($A1969,原始数据_收盘!$A$4:$G$3460,4,0),"")</f>
        <v/>
      </c>
      <c r="E1969" t="str">
        <f>IFERROR(VLOOKUP($A1969,原始数据_收盘!$A$4:$G$3460,5,0),"")</f>
        <v/>
      </c>
      <c r="F1969" t="str">
        <f>IFERROR(VLOOKUP($A1969,原始数据_收盘!$A$4:$G$3460,6,0),"")</f>
        <v/>
      </c>
      <c r="G1969" t="str">
        <f>IFERROR(VLOOKUP($A1969,原始数据_收盘!$A$4:$G$3460,7,0),"")</f>
        <v/>
      </c>
      <c r="H1969" t="str">
        <f>IFERROR(VLOOKUP($A1969,原始数据_利率互换_FR007_1年!$A$6:$C$4395,2,0),"")</f>
        <v/>
      </c>
      <c r="I1969" t="str">
        <f>IFERROR(VLOOKUP($A1969,原始数据_利率互换_FR007_1年!$A$6:$C$4395,3,0),"")</f>
        <v/>
      </c>
    </row>
    <row r="1970" spans="1:9">
      <c r="A1970" s="6">
        <v>41463</v>
      </c>
      <c r="B1970">
        <f>IFERROR(VLOOKUP($A1970,原始数据_收盘!$A$4:$G$3460,2,0),"")</f>
        <v>3.7665</v>
      </c>
      <c r="C1970">
        <f>IFERROR(VLOOKUP($A1970,原始数据_收盘!$A$4:$G$3460,3,0),"")</f>
        <v>3.775</v>
      </c>
      <c r="D1970">
        <f>IFERROR(VLOOKUP($A1970,原始数据_收盘!$A$4:$G$3460,4,0),"")</f>
        <v>3.8317</v>
      </c>
      <c r="E1970">
        <f>IFERROR(VLOOKUP($A1970,原始数据_收盘!$A$4:$G$3460,5,0),"")</f>
        <v>3.8392</v>
      </c>
      <c r="F1970">
        <f>IFERROR(VLOOKUP($A1970,原始数据_收盘!$A$4:$G$3460,6,0),"")</f>
        <v>3.7991</v>
      </c>
      <c r="G1970">
        <f>IFERROR(VLOOKUP($A1970,原始数据_收盘!$A$4:$G$3460,7,0),"")</f>
        <v>3.8071</v>
      </c>
      <c r="H1970">
        <f>IFERROR(VLOOKUP($A1970,原始数据_利率互换_FR007_1年!$A$6:$C$4395,2,0),"")</f>
        <v>3.7888</v>
      </c>
      <c r="I1970">
        <f>IFERROR(VLOOKUP($A1970,原始数据_利率互换_FR007_1年!$A$6:$C$4395,3,0),"")</f>
        <v>3.7983</v>
      </c>
    </row>
    <row r="1971" spans="1:9">
      <c r="A1971" s="6">
        <v>41464</v>
      </c>
      <c r="B1971">
        <f>IFERROR(VLOOKUP($A1971,原始数据_收盘!$A$4:$G$3460,2,0),"")</f>
        <v>3.7968</v>
      </c>
      <c r="C1971">
        <f>IFERROR(VLOOKUP($A1971,原始数据_收盘!$A$4:$G$3460,3,0),"")</f>
        <v>3.8073</v>
      </c>
      <c r="D1971">
        <f>IFERROR(VLOOKUP($A1971,原始数据_收盘!$A$4:$G$3460,4,0),"")</f>
        <v>3.8559</v>
      </c>
      <c r="E1971">
        <f>IFERROR(VLOOKUP($A1971,原始数据_收盘!$A$4:$G$3460,5,0),"")</f>
        <v>3.8759</v>
      </c>
      <c r="F1971">
        <f>IFERROR(VLOOKUP($A1971,原始数据_收盘!$A$4:$G$3460,6,0),"")</f>
        <v>3.8264</v>
      </c>
      <c r="G1971">
        <f>IFERROR(VLOOKUP($A1971,原始数据_收盘!$A$4:$G$3460,7,0),"")</f>
        <v>3.8416</v>
      </c>
      <c r="H1971">
        <f>IFERROR(VLOOKUP($A1971,原始数据_利率互换_FR007_1年!$A$6:$C$4395,2,0),"")</f>
        <v>3.7897</v>
      </c>
      <c r="I1971">
        <f>IFERROR(VLOOKUP($A1971,原始数据_利率互换_FR007_1年!$A$6:$C$4395,3,0),"")</f>
        <v>3.845</v>
      </c>
    </row>
    <row r="1972" spans="1:9">
      <c r="A1972" s="6">
        <v>41465</v>
      </c>
      <c r="B1972">
        <f>IFERROR(VLOOKUP($A1972,原始数据_收盘!$A$4:$G$3460,2,0),"")</f>
        <v>3.8536</v>
      </c>
      <c r="C1972">
        <f>IFERROR(VLOOKUP($A1972,原始数据_收盘!$A$4:$G$3460,3,0),"")</f>
        <v>3.8657</v>
      </c>
      <c r="D1972">
        <f>IFERROR(VLOOKUP($A1972,原始数据_收盘!$A$4:$G$3460,4,0),"")</f>
        <v>3.9125</v>
      </c>
      <c r="E1972">
        <f>IFERROR(VLOOKUP($A1972,原始数据_收盘!$A$4:$G$3460,5,0),"")</f>
        <v>3.9267</v>
      </c>
      <c r="F1972">
        <f>IFERROR(VLOOKUP($A1972,原始数据_收盘!$A$4:$G$3460,6,0),"")</f>
        <v>3.883</v>
      </c>
      <c r="G1972">
        <f>IFERROR(VLOOKUP($A1972,原始数据_收盘!$A$4:$G$3460,7,0),"")</f>
        <v>3.8962</v>
      </c>
      <c r="H1972">
        <f>IFERROR(VLOOKUP($A1972,原始数据_利率互换_FR007_1年!$A$6:$C$4395,2,0),"")</f>
        <v>3.879</v>
      </c>
      <c r="I1972">
        <f>IFERROR(VLOOKUP($A1972,原始数据_利率互换_FR007_1年!$A$6:$C$4395,3,0),"")</f>
        <v>3.9078</v>
      </c>
    </row>
    <row r="1973" spans="1:9">
      <c r="A1973" s="6">
        <v>41466</v>
      </c>
      <c r="B1973">
        <f>IFERROR(VLOOKUP($A1973,原始数据_收盘!$A$4:$G$3460,2,0),"")</f>
        <v>3.8837</v>
      </c>
      <c r="C1973">
        <f>IFERROR(VLOOKUP($A1973,原始数据_收盘!$A$4:$G$3460,3,0),"")</f>
        <v>3.927</v>
      </c>
      <c r="D1973">
        <f>IFERROR(VLOOKUP($A1973,原始数据_收盘!$A$4:$G$3460,4,0),"")</f>
        <v>3.9471</v>
      </c>
      <c r="E1973">
        <f>IFERROR(VLOOKUP($A1973,原始数据_收盘!$A$4:$G$3460,5,0),"")</f>
        <v>3.9866</v>
      </c>
      <c r="F1973">
        <f>IFERROR(VLOOKUP($A1973,原始数据_收盘!$A$4:$G$3460,6,0),"")</f>
        <v>3.9154</v>
      </c>
      <c r="G1973">
        <f>IFERROR(VLOOKUP($A1973,原始数据_收盘!$A$4:$G$3460,7,0),"")</f>
        <v>3.9568</v>
      </c>
      <c r="H1973">
        <f>IFERROR(VLOOKUP($A1973,原始数据_利率互换_FR007_1年!$A$6:$C$4395,2,0),"")</f>
        <v>3.9049</v>
      </c>
      <c r="I1973">
        <f>IFERROR(VLOOKUP($A1973,原始数据_利率互换_FR007_1年!$A$6:$C$4395,3,0),"")</f>
        <v>3.9521</v>
      </c>
    </row>
    <row r="1974" spans="1:9">
      <c r="A1974" s="6">
        <v>41467</v>
      </c>
      <c r="B1974">
        <f>IFERROR(VLOOKUP($A1974,原始数据_收盘!$A$4:$G$3460,2,0),"")</f>
        <v>3.8782</v>
      </c>
      <c r="C1974">
        <f>IFERROR(VLOOKUP($A1974,原始数据_收盘!$A$4:$G$3460,3,0),"")</f>
        <v>3.9426</v>
      </c>
      <c r="D1974">
        <f>IFERROR(VLOOKUP($A1974,原始数据_收盘!$A$4:$G$3460,4,0),"")</f>
        <v>3.9394</v>
      </c>
      <c r="E1974">
        <f>IFERROR(VLOOKUP($A1974,原始数据_收盘!$A$4:$G$3460,5,0),"")</f>
        <v>4.0045</v>
      </c>
      <c r="F1974">
        <f>IFERROR(VLOOKUP($A1974,原始数据_收盘!$A$4:$G$3460,6,0),"")</f>
        <v>3.9088</v>
      </c>
      <c r="G1974">
        <f>IFERROR(VLOOKUP($A1974,原始数据_收盘!$A$4:$G$3460,7,0),"")</f>
        <v>3.9736</v>
      </c>
      <c r="H1974">
        <f>IFERROR(VLOOKUP($A1974,原始数据_利率互换_FR007_1年!$A$6:$C$4395,2,0),"")</f>
        <v>3.9175</v>
      </c>
      <c r="I1974">
        <f>IFERROR(VLOOKUP($A1974,原始数据_利率互换_FR007_1年!$A$6:$C$4395,3,0),"")</f>
        <v>3.9907</v>
      </c>
    </row>
    <row r="1975" spans="1:9">
      <c r="A1975" s="6">
        <v>41468</v>
      </c>
      <c r="B1975" t="str">
        <f>IFERROR(VLOOKUP($A1975,原始数据_收盘!$A$4:$G$3460,2,0),"")</f>
        <v/>
      </c>
      <c r="C1975" t="str">
        <f>IFERROR(VLOOKUP($A1975,原始数据_收盘!$A$4:$G$3460,3,0),"")</f>
        <v/>
      </c>
      <c r="D1975" t="str">
        <f>IFERROR(VLOOKUP($A1975,原始数据_收盘!$A$4:$G$3460,4,0),"")</f>
        <v/>
      </c>
      <c r="E1975" t="str">
        <f>IFERROR(VLOOKUP($A1975,原始数据_收盘!$A$4:$G$3460,5,0),"")</f>
        <v/>
      </c>
      <c r="F1975" t="str">
        <f>IFERROR(VLOOKUP($A1975,原始数据_收盘!$A$4:$G$3460,6,0),"")</f>
        <v/>
      </c>
      <c r="G1975" t="str">
        <f>IFERROR(VLOOKUP($A1975,原始数据_收盘!$A$4:$G$3460,7,0),"")</f>
        <v/>
      </c>
      <c r="H1975" t="str">
        <f>IFERROR(VLOOKUP($A1975,原始数据_利率互换_FR007_1年!$A$6:$C$4395,2,0),"")</f>
        <v/>
      </c>
      <c r="I1975" t="str">
        <f>IFERROR(VLOOKUP($A1975,原始数据_利率互换_FR007_1年!$A$6:$C$4395,3,0),"")</f>
        <v/>
      </c>
    </row>
    <row r="1976" spans="1:9">
      <c r="A1976" s="6">
        <v>41469</v>
      </c>
      <c r="B1976" t="str">
        <f>IFERROR(VLOOKUP($A1976,原始数据_收盘!$A$4:$G$3460,2,0),"")</f>
        <v/>
      </c>
      <c r="C1976" t="str">
        <f>IFERROR(VLOOKUP($A1976,原始数据_收盘!$A$4:$G$3460,3,0),"")</f>
        <v/>
      </c>
      <c r="D1976" t="str">
        <f>IFERROR(VLOOKUP($A1976,原始数据_收盘!$A$4:$G$3460,4,0),"")</f>
        <v/>
      </c>
      <c r="E1976" t="str">
        <f>IFERROR(VLOOKUP($A1976,原始数据_收盘!$A$4:$G$3460,5,0),"")</f>
        <v/>
      </c>
      <c r="F1976" t="str">
        <f>IFERROR(VLOOKUP($A1976,原始数据_收盘!$A$4:$G$3460,6,0),"")</f>
        <v/>
      </c>
      <c r="G1976" t="str">
        <f>IFERROR(VLOOKUP($A1976,原始数据_收盘!$A$4:$G$3460,7,0),"")</f>
        <v/>
      </c>
      <c r="H1976" t="str">
        <f>IFERROR(VLOOKUP($A1976,原始数据_利率互换_FR007_1年!$A$6:$C$4395,2,0),"")</f>
        <v/>
      </c>
      <c r="I1976" t="str">
        <f>IFERROR(VLOOKUP($A1976,原始数据_利率互换_FR007_1年!$A$6:$C$4395,3,0),"")</f>
        <v/>
      </c>
    </row>
    <row r="1977" spans="1:9">
      <c r="A1977" s="6">
        <v>41470</v>
      </c>
      <c r="B1977">
        <f>IFERROR(VLOOKUP($A1977,原始数据_收盘!$A$4:$G$3460,2,0),"")</f>
        <v>3.8755</v>
      </c>
      <c r="C1977">
        <f>IFERROR(VLOOKUP($A1977,原始数据_收盘!$A$4:$G$3460,3,0),"")</f>
        <v>3.9724</v>
      </c>
      <c r="D1977">
        <f>IFERROR(VLOOKUP($A1977,原始数据_收盘!$A$4:$G$3460,4,0),"")</f>
        <v>3.9426</v>
      </c>
      <c r="E1977">
        <f>IFERROR(VLOOKUP($A1977,原始数据_收盘!$A$4:$G$3460,5,0),"")</f>
        <v>4.0435</v>
      </c>
      <c r="F1977">
        <f>IFERROR(VLOOKUP($A1977,原始数据_收盘!$A$4:$G$3460,6,0),"")</f>
        <v>3.909</v>
      </c>
      <c r="G1977">
        <f>IFERROR(VLOOKUP($A1977,原始数据_收盘!$A$4:$G$3460,7,0),"")</f>
        <v>4.008</v>
      </c>
      <c r="H1977">
        <f>IFERROR(VLOOKUP($A1977,原始数据_利率互换_FR007_1年!$A$6:$C$4395,2,0),"")</f>
        <v>3.9065</v>
      </c>
      <c r="I1977">
        <f>IFERROR(VLOOKUP($A1977,原始数据_利率互换_FR007_1年!$A$6:$C$4395,3,0),"")</f>
        <v>4.0155</v>
      </c>
    </row>
    <row r="1978" spans="1:9">
      <c r="A1978" s="6">
        <v>41471</v>
      </c>
      <c r="B1978">
        <f>IFERROR(VLOOKUP($A1978,原始数据_收盘!$A$4:$G$3460,2,0),"")</f>
        <v>3.8408</v>
      </c>
      <c r="C1978">
        <f>IFERROR(VLOOKUP($A1978,原始数据_收盘!$A$4:$G$3460,3,0),"")</f>
        <v>3.9592</v>
      </c>
      <c r="D1978">
        <f>IFERROR(VLOOKUP($A1978,原始数据_收盘!$A$4:$G$3460,4,0),"")</f>
        <v>3.8961</v>
      </c>
      <c r="E1978">
        <f>IFERROR(VLOOKUP($A1978,原始数据_收盘!$A$4:$G$3460,5,0),"")</f>
        <v>4.024</v>
      </c>
      <c r="F1978">
        <f>IFERROR(VLOOKUP($A1978,原始数据_收盘!$A$4:$G$3460,6,0),"")</f>
        <v>3.8685</v>
      </c>
      <c r="G1978">
        <f>IFERROR(VLOOKUP($A1978,原始数据_收盘!$A$4:$G$3460,7,0),"")</f>
        <v>3.9916</v>
      </c>
      <c r="H1978">
        <f>IFERROR(VLOOKUP($A1978,原始数据_利率互换_FR007_1年!$A$6:$C$4395,2,0),"")</f>
        <v>3.878</v>
      </c>
      <c r="I1978">
        <f>IFERROR(VLOOKUP($A1978,原始数据_利率互换_FR007_1年!$A$6:$C$4395,3,0),"")</f>
        <v>4</v>
      </c>
    </row>
    <row r="1979" spans="1:9">
      <c r="A1979" s="6">
        <v>41472</v>
      </c>
      <c r="B1979">
        <f>IFERROR(VLOOKUP($A1979,原始数据_收盘!$A$4:$G$3460,2,0),"")</f>
        <v>3.8477</v>
      </c>
      <c r="C1979">
        <f>IFERROR(VLOOKUP($A1979,原始数据_收盘!$A$4:$G$3460,3,0),"")</f>
        <v>3.9733</v>
      </c>
      <c r="D1979">
        <f>IFERROR(VLOOKUP($A1979,原始数据_收盘!$A$4:$G$3460,4,0),"")</f>
        <v>3.9081</v>
      </c>
      <c r="E1979">
        <f>IFERROR(VLOOKUP($A1979,原始数据_收盘!$A$4:$G$3460,5,0),"")</f>
        <v>4.0382</v>
      </c>
      <c r="F1979">
        <f>IFERROR(VLOOKUP($A1979,原始数据_收盘!$A$4:$G$3460,6,0),"")</f>
        <v>3.8779</v>
      </c>
      <c r="G1979">
        <f>IFERROR(VLOOKUP($A1979,原始数据_收盘!$A$4:$G$3460,7,0),"")</f>
        <v>4.0058</v>
      </c>
      <c r="H1979">
        <f>IFERROR(VLOOKUP($A1979,原始数据_利率互换_FR007_1年!$A$6:$C$4395,2,0),"")</f>
        <v>3.8535</v>
      </c>
      <c r="I1979">
        <f>IFERROR(VLOOKUP($A1979,原始数据_利率互换_FR007_1年!$A$6:$C$4395,3,0),"")</f>
        <v>3.9991</v>
      </c>
    </row>
    <row r="1980" spans="1:9">
      <c r="A1980" s="6">
        <v>41473</v>
      </c>
      <c r="B1980">
        <f>IFERROR(VLOOKUP($A1980,原始数据_收盘!$A$4:$G$3460,2,0),"")</f>
        <v>3.9141</v>
      </c>
      <c r="C1980">
        <f>IFERROR(VLOOKUP($A1980,原始数据_收盘!$A$4:$G$3460,3,0),"")</f>
        <v>3.9832</v>
      </c>
      <c r="D1980">
        <f>IFERROR(VLOOKUP($A1980,原始数据_收盘!$A$4:$G$3460,4,0),"")</f>
        <v>3.9784</v>
      </c>
      <c r="E1980">
        <f>IFERROR(VLOOKUP($A1980,原始数据_收盘!$A$4:$G$3460,5,0),"")</f>
        <v>4.0469</v>
      </c>
      <c r="F1980">
        <f>IFERROR(VLOOKUP($A1980,原始数据_收盘!$A$4:$G$3460,6,0),"")</f>
        <v>3.9462</v>
      </c>
      <c r="G1980">
        <f>IFERROR(VLOOKUP($A1980,原始数据_收盘!$A$4:$G$3460,7,0),"")</f>
        <v>4.0151</v>
      </c>
      <c r="H1980">
        <f>IFERROR(VLOOKUP($A1980,原始数据_利率互换_FR007_1年!$A$6:$C$4395,2,0),"")</f>
        <v>3.9233</v>
      </c>
      <c r="I1980">
        <f>IFERROR(VLOOKUP($A1980,原始数据_利率互换_FR007_1年!$A$6:$C$4395,3,0),"")</f>
        <v>4.015</v>
      </c>
    </row>
    <row r="1981" spans="1:9">
      <c r="A1981" s="6">
        <v>41474</v>
      </c>
      <c r="B1981">
        <f>IFERROR(VLOOKUP($A1981,原始数据_收盘!$A$4:$G$3460,2,0),"")</f>
        <v>3.9164</v>
      </c>
      <c r="C1981">
        <f>IFERROR(VLOOKUP($A1981,原始数据_收盘!$A$4:$G$3460,3,0),"")</f>
        <v>3.9773</v>
      </c>
      <c r="D1981">
        <f>IFERROR(VLOOKUP($A1981,原始数据_收盘!$A$4:$G$3460,4,0),"")</f>
        <v>3.9807</v>
      </c>
      <c r="E1981">
        <f>IFERROR(VLOOKUP($A1981,原始数据_收盘!$A$4:$G$3460,5,0),"")</f>
        <v>4.0472</v>
      </c>
      <c r="F1981">
        <f>IFERROR(VLOOKUP($A1981,原始数据_收盘!$A$4:$G$3460,6,0),"")</f>
        <v>3.9486</v>
      </c>
      <c r="G1981">
        <f>IFERROR(VLOOKUP($A1981,原始数据_收盘!$A$4:$G$3460,7,0),"")</f>
        <v>4.0122</v>
      </c>
      <c r="H1981">
        <f>IFERROR(VLOOKUP($A1981,原始数据_利率互换_FR007_1年!$A$6:$C$4395,2,0),"")</f>
        <v>3.9505</v>
      </c>
      <c r="I1981">
        <f>IFERROR(VLOOKUP($A1981,原始数据_利率互换_FR007_1年!$A$6:$C$4395,3,0),"")</f>
        <v>4.015</v>
      </c>
    </row>
    <row r="1982" spans="1:9">
      <c r="A1982" s="6">
        <v>41475</v>
      </c>
      <c r="B1982" t="str">
        <f>IFERROR(VLOOKUP($A1982,原始数据_收盘!$A$4:$G$3460,2,0),"")</f>
        <v/>
      </c>
      <c r="C1982" t="str">
        <f>IFERROR(VLOOKUP($A1982,原始数据_收盘!$A$4:$G$3460,3,0),"")</f>
        <v/>
      </c>
      <c r="D1982" t="str">
        <f>IFERROR(VLOOKUP($A1982,原始数据_收盘!$A$4:$G$3460,4,0),"")</f>
        <v/>
      </c>
      <c r="E1982" t="str">
        <f>IFERROR(VLOOKUP($A1982,原始数据_收盘!$A$4:$G$3460,5,0),"")</f>
        <v/>
      </c>
      <c r="F1982" t="str">
        <f>IFERROR(VLOOKUP($A1982,原始数据_收盘!$A$4:$G$3460,6,0),"")</f>
        <v/>
      </c>
      <c r="G1982" t="str">
        <f>IFERROR(VLOOKUP($A1982,原始数据_收盘!$A$4:$G$3460,7,0),"")</f>
        <v/>
      </c>
      <c r="H1982" t="str">
        <f>IFERROR(VLOOKUP($A1982,原始数据_利率互换_FR007_1年!$A$6:$C$4395,2,0),"")</f>
        <v/>
      </c>
      <c r="I1982" t="str">
        <f>IFERROR(VLOOKUP($A1982,原始数据_利率互换_FR007_1年!$A$6:$C$4395,3,0),"")</f>
        <v/>
      </c>
    </row>
    <row r="1983" spans="1:9">
      <c r="A1983" s="6">
        <v>41476</v>
      </c>
      <c r="B1983" t="str">
        <f>IFERROR(VLOOKUP($A1983,原始数据_收盘!$A$4:$G$3460,2,0),"")</f>
        <v/>
      </c>
      <c r="C1983" t="str">
        <f>IFERROR(VLOOKUP($A1983,原始数据_收盘!$A$4:$G$3460,3,0),"")</f>
        <v/>
      </c>
      <c r="D1983" t="str">
        <f>IFERROR(VLOOKUP($A1983,原始数据_收盘!$A$4:$G$3460,4,0),"")</f>
        <v/>
      </c>
      <c r="E1983" t="str">
        <f>IFERROR(VLOOKUP($A1983,原始数据_收盘!$A$4:$G$3460,5,0),"")</f>
        <v/>
      </c>
      <c r="F1983" t="str">
        <f>IFERROR(VLOOKUP($A1983,原始数据_收盘!$A$4:$G$3460,6,0),"")</f>
        <v/>
      </c>
      <c r="G1983" t="str">
        <f>IFERROR(VLOOKUP($A1983,原始数据_收盘!$A$4:$G$3460,7,0),"")</f>
        <v/>
      </c>
      <c r="H1983" t="str">
        <f>IFERROR(VLOOKUP($A1983,原始数据_利率互换_FR007_1年!$A$6:$C$4395,2,0),"")</f>
        <v/>
      </c>
      <c r="I1983" t="str">
        <f>IFERROR(VLOOKUP($A1983,原始数据_利率互换_FR007_1年!$A$6:$C$4395,3,0),"")</f>
        <v/>
      </c>
    </row>
    <row r="1984" spans="1:9">
      <c r="A1984" s="6">
        <v>41477</v>
      </c>
      <c r="B1984">
        <f>IFERROR(VLOOKUP($A1984,原始数据_收盘!$A$4:$G$3460,2,0),"")</f>
        <v>4.0375</v>
      </c>
      <c r="C1984">
        <f>IFERROR(VLOOKUP($A1984,原始数据_收盘!$A$4:$G$3460,3,0),"")</f>
        <v>4.1162</v>
      </c>
      <c r="D1984">
        <f>IFERROR(VLOOKUP($A1984,原始数据_收盘!$A$4:$G$3460,4,0),"")</f>
        <v>4.1032</v>
      </c>
      <c r="E1984">
        <f>IFERROR(VLOOKUP($A1984,原始数据_收盘!$A$4:$G$3460,5,0),"")</f>
        <v>4.1848</v>
      </c>
      <c r="F1984">
        <f>IFERROR(VLOOKUP($A1984,原始数据_收盘!$A$4:$G$3460,6,0),"")</f>
        <v>4.0704</v>
      </c>
      <c r="G1984">
        <f>IFERROR(VLOOKUP($A1984,原始数据_收盘!$A$4:$G$3460,7,0),"")</f>
        <v>4.1505</v>
      </c>
      <c r="H1984">
        <f>IFERROR(VLOOKUP($A1984,原始数据_利率互换_FR007_1年!$A$6:$C$4395,2,0),"")</f>
        <v>4.0214</v>
      </c>
      <c r="I1984">
        <f>IFERROR(VLOOKUP($A1984,原始数据_利率互换_FR007_1年!$A$6:$C$4395,3,0),"")</f>
        <v>4.1185</v>
      </c>
    </row>
    <row r="1985" spans="1:9">
      <c r="A1985" s="6">
        <v>41478</v>
      </c>
      <c r="B1985">
        <f>IFERROR(VLOOKUP($A1985,原始数据_收盘!$A$4:$G$3460,2,0),"")</f>
        <v>4.089</v>
      </c>
      <c r="C1985">
        <f>IFERROR(VLOOKUP($A1985,原始数据_收盘!$A$4:$G$3460,3,0),"")</f>
        <v>4.1445</v>
      </c>
      <c r="D1985">
        <f>IFERROR(VLOOKUP($A1985,原始数据_收盘!$A$4:$G$3460,4,0),"")</f>
        <v>4.1502</v>
      </c>
      <c r="E1985">
        <f>IFERROR(VLOOKUP($A1985,原始数据_收盘!$A$4:$G$3460,5,0),"")</f>
        <v>4.2069</v>
      </c>
      <c r="F1985">
        <f>IFERROR(VLOOKUP($A1985,原始数据_收盘!$A$4:$G$3460,6,0),"")</f>
        <v>4.1196</v>
      </c>
      <c r="G1985">
        <f>IFERROR(VLOOKUP($A1985,原始数据_收盘!$A$4:$G$3460,7,0),"")</f>
        <v>4.1757</v>
      </c>
      <c r="H1985">
        <f>IFERROR(VLOOKUP($A1985,原始数据_利率互换_FR007_1年!$A$6:$C$4395,2,0),"")</f>
        <v>4.147</v>
      </c>
      <c r="I1985">
        <f>IFERROR(VLOOKUP($A1985,原始数据_利率互换_FR007_1年!$A$6:$C$4395,3,0),"")</f>
        <v>4.1898</v>
      </c>
    </row>
    <row r="1986" spans="1:9">
      <c r="A1986" s="6">
        <v>41479</v>
      </c>
      <c r="B1986">
        <f>IFERROR(VLOOKUP($A1986,原始数据_收盘!$A$4:$G$3460,2,0),"")</f>
        <v>4.0928</v>
      </c>
      <c r="C1986">
        <f>IFERROR(VLOOKUP($A1986,原始数据_收盘!$A$4:$G$3460,3,0),"")</f>
        <v>4.1414</v>
      </c>
      <c r="D1986">
        <f>IFERROR(VLOOKUP($A1986,原始数据_收盘!$A$4:$G$3460,4,0),"")</f>
        <v>4.1526</v>
      </c>
      <c r="E1986">
        <f>IFERROR(VLOOKUP($A1986,原始数据_收盘!$A$4:$G$3460,5,0),"")</f>
        <v>4.2006</v>
      </c>
      <c r="F1986">
        <f>IFERROR(VLOOKUP($A1986,原始数据_收盘!$A$4:$G$3460,6,0),"")</f>
        <v>4.1227</v>
      </c>
      <c r="G1986">
        <f>IFERROR(VLOOKUP($A1986,原始数据_收盘!$A$4:$G$3460,7,0),"")</f>
        <v>4.171</v>
      </c>
      <c r="H1986">
        <f>IFERROR(VLOOKUP($A1986,原始数据_利率互换_FR007_1年!$A$6:$C$4395,2,0),"")</f>
        <v>4.1362</v>
      </c>
      <c r="I1986">
        <f>IFERROR(VLOOKUP($A1986,原始数据_利率互换_FR007_1年!$A$6:$C$4395,3,0),"")</f>
        <v>4.1744</v>
      </c>
    </row>
    <row r="1987" spans="1:9">
      <c r="A1987" s="6">
        <v>41480</v>
      </c>
      <c r="B1987">
        <f>IFERROR(VLOOKUP($A1987,原始数据_收盘!$A$4:$G$3460,2,0),"")</f>
        <v>4.0156</v>
      </c>
      <c r="C1987">
        <f>IFERROR(VLOOKUP($A1987,原始数据_收盘!$A$4:$G$3460,3,0),"")</f>
        <v>4.0676</v>
      </c>
      <c r="D1987">
        <f>IFERROR(VLOOKUP($A1987,原始数据_收盘!$A$4:$G$3460,4,0),"")</f>
        <v>4.0808</v>
      </c>
      <c r="E1987">
        <f>IFERROR(VLOOKUP($A1987,原始数据_收盘!$A$4:$G$3460,5,0),"")</f>
        <v>4.1326</v>
      </c>
      <c r="F1987">
        <f>IFERROR(VLOOKUP($A1987,原始数据_收盘!$A$4:$G$3460,6,0),"")</f>
        <v>4.0482</v>
      </c>
      <c r="G1987">
        <f>IFERROR(VLOOKUP($A1987,原始数据_收盘!$A$4:$G$3460,7,0),"")</f>
        <v>4.1001</v>
      </c>
      <c r="H1987">
        <f>IFERROR(VLOOKUP($A1987,原始数据_利率互换_FR007_1年!$A$6:$C$4395,2,0),"")</f>
        <v>4.0557</v>
      </c>
      <c r="I1987">
        <f>IFERROR(VLOOKUP($A1987,原始数据_利率互换_FR007_1年!$A$6:$C$4395,3,0),"")</f>
        <v>4.1276</v>
      </c>
    </row>
    <row r="1988" spans="1:9">
      <c r="A1988" s="6">
        <v>41481</v>
      </c>
      <c r="B1988">
        <f>IFERROR(VLOOKUP($A1988,原始数据_收盘!$A$4:$G$3460,2,0),"")</f>
        <v>4.0151</v>
      </c>
      <c r="C1988">
        <f>IFERROR(VLOOKUP($A1988,原始数据_收盘!$A$4:$G$3460,3,0),"")</f>
        <v>4.0632</v>
      </c>
      <c r="D1988">
        <f>IFERROR(VLOOKUP($A1988,原始数据_收盘!$A$4:$G$3460,4,0),"")</f>
        <v>4.075</v>
      </c>
      <c r="E1988">
        <f>IFERROR(VLOOKUP($A1988,原始数据_收盘!$A$4:$G$3460,5,0),"")</f>
        <v>4.1293</v>
      </c>
      <c r="F1988">
        <f>IFERROR(VLOOKUP($A1988,原始数据_收盘!$A$4:$G$3460,6,0),"")</f>
        <v>4.0451</v>
      </c>
      <c r="G1988">
        <f>IFERROR(VLOOKUP($A1988,原始数据_收盘!$A$4:$G$3460,7,0),"")</f>
        <v>4.0962</v>
      </c>
      <c r="H1988">
        <f>IFERROR(VLOOKUP($A1988,原始数据_利率互换_FR007_1年!$A$6:$C$4395,2,0),"")</f>
        <v>4.0655</v>
      </c>
      <c r="I1988">
        <f>IFERROR(VLOOKUP($A1988,原始数据_利率互换_FR007_1年!$A$6:$C$4395,3,0),"")</f>
        <v>4.1081</v>
      </c>
    </row>
    <row r="1989" spans="1:9">
      <c r="A1989" s="6">
        <v>41482</v>
      </c>
      <c r="B1989" t="str">
        <f>IFERROR(VLOOKUP($A1989,原始数据_收盘!$A$4:$G$3460,2,0),"")</f>
        <v/>
      </c>
      <c r="C1989" t="str">
        <f>IFERROR(VLOOKUP($A1989,原始数据_收盘!$A$4:$G$3460,3,0),"")</f>
        <v/>
      </c>
      <c r="D1989" t="str">
        <f>IFERROR(VLOOKUP($A1989,原始数据_收盘!$A$4:$G$3460,4,0),"")</f>
        <v/>
      </c>
      <c r="E1989" t="str">
        <f>IFERROR(VLOOKUP($A1989,原始数据_收盘!$A$4:$G$3460,5,0),"")</f>
        <v/>
      </c>
      <c r="F1989" t="str">
        <f>IFERROR(VLOOKUP($A1989,原始数据_收盘!$A$4:$G$3460,6,0),"")</f>
        <v/>
      </c>
      <c r="G1989" t="str">
        <f>IFERROR(VLOOKUP($A1989,原始数据_收盘!$A$4:$G$3460,7,0),"")</f>
        <v/>
      </c>
      <c r="H1989" t="str">
        <f>IFERROR(VLOOKUP($A1989,原始数据_利率互换_FR007_1年!$A$6:$C$4395,2,0),"")</f>
        <v/>
      </c>
      <c r="I1989" t="str">
        <f>IFERROR(VLOOKUP($A1989,原始数据_利率互换_FR007_1年!$A$6:$C$4395,3,0),"")</f>
        <v/>
      </c>
    </row>
    <row r="1990" spans="1:9">
      <c r="A1990" s="6">
        <v>41483</v>
      </c>
      <c r="B1990" t="str">
        <f>IFERROR(VLOOKUP($A1990,原始数据_收盘!$A$4:$G$3460,2,0),"")</f>
        <v/>
      </c>
      <c r="C1990" t="str">
        <f>IFERROR(VLOOKUP($A1990,原始数据_收盘!$A$4:$G$3460,3,0),"")</f>
        <v/>
      </c>
      <c r="D1990" t="str">
        <f>IFERROR(VLOOKUP($A1990,原始数据_收盘!$A$4:$G$3460,4,0),"")</f>
        <v/>
      </c>
      <c r="E1990" t="str">
        <f>IFERROR(VLOOKUP($A1990,原始数据_收盘!$A$4:$G$3460,5,0),"")</f>
        <v/>
      </c>
      <c r="F1990" t="str">
        <f>IFERROR(VLOOKUP($A1990,原始数据_收盘!$A$4:$G$3460,6,0),"")</f>
        <v/>
      </c>
      <c r="G1990" t="str">
        <f>IFERROR(VLOOKUP($A1990,原始数据_收盘!$A$4:$G$3460,7,0),"")</f>
        <v/>
      </c>
      <c r="H1990" t="str">
        <f>IFERROR(VLOOKUP($A1990,原始数据_利率互换_FR007_1年!$A$6:$C$4395,2,0),"")</f>
        <v/>
      </c>
      <c r="I1990" t="str">
        <f>IFERROR(VLOOKUP($A1990,原始数据_利率互换_FR007_1年!$A$6:$C$4395,3,0),"")</f>
        <v/>
      </c>
    </row>
    <row r="1991" spans="1:9">
      <c r="A1991" s="6">
        <v>41484</v>
      </c>
      <c r="B1991">
        <f>IFERROR(VLOOKUP($A1991,原始数据_收盘!$A$4:$G$3460,2,0),"")</f>
        <v>4.0534</v>
      </c>
      <c r="C1991">
        <f>IFERROR(VLOOKUP($A1991,原始数据_收盘!$A$4:$G$3460,3,0),"")</f>
        <v>4.0912</v>
      </c>
      <c r="D1991">
        <f>IFERROR(VLOOKUP($A1991,原始数据_收盘!$A$4:$G$3460,4,0),"")</f>
        <v>4.1076</v>
      </c>
      <c r="E1991">
        <f>IFERROR(VLOOKUP($A1991,原始数据_收盘!$A$4:$G$3460,5,0),"")</f>
        <v>4.1544</v>
      </c>
      <c r="F1991">
        <f>IFERROR(VLOOKUP($A1991,原始数据_收盘!$A$4:$G$3460,6,0),"")</f>
        <v>4.0805</v>
      </c>
      <c r="G1991">
        <f>IFERROR(VLOOKUP($A1991,原始数据_收盘!$A$4:$G$3460,7,0),"")</f>
        <v>4.1228</v>
      </c>
      <c r="H1991">
        <f>IFERROR(VLOOKUP($A1991,原始数据_利率互换_FR007_1年!$A$6:$C$4395,2,0),"")</f>
        <v>4.0756</v>
      </c>
      <c r="I1991">
        <f>IFERROR(VLOOKUP($A1991,原始数据_利率互换_FR007_1年!$A$6:$C$4395,3,0),"")</f>
        <v>4.1189</v>
      </c>
    </row>
    <row r="1992" spans="1:9">
      <c r="A1992" s="6">
        <v>41485</v>
      </c>
      <c r="B1992">
        <f>IFERROR(VLOOKUP($A1992,原始数据_收盘!$A$4:$G$3460,2,0),"")</f>
        <v>3.9932</v>
      </c>
      <c r="C1992">
        <f>IFERROR(VLOOKUP($A1992,原始数据_收盘!$A$4:$G$3460,3,0),"")</f>
        <v>4.0603</v>
      </c>
      <c r="D1992">
        <f>IFERROR(VLOOKUP($A1992,原始数据_收盘!$A$4:$G$3460,4,0),"")</f>
        <v>4.0566</v>
      </c>
      <c r="E1992">
        <f>IFERROR(VLOOKUP($A1992,原始数据_收盘!$A$4:$G$3460,5,0),"")</f>
        <v>4.1296</v>
      </c>
      <c r="F1992">
        <f>IFERROR(VLOOKUP($A1992,原始数据_收盘!$A$4:$G$3460,6,0),"")</f>
        <v>4.0249</v>
      </c>
      <c r="G1992">
        <f>IFERROR(VLOOKUP($A1992,原始数据_收盘!$A$4:$G$3460,7,0),"")</f>
        <v>4.0949</v>
      </c>
      <c r="H1992">
        <f>IFERROR(VLOOKUP($A1992,原始数据_利率互换_FR007_1年!$A$6:$C$4395,2,0),"")</f>
        <v>4.0241</v>
      </c>
      <c r="I1992">
        <f>IFERROR(VLOOKUP($A1992,原始数据_利率互换_FR007_1年!$A$6:$C$4395,3,0),"")</f>
        <v>4.0964</v>
      </c>
    </row>
    <row r="1993" spans="1:9">
      <c r="A1993" s="6">
        <v>41486</v>
      </c>
      <c r="B1993">
        <f>IFERROR(VLOOKUP($A1993,原始数据_收盘!$A$4:$G$3460,2,0),"")</f>
        <v>3.9614</v>
      </c>
      <c r="C1993">
        <f>IFERROR(VLOOKUP($A1993,原始数据_收盘!$A$4:$G$3460,3,0),"")</f>
        <v>4.0412</v>
      </c>
      <c r="D1993">
        <f>IFERROR(VLOOKUP($A1993,原始数据_收盘!$A$4:$G$3460,4,0),"")</f>
        <v>4.0284</v>
      </c>
      <c r="E1993">
        <f>IFERROR(VLOOKUP($A1993,原始数据_收盘!$A$4:$G$3460,5,0),"")</f>
        <v>4.1094</v>
      </c>
      <c r="F1993">
        <f>IFERROR(VLOOKUP($A1993,原始数据_收盘!$A$4:$G$3460,6,0),"")</f>
        <v>3.9949</v>
      </c>
      <c r="G1993">
        <f>IFERROR(VLOOKUP($A1993,原始数据_收盘!$A$4:$G$3460,7,0),"")</f>
        <v>4.0753</v>
      </c>
      <c r="H1993">
        <f>IFERROR(VLOOKUP($A1993,原始数据_利率互换_FR007_1年!$A$6:$C$4395,2,0),"")</f>
        <v>3.9958</v>
      </c>
      <c r="I1993">
        <f>IFERROR(VLOOKUP($A1993,原始数据_利率互换_FR007_1年!$A$6:$C$4395,3,0),"")</f>
        <v>4.067</v>
      </c>
    </row>
    <row r="1994" spans="1:9">
      <c r="A1994" s="6">
        <v>41487</v>
      </c>
      <c r="B1994">
        <f>IFERROR(VLOOKUP($A1994,原始数据_收盘!$A$4:$G$3460,2,0),"")</f>
        <v>3.8849</v>
      </c>
      <c r="C1994">
        <f>IFERROR(VLOOKUP($A1994,原始数据_收盘!$A$4:$G$3460,3,0),"")</f>
        <v>3.9775</v>
      </c>
      <c r="D1994">
        <f>IFERROR(VLOOKUP($A1994,原始数据_收盘!$A$4:$G$3460,4,0),"")</f>
        <v>3.9433</v>
      </c>
      <c r="E1994">
        <f>IFERROR(VLOOKUP($A1994,原始数据_收盘!$A$4:$G$3460,5,0),"")</f>
        <v>4.0433</v>
      </c>
      <c r="F1994">
        <f>IFERROR(VLOOKUP($A1994,原始数据_收盘!$A$4:$G$3460,6,0),"")</f>
        <v>3.9141</v>
      </c>
      <c r="G1994">
        <f>IFERROR(VLOOKUP($A1994,原始数据_收盘!$A$4:$G$3460,7,0),"")</f>
        <v>4.0104</v>
      </c>
      <c r="H1994">
        <f>IFERROR(VLOOKUP($A1994,原始数据_利率互换_FR007_1年!$A$6:$C$4395,2,0),"")</f>
        <v>3.9263</v>
      </c>
      <c r="I1994">
        <f>IFERROR(VLOOKUP($A1994,原始数据_利率互换_FR007_1年!$A$6:$C$4395,3,0),"")</f>
        <v>4.0234</v>
      </c>
    </row>
    <row r="1995" spans="1:9">
      <c r="A1995" s="6">
        <v>41488</v>
      </c>
      <c r="B1995">
        <f>IFERROR(VLOOKUP($A1995,原始数据_收盘!$A$4:$G$3460,2,0),"")</f>
        <v>3.8635</v>
      </c>
      <c r="C1995">
        <f>IFERROR(VLOOKUP($A1995,原始数据_收盘!$A$4:$G$3460,3,0),"")</f>
        <v>3.987</v>
      </c>
      <c r="D1995">
        <f>IFERROR(VLOOKUP($A1995,原始数据_收盘!$A$4:$G$3460,4,0),"")</f>
        <v>3.9293</v>
      </c>
      <c r="E1995">
        <f>IFERROR(VLOOKUP($A1995,原始数据_收盘!$A$4:$G$3460,5,0),"")</f>
        <v>4.0507</v>
      </c>
      <c r="F1995">
        <f>IFERROR(VLOOKUP($A1995,原始数据_收盘!$A$4:$G$3460,6,0),"")</f>
        <v>3.8964</v>
      </c>
      <c r="G1995">
        <f>IFERROR(VLOOKUP($A1995,原始数据_收盘!$A$4:$G$3460,7,0),"")</f>
        <v>4.0189</v>
      </c>
      <c r="H1995">
        <f>IFERROR(VLOOKUP($A1995,原始数据_利率互换_FR007_1年!$A$6:$C$4395,2,0),"")</f>
        <v>3.88</v>
      </c>
      <c r="I1995">
        <f>IFERROR(VLOOKUP($A1995,原始数据_利率互换_FR007_1年!$A$6:$C$4395,3,0),"")</f>
        <v>4.0094</v>
      </c>
    </row>
    <row r="1996" spans="1:9">
      <c r="A1996" s="6">
        <v>41489</v>
      </c>
      <c r="B1996" t="str">
        <f>IFERROR(VLOOKUP($A1996,原始数据_收盘!$A$4:$G$3460,2,0),"")</f>
        <v/>
      </c>
      <c r="C1996" t="str">
        <f>IFERROR(VLOOKUP($A1996,原始数据_收盘!$A$4:$G$3460,3,0),"")</f>
        <v/>
      </c>
      <c r="D1996" t="str">
        <f>IFERROR(VLOOKUP($A1996,原始数据_收盘!$A$4:$G$3460,4,0),"")</f>
        <v/>
      </c>
      <c r="E1996" t="str">
        <f>IFERROR(VLOOKUP($A1996,原始数据_收盘!$A$4:$G$3460,5,0),"")</f>
        <v/>
      </c>
      <c r="F1996" t="str">
        <f>IFERROR(VLOOKUP($A1996,原始数据_收盘!$A$4:$G$3460,6,0),"")</f>
        <v/>
      </c>
      <c r="G1996" t="str">
        <f>IFERROR(VLOOKUP($A1996,原始数据_收盘!$A$4:$G$3460,7,0),"")</f>
        <v/>
      </c>
      <c r="H1996" t="str">
        <f>IFERROR(VLOOKUP($A1996,原始数据_利率互换_FR007_1年!$A$6:$C$4395,2,0),"")</f>
        <v/>
      </c>
      <c r="I1996" t="str">
        <f>IFERROR(VLOOKUP($A1996,原始数据_利率互换_FR007_1年!$A$6:$C$4395,3,0),"")</f>
        <v/>
      </c>
    </row>
    <row r="1997" spans="1:9">
      <c r="A1997" s="6">
        <v>41490</v>
      </c>
      <c r="B1997" t="str">
        <f>IFERROR(VLOOKUP($A1997,原始数据_收盘!$A$4:$G$3460,2,0),"")</f>
        <v/>
      </c>
      <c r="C1997" t="str">
        <f>IFERROR(VLOOKUP($A1997,原始数据_收盘!$A$4:$G$3460,3,0),"")</f>
        <v/>
      </c>
      <c r="D1997" t="str">
        <f>IFERROR(VLOOKUP($A1997,原始数据_收盘!$A$4:$G$3460,4,0),"")</f>
        <v/>
      </c>
      <c r="E1997" t="str">
        <f>IFERROR(VLOOKUP($A1997,原始数据_收盘!$A$4:$G$3460,5,0),"")</f>
        <v/>
      </c>
      <c r="F1997" t="str">
        <f>IFERROR(VLOOKUP($A1997,原始数据_收盘!$A$4:$G$3460,6,0),"")</f>
        <v/>
      </c>
      <c r="G1997" t="str">
        <f>IFERROR(VLOOKUP($A1997,原始数据_收盘!$A$4:$G$3460,7,0),"")</f>
        <v/>
      </c>
      <c r="H1997" t="str">
        <f>IFERROR(VLOOKUP($A1997,原始数据_利率互换_FR007_1年!$A$6:$C$4395,2,0),"")</f>
        <v/>
      </c>
      <c r="I1997" t="str">
        <f>IFERROR(VLOOKUP($A1997,原始数据_利率互换_FR007_1年!$A$6:$C$4395,3,0),"")</f>
        <v/>
      </c>
    </row>
    <row r="1998" spans="1:9">
      <c r="A1998" s="6">
        <v>41491</v>
      </c>
      <c r="B1998">
        <f>IFERROR(VLOOKUP($A1998,原始数据_收盘!$A$4:$G$3460,2,0),"")</f>
        <v>3.8897</v>
      </c>
      <c r="C1998">
        <f>IFERROR(VLOOKUP($A1998,原始数据_收盘!$A$4:$G$3460,3,0),"")</f>
        <v>4.0111</v>
      </c>
      <c r="D1998">
        <f>IFERROR(VLOOKUP($A1998,原始数据_收盘!$A$4:$G$3460,4,0),"")</f>
        <v>3.947</v>
      </c>
      <c r="E1998">
        <f>IFERROR(VLOOKUP($A1998,原始数据_收盘!$A$4:$G$3460,5,0),"")</f>
        <v>4.0755</v>
      </c>
      <c r="F1998">
        <f>IFERROR(VLOOKUP($A1998,原始数据_收盘!$A$4:$G$3460,6,0),"")</f>
        <v>3.9184</v>
      </c>
      <c r="G1998">
        <f>IFERROR(VLOOKUP($A1998,原始数据_收盘!$A$4:$G$3460,7,0),"")</f>
        <v>4.0433</v>
      </c>
      <c r="H1998">
        <f>IFERROR(VLOOKUP($A1998,原始数据_利率互换_FR007_1年!$A$6:$C$4395,2,0),"")</f>
        <v>3.8953</v>
      </c>
      <c r="I1998">
        <f>IFERROR(VLOOKUP($A1998,原始数据_利率互换_FR007_1年!$A$6:$C$4395,3,0),"")</f>
        <v>4.0217</v>
      </c>
    </row>
    <row r="1999" spans="1:9">
      <c r="A1999" s="6">
        <v>41492</v>
      </c>
      <c r="B1999">
        <f>IFERROR(VLOOKUP($A1999,原始数据_收盘!$A$4:$G$3460,2,0),"")</f>
        <v>3.8468</v>
      </c>
      <c r="C1999">
        <f>IFERROR(VLOOKUP($A1999,原始数据_收盘!$A$4:$G$3460,3,0),"")</f>
        <v>3.9833</v>
      </c>
      <c r="D1999">
        <f>IFERROR(VLOOKUP($A1999,原始数据_收盘!$A$4:$G$3460,4,0),"")</f>
        <v>3.9078</v>
      </c>
      <c r="E1999">
        <f>IFERROR(VLOOKUP($A1999,原始数据_收盘!$A$4:$G$3460,5,0),"")</f>
        <v>4.0463</v>
      </c>
      <c r="F1999">
        <f>IFERROR(VLOOKUP($A1999,原始数据_收盘!$A$4:$G$3460,6,0),"")</f>
        <v>3.8773</v>
      </c>
      <c r="G1999">
        <f>IFERROR(VLOOKUP($A1999,原始数据_收盘!$A$4:$G$3460,7,0),"")</f>
        <v>4.0148</v>
      </c>
      <c r="H1999">
        <f>IFERROR(VLOOKUP($A1999,原始数据_利率互换_FR007_1年!$A$6:$C$4395,2,0),"")</f>
        <v>3.8994</v>
      </c>
      <c r="I1999">
        <f>IFERROR(VLOOKUP($A1999,原始数据_利率互换_FR007_1年!$A$6:$C$4395,3,0),"")</f>
        <v>4.02</v>
      </c>
    </row>
    <row r="2000" spans="1:9">
      <c r="A2000" s="6">
        <v>41493</v>
      </c>
      <c r="B2000">
        <f>IFERROR(VLOOKUP($A2000,原始数据_收盘!$A$4:$G$3460,2,0),"")</f>
        <v>3.8471</v>
      </c>
      <c r="C2000">
        <f>IFERROR(VLOOKUP($A2000,原始数据_收盘!$A$4:$G$3460,3,0),"")</f>
        <v>3.999</v>
      </c>
      <c r="D2000">
        <f>IFERROR(VLOOKUP($A2000,原始数据_收盘!$A$4:$G$3460,4,0),"")</f>
        <v>3.9046</v>
      </c>
      <c r="E2000">
        <f>IFERROR(VLOOKUP($A2000,原始数据_收盘!$A$4:$G$3460,5,0),"")</f>
        <v>4.0619</v>
      </c>
      <c r="F2000">
        <f>IFERROR(VLOOKUP($A2000,原始数据_收盘!$A$4:$G$3460,6,0),"")</f>
        <v>3.8758</v>
      </c>
      <c r="G2000">
        <f>IFERROR(VLOOKUP($A2000,原始数据_收盘!$A$4:$G$3460,7,0),"")</f>
        <v>4.0305</v>
      </c>
      <c r="H2000">
        <f>IFERROR(VLOOKUP($A2000,原始数据_利率互换_FR007_1年!$A$6:$C$4395,2,0),"")</f>
        <v>3.8649</v>
      </c>
      <c r="I2000">
        <f>IFERROR(VLOOKUP($A2000,原始数据_利率互换_FR007_1年!$A$6:$C$4395,3,0),"")</f>
        <v>4.0257</v>
      </c>
    </row>
    <row r="2001" spans="1:9">
      <c r="A2001" s="6">
        <v>41494</v>
      </c>
      <c r="B2001">
        <f>IFERROR(VLOOKUP($A2001,原始数据_收盘!$A$4:$G$3460,2,0),"")</f>
        <v>3.8474</v>
      </c>
      <c r="C2001">
        <f>IFERROR(VLOOKUP($A2001,原始数据_收盘!$A$4:$G$3460,3,0),"")</f>
        <v>4.0258</v>
      </c>
      <c r="D2001">
        <f>IFERROR(VLOOKUP($A2001,原始数据_收盘!$A$4:$G$3460,4,0),"")</f>
        <v>3.9026</v>
      </c>
      <c r="E2001">
        <f>IFERROR(VLOOKUP($A2001,原始数据_收盘!$A$4:$G$3460,5,0),"")</f>
        <v>4.0917</v>
      </c>
      <c r="F2001">
        <f>IFERROR(VLOOKUP($A2001,原始数据_收盘!$A$4:$G$3460,6,0),"")</f>
        <v>3.875</v>
      </c>
      <c r="G2001">
        <f>IFERROR(VLOOKUP($A2001,原始数据_收盘!$A$4:$G$3460,7,0),"")</f>
        <v>4.0588</v>
      </c>
      <c r="H2001">
        <f>IFERROR(VLOOKUP($A2001,原始数据_利率互换_FR007_1年!$A$6:$C$4395,2,0),"")</f>
        <v>3.8709</v>
      </c>
      <c r="I2001">
        <f>IFERROR(VLOOKUP($A2001,原始数据_利率互换_FR007_1年!$A$6:$C$4395,3,0),"")</f>
        <v>4.0623</v>
      </c>
    </row>
    <row r="2002" spans="1:9">
      <c r="A2002" s="6">
        <v>41495</v>
      </c>
      <c r="B2002">
        <f>IFERROR(VLOOKUP($A2002,原始数据_收盘!$A$4:$G$3460,2,0),"")</f>
        <v>3.8414</v>
      </c>
      <c r="C2002">
        <f>IFERROR(VLOOKUP($A2002,原始数据_收盘!$A$4:$G$3460,3,0),"")</f>
        <v>4.0523</v>
      </c>
      <c r="D2002">
        <f>IFERROR(VLOOKUP($A2002,原始数据_收盘!$A$4:$G$3460,4,0),"")</f>
        <v>3.903</v>
      </c>
      <c r="E2002">
        <f>IFERROR(VLOOKUP($A2002,原始数据_收盘!$A$4:$G$3460,5,0),"")</f>
        <v>4.1159</v>
      </c>
      <c r="F2002">
        <f>IFERROR(VLOOKUP($A2002,原始数据_收盘!$A$4:$G$3460,6,0),"")</f>
        <v>3.8722</v>
      </c>
      <c r="G2002">
        <f>IFERROR(VLOOKUP($A2002,原始数据_收盘!$A$4:$G$3460,7,0),"")</f>
        <v>4.0841</v>
      </c>
      <c r="H2002">
        <f>IFERROR(VLOOKUP($A2002,原始数据_利率互换_FR007_1年!$A$6:$C$4395,2,0),"")</f>
        <v>3.8617</v>
      </c>
      <c r="I2002">
        <f>IFERROR(VLOOKUP($A2002,原始数据_利率互换_FR007_1年!$A$6:$C$4395,3,0),"")</f>
        <v>4.074</v>
      </c>
    </row>
    <row r="2003" spans="1:9">
      <c r="A2003" s="6">
        <v>41496</v>
      </c>
      <c r="B2003" t="str">
        <f>IFERROR(VLOOKUP($A2003,原始数据_收盘!$A$4:$G$3460,2,0),"")</f>
        <v/>
      </c>
      <c r="C2003" t="str">
        <f>IFERROR(VLOOKUP($A2003,原始数据_收盘!$A$4:$G$3460,3,0),"")</f>
        <v/>
      </c>
      <c r="D2003" t="str">
        <f>IFERROR(VLOOKUP($A2003,原始数据_收盘!$A$4:$G$3460,4,0),"")</f>
        <v/>
      </c>
      <c r="E2003" t="str">
        <f>IFERROR(VLOOKUP($A2003,原始数据_收盘!$A$4:$G$3460,5,0),"")</f>
        <v/>
      </c>
      <c r="F2003" t="str">
        <f>IFERROR(VLOOKUP($A2003,原始数据_收盘!$A$4:$G$3460,6,0),"")</f>
        <v/>
      </c>
      <c r="G2003" t="str">
        <f>IFERROR(VLOOKUP($A2003,原始数据_收盘!$A$4:$G$3460,7,0),"")</f>
        <v/>
      </c>
      <c r="H2003" t="str">
        <f>IFERROR(VLOOKUP($A2003,原始数据_利率互换_FR007_1年!$A$6:$C$4395,2,0),"")</f>
        <v/>
      </c>
      <c r="I2003" t="str">
        <f>IFERROR(VLOOKUP($A2003,原始数据_利率互换_FR007_1年!$A$6:$C$4395,3,0),"")</f>
        <v/>
      </c>
    </row>
    <row r="2004" spans="1:9">
      <c r="A2004" s="6">
        <v>41497</v>
      </c>
      <c r="B2004" t="str">
        <f>IFERROR(VLOOKUP($A2004,原始数据_收盘!$A$4:$G$3460,2,0),"")</f>
        <v/>
      </c>
      <c r="C2004" t="str">
        <f>IFERROR(VLOOKUP($A2004,原始数据_收盘!$A$4:$G$3460,3,0),"")</f>
        <v/>
      </c>
      <c r="D2004" t="str">
        <f>IFERROR(VLOOKUP($A2004,原始数据_收盘!$A$4:$G$3460,4,0),"")</f>
        <v/>
      </c>
      <c r="E2004" t="str">
        <f>IFERROR(VLOOKUP($A2004,原始数据_收盘!$A$4:$G$3460,5,0),"")</f>
        <v/>
      </c>
      <c r="F2004" t="str">
        <f>IFERROR(VLOOKUP($A2004,原始数据_收盘!$A$4:$G$3460,6,0),"")</f>
        <v/>
      </c>
      <c r="G2004" t="str">
        <f>IFERROR(VLOOKUP($A2004,原始数据_收盘!$A$4:$G$3460,7,0),"")</f>
        <v/>
      </c>
      <c r="H2004" t="str">
        <f>IFERROR(VLOOKUP($A2004,原始数据_利率互换_FR007_1年!$A$6:$C$4395,2,0),"")</f>
        <v/>
      </c>
      <c r="I2004" t="str">
        <f>IFERROR(VLOOKUP($A2004,原始数据_利率互换_FR007_1年!$A$6:$C$4395,3,0),"")</f>
        <v/>
      </c>
    </row>
    <row r="2005" spans="1:9">
      <c r="A2005" s="6">
        <v>41498</v>
      </c>
      <c r="B2005">
        <f>IFERROR(VLOOKUP($A2005,原始数据_收盘!$A$4:$G$3460,2,0),"")</f>
        <v>3.8676</v>
      </c>
      <c r="C2005">
        <f>IFERROR(VLOOKUP($A2005,原始数据_收盘!$A$4:$G$3460,3,0),"")</f>
        <v>4.0917</v>
      </c>
      <c r="D2005">
        <f>IFERROR(VLOOKUP($A2005,原始数据_收盘!$A$4:$G$3460,4,0),"")</f>
        <v>3.9263</v>
      </c>
      <c r="E2005">
        <f>IFERROR(VLOOKUP($A2005,原始数据_收盘!$A$4:$G$3460,5,0),"")</f>
        <v>4.1549</v>
      </c>
      <c r="F2005">
        <f>IFERROR(VLOOKUP($A2005,原始数据_收盘!$A$4:$G$3460,6,0),"")</f>
        <v>3.897</v>
      </c>
      <c r="G2005">
        <f>IFERROR(VLOOKUP($A2005,原始数据_收盘!$A$4:$G$3460,7,0),"")</f>
        <v>4.1233</v>
      </c>
      <c r="H2005">
        <f>IFERROR(VLOOKUP($A2005,原始数据_利率互换_FR007_1年!$A$6:$C$4395,2,0),"")</f>
        <v>3.8891</v>
      </c>
      <c r="I2005">
        <f>IFERROR(VLOOKUP($A2005,原始数据_利率互换_FR007_1年!$A$6:$C$4395,3,0),"")</f>
        <v>4.1164</v>
      </c>
    </row>
    <row r="2006" spans="1:9">
      <c r="A2006" s="6">
        <v>41499</v>
      </c>
      <c r="B2006">
        <f>IFERROR(VLOOKUP($A2006,原始数据_收盘!$A$4:$G$3460,2,0),"")</f>
        <v>3.9216</v>
      </c>
      <c r="C2006">
        <f>IFERROR(VLOOKUP($A2006,原始数据_收盘!$A$4:$G$3460,3,0),"")</f>
        <v>4.1963</v>
      </c>
      <c r="D2006">
        <f>IFERROR(VLOOKUP($A2006,原始数据_收盘!$A$4:$G$3460,4,0),"")</f>
        <v>3.9861</v>
      </c>
      <c r="E2006">
        <f>IFERROR(VLOOKUP($A2006,原始数据_收盘!$A$4:$G$3460,5,0),"")</f>
        <v>4.2607</v>
      </c>
      <c r="F2006">
        <f>IFERROR(VLOOKUP($A2006,原始数据_收盘!$A$4:$G$3460,6,0),"")</f>
        <v>3.9538</v>
      </c>
      <c r="G2006">
        <f>IFERROR(VLOOKUP($A2006,原始数据_收盘!$A$4:$G$3460,7,0),"")</f>
        <v>4.2285</v>
      </c>
      <c r="H2006">
        <f>IFERROR(VLOOKUP($A2006,原始数据_利率互换_FR007_1年!$A$6:$C$4395,2,0),"")</f>
        <v>3.9438</v>
      </c>
      <c r="I2006">
        <f>IFERROR(VLOOKUP($A2006,原始数据_利率互换_FR007_1年!$A$6:$C$4395,3,0),"")</f>
        <v>4.2281</v>
      </c>
    </row>
    <row r="2007" spans="1:9">
      <c r="A2007" s="6">
        <v>41500</v>
      </c>
      <c r="B2007">
        <f>IFERROR(VLOOKUP($A2007,原始数据_收盘!$A$4:$G$3460,2,0),"")</f>
        <v>3.952</v>
      </c>
      <c r="C2007">
        <f>IFERROR(VLOOKUP($A2007,原始数据_收盘!$A$4:$G$3460,3,0),"")</f>
        <v>4.2347</v>
      </c>
      <c r="D2007">
        <f>IFERROR(VLOOKUP($A2007,原始数据_收盘!$A$4:$G$3460,4,0),"")</f>
        <v>4.0177</v>
      </c>
      <c r="E2007">
        <f>IFERROR(VLOOKUP($A2007,原始数据_收盘!$A$4:$G$3460,5,0),"")</f>
        <v>4.2995</v>
      </c>
      <c r="F2007">
        <f>IFERROR(VLOOKUP($A2007,原始数据_收盘!$A$4:$G$3460,6,0),"")</f>
        <v>3.9848</v>
      </c>
      <c r="G2007">
        <f>IFERROR(VLOOKUP($A2007,原始数据_收盘!$A$4:$G$3460,7,0),"")</f>
        <v>4.2671</v>
      </c>
      <c r="H2007">
        <f>IFERROR(VLOOKUP($A2007,原始数据_利率互换_FR007_1年!$A$6:$C$4395,2,0),"")</f>
        <v>3.9972</v>
      </c>
      <c r="I2007">
        <f>IFERROR(VLOOKUP($A2007,原始数据_利率互换_FR007_1年!$A$6:$C$4395,3,0),"")</f>
        <v>4.2687</v>
      </c>
    </row>
    <row r="2008" spans="1:9">
      <c r="A2008" s="6">
        <v>41501</v>
      </c>
      <c r="B2008">
        <f>IFERROR(VLOOKUP($A2008,原始数据_收盘!$A$4:$G$3460,2,0),"")</f>
        <v>4.0243</v>
      </c>
      <c r="C2008">
        <f>IFERROR(VLOOKUP($A2008,原始数据_收盘!$A$4:$G$3460,3,0),"")</f>
        <v>4.2658</v>
      </c>
      <c r="D2008">
        <f>IFERROR(VLOOKUP($A2008,原始数据_收盘!$A$4:$G$3460,4,0),"")</f>
        <v>4.0845</v>
      </c>
      <c r="E2008">
        <f>IFERROR(VLOOKUP($A2008,原始数据_收盘!$A$4:$G$3460,5,0),"")</f>
        <v>4.3264</v>
      </c>
      <c r="F2008">
        <f>IFERROR(VLOOKUP($A2008,原始数据_收盘!$A$4:$G$3460,6,0),"")</f>
        <v>4.0544</v>
      </c>
      <c r="G2008">
        <f>IFERROR(VLOOKUP($A2008,原始数据_收盘!$A$4:$G$3460,7,0),"")</f>
        <v>4.2961</v>
      </c>
      <c r="H2008">
        <f>IFERROR(VLOOKUP($A2008,原始数据_利率互换_FR007_1年!$A$6:$C$4395,2,0),"")</f>
        <v>4.0344</v>
      </c>
      <c r="I2008">
        <f>IFERROR(VLOOKUP($A2008,原始数据_利率互换_FR007_1年!$A$6:$C$4395,3,0),"")</f>
        <v>4.2904</v>
      </c>
    </row>
    <row r="2009" spans="1:9">
      <c r="A2009" s="6">
        <v>41502</v>
      </c>
      <c r="B2009">
        <f>IFERROR(VLOOKUP($A2009,原始数据_收盘!$A$4:$G$3460,2,0),"")</f>
        <v>4.0271</v>
      </c>
      <c r="C2009">
        <f>IFERROR(VLOOKUP($A2009,原始数据_收盘!$A$4:$G$3460,3,0),"")</f>
        <v>4.2672</v>
      </c>
      <c r="D2009">
        <f>IFERROR(VLOOKUP($A2009,原始数据_收盘!$A$4:$G$3460,4,0),"")</f>
        <v>4.0882</v>
      </c>
      <c r="E2009">
        <f>IFERROR(VLOOKUP($A2009,原始数据_收盘!$A$4:$G$3460,5,0),"")</f>
        <v>4.3322</v>
      </c>
      <c r="F2009">
        <f>IFERROR(VLOOKUP($A2009,原始数据_收盘!$A$4:$G$3460,6,0),"")</f>
        <v>4.0576</v>
      </c>
      <c r="G2009">
        <f>IFERROR(VLOOKUP($A2009,原始数据_收盘!$A$4:$G$3460,7,0),"")</f>
        <v>4.2997</v>
      </c>
      <c r="H2009">
        <f>IFERROR(VLOOKUP($A2009,原始数据_利率互换_FR007_1年!$A$6:$C$4395,2,0),"")</f>
        <v>4.064</v>
      </c>
      <c r="I2009">
        <f>IFERROR(VLOOKUP($A2009,原始数据_利率互换_FR007_1年!$A$6:$C$4395,3,0),"")</f>
        <v>4.28</v>
      </c>
    </row>
    <row r="2010" spans="1:9">
      <c r="A2010" s="6">
        <v>41503</v>
      </c>
      <c r="B2010" t="str">
        <f>IFERROR(VLOOKUP($A2010,原始数据_收盘!$A$4:$G$3460,2,0),"")</f>
        <v/>
      </c>
      <c r="C2010" t="str">
        <f>IFERROR(VLOOKUP($A2010,原始数据_收盘!$A$4:$G$3460,3,0),"")</f>
        <v/>
      </c>
      <c r="D2010" t="str">
        <f>IFERROR(VLOOKUP($A2010,原始数据_收盘!$A$4:$G$3460,4,0),"")</f>
        <v/>
      </c>
      <c r="E2010" t="str">
        <f>IFERROR(VLOOKUP($A2010,原始数据_收盘!$A$4:$G$3460,5,0),"")</f>
        <v/>
      </c>
      <c r="F2010" t="str">
        <f>IFERROR(VLOOKUP($A2010,原始数据_收盘!$A$4:$G$3460,6,0),"")</f>
        <v/>
      </c>
      <c r="G2010" t="str">
        <f>IFERROR(VLOOKUP($A2010,原始数据_收盘!$A$4:$G$3460,7,0),"")</f>
        <v/>
      </c>
      <c r="H2010" t="str">
        <f>IFERROR(VLOOKUP($A2010,原始数据_利率互换_FR007_1年!$A$6:$C$4395,2,0),"")</f>
        <v/>
      </c>
      <c r="I2010" t="str">
        <f>IFERROR(VLOOKUP($A2010,原始数据_利率互换_FR007_1年!$A$6:$C$4395,3,0),"")</f>
        <v/>
      </c>
    </row>
    <row r="2011" spans="1:9">
      <c r="A2011" s="6">
        <v>41504</v>
      </c>
      <c r="B2011" t="str">
        <f>IFERROR(VLOOKUP($A2011,原始数据_收盘!$A$4:$G$3460,2,0),"")</f>
        <v/>
      </c>
      <c r="C2011" t="str">
        <f>IFERROR(VLOOKUP($A2011,原始数据_收盘!$A$4:$G$3460,3,0),"")</f>
        <v/>
      </c>
      <c r="D2011" t="str">
        <f>IFERROR(VLOOKUP($A2011,原始数据_收盘!$A$4:$G$3460,4,0),"")</f>
        <v/>
      </c>
      <c r="E2011" t="str">
        <f>IFERROR(VLOOKUP($A2011,原始数据_收盘!$A$4:$G$3460,5,0),"")</f>
        <v/>
      </c>
      <c r="F2011" t="str">
        <f>IFERROR(VLOOKUP($A2011,原始数据_收盘!$A$4:$G$3460,6,0),"")</f>
        <v/>
      </c>
      <c r="G2011" t="str">
        <f>IFERROR(VLOOKUP($A2011,原始数据_收盘!$A$4:$G$3460,7,0),"")</f>
        <v/>
      </c>
      <c r="H2011" t="str">
        <f>IFERROR(VLOOKUP($A2011,原始数据_利率互换_FR007_1年!$A$6:$C$4395,2,0),"")</f>
        <v/>
      </c>
      <c r="I2011" t="str">
        <f>IFERROR(VLOOKUP($A2011,原始数据_利率互换_FR007_1年!$A$6:$C$4395,3,0),"")</f>
        <v/>
      </c>
    </row>
    <row r="2012" spans="1:9">
      <c r="A2012" s="6">
        <v>41505</v>
      </c>
      <c r="B2012">
        <f>IFERROR(VLOOKUP($A2012,原始数据_收盘!$A$4:$G$3460,2,0),"")</f>
        <v>4.1229</v>
      </c>
      <c r="C2012">
        <f>IFERROR(VLOOKUP($A2012,原始数据_收盘!$A$4:$G$3460,3,0),"")</f>
        <v>4.3065</v>
      </c>
      <c r="D2012">
        <f>IFERROR(VLOOKUP($A2012,原始数据_收盘!$A$4:$G$3460,4,0),"")</f>
        <v>4.1868</v>
      </c>
      <c r="E2012">
        <f>IFERROR(VLOOKUP($A2012,原始数据_收盘!$A$4:$G$3460,5,0),"")</f>
        <v>4.3758</v>
      </c>
      <c r="F2012">
        <f>IFERROR(VLOOKUP($A2012,原始数据_收盘!$A$4:$G$3460,6,0),"")</f>
        <v>4.1549</v>
      </c>
      <c r="G2012">
        <f>IFERROR(VLOOKUP($A2012,原始数据_收盘!$A$4:$G$3460,7,0),"")</f>
        <v>4.3412</v>
      </c>
      <c r="H2012">
        <f>IFERROR(VLOOKUP($A2012,原始数据_利率互换_FR007_1年!$A$6:$C$4395,2,0),"")</f>
        <v>4.1476</v>
      </c>
      <c r="I2012">
        <f>IFERROR(VLOOKUP($A2012,原始数据_利率互换_FR007_1年!$A$6:$C$4395,3,0),"")</f>
        <v>4.3375</v>
      </c>
    </row>
    <row r="2013" spans="1:9">
      <c r="A2013" s="6">
        <v>41506</v>
      </c>
      <c r="B2013">
        <f>IFERROR(VLOOKUP($A2013,原始数据_收盘!$A$4:$G$3460,2,0),"")</f>
        <v>4.162</v>
      </c>
      <c r="C2013">
        <f>IFERROR(VLOOKUP($A2013,原始数据_收盘!$A$4:$G$3460,3,0),"")</f>
        <v>4.3143</v>
      </c>
      <c r="D2013">
        <f>IFERROR(VLOOKUP($A2013,原始数据_收盘!$A$4:$G$3460,4,0),"")</f>
        <v>4.22</v>
      </c>
      <c r="E2013">
        <f>IFERROR(VLOOKUP($A2013,原始数据_收盘!$A$4:$G$3460,5,0),"")</f>
        <v>4.3735</v>
      </c>
      <c r="F2013">
        <f>IFERROR(VLOOKUP($A2013,原始数据_收盘!$A$4:$G$3460,6,0),"")</f>
        <v>4.191</v>
      </c>
      <c r="G2013">
        <f>IFERROR(VLOOKUP($A2013,原始数据_收盘!$A$4:$G$3460,7,0),"")</f>
        <v>4.3439</v>
      </c>
      <c r="H2013">
        <f>IFERROR(VLOOKUP($A2013,原始数据_利率互换_FR007_1年!$A$6:$C$4395,2,0),"")</f>
        <v>4.1986</v>
      </c>
      <c r="I2013">
        <f>IFERROR(VLOOKUP($A2013,原始数据_利率互换_FR007_1年!$A$6:$C$4395,3,0),"")</f>
        <v>4.3483</v>
      </c>
    </row>
    <row r="2014" spans="1:9">
      <c r="A2014" s="6">
        <v>41507</v>
      </c>
      <c r="B2014">
        <f>IFERROR(VLOOKUP($A2014,原始数据_收盘!$A$4:$G$3460,2,0),"")</f>
        <v>4.1041</v>
      </c>
      <c r="C2014">
        <f>IFERROR(VLOOKUP($A2014,原始数据_收盘!$A$4:$G$3460,3,0),"")</f>
        <v>4.227</v>
      </c>
      <c r="D2014">
        <f>IFERROR(VLOOKUP($A2014,原始数据_收盘!$A$4:$G$3460,4,0),"")</f>
        <v>4.1551</v>
      </c>
      <c r="E2014">
        <f>IFERROR(VLOOKUP($A2014,原始数据_收盘!$A$4:$G$3460,5,0),"")</f>
        <v>4.2807</v>
      </c>
      <c r="F2014">
        <f>IFERROR(VLOOKUP($A2014,原始数据_收盘!$A$4:$G$3460,6,0),"")</f>
        <v>4.1296</v>
      </c>
      <c r="G2014">
        <f>IFERROR(VLOOKUP($A2014,原始数据_收盘!$A$4:$G$3460,7,0),"")</f>
        <v>4.2538</v>
      </c>
      <c r="H2014">
        <f>IFERROR(VLOOKUP($A2014,原始数据_利率互换_FR007_1年!$A$6:$C$4395,2,0),"")</f>
        <v>4.1389</v>
      </c>
      <c r="I2014">
        <f>IFERROR(VLOOKUP($A2014,原始数据_利率互换_FR007_1年!$A$6:$C$4395,3,0),"")</f>
        <v>4.2552</v>
      </c>
    </row>
    <row r="2015" spans="1:9">
      <c r="A2015" s="6">
        <v>41508</v>
      </c>
      <c r="B2015">
        <f>IFERROR(VLOOKUP($A2015,原始数据_收盘!$A$4:$G$3460,2,0),"")</f>
        <v>4.0809</v>
      </c>
      <c r="C2015">
        <f>IFERROR(VLOOKUP($A2015,原始数据_收盘!$A$4:$G$3460,3,0),"")</f>
        <v>4.2427</v>
      </c>
      <c r="D2015">
        <f>IFERROR(VLOOKUP($A2015,原始数据_收盘!$A$4:$G$3460,4,0),"")</f>
        <v>4.1414</v>
      </c>
      <c r="E2015">
        <f>IFERROR(VLOOKUP($A2015,原始数据_收盘!$A$4:$G$3460,5,0),"")</f>
        <v>4.3053</v>
      </c>
      <c r="F2015">
        <f>IFERROR(VLOOKUP($A2015,原始数据_收盘!$A$4:$G$3460,6,0),"")</f>
        <v>4.1112</v>
      </c>
      <c r="G2015">
        <f>IFERROR(VLOOKUP($A2015,原始数据_收盘!$A$4:$G$3460,7,0),"")</f>
        <v>4.274</v>
      </c>
      <c r="H2015">
        <f>IFERROR(VLOOKUP($A2015,原始数据_利率互换_FR007_1年!$A$6:$C$4395,2,0),"")</f>
        <v>4.095</v>
      </c>
      <c r="I2015">
        <f>IFERROR(VLOOKUP($A2015,原始数据_利率互换_FR007_1年!$A$6:$C$4395,3,0),"")</f>
        <v>4.2504</v>
      </c>
    </row>
    <row r="2016" spans="1:9">
      <c r="A2016" s="6">
        <v>41509</v>
      </c>
      <c r="B2016">
        <f>IFERROR(VLOOKUP($A2016,原始数据_收盘!$A$4:$G$3460,2,0),"")</f>
        <v>4.0739</v>
      </c>
      <c r="C2016">
        <f>IFERROR(VLOOKUP($A2016,原始数据_收盘!$A$4:$G$3460,3,0),"")</f>
        <v>4.2398</v>
      </c>
      <c r="D2016">
        <f>IFERROR(VLOOKUP($A2016,原始数据_收盘!$A$4:$G$3460,4,0),"")</f>
        <v>4.135</v>
      </c>
      <c r="E2016">
        <f>IFERROR(VLOOKUP($A2016,原始数据_收盘!$A$4:$G$3460,5,0),"")</f>
        <v>4.2996</v>
      </c>
      <c r="F2016">
        <f>IFERROR(VLOOKUP($A2016,原始数据_收盘!$A$4:$G$3460,6,0),"")</f>
        <v>4.1044</v>
      </c>
      <c r="G2016">
        <f>IFERROR(VLOOKUP($A2016,原始数据_收盘!$A$4:$G$3460,7,0),"")</f>
        <v>4.2697</v>
      </c>
      <c r="H2016">
        <f>IFERROR(VLOOKUP($A2016,原始数据_利率互换_FR007_1年!$A$6:$C$4395,2,0),"")</f>
        <v>4.0962</v>
      </c>
      <c r="I2016">
        <f>IFERROR(VLOOKUP($A2016,原始数据_利率互换_FR007_1年!$A$6:$C$4395,3,0),"")</f>
        <v>4.2911</v>
      </c>
    </row>
    <row r="2017" spans="1:9">
      <c r="A2017" s="6">
        <v>41510</v>
      </c>
      <c r="B2017" t="str">
        <f>IFERROR(VLOOKUP($A2017,原始数据_收盘!$A$4:$G$3460,2,0),"")</f>
        <v/>
      </c>
      <c r="C2017" t="str">
        <f>IFERROR(VLOOKUP($A2017,原始数据_收盘!$A$4:$G$3460,3,0),"")</f>
        <v/>
      </c>
      <c r="D2017" t="str">
        <f>IFERROR(VLOOKUP($A2017,原始数据_收盘!$A$4:$G$3460,4,0),"")</f>
        <v/>
      </c>
      <c r="E2017" t="str">
        <f>IFERROR(VLOOKUP($A2017,原始数据_收盘!$A$4:$G$3460,5,0),"")</f>
        <v/>
      </c>
      <c r="F2017" t="str">
        <f>IFERROR(VLOOKUP($A2017,原始数据_收盘!$A$4:$G$3460,6,0),"")</f>
        <v/>
      </c>
      <c r="G2017" t="str">
        <f>IFERROR(VLOOKUP($A2017,原始数据_收盘!$A$4:$G$3460,7,0),"")</f>
        <v/>
      </c>
      <c r="H2017" t="str">
        <f>IFERROR(VLOOKUP($A2017,原始数据_利率互换_FR007_1年!$A$6:$C$4395,2,0),"")</f>
        <v/>
      </c>
      <c r="I2017" t="str">
        <f>IFERROR(VLOOKUP($A2017,原始数据_利率互换_FR007_1年!$A$6:$C$4395,3,0),"")</f>
        <v/>
      </c>
    </row>
    <row r="2018" spans="1:9">
      <c r="A2018" s="6">
        <v>41511</v>
      </c>
      <c r="B2018" t="str">
        <f>IFERROR(VLOOKUP($A2018,原始数据_收盘!$A$4:$G$3460,2,0),"")</f>
        <v/>
      </c>
      <c r="C2018" t="str">
        <f>IFERROR(VLOOKUP($A2018,原始数据_收盘!$A$4:$G$3460,3,0),"")</f>
        <v/>
      </c>
      <c r="D2018" t="str">
        <f>IFERROR(VLOOKUP($A2018,原始数据_收盘!$A$4:$G$3460,4,0),"")</f>
        <v/>
      </c>
      <c r="E2018" t="str">
        <f>IFERROR(VLOOKUP($A2018,原始数据_收盘!$A$4:$G$3460,5,0),"")</f>
        <v/>
      </c>
      <c r="F2018" t="str">
        <f>IFERROR(VLOOKUP($A2018,原始数据_收盘!$A$4:$G$3460,6,0),"")</f>
        <v/>
      </c>
      <c r="G2018" t="str">
        <f>IFERROR(VLOOKUP($A2018,原始数据_收盘!$A$4:$G$3460,7,0),"")</f>
        <v/>
      </c>
      <c r="H2018" t="str">
        <f>IFERROR(VLOOKUP($A2018,原始数据_利率互换_FR007_1年!$A$6:$C$4395,2,0),"")</f>
        <v/>
      </c>
      <c r="I2018" t="str">
        <f>IFERROR(VLOOKUP($A2018,原始数据_利率互换_FR007_1年!$A$6:$C$4395,3,0),"")</f>
        <v/>
      </c>
    </row>
    <row r="2019" spans="1:9">
      <c r="A2019" s="6">
        <v>41512</v>
      </c>
      <c r="B2019">
        <f>IFERROR(VLOOKUP($A2019,原始数据_收盘!$A$4:$G$3460,2,0),"")</f>
        <v>4.0587</v>
      </c>
      <c r="C2019">
        <f>IFERROR(VLOOKUP($A2019,原始数据_收盘!$A$4:$G$3460,3,0),"")</f>
        <v>4.2497</v>
      </c>
      <c r="D2019">
        <f>IFERROR(VLOOKUP($A2019,原始数据_收盘!$A$4:$G$3460,4,0),"")</f>
        <v>4.1176</v>
      </c>
      <c r="E2019">
        <f>IFERROR(VLOOKUP($A2019,原始数据_收盘!$A$4:$G$3460,5,0),"")</f>
        <v>4.3077</v>
      </c>
      <c r="F2019">
        <f>IFERROR(VLOOKUP($A2019,原始数据_收盘!$A$4:$G$3460,6,0),"")</f>
        <v>4.0882</v>
      </c>
      <c r="G2019">
        <f>IFERROR(VLOOKUP($A2019,原始数据_收盘!$A$4:$G$3460,7,0),"")</f>
        <v>4.2787</v>
      </c>
      <c r="H2019">
        <f>IFERROR(VLOOKUP($A2019,原始数据_利率互换_FR007_1年!$A$6:$C$4395,2,0),"")</f>
        <v>4.0706</v>
      </c>
      <c r="I2019">
        <f>IFERROR(VLOOKUP($A2019,原始数据_利率互换_FR007_1年!$A$6:$C$4395,3,0),"")</f>
        <v>4.2521</v>
      </c>
    </row>
    <row r="2020" spans="1:9">
      <c r="A2020" s="6">
        <v>41513</v>
      </c>
      <c r="B2020">
        <f>IFERROR(VLOOKUP($A2020,原始数据_收盘!$A$4:$G$3460,2,0),"")</f>
        <v>4.0532</v>
      </c>
      <c r="C2020">
        <f>IFERROR(VLOOKUP($A2020,原始数据_收盘!$A$4:$G$3460,3,0),"")</f>
        <v>4.2382</v>
      </c>
      <c r="D2020">
        <f>IFERROR(VLOOKUP($A2020,原始数据_收盘!$A$4:$G$3460,4,0),"")</f>
        <v>4.1153</v>
      </c>
      <c r="E2020">
        <f>IFERROR(VLOOKUP($A2020,原始数据_收盘!$A$4:$G$3460,5,0),"")</f>
        <v>4.2983</v>
      </c>
      <c r="F2020">
        <f>IFERROR(VLOOKUP($A2020,原始数据_收盘!$A$4:$G$3460,6,0),"")</f>
        <v>4.0843</v>
      </c>
      <c r="G2020">
        <f>IFERROR(VLOOKUP($A2020,原始数据_收盘!$A$4:$G$3460,7,0),"")</f>
        <v>4.2683</v>
      </c>
      <c r="H2020">
        <f>IFERROR(VLOOKUP($A2020,原始数据_利率互换_FR007_1年!$A$6:$C$4395,2,0),"")</f>
        <v>4.0813</v>
      </c>
      <c r="I2020">
        <f>IFERROR(VLOOKUP($A2020,原始数据_利率互换_FR007_1年!$A$6:$C$4395,3,0),"")</f>
        <v>4.268</v>
      </c>
    </row>
    <row r="2021" spans="1:9">
      <c r="A2021" s="6">
        <v>41514</v>
      </c>
      <c r="B2021">
        <f>IFERROR(VLOOKUP($A2021,原始数据_收盘!$A$4:$G$3460,2,0),"")</f>
        <v>4.0605</v>
      </c>
      <c r="C2021">
        <f>IFERROR(VLOOKUP($A2021,原始数据_收盘!$A$4:$G$3460,3,0),"")</f>
        <v>4.2483</v>
      </c>
      <c r="D2021">
        <f>IFERROR(VLOOKUP($A2021,原始数据_收盘!$A$4:$G$3460,4,0),"")</f>
        <v>4.1222</v>
      </c>
      <c r="E2021">
        <f>IFERROR(VLOOKUP($A2021,原始数据_收盘!$A$4:$G$3460,5,0),"")</f>
        <v>4.3129</v>
      </c>
      <c r="F2021">
        <f>IFERROR(VLOOKUP($A2021,原始数据_收盘!$A$4:$G$3460,6,0),"")</f>
        <v>4.0914</v>
      </c>
      <c r="G2021">
        <f>IFERROR(VLOOKUP($A2021,原始数据_收盘!$A$4:$G$3460,7,0),"")</f>
        <v>4.2806</v>
      </c>
      <c r="H2021">
        <f>IFERROR(VLOOKUP($A2021,原始数据_利率互换_FR007_1年!$A$6:$C$4395,2,0),"")</f>
        <v>4.065</v>
      </c>
      <c r="I2021">
        <f>IFERROR(VLOOKUP($A2021,原始数据_利率互换_FR007_1年!$A$6:$C$4395,3,0),"")</f>
        <v>4.2586</v>
      </c>
    </row>
    <row r="2022" spans="1:9">
      <c r="A2022" s="6">
        <v>41515</v>
      </c>
      <c r="B2022">
        <f>IFERROR(VLOOKUP($A2022,原始数据_收盘!$A$4:$G$3460,2,0),"")</f>
        <v>4.1097</v>
      </c>
      <c r="C2022">
        <f>IFERROR(VLOOKUP($A2022,原始数据_收盘!$A$4:$G$3460,3,0),"")</f>
        <v>4.2785</v>
      </c>
      <c r="D2022">
        <f>IFERROR(VLOOKUP($A2022,原始数据_收盘!$A$4:$G$3460,4,0),"")</f>
        <v>4.1658</v>
      </c>
      <c r="E2022">
        <f>IFERROR(VLOOKUP($A2022,原始数据_收盘!$A$4:$G$3460,5,0),"")</f>
        <v>4.3352</v>
      </c>
      <c r="F2022">
        <f>IFERROR(VLOOKUP($A2022,原始数据_收盘!$A$4:$G$3460,6,0),"")</f>
        <v>4.1377</v>
      </c>
      <c r="G2022">
        <f>IFERROR(VLOOKUP($A2022,原始数据_收盘!$A$4:$G$3460,7,0),"")</f>
        <v>4.3068</v>
      </c>
      <c r="H2022">
        <f>IFERROR(VLOOKUP($A2022,原始数据_利率互换_FR007_1年!$A$6:$C$4395,2,0),"")</f>
        <v>4.1245</v>
      </c>
      <c r="I2022">
        <f>IFERROR(VLOOKUP($A2022,原始数据_利率互换_FR007_1年!$A$6:$C$4395,3,0),"")</f>
        <v>4.2969</v>
      </c>
    </row>
    <row r="2023" spans="1:9">
      <c r="A2023" s="6">
        <v>41516</v>
      </c>
      <c r="B2023">
        <f>IFERROR(VLOOKUP($A2023,原始数据_收盘!$A$4:$G$3460,2,0),"")</f>
        <v>4.0982</v>
      </c>
      <c r="C2023">
        <f>IFERROR(VLOOKUP($A2023,原始数据_收盘!$A$4:$G$3460,3,0),"")</f>
        <v>4.2603</v>
      </c>
      <c r="D2023">
        <f>IFERROR(VLOOKUP($A2023,原始数据_收盘!$A$4:$G$3460,4,0),"")</f>
        <v>4.1542</v>
      </c>
      <c r="E2023">
        <f>IFERROR(VLOOKUP($A2023,原始数据_收盘!$A$4:$G$3460,5,0),"")</f>
        <v>4.3192</v>
      </c>
      <c r="F2023">
        <f>IFERROR(VLOOKUP($A2023,原始数据_收盘!$A$4:$G$3460,6,0),"")</f>
        <v>4.1262</v>
      </c>
      <c r="G2023">
        <f>IFERROR(VLOOKUP($A2023,原始数据_收盘!$A$4:$G$3460,7,0),"")</f>
        <v>4.2898</v>
      </c>
      <c r="H2023">
        <f>IFERROR(VLOOKUP($A2023,原始数据_利率互换_FR007_1年!$A$6:$C$4395,2,0),"")</f>
        <v>4.1303</v>
      </c>
      <c r="I2023">
        <f>IFERROR(VLOOKUP($A2023,原始数据_利率互换_FR007_1年!$A$6:$C$4395,3,0),"")</f>
        <v>4.2827</v>
      </c>
    </row>
    <row r="2024" spans="1:9">
      <c r="A2024" s="6">
        <v>41517</v>
      </c>
      <c r="B2024" t="str">
        <f>IFERROR(VLOOKUP($A2024,原始数据_收盘!$A$4:$G$3460,2,0),"")</f>
        <v/>
      </c>
      <c r="C2024" t="str">
        <f>IFERROR(VLOOKUP($A2024,原始数据_收盘!$A$4:$G$3460,3,0),"")</f>
        <v/>
      </c>
      <c r="D2024" t="str">
        <f>IFERROR(VLOOKUP($A2024,原始数据_收盘!$A$4:$G$3460,4,0),"")</f>
        <v/>
      </c>
      <c r="E2024" t="str">
        <f>IFERROR(VLOOKUP($A2024,原始数据_收盘!$A$4:$G$3460,5,0),"")</f>
        <v/>
      </c>
      <c r="F2024" t="str">
        <f>IFERROR(VLOOKUP($A2024,原始数据_收盘!$A$4:$G$3460,6,0),"")</f>
        <v/>
      </c>
      <c r="G2024" t="str">
        <f>IFERROR(VLOOKUP($A2024,原始数据_收盘!$A$4:$G$3460,7,0),"")</f>
        <v/>
      </c>
      <c r="H2024" t="str">
        <f>IFERROR(VLOOKUP($A2024,原始数据_利率互换_FR007_1年!$A$6:$C$4395,2,0),"")</f>
        <v/>
      </c>
      <c r="I2024" t="str">
        <f>IFERROR(VLOOKUP($A2024,原始数据_利率互换_FR007_1年!$A$6:$C$4395,3,0),"")</f>
        <v/>
      </c>
    </row>
    <row r="2025" spans="1:9">
      <c r="A2025" s="6">
        <v>41518</v>
      </c>
      <c r="B2025" t="str">
        <f>IFERROR(VLOOKUP($A2025,原始数据_收盘!$A$4:$G$3460,2,0),"")</f>
        <v/>
      </c>
      <c r="C2025" t="str">
        <f>IFERROR(VLOOKUP($A2025,原始数据_收盘!$A$4:$G$3460,3,0),"")</f>
        <v/>
      </c>
      <c r="D2025" t="str">
        <f>IFERROR(VLOOKUP($A2025,原始数据_收盘!$A$4:$G$3460,4,0),"")</f>
        <v/>
      </c>
      <c r="E2025" t="str">
        <f>IFERROR(VLOOKUP($A2025,原始数据_收盘!$A$4:$G$3460,5,0),"")</f>
        <v/>
      </c>
      <c r="F2025" t="str">
        <f>IFERROR(VLOOKUP($A2025,原始数据_收盘!$A$4:$G$3460,6,0),"")</f>
        <v/>
      </c>
      <c r="G2025" t="str">
        <f>IFERROR(VLOOKUP($A2025,原始数据_收盘!$A$4:$G$3460,7,0),"")</f>
        <v/>
      </c>
      <c r="H2025" t="str">
        <f>IFERROR(VLOOKUP($A2025,原始数据_利率互换_FR007_1年!$A$6:$C$4395,2,0),"")</f>
        <v/>
      </c>
      <c r="I2025" t="str">
        <f>IFERROR(VLOOKUP($A2025,原始数据_利率互换_FR007_1年!$A$6:$C$4395,3,0),"")</f>
        <v/>
      </c>
    </row>
    <row r="2026" spans="1:9">
      <c r="A2026" s="6">
        <v>41519</v>
      </c>
      <c r="B2026">
        <f>IFERROR(VLOOKUP($A2026,原始数据_收盘!$A$4:$G$3460,2,0),"")</f>
        <v>4.1016</v>
      </c>
      <c r="C2026">
        <f>IFERROR(VLOOKUP($A2026,原始数据_收盘!$A$4:$G$3460,3,0),"")</f>
        <v>4.2831</v>
      </c>
      <c r="D2026">
        <f>IFERROR(VLOOKUP($A2026,原始数据_收盘!$A$4:$G$3460,4,0),"")</f>
        <v>4.1586</v>
      </c>
      <c r="E2026">
        <f>IFERROR(VLOOKUP($A2026,原始数据_收盘!$A$4:$G$3460,5,0),"")</f>
        <v>4.3417</v>
      </c>
      <c r="F2026">
        <f>IFERROR(VLOOKUP($A2026,原始数据_收盘!$A$4:$G$3460,6,0),"")</f>
        <v>4.1301</v>
      </c>
      <c r="G2026">
        <f>IFERROR(VLOOKUP($A2026,原始数据_收盘!$A$4:$G$3460,7,0),"")</f>
        <v>4.3124</v>
      </c>
      <c r="H2026">
        <f>IFERROR(VLOOKUP($A2026,原始数据_利率互换_FR007_1年!$A$6:$C$4395,2,0),"")</f>
        <v>4.1343</v>
      </c>
      <c r="I2026">
        <f>IFERROR(VLOOKUP($A2026,原始数据_利率互换_FR007_1年!$A$6:$C$4395,3,0),"")</f>
        <v>4.3089</v>
      </c>
    </row>
    <row r="2027" spans="1:9">
      <c r="A2027" s="6">
        <v>41520</v>
      </c>
      <c r="B2027">
        <f>IFERROR(VLOOKUP($A2027,原始数据_收盘!$A$4:$G$3460,2,0),"")</f>
        <v>4.1093</v>
      </c>
      <c r="C2027">
        <f>IFERROR(VLOOKUP($A2027,原始数据_收盘!$A$4:$G$3460,3,0),"")</f>
        <v>4.2975</v>
      </c>
      <c r="D2027">
        <f>IFERROR(VLOOKUP($A2027,原始数据_收盘!$A$4:$G$3460,4,0),"")</f>
        <v>4.1661</v>
      </c>
      <c r="E2027">
        <f>IFERROR(VLOOKUP($A2027,原始数据_收盘!$A$4:$G$3460,5,0),"")</f>
        <v>4.3576</v>
      </c>
      <c r="F2027">
        <f>IFERROR(VLOOKUP($A2027,原始数据_收盘!$A$4:$G$3460,6,0),"")</f>
        <v>4.1377</v>
      </c>
      <c r="G2027">
        <f>IFERROR(VLOOKUP($A2027,原始数据_收盘!$A$4:$G$3460,7,0),"")</f>
        <v>4.3276</v>
      </c>
      <c r="H2027">
        <f>IFERROR(VLOOKUP($A2027,原始数据_利率互换_FR007_1年!$A$6:$C$4395,2,0),"")</f>
        <v>4.1353</v>
      </c>
      <c r="I2027">
        <f>IFERROR(VLOOKUP($A2027,原始数据_利率互换_FR007_1年!$A$6:$C$4395,3,0),"")</f>
        <v>4.3141</v>
      </c>
    </row>
    <row r="2028" spans="1:9">
      <c r="A2028" s="6">
        <v>41521</v>
      </c>
      <c r="B2028">
        <f>IFERROR(VLOOKUP($A2028,原始数据_收盘!$A$4:$G$3460,2,0),"")</f>
        <v>4.095</v>
      </c>
      <c r="C2028">
        <f>IFERROR(VLOOKUP($A2028,原始数据_收盘!$A$4:$G$3460,3,0),"")</f>
        <v>4.3014</v>
      </c>
      <c r="D2028">
        <f>IFERROR(VLOOKUP($A2028,原始数据_收盘!$A$4:$G$3460,4,0),"")</f>
        <v>4.1536</v>
      </c>
      <c r="E2028">
        <f>IFERROR(VLOOKUP($A2028,原始数据_收盘!$A$4:$G$3460,5,0),"")</f>
        <v>4.3565</v>
      </c>
      <c r="F2028">
        <f>IFERROR(VLOOKUP($A2028,原始数据_收盘!$A$4:$G$3460,6,0),"")</f>
        <v>4.1243</v>
      </c>
      <c r="G2028">
        <f>IFERROR(VLOOKUP($A2028,原始数据_收盘!$A$4:$G$3460,7,0),"")</f>
        <v>4.329</v>
      </c>
      <c r="H2028">
        <f>IFERROR(VLOOKUP($A2028,原始数据_利率互换_FR007_1年!$A$6:$C$4395,2,0),"")</f>
        <v>4.1342</v>
      </c>
      <c r="I2028">
        <f>IFERROR(VLOOKUP($A2028,原始数据_利率互换_FR007_1年!$A$6:$C$4395,3,0),"")</f>
        <v>4.34</v>
      </c>
    </row>
    <row r="2029" spans="1:9">
      <c r="A2029" s="6">
        <v>41522</v>
      </c>
      <c r="B2029">
        <f>IFERROR(VLOOKUP($A2029,原始数据_收盘!$A$4:$G$3460,2,0),"")</f>
        <v>4.0607</v>
      </c>
      <c r="C2029">
        <f>IFERROR(VLOOKUP($A2029,原始数据_收盘!$A$4:$G$3460,3,0),"")</f>
        <v>4.2775</v>
      </c>
      <c r="D2029">
        <f>IFERROR(VLOOKUP($A2029,原始数据_收盘!$A$4:$G$3460,4,0),"")</f>
        <v>4.1193</v>
      </c>
      <c r="E2029">
        <f>IFERROR(VLOOKUP($A2029,原始数据_收盘!$A$4:$G$3460,5,0),"")</f>
        <v>4.3357</v>
      </c>
      <c r="F2029">
        <f>IFERROR(VLOOKUP($A2029,原始数据_收盘!$A$4:$G$3460,6,0),"")</f>
        <v>4.09</v>
      </c>
      <c r="G2029">
        <f>IFERROR(VLOOKUP($A2029,原始数据_收盘!$A$4:$G$3460,7,0),"")</f>
        <v>4.3066</v>
      </c>
      <c r="H2029">
        <f>IFERROR(VLOOKUP($A2029,原始数据_利率互换_FR007_1年!$A$6:$C$4395,2,0),"")</f>
        <v>4.0894</v>
      </c>
      <c r="I2029">
        <f>IFERROR(VLOOKUP($A2029,原始数据_利率互换_FR007_1年!$A$6:$C$4395,3,0),"")</f>
        <v>4.3036</v>
      </c>
    </row>
    <row r="2030" spans="1:9">
      <c r="A2030" s="6">
        <v>41523</v>
      </c>
      <c r="B2030">
        <f>IFERROR(VLOOKUP($A2030,原始数据_收盘!$A$4:$G$3460,2,0),"")</f>
        <v>4.0608</v>
      </c>
      <c r="C2030">
        <f>IFERROR(VLOOKUP($A2030,原始数据_收盘!$A$4:$G$3460,3,0),"")</f>
        <v>4.2827</v>
      </c>
      <c r="D2030">
        <f>IFERROR(VLOOKUP($A2030,原始数据_收盘!$A$4:$G$3460,4,0),"")</f>
        <v>4.1135</v>
      </c>
      <c r="E2030">
        <f>IFERROR(VLOOKUP($A2030,原始数据_收盘!$A$4:$G$3460,5,0),"")</f>
        <v>4.3377</v>
      </c>
      <c r="F2030">
        <f>IFERROR(VLOOKUP($A2030,原始数据_收盘!$A$4:$G$3460,6,0),"")</f>
        <v>4.0871</v>
      </c>
      <c r="G2030">
        <f>IFERROR(VLOOKUP($A2030,原始数据_收盘!$A$4:$G$3460,7,0),"")</f>
        <v>4.3102</v>
      </c>
      <c r="H2030">
        <f>IFERROR(VLOOKUP($A2030,原始数据_利率互换_FR007_1年!$A$6:$C$4395,2,0),"")</f>
        <v>4.0848</v>
      </c>
      <c r="I2030">
        <f>IFERROR(VLOOKUP($A2030,原始数据_利率互换_FR007_1年!$A$6:$C$4395,3,0),"")</f>
        <v>4.3101</v>
      </c>
    </row>
    <row r="2031" spans="1:9">
      <c r="A2031" s="6">
        <v>41524</v>
      </c>
      <c r="B2031" t="str">
        <f>IFERROR(VLOOKUP($A2031,原始数据_收盘!$A$4:$G$3460,2,0),"")</f>
        <v/>
      </c>
      <c r="C2031" t="str">
        <f>IFERROR(VLOOKUP($A2031,原始数据_收盘!$A$4:$G$3460,3,0),"")</f>
        <v/>
      </c>
      <c r="D2031" t="str">
        <f>IFERROR(VLOOKUP($A2031,原始数据_收盘!$A$4:$G$3460,4,0),"")</f>
        <v/>
      </c>
      <c r="E2031" t="str">
        <f>IFERROR(VLOOKUP($A2031,原始数据_收盘!$A$4:$G$3460,5,0),"")</f>
        <v/>
      </c>
      <c r="F2031" t="str">
        <f>IFERROR(VLOOKUP($A2031,原始数据_收盘!$A$4:$G$3460,6,0),"")</f>
        <v/>
      </c>
      <c r="G2031" t="str">
        <f>IFERROR(VLOOKUP($A2031,原始数据_收盘!$A$4:$G$3460,7,0),"")</f>
        <v/>
      </c>
      <c r="H2031" t="str">
        <f>IFERROR(VLOOKUP($A2031,原始数据_利率互换_FR007_1年!$A$6:$C$4395,2,0),"")</f>
        <v/>
      </c>
      <c r="I2031" t="str">
        <f>IFERROR(VLOOKUP($A2031,原始数据_利率互换_FR007_1年!$A$6:$C$4395,3,0),"")</f>
        <v/>
      </c>
    </row>
    <row r="2032" spans="1:9">
      <c r="A2032" s="6">
        <v>41525</v>
      </c>
      <c r="B2032" t="str">
        <f>IFERROR(VLOOKUP($A2032,原始数据_收盘!$A$4:$G$3460,2,0),"")</f>
        <v/>
      </c>
      <c r="C2032" t="str">
        <f>IFERROR(VLOOKUP($A2032,原始数据_收盘!$A$4:$G$3460,3,0),"")</f>
        <v/>
      </c>
      <c r="D2032" t="str">
        <f>IFERROR(VLOOKUP($A2032,原始数据_收盘!$A$4:$G$3460,4,0),"")</f>
        <v/>
      </c>
      <c r="E2032" t="str">
        <f>IFERROR(VLOOKUP($A2032,原始数据_收盘!$A$4:$G$3460,5,0),"")</f>
        <v/>
      </c>
      <c r="F2032" t="str">
        <f>IFERROR(VLOOKUP($A2032,原始数据_收盘!$A$4:$G$3460,6,0),"")</f>
        <v/>
      </c>
      <c r="G2032" t="str">
        <f>IFERROR(VLOOKUP($A2032,原始数据_收盘!$A$4:$G$3460,7,0),"")</f>
        <v/>
      </c>
      <c r="H2032" t="str">
        <f>IFERROR(VLOOKUP($A2032,原始数据_利率互换_FR007_1年!$A$6:$C$4395,2,0),"")</f>
        <v/>
      </c>
      <c r="I2032" t="str">
        <f>IFERROR(VLOOKUP($A2032,原始数据_利率互换_FR007_1年!$A$6:$C$4395,3,0),"")</f>
        <v/>
      </c>
    </row>
    <row r="2033" spans="1:9">
      <c r="A2033" s="6">
        <v>41526</v>
      </c>
      <c r="B2033">
        <f>IFERROR(VLOOKUP($A2033,原始数据_收盘!$A$4:$G$3460,2,0),"")</f>
        <v>4.0878</v>
      </c>
      <c r="C2033">
        <f>IFERROR(VLOOKUP($A2033,原始数据_收盘!$A$4:$G$3460,3,0),"")</f>
        <v>4.3011</v>
      </c>
      <c r="D2033">
        <f>IFERROR(VLOOKUP($A2033,原始数据_收盘!$A$4:$G$3460,4,0),"")</f>
        <v>4.1425</v>
      </c>
      <c r="E2033">
        <f>IFERROR(VLOOKUP($A2033,原始数据_收盘!$A$4:$G$3460,5,0),"")</f>
        <v>4.3643</v>
      </c>
      <c r="F2033">
        <f>IFERROR(VLOOKUP($A2033,原始数据_收盘!$A$4:$G$3460,6,0),"")</f>
        <v>4.1151</v>
      </c>
      <c r="G2033">
        <f>IFERROR(VLOOKUP($A2033,原始数据_收盘!$A$4:$G$3460,7,0),"")</f>
        <v>4.3327</v>
      </c>
      <c r="H2033">
        <f>IFERROR(VLOOKUP($A2033,原始数据_利率互换_FR007_1年!$A$6:$C$4395,2,0),"")</f>
        <v>4.1088</v>
      </c>
      <c r="I2033">
        <f>IFERROR(VLOOKUP($A2033,原始数据_利率互换_FR007_1年!$A$6:$C$4395,3,0),"")</f>
        <v>4.3292</v>
      </c>
    </row>
    <row r="2034" spans="1:9">
      <c r="A2034" s="6">
        <v>41527</v>
      </c>
      <c r="B2034">
        <f>IFERROR(VLOOKUP($A2034,原始数据_收盘!$A$4:$G$3460,2,0),"")</f>
        <v>4.108</v>
      </c>
      <c r="C2034">
        <f>IFERROR(VLOOKUP($A2034,原始数据_收盘!$A$4:$G$3460,3,0),"")</f>
        <v>4.3208</v>
      </c>
      <c r="D2034">
        <f>IFERROR(VLOOKUP($A2034,原始数据_收盘!$A$4:$G$3460,4,0),"")</f>
        <v>4.1687</v>
      </c>
      <c r="E2034">
        <f>IFERROR(VLOOKUP($A2034,原始数据_收盘!$A$4:$G$3460,5,0),"")</f>
        <v>4.3869</v>
      </c>
      <c r="F2034">
        <f>IFERROR(VLOOKUP($A2034,原始数据_收盘!$A$4:$G$3460,6,0),"")</f>
        <v>4.1383</v>
      </c>
      <c r="G2034">
        <f>IFERROR(VLOOKUP($A2034,原始数据_收盘!$A$4:$G$3460,7,0),"")</f>
        <v>4.3538</v>
      </c>
      <c r="H2034">
        <f>IFERROR(VLOOKUP($A2034,原始数据_利率互换_FR007_1年!$A$6:$C$4395,2,0),"")</f>
        <v>4.1373</v>
      </c>
      <c r="I2034">
        <f>IFERROR(VLOOKUP($A2034,原始数据_利率互换_FR007_1年!$A$6:$C$4395,3,0),"")</f>
        <v>4.34</v>
      </c>
    </row>
    <row r="2035" spans="1:9">
      <c r="A2035" s="6">
        <v>41528</v>
      </c>
      <c r="B2035">
        <f>IFERROR(VLOOKUP($A2035,原始数据_收盘!$A$4:$G$3460,2,0),"")</f>
        <v>4.1399</v>
      </c>
      <c r="C2035">
        <f>IFERROR(VLOOKUP($A2035,原始数据_收盘!$A$4:$G$3460,3,0),"")</f>
        <v>4.3576</v>
      </c>
      <c r="D2035">
        <f>IFERROR(VLOOKUP($A2035,原始数据_收盘!$A$4:$G$3460,4,0),"")</f>
        <v>4.2001</v>
      </c>
      <c r="E2035">
        <f>IFERROR(VLOOKUP($A2035,原始数据_收盘!$A$4:$G$3460,5,0),"")</f>
        <v>4.4185</v>
      </c>
      <c r="F2035">
        <f>IFERROR(VLOOKUP($A2035,原始数据_收盘!$A$4:$G$3460,6,0),"")</f>
        <v>4.17</v>
      </c>
      <c r="G2035">
        <f>IFERROR(VLOOKUP($A2035,原始数据_收盘!$A$4:$G$3460,7,0),"")</f>
        <v>4.388</v>
      </c>
      <c r="H2035">
        <f>IFERROR(VLOOKUP($A2035,原始数据_利率互换_FR007_1年!$A$6:$C$4395,2,0),"")</f>
        <v>4.1704</v>
      </c>
      <c r="I2035">
        <f>IFERROR(VLOOKUP($A2035,原始数据_利率互换_FR007_1年!$A$6:$C$4395,3,0),"")</f>
        <v>4.3814</v>
      </c>
    </row>
    <row r="2036" spans="1:9">
      <c r="A2036" s="6">
        <v>41529</v>
      </c>
      <c r="B2036">
        <f>IFERROR(VLOOKUP($A2036,原始数据_收盘!$A$4:$G$3460,2,0),"")</f>
        <v>4.1025</v>
      </c>
      <c r="C2036">
        <f>IFERROR(VLOOKUP($A2036,原始数据_收盘!$A$4:$G$3460,3,0),"")</f>
        <v>4.3189</v>
      </c>
      <c r="D2036">
        <f>IFERROR(VLOOKUP($A2036,原始数据_收盘!$A$4:$G$3460,4,0),"")</f>
        <v>4.1575</v>
      </c>
      <c r="E2036">
        <f>IFERROR(VLOOKUP($A2036,原始数据_收盘!$A$4:$G$3460,5,0),"")</f>
        <v>4.3795</v>
      </c>
      <c r="F2036">
        <f>IFERROR(VLOOKUP($A2036,原始数据_收盘!$A$4:$G$3460,6,0),"")</f>
        <v>4.13</v>
      </c>
      <c r="G2036">
        <f>IFERROR(VLOOKUP($A2036,原始数据_收盘!$A$4:$G$3460,7,0),"")</f>
        <v>4.3492</v>
      </c>
      <c r="H2036">
        <f>IFERROR(VLOOKUP($A2036,原始数据_利率互换_FR007_1年!$A$6:$C$4395,2,0),"")</f>
        <v>4.1502</v>
      </c>
      <c r="I2036">
        <f>IFERROR(VLOOKUP($A2036,原始数据_利率互换_FR007_1年!$A$6:$C$4395,3,0),"")</f>
        <v>4.3648</v>
      </c>
    </row>
    <row r="2037" spans="1:9">
      <c r="A2037" s="6">
        <v>41530</v>
      </c>
      <c r="B2037">
        <f>IFERROR(VLOOKUP($A2037,原始数据_收盘!$A$4:$G$3460,2,0),"")</f>
        <v>4.071</v>
      </c>
      <c r="C2037">
        <f>IFERROR(VLOOKUP($A2037,原始数据_收盘!$A$4:$G$3460,3,0),"")</f>
        <v>4.3031</v>
      </c>
      <c r="D2037">
        <f>IFERROR(VLOOKUP($A2037,原始数据_收盘!$A$4:$G$3460,4,0),"")</f>
        <v>4.1314</v>
      </c>
      <c r="E2037">
        <f>IFERROR(VLOOKUP($A2037,原始数据_收盘!$A$4:$G$3460,5,0),"")</f>
        <v>4.3643</v>
      </c>
      <c r="F2037">
        <f>IFERROR(VLOOKUP($A2037,原始数据_收盘!$A$4:$G$3460,6,0),"")</f>
        <v>4.1012</v>
      </c>
      <c r="G2037">
        <f>IFERROR(VLOOKUP($A2037,原始数据_收盘!$A$4:$G$3460,7,0),"")</f>
        <v>4.3337</v>
      </c>
      <c r="H2037">
        <f>IFERROR(VLOOKUP($A2037,原始数据_利率互换_FR007_1年!$A$6:$C$4395,2,0),"")</f>
        <v>4.0873</v>
      </c>
      <c r="I2037">
        <f>IFERROR(VLOOKUP($A2037,原始数据_利率互换_FR007_1年!$A$6:$C$4395,3,0),"")</f>
        <v>4.328</v>
      </c>
    </row>
    <row r="2038" spans="1:9">
      <c r="A2038" s="6">
        <v>41531</v>
      </c>
      <c r="B2038" t="str">
        <f>IFERROR(VLOOKUP($A2038,原始数据_收盘!$A$4:$G$3460,2,0),"")</f>
        <v/>
      </c>
      <c r="C2038" t="str">
        <f>IFERROR(VLOOKUP($A2038,原始数据_收盘!$A$4:$G$3460,3,0),"")</f>
        <v/>
      </c>
      <c r="D2038" t="str">
        <f>IFERROR(VLOOKUP($A2038,原始数据_收盘!$A$4:$G$3460,4,0),"")</f>
        <v/>
      </c>
      <c r="E2038" t="str">
        <f>IFERROR(VLOOKUP($A2038,原始数据_收盘!$A$4:$G$3460,5,0),"")</f>
        <v/>
      </c>
      <c r="F2038" t="str">
        <f>IFERROR(VLOOKUP($A2038,原始数据_收盘!$A$4:$G$3460,6,0),"")</f>
        <v/>
      </c>
      <c r="G2038" t="str">
        <f>IFERROR(VLOOKUP($A2038,原始数据_收盘!$A$4:$G$3460,7,0),"")</f>
        <v/>
      </c>
      <c r="H2038" t="str">
        <f>IFERROR(VLOOKUP($A2038,原始数据_利率互换_FR007_1年!$A$6:$C$4395,2,0),"")</f>
        <v/>
      </c>
      <c r="I2038" t="str">
        <f>IFERROR(VLOOKUP($A2038,原始数据_利率互换_FR007_1年!$A$6:$C$4395,3,0),"")</f>
        <v/>
      </c>
    </row>
    <row r="2039" spans="1:9">
      <c r="A2039" s="6">
        <v>41532</v>
      </c>
      <c r="B2039" t="str">
        <f>IFERROR(VLOOKUP($A2039,原始数据_收盘!$A$4:$G$3460,2,0),"")</f>
        <v/>
      </c>
      <c r="C2039" t="str">
        <f>IFERROR(VLOOKUP($A2039,原始数据_收盘!$A$4:$G$3460,3,0),"")</f>
        <v/>
      </c>
      <c r="D2039" t="str">
        <f>IFERROR(VLOOKUP($A2039,原始数据_收盘!$A$4:$G$3460,4,0),"")</f>
        <v/>
      </c>
      <c r="E2039" t="str">
        <f>IFERROR(VLOOKUP($A2039,原始数据_收盘!$A$4:$G$3460,5,0),"")</f>
        <v/>
      </c>
      <c r="F2039" t="str">
        <f>IFERROR(VLOOKUP($A2039,原始数据_收盘!$A$4:$G$3460,6,0),"")</f>
        <v/>
      </c>
      <c r="G2039" t="str">
        <f>IFERROR(VLOOKUP($A2039,原始数据_收盘!$A$4:$G$3460,7,0),"")</f>
        <v/>
      </c>
      <c r="H2039" t="str">
        <f>IFERROR(VLOOKUP($A2039,原始数据_利率互换_FR007_1年!$A$6:$C$4395,2,0),"")</f>
        <v/>
      </c>
      <c r="I2039" t="str">
        <f>IFERROR(VLOOKUP($A2039,原始数据_利率互换_FR007_1年!$A$6:$C$4395,3,0),"")</f>
        <v/>
      </c>
    </row>
    <row r="2040" spans="1:9">
      <c r="A2040" s="6">
        <v>41533</v>
      </c>
      <c r="B2040">
        <f>IFERROR(VLOOKUP($A2040,原始数据_收盘!$A$4:$G$3460,2,0),"")</f>
        <v>4.0156</v>
      </c>
      <c r="C2040">
        <f>IFERROR(VLOOKUP($A2040,原始数据_收盘!$A$4:$G$3460,3,0),"")</f>
        <v>4.2083</v>
      </c>
      <c r="D2040">
        <f>IFERROR(VLOOKUP($A2040,原始数据_收盘!$A$4:$G$3460,4,0),"")</f>
        <v>4.0698</v>
      </c>
      <c r="E2040">
        <f>IFERROR(VLOOKUP($A2040,原始数据_收盘!$A$4:$G$3460,5,0),"")</f>
        <v>4.2688</v>
      </c>
      <c r="F2040">
        <f>IFERROR(VLOOKUP($A2040,原始数据_收盘!$A$4:$G$3460,6,0),"")</f>
        <v>4.0427</v>
      </c>
      <c r="G2040">
        <f>IFERROR(VLOOKUP($A2040,原始数据_收盘!$A$4:$G$3460,7,0),"")</f>
        <v>4.2385</v>
      </c>
      <c r="H2040">
        <f>IFERROR(VLOOKUP($A2040,原始数据_利率互换_FR007_1年!$A$6:$C$4395,2,0),"")</f>
        <v>4.0517</v>
      </c>
      <c r="I2040">
        <f>IFERROR(VLOOKUP($A2040,原始数据_利率互换_FR007_1年!$A$6:$C$4395,3,0),"")</f>
        <v>4.2616</v>
      </c>
    </row>
    <row r="2041" spans="1:9">
      <c r="A2041" s="6">
        <v>41534</v>
      </c>
      <c r="B2041">
        <f>IFERROR(VLOOKUP($A2041,原始数据_收盘!$A$4:$G$3460,2,0),"")</f>
        <v>4.0023</v>
      </c>
      <c r="C2041">
        <f>IFERROR(VLOOKUP($A2041,原始数据_收盘!$A$4:$G$3460,3,0),"")</f>
        <v>4.1758</v>
      </c>
      <c r="D2041">
        <f>IFERROR(VLOOKUP($A2041,原始数据_收盘!$A$4:$G$3460,4,0),"")</f>
        <v>4.0628</v>
      </c>
      <c r="E2041">
        <f>IFERROR(VLOOKUP($A2041,原始数据_收盘!$A$4:$G$3460,5,0),"")</f>
        <v>4.2377</v>
      </c>
      <c r="F2041">
        <f>IFERROR(VLOOKUP($A2041,原始数据_收盘!$A$4:$G$3460,6,0),"")</f>
        <v>4.0326</v>
      </c>
      <c r="G2041">
        <f>IFERROR(VLOOKUP($A2041,原始数据_收盘!$A$4:$G$3460,7,0),"")</f>
        <v>4.2068</v>
      </c>
      <c r="H2041">
        <f>IFERROR(VLOOKUP($A2041,原始数据_利率互换_FR007_1年!$A$6:$C$4395,2,0),"")</f>
        <v>4.0349</v>
      </c>
      <c r="I2041">
        <f>IFERROR(VLOOKUP($A2041,原始数据_利率互换_FR007_1年!$A$6:$C$4395,3,0),"")</f>
        <v>4.1982</v>
      </c>
    </row>
    <row r="2042" spans="1:9">
      <c r="A2042" s="6">
        <v>41535</v>
      </c>
      <c r="B2042">
        <f>IFERROR(VLOOKUP($A2042,原始数据_收盘!$A$4:$G$3460,2,0),"")</f>
        <v>4.0213</v>
      </c>
      <c r="C2042">
        <f>IFERROR(VLOOKUP($A2042,原始数据_收盘!$A$4:$G$3460,3,0),"")</f>
        <v>4.1972</v>
      </c>
      <c r="D2042">
        <f>IFERROR(VLOOKUP($A2042,原始数据_收盘!$A$4:$G$3460,4,0),"")</f>
        <v>4.0846</v>
      </c>
      <c r="E2042">
        <f>IFERROR(VLOOKUP($A2042,原始数据_收盘!$A$4:$G$3460,5,0),"")</f>
        <v>4.2543</v>
      </c>
      <c r="F2042">
        <f>IFERROR(VLOOKUP($A2042,原始数据_收盘!$A$4:$G$3460,6,0),"")</f>
        <v>4.0529</v>
      </c>
      <c r="G2042">
        <f>IFERROR(VLOOKUP($A2042,原始数据_收盘!$A$4:$G$3460,7,0),"")</f>
        <v>4.2258</v>
      </c>
      <c r="H2042">
        <f>IFERROR(VLOOKUP($A2042,原始数据_利率互换_FR007_1年!$A$6:$C$4395,2,0),"")</f>
        <v>4.0315</v>
      </c>
      <c r="I2042">
        <f>IFERROR(VLOOKUP($A2042,原始数据_利率互换_FR007_1年!$A$6:$C$4395,3,0),"")</f>
        <v>4.1856</v>
      </c>
    </row>
    <row r="2043" spans="1:9">
      <c r="A2043" s="6">
        <v>41536</v>
      </c>
      <c r="B2043" t="str">
        <f>IFERROR(VLOOKUP($A2043,原始数据_收盘!$A$4:$G$3460,2,0),"")</f>
        <v/>
      </c>
      <c r="C2043" t="str">
        <f>IFERROR(VLOOKUP($A2043,原始数据_收盘!$A$4:$G$3460,3,0),"")</f>
        <v/>
      </c>
      <c r="D2043" t="str">
        <f>IFERROR(VLOOKUP($A2043,原始数据_收盘!$A$4:$G$3460,4,0),"")</f>
        <v/>
      </c>
      <c r="E2043" t="str">
        <f>IFERROR(VLOOKUP($A2043,原始数据_收盘!$A$4:$G$3460,5,0),"")</f>
        <v/>
      </c>
      <c r="F2043" t="str">
        <f>IFERROR(VLOOKUP($A2043,原始数据_收盘!$A$4:$G$3460,6,0),"")</f>
        <v/>
      </c>
      <c r="G2043" t="str">
        <f>IFERROR(VLOOKUP($A2043,原始数据_收盘!$A$4:$G$3460,7,0),"")</f>
        <v/>
      </c>
      <c r="H2043" t="str">
        <f>IFERROR(VLOOKUP($A2043,原始数据_利率互换_FR007_1年!$A$6:$C$4395,2,0),"")</f>
        <v/>
      </c>
      <c r="I2043" t="str">
        <f>IFERROR(VLOOKUP($A2043,原始数据_利率互换_FR007_1年!$A$6:$C$4395,3,0),"")</f>
        <v/>
      </c>
    </row>
    <row r="2044" spans="1:9">
      <c r="A2044" s="6">
        <v>41537</v>
      </c>
      <c r="B2044" t="str">
        <f>IFERROR(VLOOKUP($A2044,原始数据_收盘!$A$4:$G$3460,2,0),"")</f>
        <v/>
      </c>
      <c r="C2044" t="str">
        <f>IFERROR(VLOOKUP($A2044,原始数据_收盘!$A$4:$G$3460,3,0),"")</f>
        <v/>
      </c>
      <c r="D2044" t="str">
        <f>IFERROR(VLOOKUP($A2044,原始数据_收盘!$A$4:$G$3460,4,0),"")</f>
        <v/>
      </c>
      <c r="E2044" t="str">
        <f>IFERROR(VLOOKUP($A2044,原始数据_收盘!$A$4:$G$3460,5,0),"")</f>
        <v/>
      </c>
      <c r="F2044" t="str">
        <f>IFERROR(VLOOKUP($A2044,原始数据_收盘!$A$4:$G$3460,6,0),"")</f>
        <v/>
      </c>
      <c r="G2044" t="str">
        <f>IFERROR(VLOOKUP($A2044,原始数据_收盘!$A$4:$G$3460,7,0),"")</f>
        <v/>
      </c>
      <c r="H2044" t="str">
        <f>IFERROR(VLOOKUP($A2044,原始数据_利率互换_FR007_1年!$A$6:$C$4395,2,0),"")</f>
        <v/>
      </c>
      <c r="I2044" t="str">
        <f>IFERROR(VLOOKUP($A2044,原始数据_利率互换_FR007_1年!$A$6:$C$4395,3,0),"")</f>
        <v/>
      </c>
    </row>
    <row r="2045" spans="1:9">
      <c r="A2045" s="6">
        <v>41538</v>
      </c>
      <c r="B2045" t="str">
        <f>IFERROR(VLOOKUP($A2045,原始数据_收盘!$A$4:$G$3460,2,0),"")</f>
        <v/>
      </c>
      <c r="C2045" t="str">
        <f>IFERROR(VLOOKUP($A2045,原始数据_收盘!$A$4:$G$3460,3,0),"")</f>
        <v/>
      </c>
      <c r="D2045" t="str">
        <f>IFERROR(VLOOKUP($A2045,原始数据_收盘!$A$4:$G$3460,4,0),"")</f>
        <v/>
      </c>
      <c r="E2045" t="str">
        <f>IFERROR(VLOOKUP($A2045,原始数据_收盘!$A$4:$G$3460,5,0),"")</f>
        <v/>
      </c>
      <c r="F2045" t="str">
        <f>IFERROR(VLOOKUP($A2045,原始数据_收盘!$A$4:$G$3460,6,0),"")</f>
        <v/>
      </c>
      <c r="G2045" t="str">
        <f>IFERROR(VLOOKUP($A2045,原始数据_收盘!$A$4:$G$3460,7,0),"")</f>
        <v/>
      </c>
      <c r="H2045" t="str">
        <f>IFERROR(VLOOKUP($A2045,原始数据_利率互换_FR007_1年!$A$6:$C$4395,2,0),"")</f>
        <v/>
      </c>
      <c r="I2045" t="str">
        <f>IFERROR(VLOOKUP($A2045,原始数据_利率互换_FR007_1年!$A$6:$C$4395,3,0),"")</f>
        <v/>
      </c>
    </row>
    <row r="2046" spans="1:9">
      <c r="A2046" s="6">
        <v>41539</v>
      </c>
      <c r="B2046">
        <f>IFERROR(VLOOKUP($A2046,原始数据_收盘!$A$4:$G$3460,2,0),"")</f>
        <v>4.0183</v>
      </c>
      <c r="C2046">
        <f>IFERROR(VLOOKUP($A2046,原始数据_收盘!$A$4:$G$3460,3,0),"")</f>
        <v>4.1685</v>
      </c>
      <c r="D2046">
        <f>IFERROR(VLOOKUP($A2046,原始数据_收盘!$A$4:$G$3460,4,0),"")</f>
        <v>4.0841</v>
      </c>
      <c r="E2046">
        <f>IFERROR(VLOOKUP($A2046,原始数据_收盘!$A$4:$G$3460,5,0),"")</f>
        <v>4.2376</v>
      </c>
      <c r="F2046">
        <f>IFERROR(VLOOKUP($A2046,原始数据_收盘!$A$4:$G$3460,6,0),"")</f>
        <v>4.0512</v>
      </c>
      <c r="G2046">
        <f>IFERROR(VLOOKUP($A2046,原始数据_收盘!$A$4:$G$3460,7,0),"")</f>
        <v>4.203</v>
      </c>
      <c r="H2046">
        <f>IFERROR(VLOOKUP($A2046,原始数据_利率互换_FR007_1年!$A$6:$C$4395,2,0),"")</f>
        <v>4.05</v>
      </c>
      <c r="I2046">
        <f>IFERROR(VLOOKUP($A2046,原始数据_利率互换_FR007_1年!$A$6:$C$4395,3,0),"")</f>
        <v>0</v>
      </c>
    </row>
    <row r="2047" spans="1:9">
      <c r="A2047" s="6">
        <v>41540</v>
      </c>
      <c r="B2047">
        <f>IFERROR(VLOOKUP($A2047,原始数据_收盘!$A$4:$G$3460,2,0),"")</f>
        <v>4.0477</v>
      </c>
      <c r="C2047">
        <f>IFERROR(VLOOKUP($A2047,原始数据_收盘!$A$4:$G$3460,3,0),"")</f>
        <v>4.195</v>
      </c>
      <c r="D2047">
        <f>IFERROR(VLOOKUP($A2047,原始数据_收盘!$A$4:$G$3460,4,0),"")</f>
        <v>4.1154</v>
      </c>
      <c r="E2047">
        <f>IFERROR(VLOOKUP($A2047,原始数据_收盘!$A$4:$G$3460,5,0),"")</f>
        <v>4.2568</v>
      </c>
      <c r="F2047">
        <f>IFERROR(VLOOKUP($A2047,原始数据_收盘!$A$4:$G$3460,6,0),"")</f>
        <v>4.0815</v>
      </c>
      <c r="G2047">
        <f>IFERROR(VLOOKUP($A2047,原始数据_收盘!$A$4:$G$3460,7,0),"")</f>
        <v>4.2259</v>
      </c>
      <c r="H2047">
        <f>IFERROR(VLOOKUP($A2047,原始数据_利率互换_FR007_1年!$A$6:$C$4395,2,0),"")</f>
        <v>4.0888</v>
      </c>
      <c r="I2047">
        <f>IFERROR(VLOOKUP($A2047,原始数据_利率互换_FR007_1年!$A$6:$C$4395,3,0),"")</f>
        <v>4.2183</v>
      </c>
    </row>
    <row r="2048" spans="1:9">
      <c r="A2048" s="6">
        <v>41541</v>
      </c>
      <c r="B2048">
        <f>IFERROR(VLOOKUP($A2048,原始数据_收盘!$A$4:$G$3460,2,0),"")</f>
        <v>4.0115</v>
      </c>
      <c r="C2048">
        <f>IFERROR(VLOOKUP($A2048,原始数据_收盘!$A$4:$G$3460,3,0),"")</f>
        <v>4.1836</v>
      </c>
      <c r="D2048">
        <f>IFERROR(VLOOKUP($A2048,原始数据_收盘!$A$4:$G$3460,4,0),"")</f>
        <v>4.0692</v>
      </c>
      <c r="E2048">
        <f>IFERROR(VLOOKUP($A2048,原始数据_收盘!$A$4:$G$3460,5,0),"")</f>
        <v>4.2411</v>
      </c>
      <c r="F2048">
        <f>IFERROR(VLOOKUP($A2048,原始数据_收盘!$A$4:$G$3460,6,0),"")</f>
        <v>4.0404</v>
      </c>
      <c r="G2048">
        <f>IFERROR(VLOOKUP($A2048,原始数据_收盘!$A$4:$G$3460,7,0),"")</f>
        <v>4.2124</v>
      </c>
      <c r="H2048">
        <f>IFERROR(VLOOKUP($A2048,原始数据_利率互换_FR007_1年!$A$6:$C$4395,2,0),"")</f>
        <v>4.0557</v>
      </c>
      <c r="I2048">
        <f>IFERROR(VLOOKUP($A2048,原始数据_利率互换_FR007_1年!$A$6:$C$4395,3,0),"")</f>
        <v>4.2175</v>
      </c>
    </row>
    <row r="2049" spans="1:9">
      <c r="A2049" s="6">
        <v>41542</v>
      </c>
      <c r="B2049">
        <f>IFERROR(VLOOKUP($A2049,原始数据_收盘!$A$4:$G$3460,2,0),"")</f>
        <v>3.948</v>
      </c>
      <c r="C2049">
        <f>IFERROR(VLOOKUP($A2049,原始数据_收盘!$A$4:$G$3460,3,0),"")</f>
        <v>4.1362</v>
      </c>
      <c r="D2049">
        <f>IFERROR(VLOOKUP($A2049,原始数据_收盘!$A$4:$G$3460,4,0),"")</f>
        <v>4.0094</v>
      </c>
      <c r="E2049">
        <f>IFERROR(VLOOKUP($A2049,原始数据_收盘!$A$4:$G$3460,5,0),"")</f>
        <v>4.1985</v>
      </c>
      <c r="F2049">
        <f>IFERROR(VLOOKUP($A2049,原始数据_收盘!$A$4:$G$3460,6,0),"")</f>
        <v>3.9787</v>
      </c>
      <c r="G2049">
        <f>IFERROR(VLOOKUP($A2049,原始数据_收盘!$A$4:$G$3460,7,0),"")</f>
        <v>4.1674</v>
      </c>
      <c r="H2049">
        <f>IFERROR(VLOOKUP($A2049,原始数据_利率互换_FR007_1年!$A$6:$C$4395,2,0),"")</f>
        <v>3.9979</v>
      </c>
      <c r="I2049">
        <f>IFERROR(VLOOKUP($A2049,原始数据_利率互换_FR007_1年!$A$6:$C$4395,3,0),"")</f>
        <v>0</v>
      </c>
    </row>
    <row r="2050" spans="1:9">
      <c r="A2050" s="6">
        <v>41543</v>
      </c>
      <c r="B2050">
        <f>IFERROR(VLOOKUP($A2050,原始数据_收盘!$A$4:$G$3460,2,0),"")</f>
        <v>3.9388</v>
      </c>
      <c r="C2050">
        <f>IFERROR(VLOOKUP($A2050,原始数据_收盘!$A$4:$G$3460,3,0),"")</f>
        <v>4.118</v>
      </c>
      <c r="D2050">
        <f>IFERROR(VLOOKUP($A2050,原始数据_收盘!$A$4:$G$3460,4,0),"")</f>
        <v>4.0003</v>
      </c>
      <c r="E2050">
        <f>IFERROR(VLOOKUP($A2050,原始数据_收盘!$A$4:$G$3460,5,0),"")</f>
        <v>4.1812</v>
      </c>
      <c r="F2050">
        <f>IFERROR(VLOOKUP($A2050,原始数据_收盘!$A$4:$G$3460,6,0),"")</f>
        <v>3.9695</v>
      </c>
      <c r="G2050">
        <f>IFERROR(VLOOKUP($A2050,原始数据_收盘!$A$4:$G$3460,7,0),"")</f>
        <v>4.1496</v>
      </c>
      <c r="H2050">
        <f>IFERROR(VLOOKUP($A2050,原始数据_利率互换_FR007_1年!$A$6:$C$4395,2,0),"")</f>
        <v>3.9576</v>
      </c>
      <c r="I2050">
        <f>IFERROR(VLOOKUP($A2050,原始数据_利率互换_FR007_1年!$A$6:$C$4395,3,0),"")</f>
        <v>4.1433</v>
      </c>
    </row>
    <row r="2051" spans="1:9">
      <c r="A2051" s="6">
        <v>41544</v>
      </c>
      <c r="B2051">
        <f>IFERROR(VLOOKUP($A2051,原始数据_收盘!$A$4:$G$3460,2,0),"")</f>
        <v>3.9407</v>
      </c>
      <c r="C2051">
        <f>IFERROR(VLOOKUP($A2051,原始数据_收盘!$A$4:$G$3460,3,0),"")</f>
        <v>4.1356</v>
      </c>
      <c r="D2051">
        <f>IFERROR(VLOOKUP($A2051,原始数据_收盘!$A$4:$G$3460,4,0),"")</f>
        <v>3.9986</v>
      </c>
      <c r="E2051">
        <f>IFERROR(VLOOKUP($A2051,原始数据_收盘!$A$4:$G$3460,5,0),"")</f>
        <v>4.1933</v>
      </c>
      <c r="F2051">
        <f>IFERROR(VLOOKUP($A2051,原始数据_收盘!$A$4:$G$3460,6,0),"")</f>
        <v>3.9696</v>
      </c>
      <c r="G2051">
        <f>IFERROR(VLOOKUP($A2051,原始数据_收盘!$A$4:$G$3460,7,0),"")</f>
        <v>4.1645</v>
      </c>
      <c r="H2051">
        <f>IFERROR(VLOOKUP($A2051,原始数据_利率互换_FR007_1年!$A$6:$C$4395,2,0),"")</f>
        <v>3.9677</v>
      </c>
      <c r="I2051">
        <f>IFERROR(VLOOKUP($A2051,原始数据_利率互换_FR007_1年!$A$6:$C$4395,3,0),"")</f>
        <v>0</v>
      </c>
    </row>
    <row r="2052" spans="1:9">
      <c r="A2052" s="6">
        <v>41545</v>
      </c>
      <c r="B2052" t="str">
        <f>IFERROR(VLOOKUP($A2052,原始数据_收盘!$A$4:$G$3460,2,0),"")</f>
        <v/>
      </c>
      <c r="C2052" t="str">
        <f>IFERROR(VLOOKUP($A2052,原始数据_收盘!$A$4:$G$3460,3,0),"")</f>
        <v/>
      </c>
      <c r="D2052" t="str">
        <f>IFERROR(VLOOKUP($A2052,原始数据_收盘!$A$4:$G$3460,4,0),"")</f>
        <v/>
      </c>
      <c r="E2052" t="str">
        <f>IFERROR(VLOOKUP($A2052,原始数据_收盘!$A$4:$G$3460,5,0),"")</f>
        <v/>
      </c>
      <c r="F2052" t="str">
        <f>IFERROR(VLOOKUP($A2052,原始数据_收盘!$A$4:$G$3460,6,0),"")</f>
        <v/>
      </c>
      <c r="G2052" t="str">
        <f>IFERROR(VLOOKUP($A2052,原始数据_收盘!$A$4:$G$3460,7,0),"")</f>
        <v/>
      </c>
      <c r="H2052" t="str">
        <f>IFERROR(VLOOKUP($A2052,原始数据_利率互换_FR007_1年!$A$6:$C$4395,2,0),"")</f>
        <v/>
      </c>
      <c r="I2052" t="str">
        <f>IFERROR(VLOOKUP($A2052,原始数据_利率互换_FR007_1年!$A$6:$C$4395,3,0),"")</f>
        <v/>
      </c>
    </row>
    <row r="2053" spans="1:9">
      <c r="A2053" s="6">
        <v>41546</v>
      </c>
      <c r="B2053">
        <f>IFERROR(VLOOKUP($A2053,原始数据_收盘!$A$4:$G$3460,2,0),"")</f>
        <v>3.944</v>
      </c>
      <c r="C2053">
        <f>IFERROR(VLOOKUP($A2053,原始数据_收盘!$A$4:$G$3460,3,0),"")</f>
        <v>4.1418</v>
      </c>
      <c r="D2053">
        <f>IFERROR(VLOOKUP($A2053,原始数据_收盘!$A$4:$G$3460,4,0),"")</f>
        <v>3.9991</v>
      </c>
      <c r="E2053">
        <f>IFERROR(VLOOKUP($A2053,原始数据_收盘!$A$4:$G$3460,5,0),"")</f>
        <v>4.198</v>
      </c>
      <c r="F2053">
        <f>IFERROR(VLOOKUP($A2053,原始数据_收盘!$A$4:$G$3460,6,0),"")</f>
        <v>3.9715</v>
      </c>
      <c r="G2053">
        <f>IFERROR(VLOOKUP($A2053,原始数据_收盘!$A$4:$G$3460,7,0),"")</f>
        <v>4.1699</v>
      </c>
      <c r="H2053">
        <f>IFERROR(VLOOKUP($A2053,原始数据_利率互换_FR007_1年!$A$6:$C$4395,2,0),"")</f>
        <v>3.98</v>
      </c>
      <c r="I2053">
        <f>IFERROR(VLOOKUP($A2053,原始数据_利率互换_FR007_1年!$A$6:$C$4395,3,0),"")</f>
        <v>4.195</v>
      </c>
    </row>
    <row r="2054" spans="1:9">
      <c r="A2054" s="6">
        <v>41547</v>
      </c>
      <c r="B2054">
        <f>IFERROR(VLOOKUP($A2054,原始数据_收盘!$A$4:$G$3460,2,0),"")</f>
        <v>3.9396</v>
      </c>
      <c r="C2054">
        <f>IFERROR(VLOOKUP($A2054,原始数据_收盘!$A$4:$G$3460,3,0),"")</f>
        <v>4.1323</v>
      </c>
      <c r="D2054">
        <f>IFERROR(VLOOKUP($A2054,原始数据_收盘!$A$4:$G$3460,4,0),"")</f>
        <v>3.9988</v>
      </c>
      <c r="E2054">
        <f>IFERROR(VLOOKUP($A2054,原始数据_收盘!$A$4:$G$3460,5,0),"")</f>
        <v>4.1962</v>
      </c>
      <c r="F2054">
        <f>IFERROR(VLOOKUP($A2054,原始数据_收盘!$A$4:$G$3460,6,0),"")</f>
        <v>3.9692</v>
      </c>
      <c r="G2054">
        <f>IFERROR(VLOOKUP($A2054,原始数据_收盘!$A$4:$G$3460,7,0),"")</f>
        <v>4.1642</v>
      </c>
      <c r="H2054">
        <f>IFERROR(VLOOKUP($A2054,原始数据_利率互换_FR007_1年!$A$6:$C$4395,2,0),"")</f>
        <v>3.9747</v>
      </c>
      <c r="I2054">
        <f>IFERROR(VLOOKUP($A2054,原始数据_利率互换_FR007_1年!$A$6:$C$4395,3,0),"")</f>
        <v>4.19</v>
      </c>
    </row>
    <row r="2055" spans="1:9">
      <c r="A2055" s="6">
        <v>41548</v>
      </c>
      <c r="B2055" t="str">
        <f>IFERROR(VLOOKUP($A2055,原始数据_收盘!$A$4:$G$3460,2,0),"")</f>
        <v/>
      </c>
      <c r="C2055" t="str">
        <f>IFERROR(VLOOKUP($A2055,原始数据_收盘!$A$4:$G$3460,3,0),"")</f>
        <v/>
      </c>
      <c r="D2055" t="str">
        <f>IFERROR(VLOOKUP($A2055,原始数据_收盘!$A$4:$G$3460,4,0),"")</f>
        <v/>
      </c>
      <c r="E2055" t="str">
        <f>IFERROR(VLOOKUP($A2055,原始数据_收盘!$A$4:$G$3460,5,0),"")</f>
        <v/>
      </c>
      <c r="F2055" t="str">
        <f>IFERROR(VLOOKUP($A2055,原始数据_收盘!$A$4:$G$3460,6,0),"")</f>
        <v/>
      </c>
      <c r="G2055" t="str">
        <f>IFERROR(VLOOKUP($A2055,原始数据_收盘!$A$4:$G$3460,7,0),"")</f>
        <v/>
      </c>
      <c r="H2055" t="str">
        <f>IFERROR(VLOOKUP($A2055,原始数据_利率互换_FR007_1年!$A$6:$C$4395,2,0),"")</f>
        <v/>
      </c>
      <c r="I2055" t="str">
        <f>IFERROR(VLOOKUP($A2055,原始数据_利率互换_FR007_1年!$A$6:$C$4395,3,0),"")</f>
        <v/>
      </c>
    </row>
    <row r="2056" spans="1:9">
      <c r="A2056" s="6">
        <v>41549</v>
      </c>
      <c r="B2056" t="str">
        <f>IFERROR(VLOOKUP($A2056,原始数据_收盘!$A$4:$G$3460,2,0),"")</f>
        <v/>
      </c>
      <c r="C2056" t="str">
        <f>IFERROR(VLOOKUP($A2056,原始数据_收盘!$A$4:$G$3460,3,0),"")</f>
        <v/>
      </c>
      <c r="D2056" t="str">
        <f>IFERROR(VLOOKUP($A2056,原始数据_收盘!$A$4:$G$3460,4,0),"")</f>
        <v/>
      </c>
      <c r="E2056" t="str">
        <f>IFERROR(VLOOKUP($A2056,原始数据_收盘!$A$4:$G$3460,5,0),"")</f>
        <v/>
      </c>
      <c r="F2056" t="str">
        <f>IFERROR(VLOOKUP($A2056,原始数据_收盘!$A$4:$G$3460,6,0),"")</f>
        <v/>
      </c>
      <c r="G2056" t="str">
        <f>IFERROR(VLOOKUP($A2056,原始数据_收盘!$A$4:$G$3460,7,0),"")</f>
        <v/>
      </c>
      <c r="H2056" t="str">
        <f>IFERROR(VLOOKUP($A2056,原始数据_利率互换_FR007_1年!$A$6:$C$4395,2,0),"")</f>
        <v/>
      </c>
      <c r="I2056" t="str">
        <f>IFERROR(VLOOKUP($A2056,原始数据_利率互换_FR007_1年!$A$6:$C$4395,3,0),"")</f>
        <v/>
      </c>
    </row>
    <row r="2057" spans="1:9">
      <c r="A2057" s="6">
        <v>41550</v>
      </c>
      <c r="B2057" t="str">
        <f>IFERROR(VLOOKUP($A2057,原始数据_收盘!$A$4:$G$3460,2,0),"")</f>
        <v/>
      </c>
      <c r="C2057" t="str">
        <f>IFERROR(VLOOKUP($A2057,原始数据_收盘!$A$4:$G$3460,3,0),"")</f>
        <v/>
      </c>
      <c r="D2057" t="str">
        <f>IFERROR(VLOOKUP($A2057,原始数据_收盘!$A$4:$G$3460,4,0),"")</f>
        <v/>
      </c>
      <c r="E2057" t="str">
        <f>IFERROR(VLOOKUP($A2057,原始数据_收盘!$A$4:$G$3460,5,0),"")</f>
        <v/>
      </c>
      <c r="F2057" t="str">
        <f>IFERROR(VLOOKUP($A2057,原始数据_收盘!$A$4:$G$3460,6,0),"")</f>
        <v/>
      </c>
      <c r="G2057" t="str">
        <f>IFERROR(VLOOKUP($A2057,原始数据_收盘!$A$4:$G$3460,7,0),"")</f>
        <v/>
      </c>
      <c r="H2057" t="str">
        <f>IFERROR(VLOOKUP($A2057,原始数据_利率互换_FR007_1年!$A$6:$C$4395,2,0),"")</f>
        <v/>
      </c>
      <c r="I2057" t="str">
        <f>IFERROR(VLOOKUP($A2057,原始数据_利率互换_FR007_1年!$A$6:$C$4395,3,0),"")</f>
        <v/>
      </c>
    </row>
    <row r="2058" spans="1:9">
      <c r="A2058" s="6">
        <v>41551</v>
      </c>
      <c r="B2058" t="str">
        <f>IFERROR(VLOOKUP($A2058,原始数据_收盘!$A$4:$G$3460,2,0),"")</f>
        <v/>
      </c>
      <c r="C2058" t="str">
        <f>IFERROR(VLOOKUP($A2058,原始数据_收盘!$A$4:$G$3460,3,0),"")</f>
        <v/>
      </c>
      <c r="D2058" t="str">
        <f>IFERROR(VLOOKUP($A2058,原始数据_收盘!$A$4:$G$3460,4,0),"")</f>
        <v/>
      </c>
      <c r="E2058" t="str">
        <f>IFERROR(VLOOKUP($A2058,原始数据_收盘!$A$4:$G$3460,5,0),"")</f>
        <v/>
      </c>
      <c r="F2058" t="str">
        <f>IFERROR(VLOOKUP($A2058,原始数据_收盘!$A$4:$G$3460,6,0),"")</f>
        <v/>
      </c>
      <c r="G2058" t="str">
        <f>IFERROR(VLOOKUP($A2058,原始数据_收盘!$A$4:$G$3460,7,0),"")</f>
        <v/>
      </c>
      <c r="H2058" t="str">
        <f>IFERROR(VLOOKUP($A2058,原始数据_利率互换_FR007_1年!$A$6:$C$4395,2,0),"")</f>
        <v/>
      </c>
      <c r="I2058" t="str">
        <f>IFERROR(VLOOKUP($A2058,原始数据_利率互换_FR007_1年!$A$6:$C$4395,3,0),"")</f>
        <v/>
      </c>
    </row>
    <row r="2059" spans="1:9">
      <c r="A2059" s="6">
        <v>41552</v>
      </c>
      <c r="B2059" t="str">
        <f>IFERROR(VLOOKUP($A2059,原始数据_收盘!$A$4:$G$3460,2,0),"")</f>
        <v/>
      </c>
      <c r="C2059" t="str">
        <f>IFERROR(VLOOKUP($A2059,原始数据_收盘!$A$4:$G$3460,3,0),"")</f>
        <v/>
      </c>
      <c r="D2059" t="str">
        <f>IFERROR(VLOOKUP($A2059,原始数据_收盘!$A$4:$G$3460,4,0),"")</f>
        <v/>
      </c>
      <c r="E2059" t="str">
        <f>IFERROR(VLOOKUP($A2059,原始数据_收盘!$A$4:$G$3460,5,0),"")</f>
        <v/>
      </c>
      <c r="F2059" t="str">
        <f>IFERROR(VLOOKUP($A2059,原始数据_收盘!$A$4:$G$3460,6,0),"")</f>
        <v/>
      </c>
      <c r="G2059" t="str">
        <f>IFERROR(VLOOKUP($A2059,原始数据_收盘!$A$4:$G$3460,7,0),"")</f>
        <v/>
      </c>
      <c r="H2059" t="str">
        <f>IFERROR(VLOOKUP($A2059,原始数据_利率互换_FR007_1年!$A$6:$C$4395,2,0),"")</f>
        <v/>
      </c>
      <c r="I2059" t="str">
        <f>IFERROR(VLOOKUP($A2059,原始数据_利率互换_FR007_1年!$A$6:$C$4395,3,0),"")</f>
        <v/>
      </c>
    </row>
    <row r="2060" spans="1:9">
      <c r="A2060" s="6">
        <v>41553</v>
      </c>
      <c r="B2060" t="str">
        <f>IFERROR(VLOOKUP($A2060,原始数据_收盘!$A$4:$G$3460,2,0),"")</f>
        <v/>
      </c>
      <c r="C2060" t="str">
        <f>IFERROR(VLOOKUP($A2060,原始数据_收盘!$A$4:$G$3460,3,0),"")</f>
        <v/>
      </c>
      <c r="D2060" t="str">
        <f>IFERROR(VLOOKUP($A2060,原始数据_收盘!$A$4:$G$3460,4,0),"")</f>
        <v/>
      </c>
      <c r="E2060" t="str">
        <f>IFERROR(VLOOKUP($A2060,原始数据_收盘!$A$4:$G$3460,5,0),"")</f>
        <v/>
      </c>
      <c r="F2060" t="str">
        <f>IFERROR(VLOOKUP($A2060,原始数据_收盘!$A$4:$G$3460,6,0),"")</f>
        <v/>
      </c>
      <c r="G2060" t="str">
        <f>IFERROR(VLOOKUP($A2060,原始数据_收盘!$A$4:$G$3460,7,0),"")</f>
        <v/>
      </c>
      <c r="H2060" t="str">
        <f>IFERROR(VLOOKUP($A2060,原始数据_利率互换_FR007_1年!$A$6:$C$4395,2,0),"")</f>
        <v/>
      </c>
      <c r="I2060" t="str">
        <f>IFERROR(VLOOKUP($A2060,原始数据_利率互换_FR007_1年!$A$6:$C$4395,3,0),"")</f>
        <v/>
      </c>
    </row>
    <row r="2061" spans="1:9">
      <c r="A2061" s="6">
        <v>41554</v>
      </c>
      <c r="B2061" t="str">
        <f>IFERROR(VLOOKUP($A2061,原始数据_收盘!$A$4:$G$3460,2,0),"")</f>
        <v/>
      </c>
      <c r="C2061" t="str">
        <f>IFERROR(VLOOKUP($A2061,原始数据_收盘!$A$4:$G$3460,3,0),"")</f>
        <v/>
      </c>
      <c r="D2061" t="str">
        <f>IFERROR(VLOOKUP($A2061,原始数据_收盘!$A$4:$G$3460,4,0),"")</f>
        <v/>
      </c>
      <c r="E2061" t="str">
        <f>IFERROR(VLOOKUP($A2061,原始数据_收盘!$A$4:$G$3460,5,0),"")</f>
        <v/>
      </c>
      <c r="F2061" t="str">
        <f>IFERROR(VLOOKUP($A2061,原始数据_收盘!$A$4:$G$3460,6,0),"")</f>
        <v/>
      </c>
      <c r="G2061" t="str">
        <f>IFERROR(VLOOKUP($A2061,原始数据_收盘!$A$4:$G$3460,7,0),"")</f>
        <v/>
      </c>
      <c r="H2061" t="str">
        <f>IFERROR(VLOOKUP($A2061,原始数据_利率互换_FR007_1年!$A$6:$C$4395,2,0),"")</f>
        <v/>
      </c>
      <c r="I2061" t="str">
        <f>IFERROR(VLOOKUP($A2061,原始数据_利率互换_FR007_1年!$A$6:$C$4395,3,0),"")</f>
        <v/>
      </c>
    </row>
    <row r="2062" spans="1:9">
      <c r="A2062" s="6">
        <v>41555</v>
      </c>
      <c r="B2062">
        <f>IFERROR(VLOOKUP($A2062,原始数据_收盘!$A$4:$G$3460,2,0),"")</f>
        <v>3.9614</v>
      </c>
      <c r="C2062">
        <f>IFERROR(VLOOKUP($A2062,原始数据_收盘!$A$4:$G$3460,3,0),"")</f>
        <v>4.1544</v>
      </c>
      <c r="D2062">
        <f>IFERROR(VLOOKUP($A2062,原始数据_收盘!$A$4:$G$3460,4,0),"")</f>
        <v>4.0208</v>
      </c>
      <c r="E2062">
        <f>IFERROR(VLOOKUP($A2062,原始数据_收盘!$A$4:$G$3460,5,0),"")</f>
        <v>4.2139</v>
      </c>
      <c r="F2062">
        <f>IFERROR(VLOOKUP($A2062,原始数据_收盘!$A$4:$G$3460,6,0),"")</f>
        <v>3.9911</v>
      </c>
      <c r="G2062">
        <f>IFERROR(VLOOKUP($A2062,原始数据_收盘!$A$4:$G$3460,7,0),"")</f>
        <v>4.1842</v>
      </c>
      <c r="H2062">
        <f>IFERROR(VLOOKUP($A2062,原始数据_利率互换_FR007_1年!$A$6:$C$4395,2,0),"")</f>
        <v>3.9846</v>
      </c>
      <c r="I2062">
        <f>IFERROR(VLOOKUP($A2062,原始数据_利率互换_FR007_1年!$A$6:$C$4395,3,0),"")</f>
        <v>4.1825</v>
      </c>
    </row>
    <row r="2063" spans="1:9">
      <c r="A2063" s="6">
        <v>41556</v>
      </c>
      <c r="B2063">
        <f>IFERROR(VLOOKUP($A2063,原始数据_收盘!$A$4:$G$3460,2,0),"")</f>
        <v>3.9735</v>
      </c>
      <c r="C2063">
        <f>IFERROR(VLOOKUP($A2063,原始数据_收盘!$A$4:$G$3460,3,0),"")</f>
        <v>4.1461</v>
      </c>
      <c r="D2063">
        <f>IFERROR(VLOOKUP($A2063,原始数据_收盘!$A$4:$G$3460,4,0),"")</f>
        <v>4.036</v>
      </c>
      <c r="E2063">
        <f>IFERROR(VLOOKUP($A2063,原始数据_收盘!$A$4:$G$3460,5,0),"")</f>
        <v>4.208</v>
      </c>
      <c r="F2063">
        <f>IFERROR(VLOOKUP($A2063,原始数据_收盘!$A$4:$G$3460,6,0),"")</f>
        <v>4.0047</v>
      </c>
      <c r="G2063">
        <f>IFERROR(VLOOKUP($A2063,原始数据_收盘!$A$4:$G$3460,7,0),"")</f>
        <v>4.1771</v>
      </c>
      <c r="H2063">
        <f>IFERROR(VLOOKUP($A2063,原始数据_利率互换_FR007_1年!$A$6:$C$4395,2,0),"")</f>
        <v>4.01</v>
      </c>
      <c r="I2063">
        <f>IFERROR(VLOOKUP($A2063,原始数据_利率互换_FR007_1年!$A$6:$C$4395,3,0),"")</f>
        <v>4.1936</v>
      </c>
    </row>
    <row r="2064" spans="1:9">
      <c r="A2064" s="6">
        <v>41557</v>
      </c>
      <c r="B2064">
        <f>IFERROR(VLOOKUP($A2064,原始数据_收盘!$A$4:$G$3460,2,0),"")</f>
        <v>3.9592</v>
      </c>
      <c r="C2064">
        <f>IFERROR(VLOOKUP($A2064,原始数据_收盘!$A$4:$G$3460,3,0),"")</f>
        <v>4.1377</v>
      </c>
      <c r="D2064">
        <f>IFERROR(VLOOKUP($A2064,原始数据_收盘!$A$4:$G$3460,4,0),"")</f>
        <v>4.0228</v>
      </c>
      <c r="E2064">
        <f>IFERROR(VLOOKUP($A2064,原始数据_收盘!$A$4:$G$3460,5,0),"")</f>
        <v>4.2002</v>
      </c>
      <c r="F2064">
        <f>IFERROR(VLOOKUP($A2064,原始数据_收盘!$A$4:$G$3460,6,0),"")</f>
        <v>3.991</v>
      </c>
      <c r="G2064">
        <f>IFERROR(VLOOKUP($A2064,原始数据_收盘!$A$4:$G$3460,7,0),"")</f>
        <v>4.169</v>
      </c>
      <c r="H2064">
        <f>IFERROR(VLOOKUP($A2064,原始数据_利率互换_FR007_1年!$A$6:$C$4395,2,0),"")</f>
        <v>3.9918</v>
      </c>
      <c r="I2064">
        <f>IFERROR(VLOOKUP($A2064,原始数据_利率互换_FR007_1年!$A$6:$C$4395,3,0),"")</f>
        <v>4.175</v>
      </c>
    </row>
    <row r="2065" spans="1:9">
      <c r="A2065" s="6">
        <v>41558</v>
      </c>
      <c r="B2065">
        <f>IFERROR(VLOOKUP($A2065,原始数据_收盘!$A$4:$G$3460,2,0),"")</f>
        <v>3.9506</v>
      </c>
      <c r="C2065">
        <f>IFERROR(VLOOKUP($A2065,原始数据_收盘!$A$4:$G$3460,3,0),"")</f>
        <v>4.1389</v>
      </c>
      <c r="D2065">
        <f>IFERROR(VLOOKUP($A2065,原始数据_收盘!$A$4:$G$3460,4,0),"")</f>
        <v>4.0018</v>
      </c>
      <c r="E2065">
        <f>IFERROR(VLOOKUP($A2065,原始数据_收盘!$A$4:$G$3460,5,0),"")</f>
        <v>4.1968</v>
      </c>
      <c r="F2065">
        <f>IFERROR(VLOOKUP($A2065,原始数据_收盘!$A$4:$G$3460,6,0),"")</f>
        <v>3.9762</v>
      </c>
      <c r="G2065">
        <f>IFERROR(VLOOKUP($A2065,原始数据_收盘!$A$4:$G$3460,7,0),"")</f>
        <v>4.1679</v>
      </c>
      <c r="H2065">
        <f>IFERROR(VLOOKUP($A2065,原始数据_利率互换_FR007_1年!$A$6:$C$4395,2,0),"")</f>
        <v>3.9727</v>
      </c>
      <c r="I2065">
        <f>IFERROR(VLOOKUP($A2065,原始数据_利率互换_FR007_1年!$A$6:$C$4395,3,0),"")</f>
        <v>4.17</v>
      </c>
    </row>
    <row r="2066" spans="1:9">
      <c r="A2066" s="6">
        <v>41559</v>
      </c>
      <c r="B2066">
        <f>IFERROR(VLOOKUP($A2066,原始数据_收盘!$A$4:$G$3460,2,0),"")</f>
        <v>3.9511</v>
      </c>
      <c r="C2066">
        <f>IFERROR(VLOOKUP($A2066,原始数据_收盘!$A$4:$G$3460,3,0),"")</f>
        <v>4.1405</v>
      </c>
      <c r="D2066">
        <f>IFERROR(VLOOKUP($A2066,原始数据_收盘!$A$4:$G$3460,4,0),"")</f>
        <v>4.0063</v>
      </c>
      <c r="E2066">
        <f>IFERROR(VLOOKUP($A2066,原始数据_收盘!$A$4:$G$3460,5,0),"")</f>
        <v>4.2</v>
      </c>
      <c r="F2066">
        <f>IFERROR(VLOOKUP($A2066,原始数据_收盘!$A$4:$G$3460,6,0),"")</f>
        <v>3.9787</v>
      </c>
      <c r="G2066">
        <f>IFERROR(VLOOKUP($A2066,原始数据_收盘!$A$4:$G$3460,7,0),"")</f>
        <v>4.1702</v>
      </c>
      <c r="H2066">
        <f>IFERROR(VLOOKUP($A2066,原始数据_利率互换_FR007_1年!$A$6:$C$4395,2,0),"")</f>
        <v>3.97</v>
      </c>
      <c r="I2066">
        <f>IFERROR(VLOOKUP($A2066,原始数据_利率互换_FR007_1年!$A$6:$C$4395,3,0),"")</f>
        <v>0</v>
      </c>
    </row>
    <row r="2067" spans="1:9">
      <c r="A2067" s="6">
        <v>41560</v>
      </c>
      <c r="B2067" t="str">
        <f>IFERROR(VLOOKUP($A2067,原始数据_收盘!$A$4:$G$3460,2,0),"")</f>
        <v/>
      </c>
      <c r="C2067" t="str">
        <f>IFERROR(VLOOKUP($A2067,原始数据_收盘!$A$4:$G$3460,3,0),"")</f>
        <v/>
      </c>
      <c r="D2067" t="str">
        <f>IFERROR(VLOOKUP($A2067,原始数据_收盘!$A$4:$G$3460,4,0),"")</f>
        <v/>
      </c>
      <c r="E2067" t="str">
        <f>IFERROR(VLOOKUP($A2067,原始数据_收盘!$A$4:$G$3460,5,0),"")</f>
        <v/>
      </c>
      <c r="F2067" t="str">
        <f>IFERROR(VLOOKUP($A2067,原始数据_收盘!$A$4:$G$3460,6,0),"")</f>
        <v/>
      </c>
      <c r="G2067" t="str">
        <f>IFERROR(VLOOKUP($A2067,原始数据_收盘!$A$4:$G$3460,7,0),"")</f>
        <v/>
      </c>
      <c r="H2067" t="str">
        <f>IFERROR(VLOOKUP($A2067,原始数据_利率互换_FR007_1年!$A$6:$C$4395,2,0),"")</f>
        <v/>
      </c>
      <c r="I2067" t="str">
        <f>IFERROR(VLOOKUP($A2067,原始数据_利率互换_FR007_1年!$A$6:$C$4395,3,0),"")</f>
        <v/>
      </c>
    </row>
    <row r="2068" spans="1:9">
      <c r="A2068" s="6">
        <v>41561</v>
      </c>
      <c r="B2068">
        <f>IFERROR(VLOOKUP($A2068,原始数据_收盘!$A$4:$G$3460,2,0),"")</f>
        <v>3.9466</v>
      </c>
      <c r="C2068">
        <f>IFERROR(VLOOKUP($A2068,原始数据_收盘!$A$4:$G$3460,3,0),"")</f>
        <v>4.153</v>
      </c>
      <c r="D2068">
        <f>IFERROR(VLOOKUP($A2068,原始数据_收盘!$A$4:$G$3460,4,0),"")</f>
        <v>3.9997</v>
      </c>
      <c r="E2068">
        <f>IFERROR(VLOOKUP($A2068,原始数据_收盘!$A$4:$G$3460,5,0),"")</f>
        <v>4.214</v>
      </c>
      <c r="F2068">
        <f>IFERROR(VLOOKUP($A2068,原始数据_收盘!$A$4:$G$3460,6,0),"")</f>
        <v>3.9731</v>
      </c>
      <c r="G2068">
        <f>IFERROR(VLOOKUP($A2068,原始数据_收盘!$A$4:$G$3460,7,0),"")</f>
        <v>4.1835</v>
      </c>
      <c r="H2068">
        <f>IFERROR(VLOOKUP($A2068,原始数据_利率互换_FR007_1年!$A$6:$C$4395,2,0),"")</f>
        <v>3.9703</v>
      </c>
      <c r="I2068">
        <f>IFERROR(VLOOKUP($A2068,原始数据_利率互换_FR007_1年!$A$6:$C$4395,3,0),"")</f>
        <v>4.21</v>
      </c>
    </row>
    <row r="2069" spans="1:9">
      <c r="A2069" s="6">
        <v>41562</v>
      </c>
      <c r="B2069">
        <f>IFERROR(VLOOKUP($A2069,原始数据_收盘!$A$4:$G$3460,2,0),"")</f>
        <v>3.9259</v>
      </c>
      <c r="C2069">
        <f>IFERROR(VLOOKUP($A2069,原始数据_收盘!$A$4:$G$3460,3,0),"")</f>
        <v>4.159</v>
      </c>
      <c r="D2069">
        <f>IFERROR(VLOOKUP($A2069,原始数据_收盘!$A$4:$G$3460,4,0),"")</f>
        <v>3.9885</v>
      </c>
      <c r="E2069">
        <f>IFERROR(VLOOKUP($A2069,原始数据_收盘!$A$4:$G$3460,5,0),"")</f>
        <v>4.2255</v>
      </c>
      <c r="F2069">
        <f>IFERROR(VLOOKUP($A2069,原始数据_收盘!$A$4:$G$3460,6,0),"")</f>
        <v>3.9572</v>
      </c>
      <c r="G2069">
        <f>IFERROR(VLOOKUP($A2069,原始数据_收盘!$A$4:$G$3460,7,0),"")</f>
        <v>4.1923</v>
      </c>
      <c r="H2069">
        <f>IFERROR(VLOOKUP($A2069,原始数据_利率互换_FR007_1年!$A$6:$C$4395,2,0),"")</f>
        <v>3.9548</v>
      </c>
      <c r="I2069">
        <f>IFERROR(VLOOKUP($A2069,原始数据_利率互换_FR007_1年!$A$6:$C$4395,3,0),"")</f>
        <v>4.1982</v>
      </c>
    </row>
    <row r="2070" spans="1:9">
      <c r="A2070" s="6">
        <v>41563</v>
      </c>
      <c r="B2070">
        <f>IFERROR(VLOOKUP($A2070,原始数据_收盘!$A$4:$G$3460,2,0),"")</f>
        <v>3.8581</v>
      </c>
      <c r="C2070">
        <f>IFERROR(VLOOKUP($A2070,原始数据_收盘!$A$4:$G$3460,3,0),"")</f>
        <v>4.1167</v>
      </c>
      <c r="D2070">
        <f>IFERROR(VLOOKUP($A2070,原始数据_收盘!$A$4:$G$3460,4,0),"")</f>
        <v>3.9196</v>
      </c>
      <c r="E2070">
        <f>IFERROR(VLOOKUP($A2070,原始数据_收盘!$A$4:$G$3460,5,0),"")</f>
        <v>4.1807</v>
      </c>
      <c r="F2070">
        <f>IFERROR(VLOOKUP($A2070,原始数据_收盘!$A$4:$G$3460,6,0),"")</f>
        <v>3.8888</v>
      </c>
      <c r="G2070">
        <f>IFERROR(VLOOKUP($A2070,原始数据_收盘!$A$4:$G$3460,7,0),"")</f>
        <v>4.1487</v>
      </c>
      <c r="H2070">
        <f>IFERROR(VLOOKUP($A2070,原始数据_利率互换_FR007_1年!$A$6:$C$4395,2,0),"")</f>
        <v>3.8913</v>
      </c>
      <c r="I2070">
        <f>IFERROR(VLOOKUP($A2070,原始数据_利率互换_FR007_1年!$A$6:$C$4395,3,0),"")</f>
        <v>4.1509</v>
      </c>
    </row>
    <row r="2071" spans="1:9">
      <c r="A2071" s="6">
        <v>41564</v>
      </c>
      <c r="B2071">
        <f>IFERROR(VLOOKUP($A2071,原始数据_收盘!$A$4:$G$3460,2,0),"")</f>
        <v>3.8913</v>
      </c>
      <c r="C2071">
        <f>IFERROR(VLOOKUP($A2071,原始数据_收盘!$A$4:$G$3460,3,0),"")</f>
        <v>4.1426</v>
      </c>
      <c r="D2071">
        <f>IFERROR(VLOOKUP($A2071,原始数据_收盘!$A$4:$G$3460,4,0),"")</f>
        <v>3.9476</v>
      </c>
      <c r="E2071">
        <f>IFERROR(VLOOKUP($A2071,原始数据_收盘!$A$4:$G$3460,5,0),"")</f>
        <v>4.2018</v>
      </c>
      <c r="F2071">
        <f>IFERROR(VLOOKUP($A2071,原始数据_收盘!$A$4:$G$3460,6,0),"")</f>
        <v>3.9194</v>
      </c>
      <c r="G2071">
        <f>IFERROR(VLOOKUP($A2071,原始数据_收盘!$A$4:$G$3460,7,0),"")</f>
        <v>4.1722</v>
      </c>
      <c r="H2071">
        <f>IFERROR(VLOOKUP($A2071,原始数据_利率互换_FR007_1年!$A$6:$C$4395,2,0),"")</f>
        <v>3.9237</v>
      </c>
      <c r="I2071">
        <f>IFERROR(VLOOKUP($A2071,原始数据_利率互换_FR007_1年!$A$6:$C$4395,3,0),"")</f>
        <v>4.17</v>
      </c>
    </row>
    <row r="2072" spans="1:9">
      <c r="A2072" s="6">
        <v>41565</v>
      </c>
      <c r="B2072">
        <f>IFERROR(VLOOKUP($A2072,原始数据_收盘!$A$4:$G$3460,2,0),"")</f>
        <v>3.9171</v>
      </c>
      <c r="C2072">
        <f>IFERROR(VLOOKUP($A2072,原始数据_收盘!$A$4:$G$3460,3,0),"")</f>
        <v>4.1498</v>
      </c>
      <c r="D2072">
        <f>IFERROR(VLOOKUP($A2072,原始数据_收盘!$A$4:$G$3460,4,0),"")</f>
        <v>3.9788</v>
      </c>
      <c r="E2072">
        <f>IFERROR(VLOOKUP($A2072,原始数据_收盘!$A$4:$G$3460,5,0),"")</f>
        <v>4.2121</v>
      </c>
      <c r="F2072">
        <f>IFERROR(VLOOKUP($A2072,原始数据_收盘!$A$4:$G$3460,6,0),"")</f>
        <v>3.948</v>
      </c>
      <c r="G2072">
        <f>IFERROR(VLOOKUP($A2072,原始数据_收盘!$A$4:$G$3460,7,0),"")</f>
        <v>4.181</v>
      </c>
      <c r="H2072">
        <f>IFERROR(VLOOKUP($A2072,原始数据_利率互换_FR007_1年!$A$6:$C$4395,2,0),"")</f>
        <v>3.9471</v>
      </c>
      <c r="I2072">
        <f>IFERROR(VLOOKUP($A2072,原始数据_利率互换_FR007_1年!$A$6:$C$4395,3,0),"")</f>
        <v>4.1857</v>
      </c>
    </row>
    <row r="2073" spans="1:9">
      <c r="A2073" s="6">
        <v>41566</v>
      </c>
      <c r="B2073" t="str">
        <f>IFERROR(VLOOKUP($A2073,原始数据_收盘!$A$4:$G$3460,2,0),"")</f>
        <v/>
      </c>
      <c r="C2073" t="str">
        <f>IFERROR(VLOOKUP($A2073,原始数据_收盘!$A$4:$G$3460,3,0),"")</f>
        <v/>
      </c>
      <c r="D2073" t="str">
        <f>IFERROR(VLOOKUP($A2073,原始数据_收盘!$A$4:$G$3460,4,0),"")</f>
        <v/>
      </c>
      <c r="E2073" t="str">
        <f>IFERROR(VLOOKUP($A2073,原始数据_收盘!$A$4:$G$3460,5,0),"")</f>
        <v/>
      </c>
      <c r="F2073" t="str">
        <f>IFERROR(VLOOKUP($A2073,原始数据_收盘!$A$4:$G$3460,6,0),"")</f>
        <v/>
      </c>
      <c r="G2073" t="str">
        <f>IFERROR(VLOOKUP($A2073,原始数据_收盘!$A$4:$G$3460,7,0),"")</f>
        <v/>
      </c>
      <c r="H2073" t="str">
        <f>IFERROR(VLOOKUP($A2073,原始数据_利率互换_FR007_1年!$A$6:$C$4395,2,0),"")</f>
        <v/>
      </c>
      <c r="I2073" t="str">
        <f>IFERROR(VLOOKUP($A2073,原始数据_利率互换_FR007_1年!$A$6:$C$4395,3,0),"")</f>
        <v/>
      </c>
    </row>
    <row r="2074" spans="1:9">
      <c r="A2074" s="6">
        <v>41567</v>
      </c>
      <c r="B2074" t="str">
        <f>IFERROR(VLOOKUP($A2074,原始数据_收盘!$A$4:$G$3460,2,0),"")</f>
        <v/>
      </c>
      <c r="C2074" t="str">
        <f>IFERROR(VLOOKUP($A2074,原始数据_收盘!$A$4:$G$3460,3,0),"")</f>
        <v/>
      </c>
      <c r="D2074" t="str">
        <f>IFERROR(VLOOKUP($A2074,原始数据_收盘!$A$4:$G$3460,4,0),"")</f>
        <v/>
      </c>
      <c r="E2074" t="str">
        <f>IFERROR(VLOOKUP($A2074,原始数据_收盘!$A$4:$G$3460,5,0),"")</f>
        <v/>
      </c>
      <c r="F2074" t="str">
        <f>IFERROR(VLOOKUP($A2074,原始数据_收盘!$A$4:$G$3460,6,0),"")</f>
        <v/>
      </c>
      <c r="G2074" t="str">
        <f>IFERROR(VLOOKUP($A2074,原始数据_收盘!$A$4:$G$3460,7,0),"")</f>
        <v/>
      </c>
      <c r="H2074" t="str">
        <f>IFERROR(VLOOKUP($A2074,原始数据_利率互换_FR007_1年!$A$6:$C$4395,2,0),"")</f>
        <v/>
      </c>
      <c r="I2074" t="str">
        <f>IFERROR(VLOOKUP($A2074,原始数据_利率互换_FR007_1年!$A$6:$C$4395,3,0),"")</f>
        <v/>
      </c>
    </row>
    <row r="2075" spans="1:9">
      <c r="A2075" s="6">
        <v>41568</v>
      </c>
      <c r="B2075">
        <f>IFERROR(VLOOKUP($A2075,原始数据_收盘!$A$4:$G$3460,2,0),"")</f>
        <v>3.9653</v>
      </c>
      <c r="C2075">
        <f>IFERROR(VLOOKUP($A2075,原始数据_收盘!$A$4:$G$3460,3,0),"")</f>
        <v>4.1715</v>
      </c>
      <c r="D2075">
        <f>IFERROR(VLOOKUP($A2075,原始数据_收盘!$A$4:$G$3460,4,0),"")</f>
        <v>4.0197</v>
      </c>
      <c r="E2075">
        <f>IFERROR(VLOOKUP($A2075,原始数据_收盘!$A$4:$G$3460,5,0),"")</f>
        <v>4.2312</v>
      </c>
      <c r="F2075">
        <f>IFERROR(VLOOKUP($A2075,原始数据_收盘!$A$4:$G$3460,6,0),"")</f>
        <v>3.9925</v>
      </c>
      <c r="G2075">
        <f>IFERROR(VLOOKUP($A2075,原始数据_收盘!$A$4:$G$3460,7,0),"")</f>
        <v>4.2013</v>
      </c>
      <c r="H2075">
        <f>IFERROR(VLOOKUP($A2075,原始数据_利率互换_FR007_1年!$A$6:$C$4395,2,0),"")</f>
        <v>3.9996</v>
      </c>
      <c r="I2075">
        <f>IFERROR(VLOOKUP($A2075,原始数据_利率互换_FR007_1年!$A$6:$C$4395,3,0),"")</f>
        <v>4.2009</v>
      </c>
    </row>
    <row r="2076" spans="1:9">
      <c r="A2076" s="6">
        <v>41569</v>
      </c>
      <c r="B2076">
        <f>IFERROR(VLOOKUP($A2076,原始数据_收盘!$A$4:$G$3460,2,0),"")</f>
        <v>3.9914</v>
      </c>
      <c r="C2076">
        <f>IFERROR(VLOOKUP($A2076,原始数据_收盘!$A$4:$G$3460,3,0),"")</f>
        <v>4.1972</v>
      </c>
      <c r="D2076">
        <f>IFERROR(VLOOKUP($A2076,原始数据_收盘!$A$4:$G$3460,4,0),"")</f>
        <v>4.0508</v>
      </c>
      <c r="E2076">
        <f>IFERROR(VLOOKUP($A2076,原始数据_收盘!$A$4:$G$3460,5,0),"")</f>
        <v>4.2583</v>
      </c>
      <c r="F2076">
        <f>IFERROR(VLOOKUP($A2076,原始数据_收盘!$A$4:$G$3460,6,0),"")</f>
        <v>4.0211</v>
      </c>
      <c r="G2076">
        <f>IFERROR(VLOOKUP($A2076,原始数据_收盘!$A$4:$G$3460,7,0),"")</f>
        <v>4.2278</v>
      </c>
      <c r="H2076">
        <f>IFERROR(VLOOKUP($A2076,原始数据_利率互换_FR007_1年!$A$6:$C$4395,2,0),"")</f>
        <v>4.0275</v>
      </c>
      <c r="I2076">
        <f>IFERROR(VLOOKUP($A2076,原始数据_利率互换_FR007_1年!$A$6:$C$4395,3,0),"")</f>
        <v>4.2323</v>
      </c>
    </row>
    <row r="2077" spans="1:9">
      <c r="A2077" s="6">
        <v>41570</v>
      </c>
      <c r="B2077">
        <f>IFERROR(VLOOKUP($A2077,原始数据_收盘!$A$4:$G$3460,2,0),"")</f>
        <v>4.0153</v>
      </c>
      <c r="C2077">
        <f>IFERROR(VLOOKUP($A2077,原始数据_收盘!$A$4:$G$3460,3,0),"")</f>
        <v>4.2157</v>
      </c>
      <c r="D2077">
        <f>IFERROR(VLOOKUP($A2077,原始数据_收盘!$A$4:$G$3460,4,0),"")</f>
        <v>4.0721</v>
      </c>
      <c r="E2077">
        <f>IFERROR(VLOOKUP($A2077,原始数据_收盘!$A$4:$G$3460,5,0),"")</f>
        <v>4.2739</v>
      </c>
      <c r="F2077">
        <f>IFERROR(VLOOKUP($A2077,原始数据_收盘!$A$4:$G$3460,6,0),"")</f>
        <v>4.0437</v>
      </c>
      <c r="G2077">
        <f>IFERROR(VLOOKUP($A2077,原始数据_收盘!$A$4:$G$3460,7,0),"")</f>
        <v>4.2448</v>
      </c>
      <c r="H2077">
        <f>IFERROR(VLOOKUP($A2077,原始数据_利率互换_FR007_1年!$A$6:$C$4395,2,0),"")</f>
        <v>4.0597</v>
      </c>
      <c r="I2077">
        <f>IFERROR(VLOOKUP($A2077,原始数据_利率互换_FR007_1年!$A$6:$C$4395,3,0),"")</f>
        <v>4.2472</v>
      </c>
    </row>
    <row r="2078" spans="1:9">
      <c r="A2078" s="6">
        <v>41571</v>
      </c>
      <c r="B2078">
        <f>IFERROR(VLOOKUP($A2078,原始数据_收盘!$A$4:$G$3460,2,0),"")</f>
        <v>4.0968</v>
      </c>
      <c r="C2078">
        <f>IFERROR(VLOOKUP($A2078,原始数据_收盘!$A$4:$G$3460,3,0),"")</f>
        <v>4.2625</v>
      </c>
      <c r="D2078">
        <f>IFERROR(VLOOKUP($A2078,原始数据_收盘!$A$4:$G$3460,4,0),"")</f>
        <v>4.1495</v>
      </c>
      <c r="E2078">
        <f>IFERROR(VLOOKUP($A2078,原始数据_收盘!$A$4:$G$3460,5,0),"")</f>
        <v>4.3223</v>
      </c>
      <c r="F2078">
        <f>IFERROR(VLOOKUP($A2078,原始数据_收盘!$A$4:$G$3460,6,0),"")</f>
        <v>4.1232</v>
      </c>
      <c r="G2078">
        <f>IFERROR(VLOOKUP($A2078,原始数据_收盘!$A$4:$G$3460,7,0),"")</f>
        <v>4.2924</v>
      </c>
      <c r="H2078">
        <f>IFERROR(VLOOKUP($A2078,原始数据_利率互换_FR007_1年!$A$6:$C$4395,2,0),"")</f>
        <v>4.1196</v>
      </c>
      <c r="I2078">
        <f>IFERROR(VLOOKUP($A2078,原始数据_利率互换_FR007_1年!$A$6:$C$4395,3,0),"")</f>
        <v>4.2913</v>
      </c>
    </row>
    <row r="2079" spans="1:9">
      <c r="A2079" s="6">
        <v>41572</v>
      </c>
      <c r="B2079">
        <f>IFERROR(VLOOKUP($A2079,原始数据_收盘!$A$4:$G$3460,2,0),"")</f>
        <v>4.0539</v>
      </c>
      <c r="C2079">
        <f>IFERROR(VLOOKUP($A2079,原始数据_收盘!$A$4:$G$3460,3,0),"")</f>
        <v>4.2244</v>
      </c>
      <c r="D2079">
        <f>IFERROR(VLOOKUP($A2079,原始数据_收盘!$A$4:$G$3460,4,0),"")</f>
        <v>4.1092</v>
      </c>
      <c r="E2079">
        <f>IFERROR(VLOOKUP($A2079,原始数据_收盘!$A$4:$G$3460,5,0),"")</f>
        <v>4.2809</v>
      </c>
      <c r="F2079">
        <f>IFERROR(VLOOKUP($A2079,原始数据_收盘!$A$4:$G$3460,6,0),"")</f>
        <v>4.0815</v>
      </c>
      <c r="G2079">
        <f>IFERROR(VLOOKUP($A2079,原始数据_收盘!$A$4:$G$3460,7,0),"")</f>
        <v>4.2526</v>
      </c>
      <c r="H2079">
        <f>IFERROR(VLOOKUP($A2079,原始数据_利率互换_FR007_1年!$A$6:$C$4395,2,0),"")</f>
        <v>4.0976</v>
      </c>
      <c r="I2079">
        <f>IFERROR(VLOOKUP($A2079,原始数据_利率互换_FR007_1年!$A$6:$C$4395,3,0),"")</f>
        <v>4.255</v>
      </c>
    </row>
    <row r="2080" spans="1:9">
      <c r="A2080" s="6">
        <v>41573</v>
      </c>
      <c r="B2080" t="str">
        <f>IFERROR(VLOOKUP($A2080,原始数据_收盘!$A$4:$G$3460,2,0),"")</f>
        <v/>
      </c>
      <c r="C2080" t="str">
        <f>IFERROR(VLOOKUP($A2080,原始数据_收盘!$A$4:$G$3460,3,0),"")</f>
        <v/>
      </c>
      <c r="D2080" t="str">
        <f>IFERROR(VLOOKUP($A2080,原始数据_收盘!$A$4:$G$3460,4,0),"")</f>
        <v/>
      </c>
      <c r="E2080" t="str">
        <f>IFERROR(VLOOKUP($A2080,原始数据_收盘!$A$4:$G$3460,5,0),"")</f>
        <v/>
      </c>
      <c r="F2080" t="str">
        <f>IFERROR(VLOOKUP($A2080,原始数据_收盘!$A$4:$G$3460,6,0),"")</f>
        <v/>
      </c>
      <c r="G2080" t="str">
        <f>IFERROR(VLOOKUP($A2080,原始数据_收盘!$A$4:$G$3460,7,0),"")</f>
        <v/>
      </c>
      <c r="H2080" t="str">
        <f>IFERROR(VLOOKUP($A2080,原始数据_利率互换_FR007_1年!$A$6:$C$4395,2,0),"")</f>
        <v/>
      </c>
      <c r="I2080" t="str">
        <f>IFERROR(VLOOKUP($A2080,原始数据_利率互换_FR007_1年!$A$6:$C$4395,3,0),"")</f>
        <v/>
      </c>
    </row>
    <row r="2081" spans="1:9">
      <c r="A2081" s="6">
        <v>41574</v>
      </c>
      <c r="B2081" t="str">
        <f>IFERROR(VLOOKUP($A2081,原始数据_收盘!$A$4:$G$3460,2,0),"")</f>
        <v/>
      </c>
      <c r="C2081" t="str">
        <f>IFERROR(VLOOKUP($A2081,原始数据_收盘!$A$4:$G$3460,3,0),"")</f>
        <v/>
      </c>
      <c r="D2081" t="str">
        <f>IFERROR(VLOOKUP($A2081,原始数据_收盘!$A$4:$G$3460,4,0),"")</f>
        <v/>
      </c>
      <c r="E2081" t="str">
        <f>IFERROR(VLOOKUP($A2081,原始数据_收盘!$A$4:$G$3460,5,0),"")</f>
        <v/>
      </c>
      <c r="F2081" t="str">
        <f>IFERROR(VLOOKUP($A2081,原始数据_收盘!$A$4:$G$3460,6,0),"")</f>
        <v/>
      </c>
      <c r="G2081" t="str">
        <f>IFERROR(VLOOKUP($A2081,原始数据_收盘!$A$4:$G$3460,7,0),"")</f>
        <v/>
      </c>
      <c r="H2081" t="str">
        <f>IFERROR(VLOOKUP($A2081,原始数据_利率互换_FR007_1年!$A$6:$C$4395,2,0),"")</f>
        <v/>
      </c>
      <c r="I2081" t="str">
        <f>IFERROR(VLOOKUP($A2081,原始数据_利率互换_FR007_1年!$A$6:$C$4395,3,0),"")</f>
        <v/>
      </c>
    </row>
    <row r="2082" spans="1:9">
      <c r="A2082" s="6">
        <v>41575</v>
      </c>
      <c r="B2082">
        <f>IFERROR(VLOOKUP($A2082,原始数据_收盘!$A$4:$G$3460,2,0),"")</f>
        <v>4.0797</v>
      </c>
      <c r="C2082">
        <f>IFERROR(VLOOKUP($A2082,原始数据_收盘!$A$4:$G$3460,3,0),"")</f>
        <v>4.2401</v>
      </c>
      <c r="D2082">
        <f>IFERROR(VLOOKUP($A2082,原始数据_收盘!$A$4:$G$3460,4,0),"")</f>
        <v>4.1432</v>
      </c>
      <c r="E2082">
        <f>IFERROR(VLOOKUP($A2082,原始数据_收盘!$A$4:$G$3460,5,0),"")</f>
        <v>4.2991</v>
      </c>
      <c r="F2082">
        <f>IFERROR(VLOOKUP($A2082,原始数据_收盘!$A$4:$G$3460,6,0),"")</f>
        <v>4.1114</v>
      </c>
      <c r="G2082">
        <f>IFERROR(VLOOKUP($A2082,原始数据_收盘!$A$4:$G$3460,7,0),"")</f>
        <v>4.2696</v>
      </c>
      <c r="H2082">
        <f>IFERROR(VLOOKUP($A2082,原始数据_利率互换_FR007_1年!$A$6:$C$4395,2,0),"")</f>
        <v>4.1062</v>
      </c>
      <c r="I2082">
        <f>IFERROR(VLOOKUP($A2082,原始数据_利率互换_FR007_1年!$A$6:$C$4395,3,0),"")</f>
        <v>4.2538</v>
      </c>
    </row>
    <row r="2083" spans="1:9">
      <c r="A2083" s="6">
        <v>41576</v>
      </c>
      <c r="B2083">
        <f>IFERROR(VLOOKUP($A2083,原始数据_收盘!$A$4:$G$3460,2,0),"")</f>
        <v>4.1692</v>
      </c>
      <c r="C2083">
        <f>IFERROR(VLOOKUP($A2083,原始数据_收盘!$A$4:$G$3460,3,0),"")</f>
        <v>4.3069</v>
      </c>
      <c r="D2083">
        <f>IFERROR(VLOOKUP($A2083,原始数据_收盘!$A$4:$G$3460,4,0),"")</f>
        <v>4.2265</v>
      </c>
      <c r="E2083">
        <f>IFERROR(VLOOKUP($A2083,原始数据_收盘!$A$4:$G$3460,5,0),"")</f>
        <v>4.3712</v>
      </c>
      <c r="F2083">
        <f>IFERROR(VLOOKUP($A2083,原始数据_收盘!$A$4:$G$3460,6,0),"")</f>
        <v>4.1979</v>
      </c>
      <c r="G2083">
        <f>IFERROR(VLOOKUP($A2083,原始数据_收盘!$A$4:$G$3460,7,0),"")</f>
        <v>4.3391</v>
      </c>
      <c r="H2083">
        <f>IFERROR(VLOOKUP($A2083,原始数据_利率互换_FR007_1年!$A$6:$C$4395,2,0),"")</f>
        <v>4.1636</v>
      </c>
      <c r="I2083">
        <f>IFERROR(VLOOKUP($A2083,原始数据_利率互换_FR007_1年!$A$6:$C$4395,3,0),"")</f>
        <v>4.3353</v>
      </c>
    </row>
    <row r="2084" spans="1:9">
      <c r="A2084" s="6">
        <v>41577</v>
      </c>
      <c r="B2084">
        <f>IFERROR(VLOOKUP($A2084,原始数据_收盘!$A$4:$G$3460,2,0),"")</f>
        <v>4.1948</v>
      </c>
      <c r="C2084">
        <f>IFERROR(VLOOKUP($A2084,原始数据_收盘!$A$4:$G$3460,3,0),"")</f>
        <v>4.3413</v>
      </c>
      <c r="D2084">
        <f>IFERROR(VLOOKUP($A2084,原始数据_收盘!$A$4:$G$3460,4,0),"")</f>
        <v>4.259</v>
      </c>
      <c r="E2084">
        <f>IFERROR(VLOOKUP($A2084,原始数据_收盘!$A$4:$G$3460,5,0),"")</f>
        <v>4.4065</v>
      </c>
      <c r="F2084">
        <f>IFERROR(VLOOKUP($A2084,原始数据_收盘!$A$4:$G$3460,6,0),"")</f>
        <v>4.2269</v>
      </c>
      <c r="G2084">
        <f>IFERROR(VLOOKUP($A2084,原始数据_收盘!$A$4:$G$3460,7,0),"")</f>
        <v>4.3739</v>
      </c>
      <c r="H2084">
        <f>IFERROR(VLOOKUP($A2084,原始数据_利率互换_FR007_1年!$A$6:$C$4395,2,0),"")</f>
        <v>4.2296</v>
      </c>
      <c r="I2084">
        <f>IFERROR(VLOOKUP($A2084,原始数据_利率互换_FR007_1年!$A$6:$C$4395,3,0),"")</f>
        <v>4.3794</v>
      </c>
    </row>
    <row r="2085" spans="1:9">
      <c r="A2085" s="6">
        <v>41578</v>
      </c>
      <c r="B2085">
        <f>IFERROR(VLOOKUP($A2085,原始数据_收盘!$A$4:$G$3460,2,0),"")</f>
        <v>4.142</v>
      </c>
      <c r="C2085">
        <f>IFERROR(VLOOKUP($A2085,原始数据_收盘!$A$4:$G$3460,3,0),"")</f>
        <v>4.3011</v>
      </c>
      <c r="D2085">
        <f>IFERROR(VLOOKUP($A2085,原始数据_收盘!$A$4:$G$3460,4,0),"")</f>
        <v>4.2022</v>
      </c>
      <c r="E2085">
        <f>IFERROR(VLOOKUP($A2085,原始数据_收盘!$A$4:$G$3460,5,0),"")</f>
        <v>4.3668</v>
      </c>
      <c r="F2085">
        <f>IFERROR(VLOOKUP($A2085,原始数据_收盘!$A$4:$G$3460,6,0),"")</f>
        <v>4.1721</v>
      </c>
      <c r="G2085">
        <f>IFERROR(VLOOKUP($A2085,原始数据_收盘!$A$4:$G$3460,7,0),"")</f>
        <v>4.334</v>
      </c>
      <c r="H2085">
        <f>IFERROR(VLOOKUP($A2085,原始数据_利率互换_FR007_1年!$A$6:$C$4395,2,0),"")</f>
        <v>4.1871</v>
      </c>
      <c r="I2085">
        <f>IFERROR(VLOOKUP($A2085,原始数据_利率互换_FR007_1年!$A$6:$C$4395,3,0),"")</f>
        <v>4.34</v>
      </c>
    </row>
    <row r="2086" spans="1:9">
      <c r="A2086" s="6">
        <v>41579</v>
      </c>
      <c r="B2086">
        <f>IFERROR(VLOOKUP($A2086,原始数据_收盘!$A$4:$G$3460,2,0),"")</f>
        <v>4.1163</v>
      </c>
      <c r="C2086">
        <f>IFERROR(VLOOKUP($A2086,原始数据_收盘!$A$4:$G$3460,3,0),"")</f>
        <v>4.3</v>
      </c>
      <c r="D2086">
        <f>IFERROR(VLOOKUP($A2086,原始数据_收盘!$A$4:$G$3460,4,0),"")</f>
        <v>4.1771</v>
      </c>
      <c r="E2086">
        <f>IFERROR(VLOOKUP($A2086,原始数据_收盘!$A$4:$G$3460,5,0),"")</f>
        <v>4.3635</v>
      </c>
      <c r="F2086">
        <f>IFERROR(VLOOKUP($A2086,原始数据_收盘!$A$4:$G$3460,6,0),"")</f>
        <v>4.1467</v>
      </c>
      <c r="G2086">
        <f>IFERROR(VLOOKUP($A2086,原始数据_收盘!$A$4:$G$3460,7,0),"")</f>
        <v>4.3317</v>
      </c>
      <c r="H2086">
        <f>IFERROR(VLOOKUP($A2086,原始数据_利率互换_FR007_1年!$A$6:$C$4395,2,0),"")</f>
        <v>4.1384</v>
      </c>
      <c r="I2086">
        <f>IFERROR(VLOOKUP($A2086,原始数据_利率互换_FR007_1年!$A$6:$C$4395,3,0),"")</f>
        <v>4.32</v>
      </c>
    </row>
    <row r="2087" spans="1:9">
      <c r="A2087" s="6">
        <v>41580</v>
      </c>
      <c r="B2087" t="str">
        <f>IFERROR(VLOOKUP($A2087,原始数据_收盘!$A$4:$G$3460,2,0),"")</f>
        <v/>
      </c>
      <c r="C2087" t="str">
        <f>IFERROR(VLOOKUP($A2087,原始数据_收盘!$A$4:$G$3460,3,0),"")</f>
        <v/>
      </c>
      <c r="D2087" t="str">
        <f>IFERROR(VLOOKUP($A2087,原始数据_收盘!$A$4:$G$3460,4,0),"")</f>
        <v/>
      </c>
      <c r="E2087" t="str">
        <f>IFERROR(VLOOKUP($A2087,原始数据_收盘!$A$4:$G$3460,5,0),"")</f>
        <v/>
      </c>
      <c r="F2087" t="str">
        <f>IFERROR(VLOOKUP($A2087,原始数据_收盘!$A$4:$G$3460,6,0),"")</f>
        <v/>
      </c>
      <c r="G2087" t="str">
        <f>IFERROR(VLOOKUP($A2087,原始数据_收盘!$A$4:$G$3460,7,0),"")</f>
        <v/>
      </c>
      <c r="H2087" t="str">
        <f>IFERROR(VLOOKUP($A2087,原始数据_利率互换_FR007_1年!$A$6:$C$4395,2,0),"")</f>
        <v/>
      </c>
      <c r="I2087" t="str">
        <f>IFERROR(VLOOKUP($A2087,原始数据_利率互换_FR007_1年!$A$6:$C$4395,3,0),"")</f>
        <v/>
      </c>
    </row>
    <row r="2088" spans="1:9">
      <c r="A2088" s="6">
        <v>41581</v>
      </c>
      <c r="B2088" t="str">
        <f>IFERROR(VLOOKUP($A2088,原始数据_收盘!$A$4:$G$3460,2,0),"")</f>
        <v/>
      </c>
      <c r="C2088" t="str">
        <f>IFERROR(VLOOKUP($A2088,原始数据_收盘!$A$4:$G$3460,3,0),"")</f>
        <v/>
      </c>
      <c r="D2088" t="str">
        <f>IFERROR(VLOOKUP($A2088,原始数据_收盘!$A$4:$G$3460,4,0),"")</f>
        <v/>
      </c>
      <c r="E2088" t="str">
        <f>IFERROR(VLOOKUP($A2088,原始数据_收盘!$A$4:$G$3460,5,0),"")</f>
        <v/>
      </c>
      <c r="F2088" t="str">
        <f>IFERROR(VLOOKUP($A2088,原始数据_收盘!$A$4:$G$3460,6,0),"")</f>
        <v/>
      </c>
      <c r="G2088" t="str">
        <f>IFERROR(VLOOKUP($A2088,原始数据_收盘!$A$4:$G$3460,7,0),"")</f>
        <v/>
      </c>
      <c r="H2088" t="str">
        <f>IFERROR(VLOOKUP($A2088,原始数据_利率互换_FR007_1年!$A$6:$C$4395,2,0),"")</f>
        <v/>
      </c>
      <c r="I2088" t="str">
        <f>IFERROR(VLOOKUP($A2088,原始数据_利率互换_FR007_1年!$A$6:$C$4395,3,0),"")</f>
        <v/>
      </c>
    </row>
    <row r="2089" spans="1:9">
      <c r="A2089" s="6">
        <v>41582</v>
      </c>
      <c r="B2089">
        <f>IFERROR(VLOOKUP($A2089,原始数据_收盘!$A$4:$G$3460,2,0),"")</f>
        <v>4.1478</v>
      </c>
      <c r="C2089">
        <f>IFERROR(VLOOKUP($A2089,原始数据_收盘!$A$4:$G$3460,3,0),"")</f>
        <v>4.3219</v>
      </c>
      <c r="D2089">
        <f>IFERROR(VLOOKUP($A2089,原始数据_收盘!$A$4:$G$3460,4,0),"")</f>
        <v>4.2056</v>
      </c>
      <c r="E2089">
        <f>IFERROR(VLOOKUP($A2089,原始数据_收盘!$A$4:$G$3460,5,0),"")</f>
        <v>4.3847</v>
      </c>
      <c r="F2089">
        <f>IFERROR(VLOOKUP($A2089,原始数据_收盘!$A$4:$G$3460,6,0),"")</f>
        <v>4.1767</v>
      </c>
      <c r="G2089">
        <f>IFERROR(VLOOKUP($A2089,原始数据_收盘!$A$4:$G$3460,7,0),"")</f>
        <v>4.3533</v>
      </c>
      <c r="H2089">
        <f>IFERROR(VLOOKUP($A2089,原始数据_利率互换_FR007_1年!$A$6:$C$4395,2,0),"")</f>
        <v>4.1497</v>
      </c>
      <c r="I2089">
        <f>IFERROR(VLOOKUP($A2089,原始数据_利率互换_FR007_1年!$A$6:$C$4395,3,0),"")</f>
        <v>4.32</v>
      </c>
    </row>
    <row r="2090" spans="1:9">
      <c r="A2090" s="6">
        <v>41583</v>
      </c>
      <c r="B2090">
        <f>IFERROR(VLOOKUP($A2090,原始数据_收盘!$A$4:$G$3460,2,0),"")</f>
        <v>4.1805</v>
      </c>
      <c r="C2090">
        <f>IFERROR(VLOOKUP($A2090,原始数据_收盘!$A$4:$G$3460,3,0),"")</f>
        <v>4.3674</v>
      </c>
      <c r="D2090">
        <f>IFERROR(VLOOKUP($A2090,原始数据_收盘!$A$4:$G$3460,4,0),"")</f>
        <v>4.2435</v>
      </c>
      <c r="E2090">
        <f>IFERROR(VLOOKUP($A2090,原始数据_收盘!$A$4:$G$3460,5,0),"")</f>
        <v>4.4342</v>
      </c>
      <c r="F2090">
        <f>IFERROR(VLOOKUP($A2090,原始数据_收盘!$A$4:$G$3460,6,0),"")</f>
        <v>4.212</v>
      </c>
      <c r="G2090">
        <f>IFERROR(VLOOKUP($A2090,原始数据_收盘!$A$4:$G$3460,7,0),"")</f>
        <v>4.4008</v>
      </c>
      <c r="H2090">
        <f>IFERROR(VLOOKUP($A2090,原始数据_利率互换_FR007_1年!$A$6:$C$4395,2,0),"")</f>
        <v>4.2011</v>
      </c>
      <c r="I2090">
        <f>IFERROR(VLOOKUP($A2090,原始数据_利率互换_FR007_1年!$A$6:$C$4395,3,0),"")</f>
        <v>4.39</v>
      </c>
    </row>
    <row r="2091" spans="1:9">
      <c r="A2091" s="6">
        <v>41584</v>
      </c>
      <c r="B2091">
        <f>IFERROR(VLOOKUP($A2091,原始数据_收盘!$A$4:$G$3460,2,0),"")</f>
        <v>4.2037</v>
      </c>
      <c r="C2091">
        <f>IFERROR(VLOOKUP($A2091,原始数据_收盘!$A$4:$G$3460,3,0),"")</f>
        <v>4.4087</v>
      </c>
      <c r="D2091">
        <f>IFERROR(VLOOKUP($A2091,原始数据_收盘!$A$4:$G$3460,4,0),"")</f>
        <v>4.2668</v>
      </c>
      <c r="E2091">
        <f>IFERROR(VLOOKUP($A2091,原始数据_收盘!$A$4:$G$3460,5,0),"")</f>
        <v>4.4745</v>
      </c>
      <c r="F2091">
        <f>IFERROR(VLOOKUP($A2091,原始数据_收盘!$A$4:$G$3460,6,0),"")</f>
        <v>4.2352</v>
      </c>
      <c r="G2091">
        <f>IFERROR(VLOOKUP($A2091,原始数据_收盘!$A$4:$G$3460,7,0),"")</f>
        <v>4.4416</v>
      </c>
      <c r="H2091">
        <f>IFERROR(VLOOKUP($A2091,原始数据_利率互换_FR007_1年!$A$6:$C$4395,2,0),"")</f>
        <v>4.2382</v>
      </c>
      <c r="I2091">
        <f>IFERROR(VLOOKUP($A2091,原始数据_利率互换_FR007_1年!$A$6:$C$4395,3,0),"")</f>
        <v>4.4317</v>
      </c>
    </row>
    <row r="2092" spans="1:9">
      <c r="A2092" s="6">
        <v>41585</v>
      </c>
      <c r="B2092">
        <f>IFERROR(VLOOKUP($A2092,原始数据_收盘!$A$4:$G$3460,2,0),"")</f>
        <v>4.3092</v>
      </c>
      <c r="C2092">
        <f>IFERROR(VLOOKUP($A2092,原始数据_收盘!$A$4:$G$3460,3,0),"")</f>
        <v>4.5738</v>
      </c>
      <c r="D2092">
        <f>IFERROR(VLOOKUP($A2092,原始数据_收盘!$A$4:$G$3460,4,0),"")</f>
        <v>4.3778</v>
      </c>
      <c r="E2092">
        <f>IFERROR(VLOOKUP($A2092,原始数据_收盘!$A$4:$G$3460,5,0),"")</f>
        <v>4.642</v>
      </c>
      <c r="F2092">
        <f>IFERROR(VLOOKUP($A2092,原始数据_收盘!$A$4:$G$3460,6,0),"")</f>
        <v>4.3435</v>
      </c>
      <c r="G2092">
        <f>IFERROR(VLOOKUP($A2092,原始数据_收盘!$A$4:$G$3460,7,0),"")</f>
        <v>4.6079</v>
      </c>
      <c r="H2092">
        <f>IFERROR(VLOOKUP($A2092,原始数据_利率互换_FR007_1年!$A$6:$C$4395,2,0),"")</f>
        <v>4.3105</v>
      </c>
      <c r="I2092">
        <f>IFERROR(VLOOKUP($A2092,原始数据_利率互换_FR007_1年!$A$6:$C$4395,3,0),"")</f>
        <v>4.5428</v>
      </c>
    </row>
    <row r="2093" spans="1:9">
      <c r="A2093" s="6">
        <v>41586</v>
      </c>
      <c r="B2093">
        <f>IFERROR(VLOOKUP($A2093,原始数据_收盘!$A$4:$G$3460,2,0),"")</f>
        <v>4.3236</v>
      </c>
      <c r="C2093">
        <f>IFERROR(VLOOKUP($A2093,原始数据_收盘!$A$4:$G$3460,3,0),"")</f>
        <v>4.6392</v>
      </c>
      <c r="D2093">
        <f>IFERROR(VLOOKUP($A2093,原始数据_收盘!$A$4:$G$3460,4,0),"")</f>
        <v>4.3844</v>
      </c>
      <c r="E2093">
        <f>IFERROR(VLOOKUP($A2093,原始数据_收盘!$A$4:$G$3460,5,0),"")</f>
        <v>4.6989</v>
      </c>
      <c r="F2093">
        <f>IFERROR(VLOOKUP($A2093,原始数据_收盘!$A$4:$G$3460,6,0),"")</f>
        <v>4.354</v>
      </c>
      <c r="G2093">
        <f>IFERROR(VLOOKUP($A2093,原始数据_收盘!$A$4:$G$3460,7,0),"")</f>
        <v>4.669</v>
      </c>
      <c r="H2093">
        <f>IFERROR(VLOOKUP($A2093,原始数据_利率互换_FR007_1年!$A$6:$C$4395,2,0),"")</f>
        <v>4.3613</v>
      </c>
      <c r="I2093">
        <f>IFERROR(VLOOKUP($A2093,原始数据_利率互换_FR007_1年!$A$6:$C$4395,3,0),"")</f>
        <v>4.6757</v>
      </c>
    </row>
    <row r="2094" spans="1:9">
      <c r="A2094" s="6">
        <v>41587</v>
      </c>
      <c r="B2094" t="str">
        <f>IFERROR(VLOOKUP($A2094,原始数据_收盘!$A$4:$G$3460,2,0),"")</f>
        <v/>
      </c>
      <c r="C2094" t="str">
        <f>IFERROR(VLOOKUP($A2094,原始数据_收盘!$A$4:$G$3460,3,0),"")</f>
        <v/>
      </c>
      <c r="D2094" t="str">
        <f>IFERROR(VLOOKUP($A2094,原始数据_收盘!$A$4:$G$3460,4,0),"")</f>
        <v/>
      </c>
      <c r="E2094" t="str">
        <f>IFERROR(VLOOKUP($A2094,原始数据_收盘!$A$4:$G$3460,5,0),"")</f>
        <v/>
      </c>
      <c r="F2094" t="str">
        <f>IFERROR(VLOOKUP($A2094,原始数据_收盘!$A$4:$G$3460,6,0),"")</f>
        <v/>
      </c>
      <c r="G2094" t="str">
        <f>IFERROR(VLOOKUP($A2094,原始数据_收盘!$A$4:$G$3460,7,0),"")</f>
        <v/>
      </c>
      <c r="H2094" t="str">
        <f>IFERROR(VLOOKUP($A2094,原始数据_利率互换_FR007_1年!$A$6:$C$4395,2,0),"")</f>
        <v/>
      </c>
      <c r="I2094" t="str">
        <f>IFERROR(VLOOKUP($A2094,原始数据_利率互换_FR007_1年!$A$6:$C$4395,3,0),"")</f>
        <v/>
      </c>
    </row>
    <row r="2095" spans="1:9">
      <c r="A2095" s="6">
        <v>41588</v>
      </c>
      <c r="B2095" t="str">
        <f>IFERROR(VLOOKUP($A2095,原始数据_收盘!$A$4:$G$3460,2,0),"")</f>
        <v/>
      </c>
      <c r="C2095" t="str">
        <f>IFERROR(VLOOKUP($A2095,原始数据_收盘!$A$4:$G$3460,3,0),"")</f>
        <v/>
      </c>
      <c r="D2095" t="str">
        <f>IFERROR(VLOOKUP($A2095,原始数据_收盘!$A$4:$G$3460,4,0),"")</f>
        <v/>
      </c>
      <c r="E2095" t="str">
        <f>IFERROR(VLOOKUP($A2095,原始数据_收盘!$A$4:$G$3460,5,0),"")</f>
        <v/>
      </c>
      <c r="F2095" t="str">
        <f>IFERROR(VLOOKUP($A2095,原始数据_收盘!$A$4:$G$3460,6,0),"")</f>
        <v/>
      </c>
      <c r="G2095" t="str">
        <f>IFERROR(VLOOKUP($A2095,原始数据_收盘!$A$4:$G$3460,7,0),"")</f>
        <v/>
      </c>
      <c r="H2095" t="str">
        <f>IFERROR(VLOOKUP($A2095,原始数据_利率互换_FR007_1年!$A$6:$C$4395,2,0),"")</f>
        <v/>
      </c>
      <c r="I2095" t="str">
        <f>IFERROR(VLOOKUP($A2095,原始数据_利率互换_FR007_1年!$A$6:$C$4395,3,0),"")</f>
        <v/>
      </c>
    </row>
    <row r="2096" spans="1:9">
      <c r="A2096" s="6">
        <v>41589</v>
      </c>
      <c r="B2096">
        <f>IFERROR(VLOOKUP($A2096,原始数据_收盘!$A$4:$G$3460,2,0),"")</f>
        <v>4.3603</v>
      </c>
      <c r="C2096">
        <f>IFERROR(VLOOKUP($A2096,原始数据_收盘!$A$4:$G$3460,3,0),"")</f>
        <v>4.7206</v>
      </c>
      <c r="D2096">
        <f>IFERROR(VLOOKUP($A2096,原始数据_收盘!$A$4:$G$3460,4,0),"")</f>
        <v>4.4218</v>
      </c>
      <c r="E2096">
        <f>IFERROR(VLOOKUP($A2096,原始数据_收盘!$A$4:$G$3460,5,0),"")</f>
        <v>4.7863</v>
      </c>
      <c r="F2096">
        <f>IFERROR(VLOOKUP($A2096,原始数据_收盘!$A$4:$G$3460,6,0),"")</f>
        <v>4.3911</v>
      </c>
      <c r="G2096">
        <f>IFERROR(VLOOKUP($A2096,原始数据_收盘!$A$4:$G$3460,7,0),"")</f>
        <v>4.7535</v>
      </c>
      <c r="H2096">
        <f>IFERROR(VLOOKUP($A2096,原始数据_利率互换_FR007_1年!$A$6:$C$4395,2,0),"")</f>
        <v>4.3909</v>
      </c>
      <c r="I2096">
        <f>IFERROR(VLOOKUP($A2096,原始数据_利率互换_FR007_1年!$A$6:$C$4395,3,0),"")</f>
        <v>4.7501</v>
      </c>
    </row>
    <row r="2097" spans="1:9">
      <c r="A2097" s="6">
        <v>41590</v>
      </c>
      <c r="B2097">
        <f>IFERROR(VLOOKUP($A2097,原始数据_收盘!$A$4:$G$3460,2,0),"")</f>
        <v>4.3589</v>
      </c>
      <c r="C2097">
        <f>IFERROR(VLOOKUP($A2097,原始数据_收盘!$A$4:$G$3460,3,0),"")</f>
        <v>4.6851</v>
      </c>
      <c r="D2097">
        <f>IFERROR(VLOOKUP($A2097,原始数据_收盘!$A$4:$G$3460,4,0),"")</f>
        <v>4.424</v>
      </c>
      <c r="E2097">
        <f>IFERROR(VLOOKUP($A2097,原始数据_收盘!$A$4:$G$3460,5,0),"")</f>
        <v>4.7536</v>
      </c>
      <c r="F2097">
        <f>IFERROR(VLOOKUP($A2097,原始数据_收盘!$A$4:$G$3460,6,0),"")</f>
        <v>4.3915</v>
      </c>
      <c r="G2097">
        <f>IFERROR(VLOOKUP($A2097,原始数据_收盘!$A$4:$G$3460,7,0),"")</f>
        <v>4.7194</v>
      </c>
      <c r="H2097">
        <f>IFERROR(VLOOKUP($A2097,原始数据_利率互换_FR007_1年!$A$6:$C$4395,2,0),"")</f>
        <v>4.3611</v>
      </c>
      <c r="I2097">
        <f>IFERROR(VLOOKUP($A2097,原始数据_利率互换_FR007_1年!$A$6:$C$4395,3,0),"")</f>
        <v>4.6957</v>
      </c>
    </row>
    <row r="2098" spans="1:9">
      <c r="A2098" s="6">
        <v>41591</v>
      </c>
      <c r="B2098">
        <f>IFERROR(VLOOKUP($A2098,原始数据_收盘!$A$4:$G$3460,2,0),"")</f>
        <v>4.3348</v>
      </c>
      <c r="C2098">
        <f>IFERROR(VLOOKUP($A2098,原始数据_收盘!$A$4:$G$3460,3,0),"")</f>
        <v>4.6442</v>
      </c>
      <c r="D2098">
        <f>IFERROR(VLOOKUP($A2098,原始数据_收盘!$A$4:$G$3460,4,0),"")</f>
        <v>4.3975</v>
      </c>
      <c r="E2098">
        <f>IFERROR(VLOOKUP($A2098,原始数据_收盘!$A$4:$G$3460,5,0),"")</f>
        <v>4.7088</v>
      </c>
      <c r="F2098">
        <f>IFERROR(VLOOKUP($A2098,原始数据_收盘!$A$4:$G$3460,6,0),"")</f>
        <v>4.3662</v>
      </c>
      <c r="G2098">
        <f>IFERROR(VLOOKUP($A2098,原始数据_收盘!$A$4:$G$3460,7,0),"")</f>
        <v>4.6765</v>
      </c>
      <c r="H2098">
        <f>IFERROR(VLOOKUP($A2098,原始数据_利率互换_FR007_1年!$A$6:$C$4395,2,0),"")</f>
        <v>4.3779</v>
      </c>
      <c r="I2098">
        <f>IFERROR(VLOOKUP($A2098,原始数据_利率互换_FR007_1年!$A$6:$C$4395,3,0),"")</f>
        <v>4.6947</v>
      </c>
    </row>
    <row r="2099" spans="1:9">
      <c r="A2099" s="6">
        <v>41592</v>
      </c>
      <c r="B2099">
        <f>IFERROR(VLOOKUP($A2099,原始数据_收盘!$A$4:$G$3460,2,0),"")</f>
        <v>4.3873</v>
      </c>
      <c r="C2099">
        <f>IFERROR(VLOOKUP($A2099,原始数据_收盘!$A$4:$G$3460,3,0),"")</f>
        <v>4.6677</v>
      </c>
      <c r="D2099">
        <f>IFERROR(VLOOKUP($A2099,原始数据_收盘!$A$4:$G$3460,4,0),"")</f>
        <v>4.4483</v>
      </c>
      <c r="E2099">
        <f>IFERROR(VLOOKUP($A2099,原始数据_收盘!$A$4:$G$3460,5,0),"")</f>
        <v>4.7364</v>
      </c>
      <c r="F2099">
        <f>IFERROR(VLOOKUP($A2099,原始数据_收盘!$A$4:$G$3460,6,0),"")</f>
        <v>4.4178</v>
      </c>
      <c r="G2099">
        <f>IFERROR(VLOOKUP($A2099,原始数据_收盘!$A$4:$G$3460,7,0),"")</f>
        <v>4.702</v>
      </c>
      <c r="H2099">
        <f>IFERROR(VLOOKUP($A2099,原始数据_利率互换_FR007_1年!$A$6:$C$4395,2,0),"")</f>
        <v>4.4037</v>
      </c>
      <c r="I2099">
        <f>IFERROR(VLOOKUP($A2099,原始数据_利率互换_FR007_1年!$A$6:$C$4395,3,0),"")</f>
        <v>4.6793</v>
      </c>
    </row>
    <row r="2100" spans="1:9">
      <c r="A2100" s="6">
        <v>41593</v>
      </c>
      <c r="B2100">
        <f>IFERROR(VLOOKUP($A2100,原始数据_收盘!$A$4:$G$3460,2,0),"")</f>
        <v>4.4945</v>
      </c>
      <c r="C2100">
        <f>IFERROR(VLOOKUP($A2100,原始数据_收盘!$A$4:$G$3460,3,0),"")</f>
        <v>4.7426</v>
      </c>
      <c r="D2100">
        <f>IFERROR(VLOOKUP($A2100,原始数据_收盘!$A$4:$G$3460,4,0),"")</f>
        <v>4.562</v>
      </c>
      <c r="E2100">
        <f>IFERROR(VLOOKUP($A2100,原始数据_收盘!$A$4:$G$3460,5,0),"")</f>
        <v>4.8082</v>
      </c>
      <c r="F2100">
        <f>IFERROR(VLOOKUP($A2100,原始数据_收盘!$A$4:$G$3460,6,0),"")</f>
        <v>4.5283</v>
      </c>
      <c r="G2100">
        <f>IFERROR(VLOOKUP($A2100,原始数据_收盘!$A$4:$G$3460,7,0),"")</f>
        <v>4.7754</v>
      </c>
      <c r="H2100">
        <f>IFERROR(VLOOKUP($A2100,原始数据_利率互换_FR007_1年!$A$6:$C$4395,2,0),"")</f>
        <v>4.5273</v>
      </c>
      <c r="I2100">
        <f>IFERROR(VLOOKUP($A2100,原始数据_利率互换_FR007_1年!$A$6:$C$4395,3,0),"")</f>
        <v>4.7621</v>
      </c>
    </row>
    <row r="2101" spans="1:9">
      <c r="A2101" s="6">
        <v>41594</v>
      </c>
      <c r="B2101" t="str">
        <f>IFERROR(VLOOKUP($A2101,原始数据_收盘!$A$4:$G$3460,2,0),"")</f>
        <v/>
      </c>
      <c r="C2101" t="str">
        <f>IFERROR(VLOOKUP($A2101,原始数据_收盘!$A$4:$G$3460,3,0),"")</f>
        <v/>
      </c>
      <c r="D2101" t="str">
        <f>IFERROR(VLOOKUP($A2101,原始数据_收盘!$A$4:$G$3460,4,0),"")</f>
        <v/>
      </c>
      <c r="E2101" t="str">
        <f>IFERROR(VLOOKUP($A2101,原始数据_收盘!$A$4:$G$3460,5,0),"")</f>
        <v/>
      </c>
      <c r="F2101" t="str">
        <f>IFERROR(VLOOKUP($A2101,原始数据_收盘!$A$4:$G$3460,6,0),"")</f>
        <v/>
      </c>
      <c r="G2101" t="str">
        <f>IFERROR(VLOOKUP($A2101,原始数据_收盘!$A$4:$G$3460,7,0),"")</f>
        <v/>
      </c>
      <c r="H2101" t="str">
        <f>IFERROR(VLOOKUP($A2101,原始数据_利率互换_FR007_1年!$A$6:$C$4395,2,0),"")</f>
        <v/>
      </c>
      <c r="I2101" t="str">
        <f>IFERROR(VLOOKUP($A2101,原始数据_利率互换_FR007_1年!$A$6:$C$4395,3,0),"")</f>
        <v/>
      </c>
    </row>
    <row r="2102" spans="1:9">
      <c r="A2102" s="6">
        <v>41595</v>
      </c>
      <c r="B2102" t="str">
        <f>IFERROR(VLOOKUP($A2102,原始数据_收盘!$A$4:$G$3460,2,0),"")</f>
        <v/>
      </c>
      <c r="C2102" t="str">
        <f>IFERROR(VLOOKUP($A2102,原始数据_收盘!$A$4:$G$3460,3,0),"")</f>
        <v/>
      </c>
      <c r="D2102" t="str">
        <f>IFERROR(VLOOKUP($A2102,原始数据_收盘!$A$4:$G$3460,4,0),"")</f>
        <v/>
      </c>
      <c r="E2102" t="str">
        <f>IFERROR(VLOOKUP($A2102,原始数据_收盘!$A$4:$G$3460,5,0),"")</f>
        <v/>
      </c>
      <c r="F2102" t="str">
        <f>IFERROR(VLOOKUP($A2102,原始数据_收盘!$A$4:$G$3460,6,0),"")</f>
        <v/>
      </c>
      <c r="G2102" t="str">
        <f>IFERROR(VLOOKUP($A2102,原始数据_收盘!$A$4:$G$3460,7,0),"")</f>
        <v/>
      </c>
      <c r="H2102" t="str">
        <f>IFERROR(VLOOKUP($A2102,原始数据_利率互换_FR007_1年!$A$6:$C$4395,2,0),"")</f>
        <v/>
      </c>
      <c r="I2102" t="str">
        <f>IFERROR(VLOOKUP($A2102,原始数据_利率互换_FR007_1年!$A$6:$C$4395,3,0),"")</f>
        <v/>
      </c>
    </row>
    <row r="2103" spans="1:9">
      <c r="A2103" s="6">
        <v>41596</v>
      </c>
      <c r="B2103">
        <f>IFERROR(VLOOKUP($A2103,原始数据_收盘!$A$4:$G$3460,2,0),"")</f>
        <v>4.493</v>
      </c>
      <c r="C2103">
        <f>IFERROR(VLOOKUP($A2103,原始数据_收盘!$A$4:$G$3460,3,0),"")</f>
        <v>4.7265</v>
      </c>
      <c r="D2103">
        <f>IFERROR(VLOOKUP($A2103,原始数据_收盘!$A$4:$G$3460,4,0),"")</f>
        <v>4.557</v>
      </c>
      <c r="E2103">
        <f>IFERROR(VLOOKUP($A2103,原始数据_收盘!$A$4:$G$3460,5,0),"")</f>
        <v>4.795</v>
      </c>
      <c r="F2103">
        <f>IFERROR(VLOOKUP($A2103,原始数据_收盘!$A$4:$G$3460,6,0),"")</f>
        <v>4.525</v>
      </c>
      <c r="G2103">
        <f>IFERROR(VLOOKUP($A2103,原始数据_收盘!$A$4:$G$3460,7,0),"")</f>
        <v>4.7608</v>
      </c>
      <c r="H2103">
        <f>IFERROR(VLOOKUP($A2103,原始数据_利率互换_FR007_1年!$A$6:$C$4395,2,0),"")</f>
        <v>4.537</v>
      </c>
      <c r="I2103">
        <f>IFERROR(VLOOKUP($A2103,原始数据_利率互换_FR007_1年!$A$6:$C$4395,3,0),"")</f>
        <v>4.7541</v>
      </c>
    </row>
    <row r="2104" spans="1:9">
      <c r="A2104" s="6">
        <v>41597</v>
      </c>
      <c r="B2104">
        <f>IFERROR(VLOOKUP($A2104,原始数据_收盘!$A$4:$G$3460,2,0),"")</f>
        <v>4.5436</v>
      </c>
      <c r="C2104">
        <f>IFERROR(VLOOKUP($A2104,原始数据_收盘!$A$4:$G$3460,3,0),"")</f>
        <v>4.7568</v>
      </c>
      <c r="D2104">
        <f>IFERROR(VLOOKUP($A2104,原始数据_收盘!$A$4:$G$3460,4,0),"")</f>
        <v>4.6068</v>
      </c>
      <c r="E2104">
        <f>IFERROR(VLOOKUP($A2104,原始数据_收盘!$A$4:$G$3460,5,0),"")</f>
        <v>4.8212</v>
      </c>
      <c r="F2104">
        <f>IFERROR(VLOOKUP($A2104,原始数据_收盘!$A$4:$G$3460,6,0),"")</f>
        <v>4.5752</v>
      </c>
      <c r="G2104">
        <f>IFERROR(VLOOKUP($A2104,原始数据_收盘!$A$4:$G$3460,7,0),"")</f>
        <v>4.789</v>
      </c>
      <c r="H2104">
        <f>IFERROR(VLOOKUP($A2104,原始数据_利率互换_FR007_1年!$A$6:$C$4395,2,0),"")</f>
        <v>4.5432</v>
      </c>
      <c r="I2104">
        <f>IFERROR(VLOOKUP($A2104,原始数据_利率互换_FR007_1年!$A$6:$C$4395,3,0),"")</f>
        <v>4.7644</v>
      </c>
    </row>
    <row r="2105" spans="1:9">
      <c r="A2105" s="6">
        <v>41598</v>
      </c>
      <c r="B2105">
        <f>IFERROR(VLOOKUP($A2105,原始数据_收盘!$A$4:$G$3460,2,0),"")</f>
        <v>4.5488</v>
      </c>
      <c r="C2105">
        <f>IFERROR(VLOOKUP($A2105,原始数据_收盘!$A$4:$G$3460,3,0),"")</f>
        <v>4.7441</v>
      </c>
      <c r="D2105">
        <f>IFERROR(VLOOKUP($A2105,原始数据_收盘!$A$4:$G$3460,4,0),"")</f>
        <v>4.6118</v>
      </c>
      <c r="E2105">
        <f>IFERROR(VLOOKUP($A2105,原始数据_收盘!$A$4:$G$3460,5,0),"")</f>
        <v>4.807</v>
      </c>
      <c r="F2105">
        <f>IFERROR(VLOOKUP($A2105,原始数据_收盘!$A$4:$G$3460,6,0),"")</f>
        <v>4.5803</v>
      </c>
      <c r="G2105">
        <f>IFERROR(VLOOKUP($A2105,原始数据_收盘!$A$4:$G$3460,7,0),"")</f>
        <v>4.7755</v>
      </c>
      <c r="H2105">
        <f>IFERROR(VLOOKUP($A2105,原始数据_利率互换_FR007_1年!$A$6:$C$4395,2,0),"")</f>
        <v>4.5945</v>
      </c>
      <c r="I2105">
        <f>IFERROR(VLOOKUP($A2105,原始数据_利率互换_FR007_1年!$A$6:$C$4395,3,0),"")</f>
        <v>4.8315</v>
      </c>
    </row>
    <row r="2106" spans="1:9">
      <c r="A2106" s="6">
        <v>41599</v>
      </c>
      <c r="B2106">
        <f>IFERROR(VLOOKUP($A2106,原始数据_收盘!$A$4:$G$3460,2,0),"")</f>
        <v>4.5236</v>
      </c>
      <c r="C2106">
        <f>IFERROR(VLOOKUP($A2106,原始数据_收盘!$A$4:$G$3460,3,0),"")</f>
        <v>4.7022</v>
      </c>
      <c r="D2106">
        <f>IFERROR(VLOOKUP($A2106,原始数据_收盘!$A$4:$G$3460,4,0),"")</f>
        <v>4.58</v>
      </c>
      <c r="E2106">
        <f>IFERROR(VLOOKUP($A2106,原始数据_收盘!$A$4:$G$3460,5,0),"")</f>
        <v>4.7657</v>
      </c>
      <c r="F2106">
        <f>IFERROR(VLOOKUP($A2106,原始数据_收盘!$A$4:$G$3460,6,0),"")</f>
        <v>4.5518</v>
      </c>
      <c r="G2106">
        <f>IFERROR(VLOOKUP($A2106,原始数据_收盘!$A$4:$G$3460,7,0),"")</f>
        <v>4.734</v>
      </c>
      <c r="H2106">
        <f>IFERROR(VLOOKUP($A2106,原始数据_利率互换_FR007_1年!$A$6:$C$4395,2,0),"")</f>
        <v>4.5549</v>
      </c>
      <c r="I2106">
        <f>IFERROR(VLOOKUP($A2106,原始数据_利率互换_FR007_1年!$A$6:$C$4395,3,0),"")</f>
        <v>4.7309</v>
      </c>
    </row>
    <row r="2107" spans="1:9">
      <c r="A2107" s="6">
        <v>41600</v>
      </c>
      <c r="B2107">
        <f>IFERROR(VLOOKUP($A2107,原始数据_收盘!$A$4:$G$3460,2,0),"")</f>
        <v>4.4795</v>
      </c>
      <c r="C2107">
        <f>IFERROR(VLOOKUP($A2107,原始数据_收盘!$A$4:$G$3460,3,0),"")</f>
        <v>4.6343</v>
      </c>
      <c r="D2107">
        <f>IFERROR(VLOOKUP($A2107,原始数据_收盘!$A$4:$G$3460,4,0),"")</f>
        <v>4.5478</v>
      </c>
      <c r="E2107">
        <f>IFERROR(VLOOKUP($A2107,原始数据_收盘!$A$4:$G$3460,5,0),"")</f>
        <v>4.7032</v>
      </c>
      <c r="F2107">
        <f>IFERROR(VLOOKUP($A2107,原始数据_收盘!$A$4:$G$3460,6,0),"")</f>
        <v>4.5136</v>
      </c>
      <c r="G2107">
        <f>IFERROR(VLOOKUP($A2107,原始数据_收盘!$A$4:$G$3460,7,0),"")</f>
        <v>4.6687</v>
      </c>
      <c r="H2107">
        <f>IFERROR(VLOOKUP($A2107,原始数据_利率互换_FR007_1年!$A$6:$C$4395,2,0),"")</f>
        <v>4.5353</v>
      </c>
      <c r="I2107">
        <f>IFERROR(VLOOKUP($A2107,原始数据_利率互换_FR007_1年!$A$6:$C$4395,3,0),"")</f>
        <v>4.6822</v>
      </c>
    </row>
    <row r="2108" spans="1:9">
      <c r="A2108" s="6">
        <v>41601</v>
      </c>
      <c r="B2108" t="str">
        <f>IFERROR(VLOOKUP($A2108,原始数据_收盘!$A$4:$G$3460,2,0),"")</f>
        <v/>
      </c>
      <c r="C2108" t="str">
        <f>IFERROR(VLOOKUP($A2108,原始数据_收盘!$A$4:$G$3460,3,0),"")</f>
        <v/>
      </c>
      <c r="D2108" t="str">
        <f>IFERROR(VLOOKUP($A2108,原始数据_收盘!$A$4:$G$3460,4,0),"")</f>
        <v/>
      </c>
      <c r="E2108" t="str">
        <f>IFERROR(VLOOKUP($A2108,原始数据_收盘!$A$4:$G$3460,5,0),"")</f>
        <v/>
      </c>
      <c r="F2108" t="str">
        <f>IFERROR(VLOOKUP($A2108,原始数据_收盘!$A$4:$G$3460,6,0),"")</f>
        <v/>
      </c>
      <c r="G2108" t="str">
        <f>IFERROR(VLOOKUP($A2108,原始数据_收盘!$A$4:$G$3460,7,0),"")</f>
        <v/>
      </c>
      <c r="H2108" t="str">
        <f>IFERROR(VLOOKUP($A2108,原始数据_利率互换_FR007_1年!$A$6:$C$4395,2,0),"")</f>
        <v/>
      </c>
      <c r="I2108" t="str">
        <f>IFERROR(VLOOKUP($A2108,原始数据_利率互换_FR007_1年!$A$6:$C$4395,3,0),"")</f>
        <v/>
      </c>
    </row>
    <row r="2109" spans="1:9">
      <c r="A2109" s="6">
        <v>41602</v>
      </c>
      <c r="B2109" t="str">
        <f>IFERROR(VLOOKUP($A2109,原始数据_收盘!$A$4:$G$3460,2,0),"")</f>
        <v/>
      </c>
      <c r="C2109" t="str">
        <f>IFERROR(VLOOKUP($A2109,原始数据_收盘!$A$4:$G$3460,3,0),"")</f>
        <v/>
      </c>
      <c r="D2109" t="str">
        <f>IFERROR(VLOOKUP($A2109,原始数据_收盘!$A$4:$G$3460,4,0),"")</f>
        <v/>
      </c>
      <c r="E2109" t="str">
        <f>IFERROR(VLOOKUP($A2109,原始数据_收盘!$A$4:$G$3460,5,0),"")</f>
        <v/>
      </c>
      <c r="F2109" t="str">
        <f>IFERROR(VLOOKUP($A2109,原始数据_收盘!$A$4:$G$3460,6,0),"")</f>
        <v/>
      </c>
      <c r="G2109" t="str">
        <f>IFERROR(VLOOKUP($A2109,原始数据_收盘!$A$4:$G$3460,7,0),"")</f>
        <v/>
      </c>
      <c r="H2109" t="str">
        <f>IFERROR(VLOOKUP($A2109,原始数据_利率互换_FR007_1年!$A$6:$C$4395,2,0),"")</f>
        <v/>
      </c>
      <c r="I2109" t="str">
        <f>IFERROR(VLOOKUP($A2109,原始数据_利率互换_FR007_1年!$A$6:$C$4395,3,0),"")</f>
        <v/>
      </c>
    </row>
    <row r="2110" spans="1:9">
      <c r="A2110" s="6">
        <v>41603</v>
      </c>
      <c r="B2110">
        <f>IFERROR(VLOOKUP($A2110,原始数据_收盘!$A$4:$G$3460,2,0),"")</f>
        <v>4.4873</v>
      </c>
      <c r="C2110">
        <f>IFERROR(VLOOKUP($A2110,原始数据_收盘!$A$4:$G$3460,3,0),"")</f>
        <v>4.6351</v>
      </c>
      <c r="D2110">
        <f>IFERROR(VLOOKUP($A2110,原始数据_收盘!$A$4:$G$3460,4,0),"")</f>
        <v>4.549</v>
      </c>
      <c r="E2110">
        <f>IFERROR(VLOOKUP($A2110,原始数据_收盘!$A$4:$G$3460,5,0),"")</f>
        <v>4.6975</v>
      </c>
      <c r="F2110">
        <f>IFERROR(VLOOKUP($A2110,原始数据_收盘!$A$4:$G$3460,6,0),"")</f>
        <v>4.5182</v>
      </c>
      <c r="G2110">
        <f>IFERROR(VLOOKUP($A2110,原始数据_收盘!$A$4:$G$3460,7,0),"")</f>
        <v>4.6663</v>
      </c>
      <c r="H2110">
        <f>IFERROR(VLOOKUP($A2110,原始数据_利率互换_FR007_1年!$A$6:$C$4395,2,0),"")</f>
        <v>4.501</v>
      </c>
      <c r="I2110">
        <f>IFERROR(VLOOKUP($A2110,原始数据_利率互换_FR007_1年!$A$6:$C$4395,3,0),"")</f>
        <v>4.6575</v>
      </c>
    </row>
    <row r="2111" spans="1:9">
      <c r="A2111" s="6">
        <v>41604</v>
      </c>
      <c r="B2111">
        <f>IFERROR(VLOOKUP($A2111,原始数据_收盘!$A$4:$G$3460,2,0),"")</f>
        <v>4.4625</v>
      </c>
      <c r="C2111">
        <f>IFERROR(VLOOKUP($A2111,原始数据_收盘!$A$4:$G$3460,3,0),"")</f>
        <v>4.5964</v>
      </c>
      <c r="D2111">
        <f>IFERROR(VLOOKUP($A2111,原始数据_收盘!$A$4:$G$3460,4,0),"")</f>
        <v>4.5275</v>
      </c>
      <c r="E2111">
        <f>IFERROR(VLOOKUP($A2111,原始数据_收盘!$A$4:$G$3460,5,0),"")</f>
        <v>4.6596</v>
      </c>
      <c r="F2111">
        <f>IFERROR(VLOOKUP($A2111,原始数据_收盘!$A$4:$G$3460,6,0),"")</f>
        <v>4.495</v>
      </c>
      <c r="G2111">
        <f>IFERROR(VLOOKUP($A2111,原始数据_收盘!$A$4:$G$3460,7,0),"")</f>
        <v>4.628</v>
      </c>
      <c r="H2111">
        <f>IFERROR(VLOOKUP($A2111,原始数据_利率互换_FR007_1年!$A$6:$C$4395,2,0),"")</f>
        <v>0</v>
      </c>
      <c r="I2111">
        <f>IFERROR(VLOOKUP($A2111,原始数据_利率互换_FR007_1年!$A$6:$C$4395,3,0),"")</f>
        <v>4.6468</v>
      </c>
    </row>
    <row r="2112" spans="1:9">
      <c r="A2112" s="6">
        <v>41605</v>
      </c>
      <c r="B2112">
        <f>IFERROR(VLOOKUP($A2112,原始数据_收盘!$A$4:$G$3460,2,0),"")</f>
        <v>4.4627</v>
      </c>
      <c r="C2112">
        <f>IFERROR(VLOOKUP($A2112,原始数据_收盘!$A$4:$G$3460,3,0),"")</f>
        <v>4.581</v>
      </c>
      <c r="D2112">
        <f>IFERROR(VLOOKUP($A2112,原始数据_收盘!$A$4:$G$3460,4,0),"")</f>
        <v>4.525</v>
      </c>
      <c r="E2112">
        <f>IFERROR(VLOOKUP($A2112,原始数据_收盘!$A$4:$G$3460,5,0),"")</f>
        <v>4.6388</v>
      </c>
      <c r="F2112">
        <f>IFERROR(VLOOKUP($A2112,原始数据_收盘!$A$4:$G$3460,6,0),"")</f>
        <v>4.4939</v>
      </c>
      <c r="G2112">
        <f>IFERROR(VLOOKUP($A2112,原始数据_收盘!$A$4:$G$3460,7,0),"")</f>
        <v>4.6099</v>
      </c>
      <c r="H2112">
        <f>IFERROR(VLOOKUP($A2112,原始数据_利率互换_FR007_1年!$A$6:$C$4395,2,0),"")</f>
        <v>4.471</v>
      </c>
      <c r="I2112">
        <f>IFERROR(VLOOKUP($A2112,原始数据_利率互换_FR007_1年!$A$6:$C$4395,3,0),"")</f>
        <v>4.5768</v>
      </c>
    </row>
    <row r="2113" spans="1:9">
      <c r="A2113" s="6">
        <v>41606</v>
      </c>
      <c r="B2113">
        <f>IFERROR(VLOOKUP($A2113,原始数据_收盘!$A$4:$G$3460,2,0),"")</f>
        <v>4.4581</v>
      </c>
      <c r="C2113">
        <f>IFERROR(VLOOKUP($A2113,原始数据_收盘!$A$4:$G$3460,3,0),"")</f>
        <v>4.5706</v>
      </c>
      <c r="D2113">
        <f>IFERROR(VLOOKUP($A2113,原始数据_收盘!$A$4:$G$3460,4,0),"")</f>
        <v>4.525</v>
      </c>
      <c r="E2113">
        <f>IFERROR(VLOOKUP($A2113,原始数据_收盘!$A$4:$G$3460,5,0),"")</f>
        <v>4.6317</v>
      </c>
      <c r="F2113">
        <f>IFERROR(VLOOKUP($A2113,原始数据_收盘!$A$4:$G$3460,6,0),"")</f>
        <v>4.4915</v>
      </c>
      <c r="G2113">
        <f>IFERROR(VLOOKUP($A2113,原始数据_收盘!$A$4:$G$3460,7,0),"")</f>
        <v>4.6012</v>
      </c>
      <c r="H2113">
        <f>IFERROR(VLOOKUP($A2113,原始数据_利率互换_FR007_1年!$A$6:$C$4395,2,0),"")</f>
        <v>4.5103</v>
      </c>
      <c r="I2113">
        <f>IFERROR(VLOOKUP($A2113,原始数据_利率互换_FR007_1年!$A$6:$C$4395,3,0),"")</f>
        <v>4.6158</v>
      </c>
    </row>
    <row r="2114" spans="1:9">
      <c r="A2114" s="6">
        <v>41607</v>
      </c>
      <c r="B2114">
        <f>IFERROR(VLOOKUP($A2114,原始数据_收盘!$A$4:$G$3460,2,0),"")</f>
        <v>4.4793</v>
      </c>
      <c r="C2114">
        <f>IFERROR(VLOOKUP($A2114,原始数据_收盘!$A$4:$G$3460,3,0),"")</f>
        <v>4.6003</v>
      </c>
      <c r="D2114">
        <f>IFERROR(VLOOKUP($A2114,原始数据_收盘!$A$4:$G$3460,4,0),"")</f>
        <v>4.544</v>
      </c>
      <c r="E2114">
        <f>IFERROR(VLOOKUP($A2114,原始数据_收盘!$A$4:$G$3460,5,0),"")</f>
        <v>4.6704</v>
      </c>
      <c r="F2114">
        <f>IFERROR(VLOOKUP($A2114,原始数据_收盘!$A$4:$G$3460,6,0),"")</f>
        <v>4.5117</v>
      </c>
      <c r="G2114">
        <f>IFERROR(VLOOKUP($A2114,原始数据_收盘!$A$4:$G$3460,7,0),"")</f>
        <v>4.6354</v>
      </c>
      <c r="H2114">
        <f>IFERROR(VLOOKUP($A2114,原始数据_利率互换_FR007_1年!$A$6:$C$4395,2,0),"")</f>
        <v>4.4967</v>
      </c>
      <c r="I2114">
        <f>IFERROR(VLOOKUP($A2114,原始数据_利率互换_FR007_1年!$A$6:$C$4395,3,0),"")</f>
        <v>4.6188</v>
      </c>
    </row>
    <row r="2115" spans="1:9">
      <c r="A2115" s="6">
        <v>41608</v>
      </c>
      <c r="B2115" t="str">
        <f>IFERROR(VLOOKUP($A2115,原始数据_收盘!$A$4:$G$3460,2,0),"")</f>
        <v/>
      </c>
      <c r="C2115" t="str">
        <f>IFERROR(VLOOKUP($A2115,原始数据_收盘!$A$4:$G$3460,3,0),"")</f>
        <v/>
      </c>
      <c r="D2115" t="str">
        <f>IFERROR(VLOOKUP($A2115,原始数据_收盘!$A$4:$G$3460,4,0),"")</f>
        <v/>
      </c>
      <c r="E2115" t="str">
        <f>IFERROR(VLOOKUP($A2115,原始数据_收盘!$A$4:$G$3460,5,0),"")</f>
        <v/>
      </c>
      <c r="F2115" t="str">
        <f>IFERROR(VLOOKUP($A2115,原始数据_收盘!$A$4:$G$3460,6,0),"")</f>
        <v/>
      </c>
      <c r="G2115" t="str">
        <f>IFERROR(VLOOKUP($A2115,原始数据_收盘!$A$4:$G$3460,7,0),"")</f>
        <v/>
      </c>
      <c r="H2115" t="str">
        <f>IFERROR(VLOOKUP($A2115,原始数据_利率互换_FR007_1年!$A$6:$C$4395,2,0),"")</f>
        <v/>
      </c>
      <c r="I2115" t="str">
        <f>IFERROR(VLOOKUP($A2115,原始数据_利率互换_FR007_1年!$A$6:$C$4395,3,0),"")</f>
        <v/>
      </c>
    </row>
    <row r="2116" spans="1:9">
      <c r="A2116" s="6">
        <v>41609</v>
      </c>
      <c r="B2116" t="str">
        <f>IFERROR(VLOOKUP($A2116,原始数据_收盘!$A$4:$G$3460,2,0),"")</f>
        <v/>
      </c>
      <c r="C2116" t="str">
        <f>IFERROR(VLOOKUP($A2116,原始数据_收盘!$A$4:$G$3460,3,0),"")</f>
        <v/>
      </c>
      <c r="D2116" t="str">
        <f>IFERROR(VLOOKUP($A2116,原始数据_收盘!$A$4:$G$3460,4,0),"")</f>
        <v/>
      </c>
      <c r="E2116" t="str">
        <f>IFERROR(VLOOKUP($A2116,原始数据_收盘!$A$4:$G$3460,5,0),"")</f>
        <v/>
      </c>
      <c r="F2116" t="str">
        <f>IFERROR(VLOOKUP($A2116,原始数据_收盘!$A$4:$G$3460,6,0),"")</f>
        <v/>
      </c>
      <c r="G2116" t="str">
        <f>IFERROR(VLOOKUP($A2116,原始数据_收盘!$A$4:$G$3460,7,0),"")</f>
        <v/>
      </c>
      <c r="H2116" t="str">
        <f>IFERROR(VLOOKUP($A2116,原始数据_利率互换_FR007_1年!$A$6:$C$4395,2,0),"")</f>
        <v/>
      </c>
      <c r="I2116" t="str">
        <f>IFERROR(VLOOKUP($A2116,原始数据_利率互换_FR007_1年!$A$6:$C$4395,3,0),"")</f>
        <v/>
      </c>
    </row>
    <row r="2117" spans="1:9">
      <c r="A2117" s="6">
        <v>41610</v>
      </c>
      <c r="B2117">
        <f>IFERROR(VLOOKUP($A2117,原始数据_收盘!$A$4:$G$3460,2,0),"")</f>
        <v>4.5596</v>
      </c>
      <c r="C2117">
        <f>IFERROR(VLOOKUP($A2117,原始数据_收盘!$A$4:$G$3460,3,0),"")</f>
        <v>4.7136</v>
      </c>
      <c r="D2117">
        <f>IFERROR(VLOOKUP($A2117,原始数据_收盘!$A$4:$G$3460,4,0),"")</f>
        <v>4.6194</v>
      </c>
      <c r="E2117">
        <f>IFERROR(VLOOKUP($A2117,原始数据_收盘!$A$4:$G$3460,5,0),"")</f>
        <v>4.7738</v>
      </c>
      <c r="F2117">
        <f>IFERROR(VLOOKUP($A2117,原始数据_收盘!$A$4:$G$3460,6,0),"")</f>
        <v>4.5895</v>
      </c>
      <c r="G2117">
        <f>IFERROR(VLOOKUP($A2117,原始数据_收盘!$A$4:$G$3460,7,0),"")</f>
        <v>4.7437</v>
      </c>
      <c r="H2117">
        <f>IFERROR(VLOOKUP($A2117,原始数据_利率互换_FR007_1年!$A$6:$C$4395,2,0),"")</f>
        <v>4.5788</v>
      </c>
      <c r="I2117">
        <f>IFERROR(VLOOKUP($A2117,原始数据_利率互换_FR007_1年!$A$6:$C$4395,3,0),"")</f>
        <v>4.704</v>
      </c>
    </row>
    <row r="2118" spans="1:9">
      <c r="A2118" s="6">
        <v>41611</v>
      </c>
      <c r="B2118">
        <f>IFERROR(VLOOKUP($A2118,原始数据_收盘!$A$4:$G$3460,2,0),"")</f>
        <v>4.5864</v>
      </c>
      <c r="C2118">
        <f>IFERROR(VLOOKUP($A2118,原始数据_收盘!$A$4:$G$3460,3,0),"")</f>
        <v>4.7257</v>
      </c>
      <c r="D2118">
        <f>IFERROR(VLOOKUP($A2118,原始数据_收盘!$A$4:$G$3460,4,0),"")</f>
        <v>4.6505</v>
      </c>
      <c r="E2118">
        <f>IFERROR(VLOOKUP($A2118,原始数据_收盘!$A$4:$G$3460,5,0),"")</f>
        <v>4.786</v>
      </c>
      <c r="F2118">
        <f>IFERROR(VLOOKUP($A2118,原始数据_收盘!$A$4:$G$3460,6,0),"")</f>
        <v>4.6184</v>
      </c>
      <c r="G2118">
        <f>IFERROR(VLOOKUP($A2118,原始数据_收盘!$A$4:$G$3460,7,0),"")</f>
        <v>4.7559</v>
      </c>
      <c r="H2118">
        <f>IFERROR(VLOOKUP($A2118,原始数据_利率互换_FR007_1年!$A$6:$C$4395,2,0),"")</f>
        <v>4.6224</v>
      </c>
      <c r="I2118">
        <f>IFERROR(VLOOKUP($A2118,原始数据_利率互换_FR007_1年!$A$6:$C$4395,3,0),"")</f>
        <v>4.758</v>
      </c>
    </row>
    <row r="2119" spans="1:9">
      <c r="A2119" s="6">
        <v>41612</v>
      </c>
      <c r="B2119">
        <f>IFERROR(VLOOKUP($A2119,原始数据_收盘!$A$4:$G$3460,2,0),"")</f>
        <v>4.6452</v>
      </c>
      <c r="C2119">
        <f>IFERROR(VLOOKUP($A2119,原始数据_收盘!$A$4:$G$3460,3,0),"")</f>
        <v>4.784</v>
      </c>
      <c r="D2119">
        <f>IFERROR(VLOOKUP($A2119,原始数据_收盘!$A$4:$G$3460,4,0),"")</f>
        <v>4.71</v>
      </c>
      <c r="E2119">
        <f>IFERROR(VLOOKUP($A2119,原始数据_收盘!$A$4:$G$3460,5,0),"")</f>
        <v>4.8559</v>
      </c>
      <c r="F2119">
        <f>IFERROR(VLOOKUP($A2119,原始数据_收盘!$A$4:$G$3460,6,0),"")</f>
        <v>4.6776</v>
      </c>
      <c r="G2119">
        <f>IFERROR(VLOOKUP($A2119,原始数据_收盘!$A$4:$G$3460,7,0),"")</f>
        <v>4.82</v>
      </c>
      <c r="H2119">
        <f>IFERROR(VLOOKUP($A2119,原始数据_利率互换_FR007_1年!$A$6:$C$4395,2,0),"")</f>
        <v>4.6638</v>
      </c>
      <c r="I2119">
        <f>IFERROR(VLOOKUP($A2119,原始数据_利率互换_FR007_1年!$A$6:$C$4395,3,0),"")</f>
        <v>4.8135</v>
      </c>
    </row>
    <row r="2120" spans="1:9">
      <c r="A2120" s="6">
        <v>41613</v>
      </c>
      <c r="B2120">
        <f>IFERROR(VLOOKUP($A2120,原始数据_收盘!$A$4:$G$3460,2,0),"")</f>
        <v>4.7296</v>
      </c>
      <c r="C2120">
        <f>IFERROR(VLOOKUP($A2120,原始数据_收盘!$A$4:$G$3460,3,0),"")</f>
        <v>4.8792</v>
      </c>
      <c r="D2120">
        <f>IFERROR(VLOOKUP($A2120,原始数据_收盘!$A$4:$G$3460,4,0),"")</f>
        <v>4.7963</v>
      </c>
      <c r="E2120">
        <f>IFERROR(VLOOKUP($A2120,原始数据_收盘!$A$4:$G$3460,5,0),"")</f>
        <v>4.955</v>
      </c>
      <c r="F2120">
        <f>IFERROR(VLOOKUP($A2120,原始数据_收盘!$A$4:$G$3460,6,0),"")</f>
        <v>4.7629</v>
      </c>
      <c r="G2120">
        <f>IFERROR(VLOOKUP($A2120,原始数据_收盘!$A$4:$G$3460,7,0),"")</f>
        <v>4.9171</v>
      </c>
      <c r="H2120">
        <f>IFERROR(VLOOKUP($A2120,原始数据_利率互换_FR007_1年!$A$6:$C$4395,2,0),"")</f>
        <v>4.7121</v>
      </c>
      <c r="I2120">
        <f>IFERROR(VLOOKUP($A2120,原始数据_利率互换_FR007_1年!$A$6:$C$4395,3,0),"")</f>
        <v>4.8678</v>
      </c>
    </row>
    <row r="2121" spans="1:9">
      <c r="A2121" s="6">
        <v>41614</v>
      </c>
      <c r="B2121">
        <f>IFERROR(VLOOKUP($A2121,原始数据_收盘!$A$4:$G$3460,2,0),"")</f>
        <v>4.7376</v>
      </c>
      <c r="C2121">
        <f>IFERROR(VLOOKUP($A2121,原始数据_收盘!$A$4:$G$3460,3,0),"")</f>
        <v>4.8808</v>
      </c>
      <c r="D2121">
        <f>IFERROR(VLOOKUP($A2121,原始数据_收盘!$A$4:$G$3460,4,0),"")</f>
        <v>4.8035</v>
      </c>
      <c r="E2121">
        <f>IFERROR(VLOOKUP($A2121,原始数据_收盘!$A$4:$G$3460,5,0),"")</f>
        <v>4.9557</v>
      </c>
      <c r="F2121">
        <f>IFERROR(VLOOKUP($A2121,原始数据_收盘!$A$4:$G$3460,6,0),"")</f>
        <v>4.7706</v>
      </c>
      <c r="G2121">
        <f>IFERROR(VLOOKUP($A2121,原始数据_收盘!$A$4:$G$3460,7,0),"")</f>
        <v>4.9183</v>
      </c>
      <c r="H2121">
        <f>IFERROR(VLOOKUP($A2121,原始数据_利率互换_FR007_1年!$A$6:$C$4395,2,0),"")</f>
        <v>4.7944</v>
      </c>
      <c r="I2121">
        <f>IFERROR(VLOOKUP($A2121,原始数据_利率互换_FR007_1年!$A$6:$C$4395,3,0),"")</f>
        <v>4.894</v>
      </c>
    </row>
    <row r="2122" spans="1:9">
      <c r="A2122" s="6">
        <v>41615</v>
      </c>
      <c r="B2122" t="str">
        <f>IFERROR(VLOOKUP($A2122,原始数据_收盘!$A$4:$G$3460,2,0),"")</f>
        <v/>
      </c>
      <c r="C2122" t="str">
        <f>IFERROR(VLOOKUP($A2122,原始数据_收盘!$A$4:$G$3460,3,0),"")</f>
        <v/>
      </c>
      <c r="D2122" t="str">
        <f>IFERROR(VLOOKUP($A2122,原始数据_收盘!$A$4:$G$3460,4,0),"")</f>
        <v/>
      </c>
      <c r="E2122" t="str">
        <f>IFERROR(VLOOKUP($A2122,原始数据_收盘!$A$4:$G$3460,5,0),"")</f>
        <v/>
      </c>
      <c r="F2122" t="str">
        <f>IFERROR(VLOOKUP($A2122,原始数据_收盘!$A$4:$G$3460,6,0),"")</f>
        <v/>
      </c>
      <c r="G2122" t="str">
        <f>IFERROR(VLOOKUP($A2122,原始数据_收盘!$A$4:$G$3460,7,0),"")</f>
        <v/>
      </c>
      <c r="H2122" t="str">
        <f>IFERROR(VLOOKUP($A2122,原始数据_利率互换_FR007_1年!$A$6:$C$4395,2,0),"")</f>
        <v/>
      </c>
      <c r="I2122" t="str">
        <f>IFERROR(VLOOKUP($A2122,原始数据_利率互换_FR007_1年!$A$6:$C$4395,3,0),"")</f>
        <v/>
      </c>
    </row>
    <row r="2123" spans="1:9">
      <c r="A2123" s="6">
        <v>41616</v>
      </c>
      <c r="B2123" t="str">
        <f>IFERROR(VLOOKUP($A2123,原始数据_收盘!$A$4:$G$3460,2,0),"")</f>
        <v/>
      </c>
      <c r="C2123" t="str">
        <f>IFERROR(VLOOKUP($A2123,原始数据_收盘!$A$4:$G$3460,3,0),"")</f>
        <v/>
      </c>
      <c r="D2123" t="str">
        <f>IFERROR(VLOOKUP($A2123,原始数据_收盘!$A$4:$G$3460,4,0),"")</f>
        <v/>
      </c>
      <c r="E2123" t="str">
        <f>IFERROR(VLOOKUP($A2123,原始数据_收盘!$A$4:$G$3460,5,0),"")</f>
        <v/>
      </c>
      <c r="F2123" t="str">
        <f>IFERROR(VLOOKUP($A2123,原始数据_收盘!$A$4:$G$3460,6,0),"")</f>
        <v/>
      </c>
      <c r="G2123" t="str">
        <f>IFERROR(VLOOKUP($A2123,原始数据_收盘!$A$4:$G$3460,7,0),"")</f>
        <v/>
      </c>
      <c r="H2123" t="str">
        <f>IFERROR(VLOOKUP($A2123,原始数据_利率互换_FR007_1年!$A$6:$C$4395,2,0),"")</f>
        <v/>
      </c>
      <c r="I2123" t="str">
        <f>IFERROR(VLOOKUP($A2123,原始数据_利率互换_FR007_1年!$A$6:$C$4395,3,0),"")</f>
        <v/>
      </c>
    </row>
    <row r="2124" spans="1:9">
      <c r="A2124" s="6">
        <v>41617</v>
      </c>
      <c r="B2124">
        <f>IFERROR(VLOOKUP($A2124,原始数据_收盘!$A$4:$G$3460,2,0),"")</f>
        <v>4.7341</v>
      </c>
      <c r="C2124">
        <f>IFERROR(VLOOKUP($A2124,原始数据_收盘!$A$4:$G$3460,3,0),"")</f>
        <v>4.8699</v>
      </c>
      <c r="D2124">
        <f>IFERROR(VLOOKUP($A2124,原始数据_收盘!$A$4:$G$3460,4,0),"")</f>
        <v>4.7968</v>
      </c>
      <c r="E2124">
        <f>IFERROR(VLOOKUP($A2124,原始数据_收盘!$A$4:$G$3460,5,0),"")</f>
        <v>4.9399</v>
      </c>
      <c r="F2124">
        <f>IFERROR(VLOOKUP($A2124,原始数据_收盘!$A$4:$G$3460,6,0),"")</f>
        <v>4.7655</v>
      </c>
      <c r="G2124">
        <f>IFERROR(VLOOKUP($A2124,原始数据_收盘!$A$4:$G$3460,7,0),"")</f>
        <v>4.9049</v>
      </c>
      <c r="H2124">
        <f>IFERROR(VLOOKUP($A2124,原始数据_利率互换_FR007_1年!$A$6:$C$4395,2,0),"")</f>
        <v>4.7561</v>
      </c>
      <c r="I2124">
        <f>IFERROR(VLOOKUP($A2124,原始数据_利率互换_FR007_1年!$A$6:$C$4395,3,0),"")</f>
        <v>4.8939</v>
      </c>
    </row>
    <row r="2125" spans="1:9">
      <c r="A2125" s="6">
        <v>41618</v>
      </c>
      <c r="B2125">
        <f>IFERROR(VLOOKUP($A2125,原始数据_收盘!$A$4:$G$3460,2,0),"")</f>
        <v>4.8</v>
      </c>
      <c r="C2125">
        <f>IFERROR(VLOOKUP($A2125,原始数据_收盘!$A$4:$G$3460,3,0),"")</f>
        <v>4.9325</v>
      </c>
      <c r="D2125">
        <f>IFERROR(VLOOKUP($A2125,原始数据_收盘!$A$4:$G$3460,4,0),"")</f>
        <v>4.8611</v>
      </c>
      <c r="E2125">
        <f>IFERROR(VLOOKUP($A2125,原始数据_收盘!$A$4:$G$3460,5,0),"")</f>
        <v>5.0065</v>
      </c>
      <c r="F2125">
        <f>IFERROR(VLOOKUP($A2125,原始数据_收盘!$A$4:$G$3460,6,0),"")</f>
        <v>4.8306</v>
      </c>
      <c r="G2125">
        <f>IFERROR(VLOOKUP($A2125,原始数据_收盘!$A$4:$G$3460,7,0),"")</f>
        <v>4.9695</v>
      </c>
      <c r="H2125">
        <f>IFERROR(VLOOKUP($A2125,原始数据_利率互换_FR007_1年!$A$6:$C$4395,2,0),"")</f>
        <v>4.825</v>
      </c>
      <c r="I2125">
        <f>IFERROR(VLOOKUP($A2125,原始数据_利率互换_FR007_1年!$A$6:$C$4395,3,0),"")</f>
        <v>4.984</v>
      </c>
    </row>
    <row r="2126" spans="1:9">
      <c r="A2126" s="6">
        <v>41619</v>
      </c>
      <c r="B2126">
        <f>IFERROR(VLOOKUP($A2126,原始数据_收盘!$A$4:$G$3460,2,0),"")</f>
        <v>4.751</v>
      </c>
      <c r="C2126">
        <f>IFERROR(VLOOKUP($A2126,原始数据_收盘!$A$4:$G$3460,3,0),"")</f>
        <v>4.9097</v>
      </c>
      <c r="D2126">
        <f>IFERROR(VLOOKUP($A2126,原始数据_收盘!$A$4:$G$3460,4,0),"")</f>
        <v>4.8123</v>
      </c>
      <c r="E2126">
        <f>IFERROR(VLOOKUP($A2126,原始数据_收盘!$A$4:$G$3460,5,0),"")</f>
        <v>4.979</v>
      </c>
      <c r="F2126">
        <f>IFERROR(VLOOKUP($A2126,原始数据_收盘!$A$4:$G$3460,6,0),"")</f>
        <v>4.7817</v>
      </c>
      <c r="G2126">
        <f>IFERROR(VLOOKUP($A2126,原始数据_收盘!$A$4:$G$3460,7,0),"")</f>
        <v>4.9444</v>
      </c>
      <c r="H2126">
        <f>IFERROR(VLOOKUP($A2126,原始数据_利率互换_FR007_1年!$A$6:$C$4395,2,0),"")</f>
        <v>4.7929</v>
      </c>
      <c r="I2126">
        <f>IFERROR(VLOOKUP($A2126,原始数据_利率互换_FR007_1年!$A$6:$C$4395,3,0),"")</f>
        <v>4.9619</v>
      </c>
    </row>
    <row r="2127" spans="1:9">
      <c r="A2127" s="6">
        <v>41620</v>
      </c>
      <c r="B2127">
        <f>IFERROR(VLOOKUP($A2127,原始数据_收盘!$A$4:$G$3460,2,0),"")</f>
        <v>4.711</v>
      </c>
      <c r="C2127">
        <f>IFERROR(VLOOKUP($A2127,原始数据_收盘!$A$4:$G$3460,3,0),"")</f>
        <v>4.8539</v>
      </c>
      <c r="D2127">
        <f>IFERROR(VLOOKUP($A2127,原始数据_收盘!$A$4:$G$3460,4,0),"")</f>
        <v>4.7714</v>
      </c>
      <c r="E2127">
        <f>IFERROR(VLOOKUP($A2127,原始数据_收盘!$A$4:$G$3460,5,0),"")</f>
        <v>4.9201</v>
      </c>
      <c r="F2127">
        <f>IFERROR(VLOOKUP($A2127,原始数据_收盘!$A$4:$G$3460,6,0),"")</f>
        <v>4.7412</v>
      </c>
      <c r="G2127">
        <f>IFERROR(VLOOKUP($A2127,原始数据_收盘!$A$4:$G$3460,7,0),"")</f>
        <v>4.887</v>
      </c>
      <c r="H2127">
        <f>IFERROR(VLOOKUP($A2127,原始数据_利率互换_FR007_1年!$A$6:$C$4395,2,0),"")</f>
        <v>4.716</v>
      </c>
      <c r="I2127">
        <f>IFERROR(VLOOKUP($A2127,原始数据_利率互换_FR007_1年!$A$6:$C$4395,3,0),"")</f>
        <v>4.8499</v>
      </c>
    </row>
    <row r="2128" spans="1:9">
      <c r="A2128" s="6">
        <v>41621</v>
      </c>
      <c r="B2128">
        <f>IFERROR(VLOOKUP($A2128,原始数据_收盘!$A$4:$G$3460,2,0),"")</f>
        <v>4.7075</v>
      </c>
      <c r="C2128">
        <f>IFERROR(VLOOKUP($A2128,原始数据_收盘!$A$4:$G$3460,3,0),"")</f>
        <v>4.8646</v>
      </c>
      <c r="D2128">
        <f>IFERROR(VLOOKUP($A2128,原始数据_收盘!$A$4:$G$3460,4,0),"")</f>
        <v>4.7733</v>
      </c>
      <c r="E2128">
        <f>IFERROR(VLOOKUP($A2128,原始数据_收盘!$A$4:$G$3460,5,0),"")</f>
        <v>4.9291</v>
      </c>
      <c r="F2128">
        <f>IFERROR(VLOOKUP($A2128,原始数据_收盘!$A$4:$G$3460,6,0),"")</f>
        <v>4.7404</v>
      </c>
      <c r="G2128">
        <f>IFERROR(VLOOKUP($A2128,原始数据_收盘!$A$4:$G$3460,7,0),"")</f>
        <v>4.8969</v>
      </c>
      <c r="H2128">
        <f>IFERROR(VLOOKUP($A2128,原始数据_利率互换_FR007_1年!$A$6:$C$4395,2,0),"")</f>
        <v>4.7093</v>
      </c>
      <c r="I2128">
        <f>IFERROR(VLOOKUP($A2128,原始数据_利率互换_FR007_1年!$A$6:$C$4395,3,0),"")</f>
        <v>4.8932</v>
      </c>
    </row>
    <row r="2129" spans="1:9">
      <c r="A2129" s="6">
        <v>41622</v>
      </c>
      <c r="B2129" t="str">
        <f>IFERROR(VLOOKUP($A2129,原始数据_收盘!$A$4:$G$3460,2,0),"")</f>
        <v/>
      </c>
      <c r="C2129" t="str">
        <f>IFERROR(VLOOKUP($A2129,原始数据_收盘!$A$4:$G$3460,3,0),"")</f>
        <v/>
      </c>
      <c r="D2129" t="str">
        <f>IFERROR(VLOOKUP($A2129,原始数据_收盘!$A$4:$G$3460,4,0),"")</f>
        <v/>
      </c>
      <c r="E2129" t="str">
        <f>IFERROR(VLOOKUP($A2129,原始数据_收盘!$A$4:$G$3460,5,0),"")</f>
        <v/>
      </c>
      <c r="F2129" t="str">
        <f>IFERROR(VLOOKUP($A2129,原始数据_收盘!$A$4:$G$3460,6,0),"")</f>
        <v/>
      </c>
      <c r="G2129" t="str">
        <f>IFERROR(VLOOKUP($A2129,原始数据_收盘!$A$4:$G$3460,7,0),"")</f>
        <v/>
      </c>
      <c r="H2129" t="str">
        <f>IFERROR(VLOOKUP($A2129,原始数据_利率互换_FR007_1年!$A$6:$C$4395,2,0),"")</f>
        <v/>
      </c>
      <c r="I2129" t="str">
        <f>IFERROR(VLOOKUP($A2129,原始数据_利率互换_FR007_1年!$A$6:$C$4395,3,0),"")</f>
        <v/>
      </c>
    </row>
    <row r="2130" spans="1:9">
      <c r="A2130" s="6">
        <v>41623</v>
      </c>
      <c r="B2130" t="str">
        <f>IFERROR(VLOOKUP($A2130,原始数据_收盘!$A$4:$G$3460,2,0),"")</f>
        <v/>
      </c>
      <c r="C2130" t="str">
        <f>IFERROR(VLOOKUP($A2130,原始数据_收盘!$A$4:$G$3460,3,0),"")</f>
        <v/>
      </c>
      <c r="D2130" t="str">
        <f>IFERROR(VLOOKUP($A2130,原始数据_收盘!$A$4:$G$3460,4,0),"")</f>
        <v/>
      </c>
      <c r="E2130" t="str">
        <f>IFERROR(VLOOKUP($A2130,原始数据_收盘!$A$4:$G$3460,5,0),"")</f>
        <v/>
      </c>
      <c r="F2130" t="str">
        <f>IFERROR(VLOOKUP($A2130,原始数据_收盘!$A$4:$G$3460,6,0),"")</f>
        <v/>
      </c>
      <c r="G2130" t="str">
        <f>IFERROR(VLOOKUP($A2130,原始数据_收盘!$A$4:$G$3460,7,0),"")</f>
        <v/>
      </c>
      <c r="H2130" t="str">
        <f>IFERROR(VLOOKUP($A2130,原始数据_利率互换_FR007_1年!$A$6:$C$4395,2,0),"")</f>
        <v/>
      </c>
      <c r="I2130" t="str">
        <f>IFERROR(VLOOKUP($A2130,原始数据_利率互换_FR007_1年!$A$6:$C$4395,3,0),"")</f>
        <v/>
      </c>
    </row>
    <row r="2131" spans="1:9">
      <c r="A2131" s="6">
        <v>41624</v>
      </c>
      <c r="B2131">
        <f>IFERROR(VLOOKUP($A2131,原始数据_收盘!$A$4:$G$3460,2,0),"")</f>
        <v>4.7494</v>
      </c>
      <c r="C2131">
        <f>IFERROR(VLOOKUP($A2131,原始数据_收盘!$A$4:$G$3460,3,0),"")</f>
        <v>4.9024</v>
      </c>
      <c r="D2131">
        <f>IFERROR(VLOOKUP($A2131,原始数据_收盘!$A$4:$G$3460,4,0),"")</f>
        <v>4.8142</v>
      </c>
      <c r="E2131">
        <f>IFERROR(VLOOKUP($A2131,原始数据_收盘!$A$4:$G$3460,5,0),"")</f>
        <v>4.9685</v>
      </c>
      <c r="F2131">
        <f>IFERROR(VLOOKUP($A2131,原始数据_收盘!$A$4:$G$3460,6,0),"")</f>
        <v>4.7818</v>
      </c>
      <c r="G2131">
        <f>IFERROR(VLOOKUP($A2131,原始数据_收盘!$A$4:$G$3460,7,0),"")</f>
        <v>4.9354</v>
      </c>
      <c r="H2131">
        <f>IFERROR(VLOOKUP($A2131,原始数据_利率互换_FR007_1年!$A$6:$C$4395,2,0),"")</f>
        <v>4.7593</v>
      </c>
      <c r="I2131">
        <f>IFERROR(VLOOKUP($A2131,原始数据_利率互换_FR007_1年!$A$6:$C$4395,3,0),"")</f>
        <v>4.92</v>
      </c>
    </row>
    <row r="2132" spans="1:9">
      <c r="A2132" s="6">
        <v>41625</v>
      </c>
      <c r="B2132">
        <f>IFERROR(VLOOKUP($A2132,原始数据_收盘!$A$4:$G$3460,2,0),"")</f>
        <v>4.8018</v>
      </c>
      <c r="C2132">
        <f>IFERROR(VLOOKUP($A2132,原始数据_收盘!$A$4:$G$3460,3,0),"")</f>
        <v>4.9357</v>
      </c>
      <c r="D2132">
        <f>IFERROR(VLOOKUP($A2132,原始数据_收盘!$A$4:$G$3460,4,0),"")</f>
        <v>4.8688</v>
      </c>
      <c r="E2132">
        <f>IFERROR(VLOOKUP($A2132,原始数据_收盘!$A$4:$G$3460,5,0),"")</f>
        <v>5.0123</v>
      </c>
      <c r="F2132">
        <f>IFERROR(VLOOKUP($A2132,原始数据_收盘!$A$4:$G$3460,6,0),"")</f>
        <v>4.8353</v>
      </c>
      <c r="G2132">
        <f>IFERROR(VLOOKUP($A2132,原始数据_收盘!$A$4:$G$3460,7,0),"")</f>
        <v>4.974</v>
      </c>
      <c r="H2132" t="str">
        <f>IFERROR(VLOOKUP($A2132,原始数据_利率互换_FR007_1年!$A$6:$C$4395,2,0),"")</f>
        <v/>
      </c>
      <c r="I2132" t="str">
        <f>IFERROR(VLOOKUP($A2132,原始数据_利率互换_FR007_1年!$A$6:$C$4395,3,0),"")</f>
        <v/>
      </c>
    </row>
    <row r="2133" spans="1:9">
      <c r="A2133" s="6">
        <v>41626</v>
      </c>
      <c r="B2133">
        <f>IFERROR(VLOOKUP($A2133,原始数据_收盘!$A$4:$G$3460,2,0),"")</f>
        <v>4.8632</v>
      </c>
      <c r="C2133">
        <f>IFERROR(VLOOKUP($A2133,原始数据_收盘!$A$4:$G$3460,3,0),"")</f>
        <v>4.9776</v>
      </c>
      <c r="D2133">
        <f>IFERROR(VLOOKUP($A2133,原始数据_收盘!$A$4:$G$3460,4,0),"")</f>
        <v>4.9255</v>
      </c>
      <c r="E2133">
        <f>IFERROR(VLOOKUP($A2133,原始数据_收盘!$A$4:$G$3460,5,0),"")</f>
        <v>5.0424</v>
      </c>
      <c r="F2133">
        <f>IFERROR(VLOOKUP($A2133,原始数据_收盘!$A$4:$G$3460,6,0),"")</f>
        <v>4.8944</v>
      </c>
      <c r="G2133">
        <f>IFERROR(VLOOKUP($A2133,原始数据_收盘!$A$4:$G$3460,7,0),"")</f>
        <v>5.01</v>
      </c>
      <c r="H2133">
        <f>IFERROR(VLOOKUP($A2133,原始数据_利率互换_FR007_1年!$A$6:$C$4395,2,0),"")</f>
        <v>4.8945</v>
      </c>
      <c r="I2133">
        <f>IFERROR(VLOOKUP($A2133,原始数据_利率互换_FR007_1年!$A$6:$C$4395,3,0),"")</f>
        <v>5.0062</v>
      </c>
    </row>
    <row r="2134" spans="1:9">
      <c r="A2134" s="6">
        <v>41627</v>
      </c>
      <c r="B2134">
        <f>IFERROR(VLOOKUP($A2134,原始数据_收盘!$A$4:$G$3460,2,0),"")</f>
        <v>4.9597</v>
      </c>
      <c r="C2134">
        <f>IFERROR(VLOOKUP($A2134,原始数据_收盘!$A$4:$G$3460,3,0),"")</f>
        <v>4.9974</v>
      </c>
      <c r="D2134">
        <f>IFERROR(VLOOKUP($A2134,原始数据_收盘!$A$4:$G$3460,4,0),"")</f>
        <v>5.0234</v>
      </c>
      <c r="E2134">
        <f>IFERROR(VLOOKUP($A2134,原始数据_收盘!$A$4:$G$3460,5,0),"")</f>
        <v>5.0632</v>
      </c>
      <c r="F2134">
        <f>IFERROR(VLOOKUP($A2134,原始数据_收盘!$A$4:$G$3460,6,0),"")</f>
        <v>4.9915</v>
      </c>
      <c r="G2134">
        <f>IFERROR(VLOOKUP($A2134,原始数据_收盘!$A$4:$G$3460,7,0),"")</f>
        <v>5.0303</v>
      </c>
      <c r="H2134">
        <f>IFERROR(VLOOKUP($A2134,原始数据_利率互换_FR007_1年!$A$6:$C$4395,2,0),"")</f>
        <v>5.0209</v>
      </c>
      <c r="I2134">
        <f>IFERROR(VLOOKUP($A2134,原始数据_利率互换_FR007_1年!$A$6:$C$4395,3,0),"")</f>
        <v>5.0655</v>
      </c>
    </row>
    <row r="2135" spans="1:9">
      <c r="A2135" s="6">
        <v>41628</v>
      </c>
      <c r="B2135">
        <f>IFERROR(VLOOKUP($A2135,原始数据_收盘!$A$4:$G$3460,2,0),"")</f>
        <v>4.9952</v>
      </c>
      <c r="C2135">
        <f>IFERROR(VLOOKUP($A2135,原始数据_收盘!$A$4:$G$3460,3,0),"")</f>
        <v>5.019</v>
      </c>
      <c r="D2135">
        <f>IFERROR(VLOOKUP($A2135,原始数据_收盘!$A$4:$G$3460,4,0),"")</f>
        <v>5.0582</v>
      </c>
      <c r="E2135">
        <f>IFERROR(VLOOKUP($A2135,原始数据_收盘!$A$4:$G$3460,5,0),"")</f>
        <v>5.088</v>
      </c>
      <c r="F2135">
        <f>IFERROR(VLOOKUP($A2135,原始数据_收盘!$A$4:$G$3460,6,0),"")</f>
        <v>5.0267</v>
      </c>
      <c r="G2135">
        <f>IFERROR(VLOOKUP($A2135,原始数据_收盘!$A$4:$G$3460,7,0),"")</f>
        <v>5.0535</v>
      </c>
      <c r="H2135">
        <f>IFERROR(VLOOKUP($A2135,原始数据_利率互换_FR007_1年!$A$6:$C$4395,2,0),"")</f>
        <v>5.0295</v>
      </c>
      <c r="I2135">
        <f>IFERROR(VLOOKUP($A2135,原始数据_利率互换_FR007_1年!$A$6:$C$4395,3,0),"")</f>
        <v>5.0496</v>
      </c>
    </row>
    <row r="2136" spans="1:9">
      <c r="A2136" s="6">
        <v>41629</v>
      </c>
      <c r="B2136" t="str">
        <f>IFERROR(VLOOKUP($A2136,原始数据_收盘!$A$4:$G$3460,2,0),"")</f>
        <v/>
      </c>
      <c r="C2136" t="str">
        <f>IFERROR(VLOOKUP($A2136,原始数据_收盘!$A$4:$G$3460,3,0),"")</f>
        <v/>
      </c>
      <c r="D2136" t="str">
        <f>IFERROR(VLOOKUP($A2136,原始数据_收盘!$A$4:$G$3460,4,0),"")</f>
        <v/>
      </c>
      <c r="E2136" t="str">
        <f>IFERROR(VLOOKUP($A2136,原始数据_收盘!$A$4:$G$3460,5,0),"")</f>
        <v/>
      </c>
      <c r="F2136" t="str">
        <f>IFERROR(VLOOKUP($A2136,原始数据_收盘!$A$4:$G$3460,6,0),"")</f>
        <v/>
      </c>
      <c r="G2136" t="str">
        <f>IFERROR(VLOOKUP($A2136,原始数据_收盘!$A$4:$G$3460,7,0),"")</f>
        <v/>
      </c>
      <c r="H2136" t="str">
        <f>IFERROR(VLOOKUP($A2136,原始数据_利率互换_FR007_1年!$A$6:$C$4395,2,0),"")</f>
        <v/>
      </c>
      <c r="I2136" t="str">
        <f>IFERROR(VLOOKUP($A2136,原始数据_利率互换_FR007_1年!$A$6:$C$4395,3,0),"")</f>
        <v/>
      </c>
    </row>
    <row r="2137" spans="1:9">
      <c r="A2137" s="6">
        <v>41630</v>
      </c>
      <c r="B2137" t="str">
        <f>IFERROR(VLOOKUP($A2137,原始数据_收盘!$A$4:$G$3460,2,0),"")</f>
        <v/>
      </c>
      <c r="C2137" t="str">
        <f>IFERROR(VLOOKUP($A2137,原始数据_收盘!$A$4:$G$3460,3,0),"")</f>
        <v/>
      </c>
      <c r="D2137" t="str">
        <f>IFERROR(VLOOKUP($A2137,原始数据_收盘!$A$4:$G$3460,4,0),"")</f>
        <v/>
      </c>
      <c r="E2137" t="str">
        <f>IFERROR(VLOOKUP($A2137,原始数据_收盘!$A$4:$G$3460,5,0),"")</f>
        <v/>
      </c>
      <c r="F2137" t="str">
        <f>IFERROR(VLOOKUP($A2137,原始数据_收盘!$A$4:$G$3460,6,0),"")</f>
        <v/>
      </c>
      <c r="G2137" t="str">
        <f>IFERROR(VLOOKUP($A2137,原始数据_收盘!$A$4:$G$3460,7,0),"")</f>
        <v/>
      </c>
      <c r="H2137" t="str">
        <f>IFERROR(VLOOKUP($A2137,原始数据_利率互换_FR007_1年!$A$6:$C$4395,2,0),"")</f>
        <v/>
      </c>
      <c r="I2137" t="str">
        <f>IFERROR(VLOOKUP($A2137,原始数据_利率互换_FR007_1年!$A$6:$C$4395,3,0),"")</f>
        <v/>
      </c>
    </row>
    <row r="2138" spans="1:9">
      <c r="A2138" s="6">
        <v>41631</v>
      </c>
      <c r="B2138">
        <f>IFERROR(VLOOKUP($A2138,原始数据_收盘!$A$4:$G$3460,2,0),"")</f>
        <v>5.0582</v>
      </c>
      <c r="C2138">
        <f>IFERROR(VLOOKUP($A2138,原始数据_收盘!$A$4:$G$3460,3,0),"")</f>
        <v>5.0343</v>
      </c>
      <c r="D2138">
        <f>IFERROR(VLOOKUP($A2138,原始数据_收盘!$A$4:$G$3460,4,0),"")</f>
        <v>5.1186</v>
      </c>
      <c r="E2138">
        <f>IFERROR(VLOOKUP($A2138,原始数据_收盘!$A$4:$G$3460,5,0),"")</f>
        <v>5.1013</v>
      </c>
      <c r="F2138">
        <f>IFERROR(VLOOKUP($A2138,原始数据_收盘!$A$4:$G$3460,6,0),"")</f>
        <v>5.0884</v>
      </c>
      <c r="G2138">
        <f>IFERROR(VLOOKUP($A2138,原始数据_收盘!$A$4:$G$3460,7,0),"")</f>
        <v>5.0678</v>
      </c>
      <c r="H2138">
        <f>IFERROR(VLOOKUP($A2138,原始数据_利率互换_FR007_1年!$A$6:$C$4395,2,0),"")</f>
        <v>5.0912</v>
      </c>
      <c r="I2138">
        <f>IFERROR(VLOOKUP($A2138,原始数据_利率互换_FR007_1年!$A$6:$C$4395,3,0),"")</f>
        <v>5.0811</v>
      </c>
    </row>
    <row r="2139" spans="1:9">
      <c r="A2139" s="6">
        <v>41632</v>
      </c>
      <c r="B2139">
        <f>IFERROR(VLOOKUP($A2139,原始数据_收盘!$A$4:$G$3460,2,0),"")</f>
        <v>4.9558</v>
      </c>
      <c r="C2139">
        <f>IFERROR(VLOOKUP($A2139,原始数据_收盘!$A$4:$G$3460,3,0),"")</f>
        <v>4.9975</v>
      </c>
      <c r="D2139">
        <f>IFERROR(VLOOKUP($A2139,原始数据_收盘!$A$4:$G$3460,4,0),"")</f>
        <v>5.0157</v>
      </c>
      <c r="E2139">
        <f>IFERROR(VLOOKUP($A2139,原始数据_收盘!$A$4:$G$3460,5,0),"")</f>
        <v>5.067</v>
      </c>
      <c r="F2139">
        <f>IFERROR(VLOOKUP($A2139,原始数据_收盘!$A$4:$G$3460,6,0),"")</f>
        <v>4.9858</v>
      </c>
      <c r="G2139">
        <f>IFERROR(VLOOKUP($A2139,原始数据_收盘!$A$4:$G$3460,7,0),"")</f>
        <v>5.0323</v>
      </c>
      <c r="H2139">
        <f>IFERROR(VLOOKUP($A2139,原始数据_利率互换_FR007_1年!$A$6:$C$4395,2,0),"")</f>
        <v>4.9795</v>
      </c>
      <c r="I2139">
        <f>IFERROR(VLOOKUP($A2139,原始数据_利率互换_FR007_1年!$A$6:$C$4395,3,0),"")</f>
        <v>5.0305</v>
      </c>
    </row>
    <row r="2140" spans="1:9">
      <c r="A2140" s="6">
        <v>41633</v>
      </c>
      <c r="B2140">
        <f>IFERROR(VLOOKUP($A2140,原始数据_收盘!$A$4:$G$3460,2,0),"")</f>
        <v>4.9646</v>
      </c>
      <c r="C2140">
        <f>IFERROR(VLOOKUP($A2140,原始数据_收盘!$A$4:$G$3460,3,0),"")</f>
        <v>5.0102</v>
      </c>
      <c r="D2140">
        <f>IFERROR(VLOOKUP($A2140,原始数据_收盘!$A$4:$G$3460,4,0),"")</f>
        <v>5.0248</v>
      </c>
      <c r="E2140">
        <f>IFERROR(VLOOKUP($A2140,原始数据_收盘!$A$4:$G$3460,5,0),"")</f>
        <v>5.0789</v>
      </c>
      <c r="F2140">
        <f>IFERROR(VLOOKUP($A2140,原始数据_收盘!$A$4:$G$3460,6,0),"")</f>
        <v>4.9947</v>
      </c>
      <c r="G2140">
        <f>IFERROR(VLOOKUP($A2140,原始数据_收盘!$A$4:$G$3460,7,0),"")</f>
        <v>5.0446</v>
      </c>
      <c r="H2140">
        <f>IFERROR(VLOOKUP($A2140,原始数据_利率互换_FR007_1年!$A$6:$C$4395,2,0),"")</f>
        <v>4.9836</v>
      </c>
      <c r="I2140">
        <f>IFERROR(VLOOKUP($A2140,原始数据_利率互换_FR007_1年!$A$6:$C$4395,3,0),"")</f>
        <v>0</v>
      </c>
    </row>
    <row r="2141" spans="1:9">
      <c r="A2141" s="6">
        <v>41634</v>
      </c>
      <c r="B2141">
        <f>IFERROR(VLOOKUP($A2141,原始数据_收盘!$A$4:$G$3460,2,0),"")</f>
        <v>4.9675</v>
      </c>
      <c r="C2141">
        <f>IFERROR(VLOOKUP($A2141,原始数据_收盘!$A$4:$G$3460,3,0),"")</f>
        <v>5.0161</v>
      </c>
      <c r="D2141">
        <f>IFERROR(VLOOKUP($A2141,原始数据_收盘!$A$4:$G$3460,4,0),"")</f>
        <v>5.0303</v>
      </c>
      <c r="E2141">
        <f>IFERROR(VLOOKUP($A2141,原始数据_收盘!$A$4:$G$3460,5,0),"")</f>
        <v>5.0897</v>
      </c>
      <c r="F2141">
        <f>IFERROR(VLOOKUP($A2141,原始数据_收盘!$A$4:$G$3460,6,0),"")</f>
        <v>4.9989</v>
      </c>
      <c r="G2141">
        <f>IFERROR(VLOOKUP($A2141,原始数据_收盘!$A$4:$G$3460,7,0),"")</f>
        <v>5.0529</v>
      </c>
      <c r="H2141">
        <f>IFERROR(VLOOKUP($A2141,原始数据_利率互换_FR007_1年!$A$6:$C$4395,2,0),"")</f>
        <v>5</v>
      </c>
      <c r="I2141">
        <f>IFERROR(VLOOKUP($A2141,原始数据_利率互换_FR007_1年!$A$6:$C$4395,3,0),"")</f>
        <v>5.06</v>
      </c>
    </row>
    <row r="2142" spans="1:9">
      <c r="A2142" s="6">
        <v>41635</v>
      </c>
      <c r="B2142">
        <f>IFERROR(VLOOKUP($A2142,原始数据_收盘!$A$4:$G$3460,2,0),"")</f>
        <v>4.978</v>
      </c>
      <c r="C2142">
        <f>IFERROR(VLOOKUP($A2142,原始数据_收盘!$A$4:$G$3460,3,0),"")</f>
        <v>5.0291</v>
      </c>
      <c r="D2142">
        <f>IFERROR(VLOOKUP($A2142,原始数据_收盘!$A$4:$G$3460,4,0),"")</f>
        <v>5.037</v>
      </c>
      <c r="E2142">
        <f>IFERROR(VLOOKUP($A2142,原始数据_收盘!$A$4:$G$3460,5,0),"")</f>
        <v>5.0998</v>
      </c>
      <c r="F2142">
        <f>IFERROR(VLOOKUP($A2142,原始数据_收盘!$A$4:$G$3460,6,0),"")</f>
        <v>5.0075</v>
      </c>
      <c r="G2142">
        <f>IFERROR(VLOOKUP($A2142,原始数据_收盘!$A$4:$G$3460,7,0),"")</f>
        <v>5.0645</v>
      </c>
      <c r="H2142">
        <f>IFERROR(VLOOKUP($A2142,原始数据_利率互换_FR007_1年!$A$6:$C$4395,2,0),"")</f>
        <v>5.0083</v>
      </c>
      <c r="I2142">
        <f>IFERROR(VLOOKUP($A2142,原始数据_利率互换_FR007_1年!$A$6:$C$4395,3,0),"")</f>
        <v>5.073</v>
      </c>
    </row>
    <row r="2143" spans="1:9">
      <c r="A2143" s="6">
        <v>41636</v>
      </c>
      <c r="B2143" t="str">
        <f>IFERROR(VLOOKUP($A2143,原始数据_收盘!$A$4:$G$3460,2,0),"")</f>
        <v/>
      </c>
      <c r="C2143" t="str">
        <f>IFERROR(VLOOKUP($A2143,原始数据_收盘!$A$4:$G$3460,3,0),"")</f>
        <v/>
      </c>
      <c r="D2143" t="str">
        <f>IFERROR(VLOOKUP($A2143,原始数据_收盘!$A$4:$G$3460,4,0),"")</f>
        <v/>
      </c>
      <c r="E2143" t="str">
        <f>IFERROR(VLOOKUP($A2143,原始数据_收盘!$A$4:$G$3460,5,0),"")</f>
        <v/>
      </c>
      <c r="F2143" t="str">
        <f>IFERROR(VLOOKUP($A2143,原始数据_收盘!$A$4:$G$3460,6,0),"")</f>
        <v/>
      </c>
      <c r="G2143" t="str">
        <f>IFERROR(VLOOKUP($A2143,原始数据_收盘!$A$4:$G$3460,7,0),"")</f>
        <v/>
      </c>
      <c r="H2143" t="str">
        <f>IFERROR(VLOOKUP($A2143,原始数据_利率互换_FR007_1年!$A$6:$C$4395,2,0),"")</f>
        <v/>
      </c>
      <c r="I2143" t="str">
        <f>IFERROR(VLOOKUP($A2143,原始数据_利率互换_FR007_1年!$A$6:$C$4395,3,0),"")</f>
        <v/>
      </c>
    </row>
    <row r="2144" spans="1:9">
      <c r="A2144" s="6">
        <v>41637</v>
      </c>
      <c r="B2144" t="str">
        <f>IFERROR(VLOOKUP($A2144,原始数据_收盘!$A$4:$G$3460,2,0),"")</f>
        <v/>
      </c>
      <c r="C2144" t="str">
        <f>IFERROR(VLOOKUP($A2144,原始数据_收盘!$A$4:$G$3460,3,0),"")</f>
        <v/>
      </c>
      <c r="D2144" t="str">
        <f>IFERROR(VLOOKUP($A2144,原始数据_收盘!$A$4:$G$3460,4,0),"")</f>
        <v/>
      </c>
      <c r="E2144" t="str">
        <f>IFERROR(VLOOKUP($A2144,原始数据_收盘!$A$4:$G$3460,5,0),"")</f>
        <v/>
      </c>
      <c r="F2144" t="str">
        <f>IFERROR(VLOOKUP($A2144,原始数据_收盘!$A$4:$G$3460,6,0),"")</f>
        <v/>
      </c>
      <c r="G2144" t="str">
        <f>IFERROR(VLOOKUP($A2144,原始数据_收盘!$A$4:$G$3460,7,0),"")</f>
        <v/>
      </c>
      <c r="H2144" t="str">
        <f>IFERROR(VLOOKUP($A2144,原始数据_利率互换_FR007_1年!$A$6:$C$4395,2,0),"")</f>
        <v/>
      </c>
      <c r="I2144" t="str">
        <f>IFERROR(VLOOKUP($A2144,原始数据_利率互换_FR007_1年!$A$6:$C$4395,3,0),"")</f>
        <v/>
      </c>
    </row>
    <row r="2145" spans="1:9">
      <c r="A2145" s="6">
        <v>41638</v>
      </c>
      <c r="B2145">
        <f>IFERROR(VLOOKUP($A2145,原始数据_收盘!$A$4:$G$3460,2,0),"")</f>
        <v>4.9803</v>
      </c>
      <c r="C2145">
        <f>IFERROR(VLOOKUP($A2145,原始数据_收盘!$A$4:$G$3460,3,0),"")</f>
        <v>5.0315</v>
      </c>
      <c r="D2145">
        <f>IFERROR(VLOOKUP($A2145,原始数据_收盘!$A$4:$G$3460,4,0),"")</f>
        <v>5.0408</v>
      </c>
      <c r="E2145">
        <f>IFERROR(VLOOKUP($A2145,原始数据_收盘!$A$4:$G$3460,5,0),"")</f>
        <v>5.1043</v>
      </c>
      <c r="F2145">
        <f>IFERROR(VLOOKUP($A2145,原始数据_收盘!$A$4:$G$3460,6,0),"")</f>
        <v>5.0105</v>
      </c>
      <c r="G2145">
        <f>IFERROR(VLOOKUP($A2145,原始数据_收盘!$A$4:$G$3460,7,0),"")</f>
        <v>5.0679</v>
      </c>
      <c r="H2145" t="str">
        <f>IFERROR(VLOOKUP($A2145,原始数据_利率互换_FR007_1年!$A$6:$C$4395,2,0),"")</f>
        <v/>
      </c>
      <c r="I2145" t="str">
        <f>IFERROR(VLOOKUP($A2145,原始数据_利率互换_FR007_1年!$A$6:$C$4395,3,0),"")</f>
        <v/>
      </c>
    </row>
    <row r="2146" spans="1:9">
      <c r="A2146" s="6">
        <v>41639</v>
      </c>
      <c r="B2146">
        <f>IFERROR(VLOOKUP($A2146,原始数据_收盘!$A$4:$G$3460,2,0),"")</f>
        <v>5.1938</v>
      </c>
      <c r="C2146">
        <f>IFERROR(VLOOKUP($A2146,原始数据_收盘!$A$4:$G$3460,3,0),"")</f>
        <v>5.2004</v>
      </c>
      <c r="D2146">
        <f>IFERROR(VLOOKUP($A2146,原始数据_收盘!$A$4:$G$3460,4,0),"")</f>
        <v>5.2567</v>
      </c>
      <c r="E2146">
        <f>IFERROR(VLOOKUP($A2146,原始数据_收盘!$A$4:$G$3460,5,0),"")</f>
        <v>5.2798</v>
      </c>
      <c r="F2146">
        <f>IFERROR(VLOOKUP($A2146,原始数据_收盘!$A$4:$G$3460,6,0),"")</f>
        <v>5.2252</v>
      </c>
      <c r="G2146">
        <f>IFERROR(VLOOKUP($A2146,原始数据_收盘!$A$4:$G$3460,7,0),"")</f>
        <v>5.2401</v>
      </c>
      <c r="H2146">
        <f>IFERROR(VLOOKUP($A2146,原始数据_利率互换_FR007_1年!$A$6:$C$4395,2,0),"")</f>
        <v>5.1815</v>
      </c>
      <c r="I2146">
        <f>IFERROR(VLOOKUP($A2146,原始数据_利率互换_FR007_1年!$A$6:$C$4395,3,0),"")</f>
        <v>5.2044</v>
      </c>
    </row>
    <row r="2147" spans="1:9">
      <c r="A2147" s="6">
        <v>41640</v>
      </c>
      <c r="B2147" t="str">
        <f>IFERROR(VLOOKUP($A2147,原始数据_收盘!$A$4:$G$3460,2,0),"")</f>
        <v/>
      </c>
      <c r="C2147" t="str">
        <f>IFERROR(VLOOKUP($A2147,原始数据_收盘!$A$4:$G$3460,3,0),"")</f>
        <v/>
      </c>
      <c r="D2147" t="str">
        <f>IFERROR(VLOOKUP($A2147,原始数据_收盘!$A$4:$G$3460,4,0),"")</f>
        <v/>
      </c>
      <c r="E2147" t="str">
        <f>IFERROR(VLOOKUP($A2147,原始数据_收盘!$A$4:$G$3460,5,0),"")</f>
        <v/>
      </c>
      <c r="F2147" t="str">
        <f>IFERROR(VLOOKUP($A2147,原始数据_收盘!$A$4:$G$3460,6,0),"")</f>
        <v/>
      </c>
      <c r="G2147" t="str">
        <f>IFERROR(VLOOKUP($A2147,原始数据_收盘!$A$4:$G$3460,7,0),"")</f>
        <v/>
      </c>
      <c r="H2147" t="str">
        <f>IFERROR(VLOOKUP($A2147,原始数据_利率互换_FR007_1年!$A$6:$C$4395,2,0),"")</f>
        <v/>
      </c>
      <c r="I2147" t="str">
        <f>IFERROR(VLOOKUP($A2147,原始数据_利率互换_FR007_1年!$A$6:$C$4395,3,0),"")</f>
        <v/>
      </c>
    </row>
    <row r="2148" spans="1:9">
      <c r="A2148" s="6">
        <v>41641</v>
      </c>
      <c r="B2148">
        <f>IFERROR(VLOOKUP($A2148,原始数据_收盘!$A$4:$G$3460,2,0),"")</f>
        <v>5.2598</v>
      </c>
      <c r="C2148">
        <f>IFERROR(VLOOKUP($A2148,原始数据_收盘!$A$4:$G$3460,3,0),"")</f>
        <v>5.2983</v>
      </c>
      <c r="D2148">
        <f>IFERROR(VLOOKUP($A2148,原始数据_收盘!$A$4:$G$3460,4,0),"")</f>
        <v>5.3254</v>
      </c>
      <c r="E2148">
        <f>IFERROR(VLOOKUP($A2148,原始数据_收盘!$A$4:$G$3460,5,0),"")</f>
        <v>5.3689</v>
      </c>
      <c r="F2148">
        <f>IFERROR(VLOOKUP($A2148,原始数据_收盘!$A$4:$G$3460,6,0),"")</f>
        <v>5.2926</v>
      </c>
      <c r="G2148">
        <f>IFERROR(VLOOKUP($A2148,原始数据_收盘!$A$4:$G$3460,7,0),"")</f>
        <v>5.3336</v>
      </c>
      <c r="H2148">
        <f>IFERROR(VLOOKUP($A2148,原始数据_利率互换_FR007_1年!$A$6:$C$4395,2,0),"")</f>
        <v>5.2264</v>
      </c>
      <c r="I2148">
        <f>IFERROR(VLOOKUP($A2148,原始数据_利率互换_FR007_1年!$A$6:$C$4395,3,0),"")</f>
        <v>5.2817</v>
      </c>
    </row>
    <row r="2149" spans="1:9">
      <c r="A2149" s="6">
        <v>41642</v>
      </c>
      <c r="B2149">
        <f>IFERROR(VLOOKUP($A2149,原始数据_收盘!$A$4:$G$3460,2,0),"")</f>
        <v>5.2576</v>
      </c>
      <c r="C2149">
        <f>IFERROR(VLOOKUP($A2149,原始数据_收盘!$A$4:$G$3460,3,0),"")</f>
        <v>5.3116</v>
      </c>
      <c r="D2149">
        <f>IFERROR(VLOOKUP($A2149,原始数据_收盘!$A$4:$G$3460,4,0),"")</f>
        <v>5.3193</v>
      </c>
      <c r="E2149">
        <f>IFERROR(VLOOKUP($A2149,原始数据_收盘!$A$4:$G$3460,5,0),"")</f>
        <v>5.3845</v>
      </c>
      <c r="F2149">
        <f>IFERROR(VLOOKUP($A2149,原始数据_收盘!$A$4:$G$3460,6,0),"")</f>
        <v>5.2885</v>
      </c>
      <c r="G2149">
        <f>IFERROR(VLOOKUP($A2149,原始数据_收盘!$A$4:$G$3460,7,0),"")</f>
        <v>5.348</v>
      </c>
      <c r="H2149">
        <f>IFERROR(VLOOKUP($A2149,原始数据_利率互换_FR007_1年!$A$6:$C$4395,2,0),"")</f>
        <v>5.3091</v>
      </c>
      <c r="I2149">
        <f>IFERROR(VLOOKUP($A2149,原始数据_利率互换_FR007_1年!$A$6:$C$4395,3,0),"")</f>
        <v>5.3914</v>
      </c>
    </row>
    <row r="2150" spans="1:9">
      <c r="A2150" s="6">
        <v>41643</v>
      </c>
      <c r="B2150" t="str">
        <f>IFERROR(VLOOKUP($A2150,原始数据_收盘!$A$4:$G$3460,2,0),"")</f>
        <v/>
      </c>
      <c r="C2150" t="str">
        <f>IFERROR(VLOOKUP($A2150,原始数据_收盘!$A$4:$G$3460,3,0),"")</f>
        <v/>
      </c>
      <c r="D2150" t="str">
        <f>IFERROR(VLOOKUP($A2150,原始数据_收盘!$A$4:$G$3460,4,0),"")</f>
        <v/>
      </c>
      <c r="E2150" t="str">
        <f>IFERROR(VLOOKUP($A2150,原始数据_收盘!$A$4:$G$3460,5,0),"")</f>
        <v/>
      </c>
      <c r="F2150" t="str">
        <f>IFERROR(VLOOKUP($A2150,原始数据_收盘!$A$4:$G$3460,6,0),"")</f>
        <v/>
      </c>
      <c r="G2150" t="str">
        <f>IFERROR(VLOOKUP($A2150,原始数据_收盘!$A$4:$G$3460,7,0),"")</f>
        <v/>
      </c>
      <c r="H2150" t="str">
        <f>IFERROR(VLOOKUP($A2150,原始数据_利率互换_FR007_1年!$A$6:$C$4395,2,0),"")</f>
        <v/>
      </c>
      <c r="I2150" t="str">
        <f>IFERROR(VLOOKUP($A2150,原始数据_利率互换_FR007_1年!$A$6:$C$4395,3,0),"")</f>
        <v/>
      </c>
    </row>
    <row r="2151" spans="1:9">
      <c r="A2151" s="6">
        <v>41644</v>
      </c>
      <c r="B2151" t="str">
        <f>IFERROR(VLOOKUP($A2151,原始数据_收盘!$A$4:$G$3460,2,0),"")</f>
        <v/>
      </c>
      <c r="C2151" t="str">
        <f>IFERROR(VLOOKUP($A2151,原始数据_收盘!$A$4:$G$3460,3,0),"")</f>
        <v/>
      </c>
      <c r="D2151" t="str">
        <f>IFERROR(VLOOKUP($A2151,原始数据_收盘!$A$4:$G$3460,4,0),"")</f>
        <v/>
      </c>
      <c r="E2151" t="str">
        <f>IFERROR(VLOOKUP($A2151,原始数据_收盘!$A$4:$G$3460,5,0),"")</f>
        <v/>
      </c>
      <c r="F2151" t="str">
        <f>IFERROR(VLOOKUP($A2151,原始数据_收盘!$A$4:$G$3460,6,0),"")</f>
        <v/>
      </c>
      <c r="G2151" t="str">
        <f>IFERROR(VLOOKUP($A2151,原始数据_收盘!$A$4:$G$3460,7,0),"")</f>
        <v/>
      </c>
      <c r="H2151" t="str">
        <f>IFERROR(VLOOKUP($A2151,原始数据_利率互换_FR007_1年!$A$6:$C$4395,2,0),"")</f>
        <v/>
      </c>
      <c r="I2151" t="str">
        <f>IFERROR(VLOOKUP($A2151,原始数据_利率互换_FR007_1年!$A$6:$C$4395,3,0),"")</f>
        <v/>
      </c>
    </row>
    <row r="2152" spans="1:9">
      <c r="A2152" s="6">
        <v>41645</v>
      </c>
      <c r="B2152">
        <f>IFERROR(VLOOKUP($A2152,原始数据_收盘!$A$4:$G$3460,2,0),"")</f>
        <v>5.1538</v>
      </c>
      <c r="C2152">
        <f>IFERROR(VLOOKUP($A2152,原始数据_收盘!$A$4:$G$3460,3,0),"")</f>
        <v>5.2163</v>
      </c>
      <c r="D2152">
        <f>IFERROR(VLOOKUP($A2152,原始数据_收盘!$A$4:$G$3460,4,0),"")</f>
        <v>5.2183</v>
      </c>
      <c r="E2152">
        <f>IFERROR(VLOOKUP($A2152,原始数据_收盘!$A$4:$G$3460,5,0),"")</f>
        <v>5.2828</v>
      </c>
      <c r="F2152">
        <f>IFERROR(VLOOKUP($A2152,原始数据_收盘!$A$4:$G$3460,6,0),"")</f>
        <v>5.1861</v>
      </c>
      <c r="G2152">
        <f>IFERROR(VLOOKUP($A2152,原始数据_收盘!$A$4:$G$3460,7,0),"")</f>
        <v>5.2495</v>
      </c>
      <c r="H2152">
        <f>IFERROR(VLOOKUP($A2152,原始数据_利率互换_FR007_1年!$A$6:$C$4395,2,0),"")</f>
        <v>5.2239</v>
      </c>
      <c r="I2152">
        <f>IFERROR(VLOOKUP($A2152,原始数据_利率互换_FR007_1年!$A$6:$C$4395,3,0),"")</f>
        <v>5.2853</v>
      </c>
    </row>
    <row r="2153" spans="1:9">
      <c r="A2153" s="6">
        <v>41646</v>
      </c>
      <c r="B2153">
        <f>IFERROR(VLOOKUP($A2153,原始数据_收盘!$A$4:$G$3460,2,0),"")</f>
        <v>5.0475</v>
      </c>
      <c r="C2153">
        <f>IFERROR(VLOOKUP($A2153,原始数据_收盘!$A$4:$G$3460,3,0),"")</f>
        <v>5.1326</v>
      </c>
      <c r="D2153">
        <f>IFERROR(VLOOKUP($A2153,原始数据_收盘!$A$4:$G$3460,4,0),"")</f>
        <v>5.1075</v>
      </c>
      <c r="E2153">
        <f>IFERROR(VLOOKUP($A2153,原始数据_收盘!$A$4:$G$3460,5,0),"")</f>
        <v>5.1941</v>
      </c>
      <c r="F2153">
        <f>IFERROR(VLOOKUP($A2153,原始数据_收盘!$A$4:$G$3460,6,0),"")</f>
        <v>5.0775</v>
      </c>
      <c r="G2153">
        <f>IFERROR(VLOOKUP($A2153,原始数据_收盘!$A$4:$G$3460,7,0),"")</f>
        <v>5.1633</v>
      </c>
      <c r="H2153">
        <f>IFERROR(VLOOKUP($A2153,原始数据_利率互换_FR007_1年!$A$6:$C$4395,2,0),"")</f>
        <v>5.0673</v>
      </c>
      <c r="I2153">
        <f>IFERROR(VLOOKUP($A2153,原始数据_利率互换_FR007_1年!$A$6:$C$4395,3,0),"")</f>
        <v>5.153</v>
      </c>
    </row>
    <row r="2154" spans="1:9">
      <c r="A2154" s="6">
        <v>41647</v>
      </c>
      <c r="B2154">
        <f>IFERROR(VLOOKUP($A2154,原始数据_收盘!$A$4:$G$3460,2,0),"")</f>
        <v>5.0328</v>
      </c>
      <c r="C2154">
        <f>IFERROR(VLOOKUP($A2154,原始数据_收盘!$A$4:$G$3460,3,0),"")</f>
        <v>5.1161</v>
      </c>
      <c r="D2154">
        <f>IFERROR(VLOOKUP($A2154,原始数据_收盘!$A$4:$G$3460,4,0),"")</f>
        <v>5.0939</v>
      </c>
      <c r="E2154">
        <f>IFERROR(VLOOKUP($A2154,原始数据_收盘!$A$4:$G$3460,5,0),"")</f>
        <v>5.1833</v>
      </c>
      <c r="F2154">
        <f>IFERROR(VLOOKUP($A2154,原始数据_收盘!$A$4:$G$3460,6,0),"")</f>
        <v>5.0634</v>
      </c>
      <c r="G2154">
        <f>IFERROR(VLOOKUP($A2154,原始数据_收盘!$A$4:$G$3460,7,0),"")</f>
        <v>5.1497</v>
      </c>
      <c r="H2154">
        <f>IFERROR(VLOOKUP($A2154,原始数据_利率互换_FR007_1年!$A$6:$C$4395,2,0),"")</f>
        <v>5.0226</v>
      </c>
      <c r="I2154">
        <f>IFERROR(VLOOKUP($A2154,原始数据_利率互换_FR007_1年!$A$6:$C$4395,3,0),"")</f>
        <v>5.0967</v>
      </c>
    </row>
    <row r="2155" spans="1:9">
      <c r="A2155" s="6">
        <v>41648</v>
      </c>
      <c r="B2155">
        <f>IFERROR(VLOOKUP($A2155,原始数据_收盘!$A$4:$G$3460,2,0),"")</f>
        <v>5.0001</v>
      </c>
      <c r="C2155">
        <f>IFERROR(VLOOKUP($A2155,原始数据_收盘!$A$4:$G$3460,3,0),"")</f>
        <v>5.1105</v>
      </c>
      <c r="D2155">
        <f>IFERROR(VLOOKUP($A2155,原始数据_收盘!$A$4:$G$3460,4,0),"")</f>
        <v>5.0632</v>
      </c>
      <c r="E2155">
        <f>IFERROR(VLOOKUP($A2155,原始数据_收盘!$A$4:$G$3460,5,0),"")</f>
        <v>5.1704</v>
      </c>
      <c r="F2155">
        <f>IFERROR(VLOOKUP($A2155,原始数据_收盘!$A$4:$G$3460,6,0),"")</f>
        <v>5.0317</v>
      </c>
      <c r="G2155">
        <f>IFERROR(VLOOKUP($A2155,原始数据_收盘!$A$4:$G$3460,7,0),"")</f>
        <v>5.1405</v>
      </c>
      <c r="H2155">
        <f>IFERROR(VLOOKUP($A2155,原始数据_利率互换_FR007_1年!$A$6:$C$4395,2,0),"")</f>
        <v>5.0136</v>
      </c>
      <c r="I2155">
        <f>IFERROR(VLOOKUP($A2155,原始数据_利率互换_FR007_1年!$A$6:$C$4395,3,0),"")</f>
        <v>5.1124</v>
      </c>
    </row>
    <row r="2156" spans="1:9">
      <c r="A2156" s="6">
        <v>41649</v>
      </c>
      <c r="B2156">
        <f>IFERROR(VLOOKUP($A2156,原始数据_收盘!$A$4:$G$3460,2,0),"")</f>
        <v>5.0221</v>
      </c>
      <c r="C2156">
        <f>IFERROR(VLOOKUP($A2156,原始数据_收盘!$A$4:$G$3460,3,0),"")</f>
        <v>5.1329</v>
      </c>
      <c r="D2156">
        <f>IFERROR(VLOOKUP($A2156,原始数据_收盘!$A$4:$G$3460,4,0),"")</f>
        <v>5.0855</v>
      </c>
      <c r="E2156">
        <f>IFERROR(VLOOKUP($A2156,原始数据_收盘!$A$4:$G$3460,5,0),"")</f>
        <v>5.1988</v>
      </c>
      <c r="F2156">
        <f>IFERROR(VLOOKUP($A2156,原始数据_收盘!$A$4:$G$3460,6,0),"")</f>
        <v>5.0538</v>
      </c>
      <c r="G2156">
        <f>IFERROR(VLOOKUP($A2156,原始数据_收盘!$A$4:$G$3460,7,0),"")</f>
        <v>5.1658</v>
      </c>
      <c r="H2156">
        <f>IFERROR(VLOOKUP($A2156,原始数据_利率互换_FR007_1年!$A$6:$C$4395,2,0),"")</f>
        <v>5.0057</v>
      </c>
      <c r="I2156">
        <f>IFERROR(VLOOKUP($A2156,原始数据_利率互换_FR007_1年!$A$6:$C$4395,3,0),"")</f>
        <v>5.1367</v>
      </c>
    </row>
    <row r="2157" spans="1:9">
      <c r="A2157" s="6">
        <v>41650</v>
      </c>
      <c r="B2157" t="str">
        <f>IFERROR(VLOOKUP($A2157,原始数据_收盘!$A$4:$G$3460,2,0),"")</f>
        <v/>
      </c>
      <c r="C2157" t="str">
        <f>IFERROR(VLOOKUP($A2157,原始数据_收盘!$A$4:$G$3460,3,0),"")</f>
        <v/>
      </c>
      <c r="D2157" t="str">
        <f>IFERROR(VLOOKUP($A2157,原始数据_收盘!$A$4:$G$3460,4,0),"")</f>
        <v/>
      </c>
      <c r="E2157" t="str">
        <f>IFERROR(VLOOKUP($A2157,原始数据_收盘!$A$4:$G$3460,5,0),"")</f>
        <v/>
      </c>
      <c r="F2157" t="str">
        <f>IFERROR(VLOOKUP($A2157,原始数据_收盘!$A$4:$G$3460,6,0),"")</f>
        <v/>
      </c>
      <c r="G2157" t="str">
        <f>IFERROR(VLOOKUP($A2157,原始数据_收盘!$A$4:$G$3460,7,0),"")</f>
        <v/>
      </c>
      <c r="H2157" t="str">
        <f>IFERROR(VLOOKUP($A2157,原始数据_利率互换_FR007_1年!$A$6:$C$4395,2,0),"")</f>
        <v/>
      </c>
      <c r="I2157" t="str">
        <f>IFERROR(VLOOKUP($A2157,原始数据_利率互换_FR007_1年!$A$6:$C$4395,3,0),"")</f>
        <v/>
      </c>
    </row>
    <row r="2158" spans="1:9">
      <c r="A2158" s="6">
        <v>41651</v>
      </c>
      <c r="B2158" t="str">
        <f>IFERROR(VLOOKUP($A2158,原始数据_收盘!$A$4:$G$3460,2,0),"")</f>
        <v/>
      </c>
      <c r="C2158" t="str">
        <f>IFERROR(VLOOKUP($A2158,原始数据_收盘!$A$4:$G$3460,3,0),"")</f>
        <v/>
      </c>
      <c r="D2158" t="str">
        <f>IFERROR(VLOOKUP($A2158,原始数据_收盘!$A$4:$G$3460,4,0),"")</f>
        <v/>
      </c>
      <c r="E2158" t="str">
        <f>IFERROR(VLOOKUP($A2158,原始数据_收盘!$A$4:$G$3460,5,0),"")</f>
        <v/>
      </c>
      <c r="F2158" t="str">
        <f>IFERROR(VLOOKUP($A2158,原始数据_收盘!$A$4:$G$3460,6,0),"")</f>
        <v/>
      </c>
      <c r="G2158" t="str">
        <f>IFERROR(VLOOKUP($A2158,原始数据_收盘!$A$4:$G$3460,7,0),"")</f>
        <v/>
      </c>
      <c r="H2158" t="str">
        <f>IFERROR(VLOOKUP($A2158,原始数据_利率互换_FR007_1年!$A$6:$C$4395,2,0),"")</f>
        <v/>
      </c>
      <c r="I2158" t="str">
        <f>IFERROR(VLOOKUP($A2158,原始数据_利率互换_FR007_1年!$A$6:$C$4395,3,0),"")</f>
        <v/>
      </c>
    </row>
    <row r="2159" spans="1:9">
      <c r="A2159" s="6">
        <v>41652</v>
      </c>
      <c r="B2159">
        <f>IFERROR(VLOOKUP($A2159,原始数据_收盘!$A$4:$G$3460,2,0),"")</f>
        <v>5.0016</v>
      </c>
      <c r="C2159">
        <f>IFERROR(VLOOKUP($A2159,原始数据_收盘!$A$4:$G$3460,3,0),"")</f>
        <v>5.1105</v>
      </c>
      <c r="D2159">
        <f>IFERROR(VLOOKUP($A2159,原始数据_收盘!$A$4:$G$3460,4,0),"")</f>
        <v>5.063</v>
      </c>
      <c r="E2159">
        <f>IFERROR(VLOOKUP($A2159,原始数据_收盘!$A$4:$G$3460,5,0),"")</f>
        <v>5.1754</v>
      </c>
      <c r="F2159">
        <f>IFERROR(VLOOKUP($A2159,原始数据_收盘!$A$4:$G$3460,6,0),"")</f>
        <v>5.0323</v>
      </c>
      <c r="G2159">
        <f>IFERROR(VLOOKUP($A2159,原始数据_收盘!$A$4:$G$3460,7,0),"")</f>
        <v>5.1429</v>
      </c>
      <c r="H2159">
        <f>IFERROR(VLOOKUP($A2159,原始数据_利率互换_FR007_1年!$A$6:$C$4395,2,0),"")</f>
        <v>5.029</v>
      </c>
      <c r="I2159">
        <f>IFERROR(VLOOKUP($A2159,原始数据_利率互换_FR007_1年!$A$6:$C$4395,3,0),"")</f>
        <v>5.1467</v>
      </c>
    </row>
    <row r="2160" spans="1:9">
      <c r="A2160" s="6">
        <v>41653</v>
      </c>
      <c r="B2160">
        <f>IFERROR(VLOOKUP($A2160,原始数据_收盘!$A$4:$G$3460,2,0),"")</f>
        <v>5.0312</v>
      </c>
      <c r="C2160">
        <f>IFERROR(VLOOKUP($A2160,原始数据_收盘!$A$4:$G$3460,3,0),"")</f>
        <v>5.1433</v>
      </c>
      <c r="D2160">
        <f>IFERROR(VLOOKUP($A2160,原始数据_收盘!$A$4:$G$3460,4,0),"")</f>
        <v>5.0876</v>
      </c>
      <c r="E2160">
        <f>IFERROR(VLOOKUP($A2160,原始数据_收盘!$A$4:$G$3460,5,0),"")</f>
        <v>5.2</v>
      </c>
      <c r="F2160">
        <f>IFERROR(VLOOKUP($A2160,原始数据_收盘!$A$4:$G$3460,6,0),"")</f>
        <v>5.0594</v>
      </c>
      <c r="G2160">
        <f>IFERROR(VLOOKUP($A2160,原始数据_收盘!$A$4:$G$3460,7,0),"")</f>
        <v>5.1717</v>
      </c>
      <c r="H2160">
        <f>IFERROR(VLOOKUP($A2160,原始数据_利率互换_FR007_1年!$A$6:$C$4395,2,0),"")</f>
        <v>5.0614</v>
      </c>
      <c r="I2160">
        <f>IFERROR(VLOOKUP($A2160,原始数据_利率互换_FR007_1年!$A$6:$C$4395,3,0),"")</f>
        <v>5.1817</v>
      </c>
    </row>
    <row r="2161" spans="1:9">
      <c r="A2161" s="6">
        <v>41654</v>
      </c>
      <c r="B2161">
        <f>IFERROR(VLOOKUP($A2161,原始数据_收盘!$A$4:$G$3460,2,0),"")</f>
        <v>4.8931</v>
      </c>
      <c r="C2161">
        <f>IFERROR(VLOOKUP($A2161,原始数据_收盘!$A$4:$G$3460,3,0),"")</f>
        <v>5.0452</v>
      </c>
      <c r="D2161">
        <f>IFERROR(VLOOKUP($A2161,原始数据_收盘!$A$4:$G$3460,4,0),"")</f>
        <v>4.9538</v>
      </c>
      <c r="E2161">
        <f>IFERROR(VLOOKUP($A2161,原始数据_收盘!$A$4:$G$3460,5,0),"")</f>
        <v>5.0998</v>
      </c>
      <c r="F2161">
        <f>IFERROR(VLOOKUP($A2161,原始数据_收盘!$A$4:$G$3460,6,0),"")</f>
        <v>4.9234</v>
      </c>
      <c r="G2161">
        <f>IFERROR(VLOOKUP($A2161,原始数据_收盘!$A$4:$G$3460,7,0),"")</f>
        <v>5.0725</v>
      </c>
      <c r="H2161">
        <f>IFERROR(VLOOKUP($A2161,原始数据_利率互换_FR007_1年!$A$6:$C$4395,2,0),"")</f>
        <v>4.9727</v>
      </c>
      <c r="I2161">
        <f>IFERROR(VLOOKUP($A2161,原始数据_利率互换_FR007_1年!$A$6:$C$4395,3,0),"")</f>
        <v>5.1267</v>
      </c>
    </row>
    <row r="2162" spans="1:9">
      <c r="A2162" s="6">
        <v>41655</v>
      </c>
      <c r="B2162">
        <f>IFERROR(VLOOKUP($A2162,原始数据_收盘!$A$4:$G$3460,2,0),"")</f>
        <v>4.9707</v>
      </c>
      <c r="C2162">
        <f>IFERROR(VLOOKUP($A2162,原始数据_收盘!$A$4:$G$3460,3,0),"")</f>
        <v>5.1059</v>
      </c>
      <c r="D2162">
        <f>IFERROR(VLOOKUP($A2162,原始数据_收盘!$A$4:$G$3460,4,0),"")</f>
        <v>5.0318</v>
      </c>
      <c r="E2162">
        <f>IFERROR(VLOOKUP($A2162,原始数据_收盘!$A$4:$G$3460,5,0),"")</f>
        <v>5.1715</v>
      </c>
      <c r="F2162">
        <f>IFERROR(VLOOKUP($A2162,原始数据_收盘!$A$4:$G$3460,6,0),"")</f>
        <v>5.0013</v>
      </c>
      <c r="G2162">
        <f>IFERROR(VLOOKUP($A2162,原始数据_收盘!$A$4:$G$3460,7,0),"")</f>
        <v>5.1387</v>
      </c>
      <c r="H2162">
        <f>IFERROR(VLOOKUP($A2162,原始数据_利率互换_FR007_1年!$A$6:$C$4395,2,0),"")</f>
        <v>4.9536</v>
      </c>
      <c r="I2162">
        <f>IFERROR(VLOOKUP($A2162,原始数据_利率互换_FR007_1年!$A$6:$C$4395,3,0),"")</f>
        <v>5.083</v>
      </c>
    </row>
    <row r="2163" spans="1:9">
      <c r="A2163" s="6">
        <v>41656</v>
      </c>
      <c r="B2163">
        <f>IFERROR(VLOOKUP($A2163,原始数据_收盘!$A$4:$G$3460,2,0),"")</f>
        <v>5.0518</v>
      </c>
      <c r="C2163">
        <f>IFERROR(VLOOKUP($A2163,原始数据_收盘!$A$4:$G$3460,3,0),"")</f>
        <v>5.1453</v>
      </c>
      <c r="D2163">
        <f>IFERROR(VLOOKUP($A2163,原始数据_收盘!$A$4:$G$3460,4,0),"")</f>
        <v>5.1118</v>
      </c>
      <c r="E2163">
        <f>IFERROR(VLOOKUP($A2163,原始数据_收盘!$A$4:$G$3460,5,0),"")</f>
        <v>5.2139</v>
      </c>
      <c r="F2163">
        <f>IFERROR(VLOOKUP($A2163,原始数据_收盘!$A$4:$G$3460,6,0),"")</f>
        <v>5.0818</v>
      </c>
      <c r="G2163">
        <f>IFERROR(VLOOKUP($A2163,原始数据_收盘!$A$4:$G$3460,7,0),"")</f>
        <v>5.1796</v>
      </c>
      <c r="H2163">
        <f>IFERROR(VLOOKUP($A2163,原始数据_利率互换_FR007_1年!$A$6:$C$4395,2,0),"")</f>
        <v>5.0683</v>
      </c>
      <c r="I2163">
        <f>IFERROR(VLOOKUP($A2163,原始数据_利率互换_FR007_1年!$A$6:$C$4395,3,0),"")</f>
        <v>5.1969</v>
      </c>
    </row>
    <row r="2164" spans="1:9">
      <c r="A2164" s="6">
        <v>41657</v>
      </c>
      <c r="B2164" t="str">
        <f>IFERROR(VLOOKUP($A2164,原始数据_收盘!$A$4:$G$3460,2,0),"")</f>
        <v/>
      </c>
      <c r="C2164" t="str">
        <f>IFERROR(VLOOKUP($A2164,原始数据_收盘!$A$4:$G$3460,3,0),"")</f>
        <v/>
      </c>
      <c r="D2164" t="str">
        <f>IFERROR(VLOOKUP($A2164,原始数据_收盘!$A$4:$G$3460,4,0),"")</f>
        <v/>
      </c>
      <c r="E2164" t="str">
        <f>IFERROR(VLOOKUP($A2164,原始数据_收盘!$A$4:$G$3460,5,0),"")</f>
        <v/>
      </c>
      <c r="F2164" t="str">
        <f>IFERROR(VLOOKUP($A2164,原始数据_收盘!$A$4:$G$3460,6,0),"")</f>
        <v/>
      </c>
      <c r="G2164" t="str">
        <f>IFERROR(VLOOKUP($A2164,原始数据_收盘!$A$4:$G$3460,7,0),"")</f>
        <v/>
      </c>
      <c r="H2164" t="str">
        <f>IFERROR(VLOOKUP($A2164,原始数据_利率互换_FR007_1年!$A$6:$C$4395,2,0),"")</f>
        <v/>
      </c>
      <c r="I2164" t="str">
        <f>IFERROR(VLOOKUP($A2164,原始数据_利率互换_FR007_1年!$A$6:$C$4395,3,0),"")</f>
        <v/>
      </c>
    </row>
    <row r="2165" spans="1:9">
      <c r="A2165" s="6">
        <v>41658</v>
      </c>
      <c r="B2165" t="str">
        <f>IFERROR(VLOOKUP($A2165,原始数据_收盘!$A$4:$G$3460,2,0),"")</f>
        <v/>
      </c>
      <c r="C2165" t="str">
        <f>IFERROR(VLOOKUP($A2165,原始数据_收盘!$A$4:$G$3460,3,0),"")</f>
        <v/>
      </c>
      <c r="D2165" t="str">
        <f>IFERROR(VLOOKUP($A2165,原始数据_收盘!$A$4:$G$3460,4,0),"")</f>
        <v/>
      </c>
      <c r="E2165" t="str">
        <f>IFERROR(VLOOKUP($A2165,原始数据_收盘!$A$4:$G$3460,5,0),"")</f>
        <v/>
      </c>
      <c r="F2165" t="str">
        <f>IFERROR(VLOOKUP($A2165,原始数据_收盘!$A$4:$G$3460,6,0),"")</f>
        <v/>
      </c>
      <c r="G2165" t="str">
        <f>IFERROR(VLOOKUP($A2165,原始数据_收盘!$A$4:$G$3460,7,0),"")</f>
        <v/>
      </c>
      <c r="H2165" t="str">
        <f>IFERROR(VLOOKUP($A2165,原始数据_利率互换_FR007_1年!$A$6:$C$4395,2,0),"")</f>
        <v/>
      </c>
      <c r="I2165" t="str">
        <f>IFERROR(VLOOKUP($A2165,原始数据_利率互换_FR007_1年!$A$6:$C$4395,3,0),"")</f>
        <v/>
      </c>
    </row>
    <row r="2166" spans="1:9">
      <c r="A2166" s="6">
        <v>41659</v>
      </c>
      <c r="B2166">
        <f>IFERROR(VLOOKUP($A2166,原始数据_收盘!$A$4:$G$3460,2,0),"")</f>
        <v>5.0231</v>
      </c>
      <c r="C2166">
        <f>IFERROR(VLOOKUP($A2166,原始数据_收盘!$A$4:$G$3460,3,0),"")</f>
        <v>5.1242</v>
      </c>
      <c r="D2166">
        <f>IFERROR(VLOOKUP($A2166,原始数据_收盘!$A$4:$G$3460,4,0),"")</f>
        <v>5.0782</v>
      </c>
      <c r="E2166">
        <f>IFERROR(VLOOKUP($A2166,原始数据_收盘!$A$4:$G$3460,5,0),"")</f>
        <v>5.1865</v>
      </c>
      <c r="F2166">
        <f>IFERROR(VLOOKUP($A2166,原始数据_收盘!$A$4:$G$3460,6,0),"")</f>
        <v>5.0507</v>
      </c>
      <c r="G2166">
        <f>IFERROR(VLOOKUP($A2166,原始数据_收盘!$A$4:$G$3460,7,0),"")</f>
        <v>5.1553</v>
      </c>
      <c r="H2166">
        <f>IFERROR(VLOOKUP($A2166,原始数据_利率互换_FR007_1年!$A$6:$C$4395,2,0),"")</f>
        <v>5.0926</v>
      </c>
      <c r="I2166">
        <f>IFERROR(VLOOKUP($A2166,原始数据_利率互换_FR007_1年!$A$6:$C$4395,3,0),"")</f>
        <v>5.1839</v>
      </c>
    </row>
    <row r="2167" spans="1:9">
      <c r="A2167" s="6">
        <v>41660</v>
      </c>
      <c r="B2167">
        <f>IFERROR(VLOOKUP($A2167,原始数据_收盘!$A$4:$G$3460,2,0),"")</f>
        <v>4.8871</v>
      </c>
      <c r="C2167">
        <f>IFERROR(VLOOKUP($A2167,原始数据_收盘!$A$4:$G$3460,3,0),"")</f>
        <v>5.0468</v>
      </c>
      <c r="D2167">
        <f>IFERROR(VLOOKUP($A2167,原始数据_收盘!$A$4:$G$3460,4,0),"")</f>
        <v>4.9471</v>
      </c>
      <c r="E2167">
        <f>IFERROR(VLOOKUP($A2167,原始数据_收盘!$A$4:$G$3460,5,0),"")</f>
        <v>5.1079</v>
      </c>
      <c r="F2167">
        <f>IFERROR(VLOOKUP($A2167,原始数据_收盘!$A$4:$G$3460,6,0),"")</f>
        <v>4.9171</v>
      </c>
      <c r="G2167">
        <f>IFERROR(VLOOKUP($A2167,原始数据_收盘!$A$4:$G$3460,7,0),"")</f>
        <v>5.0774</v>
      </c>
      <c r="H2167">
        <f>IFERROR(VLOOKUP($A2167,原始数据_利率互换_FR007_1年!$A$6:$C$4395,2,0),"")</f>
        <v>4.9241</v>
      </c>
      <c r="I2167">
        <f>IFERROR(VLOOKUP($A2167,原始数据_利率互换_FR007_1年!$A$6:$C$4395,3,0),"")</f>
        <v>5.0606</v>
      </c>
    </row>
    <row r="2168" spans="1:9">
      <c r="A2168" s="6">
        <v>41661</v>
      </c>
      <c r="B2168">
        <f>IFERROR(VLOOKUP($A2168,原始数据_收盘!$A$4:$G$3460,2,0),"")</f>
        <v>4.8361</v>
      </c>
      <c r="C2168">
        <f>IFERROR(VLOOKUP($A2168,原始数据_收盘!$A$4:$G$3460,3,0),"")</f>
        <v>4.9914</v>
      </c>
      <c r="D2168">
        <f>IFERROR(VLOOKUP($A2168,原始数据_收盘!$A$4:$G$3460,4,0),"")</f>
        <v>4.8957</v>
      </c>
      <c r="E2168">
        <f>IFERROR(VLOOKUP($A2168,原始数据_收盘!$A$4:$G$3460,5,0),"")</f>
        <v>5.0561</v>
      </c>
      <c r="F2168">
        <f>IFERROR(VLOOKUP($A2168,原始数据_收盘!$A$4:$G$3460,6,0),"")</f>
        <v>4.8659</v>
      </c>
      <c r="G2168">
        <f>IFERROR(VLOOKUP($A2168,原始数据_收盘!$A$4:$G$3460,7,0),"")</f>
        <v>5.0237</v>
      </c>
      <c r="H2168">
        <f>IFERROR(VLOOKUP($A2168,原始数据_利率互换_FR007_1年!$A$6:$C$4395,2,0),"")</f>
        <v>4.8436</v>
      </c>
      <c r="I2168">
        <f>IFERROR(VLOOKUP($A2168,原始数据_利率互换_FR007_1年!$A$6:$C$4395,3,0),"")</f>
        <v>4.9874</v>
      </c>
    </row>
    <row r="2169" spans="1:9">
      <c r="A2169" s="6">
        <v>41662</v>
      </c>
      <c r="B2169">
        <f>IFERROR(VLOOKUP($A2169,原始数据_收盘!$A$4:$G$3460,2,0),"")</f>
        <v>4.8632</v>
      </c>
      <c r="C2169">
        <f>IFERROR(VLOOKUP($A2169,原始数据_收盘!$A$4:$G$3460,3,0),"")</f>
        <v>5.0168</v>
      </c>
      <c r="D2169">
        <f>IFERROR(VLOOKUP($A2169,原始数据_收盘!$A$4:$G$3460,4,0),"")</f>
        <v>4.929</v>
      </c>
      <c r="E2169">
        <f>IFERROR(VLOOKUP($A2169,原始数据_收盘!$A$4:$G$3460,5,0),"")</f>
        <v>5.084</v>
      </c>
      <c r="F2169">
        <f>IFERROR(VLOOKUP($A2169,原始数据_收盘!$A$4:$G$3460,6,0),"")</f>
        <v>4.8961</v>
      </c>
      <c r="G2169">
        <f>IFERROR(VLOOKUP($A2169,原始数据_收盘!$A$4:$G$3460,7,0),"")</f>
        <v>5.0504</v>
      </c>
      <c r="H2169">
        <f>IFERROR(VLOOKUP($A2169,原始数据_利率互换_FR007_1年!$A$6:$C$4395,2,0),"")</f>
        <v>4.853</v>
      </c>
      <c r="I2169">
        <f>IFERROR(VLOOKUP($A2169,原始数据_利率互换_FR007_1年!$A$6:$C$4395,3,0),"")</f>
        <v>5.0243</v>
      </c>
    </row>
    <row r="2170" spans="1:9">
      <c r="A2170" s="6">
        <v>41663</v>
      </c>
      <c r="B2170">
        <f>IFERROR(VLOOKUP($A2170,原始数据_收盘!$A$4:$G$3460,2,0),"")</f>
        <v>4.8389</v>
      </c>
      <c r="C2170">
        <f>IFERROR(VLOOKUP($A2170,原始数据_收盘!$A$4:$G$3460,3,0),"")</f>
        <v>4.9791</v>
      </c>
      <c r="D2170">
        <f>IFERROR(VLOOKUP($A2170,原始数据_收盘!$A$4:$G$3460,4,0),"")</f>
        <v>4.8994</v>
      </c>
      <c r="E2170">
        <f>IFERROR(VLOOKUP($A2170,原始数据_收盘!$A$4:$G$3460,5,0),"")</f>
        <v>5.0457</v>
      </c>
      <c r="F2170">
        <f>IFERROR(VLOOKUP($A2170,原始数据_收盘!$A$4:$G$3460,6,0),"")</f>
        <v>4.8692</v>
      </c>
      <c r="G2170">
        <f>IFERROR(VLOOKUP($A2170,原始数据_收盘!$A$4:$G$3460,7,0),"")</f>
        <v>5.0124</v>
      </c>
      <c r="H2170">
        <f>IFERROR(VLOOKUP($A2170,原始数据_利率互换_FR007_1年!$A$6:$C$4395,2,0),"")</f>
        <v>4.8878</v>
      </c>
      <c r="I2170">
        <f>IFERROR(VLOOKUP($A2170,原始数据_利率互换_FR007_1年!$A$6:$C$4395,3,0),"")</f>
        <v>5.002</v>
      </c>
    </row>
    <row r="2171" spans="1:9">
      <c r="A2171" s="6">
        <v>41664</v>
      </c>
      <c r="B2171" t="str">
        <f>IFERROR(VLOOKUP($A2171,原始数据_收盘!$A$4:$G$3460,2,0),"")</f>
        <v/>
      </c>
      <c r="C2171" t="str">
        <f>IFERROR(VLOOKUP($A2171,原始数据_收盘!$A$4:$G$3460,3,0),"")</f>
        <v/>
      </c>
      <c r="D2171" t="str">
        <f>IFERROR(VLOOKUP($A2171,原始数据_收盘!$A$4:$G$3460,4,0),"")</f>
        <v/>
      </c>
      <c r="E2171" t="str">
        <f>IFERROR(VLOOKUP($A2171,原始数据_收盘!$A$4:$G$3460,5,0),"")</f>
        <v/>
      </c>
      <c r="F2171" t="str">
        <f>IFERROR(VLOOKUP($A2171,原始数据_收盘!$A$4:$G$3460,6,0),"")</f>
        <v/>
      </c>
      <c r="G2171" t="str">
        <f>IFERROR(VLOOKUP($A2171,原始数据_收盘!$A$4:$G$3460,7,0),"")</f>
        <v/>
      </c>
      <c r="H2171" t="str">
        <f>IFERROR(VLOOKUP($A2171,原始数据_利率互换_FR007_1年!$A$6:$C$4395,2,0),"")</f>
        <v/>
      </c>
      <c r="I2171" t="str">
        <f>IFERROR(VLOOKUP($A2171,原始数据_利率互换_FR007_1年!$A$6:$C$4395,3,0),"")</f>
        <v/>
      </c>
    </row>
    <row r="2172" spans="1:9">
      <c r="A2172" s="6">
        <v>41665</v>
      </c>
      <c r="B2172">
        <f>IFERROR(VLOOKUP($A2172,原始数据_收盘!$A$4:$G$3460,2,0),"")</f>
        <v>4.7743</v>
      </c>
      <c r="C2172">
        <f>IFERROR(VLOOKUP($A2172,原始数据_收盘!$A$4:$G$3460,3,0),"")</f>
        <v>4.8862</v>
      </c>
      <c r="D2172">
        <f>IFERROR(VLOOKUP($A2172,原始数据_收盘!$A$4:$G$3460,4,0),"")</f>
        <v>4.837</v>
      </c>
      <c r="E2172">
        <f>IFERROR(VLOOKUP($A2172,原始数据_收盘!$A$4:$G$3460,5,0),"")</f>
        <v>4.9462</v>
      </c>
      <c r="F2172">
        <f>IFERROR(VLOOKUP($A2172,原始数据_收盘!$A$4:$G$3460,6,0),"")</f>
        <v>4.8057</v>
      </c>
      <c r="G2172">
        <f>IFERROR(VLOOKUP($A2172,原始数据_收盘!$A$4:$G$3460,7,0),"")</f>
        <v>4.9162</v>
      </c>
      <c r="H2172">
        <f>IFERROR(VLOOKUP($A2172,原始数据_利率互换_FR007_1年!$A$6:$C$4395,2,0),"")</f>
        <v>4.8001</v>
      </c>
      <c r="I2172">
        <f>IFERROR(VLOOKUP($A2172,原始数据_利率互换_FR007_1年!$A$6:$C$4395,3,0),"")</f>
        <v>4.9363</v>
      </c>
    </row>
    <row r="2173" spans="1:9">
      <c r="A2173" s="6">
        <v>41666</v>
      </c>
      <c r="B2173">
        <f>IFERROR(VLOOKUP($A2173,原始数据_收盘!$A$4:$G$3460,2,0),"")</f>
        <v>4.7453</v>
      </c>
      <c r="C2173">
        <f>IFERROR(VLOOKUP($A2173,原始数据_收盘!$A$4:$G$3460,3,0),"")</f>
        <v>4.8607</v>
      </c>
      <c r="D2173">
        <f>IFERROR(VLOOKUP($A2173,原始数据_收盘!$A$4:$G$3460,4,0),"")</f>
        <v>4.8131</v>
      </c>
      <c r="E2173">
        <f>IFERROR(VLOOKUP($A2173,原始数据_收盘!$A$4:$G$3460,5,0),"")</f>
        <v>4.9339</v>
      </c>
      <c r="F2173">
        <f>IFERROR(VLOOKUP($A2173,原始数据_收盘!$A$4:$G$3460,6,0),"")</f>
        <v>4.7792</v>
      </c>
      <c r="G2173">
        <f>IFERROR(VLOOKUP($A2173,原始数据_收盘!$A$4:$G$3460,7,0),"")</f>
        <v>4.8973</v>
      </c>
      <c r="H2173">
        <f>IFERROR(VLOOKUP($A2173,原始数据_利率互换_FR007_1年!$A$6:$C$4395,2,0),"")</f>
        <v>4.7865</v>
      </c>
      <c r="I2173">
        <f>IFERROR(VLOOKUP($A2173,原始数据_利率互换_FR007_1年!$A$6:$C$4395,3,0),"")</f>
        <v>4.8999</v>
      </c>
    </row>
    <row r="2174" spans="1:9">
      <c r="A2174" s="6">
        <v>41667</v>
      </c>
      <c r="B2174">
        <f>IFERROR(VLOOKUP($A2174,原始数据_收盘!$A$4:$G$3460,2,0),"")</f>
        <v>4.8282</v>
      </c>
      <c r="C2174">
        <f>IFERROR(VLOOKUP($A2174,原始数据_收盘!$A$4:$G$3460,3,0),"")</f>
        <v>4.9322</v>
      </c>
      <c r="D2174">
        <f>IFERROR(VLOOKUP($A2174,原始数据_收盘!$A$4:$G$3460,4,0),"")</f>
        <v>4.8926</v>
      </c>
      <c r="E2174">
        <f>IFERROR(VLOOKUP($A2174,原始数据_收盘!$A$4:$G$3460,5,0),"")</f>
        <v>4.9899</v>
      </c>
      <c r="F2174">
        <f>IFERROR(VLOOKUP($A2174,原始数据_收盘!$A$4:$G$3460,6,0),"")</f>
        <v>4.8604</v>
      </c>
      <c r="G2174">
        <f>IFERROR(VLOOKUP($A2174,原始数据_收盘!$A$4:$G$3460,7,0),"")</f>
        <v>4.961</v>
      </c>
      <c r="H2174">
        <f>IFERROR(VLOOKUP($A2174,原始数据_利率互换_FR007_1年!$A$6:$C$4395,2,0),"")</f>
        <v>4.8277</v>
      </c>
      <c r="I2174">
        <f>IFERROR(VLOOKUP($A2174,原始数据_利率互换_FR007_1年!$A$6:$C$4395,3,0),"")</f>
        <v>4.9564</v>
      </c>
    </row>
    <row r="2175" spans="1:9">
      <c r="A2175" s="6">
        <v>41668</v>
      </c>
      <c r="B2175">
        <f>IFERROR(VLOOKUP($A2175,原始数据_收盘!$A$4:$G$3460,2,0),"")</f>
        <v>4.8068</v>
      </c>
      <c r="C2175">
        <f>IFERROR(VLOOKUP($A2175,原始数据_收盘!$A$4:$G$3460,3,0),"")</f>
        <v>4.9068</v>
      </c>
      <c r="D2175">
        <f>IFERROR(VLOOKUP($A2175,原始数据_收盘!$A$4:$G$3460,4,0),"")</f>
        <v>4.8659</v>
      </c>
      <c r="E2175">
        <f>IFERROR(VLOOKUP($A2175,原始数据_收盘!$A$4:$G$3460,5,0),"")</f>
        <v>4.9665</v>
      </c>
      <c r="F2175">
        <f>IFERROR(VLOOKUP($A2175,原始数据_收盘!$A$4:$G$3460,6,0),"")</f>
        <v>4.8364</v>
      </c>
      <c r="G2175">
        <f>IFERROR(VLOOKUP($A2175,原始数据_收盘!$A$4:$G$3460,7,0),"")</f>
        <v>4.9367</v>
      </c>
      <c r="H2175">
        <f>IFERROR(VLOOKUP($A2175,原始数据_利率互换_FR007_1年!$A$6:$C$4395,2,0),"")</f>
        <v>4.8548</v>
      </c>
      <c r="I2175">
        <f>IFERROR(VLOOKUP($A2175,原始数据_利率互换_FR007_1年!$A$6:$C$4395,3,0),"")</f>
        <v>4.9679</v>
      </c>
    </row>
    <row r="2176" spans="1:9">
      <c r="A2176" s="6">
        <v>41669</v>
      </c>
      <c r="B2176">
        <f>IFERROR(VLOOKUP($A2176,原始数据_收盘!$A$4:$G$3460,2,0),"")</f>
        <v>4.7779</v>
      </c>
      <c r="C2176">
        <f>IFERROR(VLOOKUP($A2176,原始数据_收盘!$A$4:$G$3460,3,0),"")</f>
        <v>4.8804</v>
      </c>
      <c r="D2176">
        <f>IFERROR(VLOOKUP($A2176,原始数据_收盘!$A$4:$G$3460,4,0),"")</f>
        <v>4.8434</v>
      </c>
      <c r="E2176">
        <f>IFERROR(VLOOKUP($A2176,原始数据_收盘!$A$4:$G$3460,5,0),"")</f>
        <v>4.9488</v>
      </c>
      <c r="F2176">
        <f>IFERROR(VLOOKUP($A2176,原始数据_收盘!$A$4:$G$3460,6,0),"")</f>
        <v>4.8106</v>
      </c>
      <c r="G2176">
        <f>IFERROR(VLOOKUP($A2176,原始数据_收盘!$A$4:$G$3460,7,0),"")</f>
        <v>4.9146</v>
      </c>
      <c r="H2176">
        <f>IFERROR(VLOOKUP($A2176,原始数据_利率互换_FR007_1年!$A$6:$C$4395,2,0),"")</f>
        <v>4.8</v>
      </c>
      <c r="I2176">
        <f>IFERROR(VLOOKUP($A2176,原始数据_利率互换_FR007_1年!$A$6:$C$4395,3,0),"")</f>
        <v>4.945</v>
      </c>
    </row>
    <row r="2177" spans="1:9">
      <c r="A2177" s="6">
        <v>41670</v>
      </c>
      <c r="B2177" t="str">
        <f>IFERROR(VLOOKUP($A2177,原始数据_收盘!$A$4:$G$3460,2,0),"")</f>
        <v/>
      </c>
      <c r="C2177" t="str">
        <f>IFERROR(VLOOKUP($A2177,原始数据_收盘!$A$4:$G$3460,3,0),"")</f>
        <v/>
      </c>
      <c r="D2177" t="str">
        <f>IFERROR(VLOOKUP($A2177,原始数据_收盘!$A$4:$G$3460,4,0),"")</f>
        <v/>
      </c>
      <c r="E2177" t="str">
        <f>IFERROR(VLOOKUP($A2177,原始数据_收盘!$A$4:$G$3460,5,0),"")</f>
        <v/>
      </c>
      <c r="F2177" t="str">
        <f>IFERROR(VLOOKUP($A2177,原始数据_收盘!$A$4:$G$3460,6,0),"")</f>
        <v/>
      </c>
      <c r="G2177" t="str">
        <f>IFERROR(VLOOKUP($A2177,原始数据_收盘!$A$4:$G$3460,7,0),"")</f>
        <v/>
      </c>
      <c r="H2177" t="str">
        <f>IFERROR(VLOOKUP($A2177,原始数据_利率互换_FR007_1年!$A$6:$C$4395,2,0),"")</f>
        <v/>
      </c>
      <c r="I2177" t="str">
        <f>IFERROR(VLOOKUP($A2177,原始数据_利率互换_FR007_1年!$A$6:$C$4395,3,0),"")</f>
        <v/>
      </c>
    </row>
    <row r="2178" spans="1:9">
      <c r="A2178" s="6">
        <v>41671</v>
      </c>
      <c r="B2178" t="str">
        <f>IFERROR(VLOOKUP($A2178,原始数据_收盘!$A$4:$G$3460,2,0),"")</f>
        <v/>
      </c>
      <c r="C2178" t="str">
        <f>IFERROR(VLOOKUP($A2178,原始数据_收盘!$A$4:$G$3460,3,0),"")</f>
        <v/>
      </c>
      <c r="D2178" t="str">
        <f>IFERROR(VLOOKUP($A2178,原始数据_收盘!$A$4:$G$3460,4,0),"")</f>
        <v/>
      </c>
      <c r="E2178" t="str">
        <f>IFERROR(VLOOKUP($A2178,原始数据_收盘!$A$4:$G$3460,5,0),"")</f>
        <v/>
      </c>
      <c r="F2178" t="str">
        <f>IFERROR(VLOOKUP($A2178,原始数据_收盘!$A$4:$G$3460,6,0),"")</f>
        <v/>
      </c>
      <c r="G2178" t="str">
        <f>IFERROR(VLOOKUP($A2178,原始数据_收盘!$A$4:$G$3460,7,0),"")</f>
        <v/>
      </c>
      <c r="H2178" t="str">
        <f>IFERROR(VLOOKUP($A2178,原始数据_利率互换_FR007_1年!$A$6:$C$4395,2,0),"")</f>
        <v/>
      </c>
      <c r="I2178" t="str">
        <f>IFERROR(VLOOKUP($A2178,原始数据_利率互换_FR007_1年!$A$6:$C$4395,3,0),"")</f>
        <v/>
      </c>
    </row>
    <row r="2179" spans="1:9">
      <c r="A2179" s="6">
        <v>41672</v>
      </c>
      <c r="B2179" t="str">
        <f>IFERROR(VLOOKUP($A2179,原始数据_收盘!$A$4:$G$3460,2,0),"")</f>
        <v/>
      </c>
      <c r="C2179" t="str">
        <f>IFERROR(VLOOKUP($A2179,原始数据_收盘!$A$4:$G$3460,3,0),"")</f>
        <v/>
      </c>
      <c r="D2179" t="str">
        <f>IFERROR(VLOOKUP($A2179,原始数据_收盘!$A$4:$G$3460,4,0),"")</f>
        <v/>
      </c>
      <c r="E2179" t="str">
        <f>IFERROR(VLOOKUP($A2179,原始数据_收盘!$A$4:$G$3460,5,0),"")</f>
        <v/>
      </c>
      <c r="F2179" t="str">
        <f>IFERROR(VLOOKUP($A2179,原始数据_收盘!$A$4:$G$3460,6,0),"")</f>
        <v/>
      </c>
      <c r="G2179" t="str">
        <f>IFERROR(VLOOKUP($A2179,原始数据_收盘!$A$4:$G$3460,7,0),"")</f>
        <v/>
      </c>
      <c r="H2179" t="str">
        <f>IFERROR(VLOOKUP($A2179,原始数据_利率互换_FR007_1年!$A$6:$C$4395,2,0),"")</f>
        <v/>
      </c>
      <c r="I2179" t="str">
        <f>IFERROR(VLOOKUP($A2179,原始数据_利率互换_FR007_1年!$A$6:$C$4395,3,0),"")</f>
        <v/>
      </c>
    </row>
    <row r="2180" spans="1:9">
      <c r="A2180" s="6">
        <v>41673</v>
      </c>
      <c r="B2180" t="str">
        <f>IFERROR(VLOOKUP($A2180,原始数据_收盘!$A$4:$G$3460,2,0),"")</f>
        <v/>
      </c>
      <c r="C2180" t="str">
        <f>IFERROR(VLOOKUP($A2180,原始数据_收盘!$A$4:$G$3460,3,0),"")</f>
        <v/>
      </c>
      <c r="D2180" t="str">
        <f>IFERROR(VLOOKUP($A2180,原始数据_收盘!$A$4:$G$3460,4,0),"")</f>
        <v/>
      </c>
      <c r="E2180" t="str">
        <f>IFERROR(VLOOKUP($A2180,原始数据_收盘!$A$4:$G$3460,5,0),"")</f>
        <v/>
      </c>
      <c r="F2180" t="str">
        <f>IFERROR(VLOOKUP($A2180,原始数据_收盘!$A$4:$G$3460,6,0),"")</f>
        <v/>
      </c>
      <c r="G2180" t="str">
        <f>IFERROR(VLOOKUP($A2180,原始数据_收盘!$A$4:$G$3460,7,0),"")</f>
        <v/>
      </c>
      <c r="H2180" t="str">
        <f>IFERROR(VLOOKUP($A2180,原始数据_利率互换_FR007_1年!$A$6:$C$4395,2,0),"")</f>
        <v/>
      </c>
      <c r="I2180" t="str">
        <f>IFERROR(VLOOKUP($A2180,原始数据_利率互换_FR007_1年!$A$6:$C$4395,3,0),"")</f>
        <v/>
      </c>
    </row>
    <row r="2181" spans="1:9">
      <c r="A2181" s="6">
        <v>41674</v>
      </c>
      <c r="B2181" t="str">
        <f>IFERROR(VLOOKUP($A2181,原始数据_收盘!$A$4:$G$3460,2,0),"")</f>
        <v/>
      </c>
      <c r="C2181" t="str">
        <f>IFERROR(VLOOKUP($A2181,原始数据_收盘!$A$4:$G$3460,3,0),"")</f>
        <v/>
      </c>
      <c r="D2181" t="str">
        <f>IFERROR(VLOOKUP($A2181,原始数据_收盘!$A$4:$G$3460,4,0),"")</f>
        <v/>
      </c>
      <c r="E2181" t="str">
        <f>IFERROR(VLOOKUP($A2181,原始数据_收盘!$A$4:$G$3460,5,0),"")</f>
        <v/>
      </c>
      <c r="F2181" t="str">
        <f>IFERROR(VLOOKUP($A2181,原始数据_收盘!$A$4:$G$3460,6,0),"")</f>
        <v/>
      </c>
      <c r="G2181" t="str">
        <f>IFERROR(VLOOKUP($A2181,原始数据_收盘!$A$4:$G$3460,7,0),"")</f>
        <v/>
      </c>
      <c r="H2181" t="str">
        <f>IFERROR(VLOOKUP($A2181,原始数据_利率互换_FR007_1年!$A$6:$C$4395,2,0),"")</f>
        <v/>
      </c>
      <c r="I2181" t="str">
        <f>IFERROR(VLOOKUP($A2181,原始数据_利率互换_FR007_1年!$A$6:$C$4395,3,0),"")</f>
        <v/>
      </c>
    </row>
    <row r="2182" spans="1:9">
      <c r="A2182" s="6">
        <v>41675</v>
      </c>
      <c r="B2182" t="str">
        <f>IFERROR(VLOOKUP($A2182,原始数据_收盘!$A$4:$G$3460,2,0),"")</f>
        <v/>
      </c>
      <c r="C2182" t="str">
        <f>IFERROR(VLOOKUP($A2182,原始数据_收盘!$A$4:$G$3460,3,0),"")</f>
        <v/>
      </c>
      <c r="D2182" t="str">
        <f>IFERROR(VLOOKUP($A2182,原始数据_收盘!$A$4:$G$3460,4,0),"")</f>
        <v/>
      </c>
      <c r="E2182" t="str">
        <f>IFERROR(VLOOKUP($A2182,原始数据_收盘!$A$4:$G$3460,5,0),"")</f>
        <v/>
      </c>
      <c r="F2182" t="str">
        <f>IFERROR(VLOOKUP($A2182,原始数据_收盘!$A$4:$G$3460,6,0),"")</f>
        <v/>
      </c>
      <c r="G2182" t="str">
        <f>IFERROR(VLOOKUP($A2182,原始数据_收盘!$A$4:$G$3460,7,0),"")</f>
        <v/>
      </c>
      <c r="H2182" t="str">
        <f>IFERROR(VLOOKUP($A2182,原始数据_利率互换_FR007_1年!$A$6:$C$4395,2,0),"")</f>
        <v/>
      </c>
      <c r="I2182" t="str">
        <f>IFERROR(VLOOKUP($A2182,原始数据_利率互换_FR007_1年!$A$6:$C$4395,3,0),"")</f>
        <v/>
      </c>
    </row>
    <row r="2183" spans="1:9">
      <c r="A2183" s="6">
        <v>41676</v>
      </c>
      <c r="B2183" t="str">
        <f>IFERROR(VLOOKUP($A2183,原始数据_收盘!$A$4:$G$3460,2,0),"")</f>
        <v/>
      </c>
      <c r="C2183" t="str">
        <f>IFERROR(VLOOKUP($A2183,原始数据_收盘!$A$4:$G$3460,3,0),"")</f>
        <v/>
      </c>
      <c r="D2183" t="str">
        <f>IFERROR(VLOOKUP($A2183,原始数据_收盘!$A$4:$G$3460,4,0),"")</f>
        <v/>
      </c>
      <c r="E2183" t="str">
        <f>IFERROR(VLOOKUP($A2183,原始数据_收盘!$A$4:$G$3460,5,0),"")</f>
        <v/>
      </c>
      <c r="F2183" t="str">
        <f>IFERROR(VLOOKUP($A2183,原始数据_收盘!$A$4:$G$3460,6,0),"")</f>
        <v/>
      </c>
      <c r="G2183" t="str">
        <f>IFERROR(VLOOKUP($A2183,原始数据_收盘!$A$4:$G$3460,7,0),"")</f>
        <v/>
      </c>
      <c r="H2183" t="str">
        <f>IFERROR(VLOOKUP($A2183,原始数据_利率互换_FR007_1年!$A$6:$C$4395,2,0),"")</f>
        <v/>
      </c>
      <c r="I2183" t="str">
        <f>IFERROR(VLOOKUP($A2183,原始数据_利率互换_FR007_1年!$A$6:$C$4395,3,0),"")</f>
        <v/>
      </c>
    </row>
    <row r="2184" spans="1:9">
      <c r="A2184" s="6">
        <v>41677</v>
      </c>
      <c r="B2184">
        <f>IFERROR(VLOOKUP($A2184,原始数据_收盘!$A$4:$G$3460,2,0),"")</f>
        <v>4.7793</v>
      </c>
      <c r="C2184">
        <f>IFERROR(VLOOKUP($A2184,原始数据_收盘!$A$4:$G$3460,3,0),"")</f>
        <v>4.8788</v>
      </c>
      <c r="D2184">
        <f>IFERROR(VLOOKUP($A2184,原始数据_收盘!$A$4:$G$3460,4,0),"")</f>
        <v>4.8364</v>
      </c>
      <c r="E2184">
        <f>IFERROR(VLOOKUP($A2184,原始数据_收盘!$A$4:$G$3460,5,0),"")</f>
        <v>4.9443</v>
      </c>
      <c r="F2184">
        <f>IFERROR(VLOOKUP($A2184,原始数据_收盘!$A$4:$G$3460,6,0),"")</f>
        <v>4.8079</v>
      </c>
      <c r="G2184">
        <f>IFERROR(VLOOKUP($A2184,原始数据_收盘!$A$4:$G$3460,7,0),"")</f>
        <v>4.9115</v>
      </c>
      <c r="H2184">
        <f>IFERROR(VLOOKUP($A2184,原始数据_利率互换_FR007_1年!$A$6:$C$4395,2,0),"")</f>
        <v>4.8023</v>
      </c>
      <c r="I2184">
        <f>IFERROR(VLOOKUP($A2184,原始数据_利率互换_FR007_1年!$A$6:$C$4395,3,0),"")</f>
        <v>4.892</v>
      </c>
    </row>
    <row r="2185" spans="1:9">
      <c r="A2185" s="6">
        <v>41678</v>
      </c>
      <c r="B2185">
        <f>IFERROR(VLOOKUP($A2185,原始数据_收盘!$A$4:$G$3460,2,0),"")</f>
        <v>4.7918</v>
      </c>
      <c r="C2185">
        <f>IFERROR(VLOOKUP($A2185,原始数据_收盘!$A$4:$G$3460,3,0),"")</f>
        <v>4.881</v>
      </c>
      <c r="D2185">
        <f>IFERROR(VLOOKUP($A2185,原始数据_收盘!$A$4:$G$3460,4,0),"")</f>
        <v>4.8471</v>
      </c>
      <c r="E2185">
        <f>IFERROR(VLOOKUP($A2185,原始数据_收盘!$A$4:$G$3460,5,0),"")</f>
        <v>4.944</v>
      </c>
      <c r="F2185">
        <f>IFERROR(VLOOKUP($A2185,原始数据_收盘!$A$4:$G$3460,6,0),"")</f>
        <v>4.8195</v>
      </c>
      <c r="G2185">
        <f>IFERROR(VLOOKUP($A2185,原始数据_收盘!$A$4:$G$3460,7,0),"")</f>
        <v>4.9125</v>
      </c>
      <c r="H2185">
        <f>IFERROR(VLOOKUP($A2185,原始数据_利率互换_FR007_1年!$A$6:$C$4395,2,0),"")</f>
        <v>4.8108</v>
      </c>
      <c r="I2185">
        <f>IFERROR(VLOOKUP($A2185,原始数据_利率互换_FR007_1年!$A$6:$C$4395,3,0),"")</f>
        <v>4.8925</v>
      </c>
    </row>
    <row r="2186" spans="1:9">
      <c r="A2186" s="6">
        <v>41679</v>
      </c>
      <c r="B2186" t="str">
        <f>IFERROR(VLOOKUP($A2186,原始数据_收盘!$A$4:$G$3460,2,0),"")</f>
        <v/>
      </c>
      <c r="C2186" t="str">
        <f>IFERROR(VLOOKUP($A2186,原始数据_收盘!$A$4:$G$3460,3,0),"")</f>
        <v/>
      </c>
      <c r="D2186" t="str">
        <f>IFERROR(VLOOKUP($A2186,原始数据_收盘!$A$4:$G$3460,4,0),"")</f>
        <v/>
      </c>
      <c r="E2186" t="str">
        <f>IFERROR(VLOOKUP($A2186,原始数据_收盘!$A$4:$G$3460,5,0),"")</f>
        <v/>
      </c>
      <c r="F2186" t="str">
        <f>IFERROR(VLOOKUP($A2186,原始数据_收盘!$A$4:$G$3460,6,0),"")</f>
        <v/>
      </c>
      <c r="G2186" t="str">
        <f>IFERROR(VLOOKUP($A2186,原始数据_收盘!$A$4:$G$3460,7,0),"")</f>
        <v/>
      </c>
      <c r="H2186" t="str">
        <f>IFERROR(VLOOKUP($A2186,原始数据_利率互换_FR007_1年!$A$6:$C$4395,2,0),"")</f>
        <v/>
      </c>
      <c r="I2186" t="str">
        <f>IFERROR(VLOOKUP($A2186,原始数据_利率互换_FR007_1年!$A$6:$C$4395,3,0),"")</f>
        <v/>
      </c>
    </row>
    <row r="2187" spans="1:9">
      <c r="A2187" s="6">
        <v>41680</v>
      </c>
      <c r="B2187">
        <f>IFERROR(VLOOKUP($A2187,原始数据_收盘!$A$4:$G$3460,2,0),"")</f>
        <v>4.833</v>
      </c>
      <c r="C2187">
        <f>IFERROR(VLOOKUP($A2187,原始数据_收盘!$A$4:$G$3460,3,0),"")</f>
        <v>4.9244</v>
      </c>
      <c r="D2187">
        <f>IFERROR(VLOOKUP($A2187,原始数据_收盘!$A$4:$G$3460,4,0),"")</f>
        <v>4.8967</v>
      </c>
      <c r="E2187">
        <f>IFERROR(VLOOKUP($A2187,原始数据_收盘!$A$4:$G$3460,5,0),"")</f>
        <v>4.9929</v>
      </c>
      <c r="F2187">
        <f>IFERROR(VLOOKUP($A2187,原始数据_收盘!$A$4:$G$3460,6,0),"")</f>
        <v>4.8649</v>
      </c>
      <c r="G2187">
        <f>IFERROR(VLOOKUP($A2187,原始数据_收盘!$A$4:$G$3460,7,0),"")</f>
        <v>4.9587</v>
      </c>
      <c r="H2187">
        <f>IFERROR(VLOOKUP($A2187,原始数据_利率互换_FR007_1年!$A$6:$C$4395,2,0),"")</f>
        <v>4.8488</v>
      </c>
      <c r="I2187">
        <f>IFERROR(VLOOKUP($A2187,原始数据_利率互换_FR007_1年!$A$6:$C$4395,3,0),"")</f>
        <v>4.9414</v>
      </c>
    </row>
    <row r="2188" spans="1:9">
      <c r="A2188" s="6">
        <v>41681</v>
      </c>
      <c r="B2188">
        <f>IFERROR(VLOOKUP($A2188,原始数据_收盘!$A$4:$G$3460,2,0),"")</f>
        <v>4.8286</v>
      </c>
      <c r="C2188">
        <f>IFERROR(VLOOKUP($A2188,原始数据_收盘!$A$4:$G$3460,3,0),"")</f>
        <v>4.9247</v>
      </c>
      <c r="D2188">
        <f>IFERROR(VLOOKUP($A2188,原始数据_收盘!$A$4:$G$3460,4,0),"")</f>
        <v>4.8911</v>
      </c>
      <c r="E2188">
        <f>IFERROR(VLOOKUP($A2188,原始数据_收盘!$A$4:$G$3460,5,0),"")</f>
        <v>4.9931</v>
      </c>
      <c r="F2188">
        <f>IFERROR(VLOOKUP($A2188,原始数据_收盘!$A$4:$G$3460,6,0),"")</f>
        <v>4.8599</v>
      </c>
      <c r="G2188">
        <f>IFERROR(VLOOKUP($A2188,原始数据_收盘!$A$4:$G$3460,7,0),"")</f>
        <v>4.9589</v>
      </c>
      <c r="H2188">
        <f>IFERROR(VLOOKUP($A2188,原始数据_利率互换_FR007_1年!$A$6:$C$4395,2,0),"")</f>
        <v>4.8664</v>
      </c>
      <c r="I2188">
        <f>IFERROR(VLOOKUP($A2188,原始数据_利率互换_FR007_1年!$A$6:$C$4395,3,0),"")</f>
        <v>0</v>
      </c>
    </row>
    <row r="2189" spans="1:9">
      <c r="A2189" s="6">
        <v>41682</v>
      </c>
      <c r="B2189">
        <f>IFERROR(VLOOKUP($A2189,原始数据_收盘!$A$4:$G$3460,2,0),"")</f>
        <v>4.8259</v>
      </c>
      <c r="C2189">
        <f>IFERROR(VLOOKUP($A2189,原始数据_收盘!$A$4:$G$3460,3,0),"")</f>
        <v>4.9189</v>
      </c>
      <c r="D2189">
        <f>IFERROR(VLOOKUP($A2189,原始数据_收盘!$A$4:$G$3460,4,0),"")</f>
        <v>4.8816</v>
      </c>
      <c r="E2189">
        <f>IFERROR(VLOOKUP($A2189,原始数据_收盘!$A$4:$G$3460,5,0),"")</f>
        <v>4.9768</v>
      </c>
      <c r="F2189">
        <f>IFERROR(VLOOKUP($A2189,原始数据_收盘!$A$4:$G$3460,6,0),"")</f>
        <v>4.8537</v>
      </c>
      <c r="G2189">
        <f>IFERROR(VLOOKUP($A2189,原始数据_收盘!$A$4:$G$3460,7,0),"")</f>
        <v>4.9479</v>
      </c>
      <c r="H2189">
        <f>IFERROR(VLOOKUP($A2189,原始数据_利率互换_FR007_1年!$A$6:$C$4395,2,0),"")</f>
        <v>4.8407</v>
      </c>
      <c r="I2189">
        <f>IFERROR(VLOOKUP($A2189,原始数据_利率互换_FR007_1年!$A$6:$C$4395,3,0),"")</f>
        <v>4.9459</v>
      </c>
    </row>
    <row r="2190" spans="1:9">
      <c r="A2190" s="6">
        <v>41683</v>
      </c>
      <c r="B2190">
        <f>IFERROR(VLOOKUP($A2190,原始数据_收盘!$A$4:$G$3460,2,0),"")</f>
        <v>4.7875</v>
      </c>
      <c r="C2190">
        <f>IFERROR(VLOOKUP($A2190,原始数据_收盘!$A$4:$G$3460,3,0),"")</f>
        <v>4.8935</v>
      </c>
      <c r="D2190">
        <f>IFERROR(VLOOKUP($A2190,原始数据_收盘!$A$4:$G$3460,4,0),"")</f>
        <v>4.8438</v>
      </c>
      <c r="E2190">
        <f>IFERROR(VLOOKUP($A2190,原始数据_收盘!$A$4:$G$3460,5,0),"")</f>
        <v>4.9513</v>
      </c>
      <c r="F2190">
        <f>IFERROR(VLOOKUP($A2190,原始数据_收盘!$A$4:$G$3460,6,0),"")</f>
        <v>4.8156</v>
      </c>
      <c r="G2190">
        <f>IFERROR(VLOOKUP($A2190,原始数据_收盘!$A$4:$G$3460,7,0),"")</f>
        <v>4.9224</v>
      </c>
      <c r="H2190">
        <f>IFERROR(VLOOKUP($A2190,原始数据_利率互换_FR007_1年!$A$6:$C$4395,2,0),"")</f>
        <v>4.8236</v>
      </c>
      <c r="I2190">
        <f>IFERROR(VLOOKUP($A2190,原始数据_利率互换_FR007_1年!$A$6:$C$4395,3,0),"")</f>
        <v>4.9301</v>
      </c>
    </row>
    <row r="2191" spans="1:9">
      <c r="A2191" s="6">
        <v>41684</v>
      </c>
      <c r="B2191">
        <f>IFERROR(VLOOKUP($A2191,原始数据_收盘!$A$4:$G$3460,2,0),"")</f>
        <v>4.7428</v>
      </c>
      <c r="C2191">
        <f>IFERROR(VLOOKUP($A2191,原始数据_收盘!$A$4:$G$3460,3,0),"")</f>
        <v>4.8591</v>
      </c>
      <c r="D2191">
        <f>IFERROR(VLOOKUP($A2191,原始数据_收盘!$A$4:$G$3460,4,0),"")</f>
        <v>4.802</v>
      </c>
      <c r="E2191">
        <f>IFERROR(VLOOKUP($A2191,原始数据_收盘!$A$4:$G$3460,5,0),"")</f>
        <v>4.9208</v>
      </c>
      <c r="F2191">
        <f>IFERROR(VLOOKUP($A2191,原始数据_收盘!$A$4:$G$3460,6,0),"")</f>
        <v>4.7724</v>
      </c>
      <c r="G2191">
        <f>IFERROR(VLOOKUP($A2191,原始数据_收盘!$A$4:$G$3460,7,0),"")</f>
        <v>4.8899</v>
      </c>
      <c r="H2191">
        <f>IFERROR(VLOOKUP($A2191,原始数据_利率互换_FR007_1年!$A$6:$C$4395,2,0),"")</f>
        <v>4.7836</v>
      </c>
      <c r="I2191">
        <f>IFERROR(VLOOKUP($A2191,原始数据_利率互换_FR007_1年!$A$6:$C$4395,3,0),"")</f>
        <v>4.8983</v>
      </c>
    </row>
    <row r="2192" spans="1:9">
      <c r="A2192" s="6">
        <v>41685</v>
      </c>
      <c r="B2192" t="str">
        <f>IFERROR(VLOOKUP($A2192,原始数据_收盘!$A$4:$G$3460,2,0),"")</f>
        <v/>
      </c>
      <c r="C2192" t="str">
        <f>IFERROR(VLOOKUP($A2192,原始数据_收盘!$A$4:$G$3460,3,0),"")</f>
        <v/>
      </c>
      <c r="D2192" t="str">
        <f>IFERROR(VLOOKUP($A2192,原始数据_收盘!$A$4:$G$3460,4,0),"")</f>
        <v/>
      </c>
      <c r="E2192" t="str">
        <f>IFERROR(VLOOKUP($A2192,原始数据_收盘!$A$4:$G$3460,5,0),"")</f>
        <v/>
      </c>
      <c r="F2192" t="str">
        <f>IFERROR(VLOOKUP($A2192,原始数据_收盘!$A$4:$G$3460,6,0),"")</f>
        <v/>
      </c>
      <c r="G2192" t="str">
        <f>IFERROR(VLOOKUP($A2192,原始数据_收盘!$A$4:$G$3460,7,0),"")</f>
        <v/>
      </c>
      <c r="H2192" t="str">
        <f>IFERROR(VLOOKUP($A2192,原始数据_利率互换_FR007_1年!$A$6:$C$4395,2,0),"")</f>
        <v/>
      </c>
      <c r="I2192" t="str">
        <f>IFERROR(VLOOKUP($A2192,原始数据_利率互换_FR007_1年!$A$6:$C$4395,3,0),"")</f>
        <v/>
      </c>
    </row>
    <row r="2193" spans="1:9">
      <c r="A2193" s="6">
        <v>41686</v>
      </c>
      <c r="B2193" t="str">
        <f>IFERROR(VLOOKUP($A2193,原始数据_收盘!$A$4:$G$3460,2,0),"")</f>
        <v/>
      </c>
      <c r="C2193" t="str">
        <f>IFERROR(VLOOKUP($A2193,原始数据_收盘!$A$4:$G$3460,3,0),"")</f>
        <v/>
      </c>
      <c r="D2193" t="str">
        <f>IFERROR(VLOOKUP($A2193,原始数据_收盘!$A$4:$G$3460,4,0),"")</f>
        <v/>
      </c>
      <c r="E2193" t="str">
        <f>IFERROR(VLOOKUP($A2193,原始数据_收盘!$A$4:$G$3460,5,0),"")</f>
        <v/>
      </c>
      <c r="F2193" t="str">
        <f>IFERROR(VLOOKUP($A2193,原始数据_收盘!$A$4:$G$3460,6,0),"")</f>
        <v/>
      </c>
      <c r="G2193" t="str">
        <f>IFERROR(VLOOKUP($A2193,原始数据_收盘!$A$4:$G$3460,7,0),"")</f>
        <v/>
      </c>
      <c r="H2193" t="str">
        <f>IFERROR(VLOOKUP($A2193,原始数据_利率互换_FR007_1年!$A$6:$C$4395,2,0),"")</f>
        <v/>
      </c>
      <c r="I2193" t="str">
        <f>IFERROR(VLOOKUP($A2193,原始数据_利率互换_FR007_1年!$A$6:$C$4395,3,0),"")</f>
        <v/>
      </c>
    </row>
    <row r="2194" spans="1:9">
      <c r="A2194" s="6">
        <v>41687</v>
      </c>
      <c r="B2194">
        <f>IFERROR(VLOOKUP($A2194,原始数据_收盘!$A$4:$G$3460,2,0),"")</f>
        <v>4.7896</v>
      </c>
      <c r="C2194">
        <f>IFERROR(VLOOKUP($A2194,原始数据_收盘!$A$4:$G$3460,3,0),"")</f>
        <v>4.9303</v>
      </c>
      <c r="D2194">
        <f>IFERROR(VLOOKUP($A2194,原始数据_收盘!$A$4:$G$3460,4,0),"")</f>
        <v>4.8501</v>
      </c>
      <c r="E2194">
        <f>IFERROR(VLOOKUP($A2194,原始数据_收盘!$A$4:$G$3460,5,0),"")</f>
        <v>4.9904</v>
      </c>
      <c r="F2194">
        <f>IFERROR(VLOOKUP($A2194,原始数据_收盘!$A$4:$G$3460,6,0),"")</f>
        <v>4.8199</v>
      </c>
      <c r="G2194">
        <f>IFERROR(VLOOKUP($A2194,原始数据_收盘!$A$4:$G$3460,7,0),"")</f>
        <v>4.9603</v>
      </c>
      <c r="H2194">
        <f>IFERROR(VLOOKUP($A2194,原始数据_利率互换_FR007_1年!$A$6:$C$4395,2,0),"")</f>
        <v>4.8</v>
      </c>
      <c r="I2194">
        <f>IFERROR(VLOOKUP($A2194,原始数据_利率互换_FR007_1年!$A$6:$C$4395,3,0),"")</f>
        <v>4.9325</v>
      </c>
    </row>
    <row r="2195" spans="1:9">
      <c r="A2195" s="6">
        <v>41688</v>
      </c>
      <c r="B2195">
        <f>IFERROR(VLOOKUP($A2195,原始数据_收盘!$A$4:$G$3460,2,0),"")</f>
        <v>4.8108</v>
      </c>
      <c r="C2195">
        <f>IFERROR(VLOOKUP($A2195,原始数据_收盘!$A$4:$G$3460,3,0),"")</f>
        <v>4.9572</v>
      </c>
      <c r="D2195">
        <f>IFERROR(VLOOKUP($A2195,原始数据_收盘!$A$4:$G$3460,4,0),"")</f>
        <v>4.8708</v>
      </c>
      <c r="E2195">
        <f>IFERROR(VLOOKUP($A2195,原始数据_收盘!$A$4:$G$3460,5,0),"")</f>
        <v>5.0167</v>
      </c>
      <c r="F2195">
        <f>IFERROR(VLOOKUP($A2195,原始数据_收盘!$A$4:$G$3460,6,0),"")</f>
        <v>4.8408</v>
      </c>
      <c r="G2195">
        <f>IFERROR(VLOOKUP($A2195,原始数据_收盘!$A$4:$G$3460,7,0),"")</f>
        <v>4.987</v>
      </c>
      <c r="H2195">
        <f>IFERROR(VLOOKUP($A2195,原始数据_利率互换_FR007_1年!$A$6:$C$4395,2,0),"")</f>
        <v>4.8447</v>
      </c>
      <c r="I2195">
        <f>IFERROR(VLOOKUP($A2195,原始数据_利率互换_FR007_1年!$A$6:$C$4395,3,0),"")</f>
        <v>4.9905</v>
      </c>
    </row>
    <row r="2196" spans="1:9">
      <c r="A2196" s="6">
        <v>41689</v>
      </c>
      <c r="B2196">
        <f>IFERROR(VLOOKUP($A2196,原始数据_收盘!$A$4:$G$3460,2,0),"")</f>
        <v>4.8026</v>
      </c>
      <c r="C2196">
        <f>IFERROR(VLOOKUP($A2196,原始数据_收盘!$A$4:$G$3460,3,0),"")</f>
        <v>4.9656</v>
      </c>
      <c r="D2196">
        <f>IFERROR(VLOOKUP($A2196,原始数据_收盘!$A$4:$G$3460,4,0),"")</f>
        <v>4.8629</v>
      </c>
      <c r="E2196">
        <f>IFERROR(VLOOKUP($A2196,原始数据_收盘!$A$4:$G$3460,5,0),"")</f>
        <v>5.0282</v>
      </c>
      <c r="F2196">
        <f>IFERROR(VLOOKUP($A2196,原始数据_收盘!$A$4:$G$3460,6,0),"")</f>
        <v>4.8327</v>
      </c>
      <c r="G2196">
        <f>IFERROR(VLOOKUP($A2196,原始数据_收盘!$A$4:$G$3460,7,0),"")</f>
        <v>4.9969</v>
      </c>
      <c r="H2196">
        <f>IFERROR(VLOOKUP($A2196,原始数据_利率互换_FR007_1年!$A$6:$C$4395,2,0),"")</f>
        <v>4.8164</v>
      </c>
      <c r="I2196">
        <f>IFERROR(VLOOKUP($A2196,原始数据_利率互换_FR007_1年!$A$6:$C$4395,3,0),"")</f>
        <v>4.9853</v>
      </c>
    </row>
    <row r="2197" spans="1:9">
      <c r="A2197" s="6">
        <v>41690</v>
      </c>
      <c r="B2197">
        <f>IFERROR(VLOOKUP($A2197,原始数据_收盘!$A$4:$G$3460,2,0),"")</f>
        <v>4.7518</v>
      </c>
      <c r="C2197">
        <f>IFERROR(VLOOKUP($A2197,原始数据_收盘!$A$4:$G$3460,3,0),"")</f>
        <v>4.9183</v>
      </c>
      <c r="D2197">
        <f>IFERROR(VLOOKUP($A2197,原始数据_收盘!$A$4:$G$3460,4,0),"")</f>
        <v>4.8046</v>
      </c>
      <c r="E2197">
        <f>IFERROR(VLOOKUP($A2197,原始数据_收盘!$A$4:$G$3460,5,0),"")</f>
        <v>4.979</v>
      </c>
      <c r="F2197">
        <f>IFERROR(VLOOKUP($A2197,原始数据_收盘!$A$4:$G$3460,6,0),"")</f>
        <v>4.7782</v>
      </c>
      <c r="G2197">
        <f>IFERROR(VLOOKUP($A2197,原始数据_收盘!$A$4:$G$3460,7,0),"")</f>
        <v>4.9487</v>
      </c>
      <c r="H2197">
        <f>IFERROR(VLOOKUP($A2197,原始数据_利率互换_FR007_1年!$A$6:$C$4395,2,0),"")</f>
        <v>4.7969</v>
      </c>
      <c r="I2197">
        <f>IFERROR(VLOOKUP($A2197,原始数据_利率互换_FR007_1年!$A$6:$C$4395,3,0),"")</f>
        <v>4.9601</v>
      </c>
    </row>
    <row r="2198" spans="1:9">
      <c r="A2198" s="6">
        <v>41691</v>
      </c>
      <c r="B2198">
        <f>IFERROR(VLOOKUP($A2198,原始数据_收盘!$A$4:$G$3460,2,0),"")</f>
        <v>4.664</v>
      </c>
      <c r="C2198">
        <f>IFERROR(VLOOKUP($A2198,原始数据_收盘!$A$4:$G$3460,3,0),"")</f>
        <v>4.8725</v>
      </c>
      <c r="D2198">
        <f>IFERROR(VLOOKUP($A2198,原始数据_收盘!$A$4:$G$3460,4,0),"")</f>
        <v>4.719</v>
      </c>
      <c r="E2198">
        <f>IFERROR(VLOOKUP($A2198,原始数据_收盘!$A$4:$G$3460,5,0),"")</f>
        <v>4.9325</v>
      </c>
      <c r="F2198">
        <f>IFERROR(VLOOKUP($A2198,原始数据_收盘!$A$4:$G$3460,6,0),"")</f>
        <v>4.6915</v>
      </c>
      <c r="G2198">
        <f>IFERROR(VLOOKUP($A2198,原始数据_收盘!$A$4:$G$3460,7,0),"")</f>
        <v>4.9025</v>
      </c>
      <c r="H2198">
        <f>IFERROR(VLOOKUP($A2198,原始数据_利率互换_FR007_1年!$A$6:$C$4395,2,0),"")</f>
        <v>4.6928</v>
      </c>
      <c r="I2198">
        <f>IFERROR(VLOOKUP($A2198,原始数据_利率互换_FR007_1年!$A$6:$C$4395,3,0),"")</f>
        <v>4.9156</v>
      </c>
    </row>
    <row r="2199" spans="1:9">
      <c r="A2199" s="6">
        <v>41692</v>
      </c>
      <c r="B2199" t="str">
        <f>IFERROR(VLOOKUP($A2199,原始数据_收盘!$A$4:$G$3460,2,0),"")</f>
        <v/>
      </c>
      <c r="C2199" t="str">
        <f>IFERROR(VLOOKUP($A2199,原始数据_收盘!$A$4:$G$3460,3,0),"")</f>
        <v/>
      </c>
      <c r="D2199" t="str">
        <f>IFERROR(VLOOKUP($A2199,原始数据_收盘!$A$4:$G$3460,4,0),"")</f>
        <v/>
      </c>
      <c r="E2199" t="str">
        <f>IFERROR(VLOOKUP($A2199,原始数据_收盘!$A$4:$G$3460,5,0),"")</f>
        <v/>
      </c>
      <c r="F2199" t="str">
        <f>IFERROR(VLOOKUP($A2199,原始数据_收盘!$A$4:$G$3460,6,0),"")</f>
        <v/>
      </c>
      <c r="G2199" t="str">
        <f>IFERROR(VLOOKUP($A2199,原始数据_收盘!$A$4:$G$3460,7,0),"")</f>
        <v/>
      </c>
      <c r="H2199" t="str">
        <f>IFERROR(VLOOKUP($A2199,原始数据_利率互换_FR007_1年!$A$6:$C$4395,2,0),"")</f>
        <v/>
      </c>
      <c r="I2199" t="str">
        <f>IFERROR(VLOOKUP($A2199,原始数据_利率互换_FR007_1年!$A$6:$C$4395,3,0),"")</f>
        <v/>
      </c>
    </row>
    <row r="2200" spans="1:9">
      <c r="A2200" s="6">
        <v>41693</v>
      </c>
      <c r="B2200" t="str">
        <f>IFERROR(VLOOKUP($A2200,原始数据_收盘!$A$4:$G$3460,2,0),"")</f>
        <v/>
      </c>
      <c r="C2200" t="str">
        <f>IFERROR(VLOOKUP($A2200,原始数据_收盘!$A$4:$G$3460,3,0),"")</f>
        <v/>
      </c>
      <c r="D2200" t="str">
        <f>IFERROR(VLOOKUP($A2200,原始数据_收盘!$A$4:$G$3460,4,0),"")</f>
        <v/>
      </c>
      <c r="E2200" t="str">
        <f>IFERROR(VLOOKUP($A2200,原始数据_收盘!$A$4:$G$3460,5,0),"")</f>
        <v/>
      </c>
      <c r="F2200" t="str">
        <f>IFERROR(VLOOKUP($A2200,原始数据_收盘!$A$4:$G$3460,6,0),"")</f>
        <v/>
      </c>
      <c r="G2200" t="str">
        <f>IFERROR(VLOOKUP($A2200,原始数据_收盘!$A$4:$G$3460,7,0),"")</f>
        <v/>
      </c>
      <c r="H2200" t="str">
        <f>IFERROR(VLOOKUP($A2200,原始数据_利率互换_FR007_1年!$A$6:$C$4395,2,0),"")</f>
        <v/>
      </c>
      <c r="I2200" t="str">
        <f>IFERROR(VLOOKUP($A2200,原始数据_利率互换_FR007_1年!$A$6:$C$4395,3,0),"")</f>
        <v/>
      </c>
    </row>
    <row r="2201" spans="1:9">
      <c r="A2201" s="6">
        <v>41694</v>
      </c>
      <c r="B2201">
        <f>IFERROR(VLOOKUP($A2201,原始数据_收盘!$A$4:$G$3460,2,0),"")</f>
        <v>4.6099</v>
      </c>
      <c r="C2201">
        <f>IFERROR(VLOOKUP($A2201,原始数据_收盘!$A$4:$G$3460,3,0),"")</f>
        <v>4.8068</v>
      </c>
      <c r="D2201">
        <f>IFERROR(VLOOKUP($A2201,原始数据_收盘!$A$4:$G$3460,4,0),"")</f>
        <v>4.673</v>
      </c>
      <c r="E2201">
        <f>IFERROR(VLOOKUP($A2201,原始数据_收盘!$A$4:$G$3460,5,0),"")</f>
        <v>4.8729</v>
      </c>
      <c r="F2201">
        <f>IFERROR(VLOOKUP($A2201,原始数据_收盘!$A$4:$G$3460,6,0),"")</f>
        <v>4.6414</v>
      </c>
      <c r="G2201">
        <f>IFERROR(VLOOKUP($A2201,原始数据_收盘!$A$4:$G$3460,7,0),"")</f>
        <v>4.8399</v>
      </c>
      <c r="H2201">
        <f>IFERROR(VLOOKUP($A2201,原始数据_利率互换_FR007_1年!$A$6:$C$4395,2,0),"")</f>
        <v>4.6607</v>
      </c>
      <c r="I2201">
        <f>IFERROR(VLOOKUP($A2201,原始数据_利率互换_FR007_1年!$A$6:$C$4395,3,0),"")</f>
        <v>4.841</v>
      </c>
    </row>
    <row r="2202" spans="1:9">
      <c r="A2202" s="6">
        <v>41695</v>
      </c>
      <c r="B2202">
        <f>IFERROR(VLOOKUP($A2202,原始数据_收盘!$A$4:$G$3460,2,0),"")</f>
        <v>4.462</v>
      </c>
      <c r="C2202">
        <f>IFERROR(VLOOKUP($A2202,原始数据_收盘!$A$4:$G$3460,3,0),"")</f>
        <v>4.671</v>
      </c>
      <c r="D2202">
        <f>IFERROR(VLOOKUP($A2202,原始数据_收盘!$A$4:$G$3460,4,0),"")</f>
        <v>4.5294</v>
      </c>
      <c r="E2202">
        <f>IFERROR(VLOOKUP($A2202,原始数据_收盘!$A$4:$G$3460,5,0),"")</f>
        <v>4.7382</v>
      </c>
      <c r="F2202">
        <f>IFERROR(VLOOKUP($A2202,原始数据_收盘!$A$4:$G$3460,6,0),"")</f>
        <v>4.4957</v>
      </c>
      <c r="G2202">
        <f>IFERROR(VLOOKUP($A2202,原始数据_收盘!$A$4:$G$3460,7,0),"")</f>
        <v>4.7046</v>
      </c>
      <c r="H2202">
        <f>IFERROR(VLOOKUP($A2202,原始数据_利率互换_FR007_1年!$A$6:$C$4395,2,0),"")</f>
        <v>4.5501</v>
      </c>
      <c r="I2202">
        <f>IFERROR(VLOOKUP($A2202,原始数据_利率互换_FR007_1年!$A$6:$C$4395,3,0),"")</f>
        <v>4.7304</v>
      </c>
    </row>
    <row r="2203" spans="1:9">
      <c r="A2203" s="6">
        <v>41696</v>
      </c>
      <c r="B2203">
        <f>IFERROR(VLOOKUP($A2203,原始数据_收盘!$A$4:$G$3460,2,0),"")</f>
        <v>4.48</v>
      </c>
      <c r="C2203">
        <f>IFERROR(VLOOKUP($A2203,原始数据_收盘!$A$4:$G$3460,3,0),"")</f>
        <v>4.6738</v>
      </c>
      <c r="D2203">
        <f>IFERROR(VLOOKUP($A2203,原始数据_收盘!$A$4:$G$3460,4,0),"")</f>
        <v>4.5402</v>
      </c>
      <c r="E2203">
        <f>IFERROR(VLOOKUP($A2203,原始数据_收盘!$A$4:$G$3460,5,0),"")</f>
        <v>4.7352</v>
      </c>
      <c r="F2203">
        <f>IFERROR(VLOOKUP($A2203,原始数据_收盘!$A$4:$G$3460,6,0),"")</f>
        <v>4.5101</v>
      </c>
      <c r="G2203">
        <f>IFERROR(VLOOKUP($A2203,原始数据_收盘!$A$4:$G$3460,7,0),"")</f>
        <v>4.7045</v>
      </c>
      <c r="H2203">
        <f>IFERROR(VLOOKUP($A2203,原始数据_利率互换_FR007_1年!$A$6:$C$4395,2,0),"")</f>
        <v>4.5163</v>
      </c>
      <c r="I2203">
        <f>IFERROR(VLOOKUP($A2203,原始数据_利率互换_FR007_1年!$A$6:$C$4395,3,0),"")</f>
        <v>4.7092</v>
      </c>
    </row>
    <row r="2204" spans="1:9">
      <c r="A2204" s="6">
        <v>41697</v>
      </c>
      <c r="B2204">
        <f>IFERROR(VLOOKUP($A2204,原始数据_收盘!$A$4:$G$3460,2,0),"")</f>
        <v>4.3542</v>
      </c>
      <c r="C2204">
        <f>IFERROR(VLOOKUP($A2204,原始数据_收盘!$A$4:$G$3460,3,0),"")</f>
        <v>4.5375</v>
      </c>
      <c r="D2204">
        <f>IFERROR(VLOOKUP($A2204,原始数据_收盘!$A$4:$G$3460,4,0),"")</f>
        <v>4.4117</v>
      </c>
      <c r="E2204">
        <f>IFERROR(VLOOKUP($A2204,原始数据_收盘!$A$4:$G$3460,5,0),"")</f>
        <v>4.6006</v>
      </c>
      <c r="F2204">
        <f>IFERROR(VLOOKUP($A2204,原始数据_收盘!$A$4:$G$3460,6,0),"")</f>
        <v>4.3829</v>
      </c>
      <c r="G2204">
        <f>IFERROR(VLOOKUP($A2204,原始数据_收盘!$A$4:$G$3460,7,0),"")</f>
        <v>4.5691</v>
      </c>
      <c r="H2204">
        <f>IFERROR(VLOOKUP($A2204,原始数据_利率互换_FR007_1年!$A$6:$C$4395,2,0),"")</f>
        <v>4.3871</v>
      </c>
      <c r="I2204">
        <f>IFERROR(VLOOKUP($A2204,原始数据_利率互换_FR007_1年!$A$6:$C$4395,3,0),"")</f>
        <v>4.55</v>
      </c>
    </row>
    <row r="2205" spans="1:9">
      <c r="A2205" s="6">
        <v>41698</v>
      </c>
      <c r="B2205">
        <f>IFERROR(VLOOKUP($A2205,原始数据_收盘!$A$4:$G$3460,2,0),"")</f>
        <v>4.3439</v>
      </c>
      <c r="C2205">
        <f>IFERROR(VLOOKUP($A2205,原始数据_收盘!$A$4:$G$3460,3,0),"")</f>
        <v>4.5164</v>
      </c>
      <c r="D2205">
        <f>IFERROR(VLOOKUP($A2205,原始数据_收盘!$A$4:$G$3460,4,0),"")</f>
        <v>4.4032</v>
      </c>
      <c r="E2205">
        <f>IFERROR(VLOOKUP($A2205,原始数据_收盘!$A$4:$G$3460,5,0),"")</f>
        <v>4.5824</v>
      </c>
      <c r="F2205">
        <f>IFERROR(VLOOKUP($A2205,原始数据_收盘!$A$4:$G$3460,6,0),"")</f>
        <v>4.3735</v>
      </c>
      <c r="G2205">
        <f>IFERROR(VLOOKUP($A2205,原始数据_收盘!$A$4:$G$3460,7,0),"")</f>
        <v>4.5494</v>
      </c>
      <c r="H2205">
        <f>IFERROR(VLOOKUP($A2205,原始数据_利率互换_FR007_1年!$A$6:$C$4395,2,0),"")</f>
        <v>4.3876</v>
      </c>
      <c r="I2205">
        <f>IFERROR(VLOOKUP($A2205,原始数据_利率互换_FR007_1年!$A$6:$C$4395,3,0),"")</f>
        <v>4.5622</v>
      </c>
    </row>
    <row r="2206" spans="1:9">
      <c r="A2206" s="6">
        <v>41699</v>
      </c>
      <c r="B2206" t="str">
        <f>IFERROR(VLOOKUP($A2206,原始数据_收盘!$A$4:$G$3460,2,0),"")</f>
        <v/>
      </c>
      <c r="C2206" t="str">
        <f>IFERROR(VLOOKUP($A2206,原始数据_收盘!$A$4:$G$3460,3,0),"")</f>
        <v/>
      </c>
      <c r="D2206" t="str">
        <f>IFERROR(VLOOKUP($A2206,原始数据_收盘!$A$4:$G$3460,4,0),"")</f>
        <v/>
      </c>
      <c r="E2206" t="str">
        <f>IFERROR(VLOOKUP($A2206,原始数据_收盘!$A$4:$G$3460,5,0),"")</f>
        <v/>
      </c>
      <c r="F2206" t="str">
        <f>IFERROR(VLOOKUP($A2206,原始数据_收盘!$A$4:$G$3460,6,0),"")</f>
        <v/>
      </c>
      <c r="G2206" t="str">
        <f>IFERROR(VLOOKUP($A2206,原始数据_收盘!$A$4:$G$3460,7,0),"")</f>
        <v/>
      </c>
      <c r="H2206" t="str">
        <f>IFERROR(VLOOKUP($A2206,原始数据_利率互换_FR007_1年!$A$6:$C$4395,2,0),"")</f>
        <v/>
      </c>
      <c r="I2206" t="str">
        <f>IFERROR(VLOOKUP($A2206,原始数据_利率互换_FR007_1年!$A$6:$C$4395,3,0),"")</f>
        <v/>
      </c>
    </row>
    <row r="2207" spans="1:9">
      <c r="A2207" s="6">
        <v>41700</v>
      </c>
      <c r="B2207" t="str">
        <f>IFERROR(VLOOKUP($A2207,原始数据_收盘!$A$4:$G$3460,2,0),"")</f>
        <v/>
      </c>
      <c r="C2207" t="str">
        <f>IFERROR(VLOOKUP($A2207,原始数据_收盘!$A$4:$G$3460,3,0),"")</f>
        <v/>
      </c>
      <c r="D2207" t="str">
        <f>IFERROR(VLOOKUP($A2207,原始数据_收盘!$A$4:$G$3460,4,0),"")</f>
        <v/>
      </c>
      <c r="E2207" t="str">
        <f>IFERROR(VLOOKUP($A2207,原始数据_收盘!$A$4:$G$3460,5,0),"")</f>
        <v/>
      </c>
      <c r="F2207" t="str">
        <f>IFERROR(VLOOKUP($A2207,原始数据_收盘!$A$4:$G$3460,6,0),"")</f>
        <v/>
      </c>
      <c r="G2207" t="str">
        <f>IFERROR(VLOOKUP($A2207,原始数据_收盘!$A$4:$G$3460,7,0),"")</f>
        <v/>
      </c>
      <c r="H2207" t="str">
        <f>IFERROR(VLOOKUP($A2207,原始数据_利率互换_FR007_1年!$A$6:$C$4395,2,0),"")</f>
        <v/>
      </c>
      <c r="I2207" t="str">
        <f>IFERROR(VLOOKUP($A2207,原始数据_利率互换_FR007_1年!$A$6:$C$4395,3,0),"")</f>
        <v/>
      </c>
    </row>
    <row r="2208" spans="1:9">
      <c r="A2208" s="6">
        <v>41701</v>
      </c>
      <c r="B2208">
        <f>IFERROR(VLOOKUP($A2208,原始数据_收盘!$A$4:$G$3460,2,0),"")</f>
        <v>4.3608</v>
      </c>
      <c r="C2208">
        <f>IFERROR(VLOOKUP($A2208,原始数据_收盘!$A$4:$G$3460,3,0),"")</f>
        <v>4.5711</v>
      </c>
      <c r="D2208">
        <f>IFERROR(VLOOKUP($A2208,原始数据_收盘!$A$4:$G$3460,4,0),"")</f>
        <v>4.4207</v>
      </c>
      <c r="E2208">
        <f>IFERROR(VLOOKUP($A2208,原始数据_收盘!$A$4:$G$3460,5,0),"")</f>
        <v>4.6344</v>
      </c>
      <c r="F2208">
        <f>IFERROR(VLOOKUP($A2208,原始数据_收盘!$A$4:$G$3460,6,0),"")</f>
        <v>4.3908</v>
      </c>
      <c r="G2208">
        <f>IFERROR(VLOOKUP($A2208,原始数据_收盘!$A$4:$G$3460,7,0),"")</f>
        <v>4.6028</v>
      </c>
      <c r="H2208">
        <f>IFERROR(VLOOKUP($A2208,原始数据_利率互换_FR007_1年!$A$6:$C$4395,2,0),"")</f>
        <v>4.3633</v>
      </c>
      <c r="I2208">
        <f>IFERROR(VLOOKUP($A2208,原始数据_利率互换_FR007_1年!$A$6:$C$4395,3,0),"")</f>
        <v>4.5639</v>
      </c>
    </row>
    <row r="2209" spans="1:9">
      <c r="A2209" s="6">
        <v>41702</v>
      </c>
      <c r="B2209">
        <f>IFERROR(VLOOKUP($A2209,原始数据_收盘!$A$4:$G$3460,2,0),"")</f>
        <v>4.4501</v>
      </c>
      <c r="C2209">
        <f>IFERROR(VLOOKUP($A2209,原始数据_收盘!$A$4:$G$3460,3,0),"")</f>
        <v>4.7007</v>
      </c>
      <c r="D2209">
        <f>IFERROR(VLOOKUP($A2209,原始数据_收盘!$A$4:$G$3460,4,0),"")</f>
        <v>4.5098</v>
      </c>
      <c r="E2209">
        <f>IFERROR(VLOOKUP($A2209,原始数据_收盘!$A$4:$G$3460,5,0),"")</f>
        <v>4.7645</v>
      </c>
      <c r="F2209">
        <f>IFERROR(VLOOKUP($A2209,原始数据_收盘!$A$4:$G$3460,6,0),"")</f>
        <v>4.48</v>
      </c>
      <c r="G2209">
        <f>IFERROR(VLOOKUP($A2209,原始数据_收盘!$A$4:$G$3460,7,0),"")</f>
        <v>4.7326</v>
      </c>
      <c r="H2209">
        <f>IFERROR(VLOOKUP($A2209,原始数据_利率互换_FR007_1年!$A$6:$C$4395,2,0),"")</f>
        <v>4.4561</v>
      </c>
      <c r="I2209">
        <f>IFERROR(VLOOKUP($A2209,原始数据_利率互换_FR007_1年!$A$6:$C$4395,3,0),"")</f>
        <v>4.7186</v>
      </c>
    </row>
    <row r="2210" spans="1:9">
      <c r="A2210" s="6">
        <v>41703</v>
      </c>
      <c r="B2210">
        <f>IFERROR(VLOOKUP($A2210,原始数据_收盘!$A$4:$G$3460,2,0),"")</f>
        <v>4.5165</v>
      </c>
      <c r="C2210">
        <f>IFERROR(VLOOKUP($A2210,原始数据_收盘!$A$4:$G$3460,3,0),"")</f>
        <v>4.7514</v>
      </c>
      <c r="D2210">
        <f>IFERROR(VLOOKUP($A2210,原始数据_收盘!$A$4:$G$3460,4,0),"")</f>
        <v>4.5738</v>
      </c>
      <c r="E2210">
        <f>IFERROR(VLOOKUP($A2210,原始数据_收盘!$A$4:$G$3460,5,0),"")</f>
        <v>4.8111</v>
      </c>
      <c r="F2210">
        <f>IFERROR(VLOOKUP($A2210,原始数据_收盘!$A$4:$G$3460,6,0),"")</f>
        <v>4.5451</v>
      </c>
      <c r="G2210">
        <f>IFERROR(VLOOKUP($A2210,原始数据_收盘!$A$4:$G$3460,7,0),"")</f>
        <v>4.7813</v>
      </c>
      <c r="H2210">
        <f>IFERROR(VLOOKUP($A2210,原始数据_利率互换_FR007_1年!$A$6:$C$4395,2,0),"")</f>
        <v>4.5184</v>
      </c>
      <c r="I2210">
        <f>IFERROR(VLOOKUP($A2210,原始数据_利率互换_FR007_1年!$A$6:$C$4395,3,0),"")</f>
        <v>4.7642</v>
      </c>
    </row>
    <row r="2211" spans="1:9">
      <c r="A2211" s="6">
        <v>41704</v>
      </c>
      <c r="B2211">
        <f>IFERROR(VLOOKUP($A2211,原始数据_收盘!$A$4:$G$3460,2,0),"")</f>
        <v>4.4396</v>
      </c>
      <c r="C2211">
        <f>IFERROR(VLOOKUP($A2211,原始数据_收盘!$A$4:$G$3460,3,0),"")</f>
        <v>4.6841</v>
      </c>
      <c r="D2211">
        <f>IFERROR(VLOOKUP($A2211,原始数据_收盘!$A$4:$G$3460,4,0),"")</f>
        <v>4.5042</v>
      </c>
      <c r="E2211">
        <f>IFERROR(VLOOKUP($A2211,原始数据_收盘!$A$4:$G$3460,5,0),"")</f>
        <v>4.7469</v>
      </c>
      <c r="F2211">
        <f>IFERROR(VLOOKUP($A2211,原始数据_收盘!$A$4:$G$3460,6,0),"")</f>
        <v>4.4719</v>
      </c>
      <c r="G2211">
        <f>IFERROR(VLOOKUP($A2211,原始数据_收盘!$A$4:$G$3460,7,0),"")</f>
        <v>4.7155</v>
      </c>
      <c r="H2211">
        <f>IFERROR(VLOOKUP($A2211,原始数据_利率互换_FR007_1年!$A$6:$C$4395,2,0),"")</f>
        <v>4.5262</v>
      </c>
      <c r="I2211">
        <f>IFERROR(VLOOKUP($A2211,原始数据_利率互换_FR007_1年!$A$6:$C$4395,3,0),"")</f>
        <v>4.7361</v>
      </c>
    </row>
    <row r="2212" spans="1:9">
      <c r="A2212" s="6">
        <v>41705</v>
      </c>
      <c r="B2212">
        <f>IFERROR(VLOOKUP($A2212,原始数据_收盘!$A$4:$G$3460,2,0),"")</f>
        <v>4.3852</v>
      </c>
      <c r="C2212">
        <f>IFERROR(VLOOKUP($A2212,原始数据_收盘!$A$4:$G$3460,3,0),"")</f>
        <v>4.6463</v>
      </c>
      <c r="D2212">
        <f>IFERROR(VLOOKUP($A2212,原始数据_收盘!$A$4:$G$3460,4,0),"")</f>
        <v>4.4447</v>
      </c>
      <c r="E2212">
        <f>IFERROR(VLOOKUP($A2212,原始数据_收盘!$A$4:$G$3460,5,0),"")</f>
        <v>4.716</v>
      </c>
      <c r="F2212">
        <f>IFERROR(VLOOKUP($A2212,原始数据_收盘!$A$4:$G$3460,6,0),"")</f>
        <v>4.4149</v>
      </c>
      <c r="G2212">
        <f>IFERROR(VLOOKUP($A2212,原始数据_收盘!$A$4:$G$3460,7,0),"")</f>
        <v>4.6812</v>
      </c>
      <c r="H2212">
        <f>IFERROR(VLOOKUP($A2212,原始数据_利率互换_FR007_1年!$A$6:$C$4395,2,0),"")</f>
        <v>4.4033</v>
      </c>
      <c r="I2212">
        <f>IFERROR(VLOOKUP($A2212,原始数据_利率互换_FR007_1年!$A$6:$C$4395,3,0),"")</f>
        <v>4.6715</v>
      </c>
    </row>
    <row r="2213" spans="1:9">
      <c r="A2213" s="6">
        <v>41706</v>
      </c>
      <c r="B2213" t="str">
        <f>IFERROR(VLOOKUP($A2213,原始数据_收盘!$A$4:$G$3460,2,0),"")</f>
        <v/>
      </c>
      <c r="C2213" t="str">
        <f>IFERROR(VLOOKUP($A2213,原始数据_收盘!$A$4:$G$3460,3,0),"")</f>
        <v/>
      </c>
      <c r="D2213" t="str">
        <f>IFERROR(VLOOKUP($A2213,原始数据_收盘!$A$4:$G$3460,4,0),"")</f>
        <v/>
      </c>
      <c r="E2213" t="str">
        <f>IFERROR(VLOOKUP($A2213,原始数据_收盘!$A$4:$G$3460,5,0),"")</f>
        <v/>
      </c>
      <c r="F2213" t="str">
        <f>IFERROR(VLOOKUP($A2213,原始数据_收盘!$A$4:$G$3460,6,0),"")</f>
        <v/>
      </c>
      <c r="G2213" t="str">
        <f>IFERROR(VLOOKUP($A2213,原始数据_收盘!$A$4:$G$3460,7,0),"")</f>
        <v/>
      </c>
      <c r="H2213" t="str">
        <f>IFERROR(VLOOKUP($A2213,原始数据_利率互换_FR007_1年!$A$6:$C$4395,2,0),"")</f>
        <v/>
      </c>
      <c r="I2213" t="str">
        <f>IFERROR(VLOOKUP($A2213,原始数据_利率互换_FR007_1年!$A$6:$C$4395,3,0),"")</f>
        <v/>
      </c>
    </row>
    <row r="2214" spans="1:9">
      <c r="A2214" s="6">
        <v>41707</v>
      </c>
      <c r="B2214" t="str">
        <f>IFERROR(VLOOKUP($A2214,原始数据_收盘!$A$4:$G$3460,2,0),"")</f>
        <v/>
      </c>
      <c r="C2214" t="str">
        <f>IFERROR(VLOOKUP($A2214,原始数据_收盘!$A$4:$G$3460,3,0),"")</f>
        <v/>
      </c>
      <c r="D2214" t="str">
        <f>IFERROR(VLOOKUP($A2214,原始数据_收盘!$A$4:$G$3460,4,0),"")</f>
        <v/>
      </c>
      <c r="E2214" t="str">
        <f>IFERROR(VLOOKUP($A2214,原始数据_收盘!$A$4:$G$3460,5,0),"")</f>
        <v/>
      </c>
      <c r="F2214" t="str">
        <f>IFERROR(VLOOKUP($A2214,原始数据_收盘!$A$4:$G$3460,6,0),"")</f>
        <v/>
      </c>
      <c r="G2214" t="str">
        <f>IFERROR(VLOOKUP($A2214,原始数据_收盘!$A$4:$G$3460,7,0),"")</f>
        <v/>
      </c>
      <c r="H2214" t="str">
        <f>IFERROR(VLOOKUP($A2214,原始数据_利率互换_FR007_1年!$A$6:$C$4395,2,0),"")</f>
        <v/>
      </c>
      <c r="I2214" t="str">
        <f>IFERROR(VLOOKUP($A2214,原始数据_利率互换_FR007_1年!$A$6:$C$4395,3,0),"")</f>
        <v/>
      </c>
    </row>
    <row r="2215" spans="1:9">
      <c r="A2215" s="6">
        <v>41708</v>
      </c>
      <c r="B2215">
        <f>IFERROR(VLOOKUP($A2215,原始数据_收盘!$A$4:$G$3460,2,0),"")</f>
        <v>4.2426</v>
      </c>
      <c r="C2215">
        <f>IFERROR(VLOOKUP($A2215,原始数据_收盘!$A$4:$G$3460,3,0),"")</f>
        <v>4.534</v>
      </c>
      <c r="D2215">
        <f>IFERROR(VLOOKUP($A2215,原始数据_收盘!$A$4:$G$3460,4,0),"")</f>
        <v>4.3077</v>
      </c>
      <c r="E2215">
        <f>IFERROR(VLOOKUP($A2215,原始数据_收盘!$A$4:$G$3460,5,0),"")</f>
        <v>4.6043</v>
      </c>
      <c r="F2215">
        <f>IFERROR(VLOOKUP($A2215,原始数据_收盘!$A$4:$G$3460,6,0),"")</f>
        <v>4.2752</v>
      </c>
      <c r="G2215">
        <f>IFERROR(VLOOKUP($A2215,原始数据_收盘!$A$4:$G$3460,7,0),"")</f>
        <v>4.5692</v>
      </c>
      <c r="H2215">
        <f>IFERROR(VLOOKUP($A2215,原始数据_利率互换_FR007_1年!$A$6:$C$4395,2,0),"")</f>
        <v>4.2967</v>
      </c>
      <c r="I2215">
        <f>IFERROR(VLOOKUP($A2215,原始数据_利率互换_FR007_1年!$A$6:$C$4395,3,0),"")</f>
        <v>4.5983</v>
      </c>
    </row>
    <row r="2216" spans="1:9">
      <c r="A2216" s="6">
        <v>41709</v>
      </c>
      <c r="B2216">
        <f>IFERROR(VLOOKUP($A2216,原始数据_收盘!$A$4:$G$3460,2,0),"")</f>
        <v>4.1169</v>
      </c>
      <c r="C2216">
        <f>IFERROR(VLOOKUP($A2216,原始数据_收盘!$A$4:$G$3460,3,0),"")</f>
        <v>4.4517</v>
      </c>
      <c r="D2216">
        <f>IFERROR(VLOOKUP($A2216,原始数据_收盘!$A$4:$G$3460,4,0),"")</f>
        <v>4.1766</v>
      </c>
      <c r="E2216">
        <f>IFERROR(VLOOKUP($A2216,原始数据_收盘!$A$4:$G$3460,5,0),"")</f>
        <v>4.5118</v>
      </c>
      <c r="F2216">
        <f>IFERROR(VLOOKUP($A2216,原始数据_收盘!$A$4:$G$3460,6,0),"")</f>
        <v>4.1468</v>
      </c>
      <c r="G2216">
        <f>IFERROR(VLOOKUP($A2216,原始数据_收盘!$A$4:$G$3460,7,0),"")</f>
        <v>4.4817</v>
      </c>
      <c r="H2216">
        <f>IFERROR(VLOOKUP($A2216,原始数据_利率互换_FR007_1年!$A$6:$C$4395,2,0),"")</f>
        <v>4.1549</v>
      </c>
      <c r="I2216">
        <f>IFERROR(VLOOKUP($A2216,原始数据_利率互换_FR007_1年!$A$6:$C$4395,3,0),"")</f>
        <v>4.4939</v>
      </c>
    </row>
    <row r="2217" spans="1:9">
      <c r="A2217" s="6">
        <v>41710</v>
      </c>
      <c r="B2217">
        <f>IFERROR(VLOOKUP($A2217,原始数据_收盘!$A$4:$G$3460,2,0),"")</f>
        <v>4.0492</v>
      </c>
      <c r="C2217">
        <f>IFERROR(VLOOKUP($A2217,原始数据_收盘!$A$4:$G$3460,3,0),"")</f>
        <v>4.4353</v>
      </c>
      <c r="D2217">
        <f>IFERROR(VLOOKUP($A2217,原始数据_收盘!$A$4:$G$3460,4,0),"")</f>
        <v>4.1082</v>
      </c>
      <c r="E2217">
        <f>IFERROR(VLOOKUP($A2217,原始数据_收盘!$A$4:$G$3460,5,0),"")</f>
        <v>4.5006</v>
      </c>
      <c r="F2217">
        <f>IFERROR(VLOOKUP($A2217,原始数据_收盘!$A$4:$G$3460,6,0),"")</f>
        <v>4.0787</v>
      </c>
      <c r="G2217">
        <f>IFERROR(VLOOKUP($A2217,原始数据_收盘!$A$4:$G$3460,7,0),"")</f>
        <v>4.468</v>
      </c>
      <c r="H2217">
        <f>IFERROR(VLOOKUP($A2217,原始数据_利率互换_FR007_1年!$A$6:$C$4395,2,0),"")</f>
        <v>4.0979</v>
      </c>
      <c r="I2217">
        <f>IFERROR(VLOOKUP($A2217,原始数据_利率互换_FR007_1年!$A$6:$C$4395,3,0),"")</f>
        <v>4.4746</v>
      </c>
    </row>
    <row r="2218" spans="1:9">
      <c r="A2218" s="6">
        <v>41711</v>
      </c>
      <c r="B2218">
        <f>IFERROR(VLOOKUP($A2218,原始数据_收盘!$A$4:$G$3460,2,0),"")</f>
        <v>4.0535</v>
      </c>
      <c r="C2218">
        <f>IFERROR(VLOOKUP($A2218,原始数据_收盘!$A$4:$G$3460,3,0),"")</f>
        <v>4.4426</v>
      </c>
      <c r="D2218">
        <f>IFERROR(VLOOKUP($A2218,原始数据_收盘!$A$4:$G$3460,4,0),"")</f>
        <v>4.1222</v>
      </c>
      <c r="E2218">
        <f>IFERROR(VLOOKUP($A2218,原始数据_收盘!$A$4:$G$3460,5,0),"")</f>
        <v>4.5102</v>
      </c>
      <c r="F2218">
        <f>IFERROR(VLOOKUP($A2218,原始数据_收盘!$A$4:$G$3460,6,0),"")</f>
        <v>4.0879</v>
      </c>
      <c r="G2218">
        <f>IFERROR(VLOOKUP($A2218,原始数据_收盘!$A$4:$G$3460,7,0),"")</f>
        <v>4.4764</v>
      </c>
      <c r="H2218">
        <f>IFERROR(VLOOKUP($A2218,原始数据_利率互换_FR007_1年!$A$6:$C$4395,2,0),"")</f>
        <v>4.0696</v>
      </c>
      <c r="I2218">
        <f>IFERROR(VLOOKUP($A2218,原始数据_利率互换_FR007_1年!$A$6:$C$4395,3,0),"")</f>
        <v>4.4881</v>
      </c>
    </row>
    <row r="2219" spans="1:9">
      <c r="A2219" s="6">
        <v>41712</v>
      </c>
      <c r="B2219">
        <f>IFERROR(VLOOKUP($A2219,原始数据_收盘!$A$4:$G$3460,2,0),"")</f>
        <v>4.0404</v>
      </c>
      <c r="C2219">
        <f>IFERROR(VLOOKUP($A2219,原始数据_收盘!$A$4:$G$3460,3,0),"")</f>
        <v>4.3849</v>
      </c>
      <c r="D2219">
        <f>IFERROR(VLOOKUP($A2219,原始数据_收盘!$A$4:$G$3460,4,0),"")</f>
        <v>4.1086</v>
      </c>
      <c r="E2219">
        <f>IFERROR(VLOOKUP($A2219,原始数据_收盘!$A$4:$G$3460,5,0),"")</f>
        <v>4.4526</v>
      </c>
      <c r="F2219">
        <f>IFERROR(VLOOKUP($A2219,原始数据_收盘!$A$4:$G$3460,6,0),"")</f>
        <v>4.0745</v>
      </c>
      <c r="G2219">
        <f>IFERROR(VLOOKUP($A2219,原始数据_收盘!$A$4:$G$3460,7,0),"")</f>
        <v>4.4187</v>
      </c>
      <c r="H2219">
        <f>IFERROR(VLOOKUP($A2219,原始数据_利率互换_FR007_1年!$A$6:$C$4395,2,0),"")</f>
        <v>4.0977</v>
      </c>
      <c r="I2219">
        <f>IFERROR(VLOOKUP($A2219,原始数据_利率互换_FR007_1年!$A$6:$C$4395,3,0),"")</f>
        <v>4.4396</v>
      </c>
    </row>
    <row r="2220" spans="1:9">
      <c r="A2220" s="6">
        <v>41713</v>
      </c>
      <c r="B2220" t="str">
        <f>IFERROR(VLOOKUP($A2220,原始数据_收盘!$A$4:$G$3460,2,0),"")</f>
        <v/>
      </c>
      <c r="C2220" t="str">
        <f>IFERROR(VLOOKUP($A2220,原始数据_收盘!$A$4:$G$3460,3,0),"")</f>
        <v/>
      </c>
      <c r="D2220" t="str">
        <f>IFERROR(VLOOKUP($A2220,原始数据_收盘!$A$4:$G$3460,4,0),"")</f>
        <v/>
      </c>
      <c r="E2220" t="str">
        <f>IFERROR(VLOOKUP($A2220,原始数据_收盘!$A$4:$G$3460,5,0),"")</f>
        <v/>
      </c>
      <c r="F2220" t="str">
        <f>IFERROR(VLOOKUP($A2220,原始数据_收盘!$A$4:$G$3460,6,0),"")</f>
        <v/>
      </c>
      <c r="G2220" t="str">
        <f>IFERROR(VLOOKUP($A2220,原始数据_收盘!$A$4:$G$3460,7,0),"")</f>
        <v/>
      </c>
      <c r="H2220" t="str">
        <f>IFERROR(VLOOKUP($A2220,原始数据_利率互换_FR007_1年!$A$6:$C$4395,2,0),"")</f>
        <v/>
      </c>
      <c r="I2220" t="str">
        <f>IFERROR(VLOOKUP($A2220,原始数据_利率互换_FR007_1年!$A$6:$C$4395,3,0),"")</f>
        <v/>
      </c>
    </row>
    <row r="2221" spans="1:9">
      <c r="A2221" s="6">
        <v>41714</v>
      </c>
      <c r="B2221" t="str">
        <f>IFERROR(VLOOKUP($A2221,原始数据_收盘!$A$4:$G$3460,2,0),"")</f>
        <v/>
      </c>
      <c r="C2221" t="str">
        <f>IFERROR(VLOOKUP($A2221,原始数据_收盘!$A$4:$G$3460,3,0),"")</f>
        <v/>
      </c>
      <c r="D2221" t="str">
        <f>IFERROR(VLOOKUP($A2221,原始数据_收盘!$A$4:$G$3460,4,0),"")</f>
        <v/>
      </c>
      <c r="E2221" t="str">
        <f>IFERROR(VLOOKUP($A2221,原始数据_收盘!$A$4:$G$3460,5,0),"")</f>
        <v/>
      </c>
      <c r="F2221" t="str">
        <f>IFERROR(VLOOKUP($A2221,原始数据_收盘!$A$4:$G$3460,6,0),"")</f>
        <v/>
      </c>
      <c r="G2221" t="str">
        <f>IFERROR(VLOOKUP($A2221,原始数据_收盘!$A$4:$G$3460,7,0),"")</f>
        <v/>
      </c>
      <c r="H2221" t="str">
        <f>IFERROR(VLOOKUP($A2221,原始数据_利率互换_FR007_1年!$A$6:$C$4395,2,0),"")</f>
        <v/>
      </c>
      <c r="I2221" t="str">
        <f>IFERROR(VLOOKUP($A2221,原始数据_利率互换_FR007_1年!$A$6:$C$4395,3,0),"")</f>
        <v/>
      </c>
    </row>
    <row r="2222" spans="1:9">
      <c r="A2222" s="6">
        <v>41715</v>
      </c>
      <c r="B2222">
        <f>IFERROR(VLOOKUP($A2222,原始数据_收盘!$A$4:$G$3460,2,0),"")</f>
        <v>4.121</v>
      </c>
      <c r="C2222">
        <f>IFERROR(VLOOKUP($A2222,原始数据_收盘!$A$4:$G$3460,3,0),"")</f>
        <v>4.4306</v>
      </c>
      <c r="D2222">
        <f>IFERROR(VLOOKUP($A2222,原始数据_收盘!$A$4:$G$3460,4,0),"")</f>
        <v>4.1841</v>
      </c>
      <c r="E2222">
        <f>IFERROR(VLOOKUP($A2222,原始数据_收盘!$A$4:$G$3460,5,0),"")</f>
        <v>4.5004</v>
      </c>
      <c r="F2222">
        <f>IFERROR(VLOOKUP($A2222,原始数据_收盘!$A$4:$G$3460,6,0),"")</f>
        <v>4.1526</v>
      </c>
      <c r="G2222">
        <f>IFERROR(VLOOKUP($A2222,原始数据_收盘!$A$4:$G$3460,7,0),"")</f>
        <v>4.4655</v>
      </c>
      <c r="H2222">
        <f>IFERROR(VLOOKUP($A2222,原始数据_利率互换_FR007_1年!$A$6:$C$4395,2,0),"")</f>
        <v>4.1317</v>
      </c>
      <c r="I2222">
        <f>IFERROR(VLOOKUP($A2222,原始数据_利率互换_FR007_1年!$A$6:$C$4395,3,0),"")</f>
        <v>4.44</v>
      </c>
    </row>
    <row r="2223" spans="1:9">
      <c r="A2223" s="6">
        <v>41716</v>
      </c>
      <c r="B2223">
        <f>IFERROR(VLOOKUP($A2223,原始数据_收盘!$A$4:$G$3460,2,0),"")</f>
        <v>4.2509</v>
      </c>
      <c r="C2223">
        <f>IFERROR(VLOOKUP($A2223,原始数据_收盘!$A$4:$G$3460,3,0),"")</f>
        <v>4.5285</v>
      </c>
      <c r="D2223">
        <f>IFERROR(VLOOKUP($A2223,原始数据_收盘!$A$4:$G$3460,4,0),"")</f>
        <v>4.3145</v>
      </c>
      <c r="E2223">
        <f>IFERROR(VLOOKUP($A2223,原始数据_收盘!$A$4:$G$3460,5,0),"")</f>
        <v>4.5982</v>
      </c>
      <c r="F2223">
        <f>IFERROR(VLOOKUP($A2223,原始数据_收盘!$A$4:$G$3460,6,0),"")</f>
        <v>4.2827</v>
      </c>
      <c r="G2223">
        <f>IFERROR(VLOOKUP($A2223,原始数据_收盘!$A$4:$G$3460,7,0),"")</f>
        <v>4.5634</v>
      </c>
      <c r="H2223">
        <f>IFERROR(VLOOKUP($A2223,原始数据_利率互换_FR007_1年!$A$6:$C$4395,2,0),"")</f>
        <v>4.2686</v>
      </c>
      <c r="I2223">
        <f>IFERROR(VLOOKUP($A2223,原始数据_利率互换_FR007_1年!$A$6:$C$4395,3,0),"")</f>
        <v>4.5526</v>
      </c>
    </row>
    <row r="2224" spans="1:9">
      <c r="A2224" s="6">
        <v>41717</v>
      </c>
      <c r="B2224">
        <f>IFERROR(VLOOKUP($A2224,原始数据_收盘!$A$4:$G$3460,2,0),"")</f>
        <v>4.3453</v>
      </c>
      <c r="C2224">
        <f>IFERROR(VLOOKUP($A2224,原始数据_收盘!$A$4:$G$3460,3,0),"")</f>
        <v>4.576</v>
      </c>
      <c r="D2224">
        <f>IFERROR(VLOOKUP($A2224,原始数据_收盘!$A$4:$G$3460,4,0),"")</f>
        <v>4.4045</v>
      </c>
      <c r="E2224">
        <f>IFERROR(VLOOKUP($A2224,原始数据_收盘!$A$4:$G$3460,5,0),"")</f>
        <v>4.6413</v>
      </c>
      <c r="F2224">
        <f>IFERROR(VLOOKUP($A2224,原始数据_收盘!$A$4:$G$3460,6,0),"")</f>
        <v>4.3749</v>
      </c>
      <c r="G2224">
        <f>IFERROR(VLOOKUP($A2224,原始数据_收盘!$A$4:$G$3460,7,0),"")</f>
        <v>4.6086</v>
      </c>
      <c r="H2224">
        <f>IFERROR(VLOOKUP($A2224,原始数据_利率互换_FR007_1年!$A$6:$C$4395,2,0),"")</f>
        <v>4.3791</v>
      </c>
      <c r="I2224">
        <f>IFERROR(VLOOKUP($A2224,原始数据_利率互换_FR007_1年!$A$6:$C$4395,3,0),"")</f>
        <v>4.6161</v>
      </c>
    </row>
    <row r="2225" spans="1:9">
      <c r="A2225" s="6">
        <v>41718</v>
      </c>
      <c r="B2225">
        <f>IFERROR(VLOOKUP($A2225,原始数据_收盘!$A$4:$G$3460,2,0),"")</f>
        <v>4.2488</v>
      </c>
      <c r="C2225">
        <f>IFERROR(VLOOKUP($A2225,原始数据_收盘!$A$4:$G$3460,3,0),"")</f>
        <v>4.5279</v>
      </c>
      <c r="D2225">
        <f>IFERROR(VLOOKUP($A2225,原始数据_收盘!$A$4:$G$3460,4,0),"")</f>
        <v>4.3088</v>
      </c>
      <c r="E2225">
        <f>IFERROR(VLOOKUP($A2225,原始数据_收盘!$A$4:$G$3460,5,0),"")</f>
        <v>4.5925</v>
      </c>
      <c r="F2225">
        <f>IFERROR(VLOOKUP($A2225,原始数据_收盘!$A$4:$G$3460,6,0),"")</f>
        <v>4.2788</v>
      </c>
      <c r="G2225">
        <f>IFERROR(VLOOKUP($A2225,原始数据_收盘!$A$4:$G$3460,7,0),"")</f>
        <v>4.5602</v>
      </c>
      <c r="H2225">
        <f>IFERROR(VLOOKUP($A2225,原始数据_利率互换_FR007_1年!$A$6:$C$4395,2,0),"")</f>
        <v>4.307</v>
      </c>
      <c r="I2225">
        <f>IFERROR(VLOOKUP($A2225,原始数据_利率互换_FR007_1年!$A$6:$C$4395,3,0),"")</f>
        <v>4.5736</v>
      </c>
    </row>
    <row r="2226" spans="1:9">
      <c r="A2226" s="6">
        <v>41719</v>
      </c>
      <c r="B2226">
        <f>IFERROR(VLOOKUP($A2226,原始数据_收盘!$A$4:$G$3460,2,0),"")</f>
        <v>4.1756</v>
      </c>
      <c r="C2226">
        <f>IFERROR(VLOOKUP($A2226,原始数据_收盘!$A$4:$G$3460,3,0),"")</f>
        <v>4.4752</v>
      </c>
      <c r="D2226">
        <f>IFERROR(VLOOKUP($A2226,原始数据_收盘!$A$4:$G$3460,4,0),"")</f>
        <v>4.2358</v>
      </c>
      <c r="E2226">
        <f>IFERROR(VLOOKUP($A2226,原始数据_收盘!$A$4:$G$3460,5,0),"")</f>
        <v>4.5457</v>
      </c>
      <c r="F2226">
        <f>IFERROR(VLOOKUP($A2226,原始数据_收盘!$A$4:$G$3460,6,0),"")</f>
        <v>4.2057</v>
      </c>
      <c r="G2226">
        <f>IFERROR(VLOOKUP($A2226,原始数据_收盘!$A$4:$G$3460,7,0),"")</f>
        <v>4.5104</v>
      </c>
      <c r="H2226">
        <f>IFERROR(VLOOKUP($A2226,原始数据_利率互换_FR007_1年!$A$6:$C$4395,2,0),"")</f>
        <v>4.1967</v>
      </c>
      <c r="I2226">
        <f>IFERROR(VLOOKUP($A2226,原始数据_利率互换_FR007_1年!$A$6:$C$4395,3,0),"")</f>
        <v>4.513</v>
      </c>
    </row>
    <row r="2227" spans="1:9">
      <c r="A2227" s="6">
        <v>41720</v>
      </c>
      <c r="B2227" t="str">
        <f>IFERROR(VLOOKUP($A2227,原始数据_收盘!$A$4:$G$3460,2,0),"")</f>
        <v/>
      </c>
      <c r="C2227" t="str">
        <f>IFERROR(VLOOKUP($A2227,原始数据_收盘!$A$4:$G$3460,3,0),"")</f>
        <v/>
      </c>
      <c r="D2227" t="str">
        <f>IFERROR(VLOOKUP($A2227,原始数据_收盘!$A$4:$G$3460,4,0),"")</f>
        <v/>
      </c>
      <c r="E2227" t="str">
        <f>IFERROR(VLOOKUP($A2227,原始数据_收盘!$A$4:$G$3460,5,0),"")</f>
        <v/>
      </c>
      <c r="F2227" t="str">
        <f>IFERROR(VLOOKUP($A2227,原始数据_收盘!$A$4:$G$3460,6,0),"")</f>
        <v/>
      </c>
      <c r="G2227" t="str">
        <f>IFERROR(VLOOKUP($A2227,原始数据_收盘!$A$4:$G$3460,7,0),"")</f>
        <v/>
      </c>
      <c r="H2227" t="str">
        <f>IFERROR(VLOOKUP($A2227,原始数据_利率互换_FR007_1年!$A$6:$C$4395,2,0),"")</f>
        <v/>
      </c>
      <c r="I2227" t="str">
        <f>IFERROR(VLOOKUP($A2227,原始数据_利率互换_FR007_1年!$A$6:$C$4395,3,0),"")</f>
        <v/>
      </c>
    </row>
    <row r="2228" spans="1:9">
      <c r="A2228" s="6">
        <v>41721</v>
      </c>
      <c r="B2228" t="str">
        <f>IFERROR(VLOOKUP($A2228,原始数据_收盘!$A$4:$G$3460,2,0),"")</f>
        <v/>
      </c>
      <c r="C2228" t="str">
        <f>IFERROR(VLOOKUP($A2228,原始数据_收盘!$A$4:$G$3460,3,0),"")</f>
        <v/>
      </c>
      <c r="D2228" t="str">
        <f>IFERROR(VLOOKUP($A2228,原始数据_收盘!$A$4:$G$3460,4,0),"")</f>
        <v/>
      </c>
      <c r="E2228" t="str">
        <f>IFERROR(VLOOKUP($A2228,原始数据_收盘!$A$4:$G$3460,5,0),"")</f>
        <v/>
      </c>
      <c r="F2228" t="str">
        <f>IFERROR(VLOOKUP($A2228,原始数据_收盘!$A$4:$G$3460,6,0),"")</f>
        <v/>
      </c>
      <c r="G2228" t="str">
        <f>IFERROR(VLOOKUP($A2228,原始数据_收盘!$A$4:$G$3460,7,0),"")</f>
        <v/>
      </c>
      <c r="H2228" t="str">
        <f>IFERROR(VLOOKUP($A2228,原始数据_利率互换_FR007_1年!$A$6:$C$4395,2,0),"")</f>
        <v/>
      </c>
      <c r="I2228" t="str">
        <f>IFERROR(VLOOKUP($A2228,原始数据_利率互换_FR007_1年!$A$6:$C$4395,3,0),"")</f>
        <v/>
      </c>
    </row>
    <row r="2229" spans="1:9">
      <c r="A2229" s="6">
        <v>41722</v>
      </c>
      <c r="B2229">
        <f>IFERROR(VLOOKUP($A2229,原始数据_收盘!$A$4:$G$3460,2,0),"")</f>
        <v>4.1736</v>
      </c>
      <c r="C2229">
        <f>IFERROR(VLOOKUP($A2229,原始数据_收盘!$A$4:$G$3460,3,0),"")</f>
        <v>4.4694</v>
      </c>
      <c r="D2229">
        <f>IFERROR(VLOOKUP($A2229,原始数据_收盘!$A$4:$G$3460,4,0),"")</f>
        <v>4.2318</v>
      </c>
      <c r="E2229">
        <f>IFERROR(VLOOKUP($A2229,原始数据_收盘!$A$4:$G$3460,5,0),"")</f>
        <v>4.5373</v>
      </c>
      <c r="F2229">
        <f>IFERROR(VLOOKUP($A2229,原始数据_收盘!$A$4:$G$3460,6,0),"")</f>
        <v>4.2027</v>
      </c>
      <c r="G2229">
        <f>IFERROR(VLOOKUP($A2229,原始数据_收盘!$A$4:$G$3460,7,0),"")</f>
        <v>4.5033</v>
      </c>
      <c r="H2229">
        <f>IFERROR(VLOOKUP($A2229,原始数据_利率互换_FR007_1年!$A$6:$C$4395,2,0),"")</f>
        <v>4.1844</v>
      </c>
      <c r="I2229">
        <f>IFERROR(VLOOKUP($A2229,原始数据_利率互换_FR007_1年!$A$6:$C$4395,3,0),"")</f>
        <v>4.4846</v>
      </c>
    </row>
    <row r="2230" spans="1:9">
      <c r="A2230" s="6">
        <v>41723</v>
      </c>
      <c r="B2230">
        <f>IFERROR(VLOOKUP($A2230,原始数据_收盘!$A$4:$G$3460,2,0),"")</f>
        <v>4.2215</v>
      </c>
      <c r="C2230">
        <f>IFERROR(VLOOKUP($A2230,原始数据_收盘!$A$4:$G$3460,3,0),"")</f>
        <v>4.5148</v>
      </c>
      <c r="D2230">
        <f>IFERROR(VLOOKUP($A2230,原始数据_收盘!$A$4:$G$3460,4,0),"")</f>
        <v>4.2805</v>
      </c>
      <c r="E2230">
        <f>IFERROR(VLOOKUP($A2230,原始数据_收盘!$A$4:$G$3460,5,0),"")</f>
        <v>4.5789</v>
      </c>
      <c r="F2230">
        <f>IFERROR(VLOOKUP($A2230,原始数据_收盘!$A$4:$G$3460,6,0),"")</f>
        <v>4.251</v>
      </c>
      <c r="G2230">
        <f>IFERROR(VLOOKUP($A2230,原始数据_收盘!$A$4:$G$3460,7,0),"")</f>
        <v>4.5468</v>
      </c>
      <c r="H2230">
        <f>IFERROR(VLOOKUP($A2230,原始数据_利率互换_FR007_1年!$A$6:$C$4395,2,0),"")</f>
        <v>4.2438</v>
      </c>
      <c r="I2230">
        <f>IFERROR(VLOOKUP($A2230,原始数据_利率互换_FR007_1年!$A$6:$C$4395,3,0),"")</f>
        <v>4.547</v>
      </c>
    </row>
    <row r="2231" spans="1:9">
      <c r="A2231" s="6">
        <v>41724</v>
      </c>
      <c r="B2231">
        <f>IFERROR(VLOOKUP($A2231,原始数据_收盘!$A$4:$G$3460,2,0),"")</f>
        <v>4.2401</v>
      </c>
      <c r="C2231">
        <f>IFERROR(VLOOKUP($A2231,原始数据_收盘!$A$4:$G$3460,3,0),"")</f>
        <v>4.5251</v>
      </c>
      <c r="D2231">
        <f>IFERROR(VLOOKUP($A2231,原始数据_收盘!$A$4:$G$3460,4,0),"")</f>
        <v>4.3008</v>
      </c>
      <c r="E2231">
        <f>IFERROR(VLOOKUP($A2231,原始数据_收盘!$A$4:$G$3460,5,0),"")</f>
        <v>4.5919</v>
      </c>
      <c r="F2231">
        <f>IFERROR(VLOOKUP($A2231,原始数据_收盘!$A$4:$G$3460,6,0),"")</f>
        <v>4.2705</v>
      </c>
      <c r="G2231">
        <f>IFERROR(VLOOKUP($A2231,原始数据_收盘!$A$4:$G$3460,7,0),"")</f>
        <v>4.5585</v>
      </c>
      <c r="H2231">
        <f>IFERROR(VLOOKUP($A2231,原始数据_利率互换_FR007_1年!$A$6:$C$4395,2,0),"")</f>
        <v>4.2711</v>
      </c>
      <c r="I2231">
        <f>IFERROR(VLOOKUP($A2231,原始数据_利率互换_FR007_1年!$A$6:$C$4395,3,0),"")</f>
        <v>4.5762</v>
      </c>
    </row>
    <row r="2232" spans="1:9">
      <c r="A2232" s="6">
        <v>41725</v>
      </c>
      <c r="B2232">
        <f>IFERROR(VLOOKUP($A2232,原始数据_收盘!$A$4:$G$3460,2,0),"")</f>
        <v>4.2709</v>
      </c>
      <c r="C2232">
        <f>IFERROR(VLOOKUP($A2232,原始数据_收盘!$A$4:$G$3460,3,0),"")</f>
        <v>4.5353</v>
      </c>
      <c r="D2232">
        <f>IFERROR(VLOOKUP($A2232,原始数据_收盘!$A$4:$G$3460,4,0),"")</f>
        <v>4.3332</v>
      </c>
      <c r="E2232">
        <f>IFERROR(VLOOKUP($A2232,原始数据_收盘!$A$4:$G$3460,5,0),"")</f>
        <v>4.6011</v>
      </c>
      <c r="F2232">
        <f>IFERROR(VLOOKUP($A2232,原始数据_收盘!$A$4:$G$3460,6,0),"")</f>
        <v>4.302</v>
      </c>
      <c r="G2232">
        <f>IFERROR(VLOOKUP($A2232,原始数据_收盘!$A$4:$G$3460,7,0),"")</f>
        <v>4.5682</v>
      </c>
      <c r="H2232">
        <f>IFERROR(VLOOKUP($A2232,原始数据_利率互换_FR007_1年!$A$6:$C$4395,2,0),"")</f>
        <v>4.2996</v>
      </c>
      <c r="I2232">
        <f>IFERROR(VLOOKUP($A2232,原始数据_利率互换_FR007_1年!$A$6:$C$4395,3,0),"")</f>
        <v>4.5679</v>
      </c>
    </row>
    <row r="2233" spans="1:9">
      <c r="A2233" s="6">
        <v>41726</v>
      </c>
      <c r="B2233">
        <f>IFERROR(VLOOKUP($A2233,原始数据_收盘!$A$4:$G$3460,2,0),"")</f>
        <v>4.2356</v>
      </c>
      <c r="C2233">
        <f>IFERROR(VLOOKUP($A2233,原始数据_收盘!$A$4:$G$3460,3,0),"")</f>
        <v>4.507</v>
      </c>
      <c r="D2233">
        <f>IFERROR(VLOOKUP($A2233,原始数据_收盘!$A$4:$G$3460,4,0),"")</f>
        <v>4.3034</v>
      </c>
      <c r="E2233">
        <f>IFERROR(VLOOKUP($A2233,原始数据_收盘!$A$4:$G$3460,5,0),"")</f>
        <v>4.576</v>
      </c>
      <c r="F2233">
        <f>IFERROR(VLOOKUP($A2233,原始数据_收盘!$A$4:$G$3460,6,0),"")</f>
        <v>4.2695</v>
      </c>
      <c r="G2233">
        <f>IFERROR(VLOOKUP($A2233,原始数据_收盘!$A$4:$G$3460,7,0),"")</f>
        <v>4.5415</v>
      </c>
      <c r="H2233">
        <f>IFERROR(VLOOKUP($A2233,原始数据_利率互换_FR007_1年!$A$6:$C$4395,2,0),"")</f>
        <v>4.2614</v>
      </c>
      <c r="I2233">
        <f>IFERROR(VLOOKUP($A2233,原始数据_利率互换_FR007_1年!$A$6:$C$4395,3,0),"")</f>
        <v>4.5439</v>
      </c>
    </row>
    <row r="2234" spans="1:9">
      <c r="A2234" s="6">
        <v>41727</v>
      </c>
      <c r="B2234" t="str">
        <f>IFERROR(VLOOKUP($A2234,原始数据_收盘!$A$4:$G$3460,2,0),"")</f>
        <v/>
      </c>
      <c r="C2234" t="str">
        <f>IFERROR(VLOOKUP($A2234,原始数据_收盘!$A$4:$G$3460,3,0),"")</f>
        <v/>
      </c>
      <c r="D2234" t="str">
        <f>IFERROR(VLOOKUP($A2234,原始数据_收盘!$A$4:$G$3460,4,0),"")</f>
        <v/>
      </c>
      <c r="E2234" t="str">
        <f>IFERROR(VLOOKUP($A2234,原始数据_收盘!$A$4:$G$3460,5,0),"")</f>
        <v/>
      </c>
      <c r="F2234" t="str">
        <f>IFERROR(VLOOKUP($A2234,原始数据_收盘!$A$4:$G$3460,6,0),"")</f>
        <v/>
      </c>
      <c r="G2234" t="str">
        <f>IFERROR(VLOOKUP($A2234,原始数据_收盘!$A$4:$G$3460,7,0),"")</f>
        <v/>
      </c>
      <c r="H2234" t="str">
        <f>IFERROR(VLOOKUP($A2234,原始数据_利率互换_FR007_1年!$A$6:$C$4395,2,0),"")</f>
        <v/>
      </c>
      <c r="I2234" t="str">
        <f>IFERROR(VLOOKUP($A2234,原始数据_利率互换_FR007_1年!$A$6:$C$4395,3,0),"")</f>
        <v/>
      </c>
    </row>
    <row r="2235" spans="1:9">
      <c r="A2235" s="6">
        <v>41728</v>
      </c>
      <c r="B2235" t="str">
        <f>IFERROR(VLOOKUP($A2235,原始数据_收盘!$A$4:$G$3460,2,0),"")</f>
        <v/>
      </c>
      <c r="C2235" t="str">
        <f>IFERROR(VLOOKUP($A2235,原始数据_收盘!$A$4:$G$3460,3,0),"")</f>
        <v/>
      </c>
      <c r="D2235" t="str">
        <f>IFERROR(VLOOKUP($A2235,原始数据_收盘!$A$4:$G$3460,4,0),"")</f>
        <v/>
      </c>
      <c r="E2235" t="str">
        <f>IFERROR(VLOOKUP($A2235,原始数据_收盘!$A$4:$G$3460,5,0),"")</f>
        <v/>
      </c>
      <c r="F2235" t="str">
        <f>IFERROR(VLOOKUP($A2235,原始数据_收盘!$A$4:$G$3460,6,0),"")</f>
        <v/>
      </c>
      <c r="G2235" t="str">
        <f>IFERROR(VLOOKUP($A2235,原始数据_收盘!$A$4:$G$3460,7,0),"")</f>
        <v/>
      </c>
      <c r="H2235" t="str">
        <f>IFERROR(VLOOKUP($A2235,原始数据_利率互换_FR007_1年!$A$6:$C$4395,2,0),"")</f>
        <v/>
      </c>
      <c r="I2235" t="str">
        <f>IFERROR(VLOOKUP($A2235,原始数据_利率互换_FR007_1年!$A$6:$C$4395,3,0),"")</f>
        <v/>
      </c>
    </row>
    <row r="2236" spans="1:9">
      <c r="A2236" s="6">
        <v>41729</v>
      </c>
      <c r="B2236">
        <f>IFERROR(VLOOKUP($A2236,原始数据_收盘!$A$4:$G$3460,2,0),"")</f>
        <v>4.2482</v>
      </c>
      <c r="C2236">
        <f>IFERROR(VLOOKUP($A2236,原始数据_收盘!$A$4:$G$3460,3,0),"")</f>
        <v>4.5148</v>
      </c>
      <c r="D2236">
        <f>IFERROR(VLOOKUP($A2236,原始数据_收盘!$A$4:$G$3460,4,0),"")</f>
        <v>4.3106</v>
      </c>
      <c r="E2236">
        <f>IFERROR(VLOOKUP($A2236,原始数据_收盘!$A$4:$G$3460,5,0),"")</f>
        <v>4.5825</v>
      </c>
      <c r="F2236">
        <f>IFERROR(VLOOKUP($A2236,原始数据_收盘!$A$4:$G$3460,6,0),"")</f>
        <v>4.2794</v>
      </c>
      <c r="G2236">
        <f>IFERROR(VLOOKUP($A2236,原始数据_收盘!$A$4:$G$3460,7,0),"")</f>
        <v>4.5486</v>
      </c>
      <c r="H2236">
        <f>IFERROR(VLOOKUP($A2236,原始数据_利率互换_FR007_1年!$A$6:$C$4395,2,0),"")</f>
        <v>4.2697</v>
      </c>
      <c r="I2236">
        <f>IFERROR(VLOOKUP($A2236,原始数据_利率互换_FR007_1年!$A$6:$C$4395,3,0),"")</f>
        <v>4.5378</v>
      </c>
    </row>
    <row r="2237" spans="1:9">
      <c r="A2237" s="6">
        <v>41730</v>
      </c>
      <c r="B2237">
        <f>IFERROR(VLOOKUP($A2237,原始数据_收盘!$A$4:$G$3460,2,0),"")</f>
        <v>4.3161</v>
      </c>
      <c r="C2237">
        <f>IFERROR(VLOOKUP($A2237,原始数据_收盘!$A$4:$G$3460,3,0),"")</f>
        <v>4.6018</v>
      </c>
      <c r="D2237">
        <f>IFERROR(VLOOKUP($A2237,原始数据_收盘!$A$4:$G$3460,4,0),"")</f>
        <v>4.377</v>
      </c>
      <c r="E2237">
        <f>IFERROR(VLOOKUP($A2237,原始数据_收盘!$A$4:$G$3460,5,0),"")</f>
        <v>4.6697</v>
      </c>
      <c r="F2237">
        <f>IFERROR(VLOOKUP($A2237,原始数据_收盘!$A$4:$G$3460,6,0),"")</f>
        <v>4.3465</v>
      </c>
      <c r="G2237">
        <f>IFERROR(VLOOKUP($A2237,原始数据_收盘!$A$4:$G$3460,7,0),"")</f>
        <v>4.6358</v>
      </c>
      <c r="H2237">
        <f>IFERROR(VLOOKUP($A2237,原始数据_利率互换_FR007_1年!$A$6:$C$4395,2,0),"")</f>
        <v>4.3223</v>
      </c>
      <c r="I2237">
        <f>IFERROR(VLOOKUP($A2237,原始数据_利率互换_FR007_1年!$A$6:$C$4395,3,0),"")</f>
        <v>4.622</v>
      </c>
    </row>
    <row r="2238" spans="1:9">
      <c r="A2238" s="6">
        <v>41731</v>
      </c>
      <c r="B2238">
        <f>IFERROR(VLOOKUP($A2238,原始数据_收盘!$A$4:$G$3460,2,0),"")</f>
        <v>4.3441</v>
      </c>
      <c r="C2238">
        <f>IFERROR(VLOOKUP($A2238,原始数据_收盘!$A$4:$G$3460,3,0),"")</f>
        <v>4.6317</v>
      </c>
      <c r="D2238">
        <f>IFERROR(VLOOKUP($A2238,原始数据_收盘!$A$4:$G$3460,4,0),"")</f>
        <v>4.4036</v>
      </c>
      <c r="E2238">
        <f>IFERROR(VLOOKUP($A2238,原始数据_收盘!$A$4:$G$3460,5,0),"")</f>
        <v>4.6969</v>
      </c>
      <c r="F2238">
        <f>IFERROR(VLOOKUP($A2238,原始数据_收盘!$A$4:$G$3460,6,0),"")</f>
        <v>4.3738</v>
      </c>
      <c r="G2238">
        <f>IFERROR(VLOOKUP($A2238,原始数据_收盘!$A$4:$G$3460,7,0),"")</f>
        <v>4.6643</v>
      </c>
      <c r="H2238">
        <f>IFERROR(VLOOKUP($A2238,原始数据_利率互换_FR007_1年!$A$6:$C$4395,2,0),"")</f>
        <v>4.3796</v>
      </c>
      <c r="I2238">
        <f>IFERROR(VLOOKUP($A2238,原始数据_利率互换_FR007_1年!$A$6:$C$4395,3,0),"")</f>
        <v>4.6715</v>
      </c>
    </row>
    <row r="2239" spans="1:9">
      <c r="A2239" s="6">
        <v>41732</v>
      </c>
      <c r="B2239">
        <f>IFERROR(VLOOKUP($A2239,原始数据_收盘!$A$4:$G$3460,2,0),"")</f>
        <v>4.3778</v>
      </c>
      <c r="C2239">
        <f>IFERROR(VLOOKUP($A2239,原始数据_收盘!$A$4:$G$3460,3,0),"")</f>
        <v>4.6817</v>
      </c>
      <c r="D2239">
        <f>IFERROR(VLOOKUP($A2239,原始数据_收盘!$A$4:$G$3460,4,0),"")</f>
        <v>4.4402</v>
      </c>
      <c r="E2239">
        <f>IFERROR(VLOOKUP($A2239,原始数据_收盘!$A$4:$G$3460,5,0),"")</f>
        <v>4.7481</v>
      </c>
      <c r="F2239">
        <f>IFERROR(VLOOKUP($A2239,原始数据_收盘!$A$4:$G$3460,6,0),"")</f>
        <v>4.409</v>
      </c>
      <c r="G2239">
        <f>IFERROR(VLOOKUP($A2239,原始数据_收盘!$A$4:$G$3460,7,0),"")</f>
        <v>4.7149</v>
      </c>
      <c r="H2239">
        <f>IFERROR(VLOOKUP($A2239,原始数据_利率互换_FR007_1年!$A$6:$C$4395,2,0),"")</f>
        <v>4.4285</v>
      </c>
      <c r="I2239">
        <f>IFERROR(VLOOKUP($A2239,原始数据_利率互换_FR007_1年!$A$6:$C$4395,3,0),"")</f>
        <v>4.7349</v>
      </c>
    </row>
    <row r="2240" spans="1:9">
      <c r="A2240" s="6">
        <v>41733</v>
      </c>
      <c r="B2240">
        <f>IFERROR(VLOOKUP($A2240,原始数据_收盘!$A$4:$G$3460,2,0),"")</f>
        <v>4.3082</v>
      </c>
      <c r="C2240">
        <f>IFERROR(VLOOKUP($A2240,原始数据_收盘!$A$4:$G$3460,3,0),"")</f>
        <v>4.6739</v>
      </c>
      <c r="D2240">
        <f>IFERROR(VLOOKUP($A2240,原始数据_收盘!$A$4:$G$3460,4,0),"")</f>
        <v>4.3676</v>
      </c>
      <c r="E2240">
        <f>IFERROR(VLOOKUP($A2240,原始数据_收盘!$A$4:$G$3460,5,0),"")</f>
        <v>4.7425</v>
      </c>
      <c r="F2240">
        <f>IFERROR(VLOOKUP($A2240,原始数据_收盘!$A$4:$G$3460,6,0),"")</f>
        <v>4.3379</v>
      </c>
      <c r="G2240">
        <f>IFERROR(VLOOKUP($A2240,原始数据_收盘!$A$4:$G$3460,7,0),"")</f>
        <v>4.7082</v>
      </c>
      <c r="H2240">
        <f>IFERROR(VLOOKUP($A2240,原始数据_利率互换_FR007_1年!$A$6:$C$4395,2,0),"")</f>
        <v>4.3442</v>
      </c>
      <c r="I2240">
        <f>IFERROR(VLOOKUP($A2240,原始数据_利率互换_FR007_1年!$A$6:$C$4395,3,0),"")</f>
        <v>4.6946</v>
      </c>
    </row>
    <row r="2241" spans="1:9">
      <c r="A2241" s="6">
        <v>41734</v>
      </c>
      <c r="B2241" t="str">
        <f>IFERROR(VLOOKUP($A2241,原始数据_收盘!$A$4:$G$3460,2,0),"")</f>
        <v/>
      </c>
      <c r="C2241" t="str">
        <f>IFERROR(VLOOKUP($A2241,原始数据_收盘!$A$4:$G$3460,3,0),"")</f>
        <v/>
      </c>
      <c r="D2241" t="str">
        <f>IFERROR(VLOOKUP($A2241,原始数据_收盘!$A$4:$G$3460,4,0),"")</f>
        <v/>
      </c>
      <c r="E2241" t="str">
        <f>IFERROR(VLOOKUP($A2241,原始数据_收盘!$A$4:$G$3460,5,0),"")</f>
        <v/>
      </c>
      <c r="F2241" t="str">
        <f>IFERROR(VLOOKUP($A2241,原始数据_收盘!$A$4:$G$3460,6,0),"")</f>
        <v/>
      </c>
      <c r="G2241" t="str">
        <f>IFERROR(VLOOKUP($A2241,原始数据_收盘!$A$4:$G$3460,7,0),"")</f>
        <v/>
      </c>
      <c r="H2241" t="str">
        <f>IFERROR(VLOOKUP($A2241,原始数据_利率互换_FR007_1年!$A$6:$C$4395,2,0),"")</f>
        <v/>
      </c>
      <c r="I2241" t="str">
        <f>IFERROR(VLOOKUP($A2241,原始数据_利率互换_FR007_1年!$A$6:$C$4395,3,0),"")</f>
        <v/>
      </c>
    </row>
    <row r="2242" spans="1:9">
      <c r="A2242" s="6">
        <v>41735</v>
      </c>
      <c r="B2242" t="str">
        <f>IFERROR(VLOOKUP($A2242,原始数据_收盘!$A$4:$G$3460,2,0),"")</f>
        <v/>
      </c>
      <c r="C2242" t="str">
        <f>IFERROR(VLOOKUP($A2242,原始数据_收盘!$A$4:$G$3460,3,0),"")</f>
        <v/>
      </c>
      <c r="D2242" t="str">
        <f>IFERROR(VLOOKUP($A2242,原始数据_收盘!$A$4:$G$3460,4,0),"")</f>
        <v/>
      </c>
      <c r="E2242" t="str">
        <f>IFERROR(VLOOKUP($A2242,原始数据_收盘!$A$4:$G$3460,5,0),"")</f>
        <v/>
      </c>
      <c r="F2242" t="str">
        <f>IFERROR(VLOOKUP($A2242,原始数据_收盘!$A$4:$G$3460,6,0),"")</f>
        <v/>
      </c>
      <c r="G2242" t="str">
        <f>IFERROR(VLOOKUP($A2242,原始数据_收盘!$A$4:$G$3460,7,0),"")</f>
        <v/>
      </c>
      <c r="H2242" t="str">
        <f>IFERROR(VLOOKUP($A2242,原始数据_利率互换_FR007_1年!$A$6:$C$4395,2,0),"")</f>
        <v/>
      </c>
      <c r="I2242" t="str">
        <f>IFERROR(VLOOKUP($A2242,原始数据_利率互换_FR007_1年!$A$6:$C$4395,3,0),"")</f>
        <v/>
      </c>
    </row>
    <row r="2243" spans="1:9">
      <c r="A2243" s="6">
        <v>41736</v>
      </c>
      <c r="B2243" t="str">
        <f>IFERROR(VLOOKUP($A2243,原始数据_收盘!$A$4:$G$3460,2,0),"")</f>
        <v/>
      </c>
      <c r="C2243" t="str">
        <f>IFERROR(VLOOKUP($A2243,原始数据_收盘!$A$4:$G$3460,3,0),"")</f>
        <v/>
      </c>
      <c r="D2243" t="str">
        <f>IFERROR(VLOOKUP($A2243,原始数据_收盘!$A$4:$G$3460,4,0),"")</f>
        <v/>
      </c>
      <c r="E2243" t="str">
        <f>IFERROR(VLOOKUP($A2243,原始数据_收盘!$A$4:$G$3460,5,0),"")</f>
        <v/>
      </c>
      <c r="F2243" t="str">
        <f>IFERROR(VLOOKUP($A2243,原始数据_收盘!$A$4:$G$3460,6,0),"")</f>
        <v/>
      </c>
      <c r="G2243" t="str">
        <f>IFERROR(VLOOKUP($A2243,原始数据_收盘!$A$4:$G$3460,7,0),"")</f>
        <v/>
      </c>
      <c r="H2243" t="str">
        <f>IFERROR(VLOOKUP($A2243,原始数据_利率互换_FR007_1年!$A$6:$C$4395,2,0),"")</f>
        <v/>
      </c>
      <c r="I2243" t="str">
        <f>IFERROR(VLOOKUP($A2243,原始数据_利率互换_FR007_1年!$A$6:$C$4395,3,0),"")</f>
        <v/>
      </c>
    </row>
    <row r="2244" spans="1:9">
      <c r="A2244" s="6">
        <v>41737</v>
      </c>
      <c r="B2244">
        <f>IFERROR(VLOOKUP($A2244,原始数据_收盘!$A$4:$G$3460,2,0),"")</f>
        <v>4.2516</v>
      </c>
      <c r="C2244">
        <f>IFERROR(VLOOKUP($A2244,原始数据_收盘!$A$4:$G$3460,3,0),"")</f>
        <v>4.6541</v>
      </c>
      <c r="D2244">
        <f>IFERROR(VLOOKUP($A2244,原始数据_收盘!$A$4:$G$3460,4,0),"")</f>
        <v>4.3178</v>
      </c>
      <c r="E2244">
        <f>IFERROR(VLOOKUP($A2244,原始数据_收盘!$A$4:$G$3460,5,0),"")</f>
        <v>4.7286</v>
      </c>
      <c r="F2244">
        <f>IFERROR(VLOOKUP($A2244,原始数据_收盘!$A$4:$G$3460,6,0),"")</f>
        <v>4.2847</v>
      </c>
      <c r="G2244">
        <f>IFERROR(VLOOKUP($A2244,原始数据_收盘!$A$4:$G$3460,7,0),"")</f>
        <v>4.6913</v>
      </c>
      <c r="H2244">
        <f>IFERROR(VLOOKUP($A2244,原始数据_利率互换_FR007_1年!$A$6:$C$4395,2,0),"")</f>
        <v>4.2917</v>
      </c>
      <c r="I2244">
        <f>IFERROR(VLOOKUP($A2244,原始数据_利率互换_FR007_1年!$A$6:$C$4395,3,0),"")</f>
        <v>4.69</v>
      </c>
    </row>
    <row r="2245" spans="1:9">
      <c r="A2245" s="6">
        <v>41738</v>
      </c>
      <c r="B2245">
        <f>IFERROR(VLOOKUP($A2245,原始数据_收盘!$A$4:$G$3460,2,0),"")</f>
        <v>4.2511</v>
      </c>
      <c r="C2245">
        <f>IFERROR(VLOOKUP($A2245,原始数据_收盘!$A$4:$G$3460,3,0),"")</f>
        <v>4.6576</v>
      </c>
      <c r="D2245">
        <f>IFERROR(VLOOKUP($A2245,原始数据_收盘!$A$4:$G$3460,4,0),"")</f>
        <v>4.3113</v>
      </c>
      <c r="E2245">
        <f>IFERROR(VLOOKUP($A2245,原始数据_收盘!$A$4:$G$3460,5,0),"")</f>
        <v>4.7279</v>
      </c>
      <c r="F2245">
        <f>IFERROR(VLOOKUP($A2245,原始数据_收盘!$A$4:$G$3460,6,0),"")</f>
        <v>4.2812</v>
      </c>
      <c r="G2245">
        <f>IFERROR(VLOOKUP($A2245,原始数据_收盘!$A$4:$G$3460,7,0),"")</f>
        <v>4.6928</v>
      </c>
      <c r="H2245">
        <f>IFERROR(VLOOKUP($A2245,原始数据_利率互换_FR007_1年!$A$6:$C$4395,2,0),"")</f>
        <v>4.282</v>
      </c>
      <c r="I2245">
        <f>IFERROR(VLOOKUP($A2245,原始数据_利率互换_FR007_1年!$A$6:$C$4395,3,0),"")</f>
        <v>4.7025</v>
      </c>
    </row>
    <row r="2246" spans="1:9">
      <c r="A2246" s="6">
        <v>41739</v>
      </c>
      <c r="B2246">
        <f>IFERROR(VLOOKUP($A2246,原始数据_收盘!$A$4:$G$3460,2,0),"")</f>
        <v>4.2259</v>
      </c>
      <c r="C2246">
        <f>IFERROR(VLOOKUP($A2246,原始数据_收盘!$A$4:$G$3460,3,0),"")</f>
        <v>4.5951</v>
      </c>
      <c r="D2246">
        <f>IFERROR(VLOOKUP($A2246,原始数据_收盘!$A$4:$G$3460,4,0),"")</f>
        <v>4.2897</v>
      </c>
      <c r="E2246">
        <f>IFERROR(VLOOKUP($A2246,原始数据_收盘!$A$4:$G$3460,5,0),"")</f>
        <v>4.6711</v>
      </c>
      <c r="F2246">
        <f>IFERROR(VLOOKUP($A2246,原始数据_收盘!$A$4:$G$3460,6,0),"")</f>
        <v>4.2578</v>
      </c>
      <c r="G2246">
        <f>IFERROR(VLOOKUP($A2246,原始数据_收盘!$A$4:$G$3460,7,0),"")</f>
        <v>4.6331</v>
      </c>
      <c r="H2246">
        <f>IFERROR(VLOOKUP($A2246,原始数据_利率互换_FR007_1年!$A$6:$C$4395,2,0),"")</f>
        <v>4.2637</v>
      </c>
      <c r="I2246">
        <f>IFERROR(VLOOKUP($A2246,原始数据_利率互换_FR007_1年!$A$6:$C$4395,3,0),"")</f>
        <v>4.6477</v>
      </c>
    </row>
    <row r="2247" spans="1:9">
      <c r="A2247" s="6">
        <v>41740</v>
      </c>
      <c r="B2247">
        <f>IFERROR(VLOOKUP($A2247,原始数据_收盘!$A$4:$G$3460,2,0),"")</f>
        <v>4.1702</v>
      </c>
      <c r="C2247">
        <f>IFERROR(VLOOKUP($A2247,原始数据_收盘!$A$4:$G$3460,3,0),"")</f>
        <v>4.5302</v>
      </c>
      <c r="D2247">
        <f>IFERROR(VLOOKUP($A2247,原始数据_收盘!$A$4:$G$3460,4,0),"")</f>
        <v>4.2332</v>
      </c>
      <c r="E2247">
        <f>IFERROR(VLOOKUP($A2247,原始数据_收盘!$A$4:$G$3460,5,0),"")</f>
        <v>4.5925</v>
      </c>
      <c r="F2247">
        <f>IFERROR(VLOOKUP($A2247,原始数据_收盘!$A$4:$G$3460,6,0),"")</f>
        <v>4.2017</v>
      </c>
      <c r="G2247">
        <f>IFERROR(VLOOKUP($A2247,原始数据_收盘!$A$4:$G$3460,7,0),"")</f>
        <v>4.5613</v>
      </c>
      <c r="H2247">
        <f>IFERROR(VLOOKUP($A2247,原始数据_利率互换_FR007_1年!$A$6:$C$4395,2,0),"")</f>
        <v>4.2085</v>
      </c>
      <c r="I2247">
        <f>IFERROR(VLOOKUP($A2247,原始数据_利率互换_FR007_1年!$A$6:$C$4395,3,0),"")</f>
        <v>4.5611</v>
      </c>
    </row>
    <row r="2248" spans="1:9">
      <c r="A2248" s="6">
        <v>41741</v>
      </c>
      <c r="B2248" t="str">
        <f>IFERROR(VLOOKUP($A2248,原始数据_收盘!$A$4:$G$3460,2,0),"")</f>
        <v/>
      </c>
      <c r="C2248" t="str">
        <f>IFERROR(VLOOKUP($A2248,原始数据_收盘!$A$4:$G$3460,3,0),"")</f>
        <v/>
      </c>
      <c r="D2248" t="str">
        <f>IFERROR(VLOOKUP($A2248,原始数据_收盘!$A$4:$G$3460,4,0),"")</f>
        <v/>
      </c>
      <c r="E2248" t="str">
        <f>IFERROR(VLOOKUP($A2248,原始数据_收盘!$A$4:$G$3460,5,0),"")</f>
        <v/>
      </c>
      <c r="F2248" t="str">
        <f>IFERROR(VLOOKUP($A2248,原始数据_收盘!$A$4:$G$3460,6,0),"")</f>
        <v/>
      </c>
      <c r="G2248" t="str">
        <f>IFERROR(VLOOKUP($A2248,原始数据_收盘!$A$4:$G$3460,7,0),"")</f>
        <v/>
      </c>
      <c r="H2248" t="str">
        <f>IFERROR(VLOOKUP($A2248,原始数据_利率互换_FR007_1年!$A$6:$C$4395,2,0),"")</f>
        <v/>
      </c>
      <c r="I2248" t="str">
        <f>IFERROR(VLOOKUP($A2248,原始数据_利率互换_FR007_1年!$A$6:$C$4395,3,0),"")</f>
        <v/>
      </c>
    </row>
    <row r="2249" spans="1:9">
      <c r="A2249" s="6">
        <v>41742</v>
      </c>
      <c r="B2249" t="str">
        <f>IFERROR(VLOOKUP($A2249,原始数据_收盘!$A$4:$G$3460,2,0),"")</f>
        <v/>
      </c>
      <c r="C2249" t="str">
        <f>IFERROR(VLOOKUP($A2249,原始数据_收盘!$A$4:$G$3460,3,0),"")</f>
        <v/>
      </c>
      <c r="D2249" t="str">
        <f>IFERROR(VLOOKUP($A2249,原始数据_收盘!$A$4:$G$3460,4,0),"")</f>
        <v/>
      </c>
      <c r="E2249" t="str">
        <f>IFERROR(VLOOKUP($A2249,原始数据_收盘!$A$4:$G$3460,5,0),"")</f>
        <v/>
      </c>
      <c r="F2249" t="str">
        <f>IFERROR(VLOOKUP($A2249,原始数据_收盘!$A$4:$G$3460,6,0),"")</f>
        <v/>
      </c>
      <c r="G2249" t="str">
        <f>IFERROR(VLOOKUP($A2249,原始数据_收盘!$A$4:$G$3460,7,0),"")</f>
        <v/>
      </c>
      <c r="H2249" t="str">
        <f>IFERROR(VLOOKUP($A2249,原始数据_利率互换_FR007_1年!$A$6:$C$4395,2,0),"")</f>
        <v/>
      </c>
      <c r="I2249" t="str">
        <f>IFERROR(VLOOKUP($A2249,原始数据_利率互换_FR007_1年!$A$6:$C$4395,3,0),"")</f>
        <v/>
      </c>
    </row>
    <row r="2250" spans="1:9">
      <c r="A2250" s="6">
        <v>41743</v>
      </c>
      <c r="B2250">
        <f>IFERROR(VLOOKUP($A2250,原始数据_收盘!$A$4:$G$3460,2,0),"")</f>
        <v>4.0914</v>
      </c>
      <c r="C2250">
        <f>IFERROR(VLOOKUP($A2250,原始数据_收盘!$A$4:$G$3460,3,0),"")</f>
        <v>4.4432</v>
      </c>
      <c r="D2250">
        <f>IFERROR(VLOOKUP($A2250,原始数据_收盘!$A$4:$G$3460,4,0),"")</f>
        <v>4.1583</v>
      </c>
      <c r="E2250">
        <f>IFERROR(VLOOKUP($A2250,原始数据_收盘!$A$4:$G$3460,5,0),"")</f>
        <v>4.5134</v>
      </c>
      <c r="F2250">
        <f>IFERROR(VLOOKUP($A2250,原始数据_收盘!$A$4:$G$3460,6,0),"")</f>
        <v>4.1249</v>
      </c>
      <c r="G2250">
        <f>IFERROR(VLOOKUP($A2250,原始数据_收盘!$A$4:$G$3460,7,0),"")</f>
        <v>4.4783</v>
      </c>
      <c r="H2250">
        <f>IFERROR(VLOOKUP($A2250,原始数据_利率互换_FR007_1年!$A$6:$C$4395,2,0),"")</f>
        <v>4.1396</v>
      </c>
      <c r="I2250">
        <f>IFERROR(VLOOKUP($A2250,原始数据_利率互换_FR007_1年!$A$6:$C$4395,3,0),"")</f>
        <v>4.4965</v>
      </c>
    </row>
    <row r="2251" spans="1:9">
      <c r="A2251" s="6">
        <v>41744</v>
      </c>
      <c r="B2251">
        <f>IFERROR(VLOOKUP($A2251,原始数据_收盘!$A$4:$G$3460,2,0),"")</f>
        <v>4.0195</v>
      </c>
      <c r="C2251">
        <f>IFERROR(VLOOKUP($A2251,原始数据_收盘!$A$4:$G$3460,3,0),"")</f>
        <v>4.4068</v>
      </c>
      <c r="D2251">
        <f>IFERROR(VLOOKUP($A2251,原始数据_收盘!$A$4:$G$3460,4,0),"")</f>
        <v>4.09</v>
      </c>
      <c r="E2251">
        <f>IFERROR(VLOOKUP($A2251,原始数据_收盘!$A$4:$G$3460,5,0),"")</f>
        <v>4.478</v>
      </c>
      <c r="F2251">
        <f>IFERROR(VLOOKUP($A2251,原始数据_收盘!$A$4:$G$3460,6,0),"")</f>
        <v>4.0548</v>
      </c>
      <c r="G2251">
        <f>IFERROR(VLOOKUP($A2251,原始数据_收盘!$A$4:$G$3460,7,0),"")</f>
        <v>4.4424</v>
      </c>
      <c r="H2251">
        <f>IFERROR(VLOOKUP($A2251,原始数据_利率互换_FR007_1年!$A$6:$C$4395,2,0),"")</f>
        <v>4.0705</v>
      </c>
      <c r="I2251">
        <f>IFERROR(VLOOKUP($A2251,原始数据_利率互换_FR007_1年!$A$6:$C$4395,3,0),"")</f>
        <v>4.4454</v>
      </c>
    </row>
    <row r="2252" spans="1:9">
      <c r="A2252" s="6">
        <v>41745</v>
      </c>
      <c r="B2252">
        <f>IFERROR(VLOOKUP($A2252,原始数据_收盘!$A$4:$G$3460,2,0),"")</f>
        <v>4.0214</v>
      </c>
      <c r="C2252">
        <f>IFERROR(VLOOKUP($A2252,原始数据_收盘!$A$4:$G$3460,3,0),"")</f>
        <v>4.4405</v>
      </c>
      <c r="D2252">
        <f>IFERROR(VLOOKUP($A2252,原始数据_收盘!$A$4:$G$3460,4,0),"")</f>
        <v>4.0837</v>
      </c>
      <c r="E2252">
        <f>IFERROR(VLOOKUP($A2252,原始数据_收盘!$A$4:$G$3460,5,0),"")</f>
        <v>4.503</v>
      </c>
      <c r="F2252">
        <f>IFERROR(VLOOKUP($A2252,原始数据_收盘!$A$4:$G$3460,6,0),"")</f>
        <v>4.0525</v>
      </c>
      <c r="G2252">
        <f>IFERROR(VLOOKUP($A2252,原始数据_收盘!$A$4:$G$3460,7,0),"")</f>
        <v>4.4717</v>
      </c>
      <c r="H2252">
        <f>IFERROR(VLOOKUP($A2252,原始数据_利率互换_FR007_1年!$A$6:$C$4395,2,0),"")</f>
        <v>4.0611</v>
      </c>
      <c r="I2252">
        <f>IFERROR(VLOOKUP($A2252,原始数据_利率互换_FR007_1年!$A$6:$C$4395,3,0),"")</f>
        <v>4.4801</v>
      </c>
    </row>
    <row r="2253" spans="1:9">
      <c r="A2253" s="6">
        <v>41746</v>
      </c>
      <c r="B2253">
        <f>IFERROR(VLOOKUP($A2253,原始数据_收盘!$A$4:$G$3460,2,0),"")</f>
        <v>3.8462</v>
      </c>
      <c r="C2253">
        <f>IFERROR(VLOOKUP($A2253,原始数据_收盘!$A$4:$G$3460,3,0),"")</f>
        <v>4.3261</v>
      </c>
      <c r="D2253">
        <f>IFERROR(VLOOKUP($A2253,原始数据_收盘!$A$4:$G$3460,4,0),"")</f>
        <v>3.9082</v>
      </c>
      <c r="E2253">
        <f>IFERROR(VLOOKUP($A2253,原始数据_收盘!$A$4:$G$3460,5,0),"")</f>
        <v>4.3897</v>
      </c>
      <c r="F2253">
        <f>IFERROR(VLOOKUP($A2253,原始数据_收盘!$A$4:$G$3460,6,0),"")</f>
        <v>3.8772</v>
      </c>
      <c r="G2253">
        <f>IFERROR(VLOOKUP($A2253,原始数据_收盘!$A$4:$G$3460,7,0),"")</f>
        <v>4.3579</v>
      </c>
      <c r="H2253">
        <f>IFERROR(VLOOKUP($A2253,原始数据_利率互换_FR007_1年!$A$6:$C$4395,2,0),"")</f>
        <v>3.8714</v>
      </c>
      <c r="I2253">
        <f>IFERROR(VLOOKUP($A2253,原始数据_利率互换_FR007_1年!$A$6:$C$4395,3,0),"")</f>
        <v>4.2957</v>
      </c>
    </row>
    <row r="2254" spans="1:9">
      <c r="A2254" s="6">
        <v>41747</v>
      </c>
      <c r="B2254">
        <f>IFERROR(VLOOKUP($A2254,原始数据_收盘!$A$4:$G$3460,2,0),"")</f>
        <v>3.7364</v>
      </c>
      <c r="C2254">
        <f>IFERROR(VLOOKUP($A2254,原始数据_收盘!$A$4:$G$3460,3,0),"")</f>
        <v>4.2212</v>
      </c>
      <c r="D2254">
        <f>IFERROR(VLOOKUP($A2254,原始数据_收盘!$A$4:$G$3460,4,0),"")</f>
        <v>3.8086</v>
      </c>
      <c r="E2254">
        <f>IFERROR(VLOOKUP($A2254,原始数据_收盘!$A$4:$G$3460,5,0),"")</f>
        <v>4.2916</v>
      </c>
      <c r="F2254">
        <f>IFERROR(VLOOKUP($A2254,原始数据_收盘!$A$4:$G$3460,6,0),"")</f>
        <v>3.7725</v>
      </c>
      <c r="G2254">
        <f>IFERROR(VLOOKUP($A2254,原始数据_收盘!$A$4:$G$3460,7,0),"")</f>
        <v>4.2564</v>
      </c>
      <c r="H2254">
        <f>IFERROR(VLOOKUP($A2254,原始数据_利率互换_FR007_1年!$A$6:$C$4395,2,0),"")</f>
        <v>3.7744</v>
      </c>
      <c r="I2254">
        <f>IFERROR(VLOOKUP($A2254,原始数据_利率互换_FR007_1年!$A$6:$C$4395,3,0),"")</f>
        <v>4.3078</v>
      </c>
    </row>
    <row r="2255" spans="1:9">
      <c r="A2255" s="6">
        <v>41748</v>
      </c>
      <c r="B2255" t="str">
        <f>IFERROR(VLOOKUP($A2255,原始数据_收盘!$A$4:$G$3460,2,0),"")</f>
        <v/>
      </c>
      <c r="C2255" t="str">
        <f>IFERROR(VLOOKUP($A2255,原始数据_收盘!$A$4:$G$3460,3,0),"")</f>
        <v/>
      </c>
      <c r="D2255" t="str">
        <f>IFERROR(VLOOKUP($A2255,原始数据_收盘!$A$4:$G$3460,4,0),"")</f>
        <v/>
      </c>
      <c r="E2255" t="str">
        <f>IFERROR(VLOOKUP($A2255,原始数据_收盘!$A$4:$G$3460,5,0),"")</f>
        <v/>
      </c>
      <c r="F2255" t="str">
        <f>IFERROR(VLOOKUP($A2255,原始数据_收盘!$A$4:$G$3460,6,0),"")</f>
        <v/>
      </c>
      <c r="G2255" t="str">
        <f>IFERROR(VLOOKUP($A2255,原始数据_收盘!$A$4:$G$3460,7,0),"")</f>
        <v/>
      </c>
      <c r="H2255" t="str">
        <f>IFERROR(VLOOKUP($A2255,原始数据_利率互换_FR007_1年!$A$6:$C$4395,2,0),"")</f>
        <v/>
      </c>
      <c r="I2255" t="str">
        <f>IFERROR(VLOOKUP($A2255,原始数据_利率互换_FR007_1年!$A$6:$C$4395,3,0),"")</f>
        <v/>
      </c>
    </row>
    <row r="2256" spans="1:9">
      <c r="A2256" s="6">
        <v>41749</v>
      </c>
      <c r="B2256" t="str">
        <f>IFERROR(VLOOKUP($A2256,原始数据_收盘!$A$4:$G$3460,2,0),"")</f>
        <v/>
      </c>
      <c r="C2256" t="str">
        <f>IFERROR(VLOOKUP($A2256,原始数据_收盘!$A$4:$G$3460,3,0),"")</f>
        <v/>
      </c>
      <c r="D2256" t="str">
        <f>IFERROR(VLOOKUP($A2256,原始数据_收盘!$A$4:$G$3460,4,0),"")</f>
        <v/>
      </c>
      <c r="E2256" t="str">
        <f>IFERROR(VLOOKUP($A2256,原始数据_收盘!$A$4:$G$3460,5,0),"")</f>
        <v/>
      </c>
      <c r="F2256" t="str">
        <f>IFERROR(VLOOKUP($A2256,原始数据_收盘!$A$4:$G$3460,6,0),"")</f>
        <v/>
      </c>
      <c r="G2256" t="str">
        <f>IFERROR(VLOOKUP($A2256,原始数据_收盘!$A$4:$G$3460,7,0),"")</f>
        <v/>
      </c>
      <c r="H2256" t="str">
        <f>IFERROR(VLOOKUP($A2256,原始数据_利率互换_FR007_1年!$A$6:$C$4395,2,0),"")</f>
        <v/>
      </c>
      <c r="I2256" t="str">
        <f>IFERROR(VLOOKUP($A2256,原始数据_利率互换_FR007_1年!$A$6:$C$4395,3,0),"")</f>
        <v/>
      </c>
    </row>
    <row r="2257" spans="1:9">
      <c r="A2257" s="6">
        <v>41750</v>
      </c>
      <c r="B2257">
        <f>IFERROR(VLOOKUP($A2257,原始数据_收盘!$A$4:$G$3460,2,0),"")</f>
        <v>3.7494</v>
      </c>
      <c r="C2257">
        <f>IFERROR(VLOOKUP($A2257,原始数据_收盘!$A$4:$G$3460,3,0),"")</f>
        <v>4.2306</v>
      </c>
      <c r="D2257">
        <f>IFERROR(VLOOKUP($A2257,原始数据_收盘!$A$4:$G$3460,4,0),"")</f>
        <v>3.8036</v>
      </c>
      <c r="E2257">
        <f>IFERROR(VLOOKUP($A2257,原始数据_收盘!$A$4:$G$3460,5,0),"")</f>
        <v>4.2906</v>
      </c>
      <c r="F2257">
        <f>IFERROR(VLOOKUP($A2257,原始数据_收盘!$A$4:$G$3460,6,0),"")</f>
        <v>3.7765</v>
      </c>
      <c r="G2257">
        <f>IFERROR(VLOOKUP($A2257,原始数据_收盘!$A$4:$G$3460,7,0),"")</f>
        <v>4.2606</v>
      </c>
      <c r="H2257">
        <f>IFERROR(VLOOKUP($A2257,原始数据_利率互换_FR007_1年!$A$6:$C$4395,2,0),"")</f>
        <v>3.7563</v>
      </c>
      <c r="I2257">
        <f>IFERROR(VLOOKUP($A2257,原始数据_利率互换_FR007_1年!$A$6:$C$4395,3,0),"")</f>
        <v>4.2721</v>
      </c>
    </row>
    <row r="2258" spans="1:9">
      <c r="A2258" s="6">
        <v>41751</v>
      </c>
      <c r="B2258">
        <f>IFERROR(VLOOKUP($A2258,原始数据_收盘!$A$4:$G$3460,2,0),"")</f>
        <v>3.7639</v>
      </c>
      <c r="C2258">
        <f>IFERROR(VLOOKUP($A2258,原始数据_收盘!$A$4:$G$3460,3,0),"")</f>
        <v>4.2495</v>
      </c>
      <c r="D2258">
        <f>IFERROR(VLOOKUP($A2258,原始数据_收盘!$A$4:$G$3460,4,0),"")</f>
        <v>3.8182</v>
      </c>
      <c r="E2258">
        <f>IFERROR(VLOOKUP($A2258,原始数据_收盘!$A$4:$G$3460,5,0),"")</f>
        <v>4.3178</v>
      </c>
      <c r="F2258">
        <f>IFERROR(VLOOKUP($A2258,原始数据_收盘!$A$4:$G$3460,6,0),"")</f>
        <v>3.7911</v>
      </c>
      <c r="G2258">
        <f>IFERROR(VLOOKUP($A2258,原始数据_收盘!$A$4:$G$3460,7,0),"")</f>
        <v>4.2837</v>
      </c>
      <c r="H2258">
        <f>IFERROR(VLOOKUP($A2258,原始数据_利率互换_FR007_1年!$A$6:$C$4395,2,0),"")</f>
        <v>3.8497</v>
      </c>
      <c r="I2258">
        <f>IFERROR(VLOOKUP($A2258,原始数据_利率互换_FR007_1年!$A$6:$C$4395,3,0),"")</f>
        <v>4.324</v>
      </c>
    </row>
    <row r="2259" spans="1:9">
      <c r="A2259" s="6">
        <v>41752</v>
      </c>
      <c r="B2259">
        <f>IFERROR(VLOOKUP($A2259,原始数据_收盘!$A$4:$G$3460,2,0),"")</f>
        <v>3.7286</v>
      </c>
      <c r="C2259">
        <f>IFERROR(VLOOKUP($A2259,原始数据_收盘!$A$4:$G$3460,3,0),"")</f>
        <v>4.2288</v>
      </c>
      <c r="D2259">
        <f>IFERROR(VLOOKUP($A2259,原始数据_收盘!$A$4:$G$3460,4,0),"")</f>
        <v>3.793</v>
      </c>
      <c r="E2259">
        <f>IFERROR(VLOOKUP($A2259,原始数据_收盘!$A$4:$G$3460,5,0),"")</f>
        <v>4.2924</v>
      </c>
      <c r="F2259">
        <f>IFERROR(VLOOKUP($A2259,原始数据_收盘!$A$4:$G$3460,6,0),"")</f>
        <v>3.7608</v>
      </c>
      <c r="G2259">
        <f>IFERROR(VLOOKUP($A2259,原始数据_收盘!$A$4:$G$3460,7,0),"")</f>
        <v>4.2606</v>
      </c>
      <c r="H2259">
        <f>IFERROR(VLOOKUP($A2259,原始数据_利率互换_FR007_1年!$A$6:$C$4395,2,0),"")</f>
        <v>3.7728</v>
      </c>
      <c r="I2259">
        <f>IFERROR(VLOOKUP($A2259,原始数据_利率互换_FR007_1年!$A$6:$C$4395,3,0),"")</f>
        <v>4.2585</v>
      </c>
    </row>
    <row r="2260" spans="1:9">
      <c r="A2260" s="6">
        <v>41753</v>
      </c>
      <c r="B2260">
        <f>IFERROR(VLOOKUP($A2260,原始数据_收盘!$A$4:$G$3460,2,0),"")</f>
        <v>3.7733</v>
      </c>
      <c r="C2260">
        <f>IFERROR(VLOOKUP($A2260,原始数据_收盘!$A$4:$G$3460,3,0),"")</f>
        <v>4.2426</v>
      </c>
      <c r="D2260">
        <f>IFERROR(VLOOKUP($A2260,原始数据_收盘!$A$4:$G$3460,4,0),"")</f>
        <v>3.8291</v>
      </c>
      <c r="E2260">
        <f>IFERROR(VLOOKUP($A2260,原始数据_收盘!$A$4:$G$3460,5,0),"")</f>
        <v>4.2983</v>
      </c>
      <c r="F2260">
        <f>IFERROR(VLOOKUP($A2260,原始数据_收盘!$A$4:$G$3460,6,0),"")</f>
        <v>3.8012</v>
      </c>
      <c r="G2260">
        <f>IFERROR(VLOOKUP($A2260,原始数据_收盘!$A$4:$G$3460,7,0),"")</f>
        <v>4.2705</v>
      </c>
      <c r="H2260">
        <f>IFERROR(VLOOKUP($A2260,原始数据_利率互换_FR007_1年!$A$6:$C$4395,2,0),"")</f>
        <v>3.7917</v>
      </c>
      <c r="I2260">
        <f>IFERROR(VLOOKUP($A2260,原始数据_利率互换_FR007_1年!$A$6:$C$4395,3,0),"")</f>
        <v>4.253</v>
      </c>
    </row>
    <row r="2261" spans="1:9">
      <c r="A2261" s="6">
        <v>41754</v>
      </c>
      <c r="B2261">
        <f>IFERROR(VLOOKUP($A2261,原始数据_收盘!$A$4:$G$3460,2,0),"")</f>
        <v>3.7646</v>
      </c>
      <c r="C2261">
        <f>IFERROR(VLOOKUP($A2261,原始数据_收盘!$A$4:$G$3460,3,0),"")</f>
        <v>4.2114</v>
      </c>
      <c r="D2261">
        <f>IFERROR(VLOOKUP($A2261,原始数据_收盘!$A$4:$G$3460,4,0),"")</f>
        <v>3.8257</v>
      </c>
      <c r="E2261">
        <f>IFERROR(VLOOKUP($A2261,原始数据_收盘!$A$4:$G$3460,5,0),"")</f>
        <v>4.2757</v>
      </c>
      <c r="F2261">
        <f>IFERROR(VLOOKUP($A2261,原始数据_收盘!$A$4:$G$3460,6,0),"")</f>
        <v>3.7951</v>
      </c>
      <c r="G2261">
        <f>IFERROR(VLOOKUP($A2261,原始数据_收盘!$A$4:$G$3460,7,0),"")</f>
        <v>4.2436</v>
      </c>
      <c r="H2261">
        <f>IFERROR(VLOOKUP($A2261,原始数据_利率互换_FR007_1年!$A$6:$C$4395,2,0),"")</f>
        <v>3.8436</v>
      </c>
      <c r="I2261">
        <f>IFERROR(VLOOKUP($A2261,原始数据_利率互换_FR007_1年!$A$6:$C$4395,3,0),"")</f>
        <v>4.2541</v>
      </c>
    </row>
    <row r="2262" spans="1:9">
      <c r="A2262" s="6">
        <v>41755</v>
      </c>
      <c r="B2262" t="str">
        <f>IFERROR(VLOOKUP($A2262,原始数据_收盘!$A$4:$G$3460,2,0),"")</f>
        <v/>
      </c>
      <c r="C2262" t="str">
        <f>IFERROR(VLOOKUP($A2262,原始数据_收盘!$A$4:$G$3460,3,0),"")</f>
        <v/>
      </c>
      <c r="D2262" t="str">
        <f>IFERROR(VLOOKUP($A2262,原始数据_收盘!$A$4:$G$3460,4,0),"")</f>
        <v/>
      </c>
      <c r="E2262" t="str">
        <f>IFERROR(VLOOKUP($A2262,原始数据_收盘!$A$4:$G$3460,5,0),"")</f>
        <v/>
      </c>
      <c r="F2262" t="str">
        <f>IFERROR(VLOOKUP($A2262,原始数据_收盘!$A$4:$G$3460,6,0),"")</f>
        <v/>
      </c>
      <c r="G2262" t="str">
        <f>IFERROR(VLOOKUP($A2262,原始数据_收盘!$A$4:$G$3460,7,0),"")</f>
        <v/>
      </c>
      <c r="H2262" t="str">
        <f>IFERROR(VLOOKUP($A2262,原始数据_利率互换_FR007_1年!$A$6:$C$4395,2,0),"")</f>
        <v/>
      </c>
      <c r="I2262" t="str">
        <f>IFERROR(VLOOKUP($A2262,原始数据_利率互换_FR007_1年!$A$6:$C$4395,3,0),"")</f>
        <v/>
      </c>
    </row>
    <row r="2263" spans="1:9">
      <c r="A2263" s="6">
        <v>41756</v>
      </c>
      <c r="B2263" t="str">
        <f>IFERROR(VLOOKUP($A2263,原始数据_收盘!$A$4:$G$3460,2,0),"")</f>
        <v/>
      </c>
      <c r="C2263" t="str">
        <f>IFERROR(VLOOKUP($A2263,原始数据_收盘!$A$4:$G$3460,3,0),"")</f>
        <v/>
      </c>
      <c r="D2263" t="str">
        <f>IFERROR(VLOOKUP($A2263,原始数据_收盘!$A$4:$G$3460,4,0),"")</f>
        <v/>
      </c>
      <c r="E2263" t="str">
        <f>IFERROR(VLOOKUP($A2263,原始数据_收盘!$A$4:$G$3460,5,0),"")</f>
        <v/>
      </c>
      <c r="F2263" t="str">
        <f>IFERROR(VLOOKUP($A2263,原始数据_收盘!$A$4:$G$3460,6,0),"")</f>
        <v/>
      </c>
      <c r="G2263" t="str">
        <f>IFERROR(VLOOKUP($A2263,原始数据_收盘!$A$4:$G$3460,7,0),"")</f>
        <v/>
      </c>
      <c r="H2263" t="str">
        <f>IFERROR(VLOOKUP($A2263,原始数据_利率互换_FR007_1年!$A$6:$C$4395,2,0),"")</f>
        <v/>
      </c>
      <c r="I2263" t="str">
        <f>IFERROR(VLOOKUP($A2263,原始数据_利率互换_FR007_1年!$A$6:$C$4395,3,0),"")</f>
        <v/>
      </c>
    </row>
    <row r="2264" spans="1:9">
      <c r="A2264" s="6">
        <v>41757</v>
      </c>
      <c r="B2264">
        <f>IFERROR(VLOOKUP($A2264,原始数据_收盘!$A$4:$G$3460,2,0),"")</f>
        <v>3.796</v>
      </c>
      <c r="C2264">
        <f>IFERROR(VLOOKUP($A2264,原始数据_收盘!$A$4:$G$3460,3,0),"")</f>
        <v>4.2243</v>
      </c>
      <c r="D2264">
        <f>IFERROR(VLOOKUP($A2264,原始数据_收盘!$A$4:$G$3460,4,0),"")</f>
        <v>3.8588</v>
      </c>
      <c r="E2264">
        <f>IFERROR(VLOOKUP($A2264,原始数据_收盘!$A$4:$G$3460,5,0),"")</f>
        <v>4.2892</v>
      </c>
      <c r="F2264">
        <f>IFERROR(VLOOKUP($A2264,原始数据_收盘!$A$4:$G$3460,6,0),"")</f>
        <v>3.8274</v>
      </c>
      <c r="G2264">
        <f>IFERROR(VLOOKUP($A2264,原始数据_收盘!$A$4:$G$3460,7,0),"")</f>
        <v>4.2567</v>
      </c>
      <c r="H2264">
        <f>IFERROR(VLOOKUP($A2264,原始数据_利率互换_FR007_1年!$A$6:$C$4395,2,0),"")</f>
        <v>3.8231</v>
      </c>
      <c r="I2264">
        <f>IFERROR(VLOOKUP($A2264,原始数据_利率互换_FR007_1年!$A$6:$C$4395,3,0),"")</f>
        <v>4.2265</v>
      </c>
    </row>
    <row r="2265" spans="1:9">
      <c r="A2265" s="6">
        <v>41758</v>
      </c>
      <c r="B2265">
        <f>IFERROR(VLOOKUP($A2265,原始数据_收盘!$A$4:$G$3460,2,0),"")</f>
        <v>3.7686</v>
      </c>
      <c r="C2265">
        <f>IFERROR(VLOOKUP($A2265,原始数据_收盘!$A$4:$G$3460,3,0),"")</f>
        <v>4.1808</v>
      </c>
      <c r="D2265">
        <f>IFERROR(VLOOKUP($A2265,原始数据_收盘!$A$4:$G$3460,4,0),"")</f>
        <v>3.8342</v>
      </c>
      <c r="E2265">
        <f>IFERROR(VLOOKUP($A2265,原始数据_收盘!$A$4:$G$3460,5,0),"")</f>
        <v>4.2431</v>
      </c>
      <c r="F2265">
        <f>IFERROR(VLOOKUP($A2265,原始数据_收盘!$A$4:$G$3460,6,0),"")</f>
        <v>3.8014</v>
      </c>
      <c r="G2265">
        <f>IFERROR(VLOOKUP($A2265,原始数据_收盘!$A$4:$G$3460,7,0),"")</f>
        <v>4.2119</v>
      </c>
      <c r="H2265">
        <f>IFERROR(VLOOKUP($A2265,原始数据_利率互换_FR007_1年!$A$6:$C$4395,2,0),"")</f>
        <v>3.8127</v>
      </c>
      <c r="I2265">
        <f>IFERROR(VLOOKUP($A2265,原始数据_利率互换_FR007_1年!$A$6:$C$4395,3,0),"")</f>
        <v>4.2158</v>
      </c>
    </row>
    <row r="2266" spans="1:9">
      <c r="A2266" s="6">
        <v>41759</v>
      </c>
      <c r="B2266">
        <f>IFERROR(VLOOKUP($A2266,原始数据_收盘!$A$4:$G$3460,2,0),"")</f>
        <v>3.747</v>
      </c>
      <c r="C2266">
        <f>IFERROR(VLOOKUP($A2266,原始数据_收盘!$A$4:$G$3460,3,0),"")</f>
        <v>4.1087</v>
      </c>
      <c r="D2266">
        <f>IFERROR(VLOOKUP($A2266,原始数据_收盘!$A$4:$G$3460,4,0),"")</f>
        <v>3.8076</v>
      </c>
      <c r="E2266">
        <f>IFERROR(VLOOKUP($A2266,原始数据_收盘!$A$4:$G$3460,5,0),"")</f>
        <v>4.1755</v>
      </c>
      <c r="F2266">
        <f>IFERROR(VLOOKUP($A2266,原始数据_收盘!$A$4:$G$3460,6,0),"")</f>
        <v>3.7773</v>
      </c>
      <c r="G2266">
        <f>IFERROR(VLOOKUP($A2266,原始数据_收盘!$A$4:$G$3460,7,0),"")</f>
        <v>4.1421</v>
      </c>
      <c r="H2266">
        <f>IFERROR(VLOOKUP($A2266,原始数据_利率互换_FR007_1年!$A$6:$C$4395,2,0),"")</f>
        <v>3.7859</v>
      </c>
      <c r="I2266">
        <f>IFERROR(VLOOKUP($A2266,原始数据_利率互换_FR007_1年!$A$6:$C$4395,3,0),"")</f>
        <v>4.1754</v>
      </c>
    </row>
    <row r="2267" spans="1:9">
      <c r="A2267" s="6">
        <v>41760</v>
      </c>
      <c r="B2267" t="str">
        <f>IFERROR(VLOOKUP($A2267,原始数据_收盘!$A$4:$G$3460,2,0),"")</f>
        <v/>
      </c>
      <c r="C2267" t="str">
        <f>IFERROR(VLOOKUP($A2267,原始数据_收盘!$A$4:$G$3460,3,0),"")</f>
        <v/>
      </c>
      <c r="D2267" t="str">
        <f>IFERROR(VLOOKUP($A2267,原始数据_收盘!$A$4:$G$3460,4,0),"")</f>
        <v/>
      </c>
      <c r="E2267" t="str">
        <f>IFERROR(VLOOKUP($A2267,原始数据_收盘!$A$4:$G$3460,5,0),"")</f>
        <v/>
      </c>
      <c r="F2267" t="str">
        <f>IFERROR(VLOOKUP($A2267,原始数据_收盘!$A$4:$G$3460,6,0),"")</f>
        <v/>
      </c>
      <c r="G2267" t="str">
        <f>IFERROR(VLOOKUP($A2267,原始数据_收盘!$A$4:$G$3460,7,0),"")</f>
        <v/>
      </c>
      <c r="H2267" t="str">
        <f>IFERROR(VLOOKUP($A2267,原始数据_利率互换_FR007_1年!$A$6:$C$4395,2,0),"")</f>
        <v/>
      </c>
      <c r="I2267" t="str">
        <f>IFERROR(VLOOKUP($A2267,原始数据_利率互换_FR007_1年!$A$6:$C$4395,3,0),"")</f>
        <v/>
      </c>
    </row>
    <row r="2268" spans="1:9">
      <c r="A2268" s="6">
        <v>41761</v>
      </c>
      <c r="B2268" t="str">
        <f>IFERROR(VLOOKUP($A2268,原始数据_收盘!$A$4:$G$3460,2,0),"")</f>
        <v/>
      </c>
      <c r="C2268" t="str">
        <f>IFERROR(VLOOKUP($A2268,原始数据_收盘!$A$4:$G$3460,3,0),"")</f>
        <v/>
      </c>
      <c r="D2268" t="str">
        <f>IFERROR(VLOOKUP($A2268,原始数据_收盘!$A$4:$G$3460,4,0),"")</f>
        <v/>
      </c>
      <c r="E2268" t="str">
        <f>IFERROR(VLOOKUP($A2268,原始数据_收盘!$A$4:$G$3460,5,0),"")</f>
        <v/>
      </c>
      <c r="F2268" t="str">
        <f>IFERROR(VLOOKUP($A2268,原始数据_收盘!$A$4:$G$3460,6,0),"")</f>
        <v/>
      </c>
      <c r="G2268" t="str">
        <f>IFERROR(VLOOKUP($A2268,原始数据_收盘!$A$4:$G$3460,7,0),"")</f>
        <v/>
      </c>
      <c r="H2268" t="str">
        <f>IFERROR(VLOOKUP($A2268,原始数据_利率互换_FR007_1年!$A$6:$C$4395,2,0),"")</f>
        <v/>
      </c>
      <c r="I2268" t="str">
        <f>IFERROR(VLOOKUP($A2268,原始数据_利率互换_FR007_1年!$A$6:$C$4395,3,0),"")</f>
        <v/>
      </c>
    </row>
    <row r="2269" spans="1:9">
      <c r="A2269" s="6">
        <v>41762</v>
      </c>
      <c r="B2269" t="str">
        <f>IFERROR(VLOOKUP($A2269,原始数据_收盘!$A$4:$G$3460,2,0),"")</f>
        <v/>
      </c>
      <c r="C2269" t="str">
        <f>IFERROR(VLOOKUP($A2269,原始数据_收盘!$A$4:$G$3460,3,0),"")</f>
        <v/>
      </c>
      <c r="D2269" t="str">
        <f>IFERROR(VLOOKUP($A2269,原始数据_收盘!$A$4:$G$3460,4,0),"")</f>
        <v/>
      </c>
      <c r="E2269" t="str">
        <f>IFERROR(VLOOKUP($A2269,原始数据_收盘!$A$4:$G$3460,5,0),"")</f>
        <v/>
      </c>
      <c r="F2269" t="str">
        <f>IFERROR(VLOOKUP($A2269,原始数据_收盘!$A$4:$G$3460,6,0),"")</f>
        <v/>
      </c>
      <c r="G2269" t="str">
        <f>IFERROR(VLOOKUP($A2269,原始数据_收盘!$A$4:$G$3460,7,0),"")</f>
        <v/>
      </c>
      <c r="H2269" t="str">
        <f>IFERROR(VLOOKUP($A2269,原始数据_利率互换_FR007_1年!$A$6:$C$4395,2,0),"")</f>
        <v/>
      </c>
      <c r="I2269" t="str">
        <f>IFERROR(VLOOKUP($A2269,原始数据_利率互换_FR007_1年!$A$6:$C$4395,3,0),"")</f>
        <v/>
      </c>
    </row>
    <row r="2270" spans="1:9">
      <c r="A2270" s="6">
        <v>41763</v>
      </c>
      <c r="B2270">
        <f>IFERROR(VLOOKUP($A2270,原始数据_收盘!$A$4:$G$3460,2,0),"")</f>
        <v>3.72</v>
      </c>
      <c r="C2270">
        <f>IFERROR(VLOOKUP($A2270,原始数据_收盘!$A$4:$G$3460,3,0),"")</f>
        <v>4.0845</v>
      </c>
      <c r="D2270">
        <f>IFERROR(VLOOKUP($A2270,原始数据_收盘!$A$4:$G$3460,4,0),"")</f>
        <v>3.7892</v>
      </c>
      <c r="E2270">
        <f>IFERROR(VLOOKUP($A2270,原始数据_收盘!$A$4:$G$3460,5,0),"")</f>
        <v>4.1548</v>
      </c>
      <c r="F2270">
        <f>IFERROR(VLOOKUP($A2270,原始数据_收盘!$A$4:$G$3460,6,0),"")</f>
        <v>3.7546</v>
      </c>
      <c r="G2270">
        <f>IFERROR(VLOOKUP($A2270,原始数据_收盘!$A$4:$G$3460,7,0),"")</f>
        <v>4.1196</v>
      </c>
      <c r="H2270">
        <f>IFERROR(VLOOKUP($A2270,原始数据_利率互换_FR007_1年!$A$6:$C$4395,2,0),"")</f>
        <v>3.7496</v>
      </c>
      <c r="I2270">
        <f>IFERROR(VLOOKUP($A2270,原始数据_利率互换_FR007_1年!$A$6:$C$4395,3,0),"")</f>
        <v>4.1067</v>
      </c>
    </row>
    <row r="2271" spans="1:9">
      <c r="A2271" s="6">
        <v>41764</v>
      </c>
      <c r="B2271">
        <f>IFERROR(VLOOKUP($A2271,原始数据_收盘!$A$4:$G$3460,2,0),"")</f>
        <v>3.6118</v>
      </c>
      <c r="C2271">
        <f>IFERROR(VLOOKUP($A2271,原始数据_收盘!$A$4:$G$3460,3,0),"")</f>
        <v>3.9857</v>
      </c>
      <c r="D2271">
        <f>IFERROR(VLOOKUP($A2271,原始数据_收盘!$A$4:$G$3460,4,0),"")</f>
        <v>3.6755</v>
      </c>
      <c r="E2271">
        <f>IFERROR(VLOOKUP($A2271,原始数据_收盘!$A$4:$G$3460,5,0),"")</f>
        <v>4.0541</v>
      </c>
      <c r="F2271">
        <f>IFERROR(VLOOKUP($A2271,原始数据_收盘!$A$4:$G$3460,6,0),"")</f>
        <v>3.6436</v>
      </c>
      <c r="G2271">
        <f>IFERROR(VLOOKUP($A2271,原始数据_收盘!$A$4:$G$3460,7,0),"")</f>
        <v>4.0199</v>
      </c>
      <c r="H2271">
        <f>IFERROR(VLOOKUP($A2271,原始数据_利率互换_FR007_1年!$A$6:$C$4395,2,0),"")</f>
        <v>3.6661</v>
      </c>
      <c r="I2271">
        <f>IFERROR(VLOOKUP($A2271,原始数据_利率互换_FR007_1年!$A$6:$C$4395,3,0),"")</f>
        <v>4.042</v>
      </c>
    </row>
    <row r="2272" spans="1:9">
      <c r="A2272" s="6">
        <v>41765</v>
      </c>
      <c r="B2272">
        <f>IFERROR(VLOOKUP($A2272,原始数据_收盘!$A$4:$G$3460,2,0),"")</f>
        <v>3.614</v>
      </c>
      <c r="C2272">
        <f>IFERROR(VLOOKUP($A2272,原始数据_收盘!$A$4:$G$3460,3,0),"")</f>
        <v>3.9782</v>
      </c>
      <c r="D2272">
        <f>IFERROR(VLOOKUP($A2272,原始数据_收盘!$A$4:$G$3460,4,0),"")</f>
        <v>3.6745</v>
      </c>
      <c r="E2272">
        <f>IFERROR(VLOOKUP($A2272,原始数据_收盘!$A$4:$G$3460,5,0),"")</f>
        <v>4.0449</v>
      </c>
      <c r="F2272">
        <f>IFERROR(VLOOKUP($A2272,原始数据_收盘!$A$4:$G$3460,6,0),"")</f>
        <v>3.6443</v>
      </c>
      <c r="G2272">
        <f>IFERROR(VLOOKUP($A2272,原始数据_收盘!$A$4:$G$3460,7,0),"")</f>
        <v>4.0115</v>
      </c>
      <c r="H2272">
        <f>IFERROR(VLOOKUP($A2272,原始数据_利率互换_FR007_1年!$A$6:$C$4395,2,0),"")</f>
        <v>3.628</v>
      </c>
      <c r="I2272">
        <f>IFERROR(VLOOKUP($A2272,原始数据_利率互换_FR007_1年!$A$6:$C$4395,3,0),"")</f>
        <v>3.9992</v>
      </c>
    </row>
    <row r="2273" spans="1:9">
      <c r="A2273" s="6">
        <v>41766</v>
      </c>
      <c r="B2273">
        <f>IFERROR(VLOOKUP($A2273,原始数据_收盘!$A$4:$G$3460,2,0),"")</f>
        <v>3.6501</v>
      </c>
      <c r="C2273">
        <f>IFERROR(VLOOKUP($A2273,原始数据_收盘!$A$4:$G$3460,3,0),"")</f>
        <v>4.0232</v>
      </c>
      <c r="D2273">
        <f>IFERROR(VLOOKUP($A2273,原始数据_收盘!$A$4:$G$3460,4,0),"")</f>
        <v>3.7176</v>
      </c>
      <c r="E2273">
        <f>IFERROR(VLOOKUP($A2273,原始数据_收盘!$A$4:$G$3460,5,0),"")</f>
        <v>4.0926</v>
      </c>
      <c r="F2273">
        <f>IFERROR(VLOOKUP($A2273,原始数据_收盘!$A$4:$G$3460,6,0),"")</f>
        <v>3.6839</v>
      </c>
      <c r="G2273">
        <f>IFERROR(VLOOKUP($A2273,原始数据_收盘!$A$4:$G$3460,7,0),"")</f>
        <v>4.0579</v>
      </c>
      <c r="H2273">
        <f>IFERROR(VLOOKUP($A2273,原始数据_利率互换_FR007_1年!$A$6:$C$4395,2,0),"")</f>
        <v>3.6641</v>
      </c>
      <c r="I2273">
        <f>IFERROR(VLOOKUP($A2273,原始数据_利率互换_FR007_1年!$A$6:$C$4395,3,0),"")</f>
        <v>4.03</v>
      </c>
    </row>
    <row r="2274" spans="1:9">
      <c r="A2274" s="6">
        <v>41767</v>
      </c>
      <c r="B2274">
        <f>IFERROR(VLOOKUP($A2274,原始数据_收盘!$A$4:$G$3460,2,0),"")</f>
        <v>3.6257</v>
      </c>
      <c r="C2274">
        <f>IFERROR(VLOOKUP($A2274,原始数据_收盘!$A$4:$G$3460,3,0),"")</f>
        <v>3.9718</v>
      </c>
      <c r="D2274">
        <f>IFERROR(VLOOKUP($A2274,原始数据_收盘!$A$4:$G$3460,4,0),"")</f>
        <v>3.6921</v>
      </c>
      <c r="E2274">
        <f>IFERROR(VLOOKUP($A2274,原始数据_收盘!$A$4:$G$3460,5,0),"")</f>
        <v>4.0425</v>
      </c>
      <c r="F2274">
        <f>IFERROR(VLOOKUP($A2274,原始数据_收盘!$A$4:$G$3460,6,0),"")</f>
        <v>3.6589</v>
      </c>
      <c r="G2274">
        <f>IFERROR(VLOOKUP($A2274,原始数据_收盘!$A$4:$G$3460,7,0),"")</f>
        <v>4.0071</v>
      </c>
      <c r="H2274">
        <f>IFERROR(VLOOKUP($A2274,原始数据_利率互换_FR007_1年!$A$6:$C$4395,2,0),"")</f>
        <v>3.6573</v>
      </c>
      <c r="I2274">
        <f>IFERROR(VLOOKUP($A2274,原始数据_利率互换_FR007_1年!$A$6:$C$4395,3,0),"")</f>
        <v>4.0175</v>
      </c>
    </row>
    <row r="2275" spans="1:9">
      <c r="A2275" s="6">
        <v>41768</v>
      </c>
      <c r="B2275">
        <f>IFERROR(VLOOKUP($A2275,原始数据_收盘!$A$4:$G$3460,2,0),"")</f>
        <v>3.6073</v>
      </c>
      <c r="C2275">
        <f>IFERROR(VLOOKUP($A2275,原始数据_收盘!$A$4:$G$3460,3,0),"")</f>
        <v>3.8978</v>
      </c>
      <c r="D2275">
        <f>IFERROR(VLOOKUP($A2275,原始数据_收盘!$A$4:$G$3460,4,0),"")</f>
        <v>3.6736</v>
      </c>
      <c r="E2275">
        <f>IFERROR(VLOOKUP($A2275,原始数据_收盘!$A$4:$G$3460,5,0),"")</f>
        <v>3.9629</v>
      </c>
      <c r="F2275">
        <f>IFERROR(VLOOKUP($A2275,原始数据_收盘!$A$4:$G$3460,6,0),"")</f>
        <v>3.6404</v>
      </c>
      <c r="G2275">
        <f>IFERROR(VLOOKUP($A2275,原始数据_收盘!$A$4:$G$3460,7,0),"")</f>
        <v>3.9304</v>
      </c>
      <c r="H2275">
        <f>IFERROR(VLOOKUP($A2275,原始数据_利率互换_FR007_1年!$A$6:$C$4395,2,0),"")</f>
        <v>3.6473</v>
      </c>
      <c r="I2275">
        <f>IFERROR(VLOOKUP($A2275,原始数据_利率互换_FR007_1年!$A$6:$C$4395,3,0),"")</f>
        <v>3.9387</v>
      </c>
    </row>
    <row r="2276" spans="1:9">
      <c r="A2276" s="6">
        <v>41769</v>
      </c>
      <c r="B2276" t="str">
        <f>IFERROR(VLOOKUP($A2276,原始数据_收盘!$A$4:$G$3460,2,0),"")</f>
        <v/>
      </c>
      <c r="C2276" t="str">
        <f>IFERROR(VLOOKUP($A2276,原始数据_收盘!$A$4:$G$3460,3,0),"")</f>
        <v/>
      </c>
      <c r="D2276" t="str">
        <f>IFERROR(VLOOKUP($A2276,原始数据_收盘!$A$4:$G$3460,4,0),"")</f>
        <v/>
      </c>
      <c r="E2276" t="str">
        <f>IFERROR(VLOOKUP($A2276,原始数据_收盘!$A$4:$G$3460,5,0),"")</f>
        <v/>
      </c>
      <c r="F2276" t="str">
        <f>IFERROR(VLOOKUP($A2276,原始数据_收盘!$A$4:$G$3460,6,0),"")</f>
        <v/>
      </c>
      <c r="G2276" t="str">
        <f>IFERROR(VLOOKUP($A2276,原始数据_收盘!$A$4:$G$3460,7,0),"")</f>
        <v/>
      </c>
      <c r="H2276" t="str">
        <f>IFERROR(VLOOKUP($A2276,原始数据_利率互换_FR007_1年!$A$6:$C$4395,2,0),"")</f>
        <v/>
      </c>
      <c r="I2276" t="str">
        <f>IFERROR(VLOOKUP($A2276,原始数据_利率互换_FR007_1年!$A$6:$C$4395,3,0),"")</f>
        <v/>
      </c>
    </row>
    <row r="2277" spans="1:9">
      <c r="A2277" s="6">
        <v>41770</v>
      </c>
      <c r="B2277" t="str">
        <f>IFERROR(VLOOKUP($A2277,原始数据_收盘!$A$4:$G$3460,2,0),"")</f>
        <v/>
      </c>
      <c r="C2277" t="str">
        <f>IFERROR(VLOOKUP($A2277,原始数据_收盘!$A$4:$G$3460,3,0),"")</f>
        <v/>
      </c>
      <c r="D2277" t="str">
        <f>IFERROR(VLOOKUP($A2277,原始数据_收盘!$A$4:$G$3460,4,0),"")</f>
        <v/>
      </c>
      <c r="E2277" t="str">
        <f>IFERROR(VLOOKUP($A2277,原始数据_收盘!$A$4:$G$3460,5,0),"")</f>
        <v/>
      </c>
      <c r="F2277" t="str">
        <f>IFERROR(VLOOKUP($A2277,原始数据_收盘!$A$4:$G$3460,6,0),"")</f>
        <v/>
      </c>
      <c r="G2277" t="str">
        <f>IFERROR(VLOOKUP($A2277,原始数据_收盘!$A$4:$G$3460,7,0),"")</f>
        <v/>
      </c>
      <c r="H2277" t="str">
        <f>IFERROR(VLOOKUP($A2277,原始数据_利率互换_FR007_1年!$A$6:$C$4395,2,0),"")</f>
        <v/>
      </c>
      <c r="I2277" t="str">
        <f>IFERROR(VLOOKUP($A2277,原始数据_利率互换_FR007_1年!$A$6:$C$4395,3,0),"")</f>
        <v/>
      </c>
    </row>
    <row r="2278" spans="1:9">
      <c r="A2278" s="6">
        <v>41771</v>
      </c>
      <c r="B2278">
        <f>IFERROR(VLOOKUP($A2278,原始数据_收盘!$A$4:$G$3460,2,0),"")</f>
        <v>3.637</v>
      </c>
      <c r="C2278">
        <f>IFERROR(VLOOKUP($A2278,原始数据_收盘!$A$4:$G$3460,3,0),"")</f>
        <v>3.9475</v>
      </c>
      <c r="D2278">
        <f>IFERROR(VLOOKUP($A2278,原始数据_收盘!$A$4:$G$3460,4,0),"")</f>
        <v>3.7013</v>
      </c>
      <c r="E2278">
        <f>IFERROR(VLOOKUP($A2278,原始数据_收盘!$A$4:$G$3460,5,0),"")</f>
        <v>4.0163</v>
      </c>
      <c r="F2278">
        <f>IFERROR(VLOOKUP($A2278,原始数据_收盘!$A$4:$G$3460,6,0),"")</f>
        <v>3.6692</v>
      </c>
      <c r="G2278">
        <f>IFERROR(VLOOKUP($A2278,原始数据_收盘!$A$4:$G$3460,7,0),"")</f>
        <v>3.9819</v>
      </c>
      <c r="H2278">
        <f>IFERROR(VLOOKUP($A2278,原始数据_利率互换_FR007_1年!$A$6:$C$4395,2,0),"")</f>
        <v>3.6795</v>
      </c>
      <c r="I2278">
        <f>IFERROR(VLOOKUP($A2278,原始数据_利率互换_FR007_1年!$A$6:$C$4395,3,0),"")</f>
        <v>3.99</v>
      </c>
    </row>
    <row r="2279" spans="1:9">
      <c r="A2279" s="6">
        <v>41772</v>
      </c>
      <c r="B2279">
        <f>IFERROR(VLOOKUP($A2279,原始数据_收盘!$A$4:$G$3460,2,0),"")</f>
        <v>3.6529</v>
      </c>
      <c r="C2279">
        <f>IFERROR(VLOOKUP($A2279,原始数据_收盘!$A$4:$G$3460,3,0),"")</f>
        <v>4.0035</v>
      </c>
      <c r="D2279">
        <f>IFERROR(VLOOKUP($A2279,原始数据_收盘!$A$4:$G$3460,4,0),"")</f>
        <v>3.7219</v>
      </c>
      <c r="E2279">
        <f>IFERROR(VLOOKUP($A2279,原始数据_收盘!$A$4:$G$3460,5,0),"")</f>
        <v>4.0753</v>
      </c>
      <c r="F2279">
        <f>IFERROR(VLOOKUP($A2279,原始数据_收盘!$A$4:$G$3460,6,0),"")</f>
        <v>3.6874</v>
      </c>
      <c r="G2279">
        <f>IFERROR(VLOOKUP($A2279,原始数据_收盘!$A$4:$G$3460,7,0),"")</f>
        <v>4.0394</v>
      </c>
      <c r="H2279">
        <f>IFERROR(VLOOKUP($A2279,原始数据_利率互换_FR007_1年!$A$6:$C$4395,2,0),"")</f>
        <v>3.6752</v>
      </c>
      <c r="I2279">
        <f>IFERROR(VLOOKUP($A2279,原始数据_利率互换_FR007_1年!$A$6:$C$4395,3,0),"")</f>
        <v>4.0235</v>
      </c>
    </row>
    <row r="2280" spans="1:9">
      <c r="A2280" s="6">
        <v>41773</v>
      </c>
      <c r="B2280">
        <f>IFERROR(VLOOKUP($A2280,原始数据_收盘!$A$4:$G$3460,2,0),"")</f>
        <v>3.7185</v>
      </c>
      <c r="C2280">
        <f>IFERROR(VLOOKUP($A2280,原始数据_收盘!$A$4:$G$3460,3,0),"")</f>
        <v>4.0986</v>
      </c>
      <c r="D2280">
        <f>IFERROR(VLOOKUP($A2280,原始数据_收盘!$A$4:$G$3460,4,0),"")</f>
        <v>3.7824</v>
      </c>
      <c r="E2280">
        <f>IFERROR(VLOOKUP($A2280,原始数据_收盘!$A$4:$G$3460,5,0),"")</f>
        <v>4.1576</v>
      </c>
      <c r="F2280">
        <f>IFERROR(VLOOKUP($A2280,原始数据_收盘!$A$4:$G$3460,6,0),"")</f>
        <v>3.7504</v>
      </c>
      <c r="G2280">
        <f>IFERROR(VLOOKUP($A2280,原始数据_收盘!$A$4:$G$3460,7,0),"")</f>
        <v>4.1281</v>
      </c>
      <c r="H2280">
        <f>IFERROR(VLOOKUP($A2280,原始数据_利率互换_FR007_1年!$A$6:$C$4395,2,0),"")</f>
        <v>3.7279</v>
      </c>
      <c r="I2280">
        <f>IFERROR(VLOOKUP($A2280,原始数据_利率互换_FR007_1年!$A$6:$C$4395,3,0),"")</f>
        <v>4.1107</v>
      </c>
    </row>
    <row r="2281" spans="1:9">
      <c r="A2281" s="6">
        <v>41774</v>
      </c>
      <c r="B2281">
        <f>IFERROR(VLOOKUP($A2281,原始数据_收盘!$A$4:$G$3460,2,0),"")</f>
        <v>3.7104</v>
      </c>
      <c r="C2281">
        <f>IFERROR(VLOOKUP($A2281,原始数据_收盘!$A$4:$G$3460,3,0),"")</f>
        <v>4.0855</v>
      </c>
      <c r="D2281">
        <f>IFERROR(VLOOKUP($A2281,原始数据_收盘!$A$4:$G$3460,4,0),"")</f>
        <v>3.7775</v>
      </c>
      <c r="E2281">
        <f>IFERROR(VLOOKUP($A2281,原始数据_收盘!$A$4:$G$3460,5,0),"")</f>
        <v>4.1518</v>
      </c>
      <c r="F2281">
        <f>IFERROR(VLOOKUP($A2281,原始数据_收盘!$A$4:$G$3460,6,0),"")</f>
        <v>3.7439</v>
      </c>
      <c r="G2281">
        <f>IFERROR(VLOOKUP($A2281,原始数据_收盘!$A$4:$G$3460,7,0),"")</f>
        <v>4.1186</v>
      </c>
      <c r="H2281">
        <f>IFERROR(VLOOKUP($A2281,原始数据_利率互换_FR007_1年!$A$6:$C$4395,2,0),"")</f>
        <v>3.7519</v>
      </c>
      <c r="I2281">
        <f>IFERROR(VLOOKUP($A2281,原始数据_利率互换_FR007_1年!$A$6:$C$4395,3,0),"")</f>
        <v>4.1227</v>
      </c>
    </row>
    <row r="2282" spans="1:9">
      <c r="A2282" s="6">
        <v>41775</v>
      </c>
      <c r="B2282">
        <f>IFERROR(VLOOKUP($A2282,原始数据_收盘!$A$4:$G$3460,2,0),"")</f>
        <v>3.6994</v>
      </c>
      <c r="C2282">
        <f>IFERROR(VLOOKUP($A2282,原始数据_收盘!$A$4:$G$3460,3,0),"")</f>
        <v>4.0616</v>
      </c>
      <c r="D2282">
        <f>IFERROR(VLOOKUP($A2282,原始数据_收盘!$A$4:$G$3460,4,0),"")</f>
        <v>3.7617</v>
      </c>
      <c r="E2282">
        <f>IFERROR(VLOOKUP($A2282,原始数据_收盘!$A$4:$G$3460,5,0),"")</f>
        <v>4.1282</v>
      </c>
      <c r="F2282">
        <f>IFERROR(VLOOKUP($A2282,原始数据_收盘!$A$4:$G$3460,6,0),"")</f>
        <v>3.7305</v>
      </c>
      <c r="G2282">
        <f>IFERROR(VLOOKUP($A2282,原始数据_收盘!$A$4:$G$3460,7,0),"")</f>
        <v>4.0949</v>
      </c>
      <c r="H2282">
        <f>IFERROR(VLOOKUP($A2282,原始数据_利率互换_FR007_1年!$A$6:$C$4395,2,0),"")</f>
        <v>3.7314</v>
      </c>
      <c r="I2282">
        <f>IFERROR(VLOOKUP($A2282,原始数据_利率互换_FR007_1年!$A$6:$C$4395,3,0),"")</f>
        <v>4.1047</v>
      </c>
    </row>
    <row r="2283" spans="1:9">
      <c r="A2283" s="6">
        <v>41776</v>
      </c>
      <c r="B2283" t="str">
        <f>IFERROR(VLOOKUP($A2283,原始数据_收盘!$A$4:$G$3460,2,0),"")</f>
        <v/>
      </c>
      <c r="C2283" t="str">
        <f>IFERROR(VLOOKUP($A2283,原始数据_收盘!$A$4:$G$3460,3,0),"")</f>
        <v/>
      </c>
      <c r="D2283" t="str">
        <f>IFERROR(VLOOKUP($A2283,原始数据_收盘!$A$4:$G$3460,4,0),"")</f>
        <v/>
      </c>
      <c r="E2283" t="str">
        <f>IFERROR(VLOOKUP($A2283,原始数据_收盘!$A$4:$G$3460,5,0),"")</f>
        <v/>
      </c>
      <c r="F2283" t="str">
        <f>IFERROR(VLOOKUP($A2283,原始数据_收盘!$A$4:$G$3460,6,0),"")</f>
        <v/>
      </c>
      <c r="G2283" t="str">
        <f>IFERROR(VLOOKUP($A2283,原始数据_收盘!$A$4:$G$3460,7,0),"")</f>
        <v/>
      </c>
      <c r="H2283" t="str">
        <f>IFERROR(VLOOKUP($A2283,原始数据_利率互换_FR007_1年!$A$6:$C$4395,2,0),"")</f>
        <v/>
      </c>
      <c r="I2283" t="str">
        <f>IFERROR(VLOOKUP($A2283,原始数据_利率互换_FR007_1年!$A$6:$C$4395,3,0),"")</f>
        <v/>
      </c>
    </row>
    <row r="2284" spans="1:9">
      <c r="A2284" s="6">
        <v>41777</v>
      </c>
      <c r="B2284" t="str">
        <f>IFERROR(VLOOKUP($A2284,原始数据_收盘!$A$4:$G$3460,2,0),"")</f>
        <v/>
      </c>
      <c r="C2284" t="str">
        <f>IFERROR(VLOOKUP($A2284,原始数据_收盘!$A$4:$G$3460,3,0),"")</f>
        <v/>
      </c>
      <c r="D2284" t="str">
        <f>IFERROR(VLOOKUP($A2284,原始数据_收盘!$A$4:$G$3460,4,0),"")</f>
        <v/>
      </c>
      <c r="E2284" t="str">
        <f>IFERROR(VLOOKUP($A2284,原始数据_收盘!$A$4:$G$3460,5,0),"")</f>
        <v/>
      </c>
      <c r="F2284" t="str">
        <f>IFERROR(VLOOKUP($A2284,原始数据_收盘!$A$4:$G$3460,6,0),"")</f>
        <v/>
      </c>
      <c r="G2284" t="str">
        <f>IFERROR(VLOOKUP($A2284,原始数据_收盘!$A$4:$G$3460,7,0),"")</f>
        <v/>
      </c>
      <c r="H2284" t="str">
        <f>IFERROR(VLOOKUP($A2284,原始数据_利率互换_FR007_1年!$A$6:$C$4395,2,0),"")</f>
        <v/>
      </c>
      <c r="I2284" t="str">
        <f>IFERROR(VLOOKUP($A2284,原始数据_利率互换_FR007_1年!$A$6:$C$4395,3,0),"")</f>
        <v/>
      </c>
    </row>
    <row r="2285" spans="1:9">
      <c r="A2285" s="6">
        <v>41778</v>
      </c>
      <c r="B2285">
        <f>IFERROR(VLOOKUP($A2285,原始数据_收盘!$A$4:$G$3460,2,0),"")</f>
        <v>3.7139</v>
      </c>
      <c r="C2285">
        <f>IFERROR(VLOOKUP($A2285,原始数据_收盘!$A$4:$G$3460,3,0),"")</f>
        <v>4.0582</v>
      </c>
      <c r="D2285">
        <f>IFERROR(VLOOKUP($A2285,原始数据_收盘!$A$4:$G$3460,4,0),"")</f>
        <v>3.7809</v>
      </c>
      <c r="E2285">
        <f>IFERROR(VLOOKUP($A2285,原始数据_收盘!$A$4:$G$3460,5,0),"")</f>
        <v>4.129</v>
      </c>
      <c r="F2285">
        <f>IFERROR(VLOOKUP($A2285,原始数据_收盘!$A$4:$G$3460,6,0),"")</f>
        <v>3.7474</v>
      </c>
      <c r="G2285">
        <f>IFERROR(VLOOKUP($A2285,原始数据_收盘!$A$4:$G$3460,7,0),"")</f>
        <v>4.0936</v>
      </c>
      <c r="H2285">
        <f>IFERROR(VLOOKUP($A2285,原始数据_利率互换_FR007_1年!$A$6:$C$4395,2,0),"")</f>
        <v>3.7328</v>
      </c>
      <c r="I2285">
        <f>IFERROR(VLOOKUP($A2285,原始数据_利率互换_FR007_1年!$A$6:$C$4395,3,0),"")</f>
        <v>4.0854</v>
      </c>
    </row>
    <row r="2286" spans="1:9">
      <c r="A2286" s="6">
        <v>41779</v>
      </c>
      <c r="B2286">
        <f>IFERROR(VLOOKUP($A2286,原始数据_收盘!$A$4:$G$3460,2,0),"")</f>
        <v>3.7328</v>
      </c>
      <c r="C2286">
        <f>IFERROR(VLOOKUP($A2286,原始数据_收盘!$A$4:$G$3460,3,0),"")</f>
        <v>4.0585</v>
      </c>
      <c r="D2286">
        <f>IFERROR(VLOOKUP($A2286,原始数据_收盘!$A$4:$G$3460,4,0),"")</f>
        <v>3.7995</v>
      </c>
      <c r="E2286">
        <f>IFERROR(VLOOKUP($A2286,原始数据_收盘!$A$4:$G$3460,5,0),"")</f>
        <v>4.1292</v>
      </c>
      <c r="F2286">
        <f>IFERROR(VLOOKUP($A2286,原始数据_收盘!$A$4:$G$3460,6,0),"")</f>
        <v>3.7661</v>
      </c>
      <c r="G2286">
        <f>IFERROR(VLOOKUP($A2286,原始数据_收盘!$A$4:$G$3460,7,0),"")</f>
        <v>4.0938</v>
      </c>
      <c r="H2286">
        <f>IFERROR(VLOOKUP($A2286,原始数据_利率互换_FR007_1年!$A$6:$C$4395,2,0),"")</f>
        <v>3.7767</v>
      </c>
      <c r="I2286">
        <f>IFERROR(VLOOKUP($A2286,原始数据_利率互换_FR007_1年!$A$6:$C$4395,3,0),"")</f>
        <v>4.0986</v>
      </c>
    </row>
    <row r="2287" spans="1:9">
      <c r="A2287" s="6">
        <v>41780</v>
      </c>
      <c r="B2287">
        <f>IFERROR(VLOOKUP($A2287,原始数据_收盘!$A$4:$G$3460,2,0),"")</f>
        <v>3.6919</v>
      </c>
      <c r="C2287">
        <f>IFERROR(VLOOKUP($A2287,原始数据_收盘!$A$4:$G$3460,3,0),"")</f>
        <v>4.0142</v>
      </c>
      <c r="D2287">
        <f>IFERROR(VLOOKUP($A2287,原始数据_收盘!$A$4:$G$3460,4,0),"")</f>
        <v>3.7553</v>
      </c>
      <c r="E2287">
        <f>IFERROR(VLOOKUP($A2287,原始数据_收盘!$A$4:$G$3460,5,0),"")</f>
        <v>4.0808</v>
      </c>
      <c r="F2287">
        <f>IFERROR(VLOOKUP($A2287,原始数据_收盘!$A$4:$G$3460,6,0),"")</f>
        <v>3.7236</v>
      </c>
      <c r="G2287">
        <f>IFERROR(VLOOKUP($A2287,原始数据_收盘!$A$4:$G$3460,7,0),"")</f>
        <v>4.0475</v>
      </c>
      <c r="H2287">
        <f>IFERROR(VLOOKUP($A2287,原始数据_利率互换_FR007_1年!$A$6:$C$4395,2,0),"")</f>
        <v>3.7418</v>
      </c>
      <c r="I2287">
        <f>IFERROR(VLOOKUP($A2287,原始数据_利率互换_FR007_1年!$A$6:$C$4395,3,0),"")</f>
        <v>4.1507</v>
      </c>
    </row>
    <row r="2288" spans="1:9">
      <c r="A2288" s="6">
        <v>41781</v>
      </c>
      <c r="B2288">
        <f>IFERROR(VLOOKUP($A2288,原始数据_收盘!$A$4:$G$3460,2,0),"")</f>
        <v>3.6356</v>
      </c>
      <c r="C2288">
        <f>IFERROR(VLOOKUP($A2288,原始数据_收盘!$A$4:$G$3460,3,0),"")</f>
        <v>3.9787</v>
      </c>
      <c r="D2288">
        <f>IFERROR(VLOOKUP($A2288,原始数据_收盘!$A$4:$G$3460,4,0),"")</f>
        <v>3.6966</v>
      </c>
      <c r="E2288">
        <f>IFERROR(VLOOKUP($A2288,原始数据_收盘!$A$4:$G$3460,5,0),"")</f>
        <v>4.044</v>
      </c>
      <c r="F2288">
        <f>IFERROR(VLOOKUP($A2288,原始数据_收盘!$A$4:$G$3460,6,0),"")</f>
        <v>3.6661</v>
      </c>
      <c r="G2288">
        <f>IFERROR(VLOOKUP($A2288,原始数据_收盘!$A$4:$G$3460,7,0),"")</f>
        <v>4.0114</v>
      </c>
      <c r="H2288">
        <f>IFERROR(VLOOKUP($A2288,原始数据_利率互换_FR007_1年!$A$6:$C$4395,2,0),"")</f>
        <v>3.667</v>
      </c>
      <c r="I2288">
        <f>IFERROR(VLOOKUP($A2288,原始数据_利率互换_FR007_1年!$A$6:$C$4395,3,0),"")</f>
        <v>4.0065</v>
      </c>
    </row>
    <row r="2289" spans="1:9">
      <c r="A2289" s="6">
        <v>41782</v>
      </c>
      <c r="B2289">
        <f>IFERROR(VLOOKUP($A2289,原始数据_收盘!$A$4:$G$3460,2,0),"")</f>
        <v>3.6335</v>
      </c>
      <c r="C2289">
        <f>IFERROR(VLOOKUP($A2289,原始数据_收盘!$A$4:$G$3460,3,0),"")</f>
        <v>3.997</v>
      </c>
      <c r="D2289">
        <f>IFERROR(VLOOKUP($A2289,原始数据_收盘!$A$4:$G$3460,4,0),"")</f>
        <v>3.6986</v>
      </c>
      <c r="E2289">
        <f>IFERROR(VLOOKUP($A2289,原始数据_收盘!$A$4:$G$3460,5,0),"")</f>
        <v>4.0641</v>
      </c>
      <c r="F2289">
        <f>IFERROR(VLOOKUP($A2289,原始数据_收盘!$A$4:$G$3460,6,0),"")</f>
        <v>3.6661</v>
      </c>
      <c r="G2289">
        <f>IFERROR(VLOOKUP($A2289,原始数据_收盘!$A$4:$G$3460,7,0),"")</f>
        <v>4.0305</v>
      </c>
      <c r="H2289">
        <f>IFERROR(VLOOKUP($A2289,原始数据_利率互换_FR007_1年!$A$6:$C$4395,2,0),"")</f>
        <v>3.6545</v>
      </c>
      <c r="I2289">
        <f>IFERROR(VLOOKUP($A2289,原始数据_利率互换_FR007_1年!$A$6:$C$4395,3,0),"")</f>
        <v>4.004</v>
      </c>
    </row>
    <row r="2290" spans="1:9">
      <c r="A2290" s="6">
        <v>41783</v>
      </c>
      <c r="B2290" t="str">
        <f>IFERROR(VLOOKUP($A2290,原始数据_收盘!$A$4:$G$3460,2,0),"")</f>
        <v/>
      </c>
      <c r="C2290" t="str">
        <f>IFERROR(VLOOKUP($A2290,原始数据_收盘!$A$4:$G$3460,3,0),"")</f>
        <v/>
      </c>
      <c r="D2290" t="str">
        <f>IFERROR(VLOOKUP($A2290,原始数据_收盘!$A$4:$G$3460,4,0),"")</f>
        <v/>
      </c>
      <c r="E2290" t="str">
        <f>IFERROR(VLOOKUP($A2290,原始数据_收盘!$A$4:$G$3460,5,0),"")</f>
        <v/>
      </c>
      <c r="F2290" t="str">
        <f>IFERROR(VLOOKUP($A2290,原始数据_收盘!$A$4:$G$3460,6,0),"")</f>
        <v/>
      </c>
      <c r="G2290" t="str">
        <f>IFERROR(VLOOKUP($A2290,原始数据_收盘!$A$4:$G$3460,7,0),"")</f>
        <v/>
      </c>
      <c r="H2290" t="str">
        <f>IFERROR(VLOOKUP($A2290,原始数据_利率互换_FR007_1年!$A$6:$C$4395,2,0),"")</f>
        <v/>
      </c>
      <c r="I2290" t="str">
        <f>IFERROR(VLOOKUP($A2290,原始数据_利率互换_FR007_1年!$A$6:$C$4395,3,0),"")</f>
        <v/>
      </c>
    </row>
    <row r="2291" spans="1:9">
      <c r="A2291" s="6">
        <v>41784</v>
      </c>
      <c r="B2291" t="str">
        <f>IFERROR(VLOOKUP($A2291,原始数据_收盘!$A$4:$G$3460,2,0),"")</f>
        <v/>
      </c>
      <c r="C2291" t="str">
        <f>IFERROR(VLOOKUP($A2291,原始数据_收盘!$A$4:$G$3460,3,0),"")</f>
        <v/>
      </c>
      <c r="D2291" t="str">
        <f>IFERROR(VLOOKUP($A2291,原始数据_收盘!$A$4:$G$3460,4,0),"")</f>
        <v/>
      </c>
      <c r="E2291" t="str">
        <f>IFERROR(VLOOKUP($A2291,原始数据_收盘!$A$4:$G$3460,5,0),"")</f>
        <v/>
      </c>
      <c r="F2291" t="str">
        <f>IFERROR(VLOOKUP($A2291,原始数据_收盘!$A$4:$G$3460,6,0),"")</f>
        <v/>
      </c>
      <c r="G2291" t="str">
        <f>IFERROR(VLOOKUP($A2291,原始数据_收盘!$A$4:$G$3460,7,0),"")</f>
        <v/>
      </c>
      <c r="H2291" t="str">
        <f>IFERROR(VLOOKUP($A2291,原始数据_利率互换_FR007_1年!$A$6:$C$4395,2,0),"")</f>
        <v/>
      </c>
      <c r="I2291" t="str">
        <f>IFERROR(VLOOKUP($A2291,原始数据_利率互换_FR007_1年!$A$6:$C$4395,3,0),"")</f>
        <v/>
      </c>
    </row>
    <row r="2292" spans="1:9">
      <c r="A2292" s="6">
        <v>41785</v>
      </c>
      <c r="B2292">
        <f>IFERROR(VLOOKUP($A2292,原始数据_收盘!$A$4:$G$3460,2,0),"")</f>
        <v>3.5878</v>
      </c>
      <c r="C2292">
        <f>IFERROR(VLOOKUP($A2292,原始数据_收盘!$A$4:$G$3460,3,0),"")</f>
        <v>3.9486</v>
      </c>
      <c r="D2292">
        <f>IFERROR(VLOOKUP($A2292,原始数据_收盘!$A$4:$G$3460,4,0),"")</f>
        <v>3.6536</v>
      </c>
      <c r="E2292">
        <f>IFERROR(VLOOKUP($A2292,原始数据_收盘!$A$4:$G$3460,5,0),"")</f>
        <v>4.0174</v>
      </c>
      <c r="F2292">
        <f>IFERROR(VLOOKUP($A2292,原始数据_收盘!$A$4:$G$3460,6,0),"")</f>
        <v>3.6207</v>
      </c>
      <c r="G2292">
        <f>IFERROR(VLOOKUP($A2292,原始数据_收盘!$A$4:$G$3460,7,0),"")</f>
        <v>3.983</v>
      </c>
      <c r="H2292">
        <f>IFERROR(VLOOKUP($A2292,原始数据_利率互换_FR007_1年!$A$6:$C$4395,2,0),"")</f>
        <v>3.6278</v>
      </c>
      <c r="I2292">
        <f>IFERROR(VLOOKUP($A2292,原始数据_利率互换_FR007_1年!$A$6:$C$4395,3,0),"")</f>
        <v>3.9939</v>
      </c>
    </row>
    <row r="2293" spans="1:9">
      <c r="A2293" s="6">
        <v>41786</v>
      </c>
      <c r="B2293">
        <f>IFERROR(VLOOKUP($A2293,原始数据_收盘!$A$4:$G$3460,2,0),"")</f>
        <v>3.5051</v>
      </c>
      <c r="C2293">
        <f>IFERROR(VLOOKUP($A2293,原始数据_收盘!$A$4:$G$3460,3,0),"")</f>
        <v>3.8868</v>
      </c>
      <c r="D2293">
        <f>IFERROR(VLOOKUP($A2293,原始数据_收盘!$A$4:$G$3460,4,0),"")</f>
        <v>3.5692</v>
      </c>
      <c r="E2293">
        <f>IFERROR(VLOOKUP($A2293,原始数据_收盘!$A$4:$G$3460,5,0),"")</f>
        <v>3.9536</v>
      </c>
      <c r="F2293">
        <f>IFERROR(VLOOKUP($A2293,原始数据_收盘!$A$4:$G$3460,6,0),"")</f>
        <v>3.5372</v>
      </c>
      <c r="G2293">
        <f>IFERROR(VLOOKUP($A2293,原始数据_收盘!$A$4:$G$3460,7,0),"")</f>
        <v>3.9202</v>
      </c>
      <c r="H2293">
        <f>IFERROR(VLOOKUP($A2293,原始数据_利率互换_FR007_1年!$A$6:$C$4395,2,0),"")</f>
        <v>3.5548</v>
      </c>
      <c r="I2293">
        <f>IFERROR(VLOOKUP($A2293,原始数据_利率互换_FR007_1年!$A$6:$C$4395,3,0),"")</f>
        <v>3.9391</v>
      </c>
    </row>
    <row r="2294" spans="1:9">
      <c r="A2294" s="6">
        <v>41787</v>
      </c>
      <c r="B2294">
        <f>IFERROR(VLOOKUP($A2294,原始数据_收盘!$A$4:$G$3460,2,0),"")</f>
        <v>3.4879</v>
      </c>
      <c r="C2294">
        <f>IFERROR(VLOOKUP($A2294,原始数据_收盘!$A$4:$G$3460,3,0),"")</f>
        <v>3.8644</v>
      </c>
      <c r="D2294">
        <f>IFERROR(VLOOKUP($A2294,原始数据_收盘!$A$4:$G$3460,4,0),"")</f>
        <v>3.5661</v>
      </c>
      <c r="E2294">
        <f>IFERROR(VLOOKUP($A2294,原始数据_收盘!$A$4:$G$3460,5,0),"")</f>
        <v>3.9316</v>
      </c>
      <c r="F2294">
        <f>IFERROR(VLOOKUP($A2294,原始数据_收盘!$A$4:$G$3460,6,0),"")</f>
        <v>3.527</v>
      </c>
      <c r="G2294">
        <f>IFERROR(VLOOKUP($A2294,原始数据_收盘!$A$4:$G$3460,7,0),"")</f>
        <v>3.898</v>
      </c>
      <c r="H2294">
        <f>IFERROR(VLOOKUP($A2294,原始数据_利率互换_FR007_1年!$A$6:$C$4395,2,0),"")</f>
        <v>3.5098</v>
      </c>
      <c r="I2294">
        <f>IFERROR(VLOOKUP($A2294,原始数据_利率互换_FR007_1年!$A$6:$C$4395,3,0),"")</f>
        <v>3.8899</v>
      </c>
    </row>
    <row r="2295" spans="1:9">
      <c r="A2295" s="6">
        <v>41788</v>
      </c>
      <c r="B2295">
        <f>IFERROR(VLOOKUP($A2295,原始数据_收盘!$A$4:$G$3460,2,0),"")</f>
        <v>3.4889</v>
      </c>
      <c r="C2295">
        <f>IFERROR(VLOOKUP($A2295,原始数据_收盘!$A$4:$G$3460,3,0),"")</f>
        <v>3.8668</v>
      </c>
      <c r="D2295">
        <f>IFERROR(VLOOKUP($A2295,原始数据_收盘!$A$4:$G$3460,4,0),"")</f>
        <v>3.5511</v>
      </c>
      <c r="E2295">
        <f>IFERROR(VLOOKUP($A2295,原始数据_收盘!$A$4:$G$3460,5,0),"")</f>
        <v>3.9309</v>
      </c>
      <c r="F2295">
        <f>IFERROR(VLOOKUP($A2295,原始数据_收盘!$A$4:$G$3460,6,0),"")</f>
        <v>3.52</v>
      </c>
      <c r="G2295">
        <f>IFERROR(VLOOKUP($A2295,原始数据_收盘!$A$4:$G$3460,7,0),"")</f>
        <v>3.8989</v>
      </c>
      <c r="H2295">
        <f>IFERROR(VLOOKUP($A2295,原始数据_利率互换_FR007_1年!$A$6:$C$4395,2,0),"")</f>
        <v>3.4912</v>
      </c>
      <c r="I2295">
        <f>IFERROR(VLOOKUP($A2295,原始数据_利率互换_FR007_1年!$A$6:$C$4395,3,0),"")</f>
        <v>3.8547</v>
      </c>
    </row>
    <row r="2296" spans="1:9">
      <c r="A2296" s="6">
        <v>41789</v>
      </c>
      <c r="B2296">
        <f>IFERROR(VLOOKUP($A2296,原始数据_收盘!$A$4:$G$3460,2,0),"")</f>
        <v>3.4632</v>
      </c>
      <c r="C2296">
        <f>IFERROR(VLOOKUP($A2296,原始数据_收盘!$A$4:$G$3460,3,0),"")</f>
        <v>3.8351</v>
      </c>
      <c r="D2296">
        <f>IFERROR(VLOOKUP($A2296,原始数据_收盘!$A$4:$G$3460,4,0),"")</f>
        <v>3.5274</v>
      </c>
      <c r="E2296">
        <f>IFERROR(VLOOKUP($A2296,原始数据_收盘!$A$4:$G$3460,5,0),"")</f>
        <v>3.9053</v>
      </c>
      <c r="F2296">
        <f>IFERROR(VLOOKUP($A2296,原始数据_收盘!$A$4:$G$3460,6,0),"")</f>
        <v>3.4953</v>
      </c>
      <c r="G2296">
        <f>IFERROR(VLOOKUP($A2296,原始数据_收盘!$A$4:$G$3460,7,0),"")</f>
        <v>3.8702</v>
      </c>
      <c r="H2296">
        <f>IFERROR(VLOOKUP($A2296,原始数据_利率互换_FR007_1年!$A$6:$C$4395,2,0),"")</f>
        <v>3.5031</v>
      </c>
      <c r="I2296">
        <f>IFERROR(VLOOKUP($A2296,原始数据_利率互换_FR007_1年!$A$6:$C$4395,3,0),"")</f>
        <v>3.8775</v>
      </c>
    </row>
    <row r="2297" spans="1:9">
      <c r="A2297" s="6">
        <v>41790</v>
      </c>
      <c r="B2297" t="str">
        <f>IFERROR(VLOOKUP($A2297,原始数据_收盘!$A$4:$G$3460,2,0),"")</f>
        <v/>
      </c>
      <c r="C2297" t="str">
        <f>IFERROR(VLOOKUP($A2297,原始数据_收盘!$A$4:$G$3460,3,0),"")</f>
        <v/>
      </c>
      <c r="D2297" t="str">
        <f>IFERROR(VLOOKUP($A2297,原始数据_收盘!$A$4:$G$3460,4,0),"")</f>
        <v/>
      </c>
      <c r="E2297" t="str">
        <f>IFERROR(VLOOKUP($A2297,原始数据_收盘!$A$4:$G$3460,5,0),"")</f>
        <v/>
      </c>
      <c r="F2297" t="str">
        <f>IFERROR(VLOOKUP($A2297,原始数据_收盘!$A$4:$G$3460,6,0),"")</f>
        <v/>
      </c>
      <c r="G2297" t="str">
        <f>IFERROR(VLOOKUP($A2297,原始数据_收盘!$A$4:$G$3460,7,0),"")</f>
        <v/>
      </c>
      <c r="H2297" t="str">
        <f>IFERROR(VLOOKUP($A2297,原始数据_利率互换_FR007_1年!$A$6:$C$4395,2,0),"")</f>
        <v/>
      </c>
      <c r="I2297" t="str">
        <f>IFERROR(VLOOKUP($A2297,原始数据_利率互换_FR007_1年!$A$6:$C$4395,3,0),"")</f>
        <v/>
      </c>
    </row>
    <row r="2298" spans="1:9">
      <c r="A2298" s="6">
        <v>41791</v>
      </c>
      <c r="B2298" t="str">
        <f>IFERROR(VLOOKUP($A2298,原始数据_收盘!$A$4:$G$3460,2,0),"")</f>
        <v/>
      </c>
      <c r="C2298" t="str">
        <f>IFERROR(VLOOKUP($A2298,原始数据_收盘!$A$4:$G$3460,3,0),"")</f>
        <v/>
      </c>
      <c r="D2298" t="str">
        <f>IFERROR(VLOOKUP($A2298,原始数据_收盘!$A$4:$G$3460,4,0),"")</f>
        <v/>
      </c>
      <c r="E2298" t="str">
        <f>IFERROR(VLOOKUP($A2298,原始数据_收盘!$A$4:$G$3460,5,0),"")</f>
        <v/>
      </c>
      <c r="F2298" t="str">
        <f>IFERROR(VLOOKUP($A2298,原始数据_收盘!$A$4:$G$3460,6,0),"")</f>
        <v/>
      </c>
      <c r="G2298" t="str">
        <f>IFERROR(VLOOKUP($A2298,原始数据_收盘!$A$4:$G$3460,7,0),"")</f>
        <v/>
      </c>
      <c r="H2298" t="str">
        <f>IFERROR(VLOOKUP($A2298,原始数据_利率互换_FR007_1年!$A$6:$C$4395,2,0),"")</f>
        <v/>
      </c>
      <c r="I2298" t="str">
        <f>IFERROR(VLOOKUP($A2298,原始数据_利率互换_FR007_1年!$A$6:$C$4395,3,0),"")</f>
        <v/>
      </c>
    </row>
    <row r="2299" spans="1:9">
      <c r="A2299" s="6">
        <v>41792</v>
      </c>
      <c r="B2299" t="str">
        <f>IFERROR(VLOOKUP($A2299,原始数据_收盘!$A$4:$G$3460,2,0),"")</f>
        <v/>
      </c>
      <c r="C2299" t="str">
        <f>IFERROR(VLOOKUP($A2299,原始数据_收盘!$A$4:$G$3460,3,0),"")</f>
        <v/>
      </c>
      <c r="D2299" t="str">
        <f>IFERROR(VLOOKUP($A2299,原始数据_收盘!$A$4:$G$3460,4,0),"")</f>
        <v/>
      </c>
      <c r="E2299" t="str">
        <f>IFERROR(VLOOKUP($A2299,原始数据_收盘!$A$4:$G$3460,5,0),"")</f>
        <v/>
      </c>
      <c r="F2299" t="str">
        <f>IFERROR(VLOOKUP($A2299,原始数据_收盘!$A$4:$G$3460,6,0),"")</f>
        <v/>
      </c>
      <c r="G2299" t="str">
        <f>IFERROR(VLOOKUP($A2299,原始数据_收盘!$A$4:$G$3460,7,0),"")</f>
        <v/>
      </c>
      <c r="H2299" t="str">
        <f>IFERROR(VLOOKUP($A2299,原始数据_利率互换_FR007_1年!$A$6:$C$4395,2,0),"")</f>
        <v/>
      </c>
      <c r="I2299" t="str">
        <f>IFERROR(VLOOKUP($A2299,原始数据_利率互换_FR007_1年!$A$6:$C$4395,3,0),"")</f>
        <v/>
      </c>
    </row>
    <row r="2300" spans="1:9">
      <c r="A2300" s="6">
        <v>41793</v>
      </c>
      <c r="B2300">
        <f>IFERROR(VLOOKUP($A2300,原始数据_收盘!$A$4:$G$3460,2,0),"")</f>
        <v>3.3537</v>
      </c>
      <c r="C2300">
        <f>IFERROR(VLOOKUP($A2300,原始数据_收盘!$A$4:$G$3460,3,0),"")</f>
        <v>3.7472</v>
      </c>
      <c r="D2300">
        <f>IFERROR(VLOOKUP($A2300,原始数据_收盘!$A$4:$G$3460,4,0),"")</f>
        <v>3.4302</v>
      </c>
      <c r="E2300">
        <f>IFERROR(VLOOKUP($A2300,原始数据_收盘!$A$4:$G$3460,5,0),"")</f>
        <v>3.8221</v>
      </c>
      <c r="F2300">
        <f>IFERROR(VLOOKUP($A2300,原始数据_收盘!$A$4:$G$3460,6,0),"")</f>
        <v>3.392</v>
      </c>
      <c r="G2300">
        <f>IFERROR(VLOOKUP($A2300,原始数据_收盘!$A$4:$G$3460,7,0),"")</f>
        <v>3.7846</v>
      </c>
      <c r="H2300">
        <f>IFERROR(VLOOKUP($A2300,原始数据_利率互换_FR007_1年!$A$6:$C$4395,2,0),"")</f>
        <v>3.3724</v>
      </c>
      <c r="I2300">
        <f>IFERROR(VLOOKUP($A2300,原始数据_利率互换_FR007_1年!$A$6:$C$4395,3,0),"")</f>
        <v>3.7703</v>
      </c>
    </row>
    <row r="2301" spans="1:9">
      <c r="A2301" s="6">
        <v>41794</v>
      </c>
      <c r="B2301">
        <f>IFERROR(VLOOKUP($A2301,原始数据_收盘!$A$4:$G$3460,2,0),"")</f>
        <v>3.3879</v>
      </c>
      <c r="C2301">
        <f>IFERROR(VLOOKUP($A2301,原始数据_收盘!$A$4:$G$3460,3,0),"")</f>
        <v>3.7753</v>
      </c>
      <c r="D2301">
        <f>IFERROR(VLOOKUP($A2301,原始数据_收盘!$A$4:$G$3460,4,0),"")</f>
        <v>3.4563</v>
      </c>
      <c r="E2301">
        <f>IFERROR(VLOOKUP($A2301,原始数据_收盘!$A$4:$G$3460,5,0),"")</f>
        <v>3.8545</v>
      </c>
      <c r="F2301">
        <f>IFERROR(VLOOKUP($A2301,原始数据_收盘!$A$4:$G$3460,6,0),"")</f>
        <v>3.4221</v>
      </c>
      <c r="G2301">
        <f>IFERROR(VLOOKUP($A2301,原始数据_收盘!$A$4:$G$3460,7,0),"")</f>
        <v>3.8149</v>
      </c>
      <c r="H2301">
        <f>IFERROR(VLOOKUP($A2301,原始数据_利率互换_FR007_1年!$A$6:$C$4395,2,0),"")</f>
        <v>3.4075</v>
      </c>
      <c r="I2301">
        <f>IFERROR(VLOOKUP($A2301,原始数据_利率互换_FR007_1年!$A$6:$C$4395,3,0),"")</f>
        <v>3.8143</v>
      </c>
    </row>
    <row r="2302" spans="1:9">
      <c r="A2302" s="6">
        <v>41795</v>
      </c>
      <c r="B2302">
        <f>IFERROR(VLOOKUP($A2302,原始数据_收盘!$A$4:$G$3460,2,0),"")</f>
        <v>3.4435</v>
      </c>
      <c r="C2302">
        <f>IFERROR(VLOOKUP($A2302,原始数据_收盘!$A$4:$G$3460,3,0),"")</f>
        <v>3.88</v>
      </c>
      <c r="D2302">
        <f>IFERROR(VLOOKUP($A2302,原始数据_收盘!$A$4:$G$3460,4,0),"")</f>
        <v>3.5119</v>
      </c>
      <c r="E2302">
        <f>IFERROR(VLOOKUP($A2302,原始数据_收盘!$A$4:$G$3460,5,0),"")</f>
        <v>3.9544</v>
      </c>
      <c r="F2302">
        <f>IFERROR(VLOOKUP($A2302,原始数据_收盘!$A$4:$G$3460,6,0),"")</f>
        <v>3.4777</v>
      </c>
      <c r="G2302">
        <f>IFERROR(VLOOKUP($A2302,原始数据_收盘!$A$4:$G$3460,7,0),"")</f>
        <v>3.9172</v>
      </c>
      <c r="H2302">
        <f>IFERROR(VLOOKUP($A2302,原始数据_利率互换_FR007_1年!$A$6:$C$4395,2,0),"")</f>
        <v>3.4649</v>
      </c>
      <c r="I2302">
        <f>IFERROR(VLOOKUP($A2302,原始数据_利率互换_FR007_1年!$A$6:$C$4395,3,0),"")</f>
        <v>3.9261</v>
      </c>
    </row>
    <row r="2303" spans="1:9">
      <c r="A2303" s="6">
        <v>41796</v>
      </c>
      <c r="B2303">
        <f>IFERROR(VLOOKUP($A2303,原始数据_收盘!$A$4:$G$3460,2,0),"")</f>
        <v>3.448</v>
      </c>
      <c r="C2303">
        <f>IFERROR(VLOOKUP($A2303,原始数据_收盘!$A$4:$G$3460,3,0),"")</f>
        <v>3.8782</v>
      </c>
      <c r="D2303">
        <f>IFERROR(VLOOKUP($A2303,原始数据_收盘!$A$4:$G$3460,4,0),"")</f>
        <v>3.513</v>
      </c>
      <c r="E2303">
        <f>IFERROR(VLOOKUP($A2303,原始数据_收盘!$A$4:$G$3460,5,0),"")</f>
        <v>3.9525</v>
      </c>
      <c r="F2303">
        <f>IFERROR(VLOOKUP($A2303,原始数据_收盘!$A$4:$G$3460,6,0),"")</f>
        <v>3.4805</v>
      </c>
      <c r="G2303">
        <f>IFERROR(VLOOKUP($A2303,原始数据_收盘!$A$4:$G$3460,7,0),"")</f>
        <v>3.9154</v>
      </c>
      <c r="H2303">
        <f>IFERROR(VLOOKUP($A2303,原始数据_利率互换_FR007_1年!$A$6:$C$4395,2,0),"")</f>
        <v>3.4692</v>
      </c>
      <c r="I2303">
        <f>IFERROR(VLOOKUP($A2303,原始数据_利率互换_FR007_1年!$A$6:$C$4395,3,0),"")</f>
        <v>3.9063</v>
      </c>
    </row>
    <row r="2304" spans="1:9">
      <c r="A2304" s="6">
        <v>41797</v>
      </c>
      <c r="B2304" t="str">
        <f>IFERROR(VLOOKUP($A2304,原始数据_收盘!$A$4:$G$3460,2,0),"")</f>
        <v/>
      </c>
      <c r="C2304" t="str">
        <f>IFERROR(VLOOKUP($A2304,原始数据_收盘!$A$4:$G$3460,3,0),"")</f>
        <v/>
      </c>
      <c r="D2304" t="str">
        <f>IFERROR(VLOOKUP($A2304,原始数据_收盘!$A$4:$G$3460,4,0),"")</f>
        <v/>
      </c>
      <c r="E2304" t="str">
        <f>IFERROR(VLOOKUP($A2304,原始数据_收盘!$A$4:$G$3460,5,0),"")</f>
        <v/>
      </c>
      <c r="F2304" t="str">
        <f>IFERROR(VLOOKUP($A2304,原始数据_收盘!$A$4:$G$3460,6,0),"")</f>
        <v/>
      </c>
      <c r="G2304" t="str">
        <f>IFERROR(VLOOKUP($A2304,原始数据_收盘!$A$4:$G$3460,7,0),"")</f>
        <v/>
      </c>
      <c r="H2304" t="str">
        <f>IFERROR(VLOOKUP($A2304,原始数据_利率互换_FR007_1年!$A$6:$C$4395,2,0),"")</f>
        <v/>
      </c>
      <c r="I2304" t="str">
        <f>IFERROR(VLOOKUP($A2304,原始数据_利率互换_FR007_1年!$A$6:$C$4395,3,0),"")</f>
        <v/>
      </c>
    </row>
    <row r="2305" spans="1:9">
      <c r="A2305" s="6">
        <v>41798</v>
      </c>
      <c r="B2305" t="str">
        <f>IFERROR(VLOOKUP($A2305,原始数据_收盘!$A$4:$G$3460,2,0),"")</f>
        <v/>
      </c>
      <c r="C2305" t="str">
        <f>IFERROR(VLOOKUP($A2305,原始数据_收盘!$A$4:$G$3460,3,0),"")</f>
        <v/>
      </c>
      <c r="D2305" t="str">
        <f>IFERROR(VLOOKUP($A2305,原始数据_收盘!$A$4:$G$3460,4,0),"")</f>
        <v/>
      </c>
      <c r="E2305" t="str">
        <f>IFERROR(VLOOKUP($A2305,原始数据_收盘!$A$4:$G$3460,5,0),"")</f>
        <v/>
      </c>
      <c r="F2305" t="str">
        <f>IFERROR(VLOOKUP($A2305,原始数据_收盘!$A$4:$G$3460,6,0),"")</f>
        <v/>
      </c>
      <c r="G2305" t="str">
        <f>IFERROR(VLOOKUP($A2305,原始数据_收盘!$A$4:$G$3460,7,0),"")</f>
        <v/>
      </c>
      <c r="H2305" t="str">
        <f>IFERROR(VLOOKUP($A2305,原始数据_利率互换_FR007_1年!$A$6:$C$4395,2,0),"")</f>
        <v/>
      </c>
      <c r="I2305" t="str">
        <f>IFERROR(VLOOKUP($A2305,原始数据_利率互换_FR007_1年!$A$6:$C$4395,3,0),"")</f>
        <v/>
      </c>
    </row>
    <row r="2306" spans="1:9">
      <c r="A2306" s="6">
        <v>41799</v>
      </c>
      <c r="B2306">
        <f>IFERROR(VLOOKUP($A2306,原始数据_收盘!$A$4:$G$3460,2,0),"")</f>
        <v>3.4664</v>
      </c>
      <c r="C2306">
        <f>IFERROR(VLOOKUP($A2306,原始数据_收盘!$A$4:$G$3460,3,0),"")</f>
        <v>3.8913</v>
      </c>
      <c r="D2306">
        <f>IFERROR(VLOOKUP($A2306,原始数据_收盘!$A$4:$G$3460,4,0),"")</f>
        <v>3.5274</v>
      </c>
      <c r="E2306">
        <f>IFERROR(VLOOKUP($A2306,原始数据_收盘!$A$4:$G$3460,5,0),"")</f>
        <v>3.9549</v>
      </c>
      <c r="F2306">
        <f>IFERROR(VLOOKUP($A2306,原始数据_收盘!$A$4:$G$3460,6,0),"")</f>
        <v>3.4969</v>
      </c>
      <c r="G2306">
        <f>IFERROR(VLOOKUP($A2306,原始数据_收盘!$A$4:$G$3460,7,0),"")</f>
        <v>3.9231</v>
      </c>
      <c r="H2306">
        <f>IFERROR(VLOOKUP($A2306,原始数据_利率互换_FR007_1年!$A$6:$C$4395,2,0),"")</f>
        <v>3.5013</v>
      </c>
      <c r="I2306">
        <f>IFERROR(VLOOKUP($A2306,原始数据_利率互换_FR007_1年!$A$6:$C$4395,3,0),"")</f>
        <v>3.9382</v>
      </c>
    </row>
    <row r="2307" spans="1:9">
      <c r="A2307" s="6">
        <v>41800</v>
      </c>
      <c r="B2307">
        <f>IFERROR(VLOOKUP($A2307,原始数据_收盘!$A$4:$G$3460,2,0),"")</f>
        <v>3.4623</v>
      </c>
      <c r="C2307">
        <f>IFERROR(VLOOKUP($A2307,原始数据_收盘!$A$4:$G$3460,3,0),"")</f>
        <v>3.8963</v>
      </c>
      <c r="D2307">
        <f>IFERROR(VLOOKUP($A2307,原始数据_收盘!$A$4:$G$3460,4,0),"")</f>
        <v>3.5181</v>
      </c>
      <c r="E2307">
        <f>IFERROR(VLOOKUP($A2307,原始数据_收盘!$A$4:$G$3460,5,0),"")</f>
        <v>3.9617</v>
      </c>
      <c r="F2307">
        <f>IFERROR(VLOOKUP($A2307,原始数据_收盘!$A$4:$G$3460,6,0),"")</f>
        <v>3.4902</v>
      </c>
      <c r="G2307">
        <f>IFERROR(VLOOKUP($A2307,原始数据_收盘!$A$4:$G$3460,7,0),"")</f>
        <v>3.929</v>
      </c>
      <c r="H2307">
        <f>IFERROR(VLOOKUP($A2307,原始数据_利率互换_FR007_1年!$A$6:$C$4395,2,0),"")</f>
        <v>3.4746</v>
      </c>
      <c r="I2307">
        <f>IFERROR(VLOOKUP($A2307,原始数据_利率互换_FR007_1年!$A$6:$C$4395,3,0),"")</f>
        <v>3.9167</v>
      </c>
    </row>
    <row r="2308" spans="1:9">
      <c r="A2308" s="6">
        <v>41801</v>
      </c>
      <c r="B2308">
        <f>IFERROR(VLOOKUP($A2308,原始数据_收盘!$A$4:$G$3460,2,0),"")</f>
        <v>3.4491</v>
      </c>
      <c r="C2308">
        <f>IFERROR(VLOOKUP($A2308,原始数据_收盘!$A$4:$G$3460,3,0),"")</f>
        <v>3.8789</v>
      </c>
      <c r="D2308">
        <f>IFERROR(VLOOKUP($A2308,原始数据_收盘!$A$4:$G$3460,4,0),"")</f>
        <v>3.5115</v>
      </c>
      <c r="E2308">
        <f>IFERROR(VLOOKUP($A2308,原始数据_收盘!$A$4:$G$3460,5,0),"")</f>
        <v>3.9481</v>
      </c>
      <c r="F2308">
        <f>IFERROR(VLOOKUP($A2308,原始数据_收盘!$A$4:$G$3460,6,0),"")</f>
        <v>3.4803</v>
      </c>
      <c r="G2308">
        <f>IFERROR(VLOOKUP($A2308,原始数据_收盘!$A$4:$G$3460,7,0),"")</f>
        <v>3.9135</v>
      </c>
      <c r="H2308">
        <f>IFERROR(VLOOKUP($A2308,原始数据_利率互换_FR007_1年!$A$6:$C$4395,2,0),"")</f>
        <v>3.472</v>
      </c>
      <c r="I2308">
        <f>IFERROR(VLOOKUP($A2308,原始数据_利率互换_FR007_1年!$A$6:$C$4395,3,0),"")</f>
        <v>3.9054</v>
      </c>
    </row>
    <row r="2309" spans="1:9">
      <c r="A2309" s="6">
        <v>41802</v>
      </c>
      <c r="B2309">
        <f>IFERROR(VLOOKUP($A2309,原始数据_收盘!$A$4:$G$3460,2,0),"")</f>
        <v>3.4727</v>
      </c>
      <c r="C2309">
        <f>IFERROR(VLOOKUP($A2309,原始数据_收盘!$A$4:$G$3460,3,0),"")</f>
        <v>3.9041</v>
      </c>
      <c r="D2309">
        <f>IFERROR(VLOOKUP($A2309,原始数据_收盘!$A$4:$G$3460,4,0),"")</f>
        <v>3.5307</v>
      </c>
      <c r="E2309">
        <f>IFERROR(VLOOKUP($A2309,原始数据_收盘!$A$4:$G$3460,5,0),"")</f>
        <v>3.9662</v>
      </c>
      <c r="F2309">
        <f>IFERROR(VLOOKUP($A2309,原始数据_收盘!$A$4:$G$3460,6,0),"")</f>
        <v>3.5017</v>
      </c>
      <c r="G2309">
        <f>IFERROR(VLOOKUP($A2309,原始数据_收盘!$A$4:$G$3460,7,0),"")</f>
        <v>3.9352</v>
      </c>
      <c r="H2309">
        <f>IFERROR(VLOOKUP($A2309,原始数据_利率互换_FR007_1年!$A$6:$C$4395,2,0),"")</f>
        <v>3.493</v>
      </c>
      <c r="I2309">
        <f>IFERROR(VLOOKUP($A2309,原始数据_利率互换_FR007_1年!$A$6:$C$4395,3,0),"")</f>
        <v>3.9381</v>
      </c>
    </row>
    <row r="2310" spans="1:9">
      <c r="A2310" s="6">
        <v>41803</v>
      </c>
      <c r="B2310">
        <f>IFERROR(VLOOKUP($A2310,原始数据_收盘!$A$4:$G$3460,2,0),"")</f>
        <v>3.4618</v>
      </c>
      <c r="C2310">
        <f>IFERROR(VLOOKUP($A2310,原始数据_收盘!$A$4:$G$3460,3,0),"")</f>
        <v>3.9175</v>
      </c>
      <c r="D2310">
        <f>IFERROR(VLOOKUP($A2310,原始数据_收盘!$A$4:$G$3460,4,0),"")</f>
        <v>3.5215</v>
      </c>
      <c r="E2310">
        <f>IFERROR(VLOOKUP($A2310,原始数据_收盘!$A$4:$G$3460,5,0),"")</f>
        <v>3.9738</v>
      </c>
      <c r="F2310">
        <f>IFERROR(VLOOKUP($A2310,原始数据_收盘!$A$4:$G$3460,6,0),"")</f>
        <v>3.4917</v>
      </c>
      <c r="G2310">
        <f>IFERROR(VLOOKUP($A2310,原始数据_收盘!$A$4:$G$3460,7,0),"")</f>
        <v>3.9457</v>
      </c>
      <c r="H2310">
        <f>IFERROR(VLOOKUP($A2310,原始数据_利率互换_FR007_1年!$A$6:$C$4395,2,0),"")</f>
        <v>3.5158</v>
      </c>
      <c r="I2310">
        <f>IFERROR(VLOOKUP($A2310,原始数据_利率互换_FR007_1年!$A$6:$C$4395,3,0),"")</f>
        <v>3.9737</v>
      </c>
    </row>
    <row r="2311" spans="1:9">
      <c r="A2311" s="6">
        <v>41804</v>
      </c>
      <c r="B2311" t="str">
        <f>IFERROR(VLOOKUP($A2311,原始数据_收盘!$A$4:$G$3460,2,0),"")</f>
        <v/>
      </c>
      <c r="C2311" t="str">
        <f>IFERROR(VLOOKUP($A2311,原始数据_收盘!$A$4:$G$3460,3,0),"")</f>
        <v/>
      </c>
      <c r="D2311" t="str">
        <f>IFERROR(VLOOKUP($A2311,原始数据_收盘!$A$4:$G$3460,4,0),"")</f>
        <v/>
      </c>
      <c r="E2311" t="str">
        <f>IFERROR(VLOOKUP($A2311,原始数据_收盘!$A$4:$G$3460,5,0),"")</f>
        <v/>
      </c>
      <c r="F2311" t="str">
        <f>IFERROR(VLOOKUP($A2311,原始数据_收盘!$A$4:$G$3460,6,0),"")</f>
        <v/>
      </c>
      <c r="G2311" t="str">
        <f>IFERROR(VLOOKUP($A2311,原始数据_收盘!$A$4:$G$3460,7,0),"")</f>
        <v/>
      </c>
      <c r="H2311" t="str">
        <f>IFERROR(VLOOKUP($A2311,原始数据_利率互换_FR007_1年!$A$6:$C$4395,2,0),"")</f>
        <v/>
      </c>
      <c r="I2311" t="str">
        <f>IFERROR(VLOOKUP($A2311,原始数据_利率互换_FR007_1年!$A$6:$C$4395,3,0),"")</f>
        <v/>
      </c>
    </row>
    <row r="2312" spans="1:9">
      <c r="A2312" s="6">
        <v>41805</v>
      </c>
      <c r="B2312" t="str">
        <f>IFERROR(VLOOKUP($A2312,原始数据_收盘!$A$4:$G$3460,2,0),"")</f>
        <v/>
      </c>
      <c r="C2312" t="str">
        <f>IFERROR(VLOOKUP($A2312,原始数据_收盘!$A$4:$G$3460,3,0),"")</f>
        <v/>
      </c>
      <c r="D2312" t="str">
        <f>IFERROR(VLOOKUP($A2312,原始数据_收盘!$A$4:$G$3460,4,0),"")</f>
        <v/>
      </c>
      <c r="E2312" t="str">
        <f>IFERROR(VLOOKUP($A2312,原始数据_收盘!$A$4:$G$3460,5,0),"")</f>
        <v/>
      </c>
      <c r="F2312" t="str">
        <f>IFERROR(VLOOKUP($A2312,原始数据_收盘!$A$4:$G$3460,6,0),"")</f>
        <v/>
      </c>
      <c r="G2312" t="str">
        <f>IFERROR(VLOOKUP($A2312,原始数据_收盘!$A$4:$G$3460,7,0),"")</f>
        <v/>
      </c>
      <c r="H2312" t="str">
        <f>IFERROR(VLOOKUP($A2312,原始数据_利率互换_FR007_1年!$A$6:$C$4395,2,0),"")</f>
        <v/>
      </c>
      <c r="I2312" t="str">
        <f>IFERROR(VLOOKUP($A2312,原始数据_利率互换_FR007_1年!$A$6:$C$4395,3,0),"")</f>
        <v/>
      </c>
    </row>
    <row r="2313" spans="1:9">
      <c r="A2313" s="6">
        <v>41806</v>
      </c>
      <c r="B2313">
        <f>IFERROR(VLOOKUP($A2313,原始数据_收盘!$A$4:$G$3460,2,0),"")</f>
        <v>3.374</v>
      </c>
      <c r="C2313">
        <f>IFERROR(VLOOKUP($A2313,原始数据_收盘!$A$4:$G$3460,3,0),"")</f>
        <v>3.8172</v>
      </c>
      <c r="D2313">
        <f>IFERROR(VLOOKUP($A2313,原始数据_收盘!$A$4:$G$3460,4,0),"")</f>
        <v>3.4411</v>
      </c>
      <c r="E2313">
        <f>IFERROR(VLOOKUP($A2313,原始数据_收盘!$A$4:$G$3460,5,0),"")</f>
        <v>3.8878</v>
      </c>
      <c r="F2313">
        <f>IFERROR(VLOOKUP($A2313,原始数据_收盘!$A$4:$G$3460,6,0),"")</f>
        <v>3.4075</v>
      </c>
      <c r="G2313">
        <f>IFERROR(VLOOKUP($A2313,原始数据_收盘!$A$4:$G$3460,7,0),"")</f>
        <v>3.8525</v>
      </c>
      <c r="H2313">
        <f>IFERROR(VLOOKUP($A2313,原始数据_利率互换_FR007_1年!$A$6:$C$4395,2,0),"")</f>
        <v>3.4521</v>
      </c>
      <c r="I2313">
        <f>IFERROR(VLOOKUP($A2313,原始数据_利率互换_FR007_1年!$A$6:$C$4395,3,0),"")</f>
        <v>3.922</v>
      </c>
    </row>
    <row r="2314" spans="1:9">
      <c r="A2314" s="6">
        <v>41807</v>
      </c>
      <c r="B2314">
        <f>IFERROR(VLOOKUP($A2314,原始数据_收盘!$A$4:$G$3460,2,0),"")</f>
        <v>3.3952</v>
      </c>
      <c r="C2314">
        <f>IFERROR(VLOOKUP($A2314,原始数据_收盘!$A$4:$G$3460,3,0),"")</f>
        <v>3.8441</v>
      </c>
      <c r="D2314">
        <f>IFERROR(VLOOKUP($A2314,原始数据_收盘!$A$4:$G$3460,4,0),"")</f>
        <v>3.4637</v>
      </c>
      <c r="E2314">
        <f>IFERROR(VLOOKUP($A2314,原始数据_收盘!$A$4:$G$3460,5,0),"")</f>
        <v>3.9112</v>
      </c>
      <c r="F2314">
        <f>IFERROR(VLOOKUP($A2314,原始数据_收盘!$A$4:$G$3460,6,0),"")</f>
        <v>3.4295</v>
      </c>
      <c r="G2314">
        <f>IFERROR(VLOOKUP($A2314,原始数据_收盘!$A$4:$G$3460,7,0),"")</f>
        <v>3.8777</v>
      </c>
      <c r="H2314">
        <f>IFERROR(VLOOKUP($A2314,原始数据_利率互换_FR007_1年!$A$6:$C$4395,2,0),"")</f>
        <v>3.4</v>
      </c>
      <c r="I2314">
        <f>IFERROR(VLOOKUP($A2314,原始数据_利率互换_FR007_1年!$A$6:$C$4395,3,0),"")</f>
        <v>3.8529</v>
      </c>
    </row>
    <row r="2315" spans="1:9">
      <c r="A2315" s="6">
        <v>41808</v>
      </c>
      <c r="B2315">
        <f>IFERROR(VLOOKUP($A2315,原始数据_收盘!$A$4:$G$3460,2,0),"")</f>
        <v>3.4331</v>
      </c>
      <c r="C2315">
        <f>IFERROR(VLOOKUP($A2315,原始数据_收盘!$A$4:$G$3460,3,0),"")</f>
        <v>3.8796</v>
      </c>
      <c r="D2315">
        <f>IFERROR(VLOOKUP($A2315,原始数据_收盘!$A$4:$G$3460,4,0),"")</f>
        <v>3.4951</v>
      </c>
      <c r="E2315">
        <f>IFERROR(VLOOKUP($A2315,原始数据_收盘!$A$4:$G$3460,5,0),"")</f>
        <v>3.9464</v>
      </c>
      <c r="F2315">
        <f>IFERROR(VLOOKUP($A2315,原始数据_收盘!$A$4:$G$3460,6,0),"")</f>
        <v>3.4641</v>
      </c>
      <c r="G2315">
        <f>IFERROR(VLOOKUP($A2315,原始数据_收盘!$A$4:$G$3460,7,0),"")</f>
        <v>3.913</v>
      </c>
      <c r="H2315">
        <f>IFERROR(VLOOKUP($A2315,原始数据_利率互换_FR007_1年!$A$6:$C$4395,2,0),"")</f>
        <v>3.4706</v>
      </c>
      <c r="I2315">
        <f>IFERROR(VLOOKUP($A2315,原始数据_利率互换_FR007_1年!$A$6:$C$4395,3,0),"")</f>
        <v>3.9236</v>
      </c>
    </row>
    <row r="2316" spans="1:9">
      <c r="A2316" s="6">
        <v>41809</v>
      </c>
      <c r="B2316">
        <f>IFERROR(VLOOKUP($A2316,原始数据_收盘!$A$4:$G$3460,2,0),"")</f>
        <v>3.4338</v>
      </c>
      <c r="C2316">
        <f>IFERROR(VLOOKUP($A2316,原始数据_收盘!$A$4:$G$3460,3,0),"")</f>
        <v>3.8866</v>
      </c>
      <c r="D2316">
        <f>IFERROR(VLOOKUP($A2316,原始数据_收盘!$A$4:$G$3460,4,0),"")</f>
        <v>3.4972</v>
      </c>
      <c r="E2316">
        <f>IFERROR(VLOOKUP($A2316,原始数据_收盘!$A$4:$G$3460,5,0),"")</f>
        <v>3.9504</v>
      </c>
      <c r="F2316">
        <f>IFERROR(VLOOKUP($A2316,原始数据_收盘!$A$4:$G$3460,6,0),"")</f>
        <v>3.4655</v>
      </c>
      <c r="G2316">
        <f>IFERROR(VLOOKUP($A2316,原始数据_收盘!$A$4:$G$3460,7,0),"")</f>
        <v>3.9185</v>
      </c>
      <c r="H2316">
        <f>IFERROR(VLOOKUP($A2316,原始数据_利率互换_FR007_1年!$A$6:$C$4395,2,0),"")</f>
        <v>3.4753</v>
      </c>
      <c r="I2316">
        <f>IFERROR(VLOOKUP($A2316,原始数据_利率互换_FR007_1年!$A$6:$C$4395,3,0),"")</f>
        <v>3.9279</v>
      </c>
    </row>
    <row r="2317" spans="1:9">
      <c r="A2317" s="6">
        <v>41810</v>
      </c>
      <c r="B2317">
        <f>IFERROR(VLOOKUP($A2317,原始数据_收盘!$A$4:$G$3460,2,0),"")</f>
        <v>3.4207</v>
      </c>
      <c r="C2317">
        <f>IFERROR(VLOOKUP($A2317,原始数据_收盘!$A$4:$G$3460,3,0),"")</f>
        <v>3.8745</v>
      </c>
      <c r="D2317">
        <f>IFERROR(VLOOKUP($A2317,原始数据_收盘!$A$4:$G$3460,4,0),"")</f>
        <v>3.4883</v>
      </c>
      <c r="E2317">
        <f>IFERROR(VLOOKUP($A2317,原始数据_收盘!$A$4:$G$3460,5,0),"")</f>
        <v>3.9409</v>
      </c>
      <c r="F2317">
        <f>IFERROR(VLOOKUP($A2317,原始数据_收盘!$A$4:$G$3460,6,0),"")</f>
        <v>3.4545</v>
      </c>
      <c r="G2317">
        <f>IFERROR(VLOOKUP($A2317,原始数据_收盘!$A$4:$G$3460,7,0),"")</f>
        <v>3.9077</v>
      </c>
      <c r="H2317">
        <f>IFERROR(VLOOKUP($A2317,原始数据_利率互换_FR007_1年!$A$6:$C$4395,2,0),"")</f>
        <v>3.4535</v>
      </c>
      <c r="I2317">
        <f>IFERROR(VLOOKUP($A2317,原始数据_利率互换_FR007_1年!$A$6:$C$4395,3,0),"")</f>
        <v>3.8951</v>
      </c>
    </row>
    <row r="2318" spans="1:9">
      <c r="A2318" s="6">
        <v>41811</v>
      </c>
      <c r="B2318" t="str">
        <f>IFERROR(VLOOKUP($A2318,原始数据_收盘!$A$4:$G$3460,2,0),"")</f>
        <v/>
      </c>
      <c r="C2318" t="str">
        <f>IFERROR(VLOOKUP($A2318,原始数据_收盘!$A$4:$G$3460,3,0),"")</f>
        <v/>
      </c>
      <c r="D2318" t="str">
        <f>IFERROR(VLOOKUP($A2318,原始数据_收盘!$A$4:$G$3460,4,0),"")</f>
        <v/>
      </c>
      <c r="E2318" t="str">
        <f>IFERROR(VLOOKUP($A2318,原始数据_收盘!$A$4:$G$3460,5,0),"")</f>
        <v/>
      </c>
      <c r="F2318" t="str">
        <f>IFERROR(VLOOKUP($A2318,原始数据_收盘!$A$4:$G$3460,6,0),"")</f>
        <v/>
      </c>
      <c r="G2318" t="str">
        <f>IFERROR(VLOOKUP($A2318,原始数据_收盘!$A$4:$G$3460,7,0),"")</f>
        <v/>
      </c>
      <c r="H2318" t="str">
        <f>IFERROR(VLOOKUP($A2318,原始数据_利率互换_FR007_1年!$A$6:$C$4395,2,0),"")</f>
        <v/>
      </c>
      <c r="I2318" t="str">
        <f>IFERROR(VLOOKUP($A2318,原始数据_利率互换_FR007_1年!$A$6:$C$4395,3,0),"")</f>
        <v/>
      </c>
    </row>
    <row r="2319" spans="1:9">
      <c r="A2319" s="6">
        <v>41812</v>
      </c>
      <c r="B2319" t="str">
        <f>IFERROR(VLOOKUP($A2319,原始数据_收盘!$A$4:$G$3460,2,0),"")</f>
        <v/>
      </c>
      <c r="C2319" t="str">
        <f>IFERROR(VLOOKUP($A2319,原始数据_收盘!$A$4:$G$3460,3,0),"")</f>
        <v/>
      </c>
      <c r="D2319" t="str">
        <f>IFERROR(VLOOKUP($A2319,原始数据_收盘!$A$4:$G$3460,4,0),"")</f>
        <v/>
      </c>
      <c r="E2319" t="str">
        <f>IFERROR(VLOOKUP($A2319,原始数据_收盘!$A$4:$G$3460,5,0),"")</f>
        <v/>
      </c>
      <c r="F2319" t="str">
        <f>IFERROR(VLOOKUP($A2319,原始数据_收盘!$A$4:$G$3460,6,0),"")</f>
        <v/>
      </c>
      <c r="G2319" t="str">
        <f>IFERROR(VLOOKUP($A2319,原始数据_收盘!$A$4:$G$3460,7,0),"")</f>
        <v/>
      </c>
      <c r="H2319" t="str">
        <f>IFERROR(VLOOKUP($A2319,原始数据_利率互换_FR007_1年!$A$6:$C$4395,2,0),"")</f>
        <v/>
      </c>
      <c r="I2319" t="str">
        <f>IFERROR(VLOOKUP($A2319,原始数据_利率互换_FR007_1年!$A$6:$C$4395,3,0),"")</f>
        <v/>
      </c>
    </row>
    <row r="2320" spans="1:9">
      <c r="A2320" s="6">
        <v>41813</v>
      </c>
      <c r="B2320">
        <f>IFERROR(VLOOKUP($A2320,原始数据_收盘!$A$4:$G$3460,2,0),"")</f>
        <v>3.4411</v>
      </c>
      <c r="C2320">
        <f>IFERROR(VLOOKUP($A2320,原始数据_收盘!$A$4:$G$3460,3,0),"")</f>
        <v>3.9034</v>
      </c>
      <c r="D2320">
        <f>IFERROR(VLOOKUP($A2320,原始数据_收盘!$A$4:$G$3460,4,0),"")</f>
        <v>3.5056</v>
      </c>
      <c r="E2320">
        <f>IFERROR(VLOOKUP($A2320,原始数据_收盘!$A$4:$G$3460,5,0),"")</f>
        <v>3.9737</v>
      </c>
      <c r="F2320">
        <f>IFERROR(VLOOKUP($A2320,原始数据_收盘!$A$4:$G$3460,6,0),"")</f>
        <v>3.4734</v>
      </c>
      <c r="G2320">
        <f>IFERROR(VLOOKUP($A2320,原始数据_收盘!$A$4:$G$3460,7,0),"")</f>
        <v>3.9385</v>
      </c>
      <c r="H2320">
        <f>IFERROR(VLOOKUP($A2320,原始数据_利率互换_FR007_1年!$A$6:$C$4395,2,0),"")</f>
        <v>3.4795</v>
      </c>
      <c r="I2320">
        <f>IFERROR(VLOOKUP($A2320,原始数据_利率互换_FR007_1年!$A$6:$C$4395,3,0),"")</f>
        <v>3.9402</v>
      </c>
    </row>
    <row r="2321" spans="1:9">
      <c r="A2321" s="6">
        <v>41814</v>
      </c>
      <c r="B2321">
        <f>IFERROR(VLOOKUP($A2321,原始数据_收盘!$A$4:$G$3460,2,0),"")</f>
        <v>3.4616</v>
      </c>
      <c r="C2321">
        <f>IFERROR(VLOOKUP($A2321,原始数据_收盘!$A$4:$G$3460,3,0),"")</f>
        <v>3.9257</v>
      </c>
      <c r="D2321">
        <f>IFERROR(VLOOKUP($A2321,原始数据_收盘!$A$4:$G$3460,4,0),"")</f>
        <v>3.5246</v>
      </c>
      <c r="E2321">
        <f>IFERROR(VLOOKUP($A2321,原始数据_收盘!$A$4:$G$3460,5,0),"")</f>
        <v>3.9952</v>
      </c>
      <c r="F2321">
        <f>IFERROR(VLOOKUP($A2321,原始数据_收盘!$A$4:$G$3460,6,0),"")</f>
        <v>3.4931</v>
      </c>
      <c r="G2321">
        <f>IFERROR(VLOOKUP($A2321,原始数据_收盘!$A$4:$G$3460,7,0),"")</f>
        <v>3.9605</v>
      </c>
      <c r="H2321">
        <f>IFERROR(VLOOKUP($A2321,原始数据_利率互换_FR007_1年!$A$6:$C$4395,2,0),"")</f>
        <v>3.4838</v>
      </c>
      <c r="I2321">
        <f>IFERROR(VLOOKUP($A2321,原始数据_利率互换_FR007_1年!$A$6:$C$4395,3,0),"")</f>
        <v>3.9484</v>
      </c>
    </row>
    <row r="2322" spans="1:9">
      <c r="A2322" s="6">
        <v>41815</v>
      </c>
      <c r="B2322">
        <f>IFERROR(VLOOKUP($A2322,原始数据_收盘!$A$4:$G$3460,2,0),"")</f>
        <v>3.5168</v>
      </c>
      <c r="C2322">
        <f>IFERROR(VLOOKUP($A2322,原始数据_收盘!$A$4:$G$3460,3,0),"")</f>
        <v>3.991</v>
      </c>
      <c r="D2322">
        <f>IFERROR(VLOOKUP($A2322,原始数据_收盘!$A$4:$G$3460,4,0),"")</f>
        <v>3.5755</v>
      </c>
      <c r="E2322">
        <f>IFERROR(VLOOKUP($A2322,原始数据_收盘!$A$4:$G$3460,5,0),"")</f>
        <v>4.0492</v>
      </c>
      <c r="F2322">
        <f>IFERROR(VLOOKUP($A2322,原始数据_收盘!$A$4:$G$3460,6,0),"")</f>
        <v>3.5462</v>
      </c>
      <c r="G2322">
        <f>IFERROR(VLOOKUP($A2322,原始数据_收盘!$A$4:$G$3460,7,0),"")</f>
        <v>4.0201</v>
      </c>
      <c r="H2322">
        <f>IFERROR(VLOOKUP($A2322,原始数据_利率互换_FR007_1年!$A$6:$C$4395,2,0),"")</f>
        <v>3.5293</v>
      </c>
      <c r="I2322">
        <f>IFERROR(VLOOKUP($A2322,原始数据_利率互换_FR007_1年!$A$6:$C$4395,3,0),"")</f>
        <v>4.0055</v>
      </c>
    </row>
    <row r="2323" spans="1:9">
      <c r="A2323" s="6">
        <v>41816</v>
      </c>
      <c r="B2323">
        <f>IFERROR(VLOOKUP($A2323,原始数据_收盘!$A$4:$G$3460,2,0),"")</f>
        <v>3.5118</v>
      </c>
      <c r="C2323">
        <f>IFERROR(VLOOKUP($A2323,原始数据_收盘!$A$4:$G$3460,3,0),"")</f>
        <v>3.9985</v>
      </c>
      <c r="D2323">
        <f>IFERROR(VLOOKUP($A2323,原始数据_收盘!$A$4:$G$3460,4,0),"")</f>
        <v>3.5785</v>
      </c>
      <c r="E2323">
        <f>IFERROR(VLOOKUP($A2323,原始数据_收盘!$A$4:$G$3460,5,0),"")</f>
        <v>4.0701</v>
      </c>
      <c r="F2323">
        <f>IFERROR(VLOOKUP($A2323,原始数据_收盘!$A$4:$G$3460,6,0),"")</f>
        <v>3.5451</v>
      </c>
      <c r="G2323">
        <f>IFERROR(VLOOKUP($A2323,原始数据_收盘!$A$4:$G$3460,7,0),"")</f>
        <v>4.0343</v>
      </c>
      <c r="H2323">
        <f>IFERROR(VLOOKUP($A2323,原始数据_利率互换_FR007_1年!$A$6:$C$4395,2,0),"")</f>
        <v>3.5384</v>
      </c>
      <c r="I2323">
        <f>IFERROR(VLOOKUP($A2323,原始数据_利率互换_FR007_1年!$A$6:$C$4395,3,0),"")</f>
        <v>4.0434</v>
      </c>
    </row>
    <row r="2324" spans="1:9">
      <c r="A2324" s="6">
        <v>41817</v>
      </c>
      <c r="B2324">
        <f>IFERROR(VLOOKUP($A2324,原始数据_收盘!$A$4:$G$3460,2,0),"")</f>
        <v>3.5171</v>
      </c>
      <c r="C2324">
        <f>IFERROR(VLOOKUP($A2324,原始数据_收盘!$A$4:$G$3460,3,0),"")</f>
        <v>4.0085</v>
      </c>
      <c r="D2324">
        <f>IFERROR(VLOOKUP($A2324,原始数据_收盘!$A$4:$G$3460,4,0),"")</f>
        <v>3.5749</v>
      </c>
      <c r="E2324">
        <f>IFERROR(VLOOKUP($A2324,原始数据_收盘!$A$4:$G$3460,5,0),"")</f>
        <v>4.0718</v>
      </c>
      <c r="F2324">
        <f>IFERROR(VLOOKUP($A2324,原始数据_收盘!$A$4:$G$3460,6,0),"")</f>
        <v>3.546</v>
      </c>
      <c r="G2324">
        <f>IFERROR(VLOOKUP($A2324,原始数据_收盘!$A$4:$G$3460,7,0),"")</f>
        <v>4.0402</v>
      </c>
      <c r="H2324">
        <f>IFERROR(VLOOKUP($A2324,原始数据_利率互换_FR007_1年!$A$6:$C$4395,2,0),"")</f>
        <v>3.5427</v>
      </c>
      <c r="I2324">
        <f>IFERROR(VLOOKUP($A2324,原始数据_利率互换_FR007_1年!$A$6:$C$4395,3,0),"")</f>
        <v>4.0488</v>
      </c>
    </row>
    <row r="2325" spans="1:9">
      <c r="A2325" s="6">
        <v>41818</v>
      </c>
      <c r="B2325" t="str">
        <f>IFERROR(VLOOKUP($A2325,原始数据_收盘!$A$4:$G$3460,2,0),"")</f>
        <v/>
      </c>
      <c r="C2325" t="str">
        <f>IFERROR(VLOOKUP($A2325,原始数据_收盘!$A$4:$G$3460,3,0),"")</f>
        <v/>
      </c>
      <c r="D2325" t="str">
        <f>IFERROR(VLOOKUP($A2325,原始数据_收盘!$A$4:$G$3460,4,0),"")</f>
        <v/>
      </c>
      <c r="E2325" t="str">
        <f>IFERROR(VLOOKUP($A2325,原始数据_收盘!$A$4:$G$3460,5,0),"")</f>
        <v/>
      </c>
      <c r="F2325" t="str">
        <f>IFERROR(VLOOKUP($A2325,原始数据_收盘!$A$4:$G$3460,6,0),"")</f>
        <v/>
      </c>
      <c r="G2325" t="str">
        <f>IFERROR(VLOOKUP($A2325,原始数据_收盘!$A$4:$G$3460,7,0),"")</f>
        <v/>
      </c>
      <c r="H2325" t="str">
        <f>IFERROR(VLOOKUP($A2325,原始数据_利率互换_FR007_1年!$A$6:$C$4395,2,0),"")</f>
        <v/>
      </c>
      <c r="I2325" t="str">
        <f>IFERROR(VLOOKUP($A2325,原始数据_利率互换_FR007_1年!$A$6:$C$4395,3,0),"")</f>
        <v/>
      </c>
    </row>
    <row r="2326" spans="1:9">
      <c r="A2326" s="6">
        <v>41819</v>
      </c>
      <c r="B2326" t="str">
        <f>IFERROR(VLOOKUP($A2326,原始数据_收盘!$A$4:$G$3460,2,0),"")</f>
        <v/>
      </c>
      <c r="C2326" t="str">
        <f>IFERROR(VLOOKUP($A2326,原始数据_收盘!$A$4:$G$3460,3,0),"")</f>
        <v/>
      </c>
      <c r="D2326" t="str">
        <f>IFERROR(VLOOKUP($A2326,原始数据_收盘!$A$4:$G$3460,4,0),"")</f>
        <v/>
      </c>
      <c r="E2326" t="str">
        <f>IFERROR(VLOOKUP($A2326,原始数据_收盘!$A$4:$G$3460,5,0),"")</f>
        <v/>
      </c>
      <c r="F2326" t="str">
        <f>IFERROR(VLOOKUP($A2326,原始数据_收盘!$A$4:$G$3460,6,0),"")</f>
        <v/>
      </c>
      <c r="G2326" t="str">
        <f>IFERROR(VLOOKUP($A2326,原始数据_收盘!$A$4:$G$3460,7,0),"")</f>
        <v/>
      </c>
      <c r="H2326" t="str">
        <f>IFERROR(VLOOKUP($A2326,原始数据_利率互换_FR007_1年!$A$6:$C$4395,2,0),"")</f>
        <v/>
      </c>
      <c r="I2326" t="str">
        <f>IFERROR(VLOOKUP($A2326,原始数据_利率互换_FR007_1年!$A$6:$C$4395,3,0),"")</f>
        <v/>
      </c>
    </row>
    <row r="2327" spans="1:9">
      <c r="A2327" s="6">
        <v>41820</v>
      </c>
      <c r="B2327">
        <f>IFERROR(VLOOKUP($A2327,原始数据_收盘!$A$4:$G$3460,2,0),"")</f>
        <v>3.571</v>
      </c>
      <c r="C2327">
        <f>IFERROR(VLOOKUP($A2327,原始数据_收盘!$A$4:$G$3460,3,0),"")</f>
        <v>4.0633</v>
      </c>
      <c r="D2327">
        <f>IFERROR(VLOOKUP($A2327,原始数据_收盘!$A$4:$G$3460,4,0),"")</f>
        <v>3.6425</v>
      </c>
      <c r="E2327">
        <f>IFERROR(VLOOKUP($A2327,原始数据_收盘!$A$4:$G$3460,5,0),"")</f>
        <v>4.1355</v>
      </c>
      <c r="F2327">
        <f>IFERROR(VLOOKUP($A2327,原始数据_收盘!$A$4:$G$3460,6,0),"")</f>
        <v>3.6068</v>
      </c>
      <c r="G2327">
        <f>IFERROR(VLOOKUP($A2327,原始数据_收盘!$A$4:$G$3460,7,0),"")</f>
        <v>4.0994</v>
      </c>
      <c r="H2327">
        <f>IFERROR(VLOOKUP($A2327,原始数据_利率互换_FR007_1年!$A$6:$C$4395,2,0),"")</f>
        <v>3.5914</v>
      </c>
      <c r="I2327">
        <f>IFERROR(VLOOKUP($A2327,原始数据_利率互换_FR007_1年!$A$6:$C$4395,3,0),"")</f>
        <v>4.1072</v>
      </c>
    </row>
    <row r="2328" spans="1:9">
      <c r="A2328" s="6">
        <v>41821</v>
      </c>
      <c r="B2328">
        <f>IFERROR(VLOOKUP($A2328,原始数据_收盘!$A$4:$G$3460,2,0),"")</f>
        <v>3.7096</v>
      </c>
      <c r="C2328">
        <f>IFERROR(VLOOKUP($A2328,原始数据_收盘!$A$4:$G$3460,3,0),"")</f>
        <v>4.1996</v>
      </c>
      <c r="D2328">
        <f>IFERROR(VLOOKUP($A2328,原始数据_收盘!$A$4:$G$3460,4,0),"")</f>
        <v>3.775</v>
      </c>
      <c r="E2328">
        <f>IFERROR(VLOOKUP($A2328,原始数据_收盘!$A$4:$G$3460,5,0),"")</f>
        <v>4.2638</v>
      </c>
      <c r="F2328">
        <f>IFERROR(VLOOKUP($A2328,原始数据_收盘!$A$4:$G$3460,6,0),"")</f>
        <v>3.7423</v>
      </c>
      <c r="G2328">
        <f>IFERROR(VLOOKUP($A2328,原始数据_收盘!$A$4:$G$3460,7,0),"")</f>
        <v>4.2317</v>
      </c>
      <c r="H2328">
        <f>IFERROR(VLOOKUP($A2328,原始数据_利率互换_FR007_1年!$A$6:$C$4395,2,0),"")</f>
        <v>3.7103</v>
      </c>
      <c r="I2328">
        <f>IFERROR(VLOOKUP($A2328,原始数据_利率互换_FR007_1年!$A$6:$C$4395,3,0),"")</f>
        <v>4.2014</v>
      </c>
    </row>
    <row r="2329" spans="1:9">
      <c r="A2329" s="6">
        <v>41822</v>
      </c>
      <c r="B2329">
        <f>IFERROR(VLOOKUP($A2329,原始数据_收盘!$A$4:$G$3460,2,0),"")</f>
        <v>3.6797</v>
      </c>
      <c r="C2329">
        <f>IFERROR(VLOOKUP($A2329,原始数据_收盘!$A$4:$G$3460,3,0),"")</f>
        <v>4.1663</v>
      </c>
      <c r="D2329">
        <f>IFERROR(VLOOKUP($A2329,原始数据_收盘!$A$4:$G$3460,4,0),"")</f>
        <v>3.7453</v>
      </c>
      <c r="E2329">
        <f>IFERROR(VLOOKUP($A2329,原始数据_收盘!$A$4:$G$3460,5,0),"")</f>
        <v>4.2323</v>
      </c>
      <c r="F2329">
        <f>IFERROR(VLOOKUP($A2329,原始数据_收盘!$A$4:$G$3460,6,0),"")</f>
        <v>3.7125</v>
      </c>
      <c r="G2329">
        <f>IFERROR(VLOOKUP($A2329,原始数据_收盘!$A$4:$G$3460,7,0),"")</f>
        <v>4.1993</v>
      </c>
      <c r="H2329">
        <f>IFERROR(VLOOKUP($A2329,原始数据_利率互换_FR007_1年!$A$6:$C$4395,2,0),"")</f>
        <v>3.7274</v>
      </c>
      <c r="I2329">
        <f>IFERROR(VLOOKUP($A2329,原始数据_利率互换_FR007_1年!$A$6:$C$4395,3,0),"")</f>
        <v>4.2045</v>
      </c>
    </row>
    <row r="2330" spans="1:9">
      <c r="A2330" s="6">
        <v>41823</v>
      </c>
      <c r="B2330">
        <f>IFERROR(VLOOKUP($A2330,原始数据_收盘!$A$4:$G$3460,2,0),"")</f>
        <v>3.703</v>
      </c>
      <c r="C2330">
        <f>IFERROR(VLOOKUP($A2330,原始数据_收盘!$A$4:$G$3460,3,0),"")</f>
        <v>4.212</v>
      </c>
      <c r="D2330">
        <f>IFERROR(VLOOKUP($A2330,原始数据_收盘!$A$4:$G$3460,4,0),"")</f>
        <v>3.7617</v>
      </c>
      <c r="E2330">
        <f>IFERROR(VLOOKUP($A2330,原始数据_收盘!$A$4:$G$3460,5,0),"")</f>
        <v>4.2735</v>
      </c>
      <c r="F2330">
        <f>IFERROR(VLOOKUP($A2330,原始数据_收盘!$A$4:$G$3460,6,0),"")</f>
        <v>3.7323</v>
      </c>
      <c r="G2330">
        <f>IFERROR(VLOOKUP($A2330,原始数据_收盘!$A$4:$G$3460,7,0),"")</f>
        <v>4.2428</v>
      </c>
      <c r="H2330">
        <f>IFERROR(VLOOKUP($A2330,原始数据_利率互换_FR007_1年!$A$6:$C$4395,2,0),"")</f>
        <v>3.7436</v>
      </c>
      <c r="I2330">
        <f>IFERROR(VLOOKUP($A2330,原始数据_利率互换_FR007_1年!$A$6:$C$4395,3,0),"")</f>
        <v>4.2364</v>
      </c>
    </row>
    <row r="2331" spans="1:9">
      <c r="A2331" s="6">
        <v>41824</v>
      </c>
      <c r="B2331">
        <f>IFERROR(VLOOKUP($A2331,原始数据_收盘!$A$4:$G$3460,2,0),"")</f>
        <v>3.6982</v>
      </c>
      <c r="C2331">
        <f>IFERROR(VLOOKUP($A2331,原始数据_收盘!$A$4:$G$3460,3,0),"")</f>
        <v>4.209</v>
      </c>
      <c r="D2331">
        <f>IFERROR(VLOOKUP($A2331,原始数据_收盘!$A$4:$G$3460,4,0),"")</f>
        <v>3.76</v>
      </c>
      <c r="E2331">
        <f>IFERROR(VLOOKUP($A2331,原始数据_收盘!$A$4:$G$3460,5,0),"")</f>
        <v>4.2768</v>
      </c>
      <c r="F2331">
        <f>IFERROR(VLOOKUP($A2331,原始数据_收盘!$A$4:$G$3460,6,0),"")</f>
        <v>3.7291</v>
      </c>
      <c r="G2331">
        <f>IFERROR(VLOOKUP($A2331,原始数据_收盘!$A$4:$G$3460,7,0),"")</f>
        <v>4.2429</v>
      </c>
      <c r="H2331">
        <f>IFERROR(VLOOKUP($A2331,原始数据_利率互换_FR007_1年!$A$6:$C$4395,2,0),"")</f>
        <v>3.7572</v>
      </c>
      <c r="I2331">
        <f>IFERROR(VLOOKUP($A2331,原始数据_利率互换_FR007_1年!$A$6:$C$4395,3,0),"")</f>
        <v>4.2709</v>
      </c>
    </row>
    <row r="2332" spans="1:9">
      <c r="A2332" s="6">
        <v>41825</v>
      </c>
      <c r="B2332" t="str">
        <f>IFERROR(VLOOKUP($A2332,原始数据_收盘!$A$4:$G$3460,2,0),"")</f>
        <v/>
      </c>
      <c r="C2332" t="str">
        <f>IFERROR(VLOOKUP($A2332,原始数据_收盘!$A$4:$G$3460,3,0),"")</f>
        <v/>
      </c>
      <c r="D2332" t="str">
        <f>IFERROR(VLOOKUP($A2332,原始数据_收盘!$A$4:$G$3460,4,0),"")</f>
        <v/>
      </c>
      <c r="E2332" t="str">
        <f>IFERROR(VLOOKUP($A2332,原始数据_收盘!$A$4:$G$3460,5,0),"")</f>
        <v/>
      </c>
      <c r="F2332" t="str">
        <f>IFERROR(VLOOKUP($A2332,原始数据_收盘!$A$4:$G$3460,6,0),"")</f>
        <v/>
      </c>
      <c r="G2332" t="str">
        <f>IFERROR(VLOOKUP($A2332,原始数据_收盘!$A$4:$G$3460,7,0),"")</f>
        <v/>
      </c>
      <c r="H2332" t="str">
        <f>IFERROR(VLOOKUP($A2332,原始数据_利率互换_FR007_1年!$A$6:$C$4395,2,0),"")</f>
        <v/>
      </c>
      <c r="I2332" t="str">
        <f>IFERROR(VLOOKUP($A2332,原始数据_利率互换_FR007_1年!$A$6:$C$4395,3,0),"")</f>
        <v/>
      </c>
    </row>
    <row r="2333" spans="1:9">
      <c r="A2333" s="6">
        <v>41826</v>
      </c>
      <c r="B2333" t="str">
        <f>IFERROR(VLOOKUP($A2333,原始数据_收盘!$A$4:$G$3460,2,0),"")</f>
        <v/>
      </c>
      <c r="C2333" t="str">
        <f>IFERROR(VLOOKUP($A2333,原始数据_收盘!$A$4:$G$3460,3,0),"")</f>
        <v/>
      </c>
      <c r="D2333" t="str">
        <f>IFERROR(VLOOKUP($A2333,原始数据_收盘!$A$4:$G$3460,4,0),"")</f>
        <v/>
      </c>
      <c r="E2333" t="str">
        <f>IFERROR(VLOOKUP($A2333,原始数据_收盘!$A$4:$G$3460,5,0),"")</f>
        <v/>
      </c>
      <c r="F2333" t="str">
        <f>IFERROR(VLOOKUP($A2333,原始数据_收盘!$A$4:$G$3460,6,0),"")</f>
        <v/>
      </c>
      <c r="G2333" t="str">
        <f>IFERROR(VLOOKUP($A2333,原始数据_收盘!$A$4:$G$3460,7,0),"")</f>
        <v/>
      </c>
      <c r="H2333" t="str">
        <f>IFERROR(VLOOKUP($A2333,原始数据_利率互换_FR007_1年!$A$6:$C$4395,2,0),"")</f>
        <v/>
      </c>
      <c r="I2333" t="str">
        <f>IFERROR(VLOOKUP($A2333,原始数据_利率互换_FR007_1年!$A$6:$C$4395,3,0),"")</f>
        <v/>
      </c>
    </row>
    <row r="2334" spans="1:9">
      <c r="A2334" s="6">
        <v>41827</v>
      </c>
      <c r="B2334">
        <f>IFERROR(VLOOKUP($A2334,原始数据_收盘!$A$4:$G$3460,2,0),"")</f>
        <v>3.6688</v>
      </c>
      <c r="C2334">
        <f>IFERROR(VLOOKUP($A2334,原始数据_收盘!$A$4:$G$3460,3,0),"")</f>
        <v>4.1825</v>
      </c>
      <c r="D2334">
        <f>IFERROR(VLOOKUP($A2334,原始数据_收盘!$A$4:$G$3460,4,0),"")</f>
        <v>3.7378</v>
      </c>
      <c r="E2334">
        <f>IFERROR(VLOOKUP($A2334,原始数据_收盘!$A$4:$G$3460,5,0),"")</f>
        <v>4.2533</v>
      </c>
      <c r="F2334">
        <f>IFERROR(VLOOKUP($A2334,原始数据_收盘!$A$4:$G$3460,6,0),"")</f>
        <v>3.7033</v>
      </c>
      <c r="G2334">
        <f>IFERROR(VLOOKUP($A2334,原始数据_收盘!$A$4:$G$3460,7,0),"")</f>
        <v>4.2179</v>
      </c>
      <c r="H2334">
        <f>IFERROR(VLOOKUP($A2334,原始数据_利率互换_FR007_1年!$A$6:$C$4395,2,0),"")</f>
        <v>3.6929</v>
      </c>
      <c r="I2334">
        <f>IFERROR(VLOOKUP($A2334,原始数据_利率互换_FR007_1年!$A$6:$C$4395,3,0),"")</f>
        <v>4.2018</v>
      </c>
    </row>
    <row r="2335" spans="1:9">
      <c r="A2335" s="6">
        <v>41828</v>
      </c>
      <c r="B2335">
        <f>IFERROR(VLOOKUP($A2335,原始数据_收盘!$A$4:$G$3460,2,0),"")</f>
        <v>3.6853</v>
      </c>
      <c r="C2335">
        <f>IFERROR(VLOOKUP($A2335,原始数据_收盘!$A$4:$G$3460,3,0),"")</f>
        <v>4.1979</v>
      </c>
      <c r="D2335">
        <f>IFERROR(VLOOKUP($A2335,原始数据_收盘!$A$4:$G$3460,4,0),"")</f>
        <v>3.754</v>
      </c>
      <c r="E2335">
        <f>IFERROR(VLOOKUP($A2335,原始数据_收盘!$A$4:$G$3460,5,0),"")</f>
        <v>4.2675</v>
      </c>
      <c r="F2335">
        <f>IFERROR(VLOOKUP($A2335,原始数据_收盘!$A$4:$G$3460,6,0),"")</f>
        <v>3.7196</v>
      </c>
      <c r="G2335">
        <f>IFERROR(VLOOKUP($A2335,原始数据_收盘!$A$4:$G$3460,7,0),"")</f>
        <v>4.2327</v>
      </c>
      <c r="H2335">
        <f>IFERROR(VLOOKUP($A2335,原始数据_利率互换_FR007_1年!$A$6:$C$4395,2,0),"")</f>
        <v>3.7042</v>
      </c>
      <c r="I2335">
        <f>IFERROR(VLOOKUP($A2335,原始数据_利率互换_FR007_1年!$A$6:$C$4395,3,0),"")</f>
        <v>4.2209</v>
      </c>
    </row>
    <row r="2336" spans="1:9">
      <c r="A2336" s="6">
        <v>41829</v>
      </c>
      <c r="B2336">
        <f>IFERROR(VLOOKUP($A2336,原始数据_收盘!$A$4:$G$3460,2,0),"")</f>
        <v>3.7132</v>
      </c>
      <c r="C2336">
        <f>IFERROR(VLOOKUP($A2336,原始数据_收盘!$A$4:$G$3460,3,0),"")</f>
        <v>4.2137</v>
      </c>
      <c r="D2336">
        <f>IFERROR(VLOOKUP($A2336,原始数据_收盘!$A$4:$G$3460,4,0),"")</f>
        <v>3.7747</v>
      </c>
      <c r="E2336">
        <f>IFERROR(VLOOKUP($A2336,原始数据_收盘!$A$4:$G$3460,5,0),"")</f>
        <v>4.2817</v>
      </c>
      <c r="F2336">
        <f>IFERROR(VLOOKUP($A2336,原始数据_收盘!$A$4:$G$3460,6,0),"")</f>
        <v>3.744</v>
      </c>
      <c r="G2336">
        <f>IFERROR(VLOOKUP($A2336,原始数据_收盘!$A$4:$G$3460,7,0),"")</f>
        <v>4.2477</v>
      </c>
      <c r="H2336">
        <f>IFERROR(VLOOKUP($A2336,原始数据_利率互换_FR007_1年!$A$6:$C$4395,2,0),"")</f>
        <v>3.7422</v>
      </c>
      <c r="I2336">
        <f>IFERROR(VLOOKUP($A2336,原始数据_利率互换_FR007_1年!$A$6:$C$4395,3,0),"")</f>
        <v>4.2613</v>
      </c>
    </row>
    <row r="2337" spans="1:9">
      <c r="A2337" s="6">
        <v>41830</v>
      </c>
      <c r="B2337">
        <f>IFERROR(VLOOKUP($A2337,原始数据_收盘!$A$4:$G$3460,2,0),"")</f>
        <v>3.7115</v>
      </c>
      <c r="C2337">
        <f>IFERROR(VLOOKUP($A2337,原始数据_收盘!$A$4:$G$3460,3,0),"")</f>
        <v>4.2085</v>
      </c>
      <c r="D2337">
        <f>IFERROR(VLOOKUP($A2337,原始数据_收盘!$A$4:$G$3460,4,0),"")</f>
        <v>3.7732</v>
      </c>
      <c r="E2337">
        <f>IFERROR(VLOOKUP($A2337,原始数据_收盘!$A$4:$G$3460,5,0),"")</f>
        <v>4.2755</v>
      </c>
      <c r="F2337">
        <f>IFERROR(VLOOKUP($A2337,原始数据_收盘!$A$4:$G$3460,6,0),"")</f>
        <v>3.7423</v>
      </c>
      <c r="G2337">
        <f>IFERROR(VLOOKUP($A2337,原始数据_收盘!$A$4:$G$3460,7,0),"")</f>
        <v>4.242</v>
      </c>
      <c r="H2337">
        <f>IFERROR(VLOOKUP($A2337,原始数据_利率互换_FR007_1年!$A$6:$C$4395,2,0),"")</f>
        <v>3.7491</v>
      </c>
      <c r="I2337">
        <f>IFERROR(VLOOKUP($A2337,原始数据_利率互换_FR007_1年!$A$6:$C$4395,3,0),"")</f>
        <v>4.2504</v>
      </c>
    </row>
    <row r="2338" spans="1:9">
      <c r="A2338" s="6">
        <v>41831</v>
      </c>
      <c r="B2338">
        <f>IFERROR(VLOOKUP($A2338,原始数据_收盘!$A$4:$G$3460,2,0),"")</f>
        <v>3.6988</v>
      </c>
      <c r="C2338">
        <f>IFERROR(VLOOKUP($A2338,原始数据_收盘!$A$4:$G$3460,3,0),"")</f>
        <v>4.1921</v>
      </c>
      <c r="D2338">
        <f>IFERROR(VLOOKUP($A2338,原始数据_收盘!$A$4:$G$3460,4,0),"")</f>
        <v>3.7611</v>
      </c>
      <c r="E2338">
        <f>IFERROR(VLOOKUP($A2338,原始数据_收盘!$A$4:$G$3460,5,0),"")</f>
        <v>4.254</v>
      </c>
      <c r="F2338">
        <f>IFERROR(VLOOKUP($A2338,原始数据_收盘!$A$4:$G$3460,6,0),"")</f>
        <v>3.73</v>
      </c>
      <c r="G2338">
        <f>IFERROR(VLOOKUP($A2338,原始数据_收盘!$A$4:$G$3460,7,0),"")</f>
        <v>4.2231</v>
      </c>
      <c r="H2338">
        <f>IFERROR(VLOOKUP($A2338,原始数据_利率互换_FR007_1年!$A$6:$C$4395,2,0),"")</f>
        <v>3.7257</v>
      </c>
      <c r="I2338">
        <f>IFERROR(VLOOKUP($A2338,原始数据_利率互换_FR007_1年!$A$6:$C$4395,3,0),"")</f>
        <v>4.2181</v>
      </c>
    </row>
    <row r="2339" spans="1:9">
      <c r="A2339" s="6">
        <v>41832</v>
      </c>
      <c r="B2339" t="str">
        <f>IFERROR(VLOOKUP($A2339,原始数据_收盘!$A$4:$G$3460,2,0),"")</f>
        <v/>
      </c>
      <c r="C2339" t="str">
        <f>IFERROR(VLOOKUP($A2339,原始数据_收盘!$A$4:$G$3460,3,0),"")</f>
        <v/>
      </c>
      <c r="D2339" t="str">
        <f>IFERROR(VLOOKUP($A2339,原始数据_收盘!$A$4:$G$3460,4,0),"")</f>
        <v/>
      </c>
      <c r="E2339" t="str">
        <f>IFERROR(VLOOKUP($A2339,原始数据_收盘!$A$4:$G$3460,5,0),"")</f>
        <v/>
      </c>
      <c r="F2339" t="str">
        <f>IFERROR(VLOOKUP($A2339,原始数据_收盘!$A$4:$G$3460,6,0),"")</f>
        <v/>
      </c>
      <c r="G2339" t="str">
        <f>IFERROR(VLOOKUP($A2339,原始数据_收盘!$A$4:$G$3460,7,0),"")</f>
        <v/>
      </c>
      <c r="H2339" t="str">
        <f>IFERROR(VLOOKUP($A2339,原始数据_利率互换_FR007_1年!$A$6:$C$4395,2,0),"")</f>
        <v/>
      </c>
      <c r="I2339" t="str">
        <f>IFERROR(VLOOKUP($A2339,原始数据_利率互换_FR007_1年!$A$6:$C$4395,3,0),"")</f>
        <v/>
      </c>
    </row>
    <row r="2340" spans="1:9">
      <c r="A2340" s="6">
        <v>41833</v>
      </c>
      <c r="B2340" t="str">
        <f>IFERROR(VLOOKUP($A2340,原始数据_收盘!$A$4:$G$3460,2,0),"")</f>
        <v/>
      </c>
      <c r="C2340" t="str">
        <f>IFERROR(VLOOKUP($A2340,原始数据_收盘!$A$4:$G$3460,3,0),"")</f>
        <v/>
      </c>
      <c r="D2340" t="str">
        <f>IFERROR(VLOOKUP($A2340,原始数据_收盘!$A$4:$G$3460,4,0),"")</f>
        <v/>
      </c>
      <c r="E2340" t="str">
        <f>IFERROR(VLOOKUP($A2340,原始数据_收盘!$A$4:$G$3460,5,0),"")</f>
        <v/>
      </c>
      <c r="F2340" t="str">
        <f>IFERROR(VLOOKUP($A2340,原始数据_收盘!$A$4:$G$3460,6,0),"")</f>
        <v/>
      </c>
      <c r="G2340" t="str">
        <f>IFERROR(VLOOKUP($A2340,原始数据_收盘!$A$4:$G$3460,7,0),"")</f>
        <v/>
      </c>
      <c r="H2340" t="str">
        <f>IFERROR(VLOOKUP($A2340,原始数据_利率互换_FR007_1年!$A$6:$C$4395,2,0),"")</f>
        <v/>
      </c>
      <c r="I2340" t="str">
        <f>IFERROR(VLOOKUP($A2340,原始数据_利率互换_FR007_1年!$A$6:$C$4395,3,0),"")</f>
        <v/>
      </c>
    </row>
    <row r="2341" spans="1:9">
      <c r="A2341" s="6">
        <v>41834</v>
      </c>
      <c r="B2341">
        <f>IFERROR(VLOOKUP($A2341,原始数据_收盘!$A$4:$G$3460,2,0),"")</f>
        <v>3.7365</v>
      </c>
      <c r="C2341">
        <f>IFERROR(VLOOKUP($A2341,原始数据_收盘!$A$4:$G$3460,3,0),"")</f>
        <v>4.2279</v>
      </c>
      <c r="D2341">
        <f>IFERROR(VLOOKUP($A2341,原始数据_收盘!$A$4:$G$3460,4,0),"")</f>
        <v>3.7992</v>
      </c>
      <c r="E2341">
        <f>IFERROR(VLOOKUP($A2341,原始数据_收盘!$A$4:$G$3460,5,0),"")</f>
        <v>4.3002</v>
      </c>
      <c r="F2341">
        <f>IFERROR(VLOOKUP($A2341,原始数据_收盘!$A$4:$G$3460,6,0),"")</f>
        <v>3.7679</v>
      </c>
      <c r="G2341">
        <f>IFERROR(VLOOKUP($A2341,原始数据_收盘!$A$4:$G$3460,7,0),"")</f>
        <v>4.264</v>
      </c>
      <c r="H2341">
        <f>IFERROR(VLOOKUP($A2341,原始数据_利率互换_FR007_1年!$A$6:$C$4395,2,0),"")</f>
        <v>3.7556</v>
      </c>
      <c r="I2341">
        <f>IFERROR(VLOOKUP($A2341,原始数据_利率互换_FR007_1年!$A$6:$C$4395,3,0),"")</f>
        <v>4.2457</v>
      </c>
    </row>
    <row r="2342" spans="1:9">
      <c r="A2342" s="6">
        <v>41835</v>
      </c>
      <c r="B2342">
        <f>IFERROR(VLOOKUP($A2342,原始数据_收盘!$A$4:$G$3460,2,0),"")</f>
        <v>3.8373</v>
      </c>
      <c r="C2342">
        <f>IFERROR(VLOOKUP($A2342,原始数据_收盘!$A$4:$G$3460,3,0),"")</f>
        <v>4.3308</v>
      </c>
      <c r="D2342">
        <f>IFERROR(VLOOKUP($A2342,原始数据_收盘!$A$4:$G$3460,4,0),"")</f>
        <v>3.9084</v>
      </c>
      <c r="E2342">
        <f>IFERROR(VLOOKUP($A2342,原始数据_收盘!$A$4:$G$3460,5,0),"")</f>
        <v>4.4058</v>
      </c>
      <c r="F2342">
        <f>IFERROR(VLOOKUP($A2342,原始数据_收盘!$A$4:$G$3460,6,0),"")</f>
        <v>3.8728</v>
      </c>
      <c r="G2342">
        <f>IFERROR(VLOOKUP($A2342,原始数据_收盘!$A$4:$G$3460,7,0),"")</f>
        <v>4.3683</v>
      </c>
      <c r="H2342">
        <f>IFERROR(VLOOKUP($A2342,原始数据_利率互换_FR007_1年!$A$6:$C$4395,2,0),"")</f>
        <v>3.8316</v>
      </c>
      <c r="I2342">
        <f>IFERROR(VLOOKUP($A2342,原始数据_利率互换_FR007_1年!$A$6:$C$4395,3,0),"")</f>
        <v>4.3368</v>
      </c>
    </row>
    <row r="2343" spans="1:9">
      <c r="A2343" s="6">
        <v>41836</v>
      </c>
      <c r="B2343">
        <f>IFERROR(VLOOKUP($A2343,原始数据_收盘!$A$4:$G$3460,2,0),"")</f>
        <v>3.8715</v>
      </c>
      <c r="C2343">
        <f>IFERROR(VLOOKUP($A2343,原始数据_收盘!$A$4:$G$3460,3,0),"")</f>
        <v>4.3528</v>
      </c>
      <c r="D2343">
        <f>IFERROR(VLOOKUP($A2343,原始数据_收盘!$A$4:$G$3460,4,0),"")</f>
        <v>3.9372</v>
      </c>
      <c r="E2343">
        <f>IFERROR(VLOOKUP($A2343,原始数据_收盘!$A$4:$G$3460,5,0),"")</f>
        <v>4.4212</v>
      </c>
      <c r="F2343">
        <f>IFERROR(VLOOKUP($A2343,原始数据_收盘!$A$4:$G$3460,6,0),"")</f>
        <v>3.9044</v>
      </c>
      <c r="G2343">
        <f>IFERROR(VLOOKUP($A2343,原始数据_收盘!$A$4:$G$3460,7,0),"")</f>
        <v>4.387</v>
      </c>
      <c r="H2343">
        <f>IFERROR(VLOOKUP($A2343,原始数据_利率互换_FR007_1年!$A$6:$C$4395,2,0),"")</f>
        <v>3.8953</v>
      </c>
      <c r="I2343">
        <f>IFERROR(VLOOKUP($A2343,原始数据_利率互换_FR007_1年!$A$6:$C$4395,3,0),"")</f>
        <v>4.3729</v>
      </c>
    </row>
    <row r="2344" spans="1:9">
      <c r="A2344" s="6">
        <v>41837</v>
      </c>
      <c r="B2344">
        <f>IFERROR(VLOOKUP($A2344,原始数据_收盘!$A$4:$G$3460,2,0),"")</f>
        <v>4.0076</v>
      </c>
      <c r="C2344">
        <f>IFERROR(VLOOKUP($A2344,原始数据_收盘!$A$4:$G$3460,3,0),"")</f>
        <v>4.4238</v>
      </c>
      <c r="D2344">
        <f>IFERROR(VLOOKUP($A2344,原始数据_收盘!$A$4:$G$3460,4,0),"")</f>
        <v>4.0675</v>
      </c>
      <c r="E2344">
        <f>IFERROR(VLOOKUP($A2344,原始数据_收盘!$A$4:$G$3460,5,0),"")</f>
        <v>4.4918</v>
      </c>
      <c r="F2344">
        <f>IFERROR(VLOOKUP($A2344,原始数据_收盘!$A$4:$G$3460,6,0),"")</f>
        <v>4.0376</v>
      </c>
      <c r="G2344">
        <f>IFERROR(VLOOKUP($A2344,原始数据_收盘!$A$4:$G$3460,7,0),"")</f>
        <v>4.4578</v>
      </c>
      <c r="H2344">
        <f>IFERROR(VLOOKUP($A2344,原始数据_利率互换_FR007_1年!$A$6:$C$4395,2,0),"")</f>
        <v>3.9936</v>
      </c>
      <c r="I2344">
        <f>IFERROR(VLOOKUP($A2344,原始数据_利率互换_FR007_1年!$A$6:$C$4395,3,0),"")</f>
        <v>4.4598</v>
      </c>
    </row>
    <row r="2345" spans="1:9">
      <c r="A2345" s="6">
        <v>41838</v>
      </c>
      <c r="B2345">
        <f>IFERROR(VLOOKUP($A2345,原始数据_收盘!$A$4:$G$3460,2,0),"")</f>
        <v>4.0009</v>
      </c>
      <c r="C2345">
        <f>IFERROR(VLOOKUP($A2345,原始数据_收盘!$A$4:$G$3460,3,0),"")</f>
        <v>4.3878</v>
      </c>
      <c r="D2345">
        <f>IFERROR(VLOOKUP($A2345,原始数据_收盘!$A$4:$G$3460,4,0),"")</f>
        <v>4.0639</v>
      </c>
      <c r="E2345">
        <f>IFERROR(VLOOKUP($A2345,原始数据_收盘!$A$4:$G$3460,5,0),"")</f>
        <v>4.4503</v>
      </c>
      <c r="F2345">
        <f>IFERROR(VLOOKUP($A2345,原始数据_收盘!$A$4:$G$3460,6,0),"")</f>
        <v>4.0324</v>
      </c>
      <c r="G2345">
        <f>IFERROR(VLOOKUP($A2345,原始数据_收盘!$A$4:$G$3460,7,0),"")</f>
        <v>4.4191</v>
      </c>
      <c r="H2345">
        <f>IFERROR(VLOOKUP($A2345,原始数据_利率互换_FR007_1年!$A$6:$C$4395,2,0),"")</f>
        <v>4.144</v>
      </c>
      <c r="I2345">
        <f>IFERROR(VLOOKUP($A2345,原始数据_利率互换_FR007_1年!$A$6:$C$4395,3,0),"")</f>
        <v>4.4773</v>
      </c>
    </row>
    <row r="2346" spans="1:9">
      <c r="A2346" s="6">
        <v>41839</v>
      </c>
      <c r="B2346" t="str">
        <f>IFERROR(VLOOKUP($A2346,原始数据_收盘!$A$4:$G$3460,2,0),"")</f>
        <v/>
      </c>
      <c r="C2346" t="str">
        <f>IFERROR(VLOOKUP($A2346,原始数据_收盘!$A$4:$G$3460,3,0),"")</f>
        <v/>
      </c>
      <c r="D2346" t="str">
        <f>IFERROR(VLOOKUP($A2346,原始数据_收盘!$A$4:$G$3460,4,0),"")</f>
        <v/>
      </c>
      <c r="E2346" t="str">
        <f>IFERROR(VLOOKUP($A2346,原始数据_收盘!$A$4:$G$3460,5,0),"")</f>
        <v/>
      </c>
      <c r="F2346" t="str">
        <f>IFERROR(VLOOKUP($A2346,原始数据_收盘!$A$4:$G$3460,6,0),"")</f>
        <v/>
      </c>
      <c r="G2346" t="str">
        <f>IFERROR(VLOOKUP($A2346,原始数据_收盘!$A$4:$G$3460,7,0),"")</f>
        <v/>
      </c>
      <c r="H2346" t="str">
        <f>IFERROR(VLOOKUP($A2346,原始数据_利率互换_FR007_1年!$A$6:$C$4395,2,0),"")</f>
        <v/>
      </c>
      <c r="I2346" t="str">
        <f>IFERROR(VLOOKUP($A2346,原始数据_利率互换_FR007_1年!$A$6:$C$4395,3,0),"")</f>
        <v/>
      </c>
    </row>
    <row r="2347" spans="1:9">
      <c r="A2347" s="6">
        <v>41840</v>
      </c>
      <c r="B2347" t="str">
        <f>IFERROR(VLOOKUP($A2347,原始数据_收盘!$A$4:$G$3460,2,0),"")</f>
        <v/>
      </c>
      <c r="C2347" t="str">
        <f>IFERROR(VLOOKUP($A2347,原始数据_收盘!$A$4:$G$3460,3,0),"")</f>
        <v/>
      </c>
      <c r="D2347" t="str">
        <f>IFERROR(VLOOKUP($A2347,原始数据_收盘!$A$4:$G$3460,4,0),"")</f>
        <v/>
      </c>
      <c r="E2347" t="str">
        <f>IFERROR(VLOOKUP($A2347,原始数据_收盘!$A$4:$G$3460,5,0),"")</f>
        <v/>
      </c>
      <c r="F2347" t="str">
        <f>IFERROR(VLOOKUP($A2347,原始数据_收盘!$A$4:$G$3460,6,0),"")</f>
        <v/>
      </c>
      <c r="G2347" t="str">
        <f>IFERROR(VLOOKUP($A2347,原始数据_收盘!$A$4:$G$3460,7,0),"")</f>
        <v/>
      </c>
      <c r="H2347" t="str">
        <f>IFERROR(VLOOKUP($A2347,原始数据_利率互换_FR007_1年!$A$6:$C$4395,2,0),"")</f>
        <v/>
      </c>
      <c r="I2347" t="str">
        <f>IFERROR(VLOOKUP($A2347,原始数据_利率互换_FR007_1年!$A$6:$C$4395,3,0),"")</f>
        <v/>
      </c>
    </row>
    <row r="2348" spans="1:9">
      <c r="A2348" s="6">
        <v>41841</v>
      </c>
      <c r="B2348">
        <f>IFERROR(VLOOKUP($A2348,原始数据_收盘!$A$4:$G$3460,2,0),"")</f>
        <v>3.9557</v>
      </c>
      <c r="C2348">
        <f>IFERROR(VLOOKUP($A2348,原始数据_收盘!$A$4:$G$3460,3,0),"")</f>
        <v>4.3088</v>
      </c>
      <c r="D2348">
        <f>IFERROR(VLOOKUP($A2348,原始数据_收盘!$A$4:$G$3460,4,0),"")</f>
        <v>4.0165</v>
      </c>
      <c r="E2348">
        <f>IFERROR(VLOOKUP($A2348,原始数据_收盘!$A$4:$G$3460,5,0),"")</f>
        <v>4.3822</v>
      </c>
      <c r="F2348">
        <f>IFERROR(VLOOKUP($A2348,原始数据_收盘!$A$4:$G$3460,6,0),"")</f>
        <v>3.9861</v>
      </c>
      <c r="G2348">
        <f>IFERROR(VLOOKUP($A2348,原始数据_收盘!$A$4:$G$3460,7,0),"")</f>
        <v>4.3455</v>
      </c>
      <c r="H2348">
        <f>IFERROR(VLOOKUP($A2348,原始数据_利率互换_FR007_1年!$A$6:$C$4395,2,0),"")</f>
        <v>4.0378</v>
      </c>
      <c r="I2348">
        <f>IFERROR(VLOOKUP($A2348,原始数据_利率互换_FR007_1年!$A$6:$C$4395,3,0),"")</f>
        <v>4.3834</v>
      </c>
    </row>
    <row r="2349" spans="1:9">
      <c r="A2349" s="6">
        <v>41842</v>
      </c>
      <c r="B2349">
        <f>IFERROR(VLOOKUP($A2349,原始数据_收盘!$A$4:$G$3460,2,0),"")</f>
        <v>3.93</v>
      </c>
      <c r="C2349">
        <f>IFERROR(VLOOKUP($A2349,原始数据_收盘!$A$4:$G$3460,3,0),"")</f>
        <v>4.2933</v>
      </c>
      <c r="D2349">
        <f>IFERROR(VLOOKUP($A2349,原始数据_收盘!$A$4:$G$3460,4,0),"")</f>
        <v>3.9922</v>
      </c>
      <c r="E2349">
        <f>IFERROR(VLOOKUP($A2349,原始数据_收盘!$A$4:$G$3460,5,0),"")</f>
        <v>4.37</v>
      </c>
      <c r="F2349">
        <f>IFERROR(VLOOKUP($A2349,原始数据_收盘!$A$4:$G$3460,6,0),"")</f>
        <v>3.9611</v>
      </c>
      <c r="G2349">
        <f>IFERROR(VLOOKUP($A2349,原始数据_收盘!$A$4:$G$3460,7,0),"")</f>
        <v>4.3316</v>
      </c>
      <c r="H2349">
        <f>IFERROR(VLOOKUP($A2349,原始数据_利率互换_FR007_1年!$A$6:$C$4395,2,0),"")</f>
        <v>3.9575</v>
      </c>
      <c r="I2349">
        <f>IFERROR(VLOOKUP($A2349,原始数据_利率互换_FR007_1年!$A$6:$C$4395,3,0),"")</f>
        <v>4.3304</v>
      </c>
    </row>
    <row r="2350" spans="1:9">
      <c r="A2350" s="6">
        <v>41843</v>
      </c>
      <c r="B2350">
        <f>IFERROR(VLOOKUP($A2350,原始数据_收盘!$A$4:$G$3460,2,0),"")</f>
        <v>3.9268</v>
      </c>
      <c r="C2350">
        <f>IFERROR(VLOOKUP($A2350,原始数据_收盘!$A$4:$G$3460,3,0),"")</f>
        <v>4.2935</v>
      </c>
      <c r="D2350">
        <f>IFERROR(VLOOKUP($A2350,原始数据_收盘!$A$4:$G$3460,4,0),"")</f>
        <v>3.986</v>
      </c>
      <c r="E2350">
        <f>IFERROR(VLOOKUP($A2350,原始数据_收盘!$A$4:$G$3460,5,0),"")</f>
        <v>4.3585</v>
      </c>
      <c r="F2350">
        <f>IFERROR(VLOOKUP($A2350,原始数据_收盘!$A$4:$G$3460,6,0),"")</f>
        <v>3.9564</v>
      </c>
      <c r="G2350">
        <f>IFERROR(VLOOKUP($A2350,原始数据_收盘!$A$4:$G$3460,7,0),"")</f>
        <v>4.326</v>
      </c>
      <c r="H2350">
        <f>IFERROR(VLOOKUP($A2350,原始数据_利率互换_FR007_1年!$A$6:$C$4395,2,0),"")</f>
        <v>3.9631</v>
      </c>
      <c r="I2350">
        <f>IFERROR(VLOOKUP($A2350,原始数据_利率互换_FR007_1年!$A$6:$C$4395,3,0),"")</f>
        <v>4.3334</v>
      </c>
    </row>
    <row r="2351" spans="1:9">
      <c r="A2351" s="6">
        <v>41844</v>
      </c>
      <c r="B2351">
        <f>IFERROR(VLOOKUP($A2351,原始数据_收盘!$A$4:$G$3460,2,0),"")</f>
        <v>3.8429</v>
      </c>
      <c r="C2351">
        <f>IFERROR(VLOOKUP($A2351,原始数据_收盘!$A$4:$G$3460,3,0),"")</f>
        <v>4.2421</v>
      </c>
      <c r="D2351">
        <f>IFERROR(VLOOKUP($A2351,原始数据_收盘!$A$4:$G$3460,4,0),"")</f>
        <v>3.9091</v>
      </c>
      <c r="E2351">
        <f>IFERROR(VLOOKUP($A2351,原始数据_收盘!$A$4:$G$3460,5,0),"")</f>
        <v>4.3105</v>
      </c>
      <c r="F2351">
        <f>IFERROR(VLOOKUP($A2351,原始数据_收盘!$A$4:$G$3460,6,0),"")</f>
        <v>3.876</v>
      </c>
      <c r="G2351">
        <f>IFERROR(VLOOKUP($A2351,原始数据_收盘!$A$4:$G$3460,7,0),"")</f>
        <v>4.2763</v>
      </c>
      <c r="H2351">
        <f>IFERROR(VLOOKUP($A2351,原始数据_利率互换_FR007_1年!$A$6:$C$4395,2,0),"")</f>
        <v>3.8917</v>
      </c>
      <c r="I2351">
        <f>IFERROR(VLOOKUP($A2351,原始数据_利率互换_FR007_1年!$A$6:$C$4395,3,0),"")</f>
        <v>4.2852</v>
      </c>
    </row>
    <row r="2352" spans="1:9">
      <c r="A2352" s="6">
        <v>41845</v>
      </c>
      <c r="B2352">
        <f>IFERROR(VLOOKUP($A2352,原始数据_收盘!$A$4:$G$3460,2,0),"")</f>
        <v>3.7946</v>
      </c>
      <c r="C2352">
        <f>IFERROR(VLOOKUP($A2352,原始数据_收盘!$A$4:$G$3460,3,0),"")</f>
        <v>4.2108</v>
      </c>
      <c r="D2352">
        <f>IFERROR(VLOOKUP($A2352,原始数据_收盘!$A$4:$G$3460,4,0),"")</f>
        <v>3.8497</v>
      </c>
      <c r="E2352">
        <f>IFERROR(VLOOKUP($A2352,原始数据_收盘!$A$4:$G$3460,5,0),"")</f>
        <v>4.2789</v>
      </c>
      <c r="F2352">
        <f>IFERROR(VLOOKUP($A2352,原始数据_收盘!$A$4:$G$3460,6,0),"")</f>
        <v>3.8221</v>
      </c>
      <c r="G2352">
        <f>IFERROR(VLOOKUP($A2352,原始数据_收盘!$A$4:$G$3460,7,0),"")</f>
        <v>4.2448</v>
      </c>
      <c r="H2352">
        <f>IFERROR(VLOOKUP($A2352,原始数据_利率互换_FR007_1年!$A$6:$C$4395,2,0),"")</f>
        <v>3.8273</v>
      </c>
      <c r="I2352">
        <f>IFERROR(VLOOKUP($A2352,原始数据_利率互换_FR007_1年!$A$6:$C$4395,3,0),"")</f>
        <v>4.2478</v>
      </c>
    </row>
    <row r="2353" spans="1:9">
      <c r="A2353" s="6">
        <v>41846</v>
      </c>
      <c r="B2353" t="str">
        <f>IFERROR(VLOOKUP($A2353,原始数据_收盘!$A$4:$G$3460,2,0),"")</f>
        <v/>
      </c>
      <c r="C2353" t="str">
        <f>IFERROR(VLOOKUP($A2353,原始数据_收盘!$A$4:$G$3460,3,0),"")</f>
        <v/>
      </c>
      <c r="D2353" t="str">
        <f>IFERROR(VLOOKUP($A2353,原始数据_收盘!$A$4:$G$3460,4,0),"")</f>
        <v/>
      </c>
      <c r="E2353" t="str">
        <f>IFERROR(VLOOKUP($A2353,原始数据_收盘!$A$4:$G$3460,5,0),"")</f>
        <v/>
      </c>
      <c r="F2353" t="str">
        <f>IFERROR(VLOOKUP($A2353,原始数据_收盘!$A$4:$G$3460,6,0),"")</f>
        <v/>
      </c>
      <c r="G2353" t="str">
        <f>IFERROR(VLOOKUP($A2353,原始数据_收盘!$A$4:$G$3460,7,0),"")</f>
        <v/>
      </c>
      <c r="H2353" t="str">
        <f>IFERROR(VLOOKUP($A2353,原始数据_利率互换_FR007_1年!$A$6:$C$4395,2,0),"")</f>
        <v/>
      </c>
      <c r="I2353" t="str">
        <f>IFERROR(VLOOKUP($A2353,原始数据_利率互换_FR007_1年!$A$6:$C$4395,3,0),"")</f>
        <v/>
      </c>
    </row>
    <row r="2354" spans="1:9">
      <c r="A2354" s="6">
        <v>41847</v>
      </c>
      <c r="B2354" t="str">
        <f>IFERROR(VLOOKUP($A2354,原始数据_收盘!$A$4:$G$3460,2,0),"")</f>
        <v/>
      </c>
      <c r="C2354" t="str">
        <f>IFERROR(VLOOKUP($A2354,原始数据_收盘!$A$4:$G$3460,3,0),"")</f>
        <v/>
      </c>
      <c r="D2354" t="str">
        <f>IFERROR(VLOOKUP($A2354,原始数据_收盘!$A$4:$G$3460,4,0),"")</f>
        <v/>
      </c>
      <c r="E2354" t="str">
        <f>IFERROR(VLOOKUP($A2354,原始数据_收盘!$A$4:$G$3460,5,0),"")</f>
        <v/>
      </c>
      <c r="F2354" t="str">
        <f>IFERROR(VLOOKUP($A2354,原始数据_收盘!$A$4:$G$3460,6,0),"")</f>
        <v/>
      </c>
      <c r="G2354" t="str">
        <f>IFERROR(VLOOKUP($A2354,原始数据_收盘!$A$4:$G$3460,7,0),"")</f>
        <v/>
      </c>
      <c r="H2354" t="str">
        <f>IFERROR(VLOOKUP($A2354,原始数据_利率互换_FR007_1年!$A$6:$C$4395,2,0),"")</f>
        <v/>
      </c>
      <c r="I2354" t="str">
        <f>IFERROR(VLOOKUP($A2354,原始数据_利率互换_FR007_1年!$A$6:$C$4395,3,0),"")</f>
        <v/>
      </c>
    </row>
    <row r="2355" spans="1:9">
      <c r="A2355" s="6">
        <v>41848</v>
      </c>
      <c r="B2355">
        <f>IFERROR(VLOOKUP($A2355,原始数据_收盘!$A$4:$G$3460,2,0),"")</f>
        <v>3.822</v>
      </c>
      <c r="C2355">
        <f>IFERROR(VLOOKUP($A2355,原始数据_收盘!$A$4:$G$3460,3,0),"")</f>
        <v>4.2514</v>
      </c>
      <c r="D2355">
        <f>IFERROR(VLOOKUP($A2355,原始数据_收盘!$A$4:$G$3460,4,0),"")</f>
        <v>3.878</v>
      </c>
      <c r="E2355">
        <f>IFERROR(VLOOKUP($A2355,原始数据_收盘!$A$4:$G$3460,5,0),"")</f>
        <v>4.3086</v>
      </c>
      <c r="F2355">
        <f>IFERROR(VLOOKUP($A2355,原始数据_收盘!$A$4:$G$3460,6,0),"")</f>
        <v>3.85</v>
      </c>
      <c r="G2355">
        <f>IFERROR(VLOOKUP($A2355,原始数据_收盘!$A$4:$G$3460,7,0),"")</f>
        <v>4.28</v>
      </c>
      <c r="H2355">
        <f>IFERROR(VLOOKUP($A2355,原始数据_利率互换_FR007_1年!$A$6:$C$4395,2,0),"")</f>
        <v>3.816</v>
      </c>
      <c r="I2355">
        <f>IFERROR(VLOOKUP($A2355,原始数据_利率互换_FR007_1年!$A$6:$C$4395,3,0),"")</f>
        <v>4.2335</v>
      </c>
    </row>
    <row r="2356" spans="1:9">
      <c r="A2356" s="6">
        <v>41849</v>
      </c>
      <c r="B2356">
        <f>IFERROR(VLOOKUP($A2356,原始数据_收盘!$A$4:$G$3460,2,0),"")</f>
        <v>3.8189</v>
      </c>
      <c r="C2356">
        <f>IFERROR(VLOOKUP($A2356,原始数据_收盘!$A$4:$G$3460,3,0),"")</f>
        <v>4.2475</v>
      </c>
      <c r="D2356">
        <f>IFERROR(VLOOKUP($A2356,原始数据_收盘!$A$4:$G$3460,4,0),"")</f>
        <v>3.8799</v>
      </c>
      <c r="E2356">
        <f>IFERROR(VLOOKUP($A2356,原始数据_收盘!$A$4:$G$3460,5,0),"")</f>
        <v>4.3099</v>
      </c>
      <c r="F2356">
        <f>IFERROR(VLOOKUP($A2356,原始数据_收盘!$A$4:$G$3460,6,0),"")</f>
        <v>3.8494</v>
      </c>
      <c r="G2356">
        <f>IFERROR(VLOOKUP($A2356,原始数据_收盘!$A$4:$G$3460,7,0),"")</f>
        <v>4.2787</v>
      </c>
      <c r="H2356">
        <f>IFERROR(VLOOKUP($A2356,原始数据_利率互换_FR007_1年!$A$6:$C$4395,2,0),"")</f>
        <v>3.8474</v>
      </c>
      <c r="I2356">
        <f>IFERROR(VLOOKUP($A2356,原始数据_利率互换_FR007_1年!$A$6:$C$4395,3,0),"")</f>
        <v>4.2785</v>
      </c>
    </row>
    <row r="2357" spans="1:9">
      <c r="A2357" s="6">
        <v>41850</v>
      </c>
      <c r="B2357">
        <f>IFERROR(VLOOKUP($A2357,原始数据_收盘!$A$4:$G$3460,2,0),"")</f>
        <v>3.8322</v>
      </c>
      <c r="C2357">
        <f>IFERROR(VLOOKUP($A2357,原始数据_收盘!$A$4:$G$3460,3,0),"")</f>
        <v>4.2732</v>
      </c>
      <c r="D2357">
        <f>IFERROR(VLOOKUP($A2357,原始数据_收盘!$A$4:$G$3460,4,0),"")</f>
        <v>3.8932</v>
      </c>
      <c r="E2357">
        <f>IFERROR(VLOOKUP($A2357,原始数据_收盘!$A$4:$G$3460,5,0),"")</f>
        <v>4.3368</v>
      </c>
      <c r="F2357">
        <f>IFERROR(VLOOKUP($A2357,原始数据_收盘!$A$4:$G$3460,6,0),"")</f>
        <v>3.8627</v>
      </c>
      <c r="G2357">
        <f>IFERROR(VLOOKUP($A2357,原始数据_收盘!$A$4:$G$3460,7,0),"")</f>
        <v>4.305</v>
      </c>
      <c r="H2357">
        <f>IFERROR(VLOOKUP($A2357,原始数据_利率互换_FR007_1年!$A$6:$C$4395,2,0),"")</f>
        <v>3.862</v>
      </c>
      <c r="I2357">
        <f>IFERROR(VLOOKUP($A2357,原始数据_利率互换_FR007_1年!$A$6:$C$4395,3,0),"")</f>
        <v>4.3027</v>
      </c>
    </row>
    <row r="2358" spans="1:9">
      <c r="A2358" s="6">
        <v>41851</v>
      </c>
      <c r="B2358">
        <f>IFERROR(VLOOKUP($A2358,原始数据_收盘!$A$4:$G$3460,2,0),"")</f>
        <v>3.7961</v>
      </c>
      <c r="C2358">
        <f>IFERROR(VLOOKUP($A2358,原始数据_收盘!$A$4:$G$3460,3,0),"")</f>
        <v>4.2329</v>
      </c>
      <c r="D2358">
        <f>IFERROR(VLOOKUP($A2358,原始数据_收盘!$A$4:$G$3460,4,0),"")</f>
        <v>3.8522</v>
      </c>
      <c r="E2358">
        <f>IFERROR(VLOOKUP($A2358,原始数据_收盘!$A$4:$G$3460,5,0),"")</f>
        <v>4.293</v>
      </c>
      <c r="F2358">
        <f>IFERROR(VLOOKUP($A2358,原始数据_收盘!$A$4:$G$3460,6,0),"")</f>
        <v>3.8241</v>
      </c>
      <c r="G2358">
        <f>IFERROR(VLOOKUP($A2358,原始数据_收盘!$A$4:$G$3460,7,0),"")</f>
        <v>4.263</v>
      </c>
      <c r="H2358">
        <f>IFERROR(VLOOKUP($A2358,原始数据_利率互换_FR007_1年!$A$6:$C$4395,2,0),"")</f>
        <v>3.8491</v>
      </c>
      <c r="I2358">
        <f>IFERROR(VLOOKUP($A2358,原始数据_利率互换_FR007_1年!$A$6:$C$4395,3,0),"")</f>
        <v>4.2814</v>
      </c>
    </row>
    <row r="2359" spans="1:9">
      <c r="A2359" s="6">
        <v>41852</v>
      </c>
      <c r="B2359">
        <f>IFERROR(VLOOKUP($A2359,原始数据_收盘!$A$4:$G$3460,2,0),"")</f>
        <v>3.7493</v>
      </c>
      <c r="C2359">
        <f>IFERROR(VLOOKUP($A2359,原始数据_收盘!$A$4:$G$3460,3,0),"")</f>
        <v>4.1965</v>
      </c>
      <c r="D2359">
        <f>IFERROR(VLOOKUP($A2359,原始数据_收盘!$A$4:$G$3460,4,0),"")</f>
        <v>3.8096</v>
      </c>
      <c r="E2359">
        <f>IFERROR(VLOOKUP($A2359,原始数据_收盘!$A$4:$G$3460,5,0),"")</f>
        <v>4.2601</v>
      </c>
      <c r="F2359">
        <f>IFERROR(VLOOKUP($A2359,原始数据_收盘!$A$4:$G$3460,6,0),"")</f>
        <v>3.7794</v>
      </c>
      <c r="G2359">
        <f>IFERROR(VLOOKUP($A2359,原始数据_收盘!$A$4:$G$3460,7,0),"")</f>
        <v>4.2283</v>
      </c>
      <c r="H2359">
        <f>IFERROR(VLOOKUP($A2359,原始数据_利率互换_FR007_1年!$A$6:$C$4395,2,0),"")</f>
        <v>3.7868</v>
      </c>
      <c r="I2359">
        <f>IFERROR(VLOOKUP($A2359,原始数据_利率互换_FR007_1年!$A$6:$C$4395,3,0),"")</f>
        <v>4.2393</v>
      </c>
    </row>
    <row r="2360" spans="1:9">
      <c r="A2360" s="6">
        <v>41853</v>
      </c>
      <c r="B2360" t="str">
        <f>IFERROR(VLOOKUP($A2360,原始数据_收盘!$A$4:$G$3460,2,0),"")</f>
        <v/>
      </c>
      <c r="C2360" t="str">
        <f>IFERROR(VLOOKUP($A2360,原始数据_收盘!$A$4:$G$3460,3,0),"")</f>
        <v/>
      </c>
      <c r="D2360" t="str">
        <f>IFERROR(VLOOKUP($A2360,原始数据_收盘!$A$4:$G$3460,4,0),"")</f>
        <v/>
      </c>
      <c r="E2360" t="str">
        <f>IFERROR(VLOOKUP($A2360,原始数据_收盘!$A$4:$G$3460,5,0),"")</f>
        <v/>
      </c>
      <c r="F2360" t="str">
        <f>IFERROR(VLOOKUP($A2360,原始数据_收盘!$A$4:$G$3460,6,0),"")</f>
        <v/>
      </c>
      <c r="G2360" t="str">
        <f>IFERROR(VLOOKUP($A2360,原始数据_收盘!$A$4:$G$3460,7,0),"")</f>
        <v/>
      </c>
      <c r="H2360" t="str">
        <f>IFERROR(VLOOKUP($A2360,原始数据_利率互换_FR007_1年!$A$6:$C$4395,2,0),"")</f>
        <v/>
      </c>
      <c r="I2360" t="str">
        <f>IFERROR(VLOOKUP($A2360,原始数据_利率互换_FR007_1年!$A$6:$C$4395,3,0),"")</f>
        <v/>
      </c>
    </row>
    <row r="2361" spans="1:9">
      <c r="A2361" s="6">
        <v>41854</v>
      </c>
      <c r="B2361" t="str">
        <f>IFERROR(VLOOKUP($A2361,原始数据_收盘!$A$4:$G$3460,2,0),"")</f>
        <v/>
      </c>
      <c r="C2361" t="str">
        <f>IFERROR(VLOOKUP($A2361,原始数据_收盘!$A$4:$G$3460,3,0),"")</f>
        <v/>
      </c>
      <c r="D2361" t="str">
        <f>IFERROR(VLOOKUP($A2361,原始数据_收盘!$A$4:$G$3460,4,0),"")</f>
        <v/>
      </c>
      <c r="E2361" t="str">
        <f>IFERROR(VLOOKUP($A2361,原始数据_收盘!$A$4:$G$3460,5,0),"")</f>
        <v/>
      </c>
      <c r="F2361" t="str">
        <f>IFERROR(VLOOKUP($A2361,原始数据_收盘!$A$4:$G$3460,6,0),"")</f>
        <v/>
      </c>
      <c r="G2361" t="str">
        <f>IFERROR(VLOOKUP($A2361,原始数据_收盘!$A$4:$G$3460,7,0),"")</f>
        <v/>
      </c>
      <c r="H2361" t="str">
        <f>IFERROR(VLOOKUP($A2361,原始数据_利率互换_FR007_1年!$A$6:$C$4395,2,0),"")</f>
        <v/>
      </c>
      <c r="I2361" t="str">
        <f>IFERROR(VLOOKUP($A2361,原始数据_利率互换_FR007_1年!$A$6:$C$4395,3,0),"")</f>
        <v/>
      </c>
    </row>
    <row r="2362" spans="1:9">
      <c r="A2362" s="6">
        <v>41855</v>
      </c>
      <c r="B2362">
        <f>IFERROR(VLOOKUP($A2362,原始数据_收盘!$A$4:$G$3460,2,0),"")</f>
        <v>3.752</v>
      </c>
      <c r="C2362">
        <f>IFERROR(VLOOKUP($A2362,原始数据_收盘!$A$4:$G$3460,3,0),"")</f>
        <v>4.191</v>
      </c>
      <c r="D2362">
        <f>IFERROR(VLOOKUP($A2362,原始数据_收盘!$A$4:$G$3460,4,0),"")</f>
        <v>3.815</v>
      </c>
      <c r="E2362">
        <f>IFERROR(VLOOKUP($A2362,原始数据_收盘!$A$4:$G$3460,5,0),"")</f>
        <v>4.2623</v>
      </c>
      <c r="F2362">
        <f>IFERROR(VLOOKUP($A2362,原始数据_收盘!$A$4:$G$3460,6,0),"")</f>
        <v>3.7835</v>
      </c>
      <c r="G2362">
        <f>IFERROR(VLOOKUP($A2362,原始数据_收盘!$A$4:$G$3460,7,0),"")</f>
        <v>4.2267</v>
      </c>
      <c r="H2362">
        <f>IFERROR(VLOOKUP($A2362,原始数据_利率互换_FR007_1年!$A$6:$C$4395,2,0),"")</f>
        <v>3.7831</v>
      </c>
      <c r="I2362">
        <f>IFERROR(VLOOKUP($A2362,原始数据_利率互换_FR007_1年!$A$6:$C$4395,3,0),"")</f>
        <v>4.2259</v>
      </c>
    </row>
    <row r="2363" spans="1:9">
      <c r="A2363" s="6">
        <v>41856</v>
      </c>
      <c r="B2363">
        <f>IFERROR(VLOOKUP($A2363,原始数据_收盘!$A$4:$G$3460,2,0),"")</f>
        <v>3.7485</v>
      </c>
      <c r="C2363">
        <f>IFERROR(VLOOKUP($A2363,原始数据_收盘!$A$4:$G$3460,3,0),"")</f>
        <v>4.1875</v>
      </c>
      <c r="D2363">
        <f>IFERROR(VLOOKUP($A2363,原始数据_收盘!$A$4:$G$3460,4,0),"")</f>
        <v>3.8087</v>
      </c>
      <c r="E2363">
        <f>IFERROR(VLOOKUP($A2363,原始数据_收盘!$A$4:$G$3460,5,0),"")</f>
        <v>4.2543</v>
      </c>
      <c r="F2363">
        <f>IFERROR(VLOOKUP($A2363,原始数据_收盘!$A$4:$G$3460,6,0),"")</f>
        <v>3.7786</v>
      </c>
      <c r="G2363">
        <f>IFERROR(VLOOKUP($A2363,原始数据_收盘!$A$4:$G$3460,7,0),"")</f>
        <v>4.2209</v>
      </c>
      <c r="H2363">
        <f>IFERROR(VLOOKUP($A2363,原始数据_利率互换_FR007_1年!$A$6:$C$4395,2,0),"")</f>
        <v>3.7702</v>
      </c>
      <c r="I2363">
        <f>IFERROR(VLOOKUP($A2363,原始数据_利率互换_FR007_1年!$A$6:$C$4395,3,0),"")</f>
        <v>4.2208</v>
      </c>
    </row>
    <row r="2364" spans="1:9">
      <c r="A2364" s="6">
        <v>41857</v>
      </c>
      <c r="B2364">
        <f>IFERROR(VLOOKUP($A2364,原始数据_收盘!$A$4:$G$3460,2,0),"")</f>
        <v>3.7037</v>
      </c>
      <c r="C2364">
        <f>IFERROR(VLOOKUP($A2364,原始数据_收盘!$A$4:$G$3460,3,0),"")</f>
        <v>4.1385</v>
      </c>
      <c r="D2364">
        <f>IFERROR(VLOOKUP($A2364,原始数据_收盘!$A$4:$G$3460,4,0),"")</f>
        <v>3.7664</v>
      </c>
      <c r="E2364">
        <f>IFERROR(VLOOKUP($A2364,原始数据_收盘!$A$4:$G$3460,5,0),"")</f>
        <v>4.2036</v>
      </c>
      <c r="F2364">
        <f>IFERROR(VLOOKUP($A2364,原始数据_收盘!$A$4:$G$3460,6,0),"")</f>
        <v>3.7351</v>
      </c>
      <c r="G2364">
        <f>IFERROR(VLOOKUP($A2364,原始数据_收盘!$A$4:$G$3460,7,0),"")</f>
        <v>4.171</v>
      </c>
      <c r="H2364">
        <f>IFERROR(VLOOKUP($A2364,原始数据_利率互换_FR007_1年!$A$6:$C$4395,2,0),"")</f>
        <v>3.7343</v>
      </c>
      <c r="I2364">
        <f>IFERROR(VLOOKUP($A2364,原始数据_利率互换_FR007_1年!$A$6:$C$4395,3,0),"")</f>
        <v>4.1636</v>
      </c>
    </row>
    <row r="2365" spans="1:9">
      <c r="A2365" s="6">
        <v>41858</v>
      </c>
      <c r="B2365">
        <f>IFERROR(VLOOKUP($A2365,原始数据_收盘!$A$4:$G$3460,2,0),"")</f>
        <v>3.7044</v>
      </c>
      <c r="C2365">
        <f>IFERROR(VLOOKUP($A2365,原始数据_收盘!$A$4:$G$3460,3,0),"")</f>
        <v>4.1381</v>
      </c>
      <c r="D2365">
        <f>IFERROR(VLOOKUP($A2365,原始数据_收盘!$A$4:$G$3460,4,0),"")</f>
        <v>3.7671</v>
      </c>
      <c r="E2365">
        <f>IFERROR(VLOOKUP($A2365,原始数据_收盘!$A$4:$G$3460,5,0),"")</f>
        <v>4.2048</v>
      </c>
      <c r="F2365">
        <f>IFERROR(VLOOKUP($A2365,原始数据_收盘!$A$4:$G$3460,6,0),"")</f>
        <v>3.7357</v>
      </c>
      <c r="G2365">
        <f>IFERROR(VLOOKUP($A2365,原始数据_收盘!$A$4:$G$3460,7,0),"")</f>
        <v>4.1714</v>
      </c>
      <c r="H2365">
        <f>IFERROR(VLOOKUP($A2365,原始数据_利率互换_FR007_1年!$A$6:$C$4395,2,0),"")</f>
        <v>3.7297</v>
      </c>
      <c r="I2365">
        <f>IFERROR(VLOOKUP($A2365,原始数据_利率互换_FR007_1年!$A$6:$C$4395,3,0),"")</f>
        <v>4.1672</v>
      </c>
    </row>
    <row r="2366" spans="1:9">
      <c r="A2366" s="6">
        <v>41859</v>
      </c>
      <c r="B2366">
        <f>IFERROR(VLOOKUP($A2366,原始数据_收盘!$A$4:$G$3460,2,0),"")</f>
        <v>3.687</v>
      </c>
      <c r="C2366">
        <f>IFERROR(VLOOKUP($A2366,原始数据_收盘!$A$4:$G$3460,3,0),"")</f>
        <v>4.1033</v>
      </c>
      <c r="D2366">
        <f>IFERROR(VLOOKUP($A2366,原始数据_收盘!$A$4:$G$3460,4,0),"")</f>
        <v>3.7456</v>
      </c>
      <c r="E2366">
        <f>IFERROR(VLOOKUP($A2366,原始数据_收盘!$A$4:$G$3460,5,0),"")</f>
        <v>4.1703</v>
      </c>
      <c r="F2366">
        <f>IFERROR(VLOOKUP($A2366,原始数据_收盘!$A$4:$G$3460,6,0),"")</f>
        <v>3.7163</v>
      </c>
      <c r="G2366">
        <f>IFERROR(VLOOKUP($A2366,原始数据_收盘!$A$4:$G$3460,7,0),"")</f>
        <v>4.1368</v>
      </c>
      <c r="H2366">
        <f>IFERROR(VLOOKUP($A2366,原始数据_利率互换_FR007_1年!$A$6:$C$4395,2,0),"")</f>
        <v>3.7065</v>
      </c>
      <c r="I2366">
        <f>IFERROR(VLOOKUP($A2366,原始数据_利率互换_FR007_1年!$A$6:$C$4395,3,0),"")</f>
        <v>4.1318</v>
      </c>
    </row>
    <row r="2367" spans="1:9">
      <c r="A2367" s="6">
        <v>41860</v>
      </c>
      <c r="B2367" t="str">
        <f>IFERROR(VLOOKUP($A2367,原始数据_收盘!$A$4:$G$3460,2,0),"")</f>
        <v/>
      </c>
      <c r="C2367" t="str">
        <f>IFERROR(VLOOKUP($A2367,原始数据_收盘!$A$4:$G$3460,3,0),"")</f>
        <v/>
      </c>
      <c r="D2367" t="str">
        <f>IFERROR(VLOOKUP($A2367,原始数据_收盘!$A$4:$G$3460,4,0),"")</f>
        <v/>
      </c>
      <c r="E2367" t="str">
        <f>IFERROR(VLOOKUP($A2367,原始数据_收盘!$A$4:$G$3460,5,0),"")</f>
        <v/>
      </c>
      <c r="F2367" t="str">
        <f>IFERROR(VLOOKUP($A2367,原始数据_收盘!$A$4:$G$3460,6,0),"")</f>
        <v/>
      </c>
      <c r="G2367" t="str">
        <f>IFERROR(VLOOKUP($A2367,原始数据_收盘!$A$4:$G$3460,7,0),"")</f>
        <v/>
      </c>
      <c r="H2367" t="str">
        <f>IFERROR(VLOOKUP($A2367,原始数据_利率互换_FR007_1年!$A$6:$C$4395,2,0),"")</f>
        <v/>
      </c>
      <c r="I2367" t="str">
        <f>IFERROR(VLOOKUP($A2367,原始数据_利率互换_FR007_1年!$A$6:$C$4395,3,0),"")</f>
        <v/>
      </c>
    </row>
    <row r="2368" spans="1:9">
      <c r="A2368" s="6">
        <v>41861</v>
      </c>
      <c r="B2368" t="str">
        <f>IFERROR(VLOOKUP($A2368,原始数据_收盘!$A$4:$G$3460,2,0),"")</f>
        <v/>
      </c>
      <c r="C2368" t="str">
        <f>IFERROR(VLOOKUP($A2368,原始数据_收盘!$A$4:$G$3460,3,0),"")</f>
        <v/>
      </c>
      <c r="D2368" t="str">
        <f>IFERROR(VLOOKUP($A2368,原始数据_收盘!$A$4:$G$3460,4,0),"")</f>
        <v/>
      </c>
      <c r="E2368" t="str">
        <f>IFERROR(VLOOKUP($A2368,原始数据_收盘!$A$4:$G$3460,5,0),"")</f>
        <v/>
      </c>
      <c r="F2368" t="str">
        <f>IFERROR(VLOOKUP($A2368,原始数据_收盘!$A$4:$G$3460,6,0),"")</f>
        <v/>
      </c>
      <c r="G2368" t="str">
        <f>IFERROR(VLOOKUP($A2368,原始数据_收盘!$A$4:$G$3460,7,0),"")</f>
        <v/>
      </c>
      <c r="H2368" t="str">
        <f>IFERROR(VLOOKUP($A2368,原始数据_利率互换_FR007_1年!$A$6:$C$4395,2,0),"")</f>
        <v/>
      </c>
      <c r="I2368" t="str">
        <f>IFERROR(VLOOKUP($A2368,原始数据_利率互换_FR007_1年!$A$6:$C$4395,3,0),"")</f>
        <v/>
      </c>
    </row>
    <row r="2369" spans="1:9">
      <c r="A2369" s="6">
        <v>41862</v>
      </c>
      <c r="B2369">
        <f>IFERROR(VLOOKUP($A2369,原始数据_收盘!$A$4:$G$3460,2,0),"")</f>
        <v>3.6645</v>
      </c>
      <c r="C2369">
        <f>IFERROR(VLOOKUP($A2369,原始数据_收盘!$A$4:$G$3460,3,0),"")</f>
        <v>4.0614</v>
      </c>
      <c r="D2369">
        <f>IFERROR(VLOOKUP($A2369,原始数据_收盘!$A$4:$G$3460,4,0),"")</f>
        <v>3.7272</v>
      </c>
      <c r="E2369">
        <f>IFERROR(VLOOKUP($A2369,原始数据_收盘!$A$4:$G$3460,5,0),"")</f>
        <v>4.1285</v>
      </c>
      <c r="F2369">
        <f>IFERROR(VLOOKUP($A2369,原始数据_收盘!$A$4:$G$3460,6,0),"")</f>
        <v>3.6959</v>
      </c>
      <c r="G2369">
        <f>IFERROR(VLOOKUP($A2369,原始数据_收盘!$A$4:$G$3460,7,0),"")</f>
        <v>4.0949</v>
      </c>
      <c r="H2369">
        <f>IFERROR(VLOOKUP($A2369,原始数据_利率互换_FR007_1年!$A$6:$C$4395,2,0),"")</f>
        <v>3.6881</v>
      </c>
      <c r="I2369">
        <f>IFERROR(VLOOKUP($A2369,原始数据_利率互换_FR007_1年!$A$6:$C$4395,3,0),"")</f>
        <v>4.1009</v>
      </c>
    </row>
    <row r="2370" spans="1:9">
      <c r="A2370" s="6">
        <v>41863</v>
      </c>
      <c r="B2370">
        <f>IFERROR(VLOOKUP($A2370,原始数据_收盘!$A$4:$G$3460,2,0),"")</f>
        <v>3.7162</v>
      </c>
      <c r="C2370">
        <f>IFERROR(VLOOKUP($A2370,原始数据_收盘!$A$4:$G$3460,3,0),"")</f>
        <v>4.1109</v>
      </c>
      <c r="D2370">
        <f>IFERROR(VLOOKUP($A2370,原始数据_收盘!$A$4:$G$3460,4,0),"")</f>
        <v>3.78</v>
      </c>
      <c r="E2370">
        <f>IFERROR(VLOOKUP($A2370,原始数据_收盘!$A$4:$G$3460,5,0),"")</f>
        <v>4.1764</v>
      </c>
      <c r="F2370">
        <f>IFERROR(VLOOKUP($A2370,原始数据_收盘!$A$4:$G$3460,6,0),"")</f>
        <v>3.7481</v>
      </c>
      <c r="G2370">
        <f>IFERROR(VLOOKUP($A2370,原始数据_收盘!$A$4:$G$3460,7,0),"")</f>
        <v>4.1436</v>
      </c>
      <c r="H2370">
        <f>IFERROR(VLOOKUP($A2370,原始数据_利率互换_FR007_1年!$A$6:$C$4395,2,0),"")</f>
        <v>3.7252</v>
      </c>
      <c r="I2370">
        <f>IFERROR(VLOOKUP($A2370,原始数据_利率互换_FR007_1年!$A$6:$C$4395,3,0),"")</f>
        <v>4.1145</v>
      </c>
    </row>
    <row r="2371" spans="1:9">
      <c r="A2371" s="6">
        <v>41864</v>
      </c>
      <c r="B2371">
        <f>IFERROR(VLOOKUP($A2371,原始数据_收盘!$A$4:$G$3460,2,0),"")</f>
        <v>3.6324</v>
      </c>
      <c r="C2371">
        <f>IFERROR(VLOOKUP($A2371,原始数据_收盘!$A$4:$G$3460,3,0),"")</f>
        <v>3.9899</v>
      </c>
      <c r="D2371">
        <f>IFERROR(VLOOKUP($A2371,原始数据_收盘!$A$4:$G$3460,4,0),"")</f>
        <v>3.6998</v>
      </c>
      <c r="E2371">
        <f>IFERROR(VLOOKUP($A2371,原始数据_收盘!$A$4:$G$3460,5,0),"")</f>
        <v>4.0663</v>
      </c>
      <c r="F2371">
        <f>IFERROR(VLOOKUP($A2371,原始数据_收盘!$A$4:$G$3460,6,0),"")</f>
        <v>3.6661</v>
      </c>
      <c r="G2371">
        <f>IFERROR(VLOOKUP($A2371,原始数据_收盘!$A$4:$G$3460,7,0),"")</f>
        <v>4.0281</v>
      </c>
      <c r="H2371">
        <f>IFERROR(VLOOKUP($A2371,原始数据_利率互换_FR007_1年!$A$6:$C$4395,2,0),"")</f>
        <v>3.6951</v>
      </c>
      <c r="I2371">
        <f>IFERROR(VLOOKUP($A2371,原始数据_利率互换_FR007_1年!$A$6:$C$4395,3,0),"")</f>
        <v>4.0622</v>
      </c>
    </row>
    <row r="2372" spans="1:9">
      <c r="A2372" s="6">
        <v>41865</v>
      </c>
      <c r="B2372">
        <f>IFERROR(VLOOKUP($A2372,原始数据_收盘!$A$4:$G$3460,2,0),"")</f>
        <v>3.5802</v>
      </c>
      <c r="C2372">
        <f>IFERROR(VLOOKUP($A2372,原始数据_收盘!$A$4:$G$3460,3,0),"")</f>
        <v>3.9023</v>
      </c>
      <c r="D2372">
        <f>IFERROR(VLOOKUP($A2372,原始数据_收盘!$A$4:$G$3460,4,0),"")</f>
        <v>3.639</v>
      </c>
      <c r="E2372">
        <f>IFERROR(VLOOKUP($A2372,原始数据_收盘!$A$4:$G$3460,5,0),"")</f>
        <v>3.9626</v>
      </c>
      <c r="F2372">
        <f>IFERROR(VLOOKUP($A2372,原始数据_收盘!$A$4:$G$3460,6,0),"")</f>
        <v>3.6096</v>
      </c>
      <c r="G2372">
        <f>IFERROR(VLOOKUP($A2372,原始数据_收盘!$A$4:$G$3460,7,0),"")</f>
        <v>3.9325</v>
      </c>
      <c r="H2372">
        <f>IFERROR(VLOOKUP($A2372,原始数据_利率互换_FR007_1年!$A$6:$C$4395,2,0),"")</f>
        <v>3.626</v>
      </c>
      <c r="I2372">
        <f>IFERROR(VLOOKUP($A2372,原始数据_利率互换_FR007_1年!$A$6:$C$4395,3,0),"")</f>
        <v>3.9596</v>
      </c>
    </row>
    <row r="2373" spans="1:9">
      <c r="A2373" s="6">
        <v>41866</v>
      </c>
      <c r="B2373">
        <f>IFERROR(VLOOKUP($A2373,原始数据_收盘!$A$4:$G$3460,2,0),"")</f>
        <v>3.6171</v>
      </c>
      <c r="C2373">
        <f>IFERROR(VLOOKUP($A2373,原始数据_收盘!$A$4:$G$3460,3,0),"")</f>
        <v>3.939</v>
      </c>
      <c r="D2373">
        <f>IFERROR(VLOOKUP($A2373,原始数据_收盘!$A$4:$G$3460,4,0),"")</f>
        <v>3.6844</v>
      </c>
      <c r="E2373">
        <f>IFERROR(VLOOKUP($A2373,原始数据_收盘!$A$4:$G$3460,5,0),"")</f>
        <v>4.0066</v>
      </c>
      <c r="F2373">
        <f>IFERROR(VLOOKUP($A2373,原始数据_收盘!$A$4:$G$3460,6,0),"")</f>
        <v>3.6507</v>
      </c>
      <c r="G2373">
        <f>IFERROR(VLOOKUP($A2373,原始数据_收盘!$A$4:$G$3460,7,0),"")</f>
        <v>3.9728</v>
      </c>
      <c r="H2373">
        <f>IFERROR(VLOOKUP($A2373,原始数据_利率互换_FR007_1年!$A$6:$C$4395,2,0),"")</f>
        <v>3.6374</v>
      </c>
      <c r="I2373">
        <f>IFERROR(VLOOKUP($A2373,原始数据_利率互换_FR007_1年!$A$6:$C$4395,3,0),"")</f>
        <v>3.9625</v>
      </c>
    </row>
    <row r="2374" spans="1:9">
      <c r="A2374" s="6">
        <v>41867</v>
      </c>
      <c r="B2374" t="str">
        <f>IFERROR(VLOOKUP($A2374,原始数据_收盘!$A$4:$G$3460,2,0),"")</f>
        <v/>
      </c>
      <c r="C2374" t="str">
        <f>IFERROR(VLOOKUP($A2374,原始数据_收盘!$A$4:$G$3460,3,0),"")</f>
        <v/>
      </c>
      <c r="D2374" t="str">
        <f>IFERROR(VLOOKUP($A2374,原始数据_收盘!$A$4:$G$3460,4,0),"")</f>
        <v/>
      </c>
      <c r="E2374" t="str">
        <f>IFERROR(VLOOKUP($A2374,原始数据_收盘!$A$4:$G$3460,5,0),"")</f>
        <v/>
      </c>
      <c r="F2374" t="str">
        <f>IFERROR(VLOOKUP($A2374,原始数据_收盘!$A$4:$G$3460,6,0),"")</f>
        <v/>
      </c>
      <c r="G2374" t="str">
        <f>IFERROR(VLOOKUP($A2374,原始数据_收盘!$A$4:$G$3460,7,0),"")</f>
        <v/>
      </c>
      <c r="H2374" t="str">
        <f>IFERROR(VLOOKUP($A2374,原始数据_利率互换_FR007_1年!$A$6:$C$4395,2,0),"")</f>
        <v/>
      </c>
      <c r="I2374" t="str">
        <f>IFERROR(VLOOKUP($A2374,原始数据_利率互换_FR007_1年!$A$6:$C$4395,3,0),"")</f>
        <v/>
      </c>
    </row>
    <row r="2375" spans="1:9">
      <c r="A2375" s="6">
        <v>41868</v>
      </c>
      <c r="B2375" t="str">
        <f>IFERROR(VLOOKUP($A2375,原始数据_收盘!$A$4:$G$3460,2,0),"")</f>
        <v/>
      </c>
      <c r="C2375" t="str">
        <f>IFERROR(VLOOKUP($A2375,原始数据_收盘!$A$4:$G$3460,3,0),"")</f>
        <v/>
      </c>
      <c r="D2375" t="str">
        <f>IFERROR(VLOOKUP($A2375,原始数据_收盘!$A$4:$G$3460,4,0),"")</f>
        <v/>
      </c>
      <c r="E2375" t="str">
        <f>IFERROR(VLOOKUP($A2375,原始数据_收盘!$A$4:$G$3460,5,0),"")</f>
        <v/>
      </c>
      <c r="F2375" t="str">
        <f>IFERROR(VLOOKUP($A2375,原始数据_收盘!$A$4:$G$3460,6,0),"")</f>
        <v/>
      </c>
      <c r="G2375" t="str">
        <f>IFERROR(VLOOKUP($A2375,原始数据_收盘!$A$4:$G$3460,7,0),"")</f>
        <v/>
      </c>
      <c r="H2375" t="str">
        <f>IFERROR(VLOOKUP($A2375,原始数据_利率互换_FR007_1年!$A$6:$C$4395,2,0),"")</f>
        <v/>
      </c>
      <c r="I2375" t="str">
        <f>IFERROR(VLOOKUP($A2375,原始数据_利率互换_FR007_1年!$A$6:$C$4395,3,0),"")</f>
        <v/>
      </c>
    </row>
    <row r="2376" spans="1:9">
      <c r="A2376" s="6">
        <v>41869</v>
      </c>
      <c r="B2376">
        <f>IFERROR(VLOOKUP($A2376,原始数据_收盘!$A$4:$G$3460,2,0),"")</f>
        <v>3.626</v>
      </c>
      <c r="C2376">
        <f>IFERROR(VLOOKUP($A2376,原始数据_收盘!$A$4:$G$3460,3,0),"")</f>
        <v>3.9513</v>
      </c>
      <c r="D2376">
        <f>IFERROR(VLOOKUP($A2376,原始数据_收盘!$A$4:$G$3460,4,0),"")</f>
        <v>3.6847</v>
      </c>
      <c r="E2376">
        <f>IFERROR(VLOOKUP($A2376,原始数据_收盘!$A$4:$G$3460,5,0),"")</f>
        <v>4.0146</v>
      </c>
      <c r="F2376">
        <f>IFERROR(VLOOKUP($A2376,原始数据_收盘!$A$4:$G$3460,6,0),"")</f>
        <v>3.6553</v>
      </c>
      <c r="G2376">
        <f>IFERROR(VLOOKUP($A2376,原始数据_收盘!$A$4:$G$3460,7,0),"")</f>
        <v>3.9829</v>
      </c>
      <c r="H2376">
        <f>IFERROR(VLOOKUP($A2376,原始数据_利率互换_FR007_1年!$A$6:$C$4395,2,0),"")</f>
        <v>3.6465</v>
      </c>
      <c r="I2376">
        <f>IFERROR(VLOOKUP($A2376,原始数据_利率互换_FR007_1年!$A$6:$C$4395,3,0),"")</f>
        <v>3.9867</v>
      </c>
    </row>
    <row r="2377" spans="1:9">
      <c r="A2377" s="6">
        <v>41870</v>
      </c>
      <c r="B2377">
        <f>IFERROR(VLOOKUP($A2377,原始数据_收盘!$A$4:$G$3460,2,0),"")</f>
        <v>3.6249</v>
      </c>
      <c r="C2377">
        <f>IFERROR(VLOOKUP($A2377,原始数据_收盘!$A$4:$G$3460,3,0),"")</f>
        <v>3.9714</v>
      </c>
      <c r="D2377">
        <f>IFERROR(VLOOKUP($A2377,原始数据_收盘!$A$4:$G$3460,4,0),"")</f>
        <v>3.6939</v>
      </c>
      <c r="E2377">
        <f>IFERROR(VLOOKUP($A2377,原始数据_收盘!$A$4:$G$3460,5,0),"")</f>
        <v>4.0411</v>
      </c>
      <c r="F2377">
        <f>IFERROR(VLOOKUP($A2377,原始数据_收盘!$A$4:$G$3460,6,0),"")</f>
        <v>3.6594</v>
      </c>
      <c r="G2377">
        <f>IFERROR(VLOOKUP($A2377,原始数据_收盘!$A$4:$G$3460,7,0),"")</f>
        <v>4.0062</v>
      </c>
      <c r="H2377">
        <f>IFERROR(VLOOKUP($A2377,原始数据_利率互换_FR007_1年!$A$6:$C$4395,2,0),"")</f>
        <v>3.6613</v>
      </c>
      <c r="I2377">
        <f>IFERROR(VLOOKUP($A2377,原始数据_利率互换_FR007_1年!$A$6:$C$4395,3,0),"")</f>
        <v>3.9998</v>
      </c>
    </row>
    <row r="2378" spans="1:9">
      <c r="A2378" s="6">
        <v>41871</v>
      </c>
      <c r="B2378">
        <f>IFERROR(VLOOKUP($A2378,原始数据_收盘!$A$4:$G$3460,2,0),"")</f>
        <v>3.6536</v>
      </c>
      <c r="C2378">
        <f>IFERROR(VLOOKUP($A2378,原始数据_收盘!$A$4:$G$3460,3,0),"")</f>
        <v>4.0024</v>
      </c>
      <c r="D2378">
        <f>IFERROR(VLOOKUP($A2378,原始数据_收盘!$A$4:$G$3460,4,0),"")</f>
        <v>3.7185</v>
      </c>
      <c r="E2378">
        <f>IFERROR(VLOOKUP($A2378,原始数据_收盘!$A$4:$G$3460,5,0),"")</f>
        <v>4.0707</v>
      </c>
      <c r="F2378">
        <f>IFERROR(VLOOKUP($A2378,原始数据_收盘!$A$4:$G$3460,6,0),"")</f>
        <v>3.6861</v>
      </c>
      <c r="G2378">
        <f>IFERROR(VLOOKUP($A2378,原始数据_收盘!$A$4:$G$3460,7,0),"")</f>
        <v>4.0365</v>
      </c>
      <c r="H2378">
        <f>IFERROR(VLOOKUP($A2378,原始数据_利率互换_FR007_1年!$A$6:$C$4395,2,0),"")</f>
        <v>3.697</v>
      </c>
      <c r="I2378">
        <f>IFERROR(VLOOKUP($A2378,原始数据_利率互换_FR007_1年!$A$6:$C$4395,3,0),"")</f>
        <v>4.0575</v>
      </c>
    </row>
    <row r="2379" spans="1:9">
      <c r="A2379" s="6">
        <v>41872</v>
      </c>
      <c r="B2379">
        <f>IFERROR(VLOOKUP($A2379,原始数据_收盘!$A$4:$G$3460,2,0),"")</f>
        <v>3.6541</v>
      </c>
      <c r="C2379">
        <f>IFERROR(VLOOKUP($A2379,原始数据_收盘!$A$4:$G$3460,3,0),"")</f>
        <v>3.9944</v>
      </c>
      <c r="D2379">
        <f>IFERROR(VLOOKUP($A2379,原始数据_收盘!$A$4:$G$3460,4,0),"")</f>
        <v>3.7191</v>
      </c>
      <c r="E2379">
        <f>IFERROR(VLOOKUP($A2379,原始数据_收盘!$A$4:$G$3460,5,0),"")</f>
        <v>4.0587</v>
      </c>
      <c r="F2379">
        <f>IFERROR(VLOOKUP($A2379,原始数据_收盘!$A$4:$G$3460,6,0),"")</f>
        <v>3.6866</v>
      </c>
      <c r="G2379">
        <f>IFERROR(VLOOKUP($A2379,原始数据_收盘!$A$4:$G$3460,7,0),"")</f>
        <v>4.0265</v>
      </c>
      <c r="H2379">
        <f>IFERROR(VLOOKUP($A2379,原始数据_利率互换_FR007_1年!$A$6:$C$4395,2,0),"")</f>
        <v>3.7003</v>
      </c>
      <c r="I2379">
        <f>IFERROR(VLOOKUP($A2379,原始数据_利率互换_FR007_1年!$A$6:$C$4395,3,0),"")</f>
        <v>4.0248</v>
      </c>
    </row>
    <row r="2380" spans="1:9">
      <c r="A2380" s="6">
        <v>41873</v>
      </c>
      <c r="B2380">
        <f>IFERROR(VLOOKUP($A2380,原始数据_收盘!$A$4:$G$3460,2,0),"")</f>
        <v>3.6635</v>
      </c>
      <c r="C2380">
        <f>IFERROR(VLOOKUP($A2380,原始数据_收盘!$A$4:$G$3460,3,0),"")</f>
        <v>3.9654</v>
      </c>
      <c r="D2380">
        <f>IFERROR(VLOOKUP($A2380,原始数据_收盘!$A$4:$G$3460,4,0),"")</f>
        <v>3.7234</v>
      </c>
      <c r="E2380">
        <f>IFERROR(VLOOKUP($A2380,原始数据_收盘!$A$4:$G$3460,5,0),"")</f>
        <v>4.0215</v>
      </c>
      <c r="F2380">
        <f>IFERROR(VLOOKUP($A2380,原始数据_收盘!$A$4:$G$3460,6,0),"")</f>
        <v>3.6935</v>
      </c>
      <c r="G2380">
        <f>IFERROR(VLOOKUP($A2380,原始数据_收盘!$A$4:$G$3460,7,0),"")</f>
        <v>3.9935</v>
      </c>
      <c r="H2380">
        <f>IFERROR(VLOOKUP($A2380,原始数据_利率互换_FR007_1年!$A$6:$C$4395,2,0),"")</f>
        <v>3.7023</v>
      </c>
      <c r="I2380">
        <f>IFERROR(VLOOKUP($A2380,原始数据_利率互换_FR007_1年!$A$6:$C$4395,3,0),"")</f>
        <v>4.0062</v>
      </c>
    </row>
    <row r="2381" spans="1:9">
      <c r="A2381" s="6">
        <v>41874</v>
      </c>
      <c r="B2381" t="str">
        <f>IFERROR(VLOOKUP($A2381,原始数据_收盘!$A$4:$G$3460,2,0),"")</f>
        <v/>
      </c>
      <c r="C2381" t="str">
        <f>IFERROR(VLOOKUP($A2381,原始数据_收盘!$A$4:$G$3460,3,0),"")</f>
        <v/>
      </c>
      <c r="D2381" t="str">
        <f>IFERROR(VLOOKUP($A2381,原始数据_收盘!$A$4:$G$3460,4,0),"")</f>
        <v/>
      </c>
      <c r="E2381" t="str">
        <f>IFERROR(VLOOKUP($A2381,原始数据_收盘!$A$4:$G$3460,5,0),"")</f>
        <v/>
      </c>
      <c r="F2381" t="str">
        <f>IFERROR(VLOOKUP($A2381,原始数据_收盘!$A$4:$G$3460,6,0),"")</f>
        <v/>
      </c>
      <c r="G2381" t="str">
        <f>IFERROR(VLOOKUP($A2381,原始数据_收盘!$A$4:$G$3460,7,0),"")</f>
        <v/>
      </c>
      <c r="H2381" t="str">
        <f>IFERROR(VLOOKUP($A2381,原始数据_利率互换_FR007_1年!$A$6:$C$4395,2,0),"")</f>
        <v/>
      </c>
      <c r="I2381" t="str">
        <f>IFERROR(VLOOKUP($A2381,原始数据_利率互换_FR007_1年!$A$6:$C$4395,3,0),"")</f>
        <v/>
      </c>
    </row>
    <row r="2382" spans="1:9">
      <c r="A2382" s="6">
        <v>41875</v>
      </c>
      <c r="B2382" t="str">
        <f>IFERROR(VLOOKUP($A2382,原始数据_收盘!$A$4:$G$3460,2,0),"")</f>
        <v/>
      </c>
      <c r="C2382" t="str">
        <f>IFERROR(VLOOKUP($A2382,原始数据_收盘!$A$4:$G$3460,3,0),"")</f>
        <v/>
      </c>
      <c r="D2382" t="str">
        <f>IFERROR(VLOOKUP($A2382,原始数据_收盘!$A$4:$G$3460,4,0),"")</f>
        <v/>
      </c>
      <c r="E2382" t="str">
        <f>IFERROR(VLOOKUP($A2382,原始数据_收盘!$A$4:$G$3460,5,0),"")</f>
        <v/>
      </c>
      <c r="F2382" t="str">
        <f>IFERROR(VLOOKUP($A2382,原始数据_收盘!$A$4:$G$3460,6,0),"")</f>
        <v/>
      </c>
      <c r="G2382" t="str">
        <f>IFERROR(VLOOKUP($A2382,原始数据_收盘!$A$4:$G$3460,7,0),"")</f>
        <v/>
      </c>
      <c r="H2382" t="str">
        <f>IFERROR(VLOOKUP($A2382,原始数据_利率互换_FR007_1年!$A$6:$C$4395,2,0),"")</f>
        <v/>
      </c>
      <c r="I2382" t="str">
        <f>IFERROR(VLOOKUP($A2382,原始数据_利率互换_FR007_1年!$A$6:$C$4395,3,0),"")</f>
        <v/>
      </c>
    </row>
    <row r="2383" spans="1:9">
      <c r="A2383" s="6">
        <v>41876</v>
      </c>
      <c r="B2383">
        <f>IFERROR(VLOOKUP($A2383,原始数据_收盘!$A$4:$G$3460,2,0),"")</f>
        <v>3.6531</v>
      </c>
      <c r="C2383">
        <f>IFERROR(VLOOKUP($A2383,原始数据_收盘!$A$4:$G$3460,3,0),"")</f>
        <v>3.9548</v>
      </c>
      <c r="D2383">
        <f>IFERROR(VLOOKUP($A2383,原始数据_收盘!$A$4:$G$3460,4,0),"")</f>
        <v>3.7123</v>
      </c>
      <c r="E2383">
        <f>IFERROR(VLOOKUP($A2383,原始数据_收盘!$A$4:$G$3460,5,0),"")</f>
        <v>4.0204</v>
      </c>
      <c r="F2383">
        <f>IFERROR(VLOOKUP($A2383,原始数据_收盘!$A$4:$G$3460,6,0),"")</f>
        <v>3.6827</v>
      </c>
      <c r="G2383">
        <f>IFERROR(VLOOKUP($A2383,原始数据_收盘!$A$4:$G$3460,7,0),"")</f>
        <v>3.9876</v>
      </c>
      <c r="H2383">
        <f>IFERROR(VLOOKUP($A2383,原始数据_利率互换_FR007_1年!$A$6:$C$4395,2,0),"")</f>
        <v>3.6924</v>
      </c>
      <c r="I2383">
        <f>IFERROR(VLOOKUP($A2383,原始数据_利率互换_FR007_1年!$A$6:$C$4395,3,0),"")</f>
        <v>3.9725</v>
      </c>
    </row>
    <row r="2384" spans="1:9">
      <c r="A2384" s="6">
        <v>41877</v>
      </c>
      <c r="B2384">
        <f>IFERROR(VLOOKUP($A2384,原始数据_收盘!$A$4:$G$3460,2,0),"")</f>
        <v>3.6085</v>
      </c>
      <c r="C2384">
        <f>IFERROR(VLOOKUP($A2384,原始数据_收盘!$A$4:$G$3460,3,0),"")</f>
        <v>3.899</v>
      </c>
      <c r="D2384">
        <f>IFERROR(VLOOKUP($A2384,原始数据_收盘!$A$4:$G$3460,4,0),"")</f>
        <v>3.6731</v>
      </c>
      <c r="E2384">
        <f>IFERROR(VLOOKUP($A2384,原始数据_收盘!$A$4:$G$3460,5,0),"")</f>
        <v>3.9675</v>
      </c>
      <c r="F2384">
        <f>IFERROR(VLOOKUP($A2384,原始数据_收盘!$A$4:$G$3460,6,0),"")</f>
        <v>3.6408</v>
      </c>
      <c r="G2384">
        <f>IFERROR(VLOOKUP($A2384,原始数据_收盘!$A$4:$G$3460,7,0),"")</f>
        <v>3.9332</v>
      </c>
      <c r="H2384">
        <f>IFERROR(VLOOKUP($A2384,原始数据_利率互换_FR007_1年!$A$6:$C$4395,2,0),"")</f>
        <v>3.6517</v>
      </c>
      <c r="I2384">
        <f>IFERROR(VLOOKUP($A2384,原始数据_利率互换_FR007_1年!$A$6:$C$4395,3,0),"")</f>
        <v>3.9467</v>
      </c>
    </row>
    <row r="2385" spans="1:9">
      <c r="A2385" s="6">
        <v>41878</v>
      </c>
      <c r="B2385">
        <f>IFERROR(VLOOKUP($A2385,原始数据_收盘!$A$4:$G$3460,2,0),"")</f>
        <v>3.5709</v>
      </c>
      <c r="C2385">
        <f>IFERROR(VLOOKUP($A2385,原始数据_收盘!$A$4:$G$3460,3,0),"")</f>
        <v>3.8572</v>
      </c>
      <c r="D2385">
        <f>IFERROR(VLOOKUP($A2385,原始数据_收盘!$A$4:$G$3460,4,0),"")</f>
        <v>3.6313</v>
      </c>
      <c r="E2385">
        <f>IFERROR(VLOOKUP($A2385,原始数据_收盘!$A$4:$G$3460,5,0),"")</f>
        <v>3.9219</v>
      </c>
      <c r="F2385">
        <f>IFERROR(VLOOKUP($A2385,原始数据_收盘!$A$4:$G$3460,6,0),"")</f>
        <v>3.6011</v>
      </c>
      <c r="G2385">
        <f>IFERROR(VLOOKUP($A2385,原始数据_收盘!$A$4:$G$3460,7,0),"")</f>
        <v>3.8895</v>
      </c>
      <c r="H2385">
        <f>IFERROR(VLOOKUP($A2385,原始数据_利率互换_FR007_1年!$A$6:$C$4395,2,0),"")</f>
        <v>3.6078</v>
      </c>
      <c r="I2385">
        <f>IFERROR(VLOOKUP($A2385,原始数据_利率互换_FR007_1年!$A$6:$C$4395,3,0),"")</f>
        <v>3.9015</v>
      </c>
    </row>
    <row r="2386" spans="1:9">
      <c r="A2386" s="6">
        <v>41879</v>
      </c>
      <c r="B2386">
        <f>IFERROR(VLOOKUP($A2386,原始数据_收盘!$A$4:$G$3460,2,0),"")</f>
        <v>3.5647</v>
      </c>
      <c r="C2386">
        <f>IFERROR(VLOOKUP($A2386,原始数据_收盘!$A$4:$G$3460,3,0),"")</f>
        <v>3.8532</v>
      </c>
      <c r="D2386">
        <f>IFERROR(VLOOKUP($A2386,原始数据_收盘!$A$4:$G$3460,4,0),"")</f>
        <v>3.6216</v>
      </c>
      <c r="E2386">
        <f>IFERROR(VLOOKUP($A2386,原始数据_收盘!$A$4:$G$3460,5,0),"")</f>
        <v>3.9147</v>
      </c>
      <c r="F2386">
        <f>IFERROR(VLOOKUP($A2386,原始数据_收盘!$A$4:$G$3460,6,0),"")</f>
        <v>3.5932</v>
      </c>
      <c r="G2386">
        <f>IFERROR(VLOOKUP($A2386,原始数据_收盘!$A$4:$G$3460,7,0),"")</f>
        <v>3.8839</v>
      </c>
      <c r="H2386">
        <f>IFERROR(VLOOKUP($A2386,原始数据_利率互换_FR007_1年!$A$6:$C$4395,2,0),"")</f>
        <v>3.5757</v>
      </c>
      <c r="I2386">
        <f>IFERROR(VLOOKUP($A2386,原始数据_利率互换_FR007_1年!$A$6:$C$4395,3,0),"")</f>
        <v>3.8776</v>
      </c>
    </row>
    <row r="2387" spans="1:9">
      <c r="A2387" s="6">
        <v>41880</v>
      </c>
      <c r="B2387">
        <f>IFERROR(VLOOKUP($A2387,原始数据_收盘!$A$4:$G$3460,2,0),"")</f>
        <v>3.5716</v>
      </c>
      <c r="C2387">
        <f>IFERROR(VLOOKUP($A2387,原始数据_收盘!$A$4:$G$3460,3,0),"")</f>
        <v>3.8772</v>
      </c>
      <c r="D2387">
        <f>IFERROR(VLOOKUP($A2387,原始数据_收盘!$A$4:$G$3460,4,0),"")</f>
        <v>3.6293</v>
      </c>
      <c r="E2387">
        <f>IFERROR(VLOOKUP($A2387,原始数据_收盘!$A$4:$G$3460,5,0),"")</f>
        <v>3.9411</v>
      </c>
      <c r="F2387">
        <f>IFERROR(VLOOKUP($A2387,原始数据_收盘!$A$4:$G$3460,6,0),"")</f>
        <v>3.6004</v>
      </c>
      <c r="G2387">
        <f>IFERROR(VLOOKUP($A2387,原始数据_收盘!$A$4:$G$3460,7,0),"")</f>
        <v>3.9092</v>
      </c>
      <c r="H2387">
        <f>IFERROR(VLOOKUP($A2387,原始数据_利率互换_FR007_1年!$A$6:$C$4395,2,0),"")</f>
        <v>3.599</v>
      </c>
      <c r="I2387">
        <f>IFERROR(VLOOKUP($A2387,原始数据_利率互换_FR007_1年!$A$6:$C$4395,3,0),"")</f>
        <v>3.8987</v>
      </c>
    </row>
    <row r="2388" spans="1:9">
      <c r="A2388" s="6">
        <v>41881</v>
      </c>
      <c r="B2388" t="str">
        <f>IFERROR(VLOOKUP($A2388,原始数据_收盘!$A$4:$G$3460,2,0),"")</f>
        <v/>
      </c>
      <c r="C2388" t="str">
        <f>IFERROR(VLOOKUP($A2388,原始数据_收盘!$A$4:$G$3460,3,0),"")</f>
        <v/>
      </c>
      <c r="D2388" t="str">
        <f>IFERROR(VLOOKUP($A2388,原始数据_收盘!$A$4:$G$3460,4,0),"")</f>
        <v/>
      </c>
      <c r="E2388" t="str">
        <f>IFERROR(VLOOKUP($A2388,原始数据_收盘!$A$4:$G$3460,5,0),"")</f>
        <v/>
      </c>
      <c r="F2388" t="str">
        <f>IFERROR(VLOOKUP($A2388,原始数据_收盘!$A$4:$G$3460,6,0),"")</f>
        <v/>
      </c>
      <c r="G2388" t="str">
        <f>IFERROR(VLOOKUP($A2388,原始数据_收盘!$A$4:$G$3460,7,0),"")</f>
        <v/>
      </c>
      <c r="H2388" t="str">
        <f>IFERROR(VLOOKUP($A2388,原始数据_利率互换_FR007_1年!$A$6:$C$4395,2,0),"")</f>
        <v/>
      </c>
      <c r="I2388" t="str">
        <f>IFERROR(VLOOKUP($A2388,原始数据_利率互换_FR007_1年!$A$6:$C$4395,3,0),"")</f>
        <v/>
      </c>
    </row>
    <row r="2389" spans="1:9">
      <c r="A2389" s="6">
        <v>41882</v>
      </c>
      <c r="B2389" t="str">
        <f>IFERROR(VLOOKUP($A2389,原始数据_收盘!$A$4:$G$3460,2,0),"")</f>
        <v/>
      </c>
      <c r="C2389" t="str">
        <f>IFERROR(VLOOKUP($A2389,原始数据_收盘!$A$4:$G$3460,3,0),"")</f>
        <v/>
      </c>
      <c r="D2389" t="str">
        <f>IFERROR(VLOOKUP($A2389,原始数据_收盘!$A$4:$G$3460,4,0),"")</f>
        <v/>
      </c>
      <c r="E2389" t="str">
        <f>IFERROR(VLOOKUP($A2389,原始数据_收盘!$A$4:$G$3460,5,0),"")</f>
        <v/>
      </c>
      <c r="F2389" t="str">
        <f>IFERROR(VLOOKUP($A2389,原始数据_收盘!$A$4:$G$3460,6,0),"")</f>
        <v/>
      </c>
      <c r="G2389" t="str">
        <f>IFERROR(VLOOKUP($A2389,原始数据_收盘!$A$4:$G$3460,7,0),"")</f>
        <v/>
      </c>
      <c r="H2389" t="str">
        <f>IFERROR(VLOOKUP($A2389,原始数据_利率互换_FR007_1年!$A$6:$C$4395,2,0),"")</f>
        <v/>
      </c>
      <c r="I2389" t="str">
        <f>IFERROR(VLOOKUP($A2389,原始数据_利率互换_FR007_1年!$A$6:$C$4395,3,0),"")</f>
        <v/>
      </c>
    </row>
    <row r="2390" spans="1:9">
      <c r="A2390" s="6">
        <v>41883</v>
      </c>
      <c r="B2390">
        <f>IFERROR(VLOOKUP($A2390,原始数据_收盘!$A$4:$G$3460,2,0),"")</f>
        <v>3.5555</v>
      </c>
      <c r="C2390">
        <f>IFERROR(VLOOKUP($A2390,原始数据_收盘!$A$4:$G$3460,3,0),"")</f>
        <v>3.865</v>
      </c>
      <c r="D2390">
        <f>IFERROR(VLOOKUP($A2390,原始数据_收盘!$A$4:$G$3460,4,0),"")</f>
        <v>3.6195</v>
      </c>
      <c r="E2390">
        <f>IFERROR(VLOOKUP($A2390,原始数据_收盘!$A$4:$G$3460,5,0),"")</f>
        <v>3.9324</v>
      </c>
      <c r="F2390">
        <f>IFERROR(VLOOKUP($A2390,原始数据_收盘!$A$4:$G$3460,6,0),"")</f>
        <v>3.5875</v>
      </c>
      <c r="G2390">
        <f>IFERROR(VLOOKUP($A2390,原始数据_收盘!$A$4:$G$3460,7,0),"")</f>
        <v>3.8987</v>
      </c>
      <c r="H2390">
        <f>IFERROR(VLOOKUP($A2390,原始数据_利率互换_FR007_1年!$A$6:$C$4395,2,0),"")</f>
        <v>3.588</v>
      </c>
      <c r="I2390">
        <f>IFERROR(VLOOKUP($A2390,原始数据_利率互换_FR007_1年!$A$6:$C$4395,3,0),"")</f>
        <v>3.8977</v>
      </c>
    </row>
    <row r="2391" spans="1:9">
      <c r="A2391" s="6">
        <v>41884</v>
      </c>
      <c r="B2391">
        <f>IFERROR(VLOOKUP($A2391,原始数据_收盘!$A$4:$G$3460,2,0),"")</f>
        <v>3.5554</v>
      </c>
      <c r="C2391">
        <f>IFERROR(VLOOKUP($A2391,原始数据_收盘!$A$4:$G$3460,3,0),"")</f>
        <v>3.8683</v>
      </c>
      <c r="D2391">
        <f>IFERROR(VLOOKUP($A2391,原始数据_收盘!$A$4:$G$3460,4,0),"")</f>
        <v>3.6115</v>
      </c>
      <c r="E2391">
        <f>IFERROR(VLOOKUP($A2391,原始数据_收盘!$A$4:$G$3460,5,0),"")</f>
        <v>3.9281</v>
      </c>
      <c r="F2391">
        <f>IFERROR(VLOOKUP($A2391,原始数据_收盘!$A$4:$G$3460,6,0),"")</f>
        <v>3.5834</v>
      </c>
      <c r="G2391">
        <f>IFERROR(VLOOKUP($A2391,原始数据_收盘!$A$4:$G$3460,7,0),"")</f>
        <v>3.8982</v>
      </c>
      <c r="H2391">
        <f>IFERROR(VLOOKUP($A2391,原始数据_利率互换_FR007_1年!$A$6:$C$4395,2,0),"")</f>
        <v>3.5741</v>
      </c>
      <c r="I2391">
        <f>IFERROR(VLOOKUP($A2391,原始数据_利率互换_FR007_1年!$A$6:$C$4395,3,0),"")</f>
        <v>3.909</v>
      </c>
    </row>
    <row r="2392" spans="1:9">
      <c r="A2392" s="6">
        <v>41885</v>
      </c>
      <c r="B2392">
        <f>IFERROR(VLOOKUP($A2392,原始数据_收盘!$A$4:$G$3460,2,0),"")</f>
        <v>3.599</v>
      </c>
      <c r="C2392">
        <f>IFERROR(VLOOKUP($A2392,原始数据_收盘!$A$4:$G$3460,3,0),"")</f>
        <v>3.9465</v>
      </c>
      <c r="D2392">
        <f>IFERROR(VLOOKUP($A2392,原始数据_收盘!$A$4:$G$3460,4,0),"")</f>
        <v>3.6607</v>
      </c>
      <c r="E2392">
        <f>IFERROR(VLOOKUP($A2392,原始数据_收盘!$A$4:$G$3460,5,0),"")</f>
        <v>4.0108</v>
      </c>
      <c r="F2392">
        <f>IFERROR(VLOOKUP($A2392,原始数据_收盘!$A$4:$G$3460,6,0),"")</f>
        <v>3.6298</v>
      </c>
      <c r="G2392">
        <f>IFERROR(VLOOKUP($A2392,原始数据_收盘!$A$4:$G$3460,7,0),"")</f>
        <v>3.9787</v>
      </c>
      <c r="H2392">
        <f>IFERROR(VLOOKUP($A2392,原始数据_利率互换_FR007_1年!$A$6:$C$4395,2,0),"")</f>
        <v>3.6058</v>
      </c>
      <c r="I2392">
        <f>IFERROR(VLOOKUP($A2392,原始数据_利率互换_FR007_1年!$A$6:$C$4395,3,0),"")</f>
        <v>3.9413</v>
      </c>
    </row>
    <row r="2393" spans="1:9">
      <c r="A2393" s="6">
        <v>41886</v>
      </c>
      <c r="B2393">
        <f>IFERROR(VLOOKUP($A2393,原始数据_收盘!$A$4:$G$3460,2,0),"")</f>
        <v>3.5877</v>
      </c>
      <c r="C2393">
        <f>IFERROR(VLOOKUP($A2393,原始数据_收盘!$A$4:$G$3460,3,0),"")</f>
        <v>3.9488</v>
      </c>
      <c r="D2393">
        <f>IFERROR(VLOOKUP($A2393,原始数据_收盘!$A$4:$G$3460,4,0),"")</f>
        <v>3.6533</v>
      </c>
      <c r="E2393">
        <f>IFERROR(VLOOKUP($A2393,原始数据_收盘!$A$4:$G$3460,5,0),"")</f>
        <v>4.0158</v>
      </c>
      <c r="F2393">
        <f>IFERROR(VLOOKUP($A2393,原始数据_收盘!$A$4:$G$3460,6,0),"")</f>
        <v>3.6205</v>
      </c>
      <c r="G2393">
        <f>IFERROR(VLOOKUP($A2393,原始数据_收盘!$A$4:$G$3460,7,0),"")</f>
        <v>3.9823</v>
      </c>
      <c r="H2393">
        <f>IFERROR(VLOOKUP($A2393,原始数据_利率互换_FR007_1年!$A$6:$C$4395,2,0),"")</f>
        <v>3.6162</v>
      </c>
      <c r="I2393">
        <f>IFERROR(VLOOKUP($A2393,原始数据_利率互换_FR007_1年!$A$6:$C$4395,3,0),"")</f>
        <v>3.9849</v>
      </c>
    </row>
    <row r="2394" spans="1:9">
      <c r="A2394" s="6">
        <v>41887</v>
      </c>
      <c r="B2394">
        <f>IFERROR(VLOOKUP($A2394,原始数据_收盘!$A$4:$G$3460,2,0),"")</f>
        <v>3.575</v>
      </c>
      <c r="C2394">
        <f>IFERROR(VLOOKUP($A2394,原始数据_收盘!$A$4:$G$3460,3,0),"")</f>
        <v>3.9658</v>
      </c>
      <c r="D2394">
        <f>IFERROR(VLOOKUP($A2394,原始数据_收盘!$A$4:$G$3460,4,0),"")</f>
        <v>3.6353</v>
      </c>
      <c r="E2394">
        <f>IFERROR(VLOOKUP($A2394,原始数据_收盘!$A$4:$G$3460,5,0),"")</f>
        <v>4.0254</v>
      </c>
      <c r="F2394">
        <f>IFERROR(VLOOKUP($A2394,原始数据_收盘!$A$4:$G$3460,6,0),"")</f>
        <v>3.6051</v>
      </c>
      <c r="G2394">
        <f>IFERROR(VLOOKUP($A2394,原始数据_收盘!$A$4:$G$3460,7,0),"")</f>
        <v>3.9956</v>
      </c>
      <c r="H2394">
        <f>IFERROR(VLOOKUP($A2394,原始数据_利率互换_FR007_1年!$A$6:$C$4395,2,0),"")</f>
        <v>3.5976</v>
      </c>
      <c r="I2394">
        <f>IFERROR(VLOOKUP($A2394,原始数据_利率互换_FR007_1年!$A$6:$C$4395,3,0),"")</f>
        <v>3.9823</v>
      </c>
    </row>
    <row r="2395" spans="1:9">
      <c r="A2395" s="6">
        <v>41888</v>
      </c>
      <c r="B2395" t="str">
        <f>IFERROR(VLOOKUP($A2395,原始数据_收盘!$A$4:$G$3460,2,0),"")</f>
        <v/>
      </c>
      <c r="C2395" t="str">
        <f>IFERROR(VLOOKUP($A2395,原始数据_收盘!$A$4:$G$3460,3,0),"")</f>
        <v/>
      </c>
      <c r="D2395" t="str">
        <f>IFERROR(VLOOKUP($A2395,原始数据_收盘!$A$4:$G$3460,4,0),"")</f>
        <v/>
      </c>
      <c r="E2395" t="str">
        <f>IFERROR(VLOOKUP($A2395,原始数据_收盘!$A$4:$G$3460,5,0),"")</f>
        <v/>
      </c>
      <c r="F2395" t="str">
        <f>IFERROR(VLOOKUP($A2395,原始数据_收盘!$A$4:$G$3460,6,0),"")</f>
        <v/>
      </c>
      <c r="G2395" t="str">
        <f>IFERROR(VLOOKUP($A2395,原始数据_收盘!$A$4:$G$3460,7,0),"")</f>
        <v/>
      </c>
      <c r="H2395" t="str">
        <f>IFERROR(VLOOKUP($A2395,原始数据_利率互换_FR007_1年!$A$6:$C$4395,2,0),"")</f>
        <v/>
      </c>
      <c r="I2395" t="str">
        <f>IFERROR(VLOOKUP($A2395,原始数据_利率互换_FR007_1年!$A$6:$C$4395,3,0),"")</f>
        <v/>
      </c>
    </row>
    <row r="2396" spans="1:9">
      <c r="A2396" s="6">
        <v>41889</v>
      </c>
      <c r="B2396" t="str">
        <f>IFERROR(VLOOKUP($A2396,原始数据_收盘!$A$4:$G$3460,2,0),"")</f>
        <v/>
      </c>
      <c r="C2396" t="str">
        <f>IFERROR(VLOOKUP($A2396,原始数据_收盘!$A$4:$G$3460,3,0),"")</f>
        <v/>
      </c>
      <c r="D2396" t="str">
        <f>IFERROR(VLOOKUP($A2396,原始数据_收盘!$A$4:$G$3460,4,0),"")</f>
        <v/>
      </c>
      <c r="E2396" t="str">
        <f>IFERROR(VLOOKUP($A2396,原始数据_收盘!$A$4:$G$3460,5,0),"")</f>
        <v/>
      </c>
      <c r="F2396" t="str">
        <f>IFERROR(VLOOKUP($A2396,原始数据_收盘!$A$4:$G$3460,6,0),"")</f>
        <v/>
      </c>
      <c r="G2396" t="str">
        <f>IFERROR(VLOOKUP($A2396,原始数据_收盘!$A$4:$G$3460,7,0),"")</f>
        <v/>
      </c>
      <c r="H2396" t="str">
        <f>IFERROR(VLOOKUP($A2396,原始数据_利率互换_FR007_1年!$A$6:$C$4395,2,0),"")</f>
        <v/>
      </c>
      <c r="I2396" t="str">
        <f>IFERROR(VLOOKUP($A2396,原始数据_利率互换_FR007_1年!$A$6:$C$4395,3,0),"")</f>
        <v/>
      </c>
    </row>
    <row r="2397" spans="1:9">
      <c r="A2397" s="6">
        <v>41890</v>
      </c>
      <c r="B2397" t="str">
        <f>IFERROR(VLOOKUP($A2397,原始数据_收盘!$A$4:$G$3460,2,0),"")</f>
        <v/>
      </c>
      <c r="C2397" t="str">
        <f>IFERROR(VLOOKUP($A2397,原始数据_收盘!$A$4:$G$3460,3,0),"")</f>
        <v/>
      </c>
      <c r="D2397" t="str">
        <f>IFERROR(VLOOKUP($A2397,原始数据_收盘!$A$4:$G$3460,4,0),"")</f>
        <v/>
      </c>
      <c r="E2397" t="str">
        <f>IFERROR(VLOOKUP($A2397,原始数据_收盘!$A$4:$G$3460,5,0),"")</f>
        <v/>
      </c>
      <c r="F2397" t="str">
        <f>IFERROR(VLOOKUP($A2397,原始数据_收盘!$A$4:$G$3460,6,0),"")</f>
        <v/>
      </c>
      <c r="G2397" t="str">
        <f>IFERROR(VLOOKUP($A2397,原始数据_收盘!$A$4:$G$3460,7,0),"")</f>
        <v/>
      </c>
      <c r="H2397" t="str">
        <f>IFERROR(VLOOKUP($A2397,原始数据_利率互换_FR007_1年!$A$6:$C$4395,2,0),"")</f>
        <v/>
      </c>
      <c r="I2397" t="str">
        <f>IFERROR(VLOOKUP($A2397,原始数据_利率互换_FR007_1年!$A$6:$C$4395,3,0),"")</f>
        <v/>
      </c>
    </row>
    <row r="2398" spans="1:9">
      <c r="A2398" s="6">
        <v>41891</v>
      </c>
      <c r="B2398">
        <f>IFERROR(VLOOKUP($A2398,原始数据_收盘!$A$4:$G$3460,2,0),"")</f>
        <v>3.5772</v>
      </c>
      <c r="C2398">
        <f>IFERROR(VLOOKUP($A2398,原始数据_收盘!$A$4:$G$3460,3,0),"")</f>
        <v>3.9633</v>
      </c>
      <c r="D2398">
        <f>IFERROR(VLOOKUP($A2398,原始数据_收盘!$A$4:$G$3460,4,0),"")</f>
        <v>3.6428</v>
      </c>
      <c r="E2398">
        <f>IFERROR(VLOOKUP($A2398,原始数据_收盘!$A$4:$G$3460,5,0),"")</f>
        <v>4.0282</v>
      </c>
      <c r="F2398">
        <f>IFERROR(VLOOKUP($A2398,原始数据_收盘!$A$4:$G$3460,6,0),"")</f>
        <v>3.61</v>
      </c>
      <c r="G2398">
        <f>IFERROR(VLOOKUP($A2398,原始数据_收盘!$A$4:$G$3460,7,0),"")</f>
        <v>3.9958</v>
      </c>
      <c r="H2398">
        <f>IFERROR(VLOOKUP($A2398,原始数据_利率互换_FR007_1年!$A$6:$C$4395,2,0),"")</f>
        <v>3.602</v>
      </c>
      <c r="I2398">
        <f>IFERROR(VLOOKUP($A2398,原始数据_利率互换_FR007_1年!$A$6:$C$4395,3,0),"")</f>
        <v>3.9955</v>
      </c>
    </row>
    <row r="2399" spans="1:9">
      <c r="A2399" s="6">
        <v>41892</v>
      </c>
      <c r="B2399">
        <f>IFERROR(VLOOKUP($A2399,原始数据_收盘!$A$4:$G$3460,2,0),"")</f>
        <v>3.5974</v>
      </c>
      <c r="C2399">
        <f>IFERROR(VLOOKUP($A2399,原始数据_收盘!$A$4:$G$3460,3,0),"")</f>
        <v>3.9576</v>
      </c>
      <c r="D2399">
        <f>IFERROR(VLOOKUP($A2399,原始数据_收盘!$A$4:$G$3460,4,0),"")</f>
        <v>3.6556</v>
      </c>
      <c r="E2399">
        <f>IFERROR(VLOOKUP($A2399,原始数据_收盘!$A$4:$G$3460,5,0),"")</f>
        <v>4.0182</v>
      </c>
      <c r="F2399">
        <f>IFERROR(VLOOKUP($A2399,原始数据_收盘!$A$4:$G$3460,6,0),"")</f>
        <v>3.6265</v>
      </c>
      <c r="G2399">
        <f>IFERROR(VLOOKUP($A2399,原始数据_收盘!$A$4:$G$3460,7,0),"")</f>
        <v>3.9879</v>
      </c>
      <c r="H2399">
        <f>IFERROR(VLOOKUP($A2399,原始数据_利率互换_FR007_1年!$A$6:$C$4395,2,0),"")</f>
        <v>3.6256</v>
      </c>
      <c r="I2399">
        <f>IFERROR(VLOOKUP($A2399,原始数据_利率互换_FR007_1年!$A$6:$C$4395,3,0),"")</f>
        <v>3.9859</v>
      </c>
    </row>
    <row r="2400" spans="1:9">
      <c r="A2400" s="6">
        <v>41893</v>
      </c>
      <c r="B2400">
        <f>IFERROR(VLOOKUP($A2400,原始数据_收盘!$A$4:$G$3460,2,0),"")</f>
        <v>3.5904</v>
      </c>
      <c r="C2400">
        <f>IFERROR(VLOOKUP($A2400,原始数据_收盘!$A$4:$G$3460,3,0),"")</f>
        <v>3.9327</v>
      </c>
      <c r="D2400">
        <f>IFERROR(VLOOKUP($A2400,原始数据_收盘!$A$4:$G$3460,4,0),"")</f>
        <v>3.6565</v>
      </c>
      <c r="E2400">
        <f>IFERROR(VLOOKUP($A2400,原始数据_收盘!$A$4:$G$3460,5,0),"")</f>
        <v>4.0003</v>
      </c>
      <c r="F2400">
        <f>IFERROR(VLOOKUP($A2400,原始数据_收盘!$A$4:$G$3460,6,0),"")</f>
        <v>3.6235</v>
      </c>
      <c r="G2400">
        <f>IFERROR(VLOOKUP($A2400,原始数据_收盘!$A$4:$G$3460,7,0),"")</f>
        <v>3.9665</v>
      </c>
      <c r="H2400">
        <f>IFERROR(VLOOKUP($A2400,原始数据_利率互换_FR007_1年!$A$6:$C$4395,2,0),"")</f>
        <v>3.626</v>
      </c>
      <c r="I2400">
        <f>IFERROR(VLOOKUP($A2400,原始数据_利率互换_FR007_1年!$A$6:$C$4395,3,0),"")</f>
        <v>3.956</v>
      </c>
    </row>
    <row r="2401" spans="1:9">
      <c r="A2401" s="6">
        <v>41894</v>
      </c>
      <c r="B2401">
        <f>IFERROR(VLOOKUP($A2401,原始数据_收盘!$A$4:$G$3460,2,0),"")</f>
        <v>3.5826</v>
      </c>
      <c r="C2401">
        <f>IFERROR(VLOOKUP($A2401,原始数据_收盘!$A$4:$G$3460,3,0),"")</f>
        <v>3.9118</v>
      </c>
      <c r="D2401">
        <f>IFERROR(VLOOKUP($A2401,原始数据_收盘!$A$4:$G$3460,4,0),"")</f>
        <v>3.6468</v>
      </c>
      <c r="E2401">
        <f>IFERROR(VLOOKUP($A2401,原始数据_收盘!$A$4:$G$3460,5,0),"")</f>
        <v>3.976</v>
      </c>
      <c r="F2401">
        <f>IFERROR(VLOOKUP($A2401,原始数据_收盘!$A$4:$G$3460,6,0),"")</f>
        <v>3.6147</v>
      </c>
      <c r="G2401">
        <f>IFERROR(VLOOKUP($A2401,原始数据_收盘!$A$4:$G$3460,7,0),"")</f>
        <v>3.9439</v>
      </c>
      <c r="H2401">
        <f>IFERROR(VLOOKUP($A2401,原始数据_利率互换_FR007_1年!$A$6:$C$4395,2,0),"")</f>
        <v>3.6131</v>
      </c>
      <c r="I2401">
        <f>IFERROR(VLOOKUP($A2401,原始数据_利率互换_FR007_1年!$A$6:$C$4395,3,0),"")</f>
        <v>3.9345</v>
      </c>
    </row>
    <row r="2402" spans="1:9">
      <c r="A2402" s="6">
        <v>41895</v>
      </c>
      <c r="B2402" t="str">
        <f>IFERROR(VLOOKUP($A2402,原始数据_收盘!$A$4:$G$3460,2,0),"")</f>
        <v/>
      </c>
      <c r="C2402" t="str">
        <f>IFERROR(VLOOKUP($A2402,原始数据_收盘!$A$4:$G$3460,3,0),"")</f>
        <v/>
      </c>
      <c r="D2402" t="str">
        <f>IFERROR(VLOOKUP($A2402,原始数据_收盘!$A$4:$G$3460,4,0),"")</f>
        <v/>
      </c>
      <c r="E2402" t="str">
        <f>IFERROR(VLOOKUP($A2402,原始数据_收盘!$A$4:$G$3460,5,0),"")</f>
        <v/>
      </c>
      <c r="F2402" t="str">
        <f>IFERROR(VLOOKUP($A2402,原始数据_收盘!$A$4:$G$3460,6,0),"")</f>
        <v/>
      </c>
      <c r="G2402" t="str">
        <f>IFERROR(VLOOKUP($A2402,原始数据_收盘!$A$4:$G$3460,7,0),"")</f>
        <v/>
      </c>
      <c r="H2402" t="str">
        <f>IFERROR(VLOOKUP($A2402,原始数据_利率互换_FR007_1年!$A$6:$C$4395,2,0),"")</f>
        <v/>
      </c>
      <c r="I2402" t="str">
        <f>IFERROR(VLOOKUP($A2402,原始数据_利率互换_FR007_1年!$A$6:$C$4395,3,0),"")</f>
        <v/>
      </c>
    </row>
    <row r="2403" spans="1:9">
      <c r="A2403" s="6">
        <v>41896</v>
      </c>
      <c r="B2403" t="str">
        <f>IFERROR(VLOOKUP($A2403,原始数据_收盘!$A$4:$G$3460,2,0),"")</f>
        <v/>
      </c>
      <c r="C2403" t="str">
        <f>IFERROR(VLOOKUP($A2403,原始数据_收盘!$A$4:$G$3460,3,0),"")</f>
        <v/>
      </c>
      <c r="D2403" t="str">
        <f>IFERROR(VLOOKUP($A2403,原始数据_收盘!$A$4:$G$3460,4,0),"")</f>
        <v/>
      </c>
      <c r="E2403" t="str">
        <f>IFERROR(VLOOKUP($A2403,原始数据_收盘!$A$4:$G$3460,5,0),"")</f>
        <v/>
      </c>
      <c r="F2403" t="str">
        <f>IFERROR(VLOOKUP($A2403,原始数据_收盘!$A$4:$G$3460,6,0),"")</f>
        <v/>
      </c>
      <c r="G2403" t="str">
        <f>IFERROR(VLOOKUP($A2403,原始数据_收盘!$A$4:$G$3460,7,0),"")</f>
        <v/>
      </c>
      <c r="H2403" t="str">
        <f>IFERROR(VLOOKUP($A2403,原始数据_利率互换_FR007_1年!$A$6:$C$4395,2,0),"")</f>
        <v/>
      </c>
      <c r="I2403" t="str">
        <f>IFERROR(VLOOKUP($A2403,原始数据_利率互换_FR007_1年!$A$6:$C$4395,3,0),"")</f>
        <v/>
      </c>
    </row>
    <row r="2404" spans="1:9">
      <c r="A2404" s="6">
        <v>41897</v>
      </c>
      <c r="B2404">
        <f>IFERROR(VLOOKUP($A2404,原始数据_收盘!$A$4:$G$3460,2,0),"")</f>
        <v>3.5638</v>
      </c>
      <c r="C2404">
        <f>IFERROR(VLOOKUP($A2404,原始数据_收盘!$A$4:$G$3460,3,0),"")</f>
        <v>3.8446</v>
      </c>
      <c r="D2404">
        <f>IFERROR(VLOOKUP($A2404,原始数据_收盘!$A$4:$G$3460,4,0),"")</f>
        <v>3.6229</v>
      </c>
      <c r="E2404">
        <f>IFERROR(VLOOKUP($A2404,原始数据_收盘!$A$4:$G$3460,5,0),"")</f>
        <v>3.9038</v>
      </c>
      <c r="F2404">
        <f>IFERROR(VLOOKUP($A2404,原始数据_收盘!$A$4:$G$3460,6,0),"")</f>
        <v>3.5933</v>
      </c>
      <c r="G2404">
        <f>IFERROR(VLOOKUP($A2404,原始数据_收盘!$A$4:$G$3460,7,0),"")</f>
        <v>3.8742</v>
      </c>
      <c r="H2404">
        <f>IFERROR(VLOOKUP($A2404,原始数据_利率互换_FR007_1年!$A$6:$C$4395,2,0),"")</f>
        <v>3.5821</v>
      </c>
      <c r="I2404">
        <f>IFERROR(VLOOKUP($A2404,原始数据_利率互换_FR007_1年!$A$6:$C$4395,3,0),"")</f>
        <v>3.8557</v>
      </c>
    </row>
    <row r="2405" spans="1:9">
      <c r="A2405" s="6">
        <v>41898</v>
      </c>
      <c r="B2405">
        <f>IFERROR(VLOOKUP($A2405,原始数据_收盘!$A$4:$G$3460,2,0),"")</f>
        <v>3.5217</v>
      </c>
      <c r="C2405">
        <f>IFERROR(VLOOKUP($A2405,原始数据_收盘!$A$4:$G$3460,3,0),"")</f>
        <v>3.7707</v>
      </c>
      <c r="D2405">
        <f>IFERROR(VLOOKUP($A2405,原始数据_收盘!$A$4:$G$3460,4,0),"")</f>
        <v>3.583</v>
      </c>
      <c r="E2405">
        <f>IFERROR(VLOOKUP($A2405,原始数据_收盘!$A$4:$G$3460,5,0),"")</f>
        <v>3.8327</v>
      </c>
      <c r="F2405">
        <f>IFERROR(VLOOKUP($A2405,原始数据_收盘!$A$4:$G$3460,6,0),"")</f>
        <v>3.5524</v>
      </c>
      <c r="G2405">
        <f>IFERROR(VLOOKUP($A2405,原始数据_收盘!$A$4:$G$3460,7,0),"")</f>
        <v>3.8017</v>
      </c>
      <c r="H2405">
        <f>IFERROR(VLOOKUP($A2405,原始数据_利率互换_FR007_1年!$A$6:$C$4395,2,0),"")</f>
        <v>3.5896</v>
      </c>
      <c r="I2405">
        <f>IFERROR(VLOOKUP($A2405,原始数据_利率互换_FR007_1年!$A$6:$C$4395,3,0),"")</f>
        <v>3.8226</v>
      </c>
    </row>
    <row r="2406" spans="1:9">
      <c r="A2406" s="6">
        <v>41899</v>
      </c>
      <c r="B2406">
        <f>IFERROR(VLOOKUP($A2406,原始数据_收盘!$A$4:$G$3460,2,0),"")</f>
        <v>3.4796</v>
      </c>
      <c r="C2406">
        <f>IFERROR(VLOOKUP($A2406,原始数据_收盘!$A$4:$G$3460,3,0),"")</f>
        <v>3.7524</v>
      </c>
      <c r="D2406">
        <f>IFERROR(VLOOKUP($A2406,原始数据_收盘!$A$4:$G$3460,4,0),"")</f>
        <v>3.5434</v>
      </c>
      <c r="E2406">
        <f>IFERROR(VLOOKUP($A2406,原始数据_收盘!$A$4:$G$3460,5,0),"")</f>
        <v>3.8143</v>
      </c>
      <c r="F2406">
        <f>IFERROR(VLOOKUP($A2406,原始数据_收盘!$A$4:$G$3460,6,0),"")</f>
        <v>3.5115</v>
      </c>
      <c r="G2406">
        <f>IFERROR(VLOOKUP($A2406,原始数据_收盘!$A$4:$G$3460,7,0),"")</f>
        <v>3.7833</v>
      </c>
      <c r="H2406">
        <f>IFERROR(VLOOKUP($A2406,原始数据_利率互换_FR007_1年!$A$6:$C$4395,2,0),"")</f>
        <v>3.5061</v>
      </c>
      <c r="I2406">
        <f>IFERROR(VLOOKUP($A2406,原始数据_利率互换_FR007_1年!$A$6:$C$4395,3,0),"")</f>
        <v>3.7647</v>
      </c>
    </row>
    <row r="2407" spans="1:9">
      <c r="A2407" s="6">
        <v>41900</v>
      </c>
      <c r="B2407">
        <f>IFERROR(VLOOKUP($A2407,原始数据_收盘!$A$4:$G$3460,2,0),"")</f>
        <v>3.3176</v>
      </c>
      <c r="C2407">
        <f>IFERROR(VLOOKUP($A2407,原始数据_收盘!$A$4:$G$3460,3,0),"")</f>
        <v>3.625</v>
      </c>
      <c r="D2407">
        <f>IFERROR(VLOOKUP($A2407,原始数据_收盘!$A$4:$G$3460,4,0),"")</f>
        <v>3.3818</v>
      </c>
      <c r="E2407">
        <f>IFERROR(VLOOKUP($A2407,原始数据_收盘!$A$4:$G$3460,5,0),"")</f>
        <v>3.6941</v>
      </c>
      <c r="F2407">
        <f>IFERROR(VLOOKUP($A2407,原始数据_收盘!$A$4:$G$3460,6,0),"")</f>
        <v>3.3497</v>
      </c>
      <c r="G2407">
        <f>IFERROR(VLOOKUP($A2407,原始数据_收盘!$A$4:$G$3460,7,0),"")</f>
        <v>3.6596</v>
      </c>
      <c r="H2407">
        <f>IFERROR(VLOOKUP($A2407,原始数据_利率互换_FR007_1年!$A$6:$C$4395,2,0),"")</f>
        <v>3.3941</v>
      </c>
      <c r="I2407">
        <f>IFERROR(VLOOKUP($A2407,原始数据_利率互换_FR007_1年!$A$6:$C$4395,3,0),"")</f>
        <v>3.7028</v>
      </c>
    </row>
    <row r="2408" spans="1:9">
      <c r="A2408" s="6">
        <v>41901</v>
      </c>
      <c r="B2408">
        <f>IFERROR(VLOOKUP($A2408,原始数据_收盘!$A$4:$G$3460,2,0),"")</f>
        <v>3.3593</v>
      </c>
      <c r="C2408">
        <f>IFERROR(VLOOKUP($A2408,原始数据_收盘!$A$4:$G$3460,3,0),"")</f>
        <v>3.6432</v>
      </c>
      <c r="D2408">
        <f>IFERROR(VLOOKUP($A2408,原始数据_收盘!$A$4:$G$3460,4,0),"")</f>
        <v>3.4256</v>
      </c>
      <c r="E2408">
        <f>IFERROR(VLOOKUP($A2408,原始数据_收盘!$A$4:$G$3460,5,0),"")</f>
        <v>3.7135</v>
      </c>
      <c r="F2408">
        <f>IFERROR(VLOOKUP($A2408,原始数据_收盘!$A$4:$G$3460,6,0),"")</f>
        <v>3.3924</v>
      </c>
      <c r="G2408">
        <f>IFERROR(VLOOKUP($A2408,原始数据_收盘!$A$4:$G$3460,7,0),"")</f>
        <v>3.6783</v>
      </c>
      <c r="H2408">
        <f>IFERROR(VLOOKUP($A2408,原始数据_利率互换_FR007_1年!$A$6:$C$4395,2,0),"")</f>
        <v>3.3773</v>
      </c>
      <c r="I2408">
        <f>IFERROR(VLOOKUP($A2408,原始数据_利率互换_FR007_1年!$A$6:$C$4395,3,0),"")</f>
        <v>3.6692</v>
      </c>
    </row>
    <row r="2409" spans="1:9">
      <c r="A2409" s="6">
        <v>41902</v>
      </c>
      <c r="B2409" t="str">
        <f>IFERROR(VLOOKUP($A2409,原始数据_收盘!$A$4:$G$3460,2,0),"")</f>
        <v/>
      </c>
      <c r="C2409" t="str">
        <f>IFERROR(VLOOKUP($A2409,原始数据_收盘!$A$4:$G$3460,3,0),"")</f>
        <v/>
      </c>
      <c r="D2409" t="str">
        <f>IFERROR(VLOOKUP($A2409,原始数据_收盘!$A$4:$G$3460,4,0),"")</f>
        <v/>
      </c>
      <c r="E2409" t="str">
        <f>IFERROR(VLOOKUP($A2409,原始数据_收盘!$A$4:$G$3460,5,0),"")</f>
        <v/>
      </c>
      <c r="F2409" t="str">
        <f>IFERROR(VLOOKUP($A2409,原始数据_收盘!$A$4:$G$3460,6,0),"")</f>
        <v/>
      </c>
      <c r="G2409" t="str">
        <f>IFERROR(VLOOKUP($A2409,原始数据_收盘!$A$4:$G$3460,7,0),"")</f>
        <v/>
      </c>
      <c r="H2409" t="str">
        <f>IFERROR(VLOOKUP($A2409,原始数据_利率互换_FR007_1年!$A$6:$C$4395,2,0),"")</f>
        <v/>
      </c>
      <c r="I2409" t="str">
        <f>IFERROR(VLOOKUP($A2409,原始数据_利率互换_FR007_1年!$A$6:$C$4395,3,0),"")</f>
        <v/>
      </c>
    </row>
    <row r="2410" spans="1:9">
      <c r="A2410" s="6">
        <v>41903</v>
      </c>
      <c r="B2410" t="str">
        <f>IFERROR(VLOOKUP($A2410,原始数据_收盘!$A$4:$G$3460,2,0),"")</f>
        <v/>
      </c>
      <c r="C2410" t="str">
        <f>IFERROR(VLOOKUP($A2410,原始数据_收盘!$A$4:$G$3460,3,0),"")</f>
        <v/>
      </c>
      <c r="D2410" t="str">
        <f>IFERROR(VLOOKUP($A2410,原始数据_收盘!$A$4:$G$3460,4,0),"")</f>
        <v/>
      </c>
      <c r="E2410" t="str">
        <f>IFERROR(VLOOKUP($A2410,原始数据_收盘!$A$4:$G$3460,5,0),"")</f>
        <v/>
      </c>
      <c r="F2410" t="str">
        <f>IFERROR(VLOOKUP($A2410,原始数据_收盘!$A$4:$G$3460,6,0),"")</f>
        <v/>
      </c>
      <c r="G2410" t="str">
        <f>IFERROR(VLOOKUP($A2410,原始数据_收盘!$A$4:$G$3460,7,0),"")</f>
        <v/>
      </c>
      <c r="H2410" t="str">
        <f>IFERROR(VLOOKUP($A2410,原始数据_利率互换_FR007_1年!$A$6:$C$4395,2,0),"")</f>
        <v/>
      </c>
      <c r="I2410" t="str">
        <f>IFERROR(VLOOKUP($A2410,原始数据_利率互换_FR007_1年!$A$6:$C$4395,3,0),"")</f>
        <v/>
      </c>
    </row>
    <row r="2411" spans="1:9">
      <c r="A2411" s="6">
        <v>41904</v>
      </c>
      <c r="B2411">
        <f>IFERROR(VLOOKUP($A2411,原始数据_收盘!$A$4:$G$3460,2,0),"")</f>
        <v>3.3311</v>
      </c>
      <c r="C2411">
        <f>IFERROR(VLOOKUP($A2411,原始数据_收盘!$A$4:$G$3460,3,0),"")</f>
        <v>3.6011</v>
      </c>
      <c r="D2411">
        <f>IFERROR(VLOOKUP($A2411,原始数据_收盘!$A$4:$G$3460,4,0),"")</f>
        <v>3.3956</v>
      </c>
      <c r="E2411">
        <f>IFERROR(VLOOKUP($A2411,原始数据_收盘!$A$4:$G$3460,5,0),"")</f>
        <v>3.6628</v>
      </c>
      <c r="F2411">
        <f>IFERROR(VLOOKUP($A2411,原始数据_收盘!$A$4:$G$3460,6,0),"")</f>
        <v>3.3633</v>
      </c>
      <c r="G2411">
        <f>IFERROR(VLOOKUP($A2411,原始数据_收盘!$A$4:$G$3460,7,0),"")</f>
        <v>3.632</v>
      </c>
      <c r="H2411">
        <f>IFERROR(VLOOKUP($A2411,原始数据_利率互换_FR007_1年!$A$6:$C$4395,2,0),"")</f>
        <v>3.3696</v>
      </c>
      <c r="I2411">
        <f>IFERROR(VLOOKUP($A2411,原始数据_利率互换_FR007_1年!$A$6:$C$4395,3,0),"")</f>
        <v>3.6313</v>
      </c>
    </row>
    <row r="2412" spans="1:9">
      <c r="A2412" s="6">
        <v>41905</v>
      </c>
      <c r="B2412">
        <f>IFERROR(VLOOKUP($A2412,原始数据_收盘!$A$4:$G$3460,2,0),"")</f>
        <v>3.3022</v>
      </c>
      <c r="C2412">
        <f>IFERROR(VLOOKUP($A2412,原始数据_收盘!$A$4:$G$3460,3,0),"")</f>
        <v>3.5883</v>
      </c>
      <c r="D2412">
        <f>IFERROR(VLOOKUP($A2412,原始数据_收盘!$A$4:$G$3460,4,0),"")</f>
        <v>3.3635</v>
      </c>
      <c r="E2412">
        <f>IFERROR(VLOOKUP($A2412,原始数据_收盘!$A$4:$G$3460,5,0),"")</f>
        <v>3.6537</v>
      </c>
      <c r="F2412">
        <f>IFERROR(VLOOKUP($A2412,原始数据_收盘!$A$4:$G$3460,6,0),"")</f>
        <v>3.3329</v>
      </c>
      <c r="G2412">
        <f>IFERROR(VLOOKUP($A2412,原始数据_收盘!$A$4:$G$3460,7,0),"")</f>
        <v>3.621</v>
      </c>
      <c r="H2412">
        <f>IFERROR(VLOOKUP($A2412,原始数据_利率互换_FR007_1年!$A$6:$C$4395,2,0),"")</f>
        <v>3.3051</v>
      </c>
      <c r="I2412">
        <f>IFERROR(VLOOKUP($A2412,原始数据_利率互换_FR007_1年!$A$6:$C$4395,3,0),"")</f>
        <v>3.6057</v>
      </c>
    </row>
    <row r="2413" spans="1:9">
      <c r="A2413" s="6">
        <v>41906</v>
      </c>
      <c r="B2413">
        <f>IFERROR(VLOOKUP($A2413,原始数据_收盘!$A$4:$G$3460,2,0),"")</f>
        <v>3.3608</v>
      </c>
      <c r="C2413">
        <f>IFERROR(VLOOKUP($A2413,原始数据_收盘!$A$4:$G$3460,3,0),"")</f>
        <v>3.7115</v>
      </c>
      <c r="D2413">
        <f>IFERROR(VLOOKUP($A2413,原始数据_收盘!$A$4:$G$3460,4,0),"")</f>
        <v>3.4385</v>
      </c>
      <c r="E2413">
        <f>IFERROR(VLOOKUP($A2413,原始数据_收盘!$A$4:$G$3460,5,0),"")</f>
        <v>3.7896</v>
      </c>
      <c r="F2413">
        <f>IFERROR(VLOOKUP($A2413,原始数据_收盘!$A$4:$G$3460,6,0),"")</f>
        <v>3.3997</v>
      </c>
      <c r="G2413">
        <f>IFERROR(VLOOKUP($A2413,原始数据_收盘!$A$4:$G$3460,7,0),"")</f>
        <v>3.7505</v>
      </c>
      <c r="H2413">
        <f>IFERROR(VLOOKUP($A2413,原始数据_利率互换_FR007_1年!$A$6:$C$4395,2,0),"")</f>
        <v>3.3807</v>
      </c>
      <c r="I2413">
        <f>IFERROR(VLOOKUP($A2413,原始数据_利率互换_FR007_1年!$A$6:$C$4395,3,0),"")</f>
        <v>3.7058</v>
      </c>
    </row>
    <row r="2414" spans="1:9">
      <c r="A2414" s="6">
        <v>41907</v>
      </c>
      <c r="B2414">
        <f>IFERROR(VLOOKUP($A2414,原始数据_收盘!$A$4:$G$3460,2,0),"")</f>
        <v>3.3327</v>
      </c>
      <c r="C2414">
        <f>IFERROR(VLOOKUP($A2414,原始数据_收盘!$A$4:$G$3460,3,0),"")</f>
        <v>3.6611</v>
      </c>
      <c r="D2414">
        <f>IFERROR(VLOOKUP($A2414,原始数据_收盘!$A$4:$G$3460,4,0),"")</f>
        <v>3.4013</v>
      </c>
      <c r="E2414">
        <f>IFERROR(VLOOKUP($A2414,原始数据_收盘!$A$4:$G$3460,5,0),"")</f>
        <v>3.7411</v>
      </c>
      <c r="F2414">
        <f>IFERROR(VLOOKUP($A2414,原始数据_收盘!$A$4:$G$3460,6,0),"")</f>
        <v>3.367</v>
      </c>
      <c r="G2414">
        <f>IFERROR(VLOOKUP($A2414,原始数据_收盘!$A$4:$G$3460,7,0),"")</f>
        <v>3.7011</v>
      </c>
      <c r="H2414">
        <f>IFERROR(VLOOKUP($A2414,原始数据_利率互换_FR007_1年!$A$6:$C$4395,2,0),"")</f>
        <v>3.3927</v>
      </c>
      <c r="I2414">
        <f>IFERROR(VLOOKUP($A2414,原始数据_利率互换_FR007_1年!$A$6:$C$4395,3,0),"")</f>
        <v>3.7507</v>
      </c>
    </row>
    <row r="2415" spans="1:9">
      <c r="A2415" s="6">
        <v>41908</v>
      </c>
      <c r="B2415">
        <f>IFERROR(VLOOKUP($A2415,原始数据_收盘!$A$4:$G$3460,2,0),"")</f>
        <v>3.3145</v>
      </c>
      <c r="C2415">
        <f>IFERROR(VLOOKUP($A2415,原始数据_收盘!$A$4:$G$3460,3,0),"")</f>
        <v>3.6414</v>
      </c>
      <c r="D2415">
        <f>IFERROR(VLOOKUP($A2415,原始数据_收盘!$A$4:$G$3460,4,0),"")</f>
        <v>3.3842</v>
      </c>
      <c r="E2415">
        <f>IFERROR(VLOOKUP($A2415,原始数据_收盘!$A$4:$G$3460,5,0),"")</f>
        <v>3.7133</v>
      </c>
      <c r="F2415">
        <f>IFERROR(VLOOKUP($A2415,原始数据_收盘!$A$4:$G$3460,6,0),"")</f>
        <v>3.3494</v>
      </c>
      <c r="G2415">
        <f>IFERROR(VLOOKUP($A2415,原始数据_收盘!$A$4:$G$3460,7,0),"")</f>
        <v>3.6774</v>
      </c>
      <c r="H2415">
        <f>IFERROR(VLOOKUP($A2415,原始数据_利率互换_FR007_1年!$A$6:$C$4395,2,0),"")</f>
        <v>3.357</v>
      </c>
      <c r="I2415">
        <f>IFERROR(VLOOKUP($A2415,原始数据_利率互换_FR007_1年!$A$6:$C$4395,3,0),"")</f>
        <v>3.6934</v>
      </c>
    </row>
    <row r="2416" spans="1:9">
      <c r="A2416" s="6">
        <v>41909</v>
      </c>
      <c r="B2416" t="str">
        <f>IFERROR(VLOOKUP($A2416,原始数据_收盘!$A$4:$G$3460,2,0),"")</f>
        <v/>
      </c>
      <c r="C2416" t="str">
        <f>IFERROR(VLOOKUP($A2416,原始数据_收盘!$A$4:$G$3460,3,0),"")</f>
        <v/>
      </c>
      <c r="D2416" t="str">
        <f>IFERROR(VLOOKUP($A2416,原始数据_收盘!$A$4:$G$3460,4,0),"")</f>
        <v/>
      </c>
      <c r="E2416" t="str">
        <f>IFERROR(VLOOKUP($A2416,原始数据_收盘!$A$4:$G$3460,5,0),"")</f>
        <v/>
      </c>
      <c r="F2416" t="str">
        <f>IFERROR(VLOOKUP($A2416,原始数据_收盘!$A$4:$G$3460,6,0),"")</f>
        <v/>
      </c>
      <c r="G2416" t="str">
        <f>IFERROR(VLOOKUP($A2416,原始数据_收盘!$A$4:$G$3460,7,0),"")</f>
        <v/>
      </c>
      <c r="H2416" t="str">
        <f>IFERROR(VLOOKUP($A2416,原始数据_利率互换_FR007_1年!$A$6:$C$4395,2,0),"")</f>
        <v/>
      </c>
      <c r="I2416" t="str">
        <f>IFERROR(VLOOKUP($A2416,原始数据_利率互换_FR007_1年!$A$6:$C$4395,3,0),"")</f>
        <v/>
      </c>
    </row>
    <row r="2417" spans="1:9">
      <c r="A2417" s="6">
        <v>41910</v>
      </c>
      <c r="B2417">
        <f>IFERROR(VLOOKUP($A2417,原始数据_收盘!$A$4:$G$3460,2,0),"")</f>
        <v>3.2786</v>
      </c>
      <c r="C2417">
        <f>IFERROR(VLOOKUP($A2417,原始数据_收盘!$A$4:$G$3460,3,0),"")</f>
        <v>3.5968</v>
      </c>
      <c r="D2417">
        <f>IFERROR(VLOOKUP($A2417,原始数据_收盘!$A$4:$G$3460,4,0),"")</f>
        <v>3.3456</v>
      </c>
      <c r="E2417">
        <f>IFERROR(VLOOKUP($A2417,原始数据_收盘!$A$4:$G$3460,5,0),"")</f>
        <v>3.6645</v>
      </c>
      <c r="F2417">
        <f>IFERROR(VLOOKUP($A2417,原始数据_收盘!$A$4:$G$3460,6,0),"")</f>
        <v>3.3121</v>
      </c>
      <c r="G2417">
        <f>IFERROR(VLOOKUP($A2417,原始数据_收盘!$A$4:$G$3460,7,0),"")</f>
        <v>3.6307</v>
      </c>
      <c r="H2417">
        <f>IFERROR(VLOOKUP($A2417,原始数据_利率互换_FR007_1年!$A$6:$C$4395,2,0),"")</f>
        <v>3.33</v>
      </c>
      <c r="I2417">
        <f>IFERROR(VLOOKUP($A2417,原始数据_利率互换_FR007_1年!$A$6:$C$4395,3,0),"")</f>
        <v>3.62</v>
      </c>
    </row>
    <row r="2418" spans="1:9">
      <c r="A2418" s="6">
        <v>41911</v>
      </c>
      <c r="B2418">
        <f>IFERROR(VLOOKUP($A2418,原始数据_收盘!$A$4:$G$3460,2,0),"")</f>
        <v>3.1828</v>
      </c>
      <c r="C2418">
        <f>IFERROR(VLOOKUP($A2418,原始数据_收盘!$A$4:$G$3460,3,0),"")</f>
        <v>3.487</v>
      </c>
      <c r="D2418">
        <f>IFERROR(VLOOKUP($A2418,原始数据_收盘!$A$4:$G$3460,4,0),"")</f>
        <v>3.2445</v>
      </c>
      <c r="E2418">
        <f>IFERROR(VLOOKUP($A2418,原始数据_收盘!$A$4:$G$3460,5,0),"")</f>
        <v>3.5497</v>
      </c>
      <c r="F2418">
        <f>IFERROR(VLOOKUP($A2418,原始数据_收盘!$A$4:$G$3460,6,0),"")</f>
        <v>3.2137</v>
      </c>
      <c r="G2418">
        <f>IFERROR(VLOOKUP($A2418,原始数据_收盘!$A$4:$G$3460,7,0),"")</f>
        <v>3.5184</v>
      </c>
      <c r="H2418">
        <f>IFERROR(VLOOKUP($A2418,原始数据_利率互换_FR007_1年!$A$6:$C$4395,2,0),"")</f>
        <v>3.2092</v>
      </c>
      <c r="I2418">
        <f>IFERROR(VLOOKUP($A2418,原始数据_利率互换_FR007_1年!$A$6:$C$4395,3,0),"")</f>
        <v>3.5048</v>
      </c>
    </row>
    <row r="2419" spans="1:9">
      <c r="A2419" s="6">
        <v>41912</v>
      </c>
      <c r="B2419">
        <f>IFERROR(VLOOKUP($A2419,原始数据_收盘!$A$4:$G$3460,2,0),"")</f>
        <v>3.1795</v>
      </c>
      <c r="C2419">
        <f>IFERROR(VLOOKUP($A2419,原始数据_收盘!$A$4:$G$3460,3,0),"")</f>
        <v>3.4805</v>
      </c>
      <c r="D2419">
        <f>IFERROR(VLOOKUP($A2419,原始数据_收盘!$A$4:$G$3460,4,0),"")</f>
        <v>3.2429</v>
      </c>
      <c r="E2419">
        <f>IFERROR(VLOOKUP($A2419,原始数据_收盘!$A$4:$G$3460,5,0),"")</f>
        <v>3.545</v>
      </c>
      <c r="F2419">
        <f>IFERROR(VLOOKUP($A2419,原始数据_收盘!$A$4:$G$3460,6,0),"")</f>
        <v>3.2112</v>
      </c>
      <c r="G2419">
        <f>IFERROR(VLOOKUP($A2419,原始数据_收盘!$A$4:$G$3460,7,0),"")</f>
        <v>3.5127</v>
      </c>
      <c r="H2419">
        <f>IFERROR(VLOOKUP($A2419,原始数据_利率互换_FR007_1年!$A$6:$C$4395,2,0),"")</f>
        <v>3.2</v>
      </c>
      <c r="I2419">
        <f>IFERROR(VLOOKUP($A2419,原始数据_利率互换_FR007_1年!$A$6:$C$4395,3,0),"")</f>
        <v>3.4973</v>
      </c>
    </row>
    <row r="2420" spans="1:9">
      <c r="A2420" s="6">
        <v>41913</v>
      </c>
      <c r="B2420" t="str">
        <f>IFERROR(VLOOKUP($A2420,原始数据_收盘!$A$4:$G$3460,2,0),"")</f>
        <v/>
      </c>
      <c r="C2420" t="str">
        <f>IFERROR(VLOOKUP($A2420,原始数据_收盘!$A$4:$G$3460,3,0),"")</f>
        <v/>
      </c>
      <c r="D2420" t="str">
        <f>IFERROR(VLOOKUP($A2420,原始数据_收盘!$A$4:$G$3460,4,0),"")</f>
        <v/>
      </c>
      <c r="E2420" t="str">
        <f>IFERROR(VLOOKUP($A2420,原始数据_收盘!$A$4:$G$3460,5,0),"")</f>
        <v/>
      </c>
      <c r="F2420" t="str">
        <f>IFERROR(VLOOKUP($A2420,原始数据_收盘!$A$4:$G$3460,6,0),"")</f>
        <v/>
      </c>
      <c r="G2420" t="str">
        <f>IFERROR(VLOOKUP($A2420,原始数据_收盘!$A$4:$G$3460,7,0),"")</f>
        <v/>
      </c>
      <c r="H2420" t="str">
        <f>IFERROR(VLOOKUP($A2420,原始数据_利率互换_FR007_1年!$A$6:$C$4395,2,0),"")</f>
        <v/>
      </c>
      <c r="I2420" t="str">
        <f>IFERROR(VLOOKUP($A2420,原始数据_利率互换_FR007_1年!$A$6:$C$4395,3,0),"")</f>
        <v/>
      </c>
    </row>
    <row r="2421" spans="1:9">
      <c r="A2421" s="6">
        <v>41914</v>
      </c>
      <c r="B2421" t="str">
        <f>IFERROR(VLOOKUP($A2421,原始数据_收盘!$A$4:$G$3460,2,0),"")</f>
        <v/>
      </c>
      <c r="C2421" t="str">
        <f>IFERROR(VLOOKUP($A2421,原始数据_收盘!$A$4:$G$3460,3,0),"")</f>
        <v/>
      </c>
      <c r="D2421" t="str">
        <f>IFERROR(VLOOKUP($A2421,原始数据_收盘!$A$4:$G$3460,4,0),"")</f>
        <v/>
      </c>
      <c r="E2421" t="str">
        <f>IFERROR(VLOOKUP($A2421,原始数据_收盘!$A$4:$G$3460,5,0),"")</f>
        <v/>
      </c>
      <c r="F2421" t="str">
        <f>IFERROR(VLOOKUP($A2421,原始数据_收盘!$A$4:$G$3460,6,0),"")</f>
        <v/>
      </c>
      <c r="G2421" t="str">
        <f>IFERROR(VLOOKUP($A2421,原始数据_收盘!$A$4:$G$3460,7,0),"")</f>
        <v/>
      </c>
      <c r="H2421" t="str">
        <f>IFERROR(VLOOKUP($A2421,原始数据_利率互换_FR007_1年!$A$6:$C$4395,2,0),"")</f>
        <v/>
      </c>
      <c r="I2421" t="str">
        <f>IFERROR(VLOOKUP($A2421,原始数据_利率互换_FR007_1年!$A$6:$C$4395,3,0),"")</f>
        <v/>
      </c>
    </row>
    <row r="2422" spans="1:9">
      <c r="A2422" s="6">
        <v>41915</v>
      </c>
      <c r="B2422" t="str">
        <f>IFERROR(VLOOKUP($A2422,原始数据_收盘!$A$4:$G$3460,2,0),"")</f>
        <v/>
      </c>
      <c r="C2422" t="str">
        <f>IFERROR(VLOOKUP($A2422,原始数据_收盘!$A$4:$G$3460,3,0),"")</f>
        <v/>
      </c>
      <c r="D2422" t="str">
        <f>IFERROR(VLOOKUP($A2422,原始数据_收盘!$A$4:$G$3460,4,0),"")</f>
        <v/>
      </c>
      <c r="E2422" t="str">
        <f>IFERROR(VLOOKUP($A2422,原始数据_收盘!$A$4:$G$3460,5,0),"")</f>
        <v/>
      </c>
      <c r="F2422" t="str">
        <f>IFERROR(VLOOKUP($A2422,原始数据_收盘!$A$4:$G$3460,6,0),"")</f>
        <v/>
      </c>
      <c r="G2422" t="str">
        <f>IFERROR(VLOOKUP($A2422,原始数据_收盘!$A$4:$G$3460,7,0),"")</f>
        <v/>
      </c>
      <c r="H2422" t="str">
        <f>IFERROR(VLOOKUP($A2422,原始数据_利率互换_FR007_1年!$A$6:$C$4395,2,0),"")</f>
        <v/>
      </c>
      <c r="I2422" t="str">
        <f>IFERROR(VLOOKUP($A2422,原始数据_利率互换_FR007_1年!$A$6:$C$4395,3,0),"")</f>
        <v/>
      </c>
    </row>
    <row r="2423" spans="1:9">
      <c r="A2423" s="6">
        <v>41916</v>
      </c>
      <c r="B2423" t="str">
        <f>IFERROR(VLOOKUP($A2423,原始数据_收盘!$A$4:$G$3460,2,0),"")</f>
        <v/>
      </c>
      <c r="C2423" t="str">
        <f>IFERROR(VLOOKUP($A2423,原始数据_收盘!$A$4:$G$3460,3,0),"")</f>
        <v/>
      </c>
      <c r="D2423" t="str">
        <f>IFERROR(VLOOKUP($A2423,原始数据_收盘!$A$4:$G$3460,4,0),"")</f>
        <v/>
      </c>
      <c r="E2423" t="str">
        <f>IFERROR(VLOOKUP($A2423,原始数据_收盘!$A$4:$G$3460,5,0),"")</f>
        <v/>
      </c>
      <c r="F2423" t="str">
        <f>IFERROR(VLOOKUP($A2423,原始数据_收盘!$A$4:$G$3460,6,0),"")</f>
        <v/>
      </c>
      <c r="G2423" t="str">
        <f>IFERROR(VLOOKUP($A2423,原始数据_收盘!$A$4:$G$3460,7,0),"")</f>
        <v/>
      </c>
      <c r="H2423" t="str">
        <f>IFERROR(VLOOKUP($A2423,原始数据_利率互换_FR007_1年!$A$6:$C$4395,2,0),"")</f>
        <v/>
      </c>
      <c r="I2423" t="str">
        <f>IFERROR(VLOOKUP($A2423,原始数据_利率互换_FR007_1年!$A$6:$C$4395,3,0),"")</f>
        <v/>
      </c>
    </row>
    <row r="2424" spans="1:9">
      <c r="A2424" s="6">
        <v>41917</v>
      </c>
      <c r="B2424" t="str">
        <f>IFERROR(VLOOKUP($A2424,原始数据_收盘!$A$4:$G$3460,2,0),"")</f>
        <v/>
      </c>
      <c r="C2424" t="str">
        <f>IFERROR(VLOOKUP($A2424,原始数据_收盘!$A$4:$G$3460,3,0),"")</f>
        <v/>
      </c>
      <c r="D2424" t="str">
        <f>IFERROR(VLOOKUP($A2424,原始数据_收盘!$A$4:$G$3460,4,0),"")</f>
        <v/>
      </c>
      <c r="E2424" t="str">
        <f>IFERROR(VLOOKUP($A2424,原始数据_收盘!$A$4:$G$3460,5,0),"")</f>
        <v/>
      </c>
      <c r="F2424" t="str">
        <f>IFERROR(VLOOKUP($A2424,原始数据_收盘!$A$4:$G$3460,6,0),"")</f>
        <v/>
      </c>
      <c r="G2424" t="str">
        <f>IFERROR(VLOOKUP($A2424,原始数据_收盘!$A$4:$G$3460,7,0),"")</f>
        <v/>
      </c>
      <c r="H2424" t="str">
        <f>IFERROR(VLOOKUP($A2424,原始数据_利率互换_FR007_1年!$A$6:$C$4395,2,0),"")</f>
        <v/>
      </c>
      <c r="I2424" t="str">
        <f>IFERROR(VLOOKUP($A2424,原始数据_利率互换_FR007_1年!$A$6:$C$4395,3,0),"")</f>
        <v/>
      </c>
    </row>
    <row r="2425" spans="1:9">
      <c r="A2425" s="6">
        <v>41918</v>
      </c>
      <c r="B2425" t="str">
        <f>IFERROR(VLOOKUP($A2425,原始数据_收盘!$A$4:$G$3460,2,0),"")</f>
        <v/>
      </c>
      <c r="C2425" t="str">
        <f>IFERROR(VLOOKUP($A2425,原始数据_收盘!$A$4:$G$3460,3,0),"")</f>
        <v/>
      </c>
      <c r="D2425" t="str">
        <f>IFERROR(VLOOKUP($A2425,原始数据_收盘!$A$4:$G$3460,4,0),"")</f>
        <v/>
      </c>
      <c r="E2425" t="str">
        <f>IFERROR(VLOOKUP($A2425,原始数据_收盘!$A$4:$G$3460,5,0),"")</f>
        <v/>
      </c>
      <c r="F2425" t="str">
        <f>IFERROR(VLOOKUP($A2425,原始数据_收盘!$A$4:$G$3460,6,0),"")</f>
        <v/>
      </c>
      <c r="G2425" t="str">
        <f>IFERROR(VLOOKUP($A2425,原始数据_收盘!$A$4:$G$3460,7,0),"")</f>
        <v/>
      </c>
      <c r="H2425" t="str">
        <f>IFERROR(VLOOKUP($A2425,原始数据_利率互换_FR007_1年!$A$6:$C$4395,2,0),"")</f>
        <v/>
      </c>
      <c r="I2425" t="str">
        <f>IFERROR(VLOOKUP($A2425,原始数据_利率互换_FR007_1年!$A$6:$C$4395,3,0),"")</f>
        <v/>
      </c>
    </row>
    <row r="2426" spans="1:9">
      <c r="A2426" s="6">
        <v>41919</v>
      </c>
      <c r="B2426" t="str">
        <f>IFERROR(VLOOKUP($A2426,原始数据_收盘!$A$4:$G$3460,2,0),"")</f>
        <v/>
      </c>
      <c r="C2426" t="str">
        <f>IFERROR(VLOOKUP($A2426,原始数据_收盘!$A$4:$G$3460,3,0),"")</f>
        <v/>
      </c>
      <c r="D2426" t="str">
        <f>IFERROR(VLOOKUP($A2426,原始数据_收盘!$A$4:$G$3460,4,0),"")</f>
        <v/>
      </c>
      <c r="E2426" t="str">
        <f>IFERROR(VLOOKUP($A2426,原始数据_收盘!$A$4:$G$3460,5,0),"")</f>
        <v/>
      </c>
      <c r="F2426" t="str">
        <f>IFERROR(VLOOKUP($A2426,原始数据_收盘!$A$4:$G$3460,6,0),"")</f>
        <v/>
      </c>
      <c r="G2426" t="str">
        <f>IFERROR(VLOOKUP($A2426,原始数据_收盘!$A$4:$G$3460,7,0),"")</f>
        <v/>
      </c>
      <c r="H2426" t="str">
        <f>IFERROR(VLOOKUP($A2426,原始数据_利率互换_FR007_1年!$A$6:$C$4395,2,0),"")</f>
        <v/>
      </c>
      <c r="I2426" t="str">
        <f>IFERROR(VLOOKUP($A2426,原始数据_利率互换_FR007_1年!$A$6:$C$4395,3,0),"")</f>
        <v/>
      </c>
    </row>
    <row r="2427" spans="1:9">
      <c r="A2427" s="6">
        <v>41920</v>
      </c>
      <c r="B2427">
        <f>IFERROR(VLOOKUP($A2427,原始数据_收盘!$A$4:$G$3460,2,0),"")</f>
        <v>3.2047</v>
      </c>
      <c r="C2427">
        <f>IFERROR(VLOOKUP($A2427,原始数据_收盘!$A$4:$G$3460,3,0),"")</f>
        <v>3.5354</v>
      </c>
      <c r="D2427">
        <f>IFERROR(VLOOKUP($A2427,原始数据_收盘!$A$4:$G$3460,4,0),"")</f>
        <v>3.2641</v>
      </c>
      <c r="E2427">
        <f>IFERROR(VLOOKUP($A2427,原始数据_收盘!$A$4:$G$3460,5,0),"")</f>
        <v>3.5967</v>
      </c>
      <c r="F2427">
        <f>IFERROR(VLOOKUP($A2427,原始数据_收盘!$A$4:$G$3460,6,0),"")</f>
        <v>3.2344</v>
      </c>
      <c r="G2427">
        <f>IFERROR(VLOOKUP($A2427,原始数据_收盘!$A$4:$G$3460,7,0),"")</f>
        <v>3.566</v>
      </c>
      <c r="H2427">
        <f>IFERROR(VLOOKUP($A2427,原始数据_利率互换_FR007_1年!$A$6:$C$4395,2,0),"")</f>
        <v>3.2352</v>
      </c>
      <c r="I2427">
        <f>IFERROR(VLOOKUP($A2427,原始数据_利率互换_FR007_1年!$A$6:$C$4395,3,0),"")</f>
        <v>3.5528</v>
      </c>
    </row>
    <row r="2428" spans="1:9">
      <c r="A2428" s="6">
        <v>41921</v>
      </c>
      <c r="B2428">
        <f>IFERROR(VLOOKUP($A2428,原始数据_收盘!$A$4:$G$3460,2,0),"")</f>
        <v>3.2194</v>
      </c>
      <c r="C2428">
        <f>IFERROR(VLOOKUP($A2428,原始数据_收盘!$A$4:$G$3460,3,0),"")</f>
        <v>3.5429</v>
      </c>
      <c r="D2428">
        <f>IFERROR(VLOOKUP($A2428,原始数据_收盘!$A$4:$G$3460,4,0),"")</f>
        <v>3.2718</v>
      </c>
      <c r="E2428">
        <f>IFERROR(VLOOKUP($A2428,原始数据_收盘!$A$4:$G$3460,5,0),"")</f>
        <v>3.5977</v>
      </c>
      <c r="F2428">
        <f>IFERROR(VLOOKUP($A2428,原始数据_收盘!$A$4:$G$3460,6,0),"")</f>
        <v>3.2456</v>
      </c>
      <c r="G2428">
        <f>IFERROR(VLOOKUP($A2428,原始数据_收盘!$A$4:$G$3460,7,0),"")</f>
        <v>3.5703</v>
      </c>
      <c r="H2428">
        <f>IFERROR(VLOOKUP($A2428,原始数据_利率互换_FR007_1年!$A$6:$C$4395,2,0),"")</f>
        <v>3.2482</v>
      </c>
      <c r="I2428">
        <f>IFERROR(VLOOKUP($A2428,原始数据_利率互换_FR007_1年!$A$6:$C$4395,3,0),"")</f>
        <v>3.5756</v>
      </c>
    </row>
    <row r="2429" spans="1:9">
      <c r="A2429" s="6">
        <v>41922</v>
      </c>
      <c r="B2429">
        <f>IFERROR(VLOOKUP($A2429,原始数据_收盘!$A$4:$G$3460,2,0),"")</f>
        <v>3.2239</v>
      </c>
      <c r="C2429">
        <f>IFERROR(VLOOKUP($A2429,原始数据_收盘!$A$4:$G$3460,3,0),"")</f>
        <v>3.5513</v>
      </c>
      <c r="D2429">
        <f>IFERROR(VLOOKUP($A2429,原始数据_收盘!$A$4:$G$3460,4,0),"")</f>
        <v>3.2786</v>
      </c>
      <c r="E2429">
        <f>IFERROR(VLOOKUP($A2429,原始数据_收盘!$A$4:$G$3460,5,0),"")</f>
        <v>3.6057</v>
      </c>
      <c r="F2429">
        <f>IFERROR(VLOOKUP($A2429,原始数据_收盘!$A$4:$G$3460,6,0),"")</f>
        <v>3.2513</v>
      </c>
      <c r="G2429">
        <f>IFERROR(VLOOKUP($A2429,原始数据_收盘!$A$4:$G$3460,7,0),"")</f>
        <v>3.5785</v>
      </c>
      <c r="H2429">
        <f>IFERROR(VLOOKUP($A2429,原始数据_利率互换_FR007_1年!$A$6:$C$4395,2,0),"")</f>
        <v>3.2523</v>
      </c>
      <c r="I2429">
        <f>IFERROR(VLOOKUP($A2429,原始数据_利率互换_FR007_1年!$A$6:$C$4395,3,0),"")</f>
        <v>3.5814</v>
      </c>
    </row>
    <row r="2430" spans="1:9">
      <c r="A2430" s="6">
        <v>41923</v>
      </c>
      <c r="B2430">
        <f>IFERROR(VLOOKUP($A2430,原始数据_收盘!$A$4:$G$3460,2,0),"")</f>
        <v>3.2182</v>
      </c>
      <c r="C2430">
        <f>IFERROR(VLOOKUP($A2430,原始数据_收盘!$A$4:$G$3460,3,0),"")</f>
        <v>3.5476</v>
      </c>
      <c r="D2430">
        <f>IFERROR(VLOOKUP($A2430,原始数据_收盘!$A$4:$G$3460,4,0),"")</f>
        <v>3.2707</v>
      </c>
      <c r="E2430">
        <f>IFERROR(VLOOKUP($A2430,原始数据_收盘!$A$4:$G$3460,5,0),"")</f>
        <v>3.6024</v>
      </c>
      <c r="F2430">
        <f>IFERROR(VLOOKUP($A2430,原始数据_收盘!$A$4:$G$3460,6,0),"")</f>
        <v>3.2445</v>
      </c>
      <c r="G2430">
        <f>IFERROR(VLOOKUP($A2430,原始数据_收盘!$A$4:$G$3460,7,0),"")</f>
        <v>3.575</v>
      </c>
      <c r="H2430">
        <f>IFERROR(VLOOKUP($A2430,原始数据_利率互换_FR007_1年!$A$6:$C$4395,2,0),"")</f>
        <v>3.2489</v>
      </c>
      <c r="I2430">
        <f>IFERROR(VLOOKUP($A2430,原始数据_利率互换_FR007_1年!$A$6:$C$4395,3,0),"")</f>
        <v>3.575</v>
      </c>
    </row>
    <row r="2431" spans="1:9">
      <c r="A2431" s="6">
        <v>41924</v>
      </c>
      <c r="B2431" t="str">
        <f>IFERROR(VLOOKUP($A2431,原始数据_收盘!$A$4:$G$3460,2,0),"")</f>
        <v/>
      </c>
      <c r="C2431" t="str">
        <f>IFERROR(VLOOKUP($A2431,原始数据_收盘!$A$4:$G$3460,3,0),"")</f>
        <v/>
      </c>
      <c r="D2431" t="str">
        <f>IFERROR(VLOOKUP($A2431,原始数据_收盘!$A$4:$G$3460,4,0),"")</f>
        <v/>
      </c>
      <c r="E2431" t="str">
        <f>IFERROR(VLOOKUP($A2431,原始数据_收盘!$A$4:$G$3460,5,0),"")</f>
        <v/>
      </c>
      <c r="F2431" t="str">
        <f>IFERROR(VLOOKUP($A2431,原始数据_收盘!$A$4:$G$3460,6,0),"")</f>
        <v/>
      </c>
      <c r="G2431" t="str">
        <f>IFERROR(VLOOKUP($A2431,原始数据_收盘!$A$4:$G$3460,7,0),"")</f>
        <v/>
      </c>
      <c r="H2431" t="str">
        <f>IFERROR(VLOOKUP($A2431,原始数据_利率互换_FR007_1年!$A$6:$C$4395,2,0),"")</f>
        <v/>
      </c>
      <c r="I2431" t="str">
        <f>IFERROR(VLOOKUP($A2431,原始数据_利率互换_FR007_1年!$A$6:$C$4395,3,0),"")</f>
        <v/>
      </c>
    </row>
    <row r="2432" spans="1:9">
      <c r="A2432" s="6">
        <v>41925</v>
      </c>
      <c r="B2432">
        <f>IFERROR(VLOOKUP($A2432,原始数据_收盘!$A$4:$G$3460,2,0),"")</f>
        <v>3.2177</v>
      </c>
      <c r="C2432">
        <f>IFERROR(VLOOKUP($A2432,原始数据_收盘!$A$4:$G$3460,3,0),"")</f>
        <v>3.5423</v>
      </c>
      <c r="D2432">
        <f>IFERROR(VLOOKUP($A2432,原始数据_收盘!$A$4:$G$3460,4,0),"")</f>
        <v>3.2743</v>
      </c>
      <c r="E2432">
        <f>IFERROR(VLOOKUP($A2432,原始数据_收盘!$A$4:$G$3460,5,0),"")</f>
        <v>3.6021</v>
      </c>
      <c r="F2432">
        <f>IFERROR(VLOOKUP($A2432,原始数据_收盘!$A$4:$G$3460,6,0),"")</f>
        <v>3.246</v>
      </c>
      <c r="G2432">
        <f>IFERROR(VLOOKUP($A2432,原始数据_收盘!$A$4:$G$3460,7,0),"")</f>
        <v>3.5722</v>
      </c>
      <c r="H2432">
        <f>IFERROR(VLOOKUP($A2432,原始数据_利率互换_FR007_1年!$A$6:$C$4395,2,0),"")</f>
        <v>3.2501</v>
      </c>
      <c r="I2432">
        <f>IFERROR(VLOOKUP($A2432,原始数据_利率互换_FR007_1年!$A$6:$C$4395,3,0),"")</f>
        <v>3.5715</v>
      </c>
    </row>
    <row r="2433" spans="1:9">
      <c r="A2433" s="6">
        <v>41926</v>
      </c>
      <c r="B2433">
        <f>IFERROR(VLOOKUP($A2433,原始数据_收盘!$A$4:$G$3460,2,0),"")</f>
        <v>3.1215</v>
      </c>
      <c r="C2433">
        <f>IFERROR(VLOOKUP($A2433,原始数据_收盘!$A$4:$G$3460,3,0),"")</f>
        <v>3.428</v>
      </c>
      <c r="D2433">
        <f>IFERROR(VLOOKUP($A2433,原始数据_收盘!$A$4:$G$3460,4,0),"")</f>
        <v>3.1778</v>
      </c>
      <c r="E2433">
        <f>IFERROR(VLOOKUP($A2433,原始数据_收盘!$A$4:$G$3460,5,0),"")</f>
        <v>3.4843</v>
      </c>
      <c r="F2433">
        <f>IFERROR(VLOOKUP($A2433,原始数据_收盘!$A$4:$G$3460,6,0),"")</f>
        <v>3.1497</v>
      </c>
      <c r="G2433">
        <f>IFERROR(VLOOKUP($A2433,原始数据_收盘!$A$4:$G$3460,7,0),"")</f>
        <v>3.4562</v>
      </c>
      <c r="H2433">
        <f>IFERROR(VLOOKUP($A2433,原始数据_利率互换_FR007_1年!$A$6:$C$4395,2,0),"")</f>
        <v>3.1794</v>
      </c>
      <c r="I2433">
        <f>IFERROR(VLOOKUP($A2433,原始数据_利率互换_FR007_1年!$A$6:$C$4395,3,0),"")</f>
        <v>3.4713</v>
      </c>
    </row>
    <row r="2434" spans="1:9">
      <c r="A2434" s="6">
        <v>41927</v>
      </c>
      <c r="B2434">
        <f>IFERROR(VLOOKUP($A2434,原始数据_收盘!$A$4:$G$3460,2,0),"")</f>
        <v>3.0818</v>
      </c>
      <c r="C2434">
        <f>IFERROR(VLOOKUP($A2434,原始数据_收盘!$A$4:$G$3460,3,0),"")</f>
        <v>3.3797</v>
      </c>
      <c r="D2434">
        <f>IFERROR(VLOOKUP($A2434,原始数据_收盘!$A$4:$G$3460,4,0),"")</f>
        <v>3.1375</v>
      </c>
      <c r="E2434">
        <f>IFERROR(VLOOKUP($A2434,原始数据_收盘!$A$4:$G$3460,5,0),"")</f>
        <v>3.4381</v>
      </c>
      <c r="F2434">
        <f>IFERROR(VLOOKUP($A2434,原始数据_收盘!$A$4:$G$3460,6,0),"")</f>
        <v>3.1097</v>
      </c>
      <c r="G2434">
        <f>IFERROR(VLOOKUP($A2434,原始数据_收盘!$A$4:$G$3460,7,0),"")</f>
        <v>3.4089</v>
      </c>
      <c r="H2434">
        <f>IFERROR(VLOOKUP($A2434,原始数据_利率互换_FR007_1年!$A$6:$C$4395,2,0),"")</f>
        <v>3.0976</v>
      </c>
      <c r="I2434">
        <f>IFERROR(VLOOKUP($A2434,原始数据_利率互换_FR007_1年!$A$6:$C$4395,3,0),"")</f>
        <v>3.3983</v>
      </c>
    </row>
    <row r="2435" spans="1:9">
      <c r="A2435" s="6">
        <v>41928</v>
      </c>
      <c r="B2435">
        <f>IFERROR(VLOOKUP($A2435,原始数据_收盘!$A$4:$G$3460,2,0),"")</f>
        <v>3.0549</v>
      </c>
      <c r="C2435">
        <f>IFERROR(VLOOKUP($A2435,原始数据_收盘!$A$4:$G$3460,3,0),"")</f>
        <v>3.345</v>
      </c>
      <c r="D2435">
        <f>IFERROR(VLOOKUP($A2435,原始数据_收盘!$A$4:$G$3460,4,0),"")</f>
        <v>3.1205</v>
      </c>
      <c r="E2435">
        <f>IFERROR(VLOOKUP($A2435,原始数据_收盘!$A$4:$G$3460,5,0),"")</f>
        <v>3.4118</v>
      </c>
      <c r="F2435">
        <f>IFERROR(VLOOKUP($A2435,原始数据_收盘!$A$4:$G$3460,6,0),"")</f>
        <v>3.0877</v>
      </c>
      <c r="G2435">
        <f>IFERROR(VLOOKUP($A2435,原始数据_收盘!$A$4:$G$3460,7,0),"")</f>
        <v>3.3784</v>
      </c>
      <c r="H2435">
        <f>IFERROR(VLOOKUP($A2435,原始数据_利率互换_FR007_1年!$A$6:$C$4395,2,0),"")</f>
        <v>3.0784</v>
      </c>
      <c r="I2435">
        <f>IFERROR(VLOOKUP($A2435,原始数据_利率互换_FR007_1年!$A$6:$C$4395,3,0),"")</f>
        <v>3.3709</v>
      </c>
    </row>
    <row r="2436" spans="1:9">
      <c r="A2436" s="6">
        <v>41929</v>
      </c>
      <c r="B2436">
        <f>IFERROR(VLOOKUP($A2436,原始数据_收盘!$A$4:$G$3460,2,0),"")</f>
        <v>3.0596</v>
      </c>
      <c r="C2436">
        <f>IFERROR(VLOOKUP($A2436,原始数据_收盘!$A$4:$G$3460,3,0),"")</f>
        <v>3.3421</v>
      </c>
      <c r="D2436">
        <f>IFERROR(VLOOKUP($A2436,原始数据_收盘!$A$4:$G$3460,4,0),"")</f>
        <v>3.1221</v>
      </c>
      <c r="E2436">
        <f>IFERROR(VLOOKUP($A2436,原始数据_收盘!$A$4:$G$3460,5,0),"")</f>
        <v>3.4033</v>
      </c>
      <c r="F2436">
        <f>IFERROR(VLOOKUP($A2436,原始数据_收盘!$A$4:$G$3460,6,0),"")</f>
        <v>3.0908</v>
      </c>
      <c r="G2436">
        <f>IFERROR(VLOOKUP($A2436,原始数据_收盘!$A$4:$G$3460,7,0),"")</f>
        <v>3.3727</v>
      </c>
      <c r="H2436">
        <f>IFERROR(VLOOKUP($A2436,原始数据_利率互换_FR007_1年!$A$6:$C$4395,2,0),"")</f>
        <v>3.1144</v>
      </c>
      <c r="I2436">
        <f>IFERROR(VLOOKUP($A2436,原始数据_利率互换_FR007_1年!$A$6:$C$4395,3,0),"")</f>
        <v>3.3791</v>
      </c>
    </row>
    <row r="2437" spans="1:9">
      <c r="A2437" s="6">
        <v>41930</v>
      </c>
      <c r="B2437" t="str">
        <f>IFERROR(VLOOKUP($A2437,原始数据_收盘!$A$4:$G$3460,2,0),"")</f>
        <v/>
      </c>
      <c r="C2437" t="str">
        <f>IFERROR(VLOOKUP($A2437,原始数据_收盘!$A$4:$G$3460,3,0),"")</f>
        <v/>
      </c>
      <c r="D2437" t="str">
        <f>IFERROR(VLOOKUP($A2437,原始数据_收盘!$A$4:$G$3460,4,0),"")</f>
        <v/>
      </c>
      <c r="E2437" t="str">
        <f>IFERROR(VLOOKUP($A2437,原始数据_收盘!$A$4:$G$3460,5,0),"")</f>
        <v/>
      </c>
      <c r="F2437" t="str">
        <f>IFERROR(VLOOKUP($A2437,原始数据_收盘!$A$4:$G$3460,6,0),"")</f>
        <v/>
      </c>
      <c r="G2437" t="str">
        <f>IFERROR(VLOOKUP($A2437,原始数据_收盘!$A$4:$G$3460,7,0),"")</f>
        <v/>
      </c>
      <c r="H2437" t="str">
        <f>IFERROR(VLOOKUP($A2437,原始数据_利率互换_FR007_1年!$A$6:$C$4395,2,0),"")</f>
        <v/>
      </c>
      <c r="I2437" t="str">
        <f>IFERROR(VLOOKUP($A2437,原始数据_利率互换_FR007_1年!$A$6:$C$4395,3,0),"")</f>
        <v/>
      </c>
    </row>
    <row r="2438" spans="1:9">
      <c r="A2438" s="6">
        <v>41931</v>
      </c>
      <c r="B2438" t="str">
        <f>IFERROR(VLOOKUP($A2438,原始数据_收盘!$A$4:$G$3460,2,0),"")</f>
        <v/>
      </c>
      <c r="C2438" t="str">
        <f>IFERROR(VLOOKUP($A2438,原始数据_收盘!$A$4:$G$3460,3,0),"")</f>
        <v/>
      </c>
      <c r="D2438" t="str">
        <f>IFERROR(VLOOKUP($A2438,原始数据_收盘!$A$4:$G$3460,4,0),"")</f>
        <v/>
      </c>
      <c r="E2438" t="str">
        <f>IFERROR(VLOOKUP($A2438,原始数据_收盘!$A$4:$G$3460,5,0),"")</f>
        <v/>
      </c>
      <c r="F2438" t="str">
        <f>IFERROR(VLOOKUP($A2438,原始数据_收盘!$A$4:$G$3460,6,0),"")</f>
        <v/>
      </c>
      <c r="G2438" t="str">
        <f>IFERROR(VLOOKUP($A2438,原始数据_收盘!$A$4:$G$3460,7,0),"")</f>
        <v/>
      </c>
      <c r="H2438" t="str">
        <f>IFERROR(VLOOKUP($A2438,原始数据_利率互换_FR007_1年!$A$6:$C$4395,2,0),"")</f>
        <v/>
      </c>
      <c r="I2438" t="str">
        <f>IFERROR(VLOOKUP($A2438,原始数据_利率互换_FR007_1年!$A$6:$C$4395,3,0),"")</f>
        <v/>
      </c>
    </row>
    <row r="2439" spans="1:9">
      <c r="A2439" s="6">
        <v>41932</v>
      </c>
      <c r="B2439">
        <f>IFERROR(VLOOKUP($A2439,原始数据_收盘!$A$4:$G$3460,2,0),"")</f>
        <v>2.9972</v>
      </c>
      <c r="C2439">
        <f>IFERROR(VLOOKUP($A2439,原始数据_收盘!$A$4:$G$3460,3,0),"")</f>
        <v>3.2575</v>
      </c>
      <c r="D2439">
        <f>IFERROR(VLOOKUP($A2439,原始数据_收盘!$A$4:$G$3460,4,0),"")</f>
        <v>3.0612</v>
      </c>
      <c r="E2439">
        <f>IFERROR(VLOOKUP($A2439,原始数据_收盘!$A$4:$G$3460,5,0),"")</f>
        <v>3.3333</v>
      </c>
      <c r="F2439">
        <f>IFERROR(VLOOKUP($A2439,原始数据_收盘!$A$4:$G$3460,6,0),"")</f>
        <v>3.0292</v>
      </c>
      <c r="G2439">
        <f>IFERROR(VLOOKUP($A2439,原始数据_收盘!$A$4:$G$3460,7,0),"")</f>
        <v>3.2954</v>
      </c>
      <c r="H2439">
        <f>IFERROR(VLOOKUP($A2439,原始数据_利率互换_FR007_1年!$A$6:$C$4395,2,0),"")</f>
        <v>3.0489</v>
      </c>
      <c r="I2439">
        <f>IFERROR(VLOOKUP($A2439,原始数据_利率互换_FR007_1年!$A$6:$C$4395,3,0),"")</f>
        <v>3.3212</v>
      </c>
    </row>
    <row r="2440" spans="1:9">
      <c r="A2440" s="6">
        <v>41933</v>
      </c>
      <c r="B2440">
        <f>IFERROR(VLOOKUP($A2440,原始数据_收盘!$A$4:$G$3460,2,0),"")</f>
        <v>3.0131</v>
      </c>
      <c r="C2440">
        <f>IFERROR(VLOOKUP($A2440,原始数据_收盘!$A$4:$G$3460,3,0),"")</f>
        <v>3.3023</v>
      </c>
      <c r="D2440">
        <f>IFERROR(VLOOKUP($A2440,原始数据_收盘!$A$4:$G$3460,4,0),"")</f>
        <v>3.0756</v>
      </c>
      <c r="E2440">
        <f>IFERROR(VLOOKUP($A2440,原始数据_收盘!$A$4:$G$3460,5,0),"")</f>
        <v>3.3681</v>
      </c>
      <c r="F2440">
        <f>IFERROR(VLOOKUP($A2440,原始数据_收盘!$A$4:$G$3460,6,0),"")</f>
        <v>3.0444</v>
      </c>
      <c r="G2440">
        <f>IFERROR(VLOOKUP($A2440,原始数据_收盘!$A$4:$G$3460,7,0),"")</f>
        <v>3.3352</v>
      </c>
      <c r="H2440">
        <f>IFERROR(VLOOKUP($A2440,原始数据_利率互换_FR007_1年!$A$6:$C$4395,2,0),"")</f>
        <v>3.0227</v>
      </c>
      <c r="I2440">
        <f>IFERROR(VLOOKUP($A2440,原始数据_利率互换_FR007_1年!$A$6:$C$4395,3,0),"")</f>
        <v>3.3145</v>
      </c>
    </row>
    <row r="2441" spans="1:9">
      <c r="A2441" s="6">
        <v>41934</v>
      </c>
      <c r="B2441">
        <f>IFERROR(VLOOKUP($A2441,原始数据_收盘!$A$4:$G$3460,2,0),"")</f>
        <v>3.0754</v>
      </c>
      <c r="C2441">
        <f>IFERROR(VLOOKUP($A2441,原始数据_收盘!$A$4:$G$3460,3,0),"")</f>
        <v>3.3657</v>
      </c>
      <c r="D2441">
        <f>IFERROR(VLOOKUP($A2441,原始数据_收盘!$A$4:$G$3460,4,0),"")</f>
        <v>3.1284</v>
      </c>
      <c r="E2441">
        <f>IFERROR(VLOOKUP($A2441,原始数据_收盘!$A$4:$G$3460,5,0),"")</f>
        <v>3.425</v>
      </c>
      <c r="F2441">
        <f>IFERROR(VLOOKUP($A2441,原始数据_收盘!$A$4:$G$3460,6,0),"")</f>
        <v>3.1019</v>
      </c>
      <c r="G2441">
        <f>IFERROR(VLOOKUP($A2441,原始数据_收盘!$A$4:$G$3460,7,0),"")</f>
        <v>3.3954</v>
      </c>
      <c r="H2441">
        <f>IFERROR(VLOOKUP($A2441,原始数据_利率互换_FR007_1年!$A$6:$C$4395,2,0),"")</f>
        <v>3.0788</v>
      </c>
      <c r="I2441">
        <f>IFERROR(VLOOKUP($A2441,原始数据_利率互换_FR007_1年!$A$6:$C$4395,3,0),"")</f>
        <v>3.3756</v>
      </c>
    </row>
    <row r="2442" spans="1:9">
      <c r="A2442" s="6">
        <v>41935</v>
      </c>
      <c r="B2442">
        <f>IFERROR(VLOOKUP($A2442,原始数据_收盘!$A$4:$G$3460,2,0),"")</f>
        <v>3.0896</v>
      </c>
      <c r="C2442">
        <f>IFERROR(VLOOKUP($A2442,原始数据_收盘!$A$4:$G$3460,3,0),"")</f>
        <v>3.3857</v>
      </c>
      <c r="D2442">
        <f>IFERROR(VLOOKUP($A2442,原始数据_收盘!$A$4:$G$3460,4,0),"")</f>
        <v>3.1471</v>
      </c>
      <c r="E2442">
        <f>IFERROR(VLOOKUP($A2442,原始数据_收盘!$A$4:$G$3460,5,0),"")</f>
        <v>3.4454</v>
      </c>
      <c r="F2442">
        <f>IFERROR(VLOOKUP($A2442,原始数据_收盘!$A$4:$G$3460,6,0),"")</f>
        <v>3.1184</v>
      </c>
      <c r="G2442">
        <f>IFERROR(VLOOKUP($A2442,原始数据_收盘!$A$4:$G$3460,7,0),"")</f>
        <v>3.4156</v>
      </c>
      <c r="H2442">
        <f>IFERROR(VLOOKUP($A2442,原始数据_利率互换_FR007_1年!$A$6:$C$4395,2,0),"")</f>
        <v>3.1162</v>
      </c>
      <c r="I2442">
        <f>IFERROR(VLOOKUP($A2442,原始数据_利率互换_FR007_1年!$A$6:$C$4395,3,0),"")</f>
        <v>3.4129</v>
      </c>
    </row>
    <row r="2443" spans="1:9">
      <c r="A2443" s="6">
        <v>41936</v>
      </c>
      <c r="B2443">
        <f>IFERROR(VLOOKUP($A2443,原始数据_收盘!$A$4:$G$3460,2,0),"")</f>
        <v>3.0867</v>
      </c>
      <c r="C2443">
        <f>IFERROR(VLOOKUP($A2443,原始数据_收盘!$A$4:$G$3460,3,0),"")</f>
        <v>3.3838</v>
      </c>
      <c r="D2443">
        <f>IFERROR(VLOOKUP($A2443,原始数据_收盘!$A$4:$G$3460,4,0),"")</f>
        <v>3.1445</v>
      </c>
      <c r="E2443">
        <f>IFERROR(VLOOKUP($A2443,原始数据_收盘!$A$4:$G$3460,5,0),"")</f>
        <v>3.4414</v>
      </c>
      <c r="F2443">
        <f>IFERROR(VLOOKUP($A2443,原始数据_收盘!$A$4:$G$3460,6,0),"")</f>
        <v>3.1156</v>
      </c>
      <c r="G2443">
        <f>IFERROR(VLOOKUP($A2443,原始数据_收盘!$A$4:$G$3460,7,0),"")</f>
        <v>3.4126</v>
      </c>
      <c r="H2443">
        <f>IFERROR(VLOOKUP($A2443,原始数据_利率互换_FR007_1年!$A$6:$C$4395,2,0),"")</f>
        <v>3.1309</v>
      </c>
      <c r="I2443">
        <f>IFERROR(VLOOKUP($A2443,原始数据_利率互换_FR007_1年!$A$6:$C$4395,3,0),"")</f>
        <v>3.4254</v>
      </c>
    </row>
    <row r="2444" spans="1:9">
      <c r="A2444" s="6">
        <v>41937</v>
      </c>
      <c r="B2444" t="str">
        <f>IFERROR(VLOOKUP($A2444,原始数据_收盘!$A$4:$G$3460,2,0),"")</f>
        <v/>
      </c>
      <c r="C2444" t="str">
        <f>IFERROR(VLOOKUP($A2444,原始数据_收盘!$A$4:$G$3460,3,0),"")</f>
        <v/>
      </c>
      <c r="D2444" t="str">
        <f>IFERROR(VLOOKUP($A2444,原始数据_收盘!$A$4:$G$3460,4,0),"")</f>
        <v/>
      </c>
      <c r="E2444" t="str">
        <f>IFERROR(VLOOKUP($A2444,原始数据_收盘!$A$4:$G$3460,5,0),"")</f>
        <v/>
      </c>
      <c r="F2444" t="str">
        <f>IFERROR(VLOOKUP($A2444,原始数据_收盘!$A$4:$G$3460,6,0),"")</f>
        <v/>
      </c>
      <c r="G2444" t="str">
        <f>IFERROR(VLOOKUP($A2444,原始数据_收盘!$A$4:$G$3460,7,0),"")</f>
        <v/>
      </c>
      <c r="H2444" t="str">
        <f>IFERROR(VLOOKUP($A2444,原始数据_利率互换_FR007_1年!$A$6:$C$4395,2,0),"")</f>
        <v/>
      </c>
      <c r="I2444" t="str">
        <f>IFERROR(VLOOKUP($A2444,原始数据_利率互换_FR007_1年!$A$6:$C$4395,3,0),"")</f>
        <v/>
      </c>
    </row>
    <row r="2445" spans="1:9">
      <c r="A2445" s="6">
        <v>41938</v>
      </c>
      <c r="B2445" t="str">
        <f>IFERROR(VLOOKUP($A2445,原始数据_收盘!$A$4:$G$3460,2,0),"")</f>
        <v/>
      </c>
      <c r="C2445" t="str">
        <f>IFERROR(VLOOKUP($A2445,原始数据_收盘!$A$4:$G$3460,3,0),"")</f>
        <v/>
      </c>
      <c r="D2445" t="str">
        <f>IFERROR(VLOOKUP($A2445,原始数据_收盘!$A$4:$G$3460,4,0),"")</f>
        <v/>
      </c>
      <c r="E2445" t="str">
        <f>IFERROR(VLOOKUP($A2445,原始数据_收盘!$A$4:$G$3460,5,0),"")</f>
        <v/>
      </c>
      <c r="F2445" t="str">
        <f>IFERROR(VLOOKUP($A2445,原始数据_收盘!$A$4:$G$3460,6,0),"")</f>
        <v/>
      </c>
      <c r="G2445" t="str">
        <f>IFERROR(VLOOKUP($A2445,原始数据_收盘!$A$4:$G$3460,7,0),"")</f>
        <v/>
      </c>
      <c r="H2445" t="str">
        <f>IFERROR(VLOOKUP($A2445,原始数据_利率互换_FR007_1年!$A$6:$C$4395,2,0),"")</f>
        <v/>
      </c>
      <c r="I2445" t="str">
        <f>IFERROR(VLOOKUP($A2445,原始数据_利率互换_FR007_1年!$A$6:$C$4395,3,0),"")</f>
        <v/>
      </c>
    </row>
    <row r="2446" spans="1:9">
      <c r="A2446" s="6">
        <v>41939</v>
      </c>
      <c r="B2446">
        <f>IFERROR(VLOOKUP($A2446,原始数据_收盘!$A$4:$G$3460,2,0),"")</f>
        <v>3.0882</v>
      </c>
      <c r="C2446">
        <f>IFERROR(VLOOKUP($A2446,原始数据_收盘!$A$4:$G$3460,3,0),"")</f>
        <v>3.3908</v>
      </c>
      <c r="D2446">
        <f>IFERROR(VLOOKUP($A2446,原始数据_收盘!$A$4:$G$3460,4,0),"")</f>
        <v>3.1526</v>
      </c>
      <c r="E2446">
        <f>IFERROR(VLOOKUP($A2446,原始数据_收盘!$A$4:$G$3460,5,0),"")</f>
        <v>3.4523</v>
      </c>
      <c r="F2446">
        <f>IFERROR(VLOOKUP($A2446,原始数据_收盘!$A$4:$G$3460,6,0),"")</f>
        <v>3.1204</v>
      </c>
      <c r="G2446">
        <f>IFERROR(VLOOKUP($A2446,原始数据_收盘!$A$4:$G$3460,7,0),"")</f>
        <v>3.4216</v>
      </c>
      <c r="H2446">
        <f>IFERROR(VLOOKUP($A2446,原始数据_利率互换_FR007_1年!$A$6:$C$4395,2,0),"")</f>
        <v>3.1224</v>
      </c>
      <c r="I2446">
        <f>IFERROR(VLOOKUP($A2446,原始数据_利率互换_FR007_1年!$A$6:$C$4395,3,0),"")</f>
        <v>3.4201</v>
      </c>
    </row>
    <row r="2447" spans="1:9">
      <c r="A2447" s="6">
        <v>41940</v>
      </c>
      <c r="B2447">
        <f>IFERROR(VLOOKUP($A2447,原始数据_收盘!$A$4:$G$3460,2,0),"")</f>
        <v>3.0439</v>
      </c>
      <c r="C2447">
        <f>IFERROR(VLOOKUP($A2447,原始数据_收盘!$A$4:$G$3460,3,0),"")</f>
        <v>3.3437</v>
      </c>
      <c r="D2447">
        <f>IFERROR(VLOOKUP($A2447,原始数据_收盘!$A$4:$G$3460,4,0),"")</f>
        <v>3.1083</v>
      </c>
      <c r="E2447">
        <f>IFERROR(VLOOKUP($A2447,原始数据_收盘!$A$4:$G$3460,5,0),"")</f>
        <v>3.4099</v>
      </c>
      <c r="F2447">
        <f>IFERROR(VLOOKUP($A2447,原始数据_收盘!$A$4:$G$3460,6,0),"")</f>
        <v>3.0761</v>
      </c>
      <c r="G2447">
        <f>IFERROR(VLOOKUP($A2447,原始数据_收盘!$A$4:$G$3460,7,0),"")</f>
        <v>3.3768</v>
      </c>
      <c r="H2447">
        <f>IFERROR(VLOOKUP($A2447,原始数据_利率互换_FR007_1年!$A$6:$C$4395,2,0),"")</f>
        <v>3.0831</v>
      </c>
      <c r="I2447">
        <f>IFERROR(VLOOKUP($A2447,原始数据_利率互换_FR007_1年!$A$6:$C$4395,3,0),"")</f>
        <v>3.3996</v>
      </c>
    </row>
    <row r="2448" spans="1:9">
      <c r="A2448" s="6">
        <v>41941</v>
      </c>
      <c r="B2448">
        <f>IFERROR(VLOOKUP($A2448,原始数据_收盘!$A$4:$G$3460,2,0),"")</f>
        <v>3.0605</v>
      </c>
      <c r="C2448">
        <f>IFERROR(VLOOKUP($A2448,原始数据_收盘!$A$4:$G$3460,3,0),"")</f>
        <v>3.3564</v>
      </c>
      <c r="D2448">
        <f>IFERROR(VLOOKUP($A2448,原始数据_收盘!$A$4:$G$3460,4,0),"")</f>
        <v>3.1208</v>
      </c>
      <c r="E2448">
        <f>IFERROR(VLOOKUP($A2448,原始数据_收盘!$A$4:$G$3460,5,0),"")</f>
        <v>3.4185</v>
      </c>
      <c r="F2448">
        <f>IFERROR(VLOOKUP($A2448,原始数据_收盘!$A$4:$G$3460,6,0),"")</f>
        <v>3.0906</v>
      </c>
      <c r="G2448">
        <f>IFERROR(VLOOKUP($A2448,原始数据_收盘!$A$4:$G$3460,7,0),"")</f>
        <v>3.3874</v>
      </c>
      <c r="H2448">
        <f>IFERROR(VLOOKUP($A2448,原始数据_利率互换_FR007_1年!$A$6:$C$4395,2,0),"")</f>
        <v>3.0858</v>
      </c>
      <c r="I2448">
        <f>IFERROR(VLOOKUP($A2448,原始数据_利率互换_FR007_1年!$A$6:$C$4395,3,0),"")</f>
        <v>3.3682</v>
      </c>
    </row>
    <row r="2449" spans="1:9">
      <c r="A2449" s="6">
        <v>41942</v>
      </c>
      <c r="B2449">
        <f>IFERROR(VLOOKUP($A2449,原始数据_收盘!$A$4:$G$3460,2,0),"")</f>
        <v>3.0861</v>
      </c>
      <c r="C2449">
        <f>IFERROR(VLOOKUP($A2449,原始数据_收盘!$A$4:$G$3460,3,0),"")</f>
        <v>3.3791</v>
      </c>
      <c r="D2449">
        <f>IFERROR(VLOOKUP($A2449,原始数据_收盘!$A$4:$G$3460,4,0),"")</f>
        <v>3.1472</v>
      </c>
      <c r="E2449">
        <f>IFERROR(VLOOKUP($A2449,原始数据_收盘!$A$4:$G$3460,5,0),"")</f>
        <v>3.4428</v>
      </c>
      <c r="F2449">
        <f>IFERROR(VLOOKUP($A2449,原始数据_收盘!$A$4:$G$3460,6,0),"")</f>
        <v>3.1167</v>
      </c>
      <c r="G2449">
        <f>IFERROR(VLOOKUP($A2449,原始数据_收盘!$A$4:$G$3460,7,0),"")</f>
        <v>3.4109</v>
      </c>
      <c r="H2449">
        <f>IFERROR(VLOOKUP($A2449,原始数据_利率互换_FR007_1年!$A$6:$C$4395,2,0),"")</f>
        <v>3.122</v>
      </c>
      <c r="I2449">
        <f>IFERROR(VLOOKUP($A2449,原始数据_利率互换_FR007_1年!$A$6:$C$4395,3,0),"")</f>
        <v>3.4079</v>
      </c>
    </row>
    <row r="2450" spans="1:9">
      <c r="A2450" s="6">
        <v>41943</v>
      </c>
      <c r="B2450">
        <f>IFERROR(VLOOKUP($A2450,原始数据_收盘!$A$4:$G$3460,2,0),"")</f>
        <v>3.0691</v>
      </c>
      <c r="C2450">
        <f>IFERROR(VLOOKUP($A2450,原始数据_收盘!$A$4:$G$3460,3,0),"")</f>
        <v>3.3553</v>
      </c>
      <c r="D2450">
        <f>IFERROR(VLOOKUP($A2450,原始数据_收盘!$A$4:$G$3460,4,0),"")</f>
        <v>3.1291</v>
      </c>
      <c r="E2450">
        <f>IFERROR(VLOOKUP($A2450,原始数据_收盘!$A$4:$G$3460,5,0),"")</f>
        <v>3.4196</v>
      </c>
      <c r="F2450">
        <f>IFERROR(VLOOKUP($A2450,原始数据_收盘!$A$4:$G$3460,6,0),"")</f>
        <v>3.0991</v>
      </c>
      <c r="G2450">
        <f>IFERROR(VLOOKUP($A2450,原始数据_收盘!$A$4:$G$3460,7,0),"")</f>
        <v>3.3874</v>
      </c>
      <c r="H2450">
        <f>IFERROR(VLOOKUP($A2450,原始数据_利率互换_FR007_1年!$A$6:$C$4395,2,0),"")</f>
        <v>3.1127</v>
      </c>
      <c r="I2450">
        <f>IFERROR(VLOOKUP($A2450,原始数据_利率互换_FR007_1年!$A$6:$C$4395,3,0),"")</f>
        <v>3.4601</v>
      </c>
    </row>
    <row r="2451" spans="1:9">
      <c r="A2451" s="6">
        <v>41944</v>
      </c>
      <c r="B2451" t="str">
        <f>IFERROR(VLOOKUP($A2451,原始数据_收盘!$A$4:$G$3460,2,0),"")</f>
        <v/>
      </c>
      <c r="C2451" t="str">
        <f>IFERROR(VLOOKUP($A2451,原始数据_收盘!$A$4:$G$3460,3,0),"")</f>
        <v/>
      </c>
      <c r="D2451" t="str">
        <f>IFERROR(VLOOKUP($A2451,原始数据_收盘!$A$4:$G$3460,4,0),"")</f>
        <v/>
      </c>
      <c r="E2451" t="str">
        <f>IFERROR(VLOOKUP($A2451,原始数据_收盘!$A$4:$G$3460,5,0),"")</f>
        <v/>
      </c>
      <c r="F2451" t="str">
        <f>IFERROR(VLOOKUP($A2451,原始数据_收盘!$A$4:$G$3460,6,0),"")</f>
        <v/>
      </c>
      <c r="G2451" t="str">
        <f>IFERROR(VLOOKUP($A2451,原始数据_收盘!$A$4:$G$3460,7,0),"")</f>
        <v/>
      </c>
      <c r="H2451" t="str">
        <f>IFERROR(VLOOKUP($A2451,原始数据_利率互换_FR007_1年!$A$6:$C$4395,2,0),"")</f>
        <v/>
      </c>
      <c r="I2451" t="str">
        <f>IFERROR(VLOOKUP($A2451,原始数据_利率互换_FR007_1年!$A$6:$C$4395,3,0),"")</f>
        <v/>
      </c>
    </row>
    <row r="2452" spans="1:9">
      <c r="A2452" s="6">
        <v>41945</v>
      </c>
      <c r="B2452" t="str">
        <f>IFERROR(VLOOKUP($A2452,原始数据_收盘!$A$4:$G$3460,2,0),"")</f>
        <v/>
      </c>
      <c r="C2452" t="str">
        <f>IFERROR(VLOOKUP($A2452,原始数据_收盘!$A$4:$G$3460,3,0),"")</f>
        <v/>
      </c>
      <c r="D2452" t="str">
        <f>IFERROR(VLOOKUP($A2452,原始数据_收盘!$A$4:$G$3460,4,0),"")</f>
        <v/>
      </c>
      <c r="E2452" t="str">
        <f>IFERROR(VLOOKUP($A2452,原始数据_收盘!$A$4:$G$3460,5,0),"")</f>
        <v/>
      </c>
      <c r="F2452" t="str">
        <f>IFERROR(VLOOKUP($A2452,原始数据_收盘!$A$4:$G$3460,6,0),"")</f>
        <v/>
      </c>
      <c r="G2452" t="str">
        <f>IFERROR(VLOOKUP($A2452,原始数据_收盘!$A$4:$G$3460,7,0),"")</f>
        <v/>
      </c>
      <c r="H2452" t="str">
        <f>IFERROR(VLOOKUP($A2452,原始数据_利率互换_FR007_1年!$A$6:$C$4395,2,0),"")</f>
        <v/>
      </c>
      <c r="I2452" t="str">
        <f>IFERROR(VLOOKUP($A2452,原始数据_利率互换_FR007_1年!$A$6:$C$4395,3,0),"")</f>
        <v/>
      </c>
    </row>
    <row r="2453" spans="1:9">
      <c r="A2453" s="6">
        <v>41946</v>
      </c>
      <c r="B2453">
        <f>IFERROR(VLOOKUP($A2453,原始数据_收盘!$A$4:$G$3460,2,0),"")</f>
        <v>3.0485</v>
      </c>
      <c r="C2453">
        <f>IFERROR(VLOOKUP($A2453,原始数据_收盘!$A$4:$G$3460,3,0),"")</f>
        <v>3.3165</v>
      </c>
      <c r="D2453">
        <f>IFERROR(VLOOKUP($A2453,原始数据_收盘!$A$4:$G$3460,4,0),"")</f>
        <v>3.1133</v>
      </c>
      <c r="E2453">
        <f>IFERROR(VLOOKUP($A2453,原始数据_收盘!$A$4:$G$3460,5,0),"")</f>
        <v>3.3856</v>
      </c>
      <c r="F2453">
        <f>IFERROR(VLOOKUP($A2453,原始数据_收盘!$A$4:$G$3460,6,0),"")</f>
        <v>3.0809</v>
      </c>
      <c r="G2453">
        <f>IFERROR(VLOOKUP($A2453,原始数据_收盘!$A$4:$G$3460,7,0),"")</f>
        <v>3.351</v>
      </c>
      <c r="H2453">
        <f>IFERROR(VLOOKUP($A2453,原始数据_利率互换_FR007_1年!$A$6:$C$4395,2,0),"")</f>
        <v>3.0784</v>
      </c>
      <c r="I2453">
        <f>IFERROR(VLOOKUP($A2453,原始数据_利率互换_FR007_1年!$A$6:$C$4395,3,0),"")</f>
        <v>3.3517</v>
      </c>
    </row>
    <row r="2454" spans="1:9">
      <c r="A2454" s="6">
        <v>41947</v>
      </c>
      <c r="B2454">
        <f>IFERROR(VLOOKUP($A2454,原始数据_收盘!$A$4:$G$3460,2,0),"")</f>
        <v>2.98</v>
      </c>
      <c r="C2454">
        <f>IFERROR(VLOOKUP($A2454,原始数据_收盘!$A$4:$G$3460,3,0),"")</f>
        <v>3.2233</v>
      </c>
      <c r="D2454">
        <f>IFERROR(VLOOKUP($A2454,原始数据_收盘!$A$4:$G$3460,4,0),"")</f>
        <v>3.0346</v>
      </c>
      <c r="E2454">
        <f>IFERROR(VLOOKUP($A2454,原始数据_收盘!$A$4:$G$3460,5,0),"")</f>
        <v>3.2804</v>
      </c>
      <c r="F2454">
        <f>IFERROR(VLOOKUP($A2454,原始数据_收盘!$A$4:$G$3460,6,0),"")</f>
        <v>3.0073</v>
      </c>
      <c r="G2454">
        <f>IFERROR(VLOOKUP($A2454,原始数据_收盘!$A$4:$G$3460,7,0),"")</f>
        <v>3.2519</v>
      </c>
      <c r="H2454">
        <f>IFERROR(VLOOKUP($A2454,原始数据_利率互换_FR007_1年!$A$6:$C$4395,2,0),"")</f>
        <v>3.0383</v>
      </c>
      <c r="I2454">
        <f>IFERROR(VLOOKUP($A2454,原始数据_利率互换_FR007_1年!$A$6:$C$4395,3,0),"")</f>
        <v>3.2743</v>
      </c>
    </row>
    <row r="2455" spans="1:9">
      <c r="A2455" s="6">
        <v>41948</v>
      </c>
      <c r="B2455">
        <f>IFERROR(VLOOKUP($A2455,原始数据_收盘!$A$4:$G$3460,2,0),"")</f>
        <v>2.9863</v>
      </c>
      <c r="C2455">
        <f>IFERROR(VLOOKUP($A2455,原始数据_收盘!$A$4:$G$3460,3,0),"")</f>
        <v>3.2088</v>
      </c>
      <c r="D2455">
        <f>IFERROR(VLOOKUP($A2455,原始数据_收盘!$A$4:$G$3460,4,0),"")</f>
        <v>3.0304</v>
      </c>
      <c r="E2455">
        <f>IFERROR(VLOOKUP($A2455,原始数据_收盘!$A$4:$G$3460,5,0),"")</f>
        <v>3.2579</v>
      </c>
      <c r="F2455">
        <f>IFERROR(VLOOKUP($A2455,原始数据_收盘!$A$4:$G$3460,6,0),"")</f>
        <v>3.0083</v>
      </c>
      <c r="G2455">
        <f>IFERROR(VLOOKUP($A2455,原始数据_收盘!$A$4:$G$3460,7,0),"")</f>
        <v>3.2333</v>
      </c>
      <c r="H2455">
        <f>IFERROR(VLOOKUP($A2455,原始数据_利率互换_FR007_1年!$A$6:$C$4395,2,0),"")</f>
        <v>2.9786</v>
      </c>
      <c r="I2455">
        <f>IFERROR(VLOOKUP($A2455,原始数据_利率互换_FR007_1年!$A$6:$C$4395,3,0),"")</f>
        <v>3.1949</v>
      </c>
    </row>
    <row r="2456" spans="1:9">
      <c r="A2456" s="6">
        <v>41949</v>
      </c>
      <c r="B2456">
        <f>IFERROR(VLOOKUP($A2456,原始数据_收盘!$A$4:$G$3460,2,0),"")</f>
        <v>2.9874</v>
      </c>
      <c r="C2456">
        <f>IFERROR(VLOOKUP($A2456,原始数据_收盘!$A$4:$G$3460,3,0),"")</f>
        <v>3.2211</v>
      </c>
      <c r="D2456">
        <f>IFERROR(VLOOKUP($A2456,原始数据_收盘!$A$4:$G$3460,4,0),"")</f>
        <v>3.0459</v>
      </c>
      <c r="E2456">
        <f>IFERROR(VLOOKUP($A2456,原始数据_收盘!$A$4:$G$3460,5,0),"")</f>
        <v>3.2815</v>
      </c>
      <c r="F2456">
        <f>IFERROR(VLOOKUP($A2456,原始数据_收盘!$A$4:$G$3460,6,0),"")</f>
        <v>3.0167</v>
      </c>
      <c r="G2456">
        <f>IFERROR(VLOOKUP($A2456,原始数据_收盘!$A$4:$G$3460,7,0),"")</f>
        <v>3.2513</v>
      </c>
      <c r="H2456">
        <f>IFERROR(VLOOKUP($A2456,原始数据_利率互换_FR007_1年!$A$6:$C$4395,2,0),"")</f>
        <v>3.0115</v>
      </c>
      <c r="I2456">
        <f>IFERROR(VLOOKUP($A2456,原始数据_利率互换_FR007_1年!$A$6:$C$4395,3,0),"")</f>
        <v>3.236</v>
      </c>
    </row>
    <row r="2457" spans="1:9">
      <c r="A2457" s="6">
        <v>41950</v>
      </c>
      <c r="B2457">
        <f>IFERROR(VLOOKUP($A2457,原始数据_收盘!$A$4:$G$3460,2,0),"")</f>
        <v>2.9442</v>
      </c>
      <c r="C2457">
        <f>IFERROR(VLOOKUP($A2457,原始数据_收盘!$A$4:$G$3460,3,0),"")</f>
        <v>3.1613</v>
      </c>
      <c r="D2457">
        <f>IFERROR(VLOOKUP($A2457,原始数据_收盘!$A$4:$G$3460,4,0),"")</f>
        <v>2.9967</v>
      </c>
      <c r="E2457">
        <f>IFERROR(VLOOKUP($A2457,原始数据_收盘!$A$4:$G$3460,5,0),"")</f>
        <v>3.2096</v>
      </c>
      <c r="F2457">
        <f>IFERROR(VLOOKUP($A2457,原始数据_收盘!$A$4:$G$3460,6,0),"")</f>
        <v>2.9704</v>
      </c>
      <c r="G2457">
        <f>IFERROR(VLOOKUP($A2457,原始数据_收盘!$A$4:$G$3460,7,0),"")</f>
        <v>3.1854</v>
      </c>
      <c r="H2457">
        <f>IFERROR(VLOOKUP($A2457,原始数据_利率互换_FR007_1年!$A$6:$C$4395,2,0),"")</f>
        <v>2.9761</v>
      </c>
      <c r="I2457">
        <f>IFERROR(VLOOKUP($A2457,原始数据_利率互换_FR007_1年!$A$6:$C$4395,3,0),"")</f>
        <v>3.192</v>
      </c>
    </row>
    <row r="2458" spans="1:9">
      <c r="A2458" s="6">
        <v>41951</v>
      </c>
      <c r="B2458" t="str">
        <f>IFERROR(VLOOKUP($A2458,原始数据_收盘!$A$4:$G$3460,2,0),"")</f>
        <v/>
      </c>
      <c r="C2458" t="str">
        <f>IFERROR(VLOOKUP($A2458,原始数据_收盘!$A$4:$G$3460,3,0),"")</f>
        <v/>
      </c>
      <c r="D2458" t="str">
        <f>IFERROR(VLOOKUP($A2458,原始数据_收盘!$A$4:$G$3460,4,0),"")</f>
        <v/>
      </c>
      <c r="E2458" t="str">
        <f>IFERROR(VLOOKUP($A2458,原始数据_收盘!$A$4:$G$3460,5,0),"")</f>
        <v/>
      </c>
      <c r="F2458" t="str">
        <f>IFERROR(VLOOKUP($A2458,原始数据_收盘!$A$4:$G$3460,6,0),"")</f>
        <v/>
      </c>
      <c r="G2458" t="str">
        <f>IFERROR(VLOOKUP($A2458,原始数据_收盘!$A$4:$G$3460,7,0),"")</f>
        <v/>
      </c>
      <c r="H2458" t="str">
        <f>IFERROR(VLOOKUP($A2458,原始数据_利率互换_FR007_1年!$A$6:$C$4395,2,0),"")</f>
        <v/>
      </c>
      <c r="I2458" t="str">
        <f>IFERROR(VLOOKUP($A2458,原始数据_利率互换_FR007_1年!$A$6:$C$4395,3,0),"")</f>
        <v/>
      </c>
    </row>
    <row r="2459" spans="1:9">
      <c r="A2459" s="6">
        <v>41952</v>
      </c>
      <c r="B2459" t="str">
        <f>IFERROR(VLOOKUP($A2459,原始数据_收盘!$A$4:$G$3460,2,0),"")</f>
        <v/>
      </c>
      <c r="C2459" t="str">
        <f>IFERROR(VLOOKUP($A2459,原始数据_收盘!$A$4:$G$3460,3,0),"")</f>
        <v/>
      </c>
      <c r="D2459" t="str">
        <f>IFERROR(VLOOKUP($A2459,原始数据_收盘!$A$4:$G$3460,4,0),"")</f>
        <v/>
      </c>
      <c r="E2459" t="str">
        <f>IFERROR(VLOOKUP($A2459,原始数据_收盘!$A$4:$G$3460,5,0),"")</f>
        <v/>
      </c>
      <c r="F2459" t="str">
        <f>IFERROR(VLOOKUP($A2459,原始数据_收盘!$A$4:$G$3460,6,0),"")</f>
        <v/>
      </c>
      <c r="G2459" t="str">
        <f>IFERROR(VLOOKUP($A2459,原始数据_收盘!$A$4:$G$3460,7,0),"")</f>
        <v/>
      </c>
      <c r="H2459" t="str">
        <f>IFERROR(VLOOKUP($A2459,原始数据_利率互换_FR007_1年!$A$6:$C$4395,2,0),"")</f>
        <v/>
      </c>
      <c r="I2459" t="str">
        <f>IFERROR(VLOOKUP($A2459,原始数据_利率互换_FR007_1年!$A$6:$C$4395,3,0),"")</f>
        <v/>
      </c>
    </row>
    <row r="2460" spans="1:9">
      <c r="A2460" s="6">
        <v>41953</v>
      </c>
      <c r="B2460">
        <f>IFERROR(VLOOKUP($A2460,原始数据_收盘!$A$4:$G$3460,2,0),"")</f>
        <v>2.915</v>
      </c>
      <c r="C2460">
        <f>IFERROR(VLOOKUP($A2460,原始数据_收盘!$A$4:$G$3460,3,0),"")</f>
        <v>3.1263</v>
      </c>
      <c r="D2460">
        <f>IFERROR(VLOOKUP($A2460,原始数据_收盘!$A$4:$G$3460,4,0),"")</f>
        <v>2.9721</v>
      </c>
      <c r="E2460">
        <f>IFERROR(VLOOKUP($A2460,原始数据_收盘!$A$4:$G$3460,5,0),"")</f>
        <v>3.1871</v>
      </c>
      <c r="F2460">
        <f>IFERROR(VLOOKUP($A2460,原始数据_收盘!$A$4:$G$3460,6,0),"")</f>
        <v>2.9436</v>
      </c>
      <c r="G2460">
        <f>IFERROR(VLOOKUP($A2460,原始数据_收盘!$A$4:$G$3460,7,0),"")</f>
        <v>3.1567</v>
      </c>
      <c r="H2460">
        <f>IFERROR(VLOOKUP($A2460,原始数据_利率互换_FR007_1年!$A$6:$C$4395,2,0),"")</f>
        <v>2.9403</v>
      </c>
      <c r="I2460">
        <f>IFERROR(VLOOKUP($A2460,原始数据_利率互换_FR007_1年!$A$6:$C$4395,3,0),"")</f>
        <v>3.1535</v>
      </c>
    </row>
    <row r="2461" spans="1:9">
      <c r="A2461" s="6">
        <v>41954</v>
      </c>
      <c r="B2461">
        <f>IFERROR(VLOOKUP($A2461,原始数据_收盘!$A$4:$G$3460,2,0),"")</f>
        <v>2.9284</v>
      </c>
      <c r="C2461">
        <f>IFERROR(VLOOKUP($A2461,原始数据_收盘!$A$4:$G$3460,3,0),"")</f>
        <v>3.145</v>
      </c>
      <c r="D2461">
        <f>IFERROR(VLOOKUP($A2461,原始数据_收盘!$A$4:$G$3460,4,0),"")</f>
        <v>2.9913</v>
      </c>
      <c r="E2461">
        <f>IFERROR(VLOOKUP($A2461,原始数据_收盘!$A$4:$G$3460,5,0),"")</f>
        <v>3.215</v>
      </c>
      <c r="F2461">
        <f>IFERROR(VLOOKUP($A2461,原始数据_收盘!$A$4:$G$3460,6,0),"")</f>
        <v>2.9598</v>
      </c>
      <c r="G2461">
        <f>IFERROR(VLOOKUP($A2461,原始数据_收盘!$A$4:$G$3460,7,0),"")</f>
        <v>3.18</v>
      </c>
      <c r="H2461">
        <f>IFERROR(VLOOKUP($A2461,原始数据_利率互换_FR007_1年!$A$6:$C$4395,2,0),"")</f>
        <v>2.9271</v>
      </c>
      <c r="I2461">
        <f>IFERROR(VLOOKUP($A2461,原始数据_利率互换_FR007_1年!$A$6:$C$4395,3,0),"")</f>
        <v>3.1711</v>
      </c>
    </row>
    <row r="2462" spans="1:9">
      <c r="A2462" s="6">
        <v>41955</v>
      </c>
      <c r="B2462">
        <f>IFERROR(VLOOKUP($A2462,原始数据_收盘!$A$4:$G$3460,2,0),"")</f>
        <v>2.9654</v>
      </c>
      <c r="C2462">
        <f>IFERROR(VLOOKUP($A2462,原始数据_收盘!$A$4:$G$3460,3,0),"")</f>
        <v>3.1982</v>
      </c>
      <c r="D2462">
        <f>IFERROR(VLOOKUP($A2462,原始数据_收盘!$A$4:$G$3460,4,0),"")</f>
        <v>3.0242</v>
      </c>
      <c r="E2462">
        <f>IFERROR(VLOOKUP($A2462,原始数据_收盘!$A$4:$G$3460,5,0),"")</f>
        <v>3.2573</v>
      </c>
      <c r="F2462">
        <f>IFERROR(VLOOKUP($A2462,原始数据_收盘!$A$4:$G$3460,6,0),"")</f>
        <v>2.9948</v>
      </c>
      <c r="G2462">
        <f>IFERROR(VLOOKUP($A2462,原始数据_收盘!$A$4:$G$3460,7,0),"")</f>
        <v>3.2278</v>
      </c>
      <c r="H2462">
        <f>IFERROR(VLOOKUP($A2462,原始数据_利率互换_FR007_1年!$A$6:$C$4395,2,0),"")</f>
        <v>2.9678</v>
      </c>
      <c r="I2462">
        <f>IFERROR(VLOOKUP($A2462,原始数据_利率互换_FR007_1年!$A$6:$C$4395,3,0),"")</f>
        <v>3.212</v>
      </c>
    </row>
    <row r="2463" spans="1:9">
      <c r="A2463" s="6">
        <v>41956</v>
      </c>
      <c r="B2463">
        <f>IFERROR(VLOOKUP($A2463,原始数据_收盘!$A$4:$G$3460,2,0),"")</f>
        <v>3.0223</v>
      </c>
      <c r="C2463">
        <f>IFERROR(VLOOKUP($A2463,原始数据_收盘!$A$4:$G$3460,3,0),"")</f>
        <v>3.287</v>
      </c>
      <c r="D2463">
        <f>IFERROR(VLOOKUP($A2463,原始数据_收盘!$A$4:$G$3460,4,0),"")</f>
        <v>3.0826</v>
      </c>
      <c r="E2463">
        <f>IFERROR(VLOOKUP($A2463,原始数据_收盘!$A$4:$G$3460,5,0),"")</f>
        <v>3.3519</v>
      </c>
      <c r="F2463">
        <f>IFERROR(VLOOKUP($A2463,原始数据_收盘!$A$4:$G$3460,6,0),"")</f>
        <v>3.0524</v>
      </c>
      <c r="G2463">
        <f>IFERROR(VLOOKUP($A2463,原始数据_收盘!$A$4:$G$3460,7,0),"")</f>
        <v>3.3194</v>
      </c>
      <c r="H2463">
        <f>IFERROR(VLOOKUP($A2463,原始数据_利率互换_FR007_1年!$A$6:$C$4395,2,0),"")</f>
        <v>3.0498</v>
      </c>
      <c r="I2463">
        <f>IFERROR(VLOOKUP($A2463,原始数据_利率互换_FR007_1年!$A$6:$C$4395,3,0),"")</f>
        <v>3.3007</v>
      </c>
    </row>
    <row r="2464" spans="1:9">
      <c r="A2464" s="6">
        <v>41957</v>
      </c>
      <c r="B2464">
        <f>IFERROR(VLOOKUP($A2464,原始数据_收盘!$A$4:$G$3460,2,0),"")</f>
        <v>3.0566</v>
      </c>
      <c r="C2464">
        <f>IFERROR(VLOOKUP($A2464,原始数据_收盘!$A$4:$G$3460,3,0),"")</f>
        <v>3.3325</v>
      </c>
      <c r="D2464">
        <f>IFERROR(VLOOKUP($A2464,原始数据_收盘!$A$4:$G$3460,4,0),"")</f>
        <v>3.1225</v>
      </c>
      <c r="E2464">
        <f>IFERROR(VLOOKUP($A2464,原始数据_收盘!$A$4:$G$3460,5,0),"")</f>
        <v>3.4006</v>
      </c>
      <c r="F2464">
        <f>IFERROR(VLOOKUP($A2464,原始数据_收盘!$A$4:$G$3460,6,0),"")</f>
        <v>3.0896</v>
      </c>
      <c r="G2464">
        <f>IFERROR(VLOOKUP($A2464,原始数据_收盘!$A$4:$G$3460,7,0),"")</f>
        <v>3.3666</v>
      </c>
      <c r="H2464">
        <f>IFERROR(VLOOKUP($A2464,原始数据_利率互换_FR007_1年!$A$6:$C$4395,2,0),"")</f>
        <v>3.0885</v>
      </c>
      <c r="I2464">
        <f>IFERROR(VLOOKUP($A2464,原始数据_利率互换_FR007_1年!$A$6:$C$4395,3,0),"")</f>
        <v>3.3651</v>
      </c>
    </row>
    <row r="2465" spans="1:9">
      <c r="A2465" s="6">
        <v>41958</v>
      </c>
      <c r="B2465" t="str">
        <f>IFERROR(VLOOKUP($A2465,原始数据_收盘!$A$4:$G$3460,2,0),"")</f>
        <v/>
      </c>
      <c r="C2465" t="str">
        <f>IFERROR(VLOOKUP($A2465,原始数据_收盘!$A$4:$G$3460,3,0),"")</f>
        <v/>
      </c>
      <c r="D2465" t="str">
        <f>IFERROR(VLOOKUP($A2465,原始数据_收盘!$A$4:$G$3460,4,0),"")</f>
        <v/>
      </c>
      <c r="E2465" t="str">
        <f>IFERROR(VLOOKUP($A2465,原始数据_收盘!$A$4:$G$3460,5,0),"")</f>
        <v/>
      </c>
      <c r="F2465" t="str">
        <f>IFERROR(VLOOKUP($A2465,原始数据_收盘!$A$4:$G$3460,6,0),"")</f>
        <v/>
      </c>
      <c r="G2465" t="str">
        <f>IFERROR(VLOOKUP($A2465,原始数据_收盘!$A$4:$G$3460,7,0),"")</f>
        <v/>
      </c>
      <c r="H2465" t="str">
        <f>IFERROR(VLOOKUP($A2465,原始数据_利率互换_FR007_1年!$A$6:$C$4395,2,0),"")</f>
        <v/>
      </c>
      <c r="I2465" t="str">
        <f>IFERROR(VLOOKUP($A2465,原始数据_利率互换_FR007_1年!$A$6:$C$4395,3,0),"")</f>
        <v/>
      </c>
    </row>
    <row r="2466" spans="1:9">
      <c r="A2466" s="6">
        <v>41959</v>
      </c>
      <c r="B2466" t="str">
        <f>IFERROR(VLOOKUP($A2466,原始数据_收盘!$A$4:$G$3460,2,0),"")</f>
        <v/>
      </c>
      <c r="C2466" t="str">
        <f>IFERROR(VLOOKUP($A2466,原始数据_收盘!$A$4:$G$3460,3,0),"")</f>
        <v/>
      </c>
      <c r="D2466" t="str">
        <f>IFERROR(VLOOKUP($A2466,原始数据_收盘!$A$4:$G$3460,4,0),"")</f>
        <v/>
      </c>
      <c r="E2466" t="str">
        <f>IFERROR(VLOOKUP($A2466,原始数据_收盘!$A$4:$G$3460,5,0),"")</f>
        <v/>
      </c>
      <c r="F2466" t="str">
        <f>IFERROR(VLOOKUP($A2466,原始数据_收盘!$A$4:$G$3460,6,0),"")</f>
        <v/>
      </c>
      <c r="G2466" t="str">
        <f>IFERROR(VLOOKUP($A2466,原始数据_收盘!$A$4:$G$3460,7,0),"")</f>
        <v/>
      </c>
      <c r="H2466" t="str">
        <f>IFERROR(VLOOKUP($A2466,原始数据_利率互换_FR007_1年!$A$6:$C$4395,2,0),"")</f>
        <v/>
      </c>
      <c r="I2466" t="str">
        <f>IFERROR(VLOOKUP($A2466,原始数据_利率互换_FR007_1年!$A$6:$C$4395,3,0),"")</f>
        <v/>
      </c>
    </row>
    <row r="2467" spans="1:9">
      <c r="A2467" s="6">
        <v>41960</v>
      </c>
      <c r="B2467">
        <f>IFERROR(VLOOKUP($A2467,原始数据_收盘!$A$4:$G$3460,2,0),"")</f>
        <v>3.1098</v>
      </c>
      <c r="C2467">
        <f>IFERROR(VLOOKUP($A2467,原始数据_收盘!$A$4:$G$3460,3,0),"")</f>
        <v>3.3755</v>
      </c>
      <c r="D2467">
        <f>IFERROR(VLOOKUP($A2467,原始数据_收盘!$A$4:$G$3460,4,0),"")</f>
        <v>3.1661</v>
      </c>
      <c r="E2467">
        <f>IFERROR(VLOOKUP($A2467,原始数据_收盘!$A$4:$G$3460,5,0),"")</f>
        <v>3.4344</v>
      </c>
      <c r="F2467">
        <f>IFERROR(VLOOKUP($A2467,原始数据_收盘!$A$4:$G$3460,6,0),"")</f>
        <v>3.138</v>
      </c>
      <c r="G2467">
        <f>IFERROR(VLOOKUP($A2467,原始数据_收盘!$A$4:$G$3460,7,0),"")</f>
        <v>3.405</v>
      </c>
      <c r="H2467">
        <f>IFERROR(VLOOKUP($A2467,原始数据_利率互换_FR007_1年!$A$6:$C$4395,2,0),"")</f>
        <v>3.1223</v>
      </c>
      <c r="I2467">
        <f>IFERROR(VLOOKUP($A2467,原始数据_利率互换_FR007_1年!$A$6:$C$4395,3,0),"")</f>
        <v>3.3953</v>
      </c>
    </row>
    <row r="2468" spans="1:9">
      <c r="A2468" s="6">
        <v>41961</v>
      </c>
      <c r="B2468">
        <f>IFERROR(VLOOKUP($A2468,原始数据_收盘!$A$4:$G$3460,2,0),"")</f>
        <v>3.0463</v>
      </c>
      <c r="C2468">
        <f>IFERROR(VLOOKUP($A2468,原始数据_收盘!$A$4:$G$3460,3,0),"")</f>
        <v>3.2888</v>
      </c>
      <c r="D2468">
        <f>IFERROR(VLOOKUP($A2468,原始数据_收盘!$A$4:$G$3460,4,0),"")</f>
        <v>3.1155</v>
      </c>
      <c r="E2468">
        <f>IFERROR(VLOOKUP($A2468,原始数据_收盘!$A$4:$G$3460,5,0),"")</f>
        <v>3.3546</v>
      </c>
      <c r="F2468">
        <f>IFERROR(VLOOKUP($A2468,原始数据_收盘!$A$4:$G$3460,6,0),"")</f>
        <v>3.0809</v>
      </c>
      <c r="G2468">
        <f>IFERROR(VLOOKUP($A2468,原始数据_收盘!$A$4:$G$3460,7,0),"")</f>
        <v>3.3217</v>
      </c>
      <c r="H2468">
        <f>IFERROR(VLOOKUP($A2468,原始数据_利率互换_FR007_1年!$A$6:$C$4395,2,0),"")</f>
        <v>3.1239</v>
      </c>
      <c r="I2468">
        <f>IFERROR(VLOOKUP($A2468,原始数据_利率互换_FR007_1年!$A$6:$C$4395,3,0),"")</f>
        <v>3.3619</v>
      </c>
    </row>
    <row r="2469" spans="1:9">
      <c r="A2469" s="6">
        <v>41962</v>
      </c>
      <c r="B2469">
        <f>IFERROR(VLOOKUP($A2469,原始数据_收盘!$A$4:$G$3460,2,0),"")</f>
        <v>3.066</v>
      </c>
      <c r="C2469">
        <f>IFERROR(VLOOKUP($A2469,原始数据_收盘!$A$4:$G$3460,3,0),"")</f>
        <v>3.306</v>
      </c>
      <c r="D2469">
        <f>IFERROR(VLOOKUP($A2469,原始数据_收盘!$A$4:$G$3460,4,0),"")</f>
        <v>3.1307</v>
      </c>
      <c r="E2469">
        <f>IFERROR(VLOOKUP($A2469,原始数据_收盘!$A$4:$G$3460,5,0),"")</f>
        <v>3.372</v>
      </c>
      <c r="F2469">
        <f>IFERROR(VLOOKUP($A2469,原始数据_收盘!$A$4:$G$3460,6,0),"")</f>
        <v>3.0984</v>
      </c>
      <c r="G2469">
        <f>IFERROR(VLOOKUP($A2469,原始数据_收盘!$A$4:$G$3460,7,0),"")</f>
        <v>3.339</v>
      </c>
      <c r="H2469">
        <f>IFERROR(VLOOKUP($A2469,原始数据_利率互换_FR007_1年!$A$6:$C$4395,2,0),"")</f>
        <v>3.1013</v>
      </c>
      <c r="I2469">
        <f>IFERROR(VLOOKUP($A2469,原始数据_利率互换_FR007_1年!$A$6:$C$4395,3,0),"")</f>
        <v>3.3412</v>
      </c>
    </row>
    <row r="2470" spans="1:9">
      <c r="A2470" s="6">
        <v>41963</v>
      </c>
      <c r="B2470">
        <f>IFERROR(VLOOKUP($A2470,原始数据_收盘!$A$4:$G$3460,2,0),"")</f>
        <v>3.0854</v>
      </c>
      <c r="C2470">
        <f>IFERROR(VLOOKUP($A2470,原始数据_收盘!$A$4:$G$3460,3,0),"")</f>
        <v>3.3244</v>
      </c>
      <c r="D2470">
        <f>IFERROR(VLOOKUP($A2470,原始数据_收盘!$A$4:$G$3460,4,0),"")</f>
        <v>3.145</v>
      </c>
      <c r="E2470">
        <f>IFERROR(VLOOKUP($A2470,原始数据_收盘!$A$4:$G$3460,5,0),"")</f>
        <v>3.39</v>
      </c>
      <c r="F2470">
        <f>IFERROR(VLOOKUP($A2470,原始数据_收盘!$A$4:$G$3460,6,0),"")</f>
        <v>3.1152</v>
      </c>
      <c r="G2470">
        <f>IFERROR(VLOOKUP($A2470,原始数据_收盘!$A$4:$G$3460,7,0),"")</f>
        <v>3.3572</v>
      </c>
      <c r="H2470">
        <f>IFERROR(VLOOKUP($A2470,原始数据_利率互换_FR007_1年!$A$6:$C$4395,2,0),"")</f>
        <v>3.0946</v>
      </c>
      <c r="I2470">
        <f>IFERROR(VLOOKUP($A2470,原始数据_利率互换_FR007_1年!$A$6:$C$4395,3,0),"")</f>
        <v>3.3256</v>
      </c>
    </row>
    <row r="2471" spans="1:9">
      <c r="A2471" s="6">
        <v>41964</v>
      </c>
      <c r="B2471">
        <f>IFERROR(VLOOKUP($A2471,原始数据_收盘!$A$4:$G$3460,2,0),"")</f>
        <v>3.1006</v>
      </c>
      <c r="C2471">
        <f>IFERROR(VLOOKUP($A2471,原始数据_收盘!$A$4:$G$3460,3,0),"")</f>
        <v>3.3025</v>
      </c>
      <c r="D2471">
        <f>IFERROR(VLOOKUP($A2471,原始数据_收盘!$A$4:$G$3460,4,0),"")</f>
        <v>3.1566</v>
      </c>
      <c r="E2471">
        <f>IFERROR(VLOOKUP($A2471,原始数据_收盘!$A$4:$G$3460,5,0),"")</f>
        <v>3.3721</v>
      </c>
      <c r="F2471">
        <f>IFERROR(VLOOKUP($A2471,原始数据_收盘!$A$4:$G$3460,6,0),"")</f>
        <v>3.1286</v>
      </c>
      <c r="G2471">
        <f>IFERROR(VLOOKUP($A2471,原始数据_收盘!$A$4:$G$3460,7,0),"")</f>
        <v>3.3373</v>
      </c>
      <c r="H2471">
        <f>IFERROR(VLOOKUP($A2471,原始数据_利率互换_FR007_1年!$A$6:$C$4395,2,0),"")</f>
        <v>3.1653</v>
      </c>
      <c r="I2471">
        <f>IFERROR(VLOOKUP($A2471,原始数据_利率互换_FR007_1年!$A$6:$C$4395,3,0),"")</f>
        <v>3.3785</v>
      </c>
    </row>
    <row r="2472" spans="1:9">
      <c r="A2472" s="6">
        <v>41965</v>
      </c>
      <c r="B2472" t="str">
        <f>IFERROR(VLOOKUP($A2472,原始数据_收盘!$A$4:$G$3460,2,0),"")</f>
        <v/>
      </c>
      <c r="C2472" t="str">
        <f>IFERROR(VLOOKUP($A2472,原始数据_收盘!$A$4:$G$3460,3,0),"")</f>
        <v/>
      </c>
      <c r="D2472" t="str">
        <f>IFERROR(VLOOKUP($A2472,原始数据_收盘!$A$4:$G$3460,4,0),"")</f>
        <v/>
      </c>
      <c r="E2472" t="str">
        <f>IFERROR(VLOOKUP($A2472,原始数据_收盘!$A$4:$G$3460,5,0),"")</f>
        <v/>
      </c>
      <c r="F2472" t="str">
        <f>IFERROR(VLOOKUP($A2472,原始数据_收盘!$A$4:$G$3460,6,0),"")</f>
        <v/>
      </c>
      <c r="G2472" t="str">
        <f>IFERROR(VLOOKUP($A2472,原始数据_收盘!$A$4:$G$3460,7,0),"")</f>
        <v/>
      </c>
      <c r="H2472" t="str">
        <f>IFERROR(VLOOKUP($A2472,原始数据_利率互换_FR007_1年!$A$6:$C$4395,2,0),"")</f>
        <v/>
      </c>
      <c r="I2472" t="str">
        <f>IFERROR(VLOOKUP($A2472,原始数据_利率互换_FR007_1年!$A$6:$C$4395,3,0),"")</f>
        <v/>
      </c>
    </row>
    <row r="2473" spans="1:9">
      <c r="A2473" s="6">
        <v>41966</v>
      </c>
      <c r="B2473" t="str">
        <f>IFERROR(VLOOKUP($A2473,原始数据_收盘!$A$4:$G$3460,2,0),"")</f>
        <v/>
      </c>
      <c r="C2473" t="str">
        <f>IFERROR(VLOOKUP($A2473,原始数据_收盘!$A$4:$G$3460,3,0),"")</f>
        <v/>
      </c>
      <c r="D2473" t="str">
        <f>IFERROR(VLOOKUP($A2473,原始数据_收盘!$A$4:$G$3460,4,0),"")</f>
        <v/>
      </c>
      <c r="E2473" t="str">
        <f>IFERROR(VLOOKUP($A2473,原始数据_收盘!$A$4:$G$3460,5,0),"")</f>
        <v/>
      </c>
      <c r="F2473" t="str">
        <f>IFERROR(VLOOKUP($A2473,原始数据_收盘!$A$4:$G$3460,6,0),"")</f>
        <v/>
      </c>
      <c r="G2473" t="str">
        <f>IFERROR(VLOOKUP($A2473,原始数据_收盘!$A$4:$G$3460,7,0),"")</f>
        <v/>
      </c>
      <c r="H2473" t="str">
        <f>IFERROR(VLOOKUP($A2473,原始数据_利率互换_FR007_1年!$A$6:$C$4395,2,0),"")</f>
        <v/>
      </c>
      <c r="I2473" t="str">
        <f>IFERROR(VLOOKUP($A2473,原始数据_利率互换_FR007_1年!$A$6:$C$4395,3,0),"")</f>
        <v/>
      </c>
    </row>
    <row r="2474" spans="1:9">
      <c r="A2474" s="6">
        <v>41967</v>
      </c>
      <c r="B2474">
        <f>IFERROR(VLOOKUP($A2474,原始数据_收盘!$A$4:$G$3460,2,0),"")</f>
        <v>2.8967</v>
      </c>
      <c r="C2474">
        <f>IFERROR(VLOOKUP($A2474,原始数据_收盘!$A$4:$G$3460,3,0),"")</f>
        <v>3.0556</v>
      </c>
      <c r="D2474">
        <f>IFERROR(VLOOKUP($A2474,原始数据_收盘!$A$4:$G$3460,4,0),"")</f>
        <v>2.9648</v>
      </c>
      <c r="E2474">
        <f>IFERROR(VLOOKUP($A2474,原始数据_收盘!$A$4:$G$3460,5,0),"")</f>
        <v>3.1255</v>
      </c>
      <c r="F2474">
        <f>IFERROR(VLOOKUP($A2474,原始数据_收盘!$A$4:$G$3460,6,0),"")</f>
        <v>2.9307</v>
      </c>
      <c r="G2474">
        <f>IFERROR(VLOOKUP($A2474,原始数据_收盘!$A$4:$G$3460,7,0),"")</f>
        <v>3.0905</v>
      </c>
      <c r="H2474">
        <f>IFERROR(VLOOKUP($A2474,原始数据_利率互换_FR007_1年!$A$6:$C$4395,2,0),"")</f>
        <v>2.9322</v>
      </c>
      <c r="I2474">
        <f>IFERROR(VLOOKUP($A2474,原始数据_利率互换_FR007_1年!$A$6:$C$4395,3,0),"")</f>
        <v>3.0839</v>
      </c>
    </row>
    <row r="2475" spans="1:9">
      <c r="A2475" s="6">
        <v>41968</v>
      </c>
      <c r="B2475">
        <f>IFERROR(VLOOKUP($A2475,原始数据_收盘!$A$4:$G$3460,2,0),"")</f>
        <v>2.8588</v>
      </c>
      <c r="C2475">
        <f>IFERROR(VLOOKUP($A2475,原始数据_收盘!$A$4:$G$3460,3,0),"")</f>
        <v>3.0442</v>
      </c>
      <c r="D2475">
        <f>IFERROR(VLOOKUP($A2475,原始数据_收盘!$A$4:$G$3460,4,0),"")</f>
        <v>2.9208</v>
      </c>
      <c r="E2475">
        <f>IFERROR(VLOOKUP($A2475,原始数据_收盘!$A$4:$G$3460,5,0),"")</f>
        <v>3.1062</v>
      </c>
      <c r="F2475">
        <f>IFERROR(VLOOKUP($A2475,原始数据_收盘!$A$4:$G$3460,6,0),"")</f>
        <v>2.8898</v>
      </c>
      <c r="G2475">
        <f>IFERROR(VLOOKUP($A2475,原始数据_收盘!$A$4:$G$3460,7,0),"")</f>
        <v>3.0752</v>
      </c>
      <c r="H2475">
        <f>IFERROR(VLOOKUP($A2475,原始数据_利率互换_FR007_1年!$A$6:$C$4395,2,0),"")</f>
        <v>2.8761</v>
      </c>
      <c r="I2475">
        <f>IFERROR(VLOOKUP($A2475,原始数据_利率互换_FR007_1年!$A$6:$C$4395,3,0),"")</f>
        <v>3.0613</v>
      </c>
    </row>
    <row r="2476" spans="1:9">
      <c r="A2476" s="6">
        <v>41969</v>
      </c>
      <c r="B2476">
        <f>IFERROR(VLOOKUP($A2476,原始数据_收盘!$A$4:$G$3460,2,0),"")</f>
        <v>2.8188</v>
      </c>
      <c r="C2476">
        <f>IFERROR(VLOOKUP($A2476,原始数据_收盘!$A$4:$G$3460,3,0),"")</f>
        <v>3.0275</v>
      </c>
      <c r="D2476">
        <f>IFERROR(VLOOKUP($A2476,原始数据_收盘!$A$4:$G$3460,4,0),"")</f>
        <v>2.88</v>
      </c>
      <c r="E2476">
        <f>IFERROR(VLOOKUP($A2476,原始数据_收盘!$A$4:$G$3460,5,0),"")</f>
        <v>3.0863</v>
      </c>
      <c r="F2476">
        <f>IFERROR(VLOOKUP($A2476,原始数据_收盘!$A$4:$G$3460,6,0),"")</f>
        <v>2.8494</v>
      </c>
      <c r="G2476">
        <f>IFERROR(VLOOKUP($A2476,原始数据_收盘!$A$4:$G$3460,7,0),"")</f>
        <v>3.0569</v>
      </c>
      <c r="H2476">
        <f>IFERROR(VLOOKUP($A2476,原始数据_利率互换_FR007_1年!$A$6:$C$4395,2,0),"")</f>
        <v>2.8744</v>
      </c>
      <c r="I2476">
        <f>IFERROR(VLOOKUP($A2476,原始数据_利率互换_FR007_1年!$A$6:$C$4395,3,0),"")</f>
        <v>3.0888</v>
      </c>
    </row>
    <row r="2477" spans="1:9">
      <c r="A2477" s="6">
        <v>41970</v>
      </c>
      <c r="B2477">
        <f>IFERROR(VLOOKUP($A2477,原始数据_收盘!$A$4:$G$3460,2,0),"")</f>
        <v>2.8233</v>
      </c>
      <c r="C2477">
        <f>IFERROR(VLOOKUP($A2477,原始数据_收盘!$A$4:$G$3460,3,0),"")</f>
        <v>3.0358</v>
      </c>
      <c r="D2477">
        <f>IFERROR(VLOOKUP($A2477,原始数据_收盘!$A$4:$G$3460,4,0),"")</f>
        <v>2.881</v>
      </c>
      <c r="E2477">
        <f>IFERROR(VLOOKUP($A2477,原始数据_收盘!$A$4:$G$3460,5,0),"")</f>
        <v>3.1015</v>
      </c>
      <c r="F2477">
        <f>IFERROR(VLOOKUP($A2477,原始数据_收盘!$A$4:$G$3460,6,0),"")</f>
        <v>2.8522</v>
      </c>
      <c r="G2477">
        <f>IFERROR(VLOOKUP($A2477,原始数据_收盘!$A$4:$G$3460,7,0),"")</f>
        <v>3.0687</v>
      </c>
      <c r="H2477">
        <f>IFERROR(VLOOKUP($A2477,原始数据_利率互换_FR007_1年!$A$6:$C$4395,2,0),"")</f>
        <v>2.8653</v>
      </c>
      <c r="I2477">
        <f>IFERROR(VLOOKUP($A2477,原始数据_利率互换_FR007_1年!$A$6:$C$4395,3,0),"")</f>
        <v>3.0639</v>
      </c>
    </row>
    <row r="2478" spans="1:9">
      <c r="A2478" s="6">
        <v>41971</v>
      </c>
      <c r="B2478">
        <f>IFERROR(VLOOKUP($A2478,原始数据_收盘!$A$4:$G$3460,2,0),"")</f>
        <v>2.8256</v>
      </c>
      <c r="C2478">
        <f>IFERROR(VLOOKUP($A2478,原始数据_收盘!$A$4:$G$3460,3,0),"")</f>
        <v>3.031</v>
      </c>
      <c r="D2478">
        <f>IFERROR(VLOOKUP($A2478,原始数据_收盘!$A$4:$G$3460,4,0),"")</f>
        <v>2.8873</v>
      </c>
      <c r="E2478">
        <f>IFERROR(VLOOKUP($A2478,原始数据_收盘!$A$4:$G$3460,5,0),"")</f>
        <v>3.1006</v>
      </c>
      <c r="F2478">
        <f>IFERROR(VLOOKUP($A2478,原始数据_收盘!$A$4:$G$3460,6,0),"")</f>
        <v>2.8564</v>
      </c>
      <c r="G2478">
        <f>IFERROR(VLOOKUP($A2478,原始数据_收盘!$A$4:$G$3460,7,0),"")</f>
        <v>3.0658</v>
      </c>
      <c r="H2478">
        <f>IFERROR(VLOOKUP($A2478,原始数据_利率互换_FR007_1年!$A$6:$C$4395,2,0),"")</f>
        <v>2.8691</v>
      </c>
      <c r="I2478">
        <f>IFERROR(VLOOKUP($A2478,原始数据_利率互换_FR007_1年!$A$6:$C$4395,3,0),"")</f>
        <v>3.0788</v>
      </c>
    </row>
    <row r="2479" spans="1:9">
      <c r="A2479" s="6">
        <v>41972</v>
      </c>
      <c r="B2479" t="str">
        <f>IFERROR(VLOOKUP($A2479,原始数据_收盘!$A$4:$G$3460,2,0),"")</f>
        <v/>
      </c>
      <c r="C2479" t="str">
        <f>IFERROR(VLOOKUP($A2479,原始数据_收盘!$A$4:$G$3460,3,0),"")</f>
        <v/>
      </c>
      <c r="D2479" t="str">
        <f>IFERROR(VLOOKUP($A2479,原始数据_收盘!$A$4:$G$3460,4,0),"")</f>
        <v/>
      </c>
      <c r="E2479" t="str">
        <f>IFERROR(VLOOKUP($A2479,原始数据_收盘!$A$4:$G$3460,5,0),"")</f>
        <v/>
      </c>
      <c r="F2479" t="str">
        <f>IFERROR(VLOOKUP($A2479,原始数据_收盘!$A$4:$G$3460,6,0),"")</f>
        <v/>
      </c>
      <c r="G2479" t="str">
        <f>IFERROR(VLOOKUP($A2479,原始数据_收盘!$A$4:$G$3460,7,0),"")</f>
        <v/>
      </c>
      <c r="H2479" t="str">
        <f>IFERROR(VLOOKUP($A2479,原始数据_利率互换_FR007_1年!$A$6:$C$4395,2,0),"")</f>
        <v/>
      </c>
      <c r="I2479" t="str">
        <f>IFERROR(VLOOKUP($A2479,原始数据_利率互换_FR007_1年!$A$6:$C$4395,3,0),"")</f>
        <v/>
      </c>
    </row>
    <row r="2480" spans="1:9">
      <c r="A2480" s="6">
        <v>41973</v>
      </c>
      <c r="B2480" t="str">
        <f>IFERROR(VLOOKUP($A2480,原始数据_收盘!$A$4:$G$3460,2,0),"")</f>
        <v/>
      </c>
      <c r="C2480" t="str">
        <f>IFERROR(VLOOKUP($A2480,原始数据_收盘!$A$4:$G$3460,3,0),"")</f>
        <v/>
      </c>
      <c r="D2480" t="str">
        <f>IFERROR(VLOOKUP($A2480,原始数据_收盘!$A$4:$G$3460,4,0),"")</f>
        <v/>
      </c>
      <c r="E2480" t="str">
        <f>IFERROR(VLOOKUP($A2480,原始数据_收盘!$A$4:$G$3460,5,0),"")</f>
        <v/>
      </c>
      <c r="F2480" t="str">
        <f>IFERROR(VLOOKUP($A2480,原始数据_收盘!$A$4:$G$3460,6,0),"")</f>
        <v/>
      </c>
      <c r="G2480" t="str">
        <f>IFERROR(VLOOKUP($A2480,原始数据_收盘!$A$4:$G$3460,7,0),"")</f>
        <v/>
      </c>
      <c r="H2480" t="str">
        <f>IFERROR(VLOOKUP($A2480,原始数据_利率互换_FR007_1年!$A$6:$C$4395,2,0),"")</f>
        <v/>
      </c>
      <c r="I2480" t="str">
        <f>IFERROR(VLOOKUP($A2480,原始数据_利率互换_FR007_1年!$A$6:$C$4395,3,0),"")</f>
        <v/>
      </c>
    </row>
    <row r="2481" spans="1:9">
      <c r="A2481" s="6">
        <v>41974</v>
      </c>
      <c r="B2481">
        <f>IFERROR(VLOOKUP($A2481,原始数据_收盘!$A$4:$G$3460,2,0),"")</f>
        <v>2.8477</v>
      </c>
      <c r="C2481">
        <f>IFERROR(VLOOKUP($A2481,原始数据_收盘!$A$4:$G$3460,3,0),"")</f>
        <v>3.0476</v>
      </c>
      <c r="D2481">
        <f>IFERROR(VLOOKUP($A2481,原始数据_收盘!$A$4:$G$3460,4,0),"")</f>
        <v>2.9074</v>
      </c>
      <c r="E2481">
        <f>IFERROR(VLOOKUP($A2481,原始数据_收盘!$A$4:$G$3460,5,0),"")</f>
        <v>3.1133</v>
      </c>
      <c r="F2481">
        <f>IFERROR(VLOOKUP($A2481,原始数据_收盘!$A$4:$G$3460,6,0),"")</f>
        <v>2.8776</v>
      </c>
      <c r="G2481">
        <f>IFERROR(VLOOKUP($A2481,原始数据_收盘!$A$4:$G$3460,7,0),"")</f>
        <v>3.0804</v>
      </c>
      <c r="H2481">
        <f>IFERROR(VLOOKUP($A2481,原始数据_利率互换_FR007_1年!$A$6:$C$4395,2,0),"")</f>
        <v>2.8792</v>
      </c>
      <c r="I2481">
        <f>IFERROR(VLOOKUP($A2481,原始数据_利率互换_FR007_1年!$A$6:$C$4395,3,0),"")</f>
        <v>3.0791</v>
      </c>
    </row>
    <row r="2482" spans="1:9">
      <c r="A2482" s="6">
        <v>41975</v>
      </c>
      <c r="B2482">
        <f>IFERROR(VLOOKUP($A2482,原始数据_收盘!$A$4:$G$3460,2,0),"")</f>
        <v>2.9063</v>
      </c>
      <c r="C2482">
        <f>IFERROR(VLOOKUP($A2482,原始数据_收盘!$A$4:$G$3460,3,0),"")</f>
        <v>3.1093</v>
      </c>
      <c r="D2482">
        <f>IFERROR(VLOOKUP($A2482,原始数据_收盘!$A$4:$G$3460,4,0),"")</f>
        <v>2.9674</v>
      </c>
      <c r="E2482">
        <f>IFERROR(VLOOKUP($A2482,原始数据_收盘!$A$4:$G$3460,5,0),"")</f>
        <v>3.1693</v>
      </c>
      <c r="F2482">
        <f>IFERROR(VLOOKUP($A2482,原始数据_收盘!$A$4:$G$3460,6,0),"")</f>
        <v>2.9369</v>
      </c>
      <c r="G2482">
        <f>IFERROR(VLOOKUP($A2482,原始数据_收盘!$A$4:$G$3460,7,0),"")</f>
        <v>3.1393</v>
      </c>
      <c r="H2482">
        <f>IFERROR(VLOOKUP($A2482,原始数据_利率互换_FR007_1年!$A$6:$C$4395,2,0),"")</f>
        <v>2.9054</v>
      </c>
      <c r="I2482">
        <f>IFERROR(VLOOKUP($A2482,原始数据_利率互换_FR007_1年!$A$6:$C$4395,3,0),"")</f>
        <v>3.1051</v>
      </c>
    </row>
    <row r="2483" spans="1:9">
      <c r="A2483" s="6">
        <v>41976</v>
      </c>
      <c r="B2483">
        <f>IFERROR(VLOOKUP($A2483,原始数据_收盘!$A$4:$G$3460,2,0),"")</f>
        <v>3.0119</v>
      </c>
      <c r="C2483">
        <f>IFERROR(VLOOKUP($A2483,原始数据_收盘!$A$4:$G$3460,3,0),"")</f>
        <v>3.2378</v>
      </c>
      <c r="D2483">
        <f>IFERROR(VLOOKUP($A2483,原始数据_收盘!$A$4:$G$3460,4,0),"")</f>
        <v>3.0706</v>
      </c>
      <c r="E2483">
        <f>IFERROR(VLOOKUP($A2483,原始数据_收盘!$A$4:$G$3460,5,0),"")</f>
        <v>3.3014</v>
      </c>
      <c r="F2483">
        <f>IFERROR(VLOOKUP($A2483,原始数据_收盘!$A$4:$G$3460,6,0),"")</f>
        <v>3.0413</v>
      </c>
      <c r="G2483">
        <f>IFERROR(VLOOKUP($A2483,原始数据_收盘!$A$4:$G$3460,7,0),"")</f>
        <v>3.2696</v>
      </c>
      <c r="H2483">
        <f>IFERROR(VLOOKUP($A2483,原始数据_利率互换_FR007_1年!$A$6:$C$4395,2,0),"")</f>
        <v>3.0217</v>
      </c>
      <c r="I2483">
        <f>IFERROR(VLOOKUP($A2483,原始数据_利率互换_FR007_1年!$A$6:$C$4395,3,0),"")</f>
        <v>3.2381</v>
      </c>
    </row>
    <row r="2484" spans="1:9">
      <c r="A2484" s="6">
        <v>41977</v>
      </c>
      <c r="B2484">
        <f>IFERROR(VLOOKUP($A2484,原始数据_收盘!$A$4:$G$3460,2,0),"")</f>
        <v>3.0888</v>
      </c>
      <c r="C2484">
        <f>IFERROR(VLOOKUP($A2484,原始数据_收盘!$A$4:$G$3460,3,0),"")</f>
        <v>3.3166</v>
      </c>
      <c r="D2484">
        <f>IFERROR(VLOOKUP($A2484,原始数据_收盘!$A$4:$G$3460,4,0),"")</f>
        <v>3.1463</v>
      </c>
      <c r="E2484">
        <f>IFERROR(VLOOKUP($A2484,原始数据_收盘!$A$4:$G$3460,5,0),"")</f>
        <v>3.3769</v>
      </c>
      <c r="F2484">
        <f>IFERROR(VLOOKUP($A2484,原始数据_收盘!$A$4:$G$3460,6,0),"")</f>
        <v>3.1175</v>
      </c>
      <c r="G2484">
        <f>IFERROR(VLOOKUP($A2484,原始数据_收盘!$A$4:$G$3460,7,0),"")</f>
        <v>3.3468</v>
      </c>
      <c r="H2484">
        <f>IFERROR(VLOOKUP($A2484,原始数据_利率互换_FR007_1年!$A$6:$C$4395,2,0),"")</f>
        <v>3.0655</v>
      </c>
      <c r="I2484">
        <f>IFERROR(VLOOKUP($A2484,原始数据_利率互换_FR007_1年!$A$6:$C$4395,3,0),"")</f>
        <v>3.2945</v>
      </c>
    </row>
    <row r="2485" spans="1:9">
      <c r="A2485" s="6">
        <v>41978</v>
      </c>
      <c r="B2485">
        <f>IFERROR(VLOOKUP($A2485,原始数据_收盘!$A$4:$G$3460,2,0),"")</f>
        <v>3.2019</v>
      </c>
      <c r="C2485">
        <f>IFERROR(VLOOKUP($A2485,原始数据_收盘!$A$4:$G$3460,3,0),"")</f>
        <v>3.4074</v>
      </c>
      <c r="D2485">
        <f>IFERROR(VLOOKUP($A2485,原始数据_收盘!$A$4:$G$3460,4,0),"")</f>
        <v>3.2614</v>
      </c>
      <c r="E2485">
        <f>IFERROR(VLOOKUP($A2485,原始数据_收盘!$A$4:$G$3460,5,0),"")</f>
        <v>3.4748</v>
      </c>
      <c r="F2485">
        <f>IFERROR(VLOOKUP($A2485,原始数据_收盘!$A$4:$G$3460,6,0),"")</f>
        <v>3.2317</v>
      </c>
      <c r="G2485">
        <f>IFERROR(VLOOKUP($A2485,原始数据_收盘!$A$4:$G$3460,7,0),"")</f>
        <v>3.4411</v>
      </c>
      <c r="H2485">
        <f>IFERROR(VLOOKUP($A2485,原始数据_利率互换_FR007_1年!$A$6:$C$4395,2,0),"")</f>
        <v>3.2333</v>
      </c>
      <c r="I2485">
        <f>IFERROR(VLOOKUP($A2485,原始数据_利率互换_FR007_1年!$A$6:$C$4395,3,0),"")</f>
        <v>3.4479</v>
      </c>
    </row>
    <row r="2486" spans="1:9">
      <c r="A2486" s="6">
        <v>41979</v>
      </c>
      <c r="B2486" t="str">
        <f>IFERROR(VLOOKUP($A2486,原始数据_收盘!$A$4:$G$3460,2,0),"")</f>
        <v/>
      </c>
      <c r="C2486" t="str">
        <f>IFERROR(VLOOKUP($A2486,原始数据_收盘!$A$4:$G$3460,3,0),"")</f>
        <v/>
      </c>
      <c r="D2486" t="str">
        <f>IFERROR(VLOOKUP($A2486,原始数据_收盘!$A$4:$G$3460,4,0),"")</f>
        <v/>
      </c>
      <c r="E2486" t="str">
        <f>IFERROR(VLOOKUP($A2486,原始数据_收盘!$A$4:$G$3460,5,0),"")</f>
        <v/>
      </c>
      <c r="F2486" t="str">
        <f>IFERROR(VLOOKUP($A2486,原始数据_收盘!$A$4:$G$3460,6,0),"")</f>
        <v/>
      </c>
      <c r="G2486" t="str">
        <f>IFERROR(VLOOKUP($A2486,原始数据_收盘!$A$4:$G$3460,7,0),"")</f>
        <v/>
      </c>
      <c r="H2486" t="str">
        <f>IFERROR(VLOOKUP($A2486,原始数据_利率互换_FR007_1年!$A$6:$C$4395,2,0),"")</f>
        <v/>
      </c>
      <c r="I2486" t="str">
        <f>IFERROR(VLOOKUP($A2486,原始数据_利率互换_FR007_1年!$A$6:$C$4395,3,0),"")</f>
        <v/>
      </c>
    </row>
    <row r="2487" spans="1:9">
      <c r="A2487" s="6">
        <v>41980</v>
      </c>
      <c r="B2487" t="str">
        <f>IFERROR(VLOOKUP($A2487,原始数据_收盘!$A$4:$G$3460,2,0),"")</f>
        <v/>
      </c>
      <c r="C2487" t="str">
        <f>IFERROR(VLOOKUP($A2487,原始数据_收盘!$A$4:$G$3460,3,0),"")</f>
        <v/>
      </c>
      <c r="D2487" t="str">
        <f>IFERROR(VLOOKUP($A2487,原始数据_收盘!$A$4:$G$3460,4,0),"")</f>
        <v/>
      </c>
      <c r="E2487" t="str">
        <f>IFERROR(VLOOKUP($A2487,原始数据_收盘!$A$4:$G$3460,5,0),"")</f>
        <v/>
      </c>
      <c r="F2487" t="str">
        <f>IFERROR(VLOOKUP($A2487,原始数据_收盘!$A$4:$G$3460,6,0),"")</f>
        <v/>
      </c>
      <c r="G2487" t="str">
        <f>IFERROR(VLOOKUP($A2487,原始数据_收盘!$A$4:$G$3460,7,0),"")</f>
        <v/>
      </c>
      <c r="H2487" t="str">
        <f>IFERROR(VLOOKUP($A2487,原始数据_利率互换_FR007_1年!$A$6:$C$4395,2,0),"")</f>
        <v/>
      </c>
      <c r="I2487" t="str">
        <f>IFERROR(VLOOKUP($A2487,原始数据_利率互换_FR007_1年!$A$6:$C$4395,3,0),"")</f>
        <v/>
      </c>
    </row>
    <row r="2488" spans="1:9">
      <c r="A2488" s="6">
        <v>41981</v>
      </c>
      <c r="B2488">
        <f>IFERROR(VLOOKUP($A2488,原始数据_收盘!$A$4:$G$3460,2,0),"")</f>
        <v>3.3333</v>
      </c>
      <c r="C2488">
        <f>IFERROR(VLOOKUP($A2488,原始数据_收盘!$A$4:$G$3460,3,0),"")</f>
        <v>3.5475</v>
      </c>
      <c r="D2488">
        <f>IFERROR(VLOOKUP($A2488,原始数据_收盘!$A$4:$G$3460,4,0),"")</f>
        <v>3.3933</v>
      </c>
      <c r="E2488">
        <f>IFERROR(VLOOKUP($A2488,原始数据_收盘!$A$4:$G$3460,5,0),"")</f>
        <v>3.605</v>
      </c>
      <c r="F2488">
        <f>IFERROR(VLOOKUP($A2488,原始数据_收盘!$A$4:$G$3460,6,0),"")</f>
        <v>3.3633</v>
      </c>
      <c r="G2488">
        <f>IFERROR(VLOOKUP($A2488,原始数据_收盘!$A$4:$G$3460,7,0),"")</f>
        <v>3.5763</v>
      </c>
      <c r="H2488">
        <f>IFERROR(VLOOKUP($A2488,原始数据_利率互换_FR007_1年!$A$6:$C$4395,2,0),"")</f>
        <v>3.3141</v>
      </c>
      <c r="I2488">
        <f>IFERROR(VLOOKUP($A2488,原始数据_利率互换_FR007_1年!$A$6:$C$4395,3,0),"")</f>
        <v>3.5318</v>
      </c>
    </row>
    <row r="2489" spans="1:9">
      <c r="A2489" s="6">
        <v>41982</v>
      </c>
      <c r="B2489">
        <f>IFERROR(VLOOKUP($A2489,原始数据_收盘!$A$4:$G$3460,2,0),"")</f>
        <v>3.2971</v>
      </c>
      <c r="C2489">
        <f>IFERROR(VLOOKUP($A2489,原始数据_收盘!$A$4:$G$3460,3,0),"")</f>
        <v>3.5254</v>
      </c>
      <c r="D2489">
        <f>IFERROR(VLOOKUP($A2489,原始数据_收盘!$A$4:$G$3460,4,0),"")</f>
        <v>3.3566</v>
      </c>
      <c r="E2489">
        <f>IFERROR(VLOOKUP($A2489,原始数据_收盘!$A$4:$G$3460,5,0),"")</f>
        <v>3.5942</v>
      </c>
      <c r="F2489">
        <f>IFERROR(VLOOKUP($A2489,原始数据_收盘!$A$4:$G$3460,6,0),"")</f>
        <v>3.3269</v>
      </c>
      <c r="G2489">
        <f>IFERROR(VLOOKUP($A2489,原始数据_收盘!$A$4:$G$3460,7,0),"")</f>
        <v>3.5598</v>
      </c>
      <c r="H2489">
        <f>IFERROR(VLOOKUP($A2489,原始数据_利率互换_FR007_1年!$A$6:$C$4395,2,0),"")</f>
        <v>3.4605</v>
      </c>
      <c r="I2489">
        <f>IFERROR(VLOOKUP($A2489,原始数据_利率互换_FR007_1年!$A$6:$C$4395,3,0),"")</f>
        <v>3.6936</v>
      </c>
    </row>
    <row r="2490" spans="1:9">
      <c r="A2490" s="6">
        <v>41983</v>
      </c>
      <c r="B2490">
        <f>IFERROR(VLOOKUP($A2490,原始数据_收盘!$A$4:$G$3460,2,0),"")</f>
        <v>3.2413</v>
      </c>
      <c r="C2490">
        <f>IFERROR(VLOOKUP($A2490,原始数据_收盘!$A$4:$G$3460,3,0),"")</f>
        <v>3.4238</v>
      </c>
      <c r="D2490">
        <f>IFERROR(VLOOKUP($A2490,原始数据_收盘!$A$4:$G$3460,4,0),"")</f>
        <v>3.2963</v>
      </c>
      <c r="E2490">
        <f>IFERROR(VLOOKUP($A2490,原始数据_收盘!$A$4:$G$3460,5,0),"")</f>
        <v>3.4925</v>
      </c>
      <c r="F2490">
        <f>IFERROR(VLOOKUP($A2490,原始数据_收盘!$A$4:$G$3460,6,0),"")</f>
        <v>3.2688</v>
      </c>
      <c r="G2490">
        <f>IFERROR(VLOOKUP($A2490,原始数据_收盘!$A$4:$G$3460,7,0),"")</f>
        <v>3.4581</v>
      </c>
      <c r="H2490">
        <f>IFERROR(VLOOKUP($A2490,原始数据_利率互换_FR007_1年!$A$6:$C$4395,2,0),"")</f>
        <v>3.35</v>
      </c>
      <c r="I2490">
        <f>IFERROR(VLOOKUP($A2490,原始数据_利率互换_FR007_1年!$A$6:$C$4395,3,0),"")</f>
        <v>3.5574</v>
      </c>
    </row>
    <row r="2491" spans="1:9">
      <c r="A2491" s="6">
        <v>41984</v>
      </c>
      <c r="B2491">
        <f>IFERROR(VLOOKUP($A2491,原始数据_收盘!$A$4:$G$3460,2,0),"")</f>
        <v>3.3275</v>
      </c>
      <c r="C2491">
        <f>IFERROR(VLOOKUP($A2491,原始数据_收盘!$A$4:$G$3460,3,0),"")</f>
        <v>3.525</v>
      </c>
      <c r="D2491">
        <f>IFERROR(VLOOKUP($A2491,原始数据_收盘!$A$4:$G$3460,4,0),"")</f>
        <v>3.3871</v>
      </c>
      <c r="E2491">
        <f>IFERROR(VLOOKUP($A2491,原始数据_收盘!$A$4:$G$3460,5,0),"")</f>
        <v>3.5813</v>
      </c>
      <c r="F2491">
        <f>IFERROR(VLOOKUP($A2491,原始数据_收盘!$A$4:$G$3460,6,0),"")</f>
        <v>3.3573</v>
      </c>
      <c r="G2491">
        <f>IFERROR(VLOOKUP($A2491,原始数据_收盘!$A$4:$G$3460,7,0),"")</f>
        <v>3.5531</v>
      </c>
      <c r="H2491">
        <f>IFERROR(VLOOKUP($A2491,原始数据_利率互换_FR007_1年!$A$6:$C$4395,2,0),"")</f>
        <v>3.2997</v>
      </c>
      <c r="I2491">
        <f>IFERROR(VLOOKUP($A2491,原始数据_利率互换_FR007_1年!$A$6:$C$4395,3,0),"")</f>
        <v>3.4864</v>
      </c>
    </row>
    <row r="2492" spans="1:9">
      <c r="A2492" s="6">
        <v>41985</v>
      </c>
      <c r="B2492">
        <f>IFERROR(VLOOKUP($A2492,原始数据_收盘!$A$4:$G$3460,2,0),"")</f>
        <v>3.3159</v>
      </c>
      <c r="C2492">
        <f>IFERROR(VLOOKUP($A2492,原始数据_收盘!$A$4:$G$3460,3,0),"")</f>
        <v>3.4975</v>
      </c>
      <c r="D2492">
        <f>IFERROR(VLOOKUP($A2492,原始数据_收盘!$A$4:$G$3460,4,0),"")</f>
        <v>3.3738</v>
      </c>
      <c r="E2492">
        <f>IFERROR(VLOOKUP($A2492,原始数据_收盘!$A$4:$G$3460,5,0),"")</f>
        <v>3.5604</v>
      </c>
      <c r="F2492">
        <f>IFERROR(VLOOKUP($A2492,原始数据_收盘!$A$4:$G$3460,6,0),"")</f>
        <v>3.3448</v>
      </c>
      <c r="G2492">
        <f>IFERROR(VLOOKUP($A2492,原始数据_收盘!$A$4:$G$3460,7,0),"")</f>
        <v>3.5289</v>
      </c>
      <c r="H2492">
        <f>IFERROR(VLOOKUP($A2492,原始数据_利率互换_FR007_1年!$A$6:$C$4395,2,0),"")</f>
        <v>3.3584</v>
      </c>
      <c r="I2492">
        <f>IFERROR(VLOOKUP($A2492,原始数据_利率互换_FR007_1年!$A$6:$C$4395,3,0),"")</f>
        <v>3.5185</v>
      </c>
    </row>
    <row r="2493" spans="1:9">
      <c r="A2493" s="6">
        <v>41986</v>
      </c>
      <c r="B2493" t="str">
        <f>IFERROR(VLOOKUP($A2493,原始数据_收盘!$A$4:$G$3460,2,0),"")</f>
        <v/>
      </c>
      <c r="C2493" t="str">
        <f>IFERROR(VLOOKUP($A2493,原始数据_收盘!$A$4:$G$3460,3,0),"")</f>
        <v/>
      </c>
      <c r="D2493" t="str">
        <f>IFERROR(VLOOKUP($A2493,原始数据_收盘!$A$4:$G$3460,4,0),"")</f>
        <v/>
      </c>
      <c r="E2493" t="str">
        <f>IFERROR(VLOOKUP($A2493,原始数据_收盘!$A$4:$G$3460,5,0),"")</f>
        <v/>
      </c>
      <c r="F2493" t="str">
        <f>IFERROR(VLOOKUP($A2493,原始数据_收盘!$A$4:$G$3460,6,0),"")</f>
        <v/>
      </c>
      <c r="G2493" t="str">
        <f>IFERROR(VLOOKUP($A2493,原始数据_收盘!$A$4:$G$3460,7,0),"")</f>
        <v/>
      </c>
      <c r="H2493" t="str">
        <f>IFERROR(VLOOKUP($A2493,原始数据_利率互换_FR007_1年!$A$6:$C$4395,2,0),"")</f>
        <v/>
      </c>
      <c r="I2493" t="str">
        <f>IFERROR(VLOOKUP($A2493,原始数据_利率互换_FR007_1年!$A$6:$C$4395,3,0),"")</f>
        <v/>
      </c>
    </row>
    <row r="2494" spans="1:9">
      <c r="A2494" s="6">
        <v>41987</v>
      </c>
      <c r="B2494" t="str">
        <f>IFERROR(VLOOKUP($A2494,原始数据_收盘!$A$4:$G$3460,2,0),"")</f>
        <v/>
      </c>
      <c r="C2494" t="str">
        <f>IFERROR(VLOOKUP($A2494,原始数据_收盘!$A$4:$G$3460,3,0),"")</f>
        <v/>
      </c>
      <c r="D2494" t="str">
        <f>IFERROR(VLOOKUP($A2494,原始数据_收盘!$A$4:$G$3460,4,0),"")</f>
        <v/>
      </c>
      <c r="E2494" t="str">
        <f>IFERROR(VLOOKUP($A2494,原始数据_收盘!$A$4:$G$3460,5,0),"")</f>
        <v/>
      </c>
      <c r="F2494" t="str">
        <f>IFERROR(VLOOKUP($A2494,原始数据_收盘!$A$4:$G$3460,6,0),"")</f>
        <v/>
      </c>
      <c r="G2494" t="str">
        <f>IFERROR(VLOOKUP($A2494,原始数据_收盘!$A$4:$G$3460,7,0),"")</f>
        <v/>
      </c>
      <c r="H2494" t="str">
        <f>IFERROR(VLOOKUP($A2494,原始数据_利率互换_FR007_1年!$A$6:$C$4395,2,0),"")</f>
        <v/>
      </c>
      <c r="I2494" t="str">
        <f>IFERROR(VLOOKUP($A2494,原始数据_利率互换_FR007_1年!$A$6:$C$4395,3,0),"")</f>
        <v/>
      </c>
    </row>
    <row r="2495" spans="1:9">
      <c r="A2495" s="6">
        <v>41988</v>
      </c>
      <c r="B2495">
        <f>IFERROR(VLOOKUP($A2495,原始数据_收盘!$A$4:$G$3460,2,0),"")</f>
        <v>3.3313</v>
      </c>
      <c r="C2495">
        <f>IFERROR(VLOOKUP($A2495,原始数据_收盘!$A$4:$G$3460,3,0),"")</f>
        <v>3.5</v>
      </c>
      <c r="D2495">
        <f>IFERROR(VLOOKUP($A2495,原始数据_收盘!$A$4:$G$3460,4,0),"")</f>
        <v>3.38</v>
      </c>
      <c r="E2495">
        <f>IFERROR(VLOOKUP($A2495,原始数据_收盘!$A$4:$G$3460,5,0),"")</f>
        <v>3.5534</v>
      </c>
      <c r="F2495">
        <f>IFERROR(VLOOKUP($A2495,原始数据_收盘!$A$4:$G$3460,6,0),"")</f>
        <v>3.3556</v>
      </c>
      <c r="G2495">
        <f>IFERROR(VLOOKUP($A2495,原始数据_收盘!$A$4:$G$3460,7,0),"")</f>
        <v>3.5267</v>
      </c>
      <c r="H2495">
        <f>IFERROR(VLOOKUP($A2495,原始数据_利率互换_FR007_1年!$A$6:$C$4395,2,0),"")</f>
        <v>3.3806</v>
      </c>
      <c r="I2495">
        <f>IFERROR(VLOOKUP($A2495,原始数据_利率互换_FR007_1年!$A$6:$C$4395,3,0),"")</f>
        <v>3.546</v>
      </c>
    </row>
    <row r="2496" spans="1:9">
      <c r="A2496" s="6">
        <v>41989</v>
      </c>
      <c r="B2496">
        <f>IFERROR(VLOOKUP($A2496,原始数据_收盘!$A$4:$G$3460,2,0),"")</f>
        <v>3.3094</v>
      </c>
      <c r="C2496">
        <f>IFERROR(VLOOKUP($A2496,原始数据_收盘!$A$4:$G$3460,3,0),"")</f>
        <v>3.4656</v>
      </c>
      <c r="D2496">
        <f>IFERROR(VLOOKUP($A2496,原始数据_收盘!$A$4:$G$3460,4,0),"")</f>
        <v>3.361</v>
      </c>
      <c r="E2496">
        <f>IFERROR(VLOOKUP($A2496,原始数据_收盘!$A$4:$G$3460,5,0),"")</f>
        <v>3.5235</v>
      </c>
      <c r="F2496">
        <f>IFERROR(VLOOKUP($A2496,原始数据_收盘!$A$4:$G$3460,6,0),"")</f>
        <v>3.3352</v>
      </c>
      <c r="G2496">
        <f>IFERROR(VLOOKUP($A2496,原始数据_收盘!$A$4:$G$3460,7,0),"")</f>
        <v>3.4946</v>
      </c>
      <c r="H2496">
        <f>IFERROR(VLOOKUP($A2496,原始数据_利率互换_FR007_1年!$A$6:$C$4395,2,0),"")</f>
        <v>3.354</v>
      </c>
      <c r="I2496">
        <f>IFERROR(VLOOKUP($A2496,原始数据_利率互换_FR007_1年!$A$6:$C$4395,3,0),"")</f>
        <v>3.5095</v>
      </c>
    </row>
    <row r="2497" spans="1:9">
      <c r="A2497" s="6">
        <v>41990</v>
      </c>
      <c r="B2497">
        <f>IFERROR(VLOOKUP($A2497,原始数据_收盘!$A$4:$G$3460,2,0),"")</f>
        <v>3.3234</v>
      </c>
      <c r="C2497">
        <f>IFERROR(VLOOKUP($A2497,原始数据_收盘!$A$4:$G$3460,3,0),"")</f>
        <v>3.47</v>
      </c>
      <c r="D2497">
        <f>IFERROR(VLOOKUP($A2497,原始数据_收盘!$A$4:$G$3460,4,0),"")</f>
        <v>3.3829</v>
      </c>
      <c r="E2497">
        <f>IFERROR(VLOOKUP($A2497,原始数据_收盘!$A$4:$G$3460,5,0),"")</f>
        <v>3.5354</v>
      </c>
      <c r="F2497">
        <f>IFERROR(VLOOKUP($A2497,原始数据_收盘!$A$4:$G$3460,6,0),"")</f>
        <v>3.3531</v>
      </c>
      <c r="G2497">
        <f>IFERROR(VLOOKUP($A2497,原始数据_收盘!$A$4:$G$3460,7,0),"")</f>
        <v>3.5027</v>
      </c>
      <c r="H2497">
        <f>IFERROR(VLOOKUP($A2497,原始数据_利率互换_FR007_1年!$A$6:$C$4395,2,0),"")</f>
        <v>3.3703</v>
      </c>
      <c r="I2497">
        <f>IFERROR(VLOOKUP($A2497,原始数据_利率互换_FR007_1年!$A$6:$C$4395,3,0),"")</f>
        <v>3.4961</v>
      </c>
    </row>
    <row r="2498" spans="1:9">
      <c r="A2498" s="6">
        <v>41991</v>
      </c>
      <c r="B2498">
        <f>IFERROR(VLOOKUP($A2498,原始数据_收盘!$A$4:$G$3460,2,0),"")</f>
        <v>3.3513</v>
      </c>
      <c r="C2498">
        <f>IFERROR(VLOOKUP($A2498,原始数据_收盘!$A$4:$G$3460,3,0),"")</f>
        <v>3.4588</v>
      </c>
      <c r="D2498">
        <f>IFERROR(VLOOKUP($A2498,原始数据_收盘!$A$4:$G$3460,4,0),"")</f>
        <v>3.405</v>
      </c>
      <c r="E2498">
        <f>IFERROR(VLOOKUP($A2498,原始数据_收盘!$A$4:$G$3460,5,0),"")</f>
        <v>3.5179</v>
      </c>
      <c r="F2498">
        <f>IFERROR(VLOOKUP($A2498,原始数据_收盘!$A$4:$G$3460,6,0),"")</f>
        <v>3.3781</v>
      </c>
      <c r="G2498">
        <f>IFERROR(VLOOKUP($A2498,原始数据_收盘!$A$4:$G$3460,7,0),"")</f>
        <v>3.4883</v>
      </c>
      <c r="H2498">
        <f>IFERROR(VLOOKUP($A2498,原始数据_利率互换_FR007_1年!$A$6:$C$4395,2,0),"")</f>
        <v>3.3801</v>
      </c>
      <c r="I2498">
        <f>IFERROR(VLOOKUP($A2498,原始数据_利率互换_FR007_1年!$A$6:$C$4395,3,0),"")</f>
        <v>3.47</v>
      </c>
    </row>
    <row r="2499" spans="1:9">
      <c r="A2499" s="6">
        <v>41992</v>
      </c>
      <c r="B2499">
        <f>IFERROR(VLOOKUP($A2499,原始数据_收盘!$A$4:$G$3460,2,0),"")</f>
        <v>3.3571</v>
      </c>
      <c r="C2499">
        <f>IFERROR(VLOOKUP($A2499,原始数据_收盘!$A$4:$G$3460,3,0),"")</f>
        <v>3.4338</v>
      </c>
      <c r="D2499">
        <f>IFERROR(VLOOKUP($A2499,原始数据_收盘!$A$4:$G$3460,4,0),"")</f>
        <v>3.4216</v>
      </c>
      <c r="E2499">
        <f>IFERROR(VLOOKUP($A2499,原始数据_收盘!$A$4:$G$3460,5,0),"")</f>
        <v>3.5016</v>
      </c>
      <c r="F2499">
        <f>IFERROR(VLOOKUP($A2499,原始数据_收盘!$A$4:$G$3460,6,0),"")</f>
        <v>3.3894</v>
      </c>
      <c r="G2499">
        <f>IFERROR(VLOOKUP($A2499,原始数据_收盘!$A$4:$G$3460,7,0),"")</f>
        <v>3.4677</v>
      </c>
      <c r="H2499">
        <f>IFERROR(VLOOKUP($A2499,原始数据_利率互换_FR007_1年!$A$6:$C$4395,2,0),"")</f>
        <v>3.4365</v>
      </c>
      <c r="I2499">
        <f>IFERROR(VLOOKUP($A2499,原始数据_利率互换_FR007_1年!$A$6:$C$4395,3,0),"")</f>
        <v>3.486</v>
      </c>
    </row>
    <row r="2500" spans="1:9">
      <c r="A2500" s="6">
        <v>41993</v>
      </c>
      <c r="B2500" t="str">
        <f>IFERROR(VLOOKUP($A2500,原始数据_收盘!$A$4:$G$3460,2,0),"")</f>
        <v/>
      </c>
      <c r="C2500" t="str">
        <f>IFERROR(VLOOKUP($A2500,原始数据_收盘!$A$4:$G$3460,3,0),"")</f>
        <v/>
      </c>
      <c r="D2500" t="str">
        <f>IFERROR(VLOOKUP($A2500,原始数据_收盘!$A$4:$G$3460,4,0),"")</f>
        <v/>
      </c>
      <c r="E2500" t="str">
        <f>IFERROR(VLOOKUP($A2500,原始数据_收盘!$A$4:$G$3460,5,0),"")</f>
        <v/>
      </c>
      <c r="F2500" t="str">
        <f>IFERROR(VLOOKUP($A2500,原始数据_收盘!$A$4:$G$3460,6,0),"")</f>
        <v/>
      </c>
      <c r="G2500" t="str">
        <f>IFERROR(VLOOKUP($A2500,原始数据_收盘!$A$4:$G$3460,7,0),"")</f>
        <v/>
      </c>
      <c r="H2500" t="str">
        <f>IFERROR(VLOOKUP($A2500,原始数据_利率互换_FR007_1年!$A$6:$C$4395,2,0),"")</f>
        <v/>
      </c>
      <c r="I2500" t="str">
        <f>IFERROR(VLOOKUP($A2500,原始数据_利率互换_FR007_1年!$A$6:$C$4395,3,0),"")</f>
        <v/>
      </c>
    </row>
    <row r="2501" spans="1:9">
      <c r="A2501" s="6">
        <v>41994</v>
      </c>
      <c r="B2501" t="str">
        <f>IFERROR(VLOOKUP($A2501,原始数据_收盘!$A$4:$G$3460,2,0),"")</f>
        <v/>
      </c>
      <c r="C2501" t="str">
        <f>IFERROR(VLOOKUP($A2501,原始数据_收盘!$A$4:$G$3460,3,0),"")</f>
        <v/>
      </c>
      <c r="D2501" t="str">
        <f>IFERROR(VLOOKUP($A2501,原始数据_收盘!$A$4:$G$3460,4,0),"")</f>
        <v/>
      </c>
      <c r="E2501" t="str">
        <f>IFERROR(VLOOKUP($A2501,原始数据_收盘!$A$4:$G$3460,5,0),"")</f>
        <v/>
      </c>
      <c r="F2501" t="str">
        <f>IFERROR(VLOOKUP($A2501,原始数据_收盘!$A$4:$G$3460,6,0),"")</f>
        <v/>
      </c>
      <c r="G2501" t="str">
        <f>IFERROR(VLOOKUP($A2501,原始数据_收盘!$A$4:$G$3460,7,0),"")</f>
        <v/>
      </c>
      <c r="H2501" t="str">
        <f>IFERROR(VLOOKUP($A2501,原始数据_利率互换_FR007_1年!$A$6:$C$4395,2,0),"")</f>
        <v/>
      </c>
      <c r="I2501" t="str">
        <f>IFERROR(VLOOKUP($A2501,原始数据_利率互换_FR007_1年!$A$6:$C$4395,3,0),"")</f>
        <v/>
      </c>
    </row>
    <row r="2502" spans="1:9">
      <c r="A2502" s="6">
        <v>41995</v>
      </c>
      <c r="B2502">
        <f>IFERROR(VLOOKUP($A2502,原始数据_收盘!$A$4:$G$3460,2,0),"")</f>
        <v>3.3538</v>
      </c>
      <c r="C2502">
        <f>IFERROR(VLOOKUP($A2502,原始数据_收盘!$A$4:$G$3460,3,0),"")</f>
        <v>3.4425</v>
      </c>
      <c r="D2502">
        <f>IFERROR(VLOOKUP($A2502,原始数据_收盘!$A$4:$G$3460,4,0),"")</f>
        <v>3.4063</v>
      </c>
      <c r="E2502">
        <f>IFERROR(VLOOKUP($A2502,原始数据_收盘!$A$4:$G$3460,5,0),"")</f>
        <v>3.4963</v>
      </c>
      <c r="F2502">
        <f>IFERROR(VLOOKUP($A2502,原始数据_收盘!$A$4:$G$3460,6,0),"")</f>
        <v>3.38</v>
      </c>
      <c r="G2502">
        <f>IFERROR(VLOOKUP($A2502,原始数据_收盘!$A$4:$G$3460,7,0),"")</f>
        <v>3.4694</v>
      </c>
      <c r="H2502">
        <f>IFERROR(VLOOKUP($A2502,原始数据_利率互换_FR007_1年!$A$6:$C$4395,2,0),"")</f>
        <v>3.3985</v>
      </c>
      <c r="I2502">
        <f>IFERROR(VLOOKUP($A2502,原始数据_利率互换_FR007_1年!$A$6:$C$4395,3,0),"")</f>
        <v>3.4564</v>
      </c>
    </row>
    <row r="2503" spans="1:9">
      <c r="A2503" s="6">
        <v>41996</v>
      </c>
      <c r="B2503">
        <f>IFERROR(VLOOKUP($A2503,原始数据_收盘!$A$4:$G$3460,2,0),"")</f>
        <v>3.3088</v>
      </c>
      <c r="C2503">
        <f>IFERROR(VLOOKUP($A2503,原始数据_收盘!$A$4:$G$3460,3,0),"")</f>
        <v>3.3913</v>
      </c>
      <c r="D2503">
        <f>IFERROR(VLOOKUP($A2503,原始数据_收盘!$A$4:$G$3460,4,0),"")</f>
        <v>3.3588</v>
      </c>
      <c r="E2503">
        <f>IFERROR(VLOOKUP($A2503,原始数据_收盘!$A$4:$G$3460,5,0),"")</f>
        <v>3.4463</v>
      </c>
      <c r="F2503">
        <f>IFERROR(VLOOKUP($A2503,原始数据_收盘!$A$4:$G$3460,6,0),"")</f>
        <v>3.3338</v>
      </c>
      <c r="G2503">
        <f>IFERROR(VLOOKUP($A2503,原始数据_收盘!$A$4:$G$3460,7,0),"")</f>
        <v>3.4188</v>
      </c>
      <c r="H2503">
        <f>IFERROR(VLOOKUP($A2503,原始数据_利率互换_FR007_1年!$A$6:$C$4395,2,0),"")</f>
        <v>3.326</v>
      </c>
      <c r="I2503">
        <f>IFERROR(VLOOKUP($A2503,原始数据_利率互换_FR007_1年!$A$6:$C$4395,3,0),"")</f>
        <v>3.4164</v>
      </c>
    </row>
    <row r="2504" spans="1:9">
      <c r="A2504" s="6">
        <v>41997</v>
      </c>
      <c r="B2504">
        <f>IFERROR(VLOOKUP($A2504,原始数据_收盘!$A$4:$G$3460,2,0),"")</f>
        <v>3.2367</v>
      </c>
      <c r="C2504">
        <f>IFERROR(VLOOKUP($A2504,原始数据_收盘!$A$4:$G$3460,3,0),"")</f>
        <v>3.3381</v>
      </c>
      <c r="D2504">
        <f>IFERROR(VLOOKUP($A2504,原始数据_收盘!$A$4:$G$3460,4,0),"")</f>
        <v>3.297</v>
      </c>
      <c r="E2504">
        <f>IFERROR(VLOOKUP($A2504,原始数据_收盘!$A$4:$G$3460,5,0),"")</f>
        <v>3.4003</v>
      </c>
      <c r="F2504">
        <f>IFERROR(VLOOKUP($A2504,原始数据_收盘!$A$4:$G$3460,6,0),"")</f>
        <v>3.2668</v>
      </c>
      <c r="G2504">
        <f>IFERROR(VLOOKUP($A2504,原始数据_收盘!$A$4:$G$3460,7,0),"")</f>
        <v>3.3692</v>
      </c>
      <c r="H2504">
        <f>IFERROR(VLOOKUP($A2504,原始数据_利率互换_FR007_1年!$A$6:$C$4395,2,0),"")</f>
        <v>3.2712</v>
      </c>
      <c r="I2504">
        <f>IFERROR(VLOOKUP($A2504,原始数据_利率互换_FR007_1年!$A$6:$C$4395,3,0),"")</f>
        <v>3.3788</v>
      </c>
    </row>
    <row r="2505" spans="1:9">
      <c r="A2505" s="6">
        <v>41998</v>
      </c>
      <c r="B2505">
        <f>IFERROR(VLOOKUP($A2505,原始数据_收盘!$A$4:$G$3460,2,0),"")</f>
        <v>3.2884</v>
      </c>
      <c r="C2505">
        <f>IFERROR(VLOOKUP($A2505,原始数据_收盘!$A$4:$G$3460,3,0),"")</f>
        <v>3.3963</v>
      </c>
      <c r="D2505">
        <f>IFERROR(VLOOKUP($A2505,原始数据_收盘!$A$4:$G$3460,4,0),"")</f>
        <v>3.3529</v>
      </c>
      <c r="E2505">
        <f>IFERROR(VLOOKUP($A2505,原始数据_收盘!$A$4:$G$3460,5,0),"")</f>
        <v>3.465</v>
      </c>
      <c r="F2505">
        <f>IFERROR(VLOOKUP($A2505,原始数据_收盘!$A$4:$G$3460,6,0),"")</f>
        <v>3.3206</v>
      </c>
      <c r="G2505">
        <f>IFERROR(VLOOKUP($A2505,原始数据_收盘!$A$4:$G$3460,7,0),"")</f>
        <v>3.4306</v>
      </c>
      <c r="H2505">
        <f>IFERROR(VLOOKUP($A2505,原始数据_利率互换_FR007_1年!$A$6:$C$4395,2,0),"")</f>
        <v>3.2909</v>
      </c>
      <c r="I2505">
        <f>IFERROR(VLOOKUP($A2505,原始数据_利率互换_FR007_1年!$A$6:$C$4395,3,0),"")</f>
        <v>3.4067</v>
      </c>
    </row>
    <row r="2506" spans="1:9">
      <c r="A2506" s="6">
        <v>41999</v>
      </c>
      <c r="B2506">
        <f>IFERROR(VLOOKUP($A2506,原始数据_收盘!$A$4:$G$3460,2,0),"")</f>
        <v>3.2775</v>
      </c>
      <c r="C2506">
        <f>IFERROR(VLOOKUP($A2506,原始数据_收盘!$A$4:$G$3460,3,0),"")</f>
        <v>3.3888</v>
      </c>
      <c r="D2506">
        <f>IFERROR(VLOOKUP($A2506,原始数据_收盘!$A$4:$G$3460,4,0),"")</f>
        <v>3.3275</v>
      </c>
      <c r="E2506">
        <f>IFERROR(VLOOKUP($A2506,原始数据_收盘!$A$4:$G$3460,5,0),"")</f>
        <v>3.4475</v>
      </c>
      <c r="F2506">
        <f>IFERROR(VLOOKUP($A2506,原始数据_收盘!$A$4:$G$3460,6,0),"")</f>
        <v>3.3025</v>
      </c>
      <c r="G2506">
        <f>IFERROR(VLOOKUP($A2506,原始数据_收盘!$A$4:$G$3460,7,0),"")</f>
        <v>3.4181</v>
      </c>
      <c r="H2506">
        <f>IFERROR(VLOOKUP($A2506,原始数据_利率互换_FR007_1年!$A$6:$C$4395,2,0),"")</f>
        <v>3.2969</v>
      </c>
      <c r="I2506">
        <f>IFERROR(VLOOKUP($A2506,原始数据_利率互换_FR007_1年!$A$6:$C$4395,3,0),"")</f>
        <v>3.4311</v>
      </c>
    </row>
    <row r="2507" spans="1:9">
      <c r="A2507" s="6">
        <v>42000</v>
      </c>
      <c r="B2507" t="str">
        <f>IFERROR(VLOOKUP($A2507,原始数据_收盘!$A$4:$G$3460,2,0),"")</f>
        <v/>
      </c>
      <c r="C2507" t="str">
        <f>IFERROR(VLOOKUP($A2507,原始数据_收盘!$A$4:$G$3460,3,0),"")</f>
        <v/>
      </c>
      <c r="D2507" t="str">
        <f>IFERROR(VLOOKUP($A2507,原始数据_收盘!$A$4:$G$3460,4,0),"")</f>
        <v/>
      </c>
      <c r="E2507" t="str">
        <f>IFERROR(VLOOKUP($A2507,原始数据_收盘!$A$4:$G$3460,5,0),"")</f>
        <v/>
      </c>
      <c r="F2507" t="str">
        <f>IFERROR(VLOOKUP($A2507,原始数据_收盘!$A$4:$G$3460,6,0),"")</f>
        <v/>
      </c>
      <c r="G2507" t="str">
        <f>IFERROR(VLOOKUP($A2507,原始数据_收盘!$A$4:$G$3460,7,0),"")</f>
        <v/>
      </c>
      <c r="H2507" t="str">
        <f>IFERROR(VLOOKUP($A2507,原始数据_利率互换_FR007_1年!$A$6:$C$4395,2,0),"")</f>
        <v/>
      </c>
      <c r="I2507" t="str">
        <f>IFERROR(VLOOKUP($A2507,原始数据_利率互换_FR007_1年!$A$6:$C$4395,3,0),"")</f>
        <v/>
      </c>
    </row>
    <row r="2508" spans="1:9">
      <c r="A2508" s="6">
        <v>42001</v>
      </c>
      <c r="B2508" t="str">
        <f>IFERROR(VLOOKUP($A2508,原始数据_收盘!$A$4:$G$3460,2,0),"")</f>
        <v/>
      </c>
      <c r="C2508" t="str">
        <f>IFERROR(VLOOKUP($A2508,原始数据_收盘!$A$4:$G$3460,3,0),"")</f>
        <v/>
      </c>
      <c r="D2508" t="str">
        <f>IFERROR(VLOOKUP($A2508,原始数据_收盘!$A$4:$G$3460,4,0),"")</f>
        <v/>
      </c>
      <c r="E2508" t="str">
        <f>IFERROR(VLOOKUP($A2508,原始数据_收盘!$A$4:$G$3460,5,0),"")</f>
        <v/>
      </c>
      <c r="F2508" t="str">
        <f>IFERROR(VLOOKUP($A2508,原始数据_收盘!$A$4:$G$3460,6,0),"")</f>
        <v/>
      </c>
      <c r="G2508" t="str">
        <f>IFERROR(VLOOKUP($A2508,原始数据_收盘!$A$4:$G$3460,7,0),"")</f>
        <v/>
      </c>
      <c r="H2508" t="str">
        <f>IFERROR(VLOOKUP($A2508,原始数据_利率互换_FR007_1年!$A$6:$C$4395,2,0),"")</f>
        <v/>
      </c>
      <c r="I2508" t="str">
        <f>IFERROR(VLOOKUP($A2508,原始数据_利率互换_FR007_1年!$A$6:$C$4395,3,0),"")</f>
        <v/>
      </c>
    </row>
    <row r="2509" spans="1:9">
      <c r="A2509" s="6">
        <v>42002</v>
      </c>
      <c r="B2509">
        <f>IFERROR(VLOOKUP($A2509,原始数据_收盘!$A$4:$G$3460,2,0),"")</f>
        <v>3.3152</v>
      </c>
      <c r="C2509">
        <f>IFERROR(VLOOKUP($A2509,原始数据_收盘!$A$4:$G$3460,3,0),"")</f>
        <v>3.4415</v>
      </c>
      <c r="D2509">
        <f>IFERROR(VLOOKUP($A2509,原始数据_收盘!$A$4:$G$3460,4,0),"")</f>
        <v>3.3807</v>
      </c>
      <c r="E2509">
        <f>IFERROR(VLOOKUP($A2509,原始数据_收盘!$A$4:$G$3460,5,0),"")</f>
        <v>3.5096</v>
      </c>
      <c r="F2509">
        <f>IFERROR(VLOOKUP($A2509,原始数据_收盘!$A$4:$G$3460,6,0),"")</f>
        <v>3.348</v>
      </c>
      <c r="G2509">
        <f>IFERROR(VLOOKUP($A2509,原始数据_收盘!$A$4:$G$3460,7,0),"")</f>
        <v>3.4756</v>
      </c>
      <c r="H2509">
        <f>IFERROR(VLOOKUP($A2509,原始数据_利率互换_FR007_1年!$A$6:$C$4395,2,0),"")</f>
        <v>3.357</v>
      </c>
      <c r="I2509">
        <f>IFERROR(VLOOKUP($A2509,原始数据_利率互换_FR007_1年!$A$6:$C$4395,3,0),"")</f>
        <v>3.4715</v>
      </c>
    </row>
    <row r="2510" spans="1:9">
      <c r="A2510" s="6">
        <v>42003</v>
      </c>
      <c r="B2510">
        <f>IFERROR(VLOOKUP($A2510,原始数据_收盘!$A$4:$G$3460,2,0),"")</f>
        <v>3.3841</v>
      </c>
      <c r="C2510">
        <f>IFERROR(VLOOKUP($A2510,原始数据_收盘!$A$4:$G$3460,3,0),"")</f>
        <v>3.5075</v>
      </c>
      <c r="D2510">
        <f>IFERROR(VLOOKUP($A2510,原始数据_收盘!$A$4:$G$3460,4,0),"")</f>
        <v>3.445</v>
      </c>
      <c r="E2510">
        <f>IFERROR(VLOOKUP($A2510,原始数据_收盘!$A$4:$G$3460,5,0),"")</f>
        <v>3.5738</v>
      </c>
      <c r="F2510">
        <f>IFERROR(VLOOKUP($A2510,原始数据_收盘!$A$4:$G$3460,6,0),"")</f>
        <v>3.4146</v>
      </c>
      <c r="G2510">
        <f>IFERROR(VLOOKUP($A2510,原始数据_收盘!$A$4:$G$3460,7,0),"")</f>
        <v>3.5406</v>
      </c>
      <c r="H2510">
        <f>IFERROR(VLOOKUP($A2510,原始数据_利率互换_FR007_1年!$A$6:$C$4395,2,0),"")</f>
        <v>3.3975</v>
      </c>
      <c r="I2510">
        <f>IFERROR(VLOOKUP($A2510,原始数据_利率互换_FR007_1年!$A$6:$C$4395,3,0),"")</f>
        <v>3.5331</v>
      </c>
    </row>
    <row r="2511" spans="1:9">
      <c r="A2511" s="6">
        <v>42004</v>
      </c>
      <c r="B2511">
        <f>IFERROR(VLOOKUP($A2511,原始数据_收盘!$A$4:$G$3460,2,0),"")</f>
        <v>3.3875</v>
      </c>
      <c r="C2511">
        <f>IFERROR(VLOOKUP($A2511,原始数据_收盘!$A$4:$G$3460,3,0),"")</f>
        <v>3.505</v>
      </c>
      <c r="D2511">
        <f>IFERROR(VLOOKUP($A2511,原始数据_收盘!$A$4:$G$3460,4,0),"")</f>
        <v>3.4413</v>
      </c>
      <c r="E2511">
        <f>IFERROR(VLOOKUP($A2511,原始数据_收盘!$A$4:$G$3460,5,0),"")</f>
        <v>3.5588</v>
      </c>
      <c r="F2511">
        <f>IFERROR(VLOOKUP($A2511,原始数据_收盘!$A$4:$G$3460,6,0),"")</f>
        <v>3.4144</v>
      </c>
      <c r="G2511">
        <f>IFERROR(VLOOKUP($A2511,原始数据_收盘!$A$4:$G$3460,7,0),"")</f>
        <v>3.5319</v>
      </c>
      <c r="H2511">
        <f>IFERROR(VLOOKUP($A2511,原始数据_利率互换_FR007_1年!$A$6:$C$4395,2,0),"")</f>
        <v>3.4172</v>
      </c>
      <c r="I2511">
        <f>IFERROR(VLOOKUP($A2511,原始数据_利率互换_FR007_1年!$A$6:$C$4395,3,0),"")</f>
        <v>3.54</v>
      </c>
    </row>
    <row r="2512" spans="1:9">
      <c r="A2512" s="6">
        <v>42005</v>
      </c>
      <c r="B2512" t="str">
        <f>IFERROR(VLOOKUP($A2512,原始数据_收盘!$A$4:$G$3460,2,0),"")</f>
        <v/>
      </c>
      <c r="C2512" t="str">
        <f>IFERROR(VLOOKUP($A2512,原始数据_收盘!$A$4:$G$3460,3,0),"")</f>
        <v/>
      </c>
      <c r="D2512" t="str">
        <f>IFERROR(VLOOKUP($A2512,原始数据_收盘!$A$4:$G$3460,4,0),"")</f>
        <v/>
      </c>
      <c r="E2512" t="str">
        <f>IFERROR(VLOOKUP($A2512,原始数据_收盘!$A$4:$G$3460,5,0),"")</f>
        <v/>
      </c>
      <c r="F2512" t="str">
        <f>IFERROR(VLOOKUP($A2512,原始数据_收盘!$A$4:$G$3460,6,0),"")</f>
        <v/>
      </c>
      <c r="G2512" t="str">
        <f>IFERROR(VLOOKUP($A2512,原始数据_收盘!$A$4:$G$3460,7,0),"")</f>
        <v/>
      </c>
      <c r="H2512" t="str">
        <f>IFERROR(VLOOKUP($A2512,原始数据_利率互换_FR007_1年!$A$6:$C$4395,2,0),"")</f>
        <v/>
      </c>
      <c r="I2512" t="str">
        <f>IFERROR(VLOOKUP($A2512,原始数据_利率互换_FR007_1年!$A$6:$C$4395,3,0),"")</f>
        <v/>
      </c>
    </row>
    <row r="2513" spans="1:9">
      <c r="A2513" s="6">
        <v>42006</v>
      </c>
      <c r="B2513" t="str">
        <f>IFERROR(VLOOKUP($A2513,原始数据_收盘!$A$4:$G$3460,2,0),"")</f>
        <v/>
      </c>
      <c r="C2513" t="str">
        <f>IFERROR(VLOOKUP($A2513,原始数据_收盘!$A$4:$G$3460,3,0),"")</f>
        <v/>
      </c>
      <c r="D2513" t="str">
        <f>IFERROR(VLOOKUP($A2513,原始数据_收盘!$A$4:$G$3460,4,0),"")</f>
        <v/>
      </c>
      <c r="E2513" t="str">
        <f>IFERROR(VLOOKUP($A2513,原始数据_收盘!$A$4:$G$3460,5,0),"")</f>
        <v/>
      </c>
      <c r="F2513" t="str">
        <f>IFERROR(VLOOKUP($A2513,原始数据_收盘!$A$4:$G$3460,6,0),"")</f>
        <v/>
      </c>
      <c r="G2513" t="str">
        <f>IFERROR(VLOOKUP($A2513,原始数据_收盘!$A$4:$G$3460,7,0),"")</f>
        <v/>
      </c>
      <c r="H2513" t="str">
        <f>IFERROR(VLOOKUP($A2513,原始数据_利率互换_FR007_1年!$A$6:$C$4395,2,0),"")</f>
        <v/>
      </c>
      <c r="I2513" t="str">
        <f>IFERROR(VLOOKUP($A2513,原始数据_利率互换_FR007_1年!$A$6:$C$4395,3,0),"")</f>
        <v/>
      </c>
    </row>
    <row r="2514" spans="1:9">
      <c r="A2514" s="6">
        <v>42007</v>
      </c>
      <c r="B2514" t="str">
        <f>IFERROR(VLOOKUP($A2514,原始数据_收盘!$A$4:$G$3460,2,0),"")</f>
        <v/>
      </c>
      <c r="C2514" t="str">
        <f>IFERROR(VLOOKUP($A2514,原始数据_收盘!$A$4:$G$3460,3,0),"")</f>
        <v/>
      </c>
      <c r="D2514" t="str">
        <f>IFERROR(VLOOKUP($A2514,原始数据_收盘!$A$4:$G$3460,4,0),"")</f>
        <v/>
      </c>
      <c r="E2514" t="str">
        <f>IFERROR(VLOOKUP($A2514,原始数据_收盘!$A$4:$G$3460,5,0),"")</f>
        <v/>
      </c>
      <c r="F2514" t="str">
        <f>IFERROR(VLOOKUP($A2514,原始数据_收盘!$A$4:$G$3460,6,0),"")</f>
        <v/>
      </c>
      <c r="G2514" t="str">
        <f>IFERROR(VLOOKUP($A2514,原始数据_收盘!$A$4:$G$3460,7,0),"")</f>
        <v/>
      </c>
      <c r="H2514" t="str">
        <f>IFERROR(VLOOKUP($A2514,原始数据_利率互换_FR007_1年!$A$6:$C$4395,2,0),"")</f>
        <v/>
      </c>
      <c r="I2514" t="str">
        <f>IFERROR(VLOOKUP($A2514,原始数据_利率互换_FR007_1年!$A$6:$C$4395,3,0),"")</f>
        <v/>
      </c>
    </row>
    <row r="2515" spans="1:9">
      <c r="A2515" s="6">
        <v>42008</v>
      </c>
      <c r="B2515">
        <f>IFERROR(VLOOKUP($A2515,原始数据_收盘!$A$4:$G$3460,2,0),"")</f>
        <v>3.4385</v>
      </c>
      <c r="C2515">
        <f>IFERROR(VLOOKUP($A2515,原始数据_收盘!$A$4:$G$3460,3,0),"")</f>
        <v>3.527</v>
      </c>
      <c r="D2515">
        <f>IFERROR(VLOOKUP($A2515,原始数据_收盘!$A$4:$G$3460,4,0),"")</f>
        <v>3.4945</v>
      </c>
      <c r="E2515">
        <f>IFERROR(VLOOKUP($A2515,原始数据_收盘!$A$4:$G$3460,5,0),"")</f>
        <v>3.5907</v>
      </c>
      <c r="F2515">
        <f>IFERROR(VLOOKUP($A2515,原始数据_收盘!$A$4:$G$3460,6,0),"")</f>
        <v>3.4665</v>
      </c>
      <c r="G2515">
        <f>IFERROR(VLOOKUP($A2515,原始数据_收盘!$A$4:$G$3460,7,0),"")</f>
        <v>3.5588</v>
      </c>
      <c r="H2515">
        <f>IFERROR(VLOOKUP($A2515,原始数据_利率互换_FR007_1年!$A$6:$C$4395,2,0),"")</f>
        <v>3.4618</v>
      </c>
      <c r="I2515">
        <f>IFERROR(VLOOKUP($A2515,原始数据_利率互换_FR007_1年!$A$6:$C$4395,3,0),"")</f>
        <v>3.5571</v>
      </c>
    </row>
    <row r="2516" spans="1:9">
      <c r="A2516" s="6">
        <v>42009</v>
      </c>
      <c r="B2516">
        <f>IFERROR(VLOOKUP($A2516,原始数据_收盘!$A$4:$G$3460,2,0),"")</f>
        <v>3.4011</v>
      </c>
      <c r="C2516">
        <f>IFERROR(VLOOKUP($A2516,原始数据_收盘!$A$4:$G$3460,3,0),"")</f>
        <v>3.4867</v>
      </c>
      <c r="D2516">
        <f>IFERROR(VLOOKUP($A2516,原始数据_收盘!$A$4:$G$3460,4,0),"")</f>
        <v>3.46</v>
      </c>
      <c r="E2516">
        <f>IFERROR(VLOOKUP($A2516,原始数据_收盘!$A$4:$G$3460,5,0),"")</f>
        <v>3.543</v>
      </c>
      <c r="F2516">
        <f>IFERROR(VLOOKUP($A2516,原始数据_收盘!$A$4:$G$3460,6,0),"")</f>
        <v>3.4305</v>
      </c>
      <c r="G2516">
        <f>IFERROR(VLOOKUP($A2516,原始数据_收盘!$A$4:$G$3460,7,0),"")</f>
        <v>3.5148</v>
      </c>
      <c r="H2516">
        <f>IFERROR(VLOOKUP($A2516,原始数据_利率互换_FR007_1年!$A$6:$C$4395,2,0),"")</f>
        <v>3.433</v>
      </c>
      <c r="I2516">
        <f>IFERROR(VLOOKUP($A2516,原始数据_利率互换_FR007_1年!$A$6:$C$4395,3,0),"")</f>
        <v>3.5167</v>
      </c>
    </row>
    <row r="2517" spans="1:9">
      <c r="A2517" s="6">
        <v>42010</v>
      </c>
      <c r="B2517">
        <f>IFERROR(VLOOKUP($A2517,原始数据_收盘!$A$4:$G$3460,2,0),"")</f>
        <v>3.3914</v>
      </c>
      <c r="C2517">
        <f>IFERROR(VLOOKUP($A2517,原始数据_收盘!$A$4:$G$3460,3,0),"")</f>
        <v>3.4755</v>
      </c>
      <c r="D2517">
        <f>IFERROR(VLOOKUP($A2517,原始数据_收盘!$A$4:$G$3460,4,0),"")</f>
        <v>3.4459</v>
      </c>
      <c r="E2517">
        <f>IFERROR(VLOOKUP($A2517,原始数据_收盘!$A$4:$G$3460,5,0),"")</f>
        <v>3.5309</v>
      </c>
      <c r="F2517">
        <f>IFERROR(VLOOKUP($A2517,原始数据_收盘!$A$4:$G$3460,6,0),"")</f>
        <v>3.4186</v>
      </c>
      <c r="G2517">
        <f>IFERROR(VLOOKUP($A2517,原始数据_收盘!$A$4:$G$3460,7,0),"")</f>
        <v>3.5032</v>
      </c>
      <c r="H2517">
        <f>IFERROR(VLOOKUP($A2517,原始数据_利率互换_FR007_1年!$A$6:$C$4395,2,0),"")</f>
        <v>3.4158</v>
      </c>
      <c r="I2517">
        <f>IFERROR(VLOOKUP($A2517,原始数据_利率互换_FR007_1年!$A$6:$C$4395,3,0),"")</f>
        <v>3.4965</v>
      </c>
    </row>
    <row r="2518" spans="1:9">
      <c r="A2518" s="6">
        <v>42011</v>
      </c>
      <c r="B2518">
        <f>IFERROR(VLOOKUP($A2518,原始数据_收盘!$A$4:$G$3460,2,0),"")</f>
        <v>3.3728</v>
      </c>
      <c r="C2518">
        <f>IFERROR(VLOOKUP($A2518,原始数据_收盘!$A$4:$G$3460,3,0),"")</f>
        <v>3.4569</v>
      </c>
      <c r="D2518">
        <f>IFERROR(VLOOKUP($A2518,原始数据_收盘!$A$4:$G$3460,4,0),"")</f>
        <v>3.431</v>
      </c>
      <c r="E2518">
        <f>IFERROR(VLOOKUP($A2518,原始数据_收盘!$A$4:$G$3460,5,0),"")</f>
        <v>3.5152</v>
      </c>
      <c r="F2518">
        <f>IFERROR(VLOOKUP($A2518,原始数据_收盘!$A$4:$G$3460,6,0),"")</f>
        <v>3.4019</v>
      </c>
      <c r="G2518">
        <f>IFERROR(VLOOKUP($A2518,原始数据_收盘!$A$4:$G$3460,7,0),"")</f>
        <v>3.486</v>
      </c>
      <c r="H2518">
        <f>IFERROR(VLOOKUP($A2518,原始数据_利率互换_FR007_1年!$A$6:$C$4395,2,0),"")</f>
        <v>3.3878</v>
      </c>
      <c r="I2518">
        <f>IFERROR(VLOOKUP($A2518,原始数据_利率互换_FR007_1年!$A$6:$C$4395,3,0),"")</f>
        <v>3.4763</v>
      </c>
    </row>
    <row r="2519" spans="1:9">
      <c r="A2519" s="6">
        <v>42012</v>
      </c>
      <c r="B2519">
        <f>IFERROR(VLOOKUP($A2519,原始数据_收盘!$A$4:$G$3460,2,0),"")</f>
        <v>3.3663</v>
      </c>
      <c r="C2519">
        <f>IFERROR(VLOOKUP($A2519,原始数据_收盘!$A$4:$G$3460,3,0),"")</f>
        <v>3.44</v>
      </c>
      <c r="D2519">
        <f>IFERROR(VLOOKUP($A2519,原始数据_收盘!$A$4:$G$3460,4,0),"")</f>
        <v>3.4167</v>
      </c>
      <c r="E2519">
        <f>IFERROR(VLOOKUP($A2519,原始数据_收盘!$A$4:$G$3460,5,0),"")</f>
        <v>3.4942</v>
      </c>
      <c r="F2519">
        <f>IFERROR(VLOOKUP($A2519,原始数据_收盘!$A$4:$G$3460,6,0),"")</f>
        <v>3.3915</v>
      </c>
      <c r="G2519">
        <f>IFERROR(VLOOKUP($A2519,原始数据_收盘!$A$4:$G$3460,7,0),"")</f>
        <v>3.4671</v>
      </c>
      <c r="H2519">
        <f>IFERROR(VLOOKUP($A2519,原始数据_利率互换_FR007_1年!$A$6:$C$4395,2,0),"")</f>
        <v>3.3864</v>
      </c>
      <c r="I2519">
        <f>IFERROR(VLOOKUP($A2519,原始数据_利率互换_FR007_1年!$A$6:$C$4395,3,0),"")</f>
        <v>3.4665</v>
      </c>
    </row>
    <row r="2520" spans="1:9">
      <c r="A2520" s="6">
        <v>42013</v>
      </c>
      <c r="B2520">
        <f>IFERROR(VLOOKUP($A2520,原始数据_收盘!$A$4:$G$3460,2,0),"")</f>
        <v>3.3677</v>
      </c>
      <c r="C2520">
        <f>IFERROR(VLOOKUP($A2520,原始数据_收盘!$A$4:$G$3460,3,0),"")</f>
        <v>3.4385</v>
      </c>
      <c r="D2520">
        <f>IFERROR(VLOOKUP($A2520,原始数据_收盘!$A$4:$G$3460,4,0),"")</f>
        <v>3.4272</v>
      </c>
      <c r="E2520">
        <f>IFERROR(VLOOKUP($A2520,原始数据_收盘!$A$4:$G$3460,5,0),"")</f>
        <v>3.4987</v>
      </c>
      <c r="F2520">
        <f>IFERROR(VLOOKUP($A2520,原始数据_收盘!$A$4:$G$3460,6,0),"")</f>
        <v>3.3974</v>
      </c>
      <c r="G2520">
        <f>IFERROR(VLOOKUP($A2520,原始数据_收盘!$A$4:$G$3460,7,0),"")</f>
        <v>3.4686</v>
      </c>
      <c r="H2520">
        <f>IFERROR(VLOOKUP($A2520,原始数据_利率互换_FR007_1年!$A$6:$C$4395,2,0),"")</f>
        <v>3.3877</v>
      </c>
      <c r="I2520">
        <f>IFERROR(VLOOKUP($A2520,原始数据_利率互换_FR007_1年!$A$6:$C$4395,3,0),"")</f>
        <v>3.4488</v>
      </c>
    </row>
    <row r="2521" spans="1:9">
      <c r="A2521" s="6">
        <v>42014</v>
      </c>
      <c r="B2521" t="str">
        <f>IFERROR(VLOOKUP($A2521,原始数据_收盘!$A$4:$G$3460,2,0),"")</f>
        <v/>
      </c>
      <c r="C2521" t="str">
        <f>IFERROR(VLOOKUP($A2521,原始数据_收盘!$A$4:$G$3460,3,0),"")</f>
        <v/>
      </c>
      <c r="D2521" t="str">
        <f>IFERROR(VLOOKUP($A2521,原始数据_收盘!$A$4:$G$3460,4,0),"")</f>
        <v/>
      </c>
      <c r="E2521" t="str">
        <f>IFERROR(VLOOKUP($A2521,原始数据_收盘!$A$4:$G$3460,5,0),"")</f>
        <v/>
      </c>
      <c r="F2521" t="str">
        <f>IFERROR(VLOOKUP($A2521,原始数据_收盘!$A$4:$G$3460,6,0),"")</f>
        <v/>
      </c>
      <c r="G2521" t="str">
        <f>IFERROR(VLOOKUP($A2521,原始数据_收盘!$A$4:$G$3460,7,0),"")</f>
        <v/>
      </c>
      <c r="H2521" t="str">
        <f>IFERROR(VLOOKUP($A2521,原始数据_利率互换_FR007_1年!$A$6:$C$4395,2,0),"")</f>
        <v/>
      </c>
      <c r="I2521" t="str">
        <f>IFERROR(VLOOKUP($A2521,原始数据_利率互换_FR007_1年!$A$6:$C$4395,3,0),"")</f>
        <v/>
      </c>
    </row>
    <row r="2522" spans="1:9">
      <c r="A2522" s="6">
        <v>42015</v>
      </c>
      <c r="B2522" t="str">
        <f>IFERROR(VLOOKUP($A2522,原始数据_收盘!$A$4:$G$3460,2,0),"")</f>
        <v/>
      </c>
      <c r="C2522" t="str">
        <f>IFERROR(VLOOKUP($A2522,原始数据_收盘!$A$4:$G$3460,3,0),"")</f>
        <v/>
      </c>
      <c r="D2522" t="str">
        <f>IFERROR(VLOOKUP($A2522,原始数据_收盘!$A$4:$G$3460,4,0),"")</f>
        <v/>
      </c>
      <c r="E2522" t="str">
        <f>IFERROR(VLOOKUP($A2522,原始数据_收盘!$A$4:$G$3460,5,0),"")</f>
        <v/>
      </c>
      <c r="F2522" t="str">
        <f>IFERROR(VLOOKUP($A2522,原始数据_收盘!$A$4:$G$3460,6,0),"")</f>
        <v/>
      </c>
      <c r="G2522" t="str">
        <f>IFERROR(VLOOKUP($A2522,原始数据_收盘!$A$4:$G$3460,7,0),"")</f>
        <v/>
      </c>
      <c r="H2522" t="str">
        <f>IFERROR(VLOOKUP($A2522,原始数据_利率互换_FR007_1年!$A$6:$C$4395,2,0),"")</f>
        <v/>
      </c>
      <c r="I2522" t="str">
        <f>IFERROR(VLOOKUP($A2522,原始数据_利率互换_FR007_1年!$A$6:$C$4395,3,0),"")</f>
        <v/>
      </c>
    </row>
    <row r="2523" spans="1:9">
      <c r="A2523" s="6">
        <v>42016</v>
      </c>
      <c r="B2523">
        <f>IFERROR(VLOOKUP($A2523,原始数据_收盘!$A$4:$G$3460,2,0),"")</f>
        <v>3.3937</v>
      </c>
      <c r="C2523">
        <f>IFERROR(VLOOKUP($A2523,原始数据_收盘!$A$4:$G$3460,3,0),"")</f>
        <v>3.4381</v>
      </c>
      <c r="D2523">
        <f>IFERROR(VLOOKUP($A2523,原始数据_收盘!$A$4:$G$3460,4,0),"")</f>
        <v>3.4533</v>
      </c>
      <c r="E2523">
        <f>IFERROR(VLOOKUP($A2523,原始数据_收盘!$A$4:$G$3460,5,0),"")</f>
        <v>3.4996</v>
      </c>
      <c r="F2523">
        <f>IFERROR(VLOOKUP($A2523,原始数据_收盘!$A$4:$G$3460,6,0),"")</f>
        <v>3.4235</v>
      </c>
      <c r="G2523">
        <f>IFERROR(VLOOKUP($A2523,原始数据_收盘!$A$4:$G$3460,7,0),"")</f>
        <v>3.4689</v>
      </c>
      <c r="H2523">
        <f>IFERROR(VLOOKUP($A2523,原始数据_利率互换_FR007_1年!$A$6:$C$4395,2,0),"")</f>
        <v>3.416</v>
      </c>
      <c r="I2523">
        <f>IFERROR(VLOOKUP($A2523,原始数据_利率互换_FR007_1年!$A$6:$C$4395,3,0),"")</f>
        <v>3.4557</v>
      </c>
    </row>
    <row r="2524" spans="1:9">
      <c r="A2524" s="6">
        <v>42017</v>
      </c>
      <c r="B2524">
        <f>IFERROR(VLOOKUP($A2524,原始数据_收盘!$A$4:$G$3460,2,0),"")</f>
        <v>3.29</v>
      </c>
      <c r="C2524">
        <f>IFERROR(VLOOKUP($A2524,原始数据_收盘!$A$4:$G$3460,3,0),"")</f>
        <v>3.321</v>
      </c>
      <c r="D2524">
        <f>IFERROR(VLOOKUP($A2524,原始数据_收盘!$A$4:$G$3460,4,0),"")</f>
        <v>3.351</v>
      </c>
      <c r="E2524">
        <f>IFERROR(VLOOKUP($A2524,原始数据_收盘!$A$4:$G$3460,5,0),"")</f>
        <v>3.386</v>
      </c>
      <c r="F2524">
        <f>IFERROR(VLOOKUP($A2524,原始数据_收盘!$A$4:$G$3460,6,0),"")</f>
        <v>3.3205</v>
      </c>
      <c r="G2524">
        <f>IFERROR(VLOOKUP($A2524,原始数据_收盘!$A$4:$G$3460,7,0),"")</f>
        <v>3.3535</v>
      </c>
      <c r="H2524">
        <f>IFERROR(VLOOKUP($A2524,原始数据_利率互换_FR007_1年!$A$6:$C$4395,2,0),"")</f>
        <v>3.357</v>
      </c>
      <c r="I2524">
        <f>IFERROR(VLOOKUP($A2524,原始数据_利率互换_FR007_1年!$A$6:$C$4395,3,0),"")</f>
        <v>3.3929</v>
      </c>
    </row>
    <row r="2525" spans="1:9">
      <c r="A2525" s="6">
        <v>42018</v>
      </c>
      <c r="B2525">
        <f>IFERROR(VLOOKUP($A2525,原始数据_收盘!$A$4:$G$3460,2,0),"")</f>
        <v>3.2478</v>
      </c>
      <c r="C2525">
        <f>IFERROR(VLOOKUP($A2525,原始数据_收盘!$A$4:$G$3460,3,0),"")</f>
        <v>3.26</v>
      </c>
      <c r="D2525">
        <f>IFERROR(VLOOKUP($A2525,原始数据_收盘!$A$4:$G$3460,4,0),"")</f>
        <v>3.306</v>
      </c>
      <c r="E2525">
        <f>IFERROR(VLOOKUP($A2525,原始数据_收盘!$A$4:$G$3460,5,0),"")</f>
        <v>3.3222</v>
      </c>
      <c r="F2525">
        <f>IFERROR(VLOOKUP($A2525,原始数据_收盘!$A$4:$G$3460,6,0),"")</f>
        <v>3.2769</v>
      </c>
      <c r="G2525">
        <f>IFERROR(VLOOKUP($A2525,原始数据_收盘!$A$4:$G$3460,7,0),"")</f>
        <v>3.2911</v>
      </c>
      <c r="H2525">
        <f>IFERROR(VLOOKUP($A2525,原始数据_利率互换_FR007_1年!$A$6:$C$4395,2,0),"")</f>
        <v>3.2761</v>
      </c>
      <c r="I2525">
        <f>IFERROR(VLOOKUP($A2525,原始数据_利率互换_FR007_1年!$A$6:$C$4395,3,0),"")</f>
        <v>3.2881</v>
      </c>
    </row>
    <row r="2526" spans="1:9">
      <c r="A2526" s="6">
        <v>42019</v>
      </c>
      <c r="B2526">
        <f>IFERROR(VLOOKUP($A2526,原始数据_收盘!$A$4:$G$3460,2,0),"")</f>
        <v>3.2791</v>
      </c>
      <c r="C2526">
        <f>IFERROR(VLOOKUP($A2526,原始数据_收盘!$A$4:$G$3460,3,0),"")</f>
        <v>3.3155</v>
      </c>
      <c r="D2526">
        <f>IFERROR(VLOOKUP($A2526,原始数据_收盘!$A$4:$G$3460,4,0),"")</f>
        <v>3.3348</v>
      </c>
      <c r="E2526">
        <f>IFERROR(VLOOKUP($A2526,原始数据_收盘!$A$4:$G$3460,5,0),"")</f>
        <v>3.3739</v>
      </c>
      <c r="F2526">
        <f>IFERROR(VLOOKUP($A2526,原始数据_收盘!$A$4:$G$3460,6,0),"")</f>
        <v>3.307</v>
      </c>
      <c r="G2526">
        <f>IFERROR(VLOOKUP($A2526,原始数据_收盘!$A$4:$G$3460,7,0),"")</f>
        <v>3.3447</v>
      </c>
      <c r="H2526">
        <f>IFERROR(VLOOKUP($A2526,原始数据_利率互换_FR007_1年!$A$6:$C$4395,2,0),"")</f>
        <v>3.2886</v>
      </c>
      <c r="I2526">
        <f>IFERROR(VLOOKUP($A2526,原始数据_利率互换_FR007_1年!$A$6:$C$4395,3,0),"")</f>
        <v>3.3233</v>
      </c>
    </row>
    <row r="2527" spans="1:9">
      <c r="A2527" s="6">
        <v>42020</v>
      </c>
      <c r="B2527">
        <f>IFERROR(VLOOKUP($A2527,原始数据_收盘!$A$4:$G$3460,2,0),"")</f>
        <v>3.23</v>
      </c>
      <c r="C2527">
        <f>IFERROR(VLOOKUP($A2527,原始数据_收盘!$A$4:$G$3460,3,0),"")</f>
        <v>3.2467</v>
      </c>
      <c r="D2527">
        <f>IFERROR(VLOOKUP($A2527,原始数据_收盘!$A$4:$G$3460,4,0),"")</f>
        <v>3.2854</v>
      </c>
      <c r="E2527">
        <f>IFERROR(VLOOKUP($A2527,原始数据_收盘!$A$4:$G$3460,5,0),"")</f>
        <v>3.3046</v>
      </c>
      <c r="F2527">
        <f>IFERROR(VLOOKUP($A2527,原始数据_收盘!$A$4:$G$3460,6,0),"")</f>
        <v>3.2577</v>
      </c>
      <c r="G2527">
        <f>IFERROR(VLOOKUP($A2527,原始数据_收盘!$A$4:$G$3460,7,0),"")</f>
        <v>3.2756</v>
      </c>
      <c r="H2527">
        <f>IFERROR(VLOOKUP($A2527,原始数据_利率互换_FR007_1年!$A$6:$C$4395,2,0),"")</f>
        <v>3.2634</v>
      </c>
      <c r="I2527">
        <f>IFERROR(VLOOKUP($A2527,原始数据_利率互换_FR007_1年!$A$6:$C$4395,3,0),"")</f>
        <v>3.2841</v>
      </c>
    </row>
    <row r="2528" spans="1:9">
      <c r="A2528" s="6">
        <v>42021</v>
      </c>
      <c r="B2528" t="str">
        <f>IFERROR(VLOOKUP($A2528,原始数据_收盘!$A$4:$G$3460,2,0),"")</f>
        <v/>
      </c>
      <c r="C2528" t="str">
        <f>IFERROR(VLOOKUP($A2528,原始数据_收盘!$A$4:$G$3460,3,0),"")</f>
        <v/>
      </c>
      <c r="D2528" t="str">
        <f>IFERROR(VLOOKUP($A2528,原始数据_收盘!$A$4:$G$3460,4,0),"")</f>
        <v/>
      </c>
      <c r="E2528" t="str">
        <f>IFERROR(VLOOKUP($A2528,原始数据_收盘!$A$4:$G$3460,5,0),"")</f>
        <v/>
      </c>
      <c r="F2528" t="str">
        <f>IFERROR(VLOOKUP($A2528,原始数据_收盘!$A$4:$G$3460,6,0),"")</f>
        <v/>
      </c>
      <c r="G2528" t="str">
        <f>IFERROR(VLOOKUP($A2528,原始数据_收盘!$A$4:$G$3460,7,0),"")</f>
        <v/>
      </c>
      <c r="H2528" t="str">
        <f>IFERROR(VLOOKUP($A2528,原始数据_利率互换_FR007_1年!$A$6:$C$4395,2,0),"")</f>
        <v/>
      </c>
      <c r="I2528" t="str">
        <f>IFERROR(VLOOKUP($A2528,原始数据_利率互换_FR007_1年!$A$6:$C$4395,3,0),"")</f>
        <v/>
      </c>
    </row>
    <row r="2529" spans="1:9">
      <c r="A2529" s="6">
        <v>42022</v>
      </c>
      <c r="B2529" t="str">
        <f>IFERROR(VLOOKUP($A2529,原始数据_收盘!$A$4:$G$3460,2,0),"")</f>
        <v/>
      </c>
      <c r="C2529" t="str">
        <f>IFERROR(VLOOKUP($A2529,原始数据_收盘!$A$4:$G$3460,3,0),"")</f>
        <v/>
      </c>
      <c r="D2529" t="str">
        <f>IFERROR(VLOOKUP($A2529,原始数据_收盘!$A$4:$G$3460,4,0),"")</f>
        <v/>
      </c>
      <c r="E2529" t="str">
        <f>IFERROR(VLOOKUP($A2529,原始数据_收盘!$A$4:$G$3460,5,0),"")</f>
        <v/>
      </c>
      <c r="F2529" t="str">
        <f>IFERROR(VLOOKUP($A2529,原始数据_收盘!$A$4:$G$3460,6,0),"")</f>
        <v/>
      </c>
      <c r="G2529" t="str">
        <f>IFERROR(VLOOKUP($A2529,原始数据_收盘!$A$4:$G$3460,7,0),"")</f>
        <v/>
      </c>
      <c r="H2529" t="str">
        <f>IFERROR(VLOOKUP($A2529,原始数据_利率互换_FR007_1年!$A$6:$C$4395,2,0),"")</f>
        <v/>
      </c>
      <c r="I2529" t="str">
        <f>IFERROR(VLOOKUP($A2529,原始数据_利率互换_FR007_1年!$A$6:$C$4395,3,0),"")</f>
        <v/>
      </c>
    </row>
    <row r="2530" spans="1:9">
      <c r="A2530" s="6">
        <v>42023</v>
      </c>
      <c r="B2530">
        <f>IFERROR(VLOOKUP($A2530,原始数据_收盘!$A$4:$G$3460,2,0),"")</f>
        <v>3.1978</v>
      </c>
      <c r="C2530">
        <f>IFERROR(VLOOKUP($A2530,原始数据_收盘!$A$4:$G$3460,3,0),"")</f>
        <v>3.2078</v>
      </c>
      <c r="D2530">
        <f>IFERROR(VLOOKUP($A2530,原始数据_收盘!$A$4:$G$3460,4,0),"")</f>
        <v>3.2603</v>
      </c>
      <c r="E2530">
        <f>IFERROR(VLOOKUP($A2530,原始数据_收盘!$A$4:$G$3460,5,0),"")</f>
        <v>3.2737</v>
      </c>
      <c r="F2530">
        <f>IFERROR(VLOOKUP($A2530,原始数据_收盘!$A$4:$G$3460,6,0),"")</f>
        <v>3.2291</v>
      </c>
      <c r="G2530">
        <f>IFERROR(VLOOKUP($A2530,原始数据_收盘!$A$4:$G$3460,7,0),"")</f>
        <v>3.2407</v>
      </c>
      <c r="H2530">
        <f>IFERROR(VLOOKUP($A2530,原始数据_利率互换_FR007_1年!$A$6:$C$4395,2,0),"")</f>
        <v>3.2528</v>
      </c>
      <c r="I2530">
        <f>IFERROR(VLOOKUP($A2530,原始数据_利率互换_FR007_1年!$A$6:$C$4395,3,0),"")</f>
        <v>3.2643</v>
      </c>
    </row>
    <row r="2531" spans="1:9">
      <c r="A2531" s="6">
        <v>42024</v>
      </c>
      <c r="B2531">
        <f>IFERROR(VLOOKUP($A2531,原始数据_收盘!$A$4:$G$3460,2,0),"")</f>
        <v>3.1978</v>
      </c>
      <c r="C2531">
        <f>IFERROR(VLOOKUP($A2531,原始数据_收盘!$A$4:$G$3460,3,0),"")</f>
        <v>3.2137</v>
      </c>
      <c r="D2531">
        <f>IFERROR(VLOOKUP($A2531,原始数据_收盘!$A$4:$G$3460,4,0),"")</f>
        <v>3.2511</v>
      </c>
      <c r="E2531">
        <f>IFERROR(VLOOKUP($A2531,原始数据_收盘!$A$4:$G$3460,5,0),"")</f>
        <v>3.2744</v>
      </c>
      <c r="F2531">
        <f>IFERROR(VLOOKUP($A2531,原始数据_收盘!$A$4:$G$3460,6,0),"")</f>
        <v>3.2244</v>
      </c>
      <c r="G2531">
        <f>IFERROR(VLOOKUP($A2531,原始数据_收盘!$A$4:$G$3460,7,0),"")</f>
        <v>3.2441</v>
      </c>
      <c r="H2531">
        <f>IFERROR(VLOOKUP($A2531,原始数据_利率互换_FR007_1年!$A$6:$C$4395,2,0),"")</f>
        <v>3.2308</v>
      </c>
      <c r="I2531">
        <f>IFERROR(VLOOKUP($A2531,原始数据_利率互换_FR007_1年!$A$6:$C$4395,3,0),"")</f>
        <v>3.2571</v>
      </c>
    </row>
    <row r="2532" spans="1:9">
      <c r="A2532" s="6">
        <v>42025</v>
      </c>
      <c r="B2532">
        <f>IFERROR(VLOOKUP($A2532,原始数据_收盘!$A$4:$G$3460,2,0),"")</f>
        <v>3.1663</v>
      </c>
      <c r="C2532">
        <f>IFERROR(VLOOKUP($A2532,原始数据_收盘!$A$4:$G$3460,3,0),"")</f>
        <v>3.1779</v>
      </c>
      <c r="D2532">
        <f>IFERROR(VLOOKUP($A2532,原始数据_收盘!$A$4:$G$3460,4,0),"")</f>
        <v>3.2384</v>
      </c>
      <c r="E2532">
        <f>IFERROR(VLOOKUP($A2532,原始数据_收盘!$A$4:$G$3460,5,0),"")</f>
        <v>3.2546</v>
      </c>
      <c r="F2532">
        <f>IFERROR(VLOOKUP($A2532,原始数据_收盘!$A$4:$G$3460,6,0),"")</f>
        <v>3.2023</v>
      </c>
      <c r="G2532">
        <f>IFERROR(VLOOKUP($A2532,原始数据_收盘!$A$4:$G$3460,7,0),"")</f>
        <v>3.2163</v>
      </c>
      <c r="H2532">
        <f>IFERROR(VLOOKUP($A2532,原始数据_利率互换_FR007_1年!$A$6:$C$4395,2,0),"")</f>
        <v>3.2231</v>
      </c>
      <c r="I2532">
        <f>IFERROR(VLOOKUP($A2532,原始数据_利率互换_FR007_1年!$A$6:$C$4395,3,0),"")</f>
        <v>3.24</v>
      </c>
    </row>
    <row r="2533" spans="1:9">
      <c r="A2533" s="6">
        <v>42026</v>
      </c>
      <c r="B2533">
        <f>IFERROR(VLOOKUP($A2533,原始数据_收盘!$A$4:$G$3460,2,0),"")</f>
        <v>3.2188</v>
      </c>
      <c r="C2533">
        <f>IFERROR(VLOOKUP($A2533,原始数据_收盘!$A$4:$G$3460,3,0),"")</f>
        <v>3.2354</v>
      </c>
      <c r="D2533">
        <f>IFERROR(VLOOKUP($A2533,原始数据_收盘!$A$4:$G$3460,4,0),"")</f>
        <v>3.2738</v>
      </c>
      <c r="E2533">
        <f>IFERROR(VLOOKUP($A2533,原始数据_收盘!$A$4:$G$3460,5,0),"")</f>
        <v>3.2963</v>
      </c>
      <c r="F2533">
        <f>IFERROR(VLOOKUP($A2533,原始数据_收盘!$A$4:$G$3460,6,0),"")</f>
        <v>3.2463</v>
      </c>
      <c r="G2533">
        <f>IFERROR(VLOOKUP($A2533,原始数据_收盘!$A$4:$G$3460,7,0),"")</f>
        <v>3.2658</v>
      </c>
      <c r="H2533">
        <f>IFERROR(VLOOKUP($A2533,原始数据_利率互换_FR007_1年!$A$6:$C$4395,2,0),"")</f>
        <v>3.206</v>
      </c>
      <c r="I2533">
        <f>IFERROR(VLOOKUP($A2533,原始数据_利率互换_FR007_1年!$A$6:$C$4395,3,0),"")</f>
        <v>3.2293</v>
      </c>
    </row>
    <row r="2534" spans="1:9">
      <c r="A2534" s="6">
        <v>42027</v>
      </c>
      <c r="B2534">
        <f>IFERROR(VLOOKUP($A2534,原始数据_收盘!$A$4:$G$3460,2,0),"")</f>
        <v>3.24</v>
      </c>
      <c r="C2534">
        <f>IFERROR(VLOOKUP($A2534,原始数据_收盘!$A$4:$G$3460,3,0),"")</f>
        <v>3.2438</v>
      </c>
      <c r="D2534">
        <f>IFERROR(VLOOKUP($A2534,原始数据_收盘!$A$4:$G$3460,4,0),"")</f>
        <v>3.2913</v>
      </c>
      <c r="E2534">
        <f>IFERROR(VLOOKUP($A2534,原始数据_收盘!$A$4:$G$3460,5,0),"")</f>
        <v>3.3067</v>
      </c>
      <c r="F2534">
        <f>IFERROR(VLOOKUP($A2534,原始数据_收盘!$A$4:$G$3460,6,0),"")</f>
        <v>3.2656</v>
      </c>
      <c r="G2534">
        <f>IFERROR(VLOOKUP($A2534,原始数据_收盘!$A$4:$G$3460,7,0),"")</f>
        <v>3.2752</v>
      </c>
      <c r="H2534">
        <f>IFERROR(VLOOKUP($A2534,原始数据_利率互换_FR007_1年!$A$6:$C$4395,2,0),"")</f>
        <v>3.2608</v>
      </c>
      <c r="I2534">
        <f>IFERROR(VLOOKUP($A2534,原始数据_利率互换_FR007_1年!$A$6:$C$4395,3,0),"")</f>
        <v>3.276</v>
      </c>
    </row>
    <row r="2535" spans="1:9">
      <c r="A2535" s="6">
        <v>42028</v>
      </c>
      <c r="B2535" t="str">
        <f>IFERROR(VLOOKUP($A2535,原始数据_收盘!$A$4:$G$3460,2,0),"")</f>
        <v/>
      </c>
      <c r="C2535" t="str">
        <f>IFERROR(VLOOKUP($A2535,原始数据_收盘!$A$4:$G$3460,3,0),"")</f>
        <v/>
      </c>
      <c r="D2535" t="str">
        <f>IFERROR(VLOOKUP($A2535,原始数据_收盘!$A$4:$G$3460,4,0),"")</f>
        <v/>
      </c>
      <c r="E2535" t="str">
        <f>IFERROR(VLOOKUP($A2535,原始数据_收盘!$A$4:$G$3460,5,0),"")</f>
        <v/>
      </c>
      <c r="F2535" t="str">
        <f>IFERROR(VLOOKUP($A2535,原始数据_收盘!$A$4:$G$3460,6,0),"")</f>
        <v/>
      </c>
      <c r="G2535" t="str">
        <f>IFERROR(VLOOKUP($A2535,原始数据_收盘!$A$4:$G$3460,7,0),"")</f>
        <v/>
      </c>
      <c r="H2535" t="str">
        <f>IFERROR(VLOOKUP($A2535,原始数据_利率互换_FR007_1年!$A$6:$C$4395,2,0),"")</f>
        <v/>
      </c>
      <c r="I2535" t="str">
        <f>IFERROR(VLOOKUP($A2535,原始数据_利率互换_FR007_1年!$A$6:$C$4395,3,0),"")</f>
        <v/>
      </c>
    </row>
    <row r="2536" spans="1:9">
      <c r="A2536" s="6">
        <v>42029</v>
      </c>
      <c r="B2536" t="str">
        <f>IFERROR(VLOOKUP($A2536,原始数据_收盘!$A$4:$G$3460,2,0),"")</f>
        <v/>
      </c>
      <c r="C2536" t="str">
        <f>IFERROR(VLOOKUP($A2536,原始数据_收盘!$A$4:$G$3460,3,0),"")</f>
        <v/>
      </c>
      <c r="D2536" t="str">
        <f>IFERROR(VLOOKUP($A2536,原始数据_收盘!$A$4:$G$3460,4,0),"")</f>
        <v/>
      </c>
      <c r="E2536" t="str">
        <f>IFERROR(VLOOKUP($A2536,原始数据_收盘!$A$4:$G$3460,5,0),"")</f>
        <v/>
      </c>
      <c r="F2536" t="str">
        <f>IFERROR(VLOOKUP($A2536,原始数据_收盘!$A$4:$G$3460,6,0),"")</f>
        <v/>
      </c>
      <c r="G2536" t="str">
        <f>IFERROR(VLOOKUP($A2536,原始数据_收盘!$A$4:$G$3460,7,0),"")</f>
        <v/>
      </c>
      <c r="H2536" t="str">
        <f>IFERROR(VLOOKUP($A2536,原始数据_利率互换_FR007_1年!$A$6:$C$4395,2,0),"")</f>
        <v/>
      </c>
      <c r="I2536" t="str">
        <f>IFERROR(VLOOKUP($A2536,原始数据_利率互换_FR007_1年!$A$6:$C$4395,3,0),"")</f>
        <v/>
      </c>
    </row>
    <row r="2537" spans="1:9">
      <c r="A2537" s="6">
        <v>42030</v>
      </c>
      <c r="B2537">
        <f>IFERROR(VLOOKUP($A2537,原始数据_收盘!$A$4:$G$3460,2,0),"")</f>
        <v>3.193</v>
      </c>
      <c r="C2537">
        <f>IFERROR(VLOOKUP($A2537,原始数据_收盘!$A$4:$G$3460,3,0),"")</f>
        <v>3.2</v>
      </c>
      <c r="D2537">
        <f>IFERROR(VLOOKUP($A2537,原始数据_收盘!$A$4:$G$3460,4,0),"")</f>
        <v>3.2523</v>
      </c>
      <c r="E2537">
        <f>IFERROR(VLOOKUP($A2537,原始数据_收盘!$A$4:$G$3460,5,0),"")</f>
        <v>3.264</v>
      </c>
      <c r="F2537">
        <f>IFERROR(VLOOKUP($A2537,原始数据_收盘!$A$4:$G$3460,6,0),"")</f>
        <v>3.2227</v>
      </c>
      <c r="G2537">
        <f>IFERROR(VLOOKUP($A2537,原始数据_收盘!$A$4:$G$3460,7,0),"")</f>
        <v>3.232</v>
      </c>
      <c r="H2537">
        <f>IFERROR(VLOOKUP($A2537,原始数据_利率互换_FR007_1年!$A$6:$C$4395,2,0),"")</f>
        <v>3.2311</v>
      </c>
      <c r="I2537">
        <f>IFERROR(VLOOKUP($A2537,原始数据_利率互换_FR007_1年!$A$6:$C$4395,3,0),"")</f>
        <v>3.2495</v>
      </c>
    </row>
    <row r="2538" spans="1:9">
      <c r="A2538" s="6">
        <v>42031</v>
      </c>
      <c r="B2538">
        <f>IFERROR(VLOOKUP($A2538,原始数据_收盘!$A$4:$G$3460,2,0),"")</f>
        <v>3.2409</v>
      </c>
      <c r="C2538">
        <f>IFERROR(VLOOKUP($A2538,原始数据_收盘!$A$4:$G$3460,3,0),"")</f>
        <v>3.2463</v>
      </c>
      <c r="D2538">
        <f>IFERROR(VLOOKUP($A2538,原始数据_收盘!$A$4:$G$3460,4,0),"")</f>
        <v>3.295</v>
      </c>
      <c r="E2538">
        <f>IFERROR(VLOOKUP($A2538,原始数据_收盘!$A$4:$G$3460,5,0),"")</f>
        <v>3.3063</v>
      </c>
      <c r="F2538">
        <f>IFERROR(VLOOKUP($A2538,原始数据_收盘!$A$4:$G$3460,6,0),"")</f>
        <v>3.2679</v>
      </c>
      <c r="G2538">
        <f>IFERROR(VLOOKUP($A2538,原始数据_收盘!$A$4:$G$3460,7,0),"")</f>
        <v>3.2763</v>
      </c>
      <c r="H2538">
        <f>IFERROR(VLOOKUP($A2538,原始数据_利率互换_FR007_1年!$A$6:$C$4395,2,0),"")</f>
        <v>3.2439</v>
      </c>
      <c r="I2538">
        <f>IFERROR(VLOOKUP($A2538,原始数据_利率互换_FR007_1年!$A$6:$C$4395,3,0),"")</f>
        <v>3.253</v>
      </c>
    </row>
    <row r="2539" spans="1:9">
      <c r="A2539" s="6">
        <v>42032</v>
      </c>
      <c r="B2539">
        <f>IFERROR(VLOOKUP($A2539,原始数据_收盘!$A$4:$G$3460,2,0),"")</f>
        <v>3.2891</v>
      </c>
      <c r="C2539">
        <f>IFERROR(VLOOKUP($A2539,原始数据_收盘!$A$4:$G$3460,3,0),"")</f>
        <v>3.2846</v>
      </c>
      <c r="D2539">
        <f>IFERROR(VLOOKUP($A2539,原始数据_收盘!$A$4:$G$3460,4,0),"")</f>
        <v>3.3371</v>
      </c>
      <c r="E2539">
        <f>IFERROR(VLOOKUP($A2539,原始数据_收盘!$A$4:$G$3460,5,0),"")</f>
        <v>3.3454</v>
      </c>
      <c r="F2539">
        <f>IFERROR(VLOOKUP($A2539,原始数据_收盘!$A$4:$G$3460,6,0),"")</f>
        <v>3.3131</v>
      </c>
      <c r="G2539">
        <f>IFERROR(VLOOKUP($A2539,原始数据_收盘!$A$4:$G$3460,7,0),"")</f>
        <v>3.315</v>
      </c>
      <c r="H2539">
        <f>IFERROR(VLOOKUP($A2539,原始数据_利率互换_FR007_1年!$A$6:$C$4395,2,0),"")</f>
        <v>3.3095</v>
      </c>
      <c r="I2539">
        <f>IFERROR(VLOOKUP($A2539,原始数据_利率互换_FR007_1年!$A$6:$C$4395,3,0),"")</f>
        <v>3.3175</v>
      </c>
    </row>
    <row r="2540" spans="1:9">
      <c r="A2540" s="6">
        <v>42033</v>
      </c>
      <c r="B2540">
        <f>IFERROR(VLOOKUP($A2540,原始数据_收盘!$A$4:$G$3460,2,0),"")</f>
        <v>3.3471</v>
      </c>
      <c r="C2540">
        <f>IFERROR(VLOOKUP($A2540,原始数据_收盘!$A$4:$G$3460,3,0),"")</f>
        <v>3.3235</v>
      </c>
      <c r="D2540">
        <f>IFERROR(VLOOKUP($A2540,原始数据_收盘!$A$4:$G$3460,4,0),"")</f>
        <v>3.4096</v>
      </c>
      <c r="E2540">
        <f>IFERROR(VLOOKUP($A2540,原始数据_收盘!$A$4:$G$3460,5,0),"")</f>
        <v>3.3979</v>
      </c>
      <c r="F2540">
        <f>IFERROR(VLOOKUP($A2540,原始数据_收盘!$A$4:$G$3460,6,0),"")</f>
        <v>3.3784</v>
      </c>
      <c r="G2540">
        <f>IFERROR(VLOOKUP($A2540,原始数据_收盘!$A$4:$G$3460,7,0),"")</f>
        <v>3.3607</v>
      </c>
      <c r="H2540">
        <f>IFERROR(VLOOKUP($A2540,原始数据_利率互换_FR007_1年!$A$6:$C$4395,2,0),"")</f>
        <v>3.3672</v>
      </c>
      <c r="I2540">
        <f>IFERROR(VLOOKUP($A2540,原始数据_利率互换_FR007_1年!$A$6:$C$4395,3,0),"")</f>
        <v>3.3522</v>
      </c>
    </row>
    <row r="2541" spans="1:9">
      <c r="A2541" s="6">
        <v>42034</v>
      </c>
      <c r="B2541">
        <f>IFERROR(VLOOKUP($A2541,原始数据_收盘!$A$4:$G$3460,2,0),"")</f>
        <v>3.3938</v>
      </c>
      <c r="C2541">
        <f>IFERROR(VLOOKUP($A2541,原始数据_收盘!$A$4:$G$3460,3,0),"")</f>
        <v>3.3538</v>
      </c>
      <c r="D2541">
        <f>IFERROR(VLOOKUP($A2541,原始数据_收盘!$A$4:$G$3460,4,0),"")</f>
        <v>3.4588</v>
      </c>
      <c r="E2541">
        <f>IFERROR(VLOOKUP($A2541,原始数据_收盘!$A$4:$G$3460,5,0),"")</f>
        <v>3.4238</v>
      </c>
      <c r="F2541">
        <f>IFERROR(VLOOKUP($A2541,原始数据_收盘!$A$4:$G$3460,6,0),"")</f>
        <v>3.4263</v>
      </c>
      <c r="G2541">
        <f>IFERROR(VLOOKUP($A2541,原始数据_收盘!$A$4:$G$3460,7,0),"")</f>
        <v>3.3888</v>
      </c>
      <c r="H2541">
        <f>IFERROR(VLOOKUP($A2541,原始数据_利率互换_FR007_1年!$A$6:$C$4395,2,0),"")</f>
        <v>3.4307</v>
      </c>
      <c r="I2541">
        <f>IFERROR(VLOOKUP($A2541,原始数据_利率互换_FR007_1年!$A$6:$C$4395,3,0),"")</f>
        <v>3.3813</v>
      </c>
    </row>
    <row r="2542" spans="1:9">
      <c r="A2542" s="6">
        <v>42035</v>
      </c>
      <c r="B2542" t="str">
        <f>IFERROR(VLOOKUP($A2542,原始数据_收盘!$A$4:$G$3460,2,0),"")</f>
        <v/>
      </c>
      <c r="C2542" t="str">
        <f>IFERROR(VLOOKUP($A2542,原始数据_收盘!$A$4:$G$3460,3,0),"")</f>
        <v/>
      </c>
      <c r="D2542" t="str">
        <f>IFERROR(VLOOKUP($A2542,原始数据_收盘!$A$4:$G$3460,4,0),"")</f>
        <v/>
      </c>
      <c r="E2542" t="str">
        <f>IFERROR(VLOOKUP($A2542,原始数据_收盘!$A$4:$G$3460,5,0),"")</f>
        <v/>
      </c>
      <c r="F2542" t="str">
        <f>IFERROR(VLOOKUP($A2542,原始数据_收盘!$A$4:$G$3460,6,0),"")</f>
        <v/>
      </c>
      <c r="G2542" t="str">
        <f>IFERROR(VLOOKUP($A2542,原始数据_收盘!$A$4:$G$3460,7,0),"")</f>
        <v/>
      </c>
      <c r="H2542" t="str">
        <f>IFERROR(VLOOKUP($A2542,原始数据_利率互换_FR007_1年!$A$6:$C$4395,2,0),"")</f>
        <v/>
      </c>
      <c r="I2542" t="str">
        <f>IFERROR(VLOOKUP($A2542,原始数据_利率互换_FR007_1年!$A$6:$C$4395,3,0),"")</f>
        <v/>
      </c>
    </row>
    <row r="2543" spans="1:9">
      <c r="A2543" s="6">
        <v>42036</v>
      </c>
      <c r="B2543" t="str">
        <f>IFERROR(VLOOKUP($A2543,原始数据_收盘!$A$4:$G$3460,2,0),"")</f>
        <v/>
      </c>
      <c r="C2543" t="str">
        <f>IFERROR(VLOOKUP($A2543,原始数据_收盘!$A$4:$G$3460,3,0),"")</f>
        <v/>
      </c>
      <c r="D2543" t="str">
        <f>IFERROR(VLOOKUP($A2543,原始数据_收盘!$A$4:$G$3460,4,0),"")</f>
        <v/>
      </c>
      <c r="E2543" t="str">
        <f>IFERROR(VLOOKUP($A2543,原始数据_收盘!$A$4:$G$3460,5,0),"")</f>
        <v/>
      </c>
      <c r="F2543" t="str">
        <f>IFERROR(VLOOKUP($A2543,原始数据_收盘!$A$4:$G$3460,6,0),"")</f>
        <v/>
      </c>
      <c r="G2543" t="str">
        <f>IFERROR(VLOOKUP($A2543,原始数据_收盘!$A$4:$G$3460,7,0),"")</f>
        <v/>
      </c>
      <c r="H2543" t="str">
        <f>IFERROR(VLOOKUP($A2543,原始数据_利率互换_FR007_1年!$A$6:$C$4395,2,0),"")</f>
        <v/>
      </c>
      <c r="I2543" t="str">
        <f>IFERROR(VLOOKUP($A2543,原始数据_利率互换_FR007_1年!$A$6:$C$4395,3,0),"")</f>
        <v/>
      </c>
    </row>
    <row r="2544" spans="1:9">
      <c r="A2544" s="6">
        <v>42037</v>
      </c>
      <c r="B2544">
        <f>IFERROR(VLOOKUP($A2544,原始数据_收盘!$A$4:$G$3460,2,0),"")</f>
        <v>3.3675</v>
      </c>
      <c r="C2544">
        <f>IFERROR(VLOOKUP($A2544,原始数据_收盘!$A$4:$G$3460,3,0),"")</f>
        <v>3.275</v>
      </c>
      <c r="D2544">
        <f>IFERROR(VLOOKUP($A2544,原始数据_收盘!$A$4:$G$3460,4,0),"")</f>
        <v>3.4138</v>
      </c>
      <c r="E2544">
        <f>IFERROR(VLOOKUP($A2544,原始数据_收盘!$A$4:$G$3460,5,0),"")</f>
        <v>3.3304</v>
      </c>
      <c r="F2544">
        <f>IFERROR(VLOOKUP($A2544,原始数据_收盘!$A$4:$G$3460,6,0),"")</f>
        <v>3.3906</v>
      </c>
      <c r="G2544">
        <f>IFERROR(VLOOKUP($A2544,原始数据_收盘!$A$4:$G$3460,7,0),"")</f>
        <v>3.3027</v>
      </c>
      <c r="H2544">
        <f>IFERROR(VLOOKUP($A2544,原始数据_利率互换_FR007_1年!$A$6:$C$4395,2,0),"")</f>
        <v>3.4176</v>
      </c>
      <c r="I2544">
        <f>IFERROR(VLOOKUP($A2544,原始数据_利率互换_FR007_1年!$A$6:$C$4395,3,0),"")</f>
        <v>3.3317</v>
      </c>
    </row>
    <row r="2545" spans="1:9">
      <c r="A2545" s="6">
        <v>42038</v>
      </c>
      <c r="B2545">
        <f>IFERROR(VLOOKUP($A2545,原始数据_收盘!$A$4:$G$3460,2,0),"")</f>
        <v>3.337</v>
      </c>
      <c r="C2545">
        <f>IFERROR(VLOOKUP($A2545,原始数据_收盘!$A$4:$G$3460,3,0),"")</f>
        <v>3.213</v>
      </c>
      <c r="D2545">
        <f>IFERROR(VLOOKUP($A2545,原始数据_收盘!$A$4:$G$3460,4,0),"")</f>
        <v>3.3927</v>
      </c>
      <c r="E2545">
        <f>IFERROR(VLOOKUP($A2545,原始数据_收盘!$A$4:$G$3460,5,0),"")</f>
        <v>3.2724</v>
      </c>
      <c r="F2545">
        <f>IFERROR(VLOOKUP($A2545,原始数据_收盘!$A$4:$G$3460,6,0),"")</f>
        <v>3.3648</v>
      </c>
      <c r="G2545">
        <f>IFERROR(VLOOKUP($A2545,原始数据_收盘!$A$4:$G$3460,7,0),"")</f>
        <v>3.2427</v>
      </c>
      <c r="H2545">
        <f>IFERROR(VLOOKUP($A2545,原始数据_利率互换_FR007_1年!$A$6:$C$4395,2,0),"")</f>
        <v>3.3746</v>
      </c>
      <c r="I2545">
        <f>IFERROR(VLOOKUP($A2545,原始数据_利率互换_FR007_1年!$A$6:$C$4395,3,0),"")</f>
        <v>3.2528</v>
      </c>
    </row>
    <row r="2546" spans="1:9">
      <c r="A2546" s="6">
        <v>42039</v>
      </c>
      <c r="B2546">
        <f>IFERROR(VLOOKUP($A2546,原始数据_收盘!$A$4:$G$3460,2,0),"")</f>
        <v>3.3275</v>
      </c>
      <c r="C2546">
        <f>IFERROR(VLOOKUP($A2546,原始数据_收盘!$A$4:$G$3460,3,0),"")</f>
        <v>3.2375</v>
      </c>
      <c r="D2546">
        <f>IFERROR(VLOOKUP($A2546,原始数据_收盘!$A$4:$G$3460,4,0),"")</f>
        <v>3.385</v>
      </c>
      <c r="E2546">
        <f>IFERROR(VLOOKUP($A2546,原始数据_收盘!$A$4:$G$3460,5,0),"")</f>
        <v>3.295</v>
      </c>
      <c r="F2546">
        <f>IFERROR(VLOOKUP($A2546,原始数据_收盘!$A$4:$G$3460,6,0),"")</f>
        <v>3.3563</v>
      </c>
      <c r="G2546">
        <f>IFERROR(VLOOKUP($A2546,原始数据_收盘!$A$4:$G$3460,7,0),"")</f>
        <v>3.2663</v>
      </c>
      <c r="H2546">
        <f>IFERROR(VLOOKUP($A2546,原始数据_利率互换_FR007_1年!$A$6:$C$4395,2,0),"")</f>
        <v>3.3583</v>
      </c>
      <c r="I2546">
        <f>IFERROR(VLOOKUP($A2546,原始数据_利率互换_FR007_1年!$A$6:$C$4395,3,0),"")</f>
        <v>3.2589</v>
      </c>
    </row>
    <row r="2547" spans="1:9">
      <c r="A2547" s="6">
        <v>42040</v>
      </c>
      <c r="B2547">
        <f>IFERROR(VLOOKUP($A2547,原始数据_收盘!$A$4:$G$3460,2,0),"")</f>
        <v>3.225</v>
      </c>
      <c r="C2547">
        <f>IFERROR(VLOOKUP($A2547,原始数据_收盘!$A$4:$G$3460,3,0),"")</f>
        <v>3.2084</v>
      </c>
      <c r="D2547">
        <f>IFERROR(VLOOKUP($A2547,原始数据_收盘!$A$4:$G$3460,4,0),"")</f>
        <v>3.275</v>
      </c>
      <c r="E2547">
        <f>IFERROR(VLOOKUP($A2547,原始数据_收盘!$A$4:$G$3460,5,0),"")</f>
        <v>3.2575</v>
      </c>
      <c r="F2547">
        <f>IFERROR(VLOOKUP($A2547,原始数据_收盘!$A$4:$G$3460,6,0),"")</f>
        <v>3.25</v>
      </c>
      <c r="G2547">
        <f>IFERROR(VLOOKUP($A2547,原始数据_收盘!$A$4:$G$3460,7,0),"")</f>
        <v>3.2329</v>
      </c>
      <c r="H2547">
        <f>IFERROR(VLOOKUP($A2547,原始数据_利率互换_FR007_1年!$A$6:$C$4395,2,0),"")</f>
        <v>3.1883</v>
      </c>
      <c r="I2547">
        <f>IFERROR(VLOOKUP($A2547,原始数据_利率互换_FR007_1年!$A$6:$C$4395,3,0),"")</f>
        <v>3.1752</v>
      </c>
    </row>
    <row r="2548" spans="1:9">
      <c r="A2548" s="6">
        <v>42041</v>
      </c>
      <c r="B2548">
        <f>IFERROR(VLOOKUP($A2548,原始数据_收盘!$A$4:$G$3460,2,0),"")</f>
        <v>3.245</v>
      </c>
      <c r="C2548">
        <f>IFERROR(VLOOKUP($A2548,原始数据_收盘!$A$4:$G$3460,3,0),"")</f>
        <v>3.2141</v>
      </c>
      <c r="D2548">
        <f>IFERROR(VLOOKUP($A2548,原始数据_收盘!$A$4:$G$3460,4,0),"")</f>
        <v>3.2938</v>
      </c>
      <c r="E2548">
        <f>IFERROR(VLOOKUP($A2548,原始数据_收盘!$A$4:$G$3460,5,0),"")</f>
        <v>3.2704</v>
      </c>
      <c r="F2548">
        <f>IFERROR(VLOOKUP($A2548,原始数据_收盘!$A$4:$G$3460,6,0),"")</f>
        <v>3.2694</v>
      </c>
      <c r="G2548">
        <f>IFERROR(VLOOKUP($A2548,原始数据_收盘!$A$4:$G$3460,7,0),"")</f>
        <v>3.2423</v>
      </c>
      <c r="H2548">
        <f>IFERROR(VLOOKUP($A2548,原始数据_利率互换_FR007_1年!$A$6:$C$4395,2,0),"")</f>
        <v>3.2688</v>
      </c>
      <c r="I2548">
        <f>IFERROR(VLOOKUP($A2548,原始数据_利率互换_FR007_1年!$A$6:$C$4395,3,0),"")</f>
        <v>3.2538</v>
      </c>
    </row>
    <row r="2549" spans="1:9">
      <c r="A2549" s="6">
        <v>42042</v>
      </c>
      <c r="B2549" t="str">
        <f>IFERROR(VLOOKUP($A2549,原始数据_收盘!$A$4:$G$3460,2,0),"")</f>
        <v/>
      </c>
      <c r="C2549" t="str">
        <f>IFERROR(VLOOKUP($A2549,原始数据_收盘!$A$4:$G$3460,3,0),"")</f>
        <v/>
      </c>
      <c r="D2549" t="str">
        <f>IFERROR(VLOOKUP($A2549,原始数据_收盘!$A$4:$G$3460,4,0),"")</f>
        <v/>
      </c>
      <c r="E2549" t="str">
        <f>IFERROR(VLOOKUP($A2549,原始数据_收盘!$A$4:$G$3460,5,0),"")</f>
        <v/>
      </c>
      <c r="F2549" t="str">
        <f>IFERROR(VLOOKUP($A2549,原始数据_收盘!$A$4:$G$3460,6,0),"")</f>
        <v/>
      </c>
      <c r="G2549" t="str">
        <f>IFERROR(VLOOKUP($A2549,原始数据_收盘!$A$4:$G$3460,7,0),"")</f>
        <v/>
      </c>
      <c r="H2549" t="str">
        <f>IFERROR(VLOOKUP($A2549,原始数据_利率互换_FR007_1年!$A$6:$C$4395,2,0),"")</f>
        <v/>
      </c>
      <c r="I2549" t="str">
        <f>IFERROR(VLOOKUP($A2549,原始数据_利率互换_FR007_1年!$A$6:$C$4395,3,0),"")</f>
        <v/>
      </c>
    </row>
    <row r="2550" spans="1:9">
      <c r="A2550" s="6">
        <v>42043</v>
      </c>
      <c r="B2550" t="str">
        <f>IFERROR(VLOOKUP($A2550,原始数据_收盘!$A$4:$G$3460,2,0),"")</f>
        <v/>
      </c>
      <c r="C2550" t="str">
        <f>IFERROR(VLOOKUP($A2550,原始数据_收盘!$A$4:$G$3460,3,0),"")</f>
        <v/>
      </c>
      <c r="D2550" t="str">
        <f>IFERROR(VLOOKUP($A2550,原始数据_收盘!$A$4:$G$3460,4,0),"")</f>
        <v/>
      </c>
      <c r="E2550" t="str">
        <f>IFERROR(VLOOKUP($A2550,原始数据_收盘!$A$4:$G$3460,5,0),"")</f>
        <v/>
      </c>
      <c r="F2550" t="str">
        <f>IFERROR(VLOOKUP($A2550,原始数据_收盘!$A$4:$G$3460,6,0),"")</f>
        <v/>
      </c>
      <c r="G2550" t="str">
        <f>IFERROR(VLOOKUP($A2550,原始数据_收盘!$A$4:$G$3460,7,0),"")</f>
        <v/>
      </c>
      <c r="H2550" t="str">
        <f>IFERROR(VLOOKUP($A2550,原始数据_利率互换_FR007_1年!$A$6:$C$4395,2,0),"")</f>
        <v/>
      </c>
      <c r="I2550" t="str">
        <f>IFERROR(VLOOKUP($A2550,原始数据_利率互换_FR007_1年!$A$6:$C$4395,3,0),"")</f>
        <v/>
      </c>
    </row>
    <row r="2551" spans="1:9">
      <c r="A2551" s="6">
        <v>42044</v>
      </c>
      <c r="B2551">
        <f>IFERROR(VLOOKUP($A2551,原始数据_收盘!$A$4:$G$3460,2,0),"")</f>
        <v>3.2075</v>
      </c>
      <c r="C2551">
        <f>IFERROR(VLOOKUP($A2551,原始数据_收盘!$A$4:$G$3460,3,0),"")</f>
        <v>3.1563</v>
      </c>
      <c r="D2551">
        <f>IFERROR(VLOOKUP($A2551,原始数据_收盘!$A$4:$G$3460,4,0),"")</f>
        <v>3.2596</v>
      </c>
      <c r="E2551">
        <f>IFERROR(VLOOKUP($A2551,原始数据_收盘!$A$4:$G$3460,5,0),"")</f>
        <v>3.2104</v>
      </c>
      <c r="F2551">
        <f>IFERROR(VLOOKUP($A2551,原始数据_收盘!$A$4:$G$3460,6,0),"")</f>
        <v>3.2336</v>
      </c>
      <c r="G2551">
        <f>IFERROR(VLOOKUP($A2551,原始数据_收盘!$A$4:$G$3460,7,0),"")</f>
        <v>3.1833</v>
      </c>
      <c r="H2551">
        <f>IFERROR(VLOOKUP($A2551,原始数据_利率互换_FR007_1年!$A$6:$C$4395,2,0),"")</f>
        <v>3.2297</v>
      </c>
      <c r="I2551">
        <f>IFERROR(VLOOKUP($A2551,原始数据_利率互换_FR007_1年!$A$6:$C$4395,3,0),"")</f>
        <v>3.197</v>
      </c>
    </row>
    <row r="2552" spans="1:9">
      <c r="A2552" s="6">
        <v>42045</v>
      </c>
      <c r="B2552">
        <f>IFERROR(VLOOKUP($A2552,原始数据_收盘!$A$4:$G$3460,2,0),"")</f>
        <v>3.1958</v>
      </c>
      <c r="C2552">
        <f>IFERROR(VLOOKUP($A2552,原始数据_收盘!$A$4:$G$3460,3,0),"")</f>
        <v>3.145</v>
      </c>
      <c r="D2552">
        <f>IFERROR(VLOOKUP($A2552,原始数据_收盘!$A$4:$G$3460,4,0),"")</f>
        <v>3.2541</v>
      </c>
      <c r="E2552">
        <f>IFERROR(VLOOKUP($A2552,原始数据_收盘!$A$4:$G$3460,5,0),"")</f>
        <v>3.21</v>
      </c>
      <c r="F2552">
        <f>IFERROR(VLOOKUP($A2552,原始数据_收盘!$A$4:$G$3460,6,0),"")</f>
        <v>3.225</v>
      </c>
      <c r="G2552">
        <f>IFERROR(VLOOKUP($A2552,原始数据_收盘!$A$4:$G$3460,7,0),"")</f>
        <v>3.1775</v>
      </c>
      <c r="H2552">
        <f>IFERROR(VLOOKUP($A2552,原始数据_利率互换_FR007_1年!$A$6:$C$4395,2,0),"")</f>
        <v>3.2252</v>
      </c>
      <c r="I2552">
        <f>IFERROR(VLOOKUP($A2552,原始数据_利率互换_FR007_1年!$A$6:$C$4395,3,0),"")</f>
        <v>3.1735</v>
      </c>
    </row>
    <row r="2553" spans="1:9">
      <c r="A2553" s="6">
        <v>42046</v>
      </c>
      <c r="B2553">
        <f>IFERROR(VLOOKUP($A2553,原始数据_收盘!$A$4:$G$3460,2,0),"")</f>
        <v>3.1563</v>
      </c>
      <c r="C2553">
        <f>IFERROR(VLOOKUP($A2553,原始数据_收盘!$A$4:$G$3460,3,0),"")</f>
        <v>3.0988</v>
      </c>
      <c r="D2553">
        <f>IFERROR(VLOOKUP($A2553,原始数据_收盘!$A$4:$G$3460,4,0),"")</f>
        <v>3.2088</v>
      </c>
      <c r="E2553">
        <f>IFERROR(VLOOKUP($A2553,原始数据_收盘!$A$4:$G$3460,5,0),"")</f>
        <v>3.1579</v>
      </c>
      <c r="F2553">
        <f>IFERROR(VLOOKUP($A2553,原始数据_收盘!$A$4:$G$3460,6,0),"")</f>
        <v>3.1825</v>
      </c>
      <c r="G2553">
        <f>IFERROR(VLOOKUP($A2553,原始数据_收盘!$A$4:$G$3460,7,0),"")</f>
        <v>3.1283</v>
      </c>
      <c r="H2553">
        <f>IFERROR(VLOOKUP($A2553,原始数据_利率互换_FR007_1年!$A$6:$C$4395,2,0),"")</f>
        <v>3.195</v>
      </c>
      <c r="I2553">
        <f>IFERROR(VLOOKUP($A2553,原始数据_利率互换_FR007_1年!$A$6:$C$4395,3,0),"")</f>
        <v>3.1365</v>
      </c>
    </row>
    <row r="2554" spans="1:9">
      <c r="A2554" s="6">
        <v>42047</v>
      </c>
      <c r="B2554">
        <f>IFERROR(VLOOKUP($A2554,原始数据_收盘!$A$4:$G$3460,2,0),"")</f>
        <v>3.1637</v>
      </c>
      <c r="C2554">
        <f>IFERROR(VLOOKUP($A2554,原始数据_收盘!$A$4:$G$3460,3,0),"")</f>
        <v>3.1156</v>
      </c>
      <c r="D2554">
        <f>IFERROR(VLOOKUP($A2554,原始数据_收盘!$A$4:$G$3460,4,0),"")</f>
        <v>3.2278</v>
      </c>
      <c r="E2554">
        <f>IFERROR(VLOOKUP($A2554,原始数据_收盘!$A$4:$G$3460,5,0),"")</f>
        <v>3.1837</v>
      </c>
      <c r="F2554">
        <f>IFERROR(VLOOKUP($A2554,原始数据_收盘!$A$4:$G$3460,6,0),"")</f>
        <v>3.1957</v>
      </c>
      <c r="G2554">
        <f>IFERROR(VLOOKUP($A2554,原始数据_收盘!$A$4:$G$3460,7,0),"")</f>
        <v>3.1496</v>
      </c>
      <c r="H2554">
        <f>IFERROR(VLOOKUP($A2554,原始数据_利率互换_FR007_1年!$A$6:$C$4395,2,0),"")</f>
        <v>3.2032</v>
      </c>
      <c r="I2554">
        <f>IFERROR(VLOOKUP($A2554,原始数据_利率互换_FR007_1年!$A$6:$C$4395,3,0),"")</f>
        <v>3.1537</v>
      </c>
    </row>
    <row r="2555" spans="1:9">
      <c r="A2555" s="6">
        <v>42048</v>
      </c>
      <c r="B2555">
        <f>IFERROR(VLOOKUP($A2555,原始数据_收盘!$A$4:$G$3460,2,0),"")</f>
        <v>3.1788</v>
      </c>
      <c r="C2555">
        <f>IFERROR(VLOOKUP($A2555,原始数据_收盘!$A$4:$G$3460,3,0),"")</f>
        <v>3.12</v>
      </c>
      <c r="D2555">
        <f>IFERROR(VLOOKUP($A2555,原始数据_收盘!$A$4:$G$3460,4,0),"")</f>
        <v>3.2284</v>
      </c>
      <c r="E2555">
        <f>IFERROR(VLOOKUP($A2555,原始数据_收盘!$A$4:$G$3460,5,0),"")</f>
        <v>3.1746</v>
      </c>
      <c r="F2555">
        <f>IFERROR(VLOOKUP($A2555,原始数据_收盘!$A$4:$G$3460,6,0),"")</f>
        <v>3.2036</v>
      </c>
      <c r="G2555">
        <f>IFERROR(VLOOKUP($A2555,原始数据_收盘!$A$4:$G$3460,7,0),"")</f>
        <v>3.1473</v>
      </c>
      <c r="H2555">
        <f>IFERROR(VLOOKUP($A2555,原始数据_利率互换_FR007_1年!$A$6:$C$4395,2,0),"")</f>
        <v>3.1952</v>
      </c>
      <c r="I2555">
        <f>IFERROR(VLOOKUP($A2555,原始数据_利率互换_FR007_1年!$A$6:$C$4395,3,0),"")</f>
        <v>3.1408</v>
      </c>
    </row>
    <row r="2556" spans="1:9">
      <c r="A2556" s="6">
        <v>42049</v>
      </c>
      <c r="B2556" t="str">
        <f>IFERROR(VLOOKUP($A2556,原始数据_收盘!$A$4:$G$3460,2,0),"")</f>
        <v/>
      </c>
      <c r="C2556" t="str">
        <f>IFERROR(VLOOKUP($A2556,原始数据_收盘!$A$4:$G$3460,3,0),"")</f>
        <v/>
      </c>
      <c r="D2556" t="str">
        <f>IFERROR(VLOOKUP($A2556,原始数据_收盘!$A$4:$G$3460,4,0),"")</f>
        <v/>
      </c>
      <c r="E2556" t="str">
        <f>IFERROR(VLOOKUP($A2556,原始数据_收盘!$A$4:$G$3460,5,0),"")</f>
        <v/>
      </c>
      <c r="F2556" t="str">
        <f>IFERROR(VLOOKUP($A2556,原始数据_收盘!$A$4:$G$3460,6,0),"")</f>
        <v/>
      </c>
      <c r="G2556" t="str">
        <f>IFERROR(VLOOKUP($A2556,原始数据_收盘!$A$4:$G$3460,7,0),"")</f>
        <v/>
      </c>
      <c r="H2556" t="str">
        <f>IFERROR(VLOOKUP($A2556,原始数据_利率互换_FR007_1年!$A$6:$C$4395,2,0),"")</f>
        <v/>
      </c>
      <c r="I2556" t="str">
        <f>IFERROR(VLOOKUP($A2556,原始数据_利率互换_FR007_1年!$A$6:$C$4395,3,0),"")</f>
        <v/>
      </c>
    </row>
    <row r="2557" spans="1:9">
      <c r="A2557" s="6">
        <v>42050</v>
      </c>
      <c r="B2557">
        <f>IFERROR(VLOOKUP($A2557,原始数据_收盘!$A$4:$G$3460,2,0),"")</f>
        <v>3.1688</v>
      </c>
      <c r="C2557">
        <f>IFERROR(VLOOKUP($A2557,原始数据_收盘!$A$4:$G$3460,3,0),"")</f>
        <v>3.105</v>
      </c>
      <c r="D2557">
        <f>IFERROR(VLOOKUP($A2557,原始数据_收盘!$A$4:$G$3460,4,0),"")</f>
        <v>3.2259</v>
      </c>
      <c r="E2557">
        <f>IFERROR(VLOOKUP($A2557,原始数据_收盘!$A$4:$G$3460,5,0),"")</f>
        <v>3.1684</v>
      </c>
      <c r="F2557">
        <f>IFERROR(VLOOKUP($A2557,原始数据_收盘!$A$4:$G$3460,6,0),"")</f>
        <v>3.1973</v>
      </c>
      <c r="G2557">
        <f>IFERROR(VLOOKUP($A2557,原始数据_收盘!$A$4:$G$3460,7,0),"")</f>
        <v>3.1367</v>
      </c>
      <c r="H2557">
        <f>IFERROR(VLOOKUP($A2557,原始数据_利率互换_FR007_1年!$A$6:$C$4395,2,0),"")</f>
        <v>3.2053</v>
      </c>
      <c r="I2557">
        <f>IFERROR(VLOOKUP($A2557,原始数据_利率互换_FR007_1年!$A$6:$C$4395,3,0),"")</f>
        <v>3.13</v>
      </c>
    </row>
    <row r="2558" spans="1:9">
      <c r="A2558" s="6">
        <v>42051</v>
      </c>
      <c r="B2558">
        <f>IFERROR(VLOOKUP($A2558,原始数据_收盘!$A$4:$G$3460,2,0),"")</f>
        <v>3.1713</v>
      </c>
      <c r="C2558">
        <f>IFERROR(VLOOKUP($A2558,原始数据_收盘!$A$4:$G$3460,3,0),"")</f>
        <v>3.1125</v>
      </c>
      <c r="D2558">
        <f>IFERROR(VLOOKUP($A2558,原始数据_收盘!$A$4:$G$3460,4,0),"")</f>
        <v>3.2288</v>
      </c>
      <c r="E2558">
        <f>IFERROR(VLOOKUP($A2558,原始数据_收盘!$A$4:$G$3460,5,0),"")</f>
        <v>3.1784</v>
      </c>
      <c r="F2558">
        <f>IFERROR(VLOOKUP($A2558,原始数据_收盘!$A$4:$G$3460,6,0),"")</f>
        <v>3.2</v>
      </c>
      <c r="G2558">
        <f>IFERROR(VLOOKUP($A2558,原始数据_收盘!$A$4:$G$3460,7,0),"")</f>
        <v>3.1454</v>
      </c>
      <c r="H2558">
        <f>IFERROR(VLOOKUP($A2558,原始数据_利率互换_FR007_1年!$A$6:$C$4395,2,0),"")</f>
        <v>3.1944</v>
      </c>
      <c r="I2558">
        <f>IFERROR(VLOOKUP($A2558,原始数据_利率互换_FR007_1年!$A$6:$C$4395,3,0),"")</f>
        <v>3.1332</v>
      </c>
    </row>
    <row r="2559" spans="1:9">
      <c r="A2559" s="6">
        <v>42052</v>
      </c>
      <c r="B2559">
        <f>IFERROR(VLOOKUP($A2559,原始数据_收盘!$A$4:$G$3460,2,0),"")</f>
        <v>3.1654</v>
      </c>
      <c r="C2559">
        <f>IFERROR(VLOOKUP($A2559,原始数据_收盘!$A$4:$G$3460,3,0),"")</f>
        <v>3.1046</v>
      </c>
      <c r="D2559">
        <f>IFERROR(VLOOKUP($A2559,原始数据_收盘!$A$4:$G$3460,4,0),"")</f>
        <v>3.2334</v>
      </c>
      <c r="E2559">
        <f>IFERROR(VLOOKUP($A2559,原始数据_收盘!$A$4:$G$3460,5,0),"")</f>
        <v>3.1809</v>
      </c>
      <c r="F2559">
        <f>IFERROR(VLOOKUP($A2559,原始数据_收盘!$A$4:$G$3460,6,0),"")</f>
        <v>3.1994</v>
      </c>
      <c r="G2559">
        <f>IFERROR(VLOOKUP($A2559,原始数据_收盘!$A$4:$G$3460,7,0),"")</f>
        <v>3.1428</v>
      </c>
      <c r="H2559">
        <f>IFERROR(VLOOKUP($A2559,原始数据_利率互换_FR007_1年!$A$6:$C$4395,2,0),"")</f>
        <v>3.1971</v>
      </c>
      <c r="I2559">
        <f>IFERROR(VLOOKUP($A2559,原始数据_利率互换_FR007_1年!$A$6:$C$4395,3,0),"")</f>
        <v>0</v>
      </c>
    </row>
    <row r="2560" spans="1:9">
      <c r="A2560" s="6">
        <v>42053</v>
      </c>
      <c r="B2560" t="str">
        <f>IFERROR(VLOOKUP($A2560,原始数据_收盘!$A$4:$G$3460,2,0),"")</f>
        <v/>
      </c>
      <c r="C2560" t="str">
        <f>IFERROR(VLOOKUP($A2560,原始数据_收盘!$A$4:$G$3460,3,0),"")</f>
        <v/>
      </c>
      <c r="D2560" t="str">
        <f>IFERROR(VLOOKUP($A2560,原始数据_收盘!$A$4:$G$3460,4,0),"")</f>
        <v/>
      </c>
      <c r="E2560" t="str">
        <f>IFERROR(VLOOKUP($A2560,原始数据_收盘!$A$4:$G$3460,5,0),"")</f>
        <v/>
      </c>
      <c r="F2560" t="str">
        <f>IFERROR(VLOOKUP($A2560,原始数据_收盘!$A$4:$G$3460,6,0),"")</f>
        <v/>
      </c>
      <c r="G2560" t="str">
        <f>IFERROR(VLOOKUP($A2560,原始数据_收盘!$A$4:$G$3460,7,0),"")</f>
        <v/>
      </c>
      <c r="H2560" t="str">
        <f>IFERROR(VLOOKUP($A2560,原始数据_利率互换_FR007_1年!$A$6:$C$4395,2,0),"")</f>
        <v/>
      </c>
      <c r="I2560" t="str">
        <f>IFERROR(VLOOKUP($A2560,原始数据_利率互换_FR007_1年!$A$6:$C$4395,3,0),"")</f>
        <v/>
      </c>
    </row>
    <row r="2561" spans="1:9">
      <c r="A2561" s="6">
        <v>42054</v>
      </c>
      <c r="B2561" t="str">
        <f>IFERROR(VLOOKUP($A2561,原始数据_收盘!$A$4:$G$3460,2,0),"")</f>
        <v/>
      </c>
      <c r="C2561" t="str">
        <f>IFERROR(VLOOKUP($A2561,原始数据_收盘!$A$4:$G$3460,3,0),"")</f>
        <v/>
      </c>
      <c r="D2561" t="str">
        <f>IFERROR(VLOOKUP($A2561,原始数据_收盘!$A$4:$G$3460,4,0),"")</f>
        <v/>
      </c>
      <c r="E2561" t="str">
        <f>IFERROR(VLOOKUP($A2561,原始数据_收盘!$A$4:$G$3460,5,0),"")</f>
        <v/>
      </c>
      <c r="F2561" t="str">
        <f>IFERROR(VLOOKUP($A2561,原始数据_收盘!$A$4:$G$3460,6,0),"")</f>
        <v/>
      </c>
      <c r="G2561" t="str">
        <f>IFERROR(VLOOKUP($A2561,原始数据_收盘!$A$4:$G$3460,7,0),"")</f>
        <v/>
      </c>
      <c r="H2561" t="str">
        <f>IFERROR(VLOOKUP($A2561,原始数据_利率互换_FR007_1年!$A$6:$C$4395,2,0),"")</f>
        <v/>
      </c>
      <c r="I2561" t="str">
        <f>IFERROR(VLOOKUP($A2561,原始数据_利率互换_FR007_1年!$A$6:$C$4395,3,0),"")</f>
        <v/>
      </c>
    </row>
    <row r="2562" spans="1:9">
      <c r="A2562" s="6">
        <v>42055</v>
      </c>
      <c r="B2562" t="str">
        <f>IFERROR(VLOOKUP($A2562,原始数据_收盘!$A$4:$G$3460,2,0),"")</f>
        <v/>
      </c>
      <c r="C2562" t="str">
        <f>IFERROR(VLOOKUP($A2562,原始数据_收盘!$A$4:$G$3460,3,0),"")</f>
        <v/>
      </c>
      <c r="D2562" t="str">
        <f>IFERROR(VLOOKUP($A2562,原始数据_收盘!$A$4:$G$3460,4,0),"")</f>
        <v/>
      </c>
      <c r="E2562" t="str">
        <f>IFERROR(VLOOKUP($A2562,原始数据_收盘!$A$4:$G$3460,5,0),"")</f>
        <v/>
      </c>
      <c r="F2562" t="str">
        <f>IFERROR(VLOOKUP($A2562,原始数据_收盘!$A$4:$G$3460,6,0),"")</f>
        <v/>
      </c>
      <c r="G2562" t="str">
        <f>IFERROR(VLOOKUP($A2562,原始数据_收盘!$A$4:$G$3460,7,0),"")</f>
        <v/>
      </c>
      <c r="H2562" t="str">
        <f>IFERROR(VLOOKUP($A2562,原始数据_利率互换_FR007_1年!$A$6:$C$4395,2,0),"")</f>
        <v/>
      </c>
      <c r="I2562" t="str">
        <f>IFERROR(VLOOKUP($A2562,原始数据_利率互换_FR007_1年!$A$6:$C$4395,3,0),"")</f>
        <v/>
      </c>
    </row>
    <row r="2563" spans="1:9">
      <c r="A2563" s="6">
        <v>42056</v>
      </c>
      <c r="B2563" t="str">
        <f>IFERROR(VLOOKUP($A2563,原始数据_收盘!$A$4:$G$3460,2,0),"")</f>
        <v/>
      </c>
      <c r="C2563" t="str">
        <f>IFERROR(VLOOKUP($A2563,原始数据_收盘!$A$4:$G$3460,3,0),"")</f>
        <v/>
      </c>
      <c r="D2563" t="str">
        <f>IFERROR(VLOOKUP($A2563,原始数据_收盘!$A$4:$G$3460,4,0),"")</f>
        <v/>
      </c>
      <c r="E2563" t="str">
        <f>IFERROR(VLOOKUP($A2563,原始数据_收盘!$A$4:$G$3460,5,0),"")</f>
        <v/>
      </c>
      <c r="F2563" t="str">
        <f>IFERROR(VLOOKUP($A2563,原始数据_收盘!$A$4:$G$3460,6,0),"")</f>
        <v/>
      </c>
      <c r="G2563" t="str">
        <f>IFERROR(VLOOKUP($A2563,原始数据_收盘!$A$4:$G$3460,7,0),"")</f>
        <v/>
      </c>
      <c r="H2563" t="str">
        <f>IFERROR(VLOOKUP($A2563,原始数据_利率互换_FR007_1年!$A$6:$C$4395,2,0),"")</f>
        <v/>
      </c>
      <c r="I2563" t="str">
        <f>IFERROR(VLOOKUP($A2563,原始数据_利率互换_FR007_1年!$A$6:$C$4395,3,0),"")</f>
        <v/>
      </c>
    </row>
    <row r="2564" spans="1:9">
      <c r="A2564" s="6">
        <v>42057</v>
      </c>
      <c r="B2564" t="str">
        <f>IFERROR(VLOOKUP($A2564,原始数据_收盘!$A$4:$G$3460,2,0),"")</f>
        <v/>
      </c>
      <c r="C2564" t="str">
        <f>IFERROR(VLOOKUP($A2564,原始数据_收盘!$A$4:$G$3460,3,0),"")</f>
        <v/>
      </c>
      <c r="D2564" t="str">
        <f>IFERROR(VLOOKUP($A2564,原始数据_收盘!$A$4:$G$3460,4,0),"")</f>
        <v/>
      </c>
      <c r="E2564" t="str">
        <f>IFERROR(VLOOKUP($A2564,原始数据_收盘!$A$4:$G$3460,5,0),"")</f>
        <v/>
      </c>
      <c r="F2564" t="str">
        <f>IFERROR(VLOOKUP($A2564,原始数据_收盘!$A$4:$G$3460,6,0),"")</f>
        <v/>
      </c>
      <c r="G2564" t="str">
        <f>IFERROR(VLOOKUP($A2564,原始数据_收盘!$A$4:$G$3460,7,0),"")</f>
        <v/>
      </c>
      <c r="H2564" t="str">
        <f>IFERROR(VLOOKUP($A2564,原始数据_利率互换_FR007_1年!$A$6:$C$4395,2,0),"")</f>
        <v/>
      </c>
      <c r="I2564" t="str">
        <f>IFERROR(VLOOKUP($A2564,原始数据_利率互换_FR007_1年!$A$6:$C$4395,3,0),"")</f>
        <v/>
      </c>
    </row>
    <row r="2565" spans="1:9">
      <c r="A2565" s="6">
        <v>42058</v>
      </c>
      <c r="B2565" t="str">
        <f>IFERROR(VLOOKUP($A2565,原始数据_收盘!$A$4:$G$3460,2,0),"")</f>
        <v/>
      </c>
      <c r="C2565" t="str">
        <f>IFERROR(VLOOKUP($A2565,原始数据_收盘!$A$4:$G$3460,3,0),"")</f>
        <v/>
      </c>
      <c r="D2565" t="str">
        <f>IFERROR(VLOOKUP($A2565,原始数据_收盘!$A$4:$G$3460,4,0),"")</f>
        <v/>
      </c>
      <c r="E2565" t="str">
        <f>IFERROR(VLOOKUP($A2565,原始数据_收盘!$A$4:$G$3460,5,0),"")</f>
        <v/>
      </c>
      <c r="F2565" t="str">
        <f>IFERROR(VLOOKUP($A2565,原始数据_收盘!$A$4:$G$3460,6,0),"")</f>
        <v/>
      </c>
      <c r="G2565" t="str">
        <f>IFERROR(VLOOKUP($A2565,原始数据_收盘!$A$4:$G$3460,7,0),"")</f>
        <v/>
      </c>
      <c r="H2565" t="str">
        <f>IFERROR(VLOOKUP($A2565,原始数据_利率互换_FR007_1年!$A$6:$C$4395,2,0),"")</f>
        <v/>
      </c>
      <c r="I2565" t="str">
        <f>IFERROR(VLOOKUP($A2565,原始数据_利率互换_FR007_1年!$A$6:$C$4395,3,0),"")</f>
        <v/>
      </c>
    </row>
    <row r="2566" spans="1:9">
      <c r="A2566" s="6">
        <v>42059</v>
      </c>
      <c r="B2566" t="str">
        <f>IFERROR(VLOOKUP($A2566,原始数据_收盘!$A$4:$G$3460,2,0),"")</f>
        <v/>
      </c>
      <c r="C2566" t="str">
        <f>IFERROR(VLOOKUP($A2566,原始数据_收盘!$A$4:$G$3460,3,0),"")</f>
        <v/>
      </c>
      <c r="D2566" t="str">
        <f>IFERROR(VLOOKUP($A2566,原始数据_收盘!$A$4:$G$3460,4,0),"")</f>
        <v/>
      </c>
      <c r="E2566" t="str">
        <f>IFERROR(VLOOKUP($A2566,原始数据_收盘!$A$4:$G$3460,5,0),"")</f>
        <v/>
      </c>
      <c r="F2566" t="str">
        <f>IFERROR(VLOOKUP($A2566,原始数据_收盘!$A$4:$G$3460,6,0),"")</f>
        <v/>
      </c>
      <c r="G2566" t="str">
        <f>IFERROR(VLOOKUP($A2566,原始数据_收盘!$A$4:$G$3460,7,0),"")</f>
        <v/>
      </c>
      <c r="H2566" t="str">
        <f>IFERROR(VLOOKUP($A2566,原始数据_利率互换_FR007_1年!$A$6:$C$4395,2,0),"")</f>
        <v/>
      </c>
      <c r="I2566" t="str">
        <f>IFERROR(VLOOKUP($A2566,原始数据_利率互换_FR007_1年!$A$6:$C$4395,3,0),"")</f>
        <v/>
      </c>
    </row>
    <row r="2567" spans="1:9">
      <c r="A2567" s="6">
        <v>42060</v>
      </c>
      <c r="B2567">
        <f>IFERROR(VLOOKUP($A2567,原始数据_收盘!$A$4:$G$3460,2,0),"")</f>
        <v>3.2421</v>
      </c>
      <c r="C2567">
        <f>IFERROR(VLOOKUP($A2567,原始数据_收盘!$A$4:$G$3460,3,0),"")</f>
        <v>3.1825</v>
      </c>
      <c r="D2567">
        <f>IFERROR(VLOOKUP($A2567,原始数据_收盘!$A$4:$G$3460,4,0),"")</f>
        <v>3.2954</v>
      </c>
      <c r="E2567">
        <f>IFERROR(VLOOKUP($A2567,原始数据_收盘!$A$4:$G$3460,5,0),"")</f>
        <v>3.2379</v>
      </c>
      <c r="F2567">
        <f>IFERROR(VLOOKUP($A2567,原始数据_收盘!$A$4:$G$3460,6,0),"")</f>
        <v>3.2688</v>
      </c>
      <c r="G2567">
        <f>IFERROR(VLOOKUP($A2567,原始数据_收盘!$A$4:$G$3460,7,0),"")</f>
        <v>3.2102</v>
      </c>
      <c r="H2567">
        <f>IFERROR(VLOOKUP($A2567,原始数据_利率互换_FR007_1年!$A$6:$C$4395,2,0),"")</f>
        <v>3.26</v>
      </c>
      <c r="I2567">
        <f>IFERROR(VLOOKUP($A2567,原始数据_利率互换_FR007_1年!$A$6:$C$4395,3,0),"")</f>
        <v>3.1981</v>
      </c>
    </row>
    <row r="2568" spans="1:9">
      <c r="A2568" s="6">
        <v>42061</v>
      </c>
      <c r="B2568">
        <f>IFERROR(VLOOKUP($A2568,原始数据_收盘!$A$4:$G$3460,2,0),"")</f>
        <v>3.3296</v>
      </c>
      <c r="C2568">
        <f>IFERROR(VLOOKUP($A2568,原始数据_收盘!$A$4:$G$3460,3,0),"")</f>
        <v>3.2596</v>
      </c>
      <c r="D2568">
        <f>IFERROR(VLOOKUP($A2568,原始数据_收盘!$A$4:$G$3460,4,0),"")</f>
        <v>3.39</v>
      </c>
      <c r="E2568">
        <f>IFERROR(VLOOKUP($A2568,原始数据_收盘!$A$4:$G$3460,5,0),"")</f>
        <v>3.3225</v>
      </c>
      <c r="F2568">
        <f>IFERROR(VLOOKUP($A2568,原始数据_收盘!$A$4:$G$3460,6,0),"")</f>
        <v>3.3598</v>
      </c>
      <c r="G2568">
        <f>IFERROR(VLOOKUP($A2568,原始数据_收盘!$A$4:$G$3460,7,0),"")</f>
        <v>3.291</v>
      </c>
      <c r="H2568">
        <f>IFERROR(VLOOKUP($A2568,原始数据_利率互换_FR007_1年!$A$6:$C$4395,2,0),"")</f>
        <v>3.3429</v>
      </c>
      <c r="I2568">
        <f>IFERROR(VLOOKUP($A2568,原始数据_利率互换_FR007_1年!$A$6:$C$4395,3,0),"")</f>
        <v>3.2862</v>
      </c>
    </row>
    <row r="2569" spans="1:9">
      <c r="A2569" s="6">
        <v>42062</v>
      </c>
      <c r="B2569">
        <f>IFERROR(VLOOKUP($A2569,原始数据_收盘!$A$4:$G$3460,2,0),"")</f>
        <v>3.3541</v>
      </c>
      <c r="C2569">
        <f>IFERROR(VLOOKUP($A2569,原始数据_收盘!$A$4:$G$3460,3,0),"")</f>
        <v>3.2638</v>
      </c>
      <c r="D2569">
        <f>IFERROR(VLOOKUP($A2569,原始数据_收盘!$A$4:$G$3460,4,0),"")</f>
        <v>3.4079</v>
      </c>
      <c r="E2569">
        <f>IFERROR(VLOOKUP($A2569,原始数据_收盘!$A$4:$G$3460,5,0),"")</f>
        <v>3.3216</v>
      </c>
      <c r="F2569">
        <f>IFERROR(VLOOKUP($A2569,原始数据_收盘!$A$4:$G$3460,6,0),"")</f>
        <v>3.381</v>
      </c>
      <c r="G2569">
        <f>IFERROR(VLOOKUP($A2569,原始数据_收盘!$A$4:$G$3460,7,0),"")</f>
        <v>3.2927</v>
      </c>
      <c r="H2569">
        <f>IFERROR(VLOOKUP($A2569,原始数据_利率互换_FR007_1年!$A$6:$C$4395,2,0),"")</f>
        <v>3.389</v>
      </c>
      <c r="I2569">
        <f>IFERROR(VLOOKUP($A2569,原始数据_利率互换_FR007_1年!$A$6:$C$4395,3,0),"")</f>
        <v>3.2975</v>
      </c>
    </row>
    <row r="2570" spans="1:9">
      <c r="A2570" s="6">
        <v>42063</v>
      </c>
      <c r="B2570">
        <f>IFERROR(VLOOKUP($A2570,原始数据_收盘!$A$4:$G$3460,2,0),"")</f>
        <v>3.3528</v>
      </c>
      <c r="C2570">
        <f>IFERROR(VLOOKUP($A2570,原始数据_收盘!$A$4:$G$3460,3,0),"")</f>
        <v>3.265</v>
      </c>
      <c r="D2570">
        <f>IFERROR(VLOOKUP($A2570,原始数据_收盘!$A$4:$G$3460,4,0),"")</f>
        <v>3.4081</v>
      </c>
      <c r="E2570">
        <f>IFERROR(VLOOKUP($A2570,原始数据_收盘!$A$4:$G$3460,5,0),"")</f>
        <v>3.3216</v>
      </c>
      <c r="F2570">
        <f>IFERROR(VLOOKUP($A2570,原始数据_收盘!$A$4:$G$3460,6,0),"")</f>
        <v>3.3804</v>
      </c>
      <c r="G2570">
        <f>IFERROR(VLOOKUP($A2570,原始数据_收盘!$A$4:$G$3460,7,0),"")</f>
        <v>3.2933</v>
      </c>
      <c r="H2570">
        <f>IFERROR(VLOOKUP($A2570,原始数据_利率互换_FR007_1年!$A$6:$C$4395,2,0),"")</f>
        <v>3.3787</v>
      </c>
      <c r="I2570">
        <f>IFERROR(VLOOKUP($A2570,原始数据_利率互换_FR007_1年!$A$6:$C$4395,3,0),"")</f>
        <v>3.28</v>
      </c>
    </row>
    <row r="2571" spans="1:9">
      <c r="A2571" s="6">
        <v>42064</v>
      </c>
      <c r="B2571" t="str">
        <f>IFERROR(VLOOKUP($A2571,原始数据_收盘!$A$4:$G$3460,2,0),"")</f>
        <v/>
      </c>
      <c r="C2571" t="str">
        <f>IFERROR(VLOOKUP($A2571,原始数据_收盘!$A$4:$G$3460,3,0),"")</f>
        <v/>
      </c>
      <c r="D2571" t="str">
        <f>IFERROR(VLOOKUP($A2571,原始数据_收盘!$A$4:$G$3460,4,0),"")</f>
        <v/>
      </c>
      <c r="E2571" t="str">
        <f>IFERROR(VLOOKUP($A2571,原始数据_收盘!$A$4:$G$3460,5,0),"")</f>
        <v/>
      </c>
      <c r="F2571" t="str">
        <f>IFERROR(VLOOKUP($A2571,原始数据_收盘!$A$4:$G$3460,6,0),"")</f>
        <v/>
      </c>
      <c r="G2571" t="str">
        <f>IFERROR(VLOOKUP($A2571,原始数据_收盘!$A$4:$G$3460,7,0),"")</f>
        <v/>
      </c>
      <c r="H2571" t="str">
        <f>IFERROR(VLOOKUP($A2571,原始数据_利率互换_FR007_1年!$A$6:$C$4395,2,0),"")</f>
        <v/>
      </c>
      <c r="I2571" t="str">
        <f>IFERROR(VLOOKUP($A2571,原始数据_利率互换_FR007_1年!$A$6:$C$4395,3,0),"")</f>
        <v/>
      </c>
    </row>
    <row r="2572" spans="1:9">
      <c r="A2572" s="6">
        <v>42065</v>
      </c>
      <c r="B2572">
        <f>IFERROR(VLOOKUP($A2572,原始数据_收盘!$A$4:$G$3460,2,0),"")</f>
        <v>3.3638</v>
      </c>
      <c r="C2572">
        <f>IFERROR(VLOOKUP($A2572,原始数据_收盘!$A$4:$G$3460,3,0),"")</f>
        <v>3.2563</v>
      </c>
      <c r="D2572">
        <f>IFERROR(VLOOKUP($A2572,原始数据_收盘!$A$4:$G$3460,4,0),"")</f>
        <v>3.4191</v>
      </c>
      <c r="E2572">
        <f>IFERROR(VLOOKUP($A2572,原始数据_收盘!$A$4:$G$3460,5,0),"")</f>
        <v>3.315</v>
      </c>
      <c r="F2572">
        <f>IFERROR(VLOOKUP($A2572,原始数据_收盘!$A$4:$G$3460,6,0),"")</f>
        <v>3.3914</v>
      </c>
      <c r="G2572">
        <f>IFERROR(VLOOKUP($A2572,原始数据_收盘!$A$4:$G$3460,7,0),"")</f>
        <v>3.2856</v>
      </c>
      <c r="H2572">
        <f>IFERROR(VLOOKUP($A2572,原始数据_利率互换_FR007_1年!$A$6:$C$4395,2,0),"")</f>
        <v>3.374</v>
      </c>
      <c r="I2572">
        <f>IFERROR(VLOOKUP($A2572,原始数据_利率互换_FR007_1年!$A$6:$C$4395,3,0),"")</f>
        <v>3.2659</v>
      </c>
    </row>
    <row r="2573" spans="1:9">
      <c r="A2573" s="6">
        <v>42066</v>
      </c>
      <c r="B2573">
        <f>IFERROR(VLOOKUP($A2573,原始数据_收盘!$A$4:$G$3460,2,0),"")</f>
        <v>3.4008</v>
      </c>
      <c r="C2573">
        <f>IFERROR(VLOOKUP($A2573,原始数据_收盘!$A$4:$G$3460,3,0),"")</f>
        <v>3.2658</v>
      </c>
      <c r="D2573">
        <f>IFERROR(VLOOKUP($A2573,原始数据_收盘!$A$4:$G$3460,4,0),"")</f>
        <v>3.4591</v>
      </c>
      <c r="E2573">
        <f>IFERROR(VLOOKUP($A2573,原始数据_收盘!$A$4:$G$3460,5,0),"")</f>
        <v>3.3263</v>
      </c>
      <c r="F2573">
        <f>IFERROR(VLOOKUP($A2573,原始数据_收盘!$A$4:$G$3460,6,0),"")</f>
        <v>3.43</v>
      </c>
      <c r="G2573">
        <f>IFERROR(VLOOKUP($A2573,原始数据_收盘!$A$4:$G$3460,7,0),"")</f>
        <v>3.2961</v>
      </c>
      <c r="H2573">
        <f>IFERROR(VLOOKUP($A2573,原始数据_利率互换_FR007_1年!$A$6:$C$4395,2,0),"")</f>
        <v>3.4501</v>
      </c>
      <c r="I2573">
        <f>IFERROR(VLOOKUP($A2573,原始数据_利率互换_FR007_1年!$A$6:$C$4395,3,0),"")</f>
        <v>3.3087</v>
      </c>
    </row>
    <row r="2574" spans="1:9">
      <c r="A2574" s="6">
        <v>42067</v>
      </c>
      <c r="B2574">
        <f>IFERROR(VLOOKUP($A2574,原始数据_收盘!$A$4:$G$3460,2,0),"")</f>
        <v>3.4138</v>
      </c>
      <c r="C2574">
        <f>IFERROR(VLOOKUP($A2574,原始数据_收盘!$A$4:$G$3460,3,0),"")</f>
        <v>3.2691</v>
      </c>
      <c r="D2574">
        <f>IFERROR(VLOOKUP($A2574,原始数据_收盘!$A$4:$G$3460,4,0),"")</f>
        <v>3.47</v>
      </c>
      <c r="E2574">
        <f>IFERROR(VLOOKUP($A2574,原始数据_收盘!$A$4:$G$3460,5,0),"")</f>
        <v>3.3366</v>
      </c>
      <c r="F2574">
        <f>IFERROR(VLOOKUP($A2574,原始数据_收盘!$A$4:$G$3460,6,0),"")</f>
        <v>3.4419</v>
      </c>
      <c r="G2574">
        <f>IFERROR(VLOOKUP($A2574,原始数据_收盘!$A$4:$G$3460,7,0),"")</f>
        <v>3.3029</v>
      </c>
      <c r="H2574">
        <f>IFERROR(VLOOKUP($A2574,原始数据_利率互换_FR007_1年!$A$6:$C$4395,2,0),"")</f>
        <v>3.4403</v>
      </c>
      <c r="I2574">
        <f>IFERROR(VLOOKUP($A2574,原始数据_利率互换_FR007_1年!$A$6:$C$4395,3,0),"")</f>
        <v>3.2953</v>
      </c>
    </row>
    <row r="2575" spans="1:9">
      <c r="A2575" s="6">
        <v>42068</v>
      </c>
      <c r="B2575">
        <f>IFERROR(VLOOKUP($A2575,原始数据_收盘!$A$4:$G$3460,2,0),"")</f>
        <v>3.5217</v>
      </c>
      <c r="C2575">
        <f>IFERROR(VLOOKUP($A2575,原始数据_收盘!$A$4:$G$3460,3,0),"")</f>
        <v>3.3888</v>
      </c>
      <c r="D2575">
        <f>IFERROR(VLOOKUP($A2575,原始数据_收盘!$A$4:$G$3460,4,0),"")</f>
        <v>3.5779</v>
      </c>
      <c r="E2575">
        <f>IFERROR(VLOOKUP($A2575,原始数据_收盘!$A$4:$G$3460,5,0),"")</f>
        <v>3.4475</v>
      </c>
      <c r="F2575">
        <f>IFERROR(VLOOKUP($A2575,原始数据_收盘!$A$4:$G$3460,6,0),"")</f>
        <v>3.5498</v>
      </c>
      <c r="G2575">
        <f>IFERROR(VLOOKUP($A2575,原始数据_收盘!$A$4:$G$3460,7,0),"")</f>
        <v>3.4181</v>
      </c>
      <c r="H2575">
        <f>IFERROR(VLOOKUP($A2575,原始数据_利率互换_FR007_1年!$A$6:$C$4395,2,0),"")</f>
        <v>3.5196</v>
      </c>
      <c r="I2575">
        <f>IFERROR(VLOOKUP($A2575,原始数据_利率互换_FR007_1年!$A$6:$C$4395,3,0),"")</f>
        <v>3.3801</v>
      </c>
    </row>
    <row r="2576" spans="1:9">
      <c r="A2576" s="6">
        <v>42069</v>
      </c>
      <c r="B2576">
        <f>IFERROR(VLOOKUP($A2576,原始数据_收盘!$A$4:$G$3460,2,0),"")</f>
        <v>3.5696</v>
      </c>
      <c r="C2576">
        <f>IFERROR(VLOOKUP($A2576,原始数据_收盘!$A$4:$G$3460,3,0),"")</f>
        <v>3.4338</v>
      </c>
      <c r="D2576">
        <f>IFERROR(VLOOKUP($A2576,原始数据_收盘!$A$4:$G$3460,4,0),"")</f>
        <v>3.62</v>
      </c>
      <c r="E2576">
        <f>IFERROR(VLOOKUP($A2576,原始数据_收盘!$A$4:$G$3460,5,0),"")</f>
        <v>3.49</v>
      </c>
      <c r="F2576">
        <f>IFERROR(VLOOKUP($A2576,原始数据_收盘!$A$4:$G$3460,6,0),"")</f>
        <v>3.5948</v>
      </c>
      <c r="G2576">
        <f>IFERROR(VLOOKUP($A2576,原始数据_收盘!$A$4:$G$3460,7,0),"")</f>
        <v>3.4619</v>
      </c>
      <c r="H2576">
        <f>IFERROR(VLOOKUP($A2576,原始数据_利率互换_FR007_1年!$A$6:$C$4395,2,0),"")</f>
        <v>3.6192</v>
      </c>
      <c r="I2576">
        <f>IFERROR(VLOOKUP($A2576,原始数据_利率互换_FR007_1年!$A$6:$C$4395,3,0),"")</f>
        <v>3.4752</v>
      </c>
    </row>
    <row r="2577" spans="1:9">
      <c r="A2577" s="6">
        <v>42070</v>
      </c>
      <c r="B2577" t="str">
        <f>IFERROR(VLOOKUP($A2577,原始数据_收盘!$A$4:$G$3460,2,0),"")</f>
        <v/>
      </c>
      <c r="C2577" t="str">
        <f>IFERROR(VLOOKUP($A2577,原始数据_收盘!$A$4:$G$3460,3,0),"")</f>
        <v/>
      </c>
      <c r="D2577" t="str">
        <f>IFERROR(VLOOKUP($A2577,原始数据_收盘!$A$4:$G$3460,4,0),"")</f>
        <v/>
      </c>
      <c r="E2577" t="str">
        <f>IFERROR(VLOOKUP($A2577,原始数据_收盘!$A$4:$G$3460,5,0),"")</f>
        <v/>
      </c>
      <c r="F2577" t="str">
        <f>IFERROR(VLOOKUP($A2577,原始数据_收盘!$A$4:$G$3460,6,0),"")</f>
        <v/>
      </c>
      <c r="G2577" t="str">
        <f>IFERROR(VLOOKUP($A2577,原始数据_收盘!$A$4:$G$3460,7,0),"")</f>
        <v/>
      </c>
      <c r="H2577" t="str">
        <f>IFERROR(VLOOKUP($A2577,原始数据_利率互换_FR007_1年!$A$6:$C$4395,2,0),"")</f>
        <v/>
      </c>
      <c r="I2577" t="str">
        <f>IFERROR(VLOOKUP($A2577,原始数据_利率互换_FR007_1年!$A$6:$C$4395,3,0),"")</f>
        <v/>
      </c>
    </row>
    <row r="2578" spans="1:9">
      <c r="A2578" s="6">
        <v>42071</v>
      </c>
      <c r="B2578" t="str">
        <f>IFERROR(VLOOKUP($A2578,原始数据_收盘!$A$4:$G$3460,2,0),"")</f>
        <v/>
      </c>
      <c r="C2578" t="str">
        <f>IFERROR(VLOOKUP($A2578,原始数据_收盘!$A$4:$G$3460,3,0),"")</f>
        <v/>
      </c>
      <c r="D2578" t="str">
        <f>IFERROR(VLOOKUP($A2578,原始数据_收盘!$A$4:$G$3460,4,0),"")</f>
        <v/>
      </c>
      <c r="E2578" t="str">
        <f>IFERROR(VLOOKUP($A2578,原始数据_收盘!$A$4:$G$3460,5,0),"")</f>
        <v/>
      </c>
      <c r="F2578" t="str">
        <f>IFERROR(VLOOKUP($A2578,原始数据_收盘!$A$4:$G$3460,6,0),"")</f>
        <v/>
      </c>
      <c r="G2578" t="str">
        <f>IFERROR(VLOOKUP($A2578,原始数据_收盘!$A$4:$G$3460,7,0),"")</f>
        <v/>
      </c>
      <c r="H2578" t="str">
        <f>IFERROR(VLOOKUP($A2578,原始数据_利率互换_FR007_1年!$A$6:$C$4395,2,0),"")</f>
        <v/>
      </c>
      <c r="I2578" t="str">
        <f>IFERROR(VLOOKUP($A2578,原始数据_利率互换_FR007_1年!$A$6:$C$4395,3,0),"")</f>
        <v/>
      </c>
    </row>
    <row r="2579" spans="1:9">
      <c r="A2579" s="6">
        <v>42072</v>
      </c>
      <c r="B2579">
        <f>IFERROR(VLOOKUP($A2579,原始数据_收盘!$A$4:$G$3460,2,0),"")</f>
        <v>3.6404</v>
      </c>
      <c r="C2579">
        <f>IFERROR(VLOOKUP($A2579,原始数据_收盘!$A$4:$G$3460,3,0),"")</f>
        <v>3.5138</v>
      </c>
      <c r="D2579">
        <f>IFERROR(VLOOKUP($A2579,原始数据_收盘!$A$4:$G$3460,4,0),"")</f>
        <v>3.6921</v>
      </c>
      <c r="E2579">
        <f>IFERROR(VLOOKUP($A2579,原始数据_收盘!$A$4:$G$3460,5,0),"")</f>
        <v>3.57</v>
      </c>
      <c r="F2579">
        <f>IFERROR(VLOOKUP($A2579,原始数据_收盘!$A$4:$G$3460,6,0),"")</f>
        <v>3.6663</v>
      </c>
      <c r="G2579">
        <f>IFERROR(VLOOKUP($A2579,原始数据_收盘!$A$4:$G$3460,7,0),"")</f>
        <v>3.5419</v>
      </c>
      <c r="H2579">
        <f>IFERROR(VLOOKUP($A2579,原始数据_利率互换_FR007_1年!$A$6:$C$4395,2,0),"")</f>
        <v>3.6581</v>
      </c>
      <c r="I2579">
        <f>IFERROR(VLOOKUP($A2579,原始数据_利率互换_FR007_1年!$A$6:$C$4395,3,0),"")</f>
        <v>3.5495</v>
      </c>
    </row>
    <row r="2580" spans="1:9">
      <c r="A2580" s="6">
        <v>42073</v>
      </c>
      <c r="B2580">
        <f>IFERROR(VLOOKUP($A2580,原始数据_收盘!$A$4:$G$3460,2,0),"")</f>
        <v>3.6071</v>
      </c>
      <c r="C2580">
        <f>IFERROR(VLOOKUP($A2580,原始数据_收盘!$A$4:$G$3460,3,0),"")</f>
        <v>3.4763</v>
      </c>
      <c r="D2580">
        <f>IFERROR(VLOOKUP($A2580,原始数据_收盘!$A$4:$G$3460,4,0),"")</f>
        <v>3.6634</v>
      </c>
      <c r="E2580">
        <f>IFERROR(VLOOKUP($A2580,原始数据_收盘!$A$4:$G$3460,5,0),"")</f>
        <v>3.5363</v>
      </c>
      <c r="F2580">
        <f>IFERROR(VLOOKUP($A2580,原始数据_收盘!$A$4:$G$3460,6,0),"")</f>
        <v>3.6353</v>
      </c>
      <c r="G2580">
        <f>IFERROR(VLOOKUP($A2580,原始数据_收盘!$A$4:$G$3460,7,0),"")</f>
        <v>3.5063</v>
      </c>
      <c r="H2580">
        <f>IFERROR(VLOOKUP($A2580,原始数据_利率互换_FR007_1年!$A$6:$C$4395,2,0),"")</f>
        <v>3.6973</v>
      </c>
      <c r="I2580">
        <f>IFERROR(VLOOKUP($A2580,原始数据_利率互换_FR007_1年!$A$6:$C$4395,3,0),"")</f>
        <v>3.5066</v>
      </c>
    </row>
    <row r="2581" spans="1:9">
      <c r="A2581" s="6">
        <v>42074</v>
      </c>
      <c r="B2581">
        <f>IFERROR(VLOOKUP($A2581,原始数据_收盘!$A$4:$G$3460,2,0),"")</f>
        <v>3.4983</v>
      </c>
      <c r="C2581">
        <f>IFERROR(VLOOKUP($A2581,原始数据_收盘!$A$4:$G$3460,3,0),"")</f>
        <v>3.3625</v>
      </c>
      <c r="D2581">
        <f>IFERROR(VLOOKUP($A2581,原始数据_收盘!$A$4:$G$3460,4,0),"")</f>
        <v>3.5612</v>
      </c>
      <c r="E2581">
        <f>IFERROR(VLOOKUP($A2581,原始数据_收盘!$A$4:$G$3460,5,0),"")</f>
        <v>3.4263</v>
      </c>
      <c r="F2581">
        <f>IFERROR(VLOOKUP($A2581,原始数据_收盘!$A$4:$G$3460,6,0),"")</f>
        <v>3.5298</v>
      </c>
      <c r="G2581">
        <f>IFERROR(VLOOKUP($A2581,原始数据_收盘!$A$4:$G$3460,7,0),"")</f>
        <v>3.3944</v>
      </c>
      <c r="H2581">
        <f>IFERROR(VLOOKUP($A2581,原始数据_利率互换_FR007_1年!$A$6:$C$4395,2,0),"")</f>
        <v>3.5413</v>
      </c>
      <c r="I2581">
        <f>IFERROR(VLOOKUP($A2581,原始数据_利率互换_FR007_1年!$A$6:$C$4395,3,0),"")</f>
        <v>3.4137</v>
      </c>
    </row>
    <row r="2582" spans="1:9">
      <c r="A2582" s="6">
        <v>42075</v>
      </c>
      <c r="B2582">
        <f>IFERROR(VLOOKUP($A2582,原始数据_收盘!$A$4:$G$3460,2,0),"")</f>
        <v>3.4955</v>
      </c>
      <c r="C2582">
        <f>IFERROR(VLOOKUP($A2582,原始数据_收盘!$A$4:$G$3460,3,0),"")</f>
        <v>3.3513</v>
      </c>
      <c r="D2582">
        <f>IFERROR(VLOOKUP($A2582,原始数据_收盘!$A$4:$G$3460,4,0),"")</f>
        <v>3.5615</v>
      </c>
      <c r="E2582">
        <f>IFERROR(VLOOKUP($A2582,原始数据_收盘!$A$4:$G$3460,5,0),"")</f>
        <v>3.42</v>
      </c>
      <c r="F2582">
        <f>IFERROR(VLOOKUP($A2582,原始数据_收盘!$A$4:$G$3460,6,0),"")</f>
        <v>3.5285</v>
      </c>
      <c r="G2582">
        <f>IFERROR(VLOOKUP($A2582,原始数据_收盘!$A$4:$G$3460,7,0),"")</f>
        <v>3.3857</v>
      </c>
      <c r="H2582">
        <f>IFERROR(VLOOKUP($A2582,原始数据_利率互换_FR007_1年!$A$6:$C$4395,2,0),"")</f>
        <v>3.5299</v>
      </c>
      <c r="I2582">
        <f>IFERROR(VLOOKUP($A2582,原始数据_利率互换_FR007_1年!$A$6:$C$4395,3,0),"")</f>
        <v>3.4002</v>
      </c>
    </row>
    <row r="2583" spans="1:9">
      <c r="A2583" s="6">
        <v>42076</v>
      </c>
      <c r="B2583">
        <f>IFERROR(VLOOKUP($A2583,原始数据_收盘!$A$4:$G$3460,2,0),"")</f>
        <v>3.5655</v>
      </c>
      <c r="C2583">
        <f>IFERROR(VLOOKUP($A2583,原始数据_收盘!$A$4:$G$3460,3,0),"")</f>
        <v>3.4288</v>
      </c>
      <c r="D2583">
        <f>IFERROR(VLOOKUP($A2583,原始数据_收盘!$A$4:$G$3460,4,0),"")</f>
        <v>3.6258</v>
      </c>
      <c r="E2583">
        <f>IFERROR(VLOOKUP($A2583,原始数据_收盘!$A$4:$G$3460,5,0),"")</f>
        <v>3.48</v>
      </c>
      <c r="F2583">
        <f>IFERROR(VLOOKUP($A2583,原始数据_收盘!$A$4:$G$3460,6,0),"")</f>
        <v>3.5957</v>
      </c>
      <c r="G2583">
        <f>IFERROR(VLOOKUP($A2583,原始数据_收盘!$A$4:$G$3460,7,0),"")</f>
        <v>3.4544</v>
      </c>
      <c r="H2583">
        <f>IFERROR(VLOOKUP($A2583,原始数据_利率互换_FR007_1年!$A$6:$C$4395,2,0),"")</f>
        <v>3.5864</v>
      </c>
      <c r="I2583">
        <f>IFERROR(VLOOKUP($A2583,原始数据_利率互换_FR007_1年!$A$6:$C$4395,3,0),"")</f>
        <v>3.439</v>
      </c>
    </row>
    <row r="2584" spans="1:9">
      <c r="A2584" s="6">
        <v>42077</v>
      </c>
      <c r="B2584" t="str">
        <f>IFERROR(VLOOKUP($A2584,原始数据_收盘!$A$4:$G$3460,2,0),"")</f>
        <v/>
      </c>
      <c r="C2584" t="str">
        <f>IFERROR(VLOOKUP($A2584,原始数据_收盘!$A$4:$G$3460,3,0),"")</f>
        <v/>
      </c>
      <c r="D2584" t="str">
        <f>IFERROR(VLOOKUP($A2584,原始数据_收盘!$A$4:$G$3460,4,0),"")</f>
        <v/>
      </c>
      <c r="E2584" t="str">
        <f>IFERROR(VLOOKUP($A2584,原始数据_收盘!$A$4:$G$3460,5,0),"")</f>
        <v/>
      </c>
      <c r="F2584" t="str">
        <f>IFERROR(VLOOKUP($A2584,原始数据_收盘!$A$4:$G$3460,6,0),"")</f>
        <v/>
      </c>
      <c r="G2584" t="str">
        <f>IFERROR(VLOOKUP($A2584,原始数据_收盘!$A$4:$G$3460,7,0),"")</f>
        <v/>
      </c>
      <c r="H2584" t="str">
        <f>IFERROR(VLOOKUP($A2584,原始数据_利率互换_FR007_1年!$A$6:$C$4395,2,0),"")</f>
        <v/>
      </c>
      <c r="I2584" t="str">
        <f>IFERROR(VLOOKUP($A2584,原始数据_利率互换_FR007_1年!$A$6:$C$4395,3,0),"")</f>
        <v/>
      </c>
    </row>
    <row r="2585" spans="1:9">
      <c r="A2585" s="6">
        <v>42078</v>
      </c>
      <c r="B2585" t="str">
        <f>IFERROR(VLOOKUP($A2585,原始数据_收盘!$A$4:$G$3460,2,0),"")</f>
        <v/>
      </c>
      <c r="C2585" t="str">
        <f>IFERROR(VLOOKUP($A2585,原始数据_收盘!$A$4:$G$3460,3,0),"")</f>
        <v/>
      </c>
      <c r="D2585" t="str">
        <f>IFERROR(VLOOKUP($A2585,原始数据_收盘!$A$4:$G$3460,4,0),"")</f>
        <v/>
      </c>
      <c r="E2585" t="str">
        <f>IFERROR(VLOOKUP($A2585,原始数据_收盘!$A$4:$G$3460,5,0),"")</f>
        <v/>
      </c>
      <c r="F2585" t="str">
        <f>IFERROR(VLOOKUP($A2585,原始数据_收盘!$A$4:$G$3460,6,0),"")</f>
        <v/>
      </c>
      <c r="G2585" t="str">
        <f>IFERROR(VLOOKUP($A2585,原始数据_收盘!$A$4:$G$3460,7,0),"")</f>
        <v/>
      </c>
      <c r="H2585" t="str">
        <f>IFERROR(VLOOKUP($A2585,原始数据_利率互换_FR007_1年!$A$6:$C$4395,2,0),"")</f>
        <v/>
      </c>
      <c r="I2585" t="str">
        <f>IFERROR(VLOOKUP($A2585,原始数据_利率互换_FR007_1年!$A$6:$C$4395,3,0),"")</f>
        <v/>
      </c>
    </row>
    <row r="2586" spans="1:9">
      <c r="A2586" s="6">
        <v>42079</v>
      </c>
      <c r="B2586">
        <f>IFERROR(VLOOKUP($A2586,原始数据_收盘!$A$4:$G$3460,2,0),"")</f>
        <v>3.7238</v>
      </c>
      <c r="C2586">
        <f>IFERROR(VLOOKUP($A2586,原始数据_收盘!$A$4:$G$3460,3,0),"")</f>
        <v>3.5592</v>
      </c>
      <c r="D2586">
        <f>IFERROR(VLOOKUP($A2586,原始数据_收盘!$A$4:$G$3460,4,0),"")</f>
        <v>3.7725</v>
      </c>
      <c r="E2586">
        <f>IFERROR(VLOOKUP($A2586,原始数据_收盘!$A$4:$G$3460,5,0),"")</f>
        <v>3.6221</v>
      </c>
      <c r="F2586">
        <f>IFERROR(VLOOKUP($A2586,原始数据_收盘!$A$4:$G$3460,6,0),"")</f>
        <v>3.7481</v>
      </c>
      <c r="G2586">
        <f>IFERROR(VLOOKUP($A2586,原始数据_收盘!$A$4:$G$3460,7,0),"")</f>
        <v>3.5906</v>
      </c>
      <c r="H2586">
        <f>IFERROR(VLOOKUP($A2586,原始数据_利率互换_FR007_1年!$A$6:$C$4395,2,0),"")</f>
        <v>3.7104</v>
      </c>
      <c r="I2586">
        <f>IFERROR(VLOOKUP($A2586,原始数据_利率互换_FR007_1年!$A$6:$C$4395,3,0),"")</f>
        <v>3.5449</v>
      </c>
    </row>
    <row r="2587" spans="1:9">
      <c r="A2587" s="6">
        <v>42080</v>
      </c>
      <c r="B2587">
        <f>IFERROR(VLOOKUP($A2587,原始数据_收盘!$A$4:$G$3460,2,0),"")</f>
        <v>3.6219</v>
      </c>
      <c r="C2587">
        <f>IFERROR(VLOOKUP($A2587,原始数据_收盘!$A$4:$G$3460,3,0),"")</f>
        <v>3.4811</v>
      </c>
      <c r="D2587">
        <f>IFERROR(VLOOKUP($A2587,原始数据_收盘!$A$4:$G$3460,4,0),"")</f>
        <v>3.6814</v>
      </c>
      <c r="E2587">
        <f>IFERROR(VLOOKUP($A2587,原始数据_收盘!$A$4:$G$3460,5,0),"")</f>
        <v>3.5411</v>
      </c>
      <c r="F2587">
        <f>IFERROR(VLOOKUP($A2587,原始数据_收盘!$A$4:$G$3460,6,0),"")</f>
        <v>3.6517</v>
      </c>
      <c r="G2587">
        <f>IFERROR(VLOOKUP($A2587,原始数据_收盘!$A$4:$G$3460,7,0),"")</f>
        <v>3.5111</v>
      </c>
      <c r="H2587">
        <f>IFERROR(VLOOKUP($A2587,原始数据_利率互换_FR007_1年!$A$6:$C$4395,2,0),"")</f>
        <v>3.6989</v>
      </c>
      <c r="I2587">
        <f>IFERROR(VLOOKUP($A2587,原始数据_利率互换_FR007_1年!$A$6:$C$4395,3,0),"")</f>
        <v>3.5555</v>
      </c>
    </row>
    <row r="2588" spans="1:9">
      <c r="A2588" s="6">
        <v>42081</v>
      </c>
      <c r="B2588">
        <f>IFERROR(VLOOKUP($A2588,原始数据_收盘!$A$4:$G$3460,2,0),"")</f>
        <v>3.6345</v>
      </c>
      <c r="C2588">
        <f>IFERROR(VLOOKUP($A2588,原始数据_收盘!$A$4:$G$3460,3,0),"")</f>
        <v>3.5063</v>
      </c>
      <c r="D2588">
        <f>IFERROR(VLOOKUP($A2588,原始数据_收盘!$A$4:$G$3460,4,0),"")</f>
        <v>3.6838</v>
      </c>
      <c r="E2588">
        <f>IFERROR(VLOOKUP($A2588,原始数据_收盘!$A$4:$G$3460,5,0),"")</f>
        <v>3.5638</v>
      </c>
      <c r="F2588">
        <f>IFERROR(VLOOKUP($A2588,原始数据_收盘!$A$4:$G$3460,6,0),"")</f>
        <v>3.6591</v>
      </c>
      <c r="G2588">
        <f>IFERROR(VLOOKUP($A2588,原始数据_收盘!$A$4:$G$3460,7,0),"")</f>
        <v>3.535</v>
      </c>
      <c r="H2588">
        <f>IFERROR(VLOOKUP($A2588,原始数据_利率互换_FR007_1年!$A$6:$C$4395,2,0),"")</f>
        <v>3.6305</v>
      </c>
      <c r="I2588">
        <f>IFERROR(VLOOKUP($A2588,原始数据_利率互换_FR007_1年!$A$6:$C$4395,3,0),"")</f>
        <v>3.5015</v>
      </c>
    </row>
    <row r="2589" spans="1:9">
      <c r="A2589" s="6">
        <v>42082</v>
      </c>
      <c r="B2589">
        <f>IFERROR(VLOOKUP($A2589,原始数据_收盘!$A$4:$G$3460,2,0),"")</f>
        <v>3.5</v>
      </c>
      <c r="C2589">
        <f>IFERROR(VLOOKUP($A2589,原始数据_收盘!$A$4:$G$3460,3,0),"")</f>
        <v>3.4108</v>
      </c>
      <c r="D2589">
        <f>IFERROR(VLOOKUP($A2589,原始数据_收盘!$A$4:$G$3460,4,0),"")</f>
        <v>3.5605</v>
      </c>
      <c r="E2589">
        <f>IFERROR(VLOOKUP($A2589,原始数据_收盘!$A$4:$G$3460,5,0),"")</f>
        <v>3.4795</v>
      </c>
      <c r="F2589">
        <f>IFERROR(VLOOKUP($A2589,原始数据_收盘!$A$4:$G$3460,6,0),"")</f>
        <v>3.5302</v>
      </c>
      <c r="G2589">
        <f>IFERROR(VLOOKUP($A2589,原始数据_收盘!$A$4:$G$3460,7,0),"")</f>
        <v>3.4452</v>
      </c>
      <c r="H2589">
        <f>IFERROR(VLOOKUP($A2589,原始数据_利率互换_FR007_1年!$A$6:$C$4395,2,0),"")</f>
        <v>3.5749</v>
      </c>
      <c r="I2589">
        <f>IFERROR(VLOOKUP($A2589,原始数据_利率互换_FR007_1年!$A$6:$C$4395,3,0),"")</f>
        <v>3.4741</v>
      </c>
    </row>
    <row r="2590" spans="1:9">
      <c r="A2590" s="6">
        <v>42083</v>
      </c>
      <c r="B2590">
        <f>IFERROR(VLOOKUP($A2590,原始数据_收盘!$A$4:$G$3460,2,0),"")</f>
        <v>3.3913</v>
      </c>
      <c r="C2590">
        <f>IFERROR(VLOOKUP($A2590,原始数据_收盘!$A$4:$G$3460,3,0),"")</f>
        <v>3.3471</v>
      </c>
      <c r="D2590">
        <f>IFERROR(VLOOKUP($A2590,原始数据_收盘!$A$4:$G$3460,4,0),"")</f>
        <v>3.4463</v>
      </c>
      <c r="E2590">
        <f>IFERROR(VLOOKUP($A2590,原始数据_收盘!$A$4:$G$3460,5,0),"")</f>
        <v>3.4</v>
      </c>
      <c r="F2590">
        <f>IFERROR(VLOOKUP($A2590,原始数据_收盘!$A$4:$G$3460,6,0),"")</f>
        <v>3.4188</v>
      </c>
      <c r="G2590">
        <f>IFERROR(VLOOKUP($A2590,原始数据_收盘!$A$4:$G$3460,7,0),"")</f>
        <v>3.3735</v>
      </c>
      <c r="H2590">
        <f>IFERROR(VLOOKUP($A2590,原始数据_利率互换_FR007_1年!$A$6:$C$4395,2,0),"")</f>
        <v>3.4371</v>
      </c>
      <c r="I2590">
        <f>IFERROR(VLOOKUP($A2590,原始数据_利率互换_FR007_1年!$A$6:$C$4395,3,0),"")</f>
        <v>3.3797</v>
      </c>
    </row>
    <row r="2591" spans="1:9">
      <c r="A2591" s="6">
        <v>42084</v>
      </c>
      <c r="B2591" t="str">
        <f>IFERROR(VLOOKUP($A2591,原始数据_收盘!$A$4:$G$3460,2,0),"")</f>
        <v/>
      </c>
      <c r="C2591" t="str">
        <f>IFERROR(VLOOKUP($A2591,原始数据_收盘!$A$4:$G$3460,3,0),"")</f>
        <v/>
      </c>
      <c r="D2591" t="str">
        <f>IFERROR(VLOOKUP($A2591,原始数据_收盘!$A$4:$G$3460,4,0),"")</f>
        <v/>
      </c>
      <c r="E2591" t="str">
        <f>IFERROR(VLOOKUP($A2591,原始数据_收盘!$A$4:$G$3460,5,0),"")</f>
        <v/>
      </c>
      <c r="F2591" t="str">
        <f>IFERROR(VLOOKUP($A2591,原始数据_收盘!$A$4:$G$3460,6,0),"")</f>
        <v/>
      </c>
      <c r="G2591" t="str">
        <f>IFERROR(VLOOKUP($A2591,原始数据_收盘!$A$4:$G$3460,7,0),"")</f>
        <v/>
      </c>
      <c r="H2591" t="str">
        <f>IFERROR(VLOOKUP($A2591,原始数据_利率互换_FR007_1年!$A$6:$C$4395,2,0),"")</f>
        <v/>
      </c>
      <c r="I2591" t="str">
        <f>IFERROR(VLOOKUP($A2591,原始数据_利率互换_FR007_1年!$A$6:$C$4395,3,0),"")</f>
        <v/>
      </c>
    </row>
    <row r="2592" spans="1:9">
      <c r="A2592" s="6">
        <v>42085</v>
      </c>
      <c r="B2592" t="str">
        <f>IFERROR(VLOOKUP($A2592,原始数据_收盘!$A$4:$G$3460,2,0),"")</f>
        <v/>
      </c>
      <c r="C2592" t="str">
        <f>IFERROR(VLOOKUP($A2592,原始数据_收盘!$A$4:$G$3460,3,0),"")</f>
        <v/>
      </c>
      <c r="D2592" t="str">
        <f>IFERROR(VLOOKUP($A2592,原始数据_收盘!$A$4:$G$3460,4,0),"")</f>
        <v/>
      </c>
      <c r="E2592" t="str">
        <f>IFERROR(VLOOKUP($A2592,原始数据_收盘!$A$4:$G$3460,5,0),"")</f>
        <v/>
      </c>
      <c r="F2592" t="str">
        <f>IFERROR(VLOOKUP($A2592,原始数据_收盘!$A$4:$G$3460,6,0),"")</f>
        <v/>
      </c>
      <c r="G2592" t="str">
        <f>IFERROR(VLOOKUP($A2592,原始数据_收盘!$A$4:$G$3460,7,0),"")</f>
        <v/>
      </c>
      <c r="H2592" t="str">
        <f>IFERROR(VLOOKUP($A2592,原始数据_利率互换_FR007_1年!$A$6:$C$4395,2,0),"")</f>
        <v/>
      </c>
      <c r="I2592" t="str">
        <f>IFERROR(VLOOKUP($A2592,原始数据_利率互换_FR007_1年!$A$6:$C$4395,3,0),"")</f>
        <v/>
      </c>
    </row>
    <row r="2593" spans="1:9">
      <c r="A2593" s="6">
        <v>42086</v>
      </c>
      <c r="B2593">
        <f>IFERROR(VLOOKUP($A2593,原始数据_收盘!$A$4:$G$3460,2,0),"")</f>
        <v>3.4142</v>
      </c>
      <c r="C2593">
        <f>IFERROR(VLOOKUP($A2593,原始数据_收盘!$A$4:$G$3460,3,0),"")</f>
        <v>3.3866</v>
      </c>
      <c r="D2593">
        <f>IFERROR(VLOOKUP($A2593,原始数据_收盘!$A$4:$G$3460,4,0),"")</f>
        <v>3.4754</v>
      </c>
      <c r="E2593">
        <f>IFERROR(VLOOKUP($A2593,原始数据_收盘!$A$4:$G$3460,5,0),"")</f>
        <v>3.4546</v>
      </c>
      <c r="F2593">
        <f>IFERROR(VLOOKUP($A2593,原始数据_收盘!$A$4:$G$3460,6,0),"")</f>
        <v>3.4448</v>
      </c>
      <c r="G2593">
        <f>IFERROR(VLOOKUP($A2593,原始数据_收盘!$A$4:$G$3460,7,0),"")</f>
        <v>3.4206</v>
      </c>
      <c r="H2593">
        <f>IFERROR(VLOOKUP($A2593,原始数据_利率互换_FR007_1年!$A$6:$C$4395,2,0),"")</f>
        <v>3.4325</v>
      </c>
      <c r="I2593">
        <f>IFERROR(VLOOKUP($A2593,原始数据_利率互换_FR007_1年!$A$6:$C$4395,3,0),"")</f>
        <v>3.4179</v>
      </c>
    </row>
    <row r="2594" spans="1:9">
      <c r="A2594" s="6">
        <v>42087</v>
      </c>
      <c r="B2594">
        <f>IFERROR(VLOOKUP($A2594,原始数据_收盘!$A$4:$G$3460,2,0),"")</f>
        <v>3.385</v>
      </c>
      <c r="C2594">
        <f>IFERROR(VLOOKUP($A2594,原始数据_收盘!$A$4:$G$3460,3,0),"")</f>
        <v>3.3779</v>
      </c>
      <c r="D2594">
        <f>IFERROR(VLOOKUP($A2594,原始数据_收盘!$A$4:$G$3460,4,0),"")</f>
        <v>3.4412</v>
      </c>
      <c r="E2594">
        <f>IFERROR(VLOOKUP($A2594,原始数据_收盘!$A$4:$G$3460,5,0),"")</f>
        <v>3.4509</v>
      </c>
      <c r="F2594">
        <f>IFERROR(VLOOKUP($A2594,原始数据_收盘!$A$4:$G$3460,6,0),"")</f>
        <v>3.4131</v>
      </c>
      <c r="G2594">
        <f>IFERROR(VLOOKUP($A2594,原始数据_收盘!$A$4:$G$3460,7,0),"")</f>
        <v>3.4144</v>
      </c>
      <c r="H2594">
        <f>IFERROR(VLOOKUP($A2594,原始数据_利率互换_FR007_1年!$A$6:$C$4395,2,0),"")</f>
        <v>3.4048</v>
      </c>
      <c r="I2594">
        <f>IFERROR(VLOOKUP($A2594,原始数据_利率互换_FR007_1年!$A$6:$C$4395,3,0),"")</f>
        <v>3.4104</v>
      </c>
    </row>
    <row r="2595" spans="1:9">
      <c r="A2595" s="6">
        <v>42088</v>
      </c>
      <c r="B2595">
        <f>IFERROR(VLOOKUP($A2595,原始数据_收盘!$A$4:$G$3460,2,0),"")</f>
        <v>3.3817</v>
      </c>
      <c r="C2595">
        <f>IFERROR(VLOOKUP($A2595,原始数据_收盘!$A$4:$G$3460,3,0),"")</f>
        <v>3.4033</v>
      </c>
      <c r="D2595">
        <f>IFERROR(VLOOKUP($A2595,原始数据_收盘!$A$4:$G$3460,4,0),"")</f>
        <v>3.4345</v>
      </c>
      <c r="E2595">
        <f>IFERROR(VLOOKUP($A2595,原始数据_收盘!$A$4:$G$3460,5,0),"")</f>
        <v>3.4692</v>
      </c>
      <c r="F2595">
        <f>IFERROR(VLOOKUP($A2595,原始数据_收盘!$A$4:$G$3460,6,0),"")</f>
        <v>3.4081</v>
      </c>
      <c r="G2595">
        <f>IFERROR(VLOOKUP($A2595,原始数据_收盘!$A$4:$G$3460,7,0),"")</f>
        <v>3.4362</v>
      </c>
      <c r="H2595">
        <f>IFERROR(VLOOKUP($A2595,原始数据_利率互换_FR007_1年!$A$6:$C$4395,2,0),"")</f>
        <v>3.3817</v>
      </c>
      <c r="I2595">
        <f>IFERROR(VLOOKUP($A2595,原始数据_利率互换_FR007_1年!$A$6:$C$4395,3,0),"")</f>
        <v>3.4273</v>
      </c>
    </row>
    <row r="2596" spans="1:9">
      <c r="A2596" s="6">
        <v>42089</v>
      </c>
      <c r="B2596">
        <f>IFERROR(VLOOKUP($A2596,原始数据_收盘!$A$4:$G$3460,2,0),"")</f>
        <v>3.485</v>
      </c>
      <c r="C2596">
        <f>IFERROR(VLOOKUP($A2596,原始数据_收盘!$A$4:$G$3460,3,0),"")</f>
        <v>3.5492</v>
      </c>
      <c r="D2596">
        <f>IFERROR(VLOOKUP($A2596,原始数据_收盘!$A$4:$G$3460,4,0),"")</f>
        <v>3.545</v>
      </c>
      <c r="E2596">
        <f>IFERROR(VLOOKUP($A2596,原始数据_收盘!$A$4:$G$3460,5,0),"")</f>
        <v>3.6167</v>
      </c>
      <c r="F2596">
        <f>IFERROR(VLOOKUP($A2596,原始数据_收盘!$A$4:$G$3460,6,0),"")</f>
        <v>3.515</v>
      </c>
      <c r="G2596">
        <f>IFERROR(VLOOKUP($A2596,原始数据_收盘!$A$4:$G$3460,7,0),"")</f>
        <v>3.5829</v>
      </c>
      <c r="H2596">
        <f>IFERROR(VLOOKUP($A2596,原始数据_利率互换_FR007_1年!$A$6:$C$4395,2,0),"")</f>
        <v>3.4574</v>
      </c>
      <c r="I2596">
        <f>IFERROR(VLOOKUP($A2596,原始数据_利率互换_FR007_1年!$A$6:$C$4395,3,0),"")</f>
        <v>3.5185</v>
      </c>
    </row>
    <row r="2597" spans="1:9">
      <c r="A2597" s="6">
        <v>42090</v>
      </c>
      <c r="B2597">
        <f>IFERROR(VLOOKUP($A2597,原始数据_收盘!$A$4:$G$3460,2,0),"")</f>
        <v>3.503</v>
      </c>
      <c r="C2597">
        <f>IFERROR(VLOOKUP($A2597,原始数据_收盘!$A$4:$G$3460,3,0),"")</f>
        <v>3.5913</v>
      </c>
      <c r="D2597">
        <f>IFERROR(VLOOKUP($A2597,原始数据_收盘!$A$4:$G$3460,4,0),"")</f>
        <v>3.5616</v>
      </c>
      <c r="E2597">
        <f>IFERROR(VLOOKUP($A2597,原始数据_收盘!$A$4:$G$3460,5,0),"")</f>
        <v>3.655</v>
      </c>
      <c r="F2597">
        <f>IFERROR(VLOOKUP($A2597,原始数据_收盘!$A$4:$G$3460,6,0),"")</f>
        <v>3.5323</v>
      </c>
      <c r="G2597">
        <f>IFERROR(VLOOKUP($A2597,原始数据_收盘!$A$4:$G$3460,7,0),"")</f>
        <v>3.6231</v>
      </c>
      <c r="H2597">
        <f>IFERROR(VLOOKUP($A2597,原始数据_利率互换_FR007_1年!$A$6:$C$4395,2,0),"")</f>
        <v>3.555</v>
      </c>
      <c r="I2597">
        <f>IFERROR(VLOOKUP($A2597,原始数据_利率互换_FR007_1年!$A$6:$C$4395,3,0),"")</f>
        <v>3.6449</v>
      </c>
    </row>
    <row r="2598" spans="1:9">
      <c r="A2598" s="6">
        <v>42091</v>
      </c>
      <c r="B2598" t="str">
        <f>IFERROR(VLOOKUP($A2598,原始数据_收盘!$A$4:$G$3460,2,0),"")</f>
        <v/>
      </c>
      <c r="C2598" t="str">
        <f>IFERROR(VLOOKUP($A2598,原始数据_收盘!$A$4:$G$3460,3,0),"")</f>
        <v/>
      </c>
      <c r="D2598" t="str">
        <f>IFERROR(VLOOKUP($A2598,原始数据_收盘!$A$4:$G$3460,4,0),"")</f>
        <v/>
      </c>
      <c r="E2598" t="str">
        <f>IFERROR(VLOOKUP($A2598,原始数据_收盘!$A$4:$G$3460,5,0),"")</f>
        <v/>
      </c>
      <c r="F2598" t="str">
        <f>IFERROR(VLOOKUP($A2598,原始数据_收盘!$A$4:$G$3460,6,0),"")</f>
        <v/>
      </c>
      <c r="G2598" t="str">
        <f>IFERROR(VLOOKUP($A2598,原始数据_收盘!$A$4:$G$3460,7,0),"")</f>
        <v/>
      </c>
      <c r="H2598" t="str">
        <f>IFERROR(VLOOKUP($A2598,原始数据_利率互换_FR007_1年!$A$6:$C$4395,2,0),"")</f>
        <v/>
      </c>
      <c r="I2598" t="str">
        <f>IFERROR(VLOOKUP($A2598,原始数据_利率互换_FR007_1年!$A$6:$C$4395,3,0),"")</f>
        <v/>
      </c>
    </row>
    <row r="2599" spans="1:9">
      <c r="A2599" s="6">
        <v>42092</v>
      </c>
      <c r="B2599" t="str">
        <f>IFERROR(VLOOKUP($A2599,原始数据_收盘!$A$4:$G$3460,2,0),"")</f>
        <v/>
      </c>
      <c r="C2599" t="str">
        <f>IFERROR(VLOOKUP($A2599,原始数据_收盘!$A$4:$G$3460,3,0),"")</f>
        <v/>
      </c>
      <c r="D2599" t="str">
        <f>IFERROR(VLOOKUP($A2599,原始数据_收盘!$A$4:$G$3460,4,0),"")</f>
        <v/>
      </c>
      <c r="E2599" t="str">
        <f>IFERROR(VLOOKUP($A2599,原始数据_收盘!$A$4:$G$3460,5,0),"")</f>
        <v/>
      </c>
      <c r="F2599" t="str">
        <f>IFERROR(VLOOKUP($A2599,原始数据_收盘!$A$4:$G$3460,6,0),"")</f>
        <v/>
      </c>
      <c r="G2599" t="str">
        <f>IFERROR(VLOOKUP($A2599,原始数据_收盘!$A$4:$G$3460,7,0),"")</f>
        <v/>
      </c>
      <c r="H2599" t="str">
        <f>IFERROR(VLOOKUP($A2599,原始数据_利率互换_FR007_1年!$A$6:$C$4395,2,0),"")</f>
        <v/>
      </c>
      <c r="I2599" t="str">
        <f>IFERROR(VLOOKUP($A2599,原始数据_利率互换_FR007_1年!$A$6:$C$4395,3,0),"")</f>
        <v/>
      </c>
    </row>
    <row r="2600" spans="1:9">
      <c r="A2600" s="6">
        <v>42093</v>
      </c>
      <c r="B2600">
        <f>IFERROR(VLOOKUP($A2600,原始数据_收盘!$A$4:$G$3460,2,0),"")</f>
        <v>3.5383</v>
      </c>
      <c r="C2600">
        <f>IFERROR(VLOOKUP($A2600,原始数据_收盘!$A$4:$G$3460,3,0),"")</f>
        <v>3.6595</v>
      </c>
      <c r="D2600">
        <f>IFERROR(VLOOKUP($A2600,原始数据_收盘!$A$4:$G$3460,4,0),"")</f>
        <v>3.5975</v>
      </c>
      <c r="E2600">
        <f>IFERROR(VLOOKUP($A2600,原始数据_收盘!$A$4:$G$3460,5,0),"")</f>
        <v>3.7213</v>
      </c>
      <c r="F2600">
        <f>IFERROR(VLOOKUP($A2600,原始数据_收盘!$A$4:$G$3460,6,0),"")</f>
        <v>3.5679</v>
      </c>
      <c r="G2600">
        <f>IFERROR(VLOOKUP($A2600,原始数据_收盘!$A$4:$G$3460,7,0),"")</f>
        <v>3.6904</v>
      </c>
      <c r="H2600">
        <f>IFERROR(VLOOKUP($A2600,原始数据_利率互换_FR007_1年!$A$6:$C$4395,2,0),"")</f>
        <v>3.5741</v>
      </c>
      <c r="I2600">
        <f>IFERROR(VLOOKUP($A2600,原始数据_利率互换_FR007_1年!$A$6:$C$4395,3,0),"")</f>
        <v>3.6985</v>
      </c>
    </row>
    <row r="2601" spans="1:9">
      <c r="A2601" s="6">
        <v>42094</v>
      </c>
      <c r="B2601">
        <f>IFERROR(VLOOKUP($A2601,原始数据_收盘!$A$4:$G$3460,2,0),"")</f>
        <v>3.5356</v>
      </c>
      <c r="C2601">
        <f>IFERROR(VLOOKUP($A2601,原始数据_收盘!$A$4:$G$3460,3,0),"")</f>
        <v>3.64</v>
      </c>
      <c r="D2601">
        <f>IFERROR(VLOOKUP($A2601,原始数据_收盘!$A$4:$G$3460,4,0),"")</f>
        <v>3.5963</v>
      </c>
      <c r="E2601">
        <f>IFERROR(VLOOKUP($A2601,原始数据_收盘!$A$4:$G$3460,5,0),"")</f>
        <v>3.7111</v>
      </c>
      <c r="F2601">
        <f>IFERROR(VLOOKUP($A2601,原始数据_收盘!$A$4:$G$3460,6,0),"")</f>
        <v>3.5659</v>
      </c>
      <c r="G2601">
        <f>IFERROR(VLOOKUP($A2601,原始数据_收盘!$A$4:$G$3460,7,0),"")</f>
        <v>3.6756</v>
      </c>
      <c r="H2601">
        <f>IFERROR(VLOOKUP($A2601,原始数据_利率互换_FR007_1年!$A$6:$C$4395,2,0),"")</f>
        <v>3.6076</v>
      </c>
      <c r="I2601">
        <f>IFERROR(VLOOKUP($A2601,原始数据_利率互换_FR007_1年!$A$6:$C$4395,3,0),"")</f>
        <v>3.7373</v>
      </c>
    </row>
    <row r="2602" spans="1:9">
      <c r="A2602" s="6">
        <v>42095</v>
      </c>
      <c r="B2602">
        <f>IFERROR(VLOOKUP($A2602,原始数据_收盘!$A$4:$G$3460,2,0),"")</f>
        <v>3.3479</v>
      </c>
      <c r="C2602">
        <f>IFERROR(VLOOKUP($A2602,原始数据_收盘!$A$4:$G$3460,3,0),"")</f>
        <v>3.4871</v>
      </c>
      <c r="D2602">
        <f>IFERROR(VLOOKUP($A2602,原始数据_收盘!$A$4:$G$3460,4,0),"")</f>
        <v>3.412</v>
      </c>
      <c r="E2602">
        <f>IFERROR(VLOOKUP($A2602,原始数据_收盘!$A$4:$G$3460,5,0),"")</f>
        <v>3.5571</v>
      </c>
      <c r="F2602">
        <f>IFERROR(VLOOKUP($A2602,原始数据_收盘!$A$4:$G$3460,6,0),"")</f>
        <v>3.38</v>
      </c>
      <c r="G2602">
        <f>IFERROR(VLOOKUP($A2602,原始数据_收盘!$A$4:$G$3460,7,0),"")</f>
        <v>3.5221</v>
      </c>
      <c r="H2602">
        <f>IFERROR(VLOOKUP($A2602,原始数据_利率互换_FR007_1年!$A$6:$C$4395,2,0),"")</f>
        <v>3.4181</v>
      </c>
      <c r="I2602">
        <f>IFERROR(VLOOKUP($A2602,原始数据_利率互换_FR007_1年!$A$6:$C$4395,3,0),"")</f>
        <v>3.5755</v>
      </c>
    </row>
    <row r="2603" spans="1:9">
      <c r="A2603" s="6">
        <v>42096</v>
      </c>
      <c r="B2603">
        <f>IFERROR(VLOOKUP($A2603,原始数据_收盘!$A$4:$G$3460,2,0),"")</f>
        <v>3.2987</v>
      </c>
      <c r="C2603">
        <f>IFERROR(VLOOKUP($A2603,原始数据_收盘!$A$4:$G$3460,3,0),"")</f>
        <v>3.4071</v>
      </c>
      <c r="D2603">
        <f>IFERROR(VLOOKUP($A2603,原始数据_收盘!$A$4:$G$3460,4,0),"")</f>
        <v>3.3605</v>
      </c>
      <c r="E2603">
        <f>IFERROR(VLOOKUP($A2603,原始数据_收盘!$A$4:$G$3460,5,0),"")</f>
        <v>3.4725</v>
      </c>
      <c r="F2603">
        <f>IFERROR(VLOOKUP($A2603,原始数据_收盘!$A$4:$G$3460,6,0),"")</f>
        <v>3.3296</v>
      </c>
      <c r="G2603">
        <f>IFERROR(VLOOKUP($A2603,原始数据_收盘!$A$4:$G$3460,7,0),"")</f>
        <v>3.4398</v>
      </c>
      <c r="H2603">
        <f>IFERROR(VLOOKUP($A2603,原始数据_利率互换_FR007_1年!$A$6:$C$4395,2,0),"")</f>
        <v>3.3304</v>
      </c>
      <c r="I2603">
        <f>IFERROR(VLOOKUP($A2603,原始数据_利率互换_FR007_1年!$A$6:$C$4395,3,0),"")</f>
        <v>3.4473</v>
      </c>
    </row>
    <row r="2604" spans="1:9">
      <c r="A2604" s="6">
        <v>42097</v>
      </c>
      <c r="B2604">
        <f>IFERROR(VLOOKUP($A2604,原始数据_收盘!$A$4:$G$3460,2,0),"")</f>
        <v>3.2475</v>
      </c>
      <c r="C2604">
        <f>IFERROR(VLOOKUP($A2604,原始数据_收盘!$A$4:$G$3460,3,0),"")</f>
        <v>3.3866</v>
      </c>
      <c r="D2604">
        <f>IFERROR(VLOOKUP($A2604,原始数据_收盘!$A$4:$G$3460,4,0),"")</f>
        <v>3.3066</v>
      </c>
      <c r="E2604">
        <f>IFERROR(VLOOKUP($A2604,原始数据_收盘!$A$4:$G$3460,5,0),"")</f>
        <v>3.4575</v>
      </c>
      <c r="F2604">
        <f>IFERROR(VLOOKUP($A2604,原始数据_收盘!$A$4:$G$3460,6,0),"")</f>
        <v>3.2771</v>
      </c>
      <c r="G2604">
        <f>IFERROR(VLOOKUP($A2604,原始数据_收盘!$A$4:$G$3460,7,0),"")</f>
        <v>3.4221</v>
      </c>
      <c r="H2604">
        <f>IFERROR(VLOOKUP($A2604,原始数据_利率互换_FR007_1年!$A$6:$C$4395,2,0),"")</f>
        <v>3.2685</v>
      </c>
      <c r="I2604">
        <f>IFERROR(VLOOKUP($A2604,原始数据_利率互换_FR007_1年!$A$6:$C$4395,3,0),"")</f>
        <v>3.4143</v>
      </c>
    </row>
    <row r="2605" spans="1:9">
      <c r="A2605" s="6">
        <v>42098</v>
      </c>
      <c r="B2605" t="str">
        <f>IFERROR(VLOOKUP($A2605,原始数据_收盘!$A$4:$G$3460,2,0),"")</f>
        <v/>
      </c>
      <c r="C2605" t="str">
        <f>IFERROR(VLOOKUP($A2605,原始数据_收盘!$A$4:$G$3460,3,0),"")</f>
        <v/>
      </c>
      <c r="D2605" t="str">
        <f>IFERROR(VLOOKUP($A2605,原始数据_收盘!$A$4:$G$3460,4,0),"")</f>
        <v/>
      </c>
      <c r="E2605" t="str">
        <f>IFERROR(VLOOKUP($A2605,原始数据_收盘!$A$4:$G$3460,5,0),"")</f>
        <v/>
      </c>
      <c r="F2605" t="str">
        <f>IFERROR(VLOOKUP($A2605,原始数据_收盘!$A$4:$G$3460,6,0),"")</f>
        <v/>
      </c>
      <c r="G2605" t="str">
        <f>IFERROR(VLOOKUP($A2605,原始数据_收盘!$A$4:$G$3460,7,0),"")</f>
        <v/>
      </c>
      <c r="H2605" t="str">
        <f>IFERROR(VLOOKUP($A2605,原始数据_利率互换_FR007_1年!$A$6:$C$4395,2,0),"")</f>
        <v/>
      </c>
      <c r="I2605" t="str">
        <f>IFERROR(VLOOKUP($A2605,原始数据_利率互换_FR007_1年!$A$6:$C$4395,3,0),"")</f>
        <v/>
      </c>
    </row>
    <row r="2606" spans="1:9">
      <c r="A2606" s="6">
        <v>42099</v>
      </c>
      <c r="B2606" t="str">
        <f>IFERROR(VLOOKUP($A2606,原始数据_收盘!$A$4:$G$3460,2,0),"")</f>
        <v/>
      </c>
      <c r="C2606" t="str">
        <f>IFERROR(VLOOKUP($A2606,原始数据_收盘!$A$4:$G$3460,3,0),"")</f>
        <v/>
      </c>
      <c r="D2606" t="str">
        <f>IFERROR(VLOOKUP($A2606,原始数据_收盘!$A$4:$G$3460,4,0),"")</f>
        <v/>
      </c>
      <c r="E2606" t="str">
        <f>IFERROR(VLOOKUP($A2606,原始数据_收盘!$A$4:$G$3460,5,0),"")</f>
        <v/>
      </c>
      <c r="F2606" t="str">
        <f>IFERROR(VLOOKUP($A2606,原始数据_收盘!$A$4:$G$3460,6,0),"")</f>
        <v/>
      </c>
      <c r="G2606" t="str">
        <f>IFERROR(VLOOKUP($A2606,原始数据_收盘!$A$4:$G$3460,7,0),"")</f>
        <v/>
      </c>
      <c r="H2606" t="str">
        <f>IFERROR(VLOOKUP($A2606,原始数据_利率互换_FR007_1年!$A$6:$C$4395,2,0),"")</f>
        <v/>
      </c>
      <c r="I2606" t="str">
        <f>IFERROR(VLOOKUP($A2606,原始数据_利率互换_FR007_1年!$A$6:$C$4395,3,0),"")</f>
        <v/>
      </c>
    </row>
    <row r="2607" spans="1:9">
      <c r="A2607" s="6">
        <v>42100</v>
      </c>
      <c r="B2607" t="str">
        <f>IFERROR(VLOOKUP($A2607,原始数据_收盘!$A$4:$G$3460,2,0),"")</f>
        <v/>
      </c>
      <c r="C2607" t="str">
        <f>IFERROR(VLOOKUP($A2607,原始数据_收盘!$A$4:$G$3460,3,0),"")</f>
        <v/>
      </c>
      <c r="D2607" t="str">
        <f>IFERROR(VLOOKUP($A2607,原始数据_收盘!$A$4:$G$3460,4,0),"")</f>
        <v/>
      </c>
      <c r="E2607" t="str">
        <f>IFERROR(VLOOKUP($A2607,原始数据_收盘!$A$4:$G$3460,5,0),"")</f>
        <v/>
      </c>
      <c r="F2607" t="str">
        <f>IFERROR(VLOOKUP($A2607,原始数据_收盘!$A$4:$G$3460,6,0),"")</f>
        <v/>
      </c>
      <c r="G2607" t="str">
        <f>IFERROR(VLOOKUP($A2607,原始数据_收盘!$A$4:$G$3460,7,0),"")</f>
        <v/>
      </c>
      <c r="H2607" t="str">
        <f>IFERROR(VLOOKUP($A2607,原始数据_利率互换_FR007_1年!$A$6:$C$4395,2,0),"")</f>
        <v/>
      </c>
      <c r="I2607" t="str">
        <f>IFERROR(VLOOKUP($A2607,原始数据_利率互换_FR007_1年!$A$6:$C$4395,3,0),"")</f>
        <v/>
      </c>
    </row>
    <row r="2608" spans="1:9">
      <c r="A2608" s="6">
        <v>42101</v>
      </c>
      <c r="B2608">
        <f>IFERROR(VLOOKUP($A2608,原始数据_收盘!$A$4:$G$3460,2,0),"")</f>
        <v>3.1523</v>
      </c>
      <c r="C2608">
        <f>IFERROR(VLOOKUP($A2608,原始数据_收盘!$A$4:$G$3460,3,0),"")</f>
        <v>3.35</v>
      </c>
      <c r="D2608">
        <f>IFERROR(VLOOKUP($A2608,原始数据_收盘!$A$4:$G$3460,4,0),"")</f>
        <v>3.2083</v>
      </c>
      <c r="E2608">
        <f>IFERROR(VLOOKUP($A2608,原始数据_收盘!$A$4:$G$3460,5,0),"")</f>
        <v>3.4117</v>
      </c>
      <c r="F2608">
        <f>IFERROR(VLOOKUP($A2608,原始数据_收盘!$A$4:$G$3460,6,0),"")</f>
        <v>3.1803</v>
      </c>
      <c r="G2608">
        <f>IFERROR(VLOOKUP($A2608,原始数据_收盘!$A$4:$G$3460,7,0),"")</f>
        <v>3.3808</v>
      </c>
      <c r="H2608">
        <f>IFERROR(VLOOKUP($A2608,原始数据_利率互换_FR007_1年!$A$6:$C$4395,2,0),"")</f>
        <v>3.1923</v>
      </c>
      <c r="I2608">
        <f>IFERROR(VLOOKUP($A2608,原始数据_利率互换_FR007_1年!$A$6:$C$4395,3,0),"")</f>
        <v>3.3823</v>
      </c>
    </row>
    <row r="2609" spans="1:9">
      <c r="A2609" s="6">
        <v>42102</v>
      </c>
      <c r="B2609">
        <f>IFERROR(VLOOKUP($A2609,原始数据_收盘!$A$4:$G$3460,2,0),"")</f>
        <v>3.1371</v>
      </c>
      <c r="C2609">
        <f>IFERROR(VLOOKUP($A2609,原始数据_收盘!$A$4:$G$3460,3,0),"")</f>
        <v>3.3679</v>
      </c>
      <c r="D2609">
        <f>IFERROR(VLOOKUP($A2609,原始数据_收盘!$A$4:$G$3460,4,0),"")</f>
        <v>3.1942</v>
      </c>
      <c r="E2609">
        <f>IFERROR(VLOOKUP($A2609,原始数据_收盘!$A$4:$G$3460,5,0),"")</f>
        <v>3.4304</v>
      </c>
      <c r="F2609">
        <f>IFERROR(VLOOKUP($A2609,原始数据_收盘!$A$4:$G$3460,6,0),"")</f>
        <v>3.1656</v>
      </c>
      <c r="G2609">
        <f>IFERROR(VLOOKUP($A2609,原始数据_收盘!$A$4:$G$3460,7,0),"")</f>
        <v>3.3992</v>
      </c>
      <c r="H2609">
        <f>IFERROR(VLOOKUP($A2609,原始数据_利率互换_FR007_1年!$A$6:$C$4395,2,0),"")</f>
        <v>3.1499</v>
      </c>
      <c r="I2609">
        <f>IFERROR(VLOOKUP($A2609,原始数据_利率互换_FR007_1年!$A$6:$C$4395,3,0),"")</f>
        <v>3.3894</v>
      </c>
    </row>
    <row r="2610" spans="1:9">
      <c r="A2610" s="6">
        <v>42103</v>
      </c>
      <c r="B2610">
        <f>IFERROR(VLOOKUP($A2610,原始数据_收盘!$A$4:$G$3460,2,0),"")</f>
        <v>3.0671</v>
      </c>
      <c r="C2610">
        <f>IFERROR(VLOOKUP($A2610,原始数据_收盘!$A$4:$G$3460,3,0),"")</f>
        <v>3.3113</v>
      </c>
      <c r="D2610">
        <f>IFERROR(VLOOKUP($A2610,原始数据_收盘!$A$4:$G$3460,4,0),"")</f>
        <v>3.1291</v>
      </c>
      <c r="E2610">
        <f>IFERROR(VLOOKUP($A2610,原始数据_收盘!$A$4:$G$3460,5,0),"")</f>
        <v>3.3788</v>
      </c>
      <c r="F2610">
        <f>IFERROR(VLOOKUP($A2610,原始数据_收盘!$A$4:$G$3460,6,0),"")</f>
        <v>3.0981</v>
      </c>
      <c r="G2610">
        <f>IFERROR(VLOOKUP($A2610,原始数据_收盘!$A$4:$G$3460,7,0),"")</f>
        <v>3.345</v>
      </c>
      <c r="H2610">
        <f>IFERROR(VLOOKUP($A2610,原始数据_利率互换_FR007_1年!$A$6:$C$4395,2,0),"")</f>
        <v>3.0985</v>
      </c>
      <c r="I2610">
        <f>IFERROR(VLOOKUP($A2610,原始数据_利率互换_FR007_1年!$A$6:$C$4395,3,0),"")</f>
        <v>3.362</v>
      </c>
    </row>
    <row r="2611" spans="1:9">
      <c r="A2611" s="6">
        <v>42104</v>
      </c>
      <c r="B2611">
        <f>IFERROR(VLOOKUP($A2611,原始数据_收盘!$A$4:$G$3460,2,0),"")</f>
        <v>3.0541</v>
      </c>
      <c r="C2611">
        <f>IFERROR(VLOOKUP($A2611,原始数据_收盘!$A$4:$G$3460,3,0),"")</f>
        <v>3.2683</v>
      </c>
      <c r="D2611">
        <f>IFERROR(VLOOKUP($A2611,原始数据_收盘!$A$4:$G$3460,4,0),"")</f>
        <v>3.1129</v>
      </c>
      <c r="E2611">
        <f>IFERROR(VLOOKUP($A2611,原始数据_收盘!$A$4:$G$3460,5,0),"")</f>
        <v>3.3375</v>
      </c>
      <c r="F2611">
        <f>IFERROR(VLOOKUP($A2611,原始数据_收盘!$A$4:$G$3460,6,0),"")</f>
        <v>3.0835</v>
      </c>
      <c r="G2611">
        <f>IFERROR(VLOOKUP($A2611,原始数据_收盘!$A$4:$G$3460,7,0),"")</f>
        <v>3.3029</v>
      </c>
      <c r="H2611">
        <f>IFERROR(VLOOKUP($A2611,原始数据_利率互换_FR007_1年!$A$6:$C$4395,2,0),"")</f>
        <v>3.0816</v>
      </c>
      <c r="I2611">
        <f>IFERROR(VLOOKUP($A2611,原始数据_利率互换_FR007_1年!$A$6:$C$4395,3,0),"")</f>
        <v>3.3126</v>
      </c>
    </row>
    <row r="2612" spans="1:9">
      <c r="A2612" s="6">
        <v>42105</v>
      </c>
      <c r="B2612" t="str">
        <f>IFERROR(VLOOKUP($A2612,原始数据_收盘!$A$4:$G$3460,2,0),"")</f>
        <v/>
      </c>
      <c r="C2612" t="str">
        <f>IFERROR(VLOOKUP($A2612,原始数据_收盘!$A$4:$G$3460,3,0),"")</f>
        <v/>
      </c>
      <c r="D2612" t="str">
        <f>IFERROR(VLOOKUP($A2612,原始数据_收盘!$A$4:$G$3460,4,0),"")</f>
        <v/>
      </c>
      <c r="E2612" t="str">
        <f>IFERROR(VLOOKUP($A2612,原始数据_收盘!$A$4:$G$3460,5,0),"")</f>
        <v/>
      </c>
      <c r="F2612" t="str">
        <f>IFERROR(VLOOKUP($A2612,原始数据_收盘!$A$4:$G$3460,6,0),"")</f>
        <v/>
      </c>
      <c r="G2612" t="str">
        <f>IFERROR(VLOOKUP($A2612,原始数据_收盘!$A$4:$G$3460,7,0),"")</f>
        <v/>
      </c>
      <c r="H2612" t="str">
        <f>IFERROR(VLOOKUP($A2612,原始数据_利率互换_FR007_1年!$A$6:$C$4395,2,0),"")</f>
        <v/>
      </c>
      <c r="I2612" t="str">
        <f>IFERROR(VLOOKUP($A2612,原始数据_利率互换_FR007_1年!$A$6:$C$4395,3,0),"")</f>
        <v/>
      </c>
    </row>
    <row r="2613" spans="1:9">
      <c r="A2613" s="6">
        <v>42106</v>
      </c>
      <c r="B2613" t="str">
        <f>IFERROR(VLOOKUP($A2613,原始数据_收盘!$A$4:$G$3460,2,0),"")</f>
        <v/>
      </c>
      <c r="C2613" t="str">
        <f>IFERROR(VLOOKUP($A2613,原始数据_收盘!$A$4:$G$3460,3,0),"")</f>
        <v/>
      </c>
      <c r="D2613" t="str">
        <f>IFERROR(VLOOKUP($A2613,原始数据_收盘!$A$4:$G$3460,4,0),"")</f>
        <v/>
      </c>
      <c r="E2613" t="str">
        <f>IFERROR(VLOOKUP($A2613,原始数据_收盘!$A$4:$G$3460,5,0),"")</f>
        <v/>
      </c>
      <c r="F2613" t="str">
        <f>IFERROR(VLOOKUP($A2613,原始数据_收盘!$A$4:$G$3460,6,0),"")</f>
        <v/>
      </c>
      <c r="G2613" t="str">
        <f>IFERROR(VLOOKUP($A2613,原始数据_收盘!$A$4:$G$3460,7,0),"")</f>
        <v/>
      </c>
      <c r="H2613" t="str">
        <f>IFERROR(VLOOKUP($A2613,原始数据_利率互换_FR007_1年!$A$6:$C$4395,2,0),"")</f>
        <v/>
      </c>
      <c r="I2613" t="str">
        <f>IFERROR(VLOOKUP($A2613,原始数据_利率互换_FR007_1年!$A$6:$C$4395,3,0),"")</f>
        <v/>
      </c>
    </row>
    <row r="2614" spans="1:9">
      <c r="A2614" s="6">
        <v>42107</v>
      </c>
      <c r="B2614">
        <f>IFERROR(VLOOKUP($A2614,原始数据_收盘!$A$4:$G$3460,2,0),"")</f>
        <v>3.0677</v>
      </c>
      <c r="C2614">
        <f>IFERROR(VLOOKUP($A2614,原始数据_收盘!$A$4:$G$3460,3,0),"")</f>
        <v>3.2519</v>
      </c>
      <c r="D2614">
        <f>IFERROR(VLOOKUP($A2614,原始数据_收盘!$A$4:$G$3460,4,0),"")</f>
        <v>3.1285</v>
      </c>
      <c r="E2614">
        <f>IFERROR(VLOOKUP($A2614,原始数据_收盘!$A$4:$G$3460,5,0),"")</f>
        <v>3.3163</v>
      </c>
      <c r="F2614">
        <f>IFERROR(VLOOKUP($A2614,原始数据_收盘!$A$4:$G$3460,6,0),"")</f>
        <v>3.0981</v>
      </c>
      <c r="G2614">
        <f>IFERROR(VLOOKUP($A2614,原始数据_收盘!$A$4:$G$3460,7,0),"")</f>
        <v>3.2841</v>
      </c>
      <c r="H2614" t="str">
        <f>IFERROR(VLOOKUP($A2614,原始数据_利率互换_FR007_1年!$A$6:$C$4395,2,0),"")</f>
        <v/>
      </c>
      <c r="I2614" t="str">
        <f>IFERROR(VLOOKUP($A2614,原始数据_利率互换_FR007_1年!$A$6:$C$4395,3,0),"")</f>
        <v/>
      </c>
    </row>
    <row r="2615" spans="1:9">
      <c r="A2615" s="6">
        <v>42108</v>
      </c>
      <c r="B2615">
        <f>IFERROR(VLOOKUP($A2615,原始数据_收盘!$A$4:$G$3460,2,0),"")</f>
        <v>3.0489</v>
      </c>
      <c r="C2615">
        <f>IFERROR(VLOOKUP($A2615,原始数据_收盘!$A$4:$G$3460,3,0),"")</f>
        <v>3.2293</v>
      </c>
      <c r="D2615">
        <f>IFERROR(VLOOKUP($A2615,原始数据_收盘!$A$4:$G$3460,4,0),"")</f>
        <v>3.1081</v>
      </c>
      <c r="E2615">
        <f>IFERROR(VLOOKUP($A2615,原始数据_收盘!$A$4:$G$3460,5,0),"")</f>
        <v>3.2985</v>
      </c>
      <c r="F2615">
        <f>IFERROR(VLOOKUP($A2615,原始数据_收盘!$A$4:$G$3460,6,0),"")</f>
        <v>3.0785</v>
      </c>
      <c r="G2615">
        <f>IFERROR(VLOOKUP($A2615,原始数据_收盘!$A$4:$G$3460,7,0),"")</f>
        <v>3.2639</v>
      </c>
      <c r="H2615">
        <f>IFERROR(VLOOKUP($A2615,原始数据_利率互换_FR007_1年!$A$6:$C$4395,2,0),"")</f>
        <v>3.0718</v>
      </c>
      <c r="I2615">
        <f>IFERROR(VLOOKUP($A2615,原始数据_利率互换_FR007_1年!$A$6:$C$4395,3,0),"")</f>
        <v>3.2399</v>
      </c>
    </row>
    <row r="2616" spans="1:9">
      <c r="A2616" s="6">
        <v>42109</v>
      </c>
      <c r="B2616">
        <f>IFERROR(VLOOKUP($A2616,原始数据_收盘!$A$4:$G$3460,2,0),"")</f>
        <v>2.983</v>
      </c>
      <c r="C2616">
        <f>IFERROR(VLOOKUP($A2616,原始数据_收盘!$A$4:$G$3460,3,0),"")</f>
        <v>3.1367</v>
      </c>
      <c r="D2616">
        <f>IFERROR(VLOOKUP($A2616,原始数据_收盘!$A$4:$G$3460,4,0),"")</f>
        <v>3.0427</v>
      </c>
      <c r="E2616">
        <f>IFERROR(VLOOKUP($A2616,原始数据_收盘!$A$4:$G$3460,5,0),"")</f>
        <v>3.1971</v>
      </c>
      <c r="F2616">
        <f>IFERROR(VLOOKUP($A2616,原始数据_收盘!$A$4:$G$3460,6,0),"")</f>
        <v>3.0128</v>
      </c>
      <c r="G2616">
        <f>IFERROR(VLOOKUP($A2616,原始数据_收盘!$A$4:$G$3460,7,0),"")</f>
        <v>3.1669</v>
      </c>
      <c r="H2616">
        <f>IFERROR(VLOOKUP($A2616,原始数据_利率互换_FR007_1年!$A$6:$C$4395,2,0),"")</f>
        <v>3.0145</v>
      </c>
      <c r="I2616">
        <f>IFERROR(VLOOKUP($A2616,原始数据_利率互换_FR007_1年!$A$6:$C$4395,3,0),"")</f>
        <v>3.1725</v>
      </c>
    </row>
    <row r="2617" spans="1:9">
      <c r="A2617" s="6">
        <v>42110</v>
      </c>
      <c r="B2617">
        <f>IFERROR(VLOOKUP($A2617,原始数据_收盘!$A$4:$G$3460,2,0),"")</f>
        <v>2.9811</v>
      </c>
      <c r="C2617">
        <f>IFERROR(VLOOKUP($A2617,原始数据_收盘!$A$4:$G$3460,3,0),"")</f>
        <v>3.1222</v>
      </c>
      <c r="D2617">
        <f>IFERROR(VLOOKUP($A2617,原始数据_收盘!$A$4:$G$3460,4,0),"")</f>
        <v>3.0397</v>
      </c>
      <c r="E2617">
        <f>IFERROR(VLOOKUP($A2617,原始数据_收盘!$A$4:$G$3460,5,0),"")</f>
        <v>3.1822</v>
      </c>
      <c r="F2617">
        <f>IFERROR(VLOOKUP($A2617,原始数据_收盘!$A$4:$G$3460,6,0),"")</f>
        <v>3.0104</v>
      </c>
      <c r="G2617">
        <f>IFERROR(VLOOKUP($A2617,原始数据_收盘!$A$4:$G$3460,7,0),"")</f>
        <v>3.1522</v>
      </c>
      <c r="H2617">
        <f>IFERROR(VLOOKUP($A2617,原始数据_利率互换_FR007_1年!$A$6:$C$4395,2,0),"")</f>
        <v>3.0017</v>
      </c>
      <c r="I2617">
        <f>IFERROR(VLOOKUP($A2617,原始数据_利率互换_FR007_1年!$A$6:$C$4395,3,0),"")</f>
        <v>3.1423</v>
      </c>
    </row>
    <row r="2618" spans="1:9">
      <c r="A2618" s="6">
        <v>42111</v>
      </c>
      <c r="B2618">
        <f>IFERROR(VLOOKUP($A2618,原始数据_收盘!$A$4:$G$3460,2,0),"")</f>
        <v>2.98</v>
      </c>
      <c r="C2618">
        <f>IFERROR(VLOOKUP($A2618,原始数据_收盘!$A$4:$G$3460,3,0),"")</f>
        <v>3.1338</v>
      </c>
      <c r="D2618">
        <f>IFERROR(VLOOKUP($A2618,原始数据_收盘!$A$4:$G$3460,4,0),"")</f>
        <v>3.0341</v>
      </c>
      <c r="E2618">
        <f>IFERROR(VLOOKUP($A2618,原始数据_收盘!$A$4:$G$3460,5,0),"")</f>
        <v>3.1913</v>
      </c>
      <c r="F2618">
        <f>IFERROR(VLOOKUP($A2618,原始数据_收盘!$A$4:$G$3460,6,0),"")</f>
        <v>3.0071</v>
      </c>
      <c r="G2618">
        <f>IFERROR(VLOOKUP($A2618,原始数据_收盘!$A$4:$G$3460,7,0),"")</f>
        <v>3.1625</v>
      </c>
      <c r="H2618">
        <f>IFERROR(VLOOKUP($A2618,原始数据_利率互换_FR007_1年!$A$6:$C$4395,2,0),"")</f>
        <v>3.0078</v>
      </c>
      <c r="I2618">
        <f>IFERROR(VLOOKUP($A2618,原始数据_利率互换_FR007_1年!$A$6:$C$4395,3,0),"")</f>
        <v>3.1612</v>
      </c>
    </row>
    <row r="2619" spans="1:9">
      <c r="A2619" s="6">
        <v>42112</v>
      </c>
      <c r="B2619" t="str">
        <f>IFERROR(VLOOKUP($A2619,原始数据_收盘!$A$4:$G$3460,2,0),"")</f>
        <v/>
      </c>
      <c r="C2619" t="str">
        <f>IFERROR(VLOOKUP($A2619,原始数据_收盘!$A$4:$G$3460,3,0),"")</f>
        <v/>
      </c>
      <c r="D2619" t="str">
        <f>IFERROR(VLOOKUP($A2619,原始数据_收盘!$A$4:$G$3460,4,0),"")</f>
        <v/>
      </c>
      <c r="E2619" t="str">
        <f>IFERROR(VLOOKUP($A2619,原始数据_收盘!$A$4:$G$3460,5,0),"")</f>
        <v/>
      </c>
      <c r="F2619" t="str">
        <f>IFERROR(VLOOKUP($A2619,原始数据_收盘!$A$4:$G$3460,6,0),"")</f>
        <v/>
      </c>
      <c r="G2619" t="str">
        <f>IFERROR(VLOOKUP($A2619,原始数据_收盘!$A$4:$G$3460,7,0),"")</f>
        <v/>
      </c>
      <c r="H2619" t="str">
        <f>IFERROR(VLOOKUP($A2619,原始数据_利率互换_FR007_1年!$A$6:$C$4395,2,0),"")</f>
        <v/>
      </c>
      <c r="I2619" t="str">
        <f>IFERROR(VLOOKUP($A2619,原始数据_利率互换_FR007_1年!$A$6:$C$4395,3,0),"")</f>
        <v/>
      </c>
    </row>
    <row r="2620" spans="1:9">
      <c r="A2620" s="6">
        <v>42113</v>
      </c>
      <c r="B2620" t="str">
        <f>IFERROR(VLOOKUP($A2620,原始数据_收盘!$A$4:$G$3460,2,0),"")</f>
        <v/>
      </c>
      <c r="C2620" t="str">
        <f>IFERROR(VLOOKUP($A2620,原始数据_收盘!$A$4:$G$3460,3,0),"")</f>
        <v/>
      </c>
      <c r="D2620" t="str">
        <f>IFERROR(VLOOKUP($A2620,原始数据_收盘!$A$4:$G$3460,4,0),"")</f>
        <v/>
      </c>
      <c r="E2620" t="str">
        <f>IFERROR(VLOOKUP($A2620,原始数据_收盘!$A$4:$G$3460,5,0),"")</f>
        <v/>
      </c>
      <c r="F2620" t="str">
        <f>IFERROR(VLOOKUP($A2620,原始数据_收盘!$A$4:$G$3460,6,0),"")</f>
        <v/>
      </c>
      <c r="G2620" t="str">
        <f>IFERROR(VLOOKUP($A2620,原始数据_收盘!$A$4:$G$3460,7,0),"")</f>
        <v/>
      </c>
      <c r="H2620" t="str">
        <f>IFERROR(VLOOKUP($A2620,原始数据_利率互换_FR007_1年!$A$6:$C$4395,2,0),"")</f>
        <v/>
      </c>
      <c r="I2620" t="str">
        <f>IFERROR(VLOOKUP($A2620,原始数据_利率互换_FR007_1年!$A$6:$C$4395,3,0),"")</f>
        <v/>
      </c>
    </row>
    <row r="2621" spans="1:9">
      <c r="A2621" s="6">
        <v>42114</v>
      </c>
      <c r="B2621">
        <f>IFERROR(VLOOKUP($A2621,原始数据_收盘!$A$4:$G$3460,2,0),"")</f>
        <v>2.72</v>
      </c>
      <c r="C2621">
        <f>IFERROR(VLOOKUP($A2621,原始数据_收盘!$A$4:$G$3460,3,0),"")</f>
        <v>2.9271</v>
      </c>
      <c r="D2621">
        <f>IFERROR(VLOOKUP($A2621,原始数据_收盘!$A$4:$G$3460,4,0),"")</f>
        <v>2.7871</v>
      </c>
      <c r="E2621">
        <f>IFERROR(VLOOKUP($A2621,原始数据_收盘!$A$4:$G$3460,5,0),"")</f>
        <v>2.996</v>
      </c>
      <c r="F2621">
        <f>IFERROR(VLOOKUP($A2621,原始数据_收盘!$A$4:$G$3460,6,0),"")</f>
        <v>2.7536</v>
      </c>
      <c r="G2621">
        <f>IFERROR(VLOOKUP($A2621,原始数据_收盘!$A$4:$G$3460,7,0),"")</f>
        <v>2.9616</v>
      </c>
      <c r="H2621">
        <f>IFERROR(VLOOKUP($A2621,原始数据_利率互换_FR007_1年!$A$6:$C$4395,2,0),"")</f>
        <v>2.8205</v>
      </c>
      <c r="I2621">
        <f>IFERROR(VLOOKUP($A2621,原始数据_利率互换_FR007_1年!$A$6:$C$4395,3,0),"")</f>
        <v>3.0198</v>
      </c>
    </row>
    <row r="2622" spans="1:9">
      <c r="A2622" s="6">
        <v>42115</v>
      </c>
      <c r="B2622">
        <f>IFERROR(VLOOKUP($A2622,原始数据_收盘!$A$4:$G$3460,2,0),"")</f>
        <v>2.6198</v>
      </c>
      <c r="C2622">
        <f>IFERROR(VLOOKUP($A2622,原始数据_收盘!$A$4:$G$3460,3,0),"")</f>
        <v>2.8902</v>
      </c>
      <c r="D2622">
        <f>IFERROR(VLOOKUP($A2622,原始数据_收盘!$A$4:$G$3460,4,0),"")</f>
        <v>2.6721</v>
      </c>
      <c r="E2622">
        <f>IFERROR(VLOOKUP($A2622,原始数据_收盘!$A$4:$G$3460,5,0),"")</f>
        <v>2.95</v>
      </c>
      <c r="F2622">
        <f>IFERROR(VLOOKUP($A2622,原始数据_收盘!$A$4:$G$3460,6,0),"")</f>
        <v>2.6459</v>
      </c>
      <c r="G2622">
        <f>IFERROR(VLOOKUP($A2622,原始数据_收盘!$A$4:$G$3460,7,0),"")</f>
        <v>2.9201</v>
      </c>
      <c r="H2622">
        <f>IFERROR(VLOOKUP($A2622,原始数据_利率互换_FR007_1年!$A$6:$C$4395,2,0),"")</f>
        <v>2.645</v>
      </c>
      <c r="I2622">
        <f>IFERROR(VLOOKUP($A2622,原始数据_利率互换_FR007_1年!$A$6:$C$4395,3,0),"")</f>
        <v>2.897</v>
      </c>
    </row>
    <row r="2623" spans="1:9">
      <c r="A2623" s="6">
        <v>42116</v>
      </c>
      <c r="B2623">
        <f>IFERROR(VLOOKUP($A2623,原始数据_收盘!$A$4:$G$3460,2,0),"")</f>
        <v>2.6508</v>
      </c>
      <c r="C2623">
        <f>IFERROR(VLOOKUP($A2623,原始数据_收盘!$A$4:$G$3460,3,0),"")</f>
        <v>2.9529</v>
      </c>
      <c r="D2623">
        <f>IFERROR(VLOOKUP($A2623,原始数据_收盘!$A$4:$G$3460,4,0),"")</f>
        <v>2.7088</v>
      </c>
      <c r="E2623">
        <f>IFERROR(VLOOKUP($A2623,原始数据_收盘!$A$4:$G$3460,5,0),"")</f>
        <v>3.0163</v>
      </c>
      <c r="F2623">
        <f>IFERROR(VLOOKUP($A2623,原始数据_收盘!$A$4:$G$3460,6,0),"")</f>
        <v>2.6798</v>
      </c>
      <c r="G2623">
        <f>IFERROR(VLOOKUP($A2623,原始数据_收盘!$A$4:$G$3460,7,0),"")</f>
        <v>2.9846</v>
      </c>
      <c r="H2623">
        <f>IFERROR(VLOOKUP($A2623,原始数据_利率互换_FR007_1年!$A$6:$C$4395,2,0),"")</f>
        <v>2.6742</v>
      </c>
      <c r="I2623">
        <f>IFERROR(VLOOKUP($A2623,原始数据_利率互换_FR007_1年!$A$6:$C$4395,3,0),"")</f>
        <v>2.9743</v>
      </c>
    </row>
    <row r="2624" spans="1:9">
      <c r="A2624" s="6">
        <v>42117</v>
      </c>
      <c r="B2624">
        <f>IFERROR(VLOOKUP($A2624,原始数据_收盘!$A$4:$G$3460,2,0),"")</f>
        <v>2.6746</v>
      </c>
      <c r="C2624">
        <f>IFERROR(VLOOKUP($A2624,原始数据_收盘!$A$4:$G$3460,3,0),"")</f>
        <v>2.9867</v>
      </c>
      <c r="D2624">
        <f>IFERROR(VLOOKUP($A2624,原始数据_收盘!$A$4:$G$3460,4,0),"")</f>
        <v>2.7262</v>
      </c>
      <c r="E2624">
        <f>IFERROR(VLOOKUP($A2624,原始数据_收盘!$A$4:$G$3460,5,0),"")</f>
        <v>3.0425</v>
      </c>
      <c r="F2624">
        <f>IFERROR(VLOOKUP($A2624,原始数据_收盘!$A$4:$G$3460,6,0),"")</f>
        <v>2.7004</v>
      </c>
      <c r="G2624">
        <f>IFERROR(VLOOKUP($A2624,原始数据_收盘!$A$4:$G$3460,7,0),"")</f>
        <v>3.0146</v>
      </c>
      <c r="H2624">
        <f>IFERROR(VLOOKUP($A2624,原始数据_利率互换_FR007_1年!$A$6:$C$4395,2,0),"")</f>
        <v>2.7168</v>
      </c>
      <c r="I2624">
        <f>IFERROR(VLOOKUP($A2624,原始数据_利率互换_FR007_1年!$A$6:$C$4395,3,0),"")</f>
        <v>3.0184</v>
      </c>
    </row>
    <row r="2625" spans="1:9">
      <c r="A2625" s="6">
        <v>42118</v>
      </c>
      <c r="B2625">
        <f>IFERROR(VLOOKUP($A2625,原始数据_收盘!$A$4:$G$3460,2,0),"")</f>
        <v>2.6429</v>
      </c>
      <c r="C2625">
        <f>IFERROR(VLOOKUP($A2625,原始数据_收盘!$A$4:$G$3460,3,0),"")</f>
        <v>2.9866</v>
      </c>
      <c r="D2625">
        <f>IFERROR(VLOOKUP($A2625,原始数据_收盘!$A$4:$G$3460,4,0),"")</f>
        <v>2.7184</v>
      </c>
      <c r="E2625">
        <f>IFERROR(VLOOKUP($A2625,原始数据_收盘!$A$4:$G$3460,5,0),"")</f>
        <v>3.0575</v>
      </c>
      <c r="F2625">
        <f>IFERROR(VLOOKUP($A2625,原始数据_收盘!$A$4:$G$3460,6,0),"")</f>
        <v>2.6806</v>
      </c>
      <c r="G2625">
        <f>IFERROR(VLOOKUP($A2625,原始数据_收盘!$A$4:$G$3460,7,0),"")</f>
        <v>3.0221</v>
      </c>
      <c r="H2625">
        <f>IFERROR(VLOOKUP($A2625,原始数据_利率互换_FR007_1年!$A$6:$C$4395,2,0),"")</f>
        <v>2.6912</v>
      </c>
      <c r="I2625">
        <f>IFERROR(VLOOKUP($A2625,原始数据_利率互换_FR007_1年!$A$6:$C$4395,3,0),"")</f>
        <v>3.0079</v>
      </c>
    </row>
    <row r="2626" spans="1:9">
      <c r="A2626" s="6">
        <v>42119</v>
      </c>
      <c r="B2626" t="str">
        <f>IFERROR(VLOOKUP($A2626,原始数据_收盘!$A$4:$G$3460,2,0),"")</f>
        <v/>
      </c>
      <c r="C2626" t="str">
        <f>IFERROR(VLOOKUP($A2626,原始数据_收盘!$A$4:$G$3460,3,0),"")</f>
        <v/>
      </c>
      <c r="D2626" t="str">
        <f>IFERROR(VLOOKUP($A2626,原始数据_收盘!$A$4:$G$3460,4,0),"")</f>
        <v/>
      </c>
      <c r="E2626" t="str">
        <f>IFERROR(VLOOKUP($A2626,原始数据_收盘!$A$4:$G$3460,5,0),"")</f>
        <v/>
      </c>
      <c r="F2626" t="str">
        <f>IFERROR(VLOOKUP($A2626,原始数据_收盘!$A$4:$G$3460,6,0),"")</f>
        <v/>
      </c>
      <c r="G2626" t="str">
        <f>IFERROR(VLOOKUP($A2626,原始数据_收盘!$A$4:$G$3460,7,0),"")</f>
        <v/>
      </c>
      <c r="H2626" t="str">
        <f>IFERROR(VLOOKUP($A2626,原始数据_利率互换_FR007_1年!$A$6:$C$4395,2,0),"")</f>
        <v/>
      </c>
      <c r="I2626" t="str">
        <f>IFERROR(VLOOKUP($A2626,原始数据_利率互换_FR007_1年!$A$6:$C$4395,3,0),"")</f>
        <v/>
      </c>
    </row>
    <row r="2627" spans="1:9">
      <c r="A2627" s="6">
        <v>42120</v>
      </c>
      <c r="B2627" t="str">
        <f>IFERROR(VLOOKUP($A2627,原始数据_收盘!$A$4:$G$3460,2,0),"")</f>
        <v/>
      </c>
      <c r="C2627" t="str">
        <f>IFERROR(VLOOKUP($A2627,原始数据_收盘!$A$4:$G$3460,3,0),"")</f>
        <v/>
      </c>
      <c r="D2627" t="str">
        <f>IFERROR(VLOOKUP($A2627,原始数据_收盘!$A$4:$G$3460,4,0),"")</f>
        <v/>
      </c>
      <c r="E2627" t="str">
        <f>IFERROR(VLOOKUP($A2627,原始数据_收盘!$A$4:$G$3460,5,0),"")</f>
        <v/>
      </c>
      <c r="F2627" t="str">
        <f>IFERROR(VLOOKUP($A2627,原始数据_收盘!$A$4:$G$3460,6,0),"")</f>
        <v/>
      </c>
      <c r="G2627" t="str">
        <f>IFERROR(VLOOKUP($A2627,原始数据_收盘!$A$4:$G$3460,7,0),"")</f>
        <v/>
      </c>
      <c r="H2627" t="str">
        <f>IFERROR(VLOOKUP($A2627,原始数据_利率互换_FR007_1年!$A$6:$C$4395,2,0),"")</f>
        <v/>
      </c>
      <c r="I2627" t="str">
        <f>IFERROR(VLOOKUP($A2627,原始数据_利率互换_FR007_1年!$A$6:$C$4395,3,0),"")</f>
        <v/>
      </c>
    </row>
    <row r="2628" spans="1:9">
      <c r="A2628" s="6">
        <v>42121</v>
      </c>
      <c r="B2628">
        <f>IFERROR(VLOOKUP($A2628,原始数据_收盘!$A$4:$G$3460,2,0),"")</f>
        <v>2.5272</v>
      </c>
      <c r="C2628">
        <f>IFERROR(VLOOKUP($A2628,原始数据_收盘!$A$4:$G$3460,3,0),"")</f>
        <v>2.8392</v>
      </c>
      <c r="D2628">
        <f>IFERROR(VLOOKUP($A2628,原始数据_收盘!$A$4:$G$3460,4,0),"")</f>
        <v>2.6036</v>
      </c>
      <c r="E2628">
        <f>IFERROR(VLOOKUP($A2628,原始数据_收盘!$A$4:$G$3460,5,0),"")</f>
        <v>2.9189</v>
      </c>
      <c r="F2628">
        <f>IFERROR(VLOOKUP($A2628,原始数据_收盘!$A$4:$G$3460,6,0),"")</f>
        <v>2.5654</v>
      </c>
      <c r="G2628">
        <f>IFERROR(VLOOKUP($A2628,原始数据_收盘!$A$4:$G$3460,7,0),"")</f>
        <v>2.8791</v>
      </c>
      <c r="H2628">
        <f>IFERROR(VLOOKUP($A2628,原始数据_利率互换_FR007_1年!$A$6:$C$4395,2,0),"")</f>
        <v>2.5758</v>
      </c>
      <c r="I2628">
        <f>IFERROR(VLOOKUP($A2628,原始数据_利率互换_FR007_1年!$A$6:$C$4395,3,0),"")</f>
        <v>2.9316</v>
      </c>
    </row>
    <row r="2629" spans="1:9">
      <c r="A2629" s="6">
        <v>42122</v>
      </c>
      <c r="B2629">
        <f>IFERROR(VLOOKUP($A2629,原始数据_收盘!$A$4:$G$3460,2,0),"")</f>
        <v>2.5141</v>
      </c>
      <c r="C2629">
        <f>IFERROR(VLOOKUP($A2629,原始数据_收盘!$A$4:$G$3460,3,0),"")</f>
        <v>2.7874</v>
      </c>
      <c r="D2629">
        <f>IFERROR(VLOOKUP($A2629,原始数据_收盘!$A$4:$G$3460,4,0),"")</f>
        <v>2.5767</v>
      </c>
      <c r="E2629">
        <f>IFERROR(VLOOKUP($A2629,原始数据_收盘!$A$4:$G$3460,5,0),"")</f>
        <v>2.8522</v>
      </c>
      <c r="F2629">
        <f>IFERROR(VLOOKUP($A2629,原始数据_收盘!$A$4:$G$3460,6,0),"")</f>
        <v>2.5454</v>
      </c>
      <c r="G2629">
        <f>IFERROR(VLOOKUP($A2629,原始数据_收盘!$A$4:$G$3460,7,0),"")</f>
        <v>2.8198</v>
      </c>
      <c r="H2629">
        <f>IFERROR(VLOOKUP($A2629,原始数据_利率互换_FR007_1年!$A$6:$C$4395,2,0),"")</f>
        <v>2.5477</v>
      </c>
      <c r="I2629">
        <f>IFERROR(VLOOKUP($A2629,原始数据_利率互换_FR007_1年!$A$6:$C$4395,3,0),"")</f>
        <v>2.8244</v>
      </c>
    </row>
    <row r="2630" spans="1:9">
      <c r="A2630" s="6">
        <v>42123</v>
      </c>
      <c r="B2630">
        <f>IFERROR(VLOOKUP($A2630,原始数据_收盘!$A$4:$G$3460,2,0),"")</f>
        <v>2.5416</v>
      </c>
      <c r="C2630">
        <f>IFERROR(VLOOKUP($A2630,原始数据_收盘!$A$4:$G$3460,3,0),"")</f>
        <v>2.8129</v>
      </c>
      <c r="D2630">
        <f>IFERROR(VLOOKUP($A2630,原始数据_收盘!$A$4:$G$3460,4,0),"")</f>
        <v>2.6163</v>
      </c>
      <c r="E2630">
        <f>IFERROR(VLOOKUP($A2630,原始数据_收盘!$A$4:$G$3460,5,0),"")</f>
        <v>2.8975</v>
      </c>
      <c r="F2630">
        <f>IFERROR(VLOOKUP($A2630,原始数据_收盘!$A$4:$G$3460,6,0),"")</f>
        <v>2.5789</v>
      </c>
      <c r="G2630">
        <f>IFERROR(VLOOKUP($A2630,原始数据_收盘!$A$4:$G$3460,7,0),"")</f>
        <v>2.8552</v>
      </c>
      <c r="H2630">
        <f>IFERROR(VLOOKUP($A2630,原始数据_利率互换_FR007_1年!$A$6:$C$4395,2,0),"")</f>
        <v>2.5886</v>
      </c>
      <c r="I2630">
        <f>IFERROR(VLOOKUP($A2630,原始数据_利率互换_FR007_1年!$A$6:$C$4395,3,0),"")</f>
        <v>2.8684</v>
      </c>
    </row>
    <row r="2631" spans="1:9">
      <c r="A2631" s="6">
        <v>42124</v>
      </c>
      <c r="B2631">
        <f>IFERROR(VLOOKUP($A2631,原始数据_收盘!$A$4:$G$3460,2,0),"")</f>
        <v>2.5058</v>
      </c>
      <c r="C2631">
        <f>IFERROR(VLOOKUP($A2631,原始数据_收盘!$A$4:$G$3460,3,0),"")</f>
        <v>2.7713</v>
      </c>
      <c r="D2631">
        <f>IFERROR(VLOOKUP($A2631,原始数据_收盘!$A$4:$G$3460,4,0),"")</f>
        <v>2.5617</v>
      </c>
      <c r="E2631">
        <f>IFERROR(VLOOKUP($A2631,原始数据_收盘!$A$4:$G$3460,5,0),"")</f>
        <v>2.8288</v>
      </c>
      <c r="F2631">
        <f>IFERROR(VLOOKUP($A2631,原始数据_收盘!$A$4:$G$3460,6,0),"")</f>
        <v>2.5338</v>
      </c>
      <c r="G2631">
        <f>IFERROR(VLOOKUP($A2631,原始数据_收盘!$A$4:$G$3460,7,0),"")</f>
        <v>2.8</v>
      </c>
      <c r="H2631">
        <f>IFERROR(VLOOKUP($A2631,原始数据_利率互换_FR007_1年!$A$6:$C$4395,2,0),"")</f>
        <v>2.5443</v>
      </c>
      <c r="I2631">
        <f>IFERROR(VLOOKUP($A2631,原始数据_利率互换_FR007_1年!$A$6:$C$4395,3,0),"")</f>
        <v>2.8003</v>
      </c>
    </row>
    <row r="2632" spans="1:9">
      <c r="A2632" s="6">
        <v>42125</v>
      </c>
      <c r="B2632" t="str">
        <f>IFERROR(VLOOKUP($A2632,原始数据_收盘!$A$4:$G$3460,2,0),"")</f>
        <v/>
      </c>
      <c r="C2632" t="str">
        <f>IFERROR(VLOOKUP($A2632,原始数据_收盘!$A$4:$G$3460,3,0),"")</f>
        <v/>
      </c>
      <c r="D2632" t="str">
        <f>IFERROR(VLOOKUP($A2632,原始数据_收盘!$A$4:$G$3460,4,0),"")</f>
        <v/>
      </c>
      <c r="E2632" t="str">
        <f>IFERROR(VLOOKUP($A2632,原始数据_收盘!$A$4:$G$3460,5,0),"")</f>
        <v/>
      </c>
      <c r="F2632" t="str">
        <f>IFERROR(VLOOKUP($A2632,原始数据_收盘!$A$4:$G$3460,6,0),"")</f>
        <v/>
      </c>
      <c r="G2632" t="str">
        <f>IFERROR(VLOOKUP($A2632,原始数据_收盘!$A$4:$G$3460,7,0),"")</f>
        <v/>
      </c>
      <c r="H2632" t="str">
        <f>IFERROR(VLOOKUP($A2632,原始数据_利率互换_FR007_1年!$A$6:$C$4395,2,0),"")</f>
        <v/>
      </c>
      <c r="I2632" t="str">
        <f>IFERROR(VLOOKUP($A2632,原始数据_利率互换_FR007_1年!$A$6:$C$4395,3,0),"")</f>
        <v/>
      </c>
    </row>
    <row r="2633" spans="1:9">
      <c r="A2633" s="6">
        <v>42126</v>
      </c>
      <c r="B2633" t="str">
        <f>IFERROR(VLOOKUP($A2633,原始数据_收盘!$A$4:$G$3460,2,0),"")</f>
        <v/>
      </c>
      <c r="C2633" t="str">
        <f>IFERROR(VLOOKUP($A2633,原始数据_收盘!$A$4:$G$3460,3,0),"")</f>
        <v/>
      </c>
      <c r="D2633" t="str">
        <f>IFERROR(VLOOKUP($A2633,原始数据_收盘!$A$4:$G$3460,4,0),"")</f>
        <v/>
      </c>
      <c r="E2633" t="str">
        <f>IFERROR(VLOOKUP($A2633,原始数据_收盘!$A$4:$G$3460,5,0),"")</f>
        <v/>
      </c>
      <c r="F2633" t="str">
        <f>IFERROR(VLOOKUP($A2633,原始数据_收盘!$A$4:$G$3460,6,0),"")</f>
        <v/>
      </c>
      <c r="G2633" t="str">
        <f>IFERROR(VLOOKUP($A2633,原始数据_收盘!$A$4:$G$3460,7,0),"")</f>
        <v/>
      </c>
      <c r="H2633" t="str">
        <f>IFERROR(VLOOKUP($A2633,原始数据_利率互换_FR007_1年!$A$6:$C$4395,2,0),"")</f>
        <v/>
      </c>
      <c r="I2633" t="str">
        <f>IFERROR(VLOOKUP($A2633,原始数据_利率互换_FR007_1年!$A$6:$C$4395,3,0),"")</f>
        <v/>
      </c>
    </row>
    <row r="2634" spans="1:9">
      <c r="A2634" s="6">
        <v>42127</v>
      </c>
      <c r="B2634" t="str">
        <f>IFERROR(VLOOKUP($A2634,原始数据_收盘!$A$4:$G$3460,2,0),"")</f>
        <v/>
      </c>
      <c r="C2634" t="str">
        <f>IFERROR(VLOOKUP($A2634,原始数据_收盘!$A$4:$G$3460,3,0),"")</f>
        <v/>
      </c>
      <c r="D2634" t="str">
        <f>IFERROR(VLOOKUP($A2634,原始数据_收盘!$A$4:$G$3460,4,0),"")</f>
        <v/>
      </c>
      <c r="E2634" t="str">
        <f>IFERROR(VLOOKUP($A2634,原始数据_收盘!$A$4:$G$3460,5,0),"")</f>
        <v/>
      </c>
      <c r="F2634" t="str">
        <f>IFERROR(VLOOKUP($A2634,原始数据_收盘!$A$4:$G$3460,6,0),"")</f>
        <v/>
      </c>
      <c r="G2634" t="str">
        <f>IFERROR(VLOOKUP($A2634,原始数据_收盘!$A$4:$G$3460,7,0),"")</f>
        <v/>
      </c>
      <c r="H2634" t="str">
        <f>IFERROR(VLOOKUP($A2634,原始数据_利率互换_FR007_1年!$A$6:$C$4395,2,0),"")</f>
        <v/>
      </c>
      <c r="I2634" t="str">
        <f>IFERROR(VLOOKUP($A2634,原始数据_利率互换_FR007_1年!$A$6:$C$4395,3,0),"")</f>
        <v/>
      </c>
    </row>
    <row r="2635" spans="1:9">
      <c r="A2635" s="6">
        <v>42128</v>
      </c>
      <c r="B2635">
        <f>IFERROR(VLOOKUP($A2635,原始数据_收盘!$A$4:$G$3460,2,0),"")</f>
        <v>2.4748</v>
      </c>
      <c r="C2635">
        <f>IFERROR(VLOOKUP($A2635,原始数据_收盘!$A$4:$G$3460,3,0),"")</f>
        <v>2.7469</v>
      </c>
      <c r="D2635">
        <f>IFERROR(VLOOKUP($A2635,原始数据_收盘!$A$4:$G$3460,4,0),"")</f>
        <v>2.5374</v>
      </c>
      <c r="E2635">
        <f>IFERROR(VLOOKUP($A2635,原始数据_收盘!$A$4:$G$3460,5,0),"")</f>
        <v>2.8148</v>
      </c>
      <c r="F2635">
        <f>IFERROR(VLOOKUP($A2635,原始数据_收盘!$A$4:$G$3460,6,0),"")</f>
        <v>2.5061</v>
      </c>
      <c r="G2635">
        <f>IFERROR(VLOOKUP($A2635,原始数据_收盘!$A$4:$G$3460,7,0),"")</f>
        <v>2.7808</v>
      </c>
      <c r="H2635">
        <f>IFERROR(VLOOKUP($A2635,原始数据_利率互换_FR007_1年!$A$6:$C$4395,2,0),"")</f>
        <v>2.4932</v>
      </c>
      <c r="I2635">
        <f>IFERROR(VLOOKUP($A2635,原始数据_利率互换_FR007_1年!$A$6:$C$4395,3,0),"")</f>
        <v>2.7686</v>
      </c>
    </row>
    <row r="2636" spans="1:9">
      <c r="A2636" s="6">
        <v>42129</v>
      </c>
      <c r="B2636">
        <f>IFERROR(VLOOKUP($A2636,原始数据_收盘!$A$4:$G$3460,2,0),"")</f>
        <v>2.5088</v>
      </c>
      <c r="C2636">
        <f>IFERROR(VLOOKUP($A2636,原始数据_收盘!$A$4:$G$3460,3,0),"")</f>
        <v>2.8206</v>
      </c>
      <c r="D2636">
        <f>IFERROR(VLOOKUP($A2636,原始数据_收盘!$A$4:$G$3460,4,0),"")</f>
        <v>2.5654</v>
      </c>
      <c r="E2636">
        <f>IFERROR(VLOOKUP($A2636,原始数据_收盘!$A$4:$G$3460,5,0),"")</f>
        <v>2.8778</v>
      </c>
      <c r="F2636">
        <f>IFERROR(VLOOKUP($A2636,原始数据_收盘!$A$4:$G$3460,6,0),"")</f>
        <v>2.5371</v>
      </c>
      <c r="G2636">
        <f>IFERROR(VLOOKUP($A2636,原始数据_收盘!$A$4:$G$3460,7,0),"")</f>
        <v>2.8492</v>
      </c>
      <c r="H2636">
        <f>IFERROR(VLOOKUP($A2636,原始数据_利率互换_FR007_1年!$A$6:$C$4395,2,0),"")</f>
        <v>2.5279</v>
      </c>
      <c r="I2636">
        <f>IFERROR(VLOOKUP($A2636,原始数据_利率互换_FR007_1年!$A$6:$C$4395,3,0),"")</f>
        <v>2.8802</v>
      </c>
    </row>
    <row r="2637" spans="1:9">
      <c r="A2637" s="6">
        <v>42130</v>
      </c>
      <c r="B2637">
        <f>IFERROR(VLOOKUP($A2637,原始数据_收盘!$A$4:$G$3460,2,0),"")</f>
        <v>2.5614</v>
      </c>
      <c r="C2637">
        <f>IFERROR(VLOOKUP($A2637,原始数据_收盘!$A$4:$G$3460,3,0),"")</f>
        <v>2.884</v>
      </c>
      <c r="D2637">
        <f>IFERROR(VLOOKUP($A2637,原始数据_收盘!$A$4:$G$3460,4,0),"")</f>
        <v>2.6307</v>
      </c>
      <c r="E2637">
        <f>IFERROR(VLOOKUP($A2637,原始数据_收盘!$A$4:$G$3460,5,0),"")</f>
        <v>2.9465</v>
      </c>
      <c r="F2637">
        <f>IFERROR(VLOOKUP($A2637,原始数据_收盘!$A$4:$G$3460,6,0),"")</f>
        <v>2.596</v>
      </c>
      <c r="G2637">
        <f>IFERROR(VLOOKUP($A2637,原始数据_收盘!$A$4:$G$3460,7,0),"")</f>
        <v>2.9153</v>
      </c>
      <c r="H2637">
        <f>IFERROR(VLOOKUP($A2637,原始数据_利率互换_FR007_1年!$A$6:$C$4395,2,0),"")</f>
        <v>2.5886</v>
      </c>
      <c r="I2637">
        <f>IFERROR(VLOOKUP($A2637,原始数据_利率互换_FR007_1年!$A$6:$C$4395,3,0),"")</f>
        <v>2.9126</v>
      </c>
    </row>
    <row r="2638" spans="1:9">
      <c r="A2638" s="6">
        <v>42131</v>
      </c>
      <c r="B2638">
        <f>IFERROR(VLOOKUP($A2638,原始数据_收盘!$A$4:$G$3460,2,0),"")</f>
        <v>2.5267</v>
      </c>
      <c r="C2638">
        <f>IFERROR(VLOOKUP($A2638,原始数据_收盘!$A$4:$G$3460,3,0),"")</f>
        <v>2.8511</v>
      </c>
      <c r="D2638">
        <f>IFERROR(VLOOKUP($A2638,原始数据_收盘!$A$4:$G$3460,4,0),"")</f>
        <v>2.5914</v>
      </c>
      <c r="E2638">
        <f>IFERROR(VLOOKUP($A2638,原始数据_收盘!$A$4:$G$3460,5,0),"")</f>
        <v>2.9156</v>
      </c>
      <c r="F2638">
        <f>IFERROR(VLOOKUP($A2638,原始数据_收盘!$A$4:$G$3460,6,0),"")</f>
        <v>2.5591</v>
      </c>
      <c r="G2638">
        <f>IFERROR(VLOOKUP($A2638,原始数据_收盘!$A$4:$G$3460,7,0),"")</f>
        <v>2.8833</v>
      </c>
      <c r="H2638">
        <f>IFERROR(VLOOKUP($A2638,原始数据_利率互换_FR007_1年!$A$6:$C$4395,2,0),"")</f>
        <v>2.5666</v>
      </c>
      <c r="I2638">
        <f>IFERROR(VLOOKUP($A2638,原始数据_利率互换_FR007_1年!$A$6:$C$4395,3,0),"")</f>
        <v>2.9077</v>
      </c>
    </row>
    <row r="2639" spans="1:9">
      <c r="A2639" s="6">
        <v>42132</v>
      </c>
      <c r="B2639">
        <f>IFERROR(VLOOKUP($A2639,原始数据_收盘!$A$4:$G$3460,2,0),"")</f>
        <v>2.4617</v>
      </c>
      <c r="C2639">
        <f>IFERROR(VLOOKUP($A2639,原始数据_收盘!$A$4:$G$3460,3,0),"")</f>
        <v>2.8075</v>
      </c>
      <c r="D2639">
        <f>IFERROR(VLOOKUP($A2639,原始数据_收盘!$A$4:$G$3460,4,0),"")</f>
        <v>2.5338</v>
      </c>
      <c r="E2639">
        <f>IFERROR(VLOOKUP($A2639,原始数据_收盘!$A$4:$G$3460,5,0),"")</f>
        <v>2.8725</v>
      </c>
      <c r="F2639">
        <f>IFERROR(VLOOKUP($A2639,原始数据_收盘!$A$4:$G$3460,6,0),"")</f>
        <v>2.4977</v>
      </c>
      <c r="G2639">
        <f>IFERROR(VLOOKUP($A2639,原始数据_收盘!$A$4:$G$3460,7,0),"")</f>
        <v>2.84</v>
      </c>
      <c r="H2639">
        <f>IFERROR(VLOOKUP($A2639,原始数据_利率互换_FR007_1年!$A$6:$C$4395,2,0),"")</f>
        <v>2.5227</v>
      </c>
      <c r="I2639">
        <f>IFERROR(VLOOKUP($A2639,原始数据_利率互换_FR007_1年!$A$6:$C$4395,3,0),"")</f>
        <v>2.8594</v>
      </c>
    </row>
    <row r="2640" spans="1:9">
      <c r="A2640" s="6">
        <v>42133</v>
      </c>
      <c r="B2640" t="str">
        <f>IFERROR(VLOOKUP($A2640,原始数据_收盘!$A$4:$G$3460,2,0),"")</f>
        <v/>
      </c>
      <c r="C2640" t="str">
        <f>IFERROR(VLOOKUP($A2640,原始数据_收盘!$A$4:$G$3460,3,0),"")</f>
        <v/>
      </c>
      <c r="D2640" t="str">
        <f>IFERROR(VLOOKUP($A2640,原始数据_收盘!$A$4:$G$3460,4,0),"")</f>
        <v/>
      </c>
      <c r="E2640" t="str">
        <f>IFERROR(VLOOKUP($A2640,原始数据_收盘!$A$4:$G$3460,5,0),"")</f>
        <v/>
      </c>
      <c r="F2640" t="str">
        <f>IFERROR(VLOOKUP($A2640,原始数据_收盘!$A$4:$G$3460,6,0),"")</f>
        <v/>
      </c>
      <c r="G2640" t="str">
        <f>IFERROR(VLOOKUP($A2640,原始数据_收盘!$A$4:$G$3460,7,0),"")</f>
        <v/>
      </c>
      <c r="H2640" t="str">
        <f>IFERROR(VLOOKUP($A2640,原始数据_利率互换_FR007_1年!$A$6:$C$4395,2,0),"")</f>
        <v/>
      </c>
      <c r="I2640" t="str">
        <f>IFERROR(VLOOKUP($A2640,原始数据_利率互换_FR007_1年!$A$6:$C$4395,3,0),"")</f>
        <v/>
      </c>
    </row>
    <row r="2641" spans="1:9">
      <c r="A2641" s="6">
        <v>42134</v>
      </c>
      <c r="B2641" t="str">
        <f>IFERROR(VLOOKUP($A2641,原始数据_收盘!$A$4:$G$3460,2,0),"")</f>
        <v/>
      </c>
      <c r="C2641" t="str">
        <f>IFERROR(VLOOKUP($A2641,原始数据_收盘!$A$4:$G$3460,3,0),"")</f>
        <v/>
      </c>
      <c r="D2641" t="str">
        <f>IFERROR(VLOOKUP($A2641,原始数据_收盘!$A$4:$G$3460,4,0),"")</f>
        <v/>
      </c>
      <c r="E2641" t="str">
        <f>IFERROR(VLOOKUP($A2641,原始数据_收盘!$A$4:$G$3460,5,0),"")</f>
        <v/>
      </c>
      <c r="F2641" t="str">
        <f>IFERROR(VLOOKUP($A2641,原始数据_收盘!$A$4:$G$3460,6,0),"")</f>
        <v/>
      </c>
      <c r="G2641" t="str">
        <f>IFERROR(VLOOKUP($A2641,原始数据_收盘!$A$4:$G$3460,7,0),"")</f>
        <v/>
      </c>
      <c r="H2641" t="str">
        <f>IFERROR(VLOOKUP($A2641,原始数据_利率互换_FR007_1年!$A$6:$C$4395,2,0),"")</f>
        <v/>
      </c>
      <c r="I2641" t="str">
        <f>IFERROR(VLOOKUP($A2641,原始数据_利率互换_FR007_1年!$A$6:$C$4395,3,0),"")</f>
        <v/>
      </c>
    </row>
    <row r="2642" spans="1:9">
      <c r="A2642" s="6">
        <v>42135</v>
      </c>
      <c r="B2642">
        <f>IFERROR(VLOOKUP($A2642,原始数据_收盘!$A$4:$G$3460,2,0),"")</f>
        <v>2.4113</v>
      </c>
      <c r="C2642">
        <f>IFERROR(VLOOKUP($A2642,原始数据_收盘!$A$4:$G$3460,3,0),"")</f>
        <v>2.7825</v>
      </c>
      <c r="D2642">
        <f>IFERROR(VLOOKUP($A2642,原始数据_收盘!$A$4:$G$3460,4,0),"")</f>
        <v>2.4706</v>
      </c>
      <c r="E2642">
        <f>IFERROR(VLOOKUP($A2642,原始数据_收盘!$A$4:$G$3460,5,0),"")</f>
        <v>2.845</v>
      </c>
      <c r="F2642">
        <f>IFERROR(VLOOKUP($A2642,原始数据_收盘!$A$4:$G$3460,6,0),"")</f>
        <v>2.4409</v>
      </c>
      <c r="G2642">
        <f>IFERROR(VLOOKUP($A2642,原始数据_收盘!$A$4:$G$3460,7,0),"")</f>
        <v>2.8138</v>
      </c>
      <c r="H2642">
        <f>IFERROR(VLOOKUP($A2642,原始数据_利率互换_FR007_1年!$A$6:$C$4395,2,0),"")</f>
        <v>2.4476</v>
      </c>
      <c r="I2642">
        <f>IFERROR(VLOOKUP($A2642,原始数据_利率互换_FR007_1年!$A$6:$C$4395,3,0),"")</f>
        <v>2.8133</v>
      </c>
    </row>
    <row r="2643" spans="1:9">
      <c r="A2643" s="6">
        <v>42136</v>
      </c>
      <c r="B2643">
        <f>IFERROR(VLOOKUP($A2643,原始数据_收盘!$A$4:$G$3460,2,0),"")</f>
        <v>2.3102</v>
      </c>
      <c r="C2643">
        <f>IFERROR(VLOOKUP($A2643,原始数据_收盘!$A$4:$G$3460,3,0),"")</f>
        <v>2.7561</v>
      </c>
      <c r="D2643">
        <f>IFERROR(VLOOKUP($A2643,原始数据_收盘!$A$4:$G$3460,4,0),"")</f>
        <v>2.3755</v>
      </c>
      <c r="E2643">
        <f>IFERROR(VLOOKUP($A2643,原始数据_收盘!$A$4:$G$3460,5,0),"")</f>
        <v>2.8157</v>
      </c>
      <c r="F2643">
        <f>IFERROR(VLOOKUP($A2643,原始数据_收盘!$A$4:$G$3460,6,0),"")</f>
        <v>2.3429</v>
      </c>
      <c r="G2643">
        <f>IFERROR(VLOOKUP($A2643,原始数据_收盘!$A$4:$G$3460,7,0),"")</f>
        <v>2.7859</v>
      </c>
      <c r="H2643">
        <f>IFERROR(VLOOKUP($A2643,原始数据_利率互换_FR007_1年!$A$6:$C$4395,2,0),"")</f>
        <v>2.3632</v>
      </c>
      <c r="I2643">
        <f>IFERROR(VLOOKUP($A2643,原始数据_利率互换_FR007_1年!$A$6:$C$4395,3,0),"")</f>
        <v>2.7931</v>
      </c>
    </row>
    <row r="2644" spans="1:9">
      <c r="A2644" s="6">
        <v>42137</v>
      </c>
      <c r="B2644">
        <f>IFERROR(VLOOKUP($A2644,原始数据_收盘!$A$4:$G$3460,2,0),"")</f>
        <v>2.2233</v>
      </c>
      <c r="C2644">
        <f>IFERROR(VLOOKUP($A2644,原始数据_收盘!$A$4:$G$3460,3,0),"")</f>
        <v>2.6229</v>
      </c>
      <c r="D2644">
        <f>IFERROR(VLOOKUP($A2644,原始数据_收盘!$A$4:$G$3460,4,0),"")</f>
        <v>2.2932</v>
      </c>
      <c r="E2644">
        <f>IFERROR(VLOOKUP($A2644,原始数据_收盘!$A$4:$G$3460,5,0),"")</f>
        <v>2.6958</v>
      </c>
      <c r="F2644">
        <f>IFERROR(VLOOKUP($A2644,原始数据_收盘!$A$4:$G$3460,6,0),"")</f>
        <v>2.2583</v>
      </c>
      <c r="G2644">
        <f>IFERROR(VLOOKUP($A2644,原始数据_收盘!$A$4:$G$3460,7,0),"")</f>
        <v>2.6593</v>
      </c>
      <c r="H2644">
        <f>IFERROR(VLOOKUP($A2644,原始数据_利率互换_FR007_1年!$A$6:$C$4395,2,0),"")</f>
        <v>2.2815</v>
      </c>
      <c r="I2644">
        <f>IFERROR(VLOOKUP($A2644,原始数据_利率互换_FR007_1年!$A$6:$C$4395,3,0),"")</f>
        <v>2.7045</v>
      </c>
    </row>
    <row r="2645" spans="1:9">
      <c r="A2645" s="6">
        <v>42138</v>
      </c>
      <c r="B2645">
        <f>IFERROR(VLOOKUP($A2645,原始数据_收盘!$A$4:$G$3460,2,0),"")</f>
        <v>2.178</v>
      </c>
      <c r="C2645">
        <f>IFERROR(VLOOKUP($A2645,原始数据_收盘!$A$4:$G$3460,3,0),"")</f>
        <v>2.5908</v>
      </c>
      <c r="D2645">
        <f>IFERROR(VLOOKUP($A2645,原始数据_收盘!$A$4:$G$3460,4,0),"")</f>
        <v>2.2433</v>
      </c>
      <c r="E2645">
        <f>IFERROR(VLOOKUP($A2645,原始数据_收盘!$A$4:$G$3460,5,0),"")</f>
        <v>2.6538</v>
      </c>
      <c r="F2645">
        <f>IFERROR(VLOOKUP($A2645,原始数据_收盘!$A$4:$G$3460,6,0),"")</f>
        <v>2.2107</v>
      </c>
      <c r="G2645">
        <f>IFERROR(VLOOKUP($A2645,原始数据_收盘!$A$4:$G$3460,7,0),"")</f>
        <v>2.6223</v>
      </c>
      <c r="H2645">
        <f>IFERROR(VLOOKUP($A2645,原始数据_利率互换_FR007_1年!$A$6:$C$4395,2,0),"")</f>
        <v>2.2037</v>
      </c>
      <c r="I2645">
        <f>IFERROR(VLOOKUP($A2645,原始数据_利率互换_FR007_1年!$A$6:$C$4395,3,0),"")</f>
        <v>2.6017</v>
      </c>
    </row>
    <row r="2646" spans="1:9">
      <c r="A2646" s="6">
        <v>42139</v>
      </c>
      <c r="B2646">
        <f>IFERROR(VLOOKUP($A2646,原始数据_收盘!$A$4:$G$3460,2,0),"")</f>
        <v>2.1771</v>
      </c>
      <c r="C2646">
        <f>IFERROR(VLOOKUP($A2646,原始数据_收盘!$A$4:$G$3460,3,0),"")</f>
        <v>2.5804</v>
      </c>
      <c r="D2646">
        <f>IFERROR(VLOOKUP($A2646,原始数据_收盘!$A$4:$G$3460,4,0),"")</f>
        <v>2.2325</v>
      </c>
      <c r="E2646">
        <f>IFERROR(VLOOKUP($A2646,原始数据_收盘!$A$4:$G$3460,5,0),"")</f>
        <v>2.6438</v>
      </c>
      <c r="F2646">
        <f>IFERROR(VLOOKUP($A2646,原始数据_收盘!$A$4:$G$3460,6,0),"")</f>
        <v>2.2048</v>
      </c>
      <c r="G2646">
        <f>IFERROR(VLOOKUP($A2646,原始数据_收盘!$A$4:$G$3460,7,0),"")</f>
        <v>2.6121</v>
      </c>
      <c r="H2646">
        <f>IFERROR(VLOOKUP($A2646,原始数据_利率互换_FR007_1年!$A$6:$C$4395,2,0),"")</f>
        <v>2.1962</v>
      </c>
      <c r="I2646">
        <f>IFERROR(VLOOKUP($A2646,原始数据_利率互换_FR007_1年!$A$6:$C$4395,3,0),"")</f>
        <v>2.618</v>
      </c>
    </row>
    <row r="2647" spans="1:9">
      <c r="A2647" s="6">
        <v>42140</v>
      </c>
      <c r="B2647" t="str">
        <f>IFERROR(VLOOKUP($A2647,原始数据_收盘!$A$4:$G$3460,2,0),"")</f>
        <v/>
      </c>
      <c r="C2647" t="str">
        <f>IFERROR(VLOOKUP($A2647,原始数据_收盘!$A$4:$G$3460,3,0),"")</f>
        <v/>
      </c>
      <c r="D2647" t="str">
        <f>IFERROR(VLOOKUP($A2647,原始数据_收盘!$A$4:$G$3460,4,0),"")</f>
        <v/>
      </c>
      <c r="E2647" t="str">
        <f>IFERROR(VLOOKUP($A2647,原始数据_收盘!$A$4:$G$3460,5,0),"")</f>
        <v/>
      </c>
      <c r="F2647" t="str">
        <f>IFERROR(VLOOKUP($A2647,原始数据_收盘!$A$4:$G$3460,6,0),"")</f>
        <v/>
      </c>
      <c r="G2647" t="str">
        <f>IFERROR(VLOOKUP($A2647,原始数据_收盘!$A$4:$G$3460,7,0),"")</f>
        <v/>
      </c>
      <c r="H2647" t="str">
        <f>IFERROR(VLOOKUP($A2647,原始数据_利率互换_FR007_1年!$A$6:$C$4395,2,0),"")</f>
        <v/>
      </c>
      <c r="I2647" t="str">
        <f>IFERROR(VLOOKUP($A2647,原始数据_利率互换_FR007_1年!$A$6:$C$4395,3,0),"")</f>
        <v/>
      </c>
    </row>
    <row r="2648" spans="1:9">
      <c r="A2648" s="6">
        <v>42141</v>
      </c>
      <c r="B2648" t="str">
        <f>IFERROR(VLOOKUP($A2648,原始数据_收盘!$A$4:$G$3460,2,0),"")</f>
        <v/>
      </c>
      <c r="C2648" t="str">
        <f>IFERROR(VLOOKUP($A2648,原始数据_收盘!$A$4:$G$3460,3,0),"")</f>
        <v/>
      </c>
      <c r="D2648" t="str">
        <f>IFERROR(VLOOKUP($A2648,原始数据_收盘!$A$4:$G$3460,4,0),"")</f>
        <v/>
      </c>
      <c r="E2648" t="str">
        <f>IFERROR(VLOOKUP($A2648,原始数据_收盘!$A$4:$G$3460,5,0),"")</f>
        <v/>
      </c>
      <c r="F2648" t="str">
        <f>IFERROR(VLOOKUP($A2648,原始数据_收盘!$A$4:$G$3460,6,0),"")</f>
        <v/>
      </c>
      <c r="G2648" t="str">
        <f>IFERROR(VLOOKUP($A2648,原始数据_收盘!$A$4:$G$3460,7,0),"")</f>
        <v/>
      </c>
      <c r="H2648" t="str">
        <f>IFERROR(VLOOKUP($A2648,原始数据_利率互换_FR007_1年!$A$6:$C$4395,2,0),"")</f>
        <v/>
      </c>
      <c r="I2648" t="str">
        <f>IFERROR(VLOOKUP($A2648,原始数据_利率互换_FR007_1年!$A$6:$C$4395,3,0),"")</f>
        <v/>
      </c>
    </row>
    <row r="2649" spans="1:9">
      <c r="A2649" s="6">
        <v>42142</v>
      </c>
      <c r="B2649">
        <f>IFERROR(VLOOKUP($A2649,原始数据_收盘!$A$4:$G$3460,2,0),"")</f>
        <v>2.233</v>
      </c>
      <c r="C2649">
        <f>IFERROR(VLOOKUP($A2649,原始数据_收盘!$A$4:$G$3460,3,0),"")</f>
        <v>2.6603</v>
      </c>
      <c r="D2649">
        <f>IFERROR(VLOOKUP($A2649,原始数据_收盘!$A$4:$G$3460,4,0),"")</f>
        <v>2.3003</v>
      </c>
      <c r="E2649">
        <f>IFERROR(VLOOKUP($A2649,原始数据_收盘!$A$4:$G$3460,5,0),"")</f>
        <v>2.7244</v>
      </c>
      <c r="F2649">
        <f>IFERROR(VLOOKUP($A2649,原始数据_收盘!$A$4:$G$3460,6,0),"")</f>
        <v>2.2667</v>
      </c>
      <c r="G2649">
        <f>IFERROR(VLOOKUP($A2649,原始数据_收盘!$A$4:$G$3460,7,0),"")</f>
        <v>2.6924</v>
      </c>
      <c r="H2649">
        <f>IFERROR(VLOOKUP($A2649,原始数据_利率互换_FR007_1年!$A$6:$C$4395,2,0),"")</f>
        <v>2.2463</v>
      </c>
      <c r="I2649">
        <f>IFERROR(VLOOKUP($A2649,原始数据_利率互换_FR007_1年!$A$6:$C$4395,3,0),"")</f>
        <v>2.6741</v>
      </c>
    </row>
    <row r="2650" spans="1:9">
      <c r="A2650" s="6">
        <v>42143</v>
      </c>
      <c r="B2650">
        <f>IFERROR(VLOOKUP($A2650,原始数据_收盘!$A$4:$G$3460,2,0),"")</f>
        <v>2.2759</v>
      </c>
      <c r="C2650">
        <f>IFERROR(VLOOKUP($A2650,原始数据_收盘!$A$4:$G$3460,3,0),"")</f>
        <v>2.7309</v>
      </c>
      <c r="D2650">
        <f>IFERROR(VLOOKUP($A2650,原始数据_收盘!$A$4:$G$3460,4,0),"")</f>
        <v>2.3463</v>
      </c>
      <c r="E2650">
        <f>IFERROR(VLOOKUP($A2650,原始数据_收盘!$A$4:$G$3460,5,0),"")</f>
        <v>2.8016</v>
      </c>
      <c r="F2650">
        <f>IFERROR(VLOOKUP($A2650,原始数据_收盘!$A$4:$G$3460,6,0),"")</f>
        <v>2.3111</v>
      </c>
      <c r="G2650">
        <f>IFERROR(VLOOKUP($A2650,原始数据_收盘!$A$4:$G$3460,7,0),"")</f>
        <v>2.7663</v>
      </c>
      <c r="H2650">
        <f>IFERROR(VLOOKUP($A2650,原始数据_利率互换_FR007_1年!$A$6:$C$4395,2,0),"")</f>
        <v>2.3114</v>
      </c>
      <c r="I2650">
        <f>IFERROR(VLOOKUP($A2650,原始数据_利率互换_FR007_1年!$A$6:$C$4395,3,0),"")</f>
        <v>2.7769</v>
      </c>
    </row>
    <row r="2651" spans="1:9">
      <c r="A2651" s="6">
        <v>42144</v>
      </c>
      <c r="B2651">
        <f>IFERROR(VLOOKUP($A2651,原始数据_收盘!$A$4:$G$3460,2,0),"")</f>
        <v>2.2589</v>
      </c>
      <c r="C2651">
        <f>IFERROR(VLOOKUP($A2651,原始数据_收盘!$A$4:$G$3460,3,0),"")</f>
        <v>2.7111</v>
      </c>
      <c r="D2651">
        <f>IFERROR(VLOOKUP($A2651,原始数据_收盘!$A$4:$G$3460,4,0),"")</f>
        <v>2.323</v>
      </c>
      <c r="E2651">
        <f>IFERROR(VLOOKUP($A2651,原始数据_收盘!$A$4:$G$3460,5,0),"")</f>
        <v>2.7803</v>
      </c>
      <c r="F2651">
        <f>IFERROR(VLOOKUP($A2651,原始数据_收盘!$A$4:$G$3460,6,0),"")</f>
        <v>2.2909</v>
      </c>
      <c r="G2651">
        <f>IFERROR(VLOOKUP($A2651,原始数据_收盘!$A$4:$G$3460,7,0),"")</f>
        <v>2.7457</v>
      </c>
      <c r="H2651">
        <f>IFERROR(VLOOKUP($A2651,原始数据_利率互换_FR007_1年!$A$6:$C$4395,2,0),"")</f>
        <v>2.2903</v>
      </c>
      <c r="I2651">
        <f>IFERROR(VLOOKUP($A2651,原始数据_利率互换_FR007_1年!$A$6:$C$4395,3,0),"")</f>
        <v>2.7483</v>
      </c>
    </row>
    <row r="2652" spans="1:9">
      <c r="A2652" s="6">
        <v>42145</v>
      </c>
      <c r="B2652">
        <f>IFERROR(VLOOKUP($A2652,原始数据_收盘!$A$4:$G$3460,2,0),"")</f>
        <v>2.2908</v>
      </c>
      <c r="C2652">
        <f>IFERROR(VLOOKUP($A2652,原始数据_收盘!$A$4:$G$3460,3,0),"")</f>
        <v>2.75</v>
      </c>
      <c r="D2652">
        <f>IFERROR(VLOOKUP($A2652,原始数据_收盘!$A$4:$G$3460,4,0),"")</f>
        <v>2.3538</v>
      </c>
      <c r="E2652">
        <f>IFERROR(VLOOKUP($A2652,原始数据_收盘!$A$4:$G$3460,5,0),"")</f>
        <v>2.8088</v>
      </c>
      <c r="F2652">
        <f>IFERROR(VLOOKUP($A2652,原始数据_收盘!$A$4:$G$3460,6,0),"")</f>
        <v>2.3223</v>
      </c>
      <c r="G2652">
        <f>IFERROR(VLOOKUP($A2652,原始数据_收盘!$A$4:$G$3460,7,0),"")</f>
        <v>2.7794</v>
      </c>
      <c r="H2652">
        <f>IFERROR(VLOOKUP($A2652,原始数据_利率互换_FR007_1年!$A$6:$C$4395,2,0),"")</f>
        <v>2.3142</v>
      </c>
      <c r="I2652">
        <f>IFERROR(VLOOKUP($A2652,原始数据_利率互换_FR007_1年!$A$6:$C$4395,3,0),"")</f>
        <v>2.7875</v>
      </c>
    </row>
    <row r="2653" spans="1:9">
      <c r="A2653" s="6">
        <v>42146</v>
      </c>
      <c r="B2653">
        <f>IFERROR(VLOOKUP($A2653,原始数据_收盘!$A$4:$G$3460,2,0),"")</f>
        <v>2.2696</v>
      </c>
      <c r="C2653">
        <f>IFERROR(VLOOKUP($A2653,原始数据_收盘!$A$4:$G$3460,3,0),"")</f>
        <v>2.7338</v>
      </c>
      <c r="D2653">
        <f>IFERROR(VLOOKUP($A2653,原始数据_收盘!$A$4:$G$3460,4,0),"")</f>
        <v>2.3408</v>
      </c>
      <c r="E2653">
        <f>IFERROR(VLOOKUP($A2653,原始数据_收盘!$A$4:$G$3460,5,0),"")</f>
        <v>2.8008</v>
      </c>
      <c r="F2653">
        <f>IFERROR(VLOOKUP($A2653,原始数据_收盘!$A$4:$G$3460,6,0),"")</f>
        <v>2.3052</v>
      </c>
      <c r="G2653">
        <f>IFERROR(VLOOKUP($A2653,原始数据_收盘!$A$4:$G$3460,7,0),"")</f>
        <v>2.7673</v>
      </c>
      <c r="H2653">
        <f>IFERROR(VLOOKUP($A2653,原始数据_利率互换_FR007_1年!$A$6:$C$4395,2,0),"")</f>
        <v>2.3198</v>
      </c>
      <c r="I2653">
        <f>IFERROR(VLOOKUP($A2653,原始数据_利率互换_FR007_1年!$A$6:$C$4395,3,0),"")</f>
        <v>2.7832</v>
      </c>
    </row>
    <row r="2654" spans="1:9">
      <c r="A2654" s="6">
        <v>42147</v>
      </c>
      <c r="B2654" t="str">
        <f>IFERROR(VLOOKUP($A2654,原始数据_收盘!$A$4:$G$3460,2,0),"")</f>
        <v/>
      </c>
      <c r="C2654" t="str">
        <f>IFERROR(VLOOKUP($A2654,原始数据_收盘!$A$4:$G$3460,3,0),"")</f>
        <v/>
      </c>
      <c r="D2654" t="str">
        <f>IFERROR(VLOOKUP($A2654,原始数据_收盘!$A$4:$G$3460,4,0),"")</f>
        <v/>
      </c>
      <c r="E2654" t="str">
        <f>IFERROR(VLOOKUP($A2654,原始数据_收盘!$A$4:$G$3460,5,0),"")</f>
        <v/>
      </c>
      <c r="F2654" t="str">
        <f>IFERROR(VLOOKUP($A2654,原始数据_收盘!$A$4:$G$3460,6,0),"")</f>
        <v/>
      </c>
      <c r="G2654" t="str">
        <f>IFERROR(VLOOKUP($A2654,原始数据_收盘!$A$4:$G$3460,7,0),"")</f>
        <v/>
      </c>
      <c r="H2654" t="str">
        <f>IFERROR(VLOOKUP($A2654,原始数据_利率互换_FR007_1年!$A$6:$C$4395,2,0),"")</f>
        <v/>
      </c>
      <c r="I2654" t="str">
        <f>IFERROR(VLOOKUP($A2654,原始数据_利率互换_FR007_1年!$A$6:$C$4395,3,0),"")</f>
        <v/>
      </c>
    </row>
    <row r="2655" spans="1:9">
      <c r="A2655" s="6">
        <v>42148</v>
      </c>
      <c r="B2655" t="str">
        <f>IFERROR(VLOOKUP($A2655,原始数据_收盘!$A$4:$G$3460,2,0),"")</f>
        <v/>
      </c>
      <c r="C2655" t="str">
        <f>IFERROR(VLOOKUP($A2655,原始数据_收盘!$A$4:$G$3460,3,0),"")</f>
        <v/>
      </c>
      <c r="D2655" t="str">
        <f>IFERROR(VLOOKUP($A2655,原始数据_收盘!$A$4:$G$3460,4,0),"")</f>
        <v/>
      </c>
      <c r="E2655" t="str">
        <f>IFERROR(VLOOKUP($A2655,原始数据_收盘!$A$4:$G$3460,5,0),"")</f>
        <v/>
      </c>
      <c r="F2655" t="str">
        <f>IFERROR(VLOOKUP($A2655,原始数据_收盘!$A$4:$G$3460,6,0),"")</f>
        <v/>
      </c>
      <c r="G2655" t="str">
        <f>IFERROR(VLOOKUP($A2655,原始数据_收盘!$A$4:$G$3460,7,0),"")</f>
        <v/>
      </c>
      <c r="H2655" t="str">
        <f>IFERROR(VLOOKUP($A2655,原始数据_利率互换_FR007_1年!$A$6:$C$4395,2,0),"")</f>
        <v/>
      </c>
      <c r="I2655" t="str">
        <f>IFERROR(VLOOKUP($A2655,原始数据_利率互换_FR007_1年!$A$6:$C$4395,3,0),"")</f>
        <v/>
      </c>
    </row>
    <row r="2656" spans="1:9">
      <c r="A2656" s="6">
        <v>42149</v>
      </c>
      <c r="B2656">
        <f>IFERROR(VLOOKUP($A2656,原始数据_收盘!$A$4:$G$3460,2,0),"")</f>
        <v>2.3288</v>
      </c>
      <c r="C2656">
        <f>IFERROR(VLOOKUP($A2656,原始数据_收盘!$A$4:$G$3460,3,0),"")</f>
        <v>2.7798</v>
      </c>
      <c r="D2656">
        <f>IFERROR(VLOOKUP($A2656,原始数据_收盘!$A$4:$G$3460,4,0),"")</f>
        <v>2.3869</v>
      </c>
      <c r="E2656">
        <f>IFERROR(VLOOKUP($A2656,原始数据_收盘!$A$4:$G$3460,5,0),"")</f>
        <v>2.8473</v>
      </c>
      <c r="F2656">
        <f>IFERROR(VLOOKUP($A2656,原始数据_收盘!$A$4:$G$3460,6,0),"")</f>
        <v>2.3578</v>
      </c>
      <c r="G2656">
        <f>IFERROR(VLOOKUP($A2656,原始数据_收盘!$A$4:$G$3460,7,0),"")</f>
        <v>2.8135</v>
      </c>
      <c r="H2656">
        <f>IFERROR(VLOOKUP($A2656,原始数据_利率互换_FR007_1年!$A$6:$C$4395,2,0),"")</f>
        <v>2.3403</v>
      </c>
      <c r="I2656">
        <f>IFERROR(VLOOKUP($A2656,原始数据_利率互换_FR007_1年!$A$6:$C$4395,3,0),"")</f>
        <v>2.8122</v>
      </c>
    </row>
    <row r="2657" spans="1:9">
      <c r="A2657" s="6">
        <v>42150</v>
      </c>
      <c r="B2657">
        <f>IFERROR(VLOOKUP($A2657,原始数据_收盘!$A$4:$G$3460,2,0),"")</f>
        <v>2.369</v>
      </c>
      <c r="C2657">
        <f>IFERROR(VLOOKUP($A2657,原始数据_收盘!$A$4:$G$3460,3,0),"")</f>
        <v>2.8604</v>
      </c>
      <c r="D2657">
        <f>IFERROR(VLOOKUP($A2657,原始数据_收盘!$A$4:$G$3460,4,0),"")</f>
        <v>2.4369</v>
      </c>
      <c r="E2657">
        <f>IFERROR(VLOOKUP($A2657,原始数据_收盘!$A$4:$G$3460,5,0),"")</f>
        <v>2.9225</v>
      </c>
      <c r="F2657">
        <f>IFERROR(VLOOKUP($A2657,原始数据_收盘!$A$4:$G$3460,6,0),"")</f>
        <v>2.4029</v>
      </c>
      <c r="G2657">
        <f>IFERROR(VLOOKUP($A2657,原始数据_收盘!$A$4:$G$3460,7,0),"")</f>
        <v>2.8914</v>
      </c>
      <c r="H2657">
        <f>IFERROR(VLOOKUP($A2657,原始数据_利率互换_FR007_1年!$A$6:$C$4395,2,0),"")</f>
        <v>2.4014</v>
      </c>
      <c r="I2657">
        <f>IFERROR(VLOOKUP($A2657,原始数据_利率互换_FR007_1年!$A$6:$C$4395,3,0),"")</f>
        <v>2.8972</v>
      </c>
    </row>
    <row r="2658" spans="1:9">
      <c r="A2658" s="6">
        <v>42151</v>
      </c>
      <c r="B2658">
        <f>IFERROR(VLOOKUP($A2658,原始数据_收盘!$A$4:$G$3460,2,0),"")</f>
        <v>2.3594</v>
      </c>
      <c r="C2658">
        <f>IFERROR(VLOOKUP($A2658,原始数据_收盘!$A$4:$G$3460,3,0),"")</f>
        <v>2.8388</v>
      </c>
      <c r="D2658">
        <f>IFERROR(VLOOKUP($A2658,原始数据_收盘!$A$4:$G$3460,4,0),"")</f>
        <v>2.416</v>
      </c>
      <c r="E2658">
        <f>IFERROR(VLOOKUP($A2658,原始数据_收盘!$A$4:$G$3460,5,0),"")</f>
        <v>2.9029</v>
      </c>
      <c r="F2658">
        <f>IFERROR(VLOOKUP($A2658,原始数据_收盘!$A$4:$G$3460,6,0),"")</f>
        <v>2.3877</v>
      </c>
      <c r="G2658">
        <f>IFERROR(VLOOKUP($A2658,原始数据_收盘!$A$4:$G$3460,7,0),"")</f>
        <v>2.8708</v>
      </c>
      <c r="H2658">
        <f>IFERROR(VLOOKUP($A2658,原始数据_利率互换_FR007_1年!$A$6:$C$4395,2,0),"")</f>
        <v>2.39</v>
      </c>
      <c r="I2658">
        <f>IFERROR(VLOOKUP($A2658,原始数据_利率互换_FR007_1年!$A$6:$C$4395,3,0),"")</f>
        <v>2.8807</v>
      </c>
    </row>
    <row r="2659" spans="1:9">
      <c r="A2659" s="6">
        <v>42152</v>
      </c>
      <c r="B2659">
        <f>IFERROR(VLOOKUP($A2659,原始数据_收盘!$A$4:$G$3460,2,0),"")</f>
        <v>2.4075</v>
      </c>
      <c r="C2659">
        <f>IFERROR(VLOOKUP($A2659,原始数据_收盘!$A$4:$G$3460,3,0),"")</f>
        <v>2.8875</v>
      </c>
      <c r="D2659">
        <f>IFERROR(VLOOKUP($A2659,原始数据_收盘!$A$4:$G$3460,4,0),"")</f>
        <v>2.4596</v>
      </c>
      <c r="E2659">
        <f>IFERROR(VLOOKUP($A2659,原始数据_收盘!$A$4:$G$3460,5,0),"")</f>
        <v>2.9525</v>
      </c>
      <c r="F2659">
        <f>IFERROR(VLOOKUP($A2659,原始数据_收盘!$A$4:$G$3460,6,0),"")</f>
        <v>2.4336</v>
      </c>
      <c r="G2659">
        <f>IFERROR(VLOOKUP($A2659,原始数据_收盘!$A$4:$G$3460,7,0),"")</f>
        <v>2.92</v>
      </c>
      <c r="H2659">
        <f>IFERROR(VLOOKUP($A2659,原始数据_利率互换_FR007_1年!$A$6:$C$4395,2,0),"")</f>
        <v>2.4235</v>
      </c>
      <c r="I2659">
        <f>IFERROR(VLOOKUP($A2659,原始数据_利率互换_FR007_1年!$A$6:$C$4395,3,0),"")</f>
        <v>2.9015</v>
      </c>
    </row>
    <row r="2660" spans="1:9">
      <c r="A2660" s="6">
        <v>42153</v>
      </c>
      <c r="B2660">
        <f>IFERROR(VLOOKUP($A2660,原始数据_收盘!$A$4:$G$3460,2,0),"")</f>
        <v>2.4042</v>
      </c>
      <c r="C2660">
        <f>IFERROR(VLOOKUP($A2660,原始数据_收盘!$A$4:$G$3460,3,0),"")</f>
        <v>2.8767</v>
      </c>
      <c r="D2660">
        <f>IFERROR(VLOOKUP($A2660,原始数据_收盘!$A$4:$G$3460,4,0),"")</f>
        <v>2.4588</v>
      </c>
      <c r="E2660">
        <f>IFERROR(VLOOKUP($A2660,原始数据_收盘!$A$4:$G$3460,5,0),"")</f>
        <v>2.9459</v>
      </c>
      <c r="F2660">
        <f>IFERROR(VLOOKUP($A2660,原始数据_收盘!$A$4:$G$3460,6,0),"")</f>
        <v>2.4315</v>
      </c>
      <c r="G2660">
        <f>IFERROR(VLOOKUP($A2660,原始数据_收盘!$A$4:$G$3460,7,0),"")</f>
        <v>2.9113</v>
      </c>
      <c r="H2660">
        <f>IFERROR(VLOOKUP($A2660,原始数据_利率互换_FR007_1年!$A$6:$C$4395,2,0),"")</f>
        <v>2.4364</v>
      </c>
      <c r="I2660">
        <f>IFERROR(VLOOKUP($A2660,原始数据_利率互换_FR007_1年!$A$6:$C$4395,3,0),"")</f>
        <v>2.9089</v>
      </c>
    </row>
    <row r="2661" spans="1:9">
      <c r="A2661" s="6">
        <v>42154</v>
      </c>
      <c r="B2661" t="str">
        <f>IFERROR(VLOOKUP($A2661,原始数据_收盘!$A$4:$G$3460,2,0),"")</f>
        <v/>
      </c>
      <c r="C2661" t="str">
        <f>IFERROR(VLOOKUP($A2661,原始数据_收盘!$A$4:$G$3460,3,0),"")</f>
        <v/>
      </c>
      <c r="D2661" t="str">
        <f>IFERROR(VLOOKUP($A2661,原始数据_收盘!$A$4:$G$3460,4,0),"")</f>
        <v/>
      </c>
      <c r="E2661" t="str">
        <f>IFERROR(VLOOKUP($A2661,原始数据_收盘!$A$4:$G$3460,5,0),"")</f>
        <v/>
      </c>
      <c r="F2661" t="str">
        <f>IFERROR(VLOOKUP($A2661,原始数据_收盘!$A$4:$G$3460,6,0),"")</f>
        <v/>
      </c>
      <c r="G2661" t="str">
        <f>IFERROR(VLOOKUP($A2661,原始数据_收盘!$A$4:$G$3460,7,0),"")</f>
        <v/>
      </c>
      <c r="H2661" t="str">
        <f>IFERROR(VLOOKUP($A2661,原始数据_利率互换_FR007_1年!$A$6:$C$4395,2,0),"")</f>
        <v/>
      </c>
      <c r="I2661" t="str">
        <f>IFERROR(VLOOKUP($A2661,原始数据_利率互换_FR007_1年!$A$6:$C$4395,3,0),"")</f>
        <v/>
      </c>
    </row>
    <row r="2662" spans="1:9">
      <c r="A2662" s="6">
        <v>42155</v>
      </c>
      <c r="B2662" t="str">
        <f>IFERROR(VLOOKUP($A2662,原始数据_收盘!$A$4:$G$3460,2,0),"")</f>
        <v/>
      </c>
      <c r="C2662" t="str">
        <f>IFERROR(VLOOKUP($A2662,原始数据_收盘!$A$4:$G$3460,3,0),"")</f>
        <v/>
      </c>
      <c r="D2662" t="str">
        <f>IFERROR(VLOOKUP($A2662,原始数据_收盘!$A$4:$G$3460,4,0),"")</f>
        <v/>
      </c>
      <c r="E2662" t="str">
        <f>IFERROR(VLOOKUP($A2662,原始数据_收盘!$A$4:$G$3460,5,0),"")</f>
        <v/>
      </c>
      <c r="F2662" t="str">
        <f>IFERROR(VLOOKUP($A2662,原始数据_收盘!$A$4:$G$3460,6,0),"")</f>
        <v/>
      </c>
      <c r="G2662" t="str">
        <f>IFERROR(VLOOKUP($A2662,原始数据_收盘!$A$4:$G$3460,7,0),"")</f>
        <v/>
      </c>
      <c r="H2662" t="str">
        <f>IFERROR(VLOOKUP($A2662,原始数据_利率互换_FR007_1年!$A$6:$C$4395,2,0),"")</f>
        <v/>
      </c>
      <c r="I2662" t="str">
        <f>IFERROR(VLOOKUP($A2662,原始数据_利率互换_FR007_1年!$A$6:$C$4395,3,0),"")</f>
        <v/>
      </c>
    </row>
    <row r="2663" spans="1:9">
      <c r="A2663" s="6">
        <v>42156</v>
      </c>
      <c r="B2663">
        <f>IFERROR(VLOOKUP($A2663,原始数据_收盘!$A$4:$G$3460,2,0),"")</f>
        <v>2.3719</v>
      </c>
      <c r="C2663">
        <f>IFERROR(VLOOKUP($A2663,原始数据_收盘!$A$4:$G$3460,3,0),"")</f>
        <v>2.8629</v>
      </c>
      <c r="D2663">
        <f>IFERROR(VLOOKUP($A2663,原始数据_收盘!$A$4:$G$3460,4,0),"")</f>
        <v>2.441</v>
      </c>
      <c r="E2663">
        <f>IFERROR(VLOOKUP($A2663,原始数据_收盘!$A$4:$G$3460,5,0),"")</f>
        <v>2.9288</v>
      </c>
      <c r="F2663">
        <f>IFERROR(VLOOKUP($A2663,原始数据_收盘!$A$4:$G$3460,6,0),"")</f>
        <v>2.4064</v>
      </c>
      <c r="G2663">
        <f>IFERROR(VLOOKUP($A2663,原始数据_收盘!$A$4:$G$3460,7,0),"")</f>
        <v>2.8958</v>
      </c>
      <c r="H2663">
        <f>IFERROR(VLOOKUP($A2663,原始数据_利率互换_FR007_1年!$A$6:$C$4395,2,0),"")</f>
        <v>2.3967</v>
      </c>
      <c r="I2663">
        <f>IFERROR(VLOOKUP($A2663,原始数据_利率互换_FR007_1年!$A$6:$C$4395,3,0),"")</f>
        <v>2.8941</v>
      </c>
    </row>
    <row r="2664" spans="1:9">
      <c r="A2664" s="6">
        <v>42157</v>
      </c>
      <c r="B2664">
        <f>IFERROR(VLOOKUP($A2664,原始数据_收盘!$A$4:$G$3460,2,0),"")</f>
        <v>2.3425</v>
      </c>
      <c r="C2664">
        <f>IFERROR(VLOOKUP($A2664,原始数据_收盘!$A$4:$G$3460,3,0),"")</f>
        <v>2.7854</v>
      </c>
      <c r="D2664">
        <f>IFERROR(VLOOKUP($A2664,原始数据_收盘!$A$4:$G$3460,4,0),"")</f>
        <v>2.4034</v>
      </c>
      <c r="E2664">
        <f>IFERROR(VLOOKUP($A2664,原始数据_收盘!$A$4:$G$3460,5,0),"")</f>
        <v>2.8517</v>
      </c>
      <c r="F2664">
        <f>IFERROR(VLOOKUP($A2664,原始数据_收盘!$A$4:$G$3460,6,0),"")</f>
        <v>2.3729</v>
      </c>
      <c r="G2664">
        <f>IFERROR(VLOOKUP($A2664,原始数据_收盘!$A$4:$G$3460,7,0),"")</f>
        <v>2.8185</v>
      </c>
      <c r="H2664">
        <f>IFERROR(VLOOKUP($A2664,原始数据_利率互换_FR007_1年!$A$6:$C$4395,2,0),"")</f>
        <v>2.3726</v>
      </c>
      <c r="I2664">
        <f>IFERROR(VLOOKUP($A2664,原始数据_利率互换_FR007_1年!$A$6:$C$4395,3,0),"")</f>
        <v>2.8242</v>
      </c>
    </row>
    <row r="2665" spans="1:9">
      <c r="A2665" s="6">
        <v>42158</v>
      </c>
      <c r="B2665">
        <f>IFERROR(VLOOKUP($A2665,原始数据_收盘!$A$4:$G$3460,2,0),"")</f>
        <v>2.3782</v>
      </c>
      <c r="C2665">
        <f>IFERROR(VLOOKUP($A2665,原始数据_收盘!$A$4:$G$3460,3,0),"")</f>
        <v>2.8222</v>
      </c>
      <c r="D2665">
        <f>IFERROR(VLOOKUP($A2665,原始数据_收盘!$A$4:$G$3460,4,0),"")</f>
        <v>2.4375</v>
      </c>
      <c r="E2665">
        <f>IFERROR(VLOOKUP($A2665,原始数据_收盘!$A$4:$G$3460,5,0),"")</f>
        <v>2.8863</v>
      </c>
      <c r="F2665">
        <f>IFERROR(VLOOKUP($A2665,原始数据_收盘!$A$4:$G$3460,6,0),"")</f>
        <v>2.4078</v>
      </c>
      <c r="G2665">
        <f>IFERROR(VLOOKUP($A2665,原始数据_收盘!$A$4:$G$3460,7,0),"")</f>
        <v>2.8543</v>
      </c>
      <c r="H2665">
        <f>IFERROR(VLOOKUP($A2665,原始数据_利率互换_FR007_1年!$A$6:$C$4395,2,0),"")</f>
        <v>2.4093</v>
      </c>
      <c r="I2665">
        <f>IFERROR(VLOOKUP($A2665,原始数据_利率互换_FR007_1年!$A$6:$C$4395,3,0),"")</f>
        <v>2.8596</v>
      </c>
    </row>
    <row r="2666" spans="1:9">
      <c r="A2666" s="6">
        <v>42159</v>
      </c>
      <c r="B2666">
        <f>IFERROR(VLOOKUP($A2666,原始数据_收盘!$A$4:$G$3460,2,0),"")</f>
        <v>2.4229</v>
      </c>
      <c r="C2666">
        <f>IFERROR(VLOOKUP($A2666,原始数据_收盘!$A$4:$G$3460,3,0),"")</f>
        <v>2.8413</v>
      </c>
      <c r="D2666">
        <f>IFERROR(VLOOKUP($A2666,原始数据_收盘!$A$4:$G$3460,4,0),"")</f>
        <v>2.4821</v>
      </c>
      <c r="E2666">
        <f>IFERROR(VLOOKUP($A2666,原始数据_收盘!$A$4:$G$3460,5,0),"")</f>
        <v>2.9025</v>
      </c>
      <c r="F2666">
        <f>IFERROR(VLOOKUP($A2666,原始数据_收盘!$A$4:$G$3460,6,0),"")</f>
        <v>2.4525</v>
      </c>
      <c r="G2666">
        <f>IFERROR(VLOOKUP($A2666,原始数据_收盘!$A$4:$G$3460,7,0),"")</f>
        <v>2.8719</v>
      </c>
      <c r="H2666">
        <f>IFERROR(VLOOKUP($A2666,原始数据_利率互换_FR007_1年!$A$6:$C$4395,2,0),"")</f>
        <v>2.4644</v>
      </c>
      <c r="I2666">
        <f>IFERROR(VLOOKUP($A2666,原始数据_利率互换_FR007_1年!$A$6:$C$4395,3,0),"")</f>
        <v>2.8793</v>
      </c>
    </row>
    <row r="2667" spans="1:9">
      <c r="A2667" s="6">
        <v>42160</v>
      </c>
      <c r="B2667">
        <f>IFERROR(VLOOKUP($A2667,原始数据_收盘!$A$4:$G$3460,2,0),"")</f>
        <v>2.35</v>
      </c>
      <c r="C2667">
        <f>IFERROR(VLOOKUP($A2667,原始数据_收盘!$A$4:$G$3460,3,0),"")</f>
        <v>2.7913</v>
      </c>
      <c r="D2667">
        <f>IFERROR(VLOOKUP($A2667,原始数据_收盘!$A$4:$G$3460,4,0),"")</f>
        <v>2.407</v>
      </c>
      <c r="E2667">
        <f>IFERROR(VLOOKUP($A2667,原始数据_收盘!$A$4:$G$3460,5,0),"")</f>
        <v>2.8538</v>
      </c>
      <c r="F2667">
        <f>IFERROR(VLOOKUP($A2667,原始数据_收盘!$A$4:$G$3460,6,0),"")</f>
        <v>2.3785</v>
      </c>
      <c r="G2667">
        <f>IFERROR(VLOOKUP($A2667,原始数据_收盘!$A$4:$G$3460,7,0),"")</f>
        <v>2.8225</v>
      </c>
      <c r="H2667">
        <f>IFERROR(VLOOKUP($A2667,原始数据_利率互换_FR007_1年!$A$6:$C$4395,2,0),"")</f>
        <v>2.391</v>
      </c>
      <c r="I2667">
        <f>IFERROR(VLOOKUP($A2667,原始数据_利率互换_FR007_1年!$A$6:$C$4395,3,0),"")</f>
        <v>2.8303</v>
      </c>
    </row>
    <row r="2668" spans="1:9">
      <c r="A2668" s="6">
        <v>42161</v>
      </c>
      <c r="B2668" t="str">
        <f>IFERROR(VLOOKUP($A2668,原始数据_收盘!$A$4:$G$3460,2,0),"")</f>
        <v/>
      </c>
      <c r="C2668" t="str">
        <f>IFERROR(VLOOKUP($A2668,原始数据_收盘!$A$4:$G$3460,3,0),"")</f>
        <v/>
      </c>
      <c r="D2668" t="str">
        <f>IFERROR(VLOOKUP($A2668,原始数据_收盘!$A$4:$G$3460,4,0),"")</f>
        <v/>
      </c>
      <c r="E2668" t="str">
        <f>IFERROR(VLOOKUP($A2668,原始数据_收盘!$A$4:$G$3460,5,0),"")</f>
        <v/>
      </c>
      <c r="F2668" t="str">
        <f>IFERROR(VLOOKUP($A2668,原始数据_收盘!$A$4:$G$3460,6,0),"")</f>
        <v/>
      </c>
      <c r="G2668" t="str">
        <f>IFERROR(VLOOKUP($A2668,原始数据_收盘!$A$4:$G$3460,7,0),"")</f>
        <v/>
      </c>
      <c r="H2668" t="str">
        <f>IFERROR(VLOOKUP($A2668,原始数据_利率互换_FR007_1年!$A$6:$C$4395,2,0),"")</f>
        <v/>
      </c>
      <c r="I2668" t="str">
        <f>IFERROR(VLOOKUP($A2668,原始数据_利率互换_FR007_1年!$A$6:$C$4395,3,0),"")</f>
        <v/>
      </c>
    </row>
    <row r="2669" spans="1:9">
      <c r="A2669" s="6">
        <v>42162</v>
      </c>
      <c r="B2669" t="str">
        <f>IFERROR(VLOOKUP($A2669,原始数据_收盘!$A$4:$G$3460,2,0),"")</f>
        <v/>
      </c>
      <c r="C2669" t="str">
        <f>IFERROR(VLOOKUP($A2669,原始数据_收盘!$A$4:$G$3460,3,0),"")</f>
        <v/>
      </c>
      <c r="D2669" t="str">
        <f>IFERROR(VLOOKUP($A2669,原始数据_收盘!$A$4:$G$3460,4,0),"")</f>
        <v/>
      </c>
      <c r="E2669" t="str">
        <f>IFERROR(VLOOKUP($A2669,原始数据_收盘!$A$4:$G$3460,5,0),"")</f>
        <v/>
      </c>
      <c r="F2669" t="str">
        <f>IFERROR(VLOOKUP($A2669,原始数据_收盘!$A$4:$G$3460,6,0),"")</f>
        <v/>
      </c>
      <c r="G2669" t="str">
        <f>IFERROR(VLOOKUP($A2669,原始数据_收盘!$A$4:$G$3460,7,0),"")</f>
        <v/>
      </c>
      <c r="H2669" t="str">
        <f>IFERROR(VLOOKUP($A2669,原始数据_利率互换_FR007_1年!$A$6:$C$4395,2,0),"")</f>
        <v/>
      </c>
      <c r="I2669" t="str">
        <f>IFERROR(VLOOKUP($A2669,原始数据_利率互换_FR007_1年!$A$6:$C$4395,3,0),"")</f>
        <v/>
      </c>
    </row>
    <row r="2670" spans="1:9">
      <c r="A2670" s="6">
        <v>42163</v>
      </c>
      <c r="B2670">
        <f>IFERROR(VLOOKUP($A2670,原始数据_收盘!$A$4:$G$3460,2,0),"")</f>
        <v>2.3413</v>
      </c>
      <c r="C2670">
        <f>IFERROR(VLOOKUP($A2670,原始数据_收盘!$A$4:$G$3460,3,0),"")</f>
        <v>2.7809</v>
      </c>
      <c r="D2670">
        <f>IFERROR(VLOOKUP($A2670,原始数据_收盘!$A$4:$G$3460,4,0),"")</f>
        <v>2.3859</v>
      </c>
      <c r="E2670">
        <f>IFERROR(VLOOKUP($A2670,原始数据_收盘!$A$4:$G$3460,5,0),"")</f>
        <v>2.8388</v>
      </c>
      <c r="F2670">
        <f>IFERROR(VLOOKUP($A2670,原始数据_收盘!$A$4:$G$3460,6,0),"")</f>
        <v>2.3636</v>
      </c>
      <c r="G2670">
        <f>IFERROR(VLOOKUP($A2670,原始数据_收盘!$A$4:$G$3460,7,0),"")</f>
        <v>2.8098</v>
      </c>
      <c r="H2670">
        <f>IFERROR(VLOOKUP($A2670,原始数据_利率互换_FR007_1年!$A$6:$C$4395,2,0),"")</f>
        <v>2.3581</v>
      </c>
      <c r="I2670">
        <f>IFERROR(VLOOKUP($A2670,原始数据_利率互换_FR007_1年!$A$6:$C$4395,3,0),"")</f>
        <v>2.8119</v>
      </c>
    </row>
    <row r="2671" spans="1:9">
      <c r="A2671" s="6">
        <v>42164</v>
      </c>
      <c r="B2671">
        <f>IFERROR(VLOOKUP($A2671,原始数据_收盘!$A$4:$G$3460,2,0),"")</f>
        <v>2.3456</v>
      </c>
      <c r="C2671">
        <f>IFERROR(VLOOKUP($A2671,原始数据_收盘!$A$4:$G$3460,3,0),"")</f>
        <v>2.7891</v>
      </c>
      <c r="D2671">
        <f>IFERROR(VLOOKUP($A2671,原始数据_收盘!$A$4:$G$3460,4,0),"")</f>
        <v>2.4037</v>
      </c>
      <c r="E2671">
        <f>IFERROR(VLOOKUP($A2671,原始数据_收盘!$A$4:$G$3460,5,0),"")</f>
        <v>2.85</v>
      </c>
      <c r="F2671">
        <f>IFERROR(VLOOKUP($A2671,原始数据_收盘!$A$4:$G$3460,6,0),"")</f>
        <v>2.3746</v>
      </c>
      <c r="G2671">
        <f>IFERROR(VLOOKUP($A2671,原始数据_收盘!$A$4:$G$3460,7,0),"")</f>
        <v>2.8196</v>
      </c>
      <c r="H2671">
        <f>IFERROR(VLOOKUP($A2671,原始数据_利率互换_FR007_1年!$A$6:$C$4395,2,0),"")</f>
        <v>2.3667</v>
      </c>
      <c r="I2671">
        <f>IFERROR(VLOOKUP($A2671,原始数据_利率互换_FR007_1年!$A$6:$C$4395,3,0),"")</f>
        <v>2.8171</v>
      </c>
    </row>
    <row r="2672" spans="1:9">
      <c r="A2672" s="6">
        <v>42165</v>
      </c>
      <c r="B2672">
        <f>IFERROR(VLOOKUP($A2672,原始数据_收盘!$A$4:$G$3460,2,0),"")</f>
        <v>2.3824</v>
      </c>
      <c r="C2672">
        <f>IFERROR(VLOOKUP($A2672,原始数据_收盘!$A$4:$G$3460,3,0),"")</f>
        <v>2.8113</v>
      </c>
      <c r="D2672">
        <f>IFERROR(VLOOKUP($A2672,原始数据_收盘!$A$4:$G$3460,4,0),"")</f>
        <v>2.4489</v>
      </c>
      <c r="E2672">
        <f>IFERROR(VLOOKUP($A2672,原始数据_收盘!$A$4:$G$3460,5,0),"")</f>
        <v>2.8763</v>
      </c>
      <c r="F2672">
        <f>IFERROR(VLOOKUP($A2672,原始数据_收盘!$A$4:$G$3460,6,0),"")</f>
        <v>2.4157</v>
      </c>
      <c r="G2672">
        <f>IFERROR(VLOOKUP($A2672,原始数据_收盘!$A$4:$G$3460,7,0),"")</f>
        <v>2.8438</v>
      </c>
      <c r="H2672">
        <f>IFERROR(VLOOKUP($A2672,原始数据_利率互换_FR007_1年!$A$6:$C$4395,2,0),"")</f>
        <v>2.4053</v>
      </c>
      <c r="I2672">
        <f>IFERROR(VLOOKUP($A2672,原始数据_利率互换_FR007_1年!$A$6:$C$4395,3,0),"")</f>
        <v>2.8418</v>
      </c>
    </row>
    <row r="2673" spans="1:9">
      <c r="A2673" s="6">
        <v>42166</v>
      </c>
      <c r="B2673">
        <f>IFERROR(VLOOKUP($A2673,原始数据_收盘!$A$4:$G$3460,2,0),"")</f>
        <v>2.395</v>
      </c>
      <c r="C2673">
        <f>IFERROR(VLOOKUP($A2673,原始数据_收盘!$A$4:$G$3460,3,0),"")</f>
        <v>2.83</v>
      </c>
      <c r="D2673">
        <f>IFERROR(VLOOKUP($A2673,原始数据_收盘!$A$4:$G$3460,4,0),"")</f>
        <v>2.455</v>
      </c>
      <c r="E2673">
        <f>IFERROR(VLOOKUP($A2673,原始数据_收盘!$A$4:$G$3460,5,0),"")</f>
        <v>2.8938</v>
      </c>
      <c r="F2673">
        <f>IFERROR(VLOOKUP($A2673,原始数据_收盘!$A$4:$G$3460,6,0),"")</f>
        <v>2.425</v>
      </c>
      <c r="G2673">
        <f>IFERROR(VLOOKUP($A2673,原始数据_收盘!$A$4:$G$3460,7,0),"")</f>
        <v>2.8619</v>
      </c>
      <c r="H2673">
        <f>IFERROR(VLOOKUP($A2673,原始数据_利率互换_FR007_1年!$A$6:$C$4395,2,0),"")</f>
        <v>2.436</v>
      </c>
      <c r="I2673">
        <f>IFERROR(VLOOKUP($A2673,原始数据_利率互换_FR007_1年!$A$6:$C$4395,3,0),"")</f>
        <v>2.8558</v>
      </c>
    </row>
    <row r="2674" spans="1:9">
      <c r="A2674" s="6">
        <v>42167</v>
      </c>
      <c r="B2674">
        <f>IFERROR(VLOOKUP($A2674,原始数据_收盘!$A$4:$G$3460,2,0),"")</f>
        <v>2.3942</v>
      </c>
      <c r="C2674">
        <f>IFERROR(VLOOKUP($A2674,原始数据_收盘!$A$4:$G$3460,3,0),"")</f>
        <v>2.8246</v>
      </c>
      <c r="D2674">
        <f>IFERROR(VLOOKUP($A2674,原始数据_收盘!$A$4:$G$3460,4,0),"")</f>
        <v>2.4592</v>
      </c>
      <c r="E2674">
        <f>IFERROR(VLOOKUP($A2674,原始数据_收盘!$A$4:$G$3460,5,0),"")</f>
        <v>2.8929</v>
      </c>
      <c r="F2674">
        <f>IFERROR(VLOOKUP($A2674,原始数据_收盘!$A$4:$G$3460,6,0),"")</f>
        <v>2.4267</v>
      </c>
      <c r="G2674">
        <f>IFERROR(VLOOKUP($A2674,原始数据_收盘!$A$4:$G$3460,7,0),"")</f>
        <v>2.8588</v>
      </c>
      <c r="H2674">
        <f>IFERROR(VLOOKUP($A2674,原始数据_利率互换_FR007_1年!$A$6:$C$4395,2,0),"")</f>
        <v>2.4419</v>
      </c>
      <c r="I2674">
        <f>IFERROR(VLOOKUP($A2674,原始数据_利率互换_FR007_1年!$A$6:$C$4395,3,0),"")</f>
        <v>2.8731</v>
      </c>
    </row>
    <row r="2675" spans="1:9">
      <c r="A2675" s="6">
        <v>42168</v>
      </c>
      <c r="B2675" t="str">
        <f>IFERROR(VLOOKUP($A2675,原始数据_收盘!$A$4:$G$3460,2,0),"")</f>
        <v/>
      </c>
      <c r="C2675" t="str">
        <f>IFERROR(VLOOKUP($A2675,原始数据_收盘!$A$4:$G$3460,3,0),"")</f>
        <v/>
      </c>
      <c r="D2675" t="str">
        <f>IFERROR(VLOOKUP($A2675,原始数据_收盘!$A$4:$G$3460,4,0),"")</f>
        <v/>
      </c>
      <c r="E2675" t="str">
        <f>IFERROR(VLOOKUP($A2675,原始数据_收盘!$A$4:$G$3460,5,0),"")</f>
        <v/>
      </c>
      <c r="F2675" t="str">
        <f>IFERROR(VLOOKUP($A2675,原始数据_收盘!$A$4:$G$3460,6,0),"")</f>
        <v/>
      </c>
      <c r="G2675" t="str">
        <f>IFERROR(VLOOKUP($A2675,原始数据_收盘!$A$4:$G$3460,7,0),"")</f>
        <v/>
      </c>
      <c r="H2675" t="str">
        <f>IFERROR(VLOOKUP($A2675,原始数据_利率互换_FR007_1年!$A$6:$C$4395,2,0),"")</f>
        <v/>
      </c>
      <c r="I2675" t="str">
        <f>IFERROR(VLOOKUP($A2675,原始数据_利率互换_FR007_1年!$A$6:$C$4395,3,0),"")</f>
        <v/>
      </c>
    </row>
    <row r="2676" spans="1:9">
      <c r="A2676" s="6">
        <v>42169</v>
      </c>
      <c r="B2676" t="str">
        <f>IFERROR(VLOOKUP($A2676,原始数据_收盘!$A$4:$G$3460,2,0),"")</f>
        <v/>
      </c>
      <c r="C2676" t="str">
        <f>IFERROR(VLOOKUP($A2676,原始数据_收盘!$A$4:$G$3460,3,0),"")</f>
        <v/>
      </c>
      <c r="D2676" t="str">
        <f>IFERROR(VLOOKUP($A2676,原始数据_收盘!$A$4:$G$3460,4,0),"")</f>
        <v/>
      </c>
      <c r="E2676" t="str">
        <f>IFERROR(VLOOKUP($A2676,原始数据_收盘!$A$4:$G$3460,5,0),"")</f>
        <v/>
      </c>
      <c r="F2676" t="str">
        <f>IFERROR(VLOOKUP($A2676,原始数据_收盘!$A$4:$G$3460,6,0),"")</f>
        <v/>
      </c>
      <c r="G2676" t="str">
        <f>IFERROR(VLOOKUP($A2676,原始数据_收盘!$A$4:$G$3460,7,0),"")</f>
        <v/>
      </c>
      <c r="H2676" t="str">
        <f>IFERROR(VLOOKUP($A2676,原始数据_利率互换_FR007_1年!$A$6:$C$4395,2,0),"")</f>
        <v/>
      </c>
      <c r="I2676" t="str">
        <f>IFERROR(VLOOKUP($A2676,原始数据_利率互换_FR007_1年!$A$6:$C$4395,3,0),"")</f>
        <v/>
      </c>
    </row>
    <row r="2677" spans="1:9">
      <c r="A2677" s="6">
        <v>42170</v>
      </c>
      <c r="B2677">
        <f>IFERROR(VLOOKUP($A2677,原始数据_收盘!$A$4:$G$3460,2,0),"")</f>
        <v>2.48</v>
      </c>
      <c r="C2677">
        <f>IFERROR(VLOOKUP($A2677,原始数据_收盘!$A$4:$G$3460,3,0),"")</f>
        <v>2.8914</v>
      </c>
      <c r="D2677">
        <f>IFERROR(VLOOKUP($A2677,原始数据_收盘!$A$4:$G$3460,4,0),"")</f>
        <v>2.5447</v>
      </c>
      <c r="E2677">
        <f>IFERROR(VLOOKUP($A2677,原始数据_收盘!$A$4:$G$3460,5,0),"")</f>
        <v>2.9567</v>
      </c>
      <c r="F2677">
        <f>IFERROR(VLOOKUP($A2677,原始数据_收盘!$A$4:$G$3460,6,0),"")</f>
        <v>2.5124</v>
      </c>
      <c r="G2677">
        <f>IFERROR(VLOOKUP($A2677,原始数据_收盘!$A$4:$G$3460,7,0),"")</f>
        <v>2.9241</v>
      </c>
      <c r="H2677">
        <f>IFERROR(VLOOKUP($A2677,原始数据_利率互换_FR007_1年!$A$6:$C$4395,2,0),"")</f>
        <v>2.4833</v>
      </c>
      <c r="I2677">
        <f>IFERROR(VLOOKUP($A2677,原始数据_利率互换_FR007_1年!$A$6:$C$4395,3,0),"")</f>
        <v>2.9005</v>
      </c>
    </row>
    <row r="2678" spans="1:9">
      <c r="A2678" s="6">
        <v>42171</v>
      </c>
      <c r="B2678">
        <f>IFERROR(VLOOKUP($A2678,原始数据_收盘!$A$4:$G$3460,2,0),"")</f>
        <v>2.4819</v>
      </c>
      <c r="C2678">
        <f>IFERROR(VLOOKUP($A2678,原始数据_收盘!$A$4:$G$3460,3,0),"")</f>
        <v>2.8663</v>
      </c>
      <c r="D2678">
        <f>IFERROR(VLOOKUP($A2678,原始数据_收盘!$A$4:$G$3460,4,0),"")</f>
        <v>2.5481</v>
      </c>
      <c r="E2678">
        <f>IFERROR(VLOOKUP($A2678,原始数据_收盘!$A$4:$G$3460,5,0),"")</f>
        <v>2.9388</v>
      </c>
      <c r="F2678">
        <f>IFERROR(VLOOKUP($A2678,原始数据_收盘!$A$4:$G$3460,6,0),"")</f>
        <v>2.515</v>
      </c>
      <c r="G2678">
        <f>IFERROR(VLOOKUP($A2678,原始数据_收盘!$A$4:$G$3460,7,0),"")</f>
        <v>2.9025</v>
      </c>
      <c r="H2678">
        <f>IFERROR(VLOOKUP($A2678,原始数据_利率互换_FR007_1年!$A$6:$C$4395,2,0),"")</f>
        <v>2.5146</v>
      </c>
      <c r="I2678">
        <f>IFERROR(VLOOKUP($A2678,原始数据_利率互换_FR007_1年!$A$6:$C$4395,3,0),"")</f>
        <v>2.9082</v>
      </c>
    </row>
    <row r="2679" spans="1:9">
      <c r="A2679" s="6">
        <v>42172</v>
      </c>
      <c r="B2679">
        <f>IFERROR(VLOOKUP($A2679,原始数据_收盘!$A$4:$G$3460,2,0),"")</f>
        <v>2.5259</v>
      </c>
      <c r="C2679">
        <f>IFERROR(VLOOKUP($A2679,原始数据_收盘!$A$4:$G$3460,3,0),"")</f>
        <v>2.8888</v>
      </c>
      <c r="D2679">
        <f>IFERROR(VLOOKUP($A2679,原始数据_收盘!$A$4:$G$3460,4,0),"")</f>
        <v>2.5875</v>
      </c>
      <c r="E2679">
        <f>IFERROR(VLOOKUP($A2679,原始数据_收盘!$A$4:$G$3460,5,0),"")</f>
        <v>2.9575</v>
      </c>
      <c r="F2679">
        <f>IFERROR(VLOOKUP($A2679,原始数据_收盘!$A$4:$G$3460,6,0),"")</f>
        <v>2.5567</v>
      </c>
      <c r="G2679">
        <f>IFERROR(VLOOKUP($A2679,原始数据_收盘!$A$4:$G$3460,7,0),"")</f>
        <v>2.9231</v>
      </c>
      <c r="H2679">
        <f>IFERROR(VLOOKUP($A2679,原始数据_利率互换_FR007_1年!$A$6:$C$4395,2,0),"")</f>
        <v>2.5533</v>
      </c>
      <c r="I2679">
        <f>IFERROR(VLOOKUP($A2679,原始数据_利率互换_FR007_1年!$A$6:$C$4395,3,0),"")</f>
        <v>2.9187</v>
      </c>
    </row>
    <row r="2680" spans="1:9">
      <c r="A2680" s="6">
        <v>42173</v>
      </c>
      <c r="B2680">
        <f>IFERROR(VLOOKUP($A2680,原始数据_收盘!$A$4:$G$3460,2,0),"")</f>
        <v>2.4963</v>
      </c>
      <c r="C2680">
        <f>IFERROR(VLOOKUP($A2680,原始数据_收盘!$A$4:$G$3460,3,0),"")</f>
        <v>2.8541</v>
      </c>
      <c r="D2680">
        <f>IFERROR(VLOOKUP($A2680,原始数据_收盘!$A$4:$G$3460,4,0),"")</f>
        <v>2.5621</v>
      </c>
      <c r="E2680">
        <f>IFERROR(VLOOKUP($A2680,原始数据_收盘!$A$4:$G$3460,5,0),"")</f>
        <v>2.92</v>
      </c>
      <c r="F2680">
        <f>IFERROR(VLOOKUP($A2680,原始数据_收盘!$A$4:$G$3460,6,0),"")</f>
        <v>2.5292</v>
      </c>
      <c r="G2680">
        <f>IFERROR(VLOOKUP($A2680,原始数据_收盘!$A$4:$G$3460,7,0),"")</f>
        <v>2.8871</v>
      </c>
      <c r="H2680">
        <f>IFERROR(VLOOKUP($A2680,原始数据_利率互换_FR007_1年!$A$6:$C$4395,2,0),"")</f>
        <v>2.5597</v>
      </c>
      <c r="I2680">
        <f>IFERROR(VLOOKUP($A2680,原始数据_利率互换_FR007_1年!$A$6:$C$4395,3,0),"")</f>
        <v>2.9075</v>
      </c>
    </row>
    <row r="2681" spans="1:9">
      <c r="A2681" s="6">
        <v>42174</v>
      </c>
      <c r="B2681">
        <f>IFERROR(VLOOKUP($A2681,原始数据_收盘!$A$4:$G$3460,2,0),"")</f>
        <v>2.5091</v>
      </c>
      <c r="C2681">
        <f>IFERROR(VLOOKUP($A2681,原始数据_收盘!$A$4:$G$3460,3,0),"")</f>
        <v>2.8588</v>
      </c>
      <c r="D2681">
        <f>IFERROR(VLOOKUP($A2681,原始数据_收盘!$A$4:$G$3460,4,0),"")</f>
        <v>2.5788</v>
      </c>
      <c r="E2681">
        <f>IFERROR(VLOOKUP($A2681,原始数据_收盘!$A$4:$G$3460,5,0),"")</f>
        <v>2.9359</v>
      </c>
      <c r="F2681">
        <f>IFERROR(VLOOKUP($A2681,原始数据_收盘!$A$4:$G$3460,6,0),"")</f>
        <v>2.5439</v>
      </c>
      <c r="G2681">
        <f>IFERROR(VLOOKUP($A2681,原始数据_收盘!$A$4:$G$3460,7,0),"")</f>
        <v>2.8973</v>
      </c>
      <c r="H2681">
        <f>IFERROR(VLOOKUP($A2681,原始数据_利率互换_FR007_1年!$A$6:$C$4395,2,0),"")</f>
        <v>2.5455</v>
      </c>
      <c r="I2681">
        <f>IFERROR(VLOOKUP($A2681,原始数据_利率互换_FR007_1年!$A$6:$C$4395,3,0),"")</f>
        <v>2.9005</v>
      </c>
    </row>
    <row r="2682" spans="1:9">
      <c r="A2682" s="6">
        <v>42175</v>
      </c>
      <c r="B2682" t="str">
        <f>IFERROR(VLOOKUP($A2682,原始数据_收盘!$A$4:$G$3460,2,0),"")</f>
        <v/>
      </c>
      <c r="C2682" t="str">
        <f>IFERROR(VLOOKUP($A2682,原始数据_收盘!$A$4:$G$3460,3,0),"")</f>
        <v/>
      </c>
      <c r="D2682" t="str">
        <f>IFERROR(VLOOKUP($A2682,原始数据_收盘!$A$4:$G$3460,4,0),"")</f>
        <v/>
      </c>
      <c r="E2682" t="str">
        <f>IFERROR(VLOOKUP($A2682,原始数据_收盘!$A$4:$G$3460,5,0),"")</f>
        <v/>
      </c>
      <c r="F2682" t="str">
        <f>IFERROR(VLOOKUP($A2682,原始数据_收盘!$A$4:$G$3460,6,0),"")</f>
        <v/>
      </c>
      <c r="G2682" t="str">
        <f>IFERROR(VLOOKUP($A2682,原始数据_收盘!$A$4:$G$3460,7,0),"")</f>
        <v/>
      </c>
      <c r="H2682" t="str">
        <f>IFERROR(VLOOKUP($A2682,原始数据_利率互换_FR007_1年!$A$6:$C$4395,2,0),"")</f>
        <v/>
      </c>
      <c r="I2682" t="str">
        <f>IFERROR(VLOOKUP($A2682,原始数据_利率互换_FR007_1年!$A$6:$C$4395,3,0),"")</f>
        <v/>
      </c>
    </row>
    <row r="2683" spans="1:9">
      <c r="A2683" s="6">
        <v>42176</v>
      </c>
      <c r="B2683" t="str">
        <f>IFERROR(VLOOKUP($A2683,原始数据_收盘!$A$4:$G$3460,2,0),"")</f>
        <v/>
      </c>
      <c r="C2683" t="str">
        <f>IFERROR(VLOOKUP($A2683,原始数据_收盘!$A$4:$G$3460,3,0),"")</f>
        <v/>
      </c>
      <c r="D2683" t="str">
        <f>IFERROR(VLOOKUP($A2683,原始数据_收盘!$A$4:$G$3460,4,0),"")</f>
        <v/>
      </c>
      <c r="E2683" t="str">
        <f>IFERROR(VLOOKUP($A2683,原始数据_收盘!$A$4:$G$3460,5,0),"")</f>
        <v/>
      </c>
      <c r="F2683" t="str">
        <f>IFERROR(VLOOKUP($A2683,原始数据_收盘!$A$4:$G$3460,6,0),"")</f>
        <v/>
      </c>
      <c r="G2683" t="str">
        <f>IFERROR(VLOOKUP($A2683,原始数据_收盘!$A$4:$G$3460,7,0),"")</f>
        <v/>
      </c>
      <c r="H2683" t="str">
        <f>IFERROR(VLOOKUP($A2683,原始数据_利率互换_FR007_1年!$A$6:$C$4395,2,0),"")</f>
        <v/>
      </c>
      <c r="I2683" t="str">
        <f>IFERROR(VLOOKUP($A2683,原始数据_利率互换_FR007_1年!$A$6:$C$4395,3,0),"")</f>
        <v/>
      </c>
    </row>
    <row r="2684" spans="1:9">
      <c r="A2684" s="6">
        <v>42177</v>
      </c>
      <c r="B2684" t="str">
        <f>IFERROR(VLOOKUP($A2684,原始数据_收盘!$A$4:$G$3460,2,0),"")</f>
        <v/>
      </c>
      <c r="C2684" t="str">
        <f>IFERROR(VLOOKUP($A2684,原始数据_收盘!$A$4:$G$3460,3,0),"")</f>
        <v/>
      </c>
      <c r="D2684" t="str">
        <f>IFERROR(VLOOKUP($A2684,原始数据_收盘!$A$4:$G$3460,4,0),"")</f>
        <v/>
      </c>
      <c r="E2684" t="str">
        <f>IFERROR(VLOOKUP($A2684,原始数据_收盘!$A$4:$G$3460,5,0),"")</f>
        <v/>
      </c>
      <c r="F2684" t="str">
        <f>IFERROR(VLOOKUP($A2684,原始数据_收盘!$A$4:$G$3460,6,0),"")</f>
        <v/>
      </c>
      <c r="G2684" t="str">
        <f>IFERROR(VLOOKUP($A2684,原始数据_收盘!$A$4:$G$3460,7,0),"")</f>
        <v/>
      </c>
      <c r="H2684" t="str">
        <f>IFERROR(VLOOKUP($A2684,原始数据_利率互换_FR007_1年!$A$6:$C$4395,2,0),"")</f>
        <v/>
      </c>
      <c r="I2684" t="str">
        <f>IFERROR(VLOOKUP($A2684,原始数据_利率互换_FR007_1年!$A$6:$C$4395,3,0),"")</f>
        <v/>
      </c>
    </row>
    <row r="2685" spans="1:9">
      <c r="A2685" s="6">
        <v>42178</v>
      </c>
      <c r="B2685">
        <f>IFERROR(VLOOKUP($A2685,原始数据_收盘!$A$4:$G$3460,2,0),"")</f>
        <v>2.5638</v>
      </c>
      <c r="C2685">
        <f>IFERROR(VLOOKUP($A2685,原始数据_收盘!$A$4:$G$3460,3,0),"")</f>
        <v>2.8921</v>
      </c>
      <c r="D2685">
        <f>IFERROR(VLOOKUP($A2685,原始数据_收盘!$A$4:$G$3460,4,0),"")</f>
        <v>2.6288</v>
      </c>
      <c r="E2685">
        <f>IFERROR(VLOOKUP($A2685,原始数据_收盘!$A$4:$G$3460,5,0),"")</f>
        <v>2.9663</v>
      </c>
      <c r="F2685">
        <f>IFERROR(VLOOKUP($A2685,原始数据_收盘!$A$4:$G$3460,6,0),"")</f>
        <v>2.5963</v>
      </c>
      <c r="G2685">
        <f>IFERROR(VLOOKUP($A2685,原始数据_收盘!$A$4:$G$3460,7,0),"")</f>
        <v>2.9292</v>
      </c>
      <c r="H2685">
        <f>IFERROR(VLOOKUP($A2685,原始数据_利率互换_FR007_1年!$A$6:$C$4395,2,0),"")</f>
        <v>2.5901</v>
      </c>
      <c r="I2685">
        <f>IFERROR(VLOOKUP($A2685,原始数据_利率互换_FR007_1年!$A$6:$C$4395,3,0),"")</f>
        <v>2.9237</v>
      </c>
    </row>
    <row r="2686" spans="1:9">
      <c r="A2686" s="6">
        <v>42179</v>
      </c>
      <c r="B2686">
        <f>IFERROR(VLOOKUP($A2686,原始数据_收盘!$A$4:$G$3460,2,0),"")</f>
        <v>2.5822</v>
      </c>
      <c r="C2686">
        <f>IFERROR(VLOOKUP($A2686,原始数据_收盘!$A$4:$G$3460,3,0),"")</f>
        <v>2.8963</v>
      </c>
      <c r="D2686">
        <f>IFERROR(VLOOKUP($A2686,原始数据_收盘!$A$4:$G$3460,4,0),"")</f>
        <v>2.6492</v>
      </c>
      <c r="E2686">
        <f>IFERROR(VLOOKUP($A2686,原始数据_收盘!$A$4:$G$3460,5,0),"")</f>
        <v>2.9625</v>
      </c>
      <c r="F2686">
        <f>IFERROR(VLOOKUP($A2686,原始数据_收盘!$A$4:$G$3460,6,0),"")</f>
        <v>2.6157</v>
      </c>
      <c r="G2686">
        <f>IFERROR(VLOOKUP($A2686,原始数据_收盘!$A$4:$G$3460,7,0),"")</f>
        <v>2.9294</v>
      </c>
      <c r="H2686">
        <f>IFERROR(VLOOKUP($A2686,原始数据_利率互换_FR007_1年!$A$6:$C$4395,2,0),"")</f>
        <v>2.6529</v>
      </c>
      <c r="I2686">
        <f>IFERROR(VLOOKUP($A2686,原始数据_利率互换_FR007_1年!$A$6:$C$4395,3,0),"")</f>
        <v>2.9447</v>
      </c>
    </row>
    <row r="2687" spans="1:9">
      <c r="A2687" s="6">
        <v>42180</v>
      </c>
      <c r="B2687">
        <f>IFERROR(VLOOKUP($A2687,原始数据_收盘!$A$4:$G$3460,2,0),"")</f>
        <v>2.4884</v>
      </c>
      <c r="C2687">
        <f>IFERROR(VLOOKUP($A2687,原始数据_收盘!$A$4:$G$3460,3,0),"")</f>
        <v>2.8575</v>
      </c>
      <c r="D2687">
        <f>IFERROR(VLOOKUP($A2687,原始数据_收盘!$A$4:$G$3460,4,0),"")</f>
        <v>2.5554</v>
      </c>
      <c r="E2687">
        <f>IFERROR(VLOOKUP($A2687,原始数据_收盘!$A$4:$G$3460,5,0),"")</f>
        <v>2.9309</v>
      </c>
      <c r="F2687">
        <f>IFERROR(VLOOKUP($A2687,原始数据_收盘!$A$4:$G$3460,6,0),"")</f>
        <v>2.5219</v>
      </c>
      <c r="G2687">
        <f>IFERROR(VLOOKUP($A2687,原始数据_收盘!$A$4:$G$3460,7,0),"")</f>
        <v>2.8942</v>
      </c>
      <c r="H2687">
        <f>IFERROR(VLOOKUP($A2687,原始数据_利率互换_FR007_1年!$A$6:$C$4395,2,0),"")</f>
        <v>2.5234</v>
      </c>
      <c r="I2687">
        <f>IFERROR(VLOOKUP($A2687,原始数据_利率互换_FR007_1年!$A$6:$C$4395,3,0),"")</f>
        <v>2.883</v>
      </c>
    </row>
    <row r="2688" spans="1:9">
      <c r="A2688" s="6">
        <v>42181</v>
      </c>
      <c r="B2688">
        <f>IFERROR(VLOOKUP($A2688,原始数据_收盘!$A$4:$G$3460,2,0),"")</f>
        <v>2.4828</v>
      </c>
      <c r="C2688">
        <f>IFERROR(VLOOKUP($A2688,原始数据_收盘!$A$4:$G$3460,3,0),"")</f>
        <v>2.84</v>
      </c>
      <c r="D2688">
        <f>IFERROR(VLOOKUP($A2688,原始数据_收盘!$A$4:$G$3460,4,0),"")</f>
        <v>2.5378</v>
      </c>
      <c r="E2688">
        <f>IFERROR(VLOOKUP($A2688,原始数据_收盘!$A$4:$G$3460,5,0),"")</f>
        <v>2.9</v>
      </c>
      <c r="F2688">
        <f>IFERROR(VLOOKUP($A2688,原始数据_收盘!$A$4:$G$3460,6,0),"")</f>
        <v>2.5103</v>
      </c>
      <c r="G2688">
        <f>IFERROR(VLOOKUP($A2688,原始数据_收盘!$A$4:$G$3460,7,0),"")</f>
        <v>2.87</v>
      </c>
      <c r="H2688">
        <f>IFERROR(VLOOKUP($A2688,原始数据_利率互换_FR007_1年!$A$6:$C$4395,2,0),"")</f>
        <v>2.5086</v>
      </c>
      <c r="I2688">
        <f>IFERROR(VLOOKUP($A2688,原始数据_利率互换_FR007_1年!$A$6:$C$4395,3,0),"")</f>
        <v>2.8714</v>
      </c>
    </row>
    <row r="2689" spans="1:9">
      <c r="A2689" s="6">
        <v>42182</v>
      </c>
      <c r="B2689" t="str">
        <f>IFERROR(VLOOKUP($A2689,原始数据_收盘!$A$4:$G$3460,2,0),"")</f>
        <v/>
      </c>
      <c r="C2689" t="str">
        <f>IFERROR(VLOOKUP($A2689,原始数据_收盘!$A$4:$G$3460,3,0),"")</f>
        <v/>
      </c>
      <c r="D2689" t="str">
        <f>IFERROR(VLOOKUP($A2689,原始数据_收盘!$A$4:$G$3460,4,0),"")</f>
        <v/>
      </c>
      <c r="E2689" t="str">
        <f>IFERROR(VLOOKUP($A2689,原始数据_收盘!$A$4:$G$3460,5,0),"")</f>
        <v/>
      </c>
      <c r="F2689" t="str">
        <f>IFERROR(VLOOKUP($A2689,原始数据_收盘!$A$4:$G$3460,6,0),"")</f>
        <v/>
      </c>
      <c r="G2689" t="str">
        <f>IFERROR(VLOOKUP($A2689,原始数据_收盘!$A$4:$G$3460,7,0),"")</f>
        <v/>
      </c>
      <c r="H2689" t="str">
        <f>IFERROR(VLOOKUP($A2689,原始数据_利率互换_FR007_1年!$A$6:$C$4395,2,0),"")</f>
        <v/>
      </c>
      <c r="I2689" t="str">
        <f>IFERROR(VLOOKUP($A2689,原始数据_利率互换_FR007_1年!$A$6:$C$4395,3,0),"")</f>
        <v/>
      </c>
    </row>
    <row r="2690" spans="1:9">
      <c r="A2690" s="6">
        <v>42183</v>
      </c>
      <c r="B2690" t="str">
        <f>IFERROR(VLOOKUP($A2690,原始数据_收盘!$A$4:$G$3460,2,0),"")</f>
        <v/>
      </c>
      <c r="C2690" t="str">
        <f>IFERROR(VLOOKUP($A2690,原始数据_收盘!$A$4:$G$3460,3,0),"")</f>
        <v/>
      </c>
      <c r="D2690" t="str">
        <f>IFERROR(VLOOKUP($A2690,原始数据_收盘!$A$4:$G$3460,4,0),"")</f>
        <v/>
      </c>
      <c r="E2690" t="str">
        <f>IFERROR(VLOOKUP($A2690,原始数据_收盘!$A$4:$G$3460,5,0),"")</f>
        <v/>
      </c>
      <c r="F2690" t="str">
        <f>IFERROR(VLOOKUP($A2690,原始数据_收盘!$A$4:$G$3460,6,0),"")</f>
        <v/>
      </c>
      <c r="G2690" t="str">
        <f>IFERROR(VLOOKUP($A2690,原始数据_收盘!$A$4:$G$3460,7,0),"")</f>
        <v/>
      </c>
      <c r="H2690" t="str">
        <f>IFERROR(VLOOKUP($A2690,原始数据_利率互换_FR007_1年!$A$6:$C$4395,2,0),"")</f>
        <v/>
      </c>
      <c r="I2690" t="str">
        <f>IFERROR(VLOOKUP($A2690,原始数据_利率互换_FR007_1年!$A$6:$C$4395,3,0),"")</f>
        <v/>
      </c>
    </row>
    <row r="2691" spans="1:9">
      <c r="A2691" s="6">
        <v>42184</v>
      </c>
      <c r="B2691">
        <f>IFERROR(VLOOKUP($A2691,原始数据_收盘!$A$4:$G$3460,2,0),"")</f>
        <v>2.4081</v>
      </c>
      <c r="C2691">
        <f>IFERROR(VLOOKUP($A2691,原始数据_收盘!$A$4:$G$3460,3,0),"")</f>
        <v>2.8081</v>
      </c>
      <c r="D2691">
        <f>IFERROR(VLOOKUP($A2691,原始数据_收盘!$A$4:$G$3460,4,0),"")</f>
        <v>2.4752</v>
      </c>
      <c r="E2691">
        <f>IFERROR(VLOOKUP($A2691,原始数据_收盘!$A$4:$G$3460,5,0),"")</f>
        <v>2.8822</v>
      </c>
      <c r="F2691">
        <f>IFERROR(VLOOKUP($A2691,原始数据_收盘!$A$4:$G$3460,6,0),"")</f>
        <v>2.4417</v>
      </c>
      <c r="G2691">
        <f>IFERROR(VLOOKUP($A2691,原始数据_收盘!$A$4:$G$3460,7,0),"")</f>
        <v>2.8452</v>
      </c>
      <c r="H2691">
        <f>IFERROR(VLOOKUP($A2691,原始数据_利率互换_FR007_1年!$A$6:$C$4395,2,0),"")</f>
        <v>2.4329</v>
      </c>
      <c r="I2691">
        <f>IFERROR(VLOOKUP($A2691,原始数据_利率互换_FR007_1年!$A$6:$C$4395,3,0),"")</f>
        <v>2.8422</v>
      </c>
    </row>
    <row r="2692" spans="1:9">
      <c r="A2692" s="6">
        <v>42185</v>
      </c>
      <c r="B2692">
        <f>IFERROR(VLOOKUP($A2692,原始数据_收盘!$A$4:$G$3460,2,0),"")</f>
        <v>2.3516</v>
      </c>
      <c r="C2692">
        <f>IFERROR(VLOOKUP($A2692,原始数据_收盘!$A$4:$G$3460,3,0),"")</f>
        <v>2.7763</v>
      </c>
      <c r="D2692">
        <f>IFERROR(VLOOKUP($A2692,原始数据_收盘!$A$4:$G$3460,4,0),"")</f>
        <v>2.4159</v>
      </c>
      <c r="E2692">
        <f>IFERROR(VLOOKUP($A2692,原始数据_收盘!$A$4:$G$3460,5,0),"")</f>
        <v>2.8525</v>
      </c>
      <c r="F2692">
        <f>IFERROR(VLOOKUP($A2692,原始数据_收盘!$A$4:$G$3460,6,0),"")</f>
        <v>2.3838</v>
      </c>
      <c r="G2692">
        <f>IFERROR(VLOOKUP($A2692,原始数据_收盘!$A$4:$G$3460,7,0),"")</f>
        <v>2.8144</v>
      </c>
      <c r="H2692">
        <f>IFERROR(VLOOKUP($A2692,原始数据_利率互换_FR007_1年!$A$6:$C$4395,2,0),"")</f>
        <v>2.3855</v>
      </c>
      <c r="I2692">
        <f>IFERROR(VLOOKUP($A2692,原始数据_利率互换_FR007_1年!$A$6:$C$4395,3,0),"")</f>
        <v>2.8136</v>
      </c>
    </row>
    <row r="2693" spans="1:9">
      <c r="A2693" s="6">
        <v>42186</v>
      </c>
      <c r="B2693">
        <f>IFERROR(VLOOKUP($A2693,原始数据_收盘!$A$4:$G$3460,2,0),"")</f>
        <v>2.41</v>
      </c>
      <c r="C2693">
        <f>IFERROR(VLOOKUP($A2693,原始数据_收盘!$A$4:$G$3460,3,0),"")</f>
        <v>2.8216</v>
      </c>
      <c r="D2693">
        <f>IFERROR(VLOOKUP($A2693,原始数据_收盘!$A$4:$G$3460,4,0),"")</f>
        <v>2.4725</v>
      </c>
      <c r="E2693">
        <f>IFERROR(VLOOKUP($A2693,原始数据_收盘!$A$4:$G$3460,5,0),"")</f>
        <v>2.8863</v>
      </c>
      <c r="F2693">
        <f>IFERROR(VLOOKUP($A2693,原始数据_收盘!$A$4:$G$3460,6,0),"")</f>
        <v>2.4413</v>
      </c>
      <c r="G2693">
        <f>IFERROR(VLOOKUP($A2693,原始数据_收盘!$A$4:$G$3460,7,0),"")</f>
        <v>2.8539</v>
      </c>
      <c r="H2693">
        <f>IFERROR(VLOOKUP($A2693,原始数据_利率互换_FR007_1年!$A$6:$C$4395,2,0),"")</f>
        <v>2.4163</v>
      </c>
      <c r="I2693">
        <f>IFERROR(VLOOKUP($A2693,原始数据_利率互换_FR007_1年!$A$6:$C$4395,3,0),"")</f>
        <v>2.8404</v>
      </c>
    </row>
    <row r="2694" spans="1:9">
      <c r="A2694" s="6">
        <v>42187</v>
      </c>
      <c r="B2694">
        <f>IFERROR(VLOOKUP($A2694,原始数据_收盘!$A$4:$G$3460,2,0),"")</f>
        <v>2.4475</v>
      </c>
      <c r="C2694">
        <f>IFERROR(VLOOKUP($A2694,原始数据_收盘!$A$4:$G$3460,3,0),"")</f>
        <v>2.8363</v>
      </c>
      <c r="D2694">
        <f>IFERROR(VLOOKUP($A2694,原始数据_收盘!$A$4:$G$3460,4,0),"")</f>
        <v>2.5113</v>
      </c>
      <c r="E2694">
        <f>IFERROR(VLOOKUP($A2694,原始数据_收盘!$A$4:$G$3460,5,0),"")</f>
        <v>2.9071</v>
      </c>
      <c r="F2694">
        <f>IFERROR(VLOOKUP($A2694,原始数据_收盘!$A$4:$G$3460,6,0),"")</f>
        <v>2.4794</v>
      </c>
      <c r="G2694">
        <f>IFERROR(VLOOKUP($A2694,原始数据_收盘!$A$4:$G$3460,7,0),"")</f>
        <v>2.8717</v>
      </c>
      <c r="H2694">
        <f>IFERROR(VLOOKUP($A2694,原始数据_利率互换_FR007_1年!$A$6:$C$4395,2,0),"")</f>
        <v>2.4659</v>
      </c>
      <c r="I2694">
        <f>IFERROR(VLOOKUP($A2694,原始数据_利率互换_FR007_1年!$A$6:$C$4395,3,0),"")</f>
        <v>2.8686</v>
      </c>
    </row>
    <row r="2695" spans="1:9">
      <c r="A2695" s="6">
        <v>42188</v>
      </c>
      <c r="B2695">
        <f>IFERROR(VLOOKUP($A2695,原始数据_收盘!$A$4:$G$3460,2,0),"")</f>
        <v>2.4463</v>
      </c>
      <c r="C2695">
        <f>IFERROR(VLOOKUP($A2695,原始数据_收盘!$A$4:$G$3460,3,0),"")</f>
        <v>2.815</v>
      </c>
      <c r="D2695">
        <f>IFERROR(VLOOKUP($A2695,原始数据_收盘!$A$4:$G$3460,4,0),"")</f>
        <v>2.5088</v>
      </c>
      <c r="E2695">
        <f>IFERROR(VLOOKUP($A2695,原始数据_收盘!$A$4:$G$3460,5,0),"")</f>
        <v>2.8821</v>
      </c>
      <c r="F2695">
        <f>IFERROR(VLOOKUP($A2695,原始数据_收盘!$A$4:$G$3460,6,0),"")</f>
        <v>2.4775</v>
      </c>
      <c r="G2695">
        <f>IFERROR(VLOOKUP($A2695,原始数据_收盘!$A$4:$G$3460,7,0),"")</f>
        <v>2.8486</v>
      </c>
      <c r="H2695">
        <f>IFERROR(VLOOKUP($A2695,原始数据_利率互换_FR007_1年!$A$6:$C$4395,2,0),"")</f>
        <v>2.5022</v>
      </c>
      <c r="I2695">
        <f>IFERROR(VLOOKUP($A2695,原始数据_利率互换_FR007_1年!$A$6:$C$4395,3,0),"")</f>
        <v>2.8517</v>
      </c>
    </row>
    <row r="2696" spans="1:9">
      <c r="A2696" s="6">
        <v>42189</v>
      </c>
      <c r="B2696" t="str">
        <f>IFERROR(VLOOKUP($A2696,原始数据_收盘!$A$4:$G$3460,2,0),"")</f>
        <v/>
      </c>
      <c r="C2696" t="str">
        <f>IFERROR(VLOOKUP($A2696,原始数据_收盘!$A$4:$G$3460,3,0),"")</f>
        <v/>
      </c>
      <c r="D2696" t="str">
        <f>IFERROR(VLOOKUP($A2696,原始数据_收盘!$A$4:$G$3460,4,0),"")</f>
        <v/>
      </c>
      <c r="E2696" t="str">
        <f>IFERROR(VLOOKUP($A2696,原始数据_收盘!$A$4:$G$3460,5,0),"")</f>
        <v/>
      </c>
      <c r="F2696" t="str">
        <f>IFERROR(VLOOKUP($A2696,原始数据_收盘!$A$4:$G$3460,6,0),"")</f>
        <v/>
      </c>
      <c r="G2696" t="str">
        <f>IFERROR(VLOOKUP($A2696,原始数据_收盘!$A$4:$G$3460,7,0),"")</f>
        <v/>
      </c>
      <c r="H2696" t="str">
        <f>IFERROR(VLOOKUP($A2696,原始数据_利率互换_FR007_1年!$A$6:$C$4395,2,0),"")</f>
        <v/>
      </c>
      <c r="I2696" t="str">
        <f>IFERROR(VLOOKUP($A2696,原始数据_利率互换_FR007_1年!$A$6:$C$4395,3,0),"")</f>
        <v/>
      </c>
    </row>
    <row r="2697" spans="1:9">
      <c r="A2697" s="6">
        <v>42190</v>
      </c>
      <c r="B2697" t="str">
        <f>IFERROR(VLOOKUP($A2697,原始数据_收盘!$A$4:$G$3460,2,0),"")</f>
        <v/>
      </c>
      <c r="C2697" t="str">
        <f>IFERROR(VLOOKUP($A2697,原始数据_收盘!$A$4:$G$3460,3,0),"")</f>
        <v/>
      </c>
      <c r="D2697" t="str">
        <f>IFERROR(VLOOKUP($A2697,原始数据_收盘!$A$4:$G$3460,4,0),"")</f>
        <v/>
      </c>
      <c r="E2697" t="str">
        <f>IFERROR(VLOOKUP($A2697,原始数据_收盘!$A$4:$G$3460,5,0),"")</f>
        <v/>
      </c>
      <c r="F2697" t="str">
        <f>IFERROR(VLOOKUP($A2697,原始数据_收盘!$A$4:$G$3460,6,0),"")</f>
        <v/>
      </c>
      <c r="G2697" t="str">
        <f>IFERROR(VLOOKUP($A2697,原始数据_收盘!$A$4:$G$3460,7,0),"")</f>
        <v/>
      </c>
      <c r="H2697" t="str">
        <f>IFERROR(VLOOKUP($A2697,原始数据_利率互换_FR007_1年!$A$6:$C$4395,2,0),"")</f>
        <v/>
      </c>
      <c r="I2697" t="str">
        <f>IFERROR(VLOOKUP($A2697,原始数据_利率互换_FR007_1年!$A$6:$C$4395,3,0),"")</f>
        <v/>
      </c>
    </row>
    <row r="2698" spans="1:9">
      <c r="A2698" s="6">
        <v>42191</v>
      </c>
      <c r="B2698">
        <f>IFERROR(VLOOKUP($A2698,原始数据_收盘!$A$4:$G$3460,2,0),"")</f>
        <v>2.3875</v>
      </c>
      <c r="C2698">
        <f>IFERROR(VLOOKUP($A2698,原始数据_收盘!$A$4:$G$3460,3,0),"")</f>
        <v>2.7738</v>
      </c>
      <c r="D2698">
        <f>IFERROR(VLOOKUP($A2698,原始数据_收盘!$A$4:$G$3460,4,0),"")</f>
        <v>2.4425</v>
      </c>
      <c r="E2698">
        <f>IFERROR(VLOOKUP($A2698,原始数据_收盘!$A$4:$G$3460,5,0),"")</f>
        <v>2.8313</v>
      </c>
      <c r="F2698">
        <f>IFERROR(VLOOKUP($A2698,原始数据_收盘!$A$4:$G$3460,6,0),"")</f>
        <v>2.415</v>
      </c>
      <c r="G2698">
        <f>IFERROR(VLOOKUP($A2698,原始数据_收盘!$A$4:$G$3460,7,0),"")</f>
        <v>2.8025</v>
      </c>
      <c r="H2698">
        <f>IFERROR(VLOOKUP($A2698,原始数据_利率互换_FR007_1年!$A$6:$C$4395,2,0),"")</f>
        <v>2.4231</v>
      </c>
      <c r="I2698">
        <f>IFERROR(VLOOKUP($A2698,原始数据_利率互换_FR007_1年!$A$6:$C$4395,3,0),"")</f>
        <v>2.7995</v>
      </c>
    </row>
    <row r="2699" spans="1:9">
      <c r="A2699" s="6">
        <v>42192</v>
      </c>
      <c r="B2699">
        <f>IFERROR(VLOOKUP($A2699,原始数据_收盘!$A$4:$G$3460,2,0),"")</f>
        <v>2.3666</v>
      </c>
      <c r="C2699">
        <f>IFERROR(VLOOKUP($A2699,原始数据_收盘!$A$4:$G$3460,3,0),"")</f>
        <v>2.7125</v>
      </c>
      <c r="D2699">
        <f>IFERROR(VLOOKUP($A2699,原始数据_收盘!$A$4:$G$3460,4,0),"")</f>
        <v>2.4316</v>
      </c>
      <c r="E2699">
        <f>IFERROR(VLOOKUP($A2699,原始数据_收盘!$A$4:$G$3460,5,0),"")</f>
        <v>2.7841</v>
      </c>
      <c r="F2699">
        <f>IFERROR(VLOOKUP($A2699,原始数据_收盘!$A$4:$G$3460,6,0),"")</f>
        <v>2.3991</v>
      </c>
      <c r="G2699">
        <f>IFERROR(VLOOKUP($A2699,原始数据_收盘!$A$4:$G$3460,7,0),"")</f>
        <v>2.7483</v>
      </c>
      <c r="H2699">
        <f>IFERROR(VLOOKUP($A2699,原始数据_利率互换_FR007_1年!$A$6:$C$4395,2,0),"")</f>
        <v>2.412</v>
      </c>
      <c r="I2699">
        <f>IFERROR(VLOOKUP($A2699,原始数据_利率互换_FR007_1年!$A$6:$C$4395,3,0),"")</f>
        <v>2.7668</v>
      </c>
    </row>
    <row r="2700" spans="1:9">
      <c r="A2700" s="6">
        <v>42193</v>
      </c>
      <c r="B2700">
        <f>IFERROR(VLOOKUP($A2700,原始数据_收盘!$A$4:$G$3460,2,0),"")</f>
        <v>2.4238</v>
      </c>
      <c r="C2700">
        <f>IFERROR(VLOOKUP($A2700,原始数据_收盘!$A$4:$G$3460,3,0),"")</f>
        <v>2.7375</v>
      </c>
      <c r="D2700">
        <f>IFERROR(VLOOKUP($A2700,原始数据_收盘!$A$4:$G$3460,4,0),"")</f>
        <v>2.4763</v>
      </c>
      <c r="E2700">
        <f>IFERROR(VLOOKUP($A2700,原始数据_收盘!$A$4:$G$3460,5,0),"")</f>
        <v>2.7988</v>
      </c>
      <c r="F2700">
        <f>IFERROR(VLOOKUP($A2700,原始数据_收盘!$A$4:$G$3460,6,0),"")</f>
        <v>2.45</v>
      </c>
      <c r="G2700">
        <f>IFERROR(VLOOKUP($A2700,原始数据_收盘!$A$4:$G$3460,7,0),"")</f>
        <v>2.7681</v>
      </c>
      <c r="H2700">
        <f>IFERROR(VLOOKUP($A2700,原始数据_利率互换_FR007_1年!$A$6:$C$4395,2,0),"")</f>
        <v>2.416</v>
      </c>
      <c r="I2700">
        <f>IFERROR(VLOOKUP($A2700,原始数据_利率互换_FR007_1年!$A$6:$C$4395,3,0),"")</f>
        <v>2.7145</v>
      </c>
    </row>
    <row r="2701" spans="1:9">
      <c r="A2701" s="6">
        <v>42194</v>
      </c>
      <c r="B2701">
        <f>IFERROR(VLOOKUP($A2701,原始数据_收盘!$A$4:$G$3460,2,0),"")</f>
        <v>2.4241</v>
      </c>
      <c r="C2701">
        <f>IFERROR(VLOOKUP($A2701,原始数据_收盘!$A$4:$G$3460,3,0),"")</f>
        <v>2.7263</v>
      </c>
      <c r="D2701">
        <f>IFERROR(VLOOKUP($A2701,原始数据_收盘!$A$4:$G$3460,4,0),"")</f>
        <v>2.4859</v>
      </c>
      <c r="E2701">
        <f>IFERROR(VLOOKUP($A2701,原始数据_收盘!$A$4:$G$3460,5,0),"")</f>
        <v>2.7944</v>
      </c>
      <c r="F2701">
        <f>IFERROR(VLOOKUP($A2701,原始数据_收盘!$A$4:$G$3460,6,0),"")</f>
        <v>2.455</v>
      </c>
      <c r="G2701">
        <f>IFERROR(VLOOKUP($A2701,原始数据_收盘!$A$4:$G$3460,7,0),"")</f>
        <v>2.7603</v>
      </c>
      <c r="H2701">
        <f>IFERROR(VLOOKUP($A2701,原始数据_利率互换_FR007_1年!$A$6:$C$4395,2,0),"")</f>
        <v>2.4454</v>
      </c>
      <c r="I2701">
        <f>IFERROR(VLOOKUP($A2701,原始数据_利率互换_FR007_1年!$A$6:$C$4395,3,0),"")</f>
        <v>2.7435</v>
      </c>
    </row>
    <row r="2702" spans="1:9">
      <c r="A2702" s="6">
        <v>42195</v>
      </c>
      <c r="B2702">
        <f>IFERROR(VLOOKUP($A2702,原始数据_收盘!$A$4:$G$3460,2,0),"")</f>
        <v>2.4288</v>
      </c>
      <c r="C2702">
        <f>IFERROR(VLOOKUP($A2702,原始数据_收盘!$A$4:$G$3460,3,0),"")</f>
        <v>2.7425</v>
      </c>
      <c r="D2702">
        <f>IFERROR(VLOOKUP($A2702,原始数据_收盘!$A$4:$G$3460,4,0),"")</f>
        <v>2.4875</v>
      </c>
      <c r="E2702">
        <f>IFERROR(VLOOKUP($A2702,原始数据_收盘!$A$4:$G$3460,5,0),"")</f>
        <v>2.8088</v>
      </c>
      <c r="F2702">
        <f>IFERROR(VLOOKUP($A2702,原始数据_收盘!$A$4:$G$3460,6,0),"")</f>
        <v>2.4581</v>
      </c>
      <c r="G2702">
        <f>IFERROR(VLOOKUP($A2702,原始数据_收盘!$A$4:$G$3460,7,0),"")</f>
        <v>2.7756</v>
      </c>
      <c r="H2702">
        <f>IFERROR(VLOOKUP($A2702,原始数据_利率互换_FR007_1年!$A$6:$C$4395,2,0),"")</f>
        <v>2.4661</v>
      </c>
      <c r="I2702">
        <f>IFERROR(VLOOKUP($A2702,原始数据_利率互换_FR007_1年!$A$6:$C$4395,3,0),"")</f>
        <v>2.7801</v>
      </c>
    </row>
    <row r="2703" spans="1:9">
      <c r="A2703" s="6">
        <v>42196</v>
      </c>
      <c r="B2703" t="str">
        <f>IFERROR(VLOOKUP($A2703,原始数据_收盘!$A$4:$G$3460,2,0),"")</f>
        <v/>
      </c>
      <c r="C2703" t="str">
        <f>IFERROR(VLOOKUP($A2703,原始数据_收盘!$A$4:$G$3460,3,0),"")</f>
        <v/>
      </c>
      <c r="D2703" t="str">
        <f>IFERROR(VLOOKUP($A2703,原始数据_收盘!$A$4:$G$3460,4,0),"")</f>
        <v/>
      </c>
      <c r="E2703" t="str">
        <f>IFERROR(VLOOKUP($A2703,原始数据_收盘!$A$4:$G$3460,5,0),"")</f>
        <v/>
      </c>
      <c r="F2703" t="str">
        <f>IFERROR(VLOOKUP($A2703,原始数据_收盘!$A$4:$G$3460,6,0),"")</f>
        <v/>
      </c>
      <c r="G2703" t="str">
        <f>IFERROR(VLOOKUP($A2703,原始数据_收盘!$A$4:$G$3460,7,0),"")</f>
        <v/>
      </c>
      <c r="H2703" t="str">
        <f>IFERROR(VLOOKUP($A2703,原始数据_利率互换_FR007_1年!$A$6:$C$4395,2,0),"")</f>
        <v/>
      </c>
      <c r="I2703" t="str">
        <f>IFERROR(VLOOKUP($A2703,原始数据_利率互换_FR007_1年!$A$6:$C$4395,3,0),"")</f>
        <v/>
      </c>
    </row>
    <row r="2704" spans="1:9">
      <c r="A2704" s="6">
        <v>42197</v>
      </c>
      <c r="B2704" t="str">
        <f>IFERROR(VLOOKUP($A2704,原始数据_收盘!$A$4:$G$3460,2,0),"")</f>
        <v/>
      </c>
      <c r="C2704" t="str">
        <f>IFERROR(VLOOKUP($A2704,原始数据_收盘!$A$4:$G$3460,3,0),"")</f>
        <v/>
      </c>
      <c r="D2704" t="str">
        <f>IFERROR(VLOOKUP($A2704,原始数据_收盘!$A$4:$G$3460,4,0),"")</f>
        <v/>
      </c>
      <c r="E2704" t="str">
        <f>IFERROR(VLOOKUP($A2704,原始数据_收盘!$A$4:$G$3460,5,0),"")</f>
        <v/>
      </c>
      <c r="F2704" t="str">
        <f>IFERROR(VLOOKUP($A2704,原始数据_收盘!$A$4:$G$3460,6,0),"")</f>
        <v/>
      </c>
      <c r="G2704" t="str">
        <f>IFERROR(VLOOKUP($A2704,原始数据_收盘!$A$4:$G$3460,7,0),"")</f>
        <v/>
      </c>
      <c r="H2704" t="str">
        <f>IFERROR(VLOOKUP($A2704,原始数据_利率互换_FR007_1年!$A$6:$C$4395,2,0),"")</f>
        <v/>
      </c>
      <c r="I2704" t="str">
        <f>IFERROR(VLOOKUP($A2704,原始数据_利率互换_FR007_1年!$A$6:$C$4395,3,0),"")</f>
        <v/>
      </c>
    </row>
    <row r="2705" spans="1:9">
      <c r="A2705" s="6">
        <v>42198</v>
      </c>
      <c r="B2705">
        <f>IFERROR(VLOOKUP($A2705,原始数据_收盘!$A$4:$G$3460,2,0),"")</f>
        <v>2.4475</v>
      </c>
      <c r="C2705">
        <f>IFERROR(VLOOKUP($A2705,原始数据_收盘!$A$4:$G$3460,3,0),"")</f>
        <v>2.7675</v>
      </c>
      <c r="D2705">
        <f>IFERROR(VLOOKUP($A2705,原始数据_收盘!$A$4:$G$3460,4,0),"")</f>
        <v>2.5097</v>
      </c>
      <c r="E2705">
        <f>IFERROR(VLOOKUP($A2705,原始数据_收盘!$A$4:$G$3460,5,0),"")</f>
        <v>2.8327</v>
      </c>
      <c r="F2705">
        <f>IFERROR(VLOOKUP($A2705,原始数据_收盘!$A$4:$G$3460,6,0),"")</f>
        <v>2.4786</v>
      </c>
      <c r="G2705">
        <f>IFERROR(VLOOKUP($A2705,原始数据_收盘!$A$4:$G$3460,7,0),"")</f>
        <v>2.8001</v>
      </c>
      <c r="H2705">
        <f>IFERROR(VLOOKUP($A2705,原始数据_利率互换_FR007_1年!$A$6:$C$4395,2,0),"")</f>
        <v>2.4745</v>
      </c>
      <c r="I2705">
        <f>IFERROR(VLOOKUP($A2705,原始数据_利率互换_FR007_1年!$A$6:$C$4395,3,0),"")</f>
        <v>2.7877</v>
      </c>
    </row>
    <row r="2706" spans="1:9">
      <c r="A2706" s="6">
        <v>42199</v>
      </c>
      <c r="B2706">
        <f>IFERROR(VLOOKUP($A2706,原始数据_收盘!$A$4:$G$3460,2,0),"")</f>
        <v>2.5413</v>
      </c>
      <c r="C2706">
        <f>IFERROR(VLOOKUP($A2706,原始数据_收盘!$A$4:$G$3460,3,0),"")</f>
        <v>2.8646</v>
      </c>
      <c r="D2706">
        <f>IFERROR(VLOOKUP($A2706,原始数据_收盘!$A$4:$G$3460,4,0),"")</f>
        <v>2.6016</v>
      </c>
      <c r="E2706">
        <f>IFERROR(VLOOKUP($A2706,原始数据_收盘!$A$4:$G$3460,5,0),"")</f>
        <v>2.9241</v>
      </c>
      <c r="F2706">
        <f>IFERROR(VLOOKUP($A2706,原始数据_收盘!$A$4:$G$3460,6,0),"")</f>
        <v>2.5714</v>
      </c>
      <c r="G2706">
        <f>IFERROR(VLOOKUP($A2706,原始数据_收盘!$A$4:$G$3460,7,0),"")</f>
        <v>2.8944</v>
      </c>
      <c r="H2706">
        <f>IFERROR(VLOOKUP($A2706,原始数据_利率互换_FR007_1年!$A$6:$C$4395,2,0),"")</f>
        <v>2.549</v>
      </c>
      <c r="I2706">
        <f>IFERROR(VLOOKUP($A2706,原始数据_利率互换_FR007_1年!$A$6:$C$4395,3,0),"")</f>
        <v>2.8725</v>
      </c>
    </row>
    <row r="2707" spans="1:9">
      <c r="A2707" s="6">
        <v>42200</v>
      </c>
      <c r="B2707">
        <f>IFERROR(VLOOKUP($A2707,原始数据_收盘!$A$4:$G$3460,2,0),"")</f>
        <v>2.5253</v>
      </c>
      <c r="C2707">
        <f>IFERROR(VLOOKUP($A2707,原始数据_收盘!$A$4:$G$3460,3,0),"")</f>
        <v>2.87</v>
      </c>
      <c r="D2707">
        <f>IFERROR(VLOOKUP($A2707,原始数据_收盘!$A$4:$G$3460,4,0),"")</f>
        <v>2.5887</v>
      </c>
      <c r="E2707">
        <f>IFERROR(VLOOKUP($A2707,原始数据_收盘!$A$4:$G$3460,5,0),"")</f>
        <v>2.938</v>
      </c>
      <c r="F2707">
        <f>IFERROR(VLOOKUP($A2707,原始数据_收盘!$A$4:$G$3460,6,0),"")</f>
        <v>2.557</v>
      </c>
      <c r="G2707">
        <f>IFERROR(VLOOKUP($A2707,原始数据_收盘!$A$4:$G$3460,7,0),"")</f>
        <v>2.904</v>
      </c>
      <c r="H2707">
        <f>IFERROR(VLOOKUP($A2707,原始数据_利率互换_FR007_1年!$A$6:$C$4395,2,0),"")</f>
        <v>2.5678</v>
      </c>
      <c r="I2707">
        <f>IFERROR(VLOOKUP($A2707,原始数据_利率互换_FR007_1年!$A$6:$C$4395,3,0),"")</f>
        <v>2.9267</v>
      </c>
    </row>
    <row r="2708" spans="1:9">
      <c r="A2708" s="6">
        <v>42201</v>
      </c>
      <c r="B2708">
        <f>IFERROR(VLOOKUP($A2708,原始数据_收盘!$A$4:$G$3460,2,0),"")</f>
        <v>2.473</v>
      </c>
      <c r="C2708">
        <f>IFERROR(VLOOKUP($A2708,原始数据_收盘!$A$4:$G$3460,3,0),"")</f>
        <v>2.8457</v>
      </c>
      <c r="D2708">
        <f>IFERROR(VLOOKUP($A2708,原始数据_收盘!$A$4:$G$3460,4,0),"")</f>
        <v>2.5307</v>
      </c>
      <c r="E2708">
        <f>IFERROR(VLOOKUP($A2708,原始数据_收盘!$A$4:$G$3460,5,0),"")</f>
        <v>2.91</v>
      </c>
      <c r="F2708">
        <f>IFERROR(VLOOKUP($A2708,原始数据_收盘!$A$4:$G$3460,6,0),"")</f>
        <v>2.5019</v>
      </c>
      <c r="G2708">
        <f>IFERROR(VLOOKUP($A2708,原始数据_收盘!$A$4:$G$3460,7,0),"")</f>
        <v>2.8779</v>
      </c>
      <c r="H2708">
        <f>IFERROR(VLOOKUP($A2708,原始数据_利率互换_FR007_1年!$A$6:$C$4395,2,0),"")</f>
        <v>2.4929</v>
      </c>
      <c r="I2708">
        <f>IFERROR(VLOOKUP($A2708,原始数据_利率互换_FR007_1年!$A$6:$C$4395,3,0),"")</f>
        <v>2.8778</v>
      </c>
    </row>
    <row r="2709" spans="1:9">
      <c r="A2709" s="6">
        <v>42202</v>
      </c>
      <c r="B2709">
        <f>IFERROR(VLOOKUP($A2709,原始数据_收盘!$A$4:$G$3460,2,0),"")</f>
        <v>2.4675</v>
      </c>
      <c r="C2709">
        <f>IFERROR(VLOOKUP($A2709,原始数据_收盘!$A$4:$G$3460,3,0),"")</f>
        <v>2.8409</v>
      </c>
      <c r="D2709">
        <f>IFERROR(VLOOKUP($A2709,原始数据_收盘!$A$4:$G$3460,4,0),"")</f>
        <v>2.5175</v>
      </c>
      <c r="E2709">
        <f>IFERROR(VLOOKUP($A2709,原始数据_收盘!$A$4:$G$3460,5,0),"")</f>
        <v>2.8988</v>
      </c>
      <c r="F2709">
        <f>IFERROR(VLOOKUP($A2709,原始数据_收盘!$A$4:$G$3460,6,0),"")</f>
        <v>2.4925</v>
      </c>
      <c r="G2709">
        <f>IFERROR(VLOOKUP($A2709,原始数据_收盘!$A$4:$G$3460,7,0),"")</f>
        <v>2.8698</v>
      </c>
      <c r="H2709">
        <f>IFERROR(VLOOKUP($A2709,原始数据_利率互换_FR007_1年!$A$6:$C$4395,2,0),"")</f>
        <v>2.4968</v>
      </c>
      <c r="I2709">
        <f>IFERROR(VLOOKUP($A2709,原始数据_利率互换_FR007_1年!$A$6:$C$4395,3,0),"")</f>
        <v>2.8786</v>
      </c>
    </row>
    <row r="2710" spans="1:9">
      <c r="A2710" s="6">
        <v>42203</v>
      </c>
      <c r="B2710" t="str">
        <f>IFERROR(VLOOKUP($A2710,原始数据_收盘!$A$4:$G$3460,2,0),"")</f>
        <v/>
      </c>
      <c r="C2710" t="str">
        <f>IFERROR(VLOOKUP($A2710,原始数据_收盘!$A$4:$G$3460,3,0),"")</f>
        <v/>
      </c>
      <c r="D2710" t="str">
        <f>IFERROR(VLOOKUP($A2710,原始数据_收盘!$A$4:$G$3460,4,0),"")</f>
        <v/>
      </c>
      <c r="E2710" t="str">
        <f>IFERROR(VLOOKUP($A2710,原始数据_收盘!$A$4:$G$3460,5,0),"")</f>
        <v/>
      </c>
      <c r="F2710" t="str">
        <f>IFERROR(VLOOKUP($A2710,原始数据_收盘!$A$4:$G$3460,6,0),"")</f>
        <v/>
      </c>
      <c r="G2710" t="str">
        <f>IFERROR(VLOOKUP($A2710,原始数据_收盘!$A$4:$G$3460,7,0),"")</f>
        <v/>
      </c>
      <c r="H2710" t="str">
        <f>IFERROR(VLOOKUP($A2710,原始数据_利率互换_FR007_1年!$A$6:$C$4395,2,0),"")</f>
        <v/>
      </c>
      <c r="I2710" t="str">
        <f>IFERROR(VLOOKUP($A2710,原始数据_利率互换_FR007_1年!$A$6:$C$4395,3,0),"")</f>
        <v/>
      </c>
    </row>
    <row r="2711" spans="1:9">
      <c r="A2711" s="6">
        <v>42204</v>
      </c>
      <c r="B2711" t="str">
        <f>IFERROR(VLOOKUP($A2711,原始数据_收盘!$A$4:$G$3460,2,0),"")</f>
        <v/>
      </c>
      <c r="C2711" t="str">
        <f>IFERROR(VLOOKUP($A2711,原始数据_收盘!$A$4:$G$3460,3,0),"")</f>
        <v/>
      </c>
      <c r="D2711" t="str">
        <f>IFERROR(VLOOKUP($A2711,原始数据_收盘!$A$4:$G$3460,4,0),"")</f>
        <v/>
      </c>
      <c r="E2711" t="str">
        <f>IFERROR(VLOOKUP($A2711,原始数据_收盘!$A$4:$G$3460,5,0),"")</f>
        <v/>
      </c>
      <c r="F2711" t="str">
        <f>IFERROR(VLOOKUP($A2711,原始数据_收盘!$A$4:$G$3460,6,0),"")</f>
        <v/>
      </c>
      <c r="G2711" t="str">
        <f>IFERROR(VLOOKUP($A2711,原始数据_收盘!$A$4:$G$3460,7,0),"")</f>
        <v/>
      </c>
      <c r="H2711" t="str">
        <f>IFERROR(VLOOKUP($A2711,原始数据_利率互换_FR007_1年!$A$6:$C$4395,2,0),"")</f>
        <v/>
      </c>
      <c r="I2711" t="str">
        <f>IFERROR(VLOOKUP($A2711,原始数据_利率互换_FR007_1年!$A$6:$C$4395,3,0),"")</f>
        <v/>
      </c>
    </row>
    <row r="2712" spans="1:9">
      <c r="A2712" s="6">
        <v>42205</v>
      </c>
      <c r="B2712">
        <f>IFERROR(VLOOKUP($A2712,原始数据_收盘!$A$4:$G$3460,2,0),"")</f>
        <v>2.4433</v>
      </c>
      <c r="C2712">
        <f>IFERROR(VLOOKUP($A2712,原始数据_收盘!$A$4:$G$3460,3,0),"")</f>
        <v>2.8133</v>
      </c>
      <c r="D2712">
        <f>IFERROR(VLOOKUP($A2712,原始数据_收盘!$A$4:$G$3460,4,0),"")</f>
        <v>2.497</v>
      </c>
      <c r="E2712">
        <f>IFERROR(VLOOKUP($A2712,原始数据_收盘!$A$4:$G$3460,5,0),"")</f>
        <v>2.8767</v>
      </c>
      <c r="F2712">
        <f>IFERROR(VLOOKUP($A2712,原始数据_收盘!$A$4:$G$3460,6,0),"")</f>
        <v>2.4702</v>
      </c>
      <c r="G2712">
        <f>IFERROR(VLOOKUP($A2712,原始数据_收盘!$A$4:$G$3460,7,0),"")</f>
        <v>2.845</v>
      </c>
      <c r="H2712">
        <f>IFERROR(VLOOKUP($A2712,原始数据_利率互换_FR007_1年!$A$6:$C$4395,2,0),"")</f>
        <v>2.4666</v>
      </c>
      <c r="I2712">
        <f>IFERROR(VLOOKUP($A2712,原始数据_利率互换_FR007_1年!$A$6:$C$4395,3,0),"")</f>
        <v>2.85</v>
      </c>
    </row>
    <row r="2713" spans="1:9">
      <c r="A2713" s="6">
        <v>42206</v>
      </c>
      <c r="B2713">
        <f>IFERROR(VLOOKUP($A2713,原始数据_收盘!$A$4:$G$3460,2,0),"")</f>
        <v>2.4911</v>
      </c>
      <c r="C2713">
        <f>IFERROR(VLOOKUP($A2713,原始数据_收盘!$A$4:$G$3460,3,0),"")</f>
        <v>2.8533</v>
      </c>
      <c r="D2713">
        <f>IFERROR(VLOOKUP($A2713,原始数据_收盘!$A$4:$G$3460,4,0),"")</f>
        <v>2.547</v>
      </c>
      <c r="E2713">
        <f>IFERROR(VLOOKUP($A2713,原始数据_收盘!$A$4:$G$3460,5,0),"")</f>
        <v>2.9122</v>
      </c>
      <c r="F2713">
        <f>IFERROR(VLOOKUP($A2713,原始数据_收盘!$A$4:$G$3460,6,0),"")</f>
        <v>2.5191</v>
      </c>
      <c r="G2713">
        <f>IFERROR(VLOOKUP($A2713,原始数据_收盘!$A$4:$G$3460,7,0),"")</f>
        <v>2.8828</v>
      </c>
      <c r="H2713">
        <f>IFERROR(VLOOKUP($A2713,原始数据_利率互换_FR007_1年!$A$6:$C$4395,2,0),"")</f>
        <v>2.5142</v>
      </c>
      <c r="I2713">
        <f>IFERROR(VLOOKUP($A2713,原始数据_利率互换_FR007_1年!$A$6:$C$4395,3,0),"")</f>
        <v>2.889</v>
      </c>
    </row>
    <row r="2714" spans="1:9">
      <c r="A2714" s="6">
        <v>42207</v>
      </c>
      <c r="B2714">
        <f>IFERROR(VLOOKUP($A2714,原始数据_收盘!$A$4:$G$3460,2,0),"")</f>
        <v>2.5225</v>
      </c>
      <c r="C2714">
        <f>IFERROR(VLOOKUP($A2714,原始数据_收盘!$A$4:$G$3460,3,0),"")</f>
        <v>2.8666</v>
      </c>
      <c r="D2714">
        <f>IFERROR(VLOOKUP($A2714,原始数据_收盘!$A$4:$G$3460,4,0),"")</f>
        <v>2.5721</v>
      </c>
      <c r="E2714">
        <f>IFERROR(VLOOKUP($A2714,原始数据_收盘!$A$4:$G$3460,5,0),"")</f>
        <v>2.92</v>
      </c>
      <c r="F2714">
        <f>IFERROR(VLOOKUP($A2714,原始数据_收盘!$A$4:$G$3460,6,0),"")</f>
        <v>2.5473</v>
      </c>
      <c r="G2714">
        <f>IFERROR(VLOOKUP($A2714,原始数据_收盘!$A$4:$G$3460,7,0),"")</f>
        <v>2.8933</v>
      </c>
      <c r="H2714">
        <f>IFERROR(VLOOKUP($A2714,原始数据_利率互换_FR007_1年!$A$6:$C$4395,2,0),"")</f>
        <v>2.5455</v>
      </c>
      <c r="I2714">
        <f>IFERROR(VLOOKUP($A2714,原始数据_利率互换_FR007_1年!$A$6:$C$4395,3,0),"")</f>
        <v>2.9411</v>
      </c>
    </row>
    <row r="2715" spans="1:9">
      <c r="A2715" s="6">
        <v>42208</v>
      </c>
      <c r="B2715">
        <f>IFERROR(VLOOKUP($A2715,原始数据_收盘!$A$4:$G$3460,2,0),"")</f>
        <v>2.5143</v>
      </c>
      <c r="C2715">
        <f>IFERROR(VLOOKUP($A2715,原始数据_收盘!$A$4:$G$3460,3,0),"")</f>
        <v>2.8453</v>
      </c>
      <c r="D2715">
        <f>IFERROR(VLOOKUP($A2715,原始数据_收盘!$A$4:$G$3460,4,0),"")</f>
        <v>2.5727</v>
      </c>
      <c r="E2715">
        <f>IFERROR(VLOOKUP($A2715,原始数据_收盘!$A$4:$G$3460,5,0),"")</f>
        <v>2.911</v>
      </c>
      <c r="F2715">
        <f>IFERROR(VLOOKUP($A2715,原始数据_收盘!$A$4:$G$3460,6,0),"")</f>
        <v>2.5435</v>
      </c>
      <c r="G2715">
        <f>IFERROR(VLOOKUP($A2715,原始数据_收盘!$A$4:$G$3460,7,0),"")</f>
        <v>2.8782</v>
      </c>
      <c r="H2715">
        <f>IFERROR(VLOOKUP($A2715,原始数据_利率互换_FR007_1年!$A$6:$C$4395,2,0),"")</f>
        <v>2.5518</v>
      </c>
      <c r="I2715">
        <f>IFERROR(VLOOKUP($A2715,原始数据_利率互换_FR007_1年!$A$6:$C$4395,3,0),"")</f>
        <v>2.8919</v>
      </c>
    </row>
    <row r="2716" spans="1:9">
      <c r="A2716" s="6">
        <v>42209</v>
      </c>
      <c r="B2716">
        <f>IFERROR(VLOOKUP($A2716,原始数据_收盘!$A$4:$G$3460,2,0),"")</f>
        <v>2.513</v>
      </c>
      <c r="C2716">
        <f>IFERROR(VLOOKUP($A2716,原始数据_收盘!$A$4:$G$3460,3,0),"")</f>
        <v>2.839</v>
      </c>
      <c r="D2716">
        <f>IFERROR(VLOOKUP($A2716,原始数据_收盘!$A$4:$G$3460,4,0),"")</f>
        <v>2.57</v>
      </c>
      <c r="E2716">
        <f>IFERROR(VLOOKUP($A2716,原始数据_收盘!$A$4:$G$3460,5,0),"")</f>
        <v>2.902</v>
      </c>
      <c r="F2716">
        <f>IFERROR(VLOOKUP($A2716,原始数据_收盘!$A$4:$G$3460,6,0),"")</f>
        <v>2.5415</v>
      </c>
      <c r="G2716">
        <f>IFERROR(VLOOKUP($A2716,原始数据_收盘!$A$4:$G$3460,7,0),"")</f>
        <v>2.8705</v>
      </c>
      <c r="H2716">
        <f>IFERROR(VLOOKUP($A2716,原始数据_利率互换_FR007_1年!$A$6:$C$4395,2,0),"")</f>
        <v>2.541</v>
      </c>
      <c r="I2716">
        <f>IFERROR(VLOOKUP($A2716,原始数据_利率互换_FR007_1年!$A$6:$C$4395,3,0),"")</f>
        <v>2.8694</v>
      </c>
    </row>
    <row r="2717" spans="1:9">
      <c r="A2717" s="6">
        <v>42210</v>
      </c>
      <c r="B2717" t="str">
        <f>IFERROR(VLOOKUP($A2717,原始数据_收盘!$A$4:$G$3460,2,0),"")</f>
        <v/>
      </c>
      <c r="C2717" t="str">
        <f>IFERROR(VLOOKUP($A2717,原始数据_收盘!$A$4:$G$3460,3,0),"")</f>
        <v/>
      </c>
      <c r="D2717" t="str">
        <f>IFERROR(VLOOKUP($A2717,原始数据_收盘!$A$4:$G$3460,4,0),"")</f>
        <v/>
      </c>
      <c r="E2717" t="str">
        <f>IFERROR(VLOOKUP($A2717,原始数据_收盘!$A$4:$G$3460,5,0),"")</f>
        <v/>
      </c>
      <c r="F2717" t="str">
        <f>IFERROR(VLOOKUP($A2717,原始数据_收盘!$A$4:$G$3460,6,0),"")</f>
        <v/>
      </c>
      <c r="G2717" t="str">
        <f>IFERROR(VLOOKUP($A2717,原始数据_收盘!$A$4:$G$3460,7,0),"")</f>
        <v/>
      </c>
      <c r="H2717" t="str">
        <f>IFERROR(VLOOKUP($A2717,原始数据_利率互换_FR007_1年!$A$6:$C$4395,2,0),"")</f>
        <v/>
      </c>
      <c r="I2717" t="str">
        <f>IFERROR(VLOOKUP($A2717,原始数据_利率互换_FR007_1年!$A$6:$C$4395,3,0),"")</f>
        <v/>
      </c>
    </row>
    <row r="2718" spans="1:9">
      <c r="A2718" s="6">
        <v>42211</v>
      </c>
      <c r="B2718" t="str">
        <f>IFERROR(VLOOKUP($A2718,原始数据_收盘!$A$4:$G$3460,2,0),"")</f>
        <v/>
      </c>
      <c r="C2718" t="str">
        <f>IFERROR(VLOOKUP($A2718,原始数据_收盘!$A$4:$G$3460,3,0),"")</f>
        <v/>
      </c>
      <c r="D2718" t="str">
        <f>IFERROR(VLOOKUP($A2718,原始数据_收盘!$A$4:$G$3460,4,0),"")</f>
        <v/>
      </c>
      <c r="E2718" t="str">
        <f>IFERROR(VLOOKUP($A2718,原始数据_收盘!$A$4:$G$3460,5,0),"")</f>
        <v/>
      </c>
      <c r="F2718" t="str">
        <f>IFERROR(VLOOKUP($A2718,原始数据_收盘!$A$4:$G$3460,6,0),"")</f>
        <v/>
      </c>
      <c r="G2718" t="str">
        <f>IFERROR(VLOOKUP($A2718,原始数据_收盘!$A$4:$G$3460,7,0),"")</f>
        <v/>
      </c>
      <c r="H2718" t="str">
        <f>IFERROR(VLOOKUP($A2718,原始数据_利率互换_FR007_1年!$A$6:$C$4395,2,0),"")</f>
        <v/>
      </c>
      <c r="I2718" t="str">
        <f>IFERROR(VLOOKUP($A2718,原始数据_利率互换_FR007_1年!$A$6:$C$4395,3,0),"")</f>
        <v/>
      </c>
    </row>
    <row r="2719" spans="1:9">
      <c r="A2719" s="6">
        <v>42212</v>
      </c>
      <c r="B2719">
        <f>IFERROR(VLOOKUP($A2719,原始数据_收盘!$A$4:$G$3460,2,0),"")</f>
        <v>2.514</v>
      </c>
      <c r="C2719">
        <f>IFERROR(VLOOKUP($A2719,原始数据_收盘!$A$4:$G$3460,3,0),"")</f>
        <v>2.839</v>
      </c>
      <c r="D2719">
        <f>IFERROR(VLOOKUP($A2719,原始数据_收盘!$A$4:$G$3460,4,0),"")</f>
        <v>2.569</v>
      </c>
      <c r="E2719">
        <f>IFERROR(VLOOKUP($A2719,原始数据_收盘!$A$4:$G$3460,5,0),"")</f>
        <v>2.8997</v>
      </c>
      <c r="F2719">
        <f>IFERROR(VLOOKUP($A2719,原始数据_收盘!$A$4:$G$3460,6,0),"")</f>
        <v>2.5415</v>
      </c>
      <c r="G2719">
        <f>IFERROR(VLOOKUP($A2719,原始数据_收盘!$A$4:$G$3460,7,0),"")</f>
        <v>2.8694</v>
      </c>
      <c r="H2719">
        <f>IFERROR(VLOOKUP($A2719,原始数据_利率互换_FR007_1年!$A$6:$C$4395,2,0),"")</f>
        <v>2.5475</v>
      </c>
      <c r="I2719">
        <f>IFERROR(VLOOKUP($A2719,原始数据_利率互换_FR007_1年!$A$6:$C$4395,3,0),"")</f>
        <v>2.8686</v>
      </c>
    </row>
    <row r="2720" spans="1:9">
      <c r="A2720" s="6">
        <v>42213</v>
      </c>
      <c r="B2720">
        <f>IFERROR(VLOOKUP($A2720,原始数据_收盘!$A$4:$G$3460,2,0),"")</f>
        <v>2.4775</v>
      </c>
      <c r="C2720">
        <f>IFERROR(VLOOKUP($A2720,原始数据_收盘!$A$4:$G$3460,3,0),"")</f>
        <v>2.7979</v>
      </c>
      <c r="D2720">
        <f>IFERROR(VLOOKUP($A2720,原始数据_收盘!$A$4:$G$3460,4,0),"")</f>
        <v>2.5379</v>
      </c>
      <c r="E2720">
        <f>IFERROR(VLOOKUP($A2720,原始数据_收盘!$A$4:$G$3460,5,0),"")</f>
        <v>2.8613</v>
      </c>
      <c r="F2720">
        <f>IFERROR(VLOOKUP($A2720,原始数据_收盘!$A$4:$G$3460,6,0),"")</f>
        <v>2.5077</v>
      </c>
      <c r="G2720">
        <f>IFERROR(VLOOKUP($A2720,原始数据_收盘!$A$4:$G$3460,7,0),"")</f>
        <v>2.8296</v>
      </c>
      <c r="H2720">
        <f>IFERROR(VLOOKUP($A2720,原始数据_利率互换_FR007_1年!$A$6:$C$4395,2,0),"")</f>
        <v>2.5092</v>
      </c>
      <c r="I2720">
        <f>IFERROR(VLOOKUP($A2720,原始数据_利率互换_FR007_1年!$A$6:$C$4395,3,0),"")</f>
        <v>2.8421</v>
      </c>
    </row>
    <row r="2721" spans="1:9">
      <c r="A2721" s="6">
        <v>42214</v>
      </c>
      <c r="B2721">
        <f>IFERROR(VLOOKUP($A2721,原始数据_收盘!$A$4:$G$3460,2,0),"")</f>
        <v>2.4692</v>
      </c>
      <c r="C2721">
        <f>IFERROR(VLOOKUP($A2721,原始数据_收盘!$A$4:$G$3460,3,0),"")</f>
        <v>2.7978</v>
      </c>
      <c r="D2721">
        <f>IFERROR(VLOOKUP($A2721,原始数据_收盘!$A$4:$G$3460,4,0),"")</f>
        <v>2.5297</v>
      </c>
      <c r="E2721">
        <f>IFERROR(VLOOKUP($A2721,原始数据_收盘!$A$4:$G$3460,5,0),"")</f>
        <v>2.8611</v>
      </c>
      <c r="F2721">
        <f>IFERROR(VLOOKUP($A2721,原始数据_收盘!$A$4:$G$3460,6,0),"")</f>
        <v>2.4994</v>
      </c>
      <c r="G2721">
        <f>IFERROR(VLOOKUP($A2721,原始数据_收盘!$A$4:$G$3460,7,0),"")</f>
        <v>2.8294</v>
      </c>
      <c r="H2721">
        <f>IFERROR(VLOOKUP($A2721,原始数据_利率互换_FR007_1年!$A$6:$C$4395,2,0),"")</f>
        <v>2.491</v>
      </c>
      <c r="I2721">
        <f>IFERROR(VLOOKUP($A2721,原始数据_利率互换_FR007_1年!$A$6:$C$4395,3,0),"")</f>
        <v>2.8203</v>
      </c>
    </row>
    <row r="2722" spans="1:9">
      <c r="A2722" s="6">
        <v>42215</v>
      </c>
      <c r="B2722">
        <f>IFERROR(VLOOKUP($A2722,原始数据_收盘!$A$4:$G$3460,2,0),"")</f>
        <v>2.4829</v>
      </c>
      <c r="C2722">
        <f>IFERROR(VLOOKUP($A2722,原始数据_收盘!$A$4:$G$3460,3,0),"")</f>
        <v>2.8075</v>
      </c>
      <c r="D2722">
        <f>IFERROR(VLOOKUP($A2722,原始数据_收盘!$A$4:$G$3460,4,0),"")</f>
        <v>2.54</v>
      </c>
      <c r="E2722">
        <f>IFERROR(VLOOKUP($A2722,原始数据_收盘!$A$4:$G$3460,5,0),"")</f>
        <v>2.8663</v>
      </c>
      <c r="F2722">
        <f>IFERROR(VLOOKUP($A2722,原始数据_收盘!$A$4:$G$3460,6,0),"")</f>
        <v>2.5114</v>
      </c>
      <c r="G2722">
        <f>IFERROR(VLOOKUP($A2722,原始数据_收盘!$A$4:$G$3460,7,0),"")</f>
        <v>2.8369</v>
      </c>
      <c r="H2722">
        <f>IFERROR(VLOOKUP($A2722,原始数据_利率互换_FR007_1年!$A$6:$C$4395,2,0),"")</f>
        <v>2.5085</v>
      </c>
      <c r="I2722">
        <f>IFERROR(VLOOKUP($A2722,原始数据_利率互换_FR007_1年!$A$6:$C$4395,3,0),"")</f>
        <v>2.8421</v>
      </c>
    </row>
    <row r="2723" spans="1:9">
      <c r="A2723" s="6">
        <v>42216</v>
      </c>
      <c r="B2723">
        <f>IFERROR(VLOOKUP($A2723,原始数据_收盘!$A$4:$G$3460,2,0),"")</f>
        <v>2.5171</v>
      </c>
      <c r="C2723">
        <f>IFERROR(VLOOKUP($A2723,原始数据_收盘!$A$4:$G$3460,3,0),"")</f>
        <v>2.8609</v>
      </c>
      <c r="D2723">
        <f>IFERROR(VLOOKUP($A2723,原始数据_收盘!$A$4:$G$3460,4,0),"")</f>
        <v>2.565</v>
      </c>
      <c r="E2723">
        <f>IFERROR(VLOOKUP($A2723,原始数据_收盘!$A$4:$G$3460,5,0),"")</f>
        <v>2.9225</v>
      </c>
      <c r="F2723">
        <f>IFERROR(VLOOKUP($A2723,原始数据_收盘!$A$4:$G$3460,6,0),"")</f>
        <v>2.5411</v>
      </c>
      <c r="G2723">
        <f>IFERROR(VLOOKUP($A2723,原始数据_收盘!$A$4:$G$3460,7,0),"")</f>
        <v>2.8917</v>
      </c>
      <c r="H2723">
        <f>IFERROR(VLOOKUP($A2723,原始数据_利率互换_FR007_1年!$A$6:$C$4395,2,0),"")</f>
        <v>2.5444</v>
      </c>
      <c r="I2723">
        <f>IFERROR(VLOOKUP($A2723,原始数据_利率互换_FR007_1年!$A$6:$C$4395,3,0),"")</f>
        <v>2.8814</v>
      </c>
    </row>
    <row r="2724" spans="1:9">
      <c r="A2724" s="6">
        <v>42217</v>
      </c>
      <c r="B2724" t="str">
        <f>IFERROR(VLOOKUP($A2724,原始数据_收盘!$A$4:$G$3460,2,0),"")</f>
        <v/>
      </c>
      <c r="C2724" t="str">
        <f>IFERROR(VLOOKUP($A2724,原始数据_收盘!$A$4:$G$3460,3,0),"")</f>
        <v/>
      </c>
      <c r="D2724" t="str">
        <f>IFERROR(VLOOKUP($A2724,原始数据_收盘!$A$4:$G$3460,4,0),"")</f>
        <v/>
      </c>
      <c r="E2724" t="str">
        <f>IFERROR(VLOOKUP($A2724,原始数据_收盘!$A$4:$G$3460,5,0),"")</f>
        <v/>
      </c>
      <c r="F2724" t="str">
        <f>IFERROR(VLOOKUP($A2724,原始数据_收盘!$A$4:$G$3460,6,0),"")</f>
        <v/>
      </c>
      <c r="G2724" t="str">
        <f>IFERROR(VLOOKUP($A2724,原始数据_收盘!$A$4:$G$3460,7,0),"")</f>
        <v/>
      </c>
      <c r="H2724" t="str">
        <f>IFERROR(VLOOKUP($A2724,原始数据_利率互换_FR007_1年!$A$6:$C$4395,2,0),"")</f>
        <v/>
      </c>
      <c r="I2724" t="str">
        <f>IFERROR(VLOOKUP($A2724,原始数据_利率互换_FR007_1年!$A$6:$C$4395,3,0),"")</f>
        <v/>
      </c>
    </row>
    <row r="2725" spans="1:9">
      <c r="A2725" s="6">
        <v>42218</v>
      </c>
      <c r="B2725" t="str">
        <f>IFERROR(VLOOKUP($A2725,原始数据_收盘!$A$4:$G$3460,2,0),"")</f>
        <v/>
      </c>
      <c r="C2725" t="str">
        <f>IFERROR(VLOOKUP($A2725,原始数据_收盘!$A$4:$G$3460,3,0),"")</f>
        <v/>
      </c>
      <c r="D2725" t="str">
        <f>IFERROR(VLOOKUP($A2725,原始数据_收盘!$A$4:$G$3460,4,0),"")</f>
        <v/>
      </c>
      <c r="E2725" t="str">
        <f>IFERROR(VLOOKUP($A2725,原始数据_收盘!$A$4:$G$3460,5,0),"")</f>
        <v/>
      </c>
      <c r="F2725" t="str">
        <f>IFERROR(VLOOKUP($A2725,原始数据_收盘!$A$4:$G$3460,6,0),"")</f>
        <v/>
      </c>
      <c r="G2725" t="str">
        <f>IFERROR(VLOOKUP($A2725,原始数据_收盘!$A$4:$G$3460,7,0),"")</f>
        <v/>
      </c>
      <c r="H2725" t="str">
        <f>IFERROR(VLOOKUP($A2725,原始数据_利率互换_FR007_1年!$A$6:$C$4395,2,0),"")</f>
        <v/>
      </c>
      <c r="I2725" t="str">
        <f>IFERROR(VLOOKUP($A2725,原始数据_利率互换_FR007_1年!$A$6:$C$4395,3,0),"")</f>
        <v/>
      </c>
    </row>
    <row r="2726" spans="1:9">
      <c r="A2726" s="6">
        <v>42219</v>
      </c>
      <c r="B2726">
        <f>IFERROR(VLOOKUP($A2726,原始数据_收盘!$A$4:$G$3460,2,0),"")</f>
        <v>2.4938</v>
      </c>
      <c r="C2726">
        <f>IFERROR(VLOOKUP($A2726,原始数据_收盘!$A$4:$G$3460,3,0),"")</f>
        <v>2.8584</v>
      </c>
      <c r="D2726">
        <f>IFERROR(VLOOKUP($A2726,原始数据_收盘!$A$4:$G$3460,4,0),"")</f>
        <v>2.55</v>
      </c>
      <c r="E2726">
        <f>IFERROR(VLOOKUP($A2726,原始数据_收盘!$A$4:$G$3460,5,0),"")</f>
        <v>2.92</v>
      </c>
      <c r="F2726">
        <f>IFERROR(VLOOKUP($A2726,原始数据_收盘!$A$4:$G$3460,6,0),"")</f>
        <v>2.5219</v>
      </c>
      <c r="G2726">
        <f>IFERROR(VLOOKUP($A2726,原始数据_收盘!$A$4:$G$3460,7,0),"")</f>
        <v>2.8892</v>
      </c>
      <c r="H2726">
        <f>IFERROR(VLOOKUP($A2726,原始数据_利率互换_FR007_1年!$A$6:$C$4395,2,0),"")</f>
        <v>2.5162</v>
      </c>
      <c r="I2726">
        <f>IFERROR(VLOOKUP($A2726,原始数据_利率互换_FR007_1年!$A$6:$C$4395,3,0),"")</f>
        <v>2.891</v>
      </c>
    </row>
    <row r="2727" spans="1:9">
      <c r="A2727" s="6">
        <v>42220</v>
      </c>
      <c r="B2727">
        <f>IFERROR(VLOOKUP($A2727,原始数据_收盘!$A$4:$G$3460,2,0),"")</f>
        <v>2.4896</v>
      </c>
      <c r="C2727">
        <f>IFERROR(VLOOKUP($A2727,原始数据_收盘!$A$4:$G$3460,3,0),"")</f>
        <v>2.8425</v>
      </c>
      <c r="D2727">
        <f>IFERROR(VLOOKUP($A2727,原始数据_收盘!$A$4:$G$3460,4,0),"")</f>
        <v>2.5479</v>
      </c>
      <c r="E2727">
        <f>IFERROR(VLOOKUP($A2727,原始数据_收盘!$A$4:$G$3460,5,0),"")</f>
        <v>2.9075</v>
      </c>
      <c r="F2727">
        <f>IFERROR(VLOOKUP($A2727,原始数据_收盘!$A$4:$G$3460,6,0),"")</f>
        <v>2.5188</v>
      </c>
      <c r="G2727">
        <f>IFERROR(VLOOKUP($A2727,原始数据_收盘!$A$4:$G$3460,7,0),"")</f>
        <v>2.875</v>
      </c>
      <c r="H2727">
        <f>IFERROR(VLOOKUP($A2727,原始数据_利率互换_FR007_1年!$A$6:$C$4395,2,0),"")</f>
        <v>2.5125</v>
      </c>
      <c r="I2727">
        <f>IFERROR(VLOOKUP($A2727,原始数据_利率互换_FR007_1年!$A$6:$C$4395,3,0),"")</f>
        <v>2.8797</v>
      </c>
    </row>
    <row r="2728" spans="1:9">
      <c r="A2728" s="6">
        <v>42221</v>
      </c>
      <c r="B2728">
        <f>IFERROR(VLOOKUP($A2728,原始数据_收盘!$A$4:$G$3460,2,0),"")</f>
        <v>2.4744</v>
      </c>
      <c r="C2728">
        <f>IFERROR(VLOOKUP($A2728,原始数据_收盘!$A$4:$G$3460,3,0),"")</f>
        <v>2.8367</v>
      </c>
      <c r="D2728">
        <f>IFERROR(VLOOKUP($A2728,原始数据_收盘!$A$4:$G$3460,4,0),"")</f>
        <v>2.533</v>
      </c>
      <c r="E2728">
        <f>IFERROR(VLOOKUP($A2728,原始数据_收盘!$A$4:$G$3460,5,0),"")</f>
        <v>2.8956</v>
      </c>
      <c r="F2728">
        <f>IFERROR(VLOOKUP($A2728,原始数据_收盘!$A$4:$G$3460,6,0),"")</f>
        <v>2.5037</v>
      </c>
      <c r="G2728">
        <f>IFERROR(VLOOKUP($A2728,原始数据_收盘!$A$4:$G$3460,7,0),"")</f>
        <v>2.8661</v>
      </c>
      <c r="H2728">
        <f>IFERROR(VLOOKUP($A2728,原始数据_利率互换_FR007_1年!$A$6:$C$4395,2,0),"")</f>
        <v>2.4979</v>
      </c>
      <c r="I2728">
        <f>IFERROR(VLOOKUP($A2728,原始数据_利率互换_FR007_1年!$A$6:$C$4395,3,0),"")</f>
        <v>2.8723</v>
      </c>
    </row>
    <row r="2729" spans="1:9">
      <c r="A2729" s="6">
        <v>42222</v>
      </c>
      <c r="B2729">
        <f>IFERROR(VLOOKUP($A2729,原始数据_收盘!$A$4:$G$3460,2,0),"")</f>
        <v>2.4313</v>
      </c>
      <c r="C2729">
        <f>IFERROR(VLOOKUP($A2729,原始数据_收盘!$A$4:$G$3460,3,0),"")</f>
        <v>2.8125</v>
      </c>
      <c r="D2729">
        <f>IFERROR(VLOOKUP($A2729,原始数据_收盘!$A$4:$G$3460,4,0),"")</f>
        <v>2.4719</v>
      </c>
      <c r="E2729">
        <f>IFERROR(VLOOKUP($A2729,原始数据_收盘!$A$4:$G$3460,5,0),"")</f>
        <v>2.8638</v>
      </c>
      <c r="F2729">
        <f>IFERROR(VLOOKUP($A2729,原始数据_收盘!$A$4:$G$3460,6,0),"")</f>
        <v>2.4516</v>
      </c>
      <c r="G2729">
        <f>IFERROR(VLOOKUP($A2729,原始数据_收盘!$A$4:$G$3460,7,0),"")</f>
        <v>2.8381</v>
      </c>
      <c r="H2729">
        <f>IFERROR(VLOOKUP($A2729,原始数据_利率互换_FR007_1年!$A$6:$C$4395,2,0),"")</f>
        <v>2.4643</v>
      </c>
      <c r="I2729">
        <f>IFERROR(VLOOKUP($A2729,原始数据_利率互换_FR007_1年!$A$6:$C$4395,3,0),"")</f>
        <v>2.8429</v>
      </c>
    </row>
    <row r="2730" spans="1:9">
      <c r="A2730" s="6">
        <v>42223</v>
      </c>
      <c r="B2730">
        <f>IFERROR(VLOOKUP($A2730,原始数据_收盘!$A$4:$G$3460,2,0),"")</f>
        <v>2.4531</v>
      </c>
      <c r="C2730">
        <f>IFERROR(VLOOKUP($A2730,原始数据_收盘!$A$4:$G$3460,3,0),"")</f>
        <v>2.8191</v>
      </c>
      <c r="D2730">
        <f>IFERROR(VLOOKUP($A2730,原始数据_收盘!$A$4:$G$3460,4,0),"")</f>
        <v>2.5013</v>
      </c>
      <c r="E2730">
        <f>IFERROR(VLOOKUP($A2730,原始数据_收盘!$A$4:$G$3460,5,0),"")</f>
        <v>2.8788</v>
      </c>
      <c r="F2730">
        <f>IFERROR(VLOOKUP($A2730,原始数据_收盘!$A$4:$G$3460,6,0),"")</f>
        <v>2.4772</v>
      </c>
      <c r="G2730">
        <f>IFERROR(VLOOKUP($A2730,原始数据_收盘!$A$4:$G$3460,7,0),"")</f>
        <v>2.8489</v>
      </c>
      <c r="H2730">
        <f>IFERROR(VLOOKUP($A2730,原始数据_利率互换_FR007_1年!$A$6:$C$4395,2,0),"")</f>
        <v>2.4724</v>
      </c>
      <c r="I2730">
        <f>IFERROR(VLOOKUP($A2730,原始数据_利率互换_FR007_1年!$A$6:$C$4395,3,0),"")</f>
        <v>2.844</v>
      </c>
    </row>
    <row r="2731" spans="1:9">
      <c r="A2731" s="6">
        <v>42224</v>
      </c>
      <c r="B2731" t="str">
        <f>IFERROR(VLOOKUP($A2731,原始数据_收盘!$A$4:$G$3460,2,0),"")</f>
        <v/>
      </c>
      <c r="C2731" t="str">
        <f>IFERROR(VLOOKUP($A2731,原始数据_收盘!$A$4:$G$3460,3,0),"")</f>
        <v/>
      </c>
      <c r="D2731" t="str">
        <f>IFERROR(VLOOKUP($A2731,原始数据_收盘!$A$4:$G$3460,4,0),"")</f>
        <v/>
      </c>
      <c r="E2731" t="str">
        <f>IFERROR(VLOOKUP($A2731,原始数据_收盘!$A$4:$G$3460,5,0),"")</f>
        <v/>
      </c>
      <c r="F2731" t="str">
        <f>IFERROR(VLOOKUP($A2731,原始数据_收盘!$A$4:$G$3460,6,0),"")</f>
        <v/>
      </c>
      <c r="G2731" t="str">
        <f>IFERROR(VLOOKUP($A2731,原始数据_收盘!$A$4:$G$3460,7,0),"")</f>
        <v/>
      </c>
      <c r="H2731" t="str">
        <f>IFERROR(VLOOKUP($A2731,原始数据_利率互换_FR007_1年!$A$6:$C$4395,2,0),"")</f>
        <v/>
      </c>
      <c r="I2731" t="str">
        <f>IFERROR(VLOOKUP($A2731,原始数据_利率互换_FR007_1年!$A$6:$C$4395,3,0),"")</f>
        <v/>
      </c>
    </row>
    <row r="2732" spans="1:9">
      <c r="A2732" s="6">
        <v>42225</v>
      </c>
      <c r="B2732" t="str">
        <f>IFERROR(VLOOKUP($A2732,原始数据_收盘!$A$4:$G$3460,2,0),"")</f>
        <v/>
      </c>
      <c r="C2732" t="str">
        <f>IFERROR(VLOOKUP($A2732,原始数据_收盘!$A$4:$G$3460,3,0),"")</f>
        <v/>
      </c>
      <c r="D2732" t="str">
        <f>IFERROR(VLOOKUP($A2732,原始数据_收盘!$A$4:$G$3460,4,0),"")</f>
        <v/>
      </c>
      <c r="E2732" t="str">
        <f>IFERROR(VLOOKUP($A2732,原始数据_收盘!$A$4:$G$3460,5,0),"")</f>
        <v/>
      </c>
      <c r="F2732" t="str">
        <f>IFERROR(VLOOKUP($A2732,原始数据_收盘!$A$4:$G$3460,6,0),"")</f>
        <v/>
      </c>
      <c r="G2732" t="str">
        <f>IFERROR(VLOOKUP($A2732,原始数据_收盘!$A$4:$G$3460,7,0),"")</f>
        <v/>
      </c>
      <c r="H2732" t="str">
        <f>IFERROR(VLOOKUP($A2732,原始数据_利率互换_FR007_1年!$A$6:$C$4395,2,0),"")</f>
        <v/>
      </c>
      <c r="I2732" t="str">
        <f>IFERROR(VLOOKUP($A2732,原始数据_利率互换_FR007_1年!$A$6:$C$4395,3,0),"")</f>
        <v/>
      </c>
    </row>
    <row r="2733" spans="1:9">
      <c r="A2733" s="6">
        <v>42226</v>
      </c>
      <c r="B2733">
        <f>IFERROR(VLOOKUP($A2733,原始数据_收盘!$A$4:$G$3460,2,0),"")</f>
        <v>2.46</v>
      </c>
      <c r="C2733">
        <f>IFERROR(VLOOKUP($A2733,原始数据_收盘!$A$4:$G$3460,3,0),"")</f>
        <v>2.835</v>
      </c>
      <c r="D2733">
        <f>IFERROR(VLOOKUP($A2733,原始数据_收盘!$A$4:$G$3460,4,0),"")</f>
        <v>2.5179</v>
      </c>
      <c r="E2733">
        <f>IFERROR(VLOOKUP($A2733,原始数据_收盘!$A$4:$G$3460,5,0),"")</f>
        <v>2.8938</v>
      </c>
      <c r="F2733">
        <f>IFERROR(VLOOKUP($A2733,原始数据_收盘!$A$4:$G$3460,6,0),"")</f>
        <v>2.4889</v>
      </c>
      <c r="G2733">
        <f>IFERROR(VLOOKUP($A2733,原始数据_收盘!$A$4:$G$3460,7,0),"")</f>
        <v>2.8644</v>
      </c>
      <c r="H2733">
        <f>IFERROR(VLOOKUP($A2733,原始数据_利率互换_FR007_1年!$A$6:$C$4395,2,0),"")</f>
        <v>2.4897</v>
      </c>
      <c r="I2733">
        <f>IFERROR(VLOOKUP($A2733,原始数据_利率互换_FR007_1年!$A$6:$C$4395,3,0),"")</f>
        <v>2.8565</v>
      </c>
    </row>
    <row r="2734" spans="1:9">
      <c r="A2734" s="6">
        <v>42227</v>
      </c>
      <c r="B2734">
        <f>IFERROR(VLOOKUP($A2734,原始数据_收盘!$A$4:$G$3460,2,0),"")</f>
        <v>2.5159</v>
      </c>
      <c r="C2734">
        <f>IFERROR(VLOOKUP($A2734,原始数据_收盘!$A$4:$G$3460,3,0),"")</f>
        <v>2.8879</v>
      </c>
      <c r="D2734">
        <f>IFERROR(VLOOKUP($A2734,原始数据_收盘!$A$4:$G$3460,4,0),"")</f>
        <v>2.5775</v>
      </c>
      <c r="E2734">
        <f>IFERROR(VLOOKUP($A2734,原始数据_收盘!$A$4:$G$3460,5,0),"")</f>
        <v>2.95</v>
      </c>
      <c r="F2734">
        <f>IFERROR(VLOOKUP($A2734,原始数据_收盘!$A$4:$G$3460,6,0),"")</f>
        <v>2.5467</v>
      </c>
      <c r="G2734">
        <f>IFERROR(VLOOKUP($A2734,原始数据_收盘!$A$4:$G$3460,7,0),"")</f>
        <v>2.9189</v>
      </c>
      <c r="H2734">
        <f>IFERROR(VLOOKUP($A2734,原始数据_利率互换_FR007_1年!$A$6:$C$4395,2,0),"")</f>
        <v>2.5521</v>
      </c>
      <c r="I2734">
        <f>IFERROR(VLOOKUP($A2734,原始数据_利率互换_FR007_1年!$A$6:$C$4395,3,0),"")</f>
        <v>2.9447</v>
      </c>
    </row>
    <row r="2735" spans="1:9">
      <c r="A2735" s="6">
        <v>42228</v>
      </c>
      <c r="B2735">
        <f>IFERROR(VLOOKUP($A2735,原始数据_收盘!$A$4:$G$3460,2,0),"")</f>
        <v>2.5038</v>
      </c>
      <c r="C2735">
        <f>IFERROR(VLOOKUP($A2735,原始数据_收盘!$A$4:$G$3460,3,0),"")</f>
        <v>2.8538</v>
      </c>
      <c r="D2735">
        <f>IFERROR(VLOOKUP($A2735,原始数据_收盘!$A$4:$G$3460,4,0),"")</f>
        <v>2.57</v>
      </c>
      <c r="E2735">
        <f>IFERROR(VLOOKUP($A2735,原始数据_收盘!$A$4:$G$3460,5,0),"")</f>
        <v>2.9284</v>
      </c>
      <c r="F2735">
        <f>IFERROR(VLOOKUP($A2735,原始数据_收盘!$A$4:$G$3460,6,0),"")</f>
        <v>2.5369</v>
      </c>
      <c r="G2735">
        <f>IFERROR(VLOOKUP($A2735,原始数据_收盘!$A$4:$G$3460,7,0),"")</f>
        <v>2.8911</v>
      </c>
      <c r="H2735">
        <f>IFERROR(VLOOKUP($A2735,原始数据_利率互换_FR007_1年!$A$6:$C$4395,2,0),"")</f>
        <v>2.5554</v>
      </c>
      <c r="I2735">
        <f>IFERROR(VLOOKUP($A2735,原始数据_利率互换_FR007_1年!$A$6:$C$4395,3,0),"")</f>
        <v>2.9197</v>
      </c>
    </row>
    <row r="2736" spans="1:9">
      <c r="A2736" s="6">
        <v>42229</v>
      </c>
      <c r="B2736">
        <f>IFERROR(VLOOKUP($A2736,原始数据_收盘!$A$4:$G$3460,2,0),"")</f>
        <v>2.5125</v>
      </c>
      <c r="C2736">
        <f>IFERROR(VLOOKUP($A2736,原始数据_收盘!$A$4:$G$3460,3,0),"")</f>
        <v>2.8588</v>
      </c>
      <c r="D2736">
        <f>IFERROR(VLOOKUP($A2736,原始数据_收盘!$A$4:$G$3460,4,0),"")</f>
        <v>2.5688</v>
      </c>
      <c r="E2736">
        <f>IFERROR(VLOOKUP($A2736,原始数据_收盘!$A$4:$G$3460,5,0),"")</f>
        <v>2.9213</v>
      </c>
      <c r="F2736">
        <f>IFERROR(VLOOKUP($A2736,原始数据_收盘!$A$4:$G$3460,6,0),"")</f>
        <v>2.5406</v>
      </c>
      <c r="G2736">
        <f>IFERROR(VLOOKUP($A2736,原始数据_收盘!$A$4:$G$3460,7,0),"")</f>
        <v>2.89</v>
      </c>
      <c r="H2736">
        <f>IFERROR(VLOOKUP($A2736,原始数据_利率互换_FR007_1年!$A$6:$C$4395,2,0),"")</f>
        <v>2.5373</v>
      </c>
      <c r="I2736">
        <f>IFERROR(VLOOKUP($A2736,原始数据_利率互换_FR007_1年!$A$6:$C$4395,3,0),"")</f>
        <v>2.8955</v>
      </c>
    </row>
    <row r="2737" spans="1:9">
      <c r="A2737" s="6">
        <v>42230</v>
      </c>
      <c r="B2737">
        <f>IFERROR(VLOOKUP($A2737,原始数据_收盘!$A$4:$G$3460,2,0),"")</f>
        <v>2.5063</v>
      </c>
      <c r="C2737">
        <f>IFERROR(VLOOKUP($A2737,原始数据_收盘!$A$4:$G$3460,3,0),"")</f>
        <v>2.8388</v>
      </c>
      <c r="D2737">
        <f>IFERROR(VLOOKUP($A2737,原始数据_收盘!$A$4:$G$3460,4,0),"")</f>
        <v>2.56</v>
      </c>
      <c r="E2737">
        <f>IFERROR(VLOOKUP($A2737,原始数据_收盘!$A$4:$G$3460,5,0),"")</f>
        <v>2.9</v>
      </c>
      <c r="F2737">
        <f>IFERROR(VLOOKUP($A2737,原始数据_收盘!$A$4:$G$3460,6,0),"")</f>
        <v>2.5331</v>
      </c>
      <c r="G2737">
        <f>IFERROR(VLOOKUP($A2737,原始数据_收盘!$A$4:$G$3460,7,0),"")</f>
        <v>2.8694</v>
      </c>
      <c r="H2737">
        <f>IFERROR(VLOOKUP($A2737,原始数据_利率互换_FR007_1年!$A$6:$C$4395,2,0),"")</f>
        <v>2.5636</v>
      </c>
      <c r="I2737">
        <f>IFERROR(VLOOKUP($A2737,原始数据_利率互换_FR007_1年!$A$6:$C$4395,3,0),"")</f>
        <v>2.8717</v>
      </c>
    </row>
    <row r="2738" spans="1:9">
      <c r="A2738" s="6">
        <v>42231</v>
      </c>
      <c r="B2738" t="str">
        <f>IFERROR(VLOOKUP($A2738,原始数据_收盘!$A$4:$G$3460,2,0),"")</f>
        <v/>
      </c>
      <c r="C2738" t="str">
        <f>IFERROR(VLOOKUP($A2738,原始数据_收盘!$A$4:$G$3460,3,0),"")</f>
        <v/>
      </c>
      <c r="D2738" t="str">
        <f>IFERROR(VLOOKUP($A2738,原始数据_收盘!$A$4:$G$3460,4,0),"")</f>
        <v/>
      </c>
      <c r="E2738" t="str">
        <f>IFERROR(VLOOKUP($A2738,原始数据_收盘!$A$4:$G$3460,5,0),"")</f>
        <v/>
      </c>
      <c r="F2738" t="str">
        <f>IFERROR(VLOOKUP($A2738,原始数据_收盘!$A$4:$G$3460,6,0),"")</f>
        <v/>
      </c>
      <c r="G2738" t="str">
        <f>IFERROR(VLOOKUP($A2738,原始数据_收盘!$A$4:$G$3460,7,0),"")</f>
        <v/>
      </c>
      <c r="H2738" t="str">
        <f>IFERROR(VLOOKUP($A2738,原始数据_利率互换_FR007_1年!$A$6:$C$4395,2,0),"")</f>
        <v/>
      </c>
      <c r="I2738" t="str">
        <f>IFERROR(VLOOKUP($A2738,原始数据_利率互换_FR007_1年!$A$6:$C$4395,3,0),"")</f>
        <v/>
      </c>
    </row>
    <row r="2739" spans="1:9">
      <c r="A2739" s="6">
        <v>42232</v>
      </c>
      <c r="B2739" t="str">
        <f>IFERROR(VLOOKUP($A2739,原始数据_收盘!$A$4:$G$3460,2,0),"")</f>
        <v/>
      </c>
      <c r="C2739" t="str">
        <f>IFERROR(VLOOKUP($A2739,原始数据_收盘!$A$4:$G$3460,3,0),"")</f>
        <v/>
      </c>
      <c r="D2739" t="str">
        <f>IFERROR(VLOOKUP($A2739,原始数据_收盘!$A$4:$G$3460,4,0),"")</f>
        <v/>
      </c>
      <c r="E2739" t="str">
        <f>IFERROR(VLOOKUP($A2739,原始数据_收盘!$A$4:$G$3460,5,0),"")</f>
        <v/>
      </c>
      <c r="F2739" t="str">
        <f>IFERROR(VLOOKUP($A2739,原始数据_收盘!$A$4:$G$3460,6,0),"")</f>
        <v/>
      </c>
      <c r="G2739" t="str">
        <f>IFERROR(VLOOKUP($A2739,原始数据_收盘!$A$4:$G$3460,7,0),"")</f>
        <v/>
      </c>
      <c r="H2739" t="str">
        <f>IFERROR(VLOOKUP($A2739,原始数据_利率互换_FR007_1年!$A$6:$C$4395,2,0),"")</f>
        <v/>
      </c>
      <c r="I2739" t="str">
        <f>IFERROR(VLOOKUP($A2739,原始数据_利率互换_FR007_1年!$A$6:$C$4395,3,0),"")</f>
        <v/>
      </c>
    </row>
    <row r="2740" spans="1:9">
      <c r="A2740" s="6">
        <v>42233</v>
      </c>
      <c r="B2740">
        <f>IFERROR(VLOOKUP($A2740,原始数据_收盘!$A$4:$G$3460,2,0),"")</f>
        <v>2.5425</v>
      </c>
      <c r="C2740">
        <f>IFERROR(VLOOKUP($A2740,原始数据_收盘!$A$4:$G$3460,3,0),"")</f>
        <v>2.86</v>
      </c>
      <c r="D2740">
        <f>IFERROR(VLOOKUP($A2740,原始数据_收盘!$A$4:$G$3460,4,0),"")</f>
        <v>2.6025</v>
      </c>
      <c r="E2740">
        <f>IFERROR(VLOOKUP($A2740,原始数据_收盘!$A$4:$G$3460,5,0),"")</f>
        <v>2.925</v>
      </c>
      <c r="F2740">
        <f>IFERROR(VLOOKUP($A2740,原始数据_收盘!$A$4:$G$3460,6,0),"")</f>
        <v>2.5725</v>
      </c>
      <c r="G2740">
        <f>IFERROR(VLOOKUP($A2740,原始数据_收盘!$A$4:$G$3460,7,0),"")</f>
        <v>2.8925</v>
      </c>
      <c r="H2740">
        <f>IFERROR(VLOOKUP($A2740,原始数据_利率互换_FR007_1年!$A$6:$C$4395,2,0),"")</f>
        <v>2.577</v>
      </c>
      <c r="I2740">
        <f>IFERROR(VLOOKUP($A2740,原始数据_利率互换_FR007_1年!$A$6:$C$4395,3,0),"")</f>
        <v>2.8911</v>
      </c>
    </row>
    <row r="2741" spans="1:9">
      <c r="A2741" s="6">
        <v>42234</v>
      </c>
      <c r="B2741">
        <f>IFERROR(VLOOKUP($A2741,原始数据_收盘!$A$4:$G$3460,2,0),"")</f>
        <v>2.5429</v>
      </c>
      <c r="C2741">
        <f>IFERROR(VLOOKUP($A2741,原始数据_收盘!$A$4:$G$3460,3,0),"")</f>
        <v>2.855</v>
      </c>
      <c r="D2741">
        <f>IFERROR(VLOOKUP($A2741,原始数据_收盘!$A$4:$G$3460,4,0),"")</f>
        <v>2.6</v>
      </c>
      <c r="E2741">
        <f>IFERROR(VLOOKUP($A2741,原始数据_收盘!$A$4:$G$3460,5,0),"")</f>
        <v>2.9175</v>
      </c>
      <c r="F2741">
        <f>IFERROR(VLOOKUP($A2741,原始数据_收盘!$A$4:$G$3460,6,0),"")</f>
        <v>2.5714</v>
      </c>
      <c r="G2741">
        <f>IFERROR(VLOOKUP($A2741,原始数据_收盘!$A$4:$G$3460,7,0),"")</f>
        <v>2.8863</v>
      </c>
      <c r="H2741">
        <f>IFERROR(VLOOKUP($A2741,原始数据_利率互换_FR007_1年!$A$6:$C$4395,2,0),"")</f>
        <v>2.582</v>
      </c>
      <c r="I2741">
        <f>IFERROR(VLOOKUP($A2741,原始数据_利率互换_FR007_1年!$A$6:$C$4395,3,0),"")</f>
        <v>2.8861</v>
      </c>
    </row>
    <row r="2742" spans="1:9">
      <c r="A2742" s="6">
        <v>42235</v>
      </c>
      <c r="B2742">
        <f>IFERROR(VLOOKUP($A2742,原始数据_收盘!$A$4:$G$3460,2,0),"")</f>
        <v>2.5429</v>
      </c>
      <c r="C2742">
        <f>IFERROR(VLOOKUP($A2742,原始数据_收盘!$A$4:$G$3460,3,0),"")</f>
        <v>2.86</v>
      </c>
      <c r="D2742">
        <f>IFERROR(VLOOKUP($A2742,原始数据_收盘!$A$4:$G$3460,4,0),"")</f>
        <v>2.6</v>
      </c>
      <c r="E2742">
        <f>IFERROR(VLOOKUP($A2742,原始数据_收盘!$A$4:$G$3460,5,0),"")</f>
        <v>2.92</v>
      </c>
      <c r="F2742">
        <f>IFERROR(VLOOKUP($A2742,原始数据_收盘!$A$4:$G$3460,6,0),"")</f>
        <v>2.5714</v>
      </c>
      <c r="G2742">
        <f>IFERROR(VLOOKUP($A2742,原始数据_收盘!$A$4:$G$3460,7,0),"")</f>
        <v>2.89</v>
      </c>
      <c r="H2742">
        <f>IFERROR(VLOOKUP($A2742,原始数据_利率互换_FR007_1年!$A$6:$C$4395,2,0),"")</f>
        <v>2.5838</v>
      </c>
      <c r="I2742">
        <f>IFERROR(VLOOKUP($A2742,原始数据_利率互换_FR007_1年!$A$6:$C$4395,3,0),"")</f>
        <v>2.893</v>
      </c>
    </row>
    <row r="2743" spans="1:9">
      <c r="A2743" s="6">
        <v>42236</v>
      </c>
      <c r="B2743">
        <f>IFERROR(VLOOKUP($A2743,原始数据_收盘!$A$4:$G$3460,2,0),"")</f>
        <v>2.563</v>
      </c>
      <c r="C2743">
        <f>IFERROR(VLOOKUP($A2743,原始数据_收盘!$A$4:$G$3460,3,0),"")</f>
        <v>2.8511</v>
      </c>
      <c r="D2743">
        <f>IFERROR(VLOOKUP($A2743,原始数据_收盘!$A$4:$G$3460,4,0),"")</f>
        <v>2.6256</v>
      </c>
      <c r="E2743">
        <f>IFERROR(VLOOKUP($A2743,原始数据_收盘!$A$4:$G$3460,5,0),"")</f>
        <v>2.9156</v>
      </c>
      <c r="F2743">
        <f>IFERROR(VLOOKUP($A2743,原始数据_收盘!$A$4:$G$3460,6,0),"")</f>
        <v>2.5943</v>
      </c>
      <c r="G2743">
        <f>IFERROR(VLOOKUP($A2743,原始数据_收盘!$A$4:$G$3460,7,0),"")</f>
        <v>2.8833</v>
      </c>
      <c r="H2743">
        <f>IFERROR(VLOOKUP($A2743,原始数据_利率互换_FR007_1年!$A$6:$C$4395,2,0),"")</f>
        <v>2.5947</v>
      </c>
      <c r="I2743">
        <f>IFERROR(VLOOKUP($A2743,原始数据_利率互换_FR007_1年!$A$6:$C$4395,3,0),"")</f>
        <v>2.9003</v>
      </c>
    </row>
    <row r="2744" spans="1:9">
      <c r="A2744" s="6">
        <v>42237</v>
      </c>
      <c r="B2744">
        <f>IFERROR(VLOOKUP($A2744,原始数据_收盘!$A$4:$G$3460,2,0),"")</f>
        <v>2.5409</v>
      </c>
      <c r="C2744">
        <f>IFERROR(VLOOKUP($A2744,原始数据_收盘!$A$4:$G$3460,3,0),"")</f>
        <v>2.8325</v>
      </c>
      <c r="D2744">
        <f>IFERROR(VLOOKUP($A2744,原始数据_收盘!$A$4:$G$3460,4,0),"")</f>
        <v>2.5971</v>
      </c>
      <c r="E2744">
        <f>IFERROR(VLOOKUP($A2744,原始数据_收盘!$A$4:$G$3460,5,0),"")</f>
        <v>2.8979</v>
      </c>
      <c r="F2744">
        <f>IFERROR(VLOOKUP($A2744,原始数据_收盘!$A$4:$G$3460,6,0),"")</f>
        <v>2.569</v>
      </c>
      <c r="G2744">
        <f>IFERROR(VLOOKUP($A2744,原始数据_收盘!$A$4:$G$3460,7,0),"")</f>
        <v>2.8652</v>
      </c>
      <c r="H2744">
        <f>IFERROR(VLOOKUP($A2744,原始数据_利率互换_FR007_1年!$A$6:$C$4395,2,0),"")</f>
        <v>2.582</v>
      </c>
      <c r="I2744">
        <f>IFERROR(VLOOKUP($A2744,原始数据_利率互换_FR007_1年!$A$6:$C$4395,3,0),"")</f>
        <v>2.8706</v>
      </c>
    </row>
    <row r="2745" spans="1:9">
      <c r="A2745" s="6">
        <v>42238</v>
      </c>
      <c r="B2745" t="str">
        <f>IFERROR(VLOOKUP($A2745,原始数据_收盘!$A$4:$G$3460,2,0),"")</f>
        <v/>
      </c>
      <c r="C2745" t="str">
        <f>IFERROR(VLOOKUP($A2745,原始数据_收盘!$A$4:$G$3460,3,0),"")</f>
        <v/>
      </c>
      <c r="D2745" t="str">
        <f>IFERROR(VLOOKUP($A2745,原始数据_收盘!$A$4:$G$3460,4,0),"")</f>
        <v/>
      </c>
      <c r="E2745" t="str">
        <f>IFERROR(VLOOKUP($A2745,原始数据_收盘!$A$4:$G$3460,5,0),"")</f>
        <v/>
      </c>
      <c r="F2745" t="str">
        <f>IFERROR(VLOOKUP($A2745,原始数据_收盘!$A$4:$G$3460,6,0),"")</f>
        <v/>
      </c>
      <c r="G2745" t="str">
        <f>IFERROR(VLOOKUP($A2745,原始数据_收盘!$A$4:$G$3460,7,0),"")</f>
        <v/>
      </c>
      <c r="H2745" t="str">
        <f>IFERROR(VLOOKUP($A2745,原始数据_利率互换_FR007_1年!$A$6:$C$4395,2,0),"")</f>
        <v/>
      </c>
      <c r="I2745" t="str">
        <f>IFERROR(VLOOKUP($A2745,原始数据_利率互换_FR007_1年!$A$6:$C$4395,3,0),"")</f>
        <v/>
      </c>
    </row>
    <row r="2746" spans="1:9">
      <c r="A2746" s="6">
        <v>42239</v>
      </c>
      <c r="B2746" t="str">
        <f>IFERROR(VLOOKUP($A2746,原始数据_收盘!$A$4:$G$3460,2,0),"")</f>
        <v/>
      </c>
      <c r="C2746" t="str">
        <f>IFERROR(VLOOKUP($A2746,原始数据_收盘!$A$4:$G$3460,3,0),"")</f>
        <v/>
      </c>
      <c r="D2746" t="str">
        <f>IFERROR(VLOOKUP($A2746,原始数据_收盘!$A$4:$G$3460,4,0),"")</f>
        <v/>
      </c>
      <c r="E2746" t="str">
        <f>IFERROR(VLOOKUP($A2746,原始数据_收盘!$A$4:$G$3460,5,0),"")</f>
        <v/>
      </c>
      <c r="F2746" t="str">
        <f>IFERROR(VLOOKUP($A2746,原始数据_收盘!$A$4:$G$3460,6,0),"")</f>
        <v/>
      </c>
      <c r="G2746" t="str">
        <f>IFERROR(VLOOKUP($A2746,原始数据_收盘!$A$4:$G$3460,7,0),"")</f>
        <v/>
      </c>
      <c r="H2746" t="str">
        <f>IFERROR(VLOOKUP($A2746,原始数据_利率互换_FR007_1年!$A$6:$C$4395,2,0),"")</f>
        <v/>
      </c>
      <c r="I2746" t="str">
        <f>IFERROR(VLOOKUP($A2746,原始数据_利率互换_FR007_1年!$A$6:$C$4395,3,0),"")</f>
        <v/>
      </c>
    </row>
    <row r="2747" spans="1:9">
      <c r="A2747" s="6">
        <v>42240</v>
      </c>
      <c r="B2747">
        <f>IFERROR(VLOOKUP($A2747,原始数据_收盘!$A$4:$G$3460,2,0),"")</f>
        <v>2.5463</v>
      </c>
      <c r="C2747">
        <f>IFERROR(VLOOKUP($A2747,原始数据_收盘!$A$4:$G$3460,3,0),"")</f>
        <v>2.8288</v>
      </c>
      <c r="D2747">
        <f>IFERROR(VLOOKUP($A2747,原始数据_收盘!$A$4:$G$3460,4,0),"")</f>
        <v>2.605</v>
      </c>
      <c r="E2747">
        <f>IFERROR(VLOOKUP($A2747,原始数据_收盘!$A$4:$G$3460,5,0),"")</f>
        <v>2.8896</v>
      </c>
      <c r="F2747">
        <f>IFERROR(VLOOKUP($A2747,原始数据_收盘!$A$4:$G$3460,6,0),"")</f>
        <v>2.5756</v>
      </c>
      <c r="G2747">
        <f>IFERROR(VLOOKUP($A2747,原始数据_收盘!$A$4:$G$3460,7,0),"")</f>
        <v>2.8592</v>
      </c>
      <c r="H2747">
        <f>IFERROR(VLOOKUP($A2747,原始数据_利率互换_FR007_1年!$A$6:$C$4395,2,0),"")</f>
        <v>2.5753</v>
      </c>
      <c r="I2747">
        <f>IFERROR(VLOOKUP($A2747,原始数据_利率互换_FR007_1年!$A$6:$C$4395,3,0),"")</f>
        <v>2.8457</v>
      </c>
    </row>
    <row r="2748" spans="1:9">
      <c r="A2748" s="6">
        <v>42241</v>
      </c>
      <c r="B2748">
        <f>IFERROR(VLOOKUP($A2748,原始数据_收盘!$A$4:$G$3460,2,0),"")</f>
        <v>2.5406</v>
      </c>
      <c r="C2748">
        <f>IFERROR(VLOOKUP($A2748,原始数据_收盘!$A$4:$G$3460,3,0),"")</f>
        <v>2.7873</v>
      </c>
      <c r="D2748">
        <f>IFERROR(VLOOKUP($A2748,原始数据_收盘!$A$4:$G$3460,4,0),"")</f>
        <v>2.6</v>
      </c>
      <c r="E2748">
        <f>IFERROR(VLOOKUP($A2748,原始数据_收盘!$A$4:$G$3460,5,0),"")</f>
        <v>2.8473</v>
      </c>
      <c r="F2748">
        <f>IFERROR(VLOOKUP($A2748,原始数据_收盘!$A$4:$G$3460,6,0),"")</f>
        <v>2.5703</v>
      </c>
      <c r="G2748">
        <f>IFERROR(VLOOKUP($A2748,原始数据_收盘!$A$4:$G$3460,7,0),"")</f>
        <v>2.8173</v>
      </c>
      <c r="H2748">
        <f>IFERROR(VLOOKUP($A2748,原始数据_利率互换_FR007_1年!$A$6:$C$4395,2,0),"")</f>
        <v>2.5686</v>
      </c>
      <c r="I2748">
        <f>IFERROR(VLOOKUP($A2748,原始数据_利率互换_FR007_1年!$A$6:$C$4395,3,0),"")</f>
        <v>2.8134</v>
      </c>
    </row>
    <row r="2749" spans="1:9">
      <c r="A2749" s="6">
        <v>42242</v>
      </c>
      <c r="B2749">
        <f>IFERROR(VLOOKUP($A2749,原始数据_收盘!$A$4:$G$3460,2,0),"")</f>
        <v>2.4475</v>
      </c>
      <c r="C2749">
        <f>IFERROR(VLOOKUP($A2749,原始数据_收盘!$A$4:$G$3460,3,0),"")</f>
        <v>2.7525</v>
      </c>
      <c r="D2749">
        <f>IFERROR(VLOOKUP($A2749,原始数据_收盘!$A$4:$G$3460,4,0),"")</f>
        <v>2.4913</v>
      </c>
      <c r="E2749">
        <f>IFERROR(VLOOKUP($A2749,原始数据_收盘!$A$4:$G$3460,5,0),"")</f>
        <v>2.8</v>
      </c>
      <c r="F2749">
        <f>IFERROR(VLOOKUP($A2749,原始数据_收盘!$A$4:$G$3460,6,0),"")</f>
        <v>2.4694</v>
      </c>
      <c r="G2749">
        <f>IFERROR(VLOOKUP($A2749,原始数据_收盘!$A$4:$G$3460,7,0),"")</f>
        <v>2.7763</v>
      </c>
      <c r="H2749">
        <f>IFERROR(VLOOKUP($A2749,原始数据_利率互换_FR007_1年!$A$6:$C$4395,2,0),"")</f>
        <v>2.4839</v>
      </c>
      <c r="I2749">
        <f>IFERROR(VLOOKUP($A2749,原始数据_利率互换_FR007_1年!$A$6:$C$4395,3,0),"")</f>
        <v>2.777</v>
      </c>
    </row>
    <row r="2750" spans="1:9">
      <c r="A2750" s="6">
        <v>42243</v>
      </c>
      <c r="B2750">
        <f>IFERROR(VLOOKUP($A2750,原始数据_收盘!$A$4:$G$3460,2,0),"")</f>
        <v>2.385</v>
      </c>
      <c r="C2750">
        <f>IFERROR(VLOOKUP($A2750,原始数据_收盘!$A$4:$G$3460,3,0),"")</f>
        <v>2.7088</v>
      </c>
      <c r="D2750">
        <f>IFERROR(VLOOKUP($A2750,原始数据_收盘!$A$4:$G$3460,4,0),"")</f>
        <v>2.4416</v>
      </c>
      <c r="E2750">
        <f>IFERROR(VLOOKUP($A2750,原始数据_收盘!$A$4:$G$3460,5,0),"")</f>
        <v>2.7684</v>
      </c>
      <c r="F2750">
        <f>IFERROR(VLOOKUP($A2750,原始数据_收盘!$A$4:$G$3460,6,0),"")</f>
        <v>2.4133</v>
      </c>
      <c r="G2750">
        <f>IFERROR(VLOOKUP($A2750,原始数据_收盘!$A$4:$G$3460,7,0),"")</f>
        <v>2.7386</v>
      </c>
      <c r="H2750">
        <f>IFERROR(VLOOKUP($A2750,原始数据_利率互换_FR007_1年!$A$6:$C$4395,2,0),"")</f>
        <v>2.4101</v>
      </c>
      <c r="I2750">
        <f>IFERROR(VLOOKUP($A2750,原始数据_利率互换_FR007_1年!$A$6:$C$4395,3,0),"")</f>
        <v>2.7478</v>
      </c>
    </row>
    <row r="2751" spans="1:9">
      <c r="A2751" s="6">
        <v>42244</v>
      </c>
      <c r="B2751">
        <f>IFERROR(VLOOKUP($A2751,原始数据_收盘!$A$4:$G$3460,2,0),"")</f>
        <v>2.3966</v>
      </c>
      <c r="C2751">
        <f>IFERROR(VLOOKUP($A2751,原始数据_收盘!$A$4:$G$3460,3,0),"")</f>
        <v>2.7271</v>
      </c>
      <c r="D2751">
        <f>IFERROR(VLOOKUP($A2751,原始数据_收盘!$A$4:$G$3460,4,0),"")</f>
        <v>2.4559</v>
      </c>
      <c r="E2751">
        <f>IFERROR(VLOOKUP($A2751,原始数据_收盘!$A$4:$G$3460,5,0),"")</f>
        <v>2.7954</v>
      </c>
      <c r="F2751">
        <f>IFERROR(VLOOKUP($A2751,原始数据_收盘!$A$4:$G$3460,6,0),"")</f>
        <v>2.4263</v>
      </c>
      <c r="G2751">
        <f>IFERROR(VLOOKUP($A2751,原始数据_收盘!$A$4:$G$3460,7,0),"")</f>
        <v>2.7613</v>
      </c>
      <c r="H2751">
        <f>IFERROR(VLOOKUP($A2751,原始数据_利率互换_FR007_1年!$A$6:$C$4395,2,0),"")</f>
        <v>2.4231</v>
      </c>
      <c r="I2751">
        <f>IFERROR(VLOOKUP($A2751,原始数据_利率互换_FR007_1年!$A$6:$C$4395,3,0),"")</f>
        <v>2.7658</v>
      </c>
    </row>
    <row r="2752" spans="1:9">
      <c r="A2752" s="6">
        <v>42245</v>
      </c>
      <c r="B2752" t="str">
        <f>IFERROR(VLOOKUP($A2752,原始数据_收盘!$A$4:$G$3460,2,0),"")</f>
        <v/>
      </c>
      <c r="C2752" t="str">
        <f>IFERROR(VLOOKUP($A2752,原始数据_收盘!$A$4:$G$3460,3,0),"")</f>
        <v/>
      </c>
      <c r="D2752" t="str">
        <f>IFERROR(VLOOKUP($A2752,原始数据_收盘!$A$4:$G$3460,4,0),"")</f>
        <v/>
      </c>
      <c r="E2752" t="str">
        <f>IFERROR(VLOOKUP($A2752,原始数据_收盘!$A$4:$G$3460,5,0),"")</f>
        <v/>
      </c>
      <c r="F2752" t="str">
        <f>IFERROR(VLOOKUP($A2752,原始数据_收盘!$A$4:$G$3460,6,0),"")</f>
        <v/>
      </c>
      <c r="G2752" t="str">
        <f>IFERROR(VLOOKUP($A2752,原始数据_收盘!$A$4:$G$3460,7,0),"")</f>
        <v/>
      </c>
      <c r="H2752" t="str">
        <f>IFERROR(VLOOKUP($A2752,原始数据_利率互换_FR007_1年!$A$6:$C$4395,2,0),"")</f>
        <v/>
      </c>
      <c r="I2752" t="str">
        <f>IFERROR(VLOOKUP($A2752,原始数据_利率互换_FR007_1年!$A$6:$C$4395,3,0),"")</f>
        <v/>
      </c>
    </row>
    <row r="2753" spans="1:9">
      <c r="A2753" s="6">
        <v>42246</v>
      </c>
      <c r="B2753" t="str">
        <f>IFERROR(VLOOKUP($A2753,原始数据_收盘!$A$4:$G$3460,2,0),"")</f>
        <v/>
      </c>
      <c r="C2753" t="str">
        <f>IFERROR(VLOOKUP($A2753,原始数据_收盘!$A$4:$G$3460,3,0),"")</f>
        <v/>
      </c>
      <c r="D2753" t="str">
        <f>IFERROR(VLOOKUP($A2753,原始数据_收盘!$A$4:$G$3460,4,0),"")</f>
        <v/>
      </c>
      <c r="E2753" t="str">
        <f>IFERROR(VLOOKUP($A2753,原始数据_收盘!$A$4:$G$3460,5,0),"")</f>
        <v/>
      </c>
      <c r="F2753" t="str">
        <f>IFERROR(VLOOKUP($A2753,原始数据_收盘!$A$4:$G$3460,6,0),"")</f>
        <v/>
      </c>
      <c r="G2753" t="str">
        <f>IFERROR(VLOOKUP($A2753,原始数据_收盘!$A$4:$G$3460,7,0),"")</f>
        <v/>
      </c>
      <c r="H2753" t="str">
        <f>IFERROR(VLOOKUP($A2753,原始数据_利率互换_FR007_1年!$A$6:$C$4395,2,0),"")</f>
        <v/>
      </c>
      <c r="I2753" t="str">
        <f>IFERROR(VLOOKUP($A2753,原始数据_利率互换_FR007_1年!$A$6:$C$4395,3,0),"")</f>
        <v/>
      </c>
    </row>
    <row r="2754" spans="1:9">
      <c r="A2754" s="6">
        <v>42247</v>
      </c>
      <c r="B2754">
        <f>IFERROR(VLOOKUP($A2754,原始数据_收盘!$A$4:$G$3460,2,0),"")</f>
        <v>2.395</v>
      </c>
      <c r="C2754">
        <f>IFERROR(VLOOKUP($A2754,原始数据_收盘!$A$4:$G$3460,3,0),"")</f>
        <v>2.7063</v>
      </c>
      <c r="D2754">
        <f>IFERROR(VLOOKUP($A2754,原始数据_收盘!$A$4:$G$3460,4,0),"")</f>
        <v>2.4438</v>
      </c>
      <c r="E2754">
        <f>IFERROR(VLOOKUP($A2754,原始数据_收盘!$A$4:$G$3460,5,0),"")</f>
        <v>2.7613</v>
      </c>
      <c r="F2754">
        <f>IFERROR(VLOOKUP($A2754,原始数据_收盘!$A$4:$G$3460,6,0),"")</f>
        <v>2.4194</v>
      </c>
      <c r="G2754">
        <f>IFERROR(VLOOKUP($A2754,原始数据_收盘!$A$4:$G$3460,7,0),"")</f>
        <v>2.7338</v>
      </c>
      <c r="H2754">
        <f>IFERROR(VLOOKUP($A2754,原始数据_利率互换_FR007_1年!$A$6:$C$4395,2,0),"")</f>
        <v>2.4168</v>
      </c>
      <c r="I2754">
        <f>IFERROR(VLOOKUP($A2754,原始数据_利率互换_FR007_1年!$A$6:$C$4395,3,0),"")</f>
        <v>2.7376</v>
      </c>
    </row>
    <row r="2755" spans="1:9">
      <c r="A2755" s="6">
        <v>42248</v>
      </c>
      <c r="B2755">
        <f>IFERROR(VLOOKUP($A2755,原始数据_收盘!$A$4:$G$3460,2,0),"")</f>
        <v>2.3959</v>
      </c>
      <c r="C2755">
        <f>IFERROR(VLOOKUP($A2755,原始数据_收盘!$A$4:$G$3460,3,0),"")</f>
        <v>2.705</v>
      </c>
      <c r="D2755">
        <f>IFERROR(VLOOKUP($A2755,原始数据_收盘!$A$4:$G$3460,4,0),"")</f>
        <v>2.4488</v>
      </c>
      <c r="E2755">
        <f>IFERROR(VLOOKUP($A2755,原始数据_收盘!$A$4:$G$3460,5,0),"")</f>
        <v>2.7588</v>
      </c>
      <c r="F2755">
        <f>IFERROR(VLOOKUP($A2755,原始数据_收盘!$A$4:$G$3460,6,0),"")</f>
        <v>2.4223</v>
      </c>
      <c r="G2755">
        <f>IFERROR(VLOOKUP($A2755,原始数据_收盘!$A$4:$G$3460,7,0),"")</f>
        <v>2.7319</v>
      </c>
      <c r="H2755">
        <f>IFERROR(VLOOKUP($A2755,原始数据_利率互换_FR007_1年!$A$6:$C$4395,2,0),"")</f>
        <v>2.42</v>
      </c>
      <c r="I2755">
        <f>IFERROR(VLOOKUP($A2755,原始数据_利率互换_FR007_1年!$A$6:$C$4395,3,0),"")</f>
        <v>2.7184</v>
      </c>
    </row>
    <row r="2756" spans="1:9">
      <c r="A2756" s="6">
        <v>42249</v>
      </c>
      <c r="B2756">
        <f>IFERROR(VLOOKUP($A2756,原始数据_收盘!$A$4:$G$3460,2,0),"")</f>
        <v>2.4294</v>
      </c>
      <c r="C2756">
        <f>IFERROR(VLOOKUP($A2756,原始数据_收盘!$A$4:$G$3460,3,0),"")</f>
        <v>2.7188</v>
      </c>
      <c r="D2756">
        <f>IFERROR(VLOOKUP($A2756,原始数据_收盘!$A$4:$G$3460,4,0),"")</f>
        <v>2.4729</v>
      </c>
      <c r="E2756">
        <f>IFERROR(VLOOKUP($A2756,原始数据_收盘!$A$4:$G$3460,5,0),"")</f>
        <v>2.7713</v>
      </c>
      <c r="F2756">
        <f>IFERROR(VLOOKUP($A2756,原始数据_收盘!$A$4:$G$3460,6,0),"")</f>
        <v>2.4511</v>
      </c>
      <c r="G2756">
        <f>IFERROR(VLOOKUP($A2756,原始数据_收盘!$A$4:$G$3460,7,0),"")</f>
        <v>2.745</v>
      </c>
      <c r="H2756">
        <f>IFERROR(VLOOKUP($A2756,原始数据_利率互换_FR007_1年!$A$6:$C$4395,2,0),"")</f>
        <v>2.4395</v>
      </c>
      <c r="I2756">
        <f>IFERROR(VLOOKUP($A2756,原始数据_利率互换_FR007_1年!$A$6:$C$4395,3,0),"")</f>
        <v>2.7386</v>
      </c>
    </row>
    <row r="2757" spans="1:9">
      <c r="A2757" s="6">
        <v>42250</v>
      </c>
      <c r="B2757" t="str">
        <f>IFERROR(VLOOKUP($A2757,原始数据_收盘!$A$4:$G$3460,2,0),"")</f>
        <v/>
      </c>
      <c r="C2757" t="str">
        <f>IFERROR(VLOOKUP($A2757,原始数据_收盘!$A$4:$G$3460,3,0),"")</f>
        <v/>
      </c>
      <c r="D2757" t="str">
        <f>IFERROR(VLOOKUP($A2757,原始数据_收盘!$A$4:$G$3460,4,0),"")</f>
        <v/>
      </c>
      <c r="E2757" t="str">
        <f>IFERROR(VLOOKUP($A2757,原始数据_收盘!$A$4:$G$3460,5,0),"")</f>
        <v/>
      </c>
      <c r="F2757" t="str">
        <f>IFERROR(VLOOKUP($A2757,原始数据_收盘!$A$4:$G$3460,6,0),"")</f>
        <v/>
      </c>
      <c r="G2757" t="str">
        <f>IFERROR(VLOOKUP($A2757,原始数据_收盘!$A$4:$G$3460,7,0),"")</f>
        <v/>
      </c>
      <c r="H2757" t="str">
        <f>IFERROR(VLOOKUP($A2757,原始数据_利率互换_FR007_1年!$A$6:$C$4395,2,0),"")</f>
        <v/>
      </c>
      <c r="I2757" t="str">
        <f>IFERROR(VLOOKUP($A2757,原始数据_利率互换_FR007_1年!$A$6:$C$4395,3,0),"")</f>
        <v/>
      </c>
    </row>
    <row r="2758" spans="1:9">
      <c r="A2758" s="6">
        <v>42251</v>
      </c>
      <c r="B2758" t="str">
        <f>IFERROR(VLOOKUP($A2758,原始数据_收盘!$A$4:$G$3460,2,0),"")</f>
        <v/>
      </c>
      <c r="C2758" t="str">
        <f>IFERROR(VLOOKUP($A2758,原始数据_收盘!$A$4:$G$3460,3,0),"")</f>
        <v/>
      </c>
      <c r="D2758" t="str">
        <f>IFERROR(VLOOKUP($A2758,原始数据_收盘!$A$4:$G$3460,4,0),"")</f>
        <v/>
      </c>
      <c r="E2758" t="str">
        <f>IFERROR(VLOOKUP($A2758,原始数据_收盘!$A$4:$G$3460,5,0),"")</f>
        <v/>
      </c>
      <c r="F2758" t="str">
        <f>IFERROR(VLOOKUP($A2758,原始数据_收盘!$A$4:$G$3460,6,0),"")</f>
        <v/>
      </c>
      <c r="G2758" t="str">
        <f>IFERROR(VLOOKUP($A2758,原始数据_收盘!$A$4:$G$3460,7,0),"")</f>
        <v/>
      </c>
      <c r="H2758" t="str">
        <f>IFERROR(VLOOKUP($A2758,原始数据_利率互换_FR007_1年!$A$6:$C$4395,2,0),"")</f>
        <v/>
      </c>
      <c r="I2758" t="str">
        <f>IFERROR(VLOOKUP($A2758,原始数据_利率互换_FR007_1年!$A$6:$C$4395,3,0),"")</f>
        <v/>
      </c>
    </row>
    <row r="2759" spans="1:9">
      <c r="A2759" s="6">
        <v>42252</v>
      </c>
      <c r="B2759" t="str">
        <f>IFERROR(VLOOKUP($A2759,原始数据_收盘!$A$4:$G$3460,2,0),"")</f>
        <v/>
      </c>
      <c r="C2759" t="str">
        <f>IFERROR(VLOOKUP($A2759,原始数据_收盘!$A$4:$G$3460,3,0),"")</f>
        <v/>
      </c>
      <c r="D2759" t="str">
        <f>IFERROR(VLOOKUP($A2759,原始数据_收盘!$A$4:$G$3460,4,0),"")</f>
        <v/>
      </c>
      <c r="E2759" t="str">
        <f>IFERROR(VLOOKUP($A2759,原始数据_收盘!$A$4:$G$3460,5,0),"")</f>
        <v/>
      </c>
      <c r="F2759" t="str">
        <f>IFERROR(VLOOKUP($A2759,原始数据_收盘!$A$4:$G$3460,6,0),"")</f>
        <v/>
      </c>
      <c r="G2759" t="str">
        <f>IFERROR(VLOOKUP($A2759,原始数据_收盘!$A$4:$G$3460,7,0),"")</f>
        <v/>
      </c>
      <c r="H2759" t="str">
        <f>IFERROR(VLOOKUP($A2759,原始数据_利率互换_FR007_1年!$A$6:$C$4395,2,0),"")</f>
        <v/>
      </c>
      <c r="I2759" t="str">
        <f>IFERROR(VLOOKUP($A2759,原始数据_利率互换_FR007_1年!$A$6:$C$4395,3,0),"")</f>
        <v/>
      </c>
    </row>
    <row r="2760" spans="1:9">
      <c r="A2760" s="6">
        <v>42253</v>
      </c>
      <c r="B2760">
        <f>IFERROR(VLOOKUP($A2760,原始数据_收盘!$A$4:$G$3460,2,0),"")</f>
        <v>2.405</v>
      </c>
      <c r="C2760">
        <f>IFERROR(VLOOKUP($A2760,原始数据_收盘!$A$4:$G$3460,3,0),"")</f>
        <v>2.705</v>
      </c>
      <c r="D2760">
        <f>IFERROR(VLOOKUP($A2760,原始数据_收盘!$A$4:$G$3460,4,0),"")</f>
        <v>2.4613</v>
      </c>
      <c r="E2760">
        <f>IFERROR(VLOOKUP($A2760,原始数据_收盘!$A$4:$G$3460,5,0),"")</f>
        <v>2.7694</v>
      </c>
      <c r="F2760">
        <f>IFERROR(VLOOKUP($A2760,原始数据_收盘!$A$4:$G$3460,6,0),"")</f>
        <v>2.4331</v>
      </c>
      <c r="G2760">
        <f>IFERROR(VLOOKUP($A2760,原始数据_收盘!$A$4:$G$3460,7,0),"")</f>
        <v>2.7372</v>
      </c>
      <c r="H2760">
        <f>IFERROR(VLOOKUP($A2760,原始数据_利率互换_FR007_1年!$A$6:$C$4395,2,0),"")</f>
        <v>2.4445</v>
      </c>
      <c r="I2760">
        <f>IFERROR(VLOOKUP($A2760,原始数据_利率互换_FR007_1年!$A$6:$C$4395,3,0),"")</f>
        <v>2.7425</v>
      </c>
    </row>
    <row r="2761" spans="1:9">
      <c r="A2761" s="6">
        <v>42254</v>
      </c>
      <c r="B2761">
        <f>IFERROR(VLOOKUP($A2761,原始数据_收盘!$A$4:$G$3460,2,0),"")</f>
        <v>2.427</v>
      </c>
      <c r="C2761">
        <f>IFERROR(VLOOKUP($A2761,原始数据_收盘!$A$4:$G$3460,3,0),"")</f>
        <v>2.7395</v>
      </c>
      <c r="D2761">
        <f>IFERROR(VLOOKUP($A2761,原始数据_收盘!$A$4:$G$3460,4,0),"")</f>
        <v>2.487</v>
      </c>
      <c r="E2761">
        <f>IFERROR(VLOOKUP($A2761,原始数据_收盘!$A$4:$G$3460,5,0),"")</f>
        <v>2.799</v>
      </c>
      <c r="F2761">
        <f>IFERROR(VLOOKUP($A2761,原始数据_收盘!$A$4:$G$3460,6,0),"")</f>
        <v>2.457</v>
      </c>
      <c r="G2761">
        <f>IFERROR(VLOOKUP($A2761,原始数据_收盘!$A$4:$G$3460,7,0),"")</f>
        <v>2.7693</v>
      </c>
      <c r="H2761">
        <f>IFERROR(VLOOKUP($A2761,原始数据_利率互换_FR007_1年!$A$6:$C$4395,2,0),"")</f>
        <v>2.4525</v>
      </c>
      <c r="I2761">
        <f>IFERROR(VLOOKUP($A2761,原始数据_利率互换_FR007_1年!$A$6:$C$4395,3,0),"")</f>
        <v>2.7644</v>
      </c>
    </row>
    <row r="2762" spans="1:9">
      <c r="A2762" s="6">
        <v>42255</v>
      </c>
      <c r="B2762">
        <f>IFERROR(VLOOKUP($A2762,原始数据_收盘!$A$4:$G$3460,2,0),"")</f>
        <v>2.4397</v>
      </c>
      <c r="C2762">
        <f>IFERROR(VLOOKUP($A2762,原始数据_收盘!$A$4:$G$3460,3,0),"")</f>
        <v>2.7535</v>
      </c>
      <c r="D2762">
        <f>IFERROR(VLOOKUP($A2762,原始数据_收盘!$A$4:$G$3460,4,0),"")</f>
        <v>2.4918</v>
      </c>
      <c r="E2762">
        <f>IFERROR(VLOOKUP($A2762,原始数据_收盘!$A$4:$G$3460,5,0),"")</f>
        <v>2.8109</v>
      </c>
      <c r="F2762">
        <f>IFERROR(VLOOKUP($A2762,原始数据_收盘!$A$4:$G$3460,6,0),"")</f>
        <v>2.4658</v>
      </c>
      <c r="G2762">
        <f>IFERROR(VLOOKUP($A2762,原始数据_收盘!$A$4:$G$3460,7,0),"")</f>
        <v>2.7822</v>
      </c>
      <c r="H2762">
        <f>IFERROR(VLOOKUP($A2762,原始数据_利率互换_FR007_1年!$A$6:$C$4395,2,0),"")</f>
        <v>2.4677</v>
      </c>
      <c r="I2762">
        <f>IFERROR(VLOOKUP($A2762,原始数据_利率互换_FR007_1年!$A$6:$C$4395,3,0),"")</f>
        <v>2.8016</v>
      </c>
    </row>
    <row r="2763" spans="1:9">
      <c r="A2763" s="6">
        <v>42256</v>
      </c>
      <c r="B2763">
        <f>IFERROR(VLOOKUP($A2763,原始数据_收盘!$A$4:$G$3460,2,0),"")</f>
        <v>2.4367</v>
      </c>
      <c r="C2763">
        <f>IFERROR(VLOOKUP($A2763,原始数据_收盘!$A$4:$G$3460,3,0),"")</f>
        <v>2.767</v>
      </c>
      <c r="D2763">
        <f>IFERROR(VLOOKUP($A2763,原始数据_收盘!$A$4:$G$3460,4,0),"")</f>
        <v>2.492</v>
      </c>
      <c r="E2763">
        <f>IFERROR(VLOOKUP($A2763,原始数据_收盘!$A$4:$G$3460,5,0),"")</f>
        <v>2.827</v>
      </c>
      <c r="F2763">
        <f>IFERROR(VLOOKUP($A2763,原始数据_收盘!$A$4:$G$3460,6,0),"")</f>
        <v>2.4644</v>
      </c>
      <c r="G2763">
        <f>IFERROR(VLOOKUP($A2763,原始数据_收盘!$A$4:$G$3460,7,0),"")</f>
        <v>2.797</v>
      </c>
      <c r="H2763">
        <f>IFERROR(VLOOKUP($A2763,原始数据_利率互换_FR007_1年!$A$6:$C$4395,2,0),"")</f>
        <v>2.466</v>
      </c>
      <c r="I2763">
        <f>IFERROR(VLOOKUP($A2763,原始数据_利率互换_FR007_1年!$A$6:$C$4395,3,0),"")</f>
        <v>2.8005</v>
      </c>
    </row>
    <row r="2764" spans="1:9">
      <c r="A2764" s="6">
        <v>42257</v>
      </c>
      <c r="B2764">
        <f>IFERROR(VLOOKUP($A2764,原始数据_收盘!$A$4:$G$3460,2,0),"")</f>
        <v>2.445</v>
      </c>
      <c r="C2764">
        <f>IFERROR(VLOOKUP($A2764,原始数据_收盘!$A$4:$G$3460,3,0),"")</f>
        <v>2.7775</v>
      </c>
      <c r="D2764">
        <f>IFERROR(VLOOKUP($A2764,原始数据_收盘!$A$4:$G$3460,4,0),"")</f>
        <v>2.4988</v>
      </c>
      <c r="E2764">
        <f>IFERROR(VLOOKUP($A2764,原始数据_收盘!$A$4:$G$3460,5,0),"")</f>
        <v>2.835</v>
      </c>
      <c r="F2764">
        <f>IFERROR(VLOOKUP($A2764,原始数据_收盘!$A$4:$G$3460,6,0),"")</f>
        <v>2.4719</v>
      </c>
      <c r="G2764">
        <f>IFERROR(VLOOKUP($A2764,原始数据_收盘!$A$4:$G$3460,7,0),"")</f>
        <v>2.8063</v>
      </c>
      <c r="H2764">
        <f>IFERROR(VLOOKUP($A2764,原始数据_利率互换_FR007_1年!$A$6:$C$4395,2,0),"")</f>
        <v>2.4755</v>
      </c>
      <c r="I2764">
        <f>IFERROR(VLOOKUP($A2764,原始数据_利率互换_FR007_1年!$A$6:$C$4395,3,0),"")</f>
        <v>2.8272</v>
      </c>
    </row>
    <row r="2765" spans="1:9">
      <c r="A2765" s="6">
        <v>42258</v>
      </c>
      <c r="B2765">
        <f>IFERROR(VLOOKUP($A2765,原始数据_收盘!$A$4:$G$3460,2,0),"")</f>
        <v>2.4329</v>
      </c>
      <c r="C2765">
        <f>IFERROR(VLOOKUP($A2765,原始数据_收盘!$A$4:$G$3460,3,0),"")</f>
        <v>2.7704</v>
      </c>
      <c r="D2765">
        <f>IFERROR(VLOOKUP($A2765,原始数据_收盘!$A$4:$G$3460,4,0),"")</f>
        <v>2.4938</v>
      </c>
      <c r="E2765">
        <f>IFERROR(VLOOKUP($A2765,原始数据_收盘!$A$4:$G$3460,5,0),"")</f>
        <v>2.8375</v>
      </c>
      <c r="F2765">
        <f>IFERROR(VLOOKUP($A2765,原始数据_收盘!$A$4:$G$3460,6,0),"")</f>
        <v>2.4633</v>
      </c>
      <c r="G2765">
        <f>IFERROR(VLOOKUP($A2765,原始数据_收盘!$A$4:$G$3460,7,0),"")</f>
        <v>2.8039</v>
      </c>
      <c r="H2765">
        <f>IFERROR(VLOOKUP($A2765,原始数据_利率互换_FR007_1年!$A$6:$C$4395,2,0),"")</f>
        <v>2.4706</v>
      </c>
      <c r="I2765">
        <f>IFERROR(VLOOKUP($A2765,原始数据_利率互换_FR007_1年!$A$6:$C$4395,3,0),"")</f>
        <v>2.8325</v>
      </c>
    </row>
    <row r="2766" spans="1:9">
      <c r="A2766" s="6">
        <v>42259</v>
      </c>
      <c r="B2766" t="str">
        <f>IFERROR(VLOOKUP($A2766,原始数据_收盘!$A$4:$G$3460,2,0),"")</f>
        <v/>
      </c>
      <c r="C2766" t="str">
        <f>IFERROR(VLOOKUP($A2766,原始数据_收盘!$A$4:$G$3460,3,0),"")</f>
        <v/>
      </c>
      <c r="D2766" t="str">
        <f>IFERROR(VLOOKUP($A2766,原始数据_收盘!$A$4:$G$3460,4,0),"")</f>
        <v/>
      </c>
      <c r="E2766" t="str">
        <f>IFERROR(VLOOKUP($A2766,原始数据_收盘!$A$4:$G$3460,5,0),"")</f>
        <v/>
      </c>
      <c r="F2766" t="str">
        <f>IFERROR(VLOOKUP($A2766,原始数据_收盘!$A$4:$G$3460,6,0),"")</f>
        <v/>
      </c>
      <c r="G2766" t="str">
        <f>IFERROR(VLOOKUP($A2766,原始数据_收盘!$A$4:$G$3460,7,0),"")</f>
        <v/>
      </c>
      <c r="H2766" t="str">
        <f>IFERROR(VLOOKUP($A2766,原始数据_利率互换_FR007_1年!$A$6:$C$4395,2,0),"")</f>
        <v/>
      </c>
      <c r="I2766" t="str">
        <f>IFERROR(VLOOKUP($A2766,原始数据_利率互换_FR007_1年!$A$6:$C$4395,3,0),"")</f>
        <v/>
      </c>
    </row>
    <row r="2767" spans="1:9">
      <c r="A2767" s="6">
        <v>42260</v>
      </c>
      <c r="B2767" t="str">
        <f>IFERROR(VLOOKUP($A2767,原始数据_收盘!$A$4:$G$3460,2,0),"")</f>
        <v/>
      </c>
      <c r="C2767" t="str">
        <f>IFERROR(VLOOKUP($A2767,原始数据_收盘!$A$4:$G$3460,3,0),"")</f>
        <v/>
      </c>
      <c r="D2767" t="str">
        <f>IFERROR(VLOOKUP($A2767,原始数据_收盘!$A$4:$G$3460,4,0),"")</f>
        <v/>
      </c>
      <c r="E2767" t="str">
        <f>IFERROR(VLOOKUP($A2767,原始数据_收盘!$A$4:$G$3460,5,0),"")</f>
        <v/>
      </c>
      <c r="F2767" t="str">
        <f>IFERROR(VLOOKUP($A2767,原始数据_收盘!$A$4:$G$3460,6,0),"")</f>
        <v/>
      </c>
      <c r="G2767" t="str">
        <f>IFERROR(VLOOKUP($A2767,原始数据_收盘!$A$4:$G$3460,7,0),"")</f>
        <v/>
      </c>
      <c r="H2767" t="str">
        <f>IFERROR(VLOOKUP($A2767,原始数据_利率互换_FR007_1年!$A$6:$C$4395,2,0),"")</f>
        <v/>
      </c>
      <c r="I2767" t="str">
        <f>IFERROR(VLOOKUP($A2767,原始数据_利率互换_FR007_1年!$A$6:$C$4395,3,0),"")</f>
        <v/>
      </c>
    </row>
    <row r="2768" spans="1:9">
      <c r="A2768" s="6">
        <v>42261</v>
      </c>
      <c r="B2768">
        <f>IFERROR(VLOOKUP($A2768,原始数据_收盘!$A$4:$G$3460,2,0),"")</f>
        <v>2.4263</v>
      </c>
      <c r="C2768">
        <f>IFERROR(VLOOKUP($A2768,原始数据_收盘!$A$4:$G$3460,3,0),"")</f>
        <v>2.77</v>
      </c>
      <c r="D2768">
        <f>IFERROR(VLOOKUP($A2768,原始数据_收盘!$A$4:$G$3460,4,0),"")</f>
        <v>2.4788</v>
      </c>
      <c r="E2768">
        <f>IFERROR(VLOOKUP($A2768,原始数据_收盘!$A$4:$G$3460,5,0),"")</f>
        <v>2.8263</v>
      </c>
      <c r="F2768">
        <f>IFERROR(VLOOKUP($A2768,原始数据_收盘!$A$4:$G$3460,6,0),"")</f>
        <v>2.4525</v>
      </c>
      <c r="G2768">
        <f>IFERROR(VLOOKUP($A2768,原始数据_收盘!$A$4:$G$3460,7,0),"")</f>
        <v>2.7981</v>
      </c>
      <c r="H2768">
        <f>IFERROR(VLOOKUP($A2768,原始数据_利率互换_FR007_1年!$A$6:$C$4395,2,0),"")</f>
        <v>2.4451</v>
      </c>
      <c r="I2768">
        <f>IFERROR(VLOOKUP($A2768,原始数据_利率互换_FR007_1年!$A$6:$C$4395,3,0),"")</f>
        <v>2.8034</v>
      </c>
    </row>
    <row r="2769" spans="1:9">
      <c r="A2769" s="6">
        <v>42262</v>
      </c>
      <c r="B2769">
        <f>IFERROR(VLOOKUP($A2769,原始数据_收盘!$A$4:$G$3460,2,0),"")</f>
        <v>2.4254</v>
      </c>
      <c r="C2769">
        <f>IFERROR(VLOOKUP($A2769,原始数据_收盘!$A$4:$G$3460,3,0),"")</f>
        <v>2.7596</v>
      </c>
      <c r="D2769">
        <f>IFERROR(VLOOKUP($A2769,原始数据_收盘!$A$4:$G$3460,4,0),"")</f>
        <v>2.4813</v>
      </c>
      <c r="E2769">
        <f>IFERROR(VLOOKUP($A2769,原始数据_收盘!$A$4:$G$3460,5,0),"")</f>
        <v>2.82</v>
      </c>
      <c r="F2769">
        <f>IFERROR(VLOOKUP($A2769,原始数据_收盘!$A$4:$G$3460,6,0),"")</f>
        <v>2.4533</v>
      </c>
      <c r="G2769">
        <f>IFERROR(VLOOKUP($A2769,原始数据_收盘!$A$4:$G$3460,7,0),"")</f>
        <v>2.7898</v>
      </c>
      <c r="H2769">
        <f>IFERROR(VLOOKUP($A2769,原始数据_利率互换_FR007_1年!$A$6:$C$4395,2,0),"")</f>
        <v>2.4572</v>
      </c>
      <c r="I2769">
        <f>IFERROR(VLOOKUP($A2769,原始数据_利率互换_FR007_1年!$A$6:$C$4395,3,0),"")</f>
        <v>2.7973</v>
      </c>
    </row>
    <row r="2770" spans="1:9">
      <c r="A2770" s="6">
        <v>42263</v>
      </c>
      <c r="B2770">
        <f>IFERROR(VLOOKUP($A2770,原始数据_收盘!$A$4:$G$3460,2,0),"")</f>
        <v>2.4357</v>
      </c>
      <c r="C2770">
        <f>IFERROR(VLOOKUP($A2770,原始数据_收盘!$A$4:$G$3460,3,0),"")</f>
        <v>2.767</v>
      </c>
      <c r="D2770">
        <f>IFERROR(VLOOKUP($A2770,原始数据_收盘!$A$4:$G$3460,4,0),"")</f>
        <v>2.491</v>
      </c>
      <c r="E2770">
        <f>IFERROR(VLOOKUP($A2770,原始数据_收盘!$A$4:$G$3460,5,0),"")</f>
        <v>2.832</v>
      </c>
      <c r="F2770">
        <f>IFERROR(VLOOKUP($A2770,原始数据_收盘!$A$4:$G$3460,6,0),"")</f>
        <v>2.4634</v>
      </c>
      <c r="G2770">
        <f>IFERROR(VLOOKUP($A2770,原始数据_收盘!$A$4:$G$3460,7,0),"")</f>
        <v>2.7995</v>
      </c>
      <c r="H2770">
        <f>IFERROR(VLOOKUP($A2770,原始数据_利率互换_FR007_1年!$A$6:$C$4395,2,0),"")</f>
        <v>2.4627</v>
      </c>
      <c r="I2770">
        <f>IFERROR(VLOOKUP($A2770,原始数据_利率互换_FR007_1年!$A$6:$C$4395,3,0),"")</f>
        <v>2.8035</v>
      </c>
    </row>
    <row r="2771" spans="1:9">
      <c r="A2771" s="6">
        <v>42264</v>
      </c>
      <c r="B2771">
        <f>IFERROR(VLOOKUP($A2771,原始数据_收盘!$A$4:$G$3460,2,0),"")</f>
        <v>2.4414</v>
      </c>
      <c r="C2771">
        <f>IFERROR(VLOOKUP($A2771,原始数据_收盘!$A$4:$G$3460,3,0),"")</f>
        <v>2.7814</v>
      </c>
      <c r="D2771">
        <f>IFERROR(VLOOKUP($A2771,原始数据_收盘!$A$4:$G$3460,4,0),"")</f>
        <v>2.4956</v>
      </c>
      <c r="E2771">
        <f>IFERROR(VLOOKUP($A2771,原始数据_收盘!$A$4:$G$3460,5,0),"")</f>
        <v>2.84</v>
      </c>
      <c r="F2771">
        <f>IFERROR(VLOOKUP($A2771,原始数据_收盘!$A$4:$G$3460,6,0),"")</f>
        <v>2.4685</v>
      </c>
      <c r="G2771">
        <f>IFERROR(VLOOKUP($A2771,原始数据_收盘!$A$4:$G$3460,7,0),"")</f>
        <v>2.8107</v>
      </c>
      <c r="H2771">
        <f>IFERROR(VLOOKUP($A2771,原始数据_利率互换_FR007_1年!$A$6:$C$4395,2,0),"")</f>
        <v>2.4876</v>
      </c>
      <c r="I2771">
        <f>IFERROR(VLOOKUP($A2771,原始数据_利率互换_FR007_1年!$A$6:$C$4395,3,0),"")</f>
        <v>2.8225</v>
      </c>
    </row>
    <row r="2772" spans="1:9">
      <c r="A2772" s="6">
        <v>42265</v>
      </c>
      <c r="B2772">
        <f>IFERROR(VLOOKUP($A2772,原始数据_收盘!$A$4:$G$3460,2,0),"")</f>
        <v>2.4425</v>
      </c>
      <c r="C2772">
        <f>IFERROR(VLOOKUP($A2772,原始数据_收盘!$A$4:$G$3460,3,0),"")</f>
        <v>2.7763</v>
      </c>
      <c r="D2772">
        <f>IFERROR(VLOOKUP($A2772,原始数据_收盘!$A$4:$G$3460,4,0),"")</f>
        <v>2.49</v>
      </c>
      <c r="E2772">
        <f>IFERROR(VLOOKUP($A2772,原始数据_收盘!$A$4:$G$3460,5,0),"")</f>
        <v>2.8263</v>
      </c>
      <c r="F2772">
        <f>IFERROR(VLOOKUP($A2772,原始数据_收盘!$A$4:$G$3460,6,0),"")</f>
        <v>2.4663</v>
      </c>
      <c r="G2772">
        <f>IFERROR(VLOOKUP($A2772,原始数据_收盘!$A$4:$G$3460,7,0),"")</f>
        <v>2.8013</v>
      </c>
      <c r="H2772">
        <f>IFERROR(VLOOKUP($A2772,原始数据_利率互换_FR007_1年!$A$6:$C$4395,2,0),"")</f>
        <v>2.46</v>
      </c>
      <c r="I2772">
        <f>IFERROR(VLOOKUP($A2772,原始数据_利率互换_FR007_1年!$A$6:$C$4395,3,0),"")</f>
        <v>2.7979</v>
      </c>
    </row>
    <row r="2773" spans="1:9">
      <c r="A2773" s="6">
        <v>42266</v>
      </c>
      <c r="B2773" t="str">
        <f>IFERROR(VLOOKUP($A2773,原始数据_收盘!$A$4:$G$3460,2,0),"")</f>
        <v/>
      </c>
      <c r="C2773" t="str">
        <f>IFERROR(VLOOKUP($A2773,原始数据_收盘!$A$4:$G$3460,3,0),"")</f>
        <v/>
      </c>
      <c r="D2773" t="str">
        <f>IFERROR(VLOOKUP($A2773,原始数据_收盘!$A$4:$G$3460,4,0),"")</f>
        <v/>
      </c>
      <c r="E2773" t="str">
        <f>IFERROR(VLOOKUP($A2773,原始数据_收盘!$A$4:$G$3460,5,0),"")</f>
        <v/>
      </c>
      <c r="F2773" t="str">
        <f>IFERROR(VLOOKUP($A2773,原始数据_收盘!$A$4:$G$3460,6,0),"")</f>
        <v/>
      </c>
      <c r="G2773" t="str">
        <f>IFERROR(VLOOKUP($A2773,原始数据_收盘!$A$4:$G$3460,7,0),"")</f>
        <v/>
      </c>
      <c r="H2773" t="str">
        <f>IFERROR(VLOOKUP($A2773,原始数据_利率互换_FR007_1年!$A$6:$C$4395,2,0),"")</f>
        <v/>
      </c>
      <c r="I2773" t="str">
        <f>IFERROR(VLOOKUP($A2773,原始数据_利率互换_FR007_1年!$A$6:$C$4395,3,0),"")</f>
        <v/>
      </c>
    </row>
    <row r="2774" spans="1:9">
      <c r="A2774" s="6">
        <v>42267</v>
      </c>
      <c r="B2774" t="str">
        <f>IFERROR(VLOOKUP($A2774,原始数据_收盘!$A$4:$G$3460,2,0),"")</f>
        <v/>
      </c>
      <c r="C2774" t="str">
        <f>IFERROR(VLOOKUP($A2774,原始数据_收盘!$A$4:$G$3460,3,0),"")</f>
        <v/>
      </c>
      <c r="D2774" t="str">
        <f>IFERROR(VLOOKUP($A2774,原始数据_收盘!$A$4:$G$3460,4,0),"")</f>
        <v/>
      </c>
      <c r="E2774" t="str">
        <f>IFERROR(VLOOKUP($A2774,原始数据_收盘!$A$4:$G$3460,5,0),"")</f>
        <v/>
      </c>
      <c r="F2774" t="str">
        <f>IFERROR(VLOOKUP($A2774,原始数据_收盘!$A$4:$G$3460,6,0),"")</f>
        <v/>
      </c>
      <c r="G2774" t="str">
        <f>IFERROR(VLOOKUP($A2774,原始数据_收盘!$A$4:$G$3460,7,0),"")</f>
        <v/>
      </c>
      <c r="H2774" t="str">
        <f>IFERROR(VLOOKUP($A2774,原始数据_利率互换_FR007_1年!$A$6:$C$4395,2,0),"")</f>
        <v/>
      </c>
      <c r="I2774" t="str">
        <f>IFERROR(VLOOKUP($A2774,原始数据_利率互换_FR007_1年!$A$6:$C$4395,3,0),"")</f>
        <v/>
      </c>
    </row>
    <row r="2775" spans="1:9">
      <c r="A2775" s="6">
        <v>42268</v>
      </c>
      <c r="B2775">
        <f>IFERROR(VLOOKUP($A2775,原始数据_收盘!$A$4:$G$3460,2,0),"")</f>
        <v>2.4416</v>
      </c>
      <c r="C2775">
        <f>IFERROR(VLOOKUP($A2775,原始数据_收盘!$A$4:$G$3460,3,0),"")</f>
        <v>2.775</v>
      </c>
      <c r="D2775">
        <f>IFERROR(VLOOKUP($A2775,原始数据_收盘!$A$4:$G$3460,4,0),"")</f>
        <v>2.495</v>
      </c>
      <c r="E2775">
        <f>IFERROR(VLOOKUP($A2775,原始数据_收盘!$A$4:$G$3460,5,0),"")</f>
        <v>2.8338</v>
      </c>
      <c r="F2775">
        <f>IFERROR(VLOOKUP($A2775,原始数据_收盘!$A$4:$G$3460,6,0),"")</f>
        <v>2.4683</v>
      </c>
      <c r="G2775">
        <f>IFERROR(VLOOKUP($A2775,原始数据_收盘!$A$4:$G$3460,7,0),"")</f>
        <v>2.8044</v>
      </c>
      <c r="H2775">
        <f>IFERROR(VLOOKUP($A2775,原始数据_利率互换_FR007_1年!$A$6:$C$4395,2,0),"")</f>
        <v>2.4688</v>
      </c>
      <c r="I2775">
        <f>IFERROR(VLOOKUP($A2775,原始数据_利率互换_FR007_1年!$A$6:$C$4395,3,0),"")</f>
        <v>2.8084</v>
      </c>
    </row>
    <row r="2776" spans="1:9">
      <c r="A2776" s="6">
        <v>42269</v>
      </c>
      <c r="B2776">
        <f>IFERROR(VLOOKUP($A2776,原始数据_收盘!$A$4:$G$3460,2,0),"")</f>
        <v>2.4475</v>
      </c>
      <c r="C2776">
        <f>IFERROR(VLOOKUP($A2776,原始数据_收盘!$A$4:$G$3460,3,0),"")</f>
        <v>2.7779</v>
      </c>
      <c r="D2776">
        <f>IFERROR(VLOOKUP($A2776,原始数据_收盘!$A$4:$G$3460,4,0),"")</f>
        <v>2.4938</v>
      </c>
      <c r="E2776">
        <f>IFERROR(VLOOKUP($A2776,原始数据_收盘!$A$4:$G$3460,5,0),"")</f>
        <v>2.8325</v>
      </c>
      <c r="F2776">
        <f>IFERROR(VLOOKUP($A2776,原始数据_收盘!$A$4:$G$3460,6,0),"")</f>
        <v>2.4706</v>
      </c>
      <c r="G2776">
        <f>IFERROR(VLOOKUP($A2776,原始数据_收盘!$A$4:$G$3460,7,0),"")</f>
        <v>2.8052</v>
      </c>
      <c r="H2776">
        <f>IFERROR(VLOOKUP($A2776,原始数据_利率互换_FR007_1年!$A$6:$C$4395,2,0),"")</f>
        <v>2.4752</v>
      </c>
      <c r="I2776">
        <f>IFERROR(VLOOKUP($A2776,原始数据_利率互换_FR007_1年!$A$6:$C$4395,3,0),"")</f>
        <v>2.8077</v>
      </c>
    </row>
    <row r="2777" spans="1:9">
      <c r="A2777" s="6">
        <v>42270</v>
      </c>
      <c r="B2777">
        <f>IFERROR(VLOOKUP($A2777,原始数据_收盘!$A$4:$G$3460,2,0),"")</f>
        <v>2.4471</v>
      </c>
      <c r="C2777">
        <f>IFERROR(VLOOKUP($A2777,原始数据_收盘!$A$4:$G$3460,3,0),"")</f>
        <v>2.7688</v>
      </c>
      <c r="D2777">
        <f>IFERROR(VLOOKUP($A2777,原始数据_收盘!$A$4:$G$3460,4,0),"")</f>
        <v>2.4975</v>
      </c>
      <c r="E2777">
        <f>IFERROR(VLOOKUP($A2777,原始数据_收盘!$A$4:$G$3460,5,0),"")</f>
        <v>2.8325</v>
      </c>
      <c r="F2777">
        <f>IFERROR(VLOOKUP($A2777,原始数据_收盘!$A$4:$G$3460,6,0),"")</f>
        <v>2.4723</v>
      </c>
      <c r="G2777">
        <f>IFERROR(VLOOKUP($A2777,原始数据_收盘!$A$4:$G$3460,7,0),"")</f>
        <v>2.8006</v>
      </c>
      <c r="H2777">
        <f>IFERROR(VLOOKUP($A2777,原始数据_利率互换_FR007_1年!$A$6:$C$4395,2,0),"")</f>
        <v>2.4837</v>
      </c>
      <c r="I2777">
        <f>IFERROR(VLOOKUP($A2777,原始数据_利率互换_FR007_1年!$A$6:$C$4395,3,0),"")</f>
        <v>2.8011</v>
      </c>
    </row>
    <row r="2778" spans="1:9">
      <c r="A2778" s="6">
        <v>42271</v>
      </c>
      <c r="B2778">
        <f>IFERROR(VLOOKUP($A2778,原始数据_收盘!$A$4:$G$3460,2,0),"")</f>
        <v>2.4497</v>
      </c>
      <c r="C2778">
        <f>IFERROR(VLOOKUP($A2778,原始数据_收盘!$A$4:$G$3460,3,0),"")</f>
        <v>2.7678</v>
      </c>
      <c r="D2778">
        <f>IFERROR(VLOOKUP($A2778,原始数据_收盘!$A$4:$G$3460,4,0),"")</f>
        <v>2.4989</v>
      </c>
      <c r="E2778">
        <f>IFERROR(VLOOKUP($A2778,原始数据_收盘!$A$4:$G$3460,5,0),"")</f>
        <v>2.83</v>
      </c>
      <c r="F2778">
        <f>IFERROR(VLOOKUP($A2778,原始数据_收盘!$A$4:$G$3460,6,0),"")</f>
        <v>2.4743</v>
      </c>
      <c r="G2778">
        <f>IFERROR(VLOOKUP($A2778,原始数据_收盘!$A$4:$G$3460,7,0),"")</f>
        <v>2.7989</v>
      </c>
      <c r="H2778">
        <f>IFERROR(VLOOKUP($A2778,原始数据_利率互换_FR007_1年!$A$6:$C$4395,2,0),"")</f>
        <v>2.4797</v>
      </c>
      <c r="I2778">
        <f>IFERROR(VLOOKUP($A2778,原始数据_利率互换_FR007_1年!$A$6:$C$4395,3,0),"")</f>
        <v>2.7985</v>
      </c>
    </row>
    <row r="2779" spans="1:9">
      <c r="A2779" s="6">
        <v>42272</v>
      </c>
      <c r="B2779">
        <f>IFERROR(VLOOKUP($A2779,原始数据_收盘!$A$4:$G$3460,2,0),"")</f>
        <v>2.4463</v>
      </c>
      <c r="C2779">
        <f>IFERROR(VLOOKUP($A2779,原始数据_收盘!$A$4:$G$3460,3,0),"")</f>
        <v>2.7644</v>
      </c>
      <c r="D2779">
        <f>IFERROR(VLOOKUP($A2779,原始数据_收盘!$A$4:$G$3460,4,0),"")</f>
        <v>2.495</v>
      </c>
      <c r="E2779">
        <f>IFERROR(VLOOKUP($A2779,原始数据_收盘!$A$4:$G$3460,5,0),"")</f>
        <v>2.8225</v>
      </c>
      <c r="F2779">
        <f>IFERROR(VLOOKUP($A2779,原始数据_收盘!$A$4:$G$3460,6,0),"")</f>
        <v>2.4706</v>
      </c>
      <c r="G2779">
        <f>IFERROR(VLOOKUP($A2779,原始数据_收盘!$A$4:$G$3460,7,0),"")</f>
        <v>2.7934</v>
      </c>
      <c r="H2779">
        <f>IFERROR(VLOOKUP($A2779,原始数据_利率互换_FR007_1年!$A$6:$C$4395,2,0),"")</f>
        <v>2.4742</v>
      </c>
      <c r="I2779">
        <f>IFERROR(VLOOKUP($A2779,原始数据_利率互换_FR007_1年!$A$6:$C$4395,3,0),"")</f>
        <v>2.7945</v>
      </c>
    </row>
    <row r="2780" spans="1:9">
      <c r="A2780" s="6">
        <v>42273</v>
      </c>
      <c r="B2780" t="str">
        <f>IFERROR(VLOOKUP($A2780,原始数据_收盘!$A$4:$G$3460,2,0),"")</f>
        <v/>
      </c>
      <c r="C2780" t="str">
        <f>IFERROR(VLOOKUP($A2780,原始数据_收盘!$A$4:$G$3460,3,0),"")</f>
        <v/>
      </c>
      <c r="D2780" t="str">
        <f>IFERROR(VLOOKUP($A2780,原始数据_收盘!$A$4:$G$3460,4,0),"")</f>
        <v/>
      </c>
      <c r="E2780" t="str">
        <f>IFERROR(VLOOKUP($A2780,原始数据_收盘!$A$4:$G$3460,5,0),"")</f>
        <v/>
      </c>
      <c r="F2780" t="str">
        <f>IFERROR(VLOOKUP($A2780,原始数据_收盘!$A$4:$G$3460,6,0),"")</f>
        <v/>
      </c>
      <c r="G2780" t="str">
        <f>IFERROR(VLOOKUP($A2780,原始数据_收盘!$A$4:$G$3460,7,0),"")</f>
        <v/>
      </c>
      <c r="H2780" t="str">
        <f>IFERROR(VLOOKUP($A2780,原始数据_利率互换_FR007_1年!$A$6:$C$4395,2,0),"")</f>
        <v/>
      </c>
      <c r="I2780" t="str">
        <f>IFERROR(VLOOKUP($A2780,原始数据_利率互换_FR007_1年!$A$6:$C$4395,3,0),"")</f>
        <v/>
      </c>
    </row>
    <row r="2781" spans="1:9">
      <c r="A2781" s="6">
        <v>42274</v>
      </c>
      <c r="B2781" t="str">
        <f>IFERROR(VLOOKUP($A2781,原始数据_收盘!$A$4:$G$3460,2,0),"")</f>
        <v/>
      </c>
      <c r="C2781" t="str">
        <f>IFERROR(VLOOKUP($A2781,原始数据_收盘!$A$4:$G$3460,3,0),"")</f>
        <v/>
      </c>
      <c r="D2781" t="str">
        <f>IFERROR(VLOOKUP($A2781,原始数据_收盘!$A$4:$G$3460,4,0),"")</f>
        <v/>
      </c>
      <c r="E2781" t="str">
        <f>IFERROR(VLOOKUP($A2781,原始数据_收盘!$A$4:$G$3460,5,0),"")</f>
        <v/>
      </c>
      <c r="F2781" t="str">
        <f>IFERROR(VLOOKUP($A2781,原始数据_收盘!$A$4:$G$3460,6,0),"")</f>
        <v/>
      </c>
      <c r="G2781" t="str">
        <f>IFERROR(VLOOKUP($A2781,原始数据_收盘!$A$4:$G$3460,7,0),"")</f>
        <v/>
      </c>
      <c r="H2781" t="str">
        <f>IFERROR(VLOOKUP($A2781,原始数据_利率互换_FR007_1年!$A$6:$C$4395,2,0),"")</f>
        <v/>
      </c>
      <c r="I2781" t="str">
        <f>IFERROR(VLOOKUP($A2781,原始数据_利率互换_FR007_1年!$A$6:$C$4395,3,0),"")</f>
        <v/>
      </c>
    </row>
    <row r="2782" spans="1:9">
      <c r="A2782" s="6">
        <v>42275</v>
      </c>
      <c r="B2782">
        <f>IFERROR(VLOOKUP($A2782,原始数据_收盘!$A$4:$G$3460,2,0),"")</f>
        <v>2.4409</v>
      </c>
      <c r="C2782">
        <f>IFERROR(VLOOKUP($A2782,原始数据_收盘!$A$4:$G$3460,3,0),"")</f>
        <v>2.76</v>
      </c>
      <c r="D2782">
        <f>IFERROR(VLOOKUP($A2782,原始数据_收盘!$A$4:$G$3460,4,0),"")</f>
        <v>2.4988</v>
      </c>
      <c r="E2782">
        <f>IFERROR(VLOOKUP($A2782,原始数据_收盘!$A$4:$G$3460,5,0),"")</f>
        <v>2.8213</v>
      </c>
      <c r="F2782">
        <f>IFERROR(VLOOKUP($A2782,原始数据_收盘!$A$4:$G$3460,6,0),"")</f>
        <v>2.4698</v>
      </c>
      <c r="G2782">
        <f>IFERROR(VLOOKUP($A2782,原始数据_收盘!$A$4:$G$3460,7,0),"")</f>
        <v>2.7906</v>
      </c>
      <c r="H2782">
        <f>IFERROR(VLOOKUP($A2782,原始数据_利率互换_FR007_1年!$A$6:$C$4395,2,0),"")</f>
        <v>2.4708</v>
      </c>
      <c r="I2782">
        <f>IFERROR(VLOOKUP($A2782,原始数据_利率互换_FR007_1年!$A$6:$C$4395,3,0),"")</f>
        <v>2.7885</v>
      </c>
    </row>
    <row r="2783" spans="1:9">
      <c r="A2783" s="6">
        <v>42276</v>
      </c>
      <c r="B2783">
        <f>IFERROR(VLOOKUP($A2783,原始数据_收盘!$A$4:$G$3460,2,0),"")</f>
        <v>2.4321</v>
      </c>
      <c r="C2783">
        <f>IFERROR(VLOOKUP($A2783,原始数据_收盘!$A$4:$G$3460,3,0),"")</f>
        <v>2.7288</v>
      </c>
      <c r="D2783">
        <f>IFERROR(VLOOKUP($A2783,原始数据_收盘!$A$4:$G$3460,4,0),"")</f>
        <v>2.4879</v>
      </c>
      <c r="E2783">
        <f>IFERROR(VLOOKUP($A2783,原始数据_收盘!$A$4:$G$3460,5,0),"")</f>
        <v>2.7925</v>
      </c>
      <c r="F2783">
        <f>IFERROR(VLOOKUP($A2783,原始数据_收盘!$A$4:$G$3460,6,0),"")</f>
        <v>2.46</v>
      </c>
      <c r="G2783">
        <f>IFERROR(VLOOKUP($A2783,原始数据_收盘!$A$4:$G$3460,7,0),"")</f>
        <v>2.7606</v>
      </c>
      <c r="H2783">
        <f>IFERROR(VLOOKUP($A2783,原始数据_利率互换_FR007_1年!$A$6:$C$4395,2,0),"")</f>
        <v>2.4588</v>
      </c>
      <c r="I2783">
        <f>IFERROR(VLOOKUP($A2783,原始数据_利率互换_FR007_1年!$A$6:$C$4395,3,0),"")</f>
        <v>2.7579</v>
      </c>
    </row>
    <row r="2784" spans="1:9">
      <c r="A2784" s="6">
        <v>42277</v>
      </c>
      <c r="B2784">
        <f>IFERROR(VLOOKUP($A2784,原始数据_收盘!$A$4:$G$3460,2,0),"")</f>
        <v>2.435</v>
      </c>
      <c r="C2784">
        <f>IFERROR(VLOOKUP($A2784,原始数据_收盘!$A$4:$G$3460,3,0),"")</f>
        <v>2.7388</v>
      </c>
      <c r="D2784">
        <f>IFERROR(VLOOKUP($A2784,原始数据_收盘!$A$4:$G$3460,4,0),"")</f>
        <v>2.49</v>
      </c>
      <c r="E2784">
        <f>IFERROR(VLOOKUP($A2784,原始数据_收盘!$A$4:$G$3460,5,0),"")</f>
        <v>2.7971</v>
      </c>
      <c r="F2784">
        <f>IFERROR(VLOOKUP($A2784,原始数据_收盘!$A$4:$G$3460,6,0),"")</f>
        <v>2.4625</v>
      </c>
      <c r="G2784">
        <f>IFERROR(VLOOKUP($A2784,原始数据_收盘!$A$4:$G$3460,7,0),"")</f>
        <v>2.7679</v>
      </c>
      <c r="H2784">
        <f>IFERROR(VLOOKUP($A2784,原始数据_利率互换_FR007_1年!$A$6:$C$4395,2,0),"")</f>
        <v>2.4573</v>
      </c>
      <c r="I2784">
        <f>IFERROR(VLOOKUP($A2784,原始数据_利率互换_FR007_1年!$A$6:$C$4395,3,0),"")</f>
        <v>2.7695</v>
      </c>
    </row>
    <row r="2785" spans="1:9">
      <c r="A2785" s="6">
        <v>42278</v>
      </c>
      <c r="B2785" t="str">
        <f>IFERROR(VLOOKUP($A2785,原始数据_收盘!$A$4:$G$3460,2,0),"")</f>
        <v/>
      </c>
      <c r="C2785" t="str">
        <f>IFERROR(VLOOKUP($A2785,原始数据_收盘!$A$4:$G$3460,3,0),"")</f>
        <v/>
      </c>
      <c r="D2785" t="str">
        <f>IFERROR(VLOOKUP($A2785,原始数据_收盘!$A$4:$G$3460,4,0),"")</f>
        <v/>
      </c>
      <c r="E2785" t="str">
        <f>IFERROR(VLOOKUP($A2785,原始数据_收盘!$A$4:$G$3460,5,0),"")</f>
        <v/>
      </c>
      <c r="F2785" t="str">
        <f>IFERROR(VLOOKUP($A2785,原始数据_收盘!$A$4:$G$3460,6,0),"")</f>
        <v/>
      </c>
      <c r="G2785" t="str">
        <f>IFERROR(VLOOKUP($A2785,原始数据_收盘!$A$4:$G$3460,7,0),"")</f>
        <v/>
      </c>
      <c r="H2785" t="str">
        <f>IFERROR(VLOOKUP($A2785,原始数据_利率互换_FR007_1年!$A$6:$C$4395,2,0),"")</f>
        <v/>
      </c>
      <c r="I2785" t="str">
        <f>IFERROR(VLOOKUP($A2785,原始数据_利率互换_FR007_1年!$A$6:$C$4395,3,0),"")</f>
        <v/>
      </c>
    </row>
    <row r="2786" spans="1:9">
      <c r="A2786" s="6">
        <v>42279</v>
      </c>
      <c r="B2786" t="str">
        <f>IFERROR(VLOOKUP($A2786,原始数据_收盘!$A$4:$G$3460,2,0),"")</f>
        <v/>
      </c>
      <c r="C2786" t="str">
        <f>IFERROR(VLOOKUP($A2786,原始数据_收盘!$A$4:$G$3460,3,0),"")</f>
        <v/>
      </c>
      <c r="D2786" t="str">
        <f>IFERROR(VLOOKUP($A2786,原始数据_收盘!$A$4:$G$3460,4,0),"")</f>
        <v/>
      </c>
      <c r="E2786" t="str">
        <f>IFERROR(VLOOKUP($A2786,原始数据_收盘!$A$4:$G$3460,5,0),"")</f>
        <v/>
      </c>
      <c r="F2786" t="str">
        <f>IFERROR(VLOOKUP($A2786,原始数据_收盘!$A$4:$G$3460,6,0),"")</f>
        <v/>
      </c>
      <c r="G2786" t="str">
        <f>IFERROR(VLOOKUP($A2786,原始数据_收盘!$A$4:$G$3460,7,0),"")</f>
        <v/>
      </c>
      <c r="H2786" t="str">
        <f>IFERROR(VLOOKUP($A2786,原始数据_利率互换_FR007_1年!$A$6:$C$4395,2,0),"")</f>
        <v/>
      </c>
      <c r="I2786" t="str">
        <f>IFERROR(VLOOKUP($A2786,原始数据_利率互换_FR007_1年!$A$6:$C$4395,3,0),"")</f>
        <v/>
      </c>
    </row>
    <row r="2787" spans="1:9">
      <c r="A2787" s="6">
        <v>42280</v>
      </c>
      <c r="B2787" t="str">
        <f>IFERROR(VLOOKUP($A2787,原始数据_收盘!$A$4:$G$3460,2,0),"")</f>
        <v/>
      </c>
      <c r="C2787" t="str">
        <f>IFERROR(VLOOKUP($A2787,原始数据_收盘!$A$4:$G$3460,3,0),"")</f>
        <v/>
      </c>
      <c r="D2787" t="str">
        <f>IFERROR(VLOOKUP($A2787,原始数据_收盘!$A$4:$G$3460,4,0),"")</f>
        <v/>
      </c>
      <c r="E2787" t="str">
        <f>IFERROR(VLOOKUP($A2787,原始数据_收盘!$A$4:$G$3460,5,0),"")</f>
        <v/>
      </c>
      <c r="F2787" t="str">
        <f>IFERROR(VLOOKUP($A2787,原始数据_收盘!$A$4:$G$3460,6,0),"")</f>
        <v/>
      </c>
      <c r="G2787" t="str">
        <f>IFERROR(VLOOKUP($A2787,原始数据_收盘!$A$4:$G$3460,7,0),"")</f>
        <v/>
      </c>
      <c r="H2787" t="str">
        <f>IFERROR(VLOOKUP($A2787,原始数据_利率互换_FR007_1年!$A$6:$C$4395,2,0),"")</f>
        <v/>
      </c>
      <c r="I2787" t="str">
        <f>IFERROR(VLOOKUP($A2787,原始数据_利率互换_FR007_1年!$A$6:$C$4395,3,0),"")</f>
        <v/>
      </c>
    </row>
    <row r="2788" spans="1:9">
      <c r="A2788" s="6">
        <v>42281</v>
      </c>
      <c r="B2788" t="str">
        <f>IFERROR(VLOOKUP($A2788,原始数据_收盘!$A$4:$G$3460,2,0),"")</f>
        <v/>
      </c>
      <c r="C2788" t="str">
        <f>IFERROR(VLOOKUP($A2788,原始数据_收盘!$A$4:$G$3460,3,0),"")</f>
        <v/>
      </c>
      <c r="D2788" t="str">
        <f>IFERROR(VLOOKUP($A2788,原始数据_收盘!$A$4:$G$3460,4,0),"")</f>
        <v/>
      </c>
      <c r="E2788" t="str">
        <f>IFERROR(VLOOKUP($A2788,原始数据_收盘!$A$4:$G$3460,5,0),"")</f>
        <v/>
      </c>
      <c r="F2788" t="str">
        <f>IFERROR(VLOOKUP($A2788,原始数据_收盘!$A$4:$G$3460,6,0),"")</f>
        <v/>
      </c>
      <c r="G2788" t="str">
        <f>IFERROR(VLOOKUP($A2788,原始数据_收盘!$A$4:$G$3460,7,0),"")</f>
        <v/>
      </c>
      <c r="H2788" t="str">
        <f>IFERROR(VLOOKUP($A2788,原始数据_利率互换_FR007_1年!$A$6:$C$4395,2,0),"")</f>
        <v/>
      </c>
      <c r="I2788" t="str">
        <f>IFERROR(VLOOKUP($A2788,原始数据_利率互换_FR007_1年!$A$6:$C$4395,3,0),"")</f>
        <v/>
      </c>
    </row>
    <row r="2789" spans="1:9">
      <c r="A2789" s="6">
        <v>42282</v>
      </c>
      <c r="B2789" t="str">
        <f>IFERROR(VLOOKUP($A2789,原始数据_收盘!$A$4:$G$3460,2,0),"")</f>
        <v/>
      </c>
      <c r="C2789" t="str">
        <f>IFERROR(VLOOKUP($A2789,原始数据_收盘!$A$4:$G$3460,3,0),"")</f>
        <v/>
      </c>
      <c r="D2789" t="str">
        <f>IFERROR(VLOOKUP($A2789,原始数据_收盘!$A$4:$G$3460,4,0),"")</f>
        <v/>
      </c>
      <c r="E2789" t="str">
        <f>IFERROR(VLOOKUP($A2789,原始数据_收盘!$A$4:$G$3460,5,0),"")</f>
        <v/>
      </c>
      <c r="F2789" t="str">
        <f>IFERROR(VLOOKUP($A2789,原始数据_收盘!$A$4:$G$3460,6,0),"")</f>
        <v/>
      </c>
      <c r="G2789" t="str">
        <f>IFERROR(VLOOKUP($A2789,原始数据_收盘!$A$4:$G$3460,7,0),"")</f>
        <v/>
      </c>
      <c r="H2789" t="str">
        <f>IFERROR(VLOOKUP($A2789,原始数据_利率互换_FR007_1年!$A$6:$C$4395,2,0),"")</f>
        <v/>
      </c>
      <c r="I2789" t="str">
        <f>IFERROR(VLOOKUP($A2789,原始数据_利率互换_FR007_1年!$A$6:$C$4395,3,0),"")</f>
        <v/>
      </c>
    </row>
    <row r="2790" spans="1:9">
      <c r="A2790" s="6">
        <v>42283</v>
      </c>
      <c r="B2790" t="str">
        <f>IFERROR(VLOOKUP($A2790,原始数据_收盘!$A$4:$G$3460,2,0),"")</f>
        <v/>
      </c>
      <c r="C2790" t="str">
        <f>IFERROR(VLOOKUP($A2790,原始数据_收盘!$A$4:$G$3460,3,0),"")</f>
        <v/>
      </c>
      <c r="D2790" t="str">
        <f>IFERROR(VLOOKUP($A2790,原始数据_收盘!$A$4:$G$3460,4,0),"")</f>
        <v/>
      </c>
      <c r="E2790" t="str">
        <f>IFERROR(VLOOKUP($A2790,原始数据_收盘!$A$4:$G$3460,5,0),"")</f>
        <v/>
      </c>
      <c r="F2790" t="str">
        <f>IFERROR(VLOOKUP($A2790,原始数据_收盘!$A$4:$G$3460,6,0),"")</f>
        <v/>
      </c>
      <c r="G2790" t="str">
        <f>IFERROR(VLOOKUP($A2790,原始数据_收盘!$A$4:$G$3460,7,0),"")</f>
        <v/>
      </c>
      <c r="H2790" t="str">
        <f>IFERROR(VLOOKUP($A2790,原始数据_利率互换_FR007_1年!$A$6:$C$4395,2,0),"")</f>
        <v/>
      </c>
      <c r="I2790" t="str">
        <f>IFERROR(VLOOKUP($A2790,原始数据_利率互换_FR007_1年!$A$6:$C$4395,3,0),"")</f>
        <v/>
      </c>
    </row>
    <row r="2791" spans="1:9">
      <c r="A2791" s="6">
        <v>42284</v>
      </c>
      <c r="B2791" t="str">
        <f>IFERROR(VLOOKUP($A2791,原始数据_收盘!$A$4:$G$3460,2,0),"")</f>
        <v/>
      </c>
      <c r="C2791" t="str">
        <f>IFERROR(VLOOKUP($A2791,原始数据_收盘!$A$4:$G$3460,3,0),"")</f>
        <v/>
      </c>
      <c r="D2791" t="str">
        <f>IFERROR(VLOOKUP($A2791,原始数据_收盘!$A$4:$G$3460,4,0),"")</f>
        <v/>
      </c>
      <c r="E2791" t="str">
        <f>IFERROR(VLOOKUP($A2791,原始数据_收盘!$A$4:$G$3460,5,0),"")</f>
        <v/>
      </c>
      <c r="F2791" t="str">
        <f>IFERROR(VLOOKUP($A2791,原始数据_收盘!$A$4:$G$3460,6,0),"")</f>
        <v/>
      </c>
      <c r="G2791" t="str">
        <f>IFERROR(VLOOKUP($A2791,原始数据_收盘!$A$4:$G$3460,7,0),"")</f>
        <v/>
      </c>
      <c r="H2791" t="str">
        <f>IFERROR(VLOOKUP($A2791,原始数据_利率互换_FR007_1年!$A$6:$C$4395,2,0),"")</f>
        <v/>
      </c>
      <c r="I2791" t="str">
        <f>IFERROR(VLOOKUP($A2791,原始数据_利率互换_FR007_1年!$A$6:$C$4395,3,0),"")</f>
        <v/>
      </c>
    </row>
    <row r="2792" spans="1:9">
      <c r="A2792" s="6">
        <v>42285</v>
      </c>
      <c r="B2792">
        <f>IFERROR(VLOOKUP($A2792,原始数据_收盘!$A$4:$G$3460,2,0),"")</f>
        <v>2.435</v>
      </c>
      <c r="C2792">
        <f>IFERROR(VLOOKUP($A2792,原始数据_收盘!$A$4:$G$3460,3,0),"")</f>
        <v>2.7438</v>
      </c>
      <c r="D2792">
        <f>IFERROR(VLOOKUP($A2792,原始数据_收盘!$A$4:$G$3460,4,0),"")</f>
        <v>2.49</v>
      </c>
      <c r="E2792">
        <f>IFERROR(VLOOKUP($A2792,原始数据_收盘!$A$4:$G$3460,5,0),"")</f>
        <v>2.8025</v>
      </c>
      <c r="F2792">
        <f>IFERROR(VLOOKUP($A2792,原始数据_收盘!$A$4:$G$3460,6,0),"")</f>
        <v>2.4625</v>
      </c>
      <c r="G2792">
        <f>IFERROR(VLOOKUP($A2792,原始数据_收盘!$A$4:$G$3460,7,0),"")</f>
        <v>2.7731</v>
      </c>
      <c r="H2792">
        <f>IFERROR(VLOOKUP($A2792,原始数据_利率互换_FR007_1年!$A$6:$C$4395,2,0),"")</f>
        <v>2.4576</v>
      </c>
      <c r="I2792">
        <f>IFERROR(VLOOKUP($A2792,原始数据_利率互换_FR007_1年!$A$6:$C$4395,3,0),"")</f>
        <v>2.7679</v>
      </c>
    </row>
    <row r="2793" spans="1:9">
      <c r="A2793" s="6">
        <v>42286</v>
      </c>
      <c r="B2793">
        <f>IFERROR(VLOOKUP($A2793,原始数据_收盘!$A$4:$G$3460,2,0),"")</f>
        <v>2.4363</v>
      </c>
      <c r="C2793">
        <f>IFERROR(VLOOKUP($A2793,原始数据_收盘!$A$4:$G$3460,3,0),"")</f>
        <v>2.74</v>
      </c>
      <c r="D2793">
        <f>IFERROR(VLOOKUP($A2793,原始数据_收盘!$A$4:$G$3460,4,0),"")</f>
        <v>2.4941</v>
      </c>
      <c r="E2793">
        <f>IFERROR(VLOOKUP($A2793,原始数据_收盘!$A$4:$G$3460,5,0),"")</f>
        <v>2.8013</v>
      </c>
      <c r="F2793">
        <f>IFERROR(VLOOKUP($A2793,原始数据_收盘!$A$4:$G$3460,6,0),"")</f>
        <v>2.4652</v>
      </c>
      <c r="G2793">
        <f>IFERROR(VLOOKUP($A2793,原始数据_收盘!$A$4:$G$3460,7,0),"")</f>
        <v>2.7706</v>
      </c>
      <c r="H2793">
        <f>IFERROR(VLOOKUP($A2793,原始数据_利率互换_FR007_1年!$A$6:$C$4395,2,0),"")</f>
        <v>2.4642</v>
      </c>
      <c r="I2793">
        <f>IFERROR(VLOOKUP($A2793,原始数据_利率互换_FR007_1年!$A$6:$C$4395,3,0),"")</f>
        <v>2.769</v>
      </c>
    </row>
    <row r="2794" spans="1:9">
      <c r="A2794" s="6">
        <v>42287</v>
      </c>
      <c r="B2794">
        <f>IFERROR(VLOOKUP($A2794,原始数据_收盘!$A$4:$G$3460,2,0),"")</f>
        <v>2.435</v>
      </c>
      <c r="C2794">
        <f>IFERROR(VLOOKUP($A2794,原始数据_收盘!$A$4:$G$3460,3,0),"")</f>
        <v>2.7375</v>
      </c>
      <c r="D2794">
        <f>IFERROR(VLOOKUP($A2794,原始数据_收盘!$A$4:$G$3460,4,0),"")</f>
        <v>2.4925</v>
      </c>
      <c r="E2794">
        <f>IFERROR(VLOOKUP($A2794,原始数据_收盘!$A$4:$G$3460,5,0),"")</f>
        <v>2.8009</v>
      </c>
      <c r="F2794">
        <f>IFERROR(VLOOKUP($A2794,原始数据_收盘!$A$4:$G$3460,6,0),"")</f>
        <v>2.4638</v>
      </c>
      <c r="G2794">
        <f>IFERROR(VLOOKUP($A2794,原始数据_收盘!$A$4:$G$3460,7,0),"")</f>
        <v>2.7692</v>
      </c>
      <c r="H2794">
        <f>IFERROR(VLOOKUP($A2794,原始数据_利率互换_FR007_1年!$A$6:$C$4395,2,0),"")</f>
        <v>2.4576</v>
      </c>
      <c r="I2794">
        <f>IFERROR(VLOOKUP($A2794,原始数据_利率互换_FR007_1年!$A$6:$C$4395,3,0),"")</f>
        <v>2.75</v>
      </c>
    </row>
    <row r="2795" spans="1:9">
      <c r="A2795" s="6">
        <v>42288</v>
      </c>
      <c r="B2795" t="str">
        <f>IFERROR(VLOOKUP($A2795,原始数据_收盘!$A$4:$G$3460,2,0),"")</f>
        <v/>
      </c>
      <c r="C2795" t="str">
        <f>IFERROR(VLOOKUP($A2795,原始数据_收盘!$A$4:$G$3460,3,0),"")</f>
        <v/>
      </c>
      <c r="D2795" t="str">
        <f>IFERROR(VLOOKUP($A2795,原始数据_收盘!$A$4:$G$3460,4,0),"")</f>
        <v/>
      </c>
      <c r="E2795" t="str">
        <f>IFERROR(VLOOKUP($A2795,原始数据_收盘!$A$4:$G$3460,5,0),"")</f>
        <v/>
      </c>
      <c r="F2795" t="str">
        <f>IFERROR(VLOOKUP($A2795,原始数据_收盘!$A$4:$G$3460,6,0),"")</f>
        <v/>
      </c>
      <c r="G2795" t="str">
        <f>IFERROR(VLOOKUP($A2795,原始数据_收盘!$A$4:$G$3460,7,0),"")</f>
        <v/>
      </c>
      <c r="H2795" t="str">
        <f>IFERROR(VLOOKUP($A2795,原始数据_利率互换_FR007_1年!$A$6:$C$4395,2,0),"")</f>
        <v/>
      </c>
      <c r="I2795" t="str">
        <f>IFERROR(VLOOKUP($A2795,原始数据_利率互换_FR007_1年!$A$6:$C$4395,3,0),"")</f>
        <v/>
      </c>
    </row>
    <row r="2796" spans="1:9">
      <c r="A2796" s="6">
        <v>42289</v>
      </c>
      <c r="B2796">
        <f>IFERROR(VLOOKUP($A2796,原始数据_收盘!$A$4:$G$3460,2,0),"")</f>
        <v>2.4225</v>
      </c>
      <c r="C2796">
        <f>IFERROR(VLOOKUP($A2796,原始数据_收盘!$A$4:$G$3460,3,0),"")</f>
        <v>2.7163</v>
      </c>
      <c r="D2796">
        <f>IFERROR(VLOOKUP($A2796,原始数据_收盘!$A$4:$G$3460,4,0),"")</f>
        <v>2.4766</v>
      </c>
      <c r="E2796">
        <f>IFERROR(VLOOKUP($A2796,原始数据_收盘!$A$4:$G$3460,5,0),"")</f>
        <v>2.7813</v>
      </c>
      <c r="F2796">
        <f>IFERROR(VLOOKUP($A2796,原始数据_收盘!$A$4:$G$3460,6,0),"")</f>
        <v>2.4496</v>
      </c>
      <c r="G2796">
        <f>IFERROR(VLOOKUP($A2796,原始数据_收盘!$A$4:$G$3460,7,0),"")</f>
        <v>2.7488</v>
      </c>
      <c r="H2796">
        <f>IFERROR(VLOOKUP($A2796,原始数据_利率互换_FR007_1年!$A$6:$C$4395,2,0),"")</f>
        <v>2.434</v>
      </c>
      <c r="I2796">
        <f>IFERROR(VLOOKUP($A2796,原始数据_利率互换_FR007_1年!$A$6:$C$4395,3,0),"")</f>
        <v>2.7383</v>
      </c>
    </row>
    <row r="2797" spans="1:9">
      <c r="A2797" s="6">
        <v>42290</v>
      </c>
      <c r="B2797">
        <f>IFERROR(VLOOKUP($A2797,原始数据_收盘!$A$4:$G$3460,2,0),"")</f>
        <v>2.3975</v>
      </c>
      <c r="C2797">
        <f>IFERROR(VLOOKUP($A2797,原始数据_收盘!$A$4:$G$3460,3,0),"")</f>
        <v>2.6791</v>
      </c>
      <c r="D2797">
        <f>IFERROR(VLOOKUP($A2797,原始数据_收盘!$A$4:$G$3460,4,0),"")</f>
        <v>2.4546</v>
      </c>
      <c r="E2797">
        <f>IFERROR(VLOOKUP($A2797,原始数据_收盘!$A$4:$G$3460,5,0),"")</f>
        <v>2.7454</v>
      </c>
      <c r="F2797">
        <f>IFERROR(VLOOKUP($A2797,原始数据_收盘!$A$4:$G$3460,6,0),"")</f>
        <v>2.4261</v>
      </c>
      <c r="G2797">
        <f>IFERROR(VLOOKUP($A2797,原始数据_收盘!$A$4:$G$3460,7,0),"")</f>
        <v>2.7123</v>
      </c>
      <c r="H2797">
        <f>IFERROR(VLOOKUP($A2797,原始数据_利率互换_FR007_1年!$A$6:$C$4395,2,0),"")</f>
        <v>2.4298</v>
      </c>
      <c r="I2797">
        <f>IFERROR(VLOOKUP($A2797,原始数据_利率互换_FR007_1年!$A$6:$C$4395,3,0),"")</f>
        <v>2.7267</v>
      </c>
    </row>
    <row r="2798" spans="1:9">
      <c r="A2798" s="6">
        <v>42291</v>
      </c>
      <c r="B2798">
        <f>IFERROR(VLOOKUP($A2798,原始数据_收盘!$A$4:$G$3460,2,0),"")</f>
        <v>2.3841</v>
      </c>
      <c r="C2798">
        <f>IFERROR(VLOOKUP($A2798,原始数据_收盘!$A$4:$G$3460,3,0),"")</f>
        <v>2.6588</v>
      </c>
      <c r="D2798">
        <f>IFERROR(VLOOKUP($A2798,原始数据_收盘!$A$4:$G$3460,4,0),"")</f>
        <v>2.4388</v>
      </c>
      <c r="E2798">
        <f>IFERROR(VLOOKUP($A2798,原始数据_收盘!$A$4:$G$3460,5,0),"")</f>
        <v>2.7221</v>
      </c>
      <c r="F2798">
        <f>IFERROR(VLOOKUP($A2798,原始数据_收盘!$A$4:$G$3460,6,0),"")</f>
        <v>2.4114</v>
      </c>
      <c r="G2798">
        <f>IFERROR(VLOOKUP($A2798,原始数据_收盘!$A$4:$G$3460,7,0),"")</f>
        <v>2.6904</v>
      </c>
      <c r="H2798">
        <f>IFERROR(VLOOKUP($A2798,原始数据_利率互换_FR007_1年!$A$6:$C$4395,2,0),"")</f>
        <v>2.4007</v>
      </c>
      <c r="I2798">
        <f>IFERROR(VLOOKUP($A2798,原始数据_利率互换_FR007_1年!$A$6:$C$4395,3,0),"")</f>
        <v>2.6795</v>
      </c>
    </row>
    <row r="2799" spans="1:9">
      <c r="A2799" s="6">
        <v>42292</v>
      </c>
      <c r="B2799">
        <f>IFERROR(VLOOKUP($A2799,原始数据_收盘!$A$4:$G$3460,2,0),"")</f>
        <v>2.3988</v>
      </c>
      <c r="C2799">
        <f>IFERROR(VLOOKUP($A2799,原始数据_收盘!$A$4:$G$3460,3,0),"")</f>
        <v>2.6738</v>
      </c>
      <c r="D2799">
        <f>IFERROR(VLOOKUP($A2799,原始数据_收盘!$A$4:$G$3460,4,0),"")</f>
        <v>2.4516</v>
      </c>
      <c r="E2799">
        <f>IFERROR(VLOOKUP($A2799,原始数据_收盘!$A$4:$G$3460,5,0),"")</f>
        <v>2.7325</v>
      </c>
      <c r="F2799">
        <f>IFERROR(VLOOKUP($A2799,原始数据_收盘!$A$4:$G$3460,6,0),"")</f>
        <v>2.4252</v>
      </c>
      <c r="G2799">
        <f>IFERROR(VLOOKUP($A2799,原始数据_收盘!$A$4:$G$3460,7,0),"")</f>
        <v>2.7031</v>
      </c>
      <c r="H2799">
        <f>IFERROR(VLOOKUP($A2799,原始数据_利率互换_FR007_1年!$A$6:$C$4395,2,0),"")</f>
        <v>2.4302</v>
      </c>
      <c r="I2799">
        <f>IFERROR(VLOOKUP($A2799,原始数据_利率互换_FR007_1年!$A$6:$C$4395,3,0),"")</f>
        <v>2.7017</v>
      </c>
    </row>
    <row r="2800" spans="1:9">
      <c r="A2800" s="6">
        <v>42293</v>
      </c>
      <c r="B2800">
        <f>IFERROR(VLOOKUP($A2800,原始数据_收盘!$A$4:$G$3460,2,0),"")</f>
        <v>2.4013</v>
      </c>
      <c r="C2800">
        <f>IFERROR(VLOOKUP($A2800,原始数据_收盘!$A$4:$G$3460,3,0),"")</f>
        <v>2.6931</v>
      </c>
      <c r="D2800">
        <f>IFERROR(VLOOKUP($A2800,原始数据_收盘!$A$4:$G$3460,4,0),"")</f>
        <v>2.4575</v>
      </c>
      <c r="E2800">
        <f>IFERROR(VLOOKUP($A2800,原始数据_收盘!$A$4:$G$3460,5,0),"")</f>
        <v>2.7559</v>
      </c>
      <c r="F2800">
        <f>IFERROR(VLOOKUP($A2800,原始数据_收盘!$A$4:$G$3460,6,0),"")</f>
        <v>2.4294</v>
      </c>
      <c r="G2800">
        <f>IFERROR(VLOOKUP($A2800,原始数据_收盘!$A$4:$G$3460,7,0),"")</f>
        <v>2.7245</v>
      </c>
      <c r="H2800">
        <f>IFERROR(VLOOKUP($A2800,原始数据_利率互换_FR007_1年!$A$6:$C$4395,2,0),"")</f>
        <v>2.4231</v>
      </c>
      <c r="I2800">
        <f>IFERROR(VLOOKUP($A2800,原始数据_利率互换_FR007_1年!$A$6:$C$4395,3,0),"")</f>
        <v>2.7136</v>
      </c>
    </row>
    <row r="2801" spans="1:9">
      <c r="A2801" s="6">
        <v>42294</v>
      </c>
      <c r="B2801" t="str">
        <f>IFERROR(VLOOKUP($A2801,原始数据_收盘!$A$4:$G$3460,2,0),"")</f>
        <v/>
      </c>
      <c r="C2801" t="str">
        <f>IFERROR(VLOOKUP($A2801,原始数据_收盘!$A$4:$G$3460,3,0),"")</f>
        <v/>
      </c>
      <c r="D2801" t="str">
        <f>IFERROR(VLOOKUP($A2801,原始数据_收盘!$A$4:$G$3460,4,0),"")</f>
        <v/>
      </c>
      <c r="E2801" t="str">
        <f>IFERROR(VLOOKUP($A2801,原始数据_收盘!$A$4:$G$3460,5,0),"")</f>
        <v/>
      </c>
      <c r="F2801" t="str">
        <f>IFERROR(VLOOKUP($A2801,原始数据_收盘!$A$4:$G$3460,6,0),"")</f>
        <v/>
      </c>
      <c r="G2801" t="str">
        <f>IFERROR(VLOOKUP($A2801,原始数据_收盘!$A$4:$G$3460,7,0),"")</f>
        <v/>
      </c>
      <c r="H2801" t="str">
        <f>IFERROR(VLOOKUP($A2801,原始数据_利率互换_FR007_1年!$A$6:$C$4395,2,0),"")</f>
        <v/>
      </c>
      <c r="I2801" t="str">
        <f>IFERROR(VLOOKUP($A2801,原始数据_利率互换_FR007_1年!$A$6:$C$4395,3,0),"")</f>
        <v/>
      </c>
    </row>
    <row r="2802" spans="1:9">
      <c r="A2802" s="6">
        <v>42295</v>
      </c>
      <c r="B2802" t="str">
        <f>IFERROR(VLOOKUP($A2802,原始数据_收盘!$A$4:$G$3460,2,0),"")</f>
        <v/>
      </c>
      <c r="C2802" t="str">
        <f>IFERROR(VLOOKUP($A2802,原始数据_收盘!$A$4:$G$3460,3,0),"")</f>
        <v/>
      </c>
      <c r="D2802" t="str">
        <f>IFERROR(VLOOKUP($A2802,原始数据_收盘!$A$4:$G$3460,4,0),"")</f>
        <v/>
      </c>
      <c r="E2802" t="str">
        <f>IFERROR(VLOOKUP($A2802,原始数据_收盘!$A$4:$G$3460,5,0),"")</f>
        <v/>
      </c>
      <c r="F2802" t="str">
        <f>IFERROR(VLOOKUP($A2802,原始数据_收盘!$A$4:$G$3460,6,0),"")</f>
        <v/>
      </c>
      <c r="G2802" t="str">
        <f>IFERROR(VLOOKUP($A2802,原始数据_收盘!$A$4:$G$3460,7,0),"")</f>
        <v/>
      </c>
      <c r="H2802" t="str">
        <f>IFERROR(VLOOKUP($A2802,原始数据_利率互换_FR007_1年!$A$6:$C$4395,2,0),"")</f>
        <v/>
      </c>
      <c r="I2802" t="str">
        <f>IFERROR(VLOOKUP($A2802,原始数据_利率互换_FR007_1年!$A$6:$C$4395,3,0),"")</f>
        <v/>
      </c>
    </row>
    <row r="2803" spans="1:9">
      <c r="A2803" s="6">
        <v>42296</v>
      </c>
      <c r="B2803">
        <f>IFERROR(VLOOKUP($A2803,原始数据_收盘!$A$4:$G$3460,2,0),"")</f>
        <v>2.3963</v>
      </c>
      <c r="C2803">
        <f>IFERROR(VLOOKUP($A2803,原始数据_收盘!$A$4:$G$3460,3,0),"")</f>
        <v>2.6869</v>
      </c>
      <c r="D2803">
        <f>IFERROR(VLOOKUP($A2803,原始数据_收盘!$A$4:$G$3460,4,0),"")</f>
        <v>2.45</v>
      </c>
      <c r="E2803">
        <f>IFERROR(VLOOKUP($A2803,原始数据_收盘!$A$4:$G$3460,5,0),"")</f>
        <v>2.7425</v>
      </c>
      <c r="F2803">
        <f>IFERROR(VLOOKUP($A2803,原始数据_收盘!$A$4:$G$3460,6,0),"")</f>
        <v>2.4231</v>
      </c>
      <c r="G2803">
        <f>IFERROR(VLOOKUP($A2803,原始数据_收盘!$A$4:$G$3460,7,0),"")</f>
        <v>2.7147</v>
      </c>
      <c r="H2803">
        <f>IFERROR(VLOOKUP($A2803,原始数据_利率互换_FR007_1年!$A$6:$C$4395,2,0),"")</f>
        <v>2.4185</v>
      </c>
      <c r="I2803">
        <f>IFERROR(VLOOKUP($A2803,原始数据_利率互换_FR007_1年!$A$6:$C$4395,3,0),"")</f>
        <v>2.7153</v>
      </c>
    </row>
    <row r="2804" spans="1:9">
      <c r="A2804" s="6">
        <v>42297</v>
      </c>
      <c r="B2804">
        <f>IFERROR(VLOOKUP($A2804,原始数据_收盘!$A$4:$G$3460,2,0),"")</f>
        <v>2.3875</v>
      </c>
      <c r="C2804">
        <f>IFERROR(VLOOKUP($A2804,原始数据_收盘!$A$4:$G$3460,3,0),"")</f>
        <v>2.6638</v>
      </c>
      <c r="D2804">
        <f>IFERROR(VLOOKUP($A2804,原始数据_收盘!$A$4:$G$3460,4,0),"")</f>
        <v>2.4416</v>
      </c>
      <c r="E2804">
        <f>IFERROR(VLOOKUP($A2804,原始数据_收盘!$A$4:$G$3460,5,0),"")</f>
        <v>2.7259</v>
      </c>
      <c r="F2804">
        <f>IFERROR(VLOOKUP($A2804,原始数据_收盘!$A$4:$G$3460,6,0),"")</f>
        <v>2.4146</v>
      </c>
      <c r="G2804">
        <f>IFERROR(VLOOKUP($A2804,原始数据_收盘!$A$4:$G$3460,7,0),"")</f>
        <v>2.6948</v>
      </c>
      <c r="H2804">
        <f>IFERROR(VLOOKUP($A2804,原始数据_利率互换_FR007_1年!$A$6:$C$4395,2,0),"")</f>
        <v>2.4032</v>
      </c>
      <c r="I2804">
        <f>IFERROR(VLOOKUP($A2804,原始数据_利率互换_FR007_1年!$A$6:$C$4395,3,0),"")</f>
        <v>2.692</v>
      </c>
    </row>
    <row r="2805" spans="1:9">
      <c r="A2805" s="6">
        <v>42298</v>
      </c>
      <c r="B2805">
        <f>IFERROR(VLOOKUP($A2805,原始数据_收盘!$A$4:$G$3460,2,0),"")</f>
        <v>2.3788</v>
      </c>
      <c r="C2805">
        <f>IFERROR(VLOOKUP($A2805,原始数据_收盘!$A$4:$G$3460,3,0),"")</f>
        <v>2.6688</v>
      </c>
      <c r="D2805">
        <f>IFERROR(VLOOKUP($A2805,原始数据_收盘!$A$4:$G$3460,4,0),"")</f>
        <v>2.4338</v>
      </c>
      <c r="E2805">
        <f>IFERROR(VLOOKUP($A2805,原始数据_收盘!$A$4:$G$3460,5,0),"")</f>
        <v>2.7238</v>
      </c>
      <c r="F2805">
        <f>IFERROR(VLOOKUP($A2805,原始数据_收盘!$A$4:$G$3460,6,0),"")</f>
        <v>2.4063</v>
      </c>
      <c r="G2805">
        <f>IFERROR(VLOOKUP($A2805,原始数据_收盘!$A$4:$G$3460,7,0),"")</f>
        <v>2.6963</v>
      </c>
      <c r="H2805">
        <f>IFERROR(VLOOKUP($A2805,原始数据_利率互换_FR007_1年!$A$6:$C$4395,2,0),"")</f>
        <v>2.3982</v>
      </c>
      <c r="I2805">
        <f>IFERROR(VLOOKUP($A2805,原始数据_利率互换_FR007_1年!$A$6:$C$4395,3,0),"")</f>
        <v>2.691</v>
      </c>
    </row>
    <row r="2806" spans="1:9">
      <c r="A2806" s="6">
        <v>42299</v>
      </c>
      <c r="B2806">
        <f>IFERROR(VLOOKUP($A2806,原始数据_收盘!$A$4:$G$3460,2,0),"")</f>
        <v>2.3775</v>
      </c>
      <c r="C2806">
        <f>IFERROR(VLOOKUP($A2806,原始数据_收盘!$A$4:$G$3460,3,0),"")</f>
        <v>2.6638</v>
      </c>
      <c r="D2806">
        <f>IFERROR(VLOOKUP($A2806,原始数据_收盘!$A$4:$G$3460,4,0),"")</f>
        <v>2.4346</v>
      </c>
      <c r="E2806">
        <f>IFERROR(VLOOKUP($A2806,原始数据_收盘!$A$4:$G$3460,5,0),"")</f>
        <v>2.7241</v>
      </c>
      <c r="F2806">
        <f>IFERROR(VLOOKUP($A2806,原始数据_收盘!$A$4:$G$3460,6,0),"")</f>
        <v>2.4061</v>
      </c>
      <c r="G2806">
        <f>IFERROR(VLOOKUP($A2806,原始数据_收盘!$A$4:$G$3460,7,0),"")</f>
        <v>2.6939</v>
      </c>
      <c r="H2806">
        <f>IFERROR(VLOOKUP($A2806,原始数据_利率互换_FR007_1年!$A$6:$C$4395,2,0),"")</f>
        <v>2.3962</v>
      </c>
      <c r="I2806">
        <f>IFERROR(VLOOKUP($A2806,原始数据_利率互换_FR007_1年!$A$6:$C$4395,3,0),"")</f>
        <v>2.6805</v>
      </c>
    </row>
    <row r="2807" spans="1:9">
      <c r="A2807" s="6">
        <v>42300</v>
      </c>
      <c r="B2807">
        <f>IFERROR(VLOOKUP($A2807,原始数据_收盘!$A$4:$G$3460,2,0),"")</f>
        <v>2.3775</v>
      </c>
      <c r="C2807">
        <f>IFERROR(VLOOKUP($A2807,原始数据_收盘!$A$4:$G$3460,3,0),"")</f>
        <v>2.6563</v>
      </c>
      <c r="D2807">
        <f>IFERROR(VLOOKUP($A2807,原始数据_收盘!$A$4:$G$3460,4,0),"")</f>
        <v>2.43</v>
      </c>
      <c r="E2807">
        <f>IFERROR(VLOOKUP($A2807,原始数据_收盘!$A$4:$G$3460,5,0),"")</f>
        <v>2.7109</v>
      </c>
      <c r="F2807">
        <f>IFERROR(VLOOKUP($A2807,原始数据_收盘!$A$4:$G$3460,6,0),"")</f>
        <v>2.4038</v>
      </c>
      <c r="G2807">
        <f>IFERROR(VLOOKUP($A2807,原始数据_收盘!$A$4:$G$3460,7,0),"")</f>
        <v>2.6836</v>
      </c>
      <c r="H2807">
        <f>IFERROR(VLOOKUP($A2807,原始数据_利率互换_FR007_1年!$A$6:$C$4395,2,0),"")</f>
        <v>2.386</v>
      </c>
      <c r="I2807">
        <f>IFERROR(VLOOKUP($A2807,原始数据_利率互换_FR007_1年!$A$6:$C$4395,3,0),"")</f>
        <v>2.6721</v>
      </c>
    </row>
    <row r="2808" spans="1:9">
      <c r="A2808" s="6">
        <v>42301</v>
      </c>
      <c r="B2808" t="str">
        <f>IFERROR(VLOOKUP($A2808,原始数据_收盘!$A$4:$G$3460,2,0),"")</f>
        <v/>
      </c>
      <c r="C2808" t="str">
        <f>IFERROR(VLOOKUP($A2808,原始数据_收盘!$A$4:$G$3460,3,0),"")</f>
        <v/>
      </c>
      <c r="D2808" t="str">
        <f>IFERROR(VLOOKUP($A2808,原始数据_收盘!$A$4:$G$3460,4,0),"")</f>
        <v/>
      </c>
      <c r="E2808" t="str">
        <f>IFERROR(VLOOKUP($A2808,原始数据_收盘!$A$4:$G$3460,5,0),"")</f>
        <v/>
      </c>
      <c r="F2808" t="str">
        <f>IFERROR(VLOOKUP($A2808,原始数据_收盘!$A$4:$G$3460,6,0),"")</f>
        <v/>
      </c>
      <c r="G2808" t="str">
        <f>IFERROR(VLOOKUP($A2808,原始数据_收盘!$A$4:$G$3460,7,0),"")</f>
        <v/>
      </c>
      <c r="H2808" t="str">
        <f>IFERROR(VLOOKUP($A2808,原始数据_利率互换_FR007_1年!$A$6:$C$4395,2,0),"")</f>
        <v/>
      </c>
      <c r="I2808" t="str">
        <f>IFERROR(VLOOKUP($A2808,原始数据_利率互换_FR007_1年!$A$6:$C$4395,3,0),"")</f>
        <v/>
      </c>
    </row>
    <row r="2809" spans="1:9">
      <c r="A2809" s="6">
        <v>42302</v>
      </c>
      <c r="B2809" t="str">
        <f>IFERROR(VLOOKUP($A2809,原始数据_收盘!$A$4:$G$3460,2,0),"")</f>
        <v/>
      </c>
      <c r="C2809" t="str">
        <f>IFERROR(VLOOKUP($A2809,原始数据_收盘!$A$4:$G$3460,3,0),"")</f>
        <v/>
      </c>
      <c r="D2809" t="str">
        <f>IFERROR(VLOOKUP($A2809,原始数据_收盘!$A$4:$G$3460,4,0),"")</f>
        <v/>
      </c>
      <c r="E2809" t="str">
        <f>IFERROR(VLOOKUP($A2809,原始数据_收盘!$A$4:$G$3460,5,0),"")</f>
        <v/>
      </c>
      <c r="F2809" t="str">
        <f>IFERROR(VLOOKUP($A2809,原始数据_收盘!$A$4:$G$3460,6,0),"")</f>
        <v/>
      </c>
      <c r="G2809" t="str">
        <f>IFERROR(VLOOKUP($A2809,原始数据_收盘!$A$4:$G$3460,7,0),"")</f>
        <v/>
      </c>
      <c r="H2809" t="str">
        <f>IFERROR(VLOOKUP($A2809,原始数据_利率互换_FR007_1年!$A$6:$C$4395,2,0),"")</f>
        <v/>
      </c>
      <c r="I2809" t="str">
        <f>IFERROR(VLOOKUP($A2809,原始数据_利率互换_FR007_1年!$A$6:$C$4395,3,0),"")</f>
        <v/>
      </c>
    </row>
    <row r="2810" spans="1:9">
      <c r="A2810" s="6">
        <v>42303</v>
      </c>
      <c r="B2810">
        <f>IFERROR(VLOOKUP($A2810,原始数据_收盘!$A$4:$G$3460,2,0),"")</f>
        <v>2.2825</v>
      </c>
      <c r="C2810">
        <f>IFERROR(VLOOKUP($A2810,原始数据_收盘!$A$4:$G$3460,3,0),"")</f>
        <v>2.575</v>
      </c>
      <c r="D2810">
        <f>IFERROR(VLOOKUP($A2810,原始数据_收盘!$A$4:$G$3460,4,0),"")</f>
        <v>2.3366</v>
      </c>
      <c r="E2810">
        <f>IFERROR(VLOOKUP($A2810,原始数据_收盘!$A$4:$G$3460,5,0),"")</f>
        <v>2.6371</v>
      </c>
      <c r="F2810">
        <f>IFERROR(VLOOKUP($A2810,原始数据_收盘!$A$4:$G$3460,6,0),"")</f>
        <v>2.3096</v>
      </c>
      <c r="G2810">
        <f>IFERROR(VLOOKUP($A2810,原始数据_收盘!$A$4:$G$3460,7,0),"")</f>
        <v>2.6061</v>
      </c>
      <c r="H2810">
        <f>IFERROR(VLOOKUP($A2810,原始数据_利率互换_FR007_1年!$A$6:$C$4395,2,0),"")</f>
        <v>2.3045</v>
      </c>
      <c r="I2810">
        <f>IFERROR(VLOOKUP($A2810,原始数据_利率互换_FR007_1年!$A$6:$C$4395,3,0),"")</f>
        <v>2.6079</v>
      </c>
    </row>
    <row r="2811" spans="1:9">
      <c r="A2811" s="6">
        <v>42304</v>
      </c>
      <c r="B2811">
        <f>IFERROR(VLOOKUP($A2811,原始数据_收盘!$A$4:$G$3460,2,0),"")</f>
        <v>2.2475</v>
      </c>
      <c r="C2811">
        <f>IFERROR(VLOOKUP($A2811,原始数据_收盘!$A$4:$G$3460,3,0),"")</f>
        <v>2.5338</v>
      </c>
      <c r="D2811">
        <f>IFERROR(VLOOKUP($A2811,原始数据_收盘!$A$4:$G$3460,4,0),"")</f>
        <v>2.3034</v>
      </c>
      <c r="E2811">
        <f>IFERROR(VLOOKUP($A2811,原始数据_收盘!$A$4:$G$3460,5,0),"")</f>
        <v>2.6013</v>
      </c>
      <c r="F2811">
        <f>IFERROR(VLOOKUP($A2811,原始数据_收盘!$A$4:$G$3460,6,0),"")</f>
        <v>2.2754</v>
      </c>
      <c r="G2811">
        <f>IFERROR(VLOOKUP($A2811,原始数据_收盘!$A$4:$G$3460,7,0),"")</f>
        <v>2.5675</v>
      </c>
      <c r="H2811">
        <f>IFERROR(VLOOKUP($A2811,原始数据_利率互换_FR007_1年!$A$6:$C$4395,2,0),"")</f>
        <v>2.2681</v>
      </c>
      <c r="I2811">
        <f>IFERROR(VLOOKUP($A2811,原始数据_利率互换_FR007_1年!$A$6:$C$4395,3,0),"")</f>
        <v>2.5582</v>
      </c>
    </row>
    <row r="2812" spans="1:9">
      <c r="A2812" s="6">
        <v>42305</v>
      </c>
      <c r="B2812">
        <f>IFERROR(VLOOKUP($A2812,原始数据_收盘!$A$4:$G$3460,2,0),"")</f>
        <v>2.27</v>
      </c>
      <c r="C2812">
        <f>IFERROR(VLOOKUP($A2812,原始数据_收盘!$A$4:$G$3460,3,0),"")</f>
        <v>2.5513</v>
      </c>
      <c r="D2812">
        <f>IFERROR(VLOOKUP($A2812,原始数据_收盘!$A$4:$G$3460,4,0),"")</f>
        <v>2.32</v>
      </c>
      <c r="E2812">
        <f>IFERROR(VLOOKUP($A2812,原始数据_收盘!$A$4:$G$3460,5,0),"")</f>
        <v>2.6113</v>
      </c>
      <c r="F2812">
        <f>IFERROR(VLOOKUP($A2812,原始数据_收盘!$A$4:$G$3460,6,0),"")</f>
        <v>2.295</v>
      </c>
      <c r="G2812">
        <f>IFERROR(VLOOKUP($A2812,原始数据_收盘!$A$4:$G$3460,7,0),"")</f>
        <v>2.5813</v>
      </c>
      <c r="H2812">
        <f>IFERROR(VLOOKUP($A2812,原始数据_利率互换_FR007_1年!$A$6:$C$4395,2,0),"")</f>
        <v>2.2783</v>
      </c>
      <c r="I2812">
        <f>IFERROR(VLOOKUP($A2812,原始数据_利率互换_FR007_1年!$A$6:$C$4395,3,0),"")</f>
        <v>2.5633</v>
      </c>
    </row>
    <row r="2813" spans="1:9">
      <c r="A2813" s="6">
        <v>42306</v>
      </c>
      <c r="B2813">
        <f>IFERROR(VLOOKUP($A2813,原始数据_收盘!$A$4:$G$3460,2,0),"")</f>
        <v>2.2913</v>
      </c>
      <c r="C2813">
        <f>IFERROR(VLOOKUP($A2813,原始数据_收盘!$A$4:$G$3460,3,0),"")</f>
        <v>2.5788</v>
      </c>
      <c r="D2813">
        <f>IFERROR(VLOOKUP($A2813,原始数据_收盘!$A$4:$G$3460,4,0),"")</f>
        <v>2.3463</v>
      </c>
      <c r="E2813">
        <f>IFERROR(VLOOKUP($A2813,原始数据_收盘!$A$4:$G$3460,5,0),"")</f>
        <v>2.6463</v>
      </c>
      <c r="F2813">
        <f>IFERROR(VLOOKUP($A2813,原始数据_收盘!$A$4:$G$3460,6,0),"")</f>
        <v>2.3188</v>
      </c>
      <c r="G2813">
        <f>IFERROR(VLOOKUP($A2813,原始数据_收盘!$A$4:$G$3460,7,0),"")</f>
        <v>2.6125</v>
      </c>
      <c r="H2813">
        <f>IFERROR(VLOOKUP($A2813,原始数据_利率互换_FR007_1年!$A$6:$C$4395,2,0),"")</f>
        <v>2.3116</v>
      </c>
      <c r="I2813">
        <f>IFERROR(VLOOKUP($A2813,原始数据_利率互换_FR007_1年!$A$6:$C$4395,3,0),"")</f>
        <v>2.6081</v>
      </c>
    </row>
    <row r="2814" spans="1:9">
      <c r="A2814" s="6">
        <v>42307</v>
      </c>
      <c r="B2814">
        <f>IFERROR(VLOOKUP($A2814,原始数据_收盘!$A$4:$G$3460,2,0),"")</f>
        <v>2.2941</v>
      </c>
      <c r="C2814">
        <f>IFERROR(VLOOKUP($A2814,原始数据_收盘!$A$4:$G$3460,3,0),"")</f>
        <v>2.5863</v>
      </c>
      <c r="D2814">
        <f>IFERROR(VLOOKUP($A2814,原始数据_收盘!$A$4:$G$3460,4,0),"")</f>
        <v>2.3475</v>
      </c>
      <c r="E2814">
        <f>IFERROR(VLOOKUP($A2814,原始数据_收盘!$A$4:$G$3460,5,0),"")</f>
        <v>2.65</v>
      </c>
      <c r="F2814">
        <f>IFERROR(VLOOKUP($A2814,原始数据_收盘!$A$4:$G$3460,6,0),"")</f>
        <v>2.3208</v>
      </c>
      <c r="G2814">
        <f>IFERROR(VLOOKUP($A2814,原始数据_收盘!$A$4:$G$3460,7,0),"")</f>
        <v>2.6181</v>
      </c>
      <c r="H2814">
        <f>IFERROR(VLOOKUP($A2814,原始数据_利率互换_FR007_1年!$A$6:$C$4395,2,0),"")</f>
        <v>2.3199</v>
      </c>
      <c r="I2814">
        <f>IFERROR(VLOOKUP($A2814,原始数据_利率互换_FR007_1年!$A$6:$C$4395,3,0),"")</f>
        <v>2.6303</v>
      </c>
    </row>
    <row r="2815" spans="1:9">
      <c r="A2815" s="6">
        <v>42308</v>
      </c>
      <c r="B2815" t="str">
        <f>IFERROR(VLOOKUP($A2815,原始数据_收盘!$A$4:$G$3460,2,0),"")</f>
        <v/>
      </c>
      <c r="C2815" t="str">
        <f>IFERROR(VLOOKUP($A2815,原始数据_收盘!$A$4:$G$3460,3,0),"")</f>
        <v/>
      </c>
      <c r="D2815" t="str">
        <f>IFERROR(VLOOKUP($A2815,原始数据_收盘!$A$4:$G$3460,4,0),"")</f>
        <v/>
      </c>
      <c r="E2815" t="str">
        <f>IFERROR(VLOOKUP($A2815,原始数据_收盘!$A$4:$G$3460,5,0),"")</f>
        <v/>
      </c>
      <c r="F2815" t="str">
        <f>IFERROR(VLOOKUP($A2815,原始数据_收盘!$A$4:$G$3460,6,0),"")</f>
        <v/>
      </c>
      <c r="G2815" t="str">
        <f>IFERROR(VLOOKUP($A2815,原始数据_收盘!$A$4:$G$3460,7,0),"")</f>
        <v/>
      </c>
      <c r="H2815" t="str">
        <f>IFERROR(VLOOKUP($A2815,原始数据_利率互换_FR007_1年!$A$6:$C$4395,2,0),"")</f>
        <v/>
      </c>
      <c r="I2815" t="str">
        <f>IFERROR(VLOOKUP($A2815,原始数据_利率互换_FR007_1年!$A$6:$C$4395,3,0),"")</f>
        <v/>
      </c>
    </row>
    <row r="2816" spans="1:9">
      <c r="A2816" s="6">
        <v>42309</v>
      </c>
      <c r="B2816" t="str">
        <f>IFERROR(VLOOKUP($A2816,原始数据_收盘!$A$4:$G$3460,2,0),"")</f>
        <v/>
      </c>
      <c r="C2816" t="str">
        <f>IFERROR(VLOOKUP($A2816,原始数据_收盘!$A$4:$G$3460,3,0),"")</f>
        <v/>
      </c>
      <c r="D2816" t="str">
        <f>IFERROR(VLOOKUP($A2816,原始数据_收盘!$A$4:$G$3460,4,0),"")</f>
        <v/>
      </c>
      <c r="E2816" t="str">
        <f>IFERROR(VLOOKUP($A2816,原始数据_收盘!$A$4:$G$3460,5,0),"")</f>
        <v/>
      </c>
      <c r="F2816" t="str">
        <f>IFERROR(VLOOKUP($A2816,原始数据_收盘!$A$4:$G$3460,6,0),"")</f>
        <v/>
      </c>
      <c r="G2816" t="str">
        <f>IFERROR(VLOOKUP($A2816,原始数据_收盘!$A$4:$G$3460,7,0),"")</f>
        <v/>
      </c>
      <c r="H2816" t="str">
        <f>IFERROR(VLOOKUP($A2816,原始数据_利率互换_FR007_1年!$A$6:$C$4395,2,0),"")</f>
        <v/>
      </c>
      <c r="I2816" t="str">
        <f>IFERROR(VLOOKUP($A2816,原始数据_利率互换_FR007_1年!$A$6:$C$4395,3,0),"")</f>
        <v/>
      </c>
    </row>
    <row r="2817" spans="1:9">
      <c r="A2817" s="6">
        <v>42310</v>
      </c>
      <c r="B2817">
        <f>IFERROR(VLOOKUP($A2817,原始数据_收盘!$A$4:$G$3460,2,0),"")</f>
        <v>2.2989</v>
      </c>
      <c r="C2817">
        <f>IFERROR(VLOOKUP($A2817,原始数据_收盘!$A$4:$G$3460,3,0),"")</f>
        <v>2.595</v>
      </c>
      <c r="D2817">
        <f>IFERROR(VLOOKUP($A2817,原始数据_收盘!$A$4:$G$3460,4,0),"")</f>
        <v>2.3544</v>
      </c>
      <c r="E2817">
        <f>IFERROR(VLOOKUP($A2817,原始数据_收盘!$A$4:$G$3460,5,0),"")</f>
        <v>2.6575</v>
      </c>
      <c r="F2817">
        <f>IFERROR(VLOOKUP($A2817,原始数据_收盘!$A$4:$G$3460,6,0),"")</f>
        <v>2.3267</v>
      </c>
      <c r="G2817">
        <f>IFERROR(VLOOKUP($A2817,原始数据_收盘!$A$4:$G$3460,7,0),"")</f>
        <v>2.6263</v>
      </c>
      <c r="H2817">
        <f>IFERROR(VLOOKUP($A2817,原始数据_利率互换_FR007_1年!$A$6:$C$4395,2,0),"")</f>
        <v>2.386</v>
      </c>
      <c r="I2817">
        <f>IFERROR(VLOOKUP($A2817,原始数据_利率互换_FR007_1年!$A$6:$C$4395,3,0),"")</f>
        <v>2.6275</v>
      </c>
    </row>
    <row r="2818" spans="1:9">
      <c r="A2818" s="6">
        <v>42311</v>
      </c>
      <c r="B2818">
        <f>IFERROR(VLOOKUP($A2818,原始数据_收盘!$A$4:$G$3460,2,0),"")</f>
        <v>2.3209</v>
      </c>
      <c r="C2818">
        <f>IFERROR(VLOOKUP($A2818,原始数据_收盘!$A$4:$G$3460,3,0),"")</f>
        <v>2.6266</v>
      </c>
      <c r="D2818">
        <f>IFERROR(VLOOKUP($A2818,原始数据_收盘!$A$4:$G$3460,4,0),"")</f>
        <v>2.3838</v>
      </c>
      <c r="E2818">
        <f>IFERROR(VLOOKUP($A2818,原始数据_收盘!$A$4:$G$3460,5,0),"")</f>
        <v>2.6863</v>
      </c>
      <c r="F2818">
        <f>IFERROR(VLOOKUP($A2818,原始数据_收盘!$A$4:$G$3460,6,0),"")</f>
        <v>2.3523</v>
      </c>
      <c r="G2818">
        <f>IFERROR(VLOOKUP($A2818,原始数据_收盘!$A$4:$G$3460,7,0),"")</f>
        <v>2.6564</v>
      </c>
      <c r="H2818">
        <f>IFERROR(VLOOKUP($A2818,原始数据_利率互换_FR007_1年!$A$6:$C$4395,2,0),"")</f>
        <v>2.3476</v>
      </c>
      <c r="I2818">
        <f>IFERROR(VLOOKUP($A2818,原始数据_利率互换_FR007_1年!$A$6:$C$4395,3,0),"")</f>
        <v>2.6464</v>
      </c>
    </row>
    <row r="2819" spans="1:9">
      <c r="A2819" s="6">
        <v>42312</v>
      </c>
      <c r="B2819">
        <f>IFERROR(VLOOKUP($A2819,原始数据_收盘!$A$4:$G$3460,2,0),"")</f>
        <v>2.3391</v>
      </c>
      <c r="C2819">
        <f>IFERROR(VLOOKUP($A2819,原始数据_收盘!$A$4:$G$3460,3,0),"")</f>
        <v>2.6463</v>
      </c>
      <c r="D2819">
        <f>IFERROR(VLOOKUP($A2819,原始数据_收盘!$A$4:$G$3460,4,0),"")</f>
        <v>2.3975</v>
      </c>
      <c r="E2819">
        <f>IFERROR(VLOOKUP($A2819,原始数据_收盘!$A$4:$G$3460,5,0),"")</f>
        <v>2.7084</v>
      </c>
      <c r="F2819">
        <f>IFERROR(VLOOKUP($A2819,原始数据_收盘!$A$4:$G$3460,6,0),"")</f>
        <v>2.3683</v>
      </c>
      <c r="G2819">
        <f>IFERROR(VLOOKUP($A2819,原始数据_收盘!$A$4:$G$3460,7,0),"")</f>
        <v>2.6773</v>
      </c>
      <c r="H2819">
        <f>IFERROR(VLOOKUP($A2819,原始数据_利率互换_FR007_1年!$A$6:$C$4395,2,0),"")</f>
        <v>2.3752</v>
      </c>
      <c r="I2819">
        <f>IFERROR(VLOOKUP($A2819,原始数据_利率互换_FR007_1年!$A$6:$C$4395,3,0),"")</f>
        <v>2.6823</v>
      </c>
    </row>
    <row r="2820" spans="1:9">
      <c r="A2820" s="6">
        <v>42313</v>
      </c>
      <c r="B2820">
        <f>IFERROR(VLOOKUP($A2820,原始数据_收盘!$A$4:$G$3460,2,0),"")</f>
        <v>2.3258</v>
      </c>
      <c r="C2820">
        <f>IFERROR(VLOOKUP($A2820,原始数据_收盘!$A$4:$G$3460,3,0),"")</f>
        <v>2.629</v>
      </c>
      <c r="D2820">
        <f>IFERROR(VLOOKUP($A2820,原始数据_收盘!$A$4:$G$3460,4,0),"")</f>
        <v>2.3887</v>
      </c>
      <c r="E2820">
        <f>IFERROR(VLOOKUP($A2820,原始数据_收盘!$A$4:$G$3460,5,0),"")</f>
        <v>2.6947</v>
      </c>
      <c r="F2820">
        <f>IFERROR(VLOOKUP($A2820,原始数据_收盘!$A$4:$G$3460,6,0),"")</f>
        <v>2.3573</v>
      </c>
      <c r="G2820">
        <f>IFERROR(VLOOKUP($A2820,原始数据_收盘!$A$4:$G$3460,7,0),"")</f>
        <v>2.6619</v>
      </c>
      <c r="H2820">
        <f>IFERROR(VLOOKUP($A2820,原始数据_利率互换_FR007_1年!$A$6:$C$4395,2,0),"")</f>
        <v>2.3667</v>
      </c>
      <c r="I2820">
        <f>IFERROR(VLOOKUP($A2820,原始数据_利率互换_FR007_1年!$A$6:$C$4395,3,0),"")</f>
        <v>2.675</v>
      </c>
    </row>
    <row r="2821" spans="1:9">
      <c r="A2821" s="6">
        <v>42314</v>
      </c>
      <c r="B2821">
        <f>IFERROR(VLOOKUP($A2821,原始数据_收盘!$A$4:$G$3460,2,0),"")</f>
        <v>2.3275</v>
      </c>
      <c r="C2821">
        <f>IFERROR(VLOOKUP($A2821,原始数据_收盘!$A$4:$G$3460,3,0),"")</f>
        <v>2.6388</v>
      </c>
      <c r="D2821">
        <f>IFERROR(VLOOKUP($A2821,原始数据_收盘!$A$4:$G$3460,4,0),"")</f>
        <v>2.3838</v>
      </c>
      <c r="E2821">
        <f>IFERROR(VLOOKUP($A2821,原始数据_收盘!$A$4:$G$3460,5,0),"")</f>
        <v>2.6984</v>
      </c>
      <c r="F2821">
        <f>IFERROR(VLOOKUP($A2821,原始数据_收盘!$A$4:$G$3460,6,0),"")</f>
        <v>2.3556</v>
      </c>
      <c r="G2821">
        <f>IFERROR(VLOOKUP($A2821,原始数据_收盘!$A$4:$G$3460,7,0),"")</f>
        <v>2.6686</v>
      </c>
      <c r="H2821">
        <f>IFERROR(VLOOKUP($A2821,原始数据_利率互换_FR007_1年!$A$6:$C$4395,2,0),"")</f>
        <v>2.356</v>
      </c>
      <c r="I2821">
        <f>IFERROR(VLOOKUP($A2821,原始数据_利率互换_FR007_1年!$A$6:$C$4395,3,0),"")</f>
        <v>2.6589</v>
      </c>
    </row>
    <row r="2822" spans="1:9">
      <c r="A2822" s="6">
        <v>42315</v>
      </c>
      <c r="B2822" t="str">
        <f>IFERROR(VLOOKUP($A2822,原始数据_收盘!$A$4:$G$3460,2,0),"")</f>
        <v/>
      </c>
      <c r="C2822" t="str">
        <f>IFERROR(VLOOKUP($A2822,原始数据_收盘!$A$4:$G$3460,3,0),"")</f>
        <v/>
      </c>
      <c r="D2822" t="str">
        <f>IFERROR(VLOOKUP($A2822,原始数据_收盘!$A$4:$G$3460,4,0),"")</f>
        <v/>
      </c>
      <c r="E2822" t="str">
        <f>IFERROR(VLOOKUP($A2822,原始数据_收盘!$A$4:$G$3460,5,0),"")</f>
        <v/>
      </c>
      <c r="F2822" t="str">
        <f>IFERROR(VLOOKUP($A2822,原始数据_收盘!$A$4:$G$3460,6,0),"")</f>
        <v/>
      </c>
      <c r="G2822" t="str">
        <f>IFERROR(VLOOKUP($A2822,原始数据_收盘!$A$4:$G$3460,7,0),"")</f>
        <v/>
      </c>
      <c r="H2822" t="str">
        <f>IFERROR(VLOOKUP($A2822,原始数据_利率互换_FR007_1年!$A$6:$C$4395,2,0),"")</f>
        <v/>
      </c>
      <c r="I2822" t="str">
        <f>IFERROR(VLOOKUP($A2822,原始数据_利率互换_FR007_1年!$A$6:$C$4395,3,0),"")</f>
        <v/>
      </c>
    </row>
    <row r="2823" spans="1:9">
      <c r="A2823" s="6">
        <v>42316</v>
      </c>
      <c r="B2823" t="str">
        <f>IFERROR(VLOOKUP($A2823,原始数据_收盘!$A$4:$G$3460,2,0),"")</f>
        <v/>
      </c>
      <c r="C2823" t="str">
        <f>IFERROR(VLOOKUP($A2823,原始数据_收盘!$A$4:$G$3460,3,0),"")</f>
        <v/>
      </c>
      <c r="D2823" t="str">
        <f>IFERROR(VLOOKUP($A2823,原始数据_收盘!$A$4:$G$3460,4,0),"")</f>
        <v/>
      </c>
      <c r="E2823" t="str">
        <f>IFERROR(VLOOKUP($A2823,原始数据_收盘!$A$4:$G$3460,5,0),"")</f>
        <v/>
      </c>
      <c r="F2823" t="str">
        <f>IFERROR(VLOOKUP($A2823,原始数据_收盘!$A$4:$G$3460,6,0),"")</f>
        <v/>
      </c>
      <c r="G2823" t="str">
        <f>IFERROR(VLOOKUP($A2823,原始数据_收盘!$A$4:$G$3460,7,0),"")</f>
        <v/>
      </c>
      <c r="H2823" t="str">
        <f>IFERROR(VLOOKUP($A2823,原始数据_利率互换_FR007_1年!$A$6:$C$4395,2,0),"")</f>
        <v/>
      </c>
      <c r="I2823" t="str">
        <f>IFERROR(VLOOKUP($A2823,原始数据_利率互换_FR007_1年!$A$6:$C$4395,3,0),"")</f>
        <v/>
      </c>
    </row>
    <row r="2824" spans="1:9">
      <c r="A2824" s="6">
        <v>42317</v>
      </c>
      <c r="B2824">
        <f>IFERROR(VLOOKUP($A2824,原始数据_收盘!$A$4:$G$3460,2,0),"")</f>
        <v>2.3725</v>
      </c>
      <c r="C2824">
        <f>IFERROR(VLOOKUP($A2824,原始数据_收盘!$A$4:$G$3460,3,0),"")</f>
        <v>2.7059</v>
      </c>
      <c r="D2824">
        <f>IFERROR(VLOOKUP($A2824,原始数据_收盘!$A$4:$G$3460,4,0),"")</f>
        <v>2.4325</v>
      </c>
      <c r="E2824">
        <f>IFERROR(VLOOKUP($A2824,原始数据_收盘!$A$4:$G$3460,5,0),"")</f>
        <v>2.7688</v>
      </c>
      <c r="F2824">
        <f>IFERROR(VLOOKUP($A2824,原始数据_收盘!$A$4:$G$3460,6,0),"")</f>
        <v>2.4025</v>
      </c>
      <c r="G2824">
        <f>IFERROR(VLOOKUP($A2824,原始数据_收盘!$A$4:$G$3460,7,0),"")</f>
        <v>2.7373</v>
      </c>
      <c r="H2824">
        <f>IFERROR(VLOOKUP($A2824,原始数据_利率互换_FR007_1年!$A$6:$C$4395,2,0),"")</f>
        <v>2.398</v>
      </c>
      <c r="I2824">
        <f>IFERROR(VLOOKUP($A2824,原始数据_利率互换_FR007_1年!$A$6:$C$4395,3,0),"")</f>
        <v>2.727</v>
      </c>
    </row>
    <row r="2825" spans="1:9">
      <c r="A2825" s="6">
        <v>42318</v>
      </c>
      <c r="B2825">
        <f>IFERROR(VLOOKUP($A2825,原始数据_收盘!$A$4:$G$3460,2,0),"")</f>
        <v>2.3741</v>
      </c>
      <c r="C2825">
        <f>IFERROR(VLOOKUP($A2825,原始数据_收盘!$A$4:$G$3460,3,0),"")</f>
        <v>2.7078</v>
      </c>
      <c r="D2825">
        <f>IFERROR(VLOOKUP($A2825,原始数据_收盘!$A$4:$G$3460,4,0),"")</f>
        <v>2.4322</v>
      </c>
      <c r="E2825">
        <f>IFERROR(VLOOKUP($A2825,原始数据_收盘!$A$4:$G$3460,5,0),"")</f>
        <v>2.7733</v>
      </c>
      <c r="F2825">
        <f>IFERROR(VLOOKUP($A2825,原始数据_收盘!$A$4:$G$3460,6,0),"")</f>
        <v>2.4032</v>
      </c>
      <c r="G2825">
        <f>IFERROR(VLOOKUP($A2825,原始数据_收盘!$A$4:$G$3460,7,0),"")</f>
        <v>2.7406</v>
      </c>
      <c r="H2825">
        <f>IFERROR(VLOOKUP($A2825,原始数据_利率互换_FR007_1年!$A$6:$C$4395,2,0),"")</f>
        <v>2.4036</v>
      </c>
      <c r="I2825">
        <f>IFERROR(VLOOKUP($A2825,原始数据_利率互换_FR007_1年!$A$6:$C$4395,3,0),"")</f>
        <v>2.7546</v>
      </c>
    </row>
    <row r="2826" spans="1:9">
      <c r="A2826" s="6">
        <v>42319</v>
      </c>
      <c r="B2826">
        <f>IFERROR(VLOOKUP($A2826,原始数据_收盘!$A$4:$G$3460,2,0),"")</f>
        <v>2.3638</v>
      </c>
      <c r="C2826">
        <f>IFERROR(VLOOKUP($A2826,原始数据_收盘!$A$4:$G$3460,3,0),"")</f>
        <v>2.695</v>
      </c>
      <c r="D2826">
        <f>IFERROR(VLOOKUP($A2826,原始数据_收盘!$A$4:$G$3460,4,0),"")</f>
        <v>2.4188</v>
      </c>
      <c r="E2826">
        <f>IFERROR(VLOOKUP($A2826,原始数据_收盘!$A$4:$G$3460,5,0),"")</f>
        <v>2.7579</v>
      </c>
      <c r="F2826">
        <f>IFERROR(VLOOKUP($A2826,原始数据_收盘!$A$4:$G$3460,6,0),"")</f>
        <v>2.3913</v>
      </c>
      <c r="G2826">
        <f>IFERROR(VLOOKUP($A2826,原始数据_收盘!$A$4:$G$3460,7,0),"")</f>
        <v>2.7264</v>
      </c>
      <c r="H2826">
        <f>IFERROR(VLOOKUP($A2826,原始数据_利率互换_FR007_1年!$A$6:$C$4395,2,0),"")</f>
        <v>2.3895</v>
      </c>
      <c r="I2826">
        <f>IFERROR(VLOOKUP($A2826,原始数据_利率互换_FR007_1年!$A$6:$C$4395,3,0),"")</f>
        <v>2.7226</v>
      </c>
    </row>
    <row r="2827" spans="1:9">
      <c r="A2827" s="6">
        <v>42320</v>
      </c>
      <c r="B2827">
        <f>IFERROR(VLOOKUP($A2827,原始数据_收盘!$A$4:$G$3460,2,0),"")</f>
        <v>2.375</v>
      </c>
      <c r="C2827">
        <f>IFERROR(VLOOKUP($A2827,原始数据_收盘!$A$4:$G$3460,3,0),"")</f>
        <v>2.7075</v>
      </c>
      <c r="D2827">
        <f>IFERROR(VLOOKUP($A2827,原始数据_收盘!$A$4:$G$3460,4,0),"")</f>
        <v>2.4263</v>
      </c>
      <c r="E2827">
        <f>IFERROR(VLOOKUP($A2827,原始数据_收盘!$A$4:$G$3460,5,0),"")</f>
        <v>2.77</v>
      </c>
      <c r="F2827">
        <f>IFERROR(VLOOKUP($A2827,原始数据_收盘!$A$4:$G$3460,6,0),"")</f>
        <v>2.4006</v>
      </c>
      <c r="G2827">
        <f>IFERROR(VLOOKUP($A2827,原始数据_收盘!$A$4:$G$3460,7,0),"")</f>
        <v>2.7388</v>
      </c>
      <c r="H2827">
        <f>IFERROR(VLOOKUP($A2827,原始数据_利率互换_FR007_1年!$A$6:$C$4395,2,0),"")</f>
        <v>2.4022</v>
      </c>
      <c r="I2827">
        <f>IFERROR(VLOOKUP($A2827,原始数据_利率互换_FR007_1年!$A$6:$C$4395,3,0),"")</f>
        <v>2.7403</v>
      </c>
    </row>
    <row r="2828" spans="1:9">
      <c r="A2828" s="6">
        <v>42321</v>
      </c>
      <c r="B2828">
        <f>IFERROR(VLOOKUP($A2828,原始数据_收盘!$A$4:$G$3460,2,0),"")</f>
        <v>2.3713</v>
      </c>
      <c r="C2828">
        <f>IFERROR(VLOOKUP($A2828,原始数据_收盘!$A$4:$G$3460,3,0),"")</f>
        <v>2.7004</v>
      </c>
      <c r="D2828">
        <f>IFERROR(VLOOKUP($A2828,原始数据_收盘!$A$4:$G$3460,4,0),"")</f>
        <v>2.4288</v>
      </c>
      <c r="E2828">
        <f>IFERROR(VLOOKUP($A2828,原始数据_收盘!$A$4:$G$3460,5,0),"")</f>
        <v>2.7669</v>
      </c>
      <c r="F2828">
        <f>IFERROR(VLOOKUP($A2828,原始数据_收盘!$A$4:$G$3460,6,0),"")</f>
        <v>2.4</v>
      </c>
      <c r="G2828">
        <f>IFERROR(VLOOKUP($A2828,原始数据_收盘!$A$4:$G$3460,7,0),"")</f>
        <v>2.7336</v>
      </c>
      <c r="H2828">
        <f>IFERROR(VLOOKUP($A2828,原始数据_利率互换_FR007_1年!$A$6:$C$4395,2,0),"")</f>
        <v>2.3937</v>
      </c>
      <c r="I2828">
        <f>IFERROR(VLOOKUP($A2828,原始数据_利率互换_FR007_1年!$A$6:$C$4395,3,0),"")</f>
        <v>2.7276</v>
      </c>
    </row>
    <row r="2829" spans="1:9">
      <c r="A2829" s="6">
        <v>42322</v>
      </c>
      <c r="B2829" t="str">
        <f>IFERROR(VLOOKUP($A2829,原始数据_收盘!$A$4:$G$3460,2,0),"")</f>
        <v/>
      </c>
      <c r="C2829" t="str">
        <f>IFERROR(VLOOKUP($A2829,原始数据_收盘!$A$4:$G$3460,3,0),"")</f>
        <v/>
      </c>
      <c r="D2829" t="str">
        <f>IFERROR(VLOOKUP($A2829,原始数据_收盘!$A$4:$G$3460,4,0),"")</f>
        <v/>
      </c>
      <c r="E2829" t="str">
        <f>IFERROR(VLOOKUP($A2829,原始数据_收盘!$A$4:$G$3460,5,0),"")</f>
        <v/>
      </c>
      <c r="F2829" t="str">
        <f>IFERROR(VLOOKUP($A2829,原始数据_收盘!$A$4:$G$3460,6,0),"")</f>
        <v/>
      </c>
      <c r="G2829" t="str">
        <f>IFERROR(VLOOKUP($A2829,原始数据_收盘!$A$4:$G$3460,7,0),"")</f>
        <v/>
      </c>
      <c r="H2829" t="str">
        <f>IFERROR(VLOOKUP($A2829,原始数据_利率互换_FR007_1年!$A$6:$C$4395,2,0),"")</f>
        <v/>
      </c>
      <c r="I2829" t="str">
        <f>IFERROR(VLOOKUP($A2829,原始数据_利率互换_FR007_1年!$A$6:$C$4395,3,0),"")</f>
        <v/>
      </c>
    </row>
    <row r="2830" spans="1:9">
      <c r="A2830" s="6">
        <v>42323</v>
      </c>
      <c r="B2830" t="str">
        <f>IFERROR(VLOOKUP($A2830,原始数据_收盘!$A$4:$G$3460,2,0),"")</f>
        <v/>
      </c>
      <c r="C2830" t="str">
        <f>IFERROR(VLOOKUP($A2830,原始数据_收盘!$A$4:$G$3460,3,0),"")</f>
        <v/>
      </c>
      <c r="D2830" t="str">
        <f>IFERROR(VLOOKUP($A2830,原始数据_收盘!$A$4:$G$3460,4,0),"")</f>
        <v/>
      </c>
      <c r="E2830" t="str">
        <f>IFERROR(VLOOKUP($A2830,原始数据_收盘!$A$4:$G$3460,5,0),"")</f>
        <v/>
      </c>
      <c r="F2830" t="str">
        <f>IFERROR(VLOOKUP($A2830,原始数据_收盘!$A$4:$G$3460,6,0),"")</f>
        <v/>
      </c>
      <c r="G2830" t="str">
        <f>IFERROR(VLOOKUP($A2830,原始数据_收盘!$A$4:$G$3460,7,0),"")</f>
        <v/>
      </c>
      <c r="H2830" t="str">
        <f>IFERROR(VLOOKUP($A2830,原始数据_利率互换_FR007_1年!$A$6:$C$4395,2,0),"")</f>
        <v/>
      </c>
      <c r="I2830" t="str">
        <f>IFERROR(VLOOKUP($A2830,原始数据_利率互换_FR007_1年!$A$6:$C$4395,3,0),"")</f>
        <v/>
      </c>
    </row>
    <row r="2831" spans="1:9">
      <c r="A2831" s="6">
        <v>42324</v>
      </c>
      <c r="B2831">
        <f>IFERROR(VLOOKUP($A2831,原始数据_收盘!$A$4:$G$3460,2,0),"")</f>
        <v>2.3697</v>
      </c>
      <c r="C2831">
        <f>IFERROR(VLOOKUP($A2831,原始数据_收盘!$A$4:$G$3460,3,0),"")</f>
        <v>2.6963</v>
      </c>
      <c r="D2831">
        <f>IFERROR(VLOOKUP($A2831,原始数据_收盘!$A$4:$G$3460,4,0),"")</f>
        <v>2.4313</v>
      </c>
      <c r="E2831">
        <f>IFERROR(VLOOKUP($A2831,原始数据_收盘!$A$4:$G$3460,5,0),"")</f>
        <v>2.7595</v>
      </c>
      <c r="F2831">
        <f>IFERROR(VLOOKUP($A2831,原始数据_收盘!$A$4:$G$3460,6,0),"")</f>
        <v>2.4005</v>
      </c>
      <c r="G2831">
        <f>IFERROR(VLOOKUP($A2831,原始数据_收盘!$A$4:$G$3460,7,0),"")</f>
        <v>2.7279</v>
      </c>
      <c r="H2831">
        <f>IFERROR(VLOOKUP($A2831,原始数据_利率互换_FR007_1年!$A$6:$C$4395,2,0),"")</f>
        <v>2.3989</v>
      </c>
      <c r="I2831">
        <f>IFERROR(VLOOKUP($A2831,原始数据_利率互换_FR007_1年!$A$6:$C$4395,3,0),"")</f>
        <v>2.7301</v>
      </c>
    </row>
    <row r="2832" spans="1:9">
      <c r="A2832" s="6">
        <v>42325</v>
      </c>
      <c r="B2832">
        <f>IFERROR(VLOOKUP($A2832,原始数据_收盘!$A$4:$G$3460,2,0),"")</f>
        <v>2.3686</v>
      </c>
      <c r="C2832">
        <f>IFERROR(VLOOKUP($A2832,原始数据_收盘!$A$4:$G$3460,3,0),"")</f>
        <v>2.6959</v>
      </c>
      <c r="D2832">
        <f>IFERROR(VLOOKUP($A2832,原始数据_收盘!$A$4:$G$3460,4,0),"")</f>
        <v>2.4259</v>
      </c>
      <c r="E2832">
        <f>IFERROR(VLOOKUP($A2832,原始数据_收盘!$A$4:$G$3460,5,0),"")</f>
        <v>2.7578</v>
      </c>
      <c r="F2832">
        <f>IFERROR(VLOOKUP($A2832,原始数据_收盘!$A$4:$G$3460,6,0),"")</f>
        <v>2.3972</v>
      </c>
      <c r="G2832">
        <f>IFERROR(VLOOKUP($A2832,原始数据_收盘!$A$4:$G$3460,7,0),"")</f>
        <v>2.7268</v>
      </c>
      <c r="H2832">
        <f>IFERROR(VLOOKUP($A2832,原始数据_利率互换_FR007_1年!$A$6:$C$4395,2,0),"")</f>
        <v>2.3976</v>
      </c>
      <c r="I2832">
        <f>IFERROR(VLOOKUP($A2832,原始数据_利率互换_FR007_1年!$A$6:$C$4395,3,0),"")</f>
        <v>2.7225</v>
      </c>
    </row>
    <row r="2833" spans="1:9">
      <c r="A2833" s="6">
        <v>42326</v>
      </c>
      <c r="B2833">
        <f>IFERROR(VLOOKUP($A2833,原始数据_收盘!$A$4:$G$3460,2,0),"")</f>
        <v>2.3725</v>
      </c>
      <c r="C2833">
        <f>IFERROR(VLOOKUP($A2833,原始数据_收盘!$A$4:$G$3460,3,0),"")</f>
        <v>2.7016</v>
      </c>
      <c r="D2833">
        <f>IFERROR(VLOOKUP($A2833,原始数据_收盘!$A$4:$G$3460,4,0),"")</f>
        <v>2.435</v>
      </c>
      <c r="E2833">
        <f>IFERROR(VLOOKUP($A2833,原始数据_收盘!$A$4:$G$3460,5,0),"")</f>
        <v>2.7706</v>
      </c>
      <c r="F2833">
        <f>IFERROR(VLOOKUP($A2833,原始数据_收盘!$A$4:$G$3460,6,0),"")</f>
        <v>2.4038</v>
      </c>
      <c r="G2833">
        <f>IFERROR(VLOOKUP($A2833,原始数据_收盘!$A$4:$G$3460,7,0),"")</f>
        <v>2.7361</v>
      </c>
      <c r="H2833">
        <f>IFERROR(VLOOKUP($A2833,原始数据_利率互换_FR007_1年!$A$6:$C$4395,2,0),"")</f>
        <v>2.4073</v>
      </c>
      <c r="I2833">
        <f>IFERROR(VLOOKUP($A2833,原始数据_利率互换_FR007_1年!$A$6:$C$4395,3,0),"")</f>
        <v>2.7367</v>
      </c>
    </row>
    <row r="2834" spans="1:9">
      <c r="A2834" s="6">
        <v>42327</v>
      </c>
      <c r="B2834">
        <f>IFERROR(VLOOKUP($A2834,原始数据_收盘!$A$4:$G$3460,2,0),"")</f>
        <v>2.3746</v>
      </c>
      <c r="C2834">
        <f>IFERROR(VLOOKUP($A2834,原始数据_收盘!$A$4:$G$3460,3,0),"")</f>
        <v>2.7013</v>
      </c>
      <c r="D2834">
        <f>IFERROR(VLOOKUP($A2834,原始数据_收盘!$A$4:$G$3460,4,0),"")</f>
        <v>2.4346</v>
      </c>
      <c r="E2834">
        <f>IFERROR(VLOOKUP($A2834,原始数据_收盘!$A$4:$G$3460,5,0),"")</f>
        <v>2.7644</v>
      </c>
      <c r="F2834">
        <f>IFERROR(VLOOKUP($A2834,原始数据_收盘!$A$4:$G$3460,6,0),"")</f>
        <v>2.4046</v>
      </c>
      <c r="G2834">
        <f>IFERROR(VLOOKUP($A2834,原始数据_收盘!$A$4:$G$3460,7,0),"")</f>
        <v>2.7328</v>
      </c>
      <c r="H2834">
        <f>IFERROR(VLOOKUP($A2834,原始数据_利率互换_FR007_1年!$A$6:$C$4395,2,0),"")</f>
        <v>2.405</v>
      </c>
      <c r="I2834">
        <f>IFERROR(VLOOKUP($A2834,原始数据_利率互换_FR007_1年!$A$6:$C$4395,3,0),"")</f>
        <v>2.7358</v>
      </c>
    </row>
    <row r="2835" spans="1:9">
      <c r="A2835" s="6">
        <v>42328</v>
      </c>
      <c r="B2835">
        <f>IFERROR(VLOOKUP($A2835,原始数据_收盘!$A$4:$G$3460,2,0),"")</f>
        <v>2.3425</v>
      </c>
      <c r="C2835">
        <f>IFERROR(VLOOKUP($A2835,原始数据_收盘!$A$4:$G$3460,3,0),"")</f>
        <v>2.6675</v>
      </c>
      <c r="D2835">
        <f>IFERROR(VLOOKUP($A2835,原始数据_收盘!$A$4:$G$3460,4,0),"")</f>
        <v>2.3913</v>
      </c>
      <c r="E2835">
        <f>IFERROR(VLOOKUP($A2835,原始数据_收盘!$A$4:$G$3460,5,0),"")</f>
        <v>2.7225</v>
      </c>
      <c r="F2835">
        <f>IFERROR(VLOOKUP($A2835,原始数据_收盘!$A$4:$G$3460,6,0),"")</f>
        <v>2.3669</v>
      </c>
      <c r="G2835">
        <f>IFERROR(VLOOKUP($A2835,原始数据_收盘!$A$4:$G$3460,7,0),"")</f>
        <v>2.695</v>
      </c>
      <c r="H2835">
        <f>IFERROR(VLOOKUP($A2835,原始数据_利率互换_FR007_1年!$A$6:$C$4395,2,0),"")</f>
        <v>2.3764</v>
      </c>
      <c r="I2835">
        <f>IFERROR(VLOOKUP($A2835,原始数据_利率互换_FR007_1年!$A$6:$C$4395,3,0),"")</f>
        <v>2.7095</v>
      </c>
    </row>
    <row r="2836" spans="1:9">
      <c r="A2836" s="6">
        <v>42329</v>
      </c>
      <c r="B2836" t="str">
        <f>IFERROR(VLOOKUP($A2836,原始数据_收盘!$A$4:$G$3460,2,0),"")</f>
        <v/>
      </c>
      <c r="C2836" t="str">
        <f>IFERROR(VLOOKUP($A2836,原始数据_收盘!$A$4:$G$3460,3,0),"")</f>
        <v/>
      </c>
      <c r="D2836" t="str">
        <f>IFERROR(VLOOKUP($A2836,原始数据_收盘!$A$4:$G$3460,4,0),"")</f>
        <v/>
      </c>
      <c r="E2836" t="str">
        <f>IFERROR(VLOOKUP($A2836,原始数据_收盘!$A$4:$G$3460,5,0),"")</f>
        <v/>
      </c>
      <c r="F2836" t="str">
        <f>IFERROR(VLOOKUP($A2836,原始数据_收盘!$A$4:$G$3460,6,0),"")</f>
        <v/>
      </c>
      <c r="G2836" t="str">
        <f>IFERROR(VLOOKUP($A2836,原始数据_收盘!$A$4:$G$3460,7,0),"")</f>
        <v/>
      </c>
      <c r="H2836" t="str">
        <f>IFERROR(VLOOKUP($A2836,原始数据_利率互换_FR007_1年!$A$6:$C$4395,2,0),"")</f>
        <v/>
      </c>
      <c r="I2836" t="str">
        <f>IFERROR(VLOOKUP($A2836,原始数据_利率互换_FR007_1年!$A$6:$C$4395,3,0),"")</f>
        <v/>
      </c>
    </row>
    <row r="2837" spans="1:9">
      <c r="A2837" s="6">
        <v>42330</v>
      </c>
      <c r="B2837" t="str">
        <f>IFERROR(VLOOKUP($A2837,原始数据_收盘!$A$4:$G$3460,2,0),"")</f>
        <v/>
      </c>
      <c r="C2837" t="str">
        <f>IFERROR(VLOOKUP($A2837,原始数据_收盘!$A$4:$G$3460,3,0),"")</f>
        <v/>
      </c>
      <c r="D2837" t="str">
        <f>IFERROR(VLOOKUP($A2837,原始数据_收盘!$A$4:$G$3460,4,0),"")</f>
        <v/>
      </c>
      <c r="E2837" t="str">
        <f>IFERROR(VLOOKUP($A2837,原始数据_收盘!$A$4:$G$3460,5,0),"")</f>
        <v/>
      </c>
      <c r="F2837" t="str">
        <f>IFERROR(VLOOKUP($A2837,原始数据_收盘!$A$4:$G$3460,6,0),"")</f>
        <v/>
      </c>
      <c r="G2837" t="str">
        <f>IFERROR(VLOOKUP($A2837,原始数据_收盘!$A$4:$G$3460,7,0),"")</f>
        <v/>
      </c>
      <c r="H2837" t="str">
        <f>IFERROR(VLOOKUP($A2837,原始数据_利率互换_FR007_1年!$A$6:$C$4395,2,0),"")</f>
        <v/>
      </c>
      <c r="I2837" t="str">
        <f>IFERROR(VLOOKUP($A2837,原始数据_利率互换_FR007_1年!$A$6:$C$4395,3,0),"")</f>
        <v/>
      </c>
    </row>
    <row r="2838" spans="1:9">
      <c r="A2838" s="6">
        <v>42331</v>
      </c>
      <c r="B2838">
        <f>IFERROR(VLOOKUP($A2838,原始数据_收盘!$A$4:$G$3460,2,0),"")</f>
        <v>2.3539</v>
      </c>
      <c r="C2838">
        <f>IFERROR(VLOOKUP($A2838,原始数据_收盘!$A$4:$G$3460,3,0),"")</f>
        <v>2.6868</v>
      </c>
      <c r="D2838">
        <f>IFERROR(VLOOKUP($A2838,原始数据_收盘!$A$4:$G$3460,4,0),"")</f>
        <v>2.4097</v>
      </c>
      <c r="E2838">
        <f>IFERROR(VLOOKUP($A2838,原始数据_收盘!$A$4:$G$3460,5,0),"")</f>
        <v>2.7482</v>
      </c>
      <c r="F2838">
        <f>IFERROR(VLOOKUP($A2838,原始数据_收盘!$A$4:$G$3460,6,0),"")</f>
        <v>2.3818</v>
      </c>
      <c r="G2838">
        <f>IFERROR(VLOOKUP($A2838,原始数据_收盘!$A$4:$G$3460,7,0),"")</f>
        <v>2.7175</v>
      </c>
      <c r="H2838">
        <f>IFERROR(VLOOKUP($A2838,原始数据_利率互换_FR007_1年!$A$6:$C$4395,2,0),"")</f>
        <v>2.3824</v>
      </c>
      <c r="I2838">
        <f>IFERROR(VLOOKUP($A2838,原始数据_利率互换_FR007_1年!$A$6:$C$4395,3,0),"")</f>
        <v>2.708</v>
      </c>
    </row>
    <row r="2839" spans="1:9">
      <c r="A2839" s="6">
        <v>42332</v>
      </c>
      <c r="B2839">
        <f>IFERROR(VLOOKUP($A2839,原始数据_收盘!$A$4:$G$3460,2,0),"")</f>
        <v>2.351</v>
      </c>
      <c r="C2839">
        <f>IFERROR(VLOOKUP($A2839,原始数据_收盘!$A$4:$G$3460,3,0),"")</f>
        <v>2.6765</v>
      </c>
      <c r="D2839">
        <f>IFERROR(VLOOKUP($A2839,原始数据_收盘!$A$4:$G$3460,4,0),"")</f>
        <v>2.4053</v>
      </c>
      <c r="E2839">
        <f>IFERROR(VLOOKUP($A2839,原始数据_收盘!$A$4:$G$3460,5,0),"")</f>
        <v>2.7343</v>
      </c>
      <c r="F2839">
        <f>IFERROR(VLOOKUP($A2839,原始数据_收盘!$A$4:$G$3460,6,0),"")</f>
        <v>2.3782</v>
      </c>
      <c r="G2839">
        <f>IFERROR(VLOOKUP($A2839,原始数据_收盘!$A$4:$G$3460,7,0),"")</f>
        <v>2.7054</v>
      </c>
      <c r="H2839">
        <f>IFERROR(VLOOKUP($A2839,原始数据_利率互换_FR007_1年!$A$6:$C$4395,2,0),"")</f>
        <v>2.3748</v>
      </c>
      <c r="I2839">
        <f>IFERROR(VLOOKUP($A2839,原始数据_利率互换_FR007_1年!$A$6:$C$4395,3,0),"")</f>
        <v>2.7025</v>
      </c>
    </row>
    <row r="2840" spans="1:9">
      <c r="A2840" s="6">
        <v>42333</v>
      </c>
      <c r="B2840">
        <f>IFERROR(VLOOKUP($A2840,原始数据_收盘!$A$4:$G$3460,2,0),"")</f>
        <v>2.3529</v>
      </c>
      <c r="C2840">
        <f>IFERROR(VLOOKUP($A2840,原始数据_收盘!$A$4:$G$3460,3,0),"")</f>
        <v>2.6744</v>
      </c>
      <c r="D2840">
        <f>IFERROR(VLOOKUP($A2840,原始数据_收盘!$A$4:$G$3460,4,0),"")</f>
        <v>2.4025</v>
      </c>
      <c r="E2840">
        <f>IFERROR(VLOOKUP($A2840,原始数据_收盘!$A$4:$G$3460,5,0),"")</f>
        <v>2.735</v>
      </c>
      <c r="F2840">
        <f>IFERROR(VLOOKUP($A2840,原始数据_收盘!$A$4:$G$3460,6,0),"")</f>
        <v>2.3777</v>
      </c>
      <c r="G2840">
        <f>IFERROR(VLOOKUP($A2840,原始数据_收盘!$A$4:$G$3460,7,0),"")</f>
        <v>2.7047</v>
      </c>
      <c r="H2840">
        <f>IFERROR(VLOOKUP($A2840,原始数据_利率互换_FR007_1年!$A$6:$C$4395,2,0),"")</f>
        <v>2.3782</v>
      </c>
      <c r="I2840">
        <f>IFERROR(VLOOKUP($A2840,原始数据_利率互换_FR007_1年!$A$6:$C$4395,3,0),"")</f>
        <v>2.7026</v>
      </c>
    </row>
    <row r="2841" spans="1:9">
      <c r="A2841" s="6">
        <v>42334</v>
      </c>
      <c r="B2841">
        <f>IFERROR(VLOOKUP($A2841,原始数据_收盘!$A$4:$G$3460,2,0),"")</f>
        <v>2.3463</v>
      </c>
      <c r="C2841">
        <f>IFERROR(VLOOKUP($A2841,原始数据_收盘!$A$4:$G$3460,3,0),"")</f>
        <v>2.6731</v>
      </c>
      <c r="D2841">
        <f>IFERROR(VLOOKUP($A2841,原始数据_收盘!$A$4:$G$3460,4,0),"")</f>
        <v>2.4025</v>
      </c>
      <c r="E2841">
        <f>IFERROR(VLOOKUP($A2841,原始数据_收盘!$A$4:$G$3460,5,0),"")</f>
        <v>2.7275</v>
      </c>
      <c r="F2841">
        <f>IFERROR(VLOOKUP($A2841,原始数据_收盘!$A$4:$G$3460,6,0),"")</f>
        <v>2.3744</v>
      </c>
      <c r="G2841">
        <f>IFERROR(VLOOKUP($A2841,原始数据_收盘!$A$4:$G$3460,7,0),"")</f>
        <v>2.7003</v>
      </c>
      <c r="H2841">
        <f>IFERROR(VLOOKUP($A2841,原始数据_利率互换_FR007_1年!$A$6:$C$4395,2,0),"")</f>
        <v>2.3732</v>
      </c>
      <c r="I2841">
        <f>IFERROR(VLOOKUP($A2841,原始数据_利率互换_FR007_1年!$A$6:$C$4395,3,0),"")</f>
        <v>2.6935</v>
      </c>
    </row>
    <row r="2842" spans="1:9">
      <c r="A2842" s="6">
        <v>42335</v>
      </c>
      <c r="B2842">
        <f>IFERROR(VLOOKUP($A2842,原始数据_收盘!$A$4:$G$3460,2,0),"")</f>
        <v>2.3475</v>
      </c>
      <c r="C2842">
        <f>IFERROR(VLOOKUP($A2842,原始数据_收盘!$A$4:$G$3460,3,0),"")</f>
        <v>2.6656</v>
      </c>
      <c r="D2842">
        <f>IFERROR(VLOOKUP($A2842,原始数据_收盘!$A$4:$G$3460,4,0),"")</f>
        <v>2.3988</v>
      </c>
      <c r="E2842">
        <f>IFERROR(VLOOKUP($A2842,原始数据_收盘!$A$4:$G$3460,5,0),"")</f>
        <v>2.7238</v>
      </c>
      <c r="F2842">
        <f>IFERROR(VLOOKUP($A2842,原始数据_收盘!$A$4:$G$3460,6,0),"")</f>
        <v>2.3731</v>
      </c>
      <c r="G2842">
        <f>IFERROR(VLOOKUP($A2842,原始数据_收盘!$A$4:$G$3460,7,0),"")</f>
        <v>2.6947</v>
      </c>
      <c r="H2842">
        <f>IFERROR(VLOOKUP($A2842,原始数据_利率互换_FR007_1年!$A$6:$C$4395,2,0),"")</f>
        <v>2.3743</v>
      </c>
      <c r="I2842">
        <f>IFERROR(VLOOKUP($A2842,原始数据_利率互换_FR007_1年!$A$6:$C$4395,3,0),"")</f>
        <v>2.6893</v>
      </c>
    </row>
    <row r="2843" spans="1:9">
      <c r="A2843" s="6">
        <v>42336</v>
      </c>
      <c r="B2843" t="str">
        <f>IFERROR(VLOOKUP($A2843,原始数据_收盘!$A$4:$G$3460,2,0),"")</f>
        <v/>
      </c>
      <c r="C2843" t="str">
        <f>IFERROR(VLOOKUP($A2843,原始数据_收盘!$A$4:$G$3460,3,0),"")</f>
        <v/>
      </c>
      <c r="D2843" t="str">
        <f>IFERROR(VLOOKUP($A2843,原始数据_收盘!$A$4:$G$3460,4,0),"")</f>
        <v/>
      </c>
      <c r="E2843" t="str">
        <f>IFERROR(VLOOKUP($A2843,原始数据_收盘!$A$4:$G$3460,5,0),"")</f>
        <v/>
      </c>
      <c r="F2843" t="str">
        <f>IFERROR(VLOOKUP($A2843,原始数据_收盘!$A$4:$G$3460,6,0),"")</f>
        <v/>
      </c>
      <c r="G2843" t="str">
        <f>IFERROR(VLOOKUP($A2843,原始数据_收盘!$A$4:$G$3460,7,0),"")</f>
        <v/>
      </c>
      <c r="H2843" t="str">
        <f>IFERROR(VLOOKUP($A2843,原始数据_利率互换_FR007_1年!$A$6:$C$4395,2,0),"")</f>
        <v/>
      </c>
      <c r="I2843" t="str">
        <f>IFERROR(VLOOKUP($A2843,原始数据_利率互换_FR007_1年!$A$6:$C$4395,3,0),"")</f>
        <v/>
      </c>
    </row>
    <row r="2844" spans="1:9">
      <c r="A2844" s="6">
        <v>42337</v>
      </c>
      <c r="B2844" t="str">
        <f>IFERROR(VLOOKUP($A2844,原始数据_收盘!$A$4:$G$3460,2,0),"")</f>
        <v/>
      </c>
      <c r="C2844" t="str">
        <f>IFERROR(VLOOKUP($A2844,原始数据_收盘!$A$4:$G$3460,3,0),"")</f>
        <v/>
      </c>
      <c r="D2844" t="str">
        <f>IFERROR(VLOOKUP($A2844,原始数据_收盘!$A$4:$G$3460,4,0),"")</f>
        <v/>
      </c>
      <c r="E2844" t="str">
        <f>IFERROR(VLOOKUP($A2844,原始数据_收盘!$A$4:$G$3460,5,0),"")</f>
        <v/>
      </c>
      <c r="F2844" t="str">
        <f>IFERROR(VLOOKUP($A2844,原始数据_收盘!$A$4:$G$3460,6,0),"")</f>
        <v/>
      </c>
      <c r="G2844" t="str">
        <f>IFERROR(VLOOKUP($A2844,原始数据_收盘!$A$4:$G$3460,7,0),"")</f>
        <v/>
      </c>
      <c r="H2844" t="str">
        <f>IFERROR(VLOOKUP($A2844,原始数据_利率互换_FR007_1年!$A$6:$C$4395,2,0),"")</f>
        <v/>
      </c>
      <c r="I2844" t="str">
        <f>IFERROR(VLOOKUP($A2844,原始数据_利率互换_FR007_1年!$A$6:$C$4395,3,0),"")</f>
        <v/>
      </c>
    </row>
    <row r="2845" spans="1:9">
      <c r="A2845" s="6">
        <v>42338</v>
      </c>
      <c r="B2845">
        <f>IFERROR(VLOOKUP($A2845,原始数据_收盘!$A$4:$G$3460,2,0),"")</f>
        <v>2.3475</v>
      </c>
      <c r="C2845">
        <f>IFERROR(VLOOKUP($A2845,原始数据_收盘!$A$4:$G$3460,3,0),"")</f>
        <v>2.6575</v>
      </c>
      <c r="D2845">
        <f>IFERROR(VLOOKUP($A2845,原始数据_收盘!$A$4:$G$3460,4,0),"")</f>
        <v>2.3988</v>
      </c>
      <c r="E2845">
        <f>IFERROR(VLOOKUP($A2845,原始数据_收盘!$A$4:$G$3460,5,0),"")</f>
        <v>2.7213</v>
      </c>
      <c r="F2845">
        <f>IFERROR(VLOOKUP($A2845,原始数据_收盘!$A$4:$G$3460,6,0),"")</f>
        <v>2.3731</v>
      </c>
      <c r="G2845">
        <f>IFERROR(VLOOKUP($A2845,原始数据_收盘!$A$4:$G$3460,7,0),"")</f>
        <v>2.6894</v>
      </c>
      <c r="H2845">
        <f>IFERROR(VLOOKUP($A2845,原始数据_利率互换_FR007_1年!$A$6:$C$4395,2,0),"")</f>
        <v>2.3699</v>
      </c>
      <c r="I2845">
        <f>IFERROR(VLOOKUP($A2845,原始数据_利率互换_FR007_1年!$A$6:$C$4395,3,0),"")</f>
        <v>2.6863</v>
      </c>
    </row>
    <row r="2846" spans="1:9">
      <c r="A2846" s="6">
        <v>42339</v>
      </c>
      <c r="B2846">
        <f>IFERROR(VLOOKUP($A2846,原始数据_收盘!$A$4:$G$3460,2,0),"")</f>
        <v>2.3413</v>
      </c>
      <c r="C2846">
        <f>IFERROR(VLOOKUP($A2846,原始数据_收盘!$A$4:$G$3460,3,0),"")</f>
        <v>2.6581</v>
      </c>
      <c r="D2846">
        <f>IFERROR(VLOOKUP($A2846,原始数据_收盘!$A$4:$G$3460,4,0),"")</f>
        <v>2.3929</v>
      </c>
      <c r="E2846">
        <f>IFERROR(VLOOKUP($A2846,原始数据_收盘!$A$4:$G$3460,5,0),"")</f>
        <v>2.72</v>
      </c>
      <c r="F2846">
        <f>IFERROR(VLOOKUP($A2846,原始数据_收盘!$A$4:$G$3460,6,0),"")</f>
        <v>2.3671</v>
      </c>
      <c r="G2846">
        <f>IFERROR(VLOOKUP($A2846,原始数据_收盘!$A$4:$G$3460,7,0),"")</f>
        <v>2.6891</v>
      </c>
      <c r="H2846">
        <f>IFERROR(VLOOKUP($A2846,原始数据_利率互换_FR007_1年!$A$6:$C$4395,2,0),"")</f>
        <v>2.3603</v>
      </c>
      <c r="I2846">
        <f>IFERROR(VLOOKUP($A2846,原始数据_利率互换_FR007_1年!$A$6:$C$4395,3,0),"")</f>
        <v>2.6766</v>
      </c>
    </row>
    <row r="2847" spans="1:9">
      <c r="A2847" s="6">
        <v>42340</v>
      </c>
      <c r="B2847">
        <f>IFERROR(VLOOKUP($A2847,原始数据_收盘!$A$4:$G$3460,2,0),"")</f>
        <v>2.3284</v>
      </c>
      <c r="C2847">
        <f>IFERROR(VLOOKUP($A2847,原始数据_收盘!$A$4:$G$3460,3,0),"")</f>
        <v>2.64</v>
      </c>
      <c r="D2847">
        <f>IFERROR(VLOOKUP($A2847,原始数据_收盘!$A$4:$G$3460,4,0),"")</f>
        <v>2.3841</v>
      </c>
      <c r="E2847">
        <f>IFERROR(VLOOKUP($A2847,原始数据_收盘!$A$4:$G$3460,5,0),"")</f>
        <v>2.7063</v>
      </c>
      <c r="F2847">
        <f>IFERROR(VLOOKUP($A2847,原始数据_收盘!$A$4:$G$3460,6,0),"")</f>
        <v>2.3563</v>
      </c>
      <c r="G2847">
        <f>IFERROR(VLOOKUP($A2847,原始数据_收盘!$A$4:$G$3460,7,0),"")</f>
        <v>2.6731</v>
      </c>
      <c r="H2847">
        <f>IFERROR(VLOOKUP($A2847,原始数据_利率互换_FR007_1年!$A$6:$C$4395,2,0),"")</f>
        <v>2.3537</v>
      </c>
      <c r="I2847">
        <f>IFERROR(VLOOKUP($A2847,原始数据_利率互换_FR007_1年!$A$6:$C$4395,3,0),"")</f>
        <v>2.6756</v>
      </c>
    </row>
    <row r="2848" spans="1:9">
      <c r="A2848" s="6">
        <v>42341</v>
      </c>
      <c r="B2848">
        <f>IFERROR(VLOOKUP($A2848,原始数据_收盘!$A$4:$G$3460,2,0),"")</f>
        <v>2.2991</v>
      </c>
      <c r="C2848">
        <f>IFERROR(VLOOKUP($A2848,原始数据_收盘!$A$4:$G$3460,3,0),"")</f>
        <v>2.6013</v>
      </c>
      <c r="D2848">
        <f>IFERROR(VLOOKUP($A2848,原始数据_收盘!$A$4:$G$3460,4,0),"")</f>
        <v>2.3584</v>
      </c>
      <c r="E2848">
        <f>IFERROR(VLOOKUP($A2848,原始数据_收盘!$A$4:$G$3460,5,0),"")</f>
        <v>2.6704</v>
      </c>
      <c r="F2848">
        <f>IFERROR(VLOOKUP($A2848,原始数据_收盘!$A$4:$G$3460,6,0),"")</f>
        <v>2.3288</v>
      </c>
      <c r="G2848">
        <f>IFERROR(VLOOKUP($A2848,原始数据_收盘!$A$4:$G$3460,7,0),"")</f>
        <v>2.6358</v>
      </c>
      <c r="H2848">
        <f>IFERROR(VLOOKUP($A2848,原始数据_利率互换_FR007_1年!$A$6:$C$4395,2,0),"")</f>
        <v>2.4044</v>
      </c>
      <c r="I2848">
        <f>IFERROR(VLOOKUP($A2848,原始数据_利率互换_FR007_1年!$A$6:$C$4395,3,0),"")</f>
        <v>2.6558</v>
      </c>
    </row>
    <row r="2849" spans="1:9">
      <c r="A2849" s="6">
        <v>42342</v>
      </c>
      <c r="B2849">
        <f>IFERROR(VLOOKUP($A2849,原始数据_收盘!$A$4:$G$3460,2,0),"")</f>
        <v>2.2975</v>
      </c>
      <c r="C2849">
        <f>IFERROR(VLOOKUP($A2849,原始数据_收盘!$A$4:$G$3460,3,0),"")</f>
        <v>2.5954</v>
      </c>
      <c r="D2849">
        <f>IFERROR(VLOOKUP($A2849,原始数据_收盘!$A$4:$G$3460,4,0),"")</f>
        <v>2.3479</v>
      </c>
      <c r="E2849">
        <f>IFERROR(VLOOKUP($A2849,原始数据_收盘!$A$4:$G$3460,5,0),"")</f>
        <v>2.6454</v>
      </c>
      <c r="F2849">
        <f>IFERROR(VLOOKUP($A2849,原始数据_收盘!$A$4:$G$3460,6,0),"")</f>
        <v>2.3227</v>
      </c>
      <c r="G2849">
        <f>IFERROR(VLOOKUP($A2849,原始数据_收盘!$A$4:$G$3460,7,0),"")</f>
        <v>2.6204</v>
      </c>
      <c r="H2849">
        <f>IFERROR(VLOOKUP($A2849,原始数据_利率互换_FR007_1年!$A$6:$C$4395,2,0),"")</f>
        <v>2.3088</v>
      </c>
      <c r="I2849">
        <f>IFERROR(VLOOKUP($A2849,原始数据_利率互换_FR007_1年!$A$6:$C$4395,3,0),"")</f>
        <v>2.6205</v>
      </c>
    </row>
    <row r="2850" spans="1:9">
      <c r="A2850" s="6">
        <v>42343</v>
      </c>
      <c r="B2850" t="str">
        <f>IFERROR(VLOOKUP($A2850,原始数据_收盘!$A$4:$G$3460,2,0),"")</f>
        <v/>
      </c>
      <c r="C2850" t="str">
        <f>IFERROR(VLOOKUP($A2850,原始数据_收盘!$A$4:$G$3460,3,0),"")</f>
        <v/>
      </c>
      <c r="D2850" t="str">
        <f>IFERROR(VLOOKUP($A2850,原始数据_收盘!$A$4:$G$3460,4,0),"")</f>
        <v/>
      </c>
      <c r="E2850" t="str">
        <f>IFERROR(VLOOKUP($A2850,原始数据_收盘!$A$4:$G$3460,5,0),"")</f>
        <v/>
      </c>
      <c r="F2850" t="str">
        <f>IFERROR(VLOOKUP($A2850,原始数据_收盘!$A$4:$G$3460,6,0),"")</f>
        <v/>
      </c>
      <c r="G2850" t="str">
        <f>IFERROR(VLOOKUP($A2850,原始数据_收盘!$A$4:$G$3460,7,0),"")</f>
        <v/>
      </c>
      <c r="H2850" t="str">
        <f>IFERROR(VLOOKUP($A2850,原始数据_利率互换_FR007_1年!$A$6:$C$4395,2,0),"")</f>
        <v/>
      </c>
      <c r="I2850" t="str">
        <f>IFERROR(VLOOKUP($A2850,原始数据_利率互换_FR007_1年!$A$6:$C$4395,3,0),"")</f>
        <v/>
      </c>
    </row>
    <row r="2851" spans="1:9">
      <c r="A2851" s="6">
        <v>42344</v>
      </c>
      <c r="B2851" t="str">
        <f>IFERROR(VLOOKUP($A2851,原始数据_收盘!$A$4:$G$3460,2,0),"")</f>
        <v/>
      </c>
      <c r="C2851" t="str">
        <f>IFERROR(VLOOKUP($A2851,原始数据_收盘!$A$4:$G$3460,3,0),"")</f>
        <v/>
      </c>
      <c r="D2851" t="str">
        <f>IFERROR(VLOOKUP($A2851,原始数据_收盘!$A$4:$G$3460,4,0),"")</f>
        <v/>
      </c>
      <c r="E2851" t="str">
        <f>IFERROR(VLOOKUP($A2851,原始数据_收盘!$A$4:$G$3460,5,0),"")</f>
        <v/>
      </c>
      <c r="F2851" t="str">
        <f>IFERROR(VLOOKUP($A2851,原始数据_收盘!$A$4:$G$3460,6,0),"")</f>
        <v/>
      </c>
      <c r="G2851" t="str">
        <f>IFERROR(VLOOKUP($A2851,原始数据_收盘!$A$4:$G$3460,7,0),"")</f>
        <v/>
      </c>
      <c r="H2851" t="str">
        <f>IFERROR(VLOOKUP($A2851,原始数据_利率互换_FR007_1年!$A$6:$C$4395,2,0),"")</f>
        <v/>
      </c>
      <c r="I2851" t="str">
        <f>IFERROR(VLOOKUP($A2851,原始数据_利率互换_FR007_1年!$A$6:$C$4395,3,0),"")</f>
        <v/>
      </c>
    </row>
    <row r="2852" spans="1:9">
      <c r="A2852" s="6">
        <v>42345</v>
      </c>
      <c r="B2852">
        <f>IFERROR(VLOOKUP($A2852,原始数据_收盘!$A$4:$G$3460,2,0),"")</f>
        <v>2.2938</v>
      </c>
      <c r="C2852">
        <f>IFERROR(VLOOKUP($A2852,原始数据_收盘!$A$4:$G$3460,3,0),"")</f>
        <v>2.5938</v>
      </c>
      <c r="D2852">
        <f>IFERROR(VLOOKUP($A2852,原始数据_收盘!$A$4:$G$3460,4,0),"")</f>
        <v>2.3521</v>
      </c>
      <c r="E2852">
        <f>IFERROR(VLOOKUP($A2852,原始数据_收盘!$A$4:$G$3460,5,0),"")</f>
        <v>2.6591</v>
      </c>
      <c r="F2852">
        <f>IFERROR(VLOOKUP($A2852,原始数据_收盘!$A$4:$G$3460,6,0),"")</f>
        <v>2.3229</v>
      </c>
      <c r="G2852">
        <f>IFERROR(VLOOKUP($A2852,原始数据_收盘!$A$4:$G$3460,7,0),"")</f>
        <v>2.6264</v>
      </c>
      <c r="H2852">
        <f>IFERROR(VLOOKUP($A2852,原始数据_利率互换_FR007_1年!$A$6:$C$4395,2,0),"")</f>
        <v>2.3168</v>
      </c>
      <c r="I2852">
        <f>IFERROR(VLOOKUP($A2852,原始数据_利率互换_FR007_1年!$A$6:$C$4395,3,0),"")</f>
        <v>2.6244</v>
      </c>
    </row>
    <row r="2853" spans="1:9">
      <c r="A2853" s="6">
        <v>42346</v>
      </c>
      <c r="B2853">
        <f>IFERROR(VLOOKUP($A2853,原始数据_收盘!$A$4:$G$3460,2,0),"")</f>
        <v>2.2975</v>
      </c>
      <c r="C2853">
        <f>IFERROR(VLOOKUP($A2853,原始数据_收盘!$A$4:$G$3460,3,0),"")</f>
        <v>2.6025</v>
      </c>
      <c r="D2853">
        <f>IFERROR(VLOOKUP($A2853,原始数据_收盘!$A$4:$G$3460,4,0),"")</f>
        <v>2.3441</v>
      </c>
      <c r="E2853">
        <f>IFERROR(VLOOKUP($A2853,原始数据_收盘!$A$4:$G$3460,5,0),"")</f>
        <v>2.6588</v>
      </c>
      <c r="F2853">
        <f>IFERROR(VLOOKUP($A2853,原始数据_收盘!$A$4:$G$3460,6,0),"")</f>
        <v>2.3208</v>
      </c>
      <c r="G2853">
        <f>IFERROR(VLOOKUP($A2853,原始数据_收盘!$A$4:$G$3460,7,0),"")</f>
        <v>2.6306</v>
      </c>
      <c r="H2853">
        <f>IFERROR(VLOOKUP($A2853,原始数据_利率互换_FR007_1年!$A$6:$C$4395,2,0),"")</f>
        <v>2.3082</v>
      </c>
      <c r="I2853">
        <f>IFERROR(VLOOKUP($A2853,原始数据_利率互换_FR007_1年!$A$6:$C$4395,3,0),"")</f>
        <v>2.6293</v>
      </c>
    </row>
    <row r="2854" spans="1:9">
      <c r="A2854" s="6">
        <v>42347</v>
      </c>
      <c r="B2854">
        <f>IFERROR(VLOOKUP($A2854,原始数据_收盘!$A$4:$G$3460,2,0),"")</f>
        <v>2.2925</v>
      </c>
      <c r="C2854">
        <f>IFERROR(VLOOKUP($A2854,原始数据_收盘!$A$4:$G$3460,3,0),"")</f>
        <v>2.5975</v>
      </c>
      <c r="D2854">
        <f>IFERROR(VLOOKUP($A2854,原始数据_收盘!$A$4:$G$3460,4,0),"")</f>
        <v>2.3429</v>
      </c>
      <c r="E2854">
        <f>IFERROR(VLOOKUP($A2854,原始数据_收盘!$A$4:$G$3460,5,0),"")</f>
        <v>2.6579</v>
      </c>
      <c r="F2854">
        <f>IFERROR(VLOOKUP($A2854,原始数据_收盘!$A$4:$G$3460,6,0),"")</f>
        <v>2.3177</v>
      </c>
      <c r="G2854">
        <f>IFERROR(VLOOKUP($A2854,原始数据_收盘!$A$4:$G$3460,7,0),"")</f>
        <v>2.6277</v>
      </c>
      <c r="H2854">
        <f>IFERROR(VLOOKUP($A2854,原始数据_利率互换_FR007_1年!$A$6:$C$4395,2,0),"")</f>
        <v>2.3086</v>
      </c>
      <c r="I2854">
        <f>IFERROR(VLOOKUP($A2854,原始数据_利率互换_FR007_1年!$A$6:$C$4395,3,0),"")</f>
        <v>2.6239</v>
      </c>
    </row>
    <row r="2855" spans="1:9">
      <c r="A2855" s="6">
        <v>42348</v>
      </c>
      <c r="B2855">
        <f>IFERROR(VLOOKUP($A2855,原始数据_收盘!$A$4:$G$3460,2,0),"")</f>
        <v>2.2938</v>
      </c>
      <c r="C2855">
        <f>IFERROR(VLOOKUP($A2855,原始数据_收盘!$A$4:$G$3460,3,0),"")</f>
        <v>2.5975</v>
      </c>
      <c r="D2855">
        <f>IFERROR(VLOOKUP($A2855,原始数据_收盘!$A$4:$G$3460,4,0),"")</f>
        <v>2.3441</v>
      </c>
      <c r="E2855">
        <f>IFERROR(VLOOKUP($A2855,原始数据_收盘!$A$4:$G$3460,5,0),"")</f>
        <v>2.6584</v>
      </c>
      <c r="F2855">
        <f>IFERROR(VLOOKUP($A2855,原始数据_收盘!$A$4:$G$3460,6,0),"")</f>
        <v>2.3189</v>
      </c>
      <c r="G2855">
        <f>IFERROR(VLOOKUP($A2855,原始数据_收盘!$A$4:$G$3460,7,0),"")</f>
        <v>2.6279</v>
      </c>
      <c r="H2855">
        <f>IFERROR(VLOOKUP($A2855,原始数据_利率互换_FR007_1年!$A$6:$C$4395,2,0),"")</f>
        <v>2.3083</v>
      </c>
      <c r="I2855">
        <f>IFERROR(VLOOKUP($A2855,原始数据_利率互换_FR007_1年!$A$6:$C$4395,3,0),"")</f>
        <v>2.6281</v>
      </c>
    </row>
    <row r="2856" spans="1:9">
      <c r="A2856" s="6">
        <v>42349</v>
      </c>
      <c r="B2856">
        <f>IFERROR(VLOOKUP($A2856,原始数据_收盘!$A$4:$G$3460,2,0),"")</f>
        <v>2.2913</v>
      </c>
      <c r="C2856">
        <f>IFERROR(VLOOKUP($A2856,原始数据_收盘!$A$4:$G$3460,3,0),"")</f>
        <v>2.6013</v>
      </c>
      <c r="D2856">
        <f>IFERROR(VLOOKUP($A2856,原始数据_收盘!$A$4:$G$3460,4,0),"")</f>
        <v>2.3416</v>
      </c>
      <c r="E2856">
        <f>IFERROR(VLOOKUP($A2856,原始数据_收盘!$A$4:$G$3460,5,0),"")</f>
        <v>2.6554</v>
      </c>
      <c r="F2856">
        <f>IFERROR(VLOOKUP($A2856,原始数据_收盘!$A$4:$G$3460,6,0),"")</f>
        <v>2.3164</v>
      </c>
      <c r="G2856">
        <f>IFERROR(VLOOKUP($A2856,原始数据_收盘!$A$4:$G$3460,7,0),"")</f>
        <v>2.6283</v>
      </c>
      <c r="H2856">
        <f>IFERROR(VLOOKUP($A2856,原始数据_利率互换_FR007_1年!$A$6:$C$4395,2,0),"")</f>
        <v>2.3079</v>
      </c>
      <c r="I2856">
        <f>IFERROR(VLOOKUP($A2856,原始数据_利率互换_FR007_1年!$A$6:$C$4395,3,0),"")</f>
        <v>2.6301</v>
      </c>
    </row>
    <row r="2857" spans="1:9">
      <c r="A2857" s="6">
        <v>42350</v>
      </c>
      <c r="B2857" t="str">
        <f>IFERROR(VLOOKUP($A2857,原始数据_收盘!$A$4:$G$3460,2,0),"")</f>
        <v/>
      </c>
      <c r="C2857" t="str">
        <f>IFERROR(VLOOKUP($A2857,原始数据_收盘!$A$4:$G$3460,3,0),"")</f>
        <v/>
      </c>
      <c r="D2857" t="str">
        <f>IFERROR(VLOOKUP($A2857,原始数据_收盘!$A$4:$G$3460,4,0),"")</f>
        <v/>
      </c>
      <c r="E2857" t="str">
        <f>IFERROR(VLOOKUP($A2857,原始数据_收盘!$A$4:$G$3460,5,0),"")</f>
        <v/>
      </c>
      <c r="F2857" t="str">
        <f>IFERROR(VLOOKUP($A2857,原始数据_收盘!$A$4:$G$3460,6,0),"")</f>
        <v/>
      </c>
      <c r="G2857" t="str">
        <f>IFERROR(VLOOKUP($A2857,原始数据_收盘!$A$4:$G$3460,7,0),"")</f>
        <v/>
      </c>
      <c r="H2857" t="str">
        <f>IFERROR(VLOOKUP($A2857,原始数据_利率互换_FR007_1年!$A$6:$C$4395,2,0),"")</f>
        <v/>
      </c>
      <c r="I2857" t="str">
        <f>IFERROR(VLOOKUP($A2857,原始数据_利率互换_FR007_1年!$A$6:$C$4395,3,0),"")</f>
        <v/>
      </c>
    </row>
    <row r="2858" spans="1:9">
      <c r="A2858" s="6">
        <v>42351</v>
      </c>
      <c r="B2858" t="str">
        <f>IFERROR(VLOOKUP($A2858,原始数据_收盘!$A$4:$G$3460,2,0),"")</f>
        <v/>
      </c>
      <c r="C2858" t="str">
        <f>IFERROR(VLOOKUP($A2858,原始数据_收盘!$A$4:$G$3460,3,0),"")</f>
        <v/>
      </c>
      <c r="D2858" t="str">
        <f>IFERROR(VLOOKUP($A2858,原始数据_收盘!$A$4:$G$3460,4,0),"")</f>
        <v/>
      </c>
      <c r="E2858" t="str">
        <f>IFERROR(VLOOKUP($A2858,原始数据_收盘!$A$4:$G$3460,5,0),"")</f>
        <v/>
      </c>
      <c r="F2858" t="str">
        <f>IFERROR(VLOOKUP($A2858,原始数据_收盘!$A$4:$G$3460,6,0),"")</f>
        <v/>
      </c>
      <c r="G2858" t="str">
        <f>IFERROR(VLOOKUP($A2858,原始数据_收盘!$A$4:$G$3460,7,0),"")</f>
        <v/>
      </c>
      <c r="H2858" t="str">
        <f>IFERROR(VLOOKUP($A2858,原始数据_利率互换_FR007_1年!$A$6:$C$4395,2,0),"")</f>
        <v/>
      </c>
      <c r="I2858" t="str">
        <f>IFERROR(VLOOKUP($A2858,原始数据_利率互换_FR007_1年!$A$6:$C$4395,3,0),"")</f>
        <v/>
      </c>
    </row>
    <row r="2859" spans="1:9">
      <c r="A2859" s="6">
        <v>42352</v>
      </c>
      <c r="B2859">
        <f>IFERROR(VLOOKUP($A2859,原始数据_收盘!$A$4:$G$3460,2,0),"")</f>
        <v>2.305</v>
      </c>
      <c r="C2859">
        <f>IFERROR(VLOOKUP($A2859,原始数据_收盘!$A$4:$G$3460,3,0),"")</f>
        <v>2.625</v>
      </c>
      <c r="D2859">
        <f>IFERROR(VLOOKUP($A2859,原始数据_收盘!$A$4:$G$3460,4,0),"")</f>
        <v>2.3563</v>
      </c>
      <c r="E2859">
        <f>IFERROR(VLOOKUP($A2859,原始数据_收盘!$A$4:$G$3460,5,0),"")</f>
        <v>2.6838</v>
      </c>
      <c r="F2859">
        <f>IFERROR(VLOOKUP($A2859,原始数据_收盘!$A$4:$G$3460,6,0),"")</f>
        <v>2.3306</v>
      </c>
      <c r="G2859">
        <f>IFERROR(VLOOKUP($A2859,原始数据_收盘!$A$4:$G$3460,7,0),"")</f>
        <v>2.6544</v>
      </c>
      <c r="H2859">
        <f>IFERROR(VLOOKUP($A2859,原始数据_利率互换_FR007_1年!$A$6:$C$4395,2,0),"")</f>
        <v>2.3256</v>
      </c>
      <c r="I2859">
        <f>IFERROR(VLOOKUP($A2859,原始数据_利率互换_FR007_1年!$A$6:$C$4395,3,0),"")</f>
        <v>2.6517</v>
      </c>
    </row>
    <row r="2860" spans="1:9">
      <c r="A2860" s="6">
        <v>42353</v>
      </c>
      <c r="B2860">
        <f>IFERROR(VLOOKUP($A2860,原始数据_收盘!$A$4:$G$3460,2,0),"")</f>
        <v>2.305</v>
      </c>
      <c r="C2860">
        <f>IFERROR(VLOOKUP($A2860,原始数据_收盘!$A$4:$G$3460,3,0),"")</f>
        <v>2.6275</v>
      </c>
      <c r="D2860">
        <f>IFERROR(VLOOKUP($A2860,原始数据_收盘!$A$4:$G$3460,4,0),"")</f>
        <v>2.3613</v>
      </c>
      <c r="E2860">
        <f>IFERROR(VLOOKUP($A2860,原始数据_收盘!$A$4:$G$3460,5,0),"")</f>
        <v>2.6875</v>
      </c>
      <c r="F2860">
        <f>IFERROR(VLOOKUP($A2860,原始数据_收盘!$A$4:$G$3460,6,0),"")</f>
        <v>2.3331</v>
      </c>
      <c r="G2860">
        <f>IFERROR(VLOOKUP($A2860,原始数据_收盘!$A$4:$G$3460,7,0),"")</f>
        <v>2.6575</v>
      </c>
      <c r="H2860">
        <f>IFERROR(VLOOKUP($A2860,原始数据_利率互换_FR007_1年!$A$6:$C$4395,2,0),"")</f>
        <v>2.3311</v>
      </c>
      <c r="I2860">
        <f>IFERROR(VLOOKUP($A2860,原始数据_利率互换_FR007_1年!$A$6:$C$4395,3,0),"")</f>
        <v>2.66</v>
      </c>
    </row>
    <row r="2861" spans="1:9">
      <c r="A2861" s="6">
        <v>42354</v>
      </c>
      <c r="B2861">
        <f>IFERROR(VLOOKUP($A2861,原始数据_收盘!$A$4:$G$3460,2,0),"")</f>
        <v>2.3013</v>
      </c>
      <c r="C2861">
        <f>IFERROR(VLOOKUP($A2861,原始数据_收盘!$A$4:$G$3460,3,0),"")</f>
        <v>2.6091</v>
      </c>
      <c r="D2861">
        <f>IFERROR(VLOOKUP($A2861,原始数据_收盘!$A$4:$G$3460,4,0),"")</f>
        <v>2.3571</v>
      </c>
      <c r="E2861">
        <f>IFERROR(VLOOKUP($A2861,原始数据_收盘!$A$4:$G$3460,5,0),"")</f>
        <v>2.6784</v>
      </c>
      <c r="F2861">
        <f>IFERROR(VLOOKUP($A2861,原始数据_收盘!$A$4:$G$3460,6,0),"")</f>
        <v>2.3292</v>
      </c>
      <c r="G2861">
        <f>IFERROR(VLOOKUP($A2861,原始数据_收盘!$A$4:$G$3460,7,0),"")</f>
        <v>2.6438</v>
      </c>
      <c r="H2861">
        <f>IFERROR(VLOOKUP($A2861,原始数据_利率互换_FR007_1年!$A$6:$C$4395,2,0),"")</f>
        <v>2.3323</v>
      </c>
      <c r="I2861">
        <f>IFERROR(VLOOKUP($A2861,原始数据_利率互换_FR007_1年!$A$6:$C$4395,3,0),"")</f>
        <v>2.6461</v>
      </c>
    </row>
    <row r="2862" spans="1:9">
      <c r="A2862" s="6">
        <v>42355</v>
      </c>
      <c r="B2862">
        <f>IFERROR(VLOOKUP($A2862,原始数据_收盘!$A$4:$G$3460,2,0),"")</f>
        <v>2.305</v>
      </c>
      <c r="C2862">
        <f>IFERROR(VLOOKUP($A2862,原始数据_收盘!$A$4:$G$3460,3,0),"")</f>
        <v>2.6125</v>
      </c>
      <c r="D2862">
        <f>IFERROR(VLOOKUP($A2862,原始数据_收盘!$A$4:$G$3460,4,0),"")</f>
        <v>2.3563</v>
      </c>
      <c r="E2862">
        <f>IFERROR(VLOOKUP($A2862,原始数据_收盘!$A$4:$G$3460,5,0),"")</f>
        <v>2.675</v>
      </c>
      <c r="F2862">
        <f>IFERROR(VLOOKUP($A2862,原始数据_收盘!$A$4:$G$3460,6,0),"")</f>
        <v>2.3306</v>
      </c>
      <c r="G2862">
        <f>IFERROR(VLOOKUP($A2862,原始数据_收盘!$A$4:$G$3460,7,0),"")</f>
        <v>2.6438</v>
      </c>
      <c r="H2862">
        <f>IFERROR(VLOOKUP($A2862,原始数据_利率互换_FR007_1年!$A$6:$C$4395,2,0),"")</f>
        <v>2.3278</v>
      </c>
      <c r="I2862">
        <f>IFERROR(VLOOKUP($A2862,原始数据_利率互换_FR007_1年!$A$6:$C$4395,3,0),"")</f>
        <v>2.6344</v>
      </c>
    </row>
    <row r="2863" spans="1:9">
      <c r="A2863" s="6">
        <v>42356</v>
      </c>
      <c r="B2863">
        <f>IFERROR(VLOOKUP($A2863,原始数据_收盘!$A$4:$G$3460,2,0),"")</f>
        <v>2.2938</v>
      </c>
      <c r="C2863">
        <f>IFERROR(VLOOKUP($A2863,原始数据_收盘!$A$4:$G$3460,3,0),"")</f>
        <v>2.5925</v>
      </c>
      <c r="D2863">
        <f>IFERROR(VLOOKUP($A2863,原始数据_收盘!$A$4:$G$3460,4,0),"")</f>
        <v>2.3413</v>
      </c>
      <c r="E2863">
        <f>IFERROR(VLOOKUP($A2863,原始数据_收盘!$A$4:$G$3460,5,0),"")</f>
        <v>2.6488</v>
      </c>
      <c r="F2863">
        <f>IFERROR(VLOOKUP($A2863,原始数据_收盘!$A$4:$G$3460,6,0),"")</f>
        <v>2.3175</v>
      </c>
      <c r="G2863">
        <f>IFERROR(VLOOKUP($A2863,原始数据_收盘!$A$4:$G$3460,7,0),"")</f>
        <v>2.6206</v>
      </c>
      <c r="H2863">
        <f>IFERROR(VLOOKUP($A2863,原始数据_利率互换_FR007_1年!$A$6:$C$4395,2,0),"")</f>
        <v>2.3195</v>
      </c>
      <c r="I2863">
        <f>IFERROR(VLOOKUP($A2863,原始数据_利率互换_FR007_1年!$A$6:$C$4395,3,0),"")</f>
        <v>2.6116</v>
      </c>
    </row>
    <row r="2864" spans="1:9">
      <c r="A2864" s="6">
        <v>42357</v>
      </c>
      <c r="B2864" t="str">
        <f>IFERROR(VLOOKUP($A2864,原始数据_收盘!$A$4:$G$3460,2,0),"")</f>
        <v/>
      </c>
      <c r="C2864" t="str">
        <f>IFERROR(VLOOKUP($A2864,原始数据_收盘!$A$4:$G$3460,3,0),"")</f>
        <v/>
      </c>
      <c r="D2864" t="str">
        <f>IFERROR(VLOOKUP($A2864,原始数据_收盘!$A$4:$G$3460,4,0),"")</f>
        <v/>
      </c>
      <c r="E2864" t="str">
        <f>IFERROR(VLOOKUP($A2864,原始数据_收盘!$A$4:$G$3460,5,0),"")</f>
        <v/>
      </c>
      <c r="F2864" t="str">
        <f>IFERROR(VLOOKUP($A2864,原始数据_收盘!$A$4:$G$3460,6,0),"")</f>
        <v/>
      </c>
      <c r="G2864" t="str">
        <f>IFERROR(VLOOKUP($A2864,原始数据_收盘!$A$4:$G$3460,7,0),"")</f>
        <v/>
      </c>
      <c r="H2864" t="str">
        <f>IFERROR(VLOOKUP($A2864,原始数据_利率互换_FR007_1年!$A$6:$C$4395,2,0),"")</f>
        <v/>
      </c>
      <c r="I2864" t="str">
        <f>IFERROR(VLOOKUP($A2864,原始数据_利率互换_FR007_1年!$A$6:$C$4395,3,0),"")</f>
        <v/>
      </c>
    </row>
    <row r="2865" spans="1:9">
      <c r="A2865" s="6">
        <v>42358</v>
      </c>
      <c r="B2865" t="str">
        <f>IFERROR(VLOOKUP($A2865,原始数据_收盘!$A$4:$G$3460,2,0),"")</f>
        <v/>
      </c>
      <c r="C2865" t="str">
        <f>IFERROR(VLOOKUP($A2865,原始数据_收盘!$A$4:$G$3460,3,0),"")</f>
        <v/>
      </c>
      <c r="D2865" t="str">
        <f>IFERROR(VLOOKUP($A2865,原始数据_收盘!$A$4:$G$3460,4,0),"")</f>
        <v/>
      </c>
      <c r="E2865" t="str">
        <f>IFERROR(VLOOKUP($A2865,原始数据_收盘!$A$4:$G$3460,5,0),"")</f>
        <v/>
      </c>
      <c r="F2865" t="str">
        <f>IFERROR(VLOOKUP($A2865,原始数据_收盘!$A$4:$G$3460,6,0),"")</f>
        <v/>
      </c>
      <c r="G2865" t="str">
        <f>IFERROR(VLOOKUP($A2865,原始数据_收盘!$A$4:$G$3460,7,0),"")</f>
        <v/>
      </c>
      <c r="H2865" t="str">
        <f>IFERROR(VLOOKUP($A2865,原始数据_利率互换_FR007_1年!$A$6:$C$4395,2,0),"")</f>
        <v/>
      </c>
      <c r="I2865" t="str">
        <f>IFERROR(VLOOKUP($A2865,原始数据_利率互换_FR007_1年!$A$6:$C$4395,3,0),"")</f>
        <v/>
      </c>
    </row>
    <row r="2866" spans="1:9">
      <c r="A2866" s="6">
        <v>42359</v>
      </c>
      <c r="B2866">
        <f>IFERROR(VLOOKUP($A2866,原始数据_收盘!$A$4:$G$3460,2,0),"")</f>
        <v>2.295</v>
      </c>
      <c r="C2866">
        <f>IFERROR(VLOOKUP($A2866,原始数据_收盘!$A$4:$G$3460,3,0),"")</f>
        <v>2.585</v>
      </c>
      <c r="D2866">
        <f>IFERROR(VLOOKUP($A2866,原始数据_收盘!$A$4:$G$3460,4,0),"")</f>
        <v>2.3463</v>
      </c>
      <c r="E2866">
        <f>IFERROR(VLOOKUP($A2866,原始数据_收盘!$A$4:$G$3460,5,0),"")</f>
        <v>2.6413</v>
      </c>
      <c r="F2866">
        <f>IFERROR(VLOOKUP($A2866,原始数据_收盘!$A$4:$G$3460,6,0),"")</f>
        <v>2.3206</v>
      </c>
      <c r="G2866">
        <f>IFERROR(VLOOKUP($A2866,原始数据_收盘!$A$4:$G$3460,7,0),"")</f>
        <v>2.6131</v>
      </c>
      <c r="H2866">
        <f>IFERROR(VLOOKUP($A2866,原始数据_利率互换_FR007_1年!$A$6:$C$4395,2,0),"")</f>
        <v>2.3269</v>
      </c>
      <c r="I2866">
        <f>IFERROR(VLOOKUP($A2866,原始数据_利率互换_FR007_1年!$A$6:$C$4395,3,0),"")</f>
        <v>2.6069</v>
      </c>
    </row>
    <row r="2867" spans="1:9">
      <c r="A2867" s="6">
        <v>42360</v>
      </c>
      <c r="B2867">
        <f>IFERROR(VLOOKUP($A2867,原始数据_收盘!$A$4:$G$3460,2,0),"")</f>
        <v>2.2888</v>
      </c>
      <c r="C2867">
        <f>IFERROR(VLOOKUP($A2867,原始数据_收盘!$A$4:$G$3460,3,0),"")</f>
        <v>2.555</v>
      </c>
      <c r="D2867">
        <f>IFERROR(VLOOKUP($A2867,原始数据_收盘!$A$4:$G$3460,4,0),"")</f>
        <v>2.3413</v>
      </c>
      <c r="E2867">
        <f>IFERROR(VLOOKUP($A2867,原始数据_收盘!$A$4:$G$3460,5,0),"")</f>
        <v>2.61</v>
      </c>
      <c r="F2867">
        <f>IFERROR(VLOOKUP($A2867,原始数据_收盘!$A$4:$G$3460,6,0),"")</f>
        <v>2.315</v>
      </c>
      <c r="G2867">
        <f>IFERROR(VLOOKUP($A2867,原始数据_收盘!$A$4:$G$3460,7,0),"")</f>
        <v>2.5825</v>
      </c>
      <c r="H2867">
        <f>IFERROR(VLOOKUP($A2867,原始数据_利率互换_FR007_1年!$A$6:$C$4395,2,0),"")</f>
        <v>2.3106</v>
      </c>
      <c r="I2867">
        <f>IFERROR(VLOOKUP($A2867,原始数据_利率互换_FR007_1年!$A$6:$C$4395,3,0),"")</f>
        <v>2.5683</v>
      </c>
    </row>
    <row r="2868" spans="1:9">
      <c r="A2868" s="6">
        <v>42361</v>
      </c>
      <c r="B2868">
        <f>IFERROR(VLOOKUP($A2868,原始数据_收盘!$A$4:$G$3460,2,0),"")</f>
        <v>2.2913</v>
      </c>
      <c r="C2868">
        <f>IFERROR(VLOOKUP($A2868,原始数据_收盘!$A$4:$G$3460,3,0),"")</f>
        <v>2.5463</v>
      </c>
      <c r="D2868">
        <f>IFERROR(VLOOKUP($A2868,原始数据_收盘!$A$4:$G$3460,4,0),"")</f>
        <v>2.3425</v>
      </c>
      <c r="E2868">
        <f>IFERROR(VLOOKUP($A2868,原始数据_收盘!$A$4:$G$3460,5,0),"")</f>
        <v>2.6106</v>
      </c>
      <c r="F2868">
        <f>IFERROR(VLOOKUP($A2868,原始数据_收盘!$A$4:$G$3460,6,0),"")</f>
        <v>2.3169</v>
      </c>
      <c r="G2868">
        <f>IFERROR(VLOOKUP($A2868,原始数据_收盘!$A$4:$G$3460,7,0),"")</f>
        <v>2.5784</v>
      </c>
      <c r="H2868">
        <f>IFERROR(VLOOKUP($A2868,原始数据_利率互换_FR007_1年!$A$6:$C$4395,2,0),"")</f>
        <v>2.3182</v>
      </c>
      <c r="I2868">
        <f>IFERROR(VLOOKUP($A2868,原始数据_利率互换_FR007_1年!$A$6:$C$4395,3,0),"")</f>
        <v>2.5758</v>
      </c>
    </row>
    <row r="2869" spans="1:9">
      <c r="A2869" s="6">
        <v>42362</v>
      </c>
      <c r="B2869">
        <f>IFERROR(VLOOKUP($A2869,原始数据_收盘!$A$4:$G$3460,2,0),"")</f>
        <v>2.2731</v>
      </c>
      <c r="C2869">
        <f>IFERROR(VLOOKUP($A2869,原始数据_收盘!$A$4:$G$3460,3,0),"")</f>
        <v>2.5244</v>
      </c>
      <c r="D2869">
        <f>IFERROR(VLOOKUP($A2869,原始数据_收盘!$A$4:$G$3460,4,0),"")</f>
        <v>2.3284</v>
      </c>
      <c r="E2869">
        <f>IFERROR(VLOOKUP($A2869,原始数据_收盘!$A$4:$G$3460,5,0),"")</f>
        <v>2.591</v>
      </c>
      <c r="F2869">
        <f>IFERROR(VLOOKUP($A2869,原始数据_收盘!$A$4:$G$3460,6,0),"")</f>
        <v>2.3008</v>
      </c>
      <c r="G2869">
        <f>IFERROR(VLOOKUP($A2869,原始数据_收盘!$A$4:$G$3460,7,0),"")</f>
        <v>2.5577</v>
      </c>
      <c r="H2869" t="str">
        <f>IFERROR(VLOOKUP($A2869,原始数据_利率互换_FR007_1年!$A$6:$C$4395,2,0),"")</f>
        <v/>
      </c>
      <c r="I2869" t="str">
        <f>IFERROR(VLOOKUP($A2869,原始数据_利率互换_FR007_1年!$A$6:$C$4395,3,0),"")</f>
        <v/>
      </c>
    </row>
    <row r="2870" spans="1:9">
      <c r="A2870" s="6">
        <v>42363</v>
      </c>
      <c r="B2870">
        <f>IFERROR(VLOOKUP($A2870,原始数据_收盘!$A$4:$G$3460,2,0),"")</f>
        <v>2.2694</v>
      </c>
      <c r="C2870">
        <f>IFERROR(VLOOKUP($A2870,原始数据_收盘!$A$4:$G$3460,3,0),"")</f>
        <v>2.5206</v>
      </c>
      <c r="D2870">
        <f>IFERROR(VLOOKUP($A2870,原始数据_收盘!$A$4:$G$3460,4,0),"")</f>
        <v>2.3254</v>
      </c>
      <c r="E2870">
        <f>IFERROR(VLOOKUP($A2870,原始数据_收盘!$A$4:$G$3460,5,0),"")</f>
        <v>2.58</v>
      </c>
      <c r="F2870">
        <f>IFERROR(VLOOKUP($A2870,原始数据_收盘!$A$4:$G$3460,6,0),"")</f>
        <v>2.2974</v>
      </c>
      <c r="G2870">
        <f>IFERROR(VLOOKUP($A2870,原始数据_收盘!$A$4:$G$3460,7,0),"")</f>
        <v>2.5503</v>
      </c>
      <c r="H2870">
        <f>IFERROR(VLOOKUP($A2870,原始数据_利率互换_FR007_1年!$A$6:$C$4395,2,0),"")</f>
        <v>2.2946</v>
      </c>
      <c r="I2870">
        <f>IFERROR(VLOOKUP($A2870,原始数据_利率互换_FR007_1年!$A$6:$C$4395,3,0),"")</f>
        <v>2.5424</v>
      </c>
    </row>
    <row r="2871" spans="1:9">
      <c r="A2871" s="6">
        <v>42364</v>
      </c>
      <c r="B2871" t="str">
        <f>IFERROR(VLOOKUP($A2871,原始数据_收盘!$A$4:$G$3460,2,0),"")</f>
        <v/>
      </c>
      <c r="C2871" t="str">
        <f>IFERROR(VLOOKUP($A2871,原始数据_收盘!$A$4:$G$3460,3,0),"")</f>
        <v/>
      </c>
      <c r="D2871" t="str">
        <f>IFERROR(VLOOKUP($A2871,原始数据_收盘!$A$4:$G$3460,4,0),"")</f>
        <v/>
      </c>
      <c r="E2871" t="str">
        <f>IFERROR(VLOOKUP($A2871,原始数据_收盘!$A$4:$G$3460,5,0),"")</f>
        <v/>
      </c>
      <c r="F2871" t="str">
        <f>IFERROR(VLOOKUP($A2871,原始数据_收盘!$A$4:$G$3460,6,0),"")</f>
        <v/>
      </c>
      <c r="G2871" t="str">
        <f>IFERROR(VLOOKUP($A2871,原始数据_收盘!$A$4:$G$3460,7,0),"")</f>
        <v/>
      </c>
      <c r="H2871" t="str">
        <f>IFERROR(VLOOKUP($A2871,原始数据_利率互换_FR007_1年!$A$6:$C$4395,2,0),"")</f>
        <v/>
      </c>
      <c r="I2871" t="str">
        <f>IFERROR(VLOOKUP($A2871,原始数据_利率互换_FR007_1年!$A$6:$C$4395,3,0),"")</f>
        <v/>
      </c>
    </row>
    <row r="2872" spans="1:9">
      <c r="A2872" s="6">
        <v>42365</v>
      </c>
      <c r="B2872" t="str">
        <f>IFERROR(VLOOKUP($A2872,原始数据_收盘!$A$4:$G$3460,2,0),"")</f>
        <v/>
      </c>
      <c r="C2872" t="str">
        <f>IFERROR(VLOOKUP($A2872,原始数据_收盘!$A$4:$G$3460,3,0),"")</f>
        <v/>
      </c>
      <c r="D2872" t="str">
        <f>IFERROR(VLOOKUP($A2872,原始数据_收盘!$A$4:$G$3460,4,0),"")</f>
        <v/>
      </c>
      <c r="E2872" t="str">
        <f>IFERROR(VLOOKUP($A2872,原始数据_收盘!$A$4:$G$3460,5,0),"")</f>
        <v/>
      </c>
      <c r="F2872" t="str">
        <f>IFERROR(VLOOKUP($A2872,原始数据_收盘!$A$4:$G$3460,6,0),"")</f>
        <v/>
      </c>
      <c r="G2872" t="str">
        <f>IFERROR(VLOOKUP($A2872,原始数据_收盘!$A$4:$G$3460,7,0),"")</f>
        <v/>
      </c>
      <c r="H2872" t="str">
        <f>IFERROR(VLOOKUP($A2872,原始数据_利率互换_FR007_1年!$A$6:$C$4395,2,0),"")</f>
        <v/>
      </c>
      <c r="I2872" t="str">
        <f>IFERROR(VLOOKUP($A2872,原始数据_利率互换_FR007_1年!$A$6:$C$4395,3,0),"")</f>
        <v/>
      </c>
    </row>
    <row r="2873" spans="1:9">
      <c r="A2873" s="6">
        <v>42366</v>
      </c>
      <c r="B2873">
        <f>IFERROR(VLOOKUP($A2873,原始数据_收盘!$A$4:$G$3460,2,0),"")</f>
        <v>2.2746</v>
      </c>
      <c r="C2873">
        <f>IFERROR(VLOOKUP($A2873,原始数据_收盘!$A$4:$G$3460,3,0),"")</f>
        <v>2.535</v>
      </c>
      <c r="D2873">
        <f>IFERROR(VLOOKUP($A2873,原始数据_收盘!$A$4:$G$3460,4,0),"")</f>
        <v>2.3354</v>
      </c>
      <c r="E2873">
        <f>IFERROR(VLOOKUP($A2873,原始数据_收盘!$A$4:$G$3460,5,0),"")</f>
        <v>2.6121</v>
      </c>
      <c r="F2873">
        <f>IFERROR(VLOOKUP($A2873,原始数据_收盘!$A$4:$G$3460,6,0),"")</f>
        <v>2.305</v>
      </c>
      <c r="G2873">
        <f>IFERROR(VLOOKUP($A2873,原始数据_收盘!$A$4:$G$3460,7,0),"")</f>
        <v>2.5736</v>
      </c>
      <c r="H2873">
        <f>IFERROR(VLOOKUP($A2873,原始数据_利率互换_FR007_1年!$A$6:$C$4395,2,0),"")</f>
        <v>2.2915</v>
      </c>
      <c r="I2873">
        <f>IFERROR(VLOOKUP($A2873,原始数据_利率互换_FR007_1年!$A$6:$C$4395,3,0),"")</f>
        <v>2.54</v>
      </c>
    </row>
    <row r="2874" spans="1:9">
      <c r="A2874" s="6">
        <v>42367</v>
      </c>
      <c r="B2874">
        <f>IFERROR(VLOOKUP($A2874,原始数据_收盘!$A$4:$G$3460,2,0),"")</f>
        <v>2.285</v>
      </c>
      <c r="C2874">
        <f>IFERROR(VLOOKUP($A2874,原始数据_收盘!$A$4:$G$3460,3,0),"")</f>
        <v>2.53</v>
      </c>
      <c r="D2874">
        <f>IFERROR(VLOOKUP($A2874,原始数据_收盘!$A$4:$G$3460,4,0),"")</f>
        <v>2.3319</v>
      </c>
      <c r="E2874">
        <f>IFERROR(VLOOKUP($A2874,原始数据_收盘!$A$4:$G$3460,5,0),"")</f>
        <v>2.59</v>
      </c>
      <c r="F2874">
        <f>IFERROR(VLOOKUP($A2874,原始数据_收盘!$A$4:$G$3460,6,0),"")</f>
        <v>2.3084</v>
      </c>
      <c r="G2874">
        <f>IFERROR(VLOOKUP($A2874,原始数据_收盘!$A$4:$G$3460,7,0),"")</f>
        <v>2.56</v>
      </c>
      <c r="H2874">
        <f>IFERROR(VLOOKUP($A2874,原始数据_利率互换_FR007_1年!$A$6:$C$4395,2,0),"")</f>
        <v>2.2964</v>
      </c>
      <c r="I2874">
        <f>IFERROR(VLOOKUP($A2874,原始数据_利率互换_FR007_1年!$A$6:$C$4395,3,0),"")</f>
        <v>2.5459</v>
      </c>
    </row>
    <row r="2875" spans="1:9">
      <c r="A2875" s="6">
        <v>42368</v>
      </c>
      <c r="B2875">
        <f>IFERROR(VLOOKUP($A2875,原始数据_收盘!$A$4:$G$3460,2,0),"")</f>
        <v>2.2925</v>
      </c>
      <c r="C2875">
        <f>IFERROR(VLOOKUP($A2875,原始数据_收盘!$A$4:$G$3460,3,0),"")</f>
        <v>2.5488</v>
      </c>
      <c r="D2875">
        <f>IFERROR(VLOOKUP($A2875,原始数据_收盘!$A$4:$G$3460,4,0),"")</f>
        <v>2.3463</v>
      </c>
      <c r="E2875">
        <f>IFERROR(VLOOKUP($A2875,原始数据_收盘!$A$4:$G$3460,5,0),"")</f>
        <v>2.6138</v>
      </c>
      <c r="F2875">
        <f>IFERROR(VLOOKUP($A2875,原始数据_收盘!$A$4:$G$3460,6,0),"")</f>
        <v>2.3194</v>
      </c>
      <c r="G2875">
        <f>IFERROR(VLOOKUP($A2875,原始数据_收盘!$A$4:$G$3460,7,0),"")</f>
        <v>2.5813</v>
      </c>
      <c r="H2875">
        <f>IFERROR(VLOOKUP($A2875,原始数据_利率互换_FR007_1年!$A$6:$C$4395,2,0),"")</f>
        <v>2.3198</v>
      </c>
      <c r="I2875">
        <f>IFERROR(VLOOKUP($A2875,原始数据_利率互换_FR007_1年!$A$6:$C$4395,3,0),"")</f>
        <v>2.5776</v>
      </c>
    </row>
    <row r="2876" spans="1:9">
      <c r="A2876" s="6">
        <v>42369</v>
      </c>
      <c r="B2876">
        <f>IFERROR(VLOOKUP($A2876,原始数据_收盘!$A$4:$G$3460,2,0),"")</f>
        <v>2.2909</v>
      </c>
      <c r="C2876">
        <f>IFERROR(VLOOKUP($A2876,原始数据_收盘!$A$4:$G$3460,3,0),"")</f>
        <v>2.5466</v>
      </c>
      <c r="D2876">
        <f>IFERROR(VLOOKUP($A2876,原始数据_收盘!$A$4:$G$3460,4,0),"")</f>
        <v>2.345</v>
      </c>
      <c r="E2876">
        <f>IFERROR(VLOOKUP($A2876,原始数据_收盘!$A$4:$G$3460,5,0),"")</f>
        <v>2.6138</v>
      </c>
      <c r="F2876">
        <f>IFERROR(VLOOKUP($A2876,原始数据_收盘!$A$4:$G$3460,6,0),"")</f>
        <v>2.3179</v>
      </c>
      <c r="G2876">
        <f>IFERROR(VLOOKUP($A2876,原始数据_收盘!$A$4:$G$3460,7,0),"")</f>
        <v>2.5802</v>
      </c>
      <c r="H2876">
        <f>IFERROR(VLOOKUP($A2876,原始数据_利率互换_FR007_1年!$A$6:$C$4395,2,0),"")</f>
        <v>2.3343</v>
      </c>
      <c r="I2876">
        <f>IFERROR(VLOOKUP($A2876,原始数据_利率互换_FR007_1年!$A$6:$C$4395,3,0),"")</f>
        <v>2.5739</v>
      </c>
    </row>
    <row r="2877" spans="1:9">
      <c r="A2877" s="6">
        <v>42370</v>
      </c>
      <c r="B2877" t="str">
        <f>IFERROR(VLOOKUP($A2877,原始数据_收盘!$A$4:$G$3460,2,0),"")</f>
        <v/>
      </c>
      <c r="C2877" t="str">
        <f>IFERROR(VLOOKUP($A2877,原始数据_收盘!$A$4:$G$3460,3,0),"")</f>
        <v/>
      </c>
      <c r="D2877" t="str">
        <f>IFERROR(VLOOKUP($A2877,原始数据_收盘!$A$4:$G$3460,4,0),"")</f>
        <v/>
      </c>
      <c r="E2877" t="str">
        <f>IFERROR(VLOOKUP($A2877,原始数据_收盘!$A$4:$G$3460,5,0),"")</f>
        <v/>
      </c>
      <c r="F2877" t="str">
        <f>IFERROR(VLOOKUP($A2877,原始数据_收盘!$A$4:$G$3460,6,0),"")</f>
        <v/>
      </c>
      <c r="G2877" t="str">
        <f>IFERROR(VLOOKUP($A2877,原始数据_收盘!$A$4:$G$3460,7,0),"")</f>
        <v/>
      </c>
      <c r="H2877" t="str">
        <f>IFERROR(VLOOKUP($A2877,原始数据_利率互换_FR007_1年!$A$6:$C$4395,2,0),"")</f>
        <v/>
      </c>
      <c r="I2877" t="str">
        <f>IFERROR(VLOOKUP($A2877,原始数据_利率互换_FR007_1年!$A$6:$C$4395,3,0),"")</f>
        <v/>
      </c>
    </row>
    <row r="2878" spans="1:9">
      <c r="A2878" s="6">
        <v>42371</v>
      </c>
      <c r="B2878" t="str">
        <f>IFERROR(VLOOKUP($A2878,原始数据_收盘!$A$4:$G$3460,2,0),"")</f>
        <v/>
      </c>
      <c r="C2878" t="str">
        <f>IFERROR(VLOOKUP($A2878,原始数据_收盘!$A$4:$G$3460,3,0),"")</f>
        <v/>
      </c>
      <c r="D2878" t="str">
        <f>IFERROR(VLOOKUP($A2878,原始数据_收盘!$A$4:$G$3460,4,0),"")</f>
        <v/>
      </c>
      <c r="E2878" t="str">
        <f>IFERROR(VLOOKUP($A2878,原始数据_收盘!$A$4:$G$3460,5,0),"")</f>
        <v/>
      </c>
      <c r="F2878" t="str">
        <f>IFERROR(VLOOKUP($A2878,原始数据_收盘!$A$4:$G$3460,6,0),"")</f>
        <v/>
      </c>
      <c r="G2878" t="str">
        <f>IFERROR(VLOOKUP($A2878,原始数据_收盘!$A$4:$G$3460,7,0),"")</f>
        <v/>
      </c>
      <c r="H2878" t="str">
        <f>IFERROR(VLOOKUP($A2878,原始数据_利率互换_FR007_1年!$A$6:$C$4395,2,0),"")</f>
        <v/>
      </c>
      <c r="I2878" t="str">
        <f>IFERROR(VLOOKUP($A2878,原始数据_利率互换_FR007_1年!$A$6:$C$4395,3,0),"")</f>
        <v/>
      </c>
    </row>
    <row r="2879" spans="1:9">
      <c r="A2879" s="6">
        <v>42372</v>
      </c>
      <c r="B2879" t="str">
        <f>IFERROR(VLOOKUP($A2879,原始数据_收盘!$A$4:$G$3460,2,0),"")</f>
        <v/>
      </c>
      <c r="C2879" t="str">
        <f>IFERROR(VLOOKUP($A2879,原始数据_收盘!$A$4:$G$3460,3,0),"")</f>
        <v/>
      </c>
      <c r="D2879" t="str">
        <f>IFERROR(VLOOKUP($A2879,原始数据_收盘!$A$4:$G$3460,4,0),"")</f>
        <v/>
      </c>
      <c r="E2879" t="str">
        <f>IFERROR(VLOOKUP($A2879,原始数据_收盘!$A$4:$G$3460,5,0),"")</f>
        <v/>
      </c>
      <c r="F2879" t="str">
        <f>IFERROR(VLOOKUP($A2879,原始数据_收盘!$A$4:$G$3460,6,0),"")</f>
        <v/>
      </c>
      <c r="G2879" t="str">
        <f>IFERROR(VLOOKUP($A2879,原始数据_收盘!$A$4:$G$3460,7,0),"")</f>
        <v/>
      </c>
      <c r="H2879" t="str">
        <f>IFERROR(VLOOKUP($A2879,原始数据_利率互换_FR007_1年!$A$6:$C$4395,2,0),"")</f>
        <v/>
      </c>
      <c r="I2879" t="str">
        <f>IFERROR(VLOOKUP($A2879,原始数据_利率互换_FR007_1年!$A$6:$C$4395,3,0),"")</f>
        <v/>
      </c>
    </row>
    <row r="2880" spans="1:9">
      <c r="A2880" s="6">
        <v>42373</v>
      </c>
      <c r="B2880">
        <f>IFERROR(VLOOKUP($A2880,原始数据_收盘!$A$4:$G$3460,2,0),"")</f>
        <v>2.3103</v>
      </c>
      <c r="C2880">
        <f>IFERROR(VLOOKUP($A2880,原始数据_收盘!$A$4:$G$3460,3,0),"")</f>
        <v>2.5773</v>
      </c>
      <c r="D2880">
        <f>IFERROR(VLOOKUP($A2880,原始数据_收盘!$A$4:$G$3460,4,0),"")</f>
        <v>2.3683</v>
      </c>
      <c r="E2880">
        <f>IFERROR(VLOOKUP($A2880,原始数据_收盘!$A$4:$G$3460,5,0),"")</f>
        <v>2.647</v>
      </c>
      <c r="F2880">
        <f>IFERROR(VLOOKUP($A2880,原始数据_收盘!$A$4:$G$3460,6,0),"")</f>
        <v>2.3393</v>
      </c>
      <c r="G2880">
        <f>IFERROR(VLOOKUP($A2880,原始数据_收盘!$A$4:$G$3460,7,0),"")</f>
        <v>2.6122</v>
      </c>
      <c r="H2880">
        <f>IFERROR(VLOOKUP($A2880,原始数据_利率互换_FR007_1年!$A$6:$C$4395,2,0),"")</f>
        <v>2.3439</v>
      </c>
      <c r="I2880">
        <f>IFERROR(VLOOKUP($A2880,原始数据_利率互换_FR007_1年!$A$6:$C$4395,3,0),"")</f>
        <v>2.6099</v>
      </c>
    </row>
    <row r="2881" spans="1:9">
      <c r="A2881" s="6">
        <v>42374</v>
      </c>
      <c r="B2881">
        <f>IFERROR(VLOOKUP($A2881,原始数据_收盘!$A$4:$G$3460,2,0),"")</f>
        <v>2.3175</v>
      </c>
      <c r="C2881">
        <f>IFERROR(VLOOKUP($A2881,原始数据_收盘!$A$4:$G$3460,3,0),"")</f>
        <v>2.5888</v>
      </c>
      <c r="D2881">
        <f>IFERROR(VLOOKUP($A2881,原始数据_收盘!$A$4:$G$3460,4,0),"")</f>
        <v>2.3663</v>
      </c>
      <c r="E2881">
        <f>IFERROR(VLOOKUP($A2881,原始数据_收盘!$A$4:$G$3460,5,0),"")</f>
        <v>2.6488</v>
      </c>
      <c r="F2881">
        <f>IFERROR(VLOOKUP($A2881,原始数据_收盘!$A$4:$G$3460,6,0),"")</f>
        <v>2.3419</v>
      </c>
      <c r="G2881">
        <f>IFERROR(VLOOKUP($A2881,原始数据_收盘!$A$4:$G$3460,7,0),"")</f>
        <v>2.6188</v>
      </c>
      <c r="H2881">
        <f>IFERROR(VLOOKUP($A2881,原始数据_利率互换_FR007_1年!$A$6:$C$4395,2,0),"")</f>
        <v>2.3442</v>
      </c>
      <c r="I2881">
        <f>IFERROR(VLOOKUP($A2881,原始数据_利率互换_FR007_1年!$A$6:$C$4395,3,0),"")</f>
        <v>2.6214</v>
      </c>
    </row>
    <row r="2882" spans="1:9">
      <c r="A2882" s="6">
        <v>42375</v>
      </c>
      <c r="B2882">
        <f>IFERROR(VLOOKUP($A2882,原始数据_收盘!$A$4:$G$3460,2,0),"")</f>
        <v>2.3075</v>
      </c>
      <c r="C2882">
        <f>IFERROR(VLOOKUP($A2882,原始数据_收盘!$A$4:$G$3460,3,0),"")</f>
        <v>2.5788</v>
      </c>
      <c r="D2882">
        <f>IFERROR(VLOOKUP($A2882,原始数据_收盘!$A$4:$G$3460,4,0),"")</f>
        <v>2.3588</v>
      </c>
      <c r="E2882">
        <f>IFERROR(VLOOKUP($A2882,原始数据_收盘!$A$4:$G$3460,5,0),"")</f>
        <v>2.6425</v>
      </c>
      <c r="F2882">
        <f>IFERROR(VLOOKUP($A2882,原始数据_收盘!$A$4:$G$3460,6,0),"")</f>
        <v>2.3331</v>
      </c>
      <c r="G2882">
        <f>IFERROR(VLOOKUP($A2882,原始数据_收盘!$A$4:$G$3460,7,0),"")</f>
        <v>2.6106</v>
      </c>
      <c r="H2882">
        <f>IFERROR(VLOOKUP($A2882,原始数据_利率互换_FR007_1年!$A$6:$C$4395,2,0),"")</f>
        <v>2.3374</v>
      </c>
      <c r="I2882">
        <f>IFERROR(VLOOKUP($A2882,原始数据_利率互换_FR007_1年!$A$6:$C$4395,3,0),"")</f>
        <v>2.6206</v>
      </c>
    </row>
    <row r="2883" spans="1:9">
      <c r="A2883" s="6">
        <v>42376</v>
      </c>
      <c r="B2883">
        <f>IFERROR(VLOOKUP($A2883,原始数据_收盘!$A$4:$G$3460,2,0),"")</f>
        <v>2.3025</v>
      </c>
      <c r="C2883">
        <f>IFERROR(VLOOKUP($A2883,原始数据_收盘!$A$4:$G$3460,3,0),"")</f>
        <v>2.565</v>
      </c>
      <c r="D2883">
        <f>IFERROR(VLOOKUP($A2883,原始数据_收盘!$A$4:$G$3460,4,0),"")</f>
        <v>2.3525</v>
      </c>
      <c r="E2883">
        <f>IFERROR(VLOOKUP($A2883,原始数据_收盘!$A$4:$G$3460,5,0),"")</f>
        <v>2.6275</v>
      </c>
      <c r="F2883">
        <f>IFERROR(VLOOKUP($A2883,原始数据_收盘!$A$4:$G$3460,6,0),"")</f>
        <v>2.3275</v>
      </c>
      <c r="G2883">
        <f>IFERROR(VLOOKUP($A2883,原始数据_收盘!$A$4:$G$3460,7,0),"")</f>
        <v>2.5963</v>
      </c>
      <c r="H2883">
        <f>IFERROR(VLOOKUP($A2883,原始数据_利率互换_FR007_1年!$A$6:$C$4395,2,0),"")</f>
        <v>2.3255</v>
      </c>
      <c r="I2883">
        <f>IFERROR(VLOOKUP($A2883,原始数据_利率互换_FR007_1年!$A$6:$C$4395,3,0),"")</f>
        <v>2.5882</v>
      </c>
    </row>
    <row r="2884" spans="1:9">
      <c r="A2884" s="6">
        <v>42377</v>
      </c>
      <c r="B2884">
        <f>IFERROR(VLOOKUP($A2884,原始数据_收盘!$A$4:$G$3460,2,0),"")</f>
        <v>2.255</v>
      </c>
      <c r="C2884">
        <f>IFERROR(VLOOKUP($A2884,原始数据_收盘!$A$4:$G$3460,3,0),"")</f>
        <v>2.5263</v>
      </c>
      <c r="D2884">
        <f>IFERROR(VLOOKUP($A2884,原始数据_收盘!$A$4:$G$3460,4,0),"")</f>
        <v>2.315</v>
      </c>
      <c r="E2884">
        <f>IFERROR(VLOOKUP($A2884,原始数据_收盘!$A$4:$G$3460,5,0),"")</f>
        <v>2.5963</v>
      </c>
      <c r="F2884">
        <f>IFERROR(VLOOKUP($A2884,原始数据_收盘!$A$4:$G$3460,6,0),"")</f>
        <v>2.285</v>
      </c>
      <c r="G2884">
        <f>IFERROR(VLOOKUP($A2884,原始数据_收盘!$A$4:$G$3460,7,0),"")</f>
        <v>2.5613</v>
      </c>
      <c r="H2884">
        <f>IFERROR(VLOOKUP($A2884,原始数据_利率互换_FR007_1年!$A$6:$C$4395,2,0),"")</f>
        <v>2.2815</v>
      </c>
      <c r="I2884">
        <f>IFERROR(VLOOKUP($A2884,原始数据_利率互换_FR007_1年!$A$6:$C$4395,3,0),"")</f>
        <v>2.5638</v>
      </c>
    </row>
    <row r="2885" spans="1:9">
      <c r="A2885" s="6">
        <v>42378</v>
      </c>
      <c r="B2885" t="str">
        <f>IFERROR(VLOOKUP($A2885,原始数据_收盘!$A$4:$G$3460,2,0),"")</f>
        <v/>
      </c>
      <c r="C2885" t="str">
        <f>IFERROR(VLOOKUP($A2885,原始数据_收盘!$A$4:$G$3460,3,0),"")</f>
        <v/>
      </c>
      <c r="D2885" t="str">
        <f>IFERROR(VLOOKUP($A2885,原始数据_收盘!$A$4:$G$3460,4,0),"")</f>
        <v/>
      </c>
      <c r="E2885" t="str">
        <f>IFERROR(VLOOKUP($A2885,原始数据_收盘!$A$4:$G$3460,5,0),"")</f>
        <v/>
      </c>
      <c r="F2885" t="str">
        <f>IFERROR(VLOOKUP($A2885,原始数据_收盘!$A$4:$G$3460,6,0),"")</f>
        <v/>
      </c>
      <c r="G2885" t="str">
        <f>IFERROR(VLOOKUP($A2885,原始数据_收盘!$A$4:$G$3460,7,0),"")</f>
        <v/>
      </c>
      <c r="H2885" t="str">
        <f>IFERROR(VLOOKUP($A2885,原始数据_利率互换_FR007_1年!$A$6:$C$4395,2,0),"")</f>
        <v/>
      </c>
      <c r="I2885" t="str">
        <f>IFERROR(VLOOKUP($A2885,原始数据_利率互换_FR007_1年!$A$6:$C$4395,3,0),"")</f>
        <v/>
      </c>
    </row>
    <row r="2886" spans="1:9">
      <c r="A2886" s="6">
        <v>42379</v>
      </c>
      <c r="B2886" t="str">
        <f>IFERROR(VLOOKUP($A2886,原始数据_收盘!$A$4:$G$3460,2,0),"")</f>
        <v/>
      </c>
      <c r="C2886" t="str">
        <f>IFERROR(VLOOKUP($A2886,原始数据_收盘!$A$4:$G$3460,3,0),"")</f>
        <v/>
      </c>
      <c r="D2886" t="str">
        <f>IFERROR(VLOOKUP($A2886,原始数据_收盘!$A$4:$G$3460,4,0),"")</f>
        <v/>
      </c>
      <c r="E2886" t="str">
        <f>IFERROR(VLOOKUP($A2886,原始数据_收盘!$A$4:$G$3460,5,0),"")</f>
        <v/>
      </c>
      <c r="F2886" t="str">
        <f>IFERROR(VLOOKUP($A2886,原始数据_收盘!$A$4:$G$3460,6,0),"")</f>
        <v/>
      </c>
      <c r="G2886" t="str">
        <f>IFERROR(VLOOKUP($A2886,原始数据_收盘!$A$4:$G$3460,7,0),"")</f>
        <v/>
      </c>
      <c r="H2886" t="str">
        <f>IFERROR(VLOOKUP($A2886,原始数据_利率互换_FR007_1年!$A$6:$C$4395,2,0),"")</f>
        <v/>
      </c>
      <c r="I2886" t="str">
        <f>IFERROR(VLOOKUP($A2886,原始数据_利率互换_FR007_1年!$A$6:$C$4395,3,0),"")</f>
        <v/>
      </c>
    </row>
    <row r="2887" spans="1:9">
      <c r="A2887" s="6">
        <v>42380</v>
      </c>
      <c r="B2887">
        <f>IFERROR(VLOOKUP($A2887,原始数据_收盘!$A$4:$G$3460,2,0),"")</f>
        <v>2.2344</v>
      </c>
      <c r="C2887">
        <f>IFERROR(VLOOKUP($A2887,原始数据_收盘!$A$4:$G$3460,3,0),"")</f>
        <v>2.5075</v>
      </c>
      <c r="D2887">
        <f>IFERROR(VLOOKUP($A2887,原始数据_收盘!$A$4:$G$3460,4,0),"")</f>
        <v>2.2873</v>
      </c>
      <c r="E2887">
        <f>IFERROR(VLOOKUP($A2887,原始数据_收盘!$A$4:$G$3460,5,0),"")</f>
        <v>2.5706</v>
      </c>
      <c r="F2887">
        <f>IFERROR(VLOOKUP($A2887,原始数据_收盘!$A$4:$G$3460,6,0),"")</f>
        <v>2.2608</v>
      </c>
      <c r="G2887">
        <f>IFERROR(VLOOKUP($A2887,原始数据_收盘!$A$4:$G$3460,7,0),"")</f>
        <v>2.5391</v>
      </c>
      <c r="H2887">
        <f>IFERROR(VLOOKUP($A2887,原始数据_利率互换_FR007_1年!$A$6:$C$4395,2,0),"")</f>
        <v>2.2607</v>
      </c>
      <c r="I2887">
        <f>IFERROR(VLOOKUP($A2887,原始数据_利率互换_FR007_1年!$A$6:$C$4395,3,0),"")</f>
        <v>2.5393</v>
      </c>
    </row>
    <row r="2888" spans="1:9">
      <c r="A2888" s="6">
        <v>42381</v>
      </c>
      <c r="B2888">
        <f>IFERROR(VLOOKUP($A2888,原始数据_收盘!$A$4:$G$3460,2,0),"")</f>
        <v>2.2044</v>
      </c>
      <c r="C2888">
        <f>IFERROR(VLOOKUP($A2888,原始数据_收盘!$A$4:$G$3460,3,0),"")</f>
        <v>2.4511</v>
      </c>
      <c r="D2888">
        <f>IFERROR(VLOOKUP($A2888,原始数据_收盘!$A$4:$G$3460,4,0),"")</f>
        <v>2.2608</v>
      </c>
      <c r="E2888">
        <f>IFERROR(VLOOKUP($A2888,原始数据_收盘!$A$4:$G$3460,5,0),"")</f>
        <v>2.5197</v>
      </c>
      <c r="F2888">
        <f>IFERROR(VLOOKUP($A2888,原始数据_收盘!$A$4:$G$3460,6,0),"")</f>
        <v>2.2326</v>
      </c>
      <c r="G2888">
        <f>IFERROR(VLOOKUP($A2888,原始数据_收盘!$A$4:$G$3460,7,0),"")</f>
        <v>2.4854</v>
      </c>
      <c r="H2888">
        <f>IFERROR(VLOOKUP($A2888,原始数据_利率互换_FR007_1年!$A$6:$C$4395,2,0),"")</f>
        <v>2.2412</v>
      </c>
      <c r="I2888">
        <f>IFERROR(VLOOKUP($A2888,原始数据_利率互换_FR007_1年!$A$6:$C$4395,3,0),"")</f>
        <v>2.5002</v>
      </c>
    </row>
    <row r="2889" spans="1:9">
      <c r="A2889" s="6">
        <v>42382</v>
      </c>
      <c r="B2889">
        <f>IFERROR(VLOOKUP($A2889,原始数据_收盘!$A$4:$G$3460,2,0),"")</f>
        <v>2.1978</v>
      </c>
      <c r="C2889">
        <f>IFERROR(VLOOKUP($A2889,原始数据_收盘!$A$4:$G$3460,3,0),"")</f>
        <v>2.4344</v>
      </c>
      <c r="D2889">
        <f>IFERROR(VLOOKUP($A2889,原始数据_收盘!$A$4:$G$3460,4,0),"")</f>
        <v>2.253</v>
      </c>
      <c r="E2889">
        <f>IFERROR(VLOOKUP($A2889,原始数据_收盘!$A$4:$G$3460,5,0),"")</f>
        <v>2.4967</v>
      </c>
      <c r="F2889">
        <f>IFERROR(VLOOKUP($A2889,原始数据_收盘!$A$4:$G$3460,6,0),"")</f>
        <v>2.2254</v>
      </c>
      <c r="G2889">
        <f>IFERROR(VLOOKUP($A2889,原始数据_收盘!$A$4:$G$3460,7,0),"")</f>
        <v>2.4656</v>
      </c>
      <c r="H2889">
        <f>IFERROR(VLOOKUP($A2889,原始数据_利率互换_FR007_1年!$A$6:$C$4395,2,0),"")</f>
        <v>2.2232</v>
      </c>
      <c r="I2889">
        <f>IFERROR(VLOOKUP($A2889,原始数据_利率互换_FR007_1年!$A$6:$C$4395,3,0),"")</f>
        <v>2.4637</v>
      </c>
    </row>
    <row r="2890" spans="1:9">
      <c r="A2890" s="6">
        <v>42383</v>
      </c>
      <c r="B2890">
        <f>IFERROR(VLOOKUP($A2890,原始数据_收盘!$A$4:$G$3460,2,0),"")</f>
        <v>2.2159</v>
      </c>
      <c r="C2890">
        <f>IFERROR(VLOOKUP($A2890,原始数据_收盘!$A$4:$G$3460,3,0),"")</f>
        <v>2.4488</v>
      </c>
      <c r="D2890">
        <f>IFERROR(VLOOKUP($A2890,原始数据_收盘!$A$4:$G$3460,4,0),"")</f>
        <v>2.265</v>
      </c>
      <c r="E2890">
        <f>IFERROR(VLOOKUP($A2890,原始数据_收盘!$A$4:$G$3460,5,0),"")</f>
        <v>2.5063</v>
      </c>
      <c r="F2890">
        <f>IFERROR(VLOOKUP($A2890,原始数据_收盘!$A$4:$G$3460,6,0),"")</f>
        <v>2.2404</v>
      </c>
      <c r="G2890">
        <f>IFERROR(VLOOKUP($A2890,原始数据_收盘!$A$4:$G$3460,7,0),"")</f>
        <v>2.4775</v>
      </c>
      <c r="H2890">
        <f>IFERROR(VLOOKUP($A2890,原始数据_利率互换_FR007_1年!$A$6:$C$4395,2,0),"")</f>
        <v>2.2321</v>
      </c>
      <c r="I2890">
        <f>IFERROR(VLOOKUP($A2890,原始数据_利率互换_FR007_1年!$A$6:$C$4395,3,0),"")</f>
        <v>2.4577</v>
      </c>
    </row>
    <row r="2891" spans="1:9">
      <c r="A2891" s="6">
        <v>42384</v>
      </c>
      <c r="B2891">
        <f>IFERROR(VLOOKUP($A2891,原始数据_收盘!$A$4:$G$3460,2,0),"")</f>
        <v>2.2213</v>
      </c>
      <c r="C2891">
        <f>IFERROR(VLOOKUP($A2891,原始数据_收盘!$A$4:$G$3460,3,0),"")</f>
        <v>2.45</v>
      </c>
      <c r="D2891">
        <f>IFERROR(VLOOKUP($A2891,原始数据_收盘!$A$4:$G$3460,4,0),"")</f>
        <v>2.2725</v>
      </c>
      <c r="E2891">
        <f>IFERROR(VLOOKUP($A2891,原始数据_收盘!$A$4:$G$3460,5,0),"")</f>
        <v>2.5088</v>
      </c>
      <c r="F2891">
        <f>IFERROR(VLOOKUP($A2891,原始数据_收盘!$A$4:$G$3460,6,0),"")</f>
        <v>2.2469</v>
      </c>
      <c r="G2891">
        <f>IFERROR(VLOOKUP($A2891,原始数据_收盘!$A$4:$G$3460,7,0),"")</f>
        <v>2.4794</v>
      </c>
      <c r="H2891">
        <f>IFERROR(VLOOKUP($A2891,原始数据_利率互换_FR007_1年!$A$6:$C$4395,2,0),"")</f>
        <v>2.2473</v>
      </c>
      <c r="I2891">
        <f>IFERROR(VLOOKUP($A2891,原始数据_利率互换_FR007_1年!$A$6:$C$4395,3,0),"")</f>
        <v>2.4839</v>
      </c>
    </row>
    <row r="2892" spans="1:9">
      <c r="A2892" s="6">
        <v>42385</v>
      </c>
      <c r="B2892" t="str">
        <f>IFERROR(VLOOKUP($A2892,原始数据_收盘!$A$4:$G$3460,2,0),"")</f>
        <v/>
      </c>
      <c r="C2892" t="str">
        <f>IFERROR(VLOOKUP($A2892,原始数据_收盘!$A$4:$G$3460,3,0),"")</f>
        <v/>
      </c>
      <c r="D2892" t="str">
        <f>IFERROR(VLOOKUP($A2892,原始数据_收盘!$A$4:$G$3460,4,0),"")</f>
        <v/>
      </c>
      <c r="E2892" t="str">
        <f>IFERROR(VLOOKUP($A2892,原始数据_收盘!$A$4:$G$3460,5,0),"")</f>
        <v/>
      </c>
      <c r="F2892" t="str">
        <f>IFERROR(VLOOKUP($A2892,原始数据_收盘!$A$4:$G$3460,6,0),"")</f>
        <v/>
      </c>
      <c r="G2892" t="str">
        <f>IFERROR(VLOOKUP($A2892,原始数据_收盘!$A$4:$G$3460,7,0),"")</f>
        <v/>
      </c>
      <c r="H2892" t="str">
        <f>IFERROR(VLOOKUP($A2892,原始数据_利率互换_FR007_1年!$A$6:$C$4395,2,0),"")</f>
        <v/>
      </c>
      <c r="I2892" t="str">
        <f>IFERROR(VLOOKUP($A2892,原始数据_利率互换_FR007_1年!$A$6:$C$4395,3,0),"")</f>
        <v/>
      </c>
    </row>
    <row r="2893" spans="1:9">
      <c r="A2893" s="6">
        <v>42386</v>
      </c>
      <c r="B2893" t="str">
        <f>IFERROR(VLOOKUP($A2893,原始数据_收盘!$A$4:$G$3460,2,0),"")</f>
        <v/>
      </c>
      <c r="C2893" t="str">
        <f>IFERROR(VLOOKUP($A2893,原始数据_收盘!$A$4:$G$3460,3,0),"")</f>
        <v/>
      </c>
      <c r="D2893" t="str">
        <f>IFERROR(VLOOKUP($A2893,原始数据_收盘!$A$4:$G$3460,4,0),"")</f>
        <v/>
      </c>
      <c r="E2893" t="str">
        <f>IFERROR(VLOOKUP($A2893,原始数据_收盘!$A$4:$G$3460,5,0),"")</f>
        <v/>
      </c>
      <c r="F2893" t="str">
        <f>IFERROR(VLOOKUP($A2893,原始数据_收盘!$A$4:$G$3460,6,0),"")</f>
        <v/>
      </c>
      <c r="G2893" t="str">
        <f>IFERROR(VLOOKUP($A2893,原始数据_收盘!$A$4:$G$3460,7,0),"")</f>
        <v/>
      </c>
      <c r="H2893" t="str">
        <f>IFERROR(VLOOKUP($A2893,原始数据_利率互换_FR007_1年!$A$6:$C$4395,2,0),"")</f>
        <v/>
      </c>
      <c r="I2893" t="str">
        <f>IFERROR(VLOOKUP($A2893,原始数据_利率互换_FR007_1年!$A$6:$C$4395,3,0),"")</f>
        <v/>
      </c>
    </row>
    <row r="2894" spans="1:9">
      <c r="A2894" s="6">
        <v>42387</v>
      </c>
      <c r="B2894">
        <f>IFERROR(VLOOKUP($A2894,原始数据_收盘!$A$4:$G$3460,2,0),"")</f>
        <v>2.2429</v>
      </c>
      <c r="C2894">
        <f>IFERROR(VLOOKUP($A2894,原始数据_收盘!$A$4:$G$3460,3,0),"")</f>
        <v>2.4666</v>
      </c>
      <c r="D2894">
        <f>IFERROR(VLOOKUP($A2894,原始数据_收盘!$A$4:$G$3460,4,0),"")</f>
        <v>2.2979</v>
      </c>
      <c r="E2894">
        <f>IFERROR(VLOOKUP($A2894,原始数据_收盘!$A$4:$G$3460,5,0),"")</f>
        <v>2.5369</v>
      </c>
      <c r="F2894">
        <f>IFERROR(VLOOKUP($A2894,原始数据_收盘!$A$4:$G$3460,6,0),"")</f>
        <v>2.2704</v>
      </c>
      <c r="G2894">
        <f>IFERROR(VLOOKUP($A2894,原始数据_收盘!$A$4:$G$3460,7,0),"")</f>
        <v>2.5018</v>
      </c>
      <c r="H2894">
        <f>IFERROR(VLOOKUP($A2894,原始数据_利率互换_FR007_1年!$A$6:$C$4395,2,0),"")</f>
        <v>2.2703</v>
      </c>
      <c r="I2894">
        <f>IFERROR(VLOOKUP($A2894,原始数据_利率互换_FR007_1年!$A$6:$C$4395,3,0),"")</f>
        <v>2.496</v>
      </c>
    </row>
    <row r="2895" spans="1:9">
      <c r="A2895" s="6">
        <v>42388</v>
      </c>
      <c r="B2895">
        <f>IFERROR(VLOOKUP($A2895,原始数据_收盘!$A$4:$G$3460,2,0),"")</f>
        <v>2.2494</v>
      </c>
      <c r="C2895">
        <f>IFERROR(VLOOKUP($A2895,原始数据_收盘!$A$4:$G$3460,3,0),"")</f>
        <v>2.4775</v>
      </c>
      <c r="D2895">
        <f>IFERROR(VLOOKUP($A2895,原始数据_收盘!$A$4:$G$3460,4,0),"")</f>
        <v>2.305</v>
      </c>
      <c r="E2895">
        <f>IFERROR(VLOOKUP($A2895,原始数据_收盘!$A$4:$G$3460,5,0),"")</f>
        <v>2.5444</v>
      </c>
      <c r="F2895">
        <f>IFERROR(VLOOKUP($A2895,原始数据_收盘!$A$4:$G$3460,6,0),"")</f>
        <v>2.2772</v>
      </c>
      <c r="G2895">
        <f>IFERROR(VLOOKUP($A2895,原始数据_收盘!$A$4:$G$3460,7,0),"")</f>
        <v>2.5109</v>
      </c>
      <c r="H2895">
        <f>IFERROR(VLOOKUP($A2895,原始数据_利率互换_FR007_1年!$A$6:$C$4395,2,0),"")</f>
        <v>2.2758</v>
      </c>
      <c r="I2895">
        <f>IFERROR(VLOOKUP($A2895,原始数据_利率互换_FR007_1年!$A$6:$C$4395,3,0),"")</f>
        <v>2.5013</v>
      </c>
    </row>
    <row r="2896" spans="1:9">
      <c r="A2896" s="6">
        <v>42389</v>
      </c>
      <c r="B2896">
        <f>IFERROR(VLOOKUP($A2896,原始数据_收盘!$A$4:$G$3460,2,0),"")</f>
        <v>2.2694</v>
      </c>
      <c r="C2896">
        <f>IFERROR(VLOOKUP($A2896,原始数据_收盘!$A$4:$G$3460,3,0),"")</f>
        <v>2.4888</v>
      </c>
      <c r="D2896">
        <f>IFERROR(VLOOKUP($A2896,原始数据_收盘!$A$4:$G$3460,4,0),"")</f>
        <v>2.3238</v>
      </c>
      <c r="E2896">
        <f>IFERROR(VLOOKUP($A2896,原始数据_收盘!$A$4:$G$3460,5,0),"")</f>
        <v>2.5519</v>
      </c>
      <c r="F2896">
        <f>IFERROR(VLOOKUP($A2896,原始数据_收盘!$A$4:$G$3460,6,0),"")</f>
        <v>2.2966</v>
      </c>
      <c r="G2896">
        <f>IFERROR(VLOOKUP($A2896,原始数据_收盘!$A$4:$G$3460,7,0),"")</f>
        <v>2.5203</v>
      </c>
      <c r="H2896">
        <f>IFERROR(VLOOKUP($A2896,原始数据_利率互换_FR007_1年!$A$6:$C$4395,2,0),"")</f>
        <v>2.3041</v>
      </c>
      <c r="I2896">
        <f>IFERROR(VLOOKUP($A2896,原始数据_利率互换_FR007_1年!$A$6:$C$4395,3,0),"")</f>
        <v>2.5271</v>
      </c>
    </row>
    <row r="2897" spans="1:9">
      <c r="A2897" s="6">
        <v>42390</v>
      </c>
      <c r="B2897">
        <f>IFERROR(VLOOKUP($A2897,原始数据_收盘!$A$4:$G$3460,2,0),"")</f>
        <v>2.2738</v>
      </c>
      <c r="C2897">
        <f>IFERROR(VLOOKUP($A2897,原始数据_收盘!$A$4:$G$3460,3,0),"")</f>
        <v>2.48</v>
      </c>
      <c r="D2897">
        <f>IFERROR(VLOOKUP($A2897,原始数据_收盘!$A$4:$G$3460,4,0),"")</f>
        <v>2.33</v>
      </c>
      <c r="E2897">
        <f>IFERROR(VLOOKUP($A2897,原始数据_收盘!$A$4:$G$3460,5,0),"")</f>
        <v>2.5479</v>
      </c>
      <c r="F2897">
        <f>IFERROR(VLOOKUP($A2897,原始数据_收盘!$A$4:$G$3460,6,0),"")</f>
        <v>2.3019</v>
      </c>
      <c r="G2897">
        <f>IFERROR(VLOOKUP($A2897,原始数据_收盘!$A$4:$G$3460,7,0),"")</f>
        <v>2.5139</v>
      </c>
      <c r="H2897">
        <f>IFERROR(VLOOKUP($A2897,原始数据_利率互换_FR007_1年!$A$6:$C$4395,2,0),"")</f>
        <v>2.3002</v>
      </c>
      <c r="I2897">
        <f>IFERROR(VLOOKUP($A2897,原始数据_利率互换_FR007_1年!$A$6:$C$4395,3,0),"")</f>
        <v>2.51</v>
      </c>
    </row>
    <row r="2898" spans="1:9">
      <c r="A2898" s="6">
        <v>42391</v>
      </c>
      <c r="B2898">
        <f>IFERROR(VLOOKUP($A2898,原始数据_收盘!$A$4:$G$3460,2,0),"")</f>
        <v>2.2691</v>
      </c>
      <c r="C2898">
        <f>IFERROR(VLOOKUP($A2898,原始数据_收盘!$A$4:$G$3460,3,0),"")</f>
        <v>2.4719</v>
      </c>
      <c r="D2898">
        <f>IFERROR(VLOOKUP($A2898,原始数据_收盘!$A$4:$G$3460,4,0),"")</f>
        <v>2.3271</v>
      </c>
      <c r="E2898">
        <f>IFERROR(VLOOKUP($A2898,原始数据_收盘!$A$4:$G$3460,5,0),"")</f>
        <v>2.5391</v>
      </c>
      <c r="F2898">
        <f>IFERROR(VLOOKUP($A2898,原始数据_收盘!$A$4:$G$3460,6,0),"")</f>
        <v>2.2981</v>
      </c>
      <c r="G2898">
        <f>IFERROR(VLOOKUP($A2898,原始数据_收盘!$A$4:$G$3460,7,0),"")</f>
        <v>2.5055</v>
      </c>
      <c r="H2898">
        <f>IFERROR(VLOOKUP($A2898,原始数据_利率互换_FR007_1年!$A$6:$C$4395,2,0),"")</f>
        <v>2.296</v>
      </c>
      <c r="I2898">
        <f>IFERROR(VLOOKUP($A2898,原始数据_利率互换_FR007_1年!$A$6:$C$4395,3,0),"")</f>
        <v>2.4952</v>
      </c>
    </row>
    <row r="2899" spans="1:9">
      <c r="A2899" s="6">
        <v>42392</v>
      </c>
      <c r="B2899" t="str">
        <f>IFERROR(VLOOKUP($A2899,原始数据_收盘!$A$4:$G$3460,2,0),"")</f>
        <v/>
      </c>
      <c r="C2899" t="str">
        <f>IFERROR(VLOOKUP($A2899,原始数据_收盘!$A$4:$G$3460,3,0),"")</f>
        <v/>
      </c>
      <c r="D2899" t="str">
        <f>IFERROR(VLOOKUP($A2899,原始数据_收盘!$A$4:$G$3460,4,0),"")</f>
        <v/>
      </c>
      <c r="E2899" t="str">
        <f>IFERROR(VLOOKUP($A2899,原始数据_收盘!$A$4:$G$3460,5,0),"")</f>
        <v/>
      </c>
      <c r="F2899" t="str">
        <f>IFERROR(VLOOKUP($A2899,原始数据_收盘!$A$4:$G$3460,6,0),"")</f>
        <v/>
      </c>
      <c r="G2899" t="str">
        <f>IFERROR(VLOOKUP($A2899,原始数据_收盘!$A$4:$G$3460,7,0),"")</f>
        <v/>
      </c>
      <c r="H2899" t="str">
        <f>IFERROR(VLOOKUP($A2899,原始数据_利率互换_FR007_1年!$A$6:$C$4395,2,0),"")</f>
        <v/>
      </c>
      <c r="I2899" t="str">
        <f>IFERROR(VLOOKUP($A2899,原始数据_利率互换_FR007_1年!$A$6:$C$4395,3,0),"")</f>
        <v/>
      </c>
    </row>
    <row r="2900" spans="1:9">
      <c r="A2900" s="6">
        <v>42393</v>
      </c>
      <c r="B2900" t="str">
        <f>IFERROR(VLOOKUP($A2900,原始数据_收盘!$A$4:$G$3460,2,0),"")</f>
        <v/>
      </c>
      <c r="C2900" t="str">
        <f>IFERROR(VLOOKUP($A2900,原始数据_收盘!$A$4:$G$3460,3,0),"")</f>
        <v/>
      </c>
      <c r="D2900" t="str">
        <f>IFERROR(VLOOKUP($A2900,原始数据_收盘!$A$4:$G$3460,4,0),"")</f>
        <v/>
      </c>
      <c r="E2900" t="str">
        <f>IFERROR(VLOOKUP($A2900,原始数据_收盘!$A$4:$G$3460,5,0),"")</f>
        <v/>
      </c>
      <c r="F2900" t="str">
        <f>IFERROR(VLOOKUP($A2900,原始数据_收盘!$A$4:$G$3460,6,0),"")</f>
        <v/>
      </c>
      <c r="G2900" t="str">
        <f>IFERROR(VLOOKUP($A2900,原始数据_收盘!$A$4:$G$3460,7,0),"")</f>
        <v/>
      </c>
      <c r="H2900" t="str">
        <f>IFERROR(VLOOKUP($A2900,原始数据_利率互换_FR007_1年!$A$6:$C$4395,2,0),"")</f>
        <v/>
      </c>
      <c r="I2900" t="str">
        <f>IFERROR(VLOOKUP($A2900,原始数据_利率互换_FR007_1年!$A$6:$C$4395,3,0),"")</f>
        <v/>
      </c>
    </row>
    <row r="2901" spans="1:9">
      <c r="A2901" s="6">
        <v>42394</v>
      </c>
      <c r="B2901">
        <f>IFERROR(VLOOKUP($A2901,原始数据_收盘!$A$4:$G$3460,2,0),"")</f>
        <v>2.3096</v>
      </c>
      <c r="C2901">
        <f>IFERROR(VLOOKUP($A2901,原始数据_收盘!$A$4:$G$3460,3,0),"")</f>
        <v>2.5463</v>
      </c>
      <c r="D2901">
        <f>IFERROR(VLOOKUP($A2901,原始数据_收盘!$A$4:$G$3460,4,0),"")</f>
        <v>2.3638</v>
      </c>
      <c r="E2901">
        <f>IFERROR(VLOOKUP($A2901,原始数据_收盘!$A$4:$G$3460,5,0),"")</f>
        <v>2.6106</v>
      </c>
      <c r="F2901">
        <f>IFERROR(VLOOKUP($A2901,原始数据_收盘!$A$4:$G$3460,6,0),"")</f>
        <v>2.3367</v>
      </c>
      <c r="G2901">
        <f>IFERROR(VLOOKUP($A2901,原始数据_收盘!$A$4:$G$3460,7,0),"")</f>
        <v>2.5784</v>
      </c>
      <c r="H2901">
        <f>IFERROR(VLOOKUP($A2901,原始数据_利率互换_FR007_1年!$A$6:$C$4395,2,0),"")</f>
        <v>2.3331</v>
      </c>
      <c r="I2901">
        <f>IFERROR(VLOOKUP($A2901,原始数据_利率互换_FR007_1年!$A$6:$C$4395,3,0),"")</f>
        <v>2.5582</v>
      </c>
    </row>
    <row r="2902" spans="1:9">
      <c r="A2902" s="6">
        <v>42395</v>
      </c>
      <c r="B2902">
        <f>IFERROR(VLOOKUP($A2902,原始数据_收盘!$A$4:$G$3460,2,0),"")</f>
        <v>2.3</v>
      </c>
      <c r="C2902">
        <f>IFERROR(VLOOKUP($A2902,原始数据_收盘!$A$4:$G$3460,3,0),"")</f>
        <v>2.545</v>
      </c>
      <c r="D2902">
        <f>IFERROR(VLOOKUP($A2902,原始数据_收盘!$A$4:$G$3460,4,0),"")</f>
        <v>2.35</v>
      </c>
      <c r="E2902">
        <f>IFERROR(VLOOKUP($A2902,原始数据_收盘!$A$4:$G$3460,5,0),"")</f>
        <v>2.608</v>
      </c>
      <c r="F2902">
        <f>IFERROR(VLOOKUP($A2902,原始数据_收盘!$A$4:$G$3460,6,0),"")</f>
        <v>2.325</v>
      </c>
      <c r="G2902">
        <f>IFERROR(VLOOKUP($A2902,原始数据_收盘!$A$4:$G$3460,7,0),"")</f>
        <v>2.5765</v>
      </c>
      <c r="H2902">
        <f>IFERROR(VLOOKUP($A2902,原始数据_利率互换_FR007_1年!$A$6:$C$4395,2,0),"")</f>
        <v>2.3193</v>
      </c>
      <c r="I2902">
        <f>IFERROR(VLOOKUP($A2902,原始数据_利率互换_FR007_1年!$A$6:$C$4395,3,0),"")</f>
        <v>2.5712</v>
      </c>
    </row>
    <row r="2903" spans="1:9">
      <c r="A2903" s="6">
        <v>42396</v>
      </c>
      <c r="B2903">
        <f>IFERROR(VLOOKUP($A2903,原始数据_收盘!$A$4:$G$3460,2,0),"")</f>
        <v>2.3291</v>
      </c>
      <c r="C2903">
        <f>IFERROR(VLOOKUP($A2903,原始数据_收盘!$A$4:$G$3460,3,0),"")</f>
        <v>2.6013</v>
      </c>
      <c r="D2903">
        <f>IFERROR(VLOOKUP($A2903,原始数据_收盘!$A$4:$G$3460,4,0),"")</f>
        <v>2.3781</v>
      </c>
      <c r="E2903">
        <f>IFERROR(VLOOKUP($A2903,原始数据_收盘!$A$4:$G$3460,5,0),"")</f>
        <v>2.655</v>
      </c>
      <c r="F2903">
        <f>IFERROR(VLOOKUP($A2903,原始数据_收盘!$A$4:$G$3460,6,0),"")</f>
        <v>2.3536</v>
      </c>
      <c r="G2903">
        <f>IFERROR(VLOOKUP($A2903,原始数据_收盘!$A$4:$G$3460,7,0),"")</f>
        <v>2.6281</v>
      </c>
      <c r="H2903">
        <f>IFERROR(VLOOKUP($A2903,原始数据_利率互换_FR007_1年!$A$6:$C$4395,2,0),"")</f>
        <v>2.3527</v>
      </c>
      <c r="I2903">
        <f>IFERROR(VLOOKUP($A2903,原始数据_利率互换_FR007_1年!$A$6:$C$4395,3,0),"")</f>
        <v>2.6228</v>
      </c>
    </row>
    <row r="2904" spans="1:9">
      <c r="A2904" s="6">
        <v>42397</v>
      </c>
      <c r="B2904">
        <f>IFERROR(VLOOKUP($A2904,原始数据_收盘!$A$4:$G$3460,2,0),"")</f>
        <v>2.3238</v>
      </c>
      <c r="C2904">
        <f>IFERROR(VLOOKUP($A2904,原始数据_收盘!$A$4:$G$3460,3,0),"")</f>
        <v>2.5963</v>
      </c>
      <c r="D2904">
        <f>IFERROR(VLOOKUP($A2904,原始数据_收盘!$A$4:$G$3460,4,0),"")</f>
        <v>2.3688</v>
      </c>
      <c r="E2904">
        <f>IFERROR(VLOOKUP($A2904,原始数据_收盘!$A$4:$G$3460,5,0),"")</f>
        <v>2.65</v>
      </c>
      <c r="F2904">
        <f>IFERROR(VLOOKUP($A2904,原始数据_收盘!$A$4:$G$3460,6,0),"")</f>
        <v>2.3463</v>
      </c>
      <c r="G2904">
        <f>IFERROR(VLOOKUP($A2904,原始数据_收盘!$A$4:$G$3460,7,0),"")</f>
        <v>2.6231</v>
      </c>
      <c r="H2904">
        <f>IFERROR(VLOOKUP($A2904,原始数据_利率互换_FR007_1年!$A$6:$C$4395,2,0),"")</f>
        <v>2.3468</v>
      </c>
      <c r="I2904">
        <f>IFERROR(VLOOKUP($A2904,原始数据_利率互换_FR007_1年!$A$6:$C$4395,3,0),"")</f>
        <v>2.6267</v>
      </c>
    </row>
    <row r="2905" spans="1:9">
      <c r="A2905" s="6">
        <v>42398</v>
      </c>
      <c r="B2905">
        <f>IFERROR(VLOOKUP($A2905,原始数据_收盘!$A$4:$G$3460,2,0),"")</f>
        <v>2.2622</v>
      </c>
      <c r="C2905">
        <f>IFERROR(VLOOKUP($A2905,原始数据_收盘!$A$4:$G$3460,3,0),"")</f>
        <v>2.5494</v>
      </c>
      <c r="D2905">
        <f>IFERROR(VLOOKUP($A2905,原始数据_收盘!$A$4:$G$3460,4,0),"")</f>
        <v>2.3216</v>
      </c>
      <c r="E2905">
        <f>IFERROR(VLOOKUP($A2905,原始数据_收盘!$A$4:$G$3460,5,0),"")</f>
        <v>2.6138</v>
      </c>
      <c r="F2905">
        <f>IFERROR(VLOOKUP($A2905,原始数据_收盘!$A$4:$G$3460,6,0),"")</f>
        <v>2.2919</v>
      </c>
      <c r="G2905">
        <f>IFERROR(VLOOKUP($A2905,原始数据_收盘!$A$4:$G$3460,7,0),"")</f>
        <v>2.5816</v>
      </c>
      <c r="H2905">
        <f>IFERROR(VLOOKUP($A2905,原始数据_利率互换_FR007_1年!$A$6:$C$4395,2,0),"")</f>
        <v>2.2994</v>
      </c>
      <c r="I2905">
        <f>IFERROR(VLOOKUP($A2905,原始数据_利率互换_FR007_1年!$A$6:$C$4395,3,0),"")</f>
        <v>2.5853</v>
      </c>
    </row>
    <row r="2906" spans="1:9">
      <c r="A2906" s="6">
        <v>42399</v>
      </c>
      <c r="B2906" t="str">
        <f>IFERROR(VLOOKUP($A2906,原始数据_收盘!$A$4:$G$3460,2,0),"")</f>
        <v/>
      </c>
      <c r="C2906" t="str">
        <f>IFERROR(VLOOKUP($A2906,原始数据_收盘!$A$4:$G$3460,3,0),"")</f>
        <v/>
      </c>
      <c r="D2906" t="str">
        <f>IFERROR(VLOOKUP($A2906,原始数据_收盘!$A$4:$G$3460,4,0),"")</f>
        <v/>
      </c>
      <c r="E2906" t="str">
        <f>IFERROR(VLOOKUP($A2906,原始数据_收盘!$A$4:$G$3460,5,0),"")</f>
        <v/>
      </c>
      <c r="F2906" t="str">
        <f>IFERROR(VLOOKUP($A2906,原始数据_收盘!$A$4:$G$3460,6,0),"")</f>
        <v/>
      </c>
      <c r="G2906" t="str">
        <f>IFERROR(VLOOKUP($A2906,原始数据_收盘!$A$4:$G$3460,7,0),"")</f>
        <v/>
      </c>
      <c r="H2906" t="str">
        <f>IFERROR(VLOOKUP($A2906,原始数据_利率互换_FR007_1年!$A$6:$C$4395,2,0),"")</f>
        <v/>
      </c>
      <c r="I2906" t="str">
        <f>IFERROR(VLOOKUP($A2906,原始数据_利率互换_FR007_1年!$A$6:$C$4395,3,0),"")</f>
        <v/>
      </c>
    </row>
    <row r="2907" spans="1:9">
      <c r="A2907" s="6">
        <v>42400</v>
      </c>
      <c r="B2907" t="str">
        <f>IFERROR(VLOOKUP($A2907,原始数据_收盘!$A$4:$G$3460,2,0),"")</f>
        <v/>
      </c>
      <c r="C2907" t="str">
        <f>IFERROR(VLOOKUP($A2907,原始数据_收盘!$A$4:$G$3460,3,0),"")</f>
        <v/>
      </c>
      <c r="D2907" t="str">
        <f>IFERROR(VLOOKUP($A2907,原始数据_收盘!$A$4:$G$3460,4,0),"")</f>
        <v/>
      </c>
      <c r="E2907" t="str">
        <f>IFERROR(VLOOKUP($A2907,原始数据_收盘!$A$4:$G$3460,5,0),"")</f>
        <v/>
      </c>
      <c r="F2907" t="str">
        <f>IFERROR(VLOOKUP($A2907,原始数据_收盘!$A$4:$G$3460,6,0),"")</f>
        <v/>
      </c>
      <c r="G2907" t="str">
        <f>IFERROR(VLOOKUP($A2907,原始数据_收盘!$A$4:$G$3460,7,0),"")</f>
        <v/>
      </c>
      <c r="H2907" t="str">
        <f>IFERROR(VLOOKUP($A2907,原始数据_利率互换_FR007_1年!$A$6:$C$4395,2,0),"")</f>
        <v/>
      </c>
      <c r="I2907" t="str">
        <f>IFERROR(VLOOKUP($A2907,原始数据_利率互换_FR007_1年!$A$6:$C$4395,3,0),"")</f>
        <v/>
      </c>
    </row>
    <row r="2908" spans="1:9">
      <c r="A2908" s="6">
        <v>42401</v>
      </c>
      <c r="B2908">
        <f>IFERROR(VLOOKUP($A2908,原始数据_收盘!$A$4:$G$3460,2,0),"")</f>
        <v>2.2678</v>
      </c>
      <c r="C2908">
        <f>IFERROR(VLOOKUP($A2908,原始数据_收盘!$A$4:$G$3460,3,0),"")</f>
        <v>2.5522</v>
      </c>
      <c r="D2908">
        <f>IFERROR(VLOOKUP($A2908,原始数据_收盘!$A$4:$G$3460,4,0),"")</f>
        <v>2.3233</v>
      </c>
      <c r="E2908">
        <f>IFERROR(VLOOKUP($A2908,原始数据_收盘!$A$4:$G$3460,5,0),"")</f>
        <v>2.6144</v>
      </c>
      <c r="F2908">
        <f>IFERROR(VLOOKUP($A2908,原始数据_收盘!$A$4:$G$3460,6,0),"")</f>
        <v>2.2956</v>
      </c>
      <c r="G2908">
        <f>IFERROR(VLOOKUP($A2908,原始数据_收盘!$A$4:$G$3460,7,0),"")</f>
        <v>2.5833</v>
      </c>
      <c r="H2908">
        <f>IFERROR(VLOOKUP($A2908,原始数据_利率互换_FR007_1年!$A$6:$C$4395,2,0),"")</f>
        <v>2.2958</v>
      </c>
      <c r="I2908">
        <f>IFERROR(VLOOKUP($A2908,原始数据_利率互换_FR007_1年!$A$6:$C$4395,3,0),"")</f>
        <v>2.5803</v>
      </c>
    </row>
    <row r="2909" spans="1:9">
      <c r="A2909" s="6">
        <v>42402</v>
      </c>
      <c r="B2909">
        <f>IFERROR(VLOOKUP($A2909,原始数据_收盘!$A$4:$G$3460,2,0),"")</f>
        <v>2.3075</v>
      </c>
      <c r="C2909">
        <f>IFERROR(VLOOKUP($A2909,原始数据_收盘!$A$4:$G$3460,3,0),"")</f>
        <v>2.5944</v>
      </c>
      <c r="D2909">
        <f>IFERROR(VLOOKUP($A2909,原始数据_收盘!$A$4:$G$3460,4,0),"")</f>
        <v>2.3588</v>
      </c>
      <c r="E2909">
        <f>IFERROR(VLOOKUP($A2909,原始数据_收盘!$A$4:$G$3460,5,0),"")</f>
        <v>2.65</v>
      </c>
      <c r="F2909">
        <f>IFERROR(VLOOKUP($A2909,原始数据_收盘!$A$4:$G$3460,6,0),"")</f>
        <v>2.3331</v>
      </c>
      <c r="G2909">
        <f>IFERROR(VLOOKUP($A2909,原始数据_收盘!$A$4:$G$3460,7,0),"")</f>
        <v>2.6222</v>
      </c>
      <c r="H2909">
        <f>IFERROR(VLOOKUP($A2909,原始数据_利率互换_FR007_1年!$A$6:$C$4395,2,0),"")</f>
        <v>2.322</v>
      </c>
      <c r="I2909">
        <f>IFERROR(VLOOKUP($A2909,原始数据_利率互换_FR007_1年!$A$6:$C$4395,3,0),"")</f>
        <v>2.6197</v>
      </c>
    </row>
    <row r="2910" spans="1:9">
      <c r="A2910" s="6">
        <v>42403</v>
      </c>
      <c r="B2910">
        <f>IFERROR(VLOOKUP($A2910,原始数据_收盘!$A$4:$G$3460,2,0),"")</f>
        <v>2.3025</v>
      </c>
      <c r="C2910">
        <f>IFERROR(VLOOKUP($A2910,原始数据_收盘!$A$4:$G$3460,3,0),"")</f>
        <v>2.6016</v>
      </c>
      <c r="D2910">
        <f>IFERROR(VLOOKUP($A2910,原始数据_收盘!$A$4:$G$3460,4,0),"")</f>
        <v>2.3475</v>
      </c>
      <c r="E2910">
        <f>IFERROR(VLOOKUP($A2910,原始数据_收盘!$A$4:$G$3460,5,0),"")</f>
        <v>2.6638</v>
      </c>
      <c r="F2910">
        <f>IFERROR(VLOOKUP($A2910,原始数据_收盘!$A$4:$G$3460,6,0),"")</f>
        <v>2.325</v>
      </c>
      <c r="G2910">
        <f>IFERROR(VLOOKUP($A2910,原始数据_收盘!$A$4:$G$3460,7,0),"")</f>
        <v>2.6327</v>
      </c>
      <c r="H2910">
        <f>IFERROR(VLOOKUP($A2910,原始数据_利率互换_FR007_1年!$A$6:$C$4395,2,0),"")</f>
        <v>2.3362</v>
      </c>
      <c r="I2910">
        <f>IFERROR(VLOOKUP($A2910,原始数据_利率互换_FR007_1年!$A$6:$C$4395,3,0),"")</f>
        <v>2.6529</v>
      </c>
    </row>
    <row r="2911" spans="1:9">
      <c r="A2911" s="6">
        <v>42404</v>
      </c>
      <c r="B2911">
        <f>IFERROR(VLOOKUP($A2911,原始数据_收盘!$A$4:$G$3460,2,0),"")</f>
        <v>2.285</v>
      </c>
      <c r="C2911">
        <f>IFERROR(VLOOKUP($A2911,原始数据_收盘!$A$4:$G$3460,3,0),"")</f>
        <v>2.5813</v>
      </c>
      <c r="D2911">
        <f>IFERROR(VLOOKUP($A2911,原始数据_收盘!$A$4:$G$3460,4,0),"")</f>
        <v>2.335</v>
      </c>
      <c r="E2911">
        <f>IFERROR(VLOOKUP($A2911,原始数据_收盘!$A$4:$G$3460,5,0),"")</f>
        <v>2.6346</v>
      </c>
      <c r="F2911">
        <f>IFERROR(VLOOKUP($A2911,原始数据_收盘!$A$4:$G$3460,6,0),"")</f>
        <v>2.31</v>
      </c>
      <c r="G2911">
        <f>IFERROR(VLOOKUP($A2911,原始数据_收盘!$A$4:$G$3460,7,0),"")</f>
        <v>2.6079</v>
      </c>
      <c r="H2911">
        <f>IFERROR(VLOOKUP($A2911,原始数据_利率互换_FR007_1年!$A$6:$C$4395,2,0),"")</f>
        <v>2.31</v>
      </c>
      <c r="I2911">
        <f>IFERROR(VLOOKUP($A2911,原始数据_利率互换_FR007_1年!$A$6:$C$4395,3,0),"")</f>
        <v>2.6142</v>
      </c>
    </row>
    <row r="2912" spans="1:9">
      <c r="A2912" s="6">
        <v>42405</v>
      </c>
      <c r="B2912">
        <f>IFERROR(VLOOKUP($A2912,原始数据_收盘!$A$4:$G$3460,2,0),"")</f>
        <v>2.2781</v>
      </c>
      <c r="C2912">
        <f>IFERROR(VLOOKUP($A2912,原始数据_收盘!$A$4:$G$3460,3,0),"")</f>
        <v>2.58</v>
      </c>
      <c r="D2912">
        <f>IFERROR(VLOOKUP($A2912,原始数据_收盘!$A$4:$G$3460,4,0),"")</f>
        <v>2.3296</v>
      </c>
      <c r="E2912">
        <f>IFERROR(VLOOKUP($A2912,原始数据_收盘!$A$4:$G$3460,5,0),"")</f>
        <v>2.6296</v>
      </c>
      <c r="F2912">
        <f>IFERROR(VLOOKUP($A2912,原始数据_收盘!$A$4:$G$3460,6,0),"")</f>
        <v>2.3039</v>
      </c>
      <c r="G2912">
        <f>IFERROR(VLOOKUP($A2912,原始数据_收盘!$A$4:$G$3460,7,0),"")</f>
        <v>2.6048</v>
      </c>
      <c r="H2912">
        <f>IFERROR(VLOOKUP($A2912,原始数据_利率互换_FR007_1年!$A$6:$C$4395,2,0),"")</f>
        <v>2.2917</v>
      </c>
      <c r="I2912">
        <f>IFERROR(VLOOKUP($A2912,原始数据_利率互换_FR007_1年!$A$6:$C$4395,3,0),"")</f>
        <v>2.6</v>
      </c>
    </row>
    <row r="2913" spans="1:9">
      <c r="A2913" s="6">
        <v>42406</v>
      </c>
      <c r="B2913">
        <f>IFERROR(VLOOKUP($A2913,原始数据_收盘!$A$4:$G$3460,2,0),"")</f>
        <v>2.2733</v>
      </c>
      <c r="C2913">
        <f>IFERROR(VLOOKUP($A2913,原始数据_收盘!$A$4:$G$3460,3,0),"")</f>
        <v>2.575</v>
      </c>
      <c r="D2913">
        <f>IFERROR(VLOOKUP($A2913,原始数据_收盘!$A$4:$G$3460,4,0),"")</f>
        <v>2.3267</v>
      </c>
      <c r="E2913">
        <f>IFERROR(VLOOKUP($A2913,原始数据_收盘!$A$4:$G$3460,5,0),"")</f>
        <v>2.6267</v>
      </c>
      <c r="F2913">
        <f>IFERROR(VLOOKUP($A2913,原始数据_收盘!$A$4:$G$3460,6,0),"")</f>
        <v>2.3</v>
      </c>
      <c r="G2913">
        <f>IFERROR(VLOOKUP($A2913,原始数据_收盘!$A$4:$G$3460,7,0),"")</f>
        <v>2.6008</v>
      </c>
      <c r="H2913" t="str">
        <f>IFERROR(VLOOKUP($A2913,原始数据_利率互换_FR007_1年!$A$6:$C$4395,2,0),"")</f>
        <v/>
      </c>
      <c r="I2913" t="str">
        <f>IFERROR(VLOOKUP($A2913,原始数据_利率互换_FR007_1年!$A$6:$C$4395,3,0),"")</f>
        <v/>
      </c>
    </row>
    <row r="2914" spans="1:9">
      <c r="A2914" s="6">
        <v>42407</v>
      </c>
      <c r="B2914" t="str">
        <f>IFERROR(VLOOKUP($A2914,原始数据_收盘!$A$4:$G$3460,2,0),"")</f>
        <v/>
      </c>
      <c r="C2914" t="str">
        <f>IFERROR(VLOOKUP($A2914,原始数据_收盘!$A$4:$G$3460,3,0),"")</f>
        <v/>
      </c>
      <c r="D2914" t="str">
        <f>IFERROR(VLOOKUP($A2914,原始数据_收盘!$A$4:$G$3460,4,0),"")</f>
        <v/>
      </c>
      <c r="E2914" t="str">
        <f>IFERROR(VLOOKUP($A2914,原始数据_收盘!$A$4:$G$3460,5,0),"")</f>
        <v/>
      </c>
      <c r="F2914" t="str">
        <f>IFERROR(VLOOKUP($A2914,原始数据_收盘!$A$4:$G$3460,6,0),"")</f>
        <v/>
      </c>
      <c r="G2914" t="str">
        <f>IFERROR(VLOOKUP($A2914,原始数据_收盘!$A$4:$G$3460,7,0),"")</f>
        <v/>
      </c>
      <c r="H2914" t="str">
        <f>IFERROR(VLOOKUP($A2914,原始数据_利率互换_FR007_1年!$A$6:$C$4395,2,0),"")</f>
        <v/>
      </c>
      <c r="I2914" t="str">
        <f>IFERROR(VLOOKUP($A2914,原始数据_利率互换_FR007_1年!$A$6:$C$4395,3,0),"")</f>
        <v/>
      </c>
    </row>
    <row r="2915" spans="1:9">
      <c r="A2915" s="6">
        <v>42408</v>
      </c>
      <c r="B2915" t="str">
        <f>IFERROR(VLOOKUP($A2915,原始数据_收盘!$A$4:$G$3460,2,0),"")</f>
        <v/>
      </c>
      <c r="C2915" t="str">
        <f>IFERROR(VLOOKUP($A2915,原始数据_收盘!$A$4:$G$3460,3,0),"")</f>
        <v/>
      </c>
      <c r="D2915" t="str">
        <f>IFERROR(VLOOKUP($A2915,原始数据_收盘!$A$4:$G$3460,4,0),"")</f>
        <v/>
      </c>
      <c r="E2915" t="str">
        <f>IFERROR(VLOOKUP($A2915,原始数据_收盘!$A$4:$G$3460,5,0),"")</f>
        <v/>
      </c>
      <c r="F2915" t="str">
        <f>IFERROR(VLOOKUP($A2915,原始数据_收盘!$A$4:$G$3460,6,0),"")</f>
        <v/>
      </c>
      <c r="G2915" t="str">
        <f>IFERROR(VLOOKUP($A2915,原始数据_收盘!$A$4:$G$3460,7,0),"")</f>
        <v/>
      </c>
      <c r="H2915" t="str">
        <f>IFERROR(VLOOKUP($A2915,原始数据_利率互换_FR007_1年!$A$6:$C$4395,2,0),"")</f>
        <v/>
      </c>
      <c r="I2915" t="str">
        <f>IFERROR(VLOOKUP($A2915,原始数据_利率互换_FR007_1年!$A$6:$C$4395,3,0),"")</f>
        <v/>
      </c>
    </row>
    <row r="2916" spans="1:9">
      <c r="A2916" s="6">
        <v>42409</v>
      </c>
      <c r="B2916" t="str">
        <f>IFERROR(VLOOKUP($A2916,原始数据_收盘!$A$4:$G$3460,2,0),"")</f>
        <v/>
      </c>
      <c r="C2916" t="str">
        <f>IFERROR(VLOOKUP($A2916,原始数据_收盘!$A$4:$G$3460,3,0),"")</f>
        <v/>
      </c>
      <c r="D2916" t="str">
        <f>IFERROR(VLOOKUP($A2916,原始数据_收盘!$A$4:$G$3460,4,0),"")</f>
        <v/>
      </c>
      <c r="E2916" t="str">
        <f>IFERROR(VLOOKUP($A2916,原始数据_收盘!$A$4:$G$3460,5,0),"")</f>
        <v/>
      </c>
      <c r="F2916" t="str">
        <f>IFERROR(VLOOKUP($A2916,原始数据_收盘!$A$4:$G$3460,6,0),"")</f>
        <v/>
      </c>
      <c r="G2916" t="str">
        <f>IFERROR(VLOOKUP($A2916,原始数据_收盘!$A$4:$G$3460,7,0),"")</f>
        <v/>
      </c>
      <c r="H2916" t="str">
        <f>IFERROR(VLOOKUP($A2916,原始数据_利率互换_FR007_1年!$A$6:$C$4395,2,0),"")</f>
        <v/>
      </c>
      <c r="I2916" t="str">
        <f>IFERROR(VLOOKUP($A2916,原始数据_利率互换_FR007_1年!$A$6:$C$4395,3,0),"")</f>
        <v/>
      </c>
    </row>
    <row r="2917" spans="1:9">
      <c r="A2917" s="6">
        <v>42410</v>
      </c>
      <c r="B2917" t="str">
        <f>IFERROR(VLOOKUP($A2917,原始数据_收盘!$A$4:$G$3460,2,0),"")</f>
        <v/>
      </c>
      <c r="C2917" t="str">
        <f>IFERROR(VLOOKUP($A2917,原始数据_收盘!$A$4:$G$3460,3,0),"")</f>
        <v/>
      </c>
      <c r="D2917" t="str">
        <f>IFERROR(VLOOKUP($A2917,原始数据_收盘!$A$4:$G$3460,4,0),"")</f>
        <v/>
      </c>
      <c r="E2917" t="str">
        <f>IFERROR(VLOOKUP($A2917,原始数据_收盘!$A$4:$G$3460,5,0),"")</f>
        <v/>
      </c>
      <c r="F2917" t="str">
        <f>IFERROR(VLOOKUP($A2917,原始数据_收盘!$A$4:$G$3460,6,0),"")</f>
        <v/>
      </c>
      <c r="G2917" t="str">
        <f>IFERROR(VLOOKUP($A2917,原始数据_收盘!$A$4:$G$3460,7,0),"")</f>
        <v/>
      </c>
      <c r="H2917" t="str">
        <f>IFERROR(VLOOKUP($A2917,原始数据_利率互换_FR007_1年!$A$6:$C$4395,2,0),"")</f>
        <v/>
      </c>
      <c r="I2917" t="str">
        <f>IFERROR(VLOOKUP($A2917,原始数据_利率互换_FR007_1年!$A$6:$C$4395,3,0),"")</f>
        <v/>
      </c>
    </row>
    <row r="2918" spans="1:9">
      <c r="A2918" s="6">
        <v>42411</v>
      </c>
      <c r="B2918" t="str">
        <f>IFERROR(VLOOKUP($A2918,原始数据_收盘!$A$4:$G$3460,2,0),"")</f>
        <v/>
      </c>
      <c r="C2918" t="str">
        <f>IFERROR(VLOOKUP($A2918,原始数据_收盘!$A$4:$G$3460,3,0),"")</f>
        <v/>
      </c>
      <c r="D2918" t="str">
        <f>IFERROR(VLOOKUP($A2918,原始数据_收盘!$A$4:$G$3460,4,0),"")</f>
        <v/>
      </c>
      <c r="E2918" t="str">
        <f>IFERROR(VLOOKUP($A2918,原始数据_收盘!$A$4:$G$3460,5,0),"")</f>
        <v/>
      </c>
      <c r="F2918" t="str">
        <f>IFERROR(VLOOKUP($A2918,原始数据_收盘!$A$4:$G$3460,6,0),"")</f>
        <v/>
      </c>
      <c r="G2918" t="str">
        <f>IFERROR(VLOOKUP($A2918,原始数据_收盘!$A$4:$G$3460,7,0),"")</f>
        <v/>
      </c>
      <c r="H2918" t="str">
        <f>IFERROR(VLOOKUP($A2918,原始数据_利率互换_FR007_1年!$A$6:$C$4395,2,0),"")</f>
        <v/>
      </c>
      <c r="I2918" t="str">
        <f>IFERROR(VLOOKUP($A2918,原始数据_利率互换_FR007_1年!$A$6:$C$4395,3,0),"")</f>
        <v/>
      </c>
    </row>
    <row r="2919" spans="1:9">
      <c r="A2919" s="6">
        <v>42412</v>
      </c>
      <c r="B2919" t="str">
        <f>IFERROR(VLOOKUP($A2919,原始数据_收盘!$A$4:$G$3460,2,0),"")</f>
        <v/>
      </c>
      <c r="C2919" t="str">
        <f>IFERROR(VLOOKUP($A2919,原始数据_收盘!$A$4:$G$3460,3,0),"")</f>
        <v/>
      </c>
      <c r="D2919" t="str">
        <f>IFERROR(VLOOKUP($A2919,原始数据_收盘!$A$4:$G$3460,4,0),"")</f>
        <v/>
      </c>
      <c r="E2919" t="str">
        <f>IFERROR(VLOOKUP($A2919,原始数据_收盘!$A$4:$G$3460,5,0),"")</f>
        <v/>
      </c>
      <c r="F2919" t="str">
        <f>IFERROR(VLOOKUP($A2919,原始数据_收盘!$A$4:$G$3460,6,0),"")</f>
        <v/>
      </c>
      <c r="G2919" t="str">
        <f>IFERROR(VLOOKUP($A2919,原始数据_收盘!$A$4:$G$3460,7,0),"")</f>
        <v/>
      </c>
      <c r="H2919" t="str">
        <f>IFERROR(VLOOKUP($A2919,原始数据_利率互换_FR007_1年!$A$6:$C$4395,2,0),"")</f>
        <v/>
      </c>
      <c r="I2919" t="str">
        <f>IFERROR(VLOOKUP($A2919,原始数据_利率互换_FR007_1年!$A$6:$C$4395,3,0),"")</f>
        <v/>
      </c>
    </row>
    <row r="2920" spans="1:9">
      <c r="A2920" s="6">
        <v>42413</v>
      </c>
      <c r="B2920" t="str">
        <f>IFERROR(VLOOKUP($A2920,原始数据_收盘!$A$4:$G$3460,2,0),"")</f>
        <v/>
      </c>
      <c r="C2920" t="str">
        <f>IFERROR(VLOOKUP($A2920,原始数据_收盘!$A$4:$G$3460,3,0),"")</f>
        <v/>
      </c>
      <c r="D2920" t="str">
        <f>IFERROR(VLOOKUP($A2920,原始数据_收盘!$A$4:$G$3460,4,0),"")</f>
        <v/>
      </c>
      <c r="E2920" t="str">
        <f>IFERROR(VLOOKUP($A2920,原始数据_收盘!$A$4:$G$3460,5,0),"")</f>
        <v/>
      </c>
      <c r="F2920" t="str">
        <f>IFERROR(VLOOKUP($A2920,原始数据_收盘!$A$4:$G$3460,6,0),"")</f>
        <v/>
      </c>
      <c r="G2920" t="str">
        <f>IFERROR(VLOOKUP($A2920,原始数据_收盘!$A$4:$G$3460,7,0),"")</f>
        <v/>
      </c>
      <c r="H2920" t="str">
        <f>IFERROR(VLOOKUP($A2920,原始数据_利率互换_FR007_1年!$A$6:$C$4395,2,0),"")</f>
        <v/>
      </c>
      <c r="I2920" t="str">
        <f>IFERROR(VLOOKUP($A2920,原始数据_利率互换_FR007_1年!$A$6:$C$4395,3,0),"")</f>
        <v/>
      </c>
    </row>
    <row r="2921" spans="1:9">
      <c r="A2921" s="6">
        <v>42414</v>
      </c>
      <c r="B2921">
        <f>IFERROR(VLOOKUP($A2921,原始数据_收盘!$A$4:$G$3460,2,0),"")</f>
        <v>2.2694</v>
      </c>
      <c r="C2921">
        <f>IFERROR(VLOOKUP($A2921,原始数据_收盘!$A$4:$G$3460,3,0),"")</f>
        <v>2.55</v>
      </c>
      <c r="D2921">
        <f>IFERROR(VLOOKUP($A2921,原始数据_收盘!$A$4:$G$3460,4,0),"")</f>
        <v>2.3163</v>
      </c>
      <c r="E2921">
        <f>IFERROR(VLOOKUP($A2921,原始数据_收盘!$A$4:$G$3460,5,0),"")</f>
        <v>2.6063</v>
      </c>
      <c r="F2921">
        <f>IFERROR(VLOOKUP($A2921,原始数据_收盘!$A$4:$G$3460,6,0),"")</f>
        <v>2.2928</v>
      </c>
      <c r="G2921">
        <f>IFERROR(VLOOKUP($A2921,原始数据_收盘!$A$4:$G$3460,7,0),"")</f>
        <v>2.5781</v>
      </c>
      <c r="H2921">
        <f>IFERROR(VLOOKUP($A2921,原始数据_利率互换_FR007_1年!$A$6:$C$4395,2,0),"")</f>
        <v>2.2893</v>
      </c>
      <c r="I2921">
        <f>IFERROR(VLOOKUP($A2921,原始数据_利率互换_FR007_1年!$A$6:$C$4395,3,0),"")</f>
        <v>2.5705</v>
      </c>
    </row>
    <row r="2922" spans="1:9">
      <c r="A2922" s="6">
        <v>42415</v>
      </c>
      <c r="B2922">
        <f>IFERROR(VLOOKUP($A2922,原始数据_收盘!$A$4:$G$3460,2,0),"")</f>
        <v>2.27</v>
      </c>
      <c r="C2922">
        <f>IFERROR(VLOOKUP($A2922,原始数据_收盘!$A$4:$G$3460,3,0),"")</f>
        <v>2.5488</v>
      </c>
      <c r="D2922">
        <f>IFERROR(VLOOKUP($A2922,原始数据_收盘!$A$4:$G$3460,4,0),"")</f>
        <v>2.3204</v>
      </c>
      <c r="E2922">
        <f>IFERROR(VLOOKUP($A2922,原始数据_收盘!$A$4:$G$3460,5,0),"")</f>
        <v>2.6125</v>
      </c>
      <c r="F2922">
        <f>IFERROR(VLOOKUP($A2922,原始数据_收盘!$A$4:$G$3460,6,0),"")</f>
        <v>2.2952</v>
      </c>
      <c r="G2922">
        <f>IFERROR(VLOOKUP($A2922,原始数据_收盘!$A$4:$G$3460,7,0),"")</f>
        <v>2.5806</v>
      </c>
      <c r="H2922">
        <f>IFERROR(VLOOKUP($A2922,原始数据_利率互换_FR007_1年!$A$6:$C$4395,2,0),"")</f>
        <v>2.2955</v>
      </c>
      <c r="I2922">
        <f>IFERROR(VLOOKUP($A2922,原始数据_利率互换_FR007_1年!$A$6:$C$4395,3,0),"")</f>
        <v>2.5775</v>
      </c>
    </row>
    <row r="2923" spans="1:9">
      <c r="A2923" s="6">
        <v>42416</v>
      </c>
      <c r="B2923">
        <f>IFERROR(VLOOKUP($A2923,原始数据_收盘!$A$4:$G$3460,2,0),"")</f>
        <v>2.2879</v>
      </c>
      <c r="C2923">
        <f>IFERROR(VLOOKUP($A2923,原始数据_收盘!$A$4:$G$3460,3,0),"")</f>
        <v>2.575</v>
      </c>
      <c r="D2923">
        <f>IFERROR(VLOOKUP($A2923,原始数据_收盘!$A$4:$G$3460,4,0),"")</f>
        <v>2.3375</v>
      </c>
      <c r="E2923">
        <f>IFERROR(VLOOKUP($A2923,原始数据_收盘!$A$4:$G$3460,5,0),"")</f>
        <v>2.6313</v>
      </c>
      <c r="F2923">
        <f>IFERROR(VLOOKUP($A2923,原始数据_收盘!$A$4:$G$3460,6,0),"")</f>
        <v>2.3127</v>
      </c>
      <c r="G2923">
        <f>IFERROR(VLOOKUP($A2923,原始数据_收盘!$A$4:$G$3460,7,0),"")</f>
        <v>2.6031</v>
      </c>
      <c r="H2923">
        <f>IFERROR(VLOOKUP($A2923,原始数据_利率互换_FR007_1年!$A$6:$C$4395,2,0),"")</f>
        <v>2.3084</v>
      </c>
      <c r="I2923">
        <f>IFERROR(VLOOKUP($A2923,原始数据_利率互换_FR007_1年!$A$6:$C$4395,3,0),"")</f>
        <v>2.602</v>
      </c>
    </row>
    <row r="2924" spans="1:9">
      <c r="A2924" s="6">
        <v>42417</v>
      </c>
      <c r="B2924">
        <f>IFERROR(VLOOKUP($A2924,原始数据_收盘!$A$4:$G$3460,2,0),"")</f>
        <v>2.3004</v>
      </c>
      <c r="C2924">
        <f>IFERROR(VLOOKUP($A2924,原始数据_收盘!$A$4:$G$3460,3,0),"")</f>
        <v>2.5894</v>
      </c>
      <c r="D2924">
        <f>IFERROR(VLOOKUP($A2924,原始数据_收盘!$A$4:$G$3460,4,0),"")</f>
        <v>2.3513</v>
      </c>
      <c r="E2924">
        <f>IFERROR(VLOOKUP($A2924,原始数据_收盘!$A$4:$G$3460,5,0),"")</f>
        <v>2.6525</v>
      </c>
      <c r="F2924">
        <f>IFERROR(VLOOKUP($A2924,原始数据_收盘!$A$4:$G$3460,6,0),"")</f>
        <v>2.3258</v>
      </c>
      <c r="G2924">
        <f>IFERROR(VLOOKUP($A2924,原始数据_收盘!$A$4:$G$3460,7,0),"")</f>
        <v>2.6209</v>
      </c>
      <c r="H2924">
        <f>IFERROR(VLOOKUP($A2924,原始数据_利率互换_FR007_1年!$A$6:$C$4395,2,0),"")</f>
        <v>2.3263</v>
      </c>
      <c r="I2924">
        <f>IFERROR(VLOOKUP($A2924,原始数据_利率互换_FR007_1年!$A$6:$C$4395,3,0),"")</f>
        <v>2.6267</v>
      </c>
    </row>
    <row r="2925" spans="1:9">
      <c r="A2925" s="6">
        <v>42418</v>
      </c>
      <c r="B2925">
        <f>IFERROR(VLOOKUP($A2925,原始数据_收盘!$A$4:$G$3460,2,0),"")</f>
        <v>2.275</v>
      </c>
      <c r="C2925">
        <f>IFERROR(VLOOKUP($A2925,原始数据_收盘!$A$4:$G$3460,3,0),"")</f>
        <v>2.5725</v>
      </c>
      <c r="D2925">
        <f>IFERROR(VLOOKUP($A2925,原始数据_收盘!$A$4:$G$3460,4,0),"")</f>
        <v>2.33</v>
      </c>
      <c r="E2925">
        <f>IFERROR(VLOOKUP($A2925,原始数据_收盘!$A$4:$G$3460,5,0),"")</f>
        <v>2.6313</v>
      </c>
      <c r="F2925">
        <f>IFERROR(VLOOKUP($A2925,原始数据_收盘!$A$4:$G$3460,6,0),"")</f>
        <v>2.3025</v>
      </c>
      <c r="G2925">
        <f>IFERROR(VLOOKUP($A2925,原始数据_收盘!$A$4:$G$3460,7,0),"")</f>
        <v>2.6019</v>
      </c>
      <c r="H2925">
        <f>IFERROR(VLOOKUP($A2925,原始数据_利率互换_FR007_1年!$A$6:$C$4395,2,0),"")</f>
        <v>2.3093</v>
      </c>
      <c r="I2925">
        <f>IFERROR(VLOOKUP($A2925,原始数据_利率互换_FR007_1年!$A$6:$C$4395,3,0),"")</f>
        <v>2.6186</v>
      </c>
    </row>
    <row r="2926" spans="1:9">
      <c r="A2926" s="6">
        <v>42419</v>
      </c>
      <c r="B2926">
        <f>IFERROR(VLOOKUP($A2926,原始数据_收盘!$A$4:$G$3460,2,0),"")</f>
        <v>2.2775</v>
      </c>
      <c r="C2926">
        <f>IFERROR(VLOOKUP($A2926,原始数据_收盘!$A$4:$G$3460,3,0),"")</f>
        <v>2.5713</v>
      </c>
      <c r="D2926">
        <f>IFERROR(VLOOKUP($A2926,原始数据_收盘!$A$4:$G$3460,4,0),"")</f>
        <v>2.325</v>
      </c>
      <c r="E2926">
        <f>IFERROR(VLOOKUP($A2926,原始数据_收盘!$A$4:$G$3460,5,0),"")</f>
        <v>2.6225</v>
      </c>
      <c r="F2926">
        <f>IFERROR(VLOOKUP($A2926,原始数据_收盘!$A$4:$G$3460,6,0),"")</f>
        <v>2.3013</v>
      </c>
      <c r="G2926">
        <f>IFERROR(VLOOKUP($A2926,原始数据_收盘!$A$4:$G$3460,7,0),"")</f>
        <v>2.5969</v>
      </c>
      <c r="H2926">
        <f>IFERROR(VLOOKUP($A2926,原始数据_利率互换_FR007_1年!$A$6:$C$4395,2,0),"")</f>
        <v>2.2925</v>
      </c>
      <c r="I2926">
        <f>IFERROR(VLOOKUP($A2926,原始数据_利率互换_FR007_1年!$A$6:$C$4395,3,0),"")</f>
        <v>2.5904</v>
      </c>
    </row>
    <row r="2927" spans="1:9">
      <c r="A2927" s="6">
        <v>42420</v>
      </c>
      <c r="B2927" t="str">
        <f>IFERROR(VLOOKUP($A2927,原始数据_收盘!$A$4:$G$3460,2,0),"")</f>
        <v/>
      </c>
      <c r="C2927" t="str">
        <f>IFERROR(VLOOKUP($A2927,原始数据_收盘!$A$4:$G$3460,3,0),"")</f>
        <v/>
      </c>
      <c r="D2927" t="str">
        <f>IFERROR(VLOOKUP($A2927,原始数据_收盘!$A$4:$G$3460,4,0),"")</f>
        <v/>
      </c>
      <c r="E2927" t="str">
        <f>IFERROR(VLOOKUP($A2927,原始数据_收盘!$A$4:$G$3460,5,0),"")</f>
        <v/>
      </c>
      <c r="F2927" t="str">
        <f>IFERROR(VLOOKUP($A2927,原始数据_收盘!$A$4:$G$3460,6,0),"")</f>
        <v/>
      </c>
      <c r="G2927" t="str">
        <f>IFERROR(VLOOKUP($A2927,原始数据_收盘!$A$4:$G$3460,7,0),"")</f>
        <v/>
      </c>
      <c r="H2927" t="str">
        <f>IFERROR(VLOOKUP($A2927,原始数据_利率互换_FR007_1年!$A$6:$C$4395,2,0),"")</f>
        <v/>
      </c>
      <c r="I2927" t="str">
        <f>IFERROR(VLOOKUP($A2927,原始数据_利率互换_FR007_1年!$A$6:$C$4395,3,0),"")</f>
        <v/>
      </c>
    </row>
    <row r="2928" spans="1:9">
      <c r="A2928" s="6">
        <v>42421</v>
      </c>
      <c r="B2928" t="str">
        <f>IFERROR(VLOOKUP($A2928,原始数据_收盘!$A$4:$G$3460,2,0),"")</f>
        <v/>
      </c>
      <c r="C2928" t="str">
        <f>IFERROR(VLOOKUP($A2928,原始数据_收盘!$A$4:$G$3460,3,0),"")</f>
        <v/>
      </c>
      <c r="D2928" t="str">
        <f>IFERROR(VLOOKUP($A2928,原始数据_收盘!$A$4:$G$3460,4,0),"")</f>
        <v/>
      </c>
      <c r="E2928" t="str">
        <f>IFERROR(VLOOKUP($A2928,原始数据_收盘!$A$4:$G$3460,5,0),"")</f>
        <v/>
      </c>
      <c r="F2928" t="str">
        <f>IFERROR(VLOOKUP($A2928,原始数据_收盘!$A$4:$G$3460,6,0),"")</f>
        <v/>
      </c>
      <c r="G2928" t="str">
        <f>IFERROR(VLOOKUP($A2928,原始数据_收盘!$A$4:$G$3460,7,0),"")</f>
        <v/>
      </c>
      <c r="H2928" t="str">
        <f>IFERROR(VLOOKUP($A2928,原始数据_利率互换_FR007_1年!$A$6:$C$4395,2,0),"")</f>
        <v/>
      </c>
      <c r="I2928" t="str">
        <f>IFERROR(VLOOKUP($A2928,原始数据_利率互换_FR007_1年!$A$6:$C$4395,3,0),"")</f>
        <v/>
      </c>
    </row>
    <row r="2929" spans="1:9">
      <c r="A2929" s="6">
        <v>42422</v>
      </c>
      <c r="B2929">
        <f>IFERROR(VLOOKUP($A2929,原始数据_收盘!$A$4:$G$3460,2,0),"")</f>
        <v>2.2788</v>
      </c>
      <c r="C2929">
        <f>IFERROR(VLOOKUP($A2929,原始数据_收盘!$A$4:$G$3460,3,0),"")</f>
        <v>2.5725</v>
      </c>
      <c r="D2929">
        <f>IFERROR(VLOOKUP($A2929,原始数据_收盘!$A$4:$G$3460,4,0),"")</f>
        <v>2.3275</v>
      </c>
      <c r="E2929">
        <f>IFERROR(VLOOKUP($A2929,原始数据_收盘!$A$4:$G$3460,5,0),"")</f>
        <v>2.6288</v>
      </c>
      <c r="F2929">
        <f>IFERROR(VLOOKUP($A2929,原始数据_收盘!$A$4:$G$3460,6,0),"")</f>
        <v>2.3031</v>
      </c>
      <c r="G2929">
        <f>IFERROR(VLOOKUP($A2929,原始数据_收盘!$A$4:$G$3460,7,0),"")</f>
        <v>2.6006</v>
      </c>
      <c r="H2929">
        <f>IFERROR(VLOOKUP($A2929,原始数据_利率互换_FR007_1年!$A$6:$C$4395,2,0),"")</f>
        <v>2.3033</v>
      </c>
      <c r="I2929">
        <f>IFERROR(VLOOKUP($A2929,原始数据_利率互换_FR007_1年!$A$6:$C$4395,3,0),"")</f>
        <v>2.6067</v>
      </c>
    </row>
    <row r="2930" spans="1:9">
      <c r="A2930" s="6">
        <v>42423</v>
      </c>
      <c r="B2930">
        <f>IFERROR(VLOOKUP($A2930,原始数据_收盘!$A$4:$G$3460,2,0),"")</f>
        <v>2.28</v>
      </c>
      <c r="C2930">
        <f>IFERROR(VLOOKUP($A2930,原始数据_收盘!$A$4:$G$3460,3,0),"")</f>
        <v>2.5738</v>
      </c>
      <c r="D2930">
        <f>IFERROR(VLOOKUP($A2930,原始数据_收盘!$A$4:$G$3460,4,0),"")</f>
        <v>2.33</v>
      </c>
      <c r="E2930">
        <f>IFERROR(VLOOKUP($A2930,原始数据_收盘!$A$4:$G$3460,5,0),"")</f>
        <v>2.6288</v>
      </c>
      <c r="F2930">
        <f>IFERROR(VLOOKUP($A2930,原始数据_收盘!$A$4:$G$3460,6,0),"")</f>
        <v>2.305</v>
      </c>
      <c r="G2930">
        <f>IFERROR(VLOOKUP($A2930,原始数据_收盘!$A$4:$G$3460,7,0),"")</f>
        <v>2.6013</v>
      </c>
      <c r="H2930">
        <f>IFERROR(VLOOKUP($A2930,原始数据_利率互换_FR007_1年!$A$6:$C$4395,2,0),"")</f>
        <v>2.3024</v>
      </c>
      <c r="I2930">
        <f>IFERROR(VLOOKUP($A2930,原始数据_利率互换_FR007_1年!$A$6:$C$4395,3,0),"")</f>
        <v>2.5975</v>
      </c>
    </row>
    <row r="2931" spans="1:9">
      <c r="A2931" s="6">
        <v>42424</v>
      </c>
      <c r="B2931">
        <f>IFERROR(VLOOKUP($A2931,原始数据_收盘!$A$4:$G$3460,2,0),"")</f>
        <v>2.295</v>
      </c>
      <c r="C2931">
        <f>IFERROR(VLOOKUP($A2931,原始数据_收盘!$A$4:$G$3460,3,0),"")</f>
        <v>2.5875</v>
      </c>
      <c r="D2931">
        <f>IFERROR(VLOOKUP($A2931,原始数据_收盘!$A$4:$G$3460,4,0),"")</f>
        <v>2.3413</v>
      </c>
      <c r="E2931">
        <f>IFERROR(VLOOKUP($A2931,原始数据_收盘!$A$4:$G$3460,5,0),"")</f>
        <v>2.6388</v>
      </c>
      <c r="F2931">
        <f>IFERROR(VLOOKUP($A2931,原始数据_收盘!$A$4:$G$3460,6,0),"")</f>
        <v>2.3181</v>
      </c>
      <c r="G2931">
        <f>IFERROR(VLOOKUP($A2931,原始数据_收盘!$A$4:$G$3460,7,0),"")</f>
        <v>2.6131</v>
      </c>
      <c r="H2931">
        <f>IFERROR(VLOOKUP($A2931,原始数据_利率互换_FR007_1年!$A$6:$C$4395,2,0),"")</f>
        <v>2.3159</v>
      </c>
      <c r="I2931">
        <f>IFERROR(VLOOKUP($A2931,原始数据_利率互换_FR007_1年!$A$6:$C$4395,3,0),"")</f>
        <v>2.615</v>
      </c>
    </row>
    <row r="2932" spans="1:9">
      <c r="A2932" s="6">
        <v>42425</v>
      </c>
      <c r="B2932">
        <f>IFERROR(VLOOKUP($A2932,原始数据_收盘!$A$4:$G$3460,2,0),"")</f>
        <v>2.2948</v>
      </c>
      <c r="C2932">
        <f>IFERROR(VLOOKUP($A2932,原始数据_收盘!$A$4:$G$3460,3,0),"")</f>
        <v>2.59</v>
      </c>
      <c r="D2932">
        <f>IFERROR(VLOOKUP($A2932,原始数据_收盘!$A$4:$G$3460,4,0),"")</f>
        <v>2.3467</v>
      </c>
      <c r="E2932">
        <f>IFERROR(VLOOKUP($A2932,原始数据_收盘!$A$4:$G$3460,5,0),"")</f>
        <v>2.6456</v>
      </c>
      <c r="F2932">
        <f>IFERROR(VLOOKUP($A2932,原始数据_收盘!$A$4:$G$3460,6,0),"")</f>
        <v>2.3207</v>
      </c>
      <c r="G2932">
        <f>IFERROR(VLOOKUP($A2932,原始数据_收盘!$A$4:$G$3460,7,0),"")</f>
        <v>2.6178</v>
      </c>
      <c r="H2932">
        <f>IFERROR(VLOOKUP($A2932,原始数据_利率互换_FR007_1年!$A$6:$C$4395,2,0),"")</f>
        <v>2.3228</v>
      </c>
      <c r="I2932">
        <f>IFERROR(VLOOKUP($A2932,原始数据_利率互换_FR007_1年!$A$6:$C$4395,3,0),"")</f>
        <v>2.6212</v>
      </c>
    </row>
    <row r="2933" spans="1:9">
      <c r="A2933" s="6">
        <v>42426</v>
      </c>
      <c r="B2933">
        <f>IFERROR(VLOOKUP($A2933,原始数据_收盘!$A$4:$G$3460,2,0),"")</f>
        <v>2.2875</v>
      </c>
      <c r="C2933">
        <f>IFERROR(VLOOKUP($A2933,原始数据_收盘!$A$4:$G$3460,3,0),"")</f>
        <v>2.5831</v>
      </c>
      <c r="D2933">
        <f>IFERROR(VLOOKUP($A2933,原始数据_收盘!$A$4:$G$3460,4,0),"")</f>
        <v>2.3388</v>
      </c>
      <c r="E2933">
        <f>IFERROR(VLOOKUP($A2933,原始数据_收盘!$A$4:$G$3460,5,0),"")</f>
        <v>2.6413</v>
      </c>
      <c r="F2933">
        <f>IFERROR(VLOOKUP($A2933,原始数据_收盘!$A$4:$G$3460,6,0),"")</f>
        <v>2.3131</v>
      </c>
      <c r="G2933">
        <f>IFERROR(VLOOKUP($A2933,原始数据_收盘!$A$4:$G$3460,7,0),"")</f>
        <v>2.6122</v>
      </c>
      <c r="H2933">
        <f>IFERROR(VLOOKUP($A2933,原始数据_利率互换_FR007_1年!$A$6:$C$4395,2,0),"")</f>
        <v>2.3196</v>
      </c>
      <c r="I2933">
        <f>IFERROR(VLOOKUP($A2933,原始数据_利率互换_FR007_1年!$A$6:$C$4395,3,0),"")</f>
        <v>2.6118</v>
      </c>
    </row>
    <row r="2934" spans="1:9">
      <c r="A2934" s="6">
        <v>42427</v>
      </c>
      <c r="B2934" t="str">
        <f>IFERROR(VLOOKUP($A2934,原始数据_收盘!$A$4:$G$3460,2,0),"")</f>
        <v/>
      </c>
      <c r="C2934" t="str">
        <f>IFERROR(VLOOKUP($A2934,原始数据_收盘!$A$4:$G$3460,3,0),"")</f>
        <v/>
      </c>
      <c r="D2934" t="str">
        <f>IFERROR(VLOOKUP($A2934,原始数据_收盘!$A$4:$G$3460,4,0),"")</f>
        <v/>
      </c>
      <c r="E2934" t="str">
        <f>IFERROR(VLOOKUP($A2934,原始数据_收盘!$A$4:$G$3460,5,0),"")</f>
        <v/>
      </c>
      <c r="F2934" t="str">
        <f>IFERROR(VLOOKUP($A2934,原始数据_收盘!$A$4:$G$3460,6,0),"")</f>
        <v/>
      </c>
      <c r="G2934" t="str">
        <f>IFERROR(VLOOKUP($A2934,原始数据_收盘!$A$4:$G$3460,7,0),"")</f>
        <v/>
      </c>
      <c r="H2934" t="str">
        <f>IFERROR(VLOOKUP($A2934,原始数据_利率互换_FR007_1年!$A$6:$C$4395,2,0),"")</f>
        <v/>
      </c>
      <c r="I2934" t="str">
        <f>IFERROR(VLOOKUP($A2934,原始数据_利率互换_FR007_1年!$A$6:$C$4395,3,0),"")</f>
        <v/>
      </c>
    </row>
    <row r="2935" spans="1:9">
      <c r="A2935" s="6">
        <v>42428</v>
      </c>
      <c r="B2935" t="str">
        <f>IFERROR(VLOOKUP($A2935,原始数据_收盘!$A$4:$G$3460,2,0),"")</f>
        <v/>
      </c>
      <c r="C2935" t="str">
        <f>IFERROR(VLOOKUP($A2935,原始数据_收盘!$A$4:$G$3460,3,0),"")</f>
        <v/>
      </c>
      <c r="D2935" t="str">
        <f>IFERROR(VLOOKUP($A2935,原始数据_收盘!$A$4:$G$3460,4,0),"")</f>
        <v/>
      </c>
      <c r="E2935" t="str">
        <f>IFERROR(VLOOKUP($A2935,原始数据_收盘!$A$4:$G$3460,5,0),"")</f>
        <v/>
      </c>
      <c r="F2935" t="str">
        <f>IFERROR(VLOOKUP($A2935,原始数据_收盘!$A$4:$G$3460,6,0),"")</f>
        <v/>
      </c>
      <c r="G2935" t="str">
        <f>IFERROR(VLOOKUP($A2935,原始数据_收盘!$A$4:$G$3460,7,0),"")</f>
        <v/>
      </c>
      <c r="H2935" t="str">
        <f>IFERROR(VLOOKUP($A2935,原始数据_利率互换_FR007_1年!$A$6:$C$4395,2,0),"")</f>
        <v/>
      </c>
      <c r="I2935" t="str">
        <f>IFERROR(VLOOKUP($A2935,原始数据_利率互换_FR007_1年!$A$6:$C$4395,3,0),"")</f>
        <v/>
      </c>
    </row>
    <row r="2936" spans="1:9">
      <c r="A2936" s="6">
        <v>42429</v>
      </c>
      <c r="B2936">
        <f>IFERROR(VLOOKUP($A2936,原始数据_收盘!$A$4:$G$3460,2,0),"")</f>
        <v>2.2925</v>
      </c>
      <c r="C2936">
        <f>IFERROR(VLOOKUP($A2936,原始数据_收盘!$A$4:$G$3460,3,0),"")</f>
        <v>2.5844</v>
      </c>
      <c r="D2936">
        <f>IFERROR(VLOOKUP($A2936,原始数据_收盘!$A$4:$G$3460,4,0),"")</f>
        <v>2.3375</v>
      </c>
      <c r="E2936">
        <f>IFERROR(VLOOKUP($A2936,原始数据_收盘!$A$4:$G$3460,5,0),"")</f>
        <v>2.6375</v>
      </c>
      <c r="F2936">
        <f>IFERROR(VLOOKUP($A2936,原始数据_收盘!$A$4:$G$3460,6,0),"")</f>
        <v>2.315</v>
      </c>
      <c r="G2936">
        <f>IFERROR(VLOOKUP($A2936,原始数据_收盘!$A$4:$G$3460,7,0),"")</f>
        <v>2.6109</v>
      </c>
      <c r="H2936">
        <f>IFERROR(VLOOKUP($A2936,原始数据_利率互换_FR007_1年!$A$6:$C$4395,2,0),"")</f>
        <v>2.3102</v>
      </c>
      <c r="I2936">
        <f>IFERROR(VLOOKUP($A2936,原始数据_利率互换_FR007_1年!$A$6:$C$4395,3,0),"")</f>
        <v>2.6037</v>
      </c>
    </row>
    <row r="2937" spans="1:9">
      <c r="A2937" s="6">
        <v>42430</v>
      </c>
      <c r="B2937">
        <f>IFERROR(VLOOKUP($A2937,原始数据_收盘!$A$4:$G$3460,2,0),"")</f>
        <v>2.2663</v>
      </c>
      <c r="C2937">
        <f>IFERROR(VLOOKUP($A2937,原始数据_收盘!$A$4:$G$3460,3,0),"")</f>
        <v>2.5625</v>
      </c>
      <c r="D2937">
        <f>IFERROR(VLOOKUP($A2937,原始数据_收盘!$A$4:$G$3460,4,0),"")</f>
        <v>2.3163</v>
      </c>
      <c r="E2937">
        <f>IFERROR(VLOOKUP($A2937,原始数据_收盘!$A$4:$G$3460,5,0),"")</f>
        <v>2.6188</v>
      </c>
      <c r="F2937">
        <f>IFERROR(VLOOKUP($A2937,原始数据_收盘!$A$4:$G$3460,6,0),"")</f>
        <v>2.2913</v>
      </c>
      <c r="G2937">
        <f>IFERROR(VLOOKUP($A2937,原始数据_收盘!$A$4:$G$3460,7,0),"")</f>
        <v>2.5906</v>
      </c>
      <c r="H2937">
        <f>IFERROR(VLOOKUP($A2937,原始数据_利率互换_FR007_1年!$A$6:$C$4395,2,0),"")</f>
        <v>2.2798</v>
      </c>
      <c r="I2937">
        <f>IFERROR(VLOOKUP($A2937,原始数据_利率互换_FR007_1年!$A$6:$C$4395,3,0),"")</f>
        <v>2.5785</v>
      </c>
    </row>
    <row r="2938" spans="1:9">
      <c r="A2938" s="6">
        <v>42431</v>
      </c>
      <c r="B2938">
        <f>IFERROR(VLOOKUP($A2938,原始数据_收盘!$A$4:$G$3460,2,0),"")</f>
        <v>2.2788</v>
      </c>
      <c r="C2938">
        <f>IFERROR(VLOOKUP($A2938,原始数据_收盘!$A$4:$G$3460,3,0),"")</f>
        <v>2.58</v>
      </c>
      <c r="D2938">
        <f>IFERROR(VLOOKUP($A2938,原始数据_收盘!$A$4:$G$3460,4,0),"")</f>
        <v>2.3291</v>
      </c>
      <c r="E2938">
        <f>IFERROR(VLOOKUP($A2938,原始数据_收盘!$A$4:$G$3460,5,0),"")</f>
        <v>2.6375</v>
      </c>
      <c r="F2938">
        <f>IFERROR(VLOOKUP($A2938,原始数据_收盘!$A$4:$G$3460,6,0),"")</f>
        <v>2.3039</v>
      </c>
      <c r="G2938">
        <f>IFERROR(VLOOKUP($A2938,原始数据_收盘!$A$4:$G$3460,7,0),"")</f>
        <v>2.6088</v>
      </c>
      <c r="H2938">
        <f>IFERROR(VLOOKUP($A2938,原始数据_利率互换_FR007_1年!$A$6:$C$4395,2,0),"")</f>
        <v>2.2972</v>
      </c>
      <c r="I2938">
        <f>IFERROR(VLOOKUP($A2938,原始数据_利率互换_FR007_1年!$A$6:$C$4395,3,0),"")</f>
        <v>2.6018</v>
      </c>
    </row>
    <row r="2939" spans="1:9">
      <c r="A2939" s="6">
        <v>42432</v>
      </c>
      <c r="B2939">
        <f>IFERROR(VLOOKUP($A2939,原始数据_收盘!$A$4:$G$3460,2,0),"")</f>
        <v>2.2791</v>
      </c>
      <c r="C2939">
        <f>IFERROR(VLOOKUP($A2939,原始数据_收盘!$A$4:$G$3460,3,0),"")</f>
        <v>2.5838</v>
      </c>
      <c r="D2939">
        <f>IFERROR(VLOOKUP($A2939,原始数据_收盘!$A$4:$G$3460,4,0),"")</f>
        <v>2.3316</v>
      </c>
      <c r="E2939">
        <f>IFERROR(VLOOKUP($A2939,原始数据_收盘!$A$4:$G$3460,5,0),"")</f>
        <v>2.6438</v>
      </c>
      <c r="F2939">
        <f>IFERROR(VLOOKUP($A2939,原始数据_收盘!$A$4:$G$3460,6,0),"")</f>
        <v>2.3054</v>
      </c>
      <c r="G2939">
        <f>IFERROR(VLOOKUP($A2939,原始数据_收盘!$A$4:$G$3460,7,0),"")</f>
        <v>2.6138</v>
      </c>
      <c r="H2939">
        <f>IFERROR(VLOOKUP($A2939,原始数据_利率互换_FR007_1年!$A$6:$C$4395,2,0),"")</f>
        <v>2.3034</v>
      </c>
      <c r="I2939">
        <f>IFERROR(VLOOKUP($A2939,原始数据_利率互换_FR007_1年!$A$6:$C$4395,3,0),"")</f>
        <v>2.6177</v>
      </c>
    </row>
    <row r="2940" spans="1:9">
      <c r="A2940" s="6">
        <v>42433</v>
      </c>
      <c r="B2940">
        <f>IFERROR(VLOOKUP($A2940,原始数据_收盘!$A$4:$G$3460,2,0),"")</f>
        <v>2.2794</v>
      </c>
      <c r="C2940">
        <f>IFERROR(VLOOKUP($A2940,原始数据_收盘!$A$4:$G$3460,3,0),"")</f>
        <v>2.5828</v>
      </c>
      <c r="D2940">
        <f>IFERROR(VLOOKUP($A2940,原始数据_收盘!$A$4:$G$3460,4,0),"")</f>
        <v>2.3303</v>
      </c>
      <c r="E2940">
        <f>IFERROR(VLOOKUP($A2940,原始数据_收盘!$A$4:$G$3460,5,0),"")</f>
        <v>2.6433</v>
      </c>
      <c r="F2940">
        <f>IFERROR(VLOOKUP($A2940,原始数据_收盘!$A$4:$G$3460,6,0),"")</f>
        <v>2.3049</v>
      </c>
      <c r="G2940">
        <f>IFERROR(VLOOKUP($A2940,原始数据_收盘!$A$4:$G$3460,7,0),"")</f>
        <v>2.6131</v>
      </c>
      <c r="H2940">
        <f>IFERROR(VLOOKUP($A2940,原始数据_利率互换_FR007_1年!$A$6:$C$4395,2,0),"")</f>
        <v>2.3014</v>
      </c>
      <c r="I2940">
        <f>IFERROR(VLOOKUP($A2940,原始数据_利率互换_FR007_1年!$A$6:$C$4395,3,0),"")</f>
        <v>2.6141</v>
      </c>
    </row>
    <row r="2941" spans="1:9">
      <c r="A2941" s="6">
        <v>42434</v>
      </c>
      <c r="B2941" t="str">
        <f>IFERROR(VLOOKUP($A2941,原始数据_收盘!$A$4:$G$3460,2,0),"")</f>
        <v/>
      </c>
      <c r="C2941" t="str">
        <f>IFERROR(VLOOKUP($A2941,原始数据_收盘!$A$4:$G$3460,3,0),"")</f>
        <v/>
      </c>
      <c r="D2941" t="str">
        <f>IFERROR(VLOOKUP($A2941,原始数据_收盘!$A$4:$G$3460,4,0),"")</f>
        <v/>
      </c>
      <c r="E2941" t="str">
        <f>IFERROR(VLOOKUP($A2941,原始数据_收盘!$A$4:$G$3460,5,0),"")</f>
        <v/>
      </c>
      <c r="F2941" t="str">
        <f>IFERROR(VLOOKUP($A2941,原始数据_收盘!$A$4:$G$3460,6,0),"")</f>
        <v/>
      </c>
      <c r="G2941" t="str">
        <f>IFERROR(VLOOKUP($A2941,原始数据_收盘!$A$4:$G$3460,7,0),"")</f>
        <v/>
      </c>
      <c r="H2941" t="str">
        <f>IFERROR(VLOOKUP($A2941,原始数据_利率互换_FR007_1年!$A$6:$C$4395,2,0),"")</f>
        <v/>
      </c>
      <c r="I2941" t="str">
        <f>IFERROR(VLOOKUP($A2941,原始数据_利率互换_FR007_1年!$A$6:$C$4395,3,0),"")</f>
        <v/>
      </c>
    </row>
    <row r="2942" spans="1:9">
      <c r="A2942" s="6">
        <v>42435</v>
      </c>
      <c r="B2942" t="str">
        <f>IFERROR(VLOOKUP($A2942,原始数据_收盘!$A$4:$G$3460,2,0),"")</f>
        <v/>
      </c>
      <c r="C2942" t="str">
        <f>IFERROR(VLOOKUP($A2942,原始数据_收盘!$A$4:$G$3460,3,0),"")</f>
        <v/>
      </c>
      <c r="D2942" t="str">
        <f>IFERROR(VLOOKUP($A2942,原始数据_收盘!$A$4:$G$3460,4,0),"")</f>
        <v/>
      </c>
      <c r="E2942" t="str">
        <f>IFERROR(VLOOKUP($A2942,原始数据_收盘!$A$4:$G$3460,5,0),"")</f>
        <v/>
      </c>
      <c r="F2942" t="str">
        <f>IFERROR(VLOOKUP($A2942,原始数据_收盘!$A$4:$G$3460,6,0),"")</f>
        <v/>
      </c>
      <c r="G2942" t="str">
        <f>IFERROR(VLOOKUP($A2942,原始数据_收盘!$A$4:$G$3460,7,0),"")</f>
        <v/>
      </c>
      <c r="H2942" t="str">
        <f>IFERROR(VLOOKUP($A2942,原始数据_利率互换_FR007_1年!$A$6:$C$4395,2,0),"")</f>
        <v/>
      </c>
      <c r="I2942" t="str">
        <f>IFERROR(VLOOKUP($A2942,原始数据_利率互换_FR007_1年!$A$6:$C$4395,3,0),"")</f>
        <v/>
      </c>
    </row>
    <row r="2943" spans="1:9">
      <c r="A2943" s="6">
        <v>42436</v>
      </c>
      <c r="B2943">
        <f>IFERROR(VLOOKUP($A2943,原始数据_收盘!$A$4:$G$3460,2,0),"")</f>
        <v>2.2813</v>
      </c>
      <c r="C2943">
        <f>IFERROR(VLOOKUP($A2943,原始数据_收盘!$A$4:$G$3460,3,0),"")</f>
        <v>2.5988</v>
      </c>
      <c r="D2943">
        <f>IFERROR(VLOOKUP($A2943,原始数据_收盘!$A$4:$G$3460,4,0),"")</f>
        <v>2.33</v>
      </c>
      <c r="E2943">
        <f>IFERROR(VLOOKUP($A2943,原始数据_收盘!$A$4:$G$3460,5,0),"")</f>
        <v>2.655</v>
      </c>
      <c r="F2943">
        <f>IFERROR(VLOOKUP($A2943,原始数据_收盘!$A$4:$G$3460,6,0),"")</f>
        <v>2.3056</v>
      </c>
      <c r="G2943">
        <f>IFERROR(VLOOKUP($A2943,原始数据_收盘!$A$4:$G$3460,7,0),"")</f>
        <v>2.6269</v>
      </c>
      <c r="H2943">
        <f>IFERROR(VLOOKUP($A2943,原始数据_利率互换_FR007_1年!$A$6:$C$4395,2,0),"")</f>
        <v>2.3099</v>
      </c>
      <c r="I2943">
        <f>IFERROR(VLOOKUP($A2943,原始数据_利率互换_FR007_1年!$A$6:$C$4395,3,0),"")</f>
        <v>2.6338</v>
      </c>
    </row>
    <row r="2944" spans="1:9">
      <c r="A2944" s="6">
        <v>42437</v>
      </c>
      <c r="B2944">
        <f>IFERROR(VLOOKUP($A2944,原始数据_收盘!$A$4:$G$3460,2,0),"")</f>
        <v>2.284</v>
      </c>
      <c r="C2944">
        <f>IFERROR(VLOOKUP($A2944,原始数据_收盘!$A$4:$G$3460,3,0),"")</f>
        <v>2.6</v>
      </c>
      <c r="D2944">
        <f>IFERROR(VLOOKUP($A2944,原始数据_收盘!$A$4:$G$3460,4,0),"")</f>
        <v>2.3363</v>
      </c>
      <c r="E2944">
        <f>IFERROR(VLOOKUP($A2944,原始数据_收盘!$A$4:$G$3460,5,0),"")</f>
        <v>2.66</v>
      </c>
      <c r="F2944">
        <f>IFERROR(VLOOKUP($A2944,原始数据_收盘!$A$4:$G$3460,6,0),"")</f>
        <v>2.3101</v>
      </c>
      <c r="G2944">
        <f>IFERROR(VLOOKUP($A2944,原始数据_收盘!$A$4:$G$3460,7,0),"")</f>
        <v>2.63</v>
      </c>
      <c r="H2944">
        <f>IFERROR(VLOOKUP($A2944,原始数据_利率互换_FR007_1年!$A$6:$C$4395,2,0),"")</f>
        <v>2.3101</v>
      </c>
      <c r="I2944">
        <f>IFERROR(VLOOKUP($A2944,原始数据_利率互换_FR007_1年!$A$6:$C$4395,3,0),"")</f>
        <v>2.6412</v>
      </c>
    </row>
    <row r="2945" spans="1:9">
      <c r="A2945" s="6">
        <v>42438</v>
      </c>
      <c r="B2945">
        <f>IFERROR(VLOOKUP($A2945,原始数据_收盘!$A$4:$G$3460,2,0),"")</f>
        <v>2.2713</v>
      </c>
      <c r="C2945">
        <f>IFERROR(VLOOKUP($A2945,原始数据_收盘!$A$4:$G$3460,3,0),"")</f>
        <v>2.5825</v>
      </c>
      <c r="D2945">
        <f>IFERROR(VLOOKUP($A2945,原始数据_收盘!$A$4:$G$3460,4,0),"")</f>
        <v>2.3275</v>
      </c>
      <c r="E2945">
        <f>IFERROR(VLOOKUP($A2945,原始数据_收盘!$A$4:$G$3460,5,0),"")</f>
        <v>2.64</v>
      </c>
      <c r="F2945">
        <f>IFERROR(VLOOKUP($A2945,原始数据_收盘!$A$4:$G$3460,6,0),"")</f>
        <v>2.2994</v>
      </c>
      <c r="G2945">
        <f>IFERROR(VLOOKUP($A2945,原始数据_收盘!$A$4:$G$3460,7,0),"")</f>
        <v>2.6113</v>
      </c>
      <c r="H2945">
        <f>IFERROR(VLOOKUP($A2945,原始数据_利率互换_FR007_1年!$A$6:$C$4395,2,0),"")</f>
        <v>2.3033</v>
      </c>
      <c r="I2945">
        <f>IFERROR(VLOOKUP($A2945,原始数据_利率互换_FR007_1年!$A$6:$C$4395,3,0),"")</f>
        <v>2.6217</v>
      </c>
    </row>
    <row r="2946" spans="1:9">
      <c r="A2946" s="6">
        <v>42439</v>
      </c>
      <c r="B2946">
        <f>IFERROR(VLOOKUP($A2946,原始数据_收盘!$A$4:$G$3460,2,0),"")</f>
        <v>2.2688</v>
      </c>
      <c r="C2946">
        <f>IFERROR(VLOOKUP($A2946,原始数据_收盘!$A$4:$G$3460,3,0),"")</f>
        <v>2.5738</v>
      </c>
      <c r="D2946">
        <f>IFERROR(VLOOKUP($A2946,原始数据_收盘!$A$4:$G$3460,4,0),"")</f>
        <v>2.3213</v>
      </c>
      <c r="E2946">
        <f>IFERROR(VLOOKUP($A2946,原始数据_收盘!$A$4:$G$3460,5,0),"")</f>
        <v>2.6263</v>
      </c>
      <c r="F2946">
        <f>IFERROR(VLOOKUP($A2946,原始数据_收盘!$A$4:$G$3460,6,0),"")</f>
        <v>2.295</v>
      </c>
      <c r="G2946">
        <f>IFERROR(VLOOKUP($A2946,原始数据_收盘!$A$4:$G$3460,7,0),"")</f>
        <v>2.6</v>
      </c>
      <c r="H2946">
        <f>IFERROR(VLOOKUP($A2946,原始数据_利率互换_FR007_1年!$A$6:$C$4395,2,0),"")</f>
        <v>2.2928</v>
      </c>
      <c r="I2946">
        <f>IFERROR(VLOOKUP($A2946,原始数据_利率互换_FR007_1年!$A$6:$C$4395,3,0),"")</f>
        <v>2.607</v>
      </c>
    </row>
    <row r="2947" spans="1:9">
      <c r="A2947" s="6">
        <v>42440</v>
      </c>
      <c r="B2947">
        <f>IFERROR(VLOOKUP($A2947,原始数据_收盘!$A$4:$G$3460,2,0),"")</f>
        <v>2.2589</v>
      </c>
      <c r="C2947">
        <f>IFERROR(VLOOKUP($A2947,原始数据_收盘!$A$4:$G$3460,3,0),"")</f>
        <v>2.5589</v>
      </c>
      <c r="D2947">
        <f>IFERROR(VLOOKUP($A2947,原始数据_收盘!$A$4:$G$3460,4,0),"")</f>
        <v>2.3119</v>
      </c>
      <c r="E2947">
        <f>IFERROR(VLOOKUP($A2947,原始数据_收盘!$A$4:$G$3460,5,0),"")</f>
        <v>2.6156</v>
      </c>
      <c r="F2947">
        <f>IFERROR(VLOOKUP($A2947,原始数据_收盘!$A$4:$G$3460,6,0),"")</f>
        <v>2.2854</v>
      </c>
      <c r="G2947">
        <f>IFERROR(VLOOKUP($A2947,原始数据_收盘!$A$4:$G$3460,7,0),"")</f>
        <v>2.5872</v>
      </c>
      <c r="H2947">
        <f>IFERROR(VLOOKUP($A2947,原始数据_利率互换_FR007_1年!$A$6:$C$4395,2,0),"")</f>
        <v>2.2913</v>
      </c>
      <c r="I2947">
        <f>IFERROR(VLOOKUP($A2947,原始数据_利率互换_FR007_1年!$A$6:$C$4395,3,0),"")</f>
        <v>2.5885</v>
      </c>
    </row>
    <row r="2948" spans="1:9">
      <c r="A2948" s="6">
        <v>42441</v>
      </c>
      <c r="B2948" t="str">
        <f>IFERROR(VLOOKUP($A2948,原始数据_收盘!$A$4:$G$3460,2,0),"")</f>
        <v/>
      </c>
      <c r="C2948" t="str">
        <f>IFERROR(VLOOKUP($A2948,原始数据_收盘!$A$4:$G$3460,3,0),"")</f>
        <v/>
      </c>
      <c r="D2948" t="str">
        <f>IFERROR(VLOOKUP($A2948,原始数据_收盘!$A$4:$G$3460,4,0),"")</f>
        <v/>
      </c>
      <c r="E2948" t="str">
        <f>IFERROR(VLOOKUP($A2948,原始数据_收盘!$A$4:$G$3460,5,0),"")</f>
        <v/>
      </c>
      <c r="F2948" t="str">
        <f>IFERROR(VLOOKUP($A2948,原始数据_收盘!$A$4:$G$3460,6,0),"")</f>
        <v/>
      </c>
      <c r="G2948" t="str">
        <f>IFERROR(VLOOKUP($A2948,原始数据_收盘!$A$4:$G$3460,7,0),"")</f>
        <v/>
      </c>
      <c r="H2948" t="str">
        <f>IFERROR(VLOOKUP($A2948,原始数据_利率互换_FR007_1年!$A$6:$C$4395,2,0),"")</f>
        <v/>
      </c>
      <c r="I2948" t="str">
        <f>IFERROR(VLOOKUP($A2948,原始数据_利率互换_FR007_1年!$A$6:$C$4395,3,0),"")</f>
        <v/>
      </c>
    </row>
    <row r="2949" spans="1:9">
      <c r="A2949" s="6">
        <v>42442</v>
      </c>
      <c r="B2949" t="str">
        <f>IFERROR(VLOOKUP($A2949,原始数据_收盘!$A$4:$G$3460,2,0),"")</f>
        <v/>
      </c>
      <c r="C2949" t="str">
        <f>IFERROR(VLOOKUP($A2949,原始数据_收盘!$A$4:$G$3460,3,0),"")</f>
        <v/>
      </c>
      <c r="D2949" t="str">
        <f>IFERROR(VLOOKUP($A2949,原始数据_收盘!$A$4:$G$3460,4,0),"")</f>
        <v/>
      </c>
      <c r="E2949" t="str">
        <f>IFERROR(VLOOKUP($A2949,原始数据_收盘!$A$4:$G$3460,5,0),"")</f>
        <v/>
      </c>
      <c r="F2949" t="str">
        <f>IFERROR(VLOOKUP($A2949,原始数据_收盘!$A$4:$G$3460,6,0),"")</f>
        <v/>
      </c>
      <c r="G2949" t="str">
        <f>IFERROR(VLOOKUP($A2949,原始数据_收盘!$A$4:$G$3460,7,0),"")</f>
        <v/>
      </c>
      <c r="H2949" t="str">
        <f>IFERROR(VLOOKUP($A2949,原始数据_利率互换_FR007_1年!$A$6:$C$4395,2,0),"")</f>
        <v/>
      </c>
      <c r="I2949" t="str">
        <f>IFERROR(VLOOKUP($A2949,原始数据_利率互换_FR007_1年!$A$6:$C$4395,3,0),"")</f>
        <v/>
      </c>
    </row>
    <row r="2950" spans="1:9">
      <c r="A2950" s="6">
        <v>42443</v>
      </c>
      <c r="B2950">
        <f>IFERROR(VLOOKUP($A2950,原始数据_收盘!$A$4:$G$3460,2,0),"")</f>
        <v>2.26</v>
      </c>
      <c r="C2950">
        <f>IFERROR(VLOOKUP($A2950,原始数据_收盘!$A$4:$G$3460,3,0),"")</f>
        <v>2.5575</v>
      </c>
      <c r="D2950">
        <f>IFERROR(VLOOKUP($A2950,原始数据_收盘!$A$4:$G$3460,4,0),"")</f>
        <v>2.31</v>
      </c>
      <c r="E2950">
        <f>IFERROR(VLOOKUP($A2950,原始数据_收盘!$A$4:$G$3460,5,0),"")</f>
        <v>2.6138</v>
      </c>
      <c r="F2950">
        <f>IFERROR(VLOOKUP($A2950,原始数据_收盘!$A$4:$G$3460,6,0),"")</f>
        <v>2.285</v>
      </c>
      <c r="G2950">
        <f>IFERROR(VLOOKUP($A2950,原始数据_收盘!$A$4:$G$3460,7,0),"")</f>
        <v>2.5856</v>
      </c>
      <c r="H2950">
        <f>IFERROR(VLOOKUP($A2950,原始数据_利率互换_FR007_1年!$A$6:$C$4395,2,0),"")</f>
        <v>2.2858</v>
      </c>
      <c r="I2950">
        <f>IFERROR(VLOOKUP($A2950,原始数据_利率互换_FR007_1年!$A$6:$C$4395,3,0),"")</f>
        <v>2.5819</v>
      </c>
    </row>
    <row r="2951" spans="1:9">
      <c r="A2951" s="6">
        <v>42444</v>
      </c>
      <c r="B2951">
        <f>IFERROR(VLOOKUP($A2951,原始数据_收盘!$A$4:$G$3460,2,0),"")</f>
        <v>2.2625</v>
      </c>
      <c r="C2951">
        <f>IFERROR(VLOOKUP($A2951,原始数据_收盘!$A$4:$G$3460,3,0),"")</f>
        <v>2.5613</v>
      </c>
      <c r="D2951">
        <f>IFERROR(VLOOKUP($A2951,原始数据_收盘!$A$4:$G$3460,4,0),"")</f>
        <v>2.31</v>
      </c>
      <c r="E2951">
        <f>IFERROR(VLOOKUP($A2951,原始数据_收盘!$A$4:$G$3460,5,0),"")</f>
        <v>2.615</v>
      </c>
      <c r="F2951">
        <f>IFERROR(VLOOKUP($A2951,原始数据_收盘!$A$4:$G$3460,6,0),"")</f>
        <v>2.2863</v>
      </c>
      <c r="G2951">
        <f>IFERROR(VLOOKUP($A2951,原始数据_收盘!$A$4:$G$3460,7,0),"")</f>
        <v>2.5881</v>
      </c>
      <c r="H2951">
        <f>IFERROR(VLOOKUP($A2951,原始数据_利率互换_FR007_1年!$A$6:$C$4395,2,0),"")</f>
        <v>2.2883</v>
      </c>
      <c r="I2951">
        <f>IFERROR(VLOOKUP($A2951,原始数据_利率互换_FR007_1年!$A$6:$C$4395,3,0),"")</f>
        <v>2.5874</v>
      </c>
    </row>
    <row r="2952" spans="1:9">
      <c r="A2952" s="6">
        <v>42445</v>
      </c>
      <c r="B2952">
        <f>IFERROR(VLOOKUP($A2952,原始数据_收盘!$A$4:$G$3460,2,0),"")</f>
        <v>2.25</v>
      </c>
      <c r="C2952">
        <f>IFERROR(VLOOKUP($A2952,原始数据_收盘!$A$4:$G$3460,3,0),"")</f>
        <v>2.5388</v>
      </c>
      <c r="D2952">
        <f>IFERROR(VLOOKUP($A2952,原始数据_收盘!$A$4:$G$3460,4,0),"")</f>
        <v>2.3004</v>
      </c>
      <c r="E2952">
        <f>IFERROR(VLOOKUP($A2952,原始数据_收盘!$A$4:$G$3460,5,0),"")</f>
        <v>2.5963</v>
      </c>
      <c r="F2952">
        <f>IFERROR(VLOOKUP($A2952,原始数据_收盘!$A$4:$G$3460,6,0),"")</f>
        <v>2.2752</v>
      </c>
      <c r="G2952">
        <f>IFERROR(VLOOKUP($A2952,原始数据_收盘!$A$4:$G$3460,7,0),"")</f>
        <v>2.5675</v>
      </c>
      <c r="H2952">
        <f>IFERROR(VLOOKUP($A2952,原始数据_利率互换_FR007_1年!$A$6:$C$4395,2,0),"")</f>
        <v>2.2918</v>
      </c>
      <c r="I2952">
        <f>IFERROR(VLOOKUP($A2952,原始数据_利率互换_FR007_1年!$A$6:$C$4395,3,0),"")</f>
        <v>2.5544</v>
      </c>
    </row>
    <row r="2953" spans="1:9">
      <c r="A2953" s="6">
        <v>42446</v>
      </c>
      <c r="B2953">
        <f>IFERROR(VLOOKUP($A2953,原始数据_收盘!$A$4:$G$3460,2,0),"")</f>
        <v>2.2489</v>
      </c>
      <c r="C2953">
        <f>IFERROR(VLOOKUP($A2953,原始数据_收盘!$A$4:$G$3460,3,0),"")</f>
        <v>2.5356</v>
      </c>
      <c r="D2953">
        <f>IFERROR(VLOOKUP($A2953,原始数据_收盘!$A$4:$G$3460,4,0),"")</f>
        <v>2.3033</v>
      </c>
      <c r="E2953">
        <f>IFERROR(VLOOKUP($A2953,原始数据_收盘!$A$4:$G$3460,5,0),"")</f>
        <v>2.6</v>
      </c>
      <c r="F2953">
        <f>IFERROR(VLOOKUP($A2953,原始数据_收盘!$A$4:$G$3460,6,0),"")</f>
        <v>2.2761</v>
      </c>
      <c r="G2953">
        <f>IFERROR(VLOOKUP($A2953,原始数据_收盘!$A$4:$G$3460,7,0),"")</f>
        <v>2.5678</v>
      </c>
      <c r="H2953">
        <f>IFERROR(VLOOKUP($A2953,原始数据_利率互换_FR007_1年!$A$6:$C$4395,2,0),"")</f>
        <v>2.2762</v>
      </c>
      <c r="I2953">
        <f>IFERROR(VLOOKUP($A2953,原始数据_利率互换_FR007_1年!$A$6:$C$4395,3,0),"")</f>
        <v>2.5594</v>
      </c>
    </row>
    <row r="2954" spans="1:9">
      <c r="A2954" s="6">
        <v>42447</v>
      </c>
      <c r="B2954">
        <f>IFERROR(VLOOKUP($A2954,原始数据_收盘!$A$4:$G$3460,2,0),"")</f>
        <v>2.25</v>
      </c>
      <c r="C2954">
        <f>IFERROR(VLOOKUP($A2954,原始数据_收盘!$A$4:$G$3460,3,0),"")</f>
        <v>2.5338</v>
      </c>
      <c r="D2954">
        <f>IFERROR(VLOOKUP($A2954,原始数据_收盘!$A$4:$G$3460,4,0),"")</f>
        <v>2.3</v>
      </c>
      <c r="E2954">
        <f>IFERROR(VLOOKUP($A2954,原始数据_收盘!$A$4:$G$3460,5,0),"")</f>
        <v>2.5963</v>
      </c>
      <c r="F2954">
        <f>IFERROR(VLOOKUP($A2954,原始数据_收盘!$A$4:$G$3460,6,0),"")</f>
        <v>2.275</v>
      </c>
      <c r="G2954">
        <f>IFERROR(VLOOKUP($A2954,原始数据_收盘!$A$4:$G$3460,7,0),"")</f>
        <v>2.565</v>
      </c>
      <c r="H2954">
        <f>IFERROR(VLOOKUP($A2954,原始数据_利率互换_FR007_1年!$A$6:$C$4395,2,0),"")</f>
        <v>2.279</v>
      </c>
      <c r="I2954">
        <f>IFERROR(VLOOKUP($A2954,原始数据_利率互换_FR007_1年!$A$6:$C$4395,3,0),"")</f>
        <v>2.5707</v>
      </c>
    </row>
    <row r="2955" spans="1:9">
      <c r="A2955" s="6">
        <v>42448</v>
      </c>
      <c r="B2955" t="str">
        <f>IFERROR(VLOOKUP($A2955,原始数据_收盘!$A$4:$G$3460,2,0),"")</f>
        <v/>
      </c>
      <c r="C2955" t="str">
        <f>IFERROR(VLOOKUP($A2955,原始数据_收盘!$A$4:$G$3460,3,0),"")</f>
        <v/>
      </c>
      <c r="D2955" t="str">
        <f>IFERROR(VLOOKUP($A2955,原始数据_收盘!$A$4:$G$3460,4,0),"")</f>
        <v/>
      </c>
      <c r="E2955" t="str">
        <f>IFERROR(VLOOKUP($A2955,原始数据_收盘!$A$4:$G$3460,5,0),"")</f>
        <v/>
      </c>
      <c r="F2955" t="str">
        <f>IFERROR(VLOOKUP($A2955,原始数据_收盘!$A$4:$G$3460,6,0),"")</f>
        <v/>
      </c>
      <c r="G2955" t="str">
        <f>IFERROR(VLOOKUP($A2955,原始数据_收盘!$A$4:$G$3460,7,0),"")</f>
        <v/>
      </c>
      <c r="H2955" t="str">
        <f>IFERROR(VLOOKUP($A2955,原始数据_利率互换_FR007_1年!$A$6:$C$4395,2,0),"")</f>
        <v/>
      </c>
      <c r="I2955" t="str">
        <f>IFERROR(VLOOKUP($A2955,原始数据_利率互换_FR007_1年!$A$6:$C$4395,3,0),"")</f>
        <v/>
      </c>
    </row>
    <row r="2956" spans="1:9">
      <c r="A2956" s="6">
        <v>42449</v>
      </c>
      <c r="B2956" t="str">
        <f>IFERROR(VLOOKUP($A2956,原始数据_收盘!$A$4:$G$3460,2,0),"")</f>
        <v/>
      </c>
      <c r="C2956" t="str">
        <f>IFERROR(VLOOKUP($A2956,原始数据_收盘!$A$4:$G$3460,3,0),"")</f>
        <v/>
      </c>
      <c r="D2956" t="str">
        <f>IFERROR(VLOOKUP($A2956,原始数据_收盘!$A$4:$G$3460,4,0),"")</f>
        <v/>
      </c>
      <c r="E2956" t="str">
        <f>IFERROR(VLOOKUP($A2956,原始数据_收盘!$A$4:$G$3460,5,0),"")</f>
        <v/>
      </c>
      <c r="F2956" t="str">
        <f>IFERROR(VLOOKUP($A2956,原始数据_收盘!$A$4:$G$3460,6,0),"")</f>
        <v/>
      </c>
      <c r="G2956" t="str">
        <f>IFERROR(VLOOKUP($A2956,原始数据_收盘!$A$4:$G$3460,7,0),"")</f>
        <v/>
      </c>
      <c r="H2956" t="str">
        <f>IFERROR(VLOOKUP($A2956,原始数据_利率互换_FR007_1年!$A$6:$C$4395,2,0),"")</f>
        <v/>
      </c>
      <c r="I2956" t="str">
        <f>IFERROR(VLOOKUP($A2956,原始数据_利率互换_FR007_1年!$A$6:$C$4395,3,0),"")</f>
        <v/>
      </c>
    </row>
    <row r="2957" spans="1:9">
      <c r="A2957" s="6">
        <v>42450</v>
      </c>
      <c r="B2957">
        <f>IFERROR(VLOOKUP($A2957,原始数据_收盘!$A$4:$G$3460,2,0),"")</f>
        <v>2.2588</v>
      </c>
      <c r="C2957">
        <f>IFERROR(VLOOKUP($A2957,原始数据_收盘!$A$4:$G$3460,3,0),"")</f>
        <v>2.5525</v>
      </c>
      <c r="D2957">
        <f>IFERROR(VLOOKUP($A2957,原始数据_收盘!$A$4:$G$3460,4,0),"")</f>
        <v>2.3063</v>
      </c>
      <c r="E2957">
        <f>IFERROR(VLOOKUP($A2957,原始数据_收盘!$A$4:$G$3460,5,0),"")</f>
        <v>2.6038</v>
      </c>
      <c r="F2957">
        <f>IFERROR(VLOOKUP($A2957,原始数据_收盘!$A$4:$G$3460,6,0),"")</f>
        <v>2.2825</v>
      </c>
      <c r="G2957">
        <f>IFERROR(VLOOKUP($A2957,原始数据_收盘!$A$4:$G$3460,7,0),"")</f>
        <v>2.5781</v>
      </c>
      <c r="H2957">
        <f>IFERROR(VLOOKUP($A2957,原始数据_利率互换_FR007_1年!$A$6:$C$4395,2,0),"")</f>
        <v>2.2854</v>
      </c>
      <c r="I2957">
        <f>IFERROR(VLOOKUP($A2957,原始数据_利率互换_FR007_1年!$A$6:$C$4395,3,0),"")</f>
        <v>2.5781</v>
      </c>
    </row>
    <row r="2958" spans="1:9">
      <c r="A2958" s="6">
        <v>42451</v>
      </c>
      <c r="B2958">
        <f>IFERROR(VLOOKUP($A2958,原始数据_收盘!$A$4:$G$3460,2,0),"")</f>
        <v>2.2625</v>
      </c>
      <c r="C2958">
        <f>IFERROR(VLOOKUP($A2958,原始数据_收盘!$A$4:$G$3460,3,0),"")</f>
        <v>2.5638</v>
      </c>
      <c r="D2958">
        <f>IFERROR(VLOOKUP($A2958,原始数据_收盘!$A$4:$G$3460,4,0),"")</f>
        <v>2.3075</v>
      </c>
      <c r="E2958">
        <f>IFERROR(VLOOKUP($A2958,原始数据_收盘!$A$4:$G$3460,5,0),"")</f>
        <v>2.6113</v>
      </c>
      <c r="F2958">
        <f>IFERROR(VLOOKUP($A2958,原始数据_收盘!$A$4:$G$3460,6,0),"")</f>
        <v>2.285</v>
      </c>
      <c r="G2958">
        <f>IFERROR(VLOOKUP($A2958,原始数据_收盘!$A$4:$G$3460,7,0),"")</f>
        <v>2.5875</v>
      </c>
      <c r="H2958">
        <f>IFERROR(VLOOKUP($A2958,原始数据_利率互换_FR007_1年!$A$6:$C$4395,2,0),"")</f>
        <v>2.2907</v>
      </c>
      <c r="I2958">
        <f>IFERROR(VLOOKUP($A2958,原始数据_利率互换_FR007_1年!$A$6:$C$4395,3,0),"")</f>
        <v>2.5881</v>
      </c>
    </row>
    <row r="2959" spans="1:9">
      <c r="A2959" s="6">
        <v>42452</v>
      </c>
      <c r="B2959">
        <f>IFERROR(VLOOKUP($A2959,原始数据_收盘!$A$4:$G$3460,2,0),"")</f>
        <v>2.2613</v>
      </c>
      <c r="C2959">
        <f>IFERROR(VLOOKUP($A2959,原始数据_收盘!$A$4:$G$3460,3,0),"")</f>
        <v>2.5538</v>
      </c>
      <c r="D2959">
        <f>IFERROR(VLOOKUP($A2959,原始数据_收盘!$A$4:$G$3460,4,0),"")</f>
        <v>2.3116</v>
      </c>
      <c r="E2959">
        <f>IFERROR(VLOOKUP($A2959,原始数据_收盘!$A$4:$G$3460,5,0),"")</f>
        <v>2.6125</v>
      </c>
      <c r="F2959">
        <f>IFERROR(VLOOKUP($A2959,原始数据_收盘!$A$4:$G$3460,6,0),"")</f>
        <v>2.2864</v>
      </c>
      <c r="G2959">
        <f>IFERROR(VLOOKUP($A2959,原始数据_收盘!$A$4:$G$3460,7,0),"")</f>
        <v>2.5831</v>
      </c>
      <c r="H2959">
        <f>IFERROR(VLOOKUP($A2959,原始数据_利率互换_FR007_1年!$A$6:$C$4395,2,0),"")</f>
        <v>2.2888</v>
      </c>
      <c r="I2959">
        <f>IFERROR(VLOOKUP($A2959,原始数据_利率互换_FR007_1年!$A$6:$C$4395,3,0),"")</f>
        <v>2.5813</v>
      </c>
    </row>
    <row r="2960" spans="1:9">
      <c r="A2960" s="6">
        <v>42453</v>
      </c>
      <c r="B2960">
        <f>IFERROR(VLOOKUP($A2960,原始数据_收盘!$A$4:$G$3460,2,0),"")</f>
        <v>2.261</v>
      </c>
      <c r="C2960">
        <f>IFERROR(VLOOKUP($A2960,原始数据_收盘!$A$4:$G$3460,3,0),"")</f>
        <v>2.557</v>
      </c>
      <c r="D2960">
        <f>IFERROR(VLOOKUP($A2960,原始数据_收盘!$A$4:$G$3460,4,0),"")</f>
        <v>2.312</v>
      </c>
      <c r="E2960">
        <f>IFERROR(VLOOKUP($A2960,原始数据_收盘!$A$4:$G$3460,5,0),"")</f>
        <v>2.612</v>
      </c>
      <c r="F2960">
        <f>IFERROR(VLOOKUP($A2960,原始数据_收盘!$A$4:$G$3460,6,0),"")</f>
        <v>2.2865</v>
      </c>
      <c r="G2960">
        <f>IFERROR(VLOOKUP($A2960,原始数据_收盘!$A$4:$G$3460,7,0),"")</f>
        <v>2.5845</v>
      </c>
      <c r="H2960">
        <f>IFERROR(VLOOKUP($A2960,原始数据_利率互换_FR007_1年!$A$6:$C$4395,2,0),"")</f>
        <v>2.2931</v>
      </c>
      <c r="I2960">
        <f>IFERROR(VLOOKUP($A2960,原始数据_利率互换_FR007_1年!$A$6:$C$4395,3,0),"")</f>
        <v>2.584</v>
      </c>
    </row>
    <row r="2961" spans="1:9">
      <c r="A2961" s="6">
        <v>42454</v>
      </c>
      <c r="B2961">
        <f>IFERROR(VLOOKUP($A2961,原始数据_收盘!$A$4:$G$3460,2,0),"")</f>
        <v>2.2619</v>
      </c>
      <c r="C2961">
        <f>IFERROR(VLOOKUP($A2961,原始数据_收盘!$A$4:$G$3460,3,0),"")</f>
        <v>2.5586</v>
      </c>
      <c r="D2961">
        <f>IFERROR(VLOOKUP($A2961,原始数据_收盘!$A$4:$G$3460,4,0),"")</f>
        <v>2.3222</v>
      </c>
      <c r="E2961">
        <f>IFERROR(VLOOKUP($A2961,原始数据_收盘!$A$4:$G$3460,5,0),"")</f>
        <v>2.6189</v>
      </c>
      <c r="F2961">
        <f>IFERROR(VLOOKUP($A2961,原始数据_收盘!$A$4:$G$3460,6,0),"")</f>
        <v>2.2921</v>
      </c>
      <c r="G2961">
        <f>IFERROR(VLOOKUP($A2961,原始数据_收盘!$A$4:$G$3460,7,0),"")</f>
        <v>2.5887</v>
      </c>
      <c r="H2961">
        <f>IFERROR(VLOOKUP($A2961,原始数据_利率互换_FR007_1年!$A$6:$C$4395,2,0),"")</f>
        <v>2.2978</v>
      </c>
      <c r="I2961">
        <f>IFERROR(VLOOKUP($A2961,原始数据_利率互换_FR007_1年!$A$6:$C$4395,3,0),"")</f>
        <v>2.5922</v>
      </c>
    </row>
    <row r="2962" spans="1:9">
      <c r="A2962" s="6">
        <v>42455</v>
      </c>
      <c r="B2962" t="str">
        <f>IFERROR(VLOOKUP($A2962,原始数据_收盘!$A$4:$G$3460,2,0),"")</f>
        <v/>
      </c>
      <c r="C2962" t="str">
        <f>IFERROR(VLOOKUP($A2962,原始数据_收盘!$A$4:$G$3460,3,0),"")</f>
        <v/>
      </c>
      <c r="D2962" t="str">
        <f>IFERROR(VLOOKUP($A2962,原始数据_收盘!$A$4:$G$3460,4,0),"")</f>
        <v/>
      </c>
      <c r="E2962" t="str">
        <f>IFERROR(VLOOKUP($A2962,原始数据_收盘!$A$4:$G$3460,5,0),"")</f>
        <v/>
      </c>
      <c r="F2962" t="str">
        <f>IFERROR(VLOOKUP($A2962,原始数据_收盘!$A$4:$G$3460,6,0),"")</f>
        <v/>
      </c>
      <c r="G2962" t="str">
        <f>IFERROR(VLOOKUP($A2962,原始数据_收盘!$A$4:$G$3460,7,0),"")</f>
        <v/>
      </c>
      <c r="H2962" t="str">
        <f>IFERROR(VLOOKUP($A2962,原始数据_利率互换_FR007_1年!$A$6:$C$4395,2,0),"")</f>
        <v/>
      </c>
      <c r="I2962" t="str">
        <f>IFERROR(VLOOKUP($A2962,原始数据_利率互换_FR007_1年!$A$6:$C$4395,3,0),"")</f>
        <v/>
      </c>
    </row>
    <row r="2963" spans="1:9">
      <c r="A2963" s="6">
        <v>42456</v>
      </c>
      <c r="B2963" t="str">
        <f>IFERROR(VLOOKUP($A2963,原始数据_收盘!$A$4:$G$3460,2,0),"")</f>
        <v/>
      </c>
      <c r="C2963" t="str">
        <f>IFERROR(VLOOKUP($A2963,原始数据_收盘!$A$4:$G$3460,3,0),"")</f>
        <v/>
      </c>
      <c r="D2963" t="str">
        <f>IFERROR(VLOOKUP($A2963,原始数据_收盘!$A$4:$G$3460,4,0),"")</f>
        <v/>
      </c>
      <c r="E2963" t="str">
        <f>IFERROR(VLOOKUP($A2963,原始数据_收盘!$A$4:$G$3460,5,0),"")</f>
        <v/>
      </c>
      <c r="F2963" t="str">
        <f>IFERROR(VLOOKUP($A2963,原始数据_收盘!$A$4:$G$3460,6,0),"")</f>
        <v/>
      </c>
      <c r="G2963" t="str">
        <f>IFERROR(VLOOKUP($A2963,原始数据_收盘!$A$4:$G$3460,7,0),"")</f>
        <v/>
      </c>
      <c r="H2963" t="str">
        <f>IFERROR(VLOOKUP($A2963,原始数据_利率互换_FR007_1年!$A$6:$C$4395,2,0),"")</f>
        <v/>
      </c>
      <c r="I2963" t="str">
        <f>IFERROR(VLOOKUP($A2963,原始数据_利率互换_FR007_1年!$A$6:$C$4395,3,0),"")</f>
        <v/>
      </c>
    </row>
    <row r="2964" spans="1:9">
      <c r="A2964" s="6">
        <v>42457</v>
      </c>
      <c r="B2964">
        <f>IFERROR(VLOOKUP($A2964,原始数据_收盘!$A$4:$G$3460,2,0),"")</f>
        <v>2.2829</v>
      </c>
      <c r="C2964">
        <f>IFERROR(VLOOKUP($A2964,原始数据_收盘!$A$4:$G$3460,3,0),"")</f>
        <v>2.58</v>
      </c>
      <c r="D2964">
        <f>IFERROR(VLOOKUP($A2964,原始数据_收盘!$A$4:$G$3460,4,0),"")</f>
        <v>2.3363</v>
      </c>
      <c r="E2964">
        <f>IFERROR(VLOOKUP($A2964,原始数据_收盘!$A$4:$G$3460,5,0),"")</f>
        <v>2.6388</v>
      </c>
      <c r="F2964">
        <f>IFERROR(VLOOKUP($A2964,原始数据_收盘!$A$4:$G$3460,6,0),"")</f>
        <v>2.3096</v>
      </c>
      <c r="G2964">
        <f>IFERROR(VLOOKUP($A2964,原始数据_收盘!$A$4:$G$3460,7,0),"")</f>
        <v>2.6094</v>
      </c>
      <c r="H2964">
        <f>IFERROR(VLOOKUP($A2964,原始数据_利率互换_FR007_1年!$A$6:$C$4395,2,0),"")</f>
        <v>2.3136</v>
      </c>
      <c r="I2964">
        <f>IFERROR(VLOOKUP($A2964,原始数据_利率互换_FR007_1年!$A$6:$C$4395,3,0),"")</f>
        <v>2.6113</v>
      </c>
    </row>
    <row r="2965" spans="1:9">
      <c r="A2965" s="6">
        <v>42458</v>
      </c>
      <c r="B2965">
        <f>IFERROR(VLOOKUP($A2965,原始数据_收盘!$A$4:$G$3460,2,0),"")</f>
        <v>2.283</v>
      </c>
      <c r="C2965">
        <f>IFERROR(VLOOKUP($A2965,原始数据_收盘!$A$4:$G$3460,3,0),"")</f>
        <v>2.581</v>
      </c>
      <c r="D2965">
        <f>IFERROR(VLOOKUP($A2965,原始数据_收盘!$A$4:$G$3460,4,0),"")</f>
        <v>2.334</v>
      </c>
      <c r="E2965">
        <f>IFERROR(VLOOKUP($A2965,原始数据_收盘!$A$4:$G$3460,5,0),"")</f>
        <v>2.636</v>
      </c>
      <c r="F2965">
        <f>IFERROR(VLOOKUP($A2965,原始数据_收盘!$A$4:$G$3460,6,0),"")</f>
        <v>2.3085</v>
      </c>
      <c r="G2965">
        <f>IFERROR(VLOOKUP($A2965,原始数据_收盘!$A$4:$G$3460,7,0),"")</f>
        <v>2.6085</v>
      </c>
      <c r="H2965">
        <f>IFERROR(VLOOKUP($A2965,原始数据_利率互换_FR007_1年!$A$6:$C$4395,2,0),"")</f>
        <v>2.3159</v>
      </c>
      <c r="I2965">
        <f>IFERROR(VLOOKUP($A2965,原始数据_利率互换_FR007_1年!$A$6:$C$4395,3,0),"")</f>
        <v>2.6169</v>
      </c>
    </row>
    <row r="2966" spans="1:9">
      <c r="A2966" s="6">
        <v>42459</v>
      </c>
      <c r="B2966">
        <f>IFERROR(VLOOKUP($A2966,原始数据_收盘!$A$4:$G$3460,2,0),"")</f>
        <v>2.2834</v>
      </c>
      <c r="C2966">
        <f>IFERROR(VLOOKUP($A2966,原始数据_收盘!$A$4:$G$3460,3,0),"")</f>
        <v>2.5788</v>
      </c>
      <c r="D2966">
        <f>IFERROR(VLOOKUP($A2966,原始数据_收盘!$A$4:$G$3460,4,0),"")</f>
        <v>2.3338</v>
      </c>
      <c r="E2966">
        <f>IFERROR(VLOOKUP($A2966,原始数据_收盘!$A$4:$G$3460,5,0),"")</f>
        <v>2.6375</v>
      </c>
      <c r="F2966">
        <f>IFERROR(VLOOKUP($A2966,原始数据_收盘!$A$4:$G$3460,6,0),"")</f>
        <v>2.3086</v>
      </c>
      <c r="G2966">
        <f>IFERROR(VLOOKUP($A2966,原始数据_收盘!$A$4:$G$3460,7,0),"")</f>
        <v>2.6081</v>
      </c>
      <c r="H2966">
        <f>IFERROR(VLOOKUP($A2966,原始数据_利率互换_FR007_1年!$A$6:$C$4395,2,0),"")</f>
        <v>2.3117</v>
      </c>
      <c r="I2966">
        <f>IFERROR(VLOOKUP($A2966,原始数据_利率互换_FR007_1年!$A$6:$C$4395,3,0),"")</f>
        <v>2.6087</v>
      </c>
    </row>
    <row r="2967" spans="1:9">
      <c r="A2967" s="6">
        <v>42460</v>
      </c>
      <c r="B2967">
        <f>IFERROR(VLOOKUP($A2967,原始数据_收盘!$A$4:$G$3460,2,0),"")</f>
        <v>2.2888</v>
      </c>
      <c r="C2967">
        <f>IFERROR(VLOOKUP($A2967,原始数据_收盘!$A$4:$G$3460,3,0),"")</f>
        <v>2.5825</v>
      </c>
      <c r="D2967">
        <f>IFERROR(VLOOKUP($A2967,原始数据_收盘!$A$4:$G$3460,4,0),"")</f>
        <v>2.3325</v>
      </c>
      <c r="E2967">
        <f>IFERROR(VLOOKUP($A2967,原始数据_收盘!$A$4:$G$3460,5,0),"")</f>
        <v>2.6288</v>
      </c>
      <c r="F2967">
        <f>IFERROR(VLOOKUP($A2967,原始数据_收盘!$A$4:$G$3460,6,0),"")</f>
        <v>2.3106</v>
      </c>
      <c r="G2967">
        <f>IFERROR(VLOOKUP($A2967,原始数据_收盘!$A$4:$G$3460,7,0),"")</f>
        <v>2.6056</v>
      </c>
      <c r="H2967">
        <f>IFERROR(VLOOKUP($A2967,原始数据_利率互换_FR007_1年!$A$6:$C$4395,2,0),"")</f>
        <v>2.3098</v>
      </c>
      <c r="I2967">
        <f>IFERROR(VLOOKUP($A2967,原始数据_利率互换_FR007_1年!$A$6:$C$4395,3,0),"")</f>
        <v>2.6083</v>
      </c>
    </row>
    <row r="2968" spans="1:9">
      <c r="A2968" s="6">
        <v>42461</v>
      </c>
      <c r="B2968">
        <f>IFERROR(VLOOKUP($A2968,原始数据_收盘!$A$4:$G$3460,2,0),"")</f>
        <v>2.2859</v>
      </c>
      <c r="C2968">
        <f>IFERROR(VLOOKUP($A2968,原始数据_收盘!$A$4:$G$3460,3,0),"")</f>
        <v>2.5813</v>
      </c>
      <c r="D2968">
        <f>IFERROR(VLOOKUP($A2968,原始数据_收盘!$A$4:$G$3460,4,0),"")</f>
        <v>2.3366</v>
      </c>
      <c r="E2968">
        <f>IFERROR(VLOOKUP($A2968,原始数据_收盘!$A$4:$G$3460,5,0),"")</f>
        <v>2.6375</v>
      </c>
      <c r="F2968">
        <f>IFERROR(VLOOKUP($A2968,原始数据_收盘!$A$4:$G$3460,6,0),"")</f>
        <v>2.3113</v>
      </c>
      <c r="G2968">
        <f>IFERROR(VLOOKUP($A2968,原始数据_收盘!$A$4:$G$3460,7,0),"")</f>
        <v>2.6094</v>
      </c>
      <c r="H2968">
        <f>IFERROR(VLOOKUP($A2968,原始数据_利率互换_FR007_1年!$A$6:$C$4395,2,0),"")</f>
        <v>2.3092</v>
      </c>
      <c r="I2968">
        <f>IFERROR(VLOOKUP($A2968,原始数据_利率互换_FR007_1年!$A$6:$C$4395,3,0),"")</f>
        <v>2.6134</v>
      </c>
    </row>
    <row r="2969" spans="1:9">
      <c r="A2969" s="6">
        <v>42462</v>
      </c>
      <c r="B2969" t="str">
        <f>IFERROR(VLOOKUP($A2969,原始数据_收盘!$A$4:$G$3460,2,0),"")</f>
        <v/>
      </c>
      <c r="C2969" t="str">
        <f>IFERROR(VLOOKUP($A2969,原始数据_收盘!$A$4:$G$3460,3,0),"")</f>
        <v/>
      </c>
      <c r="D2969" t="str">
        <f>IFERROR(VLOOKUP($A2969,原始数据_收盘!$A$4:$G$3460,4,0),"")</f>
        <v/>
      </c>
      <c r="E2969" t="str">
        <f>IFERROR(VLOOKUP($A2969,原始数据_收盘!$A$4:$G$3460,5,0),"")</f>
        <v/>
      </c>
      <c r="F2969" t="str">
        <f>IFERROR(VLOOKUP($A2969,原始数据_收盘!$A$4:$G$3460,6,0),"")</f>
        <v/>
      </c>
      <c r="G2969" t="str">
        <f>IFERROR(VLOOKUP($A2969,原始数据_收盘!$A$4:$G$3460,7,0),"")</f>
        <v/>
      </c>
      <c r="H2969" t="str">
        <f>IFERROR(VLOOKUP($A2969,原始数据_利率互换_FR007_1年!$A$6:$C$4395,2,0),"")</f>
        <v/>
      </c>
      <c r="I2969" t="str">
        <f>IFERROR(VLOOKUP($A2969,原始数据_利率互换_FR007_1年!$A$6:$C$4395,3,0),"")</f>
        <v/>
      </c>
    </row>
    <row r="2970" spans="1:9">
      <c r="A2970" s="6">
        <v>42463</v>
      </c>
      <c r="B2970" t="str">
        <f>IFERROR(VLOOKUP($A2970,原始数据_收盘!$A$4:$G$3460,2,0),"")</f>
        <v/>
      </c>
      <c r="C2970" t="str">
        <f>IFERROR(VLOOKUP($A2970,原始数据_收盘!$A$4:$G$3460,3,0),"")</f>
        <v/>
      </c>
      <c r="D2970" t="str">
        <f>IFERROR(VLOOKUP($A2970,原始数据_收盘!$A$4:$G$3460,4,0),"")</f>
        <v/>
      </c>
      <c r="E2970" t="str">
        <f>IFERROR(VLOOKUP($A2970,原始数据_收盘!$A$4:$G$3460,5,0),"")</f>
        <v/>
      </c>
      <c r="F2970" t="str">
        <f>IFERROR(VLOOKUP($A2970,原始数据_收盘!$A$4:$G$3460,6,0),"")</f>
        <v/>
      </c>
      <c r="G2970" t="str">
        <f>IFERROR(VLOOKUP($A2970,原始数据_收盘!$A$4:$G$3460,7,0),"")</f>
        <v/>
      </c>
      <c r="H2970" t="str">
        <f>IFERROR(VLOOKUP($A2970,原始数据_利率互换_FR007_1年!$A$6:$C$4395,2,0),"")</f>
        <v/>
      </c>
      <c r="I2970" t="str">
        <f>IFERROR(VLOOKUP($A2970,原始数据_利率互换_FR007_1年!$A$6:$C$4395,3,0),"")</f>
        <v/>
      </c>
    </row>
    <row r="2971" spans="1:9">
      <c r="A2971" s="6">
        <v>42464</v>
      </c>
      <c r="B2971" t="str">
        <f>IFERROR(VLOOKUP($A2971,原始数据_收盘!$A$4:$G$3460,2,0),"")</f>
        <v/>
      </c>
      <c r="C2971" t="str">
        <f>IFERROR(VLOOKUP($A2971,原始数据_收盘!$A$4:$G$3460,3,0),"")</f>
        <v/>
      </c>
      <c r="D2971" t="str">
        <f>IFERROR(VLOOKUP($A2971,原始数据_收盘!$A$4:$G$3460,4,0),"")</f>
        <v/>
      </c>
      <c r="E2971" t="str">
        <f>IFERROR(VLOOKUP($A2971,原始数据_收盘!$A$4:$G$3460,5,0),"")</f>
        <v/>
      </c>
      <c r="F2971" t="str">
        <f>IFERROR(VLOOKUP($A2971,原始数据_收盘!$A$4:$G$3460,6,0),"")</f>
        <v/>
      </c>
      <c r="G2971" t="str">
        <f>IFERROR(VLOOKUP($A2971,原始数据_收盘!$A$4:$G$3460,7,0),"")</f>
        <v/>
      </c>
      <c r="H2971" t="str">
        <f>IFERROR(VLOOKUP($A2971,原始数据_利率互换_FR007_1年!$A$6:$C$4395,2,0),"")</f>
        <v/>
      </c>
      <c r="I2971" t="str">
        <f>IFERROR(VLOOKUP($A2971,原始数据_利率互换_FR007_1年!$A$6:$C$4395,3,0),"")</f>
        <v/>
      </c>
    </row>
    <row r="2972" spans="1:9">
      <c r="A2972" s="6">
        <v>42465</v>
      </c>
      <c r="B2972">
        <f>IFERROR(VLOOKUP($A2972,原始数据_收盘!$A$4:$G$3460,2,0),"")</f>
        <v>2.2888</v>
      </c>
      <c r="C2972">
        <f>IFERROR(VLOOKUP($A2972,原始数据_收盘!$A$4:$G$3460,3,0),"")</f>
        <v>2.5988</v>
      </c>
      <c r="D2972">
        <f>IFERROR(VLOOKUP($A2972,原始数据_收盘!$A$4:$G$3460,4,0),"")</f>
        <v>2.3413</v>
      </c>
      <c r="E2972">
        <f>IFERROR(VLOOKUP($A2972,原始数据_收盘!$A$4:$G$3460,5,0),"")</f>
        <v>2.6613</v>
      </c>
      <c r="F2972">
        <f>IFERROR(VLOOKUP($A2972,原始数据_收盘!$A$4:$G$3460,6,0),"")</f>
        <v>2.315</v>
      </c>
      <c r="G2972">
        <f>IFERROR(VLOOKUP($A2972,原始数据_收盘!$A$4:$G$3460,7,0),"")</f>
        <v>2.63</v>
      </c>
      <c r="H2972">
        <f>IFERROR(VLOOKUP($A2972,原始数据_利率互换_FR007_1年!$A$6:$C$4395,2,0),"")</f>
        <v>2.3197</v>
      </c>
      <c r="I2972">
        <f>IFERROR(VLOOKUP($A2972,原始数据_利率互换_FR007_1年!$A$6:$C$4395,3,0),"")</f>
        <v>2.6289</v>
      </c>
    </row>
    <row r="2973" spans="1:9">
      <c r="A2973" s="6">
        <v>42466</v>
      </c>
      <c r="B2973">
        <f>IFERROR(VLOOKUP($A2973,原始数据_收盘!$A$4:$G$3460,2,0),"")</f>
        <v>2.2971</v>
      </c>
      <c r="C2973">
        <f>IFERROR(VLOOKUP($A2973,原始数据_收盘!$A$4:$G$3460,3,0),"")</f>
        <v>2.61</v>
      </c>
      <c r="D2973">
        <f>IFERROR(VLOOKUP($A2973,原始数据_收盘!$A$4:$G$3460,4,0),"")</f>
        <v>2.3446</v>
      </c>
      <c r="E2973">
        <f>IFERROR(VLOOKUP($A2973,原始数据_收盘!$A$4:$G$3460,5,0),"")</f>
        <v>2.6613</v>
      </c>
      <c r="F2973">
        <f>IFERROR(VLOOKUP($A2973,原始数据_收盘!$A$4:$G$3460,6,0),"")</f>
        <v>2.3209</v>
      </c>
      <c r="G2973">
        <f>IFERROR(VLOOKUP($A2973,原始数据_收盘!$A$4:$G$3460,7,0),"")</f>
        <v>2.6356</v>
      </c>
      <c r="H2973">
        <f>IFERROR(VLOOKUP($A2973,原始数据_利率互换_FR007_1年!$A$6:$C$4395,2,0),"")</f>
        <v>2.3244</v>
      </c>
      <c r="I2973">
        <f>IFERROR(VLOOKUP($A2973,原始数据_利率互换_FR007_1年!$A$6:$C$4395,3,0),"")</f>
        <v>2.6394</v>
      </c>
    </row>
    <row r="2974" spans="1:9">
      <c r="A2974" s="6">
        <v>42467</v>
      </c>
      <c r="B2974">
        <f>IFERROR(VLOOKUP($A2974,原始数据_收盘!$A$4:$G$3460,2,0),"")</f>
        <v>2.3159</v>
      </c>
      <c r="C2974">
        <f>IFERROR(VLOOKUP($A2974,原始数据_收盘!$A$4:$G$3460,3,0),"")</f>
        <v>2.63</v>
      </c>
      <c r="D2974">
        <f>IFERROR(VLOOKUP($A2974,原始数据_收盘!$A$4:$G$3460,4,0),"")</f>
        <v>2.3663</v>
      </c>
      <c r="E2974">
        <f>IFERROR(VLOOKUP($A2974,原始数据_收盘!$A$4:$G$3460,5,0),"")</f>
        <v>2.6875</v>
      </c>
      <c r="F2974">
        <f>IFERROR(VLOOKUP($A2974,原始数据_收盘!$A$4:$G$3460,6,0),"")</f>
        <v>2.3411</v>
      </c>
      <c r="G2974">
        <f>IFERROR(VLOOKUP($A2974,原始数据_收盘!$A$4:$G$3460,7,0),"")</f>
        <v>2.6588</v>
      </c>
      <c r="H2974">
        <f>IFERROR(VLOOKUP($A2974,原始数据_利率互换_FR007_1年!$A$6:$C$4395,2,0),"")</f>
        <v>2.3431</v>
      </c>
      <c r="I2974">
        <f>IFERROR(VLOOKUP($A2974,原始数据_利率互换_FR007_1年!$A$6:$C$4395,3,0),"")</f>
        <v>2.6605</v>
      </c>
    </row>
    <row r="2975" spans="1:9">
      <c r="A2975" s="6">
        <v>42468</v>
      </c>
      <c r="B2975">
        <f>IFERROR(VLOOKUP($A2975,原始数据_收盘!$A$4:$G$3460,2,0),"")</f>
        <v>2.315</v>
      </c>
      <c r="C2975">
        <f>IFERROR(VLOOKUP($A2975,原始数据_收盘!$A$4:$G$3460,3,0),"")</f>
        <v>2.6275</v>
      </c>
      <c r="D2975">
        <f>IFERROR(VLOOKUP($A2975,原始数据_收盘!$A$4:$G$3460,4,0),"")</f>
        <v>2.3638</v>
      </c>
      <c r="E2975">
        <f>IFERROR(VLOOKUP($A2975,原始数据_收盘!$A$4:$G$3460,5,0),"")</f>
        <v>2.6838</v>
      </c>
      <c r="F2975">
        <f>IFERROR(VLOOKUP($A2975,原始数据_收盘!$A$4:$G$3460,6,0),"")</f>
        <v>2.3394</v>
      </c>
      <c r="G2975">
        <f>IFERROR(VLOOKUP($A2975,原始数据_收盘!$A$4:$G$3460,7,0),"")</f>
        <v>2.6556</v>
      </c>
      <c r="H2975">
        <f>IFERROR(VLOOKUP($A2975,原始数据_利率互换_FR007_1年!$A$6:$C$4395,2,0),"")</f>
        <v>2.365</v>
      </c>
      <c r="I2975">
        <f>IFERROR(VLOOKUP($A2975,原始数据_利率互换_FR007_1年!$A$6:$C$4395,3,0),"")</f>
        <v>2.6674</v>
      </c>
    </row>
    <row r="2976" spans="1:9">
      <c r="A2976" s="6">
        <v>42469</v>
      </c>
      <c r="B2976" t="str">
        <f>IFERROR(VLOOKUP($A2976,原始数据_收盘!$A$4:$G$3460,2,0),"")</f>
        <v/>
      </c>
      <c r="C2976" t="str">
        <f>IFERROR(VLOOKUP($A2976,原始数据_收盘!$A$4:$G$3460,3,0),"")</f>
        <v/>
      </c>
      <c r="D2976" t="str">
        <f>IFERROR(VLOOKUP($A2976,原始数据_收盘!$A$4:$G$3460,4,0),"")</f>
        <v/>
      </c>
      <c r="E2976" t="str">
        <f>IFERROR(VLOOKUP($A2976,原始数据_收盘!$A$4:$G$3460,5,0),"")</f>
        <v/>
      </c>
      <c r="F2976" t="str">
        <f>IFERROR(VLOOKUP($A2976,原始数据_收盘!$A$4:$G$3460,6,0),"")</f>
        <v/>
      </c>
      <c r="G2976" t="str">
        <f>IFERROR(VLOOKUP($A2976,原始数据_收盘!$A$4:$G$3460,7,0),"")</f>
        <v/>
      </c>
      <c r="H2976" t="str">
        <f>IFERROR(VLOOKUP($A2976,原始数据_利率互换_FR007_1年!$A$6:$C$4395,2,0),"")</f>
        <v/>
      </c>
      <c r="I2976" t="str">
        <f>IFERROR(VLOOKUP($A2976,原始数据_利率互换_FR007_1年!$A$6:$C$4395,3,0),"")</f>
        <v/>
      </c>
    </row>
    <row r="2977" spans="1:9">
      <c r="A2977" s="6">
        <v>42470</v>
      </c>
      <c r="B2977" t="str">
        <f>IFERROR(VLOOKUP($A2977,原始数据_收盘!$A$4:$G$3460,2,0),"")</f>
        <v/>
      </c>
      <c r="C2977" t="str">
        <f>IFERROR(VLOOKUP($A2977,原始数据_收盘!$A$4:$G$3460,3,0),"")</f>
        <v/>
      </c>
      <c r="D2977" t="str">
        <f>IFERROR(VLOOKUP($A2977,原始数据_收盘!$A$4:$G$3460,4,0),"")</f>
        <v/>
      </c>
      <c r="E2977" t="str">
        <f>IFERROR(VLOOKUP($A2977,原始数据_收盘!$A$4:$G$3460,5,0),"")</f>
        <v/>
      </c>
      <c r="F2977" t="str">
        <f>IFERROR(VLOOKUP($A2977,原始数据_收盘!$A$4:$G$3460,6,0),"")</f>
        <v/>
      </c>
      <c r="G2977" t="str">
        <f>IFERROR(VLOOKUP($A2977,原始数据_收盘!$A$4:$G$3460,7,0),"")</f>
        <v/>
      </c>
      <c r="H2977" t="str">
        <f>IFERROR(VLOOKUP($A2977,原始数据_利率互换_FR007_1年!$A$6:$C$4395,2,0),"")</f>
        <v/>
      </c>
      <c r="I2977" t="str">
        <f>IFERROR(VLOOKUP($A2977,原始数据_利率互换_FR007_1年!$A$6:$C$4395,3,0),"")</f>
        <v/>
      </c>
    </row>
    <row r="2978" spans="1:9">
      <c r="A2978" s="6">
        <v>42471</v>
      </c>
      <c r="B2978">
        <f>IFERROR(VLOOKUP($A2978,原始数据_收盘!$A$4:$G$3460,2,0),"")</f>
        <v>2.3163</v>
      </c>
      <c r="C2978">
        <f>IFERROR(VLOOKUP($A2978,原始数据_收盘!$A$4:$G$3460,3,0),"")</f>
        <v>2.6275</v>
      </c>
      <c r="D2978">
        <f>IFERROR(VLOOKUP($A2978,原始数据_收盘!$A$4:$G$3460,4,0),"")</f>
        <v>2.3633</v>
      </c>
      <c r="E2978">
        <f>IFERROR(VLOOKUP($A2978,原始数据_收盘!$A$4:$G$3460,5,0),"")</f>
        <v>2.6888</v>
      </c>
      <c r="F2978">
        <f>IFERROR(VLOOKUP($A2978,原始数据_收盘!$A$4:$G$3460,6,0),"")</f>
        <v>2.3398</v>
      </c>
      <c r="G2978">
        <f>IFERROR(VLOOKUP($A2978,原始数据_收盘!$A$4:$G$3460,7,0),"")</f>
        <v>2.6581</v>
      </c>
      <c r="H2978">
        <f>IFERROR(VLOOKUP($A2978,原始数据_利率互换_FR007_1年!$A$6:$C$4395,2,0),"")</f>
        <v>2.35</v>
      </c>
      <c r="I2978">
        <f>IFERROR(VLOOKUP($A2978,原始数据_利率互换_FR007_1年!$A$6:$C$4395,3,0),"")</f>
        <v>2.6673</v>
      </c>
    </row>
    <row r="2979" spans="1:9">
      <c r="A2979" s="6">
        <v>42472</v>
      </c>
      <c r="B2979">
        <f>IFERROR(VLOOKUP($A2979,原始数据_收盘!$A$4:$G$3460,2,0),"")</f>
        <v>2.3266</v>
      </c>
      <c r="C2979">
        <f>IFERROR(VLOOKUP($A2979,原始数据_收盘!$A$4:$G$3460,3,0),"")</f>
        <v>2.6338</v>
      </c>
      <c r="D2979">
        <f>IFERROR(VLOOKUP($A2979,原始数据_收盘!$A$4:$G$3460,4,0),"")</f>
        <v>2.3775</v>
      </c>
      <c r="E2979">
        <f>IFERROR(VLOOKUP($A2979,原始数据_收盘!$A$4:$G$3460,5,0),"")</f>
        <v>2.6963</v>
      </c>
      <c r="F2979">
        <f>IFERROR(VLOOKUP($A2979,原始数据_收盘!$A$4:$G$3460,6,0),"")</f>
        <v>2.3521</v>
      </c>
      <c r="G2979">
        <f>IFERROR(VLOOKUP($A2979,原始数据_收盘!$A$4:$G$3460,7,0),"")</f>
        <v>2.665</v>
      </c>
      <c r="H2979">
        <f>IFERROR(VLOOKUP($A2979,原始数据_利率互换_FR007_1年!$A$6:$C$4395,2,0),"")</f>
        <v>2.3608</v>
      </c>
      <c r="I2979">
        <f>IFERROR(VLOOKUP($A2979,原始数据_利率互换_FR007_1年!$A$6:$C$4395,3,0),"")</f>
        <v>2.6754</v>
      </c>
    </row>
    <row r="2980" spans="1:9">
      <c r="A2980" s="6">
        <v>42473</v>
      </c>
      <c r="B2980">
        <f>IFERROR(VLOOKUP($A2980,原始数据_收盘!$A$4:$G$3460,2,0),"")</f>
        <v>2.3766</v>
      </c>
      <c r="C2980">
        <f>IFERROR(VLOOKUP($A2980,原始数据_收盘!$A$4:$G$3460,3,0),"")</f>
        <v>2.715</v>
      </c>
      <c r="D2980">
        <f>IFERROR(VLOOKUP($A2980,原始数据_收盘!$A$4:$G$3460,4,0),"")</f>
        <v>2.4238</v>
      </c>
      <c r="E2980">
        <f>IFERROR(VLOOKUP($A2980,原始数据_收盘!$A$4:$G$3460,5,0),"")</f>
        <v>2.7725</v>
      </c>
      <c r="F2980">
        <f>IFERROR(VLOOKUP($A2980,原始数据_收盘!$A$4:$G$3460,6,0),"")</f>
        <v>2.4002</v>
      </c>
      <c r="G2980">
        <f>IFERROR(VLOOKUP($A2980,原始数据_收盘!$A$4:$G$3460,7,0),"")</f>
        <v>2.7438</v>
      </c>
      <c r="H2980">
        <f>IFERROR(VLOOKUP($A2980,原始数据_利率互换_FR007_1年!$A$6:$C$4395,2,0),"")</f>
        <v>2.3985</v>
      </c>
      <c r="I2980">
        <f>IFERROR(VLOOKUP($A2980,原始数据_利率互换_FR007_1年!$A$6:$C$4395,3,0),"")</f>
        <v>2.742</v>
      </c>
    </row>
    <row r="2981" spans="1:9">
      <c r="A2981" s="6">
        <v>42474</v>
      </c>
      <c r="B2981">
        <f>IFERROR(VLOOKUP($A2981,原始数据_收盘!$A$4:$G$3460,2,0),"")</f>
        <v>2.3996</v>
      </c>
      <c r="C2981">
        <f>IFERROR(VLOOKUP($A2981,原始数据_收盘!$A$4:$G$3460,3,0),"")</f>
        <v>2.7463</v>
      </c>
      <c r="D2981">
        <f>IFERROR(VLOOKUP($A2981,原始数据_收盘!$A$4:$G$3460,4,0),"")</f>
        <v>2.4513</v>
      </c>
      <c r="E2981">
        <f>IFERROR(VLOOKUP($A2981,原始数据_收盘!$A$4:$G$3460,5,0),"")</f>
        <v>2.8088</v>
      </c>
      <c r="F2981">
        <f>IFERROR(VLOOKUP($A2981,原始数据_收盘!$A$4:$G$3460,6,0),"")</f>
        <v>2.4254</v>
      </c>
      <c r="G2981">
        <f>IFERROR(VLOOKUP($A2981,原始数据_收盘!$A$4:$G$3460,7,0),"")</f>
        <v>2.7775</v>
      </c>
      <c r="H2981">
        <f>IFERROR(VLOOKUP($A2981,原始数据_利率互换_FR007_1年!$A$6:$C$4395,2,0),"")</f>
        <v>2.4144</v>
      </c>
      <c r="I2981">
        <f>IFERROR(VLOOKUP($A2981,原始数据_利率互换_FR007_1年!$A$6:$C$4395,3,0),"")</f>
        <v>2.7745</v>
      </c>
    </row>
    <row r="2982" spans="1:9">
      <c r="A2982" s="6">
        <v>42475</v>
      </c>
      <c r="B2982">
        <f>IFERROR(VLOOKUP($A2982,原始数据_收盘!$A$4:$G$3460,2,0),"")</f>
        <v>2.3775</v>
      </c>
      <c r="C2982">
        <f>IFERROR(VLOOKUP($A2982,原始数据_收盘!$A$4:$G$3460,3,0),"")</f>
        <v>2.7213</v>
      </c>
      <c r="D2982">
        <f>IFERROR(VLOOKUP($A2982,原始数据_收盘!$A$4:$G$3460,4,0),"")</f>
        <v>2.4238</v>
      </c>
      <c r="E2982">
        <f>IFERROR(VLOOKUP($A2982,原始数据_收盘!$A$4:$G$3460,5,0),"")</f>
        <v>2.7713</v>
      </c>
      <c r="F2982">
        <f>IFERROR(VLOOKUP($A2982,原始数据_收盘!$A$4:$G$3460,6,0),"")</f>
        <v>2.4006</v>
      </c>
      <c r="G2982">
        <f>IFERROR(VLOOKUP($A2982,原始数据_收盘!$A$4:$G$3460,7,0),"")</f>
        <v>2.7463</v>
      </c>
      <c r="H2982">
        <f>IFERROR(VLOOKUP($A2982,原始数据_利率互换_FR007_1年!$A$6:$C$4395,2,0),"")</f>
        <v>2.4159</v>
      </c>
      <c r="I2982">
        <f>IFERROR(VLOOKUP($A2982,原始数据_利率互换_FR007_1年!$A$6:$C$4395,3,0),"")</f>
        <v>2.7727</v>
      </c>
    </row>
    <row r="2983" spans="1:9">
      <c r="A2983" s="6">
        <v>42476</v>
      </c>
      <c r="B2983" t="str">
        <f>IFERROR(VLOOKUP($A2983,原始数据_收盘!$A$4:$G$3460,2,0),"")</f>
        <v/>
      </c>
      <c r="C2983" t="str">
        <f>IFERROR(VLOOKUP($A2983,原始数据_收盘!$A$4:$G$3460,3,0),"")</f>
        <v/>
      </c>
      <c r="D2983" t="str">
        <f>IFERROR(VLOOKUP($A2983,原始数据_收盘!$A$4:$G$3460,4,0),"")</f>
        <v/>
      </c>
      <c r="E2983" t="str">
        <f>IFERROR(VLOOKUP($A2983,原始数据_收盘!$A$4:$G$3460,5,0),"")</f>
        <v/>
      </c>
      <c r="F2983" t="str">
        <f>IFERROR(VLOOKUP($A2983,原始数据_收盘!$A$4:$G$3460,6,0),"")</f>
        <v/>
      </c>
      <c r="G2983" t="str">
        <f>IFERROR(VLOOKUP($A2983,原始数据_收盘!$A$4:$G$3460,7,0),"")</f>
        <v/>
      </c>
      <c r="H2983" t="str">
        <f>IFERROR(VLOOKUP($A2983,原始数据_利率互换_FR007_1年!$A$6:$C$4395,2,0),"")</f>
        <v/>
      </c>
      <c r="I2983" t="str">
        <f>IFERROR(VLOOKUP($A2983,原始数据_利率互换_FR007_1年!$A$6:$C$4395,3,0),"")</f>
        <v/>
      </c>
    </row>
    <row r="2984" spans="1:9">
      <c r="A2984" s="6">
        <v>42477</v>
      </c>
      <c r="B2984" t="str">
        <f>IFERROR(VLOOKUP($A2984,原始数据_收盘!$A$4:$G$3460,2,0),"")</f>
        <v/>
      </c>
      <c r="C2984" t="str">
        <f>IFERROR(VLOOKUP($A2984,原始数据_收盘!$A$4:$G$3460,3,0),"")</f>
        <v/>
      </c>
      <c r="D2984" t="str">
        <f>IFERROR(VLOOKUP($A2984,原始数据_收盘!$A$4:$G$3460,4,0),"")</f>
        <v/>
      </c>
      <c r="E2984" t="str">
        <f>IFERROR(VLOOKUP($A2984,原始数据_收盘!$A$4:$G$3460,5,0),"")</f>
        <v/>
      </c>
      <c r="F2984" t="str">
        <f>IFERROR(VLOOKUP($A2984,原始数据_收盘!$A$4:$G$3460,6,0),"")</f>
        <v/>
      </c>
      <c r="G2984" t="str">
        <f>IFERROR(VLOOKUP($A2984,原始数据_收盘!$A$4:$G$3460,7,0),"")</f>
        <v/>
      </c>
      <c r="H2984" t="str">
        <f>IFERROR(VLOOKUP($A2984,原始数据_利率互换_FR007_1年!$A$6:$C$4395,2,0),"")</f>
        <v/>
      </c>
      <c r="I2984" t="str">
        <f>IFERROR(VLOOKUP($A2984,原始数据_利率互换_FR007_1年!$A$6:$C$4395,3,0),"")</f>
        <v/>
      </c>
    </row>
    <row r="2985" spans="1:9">
      <c r="A2985" s="6">
        <v>42478</v>
      </c>
      <c r="B2985">
        <f>IFERROR(VLOOKUP($A2985,原始数据_收盘!$A$4:$G$3460,2,0),"")</f>
        <v>2.3746</v>
      </c>
      <c r="C2985">
        <f>IFERROR(VLOOKUP($A2985,原始数据_收盘!$A$4:$G$3460,3,0),"")</f>
        <v>2.7269</v>
      </c>
      <c r="D2985">
        <f>IFERROR(VLOOKUP($A2985,原始数据_收盘!$A$4:$G$3460,4,0),"")</f>
        <v>2.435</v>
      </c>
      <c r="E2985">
        <f>IFERROR(VLOOKUP($A2985,原始数据_收盘!$A$4:$G$3460,5,0),"")</f>
        <v>2.7925</v>
      </c>
      <c r="F2985">
        <f>IFERROR(VLOOKUP($A2985,原始数据_收盘!$A$4:$G$3460,6,0),"")</f>
        <v>2.4048</v>
      </c>
      <c r="G2985">
        <f>IFERROR(VLOOKUP($A2985,原始数据_收盘!$A$4:$G$3460,7,0),"")</f>
        <v>2.7597</v>
      </c>
      <c r="H2985">
        <f>IFERROR(VLOOKUP($A2985,原始数据_利率互换_FR007_1年!$A$6:$C$4395,2,0),"")</f>
        <v>2.405</v>
      </c>
      <c r="I2985">
        <f>IFERROR(VLOOKUP($A2985,原始数据_利率互换_FR007_1年!$A$6:$C$4395,3,0),"")</f>
        <v>2.7596</v>
      </c>
    </row>
    <row r="2986" spans="1:9">
      <c r="A2986" s="6">
        <v>42479</v>
      </c>
      <c r="B2986">
        <f>IFERROR(VLOOKUP($A2986,原始数据_收盘!$A$4:$G$3460,2,0),"")</f>
        <v>2.3913</v>
      </c>
      <c r="C2986">
        <f>IFERROR(VLOOKUP($A2986,原始数据_收盘!$A$4:$G$3460,3,0),"")</f>
        <v>2.7484</v>
      </c>
      <c r="D2986">
        <f>IFERROR(VLOOKUP($A2986,原始数据_收盘!$A$4:$G$3460,4,0),"")</f>
        <v>2.4475</v>
      </c>
      <c r="E2986">
        <f>IFERROR(VLOOKUP($A2986,原始数据_收盘!$A$4:$G$3460,5,0),"")</f>
        <v>2.8138</v>
      </c>
      <c r="F2986">
        <f>IFERROR(VLOOKUP($A2986,原始数据_收盘!$A$4:$G$3460,6,0),"")</f>
        <v>2.4194</v>
      </c>
      <c r="G2986">
        <f>IFERROR(VLOOKUP($A2986,原始数据_收盘!$A$4:$G$3460,7,0),"")</f>
        <v>2.7811</v>
      </c>
      <c r="H2986">
        <f>IFERROR(VLOOKUP($A2986,原始数据_利率互换_FR007_1年!$A$6:$C$4395,2,0),"")</f>
        <v>2.4193</v>
      </c>
      <c r="I2986">
        <f>IFERROR(VLOOKUP($A2986,原始数据_利率互换_FR007_1年!$A$6:$C$4395,3,0),"")</f>
        <v>2.782</v>
      </c>
    </row>
    <row r="2987" spans="1:9">
      <c r="A2987" s="6">
        <v>42480</v>
      </c>
      <c r="B2987">
        <f>IFERROR(VLOOKUP($A2987,原始数据_收盘!$A$4:$G$3460,2,0),"")</f>
        <v>2.4479</v>
      </c>
      <c r="C2987">
        <f>IFERROR(VLOOKUP($A2987,原始数据_收盘!$A$4:$G$3460,3,0),"")</f>
        <v>2.8129</v>
      </c>
      <c r="D2987">
        <f>IFERROR(VLOOKUP($A2987,原始数据_收盘!$A$4:$G$3460,4,0),"")</f>
        <v>2.5075</v>
      </c>
      <c r="E2987">
        <f>IFERROR(VLOOKUP($A2987,原始数据_收盘!$A$4:$G$3460,5,0),"")</f>
        <v>2.9075</v>
      </c>
      <c r="F2987">
        <f>IFERROR(VLOOKUP($A2987,原始数据_收盘!$A$4:$G$3460,6,0),"")</f>
        <v>2.4777</v>
      </c>
      <c r="G2987">
        <f>IFERROR(VLOOKUP($A2987,原始数据_收盘!$A$4:$G$3460,7,0),"")</f>
        <v>2.8602</v>
      </c>
      <c r="H2987">
        <f>IFERROR(VLOOKUP($A2987,原始数据_利率互换_FR007_1年!$A$6:$C$4395,2,0),"")</f>
        <v>2.4786</v>
      </c>
      <c r="I2987">
        <f>IFERROR(VLOOKUP($A2987,原始数据_利率互换_FR007_1年!$A$6:$C$4395,3,0),"")</f>
        <v>2.8613</v>
      </c>
    </row>
    <row r="2988" spans="1:9">
      <c r="A2988" s="6">
        <v>42481</v>
      </c>
      <c r="B2988">
        <f>IFERROR(VLOOKUP($A2988,原始数据_收盘!$A$4:$G$3460,2,0),"")</f>
        <v>2.4688</v>
      </c>
      <c r="C2988">
        <f>IFERROR(VLOOKUP($A2988,原始数据_收盘!$A$4:$G$3460,3,0),"")</f>
        <v>2.835</v>
      </c>
      <c r="D2988">
        <f>IFERROR(VLOOKUP($A2988,原始数据_收盘!$A$4:$G$3460,4,0),"")</f>
        <v>2.5213</v>
      </c>
      <c r="E2988">
        <f>IFERROR(VLOOKUP($A2988,原始数据_收盘!$A$4:$G$3460,5,0),"")</f>
        <v>2.9138</v>
      </c>
      <c r="F2988">
        <f>IFERROR(VLOOKUP($A2988,原始数据_收盘!$A$4:$G$3460,6,0),"")</f>
        <v>2.495</v>
      </c>
      <c r="G2988">
        <f>IFERROR(VLOOKUP($A2988,原始数据_收盘!$A$4:$G$3460,7,0),"")</f>
        <v>2.8744</v>
      </c>
      <c r="H2988">
        <f>IFERROR(VLOOKUP($A2988,原始数据_利率互换_FR007_1年!$A$6:$C$4395,2,0),"")</f>
        <v>2.5124</v>
      </c>
      <c r="I2988">
        <f>IFERROR(VLOOKUP($A2988,原始数据_利率互换_FR007_1年!$A$6:$C$4395,3,0),"")</f>
        <v>2.9117</v>
      </c>
    </row>
    <row r="2989" spans="1:9">
      <c r="A2989" s="6">
        <v>42482</v>
      </c>
      <c r="B2989">
        <f>IFERROR(VLOOKUP($A2989,原始数据_收盘!$A$4:$G$3460,2,0),"")</f>
        <v>2.4913</v>
      </c>
      <c r="C2989">
        <f>IFERROR(VLOOKUP($A2989,原始数据_收盘!$A$4:$G$3460,3,0),"")</f>
        <v>2.855</v>
      </c>
      <c r="D2989">
        <f>IFERROR(VLOOKUP($A2989,原始数据_收盘!$A$4:$G$3460,4,0),"")</f>
        <v>2.5463</v>
      </c>
      <c r="E2989">
        <f>IFERROR(VLOOKUP($A2989,原始数据_收盘!$A$4:$G$3460,5,0),"")</f>
        <v>2.9363</v>
      </c>
      <c r="F2989">
        <f>IFERROR(VLOOKUP($A2989,原始数据_收盘!$A$4:$G$3460,6,0),"")</f>
        <v>2.5188</v>
      </c>
      <c r="G2989">
        <f>IFERROR(VLOOKUP($A2989,原始数据_收盘!$A$4:$G$3460,7,0),"")</f>
        <v>2.8956</v>
      </c>
      <c r="H2989">
        <f>IFERROR(VLOOKUP($A2989,原始数据_利率互换_FR007_1年!$A$6:$C$4395,2,0),"")</f>
        <v>2.5112</v>
      </c>
      <c r="I2989">
        <f>IFERROR(VLOOKUP($A2989,原始数据_利率互换_FR007_1年!$A$6:$C$4395,3,0),"")</f>
        <v>2.8983</v>
      </c>
    </row>
    <row r="2990" spans="1:9">
      <c r="A2990" s="6">
        <v>42483</v>
      </c>
      <c r="B2990" t="str">
        <f>IFERROR(VLOOKUP($A2990,原始数据_收盘!$A$4:$G$3460,2,0),"")</f>
        <v/>
      </c>
      <c r="C2990" t="str">
        <f>IFERROR(VLOOKUP($A2990,原始数据_收盘!$A$4:$G$3460,3,0),"")</f>
        <v/>
      </c>
      <c r="D2990" t="str">
        <f>IFERROR(VLOOKUP($A2990,原始数据_收盘!$A$4:$G$3460,4,0),"")</f>
        <v/>
      </c>
      <c r="E2990" t="str">
        <f>IFERROR(VLOOKUP($A2990,原始数据_收盘!$A$4:$G$3460,5,0),"")</f>
        <v/>
      </c>
      <c r="F2990" t="str">
        <f>IFERROR(VLOOKUP($A2990,原始数据_收盘!$A$4:$G$3460,6,0),"")</f>
        <v/>
      </c>
      <c r="G2990" t="str">
        <f>IFERROR(VLOOKUP($A2990,原始数据_收盘!$A$4:$G$3460,7,0),"")</f>
        <v/>
      </c>
      <c r="H2990" t="str">
        <f>IFERROR(VLOOKUP($A2990,原始数据_利率互换_FR007_1年!$A$6:$C$4395,2,0),"")</f>
        <v/>
      </c>
      <c r="I2990" t="str">
        <f>IFERROR(VLOOKUP($A2990,原始数据_利率互换_FR007_1年!$A$6:$C$4395,3,0),"")</f>
        <v/>
      </c>
    </row>
    <row r="2991" spans="1:9">
      <c r="A2991" s="6">
        <v>42484</v>
      </c>
      <c r="B2991" t="str">
        <f>IFERROR(VLOOKUP($A2991,原始数据_收盘!$A$4:$G$3460,2,0),"")</f>
        <v/>
      </c>
      <c r="C2991" t="str">
        <f>IFERROR(VLOOKUP($A2991,原始数据_收盘!$A$4:$G$3460,3,0),"")</f>
        <v/>
      </c>
      <c r="D2991" t="str">
        <f>IFERROR(VLOOKUP($A2991,原始数据_收盘!$A$4:$G$3460,4,0),"")</f>
        <v/>
      </c>
      <c r="E2991" t="str">
        <f>IFERROR(VLOOKUP($A2991,原始数据_收盘!$A$4:$G$3460,5,0),"")</f>
        <v/>
      </c>
      <c r="F2991" t="str">
        <f>IFERROR(VLOOKUP($A2991,原始数据_收盘!$A$4:$G$3460,6,0),"")</f>
        <v/>
      </c>
      <c r="G2991" t="str">
        <f>IFERROR(VLOOKUP($A2991,原始数据_收盘!$A$4:$G$3460,7,0),"")</f>
        <v/>
      </c>
      <c r="H2991" t="str">
        <f>IFERROR(VLOOKUP($A2991,原始数据_利率互换_FR007_1年!$A$6:$C$4395,2,0),"")</f>
        <v/>
      </c>
      <c r="I2991" t="str">
        <f>IFERROR(VLOOKUP($A2991,原始数据_利率互换_FR007_1年!$A$6:$C$4395,3,0),"")</f>
        <v/>
      </c>
    </row>
    <row r="2992" spans="1:9">
      <c r="A2992" s="6">
        <v>42485</v>
      </c>
      <c r="B2992">
        <f>IFERROR(VLOOKUP($A2992,原始数据_收盘!$A$4:$G$3460,2,0),"")</f>
        <v>2.5979</v>
      </c>
      <c r="C2992">
        <f>IFERROR(VLOOKUP($A2992,原始数据_收盘!$A$4:$G$3460,3,0),"")</f>
        <v>2.9629</v>
      </c>
      <c r="D2992">
        <f>IFERROR(VLOOKUP($A2992,原始数据_收盘!$A$4:$G$3460,4,0),"")</f>
        <v>2.65</v>
      </c>
      <c r="E2992">
        <f>IFERROR(VLOOKUP($A2992,原始数据_收盘!$A$4:$G$3460,5,0),"")</f>
        <v>3.0288</v>
      </c>
      <c r="F2992">
        <f>IFERROR(VLOOKUP($A2992,原始数据_收盘!$A$4:$G$3460,6,0),"")</f>
        <v>2.6239</v>
      </c>
      <c r="G2992">
        <f>IFERROR(VLOOKUP($A2992,原始数据_收盘!$A$4:$G$3460,7,0),"")</f>
        <v>2.9958</v>
      </c>
      <c r="H2992">
        <f>IFERROR(VLOOKUP($A2992,原始数据_利率互换_FR007_1年!$A$6:$C$4395,2,0),"")</f>
        <v>2.6231</v>
      </c>
      <c r="I2992">
        <f>IFERROR(VLOOKUP($A2992,原始数据_利率互换_FR007_1年!$A$6:$C$4395,3,0),"")</f>
        <v>2.9956</v>
      </c>
    </row>
    <row r="2993" spans="1:9">
      <c r="A2993" s="6">
        <v>42486</v>
      </c>
      <c r="B2993">
        <f>IFERROR(VLOOKUP($A2993,原始数据_收盘!$A$4:$G$3460,2,0),"")</f>
        <v>2.5775</v>
      </c>
      <c r="C2993">
        <f>IFERROR(VLOOKUP($A2993,原始数据_收盘!$A$4:$G$3460,3,0),"")</f>
        <v>2.9291</v>
      </c>
      <c r="D2993">
        <f>IFERROR(VLOOKUP($A2993,原始数据_收盘!$A$4:$G$3460,4,0),"")</f>
        <v>2.6341</v>
      </c>
      <c r="E2993">
        <f>IFERROR(VLOOKUP($A2993,原始数据_收盘!$A$4:$G$3460,5,0),"")</f>
        <v>3.0021</v>
      </c>
      <c r="F2993">
        <f>IFERROR(VLOOKUP($A2993,原始数据_收盘!$A$4:$G$3460,6,0),"")</f>
        <v>2.6058</v>
      </c>
      <c r="G2993">
        <f>IFERROR(VLOOKUP($A2993,原始数据_收盘!$A$4:$G$3460,7,0),"")</f>
        <v>2.9656</v>
      </c>
      <c r="H2993">
        <f>IFERROR(VLOOKUP($A2993,原始数据_利率互换_FR007_1年!$A$6:$C$4395,2,0),"")</f>
        <v>2.6219</v>
      </c>
      <c r="I2993">
        <f>IFERROR(VLOOKUP($A2993,原始数据_利率互换_FR007_1年!$A$6:$C$4395,3,0),"")</f>
        <v>2.975</v>
      </c>
    </row>
    <row r="2994" spans="1:9">
      <c r="A2994" s="6">
        <v>42487</v>
      </c>
      <c r="B2994">
        <f>IFERROR(VLOOKUP($A2994,原始数据_收盘!$A$4:$G$3460,2,0),"")</f>
        <v>2.5884</v>
      </c>
      <c r="C2994">
        <f>IFERROR(VLOOKUP($A2994,原始数据_收盘!$A$4:$G$3460,3,0),"")</f>
        <v>2.9113</v>
      </c>
      <c r="D2994">
        <f>IFERROR(VLOOKUP($A2994,原始数据_收盘!$A$4:$G$3460,4,0),"")</f>
        <v>2.6425</v>
      </c>
      <c r="E2994">
        <f>IFERROR(VLOOKUP($A2994,原始数据_收盘!$A$4:$G$3460,5,0),"")</f>
        <v>2.9759</v>
      </c>
      <c r="F2994">
        <f>IFERROR(VLOOKUP($A2994,原始数据_收盘!$A$4:$G$3460,6,0),"")</f>
        <v>2.6154</v>
      </c>
      <c r="G2994">
        <f>IFERROR(VLOOKUP($A2994,原始数据_收盘!$A$4:$G$3460,7,0),"")</f>
        <v>2.9436</v>
      </c>
      <c r="H2994">
        <f>IFERROR(VLOOKUP($A2994,原始数据_利率互换_FR007_1年!$A$6:$C$4395,2,0),"")</f>
        <v>2.5955</v>
      </c>
      <c r="I2994">
        <f>IFERROR(VLOOKUP($A2994,原始数据_利率互换_FR007_1年!$A$6:$C$4395,3,0),"")</f>
        <v>2.932</v>
      </c>
    </row>
    <row r="2995" spans="1:9">
      <c r="A2995" s="6">
        <v>42488</v>
      </c>
      <c r="B2995">
        <f>IFERROR(VLOOKUP($A2995,原始数据_收盘!$A$4:$G$3460,2,0),"")</f>
        <v>2.6196</v>
      </c>
      <c r="C2995">
        <f>IFERROR(VLOOKUP($A2995,原始数据_收盘!$A$4:$G$3460,3,0),"")</f>
        <v>2.9175</v>
      </c>
      <c r="D2995">
        <f>IFERROR(VLOOKUP($A2995,原始数据_收盘!$A$4:$G$3460,4,0),"")</f>
        <v>2.6575</v>
      </c>
      <c r="E2995">
        <f>IFERROR(VLOOKUP($A2995,原始数据_收盘!$A$4:$G$3460,5,0),"")</f>
        <v>2.9763</v>
      </c>
      <c r="F2995">
        <f>IFERROR(VLOOKUP($A2995,原始数据_收盘!$A$4:$G$3460,6,0),"")</f>
        <v>2.6386</v>
      </c>
      <c r="G2995">
        <f>IFERROR(VLOOKUP($A2995,原始数据_收盘!$A$4:$G$3460,7,0),"")</f>
        <v>2.9469</v>
      </c>
      <c r="H2995">
        <f>IFERROR(VLOOKUP($A2995,原始数据_利率互换_FR007_1年!$A$6:$C$4395,2,0),"")</f>
        <v>2.6466</v>
      </c>
      <c r="I2995">
        <f>IFERROR(VLOOKUP($A2995,原始数据_利率互换_FR007_1年!$A$6:$C$4395,3,0),"")</f>
        <v>2.9422</v>
      </c>
    </row>
    <row r="2996" spans="1:9">
      <c r="A2996" s="6">
        <v>42489</v>
      </c>
      <c r="B2996">
        <f>IFERROR(VLOOKUP($A2996,原始数据_收盘!$A$4:$G$3460,2,0),"")</f>
        <v>2.6425</v>
      </c>
      <c r="C2996">
        <f>IFERROR(VLOOKUP($A2996,原始数据_收盘!$A$4:$G$3460,3,0),"")</f>
        <v>2.955</v>
      </c>
      <c r="D2996">
        <f>IFERROR(VLOOKUP($A2996,原始数据_收盘!$A$4:$G$3460,4,0),"")</f>
        <v>2.6913</v>
      </c>
      <c r="E2996">
        <f>IFERROR(VLOOKUP($A2996,原始数据_收盘!$A$4:$G$3460,5,0),"")</f>
        <v>3.0213</v>
      </c>
      <c r="F2996">
        <f>IFERROR(VLOOKUP($A2996,原始数据_收盘!$A$4:$G$3460,6,0),"")</f>
        <v>2.6669</v>
      </c>
      <c r="G2996">
        <f>IFERROR(VLOOKUP($A2996,原始数据_收盘!$A$4:$G$3460,7,0),"")</f>
        <v>2.9881</v>
      </c>
      <c r="H2996">
        <f>IFERROR(VLOOKUP($A2996,原始数据_利率互换_FR007_1年!$A$6:$C$4395,2,0),"")</f>
        <v>2.6833</v>
      </c>
      <c r="I2996">
        <f>IFERROR(VLOOKUP($A2996,原始数据_利率互换_FR007_1年!$A$6:$C$4395,3,0),"")</f>
        <v>2.9863</v>
      </c>
    </row>
    <row r="2997" spans="1:9">
      <c r="A2997" s="6">
        <v>42490</v>
      </c>
      <c r="B2997" t="str">
        <f>IFERROR(VLOOKUP($A2997,原始数据_收盘!$A$4:$G$3460,2,0),"")</f>
        <v/>
      </c>
      <c r="C2997" t="str">
        <f>IFERROR(VLOOKUP($A2997,原始数据_收盘!$A$4:$G$3460,3,0),"")</f>
        <v/>
      </c>
      <c r="D2997" t="str">
        <f>IFERROR(VLOOKUP($A2997,原始数据_收盘!$A$4:$G$3460,4,0),"")</f>
        <v/>
      </c>
      <c r="E2997" t="str">
        <f>IFERROR(VLOOKUP($A2997,原始数据_收盘!$A$4:$G$3460,5,0),"")</f>
        <v/>
      </c>
      <c r="F2997" t="str">
        <f>IFERROR(VLOOKUP($A2997,原始数据_收盘!$A$4:$G$3460,6,0),"")</f>
        <v/>
      </c>
      <c r="G2997" t="str">
        <f>IFERROR(VLOOKUP($A2997,原始数据_收盘!$A$4:$G$3460,7,0),"")</f>
        <v/>
      </c>
      <c r="H2997" t="str">
        <f>IFERROR(VLOOKUP($A2997,原始数据_利率互换_FR007_1年!$A$6:$C$4395,2,0),"")</f>
        <v/>
      </c>
      <c r="I2997" t="str">
        <f>IFERROR(VLOOKUP($A2997,原始数据_利率互换_FR007_1年!$A$6:$C$4395,3,0),"")</f>
        <v/>
      </c>
    </row>
    <row r="2998" spans="1:9">
      <c r="A2998" s="6">
        <v>42491</v>
      </c>
      <c r="B2998" t="str">
        <f>IFERROR(VLOOKUP($A2998,原始数据_收盘!$A$4:$G$3460,2,0),"")</f>
        <v/>
      </c>
      <c r="C2998" t="str">
        <f>IFERROR(VLOOKUP($A2998,原始数据_收盘!$A$4:$G$3460,3,0),"")</f>
        <v/>
      </c>
      <c r="D2998" t="str">
        <f>IFERROR(VLOOKUP($A2998,原始数据_收盘!$A$4:$G$3460,4,0),"")</f>
        <v/>
      </c>
      <c r="E2998" t="str">
        <f>IFERROR(VLOOKUP($A2998,原始数据_收盘!$A$4:$G$3460,5,0),"")</f>
        <v/>
      </c>
      <c r="F2998" t="str">
        <f>IFERROR(VLOOKUP($A2998,原始数据_收盘!$A$4:$G$3460,6,0),"")</f>
        <v/>
      </c>
      <c r="G2998" t="str">
        <f>IFERROR(VLOOKUP($A2998,原始数据_收盘!$A$4:$G$3460,7,0),"")</f>
        <v/>
      </c>
      <c r="H2998" t="str">
        <f>IFERROR(VLOOKUP($A2998,原始数据_利率互换_FR007_1年!$A$6:$C$4395,2,0),"")</f>
        <v/>
      </c>
      <c r="I2998" t="str">
        <f>IFERROR(VLOOKUP($A2998,原始数据_利率互换_FR007_1年!$A$6:$C$4395,3,0),"")</f>
        <v/>
      </c>
    </row>
    <row r="2999" spans="1:9">
      <c r="A2999" s="6">
        <v>42492</v>
      </c>
      <c r="B2999" t="str">
        <f>IFERROR(VLOOKUP($A2999,原始数据_收盘!$A$4:$G$3460,2,0),"")</f>
        <v/>
      </c>
      <c r="C2999" t="str">
        <f>IFERROR(VLOOKUP($A2999,原始数据_收盘!$A$4:$G$3460,3,0),"")</f>
        <v/>
      </c>
      <c r="D2999" t="str">
        <f>IFERROR(VLOOKUP($A2999,原始数据_收盘!$A$4:$G$3460,4,0),"")</f>
        <v/>
      </c>
      <c r="E2999" t="str">
        <f>IFERROR(VLOOKUP($A2999,原始数据_收盘!$A$4:$G$3460,5,0),"")</f>
        <v/>
      </c>
      <c r="F2999" t="str">
        <f>IFERROR(VLOOKUP($A2999,原始数据_收盘!$A$4:$G$3460,6,0),"")</f>
        <v/>
      </c>
      <c r="G2999" t="str">
        <f>IFERROR(VLOOKUP($A2999,原始数据_收盘!$A$4:$G$3460,7,0),"")</f>
        <v/>
      </c>
      <c r="H2999" t="str">
        <f>IFERROR(VLOOKUP($A2999,原始数据_利率互换_FR007_1年!$A$6:$C$4395,2,0),"")</f>
        <v/>
      </c>
      <c r="I2999" t="str">
        <f>IFERROR(VLOOKUP($A2999,原始数据_利率互换_FR007_1年!$A$6:$C$4395,3,0),"")</f>
        <v/>
      </c>
    </row>
    <row r="3000" spans="1:9">
      <c r="A3000" s="6">
        <v>42493</v>
      </c>
      <c r="B3000">
        <f>IFERROR(VLOOKUP($A3000,原始数据_收盘!$A$4:$G$3460,2,0),"")</f>
        <v>2.5088</v>
      </c>
      <c r="C3000">
        <f>IFERROR(VLOOKUP($A3000,原始数据_收盘!$A$4:$G$3460,3,0),"")</f>
        <v>2.8441</v>
      </c>
      <c r="D3000">
        <f>IFERROR(VLOOKUP($A3000,原始数据_收盘!$A$4:$G$3460,4,0),"")</f>
        <v>2.5616</v>
      </c>
      <c r="E3000">
        <f>IFERROR(VLOOKUP($A3000,原始数据_收盘!$A$4:$G$3460,5,0),"")</f>
        <v>2.9113</v>
      </c>
      <c r="F3000">
        <f>IFERROR(VLOOKUP($A3000,原始数据_收盘!$A$4:$G$3460,6,0),"")</f>
        <v>2.5352</v>
      </c>
      <c r="G3000">
        <f>IFERROR(VLOOKUP($A3000,原始数据_收盘!$A$4:$G$3460,7,0),"")</f>
        <v>2.8777</v>
      </c>
      <c r="H3000">
        <f>IFERROR(VLOOKUP($A3000,原始数据_利率互换_FR007_1年!$A$6:$C$4395,2,0),"")</f>
        <v>2.547</v>
      </c>
      <c r="I3000">
        <f>IFERROR(VLOOKUP($A3000,原始数据_利率互换_FR007_1年!$A$6:$C$4395,3,0),"")</f>
        <v>2.8891</v>
      </c>
    </row>
    <row r="3001" spans="1:9">
      <c r="A3001" s="6">
        <v>42494</v>
      </c>
      <c r="B3001">
        <f>IFERROR(VLOOKUP($A3001,原始数据_收盘!$A$4:$G$3460,2,0),"")</f>
        <v>2.4925</v>
      </c>
      <c r="C3001">
        <f>IFERROR(VLOOKUP($A3001,原始数据_收盘!$A$4:$G$3460,3,0),"")</f>
        <v>2.8313</v>
      </c>
      <c r="D3001">
        <f>IFERROR(VLOOKUP($A3001,原始数据_收盘!$A$4:$G$3460,4,0),"")</f>
        <v>2.5404</v>
      </c>
      <c r="E3001">
        <f>IFERROR(VLOOKUP($A3001,原始数据_收盘!$A$4:$G$3460,5,0),"")</f>
        <v>2.895</v>
      </c>
      <c r="F3001">
        <f>IFERROR(VLOOKUP($A3001,原始数据_收盘!$A$4:$G$3460,6,0),"")</f>
        <v>2.5164</v>
      </c>
      <c r="G3001">
        <f>IFERROR(VLOOKUP($A3001,原始数据_收盘!$A$4:$G$3460,7,0),"")</f>
        <v>2.8631</v>
      </c>
      <c r="H3001">
        <f>IFERROR(VLOOKUP($A3001,原始数据_利率互换_FR007_1年!$A$6:$C$4395,2,0),"")</f>
        <v>2.5099</v>
      </c>
      <c r="I3001">
        <f>IFERROR(VLOOKUP($A3001,原始数据_利率互换_FR007_1年!$A$6:$C$4395,3,0),"")</f>
        <v>2.8628</v>
      </c>
    </row>
    <row r="3002" spans="1:9">
      <c r="A3002" s="6">
        <v>42495</v>
      </c>
      <c r="B3002">
        <f>IFERROR(VLOOKUP($A3002,原始数据_收盘!$A$4:$G$3460,2,0),"")</f>
        <v>2.4963</v>
      </c>
      <c r="C3002">
        <f>IFERROR(VLOOKUP($A3002,原始数据_收盘!$A$4:$G$3460,3,0),"")</f>
        <v>2.835</v>
      </c>
      <c r="D3002">
        <f>IFERROR(VLOOKUP($A3002,原始数据_收盘!$A$4:$G$3460,4,0),"")</f>
        <v>2.5421</v>
      </c>
      <c r="E3002">
        <f>IFERROR(VLOOKUP($A3002,原始数据_收盘!$A$4:$G$3460,5,0),"")</f>
        <v>2.8966</v>
      </c>
      <c r="F3002">
        <f>IFERROR(VLOOKUP($A3002,原始数据_收盘!$A$4:$G$3460,6,0),"")</f>
        <v>2.5192</v>
      </c>
      <c r="G3002">
        <f>IFERROR(VLOOKUP($A3002,原始数据_收盘!$A$4:$G$3460,7,0),"")</f>
        <v>2.8658</v>
      </c>
      <c r="H3002">
        <f>IFERROR(VLOOKUP($A3002,原始数据_利率互换_FR007_1年!$A$6:$C$4395,2,0),"")</f>
        <v>2.5135</v>
      </c>
      <c r="I3002">
        <f>IFERROR(VLOOKUP($A3002,原始数据_利率互换_FR007_1年!$A$6:$C$4395,3,0),"")</f>
        <v>2.8609</v>
      </c>
    </row>
    <row r="3003" spans="1:9">
      <c r="A3003" s="6">
        <v>42496</v>
      </c>
      <c r="B3003">
        <f>IFERROR(VLOOKUP($A3003,原始数据_收盘!$A$4:$G$3460,2,0),"")</f>
        <v>2.4884</v>
      </c>
      <c r="C3003">
        <f>IFERROR(VLOOKUP($A3003,原始数据_收盘!$A$4:$G$3460,3,0),"")</f>
        <v>2.8279</v>
      </c>
      <c r="D3003">
        <f>IFERROR(VLOOKUP($A3003,原始数据_收盘!$A$4:$G$3460,4,0),"")</f>
        <v>2.5459</v>
      </c>
      <c r="E3003">
        <f>IFERROR(VLOOKUP($A3003,原始数据_收盘!$A$4:$G$3460,5,0),"")</f>
        <v>2.8991</v>
      </c>
      <c r="F3003">
        <f>IFERROR(VLOOKUP($A3003,原始数据_收盘!$A$4:$G$3460,6,0),"")</f>
        <v>2.5171</v>
      </c>
      <c r="G3003">
        <f>IFERROR(VLOOKUP($A3003,原始数据_收盘!$A$4:$G$3460,7,0),"")</f>
        <v>2.8635</v>
      </c>
      <c r="H3003">
        <f>IFERROR(VLOOKUP($A3003,原始数据_利率互换_FR007_1年!$A$6:$C$4395,2,0),"")</f>
        <v>2.5223</v>
      </c>
      <c r="I3003">
        <f>IFERROR(VLOOKUP($A3003,原始数据_利率互换_FR007_1年!$A$6:$C$4395,3,0),"")</f>
        <v>2.8679</v>
      </c>
    </row>
    <row r="3004" spans="1:9">
      <c r="A3004" s="6">
        <v>42497</v>
      </c>
      <c r="B3004" t="str">
        <f>IFERROR(VLOOKUP($A3004,原始数据_收盘!$A$4:$G$3460,2,0),"")</f>
        <v/>
      </c>
      <c r="C3004" t="str">
        <f>IFERROR(VLOOKUP($A3004,原始数据_收盘!$A$4:$G$3460,3,0),"")</f>
        <v/>
      </c>
      <c r="D3004" t="str">
        <f>IFERROR(VLOOKUP($A3004,原始数据_收盘!$A$4:$G$3460,4,0),"")</f>
        <v/>
      </c>
      <c r="E3004" t="str">
        <f>IFERROR(VLOOKUP($A3004,原始数据_收盘!$A$4:$G$3460,5,0),"")</f>
        <v/>
      </c>
      <c r="F3004" t="str">
        <f>IFERROR(VLOOKUP($A3004,原始数据_收盘!$A$4:$G$3460,6,0),"")</f>
        <v/>
      </c>
      <c r="G3004" t="str">
        <f>IFERROR(VLOOKUP($A3004,原始数据_收盘!$A$4:$G$3460,7,0),"")</f>
        <v/>
      </c>
      <c r="H3004" t="str">
        <f>IFERROR(VLOOKUP($A3004,原始数据_利率互换_FR007_1年!$A$6:$C$4395,2,0),"")</f>
        <v/>
      </c>
      <c r="I3004" t="str">
        <f>IFERROR(VLOOKUP($A3004,原始数据_利率互换_FR007_1年!$A$6:$C$4395,3,0),"")</f>
        <v/>
      </c>
    </row>
    <row r="3005" spans="1:9">
      <c r="A3005" s="6">
        <v>42498</v>
      </c>
      <c r="B3005" t="str">
        <f>IFERROR(VLOOKUP($A3005,原始数据_收盘!$A$4:$G$3460,2,0),"")</f>
        <v/>
      </c>
      <c r="C3005" t="str">
        <f>IFERROR(VLOOKUP($A3005,原始数据_收盘!$A$4:$G$3460,3,0),"")</f>
        <v/>
      </c>
      <c r="D3005" t="str">
        <f>IFERROR(VLOOKUP($A3005,原始数据_收盘!$A$4:$G$3460,4,0),"")</f>
        <v/>
      </c>
      <c r="E3005" t="str">
        <f>IFERROR(VLOOKUP($A3005,原始数据_收盘!$A$4:$G$3460,5,0),"")</f>
        <v/>
      </c>
      <c r="F3005" t="str">
        <f>IFERROR(VLOOKUP($A3005,原始数据_收盘!$A$4:$G$3460,6,0),"")</f>
        <v/>
      </c>
      <c r="G3005" t="str">
        <f>IFERROR(VLOOKUP($A3005,原始数据_收盘!$A$4:$G$3460,7,0),"")</f>
        <v/>
      </c>
      <c r="H3005" t="str">
        <f>IFERROR(VLOOKUP($A3005,原始数据_利率互换_FR007_1年!$A$6:$C$4395,2,0),"")</f>
        <v/>
      </c>
      <c r="I3005" t="str">
        <f>IFERROR(VLOOKUP($A3005,原始数据_利率互换_FR007_1年!$A$6:$C$4395,3,0),"")</f>
        <v/>
      </c>
    </row>
    <row r="3006" spans="1:9">
      <c r="A3006" s="6">
        <v>42499</v>
      </c>
      <c r="B3006">
        <f>IFERROR(VLOOKUP($A3006,原始数据_收盘!$A$4:$G$3460,2,0),"")</f>
        <v>2.4638</v>
      </c>
      <c r="C3006">
        <f>IFERROR(VLOOKUP($A3006,原始数据_收盘!$A$4:$G$3460,3,0),"")</f>
        <v>2.7663</v>
      </c>
      <c r="D3006">
        <f>IFERROR(VLOOKUP($A3006,原始数据_收盘!$A$4:$G$3460,4,0),"")</f>
        <v>2.5206</v>
      </c>
      <c r="E3006">
        <f>IFERROR(VLOOKUP($A3006,原始数据_收盘!$A$4:$G$3460,5,0),"")</f>
        <v>2.8416</v>
      </c>
      <c r="F3006">
        <f>IFERROR(VLOOKUP($A3006,原始数据_收盘!$A$4:$G$3460,6,0),"")</f>
        <v>2.4922</v>
      </c>
      <c r="G3006">
        <f>IFERROR(VLOOKUP($A3006,原始数据_收盘!$A$4:$G$3460,7,0),"")</f>
        <v>2.8039</v>
      </c>
      <c r="H3006">
        <f>IFERROR(VLOOKUP($A3006,原始数据_利率互换_FR007_1年!$A$6:$C$4395,2,0),"")</f>
        <v>2.4911</v>
      </c>
      <c r="I3006">
        <f>IFERROR(VLOOKUP($A3006,原始数据_利率互换_FR007_1年!$A$6:$C$4395,3,0),"")</f>
        <v>2.8211</v>
      </c>
    </row>
    <row r="3007" spans="1:9">
      <c r="A3007" s="6">
        <v>42500</v>
      </c>
      <c r="B3007">
        <f>IFERROR(VLOOKUP($A3007,原始数据_收盘!$A$4:$G$3460,2,0),"")</f>
        <v>2.4734</v>
      </c>
      <c r="C3007">
        <f>IFERROR(VLOOKUP($A3007,原始数据_收盘!$A$4:$G$3460,3,0),"")</f>
        <v>2.7679</v>
      </c>
      <c r="D3007">
        <f>IFERROR(VLOOKUP($A3007,原始数据_收盘!$A$4:$G$3460,4,0),"")</f>
        <v>2.5231</v>
      </c>
      <c r="E3007">
        <f>IFERROR(VLOOKUP($A3007,原始数据_收盘!$A$4:$G$3460,5,0),"")</f>
        <v>2.8363</v>
      </c>
      <c r="F3007">
        <f>IFERROR(VLOOKUP($A3007,原始数据_收盘!$A$4:$G$3460,6,0),"")</f>
        <v>2.4983</v>
      </c>
      <c r="G3007">
        <f>IFERROR(VLOOKUP($A3007,原始数据_收盘!$A$4:$G$3460,7,0),"")</f>
        <v>2.8021</v>
      </c>
      <c r="H3007">
        <f>IFERROR(VLOOKUP($A3007,原始数据_利率互换_FR007_1年!$A$6:$C$4395,2,0),"")</f>
        <v>2.4937</v>
      </c>
      <c r="I3007">
        <f>IFERROR(VLOOKUP($A3007,原始数据_利率互换_FR007_1年!$A$6:$C$4395,3,0),"")</f>
        <v>2.7939</v>
      </c>
    </row>
    <row r="3008" spans="1:9">
      <c r="A3008" s="6">
        <v>42501</v>
      </c>
      <c r="B3008">
        <f>IFERROR(VLOOKUP($A3008,原始数据_收盘!$A$4:$G$3460,2,0),"")</f>
        <v>2.4933</v>
      </c>
      <c r="C3008">
        <f>IFERROR(VLOOKUP($A3008,原始数据_收盘!$A$4:$G$3460,3,0),"")</f>
        <v>2.7956</v>
      </c>
      <c r="D3008">
        <f>IFERROR(VLOOKUP($A3008,原始数据_收盘!$A$4:$G$3460,4,0),"")</f>
        <v>2.5461</v>
      </c>
      <c r="E3008">
        <f>IFERROR(VLOOKUP($A3008,原始数据_收盘!$A$4:$G$3460,5,0),"")</f>
        <v>2.8511</v>
      </c>
      <c r="F3008">
        <f>IFERROR(VLOOKUP($A3008,原始数据_收盘!$A$4:$G$3460,6,0),"")</f>
        <v>2.5197</v>
      </c>
      <c r="G3008">
        <f>IFERROR(VLOOKUP($A3008,原始数据_收盘!$A$4:$G$3460,7,0),"")</f>
        <v>2.8233</v>
      </c>
      <c r="H3008">
        <f>IFERROR(VLOOKUP($A3008,原始数据_利率互换_FR007_1年!$A$6:$C$4395,2,0),"")</f>
        <v>2.5214</v>
      </c>
      <c r="I3008">
        <f>IFERROR(VLOOKUP($A3008,原始数据_利率互换_FR007_1年!$A$6:$C$4395,3,0),"")</f>
        <v>2.8134</v>
      </c>
    </row>
    <row r="3009" spans="1:9">
      <c r="A3009" s="6">
        <v>42502</v>
      </c>
      <c r="B3009">
        <f>IFERROR(VLOOKUP($A3009,原始数据_收盘!$A$4:$G$3460,2,0),"")</f>
        <v>2.495</v>
      </c>
      <c r="C3009">
        <f>IFERROR(VLOOKUP($A3009,原始数据_收盘!$A$4:$G$3460,3,0),"")</f>
        <v>2.7938</v>
      </c>
      <c r="D3009">
        <f>IFERROR(VLOOKUP($A3009,原始数据_收盘!$A$4:$G$3460,4,0),"")</f>
        <v>2.5369</v>
      </c>
      <c r="E3009">
        <f>IFERROR(VLOOKUP($A3009,原始数据_收盘!$A$4:$G$3460,5,0),"")</f>
        <v>2.84</v>
      </c>
      <c r="F3009">
        <f>IFERROR(VLOOKUP($A3009,原始数据_收盘!$A$4:$G$3460,6,0),"")</f>
        <v>2.5159</v>
      </c>
      <c r="G3009">
        <f>IFERROR(VLOOKUP($A3009,原始数据_收盘!$A$4:$G$3460,7,0),"")</f>
        <v>2.8169</v>
      </c>
      <c r="H3009">
        <f>IFERROR(VLOOKUP($A3009,原始数据_利率互换_FR007_1年!$A$6:$C$4395,2,0),"")</f>
        <v>2.5171</v>
      </c>
      <c r="I3009">
        <f>IFERROR(VLOOKUP($A3009,原始数据_利率互换_FR007_1年!$A$6:$C$4395,3,0),"")</f>
        <v>2.8095</v>
      </c>
    </row>
    <row r="3010" spans="1:9">
      <c r="A3010" s="6">
        <v>42503</v>
      </c>
      <c r="B3010">
        <f>IFERROR(VLOOKUP($A3010,原始数据_收盘!$A$4:$G$3460,2,0),"")</f>
        <v>2.5063</v>
      </c>
      <c r="C3010">
        <f>IFERROR(VLOOKUP($A3010,原始数据_收盘!$A$4:$G$3460,3,0),"")</f>
        <v>2.7979</v>
      </c>
      <c r="D3010">
        <f>IFERROR(VLOOKUP($A3010,原始数据_收盘!$A$4:$G$3460,4,0),"")</f>
        <v>2.56</v>
      </c>
      <c r="E3010">
        <f>IFERROR(VLOOKUP($A3010,原始数据_收盘!$A$4:$G$3460,5,0),"")</f>
        <v>2.8588</v>
      </c>
      <c r="F3010">
        <f>IFERROR(VLOOKUP($A3010,原始数据_收盘!$A$4:$G$3460,6,0),"")</f>
        <v>2.5331</v>
      </c>
      <c r="G3010">
        <f>IFERROR(VLOOKUP($A3010,原始数据_收盘!$A$4:$G$3460,7,0),"")</f>
        <v>2.8283</v>
      </c>
      <c r="H3010">
        <f>IFERROR(VLOOKUP($A3010,原始数据_利率互换_FR007_1年!$A$6:$C$4395,2,0),"")</f>
        <v>2.5363</v>
      </c>
      <c r="I3010">
        <f>IFERROR(VLOOKUP($A3010,原始数据_利率互换_FR007_1年!$A$6:$C$4395,3,0),"")</f>
        <v>2.8199</v>
      </c>
    </row>
    <row r="3011" spans="1:9">
      <c r="A3011" s="6">
        <v>42504</v>
      </c>
      <c r="B3011" t="str">
        <f>IFERROR(VLOOKUP($A3011,原始数据_收盘!$A$4:$G$3460,2,0),"")</f>
        <v/>
      </c>
      <c r="C3011" t="str">
        <f>IFERROR(VLOOKUP($A3011,原始数据_收盘!$A$4:$G$3460,3,0),"")</f>
        <v/>
      </c>
      <c r="D3011" t="str">
        <f>IFERROR(VLOOKUP($A3011,原始数据_收盘!$A$4:$G$3460,4,0),"")</f>
        <v/>
      </c>
      <c r="E3011" t="str">
        <f>IFERROR(VLOOKUP($A3011,原始数据_收盘!$A$4:$G$3460,5,0),"")</f>
        <v/>
      </c>
      <c r="F3011" t="str">
        <f>IFERROR(VLOOKUP($A3011,原始数据_收盘!$A$4:$G$3460,6,0),"")</f>
        <v/>
      </c>
      <c r="G3011" t="str">
        <f>IFERROR(VLOOKUP($A3011,原始数据_收盘!$A$4:$G$3460,7,0),"")</f>
        <v/>
      </c>
      <c r="H3011" t="str">
        <f>IFERROR(VLOOKUP($A3011,原始数据_利率互换_FR007_1年!$A$6:$C$4395,2,0),"")</f>
        <v/>
      </c>
      <c r="I3011" t="str">
        <f>IFERROR(VLOOKUP($A3011,原始数据_利率互换_FR007_1年!$A$6:$C$4395,3,0),"")</f>
        <v/>
      </c>
    </row>
    <row r="3012" spans="1:9">
      <c r="A3012" s="6">
        <v>42505</v>
      </c>
      <c r="B3012" t="str">
        <f>IFERROR(VLOOKUP($A3012,原始数据_收盘!$A$4:$G$3460,2,0),"")</f>
        <v/>
      </c>
      <c r="C3012" t="str">
        <f>IFERROR(VLOOKUP($A3012,原始数据_收盘!$A$4:$G$3460,3,0),"")</f>
        <v/>
      </c>
      <c r="D3012" t="str">
        <f>IFERROR(VLOOKUP($A3012,原始数据_收盘!$A$4:$G$3460,4,0),"")</f>
        <v/>
      </c>
      <c r="E3012" t="str">
        <f>IFERROR(VLOOKUP($A3012,原始数据_收盘!$A$4:$G$3460,5,0),"")</f>
        <v/>
      </c>
      <c r="F3012" t="str">
        <f>IFERROR(VLOOKUP($A3012,原始数据_收盘!$A$4:$G$3460,6,0),"")</f>
        <v/>
      </c>
      <c r="G3012" t="str">
        <f>IFERROR(VLOOKUP($A3012,原始数据_收盘!$A$4:$G$3460,7,0),"")</f>
        <v/>
      </c>
      <c r="H3012" t="str">
        <f>IFERROR(VLOOKUP($A3012,原始数据_利率互换_FR007_1年!$A$6:$C$4395,2,0),"")</f>
        <v/>
      </c>
      <c r="I3012" t="str">
        <f>IFERROR(VLOOKUP($A3012,原始数据_利率互换_FR007_1年!$A$6:$C$4395,3,0),"")</f>
        <v/>
      </c>
    </row>
    <row r="3013" spans="1:9">
      <c r="A3013" s="6">
        <v>42506</v>
      </c>
      <c r="B3013">
        <f>IFERROR(VLOOKUP($A3013,原始数据_收盘!$A$4:$G$3460,2,0),"")</f>
        <v>2.5438</v>
      </c>
      <c r="C3013">
        <f>IFERROR(VLOOKUP($A3013,原始数据_收盘!$A$4:$G$3460,3,0),"")</f>
        <v>2.8538</v>
      </c>
      <c r="D3013">
        <f>IFERROR(VLOOKUP($A3013,原始数据_收盘!$A$4:$G$3460,4,0),"")</f>
        <v>2.5938</v>
      </c>
      <c r="E3013">
        <f>IFERROR(VLOOKUP($A3013,原始数据_收盘!$A$4:$G$3460,5,0),"")</f>
        <v>2.9013</v>
      </c>
      <c r="F3013">
        <f>IFERROR(VLOOKUP($A3013,原始数据_收盘!$A$4:$G$3460,6,0),"")</f>
        <v>2.5688</v>
      </c>
      <c r="G3013">
        <f>IFERROR(VLOOKUP($A3013,原始数据_收盘!$A$4:$G$3460,7,0),"")</f>
        <v>2.8775</v>
      </c>
      <c r="H3013">
        <f>IFERROR(VLOOKUP($A3013,原始数据_利率互换_FR007_1年!$A$6:$C$4395,2,0),"")</f>
        <v>2.5654</v>
      </c>
      <c r="I3013">
        <f>IFERROR(VLOOKUP($A3013,原始数据_利率互换_FR007_1年!$A$6:$C$4395,3,0),"")</f>
        <v>2.8528</v>
      </c>
    </row>
    <row r="3014" spans="1:9">
      <c r="A3014" s="6">
        <v>42507</v>
      </c>
      <c r="B3014">
        <f>IFERROR(VLOOKUP($A3014,原始数据_收盘!$A$4:$G$3460,2,0),"")</f>
        <v>2.5371</v>
      </c>
      <c r="C3014">
        <f>IFERROR(VLOOKUP($A3014,原始数据_收盘!$A$4:$G$3460,3,0),"")</f>
        <v>2.8454</v>
      </c>
      <c r="D3014">
        <f>IFERROR(VLOOKUP($A3014,原始数据_收盘!$A$4:$G$3460,4,0),"")</f>
        <v>2.59</v>
      </c>
      <c r="E3014">
        <f>IFERROR(VLOOKUP($A3014,原始数据_收盘!$A$4:$G$3460,5,0),"")</f>
        <v>2.905</v>
      </c>
      <c r="F3014">
        <f>IFERROR(VLOOKUP($A3014,原始数据_收盘!$A$4:$G$3460,6,0),"")</f>
        <v>2.5636</v>
      </c>
      <c r="G3014">
        <f>IFERROR(VLOOKUP($A3014,原始数据_收盘!$A$4:$G$3460,7,0),"")</f>
        <v>2.8752</v>
      </c>
      <c r="H3014">
        <f>IFERROR(VLOOKUP($A3014,原始数据_利率互换_FR007_1年!$A$6:$C$4395,2,0),"")</f>
        <v>2.5694</v>
      </c>
      <c r="I3014">
        <f>IFERROR(VLOOKUP($A3014,原始数据_利率互换_FR007_1年!$A$6:$C$4395,3,0),"")</f>
        <v>2.8815</v>
      </c>
    </row>
    <row r="3015" spans="1:9">
      <c r="A3015" s="6">
        <v>42508</v>
      </c>
      <c r="B3015">
        <f>IFERROR(VLOOKUP($A3015,原始数据_收盘!$A$4:$G$3460,2,0),"")</f>
        <v>2.5646</v>
      </c>
      <c r="C3015">
        <f>IFERROR(VLOOKUP($A3015,原始数据_收盘!$A$4:$G$3460,3,0),"")</f>
        <v>2.9038</v>
      </c>
      <c r="D3015">
        <f>IFERROR(VLOOKUP($A3015,原始数据_收盘!$A$4:$G$3460,4,0),"")</f>
        <v>2.6175</v>
      </c>
      <c r="E3015">
        <f>IFERROR(VLOOKUP($A3015,原始数据_收盘!$A$4:$G$3460,5,0),"")</f>
        <v>2.9575</v>
      </c>
      <c r="F3015">
        <f>IFERROR(VLOOKUP($A3015,原始数据_收盘!$A$4:$G$3460,6,0),"")</f>
        <v>2.5911</v>
      </c>
      <c r="G3015">
        <f>IFERROR(VLOOKUP($A3015,原始数据_收盘!$A$4:$G$3460,7,0),"")</f>
        <v>2.9306</v>
      </c>
      <c r="H3015">
        <f>IFERROR(VLOOKUP($A3015,原始数据_利率互换_FR007_1年!$A$6:$C$4395,2,0),"")</f>
        <v>2.5936</v>
      </c>
      <c r="I3015">
        <f>IFERROR(VLOOKUP($A3015,原始数据_利率互换_FR007_1年!$A$6:$C$4395,3,0),"")</f>
        <v>2.9317</v>
      </c>
    </row>
    <row r="3016" spans="1:9">
      <c r="A3016" s="6">
        <v>42509</v>
      </c>
      <c r="B3016">
        <f>IFERROR(VLOOKUP($A3016,原始数据_收盘!$A$4:$G$3460,2,0),"")</f>
        <v>2.5725</v>
      </c>
      <c r="C3016">
        <f>IFERROR(VLOOKUP($A3016,原始数据_收盘!$A$4:$G$3460,3,0),"")</f>
        <v>2.9213</v>
      </c>
      <c r="D3016">
        <f>IFERROR(VLOOKUP($A3016,原始数据_收盘!$A$4:$G$3460,4,0),"")</f>
        <v>2.6225</v>
      </c>
      <c r="E3016">
        <f>IFERROR(VLOOKUP($A3016,原始数据_收盘!$A$4:$G$3460,5,0),"")</f>
        <v>2.9788</v>
      </c>
      <c r="F3016">
        <f>IFERROR(VLOOKUP($A3016,原始数据_收盘!$A$4:$G$3460,6,0),"")</f>
        <v>2.5975</v>
      </c>
      <c r="G3016">
        <f>IFERROR(VLOOKUP($A3016,原始数据_收盘!$A$4:$G$3460,7,0),"")</f>
        <v>2.95</v>
      </c>
      <c r="H3016">
        <f>IFERROR(VLOOKUP($A3016,原始数据_利率互换_FR007_1年!$A$6:$C$4395,2,0),"")</f>
        <v>2.6048</v>
      </c>
      <c r="I3016">
        <f>IFERROR(VLOOKUP($A3016,原始数据_利率互换_FR007_1年!$A$6:$C$4395,3,0),"")</f>
        <v>2.9401</v>
      </c>
    </row>
    <row r="3017" spans="1:9">
      <c r="A3017" s="6">
        <v>42510</v>
      </c>
      <c r="B3017">
        <f>IFERROR(VLOOKUP($A3017,原始数据_收盘!$A$4:$G$3460,2,0),"")</f>
        <v>2.5525</v>
      </c>
      <c r="C3017">
        <f>IFERROR(VLOOKUP($A3017,原始数据_收盘!$A$4:$G$3460,3,0),"")</f>
        <v>2.8963</v>
      </c>
      <c r="D3017">
        <f>IFERROR(VLOOKUP($A3017,原始数据_收盘!$A$4:$G$3460,4,0),"")</f>
        <v>2.6038</v>
      </c>
      <c r="E3017">
        <f>IFERROR(VLOOKUP($A3017,原始数据_收盘!$A$4:$G$3460,5,0),"")</f>
        <v>2.9563</v>
      </c>
      <c r="F3017">
        <f>IFERROR(VLOOKUP($A3017,原始数据_收盘!$A$4:$G$3460,6,0),"")</f>
        <v>2.5781</v>
      </c>
      <c r="G3017">
        <f>IFERROR(VLOOKUP($A3017,原始数据_收盘!$A$4:$G$3460,7,0),"")</f>
        <v>2.9263</v>
      </c>
      <c r="H3017">
        <f>IFERROR(VLOOKUP($A3017,原始数据_利率互换_FR007_1年!$A$6:$C$4395,2,0),"")</f>
        <v>2.5857</v>
      </c>
      <c r="I3017">
        <f>IFERROR(VLOOKUP($A3017,原始数据_利率互换_FR007_1年!$A$6:$C$4395,3,0),"")</f>
        <v>2.9338</v>
      </c>
    </row>
    <row r="3018" spans="1:9">
      <c r="A3018" s="6">
        <v>42511</v>
      </c>
      <c r="B3018" t="str">
        <f>IFERROR(VLOOKUP($A3018,原始数据_收盘!$A$4:$G$3460,2,0),"")</f>
        <v/>
      </c>
      <c r="C3018" t="str">
        <f>IFERROR(VLOOKUP($A3018,原始数据_收盘!$A$4:$G$3460,3,0),"")</f>
        <v/>
      </c>
      <c r="D3018" t="str">
        <f>IFERROR(VLOOKUP($A3018,原始数据_收盘!$A$4:$G$3460,4,0),"")</f>
        <v/>
      </c>
      <c r="E3018" t="str">
        <f>IFERROR(VLOOKUP($A3018,原始数据_收盘!$A$4:$G$3460,5,0),"")</f>
        <v/>
      </c>
      <c r="F3018" t="str">
        <f>IFERROR(VLOOKUP($A3018,原始数据_收盘!$A$4:$G$3460,6,0),"")</f>
        <v/>
      </c>
      <c r="G3018" t="str">
        <f>IFERROR(VLOOKUP($A3018,原始数据_收盘!$A$4:$G$3460,7,0),"")</f>
        <v/>
      </c>
      <c r="H3018" t="str">
        <f>IFERROR(VLOOKUP($A3018,原始数据_利率互换_FR007_1年!$A$6:$C$4395,2,0),"")</f>
        <v/>
      </c>
      <c r="I3018" t="str">
        <f>IFERROR(VLOOKUP($A3018,原始数据_利率互换_FR007_1年!$A$6:$C$4395,3,0),"")</f>
        <v/>
      </c>
    </row>
    <row r="3019" spans="1:9">
      <c r="A3019" s="6">
        <v>42512</v>
      </c>
      <c r="B3019" t="str">
        <f>IFERROR(VLOOKUP($A3019,原始数据_收盘!$A$4:$G$3460,2,0),"")</f>
        <v/>
      </c>
      <c r="C3019" t="str">
        <f>IFERROR(VLOOKUP($A3019,原始数据_收盘!$A$4:$G$3460,3,0),"")</f>
        <v/>
      </c>
      <c r="D3019" t="str">
        <f>IFERROR(VLOOKUP($A3019,原始数据_收盘!$A$4:$G$3460,4,0),"")</f>
        <v/>
      </c>
      <c r="E3019" t="str">
        <f>IFERROR(VLOOKUP($A3019,原始数据_收盘!$A$4:$G$3460,5,0),"")</f>
        <v/>
      </c>
      <c r="F3019" t="str">
        <f>IFERROR(VLOOKUP($A3019,原始数据_收盘!$A$4:$G$3460,6,0),"")</f>
        <v/>
      </c>
      <c r="G3019" t="str">
        <f>IFERROR(VLOOKUP($A3019,原始数据_收盘!$A$4:$G$3460,7,0),"")</f>
        <v/>
      </c>
      <c r="H3019" t="str">
        <f>IFERROR(VLOOKUP($A3019,原始数据_利率互换_FR007_1年!$A$6:$C$4395,2,0),"")</f>
        <v/>
      </c>
      <c r="I3019" t="str">
        <f>IFERROR(VLOOKUP($A3019,原始数据_利率互换_FR007_1年!$A$6:$C$4395,3,0),"")</f>
        <v/>
      </c>
    </row>
    <row r="3020" spans="1:9">
      <c r="A3020" s="6">
        <v>42513</v>
      </c>
      <c r="B3020">
        <f>IFERROR(VLOOKUP($A3020,原始数据_收盘!$A$4:$G$3460,2,0),"")</f>
        <v>2.5526</v>
      </c>
      <c r="C3020">
        <f>IFERROR(VLOOKUP($A3020,原始数据_收盘!$A$4:$G$3460,3,0),"")</f>
        <v>2.8981</v>
      </c>
      <c r="D3020">
        <f>IFERROR(VLOOKUP($A3020,原始数据_收盘!$A$4:$G$3460,4,0),"")</f>
        <v>2.6033</v>
      </c>
      <c r="E3020">
        <f>IFERROR(VLOOKUP($A3020,原始数据_收盘!$A$4:$G$3460,5,0),"")</f>
        <v>2.9589</v>
      </c>
      <c r="F3020">
        <f>IFERROR(VLOOKUP($A3020,原始数据_收盘!$A$4:$G$3460,6,0),"")</f>
        <v>2.5779</v>
      </c>
      <c r="G3020">
        <f>IFERROR(VLOOKUP($A3020,原始数据_收盘!$A$4:$G$3460,7,0),"")</f>
        <v>2.9285</v>
      </c>
      <c r="H3020">
        <f>IFERROR(VLOOKUP($A3020,原始数据_利率互换_FR007_1年!$A$6:$C$4395,2,0),"")</f>
        <v>2.5885</v>
      </c>
      <c r="I3020">
        <f>IFERROR(VLOOKUP($A3020,原始数据_利率互换_FR007_1年!$A$6:$C$4395,3,0),"")</f>
        <v>2.934</v>
      </c>
    </row>
    <row r="3021" spans="1:9">
      <c r="A3021" s="6">
        <v>42514</v>
      </c>
      <c r="B3021">
        <f>IFERROR(VLOOKUP($A3021,原始数据_收盘!$A$4:$G$3460,2,0),"")</f>
        <v>2.5488</v>
      </c>
      <c r="C3021">
        <f>IFERROR(VLOOKUP($A3021,原始数据_收盘!$A$4:$G$3460,3,0),"")</f>
        <v>2.88</v>
      </c>
      <c r="D3021">
        <f>IFERROR(VLOOKUP($A3021,原始数据_收盘!$A$4:$G$3460,4,0),"")</f>
        <v>2.5988</v>
      </c>
      <c r="E3021">
        <f>IFERROR(VLOOKUP($A3021,原始数据_收盘!$A$4:$G$3460,5,0),"")</f>
        <v>2.9375</v>
      </c>
      <c r="F3021">
        <f>IFERROR(VLOOKUP($A3021,原始数据_收盘!$A$4:$G$3460,6,0),"")</f>
        <v>2.5738</v>
      </c>
      <c r="G3021">
        <f>IFERROR(VLOOKUP($A3021,原始数据_收盘!$A$4:$G$3460,7,0),"")</f>
        <v>2.9088</v>
      </c>
      <c r="H3021">
        <f>IFERROR(VLOOKUP($A3021,原始数据_利率互换_FR007_1年!$A$6:$C$4395,2,0),"")</f>
        <v>2.5725</v>
      </c>
      <c r="I3021">
        <f>IFERROR(VLOOKUP($A3021,原始数据_利率互换_FR007_1年!$A$6:$C$4395,3,0),"")</f>
        <v>2.9078</v>
      </c>
    </row>
    <row r="3022" spans="1:9">
      <c r="A3022" s="6">
        <v>42515</v>
      </c>
      <c r="B3022">
        <f>IFERROR(VLOOKUP($A3022,原始数据_收盘!$A$4:$G$3460,2,0),"")</f>
        <v>2.5434</v>
      </c>
      <c r="C3022">
        <f>IFERROR(VLOOKUP($A3022,原始数据_收盘!$A$4:$G$3460,3,0),"")</f>
        <v>2.8645</v>
      </c>
      <c r="D3022">
        <f>IFERROR(VLOOKUP($A3022,原始数据_收盘!$A$4:$G$3460,4,0),"")</f>
        <v>2.5945</v>
      </c>
      <c r="E3022">
        <f>IFERROR(VLOOKUP($A3022,原始数据_收盘!$A$4:$G$3460,5,0),"")</f>
        <v>2.9185</v>
      </c>
      <c r="F3022">
        <f>IFERROR(VLOOKUP($A3022,原始数据_收盘!$A$4:$G$3460,6,0),"")</f>
        <v>2.569</v>
      </c>
      <c r="G3022">
        <f>IFERROR(VLOOKUP($A3022,原始数据_收盘!$A$4:$G$3460,7,0),"")</f>
        <v>2.8915</v>
      </c>
      <c r="H3022">
        <f>IFERROR(VLOOKUP($A3022,原始数据_利率互换_FR007_1年!$A$6:$C$4395,2,0),"")</f>
        <v>2.5684</v>
      </c>
      <c r="I3022">
        <f>IFERROR(VLOOKUP($A3022,原始数据_利率互换_FR007_1年!$A$6:$C$4395,3,0),"")</f>
        <v>2.8862</v>
      </c>
    </row>
    <row r="3023" spans="1:9">
      <c r="A3023" s="6">
        <v>42516</v>
      </c>
      <c r="B3023">
        <f>IFERROR(VLOOKUP($A3023,原始数据_收盘!$A$4:$G$3460,2,0),"")</f>
        <v>2.5625</v>
      </c>
      <c r="C3023">
        <f>IFERROR(VLOOKUP($A3023,原始数据_收盘!$A$4:$G$3460,3,0),"")</f>
        <v>2.8875</v>
      </c>
      <c r="D3023">
        <f>IFERROR(VLOOKUP($A3023,原始数据_收盘!$A$4:$G$3460,4,0),"")</f>
        <v>2.6088</v>
      </c>
      <c r="E3023">
        <f>IFERROR(VLOOKUP($A3023,原始数据_收盘!$A$4:$G$3460,5,0),"")</f>
        <v>2.9375</v>
      </c>
      <c r="F3023">
        <f>IFERROR(VLOOKUP($A3023,原始数据_收盘!$A$4:$G$3460,6,0),"")</f>
        <v>2.5856</v>
      </c>
      <c r="G3023">
        <f>IFERROR(VLOOKUP($A3023,原始数据_收盘!$A$4:$G$3460,7,0),"")</f>
        <v>2.9125</v>
      </c>
      <c r="H3023">
        <f>IFERROR(VLOOKUP($A3023,原始数据_利率互换_FR007_1年!$A$6:$C$4395,2,0),"")</f>
        <v>2.5946</v>
      </c>
      <c r="I3023">
        <f>IFERROR(VLOOKUP($A3023,原始数据_利率互换_FR007_1年!$A$6:$C$4395,3,0),"")</f>
        <v>2.9063</v>
      </c>
    </row>
    <row r="3024" spans="1:9">
      <c r="A3024" s="6">
        <v>42517</v>
      </c>
      <c r="B3024">
        <f>IFERROR(VLOOKUP($A3024,原始数据_收盘!$A$4:$G$3460,2,0),"")</f>
        <v>2.5613</v>
      </c>
      <c r="C3024">
        <f>IFERROR(VLOOKUP($A3024,原始数据_收盘!$A$4:$G$3460,3,0),"")</f>
        <v>2.885</v>
      </c>
      <c r="D3024">
        <f>IFERROR(VLOOKUP($A3024,原始数据_收盘!$A$4:$G$3460,4,0),"")</f>
        <v>2.6088</v>
      </c>
      <c r="E3024">
        <f>IFERROR(VLOOKUP($A3024,原始数据_收盘!$A$4:$G$3460,5,0),"")</f>
        <v>2.9388</v>
      </c>
      <c r="F3024">
        <f>IFERROR(VLOOKUP($A3024,原始数据_收盘!$A$4:$G$3460,6,0),"")</f>
        <v>2.585</v>
      </c>
      <c r="G3024">
        <f>IFERROR(VLOOKUP($A3024,原始数据_收盘!$A$4:$G$3460,7,0),"")</f>
        <v>2.9119</v>
      </c>
      <c r="H3024">
        <f>IFERROR(VLOOKUP($A3024,原始数据_利率互换_FR007_1年!$A$6:$C$4395,2,0),"")</f>
        <v>2.5924</v>
      </c>
      <c r="I3024">
        <f>IFERROR(VLOOKUP($A3024,原始数据_利率互换_FR007_1年!$A$6:$C$4395,3,0),"")</f>
        <v>2.923</v>
      </c>
    </row>
    <row r="3025" spans="1:9">
      <c r="A3025" s="6">
        <v>42518</v>
      </c>
      <c r="B3025" t="str">
        <f>IFERROR(VLOOKUP($A3025,原始数据_收盘!$A$4:$G$3460,2,0),"")</f>
        <v/>
      </c>
      <c r="C3025" t="str">
        <f>IFERROR(VLOOKUP($A3025,原始数据_收盘!$A$4:$G$3460,3,0),"")</f>
        <v/>
      </c>
      <c r="D3025" t="str">
        <f>IFERROR(VLOOKUP($A3025,原始数据_收盘!$A$4:$G$3460,4,0),"")</f>
        <v/>
      </c>
      <c r="E3025" t="str">
        <f>IFERROR(VLOOKUP($A3025,原始数据_收盘!$A$4:$G$3460,5,0),"")</f>
        <v/>
      </c>
      <c r="F3025" t="str">
        <f>IFERROR(VLOOKUP($A3025,原始数据_收盘!$A$4:$G$3460,6,0),"")</f>
        <v/>
      </c>
      <c r="G3025" t="str">
        <f>IFERROR(VLOOKUP($A3025,原始数据_收盘!$A$4:$G$3460,7,0),"")</f>
        <v/>
      </c>
      <c r="H3025" t="str">
        <f>IFERROR(VLOOKUP($A3025,原始数据_利率互换_FR007_1年!$A$6:$C$4395,2,0),"")</f>
        <v/>
      </c>
      <c r="I3025" t="str">
        <f>IFERROR(VLOOKUP($A3025,原始数据_利率互换_FR007_1年!$A$6:$C$4395,3,0),"")</f>
        <v/>
      </c>
    </row>
    <row r="3026" spans="1:9">
      <c r="A3026" s="6">
        <v>42519</v>
      </c>
      <c r="B3026" t="str">
        <f>IFERROR(VLOOKUP($A3026,原始数据_收盘!$A$4:$G$3460,2,0),"")</f>
        <v/>
      </c>
      <c r="C3026" t="str">
        <f>IFERROR(VLOOKUP($A3026,原始数据_收盘!$A$4:$G$3460,3,0),"")</f>
        <v/>
      </c>
      <c r="D3026" t="str">
        <f>IFERROR(VLOOKUP($A3026,原始数据_收盘!$A$4:$G$3460,4,0),"")</f>
        <v/>
      </c>
      <c r="E3026" t="str">
        <f>IFERROR(VLOOKUP($A3026,原始数据_收盘!$A$4:$G$3460,5,0),"")</f>
        <v/>
      </c>
      <c r="F3026" t="str">
        <f>IFERROR(VLOOKUP($A3026,原始数据_收盘!$A$4:$G$3460,6,0),"")</f>
        <v/>
      </c>
      <c r="G3026" t="str">
        <f>IFERROR(VLOOKUP($A3026,原始数据_收盘!$A$4:$G$3460,7,0),"")</f>
        <v/>
      </c>
      <c r="H3026" t="str">
        <f>IFERROR(VLOOKUP($A3026,原始数据_利率互换_FR007_1年!$A$6:$C$4395,2,0),"")</f>
        <v/>
      </c>
      <c r="I3026" t="str">
        <f>IFERROR(VLOOKUP($A3026,原始数据_利率互换_FR007_1年!$A$6:$C$4395,3,0),"")</f>
        <v/>
      </c>
    </row>
    <row r="3027" spans="1:9">
      <c r="A3027" s="6">
        <v>42520</v>
      </c>
      <c r="B3027">
        <f>IFERROR(VLOOKUP($A3027,原始数据_收盘!$A$4:$G$3460,2,0),"")</f>
        <v>2.5734</v>
      </c>
      <c r="C3027">
        <f>IFERROR(VLOOKUP($A3027,原始数据_收盘!$A$4:$G$3460,3,0),"")</f>
        <v>2.9</v>
      </c>
      <c r="D3027">
        <f>IFERROR(VLOOKUP($A3027,原始数据_收盘!$A$4:$G$3460,4,0),"")</f>
        <v>2.6188</v>
      </c>
      <c r="E3027">
        <f>IFERROR(VLOOKUP($A3027,原始数据_收盘!$A$4:$G$3460,5,0),"")</f>
        <v>2.9538</v>
      </c>
      <c r="F3027">
        <f>IFERROR(VLOOKUP($A3027,原始数据_收盘!$A$4:$G$3460,6,0),"")</f>
        <v>2.5961</v>
      </c>
      <c r="G3027">
        <f>IFERROR(VLOOKUP($A3027,原始数据_收盘!$A$4:$G$3460,7,0),"")</f>
        <v>2.9269</v>
      </c>
      <c r="H3027">
        <f>IFERROR(VLOOKUP($A3027,原始数据_利率互换_FR007_1年!$A$6:$C$4395,2,0),"")</f>
        <v>2.5983</v>
      </c>
      <c r="I3027">
        <f>IFERROR(VLOOKUP($A3027,原始数据_利率互换_FR007_1年!$A$6:$C$4395,3,0),"")</f>
        <v>2.9288</v>
      </c>
    </row>
    <row r="3028" spans="1:9">
      <c r="A3028" s="6">
        <v>42521</v>
      </c>
      <c r="B3028">
        <f>IFERROR(VLOOKUP($A3028,原始数据_收盘!$A$4:$G$3460,2,0),"")</f>
        <v>2.5675</v>
      </c>
      <c r="C3028">
        <f>IFERROR(VLOOKUP($A3028,原始数据_收盘!$A$4:$G$3460,3,0),"")</f>
        <v>2.905</v>
      </c>
      <c r="D3028">
        <f>IFERROR(VLOOKUP($A3028,原始数据_收盘!$A$4:$G$3460,4,0),"")</f>
        <v>2.6163</v>
      </c>
      <c r="E3028">
        <f>IFERROR(VLOOKUP($A3028,原始数据_收盘!$A$4:$G$3460,5,0),"")</f>
        <v>2.9563</v>
      </c>
      <c r="F3028">
        <f>IFERROR(VLOOKUP($A3028,原始数据_收盘!$A$4:$G$3460,6,0),"")</f>
        <v>2.5919</v>
      </c>
      <c r="G3028">
        <f>IFERROR(VLOOKUP($A3028,原始数据_收盘!$A$4:$G$3460,7,0),"")</f>
        <v>2.9306</v>
      </c>
      <c r="H3028">
        <f>IFERROR(VLOOKUP($A3028,原始数据_利率互换_FR007_1年!$A$6:$C$4395,2,0),"")</f>
        <v>2.5994</v>
      </c>
      <c r="I3028">
        <f>IFERROR(VLOOKUP($A3028,原始数据_利率互换_FR007_1年!$A$6:$C$4395,3,0),"")</f>
        <v>2.9368</v>
      </c>
    </row>
    <row r="3029" spans="1:9">
      <c r="A3029" s="6">
        <v>42522</v>
      </c>
      <c r="B3029">
        <f>IFERROR(VLOOKUP($A3029,原始数据_收盘!$A$4:$G$3460,2,0),"")</f>
        <v>2.5659</v>
      </c>
      <c r="C3029">
        <f>IFERROR(VLOOKUP($A3029,原始数据_收盘!$A$4:$G$3460,3,0),"")</f>
        <v>2.9038</v>
      </c>
      <c r="D3029">
        <f>IFERROR(VLOOKUP($A3029,原始数据_收盘!$A$4:$G$3460,4,0),"")</f>
        <v>2.6225</v>
      </c>
      <c r="E3029">
        <f>IFERROR(VLOOKUP($A3029,原始数据_收盘!$A$4:$G$3460,5,0),"")</f>
        <v>2.9663</v>
      </c>
      <c r="F3029">
        <f>IFERROR(VLOOKUP($A3029,原始数据_收盘!$A$4:$G$3460,6,0),"")</f>
        <v>2.5942</v>
      </c>
      <c r="G3029">
        <f>IFERROR(VLOOKUP($A3029,原始数据_收盘!$A$4:$G$3460,7,0),"")</f>
        <v>2.935</v>
      </c>
      <c r="H3029">
        <f>IFERROR(VLOOKUP($A3029,原始数据_利率互换_FR007_1年!$A$6:$C$4395,2,0),"")</f>
        <v>2.5987</v>
      </c>
      <c r="I3029">
        <f>IFERROR(VLOOKUP($A3029,原始数据_利率互换_FR007_1年!$A$6:$C$4395,3,0),"")</f>
        <v>2.9363</v>
      </c>
    </row>
    <row r="3030" spans="1:9">
      <c r="A3030" s="6">
        <v>42523</v>
      </c>
      <c r="B3030">
        <f>IFERROR(VLOOKUP($A3030,原始数据_收盘!$A$4:$G$3460,2,0),"")</f>
        <v>2.5674</v>
      </c>
      <c r="C3030">
        <f>IFERROR(VLOOKUP($A3030,原始数据_收盘!$A$4:$G$3460,3,0),"")</f>
        <v>2.9105</v>
      </c>
      <c r="D3030">
        <f>IFERROR(VLOOKUP($A3030,原始数据_收盘!$A$4:$G$3460,4,0),"")</f>
        <v>2.6234</v>
      </c>
      <c r="E3030">
        <f>IFERROR(VLOOKUP($A3030,原始数据_收盘!$A$4:$G$3460,5,0),"")</f>
        <v>2.9675</v>
      </c>
      <c r="F3030">
        <f>IFERROR(VLOOKUP($A3030,原始数据_收盘!$A$4:$G$3460,6,0),"")</f>
        <v>2.5954</v>
      </c>
      <c r="G3030">
        <f>IFERROR(VLOOKUP($A3030,原始数据_收盘!$A$4:$G$3460,7,0),"")</f>
        <v>2.939</v>
      </c>
      <c r="H3030">
        <f>IFERROR(VLOOKUP($A3030,原始数据_利率互换_FR007_1年!$A$6:$C$4395,2,0),"")</f>
        <v>2.6067</v>
      </c>
      <c r="I3030">
        <f>IFERROR(VLOOKUP($A3030,原始数据_利率互换_FR007_1年!$A$6:$C$4395,3,0),"")</f>
        <v>2.9471</v>
      </c>
    </row>
    <row r="3031" spans="1:9">
      <c r="A3031" s="6">
        <v>42524</v>
      </c>
      <c r="B3031">
        <f>IFERROR(VLOOKUP($A3031,原始数据_收盘!$A$4:$G$3460,2,0),"")</f>
        <v>2.5643</v>
      </c>
      <c r="C3031">
        <f>IFERROR(VLOOKUP($A3031,原始数据_收盘!$A$4:$G$3460,3,0),"")</f>
        <v>2.9069</v>
      </c>
      <c r="D3031">
        <f>IFERROR(VLOOKUP($A3031,原始数据_收盘!$A$4:$G$3460,4,0),"")</f>
        <v>2.6259</v>
      </c>
      <c r="E3031">
        <f>IFERROR(VLOOKUP($A3031,原始数据_收盘!$A$4:$G$3460,5,0),"")</f>
        <v>2.9756</v>
      </c>
      <c r="F3031">
        <f>IFERROR(VLOOKUP($A3031,原始数据_收盘!$A$4:$G$3460,6,0),"")</f>
        <v>2.5951</v>
      </c>
      <c r="G3031">
        <f>IFERROR(VLOOKUP($A3031,原始数据_收盘!$A$4:$G$3460,7,0),"")</f>
        <v>2.9413</v>
      </c>
      <c r="H3031">
        <f>IFERROR(VLOOKUP($A3031,原始数据_利率互换_FR007_1年!$A$6:$C$4395,2,0),"")</f>
        <v>2.6071</v>
      </c>
      <c r="I3031">
        <f>IFERROR(VLOOKUP($A3031,原始数据_利率互换_FR007_1年!$A$6:$C$4395,3,0),"")</f>
        <v>2.9505</v>
      </c>
    </row>
    <row r="3032" spans="1:9">
      <c r="A3032" s="6">
        <v>42525</v>
      </c>
      <c r="B3032" t="str">
        <f>IFERROR(VLOOKUP($A3032,原始数据_收盘!$A$4:$G$3460,2,0),"")</f>
        <v/>
      </c>
      <c r="C3032" t="str">
        <f>IFERROR(VLOOKUP($A3032,原始数据_收盘!$A$4:$G$3460,3,0),"")</f>
        <v/>
      </c>
      <c r="D3032" t="str">
        <f>IFERROR(VLOOKUP($A3032,原始数据_收盘!$A$4:$G$3460,4,0),"")</f>
        <v/>
      </c>
      <c r="E3032" t="str">
        <f>IFERROR(VLOOKUP($A3032,原始数据_收盘!$A$4:$G$3460,5,0),"")</f>
        <v/>
      </c>
      <c r="F3032" t="str">
        <f>IFERROR(VLOOKUP($A3032,原始数据_收盘!$A$4:$G$3460,6,0),"")</f>
        <v/>
      </c>
      <c r="G3032" t="str">
        <f>IFERROR(VLOOKUP($A3032,原始数据_收盘!$A$4:$G$3460,7,0),"")</f>
        <v/>
      </c>
      <c r="H3032" t="str">
        <f>IFERROR(VLOOKUP($A3032,原始数据_利率互换_FR007_1年!$A$6:$C$4395,2,0),"")</f>
        <v/>
      </c>
      <c r="I3032" t="str">
        <f>IFERROR(VLOOKUP($A3032,原始数据_利率互换_FR007_1年!$A$6:$C$4395,3,0),"")</f>
        <v/>
      </c>
    </row>
    <row r="3033" spans="1:9">
      <c r="A3033" s="6">
        <v>42526</v>
      </c>
      <c r="B3033" t="str">
        <f>IFERROR(VLOOKUP($A3033,原始数据_收盘!$A$4:$G$3460,2,0),"")</f>
        <v/>
      </c>
      <c r="C3033" t="str">
        <f>IFERROR(VLOOKUP($A3033,原始数据_收盘!$A$4:$G$3460,3,0),"")</f>
        <v/>
      </c>
      <c r="D3033" t="str">
        <f>IFERROR(VLOOKUP($A3033,原始数据_收盘!$A$4:$G$3460,4,0),"")</f>
        <v/>
      </c>
      <c r="E3033" t="str">
        <f>IFERROR(VLOOKUP($A3033,原始数据_收盘!$A$4:$G$3460,5,0),"")</f>
        <v/>
      </c>
      <c r="F3033" t="str">
        <f>IFERROR(VLOOKUP($A3033,原始数据_收盘!$A$4:$G$3460,6,0),"")</f>
        <v/>
      </c>
      <c r="G3033" t="str">
        <f>IFERROR(VLOOKUP($A3033,原始数据_收盘!$A$4:$G$3460,7,0),"")</f>
        <v/>
      </c>
      <c r="H3033" t="str">
        <f>IFERROR(VLOOKUP($A3033,原始数据_利率互换_FR007_1年!$A$6:$C$4395,2,0),"")</f>
        <v/>
      </c>
      <c r="I3033" t="str">
        <f>IFERROR(VLOOKUP($A3033,原始数据_利率互换_FR007_1年!$A$6:$C$4395,3,0),"")</f>
        <v/>
      </c>
    </row>
    <row r="3034" spans="1:9">
      <c r="A3034" s="6">
        <v>42527</v>
      </c>
      <c r="B3034">
        <f>IFERROR(VLOOKUP($A3034,原始数据_收盘!$A$4:$G$3460,2,0),"")</f>
        <v>2.5665</v>
      </c>
      <c r="C3034">
        <f>IFERROR(VLOOKUP($A3034,原始数据_收盘!$A$4:$G$3460,3,0),"")</f>
        <v>2.9022</v>
      </c>
      <c r="D3034">
        <f>IFERROR(VLOOKUP($A3034,原始数据_收盘!$A$4:$G$3460,4,0),"")</f>
        <v>2.615</v>
      </c>
      <c r="E3034">
        <f>IFERROR(VLOOKUP($A3034,原始数据_收盘!$A$4:$G$3460,5,0),"")</f>
        <v>2.9507</v>
      </c>
      <c r="F3034">
        <f>IFERROR(VLOOKUP($A3034,原始数据_收盘!$A$4:$G$3460,6,0),"")</f>
        <v>2.5907</v>
      </c>
      <c r="G3034">
        <f>IFERROR(VLOOKUP($A3034,原始数据_收盘!$A$4:$G$3460,7,0),"")</f>
        <v>2.9265</v>
      </c>
      <c r="H3034">
        <f>IFERROR(VLOOKUP($A3034,原始数据_利率互换_FR007_1年!$A$6:$C$4395,2,0),"")</f>
        <v>2.5941</v>
      </c>
      <c r="I3034">
        <f>IFERROR(VLOOKUP($A3034,原始数据_利率互换_FR007_1年!$A$6:$C$4395,3,0),"")</f>
        <v>2.9213</v>
      </c>
    </row>
    <row r="3035" spans="1:9">
      <c r="A3035" s="6">
        <v>42528</v>
      </c>
      <c r="B3035">
        <f>IFERROR(VLOOKUP($A3035,原始数据_收盘!$A$4:$G$3460,2,0),"")</f>
        <v>2.5609</v>
      </c>
      <c r="C3035">
        <f>IFERROR(VLOOKUP($A3035,原始数据_收盘!$A$4:$G$3460,3,0),"")</f>
        <v>2.9</v>
      </c>
      <c r="D3035">
        <f>IFERROR(VLOOKUP($A3035,原始数据_收盘!$A$4:$G$3460,4,0),"")</f>
        <v>2.6138</v>
      </c>
      <c r="E3035">
        <f>IFERROR(VLOOKUP($A3035,原始数据_收盘!$A$4:$G$3460,5,0),"")</f>
        <v>2.9488</v>
      </c>
      <c r="F3035">
        <f>IFERROR(VLOOKUP($A3035,原始数据_收盘!$A$4:$G$3460,6,0),"")</f>
        <v>2.5873</v>
      </c>
      <c r="G3035">
        <f>IFERROR(VLOOKUP($A3035,原始数据_收盘!$A$4:$G$3460,7,0),"")</f>
        <v>2.9244</v>
      </c>
      <c r="H3035">
        <f>IFERROR(VLOOKUP($A3035,原始数据_利率互换_FR007_1年!$A$6:$C$4395,2,0),"")</f>
        <v>2.586</v>
      </c>
      <c r="I3035">
        <f>IFERROR(VLOOKUP($A3035,原始数据_利率互换_FR007_1年!$A$6:$C$4395,3,0),"")</f>
        <v>2.9232</v>
      </c>
    </row>
    <row r="3036" spans="1:9">
      <c r="A3036" s="6">
        <v>42529</v>
      </c>
      <c r="B3036">
        <f>IFERROR(VLOOKUP($A3036,原始数据_收盘!$A$4:$G$3460,2,0),"")</f>
        <v>2.5644</v>
      </c>
      <c r="C3036">
        <f>IFERROR(VLOOKUP($A3036,原始数据_收盘!$A$4:$G$3460,3,0),"")</f>
        <v>2.9011</v>
      </c>
      <c r="D3036">
        <f>IFERROR(VLOOKUP($A3036,原始数据_收盘!$A$4:$G$3460,4,0),"")</f>
        <v>2.6144</v>
      </c>
      <c r="E3036">
        <f>IFERROR(VLOOKUP($A3036,原始数据_收盘!$A$4:$G$3460,5,0),"")</f>
        <v>2.9556</v>
      </c>
      <c r="F3036">
        <f>IFERROR(VLOOKUP($A3036,原始数据_收盘!$A$4:$G$3460,6,0),"")</f>
        <v>2.5894</v>
      </c>
      <c r="G3036">
        <f>IFERROR(VLOOKUP($A3036,原始数据_收盘!$A$4:$G$3460,7,0),"")</f>
        <v>2.9283</v>
      </c>
      <c r="H3036">
        <f>IFERROR(VLOOKUP($A3036,原始数据_利率互换_FR007_1年!$A$6:$C$4395,2,0),"")</f>
        <v>2.5913</v>
      </c>
      <c r="I3036">
        <f>IFERROR(VLOOKUP($A3036,原始数据_利率互换_FR007_1年!$A$6:$C$4395,3,0),"")</f>
        <v>2.9303</v>
      </c>
    </row>
    <row r="3037" spans="1:9">
      <c r="A3037" s="6">
        <v>42530</v>
      </c>
      <c r="B3037" t="str">
        <f>IFERROR(VLOOKUP($A3037,原始数据_收盘!$A$4:$G$3460,2,0),"")</f>
        <v/>
      </c>
      <c r="C3037" t="str">
        <f>IFERROR(VLOOKUP($A3037,原始数据_收盘!$A$4:$G$3460,3,0),"")</f>
        <v/>
      </c>
      <c r="D3037" t="str">
        <f>IFERROR(VLOOKUP($A3037,原始数据_收盘!$A$4:$G$3460,4,0),"")</f>
        <v/>
      </c>
      <c r="E3037" t="str">
        <f>IFERROR(VLOOKUP($A3037,原始数据_收盘!$A$4:$G$3460,5,0),"")</f>
        <v/>
      </c>
      <c r="F3037" t="str">
        <f>IFERROR(VLOOKUP($A3037,原始数据_收盘!$A$4:$G$3460,6,0),"")</f>
        <v/>
      </c>
      <c r="G3037" t="str">
        <f>IFERROR(VLOOKUP($A3037,原始数据_收盘!$A$4:$G$3460,7,0),"")</f>
        <v/>
      </c>
      <c r="H3037" t="str">
        <f>IFERROR(VLOOKUP($A3037,原始数据_利率互换_FR007_1年!$A$6:$C$4395,2,0),"")</f>
        <v/>
      </c>
      <c r="I3037" t="str">
        <f>IFERROR(VLOOKUP($A3037,原始数据_利率互换_FR007_1年!$A$6:$C$4395,3,0),"")</f>
        <v/>
      </c>
    </row>
    <row r="3038" spans="1:9">
      <c r="A3038" s="6">
        <v>42531</v>
      </c>
      <c r="B3038" t="str">
        <f>IFERROR(VLOOKUP($A3038,原始数据_收盘!$A$4:$G$3460,2,0),"")</f>
        <v/>
      </c>
      <c r="C3038" t="str">
        <f>IFERROR(VLOOKUP($A3038,原始数据_收盘!$A$4:$G$3460,3,0),"")</f>
        <v/>
      </c>
      <c r="D3038" t="str">
        <f>IFERROR(VLOOKUP($A3038,原始数据_收盘!$A$4:$G$3460,4,0),"")</f>
        <v/>
      </c>
      <c r="E3038" t="str">
        <f>IFERROR(VLOOKUP($A3038,原始数据_收盘!$A$4:$G$3460,5,0),"")</f>
        <v/>
      </c>
      <c r="F3038" t="str">
        <f>IFERROR(VLOOKUP($A3038,原始数据_收盘!$A$4:$G$3460,6,0),"")</f>
        <v/>
      </c>
      <c r="G3038" t="str">
        <f>IFERROR(VLOOKUP($A3038,原始数据_收盘!$A$4:$G$3460,7,0),"")</f>
        <v/>
      </c>
      <c r="H3038" t="str">
        <f>IFERROR(VLOOKUP($A3038,原始数据_利率互换_FR007_1年!$A$6:$C$4395,2,0),"")</f>
        <v/>
      </c>
      <c r="I3038" t="str">
        <f>IFERROR(VLOOKUP($A3038,原始数据_利率互换_FR007_1年!$A$6:$C$4395,3,0),"")</f>
        <v/>
      </c>
    </row>
    <row r="3039" spans="1:9">
      <c r="A3039" s="6">
        <v>42532</v>
      </c>
      <c r="B3039" t="str">
        <f>IFERROR(VLOOKUP($A3039,原始数据_收盘!$A$4:$G$3460,2,0),"")</f>
        <v/>
      </c>
      <c r="C3039" t="str">
        <f>IFERROR(VLOOKUP($A3039,原始数据_收盘!$A$4:$G$3460,3,0),"")</f>
        <v/>
      </c>
      <c r="D3039" t="str">
        <f>IFERROR(VLOOKUP($A3039,原始数据_收盘!$A$4:$G$3460,4,0),"")</f>
        <v/>
      </c>
      <c r="E3039" t="str">
        <f>IFERROR(VLOOKUP($A3039,原始数据_收盘!$A$4:$G$3460,5,0),"")</f>
        <v/>
      </c>
      <c r="F3039" t="str">
        <f>IFERROR(VLOOKUP($A3039,原始数据_收盘!$A$4:$G$3460,6,0),"")</f>
        <v/>
      </c>
      <c r="G3039" t="str">
        <f>IFERROR(VLOOKUP($A3039,原始数据_收盘!$A$4:$G$3460,7,0),"")</f>
        <v/>
      </c>
      <c r="H3039" t="str">
        <f>IFERROR(VLOOKUP($A3039,原始数据_利率互换_FR007_1年!$A$6:$C$4395,2,0),"")</f>
        <v/>
      </c>
      <c r="I3039" t="str">
        <f>IFERROR(VLOOKUP($A3039,原始数据_利率互换_FR007_1年!$A$6:$C$4395,3,0),"")</f>
        <v/>
      </c>
    </row>
    <row r="3040" spans="1:9">
      <c r="A3040" s="6">
        <v>42533</v>
      </c>
      <c r="B3040">
        <f>IFERROR(VLOOKUP($A3040,原始数据_收盘!$A$4:$G$3460,2,0),"")</f>
        <v>2.565</v>
      </c>
      <c r="C3040">
        <f>IFERROR(VLOOKUP($A3040,原始数据_收盘!$A$4:$G$3460,3,0),"")</f>
        <v>2.8975</v>
      </c>
      <c r="D3040">
        <f>IFERROR(VLOOKUP($A3040,原始数据_收盘!$A$4:$G$3460,4,0),"")</f>
        <v>2.6088</v>
      </c>
      <c r="E3040">
        <f>IFERROR(VLOOKUP($A3040,原始数据_收盘!$A$4:$G$3460,5,0),"")</f>
        <v>2.9475</v>
      </c>
      <c r="F3040">
        <f>IFERROR(VLOOKUP($A3040,原始数据_收盘!$A$4:$G$3460,6,0),"")</f>
        <v>2.5869</v>
      </c>
      <c r="G3040">
        <f>IFERROR(VLOOKUP($A3040,原始数据_收盘!$A$4:$G$3460,7,0),"")</f>
        <v>2.9225</v>
      </c>
      <c r="H3040">
        <f>IFERROR(VLOOKUP($A3040,原始数据_利率互换_FR007_1年!$A$6:$C$4395,2,0),"")</f>
        <v>2.581</v>
      </c>
      <c r="I3040">
        <f>IFERROR(VLOOKUP($A3040,原始数据_利率互换_FR007_1年!$A$6:$C$4395,3,0),"")</f>
        <v>2.928</v>
      </c>
    </row>
    <row r="3041" spans="1:9">
      <c r="A3041" s="6">
        <v>42534</v>
      </c>
      <c r="B3041">
        <f>IFERROR(VLOOKUP($A3041,原始数据_收盘!$A$4:$G$3460,2,0),"")</f>
        <v>2.5434</v>
      </c>
      <c r="C3041">
        <f>IFERROR(VLOOKUP($A3041,原始数据_收盘!$A$4:$G$3460,3,0),"")</f>
        <v>2.8613</v>
      </c>
      <c r="D3041">
        <f>IFERROR(VLOOKUP($A3041,原始数据_收盘!$A$4:$G$3460,4,0),"")</f>
        <v>2.5975</v>
      </c>
      <c r="E3041">
        <f>IFERROR(VLOOKUP($A3041,原始数据_收盘!$A$4:$G$3460,5,0),"")</f>
        <v>2.9175</v>
      </c>
      <c r="F3041">
        <f>IFERROR(VLOOKUP($A3041,原始数据_收盘!$A$4:$G$3460,6,0),"")</f>
        <v>2.5704</v>
      </c>
      <c r="G3041">
        <f>IFERROR(VLOOKUP($A3041,原始数据_收盘!$A$4:$G$3460,7,0),"")</f>
        <v>2.8894</v>
      </c>
      <c r="H3041">
        <f>IFERROR(VLOOKUP($A3041,原始数据_利率互换_FR007_1年!$A$6:$C$4395,2,0),"")</f>
        <v>2.5791</v>
      </c>
      <c r="I3041">
        <f>IFERROR(VLOOKUP($A3041,原始数据_利率互换_FR007_1年!$A$6:$C$4395,3,0),"")</f>
        <v>2.9089</v>
      </c>
    </row>
    <row r="3042" spans="1:9">
      <c r="A3042" s="6">
        <v>42535</v>
      </c>
      <c r="B3042">
        <f>IFERROR(VLOOKUP($A3042,原始数据_收盘!$A$4:$G$3460,2,0),"")</f>
        <v>2.5019</v>
      </c>
      <c r="C3042">
        <f>IFERROR(VLOOKUP($A3042,原始数据_收盘!$A$4:$G$3460,3,0),"")</f>
        <v>2.8178</v>
      </c>
      <c r="D3042">
        <f>IFERROR(VLOOKUP($A3042,原始数据_收盘!$A$4:$G$3460,4,0),"")</f>
        <v>2.5522</v>
      </c>
      <c r="E3042">
        <f>IFERROR(VLOOKUP($A3042,原始数据_收盘!$A$4:$G$3460,5,0),"")</f>
        <v>2.8689</v>
      </c>
      <c r="F3042">
        <f>IFERROR(VLOOKUP($A3042,原始数据_收盘!$A$4:$G$3460,6,0),"")</f>
        <v>2.5271</v>
      </c>
      <c r="G3042">
        <f>IFERROR(VLOOKUP($A3042,原始数据_收盘!$A$4:$G$3460,7,0),"")</f>
        <v>2.8433</v>
      </c>
      <c r="H3042">
        <f>IFERROR(VLOOKUP($A3042,原始数据_利率互换_FR007_1年!$A$6:$C$4395,2,0),"")</f>
        <v>2.5449</v>
      </c>
      <c r="I3042">
        <f>IFERROR(VLOOKUP($A3042,原始数据_利率互换_FR007_1年!$A$6:$C$4395,3,0),"")</f>
        <v>2.8563</v>
      </c>
    </row>
    <row r="3043" spans="1:9">
      <c r="A3043" s="6">
        <v>42536</v>
      </c>
      <c r="B3043">
        <f>IFERROR(VLOOKUP($A3043,原始数据_收盘!$A$4:$G$3460,2,0),"")</f>
        <v>2.5071</v>
      </c>
      <c r="C3043">
        <f>IFERROR(VLOOKUP($A3043,原始数据_收盘!$A$4:$G$3460,3,0),"")</f>
        <v>2.8184</v>
      </c>
      <c r="D3043">
        <f>IFERROR(VLOOKUP($A3043,原始数据_收盘!$A$4:$G$3460,4,0),"")</f>
        <v>2.5513</v>
      </c>
      <c r="E3043">
        <f>IFERROR(VLOOKUP($A3043,原始数据_收盘!$A$4:$G$3460,5,0),"")</f>
        <v>2.87</v>
      </c>
      <c r="F3043">
        <f>IFERROR(VLOOKUP($A3043,原始数据_收盘!$A$4:$G$3460,6,0),"")</f>
        <v>2.5292</v>
      </c>
      <c r="G3043">
        <f>IFERROR(VLOOKUP($A3043,原始数据_收盘!$A$4:$G$3460,7,0),"")</f>
        <v>2.8442</v>
      </c>
      <c r="H3043">
        <f>IFERROR(VLOOKUP($A3043,原始数据_利率互换_FR007_1年!$A$6:$C$4395,2,0),"")</f>
        <v>2.5278</v>
      </c>
      <c r="I3043">
        <f>IFERROR(VLOOKUP($A3043,原始数据_利率互换_FR007_1年!$A$6:$C$4395,3,0),"")</f>
        <v>2.8425</v>
      </c>
    </row>
    <row r="3044" spans="1:9">
      <c r="A3044" s="6">
        <v>42537</v>
      </c>
      <c r="B3044">
        <f>IFERROR(VLOOKUP($A3044,原始数据_收盘!$A$4:$G$3460,2,0),"")</f>
        <v>2.49</v>
      </c>
      <c r="C3044">
        <f>IFERROR(VLOOKUP($A3044,原始数据_收盘!$A$4:$G$3460,3,0),"")</f>
        <v>2.7966</v>
      </c>
      <c r="D3044">
        <f>IFERROR(VLOOKUP($A3044,原始数据_收盘!$A$4:$G$3460,4,0),"")</f>
        <v>2.5379</v>
      </c>
      <c r="E3044">
        <f>IFERROR(VLOOKUP($A3044,原始数据_收盘!$A$4:$G$3460,5,0),"")</f>
        <v>2.8525</v>
      </c>
      <c r="F3044">
        <f>IFERROR(VLOOKUP($A3044,原始数据_收盘!$A$4:$G$3460,6,0),"")</f>
        <v>2.5139</v>
      </c>
      <c r="G3044">
        <f>IFERROR(VLOOKUP($A3044,原始数据_收盘!$A$4:$G$3460,7,0),"")</f>
        <v>2.8246</v>
      </c>
      <c r="H3044">
        <f>IFERROR(VLOOKUP($A3044,原始数据_利率互换_FR007_1年!$A$6:$C$4395,2,0),"")</f>
        <v>2.5265</v>
      </c>
      <c r="I3044">
        <f>IFERROR(VLOOKUP($A3044,原始数据_利率互换_FR007_1年!$A$6:$C$4395,3,0),"")</f>
        <v>2.823</v>
      </c>
    </row>
    <row r="3045" spans="1:9">
      <c r="A3045" s="6">
        <v>42538</v>
      </c>
      <c r="B3045">
        <f>IFERROR(VLOOKUP($A3045,原始数据_收盘!$A$4:$G$3460,2,0),"")</f>
        <v>2.4963</v>
      </c>
      <c r="C3045">
        <f>IFERROR(VLOOKUP($A3045,原始数据_收盘!$A$4:$G$3460,3,0),"")</f>
        <v>2.805</v>
      </c>
      <c r="D3045">
        <f>IFERROR(VLOOKUP($A3045,原始数据_收盘!$A$4:$G$3460,4,0),"")</f>
        <v>2.5513</v>
      </c>
      <c r="E3045">
        <f>IFERROR(VLOOKUP($A3045,原始数据_收盘!$A$4:$G$3460,5,0),"")</f>
        <v>2.8625</v>
      </c>
      <c r="F3045">
        <f>IFERROR(VLOOKUP($A3045,原始数据_收盘!$A$4:$G$3460,6,0),"")</f>
        <v>2.5238</v>
      </c>
      <c r="G3045">
        <f>IFERROR(VLOOKUP($A3045,原始数据_收盘!$A$4:$G$3460,7,0),"")</f>
        <v>2.8338</v>
      </c>
      <c r="H3045">
        <f>IFERROR(VLOOKUP($A3045,原始数据_利率互换_FR007_1年!$A$6:$C$4395,2,0),"")</f>
        <v>2.5153</v>
      </c>
      <c r="I3045">
        <f>IFERROR(VLOOKUP($A3045,原始数据_利率互换_FR007_1年!$A$6:$C$4395,3,0),"")</f>
        <v>2.8254</v>
      </c>
    </row>
    <row r="3046" spans="1:9">
      <c r="A3046" s="6">
        <v>42539</v>
      </c>
      <c r="B3046" t="str">
        <f>IFERROR(VLOOKUP($A3046,原始数据_收盘!$A$4:$G$3460,2,0),"")</f>
        <v/>
      </c>
      <c r="C3046" t="str">
        <f>IFERROR(VLOOKUP($A3046,原始数据_收盘!$A$4:$G$3460,3,0),"")</f>
        <v/>
      </c>
      <c r="D3046" t="str">
        <f>IFERROR(VLOOKUP($A3046,原始数据_收盘!$A$4:$G$3460,4,0),"")</f>
        <v/>
      </c>
      <c r="E3046" t="str">
        <f>IFERROR(VLOOKUP($A3046,原始数据_收盘!$A$4:$G$3460,5,0),"")</f>
        <v/>
      </c>
      <c r="F3046" t="str">
        <f>IFERROR(VLOOKUP($A3046,原始数据_收盘!$A$4:$G$3460,6,0),"")</f>
        <v/>
      </c>
      <c r="G3046" t="str">
        <f>IFERROR(VLOOKUP($A3046,原始数据_收盘!$A$4:$G$3460,7,0),"")</f>
        <v/>
      </c>
      <c r="H3046" t="str">
        <f>IFERROR(VLOOKUP($A3046,原始数据_利率互换_FR007_1年!$A$6:$C$4395,2,0),"")</f>
        <v/>
      </c>
      <c r="I3046" t="str">
        <f>IFERROR(VLOOKUP($A3046,原始数据_利率互换_FR007_1年!$A$6:$C$4395,3,0),"")</f>
        <v/>
      </c>
    </row>
    <row r="3047" spans="1:9">
      <c r="A3047" s="6">
        <v>42540</v>
      </c>
      <c r="B3047" t="str">
        <f>IFERROR(VLOOKUP($A3047,原始数据_收盘!$A$4:$G$3460,2,0),"")</f>
        <v/>
      </c>
      <c r="C3047" t="str">
        <f>IFERROR(VLOOKUP($A3047,原始数据_收盘!$A$4:$G$3460,3,0),"")</f>
        <v/>
      </c>
      <c r="D3047" t="str">
        <f>IFERROR(VLOOKUP($A3047,原始数据_收盘!$A$4:$G$3460,4,0),"")</f>
        <v/>
      </c>
      <c r="E3047" t="str">
        <f>IFERROR(VLOOKUP($A3047,原始数据_收盘!$A$4:$G$3460,5,0),"")</f>
        <v/>
      </c>
      <c r="F3047" t="str">
        <f>IFERROR(VLOOKUP($A3047,原始数据_收盘!$A$4:$G$3460,6,0),"")</f>
        <v/>
      </c>
      <c r="G3047" t="str">
        <f>IFERROR(VLOOKUP($A3047,原始数据_收盘!$A$4:$G$3460,7,0),"")</f>
        <v/>
      </c>
      <c r="H3047" t="str">
        <f>IFERROR(VLOOKUP($A3047,原始数据_利率互换_FR007_1年!$A$6:$C$4395,2,0),"")</f>
        <v/>
      </c>
      <c r="I3047" t="str">
        <f>IFERROR(VLOOKUP($A3047,原始数据_利率互换_FR007_1年!$A$6:$C$4395,3,0),"")</f>
        <v/>
      </c>
    </row>
    <row r="3048" spans="1:9">
      <c r="A3048" s="6">
        <v>42541</v>
      </c>
      <c r="B3048">
        <f>IFERROR(VLOOKUP($A3048,原始数据_收盘!$A$4:$G$3460,2,0),"")</f>
        <v>2.5013</v>
      </c>
      <c r="C3048">
        <f>IFERROR(VLOOKUP($A3048,原始数据_收盘!$A$4:$G$3460,3,0),"")</f>
        <v>2.8125</v>
      </c>
      <c r="D3048">
        <f>IFERROR(VLOOKUP($A3048,原始数据_收盘!$A$4:$G$3460,4,0),"")</f>
        <v>2.5488</v>
      </c>
      <c r="E3048">
        <f>IFERROR(VLOOKUP($A3048,原始数据_收盘!$A$4:$G$3460,5,0),"")</f>
        <v>2.8625</v>
      </c>
      <c r="F3048">
        <f>IFERROR(VLOOKUP($A3048,原始数据_收盘!$A$4:$G$3460,6,0),"")</f>
        <v>2.525</v>
      </c>
      <c r="G3048">
        <f>IFERROR(VLOOKUP($A3048,原始数据_收盘!$A$4:$G$3460,7,0),"")</f>
        <v>2.8375</v>
      </c>
      <c r="H3048">
        <f>IFERROR(VLOOKUP($A3048,原始数据_利率互换_FR007_1年!$A$6:$C$4395,2,0),"")</f>
        <v>2.5272</v>
      </c>
      <c r="I3048">
        <f>IFERROR(VLOOKUP($A3048,原始数据_利率互换_FR007_1年!$A$6:$C$4395,3,0),"")</f>
        <v>2.8394</v>
      </c>
    </row>
    <row r="3049" spans="1:9">
      <c r="A3049" s="6">
        <v>42542</v>
      </c>
      <c r="B3049">
        <f>IFERROR(VLOOKUP($A3049,原始数据_收盘!$A$4:$G$3460,2,0),"")</f>
        <v>2.5025</v>
      </c>
      <c r="C3049">
        <f>IFERROR(VLOOKUP($A3049,原始数据_收盘!$A$4:$G$3460,3,0),"")</f>
        <v>2.8184</v>
      </c>
      <c r="D3049">
        <f>IFERROR(VLOOKUP($A3049,原始数据_收盘!$A$4:$G$3460,4,0),"")</f>
        <v>2.5491</v>
      </c>
      <c r="E3049">
        <f>IFERROR(VLOOKUP($A3049,原始数据_收盘!$A$4:$G$3460,5,0),"")</f>
        <v>2.8713</v>
      </c>
      <c r="F3049">
        <f>IFERROR(VLOOKUP($A3049,原始数据_收盘!$A$4:$G$3460,6,0),"")</f>
        <v>2.5258</v>
      </c>
      <c r="G3049">
        <f>IFERROR(VLOOKUP($A3049,原始数据_收盘!$A$4:$G$3460,7,0),"")</f>
        <v>2.8448</v>
      </c>
      <c r="H3049">
        <f>IFERROR(VLOOKUP($A3049,原始数据_利率互换_FR007_1年!$A$6:$C$4395,2,0),"")</f>
        <v>2.5299</v>
      </c>
      <c r="I3049">
        <f>IFERROR(VLOOKUP($A3049,原始数据_利率互换_FR007_1年!$A$6:$C$4395,3,0),"")</f>
        <v>2.8506</v>
      </c>
    </row>
    <row r="3050" spans="1:9">
      <c r="A3050" s="6">
        <v>42543</v>
      </c>
      <c r="B3050">
        <f>IFERROR(VLOOKUP($A3050,原始数据_收盘!$A$4:$G$3460,2,0),"")</f>
        <v>2.4934</v>
      </c>
      <c r="C3050">
        <f>IFERROR(VLOOKUP($A3050,原始数据_收盘!$A$4:$G$3460,3,0),"")</f>
        <v>2.8063</v>
      </c>
      <c r="D3050">
        <f>IFERROR(VLOOKUP($A3050,原始数据_收盘!$A$4:$G$3460,4,0),"")</f>
        <v>2.5466</v>
      </c>
      <c r="E3050">
        <f>IFERROR(VLOOKUP($A3050,原始数据_收盘!$A$4:$G$3460,5,0),"")</f>
        <v>2.8613</v>
      </c>
      <c r="F3050">
        <f>IFERROR(VLOOKUP($A3050,原始数据_收盘!$A$4:$G$3460,6,0),"")</f>
        <v>2.52</v>
      </c>
      <c r="G3050">
        <f>IFERROR(VLOOKUP($A3050,原始数据_收盘!$A$4:$G$3460,7,0),"")</f>
        <v>2.8338</v>
      </c>
      <c r="H3050">
        <f>IFERROR(VLOOKUP($A3050,原始数据_利率互换_FR007_1年!$A$6:$C$4395,2,0),"")</f>
        <v>2.5053</v>
      </c>
      <c r="I3050">
        <f>IFERROR(VLOOKUP($A3050,原始数据_利率互换_FR007_1年!$A$6:$C$4395,3,0),"")</f>
        <v>2.8111</v>
      </c>
    </row>
    <row r="3051" spans="1:9">
      <c r="A3051" s="6">
        <v>42544</v>
      </c>
      <c r="B3051">
        <f>IFERROR(VLOOKUP($A3051,原始数据_收盘!$A$4:$G$3460,2,0),"")</f>
        <v>2.4846</v>
      </c>
      <c r="C3051">
        <f>IFERROR(VLOOKUP($A3051,原始数据_收盘!$A$4:$G$3460,3,0),"")</f>
        <v>2.7913</v>
      </c>
      <c r="D3051">
        <f>IFERROR(VLOOKUP($A3051,原始数据_收盘!$A$4:$G$3460,4,0),"")</f>
        <v>2.5338</v>
      </c>
      <c r="E3051">
        <f>IFERROR(VLOOKUP($A3051,原始数据_收盘!$A$4:$G$3460,5,0),"")</f>
        <v>2.85</v>
      </c>
      <c r="F3051">
        <f>IFERROR(VLOOKUP($A3051,原始数据_收盘!$A$4:$G$3460,6,0),"")</f>
        <v>2.5092</v>
      </c>
      <c r="G3051">
        <f>IFERROR(VLOOKUP($A3051,原始数据_收盘!$A$4:$G$3460,7,0),"")</f>
        <v>2.8206</v>
      </c>
      <c r="H3051">
        <f>IFERROR(VLOOKUP($A3051,原始数据_利率互换_FR007_1年!$A$6:$C$4395,2,0),"")</f>
        <v>2.5052</v>
      </c>
      <c r="I3051">
        <f>IFERROR(VLOOKUP($A3051,原始数据_利率互换_FR007_1年!$A$6:$C$4395,3,0),"")</f>
        <v>2.8106</v>
      </c>
    </row>
    <row r="3052" spans="1:9">
      <c r="A3052" s="6">
        <v>42545</v>
      </c>
      <c r="B3052">
        <f>IFERROR(VLOOKUP($A3052,原始数据_收盘!$A$4:$G$3460,2,0),"")</f>
        <v>2.4263</v>
      </c>
      <c r="C3052">
        <f>IFERROR(VLOOKUP($A3052,原始数据_收盘!$A$4:$G$3460,3,0),"")</f>
        <v>2.7013</v>
      </c>
      <c r="D3052">
        <f>IFERROR(VLOOKUP($A3052,原始数据_收盘!$A$4:$G$3460,4,0),"")</f>
        <v>2.475</v>
      </c>
      <c r="E3052">
        <f>IFERROR(VLOOKUP($A3052,原始数据_收盘!$A$4:$G$3460,5,0),"")</f>
        <v>2.7688</v>
      </c>
      <c r="F3052">
        <f>IFERROR(VLOOKUP($A3052,原始数据_收盘!$A$4:$G$3460,6,0),"")</f>
        <v>2.4506</v>
      </c>
      <c r="G3052">
        <f>IFERROR(VLOOKUP($A3052,原始数据_收盘!$A$4:$G$3460,7,0),"")</f>
        <v>2.735</v>
      </c>
      <c r="H3052">
        <f>IFERROR(VLOOKUP($A3052,原始数据_利率互换_FR007_1年!$A$6:$C$4395,2,0),"")</f>
        <v>2.4763</v>
      </c>
      <c r="I3052">
        <f>IFERROR(VLOOKUP($A3052,原始数据_利率互换_FR007_1年!$A$6:$C$4395,3,0),"")</f>
        <v>2.7473</v>
      </c>
    </row>
    <row r="3053" spans="1:9">
      <c r="A3053" s="6">
        <v>42546</v>
      </c>
      <c r="B3053" t="str">
        <f>IFERROR(VLOOKUP($A3053,原始数据_收盘!$A$4:$G$3460,2,0),"")</f>
        <v/>
      </c>
      <c r="C3053" t="str">
        <f>IFERROR(VLOOKUP($A3053,原始数据_收盘!$A$4:$G$3460,3,0),"")</f>
        <v/>
      </c>
      <c r="D3053" t="str">
        <f>IFERROR(VLOOKUP($A3053,原始数据_收盘!$A$4:$G$3460,4,0),"")</f>
        <v/>
      </c>
      <c r="E3053" t="str">
        <f>IFERROR(VLOOKUP($A3053,原始数据_收盘!$A$4:$G$3460,5,0),"")</f>
        <v/>
      </c>
      <c r="F3053" t="str">
        <f>IFERROR(VLOOKUP($A3053,原始数据_收盘!$A$4:$G$3460,6,0),"")</f>
        <v/>
      </c>
      <c r="G3053" t="str">
        <f>IFERROR(VLOOKUP($A3053,原始数据_收盘!$A$4:$G$3460,7,0),"")</f>
        <v/>
      </c>
      <c r="H3053" t="str">
        <f>IFERROR(VLOOKUP($A3053,原始数据_利率互换_FR007_1年!$A$6:$C$4395,2,0),"")</f>
        <v/>
      </c>
      <c r="I3053" t="str">
        <f>IFERROR(VLOOKUP($A3053,原始数据_利率互换_FR007_1年!$A$6:$C$4395,3,0),"")</f>
        <v/>
      </c>
    </row>
    <row r="3054" spans="1:9">
      <c r="A3054" s="6">
        <v>42547</v>
      </c>
      <c r="B3054" t="str">
        <f>IFERROR(VLOOKUP($A3054,原始数据_收盘!$A$4:$G$3460,2,0),"")</f>
        <v/>
      </c>
      <c r="C3054" t="str">
        <f>IFERROR(VLOOKUP($A3054,原始数据_收盘!$A$4:$G$3460,3,0),"")</f>
        <v/>
      </c>
      <c r="D3054" t="str">
        <f>IFERROR(VLOOKUP($A3054,原始数据_收盘!$A$4:$G$3460,4,0),"")</f>
        <v/>
      </c>
      <c r="E3054" t="str">
        <f>IFERROR(VLOOKUP($A3054,原始数据_收盘!$A$4:$G$3460,5,0),"")</f>
        <v/>
      </c>
      <c r="F3054" t="str">
        <f>IFERROR(VLOOKUP($A3054,原始数据_收盘!$A$4:$G$3460,6,0),"")</f>
        <v/>
      </c>
      <c r="G3054" t="str">
        <f>IFERROR(VLOOKUP($A3054,原始数据_收盘!$A$4:$G$3460,7,0),"")</f>
        <v/>
      </c>
      <c r="H3054" t="str">
        <f>IFERROR(VLOOKUP($A3054,原始数据_利率互换_FR007_1年!$A$6:$C$4395,2,0),"")</f>
        <v/>
      </c>
      <c r="I3054" t="str">
        <f>IFERROR(VLOOKUP($A3054,原始数据_利率互换_FR007_1年!$A$6:$C$4395,3,0),"")</f>
        <v/>
      </c>
    </row>
    <row r="3055" spans="1:9">
      <c r="A3055" s="6">
        <v>42548</v>
      </c>
      <c r="B3055">
        <f>IFERROR(VLOOKUP($A3055,原始数据_收盘!$A$4:$G$3460,2,0),"")</f>
        <v>2.4079</v>
      </c>
      <c r="C3055">
        <f>IFERROR(VLOOKUP($A3055,原始数据_收盘!$A$4:$G$3460,3,0),"")</f>
        <v>2.665</v>
      </c>
      <c r="D3055">
        <f>IFERROR(VLOOKUP($A3055,原始数据_收盘!$A$4:$G$3460,4,0),"")</f>
        <v>2.4525</v>
      </c>
      <c r="E3055">
        <f>IFERROR(VLOOKUP($A3055,原始数据_收盘!$A$4:$G$3460,5,0),"")</f>
        <v>2.7188</v>
      </c>
      <c r="F3055">
        <f>IFERROR(VLOOKUP($A3055,原始数据_收盘!$A$4:$G$3460,6,0),"")</f>
        <v>2.4302</v>
      </c>
      <c r="G3055">
        <f>IFERROR(VLOOKUP($A3055,原始数据_收盘!$A$4:$G$3460,7,0),"")</f>
        <v>2.6919</v>
      </c>
      <c r="H3055">
        <f>IFERROR(VLOOKUP($A3055,原始数据_利率互换_FR007_1年!$A$6:$C$4395,2,0),"")</f>
        <v>2.4338</v>
      </c>
      <c r="I3055">
        <f>IFERROR(VLOOKUP($A3055,原始数据_利率互换_FR007_1年!$A$6:$C$4395,3,0),"")</f>
        <v>2.7061</v>
      </c>
    </row>
    <row r="3056" spans="1:9">
      <c r="A3056" s="6">
        <v>42549</v>
      </c>
      <c r="B3056">
        <f>IFERROR(VLOOKUP($A3056,原始数据_收盘!$A$4:$G$3460,2,0),"")</f>
        <v>2.4213</v>
      </c>
      <c r="C3056">
        <f>IFERROR(VLOOKUP($A3056,原始数据_收盘!$A$4:$G$3460,3,0),"")</f>
        <v>2.6825</v>
      </c>
      <c r="D3056">
        <f>IFERROR(VLOOKUP($A3056,原始数据_收盘!$A$4:$G$3460,4,0),"")</f>
        <v>2.47</v>
      </c>
      <c r="E3056">
        <f>IFERROR(VLOOKUP($A3056,原始数据_收盘!$A$4:$G$3460,5,0),"")</f>
        <v>2.7363</v>
      </c>
      <c r="F3056">
        <f>IFERROR(VLOOKUP($A3056,原始数据_收盘!$A$4:$G$3460,6,0),"")</f>
        <v>2.4456</v>
      </c>
      <c r="G3056">
        <f>IFERROR(VLOOKUP($A3056,原始数据_收盘!$A$4:$G$3460,7,0),"")</f>
        <v>2.7094</v>
      </c>
      <c r="H3056">
        <f>IFERROR(VLOOKUP($A3056,原始数据_利率互换_FR007_1年!$A$6:$C$4395,2,0),"")</f>
        <v>2.442</v>
      </c>
      <c r="I3056">
        <f>IFERROR(VLOOKUP($A3056,原始数据_利率互换_FR007_1年!$A$6:$C$4395,3,0),"")</f>
        <v>2.7025</v>
      </c>
    </row>
    <row r="3057" spans="1:9">
      <c r="A3057" s="6">
        <v>42550</v>
      </c>
      <c r="B3057">
        <f>IFERROR(VLOOKUP($A3057,原始数据_收盘!$A$4:$G$3460,2,0),"")</f>
        <v>2.4025</v>
      </c>
      <c r="C3057">
        <f>IFERROR(VLOOKUP($A3057,原始数据_收盘!$A$4:$G$3460,3,0),"")</f>
        <v>2.6763</v>
      </c>
      <c r="D3057">
        <f>IFERROR(VLOOKUP($A3057,原始数据_收盘!$A$4:$G$3460,4,0),"")</f>
        <v>2.4613</v>
      </c>
      <c r="E3057">
        <f>IFERROR(VLOOKUP($A3057,原始数据_收盘!$A$4:$G$3460,5,0),"")</f>
        <v>2.7388</v>
      </c>
      <c r="F3057">
        <f>IFERROR(VLOOKUP($A3057,原始数据_收盘!$A$4:$G$3460,6,0),"")</f>
        <v>2.4319</v>
      </c>
      <c r="G3057">
        <f>IFERROR(VLOOKUP($A3057,原始数据_收盘!$A$4:$G$3460,7,0),"")</f>
        <v>2.7075</v>
      </c>
      <c r="H3057">
        <f>IFERROR(VLOOKUP($A3057,原始数据_利率互换_FR007_1年!$A$6:$C$4395,2,0),"")</f>
        <v>2.4508</v>
      </c>
      <c r="I3057">
        <f>IFERROR(VLOOKUP($A3057,原始数据_利率互换_FR007_1年!$A$6:$C$4395,3,0),"")</f>
        <v>2.7206</v>
      </c>
    </row>
    <row r="3058" spans="1:9">
      <c r="A3058" s="6">
        <v>42551</v>
      </c>
      <c r="B3058">
        <f>IFERROR(VLOOKUP($A3058,原始数据_收盘!$A$4:$G$3460,2,0),"")</f>
        <v>2.4129</v>
      </c>
      <c r="C3058">
        <f>IFERROR(VLOOKUP($A3058,原始数据_收盘!$A$4:$G$3460,3,0),"")</f>
        <v>2.6863</v>
      </c>
      <c r="D3058">
        <f>IFERROR(VLOOKUP($A3058,原始数据_收盘!$A$4:$G$3460,4,0),"")</f>
        <v>2.4563</v>
      </c>
      <c r="E3058">
        <f>IFERROR(VLOOKUP($A3058,原始数据_收盘!$A$4:$G$3460,5,0),"")</f>
        <v>2.735</v>
      </c>
      <c r="F3058">
        <f>IFERROR(VLOOKUP($A3058,原始数据_收盘!$A$4:$G$3460,6,0),"")</f>
        <v>2.4346</v>
      </c>
      <c r="G3058">
        <f>IFERROR(VLOOKUP($A3058,原始数据_收盘!$A$4:$G$3460,7,0),"")</f>
        <v>2.7106</v>
      </c>
      <c r="H3058">
        <f>IFERROR(VLOOKUP($A3058,原始数据_利率互换_FR007_1年!$A$6:$C$4395,2,0),"")</f>
        <v>2.4403</v>
      </c>
      <c r="I3058">
        <f>IFERROR(VLOOKUP($A3058,原始数据_利率互换_FR007_1年!$A$6:$C$4395,3,0),"")</f>
        <v>2.709</v>
      </c>
    </row>
    <row r="3059" spans="1:9">
      <c r="A3059" s="6">
        <v>42552</v>
      </c>
      <c r="B3059">
        <f>IFERROR(VLOOKUP($A3059,原始数据_收盘!$A$4:$G$3460,2,0),"")</f>
        <v>2.3975</v>
      </c>
      <c r="C3059">
        <f>IFERROR(VLOOKUP($A3059,原始数据_收盘!$A$4:$G$3460,3,0),"")</f>
        <v>2.6534</v>
      </c>
      <c r="D3059">
        <f>IFERROR(VLOOKUP($A3059,原始数据_收盘!$A$4:$G$3460,4,0),"")</f>
        <v>2.4475</v>
      </c>
      <c r="E3059">
        <f>IFERROR(VLOOKUP($A3059,原始数据_收盘!$A$4:$G$3460,5,0),"")</f>
        <v>2.7188</v>
      </c>
      <c r="F3059">
        <f>IFERROR(VLOOKUP($A3059,原始数据_收盘!$A$4:$G$3460,6,0),"")</f>
        <v>2.4225</v>
      </c>
      <c r="G3059">
        <f>IFERROR(VLOOKUP($A3059,原始数据_收盘!$A$4:$G$3460,7,0),"")</f>
        <v>2.6861</v>
      </c>
      <c r="H3059">
        <f>IFERROR(VLOOKUP($A3059,原始数据_利率互换_FR007_1年!$A$6:$C$4395,2,0),"")</f>
        <v>2.4276</v>
      </c>
      <c r="I3059">
        <f>IFERROR(VLOOKUP($A3059,原始数据_利率互换_FR007_1年!$A$6:$C$4395,3,0),"")</f>
        <v>2.6861</v>
      </c>
    </row>
    <row r="3060" spans="1:9">
      <c r="A3060" s="6">
        <v>42553</v>
      </c>
      <c r="B3060" t="str">
        <f>IFERROR(VLOOKUP($A3060,原始数据_收盘!$A$4:$G$3460,2,0),"")</f>
        <v/>
      </c>
      <c r="C3060" t="str">
        <f>IFERROR(VLOOKUP($A3060,原始数据_收盘!$A$4:$G$3460,3,0),"")</f>
        <v/>
      </c>
      <c r="D3060" t="str">
        <f>IFERROR(VLOOKUP($A3060,原始数据_收盘!$A$4:$G$3460,4,0),"")</f>
        <v/>
      </c>
      <c r="E3060" t="str">
        <f>IFERROR(VLOOKUP($A3060,原始数据_收盘!$A$4:$G$3460,5,0),"")</f>
        <v/>
      </c>
      <c r="F3060" t="str">
        <f>IFERROR(VLOOKUP($A3060,原始数据_收盘!$A$4:$G$3460,6,0),"")</f>
        <v/>
      </c>
      <c r="G3060" t="str">
        <f>IFERROR(VLOOKUP($A3060,原始数据_收盘!$A$4:$G$3460,7,0),"")</f>
        <v/>
      </c>
      <c r="H3060" t="str">
        <f>IFERROR(VLOOKUP($A3060,原始数据_利率互换_FR007_1年!$A$6:$C$4395,2,0),"")</f>
        <v/>
      </c>
      <c r="I3060" t="str">
        <f>IFERROR(VLOOKUP($A3060,原始数据_利率互换_FR007_1年!$A$6:$C$4395,3,0),"")</f>
        <v/>
      </c>
    </row>
    <row r="3061" spans="1:9">
      <c r="A3061" s="6">
        <v>42554</v>
      </c>
      <c r="B3061" t="str">
        <f>IFERROR(VLOOKUP($A3061,原始数据_收盘!$A$4:$G$3460,2,0),"")</f>
        <v/>
      </c>
      <c r="C3061" t="str">
        <f>IFERROR(VLOOKUP($A3061,原始数据_收盘!$A$4:$G$3460,3,0),"")</f>
        <v/>
      </c>
      <c r="D3061" t="str">
        <f>IFERROR(VLOOKUP($A3061,原始数据_收盘!$A$4:$G$3460,4,0),"")</f>
        <v/>
      </c>
      <c r="E3061" t="str">
        <f>IFERROR(VLOOKUP($A3061,原始数据_收盘!$A$4:$G$3460,5,0),"")</f>
        <v/>
      </c>
      <c r="F3061" t="str">
        <f>IFERROR(VLOOKUP($A3061,原始数据_收盘!$A$4:$G$3460,6,0),"")</f>
        <v/>
      </c>
      <c r="G3061" t="str">
        <f>IFERROR(VLOOKUP($A3061,原始数据_收盘!$A$4:$G$3460,7,0),"")</f>
        <v/>
      </c>
      <c r="H3061" t="str">
        <f>IFERROR(VLOOKUP($A3061,原始数据_利率互换_FR007_1年!$A$6:$C$4395,2,0),"")</f>
        <v/>
      </c>
      <c r="I3061" t="str">
        <f>IFERROR(VLOOKUP($A3061,原始数据_利率互换_FR007_1年!$A$6:$C$4395,3,0),"")</f>
        <v/>
      </c>
    </row>
    <row r="3062" spans="1:9">
      <c r="A3062" s="6">
        <v>42555</v>
      </c>
      <c r="B3062">
        <f>IFERROR(VLOOKUP($A3062,原始数据_收盘!$A$4:$G$3460,2,0),"")</f>
        <v>2.4066</v>
      </c>
      <c r="C3062">
        <f>IFERROR(VLOOKUP($A3062,原始数据_收盘!$A$4:$G$3460,3,0),"")</f>
        <v>2.6775</v>
      </c>
      <c r="D3062">
        <f>IFERROR(VLOOKUP($A3062,原始数据_收盘!$A$4:$G$3460,4,0),"")</f>
        <v>2.4575</v>
      </c>
      <c r="E3062">
        <f>IFERROR(VLOOKUP($A3062,原始数据_收盘!$A$4:$G$3460,5,0),"")</f>
        <v>2.7325</v>
      </c>
      <c r="F3062">
        <f>IFERROR(VLOOKUP($A3062,原始数据_收盘!$A$4:$G$3460,6,0),"")</f>
        <v>2.4321</v>
      </c>
      <c r="G3062">
        <f>IFERROR(VLOOKUP($A3062,原始数据_收盘!$A$4:$G$3460,7,0),"")</f>
        <v>2.705</v>
      </c>
      <c r="H3062">
        <f>IFERROR(VLOOKUP($A3062,原始数据_利率互换_FR007_1年!$A$6:$C$4395,2,0),"")</f>
        <v>2.4325</v>
      </c>
      <c r="I3062">
        <f>IFERROR(VLOOKUP($A3062,原始数据_利率互换_FR007_1年!$A$6:$C$4395,3,0),"")</f>
        <v>2.6942</v>
      </c>
    </row>
    <row r="3063" spans="1:9">
      <c r="A3063" s="6">
        <v>42556</v>
      </c>
      <c r="B3063">
        <f>IFERROR(VLOOKUP($A3063,原始数据_收盘!$A$4:$G$3460,2,0),"")</f>
        <v>2.4088</v>
      </c>
      <c r="C3063">
        <f>IFERROR(VLOOKUP($A3063,原始数据_收盘!$A$4:$G$3460,3,0),"")</f>
        <v>2.6879</v>
      </c>
      <c r="D3063">
        <f>IFERROR(VLOOKUP($A3063,原始数据_收盘!$A$4:$G$3460,4,0),"")</f>
        <v>2.4538</v>
      </c>
      <c r="E3063">
        <f>IFERROR(VLOOKUP($A3063,原始数据_收盘!$A$4:$G$3460,5,0),"")</f>
        <v>2.7413</v>
      </c>
      <c r="F3063">
        <f>IFERROR(VLOOKUP($A3063,原始数据_收盘!$A$4:$G$3460,6,0),"")</f>
        <v>2.4313</v>
      </c>
      <c r="G3063">
        <f>IFERROR(VLOOKUP($A3063,原始数据_收盘!$A$4:$G$3460,7,0),"")</f>
        <v>2.7146</v>
      </c>
      <c r="H3063">
        <f>IFERROR(VLOOKUP($A3063,原始数据_利率互换_FR007_1年!$A$6:$C$4395,2,0),"")</f>
        <v>2.4419</v>
      </c>
      <c r="I3063">
        <f>IFERROR(VLOOKUP($A3063,原始数据_利率互换_FR007_1年!$A$6:$C$4395,3,0),"")</f>
        <v>2.7285</v>
      </c>
    </row>
    <row r="3064" spans="1:9">
      <c r="A3064" s="6">
        <v>42557</v>
      </c>
      <c r="B3064">
        <f>IFERROR(VLOOKUP($A3064,原始数据_收盘!$A$4:$G$3460,2,0),"")</f>
        <v>2.4009</v>
      </c>
      <c r="C3064">
        <f>IFERROR(VLOOKUP($A3064,原始数据_收盘!$A$4:$G$3460,3,0),"")</f>
        <v>2.6775</v>
      </c>
      <c r="D3064">
        <f>IFERROR(VLOOKUP($A3064,原始数据_收盘!$A$4:$G$3460,4,0),"")</f>
        <v>2.4488</v>
      </c>
      <c r="E3064">
        <f>IFERROR(VLOOKUP($A3064,原始数据_收盘!$A$4:$G$3460,5,0),"")</f>
        <v>2.7338</v>
      </c>
      <c r="F3064">
        <f>IFERROR(VLOOKUP($A3064,原始数据_收盘!$A$4:$G$3460,6,0),"")</f>
        <v>2.4248</v>
      </c>
      <c r="G3064">
        <f>IFERROR(VLOOKUP($A3064,原始数据_收盘!$A$4:$G$3460,7,0),"")</f>
        <v>2.7056</v>
      </c>
      <c r="H3064">
        <f>IFERROR(VLOOKUP($A3064,原始数据_利率互换_FR007_1年!$A$6:$C$4395,2,0),"")</f>
        <v>2.4286</v>
      </c>
      <c r="I3064">
        <f>IFERROR(VLOOKUP($A3064,原始数据_利率互换_FR007_1年!$A$6:$C$4395,3,0),"")</f>
        <v>2.7041</v>
      </c>
    </row>
    <row r="3065" spans="1:9">
      <c r="A3065" s="6">
        <v>42558</v>
      </c>
      <c r="B3065">
        <f>IFERROR(VLOOKUP($A3065,原始数据_收盘!$A$4:$G$3460,2,0),"")</f>
        <v>2.4022</v>
      </c>
      <c r="C3065">
        <f>IFERROR(VLOOKUP($A3065,原始数据_收盘!$A$4:$G$3460,3,0),"")</f>
        <v>2.6748</v>
      </c>
      <c r="D3065">
        <f>IFERROR(VLOOKUP($A3065,原始数据_收盘!$A$4:$G$3460,4,0),"")</f>
        <v>2.4474</v>
      </c>
      <c r="E3065">
        <f>IFERROR(VLOOKUP($A3065,原始数据_收盘!$A$4:$G$3460,5,0),"")</f>
        <v>2.7256</v>
      </c>
      <c r="F3065">
        <f>IFERROR(VLOOKUP($A3065,原始数据_收盘!$A$4:$G$3460,6,0),"")</f>
        <v>2.4248</v>
      </c>
      <c r="G3065">
        <f>IFERROR(VLOOKUP($A3065,原始数据_收盘!$A$4:$G$3460,7,0),"")</f>
        <v>2.7002</v>
      </c>
      <c r="H3065">
        <f>IFERROR(VLOOKUP($A3065,原始数据_利率互换_FR007_1年!$A$6:$C$4395,2,0),"")</f>
        <v>2.4234</v>
      </c>
      <c r="I3065">
        <f>IFERROR(VLOOKUP($A3065,原始数据_利率互换_FR007_1年!$A$6:$C$4395,3,0),"")</f>
        <v>2.6954</v>
      </c>
    </row>
    <row r="3066" spans="1:9">
      <c r="A3066" s="6">
        <v>42559</v>
      </c>
      <c r="B3066">
        <f>IFERROR(VLOOKUP($A3066,原始数据_收盘!$A$4:$G$3460,2,0),"")</f>
        <v>2.395</v>
      </c>
      <c r="C3066">
        <f>IFERROR(VLOOKUP($A3066,原始数据_收盘!$A$4:$G$3460,3,0),"")</f>
        <v>2.6691</v>
      </c>
      <c r="D3066">
        <f>IFERROR(VLOOKUP($A3066,原始数据_收盘!$A$4:$G$3460,4,0),"")</f>
        <v>2.44</v>
      </c>
      <c r="E3066">
        <f>IFERROR(VLOOKUP($A3066,原始数据_收盘!$A$4:$G$3460,5,0),"")</f>
        <v>2.7263</v>
      </c>
      <c r="F3066">
        <f>IFERROR(VLOOKUP($A3066,原始数据_收盘!$A$4:$G$3460,6,0),"")</f>
        <v>2.4175</v>
      </c>
      <c r="G3066">
        <f>IFERROR(VLOOKUP($A3066,原始数据_收盘!$A$4:$G$3460,7,0),"")</f>
        <v>2.6977</v>
      </c>
      <c r="H3066">
        <f>IFERROR(VLOOKUP($A3066,原始数据_利率互换_FR007_1年!$A$6:$C$4395,2,0),"")</f>
        <v>2.4177</v>
      </c>
      <c r="I3066">
        <f>IFERROR(VLOOKUP($A3066,原始数据_利率互换_FR007_1年!$A$6:$C$4395,3,0),"")</f>
        <v>2.7088</v>
      </c>
    </row>
    <row r="3067" spans="1:9">
      <c r="A3067" s="6">
        <v>42560</v>
      </c>
      <c r="B3067" t="str">
        <f>IFERROR(VLOOKUP($A3067,原始数据_收盘!$A$4:$G$3460,2,0),"")</f>
        <v/>
      </c>
      <c r="C3067" t="str">
        <f>IFERROR(VLOOKUP($A3067,原始数据_收盘!$A$4:$G$3460,3,0),"")</f>
        <v/>
      </c>
      <c r="D3067" t="str">
        <f>IFERROR(VLOOKUP($A3067,原始数据_收盘!$A$4:$G$3460,4,0),"")</f>
        <v/>
      </c>
      <c r="E3067" t="str">
        <f>IFERROR(VLOOKUP($A3067,原始数据_收盘!$A$4:$G$3460,5,0),"")</f>
        <v/>
      </c>
      <c r="F3067" t="str">
        <f>IFERROR(VLOOKUP($A3067,原始数据_收盘!$A$4:$G$3460,6,0),"")</f>
        <v/>
      </c>
      <c r="G3067" t="str">
        <f>IFERROR(VLOOKUP($A3067,原始数据_收盘!$A$4:$G$3460,7,0),"")</f>
        <v/>
      </c>
      <c r="H3067" t="str">
        <f>IFERROR(VLOOKUP($A3067,原始数据_利率互换_FR007_1年!$A$6:$C$4395,2,0),"")</f>
        <v/>
      </c>
      <c r="I3067" t="str">
        <f>IFERROR(VLOOKUP($A3067,原始数据_利率互换_FR007_1年!$A$6:$C$4395,3,0),"")</f>
        <v/>
      </c>
    </row>
    <row r="3068" spans="1:9">
      <c r="A3068" s="6">
        <v>42561</v>
      </c>
      <c r="B3068" t="str">
        <f>IFERROR(VLOOKUP($A3068,原始数据_收盘!$A$4:$G$3460,2,0),"")</f>
        <v/>
      </c>
      <c r="C3068" t="str">
        <f>IFERROR(VLOOKUP($A3068,原始数据_收盘!$A$4:$G$3460,3,0),"")</f>
        <v/>
      </c>
      <c r="D3068" t="str">
        <f>IFERROR(VLOOKUP($A3068,原始数据_收盘!$A$4:$G$3460,4,0),"")</f>
        <v/>
      </c>
      <c r="E3068" t="str">
        <f>IFERROR(VLOOKUP($A3068,原始数据_收盘!$A$4:$G$3460,5,0),"")</f>
        <v/>
      </c>
      <c r="F3068" t="str">
        <f>IFERROR(VLOOKUP($A3068,原始数据_收盘!$A$4:$G$3460,6,0),"")</f>
        <v/>
      </c>
      <c r="G3068" t="str">
        <f>IFERROR(VLOOKUP($A3068,原始数据_收盘!$A$4:$G$3460,7,0),"")</f>
        <v/>
      </c>
      <c r="H3068" t="str">
        <f>IFERROR(VLOOKUP($A3068,原始数据_利率互换_FR007_1年!$A$6:$C$4395,2,0),"")</f>
        <v/>
      </c>
      <c r="I3068" t="str">
        <f>IFERROR(VLOOKUP($A3068,原始数据_利率互换_FR007_1年!$A$6:$C$4395,3,0),"")</f>
        <v/>
      </c>
    </row>
    <row r="3069" spans="1:9">
      <c r="A3069" s="6">
        <v>42562</v>
      </c>
      <c r="B3069">
        <f>IFERROR(VLOOKUP($A3069,原始数据_收盘!$A$4:$G$3460,2,0),"")</f>
        <v>2.4059</v>
      </c>
      <c r="C3069">
        <f>IFERROR(VLOOKUP($A3069,原始数据_收盘!$A$4:$G$3460,3,0),"")</f>
        <v>2.6804</v>
      </c>
      <c r="D3069">
        <f>IFERROR(VLOOKUP($A3069,原始数据_收盘!$A$4:$G$3460,4,0),"")</f>
        <v>2.4438</v>
      </c>
      <c r="E3069">
        <f>IFERROR(VLOOKUP($A3069,原始数据_收盘!$A$4:$G$3460,5,0),"")</f>
        <v>2.73</v>
      </c>
      <c r="F3069">
        <f>IFERROR(VLOOKUP($A3069,原始数据_收盘!$A$4:$G$3460,6,0),"")</f>
        <v>2.4248</v>
      </c>
      <c r="G3069">
        <f>IFERROR(VLOOKUP($A3069,原始数据_收盘!$A$4:$G$3460,7,0),"")</f>
        <v>2.7052</v>
      </c>
      <c r="H3069">
        <f>IFERROR(VLOOKUP($A3069,原始数据_利率互换_FR007_1年!$A$6:$C$4395,2,0),"")</f>
        <v>2.4254</v>
      </c>
      <c r="I3069">
        <f>IFERROR(VLOOKUP($A3069,原始数据_利率互换_FR007_1年!$A$6:$C$4395,3,0),"")</f>
        <v>2.7078</v>
      </c>
    </row>
    <row r="3070" spans="1:9">
      <c r="A3070" s="6">
        <v>42563</v>
      </c>
      <c r="B3070">
        <f>IFERROR(VLOOKUP($A3070,原始数据_收盘!$A$4:$G$3460,2,0),"")</f>
        <v>2.4129</v>
      </c>
      <c r="C3070">
        <f>IFERROR(VLOOKUP($A3070,原始数据_收盘!$A$4:$G$3460,3,0),"")</f>
        <v>2.6979</v>
      </c>
      <c r="D3070">
        <f>IFERROR(VLOOKUP($A3070,原始数据_收盘!$A$4:$G$3460,4,0),"")</f>
        <v>2.4538</v>
      </c>
      <c r="E3070">
        <f>IFERROR(VLOOKUP($A3070,原始数据_收盘!$A$4:$G$3460,5,0),"")</f>
        <v>2.7525</v>
      </c>
      <c r="F3070">
        <f>IFERROR(VLOOKUP($A3070,原始数据_收盘!$A$4:$G$3460,6,0),"")</f>
        <v>2.4333</v>
      </c>
      <c r="G3070">
        <f>IFERROR(VLOOKUP($A3070,原始数据_收盘!$A$4:$G$3460,7,0),"")</f>
        <v>2.7252</v>
      </c>
      <c r="H3070">
        <f>IFERROR(VLOOKUP($A3070,原始数据_利率互换_FR007_1年!$A$6:$C$4395,2,0),"")</f>
        <v>2.4362</v>
      </c>
      <c r="I3070">
        <f>IFERROR(VLOOKUP($A3070,原始数据_利率互换_FR007_1年!$A$6:$C$4395,3,0),"")</f>
        <v>2.7325</v>
      </c>
    </row>
    <row r="3071" spans="1:9">
      <c r="A3071" s="6">
        <v>42564</v>
      </c>
      <c r="B3071">
        <f>IFERROR(VLOOKUP($A3071,原始数据_收盘!$A$4:$G$3460,2,0),"")</f>
        <v>2.4137</v>
      </c>
      <c r="C3071">
        <f>IFERROR(VLOOKUP($A3071,原始数据_收盘!$A$4:$G$3460,3,0),"")</f>
        <v>2.7133</v>
      </c>
      <c r="D3071">
        <f>IFERROR(VLOOKUP($A3071,原始数据_收盘!$A$4:$G$3460,4,0),"")</f>
        <v>2.4656</v>
      </c>
      <c r="E3071">
        <f>IFERROR(VLOOKUP($A3071,原始数据_收盘!$A$4:$G$3460,5,0),"")</f>
        <v>2.7717</v>
      </c>
      <c r="F3071">
        <f>IFERROR(VLOOKUP($A3071,原始数据_收盘!$A$4:$G$3460,6,0),"")</f>
        <v>2.4396</v>
      </c>
      <c r="G3071">
        <f>IFERROR(VLOOKUP($A3071,原始数据_收盘!$A$4:$G$3460,7,0),"")</f>
        <v>2.7425</v>
      </c>
      <c r="H3071">
        <f>IFERROR(VLOOKUP($A3071,原始数据_利率互换_FR007_1年!$A$6:$C$4395,2,0),"")</f>
        <v>2.4457</v>
      </c>
      <c r="I3071">
        <f>IFERROR(VLOOKUP($A3071,原始数据_利率互换_FR007_1年!$A$6:$C$4395,3,0),"")</f>
        <v>2.7495</v>
      </c>
    </row>
    <row r="3072" spans="1:9">
      <c r="A3072" s="6">
        <v>42565</v>
      </c>
      <c r="B3072">
        <f>IFERROR(VLOOKUP($A3072,原始数据_收盘!$A$4:$G$3460,2,0),"")</f>
        <v>2.4197</v>
      </c>
      <c r="C3072">
        <f>IFERROR(VLOOKUP($A3072,原始数据_收盘!$A$4:$G$3460,3,0),"")</f>
        <v>2.7217</v>
      </c>
      <c r="D3072">
        <f>IFERROR(VLOOKUP($A3072,原始数据_收盘!$A$4:$G$3460,4,0),"")</f>
        <v>2.4705</v>
      </c>
      <c r="E3072">
        <f>IFERROR(VLOOKUP($A3072,原始数据_收盘!$A$4:$G$3460,5,0),"")</f>
        <v>2.7775</v>
      </c>
      <c r="F3072">
        <f>IFERROR(VLOOKUP($A3072,原始数据_收盘!$A$4:$G$3460,6,0),"")</f>
        <v>2.4451</v>
      </c>
      <c r="G3072">
        <f>IFERROR(VLOOKUP($A3072,原始数据_收盘!$A$4:$G$3460,7,0),"")</f>
        <v>2.7496</v>
      </c>
      <c r="H3072">
        <f>IFERROR(VLOOKUP($A3072,原始数据_利率互换_FR007_1年!$A$6:$C$4395,2,0),"")</f>
        <v>2.4462</v>
      </c>
      <c r="I3072">
        <f>IFERROR(VLOOKUP($A3072,原始数据_利率互换_FR007_1年!$A$6:$C$4395,3,0),"")</f>
        <v>2.7481</v>
      </c>
    </row>
    <row r="3073" spans="1:9">
      <c r="A3073" s="6">
        <v>42566</v>
      </c>
      <c r="B3073">
        <f>IFERROR(VLOOKUP($A3073,原始数据_收盘!$A$4:$G$3460,2,0),"")</f>
        <v>2.4146</v>
      </c>
      <c r="C3073">
        <f>IFERROR(VLOOKUP($A3073,原始数据_收盘!$A$4:$G$3460,3,0),"")</f>
        <v>2.705</v>
      </c>
      <c r="D3073">
        <f>IFERROR(VLOOKUP($A3073,原始数据_收盘!$A$4:$G$3460,4,0),"")</f>
        <v>2.4588</v>
      </c>
      <c r="E3073">
        <f>IFERROR(VLOOKUP($A3073,原始数据_收盘!$A$4:$G$3460,5,0),"")</f>
        <v>2.7588</v>
      </c>
      <c r="F3073">
        <f>IFERROR(VLOOKUP($A3073,原始数据_收盘!$A$4:$G$3460,6,0),"")</f>
        <v>2.4367</v>
      </c>
      <c r="G3073">
        <f>IFERROR(VLOOKUP($A3073,原始数据_收盘!$A$4:$G$3460,7,0),"")</f>
        <v>2.7319</v>
      </c>
      <c r="H3073">
        <f>IFERROR(VLOOKUP($A3073,原始数据_利率互换_FR007_1年!$A$6:$C$4395,2,0),"")</f>
        <v>2.4447</v>
      </c>
      <c r="I3073">
        <f>IFERROR(VLOOKUP($A3073,原始数据_利率互换_FR007_1年!$A$6:$C$4395,3,0),"")</f>
        <v>2.745</v>
      </c>
    </row>
    <row r="3074" spans="1:9">
      <c r="A3074" s="6">
        <v>42567</v>
      </c>
      <c r="B3074" t="str">
        <f>IFERROR(VLOOKUP($A3074,原始数据_收盘!$A$4:$G$3460,2,0),"")</f>
        <v/>
      </c>
      <c r="C3074" t="str">
        <f>IFERROR(VLOOKUP($A3074,原始数据_收盘!$A$4:$G$3460,3,0),"")</f>
        <v/>
      </c>
      <c r="D3074" t="str">
        <f>IFERROR(VLOOKUP($A3074,原始数据_收盘!$A$4:$G$3460,4,0),"")</f>
        <v/>
      </c>
      <c r="E3074" t="str">
        <f>IFERROR(VLOOKUP($A3074,原始数据_收盘!$A$4:$G$3460,5,0),"")</f>
        <v/>
      </c>
      <c r="F3074" t="str">
        <f>IFERROR(VLOOKUP($A3074,原始数据_收盘!$A$4:$G$3460,6,0),"")</f>
        <v/>
      </c>
      <c r="G3074" t="str">
        <f>IFERROR(VLOOKUP($A3074,原始数据_收盘!$A$4:$G$3460,7,0),"")</f>
        <v/>
      </c>
      <c r="H3074" t="str">
        <f>IFERROR(VLOOKUP($A3074,原始数据_利率互换_FR007_1年!$A$6:$C$4395,2,0),"")</f>
        <v/>
      </c>
      <c r="I3074" t="str">
        <f>IFERROR(VLOOKUP($A3074,原始数据_利率互换_FR007_1年!$A$6:$C$4395,3,0),"")</f>
        <v/>
      </c>
    </row>
    <row r="3075" spans="1:9">
      <c r="A3075" s="6">
        <v>42568</v>
      </c>
      <c r="B3075" t="str">
        <f>IFERROR(VLOOKUP($A3075,原始数据_收盘!$A$4:$G$3460,2,0),"")</f>
        <v/>
      </c>
      <c r="C3075" t="str">
        <f>IFERROR(VLOOKUP($A3075,原始数据_收盘!$A$4:$G$3460,3,0),"")</f>
        <v/>
      </c>
      <c r="D3075" t="str">
        <f>IFERROR(VLOOKUP($A3075,原始数据_收盘!$A$4:$G$3460,4,0),"")</f>
        <v/>
      </c>
      <c r="E3075" t="str">
        <f>IFERROR(VLOOKUP($A3075,原始数据_收盘!$A$4:$G$3460,5,0),"")</f>
        <v/>
      </c>
      <c r="F3075" t="str">
        <f>IFERROR(VLOOKUP($A3075,原始数据_收盘!$A$4:$G$3460,6,0),"")</f>
        <v/>
      </c>
      <c r="G3075" t="str">
        <f>IFERROR(VLOOKUP($A3075,原始数据_收盘!$A$4:$G$3460,7,0),"")</f>
        <v/>
      </c>
      <c r="H3075" t="str">
        <f>IFERROR(VLOOKUP($A3075,原始数据_利率互换_FR007_1年!$A$6:$C$4395,2,0),"")</f>
        <v/>
      </c>
      <c r="I3075" t="str">
        <f>IFERROR(VLOOKUP($A3075,原始数据_利率互换_FR007_1年!$A$6:$C$4395,3,0),"")</f>
        <v/>
      </c>
    </row>
    <row r="3076" spans="1:9">
      <c r="A3076" s="6">
        <v>42569</v>
      </c>
      <c r="B3076">
        <f>IFERROR(VLOOKUP($A3076,原始数据_收盘!$A$4:$G$3460,2,0),"")</f>
        <v>2.4063</v>
      </c>
      <c r="C3076">
        <f>IFERROR(VLOOKUP($A3076,原始数据_收盘!$A$4:$G$3460,3,0),"")</f>
        <v>2.7025</v>
      </c>
      <c r="D3076">
        <f>IFERROR(VLOOKUP($A3076,原始数据_收盘!$A$4:$G$3460,4,0),"")</f>
        <v>2.4513</v>
      </c>
      <c r="E3076">
        <f>IFERROR(VLOOKUP($A3076,原始数据_收盘!$A$4:$G$3460,5,0),"")</f>
        <v>2.7563</v>
      </c>
      <c r="F3076">
        <f>IFERROR(VLOOKUP($A3076,原始数据_收盘!$A$4:$G$3460,6,0),"")</f>
        <v>2.4288</v>
      </c>
      <c r="G3076">
        <f>IFERROR(VLOOKUP($A3076,原始数据_收盘!$A$4:$G$3460,7,0),"")</f>
        <v>2.7294</v>
      </c>
      <c r="H3076">
        <f>IFERROR(VLOOKUP($A3076,原始数据_利率互换_FR007_1年!$A$6:$C$4395,2,0),"")</f>
        <v>2.4342</v>
      </c>
      <c r="I3076">
        <f>IFERROR(VLOOKUP($A3076,原始数据_利率互换_FR007_1年!$A$6:$C$4395,3,0),"")</f>
        <v>2.7361</v>
      </c>
    </row>
    <row r="3077" spans="1:9">
      <c r="A3077" s="6">
        <v>42570</v>
      </c>
      <c r="B3077">
        <f>IFERROR(VLOOKUP($A3077,原始数据_收盘!$A$4:$G$3460,2,0),"")</f>
        <v>2.4069</v>
      </c>
      <c r="C3077">
        <f>IFERROR(VLOOKUP($A3077,原始数据_收盘!$A$4:$G$3460,3,0),"")</f>
        <v>2.6919</v>
      </c>
      <c r="D3077">
        <f>IFERROR(VLOOKUP($A3077,原始数据_收盘!$A$4:$G$3460,4,0),"")</f>
        <v>2.4538</v>
      </c>
      <c r="E3077">
        <f>IFERROR(VLOOKUP($A3077,原始数据_收盘!$A$4:$G$3460,5,0),"")</f>
        <v>2.7519</v>
      </c>
      <c r="F3077">
        <f>IFERROR(VLOOKUP($A3077,原始数据_收盘!$A$4:$G$3460,6,0),"")</f>
        <v>2.4303</v>
      </c>
      <c r="G3077">
        <f>IFERROR(VLOOKUP($A3077,原始数据_收盘!$A$4:$G$3460,7,0),"")</f>
        <v>2.7219</v>
      </c>
      <c r="H3077">
        <f>IFERROR(VLOOKUP($A3077,原始数据_利率互换_FR007_1年!$A$6:$C$4395,2,0),"")</f>
        <v>2.4293</v>
      </c>
      <c r="I3077">
        <f>IFERROR(VLOOKUP($A3077,原始数据_利率互换_FR007_1年!$A$6:$C$4395,3,0),"")</f>
        <v>2.7228</v>
      </c>
    </row>
    <row r="3078" spans="1:9">
      <c r="A3078" s="6">
        <v>42571</v>
      </c>
      <c r="B3078">
        <f>IFERROR(VLOOKUP($A3078,原始数据_收盘!$A$4:$G$3460,2,0),"")</f>
        <v>2.4063</v>
      </c>
      <c r="C3078">
        <f>IFERROR(VLOOKUP($A3078,原始数据_收盘!$A$4:$G$3460,3,0),"")</f>
        <v>2.685</v>
      </c>
      <c r="D3078">
        <f>IFERROR(VLOOKUP($A3078,原始数据_收盘!$A$4:$G$3460,4,0),"")</f>
        <v>2.45</v>
      </c>
      <c r="E3078">
        <f>IFERROR(VLOOKUP($A3078,原始数据_收盘!$A$4:$G$3460,5,0),"")</f>
        <v>2.7325</v>
      </c>
      <c r="F3078">
        <f>IFERROR(VLOOKUP($A3078,原始数据_收盘!$A$4:$G$3460,6,0),"")</f>
        <v>2.4281</v>
      </c>
      <c r="G3078">
        <f>IFERROR(VLOOKUP($A3078,原始数据_收盘!$A$4:$G$3460,7,0),"")</f>
        <v>2.7088</v>
      </c>
      <c r="H3078">
        <f>IFERROR(VLOOKUP($A3078,原始数据_利率互换_FR007_1年!$A$6:$C$4395,2,0),"")</f>
        <v>2.422</v>
      </c>
      <c r="I3078">
        <f>IFERROR(VLOOKUP($A3078,原始数据_利率互换_FR007_1年!$A$6:$C$4395,3,0),"")</f>
        <v>2.6999</v>
      </c>
    </row>
    <row r="3079" spans="1:9">
      <c r="A3079" s="6">
        <v>42572</v>
      </c>
      <c r="B3079">
        <f>IFERROR(VLOOKUP($A3079,原始数据_收盘!$A$4:$G$3460,2,0),"")</f>
        <v>2.3975</v>
      </c>
      <c r="C3079">
        <f>IFERROR(VLOOKUP($A3079,原始数据_收盘!$A$4:$G$3460,3,0),"")</f>
        <v>2.6709</v>
      </c>
      <c r="D3079">
        <f>IFERROR(VLOOKUP($A3079,原始数据_收盘!$A$4:$G$3460,4,0),"")</f>
        <v>2.4488</v>
      </c>
      <c r="E3079">
        <f>IFERROR(VLOOKUP($A3079,原始数据_收盘!$A$4:$G$3460,5,0),"")</f>
        <v>2.7338</v>
      </c>
      <c r="F3079">
        <f>IFERROR(VLOOKUP($A3079,原始数据_收盘!$A$4:$G$3460,6,0),"")</f>
        <v>2.4231</v>
      </c>
      <c r="G3079">
        <f>IFERROR(VLOOKUP($A3079,原始数据_收盘!$A$4:$G$3460,7,0),"")</f>
        <v>2.7023</v>
      </c>
      <c r="H3079">
        <f>IFERROR(VLOOKUP($A3079,原始数据_利率互换_FR007_1年!$A$6:$C$4395,2,0),"")</f>
        <v>2.4198</v>
      </c>
      <c r="I3079">
        <f>IFERROR(VLOOKUP($A3079,原始数据_利率互换_FR007_1年!$A$6:$C$4395,3,0),"")</f>
        <v>2.6812</v>
      </c>
    </row>
    <row r="3080" spans="1:9">
      <c r="A3080" s="6">
        <v>42573</v>
      </c>
      <c r="B3080">
        <f>IFERROR(VLOOKUP($A3080,原始数据_收盘!$A$4:$G$3460,2,0),"")</f>
        <v>2.4</v>
      </c>
      <c r="C3080">
        <f>IFERROR(VLOOKUP($A3080,原始数据_收盘!$A$4:$G$3460,3,0),"")</f>
        <v>2.675</v>
      </c>
      <c r="D3080">
        <f>IFERROR(VLOOKUP($A3080,原始数据_收盘!$A$4:$G$3460,4,0),"")</f>
        <v>2.4475</v>
      </c>
      <c r="E3080">
        <f>IFERROR(VLOOKUP($A3080,原始数据_收盘!$A$4:$G$3460,5,0),"")</f>
        <v>2.7313</v>
      </c>
      <c r="F3080">
        <f>IFERROR(VLOOKUP($A3080,原始数据_收盘!$A$4:$G$3460,6,0),"")</f>
        <v>2.4238</v>
      </c>
      <c r="G3080">
        <f>IFERROR(VLOOKUP($A3080,原始数据_收盘!$A$4:$G$3460,7,0),"")</f>
        <v>2.7031</v>
      </c>
      <c r="H3080">
        <f>IFERROR(VLOOKUP($A3080,原始数据_利率互换_FR007_1年!$A$6:$C$4395,2,0),"")</f>
        <v>2.4278</v>
      </c>
      <c r="I3080">
        <f>IFERROR(VLOOKUP($A3080,原始数据_利率互换_FR007_1年!$A$6:$C$4395,3,0),"")</f>
        <v>2.7003</v>
      </c>
    </row>
    <row r="3081" spans="1:9">
      <c r="A3081" s="6">
        <v>42574</v>
      </c>
      <c r="B3081" t="str">
        <f>IFERROR(VLOOKUP($A3081,原始数据_收盘!$A$4:$G$3460,2,0),"")</f>
        <v/>
      </c>
      <c r="C3081" t="str">
        <f>IFERROR(VLOOKUP($A3081,原始数据_收盘!$A$4:$G$3460,3,0),"")</f>
        <v/>
      </c>
      <c r="D3081" t="str">
        <f>IFERROR(VLOOKUP($A3081,原始数据_收盘!$A$4:$G$3460,4,0),"")</f>
        <v/>
      </c>
      <c r="E3081" t="str">
        <f>IFERROR(VLOOKUP($A3081,原始数据_收盘!$A$4:$G$3460,5,0),"")</f>
        <v/>
      </c>
      <c r="F3081" t="str">
        <f>IFERROR(VLOOKUP($A3081,原始数据_收盘!$A$4:$G$3460,6,0),"")</f>
        <v/>
      </c>
      <c r="G3081" t="str">
        <f>IFERROR(VLOOKUP($A3081,原始数据_收盘!$A$4:$G$3460,7,0),"")</f>
        <v/>
      </c>
      <c r="H3081" t="str">
        <f>IFERROR(VLOOKUP($A3081,原始数据_利率互换_FR007_1年!$A$6:$C$4395,2,0),"")</f>
        <v/>
      </c>
      <c r="I3081" t="str">
        <f>IFERROR(VLOOKUP($A3081,原始数据_利率互换_FR007_1年!$A$6:$C$4395,3,0),"")</f>
        <v/>
      </c>
    </row>
    <row r="3082" spans="1:9">
      <c r="A3082" s="6">
        <v>42575</v>
      </c>
      <c r="B3082" t="str">
        <f>IFERROR(VLOOKUP($A3082,原始数据_收盘!$A$4:$G$3460,2,0),"")</f>
        <v/>
      </c>
      <c r="C3082" t="str">
        <f>IFERROR(VLOOKUP($A3082,原始数据_收盘!$A$4:$G$3460,3,0),"")</f>
        <v/>
      </c>
      <c r="D3082" t="str">
        <f>IFERROR(VLOOKUP($A3082,原始数据_收盘!$A$4:$G$3460,4,0),"")</f>
        <v/>
      </c>
      <c r="E3082" t="str">
        <f>IFERROR(VLOOKUP($A3082,原始数据_收盘!$A$4:$G$3460,5,0),"")</f>
        <v/>
      </c>
      <c r="F3082" t="str">
        <f>IFERROR(VLOOKUP($A3082,原始数据_收盘!$A$4:$G$3460,6,0),"")</f>
        <v/>
      </c>
      <c r="G3082" t="str">
        <f>IFERROR(VLOOKUP($A3082,原始数据_收盘!$A$4:$G$3460,7,0),"")</f>
        <v/>
      </c>
      <c r="H3082" t="str">
        <f>IFERROR(VLOOKUP($A3082,原始数据_利率互换_FR007_1年!$A$6:$C$4395,2,0),"")</f>
        <v/>
      </c>
      <c r="I3082" t="str">
        <f>IFERROR(VLOOKUP($A3082,原始数据_利率互换_FR007_1年!$A$6:$C$4395,3,0),"")</f>
        <v/>
      </c>
    </row>
    <row r="3083" spans="1:9">
      <c r="A3083" s="6">
        <v>42576</v>
      </c>
      <c r="B3083">
        <f>IFERROR(VLOOKUP($A3083,原始数据_收盘!$A$4:$G$3460,2,0),"")</f>
        <v>2.4154</v>
      </c>
      <c r="C3083">
        <f>IFERROR(VLOOKUP($A3083,原始数据_收盘!$A$4:$G$3460,3,0),"")</f>
        <v>2.6963</v>
      </c>
      <c r="D3083">
        <f>IFERROR(VLOOKUP($A3083,原始数据_收盘!$A$4:$G$3460,4,0),"")</f>
        <v>2.4575</v>
      </c>
      <c r="E3083">
        <f>IFERROR(VLOOKUP($A3083,原始数据_收盘!$A$4:$G$3460,5,0),"")</f>
        <v>2.7463</v>
      </c>
      <c r="F3083">
        <f>IFERROR(VLOOKUP($A3083,原始数据_收盘!$A$4:$G$3460,6,0),"")</f>
        <v>2.4364</v>
      </c>
      <c r="G3083">
        <f>IFERROR(VLOOKUP($A3083,原始数据_收盘!$A$4:$G$3460,7,0),"")</f>
        <v>2.7213</v>
      </c>
      <c r="H3083">
        <f>IFERROR(VLOOKUP($A3083,原始数据_利率互换_FR007_1年!$A$6:$C$4395,2,0),"")</f>
        <v>2.4407</v>
      </c>
      <c r="I3083">
        <f>IFERROR(VLOOKUP($A3083,原始数据_利率互换_FR007_1年!$A$6:$C$4395,3,0),"")</f>
        <v>2.7208</v>
      </c>
    </row>
    <row r="3084" spans="1:9">
      <c r="A3084" s="6">
        <v>42577</v>
      </c>
      <c r="B3084">
        <f>IFERROR(VLOOKUP($A3084,原始数据_收盘!$A$4:$G$3460,2,0),"")</f>
        <v>2.4138</v>
      </c>
      <c r="C3084">
        <f>IFERROR(VLOOKUP($A3084,原始数据_收盘!$A$4:$G$3460,3,0),"")</f>
        <v>2.6875</v>
      </c>
      <c r="D3084">
        <f>IFERROR(VLOOKUP($A3084,原始数据_收盘!$A$4:$G$3460,4,0),"")</f>
        <v>2.4588</v>
      </c>
      <c r="E3084">
        <f>IFERROR(VLOOKUP($A3084,原始数据_收盘!$A$4:$G$3460,5,0),"")</f>
        <v>2.7425</v>
      </c>
      <c r="F3084">
        <f>IFERROR(VLOOKUP($A3084,原始数据_收盘!$A$4:$G$3460,6,0),"")</f>
        <v>2.4363</v>
      </c>
      <c r="G3084">
        <f>IFERROR(VLOOKUP($A3084,原始数据_收盘!$A$4:$G$3460,7,0),"")</f>
        <v>2.715</v>
      </c>
      <c r="H3084">
        <f>IFERROR(VLOOKUP($A3084,原始数据_利率互换_FR007_1年!$A$6:$C$4395,2,0),"")</f>
        <v>2.4427</v>
      </c>
      <c r="I3084">
        <f>IFERROR(VLOOKUP($A3084,原始数据_利率互换_FR007_1年!$A$6:$C$4395,3,0),"")</f>
        <v>2.72</v>
      </c>
    </row>
    <row r="3085" spans="1:9">
      <c r="A3085" s="6">
        <v>42578</v>
      </c>
      <c r="B3085">
        <f>IFERROR(VLOOKUP($A3085,原始数据_收盘!$A$4:$G$3460,2,0),"")</f>
        <v>2.4184</v>
      </c>
      <c r="C3085">
        <f>IFERROR(VLOOKUP($A3085,原始数据_收盘!$A$4:$G$3460,3,0),"")</f>
        <v>2.6971</v>
      </c>
      <c r="D3085">
        <f>IFERROR(VLOOKUP($A3085,原始数据_收盘!$A$4:$G$3460,4,0),"")</f>
        <v>2.465</v>
      </c>
      <c r="E3085">
        <f>IFERROR(VLOOKUP($A3085,原始数据_收盘!$A$4:$G$3460,5,0),"")</f>
        <v>2.7513</v>
      </c>
      <c r="F3085">
        <f>IFERROR(VLOOKUP($A3085,原始数据_收盘!$A$4:$G$3460,6,0),"")</f>
        <v>2.4417</v>
      </c>
      <c r="G3085">
        <f>IFERROR(VLOOKUP($A3085,原始数据_收盘!$A$4:$G$3460,7,0),"")</f>
        <v>2.7242</v>
      </c>
      <c r="H3085">
        <f>IFERROR(VLOOKUP($A3085,原始数据_利率互换_FR007_1年!$A$6:$C$4395,2,0),"")</f>
        <v>2.4462</v>
      </c>
      <c r="I3085">
        <f>IFERROR(VLOOKUP($A3085,原始数据_利率互换_FR007_1年!$A$6:$C$4395,3,0),"")</f>
        <v>2.7211</v>
      </c>
    </row>
    <row r="3086" spans="1:9">
      <c r="A3086" s="6">
        <v>42579</v>
      </c>
      <c r="B3086">
        <f>IFERROR(VLOOKUP($A3086,原始数据_收盘!$A$4:$G$3460,2,0),"")</f>
        <v>2.4013</v>
      </c>
      <c r="C3086">
        <f>IFERROR(VLOOKUP($A3086,原始数据_收盘!$A$4:$G$3460,3,0),"")</f>
        <v>2.6775</v>
      </c>
      <c r="D3086">
        <f>IFERROR(VLOOKUP($A3086,原始数据_收盘!$A$4:$G$3460,4,0),"")</f>
        <v>2.4575</v>
      </c>
      <c r="E3086">
        <f>IFERROR(VLOOKUP($A3086,原始数据_收盘!$A$4:$G$3460,5,0),"")</f>
        <v>2.7363</v>
      </c>
      <c r="F3086">
        <f>IFERROR(VLOOKUP($A3086,原始数据_收盘!$A$4:$G$3460,6,0),"")</f>
        <v>2.4294</v>
      </c>
      <c r="G3086">
        <f>IFERROR(VLOOKUP($A3086,原始数据_收盘!$A$4:$G$3460,7,0),"")</f>
        <v>2.7069</v>
      </c>
      <c r="H3086">
        <f>IFERROR(VLOOKUP($A3086,原始数据_利率互换_FR007_1年!$A$6:$C$4395,2,0),"")</f>
        <v>2.4436</v>
      </c>
      <c r="I3086">
        <f>IFERROR(VLOOKUP($A3086,原始数据_利率互换_FR007_1年!$A$6:$C$4395,3,0),"")</f>
        <v>2.7135</v>
      </c>
    </row>
    <row r="3087" spans="1:9">
      <c r="A3087" s="6">
        <v>42580</v>
      </c>
      <c r="B3087">
        <f>IFERROR(VLOOKUP($A3087,原始数据_收盘!$A$4:$G$3460,2,0),"")</f>
        <v>2.4125</v>
      </c>
      <c r="C3087">
        <f>IFERROR(VLOOKUP($A3087,原始数据_收盘!$A$4:$G$3460,3,0),"")</f>
        <v>2.6825</v>
      </c>
      <c r="D3087">
        <f>IFERROR(VLOOKUP($A3087,原始数据_收盘!$A$4:$G$3460,4,0),"")</f>
        <v>2.455</v>
      </c>
      <c r="E3087">
        <f>IFERROR(VLOOKUP($A3087,原始数据_收盘!$A$4:$G$3460,5,0),"")</f>
        <v>2.735</v>
      </c>
      <c r="F3087">
        <f>IFERROR(VLOOKUP($A3087,原始数据_收盘!$A$4:$G$3460,6,0),"")</f>
        <v>2.4338</v>
      </c>
      <c r="G3087">
        <f>IFERROR(VLOOKUP($A3087,原始数据_收盘!$A$4:$G$3460,7,0),"")</f>
        <v>2.7088</v>
      </c>
      <c r="H3087">
        <f>IFERROR(VLOOKUP($A3087,原始数据_利率互换_FR007_1年!$A$6:$C$4395,2,0),"")</f>
        <v>2.441</v>
      </c>
      <c r="I3087">
        <f>IFERROR(VLOOKUP($A3087,原始数据_利率互换_FR007_1年!$A$6:$C$4395,3,0),"")</f>
        <v>2.7029</v>
      </c>
    </row>
    <row r="3088" spans="1:9">
      <c r="A3088" s="6">
        <v>42581</v>
      </c>
      <c r="B3088" t="str">
        <f>IFERROR(VLOOKUP($A3088,原始数据_收盘!$A$4:$G$3460,2,0),"")</f>
        <v/>
      </c>
      <c r="C3088" t="str">
        <f>IFERROR(VLOOKUP($A3088,原始数据_收盘!$A$4:$G$3460,3,0),"")</f>
        <v/>
      </c>
      <c r="D3088" t="str">
        <f>IFERROR(VLOOKUP($A3088,原始数据_收盘!$A$4:$G$3460,4,0),"")</f>
        <v/>
      </c>
      <c r="E3088" t="str">
        <f>IFERROR(VLOOKUP($A3088,原始数据_收盘!$A$4:$G$3460,5,0),"")</f>
        <v/>
      </c>
      <c r="F3088" t="str">
        <f>IFERROR(VLOOKUP($A3088,原始数据_收盘!$A$4:$G$3460,6,0),"")</f>
        <v/>
      </c>
      <c r="G3088" t="str">
        <f>IFERROR(VLOOKUP($A3088,原始数据_收盘!$A$4:$G$3460,7,0),"")</f>
        <v/>
      </c>
      <c r="H3088" t="str">
        <f>IFERROR(VLOOKUP($A3088,原始数据_利率互换_FR007_1年!$A$6:$C$4395,2,0),"")</f>
        <v/>
      </c>
      <c r="I3088" t="str">
        <f>IFERROR(VLOOKUP($A3088,原始数据_利率互换_FR007_1年!$A$6:$C$4395,3,0),"")</f>
        <v/>
      </c>
    </row>
    <row r="3089" spans="1:9">
      <c r="A3089" s="6">
        <v>42582</v>
      </c>
      <c r="B3089" t="str">
        <f>IFERROR(VLOOKUP($A3089,原始数据_收盘!$A$4:$G$3460,2,0),"")</f>
        <v/>
      </c>
      <c r="C3089" t="str">
        <f>IFERROR(VLOOKUP($A3089,原始数据_收盘!$A$4:$G$3460,3,0),"")</f>
        <v/>
      </c>
      <c r="D3089" t="str">
        <f>IFERROR(VLOOKUP($A3089,原始数据_收盘!$A$4:$G$3460,4,0),"")</f>
        <v/>
      </c>
      <c r="E3089" t="str">
        <f>IFERROR(VLOOKUP($A3089,原始数据_收盘!$A$4:$G$3460,5,0),"")</f>
        <v/>
      </c>
      <c r="F3089" t="str">
        <f>IFERROR(VLOOKUP($A3089,原始数据_收盘!$A$4:$G$3460,6,0),"")</f>
        <v/>
      </c>
      <c r="G3089" t="str">
        <f>IFERROR(VLOOKUP($A3089,原始数据_收盘!$A$4:$G$3460,7,0),"")</f>
        <v/>
      </c>
      <c r="H3089" t="str">
        <f>IFERROR(VLOOKUP($A3089,原始数据_利率互换_FR007_1年!$A$6:$C$4395,2,0),"")</f>
        <v/>
      </c>
      <c r="I3089" t="str">
        <f>IFERROR(VLOOKUP($A3089,原始数据_利率互换_FR007_1年!$A$6:$C$4395,3,0),"")</f>
        <v/>
      </c>
    </row>
    <row r="3090" spans="1:9">
      <c r="A3090" s="6">
        <v>42583</v>
      </c>
      <c r="B3090">
        <f>IFERROR(VLOOKUP($A3090,原始数据_收盘!$A$4:$G$3460,2,0),"")</f>
        <v>2.4167</v>
      </c>
      <c r="C3090">
        <f>IFERROR(VLOOKUP($A3090,原始数据_收盘!$A$4:$G$3460,3,0),"")</f>
        <v>2.6867</v>
      </c>
      <c r="D3090">
        <f>IFERROR(VLOOKUP($A3090,原始数据_收盘!$A$4:$G$3460,4,0),"")</f>
        <v>2.4611</v>
      </c>
      <c r="E3090">
        <f>IFERROR(VLOOKUP($A3090,原始数据_收盘!$A$4:$G$3460,5,0),"")</f>
        <v>2.7394</v>
      </c>
      <c r="F3090">
        <f>IFERROR(VLOOKUP($A3090,原始数据_收盘!$A$4:$G$3460,6,0),"")</f>
        <v>2.4389</v>
      </c>
      <c r="G3090">
        <f>IFERROR(VLOOKUP($A3090,原始数据_收盘!$A$4:$G$3460,7,0),"")</f>
        <v>2.7131</v>
      </c>
      <c r="H3090">
        <f>IFERROR(VLOOKUP($A3090,原始数据_利率互换_FR007_1年!$A$6:$C$4395,2,0),"")</f>
        <v>2.438</v>
      </c>
      <c r="I3090">
        <f>IFERROR(VLOOKUP($A3090,原始数据_利率互换_FR007_1年!$A$6:$C$4395,3,0),"")</f>
        <v>2.6968</v>
      </c>
    </row>
    <row r="3091" spans="1:9">
      <c r="A3091" s="6">
        <v>42584</v>
      </c>
      <c r="B3091">
        <f>IFERROR(VLOOKUP($A3091,原始数据_收盘!$A$4:$G$3460,2,0),"")</f>
        <v>2.4154</v>
      </c>
      <c r="C3091">
        <f>IFERROR(VLOOKUP($A3091,原始数据_收盘!$A$4:$G$3460,3,0),"")</f>
        <v>2.69</v>
      </c>
      <c r="D3091">
        <f>IFERROR(VLOOKUP($A3091,原始数据_收盘!$A$4:$G$3460,4,0),"")</f>
        <v>2.4588</v>
      </c>
      <c r="E3091">
        <f>IFERROR(VLOOKUP($A3091,原始数据_收盘!$A$4:$G$3460,5,0),"")</f>
        <v>2.7419</v>
      </c>
      <c r="F3091">
        <f>IFERROR(VLOOKUP($A3091,原始数据_收盘!$A$4:$G$3460,6,0),"")</f>
        <v>2.4371</v>
      </c>
      <c r="G3091">
        <f>IFERROR(VLOOKUP($A3091,原始数据_收盘!$A$4:$G$3460,7,0),"")</f>
        <v>2.7159</v>
      </c>
      <c r="H3091">
        <f>IFERROR(VLOOKUP($A3091,原始数据_利率互换_FR007_1年!$A$6:$C$4395,2,0),"")</f>
        <v>2.4373</v>
      </c>
      <c r="I3091">
        <f>IFERROR(VLOOKUP($A3091,原始数据_利率互换_FR007_1年!$A$6:$C$4395,3,0),"")</f>
        <v>2.7142</v>
      </c>
    </row>
    <row r="3092" spans="1:9">
      <c r="A3092" s="6">
        <v>42585</v>
      </c>
      <c r="B3092">
        <f>IFERROR(VLOOKUP($A3092,原始数据_收盘!$A$4:$G$3460,2,0),"")</f>
        <v>2.4125</v>
      </c>
      <c r="C3092">
        <f>IFERROR(VLOOKUP($A3092,原始数据_收盘!$A$4:$G$3460,3,0),"")</f>
        <v>2.6731</v>
      </c>
      <c r="D3092">
        <f>IFERROR(VLOOKUP($A3092,原始数据_收盘!$A$4:$G$3460,4,0),"")</f>
        <v>2.4613</v>
      </c>
      <c r="E3092">
        <f>IFERROR(VLOOKUP($A3092,原始数据_收盘!$A$4:$G$3460,5,0),"")</f>
        <v>2.74</v>
      </c>
      <c r="F3092">
        <f>IFERROR(VLOOKUP($A3092,原始数据_收盘!$A$4:$G$3460,6,0),"")</f>
        <v>2.4369</v>
      </c>
      <c r="G3092">
        <f>IFERROR(VLOOKUP($A3092,原始数据_收盘!$A$4:$G$3460,7,0),"")</f>
        <v>2.7066</v>
      </c>
      <c r="H3092">
        <f>IFERROR(VLOOKUP($A3092,原始数据_利率互换_FR007_1年!$A$6:$C$4395,2,0),"")</f>
        <v>2.4344</v>
      </c>
      <c r="I3092">
        <f>IFERROR(VLOOKUP($A3092,原始数据_利率互换_FR007_1年!$A$6:$C$4395,3,0),"")</f>
        <v>2.7037</v>
      </c>
    </row>
    <row r="3093" spans="1:9">
      <c r="A3093" s="6">
        <v>42586</v>
      </c>
      <c r="B3093">
        <f>IFERROR(VLOOKUP($A3093,原始数据_收盘!$A$4:$G$3460,2,0),"")</f>
        <v>2.3998</v>
      </c>
      <c r="C3093">
        <f>IFERROR(VLOOKUP($A3093,原始数据_收盘!$A$4:$G$3460,3,0),"")</f>
        <v>2.6744</v>
      </c>
      <c r="D3093">
        <f>IFERROR(VLOOKUP($A3093,原始数据_收盘!$A$4:$G$3460,4,0),"")</f>
        <v>2.4596</v>
      </c>
      <c r="E3093">
        <f>IFERROR(VLOOKUP($A3093,原始数据_收盘!$A$4:$G$3460,5,0),"")</f>
        <v>2.74</v>
      </c>
      <c r="F3093">
        <f>IFERROR(VLOOKUP($A3093,原始数据_收盘!$A$4:$G$3460,6,0),"")</f>
        <v>2.4297</v>
      </c>
      <c r="G3093">
        <f>IFERROR(VLOOKUP($A3093,原始数据_收盘!$A$4:$G$3460,7,0),"")</f>
        <v>2.7072</v>
      </c>
      <c r="H3093">
        <f>IFERROR(VLOOKUP($A3093,原始数据_利率互换_FR007_1年!$A$6:$C$4395,2,0),"")</f>
        <v>2.4299</v>
      </c>
      <c r="I3093">
        <f>IFERROR(VLOOKUP($A3093,原始数据_利率互换_FR007_1年!$A$6:$C$4395,3,0),"")</f>
        <v>2.701</v>
      </c>
    </row>
    <row r="3094" spans="1:9">
      <c r="A3094" s="6">
        <v>42587</v>
      </c>
      <c r="B3094">
        <f>IFERROR(VLOOKUP($A3094,原始数据_收盘!$A$4:$G$3460,2,0),"")</f>
        <v>2.4</v>
      </c>
      <c r="C3094">
        <f>IFERROR(VLOOKUP($A3094,原始数据_收盘!$A$4:$G$3460,3,0),"")</f>
        <v>2.6685</v>
      </c>
      <c r="D3094">
        <f>IFERROR(VLOOKUP($A3094,原始数据_收盘!$A$4:$G$3460,4,0),"")</f>
        <v>2.4529</v>
      </c>
      <c r="E3094">
        <f>IFERROR(VLOOKUP($A3094,原始数据_收盘!$A$4:$G$3460,5,0),"")</f>
        <v>2.7325</v>
      </c>
      <c r="F3094">
        <f>IFERROR(VLOOKUP($A3094,原始数据_收盘!$A$4:$G$3460,6,0),"")</f>
        <v>2.4264</v>
      </c>
      <c r="G3094">
        <f>IFERROR(VLOOKUP($A3094,原始数据_收盘!$A$4:$G$3460,7,0),"")</f>
        <v>2.7005</v>
      </c>
      <c r="H3094">
        <f>IFERROR(VLOOKUP($A3094,原始数据_利率互换_FR007_1年!$A$6:$C$4395,2,0),"")</f>
        <v>2.4236</v>
      </c>
      <c r="I3094">
        <f>IFERROR(VLOOKUP($A3094,原始数据_利率互换_FR007_1年!$A$6:$C$4395,3,0),"")</f>
        <v>2.6869</v>
      </c>
    </row>
    <row r="3095" spans="1:9">
      <c r="A3095" s="6">
        <v>42588</v>
      </c>
      <c r="B3095" t="str">
        <f>IFERROR(VLOOKUP($A3095,原始数据_收盘!$A$4:$G$3460,2,0),"")</f>
        <v/>
      </c>
      <c r="C3095" t="str">
        <f>IFERROR(VLOOKUP($A3095,原始数据_收盘!$A$4:$G$3460,3,0),"")</f>
        <v/>
      </c>
      <c r="D3095" t="str">
        <f>IFERROR(VLOOKUP($A3095,原始数据_收盘!$A$4:$G$3460,4,0),"")</f>
        <v/>
      </c>
      <c r="E3095" t="str">
        <f>IFERROR(VLOOKUP($A3095,原始数据_收盘!$A$4:$G$3460,5,0),"")</f>
        <v/>
      </c>
      <c r="F3095" t="str">
        <f>IFERROR(VLOOKUP($A3095,原始数据_收盘!$A$4:$G$3460,6,0),"")</f>
        <v/>
      </c>
      <c r="G3095" t="str">
        <f>IFERROR(VLOOKUP($A3095,原始数据_收盘!$A$4:$G$3460,7,0),"")</f>
        <v/>
      </c>
      <c r="H3095" t="str">
        <f>IFERROR(VLOOKUP($A3095,原始数据_利率互换_FR007_1年!$A$6:$C$4395,2,0),"")</f>
        <v/>
      </c>
      <c r="I3095" t="str">
        <f>IFERROR(VLOOKUP($A3095,原始数据_利率互换_FR007_1年!$A$6:$C$4395,3,0),"")</f>
        <v/>
      </c>
    </row>
    <row r="3096" spans="1:9">
      <c r="A3096" s="6">
        <v>42589</v>
      </c>
      <c r="B3096" t="str">
        <f>IFERROR(VLOOKUP($A3096,原始数据_收盘!$A$4:$G$3460,2,0),"")</f>
        <v/>
      </c>
      <c r="C3096" t="str">
        <f>IFERROR(VLOOKUP($A3096,原始数据_收盘!$A$4:$G$3460,3,0),"")</f>
        <v/>
      </c>
      <c r="D3096" t="str">
        <f>IFERROR(VLOOKUP($A3096,原始数据_收盘!$A$4:$G$3460,4,0),"")</f>
        <v/>
      </c>
      <c r="E3096" t="str">
        <f>IFERROR(VLOOKUP($A3096,原始数据_收盘!$A$4:$G$3460,5,0),"")</f>
        <v/>
      </c>
      <c r="F3096" t="str">
        <f>IFERROR(VLOOKUP($A3096,原始数据_收盘!$A$4:$G$3460,6,0),"")</f>
        <v/>
      </c>
      <c r="G3096" t="str">
        <f>IFERROR(VLOOKUP($A3096,原始数据_收盘!$A$4:$G$3460,7,0),"")</f>
        <v/>
      </c>
      <c r="H3096" t="str">
        <f>IFERROR(VLOOKUP($A3096,原始数据_利率互换_FR007_1年!$A$6:$C$4395,2,0),"")</f>
        <v/>
      </c>
      <c r="I3096" t="str">
        <f>IFERROR(VLOOKUP($A3096,原始数据_利率互换_FR007_1年!$A$6:$C$4395,3,0),"")</f>
        <v/>
      </c>
    </row>
    <row r="3097" spans="1:9">
      <c r="A3097" s="6">
        <v>42590</v>
      </c>
      <c r="B3097">
        <f>IFERROR(VLOOKUP($A3097,原始数据_收盘!$A$4:$G$3460,2,0),"")</f>
        <v>2.4038</v>
      </c>
      <c r="C3097">
        <f>IFERROR(VLOOKUP($A3097,原始数据_收盘!$A$4:$G$3460,3,0),"")</f>
        <v>2.6709</v>
      </c>
      <c r="D3097">
        <f>IFERROR(VLOOKUP($A3097,原始数据_收盘!$A$4:$G$3460,4,0),"")</f>
        <v>2.45</v>
      </c>
      <c r="E3097">
        <f>IFERROR(VLOOKUP($A3097,原始数据_收盘!$A$4:$G$3460,5,0),"")</f>
        <v>2.7263</v>
      </c>
      <c r="F3097">
        <f>IFERROR(VLOOKUP($A3097,原始数据_收盘!$A$4:$G$3460,6,0),"")</f>
        <v>2.4269</v>
      </c>
      <c r="G3097">
        <f>IFERROR(VLOOKUP($A3097,原始数据_收盘!$A$4:$G$3460,7,0),"")</f>
        <v>2.6986</v>
      </c>
      <c r="H3097">
        <f>IFERROR(VLOOKUP($A3097,原始数据_利率互换_FR007_1年!$A$6:$C$4395,2,0),"")</f>
        <v>2.43</v>
      </c>
      <c r="I3097">
        <f>IFERROR(VLOOKUP($A3097,原始数据_利率互换_FR007_1年!$A$6:$C$4395,3,0),"")</f>
        <v>2.6911</v>
      </c>
    </row>
    <row r="3098" spans="1:9">
      <c r="A3098" s="6">
        <v>42591</v>
      </c>
      <c r="B3098">
        <f>IFERROR(VLOOKUP($A3098,原始数据_收盘!$A$4:$G$3460,2,0),"")</f>
        <v>2.405</v>
      </c>
      <c r="C3098">
        <f>IFERROR(VLOOKUP($A3098,原始数据_收盘!$A$4:$G$3460,3,0),"")</f>
        <v>2.6696</v>
      </c>
      <c r="D3098">
        <f>IFERROR(VLOOKUP($A3098,原始数据_收盘!$A$4:$G$3460,4,0),"")</f>
        <v>2.4488</v>
      </c>
      <c r="E3098">
        <f>IFERROR(VLOOKUP($A3098,原始数据_收盘!$A$4:$G$3460,5,0),"")</f>
        <v>2.7238</v>
      </c>
      <c r="F3098">
        <f>IFERROR(VLOOKUP($A3098,原始数据_收盘!$A$4:$G$3460,6,0),"")</f>
        <v>2.4269</v>
      </c>
      <c r="G3098">
        <f>IFERROR(VLOOKUP($A3098,原始数据_收盘!$A$4:$G$3460,7,0),"")</f>
        <v>2.6967</v>
      </c>
      <c r="H3098">
        <f>IFERROR(VLOOKUP($A3098,原始数据_利率互换_FR007_1年!$A$6:$C$4395,2,0),"")</f>
        <v>2.4269</v>
      </c>
      <c r="I3098">
        <f>IFERROR(VLOOKUP($A3098,原始数据_利率互换_FR007_1年!$A$6:$C$4395,3,0),"")</f>
        <v>2.6894</v>
      </c>
    </row>
    <row r="3099" spans="1:9">
      <c r="A3099" s="6">
        <v>42592</v>
      </c>
      <c r="B3099">
        <f>IFERROR(VLOOKUP($A3099,原始数据_收盘!$A$4:$G$3460,2,0),"")</f>
        <v>2.4041</v>
      </c>
      <c r="C3099">
        <f>IFERROR(VLOOKUP($A3099,原始数据_收盘!$A$4:$G$3460,3,0),"")</f>
        <v>2.6609</v>
      </c>
      <c r="D3099">
        <f>IFERROR(VLOOKUP($A3099,原始数据_收盘!$A$4:$G$3460,4,0),"")</f>
        <v>2.455</v>
      </c>
      <c r="E3099">
        <f>IFERROR(VLOOKUP($A3099,原始数据_收盘!$A$4:$G$3460,5,0),"")</f>
        <v>2.7188</v>
      </c>
      <c r="F3099">
        <f>IFERROR(VLOOKUP($A3099,原始数据_收盘!$A$4:$G$3460,6,0),"")</f>
        <v>2.4296</v>
      </c>
      <c r="G3099">
        <f>IFERROR(VLOOKUP($A3099,原始数据_收盘!$A$4:$G$3460,7,0),"")</f>
        <v>2.6898</v>
      </c>
      <c r="H3099">
        <f>IFERROR(VLOOKUP($A3099,原始数据_利率互换_FR007_1年!$A$6:$C$4395,2,0),"")</f>
        <v>2.428</v>
      </c>
      <c r="I3099">
        <f>IFERROR(VLOOKUP($A3099,原始数据_利率互换_FR007_1年!$A$6:$C$4395,3,0),"")</f>
        <v>2.6792</v>
      </c>
    </row>
    <row r="3100" spans="1:9">
      <c r="A3100" s="6">
        <v>42593</v>
      </c>
      <c r="B3100">
        <f>IFERROR(VLOOKUP($A3100,原始数据_收盘!$A$4:$G$3460,2,0),"")</f>
        <v>2.4096</v>
      </c>
      <c r="C3100">
        <f>IFERROR(VLOOKUP($A3100,原始数据_收盘!$A$4:$G$3460,3,0),"")</f>
        <v>2.66</v>
      </c>
      <c r="D3100">
        <f>IFERROR(VLOOKUP($A3100,原始数据_收盘!$A$4:$G$3460,4,0),"")</f>
        <v>2.4575</v>
      </c>
      <c r="E3100">
        <f>IFERROR(VLOOKUP($A3100,原始数据_收盘!$A$4:$G$3460,5,0),"")</f>
        <v>2.715</v>
      </c>
      <c r="F3100">
        <f>IFERROR(VLOOKUP($A3100,原始数据_收盘!$A$4:$G$3460,6,0),"")</f>
        <v>2.4336</v>
      </c>
      <c r="G3100">
        <f>IFERROR(VLOOKUP($A3100,原始数据_收盘!$A$4:$G$3460,7,0),"")</f>
        <v>2.6875</v>
      </c>
      <c r="H3100">
        <f>IFERROR(VLOOKUP($A3100,原始数据_利率互换_FR007_1年!$A$6:$C$4395,2,0),"")</f>
        <v>2.4325</v>
      </c>
      <c r="I3100">
        <f>IFERROR(VLOOKUP($A3100,原始数据_利率互换_FR007_1年!$A$6:$C$4395,3,0),"")</f>
        <v>2.6843</v>
      </c>
    </row>
    <row r="3101" spans="1:9">
      <c r="A3101" s="6">
        <v>42594</v>
      </c>
      <c r="B3101">
        <f>IFERROR(VLOOKUP($A3101,原始数据_收盘!$A$4:$G$3460,2,0),"")</f>
        <v>2.4088</v>
      </c>
      <c r="C3101">
        <f>IFERROR(VLOOKUP($A3101,原始数据_收盘!$A$4:$G$3460,3,0),"")</f>
        <v>2.6463</v>
      </c>
      <c r="D3101">
        <f>IFERROR(VLOOKUP($A3101,原始数据_收盘!$A$4:$G$3460,4,0),"")</f>
        <v>2.4538</v>
      </c>
      <c r="E3101">
        <f>IFERROR(VLOOKUP($A3101,原始数据_收盘!$A$4:$G$3460,5,0),"")</f>
        <v>2.7038</v>
      </c>
      <c r="F3101">
        <f>IFERROR(VLOOKUP($A3101,原始数据_收盘!$A$4:$G$3460,6,0),"")</f>
        <v>2.4313</v>
      </c>
      <c r="G3101">
        <f>IFERROR(VLOOKUP($A3101,原始数据_收盘!$A$4:$G$3460,7,0),"")</f>
        <v>2.675</v>
      </c>
      <c r="H3101">
        <f>IFERROR(VLOOKUP($A3101,原始数据_利率互换_FR007_1年!$A$6:$C$4395,2,0),"")</f>
        <v>2.43</v>
      </c>
      <c r="I3101">
        <f>IFERROR(VLOOKUP($A3101,原始数据_利率互换_FR007_1年!$A$6:$C$4395,3,0),"")</f>
        <v>2.6754</v>
      </c>
    </row>
    <row r="3102" spans="1:9">
      <c r="A3102" s="6">
        <v>42595</v>
      </c>
      <c r="B3102" t="str">
        <f>IFERROR(VLOOKUP($A3102,原始数据_收盘!$A$4:$G$3460,2,0),"")</f>
        <v/>
      </c>
      <c r="C3102" t="str">
        <f>IFERROR(VLOOKUP($A3102,原始数据_收盘!$A$4:$G$3460,3,0),"")</f>
        <v/>
      </c>
      <c r="D3102" t="str">
        <f>IFERROR(VLOOKUP($A3102,原始数据_收盘!$A$4:$G$3460,4,0),"")</f>
        <v/>
      </c>
      <c r="E3102" t="str">
        <f>IFERROR(VLOOKUP($A3102,原始数据_收盘!$A$4:$G$3460,5,0),"")</f>
        <v/>
      </c>
      <c r="F3102" t="str">
        <f>IFERROR(VLOOKUP($A3102,原始数据_收盘!$A$4:$G$3460,6,0),"")</f>
        <v/>
      </c>
      <c r="G3102" t="str">
        <f>IFERROR(VLOOKUP($A3102,原始数据_收盘!$A$4:$G$3460,7,0),"")</f>
        <v/>
      </c>
      <c r="H3102" t="str">
        <f>IFERROR(VLOOKUP($A3102,原始数据_利率互换_FR007_1年!$A$6:$C$4395,2,0),"")</f>
        <v/>
      </c>
      <c r="I3102" t="str">
        <f>IFERROR(VLOOKUP($A3102,原始数据_利率互换_FR007_1年!$A$6:$C$4395,3,0),"")</f>
        <v/>
      </c>
    </row>
    <row r="3103" spans="1:9">
      <c r="A3103" s="6">
        <v>42596</v>
      </c>
      <c r="B3103" t="str">
        <f>IFERROR(VLOOKUP($A3103,原始数据_收盘!$A$4:$G$3460,2,0),"")</f>
        <v/>
      </c>
      <c r="C3103" t="str">
        <f>IFERROR(VLOOKUP($A3103,原始数据_收盘!$A$4:$G$3460,3,0),"")</f>
        <v/>
      </c>
      <c r="D3103" t="str">
        <f>IFERROR(VLOOKUP($A3103,原始数据_收盘!$A$4:$G$3460,4,0),"")</f>
        <v/>
      </c>
      <c r="E3103" t="str">
        <f>IFERROR(VLOOKUP($A3103,原始数据_收盘!$A$4:$G$3460,5,0),"")</f>
        <v/>
      </c>
      <c r="F3103" t="str">
        <f>IFERROR(VLOOKUP($A3103,原始数据_收盘!$A$4:$G$3460,6,0),"")</f>
        <v/>
      </c>
      <c r="G3103" t="str">
        <f>IFERROR(VLOOKUP($A3103,原始数据_收盘!$A$4:$G$3460,7,0),"")</f>
        <v/>
      </c>
      <c r="H3103" t="str">
        <f>IFERROR(VLOOKUP($A3103,原始数据_利率互换_FR007_1年!$A$6:$C$4395,2,0),"")</f>
        <v/>
      </c>
      <c r="I3103" t="str">
        <f>IFERROR(VLOOKUP($A3103,原始数据_利率互换_FR007_1年!$A$6:$C$4395,3,0),"")</f>
        <v/>
      </c>
    </row>
    <row r="3104" spans="1:9">
      <c r="A3104" s="6">
        <v>42597</v>
      </c>
      <c r="B3104">
        <f>IFERROR(VLOOKUP($A3104,原始数据_收盘!$A$4:$G$3460,2,0),"")</f>
        <v>2.395</v>
      </c>
      <c r="C3104">
        <f>IFERROR(VLOOKUP($A3104,原始数据_收盘!$A$4:$G$3460,3,0),"")</f>
        <v>2.6188</v>
      </c>
      <c r="D3104">
        <f>IFERROR(VLOOKUP($A3104,原始数据_收盘!$A$4:$G$3460,4,0),"")</f>
        <v>2.44</v>
      </c>
      <c r="E3104">
        <f>IFERROR(VLOOKUP($A3104,原始数据_收盘!$A$4:$G$3460,5,0),"")</f>
        <v>2.6725</v>
      </c>
      <c r="F3104">
        <f>IFERROR(VLOOKUP($A3104,原始数据_收盘!$A$4:$G$3460,6,0),"")</f>
        <v>2.4175</v>
      </c>
      <c r="G3104">
        <f>IFERROR(VLOOKUP($A3104,原始数据_收盘!$A$4:$G$3460,7,0),"")</f>
        <v>2.6456</v>
      </c>
      <c r="H3104">
        <f>IFERROR(VLOOKUP($A3104,原始数据_利率互换_FR007_1年!$A$6:$C$4395,2,0),"")</f>
        <v>2.4175</v>
      </c>
      <c r="I3104">
        <f>IFERROR(VLOOKUP($A3104,原始数据_利率互换_FR007_1年!$A$6:$C$4395,3,0),"")</f>
        <v>2.6375</v>
      </c>
    </row>
    <row r="3105" spans="1:9">
      <c r="A3105" s="6">
        <v>42598</v>
      </c>
      <c r="B3105">
        <f>IFERROR(VLOOKUP($A3105,原始数据_收盘!$A$4:$G$3460,2,0),"")</f>
        <v>2.4038</v>
      </c>
      <c r="C3105">
        <f>IFERROR(VLOOKUP($A3105,原始数据_收盘!$A$4:$G$3460,3,0),"")</f>
        <v>2.625</v>
      </c>
      <c r="D3105">
        <f>IFERROR(VLOOKUP($A3105,原始数据_收盘!$A$4:$G$3460,4,0),"")</f>
        <v>2.445</v>
      </c>
      <c r="E3105">
        <f>IFERROR(VLOOKUP($A3105,原始数据_收盘!$A$4:$G$3460,5,0),"")</f>
        <v>2.6688</v>
      </c>
      <c r="F3105">
        <f>IFERROR(VLOOKUP($A3105,原始数据_收盘!$A$4:$G$3460,6,0),"")</f>
        <v>2.4244</v>
      </c>
      <c r="G3105">
        <f>IFERROR(VLOOKUP($A3105,原始数据_收盘!$A$4:$G$3460,7,0),"")</f>
        <v>2.6469</v>
      </c>
      <c r="H3105">
        <f>IFERROR(VLOOKUP($A3105,原始数据_利率互换_FR007_1年!$A$6:$C$4395,2,0),"")</f>
        <v>2.4209</v>
      </c>
      <c r="I3105">
        <f>IFERROR(VLOOKUP($A3105,原始数据_利率互换_FR007_1年!$A$6:$C$4395,3,0),"")</f>
        <v>2.6398</v>
      </c>
    </row>
    <row r="3106" spans="1:9">
      <c r="A3106" s="6">
        <v>42599</v>
      </c>
      <c r="B3106">
        <f>IFERROR(VLOOKUP($A3106,原始数据_收盘!$A$4:$G$3460,2,0),"")</f>
        <v>2.4033</v>
      </c>
      <c r="C3106">
        <f>IFERROR(VLOOKUP($A3106,原始数据_收盘!$A$4:$G$3460,3,0),"")</f>
        <v>2.6333</v>
      </c>
      <c r="D3106">
        <f>IFERROR(VLOOKUP($A3106,原始数据_收盘!$A$4:$G$3460,4,0),"")</f>
        <v>2.4467</v>
      </c>
      <c r="E3106">
        <f>IFERROR(VLOOKUP($A3106,原始数据_收盘!$A$4:$G$3460,5,0),"")</f>
        <v>2.6844</v>
      </c>
      <c r="F3106">
        <f>IFERROR(VLOOKUP($A3106,原始数据_收盘!$A$4:$G$3460,6,0),"")</f>
        <v>2.425</v>
      </c>
      <c r="G3106">
        <f>IFERROR(VLOOKUP($A3106,原始数据_收盘!$A$4:$G$3460,7,0),"")</f>
        <v>2.6589</v>
      </c>
      <c r="H3106">
        <f>IFERROR(VLOOKUP($A3106,原始数据_利率互换_FR007_1年!$A$6:$C$4395,2,0),"")</f>
        <v>2.47</v>
      </c>
      <c r="I3106">
        <f>IFERROR(VLOOKUP($A3106,原始数据_利率互换_FR007_1年!$A$6:$C$4395,3,0),"")</f>
        <v>2.6531</v>
      </c>
    </row>
    <row r="3107" spans="1:9">
      <c r="A3107" s="6">
        <v>42600</v>
      </c>
      <c r="B3107">
        <f>IFERROR(VLOOKUP($A3107,原始数据_收盘!$A$4:$G$3460,2,0),"")</f>
        <v>2.3975</v>
      </c>
      <c r="C3107">
        <f>IFERROR(VLOOKUP($A3107,原始数据_收盘!$A$4:$G$3460,3,0),"")</f>
        <v>2.635</v>
      </c>
      <c r="D3107">
        <f>IFERROR(VLOOKUP($A3107,原始数据_收盘!$A$4:$G$3460,4,0),"")</f>
        <v>2.45</v>
      </c>
      <c r="E3107">
        <f>IFERROR(VLOOKUP($A3107,原始数据_收盘!$A$4:$G$3460,5,0),"")</f>
        <v>2.6913</v>
      </c>
      <c r="F3107">
        <f>IFERROR(VLOOKUP($A3107,原始数据_收盘!$A$4:$G$3460,6,0),"")</f>
        <v>2.4238</v>
      </c>
      <c r="G3107">
        <f>IFERROR(VLOOKUP($A3107,原始数据_收盘!$A$4:$G$3460,7,0),"")</f>
        <v>2.6631</v>
      </c>
      <c r="H3107">
        <f>IFERROR(VLOOKUP($A3107,原始数据_利率互换_FR007_1年!$A$6:$C$4395,2,0),"")</f>
        <v>2.4278</v>
      </c>
      <c r="I3107">
        <f>IFERROR(VLOOKUP($A3107,原始数据_利率互换_FR007_1年!$A$6:$C$4395,3,0),"")</f>
        <v>2.6527</v>
      </c>
    </row>
    <row r="3108" spans="1:9">
      <c r="A3108" s="6">
        <v>42601</v>
      </c>
      <c r="B3108">
        <f>IFERROR(VLOOKUP($A3108,原始数据_收盘!$A$4:$G$3460,2,0),"")</f>
        <v>2.4134</v>
      </c>
      <c r="C3108">
        <f>IFERROR(VLOOKUP($A3108,原始数据_收盘!$A$4:$G$3460,3,0),"")</f>
        <v>2.64</v>
      </c>
      <c r="D3108">
        <f>IFERROR(VLOOKUP($A3108,原始数据_收盘!$A$4:$G$3460,4,0),"")</f>
        <v>2.46</v>
      </c>
      <c r="E3108">
        <f>IFERROR(VLOOKUP($A3108,原始数据_收盘!$A$4:$G$3460,5,0),"")</f>
        <v>2.6925</v>
      </c>
      <c r="F3108">
        <f>IFERROR(VLOOKUP($A3108,原始数据_收盘!$A$4:$G$3460,6,0),"")</f>
        <v>2.4367</v>
      </c>
      <c r="G3108">
        <f>IFERROR(VLOOKUP($A3108,原始数据_收盘!$A$4:$G$3460,7,0),"")</f>
        <v>2.6663</v>
      </c>
      <c r="H3108">
        <f>IFERROR(VLOOKUP($A3108,原始数据_利率互换_FR007_1年!$A$6:$C$4395,2,0),"")</f>
        <v>2.4416</v>
      </c>
      <c r="I3108">
        <f>IFERROR(VLOOKUP($A3108,原始数据_利率互换_FR007_1年!$A$6:$C$4395,3,0),"")</f>
        <v>2.6706</v>
      </c>
    </row>
    <row r="3109" spans="1:9">
      <c r="A3109" s="6">
        <v>42602</v>
      </c>
      <c r="B3109" t="str">
        <f>IFERROR(VLOOKUP($A3109,原始数据_收盘!$A$4:$G$3460,2,0),"")</f>
        <v/>
      </c>
      <c r="C3109" t="str">
        <f>IFERROR(VLOOKUP($A3109,原始数据_收盘!$A$4:$G$3460,3,0),"")</f>
        <v/>
      </c>
      <c r="D3109" t="str">
        <f>IFERROR(VLOOKUP($A3109,原始数据_收盘!$A$4:$G$3460,4,0),"")</f>
        <v/>
      </c>
      <c r="E3109" t="str">
        <f>IFERROR(VLOOKUP($A3109,原始数据_收盘!$A$4:$G$3460,5,0),"")</f>
        <v/>
      </c>
      <c r="F3109" t="str">
        <f>IFERROR(VLOOKUP($A3109,原始数据_收盘!$A$4:$G$3460,6,0),"")</f>
        <v/>
      </c>
      <c r="G3109" t="str">
        <f>IFERROR(VLOOKUP($A3109,原始数据_收盘!$A$4:$G$3460,7,0),"")</f>
        <v/>
      </c>
      <c r="H3109" t="str">
        <f>IFERROR(VLOOKUP($A3109,原始数据_利率互换_FR007_1年!$A$6:$C$4395,2,0),"")</f>
        <v/>
      </c>
      <c r="I3109" t="str">
        <f>IFERROR(VLOOKUP($A3109,原始数据_利率互换_FR007_1年!$A$6:$C$4395,3,0),"")</f>
        <v/>
      </c>
    </row>
    <row r="3110" spans="1:9">
      <c r="A3110" s="6">
        <v>42603</v>
      </c>
      <c r="B3110" t="str">
        <f>IFERROR(VLOOKUP($A3110,原始数据_收盘!$A$4:$G$3460,2,0),"")</f>
        <v/>
      </c>
      <c r="C3110" t="str">
        <f>IFERROR(VLOOKUP($A3110,原始数据_收盘!$A$4:$G$3460,3,0),"")</f>
        <v/>
      </c>
      <c r="D3110" t="str">
        <f>IFERROR(VLOOKUP($A3110,原始数据_收盘!$A$4:$G$3460,4,0),"")</f>
        <v/>
      </c>
      <c r="E3110" t="str">
        <f>IFERROR(VLOOKUP($A3110,原始数据_收盘!$A$4:$G$3460,5,0),"")</f>
        <v/>
      </c>
      <c r="F3110" t="str">
        <f>IFERROR(VLOOKUP($A3110,原始数据_收盘!$A$4:$G$3460,6,0),"")</f>
        <v/>
      </c>
      <c r="G3110" t="str">
        <f>IFERROR(VLOOKUP($A3110,原始数据_收盘!$A$4:$G$3460,7,0),"")</f>
        <v/>
      </c>
      <c r="H3110" t="str">
        <f>IFERROR(VLOOKUP($A3110,原始数据_利率互换_FR007_1年!$A$6:$C$4395,2,0),"")</f>
        <v/>
      </c>
      <c r="I3110" t="str">
        <f>IFERROR(VLOOKUP($A3110,原始数据_利率互换_FR007_1年!$A$6:$C$4395,3,0),"")</f>
        <v/>
      </c>
    </row>
    <row r="3111" spans="1:9">
      <c r="A3111" s="6">
        <v>42604</v>
      </c>
      <c r="B3111">
        <f>IFERROR(VLOOKUP($A3111,原始数据_收盘!$A$4:$G$3460,2,0),"")</f>
        <v>2.4238</v>
      </c>
      <c r="C3111">
        <f>IFERROR(VLOOKUP($A3111,原始数据_收盘!$A$4:$G$3460,3,0),"")</f>
        <v>2.6513</v>
      </c>
      <c r="D3111">
        <f>IFERROR(VLOOKUP($A3111,原始数据_收盘!$A$4:$G$3460,4,0),"")</f>
        <v>2.4625</v>
      </c>
      <c r="E3111">
        <f>IFERROR(VLOOKUP($A3111,原始数据_收盘!$A$4:$G$3460,5,0),"")</f>
        <v>2.6938</v>
      </c>
      <c r="F3111">
        <f>IFERROR(VLOOKUP($A3111,原始数据_收盘!$A$4:$G$3460,6,0),"")</f>
        <v>2.4431</v>
      </c>
      <c r="G3111">
        <f>IFERROR(VLOOKUP($A3111,原始数据_收盘!$A$4:$G$3460,7,0),"")</f>
        <v>2.6725</v>
      </c>
      <c r="H3111">
        <f>IFERROR(VLOOKUP($A3111,原始数据_利率互换_FR007_1年!$A$6:$C$4395,2,0),"")</f>
        <v>2.4445</v>
      </c>
      <c r="I3111">
        <f>IFERROR(VLOOKUP($A3111,原始数据_利率互换_FR007_1年!$A$6:$C$4395,3,0),"")</f>
        <v>2.6742</v>
      </c>
    </row>
    <row r="3112" spans="1:9">
      <c r="A3112" s="6">
        <v>42605</v>
      </c>
      <c r="B3112">
        <f>IFERROR(VLOOKUP($A3112,原始数据_收盘!$A$4:$G$3460,2,0),"")</f>
        <v>2.4588</v>
      </c>
      <c r="C3112">
        <f>IFERROR(VLOOKUP($A3112,原始数据_收盘!$A$4:$G$3460,3,0),"")</f>
        <v>2.6925</v>
      </c>
      <c r="D3112">
        <f>IFERROR(VLOOKUP($A3112,原始数据_收盘!$A$4:$G$3460,4,0),"")</f>
        <v>2.5013</v>
      </c>
      <c r="E3112">
        <f>IFERROR(VLOOKUP($A3112,原始数据_收盘!$A$4:$G$3460,5,0),"")</f>
        <v>2.7463</v>
      </c>
      <c r="F3112">
        <f>IFERROR(VLOOKUP($A3112,原始数据_收盘!$A$4:$G$3460,6,0),"")</f>
        <v>2.48</v>
      </c>
      <c r="G3112">
        <f>IFERROR(VLOOKUP($A3112,原始数据_收盘!$A$4:$G$3460,7,0),"")</f>
        <v>2.7194</v>
      </c>
      <c r="H3112">
        <f>IFERROR(VLOOKUP($A3112,原始数据_利率互换_FR007_1年!$A$6:$C$4395,2,0),"")</f>
        <v>2.4684</v>
      </c>
      <c r="I3112">
        <f>IFERROR(VLOOKUP($A3112,原始数据_利率互换_FR007_1年!$A$6:$C$4395,3,0),"")</f>
        <v>2.7092</v>
      </c>
    </row>
    <row r="3113" spans="1:9">
      <c r="A3113" s="6">
        <v>42606</v>
      </c>
      <c r="B3113">
        <f>IFERROR(VLOOKUP($A3113,原始数据_收盘!$A$4:$G$3460,2,0),"")</f>
        <v>2.4725</v>
      </c>
      <c r="C3113">
        <f>IFERROR(VLOOKUP($A3113,原始数据_收盘!$A$4:$G$3460,3,0),"")</f>
        <v>2.7125</v>
      </c>
      <c r="D3113">
        <f>IFERROR(VLOOKUP($A3113,原始数据_收盘!$A$4:$G$3460,4,0),"")</f>
        <v>2.53</v>
      </c>
      <c r="E3113">
        <f>IFERROR(VLOOKUP($A3113,原始数据_收盘!$A$4:$G$3460,5,0),"")</f>
        <v>2.78</v>
      </c>
      <c r="F3113">
        <f>IFERROR(VLOOKUP($A3113,原始数据_收盘!$A$4:$G$3460,6,0),"")</f>
        <v>2.5013</v>
      </c>
      <c r="G3113">
        <f>IFERROR(VLOOKUP($A3113,原始数据_收盘!$A$4:$G$3460,7,0),"")</f>
        <v>2.7463</v>
      </c>
      <c r="H3113">
        <f>IFERROR(VLOOKUP($A3113,原始数据_利率互换_FR007_1年!$A$6:$C$4395,2,0),"")</f>
        <v>2.5152</v>
      </c>
      <c r="I3113">
        <f>IFERROR(VLOOKUP($A3113,原始数据_利率互换_FR007_1年!$A$6:$C$4395,3,0),"")</f>
        <v>2.7515</v>
      </c>
    </row>
    <row r="3114" spans="1:9">
      <c r="A3114" s="6">
        <v>42607</v>
      </c>
      <c r="B3114">
        <f>IFERROR(VLOOKUP($A3114,原始数据_收盘!$A$4:$G$3460,2,0),"")</f>
        <v>2.4841</v>
      </c>
      <c r="C3114">
        <f>IFERROR(VLOOKUP($A3114,原始数据_收盘!$A$4:$G$3460,3,0),"")</f>
        <v>2.7225</v>
      </c>
      <c r="D3114">
        <f>IFERROR(VLOOKUP($A3114,原始数据_收盘!$A$4:$G$3460,4,0),"")</f>
        <v>2.54</v>
      </c>
      <c r="E3114">
        <f>IFERROR(VLOOKUP($A3114,原始数据_收盘!$A$4:$G$3460,5,0),"")</f>
        <v>2.7838</v>
      </c>
      <c r="F3114">
        <f>IFERROR(VLOOKUP($A3114,原始数据_收盘!$A$4:$G$3460,6,0),"")</f>
        <v>2.5121</v>
      </c>
      <c r="G3114">
        <f>IFERROR(VLOOKUP($A3114,原始数据_收盘!$A$4:$G$3460,7,0),"")</f>
        <v>2.7531</v>
      </c>
      <c r="H3114">
        <f>IFERROR(VLOOKUP($A3114,原始数据_利率互换_FR007_1年!$A$6:$C$4395,2,0),"")</f>
        <v>2.5261</v>
      </c>
      <c r="I3114">
        <f>IFERROR(VLOOKUP($A3114,原始数据_利率互换_FR007_1年!$A$6:$C$4395,3,0),"")</f>
        <v>2.7532</v>
      </c>
    </row>
    <row r="3115" spans="1:9">
      <c r="A3115" s="6">
        <v>42608</v>
      </c>
      <c r="B3115">
        <f>IFERROR(VLOOKUP($A3115,原始数据_收盘!$A$4:$G$3460,2,0),"")</f>
        <v>2.4879</v>
      </c>
      <c r="C3115">
        <f>IFERROR(VLOOKUP($A3115,原始数据_收盘!$A$4:$G$3460,3,0),"")</f>
        <v>2.7138</v>
      </c>
      <c r="D3115">
        <f>IFERROR(VLOOKUP($A3115,原始数据_收盘!$A$4:$G$3460,4,0),"")</f>
        <v>2.5313</v>
      </c>
      <c r="E3115">
        <f>IFERROR(VLOOKUP($A3115,原始数据_收盘!$A$4:$G$3460,5,0),"")</f>
        <v>2.7613</v>
      </c>
      <c r="F3115">
        <f>IFERROR(VLOOKUP($A3115,原始数据_收盘!$A$4:$G$3460,6,0),"")</f>
        <v>2.5096</v>
      </c>
      <c r="G3115">
        <f>IFERROR(VLOOKUP($A3115,原始数据_收盘!$A$4:$G$3460,7,0),"")</f>
        <v>2.7375</v>
      </c>
      <c r="H3115">
        <f>IFERROR(VLOOKUP($A3115,原始数据_利率互换_FR007_1年!$A$6:$C$4395,2,0),"")</f>
        <v>2.5243</v>
      </c>
      <c r="I3115">
        <f>IFERROR(VLOOKUP($A3115,原始数据_利率互换_FR007_1年!$A$6:$C$4395,3,0),"")</f>
        <v>2.7482</v>
      </c>
    </row>
    <row r="3116" spans="1:9">
      <c r="A3116" s="6">
        <v>42609</v>
      </c>
      <c r="B3116" t="str">
        <f>IFERROR(VLOOKUP($A3116,原始数据_收盘!$A$4:$G$3460,2,0),"")</f>
        <v/>
      </c>
      <c r="C3116" t="str">
        <f>IFERROR(VLOOKUP($A3116,原始数据_收盘!$A$4:$G$3460,3,0),"")</f>
        <v/>
      </c>
      <c r="D3116" t="str">
        <f>IFERROR(VLOOKUP($A3116,原始数据_收盘!$A$4:$G$3460,4,0),"")</f>
        <v/>
      </c>
      <c r="E3116" t="str">
        <f>IFERROR(VLOOKUP($A3116,原始数据_收盘!$A$4:$G$3460,5,0),"")</f>
        <v/>
      </c>
      <c r="F3116" t="str">
        <f>IFERROR(VLOOKUP($A3116,原始数据_收盘!$A$4:$G$3460,6,0),"")</f>
        <v/>
      </c>
      <c r="G3116" t="str">
        <f>IFERROR(VLOOKUP($A3116,原始数据_收盘!$A$4:$G$3460,7,0),"")</f>
        <v/>
      </c>
      <c r="H3116" t="str">
        <f>IFERROR(VLOOKUP($A3116,原始数据_利率互换_FR007_1年!$A$6:$C$4395,2,0),"")</f>
        <v/>
      </c>
      <c r="I3116" t="str">
        <f>IFERROR(VLOOKUP($A3116,原始数据_利率互换_FR007_1年!$A$6:$C$4395,3,0),"")</f>
        <v/>
      </c>
    </row>
    <row r="3117" spans="1:9">
      <c r="A3117" s="6">
        <v>42610</v>
      </c>
      <c r="B3117" t="str">
        <f>IFERROR(VLOOKUP($A3117,原始数据_收盘!$A$4:$G$3460,2,0),"")</f>
        <v/>
      </c>
      <c r="C3117" t="str">
        <f>IFERROR(VLOOKUP($A3117,原始数据_收盘!$A$4:$G$3460,3,0),"")</f>
        <v/>
      </c>
      <c r="D3117" t="str">
        <f>IFERROR(VLOOKUP($A3117,原始数据_收盘!$A$4:$G$3460,4,0),"")</f>
        <v/>
      </c>
      <c r="E3117" t="str">
        <f>IFERROR(VLOOKUP($A3117,原始数据_收盘!$A$4:$G$3460,5,0),"")</f>
        <v/>
      </c>
      <c r="F3117" t="str">
        <f>IFERROR(VLOOKUP($A3117,原始数据_收盘!$A$4:$G$3460,6,0),"")</f>
        <v/>
      </c>
      <c r="G3117" t="str">
        <f>IFERROR(VLOOKUP($A3117,原始数据_收盘!$A$4:$G$3460,7,0),"")</f>
        <v/>
      </c>
      <c r="H3117" t="str">
        <f>IFERROR(VLOOKUP($A3117,原始数据_利率互换_FR007_1年!$A$6:$C$4395,2,0),"")</f>
        <v/>
      </c>
      <c r="I3117" t="str">
        <f>IFERROR(VLOOKUP($A3117,原始数据_利率互换_FR007_1年!$A$6:$C$4395,3,0),"")</f>
        <v/>
      </c>
    </row>
    <row r="3118" spans="1:9">
      <c r="A3118" s="6">
        <v>42611</v>
      </c>
      <c r="B3118">
        <f>IFERROR(VLOOKUP($A3118,原始数据_收盘!$A$4:$G$3460,2,0),"")</f>
        <v>2.4929</v>
      </c>
      <c r="C3118">
        <f>IFERROR(VLOOKUP($A3118,原始数据_收盘!$A$4:$G$3460,3,0),"")</f>
        <v>2.7213</v>
      </c>
      <c r="D3118">
        <f>IFERROR(VLOOKUP($A3118,原始数据_收盘!$A$4:$G$3460,4,0),"")</f>
        <v>2.5363</v>
      </c>
      <c r="E3118">
        <f>IFERROR(VLOOKUP($A3118,原始数据_收盘!$A$4:$G$3460,5,0),"")</f>
        <v>2.7688</v>
      </c>
      <c r="F3118">
        <f>IFERROR(VLOOKUP($A3118,原始数据_收盘!$A$4:$G$3460,6,0),"")</f>
        <v>2.5146</v>
      </c>
      <c r="G3118">
        <f>IFERROR(VLOOKUP($A3118,原始数据_收盘!$A$4:$G$3460,7,0),"")</f>
        <v>2.745</v>
      </c>
      <c r="H3118">
        <f>IFERROR(VLOOKUP($A3118,原始数据_利率互换_FR007_1年!$A$6:$C$4395,2,0),"")</f>
        <v>2.5256</v>
      </c>
      <c r="I3118">
        <f>IFERROR(VLOOKUP($A3118,原始数据_利率互换_FR007_1年!$A$6:$C$4395,3,0),"")</f>
        <v>2.7572</v>
      </c>
    </row>
    <row r="3119" spans="1:9">
      <c r="A3119" s="6">
        <v>42612</v>
      </c>
      <c r="B3119">
        <f>IFERROR(VLOOKUP($A3119,原始数据_收盘!$A$4:$G$3460,2,0),"")</f>
        <v>2.5016</v>
      </c>
      <c r="C3119">
        <f>IFERROR(VLOOKUP($A3119,原始数据_收盘!$A$4:$G$3460,3,0),"")</f>
        <v>2.7388</v>
      </c>
      <c r="D3119">
        <f>IFERROR(VLOOKUP($A3119,原始数据_收盘!$A$4:$G$3460,4,0),"")</f>
        <v>2.545</v>
      </c>
      <c r="E3119">
        <f>IFERROR(VLOOKUP($A3119,原始数据_收盘!$A$4:$G$3460,5,0),"")</f>
        <v>2.7888</v>
      </c>
      <c r="F3119">
        <f>IFERROR(VLOOKUP($A3119,原始数据_收盘!$A$4:$G$3460,6,0),"")</f>
        <v>2.5233</v>
      </c>
      <c r="G3119">
        <f>IFERROR(VLOOKUP($A3119,原始数据_收盘!$A$4:$G$3460,7,0),"")</f>
        <v>2.7638</v>
      </c>
      <c r="H3119">
        <f>IFERROR(VLOOKUP($A3119,原始数据_利率互换_FR007_1年!$A$6:$C$4395,2,0),"")</f>
        <v>2.5307</v>
      </c>
      <c r="I3119">
        <f>IFERROR(VLOOKUP($A3119,原始数据_利率互换_FR007_1年!$A$6:$C$4395,3,0),"")</f>
        <v>2.7691</v>
      </c>
    </row>
    <row r="3120" spans="1:9">
      <c r="A3120" s="6">
        <v>42613</v>
      </c>
      <c r="B3120">
        <f>IFERROR(VLOOKUP($A3120,原始数据_收盘!$A$4:$G$3460,2,0),"")</f>
        <v>2.4916</v>
      </c>
      <c r="C3120">
        <f>IFERROR(VLOOKUP($A3120,原始数据_收盘!$A$4:$G$3460,3,0),"")</f>
        <v>2.7259</v>
      </c>
      <c r="D3120">
        <f>IFERROR(VLOOKUP($A3120,原始数据_收盘!$A$4:$G$3460,4,0),"")</f>
        <v>2.5363</v>
      </c>
      <c r="E3120">
        <f>IFERROR(VLOOKUP($A3120,原始数据_收盘!$A$4:$G$3460,5,0),"")</f>
        <v>2.7825</v>
      </c>
      <c r="F3120">
        <f>IFERROR(VLOOKUP($A3120,原始数据_收盘!$A$4:$G$3460,6,0),"")</f>
        <v>2.5139</v>
      </c>
      <c r="G3120">
        <f>IFERROR(VLOOKUP($A3120,原始数据_收盘!$A$4:$G$3460,7,0),"")</f>
        <v>2.7542</v>
      </c>
      <c r="H3120">
        <f>IFERROR(VLOOKUP($A3120,原始数据_利率互换_FR007_1年!$A$6:$C$4395,2,0),"")</f>
        <v>2.5224</v>
      </c>
      <c r="I3120">
        <f>IFERROR(VLOOKUP($A3120,原始数据_利率互换_FR007_1年!$A$6:$C$4395,3,0),"")</f>
        <v>2.7695</v>
      </c>
    </row>
    <row r="3121" spans="1:9">
      <c r="A3121" s="6">
        <v>42614</v>
      </c>
      <c r="B3121">
        <f>IFERROR(VLOOKUP($A3121,原始数据_收盘!$A$4:$G$3460,2,0),"")</f>
        <v>2.4825</v>
      </c>
      <c r="C3121">
        <f>IFERROR(VLOOKUP($A3121,原始数据_收盘!$A$4:$G$3460,3,0),"")</f>
        <v>2.7175</v>
      </c>
      <c r="D3121">
        <f>IFERROR(VLOOKUP($A3121,原始数据_收盘!$A$4:$G$3460,4,0),"")</f>
        <v>2.5275</v>
      </c>
      <c r="E3121">
        <f>IFERROR(VLOOKUP($A3121,原始数据_收盘!$A$4:$G$3460,5,0),"")</f>
        <v>2.78</v>
      </c>
      <c r="F3121">
        <f>IFERROR(VLOOKUP($A3121,原始数据_收盘!$A$4:$G$3460,6,0),"")</f>
        <v>2.505</v>
      </c>
      <c r="G3121">
        <f>IFERROR(VLOOKUP($A3121,原始数据_收盘!$A$4:$G$3460,7,0),"")</f>
        <v>2.7488</v>
      </c>
      <c r="H3121">
        <f>IFERROR(VLOOKUP($A3121,原始数据_利率互换_FR007_1年!$A$6:$C$4395,2,0),"")</f>
        <v>2.5076</v>
      </c>
      <c r="I3121">
        <f>IFERROR(VLOOKUP($A3121,原始数据_利率互换_FR007_1年!$A$6:$C$4395,3,0),"")</f>
        <v>2.7627</v>
      </c>
    </row>
    <row r="3122" spans="1:9">
      <c r="A3122" s="6">
        <v>42615</v>
      </c>
      <c r="B3122">
        <f>IFERROR(VLOOKUP($A3122,原始数据_收盘!$A$4:$G$3460,2,0),"")</f>
        <v>2.4666</v>
      </c>
      <c r="C3122">
        <f>IFERROR(VLOOKUP($A3122,原始数据_收盘!$A$4:$G$3460,3,0),"")</f>
        <v>2.7173</v>
      </c>
      <c r="D3122">
        <f>IFERROR(VLOOKUP($A3122,原始数据_收盘!$A$4:$G$3460,4,0),"")</f>
        <v>2.5113</v>
      </c>
      <c r="E3122">
        <f>IFERROR(VLOOKUP($A3122,原始数据_收盘!$A$4:$G$3460,5,0),"")</f>
        <v>2.7763</v>
      </c>
      <c r="F3122">
        <f>IFERROR(VLOOKUP($A3122,原始数据_收盘!$A$4:$G$3460,6,0),"")</f>
        <v>2.4889</v>
      </c>
      <c r="G3122">
        <f>IFERROR(VLOOKUP($A3122,原始数据_收盘!$A$4:$G$3460,7,0),"")</f>
        <v>2.7468</v>
      </c>
      <c r="H3122">
        <f>IFERROR(VLOOKUP($A3122,原始数据_利率互换_FR007_1年!$A$6:$C$4395,2,0),"")</f>
        <v>2.493</v>
      </c>
      <c r="I3122">
        <f>IFERROR(VLOOKUP($A3122,原始数据_利率互换_FR007_1年!$A$6:$C$4395,3,0),"")</f>
        <v>2.7516</v>
      </c>
    </row>
    <row r="3123" spans="1:9">
      <c r="A3123" s="6">
        <v>42616</v>
      </c>
      <c r="B3123" t="str">
        <f>IFERROR(VLOOKUP($A3123,原始数据_收盘!$A$4:$G$3460,2,0),"")</f>
        <v/>
      </c>
      <c r="C3123" t="str">
        <f>IFERROR(VLOOKUP($A3123,原始数据_收盘!$A$4:$G$3460,3,0),"")</f>
        <v/>
      </c>
      <c r="D3123" t="str">
        <f>IFERROR(VLOOKUP($A3123,原始数据_收盘!$A$4:$G$3460,4,0),"")</f>
        <v/>
      </c>
      <c r="E3123" t="str">
        <f>IFERROR(VLOOKUP($A3123,原始数据_收盘!$A$4:$G$3460,5,0),"")</f>
        <v/>
      </c>
      <c r="F3123" t="str">
        <f>IFERROR(VLOOKUP($A3123,原始数据_收盘!$A$4:$G$3460,6,0),"")</f>
        <v/>
      </c>
      <c r="G3123" t="str">
        <f>IFERROR(VLOOKUP($A3123,原始数据_收盘!$A$4:$G$3460,7,0),"")</f>
        <v/>
      </c>
      <c r="H3123" t="str">
        <f>IFERROR(VLOOKUP($A3123,原始数据_利率互换_FR007_1年!$A$6:$C$4395,2,0),"")</f>
        <v/>
      </c>
      <c r="I3123" t="str">
        <f>IFERROR(VLOOKUP($A3123,原始数据_利率互换_FR007_1年!$A$6:$C$4395,3,0),"")</f>
        <v/>
      </c>
    </row>
    <row r="3124" spans="1:9">
      <c r="A3124" s="6">
        <v>42617</v>
      </c>
      <c r="B3124" t="str">
        <f>IFERROR(VLOOKUP($A3124,原始数据_收盘!$A$4:$G$3460,2,0),"")</f>
        <v/>
      </c>
      <c r="C3124" t="str">
        <f>IFERROR(VLOOKUP($A3124,原始数据_收盘!$A$4:$G$3460,3,0),"")</f>
        <v/>
      </c>
      <c r="D3124" t="str">
        <f>IFERROR(VLOOKUP($A3124,原始数据_收盘!$A$4:$G$3460,4,0),"")</f>
        <v/>
      </c>
      <c r="E3124" t="str">
        <f>IFERROR(VLOOKUP($A3124,原始数据_收盘!$A$4:$G$3460,5,0),"")</f>
        <v/>
      </c>
      <c r="F3124" t="str">
        <f>IFERROR(VLOOKUP($A3124,原始数据_收盘!$A$4:$G$3460,6,0),"")</f>
        <v/>
      </c>
      <c r="G3124" t="str">
        <f>IFERROR(VLOOKUP($A3124,原始数据_收盘!$A$4:$G$3460,7,0),"")</f>
        <v/>
      </c>
      <c r="H3124" t="str">
        <f>IFERROR(VLOOKUP($A3124,原始数据_利率互换_FR007_1年!$A$6:$C$4395,2,0),"")</f>
        <v/>
      </c>
      <c r="I3124" t="str">
        <f>IFERROR(VLOOKUP($A3124,原始数据_利率互换_FR007_1年!$A$6:$C$4395,3,0),"")</f>
        <v/>
      </c>
    </row>
    <row r="3125" spans="1:9">
      <c r="A3125" s="6">
        <v>42618</v>
      </c>
      <c r="B3125">
        <f>IFERROR(VLOOKUP($A3125,原始数据_收盘!$A$4:$G$3460,2,0),"")</f>
        <v>2.4759</v>
      </c>
      <c r="C3125">
        <f>IFERROR(VLOOKUP($A3125,原始数据_收盘!$A$4:$G$3460,3,0),"")</f>
        <v>2.7225</v>
      </c>
      <c r="D3125">
        <f>IFERROR(VLOOKUP($A3125,原始数据_收盘!$A$4:$G$3460,4,0),"")</f>
        <v>2.5238</v>
      </c>
      <c r="E3125">
        <f>IFERROR(VLOOKUP($A3125,原始数据_收盘!$A$4:$G$3460,5,0),"")</f>
        <v>2.785</v>
      </c>
      <c r="F3125">
        <f>IFERROR(VLOOKUP($A3125,原始数据_收盘!$A$4:$G$3460,6,0),"")</f>
        <v>2.4998</v>
      </c>
      <c r="G3125">
        <f>IFERROR(VLOOKUP($A3125,原始数据_收盘!$A$4:$G$3460,7,0),"")</f>
        <v>2.7538</v>
      </c>
      <c r="H3125">
        <f>IFERROR(VLOOKUP($A3125,原始数据_利率互换_FR007_1年!$A$6:$C$4395,2,0),"")</f>
        <v>2.5016</v>
      </c>
      <c r="I3125">
        <f>IFERROR(VLOOKUP($A3125,原始数据_利率互换_FR007_1年!$A$6:$C$4395,3,0),"")</f>
        <v>2.7606</v>
      </c>
    </row>
    <row r="3126" spans="1:9">
      <c r="A3126" s="6">
        <v>42619</v>
      </c>
      <c r="B3126">
        <f>IFERROR(VLOOKUP($A3126,原始数据_收盘!$A$4:$G$3460,2,0),"")</f>
        <v>2.4788</v>
      </c>
      <c r="C3126">
        <f>IFERROR(VLOOKUP($A3126,原始数据_收盘!$A$4:$G$3460,3,0),"")</f>
        <v>2.7269</v>
      </c>
      <c r="D3126">
        <f>IFERROR(VLOOKUP($A3126,原始数据_收盘!$A$4:$G$3460,4,0),"")</f>
        <v>2.5225</v>
      </c>
      <c r="E3126">
        <f>IFERROR(VLOOKUP($A3126,原始数据_收盘!$A$4:$G$3460,5,0),"")</f>
        <v>2.7781</v>
      </c>
      <c r="F3126">
        <f>IFERROR(VLOOKUP($A3126,原始数据_收盘!$A$4:$G$3460,6,0),"")</f>
        <v>2.5006</v>
      </c>
      <c r="G3126">
        <f>IFERROR(VLOOKUP($A3126,原始数据_收盘!$A$4:$G$3460,7,0),"")</f>
        <v>2.7525</v>
      </c>
      <c r="H3126">
        <f>IFERROR(VLOOKUP($A3126,原始数据_利率互换_FR007_1年!$A$6:$C$4395,2,0),"")</f>
        <v>2.5035</v>
      </c>
      <c r="I3126">
        <f>IFERROR(VLOOKUP($A3126,原始数据_利率互换_FR007_1年!$A$6:$C$4395,3,0),"")</f>
        <v>2.7634</v>
      </c>
    </row>
    <row r="3127" spans="1:9">
      <c r="A3127" s="6">
        <v>42620</v>
      </c>
      <c r="B3127">
        <f>IFERROR(VLOOKUP($A3127,原始数据_收盘!$A$4:$G$3460,2,0),"")</f>
        <v>2.4784</v>
      </c>
      <c r="C3127">
        <f>IFERROR(VLOOKUP($A3127,原始数据_收盘!$A$4:$G$3460,3,0),"")</f>
        <v>2.7256</v>
      </c>
      <c r="D3127">
        <f>IFERROR(VLOOKUP($A3127,原始数据_收盘!$A$4:$G$3460,4,0),"")</f>
        <v>2.5313</v>
      </c>
      <c r="E3127">
        <f>IFERROR(VLOOKUP($A3127,原始数据_收盘!$A$4:$G$3460,5,0),"")</f>
        <v>2.7894</v>
      </c>
      <c r="F3127">
        <f>IFERROR(VLOOKUP($A3127,原始数据_收盘!$A$4:$G$3460,6,0),"")</f>
        <v>2.5048</v>
      </c>
      <c r="G3127">
        <f>IFERROR(VLOOKUP($A3127,原始数据_收盘!$A$4:$G$3460,7,0),"")</f>
        <v>2.7575</v>
      </c>
      <c r="H3127">
        <f>IFERROR(VLOOKUP($A3127,原始数据_利率互换_FR007_1年!$A$6:$C$4395,2,0),"")</f>
        <v>2.5078</v>
      </c>
      <c r="I3127">
        <f>IFERROR(VLOOKUP($A3127,原始数据_利率互换_FR007_1年!$A$6:$C$4395,3,0),"")</f>
        <v>2.7685</v>
      </c>
    </row>
    <row r="3128" spans="1:9">
      <c r="A3128" s="6">
        <v>42621</v>
      </c>
      <c r="B3128">
        <f>IFERROR(VLOOKUP($A3128,原始数据_收盘!$A$4:$G$3460,2,0),"")</f>
        <v>2.4788</v>
      </c>
      <c r="C3128">
        <f>IFERROR(VLOOKUP($A3128,原始数据_收盘!$A$4:$G$3460,3,0),"")</f>
        <v>2.7259</v>
      </c>
      <c r="D3128">
        <f>IFERROR(VLOOKUP($A3128,原始数据_收盘!$A$4:$G$3460,4,0),"")</f>
        <v>2.5388</v>
      </c>
      <c r="E3128">
        <f>IFERROR(VLOOKUP($A3128,原始数据_收盘!$A$4:$G$3460,5,0),"")</f>
        <v>2.7931</v>
      </c>
      <c r="F3128">
        <f>IFERROR(VLOOKUP($A3128,原始数据_收盘!$A$4:$G$3460,6,0),"")</f>
        <v>2.5088</v>
      </c>
      <c r="G3128">
        <f>IFERROR(VLOOKUP($A3128,原始数据_收盘!$A$4:$G$3460,7,0),"")</f>
        <v>2.7595</v>
      </c>
      <c r="H3128">
        <f>IFERROR(VLOOKUP($A3128,原始数据_利率互换_FR007_1年!$A$6:$C$4395,2,0),"")</f>
        <v>2.5077</v>
      </c>
      <c r="I3128">
        <f>IFERROR(VLOOKUP($A3128,原始数据_利率互换_FR007_1年!$A$6:$C$4395,3,0),"")</f>
        <v>2.7699</v>
      </c>
    </row>
    <row r="3129" spans="1:9">
      <c r="A3129" s="6">
        <v>42622</v>
      </c>
      <c r="B3129">
        <f>IFERROR(VLOOKUP($A3129,原始数据_收盘!$A$4:$G$3460,2,0),"")</f>
        <v>2.4766</v>
      </c>
      <c r="C3129">
        <f>IFERROR(VLOOKUP($A3129,原始数据_收盘!$A$4:$G$3460,3,0),"")</f>
        <v>2.7244</v>
      </c>
      <c r="D3129">
        <f>IFERROR(VLOOKUP($A3129,原始数据_收盘!$A$4:$G$3460,4,0),"")</f>
        <v>2.5296</v>
      </c>
      <c r="E3129">
        <f>IFERROR(VLOOKUP($A3129,原始数据_收盘!$A$4:$G$3460,5,0),"")</f>
        <v>2.7844</v>
      </c>
      <c r="F3129">
        <f>IFERROR(VLOOKUP($A3129,原始数据_收盘!$A$4:$G$3460,6,0),"")</f>
        <v>2.5031</v>
      </c>
      <c r="G3129">
        <f>IFERROR(VLOOKUP($A3129,原始数据_收盘!$A$4:$G$3460,7,0),"")</f>
        <v>2.7544</v>
      </c>
      <c r="H3129">
        <f>IFERROR(VLOOKUP($A3129,原始数据_利率互换_FR007_1年!$A$6:$C$4395,2,0),"")</f>
        <v>2.4967</v>
      </c>
      <c r="I3129">
        <f>IFERROR(VLOOKUP($A3129,原始数据_利率互换_FR007_1年!$A$6:$C$4395,3,0),"")</f>
        <v>2.7587</v>
      </c>
    </row>
    <row r="3130" spans="1:9">
      <c r="A3130" s="6">
        <v>42623</v>
      </c>
      <c r="B3130" t="str">
        <f>IFERROR(VLOOKUP($A3130,原始数据_收盘!$A$4:$G$3460,2,0),"")</f>
        <v/>
      </c>
      <c r="C3130" t="str">
        <f>IFERROR(VLOOKUP($A3130,原始数据_收盘!$A$4:$G$3460,3,0),"")</f>
        <v/>
      </c>
      <c r="D3130" t="str">
        <f>IFERROR(VLOOKUP($A3130,原始数据_收盘!$A$4:$G$3460,4,0),"")</f>
        <v/>
      </c>
      <c r="E3130" t="str">
        <f>IFERROR(VLOOKUP($A3130,原始数据_收盘!$A$4:$G$3460,5,0),"")</f>
        <v/>
      </c>
      <c r="F3130" t="str">
        <f>IFERROR(VLOOKUP($A3130,原始数据_收盘!$A$4:$G$3460,6,0),"")</f>
        <v/>
      </c>
      <c r="G3130" t="str">
        <f>IFERROR(VLOOKUP($A3130,原始数据_收盘!$A$4:$G$3460,7,0),"")</f>
        <v/>
      </c>
      <c r="H3130" t="str">
        <f>IFERROR(VLOOKUP($A3130,原始数据_利率互换_FR007_1年!$A$6:$C$4395,2,0),"")</f>
        <v/>
      </c>
      <c r="I3130" t="str">
        <f>IFERROR(VLOOKUP($A3130,原始数据_利率互换_FR007_1年!$A$6:$C$4395,3,0),"")</f>
        <v/>
      </c>
    </row>
    <row r="3131" spans="1:9">
      <c r="A3131" s="6">
        <v>42624</v>
      </c>
      <c r="B3131" t="str">
        <f>IFERROR(VLOOKUP($A3131,原始数据_收盘!$A$4:$G$3460,2,0),"")</f>
        <v/>
      </c>
      <c r="C3131" t="str">
        <f>IFERROR(VLOOKUP($A3131,原始数据_收盘!$A$4:$G$3460,3,0),"")</f>
        <v/>
      </c>
      <c r="D3131" t="str">
        <f>IFERROR(VLOOKUP($A3131,原始数据_收盘!$A$4:$G$3460,4,0),"")</f>
        <v/>
      </c>
      <c r="E3131" t="str">
        <f>IFERROR(VLOOKUP($A3131,原始数据_收盘!$A$4:$G$3460,5,0),"")</f>
        <v/>
      </c>
      <c r="F3131" t="str">
        <f>IFERROR(VLOOKUP($A3131,原始数据_收盘!$A$4:$G$3460,6,0),"")</f>
        <v/>
      </c>
      <c r="G3131" t="str">
        <f>IFERROR(VLOOKUP($A3131,原始数据_收盘!$A$4:$G$3460,7,0),"")</f>
        <v/>
      </c>
      <c r="H3131" t="str">
        <f>IFERROR(VLOOKUP($A3131,原始数据_利率互换_FR007_1年!$A$6:$C$4395,2,0),"")</f>
        <v/>
      </c>
      <c r="I3131" t="str">
        <f>IFERROR(VLOOKUP($A3131,原始数据_利率互换_FR007_1年!$A$6:$C$4395,3,0),"")</f>
        <v/>
      </c>
    </row>
    <row r="3132" spans="1:9">
      <c r="A3132" s="6">
        <v>42625</v>
      </c>
      <c r="B3132">
        <f>IFERROR(VLOOKUP($A3132,原始数据_收盘!$A$4:$G$3460,2,0),"")</f>
        <v>2.4809</v>
      </c>
      <c r="C3132">
        <f>IFERROR(VLOOKUP($A3132,原始数据_收盘!$A$4:$G$3460,3,0),"")</f>
        <v>2.7456</v>
      </c>
      <c r="D3132">
        <f>IFERROR(VLOOKUP($A3132,原始数据_收盘!$A$4:$G$3460,4,0),"")</f>
        <v>2.5288</v>
      </c>
      <c r="E3132">
        <f>IFERROR(VLOOKUP($A3132,原始数据_收盘!$A$4:$G$3460,5,0),"")</f>
        <v>2.8019</v>
      </c>
      <c r="F3132">
        <f>IFERROR(VLOOKUP($A3132,原始数据_收盘!$A$4:$G$3460,6,0),"")</f>
        <v>2.5048</v>
      </c>
      <c r="G3132">
        <f>IFERROR(VLOOKUP($A3132,原始数据_收盘!$A$4:$G$3460,7,0),"")</f>
        <v>2.7738</v>
      </c>
      <c r="H3132">
        <f>IFERROR(VLOOKUP($A3132,原始数据_利率互换_FR007_1年!$A$6:$C$4395,2,0),"")</f>
        <v>2.5102</v>
      </c>
      <c r="I3132">
        <f>IFERROR(VLOOKUP($A3132,原始数据_利率互换_FR007_1年!$A$6:$C$4395,3,0),"")</f>
        <v>2.7812</v>
      </c>
    </row>
    <row r="3133" spans="1:9">
      <c r="A3133" s="6">
        <v>42626</v>
      </c>
      <c r="B3133">
        <f>IFERROR(VLOOKUP($A3133,原始数据_收盘!$A$4:$G$3460,2,0),"")</f>
        <v>2.4825</v>
      </c>
      <c r="C3133">
        <f>IFERROR(VLOOKUP($A3133,原始数据_收盘!$A$4:$G$3460,3,0),"")</f>
        <v>2.7328</v>
      </c>
      <c r="D3133">
        <f>IFERROR(VLOOKUP($A3133,原始数据_收盘!$A$4:$G$3460,4,0),"")</f>
        <v>2.5263</v>
      </c>
      <c r="E3133">
        <f>IFERROR(VLOOKUP($A3133,原始数据_收盘!$A$4:$G$3460,5,0),"")</f>
        <v>2.7944</v>
      </c>
      <c r="F3133">
        <f>IFERROR(VLOOKUP($A3133,原始数据_收盘!$A$4:$G$3460,6,0),"")</f>
        <v>2.5044</v>
      </c>
      <c r="G3133">
        <f>IFERROR(VLOOKUP($A3133,原始数据_收盘!$A$4:$G$3460,7,0),"")</f>
        <v>2.7636</v>
      </c>
      <c r="H3133">
        <f>IFERROR(VLOOKUP($A3133,原始数据_利率互换_FR007_1年!$A$6:$C$4395,2,0),"")</f>
        <v>2.5059</v>
      </c>
      <c r="I3133">
        <f>IFERROR(VLOOKUP($A3133,原始数据_利率互换_FR007_1年!$A$6:$C$4395,3,0),"")</f>
        <v>2.7735</v>
      </c>
    </row>
    <row r="3134" spans="1:9">
      <c r="A3134" s="6">
        <v>42627</v>
      </c>
      <c r="B3134">
        <f>IFERROR(VLOOKUP($A3134,原始数据_收盘!$A$4:$G$3460,2,0),"")</f>
        <v>2.4891</v>
      </c>
      <c r="C3134">
        <f>IFERROR(VLOOKUP($A3134,原始数据_收盘!$A$4:$G$3460,3,0),"")</f>
        <v>2.7438</v>
      </c>
      <c r="D3134">
        <f>IFERROR(VLOOKUP($A3134,原始数据_收盘!$A$4:$G$3460,4,0),"")</f>
        <v>2.5338</v>
      </c>
      <c r="E3134">
        <f>IFERROR(VLOOKUP($A3134,原始数据_收盘!$A$4:$G$3460,5,0),"")</f>
        <v>2.7925</v>
      </c>
      <c r="F3134">
        <f>IFERROR(VLOOKUP($A3134,原始数据_收盘!$A$4:$G$3460,6,0),"")</f>
        <v>2.5114</v>
      </c>
      <c r="G3134">
        <f>IFERROR(VLOOKUP($A3134,原始数据_收盘!$A$4:$G$3460,7,0),"")</f>
        <v>2.7681</v>
      </c>
      <c r="H3134">
        <f>IFERROR(VLOOKUP($A3134,原始数据_利率互换_FR007_1年!$A$6:$C$4395,2,0),"")</f>
        <v>2.512</v>
      </c>
      <c r="I3134">
        <f>IFERROR(VLOOKUP($A3134,原始数据_利率互换_FR007_1年!$A$6:$C$4395,3,0),"")</f>
        <v>2.7727</v>
      </c>
    </row>
    <row r="3135" spans="1:9">
      <c r="A3135" s="6">
        <v>42628</v>
      </c>
      <c r="B3135" t="str">
        <f>IFERROR(VLOOKUP($A3135,原始数据_收盘!$A$4:$G$3460,2,0),"")</f>
        <v/>
      </c>
      <c r="C3135" t="str">
        <f>IFERROR(VLOOKUP($A3135,原始数据_收盘!$A$4:$G$3460,3,0),"")</f>
        <v/>
      </c>
      <c r="D3135" t="str">
        <f>IFERROR(VLOOKUP($A3135,原始数据_收盘!$A$4:$G$3460,4,0),"")</f>
        <v/>
      </c>
      <c r="E3135" t="str">
        <f>IFERROR(VLOOKUP($A3135,原始数据_收盘!$A$4:$G$3460,5,0),"")</f>
        <v/>
      </c>
      <c r="F3135" t="str">
        <f>IFERROR(VLOOKUP($A3135,原始数据_收盘!$A$4:$G$3460,6,0),"")</f>
        <v/>
      </c>
      <c r="G3135" t="str">
        <f>IFERROR(VLOOKUP($A3135,原始数据_收盘!$A$4:$G$3460,7,0),"")</f>
        <v/>
      </c>
      <c r="H3135" t="str">
        <f>IFERROR(VLOOKUP($A3135,原始数据_利率互换_FR007_1年!$A$6:$C$4395,2,0),"")</f>
        <v/>
      </c>
      <c r="I3135" t="str">
        <f>IFERROR(VLOOKUP($A3135,原始数据_利率互换_FR007_1年!$A$6:$C$4395,3,0),"")</f>
        <v/>
      </c>
    </row>
    <row r="3136" spans="1:9">
      <c r="A3136" s="6">
        <v>42629</v>
      </c>
      <c r="B3136" t="str">
        <f>IFERROR(VLOOKUP($A3136,原始数据_收盘!$A$4:$G$3460,2,0),"")</f>
        <v/>
      </c>
      <c r="C3136" t="str">
        <f>IFERROR(VLOOKUP($A3136,原始数据_收盘!$A$4:$G$3460,3,0),"")</f>
        <v/>
      </c>
      <c r="D3136" t="str">
        <f>IFERROR(VLOOKUP($A3136,原始数据_收盘!$A$4:$G$3460,4,0),"")</f>
        <v/>
      </c>
      <c r="E3136" t="str">
        <f>IFERROR(VLOOKUP($A3136,原始数据_收盘!$A$4:$G$3460,5,0),"")</f>
        <v/>
      </c>
      <c r="F3136" t="str">
        <f>IFERROR(VLOOKUP($A3136,原始数据_收盘!$A$4:$G$3460,6,0),"")</f>
        <v/>
      </c>
      <c r="G3136" t="str">
        <f>IFERROR(VLOOKUP($A3136,原始数据_收盘!$A$4:$G$3460,7,0),"")</f>
        <v/>
      </c>
      <c r="H3136" t="str">
        <f>IFERROR(VLOOKUP($A3136,原始数据_利率互换_FR007_1年!$A$6:$C$4395,2,0),"")</f>
        <v/>
      </c>
      <c r="I3136" t="str">
        <f>IFERROR(VLOOKUP($A3136,原始数据_利率互换_FR007_1年!$A$6:$C$4395,3,0),"")</f>
        <v/>
      </c>
    </row>
    <row r="3137" spans="1:9">
      <c r="A3137" s="6">
        <v>42630</v>
      </c>
      <c r="B3137" t="str">
        <f>IFERROR(VLOOKUP($A3137,原始数据_收盘!$A$4:$G$3460,2,0),"")</f>
        <v/>
      </c>
      <c r="C3137" t="str">
        <f>IFERROR(VLOOKUP($A3137,原始数据_收盘!$A$4:$G$3460,3,0),"")</f>
        <v/>
      </c>
      <c r="D3137" t="str">
        <f>IFERROR(VLOOKUP($A3137,原始数据_收盘!$A$4:$G$3460,4,0),"")</f>
        <v/>
      </c>
      <c r="E3137" t="str">
        <f>IFERROR(VLOOKUP($A3137,原始数据_收盘!$A$4:$G$3460,5,0),"")</f>
        <v/>
      </c>
      <c r="F3137" t="str">
        <f>IFERROR(VLOOKUP($A3137,原始数据_收盘!$A$4:$G$3460,6,0),"")</f>
        <v/>
      </c>
      <c r="G3137" t="str">
        <f>IFERROR(VLOOKUP($A3137,原始数据_收盘!$A$4:$G$3460,7,0),"")</f>
        <v/>
      </c>
      <c r="H3137" t="str">
        <f>IFERROR(VLOOKUP($A3137,原始数据_利率互换_FR007_1年!$A$6:$C$4395,2,0),"")</f>
        <v/>
      </c>
      <c r="I3137" t="str">
        <f>IFERROR(VLOOKUP($A3137,原始数据_利率互换_FR007_1年!$A$6:$C$4395,3,0),"")</f>
        <v/>
      </c>
    </row>
    <row r="3138" spans="1:9">
      <c r="A3138" s="6">
        <v>42631</v>
      </c>
      <c r="B3138">
        <f>IFERROR(VLOOKUP($A3138,原始数据_收盘!$A$4:$G$3460,2,0),"")</f>
        <v>2.485</v>
      </c>
      <c r="C3138">
        <f>IFERROR(VLOOKUP($A3138,原始数据_收盘!$A$4:$G$3460,3,0),"")</f>
        <v>2.7375</v>
      </c>
      <c r="D3138">
        <f>IFERROR(VLOOKUP($A3138,原始数据_收盘!$A$4:$G$3460,4,0),"")</f>
        <v>2.52</v>
      </c>
      <c r="E3138">
        <f>IFERROR(VLOOKUP($A3138,原始数据_收盘!$A$4:$G$3460,5,0),"")</f>
        <v>2.7788</v>
      </c>
      <c r="F3138">
        <f>IFERROR(VLOOKUP($A3138,原始数据_收盘!$A$4:$G$3460,6,0),"")</f>
        <v>2.5025</v>
      </c>
      <c r="G3138">
        <f>IFERROR(VLOOKUP($A3138,原始数据_收盘!$A$4:$G$3460,7,0),"")</f>
        <v>2.7581</v>
      </c>
      <c r="H3138">
        <f>IFERROR(VLOOKUP($A3138,原始数据_利率互换_FR007_1年!$A$6:$C$4395,2,0),"")</f>
        <v>2.5183</v>
      </c>
      <c r="I3138">
        <f>IFERROR(VLOOKUP($A3138,原始数据_利率互换_FR007_1年!$A$6:$C$4395,3,0),"")</f>
        <v>0</v>
      </c>
    </row>
    <row r="3139" spans="1:9">
      <c r="A3139" s="6">
        <v>42632</v>
      </c>
      <c r="B3139">
        <f>IFERROR(VLOOKUP($A3139,原始数据_收盘!$A$4:$G$3460,2,0),"")</f>
        <v>2.4846</v>
      </c>
      <c r="C3139">
        <f>IFERROR(VLOOKUP($A3139,原始数据_收盘!$A$4:$G$3460,3,0),"")</f>
        <v>2.7381</v>
      </c>
      <c r="D3139">
        <f>IFERROR(VLOOKUP($A3139,原始数据_收盘!$A$4:$G$3460,4,0),"")</f>
        <v>2.53</v>
      </c>
      <c r="E3139">
        <f>IFERROR(VLOOKUP($A3139,原始数据_收盘!$A$4:$G$3460,5,0),"")</f>
        <v>2.7875</v>
      </c>
      <c r="F3139">
        <f>IFERROR(VLOOKUP($A3139,原始数据_收盘!$A$4:$G$3460,6,0),"")</f>
        <v>2.5073</v>
      </c>
      <c r="G3139">
        <f>IFERROR(VLOOKUP($A3139,原始数据_收盘!$A$4:$G$3460,7,0),"")</f>
        <v>2.7628</v>
      </c>
      <c r="H3139">
        <f>IFERROR(VLOOKUP($A3139,原始数据_利率互换_FR007_1年!$A$6:$C$4395,2,0),"")</f>
        <v>2.5223</v>
      </c>
      <c r="I3139">
        <f>IFERROR(VLOOKUP($A3139,原始数据_利率互换_FR007_1年!$A$6:$C$4395,3,0),"")</f>
        <v>2.7773</v>
      </c>
    </row>
    <row r="3140" spans="1:9">
      <c r="A3140" s="6">
        <v>42633</v>
      </c>
      <c r="B3140">
        <f>IFERROR(VLOOKUP($A3140,原始数据_收盘!$A$4:$G$3460,2,0),"")</f>
        <v>2.4896</v>
      </c>
      <c r="C3140">
        <f>IFERROR(VLOOKUP($A3140,原始数据_收盘!$A$4:$G$3460,3,0),"")</f>
        <v>2.7425</v>
      </c>
      <c r="D3140">
        <f>IFERROR(VLOOKUP($A3140,原始数据_收盘!$A$4:$G$3460,4,0),"")</f>
        <v>2.5363</v>
      </c>
      <c r="E3140">
        <f>IFERROR(VLOOKUP($A3140,原始数据_收盘!$A$4:$G$3460,5,0),"")</f>
        <v>2.7925</v>
      </c>
      <c r="F3140">
        <f>IFERROR(VLOOKUP($A3140,原始数据_收盘!$A$4:$G$3460,6,0),"")</f>
        <v>2.5129</v>
      </c>
      <c r="G3140">
        <f>IFERROR(VLOOKUP($A3140,原始数据_收盘!$A$4:$G$3460,7,0),"")</f>
        <v>2.7675</v>
      </c>
      <c r="H3140">
        <f>IFERROR(VLOOKUP($A3140,原始数据_利率互换_FR007_1年!$A$6:$C$4395,2,0),"")</f>
        <v>2.5235</v>
      </c>
      <c r="I3140">
        <f>IFERROR(VLOOKUP($A3140,原始数据_利率互换_FR007_1年!$A$6:$C$4395,3,0),"")</f>
        <v>2.7704</v>
      </c>
    </row>
    <row r="3141" spans="1:9">
      <c r="A3141" s="6">
        <v>42634</v>
      </c>
      <c r="B3141">
        <f>IFERROR(VLOOKUP($A3141,原始数据_收盘!$A$4:$G$3460,2,0),"")</f>
        <v>2.505</v>
      </c>
      <c r="C3141">
        <f>IFERROR(VLOOKUP($A3141,原始数据_收盘!$A$4:$G$3460,3,0),"")</f>
        <v>2.755</v>
      </c>
      <c r="D3141">
        <f>IFERROR(VLOOKUP($A3141,原始数据_收盘!$A$4:$G$3460,4,0),"")</f>
        <v>2.5675</v>
      </c>
      <c r="E3141">
        <f>IFERROR(VLOOKUP($A3141,原始数据_收盘!$A$4:$G$3460,5,0),"")</f>
        <v>2.8194</v>
      </c>
      <c r="F3141">
        <f>IFERROR(VLOOKUP($A3141,原始数据_收盘!$A$4:$G$3460,6,0),"")</f>
        <v>2.5363</v>
      </c>
      <c r="G3141">
        <f>IFERROR(VLOOKUP($A3141,原始数据_收盘!$A$4:$G$3460,7,0),"")</f>
        <v>2.7872</v>
      </c>
      <c r="H3141">
        <f>IFERROR(VLOOKUP($A3141,原始数据_利率互换_FR007_1年!$A$6:$C$4395,2,0),"")</f>
        <v>2.5516</v>
      </c>
      <c r="I3141">
        <f>IFERROR(VLOOKUP($A3141,原始数据_利率互换_FR007_1年!$A$6:$C$4395,3,0),"")</f>
        <v>2.7904</v>
      </c>
    </row>
    <row r="3142" spans="1:9">
      <c r="A3142" s="6">
        <v>42635</v>
      </c>
      <c r="B3142">
        <f>IFERROR(VLOOKUP($A3142,原始数据_收盘!$A$4:$G$3460,2,0),"")</f>
        <v>2.5046</v>
      </c>
      <c r="C3142">
        <f>IFERROR(VLOOKUP($A3142,原始数据_收盘!$A$4:$G$3460,3,0),"")</f>
        <v>2.7541</v>
      </c>
      <c r="D3142">
        <f>IFERROR(VLOOKUP($A3142,原始数据_收盘!$A$4:$G$3460,4,0),"")</f>
        <v>2.54</v>
      </c>
      <c r="E3142">
        <f>IFERROR(VLOOKUP($A3142,原始数据_收盘!$A$4:$G$3460,5,0),"")</f>
        <v>2.795</v>
      </c>
      <c r="F3142">
        <f>IFERROR(VLOOKUP($A3142,原始数据_收盘!$A$4:$G$3460,6,0),"")</f>
        <v>2.5223</v>
      </c>
      <c r="G3142">
        <f>IFERROR(VLOOKUP($A3142,原始数据_收盘!$A$4:$G$3460,7,0),"")</f>
        <v>2.7746</v>
      </c>
      <c r="H3142">
        <f>IFERROR(VLOOKUP($A3142,原始数据_利率互换_FR007_1年!$A$6:$C$4395,2,0),"")</f>
        <v>2.5376</v>
      </c>
      <c r="I3142">
        <f>IFERROR(VLOOKUP($A3142,原始数据_利率互换_FR007_1年!$A$6:$C$4395,3,0),"")</f>
        <v>2.7778</v>
      </c>
    </row>
    <row r="3143" spans="1:9">
      <c r="A3143" s="6">
        <v>42636</v>
      </c>
      <c r="B3143">
        <f>IFERROR(VLOOKUP($A3143,原始数据_收盘!$A$4:$G$3460,2,0),"")</f>
        <v>2.495</v>
      </c>
      <c r="C3143">
        <f>IFERROR(VLOOKUP($A3143,原始数据_收盘!$A$4:$G$3460,3,0),"")</f>
        <v>2.7438</v>
      </c>
      <c r="D3143">
        <f>IFERROR(VLOOKUP($A3143,原始数据_收盘!$A$4:$G$3460,4,0),"")</f>
        <v>2.5438</v>
      </c>
      <c r="E3143">
        <f>IFERROR(VLOOKUP($A3143,原始数据_收盘!$A$4:$G$3460,5,0),"")</f>
        <v>2.7925</v>
      </c>
      <c r="F3143">
        <f>IFERROR(VLOOKUP($A3143,原始数据_收盘!$A$4:$G$3460,6,0),"")</f>
        <v>2.5194</v>
      </c>
      <c r="G3143">
        <f>IFERROR(VLOOKUP($A3143,原始数据_收盘!$A$4:$G$3460,7,0),"")</f>
        <v>2.7681</v>
      </c>
      <c r="H3143">
        <f>IFERROR(VLOOKUP($A3143,原始数据_利率互换_FR007_1年!$A$6:$C$4395,2,0),"")</f>
        <v>2.5255</v>
      </c>
      <c r="I3143">
        <f>IFERROR(VLOOKUP($A3143,原始数据_利率互换_FR007_1年!$A$6:$C$4395,3,0),"")</f>
        <v>2.7648</v>
      </c>
    </row>
    <row r="3144" spans="1:9">
      <c r="A3144" s="6">
        <v>42637</v>
      </c>
      <c r="B3144" t="str">
        <f>IFERROR(VLOOKUP($A3144,原始数据_收盘!$A$4:$G$3460,2,0),"")</f>
        <v/>
      </c>
      <c r="C3144" t="str">
        <f>IFERROR(VLOOKUP($A3144,原始数据_收盘!$A$4:$G$3460,3,0),"")</f>
        <v/>
      </c>
      <c r="D3144" t="str">
        <f>IFERROR(VLOOKUP($A3144,原始数据_收盘!$A$4:$G$3460,4,0),"")</f>
        <v/>
      </c>
      <c r="E3144" t="str">
        <f>IFERROR(VLOOKUP($A3144,原始数据_收盘!$A$4:$G$3460,5,0),"")</f>
        <v/>
      </c>
      <c r="F3144" t="str">
        <f>IFERROR(VLOOKUP($A3144,原始数据_收盘!$A$4:$G$3460,6,0),"")</f>
        <v/>
      </c>
      <c r="G3144" t="str">
        <f>IFERROR(VLOOKUP($A3144,原始数据_收盘!$A$4:$G$3460,7,0),"")</f>
        <v/>
      </c>
      <c r="H3144" t="str">
        <f>IFERROR(VLOOKUP($A3144,原始数据_利率互换_FR007_1年!$A$6:$C$4395,2,0),"")</f>
        <v/>
      </c>
      <c r="I3144" t="str">
        <f>IFERROR(VLOOKUP($A3144,原始数据_利率互换_FR007_1年!$A$6:$C$4395,3,0),"")</f>
        <v/>
      </c>
    </row>
    <row r="3145" spans="1:9">
      <c r="A3145" s="6">
        <v>42638</v>
      </c>
      <c r="B3145" t="str">
        <f>IFERROR(VLOOKUP($A3145,原始数据_收盘!$A$4:$G$3460,2,0),"")</f>
        <v/>
      </c>
      <c r="C3145" t="str">
        <f>IFERROR(VLOOKUP($A3145,原始数据_收盘!$A$4:$G$3460,3,0),"")</f>
        <v/>
      </c>
      <c r="D3145" t="str">
        <f>IFERROR(VLOOKUP($A3145,原始数据_收盘!$A$4:$G$3460,4,0),"")</f>
        <v/>
      </c>
      <c r="E3145" t="str">
        <f>IFERROR(VLOOKUP($A3145,原始数据_收盘!$A$4:$G$3460,5,0),"")</f>
        <v/>
      </c>
      <c r="F3145" t="str">
        <f>IFERROR(VLOOKUP($A3145,原始数据_收盘!$A$4:$G$3460,6,0),"")</f>
        <v/>
      </c>
      <c r="G3145" t="str">
        <f>IFERROR(VLOOKUP($A3145,原始数据_收盘!$A$4:$G$3460,7,0),"")</f>
        <v/>
      </c>
      <c r="H3145" t="str">
        <f>IFERROR(VLOOKUP($A3145,原始数据_利率互换_FR007_1年!$A$6:$C$4395,2,0),"")</f>
        <v/>
      </c>
      <c r="I3145" t="str">
        <f>IFERROR(VLOOKUP($A3145,原始数据_利率互换_FR007_1年!$A$6:$C$4395,3,0),"")</f>
        <v/>
      </c>
    </row>
    <row r="3146" spans="1:9">
      <c r="A3146" s="6">
        <v>42639</v>
      </c>
      <c r="B3146">
        <f>IFERROR(VLOOKUP($A3146,原始数据_收盘!$A$4:$G$3460,2,0),"")</f>
        <v>2.4954</v>
      </c>
      <c r="C3146">
        <f>IFERROR(VLOOKUP($A3146,原始数据_收盘!$A$4:$G$3460,3,0),"")</f>
        <v>2.7406</v>
      </c>
      <c r="D3146">
        <f>IFERROR(VLOOKUP($A3146,原始数据_收盘!$A$4:$G$3460,4,0),"")</f>
        <v>2.5488</v>
      </c>
      <c r="E3146">
        <f>IFERROR(VLOOKUP($A3146,原始数据_收盘!$A$4:$G$3460,5,0),"")</f>
        <v>2.7963</v>
      </c>
      <c r="F3146">
        <f>IFERROR(VLOOKUP($A3146,原始数据_收盘!$A$4:$G$3460,6,0),"")</f>
        <v>2.5221</v>
      </c>
      <c r="G3146">
        <f>IFERROR(VLOOKUP($A3146,原始数据_收盘!$A$4:$G$3460,7,0),"")</f>
        <v>2.7684</v>
      </c>
      <c r="H3146">
        <f>IFERROR(VLOOKUP($A3146,原始数据_利率互换_FR007_1年!$A$6:$C$4395,2,0),"")</f>
        <v>2.5266</v>
      </c>
      <c r="I3146">
        <f>IFERROR(VLOOKUP($A3146,原始数据_利率互换_FR007_1年!$A$6:$C$4395,3,0),"")</f>
        <v>2.7615</v>
      </c>
    </row>
    <row r="3147" spans="1:9">
      <c r="A3147" s="6">
        <v>42640</v>
      </c>
      <c r="B3147">
        <f>IFERROR(VLOOKUP($A3147,原始数据_收盘!$A$4:$G$3460,2,0),"")</f>
        <v>2.4996</v>
      </c>
      <c r="C3147">
        <f>IFERROR(VLOOKUP($A3147,原始数据_收盘!$A$4:$G$3460,3,0),"")</f>
        <v>2.7425</v>
      </c>
      <c r="D3147">
        <f>IFERROR(VLOOKUP($A3147,原始数据_收盘!$A$4:$G$3460,4,0),"")</f>
        <v>2.55</v>
      </c>
      <c r="E3147">
        <f>IFERROR(VLOOKUP($A3147,原始数据_收盘!$A$4:$G$3460,5,0),"")</f>
        <v>2.7913</v>
      </c>
      <c r="F3147">
        <f>IFERROR(VLOOKUP($A3147,原始数据_收盘!$A$4:$G$3460,6,0),"")</f>
        <v>2.5248</v>
      </c>
      <c r="G3147">
        <f>IFERROR(VLOOKUP($A3147,原始数据_收盘!$A$4:$G$3460,7,0),"")</f>
        <v>2.7669</v>
      </c>
      <c r="H3147">
        <f>IFERROR(VLOOKUP($A3147,原始数据_利率互换_FR007_1年!$A$6:$C$4395,2,0),"")</f>
        <v>2.5308</v>
      </c>
      <c r="I3147">
        <f>IFERROR(VLOOKUP($A3147,原始数据_利率互换_FR007_1年!$A$6:$C$4395,3,0),"")</f>
        <v>2.7653</v>
      </c>
    </row>
    <row r="3148" spans="1:9">
      <c r="A3148" s="6">
        <v>42641</v>
      </c>
      <c r="B3148">
        <f>IFERROR(VLOOKUP($A3148,原始数据_收盘!$A$4:$G$3460,2,0),"")</f>
        <v>2.5038</v>
      </c>
      <c r="C3148">
        <f>IFERROR(VLOOKUP($A3148,原始数据_收盘!$A$4:$G$3460,3,0),"")</f>
        <v>2.7463</v>
      </c>
      <c r="D3148">
        <f>IFERROR(VLOOKUP($A3148,原始数据_收盘!$A$4:$G$3460,4,0),"")</f>
        <v>2.55</v>
      </c>
      <c r="E3148">
        <f>IFERROR(VLOOKUP($A3148,原始数据_收盘!$A$4:$G$3460,5,0),"")</f>
        <v>2.7938</v>
      </c>
      <c r="F3148">
        <f>IFERROR(VLOOKUP($A3148,原始数据_收盘!$A$4:$G$3460,6,0),"")</f>
        <v>2.5269</v>
      </c>
      <c r="G3148">
        <f>IFERROR(VLOOKUP($A3148,原始数据_收盘!$A$4:$G$3460,7,0),"")</f>
        <v>2.77</v>
      </c>
      <c r="H3148">
        <f>IFERROR(VLOOKUP($A3148,原始数据_利率互换_FR007_1年!$A$6:$C$4395,2,0),"")</f>
        <v>2.5409</v>
      </c>
      <c r="I3148">
        <f>IFERROR(VLOOKUP($A3148,原始数据_利率互换_FR007_1年!$A$6:$C$4395,3,0),"")</f>
        <v>2.773</v>
      </c>
    </row>
    <row r="3149" spans="1:9">
      <c r="A3149" s="6">
        <v>42642</v>
      </c>
      <c r="B3149">
        <f>IFERROR(VLOOKUP($A3149,原始数据_收盘!$A$4:$G$3460,2,0),"")</f>
        <v>2.5041</v>
      </c>
      <c r="C3149">
        <f>IFERROR(VLOOKUP($A3149,原始数据_收盘!$A$4:$G$3460,3,0),"")</f>
        <v>2.7516</v>
      </c>
      <c r="D3149">
        <f>IFERROR(VLOOKUP($A3149,原始数据_收盘!$A$4:$G$3460,4,0),"")</f>
        <v>2.5525</v>
      </c>
      <c r="E3149">
        <f>IFERROR(VLOOKUP($A3149,原始数据_收盘!$A$4:$G$3460,5,0),"")</f>
        <v>2.8031</v>
      </c>
      <c r="F3149">
        <f>IFERROR(VLOOKUP($A3149,原始数据_收盘!$A$4:$G$3460,6,0),"")</f>
        <v>2.5283</v>
      </c>
      <c r="G3149">
        <f>IFERROR(VLOOKUP($A3149,原始数据_收盘!$A$4:$G$3460,7,0),"")</f>
        <v>2.7774</v>
      </c>
      <c r="H3149">
        <f>IFERROR(VLOOKUP($A3149,原始数据_利率互换_FR007_1年!$A$6:$C$4395,2,0),"")</f>
        <v>2.5556</v>
      </c>
      <c r="I3149">
        <f>IFERROR(VLOOKUP($A3149,原始数据_利率互换_FR007_1年!$A$6:$C$4395,3,0),"")</f>
        <v>2.7813</v>
      </c>
    </row>
    <row r="3150" spans="1:9">
      <c r="A3150" s="6">
        <v>42643</v>
      </c>
      <c r="B3150">
        <f>IFERROR(VLOOKUP($A3150,原始数据_收盘!$A$4:$G$3460,2,0),"")</f>
        <v>2.5084</v>
      </c>
      <c r="C3150">
        <f>IFERROR(VLOOKUP($A3150,原始数据_收盘!$A$4:$G$3460,3,0),"")</f>
        <v>2.7513</v>
      </c>
      <c r="D3150">
        <f>IFERROR(VLOOKUP($A3150,原始数据_收盘!$A$4:$G$3460,4,0),"")</f>
        <v>2.5625</v>
      </c>
      <c r="E3150">
        <f>IFERROR(VLOOKUP($A3150,原始数据_收盘!$A$4:$G$3460,5,0),"")</f>
        <v>2.8044</v>
      </c>
      <c r="F3150">
        <f>IFERROR(VLOOKUP($A3150,原始数据_收盘!$A$4:$G$3460,6,0),"")</f>
        <v>2.5354</v>
      </c>
      <c r="G3150">
        <f>IFERROR(VLOOKUP($A3150,原始数据_收盘!$A$4:$G$3460,7,0),"")</f>
        <v>2.7778</v>
      </c>
      <c r="H3150">
        <f>IFERROR(VLOOKUP($A3150,原始数据_利率互换_FR007_1年!$A$6:$C$4395,2,0),"")</f>
        <v>2.5575</v>
      </c>
      <c r="I3150">
        <f>IFERROR(VLOOKUP($A3150,原始数据_利率互换_FR007_1年!$A$6:$C$4395,3,0),"")</f>
        <v>2.7754</v>
      </c>
    </row>
    <row r="3151" spans="1:9">
      <c r="A3151" s="6">
        <v>42644</v>
      </c>
      <c r="B3151" t="str">
        <f>IFERROR(VLOOKUP($A3151,原始数据_收盘!$A$4:$G$3460,2,0),"")</f>
        <v/>
      </c>
      <c r="C3151" t="str">
        <f>IFERROR(VLOOKUP($A3151,原始数据_收盘!$A$4:$G$3460,3,0),"")</f>
        <v/>
      </c>
      <c r="D3151" t="str">
        <f>IFERROR(VLOOKUP($A3151,原始数据_收盘!$A$4:$G$3460,4,0),"")</f>
        <v/>
      </c>
      <c r="E3151" t="str">
        <f>IFERROR(VLOOKUP($A3151,原始数据_收盘!$A$4:$G$3460,5,0),"")</f>
        <v/>
      </c>
      <c r="F3151" t="str">
        <f>IFERROR(VLOOKUP($A3151,原始数据_收盘!$A$4:$G$3460,6,0),"")</f>
        <v/>
      </c>
      <c r="G3151" t="str">
        <f>IFERROR(VLOOKUP($A3151,原始数据_收盘!$A$4:$G$3460,7,0),"")</f>
        <v/>
      </c>
      <c r="H3151" t="str">
        <f>IFERROR(VLOOKUP($A3151,原始数据_利率互换_FR007_1年!$A$6:$C$4395,2,0),"")</f>
        <v/>
      </c>
      <c r="I3151" t="str">
        <f>IFERROR(VLOOKUP($A3151,原始数据_利率互换_FR007_1年!$A$6:$C$4395,3,0),"")</f>
        <v/>
      </c>
    </row>
    <row r="3152" spans="1:9">
      <c r="A3152" s="6">
        <v>42645</v>
      </c>
      <c r="B3152" t="str">
        <f>IFERROR(VLOOKUP($A3152,原始数据_收盘!$A$4:$G$3460,2,0),"")</f>
        <v/>
      </c>
      <c r="C3152" t="str">
        <f>IFERROR(VLOOKUP($A3152,原始数据_收盘!$A$4:$G$3460,3,0),"")</f>
        <v/>
      </c>
      <c r="D3152" t="str">
        <f>IFERROR(VLOOKUP($A3152,原始数据_收盘!$A$4:$G$3460,4,0),"")</f>
        <v/>
      </c>
      <c r="E3152" t="str">
        <f>IFERROR(VLOOKUP($A3152,原始数据_收盘!$A$4:$G$3460,5,0),"")</f>
        <v/>
      </c>
      <c r="F3152" t="str">
        <f>IFERROR(VLOOKUP($A3152,原始数据_收盘!$A$4:$G$3460,6,0),"")</f>
        <v/>
      </c>
      <c r="G3152" t="str">
        <f>IFERROR(VLOOKUP($A3152,原始数据_收盘!$A$4:$G$3460,7,0),"")</f>
        <v/>
      </c>
      <c r="H3152" t="str">
        <f>IFERROR(VLOOKUP($A3152,原始数据_利率互换_FR007_1年!$A$6:$C$4395,2,0),"")</f>
        <v/>
      </c>
      <c r="I3152" t="str">
        <f>IFERROR(VLOOKUP($A3152,原始数据_利率互换_FR007_1年!$A$6:$C$4395,3,0),"")</f>
        <v/>
      </c>
    </row>
    <row r="3153" spans="1:9">
      <c r="A3153" s="6">
        <v>42646</v>
      </c>
      <c r="B3153" t="str">
        <f>IFERROR(VLOOKUP($A3153,原始数据_收盘!$A$4:$G$3460,2,0),"")</f>
        <v/>
      </c>
      <c r="C3153" t="str">
        <f>IFERROR(VLOOKUP($A3153,原始数据_收盘!$A$4:$G$3460,3,0),"")</f>
        <v/>
      </c>
      <c r="D3153" t="str">
        <f>IFERROR(VLOOKUP($A3153,原始数据_收盘!$A$4:$G$3460,4,0),"")</f>
        <v/>
      </c>
      <c r="E3153" t="str">
        <f>IFERROR(VLOOKUP($A3153,原始数据_收盘!$A$4:$G$3460,5,0),"")</f>
        <v/>
      </c>
      <c r="F3153" t="str">
        <f>IFERROR(VLOOKUP($A3153,原始数据_收盘!$A$4:$G$3460,6,0),"")</f>
        <v/>
      </c>
      <c r="G3153" t="str">
        <f>IFERROR(VLOOKUP($A3153,原始数据_收盘!$A$4:$G$3460,7,0),"")</f>
        <v/>
      </c>
      <c r="H3153" t="str">
        <f>IFERROR(VLOOKUP($A3153,原始数据_利率互换_FR007_1年!$A$6:$C$4395,2,0),"")</f>
        <v/>
      </c>
      <c r="I3153" t="str">
        <f>IFERROR(VLOOKUP($A3153,原始数据_利率互换_FR007_1年!$A$6:$C$4395,3,0),"")</f>
        <v/>
      </c>
    </row>
    <row r="3154" spans="1:9">
      <c r="A3154" s="6">
        <v>42647</v>
      </c>
      <c r="B3154" t="str">
        <f>IFERROR(VLOOKUP($A3154,原始数据_收盘!$A$4:$G$3460,2,0),"")</f>
        <v/>
      </c>
      <c r="C3154" t="str">
        <f>IFERROR(VLOOKUP($A3154,原始数据_收盘!$A$4:$G$3460,3,0),"")</f>
        <v/>
      </c>
      <c r="D3154" t="str">
        <f>IFERROR(VLOOKUP($A3154,原始数据_收盘!$A$4:$G$3460,4,0),"")</f>
        <v/>
      </c>
      <c r="E3154" t="str">
        <f>IFERROR(VLOOKUP($A3154,原始数据_收盘!$A$4:$G$3460,5,0),"")</f>
        <v/>
      </c>
      <c r="F3154" t="str">
        <f>IFERROR(VLOOKUP($A3154,原始数据_收盘!$A$4:$G$3460,6,0),"")</f>
        <v/>
      </c>
      <c r="G3154" t="str">
        <f>IFERROR(VLOOKUP($A3154,原始数据_收盘!$A$4:$G$3460,7,0),"")</f>
        <v/>
      </c>
      <c r="H3154" t="str">
        <f>IFERROR(VLOOKUP($A3154,原始数据_利率互换_FR007_1年!$A$6:$C$4395,2,0),"")</f>
        <v/>
      </c>
      <c r="I3154" t="str">
        <f>IFERROR(VLOOKUP($A3154,原始数据_利率互换_FR007_1年!$A$6:$C$4395,3,0),"")</f>
        <v/>
      </c>
    </row>
    <row r="3155" spans="1:9">
      <c r="A3155" s="6">
        <v>42648</v>
      </c>
      <c r="B3155" t="str">
        <f>IFERROR(VLOOKUP($A3155,原始数据_收盘!$A$4:$G$3460,2,0),"")</f>
        <v/>
      </c>
      <c r="C3155" t="str">
        <f>IFERROR(VLOOKUP($A3155,原始数据_收盘!$A$4:$G$3460,3,0),"")</f>
        <v/>
      </c>
      <c r="D3155" t="str">
        <f>IFERROR(VLOOKUP($A3155,原始数据_收盘!$A$4:$G$3460,4,0),"")</f>
        <v/>
      </c>
      <c r="E3155" t="str">
        <f>IFERROR(VLOOKUP($A3155,原始数据_收盘!$A$4:$G$3460,5,0),"")</f>
        <v/>
      </c>
      <c r="F3155" t="str">
        <f>IFERROR(VLOOKUP($A3155,原始数据_收盘!$A$4:$G$3460,6,0),"")</f>
        <v/>
      </c>
      <c r="G3155" t="str">
        <f>IFERROR(VLOOKUP($A3155,原始数据_收盘!$A$4:$G$3460,7,0),"")</f>
        <v/>
      </c>
      <c r="H3155" t="str">
        <f>IFERROR(VLOOKUP($A3155,原始数据_利率互换_FR007_1年!$A$6:$C$4395,2,0),"")</f>
        <v/>
      </c>
      <c r="I3155" t="str">
        <f>IFERROR(VLOOKUP($A3155,原始数据_利率互换_FR007_1年!$A$6:$C$4395,3,0),"")</f>
        <v/>
      </c>
    </row>
    <row r="3156" spans="1:9">
      <c r="A3156" s="6">
        <v>42649</v>
      </c>
      <c r="B3156" t="str">
        <f>IFERROR(VLOOKUP($A3156,原始数据_收盘!$A$4:$G$3460,2,0),"")</f>
        <v/>
      </c>
      <c r="C3156" t="str">
        <f>IFERROR(VLOOKUP($A3156,原始数据_收盘!$A$4:$G$3460,3,0),"")</f>
        <v/>
      </c>
      <c r="D3156" t="str">
        <f>IFERROR(VLOOKUP($A3156,原始数据_收盘!$A$4:$G$3460,4,0),"")</f>
        <v/>
      </c>
      <c r="E3156" t="str">
        <f>IFERROR(VLOOKUP($A3156,原始数据_收盘!$A$4:$G$3460,5,0),"")</f>
        <v/>
      </c>
      <c r="F3156" t="str">
        <f>IFERROR(VLOOKUP($A3156,原始数据_收盘!$A$4:$G$3460,6,0),"")</f>
        <v/>
      </c>
      <c r="G3156" t="str">
        <f>IFERROR(VLOOKUP($A3156,原始数据_收盘!$A$4:$G$3460,7,0),"")</f>
        <v/>
      </c>
      <c r="H3156" t="str">
        <f>IFERROR(VLOOKUP($A3156,原始数据_利率互换_FR007_1年!$A$6:$C$4395,2,0),"")</f>
        <v/>
      </c>
      <c r="I3156" t="str">
        <f>IFERROR(VLOOKUP($A3156,原始数据_利率互换_FR007_1年!$A$6:$C$4395,3,0),"")</f>
        <v/>
      </c>
    </row>
    <row r="3157" spans="1:9">
      <c r="A3157" s="6">
        <v>42650</v>
      </c>
      <c r="B3157" t="str">
        <f>IFERROR(VLOOKUP($A3157,原始数据_收盘!$A$4:$G$3460,2,0),"")</f>
        <v/>
      </c>
      <c r="C3157" t="str">
        <f>IFERROR(VLOOKUP($A3157,原始数据_收盘!$A$4:$G$3460,3,0),"")</f>
        <v/>
      </c>
      <c r="D3157" t="str">
        <f>IFERROR(VLOOKUP($A3157,原始数据_收盘!$A$4:$G$3460,4,0),"")</f>
        <v/>
      </c>
      <c r="E3157" t="str">
        <f>IFERROR(VLOOKUP($A3157,原始数据_收盘!$A$4:$G$3460,5,0),"")</f>
        <v/>
      </c>
      <c r="F3157" t="str">
        <f>IFERROR(VLOOKUP($A3157,原始数据_收盘!$A$4:$G$3460,6,0),"")</f>
        <v/>
      </c>
      <c r="G3157" t="str">
        <f>IFERROR(VLOOKUP($A3157,原始数据_收盘!$A$4:$G$3460,7,0),"")</f>
        <v/>
      </c>
      <c r="H3157" t="str">
        <f>IFERROR(VLOOKUP($A3157,原始数据_利率互换_FR007_1年!$A$6:$C$4395,2,0),"")</f>
        <v/>
      </c>
      <c r="I3157" t="str">
        <f>IFERROR(VLOOKUP($A3157,原始数据_利率互换_FR007_1年!$A$6:$C$4395,3,0),"")</f>
        <v/>
      </c>
    </row>
    <row r="3158" spans="1:9">
      <c r="A3158" s="6">
        <v>42651</v>
      </c>
      <c r="B3158">
        <f>IFERROR(VLOOKUP($A3158,原始数据_收盘!$A$4:$G$3460,2,0),"")</f>
        <v>2.5063</v>
      </c>
      <c r="C3158">
        <f>IFERROR(VLOOKUP($A3158,原始数据_收盘!$A$4:$G$3460,3,0),"")</f>
        <v>2.7488</v>
      </c>
      <c r="D3158">
        <f>IFERROR(VLOOKUP($A3158,原始数据_收盘!$A$4:$G$3460,4,0),"")</f>
        <v>2.5625</v>
      </c>
      <c r="E3158">
        <f>IFERROR(VLOOKUP($A3158,原始数据_收盘!$A$4:$G$3460,5,0),"")</f>
        <v>2.8025</v>
      </c>
      <c r="F3158">
        <f>IFERROR(VLOOKUP($A3158,原始数据_收盘!$A$4:$G$3460,6,0),"")</f>
        <v>2.5344</v>
      </c>
      <c r="G3158">
        <f>IFERROR(VLOOKUP($A3158,原始数据_收盘!$A$4:$G$3460,7,0),"")</f>
        <v>2.7756</v>
      </c>
      <c r="H3158">
        <f>IFERROR(VLOOKUP($A3158,原始数据_利率互换_FR007_1年!$A$6:$C$4395,2,0),"")</f>
        <v>0</v>
      </c>
      <c r="I3158">
        <f>IFERROR(VLOOKUP($A3158,原始数据_利率互换_FR007_1年!$A$6:$C$4395,3,0),"")</f>
        <v>2.7781</v>
      </c>
    </row>
    <row r="3159" spans="1:9">
      <c r="A3159" s="6">
        <v>42652</v>
      </c>
      <c r="B3159">
        <f>IFERROR(VLOOKUP($A3159,原始数据_收盘!$A$4:$G$3460,2,0),"")</f>
        <v>2.5063</v>
      </c>
      <c r="C3159">
        <f>IFERROR(VLOOKUP($A3159,原始数据_收盘!$A$4:$G$3460,3,0),"")</f>
        <v>2.7463</v>
      </c>
      <c r="D3159">
        <f>IFERROR(VLOOKUP($A3159,原始数据_收盘!$A$4:$G$3460,4,0),"")</f>
        <v>2.5575</v>
      </c>
      <c r="E3159">
        <f>IFERROR(VLOOKUP($A3159,原始数据_收盘!$A$4:$G$3460,5,0),"")</f>
        <v>2.7988</v>
      </c>
      <c r="F3159">
        <f>IFERROR(VLOOKUP($A3159,原始数据_收盘!$A$4:$G$3460,6,0),"")</f>
        <v>2.5319</v>
      </c>
      <c r="G3159">
        <f>IFERROR(VLOOKUP($A3159,原始数据_收盘!$A$4:$G$3460,7,0),"")</f>
        <v>2.7725</v>
      </c>
      <c r="H3159">
        <f>IFERROR(VLOOKUP($A3159,原始数据_利率互换_FR007_1年!$A$6:$C$4395,2,0),"")</f>
        <v>0</v>
      </c>
      <c r="I3159">
        <f>IFERROR(VLOOKUP($A3159,原始数据_利率互换_FR007_1年!$A$6:$C$4395,3,0),"")</f>
        <v>2.77</v>
      </c>
    </row>
    <row r="3160" spans="1:9">
      <c r="A3160" s="6">
        <v>42653</v>
      </c>
      <c r="B3160">
        <f>IFERROR(VLOOKUP($A3160,原始数据_收盘!$A$4:$G$3460,2,0),"")</f>
        <v>2.5091</v>
      </c>
      <c r="C3160">
        <f>IFERROR(VLOOKUP($A3160,原始数据_收盘!$A$4:$G$3460,3,0),"")</f>
        <v>2.7381</v>
      </c>
      <c r="D3160">
        <f>IFERROR(VLOOKUP($A3160,原始数据_收盘!$A$4:$G$3460,4,0),"")</f>
        <v>2.555</v>
      </c>
      <c r="E3160">
        <f>IFERROR(VLOOKUP($A3160,原始数据_收盘!$A$4:$G$3460,5,0),"")</f>
        <v>2.7913</v>
      </c>
      <c r="F3160">
        <f>IFERROR(VLOOKUP($A3160,原始数据_收盘!$A$4:$G$3460,6,0),"")</f>
        <v>2.5321</v>
      </c>
      <c r="G3160">
        <f>IFERROR(VLOOKUP($A3160,原始数据_收盘!$A$4:$G$3460,7,0),"")</f>
        <v>2.7647</v>
      </c>
      <c r="H3160">
        <f>IFERROR(VLOOKUP($A3160,原始数据_利率互换_FR007_1年!$A$6:$C$4395,2,0),"")</f>
        <v>2.5353</v>
      </c>
      <c r="I3160">
        <f>IFERROR(VLOOKUP($A3160,原始数据_利率互换_FR007_1年!$A$6:$C$4395,3,0),"")</f>
        <v>2.7637</v>
      </c>
    </row>
    <row r="3161" spans="1:9">
      <c r="A3161" s="6">
        <v>42654</v>
      </c>
      <c r="B3161">
        <f>IFERROR(VLOOKUP($A3161,原始数据_收盘!$A$4:$G$3460,2,0),"")</f>
        <v>2.5104</v>
      </c>
      <c r="C3161">
        <f>IFERROR(VLOOKUP($A3161,原始数据_收盘!$A$4:$G$3460,3,0),"")</f>
        <v>2.7488</v>
      </c>
      <c r="D3161">
        <f>IFERROR(VLOOKUP($A3161,原始数据_收盘!$A$4:$G$3460,4,0),"")</f>
        <v>2.5563</v>
      </c>
      <c r="E3161">
        <f>IFERROR(VLOOKUP($A3161,原始数据_收盘!$A$4:$G$3460,5,0),"")</f>
        <v>2.8025</v>
      </c>
      <c r="F3161">
        <f>IFERROR(VLOOKUP($A3161,原始数据_收盘!$A$4:$G$3460,6,0),"")</f>
        <v>2.5333</v>
      </c>
      <c r="G3161">
        <f>IFERROR(VLOOKUP($A3161,原始数据_收盘!$A$4:$G$3460,7,0),"")</f>
        <v>2.7756</v>
      </c>
      <c r="H3161">
        <f>IFERROR(VLOOKUP($A3161,原始数据_利率互换_FR007_1年!$A$6:$C$4395,2,0),"")</f>
        <v>2.5455</v>
      </c>
      <c r="I3161">
        <f>IFERROR(VLOOKUP($A3161,原始数据_利率互换_FR007_1年!$A$6:$C$4395,3,0),"")</f>
        <v>2.7781</v>
      </c>
    </row>
    <row r="3162" spans="1:9">
      <c r="A3162" s="6">
        <v>42655</v>
      </c>
      <c r="B3162">
        <f>IFERROR(VLOOKUP($A3162,原始数据_收盘!$A$4:$G$3460,2,0),"")</f>
        <v>2.5125</v>
      </c>
      <c r="C3162">
        <f>IFERROR(VLOOKUP($A3162,原始数据_收盘!$A$4:$G$3460,3,0),"")</f>
        <v>2.755</v>
      </c>
      <c r="D3162">
        <f>IFERROR(VLOOKUP($A3162,原始数据_收盘!$A$4:$G$3460,4,0),"")</f>
        <v>2.5638</v>
      </c>
      <c r="E3162">
        <f>IFERROR(VLOOKUP($A3162,原始数据_收盘!$A$4:$G$3460,5,0),"")</f>
        <v>2.8119</v>
      </c>
      <c r="F3162">
        <f>IFERROR(VLOOKUP($A3162,原始数据_收盘!$A$4:$G$3460,6,0),"")</f>
        <v>2.5381</v>
      </c>
      <c r="G3162">
        <f>IFERROR(VLOOKUP($A3162,原始数据_收盘!$A$4:$G$3460,7,0),"")</f>
        <v>2.7834</v>
      </c>
      <c r="H3162">
        <f>IFERROR(VLOOKUP($A3162,原始数据_利率互换_FR007_1年!$A$6:$C$4395,2,0),"")</f>
        <v>2.5541</v>
      </c>
      <c r="I3162">
        <f>IFERROR(VLOOKUP($A3162,原始数据_利率互换_FR007_1年!$A$6:$C$4395,3,0),"")</f>
        <v>2.7942</v>
      </c>
    </row>
    <row r="3163" spans="1:9">
      <c r="A3163" s="6">
        <v>42656</v>
      </c>
      <c r="B3163">
        <f>IFERROR(VLOOKUP($A3163,原始数据_收盘!$A$4:$G$3460,2,0),"")</f>
        <v>2.5221</v>
      </c>
      <c r="C3163">
        <f>IFERROR(VLOOKUP($A3163,原始数据_收盘!$A$4:$G$3460,3,0),"")</f>
        <v>2.7571</v>
      </c>
      <c r="D3163">
        <f>IFERROR(VLOOKUP($A3163,原始数据_收盘!$A$4:$G$3460,4,0),"")</f>
        <v>2.5625</v>
      </c>
      <c r="E3163">
        <f>IFERROR(VLOOKUP($A3163,原始数据_收盘!$A$4:$G$3460,5,0),"")</f>
        <v>2.8038</v>
      </c>
      <c r="F3163">
        <f>IFERROR(VLOOKUP($A3163,原始数据_收盘!$A$4:$G$3460,6,0),"")</f>
        <v>2.5423</v>
      </c>
      <c r="G3163">
        <f>IFERROR(VLOOKUP($A3163,原始数据_收盘!$A$4:$G$3460,7,0),"")</f>
        <v>2.7804</v>
      </c>
      <c r="H3163">
        <f>IFERROR(VLOOKUP($A3163,原始数据_利率互换_FR007_1年!$A$6:$C$4395,2,0),"")</f>
        <v>2.5529</v>
      </c>
      <c r="I3163">
        <f>IFERROR(VLOOKUP($A3163,原始数据_利率互换_FR007_1年!$A$6:$C$4395,3,0),"")</f>
        <v>2.7897</v>
      </c>
    </row>
    <row r="3164" spans="1:9">
      <c r="A3164" s="6">
        <v>42657</v>
      </c>
      <c r="B3164">
        <f>IFERROR(VLOOKUP($A3164,原始数据_收盘!$A$4:$G$3460,2,0),"")</f>
        <v>2.5188</v>
      </c>
      <c r="C3164">
        <f>IFERROR(VLOOKUP($A3164,原始数据_收盘!$A$4:$G$3460,3,0),"")</f>
        <v>2.7504</v>
      </c>
      <c r="D3164">
        <f>IFERROR(VLOOKUP($A3164,原始数据_收盘!$A$4:$G$3460,4,0),"")</f>
        <v>2.56</v>
      </c>
      <c r="E3164">
        <f>IFERROR(VLOOKUP($A3164,原始数据_收盘!$A$4:$G$3460,5,0),"")</f>
        <v>2.8013</v>
      </c>
      <c r="F3164">
        <f>IFERROR(VLOOKUP($A3164,原始数据_收盘!$A$4:$G$3460,6,0),"")</f>
        <v>2.5394</v>
      </c>
      <c r="G3164">
        <f>IFERROR(VLOOKUP($A3164,原始数据_收盘!$A$4:$G$3460,7,0),"")</f>
        <v>2.7758</v>
      </c>
      <c r="H3164">
        <f>IFERROR(VLOOKUP($A3164,原始数据_利率互换_FR007_1年!$A$6:$C$4395,2,0),"")</f>
        <v>2.5484</v>
      </c>
      <c r="I3164">
        <f>IFERROR(VLOOKUP($A3164,原始数据_利率互换_FR007_1年!$A$6:$C$4395,3,0),"")</f>
        <v>2.7869</v>
      </c>
    </row>
    <row r="3165" spans="1:9">
      <c r="A3165" s="6">
        <v>42658</v>
      </c>
      <c r="B3165" t="str">
        <f>IFERROR(VLOOKUP($A3165,原始数据_收盘!$A$4:$G$3460,2,0),"")</f>
        <v/>
      </c>
      <c r="C3165" t="str">
        <f>IFERROR(VLOOKUP($A3165,原始数据_收盘!$A$4:$G$3460,3,0),"")</f>
        <v/>
      </c>
      <c r="D3165" t="str">
        <f>IFERROR(VLOOKUP($A3165,原始数据_收盘!$A$4:$G$3460,4,0),"")</f>
        <v/>
      </c>
      <c r="E3165" t="str">
        <f>IFERROR(VLOOKUP($A3165,原始数据_收盘!$A$4:$G$3460,5,0),"")</f>
        <v/>
      </c>
      <c r="F3165" t="str">
        <f>IFERROR(VLOOKUP($A3165,原始数据_收盘!$A$4:$G$3460,6,0),"")</f>
        <v/>
      </c>
      <c r="G3165" t="str">
        <f>IFERROR(VLOOKUP($A3165,原始数据_收盘!$A$4:$G$3460,7,0),"")</f>
        <v/>
      </c>
      <c r="H3165" t="str">
        <f>IFERROR(VLOOKUP($A3165,原始数据_利率互换_FR007_1年!$A$6:$C$4395,2,0),"")</f>
        <v/>
      </c>
      <c r="I3165" t="str">
        <f>IFERROR(VLOOKUP($A3165,原始数据_利率互换_FR007_1年!$A$6:$C$4395,3,0),"")</f>
        <v/>
      </c>
    </row>
    <row r="3166" spans="1:9">
      <c r="A3166" s="6">
        <v>42659</v>
      </c>
      <c r="B3166" t="str">
        <f>IFERROR(VLOOKUP($A3166,原始数据_收盘!$A$4:$G$3460,2,0),"")</f>
        <v/>
      </c>
      <c r="C3166" t="str">
        <f>IFERROR(VLOOKUP($A3166,原始数据_收盘!$A$4:$G$3460,3,0),"")</f>
        <v/>
      </c>
      <c r="D3166" t="str">
        <f>IFERROR(VLOOKUP($A3166,原始数据_收盘!$A$4:$G$3460,4,0),"")</f>
        <v/>
      </c>
      <c r="E3166" t="str">
        <f>IFERROR(VLOOKUP($A3166,原始数据_收盘!$A$4:$G$3460,5,0),"")</f>
        <v/>
      </c>
      <c r="F3166" t="str">
        <f>IFERROR(VLOOKUP($A3166,原始数据_收盘!$A$4:$G$3460,6,0),"")</f>
        <v/>
      </c>
      <c r="G3166" t="str">
        <f>IFERROR(VLOOKUP($A3166,原始数据_收盘!$A$4:$G$3460,7,0),"")</f>
        <v/>
      </c>
      <c r="H3166" t="str">
        <f>IFERROR(VLOOKUP($A3166,原始数据_利率互换_FR007_1年!$A$6:$C$4395,2,0),"")</f>
        <v/>
      </c>
      <c r="I3166" t="str">
        <f>IFERROR(VLOOKUP($A3166,原始数据_利率互换_FR007_1年!$A$6:$C$4395,3,0),"")</f>
        <v/>
      </c>
    </row>
    <row r="3167" spans="1:9">
      <c r="A3167" s="6">
        <v>42660</v>
      </c>
      <c r="B3167">
        <f>IFERROR(VLOOKUP($A3167,原始数据_收盘!$A$4:$G$3460,2,0),"")</f>
        <v>2.5234</v>
      </c>
      <c r="C3167">
        <f>IFERROR(VLOOKUP($A3167,原始数据_收盘!$A$4:$G$3460,3,0),"")</f>
        <v>2.7575</v>
      </c>
      <c r="D3167">
        <f>IFERROR(VLOOKUP($A3167,原始数据_收盘!$A$4:$G$3460,4,0),"")</f>
        <v>2.5713</v>
      </c>
      <c r="E3167">
        <f>IFERROR(VLOOKUP($A3167,原始数据_收盘!$A$4:$G$3460,5,0),"")</f>
        <v>2.8063</v>
      </c>
      <c r="F3167">
        <f>IFERROR(VLOOKUP($A3167,原始数据_收盘!$A$4:$G$3460,6,0),"")</f>
        <v>2.5473</v>
      </c>
      <c r="G3167">
        <f>IFERROR(VLOOKUP($A3167,原始数据_收盘!$A$4:$G$3460,7,0),"")</f>
        <v>2.7819</v>
      </c>
      <c r="H3167">
        <f>IFERROR(VLOOKUP($A3167,原始数据_利率互换_FR007_1年!$A$6:$C$4395,2,0),"")</f>
        <v>2.5572</v>
      </c>
      <c r="I3167">
        <f>IFERROR(VLOOKUP($A3167,原始数据_利率互换_FR007_1年!$A$6:$C$4395,3,0),"")</f>
        <v>2.7906</v>
      </c>
    </row>
    <row r="3168" spans="1:9">
      <c r="A3168" s="6">
        <v>42661</v>
      </c>
      <c r="B3168">
        <f>IFERROR(VLOOKUP($A3168,原始数据_收盘!$A$4:$G$3460,2,0),"")</f>
        <v>2.5363</v>
      </c>
      <c r="C3168">
        <f>IFERROR(VLOOKUP($A3168,原始数据_收盘!$A$4:$G$3460,3,0),"")</f>
        <v>2.7663</v>
      </c>
      <c r="D3168">
        <f>IFERROR(VLOOKUP($A3168,原始数据_收盘!$A$4:$G$3460,4,0),"")</f>
        <v>2.5888</v>
      </c>
      <c r="E3168">
        <f>IFERROR(VLOOKUP($A3168,原始数据_收盘!$A$4:$G$3460,5,0),"")</f>
        <v>2.8188</v>
      </c>
      <c r="F3168">
        <f>IFERROR(VLOOKUP($A3168,原始数据_收盘!$A$4:$G$3460,6,0),"")</f>
        <v>2.5625</v>
      </c>
      <c r="G3168">
        <f>IFERROR(VLOOKUP($A3168,原始数据_收盘!$A$4:$G$3460,7,0),"")</f>
        <v>2.7925</v>
      </c>
      <c r="H3168">
        <f>IFERROR(VLOOKUP($A3168,原始数据_利率互换_FR007_1年!$A$6:$C$4395,2,0),"")</f>
        <v>2.57</v>
      </c>
      <c r="I3168">
        <f>IFERROR(VLOOKUP($A3168,原始数据_利率互换_FR007_1年!$A$6:$C$4395,3,0),"")</f>
        <v>2.7981</v>
      </c>
    </row>
    <row r="3169" spans="1:9">
      <c r="A3169" s="6">
        <v>42662</v>
      </c>
      <c r="B3169">
        <f>IFERROR(VLOOKUP($A3169,原始数据_收盘!$A$4:$G$3460,2,0),"")</f>
        <v>2.5413</v>
      </c>
      <c r="C3169">
        <f>IFERROR(VLOOKUP($A3169,原始数据_收盘!$A$4:$G$3460,3,0),"")</f>
        <v>2.7675</v>
      </c>
      <c r="D3169">
        <f>IFERROR(VLOOKUP($A3169,原始数据_收盘!$A$4:$G$3460,4,0),"")</f>
        <v>2.5838</v>
      </c>
      <c r="E3169">
        <f>IFERROR(VLOOKUP($A3169,原始数据_收盘!$A$4:$G$3460,5,0),"")</f>
        <v>2.8125</v>
      </c>
      <c r="F3169">
        <f>IFERROR(VLOOKUP($A3169,原始数据_收盘!$A$4:$G$3460,6,0),"")</f>
        <v>2.5625</v>
      </c>
      <c r="G3169">
        <f>IFERROR(VLOOKUP($A3169,原始数据_收盘!$A$4:$G$3460,7,0),"")</f>
        <v>2.79</v>
      </c>
      <c r="H3169">
        <f>IFERROR(VLOOKUP($A3169,原始数据_利率互换_FR007_1年!$A$6:$C$4395,2,0),"")</f>
        <v>2.5787</v>
      </c>
      <c r="I3169">
        <f>IFERROR(VLOOKUP($A3169,原始数据_利率互换_FR007_1年!$A$6:$C$4395,3,0),"")</f>
        <v>2.8016</v>
      </c>
    </row>
    <row r="3170" spans="1:9">
      <c r="A3170" s="6">
        <v>42663</v>
      </c>
      <c r="B3170">
        <f>IFERROR(VLOOKUP($A3170,原始数据_收盘!$A$4:$G$3460,2,0),"")</f>
        <v>2.5275</v>
      </c>
      <c r="C3170">
        <f>IFERROR(VLOOKUP($A3170,原始数据_收盘!$A$4:$G$3460,3,0),"")</f>
        <v>2.7588</v>
      </c>
      <c r="D3170">
        <f>IFERROR(VLOOKUP($A3170,原始数据_收盘!$A$4:$G$3460,4,0),"")</f>
        <v>2.58</v>
      </c>
      <c r="E3170">
        <f>IFERROR(VLOOKUP($A3170,原始数据_收盘!$A$4:$G$3460,5,0),"")</f>
        <v>2.8113</v>
      </c>
      <c r="F3170">
        <f>IFERROR(VLOOKUP($A3170,原始数据_收盘!$A$4:$G$3460,6,0),"")</f>
        <v>2.5538</v>
      </c>
      <c r="G3170">
        <f>IFERROR(VLOOKUP($A3170,原始数据_收盘!$A$4:$G$3460,7,0),"")</f>
        <v>2.785</v>
      </c>
      <c r="H3170">
        <f>IFERROR(VLOOKUP($A3170,原始数据_利率互换_FR007_1年!$A$6:$C$4395,2,0),"")</f>
        <v>2.5761</v>
      </c>
      <c r="I3170">
        <f>IFERROR(VLOOKUP($A3170,原始数据_利率互换_FR007_1年!$A$6:$C$4395,3,0),"")</f>
        <v>2.7953</v>
      </c>
    </row>
    <row r="3171" spans="1:9">
      <c r="A3171" s="6">
        <v>42664</v>
      </c>
      <c r="B3171">
        <f>IFERROR(VLOOKUP($A3171,原始数据_收盘!$A$4:$G$3460,2,0),"")</f>
        <v>2.5609</v>
      </c>
      <c r="C3171">
        <f>IFERROR(VLOOKUP($A3171,原始数据_收盘!$A$4:$G$3460,3,0),"")</f>
        <v>2.7725</v>
      </c>
      <c r="D3171">
        <f>IFERROR(VLOOKUP($A3171,原始数据_收盘!$A$4:$G$3460,4,0),"")</f>
        <v>2.615</v>
      </c>
      <c r="E3171">
        <f>IFERROR(VLOOKUP($A3171,原始数据_收盘!$A$4:$G$3460,5,0),"")</f>
        <v>2.8281</v>
      </c>
      <c r="F3171">
        <f>IFERROR(VLOOKUP($A3171,原始数据_收盘!$A$4:$G$3460,6,0),"")</f>
        <v>2.5879</v>
      </c>
      <c r="G3171">
        <f>IFERROR(VLOOKUP($A3171,原始数据_收盘!$A$4:$G$3460,7,0),"")</f>
        <v>2.8003</v>
      </c>
      <c r="H3171">
        <f>IFERROR(VLOOKUP($A3171,原始数据_利率互换_FR007_1年!$A$6:$C$4395,2,0),"")</f>
        <v>2.5996</v>
      </c>
      <c r="I3171">
        <f>IFERROR(VLOOKUP($A3171,原始数据_利率互换_FR007_1年!$A$6:$C$4395,3,0),"")</f>
        <v>2.7804</v>
      </c>
    </row>
    <row r="3172" spans="1:9">
      <c r="A3172" s="6">
        <v>42665</v>
      </c>
      <c r="B3172" t="str">
        <f>IFERROR(VLOOKUP($A3172,原始数据_收盘!$A$4:$G$3460,2,0),"")</f>
        <v/>
      </c>
      <c r="C3172" t="str">
        <f>IFERROR(VLOOKUP($A3172,原始数据_收盘!$A$4:$G$3460,3,0),"")</f>
        <v/>
      </c>
      <c r="D3172" t="str">
        <f>IFERROR(VLOOKUP($A3172,原始数据_收盘!$A$4:$G$3460,4,0),"")</f>
        <v/>
      </c>
      <c r="E3172" t="str">
        <f>IFERROR(VLOOKUP($A3172,原始数据_收盘!$A$4:$G$3460,5,0),"")</f>
        <v/>
      </c>
      <c r="F3172" t="str">
        <f>IFERROR(VLOOKUP($A3172,原始数据_收盘!$A$4:$G$3460,6,0),"")</f>
        <v/>
      </c>
      <c r="G3172" t="str">
        <f>IFERROR(VLOOKUP($A3172,原始数据_收盘!$A$4:$G$3460,7,0),"")</f>
        <v/>
      </c>
      <c r="H3172" t="str">
        <f>IFERROR(VLOOKUP($A3172,原始数据_利率互换_FR007_1年!$A$6:$C$4395,2,0),"")</f>
        <v/>
      </c>
      <c r="I3172" t="str">
        <f>IFERROR(VLOOKUP($A3172,原始数据_利率互换_FR007_1年!$A$6:$C$4395,3,0),"")</f>
        <v/>
      </c>
    </row>
    <row r="3173" spans="1:9">
      <c r="A3173" s="6">
        <v>42666</v>
      </c>
      <c r="B3173" t="str">
        <f>IFERROR(VLOOKUP($A3173,原始数据_收盘!$A$4:$G$3460,2,0),"")</f>
        <v/>
      </c>
      <c r="C3173" t="str">
        <f>IFERROR(VLOOKUP($A3173,原始数据_收盘!$A$4:$G$3460,3,0),"")</f>
        <v/>
      </c>
      <c r="D3173" t="str">
        <f>IFERROR(VLOOKUP($A3173,原始数据_收盘!$A$4:$G$3460,4,0),"")</f>
        <v/>
      </c>
      <c r="E3173" t="str">
        <f>IFERROR(VLOOKUP($A3173,原始数据_收盘!$A$4:$G$3460,5,0),"")</f>
        <v/>
      </c>
      <c r="F3173" t="str">
        <f>IFERROR(VLOOKUP($A3173,原始数据_收盘!$A$4:$G$3460,6,0),"")</f>
        <v/>
      </c>
      <c r="G3173" t="str">
        <f>IFERROR(VLOOKUP($A3173,原始数据_收盘!$A$4:$G$3460,7,0),"")</f>
        <v/>
      </c>
      <c r="H3173" t="str">
        <f>IFERROR(VLOOKUP($A3173,原始数据_利率互换_FR007_1年!$A$6:$C$4395,2,0),"")</f>
        <v/>
      </c>
      <c r="I3173" t="str">
        <f>IFERROR(VLOOKUP($A3173,原始数据_利率互换_FR007_1年!$A$6:$C$4395,3,0),"")</f>
        <v/>
      </c>
    </row>
    <row r="3174" spans="1:9">
      <c r="A3174" s="6">
        <v>42667</v>
      </c>
      <c r="B3174">
        <f>IFERROR(VLOOKUP($A3174,原始数据_收盘!$A$4:$G$3460,2,0),"")</f>
        <v>2.6003</v>
      </c>
      <c r="C3174">
        <f>IFERROR(VLOOKUP($A3174,原始数据_收盘!$A$4:$G$3460,3,0),"")</f>
        <v>2.801</v>
      </c>
      <c r="D3174">
        <f>IFERROR(VLOOKUP($A3174,原始数据_收盘!$A$4:$G$3460,4,0),"")</f>
        <v>2.6525</v>
      </c>
      <c r="E3174">
        <f>IFERROR(VLOOKUP($A3174,原始数据_收盘!$A$4:$G$3460,5,0),"")</f>
        <v>2.8563</v>
      </c>
      <c r="F3174">
        <f>IFERROR(VLOOKUP($A3174,原始数据_收盘!$A$4:$G$3460,6,0),"")</f>
        <v>2.6264</v>
      </c>
      <c r="G3174">
        <f>IFERROR(VLOOKUP($A3174,原始数据_收盘!$A$4:$G$3460,7,0),"")</f>
        <v>2.8286</v>
      </c>
      <c r="H3174">
        <f>IFERROR(VLOOKUP($A3174,原始数据_利率互换_FR007_1年!$A$6:$C$4395,2,0),"")</f>
        <v>2.6444</v>
      </c>
      <c r="I3174">
        <f>IFERROR(VLOOKUP($A3174,原始数据_利率互换_FR007_1年!$A$6:$C$4395,3,0),"")</f>
        <v>2.832</v>
      </c>
    </row>
    <row r="3175" spans="1:9">
      <c r="A3175" s="6">
        <v>42668</v>
      </c>
      <c r="B3175">
        <f>IFERROR(VLOOKUP($A3175,原始数据_收盘!$A$4:$G$3460,2,0),"")</f>
        <v>2.6084</v>
      </c>
      <c r="C3175">
        <f>IFERROR(VLOOKUP($A3175,原始数据_收盘!$A$4:$G$3460,3,0),"")</f>
        <v>2.8153</v>
      </c>
      <c r="D3175">
        <f>IFERROR(VLOOKUP($A3175,原始数据_收盘!$A$4:$G$3460,4,0),"")</f>
        <v>2.6463</v>
      </c>
      <c r="E3175">
        <f>IFERROR(VLOOKUP($A3175,原始数据_收盘!$A$4:$G$3460,5,0),"")</f>
        <v>2.8594</v>
      </c>
      <c r="F3175">
        <f>IFERROR(VLOOKUP($A3175,原始数据_收盘!$A$4:$G$3460,6,0),"")</f>
        <v>2.6273</v>
      </c>
      <c r="G3175">
        <f>IFERROR(VLOOKUP($A3175,原始数据_收盘!$A$4:$G$3460,7,0),"")</f>
        <v>2.8373</v>
      </c>
      <c r="H3175">
        <f>IFERROR(VLOOKUP($A3175,原始数据_利率互换_FR007_1年!$A$6:$C$4395,2,0),"")</f>
        <v>2.6554</v>
      </c>
      <c r="I3175">
        <f>IFERROR(VLOOKUP($A3175,原始数据_利率互换_FR007_1年!$A$6:$C$4395,3,0),"")</f>
        <v>2.8691</v>
      </c>
    </row>
    <row r="3176" spans="1:9">
      <c r="A3176" s="6">
        <v>42669</v>
      </c>
      <c r="B3176">
        <f>IFERROR(VLOOKUP($A3176,原始数据_收盘!$A$4:$G$3460,2,0),"")</f>
        <v>2.6366</v>
      </c>
      <c r="C3176">
        <f>IFERROR(VLOOKUP($A3176,原始数据_收盘!$A$4:$G$3460,3,0),"")</f>
        <v>2.8494</v>
      </c>
      <c r="D3176">
        <f>IFERROR(VLOOKUP($A3176,原始数据_收盘!$A$4:$G$3460,4,0),"")</f>
        <v>2.6975</v>
      </c>
      <c r="E3176">
        <f>IFERROR(VLOOKUP($A3176,原始数据_收盘!$A$4:$G$3460,5,0),"")</f>
        <v>2.9144</v>
      </c>
      <c r="F3176">
        <f>IFERROR(VLOOKUP($A3176,原始数据_收盘!$A$4:$G$3460,6,0),"")</f>
        <v>2.6671</v>
      </c>
      <c r="G3176">
        <f>IFERROR(VLOOKUP($A3176,原始数据_收盘!$A$4:$G$3460,7,0),"")</f>
        <v>2.8819</v>
      </c>
      <c r="H3176">
        <f>IFERROR(VLOOKUP($A3176,原始数据_利率互换_FR007_1年!$A$6:$C$4395,2,0),"")</f>
        <v>2.6865</v>
      </c>
      <c r="I3176">
        <f>IFERROR(VLOOKUP($A3176,原始数据_利率互换_FR007_1年!$A$6:$C$4395,3,0),"")</f>
        <v>2.9033</v>
      </c>
    </row>
    <row r="3177" spans="1:9">
      <c r="A3177" s="6">
        <v>42670</v>
      </c>
      <c r="B3177">
        <f>IFERROR(VLOOKUP($A3177,原始数据_收盘!$A$4:$G$3460,2,0),"")</f>
        <v>2.67</v>
      </c>
      <c r="C3177">
        <f>IFERROR(VLOOKUP($A3177,原始数据_收盘!$A$4:$G$3460,3,0),"")</f>
        <v>2.8688</v>
      </c>
      <c r="D3177">
        <f>IFERROR(VLOOKUP($A3177,原始数据_收盘!$A$4:$G$3460,4,0),"")</f>
        <v>2.7163</v>
      </c>
      <c r="E3177">
        <f>IFERROR(VLOOKUP($A3177,原始数据_收盘!$A$4:$G$3460,5,0),"")</f>
        <v>2.9225</v>
      </c>
      <c r="F3177">
        <f>IFERROR(VLOOKUP($A3177,原始数据_收盘!$A$4:$G$3460,6,0),"")</f>
        <v>2.6931</v>
      </c>
      <c r="G3177">
        <f>IFERROR(VLOOKUP($A3177,原始数据_收盘!$A$4:$G$3460,7,0),"")</f>
        <v>2.8956</v>
      </c>
      <c r="H3177">
        <f>IFERROR(VLOOKUP($A3177,原始数据_利率互换_FR007_1年!$A$6:$C$4395,2,0),"")</f>
        <v>2.709</v>
      </c>
      <c r="I3177">
        <f>IFERROR(VLOOKUP($A3177,原始数据_利率互换_FR007_1年!$A$6:$C$4395,3,0),"")</f>
        <v>2.9106</v>
      </c>
    </row>
    <row r="3178" spans="1:9">
      <c r="A3178" s="6">
        <v>42671</v>
      </c>
      <c r="B3178">
        <f>IFERROR(VLOOKUP($A3178,原始数据_收盘!$A$4:$G$3460,2,0),"")</f>
        <v>2.6779</v>
      </c>
      <c r="C3178">
        <f>IFERROR(VLOOKUP($A3178,原始数据_收盘!$A$4:$G$3460,3,0),"")</f>
        <v>2.8775</v>
      </c>
      <c r="D3178">
        <f>IFERROR(VLOOKUP($A3178,原始数据_收盘!$A$4:$G$3460,4,0),"")</f>
        <v>2.7163</v>
      </c>
      <c r="E3178">
        <f>IFERROR(VLOOKUP($A3178,原始数据_收盘!$A$4:$G$3460,5,0),"")</f>
        <v>2.9163</v>
      </c>
      <c r="F3178">
        <f>IFERROR(VLOOKUP($A3178,原始数据_收盘!$A$4:$G$3460,6,0),"")</f>
        <v>2.6971</v>
      </c>
      <c r="G3178">
        <f>IFERROR(VLOOKUP($A3178,原始数据_收盘!$A$4:$G$3460,7,0),"")</f>
        <v>2.8969</v>
      </c>
      <c r="H3178">
        <f>IFERROR(VLOOKUP($A3178,原始数据_利率互换_FR007_1年!$A$6:$C$4395,2,0),"")</f>
        <v>2.709</v>
      </c>
      <c r="I3178">
        <f>IFERROR(VLOOKUP($A3178,原始数据_利率互换_FR007_1年!$A$6:$C$4395,3,0),"")</f>
        <v>2.9082</v>
      </c>
    </row>
    <row r="3179" spans="1:9">
      <c r="A3179" s="6">
        <v>42672</v>
      </c>
      <c r="B3179" t="str">
        <f>IFERROR(VLOOKUP($A3179,原始数据_收盘!$A$4:$G$3460,2,0),"")</f>
        <v/>
      </c>
      <c r="C3179" t="str">
        <f>IFERROR(VLOOKUP($A3179,原始数据_收盘!$A$4:$G$3460,3,0),"")</f>
        <v/>
      </c>
      <c r="D3179" t="str">
        <f>IFERROR(VLOOKUP($A3179,原始数据_收盘!$A$4:$G$3460,4,0),"")</f>
        <v/>
      </c>
      <c r="E3179" t="str">
        <f>IFERROR(VLOOKUP($A3179,原始数据_收盘!$A$4:$G$3460,5,0),"")</f>
        <v/>
      </c>
      <c r="F3179" t="str">
        <f>IFERROR(VLOOKUP($A3179,原始数据_收盘!$A$4:$G$3460,6,0),"")</f>
        <v/>
      </c>
      <c r="G3179" t="str">
        <f>IFERROR(VLOOKUP($A3179,原始数据_收盘!$A$4:$G$3460,7,0),"")</f>
        <v/>
      </c>
      <c r="H3179" t="str">
        <f>IFERROR(VLOOKUP($A3179,原始数据_利率互换_FR007_1年!$A$6:$C$4395,2,0),"")</f>
        <v/>
      </c>
      <c r="I3179" t="str">
        <f>IFERROR(VLOOKUP($A3179,原始数据_利率互换_FR007_1年!$A$6:$C$4395,3,0),"")</f>
        <v/>
      </c>
    </row>
    <row r="3180" spans="1:9">
      <c r="A3180" s="6">
        <v>42673</v>
      </c>
      <c r="B3180" t="str">
        <f>IFERROR(VLOOKUP($A3180,原始数据_收盘!$A$4:$G$3460,2,0),"")</f>
        <v/>
      </c>
      <c r="C3180" t="str">
        <f>IFERROR(VLOOKUP($A3180,原始数据_收盘!$A$4:$G$3460,3,0),"")</f>
        <v/>
      </c>
      <c r="D3180" t="str">
        <f>IFERROR(VLOOKUP($A3180,原始数据_收盘!$A$4:$G$3460,4,0),"")</f>
        <v/>
      </c>
      <c r="E3180" t="str">
        <f>IFERROR(VLOOKUP($A3180,原始数据_收盘!$A$4:$G$3460,5,0),"")</f>
        <v/>
      </c>
      <c r="F3180" t="str">
        <f>IFERROR(VLOOKUP($A3180,原始数据_收盘!$A$4:$G$3460,6,0),"")</f>
        <v/>
      </c>
      <c r="G3180" t="str">
        <f>IFERROR(VLOOKUP($A3180,原始数据_收盘!$A$4:$G$3460,7,0),"")</f>
        <v/>
      </c>
      <c r="H3180" t="str">
        <f>IFERROR(VLOOKUP($A3180,原始数据_利率互换_FR007_1年!$A$6:$C$4395,2,0),"")</f>
        <v/>
      </c>
      <c r="I3180" t="str">
        <f>IFERROR(VLOOKUP($A3180,原始数据_利率互换_FR007_1年!$A$6:$C$4395,3,0),"")</f>
        <v/>
      </c>
    </row>
    <row r="3181" spans="1:9">
      <c r="A3181" s="6">
        <v>42674</v>
      </c>
      <c r="B3181">
        <f>IFERROR(VLOOKUP($A3181,原始数据_收盘!$A$4:$G$3460,2,0),"")</f>
        <v>2.7359</v>
      </c>
      <c r="C3181">
        <f>IFERROR(VLOOKUP($A3181,原始数据_收盘!$A$4:$G$3460,3,0),"")</f>
        <v>2.93</v>
      </c>
      <c r="D3181">
        <f>IFERROR(VLOOKUP($A3181,原始数据_收盘!$A$4:$G$3460,4,0),"")</f>
        <v>2.7934</v>
      </c>
      <c r="E3181">
        <f>IFERROR(VLOOKUP($A3181,原始数据_收盘!$A$4:$G$3460,5,0),"")</f>
        <v>2.995</v>
      </c>
      <c r="F3181">
        <f>IFERROR(VLOOKUP($A3181,原始数据_收盘!$A$4:$G$3460,6,0),"")</f>
        <v>2.7646</v>
      </c>
      <c r="G3181">
        <f>IFERROR(VLOOKUP($A3181,原始数据_收盘!$A$4:$G$3460,7,0),"")</f>
        <v>2.9625</v>
      </c>
      <c r="H3181">
        <f>IFERROR(VLOOKUP($A3181,原始数据_利率互换_FR007_1年!$A$6:$C$4395,2,0),"")</f>
        <v>2.7458</v>
      </c>
      <c r="I3181">
        <f>IFERROR(VLOOKUP($A3181,原始数据_利率互换_FR007_1年!$A$6:$C$4395,3,0),"")</f>
        <v>2.9403</v>
      </c>
    </row>
    <row r="3182" spans="1:9">
      <c r="A3182" s="6">
        <v>42675</v>
      </c>
      <c r="B3182">
        <f>IFERROR(VLOOKUP($A3182,原始数据_收盘!$A$4:$G$3460,2,0),"")</f>
        <v>2.7088</v>
      </c>
      <c r="C3182">
        <f>IFERROR(VLOOKUP($A3182,原始数据_收盘!$A$4:$G$3460,3,0),"")</f>
        <v>2.9096</v>
      </c>
      <c r="D3182">
        <f>IFERROR(VLOOKUP($A3182,原始数据_收盘!$A$4:$G$3460,4,0),"")</f>
        <v>2.7663</v>
      </c>
      <c r="E3182">
        <f>IFERROR(VLOOKUP($A3182,原始数据_收盘!$A$4:$G$3460,5,0),"")</f>
        <v>2.9725</v>
      </c>
      <c r="F3182">
        <f>IFERROR(VLOOKUP($A3182,原始数据_收盘!$A$4:$G$3460,6,0),"")</f>
        <v>2.7375</v>
      </c>
      <c r="G3182">
        <f>IFERROR(VLOOKUP($A3182,原始数据_收盘!$A$4:$G$3460,7,0),"")</f>
        <v>2.9411</v>
      </c>
      <c r="H3182">
        <f>IFERROR(VLOOKUP($A3182,原始数据_利率互换_FR007_1年!$A$6:$C$4395,2,0),"")</f>
        <v>2.7501</v>
      </c>
      <c r="I3182">
        <f>IFERROR(VLOOKUP($A3182,原始数据_利率互换_FR007_1年!$A$6:$C$4395,3,0),"")</f>
        <v>2.9426</v>
      </c>
    </row>
    <row r="3183" spans="1:9">
      <c r="A3183" s="6">
        <v>42676</v>
      </c>
      <c r="B3183">
        <f>IFERROR(VLOOKUP($A3183,原始数据_收盘!$A$4:$G$3460,2,0),"")</f>
        <v>2.6716</v>
      </c>
      <c r="C3183">
        <f>IFERROR(VLOOKUP($A3183,原始数据_收盘!$A$4:$G$3460,3,0),"")</f>
        <v>2.8875</v>
      </c>
      <c r="D3183">
        <f>IFERROR(VLOOKUP($A3183,原始数据_收盘!$A$4:$G$3460,4,0),"")</f>
        <v>2.7271</v>
      </c>
      <c r="E3183">
        <f>IFERROR(VLOOKUP($A3183,原始数据_收盘!$A$4:$G$3460,5,0),"")</f>
        <v>2.9513</v>
      </c>
      <c r="F3183">
        <f>IFERROR(VLOOKUP($A3183,原始数据_收盘!$A$4:$G$3460,6,0),"")</f>
        <v>2.6994</v>
      </c>
      <c r="G3183">
        <f>IFERROR(VLOOKUP($A3183,原始数据_收盘!$A$4:$G$3460,7,0),"")</f>
        <v>2.9194</v>
      </c>
      <c r="H3183">
        <f>IFERROR(VLOOKUP($A3183,原始数据_利率互换_FR007_1年!$A$6:$C$4395,2,0),"")</f>
        <v>2.7143</v>
      </c>
      <c r="I3183">
        <f>IFERROR(VLOOKUP($A3183,原始数据_利率互换_FR007_1年!$A$6:$C$4395,3,0),"")</f>
        <v>2.9218</v>
      </c>
    </row>
    <row r="3184" spans="1:9">
      <c r="A3184" s="6">
        <v>42677</v>
      </c>
      <c r="B3184">
        <f>IFERROR(VLOOKUP($A3184,原始数据_收盘!$A$4:$G$3460,2,0),"")</f>
        <v>2.6641</v>
      </c>
      <c r="C3184">
        <f>IFERROR(VLOOKUP($A3184,原始数据_收盘!$A$4:$G$3460,3,0),"")</f>
        <v>2.88</v>
      </c>
      <c r="D3184">
        <f>IFERROR(VLOOKUP($A3184,原始数据_收盘!$A$4:$G$3460,4,0),"")</f>
        <v>2.7163</v>
      </c>
      <c r="E3184">
        <f>IFERROR(VLOOKUP($A3184,原始数据_收盘!$A$4:$G$3460,5,0),"")</f>
        <v>2.9375</v>
      </c>
      <c r="F3184">
        <f>IFERROR(VLOOKUP($A3184,原始数据_收盘!$A$4:$G$3460,6,0),"")</f>
        <v>2.6902</v>
      </c>
      <c r="G3184">
        <f>IFERROR(VLOOKUP($A3184,原始数据_收盘!$A$4:$G$3460,7,0),"")</f>
        <v>2.9088</v>
      </c>
      <c r="H3184">
        <f>IFERROR(VLOOKUP($A3184,原始数据_利率互换_FR007_1年!$A$6:$C$4395,2,0),"")</f>
        <v>2.692</v>
      </c>
      <c r="I3184">
        <f>IFERROR(VLOOKUP($A3184,原始数据_利率互换_FR007_1年!$A$6:$C$4395,3,0),"")</f>
        <v>2.9064</v>
      </c>
    </row>
    <row r="3185" spans="1:9">
      <c r="A3185" s="6">
        <v>42678</v>
      </c>
      <c r="B3185">
        <f>IFERROR(VLOOKUP($A3185,原始数据_收盘!$A$4:$G$3460,2,0),"")</f>
        <v>2.6754</v>
      </c>
      <c r="C3185">
        <f>IFERROR(VLOOKUP($A3185,原始数据_收盘!$A$4:$G$3460,3,0),"")</f>
        <v>2.8904</v>
      </c>
      <c r="D3185">
        <f>IFERROR(VLOOKUP($A3185,原始数据_收盘!$A$4:$G$3460,4,0),"")</f>
        <v>2.7284</v>
      </c>
      <c r="E3185">
        <f>IFERROR(VLOOKUP($A3185,原始数据_收盘!$A$4:$G$3460,5,0),"")</f>
        <v>2.9475</v>
      </c>
      <c r="F3185">
        <f>IFERROR(VLOOKUP($A3185,原始数据_收盘!$A$4:$G$3460,6,0),"")</f>
        <v>2.7019</v>
      </c>
      <c r="G3185">
        <f>IFERROR(VLOOKUP($A3185,原始数据_收盘!$A$4:$G$3460,7,0),"")</f>
        <v>2.9189</v>
      </c>
      <c r="H3185">
        <f>IFERROR(VLOOKUP($A3185,原始数据_利率互换_FR007_1年!$A$6:$C$4395,2,0),"")</f>
        <v>2.7186</v>
      </c>
      <c r="I3185">
        <f>IFERROR(VLOOKUP($A3185,原始数据_利率互换_FR007_1年!$A$6:$C$4395,3,0),"")</f>
        <v>2.9172</v>
      </c>
    </row>
    <row r="3186" spans="1:9">
      <c r="A3186" s="6">
        <v>42679</v>
      </c>
      <c r="B3186" t="str">
        <f>IFERROR(VLOOKUP($A3186,原始数据_收盘!$A$4:$G$3460,2,0),"")</f>
        <v/>
      </c>
      <c r="C3186" t="str">
        <f>IFERROR(VLOOKUP($A3186,原始数据_收盘!$A$4:$G$3460,3,0),"")</f>
        <v/>
      </c>
      <c r="D3186" t="str">
        <f>IFERROR(VLOOKUP($A3186,原始数据_收盘!$A$4:$G$3460,4,0),"")</f>
        <v/>
      </c>
      <c r="E3186" t="str">
        <f>IFERROR(VLOOKUP($A3186,原始数据_收盘!$A$4:$G$3460,5,0),"")</f>
        <v/>
      </c>
      <c r="F3186" t="str">
        <f>IFERROR(VLOOKUP($A3186,原始数据_收盘!$A$4:$G$3460,6,0),"")</f>
        <v/>
      </c>
      <c r="G3186" t="str">
        <f>IFERROR(VLOOKUP($A3186,原始数据_收盘!$A$4:$G$3460,7,0),"")</f>
        <v/>
      </c>
      <c r="H3186" t="str">
        <f>IFERROR(VLOOKUP($A3186,原始数据_利率互换_FR007_1年!$A$6:$C$4395,2,0),"")</f>
        <v/>
      </c>
      <c r="I3186" t="str">
        <f>IFERROR(VLOOKUP($A3186,原始数据_利率互换_FR007_1年!$A$6:$C$4395,3,0),"")</f>
        <v/>
      </c>
    </row>
    <row r="3187" spans="1:9">
      <c r="A3187" s="6">
        <v>42680</v>
      </c>
      <c r="B3187" t="str">
        <f>IFERROR(VLOOKUP($A3187,原始数据_收盘!$A$4:$G$3460,2,0),"")</f>
        <v/>
      </c>
      <c r="C3187" t="str">
        <f>IFERROR(VLOOKUP($A3187,原始数据_收盘!$A$4:$G$3460,3,0),"")</f>
        <v/>
      </c>
      <c r="D3187" t="str">
        <f>IFERROR(VLOOKUP($A3187,原始数据_收盘!$A$4:$G$3460,4,0),"")</f>
        <v/>
      </c>
      <c r="E3187" t="str">
        <f>IFERROR(VLOOKUP($A3187,原始数据_收盘!$A$4:$G$3460,5,0),"")</f>
        <v/>
      </c>
      <c r="F3187" t="str">
        <f>IFERROR(VLOOKUP($A3187,原始数据_收盘!$A$4:$G$3460,6,0),"")</f>
        <v/>
      </c>
      <c r="G3187" t="str">
        <f>IFERROR(VLOOKUP($A3187,原始数据_收盘!$A$4:$G$3460,7,0),"")</f>
        <v/>
      </c>
      <c r="H3187" t="str">
        <f>IFERROR(VLOOKUP($A3187,原始数据_利率互换_FR007_1年!$A$6:$C$4395,2,0),"")</f>
        <v/>
      </c>
      <c r="I3187" t="str">
        <f>IFERROR(VLOOKUP($A3187,原始数据_利率互换_FR007_1年!$A$6:$C$4395,3,0),"")</f>
        <v/>
      </c>
    </row>
    <row r="3188" spans="1:9">
      <c r="A3188" s="6">
        <v>42681</v>
      </c>
      <c r="B3188">
        <f>IFERROR(VLOOKUP($A3188,原始数据_收盘!$A$4:$G$3460,2,0),"")</f>
        <v>2.6984</v>
      </c>
      <c r="C3188">
        <f>IFERROR(VLOOKUP($A3188,原始数据_收盘!$A$4:$G$3460,3,0),"")</f>
        <v>2.9234</v>
      </c>
      <c r="D3188">
        <f>IFERROR(VLOOKUP($A3188,原始数据_收盘!$A$4:$G$3460,4,0),"")</f>
        <v>2.7521</v>
      </c>
      <c r="E3188">
        <f>IFERROR(VLOOKUP($A3188,原始数据_收盘!$A$4:$G$3460,5,0),"")</f>
        <v>2.9763</v>
      </c>
      <c r="F3188">
        <f>IFERROR(VLOOKUP($A3188,原始数据_收盘!$A$4:$G$3460,6,0),"")</f>
        <v>2.7253</v>
      </c>
      <c r="G3188">
        <f>IFERROR(VLOOKUP($A3188,原始数据_收盘!$A$4:$G$3460,7,0),"")</f>
        <v>2.9498</v>
      </c>
      <c r="H3188">
        <f>IFERROR(VLOOKUP($A3188,原始数据_利率互换_FR007_1年!$A$6:$C$4395,2,0),"")</f>
        <v>2.7117</v>
      </c>
      <c r="I3188">
        <f>IFERROR(VLOOKUP($A3188,原始数据_利率互换_FR007_1年!$A$6:$C$4395,3,0),"")</f>
        <v>2.9359</v>
      </c>
    </row>
    <row r="3189" spans="1:9">
      <c r="A3189" s="6">
        <v>42682</v>
      </c>
      <c r="B3189">
        <f>IFERROR(VLOOKUP($A3189,原始数据_收盘!$A$4:$G$3460,2,0),"")</f>
        <v>2.7004</v>
      </c>
      <c r="C3189">
        <f>IFERROR(VLOOKUP($A3189,原始数据_收盘!$A$4:$G$3460,3,0),"")</f>
        <v>2.9325</v>
      </c>
      <c r="D3189">
        <f>IFERROR(VLOOKUP($A3189,原始数据_收盘!$A$4:$G$3460,4,0),"")</f>
        <v>2.7588</v>
      </c>
      <c r="E3189">
        <f>IFERROR(VLOOKUP($A3189,原始数据_收盘!$A$4:$G$3460,5,0),"")</f>
        <v>2.9875</v>
      </c>
      <c r="F3189">
        <f>IFERROR(VLOOKUP($A3189,原始数据_收盘!$A$4:$G$3460,6,0),"")</f>
        <v>2.7296</v>
      </c>
      <c r="G3189">
        <f>IFERROR(VLOOKUP($A3189,原始数据_收盘!$A$4:$G$3460,7,0),"")</f>
        <v>2.96</v>
      </c>
      <c r="H3189">
        <f>IFERROR(VLOOKUP($A3189,原始数据_利率互换_FR007_1年!$A$6:$C$4395,2,0),"")</f>
        <v>2.7333</v>
      </c>
      <c r="I3189">
        <f>IFERROR(VLOOKUP($A3189,原始数据_利率互换_FR007_1年!$A$6:$C$4395,3,0),"")</f>
        <v>2.9689</v>
      </c>
    </row>
    <row r="3190" spans="1:9">
      <c r="A3190" s="6">
        <v>42683</v>
      </c>
      <c r="B3190">
        <f>IFERROR(VLOOKUP($A3190,原始数据_收盘!$A$4:$G$3460,2,0),"")</f>
        <v>2.7029</v>
      </c>
      <c r="C3190">
        <f>IFERROR(VLOOKUP($A3190,原始数据_收盘!$A$4:$G$3460,3,0),"")</f>
        <v>2.94</v>
      </c>
      <c r="D3190">
        <f>IFERROR(VLOOKUP($A3190,原始数据_收盘!$A$4:$G$3460,4,0),"")</f>
        <v>2.75</v>
      </c>
      <c r="E3190">
        <f>IFERROR(VLOOKUP($A3190,原始数据_收盘!$A$4:$G$3460,5,0),"")</f>
        <v>2.9825</v>
      </c>
      <c r="F3190">
        <f>IFERROR(VLOOKUP($A3190,原始数据_收盘!$A$4:$G$3460,6,0),"")</f>
        <v>2.7264</v>
      </c>
      <c r="G3190">
        <f>IFERROR(VLOOKUP($A3190,原始数据_收盘!$A$4:$G$3460,7,0),"")</f>
        <v>2.9613</v>
      </c>
      <c r="H3190">
        <f>IFERROR(VLOOKUP($A3190,原始数据_利率互换_FR007_1年!$A$6:$C$4395,2,0),"")</f>
        <v>2.7266</v>
      </c>
      <c r="I3190">
        <f>IFERROR(VLOOKUP($A3190,原始数据_利率互换_FR007_1年!$A$6:$C$4395,3,0),"")</f>
        <v>2.9647</v>
      </c>
    </row>
    <row r="3191" spans="1:9">
      <c r="A3191" s="6">
        <v>42684</v>
      </c>
      <c r="B3191">
        <f>IFERROR(VLOOKUP($A3191,原始数据_收盘!$A$4:$G$3460,2,0),"")</f>
        <v>2.7721</v>
      </c>
      <c r="C3191">
        <f>IFERROR(VLOOKUP($A3191,原始数据_收盘!$A$4:$G$3460,3,0),"")</f>
        <v>3.0138</v>
      </c>
      <c r="D3191">
        <f>IFERROR(VLOOKUP($A3191,原始数据_收盘!$A$4:$G$3460,4,0),"")</f>
        <v>2.8275</v>
      </c>
      <c r="E3191">
        <f>IFERROR(VLOOKUP($A3191,原始数据_收盘!$A$4:$G$3460,5,0),"")</f>
        <v>3.0788</v>
      </c>
      <c r="F3191">
        <f>IFERROR(VLOOKUP($A3191,原始数据_收盘!$A$4:$G$3460,6,0),"")</f>
        <v>2.7998</v>
      </c>
      <c r="G3191">
        <f>IFERROR(VLOOKUP($A3191,原始数据_收盘!$A$4:$G$3460,7,0),"")</f>
        <v>3.0463</v>
      </c>
      <c r="H3191">
        <f>IFERROR(VLOOKUP($A3191,原始数据_利率互换_FR007_1年!$A$6:$C$4395,2,0),"")</f>
        <v>2.7855</v>
      </c>
      <c r="I3191">
        <f>IFERROR(VLOOKUP($A3191,原始数据_利率互换_FR007_1年!$A$6:$C$4395,3,0),"")</f>
        <v>3.0333</v>
      </c>
    </row>
    <row r="3192" spans="1:9">
      <c r="A3192" s="6">
        <v>42685</v>
      </c>
      <c r="B3192">
        <f>IFERROR(VLOOKUP($A3192,原始数据_收盘!$A$4:$G$3460,2,0),"")</f>
        <v>2.8038</v>
      </c>
      <c r="C3192">
        <f>IFERROR(VLOOKUP($A3192,原始数据_收盘!$A$4:$G$3460,3,0),"")</f>
        <v>3.0588</v>
      </c>
      <c r="D3192">
        <f>IFERROR(VLOOKUP($A3192,原始数据_收盘!$A$4:$G$3460,4,0),"")</f>
        <v>2.85</v>
      </c>
      <c r="E3192">
        <f>IFERROR(VLOOKUP($A3192,原始数据_收盘!$A$4:$G$3460,5,0),"")</f>
        <v>3.1225</v>
      </c>
      <c r="F3192">
        <f>IFERROR(VLOOKUP($A3192,原始数据_收盘!$A$4:$G$3460,6,0),"")</f>
        <v>2.8269</v>
      </c>
      <c r="G3192">
        <f>IFERROR(VLOOKUP($A3192,原始数据_收盘!$A$4:$G$3460,7,0),"")</f>
        <v>3.0906</v>
      </c>
      <c r="H3192">
        <f>IFERROR(VLOOKUP($A3192,原始数据_利率互换_FR007_1年!$A$6:$C$4395,2,0),"")</f>
        <v>2.8235</v>
      </c>
      <c r="I3192">
        <f>IFERROR(VLOOKUP($A3192,原始数据_利率互换_FR007_1年!$A$6:$C$4395,3,0),"")</f>
        <v>3.0905</v>
      </c>
    </row>
    <row r="3193" spans="1:9">
      <c r="A3193" s="6">
        <v>42686</v>
      </c>
      <c r="B3193" t="str">
        <f>IFERROR(VLOOKUP($A3193,原始数据_收盘!$A$4:$G$3460,2,0),"")</f>
        <v/>
      </c>
      <c r="C3193" t="str">
        <f>IFERROR(VLOOKUP($A3193,原始数据_收盘!$A$4:$G$3460,3,0),"")</f>
        <v/>
      </c>
      <c r="D3193" t="str">
        <f>IFERROR(VLOOKUP($A3193,原始数据_收盘!$A$4:$G$3460,4,0),"")</f>
        <v/>
      </c>
      <c r="E3193" t="str">
        <f>IFERROR(VLOOKUP($A3193,原始数据_收盘!$A$4:$G$3460,5,0),"")</f>
        <v/>
      </c>
      <c r="F3193" t="str">
        <f>IFERROR(VLOOKUP($A3193,原始数据_收盘!$A$4:$G$3460,6,0),"")</f>
        <v/>
      </c>
      <c r="G3193" t="str">
        <f>IFERROR(VLOOKUP($A3193,原始数据_收盘!$A$4:$G$3460,7,0),"")</f>
        <v/>
      </c>
      <c r="H3193" t="str">
        <f>IFERROR(VLOOKUP($A3193,原始数据_利率互换_FR007_1年!$A$6:$C$4395,2,0),"")</f>
        <v/>
      </c>
      <c r="I3193" t="str">
        <f>IFERROR(VLOOKUP($A3193,原始数据_利率互换_FR007_1年!$A$6:$C$4395,3,0),"")</f>
        <v/>
      </c>
    </row>
    <row r="3194" spans="1:9">
      <c r="A3194" s="6">
        <v>42687</v>
      </c>
      <c r="B3194" t="str">
        <f>IFERROR(VLOOKUP($A3194,原始数据_收盘!$A$4:$G$3460,2,0),"")</f>
        <v/>
      </c>
      <c r="C3194" t="str">
        <f>IFERROR(VLOOKUP($A3194,原始数据_收盘!$A$4:$G$3460,3,0),"")</f>
        <v/>
      </c>
      <c r="D3194" t="str">
        <f>IFERROR(VLOOKUP($A3194,原始数据_收盘!$A$4:$G$3460,4,0),"")</f>
        <v/>
      </c>
      <c r="E3194" t="str">
        <f>IFERROR(VLOOKUP($A3194,原始数据_收盘!$A$4:$G$3460,5,0),"")</f>
        <v/>
      </c>
      <c r="F3194" t="str">
        <f>IFERROR(VLOOKUP($A3194,原始数据_收盘!$A$4:$G$3460,6,0),"")</f>
        <v/>
      </c>
      <c r="G3194" t="str">
        <f>IFERROR(VLOOKUP($A3194,原始数据_收盘!$A$4:$G$3460,7,0),"")</f>
        <v/>
      </c>
      <c r="H3194" t="str">
        <f>IFERROR(VLOOKUP($A3194,原始数据_利率互换_FR007_1年!$A$6:$C$4395,2,0),"")</f>
        <v/>
      </c>
      <c r="I3194" t="str">
        <f>IFERROR(VLOOKUP($A3194,原始数据_利率互换_FR007_1年!$A$6:$C$4395,3,0),"")</f>
        <v/>
      </c>
    </row>
    <row r="3195" spans="1:9">
      <c r="A3195" s="6">
        <v>42688</v>
      </c>
      <c r="B3195">
        <f>IFERROR(VLOOKUP($A3195,原始数据_收盘!$A$4:$G$3460,2,0),"")</f>
        <v>2.8591</v>
      </c>
      <c r="C3195">
        <f>IFERROR(VLOOKUP($A3195,原始数据_收盘!$A$4:$G$3460,3,0),"")</f>
        <v>3.1275</v>
      </c>
      <c r="D3195">
        <f>IFERROR(VLOOKUP($A3195,原始数据_收盘!$A$4:$G$3460,4,0),"")</f>
        <v>2.9063</v>
      </c>
      <c r="E3195">
        <f>IFERROR(VLOOKUP($A3195,原始数据_收盘!$A$4:$G$3460,5,0),"")</f>
        <v>3.1863</v>
      </c>
      <c r="F3195">
        <f>IFERROR(VLOOKUP($A3195,原始数据_收盘!$A$4:$G$3460,6,0),"")</f>
        <v>2.8827</v>
      </c>
      <c r="G3195">
        <f>IFERROR(VLOOKUP($A3195,原始数据_收盘!$A$4:$G$3460,7,0),"")</f>
        <v>3.1569</v>
      </c>
      <c r="H3195">
        <f>IFERROR(VLOOKUP($A3195,原始数据_利率互换_FR007_1年!$A$6:$C$4395,2,0),"")</f>
        <v>2.8646</v>
      </c>
      <c r="I3195">
        <f>IFERROR(VLOOKUP($A3195,原始数据_利率互换_FR007_1年!$A$6:$C$4395,3,0),"")</f>
        <v>3.1405</v>
      </c>
    </row>
    <row r="3196" spans="1:9">
      <c r="A3196" s="6">
        <v>42689</v>
      </c>
      <c r="B3196">
        <f>IFERROR(VLOOKUP($A3196,原始数据_收盘!$A$4:$G$3460,2,0),"")</f>
        <v>2.8641</v>
      </c>
      <c r="C3196">
        <f>IFERROR(VLOOKUP($A3196,原始数据_收盘!$A$4:$G$3460,3,0),"")</f>
        <v>3.13</v>
      </c>
      <c r="D3196">
        <f>IFERROR(VLOOKUP($A3196,原始数据_收盘!$A$4:$G$3460,4,0),"")</f>
        <v>2.9159</v>
      </c>
      <c r="E3196">
        <f>IFERROR(VLOOKUP($A3196,原始数据_收盘!$A$4:$G$3460,5,0),"")</f>
        <v>3.1825</v>
      </c>
      <c r="F3196">
        <f>IFERROR(VLOOKUP($A3196,原始数据_收盘!$A$4:$G$3460,6,0),"")</f>
        <v>2.89</v>
      </c>
      <c r="G3196">
        <f>IFERROR(VLOOKUP($A3196,原始数据_收盘!$A$4:$G$3460,7,0),"")</f>
        <v>3.1563</v>
      </c>
      <c r="H3196">
        <f>IFERROR(VLOOKUP($A3196,原始数据_利率互换_FR007_1年!$A$6:$C$4395,2,0),"")</f>
        <v>2.9197</v>
      </c>
      <c r="I3196">
        <f>IFERROR(VLOOKUP($A3196,原始数据_利率互换_FR007_1年!$A$6:$C$4395,3,0),"")</f>
        <v>3.1833</v>
      </c>
    </row>
    <row r="3197" spans="1:9">
      <c r="A3197" s="6">
        <v>42690</v>
      </c>
      <c r="B3197">
        <f>IFERROR(VLOOKUP($A3197,原始数据_收盘!$A$4:$G$3460,2,0),"")</f>
        <v>2.9259</v>
      </c>
      <c r="C3197">
        <f>IFERROR(VLOOKUP($A3197,原始数据_收盘!$A$4:$G$3460,3,0),"")</f>
        <v>3.1813</v>
      </c>
      <c r="D3197">
        <f>IFERROR(VLOOKUP($A3197,原始数据_收盘!$A$4:$G$3460,4,0),"")</f>
        <v>2.9713</v>
      </c>
      <c r="E3197">
        <f>IFERROR(VLOOKUP($A3197,原始数据_收盘!$A$4:$G$3460,5,0),"")</f>
        <v>3.2413</v>
      </c>
      <c r="F3197">
        <f>IFERROR(VLOOKUP($A3197,原始数据_收盘!$A$4:$G$3460,6,0),"")</f>
        <v>2.9486</v>
      </c>
      <c r="G3197">
        <f>IFERROR(VLOOKUP($A3197,原始数据_收盘!$A$4:$G$3460,7,0),"")</f>
        <v>3.2113</v>
      </c>
      <c r="H3197">
        <f>IFERROR(VLOOKUP($A3197,原始数据_利率互换_FR007_1年!$A$6:$C$4395,2,0),"")</f>
        <v>2.9217</v>
      </c>
      <c r="I3197">
        <f>IFERROR(VLOOKUP($A3197,原始数据_利率互换_FR007_1年!$A$6:$C$4395,3,0),"")</f>
        <v>3.1897</v>
      </c>
    </row>
    <row r="3198" spans="1:9">
      <c r="A3198" s="6">
        <v>42691</v>
      </c>
      <c r="B3198">
        <f>IFERROR(VLOOKUP($A3198,原始数据_收盘!$A$4:$G$3460,2,0),"")</f>
        <v>2.9825</v>
      </c>
      <c r="C3198">
        <f>IFERROR(VLOOKUP($A3198,原始数据_收盘!$A$4:$G$3460,3,0),"")</f>
        <v>3.2363</v>
      </c>
      <c r="D3198">
        <f>IFERROR(VLOOKUP($A3198,原始数据_收盘!$A$4:$G$3460,4,0),"")</f>
        <v>3.04</v>
      </c>
      <c r="E3198">
        <f>IFERROR(VLOOKUP($A3198,原始数据_收盘!$A$4:$G$3460,5,0),"")</f>
        <v>3.3075</v>
      </c>
      <c r="F3198">
        <f>IFERROR(VLOOKUP($A3198,原始数据_收盘!$A$4:$G$3460,6,0),"")</f>
        <v>3.0113</v>
      </c>
      <c r="G3198">
        <f>IFERROR(VLOOKUP($A3198,原始数据_收盘!$A$4:$G$3460,7,0),"")</f>
        <v>3.2719</v>
      </c>
      <c r="H3198">
        <f>IFERROR(VLOOKUP($A3198,原始数据_利率互换_FR007_1年!$A$6:$C$4395,2,0),"")</f>
        <v>3.0028</v>
      </c>
      <c r="I3198">
        <f>IFERROR(VLOOKUP($A3198,原始数据_利率互换_FR007_1年!$A$6:$C$4395,3,0),"")</f>
        <v>3.2722</v>
      </c>
    </row>
    <row r="3199" spans="1:9">
      <c r="A3199" s="6">
        <v>42692</v>
      </c>
      <c r="B3199">
        <f>IFERROR(VLOOKUP($A3199,原始数据_收盘!$A$4:$G$3460,2,0),"")</f>
        <v>2.9629</v>
      </c>
      <c r="C3199">
        <f>IFERROR(VLOOKUP($A3199,原始数据_收盘!$A$4:$G$3460,3,0),"")</f>
        <v>3.2278</v>
      </c>
      <c r="D3199">
        <f>IFERROR(VLOOKUP($A3199,原始数据_收盘!$A$4:$G$3460,4,0),"")</f>
        <v>3.0163</v>
      </c>
      <c r="E3199">
        <f>IFERROR(VLOOKUP($A3199,原始数据_收盘!$A$4:$G$3460,5,0),"")</f>
        <v>3.29</v>
      </c>
      <c r="F3199">
        <f>IFERROR(VLOOKUP($A3199,原始数据_收盘!$A$4:$G$3460,6,0),"")</f>
        <v>2.9896</v>
      </c>
      <c r="G3199">
        <f>IFERROR(VLOOKUP($A3199,原始数据_收盘!$A$4:$G$3460,7,0),"")</f>
        <v>3.2589</v>
      </c>
      <c r="H3199">
        <f>IFERROR(VLOOKUP($A3199,原始数据_利率互换_FR007_1年!$A$6:$C$4395,2,0),"")</f>
        <v>2.9972</v>
      </c>
      <c r="I3199">
        <f>IFERROR(VLOOKUP($A3199,原始数据_利率互换_FR007_1年!$A$6:$C$4395,3,0),"")</f>
        <v>3.2631</v>
      </c>
    </row>
    <row r="3200" spans="1:9">
      <c r="A3200" s="6">
        <v>42693</v>
      </c>
      <c r="B3200" t="str">
        <f>IFERROR(VLOOKUP($A3200,原始数据_收盘!$A$4:$G$3460,2,0),"")</f>
        <v/>
      </c>
      <c r="C3200" t="str">
        <f>IFERROR(VLOOKUP($A3200,原始数据_收盘!$A$4:$G$3460,3,0),"")</f>
        <v/>
      </c>
      <c r="D3200" t="str">
        <f>IFERROR(VLOOKUP($A3200,原始数据_收盘!$A$4:$G$3460,4,0),"")</f>
        <v/>
      </c>
      <c r="E3200" t="str">
        <f>IFERROR(VLOOKUP($A3200,原始数据_收盘!$A$4:$G$3460,5,0),"")</f>
        <v/>
      </c>
      <c r="F3200" t="str">
        <f>IFERROR(VLOOKUP($A3200,原始数据_收盘!$A$4:$G$3460,6,0),"")</f>
        <v/>
      </c>
      <c r="G3200" t="str">
        <f>IFERROR(VLOOKUP($A3200,原始数据_收盘!$A$4:$G$3460,7,0),"")</f>
        <v/>
      </c>
      <c r="H3200" t="str">
        <f>IFERROR(VLOOKUP($A3200,原始数据_利率互换_FR007_1年!$A$6:$C$4395,2,0),"")</f>
        <v/>
      </c>
      <c r="I3200" t="str">
        <f>IFERROR(VLOOKUP($A3200,原始数据_利率互换_FR007_1年!$A$6:$C$4395,3,0),"")</f>
        <v/>
      </c>
    </row>
    <row r="3201" spans="1:9">
      <c r="A3201" s="6">
        <v>42694</v>
      </c>
      <c r="B3201" t="str">
        <f>IFERROR(VLOOKUP($A3201,原始数据_收盘!$A$4:$G$3460,2,0),"")</f>
        <v/>
      </c>
      <c r="C3201" t="str">
        <f>IFERROR(VLOOKUP($A3201,原始数据_收盘!$A$4:$G$3460,3,0),"")</f>
        <v/>
      </c>
      <c r="D3201" t="str">
        <f>IFERROR(VLOOKUP($A3201,原始数据_收盘!$A$4:$G$3460,4,0),"")</f>
        <v/>
      </c>
      <c r="E3201" t="str">
        <f>IFERROR(VLOOKUP($A3201,原始数据_收盘!$A$4:$G$3460,5,0),"")</f>
        <v/>
      </c>
      <c r="F3201" t="str">
        <f>IFERROR(VLOOKUP($A3201,原始数据_收盘!$A$4:$G$3460,6,0),"")</f>
        <v/>
      </c>
      <c r="G3201" t="str">
        <f>IFERROR(VLOOKUP($A3201,原始数据_收盘!$A$4:$G$3460,7,0),"")</f>
        <v/>
      </c>
      <c r="H3201" t="str">
        <f>IFERROR(VLOOKUP($A3201,原始数据_利率互换_FR007_1年!$A$6:$C$4395,2,0),"")</f>
        <v/>
      </c>
      <c r="I3201" t="str">
        <f>IFERROR(VLOOKUP($A3201,原始数据_利率互换_FR007_1年!$A$6:$C$4395,3,0),"")</f>
        <v/>
      </c>
    </row>
    <row r="3202" spans="1:9">
      <c r="A3202" s="6">
        <v>42695</v>
      </c>
      <c r="B3202">
        <f>IFERROR(VLOOKUP($A3202,原始数据_收盘!$A$4:$G$3460,2,0),"")</f>
        <v>2.9566</v>
      </c>
      <c r="C3202">
        <f>IFERROR(VLOOKUP($A3202,原始数据_收盘!$A$4:$G$3460,3,0),"")</f>
        <v>3.2188</v>
      </c>
      <c r="D3202">
        <f>IFERROR(VLOOKUP($A3202,原始数据_收盘!$A$4:$G$3460,4,0),"")</f>
        <v>3.0038</v>
      </c>
      <c r="E3202">
        <f>IFERROR(VLOOKUP($A3202,原始数据_收盘!$A$4:$G$3460,5,0),"")</f>
        <v>3.275</v>
      </c>
      <c r="F3202">
        <f>IFERROR(VLOOKUP($A3202,原始数据_收盘!$A$4:$G$3460,6,0),"")</f>
        <v>2.9802</v>
      </c>
      <c r="G3202">
        <f>IFERROR(VLOOKUP($A3202,原始数据_收盘!$A$4:$G$3460,7,0),"")</f>
        <v>3.2469</v>
      </c>
      <c r="H3202">
        <f>IFERROR(VLOOKUP($A3202,原始数据_利率互换_FR007_1年!$A$6:$C$4395,2,0),"")</f>
        <v>2.9819</v>
      </c>
      <c r="I3202">
        <f>IFERROR(VLOOKUP($A3202,原始数据_利率互换_FR007_1年!$A$6:$C$4395,3,0),"")</f>
        <v>3.2585</v>
      </c>
    </row>
    <row r="3203" spans="1:9">
      <c r="A3203" s="6">
        <v>42696</v>
      </c>
      <c r="B3203">
        <f>IFERROR(VLOOKUP($A3203,原始数据_收盘!$A$4:$G$3460,2,0),"")</f>
        <v>2.92</v>
      </c>
      <c r="C3203">
        <f>IFERROR(VLOOKUP($A3203,原始数据_收盘!$A$4:$G$3460,3,0),"")</f>
        <v>3.1775</v>
      </c>
      <c r="D3203">
        <f>IFERROR(VLOOKUP($A3203,原始数据_收盘!$A$4:$G$3460,4,0),"")</f>
        <v>2.9638</v>
      </c>
      <c r="E3203">
        <f>IFERROR(VLOOKUP($A3203,原始数据_收盘!$A$4:$G$3460,5,0),"")</f>
        <v>3.2363</v>
      </c>
      <c r="F3203">
        <f>IFERROR(VLOOKUP($A3203,原始数据_收盘!$A$4:$G$3460,6,0),"")</f>
        <v>2.9419</v>
      </c>
      <c r="G3203">
        <f>IFERROR(VLOOKUP($A3203,原始数据_收盘!$A$4:$G$3460,7,0),"")</f>
        <v>3.2069</v>
      </c>
      <c r="H3203">
        <f>IFERROR(VLOOKUP($A3203,原始数据_利率互换_FR007_1年!$A$6:$C$4395,2,0),"")</f>
        <v>2.9475</v>
      </c>
      <c r="I3203">
        <f>IFERROR(VLOOKUP($A3203,原始数据_利率互换_FR007_1年!$A$6:$C$4395,3,0),"")</f>
        <v>3.2066</v>
      </c>
    </row>
    <row r="3204" spans="1:9">
      <c r="A3204" s="6">
        <v>42697</v>
      </c>
      <c r="B3204">
        <f>IFERROR(VLOOKUP($A3204,原始数据_收盘!$A$4:$G$3460,2,0),"")</f>
        <v>2.905</v>
      </c>
      <c r="C3204">
        <f>IFERROR(VLOOKUP($A3204,原始数据_收盘!$A$4:$G$3460,3,0),"")</f>
        <v>3.1613</v>
      </c>
      <c r="D3204">
        <f>IFERROR(VLOOKUP($A3204,原始数据_收盘!$A$4:$G$3460,4,0),"")</f>
        <v>2.9513</v>
      </c>
      <c r="E3204">
        <f>IFERROR(VLOOKUP($A3204,原始数据_收盘!$A$4:$G$3460,5,0),"")</f>
        <v>3.2175</v>
      </c>
      <c r="F3204">
        <f>IFERROR(VLOOKUP($A3204,原始数据_收盘!$A$4:$G$3460,6,0),"")</f>
        <v>2.9281</v>
      </c>
      <c r="G3204">
        <f>IFERROR(VLOOKUP($A3204,原始数据_收盘!$A$4:$G$3460,7,0),"")</f>
        <v>3.1894</v>
      </c>
      <c r="H3204">
        <f>IFERROR(VLOOKUP($A3204,原始数据_利率互换_FR007_1年!$A$6:$C$4395,2,0),"")</f>
        <v>2.9488</v>
      </c>
      <c r="I3204">
        <f>IFERROR(VLOOKUP($A3204,原始数据_利率互换_FR007_1年!$A$6:$C$4395,3,0),"")</f>
        <v>3.2072</v>
      </c>
    </row>
    <row r="3205" spans="1:9">
      <c r="A3205" s="6">
        <v>42698</v>
      </c>
      <c r="B3205">
        <f>IFERROR(VLOOKUP($A3205,原始数据_收盘!$A$4:$G$3460,2,0),"")</f>
        <v>2.9459</v>
      </c>
      <c r="C3205">
        <f>IFERROR(VLOOKUP($A3205,原始数据_收盘!$A$4:$G$3460,3,0),"")</f>
        <v>3.2063</v>
      </c>
      <c r="D3205">
        <f>IFERROR(VLOOKUP($A3205,原始数据_收盘!$A$4:$G$3460,4,0),"")</f>
        <v>2.9875</v>
      </c>
      <c r="E3205">
        <f>IFERROR(VLOOKUP($A3205,原始数据_收盘!$A$4:$G$3460,5,0),"")</f>
        <v>3.2563</v>
      </c>
      <c r="F3205">
        <f>IFERROR(VLOOKUP($A3205,原始数据_收盘!$A$4:$G$3460,6,0),"")</f>
        <v>2.9667</v>
      </c>
      <c r="G3205">
        <f>IFERROR(VLOOKUP($A3205,原始数据_收盘!$A$4:$G$3460,7,0),"")</f>
        <v>3.2313</v>
      </c>
      <c r="H3205">
        <f>IFERROR(VLOOKUP($A3205,原始数据_利率互换_FR007_1年!$A$6:$C$4395,2,0),"")</f>
        <v>2.9771</v>
      </c>
      <c r="I3205">
        <f>IFERROR(VLOOKUP($A3205,原始数据_利率互换_FR007_1年!$A$6:$C$4395,3,0),"")</f>
        <v>3.2275</v>
      </c>
    </row>
    <row r="3206" spans="1:9">
      <c r="A3206" s="6">
        <v>42699</v>
      </c>
      <c r="B3206">
        <f>IFERROR(VLOOKUP($A3206,原始数据_收盘!$A$4:$G$3460,2,0),"")</f>
        <v>2.97</v>
      </c>
      <c r="C3206">
        <f>IFERROR(VLOOKUP($A3206,原始数据_收盘!$A$4:$G$3460,3,0),"")</f>
        <v>3.2188</v>
      </c>
      <c r="D3206">
        <f>IFERROR(VLOOKUP($A3206,原始数据_收盘!$A$4:$G$3460,4,0),"")</f>
        <v>3.0238</v>
      </c>
      <c r="E3206">
        <f>IFERROR(VLOOKUP($A3206,原始数据_收盘!$A$4:$G$3460,5,0),"")</f>
        <v>3.2825</v>
      </c>
      <c r="F3206">
        <f>IFERROR(VLOOKUP($A3206,原始数据_收盘!$A$4:$G$3460,6,0),"")</f>
        <v>2.9969</v>
      </c>
      <c r="G3206">
        <f>IFERROR(VLOOKUP($A3206,原始数据_收盘!$A$4:$G$3460,7,0),"")</f>
        <v>3.2506</v>
      </c>
      <c r="H3206">
        <f>IFERROR(VLOOKUP($A3206,原始数据_利率互换_FR007_1年!$A$6:$C$4395,2,0),"")</f>
        <v>3.0255</v>
      </c>
      <c r="I3206">
        <f>IFERROR(VLOOKUP($A3206,原始数据_利率互换_FR007_1年!$A$6:$C$4395,3,0),"")</f>
        <v>3.2619</v>
      </c>
    </row>
    <row r="3207" spans="1:9">
      <c r="A3207" s="6">
        <v>42700</v>
      </c>
      <c r="B3207" t="str">
        <f>IFERROR(VLOOKUP($A3207,原始数据_收盘!$A$4:$G$3460,2,0),"")</f>
        <v/>
      </c>
      <c r="C3207" t="str">
        <f>IFERROR(VLOOKUP($A3207,原始数据_收盘!$A$4:$G$3460,3,0),"")</f>
        <v/>
      </c>
      <c r="D3207" t="str">
        <f>IFERROR(VLOOKUP($A3207,原始数据_收盘!$A$4:$G$3460,4,0),"")</f>
        <v/>
      </c>
      <c r="E3207" t="str">
        <f>IFERROR(VLOOKUP($A3207,原始数据_收盘!$A$4:$G$3460,5,0),"")</f>
        <v/>
      </c>
      <c r="F3207" t="str">
        <f>IFERROR(VLOOKUP($A3207,原始数据_收盘!$A$4:$G$3460,6,0),"")</f>
        <v/>
      </c>
      <c r="G3207" t="str">
        <f>IFERROR(VLOOKUP($A3207,原始数据_收盘!$A$4:$G$3460,7,0),"")</f>
        <v/>
      </c>
      <c r="H3207" t="str">
        <f>IFERROR(VLOOKUP($A3207,原始数据_利率互换_FR007_1年!$A$6:$C$4395,2,0),"")</f>
        <v/>
      </c>
      <c r="I3207" t="str">
        <f>IFERROR(VLOOKUP($A3207,原始数据_利率互换_FR007_1年!$A$6:$C$4395,3,0),"")</f>
        <v/>
      </c>
    </row>
    <row r="3208" spans="1:9">
      <c r="A3208" s="6">
        <v>42701</v>
      </c>
      <c r="B3208" t="str">
        <f>IFERROR(VLOOKUP($A3208,原始数据_收盘!$A$4:$G$3460,2,0),"")</f>
        <v/>
      </c>
      <c r="C3208" t="str">
        <f>IFERROR(VLOOKUP($A3208,原始数据_收盘!$A$4:$G$3460,3,0),"")</f>
        <v/>
      </c>
      <c r="D3208" t="str">
        <f>IFERROR(VLOOKUP($A3208,原始数据_收盘!$A$4:$G$3460,4,0),"")</f>
        <v/>
      </c>
      <c r="E3208" t="str">
        <f>IFERROR(VLOOKUP($A3208,原始数据_收盘!$A$4:$G$3460,5,0),"")</f>
        <v/>
      </c>
      <c r="F3208" t="str">
        <f>IFERROR(VLOOKUP($A3208,原始数据_收盘!$A$4:$G$3460,6,0),"")</f>
        <v/>
      </c>
      <c r="G3208" t="str">
        <f>IFERROR(VLOOKUP($A3208,原始数据_收盘!$A$4:$G$3460,7,0),"")</f>
        <v/>
      </c>
      <c r="H3208" t="str">
        <f>IFERROR(VLOOKUP($A3208,原始数据_利率互换_FR007_1年!$A$6:$C$4395,2,0),"")</f>
        <v/>
      </c>
      <c r="I3208" t="str">
        <f>IFERROR(VLOOKUP($A3208,原始数据_利率互换_FR007_1年!$A$6:$C$4395,3,0),"")</f>
        <v/>
      </c>
    </row>
    <row r="3209" spans="1:9">
      <c r="A3209" s="6">
        <v>42702</v>
      </c>
      <c r="B3209">
        <f>IFERROR(VLOOKUP($A3209,原始数据_收盘!$A$4:$G$3460,2,0),"")</f>
        <v>2.9767</v>
      </c>
      <c r="C3209">
        <f>IFERROR(VLOOKUP($A3209,原始数据_收盘!$A$4:$G$3460,3,0),"")</f>
        <v>3.225</v>
      </c>
      <c r="D3209">
        <f>IFERROR(VLOOKUP($A3209,原始数据_收盘!$A$4:$G$3460,4,0),"")</f>
        <v>3.0356</v>
      </c>
      <c r="E3209">
        <f>IFERROR(VLOOKUP($A3209,原始数据_收盘!$A$4:$G$3460,5,0),"")</f>
        <v>3.2856</v>
      </c>
      <c r="F3209">
        <f>IFERROR(VLOOKUP($A3209,原始数据_收盘!$A$4:$G$3460,6,0),"")</f>
        <v>3.0061</v>
      </c>
      <c r="G3209">
        <f>IFERROR(VLOOKUP($A3209,原始数据_收盘!$A$4:$G$3460,7,0),"")</f>
        <v>3.2553</v>
      </c>
      <c r="H3209">
        <f>IFERROR(VLOOKUP($A3209,原始数据_利率互换_FR007_1年!$A$6:$C$4395,2,0),"")</f>
        <v>3.0115</v>
      </c>
      <c r="I3209">
        <f>IFERROR(VLOOKUP($A3209,原始数据_利率互换_FR007_1年!$A$6:$C$4395,3,0),"")</f>
        <v>3.2574</v>
      </c>
    </row>
    <row r="3210" spans="1:9">
      <c r="A3210" s="6">
        <v>42703</v>
      </c>
      <c r="B3210">
        <f>IFERROR(VLOOKUP($A3210,原始数据_收盘!$A$4:$G$3460,2,0),"")</f>
        <v>3.12</v>
      </c>
      <c r="C3210">
        <f>IFERROR(VLOOKUP($A3210,原始数据_收盘!$A$4:$G$3460,3,0),"")</f>
        <v>3.3638</v>
      </c>
      <c r="D3210">
        <f>IFERROR(VLOOKUP($A3210,原始数据_收盘!$A$4:$G$3460,4,0),"")</f>
        <v>3.1763</v>
      </c>
      <c r="E3210">
        <f>IFERROR(VLOOKUP($A3210,原始数据_收盘!$A$4:$G$3460,5,0),"")</f>
        <v>3.4296</v>
      </c>
      <c r="F3210">
        <f>IFERROR(VLOOKUP($A3210,原始数据_收盘!$A$4:$G$3460,6,0),"")</f>
        <v>3.1481</v>
      </c>
      <c r="G3210">
        <f>IFERROR(VLOOKUP($A3210,原始数据_收盘!$A$4:$G$3460,7,0),"")</f>
        <v>3.3967</v>
      </c>
      <c r="H3210">
        <f>IFERROR(VLOOKUP($A3210,原始数据_利率互换_FR007_1年!$A$6:$C$4395,2,0),"")</f>
        <v>3.1107</v>
      </c>
      <c r="I3210">
        <f>IFERROR(VLOOKUP($A3210,原始数据_利率互换_FR007_1年!$A$6:$C$4395,3,0),"")</f>
        <v>3.3576</v>
      </c>
    </row>
    <row r="3211" spans="1:9">
      <c r="A3211" s="6">
        <v>42704</v>
      </c>
      <c r="B3211">
        <f>IFERROR(VLOOKUP($A3211,原始数据_收盘!$A$4:$G$3460,2,0),"")</f>
        <v>3.0963</v>
      </c>
      <c r="C3211">
        <f>IFERROR(VLOOKUP($A3211,原始数据_收盘!$A$4:$G$3460,3,0),"")</f>
        <v>3.365</v>
      </c>
      <c r="D3211">
        <f>IFERROR(VLOOKUP($A3211,原始数据_收盘!$A$4:$G$3460,4,0),"")</f>
        <v>3.1888</v>
      </c>
      <c r="E3211">
        <f>IFERROR(VLOOKUP($A3211,原始数据_收盘!$A$4:$G$3460,5,0),"")</f>
        <v>3.4275</v>
      </c>
      <c r="F3211">
        <f>IFERROR(VLOOKUP($A3211,原始数据_收盘!$A$4:$G$3460,6,0),"")</f>
        <v>3.1425</v>
      </c>
      <c r="G3211">
        <f>IFERROR(VLOOKUP($A3211,原始数据_收盘!$A$4:$G$3460,7,0),"")</f>
        <v>3.3963</v>
      </c>
      <c r="H3211">
        <f>IFERROR(VLOOKUP($A3211,原始数据_利率互换_FR007_1年!$A$6:$C$4395,2,0),"")</f>
        <v>3.2049</v>
      </c>
      <c r="I3211">
        <f>IFERROR(VLOOKUP($A3211,原始数据_利率互换_FR007_1年!$A$6:$C$4395,3,0),"")</f>
        <v>3.4585</v>
      </c>
    </row>
    <row r="3212" spans="1:9">
      <c r="A3212" s="6">
        <v>42705</v>
      </c>
      <c r="B3212">
        <f>IFERROR(VLOOKUP($A3212,原始数据_收盘!$A$4:$G$3460,2,0),"")</f>
        <v>3.255</v>
      </c>
      <c r="C3212">
        <f>IFERROR(VLOOKUP($A3212,原始数据_收盘!$A$4:$G$3460,3,0),"")</f>
        <v>3.5188</v>
      </c>
      <c r="D3212">
        <f>IFERROR(VLOOKUP($A3212,原始数据_收盘!$A$4:$G$3460,4,0),"")</f>
        <v>3.3213</v>
      </c>
      <c r="E3212">
        <f>IFERROR(VLOOKUP($A3212,原始数据_收盘!$A$4:$G$3460,5,0),"")</f>
        <v>3.5925</v>
      </c>
      <c r="F3212">
        <f>IFERROR(VLOOKUP($A3212,原始数据_收盘!$A$4:$G$3460,6,0),"")</f>
        <v>3.2881</v>
      </c>
      <c r="G3212">
        <f>IFERROR(VLOOKUP($A3212,原始数据_收盘!$A$4:$G$3460,7,0),"")</f>
        <v>3.5556</v>
      </c>
      <c r="H3212">
        <f>IFERROR(VLOOKUP($A3212,原始数据_利率互换_FR007_1年!$A$6:$C$4395,2,0),"")</f>
        <v>3.26</v>
      </c>
      <c r="I3212">
        <f>IFERROR(VLOOKUP($A3212,原始数据_利率互换_FR007_1年!$A$6:$C$4395,3,0),"")</f>
        <v>3.5055</v>
      </c>
    </row>
    <row r="3213" spans="1:9">
      <c r="A3213" s="6">
        <v>42706</v>
      </c>
      <c r="B3213">
        <f>IFERROR(VLOOKUP($A3213,原始数据_收盘!$A$4:$G$3460,2,0),"")</f>
        <v>3.2146</v>
      </c>
      <c r="C3213">
        <f>IFERROR(VLOOKUP($A3213,原始数据_收盘!$A$4:$G$3460,3,0),"")</f>
        <v>3.5075</v>
      </c>
      <c r="D3213">
        <f>IFERROR(VLOOKUP($A3213,原始数据_收盘!$A$4:$G$3460,4,0),"")</f>
        <v>3.2829</v>
      </c>
      <c r="E3213">
        <f>IFERROR(VLOOKUP($A3213,原始数据_收盘!$A$4:$G$3460,5,0),"")</f>
        <v>3.5775</v>
      </c>
      <c r="F3213">
        <f>IFERROR(VLOOKUP($A3213,原始数据_收盘!$A$4:$G$3460,6,0),"")</f>
        <v>3.2488</v>
      </c>
      <c r="G3213">
        <f>IFERROR(VLOOKUP($A3213,原始数据_收盘!$A$4:$G$3460,7,0),"")</f>
        <v>3.5425</v>
      </c>
      <c r="H3213">
        <f>IFERROR(VLOOKUP($A3213,原始数据_利率互换_FR007_1年!$A$6:$C$4395,2,0),"")</f>
        <v>3.2635</v>
      </c>
      <c r="I3213">
        <f>IFERROR(VLOOKUP($A3213,原始数据_利率互换_FR007_1年!$A$6:$C$4395,3,0),"")</f>
        <v>3.5507</v>
      </c>
    </row>
    <row r="3214" spans="1:9">
      <c r="A3214" s="6">
        <v>42707</v>
      </c>
      <c r="B3214" t="str">
        <f>IFERROR(VLOOKUP($A3214,原始数据_收盘!$A$4:$G$3460,2,0),"")</f>
        <v/>
      </c>
      <c r="C3214" t="str">
        <f>IFERROR(VLOOKUP($A3214,原始数据_收盘!$A$4:$G$3460,3,0),"")</f>
        <v/>
      </c>
      <c r="D3214" t="str">
        <f>IFERROR(VLOOKUP($A3214,原始数据_收盘!$A$4:$G$3460,4,0),"")</f>
        <v/>
      </c>
      <c r="E3214" t="str">
        <f>IFERROR(VLOOKUP($A3214,原始数据_收盘!$A$4:$G$3460,5,0),"")</f>
        <v/>
      </c>
      <c r="F3214" t="str">
        <f>IFERROR(VLOOKUP($A3214,原始数据_收盘!$A$4:$G$3460,6,0),"")</f>
        <v/>
      </c>
      <c r="G3214" t="str">
        <f>IFERROR(VLOOKUP($A3214,原始数据_收盘!$A$4:$G$3460,7,0),"")</f>
        <v/>
      </c>
      <c r="H3214" t="str">
        <f>IFERROR(VLOOKUP($A3214,原始数据_利率互换_FR007_1年!$A$6:$C$4395,2,0),"")</f>
        <v/>
      </c>
      <c r="I3214" t="str">
        <f>IFERROR(VLOOKUP($A3214,原始数据_利率互换_FR007_1年!$A$6:$C$4395,3,0),"")</f>
        <v/>
      </c>
    </row>
    <row r="3215" spans="1:9">
      <c r="A3215" s="6">
        <v>42708</v>
      </c>
      <c r="B3215" t="str">
        <f>IFERROR(VLOOKUP($A3215,原始数据_收盘!$A$4:$G$3460,2,0),"")</f>
        <v/>
      </c>
      <c r="C3215" t="str">
        <f>IFERROR(VLOOKUP($A3215,原始数据_收盘!$A$4:$G$3460,3,0),"")</f>
        <v/>
      </c>
      <c r="D3215" t="str">
        <f>IFERROR(VLOOKUP($A3215,原始数据_收盘!$A$4:$G$3460,4,0),"")</f>
        <v/>
      </c>
      <c r="E3215" t="str">
        <f>IFERROR(VLOOKUP($A3215,原始数据_收盘!$A$4:$G$3460,5,0),"")</f>
        <v/>
      </c>
      <c r="F3215" t="str">
        <f>IFERROR(VLOOKUP($A3215,原始数据_收盘!$A$4:$G$3460,6,0),"")</f>
        <v/>
      </c>
      <c r="G3215" t="str">
        <f>IFERROR(VLOOKUP($A3215,原始数据_收盘!$A$4:$G$3460,7,0),"")</f>
        <v/>
      </c>
      <c r="H3215" t="str">
        <f>IFERROR(VLOOKUP($A3215,原始数据_利率互换_FR007_1年!$A$6:$C$4395,2,0),"")</f>
        <v/>
      </c>
      <c r="I3215" t="str">
        <f>IFERROR(VLOOKUP($A3215,原始数据_利率互换_FR007_1年!$A$6:$C$4395,3,0),"")</f>
        <v/>
      </c>
    </row>
    <row r="3216" spans="1:9">
      <c r="A3216" s="6">
        <v>42709</v>
      </c>
      <c r="B3216">
        <f>IFERROR(VLOOKUP($A3216,原始数据_收盘!$A$4:$G$3460,2,0),"")</f>
        <v>3.2181</v>
      </c>
      <c r="C3216">
        <f>IFERROR(VLOOKUP($A3216,原始数据_收盘!$A$4:$G$3460,3,0),"")</f>
        <v>3.5144</v>
      </c>
      <c r="D3216">
        <f>IFERROR(VLOOKUP($A3216,原始数据_收盘!$A$4:$G$3460,4,0),"")</f>
        <v>3.2696</v>
      </c>
      <c r="E3216">
        <f>IFERROR(VLOOKUP($A3216,原始数据_收盘!$A$4:$G$3460,5,0),"")</f>
        <v>3.5738</v>
      </c>
      <c r="F3216">
        <f>IFERROR(VLOOKUP($A3216,原始数据_收盘!$A$4:$G$3460,6,0),"")</f>
        <v>3.2439</v>
      </c>
      <c r="G3216">
        <f>IFERROR(VLOOKUP($A3216,原始数据_收盘!$A$4:$G$3460,7,0),"")</f>
        <v>3.5441</v>
      </c>
      <c r="H3216">
        <f>IFERROR(VLOOKUP($A3216,原始数据_利率互换_FR007_1年!$A$6:$C$4395,2,0),"")</f>
        <v>3.2432</v>
      </c>
      <c r="I3216">
        <f>IFERROR(VLOOKUP($A3216,原始数据_利率互换_FR007_1年!$A$6:$C$4395,3,0),"")</f>
        <v>3.545</v>
      </c>
    </row>
    <row r="3217" spans="1:9">
      <c r="A3217" s="6">
        <v>42710</v>
      </c>
      <c r="B3217">
        <f>IFERROR(VLOOKUP($A3217,原始数据_收盘!$A$4:$G$3460,2,0),"")</f>
        <v>3.1875</v>
      </c>
      <c r="C3217">
        <f>IFERROR(VLOOKUP($A3217,原始数据_收盘!$A$4:$G$3460,3,0),"")</f>
        <v>3.4981</v>
      </c>
      <c r="D3217">
        <f>IFERROR(VLOOKUP($A3217,原始数据_收盘!$A$4:$G$3460,4,0),"")</f>
        <v>3.2463</v>
      </c>
      <c r="E3217">
        <f>IFERROR(VLOOKUP($A3217,原始数据_收盘!$A$4:$G$3460,5,0),"")</f>
        <v>3.565</v>
      </c>
      <c r="F3217">
        <f>IFERROR(VLOOKUP($A3217,原始数据_收盘!$A$4:$G$3460,6,0),"")</f>
        <v>3.2169</v>
      </c>
      <c r="G3217">
        <f>IFERROR(VLOOKUP($A3217,原始数据_收盘!$A$4:$G$3460,7,0),"")</f>
        <v>3.5316</v>
      </c>
      <c r="H3217">
        <f>IFERROR(VLOOKUP($A3217,原始数据_利率互换_FR007_1年!$A$6:$C$4395,2,0),"")</f>
        <v>3.2407</v>
      </c>
      <c r="I3217">
        <f>IFERROR(VLOOKUP($A3217,原始数据_利率互换_FR007_1年!$A$6:$C$4395,3,0),"")</f>
        <v>3.5862</v>
      </c>
    </row>
    <row r="3218" spans="1:9">
      <c r="A3218" s="6">
        <v>42711</v>
      </c>
      <c r="B3218">
        <f>IFERROR(VLOOKUP($A3218,原始数据_收盘!$A$4:$G$3460,2,0),"")</f>
        <v>3.1738</v>
      </c>
      <c r="C3218">
        <f>IFERROR(VLOOKUP($A3218,原始数据_收盘!$A$4:$G$3460,3,0),"")</f>
        <v>3.4731</v>
      </c>
      <c r="D3218">
        <f>IFERROR(VLOOKUP($A3218,原始数据_收盘!$A$4:$G$3460,4,0),"")</f>
        <v>3.225</v>
      </c>
      <c r="E3218">
        <f>IFERROR(VLOOKUP($A3218,原始数据_收盘!$A$4:$G$3460,5,0),"")</f>
        <v>3.535</v>
      </c>
      <c r="F3218">
        <f>IFERROR(VLOOKUP($A3218,原始数据_收盘!$A$4:$G$3460,6,0),"")</f>
        <v>3.1994</v>
      </c>
      <c r="G3218">
        <f>IFERROR(VLOOKUP($A3218,原始数据_收盘!$A$4:$G$3460,7,0),"")</f>
        <v>3.5041</v>
      </c>
      <c r="H3218">
        <f>IFERROR(VLOOKUP($A3218,原始数据_利率互换_FR007_1年!$A$6:$C$4395,2,0),"")</f>
        <v>3.2022</v>
      </c>
      <c r="I3218">
        <f>IFERROR(VLOOKUP($A3218,原始数据_利率互换_FR007_1年!$A$6:$C$4395,3,0),"")</f>
        <v>3.4711</v>
      </c>
    </row>
    <row r="3219" spans="1:9">
      <c r="A3219" s="6">
        <v>42712</v>
      </c>
      <c r="B3219">
        <f>IFERROR(VLOOKUP($A3219,原始数据_收盘!$A$4:$G$3460,2,0),"")</f>
        <v>3.1475</v>
      </c>
      <c r="C3219">
        <f>IFERROR(VLOOKUP($A3219,原始数据_收盘!$A$4:$G$3460,3,0),"")</f>
        <v>3.4454</v>
      </c>
      <c r="D3219">
        <f>IFERROR(VLOOKUP($A3219,原始数据_收盘!$A$4:$G$3460,4,0),"")</f>
        <v>3.19</v>
      </c>
      <c r="E3219">
        <f>IFERROR(VLOOKUP($A3219,原始数据_收盘!$A$4:$G$3460,5,0),"")</f>
        <v>3.5013</v>
      </c>
      <c r="F3219">
        <f>IFERROR(VLOOKUP($A3219,原始数据_收盘!$A$4:$G$3460,6,0),"")</f>
        <v>3.1688</v>
      </c>
      <c r="G3219">
        <f>IFERROR(VLOOKUP($A3219,原始数据_收盘!$A$4:$G$3460,7,0),"")</f>
        <v>3.4733</v>
      </c>
      <c r="H3219">
        <f>IFERROR(VLOOKUP($A3219,原始数据_利率互换_FR007_1年!$A$6:$C$4395,2,0),"")</f>
        <v>3.1612</v>
      </c>
      <c r="I3219">
        <f>IFERROR(VLOOKUP($A3219,原始数据_利率互换_FR007_1年!$A$6:$C$4395,3,0),"")</f>
        <v>3.4605</v>
      </c>
    </row>
    <row r="3220" spans="1:9">
      <c r="A3220" s="6">
        <v>42713</v>
      </c>
      <c r="B3220">
        <f>IFERROR(VLOOKUP($A3220,原始数据_收盘!$A$4:$G$3460,2,0),"")</f>
        <v>3.1669</v>
      </c>
      <c r="C3220">
        <f>IFERROR(VLOOKUP($A3220,原始数据_收盘!$A$4:$G$3460,3,0),"")</f>
        <v>3.4825</v>
      </c>
      <c r="D3220">
        <f>IFERROR(VLOOKUP($A3220,原始数据_收盘!$A$4:$G$3460,4,0),"")</f>
        <v>3.2225</v>
      </c>
      <c r="E3220">
        <f>IFERROR(VLOOKUP($A3220,原始数据_收盘!$A$4:$G$3460,5,0),"")</f>
        <v>3.5488</v>
      </c>
      <c r="F3220">
        <f>IFERROR(VLOOKUP($A3220,原始数据_收盘!$A$4:$G$3460,6,0),"")</f>
        <v>3.1947</v>
      </c>
      <c r="G3220">
        <f>IFERROR(VLOOKUP($A3220,原始数据_收盘!$A$4:$G$3460,7,0),"")</f>
        <v>3.5156</v>
      </c>
      <c r="H3220">
        <f>IFERROR(VLOOKUP($A3220,原始数据_利率互换_FR007_1年!$A$6:$C$4395,2,0),"")</f>
        <v>3.175</v>
      </c>
      <c r="I3220">
        <f>IFERROR(VLOOKUP($A3220,原始数据_利率互换_FR007_1年!$A$6:$C$4395,3,0),"")</f>
        <v>3.4955</v>
      </c>
    </row>
    <row r="3221" spans="1:9">
      <c r="A3221" s="6">
        <v>42714</v>
      </c>
      <c r="B3221" t="str">
        <f>IFERROR(VLOOKUP($A3221,原始数据_收盘!$A$4:$G$3460,2,0),"")</f>
        <v/>
      </c>
      <c r="C3221" t="str">
        <f>IFERROR(VLOOKUP($A3221,原始数据_收盘!$A$4:$G$3460,3,0),"")</f>
        <v/>
      </c>
      <c r="D3221" t="str">
        <f>IFERROR(VLOOKUP($A3221,原始数据_收盘!$A$4:$G$3460,4,0),"")</f>
        <v/>
      </c>
      <c r="E3221" t="str">
        <f>IFERROR(VLOOKUP($A3221,原始数据_收盘!$A$4:$G$3460,5,0),"")</f>
        <v/>
      </c>
      <c r="F3221" t="str">
        <f>IFERROR(VLOOKUP($A3221,原始数据_收盘!$A$4:$G$3460,6,0),"")</f>
        <v/>
      </c>
      <c r="G3221" t="str">
        <f>IFERROR(VLOOKUP($A3221,原始数据_收盘!$A$4:$G$3460,7,0),"")</f>
        <v/>
      </c>
      <c r="H3221" t="str">
        <f>IFERROR(VLOOKUP($A3221,原始数据_利率互换_FR007_1年!$A$6:$C$4395,2,0),"")</f>
        <v/>
      </c>
      <c r="I3221" t="str">
        <f>IFERROR(VLOOKUP($A3221,原始数据_利率互换_FR007_1年!$A$6:$C$4395,3,0),"")</f>
        <v/>
      </c>
    </row>
    <row r="3222" spans="1:9">
      <c r="A3222" s="6">
        <v>42715</v>
      </c>
      <c r="B3222" t="str">
        <f>IFERROR(VLOOKUP($A3222,原始数据_收盘!$A$4:$G$3460,2,0),"")</f>
        <v/>
      </c>
      <c r="C3222" t="str">
        <f>IFERROR(VLOOKUP($A3222,原始数据_收盘!$A$4:$G$3460,3,0),"")</f>
        <v/>
      </c>
      <c r="D3222" t="str">
        <f>IFERROR(VLOOKUP($A3222,原始数据_收盘!$A$4:$G$3460,4,0),"")</f>
        <v/>
      </c>
      <c r="E3222" t="str">
        <f>IFERROR(VLOOKUP($A3222,原始数据_收盘!$A$4:$G$3460,5,0),"")</f>
        <v/>
      </c>
      <c r="F3222" t="str">
        <f>IFERROR(VLOOKUP($A3222,原始数据_收盘!$A$4:$G$3460,6,0),"")</f>
        <v/>
      </c>
      <c r="G3222" t="str">
        <f>IFERROR(VLOOKUP($A3222,原始数据_收盘!$A$4:$G$3460,7,0),"")</f>
        <v/>
      </c>
      <c r="H3222" t="str">
        <f>IFERROR(VLOOKUP($A3222,原始数据_利率互换_FR007_1年!$A$6:$C$4395,2,0),"")</f>
        <v/>
      </c>
      <c r="I3222" t="str">
        <f>IFERROR(VLOOKUP($A3222,原始数据_利率互换_FR007_1年!$A$6:$C$4395,3,0),"")</f>
        <v/>
      </c>
    </row>
    <row r="3223" spans="1:9">
      <c r="A3223" s="6">
        <v>42716</v>
      </c>
      <c r="B3223">
        <f>IFERROR(VLOOKUP($A3223,原始数据_收盘!$A$4:$G$3460,2,0),"")</f>
        <v>3.2488</v>
      </c>
      <c r="C3223">
        <f>IFERROR(VLOOKUP($A3223,原始数据_收盘!$A$4:$G$3460,3,0),"")</f>
        <v>3.5625</v>
      </c>
      <c r="D3223">
        <f>IFERROR(VLOOKUP($A3223,原始数据_收盘!$A$4:$G$3460,4,0),"")</f>
        <v>3.3161</v>
      </c>
      <c r="E3223">
        <f>IFERROR(VLOOKUP($A3223,原始数据_收盘!$A$4:$G$3460,5,0),"")</f>
        <v>3.6391</v>
      </c>
      <c r="F3223">
        <f>IFERROR(VLOOKUP($A3223,原始数据_收盘!$A$4:$G$3460,6,0),"")</f>
        <v>3.2824</v>
      </c>
      <c r="G3223">
        <f>IFERROR(VLOOKUP($A3223,原始数据_收盘!$A$4:$G$3460,7,0),"")</f>
        <v>3.6008</v>
      </c>
      <c r="H3223">
        <f>IFERROR(VLOOKUP($A3223,原始数据_利率互换_FR007_1年!$A$6:$C$4395,2,0),"")</f>
        <v>3.2586</v>
      </c>
      <c r="I3223">
        <f>IFERROR(VLOOKUP($A3223,原始数据_利率互换_FR007_1年!$A$6:$C$4395,3,0),"")</f>
        <v>3.5741</v>
      </c>
    </row>
    <row r="3224" spans="1:9">
      <c r="A3224" s="6">
        <v>42717</v>
      </c>
      <c r="B3224">
        <f>IFERROR(VLOOKUP($A3224,原始数据_收盘!$A$4:$G$3460,2,0),"")</f>
        <v>3.2759</v>
      </c>
      <c r="C3224">
        <f>IFERROR(VLOOKUP($A3224,原始数据_收盘!$A$4:$G$3460,3,0),"")</f>
        <v>3.6069</v>
      </c>
      <c r="D3224">
        <f>IFERROR(VLOOKUP($A3224,原始数据_收盘!$A$4:$G$3460,4,0),"")</f>
        <v>3.3363</v>
      </c>
      <c r="E3224">
        <f>IFERROR(VLOOKUP($A3224,原始数据_收盘!$A$4:$G$3460,5,0),"")</f>
        <v>3.6794</v>
      </c>
      <c r="F3224">
        <f>IFERROR(VLOOKUP($A3224,原始数据_收盘!$A$4:$G$3460,6,0),"")</f>
        <v>3.3061</v>
      </c>
      <c r="G3224">
        <f>IFERROR(VLOOKUP($A3224,原始数据_收盘!$A$4:$G$3460,7,0),"")</f>
        <v>3.6431</v>
      </c>
      <c r="H3224">
        <f>IFERROR(VLOOKUP($A3224,原始数据_利率互换_FR007_1年!$A$6:$C$4395,2,0),"")</f>
        <v>3.2954</v>
      </c>
      <c r="I3224">
        <f>IFERROR(VLOOKUP($A3224,原始数据_利率互换_FR007_1年!$A$6:$C$4395,3,0),"")</f>
        <v>3.6218</v>
      </c>
    </row>
    <row r="3225" spans="1:9">
      <c r="A3225" s="6">
        <v>42718</v>
      </c>
      <c r="B3225">
        <f>IFERROR(VLOOKUP($A3225,原始数据_收盘!$A$4:$G$3460,2,0),"")</f>
        <v>3.3</v>
      </c>
      <c r="C3225">
        <f>IFERROR(VLOOKUP($A3225,原始数据_收盘!$A$4:$G$3460,3,0),"")</f>
        <v>3.6206</v>
      </c>
      <c r="D3225">
        <f>IFERROR(VLOOKUP($A3225,原始数据_收盘!$A$4:$G$3460,4,0),"")</f>
        <v>3.36</v>
      </c>
      <c r="E3225">
        <f>IFERROR(VLOOKUP($A3225,原始数据_收盘!$A$4:$G$3460,5,0),"")</f>
        <v>3.6844</v>
      </c>
      <c r="F3225">
        <f>IFERROR(VLOOKUP($A3225,原始数据_收盘!$A$4:$G$3460,6,0),"")</f>
        <v>3.33</v>
      </c>
      <c r="G3225">
        <f>IFERROR(VLOOKUP($A3225,原始数据_收盘!$A$4:$G$3460,7,0),"")</f>
        <v>3.6525</v>
      </c>
      <c r="H3225">
        <f>IFERROR(VLOOKUP($A3225,原始数据_利率互换_FR007_1年!$A$6:$C$4395,2,0),"")</f>
        <v>3.2998</v>
      </c>
      <c r="I3225">
        <f>IFERROR(VLOOKUP($A3225,原始数据_利率互换_FR007_1年!$A$6:$C$4395,3,0),"")</f>
        <v>3.6307</v>
      </c>
    </row>
    <row r="3226" spans="1:9">
      <c r="A3226" s="6">
        <v>42719</v>
      </c>
      <c r="B3226">
        <f>IFERROR(VLOOKUP($A3226,原始数据_收盘!$A$4:$G$3460,2,0),"")</f>
        <v>3.4421</v>
      </c>
      <c r="C3226">
        <f>IFERROR(VLOOKUP($A3226,原始数据_收盘!$A$4:$G$3460,3,0),"")</f>
        <v>3.8288</v>
      </c>
      <c r="D3226">
        <f>IFERROR(VLOOKUP($A3226,原始数据_收盘!$A$4:$G$3460,4,0),"")</f>
        <v>3.5025</v>
      </c>
      <c r="E3226">
        <f>IFERROR(VLOOKUP($A3226,原始数据_收盘!$A$4:$G$3460,5,0),"")</f>
        <v>3.8991</v>
      </c>
      <c r="F3226">
        <f>IFERROR(VLOOKUP($A3226,原始数据_收盘!$A$4:$G$3460,6,0),"")</f>
        <v>3.4723</v>
      </c>
      <c r="G3226">
        <f>IFERROR(VLOOKUP($A3226,原始数据_收盘!$A$4:$G$3460,7,0),"")</f>
        <v>3.8639</v>
      </c>
      <c r="H3226">
        <f>IFERROR(VLOOKUP($A3226,原始数据_利率互换_FR007_1年!$A$6:$C$4395,2,0),"")</f>
        <v>3.4682</v>
      </c>
      <c r="I3226">
        <f>IFERROR(VLOOKUP($A3226,原始数据_利率互换_FR007_1年!$A$6:$C$4395,3,0),"")</f>
        <v>3.8301</v>
      </c>
    </row>
    <row r="3227" spans="1:9">
      <c r="A3227" s="6">
        <v>42720</v>
      </c>
      <c r="B3227">
        <f>IFERROR(VLOOKUP($A3227,原始数据_收盘!$A$4:$G$3460,2,0),"")</f>
        <v>3.3921</v>
      </c>
      <c r="C3227">
        <f>IFERROR(VLOOKUP($A3227,原始数据_收盘!$A$4:$G$3460,3,0),"")</f>
        <v>3.7688</v>
      </c>
      <c r="D3227">
        <f>IFERROR(VLOOKUP($A3227,原始数据_收盘!$A$4:$G$3460,4,0),"")</f>
        <v>3.4416</v>
      </c>
      <c r="E3227">
        <f>IFERROR(VLOOKUP($A3227,原始数据_收盘!$A$4:$G$3460,5,0),"")</f>
        <v>3.8338</v>
      </c>
      <c r="F3227">
        <f>IFERROR(VLOOKUP($A3227,原始数据_收盘!$A$4:$G$3460,6,0),"")</f>
        <v>3.4169</v>
      </c>
      <c r="G3227">
        <f>IFERROR(VLOOKUP($A3227,原始数据_收盘!$A$4:$G$3460,7,0),"")</f>
        <v>3.8013</v>
      </c>
      <c r="H3227">
        <f>IFERROR(VLOOKUP($A3227,原始数据_利率互换_FR007_1年!$A$6:$C$4395,2,0),"")</f>
        <v>3.4422</v>
      </c>
      <c r="I3227">
        <f>IFERROR(VLOOKUP($A3227,原始数据_利率互换_FR007_1年!$A$6:$C$4395,3,0),"")</f>
        <v>3.856</v>
      </c>
    </row>
    <row r="3228" spans="1:9">
      <c r="A3228" s="6">
        <v>42721</v>
      </c>
      <c r="B3228" t="str">
        <f>IFERROR(VLOOKUP($A3228,原始数据_收盘!$A$4:$G$3460,2,0),"")</f>
        <v/>
      </c>
      <c r="C3228" t="str">
        <f>IFERROR(VLOOKUP($A3228,原始数据_收盘!$A$4:$G$3460,3,0),"")</f>
        <v/>
      </c>
      <c r="D3228" t="str">
        <f>IFERROR(VLOOKUP($A3228,原始数据_收盘!$A$4:$G$3460,4,0),"")</f>
        <v/>
      </c>
      <c r="E3228" t="str">
        <f>IFERROR(VLOOKUP($A3228,原始数据_收盘!$A$4:$G$3460,5,0),"")</f>
        <v/>
      </c>
      <c r="F3228" t="str">
        <f>IFERROR(VLOOKUP($A3228,原始数据_收盘!$A$4:$G$3460,6,0),"")</f>
        <v/>
      </c>
      <c r="G3228" t="str">
        <f>IFERROR(VLOOKUP($A3228,原始数据_收盘!$A$4:$G$3460,7,0),"")</f>
        <v/>
      </c>
      <c r="H3228" t="str">
        <f>IFERROR(VLOOKUP($A3228,原始数据_利率互换_FR007_1年!$A$6:$C$4395,2,0),"")</f>
        <v/>
      </c>
      <c r="I3228" t="str">
        <f>IFERROR(VLOOKUP($A3228,原始数据_利率互换_FR007_1年!$A$6:$C$4395,3,0),"")</f>
        <v/>
      </c>
    </row>
    <row r="3229" spans="1:9">
      <c r="A3229" s="6">
        <v>42722</v>
      </c>
      <c r="B3229" t="str">
        <f>IFERROR(VLOOKUP($A3229,原始数据_收盘!$A$4:$G$3460,2,0),"")</f>
        <v/>
      </c>
      <c r="C3229" t="str">
        <f>IFERROR(VLOOKUP($A3229,原始数据_收盘!$A$4:$G$3460,3,0),"")</f>
        <v/>
      </c>
      <c r="D3229" t="str">
        <f>IFERROR(VLOOKUP($A3229,原始数据_收盘!$A$4:$G$3460,4,0),"")</f>
        <v/>
      </c>
      <c r="E3229" t="str">
        <f>IFERROR(VLOOKUP($A3229,原始数据_收盘!$A$4:$G$3460,5,0),"")</f>
        <v/>
      </c>
      <c r="F3229" t="str">
        <f>IFERROR(VLOOKUP($A3229,原始数据_收盘!$A$4:$G$3460,6,0),"")</f>
        <v/>
      </c>
      <c r="G3229" t="str">
        <f>IFERROR(VLOOKUP($A3229,原始数据_收盘!$A$4:$G$3460,7,0),"")</f>
        <v/>
      </c>
      <c r="H3229" t="str">
        <f>IFERROR(VLOOKUP($A3229,原始数据_利率互换_FR007_1年!$A$6:$C$4395,2,0),"")</f>
        <v/>
      </c>
      <c r="I3229" t="str">
        <f>IFERROR(VLOOKUP($A3229,原始数据_利率互换_FR007_1年!$A$6:$C$4395,3,0),"")</f>
        <v/>
      </c>
    </row>
    <row r="3230" spans="1:9">
      <c r="A3230" s="6">
        <v>42723</v>
      </c>
      <c r="B3230">
        <f>IFERROR(VLOOKUP($A3230,原始数据_收盘!$A$4:$G$3460,2,0),"")</f>
        <v>3.4813</v>
      </c>
      <c r="C3230">
        <f>IFERROR(VLOOKUP($A3230,原始数据_收盘!$A$4:$G$3460,3,0),"")</f>
        <v>3.9019</v>
      </c>
      <c r="D3230">
        <f>IFERROR(VLOOKUP($A3230,原始数据_收盘!$A$4:$G$3460,4,0),"")</f>
        <v>3.5513</v>
      </c>
      <c r="E3230">
        <f>IFERROR(VLOOKUP($A3230,原始数据_收盘!$A$4:$G$3460,5,0),"")</f>
        <v>3.9805</v>
      </c>
      <c r="F3230">
        <f>IFERROR(VLOOKUP($A3230,原始数据_收盘!$A$4:$G$3460,6,0),"")</f>
        <v>3.5163</v>
      </c>
      <c r="G3230">
        <f>IFERROR(VLOOKUP($A3230,原始数据_收盘!$A$4:$G$3460,7,0),"")</f>
        <v>3.9412</v>
      </c>
      <c r="H3230">
        <f>IFERROR(VLOOKUP($A3230,原始数据_利率互换_FR007_1年!$A$6:$C$4395,2,0),"")</f>
        <v>3.4955</v>
      </c>
      <c r="I3230">
        <f>IFERROR(VLOOKUP($A3230,原始数据_利率互换_FR007_1年!$A$6:$C$4395,3,0),"")</f>
        <v>3.9105</v>
      </c>
    </row>
    <row r="3231" spans="1:9">
      <c r="A3231" s="6">
        <v>42724</v>
      </c>
      <c r="B3231">
        <f>IFERROR(VLOOKUP($A3231,原始数据_收盘!$A$4:$G$3460,2,0),"")</f>
        <v>3.4834</v>
      </c>
      <c r="C3231">
        <f>IFERROR(VLOOKUP($A3231,原始数据_收盘!$A$4:$G$3460,3,0),"")</f>
        <v>3.9625</v>
      </c>
      <c r="D3231">
        <f>IFERROR(VLOOKUP($A3231,原始数据_收盘!$A$4:$G$3460,4,0),"")</f>
        <v>3.5329</v>
      </c>
      <c r="E3231">
        <f>IFERROR(VLOOKUP($A3231,原始数据_收盘!$A$4:$G$3460,5,0),"")</f>
        <v>4.0181</v>
      </c>
      <c r="F3231">
        <f>IFERROR(VLOOKUP($A3231,原始数据_收盘!$A$4:$G$3460,6,0),"")</f>
        <v>3.5081</v>
      </c>
      <c r="G3231">
        <f>IFERROR(VLOOKUP($A3231,原始数据_收盘!$A$4:$G$3460,7,0),"")</f>
        <v>3.9903</v>
      </c>
      <c r="H3231">
        <f>IFERROR(VLOOKUP($A3231,原始数据_利率互换_FR007_1年!$A$6:$C$4395,2,0),"")</f>
        <v>3.5315</v>
      </c>
      <c r="I3231">
        <f>IFERROR(VLOOKUP($A3231,原始数据_利率互换_FR007_1年!$A$6:$C$4395,3,0),"")</f>
        <v>4.0157</v>
      </c>
    </row>
    <row r="3232" spans="1:9">
      <c r="A3232" s="6">
        <v>42725</v>
      </c>
      <c r="B3232">
        <f>IFERROR(VLOOKUP($A3232,原始数据_收盘!$A$4:$G$3460,2,0),"")</f>
        <v>3.3691</v>
      </c>
      <c r="C3232">
        <f>IFERROR(VLOOKUP($A3232,原始数据_收盘!$A$4:$G$3460,3,0),"")</f>
        <v>3.8313</v>
      </c>
      <c r="D3232">
        <f>IFERROR(VLOOKUP($A3232,原始数据_收盘!$A$4:$G$3460,4,0),"")</f>
        <v>3.4225</v>
      </c>
      <c r="E3232">
        <f>IFERROR(VLOOKUP($A3232,原始数据_收盘!$A$4:$G$3460,5,0),"")</f>
        <v>3.8856</v>
      </c>
      <c r="F3232">
        <f>IFERROR(VLOOKUP($A3232,原始数据_收盘!$A$4:$G$3460,6,0),"")</f>
        <v>3.3958</v>
      </c>
      <c r="G3232">
        <f>IFERROR(VLOOKUP($A3232,原始数据_收盘!$A$4:$G$3460,7,0),"")</f>
        <v>3.8584</v>
      </c>
      <c r="H3232">
        <f>IFERROR(VLOOKUP($A3232,原始数据_利率互换_FR007_1年!$A$6:$C$4395,2,0),"")</f>
        <v>3.4272</v>
      </c>
      <c r="I3232">
        <f>IFERROR(VLOOKUP($A3232,原始数据_利率互换_FR007_1年!$A$6:$C$4395,3,0),"")</f>
        <v>3.89</v>
      </c>
    </row>
    <row r="3233" spans="1:9">
      <c r="A3233" s="6">
        <v>42726</v>
      </c>
      <c r="B3233">
        <f>IFERROR(VLOOKUP($A3233,原始数据_收盘!$A$4:$G$3460,2,0),"")</f>
        <v>3.285</v>
      </c>
      <c r="C3233">
        <f>IFERROR(VLOOKUP($A3233,原始数据_收盘!$A$4:$G$3460,3,0),"")</f>
        <v>3.6988</v>
      </c>
      <c r="D3233">
        <f>IFERROR(VLOOKUP($A3233,原始数据_收盘!$A$4:$G$3460,4,0),"")</f>
        <v>3.3388</v>
      </c>
      <c r="E3233">
        <f>IFERROR(VLOOKUP($A3233,原始数据_收盘!$A$4:$G$3460,5,0),"")</f>
        <v>3.77</v>
      </c>
      <c r="F3233">
        <f>IFERROR(VLOOKUP($A3233,原始数据_收盘!$A$4:$G$3460,6,0),"")</f>
        <v>3.3119</v>
      </c>
      <c r="G3233">
        <f>IFERROR(VLOOKUP($A3233,原始数据_收盘!$A$4:$G$3460,7,0),"")</f>
        <v>3.7344</v>
      </c>
      <c r="H3233">
        <f>IFERROR(VLOOKUP($A3233,原始数据_利率互换_FR007_1年!$A$6:$C$4395,2,0),"")</f>
        <v>3.3422</v>
      </c>
      <c r="I3233">
        <f>IFERROR(VLOOKUP($A3233,原始数据_利率互换_FR007_1年!$A$6:$C$4395,3,0),"")</f>
        <v>3.7749</v>
      </c>
    </row>
    <row r="3234" spans="1:9">
      <c r="A3234" s="6">
        <v>42727</v>
      </c>
      <c r="B3234">
        <f>IFERROR(VLOOKUP($A3234,原始数据_收盘!$A$4:$G$3460,2,0),"")</f>
        <v>3.3075</v>
      </c>
      <c r="C3234">
        <f>IFERROR(VLOOKUP($A3234,原始数据_收盘!$A$4:$G$3460,3,0),"")</f>
        <v>3.7336</v>
      </c>
      <c r="D3234">
        <f>IFERROR(VLOOKUP($A3234,原始数据_收盘!$A$4:$G$3460,4,0),"")</f>
        <v>3.3575</v>
      </c>
      <c r="E3234">
        <f>IFERROR(VLOOKUP($A3234,原始数据_收盘!$A$4:$G$3460,5,0),"")</f>
        <v>3.7888</v>
      </c>
      <c r="F3234">
        <f>IFERROR(VLOOKUP($A3234,原始数据_收盘!$A$4:$G$3460,6,0),"")</f>
        <v>3.3325</v>
      </c>
      <c r="G3234">
        <f>IFERROR(VLOOKUP($A3234,原始数据_收盘!$A$4:$G$3460,7,0),"")</f>
        <v>3.7612</v>
      </c>
      <c r="H3234">
        <f>IFERROR(VLOOKUP($A3234,原始数据_利率互换_FR007_1年!$A$6:$C$4395,2,0),"")</f>
        <v>3.3397</v>
      </c>
      <c r="I3234">
        <f>IFERROR(VLOOKUP($A3234,原始数据_利率互换_FR007_1年!$A$6:$C$4395,3,0),"")</f>
        <v>3.7625</v>
      </c>
    </row>
    <row r="3235" spans="1:9">
      <c r="A3235" s="6">
        <v>42728</v>
      </c>
      <c r="B3235" t="str">
        <f>IFERROR(VLOOKUP($A3235,原始数据_收盘!$A$4:$G$3460,2,0),"")</f>
        <v/>
      </c>
      <c r="C3235" t="str">
        <f>IFERROR(VLOOKUP($A3235,原始数据_收盘!$A$4:$G$3460,3,0),"")</f>
        <v/>
      </c>
      <c r="D3235" t="str">
        <f>IFERROR(VLOOKUP($A3235,原始数据_收盘!$A$4:$G$3460,4,0),"")</f>
        <v/>
      </c>
      <c r="E3235" t="str">
        <f>IFERROR(VLOOKUP($A3235,原始数据_收盘!$A$4:$G$3460,5,0),"")</f>
        <v/>
      </c>
      <c r="F3235" t="str">
        <f>IFERROR(VLOOKUP($A3235,原始数据_收盘!$A$4:$G$3460,6,0),"")</f>
        <v/>
      </c>
      <c r="G3235" t="str">
        <f>IFERROR(VLOOKUP($A3235,原始数据_收盘!$A$4:$G$3460,7,0),"")</f>
        <v/>
      </c>
      <c r="H3235" t="str">
        <f>IFERROR(VLOOKUP($A3235,原始数据_利率互换_FR007_1年!$A$6:$C$4395,2,0),"")</f>
        <v/>
      </c>
      <c r="I3235" t="str">
        <f>IFERROR(VLOOKUP($A3235,原始数据_利率互换_FR007_1年!$A$6:$C$4395,3,0),"")</f>
        <v/>
      </c>
    </row>
    <row r="3236" spans="1:9">
      <c r="A3236" s="6">
        <v>42729</v>
      </c>
      <c r="B3236" t="str">
        <f>IFERROR(VLOOKUP($A3236,原始数据_收盘!$A$4:$G$3460,2,0),"")</f>
        <v/>
      </c>
      <c r="C3236" t="str">
        <f>IFERROR(VLOOKUP($A3236,原始数据_收盘!$A$4:$G$3460,3,0),"")</f>
        <v/>
      </c>
      <c r="D3236" t="str">
        <f>IFERROR(VLOOKUP($A3236,原始数据_收盘!$A$4:$G$3460,4,0),"")</f>
        <v/>
      </c>
      <c r="E3236" t="str">
        <f>IFERROR(VLOOKUP($A3236,原始数据_收盘!$A$4:$G$3460,5,0),"")</f>
        <v/>
      </c>
      <c r="F3236" t="str">
        <f>IFERROR(VLOOKUP($A3236,原始数据_收盘!$A$4:$G$3460,6,0),"")</f>
        <v/>
      </c>
      <c r="G3236" t="str">
        <f>IFERROR(VLOOKUP($A3236,原始数据_收盘!$A$4:$G$3460,7,0),"")</f>
        <v/>
      </c>
      <c r="H3236" t="str">
        <f>IFERROR(VLOOKUP($A3236,原始数据_利率互换_FR007_1年!$A$6:$C$4395,2,0),"")</f>
        <v/>
      </c>
      <c r="I3236" t="str">
        <f>IFERROR(VLOOKUP($A3236,原始数据_利率互换_FR007_1年!$A$6:$C$4395,3,0),"")</f>
        <v/>
      </c>
    </row>
    <row r="3237" spans="1:9">
      <c r="A3237" s="6">
        <v>42730</v>
      </c>
      <c r="B3237">
        <f>IFERROR(VLOOKUP($A3237,原始数据_收盘!$A$4:$G$3460,2,0),"")</f>
        <v>3.3238</v>
      </c>
      <c r="C3237">
        <f>IFERROR(VLOOKUP($A3237,原始数据_收盘!$A$4:$G$3460,3,0),"")</f>
        <v>3.77</v>
      </c>
      <c r="D3237">
        <f>IFERROR(VLOOKUP($A3237,原始数据_收盘!$A$4:$G$3460,4,0),"")</f>
        <v>3.3838</v>
      </c>
      <c r="E3237">
        <f>IFERROR(VLOOKUP($A3237,原始数据_收盘!$A$4:$G$3460,5,0),"")</f>
        <v>3.8338</v>
      </c>
      <c r="F3237">
        <f>IFERROR(VLOOKUP($A3237,原始数据_收盘!$A$4:$G$3460,6,0),"")</f>
        <v>3.3538</v>
      </c>
      <c r="G3237">
        <f>IFERROR(VLOOKUP($A3237,原始数据_收盘!$A$4:$G$3460,7,0),"")</f>
        <v>3.8019</v>
      </c>
      <c r="H3237">
        <f>IFERROR(VLOOKUP($A3237,原始数据_利率互换_FR007_1年!$A$6:$C$4395,2,0),"")</f>
        <v>3.3667</v>
      </c>
      <c r="I3237">
        <f>IFERROR(VLOOKUP($A3237,原始数据_利率互换_FR007_1年!$A$6:$C$4395,3,0),"")</f>
        <v>3.8052</v>
      </c>
    </row>
    <row r="3238" spans="1:9">
      <c r="A3238" s="6">
        <v>42731</v>
      </c>
      <c r="B3238">
        <f>IFERROR(VLOOKUP($A3238,原始数据_收盘!$A$4:$G$3460,2,0),"")</f>
        <v>3.3496</v>
      </c>
      <c r="C3238">
        <f>IFERROR(VLOOKUP($A3238,原始数据_收盘!$A$4:$G$3460,3,0),"")</f>
        <v>3.8221</v>
      </c>
      <c r="D3238">
        <f>IFERROR(VLOOKUP($A3238,原始数据_收盘!$A$4:$G$3460,4,0),"")</f>
        <v>3.4175</v>
      </c>
      <c r="E3238">
        <f>IFERROR(VLOOKUP($A3238,原始数据_收盘!$A$4:$G$3460,5,0),"")</f>
        <v>3.8863</v>
      </c>
      <c r="F3238">
        <f>IFERROR(VLOOKUP($A3238,原始数据_收盘!$A$4:$G$3460,6,0),"")</f>
        <v>3.3836</v>
      </c>
      <c r="G3238">
        <f>IFERROR(VLOOKUP($A3238,原始数据_收盘!$A$4:$G$3460,7,0),"")</f>
        <v>3.8542</v>
      </c>
      <c r="H3238">
        <f>IFERROR(VLOOKUP($A3238,原始数据_利率互换_FR007_1年!$A$6:$C$4395,2,0),"")</f>
        <v>3.3907</v>
      </c>
      <c r="I3238">
        <f>IFERROR(VLOOKUP($A3238,原始数据_利率互换_FR007_1年!$A$6:$C$4395,3,0),"")</f>
        <v>3.8739</v>
      </c>
    </row>
    <row r="3239" spans="1:9">
      <c r="A3239" s="6">
        <v>42732</v>
      </c>
      <c r="B3239">
        <f>IFERROR(VLOOKUP($A3239,原始数据_收盘!$A$4:$G$3460,2,0),"")</f>
        <v>3.3494</v>
      </c>
      <c r="C3239">
        <f>IFERROR(VLOOKUP($A3239,原始数据_收盘!$A$4:$G$3460,3,0),"")</f>
        <v>3.8325</v>
      </c>
      <c r="D3239">
        <f>IFERROR(VLOOKUP($A3239,原始数据_收盘!$A$4:$G$3460,4,0),"")</f>
        <v>3.4169</v>
      </c>
      <c r="E3239">
        <f>IFERROR(VLOOKUP($A3239,原始数据_收盘!$A$4:$G$3460,5,0),"")</f>
        <v>3.885</v>
      </c>
      <c r="F3239">
        <f>IFERROR(VLOOKUP($A3239,原始数据_收盘!$A$4:$G$3460,6,0),"")</f>
        <v>3.3831</v>
      </c>
      <c r="G3239">
        <f>IFERROR(VLOOKUP($A3239,原始数据_收盘!$A$4:$G$3460,7,0),"")</f>
        <v>3.8588</v>
      </c>
      <c r="H3239">
        <f>IFERROR(VLOOKUP($A3239,原始数据_利率互换_FR007_1年!$A$6:$C$4395,2,0),"")</f>
        <v>3.3985</v>
      </c>
      <c r="I3239">
        <f>IFERROR(VLOOKUP($A3239,原始数据_利率互换_FR007_1年!$A$6:$C$4395,3,0),"")</f>
        <v>3.8974</v>
      </c>
    </row>
    <row r="3240" spans="1:9">
      <c r="A3240" s="6">
        <v>42733</v>
      </c>
      <c r="B3240">
        <f>IFERROR(VLOOKUP($A3240,原始数据_收盘!$A$4:$G$3460,2,0),"")</f>
        <v>3.3263</v>
      </c>
      <c r="C3240">
        <f>IFERROR(VLOOKUP($A3240,原始数据_收盘!$A$4:$G$3460,3,0),"")</f>
        <v>3.7863</v>
      </c>
      <c r="D3240">
        <f>IFERROR(VLOOKUP($A3240,原始数据_收盘!$A$4:$G$3460,4,0),"")</f>
        <v>3.3763</v>
      </c>
      <c r="E3240">
        <f>IFERROR(VLOOKUP($A3240,原始数据_收盘!$A$4:$G$3460,5,0),"")</f>
        <v>3.84</v>
      </c>
      <c r="F3240">
        <f>IFERROR(VLOOKUP($A3240,原始数据_收盘!$A$4:$G$3460,6,0),"")</f>
        <v>3.3513</v>
      </c>
      <c r="G3240">
        <f>IFERROR(VLOOKUP($A3240,原始数据_收盘!$A$4:$G$3460,7,0),"")</f>
        <v>3.8131</v>
      </c>
      <c r="H3240">
        <f>IFERROR(VLOOKUP($A3240,原始数据_利率互换_FR007_1年!$A$6:$C$4395,2,0),"")</f>
        <v>3.3482</v>
      </c>
      <c r="I3240">
        <f>IFERROR(VLOOKUP($A3240,原始数据_利率互换_FR007_1年!$A$6:$C$4395,3,0),"")</f>
        <v>3.8157</v>
      </c>
    </row>
    <row r="3241" spans="1:9">
      <c r="A3241" s="6">
        <v>42734</v>
      </c>
      <c r="B3241">
        <f>IFERROR(VLOOKUP($A3241,原始数据_收盘!$A$4:$G$3460,2,0),"")</f>
        <v>3.3229</v>
      </c>
      <c r="C3241">
        <f>IFERROR(VLOOKUP($A3241,原始数据_收盘!$A$4:$G$3460,3,0),"")</f>
        <v>3.7838</v>
      </c>
      <c r="D3241">
        <f>IFERROR(VLOOKUP($A3241,原始数据_收盘!$A$4:$G$3460,4,0),"")</f>
        <v>3.3775</v>
      </c>
      <c r="E3241">
        <f>IFERROR(VLOOKUP($A3241,原始数据_收盘!$A$4:$G$3460,5,0),"")</f>
        <v>3.8413</v>
      </c>
      <c r="F3241">
        <f>IFERROR(VLOOKUP($A3241,原始数据_收盘!$A$4:$G$3460,6,0),"")</f>
        <v>3.3502</v>
      </c>
      <c r="G3241">
        <f>IFERROR(VLOOKUP($A3241,原始数据_收盘!$A$4:$G$3460,7,0),"")</f>
        <v>3.8125</v>
      </c>
      <c r="H3241">
        <f>IFERROR(VLOOKUP($A3241,原始数据_利率互换_FR007_1年!$A$6:$C$4395,2,0),"")</f>
        <v>3.33</v>
      </c>
      <c r="I3241">
        <f>IFERROR(VLOOKUP($A3241,原始数据_利率互换_FR007_1年!$A$6:$C$4395,3,0),"")</f>
        <v>3.7888</v>
      </c>
    </row>
    <row r="3242" spans="1:9">
      <c r="A3242" s="6">
        <v>42735</v>
      </c>
      <c r="B3242" t="str">
        <f>IFERROR(VLOOKUP($A3242,原始数据_收盘!$A$4:$G$3460,2,0),"")</f>
        <v/>
      </c>
      <c r="C3242" t="str">
        <f>IFERROR(VLOOKUP($A3242,原始数据_收盘!$A$4:$G$3460,3,0),"")</f>
        <v/>
      </c>
      <c r="D3242" t="str">
        <f>IFERROR(VLOOKUP($A3242,原始数据_收盘!$A$4:$G$3460,4,0),"")</f>
        <v/>
      </c>
      <c r="E3242" t="str">
        <f>IFERROR(VLOOKUP($A3242,原始数据_收盘!$A$4:$G$3460,5,0),"")</f>
        <v/>
      </c>
      <c r="F3242" t="str">
        <f>IFERROR(VLOOKUP($A3242,原始数据_收盘!$A$4:$G$3460,6,0),"")</f>
        <v/>
      </c>
      <c r="G3242" t="str">
        <f>IFERROR(VLOOKUP($A3242,原始数据_收盘!$A$4:$G$3460,7,0),"")</f>
        <v/>
      </c>
      <c r="H3242" t="str">
        <f>IFERROR(VLOOKUP($A3242,原始数据_利率互换_FR007_1年!$A$6:$C$4395,2,0),"")</f>
        <v/>
      </c>
      <c r="I3242" t="str">
        <f>IFERROR(VLOOKUP($A3242,原始数据_利率互换_FR007_1年!$A$6:$C$4395,3,0),"")</f>
        <v/>
      </c>
    </row>
    <row r="3243" spans="1:9">
      <c r="A3243" s="6">
        <v>42736</v>
      </c>
      <c r="B3243" t="str">
        <f>IFERROR(VLOOKUP($A3243,原始数据_收盘!$A$4:$G$3460,2,0),"")</f>
        <v/>
      </c>
      <c r="C3243" t="str">
        <f>IFERROR(VLOOKUP($A3243,原始数据_收盘!$A$4:$G$3460,3,0),"")</f>
        <v/>
      </c>
      <c r="D3243" t="str">
        <f>IFERROR(VLOOKUP($A3243,原始数据_收盘!$A$4:$G$3460,4,0),"")</f>
        <v/>
      </c>
      <c r="E3243" t="str">
        <f>IFERROR(VLOOKUP($A3243,原始数据_收盘!$A$4:$G$3460,5,0),"")</f>
        <v/>
      </c>
      <c r="F3243" t="str">
        <f>IFERROR(VLOOKUP($A3243,原始数据_收盘!$A$4:$G$3460,6,0),"")</f>
        <v/>
      </c>
      <c r="G3243" t="str">
        <f>IFERROR(VLOOKUP($A3243,原始数据_收盘!$A$4:$G$3460,7,0),"")</f>
        <v/>
      </c>
      <c r="H3243" t="str">
        <f>IFERROR(VLOOKUP($A3243,原始数据_利率互换_FR007_1年!$A$6:$C$4395,2,0),"")</f>
        <v/>
      </c>
      <c r="I3243" t="str">
        <f>IFERROR(VLOOKUP($A3243,原始数据_利率互换_FR007_1年!$A$6:$C$4395,3,0),"")</f>
        <v/>
      </c>
    </row>
    <row r="3244" spans="1:9">
      <c r="A3244" s="6">
        <v>42737</v>
      </c>
      <c r="B3244" t="str">
        <f>IFERROR(VLOOKUP($A3244,原始数据_收盘!$A$4:$G$3460,2,0),"")</f>
        <v/>
      </c>
      <c r="C3244" t="str">
        <f>IFERROR(VLOOKUP($A3244,原始数据_收盘!$A$4:$G$3460,3,0),"")</f>
        <v/>
      </c>
      <c r="D3244" t="str">
        <f>IFERROR(VLOOKUP($A3244,原始数据_收盘!$A$4:$G$3460,4,0),"")</f>
        <v/>
      </c>
      <c r="E3244" t="str">
        <f>IFERROR(VLOOKUP($A3244,原始数据_收盘!$A$4:$G$3460,5,0),"")</f>
        <v/>
      </c>
      <c r="F3244" t="str">
        <f>IFERROR(VLOOKUP($A3244,原始数据_收盘!$A$4:$G$3460,6,0),"")</f>
        <v/>
      </c>
      <c r="G3244" t="str">
        <f>IFERROR(VLOOKUP($A3244,原始数据_收盘!$A$4:$G$3460,7,0),"")</f>
        <v/>
      </c>
      <c r="H3244" t="str">
        <f>IFERROR(VLOOKUP($A3244,原始数据_利率互换_FR007_1年!$A$6:$C$4395,2,0),"")</f>
        <v/>
      </c>
      <c r="I3244" t="str">
        <f>IFERROR(VLOOKUP($A3244,原始数据_利率互换_FR007_1年!$A$6:$C$4395,3,0),"")</f>
        <v/>
      </c>
    </row>
    <row r="3245" spans="1:9">
      <c r="A3245" s="6">
        <v>42738</v>
      </c>
      <c r="B3245">
        <f>IFERROR(VLOOKUP($A3245,原始数据_收盘!$A$4:$G$3460,2,0),"")</f>
        <v>3.3659</v>
      </c>
      <c r="C3245">
        <f>IFERROR(VLOOKUP($A3245,原始数据_收盘!$A$4:$G$3460,3,0),"")</f>
        <v>3.8419</v>
      </c>
      <c r="D3245">
        <f>IFERROR(VLOOKUP($A3245,原始数据_收盘!$A$4:$G$3460,4,0),"")</f>
        <v>3.4131</v>
      </c>
      <c r="E3245">
        <f>IFERROR(VLOOKUP($A3245,原始数据_收盘!$A$4:$G$3460,5,0),"")</f>
        <v>3.9006</v>
      </c>
      <c r="F3245">
        <f>IFERROR(VLOOKUP($A3245,原始数据_收盘!$A$4:$G$3460,6,0),"")</f>
        <v>3.3895</v>
      </c>
      <c r="G3245">
        <f>IFERROR(VLOOKUP($A3245,原始数据_收盘!$A$4:$G$3460,7,0),"")</f>
        <v>3.8713</v>
      </c>
      <c r="H3245">
        <f>IFERROR(VLOOKUP($A3245,原始数据_利率互换_FR007_1年!$A$6:$C$4395,2,0),"")</f>
        <v>3.381</v>
      </c>
      <c r="I3245">
        <f>IFERROR(VLOOKUP($A3245,原始数据_利率互换_FR007_1年!$A$6:$C$4395,3,0),"")</f>
        <v>3.8566</v>
      </c>
    </row>
    <row r="3246" spans="1:9">
      <c r="A3246" s="6">
        <v>42739</v>
      </c>
      <c r="B3246">
        <f>IFERROR(VLOOKUP($A3246,原始数据_收盘!$A$4:$G$3460,2,0),"")</f>
        <v>3.3713</v>
      </c>
      <c r="C3246">
        <f>IFERROR(VLOOKUP($A3246,原始数据_收盘!$A$4:$G$3460,3,0),"")</f>
        <v>3.855</v>
      </c>
      <c r="D3246">
        <f>IFERROR(VLOOKUP($A3246,原始数据_收盘!$A$4:$G$3460,4,0),"")</f>
        <v>3.4129</v>
      </c>
      <c r="E3246">
        <f>IFERROR(VLOOKUP($A3246,原始数据_收盘!$A$4:$G$3460,5,0),"")</f>
        <v>3.9038</v>
      </c>
      <c r="F3246">
        <f>IFERROR(VLOOKUP($A3246,原始数据_收盘!$A$4:$G$3460,6,0),"")</f>
        <v>3.3921</v>
      </c>
      <c r="G3246">
        <f>IFERROR(VLOOKUP($A3246,原始数据_收盘!$A$4:$G$3460,7,0),"")</f>
        <v>3.8794</v>
      </c>
      <c r="H3246">
        <f>IFERROR(VLOOKUP($A3246,原始数据_利率互换_FR007_1年!$A$6:$C$4395,2,0),"")</f>
        <v>3.3772</v>
      </c>
      <c r="I3246">
        <f>IFERROR(VLOOKUP($A3246,原始数据_利率互换_FR007_1年!$A$6:$C$4395,3,0),"")</f>
        <v>3.8681</v>
      </c>
    </row>
    <row r="3247" spans="1:9">
      <c r="A3247" s="6">
        <v>42740</v>
      </c>
      <c r="B3247">
        <f>IFERROR(VLOOKUP($A3247,原始数据_收盘!$A$4:$G$3460,2,0),"")</f>
        <v>3.3634</v>
      </c>
      <c r="C3247">
        <f>IFERROR(VLOOKUP($A3247,原始数据_收盘!$A$4:$G$3460,3,0),"")</f>
        <v>3.8513</v>
      </c>
      <c r="D3247">
        <f>IFERROR(VLOOKUP($A3247,原始数据_收盘!$A$4:$G$3460,4,0),"")</f>
        <v>3.4056</v>
      </c>
      <c r="E3247">
        <f>IFERROR(VLOOKUP($A3247,原始数据_收盘!$A$4:$G$3460,5,0),"")</f>
        <v>3.9013</v>
      </c>
      <c r="F3247">
        <f>IFERROR(VLOOKUP($A3247,原始数据_收盘!$A$4:$G$3460,6,0),"")</f>
        <v>3.3845</v>
      </c>
      <c r="G3247">
        <f>IFERROR(VLOOKUP($A3247,原始数据_收盘!$A$4:$G$3460,7,0),"")</f>
        <v>3.8763</v>
      </c>
      <c r="H3247">
        <f>IFERROR(VLOOKUP($A3247,原始数据_利率互换_FR007_1年!$A$6:$C$4395,2,0),"")</f>
        <v>3.3934</v>
      </c>
      <c r="I3247">
        <f>IFERROR(VLOOKUP($A3247,原始数据_利率互换_FR007_1年!$A$6:$C$4395,3,0),"")</f>
        <v>3.8907</v>
      </c>
    </row>
    <row r="3248" spans="1:9">
      <c r="A3248" s="6">
        <v>42741</v>
      </c>
      <c r="B3248">
        <f>IFERROR(VLOOKUP($A3248,原始数据_收盘!$A$4:$G$3460,2,0),"")</f>
        <v>3.3108</v>
      </c>
      <c r="C3248">
        <f>IFERROR(VLOOKUP($A3248,原始数据_收盘!$A$4:$G$3460,3,0),"")</f>
        <v>3.7989</v>
      </c>
      <c r="D3248">
        <f>IFERROR(VLOOKUP($A3248,原始数据_收盘!$A$4:$G$3460,4,0),"")</f>
        <v>3.3678</v>
      </c>
      <c r="E3248">
        <f>IFERROR(VLOOKUP($A3248,原始数据_收盘!$A$4:$G$3460,5,0),"")</f>
        <v>3.8678</v>
      </c>
      <c r="F3248">
        <f>IFERROR(VLOOKUP($A3248,原始数据_收盘!$A$4:$G$3460,6,0),"")</f>
        <v>3.3393</v>
      </c>
      <c r="G3248">
        <f>IFERROR(VLOOKUP($A3248,原始数据_收盘!$A$4:$G$3460,7,0),"")</f>
        <v>3.8333</v>
      </c>
      <c r="H3248">
        <f>IFERROR(VLOOKUP($A3248,原始数据_利率互换_FR007_1年!$A$6:$C$4395,2,0),"")</f>
        <v>3.325</v>
      </c>
      <c r="I3248">
        <f>IFERROR(VLOOKUP($A3248,原始数据_利率互换_FR007_1年!$A$6:$C$4395,3,0),"")</f>
        <v>3.8222</v>
      </c>
    </row>
    <row r="3249" spans="1:9">
      <c r="A3249" s="6">
        <v>42742</v>
      </c>
      <c r="B3249" t="str">
        <f>IFERROR(VLOOKUP($A3249,原始数据_收盘!$A$4:$G$3460,2,0),"")</f>
        <v/>
      </c>
      <c r="C3249" t="str">
        <f>IFERROR(VLOOKUP($A3249,原始数据_收盘!$A$4:$G$3460,3,0),"")</f>
        <v/>
      </c>
      <c r="D3249" t="str">
        <f>IFERROR(VLOOKUP($A3249,原始数据_收盘!$A$4:$G$3460,4,0),"")</f>
        <v/>
      </c>
      <c r="E3249" t="str">
        <f>IFERROR(VLOOKUP($A3249,原始数据_收盘!$A$4:$G$3460,5,0),"")</f>
        <v/>
      </c>
      <c r="F3249" t="str">
        <f>IFERROR(VLOOKUP($A3249,原始数据_收盘!$A$4:$G$3460,6,0),"")</f>
        <v/>
      </c>
      <c r="G3249" t="str">
        <f>IFERROR(VLOOKUP($A3249,原始数据_收盘!$A$4:$G$3460,7,0),"")</f>
        <v/>
      </c>
      <c r="H3249" t="str">
        <f>IFERROR(VLOOKUP($A3249,原始数据_利率互换_FR007_1年!$A$6:$C$4395,2,0),"")</f>
        <v/>
      </c>
      <c r="I3249" t="str">
        <f>IFERROR(VLOOKUP($A3249,原始数据_利率互换_FR007_1年!$A$6:$C$4395,3,0),"")</f>
        <v/>
      </c>
    </row>
    <row r="3250" spans="1:9">
      <c r="A3250" s="6">
        <v>42743</v>
      </c>
      <c r="B3250" t="str">
        <f>IFERROR(VLOOKUP($A3250,原始数据_收盘!$A$4:$G$3460,2,0),"")</f>
        <v/>
      </c>
      <c r="C3250" t="str">
        <f>IFERROR(VLOOKUP($A3250,原始数据_收盘!$A$4:$G$3460,3,0),"")</f>
        <v/>
      </c>
      <c r="D3250" t="str">
        <f>IFERROR(VLOOKUP($A3250,原始数据_收盘!$A$4:$G$3460,4,0),"")</f>
        <v/>
      </c>
      <c r="E3250" t="str">
        <f>IFERROR(VLOOKUP($A3250,原始数据_收盘!$A$4:$G$3460,5,0),"")</f>
        <v/>
      </c>
      <c r="F3250" t="str">
        <f>IFERROR(VLOOKUP($A3250,原始数据_收盘!$A$4:$G$3460,6,0),"")</f>
        <v/>
      </c>
      <c r="G3250" t="str">
        <f>IFERROR(VLOOKUP($A3250,原始数据_收盘!$A$4:$G$3460,7,0),"")</f>
        <v/>
      </c>
      <c r="H3250" t="str">
        <f>IFERROR(VLOOKUP($A3250,原始数据_利率互换_FR007_1年!$A$6:$C$4395,2,0),"")</f>
        <v/>
      </c>
      <c r="I3250" t="str">
        <f>IFERROR(VLOOKUP($A3250,原始数据_利率互换_FR007_1年!$A$6:$C$4395,3,0),"")</f>
        <v/>
      </c>
    </row>
    <row r="3251" spans="1:9">
      <c r="A3251" s="6">
        <v>42744</v>
      </c>
      <c r="B3251">
        <f>IFERROR(VLOOKUP($A3251,原始数据_收盘!$A$4:$G$3460,2,0),"")</f>
        <v>3.1733</v>
      </c>
      <c r="C3251">
        <f>IFERROR(VLOOKUP($A3251,原始数据_收盘!$A$4:$G$3460,3,0),"")</f>
        <v>3.6592</v>
      </c>
      <c r="D3251">
        <f>IFERROR(VLOOKUP($A3251,原始数据_收盘!$A$4:$G$3460,4,0),"")</f>
        <v>3.2216</v>
      </c>
      <c r="E3251">
        <f>IFERROR(VLOOKUP($A3251,原始数据_收盘!$A$4:$G$3460,5,0),"")</f>
        <v>3.7288</v>
      </c>
      <c r="F3251">
        <f>IFERROR(VLOOKUP($A3251,原始数据_收盘!$A$4:$G$3460,6,0),"")</f>
        <v>3.1975</v>
      </c>
      <c r="G3251">
        <f>IFERROR(VLOOKUP($A3251,原始数据_收盘!$A$4:$G$3460,7,0),"")</f>
        <v>3.694</v>
      </c>
      <c r="H3251">
        <f>IFERROR(VLOOKUP($A3251,原始数据_利率互换_FR007_1年!$A$6:$C$4395,2,0),"")</f>
        <v>3.2713</v>
      </c>
      <c r="I3251">
        <f>IFERROR(VLOOKUP($A3251,原始数据_利率互换_FR007_1年!$A$6:$C$4395,3,0),"")</f>
        <v>3.7594</v>
      </c>
    </row>
    <row r="3252" spans="1:9">
      <c r="A3252" s="6">
        <v>42745</v>
      </c>
      <c r="B3252">
        <f>IFERROR(VLOOKUP($A3252,原始数据_收盘!$A$4:$G$3460,2,0),"")</f>
        <v>3.1616</v>
      </c>
      <c r="C3252">
        <f>IFERROR(VLOOKUP($A3252,原始数据_收盘!$A$4:$G$3460,3,0),"")</f>
        <v>3.6325</v>
      </c>
      <c r="D3252">
        <f>IFERROR(VLOOKUP($A3252,原始数据_收盘!$A$4:$G$3460,4,0),"")</f>
        <v>3.2063</v>
      </c>
      <c r="E3252">
        <f>IFERROR(VLOOKUP($A3252,原始数据_收盘!$A$4:$G$3460,5,0),"")</f>
        <v>3.69</v>
      </c>
      <c r="F3252">
        <f>IFERROR(VLOOKUP($A3252,原始数据_收盘!$A$4:$G$3460,6,0),"")</f>
        <v>3.1839</v>
      </c>
      <c r="G3252">
        <f>IFERROR(VLOOKUP($A3252,原始数据_收盘!$A$4:$G$3460,7,0),"")</f>
        <v>3.6613</v>
      </c>
      <c r="H3252">
        <f>IFERROR(VLOOKUP($A3252,原始数据_利率互换_FR007_1年!$A$6:$C$4395,2,0),"")</f>
        <v>3.1681</v>
      </c>
      <c r="I3252">
        <f>IFERROR(VLOOKUP($A3252,原始数据_利率互换_FR007_1年!$A$6:$C$4395,3,0),"")</f>
        <v>3.6436</v>
      </c>
    </row>
    <row r="3253" spans="1:9">
      <c r="A3253" s="6">
        <v>42746</v>
      </c>
      <c r="B3253">
        <f>IFERROR(VLOOKUP($A3253,原始数据_收盘!$A$4:$G$3460,2,0),"")</f>
        <v>3.1846</v>
      </c>
      <c r="C3253">
        <f>IFERROR(VLOOKUP($A3253,原始数据_收盘!$A$4:$G$3460,3,0),"")</f>
        <v>3.65</v>
      </c>
      <c r="D3253">
        <f>IFERROR(VLOOKUP($A3253,原始数据_收盘!$A$4:$G$3460,4,0),"")</f>
        <v>3.2338</v>
      </c>
      <c r="E3253">
        <f>IFERROR(VLOOKUP($A3253,原始数据_收盘!$A$4:$G$3460,5,0),"")</f>
        <v>3.7175</v>
      </c>
      <c r="F3253">
        <f>IFERROR(VLOOKUP($A3253,原始数据_收盘!$A$4:$G$3460,6,0),"")</f>
        <v>3.2092</v>
      </c>
      <c r="G3253">
        <f>IFERROR(VLOOKUP($A3253,原始数据_收盘!$A$4:$G$3460,7,0),"")</f>
        <v>3.6838</v>
      </c>
      <c r="H3253">
        <f>IFERROR(VLOOKUP($A3253,原始数据_利率互换_FR007_1年!$A$6:$C$4395,2,0),"")</f>
        <v>3.1972</v>
      </c>
      <c r="I3253">
        <f>IFERROR(VLOOKUP($A3253,原始数据_利率互换_FR007_1年!$A$6:$C$4395,3,0),"")</f>
        <v>3.6633</v>
      </c>
    </row>
    <row r="3254" spans="1:9">
      <c r="A3254" s="6">
        <v>42747</v>
      </c>
      <c r="B3254">
        <f>IFERROR(VLOOKUP($A3254,原始数据_收盘!$A$4:$G$3460,2,0),"")</f>
        <v>3.145</v>
      </c>
      <c r="C3254">
        <f>IFERROR(VLOOKUP($A3254,原始数据_收盘!$A$4:$G$3460,3,0),"")</f>
        <v>3.6125</v>
      </c>
      <c r="D3254">
        <f>IFERROR(VLOOKUP($A3254,原始数据_收盘!$A$4:$G$3460,4,0),"")</f>
        <v>3.2025</v>
      </c>
      <c r="E3254">
        <f>IFERROR(VLOOKUP($A3254,原始数据_收盘!$A$4:$G$3460,5,0),"")</f>
        <v>3.6788</v>
      </c>
      <c r="F3254">
        <f>IFERROR(VLOOKUP($A3254,原始数据_收盘!$A$4:$G$3460,6,0),"")</f>
        <v>3.1738</v>
      </c>
      <c r="G3254">
        <f>IFERROR(VLOOKUP($A3254,原始数据_收盘!$A$4:$G$3460,7,0),"")</f>
        <v>3.6456</v>
      </c>
      <c r="H3254">
        <f>IFERROR(VLOOKUP($A3254,原始数据_利率互换_FR007_1年!$A$6:$C$4395,2,0),"")</f>
        <v>3.1694</v>
      </c>
      <c r="I3254">
        <f>IFERROR(VLOOKUP($A3254,原始数据_利率互换_FR007_1年!$A$6:$C$4395,3,0),"")</f>
        <v>3.6382</v>
      </c>
    </row>
    <row r="3255" spans="1:9">
      <c r="A3255" s="6">
        <v>42748</v>
      </c>
      <c r="B3255">
        <f>IFERROR(VLOOKUP($A3255,原始数据_收盘!$A$4:$G$3460,2,0),"")</f>
        <v>3.1316</v>
      </c>
      <c r="C3255">
        <f>IFERROR(VLOOKUP($A3255,原始数据_收盘!$A$4:$G$3460,3,0),"")</f>
        <v>3.5825</v>
      </c>
      <c r="D3255">
        <f>IFERROR(VLOOKUP($A3255,原始数据_收盘!$A$4:$G$3460,4,0),"")</f>
        <v>3.1825</v>
      </c>
      <c r="E3255">
        <f>IFERROR(VLOOKUP($A3255,原始数据_收盘!$A$4:$G$3460,5,0),"")</f>
        <v>3.65</v>
      </c>
      <c r="F3255">
        <f>IFERROR(VLOOKUP($A3255,原始数据_收盘!$A$4:$G$3460,6,0),"")</f>
        <v>3.1571</v>
      </c>
      <c r="G3255">
        <f>IFERROR(VLOOKUP($A3255,原始数据_收盘!$A$4:$G$3460,7,0),"")</f>
        <v>3.6163</v>
      </c>
      <c r="H3255">
        <f>IFERROR(VLOOKUP($A3255,原始数据_利率互换_FR007_1年!$A$6:$C$4395,2,0),"")</f>
        <v>3.142</v>
      </c>
      <c r="I3255">
        <f>IFERROR(VLOOKUP($A3255,原始数据_利率互换_FR007_1年!$A$6:$C$4395,3,0),"")</f>
        <v>3.5756</v>
      </c>
    </row>
    <row r="3256" spans="1:9">
      <c r="A3256" s="6">
        <v>42749</v>
      </c>
      <c r="B3256" t="str">
        <f>IFERROR(VLOOKUP($A3256,原始数据_收盘!$A$4:$G$3460,2,0),"")</f>
        <v/>
      </c>
      <c r="C3256" t="str">
        <f>IFERROR(VLOOKUP($A3256,原始数据_收盘!$A$4:$G$3460,3,0),"")</f>
        <v/>
      </c>
      <c r="D3256" t="str">
        <f>IFERROR(VLOOKUP($A3256,原始数据_收盘!$A$4:$G$3460,4,0),"")</f>
        <v/>
      </c>
      <c r="E3256" t="str">
        <f>IFERROR(VLOOKUP($A3256,原始数据_收盘!$A$4:$G$3460,5,0),"")</f>
        <v/>
      </c>
      <c r="F3256" t="str">
        <f>IFERROR(VLOOKUP($A3256,原始数据_收盘!$A$4:$G$3460,6,0),"")</f>
        <v/>
      </c>
      <c r="G3256" t="str">
        <f>IFERROR(VLOOKUP($A3256,原始数据_收盘!$A$4:$G$3460,7,0),"")</f>
        <v/>
      </c>
      <c r="H3256" t="str">
        <f>IFERROR(VLOOKUP($A3256,原始数据_利率互换_FR007_1年!$A$6:$C$4395,2,0),"")</f>
        <v/>
      </c>
      <c r="I3256" t="str">
        <f>IFERROR(VLOOKUP($A3256,原始数据_利率互换_FR007_1年!$A$6:$C$4395,3,0),"")</f>
        <v/>
      </c>
    </row>
    <row r="3257" spans="1:9">
      <c r="A3257" s="6">
        <v>42750</v>
      </c>
      <c r="B3257" t="str">
        <f>IFERROR(VLOOKUP($A3257,原始数据_收盘!$A$4:$G$3460,2,0),"")</f>
        <v/>
      </c>
      <c r="C3257" t="str">
        <f>IFERROR(VLOOKUP($A3257,原始数据_收盘!$A$4:$G$3460,3,0),"")</f>
        <v/>
      </c>
      <c r="D3257" t="str">
        <f>IFERROR(VLOOKUP($A3257,原始数据_收盘!$A$4:$G$3460,4,0),"")</f>
        <v/>
      </c>
      <c r="E3257" t="str">
        <f>IFERROR(VLOOKUP($A3257,原始数据_收盘!$A$4:$G$3460,5,0),"")</f>
        <v/>
      </c>
      <c r="F3257" t="str">
        <f>IFERROR(VLOOKUP($A3257,原始数据_收盘!$A$4:$G$3460,6,0),"")</f>
        <v/>
      </c>
      <c r="G3257" t="str">
        <f>IFERROR(VLOOKUP($A3257,原始数据_收盘!$A$4:$G$3460,7,0),"")</f>
        <v/>
      </c>
      <c r="H3257" t="str">
        <f>IFERROR(VLOOKUP($A3257,原始数据_利率互换_FR007_1年!$A$6:$C$4395,2,0),"")</f>
        <v/>
      </c>
      <c r="I3257" t="str">
        <f>IFERROR(VLOOKUP($A3257,原始数据_利率互换_FR007_1年!$A$6:$C$4395,3,0),"")</f>
        <v/>
      </c>
    </row>
    <row r="3258" spans="1:9">
      <c r="A3258" s="6">
        <v>42751</v>
      </c>
      <c r="B3258">
        <f>IFERROR(VLOOKUP($A3258,原始数据_收盘!$A$4:$G$3460,2,0),"")</f>
        <v>3.2325</v>
      </c>
      <c r="C3258">
        <f>IFERROR(VLOOKUP($A3258,原始数据_收盘!$A$4:$G$3460,3,0),"")</f>
        <v>3.7063</v>
      </c>
      <c r="D3258">
        <f>IFERROR(VLOOKUP($A3258,原始数据_收盘!$A$4:$G$3460,4,0),"")</f>
        <v>3.291</v>
      </c>
      <c r="E3258">
        <f>IFERROR(VLOOKUP($A3258,原始数据_收盘!$A$4:$G$3460,5,0),"")</f>
        <v>3.77</v>
      </c>
      <c r="F3258">
        <f>IFERROR(VLOOKUP($A3258,原始数据_收盘!$A$4:$G$3460,6,0),"")</f>
        <v>3.2618</v>
      </c>
      <c r="G3258">
        <f>IFERROR(VLOOKUP($A3258,原始数据_收盘!$A$4:$G$3460,7,0),"")</f>
        <v>3.7381</v>
      </c>
      <c r="H3258">
        <f>IFERROR(VLOOKUP($A3258,原始数据_利率互换_FR007_1年!$A$6:$C$4395,2,0),"")</f>
        <v>3.2086</v>
      </c>
      <c r="I3258">
        <f>IFERROR(VLOOKUP($A3258,原始数据_利率互换_FR007_1年!$A$6:$C$4395,3,0),"")</f>
        <v>3.6552</v>
      </c>
    </row>
    <row r="3259" spans="1:9">
      <c r="A3259" s="6">
        <v>42752</v>
      </c>
      <c r="B3259">
        <f>IFERROR(VLOOKUP($A3259,原始数据_收盘!$A$4:$G$3460,2,0),"")</f>
        <v>3.1929</v>
      </c>
      <c r="C3259">
        <f>IFERROR(VLOOKUP($A3259,原始数据_收盘!$A$4:$G$3460,3,0),"")</f>
        <v>3.6775</v>
      </c>
      <c r="D3259">
        <f>IFERROR(VLOOKUP($A3259,原始数据_收盘!$A$4:$G$3460,4,0),"")</f>
        <v>3.2388</v>
      </c>
      <c r="E3259">
        <f>IFERROR(VLOOKUP($A3259,原始数据_收盘!$A$4:$G$3460,5,0),"")</f>
        <v>3.7325</v>
      </c>
      <c r="F3259">
        <f>IFERROR(VLOOKUP($A3259,原始数据_收盘!$A$4:$G$3460,6,0),"")</f>
        <v>3.2158</v>
      </c>
      <c r="G3259">
        <f>IFERROR(VLOOKUP($A3259,原始数据_收盘!$A$4:$G$3460,7,0),"")</f>
        <v>3.705</v>
      </c>
      <c r="H3259">
        <f>IFERROR(VLOOKUP($A3259,原始数据_利率互换_FR007_1年!$A$6:$C$4395,2,0),"")</f>
        <v>3.2471</v>
      </c>
      <c r="I3259">
        <f>IFERROR(VLOOKUP($A3259,原始数据_利率互换_FR007_1年!$A$6:$C$4395,3,0),"")</f>
        <v>3.7369</v>
      </c>
    </row>
    <row r="3260" spans="1:9">
      <c r="A3260" s="6">
        <v>42753</v>
      </c>
      <c r="B3260">
        <f>IFERROR(VLOOKUP($A3260,原始数据_收盘!$A$4:$G$3460,2,0),"")</f>
        <v>3.2063</v>
      </c>
      <c r="C3260">
        <f>IFERROR(VLOOKUP($A3260,原始数据_收盘!$A$4:$G$3460,3,0),"")</f>
        <v>3.6813</v>
      </c>
      <c r="D3260">
        <f>IFERROR(VLOOKUP($A3260,原始数据_收盘!$A$4:$G$3460,4,0),"")</f>
        <v>3.2594</v>
      </c>
      <c r="E3260">
        <f>IFERROR(VLOOKUP($A3260,原始数据_收盘!$A$4:$G$3460,5,0),"")</f>
        <v>3.7394</v>
      </c>
      <c r="F3260">
        <f>IFERROR(VLOOKUP($A3260,原始数据_收盘!$A$4:$G$3460,6,0),"")</f>
        <v>3.2328</v>
      </c>
      <c r="G3260">
        <f>IFERROR(VLOOKUP($A3260,原始数据_收盘!$A$4:$G$3460,7,0),"")</f>
        <v>3.7103</v>
      </c>
      <c r="H3260">
        <f>IFERROR(VLOOKUP($A3260,原始数据_利率互换_FR007_1年!$A$6:$C$4395,2,0),"")</f>
        <v>3.2168</v>
      </c>
      <c r="I3260">
        <f>IFERROR(VLOOKUP($A3260,原始数据_利率互换_FR007_1年!$A$6:$C$4395,3,0),"")</f>
        <v>3.6947</v>
      </c>
    </row>
    <row r="3261" spans="1:9">
      <c r="A3261" s="6">
        <v>42754</v>
      </c>
      <c r="B3261">
        <f>IFERROR(VLOOKUP($A3261,原始数据_收盘!$A$4:$G$3460,2,0),"")</f>
        <v>3.1715</v>
      </c>
      <c r="C3261">
        <f>IFERROR(VLOOKUP($A3261,原始数据_收盘!$A$4:$G$3460,3,0),"")</f>
        <v>3.6513</v>
      </c>
      <c r="D3261">
        <f>IFERROR(VLOOKUP($A3261,原始数据_收盘!$A$4:$G$3460,4,0),"")</f>
        <v>3.2269</v>
      </c>
      <c r="E3261">
        <f>IFERROR(VLOOKUP($A3261,原始数据_收盘!$A$4:$G$3460,5,0),"")</f>
        <v>3.72</v>
      </c>
      <c r="F3261">
        <f>IFERROR(VLOOKUP($A3261,原始数据_收盘!$A$4:$G$3460,6,0),"")</f>
        <v>3.1992</v>
      </c>
      <c r="G3261">
        <f>IFERROR(VLOOKUP($A3261,原始数据_收盘!$A$4:$G$3460,7,0),"")</f>
        <v>3.6856</v>
      </c>
      <c r="H3261">
        <f>IFERROR(VLOOKUP($A3261,原始数据_利率互换_FR007_1年!$A$6:$C$4395,2,0),"")</f>
        <v>3.2047</v>
      </c>
      <c r="I3261">
        <f>IFERROR(VLOOKUP($A3261,原始数据_利率互换_FR007_1年!$A$6:$C$4395,3,0),"")</f>
        <v>3.6894</v>
      </c>
    </row>
    <row r="3262" spans="1:9">
      <c r="A3262" s="6">
        <v>42755</v>
      </c>
      <c r="B3262">
        <f>IFERROR(VLOOKUP($A3262,原始数据_收盘!$A$4:$G$3460,2,0),"")</f>
        <v>3.1278</v>
      </c>
      <c r="C3262">
        <f>IFERROR(VLOOKUP($A3262,原始数据_收盘!$A$4:$G$3460,3,0),"")</f>
        <v>3.6069</v>
      </c>
      <c r="D3262">
        <f>IFERROR(VLOOKUP($A3262,原始数据_收盘!$A$4:$G$3460,4,0),"")</f>
        <v>3.1729</v>
      </c>
      <c r="E3262">
        <f>IFERROR(VLOOKUP($A3262,原始数据_收盘!$A$4:$G$3460,5,0),"")</f>
        <v>3.6725</v>
      </c>
      <c r="F3262">
        <f>IFERROR(VLOOKUP($A3262,原始数据_收盘!$A$4:$G$3460,6,0),"")</f>
        <v>3.1503</v>
      </c>
      <c r="G3262">
        <f>IFERROR(VLOOKUP($A3262,原始数据_收盘!$A$4:$G$3460,7,0),"")</f>
        <v>3.6397</v>
      </c>
      <c r="H3262">
        <f>IFERROR(VLOOKUP($A3262,原始数据_利率互换_FR007_1年!$A$6:$C$4395,2,0),"")</f>
        <v>3.137</v>
      </c>
      <c r="I3262">
        <f>IFERROR(VLOOKUP($A3262,原始数据_利率互换_FR007_1年!$A$6:$C$4395,3,0),"")</f>
        <v>3.6402</v>
      </c>
    </row>
    <row r="3263" spans="1:9">
      <c r="A3263" s="6">
        <v>42756</v>
      </c>
      <c r="B3263" t="str">
        <f>IFERROR(VLOOKUP($A3263,原始数据_收盘!$A$4:$G$3460,2,0),"")</f>
        <v/>
      </c>
      <c r="C3263" t="str">
        <f>IFERROR(VLOOKUP($A3263,原始数据_收盘!$A$4:$G$3460,3,0),"")</f>
        <v/>
      </c>
      <c r="D3263" t="str">
        <f>IFERROR(VLOOKUP($A3263,原始数据_收盘!$A$4:$G$3460,4,0),"")</f>
        <v/>
      </c>
      <c r="E3263" t="str">
        <f>IFERROR(VLOOKUP($A3263,原始数据_收盘!$A$4:$G$3460,5,0),"")</f>
        <v/>
      </c>
      <c r="F3263" t="str">
        <f>IFERROR(VLOOKUP($A3263,原始数据_收盘!$A$4:$G$3460,6,0),"")</f>
        <v/>
      </c>
      <c r="G3263" t="str">
        <f>IFERROR(VLOOKUP($A3263,原始数据_收盘!$A$4:$G$3460,7,0),"")</f>
        <v/>
      </c>
      <c r="H3263" t="str">
        <f>IFERROR(VLOOKUP($A3263,原始数据_利率互换_FR007_1年!$A$6:$C$4395,2,0),"")</f>
        <v/>
      </c>
      <c r="I3263" t="str">
        <f>IFERROR(VLOOKUP($A3263,原始数据_利率互换_FR007_1年!$A$6:$C$4395,3,0),"")</f>
        <v/>
      </c>
    </row>
    <row r="3264" spans="1:9">
      <c r="A3264" s="6">
        <v>42757</v>
      </c>
      <c r="B3264">
        <f>IFERROR(VLOOKUP($A3264,原始数据_收盘!$A$4:$G$3460,2,0),"")</f>
        <v>3.1188</v>
      </c>
      <c r="C3264">
        <f>IFERROR(VLOOKUP($A3264,原始数据_收盘!$A$4:$G$3460,3,0),"")</f>
        <v>3.6025</v>
      </c>
      <c r="D3264">
        <f>IFERROR(VLOOKUP($A3264,原始数据_收盘!$A$4:$G$3460,4,0),"")</f>
        <v>3.1688</v>
      </c>
      <c r="E3264">
        <f>IFERROR(VLOOKUP($A3264,原始数据_收盘!$A$4:$G$3460,5,0),"")</f>
        <v>3.6675</v>
      </c>
      <c r="F3264">
        <f>IFERROR(VLOOKUP($A3264,原始数据_收盘!$A$4:$G$3460,6,0),"")</f>
        <v>3.1438</v>
      </c>
      <c r="G3264">
        <f>IFERROR(VLOOKUP($A3264,原始数据_收盘!$A$4:$G$3460,7,0),"")</f>
        <v>3.635</v>
      </c>
      <c r="H3264">
        <f>IFERROR(VLOOKUP($A3264,原始数据_利率互换_FR007_1年!$A$6:$C$4395,2,0),"")</f>
        <v>3.145</v>
      </c>
      <c r="I3264">
        <f>IFERROR(VLOOKUP($A3264,原始数据_利率互换_FR007_1年!$A$6:$C$4395,3,0),"")</f>
        <v>3.6238</v>
      </c>
    </row>
    <row r="3265" spans="1:9">
      <c r="A3265" s="6">
        <v>42758</v>
      </c>
      <c r="B3265">
        <f>IFERROR(VLOOKUP($A3265,原始数据_收盘!$A$4:$G$3460,2,0),"")</f>
        <v>3.1096</v>
      </c>
      <c r="C3265">
        <f>IFERROR(VLOOKUP($A3265,原始数据_收盘!$A$4:$G$3460,3,0),"")</f>
        <v>3.6088</v>
      </c>
      <c r="D3265">
        <f>IFERROR(VLOOKUP($A3265,原始数据_收盘!$A$4:$G$3460,4,0),"")</f>
        <v>3.1625</v>
      </c>
      <c r="E3265">
        <f>IFERROR(VLOOKUP($A3265,原始数据_收盘!$A$4:$G$3460,5,0),"")</f>
        <v>3.6694</v>
      </c>
      <c r="F3265">
        <f>IFERROR(VLOOKUP($A3265,原始数据_收盘!$A$4:$G$3460,6,0),"")</f>
        <v>3.1361</v>
      </c>
      <c r="G3265">
        <f>IFERROR(VLOOKUP($A3265,原始数据_收盘!$A$4:$G$3460,7,0),"")</f>
        <v>3.6391</v>
      </c>
      <c r="H3265">
        <f>IFERROR(VLOOKUP($A3265,原始数据_利率互换_FR007_1年!$A$6:$C$4395,2,0),"")</f>
        <v>3.1293</v>
      </c>
      <c r="I3265">
        <f>IFERROR(VLOOKUP($A3265,原始数据_利率互换_FR007_1年!$A$6:$C$4395,3,0),"")</f>
        <v>3.6258</v>
      </c>
    </row>
    <row r="3266" spans="1:9">
      <c r="A3266" s="6">
        <v>42759</v>
      </c>
      <c r="B3266">
        <f>IFERROR(VLOOKUP($A3266,原始数据_收盘!$A$4:$G$3460,2,0),"")</f>
        <v>3.17</v>
      </c>
      <c r="C3266">
        <f>IFERROR(VLOOKUP($A3266,原始数据_收盘!$A$4:$G$3460,3,0),"")</f>
        <v>3.6588</v>
      </c>
      <c r="D3266">
        <f>IFERROR(VLOOKUP($A3266,原始数据_收盘!$A$4:$G$3460,4,0),"")</f>
        <v>3.2175</v>
      </c>
      <c r="E3266">
        <f>IFERROR(VLOOKUP($A3266,原始数据_收盘!$A$4:$G$3460,5,0),"")</f>
        <v>3.7206</v>
      </c>
      <c r="F3266">
        <f>IFERROR(VLOOKUP($A3266,原始数据_收盘!$A$4:$G$3460,6,0),"")</f>
        <v>3.1938</v>
      </c>
      <c r="G3266">
        <f>IFERROR(VLOOKUP($A3266,原始数据_收盘!$A$4:$G$3460,7,0),"")</f>
        <v>3.6897</v>
      </c>
      <c r="H3266">
        <f>IFERROR(VLOOKUP($A3266,原始数据_利率互换_FR007_1年!$A$6:$C$4395,2,0),"")</f>
        <v>3.1577</v>
      </c>
      <c r="I3266">
        <f>IFERROR(VLOOKUP($A3266,原始数据_利率互换_FR007_1年!$A$6:$C$4395,3,0),"")</f>
        <v>3.6315</v>
      </c>
    </row>
    <row r="3267" spans="1:9">
      <c r="A3267" s="6">
        <v>42760</v>
      </c>
      <c r="B3267">
        <f>IFERROR(VLOOKUP($A3267,原始数据_收盘!$A$4:$G$3460,2,0),"")</f>
        <v>3.2596</v>
      </c>
      <c r="C3267">
        <f>IFERROR(VLOOKUP($A3267,原始数据_收盘!$A$4:$G$3460,3,0),"")</f>
        <v>3.795</v>
      </c>
      <c r="D3267">
        <f>IFERROR(VLOOKUP($A3267,原始数据_收盘!$A$4:$G$3460,4,0),"")</f>
        <v>3.3138</v>
      </c>
      <c r="E3267">
        <f>IFERROR(VLOOKUP($A3267,原始数据_收盘!$A$4:$G$3460,5,0),"")</f>
        <v>3.8575</v>
      </c>
      <c r="F3267">
        <f>IFERROR(VLOOKUP($A3267,原始数据_收盘!$A$4:$G$3460,6,0),"")</f>
        <v>3.2867</v>
      </c>
      <c r="G3267">
        <f>IFERROR(VLOOKUP($A3267,原始数据_收盘!$A$4:$G$3460,7,0),"")</f>
        <v>3.8263</v>
      </c>
      <c r="H3267">
        <f>IFERROR(VLOOKUP($A3267,原始数据_利率互换_FR007_1年!$A$6:$C$4395,2,0),"")</f>
        <v>3.2607</v>
      </c>
      <c r="I3267">
        <f>IFERROR(VLOOKUP($A3267,原始数据_利率互换_FR007_1年!$A$6:$C$4395,3,0),"")</f>
        <v>3.7889</v>
      </c>
    </row>
    <row r="3268" spans="1:9">
      <c r="A3268" s="6">
        <v>42761</v>
      </c>
      <c r="B3268">
        <f>IFERROR(VLOOKUP($A3268,原始数据_收盘!$A$4:$G$3460,2,0),"")</f>
        <v>3.27</v>
      </c>
      <c r="C3268">
        <f>IFERROR(VLOOKUP($A3268,原始数据_收盘!$A$4:$G$3460,3,0),"")</f>
        <v>3.805</v>
      </c>
      <c r="D3268">
        <f>IFERROR(VLOOKUP($A3268,原始数据_收盘!$A$4:$G$3460,4,0),"")</f>
        <v>3.33</v>
      </c>
      <c r="E3268">
        <f>IFERROR(VLOOKUP($A3268,原始数据_收盘!$A$4:$G$3460,5,0),"")</f>
        <v>3.8725</v>
      </c>
      <c r="F3268">
        <f>IFERROR(VLOOKUP($A3268,原始数据_收盘!$A$4:$G$3460,6,0),"")</f>
        <v>3.3</v>
      </c>
      <c r="G3268">
        <f>IFERROR(VLOOKUP($A3268,原始数据_收盘!$A$4:$G$3460,7,0),"")</f>
        <v>3.8388</v>
      </c>
      <c r="H3268">
        <f>IFERROR(VLOOKUP($A3268,原始数据_利率互换_FR007_1年!$A$6:$C$4395,2,0),"")</f>
        <v>3.3</v>
      </c>
      <c r="I3268">
        <f>IFERROR(VLOOKUP($A3268,原始数据_利率互换_FR007_1年!$A$6:$C$4395,3,0),"")</f>
        <v>3.8358</v>
      </c>
    </row>
    <row r="3269" spans="1:9">
      <c r="A3269" s="6">
        <v>42762</v>
      </c>
      <c r="B3269" t="str">
        <f>IFERROR(VLOOKUP($A3269,原始数据_收盘!$A$4:$G$3460,2,0),"")</f>
        <v/>
      </c>
      <c r="C3269" t="str">
        <f>IFERROR(VLOOKUP($A3269,原始数据_收盘!$A$4:$G$3460,3,0),"")</f>
        <v/>
      </c>
      <c r="D3269" t="str">
        <f>IFERROR(VLOOKUP($A3269,原始数据_收盘!$A$4:$G$3460,4,0),"")</f>
        <v/>
      </c>
      <c r="E3269" t="str">
        <f>IFERROR(VLOOKUP($A3269,原始数据_收盘!$A$4:$G$3460,5,0),"")</f>
        <v/>
      </c>
      <c r="F3269" t="str">
        <f>IFERROR(VLOOKUP($A3269,原始数据_收盘!$A$4:$G$3460,6,0),"")</f>
        <v/>
      </c>
      <c r="G3269" t="str">
        <f>IFERROR(VLOOKUP($A3269,原始数据_收盘!$A$4:$G$3460,7,0),"")</f>
        <v/>
      </c>
      <c r="H3269" t="str">
        <f>IFERROR(VLOOKUP($A3269,原始数据_利率互换_FR007_1年!$A$6:$C$4395,2,0),"")</f>
        <v/>
      </c>
      <c r="I3269" t="str">
        <f>IFERROR(VLOOKUP($A3269,原始数据_利率互换_FR007_1年!$A$6:$C$4395,3,0),"")</f>
        <v/>
      </c>
    </row>
    <row r="3270" spans="1:9">
      <c r="A3270" s="6">
        <v>42763</v>
      </c>
      <c r="B3270" t="str">
        <f>IFERROR(VLOOKUP($A3270,原始数据_收盘!$A$4:$G$3460,2,0),"")</f>
        <v/>
      </c>
      <c r="C3270" t="str">
        <f>IFERROR(VLOOKUP($A3270,原始数据_收盘!$A$4:$G$3460,3,0),"")</f>
        <v/>
      </c>
      <c r="D3270" t="str">
        <f>IFERROR(VLOOKUP($A3270,原始数据_收盘!$A$4:$G$3460,4,0),"")</f>
        <v/>
      </c>
      <c r="E3270" t="str">
        <f>IFERROR(VLOOKUP($A3270,原始数据_收盘!$A$4:$G$3460,5,0),"")</f>
        <v/>
      </c>
      <c r="F3270" t="str">
        <f>IFERROR(VLOOKUP($A3270,原始数据_收盘!$A$4:$G$3460,6,0),"")</f>
        <v/>
      </c>
      <c r="G3270" t="str">
        <f>IFERROR(VLOOKUP($A3270,原始数据_收盘!$A$4:$G$3460,7,0),"")</f>
        <v/>
      </c>
      <c r="H3270" t="str">
        <f>IFERROR(VLOOKUP($A3270,原始数据_利率互换_FR007_1年!$A$6:$C$4395,2,0),"")</f>
        <v/>
      </c>
      <c r="I3270" t="str">
        <f>IFERROR(VLOOKUP($A3270,原始数据_利率互换_FR007_1年!$A$6:$C$4395,3,0),"")</f>
        <v/>
      </c>
    </row>
    <row r="3271" spans="1:9">
      <c r="A3271" s="6">
        <v>42764</v>
      </c>
      <c r="B3271" t="str">
        <f>IFERROR(VLOOKUP($A3271,原始数据_收盘!$A$4:$G$3460,2,0),"")</f>
        <v/>
      </c>
      <c r="C3271" t="str">
        <f>IFERROR(VLOOKUP($A3271,原始数据_收盘!$A$4:$G$3460,3,0),"")</f>
        <v/>
      </c>
      <c r="D3271" t="str">
        <f>IFERROR(VLOOKUP($A3271,原始数据_收盘!$A$4:$G$3460,4,0),"")</f>
        <v/>
      </c>
      <c r="E3271" t="str">
        <f>IFERROR(VLOOKUP($A3271,原始数据_收盘!$A$4:$G$3460,5,0),"")</f>
        <v/>
      </c>
      <c r="F3271" t="str">
        <f>IFERROR(VLOOKUP($A3271,原始数据_收盘!$A$4:$G$3460,6,0),"")</f>
        <v/>
      </c>
      <c r="G3271" t="str">
        <f>IFERROR(VLOOKUP($A3271,原始数据_收盘!$A$4:$G$3460,7,0),"")</f>
        <v/>
      </c>
      <c r="H3271" t="str">
        <f>IFERROR(VLOOKUP($A3271,原始数据_利率互换_FR007_1年!$A$6:$C$4395,2,0),"")</f>
        <v/>
      </c>
      <c r="I3271" t="str">
        <f>IFERROR(VLOOKUP($A3271,原始数据_利率互换_FR007_1年!$A$6:$C$4395,3,0),"")</f>
        <v/>
      </c>
    </row>
    <row r="3272" spans="1:9">
      <c r="A3272" s="6">
        <v>42765</v>
      </c>
      <c r="B3272" t="str">
        <f>IFERROR(VLOOKUP($A3272,原始数据_收盘!$A$4:$G$3460,2,0),"")</f>
        <v/>
      </c>
      <c r="C3272" t="str">
        <f>IFERROR(VLOOKUP($A3272,原始数据_收盘!$A$4:$G$3460,3,0),"")</f>
        <v/>
      </c>
      <c r="D3272" t="str">
        <f>IFERROR(VLOOKUP($A3272,原始数据_收盘!$A$4:$G$3460,4,0),"")</f>
        <v/>
      </c>
      <c r="E3272" t="str">
        <f>IFERROR(VLOOKUP($A3272,原始数据_收盘!$A$4:$G$3460,5,0),"")</f>
        <v/>
      </c>
      <c r="F3272" t="str">
        <f>IFERROR(VLOOKUP($A3272,原始数据_收盘!$A$4:$G$3460,6,0),"")</f>
        <v/>
      </c>
      <c r="G3272" t="str">
        <f>IFERROR(VLOOKUP($A3272,原始数据_收盘!$A$4:$G$3460,7,0),"")</f>
        <v/>
      </c>
      <c r="H3272" t="str">
        <f>IFERROR(VLOOKUP($A3272,原始数据_利率互换_FR007_1年!$A$6:$C$4395,2,0),"")</f>
        <v/>
      </c>
      <c r="I3272" t="str">
        <f>IFERROR(VLOOKUP($A3272,原始数据_利率互换_FR007_1年!$A$6:$C$4395,3,0),"")</f>
        <v/>
      </c>
    </row>
    <row r="3273" spans="1:9">
      <c r="A3273" s="6">
        <v>42766</v>
      </c>
      <c r="B3273" t="str">
        <f>IFERROR(VLOOKUP($A3273,原始数据_收盘!$A$4:$G$3460,2,0),"")</f>
        <v/>
      </c>
      <c r="C3273" t="str">
        <f>IFERROR(VLOOKUP($A3273,原始数据_收盘!$A$4:$G$3460,3,0),"")</f>
        <v/>
      </c>
      <c r="D3273" t="str">
        <f>IFERROR(VLOOKUP($A3273,原始数据_收盘!$A$4:$G$3460,4,0),"")</f>
        <v/>
      </c>
      <c r="E3273" t="str">
        <f>IFERROR(VLOOKUP($A3273,原始数据_收盘!$A$4:$G$3460,5,0),"")</f>
        <v/>
      </c>
      <c r="F3273" t="str">
        <f>IFERROR(VLOOKUP($A3273,原始数据_收盘!$A$4:$G$3460,6,0),"")</f>
        <v/>
      </c>
      <c r="G3273" t="str">
        <f>IFERROR(VLOOKUP($A3273,原始数据_收盘!$A$4:$G$3460,7,0),"")</f>
        <v/>
      </c>
      <c r="H3273" t="str">
        <f>IFERROR(VLOOKUP($A3273,原始数据_利率互换_FR007_1年!$A$6:$C$4395,2,0),"")</f>
        <v/>
      </c>
      <c r="I3273" t="str">
        <f>IFERROR(VLOOKUP($A3273,原始数据_利率互换_FR007_1年!$A$6:$C$4395,3,0),"")</f>
        <v/>
      </c>
    </row>
    <row r="3274" spans="1:9">
      <c r="A3274" s="6">
        <v>42767</v>
      </c>
      <c r="B3274" t="str">
        <f>IFERROR(VLOOKUP($A3274,原始数据_收盘!$A$4:$G$3460,2,0),"")</f>
        <v/>
      </c>
      <c r="C3274" t="str">
        <f>IFERROR(VLOOKUP($A3274,原始数据_收盘!$A$4:$G$3460,3,0),"")</f>
        <v/>
      </c>
      <c r="D3274" t="str">
        <f>IFERROR(VLOOKUP($A3274,原始数据_收盘!$A$4:$G$3460,4,0),"")</f>
        <v/>
      </c>
      <c r="E3274" t="str">
        <f>IFERROR(VLOOKUP($A3274,原始数据_收盘!$A$4:$G$3460,5,0),"")</f>
        <v/>
      </c>
      <c r="F3274" t="str">
        <f>IFERROR(VLOOKUP($A3274,原始数据_收盘!$A$4:$G$3460,6,0),"")</f>
        <v/>
      </c>
      <c r="G3274" t="str">
        <f>IFERROR(VLOOKUP($A3274,原始数据_收盘!$A$4:$G$3460,7,0),"")</f>
        <v/>
      </c>
      <c r="H3274" t="str">
        <f>IFERROR(VLOOKUP($A3274,原始数据_利率互换_FR007_1年!$A$6:$C$4395,2,0),"")</f>
        <v/>
      </c>
      <c r="I3274" t="str">
        <f>IFERROR(VLOOKUP($A3274,原始数据_利率互换_FR007_1年!$A$6:$C$4395,3,0),"")</f>
        <v/>
      </c>
    </row>
    <row r="3275" spans="1:9">
      <c r="A3275" s="6">
        <v>42768</v>
      </c>
      <c r="B3275" t="str">
        <f>IFERROR(VLOOKUP($A3275,原始数据_收盘!$A$4:$G$3460,2,0),"")</f>
        <v/>
      </c>
      <c r="C3275" t="str">
        <f>IFERROR(VLOOKUP($A3275,原始数据_收盘!$A$4:$G$3460,3,0),"")</f>
        <v/>
      </c>
      <c r="D3275" t="str">
        <f>IFERROR(VLOOKUP($A3275,原始数据_收盘!$A$4:$G$3460,4,0),"")</f>
        <v/>
      </c>
      <c r="E3275" t="str">
        <f>IFERROR(VLOOKUP($A3275,原始数据_收盘!$A$4:$G$3460,5,0),"")</f>
        <v/>
      </c>
      <c r="F3275" t="str">
        <f>IFERROR(VLOOKUP($A3275,原始数据_收盘!$A$4:$G$3460,6,0),"")</f>
        <v/>
      </c>
      <c r="G3275" t="str">
        <f>IFERROR(VLOOKUP($A3275,原始数据_收盘!$A$4:$G$3460,7,0),"")</f>
        <v/>
      </c>
      <c r="H3275" t="str">
        <f>IFERROR(VLOOKUP($A3275,原始数据_利率互换_FR007_1年!$A$6:$C$4395,2,0),"")</f>
        <v/>
      </c>
      <c r="I3275" t="str">
        <f>IFERROR(VLOOKUP($A3275,原始数据_利率互换_FR007_1年!$A$6:$C$4395,3,0),"")</f>
        <v/>
      </c>
    </row>
    <row r="3276" spans="1:9">
      <c r="A3276" s="6">
        <v>42769</v>
      </c>
      <c r="B3276">
        <f>IFERROR(VLOOKUP($A3276,原始数据_收盘!$A$4:$G$3460,2,0),"")</f>
        <v>3.3925</v>
      </c>
      <c r="C3276">
        <f>IFERROR(VLOOKUP($A3276,原始数据_收盘!$A$4:$G$3460,3,0),"")</f>
        <v>3.9388</v>
      </c>
      <c r="D3276">
        <f>IFERROR(VLOOKUP($A3276,原始数据_收盘!$A$4:$G$3460,4,0),"")</f>
        <v>3.4425</v>
      </c>
      <c r="E3276">
        <f>IFERROR(VLOOKUP($A3276,原始数据_收盘!$A$4:$G$3460,5,0),"")</f>
        <v>4.0069</v>
      </c>
      <c r="F3276">
        <f>IFERROR(VLOOKUP($A3276,原始数据_收盘!$A$4:$G$3460,6,0),"")</f>
        <v>3.4175</v>
      </c>
      <c r="G3276">
        <f>IFERROR(VLOOKUP($A3276,原始数据_收盘!$A$4:$G$3460,7,0),"")</f>
        <v>3.9728</v>
      </c>
      <c r="H3276">
        <f>IFERROR(VLOOKUP($A3276,原始数据_利率互换_FR007_1年!$A$6:$C$4395,2,0),"")</f>
        <v>3.4161</v>
      </c>
      <c r="I3276">
        <f>IFERROR(VLOOKUP($A3276,原始数据_利率互换_FR007_1年!$A$6:$C$4395,3,0),"")</f>
        <v>3.9611</v>
      </c>
    </row>
    <row r="3277" spans="1:9">
      <c r="A3277" s="6">
        <v>42770</v>
      </c>
      <c r="B3277">
        <f>IFERROR(VLOOKUP($A3277,原始数据_收盘!$A$4:$G$3460,2,0),"")</f>
        <v>3.395</v>
      </c>
      <c r="C3277">
        <f>IFERROR(VLOOKUP($A3277,原始数据_收盘!$A$4:$G$3460,3,0),"")</f>
        <v>3.9425</v>
      </c>
      <c r="D3277">
        <f>IFERROR(VLOOKUP($A3277,原始数据_收盘!$A$4:$G$3460,4,0),"")</f>
        <v>3.4563</v>
      </c>
      <c r="E3277">
        <f>IFERROR(VLOOKUP($A3277,原始数据_收盘!$A$4:$G$3460,5,0),"")</f>
        <v>4.0181</v>
      </c>
      <c r="F3277">
        <f>IFERROR(VLOOKUP($A3277,原始数据_收盘!$A$4:$G$3460,6,0),"")</f>
        <v>3.4256</v>
      </c>
      <c r="G3277">
        <f>IFERROR(VLOOKUP($A3277,原始数据_收盘!$A$4:$G$3460,7,0),"")</f>
        <v>3.9803</v>
      </c>
      <c r="H3277">
        <f>IFERROR(VLOOKUP($A3277,原始数据_利率互换_FR007_1年!$A$6:$C$4395,2,0),"")</f>
        <v>0</v>
      </c>
      <c r="I3277">
        <f>IFERROR(VLOOKUP($A3277,原始数据_利率互换_FR007_1年!$A$6:$C$4395,3,0),"")</f>
        <v>3.96</v>
      </c>
    </row>
    <row r="3278" spans="1:9">
      <c r="A3278" s="6">
        <v>42771</v>
      </c>
      <c r="B3278" t="str">
        <f>IFERROR(VLOOKUP($A3278,原始数据_收盘!$A$4:$G$3460,2,0),"")</f>
        <v/>
      </c>
      <c r="C3278" t="str">
        <f>IFERROR(VLOOKUP($A3278,原始数据_收盘!$A$4:$G$3460,3,0),"")</f>
        <v/>
      </c>
      <c r="D3278" t="str">
        <f>IFERROR(VLOOKUP($A3278,原始数据_收盘!$A$4:$G$3460,4,0),"")</f>
        <v/>
      </c>
      <c r="E3278" t="str">
        <f>IFERROR(VLOOKUP($A3278,原始数据_收盘!$A$4:$G$3460,5,0),"")</f>
        <v/>
      </c>
      <c r="F3278" t="str">
        <f>IFERROR(VLOOKUP($A3278,原始数据_收盘!$A$4:$G$3460,6,0),"")</f>
        <v/>
      </c>
      <c r="G3278" t="str">
        <f>IFERROR(VLOOKUP($A3278,原始数据_收盘!$A$4:$G$3460,7,0),"")</f>
        <v/>
      </c>
      <c r="H3278" t="str">
        <f>IFERROR(VLOOKUP($A3278,原始数据_利率互换_FR007_1年!$A$6:$C$4395,2,0),"")</f>
        <v/>
      </c>
      <c r="I3278" t="str">
        <f>IFERROR(VLOOKUP($A3278,原始数据_利率互换_FR007_1年!$A$6:$C$4395,3,0),"")</f>
        <v/>
      </c>
    </row>
    <row r="3279" spans="1:9">
      <c r="A3279" s="6">
        <v>42772</v>
      </c>
      <c r="B3279">
        <f>IFERROR(VLOOKUP($A3279,原始数据_收盘!$A$4:$G$3460,2,0),"")</f>
        <v>3.3913</v>
      </c>
      <c r="C3279">
        <f>IFERROR(VLOOKUP($A3279,原始数据_收盘!$A$4:$G$3460,3,0),"")</f>
        <v>3.97</v>
      </c>
      <c r="D3279">
        <f>IFERROR(VLOOKUP($A3279,原始数据_收盘!$A$4:$G$3460,4,0),"")</f>
        <v>3.4313</v>
      </c>
      <c r="E3279">
        <f>IFERROR(VLOOKUP($A3279,原始数据_收盘!$A$4:$G$3460,5,0),"")</f>
        <v>4.0181</v>
      </c>
      <c r="F3279">
        <f>IFERROR(VLOOKUP($A3279,原始数据_收盘!$A$4:$G$3460,6,0),"")</f>
        <v>3.4113</v>
      </c>
      <c r="G3279">
        <f>IFERROR(VLOOKUP($A3279,原始数据_收盘!$A$4:$G$3460,7,0),"")</f>
        <v>3.9941</v>
      </c>
      <c r="H3279">
        <f>IFERROR(VLOOKUP($A3279,原始数据_利率互换_FR007_1年!$A$6:$C$4395,2,0),"")</f>
        <v>3.3935</v>
      </c>
      <c r="I3279">
        <f>IFERROR(VLOOKUP($A3279,原始数据_利率互换_FR007_1年!$A$6:$C$4395,3,0),"")</f>
        <v>3.9798</v>
      </c>
    </row>
    <row r="3280" spans="1:9">
      <c r="A3280" s="6">
        <v>42773</v>
      </c>
      <c r="B3280">
        <f>IFERROR(VLOOKUP($A3280,原始数据_收盘!$A$4:$G$3460,2,0),"")</f>
        <v>3.3463</v>
      </c>
      <c r="C3280">
        <f>IFERROR(VLOOKUP($A3280,原始数据_收盘!$A$4:$G$3460,3,0),"")</f>
        <v>3.9269</v>
      </c>
      <c r="D3280">
        <f>IFERROR(VLOOKUP($A3280,原始数据_收盘!$A$4:$G$3460,4,0),"")</f>
        <v>3.4125</v>
      </c>
      <c r="E3280">
        <f>IFERROR(VLOOKUP($A3280,原始数据_收盘!$A$4:$G$3460,5,0),"")</f>
        <v>3.9981</v>
      </c>
      <c r="F3280">
        <f>IFERROR(VLOOKUP($A3280,原始数据_收盘!$A$4:$G$3460,6,0),"")</f>
        <v>3.3794</v>
      </c>
      <c r="G3280">
        <f>IFERROR(VLOOKUP($A3280,原始数据_收盘!$A$4:$G$3460,7,0),"")</f>
        <v>3.9625</v>
      </c>
      <c r="H3280">
        <f>IFERROR(VLOOKUP($A3280,原始数据_利率互换_FR007_1年!$A$6:$C$4395,2,0),"")</f>
        <v>3.3827</v>
      </c>
      <c r="I3280">
        <f>IFERROR(VLOOKUP($A3280,原始数据_利率互换_FR007_1年!$A$6:$C$4395,3,0),"")</f>
        <v>3.9868</v>
      </c>
    </row>
    <row r="3281" spans="1:9">
      <c r="A3281" s="6">
        <v>42774</v>
      </c>
      <c r="B3281">
        <f>IFERROR(VLOOKUP($A3281,原始数据_收盘!$A$4:$G$3460,2,0),"")</f>
        <v>3.345</v>
      </c>
      <c r="C3281">
        <f>IFERROR(VLOOKUP($A3281,原始数据_收盘!$A$4:$G$3460,3,0),"")</f>
        <v>3.9138</v>
      </c>
      <c r="D3281">
        <f>IFERROR(VLOOKUP($A3281,原始数据_收盘!$A$4:$G$3460,4,0),"")</f>
        <v>3.4075</v>
      </c>
      <c r="E3281">
        <f>IFERROR(VLOOKUP($A3281,原始数据_收盘!$A$4:$G$3460,5,0),"")</f>
        <v>3.97</v>
      </c>
      <c r="F3281">
        <f>IFERROR(VLOOKUP($A3281,原始数据_收盘!$A$4:$G$3460,6,0),"")</f>
        <v>3.3763</v>
      </c>
      <c r="G3281">
        <f>IFERROR(VLOOKUP($A3281,原始数据_收盘!$A$4:$G$3460,7,0),"")</f>
        <v>3.9419</v>
      </c>
      <c r="H3281">
        <f>IFERROR(VLOOKUP($A3281,原始数据_利率互换_FR007_1年!$A$6:$C$4395,2,0),"")</f>
        <v>3.3504</v>
      </c>
      <c r="I3281">
        <f>IFERROR(VLOOKUP($A3281,原始数据_利率互换_FR007_1年!$A$6:$C$4395,3,0),"")</f>
        <v>3.9376</v>
      </c>
    </row>
    <row r="3282" spans="1:9">
      <c r="A3282" s="6">
        <v>42775</v>
      </c>
      <c r="B3282">
        <f>IFERROR(VLOOKUP($A3282,原始数据_收盘!$A$4:$G$3460,2,0),"")</f>
        <v>3.3338</v>
      </c>
      <c r="C3282">
        <f>IFERROR(VLOOKUP($A3282,原始数据_收盘!$A$4:$G$3460,3,0),"")</f>
        <v>3.8788</v>
      </c>
      <c r="D3282">
        <f>IFERROR(VLOOKUP($A3282,原始数据_收盘!$A$4:$G$3460,4,0),"")</f>
        <v>3.3869</v>
      </c>
      <c r="E3282">
        <f>IFERROR(VLOOKUP($A3282,原始数据_收盘!$A$4:$G$3460,5,0),"")</f>
        <v>3.9488</v>
      </c>
      <c r="F3282">
        <f>IFERROR(VLOOKUP($A3282,原始数据_收盘!$A$4:$G$3460,6,0),"")</f>
        <v>3.3603</v>
      </c>
      <c r="G3282">
        <f>IFERROR(VLOOKUP($A3282,原始数据_收盘!$A$4:$G$3460,7,0),"")</f>
        <v>3.9138</v>
      </c>
      <c r="H3282">
        <f>IFERROR(VLOOKUP($A3282,原始数据_利率互换_FR007_1年!$A$6:$C$4395,2,0),"")</f>
        <v>3.3606</v>
      </c>
      <c r="I3282">
        <f>IFERROR(VLOOKUP($A3282,原始数据_利率互换_FR007_1年!$A$6:$C$4395,3,0),"")</f>
        <v>3.9117</v>
      </c>
    </row>
    <row r="3283" spans="1:9">
      <c r="A3283" s="6">
        <v>42776</v>
      </c>
      <c r="B3283">
        <f>IFERROR(VLOOKUP($A3283,原始数据_收盘!$A$4:$G$3460,2,0),"")</f>
        <v>3.3475</v>
      </c>
      <c r="C3283">
        <f>IFERROR(VLOOKUP($A3283,原始数据_收盘!$A$4:$G$3460,3,0),"")</f>
        <v>3.9181</v>
      </c>
      <c r="D3283">
        <f>IFERROR(VLOOKUP($A3283,原始数据_收盘!$A$4:$G$3460,4,0),"")</f>
        <v>3.405</v>
      </c>
      <c r="E3283">
        <f>IFERROR(VLOOKUP($A3283,原始数据_收盘!$A$4:$G$3460,5,0),"")</f>
        <v>3.98</v>
      </c>
      <c r="F3283">
        <f>IFERROR(VLOOKUP($A3283,原始数据_收盘!$A$4:$G$3460,6,0),"")</f>
        <v>3.3763</v>
      </c>
      <c r="G3283">
        <f>IFERROR(VLOOKUP($A3283,原始数据_收盘!$A$4:$G$3460,7,0),"")</f>
        <v>3.9491</v>
      </c>
      <c r="H3283">
        <f>IFERROR(VLOOKUP($A3283,原始数据_利率互换_FR007_1年!$A$6:$C$4395,2,0),"")</f>
        <v>3.3663</v>
      </c>
      <c r="I3283">
        <f>IFERROR(VLOOKUP($A3283,原始数据_利率互换_FR007_1年!$A$6:$C$4395,3,0),"")</f>
        <v>3.9322</v>
      </c>
    </row>
    <row r="3284" spans="1:9">
      <c r="A3284" s="6">
        <v>42777</v>
      </c>
      <c r="B3284" t="str">
        <f>IFERROR(VLOOKUP($A3284,原始数据_收盘!$A$4:$G$3460,2,0),"")</f>
        <v/>
      </c>
      <c r="C3284" t="str">
        <f>IFERROR(VLOOKUP($A3284,原始数据_收盘!$A$4:$G$3460,3,0),"")</f>
        <v/>
      </c>
      <c r="D3284" t="str">
        <f>IFERROR(VLOOKUP($A3284,原始数据_收盘!$A$4:$G$3460,4,0),"")</f>
        <v/>
      </c>
      <c r="E3284" t="str">
        <f>IFERROR(VLOOKUP($A3284,原始数据_收盘!$A$4:$G$3460,5,0),"")</f>
        <v/>
      </c>
      <c r="F3284" t="str">
        <f>IFERROR(VLOOKUP($A3284,原始数据_收盘!$A$4:$G$3460,6,0),"")</f>
        <v/>
      </c>
      <c r="G3284" t="str">
        <f>IFERROR(VLOOKUP($A3284,原始数据_收盘!$A$4:$G$3460,7,0),"")</f>
        <v/>
      </c>
      <c r="H3284" t="str">
        <f>IFERROR(VLOOKUP($A3284,原始数据_利率互换_FR007_1年!$A$6:$C$4395,2,0),"")</f>
        <v/>
      </c>
      <c r="I3284" t="str">
        <f>IFERROR(VLOOKUP($A3284,原始数据_利率互换_FR007_1年!$A$6:$C$4395,3,0),"")</f>
        <v/>
      </c>
    </row>
    <row r="3285" spans="1:9">
      <c r="A3285" s="6">
        <v>42778</v>
      </c>
      <c r="B3285" t="str">
        <f>IFERROR(VLOOKUP($A3285,原始数据_收盘!$A$4:$G$3460,2,0),"")</f>
        <v/>
      </c>
      <c r="C3285" t="str">
        <f>IFERROR(VLOOKUP($A3285,原始数据_收盘!$A$4:$G$3460,3,0),"")</f>
        <v/>
      </c>
      <c r="D3285" t="str">
        <f>IFERROR(VLOOKUP($A3285,原始数据_收盘!$A$4:$G$3460,4,0),"")</f>
        <v/>
      </c>
      <c r="E3285" t="str">
        <f>IFERROR(VLOOKUP($A3285,原始数据_收盘!$A$4:$G$3460,5,0),"")</f>
        <v/>
      </c>
      <c r="F3285" t="str">
        <f>IFERROR(VLOOKUP($A3285,原始数据_收盘!$A$4:$G$3460,6,0),"")</f>
        <v/>
      </c>
      <c r="G3285" t="str">
        <f>IFERROR(VLOOKUP($A3285,原始数据_收盘!$A$4:$G$3460,7,0),"")</f>
        <v/>
      </c>
      <c r="H3285" t="str">
        <f>IFERROR(VLOOKUP($A3285,原始数据_利率互换_FR007_1年!$A$6:$C$4395,2,0),"")</f>
        <v/>
      </c>
      <c r="I3285" t="str">
        <f>IFERROR(VLOOKUP($A3285,原始数据_利率互换_FR007_1年!$A$6:$C$4395,3,0),"")</f>
        <v/>
      </c>
    </row>
    <row r="3286" spans="1:9">
      <c r="A3286" s="6">
        <v>42779</v>
      </c>
      <c r="B3286">
        <f>IFERROR(VLOOKUP($A3286,原始数据_收盘!$A$4:$G$3460,2,0),"")</f>
        <v>3.334</v>
      </c>
      <c r="C3286">
        <f>IFERROR(VLOOKUP($A3286,原始数据_收盘!$A$4:$G$3460,3,0),"")</f>
        <v>3.902</v>
      </c>
      <c r="D3286">
        <f>IFERROR(VLOOKUP($A3286,原始数据_收盘!$A$4:$G$3460,4,0),"")</f>
        <v>3.3945</v>
      </c>
      <c r="E3286">
        <f>IFERROR(VLOOKUP($A3286,原始数据_收盘!$A$4:$G$3460,5,0),"")</f>
        <v>3.969</v>
      </c>
      <c r="F3286">
        <f>IFERROR(VLOOKUP($A3286,原始数据_收盘!$A$4:$G$3460,6,0),"")</f>
        <v>3.3643</v>
      </c>
      <c r="G3286">
        <f>IFERROR(VLOOKUP($A3286,原始数据_收盘!$A$4:$G$3460,7,0),"")</f>
        <v>3.9355</v>
      </c>
      <c r="H3286">
        <f>IFERROR(VLOOKUP($A3286,原始数据_利率互换_FR007_1年!$A$6:$C$4395,2,0),"")</f>
        <v>3.3618</v>
      </c>
      <c r="I3286">
        <f>IFERROR(VLOOKUP($A3286,原始数据_利率互换_FR007_1年!$A$6:$C$4395,3,0),"")</f>
        <v>3.9447</v>
      </c>
    </row>
    <row r="3287" spans="1:9">
      <c r="A3287" s="6">
        <v>42780</v>
      </c>
      <c r="B3287">
        <f>IFERROR(VLOOKUP($A3287,原始数据_收盘!$A$4:$G$3460,2,0),"")</f>
        <v>3.3375</v>
      </c>
      <c r="C3287">
        <f>IFERROR(VLOOKUP($A3287,原始数据_收盘!$A$4:$G$3460,3,0),"")</f>
        <v>3.9219</v>
      </c>
      <c r="D3287">
        <f>IFERROR(VLOOKUP($A3287,原始数据_收盘!$A$4:$G$3460,4,0),"")</f>
        <v>3.3956</v>
      </c>
      <c r="E3287">
        <f>IFERROR(VLOOKUP($A3287,原始数据_收盘!$A$4:$G$3460,5,0),"")</f>
        <v>3.9863</v>
      </c>
      <c r="F3287">
        <f>IFERROR(VLOOKUP($A3287,原始数据_收盘!$A$4:$G$3460,6,0),"")</f>
        <v>3.3666</v>
      </c>
      <c r="G3287">
        <f>IFERROR(VLOOKUP($A3287,原始数据_收盘!$A$4:$G$3460,7,0),"")</f>
        <v>3.9541</v>
      </c>
      <c r="H3287">
        <f>IFERROR(VLOOKUP($A3287,原始数据_利率互换_FR007_1年!$A$6:$C$4395,2,0),"")</f>
        <v>3.3587</v>
      </c>
      <c r="I3287">
        <f>IFERROR(VLOOKUP($A3287,原始数据_利率互换_FR007_1年!$A$6:$C$4395,3,0),"")</f>
        <v>3.9523</v>
      </c>
    </row>
    <row r="3288" spans="1:9">
      <c r="A3288" s="6">
        <v>42781</v>
      </c>
      <c r="B3288">
        <f>IFERROR(VLOOKUP($A3288,原始数据_收盘!$A$4:$G$3460,2,0),"")</f>
        <v>3.3588</v>
      </c>
      <c r="C3288">
        <f>IFERROR(VLOOKUP($A3288,原始数据_收盘!$A$4:$G$3460,3,0),"")</f>
        <v>3.93</v>
      </c>
      <c r="D3288">
        <f>IFERROR(VLOOKUP($A3288,原始数据_收盘!$A$4:$G$3460,4,0),"")</f>
        <v>3.4194</v>
      </c>
      <c r="E3288">
        <f>IFERROR(VLOOKUP($A3288,原始数据_收盘!$A$4:$G$3460,5,0),"")</f>
        <v>3.9963</v>
      </c>
      <c r="F3288">
        <f>IFERROR(VLOOKUP($A3288,原始数据_收盘!$A$4:$G$3460,6,0),"")</f>
        <v>3.3891</v>
      </c>
      <c r="G3288">
        <f>IFERROR(VLOOKUP($A3288,原始数据_收盘!$A$4:$G$3460,7,0),"")</f>
        <v>3.9631</v>
      </c>
      <c r="H3288">
        <f>IFERROR(VLOOKUP($A3288,原始数据_利率互换_FR007_1年!$A$6:$C$4395,2,0),"")</f>
        <v>3.3891</v>
      </c>
      <c r="I3288">
        <f>IFERROR(VLOOKUP($A3288,原始数据_利率互换_FR007_1年!$A$6:$C$4395,3,0),"")</f>
        <v>3.9713</v>
      </c>
    </row>
    <row r="3289" spans="1:9">
      <c r="A3289" s="6">
        <v>42782</v>
      </c>
      <c r="B3289">
        <f>IFERROR(VLOOKUP($A3289,原始数据_收盘!$A$4:$G$3460,2,0),"")</f>
        <v>3.3275</v>
      </c>
      <c r="C3289">
        <f>IFERROR(VLOOKUP($A3289,原始数据_收盘!$A$4:$G$3460,3,0),"")</f>
        <v>3.9013</v>
      </c>
      <c r="D3289">
        <f>IFERROR(VLOOKUP($A3289,原始数据_收盘!$A$4:$G$3460,4,0),"")</f>
        <v>3.3688</v>
      </c>
      <c r="E3289">
        <f>IFERROR(VLOOKUP($A3289,原始数据_收盘!$A$4:$G$3460,5,0),"")</f>
        <v>3.9488</v>
      </c>
      <c r="F3289">
        <f>IFERROR(VLOOKUP($A3289,原始数据_收盘!$A$4:$G$3460,6,0),"")</f>
        <v>3.3481</v>
      </c>
      <c r="G3289">
        <f>IFERROR(VLOOKUP($A3289,原始数据_收盘!$A$4:$G$3460,7,0),"")</f>
        <v>3.925</v>
      </c>
      <c r="H3289">
        <f>IFERROR(VLOOKUP($A3289,原始数据_利率互换_FR007_1年!$A$6:$C$4395,2,0),"")</f>
        <v>3.3496</v>
      </c>
      <c r="I3289">
        <f>IFERROR(VLOOKUP($A3289,原始数据_利率互换_FR007_1年!$A$6:$C$4395,3,0),"")</f>
        <v>3.9409</v>
      </c>
    </row>
    <row r="3290" spans="1:9">
      <c r="A3290" s="6">
        <v>42783</v>
      </c>
      <c r="B3290">
        <f>IFERROR(VLOOKUP($A3290,原始数据_收盘!$A$4:$G$3460,2,0),"")</f>
        <v>3.335</v>
      </c>
      <c r="C3290">
        <f>IFERROR(VLOOKUP($A3290,原始数据_收盘!$A$4:$G$3460,3,0),"")</f>
        <v>3.8919</v>
      </c>
      <c r="D3290">
        <f>IFERROR(VLOOKUP($A3290,原始数据_收盘!$A$4:$G$3460,4,0),"")</f>
        <v>3.3859</v>
      </c>
      <c r="E3290">
        <f>IFERROR(VLOOKUP($A3290,原始数据_收盘!$A$4:$G$3460,5,0),"")</f>
        <v>3.9494</v>
      </c>
      <c r="F3290">
        <f>IFERROR(VLOOKUP($A3290,原始数据_收盘!$A$4:$G$3460,6,0),"")</f>
        <v>3.3604</v>
      </c>
      <c r="G3290">
        <f>IFERROR(VLOOKUP($A3290,原始数据_收盘!$A$4:$G$3460,7,0),"")</f>
        <v>3.9206</v>
      </c>
      <c r="H3290">
        <f>IFERROR(VLOOKUP($A3290,原始数据_利率互换_FR007_1年!$A$6:$C$4395,2,0),"")</f>
        <v>3.3472</v>
      </c>
      <c r="I3290">
        <f>IFERROR(VLOOKUP($A3290,原始数据_利率互换_FR007_1年!$A$6:$C$4395,3,0),"")</f>
        <v>3.9058</v>
      </c>
    </row>
    <row r="3291" spans="1:9">
      <c r="A3291" s="6">
        <v>42784</v>
      </c>
      <c r="B3291" t="str">
        <f>IFERROR(VLOOKUP($A3291,原始数据_收盘!$A$4:$G$3460,2,0),"")</f>
        <v/>
      </c>
      <c r="C3291" t="str">
        <f>IFERROR(VLOOKUP($A3291,原始数据_收盘!$A$4:$G$3460,3,0),"")</f>
        <v/>
      </c>
      <c r="D3291" t="str">
        <f>IFERROR(VLOOKUP($A3291,原始数据_收盘!$A$4:$G$3460,4,0),"")</f>
        <v/>
      </c>
      <c r="E3291" t="str">
        <f>IFERROR(VLOOKUP($A3291,原始数据_收盘!$A$4:$G$3460,5,0),"")</f>
        <v/>
      </c>
      <c r="F3291" t="str">
        <f>IFERROR(VLOOKUP($A3291,原始数据_收盘!$A$4:$G$3460,6,0),"")</f>
        <v/>
      </c>
      <c r="G3291" t="str">
        <f>IFERROR(VLOOKUP($A3291,原始数据_收盘!$A$4:$G$3460,7,0),"")</f>
        <v/>
      </c>
      <c r="H3291" t="str">
        <f>IFERROR(VLOOKUP($A3291,原始数据_利率互换_FR007_1年!$A$6:$C$4395,2,0),"")</f>
        <v/>
      </c>
      <c r="I3291" t="str">
        <f>IFERROR(VLOOKUP($A3291,原始数据_利率互换_FR007_1年!$A$6:$C$4395,3,0),"")</f>
        <v/>
      </c>
    </row>
    <row r="3292" spans="1:9">
      <c r="A3292" s="6">
        <v>42785</v>
      </c>
      <c r="B3292" t="str">
        <f>IFERROR(VLOOKUP($A3292,原始数据_收盘!$A$4:$G$3460,2,0),"")</f>
        <v/>
      </c>
      <c r="C3292" t="str">
        <f>IFERROR(VLOOKUP($A3292,原始数据_收盘!$A$4:$G$3460,3,0),"")</f>
        <v/>
      </c>
      <c r="D3292" t="str">
        <f>IFERROR(VLOOKUP($A3292,原始数据_收盘!$A$4:$G$3460,4,0),"")</f>
        <v/>
      </c>
      <c r="E3292" t="str">
        <f>IFERROR(VLOOKUP($A3292,原始数据_收盘!$A$4:$G$3460,5,0),"")</f>
        <v/>
      </c>
      <c r="F3292" t="str">
        <f>IFERROR(VLOOKUP($A3292,原始数据_收盘!$A$4:$G$3460,6,0),"")</f>
        <v/>
      </c>
      <c r="G3292" t="str">
        <f>IFERROR(VLOOKUP($A3292,原始数据_收盘!$A$4:$G$3460,7,0),"")</f>
        <v/>
      </c>
      <c r="H3292" t="str">
        <f>IFERROR(VLOOKUP($A3292,原始数据_利率互换_FR007_1年!$A$6:$C$4395,2,0),"")</f>
        <v/>
      </c>
      <c r="I3292" t="str">
        <f>IFERROR(VLOOKUP($A3292,原始数据_利率互换_FR007_1年!$A$6:$C$4395,3,0),"")</f>
        <v/>
      </c>
    </row>
    <row r="3293" spans="1:9">
      <c r="A3293" s="6">
        <v>42786</v>
      </c>
      <c r="B3293">
        <f>IFERROR(VLOOKUP($A3293,原始数据_收盘!$A$4:$G$3460,2,0),"")</f>
        <v>3.3163</v>
      </c>
      <c r="C3293">
        <f>IFERROR(VLOOKUP($A3293,原始数据_收盘!$A$4:$G$3460,3,0),"")</f>
        <v>3.8338</v>
      </c>
      <c r="D3293">
        <f>IFERROR(VLOOKUP($A3293,原始数据_收盘!$A$4:$G$3460,4,0),"")</f>
        <v>3.3675</v>
      </c>
      <c r="E3293">
        <f>IFERROR(VLOOKUP($A3293,原始数据_收盘!$A$4:$G$3460,5,0),"")</f>
        <v>3.8869</v>
      </c>
      <c r="F3293">
        <f>IFERROR(VLOOKUP($A3293,原始数据_收盘!$A$4:$G$3460,6,0),"")</f>
        <v>3.3419</v>
      </c>
      <c r="G3293">
        <f>IFERROR(VLOOKUP($A3293,原始数据_收盘!$A$4:$G$3460,7,0),"")</f>
        <v>3.8603</v>
      </c>
      <c r="H3293">
        <f>IFERROR(VLOOKUP($A3293,原始数据_利率互换_FR007_1年!$A$6:$C$4395,2,0),"")</f>
        <v>3.3314</v>
      </c>
      <c r="I3293">
        <f>IFERROR(VLOOKUP($A3293,原始数据_利率互换_FR007_1年!$A$6:$C$4395,3,0),"")</f>
        <v>3.8614</v>
      </c>
    </row>
    <row r="3294" spans="1:9">
      <c r="A3294" s="6">
        <v>42787</v>
      </c>
      <c r="B3294">
        <f>IFERROR(VLOOKUP($A3294,原始数据_收盘!$A$4:$G$3460,2,0),"")</f>
        <v>3.3588</v>
      </c>
      <c r="C3294">
        <f>IFERROR(VLOOKUP($A3294,原始数据_收盘!$A$4:$G$3460,3,0),"")</f>
        <v>3.875</v>
      </c>
      <c r="D3294">
        <f>IFERROR(VLOOKUP($A3294,原始数据_收盘!$A$4:$G$3460,4,0),"")</f>
        <v>3.41</v>
      </c>
      <c r="E3294">
        <f>IFERROR(VLOOKUP($A3294,原始数据_收盘!$A$4:$G$3460,5,0),"")</f>
        <v>3.9413</v>
      </c>
      <c r="F3294">
        <f>IFERROR(VLOOKUP($A3294,原始数据_收盘!$A$4:$G$3460,6,0),"")</f>
        <v>3.3844</v>
      </c>
      <c r="G3294">
        <f>IFERROR(VLOOKUP($A3294,原始数据_收盘!$A$4:$G$3460,7,0),"")</f>
        <v>3.9081</v>
      </c>
      <c r="H3294">
        <f>IFERROR(VLOOKUP($A3294,原始数据_利率互换_FR007_1年!$A$6:$C$4395,2,0),"")</f>
        <v>3.3655</v>
      </c>
      <c r="I3294">
        <f>IFERROR(VLOOKUP($A3294,原始数据_利率互换_FR007_1年!$A$6:$C$4395,3,0),"")</f>
        <v>3.8835</v>
      </c>
    </row>
    <row r="3295" spans="1:9">
      <c r="A3295" s="6">
        <v>42788</v>
      </c>
      <c r="B3295">
        <f>IFERROR(VLOOKUP($A3295,原始数据_收盘!$A$4:$G$3460,2,0),"")</f>
        <v>3.3509</v>
      </c>
      <c r="C3295">
        <f>IFERROR(VLOOKUP($A3295,原始数据_收盘!$A$4:$G$3460,3,0),"")</f>
        <v>3.8706</v>
      </c>
      <c r="D3295">
        <f>IFERROR(VLOOKUP($A3295,原始数据_收盘!$A$4:$G$3460,4,0),"")</f>
        <v>3.4063</v>
      </c>
      <c r="E3295">
        <f>IFERROR(VLOOKUP($A3295,原始数据_收盘!$A$4:$G$3460,5,0),"")</f>
        <v>3.9313</v>
      </c>
      <c r="F3295">
        <f>IFERROR(VLOOKUP($A3295,原始数据_收盘!$A$4:$G$3460,6,0),"")</f>
        <v>3.3786</v>
      </c>
      <c r="G3295">
        <f>IFERROR(VLOOKUP($A3295,原始数据_收盘!$A$4:$G$3460,7,0),"")</f>
        <v>3.9009</v>
      </c>
      <c r="H3295">
        <f>IFERROR(VLOOKUP($A3295,原始数据_利率互换_FR007_1年!$A$6:$C$4395,2,0),"")</f>
        <v>3.3845</v>
      </c>
      <c r="I3295">
        <f>IFERROR(VLOOKUP($A3295,原始数据_利率互换_FR007_1年!$A$6:$C$4395,3,0),"")</f>
        <v>3.9139</v>
      </c>
    </row>
    <row r="3296" spans="1:9">
      <c r="A3296" s="6">
        <v>42789</v>
      </c>
      <c r="B3296">
        <f>IFERROR(VLOOKUP($A3296,原始数据_收盘!$A$4:$G$3460,2,0),"")</f>
        <v>3.3563</v>
      </c>
      <c r="C3296">
        <f>IFERROR(VLOOKUP($A3296,原始数据_收盘!$A$4:$G$3460,3,0),"")</f>
        <v>3.8575</v>
      </c>
      <c r="D3296">
        <f>IFERROR(VLOOKUP($A3296,原始数据_收盘!$A$4:$G$3460,4,0),"")</f>
        <v>3.4075</v>
      </c>
      <c r="E3296">
        <f>IFERROR(VLOOKUP($A3296,原始数据_收盘!$A$4:$G$3460,5,0),"")</f>
        <v>3.9238</v>
      </c>
      <c r="F3296">
        <f>IFERROR(VLOOKUP($A3296,原始数据_收盘!$A$4:$G$3460,6,0),"")</f>
        <v>3.3819</v>
      </c>
      <c r="G3296">
        <f>IFERROR(VLOOKUP($A3296,原始数据_收盘!$A$4:$G$3460,7,0),"")</f>
        <v>3.8906</v>
      </c>
      <c r="H3296">
        <f>IFERROR(VLOOKUP($A3296,原始数据_利率互换_FR007_1年!$A$6:$C$4395,2,0),"")</f>
        <v>3.3705</v>
      </c>
      <c r="I3296">
        <f>IFERROR(VLOOKUP($A3296,原始数据_利率互换_FR007_1年!$A$6:$C$4395,3,0),"")</f>
        <v>3.8769</v>
      </c>
    </row>
    <row r="3297" spans="1:9">
      <c r="A3297" s="6">
        <v>42790</v>
      </c>
      <c r="B3297">
        <f>IFERROR(VLOOKUP($A3297,原始数据_收盘!$A$4:$G$3460,2,0),"")</f>
        <v>3.3788</v>
      </c>
      <c r="C3297">
        <f>IFERROR(VLOOKUP($A3297,原始数据_收盘!$A$4:$G$3460,3,0),"")</f>
        <v>3.87</v>
      </c>
      <c r="D3297">
        <f>IFERROR(VLOOKUP($A3297,原始数据_收盘!$A$4:$G$3460,4,0),"")</f>
        <v>3.4213</v>
      </c>
      <c r="E3297">
        <f>IFERROR(VLOOKUP($A3297,原始数据_收盘!$A$4:$G$3460,5,0),"")</f>
        <v>3.9238</v>
      </c>
      <c r="F3297">
        <f>IFERROR(VLOOKUP($A3297,原始数据_收盘!$A$4:$G$3460,6,0),"")</f>
        <v>3.4</v>
      </c>
      <c r="G3297">
        <f>IFERROR(VLOOKUP($A3297,原始数据_收盘!$A$4:$G$3460,7,0),"")</f>
        <v>3.8969</v>
      </c>
      <c r="H3297">
        <f>IFERROR(VLOOKUP($A3297,原始数据_利率互换_FR007_1年!$A$6:$C$4395,2,0),"")</f>
        <v>3.3934</v>
      </c>
      <c r="I3297">
        <f>IFERROR(VLOOKUP($A3297,原始数据_利率互换_FR007_1年!$A$6:$C$4395,3,0),"")</f>
        <v>3.8879</v>
      </c>
    </row>
    <row r="3298" spans="1:9">
      <c r="A3298" s="6">
        <v>42791</v>
      </c>
      <c r="B3298" t="str">
        <f>IFERROR(VLOOKUP($A3298,原始数据_收盘!$A$4:$G$3460,2,0),"")</f>
        <v/>
      </c>
      <c r="C3298" t="str">
        <f>IFERROR(VLOOKUP($A3298,原始数据_收盘!$A$4:$G$3460,3,0),"")</f>
        <v/>
      </c>
      <c r="D3298" t="str">
        <f>IFERROR(VLOOKUP($A3298,原始数据_收盘!$A$4:$G$3460,4,0),"")</f>
        <v/>
      </c>
      <c r="E3298" t="str">
        <f>IFERROR(VLOOKUP($A3298,原始数据_收盘!$A$4:$G$3460,5,0),"")</f>
        <v/>
      </c>
      <c r="F3298" t="str">
        <f>IFERROR(VLOOKUP($A3298,原始数据_收盘!$A$4:$G$3460,6,0),"")</f>
        <v/>
      </c>
      <c r="G3298" t="str">
        <f>IFERROR(VLOOKUP($A3298,原始数据_收盘!$A$4:$G$3460,7,0),"")</f>
        <v/>
      </c>
      <c r="H3298" t="str">
        <f>IFERROR(VLOOKUP($A3298,原始数据_利率互换_FR007_1年!$A$6:$C$4395,2,0),"")</f>
        <v/>
      </c>
      <c r="I3298" t="str">
        <f>IFERROR(VLOOKUP($A3298,原始数据_利率互换_FR007_1年!$A$6:$C$4395,3,0),"")</f>
        <v/>
      </c>
    </row>
    <row r="3299" spans="1:9">
      <c r="A3299" s="6">
        <v>42792</v>
      </c>
      <c r="B3299" t="str">
        <f>IFERROR(VLOOKUP($A3299,原始数据_收盘!$A$4:$G$3460,2,0),"")</f>
        <v/>
      </c>
      <c r="C3299" t="str">
        <f>IFERROR(VLOOKUP($A3299,原始数据_收盘!$A$4:$G$3460,3,0),"")</f>
        <v/>
      </c>
      <c r="D3299" t="str">
        <f>IFERROR(VLOOKUP($A3299,原始数据_收盘!$A$4:$G$3460,4,0),"")</f>
        <v/>
      </c>
      <c r="E3299" t="str">
        <f>IFERROR(VLOOKUP($A3299,原始数据_收盘!$A$4:$G$3460,5,0),"")</f>
        <v/>
      </c>
      <c r="F3299" t="str">
        <f>IFERROR(VLOOKUP($A3299,原始数据_收盘!$A$4:$G$3460,6,0),"")</f>
        <v/>
      </c>
      <c r="G3299" t="str">
        <f>IFERROR(VLOOKUP($A3299,原始数据_收盘!$A$4:$G$3460,7,0),"")</f>
        <v/>
      </c>
      <c r="H3299" t="str">
        <f>IFERROR(VLOOKUP($A3299,原始数据_利率互换_FR007_1年!$A$6:$C$4395,2,0),"")</f>
        <v/>
      </c>
      <c r="I3299" t="str">
        <f>IFERROR(VLOOKUP($A3299,原始数据_利率互换_FR007_1年!$A$6:$C$4395,3,0),"")</f>
        <v/>
      </c>
    </row>
    <row r="3300" spans="1:9">
      <c r="A3300" s="6">
        <v>42793</v>
      </c>
      <c r="B3300">
        <f>IFERROR(VLOOKUP($A3300,原始数据_收盘!$A$4:$G$3460,2,0),"")</f>
        <v>3.3488</v>
      </c>
      <c r="C3300">
        <f>IFERROR(VLOOKUP($A3300,原始数据_收盘!$A$4:$G$3460,3,0),"")</f>
        <v>3.8488</v>
      </c>
      <c r="D3300">
        <f>IFERROR(VLOOKUP($A3300,原始数据_收盘!$A$4:$G$3460,4,0),"")</f>
        <v>3.4013</v>
      </c>
      <c r="E3300">
        <f>IFERROR(VLOOKUP($A3300,原始数据_收盘!$A$4:$G$3460,5,0),"")</f>
        <v>3.9063</v>
      </c>
      <c r="F3300">
        <f>IFERROR(VLOOKUP($A3300,原始数据_收盘!$A$4:$G$3460,6,0),"")</f>
        <v>3.375</v>
      </c>
      <c r="G3300">
        <f>IFERROR(VLOOKUP($A3300,原始数据_收盘!$A$4:$G$3460,7,0),"")</f>
        <v>3.8775</v>
      </c>
      <c r="H3300">
        <f>IFERROR(VLOOKUP($A3300,原始数据_利率互换_FR007_1年!$A$6:$C$4395,2,0),"")</f>
        <v>3.3702</v>
      </c>
      <c r="I3300">
        <f>IFERROR(VLOOKUP($A3300,原始数据_利率互换_FR007_1年!$A$6:$C$4395,3,0),"")</f>
        <v>3.8697</v>
      </c>
    </row>
    <row r="3301" spans="1:9">
      <c r="A3301" s="6">
        <v>42794</v>
      </c>
      <c r="B3301">
        <f>IFERROR(VLOOKUP($A3301,原始数据_收盘!$A$4:$G$3460,2,0),"")</f>
        <v>3.3513</v>
      </c>
      <c r="C3301">
        <f>IFERROR(VLOOKUP($A3301,原始数据_收盘!$A$4:$G$3460,3,0),"")</f>
        <v>3.8413</v>
      </c>
      <c r="D3301">
        <f>IFERROR(VLOOKUP($A3301,原始数据_收盘!$A$4:$G$3460,4,0),"")</f>
        <v>3.4025</v>
      </c>
      <c r="E3301">
        <f>IFERROR(VLOOKUP($A3301,原始数据_收盘!$A$4:$G$3460,5,0),"")</f>
        <v>3.9081</v>
      </c>
      <c r="F3301">
        <f>IFERROR(VLOOKUP($A3301,原始数据_收盘!$A$4:$G$3460,6,0),"")</f>
        <v>3.3769</v>
      </c>
      <c r="G3301">
        <f>IFERROR(VLOOKUP($A3301,原始数据_收盘!$A$4:$G$3460,7,0),"")</f>
        <v>3.8747</v>
      </c>
      <c r="H3301">
        <f>IFERROR(VLOOKUP($A3301,原始数据_利率互换_FR007_1年!$A$6:$C$4395,2,0),"")</f>
        <v>3.3696</v>
      </c>
      <c r="I3301">
        <f>IFERROR(VLOOKUP($A3301,原始数据_利率互换_FR007_1年!$A$6:$C$4395,3,0),"")</f>
        <v>3.867</v>
      </c>
    </row>
    <row r="3302" spans="1:9">
      <c r="A3302" s="6">
        <v>42795</v>
      </c>
      <c r="B3302">
        <f>IFERROR(VLOOKUP($A3302,原始数据_收盘!$A$4:$G$3460,2,0),"")</f>
        <v>3.3813</v>
      </c>
      <c r="C3302">
        <f>IFERROR(VLOOKUP($A3302,原始数据_收盘!$A$4:$G$3460,3,0),"")</f>
        <v>3.8738</v>
      </c>
      <c r="D3302">
        <f>IFERROR(VLOOKUP($A3302,原始数据_收盘!$A$4:$G$3460,4,0),"")</f>
        <v>3.4275</v>
      </c>
      <c r="E3302">
        <f>IFERROR(VLOOKUP($A3302,原始数据_收盘!$A$4:$G$3460,5,0),"")</f>
        <v>3.9313</v>
      </c>
      <c r="F3302">
        <f>IFERROR(VLOOKUP($A3302,原始数据_收盘!$A$4:$G$3460,6,0),"")</f>
        <v>3.4044</v>
      </c>
      <c r="G3302">
        <f>IFERROR(VLOOKUP($A3302,原始数据_收盘!$A$4:$G$3460,7,0),"")</f>
        <v>3.9025</v>
      </c>
      <c r="H3302">
        <f>IFERROR(VLOOKUP($A3302,原始数据_利率互换_FR007_1年!$A$6:$C$4395,2,0),"")</f>
        <v>3.394</v>
      </c>
      <c r="I3302">
        <f>IFERROR(VLOOKUP($A3302,原始数据_利率互换_FR007_1年!$A$6:$C$4395,3,0),"")</f>
        <v>3.8914</v>
      </c>
    </row>
    <row r="3303" spans="1:9">
      <c r="A3303" s="6">
        <v>42796</v>
      </c>
      <c r="B3303">
        <f>IFERROR(VLOOKUP($A3303,原始数据_收盘!$A$4:$G$3460,2,0),"")</f>
        <v>3.4113</v>
      </c>
      <c r="C3303">
        <f>IFERROR(VLOOKUP($A3303,原始数据_收盘!$A$4:$G$3460,3,0),"")</f>
        <v>3.9181</v>
      </c>
      <c r="D3303">
        <f>IFERROR(VLOOKUP($A3303,原始数据_收盘!$A$4:$G$3460,4,0),"")</f>
        <v>3.455</v>
      </c>
      <c r="E3303">
        <f>IFERROR(VLOOKUP($A3303,原始数据_收盘!$A$4:$G$3460,5,0),"")</f>
        <v>3.9769</v>
      </c>
      <c r="F3303">
        <f>IFERROR(VLOOKUP($A3303,原始数据_收盘!$A$4:$G$3460,6,0),"")</f>
        <v>3.4331</v>
      </c>
      <c r="G3303">
        <f>IFERROR(VLOOKUP($A3303,原始数据_收盘!$A$4:$G$3460,7,0),"")</f>
        <v>3.9475</v>
      </c>
      <c r="H3303">
        <f>IFERROR(VLOOKUP($A3303,原始数据_利率互换_FR007_1年!$A$6:$C$4395,2,0),"")</f>
        <v>3.4291</v>
      </c>
      <c r="I3303">
        <f>IFERROR(VLOOKUP($A3303,原始数据_利率互换_FR007_1年!$A$6:$C$4395,3,0),"")</f>
        <v>3.9265</v>
      </c>
    </row>
    <row r="3304" spans="1:9">
      <c r="A3304" s="6">
        <v>42797</v>
      </c>
      <c r="B3304">
        <f>IFERROR(VLOOKUP($A3304,原始数据_收盘!$A$4:$G$3460,2,0),"")</f>
        <v>3.41</v>
      </c>
      <c r="C3304">
        <f>IFERROR(VLOOKUP($A3304,原始数据_收盘!$A$4:$G$3460,3,0),"")</f>
        <v>3.9169</v>
      </c>
      <c r="D3304">
        <f>IFERROR(VLOOKUP($A3304,原始数据_收盘!$A$4:$G$3460,4,0),"")</f>
        <v>3.455</v>
      </c>
      <c r="E3304">
        <f>IFERROR(VLOOKUP($A3304,原始数据_收盘!$A$4:$G$3460,5,0),"")</f>
        <v>3.98</v>
      </c>
      <c r="F3304">
        <f>IFERROR(VLOOKUP($A3304,原始数据_收盘!$A$4:$G$3460,6,0),"")</f>
        <v>3.4325</v>
      </c>
      <c r="G3304">
        <f>IFERROR(VLOOKUP($A3304,原始数据_收盘!$A$4:$G$3460,7,0),"")</f>
        <v>3.9484</v>
      </c>
      <c r="H3304">
        <f>IFERROR(VLOOKUP($A3304,原始数据_利率互换_FR007_1年!$A$6:$C$4395,2,0),"")</f>
        <v>3.4277</v>
      </c>
      <c r="I3304">
        <f>IFERROR(VLOOKUP($A3304,原始数据_利率互换_FR007_1年!$A$6:$C$4395,3,0),"")</f>
        <v>3.9474</v>
      </c>
    </row>
    <row r="3305" spans="1:9">
      <c r="A3305" s="6">
        <v>42798</v>
      </c>
      <c r="B3305" t="str">
        <f>IFERROR(VLOOKUP($A3305,原始数据_收盘!$A$4:$G$3460,2,0),"")</f>
        <v/>
      </c>
      <c r="C3305" t="str">
        <f>IFERROR(VLOOKUP($A3305,原始数据_收盘!$A$4:$G$3460,3,0),"")</f>
        <v/>
      </c>
      <c r="D3305" t="str">
        <f>IFERROR(VLOOKUP($A3305,原始数据_收盘!$A$4:$G$3460,4,0),"")</f>
        <v/>
      </c>
      <c r="E3305" t="str">
        <f>IFERROR(VLOOKUP($A3305,原始数据_收盘!$A$4:$G$3460,5,0),"")</f>
        <v/>
      </c>
      <c r="F3305" t="str">
        <f>IFERROR(VLOOKUP($A3305,原始数据_收盘!$A$4:$G$3460,6,0),"")</f>
        <v/>
      </c>
      <c r="G3305" t="str">
        <f>IFERROR(VLOOKUP($A3305,原始数据_收盘!$A$4:$G$3460,7,0),"")</f>
        <v/>
      </c>
      <c r="H3305" t="str">
        <f>IFERROR(VLOOKUP($A3305,原始数据_利率互换_FR007_1年!$A$6:$C$4395,2,0),"")</f>
        <v/>
      </c>
      <c r="I3305" t="str">
        <f>IFERROR(VLOOKUP($A3305,原始数据_利率互换_FR007_1年!$A$6:$C$4395,3,0),"")</f>
        <v/>
      </c>
    </row>
    <row r="3306" spans="1:9">
      <c r="A3306" s="6">
        <v>42799</v>
      </c>
      <c r="B3306" t="str">
        <f>IFERROR(VLOOKUP($A3306,原始数据_收盘!$A$4:$G$3460,2,0),"")</f>
        <v/>
      </c>
      <c r="C3306" t="str">
        <f>IFERROR(VLOOKUP($A3306,原始数据_收盘!$A$4:$G$3460,3,0),"")</f>
        <v/>
      </c>
      <c r="D3306" t="str">
        <f>IFERROR(VLOOKUP($A3306,原始数据_收盘!$A$4:$G$3460,4,0),"")</f>
        <v/>
      </c>
      <c r="E3306" t="str">
        <f>IFERROR(VLOOKUP($A3306,原始数据_收盘!$A$4:$G$3460,5,0),"")</f>
        <v/>
      </c>
      <c r="F3306" t="str">
        <f>IFERROR(VLOOKUP($A3306,原始数据_收盘!$A$4:$G$3460,6,0),"")</f>
        <v/>
      </c>
      <c r="G3306" t="str">
        <f>IFERROR(VLOOKUP($A3306,原始数据_收盘!$A$4:$G$3460,7,0),"")</f>
        <v/>
      </c>
      <c r="H3306" t="str">
        <f>IFERROR(VLOOKUP($A3306,原始数据_利率互换_FR007_1年!$A$6:$C$4395,2,0),"")</f>
        <v/>
      </c>
      <c r="I3306" t="str">
        <f>IFERROR(VLOOKUP($A3306,原始数据_利率互换_FR007_1年!$A$6:$C$4395,3,0),"")</f>
        <v/>
      </c>
    </row>
    <row r="3307" spans="1:9">
      <c r="A3307" s="6">
        <v>42800</v>
      </c>
      <c r="B3307">
        <f>IFERROR(VLOOKUP($A3307,原始数据_收盘!$A$4:$G$3460,2,0),"")</f>
        <v>3.41</v>
      </c>
      <c r="C3307">
        <f>IFERROR(VLOOKUP($A3307,原始数据_收盘!$A$4:$G$3460,3,0),"")</f>
        <v>3.9206</v>
      </c>
      <c r="D3307">
        <f>IFERROR(VLOOKUP($A3307,原始数据_收盘!$A$4:$G$3460,4,0),"")</f>
        <v>3.455</v>
      </c>
      <c r="E3307">
        <f>IFERROR(VLOOKUP($A3307,原始数据_收盘!$A$4:$G$3460,5,0),"")</f>
        <v>3.9825</v>
      </c>
      <c r="F3307">
        <f>IFERROR(VLOOKUP($A3307,原始数据_收盘!$A$4:$G$3460,6,0),"")</f>
        <v>3.4325</v>
      </c>
      <c r="G3307">
        <f>IFERROR(VLOOKUP($A3307,原始数据_收盘!$A$4:$G$3460,7,0),"")</f>
        <v>3.9516</v>
      </c>
      <c r="H3307">
        <f>IFERROR(VLOOKUP($A3307,原始数据_利率互换_FR007_1年!$A$6:$C$4395,2,0),"")</f>
        <v>3.4315</v>
      </c>
      <c r="I3307">
        <f>IFERROR(VLOOKUP($A3307,原始数据_利率互换_FR007_1年!$A$6:$C$4395,3,0),"")</f>
        <v>3.9426</v>
      </c>
    </row>
    <row r="3308" spans="1:9">
      <c r="A3308" s="6">
        <v>42801</v>
      </c>
      <c r="B3308">
        <f>IFERROR(VLOOKUP($A3308,原始数据_收盘!$A$4:$G$3460,2,0),"")</f>
        <v>3.4169</v>
      </c>
      <c r="C3308">
        <f>IFERROR(VLOOKUP($A3308,原始数据_收盘!$A$4:$G$3460,3,0),"")</f>
        <v>3.9225</v>
      </c>
      <c r="D3308">
        <f>IFERROR(VLOOKUP($A3308,原始数据_收盘!$A$4:$G$3460,4,0),"")</f>
        <v>3.4731</v>
      </c>
      <c r="E3308">
        <f>IFERROR(VLOOKUP($A3308,原始数据_收盘!$A$4:$G$3460,5,0),"")</f>
        <v>3.9938</v>
      </c>
      <c r="F3308">
        <f>IFERROR(VLOOKUP($A3308,原始数据_收盘!$A$4:$G$3460,6,0),"")</f>
        <v>3.445</v>
      </c>
      <c r="G3308">
        <f>IFERROR(VLOOKUP($A3308,原始数据_收盘!$A$4:$G$3460,7,0),"")</f>
        <v>3.9581</v>
      </c>
      <c r="H3308">
        <f>IFERROR(VLOOKUP($A3308,原始数据_利率互换_FR007_1年!$A$6:$C$4395,2,0),"")</f>
        <v>3.4468</v>
      </c>
      <c r="I3308">
        <f>IFERROR(VLOOKUP($A3308,原始数据_利率互换_FR007_1年!$A$6:$C$4395,3,0),"")</f>
        <v>3.956</v>
      </c>
    </row>
    <row r="3309" spans="1:9">
      <c r="A3309" s="6">
        <v>42802</v>
      </c>
      <c r="B3309">
        <f>IFERROR(VLOOKUP($A3309,原始数据_收盘!$A$4:$G$3460,2,0),"")</f>
        <v>3.5094</v>
      </c>
      <c r="C3309">
        <f>IFERROR(VLOOKUP($A3309,原始数据_收盘!$A$4:$G$3460,3,0),"")</f>
        <v>4.005</v>
      </c>
      <c r="D3309">
        <f>IFERROR(VLOOKUP($A3309,原始数据_收盘!$A$4:$G$3460,4,0),"")</f>
        <v>3.5633</v>
      </c>
      <c r="E3309">
        <f>IFERROR(VLOOKUP($A3309,原始数据_收盘!$A$4:$G$3460,5,0),"")</f>
        <v>4.0725</v>
      </c>
      <c r="F3309">
        <f>IFERROR(VLOOKUP($A3309,原始数据_收盘!$A$4:$G$3460,6,0),"")</f>
        <v>3.5363</v>
      </c>
      <c r="G3309">
        <f>IFERROR(VLOOKUP($A3309,原始数据_收盘!$A$4:$G$3460,7,0),"")</f>
        <v>4.0388</v>
      </c>
      <c r="H3309">
        <f>IFERROR(VLOOKUP($A3309,原始数据_利率互换_FR007_1年!$A$6:$C$4395,2,0),"")</f>
        <v>3.4964</v>
      </c>
      <c r="I3309">
        <f>IFERROR(VLOOKUP($A3309,原始数据_利率互换_FR007_1年!$A$6:$C$4395,3,0),"")</f>
        <v>4.01</v>
      </c>
    </row>
    <row r="3310" spans="1:9">
      <c r="A3310" s="6">
        <v>42803</v>
      </c>
      <c r="B3310">
        <f>IFERROR(VLOOKUP($A3310,原始数据_收盘!$A$4:$G$3460,2,0),"")</f>
        <v>3.5138</v>
      </c>
      <c r="C3310">
        <f>IFERROR(VLOOKUP($A3310,原始数据_收盘!$A$4:$G$3460,3,0),"")</f>
        <v>4.0225</v>
      </c>
      <c r="D3310">
        <f>IFERROR(VLOOKUP($A3310,原始数据_收盘!$A$4:$G$3460,4,0),"")</f>
        <v>3.5744</v>
      </c>
      <c r="E3310">
        <f>IFERROR(VLOOKUP($A3310,原始数据_收盘!$A$4:$G$3460,5,0),"")</f>
        <v>4.0963</v>
      </c>
      <c r="F3310">
        <f>IFERROR(VLOOKUP($A3310,原始数据_收盘!$A$4:$G$3460,6,0),"")</f>
        <v>3.5441</v>
      </c>
      <c r="G3310">
        <f>IFERROR(VLOOKUP($A3310,原始数据_收盘!$A$4:$G$3460,7,0),"")</f>
        <v>4.0594</v>
      </c>
      <c r="H3310">
        <f>IFERROR(VLOOKUP($A3310,原始数据_利率互换_FR007_1年!$A$6:$C$4395,2,0),"")</f>
        <v>3.5408</v>
      </c>
      <c r="I3310">
        <f>IFERROR(VLOOKUP($A3310,原始数据_利率互换_FR007_1年!$A$6:$C$4395,3,0),"")</f>
        <v>4.054</v>
      </c>
    </row>
    <row r="3311" spans="1:9">
      <c r="A3311" s="6">
        <v>42804</v>
      </c>
      <c r="B3311">
        <f>IFERROR(VLOOKUP($A3311,原始数据_收盘!$A$4:$G$3460,2,0),"")</f>
        <v>3.5006</v>
      </c>
      <c r="C3311">
        <f>IFERROR(VLOOKUP($A3311,原始数据_收盘!$A$4:$G$3460,3,0),"")</f>
        <v>4.0138</v>
      </c>
      <c r="D3311">
        <f>IFERROR(VLOOKUP($A3311,原始数据_收盘!$A$4:$G$3460,4,0),"")</f>
        <v>3.5581</v>
      </c>
      <c r="E3311">
        <f>IFERROR(VLOOKUP($A3311,原始数据_收盘!$A$4:$G$3460,5,0),"")</f>
        <v>4.0825</v>
      </c>
      <c r="F3311">
        <f>IFERROR(VLOOKUP($A3311,原始数据_收盘!$A$4:$G$3460,6,0),"")</f>
        <v>3.5294</v>
      </c>
      <c r="G3311">
        <f>IFERROR(VLOOKUP($A3311,原始数据_收盘!$A$4:$G$3460,7,0),"")</f>
        <v>4.0481</v>
      </c>
      <c r="H3311">
        <f>IFERROR(VLOOKUP($A3311,原始数据_利率互换_FR007_1年!$A$6:$C$4395,2,0),"")</f>
        <v>3.541</v>
      </c>
      <c r="I3311">
        <f>IFERROR(VLOOKUP($A3311,原始数据_利率互换_FR007_1年!$A$6:$C$4395,3,0),"")</f>
        <v>4.0587</v>
      </c>
    </row>
    <row r="3312" spans="1:9">
      <c r="A3312" s="6">
        <v>42805</v>
      </c>
      <c r="B3312" t="str">
        <f>IFERROR(VLOOKUP($A3312,原始数据_收盘!$A$4:$G$3460,2,0),"")</f>
        <v/>
      </c>
      <c r="C3312" t="str">
        <f>IFERROR(VLOOKUP($A3312,原始数据_收盘!$A$4:$G$3460,3,0),"")</f>
        <v/>
      </c>
      <c r="D3312" t="str">
        <f>IFERROR(VLOOKUP($A3312,原始数据_收盘!$A$4:$G$3460,4,0),"")</f>
        <v/>
      </c>
      <c r="E3312" t="str">
        <f>IFERROR(VLOOKUP($A3312,原始数据_收盘!$A$4:$G$3460,5,0),"")</f>
        <v/>
      </c>
      <c r="F3312" t="str">
        <f>IFERROR(VLOOKUP($A3312,原始数据_收盘!$A$4:$G$3460,6,0),"")</f>
        <v/>
      </c>
      <c r="G3312" t="str">
        <f>IFERROR(VLOOKUP($A3312,原始数据_收盘!$A$4:$G$3460,7,0),"")</f>
        <v/>
      </c>
      <c r="H3312" t="str">
        <f>IFERROR(VLOOKUP($A3312,原始数据_利率互换_FR007_1年!$A$6:$C$4395,2,0),"")</f>
        <v/>
      </c>
      <c r="I3312" t="str">
        <f>IFERROR(VLOOKUP($A3312,原始数据_利率互换_FR007_1年!$A$6:$C$4395,3,0),"")</f>
        <v/>
      </c>
    </row>
    <row r="3313" spans="1:9">
      <c r="A3313" s="6">
        <v>42806</v>
      </c>
      <c r="B3313" t="str">
        <f>IFERROR(VLOOKUP($A3313,原始数据_收盘!$A$4:$G$3460,2,0),"")</f>
        <v/>
      </c>
      <c r="C3313" t="str">
        <f>IFERROR(VLOOKUP($A3313,原始数据_收盘!$A$4:$G$3460,3,0),"")</f>
        <v/>
      </c>
      <c r="D3313" t="str">
        <f>IFERROR(VLOOKUP($A3313,原始数据_收盘!$A$4:$G$3460,4,0),"")</f>
        <v/>
      </c>
      <c r="E3313" t="str">
        <f>IFERROR(VLOOKUP($A3313,原始数据_收盘!$A$4:$G$3460,5,0),"")</f>
        <v/>
      </c>
      <c r="F3313" t="str">
        <f>IFERROR(VLOOKUP($A3313,原始数据_收盘!$A$4:$G$3460,6,0),"")</f>
        <v/>
      </c>
      <c r="G3313" t="str">
        <f>IFERROR(VLOOKUP($A3313,原始数据_收盘!$A$4:$G$3460,7,0),"")</f>
        <v/>
      </c>
      <c r="H3313" t="str">
        <f>IFERROR(VLOOKUP($A3313,原始数据_利率互换_FR007_1年!$A$6:$C$4395,2,0),"")</f>
        <v/>
      </c>
      <c r="I3313" t="str">
        <f>IFERROR(VLOOKUP($A3313,原始数据_利率互换_FR007_1年!$A$6:$C$4395,3,0),"")</f>
        <v/>
      </c>
    </row>
    <row r="3314" spans="1:9">
      <c r="A3314" s="6">
        <v>42807</v>
      </c>
      <c r="B3314">
        <f>IFERROR(VLOOKUP($A3314,原始数据_收盘!$A$4:$G$3460,2,0),"")</f>
        <v>3.4575</v>
      </c>
      <c r="C3314">
        <f>IFERROR(VLOOKUP($A3314,原始数据_收盘!$A$4:$G$3460,3,0),"")</f>
        <v>3.9575</v>
      </c>
      <c r="D3314">
        <f>IFERROR(VLOOKUP($A3314,原始数据_收盘!$A$4:$G$3460,4,0),"")</f>
        <v>3.505</v>
      </c>
      <c r="E3314">
        <f>IFERROR(VLOOKUP($A3314,原始数据_收盘!$A$4:$G$3460,5,0),"")</f>
        <v>4.0106</v>
      </c>
      <c r="F3314">
        <f>IFERROR(VLOOKUP($A3314,原始数据_收盘!$A$4:$G$3460,6,0),"")</f>
        <v>3.4813</v>
      </c>
      <c r="G3314">
        <f>IFERROR(VLOOKUP($A3314,原始数据_收盘!$A$4:$G$3460,7,0),"")</f>
        <v>3.9841</v>
      </c>
      <c r="H3314">
        <f>IFERROR(VLOOKUP($A3314,原始数据_利率互换_FR007_1年!$A$6:$C$4395,2,0),"")</f>
        <v>3.5031</v>
      </c>
      <c r="I3314">
        <f>IFERROR(VLOOKUP($A3314,原始数据_利率互换_FR007_1年!$A$6:$C$4395,3,0),"")</f>
        <v>4.0092</v>
      </c>
    </row>
    <row r="3315" spans="1:9">
      <c r="A3315" s="6">
        <v>42808</v>
      </c>
      <c r="B3315">
        <f>IFERROR(VLOOKUP($A3315,原始数据_收盘!$A$4:$G$3460,2,0),"")</f>
        <v>3.4419</v>
      </c>
      <c r="C3315">
        <f>IFERROR(VLOOKUP($A3315,原始数据_收盘!$A$4:$G$3460,3,0),"")</f>
        <v>3.9381</v>
      </c>
      <c r="D3315">
        <f>IFERROR(VLOOKUP($A3315,原始数据_收盘!$A$4:$G$3460,4,0),"")</f>
        <v>3.5013</v>
      </c>
      <c r="E3315">
        <f>IFERROR(VLOOKUP($A3315,原始数据_收盘!$A$4:$G$3460,5,0),"")</f>
        <v>4.0025</v>
      </c>
      <c r="F3315">
        <f>IFERROR(VLOOKUP($A3315,原始数据_收盘!$A$4:$G$3460,6,0),"")</f>
        <v>3.4716</v>
      </c>
      <c r="G3315">
        <f>IFERROR(VLOOKUP($A3315,原始数据_收盘!$A$4:$G$3460,7,0),"")</f>
        <v>3.9703</v>
      </c>
      <c r="H3315">
        <f>IFERROR(VLOOKUP($A3315,原始数据_利率互换_FR007_1年!$A$6:$C$4395,2,0),"")</f>
        <v>3.4735</v>
      </c>
      <c r="I3315">
        <f>IFERROR(VLOOKUP($A3315,原始数据_利率互换_FR007_1年!$A$6:$C$4395,3,0),"")</f>
        <v>3.9754</v>
      </c>
    </row>
    <row r="3316" spans="1:9">
      <c r="A3316" s="6">
        <v>42809</v>
      </c>
      <c r="B3316">
        <f>IFERROR(VLOOKUP($A3316,原始数据_收盘!$A$4:$G$3460,2,0),"")</f>
        <v>3.415</v>
      </c>
      <c r="C3316">
        <f>IFERROR(VLOOKUP($A3316,原始数据_收盘!$A$4:$G$3460,3,0),"")</f>
        <v>3.9006</v>
      </c>
      <c r="D3316">
        <f>IFERROR(VLOOKUP($A3316,原始数据_收盘!$A$4:$G$3460,4,0),"")</f>
        <v>3.4638</v>
      </c>
      <c r="E3316">
        <f>IFERROR(VLOOKUP($A3316,原始数据_收盘!$A$4:$G$3460,5,0),"")</f>
        <v>3.95</v>
      </c>
      <c r="F3316">
        <f>IFERROR(VLOOKUP($A3316,原始数据_收盘!$A$4:$G$3460,6,0),"")</f>
        <v>3.4394</v>
      </c>
      <c r="G3316">
        <f>IFERROR(VLOOKUP($A3316,原始数据_收盘!$A$4:$G$3460,7,0),"")</f>
        <v>3.9253</v>
      </c>
      <c r="H3316">
        <f>IFERROR(VLOOKUP($A3316,原始数据_利率互换_FR007_1年!$A$6:$C$4395,2,0),"")</f>
        <v>3.4577</v>
      </c>
      <c r="I3316">
        <f>IFERROR(VLOOKUP($A3316,原始数据_利率互换_FR007_1年!$A$6:$C$4395,3,0),"")</f>
        <v>3.9422</v>
      </c>
    </row>
    <row r="3317" spans="1:9">
      <c r="A3317" s="6">
        <v>42810</v>
      </c>
      <c r="B3317">
        <f>IFERROR(VLOOKUP($A3317,原始数据_收盘!$A$4:$G$3460,2,0),"")</f>
        <v>3.5041</v>
      </c>
      <c r="C3317">
        <f>IFERROR(VLOOKUP($A3317,原始数据_收盘!$A$4:$G$3460,3,0),"")</f>
        <v>3.915</v>
      </c>
      <c r="D3317">
        <f>IFERROR(VLOOKUP($A3317,原始数据_收盘!$A$4:$G$3460,4,0),"")</f>
        <v>3.55</v>
      </c>
      <c r="E3317">
        <f>IFERROR(VLOOKUP($A3317,原始数据_收盘!$A$4:$G$3460,5,0),"")</f>
        <v>3.9744</v>
      </c>
      <c r="F3317">
        <f>IFERROR(VLOOKUP($A3317,原始数据_收盘!$A$4:$G$3460,6,0),"")</f>
        <v>3.5271</v>
      </c>
      <c r="G3317">
        <f>IFERROR(VLOOKUP($A3317,原始数据_收盘!$A$4:$G$3460,7,0),"")</f>
        <v>3.9447</v>
      </c>
      <c r="H3317">
        <f>IFERROR(VLOOKUP($A3317,原始数据_利率互换_FR007_1年!$A$6:$C$4395,2,0),"")</f>
        <v>3.5106</v>
      </c>
      <c r="I3317">
        <f>IFERROR(VLOOKUP($A3317,原始数据_利率互换_FR007_1年!$A$6:$C$4395,3,0),"")</f>
        <v>3.8977</v>
      </c>
    </row>
    <row r="3318" spans="1:9">
      <c r="A3318" s="6">
        <v>42811</v>
      </c>
      <c r="B3318">
        <f>IFERROR(VLOOKUP($A3318,原始数据_收盘!$A$4:$G$3460,2,0),"")</f>
        <v>3.5294</v>
      </c>
      <c r="C3318">
        <f>IFERROR(VLOOKUP($A3318,原始数据_收盘!$A$4:$G$3460,3,0),"")</f>
        <v>3.9531</v>
      </c>
      <c r="D3318">
        <f>IFERROR(VLOOKUP($A3318,原始数据_收盘!$A$4:$G$3460,4,0),"")</f>
        <v>3.5581</v>
      </c>
      <c r="E3318">
        <f>IFERROR(VLOOKUP($A3318,原始数据_收盘!$A$4:$G$3460,5,0),"")</f>
        <v>3.9944</v>
      </c>
      <c r="F3318">
        <f>IFERROR(VLOOKUP($A3318,原始数据_收盘!$A$4:$G$3460,6,0),"")</f>
        <v>3.5438</v>
      </c>
      <c r="G3318">
        <f>IFERROR(VLOOKUP($A3318,原始数据_收盘!$A$4:$G$3460,7,0),"")</f>
        <v>3.9738</v>
      </c>
      <c r="H3318">
        <f>IFERROR(VLOOKUP($A3318,原始数据_利率互换_FR007_1年!$A$6:$C$4395,2,0),"")</f>
        <v>3.5663</v>
      </c>
      <c r="I3318">
        <f>IFERROR(VLOOKUP($A3318,原始数据_利率互换_FR007_1年!$A$6:$C$4395,3,0),"")</f>
        <v>3.9566</v>
      </c>
    </row>
    <row r="3319" spans="1:9">
      <c r="A3319" s="6">
        <v>42812</v>
      </c>
      <c r="B3319" t="str">
        <f>IFERROR(VLOOKUP($A3319,原始数据_收盘!$A$4:$G$3460,2,0),"")</f>
        <v/>
      </c>
      <c r="C3319" t="str">
        <f>IFERROR(VLOOKUP($A3319,原始数据_收盘!$A$4:$G$3460,3,0),"")</f>
        <v/>
      </c>
      <c r="D3319" t="str">
        <f>IFERROR(VLOOKUP($A3319,原始数据_收盘!$A$4:$G$3460,4,0),"")</f>
        <v/>
      </c>
      <c r="E3319" t="str">
        <f>IFERROR(VLOOKUP($A3319,原始数据_收盘!$A$4:$G$3460,5,0),"")</f>
        <v/>
      </c>
      <c r="F3319" t="str">
        <f>IFERROR(VLOOKUP($A3319,原始数据_收盘!$A$4:$G$3460,6,0),"")</f>
        <v/>
      </c>
      <c r="G3319" t="str">
        <f>IFERROR(VLOOKUP($A3319,原始数据_收盘!$A$4:$G$3460,7,0),"")</f>
        <v/>
      </c>
      <c r="H3319" t="str">
        <f>IFERROR(VLOOKUP($A3319,原始数据_利率互换_FR007_1年!$A$6:$C$4395,2,0),"")</f>
        <v/>
      </c>
      <c r="I3319" t="str">
        <f>IFERROR(VLOOKUP($A3319,原始数据_利率互换_FR007_1年!$A$6:$C$4395,3,0),"")</f>
        <v/>
      </c>
    </row>
    <row r="3320" spans="1:9">
      <c r="A3320" s="6">
        <v>42813</v>
      </c>
      <c r="B3320" t="str">
        <f>IFERROR(VLOOKUP($A3320,原始数据_收盘!$A$4:$G$3460,2,0),"")</f>
        <v/>
      </c>
      <c r="C3320" t="str">
        <f>IFERROR(VLOOKUP($A3320,原始数据_收盘!$A$4:$G$3460,3,0),"")</f>
        <v/>
      </c>
      <c r="D3320" t="str">
        <f>IFERROR(VLOOKUP($A3320,原始数据_收盘!$A$4:$G$3460,4,0),"")</f>
        <v/>
      </c>
      <c r="E3320" t="str">
        <f>IFERROR(VLOOKUP($A3320,原始数据_收盘!$A$4:$G$3460,5,0),"")</f>
        <v/>
      </c>
      <c r="F3320" t="str">
        <f>IFERROR(VLOOKUP($A3320,原始数据_收盘!$A$4:$G$3460,6,0),"")</f>
        <v/>
      </c>
      <c r="G3320" t="str">
        <f>IFERROR(VLOOKUP($A3320,原始数据_收盘!$A$4:$G$3460,7,0),"")</f>
        <v/>
      </c>
      <c r="H3320" t="str">
        <f>IFERROR(VLOOKUP($A3320,原始数据_利率互换_FR007_1年!$A$6:$C$4395,2,0),"")</f>
        <v/>
      </c>
      <c r="I3320" t="str">
        <f>IFERROR(VLOOKUP($A3320,原始数据_利率互换_FR007_1年!$A$6:$C$4395,3,0),"")</f>
        <v/>
      </c>
    </row>
    <row r="3321" spans="1:9">
      <c r="A3321" s="6">
        <v>42814</v>
      </c>
      <c r="B3321">
        <f>IFERROR(VLOOKUP($A3321,原始数据_收盘!$A$4:$G$3460,2,0),"")</f>
        <v>3.5788</v>
      </c>
      <c r="C3321">
        <f>IFERROR(VLOOKUP($A3321,原始数据_收盘!$A$4:$G$3460,3,0),"")</f>
        <v>3.9513</v>
      </c>
      <c r="D3321">
        <f>IFERROR(VLOOKUP($A3321,原始数据_收盘!$A$4:$G$3460,4,0),"")</f>
        <v>3.6238</v>
      </c>
      <c r="E3321">
        <f>IFERROR(VLOOKUP($A3321,原始数据_收盘!$A$4:$G$3460,5,0),"")</f>
        <v>4.005</v>
      </c>
      <c r="F3321">
        <f>IFERROR(VLOOKUP($A3321,原始数据_收盘!$A$4:$G$3460,6,0),"")</f>
        <v>3.6013</v>
      </c>
      <c r="G3321">
        <f>IFERROR(VLOOKUP($A3321,原始数据_收盘!$A$4:$G$3460,7,0),"")</f>
        <v>3.9781</v>
      </c>
      <c r="H3321">
        <f>IFERROR(VLOOKUP($A3321,原始数据_利率互换_FR007_1年!$A$6:$C$4395,2,0),"")</f>
        <v>3.6015</v>
      </c>
      <c r="I3321">
        <f>IFERROR(VLOOKUP($A3321,原始数据_利率互换_FR007_1年!$A$6:$C$4395,3,0),"")</f>
        <v>3.9782</v>
      </c>
    </row>
    <row r="3322" spans="1:9">
      <c r="A3322" s="6">
        <v>42815</v>
      </c>
      <c r="B3322">
        <f>IFERROR(VLOOKUP($A3322,原始数据_收盘!$A$4:$G$3460,2,0),"")</f>
        <v>3.6513</v>
      </c>
      <c r="C3322">
        <f>IFERROR(VLOOKUP($A3322,原始数据_收盘!$A$4:$G$3460,3,0),"")</f>
        <v>3.9438</v>
      </c>
      <c r="D3322">
        <f>IFERROR(VLOOKUP($A3322,原始数据_收盘!$A$4:$G$3460,4,0),"")</f>
        <v>3.7144</v>
      </c>
      <c r="E3322">
        <f>IFERROR(VLOOKUP($A3322,原始数据_收盘!$A$4:$G$3460,5,0),"")</f>
        <v>4.0219</v>
      </c>
      <c r="F3322">
        <f>IFERROR(VLOOKUP($A3322,原始数据_收盘!$A$4:$G$3460,6,0),"")</f>
        <v>3.6828</v>
      </c>
      <c r="G3322">
        <f>IFERROR(VLOOKUP($A3322,原始数据_收盘!$A$4:$G$3460,7,0),"")</f>
        <v>3.9828</v>
      </c>
      <c r="H3322">
        <f>IFERROR(VLOOKUP($A3322,原始数据_利率互换_FR007_1年!$A$6:$C$4395,2,0),"")</f>
        <v>3.6932</v>
      </c>
      <c r="I3322">
        <f>IFERROR(VLOOKUP($A3322,原始数据_利率互换_FR007_1年!$A$6:$C$4395,3,0),"")</f>
        <v>4.0053</v>
      </c>
    </row>
    <row r="3323" spans="1:9">
      <c r="A3323" s="6">
        <v>42816</v>
      </c>
      <c r="B3323">
        <f>IFERROR(VLOOKUP($A3323,原始数据_收盘!$A$4:$G$3460,2,0),"")</f>
        <v>3.6448</v>
      </c>
      <c r="C3323">
        <f>IFERROR(VLOOKUP($A3323,原始数据_收盘!$A$4:$G$3460,3,0),"")</f>
        <v>3.9384</v>
      </c>
      <c r="D3323">
        <f>IFERROR(VLOOKUP($A3323,原始数据_收盘!$A$4:$G$3460,4,0),"")</f>
        <v>3.6935</v>
      </c>
      <c r="E3323">
        <f>IFERROR(VLOOKUP($A3323,原始数据_收盘!$A$4:$G$3460,5,0),"")</f>
        <v>4.0003</v>
      </c>
      <c r="F3323">
        <f>IFERROR(VLOOKUP($A3323,原始数据_收盘!$A$4:$G$3460,6,0),"")</f>
        <v>3.6691</v>
      </c>
      <c r="G3323">
        <f>IFERROR(VLOOKUP($A3323,原始数据_收盘!$A$4:$G$3460,7,0),"")</f>
        <v>3.9693</v>
      </c>
      <c r="H3323">
        <f>IFERROR(VLOOKUP($A3323,原始数据_利率互换_FR007_1年!$A$6:$C$4395,2,0),"")</f>
        <v>3.6732</v>
      </c>
      <c r="I3323">
        <f>IFERROR(VLOOKUP($A3323,原始数据_利率互换_FR007_1年!$A$6:$C$4395,3,0),"")</f>
        <v>3.9635</v>
      </c>
    </row>
    <row r="3324" spans="1:9">
      <c r="A3324" s="6">
        <v>42817</v>
      </c>
      <c r="B3324">
        <f>IFERROR(VLOOKUP($A3324,原始数据_收盘!$A$4:$G$3460,2,0),"")</f>
        <v>3.5979</v>
      </c>
      <c r="C3324">
        <f>IFERROR(VLOOKUP($A3324,原始数据_收盘!$A$4:$G$3460,3,0),"")</f>
        <v>3.9075</v>
      </c>
      <c r="D3324">
        <f>IFERROR(VLOOKUP($A3324,原始数据_收盘!$A$4:$G$3460,4,0),"")</f>
        <v>3.6471</v>
      </c>
      <c r="E3324">
        <f>IFERROR(VLOOKUP($A3324,原始数据_收盘!$A$4:$G$3460,5,0),"")</f>
        <v>3.9688</v>
      </c>
      <c r="F3324">
        <f>IFERROR(VLOOKUP($A3324,原始数据_收盘!$A$4:$G$3460,6,0),"")</f>
        <v>3.6225</v>
      </c>
      <c r="G3324">
        <f>IFERROR(VLOOKUP($A3324,原始数据_收盘!$A$4:$G$3460,7,0),"")</f>
        <v>3.9381</v>
      </c>
      <c r="H3324">
        <f>IFERROR(VLOOKUP($A3324,原始数据_利率互换_FR007_1年!$A$6:$C$4395,2,0),"")</f>
        <v>3.6375</v>
      </c>
      <c r="I3324">
        <f>IFERROR(VLOOKUP($A3324,原始数据_利率互换_FR007_1年!$A$6:$C$4395,3,0),"")</f>
        <v>3.9457</v>
      </c>
    </row>
    <row r="3325" spans="1:9">
      <c r="A3325" s="6">
        <v>42818</v>
      </c>
      <c r="B3325">
        <f>IFERROR(VLOOKUP($A3325,原始数据_收盘!$A$4:$G$3460,2,0),"")</f>
        <v>3.5579</v>
      </c>
      <c r="C3325">
        <f>IFERROR(VLOOKUP($A3325,原始数据_收盘!$A$4:$G$3460,3,0),"")</f>
        <v>3.8888</v>
      </c>
      <c r="D3325">
        <f>IFERROR(VLOOKUP($A3325,原始数据_收盘!$A$4:$G$3460,4,0),"")</f>
        <v>3.6113</v>
      </c>
      <c r="E3325">
        <f>IFERROR(VLOOKUP($A3325,原始数据_收盘!$A$4:$G$3460,5,0),"")</f>
        <v>3.96</v>
      </c>
      <c r="F3325">
        <f>IFERROR(VLOOKUP($A3325,原始数据_收盘!$A$4:$G$3460,6,0),"")</f>
        <v>3.5846</v>
      </c>
      <c r="G3325">
        <f>IFERROR(VLOOKUP($A3325,原始数据_收盘!$A$4:$G$3460,7,0),"")</f>
        <v>3.9244</v>
      </c>
      <c r="H3325">
        <f>IFERROR(VLOOKUP($A3325,原始数据_利率互换_FR007_1年!$A$6:$C$4395,2,0),"")</f>
        <v>3.5894</v>
      </c>
      <c r="I3325">
        <f>IFERROR(VLOOKUP($A3325,原始数据_利率互换_FR007_1年!$A$6:$C$4395,3,0),"")</f>
        <v>3.9048</v>
      </c>
    </row>
    <row r="3326" spans="1:9">
      <c r="A3326" s="6">
        <v>42819</v>
      </c>
      <c r="B3326" t="str">
        <f>IFERROR(VLOOKUP($A3326,原始数据_收盘!$A$4:$G$3460,2,0),"")</f>
        <v/>
      </c>
      <c r="C3326" t="str">
        <f>IFERROR(VLOOKUP($A3326,原始数据_收盘!$A$4:$G$3460,3,0),"")</f>
        <v/>
      </c>
      <c r="D3326" t="str">
        <f>IFERROR(VLOOKUP($A3326,原始数据_收盘!$A$4:$G$3460,4,0),"")</f>
        <v/>
      </c>
      <c r="E3326" t="str">
        <f>IFERROR(VLOOKUP($A3326,原始数据_收盘!$A$4:$G$3460,5,0),"")</f>
        <v/>
      </c>
      <c r="F3326" t="str">
        <f>IFERROR(VLOOKUP($A3326,原始数据_收盘!$A$4:$G$3460,6,0),"")</f>
        <v/>
      </c>
      <c r="G3326" t="str">
        <f>IFERROR(VLOOKUP($A3326,原始数据_收盘!$A$4:$G$3460,7,0),"")</f>
        <v/>
      </c>
      <c r="H3326" t="str">
        <f>IFERROR(VLOOKUP($A3326,原始数据_利率互换_FR007_1年!$A$6:$C$4395,2,0),"")</f>
        <v/>
      </c>
      <c r="I3326" t="str">
        <f>IFERROR(VLOOKUP($A3326,原始数据_利率互换_FR007_1年!$A$6:$C$4395,3,0),"")</f>
        <v/>
      </c>
    </row>
    <row r="3327" spans="1:9">
      <c r="A3327" s="6">
        <v>42820</v>
      </c>
      <c r="B3327" t="str">
        <f>IFERROR(VLOOKUP($A3327,原始数据_收盘!$A$4:$G$3460,2,0),"")</f>
        <v/>
      </c>
      <c r="C3327" t="str">
        <f>IFERROR(VLOOKUP($A3327,原始数据_收盘!$A$4:$G$3460,3,0),"")</f>
        <v/>
      </c>
      <c r="D3327" t="str">
        <f>IFERROR(VLOOKUP($A3327,原始数据_收盘!$A$4:$G$3460,4,0),"")</f>
        <v/>
      </c>
      <c r="E3327" t="str">
        <f>IFERROR(VLOOKUP($A3327,原始数据_收盘!$A$4:$G$3460,5,0),"")</f>
        <v/>
      </c>
      <c r="F3327" t="str">
        <f>IFERROR(VLOOKUP($A3327,原始数据_收盘!$A$4:$G$3460,6,0),"")</f>
        <v/>
      </c>
      <c r="G3327" t="str">
        <f>IFERROR(VLOOKUP($A3327,原始数据_收盘!$A$4:$G$3460,7,0),"")</f>
        <v/>
      </c>
      <c r="H3327" t="str">
        <f>IFERROR(VLOOKUP($A3327,原始数据_利率互换_FR007_1年!$A$6:$C$4395,2,0),"")</f>
        <v/>
      </c>
      <c r="I3327" t="str">
        <f>IFERROR(VLOOKUP($A3327,原始数据_利率互换_FR007_1年!$A$6:$C$4395,3,0),"")</f>
        <v/>
      </c>
    </row>
    <row r="3328" spans="1:9">
      <c r="A3328" s="6">
        <v>42821</v>
      </c>
      <c r="B3328">
        <f>IFERROR(VLOOKUP($A3328,原始数据_收盘!$A$4:$G$3460,2,0),"")</f>
        <v>3.5466</v>
      </c>
      <c r="C3328">
        <f>IFERROR(VLOOKUP($A3328,原始数据_收盘!$A$4:$G$3460,3,0),"")</f>
        <v>3.8694</v>
      </c>
      <c r="D3328">
        <f>IFERROR(VLOOKUP($A3328,原始数据_收盘!$A$4:$G$3460,4,0),"")</f>
        <v>3.6025</v>
      </c>
      <c r="E3328">
        <f>IFERROR(VLOOKUP($A3328,原始数据_收盘!$A$4:$G$3460,5,0),"")</f>
        <v>3.9381</v>
      </c>
      <c r="F3328">
        <f>IFERROR(VLOOKUP($A3328,原始数据_收盘!$A$4:$G$3460,6,0),"")</f>
        <v>3.5746</v>
      </c>
      <c r="G3328">
        <f>IFERROR(VLOOKUP($A3328,原始数据_收盘!$A$4:$G$3460,7,0),"")</f>
        <v>3.9038</v>
      </c>
      <c r="H3328">
        <f>IFERROR(VLOOKUP($A3328,原始数据_利率互换_FR007_1年!$A$6:$C$4395,2,0),"")</f>
        <v>3.5815</v>
      </c>
      <c r="I3328">
        <f>IFERROR(VLOOKUP($A3328,原始数据_利率互换_FR007_1年!$A$6:$C$4395,3,0),"")</f>
        <v>3.9019</v>
      </c>
    </row>
    <row r="3329" spans="1:9">
      <c r="A3329" s="6">
        <v>42822</v>
      </c>
      <c r="B3329">
        <f>IFERROR(VLOOKUP($A3329,原始数据_收盘!$A$4:$G$3460,2,0),"")</f>
        <v>3.5259</v>
      </c>
      <c r="C3329">
        <f>IFERROR(VLOOKUP($A3329,原始数据_收盘!$A$4:$G$3460,3,0),"")</f>
        <v>3.8638</v>
      </c>
      <c r="D3329">
        <f>IFERROR(VLOOKUP($A3329,原始数据_收盘!$A$4:$G$3460,4,0),"")</f>
        <v>3.5775</v>
      </c>
      <c r="E3329">
        <f>IFERROR(VLOOKUP($A3329,原始数据_收盘!$A$4:$G$3460,5,0),"")</f>
        <v>3.9213</v>
      </c>
      <c r="F3329">
        <f>IFERROR(VLOOKUP($A3329,原始数据_收盘!$A$4:$G$3460,6,0),"")</f>
        <v>3.5517</v>
      </c>
      <c r="G3329">
        <f>IFERROR(VLOOKUP($A3329,原始数据_收盘!$A$4:$G$3460,7,0),"")</f>
        <v>3.8925</v>
      </c>
      <c r="H3329">
        <f>IFERROR(VLOOKUP($A3329,原始数据_利率互换_FR007_1年!$A$6:$C$4395,2,0),"")</f>
        <v>3.5376</v>
      </c>
      <c r="I3329">
        <f>IFERROR(VLOOKUP($A3329,原始数据_利率互换_FR007_1年!$A$6:$C$4395,3,0),"")</f>
        <v>3.8647</v>
      </c>
    </row>
    <row r="3330" spans="1:9">
      <c r="A3330" s="6">
        <v>42823</v>
      </c>
      <c r="B3330">
        <f>IFERROR(VLOOKUP($A3330,原始数据_收盘!$A$4:$G$3460,2,0),"")</f>
        <v>3.5681</v>
      </c>
      <c r="C3330">
        <f>IFERROR(VLOOKUP($A3330,原始数据_收盘!$A$4:$G$3460,3,0),"")</f>
        <v>3.875</v>
      </c>
      <c r="D3330">
        <f>IFERROR(VLOOKUP($A3330,原始数据_收盘!$A$4:$G$3460,4,0),"")</f>
        <v>3.6169</v>
      </c>
      <c r="E3330">
        <f>IFERROR(VLOOKUP($A3330,原始数据_收盘!$A$4:$G$3460,5,0),"")</f>
        <v>3.9388</v>
      </c>
      <c r="F3330">
        <f>IFERROR(VLOOKUP($A3330,原始数据_收盘!$A$4:$G$3460,6,0),"")</f>
        <v>3.5925</v>
      </c>
      <c r="G3330">
        <f>IFERROR(VLOOKUP($A3330,原始数据_收盘!$A$4:$G$3460,7,0),"")</f>
        <v>3.9069</v>
      </c>
      <c r="H3330">
        <f>IFERROR(VLOOKUP($A3330,原始数据_利率互换_FR007_1年!$A$6:$C$4395,2,0),"")</f>
        <v>3.5844</v>
      </c>
      <c r="I3330">
        <f>IFERROR(VLOOKUP($A3330,原始数据_利率互换_FR007_1年!$A$6:$C$4395,3,0),"")</f>
        <v>3.8985</v>
      </c>
    </row>
    <row r="3331" spans="1:9">
      <c r="A3331" s="6">
        <v>42824</v>
      </c>
      <c r="B3331">
        <f>IFERROR(VLOOKUP($A3331,原始数据_收盘!$A$4:$G$3460,2,0),"")</f>
        <v>3.5675</v>
      </c>
      <c r="C3331">
        <f>IFERROR(VLOOKUP($A3331,原始数据_收盘!$A$4:$G$3460,3,0),"")</f>
        <v>3.8813</v>
      </c>
      <c r="D3331">
        <f>IFERROR(VLOOKUP($A3331,原始数据_收盘!$A$4:$G$3460,4,0),"")</f>
        <v>3.6231</v>
      </c>
      <c r="E3331">
        <f>IFERROR(VLOOKUP($A3331,原始数据_收盘!$A$4:$G$3460,5,0),"")</f>
        <v>3.9413</v>
      </c>
      <c r="F3331">
        <f>IFERROR(VLOOKUP($A3331,原始数据_收盘!$A$4:$G$3460,6,0),"")</f>
        <v>3.5953</v>
      </c>
      <c r="G3331">
        <f>IFERROR(VLOOKUP($A3331,原始数据_收盘!$A$4:$G$3460,7,0),"")</f>
        <v>3.9113</v>
      </c>
      <c r="H3331">
        <f>IFERROR(VLOOKUP($A3331,原始数据_利率互换_FR007_1年!$A$6:$C$4395,2,0),"")</f>
        <v>3.6055</v>
      </c>
      <c r="I3331">
        <f>IFERROR(VLOOKUP($A3331,原始数据_利率互换_FR007_1年!$A$6:$C$4395,3,0),"")</f>
        <v>3.9111</v>
      </c>
    </row>
    <row r="3332" spans="1:9">
      <c r="A3332" s="6">
        <v>42825</v>
      </c>
      <c r="B3332">
        <f>IFERROR(VLOOKUP($A3332,原始数据_收盘!$A$4:$G$3460,2,0),"")</f>
        <v>3.5771</v>
      </c>
      <c r="C3332">
        <f>IFERROR(VLOOKUP($A3332,原始数据_收盘!$A$4:$G$3460,3,0),"")</f>
        <v>3.8738</v>
      </c>
      <c r="D3332">
        <f>IFERROR(VLOOKUP($A3332,原始数据_收盘!$A$4:$G$3460,4,0),"")</f>
        <v>3.6363</v>
      </c>
      <c r="E3332">
        <f>IFERROR(VLOOKUP($A3332,原始数据_收盘!$A$4:$G$3460,5,0),"")</f>
        <v>3.9388</v>
      </c>
      <c r="F3332">
        <f>IFERROR(VLOOKUP($A3332,原始数据_收盘!$A$4:$G$3460,6,0),"")</f>
        <v>3.6067</v>
      </c>
      <c r="G3332">
        <f>IFERROR(VLOOKUP($A3332,原始数据_收盘!$A$4:$G$3460,7,0),"")</f>
        <v>3.9063</v>
      </c>
      <c r="H3332">
        <f>IFERROR(VLOOKUP($A3332,原始数据_利率互换_FR007_1年!$A$6:$C$4395,2,0),"")</f>
        <v>3.6087</v>
      </c>
      <c r="I3332">
        <f>IFERROR(VLOOKUP($A3332,原始数据_利率互换_FR007_1年!$A$6:$C$4395,3,0),"")</f>
        <v>3.9044</v>
      </c>
    </row>
    <row r="3333" spans="1:9">
      <c r="A3333" s="6">
        <v>42826</v>
      </c>
      <c r="B3333">
        <f>IFERROR(VLOOKUP($A3333,原始数据_收盘!$A$4:$G$3460,2,0),"")</f>
        <v>3.5525</v>
      </c>
      <c r="C3333">
        <f>IFERROR(VLOOKUP($A3333,原始数据_收盘!$A$4:$G$3460,3,0),"")</f>
        <v>3.8763</v>
      </c>
      <c r="D3333">
        <f>IFERROR(VLOOKUP($A3333,原始数据_收盘!$A$4:$G$3460,4,0),"")</f>
        <v>3.6075</v>
      </c>
      <c r="E3333">
        <f>IFERROR(VLOOKUP($A3333,原始数据_收盘!$A$4:$G$3460,5,0),"")</f>
        <v>3.9425</v>
      </c>
      <c r="F3333">
        <f>IFERROR(VLOOKUP($A3333,原始数据_收盘!$A$4:$G$3460,6,0),"")</f>
        <v>3.58</v>
      </c>
      <c r="G3333">
        <f>IFERROR(VLOOKUP($A3333,原始数据_收盘!$A$4:$G$3460,7,0),"")</f>
        <v>3.9094</v>
      </c>
      <c r="H3333">
        <f>IFERROR(VLOOKUP($A3333,原始数据_利率互换_FR007_1年!$A$6:$C$4395,2,0),"")</f>
        <v>3.6071</v>
      </c>
      <c r="I3333">
        <f>IFERROR(VLOOKUP($A3333,原始数据_利率互换_FR007_1年!$A$6:$C$4395,3,0),"")</f>
        <v>0</v>
      </c>
    </row>
    <row r="3334" spans="1:9">
      <c r="A3334" s="6">
        <v>42827</v>
      </c>
      <c r="B3334" t="str">
        <f>IFERROR(VLOOKUP($A3334,原始数据_收盘!$A$4:$G$3460,2,0),"")</f>
        <v/>
      </c>
      <c r="C3334" t="str">
        <f>IFERROR(VLOOKUP($A3334,原始数据_收盘!$A$4:$G$3460,3,0),"")</f>
        <v/>
      </c>
      <c r="D3334" t="str">
        <f>IFERROR(VLOOKUP($A3334,原始数据_收盘!$A$4:$G$3460,4,0),"")</f>
        <v/>
      </c>
      <c r="E3334" t="str">
        <f>IFERROR(VLOOKUP($A3334,原始数据_收盘!$A$4:$G$3460,5,0),"")</f>
        <v/>
      </c>
      <c r="F3334" t="str">
        <f>IFERROR(VLOOKUP($A3334,原始数据_收盘!$A$4:$G$3460,6,0),"")</f>
        <v/>
      </c>
      <c r="G3334" t="str">
        <f>IFERROR(VLOOKUP($A3334,原始数据_收盘!$A$4:$G$3460,7,0),"")</f>
        <v/>
      </c>
      <c r="H3334" t="str">
        <f>IFERROR(VLOOKUP($A3334,原始数据_利率互换_FR007_1年!$A$6:$C$4395,2,0),"")</f>
        <v/>
      </c>
      <c r="I3334" t="str">
        <f>IFERROR(VLOOKUP($A3334,原始数据_利率互换_FR007_1年!$A$6:$C$4395,3,0),"")</f>
        <v/>
      </c>
    </row>
    <row r="3335" spans="1:9">
      <c r="A3335" s="6">
        <v>42828</v>
      </c>
      <c r="B3335" t="str">
        <f>IFERROR(VLOOKUP($A3335,原始数据_收盘!$A$4:$G$3460,2,0),"")</f>
        <v/>
      </c>
      <c r="C3335" t="str">
        <f>IFERROR(VLOOKUP($A3335,原始数据_收盘!$A$4:$G$3460,3,0),"")</f>
        <v/>
      </c>
      <c r="D3335" t="str">
        <f>IFERROR(VLOOKUP($A3335,原始数据_收盘!$A$4:$G$3460,4,0),"")</f>
        <v/>
      </c>
      <c r="E3335" t="str">
        <f>IFERROR(VLOOKUP($A3335,原始数据_收盘!$A$4:$G$3460,5,0),"")</f>
        <v/>
      </c>
      <c r="F3335" t="str">
        <f>IFERROR(VLOOKUP($A3335,原始数据_收盘!$A$4:$G$3460,6,0),"")</f>
        <v/>
      </c>
      <c r="G3335" t="str">
        <f>IFERROR(VLOOKUP($A3335,原始数据_收盘!$A$4:$G$3460,7,0),"")</f>
        <v/>
      </c>
      <c r="H3335" t="str">
        <f>IFERROR(VLOOKUP($A3335,原始数据_利率互换_FR007_1年!$A$6:$C$4395,2,0),"")</f>
        <v/>
      </c>
      <c r="I3335" t="str">
        <f>IFERROR(VLOOKUP($A3335,原始数据_利率互换_FR007_1年!$A$6:$C$4395,3,0),"")</f>
        <v/>
      </c>
    </row>
    <row r="3336" spans="1:9">
      <c r="A3336" s="6">
        <v>42829</v>
      </c>
      <c r="B3336" t="str">
        <f>IFERROR(VLOOKUP($A3336,原始数据_收盘!$A$4:$G$3460,2,0),"")</f>
        <v/>
      </c>
      <c r="C3336" t="str">
        <f>IFERROR(VLOOKUP($A3336,原始数据_收盘!$A$4:$G$3460,3,0),"")</f>
        <v/>
      </c>
      <c r="D3336" t="str">
        <f>IFERROR(VLOOKUP($A3336,原始数据_收盘!$A$4:$G$3460,4,0),"")</f>
        <v/>
      </c>
      <c r="E3336" t="str">
        <f>IFERROR(VLOOKUP($A3336,原始数据_收盘!$A$4:$G$3460,5,0),"")</f>
        <v/>
      </c>
      <c r="F3336" t="str">
        <f>IFERROR(VLOOKUP($A3336,原始数据_收盘!$A$4:$G$3460,6,0),"")</f>
        <v/>
      </c>
      <c r="G3336" t="str">
        <f>IFERROR(VLOOKUP($A3336,原始数据_收盘!$A$4:$G$3460,7,0),"")</f>
        <v/>
      </c>
      <c r="H3336" t="str">
        <f>IFERROR(VLOOKUP($A3336,原始数据_利率互换_FR007_1年!$A$6:$C$4395,2,0),"")</f>
        <v/>
      </c>
      <c r="I3336" t="str">
        <f>IFERROR(VLOOKUP($A3336,原始数据_利率互换_FR007_1年!$A$6:$C$4395,3,0),"")</f>
        <v/>
      </c>
    </row>
    <row r="3337" spans="1:9">
      <c r="A3337" s="6">
        <v>42830</v>
      </c>
      <c r="B3337">
        <f>IFERROR(VLOOKUP($A3337,原始数据_收盘!$A$4:$G$3460,2,0),"")</f>
        <v>3.5356</v>
      </c>
      <c r="C3337">
        <f>IFERROR(VLOOKUP($A3337,原始数据_收盘!$A$4:$G$3460,3,0),"")</f>
        <v>3.8629</v>
      </c>
      <c r="D3337">
        <f>IFERROR(VLOOKUP($A3337,原始数据_收盘!$A$4:$G$3460,4,0),"")</f>
        <v>3.5958</v>
      </c>
      <c r="E3337">
        <f>IFERROR(VLOOKUP($A3337,原始数据_收盘!$A$4:$G$3460,5,0),"")</f>
        <v>3.9288</v>
      </c>
      <c r="F3337">
        <f>IFERROR(VLOOKUP($A3337,原始数据_收盘!$A$4:$G$3460,6,0),"")</f>
        <v>3.5657</v>
      </c>
      <c r="G3337">
        <f>IFERROR(VLOOKUP($A3337,原始数据_收盘!$A$4:$G$3460,7,0),"")</f>
        <v>3.8958</v>
      </c>
      <c r="H3337">
        <f>IFERROR(VLOOKUP($A3337,原始数据_利率互换_FR007_1年!$A$6:$C$4395,2,0),"")</f>
        <v>3.5667</v>
      </c>
      <c r="I3337">
        <f>IFERROR(VLOOKUP($A3337,原始数据_利率互换_FR007_1年!$A$6:$C$4395,3,0),"")</f>
        <v>3.8909</v>
      </c>
    </row>
    <row r="3338" spans="1:9">
      <c r="A3338" s="6">
        <v>42831</v>
      </c>
      <c r="B3338">
        <f>IFERROR(VLOOKUP($A3338,原始数据_收盘!$A$4:$G$3460,2,0),"")</f>
        <v>3.552</v>
      </c>
      <c r="C3338">
        <f>IFERROR(VLOOKUP($A3338,原始数据_收盘!$A$4:$G$3460,3,0),"")</f>
        <v>3.87</v>
      </c>
      <c r="D3338">
        <f>IFERROR(VLOOKUP($A3338,原始数据_收盘!$A$4:$G$3460,4,0),"")</f>
        <v>3.604</v>
      </c>
      <c r="E3338">
        <f>IFERROR(VLOOKUP($A3338,原始数据_收盘!$A$4:$G$3460,5,0),"")</f>
        <v>3.928</v>
      </c>
      <c r="F3338">
        <f>IFERROR(VLOOKUP($A3338,原始数据_收盘!$A$4:$G$3460,6,0),"")</f>
        <v>3.578</v>
      </c>
      <c r="G3338">
        <f>IFERROR(VLOOKUP($A3338,原始数据_收盘!$A$4:$G$3460,7,0),"")</f>
        <v>3.899</v>
      </c>
      <c r="H3338">
        <f>IFERROR(VLOOKUP($A3338,原始数据_利率互换_FR007_1年!$A$6:$C$4395,2,0),"")</f>
        <v>3.5808</v>
      </c>
      <c r="I3338">
        <f>IFERROR(VLOOKUP($A3338,原始数据_利率互换_FR007_1年!$A$6:$C$4395,3,0),"")</f>
        <v>3.8987</v>
      </c>
    </row>
    <row r="3339" spans="1:9">
      <c r="A3339" s="6">
        <v>42832</v>
      </c>
      <c r="B3339">
        <f>IFERROR(VLOOKUP($A3339,原始数据_收盘!$A$4:$G$3460,2,0),"")</f>
        <v>3.533</v>
      </c>
      <c r="C3339">
        <f>IFERROR(VLOOKUP($A3339,原始数据_收盘!$A$4:$G$3460,3,0),"")</f>
        <v>3.8433</v>
      </c>
      <c r="D3339">
        <f>IFERROR(VLOOKUP($A3339,原始数据_收盘!$A$4:$G$3460,4,0),"")</f>
        <v>3.5789</v>
      </c>
      <c r="E3339">
        <f>IFERROR(VLOOKUP($A3339,原始数据_收盘!$A$4:$G$3460,5,0),"")</f>
        <v>3.8994</v>
      </c>
      <c r="F3339">
        <f>IFERROR(VLOOKUP($A3339,原始数据_收盘!$A$4:$G$3460,6,0),"")</f>
        <v>3.5559</v>
      </c>
      <c r="G3339">
        <f>IFERROR(VLOOKUP($A3339,原始数据_收盘!$A$4:$G$3460,7,0),"")</f>
        <v>3.8714</v>
      </c>
      <c r="H3339">
        <f>IFERROR(VLOOKUP($A3339,原始数据_利率互换_FR007_1年!$A$6:$C$4395,2,0),"")</f>
        <v>3.5556</v>
      </c>
      <c r="I3339">
        <f>IFERROR(VLOOKUP($A3339,原始数据_利率互换_FR007_1年!$A$6:$C$4395,3,0),"")</f>
        <v>3.8719</v>
      </c>
    </row>
    <row r="3340" spans="1:9">
      <c r="A3340" s="6">
        <v>42833</v>
      </c>
      <c r="B3340" t="str">
        <f>IFERROR(VLOOKUP($A3340,原始数据_收盘!$A$4:$G$3460,2,0),"")</f>
        <v/>
      </c>
      <c r="C3340" t="str">
        <f>IFERROR(VLOOKUP($A3340,原始数据_收盘!$A$4:$G$3460,3,0),"")</f>
        <v/>
      </c>
      <c r="D3340" t="str">
        <f>IFERROR(VLOOKUP($A3340,原始数据_收盘!$A$4:$G$3460,4,0),"")</f>
        <v/>
      </c>
      <c r="E3340" t="str">
        <f>IFERROR(VLOOKUP($A3340,原始数据_收盘!$A$4:$G$3460,5,0),"")</f>
        <v/>
      </c>
      <c r="F3340" t="str">
        <f>IFERROR(VLOOKUP($A3340,原始数据_收盘!$A$4:$G$3460,6,0),"")</f>
        <v/>
      </c>
      <c r="G3340" t="str">
        <f>IFERROR(VLOOKUP($A3340,原始数据_收盘!$A$4:$G$3460,7,0),"")</f>
        <v/>
      </c>
      <c r="H3340" t="str">
        <f>IFERROR(VLOOKUP($A3340,原始数据_利率互换_FR007_1年!$A$6:$C$4395,2,0),"")</f>
        <v/>
      </c>
      <c r="I3340" t="str">
        <f>IFERROR(VLOOKUP($A3340,原始数据_利率互换_FR007_1年!$A$6:$C$4395,3,0),"")</f>
        <v/>
      </c>
    </row>
    <row r="3341" spans="1:9">
      <c r="A3341" s="6">
        <v>42834</v>
      </c>
      <c r="B3341" t="str">
        <f>IFERROR(VLOOKUP($A3341,原始数据_收盘!$A$4:$G$3460,2,0),"")</f>
        <v/>
      </c>
      <c r="C3341" t="str">
        <f>IFERROR(VLOOKUP($A3341,原始数据_收盘!$A$4:$G$3460,3,0),"")</f>
        <v/>
      </c>
      <c r="D3341" t="str">
        <f>IFERROR(VLOOKUP($A3341,原始数据_收盘!$A$4:$G$3460,4,0),"")</f>
        <v/>
      </c>
      <c r="E3341" t="str">
        <f>IFERROR(VLOOKUP($A3341,原始数据_收盘!$A$4:$G$3460,5,0),"")</f>
        <v/>
      </c>
      <c r="F3341" t="str">
        <f>IFERROR(VLOOKUP($A3341,原始数据_收盘!$A$4:$G$3460,6,0),"")</f>
        <v/>
      </c>
      <c r="G3341" t="str">
        <f>IFERROR(VLOOKUP($A3341,原始数据_收盘!$A$4:$G$3460,7,0),"")</f>
        <v/>
      </c>
      <c r="H3341" t="str">
        <f>IFERROR(VLOOKUP($A3341,原始数据_利率互换_FR007_1年!$A$6:$C$4395,2,0),"")</f>
        <v/>
      </c>
      <c r="I3341" t="str">
        <f>IFERROR(VLOOKUP($A3341,原始数据_利率互换_FR007_1年!$A$6:$C$4395,3,0),"")</f>
        <v/>
      </c>
    </row>
    <row r="3342" spans="1:9">
      <c r="A3342" s="6">
        <v>42835</v>
      </c>
      <c r="B3342">
        <f>IFERROR(VLOOKUP($A3342,原始数据_收盘!$A$4:$G$3460,2,0),"")</f>
        <v>3.555</v>
      </c>
      <c r="C3342">
        <f>IFERROR(VLOOKUP($A3342,原始数据_收盘!$A$4:$G$3460,3,0),"")</f>
        <v>3.875</v>
      </c>
      <c r="D3342">
        <f>IFERROR(VLOOKUP($A3342,原始数据_收盘!$A$4:$G$3460,4,0),"")</f>
        <v>3.5643</v>
      </c>
      <c r="E3342">
        <f>IFERROR(VLOOKUP($A3342,原始数据_收盘!$A$4:$G$3460,5,0),"")</f>
        <v>3.8778</v>
      </c>
      <c r="F3342">
        <f>IFERROR(VLOOKUP($A3342,原始数据_收盘!$A$4:$G$3460,6,0),"")</f>
        <v>3.5597</v>
      </c>
      <c r="G3342">
        <f>IFERROR(VLOOKUP($A3342,原始数据_收盘!$A$4:$G$3460,7,0),"")</f>
        <v>3.8764</v>
      </c>
      <c r="H3342">
        <f>IFERROR(VLOOKUP($A3342,原始数据_利率互换_FR007_1年!$A$6:$C$4395,2,0),"")</f>
        <v>3.5596</v>
      </c>
      <c r="I3342">
        <f>IFERROR(VLOOKUP($A3342,原始数据_利率互换_FR007_1年!$A$6:$C$4395,3,0),"")</f>
        <v>3.8794</v>
      </c>
    </row>
    <row r="3343" spans="1:9">
      <c r="A3343" s="6">
        <v>42836</v>
      </c>
      <c r="B3343">
        <f>IFERROR(VLOOKUP($A3343,原始数据_收盘!$A$4:$G$3460,2,0),"")</f>
        <v>3.5575</v>
      </c>
      <c r="C3343">
        <f>IFERROR(VLOOKUP($A3343,原始数据_收盘!$A$4:$G$3460,3,0),"")</f>
        <v>3.87</v>
      </c>
      <c r="D3343">
        <f>IFERROR(VLOOKUP($A3343,原始数据_收盘!$A$4:$G$3460,4,0),"")</f>
        <v>3.5625</v>
      </c>
      <c r="E3343">
        <f>IFERROR(VLOOKUP($A3343,原始数据_收盘!$A$4:$G$3460,5,0),"")</f>
        <v>3.88</v>
      </c>
      <c r="F3343">
        <f>IFERROR(VLOOKUP($A3343,原始数据_收盘!$A$4:$G$3460,6,0),"")</f>
        <v>3.56</v>
      </c>
      <c r="G3343">
        <f>IFERROR(VLOOKUP($A3343,原始数据_收盘!$A$4:$G$3460,7,0),"")</f>
        <v>3.875</v>
      </c>
      <c r="H3343">
        <f>IFERROR(VLOOKUP($A3343,原始数据_利率互换_FR007_1年!$A$6:$C$4395,2,0),"")</f>
        <v>3.5681</v>
      </c>
      <c r="I3343">
        <f>IFERROR(VLOOKUP($A3343,原始数据_利率互换_FR007_1年!$A$6:$C$4395,3,0),"")</f>
        <v>3.8875</v>
      </c>
    </row>
    <row r="3344" spans="1:9">
      <c r="A3344" s="6">
        <v>42837</v>
      </c>
      <c r="B3344">
        <f>IFERROR(VLOOKUP($A3344,原始数据_收盘!$A$4:$G$3460,2,0),"")</f>
        <v>3.568</v>
      </c>
      <c r="C3344">
        <f>IFERROR(VLOOKUP($A3344,原始数据_收盘!$A$4:$G$3460,3,0),"")</f>
        <v>3.8813</v>
      </c>
      <c r="D3344">
        <f>IFERROR(VLOOKUP($A3344,原始数据_收盘!$A$4:$G$3460,4,0),"")</f>
        <v>3.5775</v>
      </c>
      <c r="E3344">
        <f>IFERROR(VLOOKUP($A3344,原始数据_收盘!$A$4:$G$3460,5,0),"")</f>
        <v>3.8875</v>
      </c>
      <c r="F3344">
        <f>IFERROR(VLOOKUP($A3344,原始数据_收盘!$A$4:$G$3460,6,0),"")</f>
        <v>3.5727</v>
      </c>
      <c r="G3344">
        <f>IFERROR(VLOOKUP($A3344,原始数据_收盘!$A$4:$G$3460,7,0),"")</f>
        <v>3.8844</v>
      </c>
      <c r="H3344">
        <f>IFERROR(VLOOKUP($A3344,原始数据_利率互换_FR007_1年!$A$6:$C$4395,2,0),"")</f>
        <v>3.5614</v>
      </c>
      <c r="I3344">
        <f>IFERROR(VLOOKUP($A3344,原始数据_利率互换_FR007_1年!$A$6:$C$4395,3,0),"")</f>
        <v>3.8687</v>
      </c>
    </row>
    <row r="3345" spans="1:9">
      <c r="A3345" s="6">
        <v>42838</v>
      </c>
      <c r="B3345">
        <f>IFERROR(VLOOKUP($A3345,原始数据_收盘!$A$4:$G$3460,2,0),"")</f>
        <v>3.575</v>
      </c>
      <c r="C3345">
        <f>IFERROR(VLOOKUP($A3345,原始数据_收盘!$A$4:$G$3460,3,0),"")</f>
        <v>3.8625</v>
      </c>
      <c r="D3345">
        <f>IFERROR(VLOOKUP($A3345,原始数据_收盘!$A$4:$G$3460,4,0),"")</f>
        <v>3.585</v>
      </c>
      <c r="E3345">
        <f>IFERROR(VLOOKUP($A3345,原始数据_收盘!$A$4:$G$3460,5,0),"")</f>
        <v>3.8651</v>
      </c>
      <c r="F3345">
        <f>IFERROR(VLOOKUP($A3345,原始数据_收盘!$A$4:$G$3460,6,0),"")</f>
        <v>3.58</v>
      </c>
      <c r="G3345">
        <f>IFERROR(VLOOKUP($A3345,原始数据_收盘!$A$4:$G$3460,7,0),"")</f>
        <v>3.8638</v>
      </c>
      <c r="H3345">
        <f>IFERROR(VLOOKUP($A3345,原始数据_利率互换_FR007_1年!$A$6:$C$4395,2,0),"")</f>
        <v>3.5771</v>
      </c>
      <c r="I3345">
        <f>IFERROR(VLOOKUP($A3345,原始数据_利率互换_FR007_1年!$A$6:$C$4395,3,0),"")</f>
        <v>3.8671</v>
      </c>
    </row>
    <row r="3346" spans="1:9">
      <c r="A3346" s="6">
        <v>42839</v>
      </c>
      <c r="B3346">
        <f>IFERROR(VLOOKUP($A3346,原始数据_收盘!$A$4:$G$3460,2,0),"")</f>
        <v>3.595</v>
      </c>
      <c r="C3346">
        <f>IFERROR(VLOOKUP($A3346,原始数据_收盘!$A$4:$G$3460,3,0),"")</f>
        <v>3.9028</v>
      </c>
      <c r="D3346">
        <f>IFERROR(VLOOKUP($A3346,原始数据_收盘!$A$4:$G$3460,4,0),"")</f>
        <v>3.6083</v>
      </c>
      <c r="E3346">
        <f>IFERROR(VLOOKUP($A3346,原始数据_收盘!$A$4:$G$3460,5,0),"")</f>
        <v>3.9057</v>
      </c>
      <c r="F3346">
        <f>IFERROR(VLOOKUP($A3346,原始数据_收盘!$A$4:$G$3460,6,0),"")</f>
        <v>3.6017</v>
      </c>
      <c r="G3346">
        <f>IFERROR(VLOOKUP($A3346,原始数据_收盘!$A$4:$G$3460,7,0),"")</f>
        <v>3.9043</v>
      </c>
      <c r="H3346">
        <f>IFERROR(VLOOKUP($A3346,原始数据_利率互换_FR007_1年!$A$6:$C$4395,2,0),"")</f>
        <v>3.5846</v>
      </c>
      <c r="I3346">
        <f>IFERROR(VLOOKUP($A3346,原始数据_利率互换_FR007_1年!$A$6:$C$4395,3,0),"")</f>
        <v>3.8852</v>
      </c>
    </row>
    <row r="3347" spans="1:9">
      <c r="A3347" s="6">
        <v>42840</v>
      </c>
      <c r="B3347" t="str">
        <f>IFERROR(VLOOKUP($A3347,原始数据_收盘!$A$4:$G$3460,2,0),"")</f>
        <v/>
      </c>
      <c r="C3347" t="str">
        <f>IFERROR(VLOOKUP($A3347,原始数据_收盘!$A$4:$G$3460,3,0),"")</f>
        <v/>
      </c>
      <c r="D3347" t="str">
        <f>IFERROR(VLOOKUP($A3347,原始数据_收盘!$A$4:$G$3460,4,0),"")</f>
        <v/>
      </c>
      <c r="E3347" t="str">
        <f>IFERROR(VLOOKUP($A3347,原始数据_收盘!$A$4:$G$3460,5,0),"")</f>
        <v/>
      </c>
      <c r="F3347" t="str">
        <f>IFERROR(VLOOKUP($A3347,原始数据_收盘!$A$4:$G$3460,6,0),"")</f>
        <v/>
      </c>
      <c r="G3347" t="str">
        <f>IFERROR(VLOOKUP($A3347,原始数据_收盘!$A$4:$G$3460,7,0),"")</f>
        <v/>
      </c>
      <c r="H3347" t="str">
        <f>IFERROR(VLOOKUP($A3347,原始数据_利率互换_FR007_1年!$A$6:$C$4395,2,0),"")</f>
        <v/>
      </c>
      <c r="I3347" t="str">
        <f>IFERROR(VLOOKUP($A3347,原始数据_利率互换_FR007_1年!$A$6:$C$4395,3,0),"")</f>
        <v/>
      </c>
    </row>
    <row r="3348" spans="1:9">
      <c r="A3348" s="6">
        <v>42841</v>
      </c>
      <c r="B3348" t="str">
        <f>IFERROR(VLOOKUP($A3348,原始数据_收盘!$A$4:$G$3460,2,0),"")</f>
        <v/>
      </c>
      <c r="C3348" t="str">
        <f>IFERROR(VLOOKUP($A3348,原始数据_收盘!$A$4:$G$3460,3,0),"")</f>
        <v/>
      </c>
      <c r="D3348" t="str">
        <f>IFERROR(VLOOKUP($A3348,原始数据_收盘!$A$4:$G$3460,4,0),"")</f>
        <v/>
      </c>
      <c r="E3348" t="str">
        <f>IFERROR(VLOOKUP($A3348,原始数据_收盘!$A$4:$G$3460,5,0),"")</f>
        <v/>
      </c>
      <c r="F3348" t="str">
        <f>IFERROR(VLOOKUP($A3348,原始数据_收盘!$A$4:$G$3460,6,0),"")</f>
        <v/>
      </c>
      <c r="G3348" t="str">
        <f>IFERROR(VLOOKUP($A3348,原始数据_收盘!$A$4:$G$3460,7,0),"")</f>
        <v/>
      </c>
      <c r="H3348" t="str">
        <f>IFERROR(VLOOKUP($A3348,原始数据_利率互换_FR007_1年!$A$6:$C$4395,2,0),"")</f>
        <v/>
      </c>
      <c r="I3348" t="str">
        <f>IFERROR(VLOOKUP($A3348,原始数据_利率互换_FR007_1年!$A$6:$C$4395,3,0),"")</f>
        <v/>
      </c>
    </row>
    <row r="3349" spans="1:9">
      <c r="A3349" s="6">
        <v>42842</v>
      </c>
      <c r="B3349">
        <f>IFERROR(VLOOKUP($A3349,原始数据_收盘!$A$4:$G$3460,2,0),"")</f>
        <v>3.6333</v>
      </c>
      <c r="C3349">
        <f>IFERROR(VLOOKUP($A3349,原始数据_收盘!$A$4:$G$3460,3,0),"")</f>
        <v>3.9381</v>
      </c>
      <c r="D3349">
        <f>IFERROR(VLOOKUP($A3349,原始数据_收盘!$A$4:$G$3460,4,0),"")</f>
        <v>3.6427</v>
      </c>
      <c r="E3349">
        <f>IFERROR(VLOOKUP($A3349,原始数据_收盘!$A$4:$G$3460,5,0),"")</f>
        <v>3.941</v>
      </c>
      <c r="F3349">
        <f>IFERROR(VLOOKUP($A3349,原始数据_收盘!$A$4:$G$3460,6,0),"")</f>
        <v>3.638</v>
      </c>
      <c r="G3349">
        <f>IFERROR(VLOOKUP($A3349,原始数据_收盘!$A$4:$G$3460,7,0),"")</f>
        <v>3.9395</v>
      </c>
      <c r="H3349">
        <f>IFERROR(VLOOKUP($A3349,原始数据_利率互换_FR007_1年!$A$6:$C$4395,2,0),"")</f>
        <v>3.618</v>
      </c>
      <c r="I3349">
        <f>IFERROR(VLOOKUP($A3349,原始数据_利率互换_FR007_1年!$A$6:$C$4395,3,0),"")</f>
        <v>3.9201</v>
      </c>
    </row>
    <row r="3350" spans="1:9">
      <c r="A3350" s="6">
        <v>42843</v>
      </c>
      <c r="B3350">
        <f>IFERROR(VLOOKUP($A3350,原始数据_收盘!$A$4:$G$3460,2,0),"")</f>
        <v>3.6271</v>
      </c>
      <c r="C3350">
        <f>IFERROR(VLOOKUP($A3350,原始数据_收盘!$A$4:$G$3460,3,0),"")</f>
        <v>3.9345</v>
      </c>
      <c r="D3350">
        <f>IFERROR(VLOOKUP($A3350,原始数据_收盘!$A$4:$G$3460,4,0),"")</f>
        <v>3.6331</v>
      </c>
      <c r="E3350">
        <f>IFERROR(VLOOKUP($A3350,原始数据_收盘!$A$4:$G$3460,5,0),"")</f>
        <v>3.9372</v>
      </c>
      <c r="F3350">
        <f>IFERROR(VLOOKUP($A3350,原始数据_收盘!$A$4:$G$3460,6,0),"")</f>
        <v>3.6301</v>
      </c>
      <c r="G3350">
        <f>IFERROR(VLOOKUP($A3350,原始数据_收盘!$A$4:$G$3460,7,0),"")</f>
        <v>3.9359</v>
      </c>
      <c r="H3350">
        <f>IFERROR(VLOOKUP($A3350,原始数据_利率互换_FR007_1年!$A$6:$C$4395,2,0),"")</f>
        <v>3.6391</v>
      </c>
      <c r="I3350">
        <f>IFERROR(VLOOKUP($A3350,原始数据_利率互换_FR007_1年!$A$6:$C$4395,3,0),"")</f>
        <v>3.9495</v>
      </c>
    </row>
    <row r="3351" spans="1:9">
      <c r="A3351" s="6">
        <v>42844</v>
      </c>
      <c r="B3351">
        <f>IFERROR(VLOOKUP($A3351,原始数据_收盘!$A$4:$G$3460,2,0),"")</f>
        <v>3.637</v>
      </c>
      <c r="C3351">
        <f>IFERROR(VLOOKUP($A3351,原始数据_收盘!$A$4:$G$3460,3,0),"")</f>
        <v>3.9271</v>
      </c>
      <c r="D3351">
        <f>IFERROR(VLOOKUP($A3351,原始数据_收盘!$A$4:$G$3460,4,0),"")</f>
        <v>3.64</v>
      </c>
      <c r="E3351">
        <f>IFERROR(VLOOKUP($A3351,原始数据_收盘!$A$4:$G$3460,5,0),"")</f>
        <v>3.93</v>
      </c>
      <c r="F3351">
        <f>IFERROR(VLOOKUP($A3351,原始数据_收盘!$A$4:$G$3460,6,0),"")</f>
        <v>3.6385</v>
      </c>
      <c r="G3351">
        <f>IFERROR(VLOOKUP($A3351,原始数据_收盘!$A$4:$G$3460,7,0),"")</f>
        <v>3.9285</v>
      </c>
      <c r="H3351">
        <f>IFERROR(VLOOKUP($A3351,原始数据_利率互换_FR007_1年!$A$6:$C$4395,2,0),"")</f>
        <v>3.6307</v>
      </c>
      <c r="I3351">
        <f>IFERROR(VLOOKUP($A3351,原始数据_利率互换_FR007_1年!$A$6:$C$4395,3,0),"")</f>
        <v>3.9271</v>
      </c>
    </row>
    <row r="3352" spans="1:9">
      <c r="A3352" s="6">
        <v>42845</v>
      </c>
      <c r="B3352">
        <f>IFERROR(VLOOKUP($A3352,原始数据_收盘!$A$4:$G$3460,2,0),"")</f>
        <v>3.6451</v>
      </c>
      <c r="C3352">
        <f>IFERROR(VLOOKUP($A3352,原始数据_收盘!$A$4:$G$3460,3,0),"")</f>
        <v>3.948</v>
      </c>
      <c r="D3352">
        <f>IFERROR(VLOOKUP($A3352,原始数据_收盘!$A$4:$G$3460,4,0),"")</f>
        <v>3.65</v>
      </c>
      <c r="E3352">
        <f>IFERROR(VLOOKUP($A3352,原始数据_收盘!$A$4:$G$3460,5,0),"")</f>
        <v>3.9524</v>
      </c>
      <c r="F3352">
        <f>IFERROR(VLOOKUP($A3352,原始数据_收盘!$A$4:$G$3460,6,0),"")</f>
        <v>3.6476</v>
      </c>
      <c r="G3352">
        <f>IFERROR(VLOOKUP($A3352,原始数据_收盘!$A$4:$G$3460,7,0),"")</f>
        <v>3.9502</v>
      </c>
      <c r="H3352">
        <f>IFERROR(VLOOKUP($A3352,原始数据_利率互换_FR007_1年!$A$6:$C$4395,2,0),"")</f>
        <v>3.6483</v>
      </c>
      <c r="I3352">
        <f>IFERROR(VLOOKUP($A3352,原始数据_利率互换_FR007_1年!$A$6:$C$4395,3,0),"")</f>
        <v>3.9473</v>
      </c>
    </row>
    <row r="3353" spans="1:9">
      <c r="A3353" s="6">
        <v>42846</v>
      </c>
      <c r="B3353">
        <f>IFERROR(VLOOKUP($A3353,原始数据_收盘!$A$4:$G$3460,2,0),"")</f>
        <v>3.6458</v>
      </c>
      <c r="C3353">
        <f>IFERROR(VLOOKUP($A3353,原始数据_收盘!$A$4:$G$3460,3,0),"")</f>
        <v>3.9725</v>
      </c>
      <c r="D3353">
        <f>IFERROR(VLOOKUP($A3353,原始数据_收盘!$A$4:$G$3460,4,0),"")</f>
        <v>3.66</v>
      </c>
      <c r="E3353">
        <f>IFERROR(VLOOKUP($A3353,原始数据_收盘!$A$4:$G$3460,5,0),"")</f>
        <v>3.975</v>
      </c>
      <c r="F3353">
        <f>IFERROR(VLOOKUP($A3353,原始数据_收盘!$A$4:$G$3460,6,0),"")</f>
        <v>3.6529</v>
      </c>
      <c r="G3353">
        <f>IFERROR(VLOOKUP($A3353,原始数据_收盘!$A$4:$G$3460,7,0),"")</f>
        <v>3.9738</v>
      </c>
      <c r="H3353">
        <f>IFERROR(VLOOKUP($A3353,原始数据_利率互换_FR007_1年!$A$6:$C$4395,2,0),"")</f>
        <v>3.6436</v>
      </c>
      <c r="I3353">
        <f>IFERROR(VLOOKUP($A3353,原始数据_利率互换_FR007_1年!$A$6:$C$4395,3,0),"")</f>
        <v>3.9604</v>
      </c>
    </row>
    <row r="3354" spans="1:9">
      <c r="A3354" s="6">
        <v>42847</v>
      </c>
      <c r="B3354" t="str">
        <f>IFERROR(VLOOKUP($A3354,原始数据_收盘!$A$4:$G$3460,2,0),"")</f>
        <v/>
      </c>
      <c r="C3354" t="str">
        <f>IFERROR(VLOOKUP($A3354,原始数据_收盘!$A$4:$G$3460,3,0),"")</f>
        <v/>
      </c>
      <c r="D3354" t="str">
        <f>IFERROR(VLOOKUP($A3354,原始数据_收盘!$A$4:$G$3460,4,0),"")</f>
        <v/>
      </c>
      <c r="E3354" t="str">
        <f>IFERROR(VLOOKUP($A3354,原始数据_收盘!$A$4:$G$3460,5,0),"")</f>
        <v/>
      </c>
      <c r="F3354" t="str">
        <f>IFERROR(VLOOKUP($A3354,原始数据_收盘!$A$4:$G$3460,6,0),"")</f>
        <v/>
      </c>
      <c r="G3354" t="str">
        <f>IFERROR(VLOOKUP($A3354,原始数据_收盘!$A$4:$G$3460,7,0),"")</f>
        <v/>
      </c>
      <c r="H3354" t="str">
        <f>IFERROR(VLOOKUP($A3354,原始数据_利率互换_FR007_1年!$A$6:$C$4395,2,0),"")</f>
        <v/>
      </c>
      <c r="I3354" t="str">
        <f>IFERROR(VLOOKUP($A3354,原始数据_利率互换_FR007_1年!$A$6:$C$4395,3,0),"")</f>
        <v/>
      </c>
    </row>
    <row r="3355" spans="1:9">
      <c r="A3355" s="6">
        <v>42848</v>
      </c>
      <c r="B3355" t="str">
        <f>IFERROR(VLOOKUP($A3355,原始数据_收盘!$A$4:$G$3460,2,0),"")</f>
        <v/>
      </c>
      <c r="C3355" t="str">
        <f>IFERROR(VLOOKUP($A3355,原始数据_收盘!$A$4:$G$3460,3,0),"")</f>
        <v/>
      </c>
      <c r="D3355" t="str">
        <f>IFERROR(VLOOKUP($A3355,原始数据_收盘!$A$4:$G$3460,4,0),"")</f>
        <v/>
      </c>
      <c r="E3355" t="str">
        <f>IFERROR(VLOOKUP($A3355,原始数据_收盘!$A$4:$G$3460,5,0),"")</f>
        <v/>
      </c>
      <c r="F3355" t="str">
        <f>IFERROR(VLOOKUP($A3355,原始数据_收盘!$A$4:$G$3460,6,0),"")</f>
        <v/>
      </c>
      <c r="G3355" t="str">
        <f>IFERROR(VLOOKUP($A3355,原始数据_收盘!$A$4:$G$3460,7,0),"")</f>
        <v/>
      </c>
      <c r="H3355" t="str">
        <f>IFERROR(VLOOKUP($A3355,原始数据_利率互换_FR007_1年!$A$6:$C$4395,2,0),"")</f>
        <v/>
      </c>
      <c r="I3355" t="str">
        <f>IFERROR(VLOOKUP($A3355,原始数据_利率互换_FR007_1年!$A$6:$C$4395,3,0),"")</f>
        <v/>
      </c>
    </row>
    <row r="3356" spans="1:9">
      <c r="A3356" s="6">
        <v>42849</v>
      </c>
      <c r="B3356">
        <f>IFERROR(VLOOKUP($A3356,原始数据_收盘!$A$4:$G$3460,2,0),"")</f>
        <v>3.6441</v>
      </c>
      <c r="C3356">
        <f>IFERROR(VLOOKUP($A3356,原始数据_收盘!$A$4:$G$3460,3,0),"")</f>
        <v>3.9882</v>
      </c>
      <c r="D3356">
        <f>IFERROR(VLOOKUP($A3356,原始数据_收盘!$A$4:$G$3460,4,0),"")</f>
        <v>3.655</v>
      </c>
      <c r="E3356">
        <f>IFERROR(VLOOKUP($A3356,原始数据_收盘!$A$4:$G$3460,5,0),"")</f>
        <v>3.9918</v>
      </c>
      <c r="F3356">
        <f>IFERROR(VLOOKUP($A3356,原始数据_收盘!$A$4:$G$3460,6,0),"")</f>
        <v>3.6495</v>
      </c>
      <c r="G3356">
        <f>IFERROR(VLOOKUP($A3356,原始数据_收盘!$A$4:$G$3460,7,0),"")</f>
        <v>3.99</v>
      </c>
      <c r="H3356">
        <f>IFERROR(VLOOKUP($A3356,原始数据_利率互换_FR007_1年!$A$6:$C$4395,2,0),"")</f>
        <v>3.6556</v>
      </c>
      <c r="I3356">
        <f>IFERROR(VLOOKUP($A3356,原始数据_利率互换_FR007_1年!$A$6:$C$4395,3,0),"")</f>
        <v>3.991</v>
      </c>
    </row>
    <row r="3357" spans="1:9">
      <c r="A3357" s="6">
        <v>42850</v>
      </c>
      <c r="B3357">
        <f>IFERROR(VLOOKUP($A3357,原始数据_收盘!$A$4:$G$3460,2,0),"")</f>
        <v>3.6046</v>
      </c>
      <c r="C3357">
        <f>IFERROR(VLOOKUP($A3357,原始数据_收盘!$A$4:$G$3460,3,0),"")</f>
        <v>3.9369</v>
      </c>
      <c r="D3357">
        <f>IFERROR(VLOOKUP($A3357,原始数据_收盘!$A$4:$G$3460,4,0),"")</f>
        <v>3.6096</v>
      </c>
      <c r="E3357">
        <f>IFERROR(VLOOKUP($A3357,原始数据_收盘!$A$4:$G$3460,5,0),"")</f>
        <v>3.941</v>
      </c>
      <c r="F3357">
        <f>IFERROR(VLOOKUP($A3357,原始数据_收盘!$A$4:$G$3460,6,0),"")</f>
        <v>3.6071</v>
      </c>
      <c r="G3357">
        <f>IFERROR(VLOOKUP($A3357,原始数据_收盘!$A$4:$G$3460,7,0),"")</f>
        <v>3.939</v>
      </c>
      <c r="H3357">
        <f>IFERROR(VLOOKUP($A3357,原始数据_利率互换_FR007_1年!$A$6:$C$4395,2,0),"")</f>
        <v>3.6276</v>
      </c>
      <c r="I3357">
        <f>IFERROR(VLOOKUP($A3357,原始数据_利率互换_FR007_1年!$A$6:$C$4395,3,0),"")</f>
        <v>3.9638</v>
      </c>
    </row>
    <row r="3358" spans="1:9">
      <c r="A3358" s="6">
        <v>42851</v>
      </c>
      <c r="B3358">
        <f>IFERROR(VLOOKUP($A3358,原始数据_收盘!$A$4:$G$3460,2,0),"")</f>
        <v>3.62</v>
      </c>
      <c r="C3358">
        <f>IFERROR(VLOOKUP($A3358,原始数据_收盘!$A$4:$G$3460,3,0),"")</f>
        <v>3.9525</v>
      </c>
      <c r="D3358">
        <f>IFERROR(VLOOKUP($A3358,原始数据_收盘!$A$4:$G$3460,4,0),"")</f>
        <v>3.6225</v>
      </c>
      <c r="E3358">
        <f>IFERROR(VLOOKUP($A3358,原始数据_收盘!$A$4:$G$3460,5,0),"")</f>
        <v>3.9554</v>
      </c>
      <c r="F3358">
        <f>IFERROR(VLOOKUP($A3358,原始数据_收盘!$A$4:$G$3460,6,0),"")</f>
        <v>3.6213</v>
      </c>
      <c r="G3358">
        <f>IFERROR(VLOOKUP($A3358,原始数据_收盘!$A$4:$G$3460,7,0),"")</f>
        <v>3.954</v>
      </c>
      <c r="H3358">
        <f>IFERROR(VLOOKUP($A3358,原始数据_利率互换_FR007_1年!$A$6:$C$4395,2,0),"")</f>
        <v>3.6173</v>
      </c>
      <c r="I3358">
        <f>IFERROR(VLOOKUP($A3358,原始数据_利率互换_FR007_1年!$A$6:$C$4395,3,0),"")</f>
        <v>3.9501</v>
      </c>
    </row>
    <row r="3359" spans="1:9">
      <c r="A3359" s="6">
        <v>42852</v>
      </c>
      <c r="B3359">
        <f>IFERROR(VLOOKUP($A3359,原始数据_收盘!$A$4:$G$3460,2,0),"")</f>
        <v>3.6375</v>
      </c>
      <c r="C3359">
        <f>IFERROR(VLOOKUP($A3359,原始数据_收盘!$A$4:$G$3460,3,0),"")</f>
        <v>3.9475</v>
      </c>
      <c r="D3359">
        <f>IFERROR(VLOOKUP($A3359,原始数据_收盘!$A$4:$G$3460,4,0),"")</f>
        <v>3.645</v>
      </c>
      <c r="E3359">
        <f>IFERROR(VLOOKUP($A3359,原始数据_收盘!$A$4:$G$3460,5,0),"")</f>
        <v>3.9525</v>
      </c>
      <c r="F3359">
        <f>IFERROR(VLOOKUP($A3359,原始数据_收盘!$A$4:$G$3460,6,0),"")</f>
        <v>3.6413</v>
      </c>
      <c r="G3359">
        <f>IFERROR(VLOOKUP($A3359,原始数据_收盘!$A$4:$G$3460,7,0),"")</f>
        <v>3.95</v>
      </c>
      <c r="H3359">
        <f>IFERROR(VLOOKUP($A3359,原始数据_利率互换_FR007_1年!$A$6:$C$4395,2,0),"")</f>
        <v>3.6359</v>
      </c>
      <c r="I3359">
        <f>IFERROR(VLOOKUP($A3359,原始数据_利率互换_FR007_1年!$A$6:$C$4395,3,0),"")</f>
        <v>3.9508</v>
      </c>
    </row>
    <row r="3360" spans="1:9">
      <c r="A3360" s="6">
        <v>42853</v>
      </c>
      <c r="B3360">
        <f>IFERROR(VLOOKUP($A3360,原始数据_收盘!$A$4:$G$3460,2,0),"")</f>
        <v>3.675</v>
      </c>
      <c r="C3360">
        <f>IFERROR(VLOOKUP($A3360,原始数据_收盘!$A$4:$G$3460,3,0),"")</f>
        <v>3.9725</v>
      </c>
      <c r="D3360">
        <f>IFERROR(VLOOKUP($A3360,原始数据_收盘!$A$4:$G$3460,4,0),"")</f>
        <v>3.68</v>
      </c>
      <c r="E3360">
        <f>IFERROR(VLOOKUP($A3360,原始数据_收盘!$A$4:$G$3460,5,0),"")</f>
        <v>3.9775</v>
      </c>
      <c r="F3360">
        <f>IFERROR(VLOOKUP($A3360,原始数据_收盘!$A$4:$G$3460,6,0),"")</f>
        <v>3.6775</v>
      </c>
      <c r="G3360">
        <f>IFERROR(VLOOKUP($A3360,原始数据_收盘!$A$4:$G$3460,7,0),"")</f>
        <v>3.975</v>
      </c>
      <c r="H3360">
        <f>IFERROR(VLOOKUP($A3360,原始数据_利率互换_FR007_1年!$A$6:$C$4395,2,0),"")</f>
        <v>3.6695</v>
      </c>
      <c r="I3360">
        <f>IFERROR(VLOOKUP($A3360,原始数据_利率互换_FR007_1年!$A$6:$C$4395,3,0),"")</f>
        <v>3.9772</v>
      </c>
    </row>
    <row r="3361" spans="1:9">
      <c r="A3361" s="6">
        <v>42854</v>
      </c>
      <c r="B3361" t="str">
        <f>IFERROR(VLOOKUP($A3361,原始数据_收盘!$A$4:$G$3460,2,0),"")</f>
        <v/>
      </c>
      <c r="C3361" t="str">
        <f>IFERROR(VLOOKUP($A3361,原始数据_收盘!$A$4:$G$3460,3,0),"")</f>
        <v/>
      </c>
      <c r="D3361" t="str">
        <f>IFERROR(VLOOKUP($A3361,原始数据_收盘!$A$4:$G$3460,4,0),"")</f>
        <v/>
      </c>
      <c r="E3361" t="str">
        <f>IFERROR(VLOOKUP($A3361,原始数据_收盘!$A$4:$G$3460,5,0),"")</f>
        <v/>
      </c>
      <c r="F3361" t="str">
        <f>IFERROR(VLOOKUP($A3361,原始数据_收盘!$A$4:$G$3460,6,0),"")</f>
        <v/>
      </c>
      <c r="G3361" t="str">
        <f>IFERROR(VLOOKUP($A3361,原始数据_收盘!$A$4:$G$3460,7,0),"")</f>
        <v/>
      </c>
      <c r="H3361" t="str">
        <f>IFERROR(VLOOKUP($A3361,原始数据_利率互换_FR007_1年!$A$6:$C$4395,2,0),"")</f>
        <v/>
      </c>
      <c r="I3361" t="str">
        <f>IFERROR(VLOOKUP($A3361,原始数据_利率互换_FR007_1年!$A$6:$C$4395,3,0),"")</f>
        <v/>
      </c>
    </row>
    <row r="3362" spans="1:9">
      <c r="A3362" s="6">
        <v>42855</v>
      </c>
      <c r="B3362" t="str">
        <f>IFERROR(VLOOKUP($A3362,原始数据_收盘!$A$4:$G$3460,2,0),"")</f>
        <v/>
      </c>
      <c r="C3362" t="str">
        <f>IFERROR(VLOOKUP($A3362,原始数据_收盘!$A$4:$G$3460,3,0),"")</f>
        <v/>
      </c>
      <c r="D3362" t="str">
        <f>IFERROR(VLOOKUP($A3362,原始数据_收盘!$A$4:$G$3460,4,0),"")</f>
        <v/>
      </c>
      <c r="E3362" t="str">
        <f>IFERROR(VLOOKUP($A3362,原始数据_收盘!$A$4:$G$3460,5,0),"")</f>
        <v/>
      </c>
      <c r="F3362" t="str">
        <f>IFERROR(VLOOKUP($A3362,原始数据_收盘!$A$4:$G$3460,6,0),"")</f>
        <v/>
      </c>
      <c r="G3362" t="str">
        <f>IFERROR(VLOOKUP($A3362,原始数据_收盘!$A$4:$G$3460,7,0),"")</f>
        <v/>
      </c>
      <c r="H3362" t="str">
        <f>IFERROR(VLOOKUP($A3362,原始数据_利率互换_FR007_1年!$A$6:$C$4395,2,0),"")</f>
        <v/>
      </c>
      <c r="I3362" t="str">
        <f>IFERROR(VLOOKUP($A3362,原始数据_利率互换_FR007_1年!$A$6:$C$4395,3,0),"")</f>
        <v/>
      </c>
    </row>
    <row r="3363" spans="1:9">
      <c r="A3363" s="6">
        <v>42856</v>
      </c>
      <c r="B3363" t="str">
        <f>IFERROR(VLOOKUP($A3363,原始数据_收盘!$A$4:$G$3460,2,0),"")</f>
        <v/>
      </c>
      <c r="C3363" t="str">
        <f>IFERROR(VLOOKUP($A3363,原始数据_收盘!$A$4:$G$3460,3,0),"")</f>
        <v/>
      </c>
      <c r="D3363" t="str">
        <f>IFERROR(VLOOKUP($A3363,原始数据_收盘!$A$4:$G$3460,4,0),"")</f>
        <v/>
      </c>
      <c r="E3363" t="str">
        <f>IFERROR(VLOOKUP($A3363,原始数据_收盘!$A$4:$G$3460,5,0),"")</f>
        <v/>
      </c>
      <c r="F3363" t="str">
        <f>IFERROR(VLOOKUP($A3363,原始数据_收盘!$A$4:$G$3460,6,0),"")</f>
        <v/>
      </c>
      <c r="G3363" t="str">
        <f>IFERROR(VLOOKUP($A3363,原始数据_收盘!$A$4:$G$3460,7,0),"")</f>
        <v/>
      </c>
      <c r="H3363" t="str">
        <f>IFERROR(VLOOKUP($A3363,原始数据_利率互换_FR007_1年!$A$6:$C$4395,2,0),"")</f>
        <v/>
      </c>
      <c r="I3363" t="str">
        <f>IFERROR(VLOOKUP($A3363,原始数据_利率互换_FR007_1年!$A$6:$C$4395,3,0),"")</f>
        <v/>
      </c>
    </row>
    <row r="3364" spans="1:9">
      <c r="A3364" s="6">
        <v>42857</v>
      </c>
      <c r="B3364">
        <f>IFERROR(VLOOKUP($A3364,原始数据_收盘!$A$4:$G$3460,2,0),"")</f>
        <v>3.7115</v>
      </c>
      <c r="C3364">
        <f>IFERROR(VLOOKUP($A3364,原始数据_收盘!$A$4:$G$3460,3,0),"")</f>
        <v>4</v>
      </c>
      <c r="D3364">
        <f>IFERROR(VLOOKUP($A3364,原始数据_收盘!$A$4:$G$3460,4,0),"")</f>
        <v>3.7167</v>
      </c>
      <c r="E3364">
        <f>IFERROR(VLOOKUP($A3364,原始数据_收盘!$A$4:$G$3460,5,0),"")</f>
        <v>4.0061</v>
      </c>
      <c r="F3364">
        <f>IFERROR(VLOOKUP($A3364,原始数据_收盘!$A$4:$G$3460,6,0),"")</f>
        <v>3.7141</v>
      </c>
      <c r="G3364">
        <f>IFERROR(VLOOKUP($A3364,原始数据_收盘!$A$4:$G$3460,7,0),"")</f>
        <v>4.003</v>
      </c>
      <c r="H3364">
        <f>IFERROR(VLOOKUP($A3364,原始数据_利率互换_FR007_1年!$A$6:$C$4395,2,0),"")</f>
        <v>3.6783</v>
      </c>
      <c r="I3364">
        <f>IFERROR(VLOOKUP($A3364,原始数据_利率互换_FR007_1年!$A$6:$C$4395,3,0),"")</f>
        <v>3.9898</v>
      </c>
    </row>
    <row r="3365" spans="1:9">
      <c r="A3365" s="6">
        <v>42858</v>
      </c>
      <c r="B3365">
        <f>IFERROR(VLOOKUP($A3365,原始数据_收盘!$A$4:$G$3460,2,0),"")</f>
        <v>3.755</v>
      </c>
      <c r="C3365">
        <f>IFERROR(VLOOKUP($A3365,原始数据_收盘!$A$4:$G$3460,3,0),"")</f>
        <v>4.0134</v>
      </c>
      <c r="D3365">
        <f>IFERROR(VLOOKUP($A3365,原始数据_收盘!$A$4:$G$3460,4,0),"")</f>
        <v>3.76</v>
      </c>
      <c r="E3365">
        <f>IFERROR(VLOOKUP($A3365,原始数据_收盘!$A$4:$G$3460,5,0),"")</f>
        <v>4.0219</v>
      </c>
      <c r="F3365">
        <f>IFERROR(VLOOKUP($A3365,原始数据_收盘!$A$4:$G$3460,6,0),"")</f>
        <v>3.7575</v>
      </c>
      <c r="G3365">
        <f>IFERROR(VLOOKUP($A3365,原始数据_收盘!$A$4:$G$3460,7,0),"")</f>
        <v>4.0176</v>
      </c>
      <c r="H3365">
        <f>IFERROR(VLOOKUP($A3365,原始数据_利率互换_FR007_1年!$A$6:$C$4395,2,0),"")</f>
        <v>3.7499</v>
      </c>
      <c r="I3365">
        <f>IFERROR(VLOOKUP($A3365,原始数据_利率互换_FR007_1年!$A$6:$C$4395,3,0),"")</f>
        <v>4.0223</v>
      </c>
    </row>
    <row r="3366" spans="1:9">
      <c r="A3366" s="6">
        <v>42859</v>
      </c>
      <c r="B3366">
        <f>IFERROR(VLOOKUP($A3366,原始数据_收盘!$A$4:$G$3460,2,0),"")</f>
        <v>3.8088</v>
      </c>
      <c r="C3366">
        <f>IFERROR(VLOOKUP($A3366,原始数据_收盘!$A$4:$G$3460,3,0),"")</f>
        <v>4.0835</v>
      </c>
      <c r="D3366">
        <f>IFERROR(VLOOKUP($A3366,原始数据_收盘!$A$4:$G$3460,4,0),"")</f>
        <v>3.8222</v>
      </c>
      <c r="E3366">
        <f>IFERROR(VLOOKUP($A3366,原始数据_收盘!$A$4:$G$3460,5,0),"")</f>
        <v>4.0941</v>
      </c>
      <c r="F3366">
        <f>IFERROR(VLOOKUP($A3366,原始数据_收盘!$A$4:$G$3460,6,0),"")</f>
        <v>3.8155</v>
      </c>
      <c r="G3366">
        <f>IFERROR(VLOOKUP($A3366,原始数据_收盘!$A$4:$G$3460,7,0),"")</f>
        <v>4.0888</v>
      </c>
      <c r="H3366">
        <f>IFERROR(VLOOKUP($A3366,原始数据_利率互换_FR007_1年!$A$6:$C$4395,2,0),"")</f>
        <v>3.7688</v>
      </c>
      <c r="I3366">
        <f>IFERROR(VLOOKUP($A3366,原始数据_利率互换_FR007_1年!$A$6:$C$4395,3,0),"")</f>
        <v>4.051</v>
      </c>
    </row>
    <row r="3367" spans="1:9">
      <c r="A3367" s="6">
        <v>42860</v>
      </c>
      <c r="B3367">
        <f>IFERROR(VLOOKUP($A3367,原始数据_收盘!$A$4:$G$3460,2,0),"")</f>
        <v>3.76</v>
      </c>
      <c r="C3367">
        <f>IFERROR(VLOOKUP($A3367,原始数据_收盘!$A$4:$G$3460,3,0),"")</f>
        <v>4.0509</v>
      </c>
      <c r="D3367">
        <f>IFERROR(VLOOKUP($A3367,原始数据_收盘!$A$4:$G$3460,4,0),"")</f>
        <v>3.7725</v>
      </c>
      <c r="E3367">
        <f>IFERROR(VLOOKUP($A3367,原始数据_收盘!$A$4:$G$3460,5,0),"")</f>
        <v>4.057</v>
      </c>
      <c r="F3367">
        <f>IFERROR(VLOOKUP($A3367,原始数据_收盘!$A$4:$G$3460,6,0),"")</f>
        <v>3.7663</v>
      </c>
      <c r="G3367">
        <f>IFERROR(VLOOKUP($A3367,原始数据_收盘!$A$4:$G$3460,7,0),"")</f>
        <v>4.0539</v>
      </c>
      <c r="H3367">
        <f>IFERROR(VLOOKUP($A3367,原始数据_利率互换_FR007_1年!$A$6:$C$4395,2,0),"")</f>
        <v>3.7928</v>
      </c>
      <c r="I3367">
        <f>IFERROR(VLOOKUP($A3367,原始数据_利率互换_FR007_1年!$A$6:$C$4395,3,0),"")</f>
        <v>4.0777</v>
      </c>
    </row>
    <row r="3368" spans="1:9">
      <c r="A3368" s="6">
        <v>42861</v>
      </c>
      <c r="B3368" t="str">
        <f>IFERROR(VLOOKUP($A3368,原始数据_收盘!$A$4:$G$3460,2,0),"")</f>
        <v/>
      </c>
      <c r="C3368" t="str">
        <f>IFERROR(VLOOKUP($A3368,原始数据_收盘!$A$4:$G$3460,3,0),"")</f>
        <v/>
      </c>
      <c r="D3368" t="str">
        <f>IFERROR(VLOOKUP($A3368,原始数据_收盘!$A$4:$G$3460,4,0),"")</f>
        <v/>
      </c>
      <c r="E3368" t="str">
        <f>IFERROR(VLOOKUP($A3368,原始数据_收盘!$A$4:$G$3460,5,0),"")</f>
        <v/>
      </c>
      <c r="F3368" t="str">
        <f>IFERROR(VLOOKUP($A3368,原始数据_收盘!$A$4:$G$3460,6,0),"")</f>
        <v/>
      </c>
      <c r="G3368" t="str">
        <f>IFERROR(VLOOKUP($A3368,原始数据_收盘!$A$4:$G$3460,7,0),"")</f>
        <v/>
      </c>
      <c r="H3368" t="str">
        <f>IFERROR(VLOOKUP($A3368,原始数据_利率互换_FR007_1年!$A$6:$C$4395,2,0),"")</f>
        <v/>
      </c>
      <c r="I3368" t="str">
        <f>IFERROR(VLOOKUP($A3368,原始数据_利率互换_FR007_1年!$A$6:$C$4395,3,0),"")</f>
        <v/>
      </c>
    </row>
    <row r="3369" spans="1:9">
      <c r="A3369" s="6">
        <v>42862</v>
      </c>
      <c r="B3369" t="str">
        <f>IFERROR(VLOOKUP($A3369,原始数据_收盘!$A$4:$G$3460,2,0),"")</f>
        <v/>
      </c>
      <c r="C3369" t="str">
        <f>IFERROR(VLOOKUP($A3369,原始数据_收盘!$A$4:$G$3460,3,0),"")</f>
        <v/>
      </c>
      <c r="D3369" t="str">
        <f>IFERROR(VLOOKUP($A3369,原始数据_收盘!$A$4:$G$3460,4,0),"")</f>
        <v/>
      </c>
      <c r="E3369" t="str">
        <f>IFERROR(VLOOKUP($A3369,原始数据_收盘!$A$4:$G$3460,5,0),"")</f>
        <v/>
      </c>
      <c r="F3369" t="str">
        <f>IFERROR(VLOOKUP($A3369,原始数据_收盘!$A$4:$G$3460,6,0),"")</f>
        <v/>
      </c>
      <c r="G3369" t="str">
        <f>IFERROR(VLOOKUP($A3369,原始数据_收盘!$A$4:$G$3460,7,0),"")</f>
        <v/>
      </c>
      <c r="H3369" t="str">
        <f>IFERROR(VLOOKUP($A3369,原始数据_利率互换_FR007_1年!$A$6:$C$4395,2,0),"")</f>
        <v/>
      </c>
      <c r="I3369" t="str">
        <f>IFERROR(VLOOKUP($A3369,原始数据_利率互换_FR007_1年!$A$6:$C$4395,3,0),"")</f>
        <v/>
      </c>
    </row>
    <row r="3370" spans="1:9">
      <c r="A3370" s="6">
        <v>42863</v>
      </c>
      <c r="B3370">
        <f>IFERROR(VLOOKUP($A3370,原始数据_收盘!$A$4:$G$3460,2,0),"")</f>
        <v>3.77</v>
      </c>
      <c r="C3370">
        <f>IFERROR(VLOOKUP($A3370,原始数据_收盘!$A$4:$G$3460,3,0),"")</f>
        <v>4.0729</v>
      </c>
      <c r="D3370">
        <f>IFERROR(VLOOKUP($A3370,原始数据_收盘!$A$4:$G$3460,4,0),"")</f>
        <v>3.7756</v>
      </c>
      <c r="E3370">
        <f>IFERROR(VLOOKUP($A3370,原始数据_收盘!$A$4:$G$3460,5,0),"")</f>
        <v>4.0771</v>
      </c>
      <c r="F3370">
        <f>IFERROR(VLOOKUP($A3370,原始数据_收盘!$A$4:$G$3460,6,0),"")</f>
        <v>3.7728</v>
      </c>
      <c r="G3370">
        <f>IFERROR(VLOOKUP($A3370,原始数据_收盘!$A$4:$G$3460,7,0),"")</f>
        <v>4.075</v>
      </c>
      <c r="H3370">
        <f>IFERROR(VLOOKUP($A3370,原始数据_利率互换_FR007_1年!$A$6:$C$4395,2,0),"")</f>
        <v>3.7687</v>
      </c>
      <c r="I3370">
        <f>IFERROR(VLOOKUP($A3370,原始数据_利率互换_FR007_1年!$A$6:$C$4395,3,0),"")</f>
        <v>4.0611</v>
      </c>
    </row>
    <row r="3371" spans="1:9">
      <c r="A3371" s="6">
        <v>42864</v>
      </c>
      <c r="B3371">
        <f>IFERROR(VLOOKUP($A3371,原始数据_收盘!$A$4:$G$3460,2,0),"")</f>
        <v>3.8014</v>
      </c>
      <c r="C3371">
        <f>IFERROR(VLOOKUP($A3371,原始数据_收盘!$A$4:$G$3460,3,0),"")</f>
        <v>4.1356</v>
      </c>
      <c r="D3371">
        <f>IFERROR(VLOOKUP($A3371,原始数据_收盘!$A$4:$G$3460,4,0),"")</f>
        <v>3.8205</v>
      </c>
      <c r="E3371">
        <f>IFERROR(VLOOKUP($A3371,原始数据_收盘!$A$4:$G$3460,5,0),"")</f>
        <v>4.14</v>
      </c>
      <c r="F3371">
        <f>IFERROR(VLOOKUP($A3371,原始数据_收盘!$A$4:$G$3460,6,0),"")</f>
        <v>3.8109</v>
      </c>
      <c r="G3371">
        <f>IFERROR(VLOOKUP($A3371,原始数据_收盘!$A$4:$G$3460,7,0),"")</f>
        <v>4.1378</v>
      </c>
      <c r="H3371">
        <f>IFERROR(VLOOKUP($A3371,原始数据_利率互换_FR007_1年!$A$6:$C$4395,2,0),"")</f>
        <v>3.7898</v>
      </c>
      <c r="I3371">
        <f>IFERROR(VLOOKUP($A3371,原始数据_利率互换_FR007_1年!$A$6:$C$4395,3,0),"")</f>
        <v>4.1082</v>
      </c>
    </row>
    <row r="3372" spans="1:9">
      <c r="A3372" s="6">
        <v>42865</v>
      </c>
      <c r="B3372">
        <f>IFERROR(VLOOKUP($A3372,原始数据_收盘!$A$4:$G$3460,2,0),"")</f>
        <v>3.8366</v>
      </c>
      <c r="C3372">
        <f>IFERROR(VLOOKUP($A3372,原始数据_收盘!$A$4:$G$3460,3,0),"")</f>
        <v>4.1718</v>
      </c>
      <c r="D3372">
        <f>IFERROR(VLOOKUP($A3372,原始数据_收盘!$A$4:$G$3460,4,0),"")</f>
        <v>3.8402</v>
      </c>
      <c r="E3372">
        <f>IFERROR(VLOOKUP($A3372,原始数据_收盘!$A$4:$G$3460,5,0),"")</f>
        <v>4.1762</v>
      </c>
      <c r="F3372">
        <f>IFERROR(VLOOKUP($A3372,原始数据_收盘!$A$4:$G$3460,6,0),"")</f>
        <v>3.8384</v>
      </c>
      <c r="G3372">
        <f>IFERROR(VLOOKUP($A3372,原始数据_收盘!$A$4:$G$3460,7,0),"")</f>
        <v>4.174</v>
      </c>
      <c r="H3372">
        <f>IFERROR(VLOOKUP($A3372,原始数据_利率互换_FR007_1年!$A$6:$C$4395,2,0),"")</f>
        <v>3.8299</v>
      </c>
      <c r="I3372">
        <f>IFERROR(VLOOKUP($A3372,原始数据_利率互换_FR007_1年!$A$6:$C$4395,3,0),"")</f>
        <v>4.1503</v>
      </c>
    </row>
    <row r="3373" spans="1:9">
      <c r="A3373" s="6">
        <v>42866</v>
      </c>
      <c r="B3373">
        <f>IFERROR(VLOOKUP($A3373,原始数据_收盘!$A$4:$G$3460,2,0),"")</f>
        <v>3.7875</v>
      </c>
      <c r="C3373">
        <f>IFERROR(VLOOKUP($A3373,原始数据_收盘!$A$4:$G$3460,3,0),"")</f>
        <v>4.1045</v>
      </c>
      <c r="D3373">
        <f>IFERROR(VLOOKUP($A3373,原始数据_收盘!$A$4:$G$3460,4,0),"")</f>
        <v>3.7937</v>
      </c>
      <c r="E3373">
        <f>IFERROR(VLOOKUP($A3373,原始数据_收盘!$A$4:$G$3460,5,0),"")</f>
        <v>4.1073</v>
      </c>
      <c r="F3373">
        <f>IFERROR(VLOOKUP($A3373,原始数据_收盘!$A$4:$G$3460,6,0),"")</f>
        <v>3.7906</v>
      </c>
      <c r="G3373">
        <f>IFERROR(VLOOKUP($A3373,原始数据_收盘!$A$4:$G$3460,7,0),"")</f>
        <v>4.1059</v>
      </c>
      <c r="H3373">
        <f>IFERROR(VLOOKUP($A3373,原始数据_利率互换_FR007_1年!$A$6:$C$4395,2,0),"")</f>
        <v>3.8158</v>
      </c>
      <c r="I3373">
        <f>IFERROR(VLOOKUP($A3373,原始数据_利率互换_FR007_1年!$A$6:$C$4395,3,0),"")</f>
        <v>4.1387</v>
      </c>
    </row>
    <row r="3374" spans="1:9">
      <c r="A3374" s="6">
        <v>42867</v>
      </c>
      <c r="B3374">
        <f>IFERROR(VLOOKUP($A3374,原始数据_收盘!$A$4:$G$3460,2,0),"")</f>
        <v>3.8022</v>
      </c>
      <c r="C3374">
        <f>IFERROR(VLOOKUP($A3374,原始数据_收盘!$A$4:$G$3460,3,0),"")</f>
        <v>4.1267</v>
      </c>
      <c r="D3374">
        <f>IFERROR(VLOOKUP($A3374,原始数据_收盘!$A$4:$G$3460,4,0),"")</f>
        <v>3.8053</v>
      </c>
      <c r="E3374">
        <f>IFERROR(VLOOKUP($A3374,原始数据_收盘!$A$4:$G$3460,5,0),"")</f>
        <v>4.1302</v>
      </c>
      <c r="F3374">
        <f>IFERROR(VLOOKUP($A3374,原始数据_收盘!$A$4:$G$3460,6,0),"")</f>
        <v>3.8038</v>
      </c>
      <c r="G3374">
        <f>IFERROR(VLOOKUP($A3374,原始数据_收盘!$A$4:$G$3460,7,0),"")</f>
        <v>4.1284</v>
      </c>
      <c r="H3374">
        <f>IFERROR(VLOOKUP($A3374,原始数据_利率互换_FR007_1年!$A$6:$C$4395,2,0),"")</f>
        <v>3.7981</v>
      </c>
      <c r="I3374">
        <f>IFERROR(VLOOKUP($A3374,原始数据_利率互换_FR007_1年!$A$6:$C$4395,3,0),"")</f>
        <v>4.1132</v>
      </c>
    </row>
    <row r="3375" spans="1:9">
      <c r="A3375" s="6">
        <v>42868</v>
      </c>
      <c r="B3375" t="str">
        <f>IFERROR(VLOOKUP($A3375,原始数据_收盘!$A$4:$G$3460,2,0),"")</f>
        <v/>
      </c>
      <c r="C3375" t="str">
        <f>IFERROR(VLOOKUP($A3375,原始数据_收盘!$A$4:$G$3460,3,0),"")</f>
        <v/>
      </c>
      <c r="D3375" t="str">
        <f>IFERROR(VLOOKUP($A3375,原始数据_收盘!$A$4:$G$3460,4,0),"")</f>
        <v/>
      </c>
      <c r="E3375" t="str">
        <f>IFERROR(VLOOKUP($A3375,原始数据_收盘!$A$4:$G$3460,5,0),"")</f>
        <v/>
      </c>
      <c r="F3375" t="str">
        <f>IFERROR(VLOOKUP($A3375,原始数据_收盘!$A$4:$G$3460,6,0),"")</f>
        <v/>
      </c>
      <c r="G3375" t="str">
        <f>IFERROR(VLOOKUP($A3375,原始数据_收盘!$A$4:$G$3460,7,0),"")</f>
        <v/>
      </c>
      <c r="H3375" t="str">
        <f>IFERROR(VLOOKUP($A3375,原始数据_利率互换_FR007_1年!$A$6:$C$4395,2,0),"")</f>
        <v/>
      </c>
      <c r="I3375" t="str">
        <f>IFERROR(VLOOKUP($A3375,原始数据_利率互换_FR007_1年!$A$6:$C$4395,3,0),"")</f>
        <v/>
      </c>
    </row>
    <row r="3376" spans="1:9">
      <c r="A3376" s="6">
        <v>42869</v>
      </c>
      <c r="B3376" t="str">
        <f>IFERROR(VLOOKUP($A3376,原始数据_收盘!$A$4:$G$3460,2,0),"")</f>
        <v/>
      </c>
      <c r="C3376" t="str">
        <f>IFERROR(VLOOKUP($A3376,原始数据_收盘!$A$4:$G$3460,3,0),"")</f>
        <v/>
      </c>
      <c r="D3376" t="str">
        <f>IFERROR(VLOOKUP($A3376,原始数据_收盘!$A$4:$G$3460,4,0),"")</f>
        <v/>
      </c>
      <c r="E3376" t="str">
        <f>IFERROR(VLOOKUP($A3376,原始数据_收盘!$A$4:$G$3460,5,0),"")</f>
        <v/>
      </c>
      <c r="F3376" t="str">
        <f>IFERROR(VLOOKUP($A3376,原始数据_收盘!$A$4:$G$3460,6,0),"")</f>
        <v/>
      </c>
      <c r="G3376" t="str">
        <f>IFERROR(VLOOKUP($A3376,原始数据_收盘!$A$4:$G$3460,7,0),"")</f>
        <v/>
      </c>
      <c r="H3376" t="str">
        <f>IFERROR(VLOOKUP($A3376,原始数据_利率互换_FR007_1年!$A$6:$C$4395,2,0),"")</f>
        <v/>
      </c>
      <c r="I3376" t="str">
        <f>IFERROR(VLOOKUP($A3376,原始数据_利率互换_FR007_1年!$A$6:$C$4395,3,0),"")</f>
        <v/>
      </c>
    </row>
    <row r="3377" spans="1:9">
      <c r="A3377" s="6">
        <v>42870</v>
      </c>
      <c r="B3377">
        <f>IFERROR(VLOOKUP($A3377,原始数据_收盘!$A$4:$G$3460,2,0),"")</f>
        <v>3.7345</v>
      </c>
      <c r="C3377">
        <f>IFERROR(VLOOKUP($A3377,原始数据_收盘!$A$4:$G$3460,3,0),"")</f>
        <v>4.0641</v>
      </c>
      <c r="D3377">
        <f>IFERROR(VLOOKUP($A3377,原始数据_收盘!$A$4:$G$3460,4,0),"")</f>
        <v>3.74</v>
      </c>
      <c r="E3377">
        <f>IFERROR(VLOOKUP($A3377,原始数据_收盘!$A$4:$G$3460,5,0),"")</f>
        <v>4.0677</v>
      </c>
      <c r="F3377">
        <f>IFERROR(VLOOKUP($A3377,原始数据_收盘!$A$4:$G$3460,6,0),"")</f>
        <v>3.7372</v>
      </c>
      <c r="G3377">
        <f>IFERROR(VLOOKUP($A3377,原始数据_收盘!$A$4:$G$3460,7,0),"")</f>
        <v>4.0659</v>
      </c>
      <c r="H3377">
        <f>IFERROR(VLOOKUP($A3377,原始数据_利率互换_FR007_1年!$A$6:$C$4395,2,0),"")</f>
        <v>3.7606</v>
      </c>
      <c r="I3377">
        <f>IFERROR(VLOOKUP($A3377,原始数据_利率互换_FR007_1年!$A$6:$C$4395,3,0),"")</f>
        <v>4.0837</v>
      </c>
    </row>
    <row r="3378" spans="1:9">
      <c r="A3378" s="6">
        <v>42871</v>
      </c>
      <c r="B3378">
        <f>IFERROR(VLOOKUP($A3378,原始数据_收盘!$A$4:$G$3460,2,0),"")</f>
        <v>3.7375</v>
      </c>
      <c r="C3378">
        <f>IFERROR(VLOOKUP($A3378,原始数据_收盘!$A$4:$G$3460,3,0),"")</f>
        <v>4.057</v>
      </c>
      <c r="D3378">
        <f>IFERROR(VLOOKUP($A3378,原始数据_收盘!$A$4:$G$3460,4,0),"")</f>
        <v>3.7425</v>
      </c>
      <c r="E3378">
        <f>IFERROR(VLOOKUP($A3378,原始数据_收盘!$A$4:$G$3460,5,0),"")</f>
        <v>4.06</v>
      </c>
      <c r="F3378">
        <f>IFERROR(VLOOKUP($A3378,原始数据_收盘!$A$4:$G$3460,6,0),"")</f>
        <v>3.74</v>
      </c>
      <c r="G3378">
        <f>IFERROR(VLOOKUP($A3378,原始数据_收盘!$A$4:$G$3460,7,0),"")</f>
        <v>4.0585</v>
      </c>
      <c r="H3378">
        <f>IFERROR(VLOOKUP($A3378,原始数据_利率互换_FR007_1年!$A$6:$C$4395,2,0),"")</f>
        <v>3.7385</v>
      </c>
      <c r="I3378">
        <f>IFERROR(VLOOKUP($A3378,原始数据_利率互换_FR007_1年!$A$6:$C$4395,3,0),"")</f>
        <v>4.0596</v>
      </c>
    </row>
    <row r="3379" spans="1:9">
      <c r="A3379" s="6">
        <v>42872</v>
      </c>
      <c r="B3379">
        <f>IFERROR(VLOOKUP($A3379,原始数据_收盘!$A$4:$G$3460,2,0),"")</f>
        <v>3.71</v>
      </c>
      <c r="C3379">
        <f>IFERROR(VLOOKUP($A3379,原始数据_收盘!$A$4:$G$3460,3,0),"")</f>
        <v>4.01</v>
      </c>
      <c r="D3379">
        <f>IFERROR(VLOOKUP($A3379,原始数据_收盘!$A$4:$G$3460,4,0),"")</f>
        <v>3.72</v>
      </c>
      <c r="E3379">
        <f>IFERROR(VLOOKUP($A3379,原始数据_收盘!$A$4:$G$3460,5,0),"")</f>
        <v>4.015</v>
      </c>
      <c r="F3379">
        <f>IFERROR(VLOOKUP($A3379,原始数据_收盘!$A$4:$G$3460,6,0),"")</f>
        <v>3.715</v>
      </c>
      <c r="G3379">
        <f>IFERROR(VLOOKUP($A3379,原始数据_收盘!$A$4:$G$3460,7,0),"")</f>
        <v>4.0125</v>
      </c>
      <c r="H3379">
        <f>IFERROR(VLOOKUP($A3379,原始数据_利率互换_FR007_1年!$A$6:$C$4395,2,0),"")</f>
        <v>3.7429</v>
      </c>
      <c r="I3379">
        <f>IFERROR(VLOOKUP($A3379,原始数据_利率互换_FR007_1年!$A$6:$C$4395,3,0),"")</f>
        <v>4.0402</v>
      </c>
    </row>
    <row r="3380" spans="1:9">
      <c r="A3380" s="6">
        <v>42873</v>
      </c>
      <c r="B3380">
        <f>IFERROR(VLOOKUP($A3380,原始数据_收盘!$A$4:$G$3460,2,0),"")</f>
        <v>3.6994</v>
      </c>
      <c r="C3380">
        <f>IFERROR(VLOOKUP($A3380,原始数据_收盘!$A$4:$G$3460,3,0),"")</f>
        <v>3.98</v>
      </c>
      <c r="D3380">
        <f>IFERROR(VLOOKUP($A3380,原始数据_收盘!$A$4:$G$3460,4,0),"")</f>
        <v>3.7035</v>
      </c>
      <c r="E3380">
        <f>IFERROR(VLOOKUP($A3380,原始数据_收盘!$A$4:$G$3460,5,0),"")</f>
        <v>3.9829</v>
      </c>
      <c r="F3380">
        <f>IFERROR(VLOOKUP($A3380,原始数据_收盘!$A$4:$G$3460,6,0),"")</f>
        <v>3.7015</v>
      </c>
      <c r="G3380">
        <f>IFERROR(VLOOKUP($A3380,原始数据_收盘!$A$4:$G$3460,7,0),"")</f>
        <v>3.9815</v>
      </c>
      <c r="H3380">
        <f>IFERROR(VLOOKUP($A3380,原始数据_利率互换_FR007_1年!$A$6:$C$4395,2,0),"")</f>
        <v>3.702</v>
      </c>
      <c r="I3380">
        <f>IFERROR(VLOOKUP($A3380,原始数据_利率互换_FR007_1年!$A$6:$C$4395,3,0),"")</f>
        <v>3.9813</v>
      </c>
    </row>
    <row r="3381" spans="1:9">
      <c r="A3381" s="6">
        <v>42874</v>
      </c>
      <c r="B3381">
        <f>IFERROR(VLOOKUP($A3381,原始数据_收盘!$A$4:$G$3460,2,0),"")</f>
        <v>3.715</v>
      </c>
      <c r="C3381">
        <f>IFERROR(VLOOKUP($A3381,原始数据_收盘!$A$4:$G$3460,3,0),"")</f>
        <v>4.0002</v>
      </c>
      <c r="D3381">
        <f>IFERROR(VLOOKUP($A3381,原始数据_收盘!$A$4:$G$3460,4,0),"")</f>
        <v>3.725</v>
      </c>
      <c r="E3381">
        <f>IFERROR(VLOOKUP($A3381,原始数据_收盘!$A$4:$G$3460,5,0),"")</f>
        <v>4.005</v>
      </c>
      <c r="F3381">
        <f>IFERROR(VLOOKUP($A3381,原始数据_收盘!$A$4:$G$3460,6,0),"")</f>
        <v>3.72</v>
      </c>
      <c r="G3381">
        <f>IFERROR(VLOOKUP($A3381,原始数据_收盘!$A$4:$G$3460,7,0),"")</f>
        <v>4.0026</v>
      </c>
      <c r="H3381">
        <f>IFERROR(VLOOKUP($A3381,原始数据_利率互换_FR007_1年!$A$6:$C$4395,2,0),"")</f>
        <v>3.7165</v>
      </c>
      <c r="I3381">
        <f>IFERROR(VLOOKUP($A3381,原始数据_利率互换_FR007_1年!$A$6:$C$4395,3,0),"")</f>
        <v>4.0011</v>
      </c>
    </row>
    <row r="3382" spans="1:9">
      <c r="A3382" s="6">
        <v>42875</v>
      </c>
      <c r="B3382" t="str">
        <f>IFERROR(VLOOKUP($A3382,原始数据_收盘!$A$4:$G$3460,2,0),"")</f>
        <v/>
      </c>
      <c r="C3382" t="str">
        <f>IFERROR(VLOOKUP($A3382,原始数据_收盘!$A$4:$G$3460,3,0),"")</f>
        <v/>
      </c>
      <c r="D3382" t="str">
        <f>IFERROR(VLOOKUP($A3382,原始数据_收盘!$A$4:$G$3460,4,0),"")</f>
        <v/>
      </c>
      <c r="E3382" t="str">
        <f>IFERROR(VLOOKUP($A3382,原始数据_收盘!$A$4:$G$3460,5,0),"")</f>
        <v/>
      </c>
      <c r="F3382" t="str">
        <f>IFERROR(VLOOKUP($A3382,原始数据_收盘!$A$4:$G$3460,6,0),"")</f>
        <v/>
      </c>
      <c r="G3382" t="str">
        <f>IFERROR(VLOOKUP($A3382,原始数据_收盘!$A$4:$G$3460,7,0),"")</f>
        <v/>
      </c>
      <c r="H3382" t="str">
        <f>IFERROR(VLOOKUP($A3382,原始数据_利率互换_FR007_1年!$A$6:$C$4395,2,0),"")</f>
        <v/>
      </c>
      <c r="I3382" t="str">
        <f>IFERROR(VLOOKUP($A3382,原始数据_利率互换_FR007_1年!$A$6:$C$4395,3,0),"")</f>
        <v/>
      </c>
    </row>
    <row r="3383" spans="1:9">
      <c r="A3383" s="6">
        <v>42876</v>
      </c>
      <c r="B3383" t="str">
        <f>IFERROR(VLOOKUP($A3383,原始数据_收盘!$A$4:$G$3460,2,0),"")</f>
        <v/>
      </c>
      <c r="C3383" t="str">
        <f>IFERROR(VLOOKUP($A3383,原始数据_收盘!$A$4:$G$3460,3,0),"")</f>
        <v/>
      </c>
      <c r="D3383" t="str">
        <f>IFERROR(VLOOKUP($A3383,原始数据_收盘!$A$4:$G$3460,4,0),"")</f>
        <v/>
      </c>
      <c r="E3383" t="str">
        <f>IFERROR(VLOOKUP($A3383,原始数据_收盘!$A$4:$G$3460,5,0),"")</f>
        <v/>
      </c>
      <c r="F3383" t="str">
        <f>IFERROR(VLOOKUP($A3383,原始数据_收盘!$A$4:$G$3460,6,0),"")</f>
        <v/>
      </c>
      <c r="G3383" t="str">
        <f>IFERROR(VLOOKUP($A3383,原始数据_收盘!$A$4:$G$3460,7,0),"")</f>
        <v/>
      </c>
      <c r="H3383" t="str">
        <f>IFERROR(VLOOKUP($A3383,原始数据_利率互换_FR007_1年!$A$6:$C$4395,2,0),"")</f>
        <v/>
      </c>
      <c r="I3383" t="str">
        <f>IFERROR(VLOOKUP($A3383,原始数据_利率互换_FR007_1年!$A$6:$C$4395,3,0),"")</f>
        <v/>
      </c>
    </row>
    <row r="3384" spans="1:9">
      <c r="A3384" s="6">
        <v>42877</v>
      </c>
      <c r="B3384">
        <f>IFERROR(VLOOKUP($A3384,原始数据_收盘!$A$4:$G$3460,2,0),"")</f>
        <v>3.71</v>
      </c>
      <c r="C3384">
        <f>IFERROR(VLOOKUP($A3384,原始数据_收盘!$A$4:$G$3460,3,0),"")</f>
        <v>4.0275</v>
      </c>
      <c r="D3384">
        <f>IFERROR(VLOOKUP($A3384,原始数据_收盘!$A$4:$G$3460,4,0),"")</f>
        <v>3.7231</v>
      </c>
      <c r="E3384">
        <f>IFERROR(VLOOKUP($A3384,原始数据_收盘!$A$4:$G$3460,5,0),"")</f>
        <v>4.035</v>
      </c>
      <c r="F3384">
        <f>IFERROR(VLOOKUP($A3384,原始数据_收盘!$A$4:$G$3460,6,0),"")</f>
        <v>3.7166</v>
      </c>
      <c r="G3384">
        <f>IFERROR(VLOOKUP($A3384,原始数据_收盘!$A$4:$G$3460,7,0),"")</f>
        <v>4.0313</v>
      </c>
      <c r="H3384">
        <f>IFERROR(VLOOKUP($A3384,原始数据_利率互换_FR007_1年!$A$6:$C$4395,2,0),"")</f>
        <v>3.7249</v>
      </c>
      <c r="I3384">
        <f>IFERROR(VLOOKUP($A3384,原始数据_利率互换_FR007_1年!$A$6:$C$4395,3,0),"")</f>
        <v>4.0252</v>
      </c>
    </row>
    <row r="3385" spans="1:9">
      <c r="A3385" s="6">
        <v>42878</v>
      </c>
      <c r="B3385">
        <f>IFERROR(VLOOKUP($A3385,原始数据_收盘!$A$4:$G$3460,2,0),"")</f>
        <v>3.643</v>
      </c>
      <c r="C3385">
        <f>IFERROR(VLOOKUP($A3385,原始数据_收盘!$A$4:$G$3460,3,0),"")</f>
        <v>3.98</v>
      </c>
      <c r="D3385">
        <f>IFERROR(VLOOKUP($A3385,原始数据_收盘!$A$4:$G$3460,4,0),"")</f>
        <v>3.65</v>
      </c>
      <c r="E3385">
        <f>IFERROR(VLOOKUP($A3385,原始数据_收盘!$A$4:$G$3460,5,0),"")</f>
        <v>3.99</v>
      </c>
      <c r="F3385">
        <f>IFERROR(VLOOKUP($A3385,原始数据_收盘!$A$4:$G$3460,6,0),"")</f>
        <v>3.6465</v>
      </c>
      <c r="G3385">
        <f>IFERROR(VLOOKUP($A3385,原始数据_收盘!$A$4:$G$3460,7,0),"")</f>
        <v>3.985</v>
      </c>
      <c r="H3385">
        <f>IFERROR(VLOOKUP($A3385,原始数据_利率互换_FR007_1年!$A$6:$C$4395,2,0),"")</f>
        <v>3.6776</v>
      </c>
      <c r="I3385">
        <f>IFERROR(VLOOKUP($A3385,原始数据_利率互换_FR007_1年!$A$6:$C$4395,3,0),"")</f>
        <v>4.0072</v>
      </c>
    </row>
    <row r="3386" spans="1:9">
      <c r="A3386" s="6">
        <v>42879</v>
      </c>
      <c r="B3386">
        <f>IFERROR(VLOOKUP($A3386,原始数据_收盘!$A$4:$G$3460,2,0),"")</f>
        <v>3.646</v>
      </c>
      <c r="C3386">
        <f>IFERROR(VLOOKUP($A3386,原始数据_收盘!$A$4:$G$3460,3,0),"")</f>
        <v>3.9725</v>
      </c>
      <c r="D3386">
        <f>IFERROR(VLOOKUP($A3386,原始数据_收盘!$A$4:$G$3460,4,0),"")</f>
        <v>3.65</v>
      </c>
      <c r="E3386">
        <f>IFERROR(VLOOKUP($A3386,原始数据_收盘!$A$4:$G$3460,5,0),"")</f>
        <v>3.9782</v>
      </c>
      <c r="F3386">
        <f>IFERROR(VLOOKUP($A3386,原始数据_收盘!$A$4:$G$3460,6,0),"")</f>
        <v>3.648</v>
      </c>
      <c r="G3386">
        <f>IFERROR(VLOOKUP($A3386,原始数据_收盘!$A$4:$G$3460,7,0),"")</f>
        <v>3.9753</v>
      </c>
      <c r="H3386">
        <f>IFERROR(VLOOKUP($A3386,原始数据_利率互换_FR007_1年!$A$6:$C$4395,2,0),"")</f>
        <v>3.658</v>
      </c>
      <c r="I3386">
        <f>IFERROR(VLOOKUP($A3386,原始数据_利率互换_FR007_1年!$A$6:$C$4395,3,0),"")</f>
        <v>3.9918</v>
      </c>
    </row>
    <row r="3387" spans="1:9">
      <c r="A3387" s="6">
        <v>42880</v>
      </c>
      <c r="B3387">
        <f>IFERROR(VLOOKUP($A3387,原始数据_收盘!$A$4:$G$3460,2,0),"")</f>
        <v>3.6524</v>
      </c>
      <c r="C3387">
        <f>IFERROR(VLOOKUP($A3387,原始数据_收盘!$A$4:$G$3460,3,0),"")</f>
        <v>3.955</v>
      </c>
      <c r="D3387">
        <f>IFERROR(VLOOKUP($A3387,原始数据_收盘!$A$4:$G$3460,4,0),"")</f>
        <v>3.6575</v>
      </c>
      <c r="E3387">
        <f>IFERROR(VLOOKUP($A3387,原始数据_收盘!$A$4:$G$3460,5,0),"")</f>
        <v>3.9625</v>
      </c>
      <c r="F3387">
        <f>IFERROR(VLOOKUP($A3387,原始数据_收盘!$A$4:$G$3460,6,0),"")</f>
        <v>3.6549</v>
      </c>
      <c r="G3387">
        <f>IFERROR(VLOOKUP($A3387,原始数据_收盘!$A$4:$G$3460,7,0),"")</f>
        <v>3.9588</v>
      </c>
      <c r="H3387">
        <f>IFERROR(VLOOKUP($A3387,原始数据_利率互换_FR007_1年!$A$6:$C$4395,2,0),"")</f>
        <v>3.6487</v>
      </c>
      <c r="I3387">
        <f>IFERROR(VLOOKUP($A3387,原始数据_利率互换_FR007_1年!$A$6:$C$4395,3,0),"")</f>
        <v>3.9547</v>
      </c>
    </row>
    <row r="3388" spans="1:9">
      <c r="A3388" s="6">
        <v>42881</v>
      </c>
      <c r="B3388">
        <f>IFERROR(VLOOKUP($A3388,原始数据_收盘!$A$4:$G$3460,2,0),"")</f>
        <v>3.6415</v>
      </c>
      <c r="C3388">
        <f>IFERROR(VLOOKUP($A3388,原始数据_收盘!$A$4:$G$3460,3,0),"")</f>
        <v>3.9507</v>
      </c>
      <c r="D3388">
        <f>IFERROR(VLOOKUP($A3388,原始数据_收盘!$A$4:$G$3460,4,0),"")</f>
        <v>3.6599</v>
      </c>
      <c r="E3388">
        <f>IFERROR(VLOOKUP($A3388,原始数据_收盘!$A$4:$G$3460,5,0),"")</f>
        <v>3.96</v>
      </c>
      <c r="F3388">
        <f>IFERROR(VLOOKUP($A3388,原始数据_收盘!$A$4:$G$3460,6,0),"")</f>
        <v>3.6507</v>
      </c>
      <c r="G3388">
        <f>IFERROR(VLOOKUP($A3388,原始数据_收盘!$A$4:$G$3460,7,0),"")</f>
        <v>3.9553</v>
      </c>
      <c r="H3388">
        <f>IFERROR(VLOOKUP($A3388,原始数据_利率互换_FR007_1年!$A$6:$C$4395,2,0),"")</f>
        <v>3.6607</v>
      </c>
      <c r="I3388">
        <f>IFERROR(VLOOKUP($A3388,原始数据_利率互换_FR007_1年!$A$6:$C$4395,3,0),"")</f>
        <v>3.9635</v>
      </c>
    </row>
    <row r="3389" spans="1:9">
      <c r="A3389" s="6">
        <v>42882</v>
      </c>
      <c r="B3389">
        <f>IFERROR(VLOOKUP($A3389,原始数据_收盘!$A$4:$G$3460,2,0),"")</f>
        <v>3.6288</v>
      </c>
      <c r="C3389">
        <f>IFERROR(VLOOKUP($A3389,原始数据_收盘!$A$4:$G$3460,3,0),"")</f>
        <v>3.9413</v>
      </c>
      <c r="D3389">
        <f>IFERROR(VLOOKUP($A3389,原始数据_收盘!$A$4:$G$3460,4,0),"")</f>
        <v>3.6713</v>
      </c>
      <c r="E3389">
        <f>IFERROR(VLOOKUP($A3389,原始数据_收盘!$A$4:$G$3460,5,0),"")</f>
        <v>3.9959</v>
      </c>
      <c r="F3389">
        <f>IFERROR(VLOOKUP($A3389,原始数据_收盘!$A$4:$G$3460,6,0),"")</f>
        <v>3.65</v>
      </c>
      <c r="G3389">
        <f>IFERROR(VLOOKUP($A3389,原始数据_收盘!$A$4:$G$3460,7,0),"")</f>
        <v>3.9686</v>
      </c>
      <c r="H3389">
        <f>IFERROR(VLOOKUP($A3389,原始数据_利率互换_FR007_1年!$A$6:$C$4395,2,0),"")</f>
        <v>3.6457</v>
      </c>
      <c r="I3389">
        <f>IFERROR(VLOOKUP($A3389,原始数据_利率互换_FR007_1年!$A$6:$C$4395,3,0),"")</f>
        <v>3.97</v>
      </c>
    </row>
    <row r="3390" spans="1:9">
      <c r="A3390" s="6">
        <v>42883</v>
      </c>
      <c r="B3390" t="str">
        <f>IFERROR(VLOOKUP($A3390,原始数据_收盘!$A$4:$G$3460,2,0),"")</f>
        <v/>
      </c>
      <c r="C3390" t="str">
        <f>IFERROR(VLOOKUP($A3390,原始数据_收盘!$A$4:$G$3460,3,0),"")</f>
        <v/>
      </c>
      <c r="D3390" t="str">
        <f>IFERROR(VLOOKUP($A3390,原始数据_收盘!$A$4:$G$3460,4,0),"")</f>
        <v/>
      </c>
      <c r="E3390" t="str">
        <f>IFERROR(VLOOKUP($A3390,原始数据_收盘!$A$4:$G$3460,5,0),"")</f>
        <v/>
      </c>
      <c r="F3390" t="str">
        <f>IFERROR(VLOOKUP($A3390,原始数据_收盘!$A$4:$G$3460,6,0),"")</f>
        <v/>
      </c>
      <c r="G3390" t="str">
        <f>IFERROR(VLOOKUP($A3390,原始数据_收盘!$A$4:$G$3460,7,0),"")</f>
        <v/>
      </c>
      <c r="H3390" t="str">
        <f>IFERROR(VLOOKUP($A3390,原始数据_利率互换_FR007_1年!$A$6:$C$4395,2,0),"")</f>
        <v/>
      </c>
      <c r="I3390" t="str">
        <f>IFERROR(VLOOKUP($A3390,原始数据_利率互换_FR007_1年!$A$6:$C$4395,3,0),"")</f>
        <v/>
      </c>
    </row>
    <row r="3391" spans="1:9">
      <c r="A3391" s="6">
        <v>42884</v>
      </c>
      <c r="B3391" t="str">
        <f>IFERROR(VLOOKUP($A3391,原始数据_收盘!$A$4:$G$3460,2,0),"")</f>
        <v/>
      </c>
      <c r="C3391" t="str">
        <f>IFERROR(VLOOKUP($A3391,原始数据_收盘!$A$4:$G$3460,3,0),"")</f>
        <v/>
      </c>
      <c r="D3391" t="str">
        <f>IFERROR(VLOOKUP($A3391,原始数据_收盘!$A$4:$G$3460,4,0),"")</f>
        <v/>
      </c>
      <c r="E3391" t="str">
        <f>IFERROR(VLOOKUP($A3391,原始数据_收盘!$A$4:$G$3460,5,0),"")</f>
        <v/>
      </c>
      <c r="F3391" t="str">
        <f>IFERROR(VLOOKUP($A3391,原始数据_收盘!$A$4:$G$3460,6,0),"")</f>
        <v/>
      </c>
      <c r="G3391" t="str">
        <f>IFERROR(VLOOKUP($A3391,原始数据_收盘!$A$4:$G$3460,7,0),"")</f>
        <v/>
      </c>
      <c r="H3391" t="str">
        <f>IFERROR(VLOOKUP($A3391,原始数据_利率互换_FR007_1年!$A$6:$C$4395,2,0),"")</f>
        <v/>
      </c>
      <c r="I3391" t="str">
        <f>IFERROR(VLOOKUP($A3391,原始数据_利率互换_FR007_1年!$A$6:$C$4395,3,0),"")</f>
        <v/>
      </c>
    </row>
    <row r="3392" spans="1:9">
      <c r="A3392" s="6">
        <v>42885</v>
      </c>
      <c r="B3392" t="str">
        <f>IFERROR(VLOOKUP($A3392,原始数据_收盘!$A$4:$G$3460,2,0),"")</f>
        <v/>
      </c>
      <c r="C3392" t="str">
        <f>IFERROR(VLOOKUP($A3392,原始数据_收盘!$A$4:$G$3460,3,0),"")</f>
        <v/>
      </c>
      <c r="D3392" t="str">
        <f>IFERROR(VLOOKUP($A3392,原始数据_收盘!$A$4:$G$3460,4,0),"")</f>
        <v/>
      </c>
      <c r="E3392" t="str">
        <f>IFERROR(VLOOKUP($A3392,原始数据_收盘!$A$4:$G$3460,5,0),"")</f>
        <v/>
      </c>
      <c r="F3392" t="str">
        <f>IFERROR(VLOOKUP($A3392,原始数据_收盘!$A$4:$G$3460,6,0),"")</f>
        <v/>
      </c>
      <c r="G3392" t="str">
        <f>IFERROR(VLOOKUP($A3392,原始数据_收盘!$A$4:$G$3460,7,0),"")</f>
        <v/>
      </c>
      <c r="H3392" t="str">
        <f>IFERROR(VLOOKUP($A3392,原始数据_利率互换_FR007_1年!$A$6:$C$4395,2,0),"")</f>
        <v/>
      </c>
      <c r="I3392" t="str">
        <f>IFERROR(VLOOKUP($A3392,原始数据_利率互换_FR007_1年!$A$6:$C$4395,3,0),"")</f>
        <v/>
      </c>
    </row>
    <row r="3393" spans="1:9">
      <c r="A3393" s="6">
        <v>42886</v>
      </c>
      <c r="B3393">
        <f>IFERROR(VLOOKUP($A3393,原始数据_收盘!$A$4:$G$3460,2,0),"")</f>
        <v>3.58</v>
      </c>
      <c r="C3393">
        <f>IFERROR(VLOOKUP($A3393,原始数据_收盘!$A$4:$G$3460,3,0),"")</f>
        <v>3.8875</v>
      </c>
      <c r="D3393">
        <f>IFERROR(VLOOKUP($A3393,原始数据_收盘!$A$4:$G$3460,4,0),"")</f>
        <v>3.585</v>
      </c>
      <c r="E3393">
        <f>IFERROR(VLOOKUP($A3393,原始数据_收盘!$A$4:$G$3460,5,0),"")</f>
        <v>3.89</v>
      </c>
      <c r="F3393">
        <f>IFERROR(VLOOKUP($A3393,原始数据_收盘!$A$4:$G$3460,6,0),"")</f>
        <v>3.5825</v>
      </c>
      <c r="G3393">
        <f>IFERROR(VLOOKUP($A3393,原始数据_收盘!$A$4:$G$3460,7,0),"")</f>
        <v>3.8888</v>
      </c>
      <c r="H3393">
        <f>IFERROR(VLOOKUP($A3393,原始数据_利率互换_FR007_1年!$A$6:$C$4395,2,0),"")</f>
        <v>3.5925</v>
      </c>
      <c r="I3393">
        <f>IFERROR(VLOOKUP($A3393,原始数据_利率互换_FR007_1年!$A$6:$C$4395,3,0),"")</f>
        <v>3.8962</v>
      </c>
    </row>
    <row r="3394" spans="1:9">
      <c r="A3394" s="6">
        <v>42887</v>
      </c>
      <c r="B3394">
        <f>IFERROR(VLOOKUP($A3394,原始数据_收盘!$A$4:$G$3460,2,0),"")</f>
        <v>3.56</v>
      </c>
      <c r="C3394">
        <f>IFERROR(VLOOKUP($A3394,原始数据_收盘!$A$4:$G$3460,3,0),"")</f>
        <v>3.836</v>
      </c>
      <c r="D3394">
        <f>IFERROR(VLOOKUP($A3394,原始数据_收盘!$A$4:$G$3460,4,0),"")</f>
        <v>3.5735</v>
      </c>
      <c r="E3394">
        <f>IFERROR(VLOOKUP($A3394,原始数据_收盘!$A$4:$G$3460,5,0),"")</f>
        <v>3.8438</v>
      </c>
      <c r="F3394">
        <f>IFERROR(VLOOKUP($A3394,原始数据_收盘!$A$4:$G$3460,6,0),"")</f>
        <v>3.5668</v>
      </c>
      <c r="G3394">
        <f>IFERROR(VLOOKUP($A3394,原始数据_收盘!$A$4:$G$3460,7,0),"")</f>
        <v>3.8399</v>
      </c>
      <c r="H3394">
        <f>IFERROR(VLOOKUP($A3394,原始数据_利率互换_FR007_1年!$A$6:$C$4395,2,0),"")</f>
        <v>3.5915</v>
      </c>
      <c r="I3394">
        <f>IFERROR(VLOOKUP($A3394,原始数据_利率互换_FR007_1年!$A$6:$C$4395,3,0),"")</f>
        <v>3.8709</v>
      </c>
    </row>
    <row r="3395" spans="1:9">
      <c r="A3395" s="6">
        <v>42888</v>
      </c>
      <c r="B3395">
        <f>IFERROR(VLOOKUP($A3395,原始数据_收盘!$A$4:$G$3460,2,0),"")</f>
        <v>3.5961</v>
      </c>
      <c r="C3395">
        <f>IFERROR(VLOOKUP($A3395,原始数据_收盘!$A$4:$G$3460,3,0),"")</f>
        <v>3.8628</v>
      </c>
      <c r="D3395">
        <f>IFERROR(VLOOKUP($A3395,原始数据_收盘!$A$4:$G$3460,4,0),"")</f>
        <v>3.605</v>
      </c>
      <c r="E3395">
        <f>IFERROR(VLOOKUP($A3395,原始数据_收盘!$A$4:$G$3460,5,0),"")</f>
        <v>3.8664</v>
      </c>
      <c r="F3395">
        <f>IFERROR(VLOOKUP($A3395,原始数据_收盘!$A$4:$G$3460,6,0),"")</f>
        <v>3.6005</v>
      </c>
      <c r="G3395">
        <f>IFERROR(VLOOKUP($A3395,原始数据_收盘!$A$4:$G$3460,7,0),"")</f>
        <v>3.8646</v>
      </c>
      <c r="H3395">
        <f>IFERROR(VLOOKUP($A3395,原始数据_利率互换_FR007_1年!$A$6:$C$4395,2,0),"")</f>
        <v>3.5914</v>
      </c>
      <c r="I3395">
        <f>IFERROR(VLOOKUP($A3395,原始数据_利率互换_FR007_1年!$A$6:$C$4395,3,0),"")</f>
        <v>3.8591</v>
      </c>
    </row>
    <row r="3396" spans="1:9">
      <c r="A3396" s="6">
        <v>42889</v>
      </c>
      <c r="B3396" t="str">
        <f>IFERROR(VLOOKUP($A3396,原始数据_收盘!$A$4:$G$3460,2,0),"")</f>
        <v/>
      </c>
      <c r="C3396" t="str">
        <f>IFERROR(VLOOKUP($A3396,原始数据_收盘!$A$4:$G$3460,3,0),"")</f>
        <v/>
      </c>
      <c r="D3396" t="str">
        <f>IFERROR(VLOOKUP($A3396,原始数据_收盘!$A$4:$G$3460,4,0),"")</f>
        <v/>
      </c>
      <c r="E3396" t="str">
        <f>IFERROR(VLOOKUP($A3396,原始数据_收盘!$A$4:$G$3460,5,0),"")</f>
        <v/>
      </c>
      <c r="F3396" t="str">
        <f>IFERROR(VLOOKUP($A3396,原始数据_收盘!$A$4:$G$3460,6,0),"")</f>
        <v/>
      </c>
      <c r="G3396" t="str">
        <f>IFERROR(VLOOKUP($A3396,原始数据_收盘!$A$4:$G$3460,7,0),"")</f>
        <v/>
      </c>
      <c r="H3396" t="str">
        <f>IFERROR(VLOOKUP($A3396,原始数据_利率互换_FR007_1年!$A$6:$C$4395,2,0),"")</f>
        <v/>
      </c>
      <c r="I3396" t="str">
        <f>IFERROR(VLOOKUP($A3396,原始数据_利率互换_FR007_1年!$A$6:$C$4395,3,0),"")</f>
        <v/>
      </c>
    </row>
    <row r="3397" spans="1:9">
      <c r="A3397" s="6">
        <v>42890</v>
      </c>
      <c r="B3397" t="str">
        <f>IFERROR(VLOOKUP($A3397,原始数据_收盘!$A$4:$G$3460,2,0),"")</f>
        <v/>
      </c>
      <c r="C3397" t="str">
        <f>IFERROR(VLOOKUP($A3397,原始数据_收盘!$A$4:$G$3460,3,0),"")</f>
        <v/>
      </c>
      <c r="D3397" t="str">
        <f>IFERROR(VLOOKUP($A3397,原始数据_收盘!$A$4:$G$3460,4,0),"")</f>
        <v/>
      </c>
      <c r="E3397" t="str">
        <f>IFERROR(VLOOKUP($A3397,原始数据_收盘!$A$4:$G$3460,5,0),"")</f>
        <v/>
      </c>
      <c r="F3397" t="str">
        <f>IFERROR(VLOOKUP($A3397,原始数据_收盘!$A$4:$G$3460,6,0),"")</f>
        <v/>
      </c>
      <c r="G3397" t="str">
        <f>IFERROR(VLOOKUP($A3397,原始数据_收盘!$A$4:$G$3460,7,0),"")</f>
        <v/>
      </c>
      <c r="H3397" t="str">
        <f>IFERROR(VLOOKUP($A3397,原始数据_利率互换_FR007_1年!$A$6:$C$4395,2,0),"")</f>
        <v/>
      </c>
      <c r="I3397" t="str">
        <f>IFERROR(VLOOKUP($A3397,原始数据_利率互换_FR007_1年!$A$6:$C$4395,3,0),"")</f>
        <v/>
      </c>
    </row>
    <row r="3398" spans="1:9">
      <c r="A3398" s="6">
        <v>42891</v>
      </c>
      <c r="B3398">
        <f>IFERROR(VLOOKUP($A3398,原始数据_收盘!$A$4:$G$3460,2,0),"")</f>
        <v>3.5835</v>
      </c>
      <c r="C3398">
        <f>IFERROR(VLOOKUP($A3398,原始数据_收盘!$A$4:$G$3460,3,0),"")</f>
        <v>3.8242</v>
      </c>
      <c r="D3398">
        <f>IFERROR(VLOOKUP($A3398,原始数据_收盘!$A$4:$G$3460,4,0),"")</f>
        <v>3.5916</v>
      </c>
      <c r="E3398">
        <f>IFERROR(VLOOKUP($A3398,原始数据_收盘!$A$4:$G$3460,5,0),"")</f>
        <v>3.8282</v>
      </c>
      <c r="F3398">
        <f>IFERROR(VLOOKUP($A3398,原始数据_收盘!$A$4:$G$3460,6,0),"")</f>
        <v>3.5875</v>
      </c>
      <c r="G3398">
        <f>IFERROR(VLOOKUP($A3398,原始数据_收盘!$A$4:$G$3460,7,0),"")</f>
        <v>3.8262</v>
      </c>
      <c r="H3398">
        <f>IFERROR(VLOOKUP($A3398,原始数据_利率互换_FR007_1年!$A$6:$C$4395,2,0),"")</f>
        <v>3.5885</v>
      </c>
      <c r="I3398">
        <f>IFERROR(VLOOKUP($A3398,原始数据_利率互换_FR007_1年!$A$6:$C$4395,3,0),"")</f>
        <v>3.8333</v>
      </c>
    </row>
    <row r="3399" spans="1:9">
      <c r="A3399" s="6">
        <v>42892</v>
      </c>
      <c r="B3399">
        <f>IFERROR(VLOOKUP($A3399,原始数据_收盘!$A$4:$G$3460,2,0),"")</f>
        <v>3.6076</v>
      </c>
      <c r="C3399">
        <f>IFERROR(VLOOKUP($A3399,原始数据_收盘!$A$4:$G$3460,3,0),"")</f>
        <v>3.8576</v>
      </c>
      <c r="D3399">
        <f>IFERROR(VLOOKUP($A3399,原始数据_收盘!$A$4:$G$3460,4,0),"")</f>
        <v>3.615</v>
      </c>
      <c r="E3399">
        <f>IFERROR(VLOOKUP($A3399,原始数据_收盘!$A$4:$G$3460,5,0),"")</f>
        <v>3.865</v>
      </c>
      <c r="F3399">
        <f>IFERROR(VLOOKUP($A3399,原始数据_收盘!$A$4:$G$3460,6,0),"")</f>
        <v>3.6113</v>
      </c>
      <c r="G3399">
        <f>IFERROR(VLOOKUP($A3399,原始数据_收盘!$A$4:$G$3460,7,0),"")</f>
        <v>3.8613</v>
      </c>
      <c r="H3399">
        <f>IFERROR(VLOOKUP($A3399,原始数据_利率互换_FR007_1年!$A$6:$C$4395,2,0),"")</f>
        <v>3.5966</v>
      </c>
      <c r="I3399">
        <f>IFERROR(VLOOKUP($A3399,原始数据_利率互换_FR007_1年!$A$6:$C$4395,3,0),"")</f>
        <v>3.8446</v>
      </c>
    </row>
    <row r="3400" spans="1:9">
      <c r="A3400" s="6">
        <v>42893</v>
      </c>
      <c r="B3400">
        <f>IFERROR(VLOOKUP($A3400,原始数据_收盘!$A$4:$G$3460,2,0),"")</f>
        <v>3.59</v>
      </c>
      <c r="C3400">
        <f>IFERROR(VLOOKUP($A3400,原始数据_收盘!$A$4:$G$3460,3,0),"")</f>
        <v>3.835</v>
      </c>
      <c r="D3400">
        <f>IFERROR(VLOOKUP($A3400,原始数据_收盘!$A$4:$G$3460,4,0),"")</f>
        <v>3.6087</v>
      </c>
      <c r="E3400">
        <f>IFERROR(VLOOKUP($A3400,原始数据_收盘!$A$4:$G$3460,5,0),"")</f>
        <v>3.8412</v>
      </c>
      <c r="F3400">
        <f>IFERROR(VLOOKUP($A3400,原始数据_收盘!$A$4:$G$3460,6,0),"")</f>
        <v>3.5993</v>
      </c>
      <c r="G3400">
        <f>IFERROR(VLOOKUP($A3400,原始数据_收盘!$A$4:$G$3460,7,0),"")</f>
        <v>3.8381</v>
      </c>
      <c r="H3400">
        <f>IFERROR(VLOOKUP($A3400,原始数据_利率互换_FR007_1年!$A$6:$C$4395,2,0),"")</f>
        <v>3.6153</v>
      </c>
      <c r="I3400">
        <f>IFERROR(VLOOKUP($A3400,原始数据_利率互换_FR007_1年!$A$6:$C$4395,3,0),"")</f>
        <v>3.8743</v>
      </c>
    </row>
    <row r="3401" spans="1:9">
      <c r="A3401" s="6">
        <v>42894</v>
      </c>
      <c r="B3401">
        <f>IFERROR(VLOOKUP($A3401,原始数据_收盘!$A$4:$G$3460,2,0),"")</f>
        <v>3.615</v>
      </c>
      <c r="C3401">
        <f>IFERROR(VLOOKUP($A3401,原始数据_收盘!$A$4:$G$3460,3,0),"")</f>
        <v>3.84</v>
      </c>
      <c r="D3401">
        <f>IFERROR(VLOOKUP($A3401,原始数据_收盘!$A$4:$G$3460,4,0),"")</f>
        <v>3.62</v>
      </c>
      <c r="E3401">
        <f>IFERROR(VLOOKUP($A3401,原始数据_收盘!$A$4:$G$3460,5,0),"")</f>
        <v>3.845</v>
      </c>
      <c r="F3401">
        <f>IFERROR(VLOOKUP($A3401,原始数据_收盘!$A$4:$G$3460,6,0),"")</f>
        <v>3.6175</v>
      </c>
      <c r="G3401">
        <f>IFERROR(VLOOKUP($A3401,原始数据_收盘!$A$4:$G$3460,7,0),"")</f>
        <v>3.8425</v>
      </c>
      <c r="H3401">
        <f>IFERROR(VLOOKUP($A3401,原始数据_利率互换_FR007_1年!$A$6:$C$4395,2,0),"")</f>
        <v>3.6051</v>
      </c>
      <c r="I3401">
        <f>IFERROR(VLOOKUP($A3401,原始数据_利率互换_FR007_1年!$A$6:$C$4395,3,0),"")</f>
        <v>3.8414</v>
      </c>
    </row>
    <row r="3402" spans="1:9">
      <c r="A3402" s="6">
        <v>42895</v>
      </c>
      <c r="B3402">
        <f>IFERROR(VLOOKUP($A3402,原始数据_收盘!$A$4:$G$3460,2,0),"")</f>
        <v>3.5842</v>
      </c>
      <c r="C3402">
        <f>IFERROR(VLOOKUP($A3402,原始数据_收盘!$A$4:$G$3460,3,0),"")</f>
        <v>3.81</v>
      </c>
      <c r="D3402">
        <f>IFERROR(VLOOKUP($A3402,原始数据_收盘!$A$4:$G$3460,4,0),"")</f>
        <v>3.595</v>
      </c>
      <c r="E3402">
        <f>IFERROR(VLOOKUP($A3402,原始数据_收盘!$A$4:$G$3460,5,0),"")</f>
        <v>3.815</v>
      </c>
      <c r="F3402">
        <f>IFERROR(VLOOKUP($A3402,原始数据_收盘!$A$4:$G$3460,6,0),"")</f>
        <v>3.5896</v>
      </c>
      <c r="G3402">
        <f>IFERROR(VLOOKUP($A3402,原始数据_收盘!$A$4:$G$3460,7,0),"")</f>
        <v>3.8125</v>
      </c>
      <c r="H3402">
        <f>IFERROR(VLOOKUP($A3402,原始数据_利率互换_FR007_1年!$A$6:$C$4395,2,0),"")</f>
        <v>3.6095</v>
      </c>
      <c r="I3402">
        <f>IFERROR(VLOOKUP($A3402,原始数据_利率互换_FR007_1年!$A$6:$C$4395,3,0),"")</f>
        <v>3.8257</v>
      </c>
    </row>
    <row r="3403" spans="1:9">
      <c r="A3403" s="6">
        <v>42896</v>
      </c>
      <c r="B3403" t="str">
        <f>IFERROR(VLOOKUP($A3403,原始数据_收盘!$A$4:$G$3460,2,0),"")</f>
        <v/>
      </c>
      <c r="C3403" t="str">
        <f>IFERROR(VLOOKUP($A3403,原始数据_收盘!$A$4:$G$3460,3,0),"")</f>
        <v/>
      </c>
      <c r="D3403" t="str">
        <f>IFERROR(VLOOKUP($A3403,原始数据_收盘!$A$4:$G$3460,4,0),"")</f>
        <v/>
      </c>
      <c r="E3403" t="str">
        <f>IFERROR(VLOOKUP($A3403,原始数据_收盘!$A$4:$G$3460,5,0),"")</f>
        <v/>
      </c>
      <c r="F3403" t="str">
        <f>IFERROR(VLOOKUP($A3403,原始数据_收盘!$A$4:$G$3460,6,0),"")</f>
        <v/>
      </c>
      <c r="G3403" t="str">
        <f>IFERROR(VLOOKUP($A3403,原始数据_收盘!$A$4:$G$3460,7,0),"")</f>
        <v/>
      </c>
      <c r="H3403" t="str">
        <f>IFERROR(VLOOKUP($A3403,原始数据_利率互换_FR007_1年!$A$6:$C$4395,2,0),"")</f>
        <v/>
      </c>
      <c r="I3403" t="str">
        <f>IFERROR(VLOOKUP($A3403,原始数据_利率互换_FR007_1年!$A$6:$C$4395,3,0),"")</f>
        <v/>
      </c>
    </row>
    <row r="3404" spans="1:9">
      <c r="A3404" s="6">
        <v>42897</v>
      </c>
      <c r="B3404" t="str">
        <f>IFERROR(VLOOKUP($A3404,原始数据_收盘!$A$4:$G$3460,2,0),"")</f>
        <v/>
      </c>
      <c r="C3404" t="str">
        <f>IFERROR(VLOOKUP($A3404,原始数据_收盘!$A$4:$G$3460,3,0),"")</f>
        <v/>
      </c>
      <c r="D3404" t="str">
        <f>IFERROR(VLOOKUP($A3404,原始数据_收盘!$A$4:$G$3460,4,0),"")</f>
        <v/>
      </c>
      <c r="E3404" t="str">
        <f>IFERROR(VLOOKUP($A3404,原始数据_收盘!$A$4:$G$3460,5,0),"")</f>
        <v/>
      </c>
      <c r="F3404" t="str">
        <f>IFERROR(VLOOKUP($A3404,原始数据_收盘!$A$4:$G$3460,6,0),"")</f>
        <v/>
      </c>
      <c r="G3404" t="str">
        <f>IFERROR(VLOOKUP($A3404,原始数据_收盘!$A$4:$G$3460,7,0),"")</f>
        <v/>
      </c>
      <c r="H3404" t="str">
        <f>IFERROR(VLOOKUP($A3404,原始数据_利率互换_FR007_1年!$A$6:$C$4395,2,0),"")</f>
        <v/>
      </c>
      <c r="I3404" t="str">
        <f>IFERROR(VLOOKUP($A3404,原始数据_利率互换_FR007_1年!$A$6:$C$4395,3,0),"")</f>
        <v/>
      </c>
    </row>
    <row r="3405" spans="1:9">
      <c r="A3405" s="6">
        <v>42898</v>
      </c>
      <c r="B3405">
        <f>IFERROR(VLOOKUP($A3405,原始数据_收盘!$A$4:$G$3460,2,0),"")</f>
        <v>3.57</v>
      </c>
      <c r="C3405">
        <f>IFERROR(VLOOKUP($A3405,原始数据_收盘!$A$4:$G$3460,3,0),"")</f>
        <v>3.7725</v>
      </c>
      <c r="D3405">
        <f>IFERROR(VLOOKUP($A3405,原始数据_收盘!$A$4:$G$3460,4,0),"")</f>
        <v>3.5793</v>
      </c>
      <c r="E3405">
        <f>IFERROR(VLOOKUP($A3405,原始数据_收盘!$A$4:$G$3460,5,0),"")</f>
        <v>3.7775</v>
      </c>
      <c r="F3405">
        <f>IFERROR(VLOOKUP($A3405,原始数据_收盘!$A$4:$G$3460,6,0),"")</f>
        <v>3.5747</v>
      </c>
      <c r="G3405">
        <f>IFERROR(VLOOKUP($A3405,原始数据_收盘!$A$4:$G$3460,7,0),"")</f>
        <v>3.775</v>
      </c>
      <c r="H3405">
        <f>IFERROR(VLOOKUP($A3405,原始数据_利率互换_FR007_1年!$A$6:$C$4395,2,0),"")</f>
        <v>3.5759</v>
      </c>
      <c r="I3405">
        <f>IFERROR(VLOOKUP($A3405,原始数据_利率互换_FR007_1年!$A$6:$C$4395,3,0),"")</f>
        <v>3.7902</v>
      </c>
    </row>
    <row r="3406" spans="1:9">
      <c r="A3406" s="6">
        <v>42899</v>
      </c>
      <c r="B3406">
        <f>IFERROR(VLOOKUP($A3406,原始数据_收盘!$A$4:$G$3460,2,0),"")</f>
        <v>3.57</v>
      </c>
      <c r="C3406">
        <f>IFERROR(VLOOKUP($A3406,原始数据_收盘!$A$4:$G$3460,3,0),"")</f>
        <v>3.785</v>
      </c>
      <c r="D3406">
        <f>IFERROR(VLOOKUP($A3406,原始数据_收盘!$A$4:$G$3460,4,0),"")</f>
        <v>3.58</v>
      </c>
      <c r="E3406">
        <f>IFERROR(VLOOKUP($A3406,原始数据_收盘!$A$4:$G$3460,5,0),"")</f>
        <v>3.8</v>
      </c>
      <c r="F3406">
        <f>IFERROR(VLOOKUP($A3406,原始数据_收盘!$A$4:$G$3460,6,0),"")</f>
        <v>3.575</v>
      </c>
      <c r="G3406">
        <f>IFERROR(VLOOKUP($A3406,原始数据_收盘!$A$4:$G$3460,7,0),"")</f>
        <v>3.7925</v>
      </c>
      <c r="H3406">
        <f>IFERROR(VLOOKUP($A3406,原始数据_利率互换_FR007_1年!$A$6:$C$4395,2,0),"")</f>
        <v>3.5655</v>
      </c>
      <c r="I3406">
        <f>IFERROR(VLOOKUP($A3406,原始数据_利率互换_FR007_1年!$A$6:$C$4395,3,0),"")</f>
        <v>3.7636</v>
      </c>
    </row>
    <row r="3407" spans="1:9">
      <c r="A3407" s="6">
        <v>42900</v>
      </c>
      <c r="B3407">
        <f>IFERROR(VLOOKUP($A3407,原始数据_收盘!$A$4:$G$3460,2,0),"")</f>
        <v>3.54</v>
      </c>
      <c r="C3407">
        <f>IFERROR(VLOOKUP($A3407,原始数据_收盘!$A$4:$G$3460,3,0),"")</f>
        <v>3.75</v>
      </c>
      <c r="D3407">
        <f>IFERROR(VLOOKUP($A3407,原始数据_收盘!$A$4:$G$3460,4,0),"")</f>
        <v>3.56</v>
      </c>
      <c r="E3407">
        <f>IFERROR(VLOOKUP($A3407,原始数据_收盘!$A$4:$G$3460,5,0),"")</f>
        <v>3.7598</v>
      </c>
      <c r="F3407">
        <f>IFERROR(VLOOKUP($A3407,原始数据_收盘!$A$4:$G$3460,6,0),"")</f>
        <v>3.55</v>
      </c>
      <c r="G3407">
        <f>IFERROR(VLOOKUP($A3407,原始数据_收盘!$A$4:$G$3460,7,0),"")</f>
        <v>3.7549</v>
      </c>
      <c r="H3407">
        <f>IFERROR(VLOOKUP($A3407,原始数据_利率互换_FR007_1年!$A$6:$C$4395,2,0),"")</f>
        <v>3.5669</v>
      </c>
      <c r="I3407">
        <f>IFERROR(VLOOKUP($A3407,原始数据_利率互换_FR007_1年!$A$6:$C$4395,3,0),"")</f>
        <v>3.7725</v>
      </c>
    </row>
    <row r="3408" spans="1:9">
      <c r="A3408" s="6">
        <v>42901</v>
      </c>
      <c r="B3408">
        <f>IFERROR(VLOOKUP($A3408,原始数据_收盘!$A$4:$G$3460,2,0),"")</f>
        <v>3.565</v>
      </c>
      <c r="C3408">
        <f>IFERROR(VLOOKUP($A3408,原始数据_收盘!$A$4:$G$3460,3,0),"")</f>
        <v>3.78</v>
      </c>
      <c r="D3408">
        <f>IFERROR(VLOOKUP($A3408,原始数据_收盘!$A$4:$G$3460,4,0),"")</f>
        <v>3.57</v>
      </c>
      <c r="E3408">
        <f>IFERROR(VLOOKUP($A3408,原始数据_收盘!$A$4:$G$3460,5,0),"")</f>
        <v>3.7853</v>
      </c>
      <c r="F3408">
        <f>IFERROR(VLOOKUP($A3408,原始数据_收盘!$A$4:$G$3460,6,0),"")</f>
        <v>3.5675</v>
      </c>
      <c r="G3408">
        <f>IFERROR(VLOOKUP($A3408,原始数据_收盘!$A$4:$G$3460,7,0),"")</f>
        <v>3.7826</v>
      </c>
      <c r="H3408">
        <f>IFERROR(VLOOKUP($A3408,原始数据_利率互换_FR007_1年!$A$6:$C$4395,2,0),"")</f>
        <v>3.5553</v>
      </c>
      <c r="I3408">
        <f>IFERROR(VLOOKUP($A3408,原始数据_利率互换_FR007_1年!$A$6:$C$4395,3,0),"")</f>
        <v>3.764</v>
      </c>
    </row>
    <row r="3409" spans="1:9">
      <c r="A3409" s="6">
        <v>42902</v>
      </c>
      <c r="B3409">
        <f>IFERROR(VLOOKUP($A3409,原始数据_收盘!$A$4:$G$3460,2,0),"")</f>
        <v>3.57</v>
      </c>
      <c r="C3409">
        <f>IFERROR(VLOOKUP($A3409,原始数据_收盘!$A$4:$G$3460,3,0),"")</f>
        <v>3.8096</v>
      </c>
      <c r="D3409">
        <f>IFERROR(VLOOKUP($A3409,原始数据_收盘!$A$4:$G$3460,4,0),"")</f>
        <v>3.5775</v>
      </c>
      <c r="E3409">
        <f>IFERROR(VLOOKUP($A3409,原始数据_收盘!$A$4:$G$3460,5,0),"")</f>
        <v>3.8122</v>
      </c>
      <c r="F3409">
        <f>IFERROR(VLOOKUP($A3409,原始数据_收盘!$A$4:$G$3460,6,0),"")</f>
        <v>3.5738</v>
      </c>
      <c r="G3409">
        <f>IFERROR(VLOOKUP($A3409,原始数据_收盘!$A$4:$G$3460,7,0),"")</f>
        <v>3.8109</v>
      </c>
      <c r="H3409">
        <f>IFERROR(VLOOKUP($A3409,原始数据_利率互换_FR007_1年!$A$6:$C$4395,2,0),"")</f>
        <v>3.5741</v>
      </c>
      <c r="I3409">
        <f>IFERROR(VLOOKUP($A3409,原始数据_利率互换_FR007_1年!$A$6:$C$4395,3,0),"")</f>
        <v>3.8088</v>
      </c>
    </row>
    <row r="3410" spans="1:9">
      <c r="A3410" s="6">
        <v>42903</v>
      </c>
      <c r="B3410" t="str">
        <f>IFERROR(VLOOKUP($A3410,原始数据_收盘!$A$4:$G$3460,2,0),"")</f>
        <v/>
      </c>
      <c r="C3410" t="str">
        <f>IFERROR(VLOOKUP($A3410,原始数据_收盘!$A$4:$G$3460,3,0),"")</f>
        <v/>
      </c>
      <c r="D3410" t="str">
        <f>IFERROR(VLOOKUP($A3410,原始数据_收盘!$A$4:$G$3460,4,0),"")</f>
        <v/>
      </c>
      <c r="E3410" t="str">
        <f>IFERROR(VLOOKUP($A3410,原始数据_收盘!$A$4:$G$3460,5,0),"")</f>
        <v/>
      </c>
      <c r="F3410" t="str">
        <f>IFERROR(VLOOKUP($A3410,原始数据_收盘!$A$4:$G$3460,6,0),"")</f>
        <v/>
      </c>
      <c r="G3410" t="str">
        <f>IFERROR(VLOOKUP($A3410,原始数据_收盘!$A$4:$G$3460,7,0),"")</f>
        <v/>
      </c>
      <c r="H3410" t="str">
        <f>IFERROR(VLOOKUP($A3410,原始数据_利率互换_FR007_1年!$A$6:$C$4395,2,0),"")</f>
        <v/>
      </c>
      <c r="I3410" t="str">
        <f>IFERROR(VLOOKUP($A3410,原始数据_利率互换_FR007_1年!$A$6:$C$4395,3,0),"")</f>
        <v/>
      </c>
    </row>
    <row r="3411" spans="1:9">
      <c r="A3411" s="6">
        <v>42904</v>
      </c>
      <c r="B3411" t="str">
        <f>IFERROR(VLOOKUP($A3411,原始数据_收盘!$A$4:$G$3460,2,0),"")</f>
        <v/>
      </c>
      <c r="C3411" t="str">
        <f>IFERROR(VLOOKUP($A3411,原始数据_收盘!$A$4:$G$3460,3,0),"")</f>
        <v/>
      </c>
      <c r="D3411" t="str">
        <f>IFERROR(VLOOKUP($A3411,原始数据_收盘!$A$4:$G$3460,4,0),"")</f>
        <v/>
      </c>
      <c r="E3411" t="str">
        <f>IFERROR(VLOOKUP($A3411,原始数据_收盘!$A$4:$G$3460,5,0),"")</f>
        <v/>
      </c>
      <c r="F3411" t="str">
        <f>IFERROR(VLOOKUP($A3411,原始数据_收盘!$A$4:$G$3460,6,0),"")</f>
        <v/>
      </c>
      <c r="G3411" t="str">
        <f>IFERROR(VLOOKUP($A3411,原始数据_收盘!$A$4:$G$3460,7,0),"")</f>
        <v/>
      </c>
      <c r="H3411" t="str">
        <f>IFERROR(VLOOKUP($A3411,原始数据_利率互换_FR007_1年!$A$6:$C$4395,2,0),"")</f>
        <v/>
      </c>
      <c r="I3411" t="str">
        <f>IFERROR(VLOOKUP($A3411,原始数据_利率互换_FR007_1年!$A$6:$C$4395,3,0),"")</f>
        <v/>
      </c>
    </row>
    <row r="3412" spans="1:9">
      <c r="A3412" s="6">
        <v>42905</v>
      </c>
      <c r="B3412">
        <f>IFERROR(VLOOKUP($A3412,原始数据_收盘!$A$4:$G$3460,2,0),"")</f>
        <v>3.4904</v>
      </c>
      <c r="C3412">
        <f>IFERROR(VLOOKUP($A3412,原始数据_收盘!$A$4:$G$3460,3,0),"")</f>
        <v>3.73</v>
      </c>
      <c r="D3412">
        <f>IFERROR(VLOOKUP($A3412,原始数据_收盘!$A$4:$G$3460,4,0),"")</f>
        <v>3.5004</v>
      </c>
      <c r="E3412">
        <f>IFERROR(VLOOKUP($A3412,原始数据_收盘!$A$4:$G$3460,5,0),"")</f>
        <v>3.7431</v>
      </c>
      <c r="F3412">
        <f>IFERROR(VLOOKUP($A3412,原始数据_收盘!$A$4:$G$3460,6,0),"")</f>
        <v>3.4954</v>
      </c>
      <c r="G3412">
        <f>IFERROR(VLOOKUP($A3412,原始数据_收盘!$A$4:$G$3460,7,0),"")</f>
        <v>3.7366</v>
      </c>
      <c r="H3412">
        <f>IFERROR(VLOOKUP($A3412,原始数据_利率互换_FR007_1年!$A$6:$C$4395,2,0),"")</f>
        <v>3.5349</v>
      </c>
      <c r="I3412">
        <f>IFERROR(VLOOKUP($A3412,原始数据_利率互换_FR007_1年!$A$6:$C$4395,3,0),"")</f>
        <v>3.7762</v>
      </c>
    </row>
    <row r="3413" spans="1:9">
      <c r="A3413" s="6">
        <v>42906</v>
      </c>
      <c r="B3413">
        <f>IFERROR(VLOOKUP($A3413,原始数据_收盘!$A$4:$G$3460,2,0),"")</f>
        <v>3.505</v>
      </c>
      <c r="C3413">
        <f>IFERROR(VLOOKUP($A3413,原始数据_收盘!$A$4:$G$3460,3,0),"")</f>
        <v>3.75</v>
      </c>
      <c r="D3413">
        <f>IFERROR(VLOOKUP($A3413,原始数据_收盘!$A$4:$G$3460,4,0),"")</f>
        <v>3.5125</v>
      </c>
      <c r="E3413">
        <f>IFERROR(VLOOKUP($A3413,原始数据_收盘!$A$4:$G$3460,5,0),"")</f>
        <v>3.755</v>
      </c>
      <c r="F3413">
        <f>IFERROR(VLOOKUP($A3413,原始数据_收盘!$A$4:$G$3460,6,0),"")</f>
        <v>3.5088</v>
      </c>
      <c r="G3413">
        <f>IFERROR(VLOOKUP($A3413,原始数据_收盘!$A$4:$G$3460,7,0),"")</f>
        <v>3.7525</v>
      </c>
      <c r="H3413">
        <f>IFERROR(VLOOKUP($A3413,原始数据_利率互换_FR007_1年!$A$6:$C$4395,2,0),"")</f>
        <v>3.5092</v>
      </c>
      <c r="I3413">
        <f>IFERROR(VLOOKUP($A3413,原始数据_利率互换_FR007_1年!$A$6:$C$4395,3,0),"")</f>
        <v>3.7514</v>
      </c>
    </row>
    <row r="3414" spans="1:9">
      <c r="A3414" s="6">
        <v>42907</v>
      </c>
      <c r="B3414">
        <f>IFERROR(VLOOKUP($A3414,原始数据_收盘!$A$4:$G$3460,2,0),"")</f>
        <v>3.531</v>
      </c>
      <c r="C3414">
        <f>IFERROR(VLOOKUP($A3414,原始数据_收盘!$A$4:$G$3460,3,0),"")</f>
        <v>3.785</v>
      </c>
      <c r="D3414">
        <f>IFERROR(VLOOKUP($A3414,原始数据_收盘!$A$4:$G$3460,4,0),"")</f>
        <v>3.5395</v>
      </c>
      <c r="E3414">
        <f>IFERROR(VLOOKUP($A3414,原始数据_收盘!$A$4:$G$3460,5,0),"")</f>
        <v>3.794</v>
      </c>
      <c r="F3414">
        <f>IFERROR(VLOOKUP($A3414,原始数据_收盘!$A$4:$G$3460,6,0),"")</f>
        <v>3.5353</v>
      </c>
      <c r="G3414">
        <f>IFERROR(VLOOKUP($A3414,原始数据_收盘!$A$4:$G$3460,7,0),"")</f>
        <v>3.7895</v>
      </c>
      <c r="H3414">
        <f>IFERROR(VLOOKUP($A3414,原始数据_利率互换_FR007_1年!$A$6:$C$4395,2,0),"")</f>
        <v>3.5233</v>
      </c>
      <c r="I3414">
        <f>IFERROR(VLOOKUP($A3414,原始数据_利率互换_FR007_1年!$A$6:$C$4395,3,0),"")</f>
        <v>3.7693</v>
      </c>
    </row>
    <row r="3415" spans="1:9">
      <c r="A3415" s="6">
        <v>42908</v>
      </c>
      <c r="B3415">
        <f>IFERROR(VLOOKUP($A3415,原始数据_收盘!$A$4:$G$3460,2,0),"")</f>
        <v>3.52</v>
      </c>
      <c r="C3415">
        <f>IFERROR(VLOOKUP($A3415,原始数据_收盘!$A$4:$G$3460,3,0),"")</f>
        <v>3.785</v>
      </c>
      <c r="D3415">
        <f>IFERROR(VLOOKUP($A3415,原始数据_收盘!$A$4:$G$3460,4,0),"")</f>
        <v>3.53</v>
      </c>
      <c r="E3415">
        <f>IFERROR(VLOOKUP($A3415,原始数据_收盘!$A$4:$G$3460,5,0),"")</f>
        <v>3.7924</v>
      </c>
      <c r="F3415">
        <f>IFERROR(VLOOKUP($A3415,原始数据_收盘!$A$4:$G$3460,6,0),"")</f>
        <v>3.525</v>
      </c>
      <c r="G3415">
        <f>IFERROR(VLOOKUP($A3415,原始数据_收盘!$A$4:$G$3460,7,0),"")</f>
        <v>3.7887</v>
      </c>
      <c r="H3415">
        <f>IFERROR(VLOOKUP($A3415,原始数据_利率互换_FR007_1年!$A$6:$C$4395,2,0),"")</f>
        <v>3.5268</v>
      </c>
      <c r="I3415">
        <f>IFERROR(VLOOKUP($A3415,原始数据_利率互换_FR007_1年!$A$6:$C$4395,3,0),"")</f>
        <v>3.7888</v>
      </c>
    </row>
    <row r="3416" spans="1:9">
      <c r="A3416" s="6">
        <v>42909</v>
      </c>
      <c r="B3416">
        <f>IFERROR(VLOOKUP($A3416,原始数据_收盘!$A$4:$G$3460,2,0),"")</f>
        <v>3.475</v>
      </c>
      <c r="C3416">
        <f>IFERROR(VLOOKUP($A3416,原始数据_收盘!$A$4:$G$3460,3,0),"")</f>
        <v>3.7492</v>
      </c>
      <c r="D3416">
        <f>IFERROR(VLOOKUP($A3416,原始数据_收盘!$A$4:$G$3460,4,0),"")</f>
        <v>3.487</v>
      </c>
      <c r="E3416">
        <f>IFERROR(VLOOKUP($A3416,原始数据_收盘!$A$4:$G$3460,5,0),"")</f>
        <v>3.7598</v>
      </c>
      <c r="F3416">
        <f>IFERROR(VLOOKUP($A3416,原始数据_收盘!$A$4:$G$3460,6,0),"")</f>
        <v>3.481</v>
      </c>
      <c r="G3416">
        <f>IFERROR(VLOOKUP($A3416,原始数据_收盘!$A$4:$G$3460,7,0),"")</f>
        <v>3.7545</v>
      </c>
      <c r="H3416">
        <f>IFERROR(VLOOKUP($A3416,原始数据_利率互换_FR007_1年!$A$6:$C$4395,2,0),"")</f>
        <v>3.496</v>
      </c>
      <c r="I3416">
        <f>IFERROR(VLOOKUP($A3416,原始数据_利率互换_FR007_1年!$A$6:$C$4395,3,0),"")</f>
        <v>3.7707</v>
      </c>
    </row>
    <row r="3417" spans="1:9">
      <c r="A3417" s="6">
        <v>42910</v>
      </c>
      <c r="B3417" t="str">
        <f>IFERROR(VLOOKUP($A3417,原始数据_收盘!$A$4:$G$3460,2,0),"")</f>
        <v/>
      </c>
      <c r="C3417" t="str">
        <f>IFERROR(VLOOKUP($A3417,原始数据_收盘!$A$4:$G$3460,3,0),"")</f>
        <v/>
      </c>
      <c r="D3417" t="str">
        <f>IFERROR(VLOOKUP($A3417,原始数据_收盘!$A$4:$G$3460,4,0),"")</f>
        <v/>
      </c>
      <c r="E3417" t="str">
        <f>IFERROR(VLOOKUP($A3417,原始数据_收盘!$A$4:$G$3460,5,0),"")</f>
        <v/>
      </c>
      <c r="F3417" t="str">
        <f>IFERROR(VLOOKUP($A3417,原始数据_收盘!$A$4:$G$3460,6,0),"")</f>
        <v/>
      </c>
      <c r="G3417" t="str">
        <f>IFERROR(VLOOKUP($A3417,原始数据_收盘!$A$4:$G$3460,7,0),"")</f>
        <v/>
      </c>
      <c r="H3417" t="str">
        <f>IFERROR(VLOOKUP($A3417,原始数据_利率互换_FR007_1年!$A$6:$C$4395,2,0),"")</f>
        <v/>
      </c>
      <c r="I3417" t="str">
        <f>IFERROR(VLOOKUP($A3417,原始数据_利率互换_FR007_1年!$A$6:$C$4395,3,0),"")</f>
        <v/>
      </c>
    </row>
    <row r="3418" spans="1:9">
      <c r="A3418" s="6">
        <v>42911</v>
      </c>
      <c r="B3418" t="str">
        <f>IFERROR(VLOOKUP($A3418,原始数据_收盘!$A$4:$G$3460,2,0),"")</f>
        <v/>
      </c>
      <c r="C3418" t="str">
        <f>IFERROR(VLOOKUP($A3418,原始数据_收盘!$A$4:$G$3460,3,0),"")</f>
        <v/>
      </c>
      <c r="D3418" t="str">
        <f>IFERROR(VLOOKUP($A3418,原始数据_收盘!$A$4:$G$3460,4,0),"")</f>
        <v/>
      </c>
      <c r="E3418" t="str">
        <f>IFERROR(VLOOKUP($A3418,原始数据_收盘!$A$4:$G$3460,5,0),"")</f>
        <v/>
      </c>
      <c r="F3418" t="str">
        <f>IFERROR(VLOOKUP($A3418,原始数据_收盘!$A$4:$G$3460,6,0),"")</f>
        <v/>
      </c>
      <c r="G3418" t="str">
        <f>IFERROR(VLOOKUP($A3418,原始数据_收盘!$A$4:$G$3460,7,0),"")</f>
        <v/>
      </c>
      <c r="H3418" t="str">
        <f>IFERROR(VLOOKUP($A3418,原始数据_利率互换_FR007_1年!$A$6:$C$4395,2,0),"")</f>
        <v/>
      </c>
      <c r="I3418" t="str">
        <f>IFERROR(VLOOKUP($A3418,原始数据_利率互换_FR007_1年!$A$6:$C$4395,3,0),"")</f>
        <v/>
      </c>
    </row>
    <row r="3419" spans="1:9">
      <c r="A3419" s="6">
        <v>42912</v>
      </c>
      <c r="B3419">
        <f>IFERROR(VLOOKUP($A3419,原始数据_收盘!$A$4:$G$3460,2,0),"")</f>
        <v>3.3925</v>
      </c>
      <c r="C3419">
        <f>IFERROR(VLOOKUP($A3419,原始数据_收盘!$A$4:$G$3460,3,0),"")</f>
        <v>3.675</v>
      </c>
      <c r="D3419">
        <f>IFERROR(VLOOKUP($A3419,原始数据_收盘!$A$4:$G$3460,4,0),"")</f>
        <v>3.4</v>
      </c>
      <c r="E3419">
        <f>IFERROR(VLOOKUP($A3419,原始数据_收盘!$A$4:$G$3460,5,0),"")</f>
        <v>3.6875</v>
      </c>
      <c r="F3419">
        <f>IFERROR(VLOOKUP($A3419,原始数据_收盘!$A$4:$G$3460,6,0),"")</f>
        <v>3.3963</v>
      </c>
      <c r="G3419">
        <f>IFERROR(VLOOKUP($A3419,原始数据_收盘!$A$4:$G$3460,7,0),"")</f>
        <v>3.6813</v>
      </c>
      <c r="H3419">
        <f>IFERROR(VLOOKUP($A3419,原始数据_利率互换_FR007_1年!$A$6:$C$4395,2,0),"")</f>
        <v>3.4366</v>
      </c>
      <c r="I3419">
        <f>IFERROR(VLOOKUP($A3419,原始数据_利率互换_FR007_1年!$A$6:$C$4395,3,0),"")</f>
        <v>3.7154</v>
      </c>
    </row>
    <row r="3420" spans="1:9">
      <c r="A3420" s="6">
        <v>42913</v>
      </c>
      <c r="B3420">
        <f>IFERROR(VLOOKUP($A3420,原始数据_收盘!$A$4:$G$3460,2,0),"")</f>
        <v>3.3875</v>
      </c>
      <c r="C3420">
        <f>IFERROR(VLOOKUP($A3420,原始数据_收盘!$A$4:$G$3460,3,0),"")</f>
        <v>3.6798</v>
      </c>
      <c r="D3420">
        <f>IFERROR(VLOOKUP($A3420,原始数据_收盘!$A$4:$G$3460,4,0),"")</f>
        <v>3.3972</v>
      </c>
      <c r="E3420">
        <f>IFERROR(VLOOKUP($A3420,原始数据_收盘!$A$4:$G$3460,5,0),"")</f>
        <v>3.685</v>
      </c>
      <c r="F3420">
        <f>IFERROR(VLOOKUP($A3420,原始数据_收盘!$A$4:$G$3460,6,0),"")</f>
        <v>3.3923</v>
      </c>
      <c r="G3420">
        <f>IFERROR(VLOOKUP($A3420,原始数据_收盘!$A$4:$G$3460,7,0),"")</f>
        <v>3.6824</v>
      </c>
      <c r="H3420">
        <f>IFERROR(VLOOKUP($A3420,原始数据_利率互换_FR007_1年!$A$6:$C$4395,2,0),"")</f>
        <v>3.3922</v>
      </c>
      <c r="I3420">
        <f>IFERROR(VLOOKUP($A3420,原始数据_利率互换_FR007_1年!$A$6:$C$4395,3,0),"")</f>
        <v>3.6743</v>
      </c>
    </row>
    <row r="3421" spans="1:9">
      <c r="A3421" s="6">
        <v>42914</v>
      </c>
      <c r="B3421">
        <f>IFERROR(VLOOKUP($A3421,原始数据_收盘!$A$4:$G$3460,2,0),"")</f>
        <v>3.4302</v>
      </c>
      <c r="C3421">
        <f>IFERROR(VLOOKUP($A3421,原始数据_收盘!$A$4:$G$3460,3,0),"")</f>
        <v>3.725</v>
      </c>
      <c r="D3421">
        <f>IFERROR(VLOOKUP($A3421,原始数据_收盘!$A$4:$G$3460,4,0),"")</f>
        <v>3.4367</v>
      </c>
      <c r="E3421">
        <f>IFERROR(VLOOKUP($A3421,原始数据_收盘!$A$4:$G$3460,5,0),"")</f>
        <v>3.735</v>
      </c>
      <c r="F3421">
        <f>IFERROR(VLOOKUP($A3421,原始数据_收盘!$A$4:$G$3460,6,0),"")</f>
        <v>3.4334</v>
      </c>
      <c r="G3421">
        <f>IFERROR(VLOOKUP($A3421,原始数据_收盘!$A$4:$G$3460,7,0),"")</f>
        <v>3.73</v>
      </c>
      <c r="H3421">
        <f>IFERROR(VLOOKUP($A3421,原始数据_利率互换_FR007_1年!$A$6:$C$4395,2,0),"")</f>
        <v>3.4144</v>
      </c>
      <c r="I3421">
        <f>IFERROR(VLOOKUP($A3421,原始数据_利率互换_FR007_1年!$A$6:$C$4395,3,0),"")</f>
        <v>3.7112</v>
      </c>
    </row>
    <row r="3422" spans="1:9">
      <c r="A3422" s="6">
        <v>42915</v>
      </c>
      <c r="B3422">
        <f>IFERROR(VLOOKUP($A3422,原始数据_收盘!$A$4:$G$3460,2,0),"")</f>
        <v>3.43</v>
      </c>
      <c r="C3422">
        <f>IFERROR(VLOOKUP($A3422,原始数据_收盘!$A$4:$G$3460,3,0),"")</f>
        <v>3.74</v>
      </c>
      <c r="D3422">
        <f>IFERROR(VLOOKUP($A3422,原始数据_收盘!$A$4:$G$3460,4,0),"")</f>
        <v>3.44</v>
      </c>
      <c r="E3422">
        <f>IFERROR(VLOOKUP($A3422,原始数据_收盘!$A$4:$G$3460,5,0),"")</f>
        <v>3.745</v>
      </c>
      <c r="F3422">
        <f>IFERROR(VLOOKUP($A3422,原始数据_收盘!$A$4:$G$3460,6,0),"")</f>
        <v>3.435</v>
      </c>
      <c r="G3422">
        <f>IFERROR(VLOOKUP($A3422,原始数据_收盘!$A$4:$G$3460,7,0),"")</f>
        <v>3.7425</v>
      </c>
      <c r="H3422">
        <f>IFERROR(VLOOKUP($A3422,原始数据_利率互换_FR007_1年!$A$6:$C$4395,2,0),"")</f>
        <v>3.4425</v>
      </c>
      <c r="I3422">
        <f>IFERROR(VLOOKUP($A3422,原始数据_利率互换_FR007_1年!$A$6:$C$4395,3,0),"")</f>
        <v>3.7349</v>
      </c>
    </row>
    <row r="3423" spans="1:9">
      <c r="A3423" s="6">
        <v>42916</v>
      </c>
      <c r="B3423">
        <f>IFERROR(VLOOKUP($A3423,原始数据_收盘!$A$4:$G$3460,2,0),"")</f>
        <v>3.48</v>
      </c>
      <c r="C3423">
        <f>IFERROR(VLOOKUP($A3423,原始数据_收盘!$A$4:$G$3460,3,0),"")</f>
        <v>3.78</v>
      </c>
      <c r="D3423">
        <f>IFERROR(VLOOKUP($A3423,原始数据_收盘!$A$4:$G$3460,4,0),"")</f>
        <v>3.49</v>
      </c>
      <c r="E3423">
        <f>IFERROR(VLOOKUP($A3423,原始数据_收盘!$A$4:$G$3460,5,0),"")</f>
        <v>3.79</v>
      </c>
      <c r="F3423">
        <f>IFERROR(VLOOKUP($A3423,原始数据_收盘!$A$4:$G$3460,6,0),"")</f>
        <v>3.485</v>
      </c>
      <c r="G3423">
        <f>IFERROR(VLOOKUP($A3423,原始数据_收盘!$A$4:$G$3460,7,0),"")</f>
        <v>3.785</v>
      </c>
      <c r="H3423">
        <f>IFERROR(VLOOKUP($A3423,原始数据_利率互换_FR007_1年!$A$6:$C$4395,2,0),"")</f>
        <v>3.4737</v>
      </c>
      <c r="I3423">
        <f>IFERROR(VLOOKUP($A3423,原始数据_利率互换_FR007_1年!$A$6:$C$4395,3,0),"")</f>
        <v>3.7804</v>
      </c>
    </row>
    <row r="3424" spans="1:9">
      <c r="A3424" s="6">
        <v>42917</v>
      </c>
      <c r="B3424" t="str">
        <f>IFERROR(VLOOKUP($A3424,原始数据_收盘!$A$4:$G$3460,2,0),"")</f>
        <v/>
      </c>
      <c r="C3424" t="str">
        <f>IFERROR(VLOOKUP($A3424,原始数据_收盘!$A$4:$G$3460,3,0),"")</f>
        <v/>
      </c>
      <c r="D3424" t="str">
        <f>IFERROR(VLOOKUP($A3424,原始数据_收盘!$A$4:$G$3460,4,0),"")</f>
        <v/>
      </c>
      <c r="E3424" t="str">
        <f>IFERROR(VLOOKUP($A3424,原始数据_收盘!$A$4:$G$3460,5,0),"")</f>
        <v/>
      </c>
      <c r="F3424" t="str">
        <f>IFERROR(VLOOKUP($A3424,原始数据_收盘!$A$4:$G$3460,6,0),"")</f>
        <v/>
      </c>
      <c r="G3424" t="str">
        <f>IFERROR(VLOOKUP($A3424,原始数据_收盘!$A$4:$G$3460,7,0),"")</f>
        <v/>
      </c>
      <c r="H3424" t="str">
        <f>IFERROR(VLOOKUP($A3424,原始数据_利率互换_FR007_1年!$A$6:$C$4395,2,0),"")</f>
        <v/>
      </c>
      <c r="I3424" t="str">
        <f>IFERROR(VLOOKUP($A3424,原始数据_利率互换_FR007_1年!$A$6:$C$4395,3,0),"")</f>
        <v/>
      </c>
    </row>
    <row r="3425" spans="1:9">
      <c r="A3425" s="6">
        <v>42918</v>
      </c>
      <c r="B3425" t="str">
        <f>IFERROR(VLOOKUP($A3425,原始数据_收盘!$A$4:$G$3460,2,0),"")</f>
        <v/>
      </c>
      <c r="C3425" t="str">
        <f>IFERROR(VLOOKUP($A3425,原始数据_收盘!$A$4:$G$3460,3,0),"")</f>
        <v/>
      </c>
      <c r="D3425" t="str">
        <f>IFERROR(VLOOKUP($A3425,原始数据_收盘!$A$4:$G$3460,4,0),"")</f>
        <v/>
      </c>
      <c r="E3425" t="str">
        <f>IFERROR(VLOOKUP($A3425,原始数据_收盘!$A$4:$G$3460,5,0),"")</f>
        <v/>
      </c>
      <c r="F3425" t="str">
        <f>IFERROR(VLOOKUP($A3425,原始数据_收盘!$A$4:$G$3460,6,0),"")</f>
        <v/>
      </c>
      <c r="G3425" t="str">
        <f>IFERROR(VLOOKUP($A3425,原始数据_收盘!$A$4:$G$3460,7,0),"")</f>
        <v/>
      </c>
      <c r="H3425" t="str">
        <f>IFERROR(VLOOKUP($A3425,原始数据_利率互换_FR007_1年!$A$6:$C$4395,2,0),"")</f>
        <v/>
      </c>
      <c r="I3425" t="str">
        <f>IFERROR(VLOOKUP($A3425,原始数据_利率互换_FR007_1年!$A$6:$C$4395,3,0),"")</f>
        <v/>
      </c>
    </row>
    <row r="3426" spans="1:9">
      <c r="A3426" s="6">
        <v>42919</v>
      </c>
      <c r="B3426">
        <f>IFERROR(VLOOKUP($A3426,原始数据_收盘!$A$4:$G$3460,2,0),"")</f>
        <v>3.5036</v>
      </c>
      <c r="C3426">
        <f>IFERROR(VLOOKUP($A3426,原始数据_收盘!$A$4:$G$3460,3,0),"")</f>
        <v>3.8161</v>
      </c>
      <c r="D3426">
        <f>IFERROR(VLOOKUP($A3426,原始数据_收盘!$A$4:$G$3460,4,0),"")</f>
        <v>3.5139</v>
      </c>
      <c r="E3426">
        <f>IFERROR(VLOOKUP($A3426,原始数据_收盘!$A$4:$G$3460,5,0),"")</f>
        <v>3.8205</v>
      </c>
      <c r="F3426">
        <f>IFERROR(VLOOKUP($A3426,原始数据_收盘!$A$4:$G$3460,6,0),"")</f>
        <v>3.5088</v>
      </c>
      <c r="G3426">
        <f>IFERROR(VLOOKUP($A3426,原始数据_收盘!$A$4:$G$3460,7,0),"")</f>
        <v>3.8183</v>
      </c>
      <c r="H3426">
        <f>IFERROR(VLOOKUP($A3426,原始数据_利率互换_FR007_1年!$A$6:$C$4395,2,0),"")</f>
        <v>3.4981</v>
      </c>
      <c r="I3426">
        <f>IFERROR(VLOOKUP($A3426,原始数据_利率互换_FR007_1年!$A$6:$C$4395,3,0),"")</f>
        <v>3.7969</v>
      </c>
    </row>
    <row r="3427" spans="1:9">
      <c r="A3427" s="6">
        <v>42920</v>
      </c>
      <c r="B3427">
        <f>IFERROR(VLOOKUP($A3427,原始数据_收盘!$A$4:$G$3460,2,0),"")</f>
        <v>3.475</v>
      </c>
      <c r="C3427">
        <f>IFERROR(VLOOKUP($A3427,原始数据_收盘!$A$4:$G$3460,3,0),"")</f>
        <v>3.79</v>
      </c>
      <c r="D3427">
        <f>IFERROR(VLOOKUP($A3427,原始数据_收盘!$A$4:$G$3460,4,0),"")</f>
        <v>3.485</v>
      </c>
      <c r="E3427">
        <f>IFERROR(VLOOKUP($A3427,原始数据_收盘!$A$4:$G$3460,5,0),"")</f>
        <v>3.7975</v>
      </c>
      <c r="F3427">
        <f>IFERROR(VLOOKUP($A3427,原始数据_收盘!$A$4:$G$3460,6,0),"")</f>
        <v>3.48</v>
      </c>
      <c r="G3427">
        <f>IFERROR(VLOOKUP($A3427,原始数据_收盘!$A$4:$G$3460,7,0),"")</f>
        <v>3.7938</v>
      </c>
      <c r="H3427">
        <f>IFERROR(VLOOKUP($A3427,原始数据_利率互换_FR007_1年!$A$6:$C$4395,2,0),"")</f>
        <v>3.4893</v>
      </c>
      <c r="I3427">
        <f>IFERROR(VLOOKUP($A3427,原始数据_利率互换_FR007_1年!$A$6:$C$4395,3,0),"")</f>
        <v>3.8048</v>
      </c>
    </row>
    <row r="3428" spans="1:9">
      <c r="A3428" s="6">
        <v>42921</v>
      </c>
      <c r="B3428">
        <f>IFERROR(VLOOKUP($A3428,原始数据_收盘!$A$4:$G$3460,2,0),"")</f>
        <v>3.41</v>
      </c>
      <c r="C3428">
        <f>IFERROR(VLOOKUP($A3428,原始数据_收盘!$A$4:$G$3460,3,0),"")</f>
        <v>3.7349</v>
      </c>
      <c r="D3428">
        <f>IFERROR(VLOOKUP($A3428,原始数据_收盘!$A$4:$G$3460,4,0),"")</f>
        <v>3.425</v>
      </c>
      <c r="E3428">
        <f>IFERROR(VLOOKUP($A3428,原始数据_收盘!$A$4:$G$3460,5,0),"")</f>
        <v>3.7375</v>
      </c>
      <c r="F3428">
        <f>IFERROR(VLOOKUP($A3428,原始数据_收盘!$A$4:$G$3460,6,0),"")</f>
        <v>3.4175</v>
      </c>
      <c r="G3428">
        <f>IFERROR(VLOOKUP($A3428,原始数据_收盘!$A$4:$G$3460,7,0),"")</f>
        <v>3.7362</v>
      </c>
      <c r="H3428">
        <f>IFERROR(VLOOKUP($A3428,原始数据_利率互换_FR007_1年!$A$6:$C$4395,2,0),"")</f>
        <v>3.4392</v>
      </c>
      <c r="I3428">
        <f>IFERROR(VLOOKUP($A3428,原始数据_利率互换_FR007_1年!$A$6:$C$4395,3,0),"")</f>
        <v>3.764</v>
      </c>
    </row>
    <row r="3429" spans="1:9">
      <c r="A3429" s="6">
        <v>42922</v>
      </c>
      <c r="B3429">
        <f>IFERROR(VLOOKUP($A3429,原始数据_收盘!$A$4:$G$3460,2,0),"")</f>
        <v>3.42</v>
      </c>
      <c r="C3429">
        <f>IFERROR(VLOOKUP($A3429,原始数据_收盘!$A$4:$G$3460,3,0),"")</f>
        <v>3.74</v>
      </c>
      <c r="D3429">
        <f>IFERROR(VLOOKUP($A3429,原始数据_收盘!$A$4:$G$3460,4,0),"")</f>
        <v>3.4275</v>
      </c>
      <c r="E3429">
        <f>IFERROR(VLOOKUP($A3429,原始数据_收盘!$A$4:$G$3460,5,0),"")</f>
        <v>3.7479</v>
      </c>
      <c r="F3429">
        <f>IFERROR(VLOOKUP($A3429,原始数据_收盘!$A$4:$G$3460,6,0),"")</f>
        <v>3.4238</v>
      </c>
      <c r="G3429">
        <f>IFERROR(VLOOKUP($A3429,原始数据_收盘!$A$4:$G$3460,7,0),"")</f>
        <v>3.744</v>
      </c>
      <c r="H3429">
        <f>IFERROR(VLOOKUP($A3429,原始数据_利率互换_FR007_1年!$A$6:$C$4395,2,0),"")</f>
        <v>3.419</v>
      </c>
      <c r="I3429">
        <f>IFERROR(VLOOKUP($A3429,原始数据_利率互换_FR007_1年!$A$6:$C$4395,3,0),"")</f>
        <v>3.7355</v>
      </c>
    </row>
    <row r="3430" spans="1:9">
      <c r="A3430" s="6">
        <v>42923</v>
      </c>
      <c r="B3430">
        <f>IFERROR(VLOOKUP($A3430,原始数据_收盘!$A$4:$G$3460,2,0),"")</f>
        <v>3.445</v>
      </c>
      <c r="C3430">
        <f>IFERROR(VLOOKUP($A3430,原始数据_收盘!$A$4:$G$3460,3,0),"")</f>
        <v>3.7903</v>
      </c>
      <c r="D3430">
        <f>IFERROR(VLOOKUP($A3430,原始数据_收盘!$A$4:$G$3460,4,0),"")</f>
        <v>3.45</v>
      </c>
      <c r="E3430">
        <f>IFERROR(VLOOKUP($A3430,原始数据_收盘!$A$4:$G$3460,5,0),"")</f>
        <v>3.794</v>
      </c>
      <c r="F3430">
        <f>IFERROR(VLOOKUP($A3430,原始数据_收盘!$A$4:$G$3460,6,0),"")</f>
        <v>3.4475</v>
      </c>
      <c r="G3430">
        <f>IFERROR(VLOOKUP($A3430,原始数据_收盘!$A$4:$G$3460,7,0),"")</f>
        <v>3.7921</v>
      </c>
      <c r="H3430">
        <f>IFERROR(VLOOKUP($A3430,原始数据_利率互换_FR007_1年!$A$6:$C$4395,2,0),"")</f>
        <v>3.44</v>
      </c>
      <c r="I3430">
        <f>IFERROR(VLOOKUP($A3430,原始数据_利率互换_FR007_1年!$A$6:$C$4395,3,0),"")</f>
        <v>3.7713</v>
      </c>
    </row>
    <row r="3431" spans="1:9">
      <c r="A3431" s="6">
        <v>42924</v>
      </c>
      <c r="B3431" t="str">
        <f>IFERROR(VLOOKUP($A3431,原始数据_收盘!$A$4:$G$3460,2,0),"")</f>
        <v/>
      </c>
      <c r="C3431" t="str">
        <f>IFERROR(VLOOKUP($A3431,原始数据_收盘!$A$4:$G$3460,3,0),"")</f>
        <v/>
      </c>
      <c r="D3431" t="str">
        <f>IFERROR(VLOOKUP($A3431,原始数据_收盘!$A$4:$G$3460,4,0),"")</f>
        <v/>
      </c>
      <c r="E3431" t="str">
        <f>IFERROR(VLOOKUP($A3431,原始数据_收盘!$A$4:$G$3460,5,0),"")</f>
        <v/>
      </c>
      <c r="F3431" t="str">
        <f>IFERROR(VLOOKUP($A3431,原始数据_收盘!$A$4:$G$3460,6,0),"")</f>
        <v/>
      </c>
      <c r="G3431" t="str">
        <f>IFERROR(VLOOKUP($A3431,原始数据_收盘!$A$4:$G$3460,7,0),"")</f>
        <v/>
      </c>
      <c r="H3431" t="str">
        <f>IFERROR(VLOOKUP($A3431,原始数据_利率互换_FR007_1年!$A$6:$C$4395,2,0),"")</f>
        <v/>
      </c>
      <c r="I3431" t="str">
        <f>IFERROR(VLOOKUP($A3431,原始数据_利率互换_FR007_1年!$A$6:$C$4395,3,0),"")</f>
        <v/>
      </c>
    </row>
    <row r="3432" spans="1:9">
      <c r="A3432" s="6">
        <v>42925</v>
      </c>
      <c r="B3432" t="str">
        <f>IFERROR(VLOOKUP($A3432,原始数据_收盘!$A$4:$G$3460,2,0),"")</f>
        <v/>
      </c>
      <c r="C3432" t="str">
        <f>IFERROR(VLOOKUP($A3432,原始数据_收盘!$A$4:$G$3460,3,0),"")</f>
        <v/>
      </c>
      <c r="D3432" t="str">
        <f>IFERROR(VLOOKUP($A3432,原始数据_收盘!$A$4:$G$3460,4,0),"")</f>
        <v/>
      </c>
      <c r="E3432" t="str">
        <f>IFERROR(VLOOKUP($A3432,原始数据_收盘!$A$4:$G$3460,5,0),"")</f>
        <v/>
      </c>
      <c r="F3432" t="str">
        <f>IFERROR(VLOOKUP($A3432,原始数据_收盘!$A$4:$G$3460,6,0),"")</f>
        <v/>
      </c>
      <c r="G3432" t="str">
        <f>IFERROR(VLOOKUP($A3432,原始数据_收盘!$A$4:$G$3460,7,0),"")</f>
        <v/>
      </c>
      <c r="H3432" t="str">
        <f>IFERROR(VLOOKUP($A3432,原始数据_利率互换_FR007_1年!$A$6:$C$4395,2,0),"")</f>
        <v/>
      </c>
      <c r="I3432" t="str">
        <f>IFERROR(VLOOKUP($A3432,原始数据_利率互换_FR007_1年!$A$6:$C$4395,3,0),"")</f>
        <v/>
      </c>
    </row>
    <row r="3433" spans="1:9">
      <c r="A3433" s="6">
        <v>42926</v>
      </c>
      <c r="B3433">
        <f>IFERROR(VLOOKUP($A3433,原始数据_收盘!$A$4:$G$3460,2,0),"")</f>
        <v>3.46</v>
      </c>
      <c r="C3433">
        <f>IFERROR(VLOOKUP($A3433,原始数据_收盘!$A$4:$G$3460,3,0),"")</f>
        <v>3.795</v>
      </c>
      <c r="D3433">
        <f>IFERROR(VLOOKUP($A3433,原始数据_收盘!$A$4:$G$3460,4,0),"")</f>
        <v>3.4753</v>
      </c>
      <c r="E3433">
        <f>IFERROR(VLOOKUP($A3433,原始数据_收盘!$A$4:$G$3460,5,0),"")</f>
        <v>3.8039</v>
      </c>
      <c r="F3433">
        <f>IFERROR(VLOOKUP($A3433,原始数据_收盘!$A$4:$G$3460,6,0),"")</f>
        <v>3.4676</v>
      </c>
      <c r="G3433">
        <f>IFERROR(VLOOKUP($A3433,原始数据_收盘!$A$4:$G$3460,7,0),"")</f>
        <v>3.7995</v>
      </c>
      <c r="H3433">
        <f>IFERROR(VLOOKUP($A3433,原始数据_利率互换_FR007_1年!$A$6:$C$4395,2,0),"")</f>
        <v>3.444</v>
      </c>
      <c r="I3433">
        <f>IFERROR(VLOOKUP($A3433,原始数据_利率互换_FR007_1年!$A$6:$C$4395,3,0),"")</f>
        <v>3.7888</v>
      </c>
    </row>
    <row r="3434" spans="1:9">
      <c r="A3434" s="6">
        <v>42927</v>
      </c>
      <c r="B3434">
        <f>IFERROR(VLOOKUP($A3434,原始数据_收盘!$A$4:$G$3460,2,0),"")</f>
        <v>3.455</v>
      </c>
      <c r="C3434">
        <f>IFERROR(VLOOKUP($A3434,原始数据_收盘!$A$4:$G$3460,3,0),"")</f>
        <v>3.785</v>
      </c>
      <c r="D3434">
        <f>IFERROR(VLOOKUP($A3434,原始数据_收盘!$A$4:$G$3460,4,0),"")</f>
        <v>3.46</v>
      </c>
      <c r="E3434">
        <f>IFERROR(VLOOKUP($A3434,原始数据_收盘!$A$4:$G$3460,5,0),"")</f>
        <v>3.7875</v>
      </c>
      <c r="F3434">
        <f>IFERROR(VLOOKUP($A3434,原始数据_收盘!$A$4:$G$3460,6,0),"")</f>
        <v>3.4575</v>
      </c>
      <c r="G3434">
        <f>IFERROR(VLOOKUP($A3434,原始数据_收盘!$A$4:$G$3460,7,0),"")</f>
        <v>3.7863</v>
      </c>
      <c r="H3434">
        <f>IFERROR(VLOOKUP($A3434,原始数据_利率互换_FR007_1年!$A$6:$C$4395,2,0),"")</f>
        <v>3.4654</v>
      </c>
      <c r="I3434">
        <f>IFERROR(VLOOKUP($A3434,原始数据_利率互换_FR007_1年!$A$6:$C$4395,3,0),"")</f>
        <v>3.7957</v>
      </c>
    </row>
    <row r="3435" spans="1:9">
      <c r="A3435" s="6">
        <v>42928</v>
      </c>
      <c r="B3435">
        <f>IFERROR(VLOOKUP($A3435,原始数据_收盘!$A$4:$G$3460,2,0),"")</f>
        <v>3.43</v>
      </c>
      <c r="C3435">
        <f>IFERROR(VLOOKUP($A3435,原始数据_收盘!$A$4:$G$3460,3,0),"")</f>
        <v>3.755</v>
      </c>
      <c r="D3435">
        <f>IFERROR(VLOOKUP($A3435,原始数据_收盘!$A$4:$G$3460,4,0),"")</f>
        <v>3.4325</v>
      </c>
      <c r="E3435">
        <f>IFERROR(VLOOKUP($A3435,原始数据_收盘!$A$4:$G$3460,5,0),"")</f>
        <v>3.76</v>
      </c>
      <c r="F3435">
        <f>IFERROR(VLOOKUP($A3435,原始数据_收盘!$A$4:$G$3460,6,0),"")</f>
        <v>3.4313</v>
      </c>
      <c r="G3435">
        <f>IFERROR(VLOOKUP($A3435,原始数据_收盘!$A$4:$G$3460,7,0),"")</f>
        <v>3.7575</v>
      </c>
      <c r="H3435">
        <f>IFERROR(VLOOKUP($A3435,原始数据_利率互换_FR007_1年!$A$6:$C$4395,2,0),"")</f>
        <v>3.4364</v>
      </c>
      <c r="I3435">
        <f>IFERROR(VLOOKUP($A3435,原始数据_利率互换_FR007_1年!$A$6:$C$4395,3,0),"")</f>
        <v>3.7568</v>
      </c>
    </row>
    <row r="3436" spans="1:9">
      <c r="A3436" s="6">
        <v>42929</v>
      </c>
      <c r="B3436">
        <f>IFERROR(VLOOKUP($A3436,原始数据_收盘!$A$4:$G$3460,2,0),"")</f>
        <v>3.405</v>
      </c>
      <c r="C3436">
        <f>IFERROR(VLOOKUP($A3436,原始数据_收盘!$A$4:$G$3460,3,0),"")</f>
        <v>3.73</v>
      </c>
      <c r="D3436">
        <f>IFERROR(VLOOKUP($A3436,原始数据_收盘!$A$4:$G$3460,4,0),"")</f>
        <v>3.41</v>
      </c>
      <c r="E3436">
        <f>IFERROR(VLOOKUP($A3436,原始数据_收盘!$A$4:$G$3460,5,0),"")</f>
        <v>3.7375</v>
      </c>
      <c r="F3436">
        <f>IFERROR(VLOOKUP($A3436,原始数据_收盘!$A$4:$G$3460,6,0),"")</f>
        <v>3.4075</v>
      </c>
      <c r="G3436">
        <f>IFERROR(VLOOKUP($A3436,原始数据_收盘!$A$4:$G$3460,7,0),"")</f>
        <v>3.7338</v>
      </c>
      <c r="H3436">
        <f>IFERROR(VLOOKUP($A3436,原始数据_利率互换_FR007_1年!$A$6:$C$4395,2,0),"")</f>
        <v>3.4093</v>
      </c>
      <c r="I3436">
        <f>IFERROR(VLOOKUP($A3436,原始数据_利率互换_FR007_1年!$A$6:$C$4395,3,0),"")</f>
        <v>3.7326</v>
      </c>
    </row>
    <row r="3437" spans="1:9">
      <c r="A3437" s="6">
        <v>42930</v>
      </c>
      <c r="B3437">
        <f>IFERROR(VLOOKUP($A3437,原始数据_收盘!$A$4:$G$3460,2,0),"")</f>
        <v>3.395</v>
      </c>
      <c r="C3437">
        <f>IFERROR(VLOOKUP($A3437,原始数据_收盘!$A$4:$G$3460,3,0),"")</f>
        <v>3.7226</v>
      </c>
      <c r="D3437">
        <f>IFERROR(VLOOKUP($A3437,原始数据_收盘!$A$4:$G$3460,4,0),"")</f>
        <v>3.4036</v>
      </c>
      <c r="E3437">
        <f>IFERROR(VLOOKUP($A3437,原始数据_收盘!$A$4:$G$3460,5,0),"")</f>
        <v>3.7337</v>
      </c>
      <c r="F3437">
        <f>IFERROR(VLOOKUP($A3437,原始数据_收盘!$A$4:$G$3460,6,0),"")</f>
        <v>3.3993</v>
      </c>
      <c r="G3437">
        <f>IFERROR(VLOOKUP($A3437,原始数据_收盘!$A$4:$G$3460,7,0),"")</f>
        <v>3.7282</v>
      </c>
      <c r="H3437">
        <f>IFERROR(VLOOKUP($A3437,原始数据_利率互换_FR007_1年!$A$6:$C$4395,2,0),"")</f>
        <v>3.4056</v>
      </c>
      <c r="I3437">
        <f>IFERROR(VLOOKUP($A3437,原始数据_利率互换_FR007_1年!$A$6:$C$4395,3,0),"")</f>
        <v>3.7374</v>
      </c>
    </row>
    <row r="3438" spans="1:9">
      <c r="A3438" s="6">
        <v>42931</v>
      </c>
      <c r="B3438" t="str">
        <f>IFERROR(VLOOKUP($A3438,原始数据_收盘!$A$4:$G$3460,2,0),"")</f>
        <v/>
      </c>
      <c r="C3438" t="str">
        <f>IFERROR(VLOOKUP($A3438,原始数据_收盘!$A$4:$G$3460,3,0),"")</f>
        <v/>
      </c>
      <c r="D3438" t="str">
        <f>IFERROR(VLOOKUP($A3438,原始数据_收盘!$A$4:$G$3460,4,0),"")</f>
        <v/>
      </c>
      <c r="E3438" t="str">
        <f>IFERROR(VLOOKUP($A3438,原始数据_收盘!$A$4:$G$3460,5,0),"")</f>
        <v/>
      </c>
      <c r="F3438" t="str">
        <f>IFERROR(VLOOKUP($A3438,原始数据_收盘!$A$4:$G$3460,6,0),"")</f>
        <v/>
      </c>
      <c r="G3438" t="str">
        <f>IFERROR(VLOOKUP($A3438,原始数据_收盘!$A$4:$G$3460,7,0),"")</f>
        <v/>
      </c>
      <c r="H3438" t="str">
        <f>IFERROR(VLOOKUP($A3438,原始数据_利率互换_FR007_1年!$A$6:$C$4395,2,0),"")</f>
        <v/>
      </c>
      <c r="I3438" t="str">
        <f>IFERROR(VLOOKUP($A3438,原始数据_利率互换_FR007_1年!$A$6:$C$4395,3,0),"")</f>
        <v/>
      </c>
    </row>
    <row r="3439" spans="1:9">
      <c r="A3439" s="6">
        <v>42932</v>
      </c>
      <c r="B3439" t="str">
        <f>IFERROR(VLOOKUP($A3439,原始数据_收盘!$A$4:$G$3460,2,0),"")</f>
        <v/>
      </c>
      <c r="C3439" t="str">
        <f>IFERROR(VLOOKUP($A3439,原始数据_收盘!$A$4:$G$3460,3,0),"")</f>
        <v/>
      </c>
      <c r="D3439" t="str">
        <f>IFERROR(VLOOKUP($A3439,原始数据_收盘!$A$4:$G$3460,4,0),"")</f>
        <v/>
      </c>
      <c r="E3439" t="str">
        <f>IFERROR(VLOOKUP($A3439,原始数据_收盘!$A$4:$G$3460,5,0),"")</f>
        <v/>
      </c>
      <c r="F3439" t="str">
        <f>IFERROR(VLOOKUP($A3439,原始数据_收盘!$A$4:$G$3460,6,0),"")</f>
        <v/>
      </c>
      <c r="G3439" t="str">
        <f>IFERROR(VLOOKUP($A3439,原始数据_收盘!$A$4:$G$3460,7,0),"")</f>
        <v/>
      </c>
      <c r="H3439" t="str">
        <f>IFERROR(VLOOKUP($A3439,原始数据_利率互换_FR007_1年!$A$6:$C$4395,2,0),"")</f>
        <v/>
      </c>
      <c r="I3439" t="str">
        <f>IFERROR(VLOOKUP($A3439,原始数据_利率互换_FR007_1年!$A$6:$C$4395,3,0),"")</f>
        <v/>
      </c>
    </row>
    <row r="3440" spans="1:9">
      <c r="A3440" s="6">
        <v>42933</v>
      </c>
      <c r="B3440">
        <f>IFERROR(VLOOKUP($A3440,原始数据_收盘!$A$4:$G$3460,2,0),"")</f>
        <v>3.3886</v>
      </c>
      <c r="C3440">
        <f>IFERROR(VLOOKUP($A3440,原始数据_收盘!$A$4:$G$3460,3,0),"")</f>
        <v>3.72</v>
      </c>
      <c r="D3440">
        <f>IFERROR(VLOOKUP($A3440,原始数据_收盘!$A$4:$G$3460,4,0),"")</f>
        <v>3.3975</v>
      </c>
      <c r="E3440">
        <f>IFERROR(VLOOKUP($A3440,原始数据_收盘!$A$4:$G$3460,5,0),"")</f>
        <v>3.7256</v>
      </c>
      <c r="F3440">
        <f>IFERROR(VLOOKUP($A3440,原始数据_收盘!$A$4:$G$3460,6,0),"")</f>
        <v>3.3931</v>
      </c>
      <c r="G3440">
        <f>IFERROR(VLOOKUP($A3440,原始数据_收盘!$A$4:$G$3460,7,0),"")</f>
        <v>3.7228</v>
      </c>
      <c r="H3440">
        <f>IFERROR(VLOOKUP($A3440,原始数据_利率互换_FR007_1年!$A$6:$C$4395,2,0),"")</f>
        <v>3.3804</v>
      </c>
      <c r="I3440">
        <f>IFERROR(VLOOKUP($A3440,原始数据_利率互换_FR007_1年!$A$6:$C$4395,3,0),"")</f>
        <v>3.7025</v>
      </c>
    </row>
    <row r="3441" spans="1:9">
      <c r="A3441" s="6">
        <v>42934</v>
      </c>
      <c r="B3441">
        <f>IFERROR(VLOOKUP($A3441,原始数据_收盘!$A$4:$G$3460,2,0),"")</f>
        <v>3.4077</v>
      </c>
      <c r="C3441">
        <f>IFERROR(VLOOKUP($A3441,原始数据_收盘!$A$4:$G$3460,3,0),"")</f>
        <v>3.7324</v>
      </c>
      <c r="D3441">
        <f>IFERROR(VLOOKUP($A3441,原始数据_收盘!$A$4:$G$3460,4,0),"")</f>
        <v>3.4152</v>
      </c>
      <c r="E3441">
        <f>IFERROR(VLOOKUP($A3441,原始数据_收盘!$A$4:$G$3460,5,0),"")</f>
        <v>3.735</v>
      </c>
      <c r="F3441">
        <f>IFERROR(VLOOKUP($A3441,原始数据_收盘!$A$4:$G$3460,6,0),"")</f>
        <v>3.4114</v>
      </c>
      <c r="G3441">
        <f>IFERROR(VLOOKUP($A3441,原始数据_收盘!$A$4:$G$3460,7,0),"")</f>
        <v>3.7337</v>
      </c>
      <c r="H3441">
        <f>IFERROR(VLOOKUP($A3441,原始数据_利率互换_FR007_1年!$A$6:$C$4395,2,0),"")</f>
        <v>3.4123</v>
      </c>
      <c r="I3441">
        <f>IFERROR(VLOOKUP($A3441,原始数据_利率互换_FR007_1年!$A$6:$C$4395,3,0),"")</f>
        <v>3.7365</v>
      </c>
    </row>
    <row r="3442" spans="1:9">
      <c r="A3442" s="6">
        <v>42935</v>
      </c>
      <c r="B3442">
        <f>IFERROR(VLOOKUP($A3442,原始数据_收盘!$A$4:$G$3460,2,0),"")</f>
        <v>3.4119</v>
      </c>
      <c r="C3442">
        <f>IFERROR(VLOOKUP($A3442,原始数据_收盘!$A$4:$G$3460,3,0),"")</f>
        <v>3.7347</v>
      </c>
      <c r="D3442">
        <f>IFERROR(VLOOKUP($A3442,原始数据_收盘!$A$4:$G$3460,4,0),"")</f>
        <v>3.4186</v>
      </c>
      <c r="E3442">
        <f>IFERROR(VLOOKUP($A3442,原始数据_收盘!$A$4:$G$3460,5,0),"")</f>
        <v>3.7384</v>
      </c>
      <c r="F3442">
        <f>IFERROR(VLOOKUP($A3442,原始数据_收盘!$A$4:$G$3460,6,0),"")</f>
        <v>3.4152</v>
      </c>
      <c r="G3442">
        <f>IFERROR(VLOOKUP($A3442,原始数据_收盘!$A$4:$G$3460,7,0),"")</f>
        <v>3.7366</v>
      </c>
      <c r="H3442">
        <f>IFERROR(VLOOKUP($A3442,原始数据_利率互换_FR007_1年!$A$6:$C$4395,2,0),"")</f>
        <v>3.4132</v>
      </c>
      <c r="I3442">
        <f>IFERROR(VLOOKUP($A3442,原始数据_利率互换_FR007_1年!$A$6:$C$4395,3,0),"")</f>
        <v>3.7303</v>
      </c>
    </row>
    <row r="3443" spans="1:9">
      <c r="A3443" s="6">
        <v>42936</v>
      </c>
      <c r="B3443">
        <f>IFERROR(VLOOKUP($A3443,原始数据_收盘!$A$4:$G$3460,2,0),"")</f>
        <v>3.39</v>
      </c>
      <c r="C3443">
        <f>IFERROR(VLOOKUP($A3443,原始数据_收盘!$A$4:$G$3460,3,0),"")</f>
        <v>3.6982</v>
      </c>
      <c r="D3443">
        <f>IFERROR(VLOOKUP($A3443,原始数据_收盘!$A$4:$G$3460,4,0),"")</f>
        <v>3.3975</v>
      </c>
      <c r="E3443">
        <f>IFERROR(VLOOKUP($A3443,原始数据_收盘!$A$4:$G$3460,5,0),"")</f>
        <v>3.7018</v>
      </c>
      <c r="F3443">
        <f>IFERROR(VLOOKUP($A3443,原始数据_收盘!$A$4:$G$3460,6,0),"")</f>
        <v>3.3938</v>
      </c>
      <c r="G3443">
        <f>IFERROR(VLOOKUP($A3443,原始数据_收盘!$A$4:$G$3460,7,0),"")</f>
        <v>3.7</v>
      </c>
      <c r="H3443">
        <f>IFERROR(VLOOKUP($A3443,原始数据_利率互换_FR007_1年!$A$6:$C$4395,2,0),"")</f>
        <v>3.4005</v>
      </c>
      <c r="I3443">
        <f>IFERROR(VLOOKUP($A3443,原始数据_利率互换_FR007_1年!$A$6:$C$4395,3,0),"")</f>
        <v>3.7112</v>
      </c>
    </row>
    <row r="3444" spans="1:9">
      <c r="A3444" s="6">
        <v>42937</v>
      </c>
      <c r="B3444">
        <f>IFERROR(VLOOKUP($A3444,原始数据_收盘!$A$4:$G$3460,2,0),"")</f>
        <v>3.3975</v>
      </c>
      <c r="C3444">
        <f>IFERROR(VLOOKUP($A3444,原始数据_收盘!$A$4:$G$3460,3,0),"")</f>
        <v>3.705</v>
      </c>
      <c r="D3444">
        <f>IFERROR(VLOOKUP($A3444,原始数据_收盘!$A$4:$G$3460,4,0),"")</f>
        <v>3.4</v>
      </c>
      <c r="E3444">
        <f>IFERROR(VLOOKUP($A3444,原始数据_收盘!$A$4:$G$3460,5,0),"")</f>
        <v>3.71</v>
      </c>
      <c r="F3444">
        <f>IFERROR(VLOOKUP($A3444,原始数据_收盘!$A$4:$G$3460,6,0),"")</f>
        <v>3.3988</v>
      </c>
      <c r="G3444">
        <f>IFERROR(VLOOKUP($A3444,原始数据_收盘!$A$4:$G$3460,7,0),"")</f>
        <v>3.7075</v>
      </c>
      <c r="H3444">
        <f>IFERROR(VLOOKUP($A3444,原始数据_利率互换_FR007_1年!$A$6:$C$4395,2,0),"")</f>
        <v>3.3961</v>
      </c>
      <c r="I3444">
        <f>IFERROR(VLOOKUP($A3444,原始数据_利率互换_FR007_1年!$A$6:$C$4395,3,0),"")</f>
        <v>3.699</v>
      </c>
    </row>
    <row r="3445" spans="1:9">
      <c r="A3445" s="6">
        <v>42938</v>
      </c>
      <c r="B3445" t="str">
        <f>IFERROR(VLOOKUP($A3445,原始数据_收盘!$A$4:$G$3460,2,0),"")</f>
        <v/>
      </c>
      <c r="C3445" t="str">
        <f>IFERROR(VLOOKUP($A3445,原始数据_收盘!$A$4:$G$3460,3,0),"")</f>
        <v/>
      </c>
      <c r="D3445" t="str">
        <f>IFERROR(VLOOKUP($A3445,原始数据_收盘!$A$4:$G$3460,4,0),"")</f>
        <v/>
      </c>
      <c r="E3445" t="str">
        <f>IFERROR(VLOOKUP($A3445,原始数据_收盘!$A$4:$G$3460,5,0),"")</f>
        <v/>
      </c>
      <c r="F3445" t="str">
        <f>IFERROR(VLOOKUP($A3445,原始数据_收盘!$A$4:$G$3460,6,0),"")</f>
        <v/>
      </c>
      <c r="G3445" t="str">
        <f>IFERROR(VLOOKUP($A3445,原始数据_收盘!$A$4:$G$3460,7,0),"")</f>
        <v/>
      </c>
      <c r="H3445" t="str">
        <f>IFERROR(VLOOKUP($A3445,原始数据_利率互换_FR007_1年!$A$6:$C$4395,2,0),"")</f>
        <v/>
      </c>
      <c r="I3445" t="str">
        <f>IFERROR(VLOOKUP($A3445,原始数据_利率互换_FR007_1年!$A$6:$C$4395,3,0),"")</f>
        <v/>
      </c>
    </row>
    <row r="3446" spans="1:9">
      <c r="A3446" s="6">
        <v>42939</v>
      </c>
      <c r="B3446" t="str">
        <f>IFERROR(VLOOKUP($A3446,原始数据_收盘!$A$4:$G$3460,2,0),"")</f>
        <v/>
      </c>
      <c r="C3446" t="str">
        <f>IFERROR(VLOOKUP($A3446,原始数据_收盘!$A$4:$G$3460,3,0),"")</f>
        <v/>
      </c>
      <c r="D3446" t="str">
        <f>IFERROR(VLOOKUP($A3446,原始数据_收盘!$A$4:$G$3460,4,0),"")</f>
        <v/>
      </c>
      <c r="E3446" t="str">
        <f>IFERROR(VLOOKUP($A3446,原始数据_收盘!$A$4:$G$3460,5,0),"")</f>
        <v/>
      </c>
      <c r="F3446" t="str">
        <f>IFERROR(VLOOKUP($A3446,原始数据_收盘!$A$4:$G$3460,6,0),"")</f>
        <v/>
      </c>
      <c r="G3446" t="str">
        <f>IFERROR(VLOOKUP($A3446,原始数据_收盘!$A$4:$G$3460,7,0),"")</f>
        <v/>
      </c>
      <c r="H3446" t="str">
        <f>IFERROR(VLOOKUP($A3446,原始数据_利率互换_FR007_1年!$A$6:$C$4395,2,0),"")</f>
        <v/>
      </c>
      <c r="I3446" t="str">
        <f>IFERROR(VLOOKUP($A3446,原始数据_利率互换_FR007_1年!$A$6:$C$4395,3,0),"")</f>
        <v/>
      </c>
    </row>
    <row r="3447" spans="1:9">
      <c r="A3447" s="6">
        <v>42940</v>
      </c>
      <c r="B3447">
        <f>IFERROR(VLOOKUP($A3447,原始数据_收盘!$A$4:$G$3460,2,0),"")</f>
        <v>3.3725</v>
      </c>
      <c r="C3447">
        <f>IFERROR(VLOOKUP($A3447,原始数据_收盘!$A$4:$G$3460,3,0),"")</f>
        <v>3.69</v>
      </c>
      <c r="D3447">
        <f>IFERROR(VLOOKUP($A3447,原始数据_收盘!$A$4:$G$3460,4,0),"")</f>
        <v>3.3775</v>
      </c>
      <c r="E3447">
        <f>IFERROR(VLOOKUP($A3447,原始数据_收盘!$A$4:$G$3460,5,0),"")</f>
        <v>3.6925</v>
      </c>
      <c r="F3447">
        <f>IFERROR(VLOOKUP($A3447,原始数据_收盘!$A$4:$G$3460,6,0),"")</f>
        <v>3.375</v>
      </c>
      <c r="G3447">
        <f>IFERROR(VLOOKUP($A3447,原始数据_收盘!$A$4:$G$3460,7,0),"")</f>
        <v>3.6913</v>
      </c>
      <c r="H3447">
        <f>IFERROR(VLOOKUP($A3447,原始数据_利率互换_FR007_1年!$A$6:$C$4395,2,0),"")</f>
        <v>3.3829</v>
      </c>
      <c r="I3447">
        <f>IFERROR(VLOOKUP($A3447,原始数据_利率互换_FR007_1年!$A$6:$C$4395,3,0),"")</f>
        <v>3.6936</v>
      </c>
    </row>
    <row r="3448" spans="1:9">
      <c r="A3448" s="6">
        <v>42941</v>
      </c>
      <c r="B3448">
        <f>IFERROR(VLOOKUP($A3448,原始数据_收盘!$A$4:$G$3460,2,0),"")</f>
        <v>3.3847</v>
      </c>
      <c r="C3448">
        <f>IFERROR(VLOOKUP($A3448,原始数据_收盘!$A$4:$G$3460,3,0),"")</f>
        <v>3.7073</v>
      </c>
      <c r="D3448">
        <f>IFERROR(VLOOKUP($A3448,原始数据_收盘!$A$4:$G$3460,4,0),"")</f>
        <v>3.3891</v>
      </c>
      <c r="E3448">
        <f>IFERROR(VLOOKUP($A3448,原始数据_收盘!$A$4:$G$3460,5,0),"")</f>
        <v>3.7102</v>
      </c>
      <c r="F3448">
        <f>IFERROR(VLOOKUP($A3448,原始数据_收盘!$A$4:$G$3460,6,0),"")</f>
        <v>3.3869</v>
      </c>
      <c r="G3448">
        <f>IFERROR(VLOOKUP($A3448,原始数据_收盘!$A$4:$G$3460,7,0),"")</f>
        <v>3.7088</v>
      </c>
      <c r="H3448">
        <f>IFERROR(VLOOKUP($A3448,原始数据_利率互换_FR007_1年!$A$6:$C$4395,2,0),"")</f>
        <v>3.3874</v>
      </c>
      <c r="I3448">
        <f>IFERROR(VLOOKUP($A3448,原始数据_利率互换_FR007_1年!$A$6:$C$4395,3,0),"")</f>
        <v>3.7038</v>
      </c>
    </row>
    <row r="3449" spans="1:9">
      <c r="A3449" s="6">
        <v>42942</v>
      </c>
      <c r="B3449">
        <f>IFERROR(VLOOKUP($A3449,原始数据_收盘!$A$4:$G$3460,2,0),"")</f>
        <v>3.4075</v>
      </c>
      <c r="C3449">
        <f>IFERROR(VLOOKUP($A3449,原始数据_收盘!$A$4:$G$3460,3,0),"")</f>
        <v>3.7325</v>
      </c>
      <c r="D3449">
        <f>IFERROR(VLOOKUP($A3449,原始数据_收盘!$A$4:$G$3460,4,0),"")</f>
        <v>3.41</v>
      </c>
      <c r="E3449">
        <f>IFERROR(VLOOKUP($A3449,原始数据_收盘!$A$4:$G$3460,5,0),"")</f>
        <v>3.735</v>
      </c>
      <c r="F3449">
        <f>IFERROR(VLOOKUP($A3449,原始数据_收盘!$A$4:$G$3460,6,0),"")</f>
        <v>3.4088</v>
      </c>
      <c r="G3449">
        <f>IFERROR(VLOOKUP($A3449,原始数据_收盘!$A$4:$G$3460,7,0),"")</f>
        <v>3.7338</v>
      </c>
      <c r="H3449">
        <f>IFERROR(VLOOKUP($A3449,原始数据_利率互换_FR007_1年!$A$6:$C$4395,2,0),"")</f>
        <v>3.4084</v>
      </c>
      <c r="I3449">
        <f>IFERROR(VLOOKUP($A3449,原始数据_利率互换_FR007_1年!$A$6:$C$4395,3,0),"")</f>
        <v>3.7285</v>
      </c>
    </row>
    <row r="3450" spans="1:9">
      <c r="A3450" s="6">
        <v>42943</v>
      </c>
      <c r="B3450">
        <f>IFERROR(VLOOKUP($A3450,原始数据_收盘!$A$4:$G$3460,2,0),"")</f>
        <v>3.3925</v>
      </c>
      <c r="C3450">
        <f>IFERROR(VLOOKUP($A3450,原始数据_收盘!$A$4:$G$3460,3,0),"")</f>
        <v>3.7115</v>
      </c>
      <c r="D3450">
        <f>IFERROR(VLOOKUP($A3450,原始数据_收盘!$A$4:$G$3460,4,0),"")</f>
        <v>3.3952</v>
      </c>
      <c r="E3450">
        <f>IFERROR(VLOOKUP($A3450,原始数据_收盘!$A$4:$G$3460,5,0),"")</f>
        <v>3.715</v>
      </c>
      <c r="F3450">
        <f>IFERROR(VLOOKUP($A3450,原始数据_收盘!$A$4:$G$3460,6,0),"")</f>
        <v>3.3938</v>
      </c>
      <c r="G3450">
        <f>IFERROR(VLOOKUP($A3450,原始数据_收盘!$A$4:$G$3460,7,0),"")</f>
        <v>3.7133</v>
      </c>
      <c r="H3450">
        <f>IFERROR(VLOOKUP($A3450,原始数据_利率互换_FR007_1年!$A$6:$C$4395,2,0),"")</f>
        <v>3.3983</v>
      </c>
      <c r="I3450">
        <f>IFERROR(VLOOKUP($A3450,原始数据_利率互换_FR007_1年!$A$6:$C$4395,3,0),"")</f>
        <v>3.7218</v>
      </c>
    </row>
    <row r="3451" spans="1:9">
      <c r="A3451" s="6">
        <v>42944</v>
      </c>
      <c r="B3451">
        <f>IFERROR(VLOOKUP($A3451,原始数据_收盘!$A$4:$G$3460,2,0),"")</f>
        <v>3.39</v>
      </c>
      <c r="C3451">
        <f>IFERROR(VLOOKUP($A3451,原始数据_收盘!$A$4:$G$3460,3,0),"")</f>
        <v>3.7125</v>
      </c>
      <c r="D3451">
        <f>IFERROR(VLOOKUP($A3451,原始数据_收盘!$A$4:$G$3460,4,0),"")</f>
        <v>3.395</v>
      </c>
      <c r="E3451">
        <f>IFERROR(VLOOKUP($A3451,原始数据_收盘!$A$4:$G$3460,5,0),"")</f>
        <v>3.7166</v>
      </c>
      <c r="F3451">
        <f>IFERROR(VLOOKUP($A3451,原始数据_收盘!$A$4:$G$3460,6,0),"")</f>
        <v>3.3925</v>
      </c>
      <c r="G3451">
        <f>IFERROR(VLOOKUP($A3451,原始数据_收盘!$A$4:$G$3460,7,0),"")</f>
        <v>3.7146</v>
      </c>
      <c r="H3451">
        <f>IFERROR(VLOOKUP($A3451,原始数据_利率互换_FR007_1年!$A$6:$C$4395,2,0),"")</f>
        <v>3.3921</v>
      </c>
      <c r="I3451">
        <f>IFERROR(VLOOKUP($A3451,原始数据_利率互换_FR007_1年!$A$6:$C$4395,3,0),"")</f>
        <v>3.7171</v>
      </c>
    </row>
    <row r="3452" spans="1:9">
      <c r="A3452" s="6">
        <v>42945</v>
      </c>
      <c r="B3452" t="str">
        <f>IFERROR(VLOOKUP($A3452,原始数据_收盘!$A$4:$G$3460,2,0),"")</f>
        <v/>
      </c>
      <c r="C3452" t="str">
        <f>IFERROR(VLOOKUP($A3452,原始数据_收盘!$A$4:$G$3460,3,0),"")</f>
        <v/>
      </c>
      <c r="D3452" t="str">
        <f>IFERROR(VLOOKUP($A3452,原始数据_收盘!$A$4:$G$3460,4,0),"")</f>
        <v/>
      </c>
      <c r="E3452" t="str">
        <f>IFERROR(VLOOKUP($A3452,原始数据_收盘!$A$4:$G$3460,5,0),"")</f>
        <v/>
      </c>
      <c r="F3452" t="str">
        <f>IFERROR(VLOOKUP($A3452,原始数据_收盘!$A$4:$G$3460,6,0),"")</f>
        <v/>
      </c>
      <c r="G3452" t="str">
        <f>IFERROR(VLOOKUP($A3452,原始数据_收盘!$A$4:$G$3460,7,0),"")</f>
        <v/>
      </c>
      <c r="H3452" t="str">
        <f>IFERROR(VLOOKUP($A3452,原始数据_利率互换_FR007_1年!$A$6:$C$4395,2,0),"")</f>
        <v/>
      </c>
      <c r="I3452" t="str">
        <f>IFERROR(VLOOKUP($A3452,原始数据_利率互换_FR007_1年!$A$6:$C$4395,3,0),"")</f>
        <v/>
      </c>
    </row>
    <row r="3453" spans="1:9">
      <c r="A3453" s="6">
        <v>42946</v>
      </c>
      <c r="B3453" t="str">
        <f>IFERROR(VLOOKUP($A3453,原始数据_收盘!$A$4:$G$3460,2,0),"")</f>
        <v/>
      </c>
      <c r="C3453" t="str">
        <f>IFERROR(VLOOKUP($A3453,原始数据_收盘!$A$4:$G$3460,3,0),"")</f>
        <v/>
      </c>
      <c r="D3453" t="str">
        <f>IFERROR(VLOOKUP($A3453,原始数据_收盘!$A$4:$G$3460,4,0),"")</f>
        <v/>
      </c>
      <c r="E3453" t="str">
        <f>IFERROR(VLOOKUP($A3453,原始数据_收盘!$A$4:$G$3460,5,0),"")</f>
        <v/>
      </c>
      <c r="F3453" t="str">
        <f>IFERROR(VLOOKUP($A3453,原始数据_收盘!$A$4:$G$3460,6,0),"")</f>
        <v/>
      </c>
      <c r="G3453" t="str">
        <f>IFERROR(VLOOKUP($A3453,原始数据_收盘!$A$4:$G$3460,7,0),"")</f>
        <v/>
      </c>
      <c r="H3453" t="str">
        <f>IFERROR(VLOOKUP($A3453,原始数据_利率互换_FR007_1年!$A$6:$C$4395,2,0),"")</f>
        <v/>
      </c>
      <c r="I3453" t="str">
        <f>IFERROR(VLOOKUP($A3453,原始数据_利率互换_FR007_1年!$A$6:$C$4395,3,0),"")</f>
        <v/>
      </c>
    </row>
    <row r="3454" spans="1:9">
      <c r="A3454" s="6">
        <v>42947</v>
      </c>
      <c r="B3454">
        <f>IFERROR(VLOOKUP($A3454,原始数据_收盘!$A$4:$G$3460,2,0),"")</f>
        <v>3.4104</v>
      </c>
      <c r="C3454">
        <f>IFERROR(VLOOKUP($A3454,原始数据_收盘!$A$4:$G$3460,3,0),"")</f>
        <v>3.7386</v>
      </c>
      <c r="D3454">
        <f>IFERROR(VLOOKUP($A3454,原始数据_收盘!$A$4:$G$3460,4,0),"")</f>
        <v>3.4158</v>
      </c>
      <c r="E3454">
        <f>IFERROR(VLOOKUP($A3454,原始数据_收盘!$A$4:$G$3460,5,0),"")</f>
        <v>3.7425</v>
      </c>
      <c r="F3454">
        <f>IFERROR(VLOOKUP($A3454,原始数据_收盘!$A$4:$G$3460,6,0),"")</f>
        <v>3.4131</v>
      </c>
      <c r="G3454">
        <f>IFERROR(VLOOKUP($A3454,原始数据_收盘!$A$4:$G$3460,7,0),"")</f>
        <v>3.7406</v>
      </c>
      <c r="H3454">
        <f>IFERROR(VLOOKUP($A3454,原始数据_利率互换_FR007_1年!$A$6:$C$4395,2,0),"")</f>
        <v>3.4094</v>
      </c>
      <c r="I3454">
        <f>IFERROR(VLOOKUP($A3454,原始数据_利率互换_FR007_1年!$A$6:$C$4395,3,0),"")</f>
        <v>3.737</v>
      </c>
    </row>
    <row r="3455" spans="1:9">
      <c r="A3455" s="6">
        <v>42948</v>
      </c>
      <c r="B3455">
        <f>IFERROR(VLOOKUP($A3455,原始数据_收盘!$A$4:$G$3460,2,0),"")</f>
        <v>3.44</v>
      </c>
      <c r="C3455">
        <f>IFERROR(VLOOKUP($A3455,原始数据_收盘!$A$4:$G$3460,3,0),"")</f>
        <v>3.755</v>
      </c>
      <c r="D3455">
        <f>IFERROR(VLOOKUP($A3455,原始数据_收盘!$A$4:$G$3460,4,0),"")</f>
        <v>3.45</v>
      </c>
      <c r="E3455">
        <f>IFERROR(VLOOKUP($A3455,原始数据_收盘!$A$4:$G$3460,5,0),"")</f>
        <v>3.7612</v>
      </c>
      <c r="F3455">
        <f>IFERROR(VLOOKUP($A3455,原始数据_收盘!$A$4:$G$3460,6,0),"")</f>
        <v>3.445</v>
      </c>
      <c r="G3455">
        <f>IFERROR(VLOOKUP($A3455,原始数据_收盘!$A$4:$G$3460,7,0),"")</f>
        <v>3.7581</v>
      </c>
      <c r="H3455">
        <f>IFERROR(VLOOKUP($A3455,原始数据_利率互换_FR007_1年!$A$6:$C$4395,2,0),"")</f>
        <v>3.4394</v>
      </c>
      <c r="I3455">
        <f>IFERROR(VLOOKUP($A3455,原始数据_利率互换_FR007_1年!$A$6:$C$4395,3,0),"")</f>
        <v>3.7553</v>
      </c>
    </row>
    <row r="3456" spans="1:9">
      <c r="A3456" s="6">
        <v>42949</v>
      </c>
      <c r="B3456">
        <f>IFERROR(VLOOKUP($A3456,原始数据_收盘!$A$4:$G$3460,2,0),"")</f>
        <v>3.4375</v>
      </c>
      <c r="C3456">
        <f>IFERROR(VLOOKUP($A3456,原始数据_收盘!$A$4:$G$3460,3,0),"")</f>
        <v>3.745</v>
      </c>
      <c r="D3456">
        <f>IFERROR(VLOOKUP($A3456,原始数据_收盘!$A$4:$G$3460,4,0),"")</f>
        <v>3.44</v>
      </c>
      <c r="E3456">
        <f>IFERROR(VLOOKUP($A3456,原始数据_收盘!$A$4:$G$3460,5,0),"")</f>
        <v>3.7487</v>
      </c>
      <c r="F3456">
        <f>IFERROR(VLOOKUP($A3456,原始数据_收盘!$A$4:$G$3460,6,0),"")</f>
        <v>3.4388</v>
      </c>
      <c r="G3456">
        <f>IFERROR(VLOOKUP($A3456,原始数据_收盘!$A$4:$G$3460,7,0),"")</f>
        <v>3.7468</v>
      </c>
      <c r="H3456">
        <f>IFERROR(VLOOKUP($A3456,原始数据_利率互换_FR007_1年!$A$6:$C$4395,2,0),"")</f>
        <v>3.4381</v>
      </c>
      <c r="I3456">
        <f>IFERROR(VLOOKUP($A3456,原始数据_利率互换_FR007_1年!$A$6:$C$4395,3,0),"")</f>
        <v>3.7484</v>
      </c>
    </row>
    <row r="3457" spans="1:9">
      <c r="A3457" s="6">
        <v>42950</v>
      </c>
      <c r="B3457">
        <f>IFERROR(VLOOKUP($A3457,原始数据_收盘!$A$4:$G$3460,2,0),"")</f>
        <v>3.425</v>
      </c>
      <c r="C3457">
        <f>IFERROR(VLOOKUP($A3457,原始数据_收盘!$A$4:$G$3460,3,0),"")</f>
        <v>3.745</v>
      </c>
      <c r="D3457">
        <f>IFERROR(VLOOKUP($A3457,原始数据_收盘!$A$4:$G$3460,4,0),"")</f>
        <v>3.43</v>
      </c>
      <c r="E3457">
        <f>IFERROR(VLOOKUP($A3457,原始数据_收盘!$A$4:$G$3460,5,0),"")</f>
        <v>3.75</v>
      </c>
      <c r="F3457">
        <f>IFERROR(VLOOKUP($A3457,原始数据_收盘!$A$4:$G$3460,6,0),"")</f>
        <v>3.4275</v>
      </c>
      <c r="G3457">
        <f>IFERROR(VLOOKUP($A3457,原始数据_收盘!$A$4:$G$3460,7,0),"")</f>
        <v>3.7475</v>
      </c>
      <c r="H3457">
        <f>IFERROR(VLOOKUP($A3457,原始数据_利率互换_FR007_1年!$A$6:$C$4395,2,0),"")</f>
        <v>3.4266</v>
      </c>
      <c r="I3457">
        <f>IFERROR(VLOOKUP($A3457,原始数据_利率互换_FR007_1年!$A$6:$C$4395,3,0),"")</f>
        <v>3.7445</v>
      </c>
    </row>
    <row r="3458" spans="1:9">
      <c r="A3458" s="6">
        <v>42951</v>
      </c>
      <c r="B3458">
        <f>IFERROR(VLOOKUP($A3458,原始数据_收盘!$A$4:$G$3460,2,0),"")</f>
        <v>3.4075</v>
      </c>
      <c r="C3458">
        <f>IFERROR(VLOOKUP($A3458,原始数据_收盘!$A$4:$G$3460,3,0),"")</f>
        <v>3.7375</v>
      </c>
      <c r="D3458">
        <f>IFERROR(VLOOKUP($A3458,原始数据_收盘!$A$4:$G$3460,4,0),"")</f>
        <v>3.4125</v>
      </c>
      <c r="E3458">
        <f>IFERROR(VLOOKUP($A3458,原始数据_收盘!$A$4:$G$3460,5,0),"")</f>
        <v>3.74</v>
      </c>
      <c r="F3458">
        <f>IFERROR(VLOOKUP($A3458,原始数据_收盘!$A$4:$G$3460,6,0),"")</f>
        <v>3.41</v>
      </c>
      <c r="G3458">
        <f>IFERROR(VLOOKUP($A3458,原始数据_收盘!$A$4:$G$3460,7,0),"")</f>
        <v>3.7388</v>
      </c>
      <c r="H3458">
        <f>IFERROR(VLOOKUP($A3458,原始数据_利率互换_FR007_1年!$A$6:$C$4395,2,0),"")</f>
        <v>3.4123</v>
      </c>
      <c r="I3458">
        <f>IFERROR(VLOOKUP($A3458,原始数据_利率互换_FR007_1年!$A$6:$C$4395,3,0),"")</f>
        <v>3.7382</v>
      </c>
    </row>
    <row r="3459" spans="1:9">
      <c r="A3459" s="6">
        <v>42952</v>
      </c>
      <c r="B3459" t="str">
        <f>IFERROR(VLOOKUP($A3459,原始数据_收盘!$A$4:$G$3460,2,0),"")</f>
        <v/>
      </c>
      <c r="C3459" t="str">
        <f>IFERROR(VLOOKUP($A3459,原始数据_收盘!$A$4:$G$3460,3,0),"")</f>
        <v/>
      </c>
      <c r="D3459" t="str">
        <f>IFERROR(VLOOKUP($A3459,原始数据_收盘!$A$4:$G$3460,4,0),"")</f>
        <v/>
      </c>
      <c r="E3459" t="str">
        <f>IFERROR(VLOOKUP($A3459,原始数据_收盘!$A$4:$G$3460,5,0),"")</f>
        <v/>
      </c>
      <c r="F3459" t="str">
        <f>IFERROR(VLOOKUP($A3459,原始数据_收盘!$A$4:$G$3460,6,0),"")</f>
        <v/>
      </c>
      <c r="G3459" t="str">
        <f>IFERROR(VLOOKUP($A3459,原始数据_收盘!$A$4:$G$3460,7,0),"")</f>
        <v/>
      </c>
      <c r="H3459" t="str">
        <f>IFERROR(VLOOKUP($A3459,原始数据_利率互换_FR007_1年!$A$6:$C$4395,2,0),"")</f>
        <v/>
      </c>
      <c r="I3459" t="str">
        <f>IFERROR(VLOOKUP($A3459,原始数据_利率互换_FR007_1年!$A$6:$C$4395,3,0),"")</f>
        <v/>
      </c>
    </row>
    <row r="3460" spans="1:9">
      <c r="A3460" s="6">
        <v>42953</v>
      </c>
      <c r="B3460" t="str">
        <f>IFERROR(VLOOKUP($A3460,原始数据_收盘!$A$4:$G$3460,2,0),"")</f>
        <v/>
      </c>
      <c r="C3460" t="str">
        <f>IFERROR(VLOOKUP($A3460,原始数据_收盘!$A$4:$G$3460,3,0),"")</f>
        <v/>
      </c>
      <c r="D3460" t="str">
        <f>IFERROR(VLOOKUP($A3460,原始数据_收盘!$A$4:$G$3460,4,0),"")</f>
        <v/>
      </c>
      <c r="E3460" t="str">
        <f>IFERROR(VLOOKUP($A3460,原始数据_收盘!$A$4:$G$3460,5,0),"")</f>
        <v/>
      </c>
      <c r="F3460" t="str">
        <f>IFERROR(VLOOKUP($A3460,原始数据_收盘!$A$4:$G$3460,6,0),"")</f>
        <v/>
      </c>
      <c r="G3460" t="str">
        <f>IFERROR(VLOOKUP($A3460,原始数据_收盘!$A$4:$G$3460,7,0),"")</f>
        <v/>
      </c>
      <c r="H3460" t="str">
        <f>IFERROR(VLOOKUP($A3460,原始数据_利率互换_FR007_1年!$A$6:$C$4395,2,0),"")</f>
        <v/>
      </c>
      <c r="I3460" t="str">
        <f>IFERROR(VLOOKUP($A3460,原始数据_利率互换_FR007_1年!$A$6:$C$4395,3,0),"")</f>
        <v/>
      </c>
    </row>
    <row r="3461" spans="1:9">
      <c r="A3461" s="6">
        <v>42954</v>
      </c>
      <c r="B3461">
        <f>IFERROR(VLOOKUP($A3461,原始数据_收盘!$A$4:$G$3460,2,0),"")</f>
        <v>3.4357</v>
      </c>
      <c r="C3461">
        <f>IFERROR(VLOOKUP($A3461,原始数据_收盘!$A$4:$G$3460,3,0),"")</f>
        <v>3.785</v>
      </c>
      <c r="D3461">
        <f>IFERROR(VLOOKUP($A3461,原始数据_收盘!$A$4:$G$3460,4,0),"")</f>
        <v>3.445</v>
      </c>
      <c r="E3461">
        <f>IFERROR(VLOOKUP($A3461,原始数据_收盘!$A$4:$G$3460,5,0),"")</f>
        <v>3.7875</v>
      </c>
      <c r="F3461">
        <f>IFERROR(VLOOKUP($A3461,原始数据_收盘!$A$4:$G$3460,6,0),"")</f>
        <v>3.4403</v>
      </c>
      <c r="G3461">
        <f>IFERROR(VLOOKUP($A3461,原始数据_收盘!$A$4:$G$3460,7,0),"")</f>
        <v>3.7863</v>
      </c>
      <c r="H3461">
        <f>IFERROR(VLOOKUP($A3461,原始数据_利率互换_FR007_1年!$A$6:$C$4395,2,0),"")</f>
        <v>3.4365</v>
      </c>
      <c r="I3461">
        <f>IFERROR(VLOOKUP($A3461,原始数据_利率互换_FR007_1年!$A$6:$C$4395,3,0),"")</f>
        <v>3.7781</v>
      </c>
    </row>
    <row r="3462" spans="1:9">
      <c r="A3462" s="6">
        <v>42955</v>
      </c>
      <c r="B3462">
        <f>IFERROR(VLOOKUP($A3462,原始数据_收盘!$A$4:$G$3460,2,0),"")</f>
        <v>3.44</v>
      </c>
      <c r="C3462">
        <f>IFERROR(VLOOKUP($A3462,原始数据_收盘!$A$4:$G$3460,3,0),"")</f>
        <v>3.7885</v>
      </c>
      <c r="D3462">
        <f>IFERROR(VLOOKUP($A3462,原始数据_收盘!$A$4:$G$3460,4,0),"")</f>
        <v>3.45</v>
      </c>
      <c r="E3462">
        <f>IFERROR(VLOOKUP($A3462,原始数据_收盘!$A$4:$G$3460,5,0),"")</f>
        <v>3.7901</v>
      </c>
      <c r="F3462">
        <f>IFERROR(VLOOKUP($A3462,原始数据_收盘!$A$4:$G$3460,6,0),"")</f>
        <v>3.445</v>
      </c>
      <c r="G3462">
        <f>IFERROR(VLOOKUP($A3462,原始数据_收盘!$A$4:$G$3460,7,0),"")</f>
        <v>3.7893</v>
      </c>
      <c r="H3462">
        <f>IFERROR(VLOOKUP($A3462,原始数据_利率互换_FR007_1年!$A$6:$C$4395,2,0),"")</f>
        <v>3.4495</v>
      </c>
      <c r="I3462">
        <f>IFERROR(VLOOKUP($A3462,原始数据_利率互换_FR007_1年!$A$6:$C$4395,3,0),"")</f>
        <v>3.7964</v>
      </c>
    </row>
    <row r="3463" spans="1:9">
      <c r="A3463" s="6">
        <v>42956</v>
      </c>
      <c r="B3463">
        <f>IFERROR(VLOOKUP($A3463,原始数据_收盘!$A$4:$G$3460,2,0),"")</f>
        <v>3.4475</v>
      </c>
      <c r="C3463">
        <f>IFERROR(VLOOKUP($A3463,原始数据_收盘!$A$4:$G$3460,3,0),"")</f>
        <v>3.7875</v>
      </c>
      <c r="D3463">
        <f>IFERROR(VLOOKUP($A3463,原始数据_收盘!$A$4:$G$3460,4,0),"")</f>
        <v>3.455</v>
      </c>
      <c r="E3463">
        <f>IFERROR(VLOOKUP($A3463,原始数据_收盘!$A$4:$G$3460,5,0),"")</f>
        <v>3.79</v>
      </c>
      <c r="F3463">
        <f>IFERROR(VLOOKUP($A3463,原始数据_收盘!$A$4:$G$3460,6,0),"")</f>
        <v>3.4513</v>
      </c>
      <c r="G3463">
        <f>IFERROR(VLOOKUP($A3463,原始数据_收盘!$A$4:$G$3460,7,0),"")</f>
        <v>3.7888</v>
      </c>
      <c r="H3463">
        <f>IFERROR(VLOOKUP($A3463,原始数据_利率互换_FR007_1年!$A$6:$C$4395,2,0),"")</f>
        <v>3.4516</v>
      </c>
      <c r="I3463">
        <f>IFERROR(VLOOKUP($A3463,原始数据_利率互换_FR007_1年!$A$6:$C$4395,3,0),"")</f>
        <v>3.7858</v>
      </c>
    </row>
    <row r="3464" spans="1:9">
      <c r="A3464" s="6">
        <v>42957</v>
      </c>
      <c r="B3464">
        <f>IFERROR(VLOOKUP($A3464,原始数据_收盘!$A$4:$G$3460,2,0),"")</f>
        <v>3.4343</v>
      </c>
      <c r="C3464">
        <f>IFERROR(VLOOKUP($A3464,原始数据_收盘!$A$4:$G$3460,3,0),"")</f>
        <v>3.7625</v>
      </c>
      <c r="D3464">
        <f>IFERROR(VLOOKUP($A3464,原始数据_收盘!$A$4:$G$3460,4,0),"")</f>
        <v>3.44</v>
      </c>
      <c r="E3464">
        <f>IFERROR(VLOOKUP($A3464,原始数据_收盘!$A$4:$G$3460,5,0),"")</f>
        <v>3.7666</v>
      </c>
      <c r="F3464">
        <f>IFERROR(VLOOKUP($A3464,原始数据_收盘!$A$4:$G$3460,6,0),"")</f>
        <v>3.4372</v>
      </c>
      <c r="G3464">
        <f>IFERROR(VLOOKUP($A3464,原始数据_收盘!$A$4:$G$3460,7,0),"")</f>
        <v>3.7646</v>
      </c>
      <c r="H3464">
        <f>IFERROR(VLOOKUP($A3464,原始数据_利率互换_FR007_1年!$A$6:$C$4395,2,0),"")</f>
        <v>3.4398</v>
      </c>
      <c r="I3464">
        <f>IFERROR(VLOOKUP($A3464,原始数据_利率互换_FR007_1年!$A$6:$C$4395,3,0),"")</f>
        <v>3.7701</v>
      </c>
    </row>
    <row r="3465" spans="1:9">
      <c r="A3465" s="6">
        <v>42958</v>
      </c>
      <c r="B3465">
        <f>IFERROR(VLOOKUP($A3465,原始数据_收盘!$A$4:$G$3460,2,0),"")</f>
        <v>3.4175</v>
      </c>
      <c r="C3465">
        <f>IFERROR(VLOOKUP($A3465,原始数据_收盘!$A$4:$G$3460,3,0),"")</f>
        <v>3.7425</v>
      </c>
      <c r="D3465">
        <f>IFERROR(VLOOKUP($A3465,原始数据_收盘!$A$4:$G$3460,4,0),"")</f>
        <v>3.4225</v>
      </c>
      <c r="E3465">
        <f>IFERROR(VLOOKUP($A3465,原始数据_收盘!$A$4:$G$3460,5,0),"")</f>
        <v>3.7475</v>
      </c>
      <c r="F3465">
        <f>IFERROR(VLOOKUP($A3465,原始数据_收盘!$A$4:$G$3460,6,0),"")</f>
        <v>3.42</v>
      </c>
      <c r="G3465">
        <f>IFERROR(VLOOKUP($A3465,原始数据_收盘!$A$4:$G$3460,7,0),"")</f>
        <v>3.745</v>
      </c>
      <c r="H3465">
        <f>IFERROR(VLOOKUP($A3465,原始数据_利率互换_FR007_1年!$A$6:$C$4395,2,0),"")</f>
        <v>3.4252</v>
      </c>
      <c r="I3465">
        <f>IFERROR(VLOOKUP($A3465,原始数据_利率互换_FR007_1年!$A$6:$C$4395,3,0),"")</f>
        <v>3.7415</v>
      </c>
    </row>
    <row r="3466" spans="1:9">
      <c r="A3466" s="6">
        <v>42959</v>
      </c>
      <c r="B3466" t="str">
        <f>IFERROR(VLOOKUP($A3466,原始数据_收盘!$A$4:$G$3460,2,0),"")</f>
        <v/>
      </c>
      <c r="C3466" t="str">
        <f>IFERROR(VLOOKUP($A3466,原始数据_收盘!$A$4:$G$3460,3,0),"")</f>
        <v/>
      </c>
      <c r="D3466" t="str">
        <f>IFERROR(VLOOKUP($A3466,原始数据_收盘!$A$4:$G$3460,4,0),"")</f>
        <v/>
      </c>
      <c r="E3466" t="str">
        <f>IFERROR(VLOOKUP($A3466,原始数据_收盘!$A$4:$G$3460,5,0),"")</f>
        <v/>
      </c>
      <c r="F3466" t="str">
        <f>IFERROR(VLOOKUP($A3466,原始数据_收盘!$A$4:$G$3460,6,0),"")</f>
        <v/>
      </c>
      <c r="G3466" t="str">
        <f>IFERROR(VLOOKUP($A3466,原始数据_收盘!$A$4:$G$3460,7,0),"")</f>
        <v/>
      </c>
      <c r="H3466" t="str">
        <f>IFERROR(VLOOKUP($A3466,原始数据_利率互换_FR007_1年!$A$6:$C$4395,2,0),"")</f>
        <v/>
      </c>
      <c r="I3466" t="str">
        <f>IFERROR(VLOOKUP($A3466,原始数据_利率互换_FR007_1年!$A$6:$C$4395,3,0),"")</f>
        <v/>
      </c>
    </row>
    <row r="3467" spans="1:9">
      <c r="A3467" s="6">
        <v>42960</v>
      </c>
      <c r="B3467" t="str">
        <f>IFERROR(VLOOKUP($A3467,原始数据_收盘!$A$4:$G$3460,2,0),"")</f>
        <v/>
      </c>
      <c r="C3467" t="str">
        <f>IFERROR(VLOOKUP($A3467,原始数据_收盘!$A$4:$G$3460,3,0),"")</f>
        <v/>
      </c>
      <c r="D3467" t="str">
        <f>IFERROR(VLOOKUP($A3467,原始数据_收盘!$A$4:$G$3460,4,0),"")</f>
        <v/>
      </c>
      <c r="E3467" t="str">
        <f>IFERROR(VLOOKUP($A3467,原始数据_收盘!$A$4:$G$3460,5,0),"")</f>
        <v/>
      </c>
      <c r="F3467" t="str">
        <f>IFERROR(VLOOKUP($A3467,原始数据_收盘!$A$4:$G$3460,6,0),"")</f>
        <v/>
      </c>
      <c r="G3467" t="str">
        <f>IFERROR(VLOOKUP($A3467,原始数据_收盘!$A$4:$G$3460,7,0),"")</f>
        <v/>
      </c>
      <c r="H3467" t="str">
        <f>IFERROR(VLOOKUP($A3467,原始数据_利率互换_FR007_1年!$A$6:$C$4395,2,0),"")</f>
        <v/>
      </c>
      <c r="I3467" t="str">
        <f>IFERROR(VLOOKUP($A3467,原始数据_利率互换_FR007_1年!$A$6:$C$4395,3,0),"")</f>
        <v/>
      </c>
    </row>
    <row r="3468" spans="1:9">
      <c r="A3468" s="6">
        <v>42961</v>
      </c>
      <c r="B3468">
        <f>IFERROR(VLOOKUP($A3468,原始数据_收盘!$A$4:$G$3460,2,0),"")</f>
        <v>3.4195</v>
      </c>
      <c r="C3468">
        <f>IFERROR(VLOOKUP($A3468,原始数据_收盘!$A$4:$G$3460,3,0),"")</f>
        <v>3.7304</v>
      </c>
      <c r="D3468">
        <f>IFERROR(VLOOKUP($A3468,原始数据_收盘!$A$4:$G$3460,4,0),"")</f>
        <v>3.4225</v>
      </c>
      <c r="E3468">
        <f>IFERROR(VLOOKUP($A3468,原始数据_收盘!$A$4:$G$3460,5,0),"")</f>
        <v>3.7328</v>
      </c>
      <c r="F3468">
        <f>IFERROR(VLOOKUP($A3468,原始数据_收盘!$A$4:$G$3460,6,0),"")</f>
        <v>3.421</v>
      </c>
      <c r="G3468">
        <f>IFERROR(VLOOKUP($A3468,原始数据_收盘!$A$4:$G$3460,7,0),"")</f>
        <v>3.7316</v>
      </c>
      <c r="H3468">
        <f>IFERROR(VLOOKUP($A3468,原始数据_利率互换_FR007_1年!$A$6:$C$4395,2,0),"")</f>
        <v>3.4277</v>
      </c>
      <c r="I3468">
        <f>IFERROR(VLOOKUP($A3468,原始数据_利率互换_FR007_1年!$A$6:$C$4395,3,0),"")</f>
        <v>3.7324</v>
      </c>
    </row>
    <row r="3469" spans="1:9">
      <c r="A3469" s="6">
        <v>42962</v>
      </c>
      <c r="B3469">
        <f>IFERROR(VLOOKUP($A3469,原始数据_收盘!$A$4:$G$3460,2,0),"")</f>
        <v>3.4407</v>
      </c>
      <c r="C3469">
        <f>IFERROR(VLOOKUP($A3469,原始数据_收盘!$A$4:$G$3460,3,0),"")</f>
        <v>3.7418</v>
      </c>
      <c r="D3469">
        <f>IFERROR(VLOOKUP($A3469,原始数据_收盘!$A$4:$G$3460,4,0),"")</f>
        <v>3.4445</v>
      </c>
      <c r="E3469">
        <f>IFERROR(VLOOKUP($A3469,原始数据_收盘!$A$4:$G$3460,5,0),"")</f>
        <v>3.7456</v>
      </c>
      <c r="F3469">
        <f>IFERROR(VLOOKUP($A3469,原始数据_收盘!$A$4:$G$3460,6,0),"")</f>
        <v>3.4426</v>
      </c>
      <c r="G3469">
        <f>IFERROR(VLOOKUP($A3469,原始数据_收盘!$A$4:$G$3460,7,0),"")</f>
        <v>3.7437</v>
      </c>
      <c r="H3469">
        <f>IFERROR(VLOOKUP($A3469,原始数据_利率互换_FR007_1年!$A$6:$C$4395,2,0),"")</f>
        <v>3.4354</v>
      </c>
      <c r="I3469">
        <f>IFERROR(VLOOKUP($A3469,原始数据_利率互换_FR007_1年!$A$6:$C$4395,3,0),"")</f>
        <v>3.7354</v>
      </c>
    </row>
    <row r="3470" spans="1:9">
      <c r="A3470" s="6">
        <v>42963</v>
      </c>
      <c r="B3470">
        <f>IFERROR(VLOOKUP($A3470,原始数据_收盘!$A$4:$G$3460,2,0),"")</f>
        <v>3.4671</v>
      </c>
      <c r="C3470">
        <f>IFERROR(VLOOKUP($A3470,原始数据_收盘!$A$4:$G$3460,3,0),"")</f>
        <v>3.755</v>
      </c>
      <c r="D3470">
        <f>IFERROR(VLOOKUP($A3470,原始数据_收盘!$A$4:$G$3460,4,0),"")</f>
        <v>3.4696</v>
      </c>
      <c r="E3470">
        <f>IFERROR(VLOOKUP($A3470,原始数据_收盘!$A$4:$G$3460,5,0),"")</f>
        <v>3.76</v>
      </c>
      <c r="F3470">
        <f>IFERROR(VLOOKUP($A3470,原始数据_收盘!$A$4:$G$3460,6,0),"")</f>
        <v>3.4684</v>
      </c>
      <c r="G3470">
        <f>IFERROR(VLOOKUP($A3470,原始数据_收盘!$A$4:$G$3460,7,0),"")</f>
        <v>3.7575</v>
      </c>
      <c r="H3470">
        <f>IFERROR(VLOOKUP($A3470,原始数据_利率互换_FR007_1年!$A$6:$C$4395,2,0),"")</f>
        <v>3.4568</v>
      </c>
      <c r="I3470">
        <f>IFERROR(VLOOKUP($A3470,原始数据_利率互换_FR007_1年!$A$6:$C$4395,3,0),"")</f>
        <v>3.7519</v>
      </c>
    </row>
    <row r="3471" spans="1:9">
      <c r="A3471" s="6">
        <v>42964</v>
      </c>
      <c r="B3471">
        <f>IFERROR(VLOOKUP($A3471,原始数据_收盘!$A$4:$G$3460,2,0),"")</f>
        <v>3.4728</v>
      </c>
      <c r="C3471">
        <f>IFERROR(VLOOKUP($A3471,原始数据_收盘!$A$4:$G$3460,3,0),"")</f>
        <v>3.7475</v>
      </c>
      <c r="D3471">
        <f>IFERROR(VLOOKUP($A3471,原始数据_收盘!$A$4:$G$3460,4,0),"")</f>
        <v>3.4756</v>
      </c>
      <c r="E3471">
        <f>IFERROR(VLOOKUP($A3471,原始数据_收盘!$A$4:$G$3460,5,0),"")</f>
        <v>3.75</v>
      </c>
      <c r="F3471">
        <f>IFERROR(VLOOKUP($A3471,原始数据_收盘!$A$4:$G$3460,6,0),"")</f>
        <v>3.4742</v>
      </c>
      <c r="G3471">
        <f>IFERROR(VLOOKUP($A3471,原始数据_收盘!$A$4:$G$3460,7,0),"")</f>
        <v>3.7488</v>
      </c>
      <c r="H3471">
        <f>IFERROR(VLOOKUP($A3471,原始数据_利率互换_FR007_1年!$A$6:$C$4395,2,0),"")</f>
        <v>3.479</v>
      </c>
      <c r="I3471">
        <f>IFERROR(VLOOKUP($A3471,原始数据_利率互换_FR007_1年!$A$6:$C$4395,3,0),"")</f>
        <v>3.7656</v>
      </c>
    </row>
    <row r="3472" spans="1:9">
      <c r="A3472" s="6">
        <v>42965</v>
      </c>
      <c r="B3472">
        <f>IFERROR(VLOOKUP($A3472,原始数据_收盘!$A$4:$G$3460,2,0),"")</f>
        <v>3.4572</v>
      </c>
      <c r="C3472">
        <f>IFERROR(VLOOKUP($A3472,原始数据_收盘!$A$4:$G$3460,3,0),"")</f>
        <v>3.745</v>
      </c>
      <c r="D3472">
        <f>IFERROR(VLOOKUP($A3472,原始数据_收盘!$A$4:$G$3460,4,0),"")</f>
        <v>3.46</v>
      </c>
      <c r="E3472">
        <f>IFERROR(VLOOKUP($A3472,原始数据_收盘!$A$4:$G$3460,5,0),"")</f>
        <v>3.7505</v>
      </c>
      <c r="F3472">
        <f>IFERROR(VLOOKUP($A3472,原始数据_收盘!$A$4:$G$3460,6,0),"")</f>
        <v>3.4586</v>
      </c>
      <c r="G3472">
        <f>IFERROR(VLOOKUP($A3472,原始数据_收盘!$A$4:$G$3460,7,0),"")</f>
        <v>3.7478</v>
      </c>
      <c r="H3472">
        <f>IFERROR(VLOOKUP($A3472,原始数据_利率互换_FR007_1年!$A$6:$C$4395,2,0),"")</f>
        <v>3.4579</v>
      </c>
      <c r="I3472">
        <f>IFERROR(VLOOKUP($A3472,原始数据_利率互换_FR007_1年!$A$6:$C$4395,3,0),"")</f>
        <v>3.7381</v>
      </c>
    </row>
    <row r="3473" spans="1:9">
      <c r="A3473" s="6">
        <v>42966</v>
      </c>
      <c r="B3473" t="str">
        <f>IFERROR(VLOOKUP($A3473,原始数据_收盘!$A$4:$G$3460,2,0),"")</f>
        <v/>
      </c>
      <c r="C3473" t="str">
        <f>IFERROR(VLOOKUP($A3473,原始数据_收盘!$A$4:$G$3460,3,0),"")</f>
        <v/>
      </c>
      <c r="D3473" t="str">
        <f>IFERROR(VLOOKUP($A3473,原始数据_收盘!$A$4:$G$3460,4,0),"")</f>
        <v/>
      </c>
      <c r="E3473" t="str">
        <f>IFERROR(VLOOKUP($A3473,原始数据_收盘!$A$4:$G$3460,5,0),"")</f>
        <v/>
      </c>
      <c r="F3473" t="str">
        <f>IFERROR(VLOOKUP($A3473,原始数据_收盘!$A$4:$G$3460,6,0),"")</f>
        <v/>
      </c>
      <c r="G3473" t="str">
        <f>IFERROR(VLOOKUP($A3473,原始数据_收盘!$A$4:$G$3460,7,0),"")</f>
        <v/>
      </c>
      <c r="H3473" t="str">
        <f>IFERROR(VLOOKUP($A3473,原始数据_利率互换_FR007_1年!$A$6:$C$4395,2,0),"")</f>
        <v/>
      </c>
      <c r="I3473" t="str">
        <f>IFERROR(VLOOKUP($A3473,原始数据_利率互换_FR007_1年!$A$6:$C$4395,3,0),"")</f>
        <v/>
      </c>
    </row>
    <row r="3474" spans="1:9">
      <c r="A3474" s="6">
        <v>42967</v>
      </c>
      <c r="B3474" t="str">
        <f>IFERROR(VLOOKUP($A3474,原始数据_收盘!$A$4:$G$3460,2,0),"")</f>
        <v/>
      </c>
      <c r="C3474" t="str">
        <f>IFERROR(VLOOKUP($A3474,原始数据_收盘!$A$4:$G$3460,3,0),"")</f>
        <v/>
      </c>
      <c r="D3474" t="str">
        <f>IFERROR(VLOOKUP($A3474,原始数据_收盘!$A$4:$G$3460,4,0),"")</f>
        <v/>
      </c>
      <c r="E3474" t="str">
        <f>IFERROR(VLOOKUP($A3474,原始数据_收盘!$A$4:$G$3460,5,0),"")</f>
        <v/>
      </c>
      <c r="F3474" t="str">
        <f>IFERROR(VLOOKUP($A3474,原始数据_收盘!$A$4:$G$3460,6,0),"")</f>
        <v/>
      </c>
      <c r="G3474" t="str">
        <f>IFERROR(VLOOKUP($A3474,原始数据_收盘!$A$4:$G$3460,7,0),"")</f>
        <v/>
      </c>
      <c r="H3474" t="str">
        <f>IFERROR(VLOOKUP($A3474,原始数据_利率互换_FR007_1年!$A$6:$C$4395,2,0),"")</f>
        <v/>
      </c>
      <c r="I3474" t="str">
        <f>IFERROR(VLOOKUP($A3474,原始数据_利率互换_FR007_1年!$A$6:$C$4395,3,0),"")</f>
        <v/>
      </c>
    </row>
    <row r="3475" spans="1:9">
      <c r="A3475" s="6">
        <v>42968</v>
      </c>
      <c r="B3475">
        <f>IFERROR(VLOOKUP($A3475,原始数据_收盘!$A$4:$G$3460,2,0),"")</f>
        <v>3.47</v>
      </c>
      <c r="C3475">
        <f>IFERROR(VLOOKUP($A3475,原始数据_收盘!$A$4:$G$3460,3,0),"")</f>
        <v>3.765</v>
      </c>
      <c r="D3475">
        <f>IFERROR(VLOOKUP($A3475,原始数据_收盘!$A$4:$G$3460,4,0),"")</f>
        <v>3.4725</v>
      </c>
      <c r="E3475">
        <f>IFERROR(VLOOKUP($A3475,原始数据_收盘!$A$4:$G$3460,5,0),"")</f>
        <v>3.77</v>
      </c>
      <c r="F3475">
        <f>IFERROR(VLOOKUP($A3475,原始数据_收盘!$A$4:$G$3460,6,0),"")</f>
        <v>3.4713</v>
      </c>
      <c r="G3475">
        <f>IFERROR(VLOOKUP($A3475,原始数据_收盘!$A$4:$G$3460,7,0),"")</f>
        <v>3.7675</v>
      </c>
      <c r="H3475">
        <f>IFERROR(VLOOKUP($A3475,原始数据_利率互换_FR007_1年!$A$6:$C$4395,2,0),"")</f>
        <v>3.4683</v>
      </c>
      <c r="I3475">
        <f>IFERROR(VLOOKUP($A3475,原始数据_利率互换_FR007_1年!$A$6:$C$4395,3,0),"")</f>
        <v>3.759</v>
      </c>
    </row>
    <row r="3476" spans="1:9">
      <c r="A3476" s="6">
        <v>42969</v>
      </c>
      <c r="B3476">
        <f>IFERROR(VLOOKUP($A3476,原始数据_收盘!$A$4:$G$3460,2,0),"")</f>
        <v>3.48</v>
      </c>
      <c r="C3476">
        <f>IFERROR(VLOOKUP($A3476,原始数据_收盘!$A$4:$G$3460,3,0),"")</f>
        <v>3.77</v>
      </c>
      <c r="D3476">
        <f>IFERROR(VLOOKUP($A3476,原始数据_收盘!$A$4:$G$3460,4,0),"")</f>
        <v>3.4875</v>
      </c>
      <c r="E3476">
        <f>IFERROR(VLOOKUP($A3476,原始数据_收盘!$A$4:$G$3460,5,0),"")</f>
        <v>3.775</v>
      </c>
      <c r="F3476">
        <f>IFERROR(VLOOKUP($A3476,原始数据_收盘!$A$4:$G$3460,6,0),"")</f>
        <v>3.4838</v>
      </c>
      <c r="G3476">
        <f>IFERROR(VLOOKUP($A3476,原始数据_收盘!$A$4:$G$3460,7,0),"")</f>
        <v>3.7725</v>
      </c>
      <c r="H3476">
        <f>IFERROR(VLOOKUP($A3476,原始数据_利率互换_FR007_1年!$A$6:$C$4395,2,0),"")</f>
        <v>3.4869</v>
      </c>
      <c r="I3476">
        <f>IFERROR(VLOOKUP($A3476,原始数据_利率互换_FR007_1年!$A$6:$C$4395,3,0),"")</f>
        <v>3.7759</v>
      </c>
    </row>
    <row r="3477" spans="1:9">
      <c r="A3477" s="6">
        <v>42970</v>
      </c>
      <c r="B3477">
        <f>IFERROR(VLOOKUP($A3477,原始数据_收盘!$A$4:$G$3460,2,0),"")</f>
        <v>3.49</v>
      </c>
      <c r="C3477">
        <f>IFERROR(VLOOKUP($A3477,原始数据_收盘!$A$4:$G$3460,3,0),"")</f>
        <v>3.7775</v>
      </c>
      <c r="D3477">
        <f>IFERROR(VLOOKUP($A3477,原始数据_收盘!$A$4:$G$3460,4,0),"")</f>
        <v>3.4925</v>
      </c>
      <c r="E3477">
        <f>IFERROR(VLOOKUP($A3477,原始数据_收盘!$A$4:$G$3460,5,0),"")</f>
        <v>3.7825</v>
      </c>
      <c r="F3477">
        <f>IFERROR(VLOOKUP($A3477,原始数据_收盘!$A$4:$G$3460,6,0),"")</f>
        <v>3.4913</v>
      </c>
      <c r="G3477">
        <f>IFERROR(VLOOKUP($A3477,原始数据_收盘!$A$4:$G$3460,7,0),"")</f>
        <v>3.78</v>
      </c>
      <c r="H3477">
        <f>IFERROR(VLOOKUP($A3477,原始数据_利率互换_FR007_1年!$A$6:$C$4395,2,0),"")</f>
        <v>3.4854</v>
      </c>
      <c r="I3477">
        <f>IFERROR(VLOOKUP($A3477,原始数据_利率互换_FR007_1年!$A$6:$C$4395,3,0),"")</f>
        <v>3.77</v>
      </c>
    </row>
    <row r="3478" spans="1:9">
      <c r="A3478" s="6">
        <v>42971</v>
      </c>
      <c r="B3478">
        <f>IFERROR(VLOOKUP($A3478,原始数据_收盘!$A$4:$G$3460,2,0),"")</f>
        <v>3.4925</v>
      </c>
      <c r="C3478">
        <f>IFERROR(VLOOKUP($A3478,原始数据_收盘!$A$4:$G$3460,3,0),"")</f>
        <v>3.78</v>
      </c>
      <c r="D3478">
        <f>IFERROR(VLOOKUP($A3478,原始数据_收盘!$A$4:$G$3460,4,0),"")</f>
        <v>3.5</v>
      </c>
      <c r="E3478">
        <f>IFERROR(VLOOKUP($A3478,原始数据_收盘!$A$4:$G$3460,5,0),"")</f>
        <v>3.785</v>
      </c>
      <c r="F3478">
        <f>IFERROR(VLOOKUP($A3478,原始数据_收盘!$A$4:$G$3460,6,0),"")</f>
        <v>3.4963</v>
      </c>
      <c r="G3478">
        <f>IFERROR(VLOOKUP($A3478,原始数据_收盘!$A$4:$G$3460,7,0),"")</f>
        <v>3.7825</v>
      </c>
      <c r="H3478">
        <f>IFERROR(VLOOKUP($A3478,原始数据_利率互换_FR007_1年!$A$6:$C$4395,2,0),"")</f>
        <v>3.5004</v>
      </c>
      <c r="I3478">
        <f>IFERROR(VLOOKUP($A3478,原始数据_利率互换_FR007_1年!$A$6:$C$4395,3,0),"")</f>
        <v>3.7816</v>
      </c>
    </row>
    <row r="3479" spans="1:9">
      <c r="A3479" s="6">
        <v>42972</v>
      </c>
      <c r="B3479">
        <f>IFERROR(VLOOKUP($A3479,原始数据_收盘!$A$4:$G$3460,2,0),"")</f>
        <v>3.4946</v>
      </c>
      <c r="C3479">
        <f>IFERROR(VLOOKUP($A3479,原始数据_收盘!$A$4:$G$3460,3,0),"")</f>
        <v>3.7907</v>
      </c>
      <c r="D3479">
        <f>IFERROR(VLOOKUP($A3479,原始数据_收盘!$A$4:$G$3460,4,0),"")</f>
        <v>3.4986</v>
      </c>
      <c r="E3479">
        <f>IFERROR(VLOOKUP($A3479,原始数据_收盘!$A$4:$G$3460,5,0),"")</f>
        <v>3.7943</v>
      </c>
      <c r="F3479">
        <f>IFERROR(VLOOKUP($A3479,原始数据_收盘!$A$4:$G$3460,6,0),"")</f>
        <v>3.4966</v>
      </c>
      <c r="G3479">
        <f>IFERROR(VLOOKUP($A3479,原始数据_收盘!$A$4:$G$3460,7,0),"")</f>
        <v>3.7925</v>
      </c>
      <c r="H3479">
        <f>IFERROR(VLOOKUP($A3479,原始数据_利率互换_FR007_1年!$A$6:$C$4395,2,0),"")</f>
        <v>3.4963</v>
      </c>
      <c r="I3479">
        <f>IFERROR(VLOOKUP($A3479,原始数据_利率互换_FR007_1年!$A$6:$C$4395,3,0),"")</f>
        <v>3.7887</v>
      </c>
    </row>
    <row r="3480" spans="1:9">
      <c r="A3480" s="6">
        <v>42973</v>
      </c>
      <c r="B3480" t="str">
        <f>IFERROR(VLOOKUP($A3480,原始数据_收盘!$A$4:$G$3460,2,0),"")</f>
        <v/>
      </c>
      <c r="C3480" t="str">
        <f>IFERROR(VLOOKUP($A3480,原始数据_收盘!$A$4:$G$3460,3,0),"")</f>
        <v/>
      </c>
      <c r="D3480" t="str">
        <f>IFERROR(VLOOKUP($A3480,原始数据_收盘!$A$4:$G$3460,4,0),"")</f>
        <v/>
      </c>
      <c r="E3480" t="str">
        <f>IFERROR(VLOOKUP($A3480,原始数据_收盘!$A$4:$G$3460,5,0),"")</f>
        <v/>
      </c>
      <c r="F3480" t="str">
        <f>IFERROR(VLOOKUP($A3480,原始数据_收盘!$A$4:$G$3460,6,0),"")</f>
        <v/>
      </c>
      <c r="G3480" t="str">
        <f>IFERROR(VLOOKUP($A3480,原始数据_收盘!$A$4:$G$3460,7,0),"")</f>
        <v/>
      </c>
      <c r="H3480" t="str">
        <f>IFERROR(VLOOKUP($A3480,原始数据_利率互换_FR007_1年!$A$6:$C$4395,2,0),"")</f>
        <v/>
      </c>
      <c r="I3480" t="str">
        <f>IFERROR(VLOOKUP($A3480,原始数据_利率互换_FR007_1年!$A$6:$C$4395,3,0),"")</f>
        <v/>
      </c>
    </row>
    <row r="3481" spans="1:9">
      <c r="A3481" s="6">
        <v>42974</v>
      </c>
      <c r="B3481" t="str">
        <f>IFERROR(VLOOKUP($A3481,原始数据_收盘!$A$4:$G$3460,2,0),"")</f>
        <v/>
      </c>
      <c r="C3481" t="str">
        <f>IFERROR(VLOOKUP($A3481,原始数据_收盘!$A$4:$G$3460,3,0),"")</f>
        <v/>
      </c>
      <c r="D3481" t="str">
        <f>IFERROR(VLOOKUP($A3481,原始数据_收盘!$A$4:$G$3460,4,0),"")</f>
        <v/>
      </c>
      <c r="E3481" t="str">
        <f>IFERROR(VLOOKUP($A3481,原始数据_收盘!$A$4:$G$3460,5,0),"")</f>
        <v/>
      </c>
      <c r="F3481" t="str">
        <f>IFERROR(VLOOKUP($A3481,原始数据_收盘!$A$4:$G$3460,6,0),"")</f>
        <v/>
      </c>
      <c r="G3481" t="str">
        <f>IFERROR(VLOOKUP($A3481,原始数据_收盘!$A$4:$G$3460,7,0),"")</f>
        <v/>
      </c>
      <c r="H3481" t="str">
        <f>IFERROR(VLOOKUP($A3481,原始数据_利率互换_FR007_1年!$A$6:$C$4395,2,0),"")</f>
        <v/>
      </c>
      <c r="I3481" t="str">
        <f>IFERROR(VLOOKUP($A3481,原始数据_利率互换_FR007_1年!$A$6:$C$4395,3,0),"")</f>
        <v/>
      </c>
    </row>
    <row r="3482" spans="1:9">
      <c r="A3482" s="6">
        <v>42975</v>
      </c>
      <c r="B3482">
        <f>IFERROR(VLOOKUP($A3482,原始数据_收盘!$A$4:$G$3460,2,0),"")</f>
        <v>3.5538</v>
      </c>
      <c r="C3482">
        <f>IFERROR(VLOOKUP($A3482,原始数据_收盘!$A$4:$G$3460,3,0),"")</f>
        <v>3.8524</v>
      </c>
      <c r="D3482">
        <f>IFERROR(VLOOKUP($A3482,原始数据_收盘!$A$4:$G$3460,4,0),"")</f>
        <v>3.5581</v>
      </c>
      <c r="E3482">
        <f>IFERROR(VLOOKUP($A3482,原始数据_收盘!$A$4:$G$3460,5,0),"")</f>
        <v>3.8597</v>
      </c>
      <c r="F3482">
        <f>IFERROR(VLOOKUP($A3482,原始数据_收盘!$A$4:$G$3460,6,0),"")</f>
        <v>3.5559</v>
      </c>
      <c r="G3482">
        <f>IFERROR(VLOOKUP($A3482,原始数据_收盘!$A$4:$G$3460,7,0),"")</f>
        <v>3.856</v>
      </c>
      <c r="H3482">
        <f>IFERROR(VLOOKUP($A3482,原始数据_利率互换_FR007_1年!$A$6:$C$4395,2,0),"")</f>
        <v>3.5232</v>
      </c>
      <c r="I3482">
        <f>IFERROR(VLOOKUP($A3482,原始数据_利率互换_FR007_1年!$A$6:$C$4395,3,0),"")</f>
        <v>3.8189</v>
      </c>
    </row>
    <row r="3483" spans="1:9">
      <c r="A3483" s="6">
        <v>42976</v>
      </c>
      <c r="B3483">
        <f>IFERROR(VLOOKUP($A3483,原始数据_收盘!$A$4:$G$3460,2,0),"")</f>
        <v>3.55</v>
      </c>
      <c r="C3483">
        <f>IFERROR(VLOOKUP($A3483,原始数据_收盘!$A$4:$G$3460,3,0),"")</f>
        <v>3.845</v>
      </c>
      <c r="D3483">
        <f>IFERROR(VLOOKUP($A3483,原始数据_收盘!$A$4:$G$3460,4,0),"")</f>
        <v>3.56</v>
      </c>
      <c r="E3483">
        <f>IFERROR(VLOOKUP($A3483,原始数据_收盘!$A$4:$G$3460,5,0),"")</f>
        <v>3.85</v>
      </c>
      <c r="F3483">
        <f>IFERROR(VLOOKUP($A3483,原始数据_收盘!$A$4:$G$3460,6,0),"")</f>
        <v>3.555</v>
      </c>
      <c r="G3483">
        <f>IFERROR(VLOOKUP($A3483,原始数据_收盘!$A$4:$G$3460,7,0),"")</f>
        <v>3.8475</v>
      </c>
      <c r="H3483">
        <f>IFERROR(VLOOKUP($A3483,原始数据_利率互换_FR007_1年!$A$6:$C$4395,2,0),"")</f>
        <v>3.5638</v>
      </c>
      <c r="I3483">
        <f>IFERROR(VLOOKUP($A3483,原始数据_利率互换_FR007_1年!$A$6:$C$4395,3,0),"")</f>
        <v>3.8601</v>
      </c>
    </row>
    <row r="3484" spans="1:9">
      <c r="A3484" s="6">
        <v>42977</v>
      </c>
      <c r="B3484">
        <f>IFERROR(VLOOKUP($A3484,原始数据_收盘!$A$4:$G$3460,2,0),"")</f>
        <v>3.55</v>
      </c>
      <c r="C3484">
        <f>IFERROR(VLOOKUP($A3484,原始数据_收盘!$A$4:$G$3460,3,0),"")</f>
        <v>3.85</v>
      </c>
      <c r="D3484">
        <f>IFERROR(VLOOKUP($A3484,原始数据_收盘!$A$4:$G$3460,4,0),"")</f>
        <v>3.5525</v>
      </c>
      <c r="E3484">
        <f>IFERROR(VLOOKUP($A3484,原始数据_收盘!$A$4:$G$3460,5,0),"")</f>
        <v>3.8525</v>
      </c>
      <c r="F3484">
        <f>IFERROR(VLOOKUP($A3484,原始数据_收盘!$A$4:$G$3460,6,0),"")</f>
        <v>3.5513</v>
      </c>
      <c r="G3484">
        <f>IFERROR(VLOOKUP($A3484,原始数据_收盘!$A$4:$G$3460,7,0),"")</f>
        <v>3.8513</v>
      </c>
      <c r="H3484">
        <f>IFERROR(VLOOKUP($A3484,原始数据_利率互换_FR007_1年!$A$6:$C$4395,2,0),"")</f>
        <v>3.5619</v>
      </c>
      <c r="I3484">
        <f>IFERROR(VLOOKUP($A3484,原始数据_利率互换_FR007_1年!$A$6:$C$4395,3,0),"")</f>
        <v>3.859</v>
      </c>
    </row>
    <row r="3485" spans="1:9">
      <c r="A3485" s="6">
        <v>42978</v>
      </c>
      <c r="B3485">
        <f>IFERROR(VLOOKUP($A3485,原始数据_收盘!$A$4:$G$3460,2,0),"")</f>
        <v>3.54</v>
      </c>
      <c r="C3485">
        <f>IFERROR(VLOOKUP($A3485,原始数据_收盘!$A$4:$G$3460,3,0),"")</f>
        <v>3.84</v>
      </c>
      <c r="D3485">
        <f>IFERROR(VLOOKUP($A3485,原始数据_收盘!$A$4:$G$3460,4,0),"")</f>
        <v>3.5475</v>
      </c>
      <c r="E3485">
        <f>IFERROR(VLOOKUP($A3485,原始数据_收盘!$A$4:$G$3460,5,0),"")</f>
        <v>3.845</v>
      </c>
      <c r="F3485">
        <f>IFERROR(VLOOKUP($A3485,原始数据_收盘!$A$4:$G$3460,6,0),"")</f>
        <v>3.5438</v>
      </c>
      <c r="G3485">
        <f>IFERROR(VLOOKUP($A3485,原始数据_收盘!$A$4:$G$3460,7,0),"")</f>
        <v>3.8425</v>
      </c>
      <c r="H3485">
        <f>IFERROR(VLOOKUP($A3485,原始数据_利率互换_FR007_1年!$A$6:$C$4395,2,0),"")</f>
        <v>3.5474</v>
      </c>
      <c r="I3485">
        <f>IFERROR(VLOOKUP($A3485,原始数据_利率互换_FR007_1年!$A$6:$C$4395,3,0),"")</f>
        <v>3.8526</v>
      </c>
    </row>
    <row r="3486" spans="1:9">
      <c r="A3486" s="6">
        <v>42979</v>
      </c>
      <c r="B3486">
        <f>IFERROR(VLOOKUP($A3486,原始数据_收盘!$A$4:$G$3460,2,0),"")</f>
        <v>3.5475</v>
      </c>
      <c r="C3486">
        <f>IFERROR(VLOOKUP($A3486,原始数据_收盘!$A$4:$G$3460,3,0),"")</f>
        <v>3.8623</v>
      </c>
      <c r="D3486">
        <f>IFERROR(VLOOKUP($A3486,原始数据_收盘!$A$4:$G$3460,4,0),"")</f>
        <v>3.5625</v>
      </c>
      <c r="E3486">
        <f>IFERROR(VLOOKUP($A3486,原始数据_收盘!$A$4:$G$3460,5,0),"")</f>
        <v>3.8712</v>
      </c>
      <c r="F3486">
        <f>IFERROR(VLOOKUP($A3486,原始数据_收盘!$A$4:$G$3460,6,0),"")</f>
        <v>3.555</v>
      </c>
      <c r="G3486">
        <f>IFERROR(VLOOKUP($A3486,原始数据_收盘!$A$4:$G$3460,7,0),"")</f>
        <v>3.8668</v>
      </c>
      <c r="H3486">
        <f>IFERROR(VLOOKUP($A3486,原始数据_利率互换_FR007_1年!$A$6:$C$4395,2,0),"")</f>
        <v>3.5503</v>
      </c>
      <c r="I3486">
        <f>IFERROR(VLOOKUP($A3486,原始数据_利率互换_FR007_1年!$A$6:$C$4395,3,0),"")</f>
        <v>3.8606</v>
      </c>
    </row>
    <row r="3487" spans="1:9">
      <c r="A3487" s="6">
        <v>42980</v>
      </c>
      <c r="B3487" t="str">
        <f>IFERROR(VLOOKUP($A3487,原始数据_收盘!$A$4:$G$3460,2,0),"")</f>
        <v/>
      </c>
      <c r="C3487" t="str">
        <f>IFERROR(VLOOKUP($A3487,原始数据_收盘!$A$4:$G$3460,3,0),"")</f>
        <v/>
      </c>
      <c r="D3487" t="str">
        <f>IFERROR(VLOOKUP($A3487,原始数据_收盘!$A$4:$G$3460,4,0),"")</f>
        <v/>
      </c>
      <c r="E3487" t="str">
        <f>IFERROR(VLOOKUP($A3487,原始数据_收盘!$A$4:$G$3460,5,0),"")</f>
        <v/>
      </c>
      <c r="F3487" t="str">
        <f>IFERROR(VLOOKUP($A3487,原始数据_收盘!$A$4:$G$3460,6,0),"")</f>
        <v/>
      </c>
      <c r="G3487" t="str">
        <f>IFERROR(VLOOKUP($A3487,原始数据_收盘!$A$4:$G$3460,7,0),"")</f>
        <v/>
      </c>
      <c r="H3487" t="str">
        <f>IFERROR(VLOOKUP($A3487,原始数据_利率互换_FR007_1年!$A$6:$C$4395,2,0),"")</f>
        <v/>
      </c>
      <c r="I3487" t="str">
        <f>IFERROR(VLOOKUP($A3487,原始数据_利率互换_FR007_1年!$A$6:$C$4395,3,0),"")</f>
        <v/>
      </c>
    </row>
    <row r="3488" spans="1:9">
      <c r="A3488" s="6">
        <v>42981</v>
      </c>
      <c r="B3488" t="str">
        <f>IFERROR(VLOOKUP($A3488,原始数据_收盘!$A$4:$G$3460,2,0),"")</f>
        <v/>
      </c>
      <c r="C3488" t="str">
        <f>IFERROR(VLOOKUP($A3488,原始数据_收盘!$A$4:$G$3460,3,0),"")</f>
        <v/>
      </c>
      <c r="D3488" t="str">
        <f>IFERROR(VLOOKUP($A3488,原始数据_收盘!$A$4:$G$3460,4,0),"")</f>
        <v/>
      </c>
      <c r="E3488" t="str">
        <f>IFERROR(VLOOKUP($A3488,原始数据_收盘!$A$4:$G$3460,5,0),"")</f>
        <v/>
      </c>
      <c r="F3488" t="str">
        <f>IFERROR(VLOOKUP($A3488,原始数据_收盘!$A$4:$G$3460,6,0),"")</f>
        <v/>
      </c>
      <c r="G3488" t="str">
        <f>IFERROR(VLOOKUP($A3488,原始数据_收盘!$A$4:$G$3460,7,0),"")</f>
        <v/>
      </c>
      <c r="H3488" t="str">
        <f>IFERROR(VLOOKUP($A3488,原始数据_利率互换_FR007_1年!$A$6:$C$4395,2,0),"")</f>
        <v/>
      </c>
      <c r="I3488" t="str">
        <f>IFERROR(VLOOKUP($A3488,原始数据_利率互换_FR007_1年!$A$6:$C$4395,3,0),"")</f>
        <v/>
      </c>
    </row>
    <row r="3489" spans="1:9">
      <c r="A3489" s="6">
        <v>42982</v>
      </c>
      <c r="B3489">
        <f>IFERROR(VLOOKUP($A3489,原始数据_收盘!$A$4:$G$3460,2,0),"")</f>
        <v>3.5846</v>
      </c>
      <c r="C3489">
        <f>IFERROR(VLOOKUP($A3489,原始数据_收盘!$A$4:$G$3460,3,0),"")</f>
        <v>3.8962</v>
      </c>
      <c r="D3489">
        <f>IFERROR(VLOOKUP($A3489,原始数据_收盘!$A$4:$G$3460,4,0),"")</f>
        <v>3.5925</v>
      </c>
      <c r="E3489">
        <f>IFERROR(VLOOKUP($A3489,原始数据_收盘!$A$4:$G$3460,5,0),"")</f>
        <v>3.9025</v>
      </c>
      <c r="F3489">
        <f>IFERROR(VLOOKUP($A3489,原始数据_收盘!$A$4:$G$3460,6,0),"")</f>
        <v>3.5885</v>
      </c>
      <c r="G3489">
        <f>IFERROR(VLOOKUP($A3489,原始数据_收盘!$A$4:$G$3460,7,0),"")</f>
        <v>3.8994</v>
      </c>
      <c r="H3489">
        <f>IFERROR(VLOOKUP($A3489,原始数据_利率互换_FR007_1年!$A$6:$C$4395,2,0),"")</f>
        <v>3.5828</v>
      </c>
      <c r="I3489">
        <f>IFERROR(VLOOKUP($A3489,原始数据_利率互换_FR007_1年!$A$6:$C$4395,3,0),"")</f>
        <v>3.886</v>
      </c>
    </row>
    <row r="3490" spans="1:9">
      <c r="A3490" s="6">
        <v>42983</v>
      </c>
      <c r="B3490">
        <f>IFERROR(VLOOKUP($A3490,原始数据_收盘!$A$4:$G$3460,2,0),"")</f>
        <v>3.5975</v>
      </c>
      <c r="C3490">
        <f>IFERROR(VLOOKUP($A3490,原始数据_收盘!$A$4:$G$3460,3,0),"")</f>
        <v>3.915</v>
      </c>
      <c r="D3490">
        <f>IFERROR(VLOOKUP($A3490,原始数据_收盘!$A$4:$G$3460,4,0),"")</f>
        <v>3.6025</v>
      </c>
      <c r="E3490">
        <f>IFERROR(VLOOKUP($A3490,原始数据_收盘!$A$4:$G$3460,5,0),"")</f>
        <v>3.92</v>
      </c>
      <c r="F3490">
        <f>IFERROR(VLOOKUP($A3490,原始数据_收盘!$A$4:$G$3460,6,0),"")</f>
        <v>3.6</v>
      </c>
      <c r="G3490">
        <f>IFERROR(VLOOKUP($A3490,原始数据_收盘!$A$4:$G$3460,7,0),"")</f>
        <v>3.9175</v>
      </c>
      <c r="H3490">
        <f>IFERROR(VLOOKUP($A3490,原始数据_利率互换_FR007_1年!$A$6:$C$4395,2,0),"")</f>
        <v>3.5987</v>
      </c>
      <c r="I3490">
        <f>IFERROR(VLOOKUP($A3490,原始数据_利率互换_FR007_1年!$A$6:$C$4395,3,0),"")</f>
        <v>3.911</v>
      </c>
    </row>
    <row r="3491" spans="1:9">
      <c r="A3491" s="6">
        <v>42984</v>
      </c>
      <c r="B3491">
        <f>IFERROR(VLOOKUP($A3491,原始数据_收盘!$A$4:$G$3460,2,0),"")</f>
        <v>3.5525</v>
      </c>
      <c r="C3491">
        <f>IFERROR(VLOOKUP($A3491,原始数据_收盘!$A$4:$G$3460,3,0),"")</f>
        <v>3.8725</v>
      </c>
      <c r="D3491">
        <f>IFERROR(VLOOKUP($A3491,原始数据_收盘!$A$4:$G$3460,4,0),"")</f>
        <v>3.555</v>
      </c>
      <c r="E3491">
        <f>IFERROR(VLOOKUP($A3491,原始数据_收盘!$A$4:$G$3460,5,0),"")</f>
        <v>3.8751</v>
      </c>
      <c r="F3491">
        <f>IFERROR(VLOOKUP($A3491,原始数据_收盘!$A$4:$G$3460,6,0),"")</f>
        <v>3.5538</v>
      </c>
      <c r="G3491">
        <f>IFERROR(VLOOKUP($A3491,原始数据_收盘!$A$4:$G$3460,7,0),"")</f>
        <v>3.8738</v>
      </c>
      <c r="H3491">
        <f>IFERROR(VLOOKUP($A3491,原始数据_利率互换_FR007_1年!$A$6:$C$4395,2,0),"")</f>
        <v>3.5708</v>
      </c>
      <c r="I3491">
        <f>IFERROR(VLOOKUP($A3491,原始数据_利率互换_FR007_1年!$A$6:$C$4395,3,0),"")</f>
        <v>3.8895</v>
      </c>
    </row>
    <row r="3492" spans="1:9">
      <c r="A3492" s="6">
        <v>42985</v>
      </c>
      <c r="B3492">
        <f>IFERROR(VLOOKUP($A3492,原始数据_收盘!$A$4:$G$3460,2,0),"")</f>
        <v>3.4939</v>
      </c>
      <c r="C3492">
        <f>IFERROR(VLOOKUP($A3492,原始数据_收盘!$A$4:$G$3460,3,0),"")</f>
        <v>3.82</v>
      </c>
      <c r="D3492">
        <f>IFERROR(VLOOKUP($A3492,原始数据_收盘!$A$4:$G$3460,4,0),"")</f>
        <v>3.5001</v>
      </c>
      <c r="E3492">
        <f>IFERROR(VLOOKUP($A3492,原始数据_收盘!$A$4:$G$3460,5,0),"")</f>
        <v>3.8225</v>
      </c>
      <c r="F3492">
        <f>IFERROR(VLOOKUP($A3492,原始数据_收盘!$A$4:$G$3460,6,0),"")</f>
        <v>3.497</v>
      </c>
      <c r="G3492">
        <f>IFERROR(VLOOKUP($A3492,原始数据_收盘!$A$4:$G$3460,7,0),"")</f>
        <v>3.8213</v>
      </c>
      <c r="H3492">
        <f>IFERROR(VLOOKUP($A3492,原始数据_利率互换_FR007_1年!$A$6:$C$4395,2,0),"")</f>
        <v>3.5263</v>
      </c>
      <c r="I3492">
        <f>IFERROR(VLOOKUP($A3492,原始数据_利率互换_FR007_1年!$A$6:$C$4395,3,0),"")</f>
        <v>3.8472</v>
      </c>
    </row>
    <row r="3493" spans="1:9">
      <c r="A3493" s="6">
        <v>42986</v>
      </c>
      <c r="B3493">
        <f>IFERROR(VLOOKUP($A3493,原始数据_收盘!$A$4:$G$3460,2,0),"")</f>
        <v>3.46</v>
      </c>
      <c r="C3493">
        <f>IFERROR(VLOOKUP($A3493,原始数据_收盘!$A$4:$G$3460,3,0),"")</f>
        <v>3.7775</v>
      </c>
      <c r="D3493">
        <f>IFERROR(VLOOKUP($A3493,原始数据_收盘!$A$4:$G$3460,4,0),"")</f>
        <v>3.4675</v>
      </c>
      <c r="E3493">
        <f>IFERROR(VLOOKUP($A3493,原始数据_收盘!$A$4:$G$3460,5,0),"")</f>
        <v>3.78</v>
      </c>
      <c r="F3493">
        <f>IFERROR(VLOOKUP($A3493,原始数据_收盘!$A$4:$G$3460,6,0),"")</f>
        <v>3.4638</v>
      </c>
      <c r="G3493">
        <f>IFERROR(VLOOKUP($A3493,原始数据_收盘!$A$4:$G$3460,7,0),"")</f>
        <v>3.7788</v>
      </c>
      <c r="H3493">
        <f>IFERROR(VLOOKUP($A3493,原始数据_利率互换_FR007_1年!$A$6:$C$4395,2,0),"")</f>
        <v>3.4758</v>
      </c>
      <c r="I3493">
        <f>IFERROR(VLOOKUP($A3493,原始数据_利率互换_FR007_1年!$A$6:$C$4395,3,0),"")</f>
        <v>3.7935</v>
      </c>
    </row>
    <row r="3494" spans="1:9">
      <c r="A3494" s="6">
        <v>42987</v>
      </c>
      <c r="B3494" t="str">
        <f>IFERROR(VLOOKUP($A3494,原始数据_收盘!$A$4:$G$3460,2,0),"")</f>
        <v/>
      </c>
      <c r="C3494" t="str">
        <f>IFERROR(VLOOKUP($A3494,原始数据_收盘!$A$4:$G$3460,3,0),"")</f>
        <v/>
      </c>
      <c r="D3494" t="str">
        <f>IFERROR(VLOOKUP($A3494,原始数据_收盘!$A$4:$G$3460,4,0),"")</f>
        <v/>
      </c>
      <c r="E3494" t="str">
        <f>IFERROR(VLOOKUP($A3494,原始数据_收盘!$A$4:$G$3460,5,0),"")</f>
        <v/>
      </c>
      <c r="F3494" t="str">
        <f>IFERROR(VLOOKUP($A3494,原始数据_收盘!$A$4:$G$3460,6,0),"")</f>
        <v/>
      </c>
      <c r="G3494" t="str">
        <f>IFERROR(VLOOKUP($A3494,原始数据_收盘!$A$4:$G$3460,7,0),"")</f>
        <v/>
      </c>
      <c r="H3494" t="str">
        <f>IFERROR(VLOOKUP($A3494,原始数据_利率互换_FR007_1年!$A$6:$C$4395,2,0),"")</f>
        <v/>
      </c>
      <c r="I3494" t="str">
        <f>IFERROR(VLOOKUP($A3494,原始数据_利率互换_FR007_1年!$A$6:$C$4395,3,0),"")</f>
        <v/>
      </c>
    </row>
    <row r="3495" spans="1:9">
      <c r="A3495" s="6">
        <v>42988</v>
      </c>
      <c r="B3495" t="str">
        <f>IFERROR(VLOOKUP($A3495,原始数据_收盘!$A$4:$G$3460,2,0),"")</f>
        <v/>
      </c>
      <c r="C3495" t="str">
        <f>IFERROR(VLOOKUP($A3495,原始数据_收盘!$A$4:$G$3460,3,0),"")</f>
        <v/>
      </c>
      <c r="D3495" t="str">
        <f>IFERROR(VLOOKUP($A3495,原始数据_收盘!$A$4:$G$3460,4,0),"")</f>
        <v/>
      </c>
      <c r="E3495" t="str">
        <f>IFERROR(VLOOKUP($A3495,原始数据_收盘!$A$4:$G$3460,5,0),"")</f>
        <v/>
      </c>
      <c r="F3495" t="str">
        <f>IFERROR(VLOOKUP($A3495,原始数据_收盘!$A$4:$G$3460,6,0),"")</f>
        <v/>
      </c>
      <c r="G3495" t="str">
        <f>IFERROR(VLOOKUP($A3495,原始数据_收盘!$A$4:$G$3460,7,0),"")</f>
        <v/>
      </c>
      <c r="H3495" t="str">
        <f>IFERROR(VLOOKUP($A3495,原始数据_利率互换_FR007_1年!$A$6:$C$4395,2,0),"")</f>
        <v/>
      </c>
      <c r="I3495" t="str">
        <f>IFERROR(VLOOKUP($A3495,原始数据_利率互换_FR007_1年!$A$6:$C$4395,3,0),"")</f>
        <v/>
      </c>
    </row>
    <row r="3496" spans="1:9">
      <c r="A3496" s="6">
        <v>42989</v>
      </c>
      <c r="B3496">
        <f>IFERROR(VLOOKUP($A3496,原始数据_收盘!$A$4:$G$3460,2,0),"")</f>
        <v>3.4925</v>
      </c>
      <c r="C3496">
        <f>IFERROR(VLOOKUP($A3496,原始数据_收盘!$A$4:$G$3460,3,0),"")</f>
        <v>3.8044</v>
      </c>
      <c r="D3496">
        <f>IFERROR(VLOOKUP($A3496,原始数据_收盘!$A$4:$G$3460,4,0),"")</f>
        <v>3.5</v>
      </c>
      <c r="E3496">
        <f>IFERROR(VLOOKUP($A3496,原始数据_收盘!$A$4:$G$3460,5,0),"")</f>
        <v>3.8125</v>
      </c>
      <c r="F3496">
        <f>IFERROR(VLOOKUP($A3496,原始数据_收盘!$A$4:$G$3460,6,0),"")</f>
        <v>3.4963</v>
      </c>
      <c r="G3496">
        <f>IFERROR(VLOOKUP($A3496,原始数据_收盘!$A$4:$G$3460,7,0),"")</f>
        <v>3.8085</v>
      </c>
      <c r="H3496">
        <f>IFERROR(VLOOKUP($A3496,原始数据_利率互换_FR007_1年!$A$6:$C$4395,2,0),"")</f>
        <v>3.491</v>
      </c>
      <c r="I3496">
        <f>IFERROR(VLOOKUP($A3496,原始数据_利率互换_FR007_1年!$A$6:$C$4395,3,0),"")</f>
        <v>3.7977</v>
      </c>
    </row>
    <row r="3497" spans="1:9">
      <c r="A3497" s="6">
        <v>42990</v>
      </c>
      <c r="B3497">
        <f>IFERROR(VLOOKUP($A3497,原始数据_收盘!$A$4:$G$3460,2,0),"")</f>
        <v>3.495</v>
      </c>
      <c r="C3497">
        <f>IFERROR(VLOOKUP($A3497,原始数据_收盘!$A$4:$G$3460,3,0),"")</f>
        <v>3.8025</v>
      </c>
      <c r="D3497">
        <f>IFERROR(VLOOKUP($A3497,原始数据_收盘!$A$4:$G$3460,4,0),"")</f>
        <v>3.5</v>
      </c>
      <c r="E3497">
        <f>IFERROR(VLOOKUP($A3497,原始数据_收盘!$A$4:$G$3460,5,0),"")</f>
        <v>3.8072</v>
      </c>
      <c r="F3497">
        <f>IFERROR(VLOOKUP($A3497,原始数据_收盘!$A$4:$G$3460,6,0),"")</f>
        <v>3.4975</v>
      </c>
      <c r="G3497">
        <f>IFERROR(VLOOKUP($A3497,原始数据_收盘!$A$4:$G$3460,7,0),"")</f>
        <v>3.8048</v>
      </c>
      <c r="H3497">
        <f>IFERROR(VLOOKUP($A3497,原始数据_利率互换_FR007_1年!$A$6:$C$4395,2,0),"")</f>
        <v>3.4956</v>
      </c>
      <c r="I3497">
        <f>IFERROR(VLOOKUP($A3497,原始数据_利率互换_FR007_1年!$A$6:$C$4395,3,0),"")</f>
        <v>3.8112</v>
      </c>
    </row>
    <row r="3498" spans="1:9">
      <c r="A3498" s="6">
        <v>42991</v>
      </c>
      <c r="B3498">
        <f>IFERROR(VLOOKUP($A3498,原始数据_收盘!$A$4:$G$3460,2,0),"")</f>
        <v>3.5225</v>
      </c>
      <c r="C3498">
        <f>IFERROR(VLOOKUP($A3498,原始数据_收盘!$A$4:$G$3460,3,0),"")</f>
        <v>3.82</v>
      </c>
      <c r="D3498">
        <f>IFERROR(VLOOKUP($A3498,原始数据_收盘!$A$4:$G$3460,4,0),"")</f>
        <v>3.5275</v>
      </c>
      <c r="E3498">
        <f>IFERROR(VLOOKUP($A3498,原始数据_收盘!$A$4:$G$3460,5,0),"")</f>
        <v>3.8262</v>
      </c>
      <c r="F3498">
        <f>IFERROR(VLOOKUP($A3498,原始数据_收盘!$A$4:$G$3460,6,0),"")</f>
        <v>3.525</v>
      </c>
      <c r="G3498">
        <f>IFERROR(VLOOKUP($A3498,原始数据_收盘!$A$4:$G$3460,7,0),"")</f>
        <v>3.8231</v>
      </c>
      <c r="H3498">
        <f>IFERROR(VLOOKUP($A3498,原始数据_利率互换_FR007_1年!$A$6:$C$4395,2,0),"")</f>
        <v>3.5139</v>
      </c>
      <c r="I3498">
        <f>IFERROR(VLOOKUP($A3498,原始数据_利率互换_FR007_1年!$A$6:$C$4395,3,0),"")</f>
        <v>3.8174</v>
      </c>
    </row>
    <row r="3499" spans="1:9">
      <c r="A3499" s="6">
        <v>42992</v>
      </c>
      <c r="B3499">
        <f>IFERROR(VLOOKUP($A3499,原始数据_收盘!$A$4:$G$3460,2,0),"")</f>
        <v>3.4975</v>
      </c>
      <c r="C3499">
        <f>IFERROR(VLOOKUP($A3499,原始数据_收盘!$A$4:$G$3460,3,0),"")</f>
        <v>3.785</v>
      </c>
      <c r="D3499">
        <f>IFERROR(VLOOKUP($A3499,原始数据_收盘!$A$4:$G$3460,4,0),"")</f>
        <v>3.5025</v>
      </c>
      <c r="E3499">
        <f>IFERROR(VLOOKUP($A3499,原始数据_收盘!$A$4:$G$3460,5,0),"")</f>
        <v>3.7876</v>
      </c>
      <c r="F3499">
        <f>IFERROR(VLOOKUP($A3499,原始数据_收盘!$A$4:$G$3460,6,0),"")</f>
        <v>3.5</v>
      </c>
      <c r="G3499">
        <f>IFERROR(VLOOKUP($A3499,原始数据_收盘!$A$4:$G$3460,7,0),"")</f>
        <v>3.7863</v>
      </c>
      <c r="H3499">
        <f>IFERROR(VLOOKUP($A3499,原始数据_利率互换_FR007_1年!$A$6:$C$4395,2,0),"")</f>
        <v>3.5125</v>
      </c>
      <c r="I3499">
        <f>IFERROR(VLOOKUP($A3499,原始数据_利率互换_FR007_1年!$A$6:$C$4395,3,0),"")</f>
        <v>3.7944</v>
      </c>
    </row>
    <row r="3500" spans="1:9">
      <c r="A3500" s="6">
        <v>42993</v>
      </c>
      <c r="B3500">
        <f>IFERROR(VLOOKUP($A3500,原始数据_收盘!$A$4:$G$3460,2,0),"")</f>
        <v>3.49</v>
      </c>
      <c r="C3500">
        <f>IFERROR(VLOOKUP($A3500,原始数据_收盘!$A$4:$G$3460,3,0),"")</f>
        <v>3.7769</v>
      </c>
      <c r="D3500">
        <f>IFERROR(VLOOKUP($A3500,原始数据_收盘!$A$4:$G$3460,4,0),"")</f>
        <v>3.5</v>
      </c>
      <c r="E3500">
        <f>IFERROR(VLOOKUP($A3500,原始数据_收盘!$A$4:$G$3460,5,0),"")</f>
        <v>3.7806</v>
      </c>
      <c r="F3500">
        <f>IFERROR(VLOOKUP($A3500,原始数据_收盘!$A$4:$G$3460,6,0),"")</f>
        <v>3.495</v>
      </c>
      <c r="G3500">
        <f>IFERROR(VLOOKUP($A3500,原始数据_收盘!$A$4:$G$3460,7,0),"")</f>
        <v>3.7788</v>
      </c>
      <c r="H3500">
        <f>IFERROR(VLOOKUP($A3500,原始数据_利率互换_FR007_1年!$A$6:$C$4395,2,0),"")</f>
        <v>3.4911</v>
      </c>
      <c r="I3500">
        <f>IFERROR(VLOOKUP($A3500,原始数据_利率互换_FR007_1年!$A$6:$C$4395,3,0),"")</f>
        <v>3.775</v>
      </c>
    </row>
    <row r="3501" spans="1:9">
      <c r="A3501" s="6">
        <v>42994</v>
      </c>
      <c r="B3501" t="str">
        <f>IFERROR(VLOOKUP($A3501,原始数据_收盘!$A$4:$G$3460,2,0),"")</f>
        <v/>
      </c>
      <c r="C3501" t="str">
        <f>IFERROR(VLOOKUP($A3501,原始数据_收盘!$A$4:$G$3460,3,0),"")</f>
        <v/>
      </c>
      <c r="D3501" t="str">
        <f>IFERROR(VLOOKUP($A3501,原始数据_收盘!$A$4:$G$3460,4,0),"")</f>
        <v/>
      </c>
      <c r="E3501" t="str">
        <f>IFERROR(VLOOKUP($A3501,原始数据_收盘!$A$4:$G$3460,5,0),"")</f>
        <v/>
      </c>
      <c r="F3501" t="str">
        <f>IFERROR(VLOOKUP($A3501,原始数据_收盘!$A$4:$G$3460,6,0),"")</f>
        <v/>
      </c>
      <c r="G3501" t="str">
        <f>IFERROR(VLOOKUP($A3501,原始数据_收盘!$A$4:$G$3460,7,0),"")</f>
        <v/>
      </c>
      <c r="H3501" t="str">
        <f>IFERROR(VLOOKUP($A3501,原始数据_利率互换_FR007_1年!$A$6:$C$4395,2,0),"")</f>
        <v/>
      </c>
      <c r="I3501" t="str">
        <f>IFERROR(VLOOKUP($A3501,原始数据_利率互换_FR007_1年!$A$6:$C$4395,3,0),"")</f>
        <v/>
      </c>
    </row>
    <row r="3502" spans="1:9">
      <c r="A3502" s="6">
        <v>42995</v>
      </c>
      <c r="B3502" t="str">
        <f>IFERROR(VLOOKUP($A3502,原始数据_收盘!$A$4:$G$3460,2,0),"")</f>
        <v/>
      </c>
      <c r="C3502" t="str">
        <f>IFERROR(VLOOKUP($A3502,原始数据_收盘!$A$4:$G$3460,3,0),"")</f>
        <v/>
      </c>
      <c r="D3502" t="str">
        <f>IFERROR(VLOOKUP($A3502,原始数据_收盘!$A$4:$G$3460,4,0),"")</f>
        <v/>
      </c>
      <c r="E3502" t="str">
        <f>IFERROR(VLOOKUP($A3502,原始数据_收盘!$A$4:$G$3460,5,0),"")</f>
        <v/>
      </c>
      <c r="F3502" t="str">
        <f>IFERROR(VLOOKUP($A3502,原始数据_收盘!$A$4:$G$3460,6,0),"")</f>
        <v/>
      </c>
      <c r="G3502" t="str">
        <f>IFERROR(VLOOKUP($A3502,原始数据_收盘!$A$4:$G$3460,7,0),"")</f>
        <v/>
      </c>
      <c r="H3502" t="str">
        <f>IFERROR(VLOOKUP($A3502,原始数据_利率互换_FR007_1年!$A$6:$C$4395,2,0),"")</f>
        <v/>
      </c>
      <c r="I3502" t="str">
        <f>IFERROR(VLOOKUP($A3502,原始数据_利率互换_FR007_1年!$A$6:$C$4395,3,0),"")</f>
        <v/>
      </c>
    </row>
    <row r="3503" spans="1:9">
      <c r="A3503" s="6">
        <v>42996</v>
      </c>
      <c r="B3503">
        <f>IFERROR(VLOOKUP($A3503,原始数据_收盘!$A$4:$G$3460,2,0),"")</f>
        <v>3.4969</v>
      </c>
      <c r="C3503">
        <f>IFERROR(VLOOKUP($A3503,原始数据_收盘!$A$4:$G$3460,3,0),"")</f>
        <v>3.7823</v>
      </c>
      <c r="D3503">
        <f>IFERROR(VLOOKUP($A3503,原始数据_收盘!$A$4:$G$3460,4,0),"")</f>
        <v>3.5006</v>
      </c>
      <c r="E3503">
        <f>IFERROR(VLOOKUP($A3503,原始数据_收盘!$A$4:$G$3460,5,0),"")</f>
        <v>3.785</v>
      </c>
      <c r="F3503">
        <f>IFERROR(VLOOKUP($A3503,原始数据_收盘!$A$4:$G$3460,6,0),"")</f>
        <v>3.4988</v>
      </c>
      <c r="G3503">
        <f>IFERROR(VLOOKUP($A3503,原始数据_收盘!$A$4:$G$3460,7,0),"")</f>
        <v>3.7837</v>
      </c>
      <c r="H3503">
        <f>IFERROR(VLOOKUP($A3503,原始数据_利率互换_FR007_1年!$A$6:$C$4395,2,0),"")</f>
        <v>3.4958</v>
      </c>
      <c r="I3503">
        <f>IFERROR(VLOOKUP($A3503,原始数据_利率互换_FR007_1年!$A$6:$C$4395,3,0),"")</f>
        <v>3.7792</v>
      </c>
    </row>
    <row r="3504" spans="1:9">
      <c r="A3504" s="6">
        <v>42997</v>
      </c>
      <c r="B3504">
        <f>IFERROR(VLOOKUP($A3504,原始数据_收盘!$A$4:$G$3460,2,0),"")</f>
        <v>3.49</v>
      </c>
      <c r="C3504">
        <f>IFERROR(VLOOKUP($A3504,原始数据_收盘!$A$4:$G$3460,3,0),"")</f>
        <v>3.77</v>
      </c>
      <c r="D3504">
        <f>IFERROR(VLOOKUP($A3504,原始数据_收盘!$A$4:$G$3460,4,0),"")</f>
        <v>3.4925</v>
      </c>
      <c r="E3504">
        <f>IFERROR(VLOOKUP($A3504,原始数据_收盘!$A$4:$G$3460,5,0),"")</f>
        <v>3.775</v>
      </c>
      <c r="F3504">
        <f>IFERROR(VLOOKUP($A3504,原始数据_收盘!$A$4:$G$3460,6,0),"")</f>
        <v>3.4913</v>
      </c>
      <c r="G3504">
        <f>IFERROR(VLOOKUP($A3504,原始数据_收盘!$A$4:$G$3460,7,0),"")</f>
        <v>3.7725</v>
      </c>
      <c r="H3504">
        <f>IFERROR(VLOOKUP($A3504,原始数据_利率互换_FR007_1年!$A$6:$C$4395,2,0),"")</f>
        <v>3.5009</v>
      </c>
      <c r="I3504">
        <f>IFERROR(VLOOKUP($A3504,原始数据_利率互换_FR007_1年!$A$6:$C$4395,3,0),"")</f>
        <v>3.7786</v>
      </c>
    </row>
    <row r="3505" spans="1:9">
      <c r="A3505" s="6">
        <v>42998</v>
      </c>
      <c r="B3505">
        <f>IFERROR(VLOOKUP($A3505,原始数据_收盘!$A$4:$G$3460,2,0),"")</f>
        <v>3.49</v>
      </c>
      <c r="C3505">
        <f>IFERROR(VLOOKUP($A3505,原始数据_收盘!$A$4:$G$3460,3,0),"")</f>
        <v>3.77</v>
      </c>
      <c r="D3505">
        <f>IFERROR(VLOOKUP($A3505,原始数据_收盘!$A$4:$G$3460,4,0),"")</f>
        <v>3.495</v>
      </c>
      <c r="E3505">
        <f>IFERROR(VLOOKUP($A3505,原始数据_收盘!$A$4:$G$3460,5,0),"")</f>
        <v>3.775</v>
      </c>
      <c r="F3505">
        <f>IFERROR(VLOOKUP($A3505,原始数据_收盘!$A$4:$G$3460,6,0),"")</f>
        <v>3.4925</v>
      </c>
      <c r="G3505">
        <f>IFERROR(VLOOKUP($A3505,原始数据_收盘!$A$4:$G$3460,7,0),"")</f>
        <v>3.7725</v>
      </c>
      <c r="H3505">
        <f>IFERROR(VLOOKUP($A3505,原始数据_利率互换_FR007_1年!$A$6:$C$4395,2,0),"")</f>
        <v>3.5087</v>
      </c>
      <c r="I3505">
        <f>IFERROR(VLOOKUP($A3505,原始数据_利率互换_FR007_1年!$A$6:$C$4395,3,0),"")</f>
        <v>3.7743</v>
      </c>
    </row>
    <row r="3506" spans="1:9">
      <c r="A3506" s="6">
        <v>42999</v>
      </c>
      <c r="B3506">
        <f>IFERROR(VLOOKUP($A3506,原始数据_收盘!$A$4:$G$3460,2,0),"")</f>
        <v>3.5</v>
      </c>
      <c r="C3506">
        <f>IFERROR(VLOOKUP($A3506,原始数据_收盘!$A$4:$G$3460,3,0),"")</f>
        <v>3.785</v>
      </c>
      <c r="D3506">
        <f>IFERROR(VLOOKUP($A3506,原始数据_收盘!$A$4:$G$3460,4,0),"")</f>
        <v>3.5068</v>
      </c>
      <c r="E3506">
        <f>IFERROR(VLOOKUP($A3506,原始数据_收盘!$A$4:$G$3460,5,0),"")</f>
        <v>3.79</v>
      </c>
      <c r="F3506">
        <f>IFERROR(VLOOKUP($A3506,原始数据_收盘!$A$4:$G$3460,6,0),"")</f>
        <v>3.5034</v>
      </c>
      <c r="G3506">
        <f>IFERROR(VLOOKUP($A3506,原始数据_收盘!$A$4:$G$3460,7,0),"")</f>
        <v>3.7875</v>
      </c>
      <c r="H3506">
        <f>IFERROR(VLOOKUP($A3506,原始数据_利率互换_FR007_1年!$A$6:$C$4395,2,0),"")</f>
        <v>3.4983</v>
      </c>
      <c r="I3506">
        <f>IFERROR(VLOOKUP($A3506,原始数据_利率互换_FR007_1年!$A$6:$C$4395,3,0),"")</f>
        <v>3.7792</v>
      </c>
    </row>
    <row r="3507" spans="1:9">
      <c r="A3507" s="6">
        <v>43000</v>
      </c>
      <c r="B3507">
        <f>IFERROR(VLOOKUP($A3507,原始数据_收盘!$A$4:$G$3460,2,0),"")</f>
        <v>3.485</v>
      </c>
      <c r="C3507">
        <f>IFERROR(VLOOKUP($A3507,原始数据_收盘!$A$4:$G$3460,3,0),"")</f>
        <v>3.7725</v>
      </c>
      <c r="D3507">
        <f>IFERROR(VLOOKUP($A3507,原始数据_收盘!$A$4:$G$3460,4,0),"")</f>
        <v>3.495</v>
      </c>
      <c r="E3507">
        <f>IFERROR(VLOOKUP($A3507,原始数据_收盘!$A$4:$G$3460,5,0),"")</f>
        <v>3.775</v>
      </c>
      <c r="F3507">
        <f>IFERROR(VLOOKUP($A3507,原始数据_收盘!$A$4:$G$3460,6,0),"")</f>
        <v>3.49</v>
      </c>
      <c r="G3507">
        <f>IFERROR(VLOOKUP($A3507,原始数据_收盘!$A$4:$G$3460,7,0),"")</f>
        <v>3.7738</v>
      </c>
      <c r="H3507">
        <f>IFERROR(VLOOKUP($A3507,原始数据_利率互换_FR007_1年!$A$6:$C$4395,2,0),"")</f>
        <v>3.4913</v>
      </c>
      <c r="I3507">
        <f>IFERROR(VLOOKUP($A3507,原始数据_利率互换_FR007_1年!$A$6:$C$4395,3,0),"")</f>
        <v>3.7776</v>
      </c>
    </row>
    <row r="3508" spans="1:9">
      <c r="A3508" s="6">
        <v>43001</v>
      </c>
      <c r="B3508" t="str">
        <f>IFERROR(VLOOKUP($A3508,原始数据_收盘!$A$4:$G$3460,2,0),"")</f>
        <v/>
      </c>
      <c r="C3508" t="str">
        <f>IFERROR(VLOOKUP($A3508,原始数据_收盘!$A$4:$G$3460,3,0),"")</f>
        <v/>
      </c>
      <c r="D3508" t="str">
        <f>IFERROR(VLOOKUP($A3508,原始数据_收盘!$A$4:$G$3460,4,0),"")</f>
        <v/>
      </c>
      <c r="E3508" t="str">
        <f>IFERROR(VLOOKUP($A3508,原始数据_收盘!$A$4:$G$3460,5,0),"")</f>
        <v/>
      </c>
      <c r="F3508" t="str">
        <f>IFERROR(VLOOKUP($A3508,原始数据_收盘!$A$4:$G$3460,6,0),"")</f>
        <v/>
      </c>
      <c r="G3508" t="str">
        <f>IFERROR(VLOOKUP($A3508,原始数据_收盘!$A$4:$G$3460,7,0),"")</f>
        <v/>
      </c>
      <c r="H3508" t="str">
        <f>IFERROR(VLOOKUP($A3508,原始数据_利率互换_FR007_1年!$A$6:$C$4395,2,0),"")</f>
        <v/>
      </c>
      <c r="I3508" t="str">
        <f>IFERROR(VLOOKUP($A3508,原始数据_利率互换_FR007_1年!$A$6:$C$4395,3,0),"")</f>
        <v/>
      </c>
    </row>
    <row r="3509" spans="1:9">
      <c r="A3509" s="6">
        <v>43002</v>
      </c>
      <c r="B3509" t="str">
        <f>IFERROR(VLOOKUP($A3509,原始数据_收盘!$A$4:$G$3460,2,0),"")</f>
        <v/>
      </c>
      <c r="C3509" t="str">
        <f>IFERROR(VLOOKUP($A3509,原始数据_收盘!$A$4:$G$3460,3,0),"")</f>
        <v/>
      </c>
      <c r="D3509" t="str">
        <f>IFERROR(VLOOKUP($A3509,原始数据_收盘!$A$4:$G$3460,4,0),"")</f>
        <v/>
      </c>
      <c r="E3509" t="str">
        <f>IFERROR(VLOOKUP($A3509,原始数据_收盘!$A$4:$G$3460,5,0),"")</f>
        <v/>
      </c>
      <c r="F3509" t="str">
        <f>IFERROR(VLOOKUP($A3509,原始数据_收盘!$A$4:$G$3460,6,0),"")</f>
        <v/>
      </c>
      <c r="G3509" t="str">
        <f>IFERROR(VLOOKUP($A3509,原始数据_收盘!$A$4:$G$3460,7,0),"")</f>
        <v/>
      </c>
      <c r="H3509" t="str">
        <f>IFERROR(VLOOKUP($A3509,原始数据_利率互换_FR007_1年!$A$6:$C$4395,2,0),"")</f>
        <v/>
      </c>
      <c r="I3509" t="str">
        <f>IFERROR(VLOOKUP($A3509,原始数据_利率互换_FR007_1年!$A$6:$C$4395,3,0),"")</f>
        <v/>
      </c>
    </row>
    <row r="3510" spans="1:9">
      <c r="A3510" s="6">
        <v>43003</v>
      </c>
      <c r="B3510">
        <f>IFERROR(VLOOKUP($A3510,原始数据_收盘!$A$4:$G$3460,2,0),"")</f>
        <v>3.4775</v>
      </c>
      <c r="C3510">
        <f>IFERROR(VLOOKUP($A3510,原始数据_收盘!$A$4:$G$3460,3,0),"")</f>
        <v>3.76</v>
      </c>
      <c r="D3510">
        <f>IFERROR(VLOOKUP($A3510,原始数据_收盘!$A$4:$G$3460,4,0),"")</f>
        <v>3.48</v>
      </c>
      <c r="E3510">
        <f>IFERROR(VLOOKUP($A3510,原始数据_收盘!$A$4:$G$3460,5,0),"")</f>
        <v>3.765</v>
      </c>
      <c r="F3510">
        <f>IFERROR(VLOOKUP($A3510,原始数据_收盘!$A$4:$G$3460,6,0),"")</f>
        <v>3.4788</v>
      </c>
      <c r="G3510">
        <f>IFERROR(VLOOKUP($A3510,原始数据_收盘!$A$4:$G$3460,7,0),"")</f>
        <v>3.7625</v>
      </c>
      <c r="H3510">
        <f>IFERROR(VLOOKUP($A3510,原始数据_利率互换_FR007_1年!$A$6:$C$4395,2,0),"")</f>
        <v>3.4777</v>
      </c>
      <c r="I3510">
        <f>IFERROR(VLOOKUP($A3510,原始数据_利率互换_FR007_1年!$A$6:$C$4395,3,0),"")</f>
        <v>3.7624</v>
      </c>
    </row>
    <row r="3511" spans="1:9">
      <c r="A3511" s="6">
        <v>43004</v>
      </c>
      <c r="B3511">
        <f>IFERROR(VLOOKUP($A3511,原始数据_收盘!$A$4:$G$3460,2,0),"")</f>
        <v>3.485</v>
      </c>
      <c r="C3511">
        <f>IFERROR(VLOOKUP($A3511,原始数据_收盘!$A$4:$G$3460,3,0),"")</f>
        <v>3.7675</v>
      </c>
      <c r="D3511">
        <f>IFERROR(VLOOKUP($A3511,原始数据_收盘!$A$4:$G$3460,4,0),"")</f>
        <v>3.4885</v>
      </c>
      <c r="E3511">
        <f>IFERROR(VLOOKUP($A3511,原始数据_收盘!$A$4:$G$3460,5,0),"")</f>
        <v>3.77</v>
      </c>
      <c r="F3511">
        <f>IFERROR(VLOOKUP($A3511,原始数据_收盘!$A$4:$G$3460,6,0),"")</f>
        <v>3.4868</v>
      </c>
      <c r="G3511">
        <f>IFERROR(VLOOKUP($A3511,原始数据_收盘!$A$4:$G$3460,7,0),"")</f>
        <v>3.7688</v>
      </c>
      <c r="H3511">
        <f>IFERROR(VLOOKUP($A3511,原始数据_利率互换_FR007_1年!$A$6:$C$4395,2,0),"")</f>
        <v>3.4864</v>
      </c>
      <c r="I3511">
        <f>IFERROR(VLOOKUP($A3511,原始数据_利率互换_FR007_1年!$A$6:$C$4395,3,0),"")</f>
        <v>3.7669</v>
      </c>
    </row>
    <row r="3512" spans="1:9">
      <c r="A3512" s="6">
        <v>43005</v>
      </c>
      <c r="B3512">
        <f>IFERROR(VLOOKUP($A3512,原始数据_收盘!$A$4:$G$3460,2,0),"")</f>
        <v>3.5096</v>
      </c>
      <c r="C3512">
        <f>IFERROR(VLOOKUP($A3512,原始数据_收盘!$A$4:$G$3460,3,0),"")</f>
        <v>3.7846</v>
      </c>
      <c r="D3512">
        <f>IFERROR(VLOOKUP($A3512,原始数据_收盘!$A$4:$G$3460,4,0),"")</f>
        <v>3.514</v>
      </c>
      <c r="E3512">
        <f>IFERROR(VLOOKUP($A3512,原始数据_收盘!$A$4:$G$3460,5,0),"")</f>
        <v>3.7856</v>
      </c>
      <c r="F3512">
        <f>IFERROR(VLOOKUP($A3512,原始数据_收盘!$A$4:$G$3460,6,0),"")</f>
        <v>3.5118</v>
      </c>
      <c r="G3512">
        <f>IFERROR(VLOOKUP($A3512,原始数据_收盘!$A$4:$G$3460,7,0),"")</f>
        <v>3.7851</v>
      </c>
      <c r="H3512">
        <f>IFERROR(VLOOKUP($A3512,原始数据_利率互换_FR007_1年!$A$6:$C$4395,2,0),"")</f>
        <v>3.5053</v>
      </c>
      <c r="I3512">
        <f>IFERROR(VLOOKUP($A3512,原始数据_利率互换_FR007_1年!$A$6:$C$4395,3,0),"")</f>
        <v>3.7813</v>
      </c>
    </row>
    <row r="3513" spans="1:9">
      <c r="A3513" s="6">
        <v>43006</v>
      </c>
      <c r="B3513">
        <f>IFERROR(VLOOKUP($A3513,原始数据_收盘!$A$4:$G$3460,2,0),"")</f>
        <v>3.4941</v>
      </c>
      <c r="C3513">
        <f>IFERROR(VLOOKUP($A3513,原始数据_收盘!$A$4:$G$3460,3,0),"")</f>
        <v>3.7873</v>
      </c>
      <c r="D3513">
        <f>IFERROR(VLOOKUP($A3513,原始数据_收盘!$A$4:$G$3460,4,0),"")</f>
        <v>3.4976</v>
      </c>
      <c r="E3513">
        <f>IFERROR(VLOOKUP($A3513,原始数据_收盘!$A$4:$G$3460,5,0),"")</f>
        <v>3.79</v>
      </c>
      <c r="F3513">
        <f>IFERROR(VLOOKUP($A3513,原始数据_收盘!$A$4:$G$3460,6,0),"")</f>
        <v>3.4959</v>
      </c>
      <c r="G3513">
        <f>IFERROR(VLOOKUP($A3513,原始数据_收盘!$A$4:$G$3460,7,0),"")</f>
        <v>3.7887</v>
      </c>
      <c r="H3513">
        <f>IFERROR(VLOOKUP($A3513,原始数据_利率互换_FR007_1年!$A$6:$C$4395,2,0),"")</f>
        <v>3.4972</v>
      </c>
      <c r="I3513">
        <f>IFERROR(VLOOKUP($A3513,原始数据_利率互换_FR007_1年!$A$6:$C$4395,3,0),"")</f>
        <v>3.7818</v>
      </c>
    </row>
    <row r="3514" spans="1:9">
      <c r="A3514" s="6">
        <v>43007</v>
      </c>
      <c r="B3514">
        <f>IFERROR(VLOOKUP($A3514,原始数据_收盘!$A$4:$G$3460,2,0),"")</f>
        <v>3.495</v>
      </c>
      <c r="C3514">
        <f>IFERROR(VLOOKUP($A3514,原始数据_收盘!$A$4:$G$3460,3,0),"")</f>
        <v>3.7825</v>
      </c>
      <c r="D3514">
        <f>IFERROR(VLOOKUP($A3514,原始数据_收盘!$A$4:$G$3460,4,0),"")</f>
        <v>3.4975</v>
      </c>
      <c r="E3514">
        <f>IFERROR(VLOOKUP($A3514,原始数据_收盘!$A$4:$G$3460,5,0),"")</f>
        <v>3.7925</v>
      </c>
      <c r="F3514">
        <f>IFERROR(VLOOKUP($A3514,原始数据_收盘!$A$4:$G$3460,6,0),"")</f>
        <v>3.4963</v>
      </c>
      <c r="G3514">
        <f>IFERROR(VLOOKUP($A3514,原始数据_收盘!$A$4:$G$3460,7,0),"")</f>
        <v>3.7875</v>
      </c>
      <c r="H3514">
        <f>IFERROR(VLOOKUP($A3514,原始数据_利率互换_FR007_1年!$A$6:$C$4395,2,0),"")</f>
        <v>3.4967</v>
      </c>
      <c r="I3514">
        <f>IFERROR(VLOOKUP($A3514,原始数据_利率互换_FR007_1年!$A$6:$C$4395,3,0),"")</f>
        <v>3.7861</v>
      </c>
    </row>
    <row r="3515" spans="1:9">
      <c r="A3515" s="6">
        <v>43008</v>
      </c>
      <c r="B3515">
        <f>IFERROR(VLOOKUP($A3515,原始数据_收盘!$A$4:$G$3460,2,0),"")</f>
        <v>3.4925</v>
      </c>
      <c r="C3515">
        <f>IFERROR(VLOOKUP($A3515,原始数据_收盘!$A$4:$G$3460,3,0),"")</f>
        <v>3.795</v>
      </c>
      <c r="D3515">
        <f>IFERROR(VLOOKUP($A3515,原始数据_收盘!$A$4:$G$3460,4,0),"")</f>
        <v>3.51</v>
      </c>
      <c r="E3515">
        <f>IFERROR(VLOOKUP($A3515,原始数据_收盘!$A$4:$G$3460,5,0),"")</f>
        <v>3.8</v>
      </c>
      <c r="F3515">
        <f>IFERROR(VLOOKUP($A3515,原始数据_收盘!$A$4:$G$3460,6,0),"")</f>
        <v>3.5013</v>
      </c>
      <c r="G3515">
        <f>IFERROR(VLOOKUP($A3515,原始数据_收盘!$A$4:$G$3460,7,0),"")</f>
        <v>3.7975</v>
      </c>
      <c r="H3515">
        <f>IFERROR(VLOOKUP($A3515,原始数据_利率互换_FR007_1年!$A$6:$C$4395,2,0),"")</f>
        <v>3.5</v>
      </c>
      <c r="I3515">
        <f>IFERROR(VLOOKUP($A3515,原始数据_利率互换_FR007_1年!$A$6:$C$4395,3,0),"")</f>
        <v>3.7958</v>
      </c>
    </row>
    <row r="3516" spans="1:9">
      <c r="A3516" s="6">
        <v>43009</v>
      </c>
      <c r="B3516" t="str">
        <f>IFERROR(VLOOKUP($A3516,原始数据_收盘!$A$4:$G$3460,2,0),"")</f>
        <v/>
      </c>
      <c r="C3516" t="str">
        <f>IFERROR(VLOOKUP($A3516,原始数据_收盘!$A$4:$G$3460,3,0),"")</f>
        <v/>
      </c>
      <c r="D3516" t="str">
        <f>IFERROR(VLOOKUP($A3516,原始数据_收盘!$A$4:$G$3460,4,0),"")</f>
        <v/>
      </c>
      <c r="E3516" t="str">
        <f>IFERROR(VLOOKUP($A3516,原始数据_收盘!$A$4:$G$3460,5,0),"")</f>
        <v/>
      </c>
      <c r="F3516" t="str">
        <f>IFERROR(VLOOKUP($A3516,原始数据_收盘!$A$4:$G$3460,6,0),"")</f>
        <v/>
      </c>
      <c r="G3516" t="str">
        <f>IFERROR(VLOOKUP($A3516,原始数据_收盘!$A$4:$G$3460,7,0),"")</f>
        <v/>
      </c>
      <c r="H3516" t="str">
        <f>IFERROR(VLOOKUP($A3516,原始数据_利率互换_FR007_1年!$A$6:$C$4395,2,0),"")</f>
        <v/>
      </c>
      <c r="I3516" t="str">
        <f>IFERROR(VLOOKUP($A3516,原始数据_利率互换_FR007_1年!$A$6:$C$4395,3,0),"")</f>
        <v/>
      </c>
    </row>
    <row r="3517" spans="1:9">
      <c r="A3517" s="6">
        <v>43010</v>
      </c>
      <c r="B3517" t="str">
        <f>IFERROR(VLOOKUP($A3517,原始数据_收盘!$A$4:$G$3460,2,0),"")</f>
        <v/>
      </c>
      <c r="C3517" t="str">
        <f>IFERROR(VLOOKUP($A3517,原始数据_收盘!$A$4:$G$3460,3,0),"")</f>
        <v/>
      </c>
      <c r="D3517" t="str">
        <f>IFERROR(VLOOKUP($A3517,原始数据_收盘!$A$4:$G$3460,4,0),"")</f>
        <v/>
      </c>
      <c r="E3517" t="str">
        <f>IFERROR(VLOOKUP($A3517,原始数据_收盘!$A$4:$G$3460,5,0),"")</f>
        <v/>
      </c>
      <c r="F3517" t="str">
        <f>IFERROR(VLOOKUP($A3517,原始数据_收盘!$A$4:$G$3460,6,0),"")</f>
        <v/>
      </c>
      <c r="G3517" t="str">
        <f>IFERROR(VLOOKUP($A3517,原始数据_收盘!$A$4:$G$3460,7,0),"")</f>
        <v/>
      </c>
      <c r="H3517" t="str">
        <f>IFERROR(VLOOKUP($A3517,原始数据_利率互换_FR007_1年!$A$6:$C$4395,2,0),"")</f>
        <v/>
      </c>
      <c r="I3517" t="str">
        <f>IFERROR(VLOOKUP($A3517,原始数据_利率互换_FR007_1年!$A$6:$C$4395,3,0),"")</f>
        <v/>
      </c>
    </row>
    <row r="3518" spans="1:9">
      <c r="A3518" s="6">
        <v>43011</v>
      </c>
      <c r="B3518" t="str">
        <f>IFERROR(VLOOKUP($A3518,原始数据_收盘!$A$4:$G$3460,2,0),"")</f>
        <v/>
      </c>
      <c r="C3518" t="str">
        <f>IFERROR(VLOOKUP($A3518,原始数据_收盘!$A$4:$G$3460,3,0),"")</f>
        <v/>
      </c>
      <c r="D3518" t="str">
        <f>IFERROR(VLOOKUP($A3518,原始数据_收盘!$A$4:$G$3460,4,0),"")</f>
        <v/>
      </c>
      <c r="E3518" t="str">
        <f>IFERROR(VLOOKUP($A3518,原始数据_收盘!$A$4:$G$3460,5,0),"")</f>
        <v/>
      </c>
      <c r="F3518" t="str">
        <f>IFERROR(VLOOKUP($A3518,原始数据_收盘!$A$4:$G$3460,6,0),"")</f>
        <v/>
      </c>
      <c r="G3518" t="str">
        <f>IFERROR(VLOOKUP($A3518,原始数据_收盘!$A$4:$G$3460,7,0),"")</f>
        <v/>
      </c>
      <c r="H3518" t="str">
        <f>IFERROR(VLOOKUP($A3518,原始数据_利率互换_FR007_1年!$A$6:$C$4395,2,0),"")</f>
        <v/>
      </c>
      <c r="I3518" t="str">
        <f>IFERROR(VLOOKUP($A3518,原始数据_利率互换_FR007_1年!$A$6:$C$4395,3,0),"")</f>
        <v/>
      </c>
    </row>
    <row r="3519" spans="1:9">
      <c r="A3519" s="6">
        <v>43012</v>
      </c>
      <c r="B3519" t="str">
        <f>IFERROR(VLOOKUP($A3519,原始数据_收盘!$A$4:$G$3460,2,0),"")</f>
        <v/>
      </c>
      <c r="C3519" t="str">
        <f>IFERROR(VLOOKUP($A3519,原始数据_收盘!$A$4:$G$3460,3,0),"")</f>
        <v/>
      </c>
      <c r="D3519" t="str">
        <f>IFERROR(VLOOKUP($A3519,原始数据_收盘!$A$4:$G$3460,4,0),"")</f>
        <v/>
      </c>
      <c r="E3519" t="str">
        <f>IFERROR(VLOOKUP($A3519,原始数据_收盘!$A$4:$G$3460,5,0),"")</f>
        <v/>
      </c>
      <c r="F3519" t="str">
        <f>IFERROR(VLOOKUP($A3519,原始数据_收盘!$A$4:$G$3460,6,0),"")</f>
        <v/>
      </c>
      <c r="G3519" t="str">
        <f>IFERROR(VLOOKUP($A3519,原始数据_收盘!$A$4:$G$3460,7,0),"")</f>
        <v/>
      </c>
      <c r="H3519" t="str">
        <f>IFERROR(VLOOKUP($A3519,原始数据_利率互换_FR007_1年!$A$6:$C$4395,2,0),"")</f>
        <v/>
      </c>
      <c r="I3519" t="str">
        <f>IFERROR(VLOOKUP($A3519,原始数据_利率互换_FR007_1年!$A$6:$C$4395,3,0),"")</f>
        <v/>
      </c>
    </row>
    <row r="3520" spans="1:9">
      <c r="A3520" s="6">
        <v>43013</v>
      </c>
      <c r="B3520" t="str">
        <f>IFERROR(VLOOKUP($A3520,原始数据_收盘!$A$4:$G$3460,2,0),"")</f>
        <v/>
      </c>
      <c r="C3520" t="str">
        <f>IFERROR(VLOOKUP($A3520,原始数据_收盘!$A$4:$G$3460,3,0),"")</f>
        <v/>
      </c>
      <c r="D3520" t="str">
        <f>IFERROR(VLOOKUP($A3520,原始数据_收盘!$A$4:$G$3460,4,0),"")</f>
        <v/>
      </c>
      <c r="E3520" t="str">
        <f>IFERROR(VLOOKUP($A3520,原始数据_收盘!$A$4:$G$3460,5,0),"")</f>
        <v/>
      </c>
      <c r="F3520" t="str">
        <f>IFERROR(VLOOKUP($A3520,原始数据_收盘!$A$4:$G$3460,6,0),"")</f>
        <v/>
      </c>
      <c r="G3520" t="str">
        <f>IFERROR(VLOOKUP($A3520,原始数据_收盘!$A$4:$G$3460,7,0),"")</f>
        <v/>
      </c>
      <c r="H3520" t="str">
        <f>IFERROR(VLOOKUP($A3520,原始数据_利率互换_FR007_1年!$A$6:$C$4395,2,0),"")</f>
        <v/>
      </c>
      <c r="I3520" t="str">
        <f>IFERROR(VLOOKUP($A3520,原始数据_利率互换_FR007_1年!$A$6:$C$4395,3,0),"")</f>
        <v/>
      </c>
    </row>
    <row r="3521" spans="1:9">
      <c r="A3521" s="6">
        <v>43014</v>
      </c>
      <c r="B3521" t="str">
        <f>IFERROR(VLOOKUP($A3521,原始数据_收盘!$A$4:$G$3460,2,0),"")</f>
        <v/>
      </c>
      <c r="C3521" t="str">
        <f>IFERROR(VLOOKUP($A3521,原始数据_收盘!$A$4:$G$3460,3,0),"")</f>
        <v/>
      </c>
      <c r="D3521" t="str">
        <f>IFERROR(VLOOKUP($A3521,原始数据_收盘!$A$4:$G$3460,4,0),"")</f>
        <v/>
      </c>
      <c r="E3521" t="str">
        <f>IFERROR(VLOOKUP($A3521,原始数据_收盘!$A$4:$G$3460,5,0),"")</f>
        <v/>
      </c>
      <c r="F3521" t="str">
        <f>IFERROR(VLOOKUP($A3521,原始数据_收盘!$A$4:$G$3460,6,0),"")</f>
        <v/>
      </c>
      <c r="G3521" t="str">
        <f>IFERROR(VLOOKUP($A3521,原始数据_收盘!$A$4:$G$3460,7,0),"")</f>
        <v/>
      </c>
      <c r="H3521" t="str">
        <f>IFERROR(VLOOKUP($A3521,原始数据_利率互换_FR007_1年!$A$6:$C$4395,2,0),"")</f>
        <v/>
      </c>
      <c r="I3521" t="str">
        <f>IFERROR(VLOOKUP($A3521,原始数据_利率互换_FR007_1年!$A$6:$C$4395,3,0),"")</f>
        <v/>
      </c>
    </row>
    <row r="3522" spans="1:9">
      <c r="A3522" s="6">
        <v>43015</v>
      </c>
      <c r="B3522" t="str">
        <f>IFERROR(VLOOKUP($A3522,原始数据_收盘!$A$4:$G$3460,2,0),"")</f>
        <v/>
      </c>
      <c r="C3522" t="str">
        <f>IFERROR(VLOOKUP($A3522,原始数据_收盘!$A$4:$G$3460,3,0),"")</f>
        <v/>
      </c>
      <c r="D3522" t="str">
        <f>IFERROR(VLOOKUP($A3522,原始数据_收盘!$A$4:$G$3460,4,0),"")</f>
        <v/>
      </c>
      <c r="E3522" t="str">
        <f>IFERROR(VLOOKUP($A3522,原始数据_收盘!$A$4:$G$3460,5,0),"")</f>
        <v/>
      </c>
      <c r="F3522" t="str">
        <f>IFERROR(VLOOKUP($A3522,原始数据_收盘!$A$4:$G$3460,6,0),"")</f>
        <v/>
      </c>
      <c r="G3522" t="str">
        <f>IFERROR(VLOOKUP($A3522,原始数据_收盘!$A$4:$G$3460,7,0),"")</f>
        <v/>
      </c>
      <c r="H3522" t="str">
        <f>IFERROR(VLOOKUP($A3522,原始数据_利率互换_FR007_1年!$A$6:$C$4395,2,0),"")</f>
        <v/>
      </c>
      <c r="I3522" t="str">
        <f>IFERROR(VLOOKUP($A3522,原始数据_利率互换_FR007_1年!$A$6:$C$4395,3,0),"")</f>
        <v/>
      </c>
    </row>
    <row r="3523" spans="1:9">
      <c r="A3523" s="6">
        <v>43016</v>
      </c>
      <c r="B3523" t="str">
        <f>IFERROR(VLOOKUP($A3523,原始数据_收盘!$A$4:$G$3460,2,0),"")</f>
        <v/>
      </c>
      <c r="C3523" t="str">
        <f>IFERROR(VLOOKUP($A3523,原始数据_收盘!$A$4:$G$3460,3,0),"")</f>
        <v/>
      </c>
      <c r="D3523" t="str">
        <f>IFERROR(VLOOKUP($A3523,原始数据_收盘!$A$4:$G$3460,4,0),"")</f>
        <v/>
      </c>
      <c r="E3523" t="str">
        <f>IFERROR(VLOOKUP($A3523,原始数据_收盘!$A$4:$G$3460,5,0),"")</f>
        <v/>
      </c>
      <c r="F3523" t="str">
        <f>IFERROR(VLOOKUP($A3523,原始数据_收盘!$A$4:$G$3460,6,0),"")</f>
        <v/>
      </c>
      <c r="G3523" t="str">
        <f>IFERROR(VLOOKUP($A3523,原始数据_收盘!$A$4:$G$3460,7,0),"")</f>
        <v/>
      </c>
      <c r="H3523" t="str">
        <f>IFERROR(VLOOKUP($A3523,原始数据_利率互换_FR007_1年!$A$6:$C$4395,2,0),"")</f>
        <v/>
      </c>
      <c r="I3523" t="str">
        <f>IFERROR(VLOOKUP($A3523,原始数据_利率互换_FR007_1年!$A$6:$C$4395,3,0),"")</f>
        <v/>
      </c>
    </row>
    <row r="3524" spans="1:9">
      <c r="A3524" s="6">
        <v>43017</v>
      </c>
      <c r="B3524">
        <f>IFERROR(VLOOKUP($A3524,原始数据_收盘!$A$4:$G$3460,2,0),"")</f>
        <v>3.5175</v>
      </c>
      <c r="C3524">
        <f>IFERROR(VLOOKUP($A3524,原始数据_收盘!$A$4:$G$3460,3,0),"")</f>
        <v>3.8188</v>
      </c>
      <c r="D3524">
        <f>IFERROR(VLOOKUP($A3524,原始数据_收盘!$A$4:$G$3460,4,0),"")</f>
        <v>3.525</v>
      </c>
      <c r="E3524">
        <f>IFERROR(VLOOKUP($A3524,原始数据_收盘!$A$4:$G$3460,5,0),"")</f>
        <v>3.8225</v>
      </c>
      <c r="F3524">
        <f>IFERROR(VLOOKUP($A3524,原始数据_收盘!$A$4:$G$3460,6,0),"")</f>
        <v>3.5213</v>
      </c>
      <c r="G3524">
        <f>IFERROR(VLOOKUP($A3524,原始数据_收盘!$A$4:$G$3460,7,0),"")</f>
        <v>3.8207</v>
      </c>
      <c r="H3524">
        <f>IFERROR(VLOOKUP($A3524,原始数据_利率互换_FR007_1年!$A$6:$C$4395,2,0),"")</f>
        <v>3.5167</v>
      </c>
      <c r="I3524">
        <f>IFERROR(VLOOKUP($A3524,原始数据_利率互换_FR007_1年!$A$6:$C$4395,3,0),"")</f>
        <v>3.8106</v>
      </c>
    </row>
    <row r="3525" spans="1:9">
      <c r="A3525" s="6">
        <v>43018</v>
      </c>
      <c r="B3525">
        <f>IFERROR(VLOOKUP($A3525,原始数据_收盘!$A$4:$G$3460,2,0),"")</f>
        <v>3.5178</v>
      </c>
      <c r="C3525">
        <f>IFERROR(VLOOKUP($A3525,原始数据_收盘!$A$4:$G$3460,3,0),"")</f>
        <v>3.8225</v>
      </c>
      <c r="D3525">
        <f>IFERROR(VLOOKUP($A3525,原始数据_收盘!$A$4:$G$3460,4,0),"")</f>
        <v>3.5225</v>
      </c>
      <c r="E3525">
        <f>IFERROR(VLOOKUP($A3525,原始数据_收盘!$A$4:$G$3460,5,0),"")</f>
        <v>3.8275</v>
      </c>
      <c r="F3525">
        <f>IFERROR(VLOOKUP($A3525,原始数据_收盘!$A$4:$G$3460,6,0),"")</f>
        <v>3.5202</v>
      </c>
      <c r="G3525">
        <f>IFERROR(VLOOKUP($A3525,原始数据_收盘!$A$4:$G$3460,7,0),"")</f>
        <v>3.825</v>
      </c>
      <c r="H3525">
        <f>IFERROR(VLOOKUP($A3525,原始数据_利率互换_FR007_1年!$A$6:$C$4395,2,0),"")</f>
        <v>3.5217</v>
      </c>
      <c r="I3525">
        <f>IFERROR(VLOOKUP($A3525,原始数据_利率互换_FR007_1年!$A$6:$C$4395,3,0),"")</f>
        <v>3.8187</v>
      </c>
    </row>
    <row r="3526" spans="1:9">
      <c r="A3526" s="6">
        <v>43019</v>
      </c>
      <c r="B3526">
        <f>IFERROR(VLOOKUP($A3526,原始数据_收盘!$A$4:$G$3460,2,0),"")</f>
        <v>3.5125</v>
      </c>
      <c r="C3526">
        <f>IFERROR(VLOOKUP($A3526,原始数据_收盘!$A$4:$G$3460,3,0),"")</f>
        <v>3.8125</v>
      </c>
      <c r="D3526">
        <f>IFERROR(VLOOKUP($A3526,原始数据_收盘!$A$4:$G$3460,4,0),"")</f>
        <v>3.515</v>
      </c>
      <c r="E3526">
        <f>IFERROR(VLOOKUP($A3526,原始数据_收盘!$A$4:$G$3460,5,0),"")</f>
        <v>3.8175</v>
      </c>
      <c r="F3526">
        <f>IFERROR(VLOOKUP($A3526,原始数据_收盘!$A$4:$G$3460,6,0),"")</f>
        <v>3.5138</v>
      </c>
      <c r="G3526">
        <f>IFERROR(VLOOKUP($A3526,原始数据_收盘!$A$4:$G$3460,7,0),"")</f>
        <v>3.815</v>
      </c>
      <c r="H3526">
        <f>IFERROR(VLOOKUP($A3526,原始数据_利率互换_FR007_1年!$A$6:$C$4395,2,0),"")</f>
        <v>3.5123</v>
      </c>
      <c r="I3526">
        <f>IFERROR(VLOOKUP($A3526,原始数据_利率互换_FR007_1年!$A$6:$C$4395,3,0),"")</f>
        <v>3.8151</v>
      </c>
    </row>
    <row r="3527" spans="1:9">
      <c r="A3527" s="6">
        <v>43020</v>
      </c>
      <c r="B3527">
        <f>IFERROR(VLOOKUP($A3527,原始数据_收盘!$A$4:$G$3460,2,0),"")</f>
        <v>3.5199</v>
      </c>
      <c r="C3527">
        <f>IFERROR(VLOOKUP($A3527,原始数据_收盘!$A$4:$G$3460,3,0),"")</f>
        <v>3.8331</v>
      </c>
      <c r="D3527">
        <f>IFERROR(VLOOKUP($A3527,原始数据_收盘!$A$4:$G$3460,4,0),"")</f>
        <v>3.5229</v>
      </c>
      <c r="E3527">
        <f>IFERROR(VLOOKUP($A3527,原始数据_收盘!$A$4:$G$3460,5,0),"")</f>
        <v>3.8375</v>
      </c>
      <c r="F3527">
        <f>IFERROR(VLOOKUP($A3527,原始数据_收盘!$A$4:$G$3460,6,0),"")</f>
        <v>3.5214</v>
      </c>
      <c r="G3527">
        <f>IFERROR(VLOOKUP($A3527,原始数据_收盘!$A$4:$G$3460,7,0),"")</f>
        <v>3.8353</v>
      </c>
      <c r="H3527">
        <f>IFERROR(VLOOKUP($A3527,原始数据_利率互换_FR007_1年!$A$6:$C$4395,2,0),"")</f>
        <v>3.5185</v>
      </c>
      <c r="I3527">
        <f>IFERROR(VLOOKUP($A3527,原始数据_利率互换_FR007_1年!$A$6:$C$4395,3,0),"")</f>
        <v>3.8251</v>
      </c>
    </row>
    <row r="3528" spans="1:9">
      <c r="A3528" s="6">
        <v>43021</v>
      </c>
      <c r="B3528">
        <f>IFERROR(VLOOKUP($A3528,原始数据_收盘!$A$4:$G$3460,2,0),"")</f>
        <v>3.515</v>
      </c>
      <c r="C3528">
        <f>IFERROR(VLOOKUP($A3528,原始数据_收盘!$A$4:$G$3460,3,0),"")</f>
        <v>3.8372</v>
      </c>
      <c r="D3528">
        <f>IFERROR(VLOOKUP($A3528,原始数据_收盘!$A$4:$G$3460,4,0),"")</f>
        <v>3.525</v>
      </c>
      <c r="E3528">
        <f>IFERROR(VLOOKUP($A3528,原始数据_收盘!$A$4:$G$3460,5,0),"")</f>
        <v>3.84</v>
      </c>
      <c r="F3528">
        <f>IFERROR(VLOOKUP($A3528,原始数据_收盘!$A$4:$G$3460,6,0),"")</f>
        <v>3.52</v>
      </c>
      <c r="G3528">
        <f>IFERROR(VLOOKUP($A3528,原始数据_收盘!$A$4:$G$3460,7,0),"")</f>
        <v>3.8386</v>
      </c>
      <c r="H3528">
        <f>IFERROR(VLOOKUP($A3528,原始数据_利率互换_FR007_1年!$A$6:$C$4395,2,0),"")</f>
        <v>3.5143</v>
      </c>
      <c r="I3528">
        <f>IFERROR(VLOOKUP($A3528,原始数据_利率互换_FR007_1年!$A$6:$C$4395,3,0),"")</f>
        <v>3.8305</v>
      </c>
    </row>
    <row r="3529" spans="1:9">
      <c r="A3529" s="6">
        <v>43022</v>
      </c>
      <c r="B3529" t="str">
        <f>IFERROR(VLOOKUP($A3529,原始数据_收盘!$A$4:$G$3460,2,0),"")</f>
        <v/>
      </c>
      <c r="C3529" t="str">
        <f>IFERROR(VLOOKUP($A3529,原始数据_收盘!$A$4:$G$3460,3,0),"")</f>
        <v/>
      </c>
      <c r="D3529" t="str">
        <f>IFERROR(VLOOKUP($A3529,原始数据_收盘!$A$4:$G$3460,4,0),"")</f>
        <v/>
      </c>
      <c r="E3529" t="str">
        <f>IFERROR(VLOOKUP($A3529,原始数据_收盘!$A$4:$G$3460,5,0),"")</f>
        <v/>
      </c>
      <c r="F3529" t="str">
        <f>IFERROR(VLOOKUP($A3529,原始数据_收盘!$A$4:$G$3460,6,0),"")</f>
        <v/>
      </c>
      <c r="G3529" t="str">
        <f>IFERROR(VLOOKUP($A3529,原始数据_收盘!$A$4:$G$3460,7,0),"")</f>
        <v/>
      </c>
      <c r="H3529" t="str">
        <f>IFERROR(VLOOKUP($A3529,原始数据_利率互换_FR007_1年!$A$6:$C$4395,2,0),"")</f>
        <v/>
      </c>
      <c r="I3529" t="str">
        <f>IFERROR(VLOOKUP($A3529,原始数据_利率互换_FR007_1年!$A$6:$C$4395,3,0),"")</f>
        <v/>
      </c>
    </row>
    <row r="3530" spans="1:9">
      <c r="A3530" s="6">
        <v>43023</v>
      </c>
      <c r="B3530" t="str">
        <f>IFERROR(VLOOKUP($A3530,原始数据_收盘!$A$4:$G$3460,2,0),"")</f>
        <v/>
      </c>
      <c r="C3530" t="str">
        <f>IFERROR(VLOOKUP($A3530,原始数据_收盘!$A$4:$G$3460,3,0),"")</f>
        <v/>
      </c>
      <c r="D3530" t="str">
        <f>IFERROR(VLOOKUP($A3530,原始数据_收盘!$A$4:$G$3460,4,0),"")</f>
        <v/>
      </c>
      <c r="E3530" t="str">
        <f>IFERROR(VLOOKUP($A3530,原始数据_收盘!$A$4:$G$3460,5,0),"")</f>
        <v/>
      </c>
      <c r="F3530" t="str">
        <f>IFERROR(VLOOKUP($A3530,原始数据_收盘!$A$4:$G$3460,6,0),"")</f>
        <v/>
      </c>
      <c r="G3530" t="str">
        <f>IFERROR(VLOOKUP($A3530,原始数据_收盘!$A$4:$G$3460,7,0),"")</f>
        <v/>
      </c>
      <c r="H3530" t="str">
        <f>IFERROR(VLOOKUP($A3530,原始数据_利率互换_FR007_1年!$A$6:$C$4395,2,0),"")</f>
        <v/>
      </c>
      <c r="I3530" t="str">
        <f>IFERROR(VLOOKUP($A3530,原始数据_利率互换_FR007_1年!$A$6:$C$4395,3,0),"")</f>
        <v/>
      </c>
    </row>
    <row r="3531" spans="1:9">
      <c r="A3531" s="6">
        <v>43024</v>
      </c>
      <c r="B3531">
        <f>IFERROR(VLOOKUP($A3531,原始数据_收盘!$A$4:$G$3460,2,0),"")</f>
        <v>3.5359</v>
      </c>
      <c r="C3531">
        <f>IFERROR(VLOOKUP($A3531,原始数据_收盘!$A$4:$G$3460,3,0),"")</f>
        <v>3.875</v>
      </c>
      <c r="D3531">
        <f>IFERROR(VLOOKUP($A3531,原始数据_收盘!$A$4:$G$3460,4,0),"")</f>
        <v>3.5425</v>
      </c>
      <c r="E3531">
        <f>IFERROR(VLOOKUP($A3531,原始数据_收盘!$A$4:$G$3460,5,0),"")</f>
        <v>3.88</v>
      </c>
      <c r="F3531">
        <f>IFERROR(VLOOKUP($A3531,原始数据_收盘!$A$4:$G$3460,6,0),"")</f>
        <v>3.5392</v>
      </c>
      <c r="G3531">
        <f>IFERROR(VLOOKUP($A3531,原始数据_收盘!$A$4:$G$3460,7,0),"")</f>
        <v>3.8775</v>
      </c>
      <c r="H3531">
        <f>IFERROR(VLOOKUP($A3531,原始数据_利率互换_FR007_1年!$A$6:$C$4395,2,0),"")</f>
        <v>3.5407</v>
      </c>
      <c r="I3531">
        <f>IFERROR(VLOOKUP($A3531,原始数据_利率互换_FR007_1年!$A$6:$C$4395,3,0),"")</f>
        <v>3.8722</v>
      </c>
    </row>
    <row r="3532" spans="1:9">
      <c r="A3532" s="6">
        <v>43025</v>
      </c>
      <c r="B3532">
        <f>IFERROR(VLOOKUP($A3532,原始数据_收盘!$A$4:$G$3460,2,0),"")</f>
        <v>3.55</v>
      </c>
      <c r="C3532">
        <f>IFERROR(VLOOKUP($A3532,原始数据_收盘!$A$4:$G$3460,3,0),"")</f>
        <v>3.9023</v>
      </c>
      <c r="D3532">
        <f>IFERROR(VLOOKUP($A3532,原始数据_收盘!$A$4:$G$3460,4,0),"")</f>
        <v>3.5525</v>
      </c>
      <c r="E3532">
        <f>IFERROR(VLOOKUP($A3532,原始数据_收盘!$A$4:$G$3460,5,0),"")</f>
        <v>3.905</v>
      </c>
      <c r="F3532">
        <f>IFERROR(VLOOKUP($A3532,原始数据_收盘!$A$4:$G$3460,6,0),"")</f>
        <v>3.5513</v>
      </c>
      <c r="G3532">
        <f>IFERROR(VLOOKUP($A3532,原始数据_收盘!$A$4:$G$3460,7,0),"")</f>
        <v>3.9036</v>
      </c>
      <c r="H3532">
        <f>IFERROR(VLOOKUP($A3532,原始数据_利率互换_FR007_1年!$A$6:$C$4395,2,0),"")</f>
        <v>3.5488</v>
      </c>
      <c r="I3532">
        <f>IFERROR(VLOOKUP($A3532,原始数据_利率互换_FR007_1年!$A$6:$C$4395,3,0),"")</f>
        <v>3.8939</v>
      </c>
    </row>
    <row r="3533" spans="1:9">
      <c r="A3533" s="6">
        <v>43026</v>
      </c>
      <c r="B3533">
        <f>IFERROR(VLOOKUP($A3533,原始数据_收盘!$A$4:$G$3460,2,0),"")</f>
        <v>3.5275</v>
      </c>
      <c r="C3533">
        <f>IFERROR(VLOOKUP($A3533,原始数据_收盘!$A$4:$G$3460,3,0),"")</f>
        <v>3.8666</v>
      </c>
      <c r="D3533">
        <f>IFERROR(VLOOKUP($A3533,原始数据_收盘!$A$4:$G$3460,4,0),"")</f>
        <v>3.5325</v>
      </c>
      <c r="E3533">
        <f>IFERROR(VLOOKUP($A3533,原始数据_收盘!$A$4:$G$3460,5,0),"")</f>
        <v>3.8705</v>
      </c>
      <c r="F3533">
        <f>IFERROR(VLOOKUP($A3533,原始数据_收盘!$A$4:$G$3460,6,0),"")</f>
        <v>3.53</v>
      </c>
      <c r="G3533">
        <f>IFERROR(VLOOKUP($A3533,原始数据_收盘!$A$4:$G$3460,7,0),"")</f>
        <v>3.8685</v>
      </c>
      <c r="H3533">
        <f>IFERROR(VLOOKUP($A3533,原始数据_利率互换_FR007_1年!$A$6:$C$4395,2,0),"")</f>
        <v>3.5376</v>
      </c>
      <c r="I3533">
        <f>IFERROR(VLOOKUP($A3533,原始数据_利率互换_FR007_1年!$A$6:$C$4395,3,0),"")</f>
        <v>3.8832</v>
      </c>
    </row>
    <row r="3534" spans="1:9">
      <c r="A3534" s="6">
        <v>43027</v>
      </c>
      <c r="B3534">
        <f>IFERROR(VLOOKUP($A3534,原始数据_收盘!$A$4:$G$3460,2,0),"")</f>
        <v>3.5275</v>
      </c>
      <c r="C3534">
        <f>IFERROR(VLOOKUP($A3534,原始数据_收盘!$A$4:$G$3460,3,0),"")</f>
        <v>3.865</v>
      </c>
      <c r="D3534">
        <f>IFERROR(VLOOKUP($A3534,原始数据_收盘!$A$4:$G$3460,4,0),"")</f>
        <v>3.5325</v>
      </c>
      <c r="E3534">
        <f>IFERROR(VLOOKUP($A3534,原始数据_收盘!$A$4:$G$3460,5,0),"")</f>
        <v>3.8675</v>
      </c>
      <c r="F3534">
        <f>IFERROR(VLOOKUP($A3534,原始数据_收盘!$A$4:$G$3460,6,0),"")</f>
        <v>3.53</v>
      </c>
      <c r="G3534">
        <f>IFERROR(VLOOKUP($A3534,原始数据_收盘!$A$4:$G$3460,7,0),"")</f>
        <v>3.8663</v>
      </c>
      <c r="H3534">
        <f>IFERROR(VLOOKUP($A3534,原始数据_利率互换_FR007_1年!$A$6:$C$4395,2,0),"")</f>
        <v>3.5284</v>
      </c>
      <c r="I3534">
        <f>IFERROR(VLOOKUP($A3534,原始数据_利率互换_FR007_1年!$A$6:$C$4395,3,0),"")</f>
        <v>3.8647</v>
      </c>
    </row>
    <row r="3535" spans="1:9">
      <c r="A3535" s="6">
        <v>43028</v>
      </c>
      <c r="B3535">
        <f>IFERROR(VLOOKUP($A3535,原始数据_收盘!$A$4:$G$3460,2,0),"")</f>
        <v>3.536</v>
      </c>
      <c r="C3535">
        <f>IFERROR(VLOOKUP($A3535,原始数据_收盘!$A$4:$G$3460,3,0),"")</f>
        <v>3.877</v>
      </c>
      <c r="D3535">
        <f>IFERROR(VLOOKUP($A3535,原始数据_收盘!$A$4:$G$3460,4,0),"")</f>
        <v>3.5405</v>
      </c>
      <c r="E3535">
        <f>IFERROR(VLOOKUP($A3535,原始数据_收盘!$A$4:$G$3460,5,0),"")</f>
        <v>3.8805</v>
      </c>
      <c r="F3535">
        <f>IFERROR(VLOOKUP($A3535,原始数据_收盘!$A$4:$G$3460,6,0),"")</f>
        <v>3.5382</v>
      </c>
      <c r="G3535">
        <f>IFERROR(VLOOKUP($A3535,原始数据_收盘!$A$4:$G$3460,7,0),"")</f>
        <v>3.8788</v>
      </c>
      <c r="H3535">
        <f>IFERROR(VLOOKUP($A3535,原始数据_利率互换_FR007_1年!$A$6:$C$4395,2,0),"")</f>
        <v>3.5317</v>
      </c>
      <c r="I3535">
        <f>IFERROR(VLOOKUP($A3535,原始数据_利率互换_FR007_1年!$A$6:$C$4395,3,0),"")</f>
        <v>3.8671</v>
      </c>
    </row>
    <row r="3536" spans="1:9">
      <c r="A3536" s="6">
        <v>43029</v>
      </c>
      <c r="B3536" t="str">
        <f>IFERROR(VLOOKUP($A3536,原始数据_收盘!$A$4:$G$3460,2,0),"")</f>
        <v/>
      </c>
      <c r="C3536" t="str">
        <f>IFERROR(VLOOKUP($A3536,原始数据_收盘!$A$4:$G$3460,3,0),"")</f>
        <v/>
      </c>
      <c r="D3536" t="str">
        <f>IFERROR(VLOOKUP($A3536,原始数据_收盘!$A$4:$G$3460,4,0),"")</f>
        <v/>
      </c>
      <c r="E3536" t="str">
        <f>IFERROR(VLOOKUP($A3536,原始数据_收盘!$A$4:$G$3460,5,0),"")</f>
        <v/>
      </c>
      <c r="F3536" t="str">
        <f>IFERROR(VLOOKUP($A3536,原始数据_收盘!$A$4:$G$3460,6,0),"")</f>
        <v/>
      </c>
      <c r="G3536" t="str">
        <f>IFERROR(VLOOKUP($A3536,原始数据_收盘!$A$4:$G$3460,7,0),"")</f>
        <v/>
      </c>
      <c r="H3536" t="str">
        <f>IFERROR(VLOOKUP($A3536,原始数据_利率互换_FR007_1年!$A$6:$C$4395,2,0),"")</f>
        <v/>
      </c>
      <c r="I3536" t="str">
        <f>IFERROR(VLOOKUP($A3536,原始数据_利率互换_FR007_1年!$A$6:$C$4395,3,0),"")</f>
        <v/>
      </c>
    </row>
    <row r="3537" spans="1:9">
      <c r="A3537" s="6">
        <v>43030</v>
      </c>
      <c r="B3537" t="str">
        <f>IFERROR(VLOOKUP($A3537,原始数据_收盘!$A$4:$G$3460,2,0),"")</f>
        <v/>
      </c>
      <c r="C3537" t="str">
        <f>IFERROR(VLOOKUP($A3537,原始数据_收盘!$A$4:$G$3460,3,0),"")</f>
        <v/>
      </c>
      <c r="D3537" t="str">
        <f>IFERROR(VLOOKUP($A3537,原始数据_收盘!$A$4:$G$3460,4,0),"")</f>
        <v/>
      </c>
      <c r="E3537" t="str">
        <f>IFERROR(VLOOKUP($A3537,原始数据_收盘!$A$4:$G$3460,5,0),"")</f>
        <v/>
      </c>
      <c r="F3537" t="str">
        <f>IFERROR(VLOOKUP($A3537,原始数据_收盘!$A$4:$G$3460,6,0),"")</f>
        <v/>
      </c>
      <c r="G3537" t="str">
        <f>IFERROR(VLOOKUP($A3537,原始数据_收盘!$A$4:$G$3460,7,0),"")</f>
        <v/>
      </c>
      <c r="H3537" t="str">
        <f>IFERROR(VLOOKUP($A3537,原始数据_利率互换_FR007_1年!$A$6:$C$4395,2,0),"")</f>
        <v/>
      </c>
      <c r="I3537" t="str">
        <f>IFERROR(VLOOKUP($A3537,原始数据_利率互换_FR007_1年!$A$6:$C$4395,3,0),"")</f>
        <v/>
      </c>
    </row>
    <row r="3538" spans="1:9">
      <c r="A3538" s="6">
        <v>43031</v>
      </c>
      <c r="B3538">
        <f>IFERROR(VLOOKUP($A3538,原始数据_收盘!$A$4:$G$3460,2,0),"")</f>
        <v>3.5425</v>
      </c>
      <c r="C3538">
        <f>IFERROR(VLOOKUP($A3538,原始数据_收盘!$A$4:$G$3460,3,0),"")</f>
        <v>3.88</v>
      </c>
      <c r="D3538">
        <f>IFERROR(VLOOKUP($A3538,原始数据_收盘!$A$4:$G$3460,4,0),"")</f>
        <v>3.545</v>
      </c>
      <c r="E3538">
        <f>IFERROR(VLOOKUP($A3538,原始数据_收盘!$A$4:$G$3460,5,0),"")</f>
        <v>3.885</v>
      </c>
      <c r="F3538">
        <f>IFERROR(VLOOKUP($A3538,原始数据_收盘!$A$4:$G$3460,6,0),"")</f>
        <v>3.5438</v>
      </c>
      <c r="G3538">
        <f>IFERROR(VLOOKUP($A3538,原始数据_收盘!$A$4:$G$3460,7,0),"")</f>
        <v>3.8825</v>
      </c>
      <c r="H3538">
        <f>IFERROR(VLOOKUP($A3538,原始数据_利率互换_FR007_1年!$A$6:$C$4395,2,0),"")</f>
        <v>3.5429</v>
      </c>
      <c r="I3538">
        <f>IFERROR(VLOOKUP($A3538,原始数据_利率互换_FR007_1年!$A$6:$C$4395,3,0),"")</f>
        <v>3.8823</v>
      </c>
    </row>
    <row r="3539" spans="1:9">
      <c r="A3539" s="6">
        <v>43032</v>
      </c>
      <c r="B3539">
        <f>IFERROR(VLOOKUP($A3539,原始数据_收盘!$A$4:$G$3460,2,0),"")</f>
        <v>3.545</v>
      </c>
      <c r="C3539">
        <f>IFERROR(VLOOKUP($A3539,原始数据_收盘!$A$4:$G$3460,3,0),"")</f>
        <v>3.8825</v>
      </c>
      <c r="D3539">
        <f>IFERROR(VLOOKUP($A3539,原始数据_收盘!$A$4:$G$3460,4,0),"")</f>
        <v>3.5477</v>
      </c>
      <c r="E3539">
        <f>IFERROR(VLOOKUP($A3539,原始数据_收盘!$A$4:$G$3460,5,0),"")</f>
        <v>3.8875</v>
      </c>
      <c r="F3539">
        <f>IFERROR(VLOOKUP($A3539,原始数据_收盘!$A$4:$G$3460,6,0),"")</f>
        <v>3.5463</v>
      </c>
      <c r="G3539">
        <f>IFERROR(VLOOKUP($A3539,原始数据_收盘!$A$4:$G$3460,7,0),"")</f>
        <v>3.885</v>
      </c>
      <c r="H3539">
        <f>IFERROR(VLOOKUP($A3539,原始数据_利率互换_FR007_1年!$A$6:$C$4395,2,0),"")</f>
        <v>3.5427</v>
      </c>
      <c r="I3539">
        <f>IFERROR(VLOOKUP($A3539,原始数据_利率互换_FR007_1年!$A$6:$C$4395,3,0),"")</f>
        <v>3.8822</v>
      </c>
    </row>
    <row r="3540" spans="1:9">
      <c r="A3540" s="6">
        <v>43033</v>
      </c>
      <c r="B3540">
        <f>IFERROR(VLOOKUP($A3540,原始数据_收盘!$A$4:$G$3460,2,0),"")</f>
        <v>3.605</v>
      </c>
      <c r="C3540">
        <f>IFERROR(VLOOKUP($A3540,原始数据_收盘!$A$4:$G$3460,3,0),"")</f>
        <v>3.955</v>
      </c>
      <c r="D3540">
        <f>IFERROR(VLOOKUP($A3540,原始数据_收盘!$A$4:$G$3460,4,0),"")</f>
        <v>3.6125</v>
      </c>
      <c r="E3540">
        <f>IFERROR(VLOOKUP($A3540,原始数据_收盘!$A$4:$G$3460,5,0),"")</f>
        <v>3.9589</v>
      </c>
      <c r="F3540">
        <f>IFERROR(VLOOKUP($A3540,原始数据_收盘!$A$4:$G$3460,6,0),"")</f>
        <v>3.6088</v>
      </c>
      <c r="G3540">
        <f>IFERROR(VLOOKUP($A3540,原始数据_收盘!$A$4:$G$3460,7,0),"")</f>
        <v>3.9569</v>
      </c>
      <c r="H3540">
        <f>IFERROR(VLOOKUP($A3540,原始数据_利率互换_FR007_1年!$A$6:$C$4395,2,0),"")</f>
        <v>3.591</v>
      </c>
      <c r="I3540">
        <f>IFERROR(VLOOKUP($A3540,原始数据_利率互换_FR007_1年!$A$6:$C$4395,3,0),"")</f>
        <v>3.9347</v>
      </c>
    </row>
    <row r="3541" spans="1:9">
      <c r="A3541" s="6">
        <v>43034</v>
      </c>
      <c r="B3541">
        <f>IFERROR(VLOOKUP($A3541,原始数据_收盘!$A$4:$G$3460,2,0),"")</f>
        <v>3.5815</v>
      </c>
      <c r="C3541">
        <f>IFERROR(VLOOKUP($A3541,原始数据_收盘!$A$4:$G$3460,3,0),"")</f>
        <v>3.935</v>
      </c>
      <c r="D3541">
        <f>IFERROR(VLOOKUP($A3541,原始数据_收盘!$A$4:$G$3460,4,0),"")</f>
        <v>3.5863</v>
      </c>
      <c r="E3541">
        <f>IFERROR(VLOOKUP($A3541,原始数据_收盘!$A$4:$G$3460,5,0),"")</f>
        <v>3.9425</v>
      </c>
      <c r="F3541">
        <f>IFERROR(VLOOKUP($A3541,原始数据_收盘!$A$4:$G$3460,6,0),"")</f>
        <v>3.5839</v>
      </c>
      <c r="G3541">
        <f>IFERROR(VLOOKUP($A3541,原始数据_收盘!$A$4:$G$3460,7,0),"")</f>
        <v>3.9388</v>
      </c>
      <c r="H3541">
        <f>IFERROR(VLOOKUP($A3541,原始数据_利率互换_FR007_1年!$A$6:$C$4395,2,0),"")</f>
        <v>3.6025</v>
      </c>
      <c r="I3541">
        <f>IFERROR(VLOOKUP($A3541,原始数据_利率互换_FR007_1年!$A$6:$C$4395,3,0),"")</f>
        <v>3.9609</v>
      </c>
    </row>
    <row r="3542" spans="1:9">
      <c r="A3542" s="6">
        <v>43035</v>
      </c>
      <c r="B3542">
        <f>IFERROR(VLOOKUP($A3542,原始数据_收盘!$A$4:$G$3460,2,0),"")</f>
        <v>3.602</v>
      </c>
      <c r="C3542">
        <f>IFERROR(VLOOKUP($A3542,原始数据_收盘!$A$4:$G$3460,3,0),"")</f>
        <v>3.9725</v>
      </c>
      <c r="D3542">
        <f>IFERROR(VLOOKUP($A3542,原始数据_收盘!$A$4:$G$3460,4,0),"")</f>
        <v>3.6078</v>
      </c>
      <c r="E3542">
        <f>IFERROR(VLOOKUP($A3542,原始数据_收盘!$A$4:$G$3460,5,0),"")</f>
        <v>3.9769</v>
      </c>
      <c r="F3542">
        <f>IFERROR(VLOOKUP($A3542,原始数据_收盘!$A$4:$G$3460,6,0),"")</f>
        <v>3.6049</v>
      </c>
      <c r="G3542">
        <f>IFERROR(VLOOKUP($A3542,原始数据_收盘!$A$4:$G$3460,7,0),"")</f>
        <v>3.9747</v>
      </c>
      <c r="H3542">
        <f>IFERROR(VLOOKUP($A3542,原始数据_利率互换_FR007_1年!$A$6:$C$4395,2,0),"")</f>
        <v>3.5992</v>
      </c>
      <c r="I3542">
        <f>IFERROR(VLOOKUP($A3542,原始数据_利率互换_FR007_1年!$A$6:$C$4395,3,0),"")</f>
        <v>3.9618</v>
      </c>
    </row>
    <row r="3543" spans="1:9">
      <c r="A3543" s="6">
        <v>43036</v>
      </c>
      <c r="B3543" t="str">
        <f>IFERROR(VLOOKUP($A3543,原始数据_收盘!$A$4:$G$3460,2,0),"")</f>
        <v/>
      </c>
      <c r="C3543" t="str">
        <f>IFERROR(VLOOKUP($A3543,原始数据_收盘!$A$4:$G$3460,3,0),"")</f>
        <v/>
      </c>
      <c r="D3543" t="str">
        <f>IFERROR(VLOOKUP($A3543,原始数据_收盘!$A$4:$G$3460,4,0),"")</f>
        <v/>
      </c>
      <c r="E3543" t="str">
        <f>IFERROR(VLOOKUP($A3543,原始数据_收盘!$A$4:$G$3460,5,0),"")</f>
        <v/>
      </c>
      <c r="F3543" t="str">
        <f>IFERROR(VLOOKUP($A3543,原始数据_收盘!$A$4:$G$3460,6,0),"")</f>
        <v/>
      </c>
      <c r="G3543" t="str">
        <f>IFERROR(VLOOKUP($A3543,原始数据_收盘!$A$4:$G$3460,7,0),"")</f>
        <v/>
      </c>
      <c r="H3543" t="str">
        <f>IFERROR(VLOOKUP($A3543,原始数据_利率互换_FR007_1年!$A$6:$C$4395,2,0),"")</f>
        <v/>
      </c>
      <c r="I3543" t="str">
        <f>IFERROR(VLOOKUP($A3543,原始数据_利率互换_FR007_1年!$A$6:$C$4395,3,0),"")</f>
        <v/>
      </c>
    </row>
    <row r="3544" spans="1:9">
      <c r="A3544" s="6">
        <v>43037</v>
      </c>
      <c r="B3544" t="str">
        <f>IFERROR(VLOOKUP($A3544,原始数据_收盘!$A$4:$G$3460,2,0),"")</f>
        <v/>
      </c>
      <c r="C3544" t="str">
        <f>IFERROR(VLOOKUP($A3544,原始数据_收盘!$A$4:$G$3460,3,0),"")</f>
        <v/>
      </c>
      <c r="D3544" t="str">
        <f>IFERROR(VLOOKUP($A3544,原始数据_收盘!$A$4:$G$3460,4,0),"")</f>
        <v/>
      </c>
      <c r="E3544" t="str">
        <f>IFERROR(VLOOKUP($A3544,原始数据_收盘!$A$4:$G$3460,5,0),"")</f>
        <v/>
      </c>
      <c r="F3544" t="str">
        <f>IFERROR(VLOOKUP($A3544,原始数据_收盘!$A$4:$G$3460,6,0),"")</f>
        <v/>
      </c>
      <c r="G3544" t="str">
        <f>IFERROR(VLOOKUP($A3544,原始数据_收盘!$A$4:$G$3460,7,0),"")</f>
        <v/>
      </c>
      <c r="H3544" t="str">
        <f>IFERROR(VLOOKUP($A3544,原始数据_利率互换_FR007_1年!$A$6:$C$4395,2,0),"")</f>
        <v/>
      </c>
      <c r="I3544" t="str">
        <f>IFERROR(VLOOKUP($A3544,原始数据_利率互换_FR007_1年!$A$6:$C$4395,3,0),"")</f>
        <v/>
      </c>
    </row>
    <row r="3545" spans="1:9">
      <c r="A3545" s="6">
        <v>43038</v>
      </c>
      <c r="B3545">
        <f>IFERROR(VLOOKUP($A3545,原始数据_收盘!$A$4:$G$3460,2,0),"")</f>
        <v>3.6383</v>
      </c>
      <c r="C3545">
        <f>IFERROR(VLOOKUP($A3545,原始数据_收盘!$A$4:$G$3460,3,0),"")</f>
        <v>4.0325</v>
      </c>
      <c r="D3545">
        <f>IFERROR(VLOOKUP($A3545,原始数据_收盘!$A$4:$G$3460,4,0),"")</f>
        <v>3.65</v>
      </c>
      <c r="E3545">
        <f>IFERROR(VLOOKUP($A3545,原始数据_收盘!$A$4:$G$3460,5,0),"")</f>
        <v>4.04</v>
      </c>
      <c r="F3545">
        <f>IFERROR(VLOOKUP($A3545,原始数据_收盘!$A$4:$G$3460,6,0),"")</f>
        <v>3.6442</v>
      </c>
      <c r="G3545">
        <f>IFERROR(VLOOKUP($A3545,原始数据_收盘!$A$4:$G$3460,7,0),"")</f>
        <v>4.0363</v>
      </c>
      <c r="H3545">
        <f>IFERROR(VLOOKUP($A3545,原始数据_利率互换_FR007_1年!$A$6:$C$4395,2,0),"")</f>
        <v>3.6375</v>
      </c>
      <c r="I3545">
        <f>IFERROR(VLOOKUP($A3545,原始数据_利率互换_FR007_1年!$A$6:$C$4395,3,0),"")</f>
        <v>4.0197</v>
      </c>
    </row>
    <row r="3546" spans="1:9">
      <c r="A3546" s="6">
        <v>43039</v>
      </c>
      <c r="B3546">
        <f>IFERROR(VLOOKUP($A3546,原始数据_收盘!$A$4:$G$3460,2,0),"")</f>
        <v>3.6</v>
      </c>
      <c r="C3546">
        <f>IFERROR(VLOOKUP($A3546,原始数据_收盘!$A$4:$G$3460,3,0),"")</f>
        <v>3.995</v>
      </c>
      <c r="D3546">
        <f>IFERROR(VLOOKUP($A3546,原始数据_收盘!$A$4:$G$3460,4,0),"")</f>
        <v>3.607</v>
      </c>
      <c r="E3546">
        <f>IFERROR(VLOOKUP($A3546,原始数据_收盘!$A$4:$G$3460,5,0),"")</f>
        <v>3.9975</v>
      </c>
      <c r="F3546">
        <f>IFERROR(VLOOKUP($A3546,原始数据_收盘!$A$4:$G$3460,6,0),"")</f>
        <v>3.6035</v>
      </c>
      <c r="G3546">
        <f>IFERROR(VLOOKUP($A3546,原始数据_收盘!$A$4:$G$3460,7,0),"")</f>
        <v>3.9963</v>
      </c>
      <c r="H3546">
        <f>IFERROR(VLOOKUP($A3546,原始数据_利率互换_FR007_1年!$A$6:$C$4395,2,0),"")</f>
        <v>3.6096</v>
      </c>
      <c r="I3546">
        <f>IFERROR(VLOOKUP($A3546,原始数据_利率互换_FR007_1年!$A$6:$C$4395,3,0),"")</f>
        <v>3.985</v>
      </c>
    </row>
    <row r="3547" spans="1:9">
      <c r="A3547" s="6">
        <v>43040</v>
      </c>
      <c r="B3547">
        <f>IFERROR(VLOOKUP($A3547,原始数据_收盘!$A$4:$G$3460,2,0),"")</f>
        <v>3.5895</v>
      </c>
      <c r="C3547">
        <f>IFERROR(VLOOKUP($A3547,原始数据_收盘!$A$4:$G$3460,3,0),"")</f>
        <v>3.9579</v>
      </c>
      <c r="D3547">
        <f>IFERROR(VLOOKUP($A3547,原始数据_收盘!$A$4:$G$3460,4,0),"")</f>
        <v>3.595</v>
      </c>
      <c r="E3547">
        <f>IFERROR(VLOOKUP($A3547,原始数据_收盘!$A$4:$G$3460,5,0),"")</f>
        <v>3.9639</v>
      </c>
      <c r="F3547">
        <f>IFERROR(VLOOKUP($A3547,原始数据_收盘!$A$4:$G$3460,6,0),"")</f>
        <v>3.5922</v>
      </c>
      <c r="G3547">
        <f>IFERROR(VLOOKUP($A3547,原始数据_收盘!$A$4:$G$3460,7,0),"")</f>
        <v>3.9609</v>
      </c>
      <c r="H3547">
        <f>IFERROR(VLOOKUP($A3547,原始数据_利率互换_FR007_1年!$A$6:$C$4395,2,0),"")</f>
        <v>3.589</v>
      </c>
      <c r="I3547">
        <f>IFERROR(VLOOKUP($A3547,原始数据_利率互换_FR007_1年!$A$6:$C$4395,3,0),"")</f>
        <v>3.9643</v>
      </c>
    </row>
    <row r="3548" spans="1:9">
      <c r="A3548" s="6">
        <v>43041</v>
      </c>
      <c r="B3548">
        <f>IFERROR(VLOOKUP($A3548,原始数据_收盘!$A$4:$G$3460,2,0),"")</f>
        <v>3.5914</v>
      </c>
      <c r="C3548">
        <f>IFERROR(VLOOKUP($A3548,原始数据_收盘!$A$4:$G$3460,3,0),"")</f>
        <v>3.9786</v>
      </c>
      <c r="D3548">
        <f>IFERROR(VLOOKUP($A3548,原始数据_收盘!$A$4:$G$3460,4,0),"")</f>
        <v>3.6</v>
      </c>
      <c r="E3548">
        <f>IFERROR(VLOOKUP($A3548,原始数据_收盘!$A$4:$G$3460,5,0),"")</f>
        <v>3.9826</v>
      </c>
      <c r="F3548">
        <f>IFERROR(VLOOKUP($A3548,原始数据_收盘!$A$4:$G$3460,6,0),"")</f>
        <v>3.5957</v>
      </c>
      <c r="G3548">
        <f>IFERROR(VLOOKUP($A3548,原始数据_收盘!$A$4:$G$3460,7,0),"")</f>
        <v>3.9806</v>
      </c>
      <c r="H3548">
        <f>IFERROR(VLOOKUP($A3548,原始数据_利率互换_FR007_1年!$A$6:$C$4395,2,0),"")</f>
        <v>3.5903</v>
      </c>
      <c r="I3548">
        <f>IFERROR(VLOOKUP($A3548,原始数据_利率互换_FR007_1年!$A$6:$C$4395,3,0),"")</f>
        <v>3.9716</v>
      </c>
    </row>
    <row r="3549" spans="1:9">
      <c r="A3549" s="6">
        <v>43042</v>
      </c>
      <c r="B3549">
        <f>IFERROR(VLOOKUP($A3549,原始数据_收盘!$A$4:$G$3460,2,0),"")</f>
        <v>3.5875</v>
      </c>
      <c r="C3549">
        <f>IFERROR(VLOOKUP($A3549,原始数据_收盘!$A$4:$G$3460,3,0),"")</f>
        <v>3.9725</v>
      </c>
      <c r="D3549">
        <f>IFERROR(VLOOKUP($A3549,原始数据_收盘!$A$4:$G$3460,4,0),"")</f>
        <v>3.59</v>
      </c>
      <c r="E3549">
        <f>IFERROR(VLOOKUP($A3549,原始数据_收盘!$A$4:$G$3460,5,0),"")</f>
        <v>3.9775</v>
      </c>
      <c r="F3549">
        <f>IFERROR(VLOOKUP($A3549,原始数据_收盘!$A$4:$G$3460,6,0),"")</f>
        <v>3.5888</v>
      </c>
      <c r="G3549">
        <f>IFERROR(VLOOKUP($A3549,原始数据_收盘!$A$4:$G$3460,7,0),"")</f>
        <v>3.975</v>
      </c>
      <c r="H3549">
        <f>IFERROR(VLOOKUP($A3549,原始数据_利率互换_FR007_1年!$A$6:$C$4395,2,0),"")</f>
        <v>3.5907</v>
      </c>
      <c r="I3549">
        <f>IFERROR(VLOOKUP($A3549,原始数据_利率互换_FR007_1年!$A$6:$C$4395,3,0),"")</f>
        <v>3.9778</v>
      </c>
    </row>
    <row r="3550" spans="1:9">
      <c r="A3550" s="6">
        <v>43043</v>
      </c>
      <c r="B3550" t="str">
        <f>IFERROR(VLOOKUP($A3550,原始数据_收盘!$A$4:$G$3460,2,0),"")</f>
        <v/>
      </c>
      <c r="C3550" t="str">
        <f>IFERROR(VLOOKUP($A3550,原始数据_收盘!$A$4:$G$3460,3,0),"")</f>
        <v/>
      </c>
      <c r="D3550" t="str">
        <f>IFERROR(VLOOKUP($A3550,原始数据_收盘!$A$4:$G$3460,4,0),"")</f>
        <v/>
      </c>
      <c r="E3550" t="str">
        <f>IFERROR(VLOOKUP($A3550,原始数据_收盘!$A$4:$G$3460,5,0),"")</f>
        <v/>
      </c>
      <c r="F3550" t="str">
        <f>IFERROR(VLOOKUP($A3550,原始数据_收盘!$A$4:$G$3460,6,0),"")</f>
        <v/>
      </c>
      <c r="G3550" t="str">
        <f>IFERROR(VLOOKUP($A3550,原始数据_收盘!$A$4:$G$3460,7,0),"")</f>
        <v/>
      </c>
      <c r="H3550" t="str">
        <f>IFERROR(VLOOKUP($A3550,原始数据_利率互换_FR007_1年!$A$6:$C$4395,2,0),"")</f>
        <v/>
      </c>
      <c r="I3550" t="str">
        <f>IFERROR(VLOOKUP($A3550,原始数据_利率互换_FR007_1年!$A$6:$C$4395,3,0),"")</f>
        <v/>
      </c>
    </row>
    <row r="3551" spans="1:9">
      <c r="A3551" s="6">
        <v>43044</v>
      </c>
      <c r="B3551" t="str">
        <f>IFERROR(VLOOKUP($A3551,原始数据_收盘!$A$4:$G$3460,2,0),"")</f>
        <v/>
      </c>
      <c r="C3551" t="str">
        <f>IFERROR(VLOOKUP($A3551,原始数据_收盘!$A$4:$G$3460,3,0),"")</f>
        <v/>
      </c>
      <c r="D3551" t="str">
        <f>IFERROR(VLOOKUP($A3551,原始数据_收盘!$A$4:$G$3460,4,0),"")</f>
        <v/>
      </c>
      <c r="E3551" t="str">
        <f>IFERROR(VLOOKUP($A3551,原始数据_收盘!$A$4:$G$3460,5,0),"")</f>
        <v/>
      </c>
      <c r="F3551" t="str">
        <f>IFERROR(VLOOKUP($A3551,原始数据_收盘!$A$4:$G$3460,6,0),"")</f>
        <v/>
      </c>
      <c r="G3551" t="str">
        <f>IFERROR(VLOOKUP($A3551,原始数据_收盘!$A$4:$G$3460,7,0),"")</f>
        <v/>
      </c>
      <c r="H3551" t="str">
        <f>IFERROR(VLOOKUP($A3551,原始数据_利率互换_FR007_1年!$A$6:$C$4395,2,0),"")</f>
        <v/>
      </c>
      <c r="I3551" t="str">
        <f>IFERROR(VLOOKUP($A3551,原始数据_利率互换_FR007_1年!$A$6:$C$4395,3,0),"")</f>
        <v/>
      </c>
    </row>
    <row r="3552" spans="1:9">
      <c r="A3552" s="6">
        <v>43045</v>
      </c>
      <c r="B3552">
        <f>IFERROR(VLOOKUP($A3552,原始数据_收盘!$A$4:$G$3460,2,0),"")</f>
        <v>3.5825</v>
      </c>
      <c r="C3552">
        <f>IFERROR(VLOOKUP($A3552,原始数据_收盘!$A$4:$G$3460,3,0),"")</f>
        <v>3.965</v>
      </c>
      <c r="D3552">
        <f>IFERROR(VLOOKUP($A3552,原始数据_收盘!$A$4:$G$3460,4,0),"")</f>
        <v>3.585</v>
      </c>
      <c r="E3552">
        <f>IFERROR(VLOOKUP($A3552,原始数据_收盘!$A$4:$G$3460,5,0),"")</f>
        <v>3.9679</v>
      </c>
      <c r="F3552">
        <f>IFERROR(VLOOKUP($A3552,原始数据_收盘!$A$4:$G$3460,6,0),"")</f>
        <v>3.5838</v>
      </c>
      <c r="G3552">
        <f>IFERROR(VLOOKUP($A3552,原始数据_收盘!$A$4:$G$3460,7,0),"")</f>
        <v>3.9665</v>
      </c>
      <c r="H3552">
        <f>IFERROR(VLOOKUP($A3552,原始数据_利率互换_FR007_1年!$A$6:$C$4395,2,0),"")</f>
        <v>3.5866</v>
      </c>
      <c r="I3552">
        <f>IFERROR(VLOOKUP($A3552,原始数据_利率互换_FR007_1年!$A$6:$C$4395,3,0),"")</f>
        <v>3.9716</v>
      </c>
    </row>
    <row r="3553" spans="1:9">
      <c r="A3553" s="6">
        <v>43046</v>
      </c>
      <c r="B3553">
        <f>IFERROR(VLOOKUP($A3553,原始数据_收盘!$A$4:$G$3460,2,0),"")</f>
        <v>3.585</v>
      </c>
      <c r="C3553">
        <f>IFERROR(VLOOKUP($A3553,原始数据_收盘!$A$4:$G$3460,3,0),"")</f>
        <v>3.9715</v>
      </c>
      <c r="D3553">
        <f>IFERROR(VLOOKUP($A3553,原始数据_收盘!$A$4:$G$3460,4,0),"")</f>
        <v>3.5875</v>
      </c>
      <c r="E3553">
        <f>IFERROR(VLOOKUP($A3553,原始数据_收盘!$A$4:$G$3460,5,0),"")</f>
        <v>3.975</v>
      </c>
      <c r="F3553">
        <f>IFERROR(VLOOKUP($A3553,原始数据_收盘!$A$4:$G$3460,6,0),"")</f>
        <v>3.5863</v>
      </c>
      <c r="G3553">
        <f>IFERROR(VLOOKUP($A3553,原始数据_收盘!$A$4:$G$3460,7,0),"")</f>
        <v>3.9733</v>
      </c>
      <c r="H3553">
        <f>IFERROR(VLOOKUP($A3553,原始数据_利率互换_FR007_1年!$A$6:$C$4395,2,0),"")</f>
        <v>3.5828</v>
      </c>
      <c r="I3553">
        <f>IFERROR(VLOOKUP($A3553,原始数据_利率互换_FR007_1年!$A$6:$C$4395,3,0),"")</f>
        <v>3.9723</v>
      </c>
    </row>
    <row r="3554" spans="1:9">
      <c r="A3554" s="6">
        <v>43047</v>
      </c>
      <c r="B3554">
        <f>IFERROR(VLOOKUP($A3554,原始数据_收盘!$A$4:$G$3460,2,0),"")</f>
        <v>3.59</v>
      </c>
      <c r="C3554">
        <f>IFERROR(VLOOKUP($A3554,原始数据_收盘!$A$4:$G$3460,3,0),"")</f>
        <v>3.965</v>
      </c>
      <c r="D3554">
        <f>IFERROR(VLOOKUP($A3554,原始数据_收盘!$A$4:$G$3460,4,0),"")</f>
        <v>3.5925</v>
      </c>
      <c r="E3554">
        <f>IFERROR(VLOOKUP($A3554,原始数据_收盘!$A$4:$G$3460,5,0),"")</f>
        <v>3.9697</v>
      </c>
      <c r="F3554">
        <f>IFERROR(VLOOKUP($A3554,原始数据_收盘!$A$4:$G$3460,6,0),"")</f>
        <v>3.5913</v>
      </c>
      <c r="G3554">
        <f>IFERROR(VLOOKUP($A3554,原始数据_收盘!$A$4:$G$3460,7,0),"")</f>
        <v>3.9673</v>
      </c>
      <c r="H3554">
        <f>IFERROR(VLOOKUP($A3554,原始数据_利率互换_FR007_1年!$A$6:$C$4395,2,0),"")</f>
        <v>3.5906</v>
      </c>
      <c r="I3554">
        <f>IFERROR(VLOOKUP($A3554,原始数据_利率互换_FR007_1年!$A$6:$C$4395,3,0),"")</f>
        <v>3.9741</v>
      </c>
    </row>
    <row r="3555" spans="1:9">
      <c r="A3555" s="6">
        <v>43048</v>
      </c>
      <c r="B3555">
        <f>IFERROR(VLOOKUP($A3555,原始数据_收盘!$A$4:$G$3460,2,0),"")</f>
        <v>3.6025</v>
      </c>
      <c r="C3555">
        <f>IFERROR(VLOOKUP($A3555,原始数据_收盘!$A$4:$G$3460,3,0),"")</f>
        <v>3.975</v>
      </c>
      <c r="D3555">
        <f>IFERROR(VLOOKUP($A3555,原始数据_收盘!$A$4:$G$3460,4,0),"")</f>
        <v>3.607</v>
      </c>
      <c r="E3555">
        <f>IFERROR(VLOOKUP($A3555,原始数据_收盘!$A$4:$G$3460,5,0),"")</f>
        <v>3.9775</v>
      </c>
      <c r="F3555">
        <f>IFERROR(VLOOKUP($A3555,原始数据_收盘!$A$4:$G$3460,6,0),"")</f>
        <v>3.6047</v>
      </c>
      <c r="G3555">
        <f>IFERROR(VLOOKUP($A3555,原始数据_收盘!$A$4:$G$3460,7,0),"")</f>
        <v>3.9763</v>
      </c>
      <c r="H3555">
        <f>IFERROR(VLOOKUP($A3555,原始数据_利率互换_FR007_1年!$A$6:$C$4395,2,0),"")</f>
        <v>3.5972</v>
      </c>
      <c r="I3555">
        <f>IFERROR(VLOOKUP($A3555,原始数据_利率互换_FR007_1年!$A$6:$C$4395,3,0),"")</f>
        <v>3.9716</v>
      </c>
    </row>
    <row r="3556" spans="1:9">
      <c r="A3556" s="6">
        <v>43049</v>
      </c>
      <c r="B3556">
        <f>IFERROR(VLOOKUP($A3556,原始数据_收盘!$A$4:$G$3460,2,0),"")</f>
        <v>3.6305</v>
      </c>
      <c r="C3556">
        <f>IFERROR(VLOOKUP($A3556,原始数据_收盘!$A$4:$G$3460,3,0),"")</f>
        <v>4.0005</v>
      </c>
      <c r="D3556">
        <f>IFERROR(VLOOKUP($A3556,原始数据_收盘!$A$4:$G$3460,4,0),"")</f>
        <v>3.633</v>
      </c>
      <c r="E3556">
        <f>IFERROR(VLOOKUP($A3556,原始数据_收盘!$A$4:$G$3460,5,0),"")</f>
        <v>4.0057</v>
      </c>
      <c r="F3556">
        <f>IFERROR(VLOOKUP($A3556,原始数据_收盘!$A$4:$G$3460,6,0),"")</f>
        <v>3.6318</v>
      </c>
      <c r="G3556">
        <f>IFERROR(VLOOKUP($A3556,原始数据_收盘!$A$4:$G$3460,7,0),"")</f>
        <v>4.0031</v>
      </c>
      <c r="H3556">
        <f>IFERROR(VLOOKUP($A3556,原始数据_利率互换_FR007_1年!$A$6:$C$4395,2,0),"")</f>
        <v>3.6214</v>
      </c>
      <c r="I3556">
        <f>IFERROR(VLOOKUP($A3556,原始数据_利率互换_FR007_1年!$A$6:$C$4395,3,0),"")</f>
        <v>3.9907</v>
      </c>
    </row>
    <row r="3557" spans="1:9">
      <c r="A3557" s="6">
        <v>43050</v>
      </c>
      <c r="B3557" t="str">
        <f>IFERROR(VLOOKUP($A3557,原始数据_收盘!$A$4:$G$3460,2,0),"")</f>
        <v/>
      </c>
      <c r="C3557" t="str">
        <f>IFERROR(VLOOKUP($A3557,原始数据_收盘!$A$4:$G$3460,3,0),"")</f>
        <v/>
      </c>
      <c r="D3557" t="str">
        <f>IFERROR(VLOOKUP($A3557,原始数据_收盘!$A$4:$G$3460,4,0),"")</f>
        <v/>
      </c>
      <c r="E3557" t="str">
        <f>IFERROR(VLOOKUP($A3557,原始数据_收盘!$A$4:$G$3460,5,0),"")</f>
        <v/>
      </c>
      <c r="F3557" t="str">
        <f>IFERROR(VLOOKUP($A3557,原始数据_收盘!$A$4:$G$3460,6,0),"")</f>
        <v/>
      </c>
      <c r="G3557" t="str">
        <f>IFERROR(VLOOKUP($A3557,原始数据_收盘!$A$4:$G$3460,7,0),"")</f>
        <v/>
      </c>
      <c r="H3557" t="str">
        <f>IFERROR(VLOOKUP($A3557,原始数据_利率互换_FR007_1年!$A$6:$C$4395,2,0),"")</f>
        <v/>
      </c>
      <c r="I3557" t="str">
        <f>IFERROR(VLOOKUP($A3557,原始数据_利率互换_FR007_1年!$A$6:$C$4395,3,0),"")</f>
        <v/>
      </c>
    </row>
    <row r="3558" spans="1:9">
      <c r="A3558" s="6">
        <v>43051</v>
      </c>
      <c r="B3558" t="str">
        <f>IFERROR(VLOOKUP($A3558,原始数据_收盘!$A$4:$G$3460,2,0),"")</f>
        <v/>
      </c>
      <c r="C3558" t="str">
        <f>IFERROR(VLOOKUP($A3558,原始数据_收盘!$A$4:$G$3460,3,0),"")</f>
        <v/>
      </c>
      <c r="D3558" t="str">
        <f>IFERROR(VLOOKUP($A3558,原始数据_收盘!$A$4:$G$3460,4,0),"")</f>
        <v/>
      </c>
      <c r="E3558" t="str">
        <f>IFERROR(VLOOKUP($A3558,原始数据_收盘!$A$4:$G$3460,5,0),"")</f>
        <v/>
      </c>
      <c r="F3558" t="str">
        <f>IFERROR(VLOOKUP($A3558,原始数据_收盘!$A$4:$G$3460,6,0),"")</f>
        <v/>
      </c>
      <c r="G3558" t="str">
        <f>IFERROR(VLOOKUP($A3558,原始数据_收盘!$A$4:$G$3460,7,0),"")</f>
        <v/>
      </c>
      <c r="H3558" t="str">
        <f>IFERROR(VLOOKUP($A3558,原始数据_利率互换_FR007_1年!$A$6:$C$4395,2,0),"")</f>
        <v/>
      </c>
      <c r="I3558" t="str">
        <f>IFERROR(VLOOKUP($A3558,原始数据_利率互换_FR007_1年!$A$6:$C$4395,3,0),"")</f>
        <v/>
      </c>
    </row>
    <row r="3559" spans="1:9">
      <c r="A3559" s="6">
        <v>43052</v>
      </c>
      <c r="B3559">
        <f>IFERROR(VLOOKUP($A3559,原始数据_收盘!$A$4:$G$3460,2,0),"")</f>
        <v>3.6504</v>
      </c>
      <c r="C3559">
        <f>IFERROR(VLOOKUP($A3559,原始数据_收盘!$A$4:$G$3460,3,0),"")</f>
        <v>4.046</v>
      </c>
      <c r="D3559">
        <f>IFERROR(VLOOKUP($A3559,原始数据_收盘!$A$4:$G$3460,4,0),"")</f>
        <v>3.6599</v>
      </c>
      <c r="E3559">
        <f>IFERROR(VLOOKUP($A3559,原始数据_收盘!$A$4:$G$3460,5,0),"")</f>
        <v>4.0519</v>
      </c>
      <c r="F3559">
        <f>IFERROR(VLOOKUP($A3559,原始数据_收盘!$A$4:$G$3460,6,0),"")</f>
        <v>3.6551</v>
      </c>
      <c r="G3559">
        <f>IFERROR(VLOOKUP($A3559,原始数据_收盘!$A$4:$G$3460,7,0),"")</f>
        <v>4.049</v>
      </c>
      <c r="H3559">
        <f>IFERROR(VLOOKUP($A3559,原始数据_利率互换_FR007_1年!$A$6:$C$4395,2,0),"")</f>
        <v>3.6546</v>
      </c>
      <c r="I3559">
        <f>IFERROR(VLOOKUP($A3559,原始数据_利率互换_FR007_1年!$A$6:$C$4395,3,0),"")</f>
        <v>4.035</v>
      </c>
    </row>
    <row r="3560" spans="1:9">
      <c r="A3560" s="6">
        <v>43053</v>
      </c>
      <c r="B3560">
        <f>IFERROR(VLOOKUP($A3560,原始数据_收盘!$A$4:$G$3460,2,0),"")</f>
        <v>3.6433</v>
      </c>
      <c r="C3560">
        <f>IFERROR(VLOOKUP($A3560,原始数据_收盘!$A$4:$G$3460,3,0),"")</f>
        <v>4.034</v>
      </c>
      <c r="D3560">
        <f>IFERROR(VLOOKUP($A3560,原始数据_收盘!$A$4:$G$3460,4,0),"")</f>
        <v>3.65</v>
      </c>
      <c r="E3560">
        <f>IFERROR(VLOOKUP($A3560,原始数据_收盘!$A$4:$G$3460,5,0),"")</f>
        <v>4.0375</v>
      </c>
      <c r="F3560">
        <f>IFERROR(VLOOKUP($A3560,原始数据_收盘!$A$4:$G$3460,6,0),"")</f>
        <v>3.6467</v>
      </c>
      <c r="G3560">
        <f>IFERROR(VLOOKUP($A3560,原始数据_收盘!$A$4:$G$3460,7,0),"")</f>
        <v>4.0358</v>
      </c>
      <c r="H3560">
        <f>IFERROR(VLOOKUP($A3560,原始数据_利率互换_FR007_1年!$A$6:$C$4395,2,0),"")</f>
        <v>3.6524</v>
      </c>
      <c r="I3560">
        <f>IFERROR(VLOOKUP($A3560,原始数据_利率互换_FR007_1年!$A$6:$C$4395,3,0),"")</f>
        <v>4.045</v>
      </c>
    </row>
    <row r="3561" spans="1:9">
      <c r="A3561" s="6">
        <v>43054</v>
      </c>
      <c r="B3561">
        <f>IFERROR(VLOOKUP($A3561,原始数据_收盘!$A$4:$G$3460,2,0),"")</f>
        <v>3.6275</v>
      </c>
      <c r="C3561">
        <f>IFERROR(VLOOKUP($A3561,原始数据_收盘!$A$4:$G$3460,3,0),"")</f>
        <v>3.995</v>
      </c>
      <c r="D3561">
        <f>IFERROR(VLOOKUP($A3561,原始数据_收盘!$A$4:$G$3460,4,0),"")</f>
        <v>3.6345</v>
      </c>
      <c r="E3561">
        <f>IFERROR(VLOOKUP($A3561,原始数据_收盘!$A$4:$G$3460,5,0),"")</f>
        <v>4</v>
      </c>
      <c r="F3561">
        <f>IFERROR(VLOOKUP($A3561,原始数据_收盘!$A$4:$G$3460,6,0),"")</f>
        <v>3.631</v>
      </c>
      <c r="G3561">
        <f>IFERROR(VLOOKUP($A3561,原始数据_收盘!$A$4:$G$3460,7,0),"")</f>
        <v>3.9975</v>
      </c>
      <c r="H3561">
        <f>IFERROR(VLOOKUP($A3561,原始数据_利率互换_FR007_1年!$A$6:$C$4395,2,0),"")</f>
        <v>3.6273</v>
      </c>
      <c r="I3561">
        <f>IFERROR(VLOOKUP($A3561,原始数据_利率互换_FR007_1年!$A$6:$C$4395,3,0),"")</f>
        <v>3.9702</v>
      </c>
    </row>
    <row r="3562" spans="1:9">
      <c r="A3562" s="6">
        <v>43055</v>
      </c>
      <c r="B3562">
        <f>IFERROR(VLOOKUP($A3562,原始数据_收盘!$A$4:$G$3460,2,0),"")</f>
        <v>3.6</v>
      </c>
      <c r="C3562">
        <f>IFERROR(VLOOKUP($A3562,原始数据_收盘!$A$4:$G$3460,3,0),"")</f>
        <v>3.975</v>
      </c>
      <c r="D3562">
        <f>IFERROR(VLOOKUP($A3562,原始数据_收盘!$A$4:$G$3460,4,0),"")</f>
        <v>3.605</v>
      </c>
      <c r="E3562">
        <f>IFERROR(VLOOKUP($A3562,原始数据_收盘!$A$4:$G$3460,5,0),"")</f>
        <v>3.9775</v>
      </c>
      <c r="F3562">
        <f>IFERROR(VLOOKUP($A3562,原始数据_收盘!$A$4:$G$3460,6,0),"")</f>
        <v>3.6025</v>
      </c>
      <c r="G3562">
        <f>IFERROR(VLOOKUP($A3562,原始数据_收盘!$A$4:$G$3460,7,0),"")</f>
        <v>3.9763</v>
      </c>
      <c r="H3562">
        <f>IFERROR(VLOOKUP($A3562,原始数据_利率互换_FR007_1年!$A$6:$C$4395,2,0),"")</f>
        <v>3.6126</v>
      </c>
      <c r="I3562">
        <f>IFERROR(VLOOKUP($A3562,原始数据_利率互换_FR007_1年!$A$6:$C$4395,3,0),"")</f>
        <v>3.937</v>
      </c>
    </row>
    <row r="3563" spans="1:9">
      <c r="A3563" s="6">
        <v>43056</v>
      </c>
      <c r="B3563">
        <f>IFERROR(VLOOKUP($A3563,原始数据_收盘!$A$4:$G$3460,2,0),"")</f>
        <v>3.6025</v>
      </c>
      <c r="C3563">
        <f>IFERROR(VLOOKUP($A3563,原始数据_收盘!$A$4:$G$3460,3,0),"")</f>
        <v>3.9725</v>
      </c>
      <c r="D3563">
        <f>IFERROR(VLOOKUP($A3563,原始数据_收盘!$A$4:$G$3460,4,0),"")</f>
        <v>3.605</v>
      </c>
      <c r="E3563">
        <f>IFERROR(VLOOKUP($A3563,原始数据_收盘!$A$4:$G$3460,5,0),"")</f>
        <v>3.9775</v>
      </c>
      <c r="F3563">
        <f>IFERROR(VLOOKUP($A3563,原始数据_收盘!$A$4:$G$3460,6,0),"")</f>
        <v>3.6038</v>
      </c>
      <c r="G3563">
        <f>IFERROR(VLOOKUP($A3563,原始数据_收盘!$A$4:$G$3460,7,0),"")</f>
        <v>3.975</v>
      </c>
      <c r="H3563">
        <f>IFERROR(VLOOKUP($A3563,原始数据_利率互换_FR007_1年!$A$6:$C$4395,2,0),"")</f>
        <v>3.6059</v>
      </c>
      <c r="I3563">
        <f>IFERROR(VLOOKUP($A3563,原始数据_利率互换_FR007_1年!$A$6:$C$4395,3,0),"")</f>
        <v>3.9796</v>
      </c>
    </row>
    <row r="3564" spans="1:9">
      <c r="A3564" s="6">
        <v>43057</v>
      </c>
      <c r="B3564" t="str">
        <f>IFERROR(VLOOKUP($A3564,原始数据_收盘!$A$4:$G$3460,2,0),"")</f>
        <v/>
      </c>
      <c r="C3564" t="str">
        <f>IFERROR(VLOOKUP($A3564,原始数据_收盘!$A$4:$G$3460,3,0),"")</f>
        <v/>
      </c>
      <c r="D3564" t="str">
        <f>IFERROR(VLOOKUP($A3564,原始数据_收盘!$A$4:$G$3460,4,0),"")</f>
        <v/>
      </c>
      <c r="E3564" t="str">
        <f>IFERROR(VLOOKUP($A3564,原始数据_收盘!$A$4:$G$3460,5,0),"")</f>
        <v/>
      </c>
      <c r="F3564" t="str">
        <f>IFERROR(VLOOKUP($A3564,原始数据_收盘!$A$4:$G$3460,6,0),"")</f>
        <v/>
      </c>
      <c r="G3564" t="str">
        <f>IFERROR(VLOOKUP($A3564,原始数据_收盘!$A$4:$G$3460,7,0),"")</f>
        <v/>
      </c>
      <c r="H3564" t="str">
        <f>IFERROR(VLOOKUP($A3564,原始数据_利率互换_FR007_1年!$A$6:$C$4395,2,0),"")</f>
        <v/>
      </c>
      <c r="I3564" t="str">
        <f>IFERROR(VLOOKUP($A3564,原始数据_利率互换_FR007_1年!$A$6:$C$4395,3,0),"")</f>
        <v/>
      </c>
    </row>
    <row r="3565" spans="1:9">
      <c r="A3565" s="6">
        <v>43058</v>
      </c>
      <c r="B3565" t="str">
        <f>IFERROR(VLOOKUP($A3565,原始数据_收盘!$A$4:$G$3460,2,0),"")</f>
        <v/>
      </c>
      <c r="C3565" t="str">
        <f>IFERROR(VLOOKUP($A3565,原始数据_收盘!$A$4:$G$3460,3,0),"")</f>
        <v/>
      </c>
      <c r="D3565" t="str">
        <f>IFERROR(VLOOKUP($A3565,原始数据_收盘!$A$4:$G$3460,4,0),"")</f>
        <v/>
      </c>
      <c r="E3565" t="str">
        <f>IFERROR(VLOOKUP($A3565,原始数据_收盘!$A$4:$G$3460,5,0),"")</f>
        <v/>
      </c>
      <c r="F3565" t="str">
        <f>IFERROR(VLOOKUP($A3565,原始数据_收盘!$A$4:$G$3460,6,0),"")</f>
        <v/>
      </c>
      <c r="G3565" t="str">
        <f>IFERROR(VLOOKUP($A3565,原始数据_收盘!$A$4:$G$3460,7,0),"")</f>
        <v/>
      </c>
      <c r="H3565" t="str">
        <f>IFERROR(VLOOKUP($A3565,原始数据_利率互换_FR007_1年!$A$6:$C$4395,2,0),"")</f>
        <v/>
      </c>
      <c r="I3565" t="str">
        <f>IFERROR(VLOOKUP($A3565,原始数据_利率互换_FR007_1年!$A$6:$C$4395,3,0),"")</f>
        <v/>
      </c>
    </row>
    <row r="3566" spans="1:9">
      <c r="A3566" s="6">
        <v>43059</v>
      </c>
      <c r="B3566">
        <f>IFERROR(VLOOKUP($A3566,原始数据_收盘!$A$4:$G$3460,2,0),"")</f>
        <v>3.5875</v>
      </c>
      <c r="C3566">
        <f>IFERROR(VLOOKUP($A3566,原始数据_收盘!$A$4:$G$3460,3,0),"")</f>
        <v>3.9689</v>
      </c>
      <c r="D3566">
        <f>IFERROR(VLOOKUP($A3566,原始数据_收盘!$A$4:$G$3460,4,0),"")</f>
        <v>3.595</v>
      </c>
      <c r="E3566">
        <f>IFERROR(VLOOKUP($A3566,原始数据_收盘!$A$4:$G$3460,5,0),"")</f>
        <v>3.9744</v>
      </c>
      <c r="F3566">
        <f>IFERROR(VLOOKUP($A3566,原始数据_收盘!$A$4:$G$3460,6,0),"")</f>
        <v>3.5913</v>
      </c>
      <c r="G3566">
        <f>IFERROR(VLOOKUP($A3566,原始数据_收盘!$A$4:$G$3460,7,0),"")</f>
        <v>3.9716</v>
      </c>
      <c r="H3566">
        <f>IFERROR(VLOOKUP($A3566,原始数据_利率互换_FR007_1年!$A$6:$C$4395,2,0),"")</f>
        <v>3.5978</v>
      </c>
      <c r="I3566">
        <f>IFERROR(VLOOKUP($A3566,原始数据_利率互换_FR007_1年!$A$6:$C$4395,3,0),"")</f>
        <v>3.974</v>
      </c>
    </row>
    <row r="3567" spans="1:9">
      <c r="A3567" s="6">
        <v>43060</v>
      </c>
      <c r="B3567">
        <f>IFERROR(VLOOKUP($A3567,原始数据_收盘!$A$4:$G$3460,2,0),"")</f>
        <v>3.5925</v>
      </c>
      <c r="C3567">
        <f>IFERROR(VLOOKUP($A3567,原始数据_收盘!$A$4:$G$3460,3,0),"")</f>
        <v>3.9631</v>
      </c>
      <c r="D3567">
        <f>IFERROR(VLOOKUP($A3567,原始数据_收盘!$A$4:$G$3460,4,0),"")</f>
        <v>3.5953</v>
      </c>
      <c r="E3567">
        <f>IFERROR(VLOOKUP($A3567,原始数据_收盘!$A$4:$G$3460,5,0),"")</f>
        <v>3.9683</v>
      </c>
      <c r="F3567">
        <f>IFERROR(VLOOKUP($A3567,原始数据_收盘!$A$4:$G$3460,6,0),"")</f>
        <v>3.5939</v>
      </c>
      <c r="G3567">
        <f>IFERROR(VLOOKUP($A3567,原始数据_收盘!$A$4:$G$3460,7,0),"")</f>
        <v>3.9657</v>
      </c>
      <c r="H3567">
        <f>IFERROR(VLOOKUP($A3567,原始数据_利率互换_FR007_1年!$A$6:$C$4395,2,0),"")</f>
        <v>3.5958</v>
      </c>
      <c r="I3567">
        <f>IFERROR(VLOOKUP($A3567,原始数据_利率互换_FR007_1年!$A$6:$C$4395,3,0),"")</f>
        <v>3.9758</v>
      </c>
    </row>
    <row r="3568" spans="1:9">
      <c r="A3568" s="6">
        <v>43061</v>
      </c>
      <c r="B3568">
        <f>IFERROR(VLOOKUP($A3568,原始数据_收盘!$A$4:$G$3460,2,0),"")</f>
        <v>3.6223</v>
      </c>
      <c r="C3568">
        <f>IFERROR(VLOOKUP($A3568,原始数据_收盘!$A$4:$G$3460,3,0),"")</f>
        <v>3.9958</v>
      </c>
      <c r="D3568">
        <f>IFERROR(VLOOKUP($A3568,原始数据_收盘!$A$4:$G$3460,4,0),"")</f>
        <v>3.6318</v>
      </c>
      <c r="E3568">
        <f>IFERROR(VLOOKUP($A3568,原始数据_收盘!$A$4:$G$3460,5,0),"")</f>
        <v>4.0003</v>
      </c>
      <c r="F3568">
        <f>IFERROR(VLOOKUP($A3568,原始数据_收盘!$A$4:$G$3460,6,0),"")</f>
        <v>3.6271</v>
      </c>
      <c r="G3568">
        <f>IFERROR(VLOOKUP($A3568,原始数据_收盘!$A$4:$G$3460,7,0),"")</f>
        <v>3.998</v>
      </c>
      <c r="H3568">
        <f>IFERROR(VLOOKUP($A3568,原始数据_利率互换_FR007_1年!$A$6:$C$4395,2,0),"")</f>
        <v>3.6173</v>
      </c>
      <c r="I3568">
        <f>IFERROR(VLOOKUP($A3568,原始数据_利率互换_FR007_1年!$A$6:$C$4395,3,0),"")</f>
        <v>3.9899</v>
      </c>
    </row>
    <row r="3569" spans="1:9">
      <c r="A3569" s="6">
        <v>43062</v>
      </c>
      <c r="B3569">
        <f>IFERROR(VLOOKUP($A3569,原始数据_收盘!$A$4:$G$3460,2,0),"")</f>
        <v>3.61</v>
      </c>
      <c r="C3569">
        <f>IFERROR(VLOOKUP($A3569,原始数据_收盘!$A$4:$G$3460,3,0),"")</f>
        <v>3.9911</v>
      </c>
      <c r="D3569">
        <f>IFERROR(VLOOKUP($A3569,原始数据_收盘!$A$4:$G$3460,4,0),"")</f>
        <v>3.6162</v>
      </c>
      <c r="E3569">
        <f>IFERROR(VLOOKUP($A3569,原始数据_收盘!$A$4:$G$3460,5,0),"")</f>
        <v>3.9939</v>
      </c>
      <c r="F3569">
        <f>IFERROR(VLOOKUP($A3569,原始数据_收盘!$A$4:$G$3460,6,0),"")</f>
        <v>3.6131</v>
      </c>
      <c r="G3569">
        <f>IFERROR(VLOOKUP($A3569,原始数据_收盘!$A$4:$G$3460,7,0),"")</f>
        <v>3.9925</v>
      </c>
      <c r="H3569">
        <f>IFERROR(VLOOKUP($A3569,原始数据_利率互换_FR007_1年!$A$6:$C$4395,2,0),"")</f>
        <v>3.6203</v>
      </c>
      <c r="I3569">
        <f>IFERROR(VLOOKUP($A3569,原始数据_利率互换_FR007_1年!$A$6:$C$4395,3,0),"")</f>
        <v>3.9982</v>
      </c>
    </row>
    <row r="3570" spans="1:9">
      <c r="A3570" s="6">
        <v>43063</v>
      </c>
      <c r="B3570">
        <f>IFERROR(VLOOKUP($A3570,原始数据_收盘!$A$4:$G$3460,2,0),"")</f>
        <v>3.5975</v>
      </c>
      <c r="C3570">
        <f>IFERROR(VLOOKUP($A3570,原始数据_收盘!$A$4:$G$3460,3,0),"")</f>
        <v>3.9656</v>
      </c>
      <c r="D3570">
        <f>IFERROR(VLOOKUP($A3570,原始数据_收盘!$A$4:$G$3460,4,0),"")</f>
        <v>3.605</v>
      </c>
      <c r="E3570">
        <f>IFERROR(VLOOKUP($A3570,原始数据_收盘!$A$4:$G$3460,5,0),"")</f>
        <v>3.97</v>
      </c>
      <c r="F3570">
        <f>IFERROR(VLOOKUP($A3570,原始数据_收盘!$A$4:$G$3460,6,0),"")</f>
        <v>3.6013</v>
      </c>
      <c r="G3570">
        <f>IFERROR(VLOOKUP($A3570,原始数据_收盘!$A$4:$G$3460,7,0),"")</f>
        <v>3.9678</v>
      </c>
      <c r="H3570">
        <f>IFERROR(VLOOKUP($A3570,原始数据_利率互换_FR007_1年!$A$6:$C$4395,2,0),"")</f>
        <v>3.6066</v>
      </c>
      <c r="I3570">
        <f>IFERROR(VLOOKUP($A3570,原始数据_利率互换_FR007_1年!$A$6:$C$4395,3,0),"")</f>
        <v>3.9705</v>
      </c>
    </row>
    <row r="3571" spans="1:9">
      <c r="A3571" s="6">
        <v>43064</v>
      </c>
      <c r="B3571" t="str">
        <f>IFERROR(VLOOKUP($A3571,原始数据_收盘!$A$4:$G$3460,2,0),"")</f>
        <v/>
      </c>
      <c r="C3571" t="str">
        <f>IFERROR(VLOOKUP($A3571,原始数据_收盘!$A$4:$G$3460,3,0),"")</f>
        <v/>
      </c>
      <c r="D3571" t="str">
        <f>IFERROR(VLOOKUP($A3571,原始数据_收盘!$A$4:$G$3460,4,0),"")</f>
        <v/>
      </c>
      <c r="E3571" t="str">
        <f>IFERROR(VLOOKUP($A3571,原始数据_收盘!$A$4:$G$3460,5,0),"")</f>
        <v/>
      </c>
      <c r="F3571" t="str">
        <f>IFERROR(VLOOKUP($A3571,原始数据_收盘!$A$4:$G$3460,6,0),"")</f>
        <v/>
      </c>
      <c r="G3571" t="str">
        <f>IFERROR(VLOOKUP($A3571,原始数据_收盘!$A$4:$G$3460,7,0),"")</f>
        <v/>
      </c>
      <c r="H3571" t="str">
        <f>IFERROR(VLOOKUP($A3571,原始数据_利率互换_FR007_1年!$A$6:$C$4395,2,0),"")</f>
        <v/>
      </c>
      <c r="I3571" t="str">
        <f>IFERROR(VLOOKUP($A3571,原始数据_利率互换_FR007_1年!$A$6:$C$4395,3,0),"")</f>
        <v/>
      </c>
    </row>
    <row r="3572" spans="1:9">
      <c r="A3572" s="6">
        <v>43065</v>
      </c>
      <c r="B3572" t="str">
        <f>IFERROR(VLOOKUP($A3572,原始数据_收盘!$A$4:$G$3460,2,0),"")</f>
        <v/>
      </c>
      <c r="C3572" t="str">
        <f>IFERROR(VLOOKUP($A3572,原始数据_收盘!$A$4:$G$3460,3,0),"")</f>
        <v/>
      </c>
      <c r="D3572" t="str">
        <f>IFERROR(VLOOKUP($A3572,原始数据_收盘!$A$4:$G$3460,4,0),"")</f>
        <v/>
      </c>
      <c r="E3572" t="str">
        <f>IFERROR(VLOOKUP($A3572,原始数据_收盘!$A$4:$G$3460,5,0),"")</f>
        <v/>
      </c>
      <c r="F3572" t="str">
        <f>IFERROR(VLOOKUP($A3572,原始数据_收盘!$A$4:$G$3460,6,0),"")</f>
        <v/>
      </c>
      <c r="G3572" t="str">
        <f>IFERROR(VLOOKUP($A3572,原始数据_收盘!$A$4:$G$3460,7,0),"")</f>
        <v/>
      </c>
      <c r="H3572" t="str">
        <f>IFERROR(VLOOKUP($A3572,原始数据_利率互换_FR007_1年!$A$6:$C$4395,2,0),"")</f>
        <v/>
      </c>
      <c r="I3572" t="str">
        <f>IFERROR(VLOOKUP($A3572,原始数据_利率互换_FR007_1年!$A$6:$C$4395,3,0),"")</f>
        <v/>
      </c>
    </row>
    <row r="3573" spans="1:9">
      <c r="A3573" s="6">
        <v>43066</v>
      </c>
      <c r="B3573">
        <f>IFERROR(VLOOKUP($A3573,原始数据_收盘!$A$4:$G$3460,2,0),"")</f>
        <v>3.6075</v>
      </c>
      <c r="C3573">
        <f>IFERROR(VLOOKUP($A3573,原始数据_收盘!$A$4:$G$3460,3,0),"")</f>
        <v>3.97</v>
      </c>
      <c r="D3573">
        <f>IFERROR(VLOOKUP($A3573,原始数据_收盘!$A$4:$G$3460,4,0),"")</f>
        <v>3.61</v>
      </c>
      <c r="E3573">
        <f>IFERROR(VLOOKUP($A3573,原始数据_收盘!$A$4:$G$3460,5,0),"")</f>
        <v>3.975</v>
      </c>
      <c r="F3573">
        <f>IFERROR(VLOOKUP($A3573,原始数据_收盘!$A$4:$G$3460,6,0),"")</f>
        <v>3.6088</v>
      </c>
      <c r="G3573">
        <f>IFERROR(VLOOKUP($A3573,原始数据_收盘!$A$4:$G$3460,7,0),"")</f>
        <v>3.9725</v>
      </c>
      <c r="H3573">
        <f>IFERROR(VLOOKUP($A3573,原始数据_利率互换_FR007_1年!$A$6:$C$4395,2,0),"")</f>
        <v>3.6075</v>
      </c>
      <c r="I3573">
        <f>IFERROR(VLOOKUP($A3573,原始数据_利率互换_FR007_1年!$A$6:$C$4395,3,0),"")</f>
        <v>3.9717</v>
      </c>
    </row>
    <row r="3574" spans="1:9">
      <c r="A3574" s="6">
        <v>43067</v>
      </c>
      <c r="B3574">
        <f>IFERROR(VLOOKUP($A3574,原始数据_收盘!$A$4:$G$3460,2,0),"")</f>
        <v>3.6275</v>
      </c>
      <c r="C3574">
        <f>IFERROR(VLOOKUP($A3574,原始数据_收盘!$A$4:$G$3460,3,0),"")</f>
        <v>3.9888</v>
      </c>
      <c r="D3574">
        <f>IFERROR(VLOOKUP($A3574,原始数据_收盘!$A$4:$G$3460,4,0),"")</f>
        <v>3.6313</v>
      </c>
      <c r="E3574">
        <f>IFERROR(VLOOKUP($A3574,原始数据_收盘!$A$4:$G$3460,5,0),"")</f>
        <v>3.9927</v>
      </c>
      <c r="F3574">
        <f>IFERROR(VLOOKUP($A3574,原始数据_收盘!$A$4:$G$3460,6,0),"")</f>
        <v>3.6294</v>
      </c>
      <c r="G3574">
        <f>IFERROR(VLOOKUP($A3574,原始数据_收盘!$A$4:$G$3460,7,0),"")</f>
        <v>3.9908</v>
      </c>
      <c r="H3574">
        <f>IFERROR(VLOOKUP($A3574,原始数据_利率互换_FR007_1年!$A$6:$C$4395,2,0),"")</f>
        <v>3.6183</v>
      </c>
      <c r="I3574">
        <f>IFERROR(VLOOKUP($A3574,原始数据_利率互换_FR007_1年!$A$6:$C$4395,3,0),"")</f>
        <v>3.9794</v>
      </c>
    </row>
    <row r="3575" spans="1:9">
      <c r="A3575" s="6">
        <v>43068</v>
      </c>
      <c r="B3575">
        <f>IFERROR(VLOOKUP($A3575,原始数据_收盘!$A$4:$G$3460,2,0),"")</f>
        <v>3.62</v>
      </c>
      <c r="C3575">
        <f>IFERROR(VLOOKUP($A3575,原始数据_收盘!$A$4:$G$3460,3,0),"")</f>
        <v>3.9675</v>
      </c>
      <c r="D3575">
        <f>IFERROR(VLOOKUP($A3575,原始数据_收盘!$A$4:$G$3460,4,0),"")</f>
        <v>3.625</v>
      </c>
      <c r="E3575">
        <f>IFERROR(VLOOKUP($A3575,原始数据_收盘!$A$4:$G$3460,5,0),"")</f>
        <v>3.9725</v>
      </c>
      <c r="F3575">
        <f>IFERROR(VLOOKUP($A3575,原始数据_收盘!$A$4:$G$3460,6,0),"")</f>
        <v>3.6225</v>
      </c>
      <c r="G3575">
        <f>IFERROR(VLOOKUP($A3575,原始数据_收盘!$A$4:$G$3460,7,0),"")</f>
        <v>3.97</v>
      </c>
      <c r="H3575">
        <f>IFERROR(VLOOKUP($A3575,原始数据_利率互换_FR007_1年!$A$6:$C$4395,2,0),"")</f>
        <v>3.6327</v>
      </c>
      <c r="I3575">
        <f>IFERROR(VLOOKUP($A3575,原始数据_利率互换_FR007_1年!$A$6:$C$4395,3,0),"")</f>
        <v>3.9851</v>
      </c>
    </row>
    <row r="3576" spans="1:9">
      <c r="A3576" s="6">
        <v>43069</v>
      </c>
      <c r="B3576">
        <f>IFERROR(VLOOKUP($A3576,原始数据_收盘!$A$4:$G$3460,2,0),"")</f>
        <v>3.62</v>
      </c>
      <c r="C3576">
        <f>IFERROR(VLOOKUP($A3576,原始数据_收盘!$A$4:$G$3460,3,0),"")</f>
        <v>3.965</v>
      </c>
      <c r="D3576">
        <f>IFERROR(VLOOKUP($A3576,原始数据_收盘!$A$4:$G$3460,4,0),"")</f>
        <v>3.6225</v>
      </c>
      <c r="E3576">
        <f>IFERROR(VLOOKUP($A3576,原始数据_收盘!$A$4:$G$3460,5,0),"")</f>
        <v>3.97</v>
      </c>
      <c r="F3576">
        <f>IFERROR(VLOOKUP($A3576,原始数据_收盘!$A$4:$G$3460,6,0),"")</f>
        <v>3.6213</v>
      </c>
      <c r="G3576">
        <f>IFERROR(VLOOKUP($A3576,原始数据_收盘!$A$4:$G$3460,7,0),"")</f>
        <v>3.9675</v>
      </c>
      <c r="H3576">
        <f>IFERROR(VLOOKUP($A3576,原始数据_利率互换_FR007_1年!$A$6:$C$4395,2,0),"")</f>
        <v>3.6258</v>
      </c>
      <c r="I3576">
        <f>IFERROR(VLOOKUP($A3576,原始数据_利率互换_FR007_1年!$A$6:$C$4395,3,0),"")</f>
        <v>3.9758</v>
      </c>
    </row>
    <row r="3577" spans="1:9">
      <c r="A3577" s="6">
        <v>43070</v>
      </c>
      <c r="B3577">
        <f>IFERROR(VLOOKUP($A3577,原始数据_收盘!$A$4:$G$3460,2,0),"")</f>
        <v>3.6125</v>
      </c>
      <c r="C3577">
        <f>IFERROR(VLOOKUP($A3577,原始数据_收盘!$A$4:$G$3460,3,0),"")</f>
        <v>3.97</v>
      </c>
      <c r="D3577">
        <f>IFERROR(VLOOKUP($A3577,原始数据_收盘!$A$4:$G$3460,4,0),"")</f>
        <v>3.6175</v>
      </c>
      <c r="E3577">
        <f>IFERROR(VLOOKUP($A3577,原始数据_收盘!$A$4:$G$3460,5,0),"")</f>
        <v>3.97</v>
      </c>
      <c r="F3577">
        <f>IFERROR(VLOOKUP($A3577,原始数据_收盘!$A$4:$G$3460,6,0),"")</f>
        <v>3.615</v>
      </c>
      <c r="G3577">
        <f>IFERROR(VLOOKUP($A3577,原始数据_收盘!$A$4:$G$3460,7,0),"")</f>
        <v>3.97</v>
      </c>
      <c r="H3577">
        <f>IFERROR(VLOOKUP($A3577,原始数据_利率互换_FR007_1年!$A$6:$C$4395,2,0),"")</f>
        <v>3.6175</v>
      </c>
      <c r="I3577">
        <f>IFERROR(VLOOKUP($A3577,原始数据_利率互换_FR007_1年!$A$6:$C$4395,3,0),"")</f>
        <v>3.9694</v>
      </c>
    </row>
    <row r="3578" spans="1:9">
      <c r="A3578" s="6">
        <v>43071</v>
      </c>
      <c r="B3578" t="str">
        <f>IFERROR(VLOOKUP($A3578,原始数据_收盘!$A$4:$G$3460,2,0),"")</f>
        <v/>
      </c>
      <c r="C3578" t="str">
        <f>IFERROR(VLOOKUP($A3578,原始数据_收盘!$A$4:$G$3460,3,0),"")</f>
        <v/>
      </c>
      <c r="D3578" t="str">
        <f>IFERROR(VLOOKUP($A3578,原始数据_收盘!$A$4:$G$3460,4,0),"")</f>
        <v/>
      </c>
      <c r="E3578" t="str">
        <f>IFERROR(VLOOKUP($A3578,原始数据_收盘!$A$4:$G$3460,5,0),"")</f>
        <v/>
      </c>
      <c r="F3578" t="str">
        <f>IFERROR(VLOOKUP($A3578,原始数据_收盘!$A$4:$G$3460,6,0),"")</f>
        <v/>
      </c>
      <c r="G3578" t="str">
        <f>IFERROR(VLOOKUP($A3578,原始数据_收盘!$A$4:$G$3460,7,0),"")</f>
        <v/>
      </c>
      <c r="H3578" t="str">
        <f>IFERROR(VLOOKUP($A3578,原始数据_利率互换_FR007_1年!$A$6:$C$4395,2,0),"")</f>
        <v/>
      </c>
      <c r="I3578" t="str">
        <f>IFERROR(VLOOKUP($A3578,原始数据_利率互换_FR007_1年!$A$6:$C$4395,3,0),"")</f>
        <v/>
      </c>
    </row>
    <row r="3579" spans="1:9">
      <c r="A3579" s="6">
        <v>43072</v>
      </c>
      <c r="B3579" t="str">
        <f>IFERROR(VLOOKUP($A3579,原始数据_收盘!$A$4:$G$3460,2,0),"")</f>
        <v/>
      </c>
      <c r="C3579" t="str">
        <f>IFERROR(VLOOKUP($A3579,原始数据_收盘!$A$4:$G$3460,3,0),"")</f>
        <v/>
      </c>
      <c r="D3579" t="str">
        <f>IFERROR(VLOOKUP($A3579,原始数据_收盘!$A$4:$G$3460,4,0),"")</f>
        <v/>
      </c>
      <c r="E3579" t="str">
        <f>IFERROR(VLOOKUP($A3579,原始数据_收盘!$A$4:$G$3460,5,0),"")</f>
        <v/>
      </c>
      <c r="F3579" t="str">
        <f>IFERROR(VLOOKUP($A3579,原始数据_收盘!$A$4:$G$3460,6,0),"")</f>
        <v/>
      </c>
      <c r="G3579" t="str">
        <f>IFERROR(VLOOKUP($A3579,原始数据_收盘!$A$4:$G$3460,7,0),"")</f>
        <v/>
      </c>
      <c r="H3579" t="str">
        <f>IFERROR(VLOOKUP($A3579,原始数据_利率互换_FR007_1年!$A$6:$C$4395,2,0),"")</f>
        <v/>
      </c>
      <c r="I3579" t="str">
        <f>IFERROR(VLOOKUP($A3579,原始数据_利率互换_FR007_1年!$A$6:$C$4395,3,0),"")</f>
        <v/>
      </c>
    </row>
    <row r="3580" spans="1:9">
      <c r="A3580" s="6">
        <v>43073</v>
      </c>
      <c r="B3580">
        <f>IFERROR(VLOOKUP($A3580,原始数据_收盘!$A$4:$G$3460,2,0),"")</f>
        <v>3.612</v>
      </c>
      <c r="C3580">
        <f>IFERROR(VLOOKUP($A3580,原始数据_收盘!$A$4:$G$3460,3,0),"")</f>
        <v>3.9725</v>
      </c>
      <c r="D3580">
        <f>IFERROR(VLOOKUP($A3580,原始数据_收盘!$A$4:$G$3460,4,0),"")</f>
        <v>3.615</v>
      </c>
      <c r="E3580">
        <f>IFERROR(VLOOKUP($A3580,原始数据_收盘!$A$4:$G$3460,5,0),"")</f>
        <v>3.975</v>
      </c>
      <c r="F3580">
        <f>IFERROR(VLOOKUP($A3580,原始数据_收盘!$A$4:$G$3460,6,0),"")</f>
        <v>3.6135</v>
      </c>
      <c r="G3580">
        <f>IFERROR(VLOOKUP($A3580,原始数据_收盘!$A$4:$G$3460,7,0),"")</f>
        <v>3.9738</v>
      </c>
      <c r="H3580">
        <f>IFERROR(VLOOKUP($A3580,原始数据_利率互换_FR007_1年!$A$6:$C$4395,2,0),"")</f>
        <v>3.6143</v>
      </c>
      <c r="I3580">
        <f>IFERROR(VLOOKUP($A3580,原始数据_利率互换_FR007_1年!$A$6:$C$4395,3,0),"")</f>
        <v>3.971</v>
      </c>
    </row>
    <row r="3581" spans="1:9">
      <c r="A3581" s="6">
        <v>43074</v>
      </c>
      <c r="B3581">
        <f>IFERROR(VLOOKUP($A3581,原始数据_收盘!$A$4:$G$3460,2,0),"")</f>
        <v>3.6125</v>
      </c>
      <c r="C3581">
        <f>IFERROR(VLOOKUP($A3581,原始数据_收盘!$A$4:$G$3460,3,0),"")</f>
        <v>3.9711</v>
      </c>
      <c r="D3581">
        <f>IFERROR(VLOOKUP($A3581,原始数据_收盘!$A$4:$G$3460,4,0),"")</f>
        <v>3.6175</v>
      </c>
      <c r="E3581">
        <f>IFERROR(VLOOKUP($A3581,原始数据_收盘!$A$4:$G$3460,5,0),"")</f>
        <v>3.975</v>
      </c>
      <c r="F3581">
        <f>IFERROR(VLOOKUP($A3581,原始数据_收盘!$A$4:$G$3460,6,0),"")</f>
        <v>3.615</v>
      </c>
      <c r="G3581">
        <f>IFERROR(VLOOKUP($A3581,原始数据_收盘!$A$4:$G$3460,7,0),"")</f>
        <v>3.9731</v>
      </c>
      <c r="H3581">
        <f>IFERROR(VLOOKUP($A3581,原始数据_利率互换_FR007_1年!$A$6:$C$4395,2,0),"")</f>
        <v>3.6088</v>
      </c>
      <c r="I3581">
        <f>IFERROR(VLOOKUP($A3581,原始数据_利率互换_FR007_1年!$A$6:$C$4395,3,0),"")</f>
        <v>3.9699</v>
      </c>
    </row>
    <row r="3582" spans="1:9">
      <c r="A3582" s="6">
        <v>43075</v>
      </c>
      <c r="B3582">
        <f>IFERROR(VLOOKUP($A3582,原始数据_收盘!$A$4:$G$3460,2,0),"")</f>
        <v>3.6297</v>
      </c>
      <c r="C3582">
        <f>IFERROR(VLOOKUP($A3582,原始数据_收盘!$A$4:$G$3460,3,0),"")</f>
        <v>3.985</v>
      </c>
      <c r="D3582">
        <f>IFERROR(VLOOKUP($A3582,原始数据_收盘!$A$4:$G$3460,4,0),"")</f>
        <v>3.6325</v>
      </c>
      <c r="E3582">
        <f>IFERROR(VLOOKUP($A3582,原始数据_收盘!$A$4:$G$3460,5,0),"")</f>
        <v>3.9875</v>
      </c>
      <c r="F3582">
        <f>IFERROR(VLOOKUP($A3582,原始数据_收盘!$A$4:$G$3460,6,0),"")</f>
        <v>3.6311</v>
      </c>
      <c r="G3582">
        <f>IFERROR(VLOOKUP($A3582,原始数据_收盘!$A$4:$G$3460,7,0),"")</f>
        <v>3.9863</v>
      </c>
      <c r="H3582">
        <f>IFERROR(VLOOKUP($A3582,原始数据_利率互换_FR007_1年!$A$6:$C$4395,2,0),"")</f>
        <v>3.6268</v>
      </c>
      <c r="I3582">
        <f>IFERROR(VLOOKUP($A3582,原始数据_利率互换_FR007_1年!$A$6:$C$4395,3,0),"")</f>
        <v>3.9823</v>
      </c>
    </row>
    <row r="3583" spans="1:9">
      <c r="A3583" s="6">
        <v>43076</v>
      </c>
      <c r="B3583">
        <f>IFERROR(VLOOKUP($A3583,原始数据_收盘!$A$4:$G$3460,2,0),"")</f>
        <v>3.6397</v>
      </c>
      <c r="C3583">
        <f>IFERROR(VLOOKUP($A3583,原始数据_收盘!$A$4:$G$3460,3,0),"")</f>
        <v>3.9908</v>
      </c>
      <c r="D3583">
        <f>IFERROR(VLOOKUP($A3583,原始数据_收盘!$A$4:$G$3460,4,0),"")</f>
        <v>3.6428</v>
      </c>
      <c r="E3583">
        <f>IFERROR(VLOOKUP($A3583,原始数据_收盘!$A$4:$G$3460,5,0),"")</f>
        <v>3.9938</v>
      </c>
      <c r="F3583">
        <f>IFERROR(VLOOKUP($A3583,原始数据_收盘!$A$4:$G$3460,6,0),"")</f>
        <v>3.6413</v>
      </c>
      <c r="G3583">
        <f>IFERROR(VLOOKUP($A3583,原始数据_收盘!$A$4:$G$3460,7,0),"")</f>
        <v>3.9923</v>
      </c>
      <c r="H3583">
        <f>IFERROR(VLOOKUP($A3583,原始数据_利率互换_FR007_1年!$A$6:$C$4395,2,0),"")</f>
        <v>3.6396</v>
      </c>
      <c r="I3583">
        <f>IFERROR(VLOOKUP($A3583,原始数据_利率互换_FR007_1年!$A$6:$C$4395,3,0),"")</f>
        <v>3.992</v>
      </c>
    </row>
    <row r="3584" spans="1:9">
      <c r="A3584" s="6">
        <v>43077</v>
      </c>
      <c r="B3584">
        <f>IFERROR(VLOOKUP($A3584,原始数据_收盘!$A$4:$G$3460,2,0),"")</f>
        <v>3.6625</v>
      </c>
      <c r="C3584">
        <f>IFERROR(VLOOKUP($A3584,原始数据_收盘!$A$4:$G$3460,3,0),"")</f>
        <v>4.0102</v>
      </c>
      <c r="D3584">
        <f>IFERROR(VLOOKUP($A3584,原始数据_收盘!$A$4:$G$3460,4,0),"")</f>
        <v>3.665</v>
      </c>
      <c r="E3584">
        <f>IFERROR(VLOOKUP($A3584,原始数据_收盘!$A$4:$G$3460,5,0),"")</f>
        <v>4.0131</v>
      </c>
      <c r="F3584">
        <f>IFERROR(VLOOKUP($A3584,原始数据_收盘!$A$4:$G$3460,6,0),"")</f>
        <v>3.6638</v>
      </c>
      <c r="G3584">
        <f>IFERROR(VLOOKUP($A3584,原始数据_收盘!$A$4:$G$3460,7,0),"")</f>
        <v>4.0116</v>
      </c>
      <c r="H3584">
        <f>IFERROR(VLOOKUP($A3584,原始数据_利率互换_FR007_1年!$A$6:$C$4395,2,0),"")</f>
        <v>3.6655</v>
      </c>
      <c r="I3584">
        <f>IFERROR(VLOOKUP($A3584,原始数据_利率互换_FR007_1年!$A$6:$C$4395,3,0),"")</f>
        <v>4.0141</v>
      </c>
    </row>
    <row r="3585" spans="1:9">
      <c r="A3585" s="6">
        <v>43078</v>
      </c>
      <c r="B3585" t="str">
        <f>IFERROR(VLOOKUP($A3585,原始数据_收盘!$A$4:$G$3460,2,0),"")</f>
        <v/>
      </c>
      <c r="C3585" t="str">
        <f>IFERROR(VLOOKUP($A3585,原始数据_收盘!$A$4:$G$3460,3,0),"")</f>
        <v/>
      </c>
      <c r="D3585" t="str">
        <f>IFERROR(VLOOKUP($A3585,原始数据_收盘!$A$4:$G$3460,4,0),"")</f>
        <v/>
      </c>
      <c r="E3585" t="str">
        <f>IFERROR(VLOOKUP($A3585,原始数据_收盘!$A$4:$G$3460,5,0),"")</f>
        <v/>
      </c>
      <c r="F3585" t="str">
        <f>IFERROR(VLOOKUP($A3585,原始数据_收盘!$A$4:$G$3460,6,0),"")</f>
        <v/>
      </c>
      <c r="G3585" t="str">
        <f>IFERROR(VLOOKUP($A3585,原始数据_收盘!$A$4:$G$3460,7,0),"")</f>
        <v/>
      </c>
      <c r="H3585" t="str">
        <f>IFERROR(VLOOKUP($A3585,原始数据_利率互换_FR007_1年!$A$6:$C$4395,2,0),"")</f>
        <v/>
      </c>
      <c r="I3585" t="str">
        <f>IFERROR(VLOOKUP($A3585,原始数据_利率互换_FR007_1年!$A$6:$C$4395,3,0),"")</f>
        <v/>
      </c>
    </row>
    <row r="3586" spans="1:9">
      <c r="A3586" s="6">
        <v>43079</v>
      </c>
      <c r="B3586" t="str">
        <f>IFERROR(VLOOKUP($A3586,原始数据_收盘!$A$4:$G$3460,2,0),"")</f>
        <v/>
      </c>
      <c r="C3586" t="str">
        <f>IFERROR(VLOOKUP($A3586,原始数据_收盘!$A$4:$G$3460,3,0),"")</f>
        <v/>
      </c>
      <c r="D3586" t="str">
        <f>IFERROR(VLOOKUP($A3586,原始数据_收盘!$A$4:$G$3460,4,0),"")</f>
        <v/>
      </c>
      <c r="E3586" t="str">
        <f>IFERROR(VLOOKUP($A3586,原始数据_收盘!$A$4:$G$3460,5,0),"")</f>
        <v/>
      </c>
      <c r="F3586" t="str">
        <f>IFERROR(VLOOKUP($A3586,原始数据_收盘!$A$4:$G$3460,6,0),"")</f>
        <v/>
      </c>
      <c r="G3586" t="str">
        <f>IFERROR(VLOOKUP($A3586,原始数据_收盘!$A$4:$G$3460,7,0),"")</f>
        <v/>
      </c>
      <c r="H3586" t="str">
        <f>IFERROR(VLOOKUP($A3586,原始数据_利率互换_FR007_1年!$A$6:$C$4395,2,0),"")</f>
        <v/>
      </c>
      <c r="I3586" t="str">
        <f>IFERROR(VLOOKUP($A3586,原始数据_利率互换_FR007_1年!$A$6:$C$4395,3,0),"")</f>
        <v/>
      </c>
    </row>
    <row r="3587" spans="1:9">
      <c r="A3587" s="6">
        <v>43080</v>
      </c>
      <c r="B3587">
        <f>IFERROR(VLOOKUP($A3587,原始数据_收盘!$A$4:$G$3460,2,0),"")</f>
        <v>3.695</v>
      </c>
      <c r="C3587">
        <f>IFERROR(VLOOKUP($A3587,原始数据_收盘!$A$4:$G$3460,3,0),"")</f>
        <v>4.0525</v>
      </c>
      <c r="D3587">
        <f>IFERROR(VLOOKUP($A3587,原始数据_收盘!$A$4:$G$3460,4,0),"")</f>
        <v>3.7</v>
      </c>
      <c r="E3587">
        <f>IFERROR(VLOOKUP($A3587,原始数据_收盘!$A$4:$G$3460,5,0),"")</f>
        <v>4.0575</v>
      </c>
      <c r="F3587">
        <f>IFERROR(VLOOKUP($A3587,原始数据_收盘!$A$4:$G$3460,6,0),"")</f>
        <v>3.6975</v>
      </c>
      <c r="G3587">
        <f>IFERROR(VLOOKUP($A3587,原始数据_收盘!$A$4:$G$3460,7,0),"")</f>
        <v>4.055</v>
      </c>
      <c r="H3587">
        <f>IFERROR(VLOOKUP($A3587,原始数据_利率互换_FR007_1年!$A$6:$C$4395,2,0),"")</f>
        <v>3.6949</v>
      </c>
      <c r="I3587">
        <f>IFERROR(VLOOKUP($A3587,原始数据_利率互换_FR007_1年!$A$6:$C$4395,3,0),"")</f>
        <v>4.0516</v>
      </c>
    </row>
    <row r="3588" spans="1:9">
      <c r="A3588" s="6">
        <v>43081</v>
      </c>
      <c r="B3588">
        <f>IFERROR(VLOOKUP($A3588,原始数据_收盘!$A$4:$G$3460,2,0),"")</f>
        <v>3.7223</v>
      </c>
      <c r="C3588">
        <f>IFERROR(VLOOKUP($A3588,原始数据_收盘!$A$4:$G$3460,3,0),"")</f>
        <v>4.085</v>
      </c>
      <c r="D3588">
        <f>IFERROR(VLOOKUP($A3588,原始数据_收盘!$A$4:$G$3460,4,0),"")</f>
        <v>3.7286</v>
      </c>
      <c r="E3588">
        <f>IFERROR(VLOOKUP($A3588,原始数据_收盘!$A$4:$G$3460,5,0),"")</f>
        <v>4.0908</v>
      </c>
      <c r="F3588">
        <f>IFERROR(VLOOKUP($A3588,原始数据_收盘!$A$4:$G$3460,6,0),"")</f>
        <v>3.7255</v>
      </c>
      <c r="G3588">
        <f>IFERROR(VLOOKUP($A3588,原始数据_收盘!$A$4:$G$3460,7,0),"")</f>
        <v>4.0879</v>
      </c>
      <c r="H3588">
        <f>IFERROR(VLOOKUP($A3588,原始数据_利率互换_FR007_1年!$A$6:$C$4395,2,0),"")</f>
        <v>3.7181</v>
      </c>
      <c r="I3588">
        <f>IFERROR(VLOOKUP($A3588,原始数据_利率互换_FR007_1年!$A$6:$C$4395,3,0),"")</f>
        <v>4.0848</v>
      </c>
    </row>
    <row r="3589" spans="1:9">
      <c r="A3589" s="6">
        <v>43082</v>
      </c>
      <c r="B3589">
        <f>IFERROR(VLOOKUP($A3589,原始数据_收盘!$A$4:$G$3460,2,0),"")</f>
        <v>3.7275</v>
      </c>
      <c r="C3589">
        <f>IFERROR(VLOOKUP($A3589,原始数据_收盘!$A$4:$G$3460,3,0),"")</f>
        <v>4.0854</v>
      </c>
      <c r="D3589">
        <f>IFERROR(VLOOKUP($A3589,原始数据_收盘!$A$4:$G$3460,4,0),"")</f>
        <v>3.7322</v>
      </c>
      <c r="E3589">
        <f>IFERROR(VLOOKUP($A3589,原始数据_收盘!$A$4:$G$3460,5,0),"")</f>
        <v>4.0913</v>
      </c>
      <c r="F3589">
        <f>IFERROR(VLOOKUP($A3589,原始数据_收盘!$A$4:$G$3460,6,0),"")</f>
        <v>3.7298</v>
      </c>
      <c r="G3589">
        <f>IFERROR(VLOOKUP($A3589,原始数据_收盘!$A$4:$G$3460,7,0),"")</f>
        <v>4.0883</v>
      </c>
      <c r="H3589">
        <f>IFERROR(VLOOKUP($A3589,原始数据_利率互换_FR007_1年!$A$6:$C$4395,2,0),"")</f>
        <v>3.75</v>
      </c>
      <c r="I3589">
        <f>IFERROR(VLOOKUP($A3589,原始数据_利率互换_FR007_1年!$A$6:$C$4395,3,0),"")</f>
        <v>4.1121</v>
      </c>
    </row>
    <row r="3590" spans="1:9">
      <c r="A3590" s="6">
        <v>43083</v>
      </c>
      <c r="B3590">
        <f>IFERROR(VLOOKUP($A3590,原始数据_收盘!$A$4:$G$3460,2,0),"")</f>
        <v>3.6925</v>
      </c>
      <c r="C3590">
        <f>IFERROR(VLOOKUP($A3590,原始数据_收盘!$A$4:$G$3460,3,0),"")</f>
        <v>4.055</v>
      </c>
      <c r="D3590">
        <f>IFERROR(VLOOKUP($A3590,原始数据_收盘!$A$4:$G$3460,4,0),"")</f>
        <v>3.6953</v>
      </c>
      <c r="E3590">
        <f>IFERROR(VLOOKUP($A3590,原始数据_收盘!$A$4:$G$3460,5,0),"")</f>
        <v>4.0587</v>
      </c>
      <c r="F3590">
        <f>IFERROR(VLOOKUP($A3590,原始数据_收盘!$A$4:$G$3460,6,0),"")</f>
        <v>3.6939</v>
      </c>
      <c r="G3590">
        <f>IFERROR(VLOOKUP($A3590,原始数据_收盘!$A$4:$G$3460,7,0),"")</f>
        <v>4.0568</v>
      </c>
      <c r="H3590">
        <f>IFERROR(VLOOKUP($A3590,原始数据_利率互换_FR007_1年!$A$6:$C$4395,2,0),"")</f>
        <v>3.6977</v>
      </c>
      <c r="I3590">
        <f>IFERROR(VLOOKUP($A3590,原始数据_利率互换_FR007_1年!$A$6:$C$4395,3,0),"")</f>
        <v>4.0607</v>
      </c>
    </row>
    <row r="3591" spans="1:9">
      <c r="A3591" s="6">
        <v>43084</v>
      </c>
      <c r="B3591">
        <f>IFERROR(VLOOKUP($A3591,原始数据_收盘!$A$4:$G$3460,2,0),"")</f>
        <v>3.66</v>
      </c>
      <c r="C3591">
        <f>IFERROR(VLOOKUP($A3591,原始数据_收盘!$A$4:$G$3460,3,0),"")</f>
        <v>4.0175</v>
      </c>
      <c r="D3591">
        <f>IFERROR(VLOOKUP($A3591,原始数据_收盘!$A$4:$G$3460,4,0),"")</f>
        <v>3.665</v>
      </c>
      <c r="E3591">
        <f>IFERROR(VLOOKUP($A3591,原始数据_收盘!$A$4:$G$3460,5,0),"")</f>
        <v>4.0225</v>
      </c>
      <c r="F3591">
        <f>IFERROR(VLOOKUP($A3591,原始数据_收盘!$A$4:$G$3460,6,0),"")</f>
        <v>3.6625</v>
      </c>
      <c r="G3591">
        <f>IFERROR(VLOOKUP($A3591,原始数据_收盘!$A$4:$G$3460,7,0),"")</f>
        <v>4.02</v>
      </c>
      <c r="H3591">
        <f>IFERROR(VLOOKUP($A3591,原始数据_利率互换_FR007_1年!$A$6:$C$4395,2,0),"")</f>
        <v>3.6669</v>
      </c>
      <c r="I3591">
        <f>IFERROR(VLOOKUP($A3591,原始数据_利率互换_FR007_1年!$A$6:$C$4395,3,0),"")</f>
        <v>4.0294</v>
      </c>
    </row>
    <row r="3592" spans="1:9">
      <c r="A3592" s="6">
        <v>43085</v>
      </c>
      <c r="B3592" t="str">
        <f>IFERROR(VLOOKUP($A3592,原始数据_收盘!$A$4:$G$3460,2,0),"")</f>
        <v/>
      </c>
      <c r="C3592" t="str">
        <f>IFERROR(VLOOKUP($A3592,原始数据_收盘!$A$4:$G$3460,3,0),"")</f>
        <v/>
      </c>
      <c r="D3592" t="str">
        <f>IFERROR(VLOOKUP($A3592,原始数据_收盘!$A$4:$G$3460,4,0),"")</f>
        <v/>
      </c>
      <c r="E3592" t="str">
        <f>IFERROR(VLOOKUP($A3592,原始数据_收盘!$A$4:$G$3460,5,0),"")</f>
        <v/>
      </c>
      <c r="F3592" t="str">
        <f>IFERROR(VLOOKUP($A3592,原始数据_收盘!$A$4:$G$3460,6,0),"")</f>
        <v/>
      </c>
      <c r="G3592" t="str">
        <f>IFERROR(VLOOKUP($A3592,原始数据_收盘!$A$4:$G$3460,7,0),"")</f>
        <v/>
      </c>
      <c r="H3592" t="str">
        <f>IFERROR(VLOOKUP($A3592,原始数据_利率互换_FR007_1年!$A$6:$C$4395,2,0),"")</f>
        <v/>
      </c>
      <c r="I3592" t="str">
        <f>IFERROR(VLOOKUP($A3592,原始数据_利率互换_FR007_1年!$A$6:$C$4395,3,0),"")</f>
        <v/>
      </c>
    </row>
    <row r="3593" spans="1:9">
      <c r="A3593" s="6">
        <v>43086</v>
      </c>
      <c r="B3593" t="str">
        <f>IFERROR(VLOOKUP($A3593,原始数据_收盘!$A$4:$G$3460,2,0),"")</f>
        <v/>
      </c>
      <c r="C3593" t="str">
        <f>IFERROR(VLOOKUP($A3593,原始数据_收盘!$A$4:$G$3460,3,0),"")</f>
        <v/>
      </c>
      <c r="D3593" t="str">
        <f>IFERROR(VLOOKUP($A3593,原始数据_收盘!$A$4:$G$3460,4,0),"")</f>
        <v/>
      </c>
      <c r="E3593" t="str">
        <f>IFERROR(VLOOKUP($A3593,原始数据_收盘!$A$4:$G$3460,5,0),"")</f>
        <v/>
      </c>
      <c r="F3593" t="str">
        <f>IFERROR(VLOOKUP($A3593,原始数据_收盘!$A$4:$G$3460,6,0),"")</f>
        <v/>
      </c>
      <c r="G3593" t="str">
        <f>IFERROR(VLOOKUP($A3593,原始数据_收盘!$A$4:$G$3460,7,0),"")</f>
        <v/>
      </c>
      <c r="H3593" t="str">
        <f>IFERROR(VLOOKUP($A3593,原始数据_利率互换_FR007_1年!$A$6:$C$4395,2,0),"")</f>
        <v/>
      </c>
      <c r="I3593" t="str">
        <f>IFERROR(VLOOKUP($A3593,原始数据_利率互换_FR007_1年!$A$6:$C$4395,3,0),"")</f>
        <v/>
      </c>
    </row>
    <row r="3594" spans="1:9">
      <c r="A3594" s="6">
        <v>43087</v>
      </c>
      <c r="B3594">
        <f>IFERROR(VLOOKUP($A3594,原始数据_收盘!$A$4:$G$3460,2,0),"")</f>
        <v>3.6625</v>
      </c>
      <c r="C3594">
        <f>IFERROR(VLOOKUP($A3594,原始数据_收盘!$A$4:$G$3460,3,0),"")</f>
        <v>4.025</v>
      </c>
      <c r="D3594">
        <f>IFERROR(VLOOKUP($A3594,原始数据_收盘!$A$4:$G$3460,4,0),"")</f>
        <v>3.6675</v>
      </c>
      <c r="E3594">
        <f>IFERROR(VLOOKUP($A3594,原始数据_收盘!$A$4:$G$3460,5,0),"")</f>
        <v>4.0282</v>
      </c>
      <c r="F3594">
        <f>IFERROR(VLOOKUP($A3594,原始数据_收盘!$A$4:$G$3460,6,0),"")</f>
        <v>3.665</v>
      </c>
      <c r="G3594">
        <f>IFERROR(VLOOKUP($A3594,原始数据_收盘!$A$4:$G$3460,7,0),"")</f>
        <v>4.0266</v>
      </c>
      <c r="H3594">
        <f>IFERROR(VLOOKUP($A3594,原始数据_利率互换_FR007_1年!$A$6:$C$4395,2,0),"")</f>
        <v>3.6597</v>
      </c>
      <c r="I3594">
        <f>IFERROR(VLOOKUP($A3594,原始数据_利率互换_FR007_1年!$A$6:$C$4395,3,0),"")</f>
        <v>4.0184</v>
      </c>
    </row>
    <row r="3595" spans="1:9">
      <c r="A3595" s="6">
        <v>43088</v>
      </c>
      <c r="B3595">
        <f>IFERROR(VLOOKUP($A3595,原始数据_收盘!$A$4:$G$3460,2,0),"")</f>
        <v>3.675</v>
      </c>
      <c r="C3595">
        <f>IFERROR(VLOOKUP($A3595,原始数据_收盘!$A$4:$G$3460,3,0),"")</f>
        <v>4.045</v>
      </c>
      <c r="D3595">
        <f>IFERROR(VLOOKUP($A3595,原始数据_收盘!$A$4:$G$3460,4,0),"")</f>
        <v>3.685</v>
      </c>
      <c r="E3595">
        <f>IFERROR(VLOOKUP($A3595,原始数据_收盘!$A$4:$G$3460,5,0),"")</f>
        <v>4.0483</v>
      </c>
      <c r="F3595">
        <f>IFERROR(VLOOKUP($A3595,原始数据_收盘!$A$4:$G$3460,6,0),"")</f>
        <v>3.68</v>
      </c>
      <c r="G3595">
        <f>IFERROR(VLOOKUP($A3595,原始数据_收盘!$A$4:$G$3460,7,0),"")</f>
        <v>4.0467</v>
      </c>
      <c r="H3595">
        <f>IFERROR(VLOOKUP($A3595,原始数据_利率互换_FR007_1年!$A$6:$C$4395,2,0),"")</f>
        <v>3.6722</v>
      </c>
      <c r="I3595">
        <f>IFERROR(VLOOKUP($A3595,原始数据_利率互换_FR007_1年!$A$6:$C$4395,3,0),"")</f>
        <v>4.0358</v>
      </c>
    </row>
    <row r="3596" spans="1:9">
      <c r="A3596" s="6">
        <v>43089</v>
      </c>
      <c r="B3596">
        <f>IFERROR(VLOOKUP($A3596,原始数据_收盘!$A$4:$G$3460,2,0),"")</f>
        <v>3.6875</v>
      </c>
      <c r="C3596">
        <f>IFERROR(VLOOKUP($A3596,原始数据_收盘!$A$4:$G$3460,3,0),"")</f>
        <v>4.05</v>
      </c>
      <c r="D3596">
        <f>IFERROR(VLOOKUP($A3596,原始数据_收盘!$A$4:$G$3460,4,0),"")</f>
        <v>3.6925</v>
      </c>
      <c r="E3596">
        <f>IFERROR(VLOOKUP($A3596,原始数据_收盘!$A$4:$G$3460,5,0),"")</f>
        <v>4.055</v>
      </c>
      <c r="F3596">
        <f>IFERROR(VLOOKUP($A3596,原始数据_收盘!$A$4:$G$3460,6,0),"")</f>
        <v>3.69</v>
      </c>
      <c r="G3596">
        <f>IFERROR(VLOOKUP($A3596,原始数据_收盘!$A$4:$G$3460,7,0),"")</f>
        <v>4.0525</v>
      </c>
      <c r="H3596">
        <f>IFERROR(VLOOKUP($A3596,原始数据_利率互换_FR007_1年!$A$6:$C$4395,2,0),"")</f>
        <v>3.6857</v>
      </c>
      <c r="I3596">
        <f>IFERROR(VLOOKUP($A3596,原始数据_利率互换_FR007_1年!$A$6:$C$4395,3,0),"")</f>
        <v>4.0486</v>
      </c>
    </row>
    <row r="3597" spans="1:9">
      <c r="A3597" s="6">
        <v>43090</v>
      </c>
      <c r="B3597">
        <f>IFERROR(VLOOKUP($A3597,原始数据_收盘!$A$4:$G$3460,2,0),"")</f>
        <v>3.6907</v>
      </c>
      <c r="C3597">
        <f>IFERROR(VLOOKUP($A3597,原始数据_收盘!$A$4:$G$3460,3,0),"")</f>
        <v>4.0598</v>
      </c>
      <c r="D3597">
        <f>IFERROR(VLOOKUP($A3597,原始数据_收盘!$A$4:$G$3460,4,0),"")</f>
        <v>3.6934</v>
      </c>
      <c r="E3597">
        <f>IFERROR(VLOOKUP($A3597,原始数据_收盘!$A$4:$G$3460,5,0),"")</f>
        <v>4.0621</v>
      </c>
      <c r="F3597">
        <f>IFERROR(VLOOKUP($A3597,原始数据_收盘!$A$4:$G$3460,6,0),"")</f>
        <v>3.692</v>
      </c>
      <c r="G3597">
        <f>IFERROR(VLOOKUP($A3597,原始数据_收盘!$A$4:$G$3460,7,0),"")</f>
        <v>4.0609</v>
      </c>
      <c r="H3597">
        <f>IFERROR(VLOOKUP($A3597,原始数据_利率互换_FR007_1年!$A$6:$C$4395,2,0),"")</f>
        <v>3.6989</v>
      </c>
      <c r="I3597">
        <f>IFERROR(VLOOKUP($A3597,原始数据_利率互换_FR007_1年!$A$6:$C$4395,3,0),"")</f>
        <v>4.0676</v>
      </c>
    </row>
    <row r="3598" spans="1:9">
      <c r="A3598" s="6">
        <v>43091</v>
      </c>
      <c r="B3598">
        <f>IFERROR(VLOOKUP($A3598,原始数据_收盘!$A$4:$G$3460,2,0),"")</f>
        <v>3.66</v>
      </c>
      <c r="C3598">
        <f>IFERROR(VLOOKUP($A3598,原始数据_收盘!$A$4:$G$3460,3,0),"")</f>
        <v>4.04</v>
      </c>
      <c r="D3598">
        <f>IFERROR(VLOOKUP($A3598,原始数据_收盘!$A$4:$G$3460,4,0),"")</f>
        <v>3.6629</v>
      </c>
      <c r="E3598">
        <f>IFERROR(VLOOKUP($A3598,原始数据_收盘!$A$4:$G$3460,5,0),"")</f>
        <v>4.0425</v>
      </c>
      <c r="F3598">
        <f>IFERROR(VLOOKUP($A3598,原始数据_收盘!$A$4:$G$3460,6,0),"")</f>
        <v>3.6615</v>
      </c>
      <c r="G3598">
        <f>IFERROR(VLOOKUP($A3598,原始数据_收盘!$A$4:$G$3460,7,0),"")</f>
        <v>4.0413</v>
      </c>
      <c r="H3598">
        <f>IFERROR(VLOOKUP($A3598,原始数据_利率互换_FR007_1年!$A$6:$C$4395,2,0),"")</f>
        <v>3.6739</v>
      </c>
      <c r="I3598">
        <f>IFERROR(VLOOKUP($A3598,原始数据_利率互换_FR007_1年!$A$6:$C$4395,3,0),"")</f>
        <v>4.0498</v>
      </c>
    </row>
    <row r="3599" spans="1:9">
      <c r="A3599" s="6">
        <v>43092</v>
      </c>
      <c r="B3599" t="str">
        <f>IFERROR(VLOOKUP($A3599,原始数据_收盘!$A$4:$G$3460,2,0),"")</f>
        <v/>
      </c>
      <c r="C3599" t="str">
        <f>IFERROR(VLOOKUP($A3599,原始数据_收盘!$A$4:$G$3460,3,0),"")</f>
        <v/>
      </c>
      <c r="D3599" t="str">
        <f>IFERROR(VLOOKUP($A3599,原始数据_收盘!$A$4:$G$3460,4,0),"")</f>
        <v/>
      </c>
      <c r="E3599" t="str">
        <f>IFERROR(VLOOKUP($A3599,原始数据_收盘!$A$4:$G$3460,5,0),"")</f>
        <v/>
      </c>
      <c r="F3599" t="str">
        <f>IFERROR(VLOOKUP($A3599,原始数据_收盘!$A$4:$G$3460,6,0),"")</f>
        <v/>
      </c>
      <c r="G3599" t="str">
        <f>IFERROR(VLOOKUP($A3599,原始数据_收盘!$A$4:$G$3460,7,0),"")</f>
        <v/>
      </c>
      <c r="H3599" t="str">
        <f>IFERROR(VLOOKUP($A3599,原始数据_利率互换_FR007_1年!$A$6:$C$4395,2,0),"")</f>
        <v/>
      </c>
      <c r="I3599" t="str">
        <f>IFERROR(VLOOKUP($A3599,原始数据_利率互换_FR007_1年!$A$6:$C$4395,3,0),"")</f>
        <v/>
      </c>
    </row>
    <row r="3600" spans="1:9">
      <c r="A3600" s="6">
        <v>43093</v>
      </c>
      <c r="B3600" t="str">
        <f>IFERROR(VLOOKUP($A3600,原始数据_收盘!$A$4:$G$3460,2,0),"")</f>
        <v/>
      </c>
      <c r="C3600" t="str">
        <f>IFERROR(VLOOKUP($A3600,原始数据_收盘!$A$4:$G$3460,3,0),"")</f>
        <v/>
      </c>
      <c r="D3600" t="str">
        <f>IFERROR(VLOOKUP($A3600,原始数据_收盘!$A$4:$G$3460,4,0),"")</f>
        <v/>
      </c>
      <c r="E3600" t="str">
        <f>IFERROR(VLOOKUP($A3600,原始数据_收盘!$A$4:$G$3460,5,0),"")</f>
        <v/>
      </c>
      <c r="F3600" t="str">
        <f>IFERROR(VLOOKUP($A3600,原始数据_收盘!$A$4:$G$3460,6,0),"")</f>
        <v/>
      </c>
      <c r="G3600" t="str">
        <f>IFERROR(VLOOKUP($A3600,原始数据_收盘!$A$4:$G$3460,7,0),"")</f>
        <v/>
      </c>
      <c r="H3600" t="str">
        <f>IFERROR(VLOOKUP($A3600,原始数据_利率互换_FR007_1年!$A$6:$C$4395,2,0),"")</f>
        <v/>
      </c>
      <c r="I3600" t="str">
        <f>IFERROR(VLOOKUP($A3600,原始数据_利率互换_FR007_1年!$A$6:$C$4395,3,0),"")</f>
        <v/>
      </c>
    </row>
    <row r="3601" spans="1:9">
      <c r="A3601" s="6">
        <v>43094</v>
      </c>
      <c r="B3601">
        <f>IFERROR(VLOOKUP($A3601,原始数据_收盘!$A$4:$G$3460,2,0),"")</f>
        <v>3.6498</v>
      </c>
      <c r="C3601">
        <f>IFERROR(VLOOKUP($A3601,原始数据_收盘!$A$4:$G$3460,3,0),"")</f>
        <v>4.03</v>
      </c>
      <c r="D3601">
        <f>IFERROR(VLOOKUP($A3601,原始数据_收盘!$A$4:$G$3460,4,0),"")</f>
        <v>3.655</v>
      </c>
      <c r="E3601">
        <f>IFERROR(VLOOKUP($A3601,原始数据_收盘!$A$4:$G$3460,5,0),"")</f>
        <v>4.035</v>
      </c>
      <c r="F3601">
        <f>IFERROR(VLOOKUP($A3601,原始数据_收盘!$A$4:$G$3460,6,0),"")</f>
        <v>3.6524</v>
      </c>
      <c r="G3601">
        <f>IFERROR(VLOOKUP($A3601,原始数据_收盘!$A$4:$G$3460,7,0),"")</f>
        <v>4.0325</v>
      </c>
      <c r="H3601">
        <f>IFERROR(VLOOKUP($A3601,原始数据_利率互换_FR007_1年!$A$6:$C$4395,2,0),"")</f>
        <v>3.6497</v>
      </c>
      <c r="I3601">
        <f>IFERROR(VLOOKUP($A3601,原始数据_利率互换_FR007_1年!$A$6:$C$4395,3,0),"")</f>
        <v>4.0283</v>
      </c>
    </row>
    <row r="3602" spans="1:9">
      <c r="A3602" s="6">
        <v>43095</v>
      </c>
      <c r="B3602">
        <f>IFERROR(VLOOKUP($A3602,原始数据_收盘!$A$4:$G$3460,2,0),"")</f>
        <v>3.6575</v>
      </c>
      <c r="C3602">
        <f>IFERROR(VLOOKUP($A3602,原始数据_收盘!$A$4:$G$3460,3,0),"")</f>
        <v>4.04</v>
      </c>
      <c r="D3602">
        <f>IFERROR(VLOOKUP($A3602,原始数据_收盘!$A$4:$G$3460,4,0),"")</f>
        <v>3.6625</v>
      </c>
      <c r="E3602">
        <f>IFERROR(VLOOKUP($A3602,原始数据_收盘!$A$4:$G$3460,5,0),"")</f>
        <v>4.045</v>
      </c>
      <c r="F3602">
        <f>IFERROR(VLOOKUP($A3602,原始数据_收盘!$A$4:$G$3460,6,0),"")</f>
        <v>3.66</v>
      </c>
      <c r="G3602">
        <f>IFERROR(VLOOKUP($A3602,原始数据_收盘!$A$4:$G$3460,7,0),"")</f>
        <v>4.0425</v>
      </c>
      <c r="H3602">
        <f>IFERROR(VLOOKUP($A3602,原始数据_利率互换_FR007_1年!$A$6:$C$4395,2,0),"")</f>
        <v>3.6508</v>
      </c>
      <c r="I3602">
        <f>IFERROR(VLOOKUP($A3602,原始数据_利率互换_FR007_1年!$A$6:$C$4395,3,0),"")</f>
        <v>4.0351</v>
      </c>
    </row>
    <row r="3603" spans="1:9">
      <c r="A3603" s="6">
        <v>43096</v>
      </c>
      <c r="B3603">
        <f>IFERROR(VLOOKUP($A3603,原始数据_收盘!$A$4:$G$3460,2,0),"")</f>
        <v>3.67</v>
      </c>
      <c r="C3603">
        <f>IFERROR(VLOOKUP($A3603,原始数据_收盘!$A$4:$G$3460,3,0),"")</f>
        <v>4.045</v>
      </c>
      <c r="D3603">
        <f>IFERROR(VLOOKUP($A3603,原始数据_收盘!$A$4:$G$3460,4,0),"")</f>
        <v>3.6725</v>
      </c>
      <c r="E3603">
        <f>IFERROR(VLOOKUP($A3603,原始数据_收盘!$A$4:$G$3460,5,0),"")</f>
        <v>4.048</v>
      </c>
      <c r="F3603">
        <f>IFERROR(VLOOKUP($A3603,原始数据_收盘!$A$4:$G$3460,6,0),"")</f>
        <v>3.6713</v>
      </c>
      <c r="G3603">
        <f>IFERROR(VLOOKUP($A3603,原始数据_收盘!$A$4:$G$3460,7,0),"")</f>
        <v>4.0465</v>
      </c>
      <c r="H3603">
        <f>IFERROR(VLOOKUP($A3603,原始数据_利率互换_FR007_1年!$A$6:$C$4395,2,0),"")</f>
        <v>3.672</v>
      </c>
      <c r="I3603">
        <f>IFERROR(VLOOKUP($A3603,原始数据_利率互换_FR007_1年!$A$6:$C$4395,3,0),"")</f>
        <v>4.0485</v>
      </c>
    </row>
    <row r="3604" spans="1:9">
      <c r="A3604" s="6">
        <v>43097</v>
      </c>
      <c r="B3604">
        <f>IFERROR(VLOOKUP($A3604,原始数据_收盘!$A$4:$G$3460,2,0),"")</f>
        <v>3.685</v>
      </c>
      <c r="C3604">
        <f>IFERROR(VLOOKUP($A3604,原始数据_收盘!$A$4:$G$3460,3,0),"")</f>
        <v>4.035</v>
      </c>
      <c r="D3604">
        <f>IFERROR(VLOOKUP($A3604,原始数据_收盘!$A$4:$G$3460,4,0),"")</f>
        <v>3.688</v>
      </c>
      <c r="E3604">
        <f>IFERROR(VLOOKUP($A3604,原始数据_收盘!$A$4:$G$3460,5,0),"")</f>
        <v>4.0425</v>
      </c>
      <c r="F3604">
        <f>IFERROR(VLOOKUP($A3604,原始数据_收盘!$A$4:$G$3460,6,0),"")</f>
        <v>3.6865</v>
      </c>
      <c r="G3604">
        <f>IFERROR(VLOOKUP($A3604,原始数据_收盘!$A$4:$G$3460,7,0),"")</f>
        <v>4.0388</v>
      </c>
      <c r="H3604">
        <f>IFERROR(VLOOKUP($A3604,原始数据_利率互换_FR007_1年!$A$6:$C$4395,2,0),"")</f>
        <v>3.6811</v>
      </c>
      <c r="I3604">
        <f>IFERROR(VLOOKUP($A3604,原始数据_利率互换_FR007_1年!$A$6:$C$4395,3,0),"")</f>
        <v>4.0347</v>
      </c>
    </row>
    <row r="3605" spans="1:9">
      <c r="A3605" s="6">
        <v>43098</v>
      </c>
      <c r="B3605">
        <f>IFERROR(VLOOKUP($A3605,原始数据_收盘!$A$4:$G$3460,2,0),"")</f>
        <v>3.6914</v>
      </c>
      <c r="C3605">
        <f>IFERROR(VLOOKUP($A3605,原始数据_收盘!$A$4:$G$3460,3,0),"")</f>
        <v>4.025</v>
      </c>
      <c r="D3605">
        <f>IFERROR(VLOOKUP($A3605,原始数据_收盘!$A$4:$G$3460,4,0),"")</f>
        <v>3.7025</v>
      </c>
      <c r="E3605">
        <f>IFERROR(VLOOKUP($A3605,原始数据_收盘!$A$4:$G$3460,5,0),"")</f>
        <v>4.045</v>
      </c>
      <c r="F3605">
        <f>IFERROR(VLOOKUP($A3605,原始数据_收盘!$A$4:$G$3460,6,0),"")</f>
        <v>3.6969</v>
      </c>
      <c r="G3605">
        <f>IFERROR(VLOOKUP($A3605,原始数据_收盘!$A$4:$G$3460,7,0),"")</f>
        <v>4.035</v>
      </c>
      <c r="H3605">
        <f>IFERROR(VLOOKUP($A3605,原始数据_利率互换_FR007_1年!$A$6:$C$4395,2,0),"")</f>
        <v>3.711</v>
      </c>
      <c r="I3605">
        <f>IFERROR(VLOOKUP($A3605,原始数据_利率互换_FR007_1年!$A$6:$C$4395,3,0),"")</f>
        <v>4.0476</v>
      </c>
    </row>
    <row r="3606" spans="1:9">
      <c r="A3606" s="6">
        <v>43099</v>
      </c>
      <c r="B3606" t="str">
        <f>IFERROR(VLOOKUP($A3606,原始数据_收盘!$A$4:$G$3460,2,0),"")</f>
        <v/>
      </c>
      <c r="C3606" t="str">
        <f>IFERROR(VLOOKUP($A3606,原始数据_收盘!$A$4:$G$3460,3,0),"")</f>
        <v/>
      </c>
      <c r="D3606" t="str">
        <f>IFERROR(VLOOKUP($A3606,原始数据_收盘!$A$4:$G$3460,4,0),"")</f>
        <v/>
      </c>
      <c r="E3606" t="str">
        <f>IFERROR(VLOOKUP($A3606,原始数据_收盘!$A$4:$G$3460,5,0),"")</f>
        <v/>
      </c>
      <c r="F3606" t="str">
        <f>IFERROR(VLOOKUP($A3606,原始数据_收盘!$A$4:$G$3460,6,0),"")</f>
        <v/>
      </c>
      <c r="G3606" t="str">
        <f>IFERROR(VLOOKUP($A3606,原始数据_收盘!$A$4:$G$3460,7,0),"")</f>
        <v/>
      </c>
      <c r="H3606" t="str">
        <f>IFERROR(VLOOKUP($A3606,原始数据_利率互换_FR007_1年!$A$6:$C$4395,2,0),"")</f>
        <v/>
      </c>
      <c r="I3606" t="str">
        <f>IFERROR(VLOOKUP($A3606,原始数据_利率互换_FR007_1年!$A$6:$C$4395,3,0),"")</f>
        <v/>
      </c>
    </row>
    <row r="3607" spans="1:9">
      <c r="A3607" s="6">
        <v>43100</v>
      </c>
      <c r="B3607" t="str">
        <f>IFERROR(VLOOKUP($A3607,原始数据_收盘!$A$4:$G$3460,2,0),"")</f>
        <v/>
      </c>
      <c r="C3607" t="str">
        <f>IFERROR(VLOOKUP($A3607,原始数据_收盘!$A$4:$G$3460,3,0),"")</f>
        <v/>
      </c>
      <c r="D3607" t="str">
        <f>IFERROR(VLOOKUP($A3607,原始数据_收盘!$A$4:$G$3460,4,0),"")</f>
        <v/>
      </c>
      <c r="E3607" t="str">
        <f>IFERROR(VLOOKUP($A3607,原始数据_收盘!$A$4:$G$3460,5,0),"")</f>
        <v/>
      </c>
      <c r="F3607" t="str">
        <f>IFERROR(VLOOKUP($A3607,原始数据_收盘!$A$4:$G$3460,6,0),"")</f>
        <v/>
      </c>
      <c r="G3607" t="str">
        <f>IFERROR(VLOOKUP($A3607,原始数据_收盘!$A$4:$G$3460,7,0),"")</f>
        <v/>
      </c>
      <c r="H3607" t="str">
        <f>IFERROR(VLOOKUP($A3607,原始数据_利率互换_FR007_1年!$A$6:$C$4395,2,0),"")</f>
        <v/>
      </c>
      <c r="I3607" t="str">
        <f>IFERROR(VLOOKUP($A3607,原始数据_利率互换_FR007_1年!$A$6:$C$4395,3,0),"")</f>
        <v/>
      </c>
    </row>
    <row r="3608" spans="1:9">
      <c r="A3608" s="6">
        <v>43101</v>
      </c>
      <c r="B3608" t="str">
        <f>IFERROR(VLOOKUP($A3608,原始数据_收盘!$A$4:$G$3460,2,0),"")</f>
        <v/>
      </c>
      <c r="C3608" t="str">
        <f>IFERROR(VLOOKUP($A3608,原始数据_收盘!$A$4:$G$3460,3,0),"")</f>
        <v/>
      </c>
      <c r="D3608" t="str">
        <f>IFERROR(VLOOKUP($A3608,原始数据_收盘!$A$4:$G$3460,4,0),"")</f>
        <v/>
      </c>
      <c r="E3608" t="str">
        <f>IFERROR(VLOOKUP($A3608,原始数据_收盘!$A$4:$G$3460,5,0),"")</f>
        <v/>
      </c>
      <c r="F3608" t="str">
        <f>IFERROR(VLOOKUP($A3608,原始数据_收盘!$A$4:$G$3460,6,0),"")</f>
        <v/>
      </c>
      <c r="G3608" t="str">
        <f>IFERROR(VLOOKUP($A3608,原始数据_收盘!$A$4:$G$3460,7,0),"")</f>
        <v/>
      </c>
      <c r="H3608" t="str">
        <f>IFERROR(VLOOKUP($A3608,原始数据_利率互换_FR007_1年!$A$6:$C$4395,2,0),"")</f>
        <v/>
      </c>
      <c r="I3608" t="str">
        <f>IFERROR(VLOOKUP($A3608,原始数据_利率互换_FR007_1年!$A$6:$C$4395,3,0),"")</f>
        <v/>
      </c>
    </row>
    <row r="3609" spans="1:9">
      <c r="A3609" s="6">
        <v>43102</v>
      </c>
      <c r="B3609">
        <f>IFERROR(VLOOKUP($A3609,原始数据_收盘!$A$4:$G$3460,2,0),"")</f>
        <v>3.635</v>
      </c>
      <c r="C3609">
        <f>IFERROR(VLOOKUP($A3609,原始数据_收盘!$A$4:$G$3460,3,0),"")</f>
        <v>4.0349</v>
      </c>
      <c r="D3609">
        <f>IFERROR(VLOOKUP($A3609,原始数据_收盘!$A$4:$G$3460,4,0),"")</f>
        <v>3.645</v>
      </c>
      <c r="E3609">
        <f>IFERROR(VLOOKUP($A3609,原始数据_收盘!$A$4:$G$3460,5,0),"")</f>
        <v>4.0375</v>
      </c>
      <c r="F3609">
        <f>IFERROR(VLOOKUP($A3609,原始数据_收盘!$A$4:$G$3460,6,0),"")</f>
        <v>3.64</v>
      </c>
      <c r="G3609">
        <f>IFERROR(VLOOKUP($A3609,原始数据_收盘!$A$4:$G$3460,7,0),"")</f>
        <v>4.0362</v>
      </c>
      <c r="H3609">
        <f>IFERROR(VLOOKUP($A3609,原始数据_利率互换_FR007_1年!$A$6:$C$4395,2,0),"")</f>
        <v>3.6488</v>
      </c>
      <c r="I3609">
        <f>IFERROR(VLOOKUP($A3609,原始数据_利率互换_FR007_1年!$A$6:$C$4395,3,0),"")</f>
        <v>4.0275</v>
      </c>
    </row>
    <row r="3610" spans="1:9">
      <c r="A3610" s="6">
        <v>43103</v>
      </c>
      <c r="B3610">
        <f>IFERROR(VLOOKUP($A3610,原始数据_收盘!$A$4:$G$3460,2,0),"")</f>
        <v>3.63</v>
      </c>
      <c r="C3610">
        <f>IFERROR(VLOOKUP($A3610,原始数据_收盘!$A$4:$G$3460,3,0),"")</f>
        <v>4.0325</v>
      </c>
      <c r="D3610">
        <f>IFERROR(VLOOKUP($A3610,原始数据_收盘!$A$4:$G$3460,4,0),"")</f>
        <v>3.635</v>
      </c>
      <c r="E3610">
        <f>IFERROR(VLOOKUP($A3610,原始数据_收盘!$A$4:$G$3460,5,0),"")</f>
        <v>4.0366</v>
      </c>
      <c r="F3610">
        <f>IFERROR(VLOOKUP($A3610,原始数据_收盘!$A$4:$G$3460,6,0),"")</f>
        <v>3.6325</v>
      </c>
      <c r="G3610">
        <f>IFERROR(VLOOKUP($A3610,原始数据_收盘!$A$4:$G$3460,7,0),"")</f>
        <v>4.0346</v>
      </c>
      <c r="H3610">
        <f>IFERROR(VLOOKUP($A3610,原始数据_利率互换_FR007_1年!$A$6:$C$4395,2,0),"")</f>
        <v>3.6359</v>
      </c>
      <c r="I3610">
        <f>IFERROR(VLOOKUP($A3610,原始数据_利率互换_FR007_1年!$A$6:$C$4395,3,0),"")</f>
        <v>4.0356</v>
      </c>
    </row>
    <row r="3611" spans="1:9">
      <c r="A3611" s="6">
        <v>43104</v>
      </c>
      <c r="B3611">
        <f>IFERROR(VLOOKUP($A3611,原始数据_收盘!$A$4:$G$3460,2,0),"")</f>
        <v>3.6006</v>
      </c>
      <c r="C3611">
        <f>IFERROR(VLOOKUP($A3611,原始数据_收盘!$A$4:$G$3460,3,0),"")</f>
        <v>4.026</v>
      </c>
      <c r="D3611">
        <f>IFERROR(VLOOKUP($A3611,原始数据_收盘!$A$4:$G$3460,4,0),"")</f>
        <v>3.6092</v>
      </c>
      <c r="E3611">
        <f>IFERROR(VLOOKUP($A3611,原始数据_收盘!$A$4:$G$3460,5,0),"")</f>
        <v>4.0331</v>
      </c>
      <c r="F3611">
        <f>IFERROR(VLOOKUP($A3611,原始数据_收盘!$A$4:$G$3460,6,0),"")</f>
        <v>3.6049</v>
      </c>
      <c r="G3611">
        <f>IFERROR(VLOOKUP($A3611,原始数据_收盘!$A$4:$G$3460,7,0),"")</f>
        <v>4.0296</v>
      </c>
      <c r="H3611">
        <f>IFERROR(VLOOKUP($A3611,原始数据_利率互换_FR007_1年!$A$6:$C$4395,2,0),"")</f>
        <v>3.6238</v>
      </c>
      <c r="I3611">
        <f>IFERROR(VLOOKUP($A3611,原始数据_利率互换_FR007_1年!$A$6:$C$4395,3,0),"")</f>
        <v>4.0417</v>
      </c>
    </row>
    <row r="3612" spans="1:9">
      <c r="A3612" s="6">
        <v>43105</v>
      </c>
      <c r="B3612">
        <f>IFERROR(VLOOKUP($A3612,原始数据_收盘!$A$4:$G$3460,2,0),"")</f>
        <v>3.5651</v>
      </c>
      <c r="C3612">
        <f>IFERROR(VLOOKUP($A3612,原始数据_收盘!$A$4:$G$3460,3,0),"")</f>
        <v>3.9924</v>
      </c>
      <c r="D3612">
        <f>IFERROR(VLOOKUP($A3612,原始数据_收盘!$A$4:$G$3460,4,0),"")</f>
        <v>3.5702</v>
      </c>
      <c r="E3612">
        <f>IFERROR(VLOOKUP($A3612,原始数据_收盘!$A$4:$G$3460,5,0),"")</f>
        <v>4.0025</v>
      </c>
      <c r="F3612">
        <f>IFERROR(VLOOKUP($A3612,原始数据_收盘!$A$4:$G$3460,6,0),"")</f>
        <v>3.5677</v>
      </c>
      <c r="G3612">
        <f>IFERROR(VLOOKUP($A3612,原始数据_收盘!$A$4:$G$3460,7,0),"")</f>
        <v>3.9974</v>
      </c>
      <c r="H3612">
        <f>IFERROR(VLOOKUP($A3612,原始数据_利率互换_FR007_1年!$A$6:$C$4395,2,0),"")</f>
        <v>3.5801</v>
      </c>
      <c r="I3612">
        <f>IFERROR(VLOOKUP($A3612,原始数据_利率互换_FR007_1年!$A$6:$C$4395,3,0),"")</f>
        <v>4.0096</v>
      </c>
    </row>
    <row r="3613" spans="1:9">
      <c r="A3613" s="6">
        <v>43106</v>
      </c>
      <c r="B3613" t="str">
        <f>IFERROR(VLOOKUP($A3613,原始数据_收盘!$A$4:$G$3460,2,0),"")</f>
        <v/>
      </c>
      <c r="C3613" t="str">
        <f>IFERROR(VLOOKUP($A3613,原始数据_收盘!$A$4:$G$3460,3,0),"")</f>
        <v/>
      </c>
      <c r="D3613" t="str">
        <f>IFERROR(VLOOKUP($A3613,原始数据_收盘!$A$4:$G$3460,4,0),"")</f>
        <v/>
      </c>
      <c r="E3613" t="str">
        <f>IFERROR(VLOOKUP($A3613,原始数据_收盘!$A$4:$G$3460,5,0),"")</f>
        <v/>
      </c>
      <c r="F3613" t="str">
        <f>IFERROR(VLOOKUP($A3613,原始数据_收盘!$A$4:$G$3460,6,0),"")</f>
        <v/>
      </c>
      <c r="G3613" t="str">
        <f>IFERROR(VLOOKUP($A3613,原始数据_收盘!$A$4:$G$3460,7,0),"")</f>
        <v/>
      </c>
      <c r="H3613" t="str">
        <f>IFERROR(VLOOKUP($A3613,原始数据_利率互换_FR007_1年!$A$6:$C$4395,2,0),"")</f>
        <v/>
      </c>
      <c r="I3613" t="str">
        <f>IFERROR(VLOOKUP($A3613,原始数据_利率互换_FR007_1年!$A$6:$C$4395,3,0),"")</f>
        <v/>
      </c>
    </row>
    <row r="3614" spans="1:9">
      <c r="A3614" s="6">
        <v>43107</v>
      </c>
      <c r="B3614" t="str">
        <f>IFERROR(VLOOKUP($A3614,原始数据_收盘!$A$4:$G$3460,2,0),"")</f>
        <v/>
      </c>
      <c r="C3614" t="str">
        <f>IFERROR(VLOOKUP($A3614,原始数据_收盘!$A$4:$G$3460,3,0),"")</f>
        <v/>
      </c>
      <c r="D3614" t="str">
        <f>IFERROR(VLOOKUP($A3614,原始数据_收盘!$A$4:$G$3460,4,0),"")</f>
        <v/>
      </c>
      <c r="E3614" t="str">
        <f>IFERROR(VLOOKUP($A3614,原始数据_收盘!$A$4:$G$3460,5,0),"")</f>
        <v/>
      </c>
      <c r="F3614" t="str">
        <f>IFERROR(VLOOKUP($A3614,原始数据_收盘!$A$4:$G$3460,6,0),"")</f>
        <v/>
      </c>
      <c r="G3614" t="str">
        <f>IFERROR(VLOOKUP($A3614,原始数据_收盘!$A$4:$G$3460,7,0),"")</f>
        <v/>
      </c>
      <c r="H3614" t="str">
        <f>IFERROR(VLOOKUP($A3614,原始数据_利率互换_FR007_1年!$A$6:$C$4395,2,0),"")</f>
        <v/>
      </c>
      <c r="I3614" t="str">
        <f>IFERROR(VLOOKUP($A3614,原始数据_利率互换_FR007_1年!$A$6:$C$4395,3,0),"")</f>
        <v/>
      </c>
    </row>
    <row r="3615" spans="1:9">
      <c r="A3615" s="6">
        <v>43108</v>
      </c>
      <c r="B3615">
        <f>IFERROR(VLOOKUP($A3615,原始数据_收盘!$A$4:$G$3460,2,0),"")</f>
        <v>3.585</v>
      </c>
      <c r="C3615">
        <f>IFERROR(VLOOKUP($A3615,原始数据_收盘!$A$4:$G$3460,3,0),"")</f>
        <v>3.9974</v>
      </c>
      <c r="D3615">
        <f>IFERROR(VLOOKUP($A3615,原始数据_收盘!$A$4:$G$3460,4,0),"")</f>
        <v>3.59</v>
      </c>
      <c r="E3615">
        <f>IFERROR(VLOOKUP($A3615,原始数据_收盘!$A$4:$G$3460,5,0),"")</f>
        <v>4.0003</v>
      </c>
      <c r="F3615">
        <f>IFERROR(VLOOKUP($A3615,原始数据_收盘!$A$4:$G$3460,6,0),"")</f>
        <v>3.5875</v>
      </c>
      <c r="G3615">
        <f>IFERROR(VLOOKUP($A3615,原始数据_收盘!$A$4:$G$3460,7,0),"")</f>
        <v>3.9989</v>
      </c>
      <c r="H3615">
        <f>IFERROR(VLOOKUP($A3615,原始数据_利率互换_FR007_1年!$A$6:$C$4395,2,0),"")</f>
        <v>3.5855</v>
      </c>
      <c r="I3615">
        <f>IFERROR(VLOOKUP($A3615,原始数据_利率互换_FR007_1年!$A$6:$C$4395,3,0),"")</f>
        <v>4.0031</v>
      </c>
    </row>
    <row r="3616" spans="1:9">
      <c r="A3616" s="6">
        <v>43109</v>
      </c>
      <c r="B3616">
        <f>IFERROR(VLOOKUP($A3616,原始数据_收盘!$A$4:$G$3460,2,0),"")</f>
        <v>3.6</v>
      </c>
      <c r="C3616">
        <f>IFERROR(VLOOKUP($A3616,原始数据_收盘!$A$4:$G$3460,3,0),"")</f>
        <v>3.9975</v>
      </c>
      <c r="D3616">
        <f>IFERROR(VLOOKUP($A3616,原始数据_收盘!$A$4:$G$3460,4,0),"")</f>
        <v>3.6025</v>
      </c>
      <c r="E3616">
        <f>IFERROR(VLOOKUP($A3616,原始数据_收盘!$A$4:$G$3460,5,0),"")</f>
        <v>4.0025</v>
      </c>
      <c r="F3616">
        <f>IFERROR(VLOOKUP($A3616,原始数据_收盘!$A$4:$G$3460,6,0),"")</f>
        <v>3.6013</v>
      </c>
      <c r="G3616">
        <f>IFERROR(VLOOKUP($A3616,原始数据_收盘!$A$4:$G$3460,7,0),"")</f>
        <v>4</v>
      </c>
      <c r="H3616">
        <f>IFERROR(VLOOKUP($A3616,原始数据_利率互换_FR007_1年!$A$6:$C$4395,2,0),"")</f>
        <v>3.5942</v>
      </c>
      <c r="I3616">
        <f>IFERROR(VLOOKUP($A3616,原始数据_利率互换_FR007_1年!$A$6:$C$4395,3,0),"")</f>
        <v>3.9982</v>
      </c>
    </row>
    <row r="3617" spans="1:9">
      <c r="A3617" s="6">
        <v>43110</v>
      </c>
      <c r="B3617">
        <f>IFERROR(VLOOKUP($A3617,原始数据_收盘!$A$4:$G$3460,2,0),"")</f>
        <v>3.6418</v>
      </c>
      <c r="C3617">
        <f>IFERROR(VLOOKUP($A3617,原始数据_收盘!$A$4:$G$3460,3,0),"")</f>
        <v>4.0475</v>
      </c>
      <c r="D3617">
        <f>IFERROR(VLOOKUP($A3617,原始数据_收盘!$A$4:$G$3460,4,0),"")</f>
        <v>3.6479</v>
      </c>
      <c r="E3617">
        <f>IFERROR(VLOOKUP($A3617,原始数据_收盘!$A$4:$G$3460,5,0),"")</f>
        <v>4.053</v>
      </c>
      <c r="F3617">
        <f>IFERROR(VLOOKUP($A3617,原始数据_收盘!$A$4:$G$3460,6,0),"")</f>
        <v>3.6449</v>
      </c>
      <c r="G3617">
        <f>IFERROR(VLOOKUP($A3617,原始数据_收盘!$A$4:$G$3460,7,0),"")</f>
        <v>4.0503</v>
      </c>
      <c r="H3617">
        <f>IFERROR(VLOOKUP($A3617,原始数据_利率互换_FR007_1年!$A$6:$C$4395,2,0),"")</f>
        <v>3.631</v>
      </c>
      <c r="I3617">
        <f>IFERROR(VLOOKUP($A3617,原始数据_利率互换_FR007_1年!$A$6:$C$4395,3,0),"")</f>
        <v>4.0328</v>
      </c>
    </row>
    <row r="3618" spans="1:9">
      <c r="A3618" s="6">
        <v>43111</v>
      </c>
      <c r="B3618">
        <f>IFERROR(VLOOKUP($A3618,原始数据_收盘!$A$4:$G$3460,2,0),"")</f>
        <v>3.6475</v>
      </c>
      <c r="C3618">
        <f>IFERROR(VLOOKUP($A3618,原始数据_收盘!$A$4:$G$3460,3,0),"")</f>
        <v>4.0469</v>
      </c>
      <c r="D3618">
        <f>IFERROR(VLOOKUP($A3618,原始数据_收盘!$A$4:$G$3460,4,0),"")</f>
        <v>3.6524</v>
      </c>
      <c r="E3618">
        <f>IFERROR(VLOOKUP($A3618,原始数据_收盘!$A$4:$G$3460,5,0),"")</f>
        <v>4.0504</v>
      </c>
      <c r="F3618">
        <f>IFERROR(VLOOKUP($A3618,原始数据_收盘!$A$4:$G$3460,6,0),"")</f>
        <v>3.65</v>
      </c>
      <c r="G3618">
        <f>IFERROR(VLOOKUP($A3618,原始数据_收盘!$A$4:$G$3460,7,0),"")</f>
        <v>4.0486</v>
      </c>
      <c r="H3618">
        <f>IFERROR(VLOOKUP($A3618,原始数据_利率互换_FR007_1年!$A$6:$C$4395,2,0),"")</f>
        <v>3.6549</v>
      </c>
      <c r="I3618">
        <f>IFERROR(VLOOKUP($A3618,原始数据_利率互换_FR007_1年!$A$6:$C$4395,3,0),"")</f>
        <v>4.0545</v>
      </c>
    </row>
    <row r="3619" spans="1:9">
      <c r="A3619" s="6">
        <v>43112</v>
      </c>
      <c r="B3619">
        <f>IFERROR(VLOOKUP($A3619,原始数据_收盘!$A$4:$G$3460,2,0),"")</f>
        <v>3.6206</v>
      </c>
      <c r="C3619">
        <f>IFERROR(VLOOKUP($A3619,原始数据_收盘!$A$4:$G$3460,3,0),"")</f>
        <v>4.0282</v>
      </c>
      <c r="D3619">
        <f>IFERROR(VLOOKUP($A3619,原始数据_收盘!$A$4:$G$3460,4,0),"")</f>
        <v>3.6325</v>
      </c>
      <c r="E3619">
        <f>IFERROR(VLOOKUP($A3619,原始数据_收盘!$A$4:$G$3460,5,0),"")</f>
        <v>4.0332</v>
      </c>
      <c r="F3619">
        <f>IFERROR(VLOOKUP($A3619,原始数据_收盘!$A$4:$G$3460,6,0),"")</f>
        <v>3.6266</v>
      </c>
      <c r="G3619">
        <f>IFERROR(VLOOKUP($A3619,原始数据_收盘!$A$4:$G$3460,7,0),"")</f>
        <v>4.0307</v>
      </c>
      <c r="H3619">
        <f>IFERROR(VLOOKUP($A3619,原始数据_利率互换_FR007_1年!$A$6:$C$4395,2,0),"")</f>
        <v>3.6343</v>
      </c>
      <c r="I3619">
        <f>IFERROR(VLOOKUP($A3619,原始数据_利率互换_FR007_1年!$A$6:$C$4395,3,0),"")</f>
        <v>4.0357</v>
      </c>
    </row>
    <row r="3620" spans="1:9">
      <c r="A3620" s="6">
        <v>43113</v>
      </c>
      <c r="B3620" t="str">
        <f>IFERROR(VLOOKUP($A3620,原始数据_收盘!$A$4:$G$3460,2,0),"")</f>
        <v/>
      </c>
      <c r="C3620" t="str">
        <f>IFERROR(VLOOKUP($A3620,原始数据_收盘!$A$4:$G$3460,3,0),"")</f>
        <v/>
      </c>
      <c r="D3620" t="str">
        <f>IFERROR(VLOOKUP($A3620,原始数据_收盘!$A$4:$G$3460,4,0),"")</f>
        <v/>
      </c>
      <c r="E3620" t="str">
        <f>IFERROR(VLOOKUP($A3620,原始数据_收盘!$A$4:$G$3460,5,0),"")</f>
        <v/>
      </c>
      <c r="F3620" t="str">
        <f>IFERROR(VLOOKUP($A3620,原始数据_收盘!$A$4:$G$3460,6,0),"")</f>
        <v/>
      </c>
      <c r="G3620" t="str">
        <f>IFERROR(VLOOKUP($A3620,原始数据_收盘!$A$4:$G$3460,7,0),"")</f>
        <v/>
      </c>
      <c r="H3620" t="str">
        <f>IFERROR(VLOOKUP($A3620,原始数据_利率互换_FR007_1年!$A$6:$C$4395,2,0),"")</f>
        <v/>
      </c>
      <c r="I3620" t="str">
        <f>IFERROR(VLOOKUP($A3620,原始数据_利率互换_FR007_1年!$A$6:$C$4395,3,0),"")</f>
        <v/>
      </c>
    </row>
    <row r="3621" spans="1:9">
      <c r="A3621" s="6">
        <v>43114</v>
      </c>
      <c r="B3621" t="str">
        <f>IFERROR(VLOOKUP($A3621,原始数据_收盘!$A$4:$G$3460,2,0),"")</f>
        <v/>
      </c>
      <c r="C3621" t="str">
        <f>IFERROR(VLOOKUP($A3621,原始数据_收盘!$A$4:$G$3460,3,0),"")</f>
        <v/>
      </c>
      <c r="D3621" t="str">
        <f>IFERROR(VLOOKUP($A3621,原始数据_收盘!$A$4:$G$3460,4,0),"")</f>
        <v/>
      </c>
      <c r="E3621" t="str">
        <f>IFERROR(VLOOKUP($A3621,原始数据_收盘!$A$4:$G$3460,5,0),"")</f>
        <v/>
      </c>
      <c r="F3621" t="str">
        <f>IFERROR(VLOOKUP($A3621,原始数据_收盘!$A$4:$G$3460,6,0),"")</f>
        <v/>
      </c>
      <c r="G3621" t="str">
        <f>IFERROR(VLOOKUP($A3621,原始数据_收盘!$A$4:$G$3460,7,0),"")</f>
        <v/>
      </c>
      <c r="H3621" t="str">
        <f>IFERROR(VLOOKUP($A3621,原始数据_利率互换_FR007_1年!$A$6:$C$4395,2,0),"")</f>
        <v/>
      </c>
      <c r="I3621" t="str">
        <f>IFERROR(VLOOKUP($A3621,原始数据_利率互换_FR007_1年!$A$6:$C$4395,3,0),"")</f>
        <v/>
      </c>
    </row>
    <row r="3622" spans="1:9">
      <c r="A3622" s="6">
        <v>43115</v>
      </c>
      <c r="B3622">
        <f>IFERROR(VLOOKUP($A3622,原始数据_收盘!$A$4:$G$3460,2,0),"")</f>
        <v>3.6102</v>
      </c>
      <c r="C3622">
        <f>IFERROR(VLOOKUP($A3622,原始数据_收盘!$A$4:$G$3460,3,0),"")</f>
        <v>4.0307</v>
      </c>
      <c r="D3622">
        <f>IFERROR(VLOOKUP($A3622,原始数据_收盘!$A$4:$G$3460,4,0),"")</f>
        <v>3.6181</v>
      </c>
      <c r="E3622">
        <f>IFERROR(VLOOKUP($A3622,原始数据_收盘!$A$4:$G$3460,5,0),"")</f>
        <v>4.0356</v>
      </c>
      <c r="F3622">
        <f>IFERROR(VLOOKUP($A3622,原始数据_收盘!$A$4:$G$3460,6,0),"")</f>
        <v>3.6142</v>
      </c>
      <c r="G3622">
        <f>IFERROR(VLOOKUP($A3622,原始数据_收盘!$A$4:$G$3460,7,0),"")</f>
        <v>4.0331</v>
      </c>
      <c r="H3622">
        <f>IFERROR(VLOOKUP($A3622,原始数据_利率互换_FR007_1年!$A$6:$C$4395,2,0),"")</f>
        <v>3.6191</v>
      </c>
      <c r="I3622">
        <f>IFERROR(VLOOKUP($A3622,原始数据_利率互换_FR007_1年!$A$6:$C$4395,3,0),"")</f>
        <v>4.0429</v>
      </c>
    </row>
    <row r="3623" spans="1:9">
      <c r="A3623" s="6">
        <v>43116</v>
      </c>
      <c r="B3623">
        <f>IFERROR(VLOOKUP($A3623,原始数据_收盘!$A$4:$G$3460,2,0),"")</f>
        <v>3.599</v>
      </c>
      <c r="C3623">
        <f>IFERROR(VLOOKUP($A3623,原始数据_收盘!$A$4:$G$3460,3,0),"")</f>
        <v>4.03</v>
      </c>
      <c r="D3623">
        <f>IFERROR(VLOOKUP($A3623,原始数据_收盘!$A$4:$G$3460,4,0),"")</f>
        <v>3.6021</v>
      </c>
      <c r="E3623">
        <f>IFERROR(VLOOKUP($A3623,原始数据_收盘!$A$4:$G$3460,5,0),"")</f>
        <v>4.0333</v>
      </c>
      <c r="F3623">
        <f>IFERROR(VLOOKUP($A3623,原始数据_收盘!$A$4:$G$3460,6,0),"")</f>
        <v>3.6006</v>
      </c>
      <c r="G3623">
        <f>IFERROR(VLOOKUP($A3623,原始数据_收盘!$A$4:$G$3460,7,0),"")</f>
        <v>4.0317</v>
      </c>
      <c r="H3623">
        <f>IFERROR(VLOOKUP($A3623,原始数据_利率互换_FR007_1年!$A$6:$C$4395,2,0),"")</f>
        <v>3.6009</v>
      </c>
      <c r="I3623">
        <f>IFERROR(VLOOKUP($A3623,原始数据_利率互换_FR007_1年!$A$6:$C$4395,3,0),"")</f>
        <v>4.028</v>
      </c>
    </row>
    <row r="3624" spans="1:9">
      <c r="A3624" s="6">
        <v>43117</v>
      </c>
      <c r="B3624">
        <f>IFERROR(VLOOKUP($A3624,原始数据_收盘!$A$4:$G$3460,2,0),"")</f>
        <v>3.605</v>
      </c>
      <c r="C3624">
        <f>IFERROR(VLOOKUP($A3624,原始数据_收盘!$A$4:$G$3460,3,0),"")</f>
        <v>4.04</v>
      </c>
      <c r="D3624">
        <f>IFERROR(VLOOKUP($A3624,原始数据_收盘!$A$4:$G$3460,4,0),"")</f>
        <v>3.6075</v>
      </c>
      <c r="E3624">
        <f>IFERROR(VLOOKUP($A3624,原始数据_收盘!$A$4:$G$3460,5,0),"")</f>
        <v>4.045</v>
      </c>
      <c r="F3624">
        <f>IFERROR(VLOOKUP($A3624,原始数据_收盘!$A$4:$G$3460,6,0),"")</f>
        <v>3.6063</v>
      </c>
      <c r="G3624">
        <f>IFERROR(VLOOKUP($A3624,原始数据_收盘!$A$4:$G$3460,7,0),"")</f>
        <v>4.0425</v>
      </c>
      <c r="H3624">
        <f>IFERROR(VLOOKUP($A3624,原始数据_利率互换_FR007_1年!$A$6:$C$4395,2,0),"")</f>
        <v>3.6036</v>
      </c>
      <c r="I3624">
        <f>IFERROR(VLOOKUP($A3624,原始数据_利率互换_FR007_1年!$A$6:$C$4395,3,0),"")</f>
        <v>4.0379</v>
      </c>
    </row>
    <row r="3625" spans="1:9">
      <c r="A3625" s="6">
        <v>43118</v>
      </c>
      <c r="B3625">
        <f>IFERROR(VLOOKUP($A3625,原始数据_收盘!$A$4:$G$3460,2,0),"")</f>
        <v>3.615</v>
      </c>
      <c r="C3625">
        <f>IFERROR(VLOOKUP($A3625,原始数据_收盘!$A$4:$G$3460,3,0),"")</f>
        <v>4.0575</v>
      </c>
      <c r="D3625">
        <f>IFERROR(VLOOKUP($A3625,原始数据_收盘!$A$4:$G$3460,4,0),"")</f>
        <v>3.6225</v>
      </c>
      <c r="E3625">
        <f>IFERROR(VLOOKUP($A3625,原始数据_收盘!$A$4:$G$3460,5,0),"")</f>
        <v>4.0604</v>
      </c>
      <c r="F3625">
        <f>IFERROR(VLOOKUP($A3625,原始数据_收盘!$A$4:$G$3460,6,0),"")</f>
        <v>3.6188</v>
      </c>
      <c r="G3625">
        <f>IFERROR(VLOOKUP($A3625,原始数据_收盘!$A$4:$G$3460,7,0),"")</f>
        <v>4.059</v>
      </c>
      <c r="H3625">
        <f>IFERROR(VLOOKUP($A3625,原始数据_利率互换_FR007_1年!$A$6:$C$4395,2,0),"")</f>
        <v>3.6168</v>
      </c>
      <c r="I3625">
        <f>IFERROR(VLOOKUP($A3625,原始数据_利率互换_FR007_1年!$A$6:$C$4395,3,0),"")</f>
        <v>4.0544</v>
      </c>
    </row>
    <row r="3626" spans="1:9">
      <c r="A3626" s="6">
        <v>43119</v>
      </c>
      <c r="B3626">
        <f>IFERROR(VLOOKUP($A3626,原始数据_收盘!$A$4:$G$3460,2,0),"")</f>
        <v>3.605</v>
      </c>
      <c r="C3626">
        <f>IFERROR(VLOOKUP($A3626,原始数据_收盘!$A$4:$G$3460,3,0),"")</f>
        <v>4.066</v>
      </c>
      <c r="D3626">
        <f>IFERROR(VLOOKUP($A3626,原始数据_收盘!$A$4:$G$3460,4,0),"")</f>
        <v>3.6175</v>
      </c>
      <c r="E3626">
        <f>IFERROR(VLOOKUP($A3626,原始数据_收盘!$A$4:$G$3460,5,0),"")</f>
        <v>4.0705</v>
      </c>
      <c r="F3626">
        <f>IFERROR(VLOOKUP($A3626,原始数据_收盘!$A$4:$G$3460,6,0),"")</f>
        <v>3.6113</v>
      </c>
      <c r="G3626">
        <f>IFERROR(VLOOKUP($A3626,原始数据_收盘!$A$4:$G$3460,7,0),"")</f>
        <v>4.0683</v>
      </c>
      <c r="H3626">
        <f>IFERROR(VLOOKUP($A3626,原始数据_利率互换_FR007_1年!$A$6:$C$4395,2,0),"")</f>
        <v>3.6191</v>
      </c>
      <c r="I3626">
        <f>IFERROR(VLOOKUP($A3626,原始数据_利率互换_FR007_1年!$A$6:$C$4395,3,0),"")</f>
        <v>4.0689</v>
      </c>
    </row>
    <row r="3627" spans="1:9">
      <c r="A3627" s="6">
        <v>43120</v>
      </c>
      <c r="B3627" t="str">
        <f>IFERROR(VLOOKUP($A3627,原始数据_收盘!$A$4:$G$3460,2,0),"")</f>
        <v/>
      </c>
      <c r="C3627" t="str">
        <f>IFERROR(VLOOKUP($A3627,原始数据_收盘!$A$4:$G$3460,3,0),"")</f>
        <v/>
      </c>
      <c r="D3627" t="str">
        <f>IFERROR(VLOOKUP($A3627,原始数据_收盘!$A$4:$G$3460,4,0),"")</f>
        <v/>
      </c>
      <c r="E3627" t="str">
        <f>IFERROR(VLOOKUP($A3627,原始数据_收盘!$A$4:$G$3460,5,0),"")</f>
        <v/>
      </c>
      <c r="F3627" t="str">
        <f>IFERROR(VLOOKUP($A3627,原始数据_收盘!$A$4:$G$3460,6,0),"")</f>
        <v/>
      </c>
      <c r="G3627" t="str">
        <f>IFERROR(VLOOKUP($A3627,原始数据_收盘!$A$4:$G$3460,7,0),"")</f>
        <v/>
      </c>
      <c r="H3627" t="str">
        <f>IFERROR(VLOOKUP($A3627,原始数据_利率互换_FR007_1年!$A$6:$C$4395,2,0),"")</f>
        <v/>
      </c>
      <c r="I3627" t="str">
        <f>IFERROR(VLOOKUP($A3627,原始数据_利率互换_FR007_1年!$A$6:$C$4395,3,0),"")</f>
        <v/>
      </c>
    </row>
    <row r="3628" spans="1:9">
      <c r="A3628" s="6">
        <v>43121</v>
      </c>
      <c r="B3628" t="str">
        <f>IFERROR(VLOOKUP($A3628,原始数据_收盘!$A$4:$G$3460,2,0),"")</f>
        <v/>
      </c>
      <c r="C3628" t="str">
        <f>IFERROR(VLOOKUP($A3628,原始数据_收盘!$A$4:$G$3460,3,0),"")</f>
        <v/>
      </c>
      <c r="D3628" t="str">
        <f>IFERROR(VLOOKUP($A3628,原始数据_收盘!$A$4:$G$3460,4,0),"")</f>
        <v/>
      </c>
      <c r="E3628" t="str">
        <f>IFERROR(VLOOKUP($A3628,原始数据_收盘!$A$4:$G$3460,5,0),"")</f>
        <v/>
      </c>
      <c r="F3628" t="str">
        <f>IFERROR(VLOOKUP($A3628,原始数据_收盘!$A$4:$G$3460,6,0),"")</f>
        <v/>
      </c>
      <c r="G3628" t="str">
        <f>IFERROR(VLOOKUP($A3628,原始数据_收盘!$A$4:$G$3460,7,0),"")</f>
        <v/>
      </c>
      <c r="H3628" t="str">
        <f>IFERROR(VLOOKUP($A3628,原始数据_利率互换_FR007_1年!$A$6:$C$4395,2,0),"")</f>
        <v/>
      </c>
      <c r="I3628" t="str">
        <f>IFERROR(VLOOKUP($A3628,原始数据_利率互换_FR007_1年!$A$6:$C$4395,3,0),"")</f>
        <v/>
      </c>
    </row>
    <row r="3629" spans="1:9">
      <c r="A3629" s="6">
        <v>43122</v>
      </c>
      <c r="B3629">
        <f>IFERROR(VLOOKUP($A3629,原始数据_收盘!$A$4:$G$3460,2,0),"")</f>
        <v>3.585</v>
      </c>
      <c r="C3629">
        <f>IFERROR(VLOOKUP($A3629,原始数据_收盘!$A$4:$G$3460,3,0),"")</f>
        <v>4.045</v>
      </c>
      <c r="D3629">
        <f>IFERROR(VLOOKUP($A3629,原始数据_收盘!$A$4:$G$3460,4,0),"")</f>
        <v>3.5894</v>
      </c>
      <c r="E3629">
        <f>IFERROR(VLOOKUP($A3629,原始数据_收盘!$A$4:$G$3460,5,0),"")</f>
        <v>4.05</v>
      </c>
      <c r="F3629">
        <f>IFERROR(VLOOKUP($A3629,原始数据_收盘!$A$4:$G$3460,6,0),"")</f>
        <v>3.5872</v>
      </c>
      <c r="G3629">
        <f>IFERROR(VLOOKUP($A3629,原始数据_收盘!$A$4:$G$3460,7,0),"")</f>
        <v>4.0475</v>
      </c>
      <c r="H3629">
        <f>IFERROR(VLOOKUP($A3629,原始数据_利率互换_FR007_1年!$A$6:$C$4395,2,0),"")</f>
        <v>3.5988</v>
      </c>
      <c r="I3629">
        <f>IFERROR(VLOOKUP($A3629,原始数据_利率互换_FR007_1年!$A$6:$C$4395,3,0),"")</f>
        <v>4.0554</v>
      </c>
    </row>
    <row r="3630" spans="1:9">
      <c r="A3630" s="6">
        <v>43123</v>
      </c>
      <c r="B3630">
        <f>IFERROR(VLOOKUP($A3630,原始数据_收盘!$A$4:$G$3460,2,0),"")</f>
        <v>3.5679</v>
      </c>
      <c r="C3630">
        <f>IFERROR(VLOOKUP($A3630,原始数据_收盘!$A$4:$G$3460,3,0),"")</f>
        <v>4.0338</v>
      </c>
      <c r="D3630">
        <f>IFERROR(VLOOKUP($A3630,原始数据_收盘!$A$4:$G$3460,4,0),"")</f>
        <v>3.5777</v>
      </c>
      <c r="E3630">
        <f>IFERROR(VLOOKUP($A3630,原始数据_收盘!$A$4:$G$3460,5,0),"")</f>
        <v>4.0362</v>
      </c>
      <c r="F3630">
        <f>IFERROR(VLOOKUP($A3630,原始数据_收盘!$A$4:$G$3460,6,0),"")</f>
        <v>3.5728</v>
      </c>
      <c r="G3630">
        <f>IFERROR(VLOOKUP($A3630,原始数据_收盘!$A$4:$G$3460,7,0),"")</f>
        <v>4.035</v>
      </c>
      <c r="H3630">
        <f>IFERROR(VLOOKUP($A3630,原始数据_利率互换_FR007_1年!$A$6:$C$4395,2,0),"")</f>
        <v>3.5813</v>
      </c>
      <c r="I3630">
        <f>IFERROR(VLOOKUP($A3630,原始数据_利率互换_FR007_1年!$A$6:$C$4395,3,0),"")</f>
        <v>4.0427</v>
      </c>
    </row>
    <row r="3631" spans="1:9">
      <c r="A3631" s="6">
        <v>43124</v>
      </c>
      <c r="B3631">
        <f>IFERROR(VLOOKUP($A3631,原始数据_收盘!$A$4:$G$3460,2,0),"")</f>
        <v>3.565</v>
      </c>
      <c r="C3631">
        <f>IFERROR(VLOOKUP($A3631,原始数据_收盘!$A$4:$G$3460,3,0),"")</f>
        <v>4.0125</v>
      </c>
      <c r="D3631">
        <f>IFERROR(VLOOKUP($A3631,原始数据_收盘!$A$4:$G$3460,4,0),"")</f>
        <v>3.5675</v>
      </c>
      <c r="E3631">
        <f>IFERROR(VLOOKUP($A3631,原始数据_收盘!$A$4:$G$3460,5,0),"")</f>
        <v>4.015</v>
      </c>
      <c r="F3631">
        <f>IFERROR(VLOOKUP($A3631,原始数据_收盘!$A$4:$G$3460,6,0),"")</f>
        <v>3.5663</v>
      </c>
      <c r="G3631">
        <f>IFERROR(VLOOKUP($A3631,原始数据_收盘!$A$4:$G$3460,7,0),"")</f>
        <v>4.0138</v>
      </c>
      <c r="H3631">
        <f>IFERROR(VLOOKUP($A3631,原始数据_利率互换_FR007_1年!$A$6:$C$4395,2,0),"")</f>
        <v>3.5804</v>
      </c>
      <c r="I3631">
        <f>IFERROR(VLOOKUP($A3631,原始数据_利率互换_FR007_1年!$A$6:$C$4395,3,0),"")</f>
        <v>4.0178</v>
      </c>
    </row>
    <row r="3632" spans="1:9">
      <c r="A3632" s="6">
        <v>43125</v>
      </c>
      <c r="B3632">
        <f>IFERROR(VLOOKUP($A3632,原始数据_收盘!$A$4:$G$3460,2,0),"")</f>
        <v>3.5425</v>
      </c>
      <c r="C3632">
        <f>IFERROR(VLOOKUP($A3632,原始数据_收盘!$A$4:$G$3460,3,0),"")</f>
        <v>3.9838</v>
      </c>
      <c r="D3632">
        <f>IFERROR(VLOOKUP($A3632,原始数据_收盘!$A$4:$G$3460,4,0),"")</f>
        <v>3.5469</v>
      </c>
      <c r="E3632">
        <f>IFERROR(VLOOKUP($A3632,原始数据_收盘!$A$4:$G$3460,5,0),"")</f>
        <v>3.987</v>
      </c>
      <c r="F3632">
        <f>IFERROR(VLOOKUP($A3632,原始数据_收盘!$A$4:$G$3460,6,0),"")</f>
        <v>3.5447</v>
      </c>
      <c r="G3632">
        <f>IFERROR(VLOOKUP($A3632,原始数据_收盘!$A$4:$G$3460,7,0),"")</f>
        <v>3.9854</v>
      </c>
      <c r="H3632">
        <f>IFERROR(VLOOKUP($A3632,原始数据_利率互换_FR007_1年!$A$6:$C$4395,2,0),"")</f>
        <v>3.5707</v>
      </c>
      <c r="I3632">
        <f>IFERROR(VLOOKUP($A3632,原始数据_利率互换_FR007_1年!$A$6:$C$4395,3,0),"")</f>
        <v>4.0059</v>
      </c>
    </row>
    <row r="3633" spans="1:9">
      <c r="A3633" s="6">
        <v>43126</v>
      </c>
      <c r="B3633">
        <f>IFERROR(VLOOKUP($A3633,原始数据_收盘!$A$4:$G$3460,2,0),"")</f>
        <v>3.5844</v>
      </c>
      <c r="C3633">
        <f>IFERROR(VLOOKUP($A3633,原始数据_收盘!$A$4:$G$3460,3,0),"")</f>
        <v>4.0175</v>
      </c>
      <c r="D3633">
        <f>IFERROR(VLOOKUP($A3633,原始数据_收盘!$A$4:$G$3460,4,0),"")</f>
        <v>3.5991</v>
      </c>
      <c r="E3633">
        <f>IFERROR(VLOOKUP($A3633,原始数据_收盘!$A$4:$G$3460,5,0),"")</f>
        <v>4.03</v>
      </c>
      <c r="F3633">
        <f>IFERROR(VLOOKUP($A3633,原始数据_收盘!$A$4:$G$3460,6,0),"")</f>
        <v>3.5918</v>
      </c>
      <c r="G3633">
        <f>IFERROR(VLOOKUP($A3633,原始数据_收盘!$A$4:$G$3460,7,0),"")</f>
        <v>4.0238</v>
      </c>
      <c r="H3633">
        <f>IFERROR(VLOOKUP($A3633,原始数据_利率互换_FR007_1年!$A$6:$C$4395,2,0),"")</f>
        <v>3.5667</v>
      </c>
      <c r="I3633">
        <f>IFERROR(VLOOKUP($A3633,原始数据_利率互换_FR007_1年!$A$6:$C$4395,3,0),"")</f>
        <v>3.9984</v>
      </c>
    </row>
    <row r="3634" spans="1:9">
      <c r="A3634" s="6">
        <v>43127</v>
      </c>
      <c r="B3634" t="str">
        <f>IFERROR(VLOOKUP($A3634,原始数据_收盘!$A$4:$G$3460,2,0),"")</f>
        <v/>
      </c>
      <c r="C3634" t="str">
        <f>IFERROR(VLOOKUP($A3634,原始数据_收盘!$A$4:$G$3460,3,0),"")</f>
        <v/>
      </c>
      <c r="D3634" t="str">
        <f>IFERROR(VLOOKUP($A3634,原始数据_收盘!$A$4:$G$3460,4,0),"")</f>
        <v/>
      </c>
      <c r="E3634" t="str">
        <f>IFERROR(VLOOKUP($A3634,原始数据_收盘!$A$4:$G$3460,5,0),"")</f>
        <v/>
      </c>
      <c r="F3634" t="str">
        <f>IFERROR(VLOOKUP($A3634,原始数据_收盘!$A$4:$G$3460,6,0),"")</f>
        <v/>
      </c>
      <c r="G3634" t="str">
        <f>IFERROR(VLOOKUP($A3634,原始数据_收盘!$A$4:$G$3460,7,0),"")</f>
        <v/>
      </c>
      <c r="H3634" t="str">
        <f>IFERROR(VLOOKUP($A3634,原始数据_利率互换_FR007_1年!$A$6:$C$4395,2,0),"")</f>
        <v/>
      </c>
      <c r="I3634" t="str">
        <f>IFERROR(VLOOKUP($A3634,原始数据_利率互换_FR007_1年!$A$6:$C$4395,3,0),"")</f>
        <v/>
      </c>
    </row>
    <row r="3635" spans="1:9">
      <c r="A3635" s="6">
        <v>43128</v>
      </c>
      <c r="B3635" t="str">
        <f>IFERROR(VLOOKUP($A3635,原始数据_收盘!$A$4:$G$3460,2,0),"")</f>
        <v/>
      </c>
      <c r="C3635" t="str">
        <f>IFERROR(VLOOKUP($A3635,原始数据_收盘!$A$4:$G$3460,3,0),"")</f>
        <v/>
      </c>
      <c r="D3635" t="str">
        <f>IFERROR(VLOOKUP($A3635,原始数据_收盘!$A$4:$G$3460,4,0),"")</f>
        <v/>
      </c>
      <c r="E3635" t="str">
        <f>IFERROR(VLOOKUP($A3635,原始数据_收盘!$A$4:$G$3460,5,0),"")</f>
        <v/>
      </c>
      <c r="F3635" t="str">
        <f>IFERROR(VLOOKUP($A3635,原始数据_收盘!$A$4:$G$3460,6,0),"")</f>
        <v/>
      </c>
      <c r="G3635" t="str">
        <f>IFERROR(VLOOKUP($A3635,原始数据_收盘!$A$4:$G$3460,7,0),"")</f>
        <v/>
      </c>
      <c r="H3635" t="str">
        <f>IFERROR(VLOOKUP($A3635,原始数据_利率互换_FR007_1年!$A$6:$C$4395,2,0),"")</f>
        <v/>
      </c>
      <c r="I3635" t="str">
        <f>IFERROR(VLOOKUP($A3635,原始数据_利率互换_FR007_1年!$A$6:$C$4395,3,0),"")</f>
        <v/>
      </c>
    </row>
    <row r="3636" spans="1:9">
      <c r="A3636" s="6">
        <v>43129</v>
      </c>
      <c r="B3636">
        <f>IFERROR(VLOOKUP($A3636,原始数据_收盘!$A$4:$G$3460,2,0),"")</f>
        <v>3.58</v>
      </c>
      <c r="C3636">
        <f>IFERROR(VLOOKUP($A3636,原始数据_收盘!$A$4:$G$3460,3,0),"")</f>
        <v>4.0201</v>
      </c>
      <c r="D3636">
        <f>IFERROR(VLOOKUP($A3636,原始数据_收盘!$A$4:$G$3460,4,0),"")</f>
        <v>3.5853</v>
      </c>
      <c r="E3636">
        <f>IFERROR(VLOOKUP($A3636,原始数据_收盘!$A$4:$G$3460,5,0),"")</f>
        <v>4.025</v>
      </c>
      <c r="F3636">
        <f>IFERROR(VLOOKUP($A3636,原始数据_收盘!$A$4:$G$3460,6,0),"")</f>
        <v>3.5827</v>
      </c>
      <c r="G3636">
        <f>IFERROR(VLOOKUP($A3636,原始数据_收盘!$A$4:$G$3460,7,0),"")</f>
        <v>4.0225</v>
      </c>
      <c r="H3636">
        <f>IFERROR(VLOOKUP($A3636,原始数据_利率互换_FR007_1年!$A$6:$C$4395,2,0),"")</f>
        <v>3.5794</v>
      </c>
      <c r="I3636">
        <f>IFERROR(VLOOKUP($A3636,原始数据_利率互换_FR007_1年!$A$6:$C$4395,3,0),"")</f>
        <v>4.0089</v>
      </c>
    </row>
    <row r="3637" spans="1:9">
      <c r="A3637" s="6">
        <v>43130</v>
      </c>
      <c r="B3637">
        <f>IFERROR(VLOOKUP($A3637,原始数据_收盘!$A$4:$G$3460,2,0),"")</f>
        <v>3.5905</v>
      </c>
      <c r="C3637">
        <f>IFERROR(VLOOKUP($A3637,原始数据_收盘!$A$4:$G$3460,3,0),"")</f>
        <v>4.035</v>
      </c>
      <c r="D3637">
        <f>IFERROR(VLOOKUP($A3637,原始数据_收盘!$A$4:$G$3460,4,0),"")</f>
        <v>3.5932</v>
      </c>
      <c r="E3637">
        <f>IFERROR(VLOOKUP($A3637,原始数据_收盘!$A$4:$G$3460,5,0),"")</f>
        <v>4.04</v>
      </c>
      <c r="F3637">
        <f>IFERROR(VLOOKUP($A3637,原始数据_收盘!$A$4:$G$3460,6,0),"")</f>
        <v>3.5919</v>
      </c>
      <c r="G3637">
        <f>IFERROR(VLOOKUP($A3637,原始数据_收盘!$A$4:$G$3460,7,0),"")</f>
        <v>4.0375</v>
      </c>
      <c r="H3637">
        <f>IFERROR(VLOOKUP($A3637,原始数据_利率互换_FR007_1年!$A$6:$C$4395,2,0),"")</f>
        <v>3.5867</v>
      </c>
      <c r="I3637">
        <f>IFERROR(VLOOKUP($A3637,原始数据_利率互换_FR007_1年!$A$6:$C$4395,3,0),"")</f>
        <v>4.0238</v>
      </c>
    </row>
    <row r="3638" spans="1:9">
      <c r="A3638" s="6">
        <v>43131</v>
      </c>
      <c r="B3638">
        <f>IFERROR(VLOOKUP($A3638,原始数据_收盘!$A$4:$G$3460,2,0),"")</f>
        <v>3.575</v>
      </c>
      <c r="C3638">
        <f>IFERROR(VLOOKUP($A3638,原始数据_收盘!$A$4:$G$3460,3,0),"")</f>
        <v>4.0175</v>
      </c>
      <c r="D3638">
        <f>IFERROR(VLOOKUP($A3638,原始数据_收盘!$A$4:$G$3460,4,0),"")</f>
        <v>3.58</v>
      </c>
      <c r="E3638">
        <f>IFERROR(VLOOKUP($A3638,原始数据_收盘!$A$4:$G$3460,5,0),"")</f>
        <v>4.0225</v>
      </c>
      <c r="F3638">
        <f>IFERROR(VLOOKUP($A3638,原始数据_收盘!$A$4:$G$3460,6,0),"")</f>
        <v>3.5775</v>
      </c>
      <c r="G3638">
        <f>IFERROR(VLOOKUP($A3638,原始数据_收盘!$A$4:$G$3460,7,0),"")</f>
        <v>4.02</v>
      </c>
      <c r="H3638">
        <f>IFERROR(VLOOKUP($A3638,原始数据_利率互换_FR007_1年!$A$6:$C$4395,2,0),"")</f>
        <v>3.5796</v>
      </c>
      <c r="I3638">
        <f>IFERROR(VLOOKUP($A3638,原始数据_利率互换_FR007_1年!$A$6:$C$4395,3,0),"")</f>
        <v>4.0248</v>
      </c>
    </row>
    <row r="3639" spans="1:9">
      <c r="A3639" s="6">
        <v>43132</v>
      </c>
      <c r="B3639">
        <f>IFERROR(VLOOKUP($A3639,原始数据_收盘!$A$4:$G$3460,2,0),"")</f>
        <v>3.5575</v>
      </c>
      <c r="C3639">
        <f>IFERROR(VLOOKUP($A3639,原始数据_收盘!$A$4:$G$3460,3,0),"")</f>
        <v>4.0123</v>
      </c>
      <c r="D3639">
        <f>IFERROR(VLOOKUP($A3639,原始数据_收盘!$A$4:$G$3460,4,0),"")</f>
        <v>3.57</v>
      </c>
      <c r="E3639">
        <f>IFERROR(VLOOKUP($A3639,原始数据_收盘!$A$4:$G$3460,5,0),"")</f>
        <v>4.0158</v>
      </c>
      <c r="F3639">
        <f>IFERROR(VLOOKUP($A3639,原始数据_收盘!$A$4:$G$3460,6,0),"")</f>
        <v>3.5638</v>
      </c>
      <c r="G3639">
        <f>IFERROR(VLOOKUP($A3639,原始数据_收盘!$A$4:$G$3460,7,0),"")</f>
        <v>4.014</v>
      </c>
      <c r="H3639">
        <f>IFERROR(VLOOKUP($A3639,原始数据_利率互换_FR007_1年!$A$6:$C$4395,2,0),"")</f>
        <v>3.5629</v>
      </c>
      <c r="I3639">
        <f>IFERROR(VLOOKUP($A3639,原始数据_利率互换_FR007_1年!$A$6:$C$4395,3,0),"")</f>
        <v>4.0051</v>
      </c>
    </row>
    <row r="3640" spans="1:9">
      <c r="A3640" s="6">
        <v>43133</v>
      </c>
      <c r="B3640">
        <f>IFERROR(VLOOKUP($A3640,原始数据_收盘!$A$4:$G$3460,2,0),"")</f>
        <v>3.5561</v>
      </c>
      <c r="C3640">
        <f>IFERROR(VLOOKUP($A3640,原始数据_收盘!$A$4:$G$3460,3,0),"")</f>
        <v>4.015</v>
      </c>
      <c r="D3640">
        <f>IFERROR(VLOOKUP($A3640,原始数据_收盘!$A$4:$G$3460,4,0),"")</f>
        <v>3.5586</v>
      </c>
      <c r="E3640">
        <f>IFERROR(VLOOKUP($A3640,原始数据_收盘!$A$4:$G$3460,5,0),"")</f>
        <v>4.0202</v>
      </c>
      <c r="F3640">
        <f>IFERROR(VLOOKUP($A3640,原始数据_收盘!$A$4:$G$3460,6,0),"")</f>
        <v>3.5573</v>
      </c>
      <c r="G3640">
        <f>IFERROR(VLOOKUP($A3640,原始数据_收盘!$A$4:$G$3460,7,0),"")</f>
        <v>4.0176</v>
      </c>
      <c r="H3640">
        <f>IFERROR(VLOOKUP($A3640,原始数据_利率互换_FR007_1年!$A$6:$C$4395,2,0),"")</f>
        <v>3.561</v>
      </c>
      <c r="I3640">
        <f>IFERROR(VLOOKUP($A3640,原始数据_利率互换_FR007_1年!$A$6:$C$4395,3,0),"")</f>
        <v>3.9961</v>
      </c>
    </row>
    <row r="3641" spans="1:9">
      <c r="A3641" s="6">
        <v>43134</v>
      </c>
      <c r="B3641" t="str">
        <f>IFERROR(VLOOKUP($A3641,原始数据_收盘!$A$4:$G$3460,2,0),"")</f>
        <v/>
      </c>
      <c r="C3641" t="str">
        <f>IFERROR(VLOOKUP($A3641,原始数据_收盘!$A$4:$G$3460,3,0),"")</f>
        <v/>
      </c>
      <c r="D3641" t="str">
        <f>IFERROR(VLOOKUP($A3641,原始数据_收盘!$A$4:$G$3460,4,0),"")</f>
        <v/>
      </c>
      <c r="E3641" t="str">
        <f>IFERROR(VLOOKUP($A3641,原始数据_收盘!$A$4:$G$3460,5,0),"")</f>
        <v/>
      </c>
      <c r="F3641" t="str">
        <f>IFERROR(VLOOKUP($A3641,原始数据_收盘!$A$4:$G$3460,6,0),"")</f>
        <v/>
      </c>
      <c r="G3641" t="str">
        <f>IFERROR(VLOOKUP($A3641,原始数据_收盘!$A$4:$G$3460,7,0),"")</f>
        <v/>
      </c>
      <c r="H3641" t="str">
        <f>IFERROR(VLOOKUP($A3641,原始数据_利率互换_FR007_1年!$A$6:$C$4395,2,0),"")</f>
        <v/>
      </c>
      <c r="I3641" t="str">
        <f>IFERROR(VLOOKUP($A3641,原始数据_利率互换_FR007_1年!$A$6:$C$4395,3,0),"")</f>
        <v/>
      </c>
    </row>
    <row r="3642" spans="1:9">
      <c r="A3642" s="6">
        <v>43135</v>
      </c>
      <c r="B3642" t="str">
        <f>IFERROR(VLOOKUP($A3642,原始数据_收盘!$A$4:$G$3460,2,0),"")</f>
        <v/>
      </c>
      <c r="C3642" t="str">
        <f>IFERROR(VLOOKUP($A3642,原始数据_收盘!$A$4:$G$3460,3,0),"")</f>
        <v/>
      </c>
      <c r="D3642" t="str">
        <f>IFERROR(VLOOKUP($A3642,原始数据_收盘!$A$4:$G$3460,4,0),"")</f>
        <v/>
      </c>
      <c r="E3642" t="str">
        <f>IFERROR(VLOOKUP($A3642,原始数据_收盘!$A$4:$G$3460,5,0),"")</f>
        <v/>
      </c>
      <c r="F3642" t="str">
        <f>IFERROR(VLOOKUP($A3642,原始数据_收盘!$A$4:$G$3460,6,0),"")</f>
        <v/>
      </c>
      <c r="G3642" t="str">
        <f>IFERROR(VLOOKUP($A3642,原始数据_收盘!$A$4:$G$3460,7,0),"")</f>
        <v/>
      </c>
      <c r="H3642" t="str">
        <f>IFERROR(VLOOKUP($A3642,原始数据_利率互换_FR007_1年!$A$6:$C$4395,2,0),"")</f>
        <v/>
      </c>
      <c r="I3642" t="str">
        <f>IFERROR(VLOOKUP($A3642,原始数据_利率互换_FR007_1年!$A$6:$C$4395,3,0),"")</f>
        <v/>
      </c>
    </row>
    <row r="3643" spans="1:9">
      <c r="A3643" s="6">
        <v>43136</v>
      </c>
      <c r="B3643">
        <f>IFERROR(VLOOKUP($A3643,原始数据_收盘!$A$4:$G$3460,2,0),"")</f>
        <v>3.5525</v>
      </c>
      <c r="C3643">
        <f>IFERROR(VLOOKUP($A3643,原始数据_收盘!$A$4:$G$3460,3,0),"")</f>
        <v>4.0275</v>
      </c>
      <c r="D3643">
        <f>IFERROR(VLOOKUP($A3643,原始数据_收盘!$A$4:$G$3460,4,0),"")</f>
        <v>3.5575</v>
      </c>
      <c r="E3643">
        <f>IFERROR(VLOOKUP($A3643,原始数据_收盘!$A$4:$G$3460,5,0),"")</f>
        <v>4.03</v>
      </c>
      <c r="F3643">
        <f>IFERROR(VLOOKUP($A3643,原始数据_收盘!$A$4:$G$3460,6,0),"")</f>
        <v>3.555</v>
      </c>
      <c r="G3643">
        <f>IFERROR(VLOOKUP($A3643,原始数据_收盘!$A$4:$G$3460,7,0),"")</f>
        <v>4.0288</v>
      </c>
      <c r="H3643">
        <f>IFERROR(VLOOKUP($A3643,原始数据_利率互换_FR007_1年!$A$6:$C$4395,2,0),"")</f>
        <v>3.5521</v>
      </c>
      <c r="I3643">
        <f>IFERROR(VLOOKUP($A3643,原始数据_利率互换_FR007_1年!$A$6:$C$4395,3,0),"")</f>
        <v>4.0276</v>
      </c>
    </row>
    <row r="3644" spans="1:9">
      <c r="A3644" s="6">
        <v>43137</v>
      </c>
      <c r="B3644">
        <f>IFERROR(VLOOKUP($A3644,原始数据_收盘!$A$4:$G$3460,2,0),"")</f>
        <v>3.5475</v>
      </c>
      <c r="C3644">
        <f>IFERROR(VLOOKUP($A3644,原始数据_收盘!$A$4:$G$3460,3,0),"")</f>
        <v>4.0025</v>
      </c>
      <c r="D3644">
        <f>IFERROR(VLOOKUP($A3644,原始数据_收盘!$A$4:$G$3460,4,0),"")</f>
        <v>3.55</v>
      </c>
      <c r="E3644">
        <f>IFERROR(VLOOKUP($A3644,原始数据_收盘!$A$4:$G$3460,5,0),"")</f>
        <v>4.005</v>
      </c>
      <c r="F3644">
        <f>IFERROR(VLOOKUP($A3644,原始数据_收盘!$A$4:$G$3460,6,0),"")</f>
        <v>3.5488</v>
      </c>
      <c r="G3644">
        <f>IFERROR(VLOOKUP($A3644,原始数据_收盘!$A$4:$G$3460,7,0),"")</f>
        <v>4.0038</v>
      </c>
      <c r="H3644">
        <f>IFERROR(VLOOKUP($A3644,原始数据_利率互换_FR007_1年!$A$6:$C$4395,2,0),"")</f>
        <v>3.55</v>
      </c>
      <c r="I3644">
        <f>IFERROR(VLOOKUP($A3644,原始数据_利率互换_FR007_1年!$A$6:$C$4395,3,0),"")</f>
        <v>4.0027</v>
      </c>
    </row>
    <row r="3645" spans="1:9">
      <c r="A3645" s="6">
        <v>43138</v>
      </c>
      <c r="B3645">
        <f>IFERROR(VLOOKUP($A3645,原始数据_收盘!$A$4:$G$3460,2,0),"")</f>
        <v>3.5253</v>
      </c>
      <c r="C3645">
        <f>IFERROR(VLOOKUP($A3645,原始数据_收盘!$A$4:$G$3460,3,0),"")</f>
        <v>3.9847</v>
      </c>
      <c r="D3645">
        <f>IFERROR(VLOOKUP($A3645,原始数据_收盘!$A$4:$G$3460,4,0),"")</f>
        <v>3.5287</v>
      </c>
      <c r="E3645">
        <f>IFERROR(VLOOKUP($A3645,原始数据_收盘!$A$4:$G$3460,5,0),"")</f>
        <v>3.9892</v>
      </c>
      <c r="F3645">
        <f>IFERROR(VLOOKUP($A3645,原始数据_收盘!$A$4:$G$3460,6,0),"")</f>
        <v>3.527</v>
      </c>
      <c r="G3645">
        <f>IFERROR(VLOOKUP($A3645,原始数据_收盘!$A$4:$G$3460,7,0),"")</f>
        <v>3.987</v>
      </c>
      <c r="H3645">
        <f>IFERROR(VLOOKUP($A3645,原始数据_利率互换_FR007_1年!$A$6:$C$4395,2,0),"")</f>
        <v>3.5458</v>
      </c>
      <c r="I3645">
        <f>IFERROR(VLOOKUP($A3645,原始数据_利率互换_FR007_1年!$A$6:$C$4395,3,0),"")</f>
        <v>3.9997</v>
      </c>
    </row>
    <row r="3646" spans="1:9">
      <c r="A3646" s="6">
        <v>43139</v>
      </c>
      <c r="B3646">
        <f>IFERROR(VLOOKUP($A3646,原始数据_收盘!$A$4:$G$3460,2,0),"")</f>
        <v>3.5326</v>
      </c>
      <c r="C3646">
        <f>IFERROR(VLOOKUP($A3646,原始数据_收盘!$A$4:$G$3460,3,0),"")</f>
        <v>3.9933</v>
      </c>
      <c r="D3646">
        <f>IFERROR(VLOOKUP($A3646,原始数据_收盘!$A$4:$G$3460,4,0),"")</f>
        <v>3.5448</v>
      </c>
      <c r="E3646">
        <f>IFERROR(VLOOKUP($A3646,原始数据_收盘!$A$4:$G$3460,5,0),"")</f>
        <v>3.9992</v>
      </c>
      <c r="F3646">
        <f>IFERROR(VLOOKUP($A3646,原始数据_收盘!$A$4:$G$3460,6,0),"")</f>
        <v>3.5387</v>
      </c>
      <c r="G3646">
        <f>IFERROR(VLOOKUP($A3646,原始数据_收盘!$A$4:$G$3460,7,0),"")</f>
        <v>3.9963</v>
      </c>
      <c r="H3646">
        <f>IFERROR(VLOOKUP($A3646,原始数据_利率互换_FR007_1年!$A$6:$C$4395,2,0),"")</f>
        <v>3.5321</v>
      </c>
      <c r="I3646">
        <f>IFERROR(VLOOKUP($A3646,原始数据_利率互换_FR007_1年!$A$6:$C$4395,3,0),"")</f>
        <v>3.9819</v>
      </c>
    </row>
    <row r="3647" spans="1:9">
      <c r="A3647" s="6">
        <v>43140</v>
      </c>
      <c r="B3647">
        <f>IFERROR(VLOOKUP($A3647,原始数据_收盘!$A$4:$G$3460,2,0),"")</f>
        <v>3.53</v>
      </c>
      <c r="C3647">
        <f>IFERROR(VLOOKUP($A3647,原始数据_收盘!$A$4:$G$3460,3,0),"")</f>
        <v>3.9825</v>
      </c>
      <c r="D3647">
        <f>IFERROR(VLOOKUP($A3647,原始数据_收盘!$A$4:$G$3460,4,0),"")</f>
        <v>3.535</v>
      </c>
      <c r="E3647">
        <f>IFERROR(VLOOKUP($A3647,原始数据_收盘!$A$4:$G$3460,5,0),"")</f>
        <v>3.985</v>
      </c>
      <c r="F3647">
        <f>IFERROR(VLOOKUP($A3647,原始数据_收盘!$A$4:$G$3460,6,0),"")</f>
        <v>3.5325</v>
      </c>
      <c r="G3647">
        <f>IFERROR(VLOOKUP($A3647,原始数据_收盘!$A$4:$G$3460,7,0),"")</f>
        <v>3.9838</v>
      </c>
      <c r="H3647">
        <f>IFERROR(VLOOKUP($A3647,原始数据_利率互换_FR007_1年!$A$6:$C$4395,2,0),"")</f>
        <v>3.5344</v>
      </c>
      <c r="I3647">
        <f>IFERROR(VLOOKUP($A3647,原始数据_利率互换_FR007_1年!$A$6:$C$4395,3,0),"")</f>
        <v>3.9908</v>
      </c>
    </row>
    <row r="3648" spans="1:9">
      <c r="A3648" s="6">
        <v>43141</v>
      </c>
      <c r="B3648" t="str">
        <f>IFERROR(VLOOKUP($A3648,原始数据_收盘!$A$4:$G$3460,2,0),"")</f>
        <v/>
      </c>
      <c r="C3648" t="str">
        <f>IFERROR(VLOOKUP($A3648,原始数据_收盘!$A$4:$G$3460,3,0),"")</f>
        <v/>
      </c>
      <c r="D3648" t="str">
        <f>IFERROR(VLOOKUP($A3648,原始数据_收盘!$A$4:$G$3460,4,0),"")</f>
        <v/>
      </c>
      <c r="E3648" t="str">
        <f>IFERROR(VLOOKUP($A3648,原始数据_收盘!$A$4:$G$3460,5,0),"")</f>
        <v/>
      </c>
      <c r="F3648" t="str">
        <f>IFERROR(VLOOKUP($A3648,原始数据_收盘!$A$4:$G$3460,6,0),"")</f>
        <v/>
      </c>
      <c r="G3648" t="str">
        <f>IFERROR(VLOOKUP($A3648,原始数据_收盘!$A$4:$G$3460,7,0),"")</f>
        <v/>
      </c>
      <c r="H3648" t="str">
        <f>IFERROR(VLOOKUP($A3648,原始数据_利率互换_FR007_1年!$A$6:$C$4395,2,0),"")</f>
        <v/>
      </c>
      <c r="I3648" t="str">
        <f>IFERROR(VLOOKUP($A3648,原始数据_利率互换_FR007_1年!$A$6:$C$4395,3,0),"")</f>
        <v/>
      </c>
    </row>
    <row r="3649" spans="1:9">
      <c r="A3649" s="6">
        <v>43142</v>
      </c>
      <c r="B3649">
        <f>IFERROR(VLOOKUP($A3649,原始数据_收盘!$A$4:$G$3460,2,0),"")</f>
        <v>3.5262</v>
      </c>
      <c r="C3649">
        <f>IFERROR(VLOOKUP($A3649,原始数据_收盘!$A$4:$G$3460,3,0),"")</f>
        <v>3.9775</v>
      </c>
      <c r="D3649">
        <f>IFERROR(VLOOKUP($A3649,原始数据_收盘!$A$4:$G$3460,4,0),"")</f>
        <v>3.5363</v>
      </c>
      <c r="E3649">
        <f>IFERROR(VLOOKUP($A3649,原始数据_收盘!$A$4:$G$3460,5,0),"")</f>
        <v>3.9825</v>
      </c>
      <c r="F3649">
        <f>IFERROR(VLOOKUP($A3649,原始数据_收盘!$A$4:$G$3460,6,0),"")</f>
        <v>3.5313</v>
      </c>
      <c r="G3649">
        <f>IFERROR(VLOOKUP($A3649,原始数据_收盘!$A$4:$G$3460,7,0),"")</f>
        <v>3.98</v>
      </c>
      <c r="H3649">
        <f>IFERROR(VLOOKUP($A3649,原始数据_利率互换_FR007_1年!$A$6:$C$4395,2,0),"")</f>
        <v>0</v>
      </c>
      <c r="I3649">
        <f>IFERROR(VLOOKUP($A3649,原始数据_利率互换_FR007_1年!$A$6:$C$4395,3,0),"")</f>
        <v>3.9924</v>
      </c>
    </row>
    <row r="3650" spans="1:9">
      <c r="A3650" s="6">
        <v>43143</v>
      </c>
      <c r="B3650">
        <f>IFERROR(VLOOKUP($A3650,原始数据_收盘!$A$4:$G$3460,2,0),"")</f>
        <v>3.5334</v>
      </c>
      <c r="C3650">
        <f>IFERROR(VLOOKUP($A3650,原始数据_收盘!$A$4:$G$3460,3,0),"")</f>
        <v>3.979</v>
      </c>
      <c r="D3650">
        <f>IFERROR(VLOOKUP($A3650,原始数据_收盘!$A$4:$G$3460,4,0),"")</f>
        <v>3.54</v>
      </c>
      <c r="E3650">
        <f>IFERROR(VLOOKUP($A3650,原始数据_收盘!$A$4:$G$3460,5,0),"")</f>
        <v>3.985</v>
      </c>
      <c r="F3650">
        <f>IFERROR(VLOOKUP($A3650,原始数据_收盘!$A$4:$G$3460,6,0),"")</f>
        <v>3.5367</v>
      </c>
      <c r="G3650">
        <f>IFERROR(VLOOKUP($A3650,原始数据_收盘!$A$4:$G$3460,7,0),"")</f>
        <v>3.982</v>
      </c>
      <c r="H3650">
        <f>IFERROR(VLOOKUP($A3650,原始数据_利率互换_FR007_1年!$A$6:$C$4395,2,0),"")</f>
        <v>3.53</v>
      </c>
      <c r="I3650">
        <f>IFERROR(VLOOKUP($A3650,原始数据_利率互换_FR007_1年!$A$6:$C$4395,3,0),"")</f>
        <v>3.9796</v>
      </c>
    </row>
    <row r="3651" spans="1:9">
      <c r="A3651" s="6">
        <v>43144</v>
      </c>
      <c r="B3651">
        <f>IFERROR(VLOOKUP($A3651,原始数据_收盘!$A$4:$G$3460,2,0),"")</f>
        <v>3.535</v>
      </c>
      <c r="C3651">
        <f>IFERROR(VLOOKUP($A3651,原始数据_收盘!$A$4:$G$3460,3,0),"")</f>
        <v>3.9875</v>
      </c>
      <c r="D3651">
        <f>IFERROR(VLOOKUP($A3651,原始数据_收盘!$A$4:$G$3460,4,0),"")</f>
        <v>3.54</v>
      </c>
      <c r="E3651">
        <f>IFERROR(VLOOKUP($A3651,原始数据_收盘!$A$4:$G$3460,5,0),"")</f>
        <v>3.99</v>
      </c>
      <c r="F3651">
        <f>IFERROR(VLOOKUP($A3651,原始数据_收盘!$A$4:$G$3460,6,0),"")</f>
        <v>3.5375</v>
      </c>
      <c r="G3651">
        <f>IFERROR(VLOOKUP($A3651,原始数据_收盘!$A$4:$G$3460,7,0),"")</f>
        <v>3.9888</v>
      </c>
      <c r="H3651">
        <f>IFERROR(VLOOKUP($A3651,原始数据_利率互换_FR007_1年!$A$6:$C$4395,2,0),"")</f>
        <v>3.5348</v>
      </c>
      <c r="I3651">
        <f>IFERROR(VLOOKUP($A3651,原始数据_利率互换_FR007_1年!$A$6:$C$4395,3,0),"")</f>
        <v>3.9842</v>
      </c>
    </row>
    <row r="3652" spans="1:9">
      <c r="A3652" s="6">
        <v>43145</v>
      </c>
      <c r="B3652">
        <f>IFERROR(VLOOKUP($A3652,原始数据_收盘!$A$4:$G$3460,2,0),"")</f>
        <v>3.535</v>
      </c>
      <c r="C3652">
        <f>IFERROR(VLOOKUP($A3652,原始数据_收盘!$A$4:$G$3460,3,0),"")</f>
        <v>3.985</v>
      </c>
      <c r="D3652">
        <f>IFERROR(VLOOKUP($A3652,原始数据_收盘!$A$4:$G$3460,4,0),"")</f>
        <v>3.55</v>
      </c>
      <c r="E3652">
        <f>IFERROR(VLOOKUP($A3652,原始数据_收盘!$A$4:$G$3460,5,0),"")</f>
        <v>4.0025</v>
      </c>
      <c r="F3652">
        <f>IFERROR(VLOOKUP($A3652,原始数据_收盘!$A$4:$G$3460,6,0),"")</f>
        <v>3.5425</v>
      </c>
      <c r="G3652">
        <f>IFERROR(VLOOKUP($A3652,原始数据_收盘!$A$4:$G$3460,7,0),"")</f>
        <v>3.9938</v>
      </c>
      <c r="H3652">
        <f>IFERROR(VLOOKUP($A3652,原始数据_利率互换_FR007_1年!$A$6:$C$4395,2,0),"")</f>
        <v>3.5371</v>
      </c>
      <c r="I3652">
        <f>IFERROR(VLOOKUP($A3652,原始数据_利率互换_FR007_1年!$A$6:$C$4395,3,0),"")</f>
        <v>3.99</v>
      </c>
    </row>
    <row r="3653" spans="1:9">
      <c r="A3653" s="6">
        <v>43146</v>
      </c>
      <c r="B3653" t="str">
        <f>IFERROR(VLOOKUP($A3653,原始数据_收盘!$A$4:$G$3460,2,0),"")</f>
        <v/>
      </c>
      <c r="C3653" t="str">
        <f>IFERROR(VLOOKUP($A3653,原始数据_收盘!$A$4:$G$3460,3,0),"")</f>
        <v/>
      </c>
      <c r="D3653" t="str">
        <f>IFERROR(VLOOKUP($A3653,原始数据_收盘!$A$4:$G$3460,4,0),"")</f>
        <v/>
      </c>
      <c r="E3653" t="str">
        <f>IFERROR(VLOOKUP($A3653,原始数据_收盘!$A$4:$G$3460,5,0),"")</f>
        <v/>
      </c>
      <c r="F3653" t="str">
        <f>IFERROR(VLOOKUP($A3653,原始数据_收盘!$A$4:$G$3460,6,0),"")</f>
        <v/>
      </c>
      <c r="G3653" t="str">
        <f>IFERROR(VLOOKUP($A3653,原始数据_收盘!$A$4:$G$3460,7,0),"")</f>
        <v/>
      </c>
      <c r="H3653" t="str">
        <f>IFERROR(VLOOKUP($A3653,原始数据_利率互换_FR007_1年!$A$6:$C$4395,2,0),"")</f>
        <v/>
      </c>
      <c r="I3653" t="str">
        <f>IFERROR(VLOOKUP($A3653,原始数据_利率互换_FR007_1年!$A$6:$C$4395,3,0),"")</f>
        <v/>
      </c>
    </row>
    <row r="3654" spans="1:9">
      <c r="A3654" s="6">
        <v>43147</v>
      </c>
      <c r="B3654" t="str">
        <f>IFERROR(VLOOKUP($A3654,原始数据_收盘!$A$4:$G$3460,2,0),"")</f>
        <v/>
      </c>
      <c r="C3654" t="str">
        <f>IFERROR(VLOOKUP($A3654,原始数据_收盘!$A$4:$G$3460,3,0),"")</f>
        <v/>
      </c>
      <c r="D3654" t="str">
        <f>IFERROR(VLOOKUP($A3654,原始数据_收盘!$A$4:$G$3460,4,0),"")</f>
        <v/>
      </c>
      <c r="E3654" t="str">
        <f>IFERROR(VLOOKUP($A3654,原始数据_收盘!$A$4:$G$3460,5,0),"")</f>
        <v/>
      </c>
      <c r="F3654" t="str">
        <f>IFERROR(VLOOKUP($A3654,原始数据_收盘!$A$4:$G$3460,6,0),"")</f>
        <v/>
      </c>
      <c r="G3654" t="str">
        <f>IFERROR(VLOOKUP($A3654,原始数据_收盘!$A$4:$G$3460,7,0),"")</f>
        <v/>
      </c>
      <c r="H3654" t="str">
        <f>IFERROR(VLOOKUP($A3654,原始数据_利率互换_FR007_1年!$A$6:$C$4395,2,0),"")</f>
        <v/>
      </c>
      <c r="I3654" t="str">
        <f>IFERROR(VLOOKUP($A3654,原始数据_利率互换_FR007_1年!$A$6:$C$4395,3,0),"")</f>
        <v/>
      </c>
    </row>
    <row r="3655" spans="1:9">
      <c r="A3655" s="6">
        <v>43148</v>
      </c>
      <c r="B3655" t="str">
        <f>IFERROR(VLOOKUP($A3655,原始数据_收盘!$A$4:$G$3460,2,0),"")</f>
        <v/>
      </c>
      <c r="C3655" t="str">
        <f>IFERROR(VLOOKUP($A3655,原始数据_收盘!$A$4:$G$3460,3,0),"")</f>
        <v/>
      </c>
      <c r="D3655" t="str">
        <f>IFERROR(VLOOKUP($A3655,原始数据_收盘!$A$4:$G$3460,4,0),"")</f>
        <v/>
      </c>
      <c r="E3655" t="str">
        <f>IFERROR(VLOOKUP($A3655,原始数据_收盘!$A$4:$G$3460,5,0),"")</f>
        <v/>
      </c>
      <c r="F3655" t="str">
        <f>IFERROR(VLOOKUP($A3655,原始数据_收盘!$A$4:$G$3460,6,0),"")</f>
        <v/>
      </c>
      <c r="G3655" t="str">
        <f>IFERROR(VLOOKUP($A3655,原始数据_收盘!$A$4:$G$3460,7,0),"")</f>
        <v/>
      </c>
      <c r="H3655" t="str">
        <f>IFERROR(VLOOKUP($A3655,原始数据_利率互换_FR007_1年!$A$6:$C$4395,2,0),"")</f>
        <v/>
      </c>
      <c r="I3655" t="str">
        <f>IFERROR(VLOOKUP($A3655,原始数据_利率互换_FR007_1年!$A$6:$C$4395,3,0),"")</f>
        <v/>
      </c>
    </row>
    <row r="3656" spans="1:9">
      <c r="A3656" s="6">
        <v>43149</v>
      </c>
      <c r="B3656" t="str">
        <f>IFERROR(VLOOKUP($A3656,原始数据_收盘!$A$4:$G$3460,2,0),"")</f>
        <v/>
      </c>
      <c r="C3656" t="str">
        <f>IFERROR(VLOOKUP($A3656,原始数据_收盘!$A$4:$G$3460,3,0),"")</f>
        <v/>
      </c>
      <c r="D3656" t="str">
        <f>IFERROR(VLOOKUP($A3656,原始数据_收盘!$A$4:$G$3460,4,0),"")</f>
        <v/>
      </c>
      <c r="E3656" t="str">
        <f>IFERROR(VLOOKUP($A3656,原始数据_收盘!$A$4:$G$3460,5,0),"")</f>
        <v/>
      </c>
      <c r="F3656" t="str">
        <f>IFERROR(VLOOKUP($A3656,原始数据_收盘!$A$4:$G$3460,6,0),"")</f>
        <v/>
      </c>
      <c r="G3656" t="str">
        <f>IFERROR(VLOOKUP($A3656,原始数据_收盘!$A$4:$G$3460,7,0),"")</f>
        <v/>
      </c>
      <c r="H3656" t="str">
        <f>IFERROR(VLOOKUP($A3656,原始数据_利率互换_FR007_1年!$A$6:$C$4395,2,0),"")</f>
        <v/>
      </c>
      <c r="I3656" t="str">
        <f>IFERROR(VLOOKUP($A3656,原始数据_利率互换_FR007_1年!$A$6:$C$4395,3,0),"")</f>
        <v/>
      </c>
    </row>
    <row r="3657" spans="1:9">
      <c r="A3657" s="6">
        <v>43150</v>
      </c>
      <c r="B3657" t="str">
        <f>IFERROR(VLOOKUP($A3657,原始数据_收盘!$A$4:$G$3460,2,0),"")</f>
        <v/>
      </c>
      <c r="C3657" t="str">
        <f>IFERROR(VLOOKUP($A3657,原始数据_收盘!$A$4:$G$3460,3,0),"")</f>
        <v/>
      </c>
      <c r="D3657" t="str">
        <f>IFERROR(VLOOKUP($A3657,原始数据_收盘!$A$4:$G$3460,4,0),"")</f>
        <v/>
      </c>
      <c r="E3657" t="str">
        <f>IFERROR(VLOOKUP($A3657,原始数据_收盘!$A$4:$G$3460,5,0),"")</f>
        <v/>
      </c>
      <c r="F3657" t="str">
        <f>IFERROR(VLOOKUP($A3657,原始数据_收盘!$A$4:$G$3460,6,0),"")</f>
        <v/>
      </c>
      <c r="G3657" t="str">
        <f>IFERROR(VLOOKUP($A3657,原始数据_收盘!$A$4:$G$3460,7,0),"")</f>
        <v/>
      </c>
      <c r="H3657" t="str">
        <f>IFERROR(VLOOKUP($A3657,原始数据_利率互换_FR007_1年!$A$6:$C$4395,2,0),"")</f>
        <v/>
      </c>
      <c r="I3657" t="str">
        <f>IFERROR(VLOOKUP($A3657,原始数据_利率互换_FR007_1年!$A$6:$C$4395,3,0),"")</f>
        <v/>
      </c>
    </row>
    <row r="3658" spans="1:9">
      <c r="A3658" s="6">
        <v>43151</v>
      </c>
      <c r="B3658" t="str">
        <f>IFERROR(VLOOKUP($A3658,原始数据_收盘!$A$4:$G$3460,2,0),"")</f>
        <v/>
      </c>
      <c r="C3658" t="str">
        <f>IFERROR(VLOOKUP($A3658,原始数据_收盘!$A$4:$G$3460,3,0),"")</f>
        <v/>
      </c>
      <c r="D3658" t="str">
        <f>IFERROR(VLOOKUP($A3658,原始数据_收盘!$A$4:$G$3460,4,0),"")</f>
        <v/>
      </c>
      <c r="E3658" t="str">
        <f>IFERROR(VLOOKUP($A3658,原始数据_收盘!$A$4:$G$3460,5,0),"")</f>
        <v/>
      </c>
      <c r="F3658" t="str">
        <f>IFERROR(VLOOKUP($A3658,原始数据_收盘!$A$4:$G$3460,6,0),"")</f>
        <v/>
      </c>
      <c r="G3658" t="str">
        <f>IFERROR(VLOOKUP($A3658,原始数据_收盘!$A$4:$G$3460,7,0),"")</f>
        <v/>
      </c>
      <c r="H3658" t="str">
        <f>IFERROR(VLOOKUP($A3658,原始数据_利率互换_FR007_1年!$A$6:$C$4395,2,0),"")</f>
        <v/>
      </c>
      <c r="I3658" t="str">
        <f>IFERROR(VLOOKUP($A3658,原始数据_利率互换_FR007_1年!$A$6:$C$4395,3,0),"")</f>
        <v/>
      </c>
    </row>
    <row r="3659" spans="1:9">
      <c r="A3659" s="6">
        <v>43152</v>
      </c>
      <c r="B3659" t="str">
        <f>IFERROR(VLOOKUP($A3659,原始数据_收盘!$A$4:$G$3460,2,0),"")</f>
        <v/>
      </c>
      <c r="C3659" t="str">
        <f>IFERROR(VLOOKUP($A3659,原始数据_收盘!$A$4:$G$3460,3,0),"")</f>
        <v/>
      </c>
      <c r="D3659" t="str">
        <f>IFERROR(VLOOKUP($A3659,原始数据_收盘!$A$4:$G$3460,4,0),"")</f>
        <v/>
      </c>
      <c r="E3659" t="str">
        <f>IFERROR(VLOOKUP($A3659,原始数据_收盘!$A$4:$G$3460,5,0),"")</f>
        <v/>
      </c>
      <c r="F3659" t="str">
        <f>IFERROR(VLOOKUP($A3659,原始数据_收盘!$A$4:$G$3460,6,0),"")</f>
        <v/>
      </c>
      <c r="G3659" t="str">
        <f>IFERROR(VLOOKUP($A3659,原始数据_收盘!$A$4:$G$3460,7,0),"")</f>
        <v/>
      </c>
      <c r="H3659" t="str">
        <f>IFERROR(VLOOKUP($A3659,原始数据_利率互换_FR007_1年!$A$6:$C$4395,2,0),"")</f>
        <v/>
      </c>
      <c r="I3659" t="str">
        <f>IFERROR(VLOOKUP($A3659,原始数据_利率互换_FR007_1年!$A$6:$C$4395,3,0),"")</f>
        <v/>
      </c>
    </row>
    <row r="3660" spans="1:9">
      <c r="A3660" s="6">
        <v>43153</v>
      </c>
      <c r="B3660">
        <f>IFERROR(VLOOKUP($A3660,原始数据_收盘!$A$4:$G$3460,2,0),"")</f>
        <v>3.5453</v>
      </c>
      <c r="C3660">
        <f>IFERROR(VLOOKUP($A3660,原始数据_收盘!$A$4:$G$3460,3,0),"")</f>
        <v>4.0047</v>
      </c>
      <c r="D3660">
        <f>IFERROR(VLOOKUP($A3660,原始数据_收盘!$A$4:$G$3460,4,0),"")</f>
        <v>3.5541</v>
      </c>
      <c r="E3660">
        <f>IFERROR(VLOOKUP($A3660,原始数据_收盘!$A$4:$G$3460,5,0),"")</f>
        <v>4.0095</v>
      </c>
      <c r="F3660">
        <f>IFERROR(VLOOKUP($A3660,原始数据_收盘!$A$4:$G$3460,6,0),"")</f>
        <v>3.5497</v>
      </c>
      <c r="G3660">
        <f>IFERROR(VLOOKUP($A3660,原始数据_收盘!$A$4:$G$3460,7,0),"")</f>
        <v>4.0071</v>
      </c>
      <c r="H3660">
        <f>IFERROR(VLOOKUP($A3660,原始数据_利率互换_FR007_1年!$A$6:$C$4395,2,0),"")</f>
        <v>3.5532</v>
      </c>
      <c r="I3660">
        <f>IFERROR(VLOOKUP($A3660,原始数据_利率互换_FR007_1年!$A$6:$C$4395,3,0),"")</f>
        <v>4.011</v>
      </c>
    </row>
    <row r="3661" spans="1:9">
      <c r="A3661" s="6">
        <v>43154</v>
      </c>
      <c r="B3661">
        <f>IFERROR(VLOOKUP($A3661,原始数据_收盘!$A$4:$G$3460,2,0),"")</f>
        <v>3.5175</v>
      </c>
      <c r="C3661">
        <f>IFERROR(VLOOKUP($A3661,原始数据_收盘!$A$4:$G$3460,3,0),"")</f>
        <v>3.9825</v>
      </c>
      <c r="D3661">
        <f>IFERROR(VLOOKUP($A3661,原始数据_收盘!$A$4:$G$3460,4,0),"")</f>
        <v>3.52</v>
      </c>
      <c r="E3661">
        <f>IFERROR(VLOOKUP($A3661,原始数据_收盘!$A$4:$G$3460,5,0),"")</f>
        <v>3.985</v>
      </c>
      <c r="F3661">
        <f>IFERROR(VLOOKUP($A3661,原始数据_收盘!$A$4:$G$3460,6,0),"")</f>
        <v>3.5188</v>
      </c>
      <c r="G3661">
        <f>IFERROR(VLOOKUP($A3661,原始数据_收盘!$A$4:$G$3460,7,0),"")</f>
        <v>3.9838</v>
      </c>
      <c r="H3661">
        <f>IFERROR(VLOOKUP($A3661,原始数据_利率互换_FR007_1年!$A$6:$C$4395,2,0),"")</f>
        <v>3.5281</v>
      </c>
      <c r="I3661">
        <f>IFERROR(VLOOKUP($A3661,原始数据_利率互换_FR007_1年!$A$6:$C$4395,3,0),"")</f>
        <v>3.9959</v>
      </c>
    </row>
    <row r="3662" spans="1:9">
      <c r="A3662" s="6">
        <v>43155</v>
      </c>
      <c r="B3662">
        <f>IFERROR(VLOOKUP($A3662,原始数据_收盘!$A$4:$G$3460,2,0),"")</f>
        <v>3.5055</v>
      </c>
      <c r="C3662">
        <f>IFERROR(VLOOKUP($A3662,原始数据_收盘!$A$4:$G$3460,3,0),"")</f>
        <v>3.9677</v>
      </c>
      <c r="D3662">
        <f>IFERROR(VLOOKUP($A3662,原始数据_收盘!$A$4:$G$3460,4,0),"")</f>
        <v>3.5225</v>
      </c>
      <c r="E3662">
        <f>IFERROR(VLOOKUP($A3662,原始数据_收盘!$A$4:$G$3460,5,0),"")</f>
        <v>3.99</v>
      </c>
      <c r="F3662">
        <f>IFERROR(VLOOKUP($A3662,原始数据_收盘!$A$4:$G$3460,6,0),"")</f>
        <v>3.514</v>
      </c>
      <c r="G3662">
        <f>IFERROR(VLOOKUP($A3662,原始数据_收盘!$A$4:$G$3460,7,0),"")</f>
        <v>3.9788</v>
      </c>
      <c r="H3662">
        <f>IFERROR(VLOOKUP($A3662,原始数据_利率互换_FR007_1年!$A$6:$C$4395,2,0),"")</f>
        <v>3.5175</v>
      </c>
      <c r="I3662">
        <f>IFERROR(VLOOKUP($A3662,原始数据_利率互换_FR007_1年!$A$6:$C$4395,3,0),"")</f>
        <v>0</v>
      </c>
    </row>
    <row r="3663" spans="1:9">
      <c r="A3663" s="6">
        <v>43156</v>
      </c>
      <c r="B3663" t="str">
        <f>IFERROR(VLOOKUP($A3663,原始数据_收盘!$A$4:$G$3460,2,0),"")</f>
        <v/>
      </c>
      <c r="C3663" t="str">
        <f>IFERROR(VLOOKUP($A3663,原始数据_收盘!$A$4:$G$3460,3,0),"")</f>
        <v/>
      </c>
      <c r="D3663" t="str">
        <f>IFERROR(VLOOKUP($A3663,原始数据_收盘!$A$4:$G$3460,4,0),"")</f>
        <v/>
      </c>
      <c r="E3663" t="str">
        <f>IFERROR(VLOOKUP($A3663,原始数据_收盘!$A$4:$G$3460,5,0),"")</f>
        <v/>
      </c>
      <c r="F3663" t="str">
        <f>IFERROR(VLOOKUP($A3663,原始数据_收盘!$A$4:$G$3460,6,0),"")</f>
        <v/>
      </c>
      <c r="G3663" t="str">
        <f>IFERROR(VLOOKUP($A3663,原始数据_收盘!$A$4:$G$3460,7,0),"")</f>
        <v/>
      </c>
      <c r="H3663" t="str">
        <f>IFERROR(VLOOKUP($A3663,原始数据_利率互换_FR007_1年!$A$6:$C$4395,2,0),"")</f>
        <v/>
      </c>
      <c r="I3663" t="str">
        <f>IFERROR(VLOOKUP($A3663,原始数据_利率互换_FR007_1年!$A$6:$C$4395,3,0),"")</f>
        <v/>
      </c>
    </row>
    <row r="3664" spans="1:9">
      <c r="A3664" s="6">
        <v>43157</v>
      </c>
      <c r="B3664">
        <f>IFERROR(VLOOKUP($A3664,原始数据_收盘!$A$4:$G$3460,2,0),"")</f>
        <v>3.4375</v>
      </c>
      <c r="C3664">
        <f>IFERROR(VLOOKUP($A3664,原始数据_收盘!$A$4:$G$3460,3,0),"")</f>
        <v>3.9051</v>
      </c>
      <c r="D3664">
        <f>IFERROR(VLOOKUP($A3664,原始数据_收盘!$A$4:$G$3460,4,0),"")</f>
        <v>3.4513</v>
      </c>
      <c r="E3664">
        <f>IFERROR(VLOOKUP($A3664,原始数据_收盘!$A$4:$G$3460,5,0),"")</f>
        <v>3.9136</v>
      </c>
      <c r="F3664">
        <f>IFERROR(VLOOKUP($A3664,原始数据_收盘!$A$4:$G$3460,6,0),"")</f>
        <v>3.4444</v>
      </c>
      <c r="G3664">
        <f>IFERROR(VLOOKUP($A3664,原始数据_收盘!$A$4:$G$3460,7,0),"")</f>
        <v>3.9093</v>
      </c>
      <c r="H3664">
        <f>IFERROR(VLOOKUP($A3664,原始数据_利率互换_FR007_1年!$A$6:$C$4395,2,0),"")</f>
        <v>3.4834</v>
      </c>
      <c r="I3664">
        <f>IFERROR(VLOOKUP($A3664,原始数据_利率互换_FR007_1年!$A$6:$C$4395,3,0),"")</f>
        <v>3.9432</v>
      </c>
    </row>
    <row r="3665" spans="1:9">
      <c r="A3665" s="6">
        <v>43158</v>
      </c>
      <c r="B3665">
        <f>IFERROR(VLOOKUP($A3665,原始数据_收盘!$A$4:$G$3460,2,0),"")</f>
        <v>3.4675</v>
      </c>
      <c r="C3665">
        <f>IFERROR(VLOOKUP($A3665,原始数据_收盘!$A$4:$G$3460,3,0),"")</f>
        <v>3.903</v>
      </c>
      <c r="D3665">
        <f>IFERROR(VLOOKUP($A3665,原始数据_收盘!$A$4:$G$3460,4,0),"")</f>
        <v>3.47</v>
      </c>
      <c r="E3665">
        <f>IFERROR(VLOOKUP($A3665,原始数据_收盘!$A$4:$G$3460,5,0),"")</f>
        <v>3.9075</v>
      </c>
      <c r="F3665">
        <f>IFERROR(VLOOKUP($A3665,原始数据_收盘!$A$4:$G$3460,6,0),"")</f>
        <v>3.4688</v>
      </c>
      <c r="G3665">
        <f>IFERROR(VLOOKUP($A3665,原始数据_收盘!$A$4:$G$3460,7,0),"")</f>
        <v>3.9053</v>
      </c>
      <c r="H3665">
        <f>IFERROR(VLOOKUP($A3665,原始数据_利率互换_FR007_1年!$A$6:$C$4395,2,0),"")</f>
        <v>3.4725</v>
      </c>
      <c r="I3665">
        <f>IFERROR(VLOOKUP($A3665,原始数据_利率互换_FR007_1年!$A$6:$C$4395,3,0),"")</f>
        <v>3.9147</v>
      </c>
    </row>
    <row r="3666" spans="1:9">
      <c r="A3666" s="6">
        <v>43159</v>
      </c>
      <c r="B3666">
        <f>IFERROR(VLOOKUP($A3666,原始数据_收盘!$A$4:$G$3460,2,0),"")</f>
        <v>3.5125</v>
      </c>
      <c r="C3666">
        <f>IFERROR(VLOOKUP($A3666,原始数据_收盘!$A$4:$G$3460,3,0),"")</f>
        <v>3.925</v>
      </c>
      <c r="D3666">
        <f>IFERROR(VLOOKUP($A3666,原始数据_收盘!$A$4:$G$3460,4,0),"")</f>
        <v>3.5175</v>
      </c>
      <c r="E3666">
        <f>IFERROR(VLOOKUP($A3666,原始数据_收盘!$A$4:$G$3460,5,0),"")</f>
        <v>3.93</v>
      </c>
      <c r="F3666">
        <f>IFERROR(VLOOKUP($A3666,原始数据_收盘!$A$4:$G$3460,6,0),"")</f>
        <v>3.515</v>
      </c>
      <c r="G3666">
        <f>IFERROR(VLOOKUP($A3666,原始数据_收盘!$A$4:$G$3460,7,0),"")</f>
        <v>3.9275</v>
      </c>
      <c r="H3666">
        <f>IFERROR(VLOOKUP($A3666,原始数据_利率互换_FR007_1年!$A$6:$C$4395,2,0),"")</f>
        <v>3.4988</v>
      </c>
      <c r="I3666">
        <f>IFERROR(VLOOKUP($A3666,原始数据_利率互换_FR007_1年!$A$6:$C$4395,3,0),"")</f>
        <v>3.9232</v>
      </c>
    </row>
    <row r="3667" spans="1:9">
      <c r="A3667" s="6">
        <v>43160</v>
      </c>
      <c r="B3667">
        <f>IFERROR(VLOOKUP($A3667,原始数据_收盘!$A$4:$G$3460,2,0),"")</f>
        <v>3.51</v>
      </c>
      <c r="C3667">
        <f>IFERROR(VLOOKUP($A3667,原始数据_收盘!$A$4:$G$3460,3,0),"")</f>
        <v>3.9332</v>
      </c>
      <c r="D3667">
        <f>IFERROR(VLOOKUP($A3667,原始数据_收盘!$A$4:$G$3460,4,0),"")</f>
        <v>3.515</v>
      </c>
      <c r="E3667">
        <f>IFERROR(VLOOKUP($A3667,原始数据_收盘!$A$4:$G$3460,5,0),"")</f>
        <v>3.9368</v>
      </c>
      <c r="F3667">
        <f>IFERROR(VLOOKUP($A3667,原始数据_收盘!$A$4:$G$3460,6,0),"")</f>
        <v>3.5125</v>
      </c>
      <c r="G3667">
        <f>IFERROR(VLOOKUP($A3667,原始数据_收盘!$A$4:$G$3460,7,0),"")</f>
        <v>3.935</v>
      </c>
      <c r="H3667">
        <f>IFERROR(VLOOKUP($A3667,原始数据_利率互换_FR007_1年!$A$6:$C$4395,2,0),"")</f>
        <v>3.507</v>
      </c>
      <c r="I3667">
        <f>IFERROR(VLOOKUP($A3667,原始数据_利率互换_FR007_1年!$A$6:$C$4395,3,0),"")</f>
        <v>3.9259</v>
      </c>
    </row>
    <row r="3668" spans="1:9">
      <c r="A3668" s="6">
        <v>43161</v>
      </c>
      <c r="B3668">
        <f>IFERROR(VLOOKUP($A3668,原始数据_收盘!$A$4:$G$3460,2,0),"")</f>
        <v>3.5215</v>
      </c>
      <c r="C3668">
        <f>IFERROR(VLOOKUP($A3668,原始数据_收盘!$A$4:$G$3460,3,0),"")</f>
        <v>3.9426</v>
      </c>
      <c r="D3668">
        <f>IFERROR(VLOOKUP($A3668,原始数据_收盘!$A$4:$G$3460,4,0),"")</f>
        <v>3.5257</v>
      </c>
      <c r="E3668">
        <f>IFERROR(VLOOKUP($A3668,原始数据_收盘!$A$4:$G$3460,5,0),"")</f>
        <v>3.9469</v>
      </c>
      <c r="F3668">
        <f>IFERROR(VLOOKUP($A3668,原始数据_收盘!$A$4:$G$3460,6,0),"")</f>
        <v>3.5236</v>
      </c>
      <c r="G3668">
        <f>IFERROR(VLOOKUP($A3668,原始数据_收盘!$A$4:$G$3460,7,0),"")</f>
        <v>3.9447</v>
      </c>
      <c r="H3668">
        <f>IFERROR(VLOOKUP($A3668,原始数据_利率互换_FR007_1年!$A$6:$C$4395,2,0),"")</f>
        <v>3.5245</v>
      </c>
      <c r="I3668">
        <f>IFERROR(VLOOKUP($A3668,原始数据_利率互换_FR007_1年!$A$6:$C$4395,3,0),"")</f>
        <v>3.9455</v>
      </c>
    </row>
    <row r="3669" spans="1:9">
      <c r="A3669" s="6">
        <v>43162</v>
      </c>
      <c r="B3669" t="str">
        <f>IFERROR(VLOOKUP($A3669,原始数据_收盘!$A$4:$G$3460,2,0),"")</f>
        <v/>
      </c>
      <c r="C3669" t="str">
        <f>IFERROR(VLOOKUP($A3669,原始数据_收盘!$A$4:$G$3460,3,0),"")</f>
        <v/>
      </c>
      <c r="D3669" t="str">
        <f>IFERROR(VLOOKUP($A3669,原始数据_收盘!$A$4:$G$3460,4,0),"")</f>
        <v/>
      </c>
      <c r="E3669" t="str">
        <f>IFERROR(VLOOKUP($A3669,原始数据_收盘!$A$4:$G$3460,5,0),"")</f>
        <v/>
      </c>
      <c r="F3669" t="str">
        <f>IFERROR(VLOOKUP($A3669,原始数据_收盘!$A$4:$G$3460,6,0),"")</f>
        <v/>
      </c>
      <c r="G3669" t="str">
        <f>IFERROR(VLOOKUP($A3669,原始数据_收盘!$A$4:$G$3460,7,0),"")</f>
        <v/>
      </c>
      <c r="H3669" t="str">
        <f>IFERROR(VLOOKUP($A3669,原始数据_利率互换_FR007_1年!$A$6:$C$4395,2,0),"")</f>
        <v/>
      </c>
      <c r="I3669" t="str">
        <f>IFERROR(VLOOKUP($A3669,原始数据_利率互换_FR007_1年!$A$6:$C$4395,3,0),"")</f>
        <v/>
      </c>
    </row>
    <row r="3670" spans="1:9">
      <c r="A3670" s="6">
        <v>43163</v>
      </c>
      <c r="B3670" t="str">
        <f>IFERROR(VLOOKUP($A3670,原始数据_收盘!$A$4:$G$3460,2,0),"")</f>
        <v/>
      </c>
      <c r="C3670" t="str">
        <f>IFERROR(VLOOKUP($A3670,原始数据_收盘!$A$4:$G$3460,3,0),"")</f>
        <v/>
      </c>
      <c r="D3670" t="str">
        <f>IFERROR(VLOOKUP($A3670,原始数据_收盘!$A$4:$G$3460,4,0),"")</f>
        <v/>
      </c>
      <c r="E3670" t="str">
        <f>IFERROR(VLOOKUP($A3670,原始数据_收盘!$A$4:$G$3460,5,0),"")</f>
        <v/>
      </c>
      <c r="F3670" t="str">
        <f>IFERROR(VLOOKUP($A3670,原始数据_收盘!$A$4:$G$3460,6,0),"")</f>
        <v/>
      </c>
      <c r="G3670" t="str">
        <f>IFERROR(VLOOKUP($A3670,原始数据_收盘!$A$4:$G$3460,7,0),"")</f>
        <v/>
      </c>
      <c r="H3670" t="str">
        <f>IFERROR(VLOOKUP($A3670,原始数据_利率互换_FR007_1年!$A$6:$C$4395,2,0),"")</f>
        <v/>
      </c>
      <c r="I3670" t="str">
        <f>IFERROR(VLOOKUP($A3670,原始数据_利率互换_FR007_1年!$A$6:$C$4395,3,0),"")</f>
        <v/>
      </c>
    </row>
    <row r="3671" spans="1:9">
      <c r="A3671" s="6">
        <v>43164</v>
      </c>
      <c r="B3671">
        <f>IFERROR(VLOOKUP($A3671,原始数据_收盘!$A$4:$G$3460,2,0),"")</f>
        <v>3.5325</v>
      </c>
      <c r="C3671">
        <f>IFERROR(VLOOKUP($A3671,原始数据_收盘!$A$4:$G$3460,3,0),"")</f>
        <v>3.95</v>
      </c>
      <c r="D3671">
        <f>IFERROR(VLOOKUP($A3671,原始数据_收盘!$A$4:$G$3460,4,0),"")</f>
        <v>3.535</v>
      </c>
      <c r="E3671">
        <f>IFERROR(VLOOKUP($A3671,原始数据_收盘!$A$4:$G$3460,5,0),"")</f>
        <v>3.9525</v>
      </c>
      <c r="F3671">
        <f>IFERROR(VLOOKUP($A3671,原始数据_收盘!$A$4:$G$3460,6,0),"")</f>
        <v>3.5338</v>
      </c>
      <c r="G3671">
        <f>IFERROR(VLOOKUP($A3671,原始数据_收盘!$A$4:$G$3460,7,0),"")</f>
        <v>3.9513</v>
      </c>
      <c r="H3671">
        <f>IFERROR(VLOOKUP($A3671,原始数据_利率互换_FR007_1年!$A$6:$C$4395,2,0),"")</f>
        <v>3.5362</v>
      </c>
      <c r="I3671">
        <f>IFERROR(VLOOKUP($A3671,原始数据_利率互换_FR007_1年!$A$6:$C$4395,3,0),"")</f>
        <v>3.9546</v>
      </c>
    </row>
    <row r="3672" spans="1:9">
      <c r="A3672" s="6">
        <v>43165</v>
      </c>
      <c r="B3672">
        <f>IFERROR(VLOOKUP($A3672,原始数据_收盘!$A$4:$G$3460,2,0),"")</f>
        <v>3.49</v>
      </c>
      <c r="C3672">
        <f>IFERROR(VLOOKUP($A3672,原始数据_收盘!$A$4:$G$3460,3,0),"")</f>
        <v>3.915</v>
      </c>
      <c r="D3672">
        <f>IFERROR(VLOOKUP($A3672,原始数据_收盘!$A$4:$G$3460,4,0),"")</f>
        <v>3.4951</v>
      </c>
      <c r="E3672">
        <f>IFERROR(VLOOKUP($A3672,原始数据_收盘!$A$4:$G$3460,5,0),"")</f>
        <v>3.92</v>
      </c>
      <c r="F3672">
        <f>IFERROR(VLOOKUP($A3672,原始数据_收盘!$A$4:$G$3460,6,0),"")</f>
        <v>3.4926</v>
      </c>
      <c r="G3672">
        <f>IFERROR(VLOOKUP($A3672,原始数据_收盘!$A$4:$G$3460,7,0),"")</f>
        <v>3.9175</v>
      </c>
      <c r="H3672">
        <f>IFERROR(VLOOKUP($A3672,原始数据_利率互换_FR007_1年!$A$6:$C$4395,2,0),"")</f>
        <v>3.5139</v>
      </c>
      <c r="I3672">
        <f>IFERROR(VLOOKUP($A3672,原始数据_利率互换_FR007_1年!$A$6:$C$4395,3,0),"")</f>
        <v>3.9338</v>
      </c>
    </row>
    <row r="3673" spans="1:9">
      <c r="A3673" s="6">
        <v>43166</v>
      </c>
      <c r="B3673">
        <f>IFERROR(VLOOKUP($A3673,原始数据_收盘!$A$4:$G$3460,2,0),"")</f>
        <v>3.4925</v>
      </c>
      <c r="C3673">
        <f>IFERROR(VLOOKUP($A3673,原始数据_收盘!$A$4:$G$3460,3,0),"")</f>
        <v>3.9107</v>
      </c>
      <c r="D3673">
        <f>IFERROR(VLOOKUP($A3673,原始数据_收盘!$A$4:$G$3460,4,0),"")</f>
        <v>3.4975</v>
      </c>
      <c r="E3673">
        <f>IFERROR(VLOOKUP($A3673,原始数据_收盘!$A$4:$G$3460,5,0),"")</f>
        <v>3.9143</v>
      </c>
      <c r="F3673">
        <f>IFERROR(VLOOKUP($A3673,原始数据_收盘!$A$4:$G$3460,6,0),"")</f>
        <v>3.495</v>
      </c>
      <c r="G3673">
        <f>IFERROR(VLOOKUP($A3673,原始数据_收盘!$A$4:$G$3460,7,0),"")</f>
        <v>3.9125</v>
      </c>
      <c r="H3673">
        <f>IFERROR(VLOOKUP($A3673,原始数据_利率互换_FR007_1年!$A$6:$C$4395,2,0),"")</f>
        <v>3.5051</v>
      </c>
      <c r="I3673">
        <f>IFERROR(VLOOKUP($A3673,原始数据_利率互换_FR007_1年!$A$6:$C$4395,3,0),"")</f>
        <v>3.9206</v>
      </c>
    </row>
    <row r="3674" spans="1:9">
      <c r="A3674" s="6">
        <v>43167</v>
      </c>
      <c r="B3674">
        <f>IFERROR(VLOOKUP($A3674,原始数据_收盘!$A$4:$G$3460,2,0),"")</f>
        <v>3.4875</v>
      </c>
      <c r="C3674">
        <f>IFERROR(VLOOKUP($A3674,原始数据_收盘!$A$4:$G$3460,3,0),"")</f>
        <v>3.909</v>
      </c>
      <c r="D3674">
        <f>IFERROR(VLOOKUP($A3674,原始数据_收盘!$A$4:$G$3460,4,0),"")</f>
        <v>3.4908</v>
      </c>
      <c r="E3674">
        <f>IFERROR(VLOOKUP($A3674,原始数据_收盘!$A$4:$G$3460,5,0),"")</f>
        <v>3.9141</v>
      </c>
      <c r="F3674">
        <f>IFERROR(VLOOKUP($A3674,原始数据_收盘!$A$4:$G$3460,6,0),"")</f>
        <v>3.4892</v>
      </c>
      <c r="G3674">
        <f>IFERROR(VLOOKUP($A3674,原始数据_收盘!$A$4:$G$3460,7,0),"")</f>
        <v>3.9115</v>
      </c>
      <c r="H3674">
        <f>IFERROR(VLOOKUP($A3674,原始数据_利率互换_FR007_1年!$A$6:$C$4395,2,0),"")</f>
        <v>3.4933</v>
      </c>
      <c r="I3674">
        <f>IFERROR(VLOOKUP($A3674,原始数据_利率互换_FR007_1年!$A$6:$C$4395,3,0),"")</f>
        <v>3.9075</v>
      </c>
    </row>
    <row r="3675" spans="1:9">
      <c r="A3675" s="6">
        <v>43168</v>
      </c>
      <c r="B3675">
        <f>IFERROR(VLOOKUP($A3675,原始数据_收盘!$A$4:$G$3460,2,0),"")</f>
        <v>3.4875</v>
      </c>
      <c r="C3675">
        <f>IFERROR(VLOOKUP($A3675,原始数据_收盘!$A$4:$G$3460,3,0),"")</f>
        <v>3.92</v>
      </c>
      <c r="D3675">
        <f>IFERROR(VLOOKUP($A3675,原始数据_收盘!$A$4:$G$3460,4,0),"")</f>
        <v>3.4925</v>
      </c>
      <c r="E3675">
        <f>IFERROR(VLOOKUP($A3675,原始数据_收盘!$A$4:$G$3460,5,0),"")</f>
        <v>3.9272</v>
      </c>
      <c r="F3675">
        <f>IFERROR(VLOOKUP($A3675,原始数据_收盘!$A$4:$G$3460,6,0),"")</f>
        <v>3.49</v>
      </c>
      <c r="G3675">
        <f>IFERROR(VLOOKUP($A3675,原始数据_收盘!$A$4:$G$3460,7,0),"")</f>
        <v>3.9236</v>
      </c>
      <c r="H3675">
        <f>IFERROR(VLOOKUP($A3675,原始数据_利率互换_FR007_1年!$A$6:$C$4395,2,0),"")</f>
        <v>3.4882</v>
      </c>
      <c r="I3675">
        <f>IFERROR(VLOOKUP($A3675,原始数据_利率互换_FR007_1年!$A$6:$C$4395,3,0),"")</f>
        <v>3.9208</v>
      </c>
    </row>
    <row r="3676" spans="1:9">
      <c r="A3676" s="6">
        <v>43169</v>
      </c>
      <c r="B3676" t="str">
        <f>IFERROR(VLOOKUP($A3676,原始数据_收盘!$A$4:$G$3460,2,0),"")</f>
        <v/>
      </c>
      <c r="C3676" t="str">
        <f>IFERROR(VLOOKUP($A3676,原始数据_收盘!$A$4:$G$3460,3,0),"")</f>
        <v/>
      </c>
      <c r="D3676" t="str">
        <f>IFERROR(VLOOKUP($A3676,原始数据_收盘!$A$4:$G$3460,4,0),"")</f>
        <v/>
      </c>
      <c r="E3676" t="str">
        <f>IFERROR(VLOOKUP($A3676,原始数据_收盘!$A$4:$G$3460,5,0),"")</f>
        <v/>
      </c>
      <c r="F3676" t="str">
        <f>IFERROR(VLOOKUP($A3676,原始数据_收盘!$A$4:$G$3460,6,0),"")</f>
        <v/>
      </c>
      <c r="G3676" t="str">
        <f>IFERROR(VLOOKUP($A3676,原始数据_收盘!$A$4:$G$3460,7,0),"")</f>
        <v/>
      </c>
      <c r="H3676" t="str">
        <f>IFERROR(VLOOKUP($A3676,原始数据_利率互换_FR007_1年!$A$6:$C$4395,2,0),"")</f>
        <v/>
      </c>
      <c r="I3676" t="str">
        <f>IFERROR(VLOOKUP($A3676,原始数据_利率互换_FR007_1年!$A$6:$C$4395,3,0),"")</f>
        <v/>
      </c>
    </row>
    <row r="3677" spans="1:9">
      <c r="A3677" s="6">
        <v>43170</v>
      </c>
      <c r="B3677" t="str">
        <f>IFERROR(VLOOKUP($A3677,原始数据_收盘!$A$4:$G$3460,2,0),"")</f>
        <v/>
      </c>
      <c r="C3677" t="str">
        <f>IFERROR(VLOOKUP($A3677,原始数据_收盘!$A$4:$G$3460,3,0),"")</f>
        <v/>
      </c>
      <c r="D3677" t="str">
        <f>IFERROR(VLOOKUP($A3677,原始数据_收盘!$A$4:$G$3460,4,0),"")</f>
        <v/>
      </c>
      <c r="E3677" t="str">
        <f>IFERROR(VLOOKUP($A3677,原始数据_收盘!$A$4:$G$3460,5,0),"")</f>
        <v/>
      </c>
      <c r="F3677" t="str">
        <f>IFERROR(VLOOKUP($A3677,原始数据_收盘!$A$4:$G$3460,6,0),"")</f>
        <v/>
      </c>
      <c r="G3677" t="str">
        <f>IFERROR(VLOOKUP($A3677,原始数据_收盘!$A$4:$G$3460,7,0),"")</f>
        <v/>
      </c>
      <c r="H3677" t="str">
        <f>IFERROR(VLOOKUP($A3677,原始数据_利率互换_FR007_1年!$A$6:$C$4395,2,0),"")</f>
        <v/>
      </c>
      <c r="I3677" t="str">
        <f>IFERROR(VLOOKUP($A3677,原始数据_利率互换_FR007_1年!$A$6:$C$4395,3,0),"")</f>
        <v/>
      </c>
    </row>
    <row r="3678" spans="1:9">
      <c r="A3678" s="6">
        <v>43171</v>
      </c>
      <c r="B3678">
        <f>IFERROR(VLOOKUP($A3678,原始数据_收盘!$A$4:$G$3460,2,0),"")</f>
        <v>3.4915</v>
      </c>
      <c r="C3678">
        <f>IFERROR(VLOOKUP($A3678,原始数据_收盘!$A$4:$G$3460,3,0),"")</f>
        <v>3.915</v>
      </c>
      <c r="D3678">
        <f>IFERROR(VLOOKUP($A3678,原始数据_收盘!$A$4:$G$3460,4,0),"")</f>
        <v>3.495</v>
      </c>
      <c r="E3678">
        <f>IFERROR(VLOOKUP($A3678,原始数据_收盘!$A$4:$G$3460,5,0),"")</f>
        <v>3.92</v>
      </c>
      <c r="F3678">
        <f>IFERROR(VLOOKUP($A3678,原始数据_收盘!$A$4:$G$3460,6,0),"")</f>
        <v>3.4933</v>
      </c>
      <c r="G3678">
        <f>IFERROR(VLOOKUP($A3678,原始数据_收盘!$A$4:$G$3460,7,0),"")</f>
        <v>3.9175</v>
      </c>
      <c r="H3678">
        <f>IFERROR(VLOOKUP($A3678,原始数据_利率互换_FR007_1年!$A$6:$C$4395,2,0),"")</f>
        <v>3.4909</v>
      </c>
      <c r="I3678">
        <f>IFERROR(VLOOKUP($A3678,原始数据_利率互换_FR007_1年!$A$6:$C$4395,3,0),"")</f>
        <v>3.9156</v>
      </c>
    </row>
    <row r="3679" spans="1:9">
      <c r="A3679" s="6">
        <v>43172</v>
      </c>
      <c r="B3679">
        <f>IFERROR(VLOOKUP($A3679,原始数据_收盘!$A$4:$G$3460,2,0),"")</f>
        <v>3.5225</v>
      </c>
      <c r="C3679">
        <f>IFERROR(VLOOKUP($A3679,原始数据_收盘!$A$4:$G$3460,3,0),"")</f>
        <v>3.9384</v>
      </c>
      <c r="D3679">
        <f>IFERROR(VLOOKUP($A3679,原始数据_收盘!$A$4:$G$3460,4,0),"")</f>
        <v>3.525</v>
      </c>
      <c r="E3679">
        <f>IFERROR(VLOOKUP($A3679,原始数据_收盘!$A$4:$G$3460,5,0),"")</f>
        <v>3.9425</v>
      </c>
      <c r="F3679">
        <f>IFERROR(VLOOKUP($A3679,原始数据_收盘!$A$4:$G$3460,6,0),"")</f>
        <v>3.5238</v>
      </c>
      <c r="G3679">
        <f>IFERROR(VLOOKUP($A3679,原始数据_收盘!$A$4:$G$3460,7,0),"")</f>
        <v>3.9404</v>
      </c>
      <c r="H3679">
        <f>IFERROR(VLOOKUP($A3679,原始数据_利率互换_FR007_1年!$A$6:$C$4395,2,0),"")</f>
        <v>3.5168</v>
      </c>
      <c r="I3679">
        <f>IFERROR(VLOOKUP($A3679,原始数据_利率互换_FR007_1年!$A$6:$C$4395,3,0),"")</f>
        <v>3.9329</v>
      </c>
    </row>
    <row r="3680" spans="1:9">
      <c r="A3680" s="6">
        <v>43173</v>
      </c>
      <c r="B3680">
        <f>IFERROR(VLOOKUP($A3680,原始数据_收盘!$A$4:$G$3460,2,0),"")</f>
        <v>3.5025</v>
      </c>
      <c r="C3680">
        <f>IFERROR(VLOOKUP($A3680,原始数据_收盘!$A$4:$G$3460,3,0),"")</f>
        <v>3.925</v>
      </c>
      <c r="D3680">
        <f>IFERROR(VLOOKUP($A3680,原始数据_收盘!$A$4:$G$3460,4,0),"")</f>
        <v>3.505</v>
      </c>
      <c r="E3680">
        <f>IFERROR(VLOOKUP($A3680,原始数据_收盘!$A$4:$G$3460,5,0),"")</f>
        <v>3.93</v>
      </c>
      <c r="F3680">
        <f>IFERROR(VLOOKUP($A3680,原始数据_收盘!$A$4:$G$3460,6,0),"")</f>
        <v>3.5038</v>
      </c>
      <c r="G3680">
        <f>IFERROR(VLOOKUP($A3680,原始数据_收盘!$A$4:$G$3460,7,0),"")</f>
        <v>3.9275</v>
      </c>
      <c r="H3680">
        <f>IFERROR(VLOOKUP($A3680,原始数据_利率互换_FR007_1年!$A$6:$C$4395,2,0),"")</f>
        <v>3.5135</v>
      </c>
      <c r="I3680">
        <f>IFERROR(VLOOKUP($A3680,原始数据_利率互换_FR007_1年!$A$6:$C$4395,3,0),"")</f>
        <v>3.9337</v>
      </c>
    </row>
    <row r="3681" spans="1:9">
      <c r="A3681" s="6">
        <v>43174</v>
      </c>
      <c r="B3681">
        <f>IFERROR(VLOOKUP($A3681,原始数据_收盘!$A$4:$G$3460,2,0),"")</f>
        <v>3.505</v>
      </c>
      <c r="C3681">
        <f>IFERROR(VLOOKUP($A3681,原始数据_收盘!$A$4:$G$3460,3,0),"")</f>
        <v>3.92</v>
      </c>
      <c r="D3681">
        <f>IFERROR(VLOOKUP($A3681,原始数据_收盘!$A$4:$G$3460,4,0),"")</f>
        <v>3.51</v>
      </c>
      <c r="E3681">
        <f>IFERROR(VLOOKUP($A3681,原始数据_收盘!$A$4:$G$3460,5,0),"")</f>
        <v>3.9225</v>
      </c>
      <c r="F3681">
        <f>IFERROR(VLOOKUP($A3681,原始数据_收盘!$A$4:$G$3460,6,0),"")</f>
        <v>3.5075</v>
      </c>
      <c r="G3681">
        <f>IFERROR(VLOOKUP($A3681,原始数据_收盘!$A$4:$G$3460,7,0),"")</f>
        <v>3.9213</v>
      </c>
      <c r="H3681">
        <f>IFERROR(VLOOKUP($A3681,原始数据_利率互换_FR007_1年!$A$6:$C$4395,2,0),"")</f>
        <v>3.5066</v>
      </c>
      <c r="I3681">
        <f>IFERROR(VLOOKUP($A3681,原始数据_利率互换_FR007_1年!$A$6:$C$4395,3,0),"")</f>
        <v>3.9212</v>
      </c>
    </row>
    <row r="3682" spans="1:9">
      <c r="A3682" s="6">
        <v>43175</v>
      </c>
      <c r="B3682">
        <f>IFERROR(VLOOKUP($A3682,原始数据_收盘!$A$4:$G$3460,2,0),"")</f>
        <v>3.488</v>
      </c>
      <c r="C3682">
        <f>IFERROR(VLOOKUP($A3682,原始数据_收盘!$A$4:$G$3460,3,0),"")</f>
        <v>3.915</v>
      </c>
      <c r="D3682">
        <f>IFERROR(VLOOKUP($A3682,原始数据_收盘!$A$4:$G$3460,4,0),"")</f>
        <v>3.49</v>
      </c>
      <c r="E3682">
        <f>IFERROR(VLOOKUP($A3682,原始数据_收盘!$A$4:$G$3460,5,0),"")</f>
        <v>3.9175</v>
      </c>
      <c r="F3682">
        <f>IFERROR(VLOOKUP($A3682,原始数据_收盘!$A$4:$G$3460,6,0),"")</f>
        <v>3.489</v>
      </c>
      <c r="G3682">
        <f>IFERROR(VLOOKUP($A3682,原始数据_收盘!$A$4:$G$3460,7,0),"")</f>
        <v>3.9163</v>
      </c>
      <c r="H3682">
        <f>IFERROR(VLOOKUP($A3682,原始数据_利率互换_FR007_1年!$A$6:$C$4395,2,0),"")</f>
        <v>3.4922</v>
      </c>
      <c r="I3682">
        <f>IFERROR(VLOOKUP($A3682,原始数据_利率互换_FR007_1年!$A$6:$C$4395,3,0),"")</f>
        <v>3.914</v>
      </c>
    </row>
    <row r="3683" spans="1:9">
      <c r="A3683" s="6">
        <v>43176</v>
      </c>
      <c r="B3683" t="str">
        <f>IFERROR(VLOOKUP($A3683,原始数据_收盘!$A$4:$G$3460,2,0),"")</f>
        <v/>
      </c>
      <c r="C3683" t="str">
        <f>IFERROR(VLOOKUP($A3683,原始数据_收盘!$A$4:$G$3460,3,0),"")</f>
        <v/>
      </c>
      <c r="D3683" t="str">
        <f>IFERROR(VLOOKUP($A3683,原始数据_收盘!$A$4:$G$3460,4,0),"")</f>
        <v/>
      </c>
      <c r="E3683" t="str">
        <f>IFERROR(VLOOKUP($A3683,原始数据_收盘!$A$4:$G$3460,5,0),"")</f>
        <v/>
      </c>
      <c r="F3683" t="str">
        <f>IFERROR(VLOOKUP($A3683,原始数据_收盘!$A$4:$G$3460,6,0),"")</f>
        <v/>
      </c>
      <c r="G3683" t="str">
        <f>IFERROR(VLOOKUP($A3683,原始数据_收盘!$A$4:$G$3460,7,0),"")</f>
        <v/>
      </c>
      <c r="H3683" t="str">
        <f>IFERROR(VLOOKUP($A3683,原始数据_利率互换_FR007_1年!$A$6:$C$4395,2,0),"")</f>
        <v/>
      </c>
      <c r="I3683" t="str">
        <f>IFERROR(VLOOKUP($A3683,原始数据_利率互换_FR007_1年!$A$6:$C$4395,3,0),"")</f>
        <v/>
      </c>
    </row>
    <row r="3684" spans="1:9">
      <c r="A3684" s="6">
        <v>43177</v>
      </c>
      <c r="B3684" t="str">
        <f>IFERROR(VLOOKUP($A3684,原始数据_收盘!$A$4:$G$3460,2,0),"")</f>
        <v/>
      </c>
      <c r="C3684" t="str">
        <f>IFERROR(VLOOKUP($A3684,原始数据_收盘!$A$4:$G$3460,3,0),"")</f>
        <v/>
      </c>
      <c r="D3684" t="str">
        <f>IFERROR(VLOOKUP($A3684,原始数据_收盘!$A$4:$G$3460,4,0),"")</f>
        <v/>
      </c>
      <c r="E3684" t="str">
        <f>IFERROR(VLOOKUP($A3684,原始数据_收盘!$A$4:$G$3460,5,0),"")</f>
        <v/>
      </c>
      <c r="F3684" t="str">
        <f>IFERROR(VLOOKUP($A3684,原始数据_收盘!$A$4:$G$3460,6,0),"")</f>
        <v/>
      </c>
      <c r="G3684" t="str">
        <f>IFERROR(VLOOKUP($A3684,原始数据_收盘!$A$4:$G$3460,7,0),"")</f>
        <v/>
      </c>
      <c r="H3684" t="str">
        <f>IFERROR(VLOOKUP($A3684,原始数据_利率互换_FR007_1年!$A$6:$C$4395,2,0),"")</f>
        <v/>
      </c>
      <c r="I3684" t="str">
        <f>IFERROR(VLOOKUP($A3684,原始数据_利率互换_FR007_1年!$A$6:$C$4395,3,0),"")</f>
        <v/>
      </c>
    </row>
    <row r="3685" spans="1:9">
      <c r="A3685" s="6">
        <v>43178</v>
      </c>
      <c r="B3685">
        <f>IFERROR(VLOOKUP($A3685,原始数据_收盘!$A$4:$G$3460,2,0),"")</f>
        <v>3.485</v>
      </c>
      <c r="C3685">
        <f>IFERROR(VLOOKUP($A3685,原始数据_收盘!$A$4:$G$3460,3,0),"")</f>
        <v>3.915</v>
      </c>
      <c r="D3685">
        <f>IFERROR(VLOOKUP($A3685,原始数据_收盘!$A$4:$G$3460,4,0),"")</f>
        <v>3.4875</v>
      </c>
      <c r="E3685">
        <f>IFERROR(VLOOKUP($A3685,原始数据_收盘!$A$4:$G$3460,5,0),"")</f>
        <v>3.92</v>
      </c>
      <c r="F3685">
        <f>IFERROR(VLOOKUP($A3685,原始数据_收盘!$A$4:$G$3460,6,0),"")</f>
        <v>3.4863</v>
      </c>
      <c r="G3685">
        <f>IFERROR(VLOOKUP($A3685,原始数据_收盘!$A$4:$G$3460,7,0),"")</f>
        <v>3.9175</v>
      </c>
      <c r="H3685">
        <f>IFERROR(VLOOKUP($A3685,原始数据_利率互换_FR007_1年!$A$6:$C$4395,2,0),"")</f>
        <v>3.4918</v>
      </c>
      <c r="I3685">
        <f>IFERROR(VLOOKUP($A3685,原始数据_利率互换_FR007_1年!$A$6:$C$4395,3,0),"")</f>
        <v>3.9176</v>
      </c>
    </row>
    <row r="3686" spans="1:9">
      <c r="A3686" s="6">
        <v>43179</v>
      </c>
      <c r="B3686">
        <f>IFERROR(VLOOKUP($A3686,原始数据_收盘!$A$4:$G$3460,2,0),"")</f>
        <v>3.4666</v>
      </c>
      <c r="C3686">
        <f>IFERROR(VLOOKUP($A3686,原始数据_收盘!$A$4:$G$3460,3,0),"")</f>
        <v>3.89</v>
      </c>
      <c r="D3686">
        <f>IFERROR(VLOOKUP($A3686,原始数据_收盘!$A$4:$G$3460,4,0),"")</f>
        <v>3.4709</v>
      </c>
      <c r="E3686">
        <f>IFERROR(VLOOKUP($A3686,原始数据_收盘!$A$4:$G$3460,5,0),"")</f>
        <v>3.895</v>
      </c>
      <c r="F3686">
        <f>IFERROR(VLOOKUP($A3686,原始数据_收盘!$A$4:$G$3460,6,0),"")</f>
        <v>3.4688</v>
      </c>
      <c r="G3686">
        <f>IFERROR(VLOOKUP($A3686,原始数据_收盘!$A$4:$G$3460,7,0),"")</f>
        <v>3.8925</v>
      </c>
      <c r="H3686">
        <f>IFERROR(VLOOKUP($A3686,原始数据_利率互换_FR007_1年!$A$6:$C$4395,2,0),"")</f>
        <v>3.4787</v>
      </c>
      <c r="I3686">
        <f>IFERROR(VLOOKUP($A3686,原始数据_利率互换_FR007_1年!$A$6:$C$4395,3,0),"")</f>
        <v>3.9058</v>
      </c>
    </row>
    <row r="3687" spans="1:9">
      <c r="A3687" s="6">
        <v>43180</v>
      </c>
      <c r="B3687">
        <f>IFERROR(VLOOKUP($A3687,原始数据_收盘!$A$4:$G$3460,2,0),"")</f>
        <v>3.465</v>
      </c>
      <c r="C3687">
        <f>IFERROR(VLOOKUP($A3687,原始数据_收盘!$A$4:$G$3460,3,0),"")</f>
        <v>3.8868</v>
      </c>
      <c r="D3687">
        <f>IFERROR(VLOOKUP($A3687,原始数据_收盘!$A$4:$G$3460,4,0),"")</f>
        <v>3.47</v>
      </c>
      <c r="E3687">
        <f>IFERROR(VLOOKUP($A3687,原始数据_收盘!$A$4:$G$3460,5,0),"")</f>
        <v>3.89</v>
      </c>
      <c r="F3687">
        <f>IFERROR(VLOOKUP($A3687,原始数据_收盘!$A$4:$G$3460,6,0),"")</f>
        <v>3.4675</v>
      </c>
      <c r="G3687">
        <f>IFERROR(VLOOKUP($A3687,原始数据_收盘!$A$4:$G$3460,7,0),"")</f>
        <v>3.8884</v>
      </c>
      <c r="H3687">
        <f>IFERROR(VLOOKUP($A3687,原始数据_利率互换_FR007_1年!$A$6:$C$4395,2,0),"")</f>
        <v>3.468</v>
      </c>
      <c r="I3687">
        <f>IFERROR(VLOOKUP($A3687,原始数据_利率互换_FR007_1年!$A$6:$C$4395,3,0),"")</f>
        <v>3.8871</v>
      </c>
    </row>
    <row r="3688" spans="1:9">
      <c r="A3688" s="6">
        <v>43181</v>
      </c>
      <c r="B3688">
        <f>IFERROR(VLOOKUP($A3688,原始数据_收盘!$A$4:$G$3460,2,0),"")</f>
        <v>3.4241</v>
      </c>
      <c r="C3688">
        <f>IFERROR(VLOOKUP($A3688,原始数据_收盘!$A$4:$G$3460,3,0),"")</f>
        <v>3.8192</v>
      </c>
      <c r="D3688">
        <f>IFERROR(VLOOKUP($A3688,原始数据_收盘!$A$4:$G$3460,4,0),"")</f>
        <v>3.4305</v>
      </c>
      <c r="E3688">
        <f>IFERROR(VLOOKUP($A3688,原始数据_收盘!$A$4:$G$3460,5,0),"")</f>
        <v>3.8325</v>
      </c>
      <c r="F3688">
        <f>IFERROR(VLOOKUP($A3688,原始数据_收盘!$A$4:$G$3460,6,0),"")</f>
        <v>3.4273</v>
      </c>
      <c r="G3688">
        <f>IFERROR(VLOOKUP($A3688,原始数据_收盘!$A$4:$G$3460,7,0),"")</f>
        <v>3.8259</v>
      </c>
      <c r="H3688">
        <f>IFERROR(VLOOKUP($A3688,原始数据_利率互换_FR007_1年!$A$6:$C$4395,2,0),"")</f>
        <v>3.4436</v>
      </c>
      <c r="I3688">
        <f>IFERROR(VLOOKUP($A3688,原始数据_利率互换_FR007_1年!$A$6:$C$4395,3,0),"")</f>
        <v>3.8455</v>
      </c>
    </row>
    <row r="3689" spans="1:9">
      <c r="A3689" s="6">
        <v>43182</v>
      </c>
      <c r="B3689">
        <f>IFERROR(VLOOKUP($A3689,原始数据_收盘!$A$4:$G$3460,2,0),"")</f>
        <v>3.3994</v>
      </c>
      <c r="C3689">
        <f>IFERROR(VLOOKUP($A3689,原始数据_收盘!$A$4:$G$3460,3,0),"")</f>
        <v>3.755</v>
      </c>
      <c r="D3689">
        <f>IFERROR(VLOOKUP($A3689,原始数据_收盘!$A$4:$G$3460,4,0),"")</f>
        <v>3.4103</v>
      </c>
      <c r="E3689">
        <f>IFERROR(VLOOKUP($A3689,原始数据_收盘!$A$4:$G$3460,5,0),"")</f>
        <v>3.7675</v>
      </c>
      <c r="F3689">
        <f>IFERROR(VLOOKUP($A3689,原始数据_收盘!$A$4:$G$3460,6,0),"")</f>
        <v>3.4048</v>
      </c>
      <c r="G3689">
        <f>IFERROR(VLOOKUP($A3689,原始数据_收盘!$A$4:$G$3460,7,0),"")</f>
        <v>3.7613</v>
      </c>
      <c r="H3689">
        <f>IFERROR(VLOOKUP($A3689,原始数据_利率互换_FR007_1年!$A$6:$C$4395,2,0),"")</f>
        <v>3.3826</v>
      </c>
      <c r="I3689">
        <f>IFERROR(VLOOKUP($A3689,原始数据_利率互换_FR007_1年!$A$6:$C$4395,3,0),"")</f>
        <v>3.7457</v>
      </c>
    </row>
    <row r="3690" spans="1:9">
      <c r="A3690" s="6">
        <v>43183</v>
      </c>
      <c r="B3690" t="str">
        <f>IFERROR(VLOOKUP($A3690,原始数据_收盘!$A$4:$G$3460,2,0),"")</f>
        <v/>
      </c>
      <c r="C3690" t="str">
        <f>IFERROR(VLOOKUP($A3690,原始数据_收盘!$A$4:$G$3460,3,0),"")</f>
        <v/>
      </c>
      <c r="D3690" t="str">
        <f>IFERROR(VLOOKUP($A3690,原始数据_收盘!$A$4:$G$3460,4,0),"")</f>
        <v/>
      </c>
      <c r="E3690" t="str">
        <f>IFERROR(VLOOKUP($A3690,原始数据_收盘!$A$4:$G$3460,5,0),"")</f>
        <v/>
      </c>
      <c r="F3690" t="str">
        <f>IFERROR(VLOOKUP($A3690,原始数据_收盘!$A$4:$G$3460,6,0),"")</f>
        <v/>
      </c>
      <c r="G3690" t="str">
        <f>IFERROR(VLOOKUP($A3690,原始数据_收盘!$A$4:$G$3460,7,0),"")</f>
        <v/>
      </c>
      <c r="H3690" t="str">
        <f>IFERROR(VLOOKUP($A3690,原始数据_利率互换_FR007_1年!$A$6:$C$4395,2,0),"")</f>
        <v/>
      </c>
      <c r="I3690" t="str">
        <f>IFERROR(VLOOKUP($A3690,原始数据_利率互换_FR007_1年!$A$6:$C$4395,3,0),"")</f>
        <v/>
      </c>
    </row>
    <row r="3691" spans="1:9">
      <c r="A3691" s="6">
        <v>43184</v>
      </c>
      <c r="B3691" t="str">
        <f>IFERROR(VLOOKUP($A3691,原始数据_收盘!$A$4:$G$3460,2,0),"")</f>
        <v/>
      </c>
      <c r="C3691" t="str">
        <f>IFERROR(VLOOKUP($A3691,原始数据_收盘!$A$4:$G$3460,3,0),"")</f>
        <v/>
      </c>
      <c r="D3691" t="str">
        <f>IFERROR(VLOOKUP($A3691,原始数据_收盘!$A$4:$G$3460,4,0),"")</f>
        <v/>
      </c>
      <c r="E3691" t="str">
        <f>IFERROR(VLOOKUP($A3691,原始数据_收盘!$A$4:$G$3460,5,0),"")</f>
        <v/>
      </c>
      <c r="F3691" t="str">
        <f>IFERROR(VLOOKUP($A3691,原始数据_收盘!$A$4:$G$3460,6,0),"")</f>
        <v/>
      </c>
      <c r="G3691" t="str">
        <f>IFERROR(VLOOKUP($A3691,原始数据_收盘!$A$4:$G$3460,7,0),"")</f>
        <v/>
      </c>
      <c r="H3691" t="str">
        <f>IFERROR(VLOOKUP($A3691,原始数据_利率互换_FR007_1年!$A$6:$C$4395,2,0),"")</f>
        <v/>
      </c>
      <c r="I3691" t="str">
        <f>IFERROR(VLOOKUP($A3691,原始数据_利率互换_FR007_1年!$A$6:$C$4395,3,0),"")</f>
        <v/>
      </c>
    </row>
    <row r="3692" spans="1:9">
      <c r="A3692" s="6">
        <v>43185</v>
      </c>
      <c r="B3692">
        <f>IFERROR(VLOOKUP($A3692,原始数据_收盘!$A$4:$G$3460,2,0),"")</f>
        <v>3.4191</v>
      </c>
      <c r="C3692">
        <f>IFERROR(VLOOKUP($A3692,原始数据_收盘!$A$4:$G$3460,3,0),"")</f>
        <v>3.7739</v>
      </c>
      <c r="D3692">
        <f>IFERROR(VLOOKUP($A3692,原始数据_收盘!$A$4:$G$3460,4,0),"")</f>
        <v>3.4225</v>
      </c>
      <c r="E3692">
        <f>IFERROR(VLOOKUP($A3692,原始数据_收盘!$A$4:$G$3460,5,0),"")</f>
        <v>3.7788</v>
      </c>
      <c r="F3692">
        <f>IFERROR(VLOOKUP($A3692,原始数据_收盘!$A$4:$G$3460,6,0),"")</f>
        <v>3.4208</v>
      </c>
      <c r="G3692">
        <f>IFERROR(VLOOKUP($A3692,原始数据_收盘!$A$4:$G$3460,7,0),"")</f>
        <v>3.7763</v>
      </c>
      <c r="H3692">
        <f>IFERROR(VLOOKUP($A3692,原始数据_利率互换_FR007_1年!$A$6:$C$4395,2,0),"")</f>
        <v>3.4124</v>
      </c>
      <c r="I3692">
        <f>IFERROR(VLOOKUP($A3692,原始数据_利率互换_FR007_1年!$A$6:$C$4395,3,0),"")</f>
        <v>3.7677</v>
      </c>
    </row>
    <row r="3693" spans="1:9">
      <c r="A3693" s="6">
        <v>43186</v>
      </c>
      <c r="B3693">
        <f>IFERROR(VLOOKUP($A3693,原始数据_收盘!$A$4:$G$3460,2,0),"")</f>
        <v>3.3742</v>
      </c>
      <c r="C3693">
        <f>IFERROR(VLOOKUP($A3693,原始数据_收盘!$A$4:$G$3460,3,0),"")</f>
        <v>3.7404</v>
      </c>
      <c r="D3693">
        <f>IFERROR(VLOOKUP($A3693,原始数据_收盘!$A$4:$G$3460,4,0),"")</f>
        <v>3.3816</v>
      </c>
      <c r="E3693">
        <f>IFERROR(VLOOKUP($A3693,原始数据_收盘!$A$4:$G$3460,5,0),"")</f>
        <v>3.7546</v>
      </c>
      <c r="F3693">
        <f>IFERROR(VLOOKUP($A3693,原始数据_收盘!$A$4:$G$3460,6,0),"")</f>
        <v>3.3779</v>
      </c>
      <c r="G3693">
        <f>IFERROR(VLOOKUP($A3693,原始数据_收盘!$A$4:$G$3460,7,0),"")</f>
        <v>3.7475</v>
      </c>
      <c r="H3693">
        <f>IFERROR(VLOOKUP($A3693,原始数据_利率互换_FR007_1年!$A$6:$C$4395,2,0),"")</f>
        <v>3.4187</v>
      </c>
      <c r="I3693">
        <f>IFERROR(VLOOKUP($A3693,原始数据_利率互换_FR007_1年!$A$6:$C$4395,3,0),"")</f>
        <v>3.7815</v>
      </c>
    </row>
    <row r="3694" spans="1:9">
      <c r="A3694" s="6">
        <v>43187</v>
      </c>
      <c r="B3694">
        <f>IFERROR(VLOOKUP($A3694,原始数据_收盘!$A$4:$G$3460,2,0),"")</f>
        <v>3.3667</v>
      </c>
      <c r="C3694">
        <f>IFERROR(VLOOKUP($A3694,原始数据_收盘!$A$4:$G$3460,3,0),"")</f>
        <v>3.7242</v>
      </c>
      <c r="D3694">
        <f>IFERROR(VLOOKUP($A3694,原始数据_收盘!$A$4:$G$3460,4,0),"")</f>
        <v>3.3704</v>
      </c>
      <c r="E3694">
        <f>IFERROR(VLOOKUP($A3694,原始数据_收盘!$A$4:$G$3460,5,0),"")</f>
        <v>3.73</v>
      </c>
      <c r="F3694">
        <f>IFERROR(VLOOKUP($A3694,原始数据_收盘!$A$4:$G$3460,6,0),"")</f>
        <v>3.3686</v>
      </c>
      <c r="G3694">
        <f>IFERROR(VLOOKUP($A3694,原始数据_收盘!$A$4:$G$3460,7,0),"")</f>
        <v>3.7271</v>
      </c>
      <c r="H3694">
        <f>IFERROR(VLOOKUP($A3694,原始数据_利率互换_FR007_1年!$A$6:$C$4395,2,0),"")</f>
        <v>3.3806</v>
      </c>
      <c r="I3694">
        <f>IFERROR(VLOOKUP($A3694,原始数据_利率互换_FR007_1年!$A$6:$C$4395,3,0),"")</f>
        <v>3.7529</v>
      </c>
    </row>
    <row r="3695" spans="1:9">
      <c r="A3695" s="6">
        <v>43188</v>
      </c>
      <c r="B3695">
        <f>IFERROR(VLOOKUP($A3695,原始数据_收盘!$A$4:$G$3460,2,0),"")</f>
        <v>3.3516</v>
      </c>
      <c r="C3695">
        <f>IFERROR(VLOOKUP($A3695,原始数据_收盘!$A$4:$G$3460,3,0),"")</f>
        <v>3.7092</v>
      </c>
      <c r="D3695">
        <f>IFERROR(VLOOKUP($A3695,原始数据_收盘!$A$4:$G$3460,4,0),"")</f>
        <v>3.3553</v>
      </c>
      <c r="E3695">
        <f>IFERROR(VLOOKUP($A3695,原始数据_收盘!$A$4:$G$3460,5,0),"")</f>
        <v>3.7125</v>
      </c>
      <c r="F3695">
        <f>IFERROR(VLOOKUP($A3695,原始数据_收盘!$A$4:$G$3460,6,0),"")</f>
        <v>3.3534</v>
      </c>
      <c r="G3695">
        <f>IFERROR(VLOOKUP($A3695,原始数据_收盘!$A$4:$G$3460,7,0),"")</f>
        <v>3.7109</v>
      </c>
      <c r="H3695">
        <f>IFERROR(VLOOKUP($A3695,原始数据_利率互换_FR007_1年!$A$6:$C$4395,2,0),"")</f>
        <v>3.3707</v>
      </c>
      <c r="I3695">
        <f>IFERROR(VLOOKUP($A3695,原始数据_利率互换_FR007_1年!$A$6:$C$4395,3,0),"")</f>
        <v>3.7373</v>
      </c>
    </row>
    <row r="3696" spans="1:9">
      <c r="A3696" s="6">
        <v>43189</v>
      </c>
      <c r="B3696">
        <f>IFERROR(VLOOKUP($A3696,原始数据_收盘!$A$4:$G$3460,2,0),"")</f>
        <v>3.3544</v>
      </c>
      <c r="C3696">
        <f>IFERROR(VLOOKUP($A3696,原始数据_收盘!$A$4:$G$3460,3,0),"")</f>
        <v>3.7075</v>
      </c>
      <c r="D3696">
        <f>IFERROR(VLOOKUP($A3696,原始数据_收盘!$A$4:$G$3460,4,0),"")</f>
        <v>3.37</v>
      </c>
      <c r="E3696">
        <f>IFERROR(VLOOKUP($A3696,原始数据_收盘!$A$4:$G$3460,5,0),"")</f>
        <v>3.715</v>
      </c>
      <c r="F3696">
        <f>IFERROR(VLOOKUP($A3696,原始数据_收盘!$A$4:$G$3460,6,0),"")</f>
        <v>3.3622</v>
      </c>
      <c r="G3696">
        <f>IFERROR(VLOOKUP($A3696,原始数据_收盘!$A$4:$G$3460,7,0),"")</f>
        <v>3.7113</v>
      </c>
      <c r="H3696">
        <f>IFERROR(VLOOKUP($A3696,原始数据_利率互换_FR007_1年!$A$6:$C$4395,2,0),"")</f>
        <v>3.3557</v>
      </c>
      <c r="I3696">
        <f>IFERROR(VLOOKUP($A3696,原始数据_利率互换_FR007_1年!$A$6:$C$4395,3,0),"")</f>
        <v>3.6953</v>
      </c>
    </row>
    <row r="3697" spans="1:9">
      <c r="A3697" s="6">
        <v>43190</v>
      </c>
      <c r="B3697" t="str">
        <f>IFERROR(VLOOKUP($A3697,原始数据_收盘!$A$4:$G$3460,2,0),"")</f>
        <v/>
      </c>
      <c r="C3697" t="str">
        <f>IFERROR(VLOOKUP($A3697,原始数据_收盘!$A$4:$G$3460,3,0),"")</f>
        <v/>
      </c>
      <c r="D3697" t="str">
        <f>IFERROR(VLOOKUP($A3697,原始数据_收盘!$A$4:$G$3460,4,0),"")</f>
        <v/>
      </c>
      <c r="E3697" t="str">
        <f>IFERROR(VLOOKUP($A3697,原始数据_收盘!$A$4:$G$3460,5,0),"")</f>
        <v/>
      </c>
      <c r="F3697" t="str">
        <f>IFERROR(VLOOKUP($A3697,原始数据_收盘!$A$4:$G$3460,6,0),"")</f>
        <v/>
      </c>
      <c r="G3697" t="str">
        <f>IFERROR(VLOOKUP($A3697,原始数据_收盘!$A$4:$G$3460,7,0),"")</f>
        <v/>
      </c>
      <c r="H3697" t="str">
        <f>IFERROR(VLOOKUP($A3697,原始数据_利率互换_FR007_1年!$A$6:$C$4395,2,0),"")</f>
        <v/>
      </c>
      <c r="I3697" t="str">
        <f>IFERROR(VLOOKUP($A3697,原始数据_利率互换_FR007_1年!$A$6:$C$4395,3,0),"")</f>
        <v/>
      </c>
    </row>
    <row r="3698" spans="1:9">
      <c r="A3698" s="6">
        <v>43191</v>
      </c>
      <c r="B3698" t="str">
        <f>IFERROR(VLOOKUP($A3698,原始数据_收盘!$A$4:$G$3460,2,0),"")</f>
        <v/>
      </c>
      <c r="C3698" t="str">
        <f>IFERROR(VLOOKUP($A3698,原始数据_收盘!$A$4:$G$3460,3,0),"")</f>
        <v/>
      </c>
      <c r="D3698" t="str">
        <f>IFERROR(VLOOKUP($A3698,原始数据_收盘!$A$4:$G$3460,4,0),"")</f>
        <v/>
      </c>
      <c r="E3698" t="str">
        <f>IFERROR(VLOOKUP($A3698,原始数据_收盘!$A$4:$G$3460,5,0),"")</f>
        <v/>
      </c>
      <c r="F3698" t="str">
        <f>IFERROR(VLOOKUP($A3698,原始数据_收盘!$A$4:$G$3460,6,0),"")</f>
        <v/>
      </c>
      <c r="G3698" t="str">
        <f>IFERROR(VLOOKUP($A3698,原始数据_收盘!$A$4:$G$3460,7,0),"")</f>
        <v/>
      </c>
      <c r="H3698" t="str">
        <f>IFERROR(VLOOKUP($A3698,原始数据_利率互换_FR007_1年!$A$6:$C$4395,2,0),"")</f>
        <v/>
      </c>
      <c r="I3698" t="str">
        <f>IFERROR(VLOOKUP($A3698,原始数据_利率互换_FR007_1年!$A$6:$C$4395,3,0),"")</f>
        <v/>
      </c>
    </row>
    <row r="3699" spans="1:9">
      <c r="A3699" s="6">
        <v>43192</v>
      </c>
      <c r="B3699">
        <f>IFERROR(VLOOKUP($A3699,原始数据_收盘!$A$4:$G$3460,2,0),"")</f>
        <v>3.355</v>
      </c>
      <c r="C3699">
        <f>IFERROR(VLOOKUP($A3699,原始数据_收盘!$A$4:$G$3460,3,0),"")</f>
        <v>3.705</v>
      </c>
      <c r="D3699">
        <f>IFERROR(VLOOKUP($A3699,原始数据_收盘!$A$4:$G$3460,4,0),"")</f>
        <v>3.3577</v>
      </c>
      <c r="E3699">
        <f>IFERROR(VLOOKUP($A3699,原始数据_收盘!$A$4:$G$3460,5,0),"")</f>
        <v>3.7125</v>
      </c>
      <c r="F3699">
        <f>IFERROR(VLOOKUP($A3699,原始数据_收盘!$A$4:$G$3460,6,0),"")</f>
        <v>3.3563</v>
      </c>
      <c r="G3699">
        <f>IFERROR(VLOOKUP($A3699,原始数据_收盘!$A$4:$G$3460,7,0),"")</f>
        <v>3.7088</v>
      </c>
      <c r="H3699">
        <f>IFERROR(VLOOKUP($A3699,原始数据_利率互换_FR007_1年!$A$6:$C$4395,2,0),"")</f>
        <v>3.3611</v>
      </c>
      <c r="I3699">
        <f>IFERROR(VLOOKUP($A3699,原始数据_利率互换_FR007_1年!$A$6:$C$4395,3,0),"")</f>
        <v>3.7101</v>
      </c>
    </row>
    <row r="3700" spans="1:9">
      <c r="A3700" s="6">
        <v>43193</v>
      </c>
      <c r="B3700">
        <f>IFERROR(VLOOKUP($A3700,原始数据_收盘!$A$4:$G$3460,2,0),"")</f>
        <v>3.336</v>
      </c>
      <c r="C3700">
        <f>IFERROR(VLOOKUP($A3700,原始数据_收盘!$A$4:$G$3460,3,0),"")</f>
        <v>3.6816</v>
      </c>
      <c r="D3700">
        <f>IFERROR(VLOOKUP($A3700,原始数据_收盘!$A$4:$G$3460,4,0),"")</f>
        <v>3.3475</v>
      </c>
      <c r="E3700">
        <f>IFERROR(VLOOKUP($A3700,原始数据_收盘!$A$4:$G$3460,5,0),"")</f>
        <v>3.6913</v>
      </c>
      <c r="F3700">
        <f>IFERROR(VLOOKUP($A3700,原始数据_收盘!$A$4:$G$3460,6,0),"")</f>
        <v>3.3418</v>
      </c>
      <c r="G3700">
        <f>IFERROR(VLOOKUP($A3700,原始数据_收盘!$A$4:$G$3460,7,0),"")</f>
        <v>3.6864</v>
      </c>
      <c r="H3700">
        <f>IFERROR(VLOOKUP($A3700,原始数据_利率互换_FR007_1年!$A$6:$C$4395,2,0),"")</f>
        <v>3.3428</v>
      </c>
      <c r="I3700">
        <f>IFERROR(VLOOKUP($A3700,原始数据_利率互换_FR007_1年!$A$6:$C$4395,3,0),"")</f>
        <v>3.6943</v>
      </c>
    </row>
    <row r="3701" spans="1:9">
      <c r="A3701" s="6">
        <v>43194</v>
      </c>
      <c r="B3701">
        <f>IFERROR(VLOOKUP($A3701,原始数据_收盘!$A$4:$G$3460,2,0),"")</f>
        <v>3.2913</v>
      </c>
      <c r="C3701">
        <f>IFERROR(VLOOKUP($A3701,原始数据_收盘!$A$4:$G$3460,3,0),"")</f>
        <v>3.6274</v>
      </c>
      <c r="D3701">
        <f>IFERROR(VLOOKUP($A3701,原始数据_收盘!$A$4:$G$3460,4,0),"")</f>
        <v>3.345</v>
      </c>
      <c r="E3701">
        <f>IFERROR(VLOOKUP($A3701,原始数据_收盘!$A$4:$G$3460,5,0),"")</f>
        <v>3.6382</v>
      </c>
      <c r="F3701">
        <f>IFERROR(VLOOKUP($A3701,原始数据_收盘!$A$4:$G$3460,6,0),"")</f>
        <v>3.3181</v>
      </c>
      <c r="G3701">
        <f>IFERROR(VLOOKUP($A3701,原始数据_收盘!$A$4:$G$3460,7,0),"")</f>
        <v>3.6328</v>
      </c>
      <c r="H3701">
        <f>IFERROR(VLOOKUP($A3701,原始数据_利率互换_FR007_1年!$A$6:$C$4395,2,0),"")</f>
        <v>3.3222</v>
      </c>
      <c r="I3701">
        <f>IFERROR(VLOOKUP($A3701,原始数据_利率互换_FR007_1年!$A$6:$C$4395,3,0),"")</f>
        <v>3.6751</v>
      </c>
    </row>
    <row r="3702" spans="1:9">
      <c r="A3702" s="6">
        <v>43195</v>
      </c>
      <c r="B3702" t="str">
        <f>IFERROR(VLOOKUP($A3702,原始数据_收盘!$A$4:$G$3460,2,0),"")</f>
        <v/>
      </c>
      <c r="C3702" t="str">
        <f>IFERROR(VLOOKUP($A3702,原始数据_收盘!$A$4:$G$3460,3,0),"")</f>
        <v/>
      </c>
      <c r="D3702" t="str">
        <f>IFERROR(VLOOKUP($A3702,原始数据_收盘!$A$4:$G$3460,4,0),"")</f>
        <v/>
      </c>
      <c r="E3702" t="str">
        <f>IFERROR(VLOOKUP($A3702,原始数据_收盘!$A$4:$G$3460,5,0),"")</f>
        <v/>
      </c>
      <c r="F3702" t="str">
        <f>IFERROR(VLOOKUP($A3702,原始数据_收盘!$A$4:$G$3460,6,0),"")</f>
        <v/>
      </c>
      <c r="G3702" t="str">
        <f>IFERROR(VLOOKUP($A3702,原始数据_收盘!$A$4:$G$3460,7,0),"")</f>
        <v/>
      </c>
      <c r="H3702" t="str">
        <f>IFERROR(VLOOKUP($A3702,原始数据_利率互换_FR007_1年!$A$6:$C$4395,2,0),"")</f>
        <v/>
      </c>
      <c r="I3702" t="str">
        <f>IFERROR(VLOOKUP($A3702,原始数据_利率互换_FR007_1年!$A$6:$C$4395,3,0),"")</f>
        <v/>
      </c>
    </row>
    <row r="3703" spans="1:9">
      <c r="A3703" s="6">
        <v>43196</v>
      </c>
      <c r="B3703" t="str">
        <f>IFERROR(VLOOKUP($A3703,原始数据_收盘!$A$4:$G$3460,2,0),"")</f>
        <v/>
      </c>
      <c r="C3703" t="str">
        <f>IFERROR(VLOOKUP($A3703,原始数据_收盘!$A$4:$G$3460,3,0),"")</f>
        <v/>
      </c>
      <c r="D3703" t="str">
        <f>IFERROR(VLOOKUP($A3703,原始数据_收盘!$A$4:$G$3460,4,0),"")</f>
        <v/>
      </c>
      <c r="E3703" t="str">
        <f>IFERROR(VLOOKUP($A3703,原始数据_收盘!$A$4:$G$3460,5,0),"")</f>
        <v/>
      </c>
      <c r="F3703" t="str">
        <f>IFERROR(VLOOKUP($A3703,原始数据_收盘!$A$4:$G$3460,6,0),"")</f>
        <v/>
      </c>
      <c r="G3703" t="str">
        <f>IFERROR(VLOOKUP($A3703,原始数据_收盘!$A$4:$G$3460,7,0),"")</f>
        <v/>
      </c>
      <c r="H3703" t="str">
        <f>IFERROR(VLOOKUP($A3703,原始数据_利率互换_FR007_1年!$A$6:$C$4395,2,0),"")</f>
        <v/>
      </c>
      <c r="I3703" t="str">
        <f>IFERROR(VLOOKUP($A3703,原始数据_利率互换_FR007_1年!$A$6:$C$4395,3,0),"")</f>
        <v/>
      </c>
    </row>
    <row r="3704" spans="1:9">
      <c r="A3704" s="6">
        <v>43197</v>
      </c>
      <c r="B3704" t="str">
        <f>IFERROR(VLOOKUP($A3704,原始数据_收盘!$A$4:$G$3460,2,0),"")</f>
        <v/>
      </c>
      <c r="C3704" t="str">
        <f>IFERROR(VLOOKUP($A3704,原始数据_收盘!$A$4:$G$3460,3,0),"")</f>
        <v/>
      </c>
      <c r="D3704" t="str">
        <f>IFERROR(VLOOKUP($A3704,原始数据_收盘!$A$4:$G$3460,4,0),"")</f>
        <v/>
      </c>
      <c r="E3704" t="str">
        <f>IFERROR(VLOOKUP($A3704,原始数据_收盘!$A$4:$G$3460,5,0),"")</f>
        <v/>
      </c>
      <c r="F3704" t="str">
        <f>IFERROR(VLOOKUP($A3704,原始数据_收盘!$A$4:$G$3460,6,0),"")</f>
        <v/>
      </c>
      <c r="G3704" t="str">
        <f>IFERROR(VLOOKUP($A3704,原始数据_收盘!$A$4:$G$3460,7,0),"")</f>
        <v/>
      </c>
      <c r="H3704" t="str">
        <f>IFERROR(VLOOKUP($A3704,原始数据_利率互换_FR007_1年!$A$6:$C$4395,2,0),"")</f>
        <v/>
      </c>
      <c r="I3704" t="str">
        <f>IFERROR(VLOOKUP($A3704,原始数据_利率互换_FR007_1年!$A$6:$C$4395,3,0),"")</f>
        <v/>
      </c>
    </row>
    <row r="3705" spans="1:9">
      <c r="A3705" s="6">
        <v>43198</v>
      </c>
      <c r="B3705">
        <f>IFERROR(VLOOKUP($A3705,原始数据_收盘!$A$4:$G$3460,2,0),"")</f>
        <v>3.2488</v>
      </c>
      <c r="C3705">
        <f>IFERROR(VLOOKUP($A3705,原始数据_收盘!$A$4:$G$3460,3,0),"")</f>
        <v>3.59</v>
      </c>
      <c r="D3705">
        <f>IFERROR(VLOOKUP($A3705,原始数据_收盘!$A$4:$G$3460,4,0),"")</f>
        <v>3.3206</v>
      </c>
      <c r="E3705">
        <f>IFERROR(VLOOKUP($A3705,原始数据_收盘!$A$4:$G$3460,5,0),"")</f>
        <v>3.6065</v>
      </c>
      <c r="F3705">
        <f>IFERROR(VLOOKUP($A3705,原始数据_收盘!$A$4:$G$3460,6,0),"")</f>
        <v>3.2847</v>
      </c>
      <c r="G3705">
        <f>IFERROR(VLOOKUP($A3705,原始数据_收盘!$A$4:$G$3460,7,0),"")</f>
        <v>3.5982</v>
      </c>
      <c r="H3705">
        <f>IFERROR(VLOOKUP($A3705,原始数据_利率互换_FR007_1年!$A$6:$C$4395,2,0),"")</f>
        <v>3.3079</v>
      </c>
      <c r="I3705">
        <f>IFERROR(VLOOKUP($A3705,原始数据_利率互换_FR007_1年!$A$6:$C$4395,3,0),"")</f>
        <v>3.628</v>
      </c>
    </row>
    <row r="3706" spans="1:9">
      <c r="A3706" s="6">
        <v>43199</v>
      </c>
      <c r="B3706">
        <f>IFERROR(VLOOKUP($A3706,原始数据_收盘!$A$4:$G$3460,2,0),"")</f>
        <v>3.275</v>
      </c>
      <c r="C3706">
        <f>IFERROR(VLOOKUP($A3706,原始数据_收盘!$A$4:$G$3460,3,0),"")</f>
        <v>3.634</v>
      </c>
      <c r="D3706">
        <f>IFERROR(VLOOKUP($A3706,原始数据_收盘!$A$4:$G$3460,4,0),"")</f>
        <v>3.2829</v>
      </c>
      <c r="E3706">
        <f>IFERROR(VLOOKUP($A3706,原始数据_收盘!$A$4:$G$3460,5,0),"")</f>
        <v>3.6381</v>
      </c>
      <c r="F3706">
        <f>IFERROR(VLOOKUP($A3706,原始数据_收盘!$A$4:$G$3460,6,0),"")</f>
        <v>3.2789</v>
      </c>
      <c r="G3706">
        <f>IFERROR(VLOOKUP($A3706,原始数据_收盘!$A$4:$G$3460,7,0),"")</f>
        <v>3.6361</v>
      </c>
      <c r="H3706">
        <f>IFERROR(VLOOKUP($A3706,原始数据_利率互换_FR007_1年!$A$6:$C$4395,2,0),"")</f>
        <v>3.2725</v>
      </c>
      <c r="I3706">
        <f>IFERROR(VLOOKUP($A3706,原始数据_利率互换_FR007_1年!$A$6:$C$4395,3,0),"")</f>
        <v>3.6255</v>
      </c>
    </row>
    <row r="3707" spans="1:9">
      <c r="A3707" s="6">
        <v>43200</v>
      </c>
      <c r="B3707">
        <f>IFERROR(VLOOKUP($A3707,原始数据_收盘!$A$4:$G$3460,2,0),"")</f>
        <v>3.29</v>
      </c>
      <c r="C3707">
        <f>IFERROR(VLOOKUP($A3707,原始数据_收盘!$A$4:$G$3460,3,0),"")</f>
        <v>3.68</v>
      </c>
      <c r="D3707">
        <f>IFERROR(VLOOKUP($A3707,原始数据_收盘!$A$4:$G$3460,4,0),"")</f>
        <v>3.2925</v>
      </c>
      <c r="E3707">
        <f>IFERROR(VLOOKUP($A3707,原始数据_收盘!$A$4:$G$3460,5,0),"")</f>
        <v>3.685</v>
      </c>
      <c r="F3707">
        <f>IFERROR(VLOOKUP($A3707,原始数据_收盘!$A$4:$G$3460,6,0),"")</f>
        <v>3.2913</v>
      </c>
      <c r="G3707">
        <f>IFERROR(VLOOKUP($A3707,原始数据_收盘!$A$4:$G$3460,7,0),"")</f>
        <v>3.6825</v>
      </c>
      <c r="H3707">
        <f>IFERROR(VLOOKUP($A3707,原始数据_利率互换_FR007_1年!$A$6:$C$4395,2,0),"")</f>
        <v>3.2908</v>
      </c>
      <c r="I3707">
        <f>IFERROR(VLOOKUP($A3707,原始数据_利率互换_FR007_1年!$A$6:$C$4395,3,0),"")</f>
        <v>3.6621</v>
      </c>
    </row>
    <row r="3708" spans="1:9">
      <c r="A3708" s="6">
        <v>43201</v>
      </c>
      <c r="B3708">
        <f>IFERROR(VLOOKUP($A3708,原始数据_收盘!$A$4:$G$3460,2,0),"")</f>
        <v>3.27</v>
      </c>
      <c r="C3708">
        <f>IFERROR(VLOOKUP($A3708,原始数据_收盘!$A$4:$G$3460,3,0),"")</f>
        <v>3.665</v>
      </c>
      <c r="D3708">
        <f>IFERROR(VLOOKUP($A3708,原始数据_收盘!$A$4:$G$3460,4,0),"")</f>
        <v>3.28</v>
      </c>
      <c r="E3708">
        <f>IFERROR(VLOOKUP($A3708,原始数据_收盘!$A$4:$G$3460,5,0),"")</f>
        <v>3.67</v>
      </c>
      <c r="F3708">
        <f>IFERROR(VLOOKUP($A3708,原始数据_收盘!$A$4:$G$3460,6,0),"")</f>
        <v>3.275</v>
      </c>
      <c r="G3708">
        <f>IFERROR(VLOOKUP($A3708,原始数据_收盘!$A$4:$G$3460,7,0),"")</f>
        <v>3.6675</v>
      </c>
      <c r="H3708">
        <f>IFERROR(VLOOKUP($A3708,原始数据_利率互换_FR007_1年!$A$6:$C$4395,2,0),"")</f>
        <v>3.2922</v>
      </c>
      <c r="I3708">
        <f>IFERROR(VLOOKUP($A3708,原始数据_利率互换_FR007_1年!$A$6:$C$4395,3,0),"")</f>
        <v>3.6907</v>
      </c>
    </row>
    <row r="3709" spans="1:9">
      <c r="A3709" s="6">
        <v>43202</v>
      </c>
      <c r="B3709">
        <f>IFERROR(VLOOKUP($A3709,原始数据_收盘!$A$4:$G$3460,2,0),"")</f>
        <v>3.2789</v>
      </c>
      <c r="C3709">
        <f>IFERROR(VLOOKUP($A3709,原始数据_收盘!$A$4:$G$3460,3,0),"")</f>
        <v>3.6753</v>
      </c>
      <c r="D3709">
        <f>IFERROR(VLOOKUP($A3709,原始数据_收盘!$A$4:$G$3460,4,0),"")</f>
        <v>3.2856</v>
      </c>
      <c r="E3709">
        <f>IFERROR(VLOOKUP($A3709,原始数据_收盘!$A$4:$G$3460,5,0),"")</f>
        <v>3.6849</v>
      </c>
      <c r="F3709">
        <f>IFERROR(VLOOKUP($A3709,原始数据_收盘!$A$4:$G$3460,6,0),"")</f>
        <v>3.2823</v>
      </c>
      <c r="G3709">
        <f>IFERROR(VLOOKUP($A3709,原始数据_收盘!$A$4:$G$3460,7,0),"")</f>
        <v>3.6801</v>
      </c>
      <c r="H3709">
        <f>IFERROR(VLOOKUP($A3709,原始数据_利率互换_FR007_1年!$A$6:$C$4395,2,0),"")</f>
        <v>3.2759</v>
      </c>
      <c r="I3709">
        <f>IFERROR(VLOOKUP($A3709,原始数据_利率互换_FR007_1年!$A$6:$C$4395,3,0),"")</f>
        <v>3.67</v>
      </c>
    </row>
    <row r="3710" spans="1:9">
      <c r="A3710" s="6">
        <v>43203</v>
      </c>
      <c r="B3710">
        <f>IFERROR(VLOOKUP($A3710,原始数据_收盘!$A$4:$G$3460,2,0),"")</f>
        <v>3.2869</v>
      </c>
      <c r="C3710">
        <f>IFERROR(VLOOKUP($A3710,原始数据_收盘!$A$4:$G$3460,3,0),"")</f>
        <v>3.6952</v>
      </c>
      <c r="D3710">
        <f>IFERROR(VLOOKUP($A3710,原始数据_收盘!$A$4:$G$3460,4,0),"")</f>
        <v>3.2959</v>
      </c>
      <c r="E3710">
        <f>IFERROR(VLOOKUP($A3710,原始数据_收盘!$A$4:$G$3460,5,0),"")</f>
        <v>3.6998</v>
      </c>
      <c r="F3710">
        <f>IFERROR(VLOOKUP($A3710,原始数据_收盘!$A$4:$G$3460,6,0),"")</f>
        <v>3.2914</v>
      </c>
      <c r="G3710">
        <f>IFERROR(VLOOKUP($A3710,原始数据_收盘!$A$4:$G$3460,7,0),"")</f>
        <v>3.6975</v>
      </c>
      <c r="H3710">
        <f>IFERROR(VLOOKUP($A3710,原始数据_利率互换_FR007_1年!$A$6:$C$4395,2,0),"")</f>
        <v>3.3057</v>
      </c>
      <c r="I3710">
        <f>IFERROR(VLOOKUP($A3710,原始数据_利率互换_FR007_1年!$A$6:$C$4395,3,0),"")</f>
        <v>3.7079</v>
      </c>
    </row>
    <row r="3711" spans="1:9">
      <c r="A3711" s="6">
        <v>43204</v>
      </c>
      <c r="B3711" t="str">
        <f>IFERROR(VLOOKUP($A3711,原始数据_收盘!$A$4:$G$3460,2,0),"")</f>
        <v/>
      </c>
      <c r="C3711" t="str">
        <f>IFERROR(VLOOKUP($A3711,原始数据_收盘!$A$4:$G$3460,3,0),"")</f>
        <v/>
      </c>
      <c r="D3711" t="str">
        <f>IFERROR(VLOOKUP($A3711,原始数据_收盘!$A$4:$G$3460,4,0),"")</f>
        <v/>
      </c>
      <c r="E3711" t="str">
        <f>IFERROR(VLOOKUP($A3711,原始数据_收盘!$A$4:$G$3460,5,0),"")</f>
        <v/>
      </c>
      <c r="F3711" t="str">
        <f>IFERROR(VLOOKUP($A3711,原始数据_收盘!$A$4:$G$3460,6,0),"")</f>
        <v/>
      </c>
      <c r="G3711" t="str">
        <f>IFERROR(VLOOKUP($A3711,原始数据_收盘!$A$4:$G$3460,7,0),"")</f>
        <v/>
      </c>
      <c r="H3711" t="str">
        <f>IFERROR(VLOOKUP($A3711,原始数据_利率互换_FR007_1年!$A$6:$C$4395,2,0),"")</f>
        <v/>
      </c>
      <c r="I3711" t="str">
        <f>IFERROR(VLOOKUP($A3711,原始数据_利率互换_FR007_1年!$A$6:$C$4395,3,0),"")</f>
        <v/>
      </c>
    </row>
    <row r="3712" spans="1:9">
      <c r="A3712" s="6">
        <v>43205</v>
      </c>
      <c r="B3712" t="str">
        <f>IFERROR(VLOOKUP($A3712,原始数据_收盘!$A$4:$G$3460,2,0),"")</f>
        <v/>
      </c>
      <c r="C3712" t="str">
        <f>IFERROR(VLOOKUP($A3712,原始数据_收盘!$A$4:$G$3460,3,0),"")</f>
        <v/>
      </c>
      <c r="D3712" t="str">
        <f>IFERROR(VLOOKUP($A3712,原始数据_收盘!$A$4:$G$3460,4,0),"")</f>
        <v/>
      </c>
      <c r="E3712" t="str">
        <f>IFERROR(VLOOKUP($A3712,原始数据_收盘!$A$4:$G$3460,5,0),"")</f>
        <v/>
      </c>
      <c r="F3712" t="str">
        <f>IFERROR(VLOOKUP($A3712,原始数据_收盘!$A$4:$G$3460,6,0),"")</f>
        <v/>
      </c>
      <c r="G3712" t="str">
        <f>IFERROR(VLOOKUP($A3712,原始数据_收盘!$A$4:$G$3460,7,0),"")</f>
        <v/>
      </c>
      <c r="H3712" t="str">
        <f>IFERROR(VLOOKUP($A3712,原始数据_利率互换_FR007_1年!$A$6:$C$4395,2,0),"")</f>
        <v/>
      </c>
      <c r="I3712" t="str">
        <f>IFERROR(VLOOKUP($A3712,原始数据_利率互换_FR007_1年!$A$6:$C$4395,3,0),"")</f>
        <v/>
      </c>
    </row>
    <row r="3713" spans="1:9">
      <c r="A3713" s="6">
        <v>43206</v>
      </c>
      <c r="B3713">
        <f>IFERROR(VLOOKUP($A3713,原始数据_收盘!$A$4:$G$3460,2,0),"")</f>
        <v>3.285</v>
      </c>
      <c r="C3713">
        <f>IFERROR(VLOOKUP($A3713,原始数据_收盘!$A$4:$G$3460,3,0),"")</f>
        <v>3.68</v>
      </c>
      <c r="D3713">
        <f>IFERROR(VLOOKUP($A3713,原始数据_收盘!$A$4:$G$3460,4,0),"")</f>
        <v>3.2951</v>
      </c>
      <c r="E3713">
        <f>IFERROR(VLOOKUP($A3713,原始数据_收盘!$A$4:$G$3460,5,0),"")</f>
        <v>3.685</v>
      </c>
      <c r="F3713">
        <f>IFERROR(VLOOKUP($A3713,原始数据_收盘!$A$4:$G$3460,6,0),"")</f>
        <v>3.2901</v>
      </c>
      <c r="G3713">
        <f>IFERROR(VLOOKUP($A3713,原始数据_收盘!$A$4:$G$3460,7,0),"")</f>
        <v>3.6825</v>
      </c>
      <c r="H3713">
        <f>IFERROR(VLOOKUP($A3713,原始数据_利率互换_FR007_1年!$A$6:$C$4395,2,0),"")</f>
        <v>3.282</v>
      </c>
      <c r="I3713">
        <f>IFERROR(VLOOKUP($A3713,原始数据_利率互换_FR007_1年!$A$6:$C$4395,3,0),"")</f>
        <v>3.6855</v>
      </c>
    </row>
    <row r="3714" spans="1:9">
      <c r="A3714" s="6">
        <v>43207</v>
      </c>
      <c r="B3714">
        <f>IFERROR(VLOOKUP($A3714,原始数据_收盘!$A$4:$G$3460,2,0),"")</f>
        <v>3.3001</v>
      </c>
      <c r="C3714">
        <f>IFERROR(VLOOKUP($A3714,原始数据_收盘!$A$4:$G$3460,3,0),"")</f>
        <v>3.6816</v>
      </c>
      <c r="D3714">
        <f>IFERROR(VLOOKUP($A3714,原始数据_收盘!$A$4:$G$3460,4,0),"")</f>
        <v>3.3043</v>
      </c>
      <c r="E3714">
        <f>IFERROR(VLOOKUP($A3714,原始数据_收盘!$A$4:$G$3460,5,0),"")</f>
        <v>3.6841</v>
      </c>
      <c r="F3714">
        <f>IFERROR(VLOOKUP($A3714,原始数据_收盘!$A$4:$G$3460,6,0),"")</f>
        <v>3.3022</v>
      </c>
      <c r="G3714">
        <f>IFERROR(VLOOKUP($A3714,原始数据_收盘!$A$4:$G$3460,7,0),"")</f>
        <v>3.6829</v>
      </c>
      <c r="H3714">
        <f>IFERROR(VLOOKUP($A3714,原始数据_利率互换_FR007_1年!$A$6:$C$4395,2,0),"")</f>
        <v>3.3014</v>
      </c>
      <c r="I3714">
        <f>IFERROR(VLOOKUP($A3714,原始数据_利率互换_FR007_1年!$A$6:$C$4395,3,0),"")</f>
        <v>3.6831</v>
      </c>
    </row>
    <row r="3715" spans="1:9">
      <c r="A3715" s="6">
        <v>43208</v>
      </c>
      <c r="B3715">
        <f>IFERROR(VLOOKUP($A3715,原始数据_收盘!$A$4:$G$3460,2,0),"")</f>
        <v>3.1925</v>
      </c>
      <c r="C3715">
        <f>IFERROR(VLOOKUP($A3715,原始数据_收盘!$A$4:$G$3460,3,0),"")</f>
        <v>3.5122</v>
      </c>
      <c r="D3715">
        <f>IFERROR(VLOOKUP($A3715,原始数据_收盘!$A$4:$G$3460,4,0),"")</f>
        <v>3.1975</v>
      </c>
      <c r="E3715">
        <f>IFERROR(VLOOKUP($A3715,原始数据_收盘!$A$4:$G$3460,5,0),"")</f>
        <v>3.5209</v>
      </c>
      <c r="F3715">
        <f>IFERROR(VLOOKUP($A3715,原始数据_收盘!$A$4:$G$3460,6,0),"")</f>
        <v>3.195</v>
      </c>
      <c r="G3715">
        <f>IFERROR(VLOOKUP($A3715,原始数据_收盘!$A$4:$G$3460,7,0),"")</f>
        <v>3.5166</v>
      </c>
      <c r="H3715">
        <f>IFERROR(VLOOKUP($A3715,原始数据_利率互换_FR007_1年!$A$6:$C$4395,2,0),"")</f>
        <v>3.1884</v>
      </c>
      <c r="I3715">
        <f>IFERROR(VLOOKUP($A3715,原始数据_利率互换_FR007_1年!$A$6:$C$4395,3,0),"")</f>
        <v>3.5319</v>
      </c>
    </row>
    <row r="3716" spans="1:9">
      <c r="A3716" s="6">
        <v>43209</v>
      </c>
      <c r="B3716">
        <f>IFERROR(VLOOKUP($A3716,原始数据_收盘!$A$4:$G$3460,2,0),"")</f>
        <v>3.2255</v>
      </c>
      <c r="C3716">
        <f>IFERROR(VLOOKUP($A3716,原始数据_收盘!$A$4:$G$3460,3,0),"")</f>
        <v>3.5668</v>
      </c>
      <c r="D3716">
        <f>IFERROR(VLOOKUP($A3716,原始数据_收盘!$A$4:$G$3460,4,0),"")</f>
        <v>3.2316</v>
      </c>
      <c r="E3716">
        <f>IFERROR(VLOOKUP($A3716,原始数据_收盘!$A$4:$G$3460,5,0),"")</f>
        <v>3.5791</v>
      </c>
      <c r="F3716">
        <f>IFERROR(VLOOKUP($A3716,原始数据_收盘!$A$4:$G$3460,6,0),"")</f>
        <v>3.2286</v>
      </c>
      <c r="G3716">
        <f>IFERROR(VLOOKUP($A3716,原始数据_收盘!$A$4:$G$3460,7,0),"")</f>
        <v>3.5729</v>
      </c>
      <c r="H3716">
        <f>IFERROR(VLOOKUP($A3716,原始数据_利率互换_FR007_1年!$A$6:$C$4395,2,0),"")</f>
        <v>3.2165</v>
      </c>
      <c r="I3716">
        <f>IFERROR(VLOOKUP($A3716,原始数据_利率互换_FR007_1年!$A$6:$C$4395,3,0),"")</f>
        <v>3.559</v>
      </c>
    </row>
    <row r="3717" spans="1:9">
      <c r="A3717" s="6">
        <v>43210</v>
      </c>
      <c r="B3717">
        <f>IFERROR(VLOOKUP($A3717,原始数据_收盘!$A$4:$G$3460,2,0),"")</f>
        <v>3.233</v>
      </c>
      <c r="C3717">
        <f>IFERROR(VLOOKUP($A3717,原始数据_收盘!$A$4:$G$3460,3,0),"")</f>
        <v>3.5675</v>
      </c>
      <c r="D3717">
        <f>IFERROR(VLOOKUP($A3717,原始数据_收盘!$A$4:$G$3460,4,0),"")</f>
        <v>3.2375</v>
      </c>
      <c r="E3717">
        <f>IFERROR(VLOOKUP($A3717,原始数据_收盘!$A$4:$G$3460,5,0),"")</f>
        <v>3.5745</v>
      </c>
      <c r="F3717">
        <f>IFERROR(VLOOKUP($A3717,原始数据_收盘!$A$4:$G$3460,6,0),"")</f>
        <v>3.2352</v>
      </c>
      <c r="G3717">
        <f>IFERROR(VLOOKUP($A3717,原始数据_收盘!$A$4:$G$3460,7,0),"")</f>
        <v>3.571</v>
      </c>
      <c r="H3717">
        <f>IFERROR(VLOOKUP($A3717,原始数据_利率互换_FR007_1年!$A$6:$C$4395,2,0),"")</f>
        <v>3.2352</v>
      </c>
      <c r="I3717">
        <f>IFERROR(VLOOKUP($A3717,原始数据_利率互换_FR007_1年!$A$6:$C$4395,3,0),"")</f>
        <v>3.5729</v>
      </c>
    </row>
    <row r="3718" spans="1:9">
      <c r="A3718" s="6">
        <v>43211</v>
      </c>
      <c r="B3718" t="str">
        <f>IFERROR(VLOOKUP($A3718,原始数据_收盘!$A$4:$G$3460,2,0),"")</f>
        <v/>
      </c>
      <c r="C3718" t="str">
        <f>IFERROR(VLOOKUP($A3718,原始数据_收盘!$A$4:$G$3460,3,0),"")</f>
        <v/>
      </c>
      <c r="D3718" t="str">
        <f>IFERROR(VLOOKUP($A3718,原始数据_收盘!$A$4:$G$3460,4,0),"")</f>
        <v/>
      </c>
      <c r="E3718" t="str">
        <f>IFERROR(VLOOKUP($A3718,原始数据_收盘!$A$4:$G$3460,5,0),"")</f>
        <v/>
      </c>
      <c r="F3718" t="str">
        <f>IFERROR(VLOOKUP($A3718,原始数据_收盘!$A$4:$G$3460,6,0),"")</f>
        <v/>
      </c>
      <c r="G3718" t="str">
        <f>IFERROR(VLOOKUP($A3718,原始数据_收盘!$A$4:$G$3460,7,0),"")</f>
        <v/>
      </c>
      <c r="H3718" t="str">
        <f>IFERROR(VLOOKUP($A3718,原始数据_利率互换_FR007_1年!$A$6:$C$4395,2,0),"")</f>
        <v/>
      </c>
      <c r="I3718" t="str">
        <f>IFERROR(VLOOKUP($A3718,原始数据_利率互换_FR007_1年!$A$6:$C$4395,3,0),"")</f>
        <v/>
      </c>
    </row>
    <row r="3719" spans="1:9">
      <c r="A3719" s="6">
        <v>43212</v>
      </c>
      <c r="B3719" t="str">
        <f>IFERROR(VLOOKUP($A3719,原始数据_收盘!$A$4:$G$3460,2,0),"")</f>
        <v/>
      </c>
      <c r="C3719" t="str">
        <f>IFERROR(VLOOKUP($A3719,原始数据_收盘!$A$4:$G$3460,3,0),"")</f>
        <v/>
      </c>
      <c r="D3719" t="str">
        <f>IFERROR(VLOOKUP($A3719,原始数据_收盘!$A$4:$G$3460,4,0),"")</f>
        <v/>
      </c>
      <c r="E3719" t="str">
        <f>IFERROR(VLOOKUP($A3719,原始数据_收盘!$A$4:$G$3460,5,0),"")</f>
        <v/>
      </c>
      <c r="F3719" t="str">
        <f>IFERROR(VLOOKUP($A3719,原始数据_收盘!$A$4:$G$3460,6,0),"")</f>
        <v/>
      </c>
      <c r="G3719" t="str">
        <f>IFERROR(VLOOKUP($A3719,原始数据_收盘!$A$4:$G$3460,7,0),"")</f>
        <v/>
      </c>
      <c r="H3719" t="str">
        <f>IFERROR(VLOOKUP($A3719,原始数据_利率互换_FR007_1年!$A$6:$C$4395,2,0),"")</f>
        <v/>
      </c>
      <c r="I3719" t="str">
        <f>IFERROR(VLOOKUP($A3719,原始数据_利率互换_FR007_1年!$A$6:$C$4395,3,0),"")</f>
        <v/>
      </c>
    </row>
    <row r="3720" spans="1:9">
      <c r="A3720" s="6">
        <v>43213</v>
      </c>
      <c r="B3720">
        <f>IFERROR(VLOOKUP($A3720,原始数据_收盘!$A$4:$G$3460,2,0),"")</f>
        <v>3.238</v>
      </c>
      <c r="C3720">
        <f>IFERROR(VLOOKUP($A3720,原始数据_收盘!$A$4:$G$3460,3,0),"")</f>
        <v>3.6135</v>
      </c>
      <c r="D3720">
        <f>IFERROR(VLOOKUP($A3720,原始数据_收盘!$A$4:$G$3460,4,0),"")</f>
        <v>3.2426</v>
      </c>
      <c r="E3720">
        <f>IFERROR(VLOOKUP($A3720,原始数据_收盘!$A$4:$G$3460,5,0),"")</f>
        <v>3.6192</v>
      </c>
      <c r="F3720">
        <f>IFERROR(VLOOKUP($A3720,原始数据_收盘!$A$4:$G$3460,6,0),"")</f>
        <v>3.2403</v>
      </c>
      <c r="G3720">
        <f>IFERROR(VLOOKUP($A3720,原始数据_收盘!$A$4:$G$3460,7,0),"")</f>
        <v>3.6164</v>
      </c>
      <c r="H3720">
        <f>IFERROR(VLOOKUP($A3720,原始数据_利率互换_FR007_1年!$A$6:$C$4395,2,0),"")</f>
        <v>3.2354</v>
      </c>
      <c r="I3720">
        <f>IFERROR(VLOOKUP($A3720,原始数据_利率互换_FR007_1年!$A$6:$C$4395,3,0),"")</f>
        <v>3.5984</v>
      </c>
    </row>
    <row r="3721" spans="1:9">
      <c r="A3721" s="6">
        <v>43214</v>
      </c>
      <c r="B3721">
        <f>IFERROR(VLOOKUP($A3721,原始数据_收盘!$A$4:$G$3460,2,0),"")</f>
        <v>3.208</v>
      </c>
      <c r="C3721">
        <f>IFERROR(VLOOKUP($A3721,原始数据_收盘!$A$4:$G$3460,3,0),"")</f>
        <v>3.5688</v>
      </c>
      <c r="D3721">
        <f>IFERROR(VLOOKUP($A3721,原始数据_收盘!$A$4:$G$3460,4,0),"")</f>
        <v>3.2275</v>
      </c>
      <c r="E3721">
        <f>IFERROR(VLOOKUP($A3721,原始数据_收盘!$A$4:$G$3460,5,0),"")</f>
        <v>3.5788</v>
      </c>
      <c r="F3721">
        <f>IFERROR(VLOOKUP($A3721,原始数据_收盘!$A$4:$G$3460,6,0),"")</f>
        <v>3.2177</v>
      </c>
      <c r="G3721">
        <f>IFERROR(VLOOKUP($A3721,原始数据_收盘!$A$4:$G$3460,7,0),"")</f>
        <v>3.5738</v>
      </c>
      <c r="H3721">
        <f>IFERROR(VLOOKUP($A3721,原始数据_利率互换_FR007_1年!$A$6:$C$4395,2,0),"")</f>
        <v>3.2322</v>
      </c>
      <c r="I3721">
        <f>IFERROR(VLOOKUP($A3721,原始数据_利率互换_FR007_1年!$A$6:$C$4395,3,0),"")</f>
        <v>3.5969</v>
      </c>
    </row>
    <row r="3722" spans="1:9">
      <c r="A3722" s="6">
        <v>43215</v>
      </c>
      <c r="B3722">
        <f>IFERROR(VLOOKUP($A3722,原始数据_收盘!$A$4:$G$3460,2,0),"")</f>
        <v>3.2321</v>
      </c>
      <c r="C3722">
        <f>IFERROR(VLOOKUP($A3722,原始数据_收盘!$A$4:$G$3460,3,0),"")</f>
        <v>3.5934</v>
      </c>
      <c r="D3722">
        <f>IFERROR(VLOOKUP($A3722,原始数据_收盘!$A$4:$G$3460,4,0),"")</f>
        <v>3.238</v>
      </c>
      <c r="E3722">
        <f>IFERROR(VLOOKUP($A3722,原始数据_收盘!$A$4:$G$3460,5,0),"")</f>
        <v>3.6</v>
      </c>
      <c r="F3722">
        <f>IFERROR(VLOOKUP($A3722,原始数据_收盘!$A$4:$G$3460,6,0),"")</f>
        <v>3.2351</v>
      </c>
      <c r="G3722">
        <f>IFERROR(VLOOKUP($A3722,原始数据_收盘!$A$4:$G$3460,7,0),"")</f>
        <v>3.5967</v>
      </c>
      <c r="H3722">
        <f>IFERROR(VLOOKUP($A3722,原始数据_利率互换_FR007_1年!$A$6:$C$4395,2,0),"")</f>
        <v>3.2316</v>
      </c>
      <c r="I3722">
        <f>IFERROR(VLOOKUP($A3722,原始数据_利率互换_FR007_1年!$A$6:$C$4395,3,0),"")</f>
        <v>3.5912</v>
      </c>
    </row>
    <row r="3723" spans="1:9">
      <c r="A3723" s="6">
        <v>43216</v>
      </c>
      <c r="B3723">
        <f>IFERROR(VLOOKUP($A3723,原始数据_收盘!$A$4:$G$3460,2,0),"")</f>
        <v>3.2693</v>
      </c>
      <c r="C3723">
        <f>IFERROR(VLOOKUP($A3723,原始数据_收盘!$A$4:$G$3460,3,0),"")</f>
        <v>3.6357</v>
      </c>
      <c r="D3723">
        <f>IFERROR(VLOOKUP($A3723,原始数据_收盘!$A$4:$G$3460,4,0),"")</f>
        <v>3.275</v>
      </c>
      <c r="E3723">
        <f>IFERROR(VLOOKUP($A3723,原始数据_收盘!$A$4:$G$3460,5,0),"")</f>
        <v>3.645</v>
      </c>
      <c r="F3723">
        <f>IFERROR(VLOOKUP($A3723,原始数据_收盘!$A$4:$G$3460,6,0),"")</f>
        <v>3.2722</v>
      </c>
      <c r="G3723">
        <f>IFERROR(VLOOKUP($A3723,原始数据_收盘!$A$4:$G$3460,7,0),"")</f>
        <v>3.6403</v>
      </c>
      <c r="H3723">
        <f>IFERROR(VLOOKUP($A3723,原始数据_利率互换_FR007_1年!$A$6:$C$4395,2,0),"")</f>
        <v>3.2498</v>
      </c>
      <c r="I3723">
        <f>IFERROR(VLOOKUP($A3723,原始数据_利率互换_FR007_1年!$A$6:$C$4395,3,0),"")</f>
        <v>3.6273</v>
      </c>
    </row>
    <row r="3724" spans="1:9">
      <c r="A3724" s="6">
        <v>43217</v>
      </c>
      <c r="B3724">
        <f>IFERROR(VLOOKUP($A3724,原始数据_收盘!$A$4:$G$3460,2,0),"")</f>
        <v>3.2817</v>
      </c>
      <c r="C3724">
        <f>IFERROR(VLOOKUP($A3724,原始数据_收盘!$A$4:$G$3460,3,0),"")</f>
        <v>3.6446</v>
      </c>
      <c r="D3724">
        <f>IFERROR(VLOOKUP($A3724,原始数据_收盘!$A$4:$G$3460,4,0),"")</f>
        <v>3.2852</v>
      </c>
      <c r="E3724">
        <f>IFERROR(VLOOKUP($A3724,原始数据_收盘!$A$4:$G$3460,5,0),"")</f>
        <v>3.65</v>
      </c>
      <c r="F3724">
        <f>IFERROR(VLOOKUP($A3724,原始数据_收盘!$A$4:$G$3460,6,0),"")</f>
        <v>3.2834</v>
      </c>
      <c r="G3724">
        <f>IFERROR(VLOOKUP($A3724,原始数据_收盘!$A$4:$G$3460,7,0),"")</f>
        <v>3.6473</v>
      </c>
      <c r="H3724">
        <f>IFERROR(VLOOKUP($A3724,原始数据_利率互换_FR007_1年!$A$6:$C$4395,2,0),"")</f>
        <v>3.2745</v>
      </c>
      <c r="I3724">
        <f>IFERROR(VLOOKUP($A3724,原始数据_利率互换_FR007_1年!$A$6:$C$4395,3,0),"")</f>
        <v>3.6361</v>
      </c>
    </row>
    <row r="3725" spans="1:9">
      <c r="A3725" s="6">
        <v>43218</v>
      </c>
      <c r="B3725">
        <f>IFERROR(VLOOKUP($A3725,原始数据_收盘!$A$4:$G$3460,2,0),"")</f>
        <v>3.26</v>
      </c>
      <c r="C3725">
        <f>IFERROR(VLOOKUP($A3725,原始数据_收盘!$A$4:$G$3460,3,0),"")</f>
        <v>3.63</v>
      </c>
      <c r="D3725">
        <f>IFERROR(VLOOKUP($A3725,原始数据_收盘!$A$4:$G$3460,4,0),"")</f>
        <v>3.2775</v>
      </c>
      <c r="E3725">
        <f>IFERROR(VLOOKUP($A3725,原始数据_收盘!$A$4:$G$3460,5,0),"")</f>
        <v>3.635</v>
      </c>
      <c r="F3725">
        <f>IFERROR(VLOOKUP($A3725,原始数据_收盘!$A$4:$G$3460,6,0),"")</f>
        <v>3.2688</v>
      </c>
      <c r="G3725">
        <f>IFERROR(VLOOKUP($A3725,原始数据_收盘!$A$4:$G$3460,7,0),"")</f>
        <v>3.6325</v>
      </c>
      <c r="H3725">
        <f>IFERROR(VLOOKUP($A3725,原始数据_利率互换_FR007_1年!$A$6:$C$4395,2,0),"")</f>
        <v>3.2685</v>
      </c>
      <c r="I3725">
        <f>IFERROR(VLOOKUP($A3725,原始数据_利率互换_FR007_1年!$A$6:$C$4395,3,0),"")</f>
        <v>3.6275</v>
      </c>
    </row>
    <row r="3726" spans="1:9">
      <c r="A3726" s="6">
        <v>43219</v>
      </c>
      <c r="B3726" t="str">
        <f>IFERROR(VLOOKUP($A3726,原始数据_收盘!$A$4:$G$3460,2,0),"")</f>
        <v/>
      </c>
      <c r="C3726" t="str">
        <f>IFERROR(VLOOKUP($A3726,原始数据_收盘!$A$4:$G$3460,3,0),"")</f>
        <v/>
      </c>
      <c r="D3726" t="str">
        <f>IFERROR(VLOOKUP($A3726,原始数据_收盘!$A$4:$G$3460,4,0),"")</f>
        <v/>
      </c>
      <c r="E3726" t="str">
        <f>IFERROR(VLOOKUP($A3726,原始数据_收盘!$A$4:$G$3460,5,0),"")</f>
        <v/>
      </c>
      <c r="F3726" t="str">
        <f>IFERROR(VLOOKUP($A3726,原始数据_收盘!$A$4:$G$3460,6,0),"")</f>
        <v/>
      </c>
      <c r="G3726" t="str">
        <f>IFERROR(VLOOKUP($A3726,原始数据_收盘!$A$4:$G$3460,7,0),"")</f>
        <v/>
      </c>
      <c r="H3726" t="str">
        <f>IFERROR(VLOOKUP($A3726,原始数据_利率互换_FR007_1年!$A$6:$C$4395,2,0),"")</f>
        <v/>
      </c>
      <c r="I3726" t="str">
        <f>IFERROR(VLOOKUP($A3726,原始数据_利率互换_FR007_1年!$A$6:$C$4395,3,0),"")</f>
        <v/>
      </c>
    </row>
    <row r="3727" spans="1:9">
      <c r="A3727" s="6">
        <v>43220</v>
      </c>
      <c r="B3727" t="str">
        <f>IFERROR(VLOOKUP($A3727,原始数据_收盘!$A$4:$G$3460,2,0),"")</f>
        <v/>
      </c>
      <c r="C3727" t="str">
        <f>IFERROR(VLOOKUP($A3727,原始数据_收盘!$A$4:$G$3460,3,0),"")</f>
        <v/>
      </c>
      <c r="D3727" t="str">
        <f>IFERROR(VLOOKUP($A3727,原始数据_收盘!$A$4:$G$3460,4,0),"")</f>
        <v/>
      </c>
      <c r="E3727" t="str">
        <f>IFERROR(VLOOKUP($A3727,原始数据_收盘!$A$4:$G$3460,5,0),"")</f>
        <v/>
      </c>
      <c r="F3727" t="str">
        <f>IFERROR(VLOOKUP($A3727,原始数据_收盘!$A$4:$G$3460,6,0),"")</f>
        <v/>
      </c>
      <c r="G3727" t="str">
        <f>IFERROR(VLOOKUP($A3727,原始数据_收盘!$A$4:$G$3460,7,0),"")</f>
        <v/>
      </c>
      <c r="H3727" t="str">
        <f>IFERROR(VLOOKUP($A3727,原始数据_利率互换_FR007_1年!$A$6:$C$4395,2,0),"")</f>
        <v/>
      </c>
      <c r="I3727" t="str">
        <f>IFERROR(VLOOKUP($A3727,原始数据_利率互换_FR007_1年!$A$6:$C$4395,3,0),"")</f>
        <v/>
      </c>
    </row>
    <row r="3728" spans="1:9">
      <c r="A3728" s="6">
        <v>43221</v>
      </c>
      <c r="B3728" t="str">
        <f>IFERROR(VLOOKUP($A3728,原始数据_收盘!$A$4:$G$3460,2,0),"")</f>
        <v/>
      </c>
      <c r="C3728" t="str">
        <f>IFERROR(VLOOKUP($A3728,原始数据_收盘!$A$4:$G$3460,3,0),"")</f>
        <v/>
      </c>
      <c r="D3728" t="str">
        <f>IFERROR(VLOOKUP($A3728,原始数据_收盘!$A$4:$G$3460,4,0),"")</f>
        <v/>
      </c>
      <c r="E3728" t="str">
        <f>IFERROR(VLOOKUP($A3728,原始数据_收盘!$A$4:$G$3460,5,0),"")</f>
        <v/>
      </c>
      <c r="F3728" t="str">
        <f>IFERROR(VLOOKUP($A3728,原始数据_收盘!$A$4:$G$3460,6,0),"")</f>
        <v/>
      </c>
      <c r="G3728" t="str">
        <f>IFERROR(VLOOKUP($A3728,原始数据_收盘!$A$4:$G$3460,7,0),"")</f>
        <v/>
      </c>
      <c r="H3728" t="str">
        <f>IFERROR(VLOOKUP($A3728,原始数据_利率互换_FR007_1年!$A$6:$C$4395,2,0),"")</f>
        <v/>
      </c>
      <c r="I3728" t="str">
        <f>IFERROR(VLOOKUP($A3728,原始数据_利率互换_FR007_1年!$A$6:$C$4395,3,0),"")</f>
        <v/>
      </c>
    </row>
    <row r="3729" spans="1:9">
      <c r="A3729" s="6">
        <v>43222</v>
      </c>
      <c r="B3729">
        <f>IFERROR(VLOOKUP($A3729,原始数据_收盘!$A$4:$G$3460,2,0),"")</f>
        <v>3.2775</v>
      </c>
      <c r="C3729">
        <f>IFERROR(VLOOKUP($A3729,原始数据_收盘!$A$4:$G$3460,3,0),"")</f>
        <v>3.655</v>
      </c>
      <c r="D3729">
        <f>IFERROR(VLOOKUP($A3729,原始数据_收盘!$A$4:$G$3460,4,0),"")</f>
        <v>3.2825</v>
      </c>
      <c r="E3729">
        <f>IFERROR(VLOOKUP($A3729,原始数据_收盘!$A$4:$G$3460,5,0),"")</f>
        <v>3.66</v>
      </c>
      <c r="F3729">
        <f>IFERROR(VLOOKUP($A3729,原始数据_收盘!$A$4:$G$3460,6,0),"")</f>
        <v>3.28</v>
      </c>
      <c r="G3729">
        <f>IFERROR(VLOOKUP($A3729,原始数据_收盘!$A$4:$G$3460,7,0),"")</f>
        <v>3.6575</v>
      </c>
      <c r="H3729">
        <f>IFERROR(VLOOKUP($A3729,原始数据_利率互换_FR007_1年!$A$6:$C$4395,2,0),"")</f>
        <v>3.2797</v>
      </c>
      <c r="I3729">
        <f>IFERROR(VLOOKUP($A3729,原始数据_利率互换_FR007_1年!$A$6:$C$4395,3,0),"")</f>
        <v>3.6523</v>
      </c>
    </row>
    <row r="3730" spans="1:9">
      <c r="A3730" s="6">
        <v>43223</v>
      </c>
      <c r="B3730">
        <f>IFERROR(VLOOKUP($A3730,原始数据_收盘!$A$4:$G$3460,2,0),"")</f>
        <v>3.2303</v>
      </c>
      <c r="C3730">
        <f>IFERROR(VLOOKUP($A3730,原始数据_收盘!$A$4:$G$3460,3,0),"")</f>
        <v>3.62</v>
      </c>
      <c r="D3730">
        <f>IFERROR(VLOOKUP($A3730,原始数据_收盘!$A$4:$G$3460,4,0),"")</f>
        <v>3.235</v>
      </c>
      <c r="E3730">
        <f>IFERROR(VLOOKUP($A3730,原始数据_收盘!$A$4:$G$3460,5,0),"")</f>
        <v>3.625</v>
      </c>
      <c r="F3730">
        <f>IFERROR(VLOOKUP($A3730,原始数据_收盘!$A$4:$G$3460,6,0),"")</f>
        <v>3.2327</v>
      </c>
      <c r="G3730">
        <f>IFERROR(VLOOKUP($A3730,原始数据_收盘!$A$4:$G$3460,7,0),"")</f>
        <v>3.6225</v>
      </c>
      <c r="H3730">
        <f>IFERROR(VLOOKUP($A3730,原始数据_利率互换_FR007_1年!$A$6:$C$4395,2,0),"")</f>
        <v>3.242</v>
      </c>
      <c r="I3730">
        <f>IFERROR(VLOOKUP($A3730,原始数据_利率互换_FR007_1年!$A$6:$C$4395,3,0),"")</f>
        <v>3.6262</v>
      </c>
    </row>
    <row r="3731" spans="1:9">
      <c r="A3731" s="6">
        <v>43224</v>
      </c>
      <c r="B3731">
        <f>IFERROR(VLOOKUP($A3731,原始数据_收盘!$A$4:$G$3460,2,0),"")</f>
        <v>3.1932</v>
      </c>
      <c r="C3731">
        <f>IFERROR(VLOOKUP($A3731,原始数据_收盘!$A$4:$G$3460,3,0),"")</f>
        <v>3.5796</v>
      </c>
      <c r="D3731">
        <f>IFERROR(VLOOKUP($A3731,原始数据_收盘!$A$4:$G$3460,4,0),"")</f>
        <v>3.2022</v>
      </c>
      <c r="E3731">
        <f>IFERROR(VLOOKUP($A3731,原始数据_收盘!$A$4:$G$3460,5,0),"")</f>
        <v>3.5854</v>
      </c>
      <c r="F3731">
        <f>IFERROR(VLOOKUP($A3731,原始数据_收盘!$A$4:$G$3460,6,0),"")</f>
        <v>3.1977</v>
      </c>
      <c r="G3731">
        <f>IFERROR(VLOOKUP($A3731,原始数据_收盘!$A$4:$G$3460,7,0),"")</f>
        <v>3.5825</v>
      </c>
      <c r="H3731">
        <f>IFERROR(VLOOKUP($A3731,原始数据_利率互换_FR007_1年!$A$6:$C$4395,2,0),"")</f>
        <v>3.2093</v>
      </c>
      <c r="I3731">
        <f>IFERROR(VLOOKUP($A3731,原始数据_利率互换_FR007_1年!$A$6:$C$4395,3,0),"")</f>
        <v>3.5942</v>
      </c>
    </row>
    <row r="3732" spans="1:9">
      <c r="A3732" s="6">
        <v>43225</v>
      </c>
      <c r="B3732" t="str">
        <f>IFERROR(VLOOKUP($A3732,原始数据_收盘!$A$4:$G$3460,2,0),"")</f>
        <v/>
      </c>
      <c r="C3732" t="str">
        <f>IFERROR(VLOOKUP($A3732,原始数据_收盘!$A$4:$G$3460,3,0),"")</f>
        <v/>
      </c>
      <c r="D3732" t="str">
        <f>IFERROR(VLOOKUP($A3732,原始数据_收盘!$A$4:$G$3460,4,0),"")</f>
        <v/>
      </c>
      <c r="E3732" t="str">
        <f>IFERROR(VLOOKUP($A3732,原始数据_收盘!$A$4:$G$3460,5,0),"")</f>
        <v/>
      </c>
      <c r="F3732" t="str">
        <f>IFERROR(VLOOKUP($A3732,原始数据_收盘!$A$4:$G$3460,6,0),"")</f>
        <v/>
      </c>
      <c r="G3732" t="str">
        <f>IFERROR(VLOOKUP($A3732,原始数据_收盘!$A$4:$G$3460,7,0),"")</f>
        <v/>
      </c>
      <c r="H3732" t="str">
        <f>IFERROR(VLOOKUP($A3732,原始数据_利率互换_FR007_1年!$A$6:$C$4395,2,0),"")</f>
        <v/>
      </c>
      <c r="I3732" t="str">
        <f>IFERROR(VLOOKUP($A3732,原始数据_利率互换_FR007_1年!$A$6:$C$4395,3,0),"")</f>
        <v/>
      </c>
    </row>
    <row r="3733" spans="1:9">
      <c r="A3733" s="6">
        <v>43226</v>
      </c>
      <c r="B3733" t="str">
        <f>IFERROR(VLOOKUP($A3733,原始数据_收盘!$A$4:$G$3460,2,0),"")</f>
        <v/>
      </c>
      <c r="C3733" t="str">
        <f>IFERROR(VLOOKUP($A3733,原始数据_收盘!$A$4:$G$3460,3,0),"")</f>
        <v/>
      </c>
      <c r="D3733" t="str">
        <f>IFERROR(VLOOKUP($A3733,原始数据_收盘!$A$4:$G$3460,4,0),"")</f>
        <v/>
      </c>
      <c r="E3733" t="str">
        <f>IFERROR(VLOOKUP($A3733,原始数据_收盘!$A$4:$G$3460,5,0),"")</f>
        <v/>
      </c>
      <c r="F3733" t="str">
        <f>IFERROR(VLOOKUP($A3733,原始数据_收盘!$A$4:$G$3460,6,0),"")</f>
        <v/>
      </c>
      <c r="G3733" t="str">
        <f>IFERROR(VLOOKUP($A3733,原始数据_收盘!$A$4:$G$3460,7,0),"")</f>
        <v/>
      </c>
      <c r="H3733" t="str">
        <f>IFERROR(VLOOKUP($A3733,原始数据_利率互换_FR007_1年!$A$6:$C$4395,2,0),"")</f>
        <v/>
      </c>
      <c r="I3733" t="str">
        <f>IFERROR(VLOOKUP($A3733,原始数据_利率互换_FR007_1年!$A$6:$C$4395,3,0),"")</f>
        <v/>
      </c>
    </row>
    <row r="3734" spans="1:9">
      <c r="A3734" s="6">
        <v>43227</v>
      </c>
      <c r="B3734">
        <f>IFERROR(VLOOKUP($A3734,原始数据_收盘!$A$4:$G$3460,2,0),"")</f>
        <v>3.205</v>
      </c>
      <c r="C3734">
        <f>IFERROR(VLOOKUP($A3734,原始数据_收盘!$A$4:$G$3460,3,0),"")</f>
        <v>3.605</v>
      </c>
      <c r="D3734">
        <f>IFERROR(VLOOKUP($A3734,原始数据_收盘!$A$4:$G$3460,4,0),"")</f>
        <v>3.2075</v>
      </c>
      <c r="E3734">
        <f>IFERROR(VLOOKUP($A3734,原始数据_收盘!$A$4:$G$3460,5,0),"")</f>
        <v>3.61</v>
      </c>
      <c r="F3734">
        <f>IFERROR(VLOOKUP($A3734,原始数据_收盘!$A$4:$G$3460,6,0),"")</f>
        <v>3.2063</v>
      </c>
      <c r="G3734">
        <f>IFERROR(VLOOKUP($A3734,原始数据_收盘!$A$4:$G$3460,7,0),"")</f>
        <v>3.6075</v>
      </c>
      <c r="H3734">
        <f>IFERROR(VLOOKUP($A3734,原始数据_利率互换_FR007_1年!$A$6:$C$4395,2,0),"")</f>
        <v>3.1995</v>
      </c>
      <c r="I3734">
        <f>IFERROR(VLOOKUP($A3734,原始数据_利率互换_FR007_1年!$A$6:$C$4395,3,0),"")</f>
        <v>3.5936</v>
      </c>
    </row>
    <row r="3735" spans="1:9">
      <c r="A3735" s="6">
        <v>43228</v>
      </c>
      <c r="B3735">
        <f>IFERROR(VLOOKUP($A3735,原始数据_收盘!$A$4:$G$3460,2,0),"")</f>
        <v>3.21</v>
      </c>
      <c r="C3735">
        <f>IFERROR(VLOOKUP($A3735,原始数据_收盘!$A$4:$G$3460,3,0),"")</f>
        <v>3.6155</v>
      </c>
      <c r="D3735">
        <f>IFERROR(VLOOKUP($A3735,原始数据_收盘!$A$4:$G$3460,4,0),"")</f>
        <v>3.2186</v>
      </c>
      <c r="E3735">
        <f>IFERROR(VLOOKUP($A3735,原始数据_收盘!$A$4:$G$3460,5,0),"")</f>
        <v>3.622</v>
      </c>
      <c r="F3735">
        <f>IFERROR(VLOOKUP($A3735,原始数据_收盘!$A$4:$G$3460,6,0),"")</f>
        <v>3.2143</v>
      </c>
      <c r="G3735">
        <f>IFERROR(VLOOKUP($A3735,原始数据_收盘!$A$4:$G$3460,7,0),"")</f>
        <v>3.6188</v>
      </c>
      <c r="H3735">
        <f>IFERROR(VLOOKUP($A3735,原始数据_利率互换_FR007_1年!$A$6:$C$4395,2,0),"")</f>
        <v>3.2018</v>
      </c>
      <c r="I3735">
        <f>IFERROR(VLOOKUP($A3735,原始数据_利率互换_FR007_1年!$A$6:$C$4395,3,0),"")</f>
        <v>3.6101</v>
      </c>
    </row>
    <row r="3736" spans="1:9">
      <c r="A3736" s="6">
        <v>43229</v>
      </c>
      <c r="B3736">
        <f>IFERROR(VLOOKUP($A3736,原始数据_收盘!$A$4:$G$3460,2,0),"")</f>
        <v>3.22</v>
      </c>
      <c r="C3736">
        <f>IFERROR(VLOOKUP($A3736,原始数据_收盘!$A$4:$G$3460,3,0),"")</f>
        <v>3.6409</v>
      </c>
      <c r="D3736">
        <f>IFERROR(VLOOKUP($A3736,原始数据_收盘!$A$4:$G$3460,4,0),"")</f>
        <v>3.225</v>
      </c>
      <c r="E3736">
        <f>IFERROR(VLOOKUP($A3736,原始数据_收盘!$A$4:$G$3460,5,0),"")</f>
        <v>3.645</v>
      </c>
      <c r="F3736">
        <f>IFERROR(VLOOKUP($A3736,原始数据_收盘!$A$4:$G$3460,6,0),"")</f>
        <v>3.2225</v>
      </c>
      <c r="G3736">
        <f>IFERROR(VLOOKUP($A3736,原始数据_收盘!$A$4:$G$3460,7,0),"")</f>
        <v>3.6429</v>
      </c>
      <c r="H3736">
        <f>IFERROR(VLOOKUP($A3736,原始数据_利率互换_FR007_1年!$A$6:$C$4395,2,0),"")</f>
        <v>3.2201</v>
      </c>
      <c r="I3736">
        <f>IFERROR(VLOOKUP($A3736,原始数据_利率互换_FR007_1年!$A$6:$C$4395,3,0),"")</f>
        <v>3.6406</v>
      </c>
    </row>
    <row r="3737" spans="1:9">
      <c r="A3737" s="6">
        <v>43230</v>
      </c>
      <c r="B3737">
        <f>IFERROR(VLOOKUP($A3737,原始数据_收盘!$A$4:$G$3460,2,0),"")</f>
        <v>3.22</v>
      </c>
      <c r="C3737">
        <f>IFERROR(VLOOKUP($A3737,原始数据_收盘!$A$4:$G$3460,3,0),"")</f>
        <v>3.6368</v>
      </c>
      <c r="D3737">
        <f>IFERROR(VLOOKUP($A3737,原始数据_收盘!$A$4:$G$3460,4,0),"")</f>
        <v>3.2237</v>
      </c>
      <c r="E3737">
        <f>IFERROR(VLOOKUP($A3737,原始数据_收盘!$A$4:$G$3460,5,0),"")</f>
        <v>3.6396</v>
      </c>
      <c r="F3737">
        <f>IFERROR(VLOOKUP($A3737,原始数据_收盘!$A$4:$G$3460,6,0),"")</f>
        <v>3.2218</v>
      </c>
      <c r="G3737">
        <f>IFERROR(VLOOKUP($A3737,原始数据_收盘!$A$4:$G$3460,7,0),"")</f>
        <v>3.6382</v>
      </c>
      <c r="H3737">
        <f>IFERROR(VLOOKUP($A3737,原始数据_利率互换_FR007_1年!$A$6:$C$4395,2,0),"")</f>
        <v>3.2274</v>
      </c>
      <c r="I3737">
        <f>IFERROR(VLOOKUP($A3737,原始数据_利率互换_FR007_1年!$A$6:$C$4395,3,0),"")</f>
        <v>3.6442</v>
      </c>
    </row>
    <row r="3738" spans="1:9">
      <c r="A3738" s="6">
        <v>43231</v>
      </c>
      <c r="B3738">
        <f>IFERROR(VLOOKUP($A3738,原始数据_收盘!$A$4:$G$3460,2,0),"")</f>
        <v>3.2148</v>
      </c>
      <c r="C3738">
        <f>IFERROR(VLOOKUP($A3738,原始数据_收盘!$A$4:$G$3460,3,0),"")</f>
        <v>3.6275</v>
      </c>
      <c r="D3738">
        <f>IFERROR(VLOOKUP($A3738,原始数据_收盘!$A$4:$G$3460,4,0),"")</f>
        <v>3.2171</v>
      </c>
      <c r="E3738">
        <f>IFERROR(VLOOKUP($A3738,原始数据_收盘!$A$4:$G$3460,5,0),"")</f>
        <v>3.6302</v>
      </c>
      <c r="F3738">
        <f>IFERROR(VLOOKUP($A3738,原始数据_收盘!$A$4:$G$3460,6,0),"")</f>
        <v>3.2159</v>
      </c>
      <c r="G3738">
        <f>IFERROR(VLOOKUP($A3738,原始数据_收盘!$A$4:$G$3460,7,0),"")</f>
        <v>3.6288</v>
      </c>
      <c r="H3738">
        <f>IFERROR(VLOOKUP($A3738,原始数据_利率互换_FR007_1年!$A$6:$C$4395,2,0),"")</f>
        <v>3.2144</v>
      </c>
      <c r="I3738">
        <f>IFERROR(VLOOKUP($A3738,原始数据_利率互换_FR007_1年!$A$6:$C$4395,3,0),"")</f>
        <v>3.6223</v>
      </c>
    </row>
    <row r="3739" spans="1:9">
      <c r="A3739" s="6">
        <v>43232</v>
      </c>
      <c r="B3739" t="str">
        <f>IFERROR(VLOOKUP($A3739,原始数据_收盘!$A$4:$G$3460,2,0),"")</f>
        <v/>
      </c>
      <c r="C3739" t="str">
        <f>IFERROR(VLOOKUP($A3739,原始数据_收盘!$A$4:$G$3460,3,0),"")</f>
        <v/>
      </c>
      <c r="D3739" t="str">
        <f>IFERROR(VLOOKUP($A3739,原始数据_收盘!$A$4:$G$3460,4,0),"")</f>
        <v/>
      </c>
      <c r="E3739" t="str">
        <f>IFERROR(VLOOKUP($A3739,原始数据_收盘!$A$4:$G$3460,5,0),"")</f>
        <v/>
      </c>
      <c r="F3739" t="str">
        <f>IFERROR(VLOOKUP($A3739,原始数据_收盘!$A$4:$G$3460,6,0),"")</f>
        <v/>
      </c>
      <c r="G3739" t="str">
        <f>IFERROR(VLOOKUP($A3739,原始数据_收盘!$A$4:$G$3460,7,0),"")</f>
        <v/>
      </c>
      <c r="H3739" t="str">
        <f>IFERROR(VLOOKUP($A3739,原始数据_利率互换_FR007_1年!$A$6:$C$4395,2,0),"")</f>
        <v/>
      </c>
      <c r="I3739" t="str">
        <f>IFERROR(VLOOKUP($A3739,原始数据_利率互换_FR007_1年!$A$6:$C$4395,3,0),"")</f>
        <v/>
      </c>
    </row>
    <row r="3740" spans="1:9">
      <c r="A3740" s="6">
        <v>43233</v>
      </c>
      <c r="B3740" t="str">
        <f>IFERROR(VLOOKUP($A3740,原始数据_收盘!$A$4:$G$3460,2,0),"")</f>
        <v/>
      </c>
      <c r="C3740" t="str">
        <f>IFERROR(VLOOKUP($A3740,原始数据_收盘!$A$4:$G$3460,3,0),"")</f>
        <v/>
      </c>
      <c r="D3740" t="str">
        <f>IFERROR(VLOOKUP($A3740,原始数据_收盘!$A$4:$G$3460,4,0),"")</f>
        <v/>
      </c>
      <c r="E3740" t="str">
        <f>IFERROR(VLOOKUP($A3740,原始数据_收盘!$A$4:$G$3460,5,0),"")</f>
        <v/>
      </c>
      <c r="F3740" t="str">
        <f>IFERROR(VLOOKUP($A3740,原始数据_收盘!$A$4:$G$3460,6,0),"")</f>
        <v/>
      </c>
      <c r="G3740" t="str">
        <f>IFERROR(VLOOKUP($A3740,原始数据_收盘!$A$4:$G$3460,7,0),"")</f>
        <v/>
      </c>
      <c r="H3740" t="str">
        <f>IFERROR(VLOOKUP($A3740,原始数据_利率互换_FR007_1年!$A$6:$C$4395,2,0),"")</f>
        <v/>
      </c>
      <c r="I3740" t="str">
        <f>IFERROR(VLOOKUP($A3740,原始数据_利率互换_FR007_1年!$A$6:$C$4395,3,0),"")</f>
        <v/>
      </c>
    </row>
    <row r="3741" spans="1:9">
      <c r="A3741" s="6">
        <v>43234</v>
      </c>
      <c r="B3741">
        <f>IFERROR(VLOOKUP($A3741,原始数据_收盘!$A$4:$G$3460,2,0),"")</f>
        <v>3.225</v>
      </c>
      <c r="C3741">
        <f>IFERROR(VLOOKUP($A3741,原始数据_收盘!$A$4:$G$3460,3,0),"")</f>
        <v>3.635</v>
      </c>
      <c r="D3741">
        <f>IFERROR(VLOOKUP($A3741,原始数据_收盘!$A$4:$G$3460,4,0),"")</f>
        <v>3.2275</v>
      </c>
      <c r="E3741">
        <f>IFERROR(VLOOKUP($A3741,原始数据_收盘!$A$4:$G$3460,5,0),"")</f>
        <v>3.64</v>
      </c>
      <c r="F3741">
        <f>IFERROR(VLOOKUP($A3741,原始数据_收盘!$A$4:$G$3460,6,0),"")</f>
        <v>3.2263</v>
      </c>
      <c r="G3741">
        <f>IFERROR(VLOOKUP($A3741,原始数据_收盘!$A$4:$G$3460,7,0),"")</f>
        <v>3.6375</v>
      </c>
      <c r="H3741">
        <f>IFERROR(VLOOKUP($A3741,原始数据_利率互换_FR007_1年!$A$6:$C$4395,2,0),"")</f>
        <v>3.2202</v>
      </c>
      <c r="I3741">
        <f>IFERROR(VLOOKUP($A3741,原始数据_利率互换_FR007_1年!$A$6:$C$4395,3,0),"")</f>
        <v>3.6283</v>
      </c>
    </row>
    <row r="3742" spans="1:9">
      <c r="A3742" s="6">
        <v>43235</v>
      </c>
      <c r="B3742">
        <f>IFERROR(VLOOKUP($A3742,原始数据_收盘!$A$4:$G$3460,2,0),"")</f>
        <v>3.2391</v>
      </c>
      <c r="C3742">
        <f>IFERROR(VLOOKUP($A3742,原始数据_收盘!$A$4:$G$3460,3,0),"")</f>
        <v>3.6494</v>
      </c>
      <c r="D3742">
        <f>IFERROR(VLOOKUP($A3742,原始数据_收盘!$A$4:$G$3460,4,0),"")</f>
        <v>3.2443</v>
      </c>
      <c r="E3742">
        <f>IFERROR(VLOOKUP($A3742,原始数据_收盘!$A$4:$G$3460,5,0),"")</f>
        <v>3.6538</v>
      </c>
      <c r="F3742">
        <f>IFERROR(VLOOKUP($A3742,原始数据_收盘!$A$4:$G$3460,6,0),"")</f>
        <v>3.2417</v>
      </c>
      <c r="G3742">
        <f>IFERROR(VLOOKUP($A3742,原始数据_收盘!$A$4:$G$3460,7,0),"")</f>
        <v>3.6516</v>
      </c>
      <c r="H3742">
        <f>IFERROR(VLOOKUP($A3742,原始数据_利率互换_FR007_1年!$A$6:$C$4395,2,0),"")</f>
        <v>3.239</v>
      </c>
      <c r="I3742">
        <f>IFERROR(VLOOKUP($A3742,原始数据_利率互换_FR007_1年!$A$6:$C$4395,3,0),"")</f>
        <v>3.6509</v>
      </c>
    </row>
    <row r="3743" spans="1:9">
      <c r="A3743" s="6">
        <v>43236</v>
      </c>
      <c r="B3743">
        <f>IFERROR(VLOOKUP($A3743,原始数据_收盘!$A$4:$G$3460,2,0),"")</f>
        <v>3.2413</v>
      </c>
      <c r="C3743">
        <f>IFERROR(VLOOKUP($A3743,原始数据_收盘!$A$4:$G$3460,3,0),"")</f>
        <v>3.6436</v>
      </c>
      <c r="D3743">
        <f>IFERROR(VLOOKUP($A3743,原始数据_收盘!$A$4:$G$3460,4,0),"")</f>
        <v>3.2469</v>
      </c>
      <c r="E3743">
        <f>IFERROR(VLOOKUP($A3743,原始数据_收盘!$A$4:$G$3460,5,0),"")</f>
        <v>3.6508</v>
      </c>
      <c r="F3743">
        <f>IFERROR(VLOOKUP($A3743,原始数据_收盘!$A$4:$G$3460,6,0),"")</f>
        <v>3.2441</v>
      </c>
      <c r="G3743">
        <f>IFERROR(VLOOKUP($A3743,原始数据_收盘!$A$4:$G$3460,7,0),"")</f>
        <v>3.6472</v>
      </c>
      <c r="H3743">
        <f>IFERROR(VLOOKUP($A3743,原始数据_利率互换_FR007_1年!$A$6:$C$4395,2,0),"")</f>
        <v>3.2493</v>
      </c>
      <c r="I3743">
        <f>IFERROR(VLOOKUP($A3743,原始数据_利率互换_FR007_1年!$A$6:$C$4395,3,0),"")</f>
        <v>3.6626</v>
      </c>
    </row>
    <row r="3744" spans="1:9">
      <c r="A3744" s="6">
        <v>43237</v>
      </c>
      <c r="B3744">
        <f>IFERROR(VLOOKUP($A3744,原始数据_收盘!$A$4:$G$3460,2,0),"")</f>
        <v>3.22</v>
      </c>
      <c r="C3744">
        <f>IFERROR(VLOOKUP($A3744,原始数据_收盘!$A$4:$G$3460,3,0),"")</f>
        <v>3.6646</v>
      </c>
      <c r="D3744">
        <f>IFERROR(VLOOKUP($A3744,原始数据_收盘!$A$4:$G$3460,4,0),"")</f>
        <v>3.2251</v>
      </c>
      <c r="E3744">
        <f>IFERROR(VLOOKUP($A3744,原始数据_收盘!$A$4:$G$3460,5,0),"")</f>
        <v>3.67</v>
      </c>
      <c r="F3744">
        <f>IFERROR(VLOOKUP($A3744,原始数据_收盘!$A$4:$G$3460,6,0),"")</f>
        <v>3.2226</v>
      </c>
      <c r="G3744">
        <f>IFERROR(VLOOKUP($A3744,原始数据_收盘!$A$4:$G$3460,7,0),"")</f>
        <v>3.6673</v>
      </c>
      <c r="H3744">
        <f>IFERROR(VLOOKUP($A3744,原始数据_利率互换_FR007_1年!$A$6:$C$4395,2,0),"")</f>
        <v>3.2236</v>
      </c>
      <c r="I3744">
        <f>IFERROR(VLOOKUP($A3744,原始数据_利率互换_FR007_1年!$A$6:$C$4395,3,0),"")</f>
        <v>3.6507</v>
      </c>
    </row>
    <row r="3745" spans="1:9">
      <c r="A3745" s="6">
        <v>43238</v>
      </c>
      <c r="B3745">
        <f>IFERROR(VLOOKUP($A3745,原始数据_收盘!$A$4:$G$3460,2,0),"")</f>
        <v>3.2075</v>
      </c>
      <c r="C3745">
        <f>IFERROR(VLOOKUP($A3745,原始数据_收盘!$A$4:$G$3460,3,0),"")</f>
        <v>3.6531</v>
      </c>
      <c r="D3745">
        <f>IFERROR(VLOOKUP($A3745,原始数据_收盘!$A$4:$G$3460,4,0),"")</f>
        <v>3.21</v>
      </c>
      <c r="E3745">
        <f>IFERROR(VLOOKUP($A3745,原始数据_收盘!$A$4:$G$3460,5,0),"")</f>
        <v>3.6562</v>
      </c>
      <c r="F3745">
        <f>IFERROR(VLOOKUP($A3745,原始数据_收盘!$A$4:$G$3460,6,0),"")</f>
        <v>3.2088</v>
      </c>
      <c r="G3745">
        <f>IFERROR(VLOOKUP($A3745,原始数据_收盘!$A$4:$G$3460,7,0),"")</f>
        <v>3.6546</v>
      </c>
      <c r="H3745">
        <f>IFERROR(VLOOKUP($A3745,原始数据_利率互换_FR007_1年!$A$6:$C$4395,2,0),"")</f>
        <v>3.2092</v>
      </c>
      <c r="I3745">
        <f>IFERROR(VLOOKUP($A3745,原始数据_利率互换_FR007_1年!$A$6:$C$4395,3,0),"")</f>
        <v>3.6571</v>
      </c>
    </row>
    <row r="3746" spans="1:9">
      <c r="A3746" s="6">
        <v>43239</v>
      </c>
      <c r="B3746" t="str">
        <f>IFERROR(VLOOKUP($A3746,原始数据_收盘!$A$4:$G$3460,2,0),"")</f>
        <v/>
      </c>
      <c r="C3746" t="str">
        <f>IFERROR(VLOOKUP($A3746,原始数据_收盘!$A$4:$G$3460,3,0),"")</f>
        <v/>
      </c>
      <c r="D3746" t="str">
        <f>IFERROR(VLOOKUP($A3746,原始数据_收盘!$A$4:$G$3460,4,0),"")</f>
        <v/>
      </c>
      <c r="E3746" t="str">
        <f>IFERROR(VLOOKUP($A3746,原始数据_收盘!$A$4:$G$3460,5,0),"")</f>
        <v/>
      </c>
      <c r="F3746" t="str">
        <f>IFERROR(VLOOKUP($A3746,原始数据_收盘!$A$4:$G$3460,6,0),"")</f>
        <v/>
      </c>
      <c r="G3746" t="str">
        <f>IFERROR(VLOOKUP($A3746,原始数据_收盘!$A$4:$G$3460,7,0),"")</f>
        <v/>
      </c>
      <c r="H3746" t="str">
        <f>IFERROR(VLOOKUP($A3746,原始数据_利率互换_FR007_1年!$A$6:$C$4395,2,0),"")</f>
        <v/>
      </c>
      <c r="I3746" t="str">
        <f>IFERROR(VLOOKUP($A3746,原始数据_利率互换_FR007_1年!$A$6:$C$4395,3,0),"")</f>
        <v/>
      </c>
    </row>
    <row r="3747" spans="1:9">
      <c r="A3747" s="6">
        <v>43240</v>
      </c>
      <c r="B3747" t="str">
        <f>IFERROR(VLOOKUP($A3747,原始数据_收盘!$A$4:$G$3460,2,0),"")</f>
        <v/>
      </c>
      <c r="C3747" t="str">
        <f>IFERROR(VLOOKUP($A3747,原始数据_收盘!$A$4:$G$3460,3,0),"")</f>
        <v/>
      </c>
      <c r="D3747" t="str">
        <f>IFERROR(VLOOKUP($A3747,原始数据_收盘!$A$4:$G$3460,4,0),"")</f>
        <v/>
      </c>
      <c r="E3747" t="str">
        <f>IFERROR(VLOOKUP($A3747,原始数据_收盘!$A$4:$G$3460,5,0),"")</f>
        <v/>
      </c>
      <c r="F3747" t="str">
        <f>IFERROR(VLOOKUP($A3747,原始数据_收盘!$A$4:$G$3460,6,0),"")</f>
        <v/>
      </c>
      <c r="G3747" t="str">
        <f>IFERROR(VLOOKUP($A3747,原始数据_收盘!$A$4:$G$3460,7,0),"")</f>
        <v/>
      </c>
      <c r="H3747" t="str">
        <f>IFERROR(VLOOKUP($A3747,原始数据_利率互换_FR007_1年!$A$6:$C$4395,2,0),"")</f>
        <v/>
      </c>
      <c r="I3747" t="str">
        <f>IFERROR(VLOOKUP($A3747,原始数据_利率互换_FR007_1年!$A$6:$C$4395,3,0),"")</f>
        <v/>
      </c>
    </row>
    <row r="3748" spans="1:9">
      <c r="A3748" s="6">
        <v>43241</v>
      </c>
      <c r="B3748">
        <f>IFERROR(VLOOKUP($A3748,原始数据_收盘!$A$4:$G$3460,2,0),"")</f>
        <v>3.1975</v>
      </c>
      <c r="C3748">
        <f>IFERROR(VLOOKUP($A3748,原始数据_收盘!$A$4:$G$3460,3,0),"")</f>
        <v>3.6346</v>
      </c>
      <c r="D3748">
        <f>IFERROR(VLOOKUP($A3748,原始数据_收盘!$A$4:$G$3460,4,0),"")</f>
        <v>3.2</v>
      </c>
      <c r="E3748">
        <f>IFERROR(VLOOKUP($A3748,原始数据_收盘!$A$4:$G$3460,5,0),"")</f>
        <v>3.6375</v>
      </c>
      <c r="F3748">
        <f>IFERROR(VLOOKUP($A3748,原始数据_收盘!$A$4:$G$3460,6,0),"")</f>
        <v>3.1988</v>
      </c>
      <c r="G3748">
        <f>IFERROR(VLOOKUP($A3748,原始数据_收盘!$A$4:$G$3460,7,0),"")</f>
        <v>3.636</v>
      </c>
      <c r="H3748">
        <f>IFERROR(VLOOKUP($A3748,原始数据_利率互换_FR007_1年!$A$6:$C$4395,2,0),"")</f>
        <v>3.2016</v>
      </c>
      <c r="I3748">
        <f>IFERROR(VLOOKUP($A3748,原始数据_利率互换_FR007_1年!$A$6:$C$4395,3,0),"")</f>
        <v>3.639</v>
      </c>
    </row>
    <row r="3749" spans="1:9">
      <c r="A3749" s="6">
        <v>43242</v>
      </c>
      <c r="B3749">
        <f>IFERROR(VLOOKUP($A3749,原始数据_收盘!$A$4:$G$3460,2,0),"")</f>
        <v>3.1903</v>
      </c>
      <c r="C3749">
        <f>IFERROR(VLOOKUP($A3749,原始数据_收盘!$A$4:$G$3460,3,0),"")</f>
        <v>3.6168</v>
      </c>
      <c r="D3749">
        <f>IFERROR(VLOOKUP($A3749,原始数据_收盘!$A$4:$G$3460,4,0),"")</f>
        <v>3.195</v>
      </c>
      <c r="E3749">
        <f>IFERROR(VLOOKUP($A3749,原始数据_收盘!$A$4:$G$3460,5,0),"")</f>
        <v>3.62</v>
      </c>
      <c r="F3749">
        <f>IFERROR(VLOOKUP($A3749,原始数据_收盘!$A$4:$G$3460,6,0),"")</f>
        <v>3.1927</v>
      </c>
      <c r="G3749">
        <f>IFERROR(VLOOKUP($A3749,原始数据_收盘!$A$4:$G$3460,7,0),"")</f>
        <v>3.6184</v>
      </c>
      <c r="H3749">
        <f>IFERROR(VLOOKUP($A3749,原始数据_利率互换_FR007_1年!$A$6:$C$4395,2,0),"")</f>
        <v>3.1977</v>
      </c>
      <c r="I3749">
        <f>IFERROR(VLOOKUP($A3749,原始数据_利率互换_FR007_1年!$A$6:$C$4395,3,0),"")</f>
        <v>3.6263</v>
      </c>
    </row>
    <row r="3750" spans="1:9">
      <c r="A3750" s="6">
        <v>43243</v>
      </c>
      <c r="B3750">
        <f>IFERROR(VLOOKUP($A3750,原始数据_收盘!$A$4:$G$3460,2,0),"")</f>
        <v>3.18</v>
      </c>
      <c r="C3750">
        <f>IFERROR(VLOOKUP($A3750,原始数据_收盘!$A$4:$G$3460,3,0),"")</f>
        <v>3.5934</v>
      </c>
      <c r="D3750">
        <f>IFERROR(VLOOKUP($A3750,原始数据_收盘!$A$4:$G$3460,4,0),"")</f>
        <v>3.1902</v>
      </c>
      <c r="E3750">
        <f>IFERROR(VLOOKUP($A3750,原始数据_收盘!$A$4:$G$3460,5,0),"")</f>
        <v>3.6</v>
      </c>
      <c r="F3750">
        <f>IFERROR(VLOOKUP($A3750,原始数据_收盘!$A$4:$G$3460,6,0),"")</f>
        <v>3.1851</v>
      </c>
      <c r="G3750">
        <f>IFERROR(VLOOKUP($A3750,原始数据_收盘!$A$4:$G$3460,7,0),"")</f>
        <v>3.5967</v>
      </c>
      <c r="H3750">
        <f>IFERROR(VLOOKUP($A3750,原始数据_利率互换_FR007_1年!$A$6:$C$4395,2,0),"")</f>
        <v>3.1962</v>
      </c>
      <c r="I3750">
        <f>IFERROR(VLOOKUP($A3750,原始数据_利率互换_FR007_1年!$A$6:$C$4395,3,0),"")</f>
        <v>3.6164</v>
      </c>
    </row>
    <row r="3751" spans="1:9">
      <c r="A3751" s="6">
        <v>43244</v>
      </c>
      <c r="B3751">
        <f>IFERROR(VLOOKUP($A3751,原始数据_收盘!$A$4:$G$3460,2,0),"")</f>
        <v>3.18</v>
      </c>
      <c r="C3751">
        <f>IFERROR(VLOOKUP($A3751,原始数据_收盘!$A$4:$G$3460,3,0),"")</f>
        <v>3.6</v>
      </c>
      <c r="D3751">
        <f>IFERROR(VLOOKUP($A3751,原始数据_收盘!$A$4:$G$3460,4,0),"")</f>
        <v>3.185</v>
      </c>
      <c r="E3751">
        <f>IFERROR(VLOOKUP($A3751,原始数据_收盘!$A$4:$G$3460,5,0),"")</f>
        <v>3.6025</v>
      </c>
      <c r="F3751">
        <f>IFERROR(VLOOKUP($A3751,原始数据_收盘!$A$4:$G$3460,6,0),"")</f>
        <v>3.1825</v>
      </c>
      <c r="G3751">
        <f>IFERROR(VLOOKUP($A3751,原始数据_收盘!$A$4:$G$3460,7,0),"")</f>
        <v>3.6013</v>
      </c>
      <c r="H3751">
        <f>IFERROR(VLOOKUP($A3751,原始数据_利率互换_FR007_1年!$A$6:$C$4395,2,0),"")</f>
        <v>3.185</v>
      </c>
      <c r="I3751">
        <f>IFERROR(VLOOKUP($A3751,原始数据_利率互换_FR007_1年!$A$6:$C$4395,3,0),"")</f>
        <v>3.5992</v>
      </c>
    </row>
    <row r="3752" spans="1:9">
      <c r="A3752" s="6">
        <v>43245</v>
      </c>
      <c r="B3752">
        <f>IFERROR(VLOOKUP($A3752,原始数据_收盘!$A$4:$G$3460,2,0),"")</f>
        <v>3.185</v>
      </c>
      <c r="C3752">
        <f>IFERROR(VLOOKUP($A3752,原始数据_收盘!$A$4:$G$3460,3,0),"")</f>
        <v>3.585</v>
      </c>
      <c r="D3752">
        <f>IFERROR(VLOOKUP($A3752,原始数据_收盘!$A$4:$G$3460,4,0),"")</f>
        <v>3.19</v>
      </c>
      <c r="E3752">
        <f>IFERROR(VLOOKUP($A3752,原始数据_收盘!$A$4:$G$3460,5,0),"")</f>
        <v>3.59</v>
      </c>
      <c r="F3752">
        <f>IFERROR(VLOOKUP($A3752,原始数据_收盘!$A$4:$G$3460,6,0),"")</f>
        <v>3.1875</v>
      </c>
      <c r="G3752">
        <f>IFERROR(VLOOKUP($A3752,原始数据_收盘!$A$4:$G$3460,7,0),"")</f>
        <v>3.5875</v>
      </c>
      <c r="H3752">
        <f>IFERROR(VLOOKUP($A3752,原始数据_利率互换_FR007_1年!$A$6:$C$4395,2,0),"")</f>
        <v>3.1964</v>
      </c>
      <c r="I3752">
        <f>IFERROR(VLOOKUP($A3752,原始数据_利率互换_FR007_1年!$A$6:$C$4395,3,0),"")</f>
        <v>3.6039</v>
      </c>
    </row>
    <row r="3753" spans="1:9">
      <c r="A3753" s="6">
        <v>43246</v>
      </c>
      <c r="B3753" t="str">
        <f>IFERROR(VLOOKUP($A3753,原始数据_收盘!$A$4:$G$3460,2,0),"")</f>
        <v/>
      </c>
      <c r="C3753" t="str">
        <f>IFERROR(VLOOKUP($A3753,原始数据_收盘!$A$4:$G$3460,3,0),"")</f>
        <v/>
      </c>
      <c r="D3753" t="str">
        <f>IFERROR(VLOOKUP($A3753,原始数据_收盘!$A$4:$G$3460,4,0),"")</f>
        <v/>
      </c>
      <c r="E3753" t="str">
        <f>IFERROR(VLOOKUP($A3753,原始数据_收盘!$A$4:$G$3460,5,0),"")</f>
        <v/>
      </c>
      <c r="F3753" t="str">
        <f>IFERROR(VLOOKUP($A3753,原始数据_收盘!$A$4:$G$3460,6,0),"")</f>
        <v/>
      </c>
      <c r="G3753" t="str">
        <f>IFERROR(VLOOKUP($A3753,原始数据_收盘!$A$4:$G$3460,7,0),"")</f>
        <v/>
      </c>
      <c r="H3753" t="str">
        <f>IFERROR(VLOOKUP($A3753,原始数据_利率互换_FR007_1年!$A$6:$C$4395,2,0),"")</f>
        <v/>
      </c>
      <c r="I3753" t="str">
        <f>IFERROR(VLOOKUP($A3753,原始数据_利率互换_FR007_1年!$A$6:$C$4395,3,0),"")</f>
        <v/>
      </c>
    </row>
    <row r="3754" spans="1:9">
      <c r="A3754" s="6">
        <v>43247</v>
      </c>
      <c r="B3754" t="str">
        <f>IFERROR(VLOOKUP($A3754,原始数据_收盘!$A$4:$G$3460,2,0),"")</f>
        <v/>
      </c>
      <c r="C3754" t="str">
        <f>IFERROR(VLOOKUP($A3754,原始数据_收盘!$A$4:$G$3460,3,0),"")</f>
        <v/>
      </c>
      <c r="D3754" t="str">
        <f>IFERROR(VLOOKUP($A3754,原始数据_收盘!$A$4:$G$3460,4,0),"")</f>
        <v/>
      </c>
      <c r="E3754" t="str">
        <f>IFERROR(VLOOKUP($A3754,原始数据_收盘!$A$4:$G$3460,5,0),"")</f>
        <v/>
      </c>
      <c r="F3754" t="str">
        <f>IFERROR(VLOOKUP($A3754,原始数据_收盘!$A$4:$G$3460,6,0),"")</f>
        <v/>
      </c>
      <c r="G3754" t="str">
        <f>IFERROR(VLOOKUP($A3754,原始数据_收盘!$A$4:$G$3460,7,0),"")</f>
        <v/>
      </c>
      <c r="H3754" t="str">
        <f>IFERROR(VLOOKUP($A3754,原始数据_利率互换_FR007_1年!$A$6:$C$4395,2,0),"")</f>
        <v/>
      </c>
      <c r="I3754" t="str">
        <f>IFERROR(VLOOKUP($A3754,原始数据_利率互换_FR007_1年!$A$6:$C$4395,3,0),"")</f>
        <v/>
      </c>
    </row>
    <row r="3755" spans="1:9">
      <c r="A3755" s="6">
        <v>43248</v>
      </c>
      <c r="B3755">
        <f>IFERROR(VLOOKUP($A3755,原始数据_收盘!$A$4:$G$3460,2,0),"")</f>
        <v>3.1965</v>
      </c>
      <c r="C3755">
        <f>IFERROR(VLOOKUP($A3755,原始数据_收盘!$A$4:$G$3460,3,0),"")</f>
        <v>3.605</v>
      </c>
      <c r="D3755">
        <f>IFERROR(VLOOKUP($A3755,原始数据_收盘!$A$4:$G$3460,4,0),"")</f>
        <v>3.2</v>
      </c>
      <c r="E3755">
        <f>IFERROR(VLOOKUP($A3755,原始数据_收盘!$A$4:$G$3460,5,0),"")</f>
        <v>3.6075</v>
      </c>
      <c r="F3755">
        <f>IFERROR(VLOOKUP($A3755,原始数据_收盘!$A$4:$G$3460,6,0),"")</f>
        <v>3.1983</v>
      </c>
      <c r="G3755">
        <f>IFERROR(VLOOKUP($A3755,原始数据_收盘!$A$4:$G$3460,7,0),"")</f>
        <v>3.6063</v>
      </c>
      <c r="H3755">
        <f>IFERROR(VLOOKUP($A3755,原始数据_利率互换_FR007_1年!$A$6:$C$4395,2,0),"")</f>
        <v>3.1943</v>
      </c>
      <c r="I3755">
        <f>IFERROR(VLOOKUP($A3755,原始数据_利率互换_FR007_1年!$A$6:$C$4395,3,0),"")</f>
        <v>3.5964</v>
      </c>
    </row>
    <row r="3756" spans="1:9">
      <c r="A3756" s="6">
        <v>43249</v>
      </c>
      <c r="B3756">
        <f>IFERROR(VLOOKUP($A3756,原始数据_收盘!$A$4:$G$3460,2,0),"")</f>
        <v>3.1962</v>
      </c>
      <c r="C3756">
        <f>IFERROR(VLOOKUP($A3756,原始数据_收盘!$A$4:$G$3460,3,0),"")</f>
        <v>3.6018</v>
      </c>
      <c r="D3756">
        <f>IFERROR(VLOOKUP($A3756,原始数据_收盘!$A$4:$G$3460,4,0),"")</f>
        <v>3.2022</v>
      </c>
      <c r="E3756">
        <f>IFERROR(VLOOKUP($A3756,原始数据_收盘!$A$4:$G$3460,5,0),"")</f>
        <v>3.6038</v>
      </c>
      <c r="F3756">
        <f>IFERROR(VLOOKUP($A3756,原始数据_收盘!$A$4:$G$3460,6,0),"")</f>
        <v>3.1992</v>
      </c>
      <c r="G3756">
        <f>IFERROR(VLOOKUP($A3756,原始数据_收盘!$A$4:$G$3460,7,0),"")</f>
        <v>3.6028</v>
      </c>
      <c r="H3756">
        <f>IFERROR(VLOOKUP($A3756,原始数据_利率互换_FR007_1年!$A$6:$C$4395,2,0),"")</f>
        <v>3.2032</v>
      </c>
      <c r="I3756">
        <f>IFERROR(VLOOKUP($A3756,原始数据_利率互换_FR007_1年!$A$6:$C$4395,3,0),"")</f>
        <v>3.6105</v>
      </c>
    </row>
    <row r="3757" spans="1:9">
      <c r="A3757" s="6">
        <v>43250</v>
      </c>
      <c r="B3757">
        <f>IFERROR(VLOOKUP($A3757,原始数据_收盘!$A$4:$G$3460,2,0),"")</f>
        <v>3.2075</v>
      </c>
      <c r="C3757">
        <f>IFERROR(VLOOKUP($A3757,原始数据_收盘!$A$4:$G$3460,3,0),"")</f>
        <v>3.605</v>
      </c>
      <c r="D3757">
        <f>IFERROR(VLOOKUP($A3757,原始数据_收盘!$A$4:$G$3460,4,0),"")</f>
        <v>3.2175</v>
      </c>
      <c r="E3757">
        <f>IFERROR(VLOOKUP($A3757,原始数据_收盘!$A$4:$G$3460,5,0),"")</f>
        <v>3.6075</v>
      </c>
      <c r="F3757">
        <f>IFERROR(VLOOKUP($A3757,原始数据_收盘!$A$4:$G$3460,6,0),"")</f>
        <v>3.2125</v>
      </c>
      <c r="G3757">
        <f>IFERROR(VLOOKUP($A3757,原始数据_收盘!$A$4:$G$3460,7,0),"")</f>
        <v>3.6063</v>
      </c>
      <c r="H3757">
        <f>IFERROR(VLOOKUP($A3757,原始数据_利率互换_FR007_1年!$A$6:$C$4395,2,0),"")</f>
        <v>3.2023</v>
      </c>
      <c r="I3757">
        <f>IFERROR(VLOOKUP($A3757,原始数据_利率互换_FR007_1年!$A$6:$C$4395,3,0),"")</f>
        <v>3.5996</v>
      </c>
    </row>
    <row r="3758" spans="1:9">
      <c r="A3758" s="6">
        <v>43251</v>
      </c>
      <c r="B3758">
        <f>IFERROR(VLOOKUP($A3758,原始数据_收盘!$A$4:$G$3460,2,0),"")</f>
        <v>3.1949</v>
      </c>
      <c r="C3758">
        <f>IFERROR(VLOOKUP($A3758,原始数据_收盘!$A$4:$G$3460,3,0),"")</f>
        <v>3.605</v>
      </c>
      <c r="D3758">
        <f>IFERROR(VLOOKUP($A3758,原始数据_收盘!$A$4:$G$3460,4,0),"")</f>
        <v>3.1988</v>
      </c>
      <c r="E3758">
        <f>IFERROR(VLOOKUP($A3758,原始数据_收盘!$A$4:$G$3460,5,0),"")</f>
        <v>3.6103</v>
      </c>
      <c r="F3758">
        <f>IFERROR(VLOOKUP($A3758,原始数据_收盘!$A$4:$G$3460,6,0),"")</f>
        <v>3.1968</v>
      </c>
      <c r="G3758">
        <f>IFERROR(VLOOKUP($A3758,原始数据_收盘!$A$4:$G$3460,7,0),"")</f>
        <v>3.6076</v>
      </c>
      <c r="H3758">
        <f>IFERROR(VLOOKUP($A3758,原始数据_利率互换_FR007_1年!$A$6:$C$4395,2,0),"")</f>
        <v>3.1985</v>
      </c>
      <c r="I3758">
        <f>IFERROR(VLOOKUP($A3758,原始数据_利率互换_FR007_1年!$A$6:$C$4395,3,0),"")</f>
        <v>3.6021</v>
      </c>
    </row>
    <row r="3759" spans="1:9">
      <c r="A3759" s="6">
        <v>43252</v>
      </c>
      <c r="B3759">
        <f>IFERROR(VLOOKUP($A3759,原始数据_收盘!$A$4:$G$3460,2,0),"")</f>
        <v>3.1828</v>
      </c>
      <c r="C3759">
        <f>IFERROR(VLOOKUP($A3759,原始数据_收盘!$A$4:$G$3460,3,0),"")</f>
        <v>3.595</v>
      </c>
      <c r="D3759">
        <f>IFERROR(VLOOKUP($A3759,原始数据_收盘!$A$4:$G$3460,4,0),"")</f>
        <v>3.19</v>
      </c>
      <c r="E3759">
        <f>IFERROR(VLOOKUP($A3759,原始数据_收盘!$A$4:$G$3460,5,0),"")</f>
        <v>3.6005</v>
      </c>
      <c r="F3759">
        <f>IFERROR(VLOOKUP($A3759,原始数据_收盘!$A$4:$G$3460,6,0),"")</f>
        <v>3.1864</v>
      </c>
      <c r="G3759">
        <f>IFERROR(VLOOKUP($A3759,原始数据_收盘!$A$4:$G$3460,7,0),"")</f>
        <v>3.5978</v>
      </c>
      <c r="H3759">
        <f>IFERROR(VLOOKUP($A3759,原始数据_利率互换_FR007_1年!$A$6:$C$4395,2,0),"")</f>
        <v>3.1891</v>
      </c>
      <c r="I3759">
        <f>IFERROR(VLOOKUP($A3759,原始数据_利率互换_FR007_1年!$A$6:$C$4395,3,0),"")</f>
        <v>3.5981</v>
      </c>
    </row>
    <row r="3760" spans="1:9">
      <c r="A3760" s="6">
        <v>43253</v>
      </c>
      <c r="B3760" t="str">
        <f>IFERROR(VLOOKUP($A3760,原始数据_收盘!$A$4:$G$3460,2,0),"")</f>
        <v/>
      </c>
      <c r="C3760" t="str">
        <f>IFERROR(VLOOKUP($A3760,原始数据_收盘!$A$4:$G$3460,3,0),"")</f>
        <v/>
      </c>
      <c r="D3760" t="str">
        <f>IFERROR(VLOOKUP($A3760,原始数据_收盘!$A$4:$G$3460,4,0),"")</f>
        <v/>
      </c>
      <c r="E3760" t="str">
        <f>IFERROR(VLOOKUP($A3760,原始数据_收盘!$A$4:$G$3460,5,0),"")</f>
        <v/>
      </c>
      <c r="F3760" t="str">
        <f>IFERROR(VLOOKUP($A3760,原始数据_收盘!$A$4:$G$3460,6,0),"")</f>
        <v/>
      </c>
      <c r="G3760" t="str">
        <f>IFERROR(VLOOKUP($A3760,原始数据_收盘!$A$4:$G$3460,7,0),"")</f>
        <v/>
      </c>
      <c r="H3760" t="str">
        <f>IFERROR(VLOOKUP($A3760,原始数据_利率互换_FR007_1年!$A$6:$C$4395,2,0),"")</f>
        <v/>
      </c>
      <c r="I3760" t="str">
        <f>IFERROR(VLOOKUP($A3760,原始数据_利率互换_FR007_1年!$A$6:$C$4395,3,0),"")</f>
        <v/>
      </c>
    </row>
    <row r="3761" spans="1:9">
      <c r="A3761" s="6">
        <v>43254</v>
      </c>
      <c r="B3761" t="str">
        <f>IFERROR(VLOOKUP($A3761,原始数据_收盘!$A$4:$G$3460,2,0),"")</f>
        <v/>
      </c>
      <c r="C3761" t="str">
        <f>IFERROR(VLOOKUP($A3761,原始数据_收盘!$A$4:$G$3460,3,0),"")</f>
        <v/>
      </c>
      <c r="D3761" t="str">
        <f>IFERROR(VLOOKUP($A3761,原始数据_收盘!$A$4:$G$3460,4,0),"")</f>
        <v/>
      </c>
      <c r="E3761" t="str">
        <f>IFERROR(VLOOKUP($A3761,原始数据_收盘!$A$4:$G$3460,5,0),"")</f>
        <v/>
      </c>
      <c r="F3761" t="str">
        <f>IFERROR(VLOOKUP($A3761,原始数据_收盘!$A$4:$G$3460,6,0),"")</f>
        <v/>
      </c>
      <c r="G3761" t="str">
        <f>IFERROR(VLOOKUP($A3761,原始数据_收盘!$A$4:$G$3460,7,0),"")</f>
        <v/>
      </c>
      <c r="H3761" t="str">
        <f>IFERROR(VLOOKUP($A3761,原始数据_利率互换_FR007_1年!$A$6:$C$4395,2,0),"")</f>
        <v/>
      </c>
      <c r="I3761" t="str">
        <f>IFERROR(VLOOKUP($A3761,原始数据_利率互换_FR007_1年!$A$6:$C$4395,3,0),"")</f>
        <v/>
      </c>
    </row>
    <row r="3762" spans="1:9">
      <c r="A3762" s="6">
        <v>43255</v>
      </c>
      <c r="B3762">
        <f>IFERROR(VLOOKUP($A3762,原始数据_收盘!$A$4:$G$3460,2,0),"")</f>
        <v>3.1824</v>
      </c>
      <c r="C3762">
        <f>IFERROR(VLOOKUP($A3762,原始数据_收盘!$A$4:$G$3460,3,0),"")</f>
        <v>3.6075</v>
      </c>
      <c r="D3762">
        <f>IFERROR(VLOOKUP($A3762,原始数据_收盘!$A$4:$G$3460,4,0),"")</f>
        <v>3.185</v>
      </c>
      <c r="E3762">
        <f>IFERROR(VLOOKUP($A3762,原始数据_收盘!$A$4:$G$3460,5,0),"")</f>
        <v>3.61</v>
      </c>
      <c r="F3762">
        <f>IFERROR(VLOOKUP($A3762,原始数据_收盘!$A$4:$G$3460,6,0),"")</f>
        <v>3.1837</v>
      </c>
      <c r="G3762">
        <f>IFERROR(VLOOKUP($A3762,原始数据_收盘!$A$4:$G$3460,7,0),"")</f>
        <v>3.6088</v>
      </c>
      <c r="H3762">
        <f>IFERROR(VLOOKUP($A3762,原始数据_利率互换_FR007_1年!$A$6:$C$4395,2,0),"")</f>
        <v>3.1892</v>
      </c>
      <c r="I3762">
        <f>IFERROR(VLOOKUP($A3762,原始数据_利率互换_FR007_1年!$A$6:$C$4395,3,0),"")</f>
        <v>3.6093</v>
      </c>
    </row>
    <row r="3763" spans="1:9">
      <c r="A3763" s="6">
        <v>43256</v>
      </c>
      <c r="B3763">
        <f>IFERROR(VLOOKUP($A3763,原始数据_收盘!$A$4:$G$3460,2,0),"")</f>
        <v>3.18</v>
      </c>
      <c r="C3763">
        <f>IFERROR(VLOOKUP($A3763,原始数据_收盘!$A$4:$G$3460,3,0),"")</f>
        <v>3.6018</v>
      </c>
      <c r="D3763">
        <f>IFERROR(VLOOKUP($A3763,原始数据_收盘!$A$4:$G$3460,4,0),"")</f>
        <v>3.1864</v>
      </c>
      <c r="E3763">
        <f>IFERROR(VLOOKUP($A3763,原始数据_收盘!$A$4:$G$3460,5,0),"")</f>
        <v>3.6054</v>
      </c>
      <c r="F3763">
        <f>IFERROR(VLOOKUP($A3763,原始数据_收盘!$A$4:$G$3460,6,0),"")</f>
        <v>3.1832</v>
      </c>
      <c r="G3763">
        <f>IFERROR(VLOOKUP($A3763,原始数据_收盘!$A$4:$G$3460,7,0),"")</f>
        <v>3.6036</v>
      </c>
      <c r="H3763">
        <f>IFERROR(VLOOKUP($A3763,原始数据_利率互换_FR007_1年!$A$6:$C$4395,2,0),"")</f>
        <v>3.1791</v>
      </c>
      <c r="I3763">
        <f>IFERROR(VLOOKUP($A3763,原始数据_利率互换_FR007_1年!$A$6:$C$4395,3,0),"")</f>
        <v>3.6014</v>
      </c>
    </row>
    <row r="3764" spans="1:9">
      <c r="A3764" s="6">
        <v>43257</v>
      </c>
      <c r="B3764">
        <f>IFERROR(VLOOKUP($A3764,原始数据_收盘!$A$4:$G$3460,2,0),"")</f>
        <v>3.1695</v>
      </c>
      <c r="C3764">
        <f>IFERROR(VLOOKUP($A3764,原始数据_收盘!$A$4:$G$3460,3,0),"")</f>
        <v>3.589</v>
      </c>
      <c r="D3764">
        <f>IFERROR(VLOOKUP($A3764,原始数据_收盘!$A$4:$G$3460,4,0),"")</f>
        <v>3.1727</v>
      </c>
      <c r="E3764">
        <f>IFERROR(VLOOKUP($A3764,原始数据_收盘!$A$4:$G$3460,5,0),"")</f>
        <v>3.596</v>
      </c>
      <c r="F3764">
        <f>IFERROR(VLOOKUP($A3764,原始数据_收盘!$A$4:$G$3460,6,0),"")</f>
        <v>3.1711</v>
      </c>
      <c r="G3764">
        <f>IFERROR(VLOOKUP($A3764,原始数据_收盘!$A$4:$G$3460,7,0),"")</f>
        <v>3.5925</v>
      </c>
      <c r="H3764">
        <f>IFERROR(VLOOKUP($A3764,原始数据_利率互换_FR007_1年!$A$6:$C$4395,2,0),"")</f>
        <v>3.1772</v>
      </c>
      <c r="I3764">
        <f>IFERROR(VLOOKUP($A3764,原始数据_利率互换_FR007_1年!$A$6:$C$4395,3,0),"")</f>
        <v>3.5933</v>
      </c>
    </row>
    <row r="3765" spans="1:9">
      <c r="A3765" s="6">
        <v>43258</v>
      </c>
      <c r="B3765">
        <f>IFERROR(VLOOKUP($A3765,原始数据_收盘!$A$4:$G$3460,2,0),"")</f>
        <v>3.1825</v>
      </c>
      <c r="C3765">
        <f>IFERROR(VLOOKUP($A3765,原始数据_收盘!$A$4:$G$3460,3,0),"")</f>
        <v>3.6025</v>
      </c>
      <c r="D3765">
        <f>IFERROR(VLOOKUP($A3765,原始数据_收盘!$A$4:$G$3460,4,0),"")</f>
        <v>3.185</v>
      </c>
      <c r="E3765">
        <f>IFERROR(VLOOKUP($A3765,原始数据_收盘!$A$4:$G$3460,5,0),"")</f>
        <v>3.605</v>
      </c>
      <c r="F3765">
        <f>IFERROR(VLOOKUP($A3765,原始数据_收盘!$A$4:$G$3460,6,0),"")</f>
        <v>3.1838</v>
      </c>
      <c r="G3765">
        <f>IFERROR(VLOOKUP($A3765,原始数据_收盘!$A$4:$G$3460,7,0),"")</f>
        <v>3.6038</v>
      </c>
      <c r="H3765">
        <f>IFERROR(VLOOKUP($A3765,原始数据_利率互换_FR007_1年!$A$6:$C$4395,2,0),"")</f>
        <v>3.1834</v>
      </c>
      <c r="I3765">
        <f>IFERROR(VLOOKUP($A3765,原始数据_利率互换_FR007_1年!$A$6:$C$4395,3,0),"")</f>
        <v>3.6019</v>
      </c>
    </row>
    <row r="3766" spans="1:9">
      <c r="A3766" s="6">
        <v>43259</v>
      </c>
      <c r="B3766">
        <f>IFERROR(VLOOKUP($A3766,原始数据_收盘!$A$4:$G$3460,2,0),"")</f>
        <v>3.175</v>
      </c>
      <c r="C3766">
        <f>IFERROR(VLOOKUP($A3766,原始数据_收盘!$A$4:$G$3460,3,0),"")</f>
        <v>3.585</v>
      </c>
      <c r="D3766">
        <f>IFERROR(VLOOKUP($A3766,原始数据_收盘!$A$4:$G$3460,4,0),"")</f>
        <v>3.1775</v>
      </c>
      <c r="E3766">
        <f>IFERROR(VLOOKUP($A3766,原始数据_收盘!$A$4:$G$3460,5,0),"")</f>
        <v>3.59</v>
      </c>
      <c r="F3766">
        <f>IFERROR(VLOOKUP($A3766,原始数据_收盘!$A$4:$G$3460,6,0),"")</f>
        <v>3.1763</v>
      </c>
      <c r="G3766">
        <f>IFERROR(VLOOKUP($A3766,原始数据_收盘!$A$4:$G$3460,7,0),"")</f>
        <v>3.5875</v>
      </c>
      <c r="H3766">
        <f>IFERROR(VLOOKUP($A3766,原始数据_利率互换_FR007_1年!$A$6:$C$4395,2,0),"")</f>
        <v>3.1781</v>
      </c>
      <c r="I3766">
        <f>IFERROR(VLOOKUP($A3766,原始数据_利率互换_FR007_1年!$A$6:$C$4395,3,0),"")</f>
        <v>3.595</v>
      </c>
    </row>
    <row r="3767" spans="1:9">
      <c r="A3767" s="6">
        <v>43260</v>
      </c>
      <c r="B3767" t="str">
        <f>IFERROR(VLOOKUP($A3767,原始数据_收盘!$A$4:$G$3460,2,0),"")</f>
        <v/>
      </c>
      <c r="C3767" t="str">
        <f>IFERROR(VLOOKUP($A3767,原始数据_收盘!$A$4:$G$3460,3,0),"")</f>
        <v/>
      </c>
      <c r="D3767" t="str">
        <f>IFERROR(VLOOKUP($A3767,原始数据_收盘!$A$4:$G$3460,4,0),"")</f>
        <v/>
      </c>
      <c r="E3767" t="str">
        <f>IFERROR(VLOOKUP($A3767,原始数据_收盘!$A$4:$G$3460,5,0),"")</f>
        <v/>
      </c>
      <c r="F3767" t="str">
        <f>IFERROR(VLOOKUP($A3767,原始数据_收盘!$A$4:$G$3460,6,0),"")</f>
        <v/>
      </c>
      <c r="G3767" t="str">
        <f>IFERROR(VLOOKUP($A3767,原始数据_收盘!$A$4:$G$3460,7,0),"")</f>
        <v/>
      </c>
      <c r="H3767" t="str">
        <f>IFERROR(VLOOKUP($A3767,原始数据_利率互换_FR007_1年!$A$6:$C$4395,2,0),"")</f>
        <v/>
      </c>
      <c r="I3767" t="str">
        <f>IFERROR(VLOOKUP($A3767,原始数据_利率互换_FR007_1年!$A$6:$C$4395,3,0),"")</f>
        <v/>
      </c>
    </row>
    <row r="3768" spans="1:9">
      <c r="A3768" s="6">
        <v>43261</v>
      </c>
      <c r="B3768" t="str">
        <f>IFERROR(VLOOKUP($A3768,原始数据_收盘!$A$4:$G$3460,2,0),"")</f>
        <v/>
      </c>
      <c r="C3768" t="str">
        <f>IFERROR(VLOOKUP($A3768,原始数据_收盘!$A$4:$G$3460,3,0),"")</f>
        <v/>
      </c>
      <c r="D3768" t="str">
        <f>IFERROR(VLOOKUP($A3768,原始数据_收盘!$A$4:$G$3460,4,0),"")</f>
        <v/>
      </c>
      <c r="E3768" t="str">
        <f>IFERROR(VLOOKUP($A3768,原始数据_收盘!$A$4:$G$3460,5,0),"")</f>
        <v/>
      </c>
      <c r="F3768" t="str">
        <f>IFERROR(VLOOKUP($A3768,原始数据_收盘!$A$4:$G$3460,6,0),"")</f>
        <v/>
      </c>
      <c r="G3768" t="str">
        <f>IFERROR(VLOOKUP($A3768,原始数据_收盘!$A$4:$G$3460,7,0),"")</f>
        <v/>
      </c>
      <c r="H3768" t="str">
        <f>IFERROR(VLOOKUP($A3768,原始数据_利率互换_FR007_1年!$A$6:$C$4395,2,0),"")</f>
        <v/>
      </c>
      <c r="I3768" t="str">
        <f>IFERROR(VLOOKUP($A3768,原始数据_利率互换_FR007_1年!$A$6:$C$4395,3,0),"")</f>
        <v/>
      </c>
    </row>
    <row r="3769" spans="1:9">
      <c r="A3769" s="6">
        <v>43262</v>
      </c>
      <c r="B3769">
        <f>IFERROR(VLOOKUP($A3769,原始数据_收盘!$A$4:$G$3460,2,0),"")</f>
        <v>3.1675</v>
      </c>
      <c r="C3769">
        <f>IFERROR(VLOOKUP($A3769,原始数据_收盘!$A$4:$G$3460,3,0),"")</f>
        <v>3.5825</v>
      </c>
      <c r="D3769">
        <f>IFERROR(VLOOKUP($A3769,原始数据_收盘!$A$4:$G$3460,4,0),"")</f>
        <v>3.17</v>
      </c>
      <c r="E3769">
        <f>IFERROR(VLOOKUP($A3769,原始数据_收盘!$A$4:$G$3460,5,0),"")</f>
        <v>3.585</v>
      </c>
      <c r="F3769">
        <f>IFERROR(VLOOKUP($A3769,原始数据_收盘!$A$4:$G$3460,6,0),"")</f>
        <v>3.1688</v>
      </c>
      <c r="G3769">
        <f>IFERROR(VLOOKUP($A3769,原始数据_收盘!$A$4:$G$3460,7,0),"")</f>
        <v>3.5838</v>
      </c>
      <c r="H3769">
        <f>IFERROR(VLOOKUP($A3769,原始数据_利率互换_FR007_1年!$A$6:$C$4395,2,0),"")</f>
        <v>3.1706</v>
      </c>
      <c r="I3769">
        <f>IFERROR(VLOOKUP($A3769,原始数据_利率互换_FR007_1年!$A$6:$C$4395,3,0),"")</f>
        <v>3.5862</v>
      </c>
    </row>
    <row r="3770" spans="1:9">
      <c r="A3770" s="6">
        <v>43263</v>
      </c>
      <c r="B3770">
        <f>IFERROR(VLOOKUP($A3770,原始数据_收盘!$A$4:$G$3460,2,0),"")</f>
        <v>3.1825</v>
      </c>
      <c r="C3770">
        <f>IFERROR(VLOOKUP($A3770,原始数据_收盘!$A$4:$G$3460,3,0),"")</f>
        <v>3.6008</v>
      </c>
      <c r="D3770">
        <f>IFERROR(VLOOKUP($A3770,原始数据_收盘!$A$4:$G$3460,4,0),"")</f>
        <v>3.1852</v>
      </c>
      <c r="E3770">
        <f>IFERROR(VLOOKUP($A3770,原始数据_收盘!$A$4:$G$3460,5,0),"")</f>
        <v>3.6055</v>
      </c>
      <c r="F3770">
        <f>IFERROR(VLOOKUP($A3770,原始数据_收盘!$A$4:$G$3460,6,0),"")</f>
        <v>3.1838</v>
      </c>
      <c r="G3770">
        <f>IFERROR(VLOOKUP($A3770,原始数据_收盘!$A$4:$G$3460,7,0),"")</f>
        <v>3.6032</v>
      </c>
      <c r="H3770">
        <f>IFERROR(VLOOKUP($A3770,原始数据_利率互换_FR007_1年!$A$6:$C$4395,2,0),"")</f>
        <v>3.1813</v>
      </c>
      <c r="I3770">
        <f>IFERROR(VLOOKUP($A3770,原始数据_利率互换_FR007_1年!$A$6:$C$4395,3,0),"")</f>
        <v>3.5963</v>
      </c>
    </row>
    <row r="3771" spans="1:9">
      <c r="A3771" s="6">
        <v>43264</v>
      </c>
      <c r="B3771">
        <f>IFERROR(VLOOKUP($A3771,原始数据_收盘!$A$4:$G$3460,2,0),"")</f>
        <v>3.175</v>
      </c>
      <c r="C3771">
        <f>IFERROR(VLOOKUP($A3771,原始数据_收盘!$A$4:$G$3460,3,0),"")</f>
        <v>3.5825</v>
      </c>
      <c r="D3771">
        <f>IFERROR(VLOOKUP($A3771,原始数据_收盘!$A$4:$G$3460,4,0),"")</f>
        <v>3.1775</v>
      </c>
      <c r="E3771">
        <f>IFERROR(VLOOKUP($A3771,原始数据_收盘!$A$4:$G$3460,5,0),"")</f>
        <v>3.585</v>
      </c>
      <c r="F3771">
        <f>IFERROR(VLOOKUP($A3771,原始数据_收盘!$A$4:$G$3460,6,0),"")</f>
        <v>3.1763</v>
      </c>
      <c r="G3771">
        <f>IFERROR(VLOOKUP($A3771,原始数据_收盘!$A$4:$G$3460,7,0),"")</f>
        <v>3.5838</v>
      </c>
      <c r="H3771">
        <f>IFERROR(VLOOKUP($A3771,原始数据_利率互换_FR007_1年!$A$6:$C$4395,2,0),"")</f>
        <v>3.1775</v>
      </c>
      <c r="I3771">
        <f>IFERROR(VLOOKUP($A3771,原始数据_利率互换_FR007_1年!$A$6:$C$4395,3,0),"")</f>
        <v>3.5868</v>
      </c>
    </row>
    <row r="3772" spans="1:9">
      <c r="A3772" s="6">
        <v>43265</v>
      </c>
      <c r="B3772">
        <f>IFERROR(VLOOKUP($A3772,原始数据_收盘!$A$4:$G$3460,2,0),"")</f>
        <v>3.1573</v>
      </c>
      <c r="C3772">
        <f>IFERROR(VLOOKUP($A3772,原始数据_收盘!$A$4:$G$3460,3,0),"")</f>
        <v>3.5472</v>
      </c>
      <c r="D3772">
        <f>IFERROR(VLOOKUP($A3772,原始数据_收盘!$A$4:$G$3460,4,0),"")</f>
        <v>3.16</v>
      </c>
      <c r="E3772">
        <f>IFERROR(VLOOKUP($A3772,原始数据_收盘!$A$4:$G$3460,5,0),"")</f>
        <v>3.5498</v>
      </c>
      <c r="F3772">
        <f>IFERROR(VLOOKUP($A3772,原始数据_收盘!$A$4:$G$3460,6,0),"")</f>
        <v>3.1587</v>
      </c>
      <c r="G3772">
        <f>IFERROR(VLOOKUP($A3772,原始数据_收盘!$A$4:$G$3460,7,0),"")</f>
        <v>3.5485</v>
      </c>
      <c r="H3772">
        <f>IFERROR(VLOOKUP($A3772,原始数据_利率互换_FR007_1年!$A$6:$C$4395,2,0),"")</f>
        <v>3.1605</v>
      </c>
      <c r="I3772">
        <f>IFERROR(VLOOKUP($A3772,原始数据_利率互换_FR007_1年!$A$6:$C$4395,3,0),"")</f>
        <v>3.553</v>
      </c>
    </row>
    <row r="3773" spans="1:9">
      <c r="A3773" s="6">
        <v>43266</v>
      </c>
      <c r="B3773">
        <f>IFERROR(VLOOKUP($A3773,原始数据_收盘!$A$4:$G$3460,2,0),"")</f>
        <v>3.1381</v>
      </c>
      <c r="C3773">
        <f>IFERROR(VLOOKUP($A3773,原始数据_收盘!$A$4:$G$3460,3,0),"")</f>
        <v>3.5086</v>
      </c>
      <c r="D3773">
        <f>IFERROR(VLOOKUP($A3773,原始数据_收盘!$A$4:$G$3460,4,0),"")</f>
        <v>3.144</v>
      </c>
      <c r="E3773">
        <f>IFERROR(VLOOKUP($A3773,原始数据_收盘!$A$4:$G$3460,5,0),"")</f>
        <v>3.515</v>
      </c>
      <c r="F3773">
        <f>IFERROR(VLOOKUP($A3773,原始数据_收盘!$A$4:$G$3460,6,0),"")</f>
        <v>3.141</v>
      </c>
      <c r="G3773">
        <f>IFERROR(VLOOKUP($A3773,原始数据_收盘!$A$4:$G$3460,7,0),"")</f>
        <v>3.5118</v>
      </c>
      <c r="H3773">
        <f>IFERROR(VLOOKUP($A3773,原始数据_利率互换_FR007_1年!$A$6:$C$4395,2,0),"")</f>
        <v>3.1418</v>
      </c>
      <c r="I3773">
        <f>IFERROR(VLOOKUP($A3773,原始数据_利率互换_FR007_1年!$A$6:$C$4395,3,0),"")</f>
        <v>3.5126</v>
      </c>
    </row>
    <row r="3774" spans="1:9">
      <c r="A3774" s="6">
        <v>43267</v>
      </c>
      <c r="B3774" t="str">
        <f>IFERROR(VLOOKUP($A3774,原始数据_收盘!$A$4:$G$3460,2,0),"")</f>
        <v/>
      </c>
      <c r="C3774" t="str">
        <f>IFERROR(VLOOKUP($A3774,原始数据_收盘!$A$4:$G$3460,3,0),"")</f>
        <v/>
      </c>
      <c r="D3774" t="str">
        <f>IFERROR(VLOOKUP($A3774,原始数据_收盘!$A$4:$G$3460,4,0),"")</f>
        <v/>
      </c>
      <c r="E3774" t="str">
        <f>IFERROR(VLOOKUP($A3774,原始数据_收盘!$A$4:$G$3460,5,0),"")</f>
        <v/>
      </c>
      <c r="F3774" t="str">
        <f>IFERROR(VLOOKUP($A3774,原始数据_收盘!$A$4:$G$3460,6,0),"")</f>
        <v/>
      </c>
      <c r="G3774" t="str">
        <f>IFERROR(VLOOKUP($A3774,原始数据_收盘!$A$4:$G$3460,7,0),"")</f>
        <v/>
      </c>
      <c r="H3774" t="str">
        <f>IFERROR(VLOOKUP($A3774,原始数据_利率互换_FR007_1年!$A$6:$C$4395,2,0),"")</f>
        <v/>
      </c>
      <c r="I3774" t="str">
        <f>IFERROR(VLOOKUP($A3774,原始数据_利率互换_FR007_1年!$A$6:$C$4395,3,0),"")</f>
        <v/>
      </c>
    </row>
    <row r="3775" spans="1:9">
      <c r="A3775" s="6">
        <v>43268</v>
      </c>
      <c r="B3775" t="str">
        <f>IFERROR(VLOOKUP($A3775,原始数据_收盘!$A$4:$G$3460,2,0),"")</f>
        <v/>
      </c>
      <c r="C3775" t="str">
        <f>IFERROR(VLOOKUP($A3775,原始数据_收盘!$A$4:$G$3460,3,0),"")</f>
        <v/>
      </c>
      <c r="D3775" t="str">
        <f>IFERROR(VLOOKUP($A3775,原始数据_收盘!$A$4:$G$3460,4,0),"")</f>
        <v/>
      </c>
      <c r="E3775" t="str">
        <f>IFERROR(VLOOKUP($A3775,原始数据_收盘!$A$4:$G$3460,5,0),"")</f>
        <v/>
      </c>
      <c r="F3775" t="str">
        <f>IFERROR(VLOOKUP($A3775,原始数据_收盘!$A$4:$G$3460,6,0),"")</f>
        <v/>
      </c>
      <c r="G3775" t="str">
        <f>IFERROR(VLOOKUP($A3775,原始数据_收盘!$A$4:$G$3460,7,0),"")</f>
        <v/>
      </c>
      <c r="H3775" t="str">
        <f>IFERROR(VLOOKUP($A3775,原始数据_利率互换_FR007_1年!$A$6:$C$4395,2,0),"")</f>
        <v/>
      </c>
      <c r="I3775" t="str">
        <f>IFERROR(VLOOKUP($A3775,原始数据_利率互换_FR007_1年!$A$6:$C$4395,3,0),"")</f>
        <v/>
      </c>
    </row>
    <row r="3776" spans="1:9">
      <c r="A3776" s="6">
        <v>43269</v>
      </c>
      <c r="B3776" t="str">
        <f>IFERROR(VLOOKUP($A3776,原始数据_收盘!$A$4:$G$3460,2,0),"")</f>
        <v/>
      </c>
      <c r="C3776" t="str">
        <f>IFERROR(VLOOKUP($A3776,原始数据_收盘!$A$4:$G$3460,3,0),"")</f>
        <v/>
      </c>
      <c r="D3776" t="str">
        <f>IFERROR(VLOOKUP($A3776,原始数据_收盘!$A$4:$G$3460,4,0),"")</f>
        <v/>
      </c>
      <c r="E3776" t="str">
        <f>IFERROR(VLOOKUP($A3776,原始数据_收盘!$A$4:$G$3460,5,0),"")</f>
        <v/>
      </c>
      <c r="F3776" t="str">
        <f>IFERROR(VLOOKUP($A3776,原始数据_收盘!$A$4:$G$3460,6,0),"")</f>
        <v/>
      </c>
      <c r="G3776" t="str">
        <f>IFERROR(VLOOKUP($A3776,原始数据_收盘!$A$4:$G$3460,7,0),"")</f>
        <v/>
      </c>
      <c r="H3776" t="str">
        <f>IFERROR(VLOOKUP($A3776,原始数据_利率互换_FR007_1年!$A$6:$C$4395,2,0),"")</f>
        <v/>
      </c>
      <c r="I3776" t="str">
        <f>IFERROR(VLOOKUP($A3776,原始数据_利率互换_FR007_1年!$A$6:$C$4395,3,0),"")</f>
        <v/>
      </c>
    </row>
    <row r="3777" spans="1:9">
      <c r="A3777" s="6">
        <v>43270</v>
      </c>
      <c r="B3777">
        <f>IFERROR(VLOOKUP($A3777,原始数据_收盘!$A$4:$G$3460,2,0),"")</f>
        <v>3.0875</v>
      </c>
      <c r="C3777">
        <f>IFERROR(VLOOKUP($A3777,原始数据_收盘!$A$4:$G$3460,3,0),"")</f>
        <v>3.4295</v>
      </c>
      <c r="D3777">
        <f>IFERROR(VLOOKUP($A3777,原始数据_收盘!$A$4:$G$3460,4,0),"")</f>
        <v>3.0925</v>
      </c>
      <c r="E3777">
        <f>IFERROR(VLOOKUP($A3777,原始数据_收盘!$A$4:$G$3460,5,0),"")</f>
        <v>3.4325</v>
      </c>
      <c r="F3777">
        <f>IFERROR(VLOOKUP($A3777,原始数据_收盘!$A$4:$G$3460,6,0),"")</f>
        <v>3.09</v>
      </c>
      <c r="G3777">
        <f>IFERROR(VLOOKUP($A3777,原始数据_收盘!$A$4:$G$3460,7,0),"")</f>
        <v>3.431</v>
      </c>
      <c r="H3777">
        <f>IFERROR(VLOOKUP($A3777,原始数据_利率互换_FR007_1年!$A$6:$C$4395,2,0),"")</f>
        <v>3.1019</v>
      </c>
      <c r="I3777">
        <f>IFERROR(VLOOKUP($A3777,原始数据_利率互换_FR007_1年!$A$6:$C$4395,3,0),"")</f>
        <v>3.4597</v>
      </c>
    </row>
    <row r="3778" spans="1:9">
      <c r="A3778" s="6">
        <v>43271</v>
      </c>
      <c r="B3778">
        <f>IFERROR(VLOOKUP($A3778,原始数据_收盘!$A$4:$G$3460,2,0),"")</f>
        <v>3.1021</v>
      </c>
      <c r="C3778">
        <f>IFERROR(VLOOKUP($A3778,原始数据_收盘!$A$4:$G$3460,3,0),"")</f>
        <v>3.4294</v>
      </c>
      <c r="D3778">
        <f>IFERROR(VLOOKUP($A3778,原始数据_收盘!$A$4:$G$3460,4,0),"")</f>
        <v>3.1075</v>
      </c>
      <c r="E3778">
        <f>IFERROR(VLOOKUP($A3778,原始数据_收盘!$A$4:$G$3460,5,0),"")</f>
        <v>3.4368</v>
      </c>
      <c r="F3778">
        <f>IFERROR(VLOOKUP($A3778,原始数据_收盘!$A$4:$G$3460,6,0),"")</f>
        <v>3.1048</v>
      </c>
      <c r="G3778">
        <f>IFERROR(VLOOKUP($A3778,原始数据_收盘!$A$4:$G$3460,7,0),"")</f>
        <v>3.4331</v>
      </c>
      <c r="H3778">
        <f>IFERROR(VLOOKUP($A3778,原始数据_利率互换_FR007_1年!$A$6:$C$4395,2,0),"")</f>
        <v>3.1056</v>
      </c>
      <c r="I3778">
        <f>IFERROR(VLOOKUP($A3778,原始数据_利率互换_FR007_1年!$A$6:$C$4395,3,0),"")</f>
        <v>3.4387</v>
      </c>
    </row>
    <row r="3779" spans="1:9">
      <c r="A3779" s="6">
        <v>43272</v>
      </c>
      <c r="B3779">
        <f>IFERROR(VLOOKUP($A3779,原始数据_收盘!$A$4:$G$3460,2,0),"")</f>
        <v>3.074</v>
      </c>
      <c r="C3779">
        <f>IFERROR(VLOOKUP($A3779,原始数据_收盘!$A$4:$G$3460,3,0),"")</f>
        <v>3.3624</v>
      </c>
      <c r="D3779">
        <f>IFERROR(VLOOKUP($A3779,原始数据_收盘!$A$4:$G$3460,4,0),"")</f>
        <v>3.0775</v>
      </c>
      <c r="E3779">
        <f>IFERROR(VLOOKUP($A3779,原始数据_收盘!$A$4:$G$3460,5,0),"")</f>
        <v>3.3677</v>
      </c>
      <c r="F3779">
        <f>IFERROR(VLOOKUP($A3779,原始数据_收盘!$A$4:$G$3460,6,0),"")</f>
        <v>3.0758</v>
      </c>
      <c r="G3779">
        <f>IFERROR(VLOOKUP($A3779,原始数据_收盘!$A$4:$G$3460,7,0),"")</f>
        <v>3.3651</v>
      </c>
      <c r="H3779">
        <f>IFERROR(VLOOKUP($A3779,原始数据_利率互换_FR007_1年!$A$6:$C$4395,2,0),"")</f>
        <v>3.0769</v>
      </c>
      <c r="I3779">
        <f>IFERROR(VLOOKUP($A3779,原始数据_利率互换_FR007_1年!$A$6:$C$4395,3,0),"")</f>
        <v>3.3684</v>
      </c>
    </row>
    <row r="3780" spans="1:9">
      <c r="A3780" s="6">
        <v>43273</v>
      </c>
      <c r="B3780">
        <f>IFERROR(VLOOKUP($A3780,原始数据_收盘!$A$4:$G$3460,2,0),"")</f>
        <v>3.0612</v>
      </c>
      <c r="C3780">
        <f>IFERROR(VLOOKUP($A3780,原始数据_收盘!$A$4:$G$3460,3,0),"")</f>
        <v>3.3675</v>
      </c>
      <c r="D3780">
        <f>IFERROR(VLOOKUP($A3780,原始数据_收盘!$A$4:$G$3460,4,0),"")</f>
        <v>3.0666</v>
      </c>
      <c r="E3780">
        <f>IFERROR(VLOOKUP($A3780,原始数据_收盘!$A$4:$G$3460,5,0),"")</f>
        <v>3.37</v>
      </c>
      <c r="F3780">
        <f>IFERROR(VLOOKUP($A3780,原始数据_收盘!$A$4:$G$3460,6,0),"")</f>
        <v>3.0639</v>
      </c>
      <c r="G3780">
        <f>IFERROR(VLOOKUP($A3780,原始数据_收盘!$A$4:$G$3460,7,0),"")</f>
        <v>3.3688</v>
      </c>
      <c r="H3780">
        <f>IFERROR(VLOOKUP($A3780,原始数据_利率互换_FR007_1年!$A$6:$C$4395,2,0),"")</f>
        <v>3.0669</v>
      </c>
      <c r="I3780">
        <f>IFERROR(VLOOKUP($A3780,原始数据_利率互换_FR007_1年!$A$6:$C$4395,3,0),"")</f>
        <v>3.365</v>
      </c>
    </row>
    <row r="3781" spans="1:9">
      <c r="A3781" s="6">
        <v>43274</v>
      </c>
      <c r="B3781" t="str">
        <f>IFERROR(VLOOKUP($A3781,原始数据_收盘!$A$4:$G$3460,2,0),"")</f>
        <v/>
      </c>
      <c r="C3781" t="str">
        <f>IFERROR(VLOOKUP($A3781,原始数据_收盘!$A$4:$G$3460,3,0),"")</f>
        <v/>
      </c>
      <c r="D3781" t="str">
        <f>IFERROR(VLOOKUP($A3781,原始数据_收盘!$A$4:$G$3460,4,0),"")</f>
        <v/>
      </c>
      <c r="E3781" t="str">
        <f>IFERROR(VLOOKUP($A3781,原始数据_收盘!$A$4:$G$3460,5,0),"")</f>
        <v/>
      </c>
      <c r="F3781" t="str">
        <f>IFERROR(VLOOKUP($A3781,原始数据_收盘!$A$4:$G$3460,6,0),"")</f>
        <v/>
      </c>
      <c r="G3781" t="str">
        <f>IFERROR(VLOOKUP($A3781,原始数据_收盘!$A$4:$G$3460,7,0),"")</f>
        <v/>
      </c>
      <c r="H3781" t="str">
        <f>IFERROR(VLOOKUP($A3781,原始数据_利率互换_FR007_1年!$A$6:$C$4395,2,0),"")</f>
        <v/>
      </c>
      <c r="I3781" t="str">
        <f>IFERROR(VLOOKUP($A3781,原始数据_利率互换_FR007_1年!$A$6:$C$4395,3,0),"")</f>
        <v/>
      </c>
    </row>
    <row r="3782" spans="1:9">
      <c r="A3782" s="6">
        <v>43275</v>
      </c>
      <c r="B3782" t="str">
        <f>IFERROR(VLOOKUP($A3782,原始数据_收盘!$A$4:$G$3460,2,0),"")</f>
        <v/>
      </c>
      <c r="C3782" t="str">
        <f>IFERROR(VLOOKUP($A3782,原始数据_收盘!$A$4:$G$3460,3,0),"")</f>
        <v/>
      </c>
      <c r="D3782" t="str">
        <f>IFERROR(VLOOKUP($A3782,原始数据_收盘!$A$4:$G$3460,4,0),"")</f>
        <v/>
      </c>
      <c r="E3782" t="str">
        <f>IFERROR(VLOOKUP($A3782,原始数据_收盘!$A$4:$G$3460,5,0),"")</f>
        <v/>
      </c>
      <c r="F3782" t="str">
        <f>IFERROR(VLOOKUP($A3782,原始数据_收盘!$A$4:$G$3460,6,0),"")</f>
        <v/>
      </c>
      <c r="G3782" t="str">
        <f>IFERROR(VLOOKUP($A3782,原始数据_收盘!$A$4:$G$3460,7,0),"")</f>
        <v/>
      </c>
      <c r="H3782" t="str">
        <f>IFERROR(VLOOKUP($A3782,原始数据_利率互换_FR007_1年!$A$6:$C$4395,2,0),"")</f>
        <v/>
      </c>
      <c r="I3782" t="str">
        <f>IFERROR(VLOOKUP($A3782,原始数据_利率互换_FR007_1年!$A$6:$C$4395,3,0),"")</f>
        <v/>
      </c>
    </row>
    <row r="3783" spans="1:9">
      <c r="A3783" s="6">
        <v>43276</v>
      </c>
      <c r="B3783">
        <f>IFERROR(VLOOKUP($A3783,原始数据_收盘!$A$4:$G$3460,2,0),"")</f>
        <v>3.0475</v>
      </c>
      <c r="C3783">
        <f>IFERROR(VLOOKUP($A3783,原始数据_收盘!$A$4:$G$3460,3,0),"")</f>
        <v>3.36</v>
      </c>
      <c r="D3783">
        <f>IFERROR(VLOOKUP($A3783,原始数据_收盘!$A$4:$G$3460,4,0),"")</f>
        <v>3.0525</v>
      </c>
      <c r="E3783">
        <f>IFERROR(VLOOKUP($A3783,原始数据_收盘!$A$4:$G$3460,5,0),"")</f>
        <v>3.3625</v>
      </c>
      <c r="F3783">
        <f>IFERROR(VLOOKUP($A3783,原始数据_收盘!$A$4:$G$3460,6,0),"")</f>
        <v>3.05</v>
      </c>
      <c r="G3783">
        <f>IFERROR(VLOOKUP($A3783,原始数据_收盘!$A$4:$G$3460,7,0),"")</f>
        <v>3.3613</v>
      </c>
      <c r="H3783">
        <f>IFERROR(VLOOKUP($A3783,原始数据_利率互换_FR007_1年!$A$6:$C$4395,2,0),"")</f>
        <v>3.0529</v>
      </c>
      <c r="I3783">
        <f>IFERROR(VLOOKUP($A3783,原始数据_利率互换_FR007_1年!$A$6:$C$4395,3,0),"")</f>
        <v>3.3597</v>
      </c>
    </row>
    <row r="3784" spans="1:9">
      <c r="A3784" s="6">
        <v>43277</v>
      </c>
      <c r="B3784">
        <f>IFERROR(VLOOKUP($A3784,原始数据_收盘!$A$4:$G$3460,2,0),"")</f>
        <v>3.035</v>
      </c>
      <c r="C3784">
        <f>IFERROR(VLOOKUP($A3784,原始数据_收盘!$A$4:$G$3460,3,0),"")</f>
        <v>3.36</v>
      </c>
      <c r="D3784">
        <f>IFERROR(VLOOKUP($A3784,原始数据_收盘!$A$4:$G$3460,4,0),"")</f>
        <v>3.04</v>
      </c>
      <c r="E3784">
        <f>IFERROR(VLOOKUP($A3784,原始数据_收盘!$A$4:$G$3460,5,0),"")</f>
        <v>3.365</v>
      </c>
      <c r="F3784">
        <f>IFERROR(VLOOKUP($A3784,原始数据_收盘!$A$4:$G$3460,6,0),"")</f>
        <v>3.0375</v>
      </c>
      <c r="G3784">
        <f>IFERROR(VLOOKUP($A3784,原始数据_收盘!$A$4:$G$3460,7,0),"")</f>
        <v>3.3625</v>
      </c>
      <c r="H3784">
        <f>IFERROR(VLOOKUP($A3784,原始数据_利率互换_FR007_1年!$A$6:$C$4395,2,0),"")</f>
        <v>3.0416</v>
      </c>
      <c r="I3784">
        <f>IFERROR(VLOOKUP($A3784,原始数据_利率互换_FR007_1年!$A$6:$C$4395,3,0),"")</f>
        <v>3.3658</v>
      </c>
    </row>
    <row r="3785" spans="1:9">
      <c r="A3785" s="6">
        <v>43278</v>
      </c>
      <c r="B3785">
        <f>IFERROR(VLOOKUP($A3785,原始数据_收盘!$A$4:$G$3460,2,0),"")</f>
        <v>3.042</v>
      </c>
      <c r="C3785">
        <f>IFERROR(VLOOKUP($A3785,原始数据_收盘!$A$4:$G$3460,3,0),"")</f>
        <v>3.355</v>
      </c>
      <c r="D3785">
        <f>IFERROR(VLOOKUP($A3785,原始数据_收盘!$A$4:$G$3460,4,0),"")</f>
        <v>3.0445</v>
      </c>
      <c r="E3785">
        <f>IFERROR(VLOOKUP($A3785,原始数据_收盘!$A$4:$G$3460,5,0),"")</f>
        <v>3.36</v>
      </c>
      <c r="F3785">
        <f>IFERROR(VLOOKUP($A3785,原始数据_收盘!$A$4:$G$3460,6,0),"")</f>
        <v>3.0432</v>
      </c>
      <c r="G3785">
        <f>IFERROR(VLOOKUP($A3785,原始数据_收盘!$A$4:$G$3460,7,0),"")</f>
        <v>3.3575</v>
      </c>
      <c r="H3785">
        <f>IFERROR(VLOOKUP($A3785,原始数据_利率互换_FR007_1年!$A$6:$C$4395,2,0),"")</f>
        <v>3.0455</v>
      </c>
      <c r="I3785">
        <f>IFERROR(VLOOKUP($A3785,原始数据_利率互换_FR007_1年!$A$6:$C$4395,3,0),"")</f>
        <v>3.3727</v>
      </c>
    </row>
    <row r="3786" spans="1:9">
      <c r="A3786" s="6">
        <v>43279</v>
      </c>
      <c r="B3786">
        <f>IFERROR(VLOOKUP($A3786,原始数据_收盘!$A$4:$G$3460,2,0),"")</f>
        <v>3.0425</v>
      </c>
      <c r="C3786">
        <f>IFERROR(VLOOKUP($A3786,原始数据_收盘!$A$4:$G$3460,3,0),"")</f>
        <v>3.35</v>
      </c>
      <c r="D3786">
        <f>IFERROR(VLOOKUP($A3786,原始数据_收盘!$A$4:$G$3460,4,0),"")</f>
        <v>3.0514</v>
      </c>
      <c r="E3786">
        <f>IFERROR(VLOOKUP($A3786,原始数据_收盘!$A$4:$G$3460,5,0),"")</f>
        <v>3.3539</v>
      </c>
      <c r="F3786">
        <f>IFERROR(VLOOKUP($A3786,原始数据_收盘!$A$4:$G$3460,6,0),"")</f>
        <v>3.047</v>
      </c>
      <c r="G3786">
        <f>IFERROR(VLOOKUP($A3786,原始数据_收盘!$A$4:$G$3460,7,0),"")</f>
        <v>3.3519</v>
      </c>
      <c r="H3786">
        <f>IFERROR(VLOOKUP($A3786,原始数据_利率互换_FR007_1年!$A$6:$C$4395,2,0),"")</f>
        <v>3.039</v>
      </c>
      <c r="I3786">
        <f>IFERROR(VLOOKUP($A3786,原始数据_利率互换_FR007_1年!$A$6:$C$4395,3,0),"")</f>
        <v>3.3463</v>
      </c>
    </row>
    <row r="3787" spans="1:9">
      <c r="A3787" s="6">
        <v>43280</v>
      </c>
      <c r="B3787">
        <f>IFERROR(VLOOKUP($A3787,原始数据_收盘!$A$4:$G$3460,2,0),"")</f>
        <v>2.9975</v>
      </c>
      <c r="C3787">
        <f>IFERROR(VLOOKUP($A3787,原始数据_收盘!$A$4:$G$3460,3,0),"")</f>
        <v>3.2989</v>
      </c>
      <c r="D3787">
        <f>IFERROR(VLOOKUP($A3787,原始数据_收盘!$A$4:$G$3460,4,0),"")</f>
        <v>3.0025</v>
      </c>
      <c r="E3787">
        <f>IFERROR(VLOOKUP($A3787,原始数据_收盘!$A$4:$G$3460,5,0),"")</f>
        <v>3.3033</v>
      </c>
      <c r="F3787">
        <f>IFERROR(VLOOKUP($A3787,原始数据_收盘!$A$4:$G$3460,6,0),"")</f>
        <v>3</v>
      </c>
      <c r="G3787">
        <f>IFERROR(VLOOKUP($A3787,原始数据_收盘!$A$4:$G$3460,7,0),"")</f>
        <v>3.3011</v>
      </c>
      <c r="H3787">
        <f>IFERROR(VLOOKUP($A3787,原始数据_利率互换_FR007_1年!$A$6:$C$4395,2,0),"")</f>
        <v>3.0034</v>
      </c>
      <c r="I3787">
        <f>IFERROR(VLOOKUP($A3787,原始数据_利率互换_FR007_1年!$A$6:$C$4395,3,0),"")</f>
        <v>3.2982</v>
      </c>
    </row>
    <row r="3788" spans="1:9">
      <c r="A3788" s="6">
        <v>43281</v>
      </c>
      <c r="B3788" t="str">
        <f>IFERROR(VLOOKUP($A3788,原始数据_收盘!$A$4:$G$3460,2,0),"")</f>
        <v/>
      </c>
      <c r="C3788" t="str">
        <f>IFERROR(VLOOKUP($A3788,原始数据_收盘!$A$4:$G$3460,3,0),"")</f>
        <v/>
      </c>
      <c r="D3788" t="str">
        <f>IFERROR(VLOOKUP($A3788,原始数据_收盘!$A$4:$G$3460,4,0),"")</f>
        <v/>
      </c>
      <c r="E3788" t="str">
        <f>IFERROR(VLOOKUP($A3788,原始数据_收盘!$A$4:$G$3460,5,0),"")</f>
        <v/>
      </c>
      <c r="F3788" t="str">
        <f>IFERROR(VLOOKUP($A3788,原始数据_收盘!$A$4:$G$3460,6,0),"")</f>
        <v/>
      </c>
      <c r="G3788" t="str">
        <f>IFERROR(VLOOKUP($A3788,原始数据_收盘!$A$4:$G$3460,7,0),"")</f>
        <v/>
      </c>
      <c r="H3788" t="str">
        <f>IFERROR(VLOOKUP($A3788,原始数据_利率互换_FR007_1年!$A$6:$C$4395,2,0),"")</f>
        <v/>
      </c>
      <c r="I3788" t="str">
        <f>IFERROR(VLOOKUP($A3788,原始数据_利率互换_FR007_1年!$A$6:$C$4395,3,0),"")</f>
        <v/>
      </c>
    </row>
    <row r="3789" spans="1:9">
      <c r="A3789" s="6">
        <v>43282</v>
      </c>
      <c r="B3789" t="str">
        <f>IFERROR(VLOOKUP($A3789,原始数据_收盘!$A$4:$G$3460,2,0),"")</f>
        <v/>
      </c>
      <c r="C3789" t="str">
        <f>IFERROR(VLOOKUP($A3789,原始数据_收盘!$A$4:$G$3460,3,0),"")</f>
        <v/>
      </c>
      <c r="D3789" t="str">
        <f>IFERROR(VLOOKUP($A3789,原始数据_收盘!$A$4:$G$3460,4,0),"")</f>
        <v/>
      </c>
      <c r="E3789" t="str">
        <f>IFERROR(VLOOKUP($A3789,原始数据_收盘!$A$4:$G$3460,5,0),"")</f>
        <v/>
      </c>
      <c r="F3789" t="str">
        <f>IFERROR(VLOOKUP($A3789,原始数据_收盘!$A$4:$G$3460,6,0),"")</f>
        <v/>
      </c>
      <c r="G3789" t="str">
        <f>IFERROR(VLOOKUP($A3789,原始数据_收盘!$A$4:$G$3460,7,0),"")</f>
        <v/>
      </c>
      <c r="H3789" t="str">
        <f>IFERROR(VLOOKUP($A3789,原始数据_利率互换_FR007_1年!$A$6:$C$4395,2,0),"")</f>
        <v/>
      </c>
      <c r="I3789" t="str">
        <f>IFERROR(VLOOKUP($A3789,原始数据_利率互换_FR007_1年!$A$6:$C$4395,3,0),"")</f>
        <v/>
      </c>
    </row>
    <row r="3790" spans="1:9">
      <c r="A3790" s="6">
        <v>43283</v>
      </c>
      <c r="B3790">
        <f>IFERROR(VLOOKUP($A3790,原始数据_收盘!$A$4:$G$3460,2,0),"")</f>
        <v>2.9607</v>
      </c>
      <c r="C3790">
        <f>IFERROR(VLOOKUP($A3790,原始数据_收盘!$A$4:$G$3460,3,0),"")</f>
        <v>3.2809</v>
      </c>
      <c r="D3790">
        <f>IFERROR(VLOOKUP($A3790,原始数据_收盘!$A$4:$G$3460,4,0),"")</f>
        <v>2.97</v>
      </c>
      <c r="E3790">
        <f>IFERROR(VLOOKUP($A3790,原始数据_收盘!$A$4:$G$3460,5,0),"")</f>
        <v>3.285</v>
      </c>
      <c r="F3790">
        <f>IFERROR(VLOOKUP($A3790,原始数据_收盘!$A$4:$G$3460,6,0),"")</f>
        <v>2.9653</v>
      </c>
      <c r="G3790">
        <f>IFERROR(VLOOKUP($A3790,原始数据_收盘!$A$4:$G$3460,7,0),"")</f>
        <v>3.283</v>
      </c>
      <c r="H3790">
        <f>IFERROR(VLOOKUP($A3790,原始数据_利率互换_FR007_1年!$A$6:$C$4395,2,0),"")</f>
        <v>2.9753</v>
      </c>
      <c r="I3790">
        <f>IFERROR(VLOOKUP($A3790,原始数据_利率互换_FR007_1年!$A$6:$C$4395,3,0),"")</f>
        <v>3.2963</v>
      </c>
    </row>
    <row r="3791" spans="1:9">
      <c r="A3791" s="6">
        <v>43284</v>
      </c>
      <c r="B3791">
        <f>IFERROR(VLOOKUP($A3791,原始数据_收盘!$A$4:$G$3460,2,0),"")</f>
        <v>2.975</v>
      </c>
      <c r="C3791">
        <f>IFERROR(VLOOKUP($A3791,原始数据_收盘!$A$4:$G$3460,3,0),"")</f>
        <v>3.3075</v>
      </c>
      <c r="D3791">
        <f>IFERROR(VLOOKUP($A3791,原始数据_收盘!$A$4:$G$3460,4,0),"")</f>
        <v>2.98</v>
      </c>
      <c r="E3791">
        <f>IFERROR(VLOOKUP($A3791,原始数据_收盘!$A$4:$G$3460,5,0),"")</f>
        <v>3.3125</v>
      </c>
      <c r="F3791">
        <f>IFERROR(VLOOKUP($A3791,原始数据_收盘!$A$4:$G$3460,6,0),"")</f>
        <v>2.9775</v>
      </c>
      <c r="G3791">
        <f>IFERROR(VLOOKUP($A3791,原始数据_收盘!$A$4:$G$3460,7,0),"")</f>
        <v>3.31</v>
      </c>
      <c r="H3791">
        <f>IFERROR(VLOOKUP($A3791,原始数据_利率互换_FR007_1年!$A$6:$C$4395,2,0),"")</f>
        <v>2.9751</v>
      </c>
      <c r="I3791">
        <f>IFERROR(VLOOKUP($A3791,原始数据_利率互换_FR007_1年!$A$6:$C$4395,3,0),"")</f>
        <v>3.3002</v>
      </c>
    </row>
    <row r="3792" spans="1:9">
      <c r="A3792" s="6">
        <v>43285</v>
      </c>
      <c r="B3792">
        <f>IFERROR(VLOOKUP($A3792,原始数据_收盘!$A$4:$G$3460,2,0),"")</f>
        <v>2.965</v>
      </c>
      <c r="C3792">
        <f>IFERROR(VLOOKUP($A3792,原始数据_收盘!$A$4:$G$3460,3,0),"")</f>
        <v>3.3025</v>
      </c>
      <c r="D3792">
        <f>IFERROR(VLOOKUP($A3792,原始数据_收盘!$A$4:$G$3460,4,0),"")</f>
        <v>2.97</v>
      </c>
      <c r="E3792">
        <f>IFERROR(VLOOKUP($A3792,原始数据_收盘!$A$4:$G$3460,5,0),"")</f>
        <v>3.305</v>
      </c>
      <c r="F3792">
        <f>IFERROR(VLOOKUP($A3792,原始数据_收盘!$A$4:$G$3460,6,0),"")</f>
        <v>2.9675</v>
      </c>
      <c r="G3792">
        <f>IFERROR(VLOOKUP($A3792,原始数据_收盘!$A$4:$G$3460,7,0),"")</f>
        <v>3.3038</v>
      </c>
      <c r="H3792">
        <f>IFERROR(VLOOKUP($A3792,原始数据_利率互换_FR007_1年!$A$6:$C$4395,2,0),"")</f>
        <v>2.9775</v>
      </c>
      <c r="I3792">
        <f>IFERROR(VLOOKUP($A3792,原始数据_利率互换_FR007_1年!$A$6:$C$4395,3,0),"")</f>
        <v>3.3089</v>
      </c>
    </row>
    <row r="3793" spans="1:9">
      <c r="A3793" s="6">
        <v>43286</v>
      </c>
      <c r="B3793">
        <f>IFERROR(VLOOKUP($A3793,原始数据_收盘!$A$4:$G$3460,2,0),"")</f>
        <v>2.865</v>
      </c>
      <c r="C3793">
        <f>IFERROR(VLOOKUP($A3793,原始数据_收盘!$A$4:$G$3460,3,0),"")</f>
        <v>3.2325</v>
      </c>
      <c r="D3793">
        <f>IFERROR(VLOOKUP($A3793,原始数据_收盘!$A$4:$G$3460,4,0),"")</f>
        <v>2.8763</v>
      </c>
      <c r="E3793">
        <f>IFERROR(VLOOKUP($A3793,原始数据_收盘!$A$4:$G$3460,5,0),"")</f>
        <v>3.24</v>
      </c>
      <c r="F3793">
        <f>IFERROR(VLOOKUP($A3793,原始数据_收盘!$A$4:$G$3460,6,0),"")</f>
        <v>2.8706</v>
      </c>
      <c r="G3793">
        <f>IFERROR(VLOOKUP($A3793,原始数据_收盘!$A$4:$G$3460,7,0),"")</f>
        <v>3.2363</v>
      </c>
      <c r="H3793">
        <f>IFERROR(VLOOKUP($A3793,原始数据_利率互换_FR007_1年!$A$6:$C$4395,2,0),"")</f>
        <v>2.9026</v>
      </c>
      <c r="I3793">
        <f>IFERROR(VLOOKUP($A3793,原始数据_利率互换_FR007_1年!$A$6:$C$4395,3,0),"")</f>
        <v>3.253</v>
      </c>
    </row>
    <row r="3794" spans="1:9">
      <c r="A3794" s="6">
        <v>43287</v>
      </c>
      <c r="B3794">
        <f>IFERROR(VLOOKUP($A3794,原始数据_收盘!$A$4:$G$3460,2,0),"")</f>
        <v>2.8164</v>
      </c>
      <c r="C3794">
        <f>IFERROR(VLOOKUP($A3794,原始数据_收盘!$A$4:$G$3460,3,0),"")</f>
        <v>3.2093</v>
      </c>
      <c r="D3794">
        <f>IFERROR(VLOOKUP($A3794,原始数据_收盘!$A$4:$G$3460,4,0),"")</f>
        <v>2.8344</v>
      </c>
      <c r="E3794">
        <f>IFERROR(VLOOKUP($A3794,原始数据_收盘!$A$4:$G$3460,5,0),"")</f>
        <v>3.217</v>
      </c>
      <c r="F3794">
        <f>IFERROR(VLOOKUP($A3794,原始数据_收盘!$A$4:$G$3460,6,0),"")</f>
        <v>2.8254</v>
      </c>
      <c r="G3794">
        <f>IFERROR(VLOOKUP($A3794,原始数据_收盘!$A$4:$G$3460,7,0),"")</f>
        <v>3.2131</v>
      </c>
      <c r="H3794">
        <f>IFERROR(VLOOKUP($A3794,原始数据_利率互换_FR007_1年!$A$6:$C$4395,2,0),"")</f>
        <v>2.8288</v>
      </c>
      <c r="I3794">
        <f>IFERROR(VLOOKUP($A3794,原始数据_利率互换_FR007_1年!$A$6:$C$4395,3,0),"")</f>
        <v>3.2149</v>
      </c>
    </row>
    <row r="3795" spans="1:9">
      <c r="A3795" s="6">
        <v>43288</v>
      </c>
      <c r="B3795" t="str">
        <f>IFERROR(VLOOKUP($A3795,原始数据_收盘!$A$4:$G$3460,2,0),"")</f>
        <v/>
      </c>
      <c r="C3795" t="str">
        <f>IFERROR(VLOOKUP($A3795,原始数据_收盘!$A$4:$G$3460,3,0),"")</f>
        <v/>
      </c>
      <c r="D3795" t="str">
        <f>IFERROR(VLOOKUP($A3795,原始数据_收盘!$A$4:$G$3460,4,0),"")</f>
        <v/>
      </c>
      <c r="E3795" t="str">
        <f>IFERROR(VLOOKUP($A3795,原始数据_收盘!$A$4:$G$3460,5,0),"")</f>
        <v/>
      </c>
      <c r="F3795" t="str">
        <f>IFERROR(VLOOKUP($A3795,原始数据_收盘!$A$4:$G$3460,6,0),"")</f>
        <v/>
      </c>
      <c r="G3795" t="str">
        <f>IFERROR(VLOOKUP($A3795,原始数据_收盘!$A$4:$G$3460,7,0),"")</f>
        <v/>
      </c>
      <c r="H3795" t="str">
        <f>IFERROR(VLOOKUP($A3795,原始数据_利率互换_FR007_1年!$A$6:$C$4395,2,0),"")</f>
        <v/>
      </c>
      <c r="I3795" t="str">
        <f>IFERROR(VLOOKUP($A3795,原始数据_利率互换_FR007_1年!$A$6:$C$4395,3,0),"")</f>
        <v/>
      </c>
    </row>
    <row r="3796" spans="1:9">
      <c r="A3796" s="6">
        <v>43289</v>
      </c>
      <c r="B3796" t="str">
        <f>IFERROR(VLOOKUP($A3796,原始数据_收盘!$A$4:$G$3460,2,0),"")</f>
        <v/>
      </c>
      <c r="C3796" t="str">
        <f>IFERROR(VLOOKUP($A3796,原始数据_收盘!$A$4:$G$3460,3,0),"")</f>
        <v/>
      </c>
      <c r="D3796" t="str">
        <f>IFERROR(VLOOKUP($A3796,原始数据_收盘!$A$4:$G$3460,4,0),"")</f>
        <v/>
      </c>
      <c r="E3796" t="str">
        <f>IFERROR(VLOOKUP($A3796,原始数据_收盘!$A$4:$G$3460,5,0),"")</f>
        <v/>
      </c>
      <c r="F3796" t="str">
        <f>IFERROR(VLOOKUP($A3796,原始数据_收盘!$A$4:$G$3460,6,0),"")</f>
        <v/>
      </c>
      <c r="G3796" t="str">
        <f>IFERROR(VLOOKUP($A3796,原始数据_收盘!$A$4:$G$3460,7,0),"")</f>
        <v/>
      </c>
      <c r="H3796" t="str">
        <f>IFERROR(VLOOKUP($A3796,原始数据_利率互换_FR007_1年!$A$6:$C$4395,2,0),"")</f>
        <v/>
      </c>
      <c r="I3796" t="str">
        <f>IFERROR(VLOOKUP($A3796,原始数据_利率互换_FR007_1年!$A$6:$C$4395,3,0),"")</f>
        <v/>
      </c>
    </row>
    <row r="3797" spans="1:9">
      <c r="A3797" s="6">
        <v>43290</v>
      </c>
      <c r="B3797">
        <f>IFERROR(VLOOKUP($A3797,原始数据_收盘!$A$4:$G$3460,2,0),"")</f>
        <v>2.89</v>
      </c>
      <c r="C3797">
        <f>IFERROR(VLOOKUP($A3797,原始数据_收盘!$A$4:$G$3460,3,0),"")</f>
        <v>3.275</v>
      </c>
      <c r="D3797">
        <f>IFERROR(VLOOKUP($A3797,原始数据_收盘!$A$4:$G$3460,4,0),"")</f>
        <v>2.9</v>
      </c>
      <c r="E3797">
        <f>IFERROR(VLOOKUP($A3797,原始数据_收盘!$A$4:$G$3460,5,0),"")</f>
        <v>3.28</v>
      </c>
      <c r="F3797">
        <f>IFERROR(VLOOKUP($A3797,原始数据_收盘!$A$4:$G$3460,6,0),"")</f>
        <v>2.895</v>
      </c>
      <c r="G3797">
        <f>IFERROR(VLOOKUP($A3797,原始数据_收盘!$A$4:$G$3460,7,0),"")</f>
        <v>3.2775</v>
      </c>
      <c r="H3797">
        <f>IFERROR(VLOOKUP($A3797,原始数据_利率互换_FR007_1年!$A$6:$C$4395,2,0),"")</f>
        <v>2.8705</v>
      </c>
      <c r="I3797">
        <f>IFERROR(VLOOKUP($A3797,原始数据_利率互换_FR007_1年!$A$6:$C$4395,3,0),"")</f>
        <v>3.2436</v>
      </c>
    </row>
    <row r="3798" spans="1:9">
      <c r="A3798" s="6">
        <v>43291</v>
      </c>
      <c r="B3798">
        <f>IFERROR(VLOOKUP($A3798,原始数据_收盘!$A$4:$G$3460,2,0),"")</f>
        <v>2.925</v>
      </c>
      <c r="C3798">
        <f>IFERROR(VLOOKUP($A3798,原始数据_收盘!$A$4:$G$3460,3,0),"")</f>
        <v>3.3045</v>
      </c>
      <c r="D3798">
        <f>IFERROR(VLOOKUP($A3798,原始数据_收盘!$A$4:$G$3460,4,0),"")</f>
        <v>2.9355</v>
      </c>
      <c r="E3798">
        <f>IFERROR(VLOOKUP($A3798,原始数据_收盘!$A$4:$G$3460,5,0),"")</f>
        <v>3.3116</v>
      </c>
      <c r="F3798">
        <f>IFERROR(VLOOKUP($A3798,原始数据_收盘!$A$4:$G$3460,6,0),"")</f>
        <v>2.9303</v>
      </c>
      <c r="G3798">
        <f>IFERROR(VLOOKUP($A3798,原始数据_收盘!$A$4:$G$3460,7,0),"")</f>
        <v>3.308</v>
      </c>
      <c r="H3798">
        <f>IFERROR(VLOOKUP($A3798,原始数据_利率互换_FR007_1年!$A$6:$C$4395,2,0),"")</f>
        <v>2.9149</v>
      </c>
      <c r="I3798">
        <f>IFERROR(VLOOKUP($A3798,原始数据_利率互换_FR007_1年!$A$6:$C$4395,3,0),"")</f>
        <v>3.2927</v>
      </c>
    </row>
    <row r="3799" spans="1:9">
      <c r="A3799" s="6">
        <v>43292</v>
      </c>
      <c r="B3799">
        <f>IFERROR(VLOOKUP($A3799,原始数据_收盘!$A$4:$G$3460,2,0),"")</f>
        <v>2.9132</v>
      </c>
      <c r="C3799">
        <f>IFERROR(VLOOKUP($A3799,原始数据_收盘!$A$4:$G$3460,3,0),"")</f>
        <v>3.262</v>
      </c>
      <c r="D3799">
        <f>IFERROR(VLOOKUP($A3799,原始数据_收盘!$A$4:$G$3460,4,0),"")</f>
        <v>2.9164</v>
      </c>
      <c r="E3799">
        <f>IFERROR(VLOOKUP($A3799,原始数据_收盘!$A$4:$G$3460,5,0),"")</f>
        <v>3.269</v>
      </c>
      <c r="F3799">
        <f>IFERROR(VLOOKUP($A3799,原始数据_收盘!$A$4:$G$3460,6,0),"")</f>
        <v>2.9148</v>
      </c>
      <c r="G3799">
        <f>IFERROR(VLOOKUP($A3799,原始数据_收盘!$A$4:$G$3460,7,0),"")</f>
        <v>3.2655</v>
      </c>
      <c r="H3799">
        <f>IFERROR(VLOOKUP($A3799,原始数据_利率互换_FR007_1年!$A$6:$C$4395,2,0),"")</f>
        <v>2.9108</v>
      </c>
      <c r="I3799">
        <f>IFERROR(VLOOKUP($A3799,原始数据_利率互换_FR007_1年!$A$6:$C$4395,3,0),"")</f>
        <v>3.268</v>
      </c>
    </row>
    <row r="3800" spans="1:9">
      <c r="A3800" s="6">
        <v>43293</v>
      </c>
      <c r="B3800">
        <f>IFERROR(VLOOKUP($A3800,原始数据_收盘!$A$4:$G$3460,2,0),"")</f>
        <v>2.89</v>
      </c>
      <c r="C3800">
        <f>IFERROR(VLOOKUP($A3800,原始数据_收盘!$A$4:$G$3460,3,0),"")</f>
        <v>3.255</v>
      </c>
      <c r="D3800">
        <f>IFERROR(VLOOKUP($A3800,原始数据_收盘!$A$4:$G$3460,4,0),"")</f>
        <v>2.9</v>
      </c>
      <c r="E3800">
        <f>IFERROR(VLOOKUP($A3800,原始数据_收盘!$A$4:$G$3460,5,0),"")</f>
        <v>3.2681</v>
      </c>
      <c r="F3800">
        <f>IFERROR(VLOOKUP($A3800,原始数据_收盘!$A$4:$G$3460,6,0),"")</f>
        <v>2.895</v>
      </c>
      <c r="G3800">
        <f>IFERROR(VLOOKUP($A3800,原始数据_收盘!$A$4:$G$3460,7,0),"")</f>
        <v>3.2616</v>
      </c>
      <c r="H3800">
        <f>IFERROR(VLOOKUP($A3800,原始数据_利率互换_FR007_1年!$A$6:$C$4395,2,0),"")</f>
        <v>2.899</v>
      </c>
      <c r="I3800">
        <f>IFERROR(VLOOKUP($A3800,原始数据_利率互换_FR007_1年!$A$6:$C$4395,3,0),"")</f>
        <v>3.2597</v>
      </c>
    </row>
    <row r="3801" spans="1:9">
      <c r="A3801" s="6">
        <v>43294</v>
      </c>
      <c r="B3801">
        <f>IFERROR(VLOOKUP($A3801,原始数据_收盘!$A$4:$G$3460,2,0),"")</f>
        <v>2.85</v>
      </c>
      <c r="C3801">
        <f>IFERROR(VLOOKUP($A3801,原始数据_收盘!$A$4:$G$3460,3,0),"")</f>
        <v>3.2075</v>
      </c>
      <c r="D3801">
        <f>IFERROR(VLOOKUP($A3801,原始数据_收盘!$A$4:$G$3460,4,0),"")</f>
        <v>2.865</v>
      </c>
      <c r="E3801">
        <f>IFERROR(VLOOKUP($A3801,原始数据_收盘!$A$4:$G$3460,5,0),"")</f>
        <v>3.2118</v>
      </c>
      <c r="F3801">
        <f>IFERROR(VLOOKUP($A3801,原始数据_收盘!$A$4:$G$3460,6,0),"")</f>
        <v>2.8575</v>
      </c>
      <c r="G3801">
        <f>IFERROR(VLOOKUP($A3801,原始数据_收盘!$A$4:$G$3460,7,0),"")</f>
        <v>3.2096</v>
      </c>
      <c r="H3801">
        <f>IFERROR(VLOOKUP($A3801,原始数据_利率互换_FR007_1年!$A$6:$C$4395,2,0),"")</f>
        <v>2.8793</v>
      </c>
      <c r="I3801">
        <f>IFERROR(VLOOKUP($A3801,原始数据_利率互换_FR007_1年!$A$6:$C$4395,3,0),"")</f>
        <v>3.2348</v>
      </c>
    </row>
    <row r="3802" spans="1:9">
      <c r="A3802" s="6">
        <v>43295</v>
      </c>
      <c r="B3802" t="str">
        <f>IFERROR(VLOOKUP($A3802,原始数据_收盘!$A$4:$G$3460,2,0),"")</f>
        <v/>
      </c>
      <c r="C3802" t="str">
        <f>IFERROR(VLOOKUP($A3802,原始数据_收盘!$A$4:$G$3460,3,0),"")</f>
        <v/>
      </c>
      <c r="D3802" t="str">
        <f>IFERROR(VLOOKUP($A3802,原始数据_收盘!$A$4:$G$3460,4,0),"")</f>
        <v/>
      </c>
      <c r="E3802" t="str">
        <f>IFERROR(VLOOKUP($A3802,原始数据_收盘!$A$4:$G$3460,5,0),"")</f>
        <v/>
      </c>
      <c r="F3802" t="str">
        <f>IFERROR(VLOOKUP($A3802,原始数据_收盘!$A$4:$G$3460,6,0),"")</f>
        <v/>
      </c>
      <c r="G3802" t="str">
        <f>IFERROR(VLOOKUP($A3802,原始数据_收盘!$A$4:$G$3460,7,0),"")</f>
        <v/>
      </c>
      <c r="H3802" t="str">
        <f>IFERROR(VLOOKUP($A3802,原始数据_利率互换_FR007_1年!$A$6:$C$4395,2,0),"")</f>
        <v/>
      </c>
      <c r="I3802" t="str">
        <f>IFERROR(VLOOKUP($A3802,原始数据_利率互换_FR007_1年!$A$6:$C$4395,3,0),"")</f>
        <v/>
      </c>
    </row>
    <row r="3803" spans="1:9">
      <c r="A3803" s="6">
        <v>43296</v>
      </c>
      <c r="B3803" t="str">
        <f>IFERROR(VLOOKUP($A3803,原始数据_收盘!$A$4:$G$3460,2,0),"")</f>
        <v/>
      </c>
      <c r="C3803" t="str">
        <f>IFERROR(VLOOKUP($A3803,原始数据_收盘!$A$4:$G$3460,3,0),"")</f>
        <v/>
      </c>
      <c r="D3803" t="str">
        <f>IFERROR(VLOOKUP($A3803,原始数据_收盘!$A$4:$G$3460,4,0),"")</f>
        <v/>
      </c>
      <c r="E3803" t="str">
        <f>IFERROR(VLOOKUP($A3803,原始数据_收盘!$A$4:$G$3460,5,0),"")</f>
        <v/>
      </c>
      <c r="F3803" t="str">
        <f>IFERROR(VLOOKUP($A3803,原始数据_收盘!$A$4:$G$3460,6,0),"")</f>
        <v/>
      </c>
      <c r="G3803" t="str">
        <f>IFERROR(VLOOKUP($A3803,原始数据_收盘!$A$4:$G$3460,7,0),"")</f>
        <v/>
      </c>
      <c r="H3803" t="str">
        <f>IFERROR(VLOOKUP($A3803,原始数据_利率互换_FR007_1年!$A$6:$C$4395,2,0),"")</f>
        <v/>
      </c>
      <c r="I3803" t="str">
        <f>IFERROR(VLOOKUP($A3803,原始数据_利率互换_FR007_1年!$A$6:$C$4395,3,0),"")</f>
        <v/>
      </c>
    </row>
    <row r="3804" spans="1:9">
      <c r="A3804" s="6">
        <v>43297</v>
      </c>
      <c r="B3804">
        <f>IFERROR(VLOOKUP($A3804,原始数据_收盘!$A$4:$G$3460,2,0),"")</f>
        <v>2.856</v>
      </c>
      <c r="C3804">
        <f>IFERROR(VLOOKUP($A3804,原始数据_收盘!$A$4:$G$3460,3,0),"")</f>
        <v>3.192</v>
      </c>
      <c r="D3804">
        <f>IFERROR(VLOOKUP($A3804,原始数据_收盘!$A$4:$G$3460,4,0),"")</f>
        <v>2.87</v>
      </c>
      <c r="E3804">
        <f>IFERROR(VLOOKUP($A3804,原始数据_收盘!$A$4:$G$3460,5,0),"")</f>
        <v>3.1975</v>
      </c>
      <c r="F3804">
        <f>IFERROR(VLOOKUP($A3804,原始数据_收盘!$A$4:$G$3460,6,0),"")</f>
        <v>2.863</v>
      </c>
      <c r="G3804">
        <f>IFERROR(VLOOKUP($A3804,原始数据_收盘!$A$4:$G$3460,7,0),"")</f>
        <v>3.1947</v>
      </c>
      <c r="H3804">
        <f>IFERROR(VLOOKUP($A3804,原始数据_利率互换_FR007_1年!$A$6:$C$4395,2,0),"")</f>
        <v>2.8621</v>
      </c>
      <c r="I3804">
        <f>IFERROR(VLOOKUP($A3804,原始数据_利率互换_FR007_1年!$A$6:$C$4395,3,0),"")</f>
        <v>3.1872</v>
      </c>
    </row>
    <row r="3805" spans="1:9">
      <c r="A3805" s="6">
        <v>43298</v>
      </c>
      <c r="B3805">
        <f>IFERROR(VLOOKUP($A3805,原始数据_收盘!$A$4:$G$3460,2,0),"")</f>
        <v>2.8691</v>
      </c>
      <c r="C3805">
        <f>IFERROR(VLOOKUP($A3805,原始数据_收盘!$A$4:$G$3460,3,0),"")</f>
        <v>3.1909</v>
      </c>
      <c r="D3805">
        <f>IFERROR(VLOOKUP($A3805,原始数据_收盘!$A$4:$G$3460,4,0),"")</f>
        <v>2.8756</v>
      </c>
      <c r="E3805">
        <f>IFERROR(VLOOKUP($A3805,原始数据_收盘!$A$4:$G$3460,5,0),"")</f>
        <v>3.195</v>
      </c>
      <c r="F3805">
        <f>IFERROR(VLOOKUP($A3805,原始数据_收盘!$A$4:$G$3460,6,0),"")</f>
        <v>2.8723</v>
      </c>
      <c r="G3805">
        <f>IFERROR(VLOOKUP($A3805,原始数据_收盘!$A$4:$G$3460,7,0),"")</f>
        <v>3.1929</v>
      </c>
      <c r="H3805">
        <f>IFERROR(VLOOKUP($A3805,原始数据_利率互换_FR007_1年!$A$6:$C$4395,2,0),"")</f>
        <v>2.8725</v>
      </c>
      <c r="I3805">
        <f>IFERROR(VLOOKUP($A3805,原始数据_利率互换_FR007_1年!$A$6:$C$4395,3,0),"")</f>
        <v>3.1958</v>
      </c>
    </row>
    <row r="3806" spans="1:9">
      <c r="A3806" s="6">
        <v>43299</v>
      </c>
      <c r="B3806">
        <f>IFERROR(VLOOKUP($A3806,原始数据_收盘!$A$4:$G$3460,2,0),"")</f>
        <v>2.8425</v>
      </c>
      <c r="C3806">
        <f>IFERROR(VLOOKUP($A3806,原始数据_收盘!$A$4:$G$3460,3,0),"")</f>
        <v>3.1622</v>
      </c>
      <c r="D3806">
        <f>IFERROR(VLOOKUP($A3806,原始数据_收盘!$A$4:$G$3460,4,0),"")</f>
        <v>2.845</v>
      </c>
      <c r="E3806">
        <f>IFERROR(VLOOKUP($A3806,原始数据_收盘!$A$4:$G$3460,5,0),"")</f>
        <v>3.165</v>
      </c>
      <c r="F3806">
        <f>IFERROR(VLOOKUP($A3806,原始数据_收盘!$A$4:$G$3460,6,0),"")</f>
        <v>2.8438</v>
      </c>
      <c r="G3806">
        <f>IFERROR(VLOOKUP($A3806,原始数据_收盘!$A$4:$G$3460,7,0),"")</f>
        <v>3.1636</v>
      </c>
      <c r="H3806">
        <f>IFERROR(VLOOKUP($A3806,原始数据_利率互换_FR007_1年!$A$6:$C$4395,2,0),"")</f>
        <v>2.8515</v>
      </c>
      <c r="I3806">
        <f>IFERROR(VLOOKUP($A3806,原始数据_利率互换_FR007_1年!$A$6:$C$4395,3,0),"")</f>
        <v>3.1665</v>
      </c>
    </row>
    <row r="3807" spans="1:9">
      <c r="A3807" s="6">
        <v>43300</v>
      </c>
      <c r="B3807">
        <f>IFERROR(VLOOKUP($A3807,原始数据_收盘!$A$4:$G$3460,2,0),"")</f>
        <v>2.7737</v>
      </c>
      <c r="C3807">
        <f>IFERROR(VLOOKUP($A3807,原始数据_收盘!$A$4:$G$3460,3,0),"")</f>
        <v>3.0841</v>
      </c>
      <c r="D3807">
        <f>IFERROR(VLOOKUP($A3807,原始数据_收盘!$A$4:$G$3460,4,0),"")</f>
        <v>2.7862</v>
      </c>
      <c r="E3807">
        <f>IFERROR(VLOOKUP($A3807,原始数据_收盘!$A$4:$G$3460,5,0),"")</f>
        <v>3.0903</v>
      </c>
      <c r="F3807">
        <f>IFERROR(VLOOKUP($A3807,原始数据_收盘!$A$4:$G$3460,6,0),"")</f>
        <v>2.7799</v>
      </c>
      <c r="G3807">
        <f>IFERROR(VLOOKUP($A3807,原始数据_收盘!$A$4:$G$3460,7,0),"")</f>
        <v>3.0872</v>
      </c>
      <c r="H3807">
        <f>IFERROR(VLOOKUP($A3807,原始数据_利率互换_FR007_1年!$A$6:$C$4395,2,0),"")</f>
        <v>2.8043</v>
      </c>
      <c r="I3807">
        <f>IFERROR(VLOOKUP($A3807,原始数据_利率互换_FR007_1年!$A$6:$C$4395,3,0),"")</f>
        <v>3.1227</v>
      </c>
    </row>
    <row r="3808" spans="1:9">
      <c r="A3808" s="6">
        <v>43301</v>
      </c>
      <c r="B3808">
        <f>IFERROR(VLOOKUP($A3808,原始数据_收盘!$A$4:$G$3460,2,0),"")</f>
        <v>2.8046</v>
      </c>
      <c r="C3808">
        <f>IFERROR(VLOOKUP($A3808,原始数据_收盘!$A$4:$G$3460,3,0),"")</f>
        <v>3.125</v>
      </c>
      <c r="D3808">
        <f>IFERROR(VLOOKUP($A3808,原始数据_收盘!$A$4:$G$3460,4,0),"")</f>
        <v>2.8174</v>
      </c>
      <c r="E3808">
        <f>IFERROR(VLOOKUP($A3808,原始数据_收盘!$A$4:$G$3460,5,0),"")</f>
        <v>3.1326</v>
      </c>
      <c r="F3808">
        <f>IFERROR(VLOOKUP($A3808,原始数据_收盘!$A$4:$G$3460,6,0),"")</f>
        <v>2.811</v>
      </c>
      <c r="G3808">
        <f>IFERROR(VLOOKUP($A3808,原始数据_收盘!$A$4:$G$3460,7,0),"")</f>
        <v>3.1288</v>
      </c>
      <c r="H3808">
        <f>IFERROR(VLOOKUP($A3808,原始数据_利率互换_FR007_1年!$A$6:$C$4395,2,0),"")</f>
        <v>2.7926</v>
      </c>
      <c r="I3808">
        <f>IFERROR(VLOOKUP($A3808,原始数据_利率互换_FR007_1年!$A$6:$C$4395,3,0),"")</f>
        <v>3.0986</v>
      </c>
    </row>
    <row r="3809" spans="1:9">
      <c r="A3809" s="6">
        <v>43302</v>
      </c>
      <c r="B3809" t="str">
        <f>IFERROR(VLOOKUP($A3809,原始数据_收盘!$A$4:$G$3460,2,0),"")</f>
        <v/>
      </c>
      <c r="C3809" t="str">
        <f>IFERROR(VLOOKUP($A3809,原始数据_收盘!$A$4:$G$3460,3,0),"")</f>
        <v/>
      </c>
      <c r="D3809" t="str">
        <f>IFERROR(VLOOKUP($A3809,原始数据_收盘!$A$4:$G$3460,4,0),"")</f>
        <v/>
      </c>
      <c r="E3809" t="str">
        <f>IFERROR(VLOOKUP($A3809,原始数据_收盘!$A$4:$G$3460,5,0),"")</f>
        <v/>
      </c>
      <c r="F3809" t="str">
        <f>IFERROR(VLOOKUP($A3809,原始数据_收盘!$A$4:$G$3460,6,0),"")</f>
        <v/>
      </c>
      <c r="G3809" t="str">
        <f>IFERROR(VLOOKUP($A3809,原始数据_收盘!$A$4:$G$3460,7,0),"")</f>
        <v/>
      </c>
      <c r="H3809" t="str">
        <f>IFERROR(VLOOKUP($A3809,原始数据_利率互换_FR007_1年!$A$6:$C$4395,2,0),"")</f>
        <v/>
      </c>
      <c r="I3809" t="str">
        <f>IFERROR(VLOOKUP($A3809,原始数据_利率互换_FR007_1年!$A$6:$C$4395,3,0),"")</f>
        <v/>
      </c>
    </row>
    <row r="3810" spans="1:9">
      <c r="A3810" s="6">
        <v>43303</v>
      </c>
      <c r="B3810" t="str">
        <f>IFERROR(VLOOKUP($A3810,原始数据_收盘!$A$4:$G$3460,2,0),"")</f>
        <v/>
      </c>
      <c r="C3810" t="str">
        <f>IFERROR(VLOOKUP($A3810,原始数据_收盘!$A$4:$G$3460,3,0),"")</f>
        <v/>
      </c>
      <c r="D3810" t="str">
        <f>IFERROR(VLOOKUP($A3810,原始数据_收盘!$A$4:$G$3460,4,0),"")</f>
        <v/>
      </c>
      <c r="E3810" t="str">
        <f>IFERROR(VLOOKUP($A3810,原始数据_收盘!$A$4:$G$3460,5,0),"")</f>
        <v/>
      </c>
      <c r="F3810" t="str">
        <f>IFERROR(VLOOKUP($A3810,原始数据_收盘!$A$4:$G$3460,6,0),"")</f>
        <v/>
      </c>
      <c r="G3810" t="str">
        <f>IFERROR(VLOOKUP($A3810,原始数据_收盘!$A$4:$G$3460,7,0),"")</f>
        <v/>
      </c>
      <c r="H3810" t="str">
        <f>IFERROR(VLOOKUP($A3810,原始数据_利率互换_FR007_1年!$A$6:$C$4395,2,0),"")</f>
        <v/>
      </c>
      <c r="I3810" t="str">
        <f>IFERROR(VLOOKUP($A3810,原始数据_利率互换_FR007_1年!$A$6:$C$4395,3,0),"")</f>
        <v/>
      </c>
    </row>
    <row r="3811" spans="1:9">
      <c r="A3811" s="6">
        <v>43304</v>
      </c>
      <c r="B3811">
        <f>IFERROR(VLOOKUP($A3811,原始数据_收盘!$A$4:$G$3460,2,0),"")</f>
        <v>2.7935</v>
      </c>
      <c r="C3811">
        <f>IFERROR(VLOOKUP($A3811,原始数据_收盘!$A$4:$G$3460,3,0),"")</f>
        <v>3.137</v>
      </c>
      <c r="D3811">
        <f>IFERROR(VLOOKUP($A3811,原始数据_收盘!$A$4:$G$3460,4,0),"")</f>
        <v>2.7975</v>
      </c>
      <c r="E3811">
        <f>IFERROR(VLOOKUP($A3811,原始数据_收盘!$A$4:$G$3460,5,0),"")</f>
        <v>3.14</v>
      </c>
      <c r="F3811">
        <f>IFERROR(VLOOKUP($A3811,原始数据_收盘!$A$4:$G$3460,6,0),"")</f>
        <v>2.7955</v>
      </c>
      <c r="G3811">
        <f>IFERROR(VLOOKUP($A3811,原始数据_收盘!$A$4:$G$3460,7,0),"")</f>
        <v>3.1385</v>
      </c>
      <c r="H3811">
        <f>IFERROR(VLOOKUP($A3811,原始数据_利率互换_FR007_1年!$A$6:$C$4395,2,0),"")</f>
        <v>2.7935</v>
      </c>
      <c r="I3811">
        <f>IFERROR(VLOOKUP($A3811,原始数据_利率互换_FR007_1年!$A$6:$C$4395,3,0),"")</f>
        <v>3.1348</v>
      </c>
    </row>
    <row r="3812" spans="1:9">
      <c r="A3812" s="6">
        <v>43305</v>
      </c>
      <c r="B3812">
        <f>IFERROR(VLOOKUP($A3812,原始数据_收盘!$A$4:$G$3460,2,0),"")</f>
        <v>2.795</v>
      </c>
      <c r="C3812">
        <f>IFERROR(VLOOKUP($A3812,原始数据_收盘!$A$4:$G$3460,3,0),"")</f>
        <v>3.18</v>
      </c>
      <c r="D3812">
        <f>IFERROR(VLOOKUP($A3812,原始数据_收盘!$A$4:$G$3460,4,0),"")</f>
        <v>2.8</v>
      </c>
      <c r="E3812">
        <f>IFERROR(VLOOKUP($A3812,原始数据_收盘!$A$4:$G$3460,5,0),"")</f>
        <v>3.1844</v>
      </c>
      <c r="F3812">
        <f>IFERROR(VLOOKUP($A3812,原始数据_收盘!$A$4:$G$3460,6,0),"")</f>
        <v>2.7975</v>
      </c>
      <c r="G3812">
        <f>IFERROR(VLOOKUP($A3812,原始数据_收盘!$A$4:$G$3460,7,0),"")</f>
        <v>3.1822</v>
      </c>
      <c r="H3812">
        <f>IFERROR(VLOOKUP($A3812,原始数据_利率互换_FR007_1年!$A$6:$C$4395,2,0),"")</f>
        <v>2.8011</v>
      </c>
      <c r="I3812">
        <f>IFERROR(VLOOKUP($A3812,原始数据_利率互换_FR007_1年!$A$6:$C$4395,3,0),"")</f>
        <v>3.1841</v>
      </c>
    </row>
    <row r="3813" spans="1:9">
      <c r="A3813" s="6">
        <v>43306</v>
      </c>
      <c r="B3813">
        <f>IFERROR(VLOOKUP($A3813,原始数据_收盘!$A$4:$G$3460,2,0),"")</f>
        <v>2.83</v>
      </c>
      <c r="C3813">
        <f>IFERROR(VLOOKUP($A3813,原始数据_收盘!$A$4:$G$3460,3,0),"")</f>
        <v>3.2232</v>
      </c>
      <c r="D3813">
        <f>IFERROR(VLOOKUP($A3813,原始数据_收盘!$A$4:$G$3460,4,0),"")</f>
        <v>2.8471</v>
      </c>
      <c r="E3813">
        <f>IFERROR(VLOOKUP($A3813,原始数据_收盘!$A$4:$G$3460,5,0),"")</f>
        <v>3.2332</v>
      </c>
      <c r="F3813">
        <f>IFERROR(VLOOKUP($A3813,原始数据_收盘!$A$4:$G$3460,6,0),"")</f>
        <v>2.8386</v>
      </c>
      <c r="G3813">
        <f>IFERROR(VLOOKUP($A3813,原始数据_收盘!$A$4:$G$3460,7,0),"")</f>
        <v>3.2282</v>
      </c>
      <c r="H3813">
        <f>IFERROR(VLOOKUP($A3813,原始数据_利率互换_FR007_1年!$A$6:$C$4395,2,0),"")</f>
        <v>2.8122</v>
      </c>
      <c r="I3813">
        <f>IFERROR(VLOOKUP($A3813,原始数据_利率互换_FR007_1年!$A$6:$C$4395,3,0),"")</f>
        <v>3.1966</v>
      </c>
    </row>
    <row r="3814" spans="1:9">
      <c r="A3814" s="6">
        <v>43307</v>
      </c>
      <c r="B3814">
        <f>IFERROR(VLOOKUP($A3814,原始数据_收盘!$A$4:$G$3460,2,0),"")</f>
        <v>2.8075</v>
      </c>
      <c r="C3814">
        <f>IFERROR(VLOOKUP($A3814,原始数据_收盘!$A$4:$G$3460,3,0),"")</f>
        <v>3.1956</v>
      </c>
      <c r="D3814">
        <f>IFERROR(VLOOKUP($A3814,原始数据_收盘!$A$4:$G$3460,4,0),"")</f>
        <v>2.815</v>
      </c>
      <c r="E3814">
        <f>IFERROR(VLOOKUP($A3814,原始数据_收盘!$A$4:$G$3460,5,0),"")</f>
        <v>3.1985</v>
      </c>
      <c r="F3814">
        <f>IFERROR(VLOOKUP($A3814,原始数据_收盘!$A$4:$G$3460,6,0),"")</f>
        <v>2.8113</v>
      </c>
      <c r="G3814">
        <f>IFERROR(VLOOKUP($A3814,原始数据_收盘!$A$4:$G$3460,7,0),"")</f>
        <v>3.197</v>
      </c>
      <c r="H3814">
        <f>IFERROR(VLOOKUP($A3814,原始数据_利率互换_FR007_1年!$A$6:$C$4395,2,0),"")</f>
        <v>2.8234</v>
      </c>
      <c r="I3814">
        <f>IFERROR(VLOOKUP($A3814,原始数据_利率互换_FR007_1年!$A$6:$C$4395,3,0),"")</f>
        <v>3.2044</v>
      </c>
    </row>
    <row r="3815" spans="1:9">
      <c r="A3815" s="6">
        <v>43308</v>
      </c>
      <c r="B3815">
        <f>IFERROR(VLOOKUP($A3815,原始数据_收盘!$A$4:$G$3460,2,0),"")</f>
        <v>2.7939</v>
      </c>
      <c r="C3815">
        <f>IFERROR(VLOOKUP($A3815,原始数据_收盘!$A$4:$G$3460,3,0),"")</f>
        <v>3.1673</v>
      </c>
      <c r="D3815">
        <f>IFERROR(VLOOKUP($A3815,原始数据_收盘!$A$4:$G$3460,4,0),"")</f>
        <v>2.8</v>
      </c>
      <c r="E3815">
        <f>IFERROR(VLOOKUP($A3815,原始数据_收盘!$A$4:$G$3460,5,0),"")</f>
        <v>3.1705</v>
      </c>
      <c r="F3815">
        <f>IFERROR(VLOOKUP($A3815,原始数据_收盘!$A$4:$G$3460,6,0),"")</f>
        <v>2.797</v>
      </c>
      <c r="G3815">
        <f>IFERROR(VLOOKUP($A3815,原始数据_收盘!$A$4:$G$3460,7,0),"")</f>
        <v>3.1689</v>
      </c>
      <c r="H3815" t="str">
        <f>IFERROR(VLOOKUP($A3815,原始数据_利率互换_FR007_1年!$A$6:$C$4395,2,0),"")</f>
        <v/>
      </c>
      <c r="I3815" t="str">
        <f>IFERROR(VLOOKUP($A3815,原始数据_利率互换_FR007_1年!$A$6:$C$4395,3,0),"")</f>
        <v/>
      </c>
    </row>
    <row r="3816" spans="1:9">
      <c r="A3816" s="6">
        <v>43309</v>
      </c>
      <c r="B3816" t="str">
        <f>IFERROR(VLOOKUP($A3816,原始数据_收盘!$A$4:$G$3460,2,0),"")</f>
        <v/>
      </c>
      <c r="C3816" t="str">
        <f>IFERROR(VLOOKUP($A3816,原始数据_收盘!$A$4:$G$3460,3,0),"")</f>
        <v/>
      </c>
      <c r="D3816" t="str">
        <f>IFERROR(VLOOKUP($A3816,原始数据_收盘!$A$4:$G$3460,4,0),"")</f>
        <v/>
      </c>
      <c r="E3816" t="str">
        <f>IFERROR(VLOOKUP($A3816,原始数据_收盘!$A$4:$G$3460,5,0),"")</f>
        <v/>
      </c>
      <c r="F3816" t="str">
        <f>IFERROR(VLOOKUP($A3816,原始数据_收盘!$A$4:$G$3460,6,0),"")</f>
        <v/>
      </c>
      <c r="G3816" t="str">
        <f>IFERROR(VLOOKUP($A3816,原始数据_收盘!$A$4:$G$3460,7,0),"")</f>
        <v/>
      </c>
      <c r="H3816" t="str">
        <f>IFERROR(VLOOKUP($A3816,原始数据_利率互换_FR007_1年!$A$6:$C$4395,2,0),"")</f>
        <v/>
      </c>
      <c r="I3816" t="str">
        <f>IFERROR(VLOOKUP($A3816,原始数据_利率互换_FR007_1年!$A$6:$C$4395,3,0),"")</f>
        <v/>
      </c>
    </row>
    <row r="3817" spans="1:9">
      <c r="A3817" s="6">
        <v>43310</v>
      </c>
      <c r="B3817" t="str">
        <f>IFERROR(VLOOKUP($A3817,原始数据_收盘!$A$4:$G$3460,2,0),"")</f>
        <v/>
      </c>
      <c r="C3817" t="str">
        <f>IFERROR(VLOOKUP($A3817,原始数据_收盘!$A$4:$G$3460,3,0),"")</f>
        <v/>
      </c>
      <c r="D3817" t="str">
        <f>IFERROR(VLOOKUP($A3817,原始数据_收盘!$A$4:$G$3460,4,0),"")</f>
        <v/>
      </c>
      <c r="E3817" t="str">
        <f>IFERROR(VLOOKUP($A3817,原始数据_收盘!$A$4:$G$3460,5,0),"")</f>
        <v/>
      </c>
      <c r="F3817" t="str">
        <f>IFERROR(VLOOKUP($A3817,原始数据_收盘!$A$4:$G$3460,6,0),"")</f>
        <v/>
      </c>
      <c r="G3817" t="str">
        <f>IFERROR(VLOOKUP($A3817,原始数据_收盘!$A$4:$G$3460,7,0),"")</f>
        <v/>
      </c>
      <c r="H3817" t="str">
        <f>IFERROR(VLOOKUP($A3817,原始数据_利率互换_FR007_1年!$A$6:$C$4395,2,0),"")</f>
        <v/>
      </c>
      <c r="I3817" t="str">
        <f>IFERROR(VLOOKUP($A3817,原始数据_利率互换_FR007_1年!$A$6:$C$4395,3,0),"")</f>
        <v/>
      </c>
    </row>
    <row r="3818" spans="1:9">
      <c r="A3818" s="6">
        <v>43311</v>
      </c>
      <c r="B3818">
        <f>IFERROR(VLOOKUP($A3818,原始数据_收盘!$A$4:$G$3460,2,0),"")</f>
        <v>2.7897</v>
      </c>
      <c r="C3818">
        <f>IFERROR(VLOOKUP($A3818,原始数据_收盘!$A$4:$G$3460,3,0),"")</f>
        <v>3.165</v>
      </c>
      <c r="D3818">
        <f>IFERROR(VLOOKUP($A3818,原始数据_收盘!$A$4:$G$3460,4,0),"")</f>
        <v>2.79</v>
      </c>
      <c r="E3818">
        <f>IFERROR(VLOOKUP($A3818,原始数据_收盘!$A$4:$G$3460,5,0),"")</f>
        <v>3.17</v>
      </c>
      <c r="F3818">
        <f>IFERROR(VLOOKUP($A3818,原始数据_收盘!$A$4:$G$3460,6,0),"")</f>
        <v>2.7899</v>
      </c>
      <c r="G3818">
        <f>IFERROR(VLOOKUP($A3818,原始数据_收盘!$A$4:$G$3460,7,0),"")</f>
        <v>3.1675</v>
      </c>
      <c r="H3818">
        <f>IFERROR(VLOOKUP($A3818,原始数据_利率互换_FR007_1年!$A$6:$C$4395,2,0),"")</f>
        <v>2.792</v>
      </c>
      <c r="I3818">
        <f>IFERROR(VLOOKUP($A3818,原始数据_利率互换_FR007_1年!$A$6:$C$4395,3,0),"")</f>
        <v>3.1715</v>
      </c>
    </row>
    <row r="3819" spans="1:9">
      <c r="A3819" s="6">
        <v>43312</v>
      </c>
      <c r="B3819">
        <f>IFERROR(VLOOKUP($A3819,原始数据_收盘!$A$4:$G$3460,2,0),"")</f>
        <v>2.77</v>
      </c>
      <c r="C3819">
        <f>IFERROR(VLOOKUP($A3819,原始数据_收盘!$A$4:$G$3460,3,0),"")</f>
        <v>3.135</v>
      </c>
      <c r="D3819">
        <f>IFERROR(VLOOKUP($A3819,原始数据_收盘!$A$4:$G$3460,4,0),"")</f>
        <v>2.7811</v>
      </c>
      <c r="E3819">
        <f>IFERROR(VLOOKUP($A3819,原始数据_收盘!$A$4:$G$3460,5,0),"")</f>
        <v>3.145</v>
      </c>
      <c r="F3819">
        <f>IFERROR(VLOOKUP($A3819,原始数据_收盘!$A$4:$G$3460,6,0),"")</f>
        <v>2.7755</v>
      </c>
      <c r="G3819">
        <f>IFERROR(VLOOKUP($A3819,原始数据_收盘!$A$4:$G$3460,7,0),"")</f>
        <v>3.14</v>
      </c>
      <c r="H3819">
        <f>IFERROR(VLOOKUP($A3819,原始数据_利率互换_FR007_1年!$A$6:$C$4395,2,0),"")</f>
        <v>2.7875</v>
      </c>
      <c r="I3819">
        <f>IFERROR(VLOOKUP($A3819,原始数据_利率互换_FR007_1年!$A$6:$C$4395,3,0),"")</f>
        <v>3.1521</v>
      </c>
    </row>
    <row r="3820" spans="1:9">
      <c r="A3820" s="6">
        <v>43313</v>
      </c>
      <c r="B3820">
        <f>IFERROR(VLOOKUP($A3820,原始数据_收盘!$A$4:$G$3460,2,0),"")</f>
        <v>2.7751</v>
      </c>
      <c r="C3820">
        <f>IFERROR(VLOOKUP($A3820,原始数据_收盘!$A$4:$G$3460,3,0),"")</f>
        <v>3.1375</v>
      </c>
      <c r="D3820">
        <f>IFERROR(VLOOKUP($A3820,原始数据_收盘!$A$4:$G$3460,4,0),"")</f>
        <v>2.7774</v>
      </c>
      <c r="E3820">
        <f>IFERROR(VLOOKUP($A3820,原始数据_收盘!$A$4:$G$3460,5,0),"")</f>
        <v>3.1405</v>
      </c>
      <c r="F3820">
        <f>IFERROR(VLOOKUP($A3820,原始数据_收盘!$A$4:$G$3460,6,0),"")</f>
        <v>2.7763</v>
      </c>
      <c r="G3820">
        <f>IFERROR(VLOOKUP($A3820,原始数据_收盘!$A$4:$G$3460,7,0),"")</f>
        <v>3.139</v>
      </c>
      <c r="H3820" t="str">
        <f>IFERROR(VLOOKUP($A3820,原始数据_利率互换_FR007_1年!$A$6:$C$4395,2,0),"")</f>
        <v/>
      </c>
      <c r="I3820" t="str">
        <f>IFERROR(VLOOKUP($A3820,原始数据_利率互换_FR007_1年!$A$6:$C$4395,3,0),"")</f>
        <v/>
      </c>
    </row>
    <row r="3821" spans="1:9">
      <c r="A3821" s="6">
        <v>43314</v>
      </c>
      <c r="B3821">
        <f>IFERROR(VLOOKUP($A3821,原始数据_收盘!$A$4:$G$3460,2,0),"")</f>
        <v>2.75</v>
      </c>
      <c r="C3821">
        <f>IFERROR(VLOOKUP($A3821,原始数据_收盘!$A$4:$G$3460,3,0),"")</f>
        <v>3.1315</v>
      </c>
      <c r="D3821">
        <f>IFERROR(VLOOKUP($A3821,原始数据_收盘!$A$4:$G$3460,4,0),"")</f>
        <v>2.7593</v>
      </c>
      <c r="E3821">
        <f>IFERROR(VLOOKUP($A3821,原始数据_收盘!$A$4:$G$3460,5,0),"")</f>
        <v>3.135</v>
      </c>
      <c r="F3821">
        <f>IFERROR(VLOOKUP($A3821,原始数据_收盘!$A$4:$G$3460,6,0),"")</f>
        <v>2.7547</v>
      </c>
      <c r="G3821">
        <f>IFERROR(VLOOKUP($A3821,原始数据_收盘!$A$4:$G$3460,7,0),"")</f>
        <v>3.1333</v>
      </c>
      <c r="H3821">
        <f>IFERROR(VLOOKUP($A3821,原始数据_利率互换_FR007_1年!$A$6:$C$4395,2,0),"")</f>
        <v>2.7661</v>
      </c>
      <c r="I3821">
        <f>IFERROR(VLOOKUP($A3821,原始数据_利率互换_FR007_1年!$A$6:$C$4395,3,0),"")</f>
        <v>3.1406</v>
      </c>
    </row>
    <row r="3822" spans="1:9">
      <c r="A3822" s="6">
        <v>43315</v>
      </c>
      <c r="B3822">
        <f>IFERROR(VLOOKUP($A3822,原始数据_收盘!$A$4:$G$3460,2,0),"")</f>
        <v>2.6647</v>
      </c>
      <c r="C3822">
        <f>IFERROR(VLOOKUP($A3822,原始数据_收盘!$A$4:$G$3460,3,0),"")</f>
        <v>3.0598</v>
      </c>
      <c r="D3822">
        <f>IFERROR(VLOOKUP($A3822,原始数据_收盘!$A$4:$G$3460,4,0),"")</f>
        <v>2.6707</v>
      </c>
      <c r="E3822">
        <f>IFERROR(VLOOKUP($A3822,原始数据_收盘!$A$4:$G$3460,5,0),"")</f>
        <v>3.0667</v>
      </c>
      <c r="F3822">
        <f>IFERROR(VLOOKUP($A3822,原始数据_收盘!$A$4:$G$3460,6,0),"")</f>
        <v>2.6677</v>
      </c>
      <c r="G3822">
        <f>IFERROR(VLOOKUP($A3822,原始数据_收盘!$A$4:$G$3460,7,0),"")</f>
        <v>3.0632</v>
      </c>
      <c r="H3822">
        <f>IFERROR(VLOOKUP($A3822,原始数据_利率互换_FR007_1年!$A$6:$C$4395,2,0),"")</f>
        <v>2.6855</v>
      </c>
      <c r="I3822">
        <f>IFERROR(VLOOKUP($A3822,原始数据_利率互换_FR007_1年!$A$6:$C$4395,3,0),"")</f>
        <v>3.077</v>
      </c>
    </row>
    <row r="3823" spans="1:9">
      <c r="A3823" s="6">
        <v>43316</v>
      </c>
      <c r="B3823" t="str">
        <f>IFERROR(VLOOKUP($A3823,原始数据_收盘!$A$4:$G$3460,2,0),"")</f>
        <v/>
      </c>
      <c r="C3823" t="str">
        <f>IFERROR(VLOOKUP($A3823,原始数据_收盘!$A$4:$G$3460,3,0),"")</f>
        <v/>
      </c>
      <c r="D3823" t="str">
        <f>IFERROR(VLOOKUP($A3823,原始数据_收盘!$A$4:$G$3460,4,0),"")</f>
        <v/>
      </c>
      <c r="E3823" t="str">
        <f>IFERROR(VLOOKUP($A3823,原始数据_收盘!$A$4:$G$3460,5,0),"")</f>
        <v/>
      </c>
      <c r="F3823" t="str">
        <f>IFERROR(VLOOKUP($A3823,原始数据_收盘!$A$4:$G$3460,6,0),"")</f>
        <v/>
      </c>
      <c r="G3823" t="str">
        <f>IFERROR(VLOOKUP($A3823,原始数据_收盘!$A$4:$G$3460,7,0),"")</f>
        <v/>
      </c>
      <c r="H3823" t="str">
        <f>IFERROR(VLOOKUP($A3823,原始数据_利率互换_FR007_1年!$A$6:$C$4395,2,0),"")</f>
        <v/>
      </c>
      <c r="I3823" t="str">
        <f>IFERROR(VLOOKUP($A3823,原始数据_利率互换_FR007_1年!$A$6:$C$4395,3,0),"")</f>
        <v/>
      </c>
    </row>
    <row r="3824" spans="1:9">
      <c r="A3824" s="6">
        <v>43317</v>
      </c>
      <c r="B3824" t="str">
        <f>IFERROR(VLOOKUP($A3824,原始数据_收盘!$A$4:$G$3460,2,0),"")</f>
        <v/>
      </c>
      <c r="C3824" t="str">
        <f>IFERROR(VLOOKUP($A3824,原始数据_收盘!$A$4:$G$3460,3,0),"")</f>
        <v/>
      </c>
      <c r="D3824" t="str">
        <f>IFERROR(VLOOKUP($A3824,原始数据_收盘!$A$4:$G$3460,4,0),"")</f>
        <v/>
      </c>
      <c r="E3824" t="str">
        <f>IFERROR(VLOOKUP($A3824,原始数据_收盘!$A$4:$G$3460,5,0),"")</f>
        <v/>
      </c>
      <c r="F3824" t="str">
        <f>IFERROR(VLOOKUP($A3824,原始数据_收盘!$A$4:$G$3460,6,0),"")</f>
        <v/>
      </c>
      <c r="G3824" t="str">
        <f>IFERROR(VLOOKUP($A3824,原始数据_收盘!$A$4:$G$3460,7,0),"")</f>
        <v/>
      </c>
      <c r="H3824" t="str">
        <f>IFERROR(VLOOKUP($A3824,原始数据_利率互换_FR007_1年!$A$6:$C$4395,2,0),"")</f>
        <v/>
      </c>
      <c r="I3824" t="str">
        <f>IFERROR(VLOOKUP($A3824,原始数据_利率互换_FR007_1年!$A$6:$C$4395,3,0),"")</f>
        <v/>
      </c>
    </row>
    <row r="3825" spans="1:9">
      <c r="A3825" s="6">
        <v>43318</v>
      </c>
      <c r="B3825">
        <f>IFERROR(VLOOKUP($A3825,原始数据_收盘!$A$4:$G$3460,2,0),"")</f>
        <v>2.615</v>
      </c>
      <c r="C3825">
        <f>IFERROR(VLOOKUP($A3825,原始数据_收盘!$A$4:$G$3460,3,0),"")</f>
        <v>3.03</v>
      </c>
      <c r="D3825">
        <f>IFERROR(VLOOKUP($A3825,原始数据_收盘!$A$4:$G$3460,4,0),"")</f>
        <v>2.6258</v>
      </c>
      <c r="E3825">
        <f>IFERROR(VLOOKUP($A3825,原始数据_收盘!$A$4:$G$3460,5,0),"")</f>
        <v>3.04</v>
      </c>
      <c r="F3825">
        <f>IFERROR(VLOOKUP($A3825,原始数据_收盘!$A$4:$G$3460,6,0),"")</f>
        <v>2.6204</v>
      </c>
      <c r="G3825">
        <f>IFERROR(VLOOKUP($A3825,原始数据_收盘!$A$4:$G$3460,7,0),"")</f>
        <v>3.035</v>
      </c>
      <c r="H3825">
        <f>IFERROR(VLOOKUP($A3825,原始数据_利率互换_FR007_1年!$A$6:$C$4395,2,0),"")</f>
        <v>2.6364</v>
      </c>
      <c r="I3825">
        <f>IFERROR(VLOOKUP($A3825,原始数据_利率互换_FR007_1年!$A$6:$C$4395,3,0),"")</f>
        <v>3.0547</v>
      </c>
    </row>
    <row r="3826" spans="1:9">
      <c r="A3826" s="6">
        <v>43319</v>
      </c>
      <c r="B3826">
        <f>IFERROR(VLOOKUP($A3826,原始数据_收盘!$A$4:$G$3460,2,0),"")</f>
        <v>2.6225</v>
      </c>
      <c r="C3826">
        <f>IFERROR(VLOOKUP($A3826,原始数据_收盘!$A$4:$G$3460,3,0),"")</f>
        <v>3.0524</v>
      </c>
      <c r="D3826">
        <f>IFERROR(VLOOKUP($A3826,原始数据_收盘!$A$4:$G$3460,4,0),"")</f>
        <v>2.6556</v>
      </c>
      <c r="E3826">
        <f>IFERROR(VLOOKUP($A3826,原始数据_收盘!$A$4:$G$3460,5,0),"")</f>
        <v>3.06</v>
      </c>
      <c r="F3826">
        <f>IFERROR(VLOOKUP($A3826,原始数据_收盘!$A$4:$G$3460,6,0),"")</f>
        <v>2.639</v>
      </c>
      <c r="G3826">
        <f>IFERROR(VLOOKUP($A3826,原始数据_收盘!$A$4:$G$3460,7,0),"")</f>
        <v>3.0562</v>
      </c>
      <c r="H3826">
        <f>IFERROR(VLOOKUP($A3826,原始数据_利率互换_FR007_1年!$A$6:$C$4395,2,0),"")</f>
        <v>2.596</v>
      </c>
      <c r="I3826">
        <f>IFERROR(VLOOKUP($A3826,原始数据_利率互换_FR007_1年!$A$6:$C$4395,3,0),"")</f>
        <v>3.0184</v>
      </c>
    </row>
    <row r="3827" spans="1:9">
      <c r="A3827" s="6">
        <v>43320</v>
      </c>
      <c r="B3827">
        <f>IFERROR(VLOOKUP($A3827,原始数据_收盘!$A$4:$G$3460,2,0),"")</f>
        <v>2.6849</v>
      </c>
      <c r="C3827">
        <f>IFERROR(VLOOKUP($A3827,原始数据_收盘!$A$4:$G$3460,3,0),"")</f>
        <v>3.1098</v>
      </c>
      <c r="D3827">
        <f>IFERROR(VLOOKUP($A3827,原始数据_收盘!$A$4:$G$3460,4,0),"")</f>
        <v>2.6902</v>
      </c>
      <c r="E3827">
        <f>IFERROR(VLOOKUP($A3827,原始数据_收盘!$A$4:$G$3460,5,0),"")</f>
        <v>3.1189</v>
      </c>
      <c r="F3827">
        <f>IFERROR(VLOOKUP($A3827,原始数据_收盘!$A$4:$G$3460,6,0),"")</f>
        <v>2.6875</v>
      </c>
      <c r="G3827">
        <f>IFERROR(VLOOKUP($A3827,原始数据_收盘!$A$4:$G$3460,7,0),"")</f>
        <v>3.1143</v>
      </c>
      <c r="H3827">
        <f>IFERROR(VLOOKUP($A3827,原始数据_利率互换_FR007_1年!$A$6:$C$4395,2,0),"")</f>
        <v>2.6498</v>
      </c>
      <c r="I3827">
        <f>IFERROR(VLOOKUP($A3827,原始数据_利率互换_FR007_1年!$A$6:$C$4395,3,0),"")</f>
        <v>3.0619</v>
      </c>
    </row>
    <row r="3828" spans="1:9">
      <c r="A3828" s="6">
        <v>43321</v>
      </c>
      <c r="B3828">
        <f>IFERROR(VLOOKUP($A3828,原始数据_收盘!$A$4:$G$3460,2,0),"")</f>
        <v>2.7538</v>
      </c>
      <c r="C3828">
        <f>IFERROR(VLOOKUP($A3828,原始数据_收盘!$A$4:$G$3460,3,0),"")</f>
        <v>3.1765</v>
      </c>
      <c r="D3828">
        <f>IFERROR(VLOOKUP($A3828,原始数据_收盘!$A$4:$G$3460,4,0),"")</f>
        <v>2.7611</v>
      </c>
      <c r="E3828">
        <f>IFERROR(VLOOKUP($A3828,原始数据_收盘!$A$4:$G$3460,5,0),"")</f>
        <v>3.1853</v>
      </c>
      <c r="F3828">
        <f>IFERROR(VLOOKUP($A3828,原始数据_收盘!$A$4:$G$3460,6,0),"")</f>
        <v>2.7575</v>
      </c>
      <c r="G3828">
        <f>IFERROR(VLOOKUP($A3828,原始数据_收盘!$A$4:$G$3460,7,0),"")</f>
        <v>3.1809</v>
      </c>
      <c r="H3828">
        <f>IFERROR(VLOOKUP($A3828,原始数据_利率互换_FR007_1年!$A$6:$C$4395,2,0),"")</f>
        <v>2.7043</v>
      </c>
      <c r="I3828">
        <f>IFERROR(VLOOKUP($A3828,原始数据_利率互换_FR007_1年!$A$6:$C$4395,3,0),"")</f>
        <v>3.1484</v>
      </c>
    </row>
    <row r="3829" spans="1:9">
      <c r="A3829" s="6">
        <v>43322</v>
      </c>
      <c r="B3829">
        <f>IFERROR(VLOOKUP($A3829,原始数据_收盘!$A$4:$G$3460,2,0),"")</f>
        <v>2.76</v>
      </c>
      <c r="C3829">
        <f>IFERROR(VLOOKUP($A3829,原始数据_收盘!$A$4:$G$3460,3,0),"")</f>
        <v>3.1885</v>
      </c>
      <c r="D3829">
        <f>IFERROR(VLOOKUP($A3829,原始数据_收盘!$A$4:$G$3460,4,0),"")</f>
        <v>2.7725</v>
      </c>
      <c r="E3829">
        <f>IFERROR(VLOOKUP($A3829,原始数据_收盘!$A$4:$G$3460,5,0),"")</f>
        <v>3.1922</v>
      </c>
      <c r="F3829">
        <f>IFERROR(VLOOKUP($A3829,原始数据_收盘!$A$4:$G$3460,6,0),"")</f>
        <v>2.7663</v>
      </c>
      <c r="G3829">
        <f>IFERROR(VLOOKUP($A3829,原始数据_收盘!$A$4:$G$3460,7,0),"")</f>
        <v>3.1904</v>
      </c>
      <c r="H3829">
        <f>IFERROR(VLOOKUP($A3829,原始数据_利率互换_FR007_1年!$A$6:$C$4395,2,0),"")</f>
        <v>2.763</v>
      </c>
      <c r="I3829">
        <f>IFERROR(VLOOKUP($A3829,原始数据_利率互换_FR007_1年!$A$6:$C$4395,3,0),"")</f>
        <v>3.1818</v>
      </c>
    </row>
    <row r="3830" spans="1:9">
      <c r="A3830" s="6">
        <v>43323</v>
      </c>
      <c r="B3830" t="str">
        <f>IFERROR(VLOOKUP($A3830,原始数据_收盘!$A$4:$G$3460,2,0),"")</f>
        <v/>
      </c>
      <c r="C3830" t="str">
        <f>IFERROR(VLOOKUP($A3830,原始数据_收盘!$A$4:$G$3460,3,0),"")</f>
        <v/>
      </c>
      <c r="D3830" t="str">
        <f>IFERROR(VLOOKUP($A3830,原始数据_收盘!$A$4:$G$3460,4,0),"")</f>
        <v/>
      </c>
      <c r="E3830" t="str">
        <f>IFERROR(VLOOKUP($A3830,原始数据_收盘!$A$4:$G$3460,5,0),"")</f>
        <v/>
      </c>
      <c r="F3830" t="str">
        <f>IFERROR(VLOOKUP($A3830,原始数据_收盘!$A$4:$G$3460,6,0),"")</f>
        <v/>
      </c>
      <c r="G3830" t="str">
        <f>IFERROR(VLOOKUP($A3830,原始数据_收盘!$A$4:$G$3460,7,0),"")</f>
        <v/>
      </c>
      <c r="H3830" t="str">
        <f>IFERROR(VLOOKUP($A3830,原始数据_利率互换_FR007_1年!$A$6:$C$4395,2,0),"")</f>
        <v/>
      </c>
      <c r="I3830" t="str">
        <f>IFERROR(VLOOKUP($A3830,原始数据_利率互换_FR007_1年!$A$6:$C$4395,3,0),"")</f>
        <v/>
      </c>
    </row>
    <row r="3831" spans="1:9">
      <c r="A3831" s="6">
        <v>43324</v>
      </c>
      <c r="B3831" t="str">
        <f>IFERROR(VLOOKUP($A3831,原始数据_收盘!$A$4:$G$3460,2,0),"")</f>
        <v/>
      </c>
      <c r="C3831" t="str">
        <f>IFERROR(VLOOKUP($A3831,原始数据_收盘!$A$4:$G$3460,3,0),"")</f>
        <v/>
      </c>
      <c r="D3831" t="str">
        <f>IFERROR(VLOOKUP($A3831,原始数据_收盘!$A$4:$G$3460,4,0),"")</f>
        <v/>
      </c>
      <c r="E3831" t="str">
        <f>IFERROR(VLOOKUP($A3831,原始数据_收盘!$A$4:$G$3460,5,0),"")</f>
        <v/>
      </c>
      <c r="F3831" t="str">
        <f>IFERROR(VLOOKUP($A3831,原始数据_收盘!$A$4:$G$3460,6,0),"")</f>
        <v/>
      </c>
      <c r="G3831" t="str">
        <f>IFERROR(VLOOKUP($A3831,原始数据_收盘!$A$4:$G$3460,7,0),"")</f>
        <v/>
      </c>
      <c r="H3831" t="str">
        <f>IFERROR(VLOOKUP($A3831,原始数据_利率互换_FR007_1年!$A$6:$C$4395,2,0),"")</f>
        <v/>
      </c>
      <c r="I3831" t="str">
        <f>IFERROR(VLOOKUP($A3831,原始数据_利率互换_FR007_1年!$A$6:$C$4395,3,0),"")</f>
        <v/>
      </c>
    </row>
    <row r="3832" spans="1:9">
      <c r="A3832" s="6">
        <v>43325</v>
      </c>
      <c r="B3832">
        <f>IFERROR(VLOOKUP($A3832,原始数据_收盘!$A$4:$G$3460,2,0),"")</f>
        <v>2.8011</v>
      </c>
      <c r="C3832">
        <f>IFERROR(VLOOKUP($A3832,原始数据_收盘!$A$4:$G$3460,3,0),"")</f>
        <v>3.2079</v>
      </c>
      <c r="D3832">
        <f>IFERROR(VLOOKUP($A3832,原始数据_收盘!$A$4:$G$3460,4,0),"")</f>
        <v>2.8183</v>
      </c>
      <c r="E3832">
        <f>IFERROR(VLOOKUP($A3832,原始数据_收盘!$A$4:$G$3460,5,0),"")</f>
        <v>3.2231</v>
      </c>
      <c r="F3832">
        <f>IFERROR(VLOOKUP($A3832,原始数据_收盘!$A$4:$G$3460,6,0),"")</f>
        <v>2.8097</v>
      </c>
      <c r="G3832">
        <f>IFERROR(VLOOKUP($A3832,原始数据_收盘!$A$4:$G$3460,7,0),"")</f>
        <v>3.2155</v>
      </c>
      <c r="H3832">
        <f>IFERROR(VLOOKUP($A3832,原始数据_利率互换_FR007_1年!$A$6:$C$4395,2,0),"")</f>
        <v>2.8267</v>
      </c>
      <c r="I3832">
        <f>IFERROR(VLOOKUP($A3832,原始数据_利率互换_FR007_1年!$A$6:$C$4395,3,0),"")</f>
        <v>3.2061</v>
      </c>
    </row>
    <row r="3833" spans="1:9">
      <c r="A3833" s="6">
        <v>43326</v>
      </c>
      <c r="B3833">
        <f>IFERROR(VLOOKUP($A3833,原始数据_收盘!$A$4:$G$3460,2,0),"")</f>
        <v>2.763</v>
      </c>
      <c r="C3833">
        <f>IFERROR(VLOOKUP($A3833,原始数据_收盘!$A$4:$G$3460,3,0),"")</f>
        <v>3.1475</v>
      </c>
      <c r="D3833">
        <f>IFERROR(VLOOKUP($A3833,原始数据_收盘!$A$4:$G$3460,4,0),"")</f>
        <v>2.7686</v>
      </c>
      <c r="E3833">
        <f>IFERROR(VLOOKUP($A3833,原始数据_收盘!$A$4:$G$3460,5,0),"")</f>
        <v>3.1525</v>
      </c>
      <c r="F3833">
        <f>IFERROR(VLOOKUP($A3833,原始数据_收盘!$A$4:$G$3460,6,0),"")</f>
        <v>2.7658</v>
      </c>
      <c r="G3833">
        <f>IFERROR(VLOOKUP($A3833,原始数据_收盘!$A$4:$G$3460,7,0),"")</f>
        <v>3.15</v>
      </c>
      <c r="H3833">
        <f>IFERROR(VLOOKUP($A3833,原始数据_利率互换_FR007_1年!$A$6:$C$4395,2,0),"")</f>
        <v>2.8007</v>
      </c>
      <c r="I3833">
        <f>IFERROR(VLOOKUP($A3833,原始数据_利率互换_FR007_1年!$A$6:$C$4395,3,0),"")</f>
        <v>3.1863</v>
      </c>
    </row>
    <row r="3834" spans="1:9">
      <c r="A3834" s="6">
        <v>43327</v>
      </c>
      <c r="B3834">
        <f>IFERROR(VLOOKUP($A3834,原始数据_收盘!$A$4:$G$3460,2,0),"")</f>
        <v>2.755</v>
      </c>
      <c r="C3834">
        <f>IFERROR(VLOOKUP($A3834,原始数据_收盘!$A$4:$G$3460,3,0),"")</f>
        <v>3.155</v>
      </c>
      <c r="D3834">
        <f>IFERROR(VLOOKUP($A3834,原始数据_收盘!$A$4:$G$3460,4,0),"")</f>
        <v>2.76</v>
      </c>
      <c r="E3834">
        <f>IFERROR(VLOOKUP($A3834,原始数据_收盘!$A$4:$G$3460,5,0),"")</f>
        <v>3.1591</v>
      </c>
      <c r="F3834">
        <f>IFERROR(VLOOKUP($A3834,原始数据_收盘!$A$4:$G$3460,6,0),"")</f>
        <v>2.7575</v>
      </c>
      <c r="G3834">
        <f>IFERROR(VLOOKUP($A3834,原始数据_收盘!$A$4:$G$3460,7,0),"")</f>
        <v>3.1571</v>
      </c>
      <c r="H3834">
        <f>IFERROR(VLOOKUP($A3834,原始数据_利率互换_FR007_1年!$A$6:$C$4395,2,0),"")</f>
        <v>2.7645</v>
      </c>
      <c r="I3834">
        <f>IFERROR(VLOOKUP($A3834,原始数据_利率互换_FR007_1年!$A$6:$C$4395,3,0),"")</f>
        <v>3.1534</v>
      </c>
    </row>
    <row r="3835" spans="1:9">
      <c r="A3835" s="6">
        <v>43328</v>
      </c>
      <c r="B3835">
        <f>IFERROR(VLOOKUP($A3835,原始数据_收盘!$A$4:$G$3460,2,0),"")</f>
        <v>2.7732</v>
      </c>
      <c r="C3835">
        <f>IFERROR(VLOOKUP($A3835,原始数据_收盘!$A$4:$G$3460,3,0),"")</f>
        <v>3.1695</v>
      </c>
      <c r="D3835">
        <f>IFERROR(VLOOKUP($A3835,原始数据_收盘!$A$4:$G$3460,4,0),"")</f>
        <v>2.78</v>
      </c>
      <c r="E3835">
        <f>IFERROR(VLOOKUP($A3835,原始数据_收盘!$A$4:$G$3460,5,0),"")</f>
        <v>3.1739</v>
      </c>
      <c r="F3835">
        <f>IFERROR(VLOOKUP($A3835,原始数据_收盘!$A$4:$G$3460,6,0),"")</f>
        <v>2.7766</v>
      </c>
      <c r="G3835">
        <f>IFERROR(VLOOKUP($A3835,原始数据_收盘!$A$4:$G$3460,7,0),"")</f>
        <v>3.1717</v>
      </c>
      <c r="H3835">
        <f>IFERROR(VLOOKUP($A3835,原始数据_利率互换_FR007_1年!$A$6:$C$4395,2,0),"")</f>
        <v>2.7631</v>
      </c>
      <c r="I3835">
        <f>IFERROR(VLOOKUP($A3835,原始数据_利率互换_FR007_1年!$A$6:$C$4395,3,0),"")</f>
        <v>3.1641</v>
      </c>
    </row>
    <row r="3836" spans="1:9">
      <c r="A3836" s="6">
        <v>43329</v>
      </c>
      <c r="B3836">
        <f>IFERROR(VLOOKUP($A3836,原始数据_收盘!$A$4:$G$3460,2,0),"")</f>
        <v>2.81</v>
      </c>
      <c r="C3836">
        <f>IFERROR(VLOOKUP($A3836,原始数据_收盘!$A$4:$G$3460,3,0),"")</f>
        <v>3.22</v>
      </c>
      <c r="D3836">
        <f>IFERROR(VLOOKUP($A3836,原始数据_收盘!$A$4:$G$3460,4,0),"")</f>
        <v>2.815</v>
      </c>
      <c r="E3836">
        <f>IFERROR(VLOOKUP($A3836,原始数据_收盘!$A$4:$G$3460,5,0),"")</f>
        <v>3.2268</v>
      </c>
      <c r="F3836">
        <f>IFERROR(VLOOKUP($A3836,原始数据_收盘!$A$4:$G$3460,6,0),"")</f>
        <v>2.8125</v>
      </c>
      <c r="G3836">
        <f>IFERROR(VLOOKUP($A3836,原始数据_收盘!$A$4:$G$3460,7,0),"")</f>
        <v>3.2234</v>
      </c>
      <c r="H3836">
        <f>IFERROR(VLOOKUP($A3836,原始数据_利率互换_FR007_1年!$A$6:$C$4395,2,0),"")</f>
        <v>2.8065</v>
      </c>
      <c r="I3836">
        <f>IFERROR(VLOOKUP($A3836,原始数据_利率互换_FR007_1年!$A$6:$C$4395,3,0),"")</f>
        <v>3.2147</v>
      </c>
    </row>
    <row r="3837" spans="1:9">
      <c r="A3837" s="6">
        <v>43330</v>
      </c>
      <c r="B3837" t="str">
        <f>IFERROR(VLOOKUP($A3837,原始数据_收盘!$A$4:$G$3460,2,0),"")</f>
        <v/>
      </c>
      <c r="C3837" t="str">
        <f>IFERROR(VLOOKUP($A3837,原始数据_收盘!$A$4:$G$3460,3,0),"")</f>
        <v/>
      </c>
      <c r="D3837" t="str">
        <f>IFERROR(VLOOKUP($A3837,原始数据_收盘!$A$4:$G$3460,4,0),"")</f>
        <v/>
      </c>
      <c r="E3837" t="str">
        <f>IFERROR(VLOOKUP($A3837,原始数据_收盘!$A$4:$G$3460,5,0),"")</f>
        <v/>
      </c>
      <c r="F3837" t="str">
        <f>IFERROR(VLOOKUP($A3837,原始数据_收盘!$A$4:$G$3460,6,0),"")</f>
        <v/>
      </c>
      <c r="G3837" t="str">
        <f>IFERROR(VLOOKUP($A3837,原始数据_收盘!$A$4:$G$3460,7,0),"")</f>
        <v/>
      </c>
      <c r="H3837" t="str">
        <f>IFERROR(VLOOKUP($A3837,原始数据_利率互换_FR007_1年!$A$6:$C$4395,2,0),"")</f>
        <v/>
      </c>
      <c r="I3837" t="str">
        <f>IFERROR(VLOOKUP($A3837,原始数据_利率互换_FR007_1年!$A$6:$C$4395,3,0),"")</f>
        <v/>
      </c>
    </row>
    <row r="3838" spans="1:9">
      <c r="A3838" s="6">
        <v>43331</v>
      </c>
      <c r="B3838" t="str">
        <f>IFERROR(VLOOKUP($A3838,原始数据_收盘!$A$4:$G$3460,2,0),"")</f>
        <v/>
      </c>
      <c r="C3838" t="str">
        <f>IFERROR(VLOOKUP($A3838,原始数据_收盘!$A$4:$G$3460,3,0),"")</f>
        <v/>
      </c>
      <c r="D3838" t="str">
        <f>IFERROR(VLOOKUP($A3838,原始数据_收盘!$A$4:$G$3460,4,0),"")</f>
        <v/>
      </c>
      <c r="E3838" t="str">
        <f>IFERROR(VLOOKUP($A3838,原始数据_收盘!$A$4:$G$3460,5,0),"")</f>
        <v/>
      </c>
      <c r="F3838" t="str">
        <f>IFERROR(VLOOKUP($A3838,原始数据_收盘!$A$4:$G$3460,6,0),"")</f>
        <v/>
      </c>
      <c r="G3838" t="str">
        <f>IFERROR(VLOOKUP($A3838,原始数据_收盘!$A$4:$G$3460,7,0),"")</f>
        <v/>
      </c>
      <c r="H3838" t="str">
        <f>IFERROR(VLOOKUP($A3838,原始数据_利率互换_FR007_1年!$A$6:$C$4395,2,0),"")</f>
        <v/>
      </c>
      <c r="I3838" t="str">
        <f>IFERROR(VLOOKUP($A3838,原始数据_利率互换_FR007_1年!$A$6:$C$4395,3,0),"")</f>
        <v/>
      </c>
    </row>
    <row r="3839" spans="1:9">
      <c r="A3839" s="6">
        <v>43332</v>
      </c>
      <c r="B3839">
        <f>IFERROR(VLOOKUP($A3839,原始数据_收盘!$A$4:$G$3460,2,0),"")</f>
        <v>2.8359</v>
      </c>
      <c r="C3839">
        <f>IFERROR(VLOOKUP($A3839,原始数据_收盘!$A$4:$G$3460,3,0),"")</f>
        <v>3.242</v>
      </c>
      <c r="D3839">
        <f>IFERROR(VLOOKUP($A3839,原始数据_收盘!$A$4:$G$3460,4,0),"")</f>
        <v>2.842</v>
      </c>
      <c r="E3839">
        <f>IFERROR(VLOOKUP($A3839,原始数据_收盘!$A$4:$G$3460,5,0),"")</f>
        <v>3.245</v>
      </c>
      <c r="F3839">
        <f>IFERROR(VLOOKUP($A3839,原始数据_收盘!$A$4:$G$3460,6,0),"")</f>
        <v>2.8389</v>
      </c>
      <c r="G3839">
        <f>IFERROR(VLOOKUP($A3839,原始数据_收盘!$A$4:$G$3460,7,0),"")</f>
        <v>3.2435</v>
      </c>
      <c r="H3839">
        <f>IFERROR(VLOOKUP($A3839,原始数据_利率互换_FR007_1年!$A$6:$C$4395,2,0),"")</f>
        <v>2.8385</v>
      </c>
      <c r="I3839">
        <f>IFERROR(VLOOKUP($A3839,原始数据_利率互换_FR007_1年!$A$6:$C$4395,3,0),"")</f>
        <v>3.2378</v>
      </c>
    </row>
    <row r="3840" spans="1:9">
      <c r="A3840" s="6">
        <v>43333</v>
      </c>
      <c r="B3840">
        <f>IFERROR(VLOOKUP($A3840,原始数据_收盘!$A$4:$G$3460,2,0),"")</f>
        <v>2.8698</v>
      </c>
      <c r="C3840">
        <f>IFERROR(VLOOKUP($A3840,原始数据_收盘!$A$4:$G$3460,3,0),"")</f>
        <v>3.2675</v>
      </c>
      <c r="D3840">
        <f>IFERROR(VLOOKUP($A3840,原始数据_收盘!$A$4:$G$3460,4,0),"")</f>
        <v>2.8758</v>
      </c>
      <c r="E3840">
        <f>IFERROR(VLOOKUP($A3840,原始数据_收盘!$A$4:$G$3460,5,0),"")</f>
        <v>3.27</v>
      </c>
      <c r="F3840">
        <f>IFERROR(VLOOKUP($A3840,原始数据_收盘!$A$4:$G$3460,6,0),"")</f>
        <v>2.8728</v>
      </c>
      <c r="G3840">
        <f>IFERROR(VLOOKUP($A3840,原始数据_收盘!$A$4:$G$3460,7,0),"")</f>
        <v>3.2688</v>
      </c>
      <c r="H3840">
        <f>IFERROR(VLOOKUP($A3840,原始数据_利率互换_FR007_1年!$A$6:$C$4395,2,0),"")</f>
        <v>2.8671</v>
      </c>
      <c r="I3840">
        <f>IFERROR(VLOOKUP($A3840,原始数据_利率互换_FR007_1年!$A$6:$C$4395,3,0),"")</f>
        <v>3.2623</v>
      </c>
    </row>
    <row r="3841" spans="1:9">
      <c r="A3841" s="6">
        <v>43334</v>
      </c>
      <c r="B3841">
        <f>IFERROR(VLOOKUP($A3841,原始数据_收盘!$A$4:$G$3460,2,0),"")</f>
        <v>2.8359</v>
      </c>
      <c r="C3841">
        <f>IFERROR(VLOOKUP($A3841,原始数据_收盘!$A$4:$G$3460,3,0),"")</f>
        <v>3.24</v>
      </c>
      <c r="D3841">
        <f>IFERROR(VLOOKUP($A3841,原始数据_收盘!$A$4:$G$3460,4,0),"")</f>
        <v>2.8441</v>
      </c>
      <c r="E3841">
        <f>IFERROR(VLOOKUP($A3841,原始数据_收盘!$A$4:$G$3460,5,0),"")</f>
        <v>3.2437</v>
      </c>
      <c r="F3841">
        <f>IFERROR(VLOOKUP($A3841,原始数据_收盘!$A$4:$G$3460,6,0),"")</f>
        <v>2.84</v>
      </c>
      <c r="G3841">
        <f>IFERROR(VLOOKUP($A3841,原始数据_收盘!$A$4:$G$3460,7,0),"")</f>
        <v>3.2418</v>
      </c>
      <c r="H3841">
        <f>IFERROR(VLOOKUP($A3841,原始数据_利率互换_FR007_1年!$A$6:$C$4395,2,0),"")</f>
        <v>2.8433</v>
      </c>
      <c r="I3841">
        <f>IFERROR(VLOOKUP($A3841,原始数据_利率互换_FR007_1年!$A$6:$C$4395,3,0),"")</f>
        <v>3.2439</v>
      </c>
    </row>
    <row r="3842" spans="1:9">
      <c r="A3842" s="6">
        <v>43335</v>
      </c>
      <c r="B3842">
        <f>IFERROR(VLOOKUP($A3842,原始数据_收盘!$A$4:$G$3460,2,0),"")</f>
        <v>2.7825</v>
      </c>
      <c r="C3842">
        <f>IFERROR(VLOOKUP($A3842,原始数据_收盘!$A$4:$G$3460,3,0),"")</f>
        <v>3.18</v>
      </c>
      <c r="D3842">
        <f>IFERROR(VLOOKUP($A3842,原始数据_收盘!$A$4:$G$3460,4,0),"")</f>
        <v>2.7862</v>
      </c>
      <c r="E3842">
        <f>IFERROR(VLOOKUP($A3842,原始数据_收盘!$A$4:$G$3460,5,0),"")</f>
        <v>3.1858</v>
      </c>
      <c r="F3842">
        <f>IFERROR(VLOOKUP($A3842,原始数据_收盘!$A$4:$G$3460,6,0),"")</f>
        <v>2.7843</v>
      </c>
      <c r="G3842">
        <f>IFERROR(VLOOKUP($A3842,原始数据_收盘!$A$4:$G$3460,7,0),"")</f>
        <v>3.1829</v>
      </c>
      <c r="H3842">
        <f>IFERROR(VLOOKUP($A3842,原始数据_利率互换_FR007_1年!$A$6:$C$4395,2,0),"")</f>
        <v>2.7882</v>
      </c>
      <c r="I3842">
        <f>IFERROR(VLOOKUP($A3842,原始数据_利率互换_FR007_1年!$A$6:$C$4395,3,0),"")</f>
        <v>3.1848</v>
      </c>
    </row>
    <row r="3843" spans="1:9">
      <c r="A3843" s="6">
        <v>43336</v>
      </c>
      <c r="B3843">
        <f>IFERROR(VLOOKUP($A3843,原始数据_收盘!$A$4:$G$3460,2,0),"")</f>
        <v>2.775</v>
      </c>
      <c r="C3843">
        <f>IFERROR(VLOOKUP($A3843,原始数据_收盘!$A$4:$G$3460,3,0),"")</f>
        <v>3.1818</v>
      </c>
      <c r="D3843">
        <f>IFERROR(VLOOKUP($A3843,原始数据_收盘!$A$4:$G$3460,4,0),"")</f>
        <v>2.785</v>
      </c>
      <c r="E3843">
        <f>IFERROR(VLOOKUP($A3843,原始数据_收盘!$A$4:$G$3460,5,0),"")</f>
        <v>3.185</v>
      </c>
      <c r="F3843">
        <f>IFERROR(VLOOKUP($A3843,原始数据_收盘!$A$4:$G$3460,6,0),"")</f>
        <v>2.78</v>
      </c>
      <c r="G3843">
        <f>IFERROR(VLOOKUP($A3843,原始数据_收盘!$A$4:$G$3460,7,0),"")</f>
        <v>3.1834</v>
      </c>
      <c r="H3843">
        <f>IFERROR(VLOOKUP($A3843,原始数据_利率互换_FR007_1年!$A$6:$C$4395,2,0),"")</f>
        <v>2.7723</v>
      </c>
      <c r="I3843">
        <f>IFERROR(VLOOKUP($A3843,原始数据_利率互换_FR007_1年!$A$6:$C$4395,3,0),"")</f>
        <v>3.171</v>
      </c>
    </row>
    <row r="3844" spans="1:9">
      <c r="A3844" s="6">
        <v>43337</v>
      </c>
      <c r="B3844" t="str">
        <f>IFERROR(VLOOKUP($A3844,原始数据_收盘!$A$4:$G$3460,2,0),"")</f>
        <v/>
      </c>
      <c r="C3844" t="str">
        <f>IFERROR(VLOOKUP($A3844,原始数据_收盘!$A$4:$G$3460,3,0),"")</f>
        <v/>
      </c>
      <c r="D3844" t="str">
        <f>IFERROR(VLOOKUP($A3844,原始数据_收盘!$A$4:$G$3460,4,0),"")</f>
        <v/>
      </c>
      <c r="E3844" t="str">
        <f>IFERROR(VLOOKUP($A3844,原始数据_收盘!$A$4:$G$3460,5,0),"")</f>
        <v/>
      </c>
      <c r="F3844" t="str">
        <f>IFERROR(VLOOKUP($A3844,原始数据_收盘!$A$4:$G$3460,6,0),"")</f>
        <v/>
      </c>
      <c r="G3844" t="str">
        <f>IFERROR(VLOOKUP($A3844,原始数据_收盘!$A$4:$G$3460,7,0),"")</f>
        <v/>
      </c>
      <c r="H3844" t="str">
        <f>IFERROR(VLOOKUP($A3844,原始数据_利率互换_FR007_1年!$A$6:$C$4395,2,0),"")</f>
        <v/>
      </c>
      <c r="I3844" t="str">
        <f>IFERROR(VLOOKUP($A3844,原始数据_利率互换_FR007_1年!$A$6:$C$4395,3,0),"")</f>
        <v/>
      </c>
    </row>
    <row r="3845" spans="1:9">
      <c r="A3845" s="6">
        <v>43338</v>
      </c>
      <c r="B3845" t="str">
        <f>IFERROR(VLOOKUP($A3845,原始数据_收盘!$A$4:$G$3460,2,0),"")</f>
        <v/>
      </c>
      <c r="C3845" t="str">
        <f>IFERROR(VLOOKUP($A3845,原始数据_收盘!$A$4:$G$3460,3,0),"")</f>
        <v/>
      </c>
      <c r="D3845" t="str">
        <f>IFERROR(VLOOKUP($A3845,原始数据_收盘!$A$4:$G$3460,4,0),"")</f>
        <v/>
      </c>
      <c r="E3845" t="str">
        <f>IFERROR(VLOOKUP($A3845,原始数据_收盘!$A$4:$G$3460,5,0),"")</f>
        <v/>
      </c>
      <c r="F3845" t="str">
        <f>IFERROR(VLOOKUP($A3845,原始数据_收盘!$A$4:$G$3460,6,0),"")</f>
        <v/>
      </c>
      <c r="G3845" t="str">
        <f>IFERROR(VLOOKUP($A3845,原始数据_收盘!$A$4:$G$3460,7,0),"")</f>
        <v/>
      </c>
      <c r="H3845" t="str">
        <f>IFERROR(VLOOKUP($A3845,原始数据_利率互换_FR007_1年!$A$6:$C$4395,2,0),"")</f>
        <v/>
      </c>
      <c r="I3845" t="str">
        <f>IFERROR(VLOOKUP($A3845,原始数据_利率互换_FR007_1年!$A$6:$C$4395,3,0),"")</f>
        <v/>
      </c>
    </row>
    <row r="3846" spans="1:9">
      <c r="A3846" s="6">
        <v>43339</v>
      </c>
      <c r="B3846">
        <f>IFERROR(VLOOKUP($A3846,原始数据_收盘!$A$4:$G$3460,2,0),"")</f>
        <v>2.8312</v>
      </c>
      <c r="C3846">
        <f>IFERROR(VLOOKUP($A3846,原始数据_收盘!$A$4:$G$3460,3,0),"")</f>
        <v>3.2255</v>
      </c>
      <c r="D3846">
        <f>IFERROR(VLOOKUP($A3846,原始数据_收盘!$A$4:$G$3460,4,0),"")</f>
        <v>2.8394</v>
      </c>
      <c r="E3846">
        <f>IFERROR(VLOOKUP($A3846,原始数据_收盘!$A$4:$G$3460,5,0),"")</f>
        <v>3.235</v>
      </c>
      <c r="F3846">
        <f>IFERROR(VLOOKUP($A3846,原始数据_收盘!$A$4:$G$3460,6,0),"")</f>
        <v>2.8353</v>
      </c>
      <c r="G3846">
        <f>IFERROR(VLOOKUP($A3846,原始数据_收盘!$A$4:$G$3460,7,0),"")</f>
        <v>3.2302</v>
      </c>
      <c r="H3846">
        <f>IFERROR(VLOOKUP($A3846,原始数据_利率互换_FR007_1年!$A$6:$C$4395,2,0),"")</f>
        <v>2.8219</v>
      </c>
      <c r="I3846">
        <f>IFERROR(VLOOKUP($A3846,原始数据_利率互换_FR007_1年!$A$6:$C$4395,3,0),"")</f>
        <v>3.2189</v>
      </c>
    </row>
    <row r="3847" spans="1:9">
      <c r="A3847" s="6">
        <v>43340</v>
      </c>
      <c r="B3847">
        <f>IFERROR(VLOOKUP($A3847,原始数据_收盘!$A$4:$G$3460,2,0),"")</f>
        <v>2.815</v>
      </c>
      <c r="C3847">
        <f>IFERROR(VLOOKUP($A3847,原始数据_收盘!$A$4:$G$3460,3,0),"")</f>
        <v>3.2156</v>
      </c>
      <c r="D3847">
        <f>IFERROR(VLOOKUP($A3847,原始数据_收盘!$A$4:$G$3460,4,0),"")</f>
        <v>2.8211</v>
      </c>
      <c r="E3847">
        <f>IFERROR(VLOOKUP($A3847,原始数据_收盘!$A$4:$G$3460,5,0),"")</f>
        <v>3.22</v>
      </c>
      <c r="F3847">
        <f>IFERROR(VLOOKUP($A3847,原始数据_收盘!$A$4:$G$3460,6,0),"")</f>
        <v>2.818</v>
      </c>
      <c r="G3847">
        <f>IFERROR(VLOOKUP($A3847,原始数据_收盘!$A$4:$G$3460,7,0),"")</f>
        <v>3.2178</v>
      </c>
      <c r="H3847">
        <f>IFERROR(VLOOKUP($A3847,原始数据_利率互换_FR007_1年!$A$6:$C$4395,2,0),"")</f>
        <v>2.823</v>
      </c>
      <c r="I3847">
        <f>IFERROR(VLOOKUP($A3847,原始数据_利率互换_FR007_1年!$A$6:$C$4395,3,0),"")</f>
        <v>3.2374</v>
      </c>
    </row>
    <row r="3848" spans="1:9">
      <c r="A3848" s="6">
        <v>43341</v>
      </c>
      <c r="B3848">
        <f>IFERROR(VLOOKUP($A3848,原始数据_收盘!$A$4:$G$3460,2,0),"")</f>
        <v>2.82</v>
      </c>
      <c r="C3848">
        <f>IFERROR(VLOOKUP($A3848,原始数据_收盘!$A$4:$G$3460,3,0),"")</f>
        <v>3.2225</v>
      </c>
      <c r="D3848">
        <f>IFERROR(VLOOKUP($A3848,原始数据_收盘!$A$4:$G$3460,4,0),"")</f>
        <v>2.825</v>
      </c>
      <c r="E3848">
        <f>IFERROR(VLOOKUP($A3848,原始数据_收盘!$A$4:$G$3460,5,0),"")</f>
        <v>3.2275</v>
      </c>
      <c r="F3848">
        <f>IFERROR(VLOOKUP($A3848,原始数据_收盘!$A$4:$G$3460,6,0),"")</f>
        <v>2.8225</v>
      </c>
      <c r="G3848">
        <f>IFERROR(VLOOKUP($A3848,原始数据_收盘!$A$4:$G$3460,7,0),"")</f>
        <v>3.225</v>
      </c>
      <c r="H3848">
        <f>IFERROR(VLOOKUP($A3848,原始数据_利率互换_FR007_1年!$A$6:$C$4395,2,0),"")</f>
        <v>2.8189</v>
      </c>
      <c r="I3848">
        <f>IFERROR(VLOOKUP($A3848,原始数据_利率互换_FR007_1年!$A$6:$C$4395,3,0),"")</f>
        <v>3.2241</v>
      </c>
    </row>
    <row r="3849" spans="1:9">
      <c r="A3849" s="6">
        <v>43342</v>
      </c>
      <c r="B3849">
        <f>IFERROR(VLOOKUP($A3849,原始数据_收盘!$A$4:$G$3460,2,0),"")</f>
        <v>2.8</v>
      </c>
      <c r="C3849">
        <f>IFERROR(VLOOKUP($A3849,原始数据_收盘!$A$4:$G$3460,3,0),"")</f>
        <v>3.1963</v>
      </c>
      <c r="D3849">
        <f>IFERROR(VLOOKUP($A3849,原始数据_收盘!$A$4:$G$3460,4,0),"")</f>
        <v>2.8044</v>
      </c>
      <c r="E3849">
        <f>IFERROR(VLOOKUP($A3849,原始数据_收盘!$A$4:$G$3460,5,0),"")</f>
        <v>3.2007</v>
      </c>
      <c r="F3849">
        <f>IFERROR(VLOOKUP($A3849,原始数据_收盘!$A$4:$G$3460,6,0),"")</f>
        <v>2.8022</v>
      </c>
      <c r="G3849">
        <f>IFERROR(VLOOKUP($A3849,原始数据_收盘!$A$4:$G$3460,7,0),"")</f>
        <v>3.1985</v>
      </c>
      <c r="H3849">
        <f>IFERROR(VLOOKUP($A3849,原始数据_利率互换_FR007_1年!$A$6:$C$4395,2,0),"")</f>
        <v>2.8031</v>
      </c>
      <c r="I3849">
        <f>IFERROR(VLOOKUP($A3849,原始数据_利率互换_FR007_1年!$A$6:$C$4395,3,0),"")</f>
        <v>3.2058</v>
      </c>
    </row>
    <row r="3850" spans="1:9">
      <c r="A3850" s="6">
        <v>43343</v>
      </c>
      <c r="B3850">
        <f>IFERROR(VLOOKUP($A3850,原始数据_收盘!$A$4:$G$3460,2,0),"")</f>
        <v>2.8025</v>
      </c>
      <c r="C3850">
        <f>IFERROR(VLOOKUP($A3850,原始数据_收盘!$A$4:$G$3460,3,0),"")</f>
        <v>3.205</v>
      </c>
      <c r="D3850">
        <f>IFERROR(VLOOKUP($A3850,原始数据_收盘!$A$4:$G$3460,4,0),"")</f>
        <v>2.8075</v>
      </c>
      <c r="E3850">
        <f>IFERROR(VLOOKUP($A3850,原始数据_收盘!$A$4:$G$3460,5,0),"")</f>
        <v>3.21</v>
      </c>
      <c r="F3850">
        <f>IFERROR(VLOOKUP($A3850,原始数据_收盘!$A$4:$G$3460,6,0),"")</f>
        <v>2.805</v>
      </c>
      <c r="G3850">
        <f>IFERROR(VLOOKUP($A3850,原始数据_收盘!$A$4:$G$3460,7,0),"")</f>
        <v>3.2075</v>
      </c>
      <c r="H3850">
        <f>IFERROR(VLOOKUP($A3850,原始数据_利率互换_FR007_1年!$A$6:$C$4395,2,0),"")</f>
        <v>2.8045</v>
      </c>
      <c r="I3850">
        <f>IFERROR(VLOOKUP($A3850,原始数据_利率互换_FR007_1年!$A$6:$C$4395,3,0),"")</f>
        <v>3.2033</v>
      </c>
    </row>
    <row r="3851" spans="1:9">
      <c r="A3851" s="6">
        <v>43344</v>
      </c>
      <c r="B3851" t="str">
        <f>IFERROR(VLOOKUP($A3851,原始数据_收盘!$A$4:$G$3460,2,0),"")</f>
        <v/>
      </c>
      <c r="C3851" t="str">
        <f>IFERROR(VLOOKUP($A3851,原始数据_收盘!$A$4:$G$3460,3,0),"")</f>
        <v/>
      </c>
      <c r="D3851" t="str">
        <f>IFERROR(VLOOKUP($A3851,原始数据_收盘!$A$4:$G$3460,4,0),"")</f>
        <v/>
      </c>
      <c r="E3851" t="str">
        <f>IFERROR(VLOOKUP($A3851,原始数据_收盘!$A$4:$G$3460,5,0),"")</f>
        <v/>
      </c>
      <c r="F3851" t="str">
        <f>IFERROR(VLOOKUP($A3851,原始数据_收盘!$A$4:$G$3460,6,0),"")</f>
        <v/>
      </c>
      <c r="G3851" t="str">
        <f>IFERROR(VLOOKUP($A3851,原始数据_收盘!$A$4:$G$3460,7,0),"")</f>
        <v/>
      </c>
      <c r="H3851" t="str">
        <f>IFERROR(VLOOKUP($A3851,原始数据_利率互换_FR007_1年!$A$6:$C$4395,2,0),"")</f>
        <v/>
      </c>
      <c r="I3851" t="str">
        <f>IFERROR(VLOOKUP($A3851,原始数据_利率互换_FR007_1年!$A$6:$C$4395,3,0),"")</f>
        <v/>
      </c>
    </row>
    <row r="3852" spans="1:9">
      <c r="A3852" s="6">
        <v>43345</v>
      </c>
      <c r="B3852" t="str">
        <f>IFERROR(VLOOKUP($A3852,原始数据_收盘!$A$4:$G$3460,2,0),"")</f>
        <v/>
      </c>
      <c r="C3852" t="str">
        <f>IFERROR(VLOOKUP($A3852,原始数据_收盘!$A$4:$G$3460,3,0),"")</f>
        <v/>
      </c>
      <c r="D3852" t="str">
        <f>IFERROR(VLOOKUP($A3852,原始数据_收盘!$A$4:$G$3460,4,0),"")</f>
        <v/>
      </c>
      <c r="E3852" t="str">
        <f>IFERROR(VLOOKUP($A3852,原始数据_收盘!$A$4:$G$3460,5,0),"")</f>
        <v/>
      </c>
      <c r="F3852" t="str">
        <f>IFERROR(VLOOKUP($A3852,原始数据_收盘!$A$4:$G$3460,6,0),"")</f>
        <v/>
      </c>
      <c r="G3852" t="str">
        <f>IFERROR(VLOOKUP($A3852,原始数据_收盘!$A$4:$G$3460,7,0),"")</f>
        <v/>
      </c>
      <c r="H3852" t="str">
        <f>IFERROR(VLOOKUP($A3852,原始数据_利率互换_FR007_1年!$A$6:$C$4395,2,0),"")</f>
        <v/>
      </c>
      <c r="I3852" t="str">
        <f>IFERROR(VLOOKUP($A3852,原始数据_利率互换_FR007_1年!$A$6:$C$4395,3,0),"")</f>
        <v/>
      </c>
    </row>
    <row r="3853" spans="1:9">
      <c r="A3853" s="6">
        <v>43346</v>
      </c>
      <c r="B3853">
        <f>IFERROR(VLOOKUP($A3853,原始数据_收盘!$A$4:$G$3460,2,0),"")</f>
        <v>2.8151</v>
      </c>
      <c r="C3853">
        <f>IFERROR(VLOOKUP($A3853,原始数据_收盘!$A$4:$G$3460,3,0),"")</f>
        <v>3.225</v>
      </c>
      <c r="D3853">
        <f>IFERROR(VLOOKUP($A3853,原始数据_收盘!$A$4:$G$3460,4,0),"")</f>
        <v>2.8206</v>
      </c>
      <c r="E3853">
        <f>IFERROR(VLOOKUP($A3853,原始数据_收盘!$A$4:$G$3460,5,0),"")</f>
        <v>3.23</v>
      </c>
      <c r="F3853">
        <f>IFERROR(VLOOKUP($A3853,原始数据_收盘!$A$4:$G$3460,6,0),"")</f>
        <v>2.8178</v>
      </c>
      <c r="G3853">
        <f>IFERROR(VLOOKUP($A3853,原始数据_收盘!$A$4:$G$3460,7,0),"")</f>
        <v>3.2275</v>
      </c>
      <c r="H3853">
        <f>IFERROR(VLOOKUP($A3853,原始数据_利率互换_FR007_1年!$A$6:$C$4395,2,0),"")</f>
        <v>2.8181</v>
      </c>
      <c r="I3853">
        <f>IFERROR(VLOOKUP($A3853,原始数据_利率互换_FR007_1年!$A$6:$C$4395,3,0),"")</f>
        <v>3.2206</v>
      </c>
    </row>
    <row r="3854" spans="1:9">
      <c r="A3854" s="6">
        <v>43347</v>
      </c>
      <c r="B3854">
        <f>IFERROR(VLOOKUP($A3854,原始数据_收盘!$A$4:$G$3460,2,0),"")</f>
        <v>2.8093</v>
      </c>
      <c r="C3854">
        <f>IFERROR(VLOOKUP($A3854,原始数据_收盘!$A$4:$G$3460,3,0),"")</f>
        <v>3.225</v>
      </c>
      <c r="D3854">
        <f>IFERROR(VLOOKUP($A3854,原始数据_收盘!$A$4:$G$3460,4,0),"")</f>
        <v>2.813</v>
      </c>
      <c r="E3854">
        <f>IFERROR(VLOOKUP($A3854,原始数据_收盘!$A$4:$G$3460,5,0),"")</f>
        <v>3.2289</v>
      </c>
      <c r="F3854">
        <f>IFERROR(VLOOKUP($A3854,原始数据_收盘!$A$4:$G$3460,6,0),"")</f>
        <v>2.8112</v>
      </c>
      <c r="G3854">
        <f>IFERROR(VLOOKUP($A3854,原始数据_收盘!$A$4:$G$3460,7,0),"")</f>
        <v>3.2269</v>
      </c>
      <c r="H3854">
        <f>IFERROR(VLOOKUP($A3854,原始数据_利率互换_FR007_1年!$A$6:$C$4395,2,0),"")</f>
        <v>2.8134</v>
      </c>
      <c r="I3854">
        <f>IFERROR(VLOOKUP($A3854,原始数据_利率互换_FR007_1年!$A$6:$C$4395,3,0),"")</f>
        <v>3.2276</v>
      </c>
    </row>
    <row r="3855" spans="1:9">
      <c r="A3855" s="6">
        <v>43348</v>
      </c>
      <c r="B3855">
        <f>IFERROR(VLOOKUP($A3855,原始数据_收盘!$A$4:$G$3460,2,0),"")</f>
        <v>2.7975</v>
      </c>
      <c r="C3855">
        <f>IFERROR(VLOOKUP($A3855,原始数据_收盘!$A$4:$G$3460,3,0),"")</f>
        <v>3.215</v>
      </c>
      <c r="D3855">
        <f>IFERROR(VLOOKUP($A3855,原始数据_收盘!$A$4:$G$3460,4,0),"")</f>
        <v>2.8</v>
      </c>
      <c r="E3855">
        <f>IFERROR(VLOOKUP($A3855,原始数据_收盘!$A$4:$G$3460,5,0),"")</f>
        <v>3.22</v>
      </c>
      <c r="F3855">
        <f>IFERROR(VLOOKUP($A3855,原始数据_收盘!$A$4:$G$3460,6,0),"")</f>
        <v>2.7988</v>
      </c>
      <c r="G3855">
        <f>IFERROR(VLOOKUP($A3855,原始数据_收盘!$A$4:$G$3460,7,0),"")</f>
        <v>3.2175</v>
      </c>
      <c r="H3855">
        <f>IFERROR(VLOOKUP($A3855,原始数据_利率互换_FR007_1年!$A$6:$C$4395,2,0),"")</f>
        <v>2.7939</v>
      </c>
      <c r="I3855">
        <f>IFERROR(VLOOKUP($A3855,原始数据_利率互换_FR007_1年!$A$6:$C$4395,3,0),"")</f>
        <v>3.2136</v>
      </c>
    </row>
    <row r="3856" spans="1:9">
      <c r="A3856" s="6">
        <v>43349</v>
      </c>
      <c r="B3856">
        <f>IFERROR(VLOOKUP($A3856,原始数据_收盘!$A$4:$G$3460,2,0),"")</f>
        <v>2.8275</v>
      </c>
      <c r="C3856">
        <f>IFERROR(VLOOKUP($A3856,原始数据_收盘!$A$4:$G$3460,3,0),"")</f>
        <v>3.2422</v>
      </c>
      <c r="D3856">
        <f>IFERROR(VLOOKUP($A3856,原始数据_收盘!$A$4:$G$3460,4,0),"")</f>
        <v>2.8325</v>
      </c>
      <c r="E3856">
        <f>IFERROR(VLOOKUP($A3856,原始数据_收盘!$A$4:$G$3460,5,0),"")</f>
        <v>3.245</v>
      </c>
      <c r="F3856">
        <f>IFERROR(VLOOKUP($A3856,原始数据_收盘!$A$4:$G$3460,6,0),"")</f>
        <v>2.83</v>
      </c>
      <c r="G3856">
        <f>IFERROR(VLOOKUP($A3856,原始数据_收盘!$A$4:$G$3460,7,0),"")</f>
        <v>3.2436</v>
      </c>
      <c r="H3856">
        <f>IFERROR(VLOOKUP($A3856,原始数据_利率互换_FR007_1年!$A$6:$C$4395,2,0),"")</f>
        <v>2.8204</v>
      </c>
      <c r="I3856">
        <f>IFERROR(VLOOKUP($A3856,原始数据_利率互换_FR007_1年!$A$6:$C$4395,3,0),"")</f>
        <v>3.2347</v>
      </c>
    </row>
    <row r="3857" spans="1:9">
      <c r="A3857" s="6">
        <v>43350</v>
      </c>
      <c r="B3857">
        <f>IFERROR(VLOOKUP($A3857,原始数据_收盘!$A$4:$G$3460,2,0),"")</f>
        <v>2.835</v>
      </c>
      <c r="C3857">
        <f>IFERROR(VLOOKUP($A3857,原始数据_收盘!$A$4:$G$3460,3,0),"")</f>
        <v>3.245</v>
      </c>
      <c r="D3857">
        <f>IFERROR(VLOOKUP($A3857,原始数据_收盘!$A$4:$G$3460,4,0),"")</f>
        <v>2.84</v>
      </c>
      <c r="E3857">
        <f>IFERROR(VLOOKUP($A3857,原始数据_收盘!$A$4:$G$3460,5,0),"")</f>
        <v>3.2471</v>
      </c>
      <c r="F3857">
        <f>IFERROR(VLOOKUP($A3857,原始数据_收盘!$A$4:$G$3460,6,0),"")</f>
        <v>2.8375</v>
      </c>
      <c r="G3857">
        <f>IFERROR(VLOOKUP($A3857,原始数据_收盘!$A$4:$G$3460,7,0),"")</f>
        <v>3.246</v>
      </c>
      <c r="H3857">
        <f>IFERROR(VLOOKUP($A3857,原始数据_利率互换_FR007_1年!$A$6:$C$4395,2,0),"")</f>
        <v>2.8388</v>
      </c>
      <c r="I3857">
        <f>IFERROR(VLOOKUP($A3857,原始数据_利率互换_FR007_1年!$A$6:$C$4395,3,0),"")</f>
        <v>3.2499</v>
      </c>
    </row>
    <row r="3858" spans="1:9">
      <c r="A3858" s="6">
        <v>43351</v>
      </c>
      <c r="B3858" t="str">
        <f>IFERROR(VLOOKUP($A3858,原始数据_收盘!$A$4:$G$3460,2,0),"")</f>
        <v/>
      </c>
      <c r="C3858" t="str">
        <f>IFERROR(VLOOKUP($A3858,原始数据_收盘!$A$4:$G$3460,3,0),"")</f>
        <v/>
      </c>
      <c r="D3858" t="str">
        <f>IFERROR(VLOOKUP($A3858,原始数据_收盘!$A$4:$G$3460,4,0),"")</f>
        <v/>
      </c>
      <c r="E3858" t="str">
        <f>IFERROR(VLOOKUP($A3858,原始数据_收盘!$A$4:$G$3460,5,0),"")</f>
        <v/>
      </c>
      <c r="F3858" t="str">
        <f>IFERROR(VLOOKUP($A3858,原始数据_收盘!$A$4:$G$3460,6,0),"")</f>
        <v/>
      </c>
      <c r="G3858" t="str">
        <f>IFERROR(VLOOKUP($A3858,原始数据_收盘!$A$4:$G$3460,7,0),"")</f>
        <v/>
      </c>
      <c r="H3858" t="str">
        <f>IFERROR(VLOOKUP($A3858,原始数据_利率互换_FR007_1年!$A$6:$C$4395,2,0),"")</f>
        <v/>
      </c>
      <c r="I3858" t="str">
        <f>IFERROR(VLOOKUP($A3858,原始数据_利率互换_FR007_1年!$A$6:$C$4395,3,0),"")</f>
        <v/>
      </c>
    </row>
    <row r="3859" spans="1:9">
      <c r="A3859" s="6">
        <v>43352</v>
      </c>
      <c r="B3859" t="str">
        <f>IFERROR(VLOOKUP($A3859,原始数据_收盘!$A$4:$G$3460,2,0),"")</f>
        <v/>
      </c>
      <c r="C3859" t="str">
        <f>IFERROR(VLOOKUP($A3859,原始数据_收盘!$A$4:$G$3460,3,0),"")</f>
        <v/>
      </c>
      <c r="D3859" t="str">
        <f>IFERROR(VLOOKUP($A3859,原始数据_收盘!$A$4:$G$3460,4,0),"")</f>
        <v/>
      </c>
      <c r="E3859" t="str">
        <f>IFERROR(VLOOKUP($A3859,原始数据_收盘!$A$4:$G$3460,5,0),"")</f>
        <v/>
      </c>
      <c r="F3859" t="str">
        <f>IFERROR(VLOOKUP($A3859,原始数据_收盘!$A$4:$G$3460,6,0),"")</f>
        <v/>
      </c>
      <c r="G3859" t="str">
        <f>IFERROR(VLOOKUP($A3859,原始数据_收盘!$A$4:$G$3460,7,0),"")</f>
        <v/>
      </c>
      <c r="H3859" t="str">
        <f>IFERROR(VLOOKUP($A3859,原始数据_利率互换_FR007_1年!$A$6:$C$4395,2,0),"")</f>
        <v/>
      </c>
      <c r="I3859" t="str">
        <f>IFERROR(VLOOKUP($A3859,原始数据_利率互换_FR007_1年!$A$6:$C$4395,3,0),"")</f>
        <v/>
      </c>
    </row>
    <row r="3860" spans="1:9">
      <c r="A3860" s="6">
        <v>43353</v>
      </c>
      <c r="B3860">
        <f>IFERROR(VLOOKUP($A3860,原始数据_收盘!$A$4:$G$3460,2,0),"")</f>
        <v>2.85</v>
      </c>
      <c r="C3860">
        <f>IFERROR(VLOOKUP($A3860,原始数据_收盘!$A$4:$G$3460,3,0),"")</f>
        <v>3.2718</v>
      </c>
      <c r="D3860">
        <f>IFERROR(VLOOKUP($A3860,原始数据_收盘!$A$4:$G$3460,4,0),"")</f>
        <v>2.86</v>
      </c>
      <c r="E3860">
        <f>IFERROR(VLOOKUP($A3860,原始数据_收盘!$A$4:$G$3460,5,0),"")</f>
        <v>3.2747</v>
      </c>
      <c r="F3860">
        <f>IFERROR(VLOOKUP($A3860,原始数据_收盘!$A$4:$G$3460,6,0),"")</f>
        <v>2.855</v>
      </c>
      <c r="G3860">
        <f>IFERROR(VLOOKUP($A3860,原始数据_收盘!$A$4:$G$3460,7,0),"")</f>
        <v>3.2732</v>
      </c>
      <c r="H3860">
        <f>IFERROR(VLOOKUP($A3860,原始数据_利率互换_FR007_1年!$A$6:$C$4395,2,0),"")</f>
        <v>2.8522</v>
      </c>
      <c r="I3860">
        <f>IFERROR(VLOOKUP($A3860,原始数据_利率互换_FR007_1年!$A$6:$C$4395,3,0),"")</f>
        <v>3.2624</v>
      </c>
    </row>
    <row r="3861" spans="1:9">
      <c r="A3861" s="6">
        <v>43354</v>
      </c>
      <c r="B3861">
        <f>IFERROR(VLOOKUP($A3861,原始数据_收盘!$A$4:$G$3460,2,0),"")</f>
        <v>2.865</v>
      </c>
      <c r="C3861">
        <f>IFERROR(VLOOKUP($A3861,原始数据_收盘!$A$4:$G$3460,3,0),"")</f>
        <v>3.3038</v>
      </c>
      <c r="D3861">
        <f>IFERROR(VLOOKUP($A3861,原始数据_收盘!$A$4:$G$3460,4,0),"")</f>
        <v>2.8694</v>
      </c>
      <c r="E3861">
        <f>IFERROR(VLOOKUP($A3861,原始数据_收盘!$A$4:$G$3460,5,0),"")</f>
        <v>3.3063</v>
      </c>
      <c r="F3861">
        <f>IFERROR(VLOOKUP($A3861,原始数据_收盘!$A$4:$G$3460,6,0),"")</f>
        <v>2.8672</v>
      </c>
      <c r="G3861">
        <f>IFERROR(VLOOKUP($A3861,原始数据_收盘!$A$4:$G$3460,7,0),"")</f>
        <v>3.305</v>
      </c>
      <c r="H3861">
        <f>IFERROR(VLOOKUP($A3861,原始数据_利率互换_FR007_1年!$A$6:$C$4395,2,0),"")</f>
        <v>2.8702</v>
      </c>
      <c r="I3861">
        <f>IFERROR(VLOOKUP($A3861,原始数据_利率互换_FR007_1年!$A$6:$C$4395,3,0),"")</f>
        <v>3.2964</v>
      </c>
    </row>
    <row r="3862" spans="1:9">
      <c r="A3862" s="6">
        <v>43355</v>
      </c>
      <c r="B3862">
        <f>IFERROR(VLOOKUP($A3862,原始数据_收盘!$A$4:$G$3460,2,0),"")</f>
        <v>2.865</v>
      </c>
      <c r="C3862">
        <f>IFERROR(VLOOKUP($A3862,原始数据_收盘!$A$4:$G$3460,3,0),"")</f>
        <v>3.2911</v>
      </c>
      <c r="D3862">
        <f>IFERROR(VLOOKUP($A3862,原始数据_收盘!$A$4:$G$3460,4,0),"")</f>
        <v>2.8675</v>
      </c>
      <c r="E3862">
        <f>IFERROR(VLOOKUP($A3862,原始数据_收盘!$A$4:$G$3460,5,0),"")</f>
        <v>3.2939</v>
      </c>
      <c r="F3862">
        <f>IFERROR(VLOOKUP($A3862,原始数据_收盘!$A$4:$G$3460,6,0),"")</f>
        <v>2.8663</v>
      </c>
      <c r="G3862">
        <f>IFERROR(VLOOKUP($A3862,原始数据_收盘!$A$4:$G$3460,7,0),"")</f>
        <v>3.2925</v>
      </c>
      <c r="H3862">
        <f>IFERROR(VLOOKUP($A3862,原始数据_利率互换_FR007_1年!$A$6:$C$4395,2,0),"")</f>
        <v>2.8681</v>
      </c>
      <c r="I3862">
        <f>IFERROR(VLOOKUP($A3862,原始数据_利率互换_FR007_1年!$A$6:$C$4395,3,0),"")</f>
        <v>3.2963</v>
      </c>
    </row>
    <row r="3863" spans="1:9">
      <c r="A3863" s="6">
        <v>43356</v>
      </c>
      <c r="B3863">
        <f>IFERROR(VLOOKUP($A3863,原始数据_收盘!$A$4:$G$3460,2,0),"")</f>
        <v>2.865</v>
      </c>
      <c r="C3863">
        <f>IFERROR(VLOOKUP($A3863,原始数据_收盘!$A$4:$G$3460,3,0),"")</f>
        <v>3.305</v>
      </c>
      <c r="D3863">
        <f>IFERROR(VLOOKUP($A3863,原始数据_收盘!$A$4:$G$3460,4,0),"")</f>
        <v>2.8725</v>
      </c>
      <c r="E3863">
        <f>IFERROR(VLOOKUP($A3863,原始数据_收盘!$A$4:$G$3460,5,0),"")</f>
        <v>3.31</v>
      </c>
      <c r="F3863">
        <f>IFERROR(VLOOKUP($A3863,原始数据_收盘!$A$4:$G$3460,6,0),"")</f>
        <v>2.8688</v>
      </c>
      <c r="G3863">
        <f>IFERROR(VLOOKUP($A3863,原始数据_收盘!$A$4:$G$3460,7,0),"")</f>
        <v>3.3075</v>
      </c>
      <c r="H3863">
        <f>IFERROR(VLOOKUP($A3863,原始数据_利率互换_FR007_1年!$A$6:$C$4395,2,0),"")</f>
        <v>2.8711</v>
      </c>
      <c r="I3863">
        <f>IFERROR(VLOOKUP($A3863,原始数据_利率互换_FR007_1年!$A$6:$C$4395,3,0),"")</f>
        <v>3.3101</v>
      </c>
    </row>
    <row r="3864" spans="1:9">
      <c r="A3864" s="6">
        <v>43357</v>
      </c>
      <c r="B3864">
        <f>IFERROR(VLOOKUP($A3864,原始数据_收盘!$A$4:$G$3460,2,0),"")</f>
        <v>2.8525</v>
      </c>
      <c r="C3864">
        <f>IFERROR(VLOOKUP($A3864,原始数据_收盘!$A$4:$G$3460,3,0),"")</f>
        <v>3.2925</v>
      </c>
      <c r="D3864">
        <f>IFERROR(VLOOKUP($A3864,原始数据_收盘!$A$4:$G$3460,4,0),"")</f>
        <v>2.8553</v>
      </c>
      <c r="E3864">
        <f>IFERROR(VLOOKUP($A3864,原始数据_收盘!$A$4:$G$3460,5,0),"")</f>
        <v>3.2993</v>
      </c>
      <c r="F3864">
        <f>IFERROR(VLOOKUP($A3864,原始数据_收盘!$A$4:$G$3460,6,0),"")</f>
        <v>2.8539</v>
      </c>
      <c r="G3864">
        <f>IFERROR(VLOOKUP($A3864,原始数据_收盘!$A$4:$G$3460,7,0),"")</f>
        <v>3.2959</v>
      </c>
      <c r="H3864">
        <f>IFERROR(VLOOKUP($A3864,原始数据_利率互换_FR007_1年!$A$6:$C$4395,2,0),"")</f>
        <v>2.8637</v>
      </c>
      <c r="I3864">
        <f>IFERROR(VLOOKUP($A3864,原始数据_利率互换_FR007_1年!$A$6:$C$4395,3,0),"")</f>
        <v>3.2921</v>
      </c>
    </row>
    <row r="3865" spans="1:9">
      <c r="A3865" s="6">
        <v>43358</v>
      </c>
      <c r="B3865" t="str">
        <f>IFERROR(VLOOKUP($A3865,原始数据_收盘!$A$4:$G$3460,2,0),"")</f>
        <v/>
      </c>
      <c r="C3865" t="str">
        <f>IFERROR(VLOOKUP($A3865,原始数据_收盘!$A$4:$G$3460,3,0),"")</f>
        <v/>
      </c>
      <c r="D3865" t="str">
        <f>IFERROR(VLOOKUP($A3865,原始数据_收盘!$A$4:$G$3460,4,0),"")</f>
        <v/>
      </c>
      <c r="E3865" t="str">
        <f>IFERROR(VLOOKUP($A3865,原始数据_收盘!$A$4:$G$3460,5,0),"")</f>
        <v/>
      </c>
      <c r="F3865" t="str">
        <f>IFERROR(VLOOKUP($A3865,原始数据_收盘!$A$4:$G$3460,6,0),"")</f>
        <v/>
      </c>
      <c r="G3865" t="str">
        <f>IFERROR(VLOOKUP($A3865,原始数据_收盘!$A$4:$G$3460,7,0),"")</f>
        <v/>
      </c>
      <c r="H3865" t="str">
        <f>IFERROR(VLOOKUP($A3865,原始数据_利率互换_FR007_1年!$A$6:$C$4395,2,0),"")</f>
        <v/>
      </c>
      <c r="I3865" t="str">
        <f>IFERROR(VLOOKUP($A3865,原始数据_利率互换_FR007_1年!$A$6:$C$4395,3,0),"")</f>
        <v/>
      </c>
    </row>
    <row r="3866" spans="1:9">
      <c r="A3866" s="6">
        <v>43359</v>
      </c>
      <c r="B3866" t="str">
        <f>IFERROR(VLOOKUP($A3866,原始数据_收盘!$A$4:$G$3460,2,0),"")</f>
        <v/>
      </c>
      <c r="C3866" t="str">
        <f>IFERROR(VLOOKUP($A3866,原始数据_收盘!$A$4:$G$3460,3,0),"")</f>
        <v/>
      </c>
      <c r="D3866" t="str">
        <f>IFERROR(VLOOKUP($A3866,原始数据_收盘!$A$4:$G$3460,4,0),"")</f>
        <v/>
      </c>
      <c r="E3866" t="str">
        <f>IFERROR(VLOOKUP($A3866,原始数据_收盘!$A$4:$G$3460,5,0),"")</f>
        <v/>
      </c>
      <c r="F3866" t="str">
        <f>IFERROR(VLOOKUP($A3866,原始数据_收盘!$A$4:$G$3460,6,0),"")</f>
        <v/>
      </c>
      <c r="G3866" t="str">
        <f>IFERROR(VLOOKUP($A3866,原始数据_收盘!$A$4:$G$3460,7,0),"")</f>
        <v/>
      </c>
      <c r="H3866" t="str">
        <f>IFERROR(VLOOKUP($A3866,原始数据_利率互换_FR007_1年!$A$6:$C$4395,2,0),"")</f>
        <v/>
      </c>
      <c r="I3866" t="str">
        <f>IFERROR(VLOOKUP($A3866,原始数据_利率互换_FR007_1年!$A$6:$C$4395,3,0),"")</f>
        <v/>
      </c>
    </row>
    <row r="3867" spans="1:9">
      <c r="A3867" s="6">
        <v>43360</v>
      </c>
      <c r="B3867">
        <f>IFERROR(VLOOKUP($A3867,原始数据_收盘!$A$4:$G$3460,2,0),"")</f>
        <v>2.8371</v>
      </c>
      <c r="C3867">
        <f>IFERROR(VLOOKUP($A3867,原始数据_收盘!$A$4:$G$3460,3,0),"")</f>
        <v>3.275</v>
      </c>
      <c r="D3867">
        <f>IFERROR(VLOOKUP($A3867,原始数据_收盘!$A$4:$G$3460,4,0),"")</f>
        <v>2.84</v>
      </c>
      <c r="E3867">
        <f>IFERROR(VLOOKUP($A3867,原始数据_收盘!$A$4:$G$3460,5,0),"")</f>
        <v>3.282</v>
      </c>
      <c r="F3867">
        <f>IFERROR(VLOOKUP($A3867,原始数据_收盘!$A$4:$G$3460,6,0),"")</f>
        <v>2.8385</v>
      </c>
      <c r="G3867">
        <f>IFERROR(VLOOKUP($A3867,原始数据_收盘!$A$4:$G$3460,7,0),"")</f>
        <v>3.2785</v>
      </c>
      <c r="H3867">
        <f>IFERROR(VLOOKUP($A3867,原始数据_利率互换_FR007_1年!$A$6:$C$4395,2,0),"")</f>
        <v>2.828</v>
      </c>
      <c r="I3867">
        <f>IFERROR(VLOOKUP($A3867,原始数据_利率互换_FR007_1年!$A$6:$C$4395,3,0),"")</f>
        <v>3.273</v>
      </c>
    </row>
    <row r="3868" spans="1:9">
      <c r="A3868" s="6">
        <v>43361</v>
      </c>
      <c r="B3868">
        <f>IFERROR(VLOOKUP($A3868,原始数据_收盘!$A$4:$G$3460,2,0),"")</f>
        <v>2.8488</v>
      </c>
      <c r="C3868">
        <f>IFERROR(VLOOKUP($A3868,原始数据_收盘!$A$4:$G$3460,3,0),"")</f>
        <v>3.2925</v>
      </c>
      <c r="D3868">
        <f>IFERROR(VLOOKUP($A3868,原始数据_收盘!$A$4:$G$3460,4,0),"")</f>
        <v>2.8525</v>
      </c>
      <c r="E3868">
        <f>IFERROR(VLOOKUP($A3868,原始数据_收盘!$A$4:$G$3460,5,0),"")</f>
        <v>3.295</v>
      </c>
      <c r="F3868">
        <f>IFERROR(VLOOKUP($A3868,原始数据_收盘!$A$4:$G$3460,6,0),"")</f>
        <v>2.8506</v>
      </c>
      <c r="G3868">
        <f>IFERROR(VLOOKUP($A3868,原始数据_收盘!$A$4:$G$3460,7,0),"")</f>
        <v>3.2938</v>
      </c>
      <c r="H3868">
        <f>IFERROR(VLOOKUP($A3868,原始数据_利率互换_FR007_1年!$A$6:$C$4395,2,0),"")</f>
        <v>2.8456</v>
      </c>
      <c r="I3868">
        <f>IFERROR(VLOOKUP($A3868,原始数据_利率互换_FR007_1年!$A$6:$C$4395,3,0),"")</f>
        <v>3.2852</v>
      </c>
    </row>
    <row r="3869" spans="1:9">
      <c r="A3869" s="6">
        <v>43362</v>
      </c>
      <c r="B3869">
        <f>IFERROR(VLOOKUP($A3869,原始数据_收盘!$A$4:$G$3460,2,0),"")</f>
        <v>2.865</v>
      </c>
      <c r="C3869">
        <f>IFERROR(VLOOKUP($A3869,原始数据_收盘!$A$4:$G$3460,3,0),"")</f>
        <v>3.31</v>
      </c>
      <c r="D3869">
        <f>IFERROR(VLOOKUP($A3869,原始数据_收盘!$A$4:$G$3460,4,0),"")</f>
        <v>2.87</v>
      </c>
      <c r="E3869">
        <f>IFERROR(VLOOKUP($A3869,原始数据_收盘!$A$4:$G$3460,5,0),"")</f>
        <v>3.3125</v>
      </c>
      <c r="F3869">
        <f>IFERROR(VLOOKUP($A3869,原始数据_收盘!$A$4:$G$3460,6,0),"")</f>
        <v>2.8675</v>
      </c>
      <c r="G3869">
        <f>IFERROR(VLOOKUP($A3869,原始数据_收盘!$A$4:$G$3460,7,0),"")</f>
        <v>3.3113</v>
      </c>
      <c r="H3869">
        <f>IFERROR(VLOOKUP($A3869,原始数据_利率互换_FR007_1年!$A$6:$C$4395,2,0),"")</f>
        <v>2.8483</v>
      </c>
      <c r="I3869">
        <f>IFERROR(VLOOKUP($A3869,原始数据_利率互换_FR007_1年!$A$6:$C$4395,3,0),"")</f>
        <v>3.305</v>
      </c>
    </row>
    <row r="3870" spans="1:9">
      <c r="A3870" s="6">
        <v>43363</v>
      </c>
      <c r="B3870">
        <f>IFERROR(VLOOKUP($A3870,原始数据_收盘!$A$4:$G$3460,2,0),"")</f>
        <v>2.8981</v>
      </c>
      <c r="C3870">
        <f>IFERROR(VLOOKUP($A3870,原始数据_收盘!$A$4:$G$3460,3,0),"")</f>
        <v>3.3656</v>
      </c>
      <c r="D3870">
        <f>IFERROR(VLOOKUP($A3870,原始数据_收盘!$A$4:$G$3460,4,0),"")</f>
        <v>2.9016</v>
      </c>
      <c r="E3870">
        <f>IFERROR(VLOOKUP($A3870,原始数据_收盘!$A$4:$G$3460,5,0),"")</f>
        <v>3.3711</v>
      </c>
      <c r="F3870">
        <f>IFERROR(VLOOKUP($A3870,原始数据_收盘!$A$4:$G$3460,6,0),"")</f>
        <v>2.8998</v>
      </c>
      <c r="G3870">
        <f>IFERROR(VLOOKUP($A3870,原始数据_收盘!$A$4:$G$3460,7,0),"")</f>
        <v>3.3684</v>
      </c>
      <c r="H3870">
        <f>IFERROR(VLOOKUP($A3870,原始数据_利率互换_FR007_1年!$A$6:$C$4395,2,0),"")</f>
        <v>2.8939</v>
      </c>
      <c r="I3870">
        <f>IFERROR(VLOOKUP($A3870,原始数据_利率互换_FR007_1年!$A$6:$C$4395,3,0),"")</f>
        <v>3.3497</v>
      </c>
    </row>
    <row r="3871" spans="1:9">
      <c r="A3871" s="6">
        <v>43364</v>
      </c>
      <c r="B3871">
        <f>IFERROR(VLOOKUP($A3871,原始数据_收盘!$A$4:$G$3460,2,0),"")</f>
        <v>2.8768</v>
      </c>
      <c r="C3871">
        <f>IFERROR(VLOOKUP($A3871,原始数据_收盘!$A$4:$G$3460,3,0),"")</f>
        <v>3.3386</v>
      </c>
      <c r="D3871">
        <f>IFERROR(VLOOKUP($A3871,原始数据_收盘!$A$4:$G$3460,4,0),"")</f>
        <v>2.88</v>
      </c>
      <c r="E3871">
        <f>IFERROR(VLOOKUP($A3871,原始数据_收盘!$A$4:$G$3460,5,0),"")</f>
        <v>3.3476</v>
      </c>
      <c r="F3871">
        <f>IFERROR(VLOOKUP($A3871,原始数据_收盘!$A$4:$G$3460,6,0),"")</f>
        <v>2.8784</v>
      </c>
      <c r="G3871">
        <f>IFERROR(VLOOKUP($A3871,原始数据_收盘!$A$4:$G$3460,7,0),"")</f>
        <v>3.3431</v>
      </c>
      <c r="H3871">
        <f>IFERROR(VLOOKUP($A3871,原始数据_利率互换_FR007_1年!$A$6:$C$4395,2,0),"")</f>
        <v>2.8908</v>
      </c>
      <c r="I3871">
        <f>IFERROR(VLOOKUP($A3871,原始数据_利率互换_FR007_1年!$A$6:$C$4395,3,0),"")</f>
        <v>3.3597</v>
      </c>
    </row>
    <row r="3872" spans="1:9">
      <c r="A3872" s="6">
        <v>43365</v>
      </c>
      <c r="B3872" t="str">
        <f>IFERROR(VLOOKUP($A3872,原始数据_收盘!$A$4:$G$3460,2,0),"")</f>
        <v/>
      </c>
      <c r="C3872" t="str">
        <f>IFERROR(VLOOKUP($A3872,原始数据_收盘!$A$4:$G$3460,3,0),"")</f>
        <v/>
      </c>
      <c r="D3872" t="str">
        <f>IFERROR(VLOOKUP($A3872,原始数据_收盘!$A$4:$G$3460,4,0),"")</f>
        <v/>
      </c>
      <c r="E3872" t="str">
        <f>IFERROR(VLOOKUP($A3872,原始数据_收盘!$A$4:$G$3460,5,0),"")</f>
        <v/>
      </c>
      <c r="F3872" t="str">
        <f>IFERROR(VLOOKUP($A3872,原始数据_收盘!$A$4:$G$3460,6,0),"")</f>
        <v/>
      </c>
      <c r="G3872" t="str">
        <f>IFERROR(VLOOKUP($A3872,原始数据_收盘!$A$4:$G$3460,7,0),"")</f>
        <v/>
      </c>
      <c r="H3872" t="str">
        <f>IFERROR(VLOOKUP($A3872,原始数据_利率互换_FR007_1年!$A$6:$C$4395,2,0),"")</f>
        <v/>
      </c>
      <c r="I3872" t="str">
        <f>IFERROR(VLOOKUP($A3872,原始数据_利率互换_FR007_1年!$A$6:$C$4395,3,0),"")</f>
        <v/>
      </c>
    </row>
    <row r="3873" spans="1:9">
      <c r="A3873" s="6">
        <v>43366</v>
      </c>
      <c r="B3873" t="str">
        <f>IFERROR(VLOOKUP($A3873,原始数据_收盘!$A$4:$G$3460,2,0),"")</f>
        <v/>
      </c>
      <c r="C3873" t="str">
        <f>IFERROR(VLOOKUP($A3873,原始数据_收盘!$A$4:$G$3460,3,0),"")</f>
        <v/>
      </c>
      <c r="D3873" t="str">
        <f>IFERROR(VLOOKUP($A3873,原始数据_收盘!$A$4:$G$3460,4,0),"")</f>
        <v/>
      </c>
      <c r="E3873" t="str">
        <f>IFERROR(VLOOKUP($A3873,原始数据_收盘!$A$4:$G$3460,5,0),"")</f>
        <v/>
      </c>
      <c r="F3873" t="str">
        <f>IFERROR(VLOOKUP($A3873,原始数据_收盘!$A$4:$G$3460,6,0),"")</f>
        <v/>
      </c>
      <c r="G3873" t="str">
        <f>IFERROR(VLOOKUP($A3873,原始数据_收盘!$A$4:$G$3460,7,0),"")</f>
        <v/>
      </c>
      <c r="H3873" t="str">
        <f>IFERROR(VLOOKUP($A3873,原始数据_利率互换_FR007_1年!$A$6:$C$4395,2,0),"")</f>
        <v/>
      </c>
      <c r="I3873" t="str">
        <f>IFERROR(VLOOKUP($A3873,原始数据_利率互换_FR007_1年!$A$6:$C$4395,3,0),"")</f>
        <v/>
      </c>
    </row>
    <row r="3874" spans="1:9">
      <c r="A3874" s="6">
        <v>43367</v>
      </c>
      <c r="B3874" t="str">
        <f>IFERROR(VLOOKUP($A3874,原始数据_收盘!$A$4:$G$3460,2,0),"")</f>
        <v/>
      </c>
      <c r="C3874" t="str">
        <f>IFERROR(VLOOKUP($A3874,原始数据_收盘!$A$4:$G$3460,3,0),"")</f>
        <v/>
      </c>
      <c r="D3874" t="str">
        <f>IFERROR(VLOOKUP($A3874,原始数据_收盘!$A$4:$G$3460,4,0),"")</f>
        <v/>
      </c>
      <c r="E3874" t="str">
        <f>IFERROR(VLOOKUP($A3874,原始数据_收盘!$A$4:$G$3460,5,0),"")</f>
        <v/>
      </c>
      <c r="F3874" t="str">
        <f>IFERROR(VLOOKUP($A3874,原始数据_收盘!$A$4:$G$3460,6,0),"")</f>
        <v/>
      </c>
      <c r="G3874" t="str">
        <f>IFERROR(VLOOKUP($A3874,原始数据_收盘!$A$4:$G$3460,7,0),"")</f>
        <v/>
      </c>
      <c r="H3874" t="str">
        <f>IFERROR(VLOOKUP($A3874,原始数据_利率互换_FR007_1年!$A$6:$C$4395,2,0),"")</f>
        <v/>
      </c>
      <c r="I3874" t="str">
        <f>IFERROR(VLOOKUP($A3874,原始数据_利率互换_FR007_1年!$A$6:$C$4395,3,0),"")</f>
        <v/>
      </c>
    </row>
    <row r="3875" spans="1:9">
      <c r="A3875" s="6">
        <v>43368</v>
      </c>
      <c r="B3875">
        <f>IFERROR(VLOOKUP($A3875,原始数据_收盘!$A$4:$G$3460,2,0),"")</f>
        <v>2.885</v>
      </c>
      <c r="C3875">
        <f>IFERROR(VLOOKUP($A3875,原始数据_收盘!$A$4:$G$3460,3,0),"")</f>
        <v>3.3479</v>
      </c>
      <c r="D3875">
        <f>IFERROR(VLOOKUP($A3875,原始数据_收盘!$A$4:$G$3460,4,0),"")</f>
        <v>2.8875</v>
      </c>
      <c r="E3875">
        <f>IFERROR(VLOOKUP($A3875,原始数据_收盘!$A$4:$G$3460,5,0),"")</f>
        <v>3.35</v>
      </c>
      <c r="F3875">
        <f>IFERROR(VLOOKUP($A3875,原始数据_收盘!$A$4:$G$3460,6,0),"")</f>
        <v>2.8863</v>
      </c>
      <c r="G3875">
        <f>IFERROR(VLOOKUP($A3875,原始数据_收盘!$A$4:$G$3460,7,0),"")</f>
        <v>3.349</v>
      </c>
      <c r="H3875">
        <f>IFERROR(VLOOKUP($A3875,原始数据_利率互换_FR007_1年!$A$6:$C$4395,2,0),"")</f>
        <v>2.879</v>
      </c>
      <c r="I3875">
        <f>IFERROR(VLOOKUP($A3875,原始数据_利率互换_FR007_1年!$A$6:$C$4395,3,0),"")</f>
        <v>3.349</v>
      </c>
    </row>
    <row r="3876" spans="1:9">
      <c r="A3876" s="6">
        <v>43369</v>
      </c>
      <c r="B3876">
        <f>IFERROR(VLOOKUP($A3876,原始数据_收盘!$A$4:$G$3460,2,0),"")</f>
        <v>2.8675</v>
      </c>
      <c r="C3876">
        <f>IFERROR(VLOOKUP($A3876,原始数据_收盘!$A$4:$G$3460,3,0),"")</f>
        <v>3.2958</v>
      </c>
      <c r="D3876">
        <f>IFERROR(VLOOKUP($A3876,原始数据_收盘!$A$4:$G$3460,4,0),"")</f>
        <v>2.876</v>
      </c>
      <c r="E3876">
        <f>IFERROR(VLOOKUP($A3876,原始数据_收盘!$A$4:$G$3460,5,0),"")</f>
        <v>3.3068</v>
      </c>
      <c r="F3876">
        <f>IFERROR(VLOOKUP($A3876,原始数据_收盘!$A$4:$G$3460,6,0),"")</f>
        <v>2.8717</v>
      </c>
      <c r="G3876">
        <f>IFERROR(VLOOKUP($A3876,原始数据_收盘!$A$4:$G$3460,7,0),"")</f>
        <v>3.3013</v>
      </c>
      <c r="H3876">
        <f>IFERROR(VLOOKUP($A3876,原始数据_利率互换_FR007_1年!$A$6:$C$4395,2,0),"")</f>
        <v>2.8898</v>
      </c>
      <c r="I3876">
        <f>IFERROR(VLOOKUP($A3876,原始数据_利率互换_FR007_1年!$A$6:$C$4395,3,0),"")</f>
        <v>3.3179</v>
      </c>
    </row>
    <row r="3877" spans="1:9">
      <c r="A3877" s="6">
        <v>43370</v>
      </c>
      <c r="B3877">
        <f>IFERROR(VLOOKUP($A3877,原始数据_收盘!$A$4:$G$3460,2,0),"")</f>
        <v>2.8513</v>
      </c>
      <c r="C3877">
        <f>IFERROR(VLOOKUP($A3877,原始数据_收盘!$A$4:$G$3460,3,0),"")</f>
        <v>3.265</v>
      </c>
      <c r="D3877">
        <f>IFERROR(VLOOKUP($A3877,原始数据_收盘!$A$4:$G$3460,4,0),"")</f>
        <v>2.8538</v>
      </c>
      <c r="E3877">
        <f>IFERROR(VLOOKUP($A3877,原始数据_收盘!$A$4:$G$3460,5,0),"")</f>
        <v>3.27</v>
      </c>
      <c r="F3877">
        <f>IFERROR(VLOOKUP($A3877,原始数据_收盘!$A$4:$G$3460,6,0),"")</f>
        <v>2.8525</v>
      </c>
      <c r="G3877">
        <f>IFERROR(VLOOKUP($A3877,原始数据_收盘!$A$4:$G$3460,7,0),"")</f>
        <v>3.2675</v>
      </c>
      <c r="H3877">
        <f>IFERROR(VLOOKUP($A3877,原始数据_利率互换_FR007_1年!$A$6:$C$4395,2,0),"")</f>
        <v>2.8646</v>
      </c>
      <c r="I3877">
        <f>IFERROR(VLOOKUP($A3877,原始数据_利率互换_FR007_1年!$A$6:$C$4395,3,0),"")</f>
        <v>3.2792</v>
      </c>
    </row>
    <row r="3878" spans="1:9">
      <c r="A3878" s="6">
        <v>43371</v>
      </c>
      <c r="B3878">
        <f>IFERROR(VLOOKUP($A3878,原始数据_收盘!$A$4:$G$3460,2,0),"")</f>
        <v>2.84</v>
      </c>
      <c r="C3878">
        <f>IFERROR(VLOOKUP($A3878,原始数据_收盘!$A$4:$G$3460,3,0),"")</f>
        <v>3.27</v>
      </c>
      <c r="D3878">
        <f>IFERROR(VLOOKUP($A3878,原始数据_收盘!$A$4:$G$3460,4,0),"")</f>
        <v>2.845</v>
      </c>
      <c r="E3878">
        <f>IFERROR(VLOOKUP($A3878,原始数据_收盘!$A$4:$G$3460,5,0),"")</f>
        <v>3.275</v>
      </c>
      <c r="F3878">
        <f>IFERROR(VLOOKUP($A3878,原始数据_收盘!$A$4:$G$3460,6,0),"")</f>
        <v>2.8425</v>
      </c>
      <c r="G3878">
        <f>IFERROR(VLOOKUP($A3878,原始数据_收盘!$A$4:$G$3460,7,0),"")</f>
        <v>3.2725</v>
      </c>
      <c r="H3878">
        <f>IFERROR(VLOOKUP($A3878,原始数据_利率互换_FR007_1年!$A$6:$C$4395,2,0),"")</f>
        <v>2.8469</v>
      </c>
      <c r="I3878">
        <f>IFERROR(VLOOKUP($A3878,原始数据_利率互换_FR007_1年!$A$6:$C$4395,3,0),"")</f>
        <v>3.2746</v>
      </c>
    </row>
    <row r="3879" spans="1:9">
      <c r="A3879" s="6">
        <v>43372</v>
      </c>
      <c r="B3879">
        <f>IFERROR(VLOOKUP($A3879,原始数据_收盘!$A$4:$G$3460,2,0),"")</f>
        <v>2.8325</v>
      </c>
      <c r="C3879">
        <f>IFERROR(VLOOKUP($A3879,原始数据_收盘!$A$4:$G$3460,3,0),"")</f>
        <v>3.265</v>
      </c>
      <c r="D3879">
        <f>IFERROR(VLOOKUP($A3879,原始数据_收盘!$A$4:$G$3460,4,0),"")</f>
        <v>2.8391</v>
      </c>
      <c r="E3879">
        <f>IFERROR(VLOOKUP($A3879,原始数据_收盘!$A$4:$G$3460,5,0),"")</f>
        <v>3.27</v>
      </c>
      <c r="F3879">
        <f>IFERROR(VLOOKUP($A3879,原始数据_收盘!$A$4:$G$3460,6,0),"")</f>
        <v>2.8358</v>
      </c>
      <c r="G3879">
        <f>IFERROR(VLOOKUP($A3879,原始数据_收盘!$A$4:$G$3460,7,0),"")</f>
        <v>3.2675</v>
      </c>
      <c r="H3879">
        <f>IFERROR(VLOOKUP($A3879,原始数据_利率互换_FR007_1年!$A$6:$C$4395,2,0),"")</f>
        <v>2.8429</v>
      </c>
      <c r="I3879">
        <f>IFERROR(VLOOKUP($A3879,原始数据_利率互换_FR007_1年!$A$6:$C$4395,3,0),"")</f>
        <v>3.2685</v>
      </c>
    </row>
    <row r="3880" spans="1:9">
      <c r="A3880" s="6">
        <v>43373</v>
      </c>
      <c r="B3880">
        <f>IFERROR(VLOOKUP($A3880,原始数据_收盘!$A$4:$G$3460,2,0),"")</f>
        <v>2.835</v>
      </c>
      <c r="C3880">
        <f>IFERROR(VLOOKUP($A3880,原始数据_收盘!$A$4:$G$3460,3,0),"")</f>
        <v>3.2628</v>
      </c>
      <c r="D3880">
        <f>IFERROR(VLOOKUP($A3880,原始数据_收盘!$A$4:$G$3460,4,0),"")</f>
        <v>2.835</v>
      </c>
      <c r="E3880">
        <f>IFERROR(VLOOKUP($A3880,原始数据_收盘!$A$4:$G$3460,5,0),"")</f>
        <v>3.2652</v>
      </c>
      <c r="F3880">
        <f>IFERROR(VLOOKUP($A3880,原始数据_收盘!$A$4:$G$3460,6,0),"")</f>
        <v>2.835</v>
      </c>
      <c r="G3880">
        <f>IFERROR(VLOOKUP($A3880,原始数据_收盘!$A$4:$G$3460,7,0),"")</f>
        <v>3.264</v>
      </c>
      <c r="H3880" t="str">
        <f>IFERROR(VLOOKUP($A3880,原始数据_利率互换_FR007_1年!$A$6:$C$4395,2,0),"")</f>
        <v/>
      </c>
      <c r="I3880" t="str">
        <f>IFERROR(VLOOKUP($A3880,原始数据_利率互换_FR007_1年!$A$6:$C$4395,3,0),"")</f>
        <v/>
      </c>
    </row>
    <row r="3881" spans="1:9">
      <c r="A3881" s="6">
        <v>43374</v>
      </c>
      <c r="B3881" t="str">
        <f>IFERROR(VLOOKUP($A3881,原始数据_收盘!$A$4:$G$3460,2,0),"")</f>
        <v/>
      </c>
      <c r="C3881" t="str">
        <f>IFERROR(VLOOKUP($A3881,原始数据_收盘!$A$4:$G$3460,3,0),"")</f>
        <v/>
      </c>
      <c r="D3881" t="str">
        <f>IFERROR(VLOOKUP($A3881,原始数据_收盘!$A$4:$G$3460,4,0),"")</f>
        <v/>
      </c>
      <c r="E3881" t="str">
        <f>IFERROR(VLOOKUP($A3881,原始数据_收盘!$A$4:$G$3460,5,0),"")</f>
        <v/>
      </c>
      <c r="F3881" t="str">
        <f>IFERROR(VLOOKUP($A3881,原始数据_收盘!$A$4:$G$3460,6,0),"")</f>
        <v/>
      </c>
      <c r="G3881" t="str">
        <f>IFERROR(VLOOKUP($A3881,原始数据_收盘!$A$4:$G$3460,7,0),"")</f>
        <v/>
      </c>
      <c r="H3881" t="str">
        <f>IFERROR(VLOOKUP($A3881,原始数据_利率互换_FR007_1年!$A$6:$C$4395,2,0),"")</f>
        <v/>
      </c>
      <c r="I3881" t="str">
        <f>IFERROR(VLOOKUP($A3881,原始数据_利率互换_FR007_1年!$A$6:$C$4395,3,0),"")</f>
        <v/>
      </c>
    </row>
    <row r="3882" spans="1:9">
      <c r="A3882" s="6">
        <v>43375</v>
      </c>
      <c r="B3882" t="str">
        <f>IFERROR(VLOOKUP($A3882,原始数据_收盘!$A$4:$G$3460,2,0),"")</f>
        <v/>
      </c>
      <c r="C3882" t="str">
        <f>IFERROR(VLOOKUP($A3882,原始数据_收盘!$A$4:$G$3460,3,0),"")</f>
        <v/>
      </c>
      <c r="D3882" t="str">
        <f>IFERROR(VLOOKUP($A3882,原始数据_收盘!$A$4:$G$3460,4,0),"")</f>
        <v/>
      </c>
      <c r="E3882" t="str">
        <f>IFERROR(VLOOKUP($A3882,原始数据_收盘!$A$4:$G$3460,5,0),"")</f>
        <v/>
      </c>
      <c r="F3882" t="str">
        <f>IFERROR(VLOOKUP($A3882,原始数据_收盘!$A$4:$G$3460,6,0),"")</f>
        <v/>
      </c>
      <c r="G3882" t="str">
        <f>IFERROR(VLOOKUP($A3882,原始数据_收盘!$A$4:$G$3460,7,0),"")</f>
        <v/>
      </c>
      <c r="H3882" t="str">
        <f>IFERROR(VLOOKUP($A3882,原始数据_利率互换_FR007_1年!$A$6:$C$4395,2,0),"")</f>
        <v/>
      </c>
      <c r="I3882" t="str">
        <f>IFERROR(VLOOKUP($A3882,原始数据_利率互换_FR007_1年!$A$6:$C$4395,3,0),"")</f>
        <v/>
      </c>
    </row>
    <row r="3883" spans="1:9">
      <c r="A3883" s="6">
        <v>43376</v>
      </c>
      <c r="B3883" t="str">
        <f>IFERROR(VLOOKUP($A3883,原始数据_收盘!$A$4:$G$3460,2,0),"")</f>
        <v/>
      </c>
      <c r="C3883" t="str">
        <f>IFERROR(VLOOKUP($A3883,原始数据_收盘!$A$4:$G$3460,3,0),"")</f>
        <v/>
      </c>
      <c r="D3883" t="str">
        <f>IFERROR(VLOOKUP($A3883,原始数据_收盘!$A$4:$G$3460,4,0),"")</f>
        <v/>
      </c>
      <c r="E3883" t="str">
        <f>IFERROR(VLOOKUP($A3883,原始数据_收盘!$A$4:$G$3460,5,0),"")</f>
        <v/>
      </c>
      <c r="F3883" t="str">
        <f>IFERROR(VLOOKUP($A3883,原始数据_收盘!$A$4:$G$3460,6,0),"")</f>
        <v/>
      </c>
      <c r="G3883" t="str">
        <f>IFERROR(VLOOKUP($A3883,原始数据_收盘!$A$4:$G$3460,7,0),"")</f>
        <v/>
      </c>
      <c r="H3883" t="str">
        <f>IFERROR(VLOOKUP($A3883,原始数据_利率互换_FR007_1年!$A$6:$C$4395,2,0),"")</f>
        <v/>
      </c>
      <c r="I3883" t="str">
        <f>IFERROR(VLOOKUP($A3883,原始数据_利率互换_FR007_1年!$A$6:$C$4395,3,0),"")</f>
        <v/>
      </c>
    </row>
    <row r="3884" spans="1:9">
      <c r="A3884" s="6">
        <v>43377</v>
      </c>
      <c r="B3884" t="str">
        <f>IFERROR(VLOOKUP($A3884,原始数据_收盘!$A$4:$G$3460,2,0),"")</f>
        <v/>
      </c>
      <c r="C3884" t="str">
        <f>IFERROR(VLOOKUP($A3884,原始数据_收盘!$A$4:$G$3460,3,0),"")</f>
        <v/>
      </c>
      <c r="D3884" t="str">
        <f>IFERROR(VLOOKUP($A3884,原始数据_收盘!$A$4:$G$3460,4,0),"")</f>
        <v/>
      </c>
      <c r="E3884" t="str">
        <f>IFERROR(VLOOKUP($A3884,原始数据_收盘!$A$4:$G$3460,5,0),"")</f>
        <v/>
      </c>
      <c r="F3884" t="str">
        <f>IFERROR(VLOOKUP($A3884,原始数据_收盘!$A$4:$G$3460,6,0),"")</f>
        <v/>
      </c>
      <c r="G3884" t="str">
        <f>IFERROR(VLOOKUP($A3884,原始数据_收盘!$A$4:$G$3460,7,0),"")</f>
        <v/>
      </c>
      <c r="H3884" t="str">
        <f>IFERROR(VLOOKUP($A3884,原始数据_利率互换_FR007_1年!$A$6:$C$4395,2,0),"")</f>
        <v/>
      </c>
      <c r="I3884" t="str">
        <f>IFERROR(VLOOKUP($A3884,原始数据_利率互换_FR007_1年!$A$6:$C$4395,3,0),"")</f>
        <v/>
      </c>
    </row>
    <row r="3885" spans="1:9">
      <c r="A3885" s="6">
        <v>43378</v>
      </c>
      <c r="B3885" t="str">
        <f>IFERROR(VLOOKUP($A3885,原始数据_收盘!$A$4:$G$3460,2,0),"")</f>
        <v/>
      </c>
      <c r="C3885" t="str">
        <f>IFERROR(VLOOKUP($A3885,原始数据_收盘!$A$4:$G$3460,3,0),"")</f>
        <v/>
      </c>
      <c r="D3885" t="str">
        <f>IFERROR(VLOOKUP($A3885,原始数据_收盘!$A$4:$G$3460,4,0),"")</f>
        <v/>
      </c>
      <c r="E3885" t="str">
        <f>IFERROR(VLOOKUP($A3885,原始数据_收盘!$A$4:$G$3460,5,0),"")</f>
        <v/>
      </c>
      <c r="F3885" t="str">
        <f>IFERROR(VLOOKUP($A3885,原始数据_收盘!$A$4:$G$3460,6,0),"")</f>
        <v/>
      </c>
      <c r="G3885" t="str">
        <f>IFERROR(VLOOKUP($A3885,原始数据_收盘!$A$4:$G$3460,7,0),"")</f>
        <v/>
      </c>
      <c r="H3885" t="str">
        <f>IFERROR(VLOOKUP($A3885,原始数据_利率互换_FR007_1年!$A$6:$C$4395,2,0),"")</f>
        <v/>
      </c>
      <c r="I3885" t="str">
        <f>IFERROR(VLOOKUP($A3885,原始数据_利率互换_FR007_1年!$A$6:$C$4395,3,0),"")</f>
        <v/>
      </c>
    </row>
    <row r="3886" spans="1:9">
      <c r="A3886" s="6">
        <v>43379</v>
      </c>
      <c r="B3886" t="str">
        <f>IFERROR(VLOOKUP($A3886,原始数据_收盘!$A$4:$G$3460,2,0),"")</f>
        <v/>
      </c>
      <c r="C3886" t="str">
        <f>IFERROR(VLOOKUP($A3886,原始数据_收盘!$A$4:$G$3460,3,0),"")</f>
        <v/>
      </c>
      <c r="D3886" t="str">
        <f>IFERROR(VLOOKUP($A3886,原始数据_收盘!$A$4:$G$3460,4,0),"")</f>
        <v/>
      </c>
      <c r="E3886" t="str">
        <f>IFERROR(VLOOKUP($A3886,原始数据_收盘!$A$4:$G$3460,5,0),"")</f>
        <v/>
      </c>
      <c r="F3886" t="str">
        <f>IFERROR(VLOOKUP($A3886,原始数据_收盘!$A$4:$G$3460,6,0),"")</f>
        <v/>
      </c>
      <c r="G3886" t="str">
        <f>IFERROR(VLOOKUP($A3886,原始数据_收盘!$A$4:$G$3460,7,0),"")</f>
        <v/>
      </c>
      <c r="H3886" t="str">
        <f>IFERROR(VLOOKUP($A3886,原始数据_利率互换_FR007_1年!$A$6:$C$4395,2,0),"")</f>
        <v/>
      </c>
      <c r="I3886" t="str">
        <f>IFERROR(VLOOKUP($A3886,原始数据_利率互换_FR007_1年!$A$6:$C$4395,3,0),"")</f>
        <v/>
      </c>
    </row>
    <row r="3887" spans="1:9">
      <c r="A3887" s="6">
        <v>43380</v>
      </c>
      <c r="B3887" t="str">
        <f>IFERROR(VLOOKUP($A3887,原始数据_收盘!$A$4:$G$3460,2,0),"")</f>
        <v/>
      </c>
      <c r="C3887" t="str">
        <f>IFERROR(VLOOKUP($A3887,原始数据_收盘!$A$4:$G$3460,3,0),"")</f>
        <v/>
      </c>
      <c r="D3887" t="str">
        <f>IFERROR(VLOOKUP($A3887,原始数据_收盘!$A$4:$G$3460,4,0),"")</f>
        <v/>
      </c>
      <c r="E3887" t="str">
        <f>IFERROR(VLOOKUP($A3887,原始数据_收盘!$A$4:$G$3460,5,0),"")</f>
        <v/>
      </c>
      <c r="F3887" t="str">
        <f>IFERROR(VLOOKUP($A3887,原始数据_收盘!$A$4:$G$3460,6,0),"")</f>
        <v/>
      </c>
      <c r="G3887" t="str">
        <f>IFERROR(VLOOKUP($A3887,原始数据_收盘!$A$4:$G$3460,7,0),"")</f>
        <v/>
      </c>
      <c r="H3887" t="str">
        <f>IFERROR(VLOOKUP($A3887,原始数据_利率互换_FR007_1年!$A$6:$C$4395,2,0),"")</f>
        <v/>
      </c>
      <c r="I3887" t="str">
        <f>IFERROR(VLOOKUP($A3887,原始数据_利率互换_FR007_1年!$A$6:$C$4395,3,0),"")</f>
        <v/>
      </c>
    </row>
    <row r="3888" spans="1:9">
      <c r="A3888" s="6">
        <v>43381</v>
      </c>
      <c r="B3888">
        <f>IFERROR(VLOOKUP($A3888,原始数据_收盘!$A$4:$G$3460,2,0),"")</f>
        <v>2.815</v>
      </c>
      <c r="C3888">
        <f>IFERROR(VLOOKUP($A3888,原始数据_收盘!$A$4:$G$3460,3,0),"")</f>
        <v>3.257</v>
      </c>
      <c r="D3888">
        <f>IFERROR(VLOOKUP($A3888,原始数据_收盘!$A$4:$G$3460,4,0),"")</f>
        <v>2.82</v>
      </c>
      <c r="E3888">
        <f>IFERROR(VLOOKUP($A3888,原始数据_收盘!$A$4:$G$3460,5,0),"")</f>
        <v>3.2611</v>
      </c>
      <c r="F3888">
        <f>IFERROR(VLOOKUP($A3888,原始数据_收盘!$A$4:$G$3460,6,0),"")</f>
        <v>2.8175</v>
      </c>
      <c r="G3888">
        <f>IFERROR(VLOOKUP($A3888,原始数据_收盘!$A$4:$G$3460,7,0),"")</f>
        <v>3.2591</v>
      </c>
      <c r="H3888">
        <f>IFERROR(VLOOKUP($A3888,原始数据_利率互换_FR007_1年!$A$6:$C$4395,2,0),"")</f>
        <v>2.8284</v>
      </c>
      <c r="I3888">
        <f>IFERROR(VLOOKUP($A3888,原始数据_利率互换_FR007_1年!$A$6:$C$4395,3,0),"")</f>
        <v>3.2632</v>
      </c>
    </row>
    <row r="3889" spans="1:9">
      <c r="A3889" s="6">
        <v>43382</v>
      </c>
      <c r="B3889">
        <f>IFERROR(VLOOKUP($A3889,原始数据_收盘!$A$4:$G$3460,2,0),"")</f>
        <v>2.7991</v>
      </c>
      <c r="C3889">
        <f>IFERROR(VLOOKUP($A3889,原始数据_收盘!$A$4:$G$3460,3,0),"")</f>
        <v>3.235</v>
      </c>
      <c r="D3889">
        <f>IFERROR(VLOOKUP($A3889,原始数据_收盘!$A$4:$G$3460,4,0),"")</f>
        <v>2.8013</v>
      </c>
      <c r="E3889">
        <f>IFERROR(VLOOKUP($A3889,原始数据_收盘!$A$4:$G$3460,5,0),"")</f>
        <v>3.2428</v>
      </c>
      <c r="F3889">
        <f>IFERROR(VLOOKUP($A3889,原始数据_收盘!$A$4:$G$3460,6,0),"")</f>
        <v>2.8002</v>
      </c>
      <c r="G3889">
        <f>IFERROR(VLOOKUP($A3889,原始数据_收盘!$A$4:$G$3460,7,0),"")</f>
        <v>3.2389</v>
      </c>
      <c r="H3889">
        <f>IFERROR(VLOOKUP($A3889,原始数据_利率互换_FR007_1年!$A$6:$C$4395,2,0),"")</f>
        <v>2.8</v>
      </c>
      <c r="I3889">
        <f>IFERROR(VLOOKUP($A3889,原始数据_利率互换_FR007_1年!$A$6:$C$4395,3,0),"")</f>
        <v>3.2394</v>
      </c>
    </row>
    <row r="3890" spans="1:9">
      <c r="A3890" s="6">
        <v>43383</v>
      </c>
      <c r="B3890">
        <f>IFERROR(VLOOKUP($A3890,原始数据_收盘!$A$4:$G$3460,2,0),"")</f>
        <v>2.8074</v>
      </c>
      <c r="C3890">
        <f>IFERROR(VLOOKUP($A3890,原始数据_收盘!$A$4:$G$3460,3,0),"")</f>
        <v>3.24</v>
      </c>
      <c r="D3890">
        <f>IFERROR(VLOOKUP($A3890,原始数据_收盘!$A$4:$G$3460,4,0),"")</f>
        <v>2.815</v>
      </c>
      <c r="E3890">
        <f>IFERROR(VLOOKUP($A3890,原始数据_收盘!$A$4:$G$3460,5,0),"")</f>
        <v>3.2468</v>
      </c>
      <c r="F3890">
        <f>IFERROR(VLOOKUP($A3890,原始数据_收盘!$A$4:$G$3460,6,0),"")</f>
        <v>2.8112</v>
      </c>
      <c r="G3890">
        <f>IFERROR(VLOOKUP($A3890,原始数据_收盘!$A$4:$G$3460,7,0),"")</f>
        <v>3.2434</v>
      </c>
      <c r="H3890">
        <f>IFERROR(VLOOKUP($A3890,原始数据_利率互换_FR007_1年!$A$6:$C$4395,2,0),"")</f>
        <v>2.8002</v>
      </c>
      <c r="I3890">
        <f>IFERROR(VLOOKUP($A3890,原始数据_利率互换_FR007_1年!$A$6:$C$4395,3,0),"")</f>
        <v>3.2297</v>
      </c>
    </row>
    <row r="3891" spans="1:9">
      <c r="A3891" s="6">
        <v>43384</v>
      </c>
      <c r="B3891">
        <f>IFERROR(VLOOKUP($A3891,原始数据_收盘!$A$4:$G$3460,2,0),"")</f>
        <v>2.7925</v>
      </c>
      <c r="C3891">
        <f>IFERROR(VLOOKUP($A3891,原始数据_收盘!$A$4:$G$3460,3,0),"")</f>
        <v>3.22</v>
      </c>
      <c r="D3891">
        <f>IFERROR(VLOOKUP($A3891,原始数据_收盘!$A$4:$G$3460,4,0),"")</f>
        <v>2.7975</v>
      </c>
      <c r="E3891">
        <f>IFERROR(VLOOKUP($A3891,原始数据_收盘!$A$4:$G$3460,5,0),"")</f>
        <v>3.225</v>
      </c>
      <c r="F3891">
        <f>IFERROR(VLOOKUP($A3891,原始数据_收盘!$A$4:$G$3460,6,0),"")</f>
        <v>2.795</v>
      </c>
      <c r="G3891">
        <f>IFERROR(VLOOKUP($A3891,原始数据_收盘!$A$4:$G$3460,7,0),"")</f>
        <v>3.2225</v>
      </c>
      <c r="H3891">
        <f>IFERROR(VLOOKUP($A3891,原始数据_利率互换_FR007_1年!$A$6:$C$4395,2,0),"")</f>
        <v>2.7978</v>
      </c>
      <c r="I3891">
        <f>IFERROR(VLOOKUP($A3891,原始数据_利率互换_FR007_1年!$A$6:$C$4395,3,0),"")</f>
        <v>3.2234</v>
      </c>
    </row>
    <row r="3892" spans="1:9">
      <c r="A3892" s="6">
        <v>43385</v>
      </c>
      <c r="B3892">
        <f>IFERROR(VLOOKUP($A3892,原始数据_收盘!$A$4:$G$3460,2,0),"")</f>
        <v>2.7947</v>
      </c>
      <c r="C3892">
        <f>IFERROR(VLOOKUP($A3892,原始数据_收盘!$A$4:$G$3460,3,0),"")</f>
        <v>3.2325</v>
      </c>
      <c r="D3892">
        <f>IFERROR(VLOOKUP($A3892,原始数据_收盘!$A$4:$G$3460,4,0),"")</f>
        <v>2.7959</v>
      </c>
      <c r="E3892">
        <f>IFERROR(VLOOKUP($A3892,原始数据_收盘!$A$4:$G$3460,5,0),"")</f>
        <v>3.235</v>
      </c>
      <c r="F3892">
        <f>IFERROR(VLOOKUP($A3892,原始数据_收盘!$A$4:$G$3460,6,0),"")</f>
        <v>2.7953</v>
      </c>
      <c r="G3892">
        <f>IFERROR(VLOOKUP($A3892,原始数据_收盘!$A$4:$G$3460,7,0),"")</f>
        <v>3.2338</v>
      </c>
      <c r="H3892">
        <f>IFERROR(VLOOKUP($A3892,原始数据_利率互换_FR007_1年!$A$6:$C$4395,2,0),"")</f>
        <v>2.7932</v>
      </c>
      <c r="I3892">
        <f>IFERROR(VLOOKUP($A3892,原始数据_利率互换_FR007_1年!$A$6:$C$4395,3,0),"")</f>
        <v>3.2318</v>
      </c>
    </row>
    <row r="3893" spans="1:9">
      <c r="A3893" s="6">
        <v>43386</v>
      </c>
      <c r="B3893" t="str">
        <f>IFERROR(VLOOKUP($A3893,原始数据_收盘!$A$4:$G$3460,2,0),"")</f>
        <v/>
      </c>
      <c r="C3893" t="str">
        <f>IFERROR(VLOOKUP($A3893,原始数据_收盘!$A$4:$G$3460,3,0),"")</f>
        <v/>
      </c>
      <c r="D3893" t="str">
        <f>IFERROR(VLOOKUP($A3893,原始数据_收盘!$A$4:$G$3460,4,0),"")</f>
        <v/>
      </c>
      <c r="E3893" t="str">
        <f>IFERROR(VLOOKUP($A3893,原始数据_收盘!$A$4:$G$3460,5,0),"")</f>
        <v/>
      </c>
      <c r="F3893" t="str">
        <f>IFERROR(VLOOKUP($A3893,原始数据_收盘!$A$4:$G$3460,6,0),"")</f>
        <v/>
      </c>
      <c r="G3893" t="str">
        <f>IFERROR(VLOOKUP($A3893,原始数据_收盘!$A$4:$G$3460,7,0),"")</f>
        <v/>
      </c>
      <c r="H3893" t="str">
        <f>IFERROR(VLOOKUP($A3893,原始数据_利率互换_FR007_1年!$A$6:$C$4395,2,0),"")</f>
        <v/>
      </c>
      <c r="I3893" t="str">
        <f>IFERROR(VLOOKUP($A3893,原始数据_利率互换_FR007_1年!$A$6:$C$4395,3,0),"")</f>
        <v/>
      </c>
    </row>
    <row r="3894" spans="1:9">
      <c r="A3894" s="6">
        <v>43387</v>
      </c>
      <c r="B3894" t="str">
        <f>IFERROR(VLOOKUP($A3894,原始数据_收盘!$A$4:$G$3460,2,0),"")</f>
        <v/>
      </c>
      <c r="C3894" t="str">
        <f>IFERROR(VLOOKUP($A3894,原始数据_收盘!$A$4:$G$3460,3,0),"")</f>
        <v/>
      </c>
      <c r="D3894" t="str">
        <f>IFERROR(VLOOKUP($A3894,原始数据_收盘!$A$4:$G$3460,4,0),"")</f>
        <v/>
      </c>
      <c r="E3894" t="str">
        <f>IFERROR(VLOOKUP($A3894,原始数据_收盘!$A$4:$G$3460,5,0),"")</f>
        <v/>
      </c>
      <c r="F3894" t="str">
        <f>IFERROR(VLOOKUP($A3894,原始数据_收盘!$A$4:$G$3460,6,0),"")</f>
        <v/>
      </c>
      <c r="G3894" t="str">
        <f>IFERROR(VLOOKUP($A3894,原始数据_收盘!$A$4:$G$3460,7,0),"")</f>
        <v/>
      </c>
      <c r="H3894" t="str">
        <f>IFERROR(VLOOKUP($A3894,原始数据_利率互换_FR007_1年!$A$6:$C$4395,2,0),"")</f>
        <v/>
      </c>
      <c r="I3894" t="str">
        <f>IFERROR(VLOOKUP($A3894,原始数据_利率互换_FR007_1年!$A$6:$C$4395,3,0),"")</f>
        <v/>
      </c>
    </row>
    <row r="3895" spans="1:9">
      <c r="A3895" s="6">
        <v>43388</v>
      </c>
      <c r="B3895">
        <f>IFERROR(VLOOKUP($A3895,原始数据_收盘!$A$4:$G$3460,2,0),"")</f>
        <v>2.798</v>
      </c>
      <c r="C3895">
        <f>IFERROR(VLOOKUP($A3895,原始数据_收盘!$A$4:$G$3460,3,0),"")</f>
        <v>3.245</v>
      </c>
      <c r="D3895">
        <f>IFERROR(VLOOKUP($A3895,原始数据_收盘!$A$4:$G$3460,4,0),"")</f>
        <v>2.8</v>
      </c>
      <c r="E3895">
        <f>IFERROR(VLOOKUP($A3895,原始数据_收盘!$A$4:$G$3460,5,0),"")</f>
        <v>3.25</v>
      </c>
      <c r="F3895">
        <f>IFERROR(VLOOKUP($A3895,原始数据_收盘!$A$4:$G$3460,6,0),"")</f>
        <v>2.799</v>
      </c>
      <c r="G3895">
        <f>IFERROR(VLOOKUP($A3895,原始数据_收盘!$A$4:$G$3460,7,0),"")</f>
        <v>3.2475</v>
      </c>
      <c r="H3895">
        <f>IFERROR(VLOOKUP($A3895,原始数据_利率互换_FR007_1年!$A$6:$C$4395,2,0),"")</f>
        <v>2.7949</v>
      </c>
      <c r="I3895">
        <f>IFERROR(VLOOKUP($A3895,原始数据_利率互换_FR007_1年!$A$6:$C$4395,3,0),"")</f>
        <v>3.2416</v>
      </c>
    </row>
    <row r="3896" spans="1:9">
      <c r="A3896" s="6">
        <v>43389</v>
      </c>
      <c r="B3896">
        <f>IFERROR(VLOOKUP($A3896,原始数据_收盘!$A$4:$G$3460,2,0),"")</f>
        <v>2.795</v>
      </c>
      <c r="C3896">
        <f>IFERROR(VLOOKUP($A3896,原始数据_收盘!$A$4:$G$3460,3,0),"")</f>
        <v>3.225</v>
      </c>
      <c r="D3896">
        <f>IFERROR(VLOOKUP($A3896,原始数据_收盘!$A$4:$G$3460,4,0),"")</f>
        <v>2.7975</v>
      </c>
      <c r="E3896">
        <f>IFERROR(VLOOKUP($A3896,原始数据_收盘!$A$4:$G$3460,5,0),"")</f>
        <v>3.23</v>
      </c>
      <c r="F3896">
        <f>IFERROR(VLOOKUP($A3896,原始数据_收盘!$A$4:$G$3460,6,0),"")</f>
        <v>2.7963</v>
      </c>
      <c r="G3896">
        <f>IFERROR(VLOOKUP($A3896,原始数据_收盘!$A$4:$G$3460,7,0),"")</f>
        <v>3.2275</v>
      </c>
      <c r="H3896">
        <f>IFERROR(VLOOKUP($A3896,原始数据_利率互换_FR007_1年!$A$6:$C$4395,2,0),"")</f>
        <v>2.8036</v>
      </c>
      <c r="I3896">
        <f>IFERROR(VLOOKUP($A3896,原始数据_利率互换_FR007_1年!$A$6:$C$4395,3,0),"")</f>
        <v>3.2524</v>
      </c>
    </row>
    <row r="3897" spans="1:9">
      <c r="A3897" s="6">
        <v>43390</v>
      </c>
      <c r="B3897">
        <f>IFERROR(VLOOKUP($A3897,原始数据_收盘!$A$4:$G$3460,2,0),"")</f>
        <v>2.8033</v>
      </c>
      <c r="C3897">
        <f>IFERROR(VLOOKUP($A3897,原始数据_收盘!$A$4:$G$3460,3,0),"")</f>
        <v>3.2444</v>
      </c>
      <c r="D3897">
        <f>IFERROR(VLOOKUP($A3897,原始数据_收盘!$A$4:$G$3460,4,0),"")</f>
        <v>2.8076</v>
      </c>
      <c r="E3897">
        <f>IFERROR(VLOOKUP($A3897,原始数据_收盘!$A$4:$G$3460,5,0),"")</f>
        <v>3.2473</v>
      </c>
      <c r="F3897">
        <f>IFERROR(VLOOKUP($A3897,原始数据_收盘!$A$4:$G$3460,6,0),"")</f>
        <v>2.8054</v>
      </c>
      <c r="G3897">
        <f>IFERROR(VLOOKUP($A3897,原始数据_收盘!$A$4:$G$3460,7,0),"")</f>
        <v>3.2458</v>
      </c>
      <c r="H3897">
        <f>IFERROR(VLOOKUP($A3897,原始数据_利率互换_FR007_1年!$A$6:$C$4395,2,0),"")</f>
        <v>2.8019</v>
      </c>
      <c r="I3897">
        <f>IFERROR(VLOOKUP($A3897,原始数据_利率互换_FR007_1年!$A$6:$C$4395,3,0),"")</f>
        <v>3.2425</v>
      </c>
    </row>
    <row r="3898" spans="1:9">
      <c r="A3898" s="6">
        <v>43391</v>
      </c>
      <c r="B3898">
        <f>IFERROR(VLOOKUP($A3898,原始数据_收盘!$A$4:$G$3460,2,0),"")</f>
        <v>2.7818</v>
      </c>
      <c r="C3898">
        <f>IFERROR(VLOOKUP($A3898,原始数据_收盘!$A$4:$G$3460,3,0),"")</f>
        <v>3.2165</v>
      </c>
      <c r="D3898">
        <f>IFERROR(VLOOKUP($A3898,原始数据_收盘!$A$4:$G$3460,4,0),"")</f>
        <v>2.7849</v>
      </c>
      <c r="E3898">
        <f>IFERROR(VLOOKUP($A3898,原始数据_收盘!$A$4:$G$3460,5,0),"")</f>
        <v>3.22</v>
      </c>
      <c r="F3898">
        <f>IFERROR(VLOOKUP($A3898,原始数据_收盘!$A$4:$G$3460,6,0),"")</f>
        <v>2.7834</v>
      </c>
      <c r="G3898">
        <f>IFERROR(VLOOKUP($A3898,原始数据_收盘!$A$4:$G$3460,7,0),"")</f>
        <v>3.2183</v>
      </c>
      <c r="H3898">
        <f>IFERROR(VLOOKUP($A3898,原始数据_利率互换_FR007_1年!$A$6:$C$4395,2,0),"")</f>
        <v>2.788</v>
      </c>
      <c r="I3898">
        <f>IFERROR(VLOOKUP($A3898,原始数据_利率互换_FR007_1年!$A$6:$C$4395,3,0),"")</f>
        <v>3.2235</v>
      </c>
    </row>
    <row r="3899" spans="1:9">
      <c r="A3899" s="6">
        <v>43392</v>
      </c>
      <c r="B3899">
        <f>IFERROR(VLOOKUP($A3899,原始数据_收盘!$A$4:$G$3460,2,0),"")</f>
        <v>2.7775</v>
      </c>
      <c r="C3899">
        <f>IFERROR(VLOOKUP($A3899,原始数据_收盘!$A$4:$G$3460,3,0),"")</f>
        <v>3.205</v>
      </c>
      <c r="D3899">
        <f>IFERROR(VLOOKUP($A3899,原始数据_收盘!$A$4:$G$3460,4,0),"")</f>
        <v>2.7825</v>
      </c>
      <c r="E3899">
        <f>IFERROR(VLOOKUP($A3899,原始数据_收盘!$A$4:$G$3460,5,0),"")</f>
        <v>3.208</v>
      </c>
      <c r="F3899">
        <f>IFERROR(VLOOKUP($A3899,原始数据_收盘!$A$4:$G$3460,6,0),"")</f>
        <v>2.78</v>
      </c>
      <c r="G3899">
        <f>IFERROR(VLOOKUP($A3899,原始数据_收盘!$A$4:$G$3460,7,0),"")</f>
        <v>3.2065</v>
      </c>
      <c r="H3899">
        <f>IFERROR(VLOOKUP($A3899,原始数据_利率互换_FR007_1年!$A$6:$C$4395,2,0),"")</f>
        <v>2.7762</v>
      </c>
      <c r="I3899">
        <f>IFERROR(VLOOKUP($A3899,原始数据_利率互换_FR007_1年!$A$6:$C$4395,3,0),"")</f>
        <v>3.1989</v>
      </c>
    </row>
    <row r="3900" spans="1:9">
      <c r="A3900" s="6">
        <v>43393</v>
      </c>
      <c r="B3900" t="str">
        <f>IFERROR(VLOOKUP($A3900,原始数据_收盘!$A$4:$G$3460,2,0),"")</f>
        <v/>
      </c>
      <c r="C3900" t="str">
        <f>IFERROR(VLOOKUP($A3900,原始数据_收盘!$A$4:$G$3460,3,0),"")</f>
        <v/>
      </c>
      <c r="D3900" t="str">
        <f>IFERROR(VLOOKUP($A3900,原始数据_收盘!$A$4:$G$3460,4,0),"")</f>
        <v/>
      </c>
      <c r="E3900" t="str">
        <f>IFERROR(VLOOKUP($A3900,原始数据_收盘!$A$4:$G$3460,5,0),"")</f>
        <v/>
      </c>
      <c r="F3900" t="str">
        <f>IFERROR(VLOOKUP($A3900,原始数据_收盘!$A$4:$G$3460,6,0),"")</f>
        <v/>
      </c>
      <c r="G3900" t="str">
        <f>IFERROR(VLOOKUP($A3900,原始数据_收盘!$A$4:$G$3460,7,0),"")</f>
        <v/>
      </c>
      <c r="H3900" t="str">
        <f>IFERROR(VLOOKUP($A3900,原始数据_利率互换_FR007_1年!$A$6:$C$4395,2,0),"")</f>
        <v/>
      </c>
      <c r="I3900" t="str">
        <f>IFERROR(VLOOKUP($A3900,原始数据_利率互换_FR007_1年!$A$6:$C$4395,3,0),"")</f>
        <v/>
      </c>
    </row>
    <row r="3901" spans="1:9">
      <c r="A3901" s="6">
        <v>43394</v>
      </c>
      <c r="B3901" t="str">
        <f>IFERROR(VLOOKUP($A3901,原始数据_收盘!$A$4:$G$3460,2,0),"")</f>
        <v/>
      </c>
      <c r="C3901" t="str">
        <f>IFERROR(VLOOKUP($A3901,原始数据_收盘!$A$4:$G$3460,3,0),"")</f>
        <v/>
      </c>
      <c r="D3901" t="str">
        <f>IFERROR(VLOOKUP($A3901,原始数据_收盘!$A$4:$G$3460,4,0),"")</f>
        <v/>
      </c>
      <c r="E3901" t="str">
        <f>IFERROR(VLOOKUP($A3901,原始数据_收盘!$A$4:$G$3460,5,0),"")</f>
        <v/>
      </c>
      <c r="F3901" t="str">
        <f>IFERROR(VLOOKUP($A3901,原始数据_收盘!$A$4:$G$3460,6,0),"")</f>
        <v/>
      </c>
      <c r="G3901" t="str">
        <f>IFERROR(VLOOKUP($A3901,原始数据_收盘!$A$4:$G$3460,7,0),"")</f>
        <v/>
      </c>
      <c r="H3901" t="str">
        <f>IFERROR(VLOOKUP($A3901,原始数据_利率互换_FR007_1年!$A$6:$C$4395,2,0),"")</f>
        <v/>
      </c>
      <c r="I3901" t="str">
        <f>IFERROR(VLOOKUP($A3901,原始数据_利率互换_FR007_1年!$A$6:$C$4395,3,0),"")</f>
        <v/>
      </c>
    </row>
    <row r="3902" spans="1:9">
      <c r="A3902" s="6">
        <v>43395</v>
      </c>
      <c r="B3902">
        <f>IFERROR(VLOOKUP($A3902,原始数据_收盘!$A$4:$G$3460,2,0),"")</f>
        <v>2.795</v>
      </c>
      <c r="C3902">
        <f>IFERROR(VLOOKUP($A3902,原始数据_收盘!$A$4:$G$3460,3,0),"")</f>
        <v>3.2175</v>
      </c>
      <c r="D3902">
        <f>IFERROR(VLOOKUP($A3902,原始数据_收盘!$A$4:$G$3460,4,0),"")</f>
        <v>2.7975</v>
      </c>
      <c r="E3902">
        <f>IFERROR(VLOOKUP($A3902,原始数据_收盘!$A$4:$G$3460,5,0),"")</f>
        <v>3.2224</v>
      </c>
      <c r="F3902">
        <f>IFERROR(VLOOKUP($A3902,原始数据_收盘!$A$4:$G$3460,6,0),"")</f>
        <v>2.7963</v>
      </c>
      <c r="G3902">
        <f>IFERROR(VLOOKUP($A3902,原始数据_收盘!$A$4:$G$3460,7,0),"")</f>
        <v>3.22</v>
      </c>
      <c r="H3902">
        <f>IFERROR(VLOOKUP($A3902,原始数据_利率互换_FR007_1年!$A$6:$C$4395,2,0),"")</f>
        <v>2.7995</v>
      </c>
      <c r="I3902">
        <f>IFERROR(VLOOKUP($A3902,原始数据_利率互换_FR007_1年!$A$6:$C$4395,3,0),"")</f>
        <v>3.2252</v>
      </c>
    </row>
    <row r="3903" spans="1:9">
      <c r="A3903" s="6">
        <v>43396</v>
      </c>
      <c r="B3903">
        <f>IFERROR(VLOOKUP($A3903,原始数据_收盘!$A$4:$G$3460,2,0),"")</f>
        <v>2.7705</v>
      </c>
      <c r="C3903">
        <f>IFERROR(VLOOKUP($A3903,原始数据_收盘!$A$4:$G$3460,3,0),"")</f>
        <v>3.1825</v>
      </c>
      <c r="D3903">
        <f>IFERROR(VLOOKUP($A3903,原始数据_收盘!$A$4:$G$3460,4,0),"")</f>
        <v>2.7775</v>
      </c>
      <c r="E3903">
        <f>IFERROR(VLOOKUP($A3903,原始数据_收盘!$A$4:$G$3460,5,0),"")</f>
        <v>3.1852</v>
      </c>
      <c r="F3903">
        <f>IFERROR(VLOOKUP($A3903,原始数据_收盘!$A$4:$G$3460,6,0),"")</f>
        <v>2.774</v>
      </c>
      <c r="G3903">
        <f>IFERROR(VLOOKUP($A3903,原始数据_收盘!$A$4:$G$3460,7,0),"")</f>
        <v>3.1838</v>
      </c>
      <c r="H3903">
        <f>IFERROR(VLOOKUP($A3903,原始数据_利率互换_FR007_1年!$A$6:$C$4395,2,0),"")</f>
        <v>2.7808</v>
      </c>
      <c r="I3903">
        <f>IFERROR(VLOOKUP($A3903,原始数据_利率互换_FR007_1年!$A$6:$C$4395,3,0),"")</f>
        <v>3.1964</v>
      </c>
    </row>
    <row r="3904" spans="1:9">
      <c r="A3904" s="6">
        <v>43397</v>
      </c>
      <c r="B3904">
        <f>IFERROR(VLOOKUP($A3904,原始数据_收盘!$A$4:$G$3460,2,0),"")</f>
        <v>2.7575</v>
      </c>
      <c r="C3904">
        <f>IFERROR(VLOOKUP($A3904,原始数据_收盘!$A$4:$G$3460,3,0),"")</f>
        <v>3.1525</v>
      </c>
      <c r="D3904">
        <f>IFERROR(VLOOKUP($A3904,原始数据_收盘!$A$4:$G$3460,4,0),"")</f>
        <v>2.76</v>
      </c>
      <c r="E3904">
        <f>IFERROR(VLOOKUP($A3904,原始数据_收盘!$A$4:$G$3460,5,0),"")</f>
        <v>3.1575</v>
      </c>
      <c r="F3904">
        <f>IFERROR(VLOOKUP($A3904,原始数据_收盘!$A$4:$G$3460,6,0),"")</f>
        <v>2.7588</v>
      </c>
      <c r="G3904">
        <f>IFERROR(VLOOKUP($A3904,原始数据_收盘!$A$4:$G$3460,7,0),"")</f>
        <v>3.155</v>
      </c>
      <c r="H3904">
        <f>IFERROR(VLOOKUP($A3904,原始数据_利率互换_FR007_1年!$A$6:$C$4395,2,0),"")</f>
        <v>2.7686</v>
      </c>
      <c r="I3904">
        <f>IFERROR(VLOOKUP($A3904,原始数据_利率互换_FR007_1年!$A$6:$C$4395,3,0),"")</f>
        <v>3.1689</v>
      </c>
    </row>
    <row r="3905" spans="1:9">
      <c r="A3905" s="6">
        <v>43398</v>
      </c>
      <c r="B3905">
        <f>IFERROR(VLOOKUP($A3905,原始数据_收盘!$A$4:$G$3460,2,0),"")</f>
        <v>2.763</v>
      </c>
      <c r="C3905">
        <f>IFERROR(VLOOKUP($A3905,原始数据_收盘!$A$4:$G$3460,3,0),"")</f>
        <v>3.1589</v>
      </c>
      <c r="D3905">
        <f>IFERROR(VLOOKUP($A3905,原始数据_收盘!$A$4:$G$3460,4,0),"")</f>
        <v>2.7684</v>
      </c>
      <c r="E3905">
        <f>IFERROR(VLOOKUP($A3905,原始数据_收盘!$A$4:$G$3460,5,0),"")</f>
        <v>3.165</v>
      </c>
      <c r="F3905">
        <f>IFERROR(VLOOKUP($A3905,原始数据_收盘!$A$4:$G$3460,6,0),"")</f>
        <v>2.7657</v>
      </c>
      <c r="G3905">
        <f>IFERROR(VLOOKUP($A3905,原始数据_收盘!$A$4:$G$3460,7,0),"")</f>
        <v>3.162</v>
      </c>
      <c r="H3905">
        <f>IFERROR(VLOOKUP($A3905,原始数据_利率互换_FR007_1年!$A$6:$C$4395,2,0),"")</f>
        <v>2.7625</v>
      </c>
      <c r="I3905">
        <f>IFERROR(VLOOKUP($A3905,原始数据_利率互换_FR007_1年!$A$6:$C$4395,3,0),"")</f>
        <v>3.1541</v>
      </c>
    </row>
    <row r="3906" spans="1:9">
      <c r="A3906" s="6">
        <v>43399</v>
      </c>
      <c r="B3906">
        <f>IFERROR(VLOOKUP($A3906,原始数据_收盘!$A$4:$G$3460,2,0),"")</f>
        <v>2.7514</v>
      </c>
      <c r="C3906">
        <f>IFERROR(VLOOKUP($A3906,原始数据_收盘!$A$4:$G$3460,3,0),"")</f>
        <v>3.1465</v>
      </c>
      <c r="D3906">
        <f>IFERROR(VLOOKUP($A3906,原始数据_收盘!$A$4:$G$3460,4,0),"")</f>
        <v>2.755</v>
      </c>
      <c r="E3906">
        <f>IFERROR(VLOOKUP($A3906,原始数据_收盘!$A$4:$G$3460,5,0),"")</f>
        <v>3.1525</v>
      </c>
      <c r="F3906">
        <f>IFERROR(VLOOKUP($A3906,原始数据_收盘!$A$4:$G$3460,6,0),"")</f>
        <v>2.7532</v>
      </c>
      <c r="G3906">
        <f>IFERROR(VLOOKUP($A3906,原始数据_收盘!$A$4:$G$3460,7,0),"")</f>
        <v>3.1495</v>
      </c>
      <c r="H3906">
        <f>IFERROR(VLOOKUP($A3906,原始数据_利率互换_FR007_1年!$A$6:$C$4395,2,0),"")</f>
        <v>2.7765</v>
      </c>
      <c r="I3906">
        <f>IFERROR(VLOOKUP($A3906,原始数据_利率互换_FR007_1年!$A$6:$C$4395,3,0),"")</f>
        <v>3.1507</v>
      </c>
    </row>
    <row r="3907" spans="1:9">
      <c r="A3907" s="6">
        <v>43400</v>
      </c>
      <c r="B3907" t="str">
        <f>IFERROR(VLOOKUP($A3907,原始数据_收盘!$A$4:$G$3460,2,0),"")</f>
        <v/>
      </c>
      <c r="C3907" t="str">
        <f>IFERROR(VLOOKUP($A3907,原始数据_收盘!$A$4:$G$3460,3,0),"")</f>
        <v/>
      </c>
      <c r="D3907" t="str">
        <f>IFERROR(VLOOKUP($A3907,原始数据_收盘!$A$4:$G$3460,4,0),"")</f>
        <v/>
      </c>
      <c r="E3907" t="str">
        <f>IFERROR(VLOOKUP($A3907,原始数据_收盘!$A$4:$G$3460,5,0),"")</f>
        <v/>
      </c>
      <c r="F3907" t="str">
        <f>IFERROR(VLOOKUP($A3907,原始数据_收盘!$A$4:$G$3460,6,0),"")</f>
        <v/>
      </c>
      <c r="G3907" t="str">
        <f>IFERROR(VLOOKUP($A3907,原始数据_收盘!$A$4:$G$3460,7,0),"")</f>
        <v/>
      </c>
      <c r="H3907" t="str">
        <f>IFERROR(VLOOKUP($A3907,原始数据_利率互换_FR007_1年!$A$6:$C$4395,2,0),"")</f>
        <v/>
      </c>
      <c r="I3907" t="str">
        <f>IFERROR(VLOOKUP($A3907,原始数据_利率互换_FR007_1年!$A$6:$C$4395,3,0),"")</f>
        <v/>
      </c>
    </row>
    <row r="3908" spans="1:9">
      <c r="A3908" s="6">
        <v>43401</v>
      </c>
      <c r="B3908" t="str">
        <f>IFERROR(VLOOKUP($A3908,原始数据_收盘!$A$4:$G$3460,2,0),"")</f>
        <v/>
      </c>
      <c r="C3908" t="str">
        <f>IFERROR(VLOOKUP($A3908,原始数据_收盘!$A$4:$G$3460,3,0),"")</f>
        <v/>
      </c>
      <c r="D3908" t="str">
        <f>IFERROR(VLOOKUP($A3908,原始数据_收盘!$A$4:$G$3460,4,0),"")</f>
        <v/>
      </c>
      <c r="E3908" t="str">
        <f>IFERROR(VLOOKUP($A3908,原始数据_收盘!$A$4:$G$3460,5,0),"")</f>
        <v/>
      </c>
      <c r="F3908" t="str">
        <f>IFERROR(VLOOKUP($A3908,原始数据_收盘!$A$4:$G$3460,6,0),"")</f>
        <v/>
      </c>
      <c r="G3908" t="str">
        <f>IFERROR(VLOOKUP($A3908,原始数据_收盘!$A$4:$G$3460,7,0),"")</f>
        <v/>
      </c>
      <c r="H3908" t="str">
        <f>IFERROR(VLOOKUP($A3908,原始数据_利率互换_FR007_1年!$A$6:$C$4395,2,0),"")</f>
        <v/>
      </c>
      <c r="I3908" t="str">
        <f>IFERROR(VLOOKUP($A3908,原始数据_利率互换_FR007_1年!$A$6:$C$4395,3,0),"")</f>
        <v/>
      </c>
    </row>
    <row r="3909" spans="1:9">
      <c r="A3909" s="6">
        <v>43402</v>
      </c>
      <c r="B3909">
        <f>IFERROR(VLOOKUP($A3909,原始数据_收盘!$A$4:$G$3460,2,0),"")</f>
        <v>2.7481</v>
      </c>
      <c r="C3909">
        <f>IFERROR(VLOOKUP($A3909,原始数据_收盘!$A$4:$G$3460,3,0),"")</f>
        <v>3.1294</v>
      </c>
      <c r="D3909">
        <f>IFERROR(VLOOKUP($A3909,原始数据_收盘!$A$4:$G$3460,4,0),"")</f>
        <v>2.75</v>
      </c>
      <c r="E3909">
        <f>IFERROR(VLOOKUP($A3909,原始数据_收盘!$A$4:$G$3460,5,0),"")</f>
        <v>3.1319</v>
      </c>
      <c r="F3909">
        <f>IFERROR(VLOOKUP($A3909,原始数据_收盘!$A$4:$G$3460,6,0),"")</f>
        <v>2.7491</v>
      </c>
      <c r="G3909">
        <f>IFERROR(VLOOKUP($A3909,原始数据_收盘!$A$4:$G$3460,7,0),"")</f>
        <v>3.1306</v>
      </c>
      <c r="H3909">
        <f>IFERROR(VLOOKUP($A3909,原始数据_利率互换_FR007_1年!$A$6:$C$4395,2,0),"")</f>
        <v>2.7581</v>
      </c>
      <c r="I3909">
        <f>IFERROR(VLOOKUP($A3909,原始数据_利率互换_FR007_1年!$A$6:$C$4395,3,0),"")</f>
        <v>3.1381</v>
      </c>
    </row>
    <row r="3910" spans="1:9">
      <c r="A3910" s="6">
        <v>43403</v>
      </c>
      <c r="B3910">
        <f>IFERROR(VLOOKUP($A3910,原始数据_收盘!$A$4:$G$3460,2,0),"")</f>
        <v>2.7567</v>
      </c>
      <c r="C3910">
        <f>IFERROR(VLOOKUP($A3910,原始数据_收盘!$A$4:$G$3460,3,0),"")</f>
        <v>3.14</v>
      </c>
      <c r="D3910">
        <f>IFERROR(VLOOKUP($A3910,原始数据_收盘!$A$4:$G$3460,4,0),"")</f>
        <v>2.7619</v>
      </c>
      <c r="E3910">
        <f>IFERROR(VLOOKUP($A3910,原始数据_收盘!$A$4:$G$3460,5,0),"")</f>
        <v>3.1461</v>
      </c>
      <c r="F3910">
        <f>IFERROR(VLOOKUP($A3910,原始数据_收盘!$A$4:$G$3460,6,0),"")</f>
        <v>2.7593</v>
      </c>
      <c r="G3910">
        <f>IFERROR(VLOOKUP($A3910,原始数据_收盘!$A$4:$G$3460,7,0),"")</f>
        <v>3.143</v>
      </c>
      <c r="H3910">
        <f>IFERROR(VLOOKUP($A3910,原始数据_利率互换_FR007_1年!$A$6:$C$4395,2,0),"")</f>
        <v>2.7582</v>
      </c>
      <c r="I3910">
        <f>IFERROR(VLOOKUP($A3910,原始数据_利率互换_FR007_1年!$A$6:$C$4395,3,0),"")</f>
        <v>3.132</v>
      </c>
    </row>
    <row r="3911" spans="1:9">
      <c r="A3911" s="6">
        <v>43404</v>
      </c>
      <c r="B3911">
        <f>IFERROR(VLOOKUP($A3911,原始数据_收盘!$A$4:$G$3460,2,0),"")</f>
        <v>2.7585</v>
      </c>
      <c r="C3911">
        <f>IFERROR(VLOOKUP($A3911,原始数据_收盘!$A$4:$G$3460,3,0),"")</f>
        <v>3.1383</v>
      </c>
      <c r="D3911">
        <f>IFERROR(VLOOKUP($A3911,原始数据_收盘!$A$4:$G$3460,4,0),"")</f>
        <v>2.76</v>
      </c>
      <c r="E3911">
        <f>IFERROR(VLOOKUP($A3911,原始数据_收盘!$A$4:$G$3460,5,0),"")</f>
        <v>3.145</v>
      </c>
      <c r="F3911">
        <f>IFERROR(VLOOKUP($A3911,原始数据_收盘!$A$4:$G$3460,6,0),"")</f>
        <v>2.7593</v>
      </c>
      <c r="G3911">
        <f>IFERROR(VLOOKUP($A3911,原始数据_收盘!$A$4:$G$3460,7,0),"")</f>
        <v>3.1417</v>
      </c>
      <c r="H3911">
        <f>IFERROR(VLOOKUP($A3911,原始数据_利率互换_FR007_1年!$A$6:$C$4395,2,0),"")</f>
        <v>2.7608</v>
      </c>
      <c r="I3911">
        <f>IFERROR(VLOOKUP($A3911,原始数据_利率互换_FR007_1年!$A$6:$C$4395,3,0),"")</f>
        <v>3.1465</v>
      </c>
    </row>
    <row r="3912" spans="1:9">
      <c r="A3912" s="6">
        <v>43405</v>
      </c>
      <c r="B3912">
        <f>IFERROR(VLOOKUP($A3912,原始数据_收盘!$A$4:$G$3460,2,0),"")</f>
        <v>2.7608</v>
      </c>
      <c r="C3912">
        <f>IFERROR(VLOOKUP($A3912,原始数据_收盘!$A$4:$G$3460,3,0),"")</f>
        <v>3.1456</v>
      </c>
      <c r="D3912">
        <f>IFERROR(VLOOKUP($A3912,原始数据_收盘!$A$4:$G$3460,4,0),"")</f>
        <v>2.77</v>
      </c>
      <c r="E3912">
        <f>IFERROR(VLOOKUP($A3912,原始数据_收盘!$A$4:$G$3460,5,0),"")</f>
        <v>3.15</v>
      </c>
      <c r="F3912">
        <f>IFERROR(VLOOKUP($A3912,原始数据_收盘!$A$4:$G$3460,6,0),"")</f>
        <v>2.7654</v>
      </c>
      <c r="G3912">
        <f>IFERROR(VLOOKUP($A3912,原始数据_收盘!$A$4:$G$3460,7,0),"")</f>
        <v>3.1478</v>
      </c>
      <c r="H3912">
        <f>IFERROR(VLOOKUP($A3912,原始数据_利率互换_FR007_1年!$A$6:$C$4395,2,0),"")</f>
        <v>2.7619</v>
      </c>
      <c r="I3912">
        <f>IFERROR(VLOOKUP($A3912,原始数据_利率互换_FR007_1年!$A$6:$C$4395,3,0),"")</f>
        <v>3.1435</v>
      </c>
    </row>
    <row r="3913" spans="1:9">
      <c r="A3913" s="6">
        <v>43406</v>
      </c>
      <c r="B3913">
        <f>IFERROR(VLOOKUP($A3913,原始数据_收盘!$A$4:$G$3460,2,0),"")</f>
        <v>2.795</v>
      </c>
      <c r="C3913">
        <f>IFERROR(VLOOKUP($A3913,原始数据_收盘!$A$4:$G$3460,3,0),"")</f>
        <v>3.2247</v>
      </c>
      <c r="D3913">
        <f>IFERROR(VLOOKUP($A3913,原始数据_收盘!$A$4:$G$3460,4,0),"")</f>
        <v>2.8004</v>
      </c>
      <c r="E3913">
        <f>IFERROR(VLOOKUP($A3913,原始数据_收盘!$A$4:$G$3460,5,0),"")</f>
        <v>3.2279</v>
      </c>
      <c r="F3913">
        <f>IFERROR(VLOOKUP($A3913,原始数据_收盘!$A$4:$G$3460,6,0),"")</f>
        <v>2.7977</v>
      </c>
      <c r="G3913">
        <f>IFERROR(VLOOKUP($A3913,原始数据_收盘!$A$4:$G$3460,7,0),"")</f>
        <v>3.2263</v>
      </c>
      <c r="H3913">
        <f>IFERROR(VLOOKUP($A3913,原始数据_利率互换_FR007_1年!$A$6:$C$4395,2,0),"")</f>
        <v>2.7913</v>
      </c>
      <c r="I3913">
        <f>IFERROR(VLOOKUP($A3913,原始数据_利率互换_FR007_1年!$A$6:$C$4395,3,0),"")</f>
        <v>3.1989</v>
      </c>
    </row>
    <row r="3914" spans="1:9">
      <c r="A3914" s="6">
        <v>43407</v>
      </c>
      <c r="B3914" t="str">
        <f>IFERROR(VLOOKUP($A3914,原始数据_收盘!$A$4:$G$3460,2,0),"")</f>
        <v/>
      </c>
      <c r="C3914" t="str">
        <f>IFERROR(VLOOKUP($A3914,原始数据_收盘!$A$4:$G$3460,3,0),"")</f>
        <v/>
      </c>
      <c r="D3914" t="str">
        <f>IFERROR(VLOOKUP($A3914,原始数据_收盘!$A$4:$G$3460,4,0),"")</f>
        <v/>
      </c>
      <c r="E3914" t="str">
        <f>IFERROR(VLOOKUP($A3914,原始数据_收盘!$A$4:$G$3460,5,0),"")</f>
        <v/>
      </c>
      <c r="F3914" t="str">
        <f>IFERROR(VLOOKUP($A3914,原始数据_收盘!$A$4:$G$3460,6,0),"")</f>
        <v/>
      </c>
      <c r="G3914" t="str">
        <f>IFERROR(VLOOKUP($A3914,原始数据_收盘!$A$4:$G$3460,7,0),"")</f>
        <v/>
      </c>
      <c r="H3914" t="str">
        <f>IFERROR(VLOOKUP($A3914,原始数据_利率互换_FR007_1年!$A$6:$C$4395,2,0),"")</f>
        <v/>
      </c>
      <c r="I3914" t="str">
        <f>IFERROR(VLOOKUP($A3914,原始数据_利率互换_FR007_1年!$A$6:$C$4395,3,0),"")</f>
        <v/>
      </c>
    </row>
    <row r="3915" spans="1:9">
      <c r="A3915" s="6">
        <v>43408</v>
      </c>
      <c r="B3915" t="str">
        <f>IFERROR(VLOOKUP($A3915,原始数据_收盘!$A$4:$G$3460,2,0),"")</f>
        <v/>
      </c>
      <c r="C3915" t="str">
        <f>IFERROR(VLOOKUP($A3915,原始数据_收盘!$A$4:$G$3460,3,0),"")</f>
        <v/>
      </c>
      <c r="D3915" t="str">
        <f>IFERROR(VLOOKUP($A3915,原始数据_收盘!$A$4:$G$3460,4,0),"")</f>
        <v/>
      </c>
      <c r="E3915" t="str">
        <f>IFERROR(VLOOKUP($A3915,原始数据_收盘!$A$4:$G$3460,5,0),"")</f>
        <v/>
      </c>
      <c r="F3915" t="str">
        <f>IFERROR(VLOOKUP($A3915,原始数据_收盘!$A$4:$G$3460,6,0),"")</f>
        <v/>
      </c>
      <c r="G3915" t="str">
        <f>IFERROR(VLOOKUP($A3915,原始数据_收盘!$A$4:$G$3460,7,0),"")</f>
        <v/>
      </c>
      <c r="H3915" t="str">
        <f>IFERROR(VLOOKUP($A3915,原始数据_利率互换_FR007_1年!$A$6:$C$4395,2,0),"")</f>
        <v/>
      </c>
      <c r="I3915" t="str">
        <f>IFERROR(VLOOKUP($A3915,原始数据_利率互换_FR007_1年!$A$6:$C$4395,3,0),"")</f>
        <v/>
      </c>
    </row>
    <row r="3916" spans="1:9">
      <c r="A3916" s="6">
        <v>43409</v>
      </c>
      <c r="B3916">
        <f>IFERROR(VLOOKUP($A3916,原始数据_收盘!$A$4:$G$3460,2,0),"")</f>
        <v>2.783</v>
      </c>
      <c r="C3916">
        <f>IFERROR(VLOOKUP($A3916,原始数据_收盘!$A$4:$G$3460,3,0),"")</f>
        <v>3.205</v>
      </c>
      <c r="D3916">
        <f>IFERROR(VLOOKUP($A3916,原始数据_收盘!$A$4:$G$3460,4,0),"")</f>
        <v>2.785</v>
      </c>
      <c r="E3916">
        <f>IFERROR(VLOOKUP($A3916,原始数据_收盘!$A$4:$G$3460,5,0),"")</f>
        <v>3.2075</v>
      </c>
      <c r="F3916">
        <f>IFERROR(VLOOKUP($A3916,原始数据_收盘!$A$4:$G$3460,6,0),"")</f>
        <v>2.784</v>
      </c>
      <c r="G3916">
        <f>IFERROR(VLOOKUP($A3916,原始数据_收盘!$A$4:$G$3460,7,0),"")</f>
        <v>3.2063</v>
      </c>
      <c r="H3916">
        <f>IFERROR(VLOOKUP($A3916,原始数据_利率互换_FR007_1年!$A$6:$C$4395,2,0),"")</f>
        <v>2.7958</v>
      </c>
      <c r="I3916">
        <f>IFERROR(VLOOKUP($A3916,原始数据_利率互换_FR007_1年!$A$6:$C$4395,3,0),"")</f>
        <v>3.2072</v>
      </c>
    </row>
    <row r="3917" spans="1:9">
      <c r="A3917" s="6">
        <v>43410</v>
      </c>
      <c r="B3917">
        <f>IFERROR(VLOOKUP($A3917,原始数据_收盘!$A$4:$G$3460,2,0),"")</f>
        <v>2.7625</v>
      </c>
      <c r="C3917">
        <f>IFERROR(VLOOKUP($A3917,原始数据_收盘!$A$4:$G$3460,3,0),"")</f>
        <v>3.1775</v>
      </c>
      <c r="D3917">
        <f>IFERROR(VLOOKUP($A3917,原始数据_收盘!$A$4:$G$3460,4,0),"")</f>
        <v>2.765</v>
      </c>
      <c r="E3917">
        <f>IFERROR(VLOOKUP($A3917,原始数据_收盘!$A$4:$G$3460,5,0),"")</f>
        <v>3.1825</v>
      </c>
      <c r="F3917">
        <f>IFERROR(VLOOKUP($A3917,原始数据_收盘!$A$4:$G$3460,6,0),"")</f>
        <v>2.7638</v>
      </c>
      <c r="G3917">
        <f>IFERROR(VLOOKUP($A3917,原始数据_收盘!$A$4:$G$3460,7,0),"")</f>
        <v>3.18</v>
      </c>
      <c r="H3917">
        <f>IFERROR(VLOOKUP($A3917,原始数据_利率互换_FR007_1年!$A$6:$C$4395,2,0),"")</f>
        <v>2.7684</v>
      </c>
      <c r="I3917">
        <f>IFERROR(VLOOKUP($A3917,原始数据_利率互换_FR007_1年!$A$6:$C$4395,3,0),"")</f>
        <v>3.1873</v>
      </c>
    </row>
    <row r="3918" spans="1:9">
      <c r="A3918" s="6">
        <v>43411</v>
      </c>
      <c r="B3918">
        <f>IFERROR(VLOOKUP($A3918,原始数据_收盘!$A$4:$G$3460,2,0),"")</f>
        <v>2.7551</v>
      </c>
      <c r="C3918">
        <f>IFERROR(VLOOKUP($A3918,原始数据_收盘!$A$4:$G$3460,3,0),"")</f>
        <v>3.155</v>
      </c>
      <c r="D3918">
        <f>IFERROR(VLOOKUP($A3918,原始数据_收盘!$A$4:$G$3460,4,0),"")</f>
        <v>2.7571</v>
      </c>
      <c r="E3918">
        <f>IFERROR(VLOOKUP($A3918,原始数据_收盘!$A$4:$G$3460,5,0),"")</f>
        <v>3.16</v>
      </c>
      <c r="F3918">
        <f>IFERROR(VLOOKUP($A3918,原始数据_收盘!$A$4:$G$3460,6,0),"")</f>
        <v>2.7561</v>
      </c>
      <c r="G3918">
        <f>IFERROR(VLOOKUP($A3918,原始数据_收盘!$A$4:$G$3460,7,0),"")</f>
        <v>3.1575</v>
      </c>
      <c r="H3918">
        <f>IFERROR(VLOOKUP($A3918,原始数据_利率互换_FR007_1年!$A$6:$C$4395,2,0),"")</f>
        <v>2.7626</v>
      </c>
      <c r="I3918">
        <f>IFERROR(VLOOKUP($A3918,原始数据_利率互换_FR007_1年!$A$6:$C$4395,3,0),"")</f>
        <v>3.1654</v>
      </c>
    </row>
    <row r="3919" spans="1:9">
      <c r="A3919" s="6">
        <v>43412</v>
      </c>
      <c r="B3919">
        <f>IFERROR(VLOOKUP($A3919,原始数据_收盘!$A$4:$G$3460,2,0),"")</f>
        <v>2.768</v>
      </c>
      <c r="C3919">
        <f>IFERROR(VLOOKUP($A3919,原始数据_收盘!$A$4:$G$3460,3,0),"")</f>
        <v>3.1698</v>
      </c>
      <c r="D3919">
        <f>IFERROR(VLOOKUP($A3919,原始数据_收盘!$A$4:$G$3460,4,0),"")</f>
        <v>2.7721</v>
      </c>
      <c r="E3919">
        <f>IFERROR(VLOOKUP($A3919,原始数据_收盘!$A$4:$G$3460,5,0),"")</f>
        <v>3.1725</v>
      </c>
      <c r="F3919">
        <f>IFERROR(VLOOKUP($A3919,原始数据_收盘!$A$4:$G$3460,6,0),"")</f>
        <v>2.7701</v>
      </c>
      <c r="G3919">
        <f>IFERROR(VLOOKUP($A3919,原始数据_收盘!$A$4:$G$3460,7,0),"")</f>
        <v>3.1712</v>
      </c>
      <c r="H3919">
        <f>IFERROR(VLOOKUP($A3919,原始数据_利率互换_FR007_1年!$A$6:$C$4395,2,0),"")</f>
        <v>2.7648</v>
      </c>
      <c r="I3919">
        <f>IFERROR(VLOOKUP($A3919,原始数据_利率互换_FR007_1年!$A$6:$C$4395,3,0),"")</f>
        <v>3.1696</v>
      </c>
    </row>
    <row r="3920" spans="1:9">
      <c r="A3920" s="6">
        <v>43413</v>
      </c>
      <c r="B3920">
        <f>IFERROR(VLOOKUP($A3920,原始数据_收盘!$A$4:$G$3460,2,0),"")</f>
        <v>2.79</v>
      </c>
      <c r="C3920">
        <f>IFERROR(VLOOKUP($A3920,原始数据_收盘!$A$4:$G$3460,3,0),"")</f>
        <v>3.1882</v>
      </c>
      <c r="D3920">
        <f>IFERROR(VLOOKUP($A3920,原始数据_收盘!$A$4:$G$3460,4,0),"")</f>
        <v>2.7925</v>
      </c>
      <c r="E3920">
        <f>IFERROR(VLOOKUP($A3920,原始数据_收盘!$A$4:$G$3460,5,0),"")</f>
        <v>3.1918</v>
      </c>
      <c r="F3920">
        <f>IFERROR(VLOOKUP($A3920,原始数据_收盘!$A$4:$G$3460,6,0),"")</f>
        <v>2.7913</v>
      </c>
      <c r="G3920">
        <f>IFERROR(VLOOKUP($A3920,原始数据_收盘!$A$4:$G$3460,7,0),"")</f>
        <v>3.19</v>
      </c>
      <c r="H3920">
        <f>IFERROR(VLOOKUP($A3920,原始数据_利率互换_FR007_1年!$A$6:$C$4395,2,0),"")</f>
        <v>2.7826</v>
      </c>
      <c r="I3920">
        <f>IFERROR(VLOOKUP($A3920,原始数据_利率互换_FR007_1年!$A$6:$C$4395,3,0),"")</f>
        <v>3.1828</v>
      </c>
    </row>
    <row r="3921" spans="1:9">
      <c r="A3921" s="6">
        <v>43414</v>
      </c>
      <c r="B3921" t="str">
        <f>IFERROR(VLOOKUP($A3921,原始数据_收盘!$A$4:$G$3460,2,0),"")</f>
        <v/>
      </c>
      <c r="C3921" t="str">
        <f>IFERROR(VLOOKUP($A3921,原始数据_收盘!$A$4:$G$3460,3,0),"")</f>
        <v/>
      </c>
      <c r="D3921" t="str">
        <f>IFERROR(VLOOKUP($A3921,原始数据_收盘!$A$4:$G$3460,4,0),"")</f>
        <v/>
      </c>
      <c r="E3921" t="str">
        <f>IFERROR(VLOOKUP($A3921,原始数据_收盘!$A$4:$G$3460,5,0),"")</f>
        <v/>
      </c>
      <c r="F3921" t="str">
        <f>IFERROR(VLOOKUP($A3921,原始数据_收盘!$A$4:$G$3460,6,0),"")</f>
        <v/>
      </c>
      <c r="G3921" t="str">
        <f>IFERROR(VLOOKUP($A3921,原始数据_收盘!$A$4:$G$3460,7,0),"")</f>
        <v/>
      </c>
      <c r="H3921" t="str">
        <f>IFERROR(VLOOKUP($A3921,原始数据_利率互换_FR007_1年!$A$6:$C$4395,2,0),"")</f>
        <v/>
      </c>
      <c r="I3921" t="str">
        <f>IFERROR(VLOOKUP($A3921,原始数据_利率互换_FR007_1年!$A$6:$C$4395,3,0),"")</f>
        <v/>
      </c>
    </row>
    <row r="3922" spans="1:9">
      <c r="A3922" s="6">
        <v>43415</v>
      </c>
      <c r="B3922" t="str">
        <f>IFERROR(VLOOKUP($A3922,原始数据_收盘!$A$4:$G$3460,2,0),"")</f>
        <v/>
      </c>
      <c r="C3922" t="str">
        <f>IFERROR(VLOOKUP($A3922,原始数据_收盘!$A$4:$G$3460,3,0),"")</f>
        <v/>
      </c>
      <c r="D3922" t="str">
        <f>IFERROR(VLOOKUP($A3922,原始数据_收盘!$A$4:$G$3460,4,0),"")</f>
        <v/>
      </c>
      <c r="E3922" t="str">
        <f>IFERROR(VLOOKUP($A3922,原始数据_收盘!$A$4:$G$3460,5,0),"")</f>
        <v/>
      </c>
      <c r="F3922" t="str">
        <f>IFERROR(VLOOKUP($A3922,原始数据_收盘!$A$4:$G$3460,6,0),"")</f>
        <v/>
      </c>
      <c r="G3922" t="str">
        <f>IFERROR(VLOOKUP($A3922,原始数据_收盘!$A$4:$G$3460,7,0),"")</f>
        <v/>
      </c>
      <c r="H3922" t="str">
        <f>IFERROR(VLOOKUP($A3922,原始数据_利率互换_FR007_1年!$A$6:$C$4395,2,0),"")</f>
        <v/>
      </c>
      <c r="I3922" t="str">
        <f>IFERROR(VLOOKUP($A3922,原始数据_利率互换_FR007_1年!$A$6:$C$4395,3,0),"")</f>
        <v/>
      </c>
    </row>
    <row r="3923" spans="1:9">
      <c r="A3923" s="6">
        <v>43416</v>
      </c>
      <c r="B3923">
        <f>IFERROR(VLOOKUP($A3923,原始数据_收盘!$A$4:$G$3460,2,0),"")</f>
        <v>2.7935</v>
      </c>
      <c r="C3923">
        <f>IFERROR(VLOOKUP($A3923,原始数据_收盘!$A$4:$G$3460,3,0),"")</f>
        <v>3.195</v>
      </c>
      <c r="D3923">
        <f>IFERROR(VLOOKUP($A3923,原始数据_收盘!$A$4:$G$3460,4,0),"")</f>
        <v>2.7946</v>
      </c>
      <c r="E3923">
        <f>IFERROR(VLOOKUP($A3923,原始数据_收盘!$A$4:$G$3460,5,0),"")</f>
        <v>3.1975</v>
      </c>
      <c r="F3923">
        <f>IFERROR(VLOOKUP($A3923,原始数据_收盘!$A$4:$G$3460,6,0),"")</f>
        <v>2.7941</v>
      </c>
      <c r="G3923">
        <f>IFERROR(VLOOKUP($A3923,原始数据_收盘!$A$4:$G$3460,7,0),"")</f>
        <v>3.1963</v>
      </c>
      <c r="H3923">
        <f>IFERROR(VLOOKUP($A3923,原始数据_利率互换_FR007_1年!$A$6:$C$4395,2,0),"")</f>
        <v>2.7945</v>
      </c>
      <c r="I3923">
        <f>IFERROR(VLOOKUP($A3923,原始数据_利率互换_FR007_1年!$A$6:$C$4395,3,0),"")</f>
        <v>3.1932</v>
      </c>
    </row>
    <row r="3924" spans="1:9">
      <c r="A3924" s="6">
        <v>43417</v>
      </c>
      <c r="B3924">
        <f>IFERROR(VLOOKUP($A3924,原始数据_收盘!$A$4:$G$3460,2,0),"")</f>
        <v>2.7825</v>
      </c>
      <c r="C3924">
        <f>IFERROR(VLOOKUP($A3924,原始数据_收盘!$A$4:$G$3460,3,0),"")</f>
        <v>3.1875</v>
      </c>
      <c r="D3924">
        <f>IFERROR(VLOOKUP($A3924,原始数据_收盘!$A$4:$G$3460,4,0),"")</f>
        <v>2.7845</v>
      </c>
      <c r="E3924">
        <f>IFERROR(VLOOKUP($A3924,原始数据_收盘!$A$4:$G$3460,5,0),"")</f>
        <v>3.19</v>
      </c>
      <c r="F3924">
        <f>IFERROR(VLOOKUP($A3924,原始数据_收盘!$A$4:$G$3460,6,0),"")</f>
        <v>2.7835</v>
      </c>
      <c r="G3924">
        <f>IFERROR(VLOOKUP($A3924,原始数据_收盘!$A$4:$G$3460,7,0),"")</f>
        <v>3.1888</v>
      </c>
      <c r="H3924">
        <f>IFERROR(VLOOKUP($A3924,原始数据_利率互换_FR007_1年!$A$6:$C$4395,2,0),"")</f>
        <v>2.7818</v>
      </c>
      <c r="I3924">
        <f>IFERROR(VLOOKUP($A3924,原始数据_利率互换_FR007_1年!$A$6:$C$4395,3,0),"")</f>
        <v>3.181</v>
      </c>
    </row>
    <row r="3925" spans="1:9">
      <c r="A3925" s="6">
        <v>43418</v>
      </c>
      <c r="B3925">
        <f>IFERROR(VLOOKUP($A3925,原始数据_收盘!$A$4:$G$3460,2,0),"")</f>
        <v>2.755</v>
      </c>
      <c r="C3925">
        <f>IFERROR(VLOOKUP($A3925,原始数据_收盘!$A$4:$G$3460,3,0),"")</f>
        <v>3.1418</v>
      </c>
      <c r="D3925">
        <f>IFERROR(VLOOKUP($A3925,原始数据_收盘!$A$4:$G$3460,4,0),"")</f>
        <v>2.7567</v>
      </c>
      <c r="E3925">
        <f>IFERROR(VLOOKUP($A3925,原始数据_收盘!$A$4:$G$3460,5,0),"")</f>
        <v>3.1457</v>
      </c>
      <c r="F3925">
        <f>IFERROR(VLOOKUP($A3925,原始数据_收盘!$A$4:$G$3460,6,0),"")</f>
        <v>2.7558</v>
      </c>
      <c r="G3925">
        <f>IFERROR(VLOOKUP($A3925,原始数据_收盘!$A$4:$G$3460,7,0),"")</f>
        <v>3.1437</v>
      </c>
      <c r="H3925">
        <f>IFERROR(VLOOKUP($A3925,原始数据_利率互换_FR007_1年!$A$6:$C$4395,2,0),"")</f>
        <v>2.7541</v>
      </c>
      <c r="I3925">
        <f>IFERROR(VLOOKUP($A3925,原始数据_利率互换_FR007_1年!$A$6:$C$4395,3,0),"")</f>
        <v>3.1435</v>
      </c>
    </row>
    <row r="3926" spans="1:9">
      <c r="A3926" s="6">
        <v>43419</v>
      </c>
      <c r="B3926">
        <f>IFERROR(VLOOKUP($A3926,原始数据_收盘!$A$4:$G$3460,2,0),"")</f>
        <v>2.755</v>
      </c>
      <c r="C3926">
        <f>IFERROR(VLOOKUP($A3926,原始数据_收盘!$A$4:$G$3460,3,0),"")</f>
        <v>3.1409</v>
      </c>
      <c r="D3926">
        <f>IFERROR(VLOOKUP($A3926,原始数据_收盘!$A$4:$G$3460,4,0),"")</f>
        <v>2.7577</v>
      </c>
      <c r="E3926">
        <f>IFERROR(VLOOKUP($A3926,原始数据_收盘!$A$4:$G$3460,5,0),"")</f>
        <v>3.1443</v>
      </c>
      <c r="F3926">
        <f>IFERROR(VLOOKUP($A3926,原始数据_收盘!$A$4:$G$3460,6,0),"")</f>
        <v>2.7563</v>
      </c>
      <c r="G3926">
        <f>IFERROR(VLOOKUP($A3926,原始数据_收盘!$A$4:$G$3460,7,0),"")</f>
        <v>3.1426</v>
      </c>
      <c r="H3926">
        <f>IFERROR(VLOOKUP($A3926,原始数据_利率互换_FR007_1年!$A$6:$C$4395,2,0),"")</f>
        <v>2.7642</v>
      </c>
      <c r="I3926">
        <f>IFERROR(VLOOKUP($A3926,原始数据_利率互换_FR007_1年!$A$6:$C$4395,3,0),"")</f>
        <v>3.1466</v>
      </c>
    </row>
    <row r="3927" spans="1:9">
      <c r="A3927" s="6">
        <v>43420</v>
      </c>
      <c r="B3927">
        <f>IFERROR(VLOOKUP($A3927,原始数据_收盘!$A$4:$G$3460,2,0),"")</f>
        <v>2.7501</v>
      </c>
      <c r="C3927">
        <f>IFERROR(VLOOKUP($A3927,原始数据_收盘!$A$4:$G$3460,3,0),"")</f>
        <v>3.1196</v>
      </c>
      <c r="D3927">
        <f>IFERROR(VLOOKUP($A3927,原始数据_收盘!$A$4:$G$3460,4,0),"")</f>
        <v>2.755</v>
      </c>
      <c r="E3927">
        <f>IFERROR(VLOOKUP($A3927,原始数据_收盘!$A$4:$G$3460,5,0),"")</f>
        <v>3.1234</v>
      </c>
      <c r="F3927">
        <f>IFERROR(VLOOKUP($A3927,原始数据_收盘!$A$4:$G$3460,6,0),"")</f>
        <v>2.7525</v>
      </c>
      <c r="G3927">
        <f>IFERROR(VLOOKUP($A3927,原始数据_收盘!$A$4:$G$3460,7,0),"")</f>
        <v>3.1215</v>
      </c>
      <c r="H3927">
        <f>IFERROR(VLOOKUP($A3927,原始数据_利率互换_FR007_1年!$A$6:$C$4395,2,0),"")</f>
        <v>2.7528</v>
      </c>
      <c r="I3927">
        <f>IFERROR(VLOOKUP($A3927,原始数据_利率互换_FR007_1年!$A$6:$C$4395,3,0),"")</f>
        <v>3.1287</v>
      </c>
    </row>
    <row r="3928" spans="1:9">
      <c r="A3928" s="6">
        <v>43421</v>
      </c>
      <c r="B3928" t="str">
        <f>IFERROR(VLOOKUP($A3928,原始数据_收盘!$A$4:$G$3460,2,0),"")</f>
        <v/>
      </c>
      <c r="C3928" t="str">
        <f>IFERROR(VLOOKUP($A3928,原始数据_收盘!$A$4:$G$3460,3,0),"")</f>
        <v/>
      </c>
      <c r="D3928" t="str">
        <f>IFERROR(VLOOKUP($A3928,原始数据_收盘!$A$4:$G$3460,4,0),"")</f>
        <v/>
      </c>
      <c r="E3928" t="str">
        <f>IFERROR(VLOOKUP($A3928,原始数据_收盘!$A$4:$G$3460,5,0),"")</f>
        <v/>
      </c>
      <c r="F3928" t="str">
        <f>IFERROR(VLOOKUP($A3928,原始数据_收盘!$A$4:$G$3460,6,0),"")</f>
        <v/>
      </c>
      <c r="G3928" t="str">
        <f>IFERROR(VLOOKUP($A3928,原始数据_收盘!$A$4:$G$3460,7,0),"")</f>
        <v/>
      </c>
      <c r="H3928" t="str">
        <f>IFERROR(VLOOKUP($A3928,原始数据_利率互换_FR007_1年!$A$6:$C$4395,2,0),"")</f>
        <v/>
      </c>
      <c r="I3928" t="str">
        <f>IFERROR(VLOOKUP($A3928,原始数据_利率互换_FR007_1年!$A$6:$C$4395,3,0),"")</f>
        <v/>
      </c>
    </row>
    <row r="3929" spans="1:9">
      <c r="A3929" s="6">
        <v>43422</v>
      </c>
      <c r="B3929" t="str">
        <f>IFERROR(VLOOKUP($A3929,原始数据_收盘!$A$4:$G$3460,2,0),"")</f>
        <v/>
      </c>
      <c r="C3929" t="str">
        <f>IFERROR(VLOOKUP($A3929,原始数据_收盘!$A$4:$G$3460,3,0),"")</f>
        <v/>
      </c>
      <c r="D3929" t="str">
        <f>IFERROR(VLOOKUP($A3929,原始数据_收盘!$A$4:$G$3460,4,0),"")</f>
        <v/>
      </c>
      <c r="E3929" t="str">
        <f>IFERROR(VLOOKUP($A3929,原始数据_收盘!$A$4:$G$3460,5,0),"")</f>
        <v/>
      </c>
      <c r="F3929" t="str">
        <f>IFERROR(VLOOKUP($A3929,原始数据_收盘!$A$4:$G$3460,6,0),"")</f>
        <v/>
      </c>
      <c r="G3929" t="str">
        <f>IFERROR(VLOOKUP($A3929,原始数据_收盘!$A$4:$G$3460,7,0),"")</f>
        <v/>
      </c>
      <c r="H3929" t="str">
        <f>IFERROR(VLOOKUP($A3929,原始数据_利率互换_FR007_1年!$A$6:$C$4395,2,0),"")</f>
        <v/>
      </c>
      <c r="I3929" t="str">
        <f>IFERROR(VLOOKUP($A3929,原始数据_利率互换_FR007_1年!$A$6:$C$4395,3,0),"")</f>
        <v/>
      </c>
    </row>
    <row r="3930" spans="1:9">
      <c r="A3930" s="6">
        <v>43423</v>
      </c>
      <c r="B3930">
        <f>IFERROR(VLOOKUP($A3930,原始数据_收盘!$A$4:$G$3460,2,0),"")</f>
        <v>2.7679</v>
      </c>
      <c r="C3930">
        <f>IFERROR(VLOOKUP($A3930,原始数据_收盘!$A$4:$G$3460,3,0),"")</f>
        <v>3.1622</v>
      </c>
      <c r="D3930">
        <f>IFERROR(VLOOKUP($A3930,原始数据_收盘!$A$4:$G$3460,4,0),"")</f>
        <v>2.775</v>
      </c>
      <c r="E3930">
        <f>IFERROR(VLOOKUP($A3930,原始数据_收盘!$A$4:$G$3460,5,0),"")</f>
        <v>3.1678</v>
      </c>
      <c r="F3930">
        <f>IFERROR(VLOOKUP($A3930,原始数据_收盘!$A$4:$G$3460,6,0),"")</f>
        <v>2.7714</v>
      </c>
      <c r="G3930">
        <f>IFERROR(VLOOKUP($A3930,原始数据_收盘!$A$4:$G$3460,7,0),"")</f>
        <v>3.165</v>
      </c>
      <c r="H3930">
        <f>IFERROR(VLOOKUP($A3930,原始数据_利率互换_FR007_1年!$A$6:$C$4395,2,0),"")</f>
        <v>2.7636</v>
      </c>
      <c r="I3930">
        <f>IFERROR(VLOOKUP($A3930,原始数据_利率互换_FR007_1年!$A$6:$C$4395,3,0),"")</f>
        <v>3.1409</v>
      </c>
    </row>
    <row r="3931" spans="1:9">
      <c r="A3931" s="6">
        <v>43424</v>
      </c>
      <c r="B3931">
        <f>IFERROR(VLOOKUP($A3931,原始数据_收盘!$A$4:$G$3460,2,0),"")</f>
        <v>2.75</v>
      </c>
      <c r="C3931">
        <f>IFERROR(VLOOKUP($A3931,原始数据_收盘!$A$4:$G$3460,3,0),"")</f>
        <v>3.142</v>
      </c>
      <c r="D3931">
        <f>IFERROR(VLOOKUP($A3931,原始数据_收盘!$A$4:$G$3460,4,0),"")</f>
        <v>2.7575</v>
      </c>
      <c r="E3931">
        <f>IFERROR(VLOOKUP($A3931,原始数据_收盘!$A$4:$G$3460,5,0),"")</f>
        <v>3.145</v>
      </c>
      <c r="F3931">
        <f>IFERROR(VLOOKUP($A3931,原始数据_收盘!$A$4:$G$3460,6,0),"")</f>
        <v>2.7538</v>
      </c>
      <c r="G3931">
        <f>IFERROR(VLOOKUP($A3931,原始数据_收盘!$A$4:$G$3460,7,0),"")</f>
        <v>3.1435</v>
      </c>
      <c r="H3931">
        <f>IFERROR(VLOOKUP($A3931,原始数据_利率互换_FR007_1年!$A$6:$C$4395,2,0),"")</f>
        <v>2.7648</v>
      </c>
      <c r="I3931">
        <f>IFERROR(VLOOKUP($A3931,原始数据_利率互换_FR007_1年!$A$6:$C$4395,3,0),"")</f>
        <v>3.1544</v>
      </c>
    </row>
    <row r="3932" spans="1:9">
      <c r="A3932" s="6">
        <v>43425</v>
      </c>
      <c r="B3932">
        <f>IFERROR(VLOOKUP($A3932,原始数据_收盘!$A$4:$G$3460,2,0),"")</f>
        <v>2.755</v>
      </c>
      <c r="C3932">
        <f>IFERROR(VLOOKUP($A3932,原始数据_收盘!$A$4:$G$3460,3,0),"")</f>
        <v>3.145</v>
      </c>
      <c r="D3932">
        <f>IFERROR(VLOOKUP($A3932,原始数据_收盘!$A$4:$G$3460,4,0),"")</f>
        <v>2.76</v>
      </c>
      <c r="E3932">
        <f>IFERROR(VLOOKUP($A3932,原始数据_收盘!$A$4:$G$3460,5,0),"")</f>
        <v>3.1475</v>
      </c>
      <c r="F3932">
        <f>IFERROR(VLOOKUP($A3932,原始数据_收盘!$A$4:$G$3460,6,0),"")</f>
        <v>2.7575</v>
      </c>
      <c r="G3932">
        <f>IFERROR(VLOOKUP($A3932,原始数据_收盘!$A$4:$G$3460,7,0),"")</f>
        <v>3.1463</v>
      </c>
      <c r="H3932">
        <f>IFERROR(VLOOKUP($A3932,原始数据_利率互换_FR007_1年!$A$6:$C$4395,2,0),"")</f>
        <v>2.7519</v>
      </c>
      <c r="I3932">
        <f>IFERROR(VLOOKUP($A3932,原始数据_利率互换_FR007_1年!$A$6:$C$4395,3,0),"")</f>
        <v>3.1409</v>
      </c>
    </row>
    <row r="3933" spans="1:9">
      <c r="A3933" s="6">
        <v>43426</v>
      </c>
      <c r="B3933">
        <f>IFERROR(VLOOKUP($A3933,原始数据_收盘!$A$4:$G$3460,2,0),"")</f>
        <v>2.7628</v>
      </c>
      <c r="C3933">
        <f>IFERROR(VLOOKUP($A3933,原始数据_收盘!$A$4:$G$3460,3,0),"")</f>
        <v>3.1607</v>
      </c>
      <c r="D3933">
        <f>IFERROR(VLOOKUP($A3933,原始数据_收盘!$A$4:$G$3460,4,0),"")</f>
        <v>2.7672</v>
      </c>
      <c r="E3933">
        <f>IFERROR(VLOOKUP($A3933,原始数据_收盘!$A$4:$G$3460,5,0),"")</f>
        <v>3.1643</v>
      </c>
      <c r="F3933">
        <f>IFERROR(VLOOKUP($A3933,原始数据_收盘!$A$4:$G$3460,6,0),"")</f>
        <v>2.765</v>
      </c>
      <c r="G3933">
        <f>IFERROR(VLOOKUP($A3933,原始数据_收盘!$A$4:$G$3460,7,0),"")</f>
        <v>3.1625</v>
      </c>
      <c r="H3933">
        <f>IFERROR(VLOOKUP($A3933,原始数据_利率互换_FR007_1年!$A$6:$C$4395,2,0),"")</f>
        <v>2.7594</v>
      </c>
      <c r="I3933">
        <f>IFERROR(VLOOKUP($A3933,原始数据_利率互换_FR007_1年!$A$6:$C$4395,3,0),"")</f>
        <v>3.1523</v>
      </c>
    </row>
    <row r="3934" spans="1:9">
      <c r="A3934" s="6">
        <v>43427</v>
      </c>
      <c r="B3934">
        <f>IFERROR(VLOOKUP($A3934,原始数据_收盘!$A$4:$G$3460,2,0),"")</f>
        <v>2.755</v>
      </c>
      <c r="C3934">
        <f>IFERROR(VLOOKUP($A3934,原始数据_收盘!$A$4:$G$3460,3,0),"")</f>
        <v>3.155</v>
      </c>
      <c r="D3934">
        <f>IFERROR(VLOOKUP($A3934,原始数据_收盘!$A$4:$G$3460,4,0),"")</f>
        <v>2.7575</v>
      </c>
      <c r="E3934">
        <f>IFERROR(VLOOKUP($A3934,原始数据_收盘!$A$4:$G$3460,5,0),"")</f>
        <v>3.16</v>
      </c>
      <c r="F3934">
        <f>IFERROR(VLOOKUP($A3934,原始数据_收盘!$A$4:$G$3460,6,0),"")</f>
        <v>2.7563</v>
      </c>
      <c r="G3934">
        <f>IFERROR(VLOOKUP($A3934,原始数据_收盘!$A$4:$G$3460,7,0),"")</f>
        <v>3.1575</v>
      </c>
      <c r="H3934">
        <f>IFERROR(VLOOKUP($A3934,原始数据_利率互换_FR007_1年!$A$6:$C$4395,2,0),"")</f>
        <v>2.7602</v>
      </c>
      <c r="I3934">
        <f>IFERROR(VLOOKUP($A3934,原始数据_利率互换_FR007_1年!$A$6:$C$4395,3,0),"")</f>
        <v>3.161</v>
      </c>
    </row>
    <row r="3935" spans="1:9">
      <c r="A3935" s="6">
        <v>43428</v>
      </c>
      <c r="B3935" t="str">
        <f>IFERROR(VLOOKUP($A3935,原始数据_收盘!$A$4:$G$3460,2,0),"")</f>
        <v/>
      </c>
      <c r="C3935" t="str">
        <f>IFERROR(VLOOKUP($A3935,原始数据_收盘!$A$4:$G$3460,3,0),"")</f>
        <v/>
      </c>
      <c r="D3935" t="str">
        <f>IFERROR(VLOOKUP($A3935,原始数据_收盘!$A$4:$G$3460,4,0),"")</f>
        <v/>
      </c>
      <c r="E3935" t="str">
        <f>IFERROR(VLOOKUP($A3935,原始数据_收盘!$A$4:$G$3460,5,0),"")</f>
        <v/>
      </c>
      <c r="F3935" t="str">
        <f>IFERROR(VLOOKUP($A3935,原始数据_收盘!$A$4:$G$3460,6,0),"")</f>
        <v/>
      </c>
      <c r="G3935" t="str">
        <f>IFERROR(VLOOKUP($A3935,原始数据_收盘!$A$4:$G$3460,7,0),"")</f>
        <v/>
      </c>
      <c r="H3935" t="str">
        <f>IFERROR(VLOOKUP($A3935,原始数据_利率互换_FR007_1年!$A$6:$C$4395,2,0),"")</f>
        <v/>
      </c>
      <c r="I3935" t="str">
        <f>IFERROR(VLOOKUP($A3935,原始数据_利率互换_FR007_1年!$A$6:$C$4395,3,0),"")</f>
        <v/>
      </c>
    </row>
    <row r="3936" spans="1:9">
      <c r="A3936" s="6">
        <v>43429</v>
      </c>
      <c r="B3936" t="str">
        <f>IFERROR(VLOOKUP($A3936,原始数据_收盘!$A$4:$G$3460,2,0),"")</f>
        <v/>
      </c>
      <c r="C3936" t="str">
        <f>IFERROR(VLOOKUP($A3936,原始数据_收盘!$A$4:$G$3460,3,0),"")</f>
        <v/>
      </c>
      <c r="D3936" t="str">
        <f>IFERROR(VLOOKUP($A3936,原始数据_收盘!$A$4:$G$3460,4,0),"")</f>
        <v/>
      </c>
      <c r="E3936" t="str">
        <f>IFERROR(VLOOKUP($A3936,原始数据_收盘!$A$4:$G$3460,5,0),"")</f>
        <v/>
      </c>
      <c r="F3936" t="str">
        <f>IFERROR(VLOOKUP($A3936,原始数据_收盘!$A$4:$G$3460,6,0),"")</f>
        <v/>
      </c>
      <c r="G3936" t="str">
        <f>IFERROR(VLOOKUP($A3936,原始数据_收盘!$A$4:$G$3460,7,0),"")</f>
        <v/>
      </c>
      <c r="H3936" t="str">
        <f>IFERROR(VLOOKUP($A3936,原始数据_利率互换_FR007_1年!$A$6:$C$4395,2,0),"")</f>
        <v/>
      </c>
      <c r="I3936" t="str">
        <f>IFERROR(VLOOKUP($A3936,原始数据_利率互换_FR007_1年!$A$6:$C$4395,3,0),"")</f>
        <v/>
      </c>
    </row>
    <row r="3937" spans="1:9">
      <c r="A3937" s="6">
        <v>43430</v>
      </c>
      <c r="B3937">
        <f>IFERROR(VLOOKUP($A3937,原始数据_收盘!$A$4:$G$3460,2,0),"")</f>
        <v>2.7675</v>
      </c>
      <c r="C3937">
        <f>IFERROR(VLOOKUP($A3937,原始数据_收盘!$A$4:$G$3460,3,0),"")</f>
        <v>3.16</v>
      </c>
      <c r="D3937">
        <f>IFERROR(VLOOKUP($A3937,原始数据_收盘!$A$4:$G$3460,4,0),"")</f>
        <v>2.77</v>
      </c>
      <c r="E3937">
        <f>IFERROR(VLOOKUP($A3937,原始数据_收盘!$A$4:$G$3460,5,0),"")</f>
        <v>3.1625</v>
      </c>
      <c r="F3937">
        <f>IFERROR(VLOOKUP($A3937,原始数据_收盘!$A$4:$G$3460,6,0),"")</f>
        <v>2.7688</v>
      </c>
      <c r="G3937">
        <f>IFERROR(VLOOKUP($A3937,原始数据_收盘!$A$4:$G$3460,7,0),"")</f>
        <v>3.1613</v>
      </c>
      <c r="H3937">
        <f>IFERROR(VLOOKUP($A3937,原始数据_利率互换_FR007_1年!$A$6:$C$4395,2,0),"")</f>
        <v>2.7629</v>
      </c>
      <c r="I3937">
        <f>IFERROR(VLOOKUP($A3937,原始数据_利率互换_FR007_1年!$A$6:$C$4395,3,0),"")</f>
        <v>3.1576</v>
      </c>
    </row>
    <row r="3938" spans="1:9">
      <c r="A3938" s="6">
        <v>43431</v>
      </c>
      <c r="B3938">
        <f>IFERROR(VLOOKUP($A3938,原始数据_收盘!$A$4:$G$3460,2,0),"")</f>
        <v>2.765</v>
      </c>
      <c r="C3938">
        <f>IFERROR(VLOOKUP($A3938,原始数据_收盘!$A$4:$G$3460,3,0),"")</f>
        <v>3.1525</v>
      </c>
      <c r="D3938">
        <f>IFERROR(VLOOKUP($A3938,原始数据_收盘!$A$4:$G$3460,4,0),"")</f>
        <v>2.7675</v>
      </c>
      <c r="E3938">
        <f>IFERROR(VLOOKUP($A3938,原始数据_收盘!$A$4:$G$3460,5,0),"")</f>
        <v>3.155</v>
      </c>
      <c r="F3938">
        <f>IFERROR(VLOOKUP($A3938,原始数据_收盘!$A$4:$G$3460,6,0),"")</f>
        <v>2.7663</v>
      </c>
      <c r="G3938">
        <f>IFERROR(VLOOKUP($A3938,原始数据_收盘!$A$4:$G$3460,7,0),"")</f>
        <v>3.1538</v>
      </c>
      <c r="H3938">
        <f>IFERROR(VLOOKUP($A3938,原始数据_利率互换_FR007_1年!$A$6:$C$4395,2,0),"")</f>
        <v>2.7821</v>
      </c>
      <c r="I3938">
        <f>IFERROR(VLOOKUP($A3938,原始数据_利率互换_FR007_1年!$A$6:$C$4395,3,0),"")</f>
        <v>3.1574</v>
      </c>
    </row>
    <row r="3939" spans="1:9">
      <c r="A3939" s="6">
        <v>43432</v>
      </c>
      <c r="B3939">
        <f>IFERROR(VLOOKUP($A3939,原始数据_收盘!$A$4:$G$3460,2,0),"")</f>
        <v>2.765</v>
      </c>
      <c r="C3939">
        <f>IFERROR(VLOOKUP($A3939,原始数据_收盘!$A$4:$G$3460,3,0),"")</f>
        <v>3.1525</v>
      </c>
      <c r="D3939">
        <f>IFERROR(VLOOKUP($A3939,原始数据_收盘!$A$4:$G$3460,4,0),"")</f>
        <v>2.7675</v>
      </c>
      <c r="E3939">
        <f>IFERROR(VLOOKUP($A3939,原始数据_收盘!$A$4:$G$3460,5,0),"")</f>
        <v>3.155</v>
      </c>
      <c r="F3939">
        <f>IFERROR(VLOOKUP($A3939,原始数据_收盘!$A$4:$G$3460,6,0),"")</f>
        <v>2.7663</v>
      </c>
      <c r="G3939">
        <f>IFERROR(VLOOKUP($A3939,原始数据_收盘!$A$4:$G$3460,7,0),"")</f>
        <v>3.1538</v>
      </c>
      <c r="H3939">
        <f>IFERROR(VLOOKUP($A3939,原始数据_利率互换_FR007_1年!$A$6:$C$4395,2,0),"")</f>
        <v>2.7679</v>
      </c>
      <c r="I3939">
        <f>IFERROR(VLOOKUP($A3939,原始数据_利率互换_FR007_1年!$A$6:$C$4395,3,0),"")</f>
        <v>3.1529</v>
      </c>
    </row>
    <row r="3940" spans="1:9">
      <c r="A3940" s="6">
        <v>43433</v>
      </c>
      <c r="B3940">
        <f>IFERROR(VLOOKUP($A3940,原始数据_收盘!$A$4:$G$3460,2,0),"")</f>
        <v>2.7575</v>
      </c>
      <c r="C3940">
        <f>IFERROR(VLOOKUP($A3940,原始数据_收盘!$A$4:$G$3460,3,0),"")</f>
        <v>3.1331</v>
      </c>
      <c r="D3940">
        <f>IFERROR(VLOOKUP($A3940,原始数据_收盘!$A$4:$G$3460,4,0),"")</f>
        <v>2.76</v>
      </c>
      <c r="E3940">
        <f>IFERROR(VLOOKUP($A3940,原始数据_收盘!$A$4:$G$3460,5,0),"")</f>
        <v>3.1375</v>
      </c>
      <c r="F3940">
        <f>IFERROR(VLOOKUP($A3940,原始数据_收盘!$A$4:$G$3460,6,0),"")</f>
        <v>2.7588</v>
      </c>
      <c r="G3940">
        <f>IFERROR(VLOOKUP($A3940,原始数据_收盘!$A$4:$G$3460,7,0),"")</f>
        <v>3.1353</v>
      </c>
      <c r="H3940">
        <f>IFERROR(VLOOKUP($A3940,原始数据_利率互换_FR007_1年!$A$6:$C$4395,2,0),"")</f>
        <v>2.7596</v>
      </c>
      <c r="I3940">
        <f>IFERROR(VLOOKUP($A3940,原始数据_利率互换_FR007_1年!$A$6:$C$4395,3,0),"")</f>
        <v>3.1388</v>
      </c>
    </row>
    <row r="3941" spans="1:9">
      <c r="A3941" s="6">
        <v>43434</v>
      </c>
      <c r="B3941">
        <f>IFERROR(VLOOKUP($A3941,原始数据_收盘!$A$4:$G$3460,2,0),"")</f>
        <v>2.7661</v>
      </c>
      <c r="C3941">
        <f>IFERROR(VLOOKUP($A3941,原始数据_收盘!$A$4:$G$3460,3,0),"")</f>
        <v>3.1359</v>
      </c>
      <c r="D3941">
        <f>IFERROR(VLOOKUP($A3941,原始数据_收盘!$A$4:$G$3460,4,0),"")</f>
        <v>2.77</v>
      </c>
      <c r="E3941">
        <f>IFERROR(VLOOKUP($A3941,原始数据_收盘!$A$4:$G$3460,5,0),"")</f>
        <v>3.1385</v>
      </c>
      <c r="F3941">
        <f>IFERROR(VLOOKUP($A3941,原始数据_收盘!$A$4:$G$3460,6,0),"")</f>
        <v>2.7681</v>
      </c>
      <c r="G3941">
        <f>IFERROR(VLOOKUP($A3941,原始数据_收盘!$A$4:$G$3460,7,0),"")</f>
        <v>3.1372</v>
      </c>
      <c r="H3941">
        <f>IFERROR(VLOOKUP($A3941,原始数据_利率互换_FR007_1年!$A$6:$C$4395,2,0),"")</f>
        <v>2.7626</v>
      </c>
      <c r="I3941">
        <f>IFERROR(VLOOKUP($A3941,原始数据_利率互换_FR007_1年!$A$6:$C$4395,3,0),"")</f>
        <v>3.1349</v>
      </c>
    </row>
    <row r="3942" spans="1:9">
      <c r="A3942" s="6">
        <v>43435</v>
      </c>
      <c r="B3942" t="str">
        <f>IFERROR(VLOOKUP($A3942,原始数据_收盘!$A$4:$G$3460,2,0),"")</f>
        <v/>
      </c>
      <c r="C3942" t="str">
        <f>IFERROR(VLOOKUP($A3942,原始数据_收盘!$A$4:$G$3460,3,0),"")</f>
        <v/>
      </c>
      <c r="D3942" t="str">
        <f>IFERROR(VLOOKUP($A3942,原始数据_收盘!$A$4:$G$3460,4,0),"")</f>
        <v/>
      </c>
      <c r="E3942" t="str">
        <f>IFERROR(VLOOKUP($A3942,原始数据_收盘!$A$4:$G$3460,5,0),"")</f>
        <v/>
      </c>
      <c r="F3942" t="str">
        <f>IFERROR(VLOOKUP($A3942,原始数据_收盘!$A$4:$G$3460,6,0),"")</f>
        <v/>
      </c>
      <c r="G3942" t="str">
        <f>IFERROR(VLOOKUP($A3942,原始数据_收盘!$A$4:$G$3460,7,0),"")</f>
        <v/>
      </c>
      <c r="H3942" t="str">
        <f>IFERROR(VLOOKUP($A3942,原始数据_利率互换_FR007_1年!$A$6:$C$4395,2,0),"")</f>
        <v/>
      </c>
      <c r="I3942" t="str">
        <f>IFERROR(VLOOKUP($A3942,原始数据_利率互换_FR007_1年!$A$6:$C$4395,3,0),"")</f>
        <v/>
      </c>
    </row>
    <row r="3943" spans="1:9">
      <c r="A3943" s="6">
        <v>43436</v>
      </c>
      <c r="B3943" t="str">
        <f>IFERROR(VLOOKUP($A3943,原始数据_收盘!$A$4:$G$3460,2,0),"")</f>
        <v/>
      </c>
      <c r="C3943" t="str">
        <f>IFERROR(VLOOKUP($A3943,原始数据_收盘!$A$4:$G$3460,3,0),"")</f>
        <v/>
      </c>
      <c r="D3943" t="str">
        <f>IFERROR(VLOOKUP($A3943,原始数据_收盘!$A$4:$G$3460,4,0),"")</f>
        <v/>
      </c>
      <c r="E3943" t="str">
        <f>IFERROR(VLOOKUP($A3943,原始数据_收盘!$A$4:$G$3460,5,0),"")</f>
        <v/>
      </c>
      <c r="F3943" t="str">
        <f>IFERROR(VLOOKUP($A3943,原始数据_收盘!$A$4:$G$3460,6,0),"")</f>
        <v/>
      </c>
      <c r="G3943" t="str">
        <f>IFERROR(VLOOKUP($A3943,原始数据_收盘!$A$4:$G$3460,7,0),"")</f>
        <v/>
      </c>
      <c r="H3943" t="str">
        <f>IFERROR(VLOOKUP($A3943,原始数据_利率互换_FR007_1年!$A$6:$C$4395,2,0),"")</f>
        <v/>
      </c>
      <c r="I3943" t="str">
        <f>IFERROR(VLOOKUP($A3943,原始数据_利率互换_FR007_1年!$A$6:$C$4395,3,0),"")</f>
        <v/>
      </c>
    </row>
    <row r="3944" spans="1:9">
      <c r="A3944" s="6">
        <v>43437</v>
      </c>
      <c r="B3944">
        <f>IFERROR(VLOOKUP($A3944,原始数据_收盘!$A$4:$G$3460,2,0),"")</f>
        <v>2.7575</v>
      </c>
      <c r="C3944">
        <f>IFERROR(VLOOKUP($A3944,原始数据_收盘!$A$4:$G$3460,3,0),"")</f>
        <v>3.1357</v>
      </c>
      <c r="D3944">
        <f>IFERROR(VLOOKUP($A3944,原始数据_收盘!$A$4:$G$3460,4,0),"")</f>
        <v>2.76</v>
      </c>
      <c r="E3944">
        <f>IFERROR(VLOOKUP($A3944,原始数据_收盘!$A$4:$G$3460,5,0),"")</f>
        <v>3.1393</v>
      </c>
      <c r="F3944">
        <f>IFERROR(VLOOKUP($A3944,原始数据_收盘!$A$4:$G$3460,6,0),"")</f>
        <v>2.7588</v>
      </c>
      <c r="G3944">
        <f>IFERROR(VLOOKUP($A3944,原始数据_收盘!$A$4:$G$3460,7,0),"")</f>
        <v>3.1375</v>
      </c>
      <c r="H3944">
        <f>IFERROR(VLOOKUP($A3944,原始数据_利率互换_FR007_1年!$A$6:$C$4395,2,0),"")</f>
        <v>2.7532</v>
      </c>
      <c r="I3944">
        <f>IFERROR(VLOOKUP($A3944,原始数据_利率互换_FR007_1年!$A$6:$C$4395,3,0),"")</f>
        <v>3.1417</v>
      </c>
    </row>
    <row r="3945" spans="1:9">
      <c r="A3945" s="6">
        <v>43438</v>
      </c>
      <c r="B3945">
        <f>IFERROR(VLOOKUP($A3945,原始数据_收盘!$A$4:$G$3460,2,0),"")</f>
        <v>2.722</v>
      </c>
      <c r="C3945">
        <f>IFERROR(VLOOKUP($A3945,原始数据_收盘!$A$4:$G$3460,3,0),"")</f>
        <v>3.085</v>
      </c>
      <c r="D3945">
        <f>IFERROR(VLOOKUP($A3945,原始数据_收盘!$A$4:$G$3460,4,0),"")</f>
        <v>2.7312</v>
      </c>
      <c r="E3945">
        <f>IFERROR(VLOOKUP($A3945,原始数据_收盘!$A$4:$G$3460,5,0),"")</f>
        <v>3.09</v>
      </c>
      <c r="F3945">
        <f>IFERROR(VLOOKUP($A3945,原始数据_收盘!$A$4:$G$3460,6,0),"")</f>
        <v>2.7266</v>
      </c>
      <c r="G3945">
        <f>IFERROR(VLOOKUP($A3945,原始数据_收盘!$A$4:$G$3460,7,0),"")</f>
        <v>3.0875</v>
      </c>
      <c r="H3945">
        <f>IFERROR(VLOOKUP($A3945,原始数据_利率互换_FR007_1年!$A$6:$C$4395,2,0),"")</f>
        <v>2.7323</v>
      </c>
      <c r="I3945">
        <f>IFERROR(VLOOKUP($A3945,原始数据_利率互换_FR007_1年!$A$6:$C$4395,3,0),"")</f>
        <v>3.0998</v>
      </c>
    </row>
    <row r="3946" spans="1:9">
      <c r="A3946" s="6">
        <v>43439</v>
      </c>
      <c r="B3946">
        <f>IFERROR(VLOOKUP($A3946,原始数据_收盘!$A$4:$G$3460,2,0),"")</f>
        <v>2.7075</v>
      </c>
      <c r="C3946">
        <f>IFERROR(VLOOKUP($A3946,原始数据_收盘!$A$4:$G$3460,3,0),"")</f>
        <v>3.075</v>
      </c>
      <c r="D3946">
        <f>IFERROR(VLOOKUP($A3946,原始数据_收盘!$A$4:$G$3460,4,0),"")</f>
        <v>2.715</v>
      </c>
      <c r="E3946">
        <f>IFERROR(VLOOKUP($A3946,原始数据_收盘!$A$4:$G$3460,5,0),"")</f>
        <v>3.0775</v>
      </c>
      <c r="F3946">
        <f>IFERROR(VLOOKUP($A3946,原始数据_收盘!$A$4:$G$3460,6,0),"")</f>
        <v>2.7113</v>
      </c>
      <c r="G3946">
        <f>IFERROR(VLOOKUP($A3946,原始数据_收盘!$A$4:$G$3460,7,0),"")</f>
        <v>3.0763</v>
      </c>
      <c r="H3946">
        <f>IFERROR(VLOOKUP($A3946,原始数据_利率互换_FR007_1年!$A$6:$C$4395,2,0),"")</f>
        <v>2.7021</v>
      </c>
      <c r="I3946">
        <f>IFERROR(VLOOKUP($A3946,原始数据_利率互换_FR007_1年!$A$6:$C$4395,3,0),"")</f>
        <v>3.0646</v>
      </c>
    </row>
    <row r="3947" spans="1:9">
      <c r="A3947" s="6">
        <v>43440</v>
      </c>
      <c r="B3947">
        <f>IFERROR(VLOOKUP($A3947,原始数据_收盘!$A$4:$G$3460,2,0),"")</f>
        <v>2.7073</v>
      </c>
      <c r="C3947">
        <f>IFERROR(VLOOKUP($A3947,原始数据_收盘!$A$4:$G$3460,3,0),"")</f>
        <v>3.0671</v>
      </c>
      <c r="D3947">
        <f>IFERROR(VLOOKUP($A3947,原始数据_收盘!$A$4:$G$3460,4,0),"")</f>
        <v>2.71</v>
      </c>
      <c r="E3947">
        <f>IFERROR(VLOOKUP($A3947,原始数据_收盘!$A$4:$G$3460,5,0),"")</f>
        <v>3.07</v>
      </c>
      <c r="F3947">
        <f>IFERROR(VLOOKUP($A3947,原始数据_收盘!$A$4:$G$3460,6,0),"")</f>
        <v>2.7087</v>
      </c>
      <c r="G3947">
        <f>IFERROR(VLOOKUP($A3947,原始数据_收盘!$A$4:$G$3460,7,0),"")</f>
        <v>3.0685</v>
      </c>
      <c r="H3947">
        <f>IFERROR(VLOOKUP($A3947,原始数据_利率互换_FR007_1年!$A$6:$C$4395,2,0),"")</f>
        <v>2.7112</v>
      </c>
      <c r="I3947">
        <f>IFERROR(VLOOKUP($A3947,原始数据_利率互换_FR007_1年!$A$6:$C$4395,3,0),"")</f>
        <v>3.0729</v>
      </c>
    </row>
    <row r="3948" spans="1:9">
      <c r="A3948" s="6">
        <v>43441</v>
      </c>
      <c r="B3948">
        <f>IFERROR(VLOOKUP($A3948,原始数据_收盘!$A$4:$G$3460,2,0),"")</f>
        <v>2.72</v>
      </c>
      <c r="C3948">
        <f>IFERROR(VLOOKUP($A3948,原始数据_收盘!$A$4:$G$3460,3,0),"")</f>
        <v>3.0775</v>
      </c>
      <c r="D3948">
        <f>IFERROR(VLOOKUP($A3948,原始数据_收盘!$A$4:$G$3460,4,0),"")</f>
        <v>2.7228</v>
      </c>
      <c r="E3948">
        <f>IFERROR(VLOOKUP($A3948,原始数据_收盘!$A$4:$G$3460,5,0),"")</f>
        <v>3.08</v>
      </c>
      <c r="F3948">
        <f>IFERROR(VLOOKUP($A3948,原始数据_收盘!$A$4:$G$3460,6,0),"")</f>
        <v>2.7214</v>
      </c>
      <c r="G3948">
        <f>IFERROR(VLOOKUP($A3948,原始数据_收盘!$A$4:$G$3460,7,0),"")</f>
        <v>3.0788</v>
      </c>
      <c r="H3948">
        <f>IFERROR(VLOOKUP($A3948,原始数据_利率互换_FR007_1年!$A$6:$C$4395,2,0),"")</f>
        <v>2.724</v>
      </c>
      <c r="I3948">
        <f>IFERROR(VLOOKUP($A3948,原始数据_利率互换_FR007_1年!$A$6:$C$4395,3,0),"")</f>
        <v>3.0777</v>
      </c>
    </row>
    <row r="3949" spans="1:9">
      <c r="A3949" s="6">
        <v>43442</v>
      </c>
      <c r="B3949" t="str">
        <f>IFERROR(VLOOKUP($A3949,原始数据_收盘!$A$4:$G$3460,2,0),"")</f>
        <v/>
      </c>
      <c r="C3949" t="str">
        <f>IFERROR(VLOOKUP($A3949,原始数据_收盘!$A$4:$G$3460,3,0),"")</f>
        <v/>
      </c>
      <c r="D3949" t="str">
        <f>IFERROR(VLOOKUP($A3949,原始数据_收盘!$A$4:$G$3460,4,0),"")</f>
        <v/>
      </c>
      <c r="E3949" t="str">
        <f>IFERROR(VLOOKUP($A3949,原始数据_收盘!$A$4:$G$3460,5,0),"")</f>
        <v/>
      </c>
      <c r="F3949" t="str">
        <f>IFERROR(VLOOKUP($A3949,原始数据_收盘!$A$4:$G$3460,6,0),"")</f>
        <v/>
      </c>
      <c r="G3949" t="str">
        <f>IFERROR(VLOOKUP($A3949,原始数据_收盘!$A$4:$G$3460,7,0),"")</f>
        <v/>
      </c>
      <c r="H3949" t="str">
        <f>IFERROR(VLOOKUP($A3949,原始数据_利率互换_FR007_1年!$A$6:$C$4395,2,0),"")</f>
        <v/>
      </c>
      <c r="I3949" t="str">
        <f>IFERROR(VLOOKUP($A3949,原始数据_利率互换_FR007_1年!$A$6:$C$4395,3,0),"")</f>
        <v/>
      </c>
    </row>
    <row r="3950" spans="1:9">
      <c r="A3950" s="6">
        <v>43443</v>
      </c>
      <c r="B3950" t="str">
        <f>IFERROR(VLOOKUP($A3950,原始数据_收盘!$A$4:$G$3460,2,0),"")</f>
        <v/>
      </c>
      <c r="C3950" t="str">
        <f>IFERROR(VLOOKUP($A3950,原始数据_收盘!$A$4:$G$3460,3,0),"")</f>
        <v/>
      </c>
      <c r="D3950" t="str">
        <f>IFERROR(VLOOKUP($A3950,原始数据_收盘!$A$4:$G$3460,4,0),"")</f>
        <v/>
      </c>
      <c r="E3950" t="str">
        <f>IFERROR(VLOOKUP($A3950,原始数据_收盘!$A$4:$G$3460,5,0),"")</f>
        <v/>
      </c>
      <c r="F3950" t="str">
        <f>IFERROR(VLOOKUP($A3950,原始数据_收盘!$A$4:$G$3460,6,0),"")</f>
        <v/>
      </c>
      <c r="G3950" t="str">
        <f>IFERROR(VLOOKUP($A3950,原始数据_收盘!$A$4:$G$3460,7,0),"")</f>
        <v/>
      </c>
      <c r="H3950" t="str">
        <f>IFERROR(VLOOKUP($A3950,原始数据_利率互换_FR007_1年!$A$6:$C$4395,2,0),"")</f>
        <v/>
      </c>
      <c r="I3950" t="str">
        <f>IFERROR(VLOOKUP($A3950,原始数据_利率互换_FR007_1年!$A$6:$C$4395,3,0),"")</f>
        <v/>
      </c>
    </row>
    <row r="3951" spans="1:9">
      <c r="A3951" s="6">
        <v>43444</v>
      </c>
      <c r="B3951">
        <f>IFERROR(VLOOKUP($A3951,原始数据_收盘!$A$4:$G$3460,2,0),"")</f>
        <v>2.695</v>
      </c>
      <c r="C3951">
        <f>IFERROR(VLOOKUP($A3951,原始数据_收盘!$A$4:$G$3460,3,0),"")</f>
        <v>3.0429</v>
      </c>
      <c r="D3951">
        <f>IFERROR(VLOOKUP($A3951,原始数据_收盘!$A$4:$G$3460,4,0),"")</f>
        <v>2.6994</v>
      </c>
      <c r="E3951">
        <f>IFERROR(VLOOKUP($A3951,原始数据_收盘!$A$4:$G$3460,5,0),"")</f>
        <v>3.0451</v>
      </c>
      <c r="F3951">
        <f>IFERROR(VLOOKUP($A3951,原始数据_收盘!$A$4:$G$3460,6,0),"")</f>
        <v>2.6972</v>
      </c>
      <c r="G3951">
        <f>IFERROR(VLOOKUP($A3951,原始数据_收盘!$A$4:$G$3460,7,0),"")</f>
        <v>3.044</v>
      </c>
      <c r="H3951">
        <f>IFERROR(VLOOKUP($A3951,原始数据_利率互换_FR007_1年!$A$6:$C$4395,2,0),"")</f>
        <v>2.6958</v>
      </c>
      <c r="I3951">
        <f>IFERROR(VLOOKUP($A3951,原始数据_利率互换_FR007_1年!$A$6:$C$4395,3,0),"")</f>
        <v>3.0441</v>
      </c>
    </row>
    <row r="3952" spans="1:9">
      <c r="A3952" s="6">
        <v>43445</v>
      </c>
      <c r="B3952">
        <f>IFERROR(VLOOKUP($A3952,原始数据_收盘!$A$4:$G$3460,2,0),"")</f>
        <v>2.7</v>
      </c>
      <c r="C3952">
        <f>IFERROR(VLOOKUP($A3952,原始数据_收盘!$A$4:$G$3460,3,0),"")</f>
        <v>3.0478</v>
      </c>
      <c r="D3952">
        <f>IFERROR(VLOOKUP($A3952,原始数据_收盘!$A$4:$G$3460,4,0),"")</f>
        <v>2.7025</v>
      </c>
      <c r="E3952">
        <f>IFERROR(VLOOKUP($A3952,原始数据_收盘!$A$4:$G$3460,5,0),"")</f>
        <v>3.05</v>
      </c>
      <c r="F3952">
        <f>IFERROR(VLOOKUP($A3952,原始数据_收盘!$A$4:$G$3460,6,0),"")</f>
        <v>2.7013</v>
      </c>
      <c r="G3952">
        <f>IFERROR(VLOOKUP($A3952,原始数据_收盘!$A$4:$G$3460,7,0),"")</f>
        <v>3.0489</v>
      </c>
      <c r="H3952">
        <f>IFERROR(VLOOKUP($A3952,原始数据_利率互换_FR007_1年!$A$6:$C$4395,2,0),"")</f>
        <v>2.7049</v>
      </c>
      <c r="I3952">
        <f>IFERROR(VLOOKUP($A3952,原始数据_利率互换_FR007_1年!$A$6:$C$4395,3,0),"")</f>
        <v>3.0473</v>
      </c>
    </row>
    <row r="3953" spans="1:9">
      <c r="A3953" s="6">
        <v>43446</v>
      </c>
      <c r="B3953">
        <f>IFERROR(VLOOKUP($A3953,原始数据_收盘!$A$4:$G$3460,2,0),"")</f>
        <v>2.7075</v>
      </c>
      <c r="C3953">
        <f>IFERROR(VLOOKUP($A3953,原始数据_收盘!$A$4:$G$3460,3,0),"")</f>
        <v>3.055</v>
      </c>
      <c r="D3953">
        <f>IFERROR(VLOOKUP($A3953,原始数据_收盘!$A$4:$G$3460,4,0),"")</f>
        <v>2.7125</v>
      </c>
      <c r="E3953">
        <f>IFERROR(VLOOKUP($A3953,原始数据_收盘!$A$4:$G$3460,5,0),"")</f>
        <v>3.0585</v>
      </c>
      <c r="F3953">
        <f>IFERROR(VLOOKUP($A3953,原始数据_收盘!$A$4:$G$3460,6,0),"")</f>
        <v>2.71</v>
      </c>
      <c r="G3953">
        <f>IFERROR(VLOOKUP($A3953,原始数据_收盘!$A$4:$G$3460,7,0),"")</f>
        <v>3.0568</v>
      </c>
      <c r="H3953">
        <f>IFERROR(VLOOKUP($A3953,原始数据_利率互换_FR007_1年!$A$6:$C$4395,2,0),"")</f>
        <v>2.709</v>
      </c>
      <c r="I3953">
        <f>IFERROR(VLOOKUP($A3953,原始数据_利率互换_FR007_1年!$A$6:$C$4395,3,0),"")</f>
        <v>3.0529</v>
      </c>
    </row>
    <row r="3954" spans="1:9">
      <c r="A3954" s="6">
        <v>43447</v>
      </c>
      <c r="B3954">
        <f>IFERROR(VLOOKUP($A3954,原始数据_收盘!$A$4:$G$3460,2,0),"")</f>
        <v>2.7369</v>
      </c>
      <c r="C3954">
        <f>IFERROR(VLOOKUP($A3954,原始数据_收盘!$A$4:$G$3460,3,0),"")</f>
        <v>3.12</v>
      </c>
      <c r="D3954">
        <f>IFERROR(VLOOKUP($A3954,原始数据_收盘!$A$4:$G$3460,4,0),"")</f>
        <v>2.7427</v>
      </c>
      <c r="E3954">
        <f>IFERROR(VLOOKUP($A3954,原始数据_收盘!$A$4:$G$3460,5,0),"")</f>
        <v>3.1275</v>
      </c>
      <c r="F3954">
        <f>IFERROR(VLOOKUP($A3954,原始数据_收盘!$A$4:$G$3460,6,0),"")</f>
        <v>2.7398</v>
      </c>
      <c r="G3954">
        <f>IFERROR(VLOOKUP($A3954,原始数据_收盘!$A$4:$G$3460,7,0),"")</f>
        <v>3.1238</v>
      </c>
      <c r="H3954">
        <f>IFERROR(VLOOKUP($A3954,原始数据_利率互换_FR007_1年!$A$6:$C$4395,2,0),"")</f>
        <v>2.7335</v>
      </c>
      <c r="I3954">
        <f>IFERROR(VLOOKUP($A3954,原始数据_利率互换_FR007_1年!$A$6:$C$4395,3,0),"")</f>
        <v>3.1074</v>
      </c>
    </row>
    <row r="3955" spans="1:9">
      <c r="A3955" s="6">
        <v>43448</v>
      </c>
      <c r="B3955">
        <f>IFERROR(VLOOKUP($A3955,原始数据_收盘!$A$4:$G$3460,2,0),"")</f>
        <v>2.74</v>
      </c>
      <c r="C3955">
        <f>IFERROR(VLOOKUP($A3955,原始数据_收盘!$A$4:$G$3460,3,0),"")</f>
        <v>3.11</v>
      </c>
      <c r="D3955">
        <f>IFERROR(VLOOKUP($A3955,原始数据_收盘!$A$4:$G$3460,4,0),"")</f>
        <v>2.745</v>
      </c>
      <c r="E3955">
        <f>IFERROR(VLOOKUP($A3955,原始数据_收盘!$A$4:$G$3460,5,0),"")</f>
        <v>3.1125</v>
      </c>
      <c r="F3955">
        <f>IFERROR(VLOOKUP($A3955,原始数据_收盘!$A$4:$G$3460,6,0),"")</f>
        <v>2.7425</v>
      </c>
      <c r="G3955">
        <f>IFERROR(VLOOKUP($A3955,原始数据_收盘!$A$4:$G$3460,7,0),"")</f>
        <v>3.1113</v>
      </c>
      <c r="H3955">
        <f>IFERROR(VLOOKUP($A3955,原始数据_利率互换_FR007_1年!$A$6:$C$4395,2,0),"")</f>
        <v>2.7521</v>
      </c>
      <c r="I3955">
        <f>IFERROR(VLOOKUP($A3955,原始数据_利率互换_FR007_1年!$A$6:$C$4395,3,0),"")</f>
        <v>3.115</v>
      </c>
    </row>
    <row r="3956" spans="1:9">
      <c r="A3956" s="6">
        <v>43449</v>
      </c>
      <c r="B3956" t="str">
        <f>IFERROR(VLOOKUP($A3956,原始数据_收盘!$A$4:$G$3460,2,0),"")</f>
        <v/>
      </c>
      <c r="C3956" t="str">
        <f>IFERROR(VLOOKUP($A3956,原始数据_收盘!$A$4:$G$3460,3,0),"")</f>
        <v/>
      </c>
      <c r="D3956" t="str">
        <f>IFERROR(VLOOKUP($A3956,原始数据_收盘!$A$4:$G$3460,4,0),"")</f>
        <v/>
      </c>
      <c r="E3956" t="str">
        <f>IFERROR(VLOOKUP($A3956,原始数据_收盘!$A$4:$G$3460,5,0),"")</f>
        <v/>
      </c>
      <c r="F3956" t="str">
        <f>IFERROR(VLOOKUP($A3956,原始数据_收盘!$A$4:$G$3460,6,0),"")</f>
        <v/>
      </c>
      <c r="G3956" t="str">
        <f>IFERROR(VLOOKUP($A3956,原始数据_收盘!$A$4:$G$3460,7,0),"")</f>
        <v/>
      </c>
      <c r="H3956" t="str">
        <f>IFERROR(VLOOKUP($A3956,原始数据_利率互换_FR007_1年!$A$6:$C$4395,2,0),"")</f>
        <v/>
      </c>
      <c r="I3956" t="str">
        <f>IFERROR(VLOOKUP($A3956,原始数据_利率互换_FR007_1年!$A$6:$C$4395,3,0),"")</f>
        <v/>
      </c>
    </row>
    <row r="3957" spans="1:9">
      <c r="A3957" s="6">
        <v>43450</v>
      </c>
      <c r="B3957" t="str">
        <f>IFERROR(VLOOKUP($A3957,原始数据_收盘!$A$4:$G$3460,2,0),"")</f>
        <v/>
      </c>
      <c r="C3957" t="str">
        <f>IFERROR(VLOOKUP($A3957,原始数据_收盘!$A$4:$G$3460,3,0),"")</f>
        <v/>
      </c>
      <c r="D3957" t="str">
        <f>IFERROR(VLOOKUP($A3957,原始数据_收盘!$A$4:$G$3460,4,0),"")</f>
        <v/>
      </c>
      <c r="E3957" t="str">
        <f>IFERROR(VLOOKUP($A3957,原始数据_收盘!$A$4:$G$3460,5,0),"")</f>
        <v/>
      </c>
      <c r="F3957" t="str">
        <f>IFERROR(VLOOKUP($A3957,原始数据_收盘!$A$4:$G$3460,6,0),"")</f>
        <v/>
      </c>
      <c r="G3957" t="str">
        <f>IFERROR(VLOOKUP($A3957,原始数据_收盘!$A$4:$G$3460,7,0),"")</f>
        <v/>
      </c>
      <c r="H3957" t="str">
        <f>IFERROR(VLOOKUP($A3957,原始数据_利率互换_FR007_1年!$A$6:$C$4395,2,0),"")</f>
        <v/>
      </c>
      <c r="I3957" t="str">
        <f>IFERROR(VLOOKUP($A3957,原始数据_利率互换_FR007_1年!$A$6:$C$4395,3,0),"")</f>
        <v/>
      </c>
    </row>
    <row r="3958" spans="1:9">
      <c r="A3958" s="6">
        <v>43451</v>
      </c>
      <c r="B3958">
        <f>IFERROR(VLOOKUP($A3958,原始数据_收盘!$A$4:$G$3460,2,0),"")</f>
        <v>2.755</v>
      </c>
      <c r="C3958">
        <f>IFERROR(VLOOKUP($A3958,原始数据_收盘!$A$4:$G$3460,3,0),"")</f>
        <v>3.1356</v>
      </c>
      <c r="D3958">
        <f>IFERROR(VLOOKUP($A3958,原始数据_收盘!$A$4:$G$3460,4,0),"")</f>
        <v>2.7625</v>
      </c>
      <c r="E3958">
        <f>IFERROR(VLOOKUP($A3958,原始数据_收盘!$A$4:$G$3460,5,0),"")</f>
        <v>3.14</v>
      </c>
      <c r="F3958">
        <f>IFERROR(VLOOKUP($A3958,原始数据_收盘!$A$4:$G$3460,6,0),"")</f>
        <v>2.7588</v>
      </c>
      <c r="G3958">
        <f>IFERROR(VLOOKUP($A3958,原始数据_收盘!$A$4:$G$3460,7,0),"")</f>
        <v>3.1378</v>
      </c>
      <c r="H3958">
        <f>IFERROR(VLOOKUP($A3958,原始数据_利率互换_FR007_1年!$A$6:$C$4395,2,0),"")</f>
        <v>2.737</v>
      </c>
      <c r="I3958">
        <f>IFERROR(VLOOKUP($A3958,原始数据_利率互换_FR007_1年!$A$6:$C$4395,3,0),"")</f>
        <v>3.121</v>
      </c>
    </row>
    <row r="3959" spans="1:9">
      <c r="A3959" s="6">
        <v>43452</v>
      </c>
      <c r="B3959">
        <f>IFERROR(VLOOKUP($A3959,原始数据_收盘!$A$4:$G$3460,2,0),"")</f>
        <v>2.7325</v>
      </c>
      <c r="C3959">
        <f>IFERROR(VLOOKUP($A3959,原始数据_收盘!$A$4:$G$3460,3,0),"")</f>
        <v>3.1</v>
      </c>
      <c r="D3959">
        <f>IFERROR(VLOOKUP($A3959,原始数据_收盘!$A$4:$G$3460,4,0),"")</f>
        <v>2.7346</v>
      </c>
      <c r="E3959">
        <f>IFERROR(VLOOKUP($A3959,原始数据_收盘!$A$4:$G$3460,5,0),"")</f>
        <v>3.1025</v>
      </c>
      <c r="F3959">
        <f>IFERROR(VLOOKUP($A3959,原始数据_收盘!$A$4:$G$3460,6,0),"")</f>
        <v>2.7335</v>
      </c>
      <c r="G3959">
        <f>IFERROR(VLOOKUP($A3959,原始数据_收盘!$A$4:$G$3460,7,0),"")</f>
        <v>3.1013</v>
      </c>
      <c r="H3959">
        <f>IFERROR(VLOOKUP($A3959,原始数据_利率互换_FR007_1年!$A$6:$C$4395,2,0),"")</f>
        <v>2.7372</v>
      </c>
      <c r="I3959">
        <f>IFERROR(VLOOKUP($A3959,原始数据_利率互换_FR007_1年!$A$6:$C$4395,3,0),"")</f>
        <v>3.1038</v>
      </c>
    </row>
    <row r="3960" spans="1:9">
      <c r="A3960" s="6">
        <v>43453</v>
      </c>
      <c r="B3960">
        <f>IFERROR(VLOOKUP($A3960,原始数据_收盘!$A$4:$G$3460,2,0),"")</f>
        <v>2.715</v>
      </c>
      <c r="C3960">
        <f>IFERROR(VLOOKUP($A3960,原始数据_收盘!$A$4:$G$3460,3,0),"")</f>
        <v>3.0649</v>
      </c>
      <c r="D3960">
        <f>IFERROR(VLOOKUP($A3960,原始数据_收盘!$A$4:$G$3460,4,0),"")</f>
        <v>2.7187</v>
      </c>
      <c r="E3960">
        <f>IFERROR(VLOOKUP($A3960,原始数据_收盘!$A$4:$G$3460,5,0),"")</f>
        <v>3.0686</v>
      </c>
      <c r="F3960">
        <f>IFERROR(VLOOKUP($A3960,原始数据_收盘!$A$4:$G$3460,6,0),"")</f>
        <v>2.7168</v>
      </c>
      <c r="G3960">
        <f>IFERROR(VLOOKUP($A3960,原始数据_收盘!$A$4:$G$3460,7,0),"")</f>
        <v>3.0667</v>
      </c>
      <c r="H3960">
        <f>IFERROR(VLOOKUP($A3960,原始数据_利率互换_FR007_1年!$A$6:$C$4395,2,0),"")</f>
        <v>2.7204</v>
      </c>
      <c r="I3960">
        <f>IFERROR(VLOOKUP($A3960,原始数据_利率互换_FR007_1年!$A$6:$C$4395,3,0),"")</f>
        <v>3.07</v>
      </c>
    </row>
    <row r="3961" spans="1:9">
      <c r="A3961" s="6">
        <v>43454</v>
      </c>
      <c r="B3961">
        <f>IFERROR(VLOOKUP($A3961,原始数据_收盘!$A$4:$G$3460,2,0),"")</f>
        <v>2.68</v>
      </c>
      <c r="C3961">
        <f>IFERROR(VLOOKUP($A3961,原始数据_收盘!$A$4:$G$3460,3,0),"")</f>
        <v>2.9964</v>
      </c>
      <c r="D3961">
        <f>IFERROR(VLOOKUP($A3961,原始数据_收盘!$A$4:$G$3460,4,0),"")</f>
        <v>2.6874</v>
      </c>
      <c r="E3961">
        <f>IFERROR(VLOOKUP($A3961,原始数据_收盘!$A$4:$G$3460,5,0),"")</f>
        <v>2.9979</v>
      </c>
      <c r="F3961">
        <f>IFERROR(VLOOKUP($A3961,原始数据_收盘!$A$4:$G$3460,6,0),"")</f>
        <v>2.6837</v>
      </c>
      <c r="G3961">
        <f>IFERROR(VLOOKUP($A3961,原始数据_收盘!$A$4:$G$3460,7,0),"")</f>
        <v>2.9971</v>
      </c>
      <c r="H3961">
        <f>IFERROR(VLOOKUP($A3961,原始数据_利率互换_FR007_1年!$A$6:$C$4395,2,0),"")</f>
        <v>2.6883</v>
      </c>
      <c r="I3961">
        <f>IFERROR(VLOOKUP($A3961,原始数据_利率互换_FR007_1年!$A$6:$C$4395,3,0),"")</f>
        <v>3.0073</v>
      </c>
    </row>
    <row r="3962" spans="1:9">
      <c r="A3962" s="6">
        <v>43455</v>
      </c>
      <c r="B3962">
        <f>IFERROR(VLOOKUP($A3962,原始数据_收盘!$A$4:$G$3460,2,0),"")</f>
        <v>2.685</v>
      </c>
      <c r="C3962">
        <f>IFERROR(VLOOKUP($A3962,原始数据_收盘!$A$4:$G$3460,3,0),"")</f>
        <v>3.0015</v>
      </c>
      <c r="D3962">
        <f>IFERROR(VLOOKUP($A3962,原始数据_收盘!$A$4:$G$3460,4,0),"")</f>
        <v>2.6897</v>
      </c>
      <c r="E3962">
        <f>IFERROR(VLOOKUP($A3962,原始数据_收盘!$A$4:$G$3460,5,0),"")</f>
        <v>3.0046</v>
      </c>
      <c r="F3962">
        <f>IFERROR(VLOOKUP($A3962,原始数据_收盘!$A$4:$G$3460,6,0),"")</f>
        <v>2.6873</v>
      </c>
      <c r="G3962">
        <f>IFERROR(VLOOKUP($A3962,原始数据_收盘!$A$4:$G$3460,7,0),"")</f>
        <v>3.003</v>
      </c>
      <c r="H3962">
        <f>IFERROR(VLOOKUP($A3962,原始数据_利率互换_FR007_1年!$A$6:$C$4395,2,0),"")</f>
        <v>2.685</v>
      </c>
      <c r="I3962">
        <f>IFERROR(VLOOKUP($A3962,原始数据_利率互换_FR007_1年!$A$6:$C$4395,3,0),"")</f>
        <v>0</v>
      </c>
    </row>
    <row r="3963" spans="1:9">
      <c r="A3963" s="6">
        <v>43456</v>
      </c>
      <c r="B3963" t="str">
        <f>IFERROR(VLOOKUP($A3963,原始数据_收盘!$A$4:$G$3460,2,0),"")</f>
        <v/>
      </c>
      <c r="C3963" t="str">
        <f>IFERROR(VLOOKUP($A3963,原始数据_收盘!$A$4:$G$3460,3,0),"")</f>
        <v/>
      </c>
      <c r="D3963" t="str">
        <f>IFERROR(VLOOKUP($A3963,原始数据_收盘!$A$4:$G$3460,4,0),"")</f>
        <v/>
      </c>
      <c r="E3963" t="str">
        <f>IFERROR(VLOOKUP($A3963,原始数据_收盘!$A$4:$G$3460,5,0),"")</f>
        <v/>
      </c>
      <c r="F3963" t="str">
        <f>IFERROR(VLOOKUP($A3963,原始数据_收盘!$A$4:$G$3460,6,0),"")</f>
        <v/>
      </c>
      <c r="G3963" t="str">
        <f>IFERROR(VLOOKUP($A3963,原始数据_收盘!$A$4:$G$3460,7,0),"")</f>
        <v/>
      </c>
      <c r="H3963" t="str">
        <f>IFERROR(VLOOKUP($A3963,原始数据_利率互换_FR007_1年!$A$6:$C$4395,2,0),"")</f>
        <v/>
      </c>
      <c r="I3963" t="str">
        <f>IFERROR(VLOOKUP($A3963,原始数据_利率互换_FR007_1年!$A$6:$C$4395,3,0),"")</f>
        <v/>
      </c>
    </row>
    <row r="3964" spans="1:9">
      <c r="A3964" s="6">
        <v>43457</v>
      </c>
      <c r="B3964" t="str">
        <f>IFERROR(VLOOKUP($A3964,原始数据_收盘!$A$4:$G$3460,2,0),"")</f>
        <v/>
      </c>
      <c r="C3964" t="str">
        <f>IFERROR(VLOOKUP($A3964,原始数据_收盘!$A$4:$G$3460,3,0),"")</f>
        <v/>
      </c>
      <c r="D3964" t="str">
        <f>IFERROR(VLOOKUP($A3964,原始数据_收盘!$A$4:$G$3460,4,0),"")</f>
        <v/>
      </c>
      <c r="E3964" t="str">
        <f>IFERROR(VLOOKUP($A3964,原始数据_收盘!$A$4:$G$3460,5,0),"")</f>
        <v/>
      </c>
      <c r="F3964" t="str">
        <f>IFERROR(VLOOKUP($A3964,原始数据_收盘!$A$4:$G$3460,6,0),"")</f>
        <v/>
      </c>
      <c r="G3964" t="str">
        <f>IFERROR(VLOOKUP($A3964,原始数据_收盘!$A$4:$G$3460,7,0),"")</f>
        <v/>
      </c>
      <c r="H3964" t="str">
        <f>IFERROR(VLOOKUP($A3964,原始数据_利率互换_FR007_1年!$A$6:$C$4395,2,0),"")</f>
        <v/>
      </c>
      <c r="I3964" t="str">
        <f>IFERROR(VLOOKUP($A3964,原始数据_利率互换_FR007_1年!$A$6:$C$4395,3,0),"")</f>
        <v/>
      </c>
    </row>
    <row r="3965" spans="1:9">
      <c r="A3965" s="6">
        <v>43458</v>
      </c>
      <c r="B3965">
        <f>IFERROR(VLOOKUP($A3965,原始数据_收盘!$A$4:$G$3460,2,0),"")</f>
        <v>2.6875</v>
      </c>
      <c r="C3965">
        <f>IFERROR(VLOOKUP($A3965,原始数据_收盘!$A$4:$G$3460,3,0),"")</f>
        <v>3.0089</v>
      </c>
      <c r="D3965">
        <f>IFERROR(VLOOKUP($A3965,原始数据_收盘!$A$4:$G$3460,4,0),"")</f>
        <v>2.69</v>
      </c>
      <c r="E3965">
        <f>IFERROR(VLOOKUP($A3965,原始数据_收盘!$A$4:$G$3460,5,0),"")</f>
        <v>3.0113</v>
      </c>
      <c r="F3965">
        <f>IFERROR(VLOOKUP($A3965,原始数据_收盘!$A$4:$G$3460,6,0),"")</f>
        <v>2.6888</v>
      </c>
      <c r="G3965">
        <f>IFERROR(VLOOKUP($A3965,原始数据_收盘!$A$4:$G$3460,7,0),"")</f>
        <v>3.0101</v>
      </c>
      <c r="H3965">
        <f>IFERROR(VLOOKUP($A3965,原始数据_利率互换_FR007_1年!$A$6:$C$4395,2,0),"")</f>
        <v>2.6922</v>
      </c>
      <c r="I3965">
        <f>IFERROR(VLOOKUP($A3965,原始数据_利率互换_FR007_1年!$A$6:$C$4395,3,0),"")</f>
        <v>3.0025</v>
      </c>
    </row>
    <row r="3966" spans="1:9">
      <c r="A3966" s="6">
        <v>43459</v>
      </c>
      <c r="B3966">
        <f>IFERROR(VLOOKUP($A3966,原始数据_收盘!$A$4:$G$3460,2,0),"")</f>
        <v>2.675</v>
      </c>
      <c r="C3966">
        <f>IFERROR(VLOOKUP($A3966,原始数据_收盘!$A$4:$G$3460,3,0),"")</f>
        <v>2.982</v>
      </c>
      <c r="D3966">
        <f>IFERROR(VLOOKUP($A3966,原始数据_收盘!$A$4:$G$3460,4,0),"")</f>
        <v>2.68</v>
      </c>
      <c r="E3966">
        <f>IFERROR(VLOOKUP($A3966,原始数据_收盘!$A$4:$G$3460,5,0),"")</f>
        <v>2.9852</v>
      </c>
      <c r="F3966">
        <f>IFERROR(VLOOKUP($A3966,原始数据_收盘!$A$4:$G$3460,6,0),"")</f>
        <v>2.6775</v>
      </c>
      <c r="G3966">
        <f>IFERROR(VLOOKUP($A3966,原始数据_收盘!$A$4:$G$3460,7,0),"")</f>
        <v>2.9836</v>
      </c>
      <c r="H3966">
        <f>IFERROR(VLOOKUP($A3966,原始数据_利率互换_FR007_1年!$A$6:$C$4395,2,0),"")</f>
        <v>2.6779</v>
      </c>
      <c r="I3966">
        <f>IFERROR(VLOOKUP($A3966,原始数据_利率互换_FR007_1年!$A$6:$C$4395,3,0),"")</f>
        <v>2.9841</v>
      </c>
    </row>
    <row r="3967" spans="1:9">
      <c r="A3967" s="6">
        <v>43460</v>
      </c>
      <c r="B3967">
        <f>IFERROR(VLOOKUP($A3967,原始数据_收盘!$A$4:$G$3460,2,0),"")</f>
        <v>2.66</v>
      </c>
      <c r="C3967">
        <f>IFERROR(VLOOKUP($A3967,原始数据_收盘!$A$4:$G$3460,3,0),"")</f>
        <v>2.9625</v>
      </c>
      <c r="D3967">
        <f>IFERROR(VLOOKUP($A3967,原始数据_收盘!$A$4:$G$3460,4,0),"")</f>
        <v>2.665</v>
      </c>
      <c r="E3967">
        <f>IFERROR(VLOOKUP($A3967,原始数据_收盘!$A$4:$G$3460,5,0),"")</f>
        <v>2.9675</v>
      </c>
      <c r="F3967">
        <f>IFERROR(VLOOKUP($A3967,原始数据_收盘!$A$4:$G$3460,6,0),"")</f>
        <v>2.6625</v>
      </c>
      <c r="G3967">
        <f>IFERROR(VLOOKUP($A3967,原始数据_收盘!$A$4:$G$3460,7,0),"")</f>
        <v>2.965</v>
      </c>
      <c r="H3967">
        <f>IFERROR(VLOOKUP($A3967,原始数据_利率互换_FR007_1年!$A$6:$C$4395,2,0),"")</f>
        <v>2.6716</v>
      </c>
      <c r="I3967">
        <f>IFERROR(VLOOKUP($A3967,原始数据_利率互换_FR007_1年!$A$6:$C$4395,3,0),"")</f>
        <v>2.9796</v>
      </c>
    </row>
    <row r="3968" spans="1:9">
      <c r="A3968" s="6">
        <v>43461</v>
      </c>
      <c r="B3968">
        <f>IFERROR(VLOOKUP($A3968,原始数据_收盘!$A$4:$G$3460,2,0),"")</f>
        <v>2.6541</v>
      </c>
      <c r="C3968">
        <f>IFERROR(VLOOKUP($A3968,原始数据_收盘!$A$4:$G$3460,3,0),"")</f>
        <v>2.9501</v>
      </c>
      <c r="D3968">
        <f>IFERROR(VLOOKUP($A3968,原始数据_收盘!$A$4:$G$3460,4,0),"")</f>
        <v>2.658</v>
      </c>
      <c r="E3968">
        <f>IFERROR(VLOOKUP($A3968,原始数据_收盘!$A$4:$G$3460,5,0),"")</f>
        <v>2.9528</v>
      </c>
      <c r="F3968">
        <f>IFERROR(VLOOKUP($A3968,原始数据_收盘!$A$4:$G$3460,6,0),"")</f>
        <v>2.656</v>
      </c>
      <c r="G3968">
        <f>IFERROR(VLOOKUP($A3968,原始数据_收盘!$A$4:$G$3460,7,0),"")</f>
        <v>2.9514</v>
      </c>
      <c r="H3968">
        <f>IFERROR(VLOOKUP($A3968,原始数据_利率互换_FR007_1年!$A$6:$C$4395,2,0),"")</f>
        <v>2.6672</v>
      </c>
      <c r="I3968">
        <f>IFERROR(VLOOKUP($A3968,原始数据_利率互换_FR007_1年!$A$6:$C$4395,3,0),"")</f>
        <v>2.9616</v>
      </c>
    </row>
    <row r="3969" spans="1:9">
      <c r="A3969" s="6">
        <v>43462</v>
      </c>
      <c r="B3969">
        <f>IFERROR(VLOOKUP($A3969,原始数据_收盘!$A$4:$G$3460,2,0),"")</f>
        <v>2.65</v>
      </c>
      <c r="C3969">
        <f>IFERROR(VLOOKUP($A3969,原始数据_收盘!$A$4:$G$3460,3,0),"")</f>
        <v>2.9127</v>
      </c>
      <c r="D3969">
        <f>IFERROR(VLOOKUP($A3969,原始数据_收盘!$A$4:$G$3460,4,0),"")</f>
        <v>2.6539</v>
      </c>
      <c r="E3969">
        <f>IFERROR(VLOOKUP($A3969,原始数据_收盘!$A$4:$G$3460,5,0),"")</f>
        <v>2.945</v>
      </c>
      <c r="F3969">
        <f>IFERROR(VLOOKUP($A3969,原始数据_收盘!$A$4:$G$3460,6,0),"")</f>
        <v>2.6519</v>
      </c>
      <c r="G3969">
        <f>IFERROR(VLOOKUP($A3969,原始数据_收盘!$A$4:$G$3460,7,0),"")</f>
        <v>2.9288</v>
      </c>
      <c r="H3969">
        <f>IFERROR(VLOOKUP($A3969,原始数据_利率互换_FR007_1年!$A$6:$C$4395,2,0),"")</f>
        <v>2.6537</v>
      </c>
      <c r="I3969">
        <f>IFERROR(VLOOKUP($A3969,原始数据_利率互换_FR007_1年!$A$6:$C$4395,3,0),"")</f>
        <v>2.9711</v>
      </c>
    </row>
    <row r="3970" spans="1:9">
      <c r="A3970" s="6">
        <v>43463</v>
      </c>
      <c r="B3970">
        <f>IFERROR(VLOOKUP($A3970,原始数据_收盘!$A$4:$G$3460,2,0),"")</f>
        <v>2.6175</v>
      </c>
      <c r="C3970">
        <f>IFERROR(VLOOKUP($A3970,原始数据_收盘!$A$4:$G$3460,3,0),"")</f>
        <v>2.92</v>
      </c>
      <c r="D3970">
        <f>IFERROR(VLOOKUP($A3970,原始数据_收盘!$A$4:$G$3460,4,0),"")</f>
        <v>2.625</v>
      </c>
      <c r="E3970">
        <f>IFERROR(VLOOKUP($A3970,原始数据_收盘!$A$4:$G$3460,5,0),"")</f>
        <v>2.94</v>
      </c>
      <c r="F3970">
        <f>IFERROR(VLOOKUP($A3970,原始数据_收盘!$A$4:$G$3460,6,0),"")</f>
        <v>2.6213</v>
      </c>
      <c r="G3970">
        <f>IFERROR(VLOOKUP($A3970,原始数据_收盘!$A$4:$G$3460,7,0),"")</f>
        <v>2.93</v>
      </c>
      <c r="H3970" t="str">
        <f>IFERROR(VLOOKUP($A3970,原始数据_利率互换_FR007_1年!$A$6:$C$4395,2,0),"")</f>
        <v/>
      </c>
      <c r="I3970" t="str">
        <f>IFERROR(VLOOKUP($A3970,原始数据_利率互换_FR007_1年!$A$6:$C$4395,3,0),"")</f>
        <v/>
      </c>
    </row>
    <row r="3971" spans="1:9">
      <c r="A3971" s="6">
        <v>43464</v>
      </c>
      <c r="B3971" t="str">
        <f>IFERROR(VLOOKUP($A3971,原始数据_收盘!$A$4:$G$3460,2,0),"")</f>
        <v/>
      </c>
      <c r="C3971" t="str">
        <f>IFERROR(VLOOKUP($A3971,原始数据_收盘!$A$4:$G$3460,3,0),"")</f>
        <v/>
      </c>
      <c r="D3971" t="str">
        <f>IFERROR(VLOOKUP($A3971,原始数据_收盘!$A$4:$G$3460,4,0),"")</f>
        <v/>
      </c>
      <c r="E3971" t="str">
        <f>IFERROR(VLOOKUP($A3971,原始数据_收盘!$A$4:$G$3460,5,0),"")</f>
        <v/>
      </c>
      <c r="F3971" t="str">
        <f>IFERROR(VLOOKUP($A3971,原始数据_收盘!$A$4:$G$3460,6,0),"")</f>
        <v/>
      </c>
      <c r="G3971" t="str">
        <f>IFERROR(VLOOKUP($A3971,原始数据_收盘!$A$4:$G$3460,7,0),"")</f>
        <v/>
      </c>
      <c r="H3971" t="str">
        <f>IFERROR(VLOOKUP($A3971,原始数据_利率互换_FR007_1年!$A$6:$C$4395,2,0),"")</f>
        <v/>
      </c>
      <c r="I3971" t="str">
        <f>IFERROR(VLOOKUP($A3971,原始数据_利率互换_FR007_1年!$A$6:$C$4395,3,0),"")</f>
        <v/>
      </c>
    </row>
    <row r="3972" spans="1:9">
      <c r="A3972" s="6">
        <v>43465</v>
      </c>
      <c r="B3972" t="str">
        <f>IFERROR(VLOOKUP($A3972,原始数据_收盘!$A$4:$G$3460,2,0),"")</f>
        <v/>
      </c>
      <c r="C3972" t="str">
        <f>IFERROR(VLOOKUP($A3972,原始数据_收盘!$A$4:$G$3460,3,0),"")</f>
        <v/>
      </c>
      <c r="D3972" t="str">
        <f>IFERROR(VLOOKUP($A3972,原始数据_收盘!$A$4:$G$3460,4,0),"")</f>
        <v/>
      </c>
      <c r="E3972" t="str">
        <f>IFERROR(VLOOKUP($A3972,原始数据_收盘!$A$4:$G$3460,5,0),"")</f>
        <v/>
      </c>
      <c r="F3972" t="str">
        <f>IFERROR(VLOOKUP($A3972,原始数据_收盘!$A$4:$G$3460,6,0),"")</f>
        <v/>
      </c>
      <c r="G3972" t="str">
        <f>IFERROR(VLOOKUP($A3972,原始数据_收盘!$A$4:$G$3460,7,0),"")</f>
        <v/>
      </c>
      <c r="H3972" t="str">
        <f>IFERROR(VLOOKUP($A3972,原始数据_利率互换_FR007_1年!$A$6:$C$4395,2,0),"")</f>
        <v/>
      </c>
      <c r="I3972" t="str">
        <f>IFERROR(VLOOKUP($A3972,原始数据_利率互换_FR007_1年!$A$6:$C$4395,3,0),"")</f>
        <v/>
      </c>
    </row>
    <row r="3973" spans="1:9">
      <c r="A3973" s="6">
        <v>43466</v>
      </c>
      <c r="B3973" t="str">
        <f>IFERROR(VLOOKUP($A3973,原始数据_收盘!$A$4:$G$3460,2,0),"")</f>
        <v/>
      </c>
      <c r="C3973" t="str">
        <f>IFERROR(VLOOKUP($A3973,原始数据_收盘!$A$4:$G$3460,3,0),"")</f>
        <v/>
      </c>
      <c r="D3973" t="str">
        <f>IFERROR(VLOOKUP($A3973,原始数据_收盘!$A$4:$G$3460,4,0),"")</f>
        <v/>
      </c>
      <c r="E3973" t="str">
        <f>IFERROR(VLOOKUP($A3973,原始数据_收盘!$A$4:$G$3460,5,0),"")</f>
        <v/>
      </c>
      <c r="F3973" t="str">
        <f>IFERROR(VLOOKUP($A3973,原始数据_收盘!$A$4:$G$3460,6,0),"")</f>
        <v/>
      </c>
      <c r="G3973" t="str">
        <f>IFERROR(VLOOKUP($A3973,原始数据_收盘!$A$4:$G$3460,7,0),"")</f>
        <v/>
      </c>
      <c r="H3973" t="str">
        <f>IFERROR(VLOOKUP($A3973,原始数据_利率互换_FR007_1年!$A$6:$C$4395,2,0),"")</f>
        <v/>
      </c>
      <c r="I3973" t="str">
        <f>IFERROR(VLOOKUP($A3973,原始数据_利率互换_FR007_1年!$A$6:$C$4395,3,0),"")</f>
        <v/>
      </c>
    </row>
    <row r="3974" spans="1:9">
      <c r="A3974" s="6">
        <v>43467</v>
      </c>
      <c r="B3974">
        <f>IFERROR(VLOOKUP($A3974,原始数据_收盘!$A$4:$G$3460,2,0),"")</f>
        <v>2.585</v>
      </c>
      <c r="C3974">
        <f>IFERROR(VLOOKUP($A3974,原始数据_收盘!$A$4:$G$3460,3,0),"")</f>
        <v>2.855</v>
      </c>
      <c r="D3974">
        <f>IFERROR(VLOOKUP($A3974,原始数据_收盘!$A$4:$G$3460,4,0),"")</f>
        <v>2.5925</v>
      </c>
      <c r="E3974">
        <f>IFERROR(VLOOKUP($A3974,原始数据_收盘!$A$4:$G$3460,5,0),"")</f>
        <v>2.86</v>
      </c>
      <c r="F3974">
        <f>IFERROR(VLOOKUP($A3974,原始数据_收盘!$A$4:$G$3460,6,0),"")</f>
        <v>2.5888</v>
      </c>
      <c r="G3974">
        <f>IFERROR(VLOOKUP($A3974,原始数据_收盘!$A$4:$G$3460,7,0),"")</f>
        <v>2.8575</v>
      </c>
      <c r="H3974">
        <f>IFERROR(VLOOKUP($A3974,原始数据_利率互换_FR007_1年!$A$6:$C$4395,2,0),"")</f>
        <v>2.5915</v>
      </c>
      <c r="I3974">
        <f>IFERROR(VLOOKUP($A3974,原始数据_利率互换_FR007_1年!$A$6:$C$4395,3,0),"")</f>
        <v>2.8726</v>
      </c>
    </row>
    <row r="3975" spans="1:9">
      <c r="A3975" s="6">
        <v>43468</v>
      </c>
      <c r="B3975">
        <f>IFERROR(VLOOKUP($A3975,原始数据_收盘!$A$4:$G$3460,2,0),"")</f>
        <v>2.5778</v>
      </c>
      <c r="C3975">
        <f>IFERROR(VLOOKUP($A3975,原始数据_收盘!$A$4:$G$3460,3,0),"")</f>
        <v>2.8475</v>
      </c>
      <c r="D3975">
        <f>IFERROR(VLOOKUP($A3975,原始数据_收盘!$A$4:$G$3460,4,0),"")</f>
        <v>2.585</v>
      </c>
      <c r="E3975">
        <f>IFERROR(VLOOKUP($A3975,原始数据_收盘!$A$4:$G$3460,5,0),"")</f>
        <v>2.8529</v>
      </c>
      <c r="F3975">
        <f>IFERROR(VLOOKUP($A3975,原始数据_收盘!$A$4:$G$3460,6,0),"")</f>
        <v>2.5814</v>
      </c>
      <c r="G3975">
        <f>IFERROR(VLOOKUP($A3975,原始数据_收盘!$A$4:$G$3460,7,0),"")</f>
        <v>2.8502</v>
      </c>
      <c r="H3975">
        <f>IFERROR(VLOOKUP($A3975,原始数据_利率互换_FR007_1年!$A$6:$C$4395,2,0),"")</f>
        <v>2.5813</v>
      </c>
      <c r="I3975">
        <f>IFERROR(VLOOKUP($A3975,原始数据_利率互换_FR007_1年!$A$6:$C$4395,3,0),"")</f>
        <v>2.8422</v>
      </c>
    </row>
    <row r="3976" spans="1:9">
      <c r="A3976" s="6">
        <v>43469</v>
      </c>
      <c r="B3976">
        <f>IFERROR(VLOOKUP($A3976,原始数据_收盘!$A$4:$G$3460,2,0),"")</f>
        <v>2.57</v>
      </c>
      <c r="C3976">
        <f>IFERROR(VLOOKUP($A3976,原始数据_收盘!$A$4:$G$3460,3,0),"")</f>
        <v>2.87</v>
      </c>
      <c r="D3976">
        <f>IFERROR(VLOOKUP($A3976,原始数据_收盘!$A$4:$G$3460,4,0),"")</f>
        <v>2.5728</v>
      </c>
      <c r="E3976">
        <f>IFERROR(VLOOKUP($A3976,原始数据_收盘!$A$4:$G$3460,5,0),"")</f>
        <v>2.8772</v>
      </c>
      <c r="F3976">
        <f>IFERROR(VLOOKUP($A3976,原始数据_收盘!$A$4:$G$3460,6,0),"")</f>
        <v>2.5714</v>
      </c>
      <c r="G3976">
        <f>IFERROR(VLOOKUP($A3976,原始数据_收盘!$A$4:$G$3460,7,0),"")</f>
        <v>2.8736</v>
      </c>
      <c r="H3976">
        <f>IFERROR(VLOOKUP($A3976,原始数据_利率互换_FR007_1年!$A$6:$C$4395,2,0),"")</f>
        <v>2.5845</v>
      </c>
      <c r="I3976">
        <f>IFERROR(VLOOKUP($A3976,原始数据_利率互换_FR007_1年!$A$6:$C$4395,3,0),"")</f>
        <v>2.8647</v>
      </c>
    </row>
    <row r="3977" spans="1:9">
      <c r="A3977" s="6">
        <v>43470</v>
      </c>
      <c r="B3977" t="str">
        <f>IFERROR(VLOOKUP($A3977,原始数据_收盘!$A$4:$G$3460,2,0),"")</f>
        <v/>
      </c>
      <c r="C3977" t="str">
        <f>IFERROR(VLOOKUP($A3977,原始数据_收盘!$A$4:$G$3460,3,0),"")</f>
        <v/>
      </c>
      <c r="D3977" t="str">
        <f>IFERROR(VLOOKUP($A3977,原始数据_收盘!$A$4:$G$3460,4,0),"")</f>
        <v/>
      </c>
      <c r="E3977" t="str">
        <f>IFERROR(VLOOKUP($A3977,原始数据_收盘!$A$4:$G$3460,5,0),"")</f>
        <v/>
      </c>
      <c r="F3977" t="str">
        <f>IFERROR(VLOOKUP($A3977,原始数据_收盘!$A$4:$G$3460,6,0),"")</f>
        <v/>
      </c>
      <c r="G3977" t="str">
        <f>IFERROR(VLOOKUP($A3977,原始数据_收盘!$A$4:$G$3460,7,0),"")</f>
        <v/>
      </c>
      <c r="H3977" t="str">
        <f>IFERROR(VLOOKUP($A3977,原始数据_利率互换_FR007_1年!$A$6:$C$4395,2,0),"")</f>
        <v/>
      </c>
      <c r="I3977" t="str">
        <f>IFERROR(VLOOKUP($A3977,原始数据_利率互换_FR007_1年!$A$6:$C$4395,3,0),"")</f>
        <v/>
      </c>
    </row>
    <row r="3978" spans="1:9">
      <c r="A3978" s="6">
        <v>43471</v>
      </c>
      <c r="B3978" t="str">
        <f>IFERROR(VLOOKUP($A3978,原始数据_收盘!$A$4:$G$3460,2,0),"")</f>
        <v/>
      </c>
      <c r="C3978" t="str">
        <f>IFERROR(VLOOKUP($A3978,原始数据_收盘!$A$4:$G$3460,3,0),"")</f>
        <v/>
      </c>
      <c r="D3978" t="str">
        <f>IFERROR(VLOOKUP($A3978,原始数据_收盘!$A$4:$G$3460,4,0),"")</f>
        <v/>
      </c>
      <c r="E3978" t="str">
        <f>IFERROR(VLOOKUP($A3978,原始数据_收盘!$A$4:$G$3460,5,0),"")</f>
        <v/>
      </c>
      <c r="F3978" t="str">
        <f>IFERROR(VLOOKUP($A3978,原始数据_收盘!$A$4:$G$3460,6,0),"")</f>
        <v/>
      </c>
      <c r="G3978" t="str">
        <f>IFERROR(VLOOKUP($A3978,原始数据_收盘!$A$4:$G$3460,7,0),"")</f>
        <v/>
      </c>
      <c r="H3978" t="str">
        <f>IFERROR(VLOOKUP($A3978,原始数据_利率互换_FR007_1年!$A$6:$C$4395,2,0),"")</f>
        <v/>
      </c>
      <c r="I3978" t="str">
        <f>IFERROR(VLOOKUP($A3978,原始数据_利率互换_FR007_1年!$A$6:$C$4395,3,0),"")</f>
        <v/>
      </c>
    </row>
    <row r="3979" spans="1:9">
      <c r="A3979" s="6">
        <v>43472</v>
      </c>
      <c r="B3979">
        <f>IFERROR(VLOOKUP($A3979,原始数据_收盘!$A$4:$G$3460,2,0),"")</f>
        <v>2.5229</v>
      </c>
      <c r="C3979">
        <f>IFERROR(VLOOKUP($A3979,原始数据_收盘!$A$4:$G$3460,3,0),"")</f>
        <v>2.8507</v>
      </c>
      <c r="D3979">
        <f>IFERROR(VLOOKUP($A3979,原始数据_收盘!$A$4:$G$3460,4,0),"")</f>
        <v>2.5291</v>
      </c>
      <c r="E3979">
        <f>IFERROR(VLOOKUP($A3979,原始数据_收盘!$A$4:$G$3460,5,0),"")</f>
        <v>2.8541</v>
      </c>
      <c r="F3979">
        <f>IFERROR(VLOOKUP($A3979,原始数据_收盘!$A$4:$G$3460,6,0),"")</f>
        <v>2.526</v>
      </c>
      <c r="G3979">
        <f>IFERROR(VLOOKUP($A3979,原始数据_收盘!$A$4:$G$3460,7,0),"")</f>
        <v>2.8524</v>
      </c>
      <c r="H3979">
        <f>IFERROR(VLOOKUP($A3979,原始数据_利率互换_FR007_1年!$A$6:$C$4395,2,0),"")</f>
        <v>2.5448</v>
      </c>
      <c r="I3979">
        <f>IFERROR(VLOOKUP($A3979,原始数据_利率互换_FR007_1年!$A$6:$C$4395,3,0),"")</f>
        <v>2.871</v>
      </c>
    </row>
    <row r="3980" spans="1:9">
      <c r="A3980" s="6">
        <v>43473</v>
      </c>
      <c r="B3980">
        <f>IFERROR(VLOOKUP($A3980,原始数据_收盘!$A$4:$G$3460,2,0),"")</f>
        <v>2.4759</v>
      </c>
      <c r="C3980">
        <f>IFERROR(VLOOKUP($A3980,原始数据_收盘!$A$4:$G$3460,3,0),"")</f>
        <v>2.8278</v>
      </c>
      <c r="D3980">
        <f>IFERROR(VLOOKUP($A3980,原始数据_收盘!$A$4:$G$3460,4,0),"")</f>
        <v>2.4891</v>
      </c>
      <c r="E3980">
        <f>IFERROR(VLOOKUP($A3980,原始数据_收盘!$A$4:$G$3460,5,0),"")</f>
        <v>2.8305</v>
      </c>
      <c r="F3980">
        <f>IFERROR(VLOOKUP($A3980,原始数据_收盘!$A$4:$G$3460,6,0),"")</f>
        <v>2.4825</v>
      </c>
      <c r="G3980">
        <f>IFERROR(VLOOKUP($A3980,原始数据_收盘!$A$4:$G$3460,7,0),"")</f>
        <v>2.8292</v>
      </c>
      <c r="H3980">
        <f>IFERROR(VLOOKUP($A3980,原始数据_利率互换_FR007_1年!$A$6:$C$4395,2,0),"")</f>
        <v>2.4703</v>
      </c>
      <c r="I3980">
        <f>IFERROR(VLOOKUP($A3980,原始数据_利率互换_FR007_1年!$A$6:$C$4395,3,0),"")</f>
        <v>2.8288</v>
      </c>
    </row>
    <row r="3981" spans="1:9">
      <c r="A3981" s="6">
        <v>43474</v>
      </c>
      <c r="B3981">
        <f>IFERROR(VLOOKUP($A3981,原始数据_收盘!$A$4:$G$3460,2,0),"")</f>
        <v>2.4875</v>
      </c>
      <c r="C3981">
        <f>IFERROR(VLOOKUP($A3981,原始数据_收盘!$A$4:$G$3460,3,0),"")</f>
        <v>2.827</v>
      </c>
      <c r="D3981">
        <f>IFERROR(VLOOKUP($A3981,原始数据_收盘!$A$4:$G$3460,4,0),"")</f>
        <v>2.4975</v>
      </c>
      <c r="E3981">
        <f>IFERROR(VLOOKUP($A3981,原始数据_收盘!$A$4:$G$3460,5,0),"")</f>
        <v>2.828</v>
      </c>
      <c r="F3981">
        <f>IFERROR(VLOOKUP($A3981,原始数据_收盘!$A$4:$G$3460,6,0),"")</f>
        <v>2.4925</v>
      </c>
      <c r="G3981">
        <f>IFERROR(VLOOKUP($A3981,原始数据_收盘!$A$4:$G$3460,7,0),"")</f>
        <v>2.8275</v>
      </c>
      <c r="H3981">
        <f>IFERROR(VLOOKUP($A3981,原始数据_利率互换_FR007_1年!$A$6:$C$4395,2,0),"")</f>
        <v>2.4953</v>
      </c>
      <c r="I3981">
        <f>IFERROR(VLOOKUP($A3981,原始数据_利率互换_FR007_1年!$A$6:$C$4395,3,0),"")</f>
        <v>2.8266</v>
      </c>
    </row>
    <row r="3982" spans="1:9">
      <c r="A3982" s="6">
        <v>43475</v>
      </c>
      <c r="B3982">
        <f>IFERROR(VLOOKUP($A3982,原始数据_收盘!$A$4:$G$3460,2,0),"")</f>
        <v>2.5225</v>
      </c>
      <c r="C3982">
        <f>IFERROR(VLOOKUP($A3982,原始数据_收盘!$A$4:$G$3460,3,0),"")</f>
        <v>2.8575</v>
      </c>
      <c r="D3982">
        <f>IFERROR(VLOOKUP($A3982,原始数据_收盘!$A$4:$G$3460,4,0),"")</f>
        <v>2.5325</v>
      </c>
      <c r="E3982">
        <f>IFERROR(VLOOKUP($A3982,原始数据_收盘!$A$4:$G$3460,5,0),"")</f>
        <v>2.86</v>
      </c>
      <c r="F3982">
        <f>IFERROR(VLOOKUP($A3982,原始数据_收盘!$A$4:$G$3460,6,0),"")</f>
        <v>2.5275</v>
      </c>
      <c r="G3982">
        <f>IFERROR(VLOOKUP($A3982,原始数据_收盘!$A$4:$G$3460,7,0),"")</f>
        <v>2.8588</v>
      </c>
      <c r="H3982">
        <f>IFERROR(VLOOKUP($A3982,原始数据_利率互换_FR007_1年!$A$6:$C$4395,2,0),"")</f>
        <v>2.5213</v>
      </c>
      <c r="I3982">
        <f>IFERROR(VLOOKUP($A3982,原始数据_利率互换_FR007_1年!$A$6:$C$4395,3,0),"")</f>
        <v>2.8415</v>
      </c>
    </row>
    <row r="3983" spans="1:9">
      <c r="A3983" s="6">
        <v>43476</v>
      </c>
      <c r="B3983">
        <f>IFERROR(VLOOKUP($A3983,原始数据_收盘!$A$4:$G$3460,2,0),"")</f>
        <v>2.4949</v>
      </c>
      <c r="C3983">
        <f>IFERROR(VLOOKUP($A3983,原始数据_收盘!$A$4:$G$3460,3,0),"")</f>
        <v>2.8315</v>
      </c>
      <c r="D3983">
        <f>IFERROR(VLOOKUP($A3983,原始数据_收盘!$A$4:$G$3460,4,0),"")</f>
        <v>2.5077</v>
      </c>
      <c r="E3983">
        <f>IFERROR(VLOOKUP($A3983,原始数据_收盘!$A$4:$G$3460,5,0),"")</f>
        <v>2.8332</v>
      </c>
      <c r="F3983">
        <f>IFERROR(VLOOKUP($A3983,原始数据_收盘!$A$4:$G$3460,6,0),"")</f>
        <v>2.5013</v>
      </c>
      <c r="G3983">
        <f>IFERROR(VLOOKUP($A3983,原始数据_收盘!$A$4:$G$3460,7,0),"")</f>
        <v>2.8324</v>
      </c>
      <c r="H3983">
        <f>IFERROR(VLOOKUP($A3983,原始数据_利率互换_FR007_1年!$A$6:$C$4395,2,0),"")</f>
        <v>2.5111</v>
      </c>
      <c r="I3983">
        <f>IFERROR(VLOOKUP($A3983,原始数据_利率互换_FR007_1年!$A$6:$C$4395,3,0),"")</f>
        <v>2.8414</v>
      </c>
    </row>
    <row r="3984" spans="1:9">
      <c r="A3984" s="6">
        <v>43477</v>
      </c>
      <c r="B3984" t="str">
        <f>IFERROR(VLOOKUP($A3984,原始数据_收盘!$A$4:$G$3460,2,0),"")</f>
        <v/>
      </c>
      <c r="C3984" t="str">
        <f>IFERROR(VLOOKUP($A3984,原始数据_收盘!$A$4:$G$3460,3,0),"")</f>
        <v/>
      </c>
      <c r="D3984" t="str">
        <f>IFERROR(VLOOKUP($A3984,原始数据_收盘!$A$4:$G$3460,4,0),"")</f>
        <v/>
      </c>
      <c r="E3984" t="str">
        <f>IFERROR(VLOOKUP($A3984,原始数据_收盘!$A$4:$G$3460,5,0),"")</f>
        <v/>
      </c>
      <c r="F3984" t="str">
        <f>IFERROR(VLOOKUP($A3984,原始数据_收盘!$A$4:$G$3460,6,0),"")</f>
        <v/>
      </c>
      <c r="G3984" t="str">
        <f>IFERROR(VLOOKUP($A3984,原始数据_收盘!$A$4:$G$3460,7,0),"")</f>
        <v/>
      </c>
      <c r="H3984" t="str">
        <f>IFERROR(VLOOKUP($A3984,原始数据_利率互换_FR007_1年!$A$6:$C$4395,2,0),"")</f>
        <v/>
      </c>
      <c r="I3984" t="str">
        <f>IFERROR(VLOOKUP($A3984,原始数据_利率互换_FR007_1年!$A$6:$C$4395,3,0),"")</f>
        <v/>
      </c>
    </row>
    <row r="3985" spans="1:9">
      <c r="A3985" s="6">
        <v>43478</v>
      </c>
      <c r="B3985" t="str">
        <f>IFERROR(VLOOKUP($A3985,原始数据_收盘!$A$4:$G$3460,2,0),"")</f>
        <v/>
      </c>
      <c r="C3985" t="str">
        <f>IFERROR(VLOOKUP($A3985,原始数据_收盘!$A$4:$G$3460,3,0),"")</f>
        <v/>
      </c>
      <c r="D3985" t="str">
        <f>IFERROR(VLOOKUP($A3985,原始数据_收盘!$A$4:$G$3460,4,0),"")</f>
        <v/>
      </c>
      <c r="E3985" t="str">
        <f>IFERROR(VLOOKUP($A3985,原始数据_收盘!$A$4:$G$3460,5,0),"")</f>
        <v/>
      </c>
      <c r="F3985" t="str">
        <f>IFERROR(VLOOKUP($A3985,原始数据_收盘!$A$4:$G$3460,6,0),"")</f>
        <v/>
      </c>
      <c r="G3985" t="str">
        <f>IFERROR(VLOOKUP($A3985,原始数据_收盘!$A$4:$G$3460,7,0),"")</f>
        <v/>
      </c>
      <c r="H3985" t="str">
        <f>IFERROR(VLOOKUP($A3985,原始数据_利率互换_FR007_1年!$A$6:$C$4395,2,0),"")</f>
        <v/>
      </c>
      <c r="I3985" t="str">
        <f>IFERROR(VLOOKUP($A3985,原始数据_利率互换_FR007_1年!$A$6:$C$4395,3,0),"")</f>
        <v/>
      </c>
    </row>
    <row r="3986" spans="1:9">
      <c r="A3986" s="6">
        <v>43479</v>
      </c>
      <c r="B3986">
        <f>IFERROR(VLOOKUP($A3986,原始数据_收盘!$A$4:$G$3460,2,0),"")</f>
        <v>2.51</v>
      </c>
      <c r="C3986">
        <f>IFERROR(VLOOKUP($A3986,原始数据_收盘!$A$4:$G$3460,3,0),"")</f>
        <v>2.8325</v>
      </c>
      <c r="D3986">
        <f>IFERROR(VLOOKUP($A3986,原始数据_收盘!$A$4:$G$3460,4,0),"")</f>
        <v>2.5162</v>
      </c>
      <c r="E3986">
        <f>IFERROR(VLOOKUP($A3986,原始数据_收盘!$A$4:$G$3460,5,0),"")</f>
        <v>2.8375</v>
      </c>
      <c r="F3986">
        <f>IFERROR(VLOOKUP($A3986,原始数据_收盘!$A$4:$G$3460,6,0),"")</f>
        <v>2.5131</v>
      </c>
      <c r="G3986">
        <f>IFERROR(VLOOKUP($A3986,原始数据_收盘!$A$4:$G$3460,7,0),"")</f>
        <v>2.835</v>
      </c>
      <c r="H3986">
        <f>IFERROR(VLOOKUP($A3986,原始数据_利率互换_FR007_1年!$A$6:$C$4395,2,0),"")</f>
        <v>2.5273</v>
      </c>
      <c r="I3986">
        <f>IFERROR(VLOOKUP($A3986,原始数据_利率互换_FR007_1年!$A$6:$C$4395,3,0),"")</f>
        <v>2.8411</v>
      </c>
    </row>
    <row r="3987" spans="1:9">
      <c r="A3987" s="6">
        <v>43480</v>
      </c>
      <c r="B3987">
        <f>IFERROR(VLOOKUP($A3987,原始数据_收盘!$A$4:$G$3460,2,0),"")</f>
        <v>2.499</v>
      </c>
      <c r="C3987">
        <f>IFERROR(VLOOKUP($A3987,原始数据_收盘!$A$4:$G$3460,3,0),"")</f>
        <v>2.8219</v>
      </c>
      <c r="D3987">
        <f>IFERROR(VLOOKUP($A3987,原始数据_收盘!$A$4:$G$3460,4,0),"")</f>
        <v>2.5003</v>
      </c>
      <c r="E3987">
        <f>IFERROR(VLOOKUP($A3987,原始数据_收盘!$A$4:$G$3460,5,0),"")</f>
        <v>2.8254</v>
      </c>
      <c r="F3987">
        <f>IFERROR(VLOOKUP($A3987,原始数据_收盘!$A$4:$G$3460,6,0),"")</f>
        <v>2.4997</v>
      </c>
      <c r="G3987">
        <f>IFERROR(VLOOKUP($A3987,原始数据_收盘!$A$4:$G$3460,7,0),"")</f>
        <v>2.8236</v>
      </c>
      <c r="H3987">
        <f>IFERROR(VLOOKUP($A3987,原始数据_利率互换_FR007_1年!$A$6:$C$4395,2,0),"")</f>
        <v>2.5106</v>
      </c>
      <c r="I3987">
        <f>IFERROR(VLOOKUP($A3987,原始数据_利率互换_FR007_1年!$A$6:$C$4395,3,0),"")</f>
        <v>2.8345</v>
      </c>
    </row>
    <row r="3988" spans="1:9">
      <c r="A3988" s="6">
        <v>43481</v>
      </c>
      <c r="B3988">
        <f>IFERROR(VLOOKUP($A3988,原始数据_收盘!$A$4:$G$3460,2,0),"")</f>
        <v>2.485</v>
      </c>
      <c r="C3988">
        <f>IFERROR(VLOOKUP($A3988,原始数据_收盘!$A$4:$G$3460,3,0),"")</f>
        <v>2.7671</v>
      </c>
      <c r="D3988">
        <f>IFERROR(VLOOKUP($A3988,原始数据_收盘!$A$4:$G$3460,4,0),"")</f>
        <v>2.4914</v>
      </c>
      <c r="E3988">
        <f>IFERROR(VLOOKUP($A3988,原始数据_收盘!$A$4:$G$3460,5,0),"")</f>
        <v>2.7752</v>
      </c>
      <c r="F3988">
        <f>IFERROR(VLOOKUP($A3988,原始数据_收盘!$A$4:$G$3460,6,0),"")</f>
        <v>2.4882</v>
      </c>
      <c r="G3988">
        <f>IFERROR(VLOOKUP($A3988,原始数据_收盘!$A$4:$G$3460,7,0),"")</f>
        <v>2.7712</v>
      </c>
      <c r="H3988">
        <f>IFERROR(VLOOKUP($A3988,原始数据_利率互换_FR007_1年!$A$6:$C$4395,2,0),"")</f>
        <v>2.476</v>
      </c>
      <c r="I3988">
        <f>IFERROR(VLOOKUP($A3988,原始数据_利率互换_FR007_1年!$A$6:$C$4395,3,0),"")</f>
        <v>2.7756</v>
      </c>
    </row>
    <row r="3989" spans="1:9">
      <c r="A3989" s="6">
        <v>43482</v>
      </c>
      <c r="B3989">
        <f>IFERROR(VLOOKUP($A3989,原始数据_收盘!$A$4:$G$3460,2,0),"")</f>
        <v>2.485</v>
      </c>
      <c r="C3989">
        <f>IFERROR(VLOOKUP($A3989,原始数据_收盘!$A$4:$G$3460,3,0),"")</f>
        <v>2.765</v>
      </c>
      <c r="D3989">
        <f>IFERROR(VLOOKUP($A3989,原始数据_收盘!$A$4:$G$3460,4,0),"")</f>
        <v>2.4889</v>
      </c>
      <c r="E3989">
        <f>IFERROR(VLOOKUP($A3989,原始数据_收盘!$A$4:$G$3460,5,0),"")</f>
        <v>2.77</v>
      </c>
      <c r="F3989">
        <f>IFERROR(VLOOKUP($A3989,原始数据_收盘!$A$4:$G$3460,6,0),"")</f>
        <v>2.4869</v>
      </c>
      <c r="G3989">
        <f>IFERROR(VLOOKUP($A3989,原始数据_收盘!$A$4:$G$3460,7,0),"")</f>
        <v>2.7675</v>
      </c>
      <c r="H3989">
        <f>IFERROR(VLOOKUP($A3989,原始数据_利率互换_FR007_1年!$A$6:$C$4395,2,0),"")</f>
        <v>2.4809</v>
      </c>
      <c r="I3989">
        <f>IFERROR(VLOOKUP($A3989,原始数据_利率互换_FR007_1年!$A$6:$C$4395,3,0),"")</f>
        <v>2.7692</v>
      </c>
    </row>
    <row r="3990" spans="1:9">
      <c r="A3990" s="6">
        <v>43483</v>
      </c>
      <c r="B3990">
        <f>IFERROR(VLOOKUP($A3990,原始数据_收盘!$A$4:$G$3460,2,0),"")</f>
        <v>2.5228</v>
      </c>
      <c r="C3990">
        <f>IFERROR(VLOOKUP($A3990,原始数据_收盘!$A$4:$G$3460,3,0),"")</f>
        <v>2.8218</v>
      </c>
      <c r="D3990">
        <f>IFERROR(VLOOKUP($A3990,原始数据_收盘!$A$4:$G$3460,4,0),"")</f>
        <v>2.5256</v>
      </c>
      <c r="E3990">
        <f>IFERROR(VLOOKUP($A3990,原始数据_收盘!$A$4:$G$3460,5,0),"")</f>
        <v>2.8244</v>
      </c>
      <c r="F3990">
        <f>IFERROR(VLOOKUP($A3990,原始数据_收盘!$A$4:$G$3460,6,0),"")</f>
        <v>2.5242</v>
      </c>
      <c r="G3990">
        <f>IFERROR(VLOOKUP($A3990,原始数据_收盘!$A$4:$G$3460,7,0),"")</f>
        <v>2.8231</v>
      </c>
      <c r="H3990">
        <f>IFERROR(VLOOKUP($A3990,原始数据_利率互换_FR007_1年!$A$6:$C$4395,2,0),"")</f>
        <v>2.5076</v>
      </c>
      <c r="I3990">
        <f>IFERROR(VLOOKUP($A3990,原始数据_利率互换_FR007_1年!$A$6:$C$4395,3,0),"")</f>
        <v>2.8028</v>
      </c>
    </row>
    <row r="3991" spans="1:9">
      <c r="A3991" s="6">
        <v>43484</v>
      </c>
      <c r="B3991" t="str">
        <f>IFERROR(VLOOKUP($A3991,原始数据_收盘!$A$4:$G$3460,2,0),"")</f>
        <v/>
      </c>
      <c r="C3991" t="str">
        <f>IFERROR(VLOOKUP($A3991,原始数据_收盘!$A$4:$G$3460,3,0),"")</f>
        <v/>
      </c>
      <c r="D3991" t="str">
        <f>IFERROR(VLOOKUP($A3991,原始数据_收盘!$A$4:$G$3460,4,0),"")</f>
        <v/>
      </c>
      <c r="E3991" t="str">
        <f>IFERROR(VLOOKUP($A3991,原始数据_收盘!$A$4:$G$3460,5,0),"")</f>
        <v/>
      </c>
      <c r="F3991" t="str">
        <f>IFERROR(VLOOKUP($A3991,原始数据_收盘!$A$4:$G$3460,6,0),"")</f>
        <v/>
      </c>
      <c r="G3991" t="str">
        <f>IFERROR(VLOOKUP($A3991,原始数据_收盘!$A$4:$G$3460,7,0),"")</f>
        <v/>
      </c>
      <c r="H3991" t="str">
        <f>IFERROR(VLOOKUP($A3991,原始数据_利率互换_FR007_1年!$A$6:$C$4395,2,0),"")</f>
        <v/>
      </c>
      <c r="I3991" t="str">
        <f>IFERROR(VLOOKUP($A3991,原始数据_利率互换_FR007_1年!$A$6:$C$4395,3,0),"")</f>
        <v/>
      </c>
    </row>
    <row r="3992" spans="1:9">
      <c r="A3992" s="6">
        <v>43485</v>
      </c>
      <c r="B3992" t="str">
        <f>IFERROR(VLOOKUP($A3992,原始数据_收盘!$A$4:$G$3460,2,0),"")</f>
        <v/>
      </c>
      <c r="C3992" t="str">
        <f>IFERROR(VLOOKUP($A3992,原始数据_收盘!$A$4:$G$3460,3,0),"")</f>
        <v/>
      </c>
      <c r="D3992" t="str">
        <f>IFERROR(VLOOKUP($A3992,原始数据_收盘!$A$4:$G$3460,4,0),"")</f>
        <v/>
      </c>
      <c r="E3992" t="str">
        <f>IFERROR(VLOOKUP($A3992,原始数据_收盘!$A$4:$G$3460,5,0),"")</f>
        <v/>
      </c>
      <c r="F3992" t="str">
        <f>IFERROR(VLOOKUP($A3992,原始数据_收盘!$A$4:$G$3460,6,0),"")</f>
        <v/>
      </c>
      <c r="G3992" t="str">
        <f>IFERROR(VLOOKUP($A3992,原始数据_收盘!$A$4:$G$3460,7,0),"")</f>
        <v/>
      </c>
      <c r="H3992" t="str">
        <f>IFERROR(VLOOKUP($A3992,原始数据_利率互换_FR007_1年!$A$6:$C$4395,2,0),"")</f>
        <v/>
      </c>
      <c r="I3992" t="str">
        <f>IFERROR(VLOOKUP($A3992,原始数据_利率互换_FR007_1年!$A$6:$C$4395,3,0),"")</f>
        <v/>
      </c>
    </row>
    <row r="3993" spans="1:9">
      <c r="A3993" s="6">
        <v>43486</v>
      </c>
      <c r="B3993">
        <f>IFERROR(VLOOKUP($A3993,原始数据_收盘!$A$4:$G$3460,2,0),"")</f>
        <v>2.5283</v>
      </c>
      <c r="C3993">
        <f>IFERROR(VLOOKUP($A3993,原始数据_收盘!$A$4:$G$3460,3,0),"")</f>
        <v>2.842</v>
      </c>
      <c r="D3993">
        <f>IFERROR(VLOOKUP($A3993,原始数据_收盘!$A$4:$G$3460,4,0),"")</f>
        <v>2.53</v>
      </c>
      <c r="E3993">
        <f>IFERROR(VLOOKUP($A3993,原始数据_收盘!$A$4:$G$3460,5,0),"")</f>
        <v>2.8441</v>
      </c>
      <c r="F3993">
        <f>IFERROR(VLOOKUP($A3993,原始数据_收盘!$A$4:$G$3460,6,0),"")</f>
        <v>2.5291</v>
      </c>
      <c r="G3993">
        <f>IFERROR(VLOOKUP($A3993,原始数据_收盘!$A$4:$G$3460,7,0),"")</f>
        <v>2.843</v>
      </c>
      <c r="H3993">
        <f>IFERROR(VLOOKUP($A3993,原始数据_利率互换_FR007_1年!$A$6:$C$4395,2,0),"")</f>
        <v>2.5284</v>
      </c>
      <c r="I3993">
        <f>IFERROR(VLOOKUP($A3993,原始数据_利率互换_FR007_1年!$A$6:$C$4395,3,0),"")</f>
        <v>2.8367</v>
      </c>
    </row>
    <row r="3994" spans="1:9">
      <c r="A3994" s="6">
        <v>43487</v>
      </c>
      <c r="B3994">
        <f>IFERROR(VLOOKUP($A3994,原始数据_收盘!$A$4:$G$3460,2,0),"")</f>
        <v>2.525</v>
      </c>
      <c r="C3994">
        <f>IFERROR(VLOOKUP($A3994,原始数据_收盘!$A$4:$G$3460,3,0),"")</f>
        <v>2.8423</v>
      </c>
      <c r="D3994">
        <f>IFERROR(VLOOKUP($A3994,原始数据_收盘!$A$4:$G$3460,4,0),"")</f>
        <v>2.5291</v>
      </c>
      <c r="E3994">
        <f>IFERROR(VLOOKUP($A3994,原始数据_收盘!$A$4:$G$3460,5,0),"")</f>
        <v>2.8473</v>
      </c>
      <c r="F3994">
        <f>IFERROR(VLOOKUP($A3994,原始数据_收盘!$A$4:$G$3460,6,0),"")</f>
        <v>2.5271</v>
      </c>
      <c r="G3994">
        <f>IFERROR(VLOOKUP($A3994,原始数据_收盘!$A$4:$G$3460,7,0),"")</f>
        <v>2.8448</v>
      </c>
      <c r="H3994">
        <f>IFERROR(VLOOKUP($A3994,原始数据_利率互换_FR007_1年!$A$6:$C$4395,2,0),"")</f>
        <v>2.5412</v>
      </c>
      <c r="I3994">
        <f>IFERROR(VLOOKUP($A3994,原始数据_利率互换_FR007_1年!$A$6:$C$4395,3,0),"")</f>
        <v>2.8538</v>
      </c>
    </row>
    <row r="3995" spans="1:9">
      <c r="A3995" s="6">
        <v>43488</v>
      </c>
      <c r="B3995">
        <f>IFERROR(VLOOKUP($A3995,原始数据_收盘!$A$4:$G$3460,2,0),"")</f>
        <v>2.53</v>
      </c>
      <c r="C3995">
        <f>IFERROR(VLOOKUP($A3995,原始数据_收盘!$A$4:$G$3460,3,0),"")</f>
        <v>2.8536</v>
      </c>
      <c r="D3995">
        <f>IFERROR(VLOOKUP($A3995,原始数据_收盘!$A$4:$G$3460,4,0),"")</f>
        <v>2.5375</v>
      </c>
      <c r="E3995">
        <f>IFERROR(VLOOKUP($A3995,原始数据_收盘!$A$4:$G$3460,5,0),"")</f>
        <v>2.8564</v>
      </c>
      <c r="F3995">
        <f>IFERROR(VLOOKUP($A3995,原始数据_收盘!$A$4:$G$3460,6,0),"")</f>
        <v>2.5338</v>
      </c>
      <c r="G3995">
        <f>IFERROR(VLOOKUP($A3995,原始数据_收盘!$A$4:$G$3460,7,0),"")</f>
        <v>2.855</v>
      </c>
      <c r="H3995">
        <f>IFERROR(VLOOKUP($A3995,原始数据_利率互换_FR007_1年!$A$6:$C$4395,2,0),"")</f>
        <v>2.5314</v>
      </c>
      <c r="I3995">
        <f>IFERROR(VLOOKUP($A3995,原始数据_利率互换_FR007_1年!$A$6:$C$4395,3,0),"")</f>
        <v>2.8484</v>
      </c>
    </row>
    <row r="3996" spans="1:9">
      <c r="A3996" s="6">
        <v>43489</v>
      </c>
      <c r="B3996">
        <f>IFERROR(VLOOKUP($A3996,原始数据_收盘!$A$4:$G$3460,2,0),"")</f>
        <v>2.5368</v>
      </c>
      <c r="C3996">
        <f>IFERROR(VLOOKUP($A3996,原始数据_收盘!$A$4:$G$3460,3,0),"")</f>
        <v>2.8525</v>
      </c>
      <c r="D3996">
        <f>IFERROR(VLOOKUP($A3996,原始数据_收盘!$A$4:$G$3460,4,0),"")</f>
        <v>2.545</v>
      </c>
      <c r="E3996">
        <f>IFERROR(VLOOKUP($A3996,原始数据_收盘!$A$4:$G$3460,5,0),"")</f>
        <v>2.855</v>
      </c>
      <c r="F3996">
        <f>IFERROR(VLOOKUP($A3996,原始数据_收盘!$A$4:$G$3460,6,0),"")</f>
        <v>2.5409</v>
      </c>
      <c r="G3996">
        <f>IFERROR(VLOOKUP($A3996,原始数据_收盘!$A$4:$G$3460,7,0),"")</f>
        <v>2.8538</v>
      </c>
      <c r="H3996">
        <f>IFERROR(VLOOKUP($A3996,原始数据_利率互换_FR007_1年!$A$6:$C$4395,2,0),"")</f>
        <v>2.5419</v>
      </c>
      <c r="I3996">
        <f>IFERROR(VLOOKUP($A3996,原始数据_利率互换_FR007_1年!$A$6:$C$4395,3,0),"")</f>
        <v>2.8514</v>
      </c>
    </row>
    <row r="3997" spans="1:9">
      <c r="A3997" s="6">
        <v>43490</v>
      </c>
      <c r="B3997">
        <f>IFERROR(VLOOKUP($A3997,原始数据_收盘!$A$4:$G$3460,2,0),"")</f>
        <v>2.545</v>
      </c>
      <c r="C3997">
        <f>IFERROR(VLOOKUP($A3997,原始数据_收盘!$A$4:$G$3460,3,0),"")</f>
        <v>2.875</v>
      </c>
      <c r="D3997">
        <f>IFERROR(VLOOKUP($A3997,原始数据_收盘!$A$4:$G$3460,4,0),"")</f>
        <v>2.5478</v>
      </c>
      <c r="E3997">
        <f>IFERROR(VLOOKUP($A3997,原始数据_收盘!$A$4:$G$3460,5,0),"")</f>
        <v>2.8797</v>
      </c>
      <c r="F3997">
        <f>IFERROR(VLOOKUP($A3997,原始数据_收盘!$A$4:$G$3460,6,0),"")</f>
        <v>2.5464</v>
      </c>
      <c r="G3997">
        <f>IFERROR(VLOOKUP($A3997,原始数据_收盘!$A$4:$G$3460,7,0),"")</f>
        <v>2.8773</v>
      </c>
      <c r="H3997">
        <f>IFERROR(VLOOKUP($A3997,原始数据_利率互换_FR007_1年!$A$6:$C$4395,2,0),"")</f>
        <v>2.551</v>
      </c>
      <c r="I3997">
        <f>IFERROR(VLOOKUP($A3997,原始数据_利率互换_FR007_1年!$A$6:$C$4395,3,0),"")</f>
        <v>2.8778</v>
      </c>
    </row>
    <row r="3998" spans="1:9">
      <c r="A3998" s="6">
        <v>43491</v>
      </c>
      <c r="B3998" t="str">
        <f>IFERROR(VLOOKUP($A3998,原始数据_收盘!$A$4:$G$3460,2,0),"")</f>
        <v/>
      </c>
      <c r="C3998" t="str">
        <f>IFERROR(VLOOKUP($A3998,原始数据_收盘!$A$4:$G$3460,3,0),"")</f>
        <v/>
      </c>
      <c r="D3998" t="str">
        <f>IFERROR(VLOOKUP($A3998,原始数据_收盘!$A$4:$G$3460,4,0),"")</f>
        <v/>
      </c>
      <c r="E3998" t="str">
        <f>IFERROR(VLOOKUP($A3998,原始数据_收盘!$A$4:$G$3460,5,0),"")</f>
        <v/>
      </c>
      <c r="F3998" t="str">
        <f>IFERROR(VLOOKUP($A3998,原始数据_收盘!$A$4:$G$3460,6,0),"")</f>
        <v/>
      </c>
      <c r="G3998" t="str">
        <f>IFERROR(VLOOKUP($A3998,原始数据_收盘!$A$4:$G$3460,7,0),"")</f>
        <v/>
      </c>
      <c r="H3998" t="str">
        <f>IFERROR(VLOOKUP($A3998,原始数据_利率互换_FR007_1年!$A$6:$C$4395,2,0),"")</f>
        <v/>
      </c>
      <c r="I3998" t="str">
        <f>IFERROR(VLOOKUP($A3998,原始数据_利率互换_FR007_1年!$A$6:$C$4395,3,0),"")</f>
        <v/>
      </c>
    </row>
    <row r="3999" spans="1:9">
      <c r="A3999" s="6">
        <v>43492</v>
      </c>
      <c r="B3999" t="str">
        <f>IFERROR(VLOOKUP($A3999,原始数据_收盘!$A$4:$G$3460,2,0),"")</f>
        <v/>
      </c>
      <c r="C3999" t="str">
        <f>IFERROR(VLOOKUP($A3999,原始数据_收盘!$A$4:$G$3460,3,0),"")</f>
        <v/>
      </c>
      <c r="D3999" t="str">
        <f>IFERROR(VLOOKUP($A3999,原始数据_收盘!$A$4:$G$3460,4,0),"")</f>
        <v/>
      </c>
      <c r="E3999" t="str">
        <f>IFERROR(VLOOKUP($A3999,原始数据_收盘!$A$4:$G$3460,5,0),"")</f>
        <v/>
      </c>
      <c r="F3999" t="str">
        <f>IFERROR(VLOOKUP($A3999,原始数据_收盘!$A$4:$G$3460,6,0),"")</f>
        <v/>
      </c>
      <c r="G3999" t="str">
        <f>IFERROR(VLOOKUP($A3999,原始数据_收盘!$A$4:$G$3460,7,0),"")</f>
        <v/>
      </c>
      <c r="H3999" t="str">
        <f>IFERROR(VLOOKUP($A3999,原始数据_利率互换_FR007_1年!$A$6:$C$4395,2,0),"")</f>
        <v/>
      </c>
      <c r="I3999" t="str">
        <f>IFERROR(VLOOKUP($A3999,原始数据_利率互换_FR007_1年!$A$6:$C$4395,3,0),"")</f>
        <v/>
      </c>
    </row>
    <row r="4000" spans="1:9">
      <c r="A4000" s="6">
        <v>43493</v>
      </c>
      <c r="B4000">
        <f>IFERROR(VLOOKUP($A4000,原始数据_收盘!$A$4:$G$3460,2,0),"")</f>
        <v>2.5325</v>
      </c>
      <c r="C4000">
        <f>IFERROR(VLOOKUP($A4000,原始数据_收盘!$A$4:$G$3460,3,0),"")</f>
        <v>2.865</v>
      </c>
      <c r="D4000">
        <f>IFERROR(VLOOKUP($A4000,原始数据_收盘!$A$4:$G$3460,4,0),"")</f>
        <v>2.54</v>
      </c>
      <c r="E4000">
        <f>IFERROR(VLOOKUP($A4000,原始数据_收盘!$A$4:$G$3460,5,0),"")</f>
        <v>2.8675</v>
      </c>
      <c r="F4000">
        <f>IFERROR(VLOOKUP($A4000,原始数据_收盘!$A$4:$G$3460,6,0),"")</f>
        <v>2.5363</v>
      </c>
      <c r="G4000">
        <f>IFERROR(VLOOKUP($A4000,原始数据_收盘!$A$4:$G$3460,7,0),"")</f>
        <v>2.8663</v>
      </c>
      <c r="H4000">
        <f>IFERROR(VLOOKUP($A4000,原始数据_利率互换_FR007_1年!$A$6:$C$4395,2,0),"")</f>
        <v>2.5414</v>
      </c>
      <c r="I4000">
        <f>IFERROR(VLOOKUP($A4000,原始数据_利率互换_FR007_1年!$A$6:$C$4395,3,0),"")</f>
        <v>2.8764</v>
      </c>
    </row>
    <row r="4001" spans="1:9">
      <c r="A4001" s="6">
        <v>43494</v>
      </c>
      <c r="B4001">
        <f>IFERROR(VLOOKUP($A4001,原始数据_收盘!$A$4:$G$3460,2,0),"")</f>
        <v>2.5272</v>
      </c>
      <c r="C4001">
        <f>IFERROR(VLOOKUP($A4001,原始数据_收盘!$A$4:$G$3460,3,0),"")</f>
        <v>2.8417</v>
      </c>
      <c r="D4001">
        <f>IFERROR(VLOOKUP($A4001,原始数据_收盘!$A$4:$G$3460,4,0),"")</f>
        <v>2.5313</v>
      </c>
      <c r="E4001">
        <f>IFERROR(VLOOKUP($A4001,原始数据_收盘!$A$4:$G$3460,5,0),"")</f>
        <v>2.8433</v>
      </c>
      <c r="F4001">
        <f>IFERROR(VLOOKUP($A4001,原始数据_收盘!$A$4:$G$3460,6,0),"")</f>
        <v>2.5292</v>
      </c>
      <c r="G4001">
        <f>IFERROR(VLOOKUP($A4001,原始数据_收盘!$A$4:$G$3460,7,0),"")</f>
        <v>2.8425</v>
      </c>
      <c r="H4001">
        <f>IFERROR(VLOOKUP($A4001,原始数据_利率互换_FR007_1年!$A$6:$C$4395,2,0),"")</f>
        <v>2.5341</v>
      </c>
      <c r="I4001">
        <f>IFERROR(VLOOKUP($A4001,原始数据_利率互换_FR007_1年!$A$6:$C$4395,3,0),"")</f>
        <v>2.8503</v>
      </c>
    </row>
    <row r="4002" spans="1:9">
      <c r="A4002" s="6">
        <v>43495</v>
      </c>
      <c r="B4002">
        <f>IFERROR(VLOOKUP($A4002,原始数据_收盘!$A$4:$G$3460,2,0),"")</f>
        <v>2.5211</v>
      </c>
      <c r="C4002">
        <f>IFERROR(VLOOKUP($A4002,原始数据_收盘!$A$4:$G$3460,3,0),"")</f>
        <v>2.8293</v>
      </c>
      <c r="D4002">
        <f>IFERROR(VLOOKUP($A4002,原始数据_收盘!$A$4:$G$3460,4,0),"")</f>
        <v>2.5289</v>
      </c>
      <c r="E4002">
        <f>IFERROR(VLOOKUP($A4002,原始数据_收盘!$A$4:$G$3460,5,0),"")</f>
        <v>2.8325</v>
      </c>
      <c r="F4002">
        <f>IFERROR(VLOOKUP($A4002,原始数据_收盘!$A$4:$G$3460,6,0),"")</f>
        <v>2.525</v>
      </c>
      <c r="G4002">
        <f>IFERROR(VLOOKUP($A4002,原始数据_收盘!$A$4:$G$3460,7,0),"")</f>
        <v>2.8309</v>
      </c>
      <c r="H4002">
        <f>IFERROR(VLOOKUP($A4002,原始数据_利率互换_FR007_1年!$A$6:$C$4395,2,0),"")</f>
        <v>2.5274</v>
      </c>
      <c r="I4002">
        <f>IFERROR(VLOOKUP($A4002,原始数据_利率互换_FR007_1年!$A$6:$C$4395,3,0),"")</f>
        <v>2.836</v>
      </c>
    </row>
    <row r="4003" spans="1:9">
      <c r="A4003" s="6">
        <v>43496</v>
      </c>
      <c r="B4003">
        <f>IFERROR(VLOOKUP($A4003,原始数据_收盘!$A$4:$G$3460,2,0),"")</f>
        <v>2.52</v>
      </c>
      <c r="C4003">
        <f>IFERROR(VLOOKUP($A4003,原始数据_收盘!$A$4:$G$3460,3,0),"")</f>
        <v>2.84</v>
      </c>
      <c r="D4003">
        <f>IFERROR(VLOOKUP($A4003,原始数据_收盘!$A$4:$G$3460,4,0),"")</f>
        <v>2.53</v>
      </c>
      <c r="E4003">
        <f>IFERROR(VLOOKUP($A4003,原始数据_收盘!$A$4:$G$3460,5,0),"")</f>
        <v>2.845</v>
      </c>
      <c r="F4003">
        <f>IFERROR(VLOOKUP($A4003,原始数据_收盘!$A$4:$G$3460,6,0),"")</f>
        <v>2.525</v>
      </c>
      <c r="G4003">
        <f>IFERROR(VLOOKUP($A4003,原始数据_收盘!$A$4:$G$3460,7,0),"")</f>
        <v>2.8425</v>
      </c>
      <c r="H4003">
        <f>IFERROR(VLOOKUP($A4003,原始数据_利率互换_FR007_1年!$A$6:$C$4395,2,0),"")</f>
        <v>2.5254</v>
      </c>
      <c r="I4003">
        <f>IFERROR(VLOOKUP($A4003,原始数据_利率互换_FR007_1年!$A$6:$C$4395,3,0),"")</f>
        <v>2.8325</v>
      </c>
    </row>
    <row r="4004" spans="1:9">
      <c r="A4004" s="6">
        <v>43497</v>
      </c>
      <c r="B4004">
        <f>IFERROR(VLOOKUP($A4004,原始数据_收盘!$A$4:$G$3460,2,0),"")</f>
        <v>2.5075</v>
      </c>
      <c r="C4004">
        <f>IFERROR(VLOOKUP($A4004,原始数据_收盘!$A$4:$G$3460,3,0),"")</f>
        <v>2.815</v>
      </c>
      <c r="D4004">
        <f>IFERROR(VLOOKUP($A4004,原始数据_收盘!$A$4:$G$3460,4,0),"")</f>
        <v>2.5114</v>
      </c>
      <c r="E4004">
        <f>IFERROR(VLOOKUP($A4004,原始数据_收盘!$A$4:$G$3460,5,0),"")</f>
        <v>2.82</v>
      </c>
      <c r="F4004">
        <f>IFERROR(VLOOKUP($A4004,原始数据_收盘!$A$4:$G$3460,6,0),"")</f>
        <v>2.5094</v>
      </c>
      <c r="G4004">
        <f>IFERROR(VLOOKUP($A4004,原始数据_收盘!$A$4:$G$3460,7,0),"")</f>
        <v>2.8175</v>
      </c>
      <c r="H4004">
        <f>IFERROR(VLOOKUP($A4004,原始数据_利率互换_FR007_1年!$A$6:$C$4395,2,0),"")</f>
        <v>2.5444</v>
      </c>
      <c r="I4004">
        <f>IFERROR(VLOOKUP($A4004,原始数据_利率互换_FR007_1年!$A$6:$C$4395,3,0),"")</f>
        <v>2.8272</v>
      </c>
    </row>
    <row r="4005" spans="1:9">
      <c r="A4005" s="6">
        <v>43498</v>
      </c>
      <c r="B4005">
        <f>IFERROR(VLOOKUP($A4005,原始数据_收盘!$A$4:$G$3460,2,0),"")</f>
        <v>2.49</v>
      </c>
      <c r="C4005">
        <f>IFERROR(VLOOKUP($A4005,原始数据_收盘!$A$4:$G$3460,3,0),"")</f>
        <v>2.81</v>
      </c>
      <c r="D4005">
        <f>IFERROR(VLOOKUP($A4005,原始数据_收盘!$A$4:$G$3460,4,0),"")</f>
        <v>2.51</v>
      </c>
      <c r="E4005">
        <f>IFERROR(VLOOKUP($A4005,原始数据_收盘!$A$4:$G$3460,5,0),"")</f>
        <v>2.8275</v>
      </c>
      <c r="F4005">
        <f>IFERROR(VLOOKUP($A4005,原始数据_收盘!$A$4:$G$3460,6,0),"")</f>
        <v>2.5</v>
      </c>
      <c r="G4005">
        <f>IFERROR(VLOOKUP($A4005,原始数据_收盘!$A$4:$G$3460,7,0),"")</f>
        <v>2.8188</v>
      </c>
      <c r="H4005">
        <f>IFERROR(VLOOKUP($A4005,原始数据_利率互换_FR007_1年!$A$6:$C$4395,2,0),"")</f>
        <v>2.5156</v>
      </c>
      <c r="I4005">
        <f>IFERROR(VLOOKUP($A4005,原始数据_利率互换_FR007_1年!$A$6:$C$4395,3,0),"")</f>
        <v>2.835</v>
      </c>
    </row>
    <row r="4006" spans="1:9">
      <c r="A4006" s="6">
        <v>43499</v>
      </c>
      <c r="B4006">
        <f>IFERROR(VLOOKUP($A4006,原始数据_收盘!$A$4:$G$3460,2,0),"")</f>
        <v>2.485</v>
      </c>
      <c r="C4006">
        <f>IFERROR(VLOOKUP($A4006,原始数据_收盘!$A$4:$G$3460,3,0),"")</f>
        <v>2.81</v>
      </c>
      <c r="D4006">
        <f>IFERROR(VLOOKUP($A4006,原始数据_收盘!$A$4:$G$3460,4,0),"")</f>
        <v>2.52</v>
      </c>
      <c r="E4006">
        <f>IFERROR(VLOOKUP($A4006,原始数据_收盘!$A$4:$G$3460,5,0),"")</f>
        <v>2.8275</v>
      </c>
      <c r="F4006">
        <f>IFERROR(VLOOKUP($A4006,原始数据_收盘!$A$4:$G$3460,6,0),"")</f>
        <v>2.5025</v>
      </c>
      <c r="G4006">
        <f>IFERROR(VLOOKUP($A4006,原始数据_收盘!$A$4:$G$3460,7,0),"")</f>
        <v>2.8188</v>
      </c>
      <c r="H4006" t="str">
        <f>IFERROR(VLOOKUP($A4006,原始数据_利率互换_FR007_1年!$A$6:$C$4395,2,0),"")</f>
        <v/>
      </c>
      <c r="I4006" t="str">
        <f>IFERROR(VLOOKUP($A4006,原始数据_利率互换_FR007_1年!$A$6:$C$4395,3,0),"")</f>
        <v/>
      </c>
    </row>
    <row r="4007" spans="1:9">
      <c r="A4007" s="6">
        <v>43500</v>
      </c>
      <c r="B4007" t="str">
        <f>IFERROR(VLOOKUP($A4007,原始数据_收盘!$A$4:$G$3460,2,0),"")</f>
        <v/>
      </c>
      <c r="C4007" t="str">
        <f>IFERROR(VLOOKUP($A4007,原始数据_收盘!$A$4:$G$3460,3,0),"")</f>
        <v/>
      </c>
      <c r="D4007" t="str">
        <f>IFERROR(VLOOKUP($A4007,原始数据_收盘!$A$4:$G$3460,4,0),"")</f>
        <v/>
      </c>
      <c r="E4007" t="str">
        <f>IFERROR(VLOOKUP($A4007,原始数据_收盘!$A$4:$G$3460,5,0),"")</f>
        <v/>
      </c>
      <c r="F4007" t="str">
        <f>IFERROR(VLOOKUP($A4007,原始数据_收盘!$A$4:$G$3460,6,0),"")</f>
        <v/>
      </c>
      <c r="G4007" t="str">
        <f>IFERROR(VLOOKUP($A4007,原始数据_收盘!$A$4:$G$3460,7,0),"")</f>
        <v/>
      </c>
      <c r="H4007" t="str">
        <f>IFERROR(VLOOKUP($A4007,原始数据_利率互换_FR007_1年!$A$6:$C$4395,2,0),"")</f>
        <v/>
      </c>
      <c r="I4007" t="str">
        <f>IFERROR(VLOOKUP($A4007,原始数据_利率互换_FR007_1年!$A$6:$C$4395,3,0),"")</f>
        <v/>
      </c>
    </row>
    <row r="4008" spans="1:9">
      <c r="A4008" s="6">
        <v>43501</v>
      </c>
      <c r="B4008" t="str">
        <f>IFERROR(VLOOKUP($A4008,原始数据_收盘!$A$4:$G$3460,2,0),"")</f>
        <v/>
      </c>
      <c r="C4008" t="str">
        <f>IFERROR(VLOOKUP($A4008,原始数据_收盘!$A$4:$G$3460,3,0),"")</f>
        <v/>
      </c>
      <c r="D4008" t="str">
        <f>IFERROR(VLOOKUP($A4008,原始数据_收盘!$A$4:$G$3460,4,0),"")</f>
        <v/>
      </c>
      <c r="E4008" t="str">
        <f>IFERROR(VLOOKUP($A4008,原始数据_收盘!$A$4:$G$3460,5,0),"")</f>
        <v/>
      </c>
      <c r="F4008" t="str">
        <f>IFERROR(VLOOKUP($A4008,原始数据_收盘!$A$4:$G$3460,6,0),"")</f>
        <v/>
      </c>
      <c r="G4008" t="str">
        <f>IFERROR(VLOOKUP($A4008,原始数据_收盘!$A$4:$G$3460,7,0),"")</f>
        <v/>
      </c>
      <c r="H4008" t="str">
        <f>IFERROR(VLOOKUP($A4008,原始数据_利率互换_FR007_1年!$A$6:$C$4395,2,0),"")</f>
        <v/>
      </c>
      <c r="I4008" t="str">
        <f>IFERROR(VLOOKUP($A4008,原始数据_利率互换_FR007_1年!$A$6:$C$4395,3,0),"")</f>
        <v/>
      </c>
    </row>
    <row r="4009" spans="1:9">
      <c r="A4009" s="6">
        <v>43502</v>
      </c>
      <c r="B4009" t="str">
        <f>IFERROR(VLOOKUP($A4009,原始数据_收盘!$A$4:$G$3460,2,0),"")</f>
        <v/>
      </c>
      <c r="C4009" t="str">
        <f>IFERROR(VLOOKUP($A4009,原始数据_收盘!$A$4:$G$3460,3,0),"")</f>
        <v/>
      </c>
      <c r="D4009" t="str">
        <f>IFERROR(VLOOKUP($A4009,原始数据_收盘!$A$4:$G$3460,4,0),"")</f>
        <v/>
      </c>
      <c r="E4009" t="str">
        <f>IFERROR(VLOOKUP($A4009,原始数据_收盘!$A$4:$G$3460,5,0),"")</f>
        <v/>
      </c>
      <c r="F4009" t="str">
        <f>IFERROR(VLOOKUP($A4009,原始数据_收盘!$A$4:$G$3460,6,0),"")</f>
        <v/>
      </c>
      <c r="G4009" t="str">
        <f>IFERROR(VLOOKUP($A4009,原始数据_收盘!$A$4:$G$3460,7,0),"")</f>
        <v/>
      </c>
      <c r="H4009" t="str">
        <f>IFERROR(VLOOKUP($A4009,原始数据_利率互换_FR007_1年!$A$6:$C$4395,2,0),"")</f>
        <v/>
      </c>
      <c r="I4009" t="str">
        <f>IFERROR(VLOOKUP($A4009,原始数据_利率互换_FR007_1年!$A$6:$C$4395,3,0),"")</f>
        <v/>
      </c>
    </row>
    <row r="4010" spans="1:9">
      <c r="A4010" s="6">
        <v>43503</v>
      </c>
      <c r="B4010" t="str">
        <f>IFERROR(VLOOKUP($A4010,原始数据_收盘!$A$4:$G$3460,2,0),"")</f>
        <v/>
      </c>
      <c r="C4010" t="str">
        <f>IFERROR(VLOOKUP($A4010,原始数据_收盘!$A$4:$G$3460,3,0),"")</f>
        <v/>
      </c>
      <c r="D4010" t="str">
        <f>IFERROR(VLOOKUP($A4010,原始数据_收盘!$A$4:$G$3460,4,0),"")</f>
        <v/>
      </c>
      <c r="E4010" t="str">
        <f>IFERROR(VLOOKUP($A4010,原始数据_收盘!$A$4:$G$3460,5,0),"")</f>
        <v/>
      </c>
      <c r="F4010" t="str">
        <f>IFERROR(VLOOKUP($A4010,原始数据_收盘!$A$4:$G$3460,6,0),"")</f>
        <v/>
      </c>
      <c r="G4010" t="str">
        <f>IFERROR(VLOOKUP($A4010,原始数据_收盘!$A$4:$G$3460,7,0),"")</f>
        <v/>
      </c>
      <c r="H4010" t="str">
        <f>IFERROR(VLOOKUP($A4010,原始数据_利率互换_FR007_1年!$A$6:$C$4395,2,0),"")</f>
        <v/>
      </c>
      <c r="I4010" t="str">
        <f>IFERROR(VLOOKUP($A4010,原始数据_利率互换_FR007_1年!$A$6:$C$4395,3,0),"")</f>
        <v/>
      </c>
    </row>
    <row r="4011" spans="1:9">
      <c r="A4011" s="6">
        <v>43504</v>
      </c>
      <c r="B4011" t="str">
        <f>IFERROR(VLOOKUP($A4011,原始数据_收盘!$A$4:$G$3460,2,0),"")</f>
        <v/>
      </c>
      <c r="C4011" t="str">
        <f>IFERROR(VLOOKUP($A4011,原始数据_收盘!$A$4:$G$3460,3,0),"")</f>
        <v/>
      </c>
      <c r="D4011" t="str">
        <f>IFERROR(VLOOKUP($A4011,原始数据_收盘!$A$4:$G$3460,4,0),"")</f>
        <v/>
      </c>
      <c r="E4011" t="str">
        <f>IFERROR(VLOOKUP($A4011,原始数据_收盘!$A$4:$G$3460,5,0),"")</f>
        <v/>
      </c>
      <c r="F4011" t="str">
        <f>IFERROR(VLOOKUP($A4011,原始数据_收盘!$A$4:$G$3460,6,0),"")</f>
        <v/>
      </c>
      <c r="G4011" t="str">
        <f>IFERROR(VLOOKUP($A4011,原始数据_收盘!$A$4:$G$3460,7,0),"")</f>
        <v/>
      </c>
      <c r="H4011" t="str">
        <f>IFERROR(VLOOKUP($A4011,原始数据_利率互换_FR007_1年!$A$6:$C$4395,2,0),"")</f>
        <v/>
      </c>
      <c r="I4011" t="str">
        <f>IFERROR(VLOOKUP($A4011,原始数据_利率互换_FR007_1年!$A$6:$C$4395,3,0),"")</f>
        <v/>
      </c>
    </row>
    <row r="4012" spans="1:9">
      <c r="A4012" s="6">
        <v>43505</v>
      </c>
      <c r="B4012" t="str">
        <f>IFERROR(VLOOKUP($A4012,原始数据_收盘!$A$4:$G$3460,2,0),"")</f>
        <v/>
      </c>
      <c r="C4012" t="str">
        <f>IFERROR(VLOOKUP($A4012,原始数据_收盘!$A$4:$G$3460,3,0),"")</f>
        <v/>
      </c>
      <c r="D4012" t="str">
        <f>IFERROR(VLOOKUP($A4012,原始数据_收盘!$A$4:$G$3460,4,0),"")</f>
        <v/>
      </c>
      <c r="E4012" t="str">
        <f>IFERROR(VLOOKUP($A4012,原始数据_收盘!$A$4:$G$3460,5,0),"")</f>
        <v/>
      </c>
      <c r="F4012" t="str">
        <f>IFERROR(VLOOKUP($A4012,原始数据_收盘!$A$4:$G$3460,6,0),"")</f>
        <v/>
      </c>
      <c r="G4012" t="str">
        <f>IFERROR(VLOOKUP($A4012,原始数据_收盘!$A$4:$G$3460,7,0),"")</f>
        <v/>
      </c>
      <c r="H4012" t="str">
        <f>IFERROR(VLOOKUP($A4012,原始数据_利率互换_FR007_1年!$A$6:$C$4395,2,0),"")</f>
        <v/>
      </c>
      <c r="I4012" t="str">
        <f>IFERROR(VLOOKUP($A4012,原始数据_利率互换_FR007_1年!$A$6:$C$4395,3,0),"")</f>
        <v/>
      </c>
    </row>
    <row r="4013" spans="1:9">
      <c r="A4013" s="6">
        <v>43506</v>
      </c>
      <c r="B4013" t="str">
        <f>IFERROR(VLOOKUP($A4013,原始数据_收盘!$A$4:$G$3460,2,0),"")</f>
        <v/>
      </c>
      <c r="C4013" t="str">
        <f>IFERROR(VLOOKUP($A4013,原始数据_收盘!$A$4:$G$3460,3,0),"")</f>
        <v/>
      </c>
      <c r="D4013" t="str">
        <f>IFERROR(VLOOKUP($A4013,原始数据_收盘!$A$4:$G$3460,4,0),"")</f>
        <v/>
      </c>
      <c r="E4013" t="str">
        <f>IFERROR(VLOOKUP($A4013,原始数据_收盘!$A$4:$G$3460,5,0),"")</f>
        <v/>
      </c>
      <c r="F4013" t="str">
        <f>IFERROR(VLOOKUP($A4013,原始数据_收盘!$A$4:$G$3460,6,0),"")</f>
        <v/>
      </c>
      <c r="G4013" t="str">
        <f>IFERROR(VLOOKUP($A4013,原始数据_收盘!$A$4:$G$3460,7,0),"")</f>
        <v/>
      </c>
      <c r="H4013" t="str">
        <f>IFERROR(VLOOKUP($A4013,原始数据_利率互换_FR007_1年!$A$6:$C$4395,2,0),"")</f>
        <v/>
      </c>
      <c r="I4013" t="str">
        <f>IFERROR(VLOOKUP($A4013,原始数据_利率互换_FR007_1年!$A$6:$C$4395,3,0),"")</f>
        <v/>
      </c>
    </row>
    <row r="4014" spans="1:9">
      <c r="A4014" s="6">
        <v>43507</v>
      </c>
      <c r="B4014">
        <f>IFERROR(VLOOKUP($A4014,原始数据_收盘!$A$4:$G$3460,2,0),"")</f>
        <v>2.4925</v>
      </c>
      <c r="C4014">
        <f>IFERROR(VLOOKUP($A4014,原始数据_收盘!$A$4:$G$3460,3,0),"")</f>
        <v>2.7978</v>
      </c>
      <c r="D4014">
        <f>IFERROR(VLOOKUP($A4014,原始数据_收盘!$A$4:$G$3460,4,0),"")</f>
        <v>2.495</v>
      </c>
      <c r="E4014">
        <f>IFERROR(VLOOKUP($A4014,原始数据_收盘!$A$4:$G$3460,5,0),"")</f>
        <v>2.8025</v>
      </c>
      <c r="F4014">
        <f>IFERROR(VLOOKUP($A4014,原始数据_收盘!$A$4:$G$3460,6,0),"")</f>
        <v>2.4938</v>
      </c>
      <c r="G4014">
        <f>IFERROR(VLOOKUP($A4014,原始数据_收盘!$A$4:$G$3460,7,0),"")</f>
        <v>2.8002</v>
      </c>
      <c r="H4014">
        <f>IFERROR(VLOOKUP($A4014,原始数据_利率互换_FR007_1年!$A$6:$C$4395,2,0),"")</f>
        <v>2.4946</v>
      </c>
      <c r="I4014">
        <f>IFERROR(VLOOKUP($A4014,原始数据_利率互换_FR007_1年!$A$6:$C$4395,3,0),"")</f>
        <v>2.8014</v>
      </c>
    </row>
    <row r="4015" spans="1:9">
      <c r="A4015" s="6">
        <v>43508</v>
      </c>
      <c r="B4015">
        <f>IFERROR(VLOOKUP($A4015,原始数据_收盘!$A$4:$G$3460,2,0),"")</f>
        <v>2.4875</v>
      </c>
      <c r="C4015">
        <f>IFERROR(VLOOKUP($A4015,原始数据_收盘!$A$4:$G$3460,3,0),"")</f>
        <v>2.8025</v>
      </c>
      <c r="D4015">
        <f>IFERROR(VLOOKUP($A4015,原始数据_收盘!$A$4:$G$3460,4,0),"")</f>
        <v>2.49</v>
      </c>
      <c r="E4015">
        <f>IFERROR(VLOOKUP($A4015,原始数据_收盘!$A$4:$G$3460,5,0),"")</f>
        <v>2.81</v>
      </c>
      <c r="F4015">
        <f>IFERROR(VLOOKUP($A4015,原始数据_收盘!$A$4:$G$3460,6,0),"")</f>
        <v>2.4888</v>
      </c>
      <c r="G4015">
        <f>IFERROR(VLOOKUP($A4015,原始数据_收盘!$A$4:$G$3460,7,0),"")</f>
        <v>2.8063</v>
      </c>
      <c r="H4015">
        <f>IFERROR(VLOOKUP($A4015,原始数据_利率互换_FR007_1年!$A$6:$C$4395,2,0),"")</f>
        <v>2.4888</v>
      </c>
      <c r="I4015">
        <f>IFERROR(VLOOKUP($A4015,原始数据_利率互换_FR007_1年!$A$6:$C$4395,3,0),"")</f>
        <v>2.8013</v>
      </c>
    </row>
    <row r="4016" spans="1:9">
      <c r="A4016" s="6">
        <v>43509</v>
      </c>
      <c r="B4016">
        <f>IFERROR(VLOOKUP($A4016,原始数据_收盘!$A$4:$G$3460,2,0),"")</f>
        <v>2.475</v>
      </c>
      <c r="C4016">
        <f>IFERROR(VLOOKUP($A4016,原始数据_收盘!$A$4:$G$3460,3,0),"")</f>
        <v>2.805</v>
      </c>
      <c r="D4016">
        <f>IFERROR(VLOOKUP($A4016,原始数据_收盘!$A$4:$G$3460,4,0),"")</f>
        <v>2.48</v>
      </c>
      <c r="E4016">
        <f>IFERROR(VLOOKUP($A4016,原始数据_收盘!$A$4:$G$3460,5,0),"")</f>
        <v>2.808</v>
      </c>
      <c r="F4016">
        <f>IFERROR(VLOOKUP($A4016,原始数据_收盘!$A$4:$G$3460,6,0),"")</f>
        <v>2.4775</v>
      </c>
      <c r="G4016">
        <f>IFERROR(VLOOKUP($A4016,原始数据_收盘!$A$4:$G$3460,7,0),"")</f>
        <v>2.8065</v>
      </c>
      <c r="H4016">
        <f>IFERROR(VLOOKUP($A4016,原始数据_利率互换_FR007_1年!$A$6:$C$4395,2,0),"")</f>
        <v>2.4853</v>
      </c>
      <c r="I4016">
        <f>IFERROR(VLOOKUP($A4016,原始数据_利率互换_FR007_1年!$A$6:$C$4395,3,0),"")</f>
        <v>2.811</v>
      </c>
    </row>
    <row r="4017" spans="1:9">
      <c r="A4017" s="6">
        <v>43510</v>
      </c>
      <c r="B4017">
        <f>IFERROR(VLOOKUP($A4017,原始数据_收盘!$A$4:$G$3460,2,0),"")</f>
        <v>2.4686</v>
      </c>
      <c r="C4017">
        <f>IFERROR(VLOOKUP($A4017,原始数据_收盘!$A$4:$G$3460,3,0),"")</f>
        <v>2.8146</v>
      </c>
      <c r="D4017">
        <f>IFERROR(VLOOKUP($A4017,原始数据_收盘!$A$4:$G$3460,4,0),"")</f>
        <v>2.4725</v>
      </c>
      <c r="E4017">
        <f>IFERROR(VLOOKUP($A4017,原始数据_收盘!$A$4:$G$3460,5,0),"")</f>
        <v>2.8175</v>
      </c>
      <c r="F4017">
        <f>IFERROR(VLOOKUP($A4017,原始数据_收盘!$A$4:$G$3460,6,0),"")</f>
        <v>2.4706</v>
      </c>
      <c r="G4017">
        <f>IFERROR(VLOOKUP($A4017,原始数据_收盘!$A$4:$G$3460,7,0),"")</f>
        <v>2.816</v>
      </c>
      <c r="H4017">
        <f>IFERROR(VLOOKUP($A4017,原始数据_利率互换_FR007_1年!$A$6:$C$4395,2,0),"")</f>
        <v>2.4711</v>
      </c>
      <c r="I4017">
        <f>IFERROR(VLOOKUP($A4017,原始数据_利率互换_FR007_1年!$A$6:$C$4395,3,0),"")</f>
        <v>2.8117</v>
      </c>
    </row>
    <row r="4018" spans="1:9">
      <c r="A4018" s="6">
        <v>43511</v>
      </c>
      <c r="B4018">
        <f>IFERROR(VLOOKUP($A4018,原始数据_收盘!$A$4:$G$3460,2,0),"")</f>
        <v>2.4675</v>
      </c>
      <c r="C4018">
        <f>IFERROR(VLOOKUP($A4018,原始数据_收盘!$A$4:$G$3460,3,0),"")</f>
        <v>2.815</v>
      </c>
      <c r="D4018">
        <f>IFERROR(VLOOKUP($A4018,原始数据_收盘!$A$4:$G$3460,4,0),"")</f>
        <v>2.4725</v>
      </c>
      <c r="E4018">
        <f>IFERROR(VLOOKUP($A4018,原始数据_收盘!$A$4:$G$3460,5,0),"")</f>
        <v>2.8175</v>
      </c>
      <c r="F4018">
        <f>IFERROR(VLOOKUP($A4018,原始数据_收盘!$A$4:$G$3460,6,0),"")</f>
        <v>2.47</v>
      </c>
      <c r="G4018">
        <f>IFERROR(VLOOKUP($A4018,原始数据_收盘!$A$4:$G$3460,7,0),"")</f>
        <v>2.8163</v>
      </c>
      <c r="H4018">
        <f>IFERROR(VLOOKUP($A4018,原始数据_利率互换_FR007_1年!$A$6:$C$4395,2,0),"")</f>
        <v>2.4726</v>
      </c>
      <c r="I4018">
        <f>IFERROR(VLOOKUP($A4018,原始数据_利率互换_FR007_1年!$A$6:$C$4395,3,0),"")</f>
        <v>2.8156</v>
      </c>
    </row>
    <row r="4019" spans="1:9">
      <c r="A4019" s="6">
        <v>43512</v>
      </c>
      <c r="B4019" t="str">
        <f>IFERROR(VLOOKUP($A4019,原始数据_收盘!$A$4:$G$3460,2,0),"")</f>
        <v/>
      </c>
      <c r="C4019" t="str">
        <f>IFERROR(VLOOKUP($A4019,原始数据_收盘!$A$4:$G$3460,3,0),"")</f>
        <v/>
      </c>
      <c r="D4019" t="str">
        <f>IFERROR(VLOOKUP($A4019,原始数据_收盘!$A$4:$G$3460,4,0),"")</f>
        <v/>
      </c>
      <c r="E4019" t="str">
        <f>IFERROR(VLOOKUP($A4019,原始数据_收盘!$A$4:$G$3460,5,0),"")</f>
        <v/>
      </c>
      <c r="F4019" t="str">
        <f>IFERROR(VLOOKUP($A4019,原始数据_收盘!$A$4:$G$3460,6,0),"")</f>
        <v/>
      </c>
      <c r="G4019" t="str">
        <f>IFERROR(VLOOKUP($A4019,原始数据_收盘!$A$4:$G$3460,7,0),"")</f>
        <v/>
      </c>
      <c r="H4019" t="str">
        <f>IFERROR(VLOOKUP($A4019,原始数据_利率互换_FR007_1年!$A$6:$C$4395,2,0),"")</f>
        <v/>
      </c>
      <c r="I4019" t="str">
        <f>IFERROR(VLOOKUP($A4019,原始数据_利率互换_FR007_1年!$A$6:$C$4395,3,0),"")</f>
        <v/>
      </c>
    </row>
    <row r="4020" spans="1:9">
      <c r="A4020" s="6">
        <v>43513</v>
      </c>
      <c r="B4020" t="str">
        <f>IFERROR(VLOOKUP($A4020,原始数据_收盘!$A$4:$G$3460,2,0),"")</f>
        <v/>
      </c>
      <c r="C4020" t="str">
        <f>IFERROR(VLOOKUP($A4020,原始数据_收盘!$A$4:$G$3460,3,0),"")</f>
        <v/>
      </c>
      <c r="D4020" t="str">
        <f>IFERROR(VLOOKUP($A4020,原始数据_收盘!$A$4:$G$3460,4,0),"")</f>
        <v/>
      </c>
      <c r="E4020" t="str">
        <f>IFERROR(VLOOKUP($A4020,原始数据_收盘!$A$4:$G$3460,5,0),"")</f>
        <v/>
      </c>
      <c r="F4020" t="str">
        <f>IFERROR(VLOOKUP($A4020,原始数据_收盘!$A$4:$G$3460,6,0),"")</f>
        <v/>
      </c>
      <c r="G4020" t="str">
        <f>IFERROR(VLOOKUP($A4020,原始数据_收盘!$A$4:$G$3460,7,0),"")</f>
        <v/>
      </c>
      <c r="H4020" t="str">
        <f>IFERROR(VLOOKUP($A4020,原始数据_利率互换_FR007_1年!$A$6:$C$4395,2,0),"")</f>
        <v/>
      </c>
      <c r="I4020" t="str">
        <f>IFERROR(VLOOKUP($A4020,原始数据_利率互换_FR007_1年!$A$6:$C$4395,3,0),"")</f>
        <v/>
      </c>
    </row>
    <row r="4021" spans="1:9">
      <c r="A4021" s="6">
        <v>43514</v>
      </c>
      <c r="B4021">
        <f>IFERROR(VLOOKUP($A4021,原始数据_收盘!$A$4:$G$3460,2,0),"")</f>
        <v>2.5019</v>
      </c>
      <c r="C4021">
        <f>IFERROR(VLOOKUP($A4021,原始数据_收盘!$A$4:$G$3460,3,0),"")</f>
        <v>2.8575</v>
      </c>
      <c r="D4021">
        <f>IFERROR(VLOOKUP($A4021,原始数据_收盘!$A$4:$G$3460,4,0),"")</f>
        <v>2.5054</v>
      </c>
      <c r="E4021">
        <f>IFERROR(VLOOKUP($A4021,原始数据_收盘!$A$4:$G$3460,5,0),"")</f>
        <v>2.8625</v>
      </c>
      <c r="F4021">
        <f>IFERROR(VLOOKUP($A4021,原始数据_收盘!$A$4:$G$3460,6,0),"")</f>
        <v>2.5036</v>
      </c>
      <c r="G4021">
        <f>IFERROR(VLOOKUP($A4021,原始数据_收盘!$A$4:$G$3460,7,0),"")</f>
        <v>2.86</v>
      </c>
      <c r="H4021">
        <f>IFERROR(VLOOKUP($A4021,原始数据_利率互换_FR007_1年!$A$6:$C$4395,2,0),"")</f>
        <v>2.4895</v>
      </c>
      <c r="I4021">
        <f>IFERROR(VLOOKUP($A4021,原始数据_利率互换_FR007_1年!$A$6:$C$4395,3,0),"")</f>
        <v>2.8481</v>
      </c>
    </row>
    <row r="4022" spans="1:9">
      <c r="A4022" s="6">
        <v>43515</v>
      </c>
      <c r="B4022">
        <f>IFERROR(VLOOKUP($A4022,原始数据_收盘!$A$4:$G$3460,2,0),"")</f>
        <v>2.4975</v>
      </c>
      <c r="C4022">
        <f>IFERROR(VLOOKUP($A4022,原始数据_收盘!$A$4:$G$3460,3,0),"")</f>
        <v>2.8529</v>
      </c>
      <c r="D4022">
        <f>IFERROR(VLOOKUP($A4022,原始数据_收盘!$A$4:$G$3460,4,0),"")</f>
        <v>2.5</v>
      </c>
      <c r="E4022">
        <f>IFERROR(VLOOKUP($A4022,原始数据_收盘!$A$4:$G$3460,5,0),"")</f>
        <v>2.8551</v>
      </c>
      <c r="F4022">
        <f>IFERROR(VLOOKUP($A4022,原始数据_收盘!$A$4:$G$3460,6,0),"")</f>
        <v>2.4988</v>
      </c>
      <c r="G4022">
        <f>IFERROR(VLOOKUP($A4022,原始数据_收盘!$A$4:$G$3460,7,0),"")</f>
        <v>2.854</v>
      </c>
      <c r="H4022">
        <f>IFERROR(VLOOKUP($A4022,原始数据_利率互换_FR007_1年!$A$6:$C$4395,2,0),"")</f>
        <v>2.5019</v>
      </c>
      <c r="I4022">
        <f>IFERROR(VLOOKUP($A4022,原始数据_利率互换_FR007_1年!$A$6:$C$4395,3,0),"")</f>
        <v>2.8628</v>
      </c>
    </row>
    <row r="4023" spans="1:9">
      <c r="A4023" s="6">
        <v>43516</v>
      </c>
      <c r="B4023">
        <f>IFERROR(VLOOKUP($A4023,原始数据_收盘!$A$4:$G$3460,2,0),"")</f>
        <v>2.4825</v>
      </c>
      <c r="C4023">
        <f>IFERROR(VLOOKUP($A4023,原始数据_收盘!$A$4:$G$3460,3,0),"")</f>
        <v>2.8474</v>
      </c>
      <c r="D4023">
        <f>IFERROR(VLOOKUP($A4023,原始数据_收盘!$A$4:$G$3460,4,0),"")</f>
        <v>2.4858</v>
      </c>
      <c r="E4023">
        <f>IFERROR(VLOOKUP($A4023,原始数据_收盘!$A$4:$G$3460,5,0),"")</f>
        <v>2.85</v>
      </c>
      <c r="F4023">
        <f>IFERROR(VLOOKUP($A4023,原始数据_收盘!$A$4:$G$3460,6,0),"")</f>
        <v>2.4841</v>
      </c>
      <c r="G4023">
        <f>IFERROR(VLOOKUP($A4023,原始数据_收盘!$A$4:$G$3460,7,0),"")</f>
        <v>2.8487</v>
      </c>
      <c r="H4023">
        <f>IFERROR(VLOOKUP($A4023,原始数据_利率互换_FR007_1年!$A$6:$C$4395,2,0),"")</f>
        <v>2.4913</v>
      </c>
      <c r="I4023">
        <f>IFERROR(VLOOKUP($A4023,原始数据_利率互换_FR007_1年!$A$6:$C$4395,3,0),"")</f>
        <v>2.8455</v>
      </c>
    </row>
    <row r="4024" spans="1:9">
      <c r="A4024" s="6">
        <v>43517</v>
      </c>
      <c r="B4024">
        <f>IFERROR(VLOOKUP($A4024,原始数据_收盘!$A$4:$G$3460,2,0),"")</f>
        <v>2.4999</v>
      </c>
      <c r="C4024">
        <f>IFERROR(VLOOKUP($A4024,原始数据_收盘!$A$4:$G$3460,3,0),"")</f>
        <v>2.8594</v>
      </c>
      <c r="D4024">
        <f>IFERROR(VLOOKUP($A4024,原始数据_收盘!$A$4:$G$3460,4,0),"")</f>
        <v>2.5025</v>
      </c>
      <c r="E4024">
        <f>IFERROR(VLOOKUP($A4024,原始数据_收盘!$A$4:$G$3460,5,0),"")</f>
        <v>2.8624</v>
      </c>
      <c r="F4024">
        <f>IFERROR(VLOOKUP($A4024,原始数据_收盘!$A$4:$G$3460,6,0),"")</f>
        <v>2.5012</v>
      </c>
      <c r="G4024">
        <f>IFERROR(VLOOKUP($A4024,原始数据_收盘!$A$4:$G$3460,7,0),"")</f>
        <v>2.8609</v>
      </c>
      <c r="H4024">
        <f>IFERROR(VLOOKUP($A4024,原始数据_利率互换_FR007_1年!$A$6:$C$4395,2,0),"")</f>
        <v>2.5029</v>
      </c>
      <c r="I4024">
        <f>IFERROR(VLOOKUP($A4024,原始数据_利率互换_FR007_1年!$A$6:$C$4395,3,0),"")</f>
        <v>2.8642</v>
      </c>
    </row>
    <row r="4025" spans="1:9">
      <c r="A4025" s="6">
        <v>43518</v>
      </c>
      <c r="B4025">
        <f>IFERROR(VLOOKUP($A4025,原始数据_收盘!$A$4:$G$3460,2,0),"")</f>
        <v>2.5225</v>
      </c>
      <c r="C4025">
        <f>IFERROR(VLOOKUP($A4025,原始数据_收盘!$A$4:$G$3460,3,0),"")</f>
        <v>2.885</v>
      </c>
      <c r="D4025">
        <f>IFERROR(VLOOKUP($A4025,原始数据_收盘!$A$4:$G$3460,4,0),"")</f>
        <v>2.5279</v>
      </c>
      <c r="E4025">
        <f>IFERROR(VLOOKUP($A4025,原始数据_收盘!$A$4:$G$3460,5,0),"")</f>
        <v>2.8867</v>
      </c>
      <c r="F4025">
        <f>IFERROR(VLOOKUP($A4025,原始数据_收盘!$A$4:$G$3460,6,0),"")</f>
        <v>2.5252</v>
      </c>
      <c r="G4025">
        <f>IFERROR(VLOOKUP($A4025,原始数据_收盘!$A$4:$G$3460,7,0),"")</f>
        <v>2.8858</v>
      </c>
      <c r="H4025">
        <f>IFERROR(VLOOKUP($A4025,原始数据_利率互换_FR007_1年!$A$6:$C$4395,2,0),"")</f>
        <v>2.5172</v>
      </c>
      <c r="I4025">
        <f>IFERROR(VLOOKUP($A4025,原始数据_利率互换_FR007_1年!$A$6:$C$4395,3,0),"")</f>
        <v>2.8786</v>
      </c>
    </row>
    <row r="4026" spans="1:9">
      <c r="A4026" s="6">
        <v>43519</v>
      </c>
      <c r="B4026" t="str">
        <f>IFERROR(VLOOKUP($A4026,原始数据_收盘!$A$4:$G$3460,2,0),"")</f>
        <v/>
      </c>
      <c r="C4026" t="str">
        <f>IFERROR(VLOOKUP($A4026,原始数据_收盘!$A$4:$G$3460,3,0),"")</f>
        <v/>
      </c>
      <c r="D4026" t="str">
        <f>IFERROR(VLOOKUP($A4026,原始数据_收盘!$A$4:$G$3460,4,0),"")</f>
        <v/>
      </c>
      <c r="E4026" t="str">
        <f>IFERROR(VLOOKUP($A4026,原始数据_收盘!$A$4:$G$3460,5,0),"")</f>
        <v/>
      </c>
      <c r="F4026" t="str">
        <f>IFERROR(VLOOKUP($A4026,原始数据_收盘!$A$4:$G$3460,6,0),"")</f>
        <v/>
      </c>
      <c r="G4026" t="str">
        <f>IFERROR(VLOOKUP($A4026,原始数据_收盘!$A$4:$G$3460,7,0),"")</f>
        <v/>
      </c>
      <c r="H4026" t="str">
        <f>IFERROR(VLOOKUP($A4026,原始数据_利率互换_FR007_1年!$A$6:$C$4395,2,0),"")</f>
        <v/>
      </c>
      <c r="I4026" t="str">
        <f>IFERROR(VLOOKUP($A4026,原始数据_利率互换_FR007_1年!$A$6:$C$4395,3,0),"")</f>
        <v/>
      </c>
    </row>
    <row r="4027" spans="1:9">
      <c r="A4027" s="6">
        <v>43520</v>
      </c>
      <c r="B4027" t="str">
        <f>IFERROR(VLOOKUP($A4027,原始数据_收盘!$A$4:$G$3460,2,0),"")</f>
        <v/>
      </c>
      <c r="C4027" t="str">
        <f>IFERROR(VLOOKUP($A4027,原始数据_收盘!$A$4:$G$3460,3,0),"")</f>
        <v/>
      </c>
      <c r="D4027" t="str">
        <f>IFERROR(VLOOKUP($A4027,原始数据_收盘!$A$4:$G$3460,4,0),"")</f>
        <v/>
      </c>
      <c r="E4027" t="str">
        <f>IFERROR(VLOOKUP($A4027,原始数据_收盘!$A$4:$G$3460,5,0),"")</f>
        <v/>
      </c>
      <c r="F4027" t="str">
        <f>IFERROR(VLOOKUP($A4027,原始数据_收盘!$A$4:$G$3460,6,0),"")</f>
        <v/>
      </c>
      <c r="G4027" t="str">
        <f>IFERROR(VLOOKUP($A4027,原始数据_收盘!$A$4:$G$3460,7,0),"")</f>
        <v/>
      </c>
      <c r="H4027" t="str">
        <f>IFERROR(VLOOKUP($A4027,原始数据_利率互换_FR007_1年!$A$6:$C$4395,2,0),"")</f>
        <v/>
      </c>
      <c r="I4027" t="str">
        <f>IFERROR(VLOOKUP($A4027,原始数据_利率互换_FR007_1年!$A$6:$C$4395,3,0),"")</f>
        <v/>
      </c>
    </row>
    <row r="4028" spans="1:9">
      <c r="A4028" s="6">
        <v>43521</v>
      </c>
      <c r="B4028">
        <f>IFERROR(VLOOKUP($A4028,原始数据_收盘!$A$4:$G$3460,2,0),"")</f>
        <v>2.5794</v>
      </c>
      <c r="C4028">
        <f>IFERROR(VLOOKUP($A4028,原始数据_收盘!$A$4:$G$3460,3,0),"")</f>
        <v>2.945</v>
      </c>
      <c r="D4028">
        <f>IFERROR(VLOOKUP($A4028,原始数据_收盘!$A$4:$G$3460,4,0),"")</f>
        <v>2.5805</v>
      </c>
      <c r="E4028">
        <f>IFERROR(VLOOKUP($A4028,原始数据_收盘!$A$4:$G$3460,5,0),"")</f>
        <v>2.95</v>
      </c>
      <c r="F4028">
        <f>IFERROR(VLOOKUP($A4028,原始数据_收盘!$A$4:$G$3460,6,0),"")</f>
        <v>2.5799</v>
      </c>
      <c r="G4028">
        <f>IFERROR(VLOOKUP($A4028,原始数据_收盘!$A$4:$G$3460,7,0),"")</f>
        <v>2.9475</v>
      </c>
      <c r="H4028">
        <f>IFERROR(VLOOKUP($A4028,原始数据_利率互换_FR007_1年!$A$6:$C$4395,2,0),"")</f>
        <v>2.5565</v>
      </c>
      <c r="I4028">
        <f>IFERROR(VLOOKUP($A4028,原始数据_利率互换_FR007_1年!$A$6:$C$4395,3,0),"")</f>
        <v>2.9222</v>
      </c>
    </row>
    <row r="4029" spans="1:9">
      <c r="A4029" s="6">
        <v>43522</v>
      </c>
      <c r="B4029">
        <f>IFERROR(VLOOKUP($A4029,原始数据_收盘!$A$4:$G$3460,2,0),"")</f>
        <v>2.5925</v>
      </c>
      <c r="C4029">
        <f>IFERROR(VLOOKUP($A4029,原始数据_收盘!$A$4:$G$3460,3,0),"")</f>
        <v>2.945</v>
      </c>
      <c r="D4029">
        <f>IFERROR(VLOOKUP($A4029,原始数据_收盘!$A$4:$G$3460,4,0),"")</f>
        <v>2.6</v>
      </c>
      <c r="E4029">
        <f>IFERROR(VLOOKUP($A4029,原始数据_收盘!$A$4:$G$3460,5,0),"")</f>
        <v>2.9516</v>
      </c>
      <c r="F4029">
        <f>IFERROR(VLOOKUP($A4029,原始数据_收盘!$A$4:$G$3460,6,0),"")</f>
        <v>2.5963</v>
      </c>
      <c r="G4029">
        <f>IFERROR(VLOOKUP($A4029,原始数据_收盘!$A$4:$G$3460,7,0),"")</f>
        <v>2.9483</v>
      </c>
      <c r="H4029">
        <f>IFERROR(VLOOKUP($A4029,原始数据_利率互换_FR007_1年!$A$6:$C$4395,2,0),"")</f>
        <v>2.6151</v>
      </c>
      <c r="I4029">
        <f>IFERROR(VLOOKUP($A4029,原始数据_利率互换_FR007_1年!$A$6:$C$4395,3,0),"")</f>
        <v>2.9694</v>
      </c>
    </row>
    <row r="4030" spans="1:9">
      <c r="A4030" s="6">
        <v>43523</v>
      </c>
      <c r="B4030">
        <f>IFERROR(VLOOKUP($A4030,原始数据_收盘!$A$4:$G$3460,2,0),"")</f>
        <v>2.6073</v>
      </c>
      <c r="C4030">
        <f>IFERROR(VLOOKUP($A4030,原始数据_收盘!$A$4:$G$3460,3,0),"")</f>
        <v>2.9518</v>
      </c>
      <c r="D4030">
        <f>IFERROR(VLOOKUP($A4030,原始数据_收盘!$A$4:$G$3460,4,0),"")</f>
        <v>2.61</v>
      </c>
      <c r="E4030">
        <f>IFERROR(VLOOKUP($A4030,原始数据_收盘!$A$4:$G$3460,5,0),"")</f>
        <v>2.9583</v>
      </c>
      <c r="F4030">
        <f>IFERROR(VLOOKUP($A4030,原始数据_收盘!$A$4:$G$3460,6,0),"")</f>
        <v>2.6087</v>
      </c>
      <c r="G4030">
        <f>IFERROR(VLOOKUP($A4030,原始数据_收盘!$A$4:$G$3460,7,0),"")</f>
        <v>2.9551</v>
      </c>
      <c r="H4030">
        <f>IFERROR(VLOOKUP($A4030,原始数据_利率互换_FR007_1年!$A$6:$C$4395,2,0),"")</f>
        <v>2.6019</v>
      </c>
      <c r="I4030">
        <f>IFERROR(VLOOKUP($A4030,原始数据_利率互换_FR007_1年!$A$6:$C$4395,3,0),"")</f>
        <v>2.9549</v>
      </c>
    </row>
    <row r="4031" spans="1:9">
      <c r="A4031" s="6">
        <v>43524</v>
      </c>
      <c r="B4031">
        <f>IFERROR(VLOOKUP($A4031,原始数据_收盘!$A$4:$G$3460,2,0),"")</f>
        <v>2.635</v>
      </c>
      <c r="C4031">
        <f>IFERROR(VLOOKUP($A4031,原始数据_收盘!$A$4:$G$3460,3,0),"")</f>
        <v>2.9906</v>
      </c>
      <c r="D4031">
        <f>IFERROR(VLOOKUP($A4031,原始数据_收盘!$A$4:$G$3460,4,0),"")</f>
        <v>2.6387</v>
      </c>
      <c r="E4031">
        <f>IFERROR(VLOOKUP($A4031,原始数据_收盘!$A$4:$G$3460,5,0),"")</f>
        <v>2.995</v>
      </c>
      <c r="F4031">
        <f>IFERROR(VLOOKUP($A4031,原始数据_收盘!$A$4:$G$3460,6,0),"")</f>
        <v>2.6369</v>
      </c>
      <c r="G4031">
        <f>IFERROR(VLOOKUP($A4031,原始数据_收盘!$A$4:$G$3460,7,0),"")</f>
        <v>2.9928</v>
      </c>
      <c r="H4031">
        <f>IFERROR(VLOOKUP($A4031,原始数据_利率互换_FR007_1年!$A$6:$C$4395,2,0),"")</f>
        <v>2.6111</v>
      </c>
      <c r="I4031">
        <f>IFERROR(VLOOKUP($A4031,原始数据_利率互换_FR007_1年!$A$6:$C$4395,3,0),"")</f>
        <v>2.9576</v>
      </c>
    </row>
    <row r="4032" spans="1:9">
      <c r="A4032" s="6">
        <v>43525</v>
      </c>
      <c r="B4032">
        <f>IFERROR(VLOOKUP($A4032,原始数据_收盘!$A$4:$G$3460,2,0),"")</f>
        <v>2.6343</v>
      </c>
      <c r="C4032">
        <f>IFERROR(VLOOKUP($A4032,原始数据_收盘!$A$4:$G$3460,3,0),"")</f>
        <v>3.0184</v>
      </c>
      <c r="D4032">
        <f>IFERROR(VLOOKUP($A4032,原始数据_收盘!$A$4:$G$3460,4,0),"")</f>
        <v>2.6515</v>
      </c>
      <c r="E4032">
        <f>IFERROR(VLOOKUP($A4032,原始数据_收盘!$A$4:$G$3460,5,0),"")</f>
        <v>3.0293</v>
      </c>
      <c r="F4032">
        <f>IFERROR(VLOOKUP($A4032,原始数据_收盘!$A$4:$G$3460,6,0),"")</f>
        <v>2.6429</v>
      </c>
      <c r="G4032">
        <f>IFERROR(VLOOKUP($A4032,原始数据_收盘!$A$4:$G$3460,7,0),"")</f>
        <v>3.0238</v>
      </c>
      <c r="H4032">
        <f>IFERROR(VLOOKUP($A4032,原始数据_利率互换_FR007_1年!$A$6:$C$4395,2,0),"")</f>
        <v>2.6265</v>
      </c>
      <c r="I4032">
        <f>IFERROR(VLOOKUP($A4032,原始数据_利率互换_FR007_1年!$A$6:$C$4395,3,0),"")</f>
        <v>2.9981</v>
      </c>
    </row>
    <row r="4033" spans="1:9">
      <c r="A4033" s="6">
        <v>43526</v>
      </c>
      <c r="B4033" t="str">
        <f>IFERROR(VLOOKUP($A4033,原始数据_收盘!$A$4:$G$3460,2,0),"")</f>
        <v/>
      </c>
      <c r="C4033" t="str">
        <f>IFERROR(VLOOKUP($A4033,原始数据_收盘!$A$4:$G$3460,3,0),"")</f>
        <v/>
      </c>
      <c r="D4033" t="str">
        <f>IFERROR(VLOOKUP($A4033,原始数据_收盘!$A$4:$G$3460,4,0),"")</f>
        <v/>
      </c>
      <c r="E4033" t="str">
        <f>IFERROR(VLOOKUP($A4033,原始数据_收盘!$A$4:$G$3460,5,0),"")</f>
        <v/>
      </c>
      <c r="F4033" t="str">
        <f>IFERROR(VLOOKUP($A4033,原始数据_收盘!$A$4:$G$3460,6,0),"")</f>
        <v/>
      </c>
      <c r="G4033" t="str">
        <f>IFERROR(VLOOKUP($A4033,原始数据_收盘!$A$4:$G$3460,7,0),"")</f>
        <v/>
      </c>
      <c r="H4033" t="str">
        <f>IFERROR(VLOOKUP($A4033,原始数据_利率互换_FR007_1年!$A$6:$C$4395,2,0),"")</f>
        <v/>
      </c>
      <c r="I4033" t="str">
        <f>IFERROR(VLOOKUP($A4033,原始数据_利率互换_FR007_1年!$A$6:$C$4395,3,0),"")</f>
        <v/>
      </c>
    </row>
    <row r="4034" spans="1:9">
      <c r="A4034" s="6">
        <v>43527</v>
      </c>
      <c r="B4034" t="str">
        <f>IFERROR(VLOOKUP($A4034,原始数据_收盘!$A$4:$G$3460,2,0),"")</f>
        <v/>
      </c>
      <c r="C4034" t="str">
        <f>IFERROR(VLOOKUP($A4034,原始数据_收盘!$A$4:$G$3460,3,0),"")</f>
        <v/>
      </c>
      <c r="D4034" t="str">
        <f>IFERROR(VLOOKUP($A4034,原始数据_收盘!$A$4:$G$3460,4,0),"")</f>
        <v/>
      </c>
      <c r="E4034" t="str">
        <f>IFERROR(VLOOKUP($A4034,原始数据_收盘!$A$4:$G$3460,5,0),"")</f>
        <v/>
      </c>
      <c r="F4034" t="str">
        <f>IFERROR(VLOOKUP($A4034,原始数据_收盘!$A$4:$G$3460,6,0),"")</f>
        <v/>
      </c>
      <c r="G4034" t="str">
        <f>IFERROR(VLOOKUP($A4034,原始数据_收盘!$A$4:$G$3460,7,0),"")</f>
        <v/>
      </c>
      <c r="H4034" t="str">
        <f>IFERROR(VLOOKUP($A4034,原始数据_利率互换_FR007_1年!$A$6:$C$4395,2,0),"")</f>
        <v/>
      </c>
      <c r="I4034" t="str">
        <f>IFERROR(VLOOKUP($A4034,原始数据_利率互换_FR007_1年!$A$6:$C$4395,3,0),"")</f>
        <v/>
      </c>
    </row>
    <row r="4035" spans="1:9">
      <c r="A4035" s="6">
        <v>43528</v>
      </c>
      <c r="B4035">
        <f>IFERROR(VLOOKUP($A4035,原始数据_收盘!$A$4:$G$3460,2,0),"")</f>
        <v>2.6436</v>
      </c>
      <c r="C4035">
        <f>IFERROR(VLOOKUP($A4035,原始数据_收盘!$A$4:$G$3460,3,0),"")</f>
        <v>3.0457</v>
      </c>
      <c r="D4035">
        <f>IFERROR(VLOOKUP($A4035,原始数据_收盘!$A$4:$G$3460,4,0),"")</f>
        <v>2.6493</v>
      </c>
      <c r="E4035">
        <f>IFERROR(VLOOKUP($A4035,原始数据_收盘!$A$4:$G$3460,5,0),"")</f>
        <v>3.0503</v>
      </c>
      <c r="F4035">
        <f>IFERROR(VLOOKUP($A4035,原始数据_收盘!$A$4:$G$3460,6,0),"")</f>
        <v>2.6464</v>
      </c>
      <c r="G4035">
        <f>IFERROR(VLOOKUP($A4035,原始数据_收盘!$A$4:$G$3460,7,0),"")</f>
        <v>3.048</v>
      </c>
      <c r="H4035">
        <f>IFERROR(VLOOKUP($A4035,原始数据_利率互换_FR007_1年!$A$6:$C$4395,2,0),"")</f>
        <v>2.6389</v>
      </c>
      <c r="I4035">
        <f>IFERROR(VLOOKUP($A4035,原始数据_利率互换_FR007_1年!$A$6:$C$4395,3,0),"")</f>
        <v>3.035</v>
      </c>
    </row>
    <row r="4036" spans="1:9">
      <c r="A4036" s="6">
        <v>43529</v>
      </c>
      <c r="B4036">
        <f>IFERROR(VLOOKUP($A4036,原始数据_收盘!$A$4:$G$3460,2,0),"")</f>
        <v>2.665</v>
      </c>
      <c r="C4036">
        <f>IFERROR(VLOOKUP($A4036,原始数据_收盘!$A$4:$G$3460,3,0),"")</f>
        <v>3.0725</v>
      </c>
      <c r="D4036">
        <f>IFERROR(VLOOKUP($A4036,原始数据_收盘!$A$4:$G$3460,4,0),"")</f>
        <v>2.6798</v>
      </c>
      <c r="E4036">
        <f>IFERROR(VLOOKUP($A4036,原始数据_收盘!$A$4:$G$3460,5,0),"")</f>
        <v>3.0775</v>
      </c>
      <c r="F4036">
        <f>IFERROR(VLOOKUP($A4036,原始数据_收盘!$A$4:$G$3460,6,0),"")</f>
        <v>2.6724</v>
      </c>
      <c r="G4036">
        <f>IFERROR(VLOOKUP($A4036,原始数据_收盘!$A$4:$G$3460,7,0),"")</f>
        <v>3.075</v>
      </c>
      <c r="H4036">
        <f>IFERROR(VLOOKUP($A4036,原始数据_利率互换_FR007_1年!$A$6:$C$4395,2,0),"")</f>
        <v>2.6572</v>
      </c>
      <c r="I4036">
        <f>IFERROR(VLOOKUP($A4036,原始数据_利率互换_FR007_1年!$A$6:$C$4395,3,0),"")</f>
        <v>3.0563</v>
      </c>
    </row>
    <row r="4037" spans="1:9">
      <c r="A4037" s="6">
        <v>43530</v>
      </c>
      <c r="B4037">
        <f>IFERROR(VLOOKUP($A4037,原始数据_收盘!$A$4:$G$3460,2,0),"")</f>
        <v>2.6197</v>
      </c>
      <c r="C4037">
        <f>IFERROR(VLOOKUP($A4037,原始数据_收盘!$A$4:$G$3460,3,0),"")</f>
        <v>3.0121</v>
      </c>
      <c r="D4037">
        <f>IFERROR(VLOOKUP($A4037,原始数据_收盘!$A$4:$G$3460,4,0),"")</f>
        <v>2.6327</v>
      </c>
      <c r="E4037">
        <f>IFERROR(VLOOKUP($A4037,原始数据_收盘!$A$4:$G$3460,5,0),"")</f>
        <v>3.0127</v>
      </c>
      <c r="F4037">
        <f>IFERROR(VLOOKUP($A4037,原始数据_收盘!$A$4:$G$3460,6,0),"")</f>
        <v>2.6262</v>
      </c>
      <c r="G4037">
        <f>IFERROR(VLOOKUP($A4037,原始数据_收盘!$A$4:$G$3460,7,0),"")</f>
        <v>3.0124</v>
      </c>
      <c r="H4037">
        <f>IFERROR(VLOOKUP($A4037,原始数据_利率互换_FR007_1年!$A$6:$C$4395,2,0),"")</f>
        <v>2.6447</v>
      </c>
      <c r="I4037">
        <f>IFERROR(VLOOKUP($A4037,原始数据_利率互换_FR007_1年!$A$6:$C$4395,3,0),"")</f>
        <v>3.033</v>
      </c>
    </row>
    <row r="4038" spans="1:9">
      <c r="A4038" s="6">
        <v>43531</v>
      </c>
      <c r="B4038">
        <f>IFERROR(VLOOKUP($A4038,原始数据_收盘!$A$4:$G$3460,2,0),"")</f>
        <v>2.5718</v>
      </c>
      <c r="C4038">
        <f>IFERROR(VLOOKUP($A4038,原始数据_收盘!$A$4:$G$3460,3,0),"")</f>
        <v>2.9473</v>
      </c>
      <c r="D4038">
        <f>IFERROR(VLOOKUP($A4038,原始数据_收盘!$A$4:$G$3460,4,0),"")</f>
        <v>2.58</v>
      </c>
      <c r="E4038">
        <f>IFERROR(VLOOKUP($A4038,原始数据_收盘!$A$4:$G$3460,5,0),"")</f>
        <v>2.9522</v>
      </c>
      <c r="F4038">
        <f>IFERROR(VLOOKUP($A4038,原始数据_收盘!$A$4:$G$3460,6,0),"")</f>
        <v>2.5759</v>
      </c>
      <c r="G4038">
        <f>IFERROR(VLOOKUP($A4038,原始数据_收盘!$A$4:$G$3460,7,0),"")</f>
        <v>2.9497</v>
      </c>
      <c r="H4038">
        <f>IFERROR(VLOOKUP($A4038,原始数据_利率互换_FR007_1年!$A$6:$C$4395,2,0),"")</f>
        <v>2.5963</v>
      </c>
      <c r="I4038">
        <f>IFERROR(VLOOKUP($A4038,原始数据_利率互换_FR007_1年!$A$6:$C$4395,3,0),"")</f>
        <v>2.979</v>
      </c>
    </row>
    <row r="4039" spans="1:9">
      <c r="A4039" s="6">
        <v>43532</v>
      </c>
      <c r="B4039">
        <f>IFERROR(VLOOKUP($A4039,原始数据_收盘!$A$4:$G$3460,2,0),"")</f>
        <v>2.565</v>
      </c>
      <c r="C4039">
        <f>IFERROR(VLOOKUP($A4039,原始数据_收盘!$A$4:$G$3460,3,0),"")</f>
        <v>2.925</v>
      </c>
      <c r="D4039">
        <f>IFERROR(VLOOKUP($A4039,原始数据_收盘!$A$4:$G$3460,4,0),"")</f>
        <v>2.57</v>
      </c>
      <c r="E4039">
        <f>IFERROR(VLOOKUP($A4039,原始数据_收盘!$A$4:$G$3460,5,0),"")</f>
        <v>2.9285</v>
      </c>
      <c r="F4039">
        <f>IFERROR(VLOOKUP($A4039,原始数据_收盘!$A$4:$G$3460,6,0),"")</f>
        <v>2.5675</v>
      </c>
      <c r="G4039">
        <f>IFERROR(VLOOKUP($A4039,原始数据_收盘!$A$4:$G$3460,7,0),"")</f>
        <v>2.9268</v>
      </c>
      <c r="H4039">
        <f>IFERROR(VLOOKUP($A4039,原始数据_利率互换_FR007_1年!$A$6:$C$4395,2,0),"")</f>
        <v>2.5767</v>
      </c>
      <c r="I4039">
        <f>IFERROR(VLOOKUP($A4039,原始数据_利率互换_FR007_1年!$A$6:$C$4395,3,0),"")</f>
        <v>2.9332</v>
      </c>
    </row>
    <row r="4040" spans="1:9">
      <c r="A4040" s="6">
        <v>43533</v>
      </c>
      <c r="B4040" t="str">
        <f>IFERROR(VLOOKUP($A4040,原始数据_收盘!$A$4:$G$3460,2,0),"")</f>
        <v/>
      </c>
      <c r="C4040" t="str">
        <f>IFERROR(VLOOKUP($A4040,原始数据_收盘!$A$4:$G$3460,3,0),"")</f>
        <v/>
      </c>
      <c r="D4040" t="str">
        <f>IFERROR(VLOOKUP($A4040,原始数据_收盘!$A$4:$G$3460,4,0),"")</f>
        <v/>
      </c>
      <c r="E4040" t="str">
        <f>IFERROR(VLOOKUP($A4040,原始数据_收盘!$A$4:$G$3460,5,0),"")</f>
        <v/>
      </c>
      <c r="F4040" t="str">
        <f>IFERROR(VLOOKUP($A4040,原始数据_收盘!$A$4:$G$3460,6,0),"")</f>
        <v/>
      </c>
      <c r="G4040" t="str">
        <f>IFERROR(VLOOKUP($A4040,原始数据_收盘!$A$4:$G$3460,7,0),"")</f>
        <v/>
      </c>
      <c r="H4040" t="str">
        <f>IFERROR(VLOOKUP($A4040,原始数据_利率互换_FR007_1年!$A$6:$C$4395,2,0),"")</f>
        <v/>
      </c>
      <c r="I4040" t="str">
        <f>IFERROR(VLOOKUP($A4040,原始数据_利率互换_FR007_1年!$A$6:$C$4395,3,0),"")</f>
        <v/>
      </c>
    </row>
    <row r="4041" spans="1:9">
      <c r="A4041" s="6">
        <v>43534</v>
      </c>
      <c r="B4041" t="str">
        <f>IFERROR(VLOOKUP($A4041,原始数据_收盘!$A$4:$G$3460,2,0),"")</f>
        <v/>
      </c>
      <c r="C4041" t="str">
        <f>IFERROR(VLOOKUP($A4041,原始数据_收盘!$A$4:$G$3460,3,0),"")</f>
        <v/>
      </c>
      <c r="D4041" t="str">
        <f>IFERROR(VLOOKUP($A4041,原始数据_收盘!$A$4:$G$3460,4,0),"")</f>
        <v/>
      </c>
      <c r="E4041" t="str">
        <f>IFERROR(VLOOKUP($A4041,原始数据_收盘!$A$4:$G$3460,5,0),"")</f>
        <v/>
      </c>
      <c r="F4041" t="str">
        <f>IFERROR(VLOOKUP($A4041,原始数据_收盘!$A$4:$G$3460,6,0),"")</f>
        <v/>
      </c>
      <c r="G4041" t="str">
        <f>IFERROR(VLOOKUP($A4041,原始数据_收盘!$A$4:$G$3460,7,0),"")</f>
        <v/>
      </c>
      <c r="H4041" t="str">
        <f>IFERROR(VLOOKUP($A4041,原始数据_利率互换_FR007_1年!$A$6:$C$4395,2,0),"")</f>
        <v/>
      </c>
      <c r="I4041" t="str">
        <f>IFERROR(VLOOKUP($A4041,原始数据_利率互换_FR007_1年!$A$6:$C$4395,3,0),"")</f>
        <v/>
      </c>
    </row>
    <row r="4042" spans="1:9">
      <c r="A4042" s="6">
        <v>43535</v>
      </c>
      <c r="B4042">
        <f>IFERROR(VLOOKUP($A4042,原始数据_收盘!$A$4:$G$3460,2,0),"")</f>
        <v>2.5829</v>
      </c>
      <c r="C4042">
        <f>IFERROR(VLOOKUP($A4042,原始数据_收盘!$A$4:$G$3460,3,0),"")</f>
        <v>2.9461</v>
      </c>
      <c r="D4042">
        <f>IFERROR(VLOOKUP($A4042,原始数据_收盘!$A$4:$G$3460,4,0),"")</f>
        <v>2.5874</v>
      </c>
      <c r="E4042">
        <f>IFERROR(VLOOKUP($A4042,原始数据_收盘!$A$4:$G$3460,5,0),"")</f>
        <v>2.9487</v>
      </c>
      <c r="F4042">
        <f>IFERROR(VLOOKUP($A4042,原始数据_收盘!$A$4:$G$3460,6,0),"")</f>
        <v>2.5852</v>
      </c>
      <c r="G4042">
        <f>IFERROR(VLOOKUP($A4042,原始数据_收盘!$A$4:$G$3460,7,0),"")</f>
        <v>2.9474</v>
      </c>
      <c r="H4042">
        <f>IFERROR(VLOOKUP($A4042,原始数据_利率互换_FR007_1年!$A$6:$C$4395,2,0),"")</f>
        <v>2.5662</v>
      </c>
      <c r="I4042">
        <f>IFERROR(VLOOKUP($A4042,原始数据_利率互换_FR007_1年!$A$6:$C$4395,3,0),"")</f>
        <v>2.9233</v>
      </c>
    </row>
    <row r="4043" spans="1:9">
      <c r="A4043" s="6">
        <v>43536</v>
      </c>
      <c r="B4043">
        <f>IFERROR(VLOOKUP($A4043,原始数据_收盘!$A$4:$G$3460,2,0),"")</f>
        <v>2.605</v>
      </c>
      <c r="C4043">
        <f>IFERROR(VLOOKUP($A4043,原始数据_收盘!$A$4:$G$3460,3,0),"")</f>
        <v>2.965</v>
      </c>
      <c r="D4043">
        <f>IFERROR(VLOOKUP($A4043,原始数据_收盘!$A$4:$G$3460,4,0),"")</f>
        <v>2.615</v>
      </c>
      <c r="E4043">
        <f>IFERROR(VLOOKUP($A4043,原始数据_收盘!$A$4:$G$3460,5,0),"")</f>
        <v>2.9691</v>
      </c>
      <c r="F4043">
        <f>IFERROR(VLOOKUP($A4043,原始数据_收盘!$A$4:$G$3460,6,0),"")</f>
        <v>2.61</v>
      </c>
      <c r="G4043">
        <f>IFERROR(VLOOKUP($A4043,原始数据_收盘!$A$4:$G$3460,7,0),"")</f>
        <v>2.9671</v>
      </c>
      <c r="H4043">
        <f>IFERROR(VLOOKUP($A4043,原始数据_利率互换_FR007_1年!$A$6:$C$4395,2,0),"")</f>
        <v>2.6081</v>
      </c>
      <c r="I4043">
        <f>IFERROR(VLOOKUP($A4043,原始数据_利率互换_FR007_1年!$A$6:$C$4395,3,0),"")</f>
        <v>2.9676</v>
      </c>
    </row>
    <row r="4044" spans="1:9">
      <c r="A4044" s="6">
        <v>43537</v>
      </c>
      <c r="B4044">
        <f>IFERROR(VLOOKUP($A4044,原始数据_收盘!$A$4:$G$3460,2,0),"")</f>
        <v>2.599</v>
      </c>
      <c r="C4044">
        <f>IFERROR(VLOOKUP($A4044,原始数据_收盘!$A$4:$G$3460,3,0),"")</f>
        <v>2.9585</v>
      </c>
      <c r="D4044">
        <f>IFERROR(VLOOKUP($A4044,原始数据_收盘!$A$4:$G$3460,4,0),"")</f>
        <v>2.6025</v>
      </c>
      <c r="E4044">
        <f>IFERROR(VLOOKUP($A4044,原始数据_收盘!$A$4:$G$3460,5,0),"")</f>
        <v>2.9604</v>
      </c>
      <c r="F4044">
        <f>IFERROR(VLOOKUP($A4044,原始数据_收盘!$A$4:$G$3460,6,0),"")</f>
        <v>2.6008</v>
      </c>
      <c r="G4044">
        <f>IFERROR(VLOOKUP($A4044,原始数据_收盘!$A$4:$G$3460,7,0),"")</f>
        <v>2.9594</v>
      </c>
      <c r="H4044">
        <f>IFERROR(VLOOKUP($A4044,原始数据_利率互换_FR007_1年!$A$6:$C$4395,2,0),"")</f>
        <v>2.6013</v>
      </c>
      <c r="I4044">
        <f>IFERROR(VLOOKUP($A4044,原始数据_利率互换_FR007_1年!$A$6:$C$4395,3,0),"")</f>
        <v>2.9592</v>
      </c>
    </row>
    <row r="4045" spans="1:9">
      <c r="A4045" s="6">
        <v>43538</v>
      </c>
      <c r="B4045">
        <f>IFERROR(VLOOKUP($A4045,原始数据_收盘!$A$4:$G$3460,2,0),"")</f>
        <v>2.6325</v>
      </c>
      <c r="C4045">
        <f>IFERROR(VLOOKUP($A4045,原始数据_收盘!$A$4:$G$3460,3,0),"")</f>
        <v>2.99</v>
      </c>
      <c r="D4045">
        <f>IFERROR(VLOOKUP($A4045,原始数据_收盘!$A$4:$G$3460,4,0),"")</f>
        <v>2.64</v>
      </c>
      <c r="E4045">
        <f>IFERROR(VLOOKUP($A4045,原始数据_收盘!$A$4:$G$3460,5,0),"")</f>
        <v>2.995</v>
      </c>
      <c r="F4045">
        <f>IFERROR(VLOOKUP($A4045,原始数据_收盘!$A$4:$G$3460,6,0),"")</f>
        <v>2.6363</v>
      </c>
      <c r="G4045">
        <f>IFERROR(VLOOKUP($A4045,原始数据_收盘!$A$4:$G$3460,7,0),"")</f>
        <v>2.9925</v>
      </c>
      <c r="H4045">
        <f>IFERROR(VLOOKUP($A4045,原始数据_利率互换_FR007_1年!$A$6:$C$4395,2,0),"")</f>
        <v>2.6255</v>
      </c>
      <c r="I4045">
        <f>IFERROR(VLOOKUP($A4045,原始数据_利率互换_FR007_1年!$A$6:$C$4395,3,0),"")</f>
        <v>2.9794</v>
      </c>
    </row>
    <row r="4046" spans="1:9">
      <c r="A4046" s="6">
        <v>43539</v>
      </c>
      <c r="B4046">
        <f>IFERROR(VLOOKUP($A4046,原始数据_收盘!$A$4:$G$3460,2,0),"")</f>
        <v>2.6081</v>
      </c>
      <c r="C4046">
        <f>IFERROR(VLOOKUP($A4046,原始数据_收盘!$A$4:$G$3460,3,0),"")</f>
        <v>2.971</v>
      </c>
      <c r="D4046">
        <f>IFERROR(VLOOKUP($A4046,原始数据_收盘!$A$4:$G$3460,4,0),"")</f>
        <v>2.62</v>
      </c>
      <c r="E4046">
        <f>IFERROR(VLOOKUP($A4046,原始数据_收盘!$A$4:$G$3460,5,0),"")</f>
        <v>2.9757</v>
      </c>
      <c r="F4046">
        <f>IFERROR(VLOOKUP($A4046,原始数据_收盘!$A$4:$G$3460,6,0),"")</f>
        <v>2.6141</v>
      </c>
      <c r="G4046">
        <f>IFERROR(VLOOKUP($A4046,原始数据_收盘!$A$4:$G$3460,7,0),"")</f>
        <v>2.9734</v>
      </c>
      <c r="H4046">
        <f>IFERROR(VLOOKUP($A4046,原始数据_利率互换_FR007_1年!$A$6:$C$4395,2,0),"")</f>
        <v>2.6347</v>
      </c>
      <c r="I4046">
        <f>IFERROR(VLOOKUP($A4046,原始数据_利率互换_FR007_1年!$A$6:$C$4395,3,0),"")</f>
        <v>2.996</v>
      </c>
    </row>
    <row r="4047" spans="1:9">
      <c r="A4047" s="6">
        <v>43540</v>
      </c>
      <c r="B4047" t="str">
        <f>IFERROR(VLOOKUP($A4047,原始数据_收盘!$A$4:$G$3460,2,0),"")</f>
        <v/>
      </c>
      <c r="C4047" t="str">
        <f>IFERROR(VLOOKUP($A4047,原始数据_收盘!$A$4:$G$3460,3,0),"")</f>
        <v/>
      </c>
      <c r="D4047" t="str">
        <f>IFERROR(VLOOKUP($A4047,原始数据_收盘!$A$4:$G$3460,4,0),"")</f>
        <v/>
      </c>
      <c r="E4047" t="str">
        <f>IFERROR(VLOOKUP($A4047,原始数据_收盘!$A$4:$G$3460,5,0),"")</f>
        <v/>
      </c>
      <c r="F4047" t="str">
        <f>IFERROR(VLOOKUP($A4047,原始数据_收盘!$A$4:$G$3460,6,0),"")</f>
        <v/>
      </c>
      <c r="G4047" t="str">
        <f>IFERROR(VLOOKUP($A4047,原始数据_收盘!$A$4:$G$3460,7,0),"")</f>
        <v/>
      </c>
      <c r="H4047" t="str">
        <f>IFERROR(VLOOKUP($A4047,原始数据_利率互换_FR007_1年!$A$6:$C$4395,2,0),"")</f>
        <v/>
      </c>
      <c r="I4047" t="str">
        <f>IFERROR(VLOOKUP($A4047,原始数据_利率互换_FR007_1年!$A$6:$C$4395,3,0),"")</f>
        <v/>
      </c>
    </row>
    <row r="4048" spans="1:9">
      <c r="A4048" s="6">
        <v>43541</v>
      </c>
      <c r="B4048" t="str">
        <f>IFERROR(VLOOKUP($A4048,原始数据_收盘!$A$4:$G$3460,2,0),"")</f>
        <v/>
      </c>
      <c r="C4048" t="str">
        <f>IFERROR(VLOOKUP($A4048,原始数据_收盘!$A$4:$G$3460,3,0),"")</f>
        <v/>
      </c>
      <c r="D4048" t="str">
        <f>IFERROR(VLOOKUP($A4048,原始数据_收盘!$A$4:$G$3460,4,0),"")</f>
        <v/>
      </c>
      <c r="E4048" t="str">
        <f>IFERROR(VLOOKUP($A4048,原始数据_收盘!$A$4:$G$3460,5,0),"")</f>
        <v/>
      </c>
      <c r="F4048" t="str">
        <f>IFERROR(VLOOKUP($A4048,原始数据_收盘!$A$4:$G$3460,6,0),"")</f>
        <v/>
      </c>
      <c r="G4048" t="str">
        <f>IFERROR(VLOOKUP($A4048,原始数据_收盘!$A$4:$G$3460,7,0),"")</f>
        <v/>
      </c>
      <c r="H4048" t="str">
        <f>IFERROR(VLOOKUP($A4048,原始数据_利率互换_FR007_1年!$A$6:$C$4395,2,0),"")</f>
        <v/>
      </c>
      <c r="I4048" t="str">
        <f>IFERROR(VLOOKUP($A4048,原始数据_利率互换_FR007_1年!$A$6:$C$4395,3,0),"")</f>
        <v/>
      </c>
    </row>
    <row r="4049" spans="1:9">
      <c r="A4049" s="6">
        <v>43542</v>
      </c>
      <c r="B4049">
        <f>IFERROR(VLOOKUP($A4049,原始数据_收盘!$A$4:$G$3460,2,0),"")</f>
        <v>2.635</v>
      </c>
      <c r="C4049">
        <f>IFERROR(VLOOKUP($A4049,原始数据_收盘!$A$4:$G$3460,3,0),"")</f>
        <v>2.995</v>
      </c>
      <c r="D4049">
        <f>IFERROR(VLOOKUP($A4049,原始数据_收盘!$A$4:$G$3460,4,0),"")</f>
        <v>2.64</v>
      </c>
      <c r="E4049">
        <f>IFERROR(VLOOKUP($A4049,原始数据_收盘!$A$4:$G$3460,5,0),"")</f>
        <v>2.9994</v>
      </c>
      <c r="F4049">
        <f>IFERROR(VLOOKUP($A4049,原始数据_收盘!$A$4:$G$3460,6,0),"")</f>
        <v>2.6375</v>
      </c>
      <c r="G4049">
        <f>IFERROR(VLOOKUP($A4049,原始数据_收盘!$A$4:$G$3460,7,0),"")</f>
        <v>2.9972</v>
      </c>
      <c r="H4049">
        <f>IFERROR(VLOOKUP($A4049,原始数据_利率互换_FR007_1年!$A$6:$C$4395,2,0),"")</f>
        <v>2.6278</v>
      </c>
      <c r="I4049">
        <f>IFERROR(VLOOKUP($A4049,原始数据_利率互换_FR007_1年!$A$6:$C$4395,3,0),"")</f>
        <v>2.9901</v>
      </c>
    </row>
    <row r="4050" spans="1:9">
      <c r="A4050" s="6">
        <v>43543</v>
      </c>
      <c r="B4050">
        <f>IFERROR(VLOOKUP($A4050,原始数据_收盘!$A$4:$G$3460,2,0),"")</f>
        <v>2.6323</v>
      </c>
      <c r="C4050">
        <f>IFERROR(VLOOKUP($A4050,原始数据_收盘!$A$4:$G$3460,3,0),"")</f>
        <v>2.9825</v>
      </c>
      <c r="D4050">
        <f>IFERROR(VLOOKUP($A4050,原始数据_收盘!$A$4:$G$3460,4,0),"")</f>
        <v>2.6367</v>
      </c>
      <c r="E4050">
        <f>IFERROR(VLOOKUP($A4050,原始数据_收盘!$A$4:$G$3460,5,0),"")</f>
        <v>2.9875</v>
      </c>
      <c r="F4050">
        <f>IFERROR(VLOOKUP($A4050,原始数据_收盘!$A$4:$G$3460,6,0),"")</f>
        <v>2.6345</v>
      </c>
      <c r="G4050">
        <f>IFERROR(VLOOKUP($A4050,原始数据_收盘!$A$4:$G$3460,7,0),"")</f>
        <v>2.985</v>
      </c>
      <c r="H4050">
        <f>IFERROR(VLOOKUP($A4050,原始数据_利率互换_FR007_1年!$A$6:$C$4395,2,0),"")</f>
        <v>2.6288</v>
      </c>
      <c r="I4050">
        <f>IFERROR(VLOOKUP($A4050,原始数据_利率互换_FR007_1年!$A$6:$C$4395,3,0),"")</f>
        <v>2.9767</v>
      </c>
    </row>
    <row r="4051" spans="1:9">
      <c r="A4051" s="6">
        <v>43544</v>
      </c>
      <c r="B4051">
        <f>IFERROR(VLOOKUP($A4051,原始数据_收盘!$A$4:$G$3460,2,0),"")</f>
        <v>2.6203</v>
      </c>
      <c r="C4051">
        <f>IFERROR(VLOOKUP($A4051,原始数据_收盘!$A$4:$G$3460,3,0),"")</f>
        <v>2.9673</v>
      </c>
      <c r="D4051">
        <f>IFERROR(VLOOKUP($A4051,原始数据_收盘!$A$4:$G$3460,4,0),"")</f>
        <v>2.6231</v>
      </c>
      <c r="E4051">
        <f>IFERROR(VLOOKUP($A4051,原始数据_收盘!$A$4:$G$3460,5,0),"")</f>
        <v>2.9725</v>
      </c>
      <c r="F4051">
        <f>IFERROR(VLOOKUP($A4051,原始数据_收盘!$A$4:$G$3460,6,0),"")</f>
        <v>2.6217</v>
      </c>
      <c r="G4051">
        <f>IFERROR(VLOOKUP($A4051,原始数据_收盘!$A$4:$G$3460,7,0),"")</f>
        <v>2.9699</v>
      </c>
      <c r="H4051">
        <f>IFERROR(VLOOKUP($A4051,原始数据_利率互换_FR007_1年!$A$6:$C$4395,2,0),"")</f>
        <v>2.6226</v>
      </c>
      <c r="I4051">
        <f>IFERROR(VLOOKUP($A4051,原始数据_利率互换_FR007_1年!$A$6:$C$4395,3,0),"")</f>
        <v>2.9721</v>
      </c>
    </row>
    <row r="4052" spans="1:9">
      <c r="A4052" s="6">
        <v>43545</v>
      </c>
      <c r="B4052">
        <f>IFERROR(VLOOKUP($A4052,原始数据_收盘!$A$4:$G$3460,2,0),"")</f>
        <v>2.5984</v>
      </c>
      <c r="C4052">
        <f>IFERROR(VLOOKUP($A4052,原始数据_收盘!$A$4:$G$3460,3,0),"")</f>
        <v>2.9375</v>
      </c>
      <c r="D4052">
        <f>IFERROR(VLOOKUP($A4052,原始数据_收盘!$A$4:$G$3460,4,0),"")</f>
        <v>2.605</v>
      </c>
      <c r="E4052">
        <f>IFERROR(VLOOKUP($A4052,原始数据_收盘!$A$4:$G$3460,5,0),"")</f>
        <v>2.94</v>
      </c>
      <c r="F4052">
        <f>IFERROR(VLOOKUP($A4052,原始数据_收盘!$A$4:$G$3460,6,0),"")</f>
        <v>2.6017</v>
      </c>
      <c r="G4052">
        <f>IFERROR(VLOOKUP($A4052,原始数据_收盘!$A$4:$G$3460,7,0),"")</f>
        <v>2.9388</v>
      </c>
      <c r="H4052">
        <f>IFERROR(VLOOKUP($A4052,原始数据_利率互换_FR007_1年!$A$6:$C$4395,2,0),"")</f>
        <v>2.6059</v>
      </c>
      <c r="I4052">
        <f>IFERROR(VLOOKUP($A4052,原始数据_利率互换_FR007_1年!$A$6:$C$4395,3,0),"")</f>
        <v>2.9464</v>
      </c>
    </row>
    <row r="4053" spans="1:9">
      <c r="A4053" s="6">
        <v>43546</v>
      </c>
      <c r="B4053">
        <f>IFERROR(VLOOKUP($A4053,原始数据_收盘!$A$4:$G$3460,2,0),"")</f>
        <v>2.5975</v>
      </c>
      <c r="C4053">
        <f>IFERROR(VLOOKUP($A4053,原始数据_收盘!$A$4:$G$3460,3,0),"")</f>
        <v>2.9325</v>
      </c>
      <c r="D4053">
        <f>IFERROR(VLOOKUP($A4053,原始数据_收盘!$A$4:$G$3460,4,0),"")</f>
        <v>2.6</v>
      </c>
      <c r="E4053">
        <f>IFERROR(VLOOKUP($A4053,原始数据_收盘!$A$4:$G$3460,5,0),"")</f>
        <v>2.935</v>
      </c>
      <c r="F4053">
        <f>IFERROR(VLOOKUP($A4053,原始数据_收盘!$A$4:$G$3460,6,0),"")</f>
        <v>2.5988</v>
      </c>
      <c r="G4053">
        <f>IFERROR(VLOOKUP($A4053,原始数据_收盘!$A$4:$G$3460,7,0),"")</f>
        <v>2.9338</v>
      </c>
      <c r="H4053">
        <f>IFERROR(VLOOKUP($A4053,原始数据_利率互换_FR007_1年!$A$6:$C$4395,2,0),"")</f>
        <v>2.598</v>
      </c>
      <c r="I4053">
        <f>IFERROR(VLOOKUP($A4053,原始数据_利率互换_FR007_1年!$A$6:$C$4395,3,0),"")</f>
        <v>2.9358</v>
      </c>
    </row>
    <row r="4054" spans="1:9">
      <c r="A4054" s="6">
        <v>43547</v>
      </c>
      <c r="B4054" t="str">
        <f>IFERROR(VLOOKUP($A4054,原始数据_收盘!$A$4:$G$3460,2,0),"")</f>
        <v/>
      </c>
      <c r="C4054" t="str">
        <f>IFERROR(VLOOKUP($A4054,原始数据_收盘!$A$4:$G$3460,3,0),"")</f>
        <v/>
      </c>
      <c r="D4054" t="str">
        <f>IFERROR(VLOOKUP($A4054,原始数据_收盘!$A$4:$G$3460,4,0),"")</f>
        <v/>
      </c>
      <c r="E4054" t="str">
        <f>IFERROR(VLOOKUP($A4054,原始数据_收盘!$A$4:$G$3460,5,0),"")</f>
        <v/>
      </c>
      <c r="F4054" t="str">
        <f>IFERROR(VLOOKUP($A4054,原始数据_收盘!$A$4:$G$3460,6,0),"")</f>
        <v/>
      </c>
      <c r="G4054" t="str">
        <f>IFERROR(VLOOKUP($A4054,原始数据_收盘!$A$4:$G$3460,7,0),"")</f>
        <v/>
      </c>
      <c r="H4054" t="str">
        <f>IFERROR(VLOOKUP($A4054,原始数据_利率互换_FR007_1年!$A$6:$C$4395,2,0),"")</f>
        <v/>
      </c>
      <c r="I4054" t="str">
        <f>IFERROR(VLOOKUP($A4054,原始数据_利率互换_FR007_1年!$A$6:$C$4395,3,0),"")</f>
        <v/>
      </c>
    </row>
    <row r="4055" spans="1:9">
      <c r="A4055" s="6">
        <v>43548</v>
      </c>
      <c r="B4055" t="str">
        <f>IFERROR(VLOOKUP($A4055,原始数据_收盘!$A$4:$G$3460,2,0),"")</f>
        <v/>
      </c>
      <c r="C4055" t="str">
        <f>IFERROR(VLOOKUP($A4055,原始数据_收盘!$A$4:$G$3460,3,0),"")</f>
        <v/>
      </c>
      <c r="D4055" t="str">
        <f>IFERROR(VLOOKUP($A4055,原始数据_收盘!$A$4:$G$3460,4,0),"")</f>
        <v/>
      </c>
      <c r="E4055" t="str">
        <f>IFERROR(VLOOKUP($A4055,原始数据_收盘!$A$4:$G$3460,5,0),"")</f>
        <v/>
      </c>
      <c r="F4055" t="str">
        <f>IFERROR(VLOOKUP($A4055,原始数据_收盘!$A$4:$G$3460,6,0),"")</f>
        <v/>
      </c>
      <c r="G4055" t="str">
        <f>IFERROR(VLOOKUP($A4055,原始数据_收盘!$A$4:$G$3460,7,0),"")</f>
        <v/>
      </c>
      <c r="H4055" t="str">
        <f>IFERROR(VLOOKUP($A4055,原始数据_利率互换_FR007_1年!$A$6:$C$4395,2,0),"")</f>
        <v/>
      </c>
      <c r="I4055" t="str">
        <f>IFERROR(VLOOKUP($A4055,原始数据_利率互换_FR007_1年!$A$6:$C$4395,3,0),"")</f>
        <v/>
      </c>
    </row>
    <row r="4056" spans="1:9">
      <c r="A4056" s="6">
        <v>43549</v>
      </c>
      <c r="B4056">
        <f>IFERROR(VLOOKUP($A4056,原始数据_收盘!$A$4:$G$3460,2,0),"")</f>
        <v>2.5725</v>
      </c>
      <c r="C4056">
        <f>IFERROR(VLOOKUP($A4056,原始数据_收盘!$A$4:$G$3460,3,0),"")</f>
        <v>2.8844</v>
      </c>
      <c r="D4056">
        <f>IFERROR(VLOOKUP($A4056,原始数据_收盘!$A$4:$G$3460,4,0),"")</f>
        <v>2.5775</v>
      </c>
      <c r="E4056">
        <f>IFERROR(VLOOKUP($A4056,原始数据_收盘!$A$4:$G$3460,5,0),"")</f>
        <v>2.8875</v>
      </c>
      <c r="F4056">
        <f>IFERROR(VLOOKUP($A4056,原始数据_收盘!$A$4:$G$3460,6,0),"")</f>
        <v>2.575</v>
      </c>
      <c r="G4056">
        <f>IFERROR(VLOOKUP($A4056,原始数据_收盘!$A$4:$G$3460,7,0),"")</f>
        <v>2.886</v>
      </c>
      <c r="H4056">
        <f>IFERROR(VLOOKUP($A4056,原始数据_利率互换_FR007_1年!$A$6:$C$4395,2,0),"")</f>
        <v>2.5823</v>
      </c>
      <c r="I4056">
        <f>IFERROR(VLOOKUP($A4056,原始数据_利率互换_FR007_1年!$A$6:$C$4395,3,0),"")</f>
        <v>2.8942</v>
      </c>
    </row>
    <row r="4057" spans="1:9">
      <c r="A4057" s="6">
        <v>43550</v>
      </c>
      <c r="B4057">
        <f>IFERROR(VLOOKUP($A4057,原始数据_收盘!$A$4:$G$3460,2,0),"")</f>
        <v>2.6105</v>
      </c>
      <c r="C4057">
        <f>IFERROR(VLOOKUP($A4057,原始数据_收盘!$A$4:$G$3460,3,0),"")</f>
        <v>2.917</v>
      </c>
      <c r="D4057">
        <f>IFERROR(VLOOKUP($A4057,原始数据_收盘!$A$4:$G$3460,4,0),"")</f>
        <v>2.6175</v>
      </c>
      <c r="E4057">
        <f>IFERROR(VLOOKUP($A4057,原始数据_收盘!$A$4:$G$3460,5,0),"")</f>
        <v>2.9238</v>
      </c>
      <c r="F4057">
        <f>IFERROR(VLOOKUP($A4057,原始数据_收盘!$A$4:$G$3460,6,0),"")</f>
        <v>2.614</v>
      </c>
      <c r="G4057">
        <f>IFERROR(VLOOKUP($A4057,原始数据_收盘!$A$4:$G$3460,7,0),"")</f>
        <v>2.9204</v>
      </c>
      <c r="H4057">
        <f>IFERROR(VLOOKUP($A4057,原始数据_利率互换_FR007_1年!$A$6:$C$4395,2,0),"")</f>
        <v>2.5922</v>
      </c>
      <c r="I4057">
        <f>IFERROR(VLOOKUP($A4057,原始数据_利率互换_FR007_1年!$A$6:$C$4395,3,0),"")</f>
        <v>2.9017</v>
      </c>
    </row>
    <row r="4058" spans="1:9">
      <c r="A4058" s="6">
        <v>43551</v>
      </c>
      <c r="B4058">
        <f>IFERROR(VLOOKUP($A4058,原始数据_收盘!$A$4:$G$3460,2,0),"")</f>
        <v>2.6125</v>
      </c>
      <c r="C4058">
        <f>IFERROR(VLOOKUP($A4058,原始数据_收盘!$A$4:$G$3460,3,0),"")</f>
        <v>2.915</v>
      </c>
      <c r="D4058">
        <f>IFERROR(VLOOKUP($A4058,原始数据_收盘!$A$4:$G$3460,4,0),"")</f>
        <v>2.615</v>
      </c>
      <c r="E4058">
        <f>IFERROR(VLOOKUP($A4058,原始数据_收盘!$A$4:$G$3460,5,0),"")</f>
        <v>2.92</v>
      </c>
      <c r="F4058">
        <f>IFERROR(VLOOKUP($A4058,原始数据_收盘!$A$4:$G$3460,6,0),"")</f>
        <v>2.6138</v>
      </c>
      <c r="G4058">
        <f>IFERROR(VLOOKUP($A4058,原始数据_收盘!$A$4:$G$3460,7,0),"")</f>
        <v>2.9175</v>
      </c>
      <c r="H4058">
        <f>IFERROR(VLOOKUP($A4058,原始数据_利率互换_FR007_1年!$A$6:$C$4395,2,0),"")</f>
        <v>2.6082</v>
      </c>
      <c r="I4058">
        <f>IFERROR(VLOOKUP($A4058,原始数据_利率互换_FR007_1年!$A$6:$C$4395,3,0),"")</f>
        <v>2.9147</v>
      </c>
    </row>
    <row r="4059" spans="1:9">
      <c r="A4059" s="6">
        <v>43552</v>
      </c>
      <c r="B4059">
        <f>IFERROR(VLOOKUP($A4059,原始数据_收盘!$A$4:$G$3460,2,0),"")</f>
        <v>2.605</v>
      </c>
      <c r="C4059">
        <f>IFERROR(VLOOKUP($A4059,原始数据_收盘!$A$4:$G$3460,3,0),"")</f>
        <v>2.9066</v>
      </c>
      <c r="D4059">
        <f>IFERROR(VLOOKUP($A4059,原始数据_收盘!$A$4:$G$3460,4,0),"")</f>
        <v>2.61</v>
      </c>
      <c r="E4059">
        <f>IFERROR(VLOOKUP($A4059,原始数据_收盘!$A$4:$G$3460,5,0),"")</f>
        <v>2.9107</v>
      </c>
      <c r="F4059">
        <f>IFERROR(VLOOKUP($A4059,原始数据_收盘!$A$4:$G$3460,6,0),"")</f>
        <v>2.6075</v>
      </c>
      <c r="G4059">
        <f>IFERROR(VLOOKUP($A4059,原始数据_收盘!$A$4:$G$3460,7,0),"")</f>
        <v>2.9087</v>
      </c>
      <c r="H4059">
        <f>IFERROR(VLOOKUP($A4059,原始数据_利率互换_FR007_1年!$A$6:$C$4395,2,0),"")</f>
        <v>2.6033</v>
      </c>
      <c r="I4059">
        <f>IFERROR(VLOOKUP($A4059,原始数据_利率互换_FR007_1年!$A$6:$C$4395,3,0),"")</f>
        <v>2.8996</v>
      </c>
    </row>
    <row r="4060" spans="1:9">
      <c r="A4060" s="6">
        <v>43553</v>
      </c>
      <c r="B4060">
        <f>IFERROR(VLOOKUP($A4060,原始数据_收盘!$A$4:$G$3460,2,0),"")</f>
        <v>2.6125</v>
      </c>
      <c r="C4060">
        <f>IFERROR(VLOOKUP($A4060,原始数据_收盘!$A$4:$G$3460,3,0),"")</f>
        <v>2.935</v>
      </c>
      <c r="D4060">
        <f>IFERROR(VLOOKUP($A4060,原始数据_收盘!$A$4:$G$3460,4,0),"")</f>
        <v>2.6175</v>
      </c>
      <c r="E4060">
        <f>IFERROR(VLOOKUP($A4060,原始数据_收盘!$A$4:$G$3460,5,0),"")</f>
        <v>2.94</v>
      </c>
      <c r="F4060">
        <f>IFERROR(VLOOKUP($A4060,原始数据_收盘!$A$4:$G$3460,6,0),"")</f>
        <v>2.615</v>
      </c>
      <c r="G4060">
        <f>IFERROR(VLOOKUP($A4060,原始数据_收盘!$A$4:$G$3460,7,0),"")</f>
        <v>2.9375</v>
      </c>
      <c r="H4060">
        <f>IFERROR(VLOOKUP($A4060,原始数据_利率互换_FR007_1年!$A$6:$C$4395,2,0),"")</f>
        <v>2.6136</v>
      </c>
      <c r="I4060">
        <f>IFERROR(VLOOKUP($A4060,原始数据_利率互换_FR007_1年!$A$6:$C$4395,3,0),"")</f>
        <v>2.9297</v>
      </c>
    </row>
    <row r="4061" spans="1:9">
      <c r="A4061" s="6">
        <v>43554</v>
      </c>
      <c r="B4061" t="str">
        <f>IFERROR(VLOOKUP($A4061,原始数据_收盘!$A$4:$G$3460,2,0),"")</f>
        <v/>
      </c>
      <c r="C4061" t="str">
        <f>IFERROR(VLOOKUP($A4061,原始数据_收盘!$A$4:$G$3460,3,0),"")</f>
        <v/>
      </c>
      <c r="D4061" t="str">
        <f>IFERROR(VLOOKUP($A4061,原始数据_收盘!$A$4:$G$3460,4,0),"")</f>
        <v/>
      </c>
      <c r="E4061" t="str">
        <f>IFERROR(VLOOKUP($A4061,原始数据_收盘!$A$4:$G$3460,5,0),"")</f>
        <v/>
      </c>
      <c r="F4061" t="str">
        <f>IFERROR(VLOOKUP($A4061,原始数据_收盘!$A$4:$G$3460,6,0),"")</f>
        <v/>
      </c>
      <c r="G4061" t="str">
        <f>IFERROR(VLOOKUP($A4061,原始数据_收盘!$A$4:$G$3460,7,0),"")</f>
        <v/>
      </c>
      <c r="H4061" t="str">
        <f>IFERROR(VLOOKUP($A4061,原始数据_利率互换_FR007_1年!$A$6:$C$4395,2,0),"")</f>
        <v/>
      </c>
      <c r="I4061" t="str">
        <f>IFERROR(VLOOKUP($A4061,原始数据_利率互换_FR007_1年!$A$6:$C$4395,3,0),"")</f>
        <v/>
      </c>
    </row>
    <row r="4062" spans="1:9">
      <c r="A4062" s="6">
        <v>43555</v>
      </c>
      <c r="B4062" t="str">
        <f>IFERROR(VLOOKUP($A4062,原始数据_收盘!$A$4:$G$3460,2,0),"")</f>
        <v/>
      </c>
      <c r="C4062" t="str">
        <f>IFERROR(VLOOKUP($A4062,原始数据_收盘!$A$4:$G$3460,3,0),"")</f>
        <v/>
      </c>
      <c r="D4062" t="str">
        <f>IFERROR(VLOOKUP($A4062,原始数据_收盘!$A$4:$G$3460,4,0),"")</f>
        <v/>
      </c>
      <c r="E4062" t="str">
        <f>IFERROR(VLOOKUP($A4062,原始数据_收盘!$A$4:$G$3460,5,0),"")</f>
        <v/>
      </c>
      <c r="F4062" t="str">
        <f>IFERROR(VLOOKUP($A4062,原始数据_收盘!$A$4:$G$3460,6,0),"")</f>
        <v/>
      </c>
      <c r="G4062" t="str">
        <f>IFERROR(VLOOKUP($A4062,原始数据_收盘!$A$4:$G$3460,7,0),"")</f>
        <v/>
      </c>
      <c r="H4062" t="str">
        <f>IFERROR(VLOOKUP($A4062,原始数据_利率互换_FR007_1年!$A$6:$C$4395,2,0),"")</f>
        <v/>
      </c>
      <c r="I4062" t="str">
        <f>IFERROR(VLOOKUP($A4062,原始数据_利率互换_FR007_1年!$A$6:$C$4395,3,0),"")</f>
        <v/>
      </c>
    </row>
    <row r="4063" spans="1:9">
      <c r="A4063" s="6">
        <v>43556</v>
      </c>
      <c r="B4063">
        <f>IFERROR(VLOOKUP($A4063,原始数据_收盘!$A$4:$G$3460,2,0),"")</f>
        <v>2.6547</v>
      </c>
      <c r="C4063">
        <f>IFERROR(VLOOKUP($A4063,原始数据_收盘!$A$4:$G$3460,3,0),"")</f>
        <v>3.0098</v>
      </c>
      <c r="D4063">
        <f>IFERROR(VLOOKUP($A4063,原始数据_收盘!$A$4:$G$3460,4,0),"")</f>
        <v>2.6613</v>
      </c>
      <c r="E4063">
        <f>IFERROR(VLOOKUP($A4063,原始数据_收盘!$A$4:$G$3460,5,0),"")</f>
        <v>3.0147</v>
      </c>
      <c r="F4063">
        <f>IFERROR(VLOOKUP($A4063,原始数据_收盘!$A$4:$G$3460,6,0),"")</f>
        <v>2.658</v>
      </c>
      <c r="G4063">
        <f>IFERROR(VLOOKUP($A4063,原始数据_收盘!$A$4:$G$3460,7,0),"")</f>
        <v>3.0123</v>
      </c>
      <c r="H4063">
        <f>IFERROR(VLOOKUP($A4063,原始数据_利率互换_FR007_1年!$A$6:$C$4395,2,0),"")</f>
        <v>2.6403</v>
      </c>
      <c r="I4063">
        <f>IFERROR(VLOOKUP($A4063,原始数据_利率互换_FR007_1年!$A$6:$C$4395,3,0),"")</f>
        <v>2.9869</v>
      </c>
    </row>
    <row r="4064" spans="1:9">
      <c r="A4064" s="6">
        <v>43557</v>
      </c>
      <c r="B4064">
        <f>IFERROR(VLOOKUP($A4064,原始数据_收盘!$A$4:$G$3460,2,0),"")</f>
        <v>2.65</v>
      </c>
      <c r="C4064">
        <f>IFERROR(VLOOKUP($A4064,原始数据_收盘!$A$4:$G$3460,3,0),"")</f>
        <v>3.0275</v>
      </c>
      <c r="D4064">
        <f>IFERROR(VLOOKUP($A4064,原始数据_收盘!$A$4:$G$3460,4,0),"")</f>
        <v>2.655</v>
      </c>
      <c r="E4064">
        <f>IFERROR(VLOOKUP($A4064,原始数据_收盘!$A$4:$G$3460,5,0),"")</f>
        <v>3.0301</v>
      </c>
      <c r="F4064">
        <f>IFERROR(VLOOKUP($A4064,原始数据_收盘!$A$4:$G$3460,6,0),"")</f>
        <v>2.6525</v>
      </c>
      <c r="G4064">
        <f>IFERROR(VLOOKUP($A4064,原始数据_收盘!$A$4:$G$3460,7,0),"")</f>
        <v>3.0288</v>
      </c>
      <c r="H4064">
        <f>IFERROR(VLOOKUP($A4064,原始数据_利率互换_FR007_1年!$A$6:$C$4395,2,0),"")</f>
        <v>2.6518</v>
      </c>
      <c r="I4064">
        <f>IFERROR(VLOOKUP($A4064,原始数据_利率互换_FR007_1年!$A$6:$C$4395,3,0),"")</f>
        <v>3.0228</v>
      </c>
    </row>
    <row r="4065" spans="1:9">
      <c r="A4065" s="6">
        <v>43558</v>
      </c>
      <c r="B4065">
        <f>IFERROR(VLOOKUP($A4065,原始数据_收盘!$A$4:$G$3460,2,0),"")</f>
        <v>2.675</v>
      </c>
      <c r="C4065">
        <f>IFERROR(VLOOKUP($A4065,原始数据_收盘!$A$4:$G$3460,3,0),"")</f>
        <v>3.0704</v>
      </c>
      <c r="D4065">
        <f>IFERROR(VLOOKUP($A4065,原始数据_收盘!$A$4:$G$3460,4,0),"")</f>
        <v>2.6775</v>
      </c>
      <c r="E4065">
        <f>IFERROR(VLOOKUP($A4065,原始数据_收盘!$A$4:$G$3460,5,0),"")</f>
        <v>3.0729</v>
      </c>
      <c r="F4065">
        <f>IFERROR(VLOOKUP($A4065,原始数据_收盘!$A$4:$G$3460,6,0),"")</f>
        <v>2.6763</v>
      </c>
      <c r="G4065">
        <f>IFERROR(VLOOKUP($A4065,原始数据_收盘!$A$4:$G$3460,7,0),"")</f>
        <v>3.0717</v>
      </c>
      <c r="H4065">
        <f>IFERROR(VLOOKUP($A4065,原始数据_利率互换_FR007_1年!$A$6:$C$4395,2,0),"")</f>
        <v>2.6569</v>
      </c>
      <c r="I4065">
        <f>IFERROR(VLOOKUP($A4065,原始数据_利率互换_FR007_1年!$A$6:$C$4395,3,0),"")</f>
        <v>3.0519</v>
      </c>
    </row>
    <row r="4066" spans="1:9">
      <c r="A4066" s="6">
        <v>43559</v>
      </c>
      <c r="B4066">
        <f>IFERROR(VLOOKUP($A4066,原始数据_收盘!$A$4:$G$3460,2,0),"")</f>
        <v>2.7</v>
      </c>
      <c r="C4066">
        <f>IFERROR(VLOOKUP($A4066,原始数据_收盘!$A$4:$G$3460,3,0),"")</f>
        <v>3.092</v>
      </c>
      <c r="D4066">
        <f>IFERROR(VLOOKUP($A4066,原始数据_收盘!$A$4:$G$3460,4,0),"")</f>
        <v>2.705</v>
      </c>
      <c r="E4066">
        <f>IFERROR(VLOOKUP($A4066,原始数据_收盘!$A$4:$G$3460,5,0),"")</f>
        <v>3.0957</v>
      </c>
      <c r="F4066">
        <f>IFERROR(VLOOKUP($A4066,原始数据_收盘!$A$4:$G$3460,6,0),"")</f>
        <v>2.7025</v>
      </c>
      <c r="G4066">
        <f>IFERROR(VLOOKUP($A4066,原始数据_收盘!$A$4:$G$3460,7,0),"")</f>
        <v>3.0938</v>
      </c>
      <c r="H4066">
        <f>IFERROR(VLOOKUP($A4066,原始数据_利率互换_FR007_1年!$A$6:$C$4395,2,0),"")</f>
        <v>2.6759</v>
      </c>
      <c r="I4066">
        <f>IFERROR(VLOOKUP($A4066,原始数据_利率互换_FR007_1年!$A$6:$C$4395,3,0),"")</f>
        <v>3.0736</v>
      </c>
    </row>
    <row r="4067" spans="1:9">
      <c r="A4067" s="6">
        <v>43560</v>
      </c>
      <c r="B4067" t="str">
        <f>IFERROR(VLOOKUP($A4067,原始数据_收盘!$A$4:$G$3460,2,0),"")</f>
        <v/>
      </c>
      <c r="C4067" t="str">
        <f>IFERROR(VLOOKUP($A4067,原始数据_收盘!$A$4:$G$3460,3,0),"")</f>
        <v/>
      </c>
      <c r="D4067" t="str">
        <f>IFERROR(VLOOKUP($A4067,原始数据_收盘!$A$4:$G$3460,4,0),"")</f>
        <v/>
      </c>
      <c r="E4067" t="str">
        <f>IFERROR(VLOOKUP($A4067,原始数据_收盘!$A$4:$G$3460,5,0),"")</f>
        <v/>
      </c>
      <c r="F4067" t="str">
        <f>IFERROR(VLOOKUP($A4067,原始数据_收盘!$A$4:$G$3460,6,0),"")</f>
        <v/>
      </c>
      <c r="G4067" t="str">
        <f>IFERROR(VLOOKUP($A4067,原始数据_收盘!$A$4:$G$3460,7,0),"")</f>
        <v/>
      </c>
      <c r="H4067" t="str">
        <f>IFERROR(VLOOKUP($A4067,原始数据_利率互换_FR007_1年!$A$6:$C$4395,2,0),"")</f>
        <v/>
      </c>
      <c r="I4067" t="str">
        <f>IFERROR(VLOOKUP($A4067,原始数据_利率互换_FR007_1年!$A$6:$C$4395,3,0),"")</f>
        <v/>
      </c>
    </row>
    <row r="4068" spans="1:9">
      <c r="A4068" s="6">
        <v>43561</v>
      </c>
      <c r="B4068" t="str">
        <f>IFERROR(VLOOKUP($A4068,原始数据_收盘!$A$4:$G$3460,2,0),"")</f>
        <v/>
      </c>
      <c r="C4068" t="str">
        <f>IFERROR(VLOOKUP($A4068,原始数据_收盘!$A$4:$G$3460,3,0),"")</f>
        <v/>
      </c>
      <c r="D4068" t="str">
        <f>IFERROR(VLOOKUP($A4068,原始数据_收盘!$A$4:$G$3460,4,0),"")</f>
        <v/>
      </c>
      <c r="E4068" t="str">
        <f>IFERROR(VLOOKUP($A4068,原始数据_收盘!$A$4:$G$3460,5,0),"")</f>
        <v/>
      </c>
      <c r="F4068" t="str">
        <f>IFERROR(VLOOKUP($A4068,原始数据_收盘!$A$4:$G$3460,6,0),"")</f>
        <v/>
      </c>
      <c r="G4068" t="str">
        <f>IFERROR(VLOOKUP($A4068,原始数据_收盘!$A$4:$G$3460,7,0),"")</f>
        <v/>
      </c>
      <c r="H4068" t="str">
        <f>IFERROR(VLOOKUP($A4068,原始数据_利率互换_FR007_1年!$A$6:$C$4395,2,0),"")</f>
        <v/>
      </c>
      <c r="I4068" t="str">
        <f>IFERROR(VLOOKUP($A4068,原始数据_利率互换_FR007_1年!$A$6:$C$4395,3,0),"")</f>
        <v/>
      </c>
    </row>
    <row r="4069" spans="1:9">
      <c r="A4069" s="6">
        <v>43562</v>
      </c>
      <c r="B4069" t="str">
        <f>IFERROR(VLOOKUP($A4069,原始数据_收盘!$A$4:$G$3460,2,0),"")</f>
        <v/>
      </c>
      <c r="C4069" t="str">
        <f>IFERROR(VLOOKUP($A4069,原始数据_收盘!$A$4:$G$3460,3,0),"")</f>
        <v/>
      </c>
      <c r="D4069" t="str">
        <f>IFERROR(VLOOKUP($A4069,原始数据_收盘!$A$4:$G$3460,4,0),"")</f>
        <v/>
      </c>
      <c r="E4069" t="str">
        <f>IFERROR(VLOOKUP($A4069,原始数据_收盘!$A$4:$G$3460,5,0),"")</f>
        <v/>
      </c>
      <c r="F4069" t="str">
        <f>IFERROR(VLOOKUP($A4069,原始数据_收盘!$A$4:$G$3460,6,0),"")</f>
        <v/>
      </c>
      <c r="G4069" t="str">
        <f>IFERROR(VLOOKUP($A4069,原始数据_收盘!$A$4:$G$3460,7,0),"")</f>
        <v/>
      </c>
      <c r="H4069" t="str">
        <f>IFERROR(VLOOKUP($A4069,原始数据_利率互换_FR007_1年!$A$6:$C$4395,2,0),"")</f>
        <v/>
      </c>
      <c r="I4069" t="str">
        <f>IFERROR(VLOOKUP($A4069,原始数据_利率互换_FR007_1年!$A$6:$C$4395,3,0),"")</f>
        <v/>
      </c>
    </row>
    <row r="4070" spans="1:9">
      <c r="A4070" s="6">
        <v>43563</v>
      </c>
      <c r="B4070">
        <f>IFERROR(VLOOKUP($A4070,原始数据_收盘!$A$4:$G$3460,2,0),"")</f>
        <v>2.7015</v>
      </c>
      <c r="C4070">
        <f>IFERROR(VLOOKUP($A4070,原始数据_收盘!$A$4:$G$3460,3,0),"")</f>
        <v>3.08</v>
      </c>
      <c r="D4070">
        <f>IFERROR(VLOOKUP($A4070,原始数据_收盘!$A$4:$G$3460,4,0),"")</f>
        <v>2.7072</v>
      </c>
      <c r="E4070">
        <f>IFERROR(VLOOKUP($A4070,原始数据_收盘!$A$4:$G$3460,5,0),"")</f>
        <v>3.0825</v>
      </c>
      <c r="F4070">
        <f>IFERROR(VLOOKUP($A4070,原始数据_收盘!$A$4:$G$3460,6,0),"")</f>
        <v>2.7043</v>
      </c>
      <c r="G4070">
        <f>IFERROR(VLOOKUP($A4070,原始数据_收盘!$A$4:$G$3460,7,0),"")</f>
        <v>3.0813</v>
      </c>
      <c r="H4070">
        <f>IFERROR(VLOOKUP($A4070,原始数据_利率互换_FR007_1年!$A$6:$C$4395,2,0),"")</f>
        <v>2.6957</v>
      </c>
      <c r="I4070">
        <f>IFERROR(VLOOKUP($A4070,原始数据_利率互换_FR007_1年!$A$6:$C$4395,3,0),"")</f>
        <v>3.0829</v>
      </c>
    </row>
    <row r="4071" spans="1:9">
      <c r="A4071" s="6">
        <v>43564</v>
      </c>
      <c r="B4071">
        <f>IFERROR(VLOOKUP($A4071,原始数据_收盘!$A$4:$G$3460,2,0),"")</f>
        <v>2.7566</v>
      </c>
      <c r="C4071">
        <f>IFERROR(VLOOKUP($A4071,原始数据_收盘!$A$4:$G$3460,3,0),"")</f>
        <v>3.1331</v>
      </c>
      <c r="D4071">
        <f>IFERROR(VLOOKUP($A4071,原始数据_收盘!$A$4:$G$3460,4,0),"")</f>
        <v>2.7594</v>
      </c>
      <c r="E4071">
        <f>IFERROR(VLOOKUP($A4071,原始数据_收盘!$A$4:$G$3460,5,0),"")</f>
        <v>3.1355</v>
      </c>
      <c r="F4071">
        <f>IFERROR(VLOOKUP($A4071,原始数据_收盘!$A$4:$G$3460,6,0),"")</f>
        <v>2.758</v>
      </c>
      <c r="G4071">
        <f>IFERROR(VLOOKUP($A4071,原始数据_收盘!$A$4:$G$3460,7,0),"")</f>
        <v>3.1343</v>
      </c>
      <c r="H4071">
        <f>IFERROR(VLOOKUP($A4071,原始数据_利率互换_FR007_1年!$A$6:$C$4395,2,0),"")</f>
        <v>2.7368</v>
      </c>
      <c r="I4071">
        <f>IFERROR(VLOOKUP($A4071,原始数据_利率互换_FR007_1年!$A$6:$C$4395,3,0),"")</f>
        <v>3.1133</v>
      </c>
    </row>
    <row r="4072" spans="1:9">
      <c r="A4072" s="6">
        <v>43565</v>
      </c>
      <c r="B4072">
        <f>IFERROR(VLOOKUP($A4072,原始数据_收盘!$A$4:$G$3460,2,0),"")</f>
        <v>2.7411</v>
      </c>
      <c r="C4072">
        <f>IFERROR(VLOOKUP($A4072,原始数据_收盘!$A$4:$G$3460,3,0),"")</f>
        <v>3.1096</v>
      </c>
      <c r="D4072">
        <f>IFERROR(VLOOKUP($A4072,原始数据_收盘!$A$4:$G$3460,4,0),"")</f>
        <v>2.7516</v>
      </c>
      <c r="E4072">
        <f>IFERROR(VLOOKUP($A4072,原始数据_收盘!$A$4:$G$3460,5,0),"")</f>
        <v>3.1138</v>
      </c>
      <c r="F4072">
        <f>IFERROR(VLOOKUP($A4072,原始数据_收盘!$A$4:$G$3460,6,0),"")</f>
        <v>2.7463</v>
      </c>
      <c r="G4072">
        <f>IFERROR(VLOOKUP($A4072,原始数据_收盘!$A$4:$G$3460,7,0),"")</f>
        <v>3.1117</v>
      </c>
      <c r="H4072">
        <f>IFERROR(VLOOKUP($A4072,原始数据_利率互换_FR007_1年!$A$6:$C$4395,2,0),"")</f>
        <v>2.7784</v>
      </c>
      <c r="I4072">
        <f>IFERROR(VLOOKUP($A4072,原始数据_利率互换_FR007_1年!$A$6:$C$4395,3,0),"")</f>
        <v>3.1436</v>
      </c>
    </row>
    <row r="4073" spans="1:9">
      <c r="A4073" s="6">
        <v>43566</v>
      </c>
      <c r="B4073">
        <f>IFERROR(VLOOKUP($A4073,原始数据_收盘!$A$4:$G$3460,2,0),"")</f>
        <v>2.7311</v>
      </c>
      <c r="C4073">
        <f>IFERROR(VLOOKUP($A4073,原始数据_收盘!$A$4:$G$3460,3,0),"")</f>
        <v>3.0749</v>
      </c>
      <c r="D4073">
        <f>IFERROR(VLOOKUP($A4073,原始数据_收盘!$A$4:$G$3460,4,0),"")</f>
        <v>2.7363</v>
      </c>
      <c r="E4073">
        <f>IFERROR(VLOOKUP($A4073,原始数据_收盘!$A$4:$G$3460,5,0),"")</f>
        <v>3.0789</v>
      </c>
      <c r="F4073">
        <f>IFERROR(VLOOKUP($A4073,原始数据_收盘!$A$4:$G$3460,6,0),"")</f>
        <v>2.7337</v>
      </c>
      <c r="G4073">
        <f>IFERROR(VLOOKUP($A4073,原始数据_收盘!$A$4:$G$3460,7,0),"")</f>
        <v>3.0769</v>
      </c>
      <c r="H4073">
        <f>IFERROR(VLOOKUP($A4073,原始数据_利率互换_FR007_1年!$A$6:$C$4395,2,0),"")</f>
        <v>2.7466</v>
      </c>
      <c r="I4073">
        <f>IFERROR(VLOOKUP($A4073,原始数据_利率互换_FR007_1年!$A$6:$C$4395,3,0),"")</f>
        <v>3.1011</v>
      </c>
    </row>
    <row r="4074" spans="1:9">
      <c r="A4074" s="6">
        <v>43567</v>
      </c>
      <c r="B4074">
        <f>IFERROR(VLOOKUP($A4074,原始数据_收盘!$A$4:$G$3460,2,0),"")</f>
        <v>2.78</v>
      </c>
      <c r="C4074">
        <f>IFERROR(VLOOKUP($A4074,原始数据_收盘!$A$4:$G$3460,3,0),"")</f>
        <v>3.1514</v>
      </c>
      <c r="D4074">
        <f>IFERROR(VLOOKUP($A4074,原始数据_收盘!$A$4:$G$3460,4,0),"")</f>
        <v>2.8</v>
      </c>
      <c r="E4074">
        <f>IFERROR(VLOOKUP($A4074,原始数据_收盘!$A$4:$G$3460,5,0),"")</f>
        <v>3.1546</v>
      </c>
      <c r="F4074">
        <f>IFERROR(VLOOKUP($A4074,原始数据_收盘!$A$4:$G$3460,6,0),"")</f>
        <v>2.79</v>
      </c>
      <c r="G4074">
        <f>IFERROR(VLOOKUP($A4074,原始数据_收盘!$A$4:$G$3460,7,0),"")</f>
        <v>3.153</v>
      </c>
      <c r="H4074">
        <f>IFERROR(VLOOKUP($A4074,原始数据_利率互换_FR007_1年!$A$6:$C$4395,2,0),"")</f>
        <v>2.7652</v>
      </c>
      <c r="I4074">
        <f>IFERROR(VLOOKUP($A4074,原始数据_利率互换_FR007_1年!$A$6:$C$4395,3,0),"")</f>
        <v>3.1233</v>
      </c>
    </row>
    <row r="4075" spans="1:9">
      <c r="A4075" s="6">
        <v>43568</v>
      </c>
      <c r="B4075" t="str">
        <f>IFERROR(VLOOKUP($A4075,原始数据_收盘!$A$4:$G$3460,2,0),"")</f>
        <v/>
      </c>
      <c r="C4075" t="str">
        <f>IFERROR(VLOOKUP($A4075,原始数据_收盘!$A$4:$G$3460,3,0),"")</f>
        <v/>
      </c>
      <c r="D4075" t="str">
        <f>IFERROR(VLOOKUP($A4075,原始数据_收盘!$A$4:$G$3460,4,0),"")</f>
        <v/>
      </c>
      <c r="E4075" t="str">
        <f>IFERROR(VLOOKUP($A4075,原始数据_收盘!$A$4:$G$3460,5,0),"")</f>
        <v/>
      </c>
      <c r="F4075" t="str">
        <f>IFERROR(VLOOKUP($A4075,原始数据_收盘!$A$4:$G$3460,6,0),"")</f>
        <v/>
      </c>
      <c r="G4075" t="str">
        <f>IFERROR(VLOOKUP($A4075,原始数据_收盘!$A$4:$G$3460,7,0),"")</f>
        <v/>
      </c>
      <c r="H4075" t="str">
        <f>IFERROR(VLOOKUP($A4075,原始数据_利率互换_FR007_1年!$A$6:$C$4395,2,0),"")</f>
        <v/>
      </c>
      <c r="I4075" t="str">
        <f>IFERROR(VLOOKUP($A4075,原始数据_利率互换_FR007_1年!$A$6:$C$4395,3,0),"")</f>
        <v/>
      </c>
    </row>
    <row r="4076" spans="1:9">
      <c r="A4076" s="6">
        <v>43569</v>
      </c>
      <c r="B4076" t="str">
        <f>IFERROR(VLOOKUP($A4076,原始数据_收盘!$A$4:$G$3460,2,0),"")</f>
        <v/>
      </c>
      <c r="C4076" t="str">
        <f>IFERROR(VLOOKUP($A4076,原始数据_收盘!$A$4:$G$3460,3,0),"")</f>
        <v/>
      </c>
      <c r="D4076" t="str">
        <f>IFERROR(VLOOKUP($A4076,原始数据_收盘!$A$4:$G$3460,4,0),"")</f>
        <v/>
      </c>
      <c r="E4076" t="str">
        <f>IFERROR(VLOOKUP($A4076,原始数据_收盘!$A$4:$G$3460,5,0),"")</f>
        <v/>
      </c>
      <c r="F4076" t="str">
        <f>IFERROR(VLOOKUP($A4076,原始数据_收盘!$A$4:$G$3460,6,0),"")</f>
        <v/>
      </c>
      <c r="G4076" t="str">
        <f>IFERROR(VLOOKUP($A4076,原始数据_收盘!$A$4:$G$3460,7,0),"")</f>
        <v/>
      </c>
      <c r="H4076" t="str">
        <f>IFERROR(VLOOKUP($A4076,原始数据_利率互换_FR007_1年!$A$6:$C$4395,2,0),"")</f>
        <v/>
      </c>
      <c r="I4076" t="str">
        <f>IFERROR(VLOOKUP($A4076,原始数据_利率互换_FR007_1年!$A$6:$C$4395,3,0),"")</f>
        <v/>
      </c>
    </row>
    <row r="4077" spans="1:9">
      <c r="A4077" s="6">
        <v>43570</v>
      </c>
      <c r="B4077">
        <f>IFERROR(VLOOKUP($A4077,原始数据_收盘!$A$4:$G$3460,2,0),"")</f>
        <v>2.845</v>
      </c>
      <c r="C4077">
        <f>IFERROR(VLOOKUP($A4077,原始数据_收盘!$A$4:$G$3460,3,0),"")</f>
        <v>3.195</v>
      </c>
      <c r="D4077">
        <f>IFERROR(VLOOKUP($A4077,原始数据_收盘!$A$4:$G$3460,4,0),"")</f>
        <v>2.855</v>
      </c>
      <c r="E4077">
        <f>IFERROR(VLOOKUP($A4077,原始数据_收盘!$A$4:$G$3460,5,0),"")</f>
        <v>3.1987</v>
      </c>
      <c r="F4077">
        <f>IFERROR(VLOOKUP($A4077,原始数据_收盘!$A$4:$G$3460,6,0),"")</f>
        <v>2.85</v>
      </c>
      <c r="G4077">
        <f>IFERROR(VLOOKUP($A4077,原始数据_收盘!$A$4:$G$3460,7,0),"")</f>
        <v>3.1968</v>
      </c>
      <c r="H4077">
        <f>IFERROR(VLOOKUP($A4077,原始数据_利率互换_FR007_1年!$A$6:$C$4395,2,0),"")</f>
        <v>2.8476</v>
      </c>
      <c r="I4077">
        <f>IFERROR(VLOOKUP($A4077,原始数据_利率互换_FR007_1年!$A$6:$C$4395,3,0),"")</f>
        <v>3.1984</v>
      </c>
    </row>
    <row r="4078" spans="1:9">
      <c r="A4078" s="6">
        <v>43571</v>
      </c>
      <c r="B4078">
        <f>IFERROR(VLOOKUP($A4078,原始数据_收盘!$A$4:$G$3460,2,0),"")</f>
        <v>2.8814</v>
      </c>
      <c r="C4078">
        <f>IFERROR(VLOOKUP($A4078,原始数据_收盘!$A$4:$G$3460,3,0),"")</f>
        <v>3.2336</v>
      </c>
      <c r="D4078">
        <f>IFERROR(VLOOKUP($A4078,原始数据_收盘!$A$4:$G$3460,4,0),"")</f>
        <v>2.8885</v>
      </c>
      <c r="E4078">
        <f>IFERROR(VLOOKUP($A4078,原始数据_收盘!$A$4:$G$3460,5,0),"")</f>
        <v>3.2377</v>
      </c>
      <c r="F4078">
        <f>IFERROR(VLOOKUP($A4078,原始数据_收盘!$A$4:$G$3460,6,0),"")</f>
        <v>2.8849</v>
      </c>
      <c r="G4078">
        <f>IFERROR(VLOOKUP($A4078,原始数据_收盘!$A$4:$G$3460,7,0),"")</f>
        <v>3.2356</v>
      </c>
      <c r="H4078">
        <f>IFERROR(VLOOKUP($A4078,原始数据_利率互换_FR007_1年!$A$6:$C$4395,2,0),"")</f>
        <v>2.8954</v>
      </c>
      <c r="I4078">
        <f>IFERROR(VLOOKUP($A4078,原始数据_利率互换_FR007_1年!$A$6:$C$4395,3,0),"")</f>
        <v>3.2374</v>
      </c>
    </row>
    <row r="4079" spans="1:9">
      <c r="A4079" s="6">
        <v>43572</v>
      </c>
      <c r="B4079">
        <f>IFERROR(VLOOKUP($A4079,原始数据_收盘!$A$4:$G$3460,2,0),"")</f>
        <v>2.8921</v>
      </c>
      <c r="C4079">
        <f>IFERROR(VLOOKUP($A4079,原始数据_收盘!$A$4:$G$3460,3,0),"")</f>
        <v>3.245</v>
      </c>
      <c r="D4079">
        <f>IFERROR(VLOOKUP($A4079,原始数据_收盘!$A$4:$G$3460,4,0),"")</f>
        <v>2.898</v>
      </c>
      <c r="E4079">
        <f>IFERROR(VLOOKUP($A4079,原始数据_收盘!$A$4:$G$3460,5,0),"")</f>
        <v>3.2471</v>
      </c>
      <c r="F4079">
        <f>IFERROR(VLOOKUP($A4079,原始数据_收盘!$A$4:$G$3460,6,0),"")</f>
        <v>2.8951</v>
      </c>
      <c r="G4079">
        <f>IFERROR(VLOOKUP($A4079,原始数据_收盘!$A$4:$G$3460,7,0),"")</f>
        <v>3.246</v>
      </c>
      <c r="H4079">
        <f>IFERROR(VLOOKUP($A4079,原始数据_利率互换_FR007_1年!$A$6:$C$4395,2,0),"")</f>
        <v>2.8975</v>
      </c>
      <c r="I4079">
        <f>IFERROR(VLOOKUP($A4079,原始数据_利率互换_FR007_1年!$A$6:$C$4395,3,0),"")</f>
        <v>3.2596</v>
      </c>
    </row>
    <row r="4080" spans="1:9">
      <c r="A4080" s="6">
        <v>43573</v>
      </c>
      <c r="B4080">
        <f>IFERROR(VLOOKUP($A4080,原始数据_收盘!$A$4:$G$3460,2,0),"")</f>
        <v>2.8384</v>
      </c>
      <c r="C4080">
        <f>IFERROR(VLOOKUP($A4080,原始数据_收盘!$A$4:$G$3460,3,0),"")</f>
        <v>3.1911</v>
      </c>
      <c r="D4080">
        <f>IFERROR(VLOOKUP($A4080,原始数据_收盘!$A$4:$G$3460,4,0),"")</f>
        <v>2.845</v>
      </c>
      <c r="E4080">
        <f>IFERROR(VLOOKUP($A4080,原始数据_收盘!$A$4:$G$3460,5,0),"")</f>
        <v>3.1953</v>
      </c>
      <c r="F4080">
        <f>IFERROR(VLOOKUP($A4080,原始数据_收盘!$A$4:$G$3460,6,0),"")</f>
        <v>2.8417</v>
      </c>
      <c r="G4080">
        <f>IFERROR(VLOOKUP($A4080,原始数据_收盘!$A$4:$G$3460,7,0),"")</f>
        <v>3.1932</v>
      </c>
      <c r="H4080">
        <f>IFERROR(VLOOKUP($A4080,原始数据_利率互换_FR007_1年!$A$6:$C$4395,2,0),"")</f>
        <v>2.8687</v>
      </c>
      <c r="I4080">
        <f>IFERROR(VLOOKUP($A4080,原始数据_利率互换_FR007_1年!$A$6:$C$4395,3,0),"")</f>
        <v>3.229</v>
      </c>
    </row>
    <row r="4081" spans="1:9">
      <c r="A4081" s="6">
        <v>43574</v>
      </c>
      <c r="B4081">
        <f>IFERROR(VLOOKUP($A4081,原始数据_收盘!$A$4:$G$3460,2,0),"")</f>
        <v>2.8392</v>
      </c>
      <c r="C4081">
        <f>IFERROR(VLOOKUP($A4081,原始数据_收盘!$A$4:$G$3460,3,0),"")</f>
        <v>3.1994</v>
      </c>
      <c r="D4081">
        <f>IFERROR(VLOOKUP($A4081,原始数据_收盘!$A$4:$G$3460,4,0),"")</f>
        <v>2.845</v>
      </c>
      <c r="E4081">
        <f>IFERROR(VLOOKUP($A4081,原始数据_收盘!$A$4:$G$3460,5,0),"")</f>
        <v>3.2033</v>
      </c>
      <c r="F4081">
        <f>IFERROR(VLOOKUP($A4081,原始数据_收盘!$A$4:$G$3460,6,0),"")</f>
        <v>2.8421</v>
      </c>
      <c r="G4081">
        <f>IFERROR(VLOOKUP($A4081,原始数据_收盘!$A$4:$G$3460,7,0),"")</f>
        <v>3.2014</v>
      </c>
      <c r="H4081">
        <f>IFERROR(VLOOKUP($A4081,原始数据_利率互换_FR007_1年!$A$6:$C$4395,2,0),"")</f>
        <v>2.8329</v>
      </c>
      <c r="I4081">
        <f>IFERROR(VLOOKUP($A4081,原始数据_利率互换_FR007_1年!$A$6:$C$4395,3,0),"")</f>
        <v>3.19</v>
      </c>
    </row>
    <row r="4082" spans="1:9">
      <c r="A4082" s="6">
        <v>43575</v>
      </c>
      <c r="B4082" t="str">
        <f>IFERROR(VLOOKUP($A4082,原始数据_收盘!$A$4:$G$3460,2,0),"")</f>
        <v/>
      </c>
      <c r="C4082" t="str">
        <f>IFERROR(VLOOKUP($A4082,原始数据_收盘!$A$4:$G$3460,3,0),"")</f>
        <v/>
      </c>
      <c r="D4082" t="str">
        <f>IFERROR(VLOOKUP($A4082,原始数据_收盘!$A$4:$G$3460,4,0),"")</f>
        <v/>
      </c>
      <c r="E4082" t="str">
        <f>IFERROR(VLOOKUP($A4082,原始数据_收盘!$A$4:$G$3460,5,0),"")</f>
        <v/>
      </c>
      <c r="F4082" t="str">
        <f>IFERROR(VLOOKUP($A4082,原始数据_收盘!$A$4:$G$3460,6,0),"")</f>
        <v/>
      </c>
      <c r="G4082" t="str">
        <f>IFERROR(VLOOKUP($A4082,原始数据_收盘!$A$4:$G$3460,7,0),"")</f>
        <v/>
      </c>
      <c r="H4082" t="str">
        <f>IFERROR(VLOOKUP($A4082,原始数据_利率互换_FR007_1年!$A$6:$C$4395,2,0),"")</f>
        <v/>
      </c>
      <c r="I4082" t="str">
        <f>IFERROR(VLOOKUP($A4082,原始数据_利率互换_FR007_1年!$A$6:$C$4395,3,0),"")</f>
        <v/>
      </c>
    </row>
    <row r="4083" spans="1:9">
      <c r="A4083" s="6">
        <v>43576</v>
      </c>
      <c r="B4083" t="str">
        <f>IFERROR(VLOOKUP($A4083,原始数据_收盘!$A$4:$G$3460,2,0),"")</f>
        <v/>
      </c>
      <c r="C4083" t="str">
        <f>IFERROR(VLOOKUP($A4083,原始数据_收盘!$A$4:$G$3460,3,0),"")</f>
        <v/>
      </c>
      <c r="D4083" t="str">
        <f>IFERROR(VLOOKUP($A4083,原始数据_收盘!$A$4:$G$3460,4,0),"")</f>
        <v/>
      </c>
      <c r="E4083" t="str">
        <f>IFERROR(VLOOKUP($A4083,原始数据_收盘!$A$4:$G$3460,5,0),"")</f>
        <v/>
      </c>
      <c r="F4083" t="str">
        <f>IFERROR(VLOOKUP($A4083,原始数据_收盘!$A$4:$G$3460,6,0),"")</f>
        <v/>
      </c>
      <c r="G4083" t="str">
        <f>IFERROR(VLOOKUP($A4083,原始数据_收盘!$A$4:$G$3460,7,0),"")</f>
        <v/>
      </c>
      <c r="H4083" t="str">
        <f>IFERROR(VLOOKUP($A4083,原始数据_利率互换_FR007_1年!$A$6:$C$4395,2,0),"")</f>
        <v/>
      </c>
      <c r="I4083" t="str">
        <f>IFERROR(VLOOKUP($A4083,原始数据_利率互换_FR007_1年!$A$6:$C$4395,3,0),"")</f>
        <v/>
      </c>
    </row>
    <row r="4084" spans="1:9">
      <c r="A4084" s="6">
        <v>43577</v>
      </c>
      <c r="B4084">
        <f>IFERROR(VLOOKUP($A4084,原始数据_收盘!$A$4:$G$3460,2,0),"")</f>
        <v>2.9078</v>
      </c>
      <c r="C4084">
        <f>IFERROR(VLOOKUP($A4084,原始数据_收盘!$A$4:$G$3460,3,0),"")</f>
        <v>3.2609</v>
      </c>
      <c r="D4084">
        <f>IFERROR(VLOOKUP($A4084,原始数据_收盘!$A$4:$G$3460,4,0),"")</f>
        <v>2.915</v>
      </c>
      <c r="E4084">
        <f>IFERROR(VLOOKUP($A4084,原始数据_收盘!$A$4:$G$3460,5,0),"")</f>
        <v>3.2643</v>
      </c>
      <c r="F4084">
        <f>IFERROR(VLOOKUP($A4084,原始数据_收盘!$A$4:$G$3460,6,0),"")</f>
        <v>2.9114</v>
      </c>
      <c r="G4084">
        <f>IFERROR(VLOOKUP($A4084,原始数据_收盘!$A$4:$G$3460,7,0),"")</f>
        <v>3.2626</v>
      </c>
      <c r="H4084">
        <f>IFERROR(VLOOKUP($A4084,原始数据_利率互换_FR007_1年!$A$6:$C$4395,2,0),"")</f>
        <v>2.887</v>
      </c>
      <c r="I4084">
        <f>IFERROR(VLOOKUP($A4084,原始数据_利率互换_FR007_1年!$A$6:$C$4395,3,0),"")</f>
        <v>3.2431</v>
      </c>
    </row>
    <row r="4085" spans="1:9">
      <c r="A4085" s="6">
        <v>43578</v>
      </c>
      <c r="B4085">
        <f>IFERROR(VLOOKUP($A4085,原始数据_收盘!$A$4:$G$3460,2,0),"")</f>
        <v>2.9176</v>
      </c>
      <c r="C4085">
        <f>IFERROR(VLOOKUP($A4085,原始数据_收盘!$A$4:$G$3460,3,0),"")</f>
        <v>3.2618</v>
      </c>
      <c r="D4085">
        <f>IFERROR(VLOOKUP($A4085,原始数据_收盘!$A$4:$G$3460,4,0),"")</f>
        <v>2.9237</v>
      </c>
      <c r="E4085">
        <f>IFERROR(VLOOKUP($A4085,原始数据_收盘!$A$4:$G$3460,5,0),"")</f>
        <v>3.2675</v>
      </c>
      <c r="F4085">
        <f>IFERROR(VLOOKUP($A4085,原始数据_收盘!$A$4:$G$3460,6,0),"")</f>
        <v>2.9207</v>
      </c>
      <c r="G4085">
        <f>IFERROR(VLOOKUP($A4085,原始数据_收盘!$A$4:$G$3460,7,0),"")</f>
        <v>3.2647</v>
      </c>
      <c r="H4085">
        <f>IFERROR(VLOOKUP($A4085,原始数据_利率互换_FR007_1年!$A$6:$C$4395,2,0),"")</f>
        <v>2.9355</v>
      </c>
      <c r="I4085">
        <f>IFERROR(VLOOKUP($A4085,原始数据_利率互换_FR007_1年!$A$6:$C$4395,3,0),"")</f>
        <v>3.2734</v>
      </c>
    </row>
    <row r="4086" spans="1:9">
      <c r="A4086" s="6">
        <v>43579</v>
      </c>
      <c r="B4086">
        <f>IFERROR(VLOOKUP($A4086,原始数据_收盘!$A$4:$G$3460,2,0),"")</f>
        <v>2.96</v>
      </c>
      <c r="C4086">
        <f>IFERROR(VLOOKUP($A4086,原始数据_收盘!$A$4:$G$3460,3,0),"")</f>
        <v>3.31</v>
      </c>
      <c r="D4086">
        <f>IFERROR(VLOOKUP($A4086,原始数据_收盘!$A$4:$G$3460,4,0),"")</f>
        <v>2.9626</v>
      </c>
      <c r="E4086">
        <f>IFERROR(VLOOKUP($A4086,原始数据_收盘!$A$4:$G$3460,5,0),"")</f>
        <v>3.315</v>
      </c>
      <c r="F4086">
        <f>IFERROR(VLOOKUP($A4086,原始数据_收盘!$A$4:$G$3460,6,0),"")</f>
        <v>2.9613</v>
      </c>
      <c r="G4086">
        <f>IFERROR(VLOOKUP($A4086,原始数据_收盘!$A$4:$G$3460,7,0),"")</f>
        <v>3.3125</v>
      </c>
      <c r="H4086">
        <f>IFERROR(VLOOKUP($A4086,原始数据_利率互换_FR007_1年!$A$6:$C$4395,2,0),"")</f>
        <v>2.9491</v>
      </c>
      <c r="I4086">
        <f>IFERROR(VLOOKUP($A4086,原始数据_利率互换_FR007_1年!$A$6:$C$4395,3,0),"")</f>
        <v>3.3103</v>
      </c>
    </row>
    <row r="4087" spans="1:9">
      <c r="A4087" s="6">
        <v>43580</v>
      </c>
      <c r="B4087">
        <f>IFERROR(VLOOKUP($A4087,原始数据_收盘!$A$4:$G$3460,2,0),"")</f>
        <v>2.9134</v>
      </c>
      <c r="C4087">
        <f>IFERROR(VLOOKUP($A4087,原始数据_收盘!$A$4:$G$3460,3,0),"")</f>
        <v>3.2691</v>
      </c>
      <c r="D4087">
        <f>IFERROR(VLOOKUP($A4087,原始数据_收盘!$A$4:$G$3460,4,0),"")</f>
        <v>2.9175</v>
      </c>
      <c r="E4087">
        <f>IFERROR(VLOOKUP($A4087,原始数据_收盘!$A$4:$G$3460,5,0),"")</f>
        <v>3.2725</v>
      </c>
      <c r="F4087">
        <f>IFERROR(VLOOKUP($A4087,原始数据_收盘!$A$4:$G$3460,6,0),"")</f>
        <v>2.9154</v>
      </c>
      <c r="G4087">
        <f>IFERROR(VLOOKUP($A4087,原始数据_收盘!$A$4:$G$3460,7,0),"")</f>
        <v>3.2708</v>
      </c>
      <c r="H4087">
        <f>IFERROR(VLOOKUP($A4087,原始数据_利率互换_FR007_1年!$A$6:$C$4395,2,0),"")</f>
        <v>2.916</v>
      </c>
      <c r="I4087">
        <f>IFERROR(VLOOKUP($A4087,原始数据_利率互换_FR007_1年!$A$6:$C$4395,3,0),"")</f>
        <v>3.2705</v>
      </c>
    </row>
    <row r="4088" spans="1:9">
      <c r="A4088" s="6">
        <v>43581</v>
      </c>
      <c r="B4088">
        <f>IFERROR(VLOOKUP($A4088,原始数据_收盘!$A$4:$G$3460,2,0),"")</f>
        <v>2.8675</v>
      </c>
      <c r="C4088">
        <f>IFERROR(VLOOKUP($A4088,原始数据_收盘!$A$4:$G$3460,3,0),"")</f>
        <v>3.2113</v>
      </c>
      <c r="D4088">
        <f>IFERROR(VLOOKUP($A4088,原始数据_收盘!$A$4:$G$3460,4,0),"")</f>
        <v>2.87</v>
      </c>
      <c r="E4088">
        <f>IFERROR(VLOOKUP($A4088,原始数据_收盘!$A$4:$G$3460,5,0),"")</f>
        <v>3.215</v>
      </c>
      <c r="F4088">
        <f>IFERROR(VLOOKUP($A4088,原始数据_收盘!$A$4:$G$3460,6,0),"")</f>
        <v>2.8688</v>
      </c>
      <c r="G4088">
        <f>IFERROR(VLOOKUP($A4088,原始数据_收盘!$A$4:$G$3460,7,0),"")</f>
        <v>3.2132</v>
      </c>
      <c r="H4088">
        <f>IFERROR(VLOOKUP($A4088,原始数据_利率互换_FR007_1年!$A$6:$C$4395,2,0),"")</f>
        <v>2.8879</v>
      </c>
      <c r="I4088">
        <f>IFERROR(VLOOKUP($A4088,原始数据_利率互换_FR007_1年!$A$6:$C$4395,3,0),"")</f>
        <v>3.24</v>
      </c>
    </row>
    <row r="4089" spans="1:9">
      <c r="A4089" s="6">
        <v>43582</v>
      </c>
      <c r="B4089" t="str">
        <f>IFERROR(VLOOKUP($A4089,原始数据_收盘!$A$4:$G$3460,2,0),"")</f>
        <v/>
      </c>
      <c r="C4089" t="str">
        <f>IFERROR(VLOOKUP($A4089,原始数据_收盘!$A$4:$G$3460,3,0),"")</f>
        <v/>
      </c>
      <c r="D4089" t="str">
        <f>IFERROR(VLOOKUP($A4089,原始数据_收盘!$A$4:$G$3460,4,0),"")</f>
        <v/>
      </c>
      <c r="E4089" t="str">
        <f>IFERROR(VLOOKUP($A4089,原始数据_收盘!$A$4:$G$3460,5,0),"")</f>
        <v/>
      </c>
      <c r="F4089" t="str">
        <f>IFERROR(VLOOKUP($A4089,原始数据_收盘!$A$4:$G$3460,6,0),"")</f>
        <v/>
      </c>
      <c r="G4089" t="str">
        <f>IFERROR(VLOOKUP($A4089,原始数据_收盘!$A$4:$G$3460,7,0),"")</f>
        <v/>
      </c>
      <c r="H4089" t="str">
        <f>IFERROR(VLOOKUP($A4089,原始数据_利率互换_FR007_1年!$A$6:$C$4395,2,0),"")</f>
        <v/>
      </c>
      <c r="I4089" t="str">
        <f>IFERROR(VLOOKUP($A4089,原始数据_利率互换_FR007_1年!$A$6:$C$4395,3,0),"")</f>
        <v/>
      </c>
    </row>
    <row r="4090" spans="1:9">
      <c r="A4090" s="6">
        <v>43583</v>
      </c>
      <c r="B4090">
        <f>IFERROR(VLOOKUP($A4090,原始数据_收盘!$A$4:$G$3460,2,0),"")</f>
        <v>2.865</v>
      </c>
      <c r="C4090">
        <f>IFERROR(VLOOKUP($A4090,原始数据_收盘!$A$4:$G$3460,3,0),"")</f>
        <v>3.21</v>
      </c>
      <c r="D4090">
        <f>IFERROR(VLOOKUP($A4090,原始数据_收盘!$A$4:$G$3460,4,0),"")</f>
        <v>2.875</v>
      </c>
      <c r="E4090">
        <f>IFERROR(VLOOKUP($A4090,原始数据_收盘!$A$4:$G$3460,5,0),"")</f>
        <v>3.2137</v>
      </c>
      <c r="F4090">
        <f>IFERROR(VLOOKUP($A4090,原始数据_收盘!$A$4:$G$3460,6,0),"")</f>
        <v>2.87</v>
      </c>
      <c r="G4090">
        <f>IFERROR(VLOOKUP($A4090,原始数据_收盘!$A$4:$G$3460,7,0),"")</f>
        <v>3.2118</v>
      </c>
      <c r="H4090">
        <f>IFERROR(VLOOKUP($A4090,原始数据_利率互换_FR007_1年!$A$6:$C$4395,2,0),"")</f>
        <v>2.895</v>
      </c>
      <c r="I4090">
        <f>IFERROR(VLOOKUP($A4090,原始数据_利率互换_FR007_1年!$A$6:$C$4395,3,0),"")</f>
        <v>3.2121</v>
      </c>
    </row>
    <row r="4091" spans="1:9">
      <c r="A4091" s="6">
        <v>43584</v>
      </c>
      <c r="B4091">
        <f>IFERROR(VLOOKUP($A4091,原始数据_收盘!$A$4:$G$3460,2,0),"")</f>
        <v>2.875</v>
      </c>
      <c r="C4091">
        <f>IFERROR(VLOOKUP($A4091,原始数据_收盘!$A$4:$G$3460,3,0),"")</f>
        <v>3.2192</v>
      </c>
      <c r="D4091">
        <f>IFERROR(VLOOKUP($A4091,原始数据_收盘!$A$4:$G$3460,4,0),"")</f>
        <v>2.88</v>
      </c>
      <c r="E4091">
        <f>IFERROR(VLOOKUP($A4091,原始数据_收盘!$A$4:$G$3460,5,0),"")</f>
        <v>3.2229</v>
      </c>
      <c r="F4091">
        <f>IFERROR(VLOOKUP($A4091,原始数据_收盘!$A$4:$G$3460,6,0),"")</f>
        <v>2.8775</v>
      </c>
      <c r="G4091">
        <f>IFERROR(VLOOKUP($A4091,原始数据_收盘!$A$4:$G$3460,7,0),"")</f>
        <v>3.2211</v>
      </c>
      <c r="H4091">
        <f>IFERROR(VLOOKUP($A4091,原始数据_利率互换_FR007_1年!$A$6:$C$4395,2,0),"")</f>
        <v>2.8731</v>
      </c>
      <c r="I4091">
        <f>IFERROR(VLOOKUP($A4091,原始数据_利率互换_FR007_1年!$A$6:$C$4395,3,0),"")</f>
        <v>3.2175</v>
      </c>
    </row>
    <row r="4092" spans="1:9">
      <c r="A4092" s="6">
        <v>43585</v>
      </c>
      <c r="B4092">
        <f>IFERROR(VLOOKUP($A4092,原始数据_收盘!$A$4:$G$3460,2,0),"")</f>
        <v>2.8375</v>
      </c>
      <c r="C4092">
        <f>IFERROR(VLOOKUP($A4092,原始数据_收盘!$A$4:$G$3460,3,0),"")</f>
        <v>3.165</v>
      </c>
      <c r="D4092">
        <f>IFERROR(VLOOKUP($A4092,原始数据_收盘!$A$4:$G$3460,4,0),"")</f>
        <v>2.8425</v>
      </c>
      <c r="E4092">
        <f>IFERROR(VLOOKUP($A4092,原始数据_收盘!$A$4:$G$3460,5,0),"")</f>
        <v>3.17</v>
      </c>
      <c r="F4092">
        <f>IFERROR(VLOOKUP($A4092,原始数据_收盘!$A$4:$G$3460,6,0),"")</f>
        <v>2.84</v>
      </c>
      <c r="G4092">
        <f>IFERROR(VLOOKUP($A4092,原始数据_收盘!$A$4:$G$3460,7,0),"")</f>
        <v>3.1675</v>
      </c>
      <c r="H4092">
        <f>IFERROR(VLOOKUP($A4092,原始数据_利率互换_FR007_1年!$A$6:$C$4395,2,0),"")</f>
        <v>2.8384</v>
      </c>
      <c r="I4092">
        <f>IFERROR(VLOOKUP($A4092,原始数据_利率互换_FR007_1年!$A$6:$C$4395,3,0),"")</f>
        <v>3.1739</v>
      </c>
    </row>
    <row r="4093" spans="1:9">
      <c r="A4093" s="6">
        <v>43586</v>
      </c>
      <c r="B4093" t="str">
        <f>IFERROR(VLOOKUP($A4093,原始数据_收盘!$A$4:$G$3460,2,0),"")</f>
        <v/>
      </c>
      <c r="C4093" t="str">
        <f>IFERROR(VLOOKUP($A4093,原始数据_收盘!$A$4:$G$3460,3,0),"")</f>
        <v/>
      </c>
      <c r="D4093" t="str">
        <f>IFERROR(VLOOKUP($A4093,原始数据_收盘!$A$4:$G$3460,4,0),"")</f>
        <v/>
      </c>
      <c r="E4093" t="str">
        <f>IFERROR(VLOOKUP($A4093,原始数据_收盘!$A$4:$G$3460,5,0),"")</f>
        <v/>
      </c>
      <c r="F4093" t="str">
        <f>IFERROR(VLOOKUP($A4093,原始数据_收盘!$A$4:$G$3460,6,0),"")</f>
        <v/>
      </c>
      <c r="G4093" t="str">
        <f>IFERROR(VLOOKUP($A4093,原始数据_收盘!$A$4:$G$3460,7,0),"")</f>
        <v/>
      </c>
      <c r="H4093" t="str">
        <f>IFERROR(VLOOKUP($A4093,原始数据_利率互换_FR007_1年!$A$6:$C$4395,2,0),"")</f>
        <v/>
      </c>
      <c r="I4093" t="str">
        <f>IFERROR(VLOOKUP($A4093,原始数据_利率互换_FR007_1年!$A$6:$C$4395,3,0),"")</f>
        <v/>
      </c>
    </row>
    <row r="4094" spans="1:9">
      <c r="A4094" s="6">
        <v>43587</v>
      </c>
      <c r="B4094" t="str">
        <f>IFERROR(VLOOKUP($A4094,原始数据_收盘!$A$4:$G$3460,2,0),"")</f>
        <v/>
      </c>
      <c r="C4094" t="str">
        <f>IFERROR(VLOOKUP($A4094,原始数据_收盘!$A$4:$G$3460,3,0),"")</f>
        <v/>
      </c>
      <c r="D4094" t="str">
        <f>IFERROR(VLOOKUP($A4094,原始数据_收盘!$A$4:$G$3460,4,0),"")</f>
        <v/>
      </c>
      <c r="E4094" t="str">
        <f>IFERROR(VLOOKUP($A4094,原始数据_收盘!$A$4:$G$3460,5,0),"")</f>
        <v/>
      </c>
      <c r="F4094" t="str">
        <f>IFERROR(VLOOKUP($A4094,原始数据_收盘!$A$4:$G$3460,6,0),"")</f>
        <v/>
      </c>
      <c r="G4094" t="str">
        <f>IFERROR(VLOOKUP($A4094,原始数据_收盘!$A$4:$G$3460,7,0),"")</f>
        <v/>
      </c>
      <c r="H4094" t="str">
        <f>IFERROR(VLOOKUP($A4094,原始数据_利率互换_FR007_1年!$A$6:$C$4395,2,0),"")</f>
        <v/>
      </c>
      <c r="I4094" t="str">
        <f>IFERROR(VLOOKUP($A4094,原始数据_利率互换_FR007_1年!$A$6:$C$4395,3,0),"")</f>
        <v/>
      </c>
    </row>
    <row r="4095" spans="1:9">
      <c r="A4095" s="6">
        <v>43588</v>
      </c>
      <c r="B4095" t="str">
        <f>IFERROR(VLOOKUP($A4095,原始数据_收盘!$A$4:$G$3460,2,0),"")</f>
        <v/>
      </c>
      <c r="C4095" t="str">
        <f>IFERROR(VLOOKUP($A4095,原始数据_收盘!$A$4:$G$3460,3,0),"")</f>
        <v/>
      </c>
      <c r="D4095" t="str">
        <f>IFERROR(VLOOKUP($A4095,原始数据_收盘!$A$4:$G$3460,4,0),"")</f>
        <v/>
      </c>
      <c r="E4095" t="str">
        <f>IFERROR(VLOOKUP($A4095,原始数据_收盘!$A$4:$G$3460,5,0),"")</f>
        <v/>
      </c>
      <c r="F4095" t="str">
        <f>IFERROR(VLOOKUP($A4095,原始数据_收盘!$A$4:$G$3460,6,0),"")</f>
        <v/>
      </c>
      <c r="G4095" t="str">
        <f>IFERROR(VLOOKUP($A4095,原始数据_收盘!$A$4:$G$3460,7,0),"")</f>
        <v/>
      </c>
      <c r="H4095" t="str">
        <f>IFERROR(VLOOKUP($A4095,原始数据_利率互换_FR007_1年!$A$6:$C$4395,2,0),"")</f>
        <v/>
      </c>
      <c r="I4095" t="str">
        <f>IFERROR(VLOOKUP($A4095,原始数据_利率互换_FR007_1年!$A$6:$C$4395,3,0),"")</f>
        <v/>
      </c>
    </row>
    <row r="4096" spans="1:9">
      <c r="A4096" s="6">
        <v>43589</v>
      </c>
      <c r="B4096" t="str">
        <f>IFERROR(VLOOKUP($A4096,原始数据_收盘!$A$4:$G$3460,2,0),"")</f>
        <v/>
      </c>
      <c r="C4096" t="str">
        <f>IFERROR(VLOOKUP($A4096,原始数据_收盘!$A$4:$G$3460,3,0),"")</f>
        <v/>
      </c>
      <c r="D4096" t="str">
        <f>IFERROR(VLOOKUP($A4096,原始数据_收盘!$A$4:$G$3460,4,0),"")</f>
        <v/>
      </c>
      <c r="E4096" t="str">
        <f>IFERROR(VLOOKUP($A4096,原始数据_收盘!$A$4:$G$3460,5,0),"")</f>
        <v/>
      </c>
      <c r="F4096" t="str">
        <f>IFERROR(VLOOKUP($A4096,原始数据_收盘!$A$4:$G$3460,6,0),"")</f>
        <v/>
      </c>
      <c r="G4096" t="str">
        <f>IFERROR(VLOOKUP($A4096,原始数据_收盘!$A$4:$G$3460,7,0),"")</f>
        <v/>
      </c>
      <c r="H4096" t="str">
        <f>IFERROR(VLOOKUP($A4096,原始数据_利率互换_FR007_1年!$A$6:$C$4395,2,0),"")</f>
        <v/>
      </c>
      <c r="I4096" t="str">
        <f>IFERROR(VLOOKUP($A4096,原始数据_利率互换_FR007_1年!$A$6:$C$4395,3,0),"")</f>
        <v/>
      </c>
    </row>
    <row r="4097" spans="1:9">
      <c r="A4097" s="6">
        <v>43590</v>
      </c>
      <c r="B4097">
        <f>IFERROR(VLOOKUP($A4097,原始数据_收盘!$A$4:$G$3460,2,0),"")</f>
        <v>2.8375</v>
      </c>
      <c r="C4097">
        <f>IFERROR(VLOOKUP($A4097,原始数据_收盘!$A$4:$G$3460,3,0),"")</f>
        <v>3.1625</v>
      </c>
      <c r="D4097">
        <f>IFERROR(VLOOKUP($A4097,原始数据_收盘!$A$4:$G$3460,4,0),"")</f>
        <v>2.84</v>
      </c>
      <c r="E4097">
        <f>IFERROR(VLOOKUP($A4097,原始数据_收盘!$A$4:$G$3460,5,0),"")</f>
        <v>3.18</v>
      </c>
      <c r="F4097">
        <f>IFERROR(VLOOKUP($A4097,原始数据_收盘!$A$4:$G$3460,6,0),"")</f>
        <v>2.8388</v>
      </c>
      <c r="G4097">
        <f>IFERROR(VLOOKUP($A4097,原始数据_收盘!$A$4:$G$3460,7,0),"")</f>
        <v>3.1713</v>
      </c>
      <c r="H4097">
        <f>IFERROR(VLOOKUP($A4097,原始数据_利率互换_FR007_1年!$A$6:$C$4395,2,0),"")</f>
        <v>2.84</v>
      </c>
      <c r="I4097">
        <f>IFERROR(VLOOKUP($A4097,原始数据_利率互换_FR007_1年!$A$6:$C$4395,3,0),"")</f>
        <v>3.18</v>
      </c>
    </row>
    <row r="4098" spans="1:9">
      <c r="A4098" s="6">
        <v>43591</v>
      </c>
      <c r="B4098">
        <f>IFERROR(VLOOKUP($A4098,原始数据_收盘!$A$4:$G$3460,2,0),"")</f>
        <v>2.7878</v>
      </c>
      <c r="C4098">
        <f>IFERROR(VLOOKUP($A4098,原始数据_收盘!$A$4:$G$3460,3,0),"")</f>
        <v>3.12</v>
      </c>
      <c r="D4098">
        <f>IFERROR(VLOOKUP($A4098,原始数据_收盘!$A$4:$G$3460,4,0),"")</f>
        <v>2.7925</v>
      </c>
      <c r="E4098">
        <f>IFERROR(VLOOKUP($A4098,原始数据_收盘!$A$4:$G$3460,5,0),"")</f>
        <v>3.1225</v>
      </c>
      <c r="F4098">
        <f>IFERROR(VLOOKUP($A4098,原始数据_收盘!$A$4:$G$3460,6,0),"")</f>
        <v>2.7902</v>
      </c>
      <c r="G4098">
        <f>IFERROR(VLOOKUP($A4098,原始数据_收盘!$A$4:$G$3460,7,0),"")</f>
        <v>3.1213</v>
      </c>
      <c r="H4098">
        <f>IFERROR(VLOOKUP($A4098,原始数据_利率互换_FR007_1年!$A$6:$C$4395,2,0),"")</f>
        <v>2.7944</v>
      </c>
      <c r="I4098">
        <f>IFERROR(VLOOKUP($A4098,原始数据_利率互换_FR007_1年!$A$6:$C$4395,3,0),"")</f>
        <v>3.1152</v>
      </c>
    </row>
    <row r="4099" spans="1:9">
      <c r="A4099" s="6">
        <v>43592</v>
      </c>
      <c r="B4099">
        <f>IFERROR(VLOOKUP($A4099,原始数据_收盘!$A$4:$G$3460,2,0),"")</f>
        <v>2.76</v>
      </c>
      <c r="C4099">
        <f>IFERROR(VLOOKUP($A4099,原始数据_收盘!$A$4:$G$3460,3,0),"")</f>
        <v>3.115</v>
      </c>
      <c r="D4099">
        <f>IFERROR(VLOOKUP($A4099,原始数据_收盘!$A$4:$G$3460,4,0),"")</f>
        <v>2.765</v>
      </c>
      <c r="E4099">
        <f>IFERROR(VLOOKUP($A4099,原始数据_收盘!$A$4:$G$3460,5,0),"")</f>
        <v>3.12</v>
      </c>
      <c r="F4099">
        <f>IFERROR(VLOOKUP($A4099,原始数据_收盘!$A$4:$G$3460,6,0),"")</f>
        <v>2.7625</v>
      </c>
      <c r="G4099">
        <f>IFERROR(VLOOKUP($A4099,原始数据_收盘!$A$4:$G$3460,7,0),"")</f>
        <v>3.1175</v>
      </c>
      <c r="H4099">
        <f>IFERROR(VLOOKUP($A4099,原始数据_利率互换_FR007_1年!$A$6:$C$4395,2,0),"")</f>
        <v>2.7745</v>
      </c>
      <c r="I4099">
        <f>IFERROR(VLOOKUP($A4099,原始数据_利率互换_FR007_1年!$A$6:$C$4395,3,0),"")</f>
        <v>3.116</v>
      </c>
    </row>
    <row r="4100" spans="1:9">
      <c r="A4100" s="6">
        <v>43593</v>
      </c>
      <c r="B4100">
        <f>IFERROR(VLOOKUP($A4100,原始数据_收盘!$A$4:$G$3460,2,0),"")</f>
        <v>2.745</v>
      </c>
      <c r="C4100">
        <f>IFERROR(VLOOKUP($A4100,原始数据_收盘!$A$4:$G$3460,3,0),"")</f>
        <v>3.0965</v>
      </c>
      <c r="D4100">
        <f>IFERROR(VLOOKUP($A4100,原始数据_收盘!$A$4:$G$3460,4,0),"")</f>
        <v>2.75</v>
      </c>
      <c r="E4100">
        <f>IFERROR(VLOOKUP($A4100,原始数据_收盘!$A$4:$G$3460,5,0),"")</f>
        <v>3.1</v>
      </c>
      <c r="F4100">
        <f>IFERROR(VLOOKUP($A4100,原始数据_收盘!$A$4:$G$3460,6,0),"")</f>
        <v>2.7475</v>
      </c>
      <c r="G4100">
        <f>IFERROR(VLOOKUP($A4100,原始数据_收盘!$A$4:$G$3460,7,0),"")</f>
        <v>3.0983</v>
      </c>
      <c r="H4100">
        <f>IFERROR(VLOOKUP($A4100,原始数据_利率互换_FR007_1年!$A$6:$C$4395,2,0),"")</f>
        <v>2.7413</v>
      </c>
      <c r="I4100">
        <f>IFERROR(VLOOKUP($A4100,原始数据_利率互换_FR007_1年!$A$6:$C$4395,3,0),"")</f>
        <v>3.0905</v>
      </c>
    </row>
    <row r="4101" spans="1:9">
      <c r="A4101" s="6">
        <v>43594</v>
      </c>
      <c r="B4101">
        <f>IFERROR(VLOOKUP($A4101,原始数据_收盘!$A$4:$G$3460,2,0),"")</f>
        <v>2.71</v>
      </c>
      <c r="C4101">
        <f>IFERROR(VLOOKUP($A4101,原始数据_收盘!$A$4:$G$3460,3,0),"")</f>
        <v>3.0525</v>
      </c>
      <c r="D4101">
        <f>IFERROR(VLOOKUP($A4101,原始数据_收盘!$A$4:$G$3460,4,0),"")</f>
        <v>2.7155</v>
      </c>
      <c r="E4101">
        <f>IFERROR(VLOOKUP($A4101,原始数据_收盘!$A$4:$G$3460,5,0),"")</f>
        <v>3.06</v>
      </c>
      <c r="F4101">
        <f>IFERROR(VLOOKUP($A4101,原始数据_收盘!$A$4:$G$3460,6,0),"")</f>
        <v>2.7128</v>
      </c>
      <c r="G4101">
        <f>IFERROR(VLOOKUP($A4101,原始数据_收盘!$A$4:$G$3460,7,0),"")</f>
        <v>3.0563</v>
      </c>
      <c r="H4101">
        <f>IFERROR(VLOOKUP($A4101,原始数据_利率互换_FR007_1年!$A$6:$C$4395,2,0),"")</f>
        <v>2.7236</v>
      </c>
      <c r="I4101">
        <f>IFERROR(VLOOKUP($A4101,原始数据_利率互换_FR007_1年!$A$6:$C$4395,3,0),"")</f>
        <v>3.0702</v>
      </c>
    </row>
    <row r="4102" spans="1:9">
      <c r="A4102" s="6">
        <v>43595</v>
      </c>
      <c r="B4102">
        <f>IFERROR(VLOOKUP($A4102,原始数据_收盘!$A$4:$G$3460,2,0),"")</f>
        <v>2.7275</v>
      </c>
      <c r="C4102">
        <f>IFERROR(VLOOKUP($A4102,原始数据_收盘!$A$4:$G$3460,3,0),"")</f>
        <v>3.0853</v>
      </c>
      <c r="D4102">
        <f>IFERROR(VLOOKUP($A4102,原始数据_收盘!$A$4:$G$3460,4,0),"")</f>
        <v>2.7325</v>
      </c>
      <c r="E4102">
        <f>IFERROR(VLOOKUP($A4102,原始数据_收盘!$A$4:$G$3460,5,0),"")</f>
        <v>3.09</v>
      </c>
      <c r="F4102">
        <f>IFERROR(VLOOKUP($A4102,原始数据_收盘!$A$4:$G$3460,6,0),"")</f>
        <v>2.73</v>
      </c>
      <c r="G4102">
        <f>IFERROR(VLOOKUP($A4102,原始数据_收盘!$A$4:$G$3460,7,0),"")</f>
        <v>3.0876</v>
      </c>
      <c r="H4102">
        <f>IFERROR(VLOOKUP($A4102,原始数据_利率互换_FR007_1年!$A$6:$C$4395,2,0),"")</f>
        <v>2.7364</v>
      </c>
      <c r="I4102">
        <f>IFERROR(VLOOKUP($A4102,原始数据_利率互换_FR007_1年!$A$6:$C$4395,3,0),"")</f>
        <v>3.0952</v>
      </c>
    </row>
    <row r="4103" spans="1:9">
      <c r="A4103" s="6">
        <v>43596</v>
      </c>
      <c r="B4103" t="str">
        <f>IFERROR(VLOOKUP($A4103,原始数据_收盘!$A$4:$G$3460,2,0),"")</f>
        <v/>
      </c>
      <c r="C4103" t="str">
        <f>IFERROR(VLOOKUP($A4103,原始数据_收盘!$A$4:$G$3460,3,0),"")</f>
        <v/>
      </c>
      <c r="D4103" t="str">
        <f>IFERROR(VLOOKUP($A4103,原始数据_收盘!$A$4:$G$3460,4,0),"")</f>
        <v/>
      </c>
      <c r="E4103" t="str">
        <f>IFERROR(VLOOKUP($A4103,原始数据_收盘!$A$4:$G$3460,5,0),"")</f>
        <v/>
      </c>
      <c r="F4103" t="str">
        <f>IFERROR(VLOOKUP($A4103,原始数据_收盘!$A$4:$G$3460,6,0),"")</f>
        <v/>
      </c>
      <c r="G4103" t="str">
        <f>IFERROR(VLOOKUP($A4103,原始数据_收盘!$A$4:$G$3460,7,0),"")</f>
        <v/>
      </c>
      <c r="H4103" t="str">
        <f>IFERROR(VLOOKUP($A4103,原始数据_利率互换_FR007_1年!$A$6:$C$4395,2,0),"")</f>
        <v/>
      </c>
      <c r="I4103" t="str">
        <f>IFERROR(VLOOKUP($A4103,原始数据_利率互换_FR007_1年!$A$6:$C$4395,3,0),"")</f>
        <v/>
      </c>
    </row>
    <row r="4104" spans="1:9">
      <c r="A4104" s="6">
        <v>43597</v>
      </c>
      <c r="B4104" t="str">
        <f>IFERROR(VLOOKUP($A4104,原始数据_收盘!$A$4:$G$3460,2,0),"")</f>
        <v/>
      </c>
      <c r="C4104" t="str">
        <f>IFERROR(VLOOKUP($A4104,原始数据_收盘!$A$4:$G$3460,3,0),"")</f>
        <v/>
      </c>
      <c r="D4104" t="str">
        <f>IFERROR(VLOOKUP($A4104,原始数据_收盘!$A$4:$G$3460,4,0),"")</f>
        <v/>
      </c>
      <c r="E4104" t="str">
        <f>IFERROR(VLOOKUP($A4104,原始数据_收盘!$A$4:$G$3460,5,0),"")</f>
        <v/>
      </c>
      <c r="F4104" t="str">
        <f>IFERROR(VLOOKUP($A4104,原始数据_收盘!$A$4:$G$3460,6,0),"")</f>
        <v/>
      </c>
      <c r="G4104" t="str">
        <f>IFERROR(VLOOKUP($A4104,原始数据_收盘!$A$4:$G$3460,7,0),"")</f>
        <v/>
      </c>
      <c r="H4104" t="str">
        <f>IFERROR(VLOOKUP($A4104,原始数据_利率互换_FR007_1年!$A$6:$C$4395,2,0),"")</f>
        <v/>
      </c>
      <c r="I4104" t="str">
        <f>IFERROR(VLOOKUP($A4104,原始数据_利率互换_FR007_1年!$A$6:$C$4395,3,0),"")</f>
        <v/>
      </c>
    </row>
    <row r="4105" spans="1:9">
      <c r="A4105" s="6">
        <v>43598</v>
      </c>
      <c r="B4105">
        <f>IFERROR(VLOOKUP($A4105,原始数据_收盘!$A$4:$G$3460,2,0),"")</f>
        <v>2.7025</v>
      </c>
      <c r="C4105">
        <f>IFERROR(VLOOKUP($A4105,原始数据_收盘!$A$4:$G$3460,3,0),"")</f>
        <v>3.0475</v>
      </c>
      <c r="D4105">
        <f>IFERROR(VLOOKUP($A4105,原始数据_收盘!$A$4:$G$3460,4,0),"")</f>
        <v>2.705</v>
      </c>
      <c r="E4105">
        <f>IFERROR(VLOOKUP($A4105,原始数据_收盘!$A$4:$G$3460,5,0),"")</f>
        <v>3.05</v>
      </c>
      <c r="F4105">
        <f>IFERROR(VLOOKUP($A4105,原始数据_收盘!$A$4:$G$3460,6,0),"")</f>
        <v>2.7038</v>
      </c>
      <c r="G4105">
        <f>IFERROR(VLOOKUP($A4105,原始数据_收盘!$A$4:$G$3460,7,0),"")</f>
        <v>3.0488</v>
      </c>
      <c r="H4105">
        <f>IFERROR(VLOOKUP($A4105,原始数据_利率互换_FR007_1年!$A$6:$C$4395,2,0),"")</f>
        <v>2.7078</v>
      </c>
      <c r="I4105">
        <f>IFERROR(VLOOKUP($A4105,原始数据_利率互换_FR007_1年!$A$6:$C$4395,3,0),"")</f>
        <v>3.0559</v>
      </c>
    </row>
    <row r="4106" spans="1:9">
      <c r="A4106" s="6">
        <v>43599</v>
      </c>
      <c r="B4106">
        <f>IFERROR(VLOOKUP($A4106,原始数据_收盘!$A$4:$G$3460,2,0),"")</f>
        <v>2.7225</v>
      </c>
      <c r="C4106">
        <f>IFERROR(VLOOKUP($A4106,原始数据_收盘!$A$4:$G$3460,3,0),"")</f>
        <v>3.065</v>
      </c>
      <c r="D4106">
        <f>IFERROR(VLOOKUP($A4106,原始数据_收盘!$A$4:$G$3460,4,0),"")</f>
        <v>2.7257</v>
      </c>
      <c r="E4106">
        <f>IFERROR(VLOOKUP($A4106,原始数据_收盘!$A$4:$G$3460,5,0),"")</f>
        <v>3.0682</v>
      </c>
      <c r="F4106">
        <f>IFERROR(VLOOKUP($A4106,原始数据_收盘!$A$4:$G$3460,6,0),"")</f>
        <v>2.7241</v>
      </c>
      <c r="G4106">
        <f>IFERROR(VLOOKUP($A4106,原始数据_收盘!$A$4:$G$3460,7,0),"")</f>
        <v>3.0666</v>
      </c>
      <c r="H4106">
        <f>IFERROR(VLOOKUP($A4106,原始数据_利率互换_FR007_1年!$A$6:$C$4395,2,0),"")</f>
        <v>2.7229</v>
      </c>
      <c r="I4106">
        <f>IFERROR(VLOOKUP($A4106,原始数据_利率互换_FR007_1年!$A$6:$C$4395,3,0),"")</f>
        <v>3.0726</v>
      </c>
    </row>
    <row r="4107" spans="1:9">
      <c r="A4107" s="6">
        <v>43600</v>
      </c>
      <c r="B4107">
        <f>IFERROR(VLOOKUP($A4107,原始数据_收盘!$A$4:$G$3460,2,0),"")</f>
        <v>2.72</v>
      </c>
      <c r="C4107">
        <f>IFERROR(VLOOKUP($A4107,原始数据_收盘!$A$4:$G$3460,3,0),"")</f>
        <v>3.0625</v>
      </c>
      <c r="D4107">
        <f>IFERROR(VLOOKUP($A4107,原始数据_收盘!$A$4:$G$3460,4,0),"")</f>
        <v>2.725</v>
      </c>
      <c r="E4107">
        <f>IFERROR(VLOOKUP($A4107,原始数据_收盘!$A$4:$G$3460,5,0),"")</f>
        <v>3.065</v>
      </c>
      <c r="F4107">
        <f>IFERROR(VLOOKUP($A4107,原始数据_收盘!$A$4:$G$3460,6,0),"")</f>
        <v>2.7225</v>
      </c>
      <c r="G4107">
        <f>IFERROR(VLOOKUP($A4107,原始数据_收盘!$A$4:$G$3460,7,0),"")</f>
        <v>3.0638</v>
      </c>
      <c r="H4107">
        <f>IFERROR(VLOOKUP($A4107,原始数据_利率互换_FR007_1年!$A$6:$C$4395,2,0),"")</f>
        <v>2.7234</v>
      </c>
      <c r="I4107">
        <f>IFERROR(VLOOKUP($A4107,原始数据_利率互换_FR007_1年!$A$6:$C$4395,3,0),"")</f>
        <v>3.0675</v>
      </c>
    </row>
    <row r="4108" spans="1:9">
      <c r="A4108" s="6">
        <v>43601</v>
      </c>
      <c r="B4108">
        <f>IFERROR(VLOOKUP($A4108,原始数据_收盘!$A$4:$G$3460,2,0),"")</f>
        <v>2.7125</v>
      </c>
      <c r="C4108">
        <f>IFERROR(VLOOKUP($A4108,原始数据_收盘!$A$4:$G$3460,3,0),"")</f>
        <v>3.0433</v>
      </c>
      <c r="D4108">
        <f>IFERROR(VLOOKUP($A4108,原始数据_收盘!$A$4:$G$3460,4,0),"")</f>
        <v>2.715</v>
      </c>
      <c r="E4108">
        <f>IFERROR(VLOOKUP($A4108,原始数据_收盘!$A$4:$G$3460,5,0),"")</f>
        <v>3.0469</v>
      </c>
      <c r="F4108">
        <f>IFERROR(VLOOKUP($A4108,原始数据_收盘!$A$4:$G$3460,6,0),"")</f>
        <v>2.7138</v>
      </c>
      <c r="G4108">
        <f>IFERROR(VLOOKUP($A4108,原始数据_收盘!$A$4:$G$3460,7,0),"")</f>
        <v>3.0451</v>
      </c>
      <c r="H4108">
        <f>IFERROR(VLOOKUP($A4108,原始数据_利率互换_FR007_1年!$A$6:$C$4395,2,0),"")</f>
        <v>2.7065</v>
      </c>
      <c r="I4108">
        <f>IFERROR(VLOOKUP($A4108,原始数据_利率互换_FR007_1年!$A$6:$C$4395,3,0),"")</f>
        <v>3.0416</v>
      </c>
    </row>
    <row r="4109" spans="1:9">
      <c r="A4109" s="6">
        <v>43602</v>
      </c>
      <c r="B4109">
        <f>IFERROR(VLOOKUP($A4109,原始数据_收盘!$A$4:$G$3460,2,0),"")</f>
        <v>2.7075</v>
      </c>
      <c r="C4109">
        <f>IFERROR(VLOOKUP($A4109,原始数据_收盘!$A$4:$G$3460,3,0),"")</f>
        <v>3.025</v>
      </c>
      <c r="D4109">
        <f>IFERROR(VLOOKUP($A4109,原始数据_收盘!$A$4:$G$3460,4,0),"")</f>
        <v>2.71</v>
      </c>
      <c r="E4109">
        <f>IFERROR(VLOOKUP($A4109,原始数据_收盘!$A$4:$G$3460,5,0),"")</f>
        <v>3.03</v>
      </c>
      <c r="F4109">
        <f>IFERROR(VLOOKUP($A4109,原始数据_收盘!$A$4:$G$3460,6,0),"")</f>
        <v>2.7088</v>
      </c>
      <c r="G4109">
        <f>IFERROR(VLOOKUP($A4109,原始数据_收盘!$A$4:$G$3460,7,0),"")</f>
        <v>3.0275</v>
      </c>
      <c r="H4109">
        <f>IFERROR(VLOOKUP($A4109,原始数据_利率互换_FR007_1年!$A$6:$C$4395,2,0),"")</f>
        <v>2.7111</v>
      </c>
      <c r="I4109">
        <f>IFERROR(VLOOKUP($A4109,原始数据_利率互换_FR007_1年!$A$6:$C$4395,3,0),"")</f>
        <v>3.0378</v>
      </c>
    </row>
    <row r="4110" spans="1:9">
      <c r="A4110" s="6">
        <v>43603</v>
      </c>
      <c r="B4110" t="str">
        <f>IFERROR(VLOOKUP($A4110,原始数据_收盘!$A$4:$G$3460,2,0),"")</f>
        <v/>
      </c>
      <c r="C4110" t="str">
        <f>IFERROR(VLOOKUP($A4110,原始数据_收盘!$A$4:$G$3460,3,0),"")</f>
        <v/>
      </c>
      <c r="D4110" t="str">
        <f>IFERROR(VLOOKUP($A4110,原始数据_收盘!$A$4:$G$3460,4,0),"")</f>
        <v/>
      </c>
      <c r="E4110" t="str">
        <f>IFERROR(VLOOKUP($A4110,原始数据_收盘!$A$4:$G$3460,5,0),"")</f>
        <v/>
      </c>
      <c r="F4110" t="str">
        <f>IFERROR(VLOOKUP($A4110,原始数据_收盘!$A$4:$G$3460,6,0),"")</f>
        <v/>
      </c>
      <c r="G4110" t="str">
        <f>IFERROR(VLOOKUP($A4110,原始数据_收盘!$A$4:$G$3460,7,0),"")</f>
        <v/>
      </c>
      <c r="H4110" t="str">
        <f>IFERROR(VLOOKUP($A4110,原始数据_利率互换_FR007_1年!$A$6:$C$4395,2,0),"")</f>
        <v/>
      </c>
      <c r="I4110" t="str">
        <f>IFERROR(VLOOKUP($A4110,原始数据_利率互换_FR007_1年!$A$6:$C$4395,3,0),"")</f>
        <v/>
      </c>
    </row>
    <row r="4111" spans="1:9">
      <c r="A4111" s="6">
        <v>43604</v>
      </c>
      <c r="B4111" t="str">
        <f>IFERROR(VLOOKUP($A4111,原始数据_收盘!$A$4:$G$3460,2,0),"")</f>
        <v/>
      </c>
      <c r="C4111" t="str">
        <f>IFERROR(VLOOKUP($A4111,原始数据_收盘!$A$4:$G$3460,3,0),"")</f>
        <v/>
      </c>
      <c r="D4111" t="str">
        <f>IFERROR(VLOOKUP($A4111,原始数据_收盘!$A$4:$G$3460,4,0),"")</f>
        <v/>
      </c>
      <c r="E4111" t="str">
        <f>IFERROR(VLOOKUP($A4111,原始数据_收盘!$A$4:$G$3460,5,0),"")</f>
        <v/>
      </c>
      <c r="F4111" t="str">
        <f>IFERROR(VLOOKUP($A4111,原始数据_收盘!$A$4:$G$3460,6,0),"")</f>
        <v/>
      </c>
      <c r="G4111" t="str">
        <f>IFERROR(VLOOKUP($A4111,原始数据_收盘!$A$4:$G$3460,7,0),"")</f>
        <v/>
      </c>
      <c r="H4111" t="str">
        <f>IFERROR(VLOOKUP($A4111,原始数据_利率互换_FR007_1年!$A$6:$C$4395,2,0),"")</f>
        <v/>
      </c>
      <c r="I4111" t="str">
        <f>IFERROR(VLOOKUP($A4111,原始数据_利率互换_FR007_1年!$A$6:$C$4395,3,0),"")</f>
        <v/>
      </c>
    </row>
    <row r="4112" spans="1:9">
      <c r="A4112" s="6">
        <v>43605</v>
      </c>
      <c r="B4112">
        <f>IFERROR(VLOOKUP($A4112,原始数据_收盘!$A$4:$G$3460,2,0),"")</f>
        <v>2.7375</v>
      </c>
      <c r="C4112">
        <f>IFERROR(VLOOKUP($A4112,原始数据_收盘!$A$4:$G$3460,3,0),"")</f>
        <v>3.05</v>
      </c>
      <c r="D4112">
        <f>IFERROR(VLOOKUP($A4112,原始数据_收盘!$A$4:$G$3460,4,0),"")</f>
        <v>2.7404</v>
      </c>
      <c r="E4112">
        <f>IFERROR(VLOOKUP($A4112,原始数据_收盘!$A$4:$G$3460,5,0),"")</f>
        <v>3.0525</v>
      </c>
      <c r="F4112">
        <f>IFERROR(VLOOKUP($A4112,原始数据_收盘!$A$4:$G$3460,6,0),"")</f>
        <v>2.739</v>
      </c>
      <c r="G4112">
        <f>IFERROR(VLOOKUP($A4112,原始数据_收盘!$A$4:$G$3460,7,0),"")</f>
        <v>3.0513</v>
      </c>
      <c r="H4112">
        <f>IFERROR(VLOOKUP($A4112,原始数据_利率互换_FR007_1年!$A$6:$C$4395,2,0),"")</f>
        <v>2.7358</v>
      </c>
      <c r="I4112">
        <f>IFERROR(VLOOKUP($A4112,原始数据_利率互换_FR007_1年!$A$6:$C$4395,3,0),"")</f>
        <v>3.0412</v>
      </c>
    </row>
    <row r="4113" spans="1:9">
      <c r="A4113" s="6">
        <v>43606</v>
      </c>
      <c r="B4113">
        <f>IFERROR(VLOOKUP($A4113,原始数据_收盘!$A$4:$G$3460,2,0),"")</f>
        <v>2.7545</v>
      </c>
      <c r="C4113">
        <f>IFERROR(VLOOKUP($A4113,原始数据_收盘!$A$4:$G$3460,3,0),"")</f>
        <v>3.0761</v>
      </c>
      <c r="D4113">
        <f>IFERROR(VLOOKUP($A4113,原始数据_收盘!$A$4:$G$3460,4,0),"")</f>
        <v>2.7575</v>
      </c>
      <c r="E4113">
        <f>IFERROR(VLOOKUP($A4113,原始数据_收盘!$A$4:$G$3460,5,0),"")</f>
        <v>3.0794</v>
      </c>
      <c r="F4113">
        <f>IFERROR(VLOOKUP($A4113,原始数据_收盘!$A$4:$G$3460,6,0),"")</f>
        <v>2.756</v>
      </c>
      <c r="G4113">
        <f>IFERROR(VLOOKUP($A4113,原始数据_收盘!$A$4:$G$3460,7,0),"")</f>
        <v>3.0777</v>
      </c>
      <c r="H4113">
        <f>IFERROR(VLOOKUP($A4113,原始数据_利率互换_FR007_1年!$A$6:$C$4395,2,0),"")</f>
        <v>2.7538</v>
      </c>
      <c r="I4113">
        <f>IFERROR(VLOOKUP($A4113,原始数据_利率互换_FR007_1年!$A$6:$C$4395,3,0),"")</f>
        <v>3.0717</v>
      </c>
    </row>
    <row r="4114" spans="1:9">
      <c r="A4114" s="6">
        <v>43607</v>
      </c>
      <c r="B4114">
        <f>IFERROR(VLOOKUP($A4114,原始数据_收盘!$A$4:$G$3460,2,0),"")</f>
        <v>2.765</v>
      </c>
      <c r="C4114">
        <f>IFERROR(VLOOKUP($A4114,原始数据_收盘!$A$4:$G$3460,3,0),"")</f>
        <v>3.0925</v>
      </c>
      <c r="D4114">
        <f>IFERROR(VLOOKUP($A4114,原始数据_收盘!$A$4:$G$3460,4,0),"")</f>
        <v>2.77</v>
      </c>
      <c r="E4114">
        <f>IFERROR(VLOOKUP($A4114,原始数据_收盘!$A$4:$G$3460,5,0),"")</f>
        <v>3.0964</v>
      </c>
      <c r="F4114">
        <f>IFERROR(VLOOKUP($A4114,原始数据_收盘!$A$4:$G$3460,6,0),"")</f>
        <v>2.7675</v>
      </c>
      <c r="G4114">
        <f>IFERROR(VLOOKUP($A4114,原始数据_收盘!$A$4:$G$3460,7,0),"")</f>
        <v>3.0944</v>
      </c>
      <c r="H4114">
        <f>IFERROR(VLOOKUP($A4114,原始数据_利率互换_FR007_1年!$A$6:$C$4395,2,0),"")</f>
        <v>2.7626</v>
      </c>
      <c r="I4114">
        <f>IFERROR(VLOOKUP($A4114,原始数据_利率互换_FR007_1年!$A$6:$C$4395,3,0),"")</f>
        <v>3.0915</v>
      </c>
    </row>
    <row r="4115" spans="1:9">
      <c r="A4115" s="6">
        <v>43608</v>
      </c>
      <c r="B4115">
        <f>IFERROR(VLOOKUP($A4115,原始数据_收盘!$A$4:$G$3460,2,0),"")</f>
        <v>2.735</v>
      </c>
      <c r="C4115">
        <f>IFERROR(VLOOKUP($A4115,原始数据_收盘!$A$4:$G$3460,3,0),"")</f>
        <v>3.0581</v>
      </c>
      <c r="D4115">
        <f>IFERROR(VLOOKUP($A4115,原始数据_收盘!$A$4:$G$3460,4,0),"")</f>
        <v>2.74</v>
      </c>
      <c r="E4115">
        <f>IFERROR(VLOOKUP($A4115,原始数据_收盘!$A$4:$G$3460,5,0),"")</f>
        <v>3.0625</v>
      </c>
      <c r="F4115">
        <f>IFERROR(VLOOKUP($A4115,原始数据_收盘!$A$4:$G$3460,6,0),"")</f>
        <v>2.7375</v>
      </c>
      <c r="G4115">
        <f>IFERROR(VLOOKUP($A4115,原始数据_收盘!$A$4:$G$3460,7,0),"")</f>
        <v>3.0603</v>
      </c>
      <c r="H4115">
        <f>IFERROR(VLOOKUP($A4115,原始数据_利率互换_FR007_1年!$A$6:$C$4395,2,0),"")</f>
        <v>2.7476</v>
      </c>
      <c r="I4115">
        <f>IFERROR(VLOOKUP($A4115,原始数据_利率互换_FR007_1年!$A$6:$C$4395,3,0),"")</f>
        <v>3.0679</v>
      </c>
    </row>
    <row r="4116" spans="1:9">
      <c r="A4116" s="6">
        <v>43609</v>
      </c>
      <c r="B4116">
        <f>IFERROR(VLOOKUP($A4116,原始数据_收盘!$A$4:$G$3460,2,0),"")</f>
        <v>2.74</v>
      </c>
      <c r="C4116">
        <f>IFERROR(VLOOKUP($A4116,原始数据_收盘!$A$4:$G$3460,3,0),"")</f>
        <v>3.0625</v>
      </c>
      <c r="D4116">
        <f>IFERROR(VLOOKUP($A4116,原始数据_收盘!$A$4:$G$3460,4,0),"")</f>
        <v>2.743</v>
      </c>
      <c r="E4116">
        <f>IFERROR(VLOOKUP($A4116,原始数据_收盘!$A$4:$G$3460,5,0),"")</f>
        <v>3.0675</v>
      </c>
      <c r="F4116">
        <f>IFERROR(VLOOKUP($A4116,原始数据_收盘!$A$4:$G$3460,6,0),"")</f>
        <v>2.7415</v>
      </c>
      <c r="G4116">
        <f>IFERROR(VLOOKUP($A4116,原始数据_收盘!$A$4:$G$3460,7,0),"")</f>
        <v>3.065</v>
      </c>
      <c r="H4116">
        <f>IFERROR(VLOOKUP($A4116,原始数据_利率互换_FR007_1年!$A$6:$C$4395,2,0),"")</f>
        <v>2.7403</v>
      </c>
      <c r="I4116">
        <f>IFERROR(VLOOKUP($A4116,原始数据_利率互换_FR007_1年!$A$6:$C$4395,3,0),"")</f>
        <v>3.0604</v>
      </c>
    </row>
    <row r="4117" spans="1:9">
      <c r="A4117" s="6">
        <v>43610</v>
      </c>
      <c r="B4117" t="str">
        <f>IFERROR(VLOOKUP($A4117,原始数据_收盘!$A$4:$G$3460,2,0),"")</f>
        <v/>
      </c>
      <c r="C4117" t="str">
        <f>IFERROR(VLOOKUP($A4117,原始数据_收盘!$A$4:$G$3460,3,0),"")</f>
        <v/>
      </c>
      <c r="D4117" t="str">
        <f>IFERROR(VLOOKUP($A4117,原始数据_收盘!$A$4:$G$3460,4,0),"")</f>
        <v/>
      </c>
      <c r="E4117" t="str">
        <f>IFERROR(VLOOKUP($A4117,原始数据_收盘!$A$4:$G$3460,5,0),"")</f>
        <v/>
      </c>
      <c r="F4117" t="str">
        <f>IFERROR(VLOOKUP($A4117,原始数据_收盘!$A$4:$G$3460,6,0),"")</f>
        <v/>
      </c>
      <c r="G4117" t="str">
        <f>IFERROR(VLOOKUP($A4117,原始数据_收盘!$A$4:$G$3460,7,0),"")</f>
        <v/>
      </c>
      <c r="H4117" t="str">
        <f>IFERROR(VLOOKUP($A4117,原始数据_利率互换_FR007_1年!$A$6:$C$4395,2,0),"")</f>
        <v/>
      </c>
      <c r="I4117" t="str">
        <f>IFERROR(VLOOKUP($A4117,原始数据_利率互换_FR007_1年!$A$6:$C$4395,3,0),"")</f>
        <v/>
      </c>
    </row>
    <row r="4118" spans="1:9">
      <c r="A4118" s="6">
        <v>43611</v>
      </c>
      <c r="B4118" t="str">
        <f>IFERROR(VLOOKUP($A4118,原始数据_收盘!$A$4:$G$3460,2,0),"")</f>
        <v/>
      </c>
      <c r="C4118" t="str">
        <f>IFERROR(VLOOKUP($A4118,原始数据_收盘!$A$4:$G$3460,3,0),"")</f>
        <v/>
      </c>
      <c r="D4118" t="str">
        <f>IFERROR(VLOOKUP($A4118,原始数据_收盘!$A$4:$G$3460,4,0),"")</f>
        <v/>
      </c>
      <c r="E4118" t="str">
        <f>IFERROR(VLOOKUP($A4118,原始数据_收盘!$A$4:$G$3460,5,0),"")</f>
        <v/>
      </c>
      <c r="F4118" t="str">
        <f>IFERROR(VLOOKUP($A4118,原始数据_收盘!$A$4:$G$3460,6,0),"")</f>
        <v/>
      </c>
      <c r="G4118" t="str">
        <f>IFERROR(VLOOKUP($A4118,原始数据_收盘!$A$4:$G$3460,7,0),"")</f>
        <v/>
      </c>
      <c r="H4118" t="str">
        <f>IFERROR(VLOOKUP($A4118,原始数据_利率互换_FR007_1年!$A$6:$C$4395,2,0),"")</f>
        <v/>
      </c>
      <c r="I4118" t="str">
        <f>IFERROR(VLOOKUP($A4118,原始数据_利率互换_FR007_1年!$A$6:$C$4395,3,0),"")</f>
        <v/>
      </c>
    </row>
    <row r="4119" spans="1:9">
      <c r="A4119" s="6">
        <v>43612</v>
      </c>
      <c r="B4119">
        <f>IFERROR(VLOOKUP($A4119,原始数据_收盘!$A$4:$G$3460,2,0),"")</f>
        <v>2.8175</v>
      </c>
      <c r="C4119">
        <f>IFERROR(VLOOKUP($A4119,原始数据_收盘!$A$4:$G$3460,3,0),"")</f>
        <v>3.135</v>
      </c>
      <c r="D4119">
        <f>IFERROR(VLOOKUP($A4119,原始数据_收盘!$A$4:$G$3460,4,0),"")</f>
        <v>2.82</v>
      </c>
      <c r="E4119">
        <f>IFERROR(VLOOKUP($A4119,原始数据_收盘!$A$4:$G$3460,5,0),"")</f>
        <v>3.1377</v>
      </c>
      <c r="F4119">
        <f>IFERROR(VLOOKUP($A4119,原始数据_收盘!$A$4:$G$3460,6,0),"")</f>
        <v>2.8188</v>
      </c>
      <c r="G4119">
        <f>IFERROR(VLOOKUP($A4119,原始数据_收盘!$A$4:$G$3460,7,0),"")</f>
        <v>3.1363</v>
      </c>
      <c r="H4119">
        <f>IFERROR(VLOOKUP($A4119,原始数据_利率互换_FR007_1年!$A$6:$C$4395,2,0),"")</f>
        <v>2.7941</v>
      </c>
      <c r="I4119">
        <f>IFERROR(VLOOKUP($A4119,原始数据_利率互换_FR007_1年!$A$6:$C$4395,3,0),"")</f>
        <v>3.1132</v>
      </c>
    </row>
    <row r="4120" spans="1:9">
      <c r="A4120" s="6">
        <v>43613</v>
      </c>
      <c r="B4120">
        <f>IFERROR(VLOOKUP($A4120,原始数据_收盘!$A$4:$G$3460,2,0),"")</f>
        <v>2.7725</v>
      </c>
      <c r="C4120">
        <f>IFERROR(VLOOKUP($A4120,原始数据_收盘!$A$4:$G$3460,3,0),"")</f>
        <v>3.085</v>
      </c>
      <c r="D4120">
        <f>IFERROR(VLOOKUP($A4120,原始数据_收盘!$A$4:$G$3460,4,0),"")</f>
        <v>2.78</v>
      </c>
      <c r="E4120">
        <f>IFERROR(VLOOKUP($A4120,原始数据_收盘!$A$4:$G$3460,5,0),"")</f>
        <v>3.09</v>
      </c>
      <c r="F4120">
        <f>IFERROR(VLOOKUP($A4120,原始数据_收盘!$A$4:$G$3460,6,0),"")</f>
        <v>2.7763</v>
      </c>
      <c r="G4120">
        <f>IFERROR(VLOOKUP($A4120,原始数据_收盘!$A$4:$G$3460,7,0),"")</f>
        <v>3.0875</v>
      </c>
      <c r="H4120">
        <f>IFERROR(VLOOKUP($A4120,原始数据_利率互换_FR007_1年!$A$6:$C$4395,2,0),"")</f>
        <v>2.8176</v>
      </c>
      <c r="I4120">
        <f>IFERROR(VLOOKUP($A4120,原始数据_利率互换_FR007_1年!$A$6:$C$4395,3,0),"")</f>
        <v>3.1289</v>
      </c>
    </row>
    <row r="4121" spans="1:9">
      <c r="A4121" s="6">
        <v>43614</v>
      </c>
      <c r="B4121">
        <f>IFERROR(VLOOKUP($A4121,原始数据_收盘!$A$4:$G$3460,2,0),"")</f>
        <v>2.7607</v>
      </c>
      <c r="C4121">
        <f>IFERROR(VLOOKUP($A4121,原始数据_收盘!$A$4:$G$3460,3,0),"")</f>
        <v>3.06</v>
      </c>
      <c r="D4121">
        <f>IFERROR(VLOOKUP($A4121,原始数据_收盘!$A$4:$G$3460,4,0),"")</f>
        <v>2.7643</v>
      </c>
      <c r="E4121">
        <f>IFERROR(VLOOKUP($A4121,原始数据_收盘!$A$4:$G$3460,5,0),"")</f>
        <v>3.0625</v>
      </c>
      <c r="F4121">
        <f>IFERROR(VLOOKUP($A4121,原始数据_收盘!$A$4:$G$3460,6,0),"")</f>
        <v>2.7625</v>
      </c>
      <c r="G4121">
        <f>IFERROR(VLOOKUP($A4121,原始数据_收盘!$A$4:$G$3460,7,0),"")</f>
        <v>3.0613</v>
      </c>
      <c r="H4121">
        <f>IFERROR(VLOOKUP($A4121,原始数据_利率互换_FR007_1年!$A$6:$C$4395,2,0),"")</f>
        <v>2.7625</v>
      </c>
      <c r="I4121">
        <f>IFERROR(VLOOKUP($A4121,原始数据_利率互换_FR007_1年!$A$6:$C$4395,3,0),"")</f>
        <v>3.0623</v>
      </c>
    </row>
    <row r="4122" spans="1:9">
      <c r="A4122" s="6">
        <v>43615</v>
      </c>
      <c r="B4122">
        <f>IFERROR(VLOOKUP($A4122,原始数据_收盘!$A$4:$G$3460,2,0),"")</f>
        <v>2.7625</v>
      </c>
      <c r="C4122">
        <f>IFERROR(VLOOKUP($A4122,原始数据_收盘!$A$4:$G$3460,3,0),"")</f>
        <v>3.0615</v>
      </c>
      <c r="D4122">
        <f>IFERROR(VLOOKUP($A4122,原始数据_收盘!$A$4:$G$3460,4,0),"")</f>
        <v>2.7675</v>
      </c>
      <c r="E4122">
        <f>IFERROR(VLOOKUP($A4122,原始数据_收盘!$A$4:$G$3460,5,0),"")</f>
        <v>3.065</v>
      </c>
      <c r="F4122">
        <f>IFERROR(VLOOKUP($A4122,原始数据_收盘!$A$4:$G$3460,6,0),"")</f>
        <v>2.765</v>
      </c>
      <c r="G4122">
        <f>IFERROR(VLOOKUP($A4122,原始数据_收盘!$A$4:$G$3460,7,0),"")</f>
        <v>3.0633</v>
      </c>
      <c r="H4122">
        <f>IFERROR(VLOOKUP($A4122,原始数据_利率互换_FR007_1年!$A$6:$C$4395,2,0),"")</f>
        <v>2.7648</v>
      </c>
      <c r="I4122">
        <f>IFERROR(VLOOKUP($A4122,原始数据_利率互换_FR007_1年!$A$6:$C$4395,3,0),"")</f>
        <v>3.0662</v>
      </c>
    </row>
    <row r="4123" spans="1:9">
      <c r="A4123" s="6">
        <v>43616</v>
      </c>
      <c r="B4123">
        <f>IFERROR(VLOOKUP($A4123,原始数据_收盘!$A$4:$G$3460,2,0),"")</f>
        <v>2.7539</v>
      </c>
      <c r="C4123">
        <f>IFERROR(VLOOKUP($A4123,原始数据_收盘!$A$4:$G$3460,3,0),"")</f>
        <v>3.0325</v>
      </c>
      <c r="D4123">
        <f>IFERROR(VLOOKUP($A4123,原始数据_收盘!$A$4:$G$3460,4,0),"")</f>
        <v>2.76</v>
      </c>
      <c r="E4123">
        <f>IFERROR(VLOOKUP($A4123,原始数据_收盘!$A$4:$G$3460,5,0),"")</f>
        <v>3.04</v>
      </c>
      <c r="F4123">
        <f>IFERROR(VLOOKUP($A4123,原始数据_收盘!$A$4:$G$3460,6,0),"")</f>
        <v>2.757</v>
      </c>
      <c r="G4123">
        <f>IFERROR(VLOOKUP($A4123,原始数据_收盘!$A$4:$G$3460,7,0),"")</f>
        <v>3.0363</v>
      </c>
      <c r="H4123">
        <f>IFERROR(VLOOKUP($A4123,原始数据_利率互换_FR007_1年!$A$6:$C$4395,2,0),"")</f>
        <v>2.7656</v>
      </c>
      <c r="I4123">
        <f>IFERROR(VLOOKUP($A4123,原始数据_利率互换_FR007_1年!$A$6:$C$4395,3,0),"")</f>
        <v>3.0522</v>
      </c>
    </row>
    <row r="4124" spans="1:9">
      <c r="A4124" s="6">
        <v>43617</v>
      </c>
      <c r="B4124" t="str">
        <f>IFERROR(VLOOKUP($A4124,原始数据_收盘!$A$4:$G$3460,2,0),"")</f>
        <v/>
      </c>
      <c r="C4124" t="str">
        <f>IFERROR(VLOOKUP($A4124,原始数据_收盘!$A$4:$G$3460,3,0),"")</f>
        <v/>
      </c>
      <c r="D4124" t="str">
        <f>IFERROR(VLOOKUP($A4124,原始数据_收盘!$A$4:$G$3460,4,0),"")</f>
        <v/>
      </c>
      <c r="E4124" t="str">
        <f>IFERROR(VLOOKUP($A4124,原始数据_收盘!$A$4:$G$3460,5,0),"")</f>
        <v/>
      </c>
      <c r="F4124" t="str">
        <f>IFERROR(VLOOKUP($A4124,原始数据_收盘!$A$4:$G$3460,6,0),"")</f>
        <v/>
      </c>
      <c r="G4124" t="str">
        <f>IFERROR(VLOOKUP($A4124,原始数据_收盘!$A$4:$G$3460,7,0),"")</f>
        <v/>
      </c>
      <c r="H4124" t="str">
        <f>IFERROR(VLOOKUP($A4124,原始数据_利率互换_FR007_1年!$A$6:$C$4395,2,0),"")</f>
        <v/>
      </c>
      <c r="I4124" t="str">
        <f>IFERROR(VLOOKUP($A4124,原始数据_利率互换_FR007_1年!$A$6:$C$4395,3,0),"")</f>
        <v/>
      </c>
    </row>
    <row r="4125" spans="1:9">
      <c r="A4125" s="6">
        <v>43618</v>
      </c>
      <c r="B4125" t="str">
        <f>IFERROR(VLOOKUP($A4125,原始数据_收盘!$A$4:$G$3460,2,0),"")</f>
        <v/>
      </c>
      <c r="C4125" t="str">
        <f>IFERROR(VLOOKUP($A4125,原始数据_收盘!$A$4:$G$3460,3,0),"")</f>
        <v/>
      </c>
      <c r="D4125" t="str">
        <f>IFERROR(VLOOKUP($A4125,原始数据_收盘!$A$4:$G$3460,4,0),"")</f>
        <v/>
      </c>
      <c r="E4125" t="str">
        <f>IFERROR(VLOOKUP($A4125,原始数据_收盘!$A$4:$G$3460,5,0),"")</f>
        <v/>
      </c>
      <c r="F4125" t="str">
        <f>IFERROR(VLOOKUP($A4125,原始数据_收盘!$A$4:$G$3460,6,0),"")</f>
        <v/>
      </c>
      <c r="G4125" t="str">
        <f>IFERROR(VLOOKUP($A4125,原始数据_收盘!$A$4:$G$3460,7,0),"")</f>
        <v/>
      </c>
      <c r="H4125" t="str">
        <f>IFERROR(VLOOKUP($A4125,原始数据_利率互换_FR007_1年!$A$6:$C$4395,2,0),"")</f>
        <v/>
      </c>
      <c r="I4125" t="str">
        <f>IFERROR(VLOOKUP($A4125,原始数据_利率互换_FR007_1年!$A$6:$C$4395,3,0),"")</f>
        <v/>
      </c>
    </row>
    <row r="4126" spans="1:9">
      <c r="A4126" s="6">
        <v>43619</v>
      </c>
      <c r="B4126">
        <f>IFERROR(VLOOKUP($A4126,原始数据_收盘!$A$4:$G$3460,2,0),"")</f>
        <v>2.7275</v>
      </c>
      <c r="C4126">
        <f>IFERROR(VLOOKUP($A4126,原始数据_收盘!$A$4:$G$3460,3,0),"")</f>
        <v>2.9875</v>
      </c>
      <c r="D4126">
        <f>IFERROR(VLOOKUP($A4126,原始数据_收盘!$A$4:$G$3460,4,0),"")</f>
        <v>2.735</v>
      </c>
      <c r="E4126">
        <f>IFERROR(VLOOKUP($A4126,原始数据_收盘!$A$4:$G$3460,5,0),"")</f>
        <v>2.9925</v>
      </c>
      <c r="F4126">
        <f>IFERROR(VLOOKUP($A4126,原始数据_收盘!$A$4:$G$3460,6,0),"")</f>
        <v>2.7313</v>
      </c>
      <c r="G4126">
        <f>IFERROR(VLOOKUP($A4126,原始数据_收盘!$A$4:$G$3460,7,0),"")</f>
        <v>2.99</v>
      </c>
      <c r="H4126">
        <f>IFERROR(VLOOKUP($A4126,原始数据_利率互换_FR007_1年!$A$6:$C$4395,2,0),"")</f>
        <v>2.728</v>
      </c>
      <c r="I4126">
        <f>IFERROR(VLOOKUP($A4126,原始数据_利率互换_FR007_1年!$A$6:$C$4395,3,0),"")</f>
        <v>3.0017</v>
      </c>
    </row>
    <row r="4127" spans="1:9">
      <c r="A4127" s="6">
        <v>43620</v>
      </c>
      <c r="B4127">
        <f>IFERROR(VLOOKUP($A4127,原始数据_收盘!$A$4:$G$3460,2,0),"")</f>
        <v>2.6938</v>
      </c>
      <c r="C4127">
        <f>IFERROR(VLOOKUP($A4127,原始数据_收盘!$A$4:$G$3460,3,0),"")</f>
        <v>2.9402</v>
      </c>
      <c r="D4127">
        <f>IFERROR(VLOOKUP($A4127,原始数据_收盘!$A$4:$G$3460,4,0),"")</f>
        <v>2.6975</v>
      </c>
      <c r="E4127">
        <f>IFERROR(VLOOKUP($A4127,原始数据_收盘!$A$4:$G$3460,5,0),"")</f>
        <v>2.9439</v>
      </c>
      <c r="F4127">
        <f>IFERROR(VLOOKUP($A4127,原始数据_收盘!$A$4:$G$3460,6,0),"")</f>
        <v>2.6956</v>
      </c>
      <c r="G4127">
        <f>IFERROR(VLOOKUP($A4127,原始数据_收盘!$A$4:$G$3460,7,0),"")</f>
        <v>2.9421</v>
      </c>
      <c r="H4127">
        <f>IFERROR(VLOOKUP($A4127,原始数据_利率互换_FR007_1年!$A$6:$C$4395,2,0),"")</f>
        <v>2.7144</v>
      </c>
      <c r="I4127">
        <f>IFERROR(VLOOKUP($A4127,原始数据_利率互换_FR007_1年!$A$6:$C$4395,3,0),"")</f>
        <v>2.9662</v>
      </c>
    </row>
    <row r="4128" spans="1:9">
      <c r="A4128" s="6">
        <v>43621</v>
      </c>
      <c r="B4128">
        <f>IFERROR(VLOOKUP($A4128,原始数据_收盘!$A$4:$G$3460,2,0),"")</f>
        <v>2.695</v>
      </c>
      <c r="C4128">
        <f>IFERROR(VLOOKUP($A4128,原始数据_收盘!$A$4:$G$3460,3,0),"")</f>
        <v>2.9425</v>
      </c>
      <c r="D4128">
        <f>IFERROR(VLOOKUP($A4128,原始数据_收盘!$A$4:$G$3460,4,0),"")</f>
        <v>2.7</v>
      </c>
      <c r="E4128">
        <f>IFERROR(VLOOKUP($A4128,原始数据_收盘!$A$4:$G$3460,5,0),"")</f>
        <v>2.9475</v>
      </c>
      <c r="F4128">
        <f>IFERROR(VLOOKUP($A4128,原始数据_收盘!$A$4:$G$3460,6,0),"")</f>
        <v>2.6975</v>
      </c>
      <c r="G4128">
        <f>IFERROR(VLOOKUP($A4128,原始数据_收盘!$A$4:$G$3460,7,0),"")</f>
        <v>2.945</v>
      </c>
      <c r="H4128">
        <f>IFERROR(VLOOKUP($A4128,原始数据_利率互换_FR007_1年!$A$6:$C$4395,2,0),"")</f>
        <v>2.7004</v>
      </c>
      <c r="I4128">
        <f>IFERROR(VLOOKUP($A4128,原始数据_利率互换_FR007_1年!$A$6:$C$4395,3,0),"")</f>
        <v>2.9506</v>
      </c>
    </row>
    <row r="4129" spans="1:9">
      <c r="A4129" s="6">
        <v>43622</v>
      </c>
      <c r="B4129">
        <f>IFERROR(VLOOKUP($A4129,原始数据_收盘!$A$4:$G$3460,2,0),"")</f>
        <v>2.6831</v>
      </c>
      <c r="C4129">
        <f>IFERROR(VLOOKUP($A4129,原始数据_收盘!$A$4:$G$3460,3,0),"")</f>
        <v>2.9508</v>
      </c>
      <c r="D4129">
        <f>IFERROR(VLOOKUP($A4129,原始数据_收盘!$A$4:$G$3460,4,0),"")</f>
        <v>2.6875</v>
      </c>
      <c r="E4129">
        <f>IFERROR(VLOOKUP($A4129,原始数据_收盘!$A$4:$G$3460,5,0),"")</f>
        <v>2.9575</v>
      </c>
      <c r="F4129">
        <f>IFERROR(VLOOKUP($A4129,原始数据_收盘!$A$4:$G$3460,6,0),"")</f>
        <v>2.6853</v>
      </c>
      <c r="G4129">
        <f>IFERROR(VLOOKUP($A4129,原始数据_收盘!$A$4:$G$3460,7,0),"")</f>
        <v>2.9542</v>
      </c>
      <c r="H4129">
        <f>IFERROR(VLOOKUP($A4129,原始数据_利率互换_FR007_1年!$A$6:$C$4395,2,0),"")</f>
        <v>2.6761</v>
      </c>
      <c r="I4129">
        <f>IFERROR(VLOOKUP($A4129,原始数据_利率互换_FR007_1年!$A$6:$C$4395,3,0),"")</f>
        <v>2.9384</v>
      </c>
    </row>
    <row r="4130" spans="1:9">
      <c r="A4130" s="6">
        <v>43623</v>
      </c>
      <c r="B4130" t="str">
        <f>IFERROR(VLOOKUP($A4130,原始数据_收盘!$A$4:$G$3460,2,0),"")</f>
        <v/>
      </c>
      <c r="C4130" t="str">
        <f>IFERROR(VLOOKUP($A4130,原始数据_收盘!$A$4:$G$3460,3,0),"")</f>
        <v/>
      </c>
      <c r="D4130" t="str">
        <f>IFERROR(VLOOKUP($A4130,原始数据_收盘!$A$4:$G$3460,4,0),"")</f>
        <v/>
      </c>
      <c r="E4130" t="str">
        <f>IFERROR(VLOOKUP($A4130,原始数据_收盘!$A$4:$G$3460,5,0),"")</f>
        <v/>
      </c>
      <c r="F4130" t="str">
        <f>IFERROR(VLOOKUP($A4130,原始数据_收盘!$A$4:$G$3460,6,0),"")</f>
        <v/>
      </c>
      <c r="G4130" t="str">
        <f>IFERROR(VLOOKUP($A4130,原始数据_收盘!$A$4:$G$3460,7,0),"")</f>
        <v/>
      </c>
      <c r="H4130" t="str">
        <f>IFERROR(VLOOKUP($A4130,原始数据_利率互换_FR007_1年!$A$6:$C$4395,2,0),"")</f>
        <v/>
      </c>
      <c r="I4130" t="str">
        <f>IFERROR(VLOOKUP($A4130,原始数据_利率互换_FR007_1年!$A$6:$C$4395,3,0),"")</f>
        <v/>
      </c>
    </row>
    <row r="4131" spans="1:9">
      <c r="A4131" s="6">
        <v>43624</v>
      </c>
      <c r="B4131" t="str">
        <f>IFERROR(VLOOKUP($A4131,原始数据_收盘!$A$4:$G$3460,2,0),"")</f>
        <v/>
      </c>
      <c r="C4131" t="str">
        <f>IFERROR(VLOOKUP($A4131,原始数据_收盘!$A$4:$G$3460,3,0),"")</f>
        <v/>
      </c>
      <c r="D4131" t="str">
        <f>IFERROR(VLOOKUP($A4131,原始数据_收盘!$A$4:$G$3460,4,0),"")</f>
        <v/>
      </c>
      <c r="E4131" t="str">
        <f>IFERROR(VLOOKUP($A4131,原始数据_收盘!$A$4:$G$3460,5,0),"")</f>
        <v/>
      </c>
      <c r="F4131" t="str">
        <f>IFERROR(VLOOKUP($A4131,原始数据_收盘!$A$4:$G$3460,6,0),"")</f>
        <v/>
      </c>
      <c r="G4131" t="str">
        <f>IFERROR(VLOOKUP($A4131,原始数据_收盘!$A$4:$G$3460,7,0),"")</f>
        <v/>
      </c>
      <c r="H4131" t="str">
        <f>IFERROR(VLOOKUP($A4131,原始数据_利率互换_FR007_1年!$A$6:$C$4395,2,0),"")</f>
        <v/>
      </c>
      <c r="I4131" t="str">
        <f>IFERROR(VLOOKUP($A4131,原始数据_利率互换_FR007_1年!$A$6:$C$4395,3,0),"")</f>
        <v/>
      </c>
    </row>
    <row r="4132" spans="1:9">
      <c r="A4132" s="6">
        <v>43625</v>
      </c>
      <c r="B4132" t="str">
        <f>IFERROR(VLOOKUP($A4132,原始数据_收盘!$A$4:$G$3460,2,0),"")</f>
        <v/>
      </c>
      <c r="C4132" t="str">
        <f>IFERROR(VLOOKUP($A4132,原始数据_收盘!$A$4:$G$3460,3,0),"")</f>
        <v/>
      </c>
      <c r="D4132" t="str">
        <f>IFERROR(VLOOKUP($A4132,原始数据_收盘!$A$4:$G$3460,4,0),"")</f>
        <v/>
      </c>
      <c r="E4132" t="str">
        <f>IFERROR(VLOOKUP($A4132,原始数据_收盘!$A$4:$G$3460,5,0),"")</f>
        <v/>
      </c>
      <c r="F4132" t="str">
        <f>IFERROR(VLOOKUP($A4132,原始数据_收盘!$A$4:$G$3460,6,0),"")</f>
        <v/>
      </c>
      <c r="G4132" t="str">
        <f>IFERROR(VLOOKUP($A4132,原始数据_收盘!$A$4:$G$3460,7,0),"")</f>
        <v/>
      </c>
      <c r="H4132" t="str">
        <f>IFERROR(VLOOKUP($A4132,原始数据_利率互换_FR007_1年!$A$6:$C$4395,2,0),"")</f>
        <v/>
      </c>
      <c r="I4132" t="str">
        <f>IFERROR(VLOOKUP($A4132,原始数据_利率互换_FR007_1年!$A$6:$C$4395,3,0),"")</f>
        <v/>
      </c>
    </row>
    <row r="4133" spans="1:9">
      <c r="A4133" s="6">
        <v>43626</v>
      </c>
      <c r="B4133">
        <f>IFERROR(VLOOKUP($A4133,原始数据_收盘!$A$4:$G$3460,2,0),"")</f>
        <v>2.6968</v>
      </c>
      <c r="C4133">
        <f>IFERROR(VLOOKUP($A4133,原始数据_收盘!$A$4:$G$3460,3,0),"")</f>
        <v>2.9679</v>
      </c>
      <c r="D4133">
        <f>IFERROR(VLOOKUP($A4133,原始数据_收盘!$A$4:$G$3460,4,0),"")</f>
        <v>2.702</v>
      </c>
      <c r="E4133">
        <f>IFERROR(VLOOKUP($A4133,原始数据_收盘!$A$4:$G$3460,5,0),"")</f>
        <v>2.9709</v>
      </c>
      <c r="F4133">
        <f>IFERROR(VLOOKUP($A4133,原始数据_收盘!$A$4:$G$3460,6,0),"")</f>
        <v>2.6994</v>
      </c>
      <c r="G4133">
        <f>IFERROR(VLOOKUP($A4133,原始数据_收盘!$A$4:$G$3460,7,0),"")</f>
        <v>2.9694</v>
      </c>
      <c r="H4133">
        <f>IFERROR(VLOOKUP($A4133,原始数据_利率互换_FR007_1年!$A$6:$C$4395,2,0),"")</f>
        <v>2.6945</v>
      </c>
      <c r="I4133">
        <f>IFERROR(VLOOKUP($A4133,原始数据_利率互换_FR007_1年!$A$6:$C$4395,3,0),"")</f>
        <v>2.9631</v>
      </c>
    </row>
    <row r="4134" spans="1:9">
      <c r="A4134" s="6">
        <v>43627</v>
      </c>
      <c r="B4134">
        <f>IFERROR(VLOOKUP($A4134,原始数据_收盘!$A$4:$G$3460,2,0),"")</f>
        <v>2.7225</v>
      </c>
      <c r="C4134">
        <f>IFERROR(VLOOKUP($A4134,原始数据_收盘!$A$4:$G$3460,3,0),"")</f>
        <v>3.0175</v>
      </c>
      <c r="D4134">
        <f>IFERROR(VLOOKUP($A4134,原始数据_收盘!$A$4:$G$3460,4,0),"")</f>
        <v>2.73</v>
      </c>
      <c r="E4134">
        <f>IFERROR(VLOOKUP($A4134,原始数据_收盘!$A$4:$G$3460,5,0),"")</f>
        <v>3.0225</v>
      </c>
      <c r="F4134">
        <f>IFERROR(VLOOKUP($A4134,原始数据_收盘!$A$4:$G$3460,6,0),"")</f>
        <v>2.7263</v>
      </c>
      <c r="G4134">
        <f>IFERROR(VLOOKUP($A4134,原始数据_收盘!$A$4:$G$3460,7,0),"")</f>
        <v>3.02</v>
      </c>
      <c r="H4134">
        <f>IFERROR(VLOOKUP($A4134,原始数据_利率互换_FR007_1年!$A$6:$C$4395,2,0),"")</f>
        <v>2.721</v>
      </c>
      <c r="I4134">
        <f>IFERROR(VLOOKUP($A4134,原始数据_利率互换_FR007_1年!$A$6:$C$4395,3,0),"")</f>
        <v>3.0006</v>
      </c>
    </row>
    <row r="4135" spans="1:9">
      <c r="A4135" s="6">
        <v>43628</v>
      </c>
      <c r="B4135">
        <f>IFERROR(VLOOKUP($A4135,原始数据_收盘!$A$4:$G$3460,2,0),"")</f>
        <v>2.717</v>
      </c>
      <c r="C4135">
        <f>IFERROR(VLOOKUP($A4135,原始数据_收盘!$A$4:$G$3460,3,0),"")</f>
        <v>2.995</v>
      </c>
      <c r="D4135">
        <f>IFERROR(VLOOKUP($A4135,原始数据_收盘!$A$4:$G$3460,4,0),"")</f>
        <v>2.72</v>
      </c>
      <c r="E4135">
        <f>IFERROR(VLOOKUP($A4135,原始数据_收盘!$A$4:$G$3460,5,0),"")</f>
        <v>2.9977</v>
      </c>
      <c r="F4135">
        <f>IFERROR(VLOOKUP($A4135,原始数据_收盘!$A$4:$G$3460,6,0),"")</f>
        <v>2.7185</v>
      </c>
      <c r="G4135">
        <f>IFERROR(VLOOKUP($A4135,原始数据_收盘!$A$4:$G$3460,7,0),"")</f>
        <v>2.9963</v>
      </c>
      <c r="H4135">
        <f>IFERROR(VLOOKUP($A4135,原始数据_利率互换_FR007_1年!$A$6:$C$4395,2,0),"")</f>
        <v>2.7207</v>
      </c>
      <c r="I4135">
        <f>IFERROR(VLOOKUP($A4135,原始数据_利率互换_FR007_1年!$A$6:$C$4395,3,0),"")</f>
        <v>3.0004</v>
      </c>
    </row>
    <row r="4136" spans="1:9">
      <c r="A4136" s="6">
        <v>43629</v>
      </c>
      <c r="B4136">
        <f>IFERROR(VLOOKUP($A4136,原始数据_收盘!$A$4:$G$3460,2,0),"")</f>
        <v>2.685</v>
      </c>
      <c r="C4136">
        <f>IFERROR(VLOOKUP($A4136,原始数据_收盘!$A$4:$G$3460,3,0),"")</f>
        <v>2.9575</v>
      </c>
      <c r="D4136">
        <f>IFERROR(VLOOKUP($A4136,原始数据_收盘!$A$4:$G$3460,4,0),"")</f>
        <v>2.69</v>
      </c>
      <c r="E4136">
        <f>IFERROR(VLOOKUP($A4136,原始数据_收盘!$A$4:$G$3460,5,0),"")</f>
        <v>2.96</v>
      </c>
      <c r="F4136">
        <f>IFERROR(VLOOKUP($A4136,原始数据_收盘!$A$4:$G$3460,6,0),"")</f>
        <v>2.6875</v>
      </c>
      <c r="G4136">
        <f>IFERROR(VLOOKUP($A4136,原始数据_收盘!$A$4:$G$3460,7,0),"")</f>
        <v>2.9588</v>
      </c>
      <c r="H4136">
        <f>IFERROR(VLOOKUP($A4136,原始数据_利率互换_FR007_1年!$A$6:$C$4395,2,0),"")</f>
        <v>2.6914</v>
      </c>
      <c r="I4136">
        <f>IFERROR(VLOOKUP($A4136,原始数据_利率互换_FR007_1年!$A$6:$C$4395,3,0),"")</f>
        <v>2.9682</v>
      </c>
    </row>
    <row r="4137" spans="1:9">
      <c r="A4137" s="6">
        <v>43630</v>
      </c>
      <c r="B4137">
        <f>IFERROR(VLOOKUP($A4137,原始数据_收盘!$A$4:$G$3460,2,0),"")</f>
        <v>2.665</v>
      </c>
      <c r="C4137">
        <f>IFERROR(VLOOKUP($A4137,原始数据_收盘!$A$4:$G$3460,3,0),"")</f>
        <v>2.9319</v>
      </c>
      <c r="D4137">
        <f>IFERROR(VLOOKUP($A4137,原始数据_收盘!$A$4:$G$3460,4,0),"")</f>
        <v>2.6725</v>
      </c>
      <c r="E4137">
        <f>IFERROR(VLOOKUP($A4137,原始数据_收盘!$A$4:$G$3460,5,0),"")</f>
        <v>2.9341</v>
      </c>
      <c r="F4137">
        <f>IFERROR(VLOOKUP($A4137,原始数据_收盘!$A$4:$G$3460,6,0),"")</f>
        <v>2.6688</v>
      </c>
      <c r="G4137">
        <f>IFERROR(VLOOKUP($A4137,原始数据_收盘!$A$4:$G$3460,7,0),"")</f>
        <v>2.933</v>
      </c>
      <c r="H4137">
        <f>IFERROR(VLOOKUP($A4137,原始数据_利率互换_FR007_1年!$A$6:$C$4395,2,0),"")</f>
        <v>2.6746</v>
      </c>
      <c r="I4137">
        <f>IFERROR(VLOOKUP($A4137,原始数据_利率互换_FR007_1年!$A$6:$C$4395,3,0),"")</f>
        <v>2.9421</v>
      </c>
    </row>
    <row r="4138" spans="1:9">
      <c r="A4138" s="6">
        <v>43631</v>
      </c>
      <c r="B4138" t="str">
        <f>IFERROR(VLOOKUP($A4138,原始数据_收盘!$A$4:$G$3460,2,0),"")</f>
        <v/>
      </c>
      <c r="C4138" t="str">
        <f>IFERROR(VLOOKUP($A4138,原始数据_收盘!$A$4:$G$3460,3,0),"")</f>
        <v/>
      </c>
      <c r="D4138" t="str">
        <f>IFERROR(VLOOKUP($A4138,原始数据_收盘!$A$4:$G$3460,4,0),"")</f>
        <v/>
      </c>
      <c r="E4138" t="str">
        <f>IFERROR(VLOOKUP($A4138,原始数据_收盘!$A$4:$G$3460,5,0),"")</f>
        <v/>
      </c>
      <c r="F4138" t="str">
        <f>IFERROR(VLOOKUP($A4138,原始数据_收盘!$A$4:$G$3460,6,0),"")</f>
        <v/>
      </c>
      <c r="G4138" t="str">
        <f>IFERROR(VLOOKUP($A4138,原始数据_收盘!$A$4:$G$3460,7,0),"")</f>
        <v/>
      </c>
      <c r="H4138" t="str">
        <f>IFERROR(VLOOKUP($A4138,原始数据_利率互换_FR007_1年!$A$6:$C$4395,2,0),"")</f>
        <v/>
      </c>
      <c r="I4138" t="str">
        <f>IFERROR(VLOOKUP($A4138,原始数据_利率互换_FR007_1年!$A$6:$C$4395,3,0),"")</f>
        <v/>
      </c>
    </row>
    <row r="4139" spans="1:9">
      <c r="A4139" s="6">
        <v>43632</v>
      </c>
      <c r="B4139" t="str">
        <f>IFERROR(VLOOKUP($A4139,原始数据_收盘!$A$4:$G$3460,2,0),"")</f>
        <v/>
      </c>
      <c r="C4139" t="str">
        <f>IFERROR(VLOOKUP($A4139,原始数据_收盘!$A$4:$G$3460,3,0),"")</f>
        <v/>
      </c>
      <c r="D4139" t="str">
        <f>IFERROR(VLOOKUP($A4139,原始数据_收盘!$A$4:$G$3460,4,0),"")</f>
        <v/>
      </c>
      <c r="E4139" t="str">
        <f>IFERROR(VLOOKUP($A4139,原始数据_收盘!$A$4:$G$3460,5,0),"")</f>
        <v/>
      </c>
      <c r="F4139" t="str">
        <f>IFERROR(VLOOKUP($A4139,原始数据_收盘!$A$4:$G$3460,6,0),"")</f>
        <v/>
      </c>
      <c r="G4139" t="str">
        <f>IFERROR(VLOOKUP($A4139,原始数据_收盘!$A$4:$G$3460,7,0),"")</f>
        <v/>
      </c>
      <c r="H4139" t="str">
        <f>IFERROR(VLOOKUP($A4139,原始数据_利率互换_FR007_1年!$A$6:$C$4395,2,0),"")</f>
        <v/>
      </c>
      <c r="I4139" t="str">
        <f>IFERROR(VLOOKUP($A4139,原始数据_利率互换_FR007_1年!$A$6:$C$4395,3,0),"")</f>
        <v/>
      </c>
    </row>
    <row r="4140" spans="1:9">
      <c r="A4140" s="6">
        <v>43633</v>
      </c>
      <c r="B4140">
        <f>IFERROR(VLOOKUP($A4140,原始数据_收盘!$A$4:$G$3460,2,0),"")</f>
        <v>2.643</v>
      </c>
      <c r="C4140">
        <f>IFERROR(VLOOKUP($A4140,原始数据_收盘!$A$4:$G$3460,3,0),"")</f>
        <v>2.9274</v>
      </c>
      <c r="D4140">
        <f>IFERROR(VLOOKUP($A4140,原始数据_收盘!$A$4:$G$3460,4,0),"")</f>
        <v>2.65</v>
      </c>
      <c r="E4140">
        <f>IFERROR(VLOOKUP($A4140,原始数据_收盘!$A$4:$G$3460,5,0),"")</f>
        <v>2.93</v>
      </c>
      <c r="F4140">
        <f>IFERROR(VLOOKUP($A4140,原始数据_收盘!$A$4:$G$3460,6,0),"")</f>
        <v>2.6465</v>
      </c>
      <c r="G4140">
        <f>IFERROR(VLOOKUP($A4140,原始数据_收盘!$A$4:$G$3460,7,0),"")</f>
        <v>2.9287</v>
      </c>
      <c r="H4140">
        <f>IFERROR(VLOOKUP($A4140,原始数据_利率互换_FR007_1年!$A$6:$C$4395,2,0),"")</f>
        <v>2.6432</v>
      </c>
      <c r="I4140">
        <f>IFERROR(VLOOKUP($A4140,原始数据_利率互换_FR007_1年!$A$6:$C$4395,3,0),"")</f>
        <v>2.9145</v>
      </c>
    </row>
    <row r="4141" spans="1:9">
      <c r="A4141" s="6">
        <v>43634</v>
      </c>
      <c r="B4141">
        <f>IFERROR(VLOOKUP($A4141,原始数据_收盘!$A$4:$G$3460,2,0),"")</f>
        <v>2.6223</v>
      </c>
      <c r="C4141">
        <f>IFERROR(VLOOKUP($A4141,原始数据_收盘!$A$4:$G$3460,3,0),"")</f>
        <v>2.9086</v>
      </c>
      <c r="D4141">
        <f>IFERROR(VLOOKUP($A4141,原始数据_收盘!$A$4:$G$3460,4,0),"")</f>
        <v>2.6268</v>
      </c>
      <c r="E4141">
        <f>IFERROR(VLOOKUP($A4141,原始数据_收盘!$A$4:$G$3460,5,0),"")</f>
        <v>2.915</v>
      </c>
      <c r="F4141">
        <f>IFERROR(VLOOKUP($A4141,原始数据_收盘!$A$4:$G$3460,6,0),"")</f>
        <v>2.6246</v>
      </c>
      <c r="G4141">
        <f>IFERROR(VLOOKUP($A4141,原始数据_收盘!$A$4:$G$3460,7,0),"")</f>
        <v>2.9118</v>
      </c>
      <c r="H4141">
        <f>IFERROR(VLOOKUP($A4141,原始数据_利率互换_FR007_1年!$A$6:$C$4395,2,0),"")</f>
        <v>2.6362</v>
      </c>
      <c r="I4141">
        <f>IFERROR(VLOOKUP($A4141,原始数据_利率互换_FR007_1年!$A$6:$C$4395,3,0),"")</f>
        <v>2.9237</v>
      </c>
    </row>
    <row r="4142" spans="1:9">
      <c r="A4142" s="6">
        <v>43635</v>
      </c>
      <c r="B4142">
        <f>IFERROR(VLOOKUP($A4142,原始数据_收盘!$A$4:$G$3460,2,0),"")</f>
        <v>2.6225</v>
      </c>
      <c r="C4142">
        <f>IFERROR(VLOOKUP($A4142,原始数据_收盘!$A$4:$G$3460,3,0),"")</f>
        <v>2.93</v>
      </c>
      <c r="D4142">
        <f>IFERROR(VLOOKUP($A4142,原始数据_收盘!$A$4:$G$3460,4,0),"")</f>
        <v>2.625</v>
      </c>
      <c r="E4142">
        <f>IFERROR(VLOOKUP($A4142,原始数据_收盘!$A$4:$G$3460,5,0),"")</f>
        <v>2.935</v>
      </c>
      <c r="F4142">
        <f>IFERROR(VLOOKUP($A4142,原始数据_收盘!$A$4:$G$3460,6,0),"")</f>
        <v>2.6238</v>
      </c>
      <c r="G4142">
        <f>IFERROR(VLOOKUP($A4142,原始数据_收盘!$A$4:$G$3460,7,0),"")</f>
        <v>2.9325</v>
      </c>
      <c r="H4142">
        <f>IFERROR(VLOOKUP($A4142,原始数据_利率互换_FR007_1年!$A$6:$C$4395,2,0),"")</f>
        <v>2.6189</v>
      </c>
      <c r="I4142">
        <f>IFERROR(VLOOKUP($A4142,原始数据_利率互换_FR007_1年!$A$6:$C$4395,3,0),"")</f>
        <v>2.9252</v>
      </c>
    </row>
    <row r="4143" spans="1:9">
      <c r="A4143" s="6">
        <v>43636</v>
      </c>
      <c r="B4143">
        <f>IFERROR(VLOOKUP($A4143,原始数据_收盘!$A$4:$G$3460,2,0),"")</f>
        <v>2.6072</v>
      </c>
      <c r="C4143">
        <f>IFERROR(VLOOKUP($A4143,原始数据_收盘!$A$4:$G$3460,3,0),"")</f>
        <v>2.92</v>
      </c>
      <c r="D4143">
        <f>IFERROR(VLOOKUP($A4143,原始数据_收盘!$A$4:$G$3460,4,0),"")</f>
        <v>2.61</v>
      </c>
      <c r="E4143">
        <f>IFERROR(VLOOKUP($A4143,原始数据_收盘!$A$4:$G$3460,5,0),"")</f>
        <v>2.9225</v>
      </c>
      <c r="F4143">
        <f>IFERROR(VLOOKUP($A4143,原始数据_收盘!$A$4:$G$3460,6,0),"")</f>
        <v>2.6086</v>
      </c>
      <c r="G4143">
        <f>IFERROR(VLOOKUP($A4143,原始数据_收盘!$A$4:$G$3460,7,0),"")</f>
        <v>2.9213</v>
      </c>
      <c r="H4143">
        <f>IFERROR(VLOOKUP($A4143,原始数据_利率互换_FR007_1年!$A$6:$C$4395,2,0),"")</f>
        <v>2.5897</v>
      </c>
      <c r="I4143">
        <f>IFERROR(VLOOKUP($A4143,原始数据_利率互换_FR007_1年!$A$6:$C$4395,3,0),"")</f>
        <v>2.9023</v>
      </c>
    </row>
    <row r="4144" spans="1:9">
      <c r="A4144" s="6">
        <v>43637</v>
      </c>
      <c r="B4144">
        <f>IFERROR(VLOOKUP($A4144,原始数据_收盘!$A$4:$G$3460,2,0),"")</f>
        <v>2.6075</v>
      </c>
      <c r="C4144">
        <f>IFERROR(VLOOKUP($A4144,原始数据_收盘!$A$4:$G$3460,3,0),"")</f>
        <v>2.92</v>
      </c>
      <c r="D4144">
        <f>IFERROR(VLOOKUP($A4144,原始数据_收盘!$A$4:$G$3460,4,0),"")</f>
        <v>2.615</v>
      </c>
      <c r="E4144">
        <f>IFERROR(VLOOKUP($A4144,原始数据_收盘!$A$4:$G$3460,5,0),"")</f>
        <v>2.9225</v>
      </c>
      <c r="F4144">
        <f>IFERROR(VLOOKUP($A4144,原始数据_收盘!$A$4:$G$3460,6,0),"")</f>
        <v>2.6113</v>
      </c>
      <c r="G4144">
        <f>IFERROR(VLOOKUP($A4144,原始数据_收盘!$A$4:$G$3460,7,0),"")</f>
        <v>2.9213</v>
      </c>
      <c r="H4144">
        <f>IFERROR(VLOOKUP($A4144,原始数据_利率互换_FR007_1年!$A$6:$C$4395,2,0),"")</f>
        <v>2.6054</v>
      </c>
      <c r="I4144">
        <f>IFERROR(VLOOKUP($A4144,原始数据_利率互换_FR007_1年!$A$6:$C$4395,3,0),"")</f>
        <v>2.914</v>
      </c>
    </row>
    <row r="4145" spans="1:9">
      <c r="A4145" s="6">
        <v>43638</v>
      </c>
      <c r="B4145" t="str">
        <f>IFERROR(VLOOKUP($A4145,原始数据_收盘!$A$4:$G$3460,2,0),"")</f>
        <v/>
      </c>
      <c r="C4145" t="str">
        <f>IFERROR(VLOOKUP($A4145,原始数据_收盘!$A$4:$G$3460,3,0),"")</f>
        <v/>
      </c>
      <c r="D4145" t="str">
        <f>IFERROR(VLOOKUP($A4145,原始数据_收盘!$A$4:$G$3460,4,0),"")</f>
        <v/>
      </c>
      <c r="E4145" t="str">
        <f>IFERROR(VLOOKUP($A4145,原始数据_收盘!$A$4:$G$3460,5,0),"")</f>
        <v/>
      </c>
      <c r="F4145" t="str">
        <f>IFERROR(VLOOKUP($A4145,原始数据_收盘!$A$4:$G$3460,6,0),"")</f>
        <v/>
      </c>
      <c r="G4145" t="str">
        <f>IFERROR(VLOOKUP($A4145,原始数据_收盘!$A$4:$G$3460,7,0),"")</f>
        <v/>
      </c>
      <c r="H4145" t="str">
        <f>IFERROR(VLOOKUP($A4145,原始数据_利率互换_FR007_1年!$A$6:$C$4395,2,0),"")</f>
        <v/>
      </c>
      <c r="I4145" t="str">
        <f>IFERROR(VLOOKUP($A4145,原始数据_利率互换_FR007_1年!$A$6:$C$4395,3,0),"")</f>
        <v/>
      </c>
    </row>
    <row r="4146" spans="1:9">
      <c r="A4146" s="6">
        <v>43639</v>
      </c>
      <c r="B4146" t="str">
        <f>IFERROR(VLOOKUP($A4146,原始数据_收盘!$A$4:$G$3460,2,0),"")</f>
        <v/>
      </c>
      <c r="C4146" t="str">
        <f>IFERROR(VLOOKUP($A4146,原始数据_收盘!$A$4:$G$3460,3,0),"")</f>
        <v/>
      </c>
      <c r="D4146" t="str">
        <f>IFERROR(VLOOKUP($A4146,原始数据_收盘!$A$4:$G$3460,4,0),"")</f>
        <v/>
      </c>
      <c r="E4146" t="str">
        <f>IFERROR(VLOOKUP($A4146,原始数据_收盘!$A$4:$G$3460,5,0),"")</f>
        <v/>
      </c>
      <c r="F4146" t="str">
        <f>IFERROR(VLOOKUP($A4146,原始数据_收盘!$A$4:$G$3460,6,0),"")</f>
        <v/>
      </c>
      <c r="G4146" t="str">
        <f>IFERROR(VLOOKUP($A4146,原始数据_收盘!$A$4:$G$3460,7,0),"")</f>
        <v/>
      </c>
      <c r="H4146" t="str">
        <f>IFERROR(VLOOKUP($A4146,原始数据_利率互换_FR007_1年!$A$6:$C$4395,2,0),"")</f>
        <v/>
      </c>
      <c r="I4146" t="str">
        <f>IFERROR(VLOOKUP($A4146,原始数据_利率互换_FR007_1年!$A$6:$C$4395,3,0),"")</f>
        <v/>
      </c>
    </row>
    <row r="4147" spans="1:9">
      <c r="A4147" s="6">
        <v>43640</v>
      </c>
      <c r="B4147">
        <f>IFERROR(VLOOKUP($A4147,原始数据_收盘!$A$4:$G$3460,2,0),"")</f>
        <v>2.6372</v>
      </c>
      <c r="C4147">
        <f>IFERROR(VLOOKUP($A4147,原始数据_收盘!$A$4:$G$3460,3,0),"")</f>
        <v>2.9325</v>
      </c>
      <c r="D4147">
        <f>IFERROR(VLOOKUP($A4147,原始数据_收盘!$A$4:$G$3460,4,0),"")</f>
        <v>2.6398</v>
      </c>
      <c r="E4147">
        <f>IFERROR(VLOOKUP($A4147,原始数据_收盘!$A$4:$G$3460,5,0),"")</f>
        <v>2.94</v>
      </c>
      <c r="F4147">
        <f>IFERROR(VLOOKUP($A4147,原始数据_收盘!$A$4:$G$3460,6,0),"")</f>
        <v>2.6385</v>
      </c>
      <c r="G4147">
        <f>IFERROR(VLOOKUP($A4147,原始数据_收盘!$A$4:$G$3460,7,0),"")</f>
        <v>2.9363</v>
      </c>
      <c r="H4147">
        <f>IFERROR(VLOOKUP($A4147,原始数据_利率互换_FR007_1年!$A$6:$C$4395,2,0),"")</f>
        <v>2.6267</v>
      </c>
      <c r="I4147">
        <f>IFERROR(VLOOKUP($A4147,原始数据_利率互换_FR007_1年!$A$6:$C$4395,3,0),"")</f>
        <v>2.9289</v>
      </c>
    </row>
    <row r="4148" spans="1:9">
      <c r="A4148" s="6">
        <v>43641</v>
      </c>
      <c r="B4148">
        <f>IFERROR(VLOOKUP($A4148,原始数据_收盘!$A$4:$G$3460,2,0),"")</f>
        <v>2.64</v>
      </c>
      <c r="C4148">
        <f>IFERROR(VLOOKUP($A4148,原始数据_收盘!$A$4:$G$3460,3,0),"")</f>
        <v>2.917</v>
      </c>
      <c r="D4148">
        <f>IFERROR(VLOOKUP($A4148,原始数据_收盘!$A$4:$G$3460,4,0),"")</f>
        <v>2.645</v>
      </c>
      <c r="E4148">
        <f>IFERROR(VLOOKUP($A4148,原始数据_收盘!$A$4:$G$3460,5,0),"")</f>
        <v>2.9196</v>
      </c>
      <c r="F4148">
        <f>IFERROR(VLOOKUP($A4148,原始数据_收盘!$A$4:$G$3460,6,0),"")</f>
        <v>2.6425</v>
      </c>
      <c r="G4148">
        <f>IFERROR(VLOOKUP($A4148,原始数据_收盘!$A$4:$G$3460,7,0),"")</f>
        <v>2.9183</v>
      </c>
      <c r="H4148">
        <f>IFERROR(VLOOKUP($A4148,原始数据_利率互换_FR007_1年!$A$6:$C$4395,2,0),"")</f>
        <v>2.6339</v>
      </c>
      <c r="I4148">
        <f>IFERROR(VLOOKUP($A4148,原始数据_利率互换_FR007_1年!$A$6:$C$4395,3,0),"")</f>
        <v>2.919</v>
      </c>
    </row>
    <row r="4149" spans="1:9">
      <c r="A4149" s="6">
        <v>43642</v>
      </c>
      <c r="B4149">
        <f>IFERROR(VLOOKUP($A4149,原始数据_收盘!$A$4:$G$3460,2,0),"")</f>
        <v>2.6479</v>
      </c>
      <c r="C4149">
        <f>IFERROR(VLOOKUP($A4149,原始数据_收盘!$A$4:$G$3460,3,0),"")</f>
        <v>2.934</v>
      </c>
      <c r="D4149">
        <f>IFERROR(VLOOKUP($A4149,原始数据_收盘!$A$4:$G$3460,4,0),"")</f>
        <v>2.653</v>
      </c>
      <c r="E4149">
        <f>IFERROR(VLOOKUP($A4149,原始数据_收盘!$A$4:$G$3460,5,0),"")</f>
        <v>2.9375</v>
      </c>
      <c r="F4149">
        <f>IFERROR(VLOOKUP($A4149,原始数据_收盘!$A$4:$G$3460,6,0),"")</f>
        <v>2.6504</v>
      </c>
      <c r="G4149">
        <f>IFERROR(VLOOKUP($A4149,原始数据_收盘!$A$4:$G$3460,7,0),"")</f>
        <v>2.9358</v>
      </c>
      <c r="H4149">
        <f>IFERROR(VLOOKUP($A4149,原始数据_利率互换_FR007_1年!$A$6:$C$4395,2,0),"")</f>
        <v>2.6481</v>
      </c>
      <c r="I4149">
        <f>IFERROR(VLOOKUP($A4149,原始数据_利率互换_FR007_1年!$A$6:$C$4395,3,0),"")</f>
        <v>2.9308</v>
      </c>
    </row>
    <row r="4150" spans="1:9">
      <c r="A4150" s="6">
        <v>43643</v>
      </c>
      <c r="B4150">
        <f>IFERROR(VLOOKUP($A4150,原始数据_收盘!$A$4:$G$3460,2,0),"")</f>
        <v>2.66</v>
      </c>
      <c r="C4150">
        <f>IFERROR(VLOOKUP($A4150,原始数据_收盘!$A$4:$G$3460,3,0),"")</f>
        <v>2.95</v>
      </c>
      <c r="D4150">
        <f>IFERROR(VLOOKUP($A4150,原始数据_收盘!$A$4:$G$3460,4,0),"")</f>
        <v>2.663</v>
      </c>
      <c r="E4150">
        <f>IFERROR(VLOOKUP($A4150,原始数据_收盘!$A$4:$G$3460,5,0),"")</f>
        <v>2.9525</v>
      </c>
      <c r="F4150">
        <f>IFERROR(VLOOKUP($A4150,原始数据_收盘!$A$4:$G$3460,6,0),"")</f>
        <v>2.6615</v>
      </c>
      <c r="G4150">
        <f>IFERROR(VLOOKUP($A4150,原始数据_收盘!$A$4:$G$3460,7,0),"")</f>
        <v>2.9513</v>
      </c>
      <c r="H4150">
        <f>IFERROR(VLOOKUP($A4150,原始数据_利率互换_FR007_1年!$A$6:$C$4395,2,0),"")</f>
        <v>2.6533</v>
      </c>
      <c r="I4150">
        <f>IFERROR(VLOOKUP($A4150,原始数据_利率互换_FR007_1年!$A$6:$C$4395,3,0),"")</f>
        <v>2.94</v>
      </c>
    </row>
    <row r="4151" spans="1:9">
      <c r="A4151" s="6">
        <v>43644</v>
      </c>
      <c r="B4151">
        <f>IFERROR(VLOOKUP($A4151,原始数据_收盘!$A$4:$G$3460,2,0),"")</f>
        <v>2.635</v>
      </c>
      <c r="C4151">
        <f>IFERROR(VLOOKUP($A4151,原始数据_收盘!$A$4:$G$3460,3,0),"")</f>
        <v>2.93</v>
      </c>
      <c r="D4151">
        <f>IFERROR(VLOOKUP($A4151,原始数据_收盘!$A$4:$G$3460,4,0),"")</f>
        <v>2.64</v>
      </c>
      <c r="E4151">
        <f>IFERROR(VLOOKUP($A4151,原始数据_收盘!$A$4:$G$3460,5,0),"")</f>
        <v>2.9328</v>
      </c>
      <c r="F4151">
        <f>IFERROR(VLOOKUP($A4151,原始数据_收盘!$A$4:$G$3460,6,0),"")</f>
        <v>2.6375</v>
      </c>
      <c r="G4151">
        <f>IFERROR(VLOOKUP($A4151,原始数据_收盘!$A$4:$G$3460,7,0),"")</f>
        <v>2.9314</v>
      </c>
      <c r="H4151">
        <f>IFERROR(VLOOKUP($A4151,原始数据_利率互换_FR007_1年!$A$6:$C$4395,2,0),"")</f>
        <v>2.6419</v>
      </c>
      <c r="I4151">
        <f>IFERROR(VLOOKUP($A4151,原始数据_利率互换_FR007_1年!$A$6:$C$4395,3,0),"")</f>
        <v>2.9328</v>
      </c>
    </row>
    <row r="4152" spans="1:9">
      <c r="A4152" s="6">
        <v>43645</v>
      </c>
      <c r="B4152" t="str">
        <f>IFERROR(VLOOKUP($A4152,原始数据_收盘!$A$4:$G$3460,2,0),"")</f>
        <v/>
      </c>
      <c r="C4152" t="str">
        <f>IFERROR(VLOOKUP($A4152,原始数据_收盘!$A$4:$G$3460,3,0),"")</f>
        <v/>
      </c>
      <c r="D4152" t="str">
        <f>IFERROR(VLOOKUP($A4152,原始数据_收盘!$A$4:$G$3460,4,0),"")</f>
        <v/>
      </c>
      <c r="E4152" t="str">
        <f>IFERROR(VLOOKUP($A4152,原始数据_收盘!$A$4:$G$3460,5,0),"")</f>
        <v/>
      </c>
      <c r="F4152" t="str">
        <f>IFERROR(VLOOKUP($A4152,原始数据_收盘!$A$4:$G$3460,6,0),"")</f>
        <v/>
      </c>
      <c r="G4152" t="str">
        <f>IFERROR(VLOOKUP($A4152,原始数据_收盘!$A$4:$G$3460,7,0),"")</f>
        <v/>
      </c>
      <c r="H4152" t="str">
        <f>IFERROR(VLOOKUP($A4152,原始数据_利率互换_FR007_1年!$A$6:$C$4395,2,0),"")</f>
        <v/>
      </c>
      <c r="I4152" t="str">
        <f>IFERROR(VLOOKUP($A4152,原始数据_利率互换_FR007_1年!$A$6:$C$4395,3,0),"")</f>
        <v/>
      </c>
    </row>
    <row r="4153" spans="1:9">
      <c r="A4153" s="6">
        <v>43646</v>
      </c>
      <c r="B4153" t="str">
        <f>IFERROR(VLOOKUP($A4153,原始数据_收盘!$A$4:$G$3460,2,0),"")</f>
        <v/>
      </c>
      <c r="C4153" t="str">
        <f>IFERROR(VLOOKUP($A4153,原始数据_收盘!$A$4:$G$3460,3,0),"")</f>
        <v/>
      </c>
      <c r="D4153" t="str">
        <f>IFERROR(VLOOKUP($A4153,原始数据_收盘!$A$4:$G$3460,4,0),"")</f>
        <v/>
      </c>
      <c r="E4153" t="str">
        <f>IFERROR(VLOOKUP($A4153,原始数据_收盘!$A$4:$G$3460,5,0),"")</f>
        <v/>
      </c>
      <c r="F4153" t="str">
        <f>IFERROR(VLOOKUP($A4153,原始数据_收盘!$A$4:$G$3460,6,0),"")</f>
        <v/>
      </c>
      <c r="G4153" t="str">
        <f>IFERROR(VLOOKUP($A4153,原始数据_收盘!$A$4:$G$3460,7,0),"")</f>
        <v/>
      </c>
      <c r="H4153" t="str">
        <f>IFERROR(VLOOKUP($A4153,原始数据_利率互换_FR007_1年!$A$6:$C$4395,2,0),"")</f>
        <v/>
      </c>
      <c r="I4153" t="str">
        <f>IFERROR(VLOOKUP($A4153,原始数据_利率互换_FR007_1年!$A$6:$C$4395,3,0),"")</f>
        <v/>
      </c>
    </row>
    <row r="4154" spans="1:9">
      <c r="A4154" s="6">
        <v>43647</v>
      </c>
      <c r="B4154">
        <f>IFERROR(VLOOKUP($A4154,原始数据_收盘!$A$4:$G$3460,2,0),"")</f>
        <v>2.6125</v>
      </c>
      <c r="C4154">
        <f>IFERROR(VLOOKUP($A4154,原始数据_收盘!$A$4:$G$3460,3,0),"")</f>
        <v>2.92</v>
      </c>
      <c r="D4154">
        <f>IFERROR(VLOOKUP($A4154,原始数据_收盘!$A$4:$G$3460,4,0),"")</f>
        <v>2.62</v>
      </c>
      <c r="E4154">
        <f>IFERROR(VLOOKUP($A4154,原始数据_收盘!$A$4:$G$3460,5,0),"")</f>
        <v>2.9245</v>
      </c>
      <c r="F4154">
        <f>IFERROR(VLOOKUP($A4154,原始数据_收盘!$A$4:$G$3460,6,0),"")</f>
        <v>2.6163</v>
      </c>
      <c r="G4154">
        <f>IFERROR(VLOOKUP($A4154,原始数据_收盘!$A$4:$G$3460,7,0),"")</f>
        <v>2.9223</v>
      </c>
      <c r="H4154">
        <f>IFERROR(VLOOKUP($A4154,原始数据_利率互换_FR007_1年!$A$6:$C$4395,2,0),"")</f>
        <v>2.6294</v>
      </c>
      <c r="I4154">
        <f>IFERROR(VLOOKUP($A4154,原始数据_利率互换_FR007_1年!$A$6:$C$4395,3,0),"")</f>
        <v>2.9352</v>
      </c>
    </row>
    <row r="4155" spans="1:9">
      <c r="A4155" s="6">
        <v>43648</v>
      </c>
      <c r="B4155">
        <f>IFERROR(VLOOKUP($A4155,原始数据_收盘!$A$4:$G$3460,2,0),"")</f>
        <v>2.57</v>
      </c>
      <c r="C4155">
        <f>IFERROR(VLOOKUP($A4155,原始数据_收盘!$A$4:$G$3460,3,0),"")</f>
        <v>2.8689</v>
      </c>
      <c r="D4155">
        <f>IFERROR(VLOOKUP($A4155,原始数据_收盘!$A$4:$G$3460,4,0),"")</f>
        <v>2.5725</v>
      </c>
      <c r="E4155">
        <f>IFERROR(VLOOKUP($A4155,原始数据_收盘!$A$4:$G$3460,5,0),"")</f>
        <v>2.8715</v>
      </c>
      <c r="F4155">
        <f>IFERROR(VLOOKUP($A4155,原始数据_收盘!$A$4:$G$3460,6,0),"")</f>
        <v>2.5713</v>
      </c>
      <c r="G4155">
        <f>IFERROR(VLOOKUP($A4155,原始数据_收盘!$A$4:$G$3460,7,0),"")</f>
        <v>2.8702</v>
      </c>
      <c r="H4155">
        <f>IFERROR(VLOOKUP($A4155,原始数据_利率互换_FR007_1年!$A$6:$C$4395,2,0),"")</f>
        <v>2.5868</v>
      </c>
      <c r="I4155">
        <f>IFERROR(VLOOKUP($A4155,原始数据_利率互换_FR007_1年!$A$6:$C$4395,3,0),"")</f>
        <v>2.892</v>
      </c>
    </row>
    <row r="4156" spans="1:9">
      <c r="A4156" s="6">
        <v>43649</v>
      </c>
      <c r="B4156">
        <f>IFERROR(VLOOKUP($A4156,原始数据_收盘!$A$4:$G$3460,2,0),"")</f>
        <v>2.555</v>
      </c>
      <c r="C4156">
        <f>IFERROR(VLOOKUP($A4156,原始数据_收盘!$A$4:$G$3460,3,0),"")</f>
        <v>2.86</v>
      </c>
      <c r="D4156">
        <f>IFERROR(VLOOKUP($A4156,原始数据_收盘!$A$4:$G$3460,4,0),"")</f>
        <v>2.56</v>
      </c>
      <c r="E4156">
        <f>IFERROR(VLOOKUP($A4156,原始数据_收盘!$A$4:$G$3460,5,0),"")</f>
        <v>2.8625</v>
      </c>
      <c r="F4156">
        <f>IFERROR(VLOOKUP($A4156,原始数据_收盘!$A$4:$G$3460,6,0),"")</f>
        <v>2.5575</v>
      </c>
      <c r="G4156">
        <f>IFERROR(VLOOKUP($A4156,原始数据_收盘!$A$4:$G$3460,7,0),"")</f>
        <v>2.8613</v>
      </c>
      <c r="H4156">
        <f>IFERROR(VLOOKUP($A4156,原始数据_利率互换_FR007_1年!$A$6:$C$4395,2,0),"")</f>
        <v>2.5595</v>
      </c>
      <c r="I4156">
        <f>IFERROR(VLOOKUP($A4156,原始数据_利率互换_FR007_1年!$A$6:$C$4395,3,0),"")</f>
        <v>2.8567</v>
      </c>
    </row>
    <row r="4157" spans="1:9">
      <c r="A4157" s="6">
        <v>43650</v>
      </c>
      <c r="B4157">
        <f>IFERROR(VLOOKUP($A4157,原始数据_收盘!$A$4:$G$3460,2,0),"")</f>
        <v>2.5536</v>
      </c>
      <c r="C4157">
        <f>IFERROR(VLOOKUP($A4157,原始数据_收盘!$A$4:$G$3460,3,0),"")</f>
        <v>2.8459</v>
      </c>
      <c r="D4157">
        <f>IFERROR(VLOOKUP($A4157,原始数据_收盘!$A$4:$G$3460,4,0),"")</f>
        <v>2.5575</v>
      </c>
      <c r="E4157">
        <f>IFERROR(VLOOKUP($A4157,原始数据_收盘!$A$4:$G$3460,5,0),"")</f>
        <v>2.8485</v>
      </c>
      <c r="F4157">
        <f>IFERROR(VLOOKUP($A4157,原始数据_收盘!$A$4:$G$3460,6,0),"")</f>
        <v>2.5556</v>
      </c>
      <c r="G4157">
        <f>IFERROR(VLOOKUP($A4157,原始数据_收盘!$A$4:$G$3460,7,0),"")</f>
        <v>2.8472</v>
      </c>
      <c r="H4157">
        <f>IFERROR(VLOOKUP($A4157,原始数据_利率互换_FR007_1年!$A$6:$C$4395,2,0),"")</f>
        <v>2.5608</v>
      </c>
      <c r="I4157">
        <f>IFERROR(VLOOKUP($A4157,原始数据_利率互换_FR007_1年!$A$6:$C$4395,3,0),"")</f>
        <v>2.8586</v>
      </c>
    </row>
    <row r="4158" spans="1:9">
      <c r="A4158" s="6">
        <v>43651</v>
      </c>
      <c r="B4158">
        <f>IFERROR(VLOOKUP($A4158,原始数据_收盘!$A$4:$G$3460,2,0),"")</f>
        <v>2.5925</v>
      </c>
      <c r="C4158">
        <f>IFERROR(VLOOKUP($A4158,原始数据_收盘!$A$4:$G$3460,3,0),"")</f>
        <v>2.88</v>
      </c>
      <c r="D4158">
        <f>IFERROR(VLOOKUP($A4158,原始数据_收盘!$A$4:$G$3460,4,0),"")</f>
        <v>2.5954</v>
      </c>
      <c r="E4158">
        <f>IFERROR(VLOOKUP($A4158,原始数据_收盘!$A$4:$G$3460,5,0),"")</f>
        <v>2.8875</v>
      </c>
      <c r="F4158">
        <f>IFERROR(VLOOKUP($A4158,原始数据_收盘!$A$4:$G$3460,6,0),"")</f>
        <v>2.594</v>
      </c>
      <c r="G4158">
        <f>IFERROR(VLOOKUP($A4158,原始数据_收盘!$A$4:$G$3460,7,0),"")</f>
        <v>2.8838</v>
      </c>
      <c r="H4158">
        <f>IFERROR(VLOOKUP($A4158,原始数据_利率互换_FR007_1年!$A$6:$C$4395,2,0),"")</f>
        <v>2.5828</v>
      </c>
      <c r="I4158">
        <f>IFERROR(VLOOKUP($A4158,原始数据_利率互换_FR007_1年!$A$6:$C$4395,3,0),"")</f>
        <v>2.8727</v>
      </c>
    </row>
    <row r="4159" spans="1:9">
      <c r="A4159" s="6">
        <v>43652</v>
      </c>
      <c r="B4159" t="str">
        <f>IFERROR(VLOOKUP($A4159,原始数据_收盘!$A$4:$G$3460,2,0),"")</f>
        <v/>
      </c>
      <c r="C4159" t="str">
        <f>IFERROR(VLOOKUP($A4159,原始数据_收盘!$A$4:$G$3460,3,0),"")</f>
        <v/>
      </c>
      <c r="D4159" t="str">
        <f>IFERROR(VLOOKUP($A4159,原始数据_收盘!$A$4:$G$3460,4,0),"")</f>
        <v/>
      </c>
      <c r="E4159" t="str">
        <f>IFERROR(VLOOKUP($A4159,原始数据_收盘!$A$4:$G$3460,5,0),"")</f>
        <v/>
      </c>
      <c r="F4159" t="str">
        <f>IFERROR(VLOOKUP($A4159,原始数据_收盘!$A$4:$G$3460,6,0),"")</f>
        <v/>
      </c>
      <c r="G4159" t="str">
        <f>IFERROR(VLOOKUP($A4159,原始数据_收盘!$A$4:$G$3460,7,0),"")</f>
        <v/>
      </c>
      <c r="H4159" t="str">
        <f>IFERROR(VLOOKUP($A4159,原始数据_利率互换_FR007_1年!$A$6:$C$4395,2,0),"")</f>
        <v/>
      </c>
      <c r="I4159" t="str">
        <f>IFERROR(VLOOKUP($A4159,原始数据_利率互换_FR007_1年!$A$6:$C$4395,3,0),"")</f>
        <v/>
      </c>
    </row>
    <row r="4160" spans="1:9">
      <c r="A4160" s="6">
        <v>43653</v>
      </c>
      <c r="B4160" t="str">
        <f>IFERROR(VLOOKUP($A4160,原始数据_收盘!$A$4:$G$3460,2,0),"")</f>
        <v/>
      </c>
      <c r="C4160" t="str">
        <f>IFERROR(VLOOKUP($A4160,原始数据_收盘!$A$4:$G$3460,3,0),"")</f>
        <v/>
      </c>
      <c r="D4160" t="str">
        <f>IFERROR(VLOOKUP($A4160,原始数据_收盘!$A$4:$G$3460,4,0),"")</f>
        <v/>
      </c>
      <c r="E4160" t="str">
        <f>IFERROR(VLOOKUP($A4160,原始数据_收盘!$A$4:$G$3460,5,0),"")</f>
        <v/>
      </c>
      <c r="F4160" t="str">
        <f>IFERROR(VLOOKUP($A4160,原始数据_收盘!$A$4:$G$3460,6,0),"")</f>
        <v/>
      </c>
      <c r="G4160" t="str">
        <f>IFERROR(VLOOKUP($A4160,原始数据_收盘!$A$4:$G$3460,7,0),"")</f>
        <v/>
      </c>
      <c r="H4160" t="str">
        <f>IFERROR(VLOOKUP($A4160,原始数据_利率互换_FR007_1年!$A$6:$C$4395,2,0),"")</f>
        <v/>
      </c>
      <c r="I4160" t="str">
        <f>IFERROR(VLOOKUP($A4160,原始数据_利率互换_FR007_1年!$A$6:$C$4395,3,0),"")</f>
        <v/>
      </c>
    </row>
    <row r="4161" spans="1:9">
      <c r="A4161" s="6">
        <v>43654</v>
      </c>
      <c r="B4161">
        <f>IFERROR(VLOOKUP($A4161,原始数据_收盘!$A$4:$G$3460,2,0),"")</f>
        <v>2.6125</v>
      </c>
      <c r="C4161">
        <f>IFERROR(VLOOKUP($A4161,原始数据_收盘!$A$4:$G$3460,3,0),"")</f>
        <v>2.9</v>
      </c>
      <c r="D4161">
        <f>IFERROR(VLOOKUP($A4161,原始数据_收盘!$A$4:$G$3460,4,0),"")</f>
        <v>2.6175</v>
      </c>
      <c r="E4161">
        <f>IFERROR(VLOOKUP($A4161,原始数据_收盘!$A$4:$G$3460,5,0),"")</f>
        <v>2.9025</v>
      </c>
      <c r="F4161">
        <f>IFERROR(VLOOKUP($A4161,原始数据_收盘!$A$4:$G$3460,6,0),"")</f>
        <v>2.615</v>
      </c>
      <c r="G4161">
        <f>IFERROR(VLOOKUP($A4161,原始数据_收盘!$A$4:$G$3460,7,0),"")</f>
        <v>2.9013</v>
      </c>
      <c r="H4161">
        <f>IFERROR(VLOOKUP($A4161,原始数据_利率互换_FR007_1年!$A$6:$C$4395,2,0),"")</f>
        <v>2.6124</v>
      </c>
      <c r="I4161">
        <f>IFERROR(VLOOKUP($A4161,原始数据_利率互换_FR007_1年!$A$6:$C$4395,3,0),"")</f>
        <v>2.8953</v>
      </c>
    </row>
    <row r="4162" spans="1:9">
      <c r="A4162" s="6">
        <v>43655</v>
      </c>
      <c r="B4162">
        <f>IFERROR(VLOOKUP($A4162,原始数据_收盘!$A$4:$G$3460,2,0),"")</f>
        <v>2.605</v>
      </c>
      <c r="C4162">
        <f>IFERROR(VLOOKUP($A4162,原始数据_收盘!$A$4:$G$3460,3,0),"")</f>
        <v>2.8875</v>
      </c>
      <c r="D4162">
        <f>IFERROR(VLOOKUP($A4162,原始数据_收盘!$A$4:$G$3460,4,0),"")</f>
        <v>2.6118</v>
      </c>
      <c r="E4162">
        <f>IFERROR(VLOOKUP($A4162,原始数据_收盘!$A$4:$G$3460,5,0),"")</f>
        <v>2.8933</v>
      </c>
      <c r="F4162">
        <f>IFERROR(VLOOKUP($A4162,原始数据_收盘!$A$4:$G$3460,6,0),"")</f>
        <v>2.6084</v>
      </c>
      <c r="G4162">
        <f>IFERROR(VLOOKUP($A4162,原始数据_收盘!$A$4:$G$3460,7,0),"")</f>
        <v>2.8904</v>
      </c>
      <c r="H4162">
        <f>IFERROR(VLOOKUP($A4162,原始数据_利率互换_FR007_1年!$A$6:$C$4395,2,0),"")</f>
        <v>2.6157</v>
      </c>
      <c r="I4162">
        <f>IFERROR(VLOOKUP($A4162,原始数据_利率互换_FR007_1年!$A$6:$C$4395,3,0),"")</f>
        <v>2.902</v>
      </c>
    </row>
    <row r="4163" spans="1:9">
      <c r="A4163" s="6">
        <v>43656</v>
      </c>
      <c r="B4163">
        <f>IFERROR(VLOOKUP($A4163,原始数据_收盘!$A$4:$G$3460,2,0),"")</f>
        <v>2.6075</v>
      </c>
      <c r="C4163">
        <f>IFERROR(VLOOKUP($A4163,原始数据_收盘!$A$4:$G$3460,3,0),"")</f>
        <v>2.9011</v>
      </c>
      <c r="D4163">
        <f>IFERROR(VLOOKUP($A4163,原始数据_收盘!$A$4:$G$3460,4,0),"")</f>
        <v>2.6125</v>
      </c>
      <c r="E4163">
        <f>IFERROR(VLOOKUP($A4163,原始数据_收盘!$A$4:$G$3460,5,0),"")</f>
        <v>2.9037</v>
      </c>
      <c r="F4163">
        <f>IFERROR(VLOOKUP($A4163,原始数据_收盘!$A$4:$G$3460,6,0),"")</f>
        <v>2.61</v>
      </c>
      <c r="G4163">
        <f>IFERROR(VLOOKUP($A4163,原始数据_收盘!$A$4:$G$3460,7,0),"")</f>
        <v>2.9024</v>
      </c>
      <c r="H4163">
        <f>IFERROR(VLOOKUP($A4163,原始数据_利率互换_FR007_1年!$A$6:$C$4395,2,0),"")</f>
        <v>2.6069</v>
      </c>
      <c r="I4163">
        <f>IFERROR(VLOOKUP($A4163,原始数据_利率互换_FR007_1年!$A$6:$C$4395,3,0),"")</f>
        <v>2.8941</v>
      </c>
    </row>
    <row r="4164" spans="1:9">
      <c r="A4164" s="6">
        <v>43657</v>
      </c>
      <c r="B4164">
        <f>IFERROR(VLOOKUP($A4164,原始数据_收盘!$A$4:$G$3460,2,0),"")</f>
        <v>2.595</v>
      </c>
      <c r="C4164">
        <f>IFERROR(VLOOKUP($A4164,原始数据_收盘!$A$4:$G$3460,3,0),"")</f>
        <v>2.8925</v>
      </c>
      <c r="D4164">
        <f>IFERROR(VLOOKUP($A4164,原始数据_收盘!$A$4:$G$3460,4,0),"")</f>
        <v>2.6</v>
      </c>
      <c r="E4164">
        <f>IFERROR(VLOOKUP($A4164,原始数据_收盘!$A$4:$G$3460,5,0),"")</f>
        <v>2.895</v>
      </c>
      <c r="F4164">
        <f>IFERROR(VLOOKUP($A4164,原始数据_收盘!$A$4:$G$3460,6,0),"")</f>
        <v>2.5975</v>
      </c>
      <c r="G4164">
        <f>IFERROR(VLOOKUP($A4164,原始数据_收盘!$A$4:$G$3460,7,0),"")</f>
        <v>2.8938</v>
      </c>
      <c r="H4164">
        <f>IFERROR(VLOOKUP($A4164,原始数据_利率互换_FR007_1年!$A$6:$C$4395,2,0),"")</f>
        <v>2.5952</v>
      </c>
      <c r="I4164">
        <f>IFERROR(VLOOKUP($A4164,原始数据_利率互换_FR007_1年!$A$6:$C$4395,3,0),"")</f>
        <v>2.8832</v>
      </c>
    </row>
    <row r="4165" spans="1:9">
      <c r="A4165" s="6">
        <v>43658</v>
      </c>
      <c r="B4165">
        <f>IFERROR(VLOOKUP($A4165,原始数据_收盘!$A$4:$G$3460,2,0),"")</f>
        <v>2.595</v>
      </c>
      <c r="C4165">
        <f>IFERROR(VLOOKUP($A4165,原始数据_收盘!$A$4:$G$3460,3,0),"")</f>
        <v>2.8899</v>
      </c>
      <c r="D4165">
        <f>IFERROR(VLOOKUP($A4165,原始数据_收盘!$A$4:$G$3460,4,0),"")</f>
        <v>2.6</v>
      </c>
      <c r="E4165">
        <f>IFERROR(VLOOKUP($A4165,原始数据_收盘!$A$4:$G$3460,5,0),"")</f>
        <v>2.8932</v>
      </c>
      <c r="F4165">
        <f>IFERROR(VLOOKUP($A4165,原始数据_收盘!$A$4:$G$3460,6,0),"")</f>
        <v>2.5975</v>
      </c>
      <c r="G4165">
        <f>IFERROR(VLOOKUP($A4165,原始数据_收盘!$A$4:$G$3460,7,0),"")</f>
        <v>2.8915</v>
      </c>
      <c r="H4165">
        <f>IFERROR(VLOOKUP($A4165,原始数据_利率互换_FR007_1年!$A$6:$C$4395,2,0),"")</f>
        <v>2.6023</v>
      </c>
      <c r="I4165">
        <f>IFERROR(VLOOKUP($A4165,原始数据_利率互换_FR007_1年!$A$6:$C$4395,3,0),"")</f>
        <v>2.9006</v>
      </c>
    </row>
    <row r="4166" spans="1:9">
      <c r="A4166" s="6">
        <v>43659</v>
      </c>
      <c r="B4166" t="str">
        <f>IFERROR(VLOOKUP($A4166,原始数据_收盘!$A$4:$G$3460,2,0),"")</f>
        <v/>
      </c>
      <c r="C4166" t="str">
        <f>IFERROR(VLOOKUP($A4166,原始数据_收盘!$A$4:$G$3460,3,0),"")</f>
        <v/>
      </c>
      <c r="D4166" t="str">
        <f>IFERROR(VLOOKUP($A4166,原始数据_收盘!$A$4:$G$3460,4,0),"")</f>
        <v/>
      </c>
      <c r="E4166" t="str">
        <f>IFERROR(VLOOKUP($A4166,原始数据_收盘!$A$4:$G$3460,5,0),"")</f>
        <v/>
      </c>
      <c r="F4166" t="str">
        <f>IFERROR(VLOOKUP($A4166,原始数据_收盘!$A$4:$G$3460,6,0),"")</f>
        <v/>
      </c>
      <c r="G4166" t="str">
        <f>IFERROR(VLOOKUP($A4166,原始数据_收盘!$A$4:$G$3460,7,0),"")</f>
        <v/>
      </c>
      <c r="H4166" t="str">
        <f>IFERROR(VLOOKUP($A4166,原始数据_利率互换_FR007_1年!$A$6:$C$4395,2,0),"")</f>
        <v/>
      </c>
      <c r="I4166" t="str">
        <f>IFERROR(VLOOKUP($A4166,原始数据_利率互换_FR007_1年!$A$6:$C$4395,3,0),"")</f>
        <v/>
      </c>
    </row>
    <row r="4167" spans="1:9">
      <c r="A4167" s="6">
        <v>43660</v>
      </c>
      <c r="B4167" t="str">
        <f>IFERROR(VLOOKUP($A4167,原始数据_收盘!$A$4:$G$3460,2,0),"")</f>
        <v/>
      </c>
      <c r="C4167" t="str">
        <f>IFERROR(VLOOKUP($A4167,原始数据_收盘!$A$4:$G$3460,3,0),"")</f>
        <v/>
      </c>
      <c r="D4167" t="str">
        <f>IFERROR(VLOOKUP($A4167,原始数据_收盘!$A$4:$G$3460,4,0),"")</f>
        <v/>
      </c>
      <c r="E4167" t="str">
        <f>IFERROR(VLOOKUP($A4167,原始数据_收盘!$A$4:$G$3460,5,0),"")</f>
        <v/>
      </c>
      <c r="F4167" t="str">
        <f>IFERROR(VLOOKUP($A4167,原始数据_收盘!$A$4:$G$3460,6,0),"")</f>
        <v/>
      </c>
      <c r="G4167" t="str">
        <f>IFERROR(VLOOKUP($A4167,原始数据_收盘!$A$4:$G$3460,7,0),"")</f>
        <v/>
      </c>
      <c r="H4167" t="str">
        <f>IFERROR(VLOOKUP($A4167,原始数据_利率互换_FR007_1年!$A$6:$C$4395,2,0),"")</f>
        <v/>
      </c>
      <c r="I4167" t="str">
        <f>IFERROR(VLOOKUP($A4167,原始数据_利率互换_FR007_1年!$A$6:$C$4395,3,0),"")</f>
        <v/>
      </c>
    </row>
    <row r="4168" spans="1:9">
      <c r="A4168" s="6">
        <v>43661</v>
      </c>
      <c r="B4168">
        <f>IFERROR(VLOOKUP($A4168,原始数据_收盘!$A$4:$G$3460,2,0),"")</f>
        <v>2.625</v>
      </c>
      <c r="C4168">
        <f>IFERROR(VLOOKUP($A4168,原始数据_收盘!$A$4:$G$3460,3,0),"")</f>
        <v>2.915</v>
      </c>
      <c r="D4168">
        <f>IFERROR(VLOOKUP($A4168,原始数据_收盘!$A$4:$G$3460,4,0),"")</f>
        <v>2.6275</v>
      </c>
      <c r="E4168">
        <f>IFERROR(VLOOKUP($A4168,原始数据_收盘!$A$4:$G$3460,5,0),"")</f>
        <v>2.9182</v>
      </c>
      <c r="F4168">
        <f>IFERROR(VLOOKUP($A4168,原始数据_收盘!$A$4:$G$3460,6,0),"")</f>
        <v>2.6263</v>
      </c>
      <c r="G4168">
        <f>IFERROR(VLOOKUP($A4168,原始数据_收盘!$A$4:$G$3460,7,0),"")</f>
        <v>2.9166</v>
      </c>
      <c r="H4168">
        <f>IFERROR(VLOOKUP($A4168,原始数据_利率互换_FR007_1年!$A$6:$C$4395,2,0),"")</f>
        <v>2.6168</v>
      </c>
      <c r="I4168">
        <f>IFERROR(VLOOKUP($A4168,原始数据_利率互换_FR007_1年!$A$6:$C$4395,3,0),"")</f>
        <v>2.9004</v>
      </c>
    </row>
    <row r="4169" spans="1:9">
      <c r="A4169" s="6">
        <v>43662</v>
      </c>
      <c r="B4169">
        <f>IFERROR(VLOOKUP($A4169,原始数据_收盘!$A$4:$G$3460,2,0),"")</f>
        <v>2.61</v>
      </c>
      <c r="C4169">
        <f>IFERROR(VLOOKUP($A4169,原始数据_收盘!$A$4:$G$3460,3,0),"")</f>
        <v>2.9025</v>
      </c>
      <c r="D4169">
        <f>IFERROR(VLOOKUP($A4169,原始数据_收盘!$A$4:$G$3460,4,0),"")</f>
        <v>2.615</v>
      </c>
      <c r="E4169">
        <f>IFERROR(VLOOKUP($A4169,原始数据_收盘!$A$4:$G$3460,5,0),"")</f>
        <v>2.905</v>
      </c>
      <c r="F4169">
        <f>IFERROR(VLOOKUP($A4169,原始数据_收盘!$A$4:$G$3460,6,0),"")</f>
        <v>2.6125</v>
      </c>
      <c r="G4169">
        <f>IFERROR(VLOOKUP($A4169,原始数据_收盘!$A$4:$G$3460,7,0),"")</f>
        <v>2.9038</v>
      </c>
      <c r="H4169">
        <f>IFERROR(VLOOKUP($A4169,原始数据_利率互换_FR007_1年!$A$6:$C$4395,2,0),"")</f>
        <v>2.6137</v>
      </c>
      <c r="I4169">
        <f>IFERROR(VLOOKUP($A4169,原始数据_利率互换_FR007_1年!$A$6:$C$4395,3,0),"")</f>
        <v>2.9054</v>
      </c>
    </row>
    <row r="4170" spans="1:9">
      <c r="A4170" s="6">
        <v>43663</v>
      </c>
      <c r="B4170">
        <f>IFERROR(VLOOKUP($A4170,原始数据_收盘!$A$4:$G$3460,2,0),"")</f>
        <v>2.605</v>
      </c>
      <c r="C4170">
        <f>IFERROR(VLOOKUP($A4170,原始数据_收盘!$A$4:$G$3460,3,0),"")</f>
        <v>2.898</v>
      </c>
      <c r="D4170">
        <f>IFERROR(VLOOKUP($A4170,原始数据_收盘!$A$4:$G$3460,4,0),"")</f>
        <v>2.6075</v>
      </c>
      <c r="E4170">
        <f>IFERROR(VLOOKUP($A4170,原始数据_收盘!$A$4:$G$3460,5,0),"")</f>
        <v>2.9</v>
      </c>
      <c r="F4170">
        <f>IFERROR(VLOOKUP($A4170,原始数据_收盘!$A$4:$G$3460,6,0),"")</f>
        <v>2.6063</v>
      </c>
      <c r="G4170">
        <f>IFERROR(VLOOKUP($A4170,原始数据_收盘!$A$4:$G$3460,7,0),"")</f>
        <v>2.899</v>
      </c>
      <c r="H4170">
        <f>IFERROR(VLOOKUP($A4170,原始数据_利率互换_FR007_1年!$A$6:$C$4395,2,0),"")</f>
        <v>2.6076</v>
      </c>
      <c r="I4170">
        <f>IFERROR(VLOOKUP($A4170,原始数据_利率互换_FR007_1年!$A$6:$C$4395,3,0),"")</f>
        <v>2.9009</v>
      </c>
    </row>
    <row r="4171" spans="1:9">
      <c r="A4171" s="6">
        <v>43664</v>
      </c>
      <c r="B4171">
        <f>IFERROR(VLOOKUP($A4171,原始数据_收盘!$A$4:$G$3460,2,0),"")</f>
        <v>2.5925</v>
      </c>
      <c r="C4171">
        <f>IFERROR(VLOOKUP($A4171,原始数据_收盘!$A$4:$G$3460,3,0),"")</f>
        <v>2.8825</v>
      </c>
      <c r="D4171">
        <f>IFERROR(VLOOKUP($A4171,原始数据_收盘!$A$4:$G$3460,4,0),"")</f>
        <v>2.595</v>
      </c>
      <c r="E4171">
        <f>IFERROR(VLOOKUP($A4171,原始数据_收盘!$A$4:$G$3460,5,0),"")</f>
        <v>2.885</v>
      </c>
      <c r="F4171">
        <f>IFERROR(VLOOKUP($A4171,原始数据_收盘!$A$4:$G$3460,6,0),"")</f>
        <v>2.5938</v>
      </c>
      <c r="G4171">
        <f>IFERROR(VLOOKUP($A4171,原始数据_收盘!$A$4:$G$3460,7,0),"")</f>
        <v>2.8838</v>
      </c>
      <c r="H4171">
        <f>IFERROR(VLOOKUP($A4171,原始数据_利率互换_FR007_1年!$A$6:$C$4395,2,0),"")</f>
        <v>2.5938</v>
      </c>
      <c r="I4171">
        <f>IFERROR(VLOOKUP($A4171,原始数据_利率互换_FR007_1年!$A$6:$C$4395,3,0),"")</f>
        <v>2.8839</v>
      </c>
    </row>
    <row r="4172" spans="1:9">
      <c r="A4172" s="6">
        <v>43665</v>
      </c>
      <c r="B4172">
        <f>IFERROR(VLOOKUP($A4172,原始数据_收盘!$A$4:$G$3460,2,0),"")</f>
        <v>2.58</v>
      </c>
      <c r="C4172">
        <f>IFERROR(VLOOKUP($A4172,原始数据_收盘!$A$4:$G$3460,3,0),"")</f>
        <v>2.865</v>
      </c>
      <c r="D4172">
        <f>IFERROR(VLOOKUP($A4172,原始数据_收盘!$A$4:$G$3460,4,0),"")</f>
        <v>2.583</v>
      </c>
      <c r="E4172">
        <f>IFERROR(VLOOKUP($A4172,原始数据_收盘!$A$4:$G$3460,5,0),"")</f>
        <v>2.8677</v>
      </c>
      <c r="F4172">
        <f>IFERROR(VLOOKUP($A4172,原始数据_收盘!$A$4:$G$3460,6,0),"")</f>
        <v>2.5815</v>
      </c>
      <c r="G4172">
        <f>IFERROR(VLOOKUP($A4172,原始数据_收盘!$A$4:$G$3460,7,0),"")</f>
        <v>2.8663</v>
      </c>
      <c r="H4172">
        <f>IFERROR(VLOOKUP($A4172,原始数据_利率互换_FR007_1年!$A$6:$C$4395,2,0),"")</f>
        <v>2.5898</v>
      </c>
      <c r="I4172">
        <f>IFERROR(VLOOKUP($A4172,原始数据_利率互换_FR007_1年!$A$6:$C$4395,3,0),"")</f>
        <v>2.8775</v>
      </c>
    </row>
    <row r="4173" spans="1:9">
      <c r="A4173" s="6">
        <v>43666</v>
      </c>
      <c r="B4173" t="str">
        <f>IFERROR(VLOOKUP($A4173,原始数据_收盘!$A$4:$G$3460,2,0),"")</f>
        <v/>
      </c>
      <c r="C4173" t="str">
        <f>IFERROR(VLOOKUP($A4173,原始数据_收盘!$A$4:$G$3460,3,0),"")</f>
        <v/>
      </c>
      <c r="D4173" t="str">
        <f>IFERROR(VLOOKUP($A4173,原始数据_收盘!$A$4:$G$3460,4,0),"")</f>
        <v/>
      </c>
      <c r="E4173" t="str">
        <f>IFERROR(VLOOKUP($A4173,原始数据_收盘!$A$4:$G$3460,5,0),"")</f>
        <v/>
      </c>
      <c r="F4173" t="str">
        <f>IFERROR(VLOOKUP($A4173,原始数据_收盘!$A$4:$G$3460,6,0),"")</f>
        <v/>
      </c>
      <c r="G4173" t="str">
        <f>IFERROR(VLOOKUP($A4173,原始数据_收盘!$A$4:$G$3460,7,0),"")</f>
        <v/>
      </c>
      <c r="H4173" t="str">
        <f>IFERROR(VLOOKUP($A4173,原始数据_利率互换_FR007_1年!$A$6:$C$4395,2,0),"")</f>
        <v/>
      </c>
      <c r="I4173" t="str">
        <f>IFERROR(VLOOKUP($A4173,原始数据_利率互换_FR007_1年!$A$6:$C$4395,3,0),"")</f>
        <v/>
      </c>
    </row>
    <row r="4174" spans="1:9">
      <c r="A4174" s="6">
        <v>43667</v>
      </c>
      <c r="B4174" t="str">
        <f>IFERROR(VLOOKUP($A4174,原始数据_收盘!$A$4:$G$3460,2,0),"")</f>
        <v/>
      </c>
      <c r="C4174" t="str">
        <f>IFERROR(VLOOKUP($A4174,原始数据_收盘!$A$4:$G$3460,3,0),"")</f>
        <v/>
      </c>
      <c r="D4174" t="str">
        <f>IFERROR(VLOOKUP($A4174,原始数据_收盘!$A$4:$G$3460,4,0),"")</f>
        <v/>
      </c>
      <c r="E4174" t="str">
        <f>IFERROR(VLOOKUP($A4174,原始数据_收盘!$A$4:$G$3460,5,0),"")</f>
        <v/>
      </c>
      <c r="F4174" t="str">
        <f>IFERROR(VLOOKUP($A4174,原始数据_收盘!$A$4:$G$3460,6,0),"")</f>
        <v/>
      </c>
      <c r="G4174" t="str">
        <f>IFERROR(VLOOKUP($A4174,原始数据_收盘!$A$4:$G$3460,7,0),"")</f>
        <v/>
      </c>
      <c r="H4174" t="str">
        <f>IFERROR(VLOOKUP($A4174,原始数据_利率互换_FR007_1年!$A$6:$C$4395,2,0),"")</f>
        <v/>
      </c>
      <c r="I4174" t="str">
        <f>IFERROR(VLOOKUP($A4174,原始数据_利率互换_FR007_1年!$A$6:$C$4395,3,0),"")</f>
        <v/>
      </c>
    </row>
    <row r="4175" spans="1:9">
      <c r="A4175" s="6">
        <v>43668</v>
      </c>
      <c r="B4175">
        <f>IFERROR(VLOOKUP($A4175,原始数据_收盘!$A$4:$G$3460,2,0),"")</f>
        <v>2.5673</v>
      </c>
      <c r="C4175">
        <f>IFERROR(VLOOKUP($A4175,原始数据_收盘!$A$4:$G$3460,3,0),"")</f>
        <v>2.8575</v>
      </c>
      <c r="D4175">
        <f>IFERROR(VLOOKUP($A4175,原始数据_收盘!$A$4:$G$3460,4,0),"")</f>
        <v>2.5705</v>
      </c>
      <c r="E4175">
        <f>IFERROR(VLOOKUP($A4175,原始数据_收盘!$A$4:$G$3460,5,0),"")</f>
        <v>2.8625</v>
      </c>
      <c r="F4175">
        <f>IFERROR(VLOOKUP($A4175,原始数据_收盘!$A$4:$G$3460,6,0),"")</f>
        <v>2.5689</v>
      </c>
      <c r="G4175">
        <f>IFERROR(VLOOKUP($A4175,原始数据_收盘!$A$4:$G$3460,7,0),"")</f>
        <v>2.86</v>
      </c>
      <c r="H4175">
        <f>IFERROR(VLOOKUP($A4175,原始数据_利率互换_FR007_1年!$A$6:$C$4395,2,0),"")</f>
        <v>2.5769</v>
      </c>
      <c r="I4175">
        <f>IFERROR(VLOOKUP($A4175,原始数据_利率互换_FR007_1年!$A$6:$C$4395,3,0),"")</f>
        <v>2.8707</v>
      </c>
    </row>
    <row r="4176" spans="1:9">
      <c r="A4176" s="6">
        <v>43669</v>
      </c>
      <c r="B4176">
        <f>IFERROR(VLOOKUP($A4176,原始数据_收盘!$A$4:$G$3460,2,0),"")</f>
        <v>2.58</v>
      </c>
      <c r="C4176">
        <f>IFERROR(VLOOKUP($A4176,原始数据_收盘!$A$4:$G$3460,3,0),"")</f>
        <v>2.8776</v>
      </c>
      <c r="D4176">
        <f>IFERROR(VLOOKUP($A4176,原始数据_收盘!$A$4:$G$3460,4,0),"")</f>
        <v>2.585</v>
      </c>
      <c r="E4176">
        <f>IFERROR(VLOOKUP($A4176,原始数据_收盘!$A$4:$G$3460,5,0),"")</f>
        <v>2.8825</v>
      </c>
      <c r="F4176">
        <f>IFERROR(VLOOKUP($A4176,原始数据_收盘!$A$4:$G$3460,6,0),"")</f>
        <v>2.5825</v>
      </c>
      <c r="G4176">
        <f>IFERROR(VLOOKUP($A4176,原始数据_收盘!$A$4:$G$3460,7,0),"")</f>
        <v>2.8801</v>
      </c>
      <c r="H4176">
        <f>IFERROR(VLOOKUP($A4176,原始数据_利率互换_FR007_1年!$A$6:$C$4395,2,0),"")</f>
        <v>2.5802</v>
      </c>
      <c r="I4176">
        <f>IFERROR(VLOOKUP($A4176,原始数据_利率互换_FR007_1年!$A$6:$C$4395,3,0),"")</f>
        <v>2.8731</v>
      </c>
    </row>
    <row r="4177" spans="1:9">
      <c r="A4177" s="6">
        <v>43670</v>
      </c>
      <c r="B4177">
        <f>IFERROR(VLOOKUP($A4177,原始数据_收盘!$A$4:$G$3460,2,0),"")</f>
        <v>2.6025</v>
      </c>
      <c r="C4177">
        <f>IFERROR(VLOOKUP($A4177,原始数据_收盘!$A$4:$G$3460,3,0),"")</f>
        <v>2.8975</v>
      </c>
      <c r="D4177">
        <f>IFERROR(VLOOKUP($A4177,原始数据_收盘!$A$4:$G$3460,4,0),"")</f>
        <v>2.605</v>
      </c>
      <c r="E4177">
        <f>IFERROR(VLOOKUP($A4177,原始数据_收盘!$A$4:$G$3460,5,0),"")</f>
        <v>2.9</v>
      </c>
      <c r="F4177">
        <f>IFERROR(VLOOKUP($A4177,原始数据_收盘!$A$4:$G$3460,6,0),"")</f>
        <v>2.6038</v>
      </c>
      <c r="G4177">
        <f>IFERROR(VLOOKUP($A4177,原始数据_收盘!$A$4:$G$3460,7,0),"")</f>
        <v>2.8988</v>
      </c>
      <c r="H4177">
        <f>IFERROR(VLOOKUP($A4177,原始数据_利率互换_FR007_1年!$A$6:$C$4395,2,0),"")</f>
        <v>2.6016</v>
      </c>
      <c r="I4177">
        <f>IFERROR(VLOOKUP($A4177,原始数据_利率互换_FR007_1年!$A$6:$C$4395,3,0),"")</f>
        <v>2.8981</v>
      </c>
    </row>
    <row r="4178" spans="1:9">
      <c r="A4178" s="6">
        <v>43671</v>
      </c>
      <c r="B4178">
        <f>IFERROR(VLOOKUP($A4178,原始数据_收盘!$A$4:$G$3460,2,0),"")</f>
        <v>2.6025</v>
      </c>
      <c r="C4178">
        <f>IFERROR(VLOOKUP($A4178,原始数据_收盘!$A$4:$G$3460,3,0),"")</f>
        <v>2.8925</v>
      </c>
      <c r="D4178">
        <f>IFERROR(VLOOKUP($A4178,原始数据_收盘!$A$4:$G$3460,4,0),"")</f>
        <v>2.605</v>
      </c>
      <c r="E4178">
        <f>IFERROR(VLOOKUP($A4178,原始数据_收盘!$A$4:$G$3460,5,0),"")</f>
        <v>2.895</v>
      </c>
      <c r="F4178">
        <f>IFERROR(VLOOKUP($A4178,原始数据_收盘!$A$4:$G$3460,6,0),"")</f>
        <v>2.6038</v>
      </c>
      <c r="G4178">
        <f>IFERROR(VLOOKUP($A4178,原始数据_收盘!$A$4:$G$3460,7,0),"")</f>
        <v>2.8938</v>
      </c>
      <c r="H4178">
        <f>IFERROR(VLOOKUP($A4178,原始数据_利率互换_FR007_1年!$A$6:$C$4395,2,0),"")</f>
        <v>2.6045</v>
      </c>
      <c r="I4178">
        <f>IFERROR(VLOOKUP($A4178,原始数据_利率互换_FR007_1年!$A$6:$C$4395,3,0),"")</f>
        <v>2.8956</v>
      </c>
    </row>
    <row r="4179" spans="1:9">
      <c r="A4179" s="6">
        <v>43672</v>
      </c>
      <c r="B4179">
        <f>IFERROR(VLOOKUP($A4179,原始数据_收盘!$A$4:$G$3460,2,0),"")</f>
        <v>2.6175</v>
      </c>
      <c r="C4179">
        <f>IFERROR(VLOOKUP($A4179,原始数据_收盘!$A$4:$G$3460,3,0),"")</f>
        <v>2.9025</v>
      </c>
      <c r="D4179">
        <f>IFERROR(VLOOKUP($A4179,原始数据_收盘!$A$4:$G$3460,4,0),"")</f>
        <v>2.62</v>
      </c>
      <c r="E4179">
        <f>IFERROR(VLOOKUP($A4179,原始数据_收盘!$A$4:$G$3460,5,0),"")</f>
        <v>2.905</v>
      </c>
      <c r="F4179">
        <f>IFERROR(VLOOKUP($A4179,原始数据_收盘!$A$4:$G$3460,6,0),"")</f>
        <v>2.6188</v>
      </c>
      <c r="G4179">
        <f>IFERROR(VLOOKUP($A4179,原始数据_收盘!$A$4:$G$3460,7,0),"")</f>
        <v>2.9038</v>
      </c>
      <c r="H4179">
        <f>IFERROR(VLOOKUP($A4179,原始数据_利率互换_FR007_1年!$A$6:$C$4395,2,0),"")</f>
        <v>2.612</v>
      </c>
      <c r="I4179">
        <f>IFERROR(VLOOKUP($A4179,原始数据_利率互换_FR007_1年!$A$6:$C$4395,3,0),"")</f>
        <v>2.9004</v>
      </c>
    </row>
    <row r="4180" spans="1:9">
      <c r="A4180" s="6">
        <v>43673</v>
      </c>
      <c r="B4180" t="str">
        <f>IFERROR(VLOOKUP($A4180,原始数据_收盘!$A$4:$G$3460,2,0),"")</f>
        <v/>
      </c>
      <c r="C4180" t="str">
        <f>IFERROR(VLOOKUP($A4180,原始数据_收盘!$A$4:$G$3460,3,0),"")</f>
        <v/>
      </c>
      <c r="D4180" t="str">
        <f>IFERROR(VLOOKUP($A4180,原始数据_收盘!$A$4:$G$3460,4,0),"")</f>
        <v/>
      </c>
      <c r="E4180" t="str">
        <f>IFERROR(VLOOKUP($A4180,原始数据_收盘!$A$4:$G$3460,5,0),"")</f>
        <v/>
      </c>
      <c r="F4180" t="str">
        <f>IFERROR(VLOOKUP($A4180,原始数据_收盘!$A$4:$G$3460,6,0),"")</f>
        <v/>
      </c>
      <c r="G4180" t="str">
        <f>IFERROR(VLOOKUP($A4180,原始数据_收盘!$A$4:$G$3460,7,0),"")</f>
        <v/>
      </c>
      <c r="H4180" t="str">
        <f>IFERROR(VLOOKUP($A4180,原始数据_利率互换_FR007_1年!$A$6:$C$4395,2,0),"")</f>
        <v/>
      </c>
      <c r="I4180" t="str">
        <f>IFERROR(VLOOKUP($A4180,原始数据_利率互换_FR007_1年!$A$6:$C$4395,3,0),"")</f>
        <v/>
      </c>
    </row>
    <row r="4181" spans="1:9">
      <c r="A4181" s="6">
        <v>43674</v>
      </c>
      <c r="B4181" t="str">
        <f>IFERROR(VLOOKUP($A4181,原始数据_收盘!$A$4:$G$3460,2,0),"")</f>
        <v/>
      </c>
      <c r="C4181" t="str">
        <f>IFERROR(VLOOKUP($A4181,原始数据_收盘!$A$4:$G$3460,3,0),"")</f>
        <v/>
      </c>
      <c r="D4181" t="str">
        <f>IFERROR(VLOOKUP($A4181,原始数据_收盘!$A$4:$G$3460,4,0),"")</f>
        <v/>
      </c>
      <c r="E4181" t="str">
        <f>IFERROR(VLOOKUP($A4181,原始数据_收盘!$A$4:$G$3460,5,0),"")</f>
        <v/>
      </c>
      <c r="F4181" t="str">
        <f>IFERROR(VLOOKUP($A4181,原始数据_收盘!$A$4:$G$3460,6,0),"")</f>
        <v/>
      </c>
      <c r="G4181" t="str">
        <f>IFERROR(VLOOKUP($A4181,原始数据_收盘!$A$4:$G$3460,7,0),"")</f>
        <v/>
      </c>
      <c r="H4181" t="str">
        <f>IFERROR(VLOOKUP($A4181,原始数据_利率互换_FR007_1年!$A$6:$C$4395,2,0),"")</f>
        <v/>
      </c>
      <c r="I4181" t="str">
        <f>IFERROR(VLOOKUP($A4181,原始数据_利率互换_FR007_1年!$A$6:$C$4395,3,0),"")</f>
        <v/>
      </c>
    </row>
    <row r="4182" spans="1:9">
      <c r="A4182" s="6">
        <v>43675</v>
      </c>
      <c r="B4182">
        <f>IFERROR(VLOOKUP($A4182,原始数据_收盘!$A$4:$G$3460,2,0),"")</f>
        <v>2.635</v>
      </c>
      <c r="C4182">
        <f>IFERROR(VLOOKUP($A4182,原始数据_收盘!$A$4:$G$3460,3,0),"")</f>
        <v>2.9175</v>
      </c>
      <c r="D4182">
        <f>IFERROR(VLOOKUP($A4182,原始数据_收盘!$A$4:$G$3460,4,0),"")</f>
        <v>2.64</v>
      </c>
      <c r="E4182">
        <f>IFERROR(VLOOKUP($A4182,原始数据_收盘!$A$4:$G$3460,5,0),"")</f>
        <v>2.92</v>
      </c>
      <c r="F4182">
        <f>IFERROR(VLOOKUP($A4182,原始数据_收盘!$A$4:$G$3460,6,0),"")</f>
        <v>2.6375</v>
      </c>
      <c r="G4182">
        <f>IFERROR(VLOOKUP($A4182,原始数据_收盘!$A$4:$G$3460,7,0),"")</f>
        <v>2.9188</v>
      </c>
      <c r="H4182">
        <f>IFERROR(VLOOKUP($A4182,原始数据_利率互换_FR007_1年!$A$6:$C$4395,2,0),"")</f>
        <v>2.6324</v>
      </c>
      <c r="I4182">
        <f>IFERROR(VLOOKUP($A4182,原始数据_利率互换_FR007_1年!$A$6:$C$4395,3,0),"")</f>
        <v>2.9159</v>
      </c>
    </row>
    <row r="4183" spans="1:9">
      <c r="A4183" s="6">
        <v>43676</v>
      </c>
      <c r="B4183">
        <f>IFERROR(VLOOKUP($A4183,原始数据_收盘!$A$4:$G$3460,2,0),"")</f>
        <v>2.63</v>
      </c>
      <c r="C4183">
        <f>IFERROR(VLOOKUP($A4183,原始数据_收盘!$A$4:$G$3460,3,0),"")</f>
        <v>2.915</v>
      </c>
      <c r="D4183">
        <f>IFERROR(VLOOKUP($A4183,原始数据_收盘!$A$4:$G$3460,4,0),"")</f>
        <v>2.635</v>
      </c>
      <c r="E4183">
        <f>IFERROR(VLOOKUP($A4183,原始数据_收盘!$A$4:$G$3460,5,0),"")</f>
        <v>2.9175</v>
      </c>
      <c r="F4183">
        <f>IFERROR(VLOOKUP($A4183,原始数据_收盘!$A$4:$G$3460,6,0),"")</f>
        <v>2.6325</v>
      </c>
      <c r="G4183">
        <f>IFERROR(VLOOKUP($A4183,原始数据_收盘!$A$4:$G$3460,7,0),"")</f>
        <v>2.9163</v>
      </c>
      <c r="H4183">
        <f>IFERROR(VLOOKUP($A4183,原始数据_利率互换_FR007_1年!$A$6:$C$4395,2,0),"")</f>
        <v>2.6372</v>
      </c>
      <c r="I4183">
        <f>IFERROR(VLOOKUP($A4183,原始数据_利率互换_FR007_1年!$A$6:$C$4395,3,0),"")</f>
        <v>2.9228</v>
      </c>
    </row>
    <row r="4184" spans="1:9">
      <c r="A4184" s="6">
        <v>43677</v>
      </c>
      <c r="B4184">
        <f>IFERROR(VLOOKUP($A4184,原始数据_收盘!$A$4:$G$3460,2,0),"")</f>
        <v>2.615</v>
      </c>
      <c r="C4184">
        <f>IFERROR(VLOOKUP($A4184,原始数据_收盘!$A$4:$G$3460,3,0),"")</f>
        <v>2.8946</v>
      </c>
      <c r="D4184">
        <f>IFERROR(VLOOKUP($A4184,原始数据_收盘!$A$4:$G$3460,4,0),"")</f>
        <v>2.6175</v>
      </c>
      <c r="E4184">
        <f>IFERROR(VLOOKUP($A4184,原始数据_收盘!$A$4:$G$3460,5,0),"")</f>
        <v>2.8975</v>
      </c>
      <c r="F4184">
        <f>IFERROR(VLOOKUP($A4184,原始数据_收盘!$A$4:$G$3460,6,0),"")</f>
        <v>2.6163</v>
      </c>
      <c r="G4184">
        <f>IFERROR(VLOOKUP($A4184,原始数据_收盘!$A$4:$G$3460,7,0),"")</f>
        <v>2.896</v>
      </c>
      <c r="H4184">
        <f>IFERROR(VLOOKUP($A4184,原始数据_利率互换_FR007_1年!$A$6:$C$4395,2,0),"")</f>
        <v>2.618</v>
      </c>
      <c r="I4184">
        <f>IFERROR(VLOOKUP($A4184,原始数据_利率互换_FR007_1年!$A$6:$C$4395,3,0),"")</f>
        <v>2.8983</v>
      </c>
    </row>
    <row r="4185" spans="1:9">
      <c r="A4185" s="6">
        <v>43678</v>
      </c>
      <c r="B4185">
        <f>IFERROR(VLOOKUP($A4185,原始数据_收盘!$A$4:$G$3460,2,0),"")</f>
        <v>2.6196</v>
      </c>
      <c r="C4185">
        <f>IFERROR(VLOOKUP($A4185,原始数据_收盘!$A$4:$G$3460,3,0),"")</f>
        <v>2.8983</v>
      </c>
      <c r="D4185">
        <f>IFERROR(VLOOKUP($A4185,原始数据_收盘!$A$4:$G$3460,4,0),"")</f>
        <v>2.6225</v>
      </c>
      <c r="E4185">
        <f>IFERROR(VLOOKUP($A4185,原始数据_收盘!$A$4:$G$3460,5,0),"")</f>
        <v>2.9022</v>
      </c>
      <c r="F4185">
        <f>IFERROR(VLOOKUP($A4185,原始数据_收盘!$A$4:$G$3460,6,0),"")</f>
        <v>2.621</v>
      </c>
      <c r="G4185">
        <f>IFERROR(VLOOKUP($A4185,原始数据_收盘!$A$4:$G$3460,7,0),"")</f>
        <v>2.9003</v>
      </c>
      <c r="H4185">
        <f>IFERROR(VLOOKUP($A4185,原始数据_利率互换_FR007_1年!$A$6:$C$4395,2,0),"")</f>
        <v>2.6191</v>
      </c>
      <c r="I4185">
        <f>IFERROR(VLOOKUP($A4185,原始数据_利率互换_FR007_1年!$A$6:$C$4395,3,0),"")</f>
        <v>2.9015</v>
      </c>
    </row>
    <row r="4186" spans="1:9">
      <c r="A4186" s="6">
        <v>43679</v>
      </c>
      <c r="B4186">
        <f>IFERROR(VLOOKUP($A4186,原始数据_收盘!$A$4:$G$3460,2,0),"")</f>
        <v>2.585</v>
      </c>
      <c r="C4186">
        <f>IFERROR(VLOOKUP($A4186,原始数据_收盘!$A$4:$G$3460,3,0),"")</f>
        <v>2.8475</v>
      </c>
      <c r="D4186">
        <f>IFERROR(VLOOKUP($A4186,原始数据_收盘!$A$4:$G$3460,4,0),"")</f>
        <v>2.59</v>
      </c>
      <c r="E4186">
        <f>IFERROR(VLOOKUP($A4186,原始数据_收盘!$A$4:$G$3460,5,0),"")</f>
        <v>2.85</v>
      </c>
      <c r="F4186">
        <f>IFERROR(VLOOKUP($A4186,原始数据_收盘!$A$4:$G$3460,6,0),"")</f>
        <v>2.5875</v>
      </c>
      <c r="G4186">
        <f>IFERROR(VLOOKUP($A4186,原始数据_收盘!$A$4:$G$3460,7,0),"")</f>
        <v>2.8488</v>
      </c>
      <c r="H4186">
        <f>IFERROR(VLOOKUP($A4186,原始数据_利率互换_FR007_1年!$A$6:$C$4395,2,0),"")</f>
        <v>2.5977</v>
      </c>
      <c r="I4186">
        <f>IFERROR(VLOOKUP($A4186,原始数据_利率互换_FR007_1年!$A$6:$C$4395,3,0),"")</f>
        <v>2.8578</v>
      </c>
    </row>
    <row r="4187" spans="1:9">
      <c r="A4187" s="6">
        <v>43680</v>
      </c>
      <c r="B4187" t="str">
        <f>IFERROR(VLOOKUP($A4187,原始数据_收盘!$A$4:$G$3460,2,0),"")</f>
        <v/>
      </c>
      <c r="C4187" t="str">
        <f>IFERROR(VLOOKUP($A4187,原始数据_收盘!$A$4:$G$3460,3,0),"")</f>
        <v/>
      </c>
      <c r="D4187" t="str">
        <f>IFERROR(VLOOKUP($A4187,原始数据_收盘!$A$4:$G$3460,4,0),"")</f>
        <v/>
      </c>
      <c r="E4187" t="str">
        <f>IFERROR(VLOOKUP($A4187,原始数据_收盘!$A$4:$G$3460,5,0),"")</f>
        <v/>
      </c>
      <c r="F4187" t="str">
        <f>IFERROR(VLOOKUP($A4187,原始数据_收盘!$A$4:$G$3460,6,0),"")</f>
        <v/>
      </c>
      <c r="G4187" t="str">
        <f>IFERROR(VLOOKUP($A4187,原始数据_收盘!$A$4:$G$3460,7,0),"")</f>
        <v/>
      </c>
      <c r="H4187" t="str">
        <f>IFERROR(VLOOKUP($A4187,原始数据_利率互换_FR007_1年!$A$6:$C$4395,2,0),"")</f>
        <v/>
      </c>
      <c r="I4187" t="str">
        <f>IFERROR(VLOOKUP($A4187,原始数据_利率互换_FR007_1年!$A$6:$C$4395,3,0),"")</f>
        <v/>
      </c>
    </row>
    <row r="4188" spans="1:9">
      <c r="A4188" s="6">
        <v>43681</v>
      </c>
      <c r="B4188" t="str">
        <f>IFERROR(VLOOKUP($A4188,原始数据_收盘!$A$4:$G$3460,2,0),"")</f>
        <v/>
      </c>
      <c r="C4188" t="str">
        <f>IFERROR(VLOOKUP($A4188,原始数据_收盘!$A$4:$G$3460,3,0),"")</f>
        <v/>
      </c>
      <c r="D4188" t="str">
        <f>IFERROR(VLOOKUP($A4188,原始数据_收盘!$A$4:$G$3460,4,0),"")</f>
        <v/>
      </c>
      <c r="E4188" t="str">
        <f>IFERROR(VLOOKUP($A4188,原始数据_收盘!$A$4:$G$3460,5,0),"")</f>
        <v/>
      </c>
      <c r="F4188" t="str">
        <f>IFERROR(VLOOKUP($A4188,原始数据_收盘!$A$4:$G$3460,6,0),"")</f>
        <v/>
      </c>
      <c r="G4188" t="str">
        <f>IFERROR(VLOOKUP($A4188,原始数据_收盘!$A$4:$G$3460,7,0),"")</f>
        <v/>
      </c>
      <c r="H4188" t="str">
        <f>IFERROR(VLOOKUP($A4188,原始数据_利率互换_FR007_1年!$A$6:$C$4395,2,0),"")</f>
        <v/>
      </c>
      <c r="I4188" t="str">
        <f>IFERROR(VLOOKUP($A4188,原始数据_利率互换_FR007_1年!$A$6:$C$4395,3,0),"")</f>
        <v/>
      </c>
    </row>
    <row r="4189" spans="1:9">
      <c r="A4189" s="6">
        <v>43682</v>
      </c>
      <c r="B4189">
        <f>IFERROR(VLOOKUP($A4189,原始数据_收盘!$A$4:$G$3460,2,0),"")</f>
        <v>2.5625</v>
      </c>
      <c r="C4189">
        <f>IFERROR(VLOOKUP($A4189,原始数据_收盘!$A$4:$G$3460,3,0),"")</f>
        <v>2.81</v>
      </c>
      <c r="D4189">
        <f>IFERROR(VLOOKUP($A4189,原始数据_收盘!$A$4:$G$3460,4,0),"")</f>
        <v>2.5675</v>
      </c>
      <c r="E4189">
        <f>IFERROR(VLOOKUP($A4189,原始数据_收盘!$A$4:$G$3460,5,0),"")</f>
        <v>2.815</v>
      </c>
      <c r="F4189">
        <f>IFERROR(VLOOKUP($A4189,原始数据_收盘!$A$4:$G$3460,6,0),"")</f>
        <v>2.565</v>
      </c>
      <c r="G4189">
        <f>IFERROR(VLOOKUP($A4189,原始数据_收盘!$A$4:$G$3460,7,0),"")</f>
        <v>2.8125</v>
      </c>
      <c r="H4189">
        <f>IFERROR(VLOOKUP($A4189,原始数据_利率互换_FR007_1年!$A$6:$C$4395,2,0),"")</f>
        <v>2.5716</v>
      </c>
      <c r="I4189">
        <f>IFERROR(VLOOKUP($A4189,原始数据_利率互换_FR007_1年!$A$6:$C$4395,3,0),"")</f>
        <v>2.8313</v>
      </c>
    </row>
    <row r="4190" spans="1:9">
      <c r="A4190" s="6">
        <v>43683</v>
      </c>
      <c r="B4190">
        <f>IFERROR(VLOOKUP($A4190,原始数据_收盘!$A$4:$G$3460,2,0),"")</f>
        <v>2.5725</v>
      </c>
      <c r="C4190">
        <f>IFERROR(VLOOKUP($A4190,原始数据_收盘!$A$4:$G$3460,3,0),"")</f>
        <v>2.8219</v>
      </c>
      <c r="D4190">
        <f>IFERROR(VLOOKUP($A4190,原始数据_收盘!$A$4:$G$3460,4,0),"")</f>
        <v>2.575</v>
      </c>
      <c r="E4190">
        <f>IFERROR(VLOOKUP($A4190,原始数据_收盘!$A$4:$G$3460,5,0),"")</f>
        <v>2.825</v>
      </c>
      <c r="F4190">
        <f>IFERROR(VLOOKUP($A4190,原始数据_收盘!$A$4:$G$3460,6,0),"")</f>
        <v>2.5738</v>
      </c>
      <c r="G4190">
        <f>IFERROR(VLOOKUP($A4190,原始数据_收盘!$A$4:$G$3460,7,0),"")</f>
        <v>2.8235</v>
      </c>
      <c r="H4190">
        <f>IFERROR(VLOOKUP($A4190,原始数据_利率互换_FR007_1年!$A$6:$C$4395,2,0),"")</f>
        <v>2.5694</v>
      </c>
      <c r="I4190">
        <f>IFERROR(VLOOKUP($A4190,原始数据_利率互换_FR007_1年!$A$6:$C$4395,3,0),"")</f>
        <v>2.8123</v>
      </c>
    </row>
    <row r="4191" spans="1:9">
      <c r="A4191" s="6">
        <v>43684</v>
      </c>
      <c r="B4191">
        <f>IFERROR(VLOOKUP($A4191,原始数据_收盘!$A$4:$G$3460,2,0),"")</f>
        <v>2.5625</v>
      </c>
      <c r="C4191">
        <f>IFERROR(VLOOKUP($A4191,原始数据_收盘!$A$4:$G$3460,3,0),"")</f>
        <v>2.8031</v>
      </c>
      <c r="D4191">
        <f>IFERROR(VLOOKUP($A4191,原始数据_收盘!$A$4:$G$3460,4,0),"")</f>
        <v>2.565</v>
      </c>
      <c r="E4191">
        <f>IFERROR(VLOOKUP($A4191,原始数据_收盘!$A$4:$G$3460,5,0),"")</f>
        <v>2.8075</v>
      </c>
      <c r="F4191">
        <f>IFERROR(VLOOKUP($A4191,原始数据_收盘!$A$4:$G$3460,6,0),"")</f>
        <v>2.5638</v>
      </c>
      <c r="G4191">
        <f>IFERROR(VLOOKUP($A4191,原始数据_收盘!$A$4:$G$3460,7,0),"")</f>
        <v>2.8053</v>
      </c>
      <c r="H4191">
        <f>IFERROR(VLOOKUP($A4191,原始数据_利率互换_FR007_1年!$A$6:$C$4395,2,0),"")</f>
        <v>2.5655</v>
      </c>
      <c r="I4191">
        <f>IFERROR(VLOOKUP($A4191,原始数据_利率互换_FR007_1年!$A$6:$C$4395,3,0),"")</f>
        <v>2.8112</v>
      </c>
    </row>
    <row r="4192" spans="1:9">
      <c r="A4192" s="6">
        <v>43685</v>
      </c>
      <c r="B4192">
        <f>IFERROR(VLOOKUP($A4192,原始数据_收盘!$A$4:$G$3460,2,0),"")</f>
        <v>2.5625</v>
      </c>
      <c r="C4192">
        <f>IFERROR(VLOOKUP($A4192,原始数据_收盘!$A$4:$G$3460,3,0),"")</f>
        <v>2.8047</v>
      </c>
      <c r="D4192">
        <f>IFERROR(VLOOKUP($A4192,原始数据_收盘!$A$4:$G$3460,4,0),"")</f>
        <v>2.565</v>
      </c>
      <c r="E4192">
        <f>IFERROR(VLOOKUP($A4192,原始数据_收盘!$A$4:$G$3460,5,0),"")</f>
        <v>2.8103</v>
      </c>
      <c r="F4192">
        <f>IFERROR(VLOOKUP($A4192,原始数据_收盘!$A$4:$G$3460,6,0),"")</f>
        <v>2.5638</v>
      </c>
      <c r="G4192">
        <f>IFERROR(VLOOKUP($A4192,原始数据_收盘!$A$4:$G$3460,7,0),"")</f>
        <v>2.8075</v>
      </c>
      <c r="H4192">
        <f>IFERROR(VLOOKUP($A4192,原始数据_利率互换_FR007_1年!$A$6:$C$4395,2,0),"")</f>
        <v>2.5674</v>
      </c>
      <c r="I4192">
        <f>IFERROR(VLOOKUP($A4192,原始数据_利率互换_FR007_1年!$A$6:$C$4395,3,0),"")</f>
        <v>2.8145</v>
      </c>
    </row>
    <row r="4193" spans="1:9">
      <c r="A4193" s="6">
        <v>43686</v>
      </c>
      <c r="B4193">
        <f>IFERROR(VLOOKUP($A4193,原始数据_收盘!$A$4:$G$3460,2,0),"")</f>
        <v>2.565</v>
      </c>
      <c r="C4193">
        <f>IFERROR(VLOOKUP($A4193,原始数据_收盘!$A$4:$G$3460,3,0),"")</f>
        <v>2.79</v>
      </c>
      <c r="D4193">
        <f>IFERROR(VLOOKUP($A4193,原始数据_收盘!$A$4:$G$3460,4,0),"")</f>
        <v>2.5701</v>
      </c>
      <c r="E4193">
        <f>IFERROR(VLOOKUP($A4193,原始数据_收盘!$A$4:$G$3460,5,0),"")</f>
        <v>2.795</v>
      </c>
      <c r="F4193">
        <f>IFERROR(VLOOKUP($A4193,原始数据_收盘!$A$4:$G$3460,6,0),"")</f>
        <v>2.5676</v>
      </c>
      <c r="G4193">
        <f>IFERROR(VLOOKUP($A4193,原始数据_收盘!$A$4:$G$3460,7,0),"")</f>
        <v>2.7925</v>
      </c>
      <c r="H4193">
        <f>IFERROR(VLOOKUP($A4193,原始数据_利率互换_FR007_1年!$A$6:$C$4395,2,0),"")</f>
        <v>2.5592</v>
      </c>
      <c r="I4193">
        <f>IFERROR(VLOOKUP($A4193,原始数据_利率互换_FR007_1年!$A$6:$C$4395,3,0),"")</f>
        <v>2.7957</v>
      </c>
    </row>
    <row r="4194" spans="1:9">
      <c r="A4194" s="6">
        <v>43687</v>
      </c>
      <c r="B4194" t="str">
        <f>IFERROR(VLOOKUP($A4194,原始数据_收盘!$A$4:$G$3460,2,0),"")</f>
        <v/>
      </c>
      <c r="C4194" t="str">
        <f>IFERROR(VLOOKUP($A4194,原始数据_收盘!$A$4:$G$3460,3,0),"")</f>
        <v/>
      </c>
      <c r="D4194" t="str">
        <f>IFERROR(VLOOKUP($A4194,原始数据_收盘!$A$4:$G$3460,4,0),"")</f>
        <v/>
      </c>
      <c r="E4194" t="str">
        <f>IFERROR(VLOOKUP($A4194,原始数据_收盘!$A$4:$G$3460,5,0),"")</f>
        <v/>
      </c>
      <c r="F4194" t="str">
        <f>IFERROR(VLOOKUP($A4194,原始数据_收盘!$A$4:$G$3460,6,0),"")</f>
        <v/>
      </c>
      <c r="G4194" t="str">
        <f>IFERROR(VLOOKUP($A4194,原始数据_收盘!$A$4:$G$3460,7,0),"")</f>
        <v/>
      </c>
      <c r="H4194" t="str">
        <f>IFERROR(VLOOKUP($A4194,原始数据_利率互换_FR007_1年!$A$6:$C$4395,2,0),"")</f>
        <v/>
      </c>
      <c r="I4194" t="str">
        <f>IFERROR(VLOOKUP($A4194,原始数据_利率互换_FR007_1年!$A$6:$C$4395,3,0),"")</f>
        <v/>
      </c>
    </row>
    <row r="4195" spans="1:9">
      <c r="A4195" s="6">
        <v>43688</v>
      </c>
      <c r="B4195" t="str">
        <f>IFERROR(VLOOKUP($A4195,原始数据_收盘!$A$4:$G$3460,2,0),"")</f>
        <v/>
      </c>
      <c r="C4195" t="str">
        <f>IFERROR(VLOOKUP($A4195,原始数据_收盘!$A$4:$G$3460,3,0),"")</f>
        <v/>
      </c>
      <c r="D4195" t="str">
        <f>IFERROR(VLOOKUP($A4195,原始数据_收盘!$A$4:$G$3460,4,0),"")</f>
        <v/>
      </c>
      <c r="E4195" t="str">
        <f>IFERROR(VLOOKUP($A4195,原始数据_收盘!$A$4:$G$3460,5,0),"")</f>
        <v/>
      </c>
      <c r="F4195" t="str">
        <f>IFERROR(VLOOKUP($A4195,原始数据_收盘!$A$4:$G$3460,6,0),"")</f>
        <v/>
      </c>
      <c r="G4195" t="str">
        <f>IFERROR(VLOOKUP($A4195,原始数据_收盘!$A$4:$G$3460,7,0),"")</f>
        <v/>
      </c>
      <c r="H4195" t="str">
        <f>IFERROR(VLOOKUP($A4195,原始数据_利率互换_FR007_1年!$A$6:$C$4395,2,0),"")</f>
        <v/>
      </c>
      <c r="I4195" t="str">
        <f>IFERROR(VLOOKUP($A4195,原始数据_利率互换_FR007_1年!$A$6:$C$4395,3,0),"")</f>
        <v/>
      </c>
    </row>
    <row r="4196" spans="1:9">
      <c r="A4196" s="6">
        <v>43689</v>
      </c>
      <c r="B4196">
        <f>IFERROR(VLOOKUP($A4196,原始数据_收盘!$A$4:$G$3460,2,0),"")</f>
        <v>2.5867</v>
      </c>
      <c r="C4196">
        <f>IFERROR(VLOOKUP($A4196,原始数据_收盘!$A$4:$G$3460,3,0),"")</f>
        <v>2.8092</v>
      </c>
      <c r="D4196">
        <f>IFERROR(VLOOKUP($A4196,原始数据_收盘!$A$4:$G$3460,4,0),"")</f>
        <v>2.5925</v>
      </c>
      <c r="E4196">
        <f>IFERROR(VLOOKUP($A4196,原始数据_收盘!$A$4:$G$3460,5,0),"")</f>
        <v>2.8138</v>
      </c>
      <c r="F4196">
        <f>IFERROR(VLOOKUP($A4196,原始数据_收盘!$A$4:$G$3460,6,0),"")</f>
        <v>2.5896</v>
      </c>
      <c r="G4196">
        <f>IFERROR(VLOOKUP($A4196,原始数据_收盘!$A$4:$G$3460,7,0),"")</f>
        <v>2.8115</v>
      </c>
      <c r="H4196">
        <f>IFERROR(VLOOKUP($A4196,原始数据_利率互换_FR007_1年!$A$6:$C$4395,2,0),"")</f>
        <v>2.5844</v>
      </c>
      <c r="I4196">
        <f>IFERROR(VLOOKUP($A4196,原始数据_利率互换_FR007_1年!$A$6:$C$4395,3,0),"")</f>
        <v>2.8099</v>
      </c>
    </row>
    <row r="4197" spans="1:9">
      <c r="A4197" s="6">
        <v>43690</v>
      </c>
      <c r="B4197">
        <f>IFERROR(VLOOKUP($A4197,原始数据_收盘!$A$4:$G$3460,2,0),"")</f>
        <v>2.6</v>
      </c>
      <c r="C4197">
        <f>IFERROR(VLOOKUP($A4197,原始数据_收盘!$A$4:$G$3460,3,0),"")</f>
        <v>2.8</v>
      </c>
      <c r="D4197">
        <f>IFERROR(VLOOKUP($A4197,原始数据_收盘!$A$4:$G$3460,4,0),"")</f>
        <v>2.6025</v>
      </c>
      <c r="E4197">
        <f>IFERROR(VLOOKUP($A4197,原始数据_收盘!$A$4:$G$3460,5,0),"")</f>
        <v>2.8025</v>
      </c>
      <c r="F4197">
        <f>IFERROR(VLOOKUP($A4197,原始数据_收盘!$A$4:$G$3460,6,0),"")</f>
        <v>2.6013</v>
      </c>
      <c r="G4197">
        <f>IFERROR(VLOOKUP($A4197,原始数据_收盘!$A$4:$G$3460,7,0),"")</f>
        <v>2.8013</v>
      </c>
      <c r="H4197">
        <f>IFERROR(VLOOKUP($A4197,原始数据_利率互换_FR007_1年!$A$6:$C$4395,2,0),"")</f>
        <v>2.5909</v>
      </c>
      <c r="I4197">
        <f>IFERROR(VLOOKUP($A4197,原始数据_利率互换_FR007_1年!$A$6:$C$4395,3,0),"")</f>
        <v>2.7955</v>
      </c>
    </row>
    <row r="4198" spans="1:9">
      <c r="A4198" s="6">
        <v>43691</v>
      </c>
      <c r="B4198">
        <f>IFERROR(VLOOKUP($A4198,原始数据_收盘!$A$4:$G$3460,2,0),"")</f>
        <v>2.6097</v>
      </c>
      <c r="C4198">
        <f>IFERROR(VLOOKUP($A4198,原始数据_收盘!$A$4:$G$3460,3,0),"")</f>
        <v>2.8179</v>
      </c>
      <c r="D4198">
        <f>IFERROR(VLOOKUP($A4198,原始数据_收盘!$A$4:$G$3460,4,0),"")</f>
        <v>2.6126</v>
      </c>
      <c r="E4198">
        <f>IFERROR(VLOOKUP($A4198,原始数据_收盘!$A$4:$G$3460,5,0),"")</f>
        <v>2.8204</v>
      </c>
      <c r="F4198">
        <f>IFERROR(VLOOKUP($A4198,原始数据_收盘!$A$4:$G$3460,6,0),"")</f>
        <v>2.6111</v>
      </c>
      <c r="G4198">
        <f>IFERROR(VLOOKUP($A4198,原始数据_收盘!$A$4:$G$3460,7,0),"")</f>
        <v>2.8191</v>
      </c>
      <c r="H4198">
        <f>IFERROR(VLOOKUP($A4198,原始数据_利率互换_FR007_1年!$A$6:$C$4395,2,0),"")</f>
        <v>2.6061</v>
      </c>
      <c r="I4198">
        <f>IFERROR(VLOOKUP($A4198,原始数据_利率互换_FR007_1年!$A$6:$C$4395,3,0),"")</f>
        <v>2.8131</v>
      </c>
    </row>
    <row r="4199" spans="1:9">
      <c r="A4199" s="6">
        <v>43692</v>
      </c>
      <c r="B4199">
        <f>IFERROR(VLOOKUP($A4199,原始数据_收盘!$A$4:$G$3460,2,0),"")</f>
        <v>2.61</v>
      </c>
      <c r="C4199">
        <f>IFERROR(VLOOKUP($A4199,原始数据_收盘!$A$4:$G$3460,3,0),"")</f>
        <v>2.83</v>
      </c>
      <c r="D4199">
        <f>IFERROR(VLOOKUP($A4199,原始数据_收盘!$A$4:$G$3460,4,0),"")</f>
        <v>2.62</v>
      </c>
      <c r="E4199">
        <f>IFERROR(VLOOKUP($A4199,原始数据_收盘!$A$4:$G$3460,5,0),"")</f>
        <v>2.8325</v>
      </c>
      <c r="F4199">
        <f>IFERROR(VLOOKUP($A4199,原始数据_收盘!$A$4:$G$3460,6,0),"")</f>
        <v>2.615</v>
      </c>
      <c r="G4199">
        <f>IFERROR(VLOOKUP($A4199,原始数据_收盘!$A$4:$G$3460,7,0),"")</f>
        <v>2.8313</v>
      </c>
      <c r="H4199">
        <f>IFERROR(VLOOKUP($A4199,原始数据_利率互换_FR007_1年!$A$6:$C$4395,2,0),"")</f>
        <v>2.6001</v>
      </c>
      <c r="I4199">
        <f>IFERROR(VLOOKUP($A4199,原始数据_利率互换_FR007_1年!$A$6:$C$4395,3,0),"")</f>
        <v>2.8134</v>
      </c>
    </row>
    <row r="4200" spans="1:9">
      <c r="A4200" s="6">
        <v>43693</v>
      </c>
      <c r="B4200">
        <f>IFERROR(VLOOKUP($A4200,原始数据_收盘!$A$4:$G$3460,2,0),"")</f>
        <v>2.6175</v>
      </c>
      <c r="C4200">
        <f>IFERROR(VLOOKUP($A4200,原始数据_收盘!$A$4:$G$3460,3,0),"")</f>
        <v>2.8368</v>
      </c>
      <c r="D4200">
        <f>IFERROR(VLOOKUP($A4200,原始数据_收盘!$A$4:$G$3460,4,0),"")</f>
        <v>2.6225</v>
      </c>
      <c r="E4200">
        <f>IFERROR(VLOOKUP($A4200,原始数据_收盘!$A$4:$G$3460,5,0),"")</f>
        <v>2.84</v>
      </c>
      <c r="F4200">
        <f>IFERROR(VLOOKUP($A4200,原始数据_收盘!$A$4:$G$3460,6,0),"")</f>
        <v>2.62</v>
      </c>
      <c r="G4200">
        <f>IFERROR(VLOOKUP($A4200,原始数据_收盘!$A$4:$G$3460,7,0),"")</f>
        <v>2.8384</v>
      </c>
      <c r="H4200">
        <f>IFERROR(VLOOKUP($A4200,原始数据_利率互换_FR007_1年!$A$6:$C$4395,2,0),"")</f>
        <v>2.6174</v>
      </c>
      <c r="I4200">
        <f>IFERROR(VLOOKUP($A4200,原始数据_利率互换_FR007_1年!$A$6:$C$4395,3,0),"")</f>
        <v>2.8347</v>
      </c>
    </row>
    <row r="4201" spans="1:9">
      <c r="A4201" s="6">
        <v>43694</v>
      </c>
      <c r="B4201" t="str">
        <f>IFERROR(VLOOKUP($A4201,原始数据_收盘!$A$4:$G$3460,2,0),"")</f>
        <v/>
      </c>
      <c r="C4201" t="str">
        <f>IFERROR(VLOOKUP($A4201,原始数据_收盘!$A$4:$G$3460,3,0),"")</f>
        <v/>
      </c>
      <c r="D4201" t="str">
        <f>IFERROR(VLOOKUP($A4201,原始数据_收盘!$A$4:$G$3460,4,0),"")</f>
        <v/>
      </c>
      <c r="E4201" t="str">
        <f>IFERROR(VLOOKUP($A4201,原始数据_收盘!$A$4:$G$3460,5,0),"")</f>
        <v/>
      </c>
      <c r="F4201" t="str">
        <f>IFERROR(VLOOKUP($A4201,原始数据_收盘!$A$4:$G$3460,6,0),"")</f>
        <v/>
      </c>
      <c r="G4201" t="str">
        <f>IFERROR(VLOOKUP($A4201,原始数据_收盘!$A$4:$G$3460,7,0),"")</f>
        <v/>
      </c>
      <c r="H4201" t="str">
        <f>IFERROR(VLOOKUP($A4201,原始数据_利率互换_FR007_1年!$A$6:$C$4395,2,0),"")</f>
        <v/>
      </c>
      <c r="I4201" t="str">
        <f>IFERROR(VLOOKUP($A4201,原始数据_利率互换_FR007_1年!$A$6:$C$4395,3,0),"")</f>
        <v/>
      </c>
    </row>
    <row r="4202" spans="1:9">
      <c r="A4202" s="6">
        <v>43695</v>
      </c>
      <c r="B4202" t="str">
        <f>IFERROR(VLOOKUP($A4202,原始数据_收盘!$A$4:$G$3460,2,0),"")</f>
        <v/>
      </c>
      <c r="C4202" t="str">
        <f>IFERROR(VLOOKUP($A4202,原始数据_收盘!$A$4:$G$3460,3,0),"")</f>
        <v/>
      </c>
      <c r="D4202" t="str">
        <f>IFERROR(VLOOKUP($A4202,原始数据_收盘!$A$4:$G$3460,4,0),"")</f>
        <v/>
      </c>
      <c r="E4202" t="str">
        <f>IFERROR(VLOOKUP($A4202,原始数据_收盘!$A$4:$G$3460,5,0),"")</f>
        <v/>
      </c>
      <c r="F4202" t="str">
        <f>IFERROR(VLOOKUP($A4202,原始数据_收盘!$A$4:$G$3460,6,0),"")</f>
        <v/>
      </c>
      <c r="G4202" t="str">
        <f>IFERROR(VLOOKUP($A4202,原始数据_收盘!$A$4:$G$3460,7,0),"")</f>
        <v/>
      </c>
      <c r="H4202" t="str">
        <f>IFERROR(VLOOKUP($A4202,原始数据_利率互换_FR007_1年!$A$6:$C$4395,2,0),"")</f>
        <v/>
      </c>
      <c r="I4202" t="str">
        <f>IFERROR(VLOOKUP($A4202,原始数据_利率互换_FR007_1年!$A$6:$C$4395,3,0),"")</f>
        <v/>
      </c>
    </row>
    <row r="4203" spans="1:9">
      <c r="A4203" s="6">
        <v>43696</v>
      </c>
      <c r="B4203">
        <f>IFERROR(VLOOKUP($A4203,原始数据_收盘!$A$4:$G$3460,2,0),"")</f>
        <v>2.5975</v>
      </c>
      <c r="C4203">
        <f>IFERROR(VLOOKUP($A4203,原始数据_收盘!$A$4:$G$3460,3,0),"")</f>
        <v>2.815</v>
      </c>
      <c r="D4203">
        <f>IFERROR(VLOOKUP($A4203,原始数据_收盘!$A$4:$G$3460,4,0),"")</f>
        <v>2.605</v>
      </c>
      <c r="E4203">
        <f>IFERROR(VLOOKUP($A4203,原始数据_收盘!$A$4:$G$3460,5,0),"")</f>
        <v>2.8175</v>
      </c>
      <c r="F4203">
        <f>IFERROR(VLOOKUP($A4203,原始数据_收盘!$A$4:$G$3460,6,0),"")</f>
        <v>2.6013</v>
      </c>
      <c r="G4203">
        <f>IFERROR(VLOOKUP($A4203,原始数据_收盘!$A$4:$G$3460,7,0),"")</f>
        <v>2.8163</v>
      </c>
      <c r="H4203">
        <f>IFERROR(VLOOKUP($A4203,原始数据_利率互换_FR007_1年!$A$6:$C$4395,2,0),"")</f>
        <v>2.6111</v>
      </c>
      <c r="I4203">
        <f>IFERROR(VLOOKUP($A4203,原始数据_利率互换_FR007_1年!$A$6:$C$4395,3,0),"")</f>
        <v>2.8316</v>
      </c>
    </row>
    <row r="4204" spans="1:9">
      <c r="A4204" s="6">
        <v>43697</v>
      </c>
      <c r="B4204">
        <f>IFERROR(VLOOKUP($A4204,原始数据_收盘!$A$4:$G$3460,2,0),"")</f>
        <v>2.618</v>
      </c>
      <c r="C4204">
        <f>IFERROR(VLOOKUP($A4204,原始数据_收盘!$A$4:$G$3460,3,0),"")</f>
        <v>2.8325</v>
      </c>
      <c r="D4204">
        <f>IFERROR(VLOOKUP($A4204,原始数据_收盘!$A$4:$G$3460,4,0),"")</f>
        <v>2.625</v>
      </c>
      <c r="E4204">
        <f>IFERROR(VLOOKUP($A4204,原始数据_收盘!$A$4:$G$3460,5,0),"")</f>
        <v>2.8375</v>
      </c>
      <c r="F4204">
        <f>IFERROR(VLOOKUP($A4204,原始数据_收盘!$A$4:$G$3460,6,0),"")</f>
        <v>2.6215</v>
      </c>
      <c r="G4204">
        <f>IFERROR(VLOOKUP($A4204,原始数据_收盘!$A$4:$G$3460,7,0),"")</f>
        <v>2.835</v>
      </c>
      <c r="H4204">
        <f>IFERROR(VLOOKUP($A4204,原始数据_利率互换_FR007_1年!$A$6:$C$4395,2,0),"")</f>
        <v>2.6141</v>
      </c>
      <c r="I4204">
        <f>IFERROR(VLOOKUP($A4204,原始数据_利率互换_FR007_1年!$A$6:$C$4395,3,0),"")</f>
        <v>2.826</v>
      </c>
    </row>
    <row r="4205" spans="1:9">
      <c r="A4205" s="6">
        <v>43698</v>
      </c>
      <c r="B4205">
        <f>IFERROR(VLOOKUP($A4205,原始数据_收盘!$A$4:$G$3460,2,0),"")</f>
        <v>2.63</v>
      </c>
      <c r="C4205">
        <f>IFERROR(VLOOKUP($A4205,原始数据_收盘!$A$4:$G$3460,3,0),"")</f>
        <v>2.855</v>
      </c>
      <c r="D4205">
        <f>IFERROR(VLOOKUP($A4205,原始数据_收盘!$A$4:$G$3460,4,0),"")</f>
        <v>2.635</v>
      </c>
      <c r="E4205">
        <f>IFERROR(VLOOKUP($A4205,原始数据_收盘!$A$4:$G$3460,5,0),"")</f>
        <v>2.8577</v>
      </c>
      <c r="F4205">
        <f>IFERROR(VLOOKUP($A4205,原始数据_收盘!$A$4:$G$3460,6,0),"")</f>
        <v>2.6325</v>
      </c>
      <c r="G4205">
        <f>IFERROR(VLOOKUP($A4205,原始数据_收盘!$A$4:$G$3460,7,0),"")</f>
        <v>2.8563</v>
      </c>
      <c r="H4205">
        <f>IFERROR(VLOOKUP($A4205,原始数据_利率互换_FR007_1年!$A$6:$C$4395,2,0),"")</f>
        <v>2.6296</v>
      </c>
      <c r="I4205">
        <f>IFERROR(VLOOKUP($A4205,原始数据_利率互换_FR007_1年!$A$6:$C$4395,3,0),"")</f>
        <v>2.8505</v>
      </c>
    </row>
    <row r="4206" spans="1:9">
      <c r="A4206" s="6">
        <v>43699</v>
      </c>
      <c r="B4206">
        <f>IFERROR(VLOOKUP($A4206,原始数据_收盘!$A$4:$G$3460,2,0),"")</f>
        <v>2.635</v>
      </c>
      <c r="C4206">
        <f>IFERROR(VLOOKUP($A4206,原始数据_收盘!$A$4:$G$3460,3,0),"")</f>
        <v>2.8625</v>
      </c>
      <c r="D4206">
        <f>IFERROR(VLOOKUP($A4206,原始数据_收盘!$A$4:$G$3460,4,0),"")</f>
        <v>2.6375</v>
      </c>
      <c r="E4206">
        <f>IFERROR(VLOOKUP($A4206,原始数据_收盘!$A$4:$G$3460,5,0),"")</f>
        <v>2.8651</v>
      </c>
      <c r="F4206">
        <f>IFERROR(VLOOKUP($A4206,原始数据_收盘!$A$4:$G$3460,6,0),"")</f>
        <v>2.6363</v>
      </c>
      <c r="G4206">
        <f>IFERROR(VLOOKUP($A4206,原始数据_收盘!$A$4:$G$3460,7,0),"")</f>
        <v>2.8638</v>
      </c>
      <c r="H4206">
        <f>IFERROR(VLOOKUP($A4206,原始数据_利率互换_FR007_1年!$A$6:$C$4395,2,0),"")</f>
        <v>2.6318</v>
      </c>
      <c r="I4206">
        <f>IFERROR(VLOOKUP($A4206,原始数据_利率互换_FR007_1年!$A$6:$C$4395,3,0),"")</f>
        <v>2.858</v>
      </c>
    </row>
    <row r="4207" spans="1:9">
      <c r="A4207" s="6">
        <v>43700</v>
      </c>
      <c r="B4207">
        <f>IFERROR(VLOOKUP($A4207,原始数据_收盘!$A$4:$G$3460,2,0),"")</f>
        <v>2.635</v>
      </c>
      <c r="C4207">
        <f>IFERROR(VLOOKUP($A4207,原始数据_收盘!$A$4:$G$3460,3,0),"")</f>
        <v>2.8675</v>
      </c>
      <c r="D4207">
        <f>IFERROR(VLOOKUP($A4207,原始数据_收盘!$A$4:$G$3460,4,0),"")</f>
        <v>2.6375</v>
      </c>
      <c r="E4207">
        <f>IFERROR(VLOOKUP($A4207,原始数据_收盘!$A$4:$G$3460,5,0),"")</f>
        <v>2.87</v>
      </c>
      <c r="F4207">
        <f>IFERROR(VLOOKUP($A4207,原始数据_收盘!$A$4:$G$3460,6,0),"")</f>
        <v>2.6363</v>
      </c>
      <c r="G4207">
        <f>IFERROR(VLOOKUP($A4207,原始数据_收盘!$A$4:$G$3460,7,0),"")</f>
        <v>2.8688</v>
      </c>
      <c r="H4207">
        <f>IFERROR(VLOOKUP($A4207,原始数据_利率互换_FR007_1年!$A$6:$C$4395,2,0),"")</f>
        <v>2.6345</v>
      </c>
      <c r="I4207">
        <f>IFERROR(VLOOKUP($A4207,原始数据_利率互换_FR007_1年!$A$6:$C$4395,3,0),"")</f>
        <v>2.8657</v>
      </c>
    </row>
    <row r="4208" spans="1:9">
      <c r="A4208" s="6">
        <v>43701</v>
      </c>
      <c r="B4208" t="str">
        <f>IFERROR(VLOOKUP($A4208,原始数据_收盘!$A$4:$G$3460,2,0),"")</f>
        <v/>
      </c>
      <c r="C4208" t="str">
        <f>IFERROR(VLOOKUP($A4208,原始数据_收盘!$A$4:$G$3460,3,0),"")</f>
        <v/>
      </c>
      <c r="D4208" t="str">
        <f>IFERROR(VLOOKUP($A4208,原始数据_收盘!$A$4:$G$3460,4,0),"")</f>
        <v/>
      </c>
      <c r="E4208" t="str">
        <f>IFERROR(VLOOKUP($A4208,原始数据_收盘!$A$4:$G$3460,5,0),"")</f>
        <v/>
      </c>
      <c r="F4208" t="str">
        <f>IFERROR(VLOOKUP($A4208,原始数据_收盘!$A$4:$G$3460,6,0),"")</f>
        <v/>
      </c>
      <c r="G4208" t="str">
        <f>IFERROR(VLOOKUP($A4208,原始数据_收盘!$A$4:$G$3460,7,0),"")</f>
        <v/>
      </c>
      <c r="H4208" t="str">
        <f>IFERROR(VLOOKUP($A4208,原始数据_利率互换_FR007_1年!$A$6:$C$4395,2,0),"")</f>
        <v/>
      </c>
      <c r="I4208" t="str">
        <f>IFERROR(VLOOKUP($A4208,原始数据_利率互换_FR007_1年!$A$6:$C$4395,3,0),"")</f>
        <v/>
      </c>
    </row>
    <row r="4209" spans="1:9">
      <c r="A4209" s="6">
        <v>43702</v>
      </c>
      <c r="B4209" t="str">
        <f>IFERROR(VLOOKUP($A4209,原始数据_收盘!$A$4:$G$3460,2,0),"")</f>
        <v/>
      </c>
      <c r="C4209" t="str">
        <f>IFERROR(VLOOKUP($A4209,原始数据_收盘!$A$4:$G$3460,3,0),"")</f>
        <v/>
      </c>
      <c r="D4209" t="str">
        <f>IFERROR(VLOOKUP($A4209,原始数据_收盘!$A$4:$G$3460,4,0),"")</f>
        <v/>
      </c>
      <c r="E4209" t="str">
        <f>IFERROR(VLOOKUP($A4209,原始数据_收盘!$A$4:$G$3460,5,0),"")</f>
        <v/>
      </c>
      <c r="F4209" t="str">
        <f>IFERROR(VLOOKUP($A4209,原始数据_收盘!$A$4:$G$3460,6,0),"")</f>
        <v/>
      </c>
      <c r="G4209" t="str">
        <f>IFERROR(VLOOKUP($A4209,原始数据_收盘!$A$4:$G$3460,7,0),"")</f>
        <v/>
      </c>
      <c r="H4209" t="str">
        <f>IFERROR(VLOOKUP($A4209,原始数据_利率互换_FR007_1年!$A$6:$C$4395,2,0),"")</f>
        <v/>
      </c>
      <c r="I4209" t="str">
        <f>IFERROR(VLOOKUP($A4209,原始数据_利率互换_FR007_1年!$A$6:$C$4395,3,0),"")</f>
        <v/>
      </c>
    </row>
    <row r="4210" spans="1:9">
      <c r="A4210" s="6">
        <v>43703</v>
      </c>
      <c r="B4210">
        <f>IFERROR(VLOOKUP($A4210,原始数据_收盘!$A$4:$G$3460,2,0),"")</f>
        <v>2.6344</v>
      </c>
      <c r="C4210">
        <f>IFERROR(VLOOKUP($A4210,原始数据_收盘!$A$4:$G$3460,3,0),"")</f>
        <v>2.8425</v>
      </c>
      <c r="D4210">
        <f>IFERROR(VLOOKUP($A4210,原始数据_收盘!$A$4:$G$3460,4,0),"")</f>
        <v>2.6393</v>
      </c>
      <c r="E4210">
        <f>IFERROR(VLOOKUP($A4210,原始数据_收盘!$A$4:$G$3460,5,0),"")</f>
        <v>2.845</v>
      </c>
      <c r="F4210">
        <f>IFERROR(VLOOKUP($A4210,原始数据_收盘!$A$4:$G$3460,6,0),"")</f>
        <v>2.6369</v>
      </c>
      <c r="G4210">
        <f>IFERROR(VLOOKUP($A4210,原始数据_收盘!$A$4:$G$3460,7,0),"")</f>
        <v>2.8438</v>
      </c>
      <c r="H4210">
        <f>IFERROR(VLOOKUP($A4210,原始数据_利率互换_FR007_1年!$A$6:$C$4395,2,0),"")</f>
        <v>2.629</v>
      </c>
      <c r="I4210">
        <f>IFERROR(VLOOKUP($A4210,原始数据_利率互换_FR007_1年!$A$6:$C$4395,3,0),"")</f>
        <v>2.8386</v>
      </c>
    </row>
    <row r="4211" spans="1:9">
      <c r="A4211" s="6">
        <v>43704</v>
      </c>
      <c r="B4211">
        <f>IFERROR(VLOOKUP($A4211,原始数据_收盘!$A$4:$G$3460,2,0),"")</f>
        <v>2.655</v>
      </c>
      <c r="C4211">
        <f>IFERROR(VLOOKUP($A4211,原始数据_收盘!$A$4:$G$3460,3,0),"")</f>
        <v>2.8575</v>
      </c>
      <c r="D4211">
        <f>IFERROR(VLOOKUP($A4211,原始数据_收盘!$A$4:$G$3460,4,0),"")</f>
        <v>2.66</v>
      </c>
      <c r="E4211">
        <f>IFERROR(VLOOKUP($A4211,原始数据_收盘!$A$4:$G$3460,5,0),"")</f>
        <v>2.86</v>
      </c>
      <c r="F4211">
        <f>IFERROR(VLOOKUP($A4211,原始数据_收盘!$A$4:$G$3460,6,0),"")</f>
        <v>2.6575</v>
      </c>
      <c r="G4211">
        <f>IFERROR(VLOOKUP($A4211,原始数据_收盘!$A$4:$G$3460,7,0),"")</f>
        <v>2.8588</v>
      </c>
      <c r="H4211">
        <f>IFERROR(VLOOKUP($A4211,原始数据_利率互换_FR007_1年!$A$6:$C$4395,2,0),"")</f>
        <v>2.6545</v>
      </c>
      <c r="I4211">
        <f>IFERROR(VLOOKUP($A4211,原始数据_利率互换_FR007_1年!$A$6:$C$4395,3,0),"")</f>
        <v>2.863</v>
      </c>
    </row>
    <row r="4212" spans="1:9">
      <c r="A4212" s="6">
        <v>43705</v>
      </c>
      <c r="B4212">
        <f>IFERROR(VLOOKUP($A4212,原始数据_收盘!$A$4:$G$3460,2,0),"")</f>
        <v>2.649</v>
      </c>
      <c r="C4212">
        <f>IFERROR(VLOOKUP($A4212,原始数据_收盘!$A$4:$G$3460,3,0),"")</f>
        <v>2.8525</v>
      </c>
      <c r="D4212">
        <f>IFERROR(VLOOKUP($A4212,原始数据_收盘!$A$4:$G$3460,4,0),"")</f>
        <v>2.6525</v>
      </c>
      <c r="E4212">
        <f>IFERROR(VLOOKUP($A4212,原始数据_收盘!$A$4:$G$3460,5,0),"")</f>
        <v>2.855</v>
      </c>
      <c r="F4212">
        <f>IFERROR(VLOOKUP($A4212,原始数据_收盘!$A$4:$G$3460,6,0),"")</f>
        <v>2.6508</v>
      </c>
      <c r="G4212">
        <f>IFERROR(VLOOKUP($A4212,原始数据_收盘!$A$4:$G$3460,7,0),"")</f>
        <v>2.8538</v>
      </c>
      <c r="H4212">
        <f>IFERROR(VLOOKUP($A4212,原始数据_利率互换_FR007_1年!$A$6:$C$4395,2,0),"")</f>
        <v>2.6511</v>
      </c>
      <c r="I4212">
        <f>IFERROR(VLOOKUP($A4212,原始数据_利率互换_FR007_1年!$A$6:$C$4395,3,0),"")</f>
        <v>2.8546</v>
      </c>
    </row>
    <row r="4213" spans="1:9">
      <c r="A4213" s="6">
        <v>43706</v>
      </c>
      <c r="B4213">
        <f>IFERROR(VLOOKUP($A4213,原始数据_收盘!$A$4:$G$3460,2,0),"")</f>
        <v>2.649</v>
      </c>
      <c r="C4213">
        <f>IFERROR(VLOOKUP($A4213,原始数据_收盘!$A$4:$G$3460,3,0),"")</f>
        <v>2.8625</v>
      </c>
      <c r="D4213">
        <f>IFERROR(VLOOKUP($A4213,原始数据_收盘!$A$4:$G$3460,4,0),"")</f>
        <v>2.6597</v>
      </c>
      <c r="E4213">
        <f>IFERROR(VLOOKUP($A4213,原始数据_收盘!$A$4:$G$3460,5,0),"")</f>
        <v>2.8689</v>
      </c>
      <c r="F4213">
        <f>IFERROR(VLOOKUP($A4213,原始数据_收盘!$A$4:$G$3460,6,0),"")</f>
        <v>2.6544</v>
      </c>
      <c r="G4213">
        <f>IFERROR(VLOOKUP($A4213,原始数据_收盘!$A$4:$G$3460,7,0),"")</f>
        <v>2.8657</v>
      </c>
      <c r="H4213">
        <f>IFERROR(VLOOKUP($A4213,原始数据_利率互换_FR007_1年!$A$6:$C$4395,2,0),"")</f>
        <v>2.6405</v>
      </c>
      <c r="I4213">
        <f>IFERROR(VLOOKUP($A4213,原始数据_利率互换_FR007_1年!$A$6:$C$4395,3,0),"")</f>
        <v>2.8525</v>
      </c>
    </row>
    <row r="4214" spans="1:9">
      <c r="A4214" s="6">
        <v>43707</v>
      </c>
      <c r="B4214">
        <f>IFERROR(VLOOKUP($A4214,原始数据_收盘!$A$4:$G$3460,2,0),"")</f>
        <v>2.67</v>
      </c>
      <c r="C4214">
        <f>IFERROR(VLOOKUP($A4214,原始数据_收盘!$A$4:$G$3460,3,0),"")</f>
        <v>2.9039</v>
      </c>
      <c r="D4214">
        <f>IFERROR(VLOOKUP($A4214,原始数据_收盘!$A$4:$G$3460,4,0),"")</f>
        <v>2.683</v>
      </c>
      <c r="E4214">
        <f>IFERROR(VLOOKUP($A4214,原始数据_收盘!$A$4:$G$3460,5,0),"")</f>
        <v>2.908</v>
      </c>
      <c r="F4214">
        <f>IFERROR(VLOOKUP($A4214,原始数据_收盘!$A$4:$G$3460,6,0),"")</f>
        <v>2.6765</v>
      </c>
      <c r="G4214">
        <f>IFERROR(VLOOKUP($A4214,原始数据_收盘!$A$4:$G$3460,7,0),"")</f>
        <v>2.9059</v>
      </c>
      <c r="H4214">
        <f>IFERROR(VLOOKUP($A4214,原始数据_利率互换_FR007_1年!$A$6:$C$4395,2,0),"")</f>
        <v>2.6643</v>
      </c>
      <c r="I4214">
        <f>IFERROR(VLOOKUP($A4214,原始数据_利率互换_FR007_1年!$A$6:$C$4395,3,0),"")</f>
        <v>2.8845</v>
      </c>
    </row>
    <row r="4215" spans="1:9">
      <c r="A4215" s="6">
        <v>43708</v>
      </c>
      <c r="B4215" t="str">
        <f>IFERROR(VLOOKUP($A4215,原始数据_收盘!$A$4:$G$3460,2,0),"")</f>
        <v/>
      </c>
      <c r="C4215" t="str">
        <f>IFERROR(VLOOKUP($A4215,原始数据_收盘!$A$4:$G$3460,3,0),"")</f>
        <v/>
      </c>
      <c r="D4215" t="str">
        <f>IFERROR(VLOOKUP($A4215,原始数据_收盘!$A$4:$G$3460,4,0),"")</f>
        <v/>
      </c>
      <c r="E4215" t="str">
        <f>IFERROR(VLOOKUP($A4215,原始数据_收盘!$A$4:$G$3460,5,0),"")</f>
        <v/>
      </c>
      <c r="F4215" t="str">
        <f>IFERROR(VLOOKUP($A4215,原始数据_收盘!$A$4:$G$3460,6,0),"")</f>
        <v/>
      </c>
      <c r="G4215" t="str">
        <f>IFERROR(VLOOKUP($A4215,原始数据_收盘!$A$4:$G$3460,7,0),"")</f>
        <v/>
      </c>
      <c r="H4215" t="str">
        <f>IFERROR(VLOOKUP($A4215,原始数据_利率互换_FR007_1年!$A$6:$C$4395,2,0),"")</f>
        <v/>
      </c>
      <c r="I4215" t="str">
        <f>IFERROR(VLOOKUP($A4215,原始数据_利率互换_FR007_1年!$A$6:$C$4395,3,0),"")</f>
        <v/>
      </c>
    </row>
    <row r="4216" spans="1:9">
      <c r="A4216" s="6">
        <v>43709</v>
      </c>
      <c r="B4216" t="str">
        <f>IFERROR(VLOOKUP($A4216,原始数据_收盘!$A$4:$G$3460,2,0),"")</f>
        <v/>
      </c>
      <c r="C4216" t="str">
        <f>IFERROR(VLOOKUP($A4216,原始数据_收盘!$A$4:$G$3460,3,0),"")</f>
        <v/>
      </c>
      <c r="D4216" t="str">
        <f>IFERROR(VLOOKUP($A4216,原始数据_收盘!$A$4:$G$3460,4,0),"")</f>
        <v/>
      </c>
      <c r="E4216" t="str">
        <f>IFERROR(VLOOKUP($A4216,原始数据_收盘!$A$4:$G$3460,5,0),"")</f>
        <v/>
      </c>
      <c r="F4216" t="str">
        <f>IFERROR(VLOOKUP($A4216,原始数据_收盘!$A$4:$G$3460,6,0),"")</f>
        <v/>
      </c>
      <c r="G4216" t="str">
        <f>IFERROR(VLOOKUP($A4216,原始数据_收盘!$A$4:$G$3460,7,0),"")</f>
        <v/>
      </c>
      <c r="H4216" t="str">
        <f>IFERROR(VLOOKUP($A4216,原始数据_利率互换_FR007_1年!$A$6:$C$4395,2,0),"")</f>
        <v/>
      </c>
      <c r="I4216" t="str">
        <f>IFERROR(VLOOKUP($A4216,原始数据_利率互换_FR007_1年!$A$6:$C$4395,3,0),"")</f>
        <v/>
      </c>
    </row>
    <row r="4217" spans="1:9">
      <c r="A4217" s="6">
        <v>43710</v>
      </c>
      <c r="B4217">
        <f>IFERROR(VLOOKUP($A4217,原始数据_收盘!$A$4:$G$3460,2,0),"")</f>
        <v>2.67</v>
      </c>
      <c r="C4217">
        <f>IFERROR(VLOOKUP($A4217,原始数据_收盘!$A$4:$G$3460,3,0),"")</f>
        <v>2.9075</v>
      </c>
      <c r="D4217">
        <f>IFERROR(VLOOKUP($A4217,原始数据_收盘!$A$4:$G$3460,4,0),"")</f>
        <v>2.6775</v>
      </c>
      <c r="E4217">
        <f>IFERROR(VLOOKUP($A4217,原始数据_收盘!$A$4:$G$3460,5,0),"")</f>
        <v>2.9106</v>
      </c>
      <c r="F4217">
        <f>IFERROR(VLOOKUP($A4217,原始数据_收盘!$A$4:$G$3460,6,0),"")</f>
        <v>2.6738</v>
      </c>
      <c r="G4217">
        <f>IFERROR(VLOOKUP($A4217,原始数据_收盘!$A$4:$G$3460,7,0),"")</f>
        <v>2.909</v>
      </c>
      <c r="H4217">
        <f>IFERROR(VLOOKUP($A4217,原始数据_利率互换_FR007_1年!$A$6:$C$4395,2,0),"")</f>
        <v>2.67</v>
      </c>
      <c r="I4217">
        <f>IFERROR(VLOOKUP($A4217,原始数据_利率互换_FR007_1年!$A$6:$C$4395,3,0),"")</f>
        <v>2.9023</v>
      </c>
    </row>
    <row r="4218" spans="1:9">
      <c r="A4218" s="6">
        <v>43711</v>
      </c>
      <c r="B4218">
        <f>IFERROR(VLOOKUP($A4218,原始数据_收盘!$A$4:$G$3460,2,0),"")</f>
        <v>2.66</v>
      </c>
      <c r="C4218">
        <f>IFERROR(VLOOKUP($A4218,原始数据_收盘!$A$4:$G$3460,3,0),"")</f>
        <v>2.8975</v>
      </c>
      <c r="D4218">
        <f>IFERROR(VLOOKUP($A4218,原始数据_收盘!$A$4:$G$3460,4,0),"")</f>
        <v>2.665</v>
      </c>
      <c r="E4218">
        <f>IFERROR(VLOOKUP($A4218,原始数据_收盘!$A$4:$G$3460,5,0),"")</f>
        <v>2.9</v>
      </c>
      <c r="F4218">
        <f>IFERROR(VLOOKUP($A4218,原始数据_收盘!$A$4:$G$3460,6,0),"")</f>
        <v>2.6625</v>
      </c>
      <c r="G4218">
        <f>IFERROR(VLOOKUP($A4218,原始数据_收盘!$A$4:$G$3460,7,0),"")</f>
        <v>2.8988</v>
      </c>
      <c r="H4218">
        <f>IFERROR(VLOOKUP($A4218,原始数据_利率互换_FR007_1年!$A$6:$C$4395,2,0),"")</f>
        <v>2.6628</v>
      </c>
      <c r="I4218">
        <f>IFERROR(VLOOKUP($A4218,原始数据_利率互换_FR007_1年!$A$6:$C$4395,3,0),"")</f>
        <v>2.9012</v>
      </c>
    </row>
    <row r="4219" spans="1:9">
      <c r="A4219" s="6">
        <v>43712</v>
      </c>
      <c r="B4219">
        <f>IFERROR(VLOOKUP($A4219,原始数据_收盘!$A$4:$G$3460,2,0),"")</f>
        <v>2.6325</v>
      </c>
      <c r="C4219">
        <f>IFERROR(VLOOKUP($A4219,原始数据_收盘!$A$4:$G$3460,3,0),"")</f>
        <v>2.8588</v>
      </c>
      <c r="D4219">
        <f>IFERROR(VLOOKUP($A4219,原始数据_收盘!$A$4:$G$3460,4,0),"")</f>
        <v>2.6405</v>
      </c>
      <c r="E4219">
        <f>IFERROR(VLOOKUP($A4219,原始数据_收盘!$A$4:$G$3460,5,0),"")</f>
        <v>2.8638</v>
      </c>
      <c r="F4219">
        <f>IFERROR(VLOOKUP($A4219,原始数据_收盘!$A$4:$G$3460,6,0),"")</f>
        <v>2.6365</v>
      </c>
      <c r="G4219">
        <f>IFERROR(VLOOKUP($A4219,原始数据_收盘!$A$4:$G$3460,7,0),"")</f>
        <v>2.8613</v>
      </c>
      <c r="H4219">
        <f>IFERROR(VLOOKUP($A4219,原始数据_利率互换_FR007_1年!$A$6:$C$4395,2,0),"")</f>
        <v>2.6544</v>
      </c>
      <c r="I4219">
        <f>IFERROR(VLOOKUP($A4219,原始数据_利率互换_FR007_1年!$A$6:$C$4395,3,0),"")</f>
        <v>2.8829</v>
      </c>
    </row>
    <row r="4220" spans="1:9">
      <c r="A4220" s="6">
        <v>43713</v>
      </c>
      <c r="B4220">
        <f>IFERROR(VLOOKUP($A4220,原始数据_收盘!$A$4:$G$3460,2,0),"")</f>
        <v>2.6046</v>
      </c>
      <c r="C4220">
        <f>IFERROR(VLOOKUP($A4220,原始数据_收盘!$A$4:$G$3460,3,0),"")</f>
        <v>2.8157</v>
      </c>
      <c r="D4220">
        <f>IFERROR(VLOOKUP($A4220,原始数据_收盘!$A$4:$G$3460,4,0),"")</f>
        <v>2.6085</v>
      </c>
      <c r="E4220">
        <f>IFERROR(VLOOKUP($A4220,原始数据_收盘!$A$4:$G$3460,5,0),"")</f>
        <v>2.8189</v>
      </c>
      <c r="F4220">
        <f>IFERROR(VLOOKUP($A4220,原始数据_收盘!$A$4:$G$3460,6,0),"")</f>
        <v>2.6065</v>
      </c>
      <c r="G4220">
        <f>IFERROR(VLOOKUP($A4220,原始数据_收盘!$A$4:$G$3460,7,0),"")</f>
        <v>2.8173</v>
      </c>
      <c r="H4220">
        <f>IFERROR(VLOOKUP($A4220,原始数据_利率互换_FR007_1年!$A$6:$C$4395,2,0),"")</f>
        <v>2.6103</v>
      </c>
      <c r="I4220">
        <f>IFERROR(VLOOKUP($A4220,原始数据_利率互换_FR007_1年!$A$6:$C$4395,3,0),"")</f>
        <v>2.8317</v>
      </c>
    </row>
    <row r="4221" spans="1:9">
      <c r="A4221" s="6">
        <v>43714</v>
      </c>
      <c r="B4221">
        <f>IFERROR(VLOOKUP($A4221,原始数据_收盘!$A$4:$G$3460,2,0),"")</f>
        <v>2.6</v>
      </c>
      <c r="C4221">
        <f>IFERROR(VLOOKUP($A4221,原始数据_收盘!$A$4:$G$3460,3,0),"")</f>
        <v>2.8175</v>
      </c>
      <c r="D4221">
        <f>IFERROR(VLOOKUP($A4221,原始数据_收盘!$A$4:$G$3460,4,0),"")</f>
        <v>2.605</v>
      </c>
      <c r="E4221">
        <f>IFERROR(VLOOKUP($A4221,原始数据_收盘!$A$4:$G$3460,5,0),"")</f>
        <v>2.82</v>
      </c>
      <c r="F4221">
        <f>IFERROR(VLOOKUP($A4221,原始数据_收盘!$A$4:$G$3460,6,0),"")</f>
        <v>2.6025</v>
      </c>
      <c r="G4221">
        <f>IFERROR(VLOOKUP($A4221,原始数据_收盘!$A$4:$G$3460,7,0),"")</f>
        <v>2.8188</v>
      </c>
      <c r="H4221">
        <f>IFERROR(VLOOKUP($A4221,原始数据_利率互换_FR007_1年!$A$6:$C$4395,2,0),"")</f>
        <v>2.6008</v>
      </c>
      <c r="I4221">
        <f>IFERROR(VLOOKUP($A4221,原始数据_利率互换_FR007_1年!$A$6:$C$4395,3,0),"")</f>
        <v>2.8119</v>
      </c>
    </row>
    <row r="4222" spans="1:9">
      <c r="A4222" s="6">
        <v>43715</v>
      </c>
      <c r="B4222" t="str">
        <f>IFERROR(VLOOKUP($A4222,原始数据_收盘!$A$4:$G$3460,2,0),"")</f>
        <v/>
      </c>
      <c r="C4222" t="str">
        <f>IFERROR(VLOOKUP($A4222,原始数据_收盘!$A$4:$G$3460,3,0),"")</f>
        <v/>
      </c>
      <c r="D4222" t="str">
        <f>IFERROR(VLOOKUP($A4222,原始数据_收盘!$A$4:$G$3460,4,0),"")</f>
        <v/>
      </c>
      <c r="E4222" t="str">
        <f>IFERROR(VLOOKUP($A4222,原始数据_收盘!$A$4:$G$3460,5,0),"")</f>
        <v/>
      </c>
      <c r="F4222" t="str">
        <f>IFERROR(VLOOKUP($A4222,原始数据_收盘!$A$4:$G$3460,6,0),"")</f>
        <v/>
      </c>
      <c r="G4222" t="str">
        <f>IFERROR(VLOOKUP($A4222,原始数据_收盘!$A$4:$G$3460,7,0),"")</f>
        <v/>
      </c>
      <c r="H4222" t="str">
        <f>IFERROR(VLOOKUP($A4222,原始数据_利率互换_FR007_1年!$A$6:$C$4395,2,0),"")</f>
        <v/>
      </c>
      <c r="I4222" t="str">
        <f>IFERROR(VLOOKUP($A4222,原始数据_利率互换_FR007_1年!$A$6:$C$4395,3,0),"")</f>
        <v/>
      </c>
    </row>
    <row r="4223" spans="1:9">
      <c r="A4223" s="6">
        <v>43716</v>
      </c>
      <c r="B4223" t="str">
        <f>IFERROR(VLOOKUP($A4223,原始数据_收盘!$A$4:$G$3460,2,0),"")</f>
        <v/>
      </c>
      <c r="C4223" t="str">
        <f>IFERROR(VLOOKUP($A4223,原始数据_收盘!$A$4:$G$3460,3,0),"")</f>
        <v/>
      </c>
      <c r="D4223" t="str">
        <f>IFERROR(VLOOKUP($A4223,原始数据_收盘!$A$4:$G$3460,4,0),"")</f>
        <v/>
      </c>
      <c r="E4223" t="str">
        <f>IFERROR(VLOOKUP($A4223,原始数据_收盘!$A$4:$G$3460,5,0),"")</f>
        <v/>
      </c>
      <c r="F4223" t="str">
        <f>IFERROR(VLOOKUP($A4223,原始数据_收盘!$A$4:$G$3460,6,0),"")</f>
        <v/>
      </c>
      <c r="G4223" t="str">
        <f>IFERROR(VLOOKUP($A4223,原始数据_收盘!$A$4:$G$3460,7,0),"")</f>
        <v/>
      </c>
      <c r="H4223" t="str">
        <f>IFERROR(VLOOKUP($A4223,原始数据_利率互换_FR007_1年!$A$6:$C$4395,2,0),"")</f>
        <v/>
      </c>
      <c r="I4223" t="str">
        <f>IFERROR(VLOOKUP($A4223,原始数据_利率互换_FR007_1年!$A$6:$C$4395,3,0),"")</f>
        <v/>
      </c>
    </row>
    <row r="4224" spans="1:9">
      <c r="A4224" s="6">
        <v>43717</v>
      </c>
      <c r="B4224">
        <f>IFERROR(VLOOKUP($A4224,原始数据_收盘!$A$4:$G$3460,2,0),"")</f>
        <v>2.6175</v>
      </c>
      <c r="C4224">
        <f>IFERROR(VLOOKUP($A4224,原始数据_收盘!$A$4:$G$3460,3,0),"")</f>
        <v>2.835</v>
      </c>
      <c r="D4224">
        <f>IFERROR(VLOOKUP($A4224,原始数据_收盘!$A$4:$G$3460,4,0),"")</f>
        <v>2.625</v>
      </c>
      <c r="E4224">
        <f>IFERROR(VLOOKUP($A4224,原始数据_收盘!$A$4:$G$3460,5,0),"")</f>
        <v>2.8375</v>
      </c>
      <c r="F4224">
        <f>IFERROR(VLOOKUP($A4224,原始数据_收盘!$A$4:$G$3460,6,0),"")</f>
        <v>2.6213</v>
      </c>
      <c r="G4224">
        <f>IFERROR(VLOOKUP($A4224,原始数据_收盘!$A$4:$G$3460,7,0),"")</f>
        <v>2.8363</v>
      </c>
      <c r="H4224">
        <f>IFERROR(VLOOKUP($A4224,原始数据_利率互换_FR007_1年!$A$6:$C$4395,2,0),"")</f>
        <v>2.6113</v>
      </c>
      <c r="I4224">
        <f>IFERROR(VLOOKUP($A4224,原始数据_利率互换_FR007_1年!$A$6:$C$4395,3,0),"")</f>
        <v>2.8229</v>
      </c>
    </row>
    <row r="4225" spans="1:9">
      <c r="A4225" s="6">
        <v>43718</v>
      </c>
      <c r="B4225">
        <f>IFERROR(VLOOKUP($A4225,原始数据_收盘!$A$4:$G$3460,2,0),"")</f>
        <v>2.6455</v>
      </c>
      <c r="C4225">
        <f>IFERROR(VLOOKUP($A4225,原始数据_收盘!$A$4:$G$3460,3,0),"")</f>
        <v>2.85</v>
      </c>
      <c r="D4225">
        <f>IFERROR(VLOOKUP($A4225,原始数据_收盘!$A$4:$G$3460,4,0),"")</f>
        <v>2.648</v>
      </c>
      <c r="E4225">
        <f>IFERROR(VLOOKUP($A4225,原始数据_收盘!$A$4:$G$3460,5,0),"")</f>
        <v>2.8525</v>
      </c>
      <c r="F4225">
        <f>IFERROR(VLOOKUP($A4225,原始数据_收盘!$A$4:$G$3460,6,0),"")</f>
        <v>2.6468</v>
      </c>
      <c r="G4225">
        <f>IFERROR(VLOOKUP($A4225,原始数据_收盘!$A$4:$G$3460,7,0),"")</f>
        <v>2.8513</v>
      </c>
      <c r="H4225">
        <f>IFERROR(VLOOKUP($A4225,原始数据_利率互换_FR007_1年!$A$6:$C$4395,2,0),"")</f>
        <v>2.6382</v>
      </c>
      <c r="I4225">
        <f>IFERROR(VLOOKUP($A4225,原始数据_利率互换_FR007_1年!$A$6:$C$4395,3,0),"")</f>
        <v>2.8443</v>
      </c>
    </row>
    <row r="4226" spans="1:9">
      <c r="A4226" s="6">
        <v>43719</v>
      </c>
      <c r="B4226">
        <f>IFERROR(VLOOKUP($A4226,原始数据_收盘!$A$4:$G$3460,2,0),"")</f>
        <v>2.6425</v>
      </c>
      <c r="C4226">
        <f>IFERROR(VLOOKUP($A4226,原始数据_收盘!$A$4:$G$3460,3,0),"")</f>
        <v>2.855</v>
      </c>
      <c r="D4226">
        <f>IFERROR(VLOOKUP($A4226,原始数据_收盘!$A$4:$G$3460,4,0),"")</f>
        <v>2.65</v>
      </c>
      <c r="E4226">
        <f>IFERROR(VLOOKUP($A4226,原始数据_收盘!$A$4:$G$3460,5,0),"")</f>
        <v>2.86</v>
      </c>
      <c r="F4226">
        <f>IFERROR(VLOOKUP($A4226,原始数据_收盘!$A$4:$G$3460,6,0),"")</f>
        <v>2.6463</v>
      </c>
      <c r="G4226">
        <f>IFERROR(VLOOKUP($A4226,原始数据_收盘!$A$4:$G$3460,7,0),"")</f>
        <v>2.8575</v>
      </c>
      <c r="H4226">
        <f>IFERROR(VLOOKUP($A4226,原始数据_利率互换_FR007_1年!$A$6:$C$4395,2,0),"")</f>
        <v>2.6464</v>
      </c>
      <c r="I4226">
        <f>IFERROR(VLOOKUP($A4226,原始数据_利率互换_FR007_1年!$A$6:$C$4395,3,0),"")</f>
        <v>2.8528</v>
      </c>
    </row>
    <row r="4227" spans="1:9">
      <c r="A4227" s="6">
        <v>43720</v>
      </c>
      <c r="B4227">
        <f>IFERROR(VLOOKUP($A4227,原始数据_收盘!$A$4:$G$3460,2,0),"")</f>
        <v>2.67</v>
      </c>
      <c r="C4227">
        <f>IFERROR(VLOOKUP($A4227,原始数据_收盘!$A$4:$G$3460,3,0),"")</f>
        <v>2.9025</v>
      </c>
      <c r="D4227">
        <f>IFERROR(VLOOKUP($A4227,原始数据_收盘!$A$4:$G$3460,4,0),"")</f>
        <v>2.6727</v>
      </c>
      <c r="E4227">
        <f>IFERROR(VLOOKUP($A4227,原始数据_收盘!$A$4:$G$3460,5,0),"")</f>
        <v>2.9054</v>
      </c>
      <c r="F4227">
        <f>IFERROR(VLOOKUP($A4227,原始数据_收盘!$A$4:$G$3460,6,0),"")</f>
        <v>2.6713</v>
      </c>
      <c r="G4227">
        <f>IFERROR(VLOOKUP($A4227,原始数据_收盘!$A$4:$G$3460,7,0),"")</f>
        <v>2.904</v>
      </c>
      <c r="H4227">
        <f>IFERROR(VLOOKUP($A4227,原始数据_利率互换_FR007_1年!$A$6:$C$4395,2,0),"")</f>
        <v>2.6598</v>
      </c>
      <c r="I4227">
        <f>IFERROR(VLOOKUP($A4227,原始数据_利率互换_FR007_1年!$A$6:$C$4395,3,0),"")</f>
        <v>2.8848</v>
      </c>
    </row>
    <row r="4228" spans="1:9">
      <c r="A4228" s="6">
        <v>43721</v>
      </c>
      <c r="B4228" t="str">
        <f>IFERROR(VLOOKUP($A4228,原始数据_收盘!$A$4:$G$3460,2,0),"")</f>
        <v/>
      </c>
      <c r="C4228" t="str">
        <f>IFERROR(VLOOKUP($A4228,原始数据_收盘!$A$4:$G$3460,3,0),"")</f>
        <v/>
      </c>
      <c r="D4228" t="str">
        <f>IFERROR(VLOOKUP($A4228,原始数据_收盘!$A$4:$G$3460,4,0),"")</f>
        <v/>
      </c>
      <c r="E4228" t="str">
        <f>IFERROR(VLOOKUP($A4228,原始数据_收盘!$A$4:$G$3460,5,0),"")</f>
        <v/>
      </c>
      <c r="F4228" t="str">
        <f>IFERROR(VLOOKUP($A4228,原始数据_收盘!$A$4:$G$3460,6,0),"")</f>
        <v/>
      </c>
      <c r="G4228" t="str">
        <f>IFERROR(VLOOKUP($A4228,原始数据_收盘!$A$4:$G$3460,7,0),"")</f>
        <v/>
      </c>
      <c r="H4228" t="str">
        <f>IFERROR(VLOOKUP($A4228,原始数据_利率互换_FR007_1年!$A$6:$C$4395,2,0),"")</f>
        <v/>
      </c>
      <c r="I4228" t="str">
        <f>IFERROR(VLOOKUP($A4228,原始数据_利率互换_FR007_1年!$A$6:$C$4395,3,0),"")</f>
        <v/>
      </c>
    </row>
    <row r="4229" spans="1:9">
      <c r="A4229" s="6">
        <v>43722</v>
      </c>
      <c r="B4229" t="str">
        <f>IFERROR(VLOOKUP($A4229,原始数据_收盘!$A$4:$G$3460,2,0),"")</f>
        <v/>
      </c>
      <c r="C4229" t="str">
        <f>IFERROR(VLOOKUP($A4229,原始数据_收盘!$A$4:$G$3460,3,0),"")</f>
        <v/>
      </c>
      <c r="D4229" t="str">
        <f>IFERROR(VLOOKUP($A4229,原始数据_收盘!$A$4:$G$3460,4,0),"")</f>
        <v/>
      </c>
      <c r="E4229" t="str">
        <f>IFERROR(VLOOKUP($A4229,原始数据_收盘!$A$4:$G$3460,5,0),"")</f>
        <v/>
      </c>
      <c r="F4229" t="str">
        <f>IFERROR(VLOOKUP($A4229,原始数据_收盘!$A$4:$G$3460,6,0),"")</f>
        <v/>
      </c>
      <c r="G4229" t="str">
        <f>IFERROR(VLOOKUP($A4229,原始数据_收盘!$A$4:$G$3460,7,0),"")</f>
        <v/>
      </c>
      <c r="H4229" t="str">
        <f>IFERROR(VLOOKUP($A4229,原始数据_利率互换_FR007_1年!$A$6:$C$4395,2,0),"")</f>
        <v/>
      </c>
      <c r="I4229" t="str">
        <f>IFERROR(VLOOKUP($A4229,原始数据_利率互换_FR007_1年!$A$6:$C$4395,3,0),"")</f>
        <v/>
      </c>
    </row>
    <row r="4230" spans="1:9">
      <c r="A4230" s="6">
        <v>43723</v>
      </c>
      <c r="B4230" t="str">
        <f>IFERROR(VLOOKUP($A4230,原始数据_收盘!$A$4:$G$3460,2,0),"")</f>
        <v/>
      </c>
      <c r="C4230" t="str">
        <f>IFERROR(VLOOKUP($A4230,原始数据_收盘!$A$4:$G$3460,3,0),"")</f>
        <v/>
      </c>
      <c r="D4230" t="str">
        <f>IFERROR(VLOOKUP($A4230,原始数据_收盘!$A$4:$G$3460,4,0),"")</f>
        <v/>
      </c>
      <c r="E4230" t="str">
        <f>IFERROR(VLOOKUP($A4230,原始数据_收盘!$A$4:$G$3460,5,0),"")</f>
        <v/>
      </c>
      <c r="F4230" t="str">
        <f>IFERROR(VLOOKUP($A4230,原始数据_收盘!$A$4:$G$3460,6,0),"")</f>
        <v/>
      </c>
      <c r="G4230" t="str">
        <f>IFERROR(VLOOKUP($A4230,原始数据_收盘!$A$4:$G$3460,7,0),"")</f>
        <v/>
      </c>
      <c r="H4230" t="str">
        <f>IFERROR(VLOOKUP($A4230,原始数据_利率互换_FR007_1年!$A$6:$C$4395,2,0),"")</f>
        <v/>
      </c>
      <c r="I4230" t="str">
        <f>IFERROR(VLOOKUP($A4230,原始数据_利率互换_FR007_1年!$A$6:$C$4395,3,0),"")</f>
        <v/>
      </c>
    </row>
    <row r="4231" spans="1:9">
      <c r="A4231" s="6">
        <v>43724</v>
      </c>
      <c r="B4231">
        <f>IFERROR(VLOOKUP($A4231,原始数据_收盘!$A$4:$G$3460,2,0),"")</f>
        <v>2.6625</v>
      </c>
      <c r="C4231">
        <f>IFERROR(VLOOKUP($A4231,原始数据_收盘!$A$4:$G$3460,3,0),"")</f>
        <v>2.8975</v>
      </c>
      <c r="D4231">
        <f>IFERROR(VLOOKUP($A4231,原始数据_收盘!$A$4:$G$3460,4,0),"")</f>
        <v>2.6675</v>
      </c>
      <c r="E4231">
        <f>IFERROR(VLOOKUP($A4231,原始数据_收盘!$A$4:$G$3460,5,0),"")</f>
        <v>2.9025</v>
      </c>
      <c r="F4231">
        <f>IFERROR(VLOOKUP($A4231,原始数据_收盘!$A$4:$G$3460,6,0),"")</f>
        <v>2.665</v>
      </c>
      <c r="G4231">
        <f>IFERROR(VLOOKUP($A4231,原始数据_收盘!$A$4:$G$3460,7,0),"")</f>
        <v>2.9</v>
      </c>
      <c r="H4231">
        <f>IFERROR(VLOOKUP($A4231,原始数据_利率互换_FR007_1年!$A$6:$C$4395,2,0),"")</f>
        <v>2.667</v>
      </c>
      <c r="I4231">
        <f>IFERROR(VLOOKUP($A4231,原始数据_利率互换_FR007_1年!$A$6:$C$4395,3,0),"")</f>
        <v>2.9028</v>
      </c>
    </row>
    <row r="4232" spans="1:9">
      <c r="A4232" s="6">
        <v>43725</v>
      </c>
      <c r="B4232">
        <f>IFERROR(VLOOKUP($A4232,原始数据_收盘!$A$4:$G$3460,2,0),"")</f>
        <v>2.6869</v>
      </c>
      <c r="C4232">
        <f>IFERROR(VLOOKUP($A4232,原始数据_收盘!$A$4:$G$3460,3,0),"")</f>
        <v>2.9217</v>
      </c>
      <c r="D4232">
        <f>IFERROR(VLOOKUP($A4232,原始数据_收盘!$A$4:$G$3460,4,0),"")</f>
        <v>2.6894</v>
      </c>
      <c r="E4232">
        <f>IFERROR(VLOOKUP($A4232,原始数据_收盘!$A$4:$G$3460,5,0),"")</f>
        <v>2.9242</v>
      </c>
      <c r="F4232">
        <f>IFERROR(VLOOKUP($A4232,原始数据_收盘!$A$4:$G$3460,6,0),"")</f>
        <v>2.6881</v>
      </c>
      <c r="G4232">
        <f>IFERROR(VLOOKUP($A4232,原始数据_收盘!$A$4:$G$3460,7,0),"")</f>
        <v>2.923</v>
      </c>
      <c r="H4232">
        <f>IFERROR(VLOOKUP($A4232,原始数据_利率互换_FR007_1年!$A$6:$C$4395,2,0),"")</f>
        <v>2.6724</v>
      </c>
      <c r="I4232">
        <f>IFERROR(VLOOKUP($A4232,原始数据_利率互换_FR007_1年!$A$6:$C$4395,3,0),"")</f>
        <v>2.9032</v>
      </c>
    </row>
    <row r="4233" spans="1:9">
      <c r="A4233" s="6">
        <v>43726</v>
      </c>
      <c r="B4233">
        <f>IFERROR(VLOOKUP($A4233,原始数据_收盘!$A$4:$G$3460,2,0),"")</f>
        <v>2.72</v>
      </c>
      <c r="C4233">
        <f>IFERROR(VLOOKUP($A4233,原始数据_收盘!$A$4:$G$3460,3,0),"")</f>
        <v>2.964</v>
      </c>
      <c r="D4233">
        <f>IFERROR(VLOOKUP($A4233,原始数据_收盘!$A$4:$G$3460,4,0),"")</f>
        <v>2.7241</v>
      </c>
      <c r="E4233">
        <f>IFERROR(VLOOKUP($A4233,原始数据_收盘!$A$4:$G$3460,5,0),"")</f>
        <v>2.9675</v>
      </c>
      <c r="F4233">
        <f>IFERROR(VLOOKUP($A4233,原始数据_收盘!$A$4:$G$3460,6,0),"")</f>
        <v>2.7221</v>
      </c>
      <c r="G4233">
        <f>IFERROR(VLOOKUP($A4233,原始数据_收盘!$A$4:$G$3460,7,0),"")</f>
        <v>2.9658</v>
      </c>
      <c r="H4233">
        <f>IFERROR(VLOOKUP($A4233,原始数据_利率互换_FR007_1年!$A$6:$C$4395,2,0),"")</f>
        <v>2.7045</v>
      </c>
      <c r="I4233">
        <f>IFERROR(VLOOKUP($A4233,原始数据_利率互换_FR007_1年!$A$6:$C$4395,3,0),"")</f>
        <v>2.947</v>
      </c>
    </row>
    <row r="4234" spans="1:9">
      <c r="A4234" s="6">
        <v>43727</v>
      </c>
      <c r="B4234">
        <f>IFERROR(VLOOKUP($A4234,原始数据_收盘!$A$4:$G$3460,2,0),"")</f>
        <v>2.695</v>
      </c>
      <c r="C4234">
        <f>IFERROR(VLOOKUP($A4234,原始数据_收盘!$A$4:$G$3460,3,0),"")</f>
        <v>2.936</v>
      </c>
      <c r="D4234">
        <f>IFERROR(VLOOKUP($A4234,原始数据_收盘!$A$4:$G$3460,4,0),"")</f>
        <v>2.7</v>
      </c>
      <c r="E4234">
        <f>IFERROR(VLOOKUP($A4234,原始数据_收盘!$A$4:$G$3460,5,0),"")</f>
        <v>2.9387</v>
      </c>
      <c r="F4234">
        <f>IFERROR(VLOOKUP($A4234,原始数据_收盘!$A$4:$G$3460,6,0),"")</f>
        <v>2.6975</v>
      </c>
      <c r="G4234">
        <f>IFERROR(VLOOKUP($A4234,原始数据_收盘!$A$4:$G$3460,7,0),"")</f>
        <v>2.9373</v>
      </c>
      <c r="H4234">
        <f>IFERROR(VLOOKUP($A4234,原始数据_利率互换_FR007_1年!$A$6:$C$4395,2,0),"")</f>
        <v>2.6996</v>
      </c>
      <c r="I4234">
        <f>IFERROR(VLOOKUP($A4234,原始数据_利率互换_FR007_1年!$A$6:$C$4395,3,0),"")</f>
        <v>2.9451</v>
      </c>
    </row>
    <row r="4235" spans="1:9">
      <c r="A4235" s="6">
        <v>43728</v>
      </c>
      <c r="B4235">
        <f>IFERROR(VLOOKUP($A4235,原始数据_收盘!$A$4:$G$3460,2,0),"")</f>
        <v>2.6972</v>
      </c>
      <c r="C4235">
        <f>IFERROR(VLOOKUP($A4235,原始数据_收盘!$A$4:$G$3460,3,0),"")</f>
        <v>2.9261</v>
      </c>
      <c r="D4235">
        <f>IFERROR(VLOOKUP($A4235,原始数据_收盘!$A$4:$G$3460,4,0),"")</f>
        <v>2.7038</v>
      </c>
      <c r="E4235">
        <f>IFERROR(VLOOKUP($A4235,原始数据_收盘!$A$4:$G$3460,5,0),"")</f>
        <v>2.9286</v>
      </c>
      <c r="F4235">
        <f>IFERROR(VLOOKUP($A4235,原始数据_收盘!$A$4:$G$3460,6,0),"")</f>
        <v>2.7005</v>
      </c>
      <c r="G4235">
        <f>IFERROR(VLOOKUP($A4235,原始数据_收盘!$A$4:$G$3460,7,0),"")</f>
        <v>2.9273</v>
      </c>
      <c r="H4235">
        <f>IFERROR(VLOOKUP($A4235,原始数据_利率互换_FR007_1年!$A$6:$C$4395,2,0),"")</f>
        <v>2.7058</v>
      </c>
      <c r="I4235">
        <f>IFERROR(VLOOKUP($A4235,原始数据_利率互换_FR007_1年!$A$6:$C$4395,3,0),"")</f>
        <v>2.9388</v>
      </c>
    </row>
    <row r="4236" spans="1:9">
      <c r="A4236" s="6">
        <v>43729</v>
      </c>
      <c r="B4236" t="str">
        <f>IFERROR(VLOOKUP($A4236,原始数据_收盘!$A$4:$G$3460,2,0),"")</f>
        <v/>
      </c>
      <c r="C4236" t="str">
        <f>IFERROR(VLOOKUP($A4236,原始数据_收盘!$A$4:$G$3460,3,0),"")</f>
        <v/>
      </c>
      <c r="D4236" t="str">
        <f>IFERROR(VLOOKUP($A4236,原始数据_收盘!$A$4:$G$3460,4,0),"")</f>
        <v/>
      </c>
      <c r="E4236" t="str">
        <f>IFERROR(VLOOKUP($A4236,原始数据_收盘!$A$4:$G$3460,5,0),"")</f>
        <v/>
      </c>
      <c r="F4236" t="str">
        <f>IFERROR(VLOOKUP($A4236,原始数据_收盘!$A$4:$G$3460,6,0),"")</f>
        <v/>
      </c>
      <c r="G4236" t="str">
        <f>IFERROR(VLOOKUP($A4236,原始数据_收盘!$A$4:$G$3460,7,0),"")</f>
        <v/>
      </c>
      <c r="H4236" t="str">
        <f>IFERROR(VLOOKUP($A4236,原始数据_利率互换_FR007_1年!$A$6:$C$4395,2,0),"")</f>
        <v/>
      </c>
      <c r="I4236" t="str">
        <f>IFERROR(VLOOKUP($A4236,原始数据_利率互换_FR007_1年!$A$6:$C$4395,3,0),"")</f>
        <v/>
      </c>
    </row>
    <row r="4237" spans="1:9">
      <c r="A4237" s="6">
        <v>43730</v>
      </c>
      <c r="B4237" t="str">
        <f>IFERROR(VLOOKUP($A4237,原始数据_收盘!$A$4:$G$3460,2,0),"")</f>
        <v/>
      </c>
      <c r="C4237" t="str">
        <f>IFERROR(VLOOKUP($A4237,原始数据_收盘!$A$4:$G$3460,3,0),"")</f>
        <v/>
      </c>
      <c r="D4237" t="str">
        <f>IFERROR(VLOOKUP($A4237,原始数据_收盘!$A$4:$G$3460,4,0),"")</f>
        <v/>
      </c>
      <c r="E4237" t="str">
        <f>IFERROR(VLOOKUP($A4237,原始数据_收盘!$A$4:$G$3460,5,0),"")</f>
        <v/>
      </c>
      <c r="F4237" t="str">
        <f>IFERROR(VLOOKUP($A4237,原始数据_收盘!$A$4:$G$3460,6,0),"")</f>
        <v/>
      </c>
      <c r="G4237" t="str">
        <f>IFERROR(VLOOKUP($A4237,原始数据_收盘!$A$4:$G$3460,7,0),"")</f>
        <v/>
      </c>
      <c r="H4237" t="str">
        <f>IFERROR(VLOOKUP($A4237,原始数据_利率互换_FR007_1年!$A$6:$C$4395,2,0),"")</f>
        <v/>
      </c>
      <c r="I4237" t="str">
        <f>IFERROR(VLOOKUP($A4237,原始数据_利率互换_FR007_1年!$A$6:$C$4395,3,0),"")</f>
        <v/>
      </c>
    </row>
    <row r="4238" spans="1:9">
      <c r="A4238" s="6">
        <v>43731</v>
      </c>
      <c r="B4238">
        <f>IFERROR(VLOOKUP($A4238,原始数据_收盘!$A$4:$G$3460,2,0),"")</f>
        <v>2.7032</v>
      </c>
      <c r="C4238">
        <f>IFERROR(VLOOKUP($A4238,原始数据_收盘!$A$4:$G$3460,3,0),"")</f>
        <v>2.9317</v>
      </c>
      <c r="D4238">
        <f>IFERROR(VLOOKUP($A4238,原始数据_收盘!$A$4:$G$3460,4,0),"")</f>
        <v>2.7058</v>
      </c>
      <c r="E4238">
        <f>IFERROR(VLOOKUP($A4238,原始数据_收盘!$A$4:$G$3460,5,0),"")</f>
        <v>2.935</v>
      </c>
      <c r="F4238">
        <f>IFERROR(VLOOKUP($A4238,原始数据_收盘!$A$4:$G$3460,6,0),"")</f>
        <v>2.7045</v>
      </c>
      <c r="G4238">
        <f>IFERROR(VLOOKUP($A4238,原始数据_收盘!$A$4:$G$3460,7,0),"")</f>
        <v>2.9333</v>
      </c>
      <c r="H4238">
        <f>IFERROR(VLOOKUP($A4238,原始数据_利率互换_FR007_1年!$A$6:$C$4395,2,0),"")</f>
        <v>2.7036</v>
      </c>
      <c r="I4238">
        <f>IFERROR(VLOOKUP($A4238,原始数据_利率互换_FR007_1年!$A$6:$C$4395,3,0),"")</f>
        <v>2.9343</v>
      </c>
    </row>
    <row r="4239" spans="1:9">
      <c r="A4239" s="6">
        <v>43732</v>
      </c>
      <c r="B4239">
        <f>IFERROR(VLOOKUP($A4239,原始数据_收盘!$A$4:$G$3460,2,0),"")</f>
        <v>2.7</v>
      </c>
      <c r="C4239">
        <f>IFERROR(VLOOKUP($A4239,原始数据_收盘!$A$4:$G$3460,3,0),"")</f>
        <v>2.9425</v>
      </c>
      <c r="D4239">
        <f>IFERROR(VLOOKUP($A4239,原始数据_收盘!$A$4:$G$3460,4,0),"")</f>
        <v>2.7025</v>
      </c>
      <c r="E4239">
        <f>IFERROR(VLOOKUP($A4239,原始数据_收盘!$A$4:$G$3460,5,0),"")</f>
        <v>2.945</v>
      </c>
      <c r="F4239">
        <f>IFERROR(VLOOKUP($A4239,原始数据_收盘!$A$4:$G$3460,6,0),"")</f>
        <v>2.7013</v>
      </c>
      <c r="G4239">
        <f>IFERROR(VLOOKUP($A4239,原始数据_收盘!$A$4:$G$3460,7,0),"")</f>
        <v>2.9438</v>
      </c>
      <c r="H4239">
        <f>IFERROR(VLOOKUP($A4239,原始数据_利率互换_FR007_1年!$A$6:$C$4395,2,0),"")</f>
        <v>2.6929</v>
      </c>
      <c r="I4239">
        <f>IFERROR(VLOOKUP($A4239,原始数据_利率互换_FR007_1年!$A$6:$C$4395,3,0),"")</f>
        <v>2.9268</v>
      </c>
    </row>
    <row r="4240" spans="1:9">
      <c r="A4240" s="6">
        <v>43733</v>
      </c>
      <c r="B4240">
        <f>IFERROR(VLOOKUP($A4240,原始数据_收盘!$A$4:$G$3460,2,0),"")</f>
        <v>2.6875</v>
      </c>
      <c r="C4240">
        <f>IFERROR(VLOOKUP($A4240,原始数据_收盘!$A$4:$G$3460,3,0),"")</f>
        <v>2.93</v>
      </c>
      <c r="D4240">
        <f>IFERROR(VLOOKUP($A4240,原始数据_收盘!$A$4:$G$3460,4,0),"")</f>
        <v>2.69</v>
      </c>
      <c r="E4240">
        <f>IFERROR(VLOOKUP($A4240,原始数据_收盘!$A$4:$G$3460,5,0),"")</f>
        <v>2.9326</v>
      </c>
      <c r="F4240">
        <f>IFERROR(VLOOKUP($A4240,原始数据_收盘!$A$4:$G$3460,6,0),"")</f>
        <v>2.6888</v>
      </c>
      <c r="G4240">
        <f>IFERROR(VLOOKUP($A4240,原始数据_收盘!$A$4:$G$3460,7,0),"")</f>
        <v>2.9313</v>
      </c>
      <c r="H4240">
        <f>IFERROR(VLOOKUP($A4240,原始数据_利率互换_FR007_1年!$A$6:$C$4395,2,0),"")</f>
        <v>2.6936</v>
      </c>
      <c r="I4240">
        <f>IFERROR(VLOOKUP($A4240,原始数据_利率互换_FR007_1年!$A$6:$C$4395,3,0),"")</f>
        <v>2.9373</v>
      </c>
    </row>
    <row r="4241" spans="1:9">
      <c r="A4241" s="6">
        <v>43734</v>
      </c>
      <c r="B4241">
        <f>IFERROR(VLOOKUP($A4241,原始数据_收盘!$A$4:$G$3460,2,0),"")</f>
        <v>2.6925</v>
      </c>
      <c r="C4241">
        <f>IFERROR(VLOOKUP($A4241,原始数据_收盘!$A$4:$G$3460,3,0),"")</f>
        <v>2.9527</v>
      </c>
      <c r="D4241">
        <f>IFERROR(VLOOKUP($A4241,原始数据_收盘!$A$4:$G$3460,4,0),"")</f>
        <v>2.6957</v>
      </c>
      <c r="E4241">
        <f>IFERROR(VLOOKUP($A4241,原始数据_收盘!$A$4:$G$3460,5,0),"")</f>
        <v>2.9556</v>
      </c>
      <c r="F4241">
        <f>IFERROR(VLOOKUP($A4241,原始数据_收盘!$A$4:$G$3460,6,0),"")</f>
        <v>2.6941</v>
      </c>
      <c r="G4241">
        <f>IFERROR(VLOOKUP($A4241,原始数据_收盘!$A$4:$G$3460,7,0),"")</f>
        <v>2.9542</v>
      </c>
      <c r="H4241">
        <f>IFERROR(VLOOKUP($A4241,原始数据_利率互换_FR007_1年!$A$6:$C$4395,2,0),"")</f>
        <v>2.6899</v>
      </c>
      <c r="I4241">
        <f>IFERROR(VLOOKUP($A4241,原始数据_利率互换_FR007_1年!$A$6:$C$4395,3,0),"")</f>
        <v>2.9423</v>
      </c>
    </row>
    <row r="4242" spans="1:9">
      <c r="A4242" s="6">
        <v>43735</v>
      </c>
      <c r="B4242">
        <f>IFERROR(VLOOKUP($A4242,原始数据_收盘!$A$4:$G$3460,2,0),"")</f>
        <v>2.69</v>
      </c>
      <c r="C4242">
        <f>IFERROR(VLOOKUP($A4242,原始数据_收盘!$A$4:$G$3460,3,0),"")</f>
        <v>2.9617</v>
      </c>
      <c r="D4242">
        <f>IFERROR(VLOOKUP($A4242,原始数据_收盘!$A$4:$G$3460,4,0),"")</f>
        <v>2.6975</v>
      </c>
      <c r="E4242">
        <f>IFERROR(VLOOKUP($A4242,原始数据_收盘!$A$4:$G$3460,5,0),"")</f>
        <v>2.965</v>
      </c>
      <c r="F4242">
        <f>IFERROR(VLOOKUP($A4242,原始数据_收盘!$A$4:$G$3460,6,0),"")</f>
        <v>2.6938</v>
      </c>
      <c r="G4242">
        <f>IFERROR(VLOOKUP($A4242,原始数据_收盘!$A$4:$G$3460,7,0),"")</f>
        <v>2.9633</v>
      </c>
      <c r="H4242">
        <f>IFERROR(VLOOKUP($A4242,原始数据_利率互换_FR007_1年!$A$6:$C$4395,2,0),"")</f>
        <v>2.6908</v>
      </c>
      <c r="I4242">
        <f>IFERROR(VLOOKUP($A4242,原始数据_利率互换_FR007_1年!$A$6:$C$4395,3,0),"")</f>
        <v>2.9512</v>
      </c>
    </row>
    <row r="4243" spans="1:9">
      <c r="A4243" s="6">
        <v>43736</v>
      </c>
      <c r="B4243" t="str">
        <f>IFERROR(VLOOKUP($A4243,原始数据_收盘!$A$4:$G$3460,2,0),"")</f>
        <v/>
      </c>
      <c r="C4243" t="str">
        <f>IFERROR(VLOOKUP($A4243,原始数据_收盘!$A$4:$G$3460,3,0),"")</f>
        <v/>
      </c>
      <c r="D4243" t="str">
        <f>IFERROR(VLOOKUP($A4243,原始数据_收盘!$A$4:$G$3460,4,0),"")</f>
        <v/>
      </c>
      <c r="E4243" t="str">
        <f>IFERROR(VLOOKUP($A4243,原始数据_收盘!$A$4:$G$3460,5,0),"")</f>
        <v/>
      </c>
      <c r="F4243" t="str">
        <f>IFERROR(VLOOKUP($A4243,原始数据_收盘!$A$4:$G$3460,6,0),"")</f>
        <v/>
      </c>
      <c r="G4243" t="str">
        <f>IFERROR(VLOOKUP($A4243,原始数据_收盘!$A$4:$G$3460,7,0),"")</f>
        <v/>
      </c>
      <c r="H4243" t="str">
        <f>IFERROR(VLOOKUP($A4243,原始数据_利率互换_FR007_1年!$A$6:$C$4395,2,0),"")</f>
        <v/>
      </c>
      <c r="I4243" t="str">
        <f>IFERROR(VLOOKUP($A4243,原始数据_利率互换_FR007_1年!$A$6:$C$4395,3,0),"")</f>
        <v/>
      </c>
    </row>
    <row r="4244" spans="1:9">
      <c r="A4244" s="6">
        <v>43737</v>
      </c>
      <c r="B4244">
        <f>IFERROR(VLOOKUP($A4244,原始数据_收盘!$A$4:$G$3460,2,0),"")</f>
        <v>2.68</v>
      </c>
      <c r="C4244">
        <f>IFERROR(VLOOKUP($A4244,原始数据_收盘!$A$4:$G$3460,3,0),"")</f>
        <v>2.96</v>
      </c>
      <c r="D4244">
        <f>IFERROR(VLOOKUP($A4244,原始数据_收盘!$A$4:$G$3460,4,0),"")</f>
        <v>2.705</v>
      </c>
      <c r="E4244">
        <f>IFERROR(VLOOKUP($A4244,原始数据_收盘!$A$4:$G$3460,5,0),"")</f>
        <v>2.9675</v>
      </c>
      <c r="F4244">
        <f>IFERROR(VLOOKUP($A4244,原始数据_收盘!$A$4:$G$3460,6,0),"")</f>
        <v>2.6925</v>
      </c>
      <c r="G4244">
        <f>IFERROR(VLOOKUP($A4244,原始数据_收盘!$A$4:$G$3460,7,0),"")</f>
        <v>2.9638</v>
      </c>
      <c r="H4244">
        <f>IFERROR(VLOOKUP($A4244,原始数据_利率互换_FR007_1年!$A$6:$C$4395,2,0),"")</f>
        <v>0</v>
      </c>
      <c r="I4244">
        <f>IFERROR(VLOOKUP($A4244,原始数据_利率互换_FR007_1年!$A$6:$C$4395,3,0),"")</f>
        <v>2.9625</v>
      </c>
    </row>
    <row r="4245" spans="1:9">
      <c r="A4245" s="6">
        <v>43738</v>
      </c>
      <c r="B4245">
        <f>IFERROR(VLOOKUP($A4245,原始数据_收盘!$A$4:$G$3460,2,0),"")</f>
        <v>2.705</v>
      </c>
      <c r="C4245">
        <f>IFERROR(VLOOKUP($A4245,原始数据_收盘!$A$4:$G$3460,3,0),"")</f>
        <v>2.9557</v>
      </c>
      <c r="D4245">
        <f>IFERROR(VLOOKUP($A4245,原始数据_收盘!$A$4:$G$3460,4,0),"")</f>
        <v>2.71</v>
      </c>
      <c r="E4245">
        <f>IFERROR(VLOOKUP($A4245,原始数据_收盘!$A$4:$G$3460,5,0),"")</f>
        <v>2.965</v>
      </c>
      <c r="F4245">
        <f>IFERROR(VLOOKUP($A4245,原始数据_收盘!$A$4:$G$3460,6,0),"")</f>
        <v>2.7075</v>
      </c>
      <c r="G4245">
        <f>IFERROR(VLOOKUP($A4245,原始数据_收盘!$A$4:$G$3460,7,0),"")</f>
        <v>2.9603</v>
      </c>
      <c r="H4245">
        <f>IFERROR(VLOOKUP($A4245,原始数据_利率互换_FR007_1年!$A$6:$C$4395,2,0),"")</f>
        <v>2.7074</v>
      </c>
      <c r="I4245">
        <f>IFERROR(VLOOKUP($A4245,原始数据_利率互换_FR007_1年!$A$6:$C$4395,3,0),"")</f>
        <v>2.9766</v>
      </c>
    </row>
    <row r="4246" spans="1:9">
      <c r="A4246" s="6">
        <v>43739</v>
      </c>
      <c r="B4246" t="str">
        <f>IFERROR(VLOOKUP($A4246,原始数据_收盘!$A$4:$G$3460,2,0),"")</f>
        <v/>
      </c>
      <c r="C4246" t="str">
        <f>IFERROR(VLOOKUP($A4246,原始数据_收盘!$A$4:$G$3460,3,0),"")</f>
        <v/>
      </c>
      <c r="D4246" t="str">
        <f>IFERROR(VLOOKUP($A4246,原始数据_收盘!$A$4:$G$3460,4,0),"")</f>
        <v/>
      </c>
      <c r="E4246" t="str">
        <f>IFERROR(VLOOKUP($A4246,原始数据_收盘!$A$4:$G$3460,5,0),"")</f>
        <v/>
      </c>
      <c r="F4246" t="str">
        <f>IFERROR(VLOOKUP($A4246,原始数据_收盘!$A$4:$G$3460,6,0),"")</f>
        <v/>
      </c>
      <c r="G4246" t="str">
        <f>IFERROR(VLOOKUP($A4246,原始数据_收盘!$A$4:$G$3460,7,0),"")</f>
        <v/>
      </c>
      <c r="H4246" t="str">
        <f>IFERROR(VLOOKUP($A4246,原始数据_利率互换_FR007_1年!$A$6:$C$4395,2,0),"")</f>
        <v/>
      </c>
      <c r="I4246" t="str">
        <f>IFERROR(VLOOKUP($A4246,原始数据_利率互换_FR007_1年!$A$6:$C$4395,3,0),"")</f>
        <v/>
      </c>
    </row>
    <row r="4247" spans="1:9">
      <c r="A4247" s="6">
        <v>43740</v>
      </c>
      <c r="B4247" t="str">
        <f>IFERROR(VLOOKUP($A4247,原始数据_收盘!$A$4:$G$3460,2,0),"")</f>
        <v/>
      </c>
      <c r="C4247" t="str">
        <f>IFERROR(VLOOKUP($A4247,原始数据_收盘!$A$4:$G$3460,3,0),"")</f>
        <v/>
      </c>
      <c r="D4247" t="str">
        <f>IFERROR(VLOOKUP($A4247,原始数据_收盘!$A$4:$G$3460,4,0),"")</f>
        <v/>
      </c>
      <c r="E4247" t="str">
        <f>IFERROR(VLOOKUP($A4247,原始数据_收盘!$A$4:$G$3460,5,0),"")</f>
        <v/>
      </c>
      <c r="F4247" t="str">
        <f>IFERROR(VLOOKUP($A4247,原始数据_收盘!$A$4:$G$3460,6,0),"")</f>
        <v/>
      </c>
      <c r="G4247" t="str">
        <f>IFERROR(VLOOKUP($A4247,原始数据_收盘!$A$4:$G$3460,7,0),"")</f>
        <v/>
      </c>
      <c r="H4247" t="str">
        <f>IFERROR(VLOOKUP($A4247,原始数据_利率互换_FR007_1年!$A$6:$C$4395,2,0),"")</f>
        <v/>
      </c>
      <c r="I4247" t="str">
        <f>IFERROR(VLOOKUP($A4247,原始数据_利率互换_FR007_1年!$A$6:$C$4395,3,0),"")</f>
        <v/>
      </c>
    </row>
    <row r="4248" spans="1:9">
      <c r="A4248" s="6">
        <v>43741</v>
      </c>
      <c r="B4248" t="str">
        <f>IFERROR(VLOOKUP($A4248,原始数据_收盘!$A$4:$G$3460,2,0),"")</f>
        <v/>
      </c>
      <c r="C4248" t="str">
        <f>IFERROR(VLOOKUP($A4248,原始数据_收盘!$A$4:$G$3460,3,0),"")</f>
        <v/>
      </c>
      <c r="D4248" t="str">
        <f>IFERROR(VLOOKUP($A4248,原始数据_收盘!$A$4:$G$3460,4,0),"")</f>
        <v/>
      </c>
      <c r="E4248" t="str">
        <f>IFERROR(VLOOKUP($A4248,原始数据_收盘!$A$4:$G$3460,5,0),"")</f>
        <v/>
      </c>
      <c r="F4248" t="str">
        <f>IFERROR(VLOOKUP($A4248,原始数据_收盘!$A$4:$G$3460,6,0),"")</f>
        <v/>
      </c>
      <c r="G4248" t="str">
        <f>IFERROR(VLOOKUP($A4248,原始数据_收盘!$A$4:$G$3460,7,0),"")</f>
        <v/>
      </c>
      <c r="H4248" t="str">
        <f>IFERROR(VLOOKUP($A4248,原始数据_利率互换_FR007_1年!$A$6:$C$4395,2,0),"")</f>
        <v/>
      </c>
      <c r="I4248" t="str">
        <f>IFERROR(VLOOKUP($A4248,原始数据_利率互换_FR007_1年!$A$6:$C$4395,3,0),"")</f>
        <v/>
      </c>
    </row>
    <row r="4249" spans="1:9">
      <c r="A4249" s="6">
        <v>43742</v>
      </c>
      <c r="B4249" t="str">
        <f>IFERROR(VLOOKUP($A4249,原始数据_收盘!$A$4:$G$3460,2,0),"")</f>
        <v/>
      </c>
      <c r="C4249" t="str">
        <f>IFERROR(VLOOKUP($A4249,原始数据_收盘!$A$4:$G$3460,3,0),"")</f>
        <v/>
      </c>
      <c r="D4249" t="str">
        <f>IFERROR(VLOOKUP($A4249,原始数据_收盘!$A$4:$G$3460,4,0),"")</f>
        <v/>
      </c>
      <c r="E4249" t="str">
        <f>IFERROR(VLOOKUP($A4249,原始数据_收盘!$A$4:$G$3460,5,0),"")</f>
        <v/>
      </c>
      <c r="F4249" t="str">
        <f>IFERROR(VLOOKUP($A4249,原始数据_收盘!$A$4:$G$3460,6,0),"")</f>
        <v/>
      </c>
      <c r="G4249" t="str">
        <f>IFERROR(VLOOKUP($A4249,原始数据_收盘!$A$4:$G$3460,7,0),"")</f>
        <v/>
      </c>
      <c r="H4249" t="str">
        <f>IFERROR(VLOOKUP($A4249,原始数据_利率互换_FR007_1年!$A$6:$C$4395,2,0),"")</f>
        <v/>
      </c>
      <c r="I4249" t="str">
        <f>IFERROR(VLOOKUP($A4249,原始数据_利率互换_FR007_1年!$A$6:$C$4395,3,0),"")</f>
        <v/>
      </c>
    </row>
    <row r="4250" spans="1:9">
      <c r="A4250" s="6">
        <v>43743</v>
      </c>
      <c r="B4250" t="str">
        <f>IFERROR(VLOOKUP($A4250,原始数据_收盘!$A$4:$G$3460,2,0),"")</f>
        <v/>
      </c>
      <c r="C4250" t="str">
        <f>IFERROR(VLOOKUP($A4250,原始数据_收盘!$A$4:$G$3460,3,0),"")</f>
        <v/>
      </c>
      <c r="D4250" t="str">
        <f>IFERROR(VLOOKUP($A4250,原始数据_收盘!$A$4:$G$3460,4,0),"")</f>
        <v/>
      </c>
      <c r="E4250" t="str">
        <f>IFERROR(VLOOKUP($A4250,原始数据_收盘!$A$4:$G$3460,5,0),"")</f>
        <v/>
      </c>
      <c r="F4250" t="str">
        <f>IFERROR(VLOOKUP($A4250,原始数据_收盘!$A$4:$G$3460,6,0),"")</f>
        <v/>
      </c>
      <c r="G4250" t="str">
        <f>IFERROR(VLOOKUP($A4250,原始数据_收盘!$A$4:$G$3460,7,0),"")</f>
        <v/>
      </c>
      <c r="H4250" t="str">
        <f>IFERROR(VLOOKUP($A4250,原始数据_利率互换_FR007_1年!$A$6:$C$4395,2,0),"")</f>
        <v/>
      </c>
      <c r="I4250" t="str">
        <f>IFERROR(VLOOKUP($A4250,原始数据_利率互换_FR007_1年!$A$6:$C$4395,3,0),"")</f>
        <v/>
      </c>
    </row>
    <row r="4251" spans="1:9">
      <c r="A4251" s="6">
        <v>43744</v>
      </c>
      <c r="B4251" t="str">
        <f>IFERROR(VLOOKUP($A4251,原始数据_收盘!$A$4:$G$3460,2,0),"")</f>
        <v/>
      </c>
      <c r="C4251" t="str">
        <f>IFERROR(VLOOKUP($A4251,原始数据_收盘!$A$4:$G$3460,3,0),"")</f>
        <v/>
      </c>
      <c r="D4251" t="str">
        <f>IFERROR(VLOOKUP($A4251,原始数据_收盘!$A$4:$G$3460,4,0),"")</f>
        <v/>
      </c>
      <c r="E4251" t="str">
        <f>IFERROR(VLOOKUP($A4251,原始数据_收盘!$A$4:$G$3460,5,0),"")</f>
        <v/>
      </c>
      <c r="F4251" t="str">
        <f>IFERROR(VLOOKUP($A4251,原始数据_收盘!$A$4:$G$3460,6,0),"")</f>
        <v/>
      </c>
      <c r="G4251" t="str">
        <f>IFERROR(VLOOKUP($A4251,原始数据_收盘!$A$4:$G$3460,7,0),"")</f>
        <v/>
      </c>
      <c r="H4251" t="str">
        <f>IFERROR(VLOOKUP($A4251,原始数据_利率互换_FR007_1年!$A$6:$C$4395,2,0),"")</f>
        <v/>
      </c>
      <c r="I4251" t="str">
        <f>IFERROR(VLOOKUP($A4251,原始数据_利率互换_FR007_1年!$A$6:$C$4395,3,0),"")</f>
        <v/>
      </c>
    </row>
    <row r="4252" spans="1:9">
      <c r="A4252" s="6">
        <v>43745</v>
      </c>
      <c r="B4252" t="str">
        <f>IFERROR(VLOOKUP($A4252,原始数据_收盘!$A$4:$G$3460,2,0),"")</f>
        <v/>
      </c>
      <c r="C4252" t="str">
        <f>IFERROR(VLOOKUP($A4252,原始数据_收盘!$A$4:$G$3460,3,0),"")</f>
        <v/>
      </c>
      <c r="D4252" t="str">
        <f>IFERROR(VLOOKUP($A4252,原始数据_收盘!$A$4:$G$3460,4,0),"")</f>
        <v/>
      </c>
      <c r="E4252" t="str">
        <f>IFERROR(VLOOKUP($A4252,原始数据_收盘!$A$4:$G$3460,5,0),"")</f>
        <v/>
      </c>
      <c r="F4252" t="str">
        <f>IFERROR(VLOOKUP($A4252,原始数据_收盘!$A$4:$G$3460,6,0),"")</f>
        <v/>
      </c>
      <c r="G4252" t="str">
        <f>IFERROR(VLOOKUP($A4252,原始数据_收盘!$A$4:$G$3460,7,0),"")</f>
        <v/>
      </c>
      <c r="H4252" t="str">
        <f>IFERROR(VLOOKUP($A4252,原始数据_利率互换_FR007_1年!$A$6:$C$4395,2,0),"")</f>
        <v/>
      </c>
      <c r="I4252" t="str">
        <f>IFERROR(VLOOKUP($A4252,原始数据_利率互换_FR007_1年!$A$6:$C$4395,3,0),"")</f>
        <v/>
      </c>
    </row>
    <row r="4253" spans="1:9">
      <c r="A4253" s="6">
        <v>43746</v>
      </c>
      <c r="B4253">
        <f>IFERROR(VLOOKUP($A4253,原始数据_收盘!$A$4:$G$3460,2,0),"")</f>
        <v>2.6825</v>
      </c>
      <c r="C4253">
        <f>IFERROR(VLOOKUP($A4253,原始数据_收盘!$A$4:$G$3460,3,0),"")</f>
        <v>2.925</v>
      </c>
      <c r="D4253">
        <f>IFERROR(VLOOKUP($A4253,原始数据_收盘!$A$4:$G$3460,4,0),"")</f>
        <v>2.6875</v>
      </c>
      <c r="E4253">
        <f>IFERROR(VLOOKUP($A4253,原始数据_收盘!$A$4:$G$3460,5,0),"")</f>
        <v>2.9275</v>
      </c>
      <c r="F4253">
        <f>IFERROR(VLOOKUP($A4253,原始数据_收盘!$A$4:$G$3460,6,0),"")</f>
        <v>2.685</v>
      </c>
      <c r="G4253">
        <f>IFERROR(VLOOKUP($A4253,原始数据_收盘!$A$4:$G$3460,7,0),"")</f>
        <v>2.9263</v>
      </c>
      <c r="H4253">
        <f>IFERROR(VLOOKUP($A4253,原始数据_利率互换_FR007_1年!$A$6:$C$4395,2,0),"")</f>
        <v>2.6883</v>
      </c>
      <c r="I4253">
        <f>IFERROR(VLOOKUP($A4253,原始数据_利率互换_FR007_1年!$A$6:$C$4395,3,0),"")</f>
        <v>2.9363</v>
      </c>
    </row>
    <row r="4254" spans="1:9">
      <c r="A4254" s="6">
        <v>43747</v>
      </c>
      <c r="B4254">
        <f>IFERROR(VLOOKUP($A4254,原始数据_收盘!$A$4:$G$3460,2,0),"")</f>
        <v>2.685</v>
      </c>
      <c r="C4254">
        <f>IFERROR(VLOOKUP($A4254,原始数据_收盘!$A$4:$G$3460,3,0),"")</f>
        <v>2.9246</v>
      </c>
      <c r="D4254">
        <f>IFERROR(VLOOKUP($A4254,原始数据_收盘!$A$4:$G$3460,4,0),"")</f>
        <v>2.6945</v>
      </c>
      <c r="E4254">
        <f>IFERROR(VLOOKUP($A4254,原始数据_收盘!$A$4:$G$3460,5,0),"")</f>
        <v>2.9271</v>
      </c>
      <c r="F4254">
        <f>IFERROR(VLOOKUP($A4254,原始数据_收盘!$A$4:$G$3460,6,0),"")</f>
        <v>2.6898</v>
      </c>
      <c r="G4254">
        <f>IFERROR(VLOOKUP($A4254,原始数据_收盘!$A$4:$G$3460,7,0),"")</f>
        <v>2.9259</v>
      </c>
      <c r="H4254">
        <f>IFERROR(VLOOKUP($A4254,原始数据_利率互换_FR007_1年!$A$6:$C$4395,2,0),"")</f>
        <v>2.6844</v>
      </c>
      <c r="I4254">
        <f>IFERROR(VLOOKUP($A4254,原始数据_利率互换_FR007_1年!$A$6:$C$4395,3,0),"")</f>
        <v>2.9251</v>
      </c>
    </row>
    <row r="4255" spans="1:9">
      <c r="A4255" s="6">
        <v>43748</v>
      </c>
      <c r="B4255">
        <f>IFERROR(VLOOKUP($A4255,原始数据_收盘!$A$4:$G$3460,2,0),"")</f>
        <v>2.695</v>
      </c>
      <c r="C4255">
        <f>IFERROR(VLOOKUP($A4255,原始数据_收盘!$A$4:$G$3460,3,0),"")</f>
        <v>2.9425</v>
      </c>
      <c r="D4255">
        <f>IFERROR(VLOOKUP($A4255,原始数据_收盘!$A$4:$G$3460,4,0),"")</f>
        <v>2.7025</v>
      </c>
      <c r="E4255">
        <f>IFERROR(VLOOKUP($A4255,原始数据_收盘!$A$4:$G$3460,5,0),"")</f>
        <v>2.945</v>
      </c>
      <c r="F4255">
        <f>IFERROR(VLOOKUP($A4255,原始数据_收盘!$A$4:$G$3460,6,0),"")</f>
        <v>2.6988</v>
      </c>
      <c r="G4255">
        <f>IFERROR(VLOOKUP($A4255,原始数据_收盘!$A$4:$G$3460,7,0),"")</f>
        <v>2.9438</v>
      </c>
      <c r="H4255">
        <f>IFERROR(VLOOKUP($A4255,原始数据_利率互换_FR007_1年!$A$6:$C$4395,2,0),"")</f>
        <v>2.6936</v>
      </c>
      <c r="I4255">
        <f>IFERROR(VLOOKUP($A4255,原始数据_利率互换_FR007_1年!$A$6:$C$4395,3,0),"")</f>
        <v>2.942</v>
      </c>
    </row>
    <row r="4256" spans="1:9">
      <c r="A4256" s="6">
        <v>43749</v>
      </c>
      <c r="B4256">
        <f>IFERROR(VLOOKUP($A4256,原始数据_收盘!$A$4:$G$3460,2,0),"")</f>
        <v>2.7</v>
      </c>
      <c r="C4256">
        <f>IFERROR(VLOOKUP($A4256,原始数据_收盘!$A$4:$G$3460,3,0),"")</f>
        <v>2.9659</v>
      </c>
      <c r="D4256">
        <f>IFERROR(VLOOKUP($A4256,原始数据_收盘!$A$4:$G$3460,4,0),"")</f>
        <v>2.705</v>
      </c>
      <c r="E4256">
        <f>IFERROR(VLOOKUP($A4256,原始数据_收盘!$A$4:$G$3460,5,0),"")</f>
        <v>2.97</v>
      </c>
      <c r="F4256">
        <f>IFERROR(VLOOKUP($A4256,原始数据_收盘!$A$4:$G$3460,6,0),"")</f>
        <v>2.7025</v>
      </c>
      <c r="G4256">
        <f>IFERROR(VLOOKUP($A4256,原始数据_收盘!$A$4:$G$3460,7,0),"")</f>
        <v>2.9679</v>
      </c>
      <c r="H4256">
        <f>IFERROR(VLOOKUP($A4256,原始数据_利率互换_FR007_1年!$A$6:$C$4395,2,0),"")</f>
        <v>2.7068</v>
      </c>
      <c r="I4256">
        <f>IFERROR(VLOOKUP($A4256,原始数据_利率互换_FR007_1年!$A$6:$C$4395,3,0),"")</f>
        <v>2.9706</v>
      </c>
    </row>
    <row r="4257" spans="1:9">
      <c r="A4257" s="6">
        <v>43750</v>
      </c>
      <c r="B4257">
        <f>IFERROR(VLOOKUP($A4257,原始数据_收盘!$A$4:$G$3460,2,0),"")</f>
        <v>2.71</v>
      </c>
      <c r="C4257">
        <f>IFERROR(VLOOKUP($A4257,原始数据_收盘!$A$4:$G$3460,3,0),"")</f>
        <v>2.98</v>
      </c>
      <c r="D4257">
        <f>IFERROR(VLOOKUP($A4257,原始数据_收盘!$A$4:$G$3460,4,0),"")</f>
        <v>2.7225</v>
      </c>
      <c r="E4257">
        <f>IFERROR(VLOOKUP($A4257,原始数据_收盘!$A$4:$G$3460,5,0),"")</f>
        <v>2.995</v>
      </c>
      <c r="F4257">
        <f>IFERROR(VLOOKUP($A4257,原始数据_收盘!$A$4:$G$3460,6,0),"")</f>
        <v>2.7163</v>
      </c>
      <c r="G4257">
        <f>IFERROR(VLOOKUP($A4257,原始数据_收盘!$A$4:$G$3460,7,0),"")</f>
        <v>2.9875</v>
      </c>
      <c r="H4257">
        <f>IFERROR(VLOOKUP($A4257,原始数据_利率互换_FR007_1年!$A$6:$C$4395,2,0),"")</f>
        <v>2.7193</v>
      </c>
      <c r="I4257">
        <f>IFERROR(VLOOKUP($A4257,原始数据_利率互换_FR007_1年!$A$6:$C$4395,3,0),"")</f>
        <v>2.98</v>
      </c>
    </row>
    <row r="4258" spans="1:9">
      <c r="A4258" s="6">
        <v>43751</v>
      </c>
      <c r="B4258" t="str">
        <f>IFERROR(VLOOKUP($A4258,原始数据_收盘!$A$4:$G$3460,2,0),"")</f>
        <v/>
      </c>
      <c r="C4258" t="str">
        <f>IFERROR(VLOOKUP($A4258,原始数据_收盘!$A$4:$G$3460,3,0),"")</f>
        <v/>
      </c>
      <c r="D4258" t="str">
        <f>IFERROR(VLOOKUP($A4258,原始数据_收盘!$A$4:$G$3460,4,0),"")</f>
        <v/>
      </c>
      <c r="E4258" t="str">
        <f>IFERROR(VLOOKUP($A4258,原始数据_收盘!$A$4:$G$3460,5,0),"")</f>
        <v/>
      </c>
      <c r="F4258" t="str">
        <f>IFERROR(VLOOKUP($A4258,原始数据_收盘!$A$4:$G$3460,6,0),"")</f>
        <v/>
      </c>
      <c r="G4258" t="str">
        <f>IFERROR(VLOOKUP($A4258,原始数据_收盘!$A$4:$G$3460,7,0),"")</f>
        <v/>
      </c>
      <c r="H4258" t="str">
        <f>IFERROR(VLOOKUP($A4258,原始数据_利率互换_FR007_1年!$A$6:$C$4395,2,0),"")</f>
        <v/>
      </c>
      <c r="I4258" t="str">
        <f>IFERROR(VLOOKUP($A4258,原始数据_利率互换_FR007_1年!$A$6:$C$4395,3,0),"")</f>
        <v/>
      </c>
    </row>
    <row r="4259" spans="1:9">
      <c r="A4259" s="6">
        <v>43752</v>
      </c>
      <c r="B4259">
        <f>IFERROR(VLOOKUP($A4259,原始数据_收盘!$A$4:$G$3460,2,0),"")</f>
        <v>2.7225</v>
      </c>
      <c r="C4259">
        <f>IFERROR(VLOOKUP($A4259,原始数据_收盘!$A$4:$G$3460,3,0),"")</f>
        <v>2.985</v>
      </c>
      <c r="D4259">
        <f>IFERROR(VLOOKUP($A4259,原始数据_收盘!$A$4:$G$3460,4,0),"")</f>
        <v>2.725</v>
      </c>
      <c r="E4259">
        <f>IFERROR(VLOOKUP($A4259,原始数据_收盘!$A$4:$G$3460,5,0),"")</f>
        <v>2.9875</v>
      </c>
      <c r="F4259">
        <f>IFERROR(VLOOKUP($A4259,原始数据_收盘!$A$4:$G$3460,6,0),"")</f>
        <v>2.7238</v>
      </c>
      <c r="G4259">
        <f>IFERROR(VLOOKUP($A4259,原始数据_收盘!$A$4:$G$3460,7,0),"")</f>
        <v>2.9863</v>
      </c>
      <c r="H4259">
        <f>IFERROR(VLOOKUP($A4259,原始数据_利率互换_FR007_1年!$A$6:$C$4395,2,0),"")</f>
        <v>2.726</v>
      </c>
      <c r="I4259">
        <f>IFERROR(VLOOKUP($A4259,原始数据_利率互换_FR007_1年!$A$6:$C$4395,3,0),"")</f>
        <v>2.9936</v>
      </c>
    </row>
    <row r="4260" spans="1:9">
      <c r="A4260" s="6">
        <v>43753</v>
      </c>
      <c r="B4260">
        <f>IFERROR(VLOOKUP($A4260,原始数据_收盘!$A$4:$G$3460,2,0),"")</f>
        <v>2.7374</v>
      </c>
      <c r="C4260">
        <f>IFERROR(VLOOKUP($A4260,原始数据_收盘!$A$4:$G$3460,3,0),"")</f>
        <v>2.995</v>
      </c>
      <c r="D4260">
        <f>IFERROR(VLOOKUP($A4260,原始数据_收盘!$A$4:$G$3460,4,0),"")</f>
        <v>2.74</v>
      </c>
      <c r="E4260">
        <f>IFERROR(VLOOKUP($A4260,原始数据_收盘!$A$4:$G$3460,5,0),"")</f>
        <v>2.9975</v>
      </c>
      <c r="F4260">
        <f>IFERROR(VLOOKUP($A4260,原始数据_收盘!$A$4:$G$3460,6,0),"")</f>
        <v>2.7387</v>
      </c>
      <c r="G4260">
        <f>IFERROR(VLOOKUP($A4260,原始数据_收盘!$A$4:$G$3460,7,0),"")</f>
        <v>2.9963</v>
      </c>
      <c r="H4260">
        <f>IFERROR(VLOOKUP($A4260,原始数据_利率互换_FR007_1年!$A$6:$C$4395,2,0),"")</f>
        <v>2.7335</v>
      </c>
      <c r="I4260">
        <f>IFERROR(VLOOKUP($A4260,原始数据_利率互换_FR007_1年!$A$6:$C$4395,3,0),"")</f>
        <v>2.9904</v>
      </c>
    </row>
    <row r="4261" spans="1:9">
      <c r="A4261" s="6">
        <v>43754</v>
      </c>
      <c r="B4261">
        <f>IFERROR(VLOOKUP($A4261,原始数据_收盘!$A$4:$G$3460,2,0),"")</f>
        <v>2.73</v>
      </c>
      <c r="C4261">
        <f>IFERROR(VLOOKUP($A4261,原始数据_收盘!$A$4:$G$3460,3,0),"")</f>
        <v>2.9825</v>
      </c>
      <c r="D4261">
        <f>IFERROR(VLOOKUP($A4261,原始数据_收盘!$A$4:$G$3460,4,0),"")</f>
        <v>2.7375</v>
      </c>
      <c r="E4261">
        <f>IFERROR(VLOOKUP($A4261,原始数据_收盘!$A$4:$G$3460,5,0),"")</f>
        <v>2.985</v>
      </c>
      <c r="F4261">
        <f>IFERROR(VLOOKUP($A4261,原始数据_收盘!$A$4:$G$3460,6,0),"")</f>
        <v>2.7338</v>
      </c>
      <c r="G4261">
        <f>IFERROR(VLOOKUP($A4261,原始数据_收盘!$A$4:$G$3460,7,0),"")</f>
        <v>2.9838</v>
      </c>
      <c r="H4261">
        <f>IFERROR(VLOOKUP($A4261,原始数据_利率互换_FR007_1年!$A$6:$C$4395,2,0),"")</f>
        <v>2.7275</v>
      </c>
      <c r="I4261">
        <f>IFERROR(VLOOKUP($A4261,原始数据_利率互换_FR007_1年!$A$6:$C$4395,3,0),"")</f>
        <v>2.9801</v>
      </c>
    </row>
    <row r="4262" spans="1:9">
      <c r="A4262" s="6">
        <v>43755</v>
      </c>
      <c r="B4262">
        <f>IFERROR(VLOOKUP($A4262,原始数据_收盘!$A$4:$G$3460,2,0),"")</f>
        <v>2.7225</v>
      </c>
      <c r="C4262">
        <f>IFERROR(VLOOKUP($A4262,原始数据_收盘!$A$4:$G$3460,3,0),"")</f>
        <v>2.9725</v>
      </c>
      <c r="D4262">
        <f>IFERROR(VLOOKUP($A4262,原始数据_收盘!$A$4:$G$3460,4,0),"")</f>
        <v>2.7251</v>
      </c>
      <c r="E4262">
        <f>IFERROR(VLOOKUP($A4262,原始数据_收盘!$A$4:$G$3460,5,0),"")</f>
        <v>2.975</v>
      </c>
      <c r="F4262">
        <f>IFERROR(VLOOKUP($A4262,原始数据_收盘!$A$4:$G$3460,6,0),"")</f>
        <v>2.7238</v>
      </c>
      <c r="G4262">
        <f>IFERROR(VLOOKUP($A4262,原始数据_收盘!$A$4:$G$3460,7,0),"")</f>
        <v>2.9738</v>
      </c>
      <c r="H4262">
        <f>IFERROR(VLOOKUP($A4262,原始数据_利率互换_FR007_1年!$A$6:$C$4395,2,0),"")</f>
        <v>2.7238</v>
      </c>
      <c r="I4262">
        <f>IFERROR(VLOOKUP($A4262,原始数据_利率互换_FR007_1年!$A$6:$C$4395,3,0),"")</f>
        <v>2.9746</v>
      </c>
    </row>
    <row r="4263" spans="1:9">
      <c r="A4263" s="6">
        <v>43756</v>
      </c>
      <c r="B4263">
        <f>IFERROR(VLOOKUP($A4263,原始数据_收盘!$A$4:$G$3460,2,0),"")</f>
        <v>2.7425</v>
      </c>
      <c r="C4263">
        <f>IFERROR(VLOOKUP($A4263,原始数据_收盘!$A$4:$G$3460,3,0),"")</f>
        <v>3.005</v>
      </c>
      <c r="D4263">
        <f>IFERROR(VLOOKUP($A4263,原始数据_收盘!$A$4:$G$3460,4,0),"")</f>
        <v>2.7525</v>
      </c>
      <c r="E4263">
        <f>IFERROR(VLOOKUP($A4263,原始数据_收盘!$A$4:$G$3460,5,0),"")</f>
        <v>3.01</v>
      </c>
      <c r="F4263">
        <f>IFERROR(VLOOKUP($A4263,原始数据_收盘!$A$4:$G$3460,6,0),"")</f>
        <v>2.7475</v>
      </c>
      <c r="G4263">
        <f>IFERROR(VLOOKUP($A4263,原始数据_收盘!$A$4:$G$3460,7,0),"")</f>
        <v>3.0075</v>
      </c>
      <c r="H4263">
        <f>IFERROR(VLOOKUP($A4263,原始数据_利率互换_FR007_1年!$A$6:$C$4395,2,0),"")</f>
        <v>2.7337</v>
      </c>
      <c r="I4263">
        <f>IFERROR(VLOOKUP($A4263,原始数据_利率互换_FR007_1年!$A$6:$C$4395,3,0),"")</f>
        <v>2.9931</v>
      </c>
    </row>
    <row r="4264" spans="1:9">
      <c r="A4264" s="6">
        <v>43757</v>
      </c>
      <c r="B4264" t="str">
        <f>IFERROR(VLOOKUP($A4264,原始数据_收盘!$A$4:$G$3460,2,0),"")</f>
        <v/>
      </c>
      <c r="C4264" t="str">
        <f>IFERROR(VLOOKUP($A4264,原始数据_收盘!$A$4:$G$3460,3,0),"")</f>
        <v/>
      </c>
      <c r="D4264" t="str">
        <f>IFERROR(VLOOKUP($A4264,原始数据_收盘!$A$4:$G$3460,4,0),"")</f>
        <v/>
      </c>
      <c r="E4264" t="str">
        <f>IFERROR(VLOOKUP($A4264,原始数据_收盘!$A$4:$G$3460,5,0),"")</f>
        <v/>
      </c>
      <c r="F4264" t="str">
        <f>IFERROR(VLOOKUP($A4264,原始数据_收盘!$A$4:$G$3460,6,0),"")</f>
        <v/>
      </c>
      <c r="G4264" t="str">
        <f>IFERROR(VLOOKUP($A4264,原始数据_收盘!$A$4:$G$3460,7,0),"")</f>
        <v/>
      </c>
      <c r="H4264" t="str">
        <f>IFERROR(VLOOKUP($A4264,原始数据_利率互换_FR007_1年!$A$6:$C$4395,2,0),"")</f>
        <v/>
      </c>
      <c r="I4264" t="str">
        <f>IFERROR(VLOOKUP($A4264,原始数据_利率互换_FR007_1年!$A$6:$C$4395,3,0),"")</f>
        <v/>
      </c>
    </row>
    <row r="4265" spans="1:9">
      <c r="A4265" s="6">
        <v>43758</v>
      </c>
      <c r="B4265" t="str">
        <f>IFERROR(VLOOKUP($A4265,原始数据_收盘!$A$4:$G$3460,2,0),"")</f>
        <v/>
      </c>
      <c r="C4265" t="str">
        <f>IFERROR(VLOOKUP($A4265,原始数据_收盘!$A$4:$G$3460,3,0),"")</f>
        <v/>
      </c>
      <c r="D4265" t="str">
        <f>IFERROR(VLOOKUP($A4265,原始数据_收盘!$A$4:$G$3460,4,0),"")</f>
        <v/>
      </c>
      <c r="E4265" t="str">
        <f>IFERROR(VLOOKUP($A4265,原始数据_收盘!$A$4:$G$3460,5,0),"")</f>
        <v/>
      </c>
      <c r="F4265" t="str">
        <f>IFERROR(VLOOKUP($A4265,原始数据_收盘!$A$4:$G$3460,6,0),"")</f>
        <v/>
      </c>
      <c r="G4265" t="str">
        <f>IFERROR(VLOOKUP($A4265,原始数据_收盘!$A$4:$G$3460,7,0),"")</f>
        <v/>
      </c>
      <c r="H4265" t="str">
        <f>IFERROR(VLOOKUP($A4265,原始数据_利率互换_FR007_1年!$A$6:$C$4395,2,0),"")</f>
        <v/>
      </c>
      <c r="I4265" t="str">
        <f>IFERROR(VLOOKUP($A4265,原始数据_利率互换_FR007_1年!$A$6:$C$4395,3,0),"")</f>
        <v/>
      </c>
    </row>
    <row r="4266" spans="1:9">
      <c r="A4266" s="6">
        <v>43759</v>
      </c>
      <c r="B4266">
        <f>IFERROR(VLOOKUP($A4266,原始数据_收盘!$A$4:$G$3460,2,0),"")</f>
        <v>2.775</v>
      </c>
      <c r="C4266">
        <f>IFERROR(VLOOKUP($A4266,原始数据_收盘!$A$4:$G$3460,3,0),"")</f>
        <v>3.0494</v>
      </c>
      <c r="D4266">
        <f>IFERROR(VLOOKUP($A4266,原始数据_收盘!$A$4:$G$3460,4,0),"")</f>
        <v>2.782</v>
      </c>
      <c r="E4266">
        <f>IFERROR(VLOOKUP($A4266,原始数据_收盘!$A$4:$G$3460,5,0),"")</f>
        <v>3.0538</v>
      </c>
      <c r="F4266">
        <f>IFERROR(VLOOKUP($A4266,原始数据_收盘!$A$4:$G$3460,6,0),"")</f>
        <v>2.7785</v>
      </c>
      <c r="G4266">
        <f>IFERROR(VLOOKUP($A4266,原始数据_收盘!$A$4:$G$3460,7,0),"")</f>
        <v>3.0516</v>
      </c>
      <c r="H4266">
        <f>IFERROR(VLOOKUP($A4266,原始数据_利率互换_FR007_1年!$A$6:$C$4395,2,0),"")</f>
        <v>2.7669</v>
      </c>
      <c r="I4266">
        <f>IFERROR(VLOOKUP($A4266,原始数据_利率互换_FR007_1年!$A$6:$C$4395,3,0),"")</f>
        <v>3.0336</v>
      </c>
    </row>
    <row r="4267" spans="1:9">
      <c r="A4267" s="6">
        <v>43760</v>
      </c>
      <c r="B4267">
        <f>IFERROR(VLOOKUP($A4267,原始数据_收盘!$A$4:$G$3460,2,0),"")</f>
        <v>2.78</v>
      </c>
      <c r="C4267">
        <f>IFERROR(VLOOKUP($A4267,原始数据_收盘!$A$4:$G$3460,3,0),"")</f>
        <v>3.0575</v>
      </c>
      <c r="D4267">
        <f>IFERROR(VLOOKUP($A4267,原始数据_收盘!$A$4:$G$3460,4,0),"")</f>
        <v>2.7866</v>
      </c>
      <c r="E4267">
        <f>IFERROR(VLOOKUP($A4267,原始数据_收盘!$A$4:$G$3460,5,0),"")</f>
        <v>3.06</v>
      </c>
      <c r="F4267">
        <f>IFERROR(VLOOKUP($A4267,原始数据_收盘!$A$4:$G$3460,6,0),"")</f>
        <v>2.7833</v>
      </c>
      <c r="G4267">
        <f>IFERROR(VLOOKUP($A4267,原始数据_收盘!$A$4:$G$3460,7,0),"")</f>
        <v>3.0588</v>
      </c>
      <c r="H4267">
        <f>IFERROR(VLOOKUP($A4267,原始数据_利率互换_FR007_1年!$A$6:$C$4395,2,0),"")</f>
        <v>2.7913</v>
      </c>
      <c r="I4267">
        <f>IFERROR(VLOOKUP($A4267,原始数据_利率互换_FR007_1年!$A$6:$C$4395,3,0),"")</f>
        <v>3.0654</v>
      </c>
    </row>
    <row r="4268" spans="1:9">
      <c r="A4268" s="6">
        <v>43761</v>
      </c>
      <c r="B4268">
        <f>IFERROR(VLOOKUP($A4268,原始数据_收盘!$A$4:$G$3460,2,0),"")</f>
        <v>2.765</v>
      </c>
      <c r="C4268">
        <f>IFERROR(VLOOKUP($A4268,原始数据_收盘!$A$4:$G$3460,3,0),"")</f>
        <v>3.0411</v>
      </c>
      <c r="D4268">
        <f>IFERROR(VLOOKUP($A4268,原始数据_收盘!$A$4:$G$3460,4,0),"")</f>
        <v>2.7675</v>
      </c>
      <c r="E4268">
        <f>IFERROR(VLOOKUP($A4268,原始数据_收盘!$A$4:$G$3460,5,0),"")</f>
        <v>3.045</v>
      </c>
      <c r="F4268">
        <f>IFERROR(VLOOKUP($A4268,原始数据_收盘!$A$4:$G$3460,6,0),"")</f>
        <v>2.7663</v>
      </c>
      <c r="G4268">
        <f>IFERROR(VLOOKUP($A4268,原始数据_收盘!$A$4:$G$3460,7,0),"")</f>
        <v>3.0431</v>
      </c>
      <c r="H4268">
        <f>IFERROR(VLOOKUP($A4268,原始数据_利率互换_FR007_1年!$A$6:$C$4395,2,0),"")</f>
        <v>2.7736</v>
      </c>
      <c r="I4268">
        <f>IFERROR(VLOOKUP($A4268,原始数据_利率互换_FR007_1年!$A$6:$C$4395,3,0),"")</f>
        <v>3.0515</v>
      </c>
    </row>
    <row r="4269" spans="1:9">
      <c r="A4269" s="6">
        <v>43762</v>
      </c>
      <c r="B4269">
        <f>IFERROR(VLOOKUP($A4269,原始数据_收盘!$A$4:$G$3460,2,0),"")</f>
        <v>2.7575</v>
      </c>
      <c r="C4269">
        <f>IFERROR(VLOOKUP($A4269,原始数据_收盘!$A$4:$G$3460,3,0),"")</f>
        <v>3.0359</v>
      </c>
      <c r="D4269">
        <f>IFERROR(VLOOKUP($A4269,原始数据_收盘!$A$4:$G$3460,4,0),"")</f>
        <v>2.762</v>
      </c>
      <c r="E4269">
        <f>IFERROR(VLOOKUP($A4269,原始数据_收盘!$A$4:$G$3460,5,0),"")</f>
        <v>3.04</v>
      </c>
      <c r="F4269">
        <f>IFERROR(VLOOKUP($A4269,原始数据_收盘!$A$4:$G$3460,6,0),"")</f>
        <v>2.7598</v>
      </c>
      <c r="G4269">
        <f>IFERROR(VLOOKUP($A4269,原始数据_收盘!$A$4:$G$3460,7,0),"")</f>
        <v>3.0379</v>
      </c>
      <c r="H4269">
        <f>IFERROR(VLOOKUP($A4269,原始数据_利率互换_FR007_1年!$A$6:$C$4395,2,0),"")</f>
        <v>2.7685</v>
      </c>
      <c r="I4269">
        <f>IFERROR(VLOOKUP($A4269,原始数据_利率互换_FR007_1年!$A$6:$C$4395,3,0),"")</f>
        <v>3.0452</v>
      </c>
    </row>
    <row r="4270" spans="1:9">
      <c r="A4270" s="6">
        <v>43763</v>
      </c>
      <c r="B4270">
        <f>IFERROR(VLOOKUP($A4270,原始数据_收盘!$A$4:$G$3460,2,0),"")</f>
        <v>2.7825</v>
      </c>
      <c r="C4270">
        <f>IFERROR(VLOOKUP($A4270,原始数据_收盘!$A$4:$G$3460,3,0),"")</f>
        <v>3.06</v>
      </c>
      <c r="D4270">
        <f>IFERROR(VLOOKUP($A4270,原始数据_收盘!$A$4:$G$3460,4,0),"")</f>
        <v>2.7855</v>
      </c>
      <c r="E4270">
        <f>IFERROR(VLOOKUP($A4270,原始数据_收盘!$A$4:$G$3460,5,0),"")</f>
        <v>3.065</v>
      </c>
      <c r="F4270">
        <f>IFERROR(VLOOKUP($A4270,原始数据_收盘!$A$4:$G$3460,6,0),"")</f>
        <v>2.784</v>
      </c>
      <c r="G4270">
        <f>IFERROR(VLOOKUP($A4270,原始数据_收盘!$A$4:$G$3460,7,0),"")</f>
        <v>3.0625</v>
      </c>
      <c r="H4270">
        <f>IFERROR(VLOOKUP($A4270,原始数据_利率互换_FR007_1年!$A$6:$C$4395,2,0),"")</f>
        <v>2.773</v>
      </c>
      <c r="I4270">
        <f>IFERROR(VLOOKUP($A4270,原始数据_利率互换_FR007_1年!$A$6:$C$4395,3,0),"")</f>
        <v>3.0512</v>
      </c>
    </row>
    <row r="4271" spans="1:9">
      <c r="A4271" s="6">
        <v>43764</v>
      </c>
      <c r="B4271" t="str">
        <f>IFERROR(VLOOKUP($A4271,原始数据_收盘!$A$4:$G$3460,2,0),"")</f>
        <v/>
      </c>
      <c r="C4271" t="str">
        <f>IFERROR(VLOOKUP($A4271,原始数据_收盘!$A$4:$G$3460,3,0),"")</f>
        <v/>
      </c>
      <c r="D4271" t="str">
        <f>IFERROR(VLOOKUP($A4271,原始数据_收盘!$A$4:$G$3460,4,0),"")</f>
        <v/>
      </c>
      <c r="E4271" t="str">
        <f>IFERROR(VLOOKUP($A4271,原始数据_收盘!$A$4:$G$3460,5,0),"")</f>
        <v/>
      </c>
      <c r="F4271" t="str">
        <f>IFERROR(VLOOKUP($A4271,原始数据_收盘!$A$4:$G$3460,6,0),"")</f>
        <v/>
      </c>
      <c r="G4271" t="str">
        <f>IFERROR(VLOOKUP($A4271,原始数据_收盘!$A$4:$G$3460,7,0),"")</f>
        <v/>
      </c>
      <c r="H4271" t="str">
        <f>IFERROR(VLOOKUP($A4271,原始数据_利率互换_FR007_1年!$A$6:$C$4395,2,0),"")</f>
        <v/>
      </c>
      <c r="I4271" t="str">
        <f>IFERROR(VLOOKUP($A4271,原始数据_利率互换_FR007_1年!$A$6:$C$4395,3,0),"")</f>
        <v/>
      </c>
    </row>
    <row r="4272" spans="1:9">
      <c r="A4272" s="6">
        <v>43765</v>
      </c>
      <c r="B4272" t="str">
        <f>IFERROR(VLOOKUP($A4272,原始数据_收盘!$A$4:$G$3460,2,0),"")</f>
        <v/>
      </c>
      <c r="C4272" t="str">
        <f>IFERROR(VLOOKUP($A4272,原始数据_收盘!$A$4:$G$3460,3,0),"")</f>
        <v/>
      </c>
      <c r="D4272" t="str">
        <f>IFERROR(VLOOKUP($A4272,原始数据_收盘!$A$4:$G$3460,4,0),"")</f>
        <v/>
      </c>
      <c r="E4272" t="str">
        <f>IFERROR(VLOOKUP($A4272,原始数据_收盘!$A$4:$G$3460,5,0),"")</f>
        <v/>
      </c>
      <c r="F4272" t="str">
        <f>IFERROR(VLOOKUP($A4272,原始数据_收盘!$A$4:$G$3460,6,0),"")</f>
        <v/>
      </c>
      <c r="G4272" t="str">
        <f>IFERROR(VLOOKUP($A4272,原始数据_收盘!$A$4:$G$3460,7,0),"")</f>
        <v/>
      </c>
      <c r="H4272" t="str">
        <f>IFERROR(VLOOKUP($A4272,原始数据_利率互换_FR007_1年!$A$6:$C$4395,2,0),"")</f>
        <v/>
      </c>
      <c r="I4272" t="str">
        <f>IFERROR(VLOOKUP($A4272,原始数据_利率互换_FR007_1年!$A$6:$C$4395,3,0),"")</f>
        <v/>
      </c>
    </row>
    <row r="4273" spans="1:9">
      <c r="A4273" s="6">
        <v>43766</v>
      </c>
      <c r="B4273">
        <f>IFERROR(VLOOKUP($A4273,原始数据_收盘!$A$4:$G$3460,2,0),"")</f>
        <v>2.8325</v>
      </c>
      <c r="C4273">
        <f>IFERROR(VLOOKUP($A4273,原始数据_收盘!$A$4:$G$3460,3,0),"")</f>
        <v>3.1223</v>
      </c>
      <c r="D4273">
        <f>IFERROR(VLOOKUP($A4273,原始数据_收盘!$A$4:$G$3460,4,0),"")</f>
        <v>2.8425</v>
      </c>
      <c r="E4273">
        <f>IFERROR(VLOOKUP($A4273,原始数据_收盘!$A$4:$G$3460,5,0),"")</f>
        <v>3.1275</v>
      </c>
      <c r="F4273">
        <f>IFERROR(VLOOKUP($A4273,原始数据_收盘!$A$4:$G$3460,6,0),"")</f>
        <v>2.8375</v>
      </c>
      <c r="G4273">
        <f>IFERROR(VLOOKUP($A4273,原始数据_收盘!$A$4:$G$3460,7,0),"")</f>
        <v>3.1249</v>
      </c>
      <c r="H4273">
        <f>IFERROR(VLOOKUP($A4273,原始数据_利率互换_FR007_1年!$A$6:$C$4395,2,0),"")</f>
        <v>2.8183</v>
      </c>
      <c r="I4273">
        <f>IFERROR(VLOOKUP($A4273,原始数据_利率互换_FR007_1年!$A$6:$C$4395,3,0),"")</f>
        <v>3.1027</v>
      </c>
    </row>
    <row r="4274" spans="1:9">
      <c r="A4274" s="6">
        <v>43767</v>
      </c>
      <c r="B4274">
        <f>IFERROR(VLOOKUP($A4274,原始数据_收盘!$A$4:$G$3460,2,0),"")</f>
        <v>2.86</v>
      </c>
      <c r="C4274">
        <f>IFERROR(VLOOKUP($A4274,原始数据_收盘!$A$4:$G$3460,3,0),"")</f>
        <v>3.16</v>
      </c>
      <c r="D4274">
        <f>IFERROR(VLOOKUP($A4274,原始数据_收盘!$A$4:$G$3460,4,0),"")</f>
        <v>2.8675</v>
      </c>
      <c r="E4274">
        <f>IFERROR(VLOOKUP($A4274,原始数据_收盘!$A$4:$G$3460,5,0),"")</f>
        <v>3.1625</v>
      </c>
      <c r="F4274">
        <f>IFERROR(VLOOKUP($A4274,原始数据_收盘!$A$4:$G$3460,6,0),"")</f>
        <v>2.8638</v>
      </c>
      <c r="G4274">
        <f>IFERROR(VLOOKUP($A4274,原始数据_收盘!$A$4:$G$3460,7,0),"")</f>
        <v>3.1613</v>
      </c>
      <c r="H4274">
        <f>IFERROR(VLOOKUP($A4274,原始数据_利率互换_FR007_1年!$A$6:$C$4395,2,0),"")</f>
        <v>2.8541</v>
      </c>
      <c r="I4274">
        <f>IFERROR(VLOOKUP($A4274,原始数据_利率互换_FR007_1年!$A$6:$C$4395,3,0),"")</f>
        <v>3.1449</v>
      </c>
    </row>
    <row r="4275" spans="1:9">
      <c r="A4275" s="6">
        <v>43768</v>
      </c>
      <c r="B4275">
        <f>IFERROR(VLOOKUP($A4275,原始数据_收盘!$A$4:$G$3460,2,0),"")</f>
        <v>2.9</v>
      </c>
      <c r="C4275">
        <f>IFERROR(VLOOKUP($A4275,原始数据_收盘!$A$4:$G$3460,3,0),"")</f>
        <v>3.197</v>
      </c>
      <c r="D4275">
        <f>IFERROR(VLOOKUP($A4275,原始数据_收盘!$A$4:$G$3460,4,0),"")</f>
        <v>2.9032</v>
      </c>
      <c r="E4275">
        <f>IFERROR(VLOOKUP($A4275,原始数据_收盘!$A$4:$G$3460,5,0),"")</f>
        <v>3.1998</v>
      </c>
      <c r="F4275">
        <f>IFERROR(VLOOKUP($A4275,原始数据_收盘!$A$4:$G$3460,6,0),"")</f>
        <v>2.9016</v>
      </c>
      <c r="G4275">
        <f>IFERROR(VLOOKUP($A4275,原始数据_收盘!$A$4:$G$3460,7,0),"")</f>
        <v>3.1984</v>
      </c>
      <c r="H4275">
        <f>IFERROR(VLOOKUP($A4275,原始数据_利率互换_FR007_1年!$A$6:$C$4395,2,0),"")</f>
        <v>2.8919</v>
      </c>
      <c r="I4275">
        <f>IFERROR(VLOOKUP($A4275,原始数据_利率互换_FR007_1年!$A$6:$C$4395,3,0),"")</f>
        <v>3.189</v>
      </c>
    </row>
    <row r="4276" spans="1:9">
      <c r="A4276" s="6">
        <v>43769</v>
      </c>
      <c r="B4276">
        <f>IFERROR(VLOOKUP($A4276,原始数据_收盘!$A$4:$G$3460,2,0),"")</f>
        <v>2.8625</v>
      </c>
      <c r="C4276">
        <f>IFERROR(VLOOKUP($A4276,原始数据_收盘!$A$4:$G$3460,3,0),"")</f>
        <v>3.145</v>
      </c>
      <c r="D4276">
        <f>IFERROR(VLOOKUP($A4276,原始数据_收盘!$A$4:$G$3460,4,0),"")</f>
        <v>2.8725</v>
      </c>
      <c r="E4276">
        <f>IFERROR(VLOOKUP($A4276,原始数据_收盘!$A$4:$G$3460,5,0),"")</f>
        <v>3.1501</v>
      </c>
      <c r="F4276">
        <f>IFERROR(VLOOKUP($A4276,原始数据_收盘!$A$4:$G$3460,6,0),"")</f>
        <v>2.8675</v>
      </c>
      <c r="G4276">
        <f>IFERROR(VLOOKUP($A4276,原始数据_收盘!$A$4:$G$3460,7,0),"")</f>
        <v>3.1476</v>
      </c>
      <c r="H4276">
        <f>IFERROR(VLOOKUP($A4276,原始数据_利率互换_FR007_1年!$A$6:$C$4395,2,0),"")</f>
        <v>2.8813</v>
      </c>
      <c r="I4276">
        <f>IFERROR(VLOOKUP($A4276,原始数据_利率互换_FR007_1年!$A$6:$C$4395,3,0),"")</f>
        <v>3.1717</v>
      </c>
    </row>
    <row r="4277" spans="1:9">
      <c r="A4277" s="6">
        <v>43770</v>
      </c>
      <c r="B4277">
        <f>IFERROR(VLOOKUP($A4277,原始数据_收盘!$A$4:$G$3460,2,0),"")</f>
        <v>2.85</v>
      </c>
      <c r="C4277">
        <f>IFERROR(VLOOKUP($A4277,原始数据_收盘!$A$4:$G$3460,3,0),"")</f>
        <v>3.1351</v>
      </c>
      <c r="D4277">
        <f>IFERROR(VLOOKUP($A4277,原始数据_收盘!$A$4:$G$3460,4,0),"")</f>
        <v>2.8575</v>
      </c>
      <c r="E4277">
        <f>IFERROR(VLOOKUP($A4277,原始数据_收盘!$A$4:$G$3460,5,0),"")</f>
        <v>3.1422</v>
      </c>
      <c r="F4277">
        <f>IFERROR(VLOOKUP($A4277,原始数据_收盘!$A$4:$G$3460,6,0),"")</f>
        <v>2.8538</v>
      </c>
      <c r="G4277">
        <f>IFERROR(VLOOKUP($A4277,原始数据_收盘!$A$4:$G$3460,7,0),"")</f>
        <v>3.1386</v>
      </c>
      <c r="H4277">
        <f>IFERROR(VLOOKUP($A4277,原始数据_利率互换_FR007_1年!$A$6:$C$4395,2,0),"")</f>
        <v>2.8563</v>
      </c>
      <c r="I4277">
        <f>IFERROR(VLOOKUP($A4277,原始数据_利率互换_FR007_1年!$A$6:$C$4395,3,0),"")</f>
        <v>3.1449</v>
      </c>
    </row>
    <row r="4278" spans="1:9">
      <c r="A4278" s="6">
        <v>43771</v>
      </c>
      <c r="B4278" t="str">
        <f>IFERROR(VLOOKUP($A4278,原始数据_收盘!$A$4:$G$3460,2,0),"")</f>
        <v/>
      </c>
      <c r="C4278" t="str">
        <f>IFERROR(VLOOKUP($A4278,原始数据_收盘!$A$4:$G$3460,3,0),"")</f>
        <v/>
      </c>
      <c r="D4278" t="str">
        <f>IFERROR(VLOOKUP($A4278,原始数据_收盘!$A$4:$G$3460,4,0),"")</f>
        <v/>
      </c>
      <c r="E4278" t="str">
        <f>IFERROR(VLOOKUP($A4278,原始数据_收盘!$A$4:$G$3460,5,0),"")</f>
        <v/>
      </c>
      <c r="F4278" t="str">
        <f>IFERROR(VLOOKUP($A4278,原始数据_收盘!$A$4:$G$3460,6,0),"")</f>
        <v/>
      </c>
      <c r="G4278" t="str">
        <f>IFERROR(VLOOKUP($A4278,原始数据_收盘!$A$4:$G$3460,7,0),"")</f>
        <v/>
      </c>
      <c r="H4278" t="str">
        <f>IFERROR(VLOOKUP($A4278,原始数据_利率互换_FR007_1年!$A$6:$C$4395,2,0),"")</f>
        <v/>
      </c>
      <c r="I4278" t="str">
        <f>IFERROR(VLOOKUP($A4278,原始数据_利率互换_FR007_1年!$A$6:$C$4395,3,0),"")</f>
        <v/>
      </c>
    </row>
    <row r="4279" spans="1:9">
      <c r="A4279" s="6">
        <v>43772</v>
      </c>
      <c r="B4279" t="str">
        <f>IFERROR(VLOOKUP($A4279,原始数据_收盘!$A$4:$G$3460,2,0),"")</f>
        <v/>
      </c>
      <c r="C4279" t="str">
        <f>IFERROR(VLOOKUP($A4279,原始数据_收盘!$A$4:$G$3460,3,0),"")</f>
        <v/>
      </c>
      <c r="D4279" t="str">
        <f>IFERROR(VLOOKUP($A4279,原始数据_收盘!$A$4:$G$3460,4,0),"")</f>
        <v/>
      </c>
      <c r="E4279" t="str">
        <f>IFERROR(VLOOKUP($A4279,原始数据_收盘!$A$4:$G$3460,5,0),"")</f>
        <v/>
      </c>
      <c r="F4279" t="str">
        <f>IFERROR(VLOOKUP($A4279,原始数据_收盘!$A$4:$G$3460,6,0),"")</f>
        <v/>
      </c>
      <c r="G4279" t="str">
        <f>IFERROR(VLOOKUP($A4279,原始数据_收盘!$A$4:$G$3460,7,0),"")</f>
        <v/>
      </c>
      <c r="H4279" t="str">
        <f>IFERROR(VLOOKUP($A4279,原始数据_利率互换_FR007_1年!$A$6:$C$4395,2,0),"")</f>
        <v/>
      </c>
      <c r="I4279" t="str">
        <f>IFERROR(VLOOKUP($A4279,原始数据_利率互换_FR007_1年!$A$6:$C$4395,3,0),"")</f>
        <v/>
      </c>
    </row>
    <row r="4280" spans="1:9">
      <c r="A4280" s="6">
        <v>43773</v>
      </c>
      <c r="B4280">
        <f>IFERROR(VLOOKUP($A4280,原始数据_收盘!$A$4:$G$3460,2,0),"")</f>
        <v>2.8675</v>
      </c>
      <c r="C4280">
        <f>IFERROR(VLOOKUP($A4280,原始数据_收盘!$A$4:$G$3460,3,0),"")</f>
        <v>3.1771</v>
      </c>
      <c r="D4280">
        <f>IFERROR(VLOOKUP($A4280,原始数据_收盘!$A$4:$G$3460,4,0),"")</f>
        <v>2.8725</v>
      </c>
      <c r="E4280">
        <f>IFERROR(VLOOKUP($A4280,原始数据_收盘!$A$4:$G$3460,5,0),"")</f>
        <v>3.18</v>
      </c>
      <c r="F4280">
        <f>IFERROR(VLOOKUP($A4280,原始数据_收盘!$A$4:$G$3460,6,0),"")</f>
        <v>2.87</v>
      </c>
      <c r="G4280">
        <f>IFERROR(VLOOKUP($A4280,原始数据_收盘!$A$4:$G$3460,7,0),"")</f>
        <v>3.1785</v>
      </c>
      <c r="H4280">
        <f>IFERROR(VLOOKUP($A4280,原始数据_利率互换_FR007_1年!$A$6:$C$4395,2,0),"")</f>
        <v>2.8703</v>
      </c>
      <c r="I4280">
        <f>IFERROR(VLOOKUP($A4280,原始数据_利率互换_FR007_1年!$A$6:$C$4395,3,0),"")</f>
        <v>3.1693</v>
      </c>
    </row>
    <row r="4281" spans="1:9">
      <c r="A4281" s="6">
        <v>43774</v>
      </c>
      <c r="B4281">
        <f>IFERROR(VLOOKUP($A4281,原始数据_收盘!$A$4:$G$3460,2,0),"")</f>
        <v>2.81</v>
      </c>
      <c r="C4281">
        <f>IFERROR(VLOOKUP($A4281,原始数据_收盘!$A$4:$G$3460,3,0),"")</f>
        <v>3.1275</v>
      </c>
      <c r="D4281">
        <f>IFERROR(VLOOKUP($A4281,原始数据_收盘!$A$4:$G$3460,4,0),"")</f>
        <v>2.815</v>
      </c>
      <c r="E4281">
        <f>IFERROR(VLOOKUP($A4281,原始数据_收盘!$A$4:$G$3460,5,0),"")</f>
        <v>3.13</v>
      </c>
      <c r="F4281">
        <f>IFERROR(VLOOKUP($A4281,原始数据_收盘!$A$4:$G$3460,6,0),"")</f>
        <v>2.8125</v>
      </c>
      <c r="G4281">
        <f>IFERROR(VLOOKUP($A4281,原始数据_收盘!$A$4:$G$3460,7,0),"")</f>
        <v>3.1288</v>
      </c>
      <c r="H4281">
        <f>IFERROR(VLOOKUP($A4281,原始数据_利率互换_FR007_1年!$A$6:$C$4395,2,0),"")</f>
        <v>2.8361</v>
      </c>
      <c r="I4281">
        <f>IFERROR(VLOOKUP($A4281,原始数据_利率互换_FR007_1年!$A$6:$C$4395,3,0),"")</f>
        <v>3.1559</v>
      </c>
    </row>
    <row r="4282" spans="1:9">
      <c r="A4282" s="6">
        <v>43775</v>
      </c>
      <c r="B4282">
        <f>IFERROR(VLOOKUP($A4282,原始数据_收盘!$A$4:$G$3460,2,0),"")</f>
        <v>2.8123</v>
      </c>
      <c r="C4282">
        <f>IFERROR(VLOOKUP($A4282,原始数据_收盘!$A$4:$G$3460,3,0),"")</f>
        <v>3.1188</v>
      </c>
      <c r="D4282">
        <f>IFERROR(VLOOKUP($A4282,原始数据_收盘!$A$4:$G$3460,4,0),"")</f>
        <v>2.8175</v>
      </c>
      <c r="E4282">
        <f>IFERROR(VLOOKUP($A4282,原始数据_收盘!$A$4:$G$3460,5,0),"")</f>
        <v>3.1214</v>
      </c>
      <c r="F4282">
        <f>IFERROR(VLOOKUP($A4282,原始数据_收盘!$A$4:$G$3460,6,0),"")</f>
        <v>2.8149</v>
      </c>
      <c r="G4282">
        <f>IFERROR(VLOOKUP($A4282,原始数据_收盘!$A$4:$G$3460,7,0),"")</f>
        <v>3.1201</v>
      </c>
      <c r="H4282">
        <f>IFERROR(VLOOKUP($A4282,原始数据_利率互换_FR007_1年!$A$6:$C$4395,2,0),"")</f>
        <v>2.803</v>
      </c>
      <c r="I4282">
        <f>IFERROR(VLOOKUP($A4282,原始数据_利率互换_FR007_1年!$A$6:$C$4395,3,0),"")</f>
        <v>3.1082</v>
      </c>
    </row>
    <row r="4283" spans="1:9">
      <c r="A4283" s="6">
        <v>43776</v>
      </c>
      <c r="B4283">
        <f>IFERROR(VLOOKUP($A4283,原始数据_收盘!$A$4:$G$3460,2,0),"")</f>
        <v>2.8236</v>
      </c>
      <c r="C4283">
        <f>IFERROR(VLOOKUP($A4283,原始数据_收盘!$A$4:$G$3460,3,0),"")</f>
        <v>3.1425</v>
      </c>
      <c r="D4283">
        <f>IFERROR(VLOOKUP($A4283,原始数据_收盘!$A$4:$G$3460,4,0),"")</f>
        <v>2.8274</v>
      </c>
      <c r="E4283">
        <f>IFERROR(VLOOKUP($A4283,原始数据_收盘!$A$4:$G$3460,5,0),"")</f>
        <v>3.1452</v>
      </c>
      <c r="F4283">
        <f>IFERROR(VLOOKUP($A4283,原始数据_收盘!$A$4:$G$3460,6,0),"")</f>
        <v>2.8255</v>
      </c>
      <c r="G4283">
        <f>IFERROR(VLOOKUP($A4283,原始数据_收盘!$A$4:$G$3460,7,0),"")</f>
        <v>3.1439</v>
      </c>
      <c r="H4283">
        <f>IFERROR(VLOOKUP($A4283,原始数据_利率互换_FR007_1年!$A$6:$C$4395,2,0),"")</f>
        <v>2.8115</v>
      </c>
      <c r="I4283">
        <f>IFERROR(VLOOKUP($A4283,原始数据_利率互换_FR007_1年!$A$6:$C$4395,3,0),"")</f>
        <v>3.1199</v>
      </c>
    </row>
    <row r="4284" spans="1:9">
      <c r="A4284" s="6">
        <v>43777</v>
      </c>
      <c r="B4284">
        <f>IFERROR(VLOOKUP($A4284,原始数据_收盘!$A$4:$G$3460,2,0),"")</f>
        <v>2.8275</v>
      </c>
      <c r="C4284">
        <f>IFERROR(VLOOKUP($A4284,原始数据_收盘!$A$4:$G$3460,3,0),"")</f>
        <v>3.155</v>
      </c>
      <c r="D4284">
        <f>IFERROR(VLOOKUP($A4284,原始数据_收盘!$A$4:$G$3460,4,0),"")</f>
        <v>2.83</v>
      </c>
      <c r="E4284">
        <f>IFERROR(VLOOKUP($A4284,原始数据_收盘!$A$4:$G$3460,5,0),"")</f>
        <v>3.1579</v>
      </c>
      <c r="F4284">
        <f>IFERROR(VLOOKUP($A4284,原始数据_收盘!$A$4:$G$3460,6,0),"")</f>
        <v>2.8288</v>
      </c>
      <c r="G4284">
        <f>IFERROR(VLOOKUP($A4284,原始数据_收盘!$A$4:$G$3460,7,0),"")</f>
        <v>3.1565</v>
      </c>
      <c r="H4284">
        <f>IFERROR(VLOOKUP($A4284,原始数据_利率互换_FR007_1年!$A$6:$C$4395,2,0),"")</f>
        <v>2.8292</v>
      </c>
      <c r="I4284">
        <f>IFERROR(VLOOKUP($A4284,原始数据_利率互换_FR007_1年!$A$6:$C$4395,3,0),"")</f>
        <v>3.1518</v>
      </c>
    </row>
    <row r="4285" spans="1:9">
      <c r="A4285" s="6">
        <v>43778</v>
      </c>
      <c r="B4285" t="str">
        <f>IFERROR(VLOOKUP($A4285,原始数据_收盘!$A$4:$G$3460,2,0),"")</f>
        <v/>
      </c>
      <c r="C4285" t="str">
        <f>IFERROR(VLOOKUP($A4285,原始数据_收盘!$A$4:$G$3460,3,0),"")</f>
        <v/>
      </c>
      <c r="D4285" t="str">
        <f>IFERROR(VLOOKUP($A4285,原始数据_收盘!$A$4:$G$3460,4,0),"")</f>
        <v/>
      </c>
      <c r="E4285" t="str">
        <f>IFERROR(VLOOKUP($A4285,原始数据_收盘!$A$4:$G$3460,5,0),"")</f>
        <v/>
      </c>
      <c r="F4285" t="str">
        <f>IFERROR(VLOOKUP($A4285,原始数据_收盘!$A$4:$G$3460,6,0),"")</f>
        <v/>
      </c>
      <c r="G4285" t="str">
        <f>IFERROR(VLOOKUP($A4285,原始数据_收盘!$A$4:$G$3460,7,0),"")</f>
        <v/>
      </c>
      <c r="H4285" t="str">
        <f>IFERROR(VLOOKUP($A4285,原始数据_利率互换_FR007_1年!$A$6:$C$4395,2,0),"")</f>
        <v/>
      </c>
      <c r="I4285" t="str">
        <f>IFERROR(VLOOKUP($A4285,原始数据_利率互换_FR007_1年!$A$6:$C$4395,3,0),"")</f>
        <v/>
      </c>
    </row>
    <row r="4286" spans="1:9">
      <c r="A4286" s="6">
        <v>43779</v>
      </c>
      <c r="B4286" t="str">
        <f>IFERROR(VLOOKUP($A4286,原始数据_收盘!$A$4:$G$3460,2,0),"")</f>
        <v/>
      </c>
      <c r="C4286" t="str">
        <f>IFERROR(VLOOKUP($A4286,原始数据_收盘!$A$4:$G$3460,3,0),"")</f>
        <v/>
      </c>
      <c r="D4286" t="str">
        <f>IFERROR(VLOOKUP($A4286,原始数据_收盘!$A$4:$G$3460,4,0),"")</f>
        <v/>
      </c>
      <c r="E4286" t="str">
        <f>IFERROR(VLOOKUP($A4286,原始数据_收盘!$A$4:$G$3460,5,0),"")</f>
        <v/>
      </c>
      <c r="F4286" t="str">
        <f>IFERROR(VLOOKUP($A4286,原始数据_收盘!$A$4:$G$3460,6,0),"")</f>
        <v/>
      </c>
      <c r="G4286" t="str">
        <f>IFERROR(VLOOKUP($A4286,原始数据_收盘!$A$4:$G$3460,7,0),"")</f>
        <v/>
      </c>
      <c r="H4286" t="str">
        <f>IFERROR(VLOOKUP($A4286,原始数据_利率互换_FR007_1年!$A$6:$C$4395,2,0),"")</f>
        <v/>
      </c>
      <c r="I4286" t="str">
        <f>IFERROR(VLOOKUP($A4286,原始数据_利率互换_FR007_1年!$A$6:$C$4395,3,0),"")</f>
        <v/>
      </c>
    </row>
    <row r="4287" spans="1:9">
      <c r="A4287" s="6">
        <v>43780</v>
      </c>
      <c r="B4287">
        <f>IFERROR(VLOOKUP($A4287,原始数据_收盘!$A$4:$G$3460,2,0),"")</f>
        <v>2.8125</v>
      </c>
      <c r="C4287">
        <f>IFERROR(VLOOKUP($A4287,原始数据_收盘!$A$4:$G$3460,3,0),"")</f>
        <v>3.125</v>
      </c>
      <c r="D4287">
        <f>IFERROR(VLOOKUP($A4287,原始数据_收盘!$A$4:$G$3460,4,0),"")</f>
        <v>2.8175</v>
      </c>
      <c r="E4287">
        <f>IFERROR(VLOOKUP($A4287,原始数据_收盘!$A$4:$G$3460,5,0),"")</f>
        <v>3.1291</v>
      </c>
      <c r="F4287">
        <f>IFERROR(VLOOKUP($A4287,原始数据_收盘!$A$4:$G$3460,6,0),"")</f>
        <v>2.815</v>
      </c>
      <c r="G4287">
        <f>IFERROR(VLOOKUP($A4287,原始数据_收盘!$A$4:$G$3460,7,0),"")</f>
        <v>3.1271</v>
      </c>
      <c r="H4287">
        <f>IFERROR(VLOOKUP($A4287,原始数据_利率互换_FR007_1年!$A$6:$C$4395,2,0),"")</f>
        <v>2.8165</v>
      </c>
      <c r="I4287">
        <f>IFERROR(VLOOKUP($A4287,原始数据_利率互换_FR007_1年!$A$6:$C$4395,3,0),"")</f>
        <v>3.1336</v>
      </c>
    </row>
    <row r="4288" spans="1:9">
      <c r="A4288" s="6">
        <v>43781</v>
      </c>
      <c r="B4288">
        <f>IFERROR(VLOOKUP($A4288,原始数据_收盘!$A$4:$G$3460,2,0),"")</f>
        <v>2.82</v>
      </c>
      <c r="C4288">
        <f>IFERROR(VLOOKUP($A4288,原始数据_收盘!$A$4:$G$3460,3,0),"")</f>
        <v>3.135</v>
      </c>
      <c r="D4288">
        <f>IFERROR(VLOOKUP($A4288,原始数据_收盘!$A$4:$G$3460,4,0),"")</f>
        <v>2.825</v>
      </c>
      <c r="E4288">
        <f>IFERROR(VLOOKUP($A4288,原始数据_收盘!$A$4:$G$3460,5,0),"")</f>
        <v>3.1375</v>
      </c>
      <c r="F4288">
        <f>IFERROR(VLOOKUP($A4288,原始数据_收盘!$A$4:$G$3460,6,0),"")</f>
        <v>2.8225</v>
      </c>
      <c r="G4288">
        <f>IFERROR(VLOOKUP($A4288,原始数据_收盘!$A$4:$G$3460,7,0),"")</f>
        <v>3.1363</v>
      </c>
      <c r="H4288">
        <f>IFERROR(VLOOKUP($A4288,原始数据_利率互换_FR007_1年!$A$6:$C$4395,2,0),"")</f>
        <v>2.8103</v>
      </c>
      <c r="I4288">
        <f>IFERROR(VLOOKUP($A4288,原始数据_利率互换_FR007_1年!$A$6:$C$4395,3,0),"")</f>
        <v>3.1166</v>
      </c>
    </row>
    <row r="4289" spans="1:9">
      <c r="A4289" s="6">
        <v>43782</v>
      </c>
      <c r="B4289">
        <f>IFERROR(VLOOKUP($A4289,原始数据_收盘!$A$4:$G$3460,2,0),"")</f>
        <v>2.815</v>
      </c>
      <c r="C4289">
        <f>IFERROR(VLOOKUP($A4289,原始数据_收盘!$A$4:$G$3460,3,0),"")</f>
        <v>3.1162</v>
      </c>
      <c r="D4289">
        <f>IFERROR(VLOOKUP($A4289,原始数据_收盘!$A$4:$G$3460,4,0),"")</f>
        <v>2.82</v>
      </c>
      <c r="E4289">
        <f>IFERROR(VLOOKUP($A4289,原始数据_收盘!$A$4:$G$3460,5,0),"")</f>
        <v>3.12</v>
      </c>
      <c r="F4289">
        <f>IFERROR(VLOOKUP($A4289,原始数据_收盘!$A$4:$G$3460,6,0),"")</f>
        <v>2.8175</v>
      </c>
      <c r="G4289">
        <f>IFERROR(VLOOKUP($A4289,原始数据_收盘!$A$4:$G$3460,7,0),"")</f>
        <v>3.1181</v>
      </c>
      <c r="H4289">
        <f>IFERROR(VLOOKUP($A4289,原始数据_利率互换_FR007_1年!$A$6:$C$4395,2,0),"")</f>
        <v>2.8179</v>
      </c>
      <c r="I4289">
        <f>IFERROR(VLOOKUP($A4289,原始数据_利率互换_FR007_1年!$A$6:$C$4395,3,0),"")</f>
        <v>3.1222</v>
      </c>
    </row>
    <row r="4290" spans="1:9">
      <c r="A4290" s="6">
        <v>43783</v>
      </c>
      <c r="B4290">
        <f>IFERROR(VLOOKUP($A4290,原始数据_收盘!$A$4:$G$3460,2,0),"")</f>
        <v>2.8261</v>
      </c>
      <c r="C4290">
        <f>IFERROR(VLOOKUP($A4290,原始数据_收盘!$A$4:$G$3460,3,0),"")</f>
        <v>3.125</v>
      </c>
      <c r="D4290">
        <f>IFERROR(VLOOKUP($A4290,原始数据_收盘!$A$4:$G$3460,4,0),"")</f>
        <v>2.8291</v>
      </c>
      <c r="E4290">
        <f>IFERROR(VLOOKUP($A4290,原始数据_收盘!$A$4:$G$3460,5,0),"")</f>
        <v>3.1275</v>
      </c>
      <c r="F4290">
        <f>IFERROR(VLOOKUP($A4290,原始数据_收盘!$A$4:$G$3460,6,0),"")</f>
        <v>2.8276</v>
      </c>
      <c r="G4290">
        <f>IFERROR(VLOOKUP($A4290,原始数据_收盘!$A$4:$G$3460,7,0),"")</f>
        <v>3.1263</v>
      </c>
      <c r="H4290">
        <f>IFERROR(VLOOKUP($A4290,原始数据_利率互换_FR007_1年!$A$6:$C$4395,2,0),"")</f>
        <v>2.8212</v>
      </c>
      <c r="I4290">
        <f>IFERROR(VLOOKUP($A4290,原始数据_利率互换_FR007_1年!$A$6:$C$4395,3,0),"")</f>
        <v>3.1179</v>
      </c>
    </row>
    <row r="4291" spans="1:9">
      <c r="A4291" s="6">
        <v>43784</v>
      </c>
      <c r="B4291">
        <f>IFERROR(VLOOKUP($A4291,原始数据_收盘!$A$4:$G$3460,2,0),"")</f>
        <v>2.8019</v>
      </c>
      <c r="C4291">
        <f>IFERROR(VLOOKUP($A4291,原始数据_收盘!$A$4:$G$3460,3,0),"")</f>
        <v>3.1013</v>
      </c>
      <c r="D4291">
        <f>IFERROR(VLOOKUP($A4291,原始数据_收盘!$A$4:$G$3460,4,0),"")</f>
        <v>2.806</v>
      </c>
      <c r="E4291">
        <f>IFERROR(VLOOKUP($A4291,原始数据_收盘!$A$4:$G$3460,5,0),"")</f>
        <v>3.105</v>
      </c>
      <c r="F4291">
        <f>IFERROR(VLOOKUP($A4291,原始数据_收盘!$A$4:$G$3460,6,0),"")</f>
        <v>2.804</v>
      </c>
      <c r="G4291">
        <f>IFERROR(VLOOKUP($A4291,原始数据_收盘!$A$4:$G$3460,7,0),"")</f>
        <v>3.1032</v>
      </c>
      <c r="H4291">
        <f>IFERROR(VLOOKUP($A4291,原始数据_利率互换_FR007_1年!$A$6:$C$4395,2,0),"")</f>
        <v>2.8145</v>
      </c>
      <c r="I4291">
        <f>IFERROR(VLOOKUP($A4291,原始数据_利率互换_FR007_1年!$A$6:$C$4395,3,0),"")</f>
        <v>3.1116</v>
      </c>
    </row>
    <row r="4292" spans="1:9">
      <c r="A4292" s="6">
        <v>43785</v>
      </c>
      <c r="B4292" t="str">
        <f>IFERROR(VLOOKUP($A4292,原始数据_收盘!$A$4:$G$3460,2,0),"")</f>
        <v/>
      </c>
      <c r="C4292" t="str">
        <f>IFERROR(VLOOKUP($A4292,原始数据_收盘!$A$4:$G$3460,3,0),"")</f>
        <v/>
      </c>
      <c r="D4292" t="str">
        <f>IFERROR(VLOOKUP($A4292,原始数据_收盘!$A$4:$G$3460,4,0),"")</f>
        <v/>
      </c>
      <c r="E4292" t="str">
        <f>IFERROR(VLOOKUP($A4292,原始数据_收盘!$A$4:$G$3460,5,0),"")</f>
        <v/>
      </c>
      <c r="F4292" t="str">
        <f>IFERROR(VLOOKUP($A4292,原始数据_收盘!$A$4:$G$3460,6,0),"")</f>
        <v/>
      </c>
      <c r="G4292" t="str">
        <f>IFERROR(VLOOKUP($A4292,原始数据_收盘!$A$4:$G$3460,7,0),"")</f>
        <v/>
      </c>
      <c r="H4292" t="str">
        <f>IFERROR(VLOOKUP($A4292,原始数据_利率互换_FR007_1年!$A$6:$C$4395,2,0),"")</f>
        <v/>
      </c>
      <c r="I4292" t="str">
        <f>IFERROR(VLOOKUP($A4292,原始数据_利率互换_FR007_1年!$A$6:$C$4395,3,0),"")</f>
        <v/>
      </c>
    </row>
    <row r="4293" spans="1:9">
      <c r="A4293" s="6">
        <v>43786</v>
      </c>
      <c r="B4293" t="str">
        <f>IFERROR(VLOOKUP($A4293,原始数据_收盘!$A$4:$G$3460,2,0),"")</f>
        <v/>
      </c>
      <c r="C4293" t="str">
        <f>IFERROR(VLOOKUP($A4293,原始数据_收盘!$A$4:$G$3460,3,0),"")</f>
        <v/>
      </c>
      <c r="D4293" t="str">
        <f>IFERROR(VLOOKUP($A4293,原始数据_收盘!$A$4:$G$3460,4,0),"")</f>
        <v/>
      </c>
      <c r="E4293" t="str">
        <f>IFERROR(VLOOKUP($A4293,原始数据_收盘!$A$4:$G$3460,5,0),"")</f>
        <v/>
      </c>
      <c r="F4293" t="str">
        <f>IFERROR(VLOOKUP($A4293,原始数据_收盘!$A$4:$G$3460,6,0),"")</f>
        <v/>
      </c>
      <c r="G4293" t="str">
        <f>IFERROR(VLOOKUP($A4293,原始数据_收盘!$A$4:$G$3460,7,0),"")</f>
        <v/>
      </c>
      <c r="H4293" t="str">
        <f>IFERROR(VLOOKUP($A4293,原始数据_利率互换_FR007_1年!$A$6:$C$4395,2,0),"")</f>
        <v/>
      </c>
      <c r="I4293" t="str">
        <f>IFERROR(VLOOKUP($A4293,原始数据_利率互换_FR007_1年!$A$6:$C$4395,3,0),"")</f>
        <v/>
      </c>
    </row>
    <row r="4294" spans="1:9">
      <c r="A4294" s="6">
        <v>43787</v>
      </c>
      <c r="B4294">
        <f>IFERROR(VLOOKUP($A4294,原始数据_收盘!$A$4:$G$3460,2,0),"")</f>
        <v>2.735</v>
      </c>
      <c r="C4294">
        <f>IFERROR(VLOOKUP($A4294,原始数据_收盘!$A$4:$G$3460,3,0),"")</f>
        <v>3.025</v>
      </c>
      <c r="D4294">
        <f>IFERROR(VLOOKUP($A4294,原始数据_收盘!$A$4:$G$3460,4,0),"")</f>
        <v>2.7375</v>
      </c>
      <c r="E4294">
        <f>IFERROR(VLOOKUP($A4294,原始数据_收盘!$A$4:$G$3460,5,0),"")</f>
        <v>3.028</v>
      </c>
      <c r="F4294">
        <f>IFERROR(VLOOKUP($A4294,原始数据_收盘!$A$4:$G$3460,6,0),"")</f>
        <v>2.7363</v>
      </c>
      <c r="G4294">
        <f>IFERROR(VLOOKUP($A4294,原始数据_收盘!$A$4:$G$3460,7,0),"")</f>
        <v>3.0265</v>
      </c>
      <c r="H4294">
        <f>IFERROR(VLOOKUP($A4294,原始数据_利率互换_FR007_1年!$A$6:$C$4395,2,0),"")</f>
        <v>2.7649</v>
      </c>
      <c r="I4294">
        <f>IFERROR(VLOOKUP($A4294,原始数据_利率互换_FR007_1年!$A$6:$C$4395,3,0),"")</f>
        <v>3.0522</v>
      </c>
    </row>
    <row r="4295" spans="1:9">
      <c r="A4295" s="6">
        <v>43788</v>
      </c>
      <c r="B4295">
        <f>IFERROR(VLOOKUP($A4295,原始数据_收盘!$A$4:$G$3460,2,0),"")</f>
        <v>2.675</v>
      </c>
      <c r="C4295">
        <f>IFERROR(VLOOKUP($A4295,原始数据_收盘!$A$4:$G$3460,3,0),"")</f>
        <v>2.9525</v>
      </c>
      <c r="D4295">
        <f>IFERROR(VLOOKUP($A4295,原始数据_收盘!$A$4:$G$3460,4,0),"")</f>
        <v>2.6789</v>
      </c>
      <c r="E4295">
        <f>IFERROR(VLOOKUP($A4295,原始数据_收盘!$A$4:$G$3460,5,0),"")</f>
        <v>2.955</v>
      </c>
      <c r="F4295">
        <f>IFERROR(VLOOKUP($A4295,原始数据_收盘!$A$4:$G$3460,6,0),"")</f>
        <v>2.6769</v>
      </c>
      <c r="G4295">
        <f>IFERROR(VLOOKUP($A4295,原始数据_收盘!$A$4:$G$3460,7,0),"")</f>
        <v>2.9538</v>
      </c>
      <c r="H4295">
        <f>IFERROR(VLOOKUP($A4295,原始数据_利率互换_FR007_1年!$A$6:$C$4395,2,0),"")</f>
        <v>2.6905</v>
      </c>
      <c r="I4295">
        <f>IFERROR(VLOOKUP($A4295,原始数据_利率互换_FR007_1年!$A$6:$C$4395,3,0),"")</f>
        <v>2.9854</v>
      </c>
    </row>
    <row r="4296" spans="1:9">
      <c r="A4296" s="6">
        <v>43789</v>
      </c>
      <c r="B4296">
        <f>IFERROR(VLOOKUP($A4296,原始数据_收盘!$A$4:$G$3460,2,0),"")</f>
        <v>2.6406</v>
      </c>
      <c r="C4296">
        <f>IFERROR(VLOOKUP($A4296,原始数据_收盘!$A$4:$G$3460,3,0),"")</f>
        <v>2.9375</v>
      </c>
      <c r="D4296">
        <f>IFERROR(VLOOKUP($A4296,原始数据_收盘!$A$4:$G$3460,4,0),"")</f>
        <v>2.645</v>
      </c>
      <c r="E4296">
        <f>IFERROR(VLOOKUP($A4296,原始数据_收盘!$A$4:$G$3460,5,0),"")</f>
        <v>2.94</v>
      </c>
      <c r="F4296">
        <f>IFERROR(VLOOKUP($A4296,原始数据_收盘!$A$4:$G$3460,6,0),"")</f>
        <v>2.6428</v>
      </c>
      <c r="G4296">
        <f>IFERROR(VLOOKUP($A4296,原始数据_收盘!$A$4:$G$3460,7,0),"")</f>
        <v>2.9388</v>
      </c>
      <c r="H4296">
        <f>IFERROR(VLOOKUP($A4296,原始数据_利率互换_FR007_1年!$A$6:$C$4395,2,0),"")</f>
        <v>2.6497</v>
      </c>
      <c r="I4296">
        <f>IFERROR(VLOOKUP($A4296,原始数据_利率互换_FR007_1年!$A$6:$C$4395,3,0),"")</f>
        <v>2.9454</v>
      </c>
    </row>
    <row r="4297" spans="1:9">
      <c r="A4297" s="6">
        <v>43790</v>
      </c>
      <c r="B4297">
        <f>IFERROR(VLOOKUP($A4297,原始数据_收盘!$A$4:$G$3460,2,0),"")</f>
        <v>2.64</v>
      </c>
      <c r="C4297">
        <f>IFERROR(VLOOKUP($A4297,原始数据_收盘!$A$4:$G$3460,3,0),"")</f>
        <v>2.9375</v>
      </c>
      <c r="D4297">
        <f>IFERROR(VLOOKUP($A4297,原始数据_收盘!$A$4:$G$3460,4,0),"")</f>
        <v>2.6475</v>
      </c>
      <c r="E4297">
        <f>IFERROR(VLOOKUP($A4297,原始数据_收盘!$A$4:$G$3460,5,0),"")</f>
        <v>2.94</v>
      </c>
      <c r="F4297">
        <f>IFERROR(VLOOKUP($A4297,原始数据_收盘!$A$4:$G$3460,6,0),"")</f>
        <v>2.6438</v>
      </c>
      <c r="G4297">
        <f>IFERROR(VLOOKUP($A4297,原始数据_收盘!$A$4:$G$3460,7,0),"")</f>
        <v>2.9388</v>
      </c>
      <c r="H4297">
        <f>IFERROR(VLOOKUP($A4297,原始数据_利率互换_FR007_1年!$A$6:$C$4395,2,0),"")</f>
        <v>2.6376</v>
      </c>
      <c r="I4297">
        <f>IFERROR(VLOOKUP($A4297,原始数据_利率互换_FR007_1年!$A$6:$C$4395,3,0),"")</f>
        <v>2.9283</v>
      </c>
    </row>
    <row r="4298" spans="1:9">
      <c r="A4298" s="6">
        <v>43791</v>
      </c>
      <c r="B4298">
        <f>IFERROR(VLOOKUP($A4298,原始数据_收盘!$A$4:$G$3460,2,0),"")</f>
        <v>2.6417</v>
      </c>
      <c r="C4298">
        <f>IFERROR(VLOOKUP($A4298,原始数据_收盘!$A$4:$G$3460,3,0),"")</f>
        <v>2.9375</v>
      </c>
      <c r="D4298">
        <f>IFERROR(VLOOKUP($A4298,原始数据_收盘!$A$4:$G$3460,4,0),"")</f>
        <v>2.645</v>
      </c>
      <c r="E4298">
        <f>IFERROR(VLOOKUP($A4298,原始数据_收盘!$A$4:$G$3460,5,0),"")</f>
        <v>2.94</v>
      </c>
      <c r="F4298">
        <f>IFERROR(VLOOKUP($A4298,原始数据_收盘!$A$4:$G$3460,6,0),"")</f>
        <v>2.6433</v>
      </c>
      <c r="G4298">
        <f>IFERROR(VLOOKUP($A4298,原始数据_收盘!$A$4:$G$3460,7,0),"")</f>
        <v>2.9388</v>
      </c>
      <c r="H4298">
        <f>IFERROR(VLOOKUP($A4298,原始数据_利率互换_FR007_1年!$A$6:$C$4395,2,0),"")</f>
        <v>2.6498</v>
      </c>
      <c r="I4298">
        <f>IFERROR(VLOOKUP($A4298,原始数据_利率互换_FR007_1年!$A$6:$C$4395,3,0),"")</f>
        <v>2.951</v>
      </c>
    </row>
    <row r="4299" spans="1:9">
      <c r="A4299" s="6">
        <v>43792</v>
      </c>
      <c r="B4299" t="str">
        <f>IFERROR(VLOOKUP($A4299,原始数据_收盘!$A$4:$G$3460,2,0),"")</f>
        <v/>
      </c>
      <c r="C4299" t="str">
        <f>IFERROR(VLOOKUP($A4299,原始数据_收盘!$A$4:$G$3460,3,0),"")</f>
        <v/>
      </c>
      <c r="D4299" t="str">
        <f>IFERROR(VLOOKUP($A4299,原始数据_收盘!$A$4:$G$3460,4,0),"")</f>
        <v/>
      </c>
      <c r="E4299" t="str">
        <f>IFERROR(VLOOKUP($A4299,原始数据_收盘!$A$4:$G$3460,5,0),"")</f>
        <v/>
      </c>
      <c r="F4299" t="str">
        <f>IFERROR(VLOOKUP($A4299,原始数据_收盘!$A$4:$G$3460,6,0),"")</f>
        <v/>
      </c>
      <c r="G4299" t="str">
        <f>IFERROR(VLOOKUP($A4299,原始数据_收盘!$A$4:$G$3460,7,0),"")</f>
        <v/>
      </c>
      <c r="H4299" t="str">
        <f>IFERROR(VLOOKUP($A4299,原始数据_利率互换_FR007_1年!$A$6:$C$4395,2,0),"")</f>
        <v/>
      </c>
      <c r="I4299" t="str">
        <f>IFERROR(VLOOKUP($A4299,原始数据_利率互换_FR007_1年!$A$6:$C$4395,3,0),"")</f>
        <v/>
      </c>
    </row>
    <row r="4300" spans="1:9">
      <c r="A4300" s="6">
        <v>43793</v>
      </c>
      <c r="B4300" t="str">
        <f>IFERROR(VLOOKUP($A4300,原始数据_收盘!$A$4:$G$3460,2,0),"")</f>
        <v/>
      </c>
      <c r="C4300" t="str">
        <f>IFERROR(VLOOKUP($A4300,原始数据_收盘!$A$4:$G$3460,3,0),"")</f>
        <v/>
      </c>
      <c r="D4300" t="str">
        <f>IFERROR(VLOOKUP($A4300,原始数据_收盘!$A$4:$G$3460,4,0),"")</f>
        <v/>
      </c>
      <c r="E4300" t="str">
        <f>IFERROR(VLOOKUP($A4300,原始数据_收盘!$A$4:$G$3460,5,0),"")</f>
        <v/>
      </c>
      <c r="F4300" t="str">
        <f>IFERROR(VLOOKUP($A4300,原始数据_收盘!$A$4:$G$3460,6,0),"")</f>
        <v/>
      </c>
      <c r="G4300" t="str">
        <f>IFERROR(VLOOKUP($A4300,原始数据_收盘!$A$4:$G$3460,7,0),"")</f>
        <v/>
      </c>
      <c r="H4300" t="str">
        <f>IFERROR(VLOOKUP($A4300,原始数据_利率互换_FR007_1年!$A$6:$C$4395,2,0),"")</f>
        <v/>
      </c>
      <c r="I4300" t="str">
        <f>IFERROR(VLOOKUP($A4300,原始数据_利率互换_FR007_1年!$A$6:$C$4395,3,0),"")</f>
        <v/>
      </c>
    </row>
    <row r="4301" spans="1:9">
      <c r="A4301" s="6">
        <v>43794</v>
      </c>
      <c r="B4301">
        <f>IFERROR(VLOOKUP($A4301,原始数据_收盘!$A$4:$G$3460,2,0),"")</f>
        <v>2.6825</v>
      </c>
      <c r="C4301">
        <f>IFERROR(VLOOKUP($A4301,原始数据_收盘!$A$4:$G$3460,3,0),"")</f>
        <v>2.9763</v>
      </c>
      <c r="D4301">
        <f>IFERROR(VLOOKUP($A4301,原始数据_收盘!$A$4:$G$3460,4,0),"")</f>
        <v>2.6852</v>
      </c>
      <c r="E4301">
        <f>IFERROR(VLOOKUP($A4301,原始数据_收盘!$A$4:$G$3460,5,0),"")</f>
        <v>2.98</v>
      </c>
      <c r="F4301">
        <f>IFERROR(VLOOKUP($A4301,原始数据_收盘!$A$4:$G$3460,6,0),"")</f>
        <v>2.6838</v>
      </c>
      <c r="G4301">
        <f>IFERROR(VLOOKUP($A4301,原始数据_收盘!$A$4:$G$3460,7,0),"")</f>
        <v>2.9782</v>
      </c>
      <c r="H4301">
        <f>IFERROR(VLOOKUP($A4301,原始数据_利率互换_FR007_1年!$A$6:$C$4395,2,0),"")</f>
        <v>2.6741</v>
      </c>
      <c r="I4301">
        <f>IFERROR(VLOOKUP($A4301,原始数据_利率互换_FR007_1年!$A$6:$C$4395,3,0),"")</f>
        <v>2.9744</v>
      </c>
    </row>
    <row r="4302" spans="1:9">
      <c r="A4302" s="6">
        <v>43795</v>
      </c>
      <c r="B4302">
        <f>IFERROR(VLOOKUP($A4302,原始数据_收盘!$A$4:$G$3460,2,0),"")</f>
        <v>2.675</v>
      </c>
      <c r="C4302">
        <f>IFERROR(VLOOKUP($A4302,原始数据_收盘!$A$4:$G$3460,3,0),"")</f>
        <v>2.97</v>
      </c>
      <c r="D4302">
        <f>IFERROR(VLOOKUP($A4302,原始数据_收盘!$A$4:$G$3460,4,0),"")</f>
        <v>2.68</v>
      </c>
      <c r="E4302">
        <f>IFERROR(VLOOKUP($A4302,原始数据_收盘!$A$4:$G$3460,5,0),"")</f>
        <v>2.975</v>
      </c>
      <c r="F4302">
        <f>IFERROR(VLOOKUP($A4302,原始数据_收盘!$A$4:$G$3460,6,0),"")</f>
        <v>2.6775</v>
      </c>
      <c r="G4302">
        <f>IFERROR(VLOOKUP($A4302,原始数据_收盘!$A$4:$G$3460,7,0),"")</f>
        <v>2.9725</v>
      </c>
      <c r="H4302">
        <f>IFERROR(VLOOKUP($A4302,原始数据_利率互换_FR007_1年!$A$6:$C$4395,2,0),"")</f>
        <v>2.6881</v>
      </c>
      <c r="I4302">
        <f>IFERROR(VLOOKUP($A4302,原始数据_利率互换_FR007_1年!$A$6:$C$4395,3,0),"")</f>
        <v>2.9812</v>
      </c>
    </row>
    <row r="4303" spans="1:9">
      <c r="A4303" s="6">
        <v>43796</v>
      </c>
      <c r="B4303">
        <f>IFERROR(VLOOKUP($A4303,原始数据_收盘!$A$4:$G$3460,2,0),"")</f>
        <v>2.6875</v>
      </c>
      <c r="C4303">
        <f>IFERROR(VLOOKUP($A4303,原始数据_收盘!$A$4:$G$3460,3,0),"")</f>
        <v>2.9775</v>
      </c>
      <c r="D4303">
        <f>IFERROR(VLOOKUP($A4303,原始数据_收盘!$A$4:$G$3460,4,0),"")</f>
        <v>2.6916</v>
      </c>
      <c r="E4303">
        <f>IFERROR(VLOOKUP($A4303,原始数据_收盘!$A$4:$G$3460,5,0),"")</f>
        <v>2.98</v>
      </c>
      <c r="F4303">
        <f>IFERROR(VLOOKUP($A4303,原始数据_收盘!$A$4:$G$3460,6,0),"")</f>
        <v>2.6896</v>
      </c>
      <c r="G4303">
        <f>IFERROR(VLOOKUP($A4303,原始数据_收盘!$A$4:$G$3460,7,0),"")</f>
        <v>2.9788</v>
      </c>
      <c r="H4303">
        <f>IFERROR(VLOOKUP($A4303,原始数据_利率互换_FR007_1年!$A$6:$C$4395,2,0),"")</f>
        <v>2.6859</v>
      </c>
      <c r="I4303">
        <f>IFERROR(VLOOKUP($A4303,原始数据_利率互换_FR007_1年!$A$6:$C$4395,3,0),"")</f>
        <v>2.9731</v>
      </c>
    </row>
    <row r="4304" spans="1:9">
      <c r="A4304" s="6">
        <v>43797</v>
      </c>
      <c r="B4304">
        <f>IFERROR(VLOOKUP($A4304,原始数据_收盘!$A$4:$G$3460,2,0),"")</f>
        <v>2.6875</v>
      </c>
      <c r="C4304">
        <f>IFERROR(VLOOKUP($A4304,原始数据_收盘!$A$4:$G$3460,3,0),"")</f>
        <v>2.975</v>
      </c>
      <c r="D4304">
        <f>IFERROR(VLOOKUP($A4304,原始数据_收盘!$A$4:$G$3460,4,0),"")</f>
        <v>2.69</v>
      </c>
      <c r="E4304">
        <f>IFERROR(VLOOKUP($A4304,原始数据_收盘!$A$4:$G$3460,5,0),"")</f>
        <v>2.98</v>
      </c>
      <c r="F4304">
        <f>IFERROR(VLOOKUP($A4304,原始数据_收盘!$A$4:$G$3460,6,0),"")</f>
        <v>2.6888</v>
      </c>
      <c r="G4304">
        <f>IFERROR(VLOOKUP($A4304,原始数据_收盘!$A$4:$G$3460,7,0),"")</f>
        <v>2.9775</v>
      </c>
      <c r="H4304">
        <f>IFERROR(VLOOKUP($A4304,原始数据_利率互换_FR007_1年!$A$6:$C$4395,2,0),"")</f>
        <v>2.6901</v>
      </c>
      <c r="I4304">
        <f>IFERROR(VLOOKUP($A4304,原始数据_利率互换_FR007_1年!$A$6:$C$4395,3,0),"")</f>
        <v>2.9799</v>
      </c>
    </row>
    <row r="4305" spans="1:9">
      <c r="A4305" s="6">
        <v>43798</v>
      </c>
      <c r="B4305">
        <f>IFERROR(VLOOKUP($A4305,原始数据_收盘!$A$4:$G$3460,2,0),"")</f>
        <v>2.6753</v>
      </c>
      <c r="C4305">
        <f>IFERROR(VLOOKUP($A4305,原始数据_收盘!$A$4:$G$3460,3,0),"")</f>
        <v>2.9675</v>
      </c>
      <c r="D4305">
        <f>IFERROR(VLOOKUP($A4305,原始数据_收盘!$A$4:$G$3460,4,0),"")</f>
        <v>2.68</v>
      </c>
      <c r="E4305">
        <f>IFERROR(VLOOKUP($A4305,原始数据_收盘!$A$4:$G$3460,5,0),"")</f>
        <v>2.9707</v>
      </c>
      <c r="F4305">
        <f>IFERROR(VLOOKUP($A4305,原始数据_收盘!$A$4:$G$3460,6,0),"")</f>
        <v>2.6777</v>
      </c>
      <c r="G4305">
        <f>IFERROR(VLOOKUP($A4305,原始数据_收盘!$A$4:$G$3460,7,0),"")</f>
        <v>2.9691</v>
      </c>
      <c r="H4305">
        <f>IFERROR(VLOOKUP($A4305,原始数据_利率互换_FR007_1年!$A$6:$C$4395,2,0),"")</f>
        <v>2.6805</v>
      </c>
      <c r="I4305">
        <f>IFERROR(VLOOKUP($A4305,原始数据_利率互换_FR007_1年!$A$6:$C$4395,3,0),"")</f>
        <v>2.9739</v>
      </c>
    </row>
    <row r="4306" spans="1:9">
      <c r="A4306" s="6">
        <v>43799</v>
      </c>
      <c r="B4306" t="str">
        <f>IFERROR(VLOOKUP($A4306,原始数据_收盘!$A$4:$G$3460,2,0),"")</f>
        <v/>
      </c>
      <c r="C4306" t="str">
        <f>IFERROR(VLOOKUP($A4306,原始数据_收盘!$A$4:$G$3460,3,0),"")</f>
        <v/>
      </c>
      <c r="D4306" t="str">
        <f>IFERROR(VLOOKUP($A4306,原始数据_收盘!$A$4:$G$3460,4,0),"")</f>
        <v/>
      </c>
      <c r="E4306" t="str">
        <f>IFERROR(VLOOKUP($A4306,原始数据_收盘!$A$4:$G$3460,5,0),"")</f>
        <v/>
      </c>
      <c r="F4306" t="str">
        <f>IFERROR(VLOOKUP($A4306,原始数据_收盘!$A$4:$G$3460,6,0),"")</f>
        <v/>
      </c>
      <c r="G4306" t="str">
        <f>IFERROR(VLOOKUP($A4306,原始数据_收盘!$A$4:$G$3460,7,0),"")</f>
        <v/>
      </c>
      <c r="H4306" t="str">
        <f>IFERROR(VLOOKUP($A4306,原始数据_利率互换_FR007_1年!$A$6:$C$4395,2,0),"")</f>
        <v/>
      </c>
      <c r="I4306" t="str">
        <f>IFERROR(VLOOKUP($A4306,原始数据_利率互换_FR007_1年!$A$6:$C$4395,3,0),"")</f>
        <v/>
      </c>
    </row>
    <row r="4307" spans="1:9">
      <c r="A4307" s="6">
        <v>43800</v>
      </c>
      <c r="B4307" t="str">
        <f>IFERROR(VLOOKUP($A4307,原始数据_收盘!$A$4:$G$3460,2,0),"")</f>
        <v/>
      </c>
      <c r="C4307" t="str">
        <f>IFERROR(VLOOKUP($A4307,原始数据_收盘!$A$4:$G$3460,3,0),"")</f>
        <v/>
      </c>
      <c r="D4307" t="str">
        <f>IFERROR(VLOOKUP($A4307,原始数据_收盘!$A$4:$G$3460,4,0),"")</f>
        <v/>
      </c>
      <c r="E4307" t="str">
        <f>IFERROR(VLOOKUP($A4307,原始数据_收盘!$A$4:$G$3460,5,0),"")</f>
        <v/>
      </c>
      <c r="F4307" t="str">
        <f>IFERROR(VLOOKUP($A4307,原始数据_收盘!$A$4:$G$3460,6,0),"")</f>
        <v/>
      </c>
      <c r="G4307" t="str">
        <f>IFERROR(VLOOKUP($A4307,原始数据_收盘!$A$4:$G$3460,7,0),"")</f>
        <v/>
      </c>
      <c r="H4307" t="str">
        <f>IFERROR(VLOOKUP($A4307,原始数据_利率互换_FR007_1年!$A$6:$C$4395,2,0),"")</f>
        <v/>
      </c>
      <c r="I4307" t="str">
        <f>IFERROR(VLOOKUP($A4307,原始数据_利率互换_FR007_1年!$A$6:$C$4395,3,0),"")</f>
        <v/>
      </c>
    </row>
    <row r="4308" spans="1:9">
      <c r="A4308" s="6">
        <v>43801</v>
      </c>
      <c r="B4308">
        <f>IFERROR(VLOOKUP($A4308,原始数据_收盘!$A$4:$G$3460,2,0),"")</f>
        <v>2.6967</v>
      </c>
      <c r="C4308">
        <f>IFERROR(VLOOKUP($A4308,原始数据_收盘!$A$4:$G$3460,3,0),"")</f>
        <v>3.0121</v>
      </c>
      <c r="D4308">
        <f>IFERROR(VLOOKUP($A4308,原始数据_收盘!$A$4:$G$3460,4,0),"")</f>
        <v>2.7</v>
      </c>
      <c r="E4308">
        <f>IFERROR(VLOOKUP($A4308,原始数据_收盘!$A$4:$G$3460,5,0),"")</f>
        <v>3.015</v>
      </c>
      <c r="F4308">
        <f>IFERROR(VLOOKUP($A4308,原始数据_收盘!$A$4:$G$3460,6,0),"")</f>
        <v>2.6983</v>
      </c>
      <c r="G4308">
        <f>IFERROR(VLOOKUP($A4308,原始数据_收盘!$A$4:$G$3460,7,0),"")</f>
        <v>3.0135</v>
      </c>
      <c r="H4308">
        <f>IFERROR(VLOOKUP($A4308,原始数据_利率互换_FR007_1年!$A$6:$C$4395,2,0),"")</f>
        <v>2.6979</v>
      </c>
      <c r="I4308">
        <f>IFERROR(VLOOKUP($A4308,原始数据_利率互换_FR007_1年!$A$6:$C$4395,3,0),"")</f>
        <v>3.0069</v>
      </c>
    </row>
    <row r="4309" spans="1:9">
      <c r="A4309" s="6">
        <v>43802</v>
      </c>
      <c r="B4309">
        <f>IFERROR(VLOOKUP($A4309,原始数据_收盘!$A$4:$G$3460,2,0),"")</f>
        <v>2.68</v>
      </c>
      <c r="C4309">
        <f>IFERROR(VLOOKUP($A4309,原始数据_收盘!$A$4:$G$3460,3,0),"")</f>
        <v>2.99</v>
      </c>
      <c r="D4309">
        <f>IFERROR(VLOOKUP($A4309,原始数据_收盘!$A$4:$G$3460,4,0),"")</f>
        <v>2.6875</v>
      </c>
      <c r="E4309">
        <f>IFERROR(VLOOKUP($A4309,原始数据_收盘!$A$4:$G$3460,5,0),"")</f>
        <v>2.9933</v>
      </c>
      <c r="F4309">
        <f>IFERROR(VLOOKUP($A4309,原始数据_收盘!$A$4:$G$3460,6,0),"")</f>
        <v>2.6838</v>
      </c>
      <c r="G4309">
        <f>IFERROR(VLOOKUP($A4309,原始数据_收盘!$A$4:$G$3460,7,0),"")</f>
        <v>2.9917</v>
      </c>
      <c r="H4309">
        <f>IFERROR(VLOOKUP($A4309,原始数据_利率互换_FR007_1年!$A$6:$C$4395,2,0),"")</f>
        <v>2.6928</v>
      </c>
      <c r="I4309">
        <f>IFERROR(VLOOKUP($A4309,原始数据_利率互换_FR007_1年!$A$6:$C$4395,3,0),"")</f>
        <v>3.0073</v>
      </c>
    </row>
    <row r="4310" spans="1:9">
      <c r="A4310" s="6">
        <v>43803</v>
      </c>
      <c r="B4310">
        <f>IFERROR(VLOOKUP($A4310,原始数据_收盘!$A$4:$G$3460,2,0),"")</f>
        <v>2.67</v>
      </c>
      <c r="C4310">
        <f>IFERROR(VLOOKUP($A4310,原始数据_收盘!$A$4:$G$3460,3,0),"")</f>
        <v>2.9722</v>
      </c>
      <c r="D4310">
        <f>IFERROR(VLOOKUP($A4310,原始数据_收盘!$A$4:$G$3460,4,0),"")</f>
        <v>2.675</v>
      </c>
      <c r="E4310">
        <f>IFERROR(VLOOKUP($A4310,原始数据_收盘!$A$4:$G$3460,5,0),"")</f>
        <v>2.975</v>
      </c>
      <c r="F4310">
        <f>IFERROR(VLOOKUP($A4310,原始数据_收盘!$A$4:$G$3460,6,0),"")</f>
        <v>2.6725</v>
      </c>
      <c r="G4310">
        <f>IFERROR(VLOOKUP($A4310,原始数据_收盘!$A$4:$G$3460,7,0),"")</f>
        <v>2.9736</v>
      </c>
      <c r="H4310">
        <f>IFERROR(VLOOKUP($A4310,原始数据_利率互换_FR007_1年!$A$6:$C$4395,2,0),"")</f>
        <v>2.6753</v>
      </c>
      <c r="I4310">
        <f>IFERROR(VLOOKUP($A4310,原始数据_利率互换_FR007_1年!$A$6:$C$4395,3,0),"")</f>
        <v>2.9762</v>
      </c>
    </row>
    <row r="4311" spans="1:9">
      <c r="A4311" s="6">
        <v>43804</v>
      </c>
      <c r="B4311">
        <f>IFERROR(VLOOKUP($A4311,原始数据_收盘!$A$4:$G$3460,2,0),"")</f>
        <v>2.675</v>
      </c>
      <c r="C4311">
        <f>IFERROR(VLOOKUP($A4311,原始数据_收盘!$A$4:$G$3460,3,0),"")</f>
        <v>2.9799</v>
      </c>
      <c r="D4311">
        <f>IFERROR(VLOOKUP($A4311,原始数据_收盘!$A$4:$G$3460,4,0),"")</f>
        <v>2.68</v>
      </c>
      <c r="E4311">
        <f>IFERROR(VLOOKUP($A4311,原始数据_收盘!$A$4:$G$3460,5,0),"")</f>
        <v>2.9825</v>
      </c>
      <c r="F4311">
        <f>IFERROR(VLOOKUP($A4311,原始数据_收盘!$A$4:$G$3460,6,0),"")</f>
        <v>2.6775</v>
      </c>
      <c r="G4311">
        <f>IFERROR(VLOOKUP($A4311,原始数据_收盘!$A$4:$G$3460,7,0),"")</f>
        <v>2.9812</v>
      </c>
      <c r="H4311">
        <f>IFERROR(VLOOKUP($A4311,原始数据_利率互换_FR007_1年!$A$6:$C$4395,2,0),"")</f>
        <v>2.6746</v>
      </c>
      <c r="I4311">
        <f>IFERROR(VLOOKUP($A4311,原始数据_利率互换_FR007_1年!$A$6:$C$4395,3,0),"")</f>
        <v>2.9818</v>
      </c>
    </row>
    <row r="4312" spans="1:9">
      <c r="A4312" s="6">
        <v>43805</v>
      </c>
      <c r="B4312">
        <f>IFERROR(VLOOKUP($A4312,原始数据_收盘!$A$4:$G$3460,2,0),"")</f>
        <v>2.6975</v>
      </c>
      <c r="C4312">
        <f>IFERROR(VLOOKUP($A4312,原始数据_收盘!$A$4:$G$3460,3,0),"")</f>
        <v>3.0075</v>
      </c>
      <c r="D4312">
        <f>IFERROR(VLOOKUP($A4312,原始数据_收盘!$A$4:$G$3460,4,0),"")</f>
        <v>2.7025</v>
      </c>
      <c r="E4312">
        <f>IFERROR(VLOOKUP($A4312,原始数据_收盘!$A$4:$G$3460,5,0),"")</f>
        <v>3.0125</v>
      </c>
      <c r="F4312">
        <f>IFERROR(VLOOKUP($A4312,原始数据_收盘!$A$4:$G$3460,6,0),"")</f>
        <v>2.7</v>
      </c>
      <c r="G4312">
        <f>IFERROR(VLOOKUP($A4312,原始数据_收盘!$A$4:$G$3460,7,0),"")</f>
        <v>3.01</v>
      </c>
      <c r="H4312">
        <f>IFERROR(VLOOKUP($A4312,原始数据_利率互换_FR007_1年!$A$6:$C$4395,2,0),"")</f>
        <v>2.6853</v>
      </c>
      <c r="I4312">
        <f>IFERROR(VLOOKUP($A4312,原始数据_利率互换_FR007_1年!$A$6:$C$4395,3,0),"")</f>
        <v>2.999</v>
      </c>
    </row>
    <row r="4313" spans="1:9">
      <c r="A4313" s="6">
        <v>43806</v>
      </c>
      <c r="B4313" t="str">
        <f>IFERROR(VLOOKUP($A4313,原始数据_收盘!$A$4:$G$3460,2,0),"")</f>
        <v/>
      </c>
      <c r="C4313" t="str">
        <f>IFERROR(VLOOKUP($A4313,原始数据_收盘!$A$4:$G$3460,3,0),"")</f>
        <v/>
      </c>
      <c r="D4313" t="str">
        <f>IFERROR(VLOOKUP($A4313,原始数据_收盘!$A$4:$G$3460,4,0),"")</f>
        <v/>
      </c>
      <c r="E4313" t="str">
        <f>IFERROR(VLOOKUP($A4313,原始数据_收盘!$A$4:$G$3460,5,0),"")</f>
        <v/>
      </c>
      <c r="F4313" t="str">
        <f>IFERROR(VLOOKUP($A4313,原始数据_收盘!$A$4:$G$3460,6,0),"")</f>
        <v/>
      </c>
      <c r="G4313" t="str">
        <f>IFERROR(VLOOKUP($A4313,原始数据_收盘!$A$4:$G$3460,7,0),"")</f>
        <v/>
      </c>
      <c r="H4313" t="str">
        <f>IFERROR(VLOOKUP($A4313,原始数据_利率互换_FR007_1年!$A$6:$C$4395,2,0),"")</f>
        <v/>
      </c>
      <c r="I4313" t="str">
        <f>IFERROR(VLOOKUP($A4313,原始数据_利率互换_FR007_1年!$A$6:$C$4395,3,0),"")</f>
        <v/>
      </c>
    </row>
    <row r="4314" spans="1:9">
      <c r="A4314" s="6">
        <v>43807</v>
      </c>
      <c r="B4314" t="str">
        <f>IFERROR(VLOOKUP($A4314,原始数据_收盘!$A$4:$G$3460,2,0),"")</f>
        <v/>
      </c>
      <c r="C4314" t="str">
        <f>IFERROR(VLOOKUP($A4314,原始数据_收盘!$A$4:$G$3460,3,0),"")</f>
        <v/>
      </c>
      <c r="D4314" t="str">
        <f>IFERROR(VLOOKUP($A4314,原始数据_收盘!$A$4:$G$3460,4,0),"")</f>
        <v/>
      </c>
      <c r="E4314" t="str">
        <f>IFERROR(VLOOKUP($A4314,原始数据_收盘!$A$4:$G$3460,5,0),"")</f>
        <v/>
      </c>
      <c r="F4314" t="str">
        <f>IFERROR(VLOOKUP($A4314,原始数据_收盘!$A$4:$G$3460,6,0),"")</f>
        <v/>
      </c>
      <c r="G4314" t="str">
        <f>IFERROR(VLOOKUP($A4314,原始数据_收盘!$A$4:$G$3460,7,0),"")</f>
        <v/>
      </c>
      <c r="H4314" t="str">
        <f>IFERROR(VLOOKUP($A4314,原始数据_利率互换_FR007_1年!$A$6:$C$4395,2,0),"")</f>
        <v/>
      </c>
      <c r="I4314" t="str">
        <f>IFERROR(VLOOKUP($A4314,原始数据_利率互换_FR007_1年!$A$6:$C$4395,3,0),"")</f>
        <v/>
      </c>
    </row>
    <row r="4315" spans="1:9">
      <c r="A4315" s="6">
        <v>43808</v>
      </c>
      <c r="B4315">
        <f>IFERROR(VLOOKUP($A4315,原始数据_收盘!$A$4:$G$3460,2,0),"")</f>
        <v>2.7075</v>
      </c>
      <c r="C4315">
        <f>IFERROR(VLOOKUP($A4315,原始数据_收盘!$A$4:$G$3460,3,0),"")</f>
        <v>3.02</v>
      </c>
      <c r="D4315">
        <f>IFERROR(VLOOKUP($A4315,原始数据_收盘!$A$4:$G$3460,4,0),"")</f>
        <v>2.71</v>
      </c>
      <c r="E4315">
        <f>IFERROR(VLOOKUP($A4315,原始数据_收盘!$A$4:$G$3460,5,0),"")</f>
        <v>3.0225</v>
      </c>
      <c r="F4315">
        <f>IFERROR(VLOOKUP($A4315,原始数据_收盘!$A$4:$G$3460,6,0),"")</f>
        <v>2.7088</v>
      </c>
      <c r="G4315">
        <f>IFERROR(VLOOKUP($A4315,原始数据_收盘!$A$4:$G$3460,7,0),"")</f>
        <v>3.0213</v>
      </c>
      <c r="H4315">
        <f>IFERROR(VLOOKUP($A4315,原始数据_利率互换_FR007_1年!$A$6:$C$4395,2,0),"")</f>
        <v>2.7051</v>
      </c>
      <c r="I4315">
        <f>IFERROR(VLOOKUP($A4315,原始数据_利率互换_FR007_1年!$A$6:$C$4395,3,0),"")</f>
        <v>3.0191</v>
      </c>
    </row>
    <row r="4316" spans="1:9">
      <c r="A4316" s="6">
        <v>43809</v>
      </c>
      <c r="B4316">
        <f>IFERROR(VLOOKUP($A4316,原始数据_收盘!$A$4:$G$3460,2,0),"")</f>
        <v>2.6875</v>
      </c>
      <c r="C4316">
        <f>IFERROR(VLOOKUP($A4316,原始数据_收盘!$A$4:$G$3460,3,0),"")</f>
        <v>3</v>
      </c>
      <c r="D4316">
        <f>IFERROR(VLOOKUP($A4316,原始数据_收盘!$A$4:$G$3460,4,0),"")</f>
        <v>2.69</v>
      </c>
      <c r="E4316">
        <f>IFERROR(VLOOKUP($A4316,原始数据_收盘!$A$4:$G$3460,5,0),"")</f>
        <v>3.0025</v>
      </c>
      <c r="F4316">
        <f>IFERROR(VLOOKUP($A4316,原始数据_收盘!$A$4:$G$3460,6,0),"")</f>
        <v>2.6888</v>
      </c>
      <c r="G4316">
        <f>IFERROR(VLOOKUP($A4316,原始数据_收盘!$A$4:$G$3460,7,0),"")</f>
        <v>3.0013</v>
      </c>
      <c r="H4316">
        <f>IFERROR(VLOOKUP($A4316,原始数据_利率互换_FR007_1年!$A$6:$C$4395,2,0),"")</f>
        <v>2.697</v>
      </c>
      <c r="I4316">
        <f>IFERROR(VLOOKUP($A4316,原始数据_利率互换_FR007_1年!$A$6:$C$4395,3,0),"")</f>
        <v>3.0086</v>
      </c>
    </row>
    <row r="4317" spans="1:9">
      <c r="A4317" s="6">
        <v>43810</v>
      </c>
      <c r="B4317">
        <f>IFERROR(VLOOKUP($A4317,原始数据_收盘!$A$4:$G$3460,2,0),"")</f>
        <v>2.6675</v>
      </c>
      <c r="C4317">
        <f>IFERROR(VLOOKUP($A4317,原始数据_收盘!$A$4:$G$3460,3,0),"")</f>
        <v>2.9825</v>
      </c>
      <c r="D4317">
        <f>IFERROR(VLOOKUP($A4317,原始数据_收盘!$A$4:$G$3460,4,0),"")</f>
        <v>2.675</v>
      </c>
      <c r="E4317">
        <f>IFERROR(VLOOKUP($A4317,原始数据_收盘!$A$4:$G$3460,5,0),"")</f>
        <v>2.9857</v>
      </c>
      <c r="F4317">
        <f>IFERROR(VLOOKUP($A4317,原始数据_收盘!$A$4:$G$3460,6,0),"")</f>
        <v>2.6713</v>
      </c>
      <c r="G4317">
        <f>IFERROR(VLOOKUP($A4317,原始数据_收盘!$A$4:$G$3460,7,0),"")</f>
        <v>2.9841</v>
      </c>
      <c r="H4317">
        <f>IFERROR(VLOOKUP($A4317,原始数据_利率互换_FR007_1年!$A$6:$C$4395,2,0),"")</f>
        <v>2.6814</v>
      </c>
      <c r="I4317">
        <f>IFERROR(VLOOKUP($A4317,原始数据_利率互换_FR007_1年!$A$6:$C$4395,3,0),"")</f>
        <v>2.9995</v>
      </c>
    </row>
    <row r="4318" spans="1:9">
      <c r="A4318" s="6">
        <v>43811</v>
      </c>
      <c r="B4318">
        <f>IFERROR(VLOOKUP($A4318,原始数据_收盘!$A$4:$G$3460,2,0),"")</f>
        <v>2.663</v>
      </c>
      <c r="C4318">
        <f>IFERROR(VLOOKUP($A4318,原始数据_收盘!$A$4:$G$3460,3,0),"")</f>
        <v>2.9825</v>
      </c>
      <c r="D4318">
        <f>IFERROR(VLOOKUP($A4318,原始数据_收盘!$A$4:$G$3460,4,0),"")</f>
        <v>2.6671</v>
      </c>
      <c r="E4318">
        <f>IFERROR(VLOOKUP($A4318,原始数据_收盘!$A$4:$G$3460,5,0),"")</f>
        <v>2.985</v>
      </c>
      <c r="F4318">
        <f>IFERROR(VLOOKUP($A4318,原始数据_收盘!$A$4:$G$3460,6,0),"")</f>
        <v>2.6651</v>
      </c>
      <c r="G4318">
        <f>IFERROR(VLOOKUP($A4318,原始数据_收盘!$A$4:$G$3460,7,0),"")</f>
        <v>2.9838</v>
      </c>
      <c r="H4318">
        <f>IFERROR(VLOOKUP($A4318,原始数据_利率互换_FR007_1年!$A$6:$C$4395,2,0),"")</f>
        <v>2.665</v>
      </c>
      <c r="I4318">
        <f>IFERROR(VLOOKUP($A4318,原始数据_利率互换_FR007_1年!$A$6:$C$4395,3,0),"")</f>
        <v>2.9815</v>
      </c>
    </row>
    <row r="4319" spans="1:9">
      <c r="A4319" s="6">
        <v>43812</v>
      </c>
      <c r="B4319">
        <f>IFERROR(VLOOKUP($A4319,原始数据_收盘!$A$4:$G$3460,2,0),"")</f>
        <v>2.6774</v>
      </c>
      <c r="C4319">
        <f>IFERROR(VLOOKUP($A4319,原始数据_收盘!$A$4:$G$3460,3,0),"")</f>
        <v>3.005</v>
      </c>
      <c r="D4319">
        <f>IFERROR(VLOOKUP($A4319,原始数据_收盘!$A$4:$G$3460,4,0),"")</f>
        <v>2.68</v>
      </c>
      <c r="E4319">
        <f>IFERROR(VLOOKUP($A4319,原始数据_收盘!$A$4:$G$3460,5,0),"")</f>
        <v>3.0078</v>
      </c>
      <c r="F4319">
        <f>IFERROR(VLOOKUP($A4319,原始数据_收盘!$A$4:$G$3460,6,0),"")</f>
        <v>2.6787</v>
      </c>
      <c r="G4319">
        <f>IFERROR(VLOOKUP($A4319,原始数据_收盘!$A$4:$G$3460,7,0),"")</f>
        <v>3.0064</v>
      </c>
      <c r="H4319">
        <f>IFERROR(VLOOKUP($A4319,原始数据_利率互换_FR007_1年!$A$6:$C$4395,2,0),"")</f>
        <v>2.6761</v>
      </c>
      <c r="I4319">
        <f>IFERROR(VLOOKUP($A4319,原始数据_利率互换_FR007_1年!$A$6:$C$4395,3,0),"")</f>
        <v>3.0065</v>
      </c>
    </row>
    <row r="4320" spans="1:9">
      <c r="A4320" s="6">
        <v>43813</v>
      </c>
      <c r="B4320" t="str">
        <f>IFERROR(VLOOKUP($A4320,原始数据_收盘!$A$4:$G$3460,2,0),"")</f>
        <v/>
      </c>
      <c r="C4320" t="str">
        <f>IFERROR(VLOOKUP($A4320,原始数据_收盘!$A$4:$G$3460,3,0),"")</f>
        <v/>
      </c>
      <c r="D4320" t="str">
        <f>IFERROR(VLOOKUP($A4320,原始数据_收盘!$A$4:$G$3460,4,0),"")</f>
        <v/>
      </c>
      <c r="E4320" t="str">
        <f>IFERROR(VLOOKUP($A4320,原始数据_收盘!$A$4:$G$3460,5,0),"")</f>
        <v/>
      </c>
      <c r="F4320" t="str">
        <f>IFERROR(VLOOKUP($A4320,原始数据_收盘!$A$4:$G$3460,6,0),"")</f>
        <v/>
      </c>
      <c r="G4320" t="str">
        <f>IFERROR(VLOOKUP($A4320,原始数据_收盘!$A$4:$G$3460,7,0),"")</f>
        <v/>
      </c>
      <c r="H4320" t="str">
        <f>IFERROR(VLOOKUP($A4320,原始数据_利率互换_FR007_1年!$A$6:$C$4395,2,0),"")</f>
        <v/>
      </c>
      <c r="I4320" t="str">
        <f>IFERROR(VLOOKUP($A4320,原始数据_利率互换_FR007_1年!$A$6:$C$4395,3,0),"")</f>
        <v/>
      </c>
    </row>
    <row r="4321" spans="1:9">
      <c r="A4321" s="6">
        <v>43814</v>
      </c>
      <c r="B4321" t="str">
        <f>IFERROR(VLOOKUP($A4321,原始数据_收盘!$A$4:$G$3460,2,0),"")</f>
        <v/>
      </c>
      <c r="C4321" t="str">
        <f>IFERROR(VLOOKUP($A4321,原始数据_收盘!$A$4:$G$3460,3,0),"")</f>
        <v/>
      </c>
      <c r="D4321" t="str">
        <f>IFERROR(VLOOKUP($A4321,原始数据_收盘!$A$4:$G$3460,4,0),"")</f>
        <v/>
      </c>
      <c r="E4321" t="str">
        <f>IFERROR(VLOOKUP($A4321,原始数据_收盘!$A$4:$G$3460,5,0),"")</f>
        <v/>
      </c>
      <c r="F4321" t="str">
        <f>IFERROR(VLOOKUP($A4321,原始数据_收盘!$A$4:$G$3460,6,0),"")</f>
        <v/>
      </c>
      <c r="G4321" t="str">
        <f>IFERROR(VLOOKUP($A4321,原始数据_收盘!$A$4:$G$3460,7,0),"")</f>
        <v/>
      </c>
      <c r="H4321" t="str">
        <f>IFERROR(VLOOKUP($A4321,原始数据_利率互换_FR007_1年!$A$6:$C$4395,2,0),"")</f>
        <v/>
      </c>
      <c r="I4321" t="str">
        <f>IFERROR(VLOOKUP($A4321,原始数据_利率互换_FR007_1年!$A$6:$C$4395,3,0),"")</f>
        <v/>
      </c>
    </row>
    <row r="4322" spans="1:9">
      <c r="A4322" s="6">
        <v>43815</v>
      </c>
      <c r="B4322">
        <f>IFERROR(VLOOKUP($A4322,原始数据_收盘!$A$4:$G$3460,2,0),"")</f>
        <v>2.69</v>
      </c>
      <c r="C4322">
        <f>IFERROR(VLOOKUP($A4322,原始数据_收盘!$A$4:$G$3460,3,0),"")</f>
        <v>3.0175</v>
      </c>
      <c r="D4322">
        <f>IFERROR(VLOOKUP($A4322,原始数据_收盘!$A$4:$G$3460,4,0),"")</f>
        <v>2.692</v>
      </c>
      <c r="E4322">
        <f>IFERROR(VLOOKUP($A4322,原始数据_收盘!$A$4:$G$3460,5,0),"")</f>
        <v>3.02</v>
      </c>
      <c r="F4322">
        <f>IFERROR(VLOOKUP($A4322,原始数据_收盘!$A$4:$G$3460,6,0),"")</f>
        <v>2.691</v>
      </c>
      <c r="G4322">
        <f>IFERROR(VLOOKUP($A4322,原始数据_收盘!$A$4:$G$3460,7,0),"")</f>
        <v>3.0188</v>
      </c>
      <c r="H4322">
        <f>IFERROR(VLOOKUP($A4322,原始数据_利率互换_FR007_1年!$A$6:$C$4395,2,0),"")</f>
        <v>2.6867</v>
      </c>
      <c r="I4322">
        <f>IFERROR(VLOOKUP($A4322,原始数据_利率互换_FR007_1年!$A$6:$C$4395,3,0),"")</f>
        <v>3.0102</v>
      </c>
    </row>
    <row r="4323" spans="1:9">
      <c r="A4323" s="6">
        <v>43816</v>
      </c>
      <c r="B4323">
        <f>IFERROR(VLOOKUP($A4323,原始数据_收盘!$A$4:$G$3460,2,0),"")</f>
        <v>2.7125</v>
      </c>
      <c r="C4323">
        <f>IFERROR(VLOOKUP($A4323,原始数据_收盘!$A$4:$G$3460,3,0),"")</f>
        <v>3.045</v>
      </c>
      <c r="D4323">
        <f>IFERROR(VLOOKUP($A4323,原始数据_收盘!$A$4:$G$3460,4,0),"")</f>
        <v>2.715</v>
      </c>
      <c r="E4323">
        <f>IFERROR(VLOOKUP($A4323,原始数据_收盘!$A$4:$G$3460,5,0),"")</f>
        <v>3.0475</v>
      </c>
      <c r="F4323">
        <f>IFERROR(VLOOKUP($A4323,原始数据_收盘!$A$4:$G$3460,6,0),"")</f>
        <v>2.7138</v>
      </c>
      <c r="G4323">
        <f>IFERROR(VLOOKUP($A4323,原始数据_收盘!$A$4:$G$3460,7,0),"")</f>
        <v>3.0463</v>
      </c>
      <c r="H4323">
        <f>IFERROR(VLOOKUP($A4323,原始数据_利率互换_FR007_1年!$A$6:$C$4395,2,0),"")</f>
        <v>2.7142</v>
      </c>
      <c r="I4323">
        <f>IFERROR(VLOOKUP($A4323,原始数据_利率互换_FR007_1年!$A$6:$C$4395,3,0),"")</f>
        <v>3.043</v>
      </c>
    </row>
    <row r="4324" spans="1:9">
      <c r="A4324" s="6">
        <v>43817</v>
      </c>
      <c r="B4324">
        <f>IFERROR(VLOOKUP($A4324,原始数据_收盘!$A$4:$G$3460,2,0),"")</f>
        <v>2.695</v>
      </c>
      <c r="C4324">
        <f>IFERROR(VLOOKUP($A4324,原始数据_收盘!$A$4:$G$3460,3,0),"")</f>
        <v>3.04</v>
      </c>
      <c r="D4324">
        <f>IFERROR(VLOOKUP($A4324,原始数据_收盘!$A$4:$G$3460,4,0),"")</f>
        <v>2.6975</v>
      </c>
      <c r="E4324">
        <f>IFERROR(VLOOKUP($A4324,原始数据_收盘!$A$4:$G$3460,5,0),"")</f>
        <v>3.0425</v>
      </c>
      <c r="F4324">
        <f>IFERROR(VLOOKUP($A4324,原始数据_收盘!$A$4:$G$3460,6,0),"")</f>
        <v>2.6963</v>
      </c>
      <c r="G4324">
        <f>IFERROR(VLOOKUP($A4324,原始数据_收盘!$A$4:$G$3460,7,0),"")</f>
        <v>3.0413</v>
      </c>
      <c r="H4324">
        <f>IFERROR(VLOOKUP($A4324,原始数据_利率互换_FR007_1年!$A$6:$C$4395,2,0),"")</f>
        <v>2.6968</v>
      </c>
      <c r="I4324">
        <f>IFERROR(VLOOKUP($A4324,原始数据_利率互换_FR007_1年!$A$6:$C$4395,3,0),"")</f>
        <v>3.0394</v>
      </c>
    </row>
    <row r="4325" spans="1:9">
      <c r="A4325" s="6">
        <v>43818</v>
      </c>
      <c r="B4325">
        <f>IFERROR(VLOOKUP($A4325,原始数据_收盘!$A$4:$G$3460,2,0),"")</f>
        <v>2.6825</v>
      </c>
      <c r="C4325">
        <f>IFERROR(VLOOKUP($A4325,原始数据_收盘!$A$4:$G$3460,3,0),"")</f>
        <v>3.0325</v>
      </c>
      <c r="D4325">
        <f>IFERROR(VLOOKUP($A4325,原始数据_收盘!$A$4:$G$3460,4,0),"")</f>
        <v>2.69</v>
      </c>
      <c r="E4325">
        <f>IFERROR(VLOOKUP($A4325,原始数据_收盘!$A$4:$G$3460,5,0),"")</f>
        <v>3.035</v>
      </c>
      <c r="F4325">
        <f>IFERROR(VLOOKUP($A4325,原始数据_收盘!$A$4:$G$3460,6,0),"")</f>
        <v>2.6863</v>
      </c>
      <c r="G4325">
        <f>IFERROR(VLOOKUP($A4325,原始数据_收盘!$A$4:$G$3460,7,0),"")</f>
        <v>3.0338</v>
      </c>
      <c r="H4325">
        <f>IFERROR(VLOOKUP($A4325,原始数据_利率互换_FR007_1年!$A$6:$C$4395,2,0),"")</f>
        <v>2.6878</v>
      </c>
      <c r="I4325">
        <f>IFERROR(VLOOKUP($A4325,原始数据_利率互换_FR007_1年!$A$6:$C$4395,3,0),"")</f>
        <v>3.037</v>
      </c>
    </row>
    <row r="4326" spans="1:9">
      <c r="A4326" s="6">
        <v>43819</v>
      </c>
      <c r="B4326">
        <f>IFERROR(VLOOKUP($A4326,原始数据_收盘!$A$4:$G$3460,2,0),"")</f>
        <v>2.6517</v>
      </c>
      <c r="C4326">
        <f>IFERROR(VLOOKUP($A4326,原始数据_收盘!$A$4:$G$3460,3,0),"")</f>
        <v>2.9959</v>
      </c>
      <c r="D4326">
        <f>IFERROR(VLOOKUP($A4326,原始数据_收盘!$A$4:$G$3460,4,0),"")</f>
        <v>2.6545</v>
      </c>
      <c r="E4326">
        <f>IFERROR(VLOOKUP($A4326,原始数据_收盘!$A$4:$G$3460,5,0),"")</f>
        <v>3</v>
      </c>
      <c r="F4326">
        <f>IFERROR(VLOOKUP($A4326,原始数据_收盘!$A$4:$G$3460,6,0),"")</f>
        <v>2.6531</v>
      </c>
      <c r="G4326">
        <f>IFERROR(VLOOKUP($A4326,原始数据_收盘!$A$4:$G$3460,7,0),"")</f>
        <v>2.9979</v>
      </c>
      <c r="H4326">
        <f>IFERROR(VLOOKUP($A4326,原始数据_利率互换_FR007_1年!$A$6:$C$4395,2,0),"")</f>
        <v>2.6654</v>
      </c>
      <c r="I4326">
        <f>IFERROR(VLOOKUP($A4326,原始数据_利率互换_FR007_1年!$A$6:$C$4395,3,0),"")</f>
        <v>3.0138</v>
      </c>
    </row>
    <row r="4327" spans="1:9">
      <c r="A4327" s="6">
        <v>43820</v>
      </c>
      <c r="B4327" t="str">
        <f>IFERROR(VLOOKUP($A4327,原始数据_收盘!$A$4:$G$3460,2,0),"")</f>
        <v/>
      </c>
      <c r="C4327" t="str">
        <f>IFERROR(VLOOKUP($A4327,原始数据_收盘!$A$4:$G$3460,3,0),"")</f>
        <v/>
      </c>
      <c r="D4327" t="str">
        <f>IFERROR(VLOOKUP($A4327,原始数据_收盘!$A$4:$G$3460,4,0),"")</f>
        <v/>
      </c>
      <c r="E4327" t="str">
        <f>IFERROR(VLOOKUP($A4327,原始数据_收盘!$A$4:$G$3460,5,0),"")</f>
        <v/>
      </c>
      <c r="F4327" t="str">
        <f>IFERROR(VLOOKUP($A4327,原始数据_收盘!$A$4:$G$3460,6,0),"")</f>
        <v/>
      </c>
      <c r="G4327" t="str">
        <f>IFERROR(VLOOKUP($A4327,原始数据_收盘!$A$4:$G$3460,7,0),"")</f>
        <v/>
      </c>
      <c r="H4327" t="str">
        <f>IFERROR(VLOOKUP($A4327,原始数据_利率互换_FR007_1年!$A$6:$C$4395,2,0),"")</f>
        <v/>
      </c>
      <c r="I4327" t="str">
        <f>IFERROR(VLOOKUP($A4327,原始数据_利率互换_FR007_1年!$A$6:$C$4395,3,0),"")</f>
        <v/>
      </c>
    </row>
    <row r="4328" spans="1:9">
      <c r="A4328" s="6">
        <v>43821</v>
      </c>
      <c r="B4328" t="str">
        <f>IFERROR(VLOOKUP($A4328,原始数据_收盘!$A$4:$G$3460,2,0),"")</f>
        <v/>
      </c>
      <c r="C4328" t="str">
        <f>IFERROR(VLOOKUP($A4328,原始数据_收盘!$A$4:$G$3460,3,0),"")</f>
        <v/>
      </c>
      <c r="D4328" t="str">
        <f>IFERROR(VLOOKUP($A4328,原始数据_收盘!$A$4:$G$3460,4,0),"")</f>
        <v/>
      </c>
      <c r="E4328" t="str">
        <f>IFERROR(VLOOKUP($A4328,原始数据_收盘!$A$4:$G$3460,5,0),"")</f>
        <v/>
      </c>
      <c r="F4328" t="str">
        <f>IFERROR(VLOOKUP($A4328,原始数据_收盘!$A$4:$G$3460,6,0),"")</f>
        <v/>
      </c>
      <c r="G4328" t="str">
        <f>IFERROR(VLOOKUP($A4328,原始数据_收盘!$A$4:$G$3460,7,0),"")</f>
        <v/>
      </c>
      <c r="H4328" t="str">
        <f>IFERROR(VLOOKUP($A4328,原始数据_利率互换_FR007_1年!$A$6:$C$4395,2,0),"")</f>
        <v/>
      </c>
      <c r="I4328" t="str">
        <f>IFERROR(VLOOKUP($A4328,原始数据_利率互换_FR007_1年!$A$6:$C$4395,3,0),"")</f>
        <v/>
      </c>
    </row>
    <row r="4329" spans="1:9">
      <c r="A4329" s="6">
        <v>43822</v>
      </c>
      <c r="B4329">
        <f>IFERROR(VLOOKUP($A4329,原始数据_收盘!$A$4:$G$3460,2,0),"")</f>
        <v>2.6275</v>
      </c>
      <c r="C4329">
        <f>IFERROR(VLOOKUP($A4329,原始数据_收盘!$A$4:$G$3460,3,0),"")</f>
        <v>2.9725</v>
      </c>
      <c r="D4329">
        <f>IFERROR(VLOOKUP($A4329,原始数据_收盘!$A$4:$G$3460,4,0),"")</f>
        <v>2.6304</v>
      </c>
      <c r="E4329">
        <f>IFERROR(VLOOKUP($A4329,原始数据_收盘!$A$4:$G$3460,5,0),"")</f>
        <v>2.975</v>
      </c>
      <c r="F4329">
        <f>IFERROR(VLOOKUP($A4329,原始数据_收盘!$A$4:$G$3460,6,0),"")</f>
        <v>2.629</v>
      </c>
      <c r="G4329">
        <f>IFERROR(VLOOKUP($A4329,原始数据_收盘!$A$4:$G$3460,7,0),"")</f>
        <v>2.9738</v>
      </c>
      <c r="H4329">
        <f>IFERROR(VLOOKUP($A4329,原始数据_利率互换_FR007_1年!$A$6:$C$4395,2,0),"")</f>
        <v>2.6385</v>
      </c>
      <c r="I4329">
        <f>IFERROR(VLOOKUP($A4329,原始数据_利率互换_FR007_1年!$A$6:$C$4395,3,0),"")</f>
        <v>2.9876</v>
      </c>
    </row>
    <row r="4330" spans="1:9">
      <c r="A4330" s="6">
        <v>43823</v>
      </c>
      <c r="B4330">
        <f>IFERROR(VLOOKUP($A4330,原始数据_收盘!$A$4:$G$3460,2,0),"")</f>
        <v>2.62</v>
      </c>
      <c r="C4330">
        <f>IFERROR(VLOOKUP($A4330,原始数据_收盘!$A$4:$G$3460,3,0),"")</f>
        <v>2.9755</v>
      </c>
      <c r="D4330">
        <f>IFERROR(VLOOKUP($A4330,原始数据_收盘!$A$4:$G$3460,4,0),"")</f>
        <v>2.625</v>
      </c>
      <c r="E4330">
        <f>IFERROR(VLOOKUP($A4330,原始数据_收盘!$A$4:$G$3460,5,0),"")</f>
        <v>2.9775</v>
      </c>
      <c r="F4330">
        <f>IFERROR(VLOOKUP($A4330,原始数据_收盘!$A$4:$G$3460,6,0),"")</f>
        <v>2.6225</v>
      </c>
      <c r="G4330">
        <f>IFERROR(VLOOKUP($A4330,原始数据_收盘!$A$4:$G$3460,7,0),"")</f>
        <v>2.9765</v>
      </c>
      <c r="H4330">
        <f>IFERROR(VLOOKUP($A4330,原始数据_利率互换_FR007_1年!$A$6:$C$4395,2,0),"")</f>
        <v>2.6154</v>
      </c>
      <c r="I4330">
        <f>IFERROR(VLOOKUP($A4330,原始数据_利率互换_FR007_1年!$A$6:$C$4395,3,0),"")</f>
        <v>2.966</v>
      </c>
    </row>
    <row r="4331" spans="1:9">
      <c r="A4331" s="6">
        <v>43824</v>
      </c>
      <c r="B4331">
        <f>IFERROR(VLOOKUP($A4331,原始数据_收盘!$A$4:$G$3460,2,0),"")</f>
        <v>2.62</v>
      </c>
      <c r="C4331">
        <f>IFERROR(VLOOKUP($A4331,原始数据_收盘!$A$4:$G$3460,3,0),"")</f>
        <v>2.97</v>
      </c>
      <c r="D4331">
        <f>IFERROR(VLOOKUP($A4331,原始数据_收盘!$A$4:$G$3460,4,0),"")</f>
        <v>2.6275</v>
      </c>
      <c r="E4331">
        <f>IFERROR(VLOOKUP($A4331,原始数据_收盘!$A$4:$G$3460,5,0),"")</f>
        <v>2.975</v>
      </c>
      <c r="F4331">
        <f>IFERROR(VLOOKUP($A4331,原始数据_收盘!$A$4:$G$3460,6,0),"")</f>
        <v>2.6238</v>
      </c>
      <c r="G4331">
        <f>IFERROR(VLOOKUP($A4331,原始数据_收盘!$A$4:$G$3460,7,0),"")</f>
        <v>2.9725</v>
      </c>
      <c r="H4331">
        <f>IFERROR(VLOOKUP($A4331,原始数据_利率互换_FR007_1年!$A$6:$C$4395,2,0),"")</f>
        <v>2.6303</v>
      </c>
      <c r="I4331">
        <f>IFERROR(VLOOKUP($A4331,原始数据_利率互换_FR007_1年!$A$6:$C$4395,3,0),"")</f>
        <v>2.9787</v>
      </c>
    </row>
    <row r="4332" spans="1:9">
      <c r="A4332" s="6">
        <v>43825</v>
      </c>
      <c r="B4332">
        <f>IFERROR(VLOOKUP($A4332,原始数据_收盘!$A$4:$G$3460,2,0),"")</f>
        <v>2.6211</v>
      </c>
      <c r="C4332">
        <f>IFERROR(VLOOKUP($A4332,原始数据_收盘!$A$4:$G$3460,3,0),"")</f>
        <v>2.963</v>
      </c>
      <c r="D4332">
        <f>IFERROR(VLOOKUP($A4332,原始数据_收盘!$A$4:$G$3460,4,0),"")</f>
        <v>2.63</v>
      </c>
      <c r="E4332">
        <f>IFERROR(VLOOKUP($A4332,原始数据_收盘!$A$4:$G$3460,5,0),"")</f>
        <v>2.965</v>
      </c>
      <c r="F4332">
        <f>IFERROR(VLOOKUP($A4332,原始数据_收盘!$A$4:$G$3460,6,0),"")</f>
        <v>2.6255</v>
      </c>
      <c r="G4332">
        <f>IFERROR(VLOOKUP($A4332,原始数据_收盘!$A$4:$G$3460,7,0),"")</f>
        <v>2.964</v>
      </c>
      <c r="H4332">
        <f>IFERROR(VLOOKUP($A4332,原始数据_利率互换_FR007_1年!$A$6:$C$4395,2,0),"")</f>
        <v>2.6261</v>
      </c>
      <c r="I4332">
        <f>IFERROR(VLOOKUP($A4332,原始数据_利率互换_FR007_1年!$A$6:$C$4395,3,0),"")</f>
        <v>2.9636</v>
      </c>
    </row>
    <row r="4333" spans="1:9">
      <c r="A4333" s="6">
        <v>43826</v>
      </c>
      <c r="B4333">
        <f>IFERROR(VLOOKUP($A4333,原始数据_收盘!$A$4:$G$3460,2,0),"")</f>
        <v>2.6325</v>
      </c>
      <c r="C4333">
        <f>IFERROR(VLOOKUP($A4333,原始数据_收盘!$A$4:$G$3460,3,0),"")</f>
        <v>2.975</v>
      </c>
      <c r="D4333">
        <f>IFERROR(VLOOKUP($A4333,原始数据_收盘!$A$4:$G$3460,4,0),"")</f>
        <v>2.6375</v>
      </c>
      <c r="E4333">
        <f>IFERROR(VLOOKUP($A4333,原始数据_收盘!$A$4:$G$3460,5,0),"")</f>
        <v>2.98</v>
      </c>
      <c r="F4333">
        <f>IFERROR(VLOOKUP($A4333,原始数据_收盘!$A$4:$G$3460,6,0),"")</f>
        <v>2.635</v>
      </c>
      <c r="G4333">
        <f>IFERROR(VLOOKUP($A4333,原始数据_收盘!$A$4:$G$3460,7,0),"")</f>
        <v>2.9775</v>
      </c>
      <c r="H4333">
        <f>IFERROR(VLOOKUP($A4333,原始数据_利率互换_FR007_1年!$A$6:$C$4395,2,0),"")</f>
        <v>2.6342</v>
      </c>
      <c r="I4333">
        <f>IFERROR(VLOOKUP($A4333,原始数据_利率互换_FR007_1年!$A$6:$C$4395,3,0),"")</f>
        <v>2.9742</v>
      </c>
    </row>
    <row r="4334" spans="1:9">
      <c r="A4334" s="6">
        <v>43827</v>
      </c>
      <c r="B4334" t="str">
        <f>IFERROR(VLOOKUP($A4334,原始数据_收盘!$A$4:$G$3460,2,0),"")</f>
        <v/>
      </c>
      <c r="C4334" t="str">
        <f>IFERROR(VLOOKUP($A4334,原始数据_收盘!$A$4:$G$3460,3,0),"")</f>
        <v/>
      </c>
      <c r="D4334" t="str">
        <f>IFERROR(VLOOKUP($A4334,原始数据_收盘!$A$4:$G$3460,4,0),"")</f>
        <v/>
      </c>
      <c r="E4334" t="str">
        <f>IFERROR(VLOOKUP($A4334,原始数据_收盘!$A$4:$G$3460,5,0),"")</f>
        <v/>
      </c>
      <c r="F4334" t="str">
        <f>IFERROR(VLOOKUP($A4334,原始数据_收盘!$A$4:$G$3460,6,0),"")</f>
        <v/>
      </c>
      <c r="G4334" t="str">
        <f>IFERROR(VLOOKUP($A4334,原始数据_收盘!$A$4:$G$3460,7,0),"")</f>
        <v/>
      </c>
      <c r="H4334" t="str">
        <f>IFERROR(VLOOKUP($A4334,原始数据_利率互换_FR007_1年!$A$6:$C$4395,2,0),"")</f>
        <v/>
      </c>
      <c r="I4334" t="str">
        <f>IFERROR(VLOOKUP($A4334,原始数据_利率互换_FR007_1年!$A$6:$C$4395,3,0),"")</f>
        <v/>
      </c>
    </row>
    <row r="4335" spans="1:9">
      <c r="A4335" s="6">
        <v>43828</v>
      </c>
      <c r="B4335" t="str">
        <f>IFERROR(VLOOKUP($A4335,原始数据_收盘!$A$4:$G$3460,2,0),"")</f>
        <v/>
      </c>
      <c r="C4335" t="str">
        <f>IFERROR(VLOOKUP($A4335,原始数据_收盘!$A$4:$G$3460,3,0),"")</f>
        <v/>
      </c>
      <c r="D4335" t="str">
        <f>IFERROR(VLOOKUP($A4335,原始数据_收盘!$A$4:$G$3460,4,0),"")</f>
        <v/>
      </c>
      <c r="E4335" t="str">
        <f>IFERROR(VLOOKUP($A4335,原始数据_收盘!$A$4:$G$3460,5,0),"")</f>
        <v/>
      </c>
      <c r="F4335" t="str">
        <f>IFERROR(VLOOKUP($A4335,原始数据_收盘!$A$4:$G$3460,6,0),"")</f>
        <v/>
      </c>
      <c r="G4335" t="str">
        <f>IFERROR(VLOOKUP($A4335,原始数据_收盘!$A$4:$G$3460,7,0),"")</f>
        <v/>
      </c>
      <c r="H4335" t="str">
        <f>IFERROR(VLOOKUP($A4335,原始数据_利率互换_FR007_1年!$A$6:$C$4395,2,0),"")</f>
        <v/>
      </c>
      <c r="I4335" t="str">
        <f>IFERROR(VLOOKUP($A4335,原始数据_利率互换_FR007_1年!$A$6:$C$4395,3,0),"")</f>
        <v/>
      </c>
    </row>
    <row r="4336" spans="1:9">
      <c r="A4336" s="6">
        <v>43829</v>
      </c>
      <c r="B4336">
        <f>IFERROR(VLOOKUP($A4336,原始数据_收盘!$A$4:$G$3460,2,0),"")</f>
        <v>2.6375</v>
      </c>
      <c r="C4336">
        <f>IFERROR(VLOOKUP($A4336,原始数据_收盘!$A$4:$G$3460,3,0),"")</f>
        <v>2.9825</v>
      </c>
      <c r="D4336">
        <f>IFERROR(VLOOKUP($A4336,原始数据_收盘!$A$4:$G$3460,4,0),"")</f>
        <v>2.645</v>
      </c>
      <c r="E4336">
        <f>IFERROR(VLOOKUP($A4336,原始数据_收盘!$A$4:$G$3460,5,0),"")</f>
        <v>2.99</v>
      </c>
      <c r="F4336">
        <f>IFERROR(VLOOKUP($A4336,原始数据_收盘!$A$4:$G$3460,6,0),"")</f>
        <v>2.6413</v>
      </c>
      <c r="G4336">
        <f>IFERROR(VLOOKUP($A4336,原始数据_收盘!$A$4:$G$3460,7,0),"")</f>
        <v>2.9863</v>
      </c>
      <c r="H4336">
        <f>IFERROR(VLOOKUP($A4336,原始数据_利率互换_FR007_1年!$A$6:$C$4395,2,0),"")</f>
        <v>2.6403</v>
      </c>
      <c r="I4336">
        <f>IFERROR(VLOOKUP($A4336,原始数据_利率互换_FR007_1年!$A$6:$C$4395,3,0),"")</f>
        <v>2.9923</v>
      </c>
    </row>
    <row r="4337" spans="1:9">
      <c r="A4337" s="6">
        <v>43830</v>
      </c>
      <c r="B4337">
        <f>IFERROR(VLOOKUP($A4337,原始数据_收盘!$A$4:$G$3460,2,0),"")</f>
        <v>2.645</v>
      </c>
      <c r="C4337">
        <f>IFERROR(VLOOKUP($A4337,原始数据_收盘!$A$4:$G$3460,3,0),"")</f>
        <v>2.9771</v>
      </c>
      <c r="D4337">
        <f>IFERROR(VLOOKUP($A4337,原始数据_收盘!$A$4:$G$3460,4,0),"")</f>
        <v>2.6475</v>
      </c>
      <c r="E4337">
        <f>IFERROR(VLOOKUP($A4337,原始数据_收盘!$A$4:$G$3460,5,0),"")</f>
        <v>2.9875</v>
      </c>
      <c r="F4337">
        <f>IFERROR(VLOOKUP($A4337,原始数据_收盘!$A$4:$G$3460,6,0),"")</f>
        <v>2.6463</v>
      </c>
      <c r="G4337">
        <f>IFERROR(VLOOKUP($A4337,原始数据_收盘!$A$4:$G$3460,7,0),"")</f>
        <v>2.9823</v>
      </c>
      <c r="H4337">
        <f>IFERROR(VLOOKUP($A4337,原始数据_利率互换_FR007_1年!$A$6:$C$4395,2,0),"")</f>
        <v>2.646</v>
      </c>
      <c r="I4337">
        <f>IFERROR(VLOOKUP($A4337,原始数据_利率互换_FR007_1年!$A$6:$C$4395,3,0),"")</f>
        <v>2.9873</v>
      </c>
    </row>
    <row r="4338" spans="1:9">
      <c r="A4338" s="6">
        <v>43831</v>
      </c>
      <c r="B4338" t="str">
        <f>IFERROR(VLOOKUP($A4338,原始数据_收盘!$A$4:$G$3460,2,0),"")</f>
        <v/>
      </c>
      <c r="C4338" t="str">
        <f>IFERROR(VLOOKUP($A4338,原始数据_收盘!$A$4:$G$3460,3,0),"")</f>
        <v/>
      </c>
      <c r="D4338" t="str">
        <f>IFERROR(VLOOKUP($A4338,原始数据_收盘!$A$4:$G$3460,4,0),"")</f>
        <v/>
      </c>
      <c r="E4338" t="str">
        <f>IFERROR(VLOOKUP($A4338,原始数据_收盘!$A$4:$G$3460,5,0),"")</f>
        <v/>
      </c>
      <c r="F4338" t="str">
        <f>IFERROR(VLOOKUP($A4338,原始数据_收盘!$A$4:$G$3460,6,0),"")</f>
        <v/>
      </c>
      <c r="G4338" t="str">
        <f>IFERROR(VLOOKUP($A4338,原始数据_收盘!$A$4:$G$3460,7,0),"")</f>
        <v/>
      </c>
      <c r="H4338" t="str">
        <f>IFERROR(VLOOKUP($A4338,原始数据_利率互换_FR007_1年!$A$6:$C$4395,2,0),"")</f>
        <v/>
      </c>
      <c r="I4338" t="str">
        <f>IFERROR(VLOOKUP($A4338,原始数据_利率互换_FR007_1年!$A$6:$C$4395,3,0),"")</f>
        <v/>
      </c>
    </row>
    <row r="4339" spans="1:9">
      <c r="A4339" s="6">
        <v>43832</v>
      </c>
      <c r="B4339">
        <f>IFERROR(VLOOKUP($A4339,原始数据_收盘!$A$4:$G$3460,2,0),"")</f>
        <v>2.6525</v>
      </c>
      <c r="C4339">
        <f>IFERROR(VLOOKUP($A4339,原始数据_收盘!$A$4:$G$3460,3,0),"")</f>
        <v>3.0175</v>
      </c>
      <c r="D4339">
        <f>IFERROR(VLOOKUP($A4339,原始数据_收盘!$A$4:$G$3460,4,0),"")</f>
        <v>2.655</v>
      </c>
      <c r="E4339">
        <f>IFERROR(VLOOKUP($A4339,原始数据_收盘!$A$4:$G$3460,5,0),"")</f>
        <v>3.0225</v>
      </c>
      <c r="F4339">
        <f>IFERROR(VLOOKUP($A4339,原始数据_收盘!$A$4:$G$3460,6,0),"")</f>
        <v>2.6538</v>
      </c>
      <c r="G4339">
        <f>IFERROR(VLOOKUP($A4339,原始数据_收盘!$A$4:$G$3460,7,0),"")</f>
        <v>3.02</v>
      </c>
      <c r="H4339">
        <f>IFERROR(VLOOKUP($A4339,原始数据_利率互换_FR007_1年!$A$6:$C$4395,2,0),"")</f>
        <v>2.6484</v>
      </c>
      <c r="I4339">
        <f>IFERROR(VLOOKUP($A4339,原始数据_利率互换_FR007_1年!$A$6:$C$4395,3,0),"")</f>
        <v>2.9993</v>
      </c>
    </row>
    <row r="4340" spans="1:9">
      <c r="A4340" s="6">
        <v>43833</v>
      </c>
      <c r="B4340">
        <f>IFERROR(VLOOKUP($A4340,原始数据_收盘!$A$4:$G$3460,2,0),"")</f>
        <v>2.6361</v>
      </c>
      <c r="C4340">
        <f>IFERROR(VLOOKUP($A4340,原始数据_收盘!$A$4:$G$3460,3,0),"")</f>
        <v>3.0056</v>
      </c>
      <c r="D4340">
        <f>IFERROR(VLOOKUP($A4340,原始数据_收盘!$A$4:$G$3460,4,0),"")</f>
        <v>2.64</v>
      </c>
      <c r="E4340">
        <f>IFERROR(VLOOKUP($A4340,原始数据_收盘!$A$4:$G$3460,5,0),"")</f>
        <v>3.01</v>
      </c>
      <c r="F4340">
        <f>IFERROR(VLOOKUP($A4340,原始数据_收盘!$A$4:$G$3460,6,0),"")</f>
        <v>2.6381</v>
      </c>
      <c r="G4340">
        <f>IFERROR(VLOOKUP($A4340,原始数据_收盘!$A$4:$G$3460,7,0),"")</f>
        <v>3.0078</v>
      </c>
      <c r="H4340">
        <f>IFERROR(VLOOKUP($A4340,原始数据_利率互换_FR007_1年!$A$6:$C$4395,2,0),"")</f>
        <v>2.6521</v>
      </c>
      <c r="I4340">
        <f>IFERROR(VLOOKUP($A4340,原始数据_利率互换_FR007_1年!$A$6:$C$4395,3,0),"")</f>
        <v>3.0222</v>
      </c>
    </row>
    <row r="4341" spans="1:9">
      <c r="A4341" s="6">
        <v>43834</v>
      </c>
      <c r="B4341" t="str">
        <f>IFERROR(VLOOKUP($A4341,原始数据_收盘!$A$4:$G$3460,2,0),"")</f>
        <v/>
      </c>
      <c r="C4341" t="str">
        <f>IFERROR(VLOOKUP($A4341,原始数据_收盘!$A$4:$G$3460,3,0),"")</f>
        <v/>
      </c>
      <c r="D4341" t="str">
        <f>IFERROR(VLOOKUP($A4341,原始数据_收盘!$A$4:$G$3460,4,0),"")</f>
        <v/>
      </c>
      <c r="E4341" t="str">
        <f>IFERROR(VLOOKUP($A4341,原始数据_收盘!$A$4:$G$3460,5,0),"")</f>
        <v/>
      </c>
      <c r="F4341" t="str">
        <f>IFERROR(VLOOKUP($A4341,原始数据_收盘!$A$4:$G$3460,6,0),"")</f>
        <v/>
      </c>
      <c r="G4341" t="str">
        <f>IFERROR(VLOOKUP($A4341,原始数据_收盘!$A$4:$G$3460,7,0),"")</f>
        <v/>
      </c>
      <c r="H4341" t="str">
        <f>IFERROR(VLOOKUP($A4341,原始数据_利率互换_FR007_1年!$A$6:$C$4395,2,0),"")</f>
        <v/>
      </c>
      <c r="I4341" t="str">
        <f>IFERROR(VLOOKUP($A4341,原始数据_利率互换_FR007_1年!$A$6:$C$4395,3,0),"")</f>
        <v/>
      </c>
    </row>
    <row r="4342" spans="1:9">
      <c r="A4342" s="6">
        <v>43835</v>
      </c>
      <c r="B4342" t="str">
        <f>IFERROR(VLOOKUP($A4342,原始数据_收盘!$A$4:$G$3460,2,0),"")</f>
        <v/>
      </c>
      <c r="C4342" t="str">
        <f>IFERROR(VLOOKUP($A4342,原始数据_收盘!$A$4:$G$3460,3,0),"")</f>
        <v/>
      </c>
      <c r="D4342" t="str">
        <f>IFERROR(VLOOKUP($A4342,原始数据_收盘!$A$4:$G$3460,4,0),"")</f>
        <v/>
      </c>
      <c r="E4342" t="str">
        <f>IFERROR(VLOOKUP($A4342,原始数据_收盘!$A$4:$G$3460,5,0),"")</f>
        <v/>
      </c>
      <c r="F4342" t="str">
        <f>IFERROR(VLOOKUP($A4342,原始数据_收盘!$A$4:$G$3460,6,0),"")</f>
        <v/>
      </c>
      <c r="G4342" t="str">
        <f>IFERROR(VLOOKUP($A4342,原始数据_收盘!$A$4:$G$3460,7,0),"")</f>
        <v/>
      </c>
      <c r="H4342" t="str">
        <f>IFERROR(VLOOKUP($A4342,原始数据_利率互换_FR007_1年!$A$6:$C$4395,2,0),"")</f>
        <v/>
      </c>
      <c r="I4342" t="str">
        <f>IFERROR(VLOOKUP($A4342,原始数据_利率互换_FR007_1年!$A$6:$C$4395,3,0),"")</f>
        <v/>
      </c>
    </row>
    <row r="4343" spans="1:9">
      <c r="A4343" s="6">
        <v>43836</v>
      </c>
      <c r="B4343">
        <f>IFERROR(VLOOKUP($A4343,原始数据_收盘!$A$4:$G$3460,2,0),"")</f>
        <v>2.617</v>
      </c>
      <c r="C4343">
        <f>IFERROR(VLOOKUP($A4343,原始数据_收盘!$A$4:$G$3460,3,0),"")</f>
        <v>2.9822</v>
      </c>
      <c r="D4343">
        <f>IFERROR(VLOOKUP($A4343,原始数据_收盘!$A$4:$G$3460,4,0),"")</f>
        <v>2.6176</v>
      </c>
      <c r="E4343">
        <f>IFERROR(VLOOKUP($A4343,原始数据_收盘!$A$4:$G$3460,5,0),"")</f>
        <v>2.985</v>
      </c>
      <c r="F4343">
        <f>IFERROR(VLOOKUP($A4343,原始数据_收盘!$A$4:$G$3460,6,0),"")</f>
        <v>2.6173</v>
      </c>
      <c r="G4343">
        <f>IFERROR(VLOOKUP($A4343,原始数据_收盘!$A$4:$G$3460,7,0),"")</f>
        <v>2.9836</v>
      </c>
      <c r="H4343">
        <f>IFERROR(VLOOKUP($A4343,原始数据_利率互换_FR007_1年!$A$6:$C$4395,2,0),"")</f>
        <v>2.6158</v>
      </c>
      <c r="I4343">
        <f>IFERROR(VLOOKUP($A4343,原始数据_利率互换_FR007_1年!$A$6:$C$4395,3,0),"")</f>
        <v>2.9834</v>
      </c>
    </row>
    <row r="4344" spans="1:9">
      <c r="A4344" s="6">
        <v>43837</v>
      </c>
      <c r="B4344">
        <f>IFERROR(VLOOKUP($A4344,原始数据_收盘!$A$4:$G$3460,2,0),"")</f>
        <v>2.6325</v>
      </c>
      <c r="C4344">
        <f>IFERROR(VLOOKUP($A4344,原始数据_收盘!$A$4:$G$3460,3,0),"")</f>
        <v>2.99</v>
      </c>
      <c r="D4344">
        <f>IFERROR(VLOOKUP($A4344,原始数据_收盘!$A$4:$G$3460,4,0),"")</f>
        <v>2.64</v>
      </c>
      <c r="E4344">
        <f>IFERROR(VLOOKUP($A4344,原始数据_收盘!$A$4:$G$3460,5,0),"")</f>
        <v>2.9927</v>
      </c>
      <c r="F4344">
        <f>IFERROR(VLOOKUP($A4344,原始数据_收盘!$A$4:$G$3460,6,0),"")</f>
        <v>2.6363</v>
      </c>
      <c r="G4344">
        <f>IFERROR(VLOOKUP($A4344,原始数据_收盘!$A$4:$G$3460,7,0),"")</f>
        <v>2.9914</v>
      </c>
      <c r="H4344">
        <f>IFERROR(VLOOKUP($A4344,原始数据_利率互换_FR007_1年!$A$6:$C$4395,2,0),"")</f>
        <v>2.6285</v>
      </c>
      <c r="I4344">
        <f>IFERROR(VLOOKUP($A4344,原始数据_利率互换_FR007_1年!$A$6:$C$4395,3,0),"")</f>
        <v>2.9877</v>
      </c>
    </row>
    <row r="4345" spans="1:9">
      <c r="A4345" s="6">
        <v>43838</v>
      </c>
      <c r="B4345">
        <f>IFERROR(VLOOKUP($A4345,原始数据_收盘!$A$4:$G$3460,2,0),"")</f>
        <v>2.6325</v>
      </c>
      <c r="C4345">
        <f>IFERROR(VLOOKUP($A4345,原始数据_收盘!$A$4:$G$3460,3,0),"")</f>
        <v>2.975</v>
      </c>
      <c r="D4345">
        <f>IFERROR(VLOOKUP($A4345,原始数据_收盘!$A$4:$G$3460,4,0),"")</f>
        <v>2.6375</v>
      </c>
      <c r="E4345">
        <f>IFERROR(VLOOKUP($A4345,原始数据_收盘!$A$4:$G$3460,5,0),"")</f>
        <v>2.9775</v>
      </c>
      <c r="F4345">
        <f>IFERROR(VLOOKUP($A4345,原始数据_收盘!$A$4:$G$3460,6,0),"")</f>
        <v>2.635</v>
      </c>
      <c r="G4345">
        <f>IFERROR(VLOOKUP($A4345,原始数据_收盘!$A$4:$G$3460,7,0),"")</f>
        <v>2.9763</v>
      </c>
      <c r="H4345">
        <f>IFERROR(VLOOKUP($A4345,原始数据_利率互换_FR007_1年!$A$6:$C$4395,2,0),"")</f>
        <v>2.6362</v>
      </c>
      <c r="I4345">
        <f>IFERROR(VLOOKUP($A4345,原始数据_利率互换_FR007_1年!$A$6:$C$4395,3,0),"")</f>
        <v>2.9772</v>
      </c>
    </row>
    <row r="4346" spans="1:9">
      <c r="A4346" s="6">
        <v>43839</v>
      </c>
      <c r="B4346">
        <f>IFERROR(VLOOKUP($A4346,原始数据_收盘!$A$4:$G$3460,2,0),"")</f>
        <v>2.63</v>
      </c>
      <c r="C4346">
        <f>IFERROR(VLOOKUP($A4346,原始数据_收盘!$A$4:$G$3460,3,0),"")</f>
        <v>2.9725</v>
      </c>
      <c r="D4346">
        <f>IFERROR(VLOOKUP($A4346,原始数据_收盘!$A$4:$G$3460,4,0),"")</f>
        <v>2.6325</v>
      </c>
      <c r="E4346">
        <f>IFERROR(VLOOKUP($A4346,原始数据_收盘!$A$4:$G$3460,5,0),"")</f>
        <v>2.975</v>
      </c>
      <c r="F4346">
        <f>IFERROR(VLOOKUP($A4346,原始数据_收盘!$A$4:$G$3460,6,0),"")</f>
        <v>2.6313</v>
      </c>
      <c r="G4346">
        <f>IFERROR(VLOOKUP($A4346,原始数据_收盘!$A$4:$G$3460,7,0),"")</f>
        <v>2.9737</v>
      </c>
      <c r="H4346">
        <f>IFERROR(VLOOKUP($A4346,原始数据_利率互换_FR007_1年!$A$6:$C$4395,2,0),"")</f>
        <v>2.638</v>
      </c>
      <c r="I4346">
        <f>IFERROR(VLOOKUP($A4346,原始数据_利率互换_FR007_1年!$A$6:$C$4395,3,0),"")</f>
        <v>2.9803</v>
      </c>
    </row>
    <row r="4347" spans="1:9">
      <c r="A4347" s="6">
        <v>43840</v>
      </c>
      <c r="B4347">
        <f>IFERROR(VLOOKUP($A4347,原始数据_收盘!$A$4:$G$3460,2,0),"")</f>
        <v>2.62</v>
      </c>
      <c r="C4347">
        <f>IFERROR(VLOOKUP($A4347,原始数据_收盘!$A$4:$G$3460,3,0),"")</f>
        <v>2.945</v>
      </c>
      <c r="D4347">
        <f>IFERROR(VLOOKUP($A4347,原始数据_收盘!$A$4:$G$3460,4,0),"")</f>
        <v>2.6275</v>
      </c>
      <c r="E4347">
        <f>IFERROR(VLOOKUP($A4347,原始数据_收盘!$A$4:$G$3460,5,0),"")</f>
        <v>2.95</v>
      </c>
      <c r="F4347">
        <f>IFERROR(VLOOKUP($A4347,原始数据_收盘!$A$4:$G$3460,6,0),"")</f>
        <v>2.6238</v>
      </c>
      <c r="G4347">
        <f>IFERROR(VLOOKUP($A4347,原始数据_收盘!$A$4:$G$3460,7,0),"")</f>
        <v>2.9475</v>
      </c>
      <c r="H4347">
        <f>IFERROR(VLOOKUP($A4347,原始数据_利率互换_FR007_1年!$A$6:$C$4395,2,0),"")</f>
        <v>2.6219</v>
      </c>
      <c r="I4347">
        <f>IFERROR(VLOOKUP($A4347,原始数据_利率互换_FR007_1年!$A$6:$C$4395,3,0),"")</f>
        <v>2.9565</v>
      </c>
    </row>
    <row r="4348" spans="1:9">
      <c r="A4348" s="6">
        <v>43841</v>
      </c>
      <c r="B4348" t="str">
        <f>IFERROR(VLOOKUP($A4348,原始数据_收盘!$A$4:$G$3460,2,0),"")</f>
        <v/>
      </c>
      <c r="C4348" t="str">
        <f>IFERROR(VLOOKUP($A4348,原始数据_收盘!$A$4:$G$3460,3,0),"")</f>
        <v/>
      </c>
      <c r="D4348" t="str">
        <f>IFERROR(VLOOKUP($A4348,原始数据_收盘!$A$4:$G$3460,4,0),"")</f>
        <v/>
      </c>
      <c r="E4348" t="str">
        <f>IFERROR(VLOOKUP($A4348,原始数据_收盘!$A$4:$G$3460,5,0),"")</f>
        <v/>
      </c>
      <c r="F4348" t="str">
        <f>IFERROR(VLOOKUP($A4348,原始数据_收盘!$A$4:$G$3460,6,0),"")</f>
        <v/>
      </c>
      <c r="G4348" t="str">
        <f>IFERROR(VLOOKUP($A4348,原始数据_收盘!$A$4:$G$3460,7,0),"")</f>
        <v/>
      </c>
      <c r="H4348" t="str">
        <f>IFERROR(VLOOKUP($A4348,原始数据_利率互换_FR007_1年!$A$6:$C$4395,2,0),"")</f>
        <v/>
      </c>
      <c r="I4348" t="str">
        <f>IFERROR(VLOOKUP($A4348,原始数据_利率互换_FR007_1年!$A$6:$C$4395,3,0),"")</f>
        <v/>
      </c>
    </row>
    <row r="4349" spans="1:9">
      <c r="A4349" s="6">
        <v>43842</v>
      </c>
      <c r="B4349" t="str">
        <f>IFERROR(VLOOKUP($A4349,原始数据_收盘!$A$4:$G$3460,2,0),"")</f>
        <v/>
      </c>
      <c r="C4349" t="str">
        <f>IFERROR(VLOOKUP($A4349,原始数据_收盘!$A$4:$G$3460,3,0),"")</f>
        <v/>
      </c>
      <c r="D4349" t="str">
        <f>IFERROR(VLOOKUP($A4349,原始数据_收盘!$A$4:$G$3460,4,0),"")</f>
        <v/>
      </c>
      <c r="E4349" t="str">
        <f>IFERROR(VLOOKUP($A4349,原始数据_收盘!$A$4:$G$3460,5,0),"")</f>
        <v/>
      </c>
      <c r="F4349" t="str">
        <f>IFERROR(VLOOKUP($A4349,原始数据_收盘!$A$4:$G$3460,6,0),"")</f>
        <v/>
      </c>
      <c r="G4349" t="str">
        <f>IFERROR(VLOOKUP($A4349,原始数据_收盘!$A$4:$G$3460,7,0),"")</f>
        <v/>
      </c>
      <c r="H4349" t="str">
        <f>IFERROR(VLOOKUP($A4349,原始数据_利率互换_FR007_1年!$A$6:$C$4395,2,0),"")</f>
        <v/>
      </c>
      <c r="I4349" t="str">
        <f>IFERROR(VLOOKUP($A4349,原始数据_利率互换_FR007_1年!$A$6:$C$4395,3,0),"")</f>
        <v/>
      </c>
    </row>
    <row r="4350" spans="1:9">
      <c r="A4350" s="6">
        <v>43843</v>
      </c>
      <c r="B4350">
        <f>IFERROR(VLOOKUP($A4350,原始数据_收盘!$A$4:$G$3460,2,0),"")</f>
        <v>2.6365</v>
      </c>
      <c r="C4350">
        <f>IFERROR(VLOOKUP($A4350,原始数据_收盘!$A$4:$G$3460,3,0),"")</f>
        <v>2.9588</v>
      </c>
      <c r="D4350">
        <f>IFERROR(VLOOKUP($A4350,原始数据_收盘!$A$4:$G$3460,4,0),"")</f>
        <v>2.64</v>
      </c>
      <c r="E4350">
        <f>IFERROR(VLOOKUP($A4350,原始数据_收盘!$A$4:$G$3460,5,0),"")</f>
        <v>2.9606</v>
      </c>
      <c r="F4350">
        <f>IFERROR(VLOOKUP($A4350,原始数据_收盘!$A$4:$G$3460,6,0),"")</f>
        <v>2.6383</v>
      </c>
      <c r="G4350">
        <f>IFERROR(VLOOKUP($A4350,原始数据_收盘!$A$4:$G$3460,7,0),"")</f>
        <v>2.9597</v>
      </c>
      <c r="H4350">
        <f>IFERROR(VLOOKUP($A4350,原始数据_利率互换_FR007_1年!$A$6:$C$4395,2,0),"")</f>
        <v>2.6338</v>
      </c>
      <c r="I4350">
        <f>IFERROR(VLOOKUP($A4350,原始数据_利率互换_FR007_1年!$A$6:$C$4395,3,0),"")</f>
        <v>2.9531</v>
      </c>
    </row>
    <row r="4351" spans="1:9">
      <c r="A4351" s="6">
        <v>43844</v>
      </c>
      <c r="B4351">
        <f>IFERROR(VLOOKUP($A4351,原始数据_收盘!$A$4:$G$3460,2,0),"")</f>
        <v>2.645</v>
      </c>
      <c r="C4351">
        <f>IFERROR(VLOOKUP($A4351,原始数据_收盘!$A$4:$G$3460,3,0),"")</f>
        <v>2.9725</v>
      </c>
      <c r="D4351">
        <f>IFERROR(VLOOKUP($A4351,原始数据_收盘!$A$4:$G$3460,4,0),"")</f>
        <v>2.6475</v>
      </c>
      <c r="E4351">
        <f>IFERROR(VLOOKUP($A4351,原始数据_收盘!$A$4:$G$3460,5,0),"")</f>
        <v>2.9775</v>
      </c>
      <c r="F4351">
        <f>IFERROR(VLOOKUP($A4351,原始数据_收盘!$A$4:$G$3460,6,0),"")</f>
        <v>2.6463</v>
      </c>
      <c r="G4351">
        <f>IFERROR(VLOOKUP($A4351,原始数据_收盘!$A$4:$G$3460,7,0),"")</f>
        <v>2.975</v>
      </c>
      <c r="H4351">
        <f>IFERROR(VLOOKUP($A4351,原始数据_利率互换_FR007_1年!$A$6:$C$4395,2,0),"")</f>
        <v>2.6459</v>
      </c>
      <c r="I4351">
        <f>IFERROR(VLOOKUP($A4351,原始数据_利率互换_FR007_1年!$A$6:$C$4395,3,0),"")</f>
        <v>2.9761</v>
      </c>
    </row>
    <row r="4352" spans="1:9">
      <c r="A4352" s="6">
        <v>43845</v>
      </c>
      <c r="B4352">
        <f>IFERROR(VLOOKUP($A4352,原始数据_收盘!$A$4:$G$3460,2,0),"")</f>
        <v>2.645</v>
      </c>
      <c r="C4352">
        <f>IFERROR(VLOOKUP($A4352,原始数据_收盘!$A$4:$G$3460,3,0),"")</f>
        <v>2.9701</v>
      </c>
      <c r="D4352">
        <f>IFERROR(VLOOKUP($A4352,原始数据_收盘!$A$4:$G$3460,4,0),"")</f>
        <v>2.6497</v>
      </c>
      <c r="E4352">
        <f>IFERROR(VLOOKUP($A4352,原始数据_收盘!$A$4:$G$3460,5,0),"")</f>
        <v>2.9725</v>
      </c>
      <c r="F4352">
        <f>IFERROR(VLOOKUP($A4352,原始数据_收盘!$A$4:$G$3460,6,0),"")</f>
        <v>2.6473</v>
      </c>
      <c r="G4352">
        <f>IFERROR(VLOOKUP($A4352,原始数据_收盘!$A$4:$G$3460,7,0),"")</f>
        <v>2.9713</v>
      </c>
      <c r="H4352">
        <f>IFERROR(VLOOKUP($A4352,原始数据_利率互换_FR007_1年!$A$6:$C$4395,2,0),"")</f>
        <v>2.6469</v>
      </c>
      <c r="I4352">
        <f>IFERROR(VLOOKUP($A4352,原始数据_利率互换_FR007_1年!$A$6:$C$4395,3,0),"")</f>
        <v>2.9682</v>
      </c>
    </row>
    <row r="4353" spans="1:9">
      <c r="A4353" s="6">
        <v>43846</v>
      </c>
      <c r="B4353">
        <f>IFERROR(VLOOKUP($A4353,原始数据_收盘!$A$4:$G$3460,2,0),"")</f>
        <v>2.6328</v>
      </c>
      <c r="C4353">
        <f>IFERROR(VLOOKUP($A4353,原始数据_收盘!$A$4:$G$3460,3,0),"")</f>
        <v>2.9725</v>
      </c>
      <c r="D4353">
        <f>IFERROR(VLOOKUP($A4353,原始数据_收盘!$A$4:$G$3460,4,0),"")</f>
        <v>2.6375</v>
      </c>
      <c r="E4353">
        <f>IFERROR(VLOOKUP($A4353,原始数据_收盘!$A$4:$G$3460,5,0),"")</f>
        <v>2.9749</v>
      </c>
      <c r="F4353">
        <f>IFERROR(VLOOKUP($A4353,原始数据_收盘!$A$4:$G$3460,6,0),"")</f>
        <v>2.6352</v>
      </c>
      <c r="G4353">
        <f>IFERROR(VLOOKUP($A4353,原始数据_收盘!$A$4:$G$3460,7,0),"")</f>
        <v>2.9737</v>
      </c>
      <c r="H4353">
        <f>IFERROR(VLOOKUP($A4353,原始数据_利率互换_FR007_1年!$A$6:$C$4395,2,0),"")</f>
        <v>2.6405</v>
      </c>
      <c r="I4353">
        <f>IFERROR(VLOOKUP($A4353,原始数据_利率互换_FR007_1年!$A$6:$C$4395,3,0),"")</f>
        <v>2.9735</v>
      </c>
    </row>
    <row r="4354" spans="1:9">
      <c r="A4354" s="6">
        <v>43847</v>
      </c>
      <c r="B4354">
        <f>IFERROR(VLOOKUP($A4354,原始数据_收盘!$A$4:$G$3460,2,0),"")</f>
        <v>2.6188</v>
      </c>
      <c r="C4354">
        <f>IFERROR(VLOOKUP($A4354,原始数据_收盘!$A$4:$G$3460,3,0),"")</f>
        <v>2.955</v>
      </c>
      <c r="D4354">
        <f>IFERROR(VLOOKUP($A4354,原始数据_收盘!$A$4:$G$3460,4,0),"")</f>
        <v>2.6275</v>
      </c>
      <c r="E4354">
        <f>IFERROR(VLOOKUP($A4354,原始数据_收盘!$A$4:$G$3460,5,0),"")</f>
        <v>2.96</v>
      </c>
      <c r="F4354">
        <f>IFERROR(VLOOKUP($A4354,原始数据_收盘!$A$4:$G$3460,6,0),"")</f>
        <v>2.6231</v>
      </c>
      <c r="G4354">
        <f>IFERROR(VLOOKUP($A4354,原始数据_收盘!$A$4:$G$3460,7,0),"")</f>
        <v>2.9575</v>
      </c>
      <c r="H4354">
        <f>IFERROR(VLOOKUP($A4354,原始数据_利率互换_FR007_1年!$A$6:$C$4395,2,0),"")</f>
        <v>2.6299</v>
      </c>
      <c r="I4354">
        <f>IFERROR(VLOOKUP($A4354,原始数据_利率互换_FR007_1年!$A$6:$C$4395,3,0),"")</f>
        <v>2.968</v>
      </c>
    </row>
    <row r="4355" spans="1:9">
      <c r="A4355" s="6">
        <v>43848</v>
      </c>
      <c r="B4355" t="str">
        <f>IFERROR(VLOOKUP($A4355,原始数据_收盘!$A$4:$G$3460,2,0),"")</f>
        <v/>
      </c>
      <c r="C4355" t="str">
        <f>IFERROR(VLOOKUP($A4355,原始数据_收盘!$A$4:$G$3460,3,0),"")</f>
        <v/>
      </c>
      <c r="D4355" t="str">
        <f>IFERROR(VLOOKUP($A4355,原始数据_收盘!$A$4:$G$3460,4,0),"")</f>
        <v/>
      </c>
      <c r="E4355" t="str">
        <f>IFERROR(VLOOKUP($A4355,原始数据_收盘!$A$4:$G$3460,5,0),"")</f>
        <v/>
      </c>
      <c r="F4355" t="str">
        <f>IFERROR(VLOOKUP($A4355,原始数据_收盘!$A$4:$G$3460,6,0),"")</f>
        <v/>
      </c>
      <c r="G4355" t="str">
        <f>IFERROR(VLOOKUP($A4355,原始数据_收盘!$A$4:$G$3460,7,0),"")</f>
        <v/>
      </c>
      <c r="H4355" t="str">
        <f>IFERROR(VLOOKUP($A4355,原始数据_利率互换_FR007_1年!$A$6:$C$4395,2,0),"")</f>
        <v/>
      </c>
      <c r="I4355" t="str">
        <f>IFERROR(VLOOKUP($A4355,原始数据_利率互换_FR007_1年!$A$6:$C$4395,3,0),"")</f>
        <v/>
      </c>
    </row>
    <row r="4356" spans="1:9">
      <c r="A4356" s="6">
        <v>43849</v>
      </c>
      <c r="B4356">
        <f>IFERROR(VLOOKUP($A4356,原始数据_收盘!$A$4:$G$3460,2,0),"")</f>
        <v>2.6125</v>
      </c>
      <c r="C4356">
        <f>IFERROR(VLOOKUP($A4356,原始数据_收盘!$A$4:$G$3460,3,0),"")</f>
        <v>2.9475</v>
      </c>
      <c r="D4356">
        <f>IFERROR(VLOOKUP($A4356,原始数据_收盘!$A$4:$G$3460,4,0),"")</f>
        <v>2.63</v>
      </c>
      <c r="E4356">
        <f>IFERROR(VLOOKUP($A4356,原始数据_收盘!$A$4:$G$3460,5,0),"")</f>
        <v>2.965</v>
      </c>
      <c r="F4356">
        <f>IFERROR(VLOOKUP($A4356,原始数据_收盘!$A$4:$G$3460,6,0),"")</f>
        <v>2.6213</v>
      </c>
      <c r="G4356">
        <f>IFERROR(VLOOKUP($A4356,原始数据_收盘!$A$4:$G$3460,7,0),"")</f>
        <v>2.9563</v>
      </c>
      <c r="H4356">
        <f>IFERROR(VLOOKUP($A4356,原始数据_利率互换_FR007_1年!$A$6:$C$4395,2,0),"")</f>
        <v>0</v>
      </c>
      <c r="I4356">
        <f>IFERROR(VLOOKUP($A4356,原始数据_利率互换_FR007_1年!$A$6:$C$4395,3,0),"")</f>
        <v>2.9525</v>
      </c>
    </row>
    <row r="4357" spans="1:9">
      <c r="A4357" s="6">
        <v>43850</v>
      </c>
      <c r="B4357">
        <f>IFERROR(VLOOKUP($A4357,原始数据_收盘!$A$4:$G$3460,2,0),"")</f>
        <v>2.6075</v>
      </c>
      <c r="C4357">
        <f>IFERROR(VLOOKUP($A4357,原始数据_收盘!$A$4:$G$3460,3,0),"")</f>
        <v>2.9347</v>
      </c>
      <c r="D4357">
        <f>IFERROR(VLOOKUP($A4357,原始数据_收盘!$A$4:$G$3460,4,0),"")</f>
        <v>2.61</v>
      </c>
      <c r="E4357">
        <f>IFERROR(VLOOKUP($A4357,原始数据_收盘!$A$4:$G$3460,5,0),"")</f>
        <v>2.9375</v>
      </c>
      <c r="F4357">
        <f>IFERROR(VLOOKUP($A4357,原始数据_收盘!$A$4:$G$3460,6,0),"")</f>
        <v>2.6088</v>
      </c>
      <c r="G4357">
        <f>IFERROR(VLOOKUP($A4357,原始数据_收盘!$A$4:$G$3460,7,0),"")</f>
        <v>2.9361</v>
      </c>
      <c r="H4357">
        <f>IFERROR(VLOOKUP($A4357,原始数据_利率互换_FR007_1年!$A$6:$C$4395,2,0),"")</f>
        <v>2.6076</v>
      </c>
      <c r="I4357">
        <f>IFERROR(VLOOKUP($A4357,原始数据_利率互换_FR007_1年!$A$6:$C$4395,3,0),"")</f>
        <v>2.9386</v>
      </c>
    </row>
    <row r="4358" spans="1:9">
      <c r="A4358" s="6">
        <v>43851</v>
      </c>
      <c r="B4358">
        <f>IFERROR(VLOOKUP($A4358,原始数据_收盘!$A$4:$G$3460,2,0),"")</f>
        <v>2.6015</v>
      </c>
      <c r="C4358">
        <f>IFERROR(VLOOKUP($A4358,原始数据_收盘!$A$4:$G$3460,3,0),"")</f>
        <v>2.9112</v>
      </c>
      <c r="D4358">
        <f>IFERROR(VLOOKUP($A4358,原始数据_收盘!$A$4:$G$3460,4,0),"")</f>
        <v>2.605</v>
      </c>
      <c r="E4358">
        <f>IFERROR(VLOOKUP($A4358,原始数据_收盘!$A$4:$G$3460,5,0),"")</f>
        <v>2.9147</v>
      </c>
      <c r="F4358">
        <f>IFERROR(VLOOKUP($A4358,原始数据_收盘!$A$4:$G$3460,6,0),"")</f>
        <v>2.6033</v>
      </c>
      <c r="G4358">
        <f>IFERROR(VLOOKUP($A4358,原始数据_收盘!$A$4:$G$3460,7,0),"")</f>
        <v>2.913</v>
      </c>
      <c r="H4358">
        <f>IFERROR(VLOOKUP($A4358,原始数据_利率互换_FR007_1年!$A$6:$C$4395,2,0),"")</f>
        <v>2.5993</v>
      </c>
      <c r="I4358">
        <f>IFERROR(VLOOKUP($A4358,原始数据_利率互换_FR007_1年!$A$6:$C$4395,3,0),"")</f>
        <v>2.9132</v>
      </c>
    </row>
    <row r="4359" spans="1:9">
      <c r="A4359" s="6">
        <v>43852</v>
      </c>
      <c r="B4359">
        <f>IFERROR(VLOOKUP($A4359,原始数据_收盘!$A$4:$G$3460,2,0),"")</f>
        <v>2.6117</v>
      </c>
      <c r="C4359">
        <f>IFERROR(VLOOKUP($A4359,原始数据_收盘!$A$4:$G$3460,3,0),"")</f>
        <v>2.923</v>
      </c>
      <c r="D4359">
        <f>IFERROR(VLOOKUP($A4359,原始数据_收盘!$A$4:$G$3460,4,0),"")</f>
        <v>2.615</v>
      </c>
      <c r="E4359">
        <f>IFERROR(VLOOKUP($A4359,原始数据_收盘!$A$4:$G$3460,5,0),"")</f>
        <v>2.925</v>
      </c>
      <c r="F4359">
        <f>IFERROR(VLOOKUP($A4359,原始数据_收盘!$A$4:$G$3460,6,0),"")</f>
        <v>2.6133</v>
      </c>
      <c r="G4359">
        <f>IFERROR(VLOOKUP($A4359,原始数据_收盘!$A$4:$G$3460,7,0),"")</f>
        <v>2.924</v>
      </c>
      <c r="H4359">
        <f>IFERROR(VLOOKUP($A4359,原始数据_利率互换_FR007_1年!$A$6:$C$4395,2,0),"")</f>
        <v>2.6061</v>
      </c>
      <c r="I4359">
        <f>IFERROR(VLOOKUP($A4359,原始数据_利率互换_FR007_1年!$A$6:$C$4395,3,0),"")</f>
        <v>2.9071</v>
      </c>
    </row>
    <row r="4360" spans="1:9">
      <c r="A4360" s="6">
        <v>43853</v>
      </c>
      <c r="B4360">
        <f>IFERROR(VLOOKUP($A4360,原始数据_收盘!$A$4:$G$3460,2,0),"")</f>
        <v>2.565</v>
      </c>
      <c r="C4360">
        <f>IFERROR(VLOOKUP($A4360,原始数据_收盘!$A$4:$G$3460,3,0),"")</f>
        <v>2.8825</v>
      </c>
      <c r="D4360">
        <f>IFERROR(VLOOKUP($A4360,原始数据_收盘!$A$4:$G$3460,4,0),"")</f>
        <v>2.6</v>
      </c>
      <c r="E4360">
        <f>IFERROR(VLOOKUP($A4360,原始数据_收盘!$A$4:$G$3460,5,0),"")</f>
        <v>2.885</v>
      </c>
      <c r="F4360">
        <f>IFERROR(VLOOKUP($A4360,原始数据_收盘!$A$4:$G$3460,6,0),"")</f>
        <v>2.5825</v>
      </c>
      <c r="G4360">
        <f>IFERROR(VLOOKUP($A4360,原始数据_收盘!$A$4:$G$3460,7,0),"")</f>
        <v>2.8838</v>
      </c>
      <c r="H4360">
        <f>IFERROR(VLOOKUP($A4360,原始数据_利率互换_FR007_1年!$A$6:$C$4395,2,0),"")</f>
        <v>2.5867</v>
      </c>
      <c r="I4360">
        <f>IFERROR(VLOOKUP($A4360,原始数据_利率互换_FR007_1年!$A$6:$C$4395,3,0),"")</f>
        <v>2.8903</v>
      </c>
    </row>
    <row r="4361" spans="1:9">
      <c r="A4361" s="6">
        <v>43854</v>
      </c>
      <c r="B4361" t="str">
        <f>IFERROR(VLOOKUP($A4361,原始数据_收盘!$A$4:$G$3460,2,0),"")</f>
        <v/>
      </c>
      <c r="C4361" t="str">
        <f>IFERROR(VLOOKUP($A4361,原始数据_收盘!$A$4:$G$3460,3,0),"")</f>
        <v/>
      </c>
      <c r="D4361" t="str">
        <f>IFERROR(VLOOKUP($A4361,原始数据_收盘!$A$4:$G$3460,4,0),"")</f>
        <v/>
      </c>
      <c r="E4361" t="str">
        <f>IFERROR(VLOOKUP($A4361,原始数据_收盘!$A$4:$G$3460,5,0),"")</f>
        <v/>
      </c>
      <c r="F4361" t="str">
        <f>IFERROR(VLOOKUP($A4361,原始数据_收盘!$A$4:$G$3460,6,0),"")</f>
        <v/>
      </c>
      <c r="G4361" t="str">
        <f>IFERROR(VLOOKUP($A4361,原始数据_收盘!$A$4:$G$3460,7,0),"")</f>
        <v/>
      </c>
      <c r="H4361" t="str">
        <f>IFERROR(VLOOKUP($A4361,原始数据_利率互换_FR007_1年!$A$6:$C$4395,2,0),"")</f>
        <v/>
      </c>
      <c r="I4361" t="str">
        <f>IFERROR(VLOOKUP($A4361,原始数据_利率互换_FR007_1年!$A$6:$C$4395,3,0),"")</f>
        <v/>
      </c>
    </row>
    <row r="4362" spans="1:9">
      <c r="A4362" s="6">
        <v>43855</v>
      </c>
      <c r="B4362" t="str">
        <f>IFERROR(VLOOKUP($A4362,原始数据_收盘!$A$4:$G$3460,2,0),"")</f>
        <v/>
      </c>
      <c r="C4362" t="str">
        <f>IFERROR(VLOOKUP($A4362,原始数据_收盘!$A$4:$G$3460,3,0),"")</f>
        <v/>
      </c>
      <c r="D4362" t="str">
        <f>IFERROR(VLOOKUP($A4362,原始数据_收盘!$A$4:$G$3460,4,0),"")</f>
        <v/>
      </c>
      <c r="E4362" t="str">
        <f>IFERROR(VLOOKUP($A4362,原始数据_收盘!$A$4:$G$3460,5,0),"")</f>
        <v/>
      </c>
      <c r="F4362" t="str">
        <f>IFERROR(VLOOKUP($A4362,原始数据_收盘!$A$4:$G$3460,6,0),"")</f>
        <v/>
      </c>
      <c r="G4362" t="str">
        <f>IFERROR(VLOOKUP($A4362,原始数据_收盘!$A$4:$G$3460,7,0),"")</f>
        <v/>
      </c>
      <c r="H4362" t="str">
        <f>IFERROR(VLOOKUP($A4362,原始数据_利率互换_FR007_1年!$A$6:$C$4395,2,0),"")</f>
        <v/>
      </c>
      <c r="I4362" t="str">
        <f>IFERROR(VLOOKUP($A4362,原始数据_利率互换_FR007_1年!$A$6:$C$4395,3,0),"")</f>
        <v/>
      </c>
    </row>
    <row r="4363" spans="1:9">
      <c r="A4363" s="6">
        <v>43856</v>
      </c>
      <c r="B4363" t="str">
        <f>IFERROR(VLOOKUP($A4363,原始数据_收盘!$A$4:$G$3460,2,0),"")</f>
        <v/>
      </c>
      <c r="C4363" t="str">
        <f>IFERROR(VLOOKUP($A4363,原始数据_收盘!$A$4:$G$3460,3,0),"")</f>
        <v/>
      </c>
      <c r="D4363" t="str">
        <f>IFERROR(VLOOKUP($A4363,原始数据_收盘!$A$4:$G$3460,4,0),"")</f>
        <v/>
      </c>
      <c r="E4363" t="str">
        <f>IFERROR(VLOOKUP($A4363,原始数据_收盘!$A$4:$G$3460,5,0),"")</f>
        <v/>
      </c>
      <c r="F4363" t="str">
        <f>IFERROR(VLOOKUP($A4363,原始数据_收盘!$A$4:$G$3460,6,0),"")</f>
        <v/>
      </c>
      <c r="G4363" t="str">
        <f>IFERROR(VLOOKUP($A4363,原始数据_收盘!$A$4:$G$3460,7,0),"")</f>
        <v/>
      </c>
      <c r="H4363" t="str">
        <f>IFERROR(VLOOKUP($A4363,原始数据_利率互换_FR007_1年!$A$6:$C$4395,2,0),"")</f>
        <v/>
      </c>
      <c r="I4363" t="str">
        <f>IFERROR(VLOOKUP($A4363,原始数据_利率互换_FR007_1年!$A$6:$C$4395,3,0),"")</f>
        <v/>
      </c>
    </row>
    <row r="4364" spans="1:9">
      <c r="A4364" s="6">
        <v>43857</v>
      </c>
      <c r="B4364" t="str">
        <f>IFERROR(VLOOKUP($A4364,原始数据_收盘!$A$4:$G$3460,2,0),"")</f>
        <v/>
      </c>
      <c r="C4364" t="str">
        <f>IFERROR(VLOOKUP($A4364,原始数据_收盘!$A$4:$G$3460,3,0),"")</f>
        <v/>
      </c>
      <c r="D4364" t="str">
        <f>IFERROR(VLOOKUP($A4364,原始数据_收盘!$A$4:$G$3460,4,0),"")</f>
        <v/>
      </c>
      <c r="E4364" t="str">
        <f>IFERROR(VLOOKUP($A4364,原始数据_收盘!$A$4:$G$3460,5,0),"")</f>
        <v/>
      </c>
      <c r="F4364" t="str">
        <f>IFERROR(VLOOKUP($A4364,原始数据_收盘!$A$4:$G$3460,6,0),"")</f>
        <v/>
      </c>
      <c r="G4364" t="str">
        <f>IFERROR(VLOOKUP($A4364,原始数据_收盘!$A$4:$G$3460,7,0),"")</f>
        <v/>
      </c>
      <c r="H4364" t="str">
        <f>IFERROR(VLOOKUP($A4364,原始数据_利率互换_FR007_1年!$A$6:$C$4395,2,0),"")</f>
        <v/>
      </c>
      <c r="I4364" t="str">
        <f>IFERROR(VLOOKUP($A4364,原始数据_利率互换_FR007_1年!$A$6:$C$4395,3,0),"")</f>
        <v/>
      </c>
    </row>
    <row r="4365" spans="1:9">
      <c r="A4365" s="6">
        <v>43858</v>
      </c>
      <c r="B4365" t="str">
        <f>IFERROR(VLOOKUP($A4365,原始数据_收盘!$A$4:$G$3460,2,0),"")</f>
        <v/>
      </c>
      <c r="C4365" t="str">
        <f>IFERROR(VLOOKUP($A4365,原始数据_收盘!$A$4:$G$3460,3,0),"")</f>
        <v/>
      </c>
      <c r="D4365" t="str">
        <f>IFERROR(VLOOKUP($A4365,原始数据_收盘!$A$4:$G$3460,4,0),"")</f>
        <v/>
      </c>
      <c r="E4365" t="str">
        <f>IFERROR(VLOOKUP($A4365,原始数据_收盘!$A$4:$G$3460,5,0),"")</f>
        <v/>
      </c>
      <c r="F4365" t="str">
        <f>IFERROR(VLOOKUP($A4365,原始数据_收盘!$A$4:$G$3460,6,0),"")</f>
        <v/>
      </c>
      <c r="G4365" t="str">
        <f>IFERROR(VLOOKUP($A4365,原始数据_收盘!$A$4:$G$3460,7,0),"")</f>
        <v/>
      </c>
      <c r="H4365" t="str">
        <f>IFERROR(VLOOKUP($A4365,原始数据_利率互换_FR007_1年!$A$6:$C$4395,2,0),"")</f>
        <v/>
      </c>
      <c r="I4365" t="str">
        <f>IFERROR(VLOOKUP($A4365,原始数据_利率互换_FR007_1年!$A$6:$C$4395,3,0),"")</f>
        <v/>
      </c>
    </row>
    <row r="4366" spans="1:9">
      <c r="A4366" s="6">
        <v>43859</v>
      </c>
      <c r="B4366" t="str">
        <f>IFERROR(VLOOKUP($A4366,原始数据_收盘!$A$4:$G$3460,2,0),"")</f>
        <v/>
      </c>
      <c r="C4366" t="str">
        <f>IFERROR(VLOOKUP($A4366,原始数据_收盘!$A$4:$G$3460,3,0),"")</f>
        <v/>
      </c>
      <c r="D4366" t="str">
        <f>IFERROR(VLOOKUP($A4366,原始数据_收盘!$A$4:$G$3460,4,0),"")</f>
        <v/>
      </c>
      <c r="E4366" t="str">
        <f>IFERROR(VLOOKUP($A4366,原始数据_收盘!$A$4:$G$3460,5,0),"")</f>
        <v/>
      </c>
      <c r="F4366" t="str">
        <f>IFERROR(VLOOKUP($A4366,原始数据_收盘!$A$4:$G$3460,6,0),"")</f>
        <v/>
      </c>
      <c r="G4366" t="str">
        <f>IFERROR(VLOOKUP($A4366,原始数据_收盘!$A$4:$G$3460,7,0),"")</f>
        <v/>
      </c>
      <c r="H4366" t="str">
        <f>IFERROR(VLOOKUP($A4366,原始数据_利率互换_FR007_1年!$A$6:$C$4395,2,0),"")</f>
        <v/>
      </c>
      <c r="I4366" t="str">
        <f>IFERROR(VLOOKUP($A4366,原始数据_利率互换_FR007_1年!$A$6:$C$4395,3,0),"")</f>
        <v/>
      </c>
    </row>
    <row r="4367" spans="1:9">
      <c r="A4367" s="6">
        <v>43860</v>
      </c>
      <c r="B4367" t="str">
        <f>IFERROR(VLOOKUP($A4367,原始数据_收盘!$A$4:$G$3460,2,0),"")</f>
        <v/>
      </c>
      <c r="C4367" t="str">
        <f>IFERROR(VLOOKUP($A4367,原始数据_收盘!$A$4:$G$3460,3,0),"")</f>
        <v/>
      </c>
      <c r="D4367" t="str">
        <f>IFERROR(VLOOKUP($A4367,原始数据_收盘!$A$4:$G$3460,4,0),"")</f>
        <v/>
      </c>
      <c r="E4367" t="str">
        <f>IFERROR(VLOOKUP($A4367,原始数据_收盘!$A$4:$G$3460,5,0),"")</f>
        <v/>
      </c>
      <c r="F4367" t="str">
        <f>IFERROR(VLOOKUP($A4367,原始数据_收盘!$A$4:$G$3460,6,0),"")</f>
        <v/>
      </c>
      <c r="G4367" t="str">
        <f>IFERROR(VLOOKUP($A4367,原始数据_收盘!$A$4:$G$3460,7,0),"")</f>
        <v/>
      </c>
      <c r="H4367" t="str">
        <f>IFERROR(VLOOKUP($A4367,原始数据_利率互换_FR007_1年!$A$6:$C$4395,2,0),"")</f>
        <v/>
      </c>
      <c r="I4367" t="str">
        <f>IFERROR(VLOOKUP($A4367,原始数据_利率互换_FR007_1年!$A$6:$C$4395,3,0),"")</f>
        <v/>
      </c>
    </row>
    <row r="4368" spans="1:9">
      <c r="A4368" s="6">
        <v>43861</v>
      </c>
      <c r="B4368" t="str">
        <f>IFERROR(VLOOKUP($A4368,原始数据_收盘!$A$4:$G$3460,2,0),"")</f>
        <v/>
      </c>
      <c r="C4368" t="str">
        <f>IFERROR(VLOOKUP($A4368,原始数据_收盘!$A$4:$G$3460,3,0),"")</f>
        <v/>
      </c>
      <c r="D4368" t="str">
        <f>IFERROR(VLOOKUP($A4368,原始数据_收盘!$A$4:$G$3460,4,0),"")</f>
        <v/>
      </c>
      <c r="E4368" t="str">
        <f>IFERROR(VLOOKUP($A4368,原始数据_收盘!$A$4:$G$3460,5,0),"")</f>
        <v/>
      </c>
      <c r="F4368" t="str">
        <f>IFERROR(VLOOKUP($A4368,原始数据_收盘!$A$4:$G$3460,6,0),"")</f>
        <v/>
      </c>
      <c r="G4368" t="str">
        <f>IFERROR(VLOOKUP($A4368,原始数据_收盘!$A$4:$G$3460,7,0),"")</f>
        <v/>
      </c>
      <c r="H4368" t="str">
        <f>IFERROR(VLOOKUP($A4368,原始数据_利率互换_FR007_1年!$A$6:$C$4395,2,0),"")</f>
        <v/>
      </c>
      <c r="I4368" t="str">
        <f>IFERROR(VLOOKUP($A4368,原始数据_利率互换_FR007_1年!$A$6:$C$4395,3,0),"")</f>
        <v/>
      </c>
    </row>
    <row r="4369" spans="1:9">
      <c r="A4369" s="6">
        <v>43862</v>
      </c>
      <c r="B4369" t="str">
        <f>IFERROR(VLOOKUP($A4369,原始数据_收盘!$A$4:$G$3460,2,0),"")</f>
        <v/>
      </c>
      <c r="C4369" t="str">
        <f>IFERROR(VLOOKUP($A4369,原始数据_收盘!$A$4:$G$3460,3,0),"")</f>
        <v/>
      </c>
      <c r="D4369" t="str">
        <f>IFERROR(VLOOKUP($A4369,原始数据_收盘!$A$4:$G$3460,4,0),"")</f>
        <v/>
      </c>
      <c r="E4369" t="str">
        <f>IFERROR(VLOOKUP($A4369,原始数据_收盘!$A$4:$G$3460,5,0),"")</f>
        <v/>
      </c>
      <c r="F4369" t="str">
        <f>IFERROR(VLOOKUP($A4369,原始数据_收盘!$A$4:$G$3460,6,0),"")</f>
        <v/>
      </c>
      <c r="G4369" t="str">
        <f>IFERROR(VLOOKUP($A4369,原始数据_收盘!$A$4:$G$3460,7,0),"")</f>
        <v/>
      </c>
      <c r="H4369" t="str">
        <f>IFERROR(VLOOKUP($A4369,原始数据_利率互换_FR007_1年!$A$6:$C$4395,2,0),"")</f>
        <v/>
      </c>
      <c r="I4369" t="str">
        <f>IFERROR(VLOOKUP($A4369,原始数据_利率互换_FR007_1年!$A$6:$C$4395,3,0),"")</f>
        <v/>
      </c>
    </row>
    <row r="4370" spans="1:9">
      <c r="A4370" s="6">
        <v>43863</v>
      </c>
      <c r="B4370" t="str">
        <f>IFERROR(VLOOKUP($A4370,原始数据_收盘!$A$4:$G$3460,2,0),"")</f>
        <v/>
      </c>
      <c r="C4370" t="str">
        <f>IFERROR(VLOOKUP($A4370,原始数据_收盘!$A$4:$G$3460,3,0),"")</f>
        <v/>
      </c>
      <c r="D4370" t="str">
        <f>IFERROR(VLOOKUP($A4370,原始数据_收盘!$A$4:$G$3460,4,0),"")</f>
        <v/>
      </c>
      <c r="E4370" t="str">
        <f>IFERROR(VLOOKUP($A4370,原始数据_收盘!$A$4:$G$3460,5,0),"")</f>
        <v/>
      </c>
      <c r="F4370" t="str">
        <f>IFERROR(VLOOKUP($A4370,原始数据_收盘!$A$4:$G$3460,6,0),"")</f>
        <v/>
      </c>
      <c r="G4370" t="str">
        <f>IFERROR(VLOOKUP($A4370,原始数据_收盘!$A$4:$G$3460,7,0),"")</f>
        <v/>
      </c>
      <c r="H4370" t="str">
        <f>IFERROR(VLOOKUP($A4370,原始数据_利率互换_FR007_1年!$A$6:$C$4395,2,0),"")</f>
        <v/>
      </c>
      <c r="I4370" t="str">
        <f>IFERROR(VLOOKUP($A4370,原始数据_利率互换_FR007_1年!$A$6:$C$4395,3,0),"")</f>
        <v/>
      </c>
    </row>
    <row r="4371" spans="1:9">
      <c r="A4371" s="6">
        <v>43864</v>
      </c>
      <c r="B4371">
        <f>IFERROR(VLOOKUP($A4371,原始数据_收盘!$A$4:$G$3460,2,0),"")</f>
        <v>2.4575</v>
      </c>
      <c r="C4371">
        <f>IFERROR(VLOOKUP($A4371,原始数据_收盘!$A$4:$G$3460,3,0),"")</f>
        <v>2.7175</v>
      </c>
      <c r="D4371">
        <f>IFERROR(VLOOKUP($A4371,原始数据_收盘!$A$4:$G$3460,4,0),"")</f>
        <v>2.46</v>
      </c>
      <c r="E4371">
        <f>IFERROR(VLOOKUP($A4371,原始数据_收盘!$A$4:$G$3460,5,0),"")</f>
        <v>2.72</v>
      </c>
      <c r="F4371">
        <f>IFERROR(VLOOKUP($A4371,原始数据_收盘!$A$4:$G$3460,6,0),"")</f>
        <v>2.4588</v>
      </c>
      <c r="G4371">
        <f>IFERROR(VLOOKUP($A4371,原始数据_收盘!$A$4:$G$3460,7,0),"")</f>
        <v>2.7188</v>
      </c>
      <c r="H4371">
        <f>IFERROR(VLOOKUP($A4371,原始数据_利率互换_FR007_1年!$A$6:$C$4395,2,0),"")</f>
        <v>2.448</v>
      </c>
      <c r="I4371">
        <f>IFERROR(VLOOKUP($A4371,原始数据_利率互换_FR007_1年!$A$6:$C$4395,3,0),"")</f>
        <v>2.6976</v>
      </c>
    </row>
    <row r="4372" spans="1:9">
      <c r="A4372" s="6">
        <v>43865</v>
      </c>
      <c r="B4372">
        <f>IFERROR(VLOOKUP($A4372,原始数据_收盘!$A$4:$G$3460,2,0),"")</f>
        <v>2.46</v>
      </c>
      <c r="C4372">
        <f>IFERROR(VLOOKUP($A4372,原始数据_收盘!$A$4:$G$3460,3,0),"")</f>
        <v>2.7394</v>
      </c>
      <c r="D4372">
        <f>IFERROR(VLOOKUP($A4372,原始数据_收盘!$A$4:$G$3460,4,0),"")</f>
        <v>2.47</v>
      </c>
      <c r="E4372">
        <f>IFERROR(VLOOKUP($A4372,原始数据_收盘!$A$4:$G$3460,5,0),"")</f>
        <v>2.7427</v>
      </c>
      <c r="F4372">
        <f>IFERROR(VLOOKUP($A4372,原始数据_收盘!$A$4:$G$3460,6,0),"")</f>
        <v>2.465</v>
      </c>
      <c r="G4372">
        <f>IFERROR(VLOOKUP($A4372,原始数据_收盘!$A$4:$G$3460,7,0),"")</f>
        <v>2.7411</v>
      </c>
      <c r="H4372">
        <f>IFERROR(VLOOKUP($A4372,原始数据_利率互换_FR007_1年!$A$6:$C$4395,2,0),"")</f>
        <v>2.4608</v>
      </c>
      <c r="I4372">
        <f>IFERROR(VLOOKUP($A4372,原始数据_利率互换_FR007_1年!$A$6:$C$4395,3,0),"")</f>
        <v>2.7238</v>
      </c>
    </row>
    <row r="4373" spans="1:9">
      <c r="A4373" s="6">
        <v>43866</v>
      </c>
      <c r="B4373">
        <f>IFERROR(VLOOKUP($A4373,原始数据_收盘!$A$4:$G$3460,2,0),"")</f>
        <v>2.44</v>
      </c>
      <c r="C4373">
        <f>IFERROR(VLOOKUP($A4373,原始数据_收盘!$A$4:$G$3460,3,0),"")</f>
        <v>2.722</v>
      </c>
      <c r="D4373">
        <f>IFERROR(VLOOKUP($A4373,原始数据_收盘!$A$4:$G$3460,4,0),"")</f>
        <v>2.445</v>
      </c>
      <c r="E4373">
        <f>IFERROR(VLOOKUP($A4373,原始数据_收盘!$A$4:$G$3460,5,0),"")</f>
        <v>2.729</v>
      </c>
      <c r="F4373">
        <f>IFERROR(VLOOKUP($A4373,原始数据_收盘!$A$4:$G$3460,6,0),"")</f>
        <v>2.4425</v>
      </c>
      <c r="G4373">
        <f>IFERROR(VLOOKUP($A4373,原始数据_收盘!$A$4:$G$3460,7,0),"")</f>
        <v>2.7255</v>
      </c>
      <c r="H4373">
        <f>IFERROR(VLOOKUP($A4373,原始数据_利率互换_FR007_1年!$A$6:$C$4395,2,0),"")</f>
        <v>2.458</v>
      </c>
      <c r="I4373">
        <f>IFERROR(VLOOKUP($A4373,原始数据_利率互换_FR007_1年!$A$6:$C$4395,3,0),"")</f>
        <v>2.7404</v>
      </c>
    </row>
    <row r="4374" spans="1:9">
      <c r="A4374" s="6">
        <v>43867</v>
      </c>
      <c r="B4374">
        <f>IFERROR(VLOOKUP($A4374,原始数据_收盘!$A$4:$G$3460,2,0),"")</f>
        <v>2.43</v>
      </c>
      <c r="C4374">
        <f>IFERROR(VLOOKUP($A4374,原始数据_收盘!$A$4:$G$3460,3,0),"")</f>
        <v>2.722</v>
      </c>
      <c r="D4374">
        <f>IFERROR(VLOOKUP($A4374,原始数据_收盘!$A$4:$G$3460,4,0),"")</f>
        <v>2.4375</v>
      </c>
      <c r="E4374">
        <f>IFERROR(VLOOKUP($A4374,原始数据_收盘!$A$4:$G$3460,5,0),"")</f>
        <v>2.725</v>
      </c>
      <c r="F4374">
        <f>IFERROR(VLOOKUP($A4374,原始数据_收盘!$A$4:$G$3460,6,0),"")</f>
        <v>2.4338</v>
      </c>
      <c r="G4374">
        <f>IFERROR(VLOOKUP($A4374,原始数据_收盘!$A$4:$G$3460,7,0),"")</f>
        <v>2.7235</v>
      </c>
      <c r="H4374">
        <f>IFERROR(VLOOKUP($A4374,原始数据_利率互换_FR007_1年!$A$6:$C$4395,2,0),"")</f>
        <v>2.4396</v>
      </c>
      <c r="I4374">
        <f>IFERROR(VLOOKUP($A4374,原始数据_利率互换_FR007_1年!$A$6:$C$4395,3,0),"")</f>
        <v>2.7316</v>
      </c>
    </row>
    <row r="4375" spans="1:9">
      <c r="A4375" s="6">
        <v>43868</v>
      </c>
      <c r="B4375">
        <f>IFERROR(VLOOKUP($A4375,原始数据_收盘!$A$4:$G$3460,2,0),"")</f>
        <v>2.3816</v>
      </c>
      <c r="C4375">
        <f>IFERROR(VLOOKUP($A4375,原始数据_收盘!$A$4:$G$3460,3,0),"")</f>
        <v>2.6638</v>
      </c>
      <c r="D4375">
        <f>IFERROR(VLOOKUP($A4375,原始数据_收盘!$A$4:$G$3460,4,0),"")</f>
        <v>2.3897</v>
      </c>
      <c r="E4375">
        <f>IFERROR(VLOOKUP($A4375,原始数据_收盘!$A$4:$G$3460,5,0),"")</f>
        <v>2.6681</v>
      </c>
      <c r="F4375">
        <f>IFERROR(VLOOKUP($A4375,原始数据_收盘!$A$4:$G$3460,6,0),"")</f>
        <v>2.3857</v>
      </c>
      <c r="G4375">
        <f>IFERROR(VLOOKUP($A4375,原始数据_收盘!$A$4:$G$3460,7,0),"")</f>
        <v>2.6659</v>
      </c>
      <c r="H4375">
        <f>IFERROR(VLOOKUP($A4375,原始数据_利率互换_FR007_1年!$A$6:$C$4395,2,0),"")</f>
        <v>2.4088</v>
      </c>
      <c r="I4375">
        <f>IFERROR(VLOOKUP($A4375,原始数据_利率互换_FR007_1年!$A$6:$C$4395,3,0),"")</f>
        <v>2.6954</v>
      </c>
    </row>
    <row r="4376" spans="1:9">
      <c r="A4376" s="6">
        <v>43869</v>
      </c>
      <c r="B4376" t="str">
        <f>IFERROR(VLOOKUP($A4376,原始数据_收盘!$A$4:$G$3460,2,0),"")</f>
        <v/>
      </c>
      <c r="C4376" t="str">
        <f>IFERROR(VLOOKUP($A4376,原始数据_收盘!$A$4:$G$3460,3,0),"")</f>
        <v/>
      </c>
      <c r="D4376" t="str">
        <f>IFERROR(VLOOKUP($A4376,原始数据_收盘!$A$4:$G$3460,4,0),"")</f>
        <v/>
      </c>
      <c r="E4376" t="str">
        <f>IFERROR(VLOOKUP($A4376,原始数据_收盘!$A$4:$G$3460,5,0),"")</f>
        <v/>
      </c>
      <c r="F4376" t="str">
        <f>IFERROR(VLOOKUP($A4376,原始数据_收盘!$A$4:$G$3460,6,0),"")</f>
        <v/>
      </c>
      <c r="G4376" t="str">
        <f>IFERROR(VLOOKUP($A4376,原始数据_收盘!$A$4:$G$3460,7,0),"")</f>
        <v/>
      </c>
      <c r="H4376" t="str">
        <f>IFERROR(VLOOKUP($A4376,原始数据_利率互换_FR007_1年!$A$6:$C$4395,2,0),"")</f>
        <v/>
      </c>
      <c r="I4376" t="str">
        <f>IFERROR(VLOOKUP($A4376,原始数据_利率互换_FR007_1年!$A$6:$C$4395,3,0),"")</f>
        <v/>
      </c>
    </row>
    <row r="4377" spans="1:9">
      <c r="A4377" s="6">
        <v>43870</v>
      </c>
      <c r="B4377" t="str">
        <f>IFERROR(VLOOKUP($A4377,原始数据_收盘!$A$4:$G$3460,2,0),"")</f>
        <v/>
      </c>
      <c r="C4377" t="str">
        <f>IFERROR(VLOOKUP($A4377,原始数据_收盘!$A$4:$G$3460,3,0),"")</f>
        <v/>
      </c>
      <c r="D4377" t="str">
        <f>IFERROR(VLOOKUP($A4377,原始数据_收盘!$A$4:$G$3460,4,0),"")</f>
        <v/>
      </c>
      <c r="E4377" t="str">
        <f>IFERROR(VLOOKUP($A4377,原始数据_收盘!$A$4:$G$3460,5,0),"")</f>
        <v/>
      </c>
      <c r="F4377" t="str">
        <f>IFERROR(VLOOKUP($A4377,原始数据_收盘!$A$4:$G$3460,6,0),"")</f>
        <v/>
      </c>
      <c r="G4377" t="str">
        <f>IFERROR(VLOOKUP($A4377,原始数据_收盘!$A$4:$G$3460,7,0),"")</f>
        <v/>
      </c>
      <c r="H4377" t="str">
        <f>IFERROR(VLOOKUP($A4377,原始数据_利率互换_FR007_1年!$A$6:$C$4395,2,0),"")</f>
        <v/>
      </c>
      <c r="I4377" t="str">
        <f>IFERROR(VLOOKUP($A4377,原始数据_利率互换_FR007_1年!$A$6:$C$4395,3,0),"")</f>
        <v/>
      </c>
    </row>
    <row r="4378" spans="1:9">
      <c r="A4378" s="6">
        <v>43871</v>
      </c>
      <c r="B4378">
        <f>IFERROR(VLOOKUP($A4378,原始数据_收盘!$A$4:$G$3460,2,0),"")</f>
        <v>2.3666</v>
      </c>
      <c r="C4378">
        <f>IFERROR(VLOOKUP($A4378,原始数据_收盘!$A$4:$G$3460,3,0),"")</f>
        <v>2.6592</v>
      </c>
      <c r="D4378">
        <f>IFERROR(VLOOKUP($A4378,原始数据_收盘!$A$4:$G$3460,4,0),"")</f>
        <v>2.3712</v>
      </c>
      <c r="E4378">
        <f>IFERROR(VLOOKUP($A4378,原始数据_收盘!$A$4:$G$3460,5,0),"")</f>
        <v>2.6658</v>
      </c>
      <c r="F4378">
        <f>IFERROR(VLOOKUP($A4378,原始数据_收盘!$A$4:$G$3460,6,0),"")</f>
        <v>2.3689</v>
      </c>
      <c r="G4378">
        <f>IFERROR(VLOOKUP($A4378,原始数据_收盘!$A$4:$G$3460,7,0),"")</f>
        <v>2.6625</v>
      </c>
      <c r="H4378">
        <f>IFERROR(VLOOKUP($A4378,原始数据_利率互换_FR007_1年!$A$6:$C$4395,2,0),"")</f>
        <v>2.3758</v>
      </c>
      <c r="I4378">
        <f>IFERROR(VLOOKUP($A4378,原始数据_利率互换_FR007_1年!$A$6:$C$4395,3,0),"")</f>
        <v>2.6581</v>
      </c>
    </row>
    <row r="4379" spans="1:9">
      <c r="A4379" s="6">
        <v>43872</v>
      </c>
      <c r="B4379">
        <f>IFERROR(VLOOKUP($A4379,原始数据_收盘!$A$4:$G$3460,2,0),"")</f>
        <v>2.3978</v>
      </c>
      <c r="C4379">
        <f>IFERROR(VLOOKUP($A4379,原始数据_收盘!$A$4:$G$3460,3,0),"")</f>
        <v>2.7075</v>
      </c>
      <c r="D4379">
        <f>IFERROR(VLOOKUP($A4379,原始数据_收盘!$A$4:$G$3460,4,0),"")</f>
        <v>2.4025</v>
      </c>
      <c r="E4379">
        <f>IFERROR(VLOOKUP($A4379,原始数据_收盘!$A$4:$G$3460,5,0),"")</f>
        <v>2.7125</v>
      </c>
      <c r="F4379">
        <f>IFERROR(VLOOKUP($A4379,原始数据_收盘!$A$4:$G$3460,6,0),"")</f>
        <v>2.4002</v>
      </c>
      <c r="G4379">
        <f>IFERROR(VLOOKUP($A4379,原始数据_收盘!$A$4:$G$3460,7,0),"")</f>
        <v>2.71</v>
      </c>
      <c r="H4379">
        <f>IFERROR(VLOOKUP($A4379,原始数据_利率互换_FR007_1年!$A$6:$C$4395,2,0),"")</f>
        <v>2.3956</v>
      </c>
      <c r="I4379">
        <f>IFERROR(VLOOKUP($A4379,原始数据_利率互换_FR007_1年!$A$6:$C$4395,3,0),"")</f>
        <v>2.6991</v>
      </c>
    </row>
    <row r="4380" spans="1:9">
      <c r="A4380" s="6">
        <v>43873</v>
      </c>
      <c r="B4380">
        <f>IFERROR(VLOOKUP($A4380,原始数据_收盘!$A$4:$G$3460,2,0),"")</f>
        <v>2.4049</v>
      </c>
      <c r="C4380">
        <f>IFERROR(VLOOKUP($A4380,原始数据_收盘!$A$4:$G$3460,3,0),"")</f>
        <v>2.7075</v>
      </c>
      <c r="D4380">
        <f>IFERROR(VLOOKUP($A4380,原始数据_收盘!$A$4:$G$3460,4,0),"")</f>
        <v>2.4075</v>
      </c>
      <c r="E4380">
        <f>IFERROR(VLOOKUP($A4380,原始数据_收盘!$A$4:$G$3460,5,0),"")</f>
        <v>2.71</v>
      </c>
      <c r="F4380">
        <f>IFERROR(VLOOKUP($A4380,原始数据_收盘!$A$4:$G$3460,6,0),"")</f>
        <v>2.4062</v>
      </c>
      <c r="G4380">
        <f>IFERROR(VLOOKUP($A4380,原始数据_收盘!$A$4:$G$3460,7,0),"")</f>
        <v>2.7088</v>
      </c>
      <c r="H4380">
        <f>IFERROR(VLOOKUP($A4380,原始数据_利率互换_FR007_1年!$A$6:$C$4395,2,0),"")</f>
        <v>2.4062</v>
      </c>
      <c r="I4380">
        <f>IFERROR(VLOOKUP($A4380,原始数据_利率互换_FR007_1年!$A$6:$C$4395,3,0),"")</f>
        <v>2.7121</v>
      </c>
    </row>
    <row r="4381" spans="1:9">
      <c r="A4381" s="6">
        <v>43874</v>
      </c>
      <c r="B4381">
        <f>IFERROR(VLOOKUP($A4381,原始数据_收盘!$A$4:$G$3460,2,0),"")</f>
        <v>2.385</v>
      </c>
      <c r="C4381">
        <f>IFERROR(VLOOKUP($A4381,原始数据_收盘!$A$4:$G$3460,3,0),"")</f>
        <v>2.6775</v>
      </c>
      <c r="D4381">
        <f>IFERROR(VLOOKUP($A4381,原始数据_收盘!$A$4:$G$3460,4,0),"")</f>
        <v>2.39</v>
      </c>
      <c r="E4381">
        <f>IFERROR(VLOOKUP($A4381,原始数据_收盘!$A$4:$G$3460,5,0),"")</f>
        <v>2.6808</v>
      </c>
      <c r="F4381">
        <f>IFERROR(VLOOKUP($A4381,原始数据_收盘!$A$4:$G$3460,6,0),"")</f>
        <v>2.3875</v>
      </c>
      <c r="G4381">
        <f>IFERROR(VLOOKUP($A4381,原始数据_收盘!$A$4:$G$3460,7,0),"")</f>
        <v>2.6792</v>
      </c>
      <c r="H4381">
        <f>IFERROR(VLOOKUP($A4381,原始数据_利率互换_FR007_1年!$A$6:$C$4395,2,0),"")</f>
        <v>2.3902</v>
      </c>
      <c r="I4381">
        <f>IFERROR(VLOOKUP($A4381,原始数据_利率互换_FR007_1年!$A$6:$C$4395,3,0),"")</f>
        <v>2.6884</v>
      </c>
    </row>
    <row r="4382" spans="1:9">
      <c r="A4382" s="6">
        <v>43875</v>
      </c>
      <c r="B4382">
        <f>IFERROR(VLOOKUP($A4382,原始数据_收盘!$A$4:$G$3460,2,0),"")</f>
        <v>2.395</v>
      </c>
      <c r="C4382">
        <f>IFERROR(VLOOKUP($A4382,原始数据_收盘!$A$4:$G$3460,3,0),"")</f>
        <v>2.7125</v>
      </c>
      <c r="D4382">
        <f>IFERROR(VLOOKUP($A4382,原始数据_收盘!$A$4:$G$3460,4,0),"")</f>
        <v>2.4</v>
      </c>
      <c r="E4382">
        <f>IFERROR(VLOOKUP($A4382,原始数据_收盘!$A$4:$G$3460,5,0),"")</f>
        <v>2.715</v>
      </c>
      <c r="F4382">
        <f>IFERROR(VLOOKUP($A4382,原始数据_收盘!$A$4:$G$3460,6,0),"")</f>
        <v>2.3975</v>
      </c>
      <c r="G4382">
        <f>IFERROR(VLOOKUP($A4382,原始数据_收盘!$A$4:$G$3460,7,0),"")</f>
        <v>2.7138</v>
      </c>
      <c r="H4382">
        <f>IFERROR(VLOOKUP($A4382,原始数据_利率互换_FR007_1年!$A$6:$C$4395,2,0),"")</f>
        <v>2.3895</v>
      </c>
      <c r="I4382">
        <f>IFERROR(VLOOKUP($A4382,原始数据_利率互换_FR007_1年!$A$6:$C$4395,3,0),"")</f>
        <v>2.6941</v>
      </c>
    </row>
    <row r="4383" spans="1:9">
      <c r="A4383" s="6">
        <v>43876</v>
      </c>
      <c r="B4383" t="str">
        <f>IFERROR(VLOOKUP($A4383,原始数据_收盘!$A$4:$G$3460,2,0),"")</f>
        <v/>
      </c>
      <c r="C4383" t="str">
        <f>IFERROR(VLOOKUP($A4383,原始数据_收盘!$A$4:$G$3460,3,0),"")</f>
        <v/>
      </c>
      <c r="D4383" t="str">
        <f>IFERROR(VLOOKUP($A4383,原始数据_收盘!$A$4:$G$3460,4,0),"")</f>
        <v/>
      </c>
      <c r="E4383" t="str">
        <f>IFERROR(VLOOKUP($A4383,原始数据_收盘!$A$4:$G$3460,5,0),"")</f>
        <v/>
      </c>
      <c r="F4383" t="str">
        <f>IFERROR(VLOOKUP($A4383,原始数据_收盘!$A$4:$G$3460,6,0),"")</f>
        <v/>
      </c>
      <c r="G4383" t="str">
        <f>IFERROR(VLOOKUP($A4383,原始数据_收盘!$A$4:$G$3460,7,0),"")</f>
        <v/>
      </c>
      <c r="H4383" t="str">
        <f>IFERROR(VLOOKUP($A4383,原始数据_利率互换_FR007_1年!$A$6:$C$4395,2,0),"")</f>
        <v/>
      </c>
      <c r="I4383" t="str">
        <f>IFERROR(VLOOKUP($A4383,原始数据_利率互换_FR007_1年!$A$6:$C$4395,3,0),"")</f>
        <v/>
      </c>
    </row>
    <row r="4384" spans="1:9">
      <c r="A4384" s="6">
        <v>43877</v>
      </c>
      <c r="B4384" t="str">
        <f>IFERROR(VLOOKUP($A4384,原始数据_收盘!$A$4:$G$3460,2,0),"")</f>
        <v/>
      </c>
      <c r="C4384" t="str">
        <f>IFERROR(VLOOKUP($A4384,原始数据_收盘!$A$4:$G$3460,3,0),"")</f>
        <v/>
      </c>
      <c r="D4384" t="str">
        <f>IFERROR(VLOOKUP($A4384,原始数据_收盘!$A$4:$G$3460,4,0),"")</f>
        <v/>
      </c>
      <c r="E4384" t="str">
        <f>IFERROR(VLOOKUP($A4384,原始数据_收盘!$A$4:$G$3460,5,0),"")</f>
        <v/>
      </c>
      <c r="F4384" t="str">
        <f>IFERROR(VLOOKUP($A4384,原始数据_收盘!$A$4:$G$3460,6,0),"")</f>
        <v/>
      </c>
      <c r="G4384" t="str">
        <f>IFERROR(VLOOKUP($A4384,原始数据_收盘!$A$4:$G$3460,7,0),"")</f>
        <v/>
      </c>
      <c r="H4384" t="str">
        <f>IFERROR(VLOOKUP($A4384,原始数据_利率互换_FR007_1年!$A$6:$C$4395,2,0),"")</f>
        <v/>
      </c>
      <c r="I4384" t="str">
        <f>IFERROR(VLOOKUP($A4384,原始数据_利率互换_FR007_1年!$A$6:$C$4395,3,0),"")</f>
        <v/>
      </c>
    </row>
    <row r="4385" spans="1:9">
      <c r="A4385" s="6">
        <v>43878</v>
      </c>
      <c r="B4385">
        <f>IFERROR(VLOOKUP($A4385,原始数据_收盘!$A$4:$G$3460,2,0),"")</f>
        <v>2.3925</v>
      </c>
      <c r="C4385">
        <f>IFERROR(VLOOKUP($A4385,原始数据_收盘!$A$4:$G$3460,3,0),"")</f>
        <v>2.7245</v>
      </c>
      <c r="D4385">
        <f>IFERROR(VLOOKUP($A4385,原始数据_收盘!$A$4:$G$3460,4,0),"")</f>
        <v>2.3975</v>
      </c>
      <c r="E4385">
        <f>IFERROR(VLOOKUP($A4385,原始数据_收盘!$A$4:$G$3460,5,0),"")</f>
        <v>2.7275</v>
      </c>
      <c r="F4385">
        <f>IFERROR(VLOOKUP($A4385,原始数据_收盘!$A$4:$G$3460,6,0),"")</f>
        <v>2.395</v>
      </c>
      <c r="G4385">
        <f>IFERROR(VLOOKUP($A4385,原始数据_收盘!$A$4:$G$3460,7,0),"")</f>
        <v>2.726</v>
      </c>
      <c r="H4385">
        <f>IFERROR(VLOOKUP($A4385,原始数据_利率互换_FR007_1年!$A$6:$C$4395,2,0),"")</f>
        <v>2.3945</v>
      </c>
      <c r="I4385">
        <f>IFERROR(VLOOKUP($A4385,原始数据_利率互换_FR007_1年!$A$6:$C$4395,3,0),"")</f>
        <v>2.7163</v>
      </c>
    </row>
    <row r="4386" spans="1:9">
      <c r="A4386" s="6">
        <v>43879</v>
      </c>
      <c r="B4386">
        <f>IFERROR(VLOOKUP($A4386,原始数据_收盘!$A$4:$G$3460,2,0),"")</f>
        <v>2.3925</v>
      </c>
      <c r="C4386">
        <f>IFERROR(VLOOKUP($A4386,原始数据_收盘!$A$4:$G$3460,3,0),"")</f>
        <v>2.7025</v>
      </c>
      <c r="D4386">
        <f>IFERROR(VLOOKUP($A4386,原始数据_收盘!$A$4:$G$3460,4,0),"")</f>
        <v>2.395</v>
      </c>
      <c r="E4386">
        <f>IFERROR(VLOOKUP($A4386,原始数据_收盘!$A$4:$G$3460,5,0),"")</f>
        <v>2.705</v>
      </c>
      <c r="F4386">
        <f>IFERROR(VLOOKUP($A4386,原始数据_收盘!$A$4:$G$3460,6,0),"")</f>
        <v>2.3938</v>
      </c>
      <c r="G4386">
        <f>IFERROR(VLOOKUP($A4386,原始数据_收盘!$A$4:$G$3460,7,0),"")</f>
        <v>2.7038</v>
      </c>
      <c r="H4386">
        <f>IFERROR(VLOOKUP($A4386,原始数据_利率互换_FR007_1年!$A$6:$C$4395,2,0),"")</f>
        <v>2.3983</v>
      </c>
      <c r="I4386">
        <f>IFERROR(VLOOKUP($A4386,原始数据_利率互换_FR007_1年!$A$6:$C$4395,3,0),"")</f>
        <v>2.7088</v>
      </c>
    </row>
    <row r="4387" spans="1:9">
      <c r="A4387" s="6">
        <v>43880</v>
      </c>
      <c r="B4387">
        <f>IFERROR(VLOOKUP($A4387,原始数据_收盘!$A$4:$G$3460,2,0),"")</f>
        <v>2.4025</v>
      </c>
      <c r="C4387">
        <f>IFERROR(VLOOKUP($A4387,原始数据_收盘!$A$4:$G$3460,3,0),"")</f>
        <v>2.7157</v>
      </c>
      <c r="D4387">
        <f>IFERROR(VLOOKUP($A4387,原始数据_收盘!$A$4:$G$3460,4,0),"")</f>
        <v>2.41</v>
      </c>
      <c r="E4387">
        <f>IFERROR(VLOOKUP($A4387,原始数据_收盘!$A$4:$G$3460,5,0),"")</f>
        <v>2.7189</v>
      </c>
      <c r="F4387">
        <f>IFERROR(VLOOKUP($A4387,原始数据_收盘!$A$4:$G$3460,6,0),"")</f>
        <v>2.4063</v>
      </c>
      <c r="G4387">
        <f>IFERROR(VLOOKUP($A4387,原始数据_收盘!$A$4:$G$3460,7,0),"")</f>
        <v>2.7173</v>
      </c>
      <c r="H4387">
        <f>IFERROR(VLOOKUP($A4387,原始数据_利率互换_FR007_1年!$A$6:$C$4395,2,0),"")</f>
        <v>2.4036</v>
      </c>
      <c r="I4387">
        <f>IFERROR(VLOOKUP($A4387,原始数据_利率互换_FR007_1年!$A$6:$C$4395,3,0),"")</f>
        <v>2.7048</v>
      </c>
    </row>
    <row r="4388" spans="1:9">
      <c r="A4388" s="6">
        <v>43881</v>
      </c>
      <c r="B4388">
        <f>IFERROR(VLOOKUP($A4388,原始数据_收盘!$A$4:$G$3460,2,0),"")</f>
        <v>2.4175</v>
      </c>
      <c r="C4388">
        <f>IFERROR(VLOOKUP($A4388,原始数据_收盘!$A$4:$G$3460,3,0),"")</f>
        <v>2.7275</v>
      </c>
      <c r="D4388">
        <f>IFERROR(VLOOKUP($A4388,原始数据_收盘!$A$4:$G$3460,4,0),"")</f>
        <v>2.4243</v>
      </c>
      <c r="E4388">
        <f>IFERROR(VLOOKUP($A4388,原始数据_收盘!$A$4:$G$3460,5,0),"")</f>
        <v>2.73</v>
      </c>
      <c r="F4388">
        <f>IFERROR(VLOOKUP($A4388,原始数据_收盘!$A$4:$G$3460,6,0),"")</f>
        <v>2.4209</v>
      </c>
      <c r="G4388">
        <f>IFERROR(VLOOKUP($A4388,原始数据_收盘!$A$4:$G$3460,7,0),"")</f>
        <v>2.7288</v>
      </c>
      <c r="H4388">
        <f>IFERROR(VLOOKUP($A4388,原始数据_利率互换_FR007_1年!$A$6:$C$4395,2,0),"")</f>
        <v>2.4183</v>
      </c>
      <c r="I4388">
        <f>IFERROR(VLOOKUP($A4388,原始数据_利率互换_FR007_1年!$A$6:$C$4395,3,0),"")</f>
        <v>2.7288</v>
      </c>
    </row>
    <row r="4389" spans="1:9">
      <c r="A4389" s="6">
        <v>43882</v>
      </c>
      <c r="B4389">
        <f>IFERROR(VLOOKUP($A4389,原始数据_收盘!$A$4:$G$3460,2,0),"")</f>
        <v>2.382</v>
      </c>
      <c r="C4389">
        <f>IFERROR(VLOOKUP($A4389,原始数据_收盘!$A$4:$G$3460,3,0),"")</f>
        <v>2.6893</v>
      </c>
      <c r="D4389">
        <f>IFERROR(VLOOKUP($A4389,原始数据_收盘!$A$4:$G$3460,4,0),"")</f>
        <v>2.3884</v>
      </c>
      <c r="E4389">
        <f>IFERROR(VLOOKUP($A4389,原始数据_收盘!$A$4:$G$3460,5,0),"")</f>
        <v>2.6937</v>
      </c>
      <c r="F4389">
        <f>IFERROR(VLOOKUP($A4389,原始数据_收盘!$A$4:$G$3460,6,0),"")</f>
        <v>2.3852</v>
      </c>
      <c r="G4389">
        <f>IFERROR(VLOOKUP($A4389,原始数据_收盘!$A$4:$G$3460,7,0),"")</f>
        <v>2.6915</v>
      </c>
      <c r="H4389">
        <f>IFERROR(VLOOKUP($A4389,原始数据_利率互换_FR007_1年!$A$6:$C$4395,2,0),"")</f>
        <v>2.3911</v>
      </c>
      <c r="I4389">
        <f>IFERROR(VLOOKUP($A4389,原始数据_利率互换_FR007_1年!$A$6:$C$4395,3,0),"")</f>
        <v>2.7017</v>
      </c>
    </row>
    <row r="4390" spans="1:9">
      <c r="A4390" s="6">
        <v>43883</v>
      </c>
      <c r="B4390" t="str">
        <f>IFERROR(VLOOKUP($A4390,原始数据_收盘!$A$4:$G$3460,2,0),"")</f>
        <v/>
      </c>
      <c r="C4390" t="str">
        <f>IFERROR(VLOOKUP($A4390,原始数据_收盘!$A$4:$G$3460,3,0),"")</f>
        <v/>
      </c>
      <c r="D4390" t="str">
        <f>IFERROR(VLOOKUP($A4390,原始数据_收盘!$A$4:$G$3460,4,0),"")</f>
        <v/>
      </c>
      <c r="E4390" t="str">
        <f>IFERROR(VLOOKUP($A4390,原始数据_收盘!$A$4:$G$3460,5,0),"")</f>
        <v/>
      </c>
      <c r="F4390" t="str">
        <f>IFERROR(VLOOKUP($A4390,原始数据_收盘!$A$4:$G$3460,6,0),"")</f>
        <v/>
      </c>
      <c r="G4390" t="str">
        <f>IFERROR(VLOOKUP($A4390,原始数据_收盘!$A$4:$G$3460,7,0),"")</f>
        <v/>
      </c>
      <c r="H4390" t="str">
        <f>IFERROR(VLOOKUP($A4390,原始数据_利率互换_FR007_1年!$A$6:$C$4395,2,0),"")</f>
        <v/>
      </c>
      <c r="I4390" t="str">
        <f>IFERROR(VLOOKUP($A4390,原始数据_利率互换_FR007_1年!$A$6:$C$4395,3,0),"")</f>
        <v/>
      </c>
    </row>
    <row r="4391" spans="1:9">
      <c r="A4391" s="6">
        <v>43884</v>
      </c>
      <c r="B4391" t="str">
        <f>IFERROR(VLOOKUP($A4391,原始数据_收盘!$A$4:$G$3460,2,0),"")</f>
        <v/>
      </c>
      <c r="C4391" t="str">
        <f>IFERROR(VLOOKUP($A4391,原始数据_收盘!$A$4:$G$3460,3,0),"")</f>
        <v/>
      </c>
      <c r="D4391" t="str">
        <f>IFERROR(VLOOKUP($A4391,原始数据_收盘!$A$4:$G$3460,4,0),"")</f>
        <v/>
      </c>
      <c r="E4391" t="str">
        <f>IFERROR(VLOOKUP($A4391,原始数据_收盘!$A$4:$G$3460,5,0),"")</f>
        <v/>
      </c>
      <c r="F4391" t="str">
        <f>IFERROR(VLOOKUP($A4391,原始数据_收盘!$A$4:$G$3460,6,0),"")</f>
        <v/>
      </c>
      <c r="G4391" t="str">
        <f>IFERROR(VLOOKUP($A4391,原始数据_收盘!$A$4:$G$3460,7,0),"")</f>
        <v/>
      </c>
      <c r="H4391" t="str">
        <f>IFERROR(VLOOKUP($A4391,原始数据_利率互换_FR007_1年!$A$6:$C$4395,2,0),"")</f>
        <v/>
      </c>
      <c r="I4391" t="str">
        <f>IFERROR(VLOOKUP($A4391,原始数据_利率互换_FR007_1年!$A$6:$C$4395,3,0),"")</f>
        <v/>
      </c>
    </row>
    <row r="4392" spans="1:9">
      <c r="A4392" s="6">
        <v>43885</v>
      </c>
      <c r="B4392">
        <f>IFERROR(VLOOKUP($A4392,原始数据_收盘!$A$4:$G$3460,2,0),"")</f>
        <v>2.345</v>
      </c>
      <c r="C4392">
        <f>IFERROR(VLOOKUP($A4392,原始数据_收盘!$A$4:$G$3460,3,0),"")</f>
        <v>2.635</v>
      </c>
      <c r="D4392">
        <f>IFERROR(VLOOKUP($A4392,原始数据_收盘!$A$4:$G$3460,4,0),"")</f>
        <v>2.3505</v>
      </c>
      <c r="E4392">
        <f>IFERROR(VLOOKUP($A4392,原始数据_收盘!$A$4:$G$3460,5,0),"")</f>
        <v>2.64</v>
      </c>
      <c r="F4392">
        <f>IFERROR(VLOOKUP($A4392,原始数据_收盘!$A$4:$G$3460,6,0),"")</f>
        <v>2.3478</v>
      </c>
      <c r="G4392">
        <f>IFERROR(VLOOKUP($A4392,原始数据_收盘!$A$4:$G$3460,7,0),"")</f>
        <v>2.6375</v>
      </c>
      <c r="H4392">
        <f>IFERROR(VLOOKUP($A4392,原始数据_利率互换_FR007_1年!$A$6:$C$4395,2,0),"")</f>
        <v>2.3578</v>
      </c>
      <c r="I4392">
        <f>IFERROR(VLOOKUP($A4392,原始数据_利率互换_FR007_1年!$A$6:$C$4395,3,0),"")</f>
        <v>2.6535</v>
      </c>
    </row>
    <row r="4393" spans="1:9">
      <c r="A4393" s="6">
        <v>43886</v>
      </c>
      <c r="B4393">
        <f>IFERROR(VLOOKUP($A4393,原始数据_收盘!$A$4:$G$3460,2,0),"")</f>
        <v>2.351</v>
      </c>
      <c r="C4393">
        <f>IFERROR(VLOOKUP($A4393,原始数据_收盘!$A$4:$G$3460,3,0),"")</f>
        <v>2.65</v>
      </c>
      <c r="D4393">
        <f>IFERROR(VLOOKUP($A4393,原始数据_收盘!$A$4:$G$3460,4,0),"")</f>
        <v>2.3545</v>
      </c>
      <c r="E4393">
        <f>IFERROR(VLOOKUP($A4393,原始数据_收盘!$A$4:$G$3460,5,0),"")</f>
        <v>2.655</v>
      </c>
      <c r="F4393">
        <f>IFERROR(VLOOKUP($A4393,原始数据_收盘!$A$4:$G$3460,6,0),"")</f>
        <v>2.3528</v>
      </c>
      <c r="G4393">
        <f>IFERROR(VLOOKUP($A4393,原始数据_收盘!$A$4:$G$3460,7,0),"")</f>
        <v>2.6525</v>
      </c>
      <c r="H4393">
        <f>IFERROR(VLOOKUP($A4393,原始数据_利率互换_FR007_1年!$A$6:$C$4395,2,0),"")</f>
        <v>2.3485</v>
      </c>
      <c r="I4393">
        <f>IFERROR(VLOOKUP($A4393,原始数据_利率互换_FR007_1年!$A$6:$C$4395,3,0),"")</f>
        <v>2.6446</v>
      </c>
    </row>
    <row r="4394" spans="1:9">
      <c r="A4394" s="6">
        <v>43887</v>
      </c>
      <c r="B4394">
        <f>IFERROR(VLOOKUP($A4394,原始数据_收盘!$A$4:$G$3460,2,0),"")</f>
        <v>2.3225</v>
      </c>
      <c r="C4394">
        <f>IFERROR(VLOOKUP($A4394,原始数据_收盘!$A$4:$G$3460,3,0),"")</f>
        <v>2.618</v>
      </c>
      <c r="D4394">
        <f>IFERROR(VLOOKUP($A4394,原始数据_收盘!$A$4:$G$3460,4,0),"")</f>
        <v>2.3275</v>
      </c>
      <c r="E4394">
        <f>IFERROR(VLOOKUP($A4394,原始数据_收盘!$A$4:$G$3460,5,0),"")</f>
        <v>2.62</v>
      </c>
      <c r="F4394">
        <f>IFERROR(VLOOKUP($A4394,原始数据_收盘!$A$4:$G$3460,6,0),"")</f>
        <v>2.325</v>
      </c>
      <c r="G4394">
        <f>IFERROR(VLOOKUP($A4394,原始数据_收盘!$A$4:$G$3460,7,0),"")</f>
        <v>2.619</v>
      </c>
      <c r="H4394">
        <f>IFERROR(VLOOKUP($A4394,原始数据_利率互换_FR007_1年!$A$6:$C$4395,2,0),"")</f>
        <v>2.3327</v>
      </c>
      <c r="I4394">
        <f>IFERROR(VLOOKUP($A4394,原始数据_利率互换_FR007_1年!$A$6:$C$4395,3,0),"")</f>
        <v>2.6299</v>
      </c>
    </row>
    <row r="4395" spans="1:9">
      <c r="A4395" s="6">
        <v>43888</v>
      </c>
      <c r="B4395">
        <f>IFERROR(VLOOKUP($A4395,原始数据_收盘!$A$4:$G$3460,2,0),"")</f>
        <v>2.2975</v>
      </c>
      <c r="C4395">
        <f>IFERROR(VLOOKUP($A4395,原始数据_收盘!$A$4:$G$3460,3,0),"")</f>
        <v>2.5722</v>
      </c>
      <c r="D4395">
        <f>IFERROR(VLOOKUP($A4395,原始数据_收盘!$A$4:$G$3460,4,0),"")</f>
        <v>2.3</v>
      </c>
      <c r="E4395">
        <f>IFERROR(VLOOKUP($A4395,原始数据_收盘!$A$4:$G$3460,5,0),"")</f>
        <v>2.58</v>
      </c>
      <c r="F4395">
        <f>IFERROR(VLOOKUP($A4395,原始数据_收盘!$A$4:$G$3460,6,0),"")</f>
        <v>2.2988</v>
      </c>
      <c r="G4395">
        <f>IFERROR(VLOOKUP($A4395,原始数据_收盘!$A$4:$G$3460,7,0),"")</f>
        <v>2.5761</v>
      </c>
      <c r="H4395">
        <f>IFERROR(VLOOKUP($A4395,原始数据_利率互换_FR007_1年!$A$6:$C$4395,2,0),"")</f>
        <v>2.3083</v>
      </c>
      <c r="I4395">
        <f>IFERROR(VLOOKUP($A4395,原始数据_利率互换_FR007_1年!$A$6:$C$4395,3,0),"")</f>
        <v>2.5951</v>
      </c>
    </row>
    <row r="4396" spans="1:9">
      <c r="A4396" s="6">
        <v>43889</v>
      </c>
      <c r="B4396">
        <f>IFERROR(VLOOKUP($A4396,原始数据_收盘!$A$4:$G$3460,2,0),"")</f>
        <v>2.2725</v>
      </c>
      <c r="C4396">
        <f>IFERROR(VLOOKUP($A4396,原始数据_收盘!$A$4:$G$3460,3,0),"")</f>
        <v>2.5382</v>
      </c>
      <c r="D4396">
        <f>IFERROR(VLOOKUP($A4396,原始数据_收盘!$A$4:$G$3460,4,0),"")</f>
        <v>2.2825</v>
      </c>
      <c r="E4396">
        <f>IFERROR(VLOOKUP($A4396,原始数据_收盘!$A$4:$G$3460,5,0),"")</f>
        <v>2.5434</v>
      </c>
      <c r="F4396">
        <f>IFERROR(VLOOKUP($A4396,原始数据_收盘!$A$4:$G$3460,6,0),"")</f>
        <v>2.2775</v>
      </c>
      <c r="G4396">
        <f>IFERROR(VLOOKUP($A4396,原始数据_收盘!$A$4:$G$3460,7,0),"")</f>
        <v>2.5408</v>
      </c>
      <c r="H4396">
        <f>IFERROR(VLOOKUP($A4396,原始数据_利率互换_FR007_1年!$A$6:$C$4395,2,0),"")</f>
        <v>2.277</v>
      </c>
      <c r="I4396">
        <f>IFERROR(VLOOKUP($A4396,原始数据_利率互换_FR007_1年!$A$6:$C$4395,3,0),"")</f>
        <v>2.5355</v>
      </c>
    </row>
    <row r="4397" spans="1:9">
      <c r="A4397" s="6">
        <v>43890</v>
      </c>
      <c r="B4397" t="str">
        <f>IFERROR(VLOOKUP($A4397,原始数据_收盘!$A$4:$G$3460,2,0),"")</f>
        <v/>
      </c>
      <c r="C4397" t="str">
        <f>IFERROR(VLOOKUP($A4397,原始数据_收盘!$A$4:$G$3460,3,0),"")</f>
        <v/>
      </c>
      <c r="D4397" t="str">
        <f>IFERROR(VLOOKUP($A4397,原始数据_收盘!$A$4:$G$3460,4,0),"")</f>
        <v/>
      </c>
      <c r="E4397" t="str">
        <f>IFERROR(VLOOKUP($A4397,原始数据_收盘!$A$4:$G$3460,5,0),"")</f>
        <v/>
      </c>
      <c r="F4397" t="str">
        <f>IFERROR(VLOOKUP($A4397,原始数据_收盘!$A$4:$G$3460,6,0),"")</f>
        <v/>
      </c>
      <c r="G4397" t="str">
        <f>IFERROR(VLOOKUP($A4397,原始数据_收盘!$A$4:$G$3460,7,0),"")</f>
        <v/>
      </c>
      <c r="H4397" t="str">
        <f>IFERROR(VLOOKUP($A4397,原始数据_利率互换_FR007_1年!$A$6:$C$4395,2,0),"")</f>
        <v/>
      </c>
      <c r="I4397" t="str">
        <f>IFERROR(VLOOKUP($A4397,原始数据_利率互换_FR007_1年!$A$6:$C$4395,3,0),"")</f>
        <v/>
      </c>
    </row>
    <row r="4398" spans="1:9">
      <c r="A4398" s="6">
        <v>43891</v>
      </c>
      <c r="B4398" t="str">
        <f>IFERROR(VLOOKUP($A4398,原始数据_收盘!$A$4:$G$3460,2,0),"")</f>
        <v/>
      </c>
      <c r="C4398" t="str">
        <f>IFERROR(VLOOKUP($A4398,原始数据_收盘!$A$4:$G$3460,3,0),"")</f>
        <v/>
      </c>
      <c r="D4398" t="str">
        <f>IFERROR(VLOOKUP($A4398,原始数据_收盘!$A$4:$G$3460,4,0),"")</f>
        <v/>
      </c>
      <c r="E4398" t="str">
        <f>IFERROR(VLOOKUP($A4398,原始数据_收盘!$A$4:$G$3460,5,0),"")</f>
        <v/>
      </c>
      <c r="F4398" t="str">
        <f>IFERROR(VLOOKUP($A4398,原始数据_收盘!$A$4:$G$3460,6,0),"")</f>
        <v/>
      </c>
      <c r="G4398" t="str">
        <f>IFERROR(VLOOKUP($A4398,原始数据_收盘!$A$4:$G$3460,7,0),"")</f>
        <v/>
      </c>
      <c r="H4398" t="str">
        <f>IFERROR(VLOOKUP($A4398,原始数据_利率互换_FR007_1年!$A$6:$C$4395,2,0),"")</f>
        <v/>
      </c>
      <c r="I4398" t="str">
        <f>IFERROR(VLOOKUP($A4398,原始数据_利率互换_FR007_1年!$A$6:$C$4395,3,0),"")</f>
        <v/>
      </c>
    </row>
    <row r="4399" spans="1:9">
      <c r="A4399" s="6">
        <v>43892</v>
      </c>
      <c r="B4399">
        <f>IFERROR(VLOOKUP($A4399,原始数据_收盘!$A$4:$G$3460,2,0),"")</f>
        <v>2.2823</v>
      </c>
      <c r="C4399">
        <f>IFERROR(VLOOKUP($A4399,原始数据_收盘!$A$4:$G$3460,3,0),"")</f>
        <v>2.5862</v>
      </c>
      <c r="D4399">
        <f>IFERROR(VLOOKUP($A4399,原始数据_收盘!$A$4:$G$3460,4,0),"")</f>
        <v>2.291</v>
      </c>
      <c r="E4399">
        <f>IFERROR(VLOOKUP($A4399,原始数据_收盘!$A$4:$G$3460,5,0),"")</f>
        <v>2.5897</v>
      </c>
      <c r="F4399">
        <f>IFERROR(VLOOKUP($A4399,原始数据_收盘!$A$4:$G$3460,6,0),"")</f>
        <v>2.2866</v>
      </c>
      <c r="G4399">
        <f>IFERROR(VLOOKUP($A4399,原始数据_收盘!$A$4:$G$3460,7,0),"")</f>
        <v>2.588</v>
      </c>
      <c r="H4399">
        <f>IFERROR(VLOOKUP($A4399,原始数据_利率互换_FR007_1年!$A$6:$C$4395,2,0),"")</f>
        <v>2.2775</v>
      </c>
      <c r="I4399">
        <f>IFERROR(VLOOKUP($A4399,原始数据_利率互换_FR007_1年!$A$6:$C$4395,3,0),"")</f>
        <v>2.5525</v>
      </c>
    </row>
    <row r="4400" spans="1:9">
      <c r="A4400" s="6">
        <v>43893</v>
      </c>
      <c r="B4400">
        <f>IFERROR(VLOOKUP($A4400,原始数据_收盘!$A$4:$G$3460,2,0),"")</f>
        <v>2.2775</v>
      </c>
      <c r="C4400">
        <f>IFERROR(VLOOKUP($A4400,原始数据_收盘!$A$4:$G$3460,3,0),"")</f>
        <v>2.5625</v>
      </c>
      <c r="D4400">
        <f>IFERROR(VLOOKUP($A4400,原始数据_收盘!$A$4:$G$3460,4,0),"")</f>
        <v>2.28</v>
      </c>
      <c r="E4400">
        <f>IFERROR(VLOOKUP($A4400,原始数据_收盘!$A$4:$G$3460,5,0),"")</f>
        <v>2.5675</v>
      </c>
      <c r="F4400">
        <f>IFERROR(VLOOKUP($A4400,原始数据_收盘!$A$4:$G$3460,6,0),"")</f>
        <v>2.2788</v>
      </c>
      <c r="G4400">
        <f>IFERROR(VLOOKUP($A4400,原始数据_收盘!$A$4:$G$3460,7,0),"")</f>
        <v>2.565</v>
      </c>
      <c r="H4400">
        <f>IFERROR(VLOOKUP($A4400,原始数据_利率互换_FR007_1年!$A$6:$C$4395,2,0),"")</f>
        <v>2.2891</v>
      </c>
      <c r="I4400">
        <f>IFERROR(VLOOKUP($A4400,原始数据_利率互换_FR007_1年!$A$6:$C$4395,3,0),"")</f>
        <v>2.5863</v>
      </c>
    </row>
    <row r="4401" spans="1:9">
      <c r="A4401" s="6">
        <v>43894</v>
      </c>
      <c r="B4401">
        <f>IFERROR(VLOOKUP($A4401,原始数据_收盘!$A$4:$G$3460,2,0),"")</f>
        <v>2.22</v>
      </c>
      <c r="C4401">
        <f>IFERROR(VLOOKUP($A4401,原始数据_收盘!$A$4:$G$3460,3,0),"")</f>
        <v>2.505</v>
      </c>
      <c r="D4401">
        <f>IFERROR(VLOOKUP($A4401,原始数据_收盘!$A$4:$G$3460,4,0),"")</f>
        <v>2.2225</v>
      </c>
      <c r="E4401">
        <f>IFERROR(VLOOKUP($A4401,原始数据_收盘!$A$4:$G$3460,5,0),"")</f>
        <v>2.5085</v>
      </c>
      <c r="F4401">
        <f>IFERROR(VLOOKUP($A4401,原始数据_收盘!$A$4:$G$3460,6,0),"")</f>
        <v>2.2213</v>
      </c>
      <c r="G4401">
        <f>IFERROR(VLOOKUP($A4401,原始数据_收盘!$A$4:$G$3460,7,0),"")</f>
        <v>2.5068</v>
      </c>
      <c r="H4401">
        <f>IFERROR(VLOOKUP($A4401,原始数据_利率互换_FR007_1年!$A$6:$C$4395,2,0),"")</f>
        <v>2.2262</v>
      </c>
      <c r="I4401">
        <f>IFERROR(VLOOKUP($A4401,原始数据_利率互换_FR007_1年!$A$6:$C$4395,3,0),"")</f>
        <v>2.5093</v>
      </c>
    </row>
    <row r="4402" spans="1:9">
      <c r="A4402" s="6">
        <v>43895</v>
      </c>
      <c r="B4402">
        <f>IFERROR(VLOOKUP($A4402,原始数据_收盘!$A$4:$G$3460,2,0),"")</f>
        <v>2.2328</v>
      </c>
      <c r="C4402">
        <f>IFERROR(VLOOKUP($A4402,原始数据_收盘!$A$4:$G$3460,3,0),"")</f>
        <v>2.5432</v>
      </c>
      <c r="D4402">
        <f>IFERROR(VLOOKUP($A4402,原始数据_收盘!$A$4:$G$3460,4,0),"")</f>
        <v>2.2414</v>
      </c>
      <c r="E4402">
        <f>IFERROR(VLOOKUP($A4402,原始数据_收盘!$A$4:$G$3460,5,0),"")</f>
        <v>2.5447</v>
      </c>
      <c r="F4402">
        <f>IFERROR(VLOOKUP($A4402,原始数据_收盘!$A$4:$G$3460,6,0),"")</f>
        <v>2.2371</v>
      </c>
      <c r="G4402">
        <f>IFERROR(VLOOKUP($A4402,原始数据_收盘!$A$4:$G$3460,7,0),"")</f>
        <v>2.5439</v>
      </c>
      <c r="H4402">
        <f>IFERROR(VLOOKUP($A4402,原始数据_利率互换_FR007_1年!$A$6:$C$4395,2,0),"")</f>
        <v>2.2292</v>
      </c>
      <c r="I4402">
        <f>IFERROR(VLOOKUP($A4402,原始数据_利率互换_FR007_1年!$A$6:$C$4395,3,0),"")</f>
        <v>2.527</v>
      </c>
    </row>
    <row r="4403" spans="1:9">
      <c r="A4403" s="6">
        <v>43896</v>
      </c>
      <c r="B4403">
        <f>IFERROR(VLOOKUP($A4403,原始数据_收盘!$A$4:$G$3460,2,0),"")</f>
        <v>2.1925</v>
      </c>
      <c r="C4403">
        <f>IFERROR(VLOOKUP($A4403,原始数据_收盘!$A$4:$G$3460,3,0),"")</f>
        <v>2.4972</v>
      </c>
      <c r="D4403">
        <f>IFERROR(VLOOKUP($A4403,原始数据_收盘!$A$4:$G$3460,4,0),"")</f>
        <v>2.195</v>
      </c>
      <c r="E4403">
        <f>IFERROR(VLOOKUP($A4403,原始数据_收盘!$A$4:$G$3460,5,0),"")</f>
        <v>2.5</v>
      </c>
      <c r="F4403">
        <f>IFERROR(VLOOKUP($A4403,原始数据_收盘!$A$4:$G$3460,6,0),"")</f>
        <v>2.1938</v>
      </c>
      <c r="G4403">
        <f>IFERROR(VLOOKUP($A4403,原始数据_收盘!$A$4:$G$3460,7,0),"")</f>
        <v>2.4986</v>
      </c>
      <c r="H4403">
        <f>IFERROR(VLOOKUP($A4403,原始数据_利率互换_FR007_1年!$A$6:$C$4395,2,0),"")</f>
        <v>2.2002</v>
      </c>
      <c r="I4403">
        <f>IFERROR(VLOOKUP($A4403,原始数据_利率互换_FR007_1年!$A$6:$C$4395,3,0),"")</f>
        <v>2.5002</v>
      </c>
    </row>
    <row r="4404" spans="1:9">
      <c r="A4404" s="6">
        <v>43897</v>
      </c>
      <c r="B4404" t="str">
        <f>IFERROR(VLOOKUP($A4404,原始数据_收盘!$A$4:$G$3460,2,0),"")</f>
        <v/>
      </c>
      <c r="C4404" t="str">
        <f>IFERROR(VLOOKUP($A4404,原始数据_收盘!$A$4:$G$3460,3,0),"")</f>
        <v/>
      </c>
      <c r="D4404" t="str">
        <f>IFERROR(VLOOKUP($A4404,原始数据_收盘!$A$4:$G$3460,4,0),"")</f>
        <v/>
      </c>
      <c r="E4404" t="str">
        <f>IFERROR(VLOOKUP($A4404,原始数据_收盘!$A$4:$G$3460,5,0),"")</f>
        <v/>
      </c>
      <c r="F4404" t="str">
        <f>IFERROR(VLOOKUP($A4404,原始数据_收盘!$A$4:$G$3460,6,0),"")</f>
        <v/>
      </c>
      <c r="G4404" t="str">
        <f>IFERROR(VLOOKUP($A4404,原始数据_收盘!$A$4:$G$3460,7,0),"")</f>
        <v/>
      </c>
      <c r="H4404" t="str">
        <f>IFERROR(VLOOKUP($A4404,原始数据_利率互换_FR007_1年!$A$6:$C$4395,2,0),"")</f>
        <v/>
      </c>
      <c r="I4404" t="str">
        <f>IFERROR(VLOOKUP($A4404,原始数据_利率互换_FR007_1年!$A$6:$C$4395,3,0),"")</f>
        <v/>
      </c>
    </row>
    <row r="4405" spans="1:9">
      <c r="A4405" s="6">
        <v>43898</v>
      </c>
      <c r="B4405" t="str">
        <f>IFERROR(VLOOKUP($A4405,原始数据_收盘!$A$4:$G$3460,2,0),"")</f>
        <v/>
      </c>
      <c r="C4405" t="str">
        <f>IFERROR(VLOOKUP($A4405,原始数据_收盘!$A$4:$G$3460,3,0),"")</f>
        <v/>
      </c>
      <c r="D4405" t="str">
        <f>IFERROR(VLOOKUP($A4405,原始数据_收盘!$A$4:$G$3460,4,0),"")</f>
        <v/>
      </c>
      <c r="E4405" t="str">
        <f>IFERROR(VLOOKUP($A4405,原始数据_收盘!$A$4:$G$3460,5,0),"")</f>
        <v/>
      </c>
      <c r="F4405" t="str">
        <f>IFERROR(VLOOKUP($A4405,原始数据_收盘!$A$4:$G$3460,6,0),"")</f>
        <v/>
      </c>
      <c r="G4405" t="str">
        <f>IFERROR(VLOOKUP($A4405,原始数据_收盘!$A$4:$G$3460,7,0),"")</f>
        <v/>
      </c>
      <c r="H4405" t="str">
        <f>IFERROR(VLOOKUP($A4405,原始数据_利率互换_FR007_1年!$A$6:$C$4395,2,0),"")</f>
        <v/>
      </c>
      <c r="I4405" t="str">
        <f>IFERROR(VLOOKUP($A4405,原始数据_利率互换_FR007_1年!$A$6:$C$4395,3,0),"")</f>
        <v/>
      </c>
    </row>
    <row r="4406" spans="1:9">
      <c r="A4406" s="6">
        <v>43899</v>
      </c>
      <c r="B4406">
        <f>IFERROR(VLOOKUP($A4406,原始数据_收盘!$A$4:$G$3460,2,0),"")</f>
        <v>2.1425</v>
      </c>
      <c r="C4406">
        <f>IFERROR(VLOOKUP($A4406,原始数据_收盘!$A$4:$G$3460,3,0),"")</f>
        <v>2.4178</v>
      </c>
      <c r="D4406">
        <f>IFERROR(VLOOKUP($A4406,原始数据_收盘!$A$4:$G$3460,4,0),"")</f>
        <v>2.1475</v>
      </c>
      <c r="E4406">
        <f>IFERROR(VLOOKUP($A4406,原始数据_收盘!$A$4:$G$3460,5,0),"")</f>
        <v>2.4225</v>
      </c>
      <c r="F4406">
        <f>IFERROR(VLOOKUP($A4406,原始数据_收盘!$A$4:$G$3460,6,0),"")</f>
        <v>2.145</v>
      </c>
      <c r="G4406">
        <f>IFERROR(VLOOKUP($A4406,原始数据_收盘!$A$4:$G$3460,7,0),"")</f>
        <v>2.4202</v>
      </c>
      <c r="H4406">
        <f>IFERROR(VLOOKUP($A4406,原始数据_利率互换_FR007_1年!$A$6:$C$4395,2,0),"")</f>
        <v>2.1457</v>
      </c>
      <c r="I4406">
        <f>IFERROR(VLOOKUP($A4406,原始数据_利率互换_FR007_1年!$A$6:$C$4395,3,0),"")</f>
        <v>2.4277</v>
      </c>
    </row>
    <row r="4407" spans="1:9">
      <c r="A4407" s="6">
        <v>43900</v>
      </c>
      <c r="B4407">
        <f>IFERROR(VLOOKUP($A4407,原始数据_收盘!$A$4:$G$3460,2,0),"")</f>
        <v>2.2358</v>
      </c>
      <c r="C4407">
        <f>IFERROR(VLOOKUP($A4407,原始数据_收盘!$A$4:$G$3460,3,0),"")</f>
        <v>2.5395</v>
      </c>
      <c r="D4407">
        <f>IFERROR(VLOOKUP($A4407,原始数据_收盘!$A$4:$G$3460,4,0),"")</f>
        <v>2.2415</v>
      </c>
      <c r="E4407">
        <f>IFERROR(VLOOKUP($A4407,原始数据_收盘!$A$4:$G$3460,5,0),"")</f>
        <v>2.5423</v>
      </c>
      <c r="F4407">
        <f>IFERROR(VLOOKUP($A4407,原始数据_收盘!$A$4:$G$3460,6,0),"")</f>
        <v>2.2386</v>
      </c>
      <c r="G4407">
        <f>IFERROR(VLOOKUP($A4407,原始数据_收盘!$A$4:$G$3460,7,0),"")</f>
        <v>2.5409</v>
      </c>
      <c r="H4407">
        <f>IFERROR(VLOOKUP($A4407,原始数据_利率互换_FR007_1年!$A$6:$C$4395,2,0),"")</f>
        <v>2.2072</v>
      </c>
      <c r="I4407">
        <f>IFERROR(VLOOKUP($A4407,原始数据_利率互换_FR007_1年!$A$6:$C$4395,3,0),"")</f>
        <v>2.505</v>
      </c>
    </row>
    <row r="4408" spans="1:9">
      <c r="A4408" s="6">
        <v>43901</v>
      </c>
      <c r="B4408">
        <f>IFERROR(VLOOKUP($A4408,原始数据_收盘!$A$4:$G$3460,2,0),"")</f>
        <v>2.2414</v>
      </c>
      <c r="C4408">
        <f>IFERROR(VLOOKUP($A4408,原始数据_收盘!$A$4:$G$3460,3,0),"")</f>
        <v>2.5225</v>
      </c>
      <c r="D4408">
        <f>IFERROR(VLOOKUP($A4408,原始数据_收盘!$A$4:$G$3460,4,0),"")</f>
        <v>2.2498</v>
      </c>
      <c r="E4408">
        <f>IFERROR(VLOOKUP($A4408,原始数据_收盘!$A$4:$G$3460,5,0),"")</f>
        <v>2.5255</v>
      </c>
      <c r="F4408">
        <f>IFERROR(VLOOKUP($A4408,原始数据_收盘!$A$4:$G$3460,6,0),"")</f>
        <v>2.2456</v>
      </c>
      <c r="G4408">
        <f>IFERROR(VLOOKUP($A4408,原始数据_收盘!$A$4:$G$3460,7,0),"")</f>
        <v>2.524</v>
      </c>
      <c r="H4408">
        <f>IFERROR(VLOOKUP($A4408,原始数据_利率互换_FR007_1年!$A$6:$C$4395,2,0),"")</f>
        <v>2.2473</v>
      </c>
      <c r="I4408">
        <f>IFERROR(VLOOKUP($A4408,原始数据_利率互换_FR007_1年!$A$6:$C$4395,3,0),"")</f>
        <v>2.5379</v>
      </c>
    </row>
    <row r="4409" spans="1:9">
      <c r="A4409" s="6">
        <v>43902</v>
      </c>
      <c r="B4409">
        <f>IFERROR(VLOOKUP($A4409,原始数据_收盘!$A$4:$G$3460,2,0),"")</f>
        <v>2.2443</v>
      </c>
      <c r="C4409">
        <f>IFERROR(VLOOKUP($A4409,原始数据_收盘!$A$4:$G$3460,3,0),"")</f>
        <v>2.5489</v>
      </c>
      <c r="D4409">
        <f>IFERROR(VLOOKUP($A4409,原始数据_收盘!$A$4:$G$3460,4,0),"")</f>
        <v>2.2525</v>
      </c>
      <c r="E4409">
        <f>IFERROR(VLOOKUP($A4409,原始数据_收盘!$A$4:$G$3460,5,0),"")</f>
        <v>2.5518</v>
      </c>
      <c r="F4409">
        <f>IFERROR(VLOOKUP($A4409,原始数据_收盘!$A$4:$G$3460,6,0),"")</f>
        <v>2.2484</v>
      </c>
      <c r="G4409">
        <f>IFERROR(VLOOKUP($A4409,原始数据_收盘!$A$4:$G$3460,7,0),"")</f>
        <v>2.5503</v>
      </c>
      <c r="H4409">
        <f>IFERROR(VLOOKUP($A4409,原始数据_利率互换_FR007_1年!$A$6:$C$4395,2,0),"")</f>
        <v>2.2308</v>
      </c>
      <c r="I4409">
        <f>IFERROR(VLOOKUP($A4409,原始数据_利率互换_FR007_1年!$A$6:$C$4395,3,0),"")</f>
        <v>2.5255</v>
      </c>
    </row>
    <row r="4410" spans="1:9">
      <c r="A4410" s="6">
        <v>43903</v>
      </c>
      <c r="B4410">
        <f>IFERROR(VLOOKUP($A4410,原始数据_收盘!$A$4:$G$3460,2,0),"")</f>
        <v>2.2675</v>
      </c>
      <c r="C4410">
        <f>IFERROR(VLOOKUP($A4410,原始数据_收盘!$A$4:$G$3460,3,0),"")</f>
        <v>2.5975</v>
      </c>
      <c r="D4410">
        <f>IFERROR(VLOOKUP($A4410,原始数据_收盘!$A$4:$G$3460,4,0),"")</f>
        <v>2.2775</v>
      </c>
      <c r="E4410">
        <f>IFERROR(VLOOKUP($A4410,原始数据_收盘!$A$4:$G$3460,5,0),"")</f>
        <v>2.6001</v>
      </c>
      <c r="F4410">
        <f>IFERROR(VLOOKUP($A4410,原始数据_收盘!$A$4:$G$3460,6,0),"")</f>
        <v>2.2725</v>
      </c>
      <c r="G4410">
        <f>IFERROR(VLOOKUP($A4410,原始数据_收盘!$A$4:$G$3460,7,0),"")</f>
        <v>2.5988</v>
      </c>
      <c r="H4410">
        <f>IFERROR(VLOOKUP($A4410,原始数据_利率互换_FR007_1年!$A$6:$C$4395,2,0),"")</f>
        <v>2.2625</v>
      </c>
      <c r="I4410">
        <f>IFERROR(VLOOKUP($A4410,原始数据_利率互换_FR007_1年!$A$6:$C$4395,3,0),"")</f>
        <v>2.5677</v>
      </c>
    </row>
    <row r="4411" spans="1:9">
      <c r="A4411" s="6">
        <v>43904</v>
      </c>
      <c r="B4411" t="str">
        <f>IFERROR(VLOOKUP($A4411,原始数据_收盘!$A$4:$G$3460,2,0),"")</f>
        <v/>
      </c>
      <c r="C4411" t="str">
        <f>IFERROR(VLOOKUP($A4411,原始数据_收盘!$A$4:$G$3460,3,0),"")</f>
        <v/>
      </c>
      <c r="D4411" t="str">
        <f>IFERROR(VLOOKUP($A4411,原始数据_收盘!$A$4:$G$3460,4,0),"")</f>
        <v/>
      </c>
      <c r="E4411" t="str">
        <f>IFERROR(VLOOKUP($A4411,原始数据_收盘!$A$4:$G$3460,5,0),"")</f>
        <v/>
      </c>
      <c r="F4411" t="str">
        <f>IFERROR(VLOOKUP($A4411,原始数据_收盘!$A$4:$G$3460,6,0),"")</f>
        <v/>
      </c>
      <c r="G4411" t="str">
        <f>IFERROR(VLOOKUP($A4411,原始数据_收盘!$A$4:$G$3460,7,0),"")</f>
        <v/>
      </c>
      <c r="H4411" t="str">
        <f>IFERROR(VLOOKUP($A4411,原始数据_利率互换_FR007_1年!$A$6:$C$4395,2,0),"")</f>
        <v/>
      </c>
      <c r="I4411" t="str">
        <f>IFERROR(VLOOKUP($A4411,原始数据_利率互换_FR007_1年!$A$6:$C$4395,3,0),"")</f>
        <v/>
      </c>
    </row>
    <row r="4412" spans="1:9">
      <c r="A4412" s="6">
        <v>43905</v>
      </c>
      <c r="B4412" t="str">
        <f>IFERROR(VLOOKUP($A4412,原始数据_收盘!$A$4:$G$3460,2,0),"")</f>
        <v/>
      </c>
      <c r="C4412" t="str">
        <f>IFERROR(VLOOKUP($A4412,原始数据_收盘!$A$4:$G$3460,3,0),"")</f>
        <v/>
      </c>
      <c r="D4412" t="str">
        <f>IFERROR(VLOOKUP($A4412,原始数据_收盘!$A$4:$G$3460,4,0),"")</f>
        <v/>
      </c>
      <c r="E4412" t="str">
        <f>IFERROR(VLOOKUP($A4412,原始数据_收盘!$A$4:$G$3460,5,0),"")</f>
        <v/>
      </c>
      <c r="F4412" t="str">
        <f>IFERROR(VLOOKUP($A4412,原始数据_收盘!$A$4:$G$3460,6,0),"")</f>
        <v/>
      </c>
      <c r="G4412" t="str">
        <f>IFERROR(VLOOKUP($A4412,原始数据_收盘!$A$4:$G$3460,7,0),"")</f>
        <v/>
      </c>
      <c r="H4412" t="str">
        <f>IFERROR(VLOOKUP($A4412,原始数据_利率互换_FR007_1年!$A$6:$C$4395,2,0),"")</f>
        <v/>
      </c>
      <c r="I4412" t="str">
        <f>IFERROR(VLOOKUP($A4412,原始数据_利率互换_FR007_1年!$A$6:$C$4395,3,0),"")</f>
        <v/>
      </c>
    </row>
    <row r="4413" spans="1:9">
      <c r="A4413" s="6">
        <v>43906</v>
      </c>
      <c r="B4413">
        <f>IFERROR(VLOOKUP($A4413,原始数据_收盘!$A$4:$G$3460,2,0),"")</f>
        <v>2.22</v>
      </c>
      <c r="C4413">
        <f>IFERROR(VLOOKUP($A4413,原始数据_收盘!$A$4:$G$3460,3,0),"")</f>
        <v>2.555</v>
      </c>
      <c r="D4413">
        <f>IFERROR(VLOOKUP($A4413,原始数据_收盘!$A$4:$G$3460,4,0),"")</f>
        <v>2.225</v>
      </c>
      <c r="E4413">
        <f>IFERROR(VLOOKUP($A4413,原始数据_收盘!$A$4:$G$3460,5,0),"")</f>
        <v>2.5575</v>
      </c>
      <c r="F4413">
        <f>IFERROR(VLOOKUP($A4413,原始数据_收盘!$A$4:$G$3460,6,0),"")</f>
        <v>2.2225</v>
      </c>
      <c r="G4413">
        <f>IFERROR(VLOOKUP($A4413,原始数据_收盘!$A$4:$G$3460,7,0),"")</f>
        <v>2.5563</v>
      </c>
      <c r="H4413">
        <f>IFERROR(VLOOKUP($A4413,原始数据_利率互换_FR007_1年!$A$6:$C$4395,2,0),"")</f>
        <v>2.2387</v>
      </c>
      <c r="I4413">
        <f>IFERROR(VLOOKUP($A4413,原始数据_利率互换_FR007_1年!$A$6:$C$4395,3,0),"")</f>
        <v>2.5595</v>
      </c>
    </row>
    <row r="4414" spans="1:9">
      <c r="A4414" s="6">
        <v>43907</v>
      </c>
      <c r="B4414">
        <f>IFERROR(VLOOKUP($A4414,原始数据_收盘!$A$4:$G$3460,2,0),"")</f>
        <v>2.2058</v>
      </c>
      <c r="C4414">
        <f>IFERROR(VLOOKUP($A4414,原始数据_收盘!$A$4:$G$3460,3,0),"")</f>
        <v>2.5675</v>
      </c>
      <c r="D4414">
        <f>IFERROR(VLOOKUP($A4414,原始数据_收盘!$A$4:$G$3460,4,0),"")</f>
        <v>2.2132</v>
      </c>
      <c r="E4414">
        <f>IFERROR(VLOOKUP($A4414,原始数据_收盘!$A$4:$G$3460,5,0),"")</f>
        <v>2.57</v>
      </c>
      <c r="F4414">
        <f>IFERROR(VLOOKUP($A4414,原始数据_收盘!$A$4:$G$3460,6,0),"")</f>
        <v>2.2095</v>
      </c>
      <c r="G4414">
        <f>IFERROR(VLOOKUP($A4414,原始数据_收盘!$A$4:$G$3460,7,0),"")</f>
        <v>2.5688</v>
      </c>
      <c r="H4414">
        <f>IFERROR(VLOOKUP($A4414,原始数据_利率互换_FR007_1年!$A$6:$C$4395,2,0),"")</f>
        <v>2.2057</v>
      </c>
      <c r="I4414">
        <f>IFERROR(VLOOKUP($A4414,原始数据_利率互换_FR007_1年!$A$6:$C$4395,3,0),"")</f>
        <v>2.5563</v>
      </c>
    </row>
    <row r="4415" spans="1:9">
      <c r="A4415" s="6">
        <v>43908</v>
      </c>
      <c r="B4415">
        <f>IFERROR(VLOOKUP($A4415,原始数据_收盘!$A$4:$G$3460,2,0),"")</f>
        <v>2.165</v>
      </c>
      <c r="C4415">
        <f>IFERROR(VLOOKUP($A4415,原始数据_收盘!$A$4:$G$3460,3,0),"")</f>
        <v>2.5372</v>
      </c>
      <c r="D4415">
        <f>IFERROR(VLOOKUP($A4415,原始数据_收盘!$A$4:$G$3460,4,0),"")</f>
        <v>2.1687</v>
      </c>
      <c r="E4415">
        <f>IFERROR(VLOOKUP($A4415,原始数据_收盘!$A$4:$G$3460,5,0),"")</f>
        <v>2.54</v>
      </c>
      <c r="F4415">
        <f>IFERROR(VLOOKUP($A4415,原始数据_收盘!$A$4:$G$3460,6,0),"")</f>
        <v>2.1668</v>
      </c>
      <c r="G4415">
        <f>IFERROR(VLOOKUP($A4415,原始数据_收盘!$A$4:$G$3460,7,0),"")</f>
        <v>2.5386</v>
      </c>
      <c r="H4415">
        <f>IFERROR(VLOOKUP($A4415,原始数据_利率互换_FR007_1年!$A$6:$C$4395,2,0),"")</f>
        <v>2.1801</v>
      </c>
      <c r="I4415">
        <f>IFERROR(VLOOKUP($A4415,原始数据_利率互换_FR007_1年!$A$6:$C$4395,3,0),"")</f>
        <v>2.5492</v>
      </c>
    </row>
    <row r="4416" spans="1:9">
      <c r="A4416" s="6">
        <v>43909</v>
      </c>
      <c r="B4416">
        <f>IFERROR(VLOOKUP($A4416,原始数据_收盘!$A$4:$G$3460,2,0),"")</f>
        <v>2.1425</v>
      </c>
      <c r="C4416">
        <f>IFERROR(VLOOKUP($A4416,原始数据_收盘!$A$4:$G$3460,3,0),"")</f>
        <v>2.5475</v>
      </c>
      <c r="D4416">
        <f>IFERROR(VLOOKUP($A4416,原始数据_收盘!$A$4:$G$3460,4,0),"")</f>
        <v>2.15</v>
      </c>
      <c r="E4416">
        <f>IFERROR(VLOOKUP($A4416,原始数据_收盘!$A$4:$G$3460,5,0),"")</f>
        <v>2.55</v>
      </c>
      <c r="F4416">
        <f>IFERROR(VLOOKUP($A4416,原始数据_收盘!$A$4:$G$3460,6,0),"")</f>
        <v>2.1463</v>
      </c>
      <c r="G4416">
        <f>IFERROR(VLOOKUP($A4416,原始数据_收盘!$A$4:$G$3460,7,0),"")</f>
        <v>2.5488</v>
      </c>
      <c r="H4416">
        <f>IFERROR(VLOOKUP($A4416,原始数据_利率互换_FR007_1年!$A$6:$C$4395,2,0),"")</f>
        <v>2.1425</v>
      </c>
      <c r="I4416">
        <f>IFERROR(VLOOKUP($A4416,原始数据_利率互换_FR007_1年!$A$6:$C$4395,3,0),"")</f>
        <v>2.5402</v>
      </c>
    </row>
    <row r="4417" spans="1:9">
      <c r="A4417" s="6">
        <v>43910</v>
      </c>
      <c r="B4417">
        <f>IFERROR(VLOOKUP($A4417,原始数据_收盘!$A$4:$G$3460,2,0),"")</f>
        <v>2.1076</v>
      </c>
      <c r="C4417">
        <f>IFERROR(VLOOKUP($A4417,原始数据_收盘!$A$4:$G$3460,3,0),"")</f>
        <v>2.5079</v>
      </c>
      <c r="D4417">
        <f>IFERROR(VLOOKUP($A4417,原始数据_收盘!$A$4:$G$3460,4,0),"")</f>
        <v>2.1111</v>
      </c>
      <c r="E4417">
        <f>IFERROR(VLOOKUP($A4417,原始数据_收盘!$A$4:$G$3460,5,0),"")</f>
        <v>2.5094</v>
      </c>
      <c r="F4417">
        <f>IFERROR(VLOOKUP($A4417,原始数据_收盘!$A$4:$G$3460,6,0),"")</f>
        <v>2.1094</v>
      </c>
      <c r="G4417">
        <f>IFERROR(VLOOKUP($A4417,原始数据_收盘!$A$4:$G$3460,7,0),"")</f>
        <v>2.5086</v>
      </c>
      <c r="H4417">
        <f>IFERROR(VLOOKUP($A4417,原始数据_利率互换_FR007_1年!$A$6:$C$4395,2,0),"")</f>
        <v>2.1264</v>
      </c>
      <c r="I4417">
        <f>IFERROR(VLOOKUP($A4417,原始数据_利率互换_FR007_1年!$A$6:$C$4395,3,0),"")</f>
        <v>2.5284</v>
      </c>
    </row>
    <row r="4418" spans="1:9">
      <c r="A4418" s="6">
        <v>43911</v>
      </c>
      <c r="B4418" t="str">
        <f>IFERROR(VLOOKUP($A4418,原始数据_收盘!$A$4:$G$3460,2,0),"")</f>
        <v/>
      </c>
      <c r="C4418" t="str">
        <f>IFERROR(VLOOKUP($A4418,原始数据_收盘!$A$4:$G$3460,3,0),"")</f>
        <v/>
      </c>
      <c r="D4418" t="str">
        <f>IFERROR(VLOOKUP($A4418,原始数据_收盘!$A$4:$G$3460,4,0),"")</f>
        <v/>
      </c>
      <c r="E4418" t="str">
        <f>IFERROR(VLOOKUP($A4418,原始数据_收盘!$A$4:$G$3460,5,0),"")</f>
        <v/>
      </c>
      <c r="F4418" t="str">
        <f>IFERROR(VLOOKUP($A4418,原始数据_收盘!$A$4:$G$3460,6,0),"")</f>
        <v/>
      </c>
      <c r="G4418" t="str">
        <f>IFERROR(VLOOKUP($A4418,原始数据_收盘!$A$4:$G$3460,7,0),"")</f>
        <v/>
      </c>
      <c r="H4418" t="str">
        <f>IFERROR(VLOOKUP($A4418,原始数据_利率互换_FR007_1年!$A$6:$C$4395,2,0),"")</f>
        <v/>
      </c>
      <c r="I4418" t="str">
        <f>IFERROR(VLOOKUP($A4418,原始数据_利率互换_FR007_1年!$A$6:$C$4395,3,0),"")</f>
        <v/>
      </c>
    </row>
    <row r="4419" spans="1:9">
      <c r="A4419" s="6">
        <v>43912</v>
      </c>
      <c r="B4419" t="str">
        <f>IFERROR(VLOOKUP($A4419,原始数据_收盘!$A$4:$G$3460,2,0),"")</f>
        <v/>
      </c>
      <c r="C4419" t="str">
        <f>IFERROR(VLOOKUP($A4419,原始数据_收盘!$A$4:$G$3460,3,0),"")</f>
        <v/>
      </c>
      <c r="D4419" t="str">
        <f>IFERROR(VLOOKUP($A4419,原始数据_收盘!$A$4:$G$3460,4,0),"")</f>
        <v/>
      </c>
      <c r="E4419" t="str">
        <f>IFERROR(VLOOKUP($A4419,原始数据_收盘!$A$4:$G$3460,5,0),"")</f>
        <v/>
      </c>
      <c r="F4419" t="str">
        <f>IFERROR(VLOOKUP($A4419,原始数据_收盘!$A$4:$G$3460,6,0),"")</f>
        <v/>
      </c>
      <c r="G4419" t="str">
        <f>IFERROR(VLOOKUP($A4419,原始数据_收盘!$A$4:$G$3460,7,0),"")</f>
        <v/>
      </c>
      <c r="H4419" t="str">
        <f>IFERROR(VLOOKUP($A4419,原始数据_利率互换_FR007_1年!$A$6:$C$4395,2,0),"")</f>
        <v/>
      </c>
      <c r="I4419" t="str">
        <f>IFERROR(VLOOKUP($A4419,原始数据_利率互换_FR007_1年!$A$6:$C$4395,3,0),"")</f>
        <v/>
      </c>
    </row>
    <row r="4420" spans="1:9">
      <c r="A4420" s="6">
        <v>43913</v>
      </c>
      <c r="B4420">
        <f>IFERROR(VLOOKUP($A4420,原始数据_收盘!$A$4:$G$3460,2,0),"")</f>
        <v>2.0225</v>
      </c>
      <c r="C4420">
        <f>IFERROR(VLOOKUP($A4420,原始数据_收盘!$A$4:$G$3460,3,0),"")</f>
        <v>2.423</v>
      </c>
      <c r="D4420">
        <f>IFERROR(VLOOKUP($A4420,原始数据_收盘!$A$4:$G$3460,4,0),"")</f>
        <v>2.0272</v>
      </c>
      <c r="E4420">
        <f>IFERROR(VLOOKUP($A4420,原始数据_收盘!$A$4:$G$3460,5,0),"")</f>
        <v>2.4258</v>
      </c>
      <c r="F4420">
        <f>IFERROR(VLOOKUP($A4420,原始数据_收盘!$A$4:$G$3460,6,0),"")</f>
        <v>2.0248</v>
      </c>
      <c r="G4420">
        <f>IFERROR(VLOOKUP($A4420,原始数据_收盘!$A$4:$G$3460,7,0),"")</f>
        <v>2.4244</v>
      </c>
      <c r="H4420">
        <f>IFERROR(VLOOKUP($A4420,原始数据_利率互换_FR007_1年!$A$6:$C$4395,2,0),"")</f>
        <v>2.057</v>
      </c>
      <c r="I4420">
        <f>IFERROR(VLOOKUP($A4420,原始数据_利率互换_FR007_1年!$A$6:$C$4395,3,0),"")</f>
        <v>2.4575</v>
      </c>
    </row>
    <row r="4421" spans="1:9">
      <c r="A4421" s="6">
        <v>43914</v>
      </c>
      <c r="B4421">
        <f>IFERROR(VLOOKUP($A4421,原始数据_收盘!$A$4:$G$3460,2,0),"")</f>
        <v>1.96</v>
      </c>
      <c r="C4421">
        <f>IFERROR(VLOOKUP($A4421,原始数据_收盘!$A$4:$G$3460,3,0),"")</f>
        <v>2.3896</v>
      </c>
      <c r="D4421">
        <f>IFERROR(VLOOKUP($A4421,原始数据_收盘!$A$4:$G$3460,4,0),"")</f>
        <v>1.97</v>
      </c>
      <c r="E4421">
        <f>IFERROR(VLOOKUP($A4421,原始数据_收盘!$A$4:$G$3460,5,0),"")</f>
        <v>2.393</v>
      </c>
      <c r="F4421">
        <f>IFERROR(VLOOKUP($A4421,原始数据_收盘!$A$4:$G$3460,6,0),"")</f>
        <v>1.965</v>
      </c>
      <c r="G4421">
        <f>IFERROR(VLOOKUP($A4421,原始数据_收盘!$A$4:$G$3460,7,0),"")</f>
        <v>2.3913</v>
      </c>
      <c r="H4421">
        <f>IFERROR(VLOOKUP($A4421,原始数据_利率互换_FR007_1年!$A$6:$C$4395,2,0),"")</f>
        <v>1.9924</v>
      </c>
      <c r="I4421">
        <f>IFERROR(VLOOKUP($A4421,原始数据_利率互换_FR007_1年!$A$6:$C$4395,3,0),"")</f>
        <v>2.3968</v>
      </c>
    </row>
    <row r="4422" spans="1:9">
      <c r="A4422" s="6">
        <v>43915</v>
      </c>
      <c r="B4422">
        <f>IFERROR(VLOOKUP($A4422,原始数据_收盘!$A$4:$G$3460,2,0),"")</f>
        <v>1.9349</v>
      </c>
      <c r="C4422">
        <f>IFERROR(VLOOKUP($A4422,原始数据_收盘!$A$4:$G$3460,3,0),"")</f>
        <v>2.36</v>
      </c>
      <c r="D4422">
        <f>IFERROR(VLOOKUP($A4422,原始数据_收盘!$A$4:$G$3460,4,0),"")</f>
        <v>1.9375</v>
      </c>
      <c r="E4422">
        <f>IFERROR(VLOOKUP($A4422,原始数据_收盘!$A$4:$G$3460,5,0),"")</f>
        <v>2.3625</v>
      </c>
      <c r="F4422">
        <f>IFERROR(VLOOKUP($A4422,原始数据_收盘!$A$4:$G$3460,6,0),"")</f>
        <v>1.9362</v>
      </c>
      <c r="G4422">
        <f>IFERROR(VLOOKUP($A4422,原始数据_收盘!$A$4:$G$3460,7,0),"")</f>
        <v>2.3613</v>
      </c>
      <c r="H4422">
        <f>IFERROR(VLOOKUP($A4422,原始数据_利率互换_FR007_1年!$A$6:$C$4395,2,0),"")</f>
        <v>1.9768</v>
      </c>
      <c r="I4422">
        <f>IFERROR(VLOOKUP($A4422,原始数据_利率互换_FR007_1年!$A$6:$C$4395,3,0),"")</f>
        <v>2.3903</v>
      </c>
    </row>
    <row r="4423" spans="1:9">
      <c r="A4423" s="6">
        <v>43916</v>
      </c>
      <c r="B4423">
        <f>IFERROR(VLOOKUP($A4423,原始数据_收盘!$A$4:$G$3460,2,0),"")</f>
        <v>1.9175</v>
      </c>
      <c r="C4423">
        <f>IFERROR(VLOOKUP($A4423,原始数据_收盘!$A$4:$G$3460,3,0),"")</f>
        <v>2.3375</v>
      </c>
      <c r="D4423">
        <f>IFERROR(VLOOKUP($A4423,原始数据_收盘!$A$4:$G$3460,4,0),"")</f>
        <v>1.9212</v>
      </c>
      <c r="E4423">
        <f>IFERROR(VLOOKUP($A4423,原始数据_收盘!$A$4:$G$3460,5,0),"")</f>
        <v>2.34</v>
      </c>
      <c r="F4423">
        <f>IFERROR(VLOOKUP($A4423,原始数据_收盘!$A$4:$G$3460,6,0),"")</f>
        <v>1.9193</v>
      </c>
      <c r="G4423">
        <f>IFERROR(VLOOKUP($A4423,原始数据_收盘!$A$4:$G$3460,7,0),"")</f>
        <v>2.3388</v>
      </c>
      <c r="H4423">
        <f>IFERROR(VLOOKUP($A4423,原始数据_利率互换_FR007_1年!$A$6:$C$4395,2,0),"")</f>
        <v>1.9237</v>
      </c>
      <c r="I4423">
        <f>IFERROR(VLOOKUP($A4423,原始数据_利率互换_FR007_1年!$A$6:$C$4395,3,0),"")</f>
        <v>2.344</v>
      </c>
    </row>
    <row r="4424" spans="1:9">
      <c r="A4424" s="6">
        <v>43917</v>
      </c>
      <c r="B4424">
        <f>IFERROR(VLOOKUP($A4424,原始数据_收盘!$A$4:$G$3460,2,0),"")</f>
        <v>1.9692</v>
      </c>
      <c r="C4424">
        <f>IFERROR(VLOOKUP($A4424,原始数据_收盘!$A$4:$G$3460,3,0),"")</f>
        <v>2.38</v>
      </c>
      <c r="D4424">
        <f>IFERROR(VLOOKUP($A4424,原始数据_收盘!$A$4:$G$3460,4,0),"")</f>
        <v>1.9723</v>
      </c>
      <c r="E4424">
        <f>IFERROR(VLOOKUP($A4424,原始数据_收盘!$A$4:$G$3460,5,0),"")</f>
        <v>2.3825</v>
      </c>
      <c r="F4424">
        <f>IFERROR(VLOOKUP($A4424,原始数据_收盘!$A$4:$G$3460,6,0),"")</f>
        <v>1.9708</v>
      </c>
      <c r="G4424">
        <f>IFERROR(VLOOKUP($A4424,原始数据_收盘!$A$4:$G$3460,7,0),"")</f>
        <v>2.3813</v>
      </c>
      <c r="H4424">
        <f>IFERROR(VLOOKUP($A4424,原始数据_利率互换_FR007_1年!$A$6:$C$4395,2,0),"")</f>
        <v>1.9588</v>
      </c>
      <c r="I4424">
        <f>IFERROR(VLOOKUP($A4424,原始数据_利率互换_FR007_1年!$A$6:$C$4395,3,0),"")</f>
        <v>2.3703</v>
      </c>
    </row>
    <row r="4425" spans="1:9">
      <c r="A4425" s="6">
        <v>43918</v>
      </c>
      <c r="B4425" t="str">
        <f>IFERROR(VLOOKUP($A4425,原始数据_收盘!$A$4:$G$3460,2,0),"")</f>
        <v/>
      </c>
      <c r="C4425" t="str">
        <f>IFERROR(VLOOKUP($A4425,原始数据_收盘!$A$4:$G$3460,3,0),"")</f>
        <v/>
      </c>
      <c r="D4425" t="str">
        <f>IFERROR(VLOOKUP($A4425,原始数据_收盘!$A$4:$G$3460,4,0),"")</f>
        <v/>
      </c>
      <c r="E4425" t="str">
        <f>IFERROR(VLOOKUP($A4425,原始数据_收盘!$A$4:$G$3460,5,0),"")</f>
        <v/>
      </c>
      <c r="F4425" t="str">
        <f>IFERROR(VLOOKUP($A4425,原始数据_收盘!$A$4:$G$3460,6,0),"")</f>
        <v/>
      </c>
      <c r="G4425" t="str">
        <f>IFERROR(VLOOKUP($A4425,原始数据_收盘!$A$4:$G$3460,7,0),"")</f>
        <v/>
      </c>
      <c r="H4425" t="str">
        <f>IFERROR(VLOOKUP($A4425,原始数据_利率互换_FR007_1年!$A$6:$C$4395,2,0),"")</f>
        <v/>
      </c>
      <c r="I4425" t="str">
        <f>IFERROR(VLOOKUP($A4425,原始数据_利率互换_FR007_1年!$A$6:$C$4395,3,0),"")</f>
        <v/>
      </c>
    </row>
    <row r="4426" spans="1:9">
      <c r="A4426" s="6">
        <v>43919</v>
      </c>
      <c r="B4426" t="str">
        <f>IFERROR(VLOOKUP($A4426,原始数据_收盘!$A$4:$G$3460,2,0),"")</f>
        <v/>
      </c>
      <c r="C4426" t="str">
        <f>IFERROR(VLOOKUP($A4426,原始数据_收盘!$A$4:$G$3460,3,0),"")</f>
        <v/>
      </c>
      <c r="D4426" t="str">
        <f>IFERROR(VLOOKUP($A4426,原始数据_收盘!$A$4:$G$3460,4,0),"")</f>
        <v/>
      </c>
      <c r="E4426" t="str">
        <f>IFERROR(VLOOKUP($A4426,原始数据_收盘!$A$4:$G$3460,5,0),"")</f>
        <v/>
      </c>
      <c r="F4426" t="str">
        <f>IFERROR(VLOOKUP($A4426,原始数据_收盘!$A$4:$G$3460,6,0),"")</f>
        <v/>
      </c>
      <c r="G4426" t="str">
        <f>IFERROR(VLOOKUP($A4426,原始数据_收盘!$A$4:$G$3460,7,0),"")</f>
        <v/>
      </c>
      <c r="H4426" t="str">
        <f>IFERROR(VLOOKUP($A4426,原始数据_利率互换_FR007_1年!$A$6:$C$4395,2,0),"")</f>
        <v/>
      </c>
      <c r="I4426" t="str">
        <f>IFERROR(VLOOKUP($A4426,原始数据_利率互换_FR007_1年!$A$6:$C$4395,3,0),"")</f>
        <v/>
      </c>
    </row>
    <row r="4427" spans="1:9">
      <c r="A4427" s="6">
        <v>43920</v>
      </c>
      <c r="B4427">
        <f>IFERROR(VLOOKUP($A4427,原始数据_收盘!$A$4:$G$3460,2,0),"")</f>
        <v>1.9225</v>
      </c>
      <c r="C4427">
        <f>IFERROR(VLOOKUP($A4427,原始数据_收盘!$A$4:$G$3460,3,0),"")</f>
        <v>2.3411</v>
      </c>
      <c r="D4427">
        <f>IFERROR(VLOOKUP($A4427,原始数据_收盘!$A$4:$G$3460,4,0),"")</f>
        <v>1.925</v>
      </c>
      <c r="E4427">
        <f>IFERROR(VLOOKUP($A4427,原始数据_收盘!$A$4:$G$3460,5,0),"")</f>
        <v>2.345</v>
      </c>
      <c r="F4427">
        <f>IFERROR(VLOOKUP($A4427,原始数据_收盘!$A$4:$G$3460,6,0),"")</f>
        <v>1.9238</v>
      </c>
      <c r="G4427">
        <f>IFERROR(VLOOKUP($A4427,原始数据_收盘!$A$4:$G$3460,7,0),"")</f>
        <v>2.3431</v>
      </c>
      <c r="H4427">
        <f>IFERROR(VLOOKUP($A4427,原始数据_利率互换_FR007_1年!$A$6:$C$4395,2,0),"")</f>
        <v>1.9293</v>
      </c>
      <c r="I4427">
        <f>IFERROR(VLOOKUP($A4427,原始数据_利率互换_FR007_1年!$A$6:$C$4395,3,0),"")</f>
        <v>2.3506</v>
      </c>
    </row>
    <row r="4428" spans="1:9">
      <c r="A4428" s="6">
        <v>43921</v>
      </c>
      <c r="B4428">
        <f>IFERROR(VLOOKUP($A4428,原始数据_收盘!$A$4:$G$3460,2,0),"")</f>
        <v>1.9</v>
      </c>
      <c r="C4428">
        <f>IFERROR(VLOOKUP($A4428,原始数据_收盘!$A$4:$G$3460,3,0),"")</f>
        <v>2.305</v>
      </c>
      <c r="D4428">
        <f>IFERROR(VLOOKUP($A4428,原始数据_收盘!$A$4:$G$3460,4,0),"")</f>
        <v>1.9037</v>
      </c>
      <c r="E4428">
        <f>IFERROR(VLOOKUP($A4428,原始数据_收盘!$A$4:$G$3460,5,0),"")</f>
        <v>2.31</v>
      </c>
      <c r="F4428">
        <f>IFERROR(VLOOKUP($A4428,原始数据_收盘!$A$4:$G$3460,6,0),"")</f>
        <v>1.9018</v>
      </c>
      <c r="G4428">
        <f>IFERROR(VLOOKUP($A4428,原始数据_收盘!$A$4:$G$3460,7,0),"")</f>
        <v>2.3075</v>
      </c>
      <c r="H4428">
        <f>IFERROR(VLOOKUP($A4428,原始数据_利率互换_FR007_1年!$A$6:$C$4395,2,0),"")</f>
        <v>1.9141</v>
      </c>
      <c r="I4428">
        <f>IFERROR(VLOOKUP($A4428,原始数据_利率互换_FR007_1年!$A$6:$C$4395,3,0),"")</f>
        <v>2.3294</v>
      </c>
    </row>
    <row r="4429" spans="1:9">
      <c r="A4429" s="6">
        <v>43922</v>
      </c>
      <c r="B4429">
        <f>IFERROR(VLOOKUP($A4429,原始数据_收盘!$A$4:$G$3460,2,0),"")</f>
        <v>1.8561</v>
      </c>
      <c r="C4429">
        <f>IFERROR(VLOOKUP($A4429,原始数据_收盘!$A$4:$G$3460,3,0),"")</f>
        <v>2.2511</v>
      </c>
      <c r="D4429">
        <f>IFERROR(VLOOKUP($A4429,原始数据_收盘!$A$4:$G$3460,4,0),"")</f>
        <v>1.8625</v>
      </c>
      <c r="E4429">
        <f>IFERROR(VLOOKUP($A4429,原始数据_收盘!$A$4:$G$3460,5,0),"")</f>
        <v>2.2541</v>
      </c>
      <c r="F4429">
        <f>IFERROR(VLOOKUP($A4429,原始数据_收盘!$A$4:$G$3460,6,0),"")</f>
        <v>1.8593</v>
      </c>
      <c r="G4429">
        <f>IFERROR(VLOOKUP($A4429,原始数据_收盘!$A$4:$G$3460,7,0),"")</f>
        <v>2.2526</v>
      </c>
      <c r="H4429">
        <f>IFERROR(VLOOKUP($A4429,原始数据_利率互换_FR007_1年!$A$6:$C$4395,2,0),"")</f>
        <v>1.8622</v>
      </c>
      <c r="I4429">
        <f>IFERROR(VLOOKUP($A4429,原始数据_利率互换_FR007_1年!$A$6:$C$4395,3,0),"")</f>
        <v>2.2636</v>
      </c>
    </row>
    <row r="4430" spans="1:9">
      <c r="A4430" s="6">
        <v>43923</v>
      </c>
      <c r="B4430">
        <f>IFERROR(VLOOKUP($A4430,原始数据_收盘!$A$4:$G$3460,2,0),"")</f>
        <v>1.8525</v>
      </c>
      <c r="C4430">
        <f>IFERROR(VLOOKUP($A4430,原始数据_收盘!$A$4:$G$3460,3,0),"")</f>
        <v>2.2575</v>
      </c>
      <c r="D4430">
        <f>IFERROR(VLOOKUP($A4430,原始数据_收盘!$A$4:$G$3460,4,0),"")</f>
        <v>1.855</v>
      </c>
      <c r="E4430">
        <f>IFERROR(VLOOKUP($A4430,原始数据_收盘!$A$4:$G$3460,5,0),"")</f>
        <v>2.26</v>
      </c>
      <c r="F4430">
        <f>IFERROR(VLOOKUP($A4430,原始数据_收盘!$A$4:$G$3460,6,0),"")</f>
        <v>1.8538</v>
      </c>
      <c r="G4430">
        <f>IFERROR(VLOOKUP($A4430,原始数据_收盘!$A$4:$G$3460,7,0),"")</f>
        <v>2.2588</v>
      </c>
      <c r="H4430">
        <f>IFERROR(VLOOKUP($A4430,原始数据_利率互换_FR007_1年!$A$6:$C$4395,2,0),"")</f>
        <v>1.8577</v>
      </c>
      <c r="I4430">
        <f>IFERROR(VLOOKUP($A4430,原始数据_利率互换_FR007_1年!$A$6:$C$4395,3,0),"")</f>
        <v>2.2595</v>
      </c>
    </row>
    <row r="4431" spans="1:9">
      <c r="A4431" s="6">
        <v>43924</v>
      </c>
      <c r="B4431">
        <f>IFERROR(VLOOKUP($A4431,原始数据_收盘!$A$4:$G$3460,2,0),"")</f>
        <v>1.7942</v>
      </c>
      <c r="C4431">
        <f>IFERROR(VLOOKUP($A4431,原始数据_收盘!$A$4:$G$3460,3,0),"")</f>
        <v>2.2178</v>
      </c>
      <c r="D4431">
        <f>IFERROR(VLOOKUP($A4431,原始数据_收盘!$A$4:$G$3460,4,0),"")</f>
        <v>1.7986</v>
      </c>
      <c r="E4431">
        <f>IFERROR(VLOOKUP($A4431,原始数据_收盘!$A$4:$G$3460,5,0),"")</f>
        <v>2.2213</v>
      </c>
      <c r="F4431">
        <f>IFERROR(VLOOKUP($A4431,原始数据_收盘!$A$4:$G$3460,6,0),"")</f>
        <v>1.7964</v>
      </c>
      <c r="G4431">
        <f>IFERROR(VLOOKUP($A4431,原始数据_收盘!$A$4:$G$3460,7,0),"")</f>
        <v>2.2196</v>
      </c>
      <c r="H4431">
        <f>IFERROR(VLOOKUP($A4431,原始数据_利率互换_FR007_1年!$A$6:$C$4395,2,0),"")</f>
        <v>1.8027</v>
      </c>
      <c r="I4431">
        <f>IFERROR(VLOOKUP($A4431,原始数据_利率互换_FR007_1年!$A$6:$C$4395,3,0),"")</f>
        <v>2.2336</v>
      </c>
    </row>
    <row r="4432" spans="1:9">
      <c r="A4432" s="6">
        <v>43925</v>
      </c>
      <c r="B4432" t="str">
        <f>IFERROR(VLOOKUP($A4432,原始数据_收盘!$A$4:$G$3460,2,0),"")</f>
        <v/>
      </c>
      <c r="C4432" t="str">
        <f>IFERROR(VLOOKUP($A4432,原始数据_收盘!$A$4:$G$3460,3,0),"")</f>
        <v/>
      </c>
      <c r="D4432" t="str">
        <f>IFERROR(VLOOKUP($A4432,原始数据_收盘!$A$4:$G$3460,4,0),"")</f>
        <v/>
      </c>
      <c r="E4432" t="str">
        <f>IFERROR(VLOOKUP($A4432,原始数据_收盘!$A$4:$G$3460,5,0),"")</f>
        <v/>
      </c>
      <c r="F4432" t="str">
        <f>IFERROR(VLOOKUP($A4432,原始数据_收盘!$A$4:$G$3460,6,0),"")</f>
        <v/>
      </c>
      <c r="G4432" t="str">
        <f>IFERROR(VLOOKUP($A4432,原始数据_收盘!$A$4:$G$3460,7,0),"")</f>
        <v/>
      </c>
      <c r="H4432" t="str">
        <f>IFERROR(VLOOKUP($A4432,原始数据_利率互换_FR007_1年!$A$6:$C$4395,2,0),"")</f>
        <v/>
      </c>
      <c r="I4432" t="str">
        <f>IFERROR(VLOOKUP($A4432,原始数据_利率互换_FR007_1年!$A$6:$C$4395,3,0),"")</f>
        <v/>
      </c>
    </row>
    <row r="4433" spans="1:9">
      <c r="A4433" s="6">
        <v>43926</v>
      </c>
      <c r="B4433" t="str">
        <f>IFERROR(VLOOKUP($A4433,原始数据_收盘!$A$4:$G$3460,2,0),"")</f>
        <v/>
      </c>
      <c r="C4433" t="str">
        <f>IFERROR(VLOOKUP($A4433,原始数据_收盘!$A$4:$G$3460,3,0),"")</f>
        <v/>
      </c>
      <c r="D4433" t="str">
        <f>IFERROR(VLOOKUP($A4433,原始数据_收盘!$A$4:$G$3460,4,0),"")</f>
        <v/>
      </c>
      <c r="E4433" t="str">
        <f>IFERROR(VLOOKUP($A4433,原始数据_收盘!$A$4:$G$3460,5,0),"")</f>
        <v/>
      </c>
      <c r="F4433" t="str">
        <f>IFERROR(VLOOKUP($A4433,原始数据_收盘!$A$4:$G$3460,6,0),"")</f>
        <v/>
      </c>
      <c r="G4433" t="str">
        <f>IFERROR(VLOOKUP($A4433,原始数据_收盘!$A$4:$G$3460,7,0),"")</f>
        <v/>
      </c>
      <c r="H4433" t="str">
        <f>IFERROR(VLOOKUP($A4433,原始数据_利率互换_FR007_1年!$A$6:$C$4395,2,0),"")</f>
        <v/>
      </c>
      <c r="I4433" t="str">
        <f>IFERROR(VLOOKUP($A4433,原始数据_利率互换_FR007_1年!$A$6:$C$4395,3,0),"")</f>
        <v/>
      </c>
    </row>
    <row r="4434" spans="1:9">
      <c r="A4434" s="6">
        <v>43927</v>
      </c>
      <c r="B4434" t="str">
        <f>IFERROR(VLOOKUP($A4434,原始数据_收盘!$A$4:$G$3460,2,0),"")</f>
        <v/>
      </c>
      <c r="C4434" t="str">
        <f>IFERROR(VLOOKUP($A4434,原始数据_收盘!$A$4:$G$3460,3,0),"")</f>
        <v/>
      </c>
      <c r="D4434" t="str">
        <f>IFERROR(VLOOKUP($A4434,原始数据_收盘!$A$4:$G$3460,4,0),"")</f>
        <v/>
      </c>
      <c r="E4434" t="str">
        <f>IFERROR(VLOOKUP($A4434,原始数据_收盘!$A$4:$G$3460,5,0),"")</f>
        <v/>
      </c>
      <c r="F4434" t="str">
        <f>IFERROR(VLOOKUP($A4434,原始数据_收盘!$A$4:$G$3460,6,0),"")</f>
        <v/>
      </c>
      <c r="G4434" t="str">
        <f>IFERROR(VLOOKUP($A4434,原始数据_收盘!$A$4:$G$3460,7,0),"")</f>
        <v/>
      </c>
      <c r="H4434" t="str">
        <f>IFERROR(VLOOKUP($A4434,原始数据_利率互换_FR007_1年!$A$6:$C$4395,2,0),"")</f>
        <v/>
      </c>
      <c r="I4434" t="str">
        <f>IFERROR(VLOOKUP($A4434,原始数据_利率互换_FR007_1年!$A$6:$C$4395,3,0),"")</f>
        <v/>
      </c>
    </row>
    <row r="4435" spans="1:9">
      <c r="A4435" s="6">
        <v>43928</v>
      </c>
      <c r="B4435">
        <f>IFERROR(VLOOKUP($A4435,原始数据_收盘!$A$4:$G$3460,2,0),"")</f>
        <v>1.455</v>
      </c>
      <c r="C4435">
        <f>IFERROR(VLOOKUP($A4435,原始数据_收盘!$A$4:$G$3460,3,0),"")</f>
        <v>1.9619</v>
      </c>
      <c r="D4435">
        <f>IFERROR(VLOOKUP($A4435,原始数据_收盘!$A$4:$G$3460,4,0),"")</f>
        <v>1.4585</v>
      </c>
      <c r="E4435">
        <f>IFERROR(VLOOKUP($A4435,原始数据_收盘!$A$4:$G$3460,5,0),"")</f>
        <v>1.9661</v>
      </c>
      <c r="F4435">
        <f>IFERROR(VLOOKUP($A4435,原始数据_收盘!$A$4:$G$3460,6,0),"")</f>
        <v>1.4568</v>
      </c>
      <c r="G4435">
        <f>IFERROR(VLOOKUP($A4435,原始数据_收盘!$A$4:$G$3460,7,0),"")</f>
        <v>1.964</v>
      </c>
      <c r="H4435">
        <f>IFERROR(VLOOKUP($A4435,原始数据_利率互换_FR007_1年!$A$6:$C$4395,2,0),"")</f>
        <v>1.5402</v>
      </c>
      <c r="I4435">
        <f>IFERROR(VLOOKUP($A4435,原始数据_利率互换_FR007_1年!$A$6:$C$4395,3,0),"")</f>
        <v>1.9894</v>
      </c>
    </row>
    <row r="4436" spans="1:9">
      <c r="A4436" s="6">
        <v>43929</v>
      </c>
      <c r="B4436">
        <f>IFERROR(VLOOKUP($A4436,原始数据_收盘!$A$4:$G$3460,2,0),"")</f>
        <v>1.3693</v>
      </c>
      <c r="C4436">
        <f>IFERROR(VLOOKUP($A4436,原始数据_收盘!$A$4:$G$3460,3,0),"")</f>
        <v>1.8237</v>
      </c>
      <c r="D4436">
        <f>IFERROR(VLOOKUP($A4436,原始数据_收盘!$A$4:$G$3460,4,0),"")</f>
        <v>1.375</v>
      </c>
      <c r="E4436">
        <f>IFERROR(VLOOKUP($A4436,原始数据_收盘!$A$4:$G$3460,5,0),"")</f>
        <v>1.8295</v>
      </c>
      <c r="F4436">
        <f>IFERROR(VLOOKUP($A4436,原始数据_收盘!$A$4:$G$3460,6,0),"")</f>
        <v>1.3722</v>
      </c>
      <c r="G4436">
        <f>IFERROR(VLOOKUP($A4436,原始数据_收盘!$A$4:$G$3460,7,0),"")</f>
        <v>1.8266</v>
      </c>
      <c r="H4436">
        <f>IFERROR(VLOOKUP($A4436,原始数据_利率互换_FR007_1年!$A$6:$C$4395,2,0),"")</f>
        <v>1.4178</v>
      </c>
      <c r="I4436">
        <f>IFERROR(VLOOKUP($A4436,原始数据_利率互换_FR007_1年!$A$6:$C$4395,3,0),"")</f>
        <v>1.9133</v>
      </c>
    </row>
    <row r="4437" spans="1:9">
      <c r="A4437" s="6">
        <v>43930</v>
      </c>
      <c r="B4437">
        <f>IFERROR(VLOOKUP($A4437,原始数据_收盘!$A$4:$G$3460,2,0),"")</f>
        <v>1.425</v>
      </c>
      <c r="C4437">
        <f>IFERROR(VLOOKUP($A4437,原始数据_收盘!$A$4:$G$3460,3,0),"")</f>
        <v>1.8864</v>
      </c>
      <c r="D4437">
        <f>IFERROR(VLOOKUP($A4437,原始数据_收盘!$A$4:$G$3460,4,0),"")</f>
        <v>1.4379</v>
      </c>
      <c r="E4437">
        <f>IFERROR(VLOOKUP($A4437,原始数据_收盘!$A$4:$G$3460,5,0),"")</f>
        <v>1.8913</v>
      </c>
      <c r="F4437">
        <f>IFERROR(VLOOKUP($A4437,原始数据_收盘!$A$4:$G$3460,6,0),"")</f>
        <v>1.4314</v>
      </c>
      <c r="G4437">
        <f>IFERROR(VLOOKUP($A4437,原始数据_收盘!$A$4:$G$3460,7,0),"")</f>
        <v>1.8888</v>
      </c>
      <c r="H4437">
        <f>IFERROR(VLOOKUP($A4437,原始数据_利率互换_FR007_1年!$A$6:$C$4395,2,0),"")</f>
        <v>1.4121</v>
      </c>
      <c r="I4437">
        <f>IFERROR(VLOOKUP($A4437,原始数据_利率互换_FR007_1年!$A$6:$C$4395,3,0),"")</f>
        <v>1.8565</v>
      </c>
    </row>
    <row r="4438" spans="1:9">
      <c r="A4438" s="6">
        <v>43931</v>
      </c>
      <c r="B4438">
        <f>IFERROR(VLOOKUP($A4438,原始数据_收盘!$A$4:$G$3460,2,0),"")</f>
        <v>1.5039</v>
      </c>
      <c r="C4438">
        <f>IFERROR(VLOOKUP($A4438,原始数据_收盘!$A$4:$G$3460,3,0),"")</f>
        <v>1.9458</v>
      </c>
      <c r="D4438">
        <f>IFERROR(VLOOKUP($A4438,原始数据_收盘!$A$4:$G$3460,4,0),"")</f>
        <v>1.5076</v>
      </c>
      <c r="E4438">
        <f>IFERROR(VLOOKUP($A4438,原始数据_收盘!$A$4:$G$3460,5,0),"")</f>
        <v>1.9515</v>
      </c>
      <c r="F4438">
        <f>IFERROR(VLOOKUP($A4438,原始数据_收盘!$A$4:$G$3460,6,0),"")</f>
        <v>1.5058</v>
      </c>
      <c r="G4438">
        <f>IFERROR(VLOOKUP($A4438,原始数据_收盘!$A$4:$G$3460,7,0),"")</f>
        <v>1.9486</v>
      </c>
      <c r="H4438">
        <f>IFERROR(VLOOKUP($A4438,原始数据_利率互换_FR007_1年!$A$6:$C$4395,2,0),"")</f>
        <v>1.5058</v>
      </c>
      <c r="I4438">
        <f>IFERROR(VLOOKUP($A4438,原始数据_利率互换_FR007_1年!$A$6:$C$4395,3,0),"")</f>
        <v>1.9368</v>
      </c>
    </row>
    <row r="4439" spans="1:9">
      <c r="A4439" s="6">
        <v>43932</v>
      </c>
      <c r="B4439" t="str">
        <f>IFERROR(VLOOKUP($A4439,原始数据_收盘!$A$4:$G$3460,2,0),"")</f>
        <v/>
      </c>
      <c r="C4439" t="str">
        <f>IFERROR(VLOOKUP($A4439,原始数据_收盘!$A$4:$G$3460,3,0),"")</f>
        <v/>
      </c>
      <c r="D4439" t="str">
        <f>IFERROR(VLOOKUP($A4439,原始数据_收盘!$A$4:$G$3460,4,0),"")</f>
        <v/>
      </c>
      <c r="E4439" t="str">
        <f>IFERROR(VLOOKUP($A4439,原始数据_收盘!$A$4:$G$3460,5,0),"")</f>
        <v/>
      </c>
      <c r="F4439" t="str">
        <f>IFERROR(VLOOKUP($A4439,原始数据_收盘!$A$4:$G$3460,6,0),"")</f>
        <v/>
      </c>
      <c r="G4439" t="str">
        <f>IFERROR(VLOOKUP($A4439,原始数据_收盘!$A$4:$G$3460,7,0),"")</f>
        <v/>
      </c>
      <c r="H4439" t="str">
        <f>IFERROR(VLOOKUP($A4439,原始数据_利率互换_FR007_1年!$A$6:$C$4395,2,0),"")</f>
        <v/>
      </c>
      <c r="I4439" t="str">
        <f>IFERROR(VLOOKUP($A4439,原始数据_利率互换_FR007_1年!$A$6:$C$4395,3,0),"")</f>
        <v/>
      </c>
    </row>
    <row r="4440" spans="1:9">
      <c r="A4440" s="6">
        <v>43933</v>
      </c>
      <c r="B4440" t="str">
        <f>IFERROR(VLOOKUP($A4440,原始数据_收盘!$A$4:$G$3460,2,0),"")</f>
        <v/>
      </c>
      <c r="C4440" t="str">
        <f>IFERROR(VLOOKUP($A4440,原始数据_收盘!$A$4:$G$3460,3,0),"")</f>
        <v/>
      </c>
      <c r="D4440" t="str">
        <f>IFERROR(VLOOKUP($A4440,原始数据_收盘!$A$4:$G$3460,4,0),"")</f>
        <v/>
      </c>
      <c r="E4440" t="str">
        <f>IFERROR(VLOOKUP($A4440,原始数据_收盘!$A$4:$G$3460,5,0),"")</f>
        <v/>
      </c>
      <c r="F4440" t="str">
        <f>IFERROR(VLOOKUP($A4440,原始数据_收盘!$A$4:$G$3460,6,0),"")</f>
        <v/>
      </c>
      <c r="G4440" t="str">
        <f>IFERROR(VLOOKUP($A4440,原始数据_收盘!$A$4:$G$3460,7,0),"")</f>
        <v/>
      </c>
      <c r="H4440" t="str">
        <f>IFERROR(VLOOKUP($A4440,原始数据_利率互换_FR007_1年!$A$6:$C$4395,2,0),"")</f>
        <v/>
      </c>
      <c r="I4440" t="str">
        <f>IFERROR(VLOOKUP($A4440,原始数据_利率互换_FR007_1年!$A$6:$C$4395,3,0),"")</f>
        <v/>
      </c>
    </row>
    <row r="4441" spans="1:9">
      <c r="A4441" s="6">
        <v>43934</v>
      </c>
      <c r="B4441">
        <f>IFERROR(VLOOKUP($A4441,原始数据_收盘!$A$4:$G$3460,2,0),"")</f>
        <v>1.5475</v>
      </c>
      <c r="C4441">
        <f>IFERROR(VLOOKUP($A4441,原始数据_收盘!$A$4:$G$3460,3,0),"")</f>
        <v>1.9753</v>
      </c>
      <c r="D4441">
        <f>IFERROR(VLOOKUP($A4441,原始数据_收盘!$A$4:$G$3460,4,0),"")</f>
        <v>1.55</v>
      </c>
      <c r="E4441">
        <f>IFERROR(VLOOKUP($A4441,原始数据_收盘!$A$4:$G$3460,5,0),"")</f>
        <v>1.9789</v>
      </c>
      <c r="F4441">
        <f>IFERROR(VLOOKUP($A4441,原始数据_收盘!$A$4:$G$3460,6,0),"")</f>
        <v>1.5488</v>
      </c>
      <c r="G4441">
        <f>IFERROR(VLOOKUP($A4441,原始数据_收盘!$A$4:$G$3460,7,0),"")</f>
        <v>1.9771</v>
      </c>
      <c r="H4441">
        <f>IFERROR(VLOOKUP($A4441,原始数据_利率互换_FR007_1年!$A$6:$C$4395,2,0),"")</f>
        <v>1.5505</v>
      </c>
      <c r="I4441">
        <f>IFERROR(VLOOKUP($A4441,原始数据_利率互换_FR007_1年!$A$6:$C$4395,3,0),"")</f>
        <v>1.9865</v>
      </c>
    </row>
    <row r="4442" spans="1:9">
      <c r="A4442" s="6">
        <v>43935</v>
      </c>
      <c r="B4442">
        <f>IFERROR(VLOOKUP($A4442,原始数据_收盘!$A$4:$G$3460,2,0),"")</f>
        <v>1.475</v>
      </c>
      <c r="C4442">
        <f>IFERROR(VLOOKUP($A4442,原始数据_收盘!$A$4:$G$3460,3,0),"")</f>
        <v>1.92</v>
      </c>
      <c r="D4442">
        <f>IFERROR(VLOOKUP($A4442,原始数据_收盘!$A$4:$G$3460,4,0),"")</f>
        <v>1.48</v>
      </c>
      <c r="E4442">
        <f>IFERROR(VLOOKUP($A4442,原始数据_收盘!$A$4:$G$3460,5,0),"")</f>
        <v>1.9225</v>
      </c>
      <c r="F4442">
        <f>IFERROR(VLOOKUP($A4442,原始数据_收盘!$A$4:$G$3460,6,0),"")</f>
        <v>1.4775</v>
      </c>
      <c r="G4442">
        <f>IFERROR(VLOOKUP($A4442,原始数据_收盘!$A$4:$G$3460,7,0),"")</f>
        <v>1.9213</v>
      </c>
      <c r="H4442">
        <f>IFERROR(VLOOKUP($A4442,原始数据_利率互换_FR007_1年!$A$6:$C$4395,2,0),"")</f>
        <v>1.4878</v>
      </c>
      <c r="I4442">
        <f>IFERROR(VLOOKUP($A4442,原始数据_利率互换_FR007_1年!$A$6:$C$4395,3,0),"")</f>
        <v>1.9285</v>
      </c>
    </row>
    <row r="4443" spans="1:9">
      <c r="A4443" s="6">
        <v>43936</v>
      </c>
      <c r="B4443">
        <f>IFERROR(VLOOKUP($A4443,原始数据_收盘!$A$4:$G$3460,2,0),"")</f>
        <v>1.425</v>
      </c>
      <c r="C4443">
        <f>IFERROR(VLOOKUP($A4443,原始数据_收盘!$A$4:$G$3460,3,0),"")</f>
        <v>1.87</v>
      </c>
      <c r="D4443">
        <f>IFERROR(VLOOKUP($A4443,原始数据_收盘!$A$4:$G$3460,4,0),"")</f>
        <v>1.4294</v>
      </c>
      <c r="E4443">
        <f>IFERROR(VLOOKUP($A4443,原始数据_收盘!$A$4:$G$3460,5,0),"")</f>
        <v>1.875</v>
      </c>
      <c r="F4443">
        <f>IFERROR(VLOOKUP($A4443,原始数据_收盘!$A$4:$G$3460,6,0),"")</f>
        <v>1.4272</v>
      </c>
      <c r="G4443">
        <f>IFERROR(VLOOKUP($A4443,原始数据_收盘!$A$4:$G$3460,7,0),"")</f>
        <v>1.8725</v>
      </c>
      <c r="H4443">
        <f>IFERROR(VLOOKUP($A4443,原始数据_利率互换_FR007_1年!$A$6:$C$4395,2,0),"")</f>
        <v>1.4238</v>
      </c>
      <c r="I4443">
        <f>IFERROR(VLOOKUP($A4443,原始数据_利率互换_FR007_1年!$A$6:$C$4395,3,0),"")</f>
        <v>1.8701</v>
      </c>
    </row>
    <row r="4444" spans="1:9">
      <c r="A4444" s="6">
        <v>43937</v>
      </c>
      <c r="B4444">
        <f>IFERROR(VLOOKUP($A4444,原始数据_收盘!$A$4:$G$3460,2,0),"")</f>
        <v>1.4218</v>
      </c>
      <c r="C4444">
        <f>IFERROR(VLOOKUP($A4444,原始数据_收盘!$A$4:$G$3460,3,0),"")</f>
        <v>1.8647</v>
      </c>
      <c r="D4444">
        <f>IFERROR(VLOOKUP($A4444,原始数据_收盘!$A$4:$G$3460,4,0),"")</f>
        <v>1.425</v>
      </c>
      <c r="E4444">
        <f>IFERROR(VLOOKUP($A4444,原始数据_收盘!$A$4:$G$3460,5,0),"")</f>
        <v>1.8684</v>
      </c>
      <c r="F4444">
        <f>IFERROR(VLOOKUP($A4444,原始数据_收盘!$A$4:$G$3460,6,0),"")</f>
        <v>1.4234</v>
      </c>
      <c r="G4444">
        <f>IFERROR(VLOOKUP($A4444,原始数据_收盘!$A$4:$G$3460,7,0),"")</f>
        <v>1.8666</v>
      </c>
      <c r="H4444">
        <f>IFERROR(VLOOKUP($A4444,原始数据_利率互换_FR007_1年!$A$6:$C$4395,2,0),"")</f>
        <v>1.4097</v>
      </c>
      <c r="I4444">
        <f>IFERROR(VLOOKUP($A4444,原始数据_利率互换_FR007_1年!$A$6:$C$4395,3,0),"")</f>
        <v>1.8515</v>
      </c>
    </row>
    <row r="4445" spans="1:9">
      <c r="A4445" s="6">
        <v>43938</v>
      </c>
      <c r="B4445">
        <f>IFERROR(VLOOKUP($A4445,原始数据_收盘!$A$4:$G$3460,2,0),"")</f>
        <v>1.4696</v>
      </c>
      <c r="C4445">
        <f>IFERROR(VLOOKUP($A4445,原始数据_收盘!$A$4:$G$3460,3,0),"")</f>
        <v>1.9283</v>
      </c>
      <c r="D4445">
        <f>IFERROR(VLOOKUP($A4445,原始数据_收盘!$A$4:$G$3460,4,0),"")</f>
        <v>1.475</v>
      </c>
      <c r="E4445">
        <f>IFERROR(VLOOKUP($A4445,原始数据_收盘!$A$4:$G$3460,5,0),"")</f>
        <v>1.9318</v>
      </c>
      <c r="F4445">
        <f>IFERROR(VLOOKUP($A4445,原始数据_收盘!$A$4:$G$3460,6,0),"")</f>
        <v>1.4723</v>
      </c>
      <c r="G4445">
        <f>IFERROR(VLOOKUP($A4445,原始数据_收盘!$A$4:$G$3460,7,0),"")</f>
        <v>1.93</v>
      </c>
      <c r="H4445">
        <f>IFERROR(VLOOKUP($A4445,原始数据_利率互换_FR007_1年!$A$6:$C$4395,2,0),"")</f>
        <v>1.4355</v>
      </c>
      <c r="I4445">
        <f>IFERROR(VLOOKUP($A4445,原始数据_利率互换_FR007_1年!$A$6:$C$4395,3,0),"")</f>
        <v>1.8906</v>
      </c>
    </row>
    <row r="4446" spans="1:9">
      <c r="A4446" s="6">
        <v>43939</v>
      </c>
      <c r="B4446" t="str">
        <f>IFERROR(VLOOKUP($A4446,原始数据_收盘!$A$4:$G$3460,2,0),"")</f>
        <v/>
      </c>
      <c r="C4446" t="str">
        <f>IFERROR(VLOOKUP($A4446,原始数据_收盘!$A$4:$G$3460,3,0),"")</f>
        <v/>
      </c>
      <c r="D4446" t="str">
        <f>IFERROR(VLOOKUP($A4446,原始数据_收盘!$A$4:$G$3460,4,0),"")</f>
        <v/>
      </c>
      <c r="E4446" t="str">
        <f>IFERROR(VLOOKUP($A4446,原始数据_收盘!$A$4:$G$3460,5,0),"")</f>
        <v/>
      </c>
      <c r="F4446" t="str">
        <f>IFERROR(VLOOKUP($A4446,原始数据_收盘!$A$4:$G$3460,6,0),"")</f>
        <v/>
      </c>
      <c r="G4446" t="str">
        <f>IFERROR(VLOOKUP($A4446,原始数据_收盘!$A$4:$G$3460,7,0),"")</f>
        <v/>
      </c>
      <c r="H4446" t="str">
        <f>IFERROR(VLOOKUP($A4446,原始数据_利率互换_FR007_1年!$A$6:$C$4395,2,0),"")</f>
        <v/>
      </c>
      <c r="I4446" t="str">
        <f>IFERROR(VLOOKUP($A4446,原始数据_利率互换_FR007_1年!$A$6:$C$4395,3,0),"")</f>
        <v/>
      </c>
    </row>
    <row r="4447" spans="1:9">
      <c r="A4447" s="6">
        <v>43940</v>
      </c>
      <c r="B4447" t="str">
        <f>IFERROR(VLOOKUP($A4447,原始数据_收盘!$A$4:$G$3460,2,0),"")</f>
        <v/>
      </c>
      <c r="C4447" t="str">
        <f>IFERROR(VLOOKUP($A4447,原始数据_收盘!$A$4:$G$3460,3,0),"")</f>
        <v/>
      </c>
      <c r="D4447" t="str">
        <f>IFERROR(VLOOKUP($A4447,原始数据_收盘!$A$4:$G$3460,4,0),"")</f>
        <v/>
      </c>
      <c r="E4447" t="str">
        <f>IFERROR(VLOOKUP($A4447,原始数据_收盘!$A$4:$G$3460,5,0),"")</f>
        <v/>
      </c>
      <c r="F4447" t="str">
        <f>IFERROR(VLOOKUP($A4447,原始数据_收盘!$A$4:$G$3460,6,0),"")</f>
        <v/>
      </c>
      <c r="G4447" t="str">
        <f>IFERROR(VLOOKUP($A4447,原始数据_收盘!$A$4:$G$3460,7,0),"")</f>
        <v/>
      </c>
      <c r="H4447" t="str">
        <f>IFERROR(VLOOKUP($A4447,原始数据_利率互换_FR007_1年!$A$6:$C$4395,2,0),"")</f>
        <v/>
      </c>
      <c r="I4447" t="str">
        <f>IFERROR(VLOOKUP($A4447,原始数据_利率互换_FR007_1年!$A$6:$C$4395,3,0),"")</f>
        <v/>
      </c>
    </row>
    <row r="4448" spans="1:9">
      <c r="A4448" s="6">
        <v>43941</v>
      </c>
      <c r="B4448">
        <f>IFERROR(VLOOKUP($A4448,原始数据_收盘!$A$4:$G$3460,2,0),"")</f>
        <v>1.4525</v>
      </c>
      <c r="C4448">
        <f>IFERROR(VLOOKUP($A4448,原始数据_收盘!$A$4:$G$3460,3,0),"")</f>
        <v>1.9375</v>
      </c>
      <c r="D4448">
        <f>IFERROR(VLOOKUP($A4448,原始数据_收盘!$A$4:$G$3460,4,0),"")</f>
        <v>1.4575</v>
      </c>
      <c r="E4448">
        <f>IFERROR(VLOOKUP($A4448,原始数据_收盘!$A$4:$G$3460,5,0),"")</f>
        <v>1.94</v>
      </c>
      <c r="F4448">
        <f>IFERROR(VLOOKUP($A4448,原始数据_收盘!$A$4:$G$3460,6,0),"")</f>
        <v>1.455</v>
      </c>
      <c r="G4448">
        <f>IFERROR(VLOOKUP($A4448,原始数据_收盘!$A$4:$G$3460,7,0),"")</f>
        <v>1.9388</v>
      </c>
      <c r="H4448">
        <f>IFERROR(VLOOKUP($A4448,原始数据_利率互换_FR007_1年!$A$6:$C$4395,2,0),"")</f>
        <v>1.4504</v>
      </c>
      <c r="I4448">
        <f>IFERROR(VLOOKUP($A4448,原始数据_利率互换_FR007_1年!$A$6:$C$4395,3,0),"")</f>
        <v>1.9215</v>
      </c>
    </row>
    <row r="4449" spans="1:9">
      <c r="A4449" s="6">
        <v>43942</v>
      </c>
      <c r="B4449">
        <f>IFERROR(VLOOKUP($A4449,原始数据_收盘!$A$4:$G$3460,2,0),"")</f>
        <v>1.4075</v>
      </c>
      <c r="C4449">
        <f>IFERROR(VLOOKUP($A4449,原始数据_收盘!$A$4:$G$3460,3,0),"")</f>
        <v>1.873</v>
      </c>
      <c r="D4449">
        <f>IFERROR(VLOOKUP($A4449,原始数据_收盘!$A$4:$G$3460,4,0),"")</f>
        <v>1.4125</v>
      </c>
      <c r="E4449">
        <f>IFERROR(VLOOKUP($A4449,原始数据_收盘!$A$4:$G$3460,5,0),"")</f>
        <v>1.8754</v>
      </c>
      <c r="F4449">
        <f>IFERROR(VLOOKUP($A4449,原始数据_收盘!$A$4:$G$3460,6,0),"")</f>
        <v>1.41</v>
      </c>
      <c r="G4449">
        <f>IFERROR(VLOOKUP($A4449,原始数据_收盘!$A$4:$G$3460,7,0),"")</f>
        <v>1.8742</v>
      </c>
      <c r="H4449">
        <f>IFERROR(VLOOKUP($A4449,原始数据_利率互换_FR007_1年!$A$6:$C$4395,2,0),"")</f>
        <v>1.4329</v>
      </c>
      <c r="I4449">
        <f>IFERROR(VLOOKUP($A4449,原始数据_利率互换_FR007_1年!$A$6:$C$4395,3,0),"")</f>
        <v>1.9162</v>
      </c>
    </row>
    <row r="4450" spans="1:9">
      <c r="A4450" s="6">
        <v>43943</v>
      </c>
      <c r="B4450">
        <f>IFERROR(VLOOKUP($A4450,原始数据_收盘!$A$4:$G$3460,2,0),"")</f>
        <v>1.4</v>
      </c>
      <c r="C4450">
        <f>IFERROR(VLOOKUP($A4450,原始数据_收盘!$A$4:$G$3460,3,0),"")</f>
        <v>1.8375</v>
      </c>
      <c r="D4450">
        <f>IFERROR(VLOOKUP($A4450,原始数据_收盘!$A$4:$G$3460,4,0),"")</f>
        <v>1.4029</v>
      </c>
      <c r="E4450">
        <f>IFERROR(VLOOKUP($A4450,原始数据_收盘!$A$4:$G$3460,5,0),"")</f>
        <v>1.8425</v>
      </c>
      <c r="F4450">
        <f>IFERROR(VLOOKUP($A4450,原始数据_收盘!$A$4:$G$3460,6,0),"")</f>
        <v>1.4015</v>
      </c>
      <c r="G4450">
        <f>IFERROR(VLOOKUP($A4450,原始数据_收盘!$A$4:$G$3460,7,0),"")</f>
        <v>1.84</v>
      </c>
      <c r="H4450">
        <f>IFERROR(VLOOKUP($A4450,原始数据_利率互换_FR007_1年!$A$6:$C$4395,2,0),"")</f>
        <v>1.4</v>
      </c>
      <c r="I4450">
        <f>IFERROR(VLOOKUP($A4450,原始数据_利率互换_FR007_1年!$A$6:$C$4395,3,0),"")</f>
        <v>1.849</v>
      </c>
    </row>
    <row r="4451" spans="1:9">
      <c r="A4451" s="6">
        <v>43944</v>
      </c>
      <c r="B4451">
        <f>IFERROR(VLOOKUP($A4451,原始数据_收盘!$A$4:$G$3460,2,0),"")</f>
        <v>1.4125</v>
      </c>
      <c r="C4451">
        <f>IFERROR(VLOOKUP($A4451,原始数据_收盘!$A$4:$G$3460,3,0),"")</f>
        <v>1.8386</v>
      </c>
      <c r="D4451">
        <f>IFERROR(VLOOKUP($A4451,原始数据_收盘!$A$4:$G$3460,4,0),"")</f>
        <v>1.4164</v>
      </c>
      <c r="E4451">
        <f>IFERROR(VLOOKUP($A4451,原始数据_收盘!$A$4:$G$3460,5,0),"")</f>
        <v>1.8429</v>
      </c>
      <c r="F4451">
        <f>IFERROR(VLOOKUP($A4451,原始数据_收盘!$A$4:$G$3460,6,0),"")</f>
        <v>1.4144</v>
      </c>
      <c r="G4451">
        <f>IFERROR(VLOOKUP($A4451,原始数据_收盘!$A$4:$G$3460,7,0),"")</f>
        <v>1.8407</v>
      </c>
      <c r="H4451">
        <f>IFERROR(VLOOKUP($A4451,原始数据_利率互换_FR007_1年!$A$6:$C$4395,2,0),"")</f>
        <v>1.4107</v>
      </c>
      <c r="I4451">
        <f>IFERROR(VLOOKUP($A4451,原始数据_利率互换_FR007_1年!$A$6:$C$4395,3,0),"")</f>
        <v>1.838</v>
      </c>
    </row>
    <row r="4452" spans="1:9">
      <c r="A4452" s="6">
        <v>43945</v>
      </c>
      <c r="B4452">
        <f>IFERROR(VLOOKUP($A4452,原始数据_收盘!$A$4:$G$3460,2,0),"")</f>
        <v>1.446</v>
      </c>
      <c r="C4452">
        <f>IFERROR(VLOOKUP($A4452,原始数据_收盘!$A$4:$G$3460,3,0),"")</f>
        <v>1.8761</v>
      </c>
      <c r="D4452">
        <f>IFERROR(VLOOKUP($A4452,原始数据_收盘!$A$4:$G$3460,4,0),"")</f>
        <v>1.4513</v>
      </c>
      <c r="E4452">
        <f>IFERROR(VLOOKUP($A4452,原始数据_收盘!$A$4:$G$3460,5,0),"")</f>
        <v>1.8787</v>
      </c>
      <c r="F4452">
        <f>IFERROR(VLOOKUP($A4452,原始数据_收盘!$A$4:$G$3460,6,0),"")</f>
        <v>1.4487</v>
      </c>
      <c r="G4452">
        <f>IFERROR(VLOOKUP($A4452,原始数据_收盘!$A$4:$G$3460,7,0),"")</f>
        <v>1.8774</v>
      </c>
      <c r="H4452">
        <f>IFERROR(VLOOKUP($A4452,原始数据_利率互换_FR007_1年!$A$6:$C$4395,2,0),"")</f>
        <v>1.4388</v>
      </c>
      <c r="I4452">
        <f>IFERROR(VLOOKUP($A4452,原始数据_利率互换_FR007_1年!$A$6:$C$4395,3,0),"")</f>
        <v>1.858</v>
      </c>
    </row>
    <row r="4453" spans="1:9">
      <c r="A4453" s="6">
        <v>43946</v>
      </c>
      <c r="B4453" t="str">
        <f>IFERROR(VLOOKUP($A4453,原始数据_收盘!$A$4:$G$3460,2,0),"")</f>
        <v/>
      </c>
      <c r="C4453" t="str">
        <f>IFERROR(VLOOKUP($A4453,原始数据_收盘!$A$4:$G$3460,3,0),"")</f>
        <v/>
      </c>
      <c r="D4453" t="str">
        <f>IFERROR(VLOOKUP($A4453,原始数据_收盘!$A$4:$G$3460,4,0),"")</f>
        <v/>
      </c>
      <c r="E4453" t="str">
        <f>IFERROR(VLOOKUP($A4453,原始数据_收盘!$A$4:$G$3460,5,0),"")</f>
        <v/>
      </c>
      <c r="F4453" t="str">
        <f>IFERROR(VLOOKUP($A4453,原始数据_收盘!$A$4:$G$3460,6,0),"")</f>
        <v/>
      </c>
      <c r="G4453" t="str">
        <f>IFERROR(VLOOKUP($A4453,原始数据_收盘!$A$4:$G$3460,7,0),"")</f>
        <v/>
      </c>
      <c r="H4453" t="str">
        <f>IFERROR(VLOOKUP($A4453,原始数据_利率互换_FR007_1年!$A$6:$C$4395,2,0),"")</f>
        <v/>
      </c>
      <c r="I4453" t="str">
        <f>IFERROR(VLOOKUP($A4453,原始数据_利率互换_FR007_1年!$A$6:$C$4395,3,0),"")</f>
        <v/>
      </c>
    </row>
    <row r="4454" spans="1:9">
      <c r="A4454" s="6">
        <v>43947</v>
      </c>
      <c r="B4454">
        <f>IFERROR(VLOOKUP($A4454,原始数据_收盘!$A$4:$G$3460,2,0),"")</f>
        <v>1.4325</v>
      </c>
      <c r="C4454">
        <f>IFERROR(VLOOKUP($A4454,原始数据_收盘!$A$4:$G$3460,3,0),"")</f>
        <v>1.8575</v>
      </c>
      <c r="D4454">
        <f>IFERROR(VLOOKUP($A4454,原始数据_收盘!$A$4:$G$3460,4,0),"")</f>
        <v>1.4525</v>
      </c>
      <c r="E4454">
        <f>IFERROR(VLOOKUP($A4454,原始数据_收盘!$A$4:$G$3460,5,0),"")</f>
        <v>1.8875</v>
      </c>
      <c r="F4454">
        <f>IFERROR(VLOOKUP($A4454,原始数据_收盘!$A$4:$G$3460,6,0),"")</f>
        <v>1.4425</v>
      </c>
      <c r="G4454">
        <f>IFERROR(VLOOKUP($A4454,原始数据_收盘!$A$4:$G$3460,7,0),"")</f>
        <v>1.8725</v>
      </c>
      <c r="H4454">
        <f>IFERROR(VLOOKUP($A4454,原始数据_利率互换_FR007_1年!$A$6:$C$4395,2,0),"")</f>
        <v>1.4444</v>
      </c>
      <c r="I4454">
        <f>IFERROR(VLOOKUP($A4454,原始数据_利率互换_FR007_1年!$A$6:$C$4395,3,0),"")</f>
        <v>1.875</v>
      </c>
    </row>
    <row r="4455" spans="1:9">
      <c r="A4455" s="6">
        <v>43948</v>
      </c>
      <c r="B4455">
        <f>IFERROR(VLOOKUP($A4455,原始数据_收盘!$A$4:$G$3460,2,0),"")</f>
        <v>1.445</v>
      </c>
      <c r="C4455">
        <f>IFERROR(VLOOKUP($A4455,原始数据_收盘!$A$4:$G$3460,3,0),"")</f>
        <v>1.8725</v>
      </c>
      <c r="D4455">
        <f>IFERROR(VLOOKUP($A4455,原始数据_收盘!$A$4:$G$3460,4,0),"")</f>
        <v>1.4475</v>
      </c>
      <c r="E4455">
        <f>IFERROR(VLOOKUP($A4455,原始数据_收盘!$A$4:$G$3460,5,0),"")</f>
        <v>1.8758</v>
      </c>
      <c r="F4455">
        <f>IFERROR(VLOOKUP($A4455,原始数据_收盘!$A$4:$G$3460,6,0),"")</f>
        <v>1.4463</v>
      </c>
      <c r="G4455">
        <f>IFERROR(VLOOKUP($A4455,原始数据_收盘!$A$4:$G$3460,7,0),"")</f>
        <v>1.8742</v>
      </c>
      <c r="H4455">
        <f>IFERROR(VLOOKUP($A4455,原始数据_利率互换_FR007_1年!$A$6:$C$4395,2,0),"")</f>
        <v>1.4461</v>
      </c>
      <c r="I4455">
        <f>IFERROR(VLOOKUP($A4455,原始数据_利率互换_FR007_1年!$A$6:$C$4395,3,0),"")</f>
        <v>1.8892</v>
      </c>
    </row>
    <row r="4456" spans="1:9">
      <c r="A4456" s="6">
        <v>43949</v>
      </c>
      <c r="B4456">
        <f>IFERROR(VLOOKUP($A4456,原始数据_收盘!$A$4:$G$3460,2,0),"")</f>
        <v>1.4375</v>
      </c>
      <c r="C4456">
        <f>IFERROR(VLOOKUP($A4456,原始数据_收盘!$A$4:$G$3460,3,0),"")</f>
        <v>1.8575</v>
      </c>
      <c r="D4456">
        <f>IFERROR(VLOOKUP($A4456,原始数据_收盘!$A$4:$G$3460,4,0),"")</f>
        <v>1.4425</v>
      </c>
      <c r="E4456">
        <f>IFERROR(VLOOKUP($A4456,原始数据_收盘!$A$4:$G$3460,5,0),"")</f>
        <v>1.86</v>
      </c>
      <c r="F4456">
        <f>IFERROR(VLOOKUP($A4456,原始数据_收盘!$A$4:$G$3460,6,0),"")</f>
        <v>1.44</v>
      </c>
      <c r="G4456">
        <f>IFERROR(VLOOKUP($A4456,原始数据_收盘!$A$4:$G$3460,7,0),"")</f>
        <v>1.8588</v>
      </c>
      <c r="H4456">
        <f>IFERROR(VLOOKUP($A4456,原始数据_利率互换_FR007_1年!$A$6:$C$4395,2,0),"")</f>
        <v>1.4436</v>
      </c>
      <c r="I4456">
        <f>IFERROR(VLOOKUP($A4456,原始数据_利率互换_FR007_1年!$A$6:$C$4395,3,0),"")</f>
        <v>1.8686</v>
      </c>
    </row>
    <row r="4457" spans="1:9">
      <c r="A4457" s="6">
        <v>43950</v>
      </c>
      <c r="B4457">
        <f>IFERROR(VLOOKUP($A4457,原始数据_收盘!$A$4:$G$3460,2,0),"")</f>
        <v>1.397</v>
      </c>
      <c r="C4457">
        <f>IFERROR(VLOOKUP($A4457,原始数据_收盘!$A$4:$G$3460,3,0),"")</f>
        <v>1.8064</v>
      </c>
      <c r="D4457">
        <f>IFERROR(VLOOKUP($A4457,原始数据_收盘!$A$4:$G$3460,4,0),"")</f>
        <v>1.4002</v>
      </c>
      <c r="E4457">
        <f>IFERROR(VLOOKUP($A4457,原始数据_收盘!$A$4:$G$3460,5,0),"")</f>
        <v>1.8092</v>
      </c>
      <c r="F4457">
        <f>IFERROR(VLOOKUP($A4457,原始数据_收盘!$A$4:$G$3460,6,0),"")</f>
        <v>1.3986</v>
      </c>
      <c r="G4457">
        <f>IFERROR(VLOOKUP($A4457,原始数据_收盘!$A$4:$G$3460,7,0),"")</f>
        <v>1.8078</v>
      </c>
      <c r="H4457">
        <f>IFERROR(VLOOKUP($A4457,原始数据_利率互换_FR007_1年!$A$6:$C$4395,2,0),"")</f>
        <v>1.4183</v>
      </c>
      <c r="I4457">
        <f>IFERROR(VLOOKUP($A4457,原始数据_利率互换_FR007_1年!$A$6:$C$4395,3,0),"")</f>
        <v>1.8355</v>
      </c>
    </row>
    <row r="4458" spans="1:9">
      <c r="A4458" s="6">
        <v>43951</v>
      </c>
      <c r="B4458">
        <f>IFERROR(VLOOKUP($A4458,原始数据_收盘!$A$4:$G$3460,2,0),"")</f>
        <v>1.4275</v>
      </c>
      <c r="C4458">
        <f>IFERROR(VLOOKUP($A4458,原始数据_收盘!$A$4:$G$3460,3,0),"")</f>
        <v>1.855</v>
      </c>
      <c r="D4458">
        <f>IFERROR(VLOOKUP($A4458,原始数据_收盘!$A$4:$G$3460,4,0),"")</f>
        <v>1.43</v>
      </c>
      <c r="E4458">
        <f>IFERROR(VLOOKUP($A4458,原始数据_收盘!$A$4:$G$3460,5,0),"")</f>
        <v>1.8587</v>
      </c>
      <c r="F4458">
        <f>IFERROR(VLOOKUP($A4458,原始数据_收盘!$A$4:$G$3460,6,0),"")</f>
        <v>1.4288</v>
      </c>
      <c r="G4458">
        <f>IFERROR(VLOOKUP($A4458,原始数据_收盘!$A$4:$G$3460,7,0),"")</f>
        <v>1.8568</v>
      </c>
      <c r="H4458">
        <f>IFERROR(VLOOKUP($A4458,原始数据_利率互换_FR007_1年!$A$6:$C$4395,2,0),"")</f>
        <v>1.4229</v>
      </c>
      <c r="I4458">
        <f>IFERROR(VLOOKUP($A4458,原始数据_利率互换_FR007_1年!$A$6:$C$4395,3,0),"")</f>
        <v>1.8402</v>
      </c>
    </row>
    <row r="4459" spans="1:9">
      <c r="A4459" s="6">
        <v>43952</v>
      </c>
      <c r="B4459" t="str">
        <f>IFERROR(VLOOKUP($A4459,原始数据_收盘!$A$4:$G$3460,2,0),"")</f>
        <v/>
      </c>
      <c r="C4459" t="str">
        <f>IFERROR(VLOOKUP($A4459,原始数据_收盘!$A$4:$G$3460,3,0),"")</f>
        <v/>
      </c>
      <c r="D4459" t="str">
        <f>IFERROR(VLOOKUP($A4459,原始数据_收盘!$A$4:$G$3460,4,0),"")</f>
        <v/>
      </c>
      <c r="E4459" t="str">
        <f>IFERROR(VLOOKUP($A4459,原始数据_收盘!$A$4:$G$3460,5,0),"")</f>
        <v/>
      </c>
      <c r="F4459" t="str">
        <f>IFERROR(VLOOKUP($A4459,原始数据_收盘!$A$4:$G$3460,6,0),"")</f>
        <v/>
      </c>
      <c r="G4459" t="str">
        <f>IFERROR(VLOOKUP($A4459,原始数据_收盘!$A$4:$G$3460,7,0),"")</f>
        <v/>
      </c>
      <c r="H4459" t="str">
        <f>IFERROR(VLOOKUP($A4459,原始数据_利率互换_FR007_1年!$A$6:$C$4395,2,0),"")</f>
        <v/>
      </c>
      <c r="I4459" t="str">
        <f>IFERROR(VLOOKUP($A4459,原始数据_利率互换_FR007_1年!$A$6:$C$4395,3,0),"")</f>
        <v/>
      </c>
    </row>
    <row r="4460" spans="1:9">
      <c r="A4460" s="6">
        <v>43953</v>
      </c>
      <c r="B4460" t="str">
        <f>IFERROR(VLOOKUP($A4460,原始数据_收盘!$A$4:$G$3460,2,0),"")</f>
        <v/>
      </c>
      <c r="C4460" t="str">
        <f>IFERROR(VLOOKUP($A4460,原始数据_收盘!$A$4:$G$3460,3,0),"")</f>
        <v/>
      </c>
      <c r="D4460" t="str">
        <f>IFERROR(VLOOKUP($A4460,原始数据_收盘!$A$4:$G$3460,4,0),"")</f>
        <v/>
      </c>
      <c r="E4460" t="str">
        <f>IFERROR(VLOOKUP($A4460,原始数据_收盘!$A$4:$G$3460,5,0),"")</f>
        <v/>
      </c>
      <c r="F4460" t="str">
        <f>IFERROR(VLOOKUP($A4460,原始数据_收盘!$A$4:$G$3460,6,0),"")</f>
        <v/>
      </c>
      <c r="G4460" t="str">
        <f>IFERROR(VLOOKUP($A4460,原始数据_收盘!$A$4:$G$3460,7,0),"")</f>
        <v/>
      </c>
      <c r="H4460" t="str">
        <f>IFERROR(VLOOKUP($A4460,原始数据_利率互换_FR007_1年!$A$6:$C$4395,2,0),"")</f>
        <v/>
      </c>
      <c r="I4460" t="str">
        <f>IFERROR(VLOOKUP($A4460,原始数据_利率互换_FR007_1年!$A$6:$C$4395,3,0),"")</f>
        <v/>
      </c>
    </row>
    <row r="4461" spans="1:9">
      <c r="A4461" s="6">
        <v>43954</v>
      </c>
      <c r="B4461" t="str">
        <f>IFERROR(VLOOKUP($A4461,原始数据_收盘!$A$4:$G$3460,2,0),"")</f>
        <v/>
      </c>
      <c r="C4461" t="str">
        <f>IFERROR(VLOOKUP($A4461,原始数据_收盘!$A$4:$G$3460,3,0),"")</f>
        <v/>
      </c>
      <c r="D4461" t="str">
        <f>IFERROR(VLOOKUP($A4461,原始数据_收盘!$A$4:$G$3460,4,0),"")</f>
        <v/>
      </c>
      <c r="E4461" t="str">
        <f>IFERROR(VLOOKUP($A4461,原始数据_收盘!$A$4:$G$3460,5,0),"")</f>
        <v/>
      </c>
      <c r="F4461" t="str">
        <f>IFERROR(VLOOKUP($A4461,原始数据_收盘!$A$4:$G$3460,6,0),"")</f>
        <v/>
      </c>
      <c r="G4461" t="str">
        <f>IFERROR(VLOOKUP($A4461,原始数据_收盘!$A$4:$G$3460,7,0),"")</f>
        <v/>
      </c>
      <c r="H4461" t="str">
        <f>IFERROR(VLOOKUP($A4461,原始数据_利率互换_FR007_1年!$A$6:$C$4395,2,0),"")</f>
        <v/>
      </c>
      <c r="I4461" t="str">
        <f>IFERROR(VLOOKUP($A4461,原始数据_利率互换_FR007_1年!$A$6:$C$4395,3,0),"")</f>
        <v/>
      </c>
    </row>
    <row r="4462" spans="1:9">
      <c r="A4462" s="6">
        <v>43955</v>
      </c>
      <c r="B4462" t="str">
        <f>IFERROR(VLOOKUP($A4462,原始数据_收盘!$A$4:$G$3460,2,0),"")</f>
        <v/>
      </c>
      <c r="C4462" t="str">
        <f>IFERROR(VLOOKUP($A4462,原始数据_收盘!$A$4:$G$3460,3,0),"")</f>
        <v/>
      </c>
      <c r="D4462" t="str">
        <f>IFERROR(VLOOKUP($A4462,原始数据_收盘!$A$4:$G$3460,4,0),"")</f>
        <v/>
      </c>
      <c r="E4462" t="str">
        <f>IFERROR(VLOOKUP($A4462,原始数据_收盘!$A$4:$G$3460,5,0),"")</f>
        <v/>
      </c>
      <c r="F4462" t="str">
        <f>IFERROR(VLOOKUP($A4462,原始数据_收盘!$A$4:$G$3460,6,0),"")</f>
        <v/>
      </c>
      <c r="G4462" t="str">
        <f>IFERROR(VLOOKUP($A4462,原始数据_收盘!$A$4:$G$3460,7,0),"")</f>
        <v/>
      </c>
      <c r="H4462" t="str">
        <f>IFERROR(VLOOKUP($A4462,原始数据_利率互换_FR007_1年!$A$6:$C$4395,2,0),"")</f>
        <v/>
      </c>
      <c r="I4462" t="str">
        <f>IFERROR(VLOOKUP($A4462,原始数据_利率互换_FR007_1年!$A$6:$C$4395,3,0),"")</f>
        <v/>
      </c>
    </row>
    <row r="4463" spans="1:9">
      <c r="A4463" s="6">
        <v>43956</v>
      </c>
      <c r="B4463" t="str">
        <f>IFERROR(VLOOKUP($A4463,原始数据_收盘!$A$4:$G$3460,2,0),"")</f>
        <v/>
      </c>
      <c r="C4463" t="str">
        <f>IFERROR(VLOOKUP($A4463,原始数据_收盘!$A$4:$G$3460,3,0),"")</f>
        <v/>
      </c>
      <c r="D4463" t="str">
        <f>IFERROR(VLOOKUP($A4463,原始数据_收盘!$A$4:$G$3460,4,0),"")</f>
        <v/>
      </c>
      <c r="E4463" t="str">
        <f>IFERROR(VLOOKUP($A4463,原始数据_收盘!$A$4:$G$3460,5,0),"")</f>
        <v/>
      </c>
      <c r="F4463" t="str">
        <f>IFERROR(VLOOKUP($A4463,原始数据_收盘!$A$4:$G$3460,6,0),"")</f>
        <v/>
      </c>
      <c r="G4463" t="str">
        <f>IFERROR(VLOOKUP($A4463,原始数据_收盘!$A$4:$G$3460,7,0),"")</f>
        <v/>
      </c>
      <c r="H4463" t="str">
        <f>IFERROR(VLOOKUP($A4463,原始数据_利率互换_FR007_1年!$A$6:$C$4395,2,0),"")</f>
        <v/>
      </c>
      <c r="I4463" t="str">
        <f>IFERROR(VLOOKUP($A4463,原始数据_利率互换_FR007_1年!$A$6:$C$4395,3,0),"")</f>
        <v/>
      </c>
    </row>
    <row r="4464" spans="1:9">
      <c r="A4464" s="6">
        <v>43957</v>
      </c>
      <c r="B4464">
        <f>IFERROR(VLOOKUP($A4464,原始数据_收盘!$A$4:$G$3460,2,0),"")</f>
        <v>1.46</v>
      </c>
      <c r="C4464">
        <f>IFERROR(VLOOKUP($A4464,原始数据_收盘!$A$4:$G$3460,3,0),"")</f>
        <v>1.9094</v>
      </c>
      <c r="D4464">
        <f>IFERROR(VLOOKUP($A4464,原始数据_收盘!$A$4:$G$3460,4,0),"")</f>
        <v>1.4675</v>
      </c>
      <c r="E4464">
        <f>IFERROR(VLOOKUP($A4464,原始数据_收盘!$A$4:$G$3460,5,0),"")</f>
        <v>1.9127</v>
      </c>
      <c r="F4464">
        <f>IFERROR(VLOOKUP($A4464,原始数据_收盘!$A$4:$G$3460,6,0),"")</f>
        <v>1.4638</v>
      </c>
      <c r="G4464">
        <f>IFERROR(VLOOKUP($A4464,原始数据_收盘!$A$4:$G$3460,7,0),"")</f>
        <v>1.9111</v>
      </c>
      <c r="H4464">
        <f>IFERROR(VLOOKUP($A4464,原始数据_利率互换_FR007_1年!$A$6:$C$4395,2,0),"")</f>
        <v>1.4463</v>
      </c>
      <c r="I4464">
        <f>IFERROR(VLOOKUP($A4464,原始数据_利率互换_FR007_1年!$A$6:$C$4395,3,0),"")</f>
        <v>1.8912</v>
      </c>
    </row>
    <row r="4465" spans="1:9">
      <c r="A4465" s="6">
        <v>43958</v>
      </c>
      <c r="B4465">
        <f>IFERROR(VLOOKUP($A4465,原始数据_收盘!$A$4:$G$3460,2,0),"")</f>
        <v>1.505</v>
      </c>
      <c r="C4465">
        <f>IFERROR(VLOOKUP($A4465,原始数据_收盘!$A$4:$G$3460,3,0),"")</f>
        <v>1.9725</v>
      </c>
      <c r="D4465">
        <f>IFERROR(VLOOKUP($A4465,原始数据_收盘!$A$4:$G$3460,4,0),"")</f>
        <v>1.51</v>
      </c>
      <c r="E4465">
        <f>IFERROR(VLOOKUP($A4465,原始数据_收盘!$A$4:$G$3460,5,0),"")</f>
        <v>1.973</v>
      </c>
      <c r="F4465">
        <f>IFERROR(VLOOKUP($A4465,原始数据_收盘!$A$4:$G$3460,6,0),"")</f>
        <v>1.5075</v>
      </c>
      <c r="G4465">
        <f>IFERROR(VLOOKUP($A4465,原始数据_收盘!$A$4:$G$3460,7,0),"")</f>
        <v>1.9727</v>
      </c>
      <c r="H4465">
        <f>IFERROR(VLOOKUP($A4465,原始数据_利率互换_FR007_1年!$A$6:$C$4395,2,0),"")</f>
        <v>1.4886</v>
      </c>
      <c r="I4465">
        <f>IFERROR(VLOOKUP($A4465,原始数据_利率互换_FR007_1年!$A$6:$C$4395,3,0),"")</f>
        <v>1.9409</v>
      </c>
    </row>
    <row r="4466" spans="1:9">
      <c r="A4466" s="6">
        <v>43959</v>
      </c>
      <c r="B4466">
        <f>IFERROR(VLOOKUP($A4466,原始数据_收盘!$A$4:$G$3460,2,0),"")</f>
        <v>1.475</v>
      </c>
      <c r="C4466">
        <f>IFERROR(VLOOKUP($A4466,原始数据_收盘!$A$4:$G$3460,3,0),"")</f>
        <v>1.93</v>
      </c>
      <c r="D4466">
        <f>IFERROR(VLOOKUP($A4466,原始数据_收盘!$A$4:$G$3460,4,0),"")</f>
        <v>1.4801</v>
      </c>
      <c r="E4466">
        <f>IFERROR(VLOOKUP($A4466,原始数据_收盘!$A$4:$G$3460,5,0),"")</f>
        <v>1.9325</v>
      </c>
      <c r="F4466">
        <f>IFERROR(VLOOKUP($A4466,原始数据_收盘!$A$4:$G$3460,6,0),"")</f>
        <v>1.4776</v>
      </c>
      <c r="G4466">
        <f>IFERROR(VLOOKUP($A4466,原始数据_收盘!$A$4:$G$3460,7,0),"")</f>
        <v>1.9313</v>
      </c>
      <c r="H4466">
        <f>IFERROR(VLOOKUP($A4466,原始数据_利率互换_FR007_1年!$A$6:$C$4395,2,0),"")</f>
        <v>1.4831</v>
      </c>
      <c r="I4466">
        <f>IFERROR(VLOOKUP($A4466,原始数据_利率互换_FR007_1年!$A$6:$C$4395,3,0),"")</f>
        <v>1.9453</v>
      </c>
    </row>
    <row r="4467" spans="1:9">
      <c r="A4467" s="6">
        <v>43960</v>
      </c>
      <c r="B4467">
        <f>IFERROR(VLOOKUP($A4467,原始数据_收盘!$A$4:$G$3460,2,0),"")</f>
        <v>1.4675</v>
      </c>
      <c r="C4467">
        <f>IFERROR(VLOOKUP($A4467,原始数据_收盘!$A$4:$G$3460,3,0),"")</f>
        <v>1.9525</v>
      </c>
      <c r="D4467">
        <f>IFERROR(VLOOKUP($A4467,原始数据_收盘!$A$4:$G$3460,4,0),"")</f>
        <v>1.495</v>
      </c>
      <c r="E4467">
        <f>IFERROR(VLOOKUP($A4467,原始数据_收盘!$A$4:$G$3460,5,0),"")</f>
        <v>1.9625</v>
      </c>
      <c r="F4467">
        <f>IFERROR(VLOOKUP($A4467,原始数据_收盘!$A$4:$G$3460,6,0),"")</f>
        <v>1.4813</v>
      </c>
      <c r="G4467">
        <f>IFERROR(VLOOKUP($A4467,原始数据_收盘!$A$4:$G$3460,7,0),"")</f>
        <v>1.9575</v>
      </c>
      <c r="H4467">
        <f>IFERROR(VLOOKUP($A4467,原始数据_利率互换_FR007_1年!$A$6:$C$4395,2,0),"")</f>
        <v>1.4839</v>
      </c>
      <c r="I4467">
        <f>IFERROR(VLOOKUP($A4467,原始数据_利率互换_FR007_1年!$A$6:$C$4395,3,0),"")</f>
        <v>1.9614</v>
      </c>
    </row>
    <row r="4468" spans="1:9">
      <c r="A4468" s="6">
        <v>43961</v>
      </c>
      <c r="B4468" t="str">
        <f>IFERROR(VLOOKUP($A4468,原始数据_收盘!$A$4:$G$3460,2,0),"")</f>
        <v/>
      </c>
      <c r="C4468" t="str">
        <f>IFERROR(VLOOKUP($A4468,原始数据_收盘!$A$4:$G$3460,3,0),"")</f>
        <v/>
      </c>
      <c r="D4468" t="str">
        <f>IFERROR(VLOOKUP($A4468,原始数据_收盘!$A$4:$G$3460,4,0),"")</f>
        <v/>
      </c>
      <c r="E4468" t="str">
        <f>IFERROR(VLOOKUP($A4468,原始数据_收盘!$A$4:$G$3460,5,0),"")</f>
        <v/>
      </c>
      <c r="F4468" t="str">
        <f>IFERROR(VLOOKUP($A4468,原始数据_收盘!$A$4:$G$3460,6,0),"")</f>
        <v/>
      </c>
      <c r="G4468" t="str">
        <f>IFERROR(VLOOKUP($A4468,原始数据_收盘!$A$4:$G$3460,7,0),"")</f>
        <v/>
      </c>
      <c r="H4468" t="str">
        <f>IFERROR(VLOOKUP($A4468,原始数据_利率互换_FR007_1年!$A$6:$C$4395,2,0),"")</f>
        <v/>
      </c>
      <c r="I4468" t="str">
        <f>IFERROR(VLOOKUP($A4468,原始数据_利率互换_FR007_1年!$A$6:$C$4395,3,0),"")</f>
        <v/>
      </c>
    </row>
    <row r="4469" spans="1:9">
      <c r="A4469" s="6">
        <v>43962</v>
      </c>
      <c r="B4469">
        <f>IFERROR(VLOOKUP($A4469,原始数据_收盘!$A$4:$G$3460,2,0),"")</f>
        <v>1.5161</v>
      </c>
      <c r="C4469">
        <f>IFERROR(VLOOKUP($A4469,原始数据_收盘!$A$4:$G$3460,3,0),"")</f>
        <v>2.005</v>
      </c>
      <c r="D4469">
        <f>IFERROR(VLOOKUP($A4469,原始数据_收盘!$A$4:$G$3460,4,0),"")</f>
        <v>1.5275</v>
      </c>
      <c r="E4469">
        <f>IFERROR(VLOOKUP($A4469,原始数据_收盘!$A$4:$G$3460,5,0),"")</f>
        <v>2.0075</v>
      </c>
      <c r="F4469">
        <f>IFERROR(VLOOKUP($A4469,原始数据_收盘!$A$4:$G$3460,6,0),"")</f>
        <v>1.5218</v>
      </c>
      <c r="G4469">
        <f>IFERROR(VLOOKUP($A4469,原始数据_收盘!$A$4:$G$3460,7,0),"")</f>
        <v>2.0063</v>
      </c>
      <c r="H4469">
        <f>IFERROR(VLOOKUP($A4469,原始数据_利率互换_FR007_1年!$A$6:$C$4395,2,0),"")</f>
        <v>1.516</v>
      </c>
      <c r="I4469">
        <f>IFERROR(VLOOKUP($A4469,原始数据_利率互换_FR007_1年!$A$6:$C$4395,3,0),"")</f>
        <v>1.9947</v>
      </c>
    </row>
    <row r="4470" spans="1:9">
      <c r="A4470" s="6">
        <v>43963</v>
      </c>
      <c r="B4470">
        <f>IFERROR(VLOOKUP($A4470,原始数据_收盘!$A$4:$G$3460,2,0),"")</f>
        <v>1.4733</v>
      </c>
      <c r="C4470">
        <f>IFERROR(VLOOKUP($A4470,原始数据_收盘!$A$4:$G$3460,3,0),"")</f>
        <v>1.9599</v>
      </c>
      <c r="D4470">
        <f>IFERROR(VLOOKUP($A4470,原始数据_收盘!$A$4:$G$3460,4,0),"")</f>
        <v>1.4775</v>
      </c>
      <c r="E4470">
        <f>IFERROR(VLOOKUP($A4470,原始数据_收盘!$A$4:$G$3460,5,0),"")</f>
        <v>1.9604</v>
      </c>
      <c r="F4470">
        <f>IFERROR(VLOOKUP($A4470,原始数据_收盘!$A$4:$G$3460,6,0),"")</f>
        <v>1.4754</v>
      </c>
      <c r="G4470">
        <f>IFERROR(VLOOKUP($A4470,原始数据_收盘!$A$4:$G$3460,7,0),"")</f>
        <v>1.9601</v>
      </c>
      <c r="H4470">
        <f>IFERROR(VLOOKUP($A4470,原始数据_利率互换_FR007_1年!$A$6:$C$4395,2,0),"")</f>
        <v>1.4982</v>
      </c>
      <c r="I4470">
        <f>IFERROR(VLOOKUP($A4470,原始数据_利率互换_FR007_1年!$A$6:$C$4395,3,0),"")</f>
        <v>1.9809</v>
      </c>
    </row>
    <row r="4471" spans="1:9">
      <c r="A4471" s="6">
        <v>43964</v>
      </c>
      <c r="B4471">
        <f>IFERROR(VLOOKUP($A4471,原始数据_收盘!$A$4:$G$3460,2,0),"")</f>
        <v>1.444</v>
      </c>
      <c r="C4471">
        <f>IFERROR(VLOOKUP($A4471,原始数据_收盘!$A$4:$G$3460,3,0),"")</f>
        <v>1.9292</v>
      </c>
      <c r="D4471">
        <f>IFERROR(VLOOKUP($A4471,原始数据_收盘!$A$4:$G$3460,4,0),"")</f>
        <v>1.4475</v>
      </c>
      <c r="E4471">
        <f>IFERROR(VLOOKUP($A4471,原始数据_收盘!$A$4:$G$3460,5,0),"")</f>
        <v>1.9331</v>
      </c>
      <c r="F4471">
        <f>IFERROR(VLOOKUP($A4471,原始数据_收盘!$A$4:$G$3460,6,0),"")</f>
        <v>1.4458</v>
      </c>
      <c r="G4471">
        <f>IFERROR(VLOOKUP($A4471,原始数据_收盘!$A$4:$G$3460,7,0),"")</f>
        <v>1.9311</v>
      </c>
      <c r="H4471">
        <f>IFERROR(VLOOKUP($A4471,原始数据_利率互换_FR007_1年!$A$6:$C$4395,2,0),"")</f>
        <v>1.4518</v>
      </c>
      <c r="I4471">
        <f>IFERROR(VLOOKUP($A4471,原始数据_利率互换_FR007_1年!$A$6:$C$4395,3,0),"")</f>
        <v>1.9396</v>
      </c>
    </row>
    <row r="4472" spans="1:9">
      <c r="A4472" s="6">
        <v>43965</v>
      </c>
      <c r="B4472">
        <f>IFERROR(VLOOKUP($A4472,原始数据_收盘!$A$4:$G$3460,2,0),"")</f>
        <v>1.4125</v>
      </c>
      <c r="C4472">
        <f>IFERROR(VLOOKUP($A4472,原始数据_收盘!$A$4:$G$3460,3,0),"")</f>
        <v>1.8874</v>
      </c>
      <c r="D4472">
        <f>IFERROR(VLOOKUP($A4472,原始数据_收盘!$A$4:$G$3460,4,0),"")</f>
        <v>1.4175</v>
      </c>
      <c r="E4472">
        <f>IFERROR(VLOOKUP($A4472,原始数据_收盘!$A$4:$G$3460,5,0),"")</f>
        <v>1.89</v>
      </c>
      <c r="F4472">
        <f>IFERROR(VLOOKUP($A4472,原始数据_收盘!$A$4:$G$3460,6,0),"")</f>
        <v>1.415</v>
      </c>
      <c r="G4472">
        <f>IFERROR(VLOOKUP($A4472,原始数据_收盘!$A$4:$G$3460,7,0),"")</f>
        <v>1.8887</v>
      </c>
      <c r="H4472">
        <f>IFERROR(VLOOKUP($A4472,原始数据_利率互换_FR007_1年!$A$6:$C$4395,2,0),"")</f>
        <v>1.4385</v>
      </c>
      <c r="I4472">
        <f>IFERROR(VLOOKUP($A4472,原始数据_利率互换_FR007_1年!$A$6:$C$4395,3,0),"")</f>
        <v>1.9147</v>
      </c>
    </row>
    <row r="4473" spans="1:9">
      <c r="A4473" s="6">
        <v>43966</v>
      </c>
      <c r="B4473">
        <f>IFERROR(VLOOKUP($A4473,原始数据_收盘!$A$4:$G$3460,2,0),"")</f>
        <v>1.43</v>
      </c>
      <c r="C4473">
        <f>IFERROR(VLOOKUP($A4473,原始数据_收盘!$A$4:$G$3460,3,0),"")</f>
        <v>1.8975</v>
      </c>
      <c r="D4473">
        <f>IFERROR(VLOOKUP($A4473,原始数据_收盘!$A$4:$G$3460,4,0),"")</f>
        <v>1.435</v>
      </c>
      <c r="E4473">
        <f>IFERROR(VLOOKUP($A4473,原始数据_收盘!$A$4:$G$3460,5,0),"")</f>
        <v>1.9025</v>
      </c>
      <c r="F4473">
        <f>IFERROR(VLOOKUP($A4473,原始数据_收盘!$A$4:$G$3460,6,0),"")</f>
        <v>1.4325</v>
      </c>
      <c r="G4473">
        <f>IFERROR(VLOOKUP($A4473,原始数据_收盘!$A$4:$G$3460,7,0),"")</f>
        <v>1.9</v>
      </c>
      <c r="H4473">
        <f>IFERROR(VLOOKUP($A4473,原始数据_利率互换_FR007_1年!$A$6:$C$4395,2,0),"")</f>
        <v>1.4271</v>
      </c>
      <c r="I4473">
        <f>IFERROR(VLOOKUP($A4473,原始数据_利率互换_FR007_1年!$A$6:$C$4395,3,0),"")</f>
        <v>1.8923</v>
      </c>
    </row>
    <row r="4474" spans="1:9">
      <c r="A4474" s="6">
        <v>43967</v>
      </c>
      <c r="B4474" t="str">
        <f>IFERROR(VLOOKUP($A4474,原始数据_收盘!$A$4:$G$3460,2,0),"")</f>
        <v/>
      </c>
      <c r="C4474" t="str">
        <f>IFERROR(VLOOKUP($A4474,原始数据_收盘!$A$4:$G$3460,3,0),"")</f>
        <v/>
      </c>
      <c r="D4474" t="str">
        <f>IFERROR(VLOOKUP($A4474,原始数据_收盘!$A$4:$G$3460,4,0),"")</f>
        <v/>
      </c>
      <c r="E4474" t="str">
        <f>IFERROR(VLOOKUP($A4474,原始数据_收盘!$A$4:$G$3460,5,0),"")</f>
        <v/>
      </c>
      <c r="F4474" t="str">
        <f>IFERROR(VLOOKUP($A4474,原始数据_收盘!$A$4:$G$3460,6,0),"")</f>
        <v/>
      </c>
      <c r="G4474" t="str">
        <f>IFERROR(VLOOKUP($A4474,原始数据_收盘!$A$4:$G$3460,7,0),"")</f>
        <v/>
      </c>
      <c r="H4474" t="str">
        <f>IFERROR(VLOOKUP($A4474,原始数据_利率互换_FR007_1年!$A$6:$C$4395,2,0),"")</f>
        <v/>
      </c>
      <c r="I4474" t="str">
        <f>IFERROR(VLOOKUP($A4474,原始数据_利率互换_FR007_1年!$A$6:$C$4395,3,0),"")</f>
        <v/>
      </c>
    </row>
    <row r="4475" spans="1:9">
      <c r="A4475" s="6">
        <v>43968</v>
      </c>
      <c r="B4475" t="str">
        <f>IFERROR(VLOOKUP($A4475,原始数据_收盘!$A$4:$G$3460,2,0),"")</f>
        <v/>
      </c>
      <c r="C4475" t="str">
        <f>IFERROR(VLOOKUP($A4475,原始数据_收盘!$A$4:$G$3460,3,0),"")</f>
        <v/>
      </c>
      <c r="D4475" t="str">
        <f>IFERROR(VLOOKUP($A4475,原始数据_收盘!$A$4:$G$3460,4,0),"")</f>
        <v/>
      </c>
      <c r="E4475" t="str">
        <f>IFERROR(VLOOKUP($A4475,原始数据_收盘!$A$4:$G$3460,5,0),"")</f>
        <v/>
      </c>
      <c r="F4475" t="str">
        <f>IFERROR(VLOOKUP($A4475,原始数据_收盘!$A$4:$G$3460,6,0),"")</f>
        <v/>
      </c>
      <c r="G4475" t="str">
        <f>IFERROR(VLOOKUP($A4475,原始数据_收盘!$A$4:$G$3460,7,0),"")</f>
        <v/>
      </c>
      <c r="H4475" t="str">
        <f>IFERROR(VLOOKUP($A4475,原始数据_利率互换_FR007_1年!$A$6:$C$4395,2,0),"")</f>
        <v/>
      </c>
      <c r="I4475" t="str">
        <f>IFERROR(VLOOKUP($A4475,原始数据_利率互换_FR007_1年!$A$6:$C$4395,3,0),"")</f>
        <v/>
      </c>
    </row>
    <row r="4476" spans="1:9">
      <c r="A4476" s="6">
        <v>43969</v>
      </c>
      <c r="B4476">
        <f>IFERROR(VLOOKUP($A4476,原始数据_收盘!$A$4:$G$3460,2,0),"")</f>
        <v>1.4759</v>
      </c>
      <c r="C4476">
        <f>IFERROR(VLOOKUP($A4476,原始数据_收盘!$A$4:$G$3460,3,0),"")</f>
        <v>1.9545</v>
      </c>
      <c r="D4476">
        <f>IFERROR(VLOOKUP($A4476,原始数据_收盘!$A$4:$G$3460,4,0),"")</f>
        <v>1.48</v>
      </c>
      <c r="E4476">
        <f>IFERROR(VLOOKUP($A4476,原始数据_收盘!$A$4:$G$3460,5,0),"")</f>
        <v>1.9555</v>
      </c>
      <c r="F4476">
        <f>IFERROR(VLOOKUP($A4476,原始数据_收盘!$A$4:$G$3460,6,0),"")</f>
        <v>1.4779</v>
      </c>
      <c r="G4476">
        <f>IFERROR(VLOOKUP($A4476,原始数据_收盘!$A$4:$G$3460,7,0),"")</f>
        <v>1.955</v>
      </c>
      <c r="H4476">
        <f>IFERROR(VLOOKUP($A4476,原始数据_利率互换_FR007_1年!$A$6:$C$4395,2,0),"")</f>
        <v>1.4627</v>
      </c>
      <c r="I4476">
        <f>IFERROR(VLOOKUP($A4476,原始数据_利率互换_FR007_1年!$A$6:$C$4395,3,0),"")</f>
        <v>1.9344</v>
      </c>
    </row>
    <row r="4477" spans="1:9">
      <c r="A4477" s="6">
        <v>43970</v>
      </c>
      <c r="B4477">
        <f>IFERROR(VLOOKUP($A4477,原始数据_收盘!$A$4:$G$3460,2,0),"")</f>
        <v>1.5082</v>
      </c>
      <c r="C4477">
        <f>IFERROR(VLOOKUP($A4477,原始数据_收盘!$A$4:$G$3460,3,0),"")</f>
        <v>1.9812</v>
      </c>
      <c r="D4477">
        <f>IFERROR(VLOOKUP($A4477,原始数据_收盘!$A$4:$G$3460,4,0),"")</f>
        <v>1.5116</v>
      </c>
      <c r="E4477">
        <f>IFERROR(VLOOKUP($A4477,原始数据_收盘!$A$4:$G$3460,5,0),"")</f>
        <v>1.984</v>
      </c>
      <c r="F4477">
        <f>IFERROR(VLOOKUP($A4477,原始数据_收盘!$A$4:$G$3460,6,0),"")</f>
        <v>1.5099</v>
      </c>
      <c r="G4477">
        <f>IFERROR(VLOOKUP($A4477,原始数据_收盘!$A$4:$G$3460,7,0),"")</f>
        <v>1.9826</v>
      </c>
      <c r="H4477">
        <f>IFERROR(VLOOKUP($A4477,原始数据_利率互换_FR007_1年!$A$6:$C$4395,2,0),"")</f>
        <v>1.51</v>
      </c>
      <c r="I4477">
        <f>IFERROR(VLOOKUP($A4477,原始数据_利率互换_FR007_1年!$A$6:$C$4395,3,0),"")</f>
        <v>1.9885</v>
      </c>
    </row>
    <row r="4478" spans="1:9">
      <c r="A4478" s="6">
        <v>43971</v>
      </c>
      <c r="B4478">
        <f>IFERROR(VLOOKUP($A4478,原始数据_收盘!$A$4:$G$3460,2,0),"")</f>
        <v>1.52</v>
      </c>
      <c r="C4478">
        <f>IFERROR(VLOOKUP($A4478,原始数据_收盘!$A$4:$G$3460,3,0),"")</f>
        <v>1.9797</v>
      </c>
      <c r="D4478">
        <f>IFERROR(VLOOKUP($A4478,原始数据_收盘!$A$4:$G$3460,4,0),"")</f>
        <v>1.525</v>
      </c>
      <c r="E4478">
        <f>IFERROR(VLOOKUP($A4478,原始数据_收盘!$A$4:$G$3460,5,0),"")</f>
        <v>1.9825</v>
      </c>
      <c r="F4478">
        <f>IFERROR(VLOOKUP($A4478,原始数据_收盘!$A$4:$G$3460,6,0),"")</f>
        <v>1.5225</v>
      </c>
      <c r="G4478">
        <f>IFERROR(VLOOKUP($A4478,原始数据_收盘!$A$4:$G$3460,7,0),"")</f>
        <v>1.9811</v>
      </c>
      <c r="H4478">
        <f>IFERROR(VLOOKUP($A4478,原始数据_利率互换_FR007_1年!$A$6:$C$4395,2,0),"")</f>
        <v>1.5156</v>
      </c>
      <c r="I4478">
        <f>IFERROR(VLOOKUP($A4478,原始数据_利率互换_FR007_1年!$A$6:$C$4395,3,0),"")</f>
        <v>1.9753</v>
      </c>
    </row>
    <row r="4479" spans="1:9">
      <c r="A4479" s="6">
        <v>43972</v>
      </c>
      <c r="B4479">
        <f>IFERROR(VLOOKUP($A4479,原始数据_收盘!$A$4:$G$3460,2,0),"")</f>
        <v>1.53</v>
      </c>
      <c r="C4479">
        <f>IFERROR(VLOOKUP($A4479,原始数据_收盘!$A$4:$G$3460,3,0),"")</f>
        <v>1.9883</v>
      </c>
      <c r="D4479">
        <f>IFERROR(VLOOKUP($A4479,原始数据_收盘!$A$4:$G$3460,4,0),"")</f>
        <v>1.5366</v>
      </c>
      <c r="E4479">
        <f>IFERROR(VLOOKUP($A4479,原始数据_收盘!$A$4:$G$3460,5,0),"")</f>
        <v>1.9903</v>
      </c>
      <c r="F4479">
        <f>IFERROR(VLOOKUP($A4479,原始数据_收盘!$A$4:$G$3460,6,0),"")</f>
        <v>1.5333</v>
      </c>
      <c r="G4479">
        <f>IFERROR(VLOOKUP($A4479,原始数据_收盘!$A$4:$G$3460,7,0),"")</f>
        <v>1.9893</v>
      </c>
      <c r="H4479">
        <f>IFERROR(VLOOKUP($A4479,原始数据_利率互换_FR007_1年!$A$6:$C$4395,2,0),"")</f>
        <v>1.513</v>
      </c>
      <c r="I4479">
        <f>IFERROR(VLOOKUP($A4479,原始数据_利率互换_FR007_1年!$A$6:$C$4395,3,0),"")</f>
        <v>1.9694</v>
      </c>
    </row>
    <row r="4480" spans="1:9">
      <c r="A4480" s="6">
        <v>43973</v>
      </c>
      <c r="B4480">
        <f>IFERROR(VLOOKUP($A4480,原始数据_收盘!$A$4:$G$3460,2,0),"")</f>
        <v>1.4625</v>
      </c>
      <c r="C4480">
        <f>IFERROR(VLOOKUP($A4480,原始数据_收盘!$A$4:$G$3460,3,0),"")</f>
        <v>1.8863</v>
      </c>
      <c r="D4480">
        <f>IFERROR(VLOOKUP($A4480,原始数据_收盘!$A$4:$G$3460,4,0),"")</f>
        <v>1.4675</v>
      </c>
      <c r="E4480">
        <f>IFERROR(VLOOKUP($A4480,原始数据_收盘!$A$4:$G$3460,5,0),"")</f>
        <v>1.8901</v>
      </c>
      <c r="F4480">
        <f>IFERROR(VLOOKUP($A4480,原始数据_收盘!$A$4:$G$3460,6,0),"")</f>
        <v>1.465</v>
      </c>
      <c r="G4480">
        <f>IFERROR(VLOOKUP($A4480,原始数据_收盘!$A$4:$G$3460,7,0),"")</f>
        <v>1.8882</v>
      </c>
      <c r="H4480">
        <f>IFERROR(VLOOKUP($A4480,原始数据_利率互换_FR007_1年!$A$6:$C$4395,2,0),"")</f>
        <v>1.4831</v>
      </c>
      <c r="I4480">
        <f>IFERROR(VLOOKUP($A4480,原始数据_利率互换_FR007_1年!$A$6:$C$4395,3,0),"")</f>
        <v>1.9271</v>
      </c>
    </row>
    <row r="4481" spans="1:9">
      <c r="A4481" s="6">
        <v>43974</v>
      </c>
      <c r="B4481" t="str">
        <f>IFERROR(VLOOKUP($A4481,原始数据_收盘!$A$4:$G$3460,2,0),"")</f>
        <v/>
      </c>
      <c r="C4481" t="str">
        <f>IFERROR(VLOOKUP($A4481,原始数据_收盘!$A$4:$G$3460,3,0),"")</f>
        <v/>
      </c>
      <c r="D4481" t="str">
        <f>IFERROR(VLOOKUP($A4481,原始数据_收盘!$A$4:$G$3460,4,0),"")</f>
        <v/>
      </c>
      <c r="E4481" t="str">
        <f>IFERROR(VLOOKUP($A4481,原始数据_收盘!$A$4:$G$3460,5,0),"")</f>
        <v/>
      </c>
      <c r="F4481" t="str">
        <f>IFERROR(VLOOKUP($A4481,原始数据_收盘!$A$4:$G$3460,6,0),"")</f>
        <v/>
      </c>
      <c r="G4481" t="str">
        <f>IFERROR(VLOOKUP($A4481,原始数据_收盘!$A$4:$G$3460,7,0),"")</f>
        <v/>
      </c>
      <c r="H4481" t="str">
        <f>IFERROR(VLOOKUP($A4481,原始数据_利率互换_FR007_1年!$A$6:$C$4395,2,0),"")</f>
        <v/>
      </c>
      <c r="I4481" t="str">
        <f>IFERROR(VLOOKUP($A4481,原始数据_利率互换_FR007_1年!$A$6:$C$4395,3,0),"")</f>
        <v/>
      </c>
    </row>
    <row r="4482" spans="1:9">
      <c r="A4482" s="6">
        <v>43975</v>
      </c>
      <c r="B4482" t="str">
        <f>IFERROR(VLOOKUP($A4482,原始数据_收盘!$A$4:$G$3460,2,0),"")</f>
        <v/>
      </c>
      <c r="C4482" t="str">
        <f>IFERROR(VLOOKUP($A4482,原始数据_收盘!$A$4:$G$3460,3,0),"")</f>
        <v/>
      </c>
      <c r="D4482" t="str">
        <f>IFERROR(VLOOKUP($A4482,原始数据_收盘!$A$4:$G$3460,4,0),"")</f>
        <v/>
      </c>
      <c r="E4482" t="str">
        <f>IFERROR(VLOOKUP($A4482,原始数据_收盘!$A$4:$G$3460,5,0),"")</f>
        <v/>
      </c>
      <c r="F4482" t="str">
        <f>IFERROR(VLOOKUP($A4482,原始数据_收盘!$A$4:$G$3460,6,0),"")</f>
        <v/>
      </c>
      <c r="G4482" t="str">
        <f>IFERROR(VLOOKUP($A4482,原始数据_收盘!$A$4:$G$3460,7,0),"")</f>
        <v/>
      </c>
      <c r="H4482" t="str">
        <f>IFERROR(VLOOKUP($A4482,原始数据_利率互换_FR007_1年!$A$6:$C$4395,2,0),"")</f>
        <v/>
      </c>
      <c r="I4482" t="str">
        <f>IFERROR(VLOOKUP($A4482,原始数据_利率互换_FR007_1年!$A$6:$C$4395,3,0),"")</f>
        <v/>
      </c>
    </row>
    <row r="4483" spans="1:9">
      <c r="A4483" s="6">
        <v>43976</v>
      </c>
      <c r="B4483">
        <f>IFERROR(VLOOKUP($A4483,原始数据_收盘!$A$4:$G$3460,2,0),"")</f>
        <v>1.5425</v>
      </c>
      <c r="C4483">
        <f>IFERROR(VLOOKUP($A4483,原始数据_收盘!$A$4:$G$3460,3,0),"")</f>
        <v>1.975</v>
      </c>
      <c r="D4483">
        <f>IFERROR(VLOOKUP($A4483,原始数据_收盘!$A$4:$G$3460,4,0),"")</f>
        <v>1.5475</v>
      </c>
      <c r="E4483">
        <f>IFERROR(VLOOKUP($A4483,原始数据_收盘!$A$4:$G$3460,5,0),"")</f>
        <v>1.9775</v>
      </c>
      <c r="F4483">
        <f>IFERROR(VLOOKUP($A4483,原始数据_收盘!$A$4:$G$3460,6,0),"")</f>
        <v>1.545</v>
      </c>
      <c r="G4483">
        <f>IFERROR(VLOOKUP($A4483,原始数据_收盘!$A$4:$G$3460,7,0),"")</f>
        <v>1.9763</v>
      </c>
      <c r="H4483">
        <f>IFERROR(VLOOKUP($A4483,原始数据_利率互换_FR007_1年!$A$6:$C$4395,2,0),"")</f>
        <v>1.5236</v>
      </c>
      <c r="I4483">
        <f>IFERROR(VLOOKUP($A4483,原始数据_利率互换_FR007_1年!$A$6:$C$4395,3,0),"")</f>
        <v>1.951</v>
      </c>
    </row>
    <row r="4484" spans="1:9">
      <c r="A4484" s="6">
        <v>43977</v>
      </c>
      <c r="B4484">
        <f>IFERROR(VLOOKUP($A4484,原始数据_收盘!$A$4:$G$3460,2,0),"")</f>
        <v>1.6804</v>
      </c>
      <c r="C4484">
        <f>IFERROR(VLOOKUP($A4484,原始数据_收盘!$A$4:$G$3460,3,0),"")</f>
        <v>2.0738</v>
      </c>
      <c r="D4484">
        <f>IFERROR(VLOOKUP($A4484,原始数据_收盘!$A$4:$G$3460,4,0),"")</f>
        <v>1.6925</v>
      </c>
      <c r="E4484">
        <f>IFERROR(VLOOKUP($A4484,原始数据_收盘!$A$4:$G$3460,5,0),"")</f>
        <v>2.0796</v>
      </c>
      <c r="F4484">
        <f>IFERROR(VLOOKUP($A4484,原始数据_收盘!$A$4:$G$3460,6,0),"")</f>
        <v>1.6865</v>
      </c>
      <c r="G4484">
        <f>IFERROR(VLOOKUP($A4484,原始数据_收盘!$A$4:$G$3460,7,0),"")</f>
        <v>2.0767</v>
      </c>
      <c r="H4484">
        <f>IFERROR(VLOOKUP($A4484,原始数据_利率互换_FR007_1年!$A$6:$C$4395,2,0),"")</f>
        <v>1.6505</v>
      </c>
      <c r="I4484">
        <f>IFERROR(VLOOKUP($A4484,原始数据_利率互换_FR007_1年!$A$6:$C$4395,3,0),"")</f>
        <v>2.0265</v>
      </c>
    </row>
    <row r="4485" spans="1:9">
      <c r="A4485" s="6">
        <v>43978</v>
      </c>
      <c r="B4485">
        <f>IFERROR(VLOOKUP($A4485,原始数据_收盘!$A$4:$G$3460,2,0),"")</f>
        <v>1.7725</v>
      </c>
      <c r="C4485">
        <f>IFERROR(VLOOKUP($A4485,原始数据_收盘!$A$4:$G$3460,3,0),"")</f>
        <v>2.14</v>
      </c>
      <c r="D4485">
        <f>IFERROR(VLOOKUP($A4485,原始数据_收盘!$A$4:$G$3460,4,0),"")</f>
        <v>1.78</v>
      </c>
      <c r="E4485">
        <f>IFERROR(VLOOKUP($A4485,原始数据_收盘!$A$4:$G$3460,5,0),"")</f>
        <v>2.145</v>
      </c>
      <c r="F4485">
        <f>IFERROR(VLOOKUP($A4485,原始数据_收盘!$A$4:$G$3460,6,0),"")</f>
        <v>1.7763</v>
      </c>
      <c r="G4485">
        <f>IFERROR(VLOOKUP($A4485,原始数据_收盘!$A$4:$G$3460,7,0),"")</f>
        <v>2.1425</v>
      </c>
      <c r="H4485">
        <f>IFERROR(VLOOKUP($A4485,原始数据_利率互换_FR007_1年!$A$6:$C$4395,2,0),"")</f>
        <v>1.7502</v>
      </c>
      <c r="I4485">
        <f>IFERROR(VLOOKUP($A4485,原始数据_利率互换_FR007_1年!$A$6:$C$4395,3,0),"")</f>
        <v>2.1125</v>
      </c>
    </row>
    <row r="4486" spans="1:9">
      <c r="A4486" s="6">
        <v>43979</v>
      </c>
      <c r="B4486">
        <f>IFERROR(VLOOKUP($A4486,原始数据_收盘!$A$4:$G$3460,2,0),"")</f>
        <v>1.75</v>
      </c>
      <c r="C4486">
        <f>IFERROR(VLOOKUP($A4486,原始数据_收盘!$A$4:$G$3460,3,0),"")</f>
        <v>2.083</v>
      </c>
      <c r="D4486">
        <f>IFERROR(VLOOKUP($A4486,原始数据_收盘!$A$4:$G$3460,4,0),"")</f>
        <v>1.7564</v>
      </c>
      <c r="E4486">
        <f>IFERROR(VLOOKUP($A4486,原始数据_收盘!$A$4:$G$3460,5,0),"")</f>
        <v>2.0883</v>
      </c>
      <c r="F4486">
        <f>IFERROR(VLOOKUP($A4486,原始数据_收盘!$A$4:$G$3460,6,0),"")</f>
        <v>1.7532</v>
      </c>
      <c r="G4486">
        <f>IFERROR(VLOOKUP($A4486,原始数据_收盘!$A$4:$G$3460,7,0),"")</f>
        <v>2.0856</v>
      </c>
      <c r="H4486">
        <f>IFERROR(VLOOKUP($A4486,原始数据_利率互换_FR007_1年!$A$6:$C$4395,2,0),"")</f>
        <v>1.7611</v>
      </c>
      <c r="I4486">
        <f>IFERROR(VLOOKUP($A4486,原始数据_利率互换_FR007_1年!$A$6:$C$4395,3,0),"")</f>
        <v>2.0942</v>
      </c>
    </row>
    <row r="4487" spans="1:9">
      <c r="A4487" s="6">
        <v>43980</v>
      </c>
      <c r="B4487">
        <f>IFERROR(VLOOKUP($A4487,原始数据_收盘!$A$4:$G$3460,2,0),"")</f>
        <v>1.7133</v>
      </c>
      <c r="C4487">
        <f>IFERROR(VLOOKUP($A4487,原始数据_收盘!$A$4:$G$3460,3,0),"")</f>
        <v>2.0625</v>
      </c>
      <c r="D4487">
        <f>IFERROR(VLOOKUP($A4487,原始数据_收盘!$A$4:$G$3460,4,0),"")</f>
        <v>1.7275</v>
      </c>
      <c r="E4487">
        <f>IFERROR(VLOOKUP($A4487,原始数据_收盘!$A$4:$G$3460,5,0),"")</f>
        <v>2.065</v>
      </c>
      <c r="F4487">
        <f>IFERROR(VLOOKUP($A4487,原始数据_收盘!$A$4:$G$3460,6,0),"")</f>
        <v>1.7204</v>
      </c>
      <c r="G4487">
        <f>IFERROR(VLOOKUP($A4487,原始数据_收盘!$A$4:$G$3460,7,0),"")</f>
        <v>2.0638</v>
      </c>
      <c r="H4487">
        <f>IFERROR(VLOOKUP($A4487,原始数据_利率互换_FR007_1年!$A$6:$C$4395,2,0),"")</f>
        <v>1.7455</v>
      </c>
      <c r="I4487">
        <f>IFERROR(VLOOKUP($A4487,原始数据_利率互换_FR007_1年!$A$6:$C$4395,3,0),"")</f>
        <v>2.0753</v>
      </c>
    </row>
    <row r="4488" spans="1:9">
      <c r="A4488" s="6">
        <v>43981</v>
      </c>
      <c r="B4488" t="str">
        <f>IFERROR(VLOOKUP($A4488,原始数据_收盘!$A$4:$G$3460,2,0),"")</f>
        <v/>
      </c>
      <c r="C4488" t="str">
        <f>IFERROR(VLOOKUP($A4488,原始数据_收盘!$A$4:$G$3460,3,0),"")</f>
        <v/>
      </c>
      <c r="D4488" t="str">
        <f>IFERROR(VLOOKUP($A4488,原始数据_收盘!$A$4:$G$3460,4,0),"")</f>
        <v/>
      </c>
      <c r="E4488" t="str">
        <f>IFERROR(VLOOKUP($A4488,原始数据_收盘!$A$4:$G$3460,5,0),"")</f>
        <v/>
      </c>
      <c r="F4488" t="str">
        <f>IFERROR(VLOOKUP($A4488,原始数据_收盘!$A$4:$G$3460,6,0),"")</f>
        <v/>
      </c>
      <c r="G4488" t="str">
        <f>IFERROR(VLOOKUP($A4488,原始数据_收盘!$A$4:$G$3460,7,0),"")</f>
        <v/>
      </c>
      <c r="H4488" t="str">
        <f>IFERROR(VLOOKUP($A4488,原始数据_利率互换_FR007_1年!$A$6:$C$4395,2,0),"")</f>
        <v/>
      </c>
      <c r="I4488" t="str">
        <f>IFERROR(VLOOKUP($A4488,原始数据_利率互换_FR007_1年!$A$6:$C$4395,3,0),"")</f>
        <v/>
      </c>
    </row>
    <row r="4489" spans="1:9">
      <c r="A4489" s="6">
        <v>43982</v>
      </c>
      <c r="B4489" t="str">
        <f>IFERROR(VLOOKUP($A4489,原始数据_收盘!$A$4:$G$3460,2,0),"")</f>
        <v/>
      </c>
      <c r="C4489" t="str">
        <f>IFERROR(VLOOKUP($A4489,原始数据_收盘!$A$4:$G$3460,3,0),"")</f>
        <v/>
      </c>
      <c r="D4489" t="str">
        <f>IFERROR(VLOOKUP($A4489,原始数据_收盘!$A$4:$G$3460,4,0),"")</f>
        <v/>
      </c>
      <c r="E4489" t="str">
        <f>IFERROR(VLOOKUP($A4489,原始数据_收盘!$A$4:$G$3460,5,0),"")</f>
        <v/>
      </c>
      <c r="F4489" t="str">
        <f>IFERROR(VLOOKUP($A4489,原始数据_收盘!$A$4:$G$3460,6,0),"")</f>
        <v/>
      </c>
      <c r="G4489" t="str">
        <f>IFERROR(VLOOKUP($A4489,原始数据_收盘!$A$4:$G$3460,7,0),"")</f>
        <v/>
      </c>
      <c r="H4489" t="str">
        <f>IFERROR(VLOOKUP($A4489,原始数据_利率互换_FR007_1年!$A$6:$C$4395,2,0),"")</f>
        <v/>
      </c>
      <c r="I4489" t="str">
        <f>IFERROR(VLOOKUP($A4489,原始数据_利率互换_FR007_1年!$A$6:$C$4395,3,0),"")</f>
        <v/>
      </c>
    </row>
    <row r="4490" spans="1:9">
      <c r="A4490" s="6">
        <v>43983</v>
      </c>
      <c r="B4490">
        <f>IFERROR(VLOOKUP($A4490,原始数据_收盘!$A$4:$G$3460,2,0),"")</f>
        <v>1.6971</v>
      </c>
      <c r="C4490">
        <f>IFERROR(VLOOKUP($A4490,原始数据_收盘!$A$4:$G$3460,3,0),"")</f>
        <v>2.0745</v>
      </c>
      <c r="D4490">
        <f>IFERROR(VLOOKUP($A4490,原始数据_收盘!$A$4:$G$3460,4,0),"")</f>
        <v>1.7086</v>
      </c>
      <c r="E4490">
        <f>IFERROR(VLOOKUP($A4490,原始数据_收盘!$A$4:$G$3460,5,0),"")</f>
        <v>2.0793</v>
      </c>
      <c r="F4490">
        <f>IFERROR(VLOOKUP($A4490,原始数据_收盘!$A$4:$G$3460,6,0),"")</f>
        <v>1.7028</v>
      </c>
      <c r="G4490">
        <f>IFERROR(VLOOKUP($A4490,原始数据_收盘!$A$4:$G$3460,7,0),"")</f>
        <v>2.0769</v>
      </c>
      <c r="H4490">
        <f>IFERROR(VLOOKUP($A4490,原始数据_利率互换_FR007_1年!$A$6:$C$4395,2,0),"")</f>
        <v>1.7004</v>
      </c>
      <c r="I4490">
        <f>IFERROR(VLOOKUP($A4490,原始数据_利率互换_FR007_1年!$A$6:$C$4395,3,0),"")</f>
        <v>2.0726</v>
      </c>
    </row>
    <row r="4491" spans="1:9">
      <c r="A4491" s="6">
        <v>43984</v>
      </c>
      <c r="B4491">
        <f>IFERROR(VLOOKUP($A4491,原始数据_收盘!$A$4:$G$3460,2,0),"")</f>
        <v>1.8534</v>
      </c>
      <c r="C4491">
        <f>IFERROR(VLOOKUP($A4491,原始数据_收盘!$A$4:$G$3460,3,0),"")</f>
        <v>2.2292</v>
      </c>
      <c r="D4491">
        <f>IFERROR(VLOOKUP($A4491,原始数据_收盘!$A$4:$G$3460,4,0),"")</f>
        <v>1.8577</v>
      </c>
      <c r="E4491">
        <f>IFERROR(VLOOKUP($A4491,原始数据_收盘!$A$4:$G$3460,5,0),"")</f>
        <v>2.2323</v>
      </c>
      <c r="F4491">
        <f>IFERROR(VLOOKUP($A4491,原始数据_收盘!$A$4:$G$3460,6,0),"")</f>
        <v>1.8556</v>
      </c>
      <c r="G4491">
        <f>IFERROR(VLOOKUP($A4491,原始数据_收盘!$A$4:$G$3460,7,0),"")</f>
        <v>2.2308</v>
      </c>
      <c r="H4491">
        <f>IFERROR(VLOOKUP($A4491,原始数据_利率互换_FR007_1年!$A$6:$C$4395,2,0),"")</f>
        <v>1.792</v>
      </c>
      <c r="I4491">
        <f>IFERROR(VLOOKUP($A4491,原始数据_利率互换_FR007_1年!$A$6:$C$4395,3,0),"")</f>
        <v>2.1656</v>
      </c>
    </row>
    <row r="4492" spans="1:9">
      <c r="A4492" s="6">
        <v>43985</v>
      </c>
      <c r="B4492">
        <f>IFERROR(VLOOKUP($A4492,原始数据_收盘!$A$4:$G$3460,2,0),"")</f>
        <v>1.865</v>
      </c>
      <c r="C4492">
        <f>IFERROR(VLOOKUP($A4492,原始数据_收盘!$A$4:$G$3460,3,0),"")</f>
        <v>2.2374</v>
      </c>
      <c r="D4492">
        <f>IFERROR(VLOOKUP($A4492,原始数据_收盘!$A$4:$G$3460,4,0),"")</f>
        <v>1.8825</v>
      </c>
      <c r="E4492">
        <f>IFERROR(VLOOKUP($A4492,原始数据_收盘!$A$4:$G$3460,5,0),"")</f>
        <v>2.24</v>
      </c>
      <c r="F4492">
        <f>IFERROR(VLOOKUP($A4492,原始数据_收盘!$A$4:$G$3460,6,0),"")</f>
        <v>1.8738</v>
      </c>
      <c r="G4492">
        <f>IFERROR(VLOOKUP($A4492,原始数据_收盘!$A$4:$G$3460,7,0),"")</f>
        <v>2.2387</v>
      </c>
      <c r="H4492">
        <f>IFERROR(VLOOKUP($A4492,原始数据_利率互换_FR007_1年!$A$6:$C$4395,2,0),"")</f>
        <v>1.9432</v>
      </c>
      <c r="I4492">
        <f>IFERROR(VLOOKUP($A4492,原始数据_利率互换_FR007_1年!$A$6:$C$4395,3,0),"")</f>
        <v>2.3015</v>
      </c>
    </row>
    <row r="4493" spans="1:9">
      <c r="A4493" s="6">
        <v>43986</v>
      </c>
      <c r="B4493">
        <f>IFERROR(VLOOKUP($A4493,原始数据_收盘!$A$4:$G$3460,2,0),"")</f>
        <v>2.0076</v>
      </c>
      <c r="C4493">
        <f>IFERROR(VLOOKUP($A4493,原始数据_收盘!$A$4:$G$3460,3,0),"")</f>
        <v>2.3693</v>
      </c>
      <c r="D4493">
        <f>IFERROR(VLOOKUP($A4493,原始数据_收盘!$A$4:$G$3460,4,0),"")</f>
        <v>2.0181</v>
      </c>
      <c r="E4493">
        <f>IFERROR(VLOOKUP($A4493,原始数据_收盘!$A$4:$G$3460,5,0),"")</f>
        <v>2.3773</v>
      </c>
      <c r="F4493">
        <f>IFERROR(VLOOKUP($A4493,原始数据_收盘!$A$4:$G$3460,6,0),"")</f>
        <v>2.0128</v>
      </c>
      <c r="G4493">
        <f>IFERROR(VLOOKUP($A4493,原始数据_收盘!$A$4:$G$3460,7,0),"")</f>
        <v>2.3733</v>
      </c>
      <c r="H4493">
        <f>IFERROR(VLOOKUP($A4493,原始数据_利率互换_FR007_1年!$A$6:$C$4395,2,0),"")</f>
        <v>1.9602</v>
      </c>
      <c r="I4493">
        <f>IFERROR(VLOOKUP($A4493,原始数据_利率互换_FR007_1年!$A$6:$C$4395,3,0),"")</f>
        <v>2.3098</v>
      </c>
    </row>
    <row r="4494" spans="1:9">
      <c r="A4494" s="6">
        <v>43987</v>
      </c>
      <c r="B4494">
        <f>IFERROR(VLOOKUP($A4494,原始数据_收盘!$A$4:$G$3460,2,0),"")</f>
        <v>1.9953</v>
      </c>
      <c r="C4494">
        <f>IFERROR(VLOOKUP($A4494,原始数据_收盘!$A$4:$G$3460,3,0),"")</f>
        <v>2.395</v>
      </c>
      <c r="D4494">
        <f>IFERROR(VLOOKUP($A4494,原始数据_收盘!$A$4:$G$3460,4,0),"")</f>
        <v>2.0002</v>
      </c>
      <c r="E4494">
        <f>IFERROR(VLOOKUP($A4494,原始数据_收盘!$A$4:$G$3460,5,0),"")</f>
        <v>2.405</v>
      </c>
      <c r="F4494">
        <f>IFERROR(VLOOKUP($A4494,原始数据_收盘!$A$4:$G$3460,6,0),"")</f>
        <v>1.9978</v>
      </c>
      <c r="G4494">
        <f>IFERROR(VLOOKUP($A4494,原始数据_收盘!$A$4:$G$3460,7,0),"")</f>
        <v>2.4</v>
      </c>
      <c r="H4494">
        <f>IFERROR(VLOOKUP($A4494,原始数据_利率互换_FR007_1年!$A$6:$C$4395,2,0),"")</f>
        <v>2.0027</v>
      </c>
      <c r="I4494">
        <f>IFERROR(VLOOKUP($A4494,原始数据_利率互换_FR007_1年!$A$6:$C$4395,3,0),"")</f>
        <v>2.3931</v>
      </c>
    </row>
    <row r="4495" spans="1:9">
      <c r="A4495" s="6">
        <v>43988</v>
      </c>
      <c r="B4495" t="str">
        <f>IFERROR(VLOOKUP($A4495,原始数据_收盘!$A$4:$G$3460,2,0),"")</f>
        <v/>
      </c>
      <c r="C4495" t="str">
        <f>IFERROR(VLOOKUP($A4495,原始数据_收盘!$A$4:$G$3460,3,0),"")</f>
        <v/>
      </c>
      <c r="D4495" t="str">
        <f>IFERROR(VLOOKUP($A4495,原始数据_收盘!$A$4:$G$3460,4,0),"")</f>
        <v/>
      </c>
      <c r="E4495" t="str">
        <f>IFERROR(VLOOKUP($A4495,原始数据_收盘!$A$4:$G$3460,5,0),"")</f>
        <v/>
      </c>
      <c r="F4495" t="str">
        <f>IFERROR(VLOOKUP($A4495,原始数据_收盘!$A$4:$G$3460,6,0),"")</f>
        <v/>
      </c>
      <c r="G4495" t="str">
        <f>IFERROR(VLOOKUP($A4495,原始数据_收盘!$A$4:$G$3460,7,0),"")</f>
        <v/>
      </c>
      <c r="H4495" t="str">
        <f>IFERROR(VLOOKUP($A4495,原始数据_利率互换_FR007_1年!$A$6:$C$4395,2,0),"")</f>
        <v/>
      </c>
      <c r="I4495" t="str">
        <f>IFERROR(VLOOKUP($A4495,原始数据_利率互换_FR007_1年!$A$6:$C$4395,3,0),"")</f>
        <v/>
      </c>
    </row>
    <row r="4496" spans="1:9">
      <c r="A4496" s="6">
        <v>43989</v>
      </c>
      <c r="B4496" t="str">
        <f>IFERROR(VLOOKUP($A4496,原始数据_收盘!$A$4:$G$3460,2,0),"")</f>
        <v/>
      </c>
      <c r="C4496" t="str">
        <f>IFERROR(VLOOKUP($A4496,原始数据_收盘!$A$4:$G$3460,3,0),"")</f>
        <v/>
      </c>
      <c r="D4496" t="str">
        <f>IFERROR(VLOOKUP($A4496,原始数据_收盘!$A$4:$G$3460,4,0),"")</f>
        <v/>
      </c>
      <c r="E4496" t="str">
        <f>IFERROR(VLOOKUP($A4496,原始数据_收盘!$A$4:$G$3460,5,0),"")</f>
        <v/>
      </c>
      <c r="F4496" t="str">
        <f>IFERROR(VLOOKUP($A4496,原始数据_收盘!$A$4:$G$3460,6,0),"")</f>
        <v/>
      </c>
      <c r="G4496" t="str">
        <f>IFERROR(VLOOKUP($A4496,原始数据_收盘!$A$4:$G$3460,7,0),"")</f>
        <v/>
      </c>
      <c r="H4496" t="str">
        <f>IFERROR(VLOOKUP($A4496,原始数据_利率互换_FR007_1年!$A$6:$C$4395,2,0),"")</f>
        <v/>
      </c>
      <c r="I4496" t="str">
        <f>IFERROR(VLOOKUP($A4496,原始数据_利率互换_FR007_1年!$A$6:$C$4395,3,0),"")</f>
        <v/>
      </c>
    </row>
    <row r="4497" spans="1:9">
      <c r="A4497" s="6">
        <v>43990</v>
      </c>
      <c r="B4497">
        <f>IFERROR(VLOOKUP($A4497,原始数据_收盘!$A$4:$G$3460,2,0),"")</f>
        <v>1.9775</v>
      </c>
      <c r="C4497">
        <f>IFERROR(VLOOKUP($A4497,原始数据_收盘!$A$4:$G$3460,3,0),"")</f>
        <v>2.35</v>
      </c>
      <c r="D4497">
        <f>IFERROR(VLOOKUP($A4497,原始数据_收盘!$A$4:$G$3460,4,0),"")</f>
        <v>1.9825</v>
      </c>
      <c r="E4497">
        <f>IFERROR(VLOOKUP($A4497,原始数据_收盘!$A$4:$G$3460,5,0),"")</f>
        <v>2.3557</v>
      </c>
      <c r="F4497">
        <f>IFERROR(VLOOKUP($A4497,原始数据_收盘!$A$4:$G$3460,6,0),"")</f>
        <v>1.98</v>
      </c>
      <c r="G4497">
        <f>IFERROR(VLOOKUP($A4497,原始数据_收盘!$A$4:$G$3460,7,0),"")</f>
        <v>2.3528</v>
      </c>
      <c r="H4497">
        <f>IFERROR(VLOOKUP($A4497,原始数据_利率互换_FR007_1年!$A$6:$C$4395,2,0),"")</f>
        <v>1.9907</v>
      </c>
      <c r="I4497">
        <f>IFERROR(VLOOKUP($A4497,原始数据_利率互换_FR007_1年!$A$6:$C$4395,3,0),"")</f>
        <v>2.3886</v>
      </c>
    </row>
    <row r="4498" spans="1:9">
      <c r="A4498" s="6">
        <v>43991</v>
      </c>
      <c r="B4498">
        <f>IFERROR(VLOOKUP($A4498,原始数据_收盘!$A$4:$G$3460,2,0),"")</f>
        <v>1.9514</v>
      </c>
      <c r="C4498">
        <f>IFERROR(VLOOKUP($A4498,原始数据_收盘!$A$4:$G$3460,3,0),"")</f>
        <v>2.3315</v>
      </c>
      <c r="D4498">
        <f>IFERROR(VLOOKUP($A4498,原始数据_收盘!$A$4:$G$3460,4,0),"")</f>
        <v>1.9643</v>
      </c>
      <c r="E4498">
        <f>IFERROR(VLOOKUP($A4498,原始数据_收盘!$A$4:$G$3460,5,0),"")</f>
        <v>2.3344</v>
      </c>
      <c r="F4498">
        <f>IFERROR(VLOOKUP($A4498,原始数据_收盘!$A$4:$G$3460,6,0),"")</f>
        <v>1.9579</v>
      </c>
      <c r="G4498">
        <f>IFERROR(VLOOKUP($A4498,原始数据_收盘!$A$4:$G$3460,7,0),"")</f>
        <v>2.3329</v>
      </c>
      <c r="H4498">
        <f>IFERROR(VLOOKUP($A4498,原始数据_利率互换_FR007_1年!$A$6:$C$4395,2,0),"")</f>
        <v>1.9613</v>
      </c>
      <c r="I4498">
        <f>IFERROR(VLOOKUP($A4498,原始数据_利率互换_FR007_1年!$A$6:$C$4395,3,0),"")</f>
        <v>2.3255</v>
      </c>
    </row>
    <row r="4499" spans="1:9">
      <c r="A4499" s="6">
        <v>43992</v>
      </c>
      <c r="B4499">
        <f>IFERROR(VLOOKUP($A4499,原始数据_收盘!$A$4:$G$3460,2,0),"")</f>
        <v>2.0071</v>
      </c>
      <c r="C4499">
        <f>IFERROR(VLOOKUP($A4499,原始数据_收盘!$A$4:$G$3460,3,0),"")</f>
        <v>2.3604</v>
      </c>
      <c r="D4499">
        <f>IFERROR(VLOOKUP($A4499,原始数据_收盘!$A$4:$G$3460,4,0),"")</f>
        <v>2.0146</v>
      </c>
      <c r="E4499">
        <f>IFERROR(VLOOKUP($A4499,原始数据_收盘!$A$4:$G$3460,5,0),"")</f>
        <v>2.3656</v>
      </c>
      <c r="F4499">
        <f>IFERROR(VLOOKUP($A4499,原始数据_收盘!$A$4:$G$3460,6,0),"")</f>
        <v>2.0109</v>
      </c>
      <c r="G4499">
        <f>IFERROR(VLOOKUP($A4499,原始数据_收盘!$A$4:$G$3460,7,0),"")</f>
        <v>2.363</v>
      </c>
      <c r="H4499">
        <f>IFERROR(VLOOKUP($A4499,原始数据_利率互换_FR007_1年!$A$6:$C$4395,2,0),"")</f>
        <v>1.9878</v>
      </c>
      <c r="I4499">
        <f>IFERROR(VLOOKUP($A4499,原始数据_利率互换_FR007_1年!$A$6:$C$4395,3,0),"")</f>
        <v>2.3452</v>
      </c>
    </row>
    <row r="4500" spans="1:9">
      <c r="A4500" s="6">
        <v>43993</v>
      </c>
      <c r="B4500">
        <f>IFERROR(VLOOKUP($A4500,原始数据_收盘!$A$4:$G$3460,2,0),"")</f>
        <v>1.9848</v>
      </c>
      <c r="C4500">
        <f>IFERROR(VLOOKUP($A4500,原始数据_收盘!$A$4:$G$3460,3,0),"")</f>
        <v>2.3017</v>
      </c>
      <c r="D4500">
        <f>IFERROR(VLOOKUP($A4500,原始数据_收盘!$A$4:$G$3460,4,0),"")</f>
        <v>1.99</v>
      </c>
      <c r="E4500">
        <f>IFERROR(VLOOKUP($A4500,原始数据_收盘!$A$4:$G$3460,5,0),"")</f>
        <v>2.305</v>
      </c>
      <c r="F4500">
        <f>IFERROR(VLOOKUP($A4500,原始数据_收盘!$A$4:$G$3460,6,0),"")</f>
        <v>1.9874</v>
      </c>
      <c r="G4500">
        <f>IFERROR(VLOOKUP($A4500,原始数据_收盘!$A$4:$G$3460,7,0),"")</f>
        <v>2.3033</v>
      </c>
      <c r="H4500">
        <f>IFERROR(VLOOKUP($A4500,原始数据_利率互换_FR007_1年!$A$6:$C$4395,2,0),"")</f>
        <v>1.9996</v>
      </c>
      <c r="I4500">
        <f>IFERROR(VLOOKUP($A4500,原始数据_利率互换_FR007_1年!$A$6:$C$4395,3,0),"")</f>
        <v>2.328</v>
      </c>
    </row>
    <row r="4501" spans="1:9">
      <c r="A4501" s="6">
        <v>43994</v>
      </c>
      <c r="B4501">
        <f>IFERROR(VLOOKUP($A4501,原始数据_收盘!$A$4:$G$3460,2,0),"")</f>
        <v>1.9613</v>
      </c>
      <c r="C4501">
        <f>IFERROR(VLOOKUP($A4501,原始数据_收盘!$A$4:$G$3460,3,0),"")</f>
        <v>2.28</v>
      </c>
      <c r="D4501">
        <f>IFERROR(VLOOKUP($A4501,原始数据_收盘!$A$4:$G$3460,4,0),"")</f>
        <v>1.965</v>
      </c>
      <c r="E4501">
        <f>IFERROR(VLOOKUP($A4501,原始数据_收盘!$A$4:$G$3460,5,0),"")</f>
        <v>2.2825</v>
      </c>
      <c r="F4501">
        <f>IFERROR(VLOOKUP($A4501,原始数据_收盘!$A$4:$G$3460,6,0),"")</f>
        <v>1.9632</v>
      </c>
      <c r="G4501">
        <f>IFERROR(VLOOKUP($A4501,原始数据_收盘!$A$4:$G$3460,7,0),"")</f>
        <v>2.2813</v>
      </c>
      <c r="H4501">
        <f>IFERROR(VLOOKUP($A4501,原始数据_利率互换_FR007_1年!$A$6:$C$4395,2,0),"")</f>
        <v>1.964</v>
      </c>
      <c r="I4501">
        <f>IFERROR(VLOOKUP($A4501,原始数据_利率互换_FR007_1年!$A$6:$C$4395,3,0),"")</f>
        <v>2.2724</v>
      </c>
    </row>
    <row r="4502" spans="1:9">
      <c r="A4502" s="6">
        <v>43995</v>
      </c>
      <c r="B4502" t="str">
        <f>IFERROR(VLOOKUP($A4502,原始数据_收盘!$A$4:$G$3460,2,0),"")</f>
        <v/>
      </c>
      <c r="C4502" t="str">
        <f>IFERROR(VLOOKUP($A4502,原始数据_收盘!$A$4:$G$3460,3,0),"")</f>
        <v/>
      </c>
      <c r="D4502" t="str">
        <f>IFERROR(VLOOKUP($A4502,原始数据_收盘!$A$4:$G$3460,4,0),"")</f>
        <v/>
      </c>
      <c r="E4502" t="str">
        <f>IFERROR(VLOOKUP($A4502,原始数据_收盘!$A$4:$G$3460,5,0),"")</f>
        <v/>
      </c>
      <c r="F4502" t="str">
        <f>IFERROR(VLOOKUP($A4502,原始数据_收盘!$A$4:$G$3460,6,0),"")</f>
        <v/>
      </c>
      <c r="G4502" t="str">
        <f>IFERROR(VLOOKUP($A4502,原始数据_收盘!$A$4:$G$3460,7,0),"")</f>
        <v/>
      </c>
      <c r="H4502" t="str">
        <f>IFERROR(VLOOKUP($A4502,原始数据_利率互换_FR007_1年!$A$6:$C$4395,2,0),"")</f>
        <v/>
      </c>
      <c r="I4502" t="str">
        <f>IFERROR(VLOOKUP($A4502,原始数据_利率互换_FR007_1年!$A$6:$C$4395,3,0),"")</f>
        <v/>
      </c>
    </row>
    <row r="4503" spans="1:9">
      <c r="A4503" s="6">
        <v>43996</v>
      </c>
      <c r="B4503" t="str">
        <f>IFERROR(VLOOKUP($A4503,原始数据_收盘!$A$4:$G$3460,2,0),"")</f>
        <v/>
      </c>
      <c r="C4503" t="str">
        <f>IFERROR(VLOOKUP($A4503,原始数据_收盘!$A$4:$G$3460,3,0),"")</f>
        <v/>
      </c>
      <c r="D4503" t="str">
        <f>IFERROR(VLOOKUP($A4503,原始数据_收盘!$A$4:$G$3460,4,0),"")</f>
        <v/>
      </c>
      <c r="E4503" t="str">
        <f>IFERROR(VLOOKUP($A4503,原始数据_收盘!$A$4:$G$3460,5,0),"")</f>
        <v/>
      </c>
      <c r="F4503" t="str">
        <f>IFERROR(VLOOKUP($A4503,原始数据_收盘!$A$4:$G$3460,6,0),"")</f>
        <v/>
      </c>
      <c r="G4503" t="str">
        <f>IFERROR(VLOOKUP($A4503,原始数据_收盘!$A$4:$G$3460,7,0),"")</f>
        <v/>
      </c>
      <c r="H4503" t="str">
        <f>IFERROR(VLOOKUP($A4503,原始数据_利率互换_FR007_1年!$A$6:$C$4395,2,0),"")</f>
        <v/>
      </c>
      <c r="I4503" t="str">
        <f>IFERROR(VLOOKUP($A4503,原始数据_利率互换_FR007_1年!$A$6:$C$4395,3,0),"")</f>
        <v/>
      </c>
    </row>
    <row r="4504" spans="1:9">
      <c r="A4504" s="6">
        <v>43997</v>
      </c>
      <c r="B4504">
        <f>IFERROR(VLOOKUP($A4504,原始数据_收盘!$A$4:$G$3460,2,0),"")</f>
        <v>1.9273</v>
      </c>
      <c r="C4504">
        <f>IFERROR(VLOOKUP($A4504,原始数据_收盘!$A$4:$G$3460,3,0),"")</f>
        <v>2.2743</v>
      </c>
      <c r="D4504">
        <f>IFERROR(VLOOKUP($A4504,原始数据_收盘!$A$4:$G$3460,4,0),"")</f>
        <v>1.9361</v>
      </c>
      <c r="E4504">
        <f>IFERROR(VLOOKUP($A4504,原始数据_收盘!$A$4:$G$3460,5,0),"")</f>
        <v>2.2788</v>
      </c>
      <c r="F4504">
        <f>IFERROR(VLOOKUP($A4504,原始数据_收盘!$A$4:$G$3460,6,0),"")</f>
        <v>1.9317</v>
      </c>
      <c r="G4504">
        <f>IFERROR(VLOOKUP($A4504,原始数据_收盘!$A$4:$G$3460,7,0),"")</f>
        <v>2.2765</v>
      </c>
      <c r="H4504">
        <f>IFERROR(VLOOKUP($A4504,原始数据_利率互换_FR007_1年!$A$6:$C$4395,2,0),"")</f>
        <v>1.9271</v>
      </c>
      <c r="I4504">
        <f>IFERROR(VLOOKUP($A4504,原始数据_利率互换_FR007_1年!$A$6:$C$4395,3,0),"")</f>
        <v>2.2571</v>
      </c>
    </row>
    <row r="4505" spans="1:9">
      <c r="A4505" s="6">
        <v>43998</v>
      </c>
      <c r="B4505">
        <f>IFERROR(VLOOKUP($A4505,原始数据_收盘!$A$4:$G$3460,2,0),"")</f>
        <v>1.9743</v>
      </c>
      <c r="C4505">
        <f>IFERROR(VLOOKUP($A4505,原始数据_收盘!$A$4:$G$3460,3,0),"")</f>
        <v>2.3352</v>
      </c>
      <c r="D4505">
        <f>IFERROR(VLOOKUP($A4505,原始数据_收盘!$A$4:$G$3460,4,0),"")</f>
        <v>1.984</v>
      </c>
      <c r="E4505">
        <f>IFERROR(VLOOKUP($A4505,原始数据_收盘!$A$4:$G$3460,5,0),"")</f>
        <v>2.3395</v>
      </c>
      <c r="F4505">
        <f>IFERROR(VLOOKUP($A4505,原始数据_收盘!$A$4:$G$3460,6,0),"")</f>
        <v>1.9792</v>
      </c>
      <c r="G4505">
        <f>IFERROR(VLOOKUP($A4505,原始数据_收盘!$A$4:$G$3460,7,0),"")</f>
        <v>2.3373</v>
      </c>
      <c r="H4505">
        <f>IFERROR(VLOOKUP($A4505,原始数据_利率互换_FR007_1年!$A$6:$C$4395,2,0),"")</f>
        <v>1.9694</v>
      </c>
      <c r="I4505">
        <f>IFERROR(VLOOKUP($A4505,原始数据_利率互换_FR007_1年!$A$6:$C$4395,3,0),"")</f>
        <v>2.3251</v>
      </c>
    </row>
    <row r="4506" spans="1:9">
      <c r="A4506" s="6">
        <v>43999</v>
      </c>
      <c r="B4506">
        <f>IFERROR(VLOOKUP($A4506,原始数据_收盘!$A$4:$G$3460,2,0),"")</f>
        <v>2.0546</v>
      </c>
      <c r="C4506">
        <f>IFERROR(VLOOKUP($A4506,原始数据_收盘!$A$4:$G$3460,3,0),"")</f>
        <v>2.3784</v>
      </c>
      <c r="D4506">
        <f>IFERROR(VLOOKUP($A4506,原始数据_收盘!$A$4:$G$3460,4,0),"")</f>
        <v>2.0575</v>
      </c>
      <c r="E4506">
        <f>IFERROR(VLOOKUP($A4506,原始数据_收盘!$A$4:$G$3460,5,0),"")</f>
        <v>2.3828</v>
      </c>
      <c r="F4506">
        <f>IFERROR(VLOOKUP($A4506,原始数据_收盘!$A$4:$G$3460,6,0),"")</f>
        <v>2.056</v>
      </c>
      <c r="G4506">
        <f>IFERROR(VLOOKUP($A4506,原始数据_收盘!$A$4:$G$3460,7,0),"")</f>
        <v>2.3806</v>
      </c>
      <c r="H4506">
        <f>IFERROR(VLOOKUP($A4506,原始数据_利率互换_FR007_1年!$A$6:$C$4395,2,0),"")</f>
        <v>2.0322</v>
      </c>
      <c r="I4506">
        <f>IFERROR(VLOOKUP($A4506,原始数据_利率互换_FR007_1年!$A$6:$C$4395,3,0),"")</f>
        <v>2.3558</v>
      </c>
    </row>
    <row r="4507" spans="1:9">
      <c r="A4507" s="6">
        <v>44000</v>
      </c>
      <c r="B4507">
        <f>IFERROR(VLOOKUP($A4507,原始数据_收盘!$A$4:$G$3460,2,0),"")</f>
        <v>2.035</v>
      </c>
      <c r="C4507">
        <f>IFERROR(VLOOKUP($A4507,原始数据_收盘!$A$4:$G$3460,3,0),"")</f>
        <v>2.3525</v>
      </c>
      <c r="D4507">
        <f>IFERROR(VLOOKUP($A4507,原始数据_收盘!$A$4:$G$3460,4,0),"")</f>
        <v>2.055</v>
      </c>
      <c r="E4507">
        <f>IFERROR(VLOOKUP($A4507,原始数据_收盘!$A$4:$G$3460,5,0),"")</f>
        <v>2.3613</v>
      </c>
      <c r="F4507">
        <f>IFERROR(VLOOKUP($A4507,原始数据_收盘!$A$4:$G$3460,6,0),"")</f>
        <v>2.045</v>
      </c>
      <c r="G4507">
        <f>IFERROR(VLOOKUP($A4507,原始数据_收盘!$A$4:$G$3460,7,0),"")</f>
        <v>2.3569</v>
      </c>
      <c r="H4507">
        <f>IFERROR(VLOOKUP($A4507,原始数据_利率互换_FR007_1年!$A$6:$C$4395,2,0),"")</f>
        <v>2.0541</v>
      </c>
      <c r="I4507">
        <f>IFERROR(VLOOKUP($A4507,原始数据_利率互换_FR007_1年!$A$6:$C$4395,3,0),"")</f>
        <v>2.3532</v>
      </c>
    </row>
    <row r="4508" spans="1:9">
      <c r="A4508" s="6">
        <v>44001</v>
      </c>
      <c r="B4508">
        <f>IFERROR(VLOOKUP($A4508,原始数据_收盘!$A$4:$G$3460,2,0),"")</f>
        <v>2.0725</v>
      </c>
      <c r="C4508">
        <f>IFERROR(VLOOKUP($A4508,原始数据_收盘!$A$4:$G$3460,3,0),"")</f>
        <v>2.3792</v>
      </c>
      <c r="D4508">
        <f>IFERROR(VLOOKUP($A4508,原始数据_收盘!$A$4:$G$3460,4,0),"")</f>
        <v>2.0775</v>
      </c>
      <c r="E4508">
        <f>IFERROR(VLOOKUP($A4508,原始数据_收盘!$A$4:$G$3460,5,0),"")</f>
        <v>2.3825</v>
      </c>
      <c r="F4508">
        <f>IFERROR(VLOOKUP($A4508,原始数据_收盘!$A$4:$G$3460,6,0),"")</f>
        <v>2.075</v>
      </c>
      <c r="G4508">
        <f>IFERROR(VLOOKUP($A4508,原始数据_收盘!$A$4:$G$3460,7,0),"")</f>
        <v>2.3808</v>
      </c>
      <c r="H4508">
        <f>IFERROR(VLOOKUP($A4508,原始数据_利率互换_FR007_1年!$A$6:$C$4395,2,0),"")</f>
        <v>2.0662</v>
      </c>
      <c r="I4508">
        <f>IFERROR(VLOOKUP($A4508,原始数据_利率互换_FR007_1年!$A$6:$C$4395,3,0),"")</f>
        <v>2.3758</v>
      </c>
    </row>
    <row r="4509" spans="1:9">
      <c r="A4509" s="6">
        <v>44002</v>
      </c>
      <c r="B4509" t="str">
        <f>IFERROR(VLOOKUP($A4509,原始数据_收盘!$A$4:$G$3460,2,0),"")</f>
        <v/>
      </c>
      <c r="C4509" t="str">
        <f>IFERROR(VLOOKUP($A4509,原始数据_收盘!$A$4:$G$3460,3,0),"")</f>
        <v/>
      </c>
      <c r="D4509" t="str">
        <f>IFERROR(VLOOKUP($A4509,原始数据_收盘!$A$4:$G$3460,4,0),"")</f>
        <v/>
      </c>
      <c r="E4509" t="str">
        <f>IFERROR(VLOOKUP($A4509,原始数据_收盘!$A$4:$G$3460,5,0),"")</f>
        <v/>
      </c>
      <c r="F4509" t="str">
        <f>IFERROR(VLOOKUP($A4509,原始数据_收盘!$A$4:$G$3460,6,0),"")</f>
        <v/>
      </c>
      <c r="G4509" t="str">
        <f>IFERROR(VLOOKUP($A4509,原始数据_收盘!$A$4:$G$3460,7,0),"")</f>
        <v/>
      </c>
      <c r="H4509" t="str">
        <f>IFERROR(VLOOKUP($A4509,原始数据_利率互换_FR007_1年!$A$6:$C$4395,2,0),"")</f>
        <v/>
      </c>
      <c r="I4509" t="str">
        <f>IFERROR(VLOOKUP($A4509,原始数据_利率互换_FR007_1年!$A$6:$C$4395,3,0),"")</f>
        <v/>
      </c>
    </row>
    <row r="4510" spans="1:9">
      <c r="A4510" s="6">
        <v>44003</v>
      </c>
      <c r="B4510" t="str">
        <f>IFERROR(VLOOKUP($A4510,原始数据_收盘!$A$4:$G$3460,2,0),"")</f>
        <v/>
      </c>
      <c r="C4510" t="str">
        <f>IFERROR(VLOOKUP($A4510,原始数据_收盘!$A$4:$G$3460,3,0),"")</f>
        <v/>
      </c>
      <c r="D4510" t="str">
        <f>IFERROR(VLOOKUP($A4510,原始数据_收盘!$A$4:$G$3460,4,0),"")</f>
        <v/>
      </c>
      <c r="E4510" t="str">
        <f>IFERROR(VLOOKUP($A4510,原始数据_收盘!$A$4:$G$3460,5,0),"")</f>
        <v/>
      </c>
      <c r="F4510" t="str">
        <f>IFERROR(VLOOKUP($A4510,原始数据_收盘!$A$4:$G$3460,6,0),"")</f>
        <v/>
      </c>
      <c r="G4510" t="str">
        <f>IFERROR(VLOOKUP($A4510,原始数据_收盘!$A$4:$G$3460,7,0),"")</f>
        <v/>
      </c>
      <c r="H4510" t="str">
        <f>IFERROR(VLOOKUP($A4510,原始数据_利率互换_FR007_1年!$A$6:$C$4395,2,0),"")</f>
        <v/>
      </c>
      <c r="I4510" t="str">
        <f>IFERROR(VLOOKUP($A4510,原始数据_利率互换_FR007_1年!$A$6:$C$4395,3,0),"")</f>
        <v/>
      </c>
    </row>
    <row r="4511" spans="1:9">
      <c r="A4511" s="6">
        <v>44004</v>
      </c>
      <c r="B4511">
        <f>IFERROR(VLOOKUP($A4511,原始数据_收盘!$A$4:$G$3460,2,0),"")</f>
        <v>2.1625</v>
      </c>
      <c r="C4511">
        <f>IFERROR(VLOOKUP($A4511,原始数据_收盘!$A$4:$G$3460,3,0),"")</f>
        <v>2.4639</v>
      </c>
      <c r="D4511">
        <f>IFERROR(VLOOKUP($A4511,原始数据_收盘!$A$4:$G$3460,4,0),"")</f>
        <v>2.175</v>
      </c>
      <c r="E4511">
        <f>IFERROR(VLOOKUP($A4511,原始数据_收盘!$A$4:$G$3460,5,0),"")</f>
        <v>2.4676</v>
      </c>
      <c r="F4511">
        <f>IFERROR(VLOOKUP($A4511,原始数据_收盘!$A$4:$G$3460,6,0),"")</f>
        <v>2.1688</v>
      </c>
      <c r="G4511">
        <f>IFERROR(VLOOKUP($A4511,原始数据_收盘!$A$4:$G$3460,7,0),"")</f>
        <v>2.4658</v>
      </c>
      <c r="H4511">
        <f>IFERROR(VLOOKUP($A4511,原始数据_利率互换_FR007_1年!$A$6:$C$4395,2,0),"")</f>
        <v>2.1206</v>
      </c>
      <c r="I4511">
        <f>IFERROR(VLOOKUP($A4511,原始数据_利率互换_FR007_1年!$A$6:$C$4395,3,0),"")</f>
        <v>2.4159</v>
      </c>
    </row>
    <row r="4512" spans="1:9">
      <c r="A4512" s="6">
        <v>44005</v>
      </c>
      <c r="B4512">
        <f>IFERROR(VLOOKUP($A4512,原始数据_收盘!$A$4:$G$3460,2,0),"")</f>
        <v>2.1525</v>
      </c>
      <c r="C4512">
        <f>IFERROR(VLOOKUP($A4512,原始数据_收盘!$A$4:$G$3460,3,0),"")</f>
        <v>2.4583</v>
      </c>
      <c r="D4512">
        <f>IFERROR(VLOOKUP($A4512,原始数据_收盘!$A$4:$G$3460,4,0),"")</f>
        <v>2.1558</v>
      </c>
      <c r="E4512">
        <f>IFERROR(VLOOKUP($A4512,原始数据_收盘!$A$4:$G$3460,5,0),"")</f>
        <v>2.4635</v>
      </c>
      <c r="F4512">
        <f>IFERROR(VLOOKUP($A4512,原始数据_收盘!$A$4:$G$3460,6,0),"")</f>
        <v>2.1541</v>
      </c>
      <c r="G4512">
        <f>IFERROR(VLOOKUP($A4512,原始数据_收盘!$A$4:$G$3460,7,0),"")</f>
        <v>2.4609</v>
      </c>
      <c r="H4512">
        <f>IFERROR(VLOOKUP($A4512,原始数据_利率互换_FR007_1年!$A$6:$C$4395,2,0),"")</f>
        <v>2.1844</v>
      </c>
      <c r="I4512">
        <f>IFERROR(VLOOKUP($A4512,原始数据_利率互换_FR007_1年!$A$6:$C$4395,3,0),"")</f>
        <v>2.4998</v>
      </c>
    </row>
    <row r="4513" spans="1:9">
      <c r="A4513" s="6">
        <v>44006</v>
      </c>
      <c r="B4513">
        <f>IFERROR(VLOOKUP($A4513,原始数据_收盘!$A$4:$G$3460,2,0),"")</f>
        <v>2.1025</v>
      </c>
      <c r="C4513">
        <f>IFERROR(VLOOKUP($A4513,原始数据_收盘!$A$4:$G$3460,3,0),"")</f>
        <v>2.3995</v>
      </c>
      <c r="D4513">
        <f>IFERROR(VLOOKUP($A4513,原始数据_收盘!$A$4:$G$3460,4,0),"")</f>
        <v>2.105</v>
      </c>
      <c r="E4513">
        <f>IFERROR(VLOOKUP($A4513,原始数据_收盘!$A$4:$G$3460,5,0),"")</f>
        <v>2.402</v>
      </c>
      <c r="F4513">
        <f>IFERROR(VLOOKUP($A4513,原始数据_收盘!$A$4:$G$3460,6,0),"")</f>
        <v>2.1038</v>
      </c>
      <c r="G4513">
        <f>IFERROR(VLOOKUP($A4513,原始数据_收盘!$A$4:$G$3460,7,0),"")</f>
        <v>2.4007</v>
      </c>
      <c r="H4513">
        <f>IFERROR(VLOOKUP($A4513,原始数据_利率互换_FR007_1年!$A$6:$C$4395,2,0),"")</f>
        <v>2.1107</v>
      </c>
      <c r="I4513">
        <f>IFERROR(VLOOKUP($A4513,原始数据_利率互换_FR007_1年!$A$6:$C$4395,3,0),"")</f>
        <v>2.4272</v>
      </c>
    </row>
    <row r="4514" spans="1:9">
      <c r="A4514" s="6">
        <v>44007</v>
      </c>
      <c r="B4514" t="str">
        <f>IFERROR(VLOOKUP($A4514,原始数据_收盘!$A$4:$G$3460,2,0),"")</f>
        <v/>
      </c>
      <c r="C4514" t="str">
        <f>IFERROR(VLOOKUP($A4514,原始数据_收盘!$A$4:$G$3460,3,0),"")</f>
        <v/>
      </c>
      <c r="D4514" t="str">
        <f>IFERROR(VLOOKUP($A4514,原始数据_收盘!$A$4:$G$3460,4,0),"")</f>
        <v/>
      </c>
      <c r="E4514" t="str">
        <f>IFERROR(VLOOKUP($A4514,原始数据_收盘!$A$4:$G$3460,5,0),"")</f>
        <v/>
      </c>
      <c r="F4514" t="str">
        <f>IFERROR(VLOOKUP($A4514,原始数据_收盘!$A$4:$G$3460,6,0),"")</f>
        <v/>
      </c>
      <c r="G4514" t="str">
        <f>IFERROR(VLOOKUP($A4514,原始数据_收盘!$A$4:$G$3460,7,0),"")</f>
        <v/>
      </c>
      <c r="H4514" t="str">
        <f>IFERROR(VLOOKUP($A4514,原始数据_利率互换_FR007_1年!$A$6:$C$4395,2,0),"")</f>
        <v/>
      </c>
      <c r="I4514" t="str">
        <f>IFERROR(VLOOKUP($A4514,原始数据_利率互换_FR007_1年!$A$6:$C$4395,3,0),"")</f>
        <v/>
      </c>
    </row>
    <row r="4515" spans="1:9">
      <c r="A4515" s="6">
        <v>44008</v>
      </c>
      <c r="B4515" t="str">
        <f>IFERROR(VLOOKUP($A4515,原始数据_收盘!$A$4:$G$3460,2,0),"")</f>
        <v/>
      </c>
      <c r="C4515" t="str">
        <f>IFERROR(VLOOKUP($A4515,原始数据_收盘!$A$4:$G$3460,3,0),"")</f>
        <v/>
      </c>
      <c r="D4515" t="str">
        <f>IFERROR(VLOOKUP($A4515,原始数据_收盘!$A$4:$G$3460,4,0),"")</f>
        <v/>
      </c>
      <c r="E4515" t="str">
        <f>IFERROR(VLOOKUP($A4515,原始数据_收盘!$A$4:$G$3460,5,0),"")</f>
        <v/>
      </c>
      <c r="F4515" t="str">
        <f>IFERROR(VLOOKUP($A4515,原始数据_收盘!$A$4:$G$3460,6,0),"")</f>
        <v/>
      </c>
      <c r="G4515" t="str">
        <f>IFERROR(VLOOKUP($A4515,原始数据_收盘!$A$4:$G$3460,7,0),"")</f>
        <v/>
      </c>
      <c r="H4515" t="str">
        <f>IFERROR(VLOOKUP($A4515,原始数据_利率互换_FR007_1年!$A$6:$C$4395,2,0),"")</f>
        <v/>
      </c>
      <c r="I4515" t="str">
        <f>IFERROR(VLOOKUP($A4515,原始数据_利率互换_FR007_1年!$A$6:$C$4395,3,0),"")</f>
        <v/>
      </c>
    </row>
    <row r="4516" spans="1:9">
      <c r="A4516" s="6">
        <v>44009</v>
      </c>
      <c r="B4516" t="str">
        <f>IFERROR(VLOOKUP($A4516,原始数据_收盘!$A$4:$G$3460,2,0),"")</f>
        <v/>
      </c>
      <c r="C4516" t="str">
        <f>IFERROR(VLOOKUP($A4516,原始数据_收盘!$A$4:$G$3460,3,0),"")</f>
        <v/>
      </c>
      <c r="D4516" t="str">
        <f>IFERROR(VLOOKUP($A4516,原始数据_收盘!$A$4:$G$3460,4,0),"")</f>
        <v/>
      </c>
      <c r="E4516" t="str">
        <f>IFERROR(VLOOKUP($A4516,原始数据_收盘!$A$4:$G$3460,5,0),"")</f>
        <v/>
      </c>
      <c r="F4516" t="str">
        <f>IFERROR(VLOOKUP($A4516,原始数据_收盘!$A$4:$G$3460,6,0),"")</f>
        <v/>
      </c>
      <c r="G4516" t="str">
        <f>IFERROR(VLOOKUP($A4516,原始数据_收盘!$A$4:$G$3460,7,0),"")</f>
        <v/>
      </c>
      <c r="H4516" t="str">
        <f>IFERROR(VLOOKUP($A4516,原始数据_利率互换_FR007_1年!$A$6:$C$4395,2,0),"")</f>
        <v/>
      </c>
      <c r="I4516" t="str">
        <f>IFERROR(VLOOKUP($A4516,原始数据_利率互换_FR007_1年!$A$6:$C$4395,3,0),"")</f>
        <v/>
      </c>
    </row>
    <row r="4517" spans="1:9">
      <c r="A4517" s="6">
        <v>44010</v>
      </c>
      <c r="B4517">
        <f>IFERROR(VLOOKUP($A4517,原始数据_收盘!$A$4:$G$3460,2,0),"")</f>
        <v>2.075</v>
      </c>
      <c r="C4517">
        <f>IFERROR(VLOOKUP($A4517,原始数据_收盘!$A$4:$G$3460,3,0),"")</f>
        <v>2.375</v>
      </c>
      <c r="D4517">
        <f>IFERROR(VLOOKUP($A4517,原始数据_收盘!$A$4:$G$3460,4,0),"")</f>
        <v>2.11</v>
      </c>
      <c r="E4517">
        <f>IFERROR(VLOOKUP($A4517,原始数据_收盘!$A$4:$G$3460,5,0),"")</f>
        <v>2.4025</v>
      </c>
      <c r="F4517">
        <f>IFERROR(VLOOKUP($A4517,原始数据_收盘!$A$4:$G$3460,6,0),"")</f>
        <v>2.0925</v>
      </c>
      <c r="G4517">
        <f>IFERROR(VLOOKUP($A4517,原始数据_收盘!$A$4:$G$3460,7,0),"")</f>
        <v>2.3888</v>
      </c>
      <c r="H4517">
        <f>IFERROR(VLOOKUP($A4517,原始数据_利率互换_FR007_1年!$A$6:$C$4395,2,0),"")</f>
        <v>0</v>
      </c>
      <c r="I4517">
        <f>IFERROR(VLOOKUP($A4517,原始数据_利率互换_FR007_1年!$A$6:$C$4395,3,0),"")</f>
        <v>2.404</v>
      </c>
    </row>
    <row r="4518" spans="1:9">
      <c r="A4518" s="6">
        <v>44011</v>
      </c>
      <c r="B4518">
        <f>IFERROR(VLOOKUP($A4518,原始数据_收盘!$A$4:$G$3460,2,0),"")</f>
        <v>2.12</v>
      </c>
      <c r="C4518">
        <f>IFERROR(VLOOKUP($A4518,原始数据_收盘!$A$4:$G$3460,3,0),"")</f>
        <v>2.41</v>
      </c>
      <c r="D4518">
        <f>IFERROR(VLOOKUP($A4518,原始数据_收盘!$A$4:$G$3460,4,0),"")</f>
        <v>2.125</v>
      </c>
      <c r="E4518">
        <f>IFERROR(VLOOKUP($A4518,原始数据_收盘!$A$4:$G$3460,5,0),"")</f>
        <v>2.4125</v>
      </c>
      <c r="F4518">
        <f>IFERROR(VLOOKUP($A4518,原始数据_收盘!$A$4:$G$3460,6,0),"")</f>
        <v>2.1225</v>
      </c>
      <c r="G4518">
        <f>IFERROR(VLOOKUP($A4518,原始数据_收盘!$A$4:$G$3460,7,0),"")</f>
        <v>2.4113</v>
      </c>
      <c r="H4518">
        <f>IFERROR(VLOOKUP($A4518,原始数据_利率互换_FR007_1年!$A$6:$C$4395,2,0),"")</f>
        <v>2.1177</v>
      </c>
      <c r="I4518">
        <f>IFERROR(VLOOKUP($A4518,原始数据_利率互换_FR007_1年!$A$6:$C$4395,3,0),"")</f>
        <v>2.4105</v>
      </c>
    </row>
    <row r="4519" spans="1:9">
      <c r="A4519" s="6">
        <v>44012</v>
      </c>
      <c r="B4519">
        <f>IFERROR(VLOOKUP($A4519,原始数据_收盘!$A$4:$G$3460,2,0),"")</f>
        <v>2.1393</v>
      </c>
      <c r="C4519">
        <f>IFERROR(VLOOKUP($A4519,原始数据_收盘!$A$4:$G$3460,3,0),"")</f>
        <v>2.4127</v>
      </c>
      <c r="D4519">
        <f>IFERROR(VLOOKUP($A4519,原始数据_收盘!$A$4:$G$3460,4,0),"")</f>
        <v>2.145</v>
      </c>
      <c r="E4519">
        <f>IFERROR(VLOOKUP($A4519,原始数据_收盘!$A$4:$G$3460,5,0),"")</f>
        <v>2.4161</v>
      </c>
      <c r="F4519">
        <f>IFERROR(VLOOKUP($A4519,原始数据_收盘!$A$4:$G$3460,6,0),"")</f>
        <v>2.1421</v>
      </c>
      <c r="G4519">
        <f>IFERROR(VLOOKUP($A4519,原始数据_收盘!$A$4:$G$3460,7,0),"")</f>
        <v>2.4144</v>
      </c>
      <c r="H4519">
        <f>IFERROR(VLOOKUP($A4519,原始数据_利率互换_FR007_1年!$A$6:$C$4395,2,0),"")</f>
        <v>2.1485</v>
      </c>
      <c r="I4519">
        <f>IFERROR(VLOOKUP($A4519,原始数据_利率互换_FR007_1年!$A$6:$C$4395,3,0),"")</f>
        <v>2.4358</v>
      </c>
    </row>
    <row r="4520" spans="1:9">
      <c r="A4520" s="6">
        <v>44013</v>
      </c>
      <c r="B4520">
        <f>IFERROR(VLOOKUP($A4520,原始数据_收盘!$A$4:$G$3460,2,0),"")</f>
        <v>2.1475</v>
      </c>
      <c r="C4520">
        <f>IFERROR(VLOOKUP($A4520,原始数据_收盘!$A$4:$G$3460,3,0),"")</f>
        <v>2.445</v>
      </c>
      <c r="D4520">
        <f>IFERROR(VLOOKUP($A4520,原始数据_收盘!$A$4:$G$3460,4,0),"")</f>
        <v>2.15</v>
      </c>
      <c r="E4520">
        <f>IFERROR(VLOOKUP($A4520,原始数据_收盘!$A$4:$G$3460,5,0),"")</f>
        <v>2.4468</v>
      </c>
      <c r="F4520">
        <f>IFERROR(VLOOKUP($A4520,原始数据_收盘!$A$4:$G$3460,6,0),"")</f>
        <v>2.1488</v>
      </c>
      <c r="G4520">
        <f>IFERROR(VLOOKUP($A4520,原始数据_收盘!$A$4:$G$3460,7,0),"")</f>
        <v>2.4459</v>
      </c>
      <c r="H4520">
        <f>IFERROR(VLOOKUP($A4520,原始数据_利率互换_FR007_1年!$A$6:$C$4395,2,0),"")</f>
        <v>2.1388</v>
      </c>
      <c r="I4520">
        <f>IFERROR(VLOOKUP($A4520,原始数据_利率互换_FR007_1年!$A$6:$C$4395,3,0),"")</f>
        <v>2.4297</v>
      </c>
    </row>
    <row r="4521" spans="1:9">
      <c r="A4521" s="6">
        <v>44014</v>
      </c>
      <c r="B4521">
        <f>IFERROR(VLOOKUP($A4521,原始数据_收盘!$A$4:$G$3460,2,0),"")</f>
        <v>2.12</v>
      </c>
      <c r="C4521">
        <f>IFERROR(VLOOKUP($A4521,原始数据_收盘!$A$4:$G$3460,3,0),"")</f>
        <v>2.4225</v>
      </c>
      <c r="D4521">
        <f>IFERROR(VLOOKUP($A4521,原始数据_收盘!$A$4:$G$3460,4,0),"")</f>
        <v>2.1247</v>
      </c>
      <c r="E4521">
        <f>IFERROR(VLOOKUP($A4521,原始数据_收盘!$A$4:$G$3460,5,0),"")</f>
        <v>2.4262</v>
      </c>
      <c r="F4521">
        <f>IFERROR(VLOOKUP($A4521,原始数据_收盘!$A$4:$G$3460,6,0),"")</f>
        <v>2.1223</v>
      </c>
      <c r="G4521">
        <f>IFERROR(VLOOKUP($A4521,原始数据_收盘!$A$4:$G$3460,7,0),"")</f>
        <v>2.4243</v>
      </c>
      <c r="H4521">
        <f>IFERROR(VLOOKUP($A4521,原始数据_利率互换_FR007_1年!$A$6:$C$4395,2,0),"")</f>
        <v>2.1318</v>
      </c>
      <c r="I4521">
        <f>IFERROR(VLOOKUP($A4521,原始数据_利率互换_FR007_1年!$A$6:$C$4395,3,0),"")</f>
        <v>2.4301</v>
      </c>
    </row>
    <row r="4522" spans="1:9">
      <c r="A4522" s="6">
        <v>44015</v>
      </c>
      <c r="B4522">
        <f>IFERROR(VLOOKUP($A4522,原始数据_收盘!$A$4:$G$3460,2,0),"")</f>
        <v>2.1459</v>
      </c>
      <c r="C4522">
        <f>IFERROR(VLOOKUP($A4522,原始数据_收盘!$A$4:$G$3460,3,0),"")</f>
        <v>2.4811</v>
      </c>
      <c r="D4522">
        <f>IFERROR(VLOOKUP($A4522,原始数据_收盘!$A$4:$G$3460,4,0),"")</f>
        <v>2.151</v>
      </c>
      <c r="E4522">
        <f>IFERROR(VLOOKUP($A4522,原始数据_收盘!$A$4:$G$3460,5,0),"")</f>
        <v>2.485</v>
      </c>
      <c r="F4522">
        <f>IFERROR(VLOOKUP($A4522,原始数据_收盘!$A$4:$G$3460,6,0),"")</f>
        <v>2.1485</v>
      </c>
      <c r="G4522">
        <f>IFERROR(VLOOKUP($A4522,原始数据_收盘!$A$4:$G$3460,7,0),"")</f>
        <v>2.4831</v>
      </c>
      <c r="H4522">
        <f>IFERROR(VLOOKUP($A4522,原始数据_利率互换_FR007_1年!$A$6:$C$4395,2,0),"")</f>
        <v>2.132</v>
      </c>
      <c r="I4522">
        <f>IFERROR(VLOOKUP($A4522,原始数据_利率互换_FR007_1年!$A$6:$C$4395,3,0),"")</f>
        <v>2.4567</v>
      </c>
    </row>
    <row r="4523" spans="1:9">
      <c r="A4523" s="6">
        <v>44016</v>
      </c>
      <c r="B4523" t="str">
        <f>IFERROR(VLOOKUP($A4523,原始数据_收盘!$A$4:$G$3460,2,0),"")</f>
        <v/>
      </c>
      <c r="C4523" t="str">
        <f>IFERROR(VLOOKUP($A4523,原始数据_收盘!$A$4:$G$3460,3,0),"")</f>
        <v/>
      </c>
      <c r="D4523" t="str">
        <f>IFERROR(VLOOKUP($A4523,原始数据_收盘!$A$4:$G$3460,4,0),"")</f>
        <v/>
      </c>
      <c r="E4523" t="str">
        <f>IFERROR(VLOOKUP($A4523,原始数据_收盘!$A$4:$G$3460,5,0),"")</f>
        <v/>
      </c>
      <c r="F4523" t="str">
        <f>IFERROR(VLOOKUP($A4523,原始数据_收盘!$A$4:$G$3460,6,0),"")</f>
        <v/>
      </c>
      <c r="G4523" t="str">
        <f>IFERROR(VLOOKUP($A4523,原始数据_收盘!$A$4:$G$3460,7,0),"")</f>
        <v/>
      </c>
      <c r="H4523" t="str">
        <f>IFERROR(VLOOKUP($A4523,原始数据_利率互换_FR007_1年!$A$6:$C$4395,2,0),"")</f>
        <v/>
      </c>
      <c r="I4523" t="str">
        <f>IFERROR(VLOOKUP($A4523,原始数据_利率互换_FR007_1年!$A$6:$C$4395,3,0),"")</f>
        <v/>
      </c>
    </row>
    <row r="4524" spans="1:9">
      <c r="A4524" s="6">
        <v>44017</v>
      </c>
      <c r="B4524" t="str">
        <f>IFERROR(VLOOKUP($A4524,原始数据_收盘!$A$4:$G$3460,2,0),"")</f>
        <v/>
      </c>
      <c r="C4524" t="str">
        <f>IFERROR(VLOOKUP($A4524,原始数据_收盘!$A$4:$G$3460,3,0),"")</f>
        <v/>
      </c>
      <c r="D4524" t="str">
        <f>IFERROR(VLOOKUP($A4524,原始数据_收盘!$A$4:$G$3460,4,0),"")</f>
        <v/>
      </c>
      <c r="E4524" t="str">
        <f>IFERROR(VLOOKUP($A4524,原始数据_收盘!$A$4:$G$3460,5,0),"")</f>
        <v/>
      </c>
      <c r="F4524" t="str">
        <f>IFERROR(VLOOKUP($A4524,原始数据_收盘!$A$4:$G$3460,6,0),"")</f>
        <v/>
      </c>
      <c r="G4524" t="str">
        <f>IFERROR(VLOOKUP($A4524,原始数据_收盘!$A$4:$G$3460,7,0),"")</f>
        <v/>
      </c>
      <c r="H4524" t="str">
        <f>IFERROR(VLOOKUP($A4524,原始数据_利率互换_FR007_1年!$A$6:$C$4395,2,0),"")</f>
        <v/>
      </c>
      <c r="I4524" t="str">
        <f>IFERROR(VLOOKUP($A4524,原始数据_利率互换_FR007_1年!$A$6:$C$4395,3,0),"")</f>
        <v/>
      </c>
    </row>
    <row r="4525" spans="1:9">
      <c r="A4525" s="6">
        <v>44018</v>
      </c>
      <c r="B4525">
        <f>IFERROR(VLOOKUP($A4525,原始数据_收盘!$A$4:$G$3460,2,0),"")</f>
        <v>2.2675</v>
      </c>
      <c r="C4525">
        <f>IFERROR(VLOOKUP($A4525,原始数据_收盘!$A$4:$G$3460,3,0),"")</f>
        <v>2.6273</v>
      </c>
      <c r="D4525">
        <f>IFERROR(VLOOKUP($A4525,原始数据_收盘!$A$4:$G$3460,4,0),"")</f>
        <v>2.2708</v>
      </c>
      <c r="E4525">
        <f>IFERROR(VLOOKUP($A4525,原始数据_收盘!$A$4:$G$3460,5,0),"")</f>
        <v>2.6303</v>
      </c>
      <c r="F4525">
        <f>IFERROR(VLOOKUP($A4525,原始数据_收盘!$A$4:$G$3460,6,0),"")</f>
        <v>2.2691</v>
      </c>
      <c r="G4525">
        <f>IFERROR(VLOOKUP($A4525,原始数据_收盘!$A$4:$G$3460,7,0),"")</f>
        <v>2.6288</v>
      </c>
      <c r="H4525">
        <f>IFERROR(VLOOKUP($A4525,原始数据_利率互换_FR007_1年!$A$6:$C$4395,2,0),"")</f>
        <v>2.2226</v>
      </c>
      <c r="I4525">
        <f>IFERROR(VLOOKUP($A4525,原始数据_利率互换_FR007_1年!$A$6:$C$4395,3,0),"")</f>
        <v>2.5754</v>
      </c>
    </row>
    <row r="4526" spans="1:9">
      <c r="A4526" s="6">
        <v>44019</v>
      </c>
      <c r="B4526">
        <f>IFERROR(VLOOKUP($A4526,原始数据_收盘!$A$4:$G$3460,2,0),"")</f>
        <v>2.2985</v>
      </c>
      <c r="C4526">
        <f>IFERROR(VLOOKUP($A4526,原始数据_收盘!$A$4:$G$3460,3,0),"")</f>
        <v>2.635</v>
      </c>
      <c r="D4526">
        <f>IFERROR(VLOOKUP($A4526,原始数据_收盘!$A$4:$G$3460,4,0),"")</f>
        <v>2.3012</v>
      </c>
      <c r="E4526">
        <f>IFERROR(VLOOKUP($A4526,原始数据_收盘!$A$4:$G$3460,5,0),"")</f>
        <v>2.6407</v>
      </c>
      <c r="F4526">
        <f>IFERROR(VLOOKUP($A4526,原始数据_收盘!$A$4:$G$3460,6,0),"")</f>
        <v>2.2998</v>
      </c>
      <c r="G4526">
        <f>IFERROR(VLOOKUP($A4526,原始数据_收盘!$A$4:$G$3460,7,0),"")</f>
        <v>2.6378</v>
      </c>
      <c r="H4526">
        <f>IFERROR(VLOOKUP($A4526,原始数据_利率互换_FR007_1年!$A$6:$C$4395,2,0),"")</f>
        <v>2.3184</v>
      </c>
      <c r="I4526">
        <f>IFERROR(VLOOKUP($A4526,原始数据_利率互换_FR007_1年!$A$6:$C$4395,3,0),"")</f>
        <v>2.6617</v>
      </c>
    </row>
    <row r="4527" spans="1:9">
      <c r="A4527" s="6">
        <v>44020</v>
      </c>
      <c r="B4527">
        <f>IFERROR(VLOOKUP($A4527,原始数据_收盘!$A$4:$G$3460,2,0),"")</f>
        <v>2.3739</v>
      </c>
      <c r="C4527">
        <f>IFERROR(VLOOKUP($A4527,原始数据_收盘!$A$4:$G$3460,3,0),"")</f>
        <v>2.7155</v>
      </c>
      <c r="D4527">
        <f>IFERROR(VLOOKUP($A4527,原始数据_收盘!$A$4:$G$3460,4,0),"")</f>
        <v>2.3854</v>
      </c>
      <c r="E4527">
        <f>IFERROR(VLOOKUP($A4527,原始数据_收盘!$A$4:$G$3460,5,0),"")</f>
        <v>2.7219</v>
      </c>
      <c r="F4527">
        <f>IFERROR(VLOOKUP($A4527,原始数据_收盘!$A$4:$G$3460,6,0),"")</f>
        <v>2.3797</v>
      </c>
      <c r="G4527">
        <f>IFERROR(VLOOKUP($A4527,原始数据_收盘!$A$4:$G$3460,7,0),"")</f>
        <v>2.7187</v>
      </c>
      <c r="H4527">
        <f>IFERROR(VLOOKUP($A4527,原始数据_利率互换_FR007_1年!$A$6:$C$4395,2,0),"")</f>
        <v>2.348</v>
      </c>
      <c r="I4527">
        <f>IFERROR(VLOOKUP($A4527,原始数据_利率互换_FR007_1年!$A$6:$C$4395,3,0),"")</f>
        <v>2.6808</v>
      </c>
    </row>
    <row r="4528" spans="1:9">
      <c r="A4528" s="6">
        <v>44021</v>
      </c>
      <c r="B4528">
        <f>IFERROR(VLOOKUP($A4528,原始数据_收盘!$A$4:$G$3460,2,0),"")</f>
        <v>2.4252</v>
      </c>
      <c r="C4528">
        <f>IFERROR(VLOOKUP($A4528,原始数据_收盘!$A$4:$G$3460,3,0),"")</f>
        <v>2.7913</v>
      </c>
      <c r="D4528">
        <f>IFERROR(VLOOKUP($A4528,原始数据_收盘!$A$4:$G$3460,4,0),"")</f>
        <v>2.4316</v>
      </c>
      <c r="E4528">
        <f>IFERROR(VLOOKUP($A4528,原始数据_收盘!$A$4:$G$3460,5,0),"")</f>
        <v>2.7968</v>
      </c>
      <c r="F4528">
        <f>IFERROR(VLOOKUP($A4528,原始数据_收盘!$A$4:$G$3460,6,0),"")</f>
        <v>2.4284</v>
      </c>
      <c r="G4528">
        <f>IFERROR(VLOOKUP($A4528,原始数据_收盘!$A$4:$G$3460,7,0),"")</f>
        <v>2.7941</v>
      </c>
      <c r="H4528">
        <f>IFERROR(VLOOKUP($A4528,原始数据_利率互换_FR007_1年!$A$6:$C$4395,2,0),"")</f>
        <v>2.4295</v>
      </c>
      <c r="I4528">
        <f>IFERROR(VLOOKUP($A4528,原始数据_利率互换_FR007_1年!$A$6:$C$4395,3,0),"")</f>
        <v>2.7794</v>
      </c>
    </row>
    <row r="4529" spans="1:9">
      <c r="A4529" s="6">
        <v>44022</v>
      </c>
      <c r="B4529">
        <f>IFERROR(VLOOKUP($A4529,原始数据_收盘!$A$4:$G$3460,2,0),"")</f>
        <v>2.4027</v>
      </c>
      <c r="C4529">
        <f>IFERROR(VLOOKUP($A4529,原始数据_收盘!$A$4:$G$3460,3,0),"")</f>
        <v>2.7308</v>
      </c>
      <c r="D4529">
        <f>IFERROR(VLOOKUP($A4529,原始数据_收盘!$A$4:$G$3460,4,0),"")</f>
        <v>2.4107</v>
      </c>
      <c r="E4529">
        <f>IFERROR(VLOOKUP($A4529,原始数据_收盘!$A$4:$G$3460,5,0),"")</f>
        <v>2.7351</v>
      </c>
      <c r="F4529">
        <f>IFERROR(VLOOKUP($A4529,原始数据_收盘!$A$4:$G$3460,6,0),"")</f>
        <v>2.4067</v>
      </c>
      <c r="G4529">
        <f>IFERROR(VLOOKUP($A4529,原始数据_收盘!$A$4:$G$3460,7,0),"")</f>
        <v>2.7329</v>
      </c>
      <c r="H4529">
        <f>IFERROR(VLOOKUP($A4529,原始数据_利率互换_FR007_1年!$A$6:$C$4395,2,0),"")</f>
        <v>2.4188</v>
      </c>
      <c r="I4529">
        <f>IFERROR(VLOOKUP($A4529,原始数据_利率互换_FR007_1年!$A$6:$C$4395,3,0),"")</f>
        <v>2.7565</v>
      </c>
    </row>
    <row r="4530" spans="1:9">
      <c r="A4530" s="6">
        <v>44023</v>
      </c>
      <c r="B4530" t="str">
        <f>IFERROR(VLOOKUP($A4530,原始数据_收盘!$A$4:$G$3460,2,0),"")</f>
        <v/>
      </c>
      <c r="C4530" t="str">
        <f>IFERROR(VLOOKUP($A4530,原始数据_收盘!$A$4:$G$3460,3,0),"")</f>
        <v/>
      </c>
      <c r="D4530" t="str">
        <f>IFERROR(VLOOKUP($A4530,原始数据_收盘!$A$4:$G$3460,4,0),"")</f>
        <v/>
      </c>
      <c r="E4530" t="str">
        <f>IFERROR(VLOOKUP($A4530,原始数据_收盘!$A$4:$G$3460,5,0),"")</f>
        <v/>
      </c>
      <c r="F4530" t="str">
        <f>IFERROR(VLOOKUP($A4530,原始数据_收盘!$A$4:$G$3460,6,0),"")</f>
        <v/>
      </c>
      <c r="G4530" t="str">
        <f>IFERROR(VLOOKUP($A4530,原始数据_收盘!$A$4:$G$3460,7,0),"")</f>
        <v/>
      </c>
      <c r="H4530" t="str">
        <f>IFERROR(VLOOKUP($A4530,原始数据_利率互换_FR007_1年!$A$6:$C$4395,2,0),"")</f>
        <v/>
      </c>
      <c r="I4530" t="str">
        <f>IFERROR(VLOOKUP($A4530,原始数据_利率互换_FR007_1年!$A$6:$C$4395,3,0),"")</f>
        <v/>
      </c>
    </row>
    <row r="4531" spans="1:9">
      <c r="A4531" s="6">
        <v>44024</v>
      </c>
      <c r="B4531" t="str">
        <f>IFERROR(VLOOKUP($A4531,原始数据_收盘!$A$4:$G$3460,2,0),"")</f>
        <v/>
      </c>
      <c r="C4531" t="str">
        <f>IFERROR(VLOOKUP($A4531,原始数据_收盘!$A$4:$G$3460,3,0),"")</f>
        <v/>
      </c>
      <c r="D4531" t="str">
        <f>IFERROR(VLOOKUP($A4531,原始数据_收盘!$A$4:$G$3460,4,0),"")</f>
        <v/>
      </c>
      <c r="E4531" t="str">
        <f>IFERROR(VLOOKUP($A4531,原始数据_收盘!$A$4:$G$3460,5,0),"")</f>
        <v/>
      </c>
      <c r="F4531" t="str">
        <f>IFERROR(VLOOKUP($A4531,原始数据_收盘!$A$4:$G$3460,6,0),"")</f>
        <v/>
      </c>
      <c r="G4531" t="str">
        <f>IFERROR(VLOOKUP($A4531,原始数据_收盘!$A$4:$G$3460,7,0),"")</f>
        <v/>
      </c>
      <c r="H4531" t="str">
        <f>IFERROR(VLOOKUP($A4531,原始数据_利率互换_FR007_1年!$A$6:$C$4395,2,0),"")</f>
        <v/>
      </c>
      <c r="I4531" t="str">
        <f>IFERROR(VLOOKUP($A4531,原始数据_利率互换_FR007_1年!$A$6:$C$4395,3,0),"")</f>
        <v/>
      </c>
    </row>
    <row r="4532" spans="1:9">
      <c r="A4532" s="6">
        <v>44025</v>
      </c>
      <c r="B4532">
        <f>IFERROR(VLOOKUP($A4532,原始数据_收盘!$A$4:$G$3460,2,0),"")</f>
        <v>2.445</v>
      </c>
      <c r="C4532">
        <f>IFERROR(VLOOKUP($A4532,原始数据_收盘!$A$4:$G$3460,3,0),"")</f>
        <v>2.7963</v>
      </c>
      <c r="D4532">
        <f>IFERROR(VLOOKUP($A4532,原始数据_收盘!$A$4:$G$3460,4,0),"")</f>
        <v>2.4525</v>
      </c>
      <c r="E4532">
        <f>IFERROR(VLOOKUP($A4532,原始数据_收盘!$A$4:$G$3460,5,0),"")</f>
        <v>2.7998</v>
      </c>
      <c r="F4532">
        <f>IFERROR(VLOOKUP($A4532,原始数据_收盘!$A$4:$G$3460,6,0),"")</f>
        <v>2.4488</v>
      </c>
      <c r="G4532">
        <f>IFERROR(VLOOKUP($A4532,原始数据_收盘!$A$4:$G$3460,7,0),"")</f>
        <v>2.7981</v>
      </c>
      <c r="H4532">
        <f>IFERROR(VLOOKUP($A4532,原始数据_利率互换_FR007_1年!$A$6:$C$4395,2,0),"")</f>
        <v>2.4434</v>
      </c>
      <c r="I4532">
        <f>IFERROR(VLOOKUP($A4532,原始数据_利率互换_FR007_1年!$A$6:$C$4395,3,0),"")</f>
        <v>2.7868</v>
      </c>
    </row>
    <row r="4533" spans="1:9">
      <c r="A4533" s="6">
        <v>44026</v>
      </c>
      <c r="B4533">
        <f>IFERROR(VLOOKUP($A4533,原始数据_收盘!$A$4:$G$3460,2,0),"")</f>
        <v>2.4155</v>
      </c>
      <c r="C4533">
        <f>IFERROR(VLOOKUP($A4533,原始数据_收盘!$A$4:$G$3460,3,0),"")</f>
        <v>2.7518</v>
      </c>
      <c r="D4533">
        <f>IFERROR(VLOOKUP($A4533,原始数据_收盘!$A$4:$G$3460,4,0),"")</f>
        <v>2.419</v>
      </c>
      <c r="E4533">
        <f>IFERROR(VLOOKUP($A4533,原始数据_收盘!$A$4:$G$3460,5,0),"")</f>
        <v>2.755</v>
      </c>
      <c r="F4533">
        <f>IFERROR(VLOOKUP($A4533,原始数据_收盘!$A$4:$G$3460,6,0),"")</f>
        <v>2.4173</v>
      </c>
      <c r="G4533">
        <f>IFERROR(VLOOKUP($A4533,原始数据_收盘!$A$4:$G$3460,7,0),"")</f>
        <v>2.7534</v>
      </c>
      <c r="H4533">
        <f>IFERROR(VLOOKUP($A4533,原始数据_利率互换_FR007_1年!$A$6:$C$4395,2,0),"")</f>
        <v>2.4136</v>
      </c>
      <c r="I4533">
        <f>IFERROR(VLOOKUP($A4533,原始数据_利率互换_FR007_1年!$A$6:$C$4395,3,0),"")</f>
        <v>2.7576</v>
      </c>
    </row>
    <row r="4534" spans="1:9">
      <c r="A4534" s="6">
        <v>44027</v>
      </c>
      <c r="B4534">
        <f>IFERROR(VLOOKUP($A4534,原始数据_收盘!$A$4:$G$3460,2,0),"")</f>
        <v>2.3775</v>
      </c>
      <c r="C4534">
        <f>IFERROR(VLOOKUP($A4534,原始数据_收盘!$A$4:$G$3460,3,0),"")</f>
        <v>2.695</v>
      </c>
      <c r="D4534">
        <f>IFERROR(VLOOKUP($A4534,原始数据_收盘!$A$4:$G$3460,4,0),"")</f>
        <v>2.3864</v>
      </c>
      <c r="E4534">
        <f>IFERROR(VLOOKUP($A4534,原始数据_收盘!$A$4:$G$3460,5,0),"")</f>
        <v>2.7</v>
      </c>
      <c r="F4534">
        <f>IFERROR(VLOOKUP($A4534,原始数据_收盘!$A$4:$G$3460,6,0),"")</f>
        <v>2.382</v>
      </c>
      <c r="G4534">
        <f>IFERROR(VLOOKUP($A4534,原始数据_收盘!$A$4:$G$3460,7,0),"")</f>
        <v>2.6975</v>
      </c>
      <c r="H4534">
        <f>IFERROR(VLOOKUP($A4534,原始数据_利率互换_FR007_1年!$A$6:$C$4395,2,0),"")</f>
        <v>2.3998</v>
      </c>
      <c r="I4534">
        <f>IFERROR(VLOOKUP($A4534,原始数据_利率互换_FR007_1年!$A$6:$C$4395,3,0),"")</f>
        <v>2.7305</v>
      </c>
    </row>
    <row r="4535" spans="1:9">
      <c r="A4535" s="6">
        <v>44028</v>
      </c>
      <c r="B4535">
        <f>IFERROR(VLOOKUP($A4535,原始数据_收盘!$A$4:$G$3460,2,0),"")</f>
        <v>2.3834</v>
      </c>
      <c r="C4535">
        <f>IFERROR(VLOOKUP($A4535,原始数据_收盘!$A$4:$G$3460,3,0),"")</f>
        <v>2.6809</v>
      </c>
      <c r="D4535">
        <f>IFERROR(VLOOKUP($A4535,原始数据_收盘!$A$4:$G$3460,4,0),"")</f>
        <v>2.3878</v>
      </c>
      <c r="E4535">
        <f>IFERROR(VLOOKUP($A4535,原始数据_收盘!$A$4:$G$3460,5,0),"")</f>
        <v>2.6831</v>
      </c>
      <c r="F4535">
        <f>IFERROR(VLOOKUP($A4535,原始数据_收盘!$A$4:$G$3460,6,0),"")</f>
        <v>2.3856</v>
      </c>
      <c r="G4535">
        <f>IFERROR(VLOOKUP($A4535,原始数据_收盘!$A$4:$G$3460,7,0),"")</f>
        <v>2.682</v>
      </c>
      <c r="H4535">
        <f>IFERROR(VLOOKUP($A4535,原始数据_利率互换_FR007_1年!$A$6:$C$4395,2,0),"")</f>
        <v>2.3757</v>
      </c>
      <c r="I4535">
        <f>IFERROR(VLOOKUP($A4535,原始数据_利率互换_FR007_1年!$A$6:$C$4395,3,0),"")</f>
        <v>2.6833</v>
      </c>
    </row>
    <row r="4536" spans="1:9">
      <c r="A4536" s="6">
        <v>44029</v>
      </c>
      <c r="B4536">
        <f>IFERROR(VLOOKUP($A4536,原始数据_收盘!$A$4:$G$3460,2,0),"")</f>
        <v>2.38</v>
      </c>
      <c r="C4536">
        <f>IFERROR(VLOOKUP($A4536,原始数据_收盘!$A$4:$G$3460,3,0),"")</f>
        <v>2.69</v>
      </c>
      <c r="D4536">
        <f>IFERROR(VLOOKUP($A4536,原始数据_收盘!$A$4:$G$3460,4,0),"")</f>
        <v>2.385</v>
      </c>
      <c r="E4536">
        <f>IFERROR(VLOOKUP($A4536,原始数据_收盘!$A$4:$G$3460,5,0),"")</f>
        <v>2.695</v>
      </c>
      <c r="F4536">
        <f>IFERROR(VLOOKUP($A4536,原始数据_收盘!$A$4:$G$3460,6,0),"")</f>
        <v>2.3825</v>
      </c>
      <c r="G4536">
        <f>IFERROR(VLOOKUP($A4536,原始数据_收盘!$A$4:$G$3460,7,0),"")</f>
        <v>2.6925</v>
      </c>
      <c r="H4536">
        <f>IFERROR(VLOOKUP($A4536,原始数据_利率互换_FR007_1年!$A$6:$C$4395,2,0),"")</f>
        <v>2.3814</v>
      </c>
      <c r="I4536">
        <f>IFERROR(VLOOKUP($A4536,原始数据_利率互换_FR007_1年!$A$6:$C$4395,3,0),"")</f>
        <v>2.6904</v>
      </c>
    </row>
    <row r="4537" spans="1:9">
      <c r="A4537" s="6">
        <v>44030</v>
      </c>
      <c r="B4537" t="str">
        <f>IFERROR(VLOOKUP($A4537,原始数据_收盘!$A$4:$G$3460,2,0),"")</f>
        <v/>
      </c>
      <c r="C4537" t="str">
        <f>IFERROR(VLOOKUP($A4537,原始数据_收盘!$A$4:$G$3460,3,0),"")</f>
        <v/>
      </c>
      <c r="D4537" t="str">
        <f>IFERROR(VLOOKUP($A4537,原始数据_收盘!$A$4:$G$3460,4,0),"")</f>
        <v/>
      </c>
      <c r="E4537" t="str">
        <f>IFERROR(VLOOKUP($A4537,原始数据_收盘!$A$4:$G$3460,5,0),"")</f>
        <v/>
      </c>
      <c r="F4537" t="str">
        <f>IFERROR(VLOOKUP($A4537,原始数据_收盘!$A$4:$G$3460,6,0),"")</f>
        <v/>
      </c>
      <c r="G4537" t="str">
        <f>IFERROR(VLOOKUP($A4537,原始数据_收盘!$A$4:$G$3460,7,0),"")</f>
        <v/>
      </c>
      <c r="H4537" t="str">
        <f>IFERROR(VLOOKUP($A4537,原始数据_利率互换_FR007_1年!$A$6:$C$4395,2,0),"")</f>
        <v/>
      </c>
      <c r="I4537" t="str">
        <f>IFERROR(VLOOKUP($A4537,原始数据_利率互换_FR007_1年!$A$6:$C$4395,3,0),"")</f>
        <v/>
      </c>
    </row>
    <row r="4538" spans="1:9">
      <c r="A4538" s="6">
        <v>44031</v>
      </c>
      <c r="B4538" t="str">
        <f>IFERROR(VLOOKUP($A4538,原始数据_收盘!$A$4:$G$3460,2,0),"")</f>
        <v/>
      </c>
      <c r="C4538" t="str">
        <f>IFERROR(VLOOKUP($A4538,原始数据_收盘!$A$4:$G$3460,3,0),"")</f>
        <v/>
      </c>
      <c r="D4538" t="str">
        <f>IFERROR(VLOOKUP($A4538,原始数据_收盘!$A$4:$G$3460,4,0),"")</f>
        <v/>
      </c>
      <c r="E4538" t="str">
        <f>IFERROR(VLOOKUP($A4538,原始数据_收盘!$A$4:$G$3460,5,0),"")</f>
        <v/>
      </c>
      <c r="F4538" t="str">
        <f>IFERROR(VLOOKUP($A4538,原始数据_收盘!$A$4:$G$3460,6,0),"")</f>
        <v/>
      </c>
      <c r="G4538" t="str">
        <f>IFERROR(VLOOKUP($A4538,原始数据_收盘!$A$4:$G$3460,7,0),"")</f>
        <v/>
      </c>
      <c r="H4538" t="str">
        <f>IFERROR(VLOOKUP($A4538,原始数据_利率互换_FR007_1年!$A$6:$C$4395,2,0),"")</f>
        <v/>
      </c>
      <c r="I4538" t="str">
        <f>IFERROR(VLOOKUP($A4538,原始数据_利率互换_FR007_1年!$A$6:$C$4395,3,0),"")</f>
        <v/>
      </c>
    </row>
    <row r="4539" spans="1:9">
      <c r="A4539" s="6">
        <v>44032</v>
      </c>
      <c r="B4539">
        <f>IFERROR(VLOOKUP($A4539,原始数据_收盘!$A$4:$G$3460,2,0),"")</f>
        <v>2.342</v>
      </c>
      <c r="C4539">
        <f>IFERROR(VLOOKUP($A4539,原始数据_收盘!$A$4:$G$3460,3,0),"")</f>
        <v>2.6589</v>
      </c>
      <c r="D4539">
        <f>IFERROR(VLOOKUP($A4539,原始数据_收盘!$A$4:$G$3460,4,0),"")</f>
        <v>2.355</v>
      </c>
      <c r="E4539">
        <f>IFERROR(VLOOKUP($A4539,原始数据_收盘!$A$4:$G$3460,5,0),"")</f>
        <v>2.6628</v>
      </c>
      <c r="F4539">
        <f>IFERROR(VLOOKUP($A4539,原始数据_收盘!$A$4:$G$3460,6,0),"")</f>
        <v>2.3485</v>
      </c>
      <c r="G4539">
        <f>IFERROR(VLOOKUP($A4539,原始数据_收盘!$A$4:$G$3460,7,0),"")</f>
        <v>2.6609</v>
      </c>
      <c r="H4539">
        <f>IFERROR(VLOOKUP($A4539,原始数据_利率互换_FR007_1年!$A$6:$C$4395,2,0),"")</f>
        <v>2.3785</v>
      </c>
      <c r="I4539">
        <f>IFERROR(VLOOKUP($A4539,原始数据_利率互换_FR007_1年!$A$6:$C$4395,3,0),"")</f>
        <v>2.6903</v>
      </c>
    </row>
    <row r="4540" spans="1:9">
      <c r="A4540" s="6">
        <v>44033</v>
      </c>
      <c r="B4540">
        <f>IFERROR(VLOOKUP($A4540,原始数据_收盘!$A$4:$G$3460,2,0),"")</f>
        <v>2.3091</v>
      </c>
      <c r="C4540">
        <f>IFERROR(VLOOKUP($A4540,原始数据_收盘!$A$4:$G$3460,3,0),"")</f>
        <v>2.6121</v>
      </c>
      <c r="D4540">
        <f>IFERROR(VLOOKUP($A4540,原始数据_收盘!$A$4:$G$3460,4,0),"")</f>
        <v>2.3128</v>
      </c>
      <c r="E4540">
        <f>IFERROR(VLOOKUP($A4540,原始数据_收盘!$A$4:$G$3460,5,0),"")</f>
        <v>2.62</v>
      </c>
      <c r="F4540">
        <f>IFERROR(VLOOKUP($A4540,原始数据_收盘!$A$4:$G$3460,6,0),"")</f>
        <v>2.3109</v>
      </c>
      <c r="G4540">
        <f>IFERROR(VLOOKUP($A4540,原始数据_收盘!$A$4:$G$3460,7,0),"")</f>
        <v>2.616</v>
      </c>
      <c r="H4540">
        <f>IFERROR(VLOOKUP($A4540,原始数据_利率互换_FR007_1年!$A$6:$C$4395,2,0),"")</f>
        <v>2.32</v>
      </c>
      <c r="I4540">
        <f>IFERROR(VLOOKUP($A4540,原始数据_利率互换_FR007_1年!$A$6:$C$4395,3,0),"")</f>
        <v>2.6324</v>
      </c>
    </row>
    <row r="4541" spans="1:9">
      <c r="A4541" s="6">
        <v>44034</v>
      </c>
      <c r="B4541">
        <f>IFERROR(VLOOKUP($A4541,原始数据_收盘!$A$4:$G$3460,2,0),"")</f>
        <v>2.3096</v>
      </c>
      <c r="C4541">
        <f>IFERROR(VLOOKUP($A4541,原始数据_收盘!$A$4:$G$3460,3,0),"")</f>
        <v>2.5967</v>
      </c>
      <c r="D4541">
        <f>IFERROR(VLOOKUP($A4541,原始数据_收盘!$A$4:$G$3460,4,0),"")</f>
        <v>2.3193</v>
      </c>
      <c r="E4541">
        <f>IFERROR(VLOOKUP($A4541,原始数据_收盘!$A$4:$G$3460,5,0),"")</f>
        <v>2.6032</v>
      </c>
      <c r="F4541">
        <f>IFERROR(VLOOKUP($A4541,原始数据_收盘!$A$4:$G$3460,6,0),"")</f>
        <v>2.3144</v>
      </c>
      <c r="G4541">
        <f>IFERROR(VLOOKUP($A4541,原始数据_收盘!$A$4:$G$3460,7,0),"")</f>
        <v>2.6</v>
      </c>
      <c r="H4541">
        <f>IFERROR(VLOOKUP($A4541,原始数据_利率互换_FR007_1年!$A$6:$C$4395,2,0),"")</f>
        <v>2.3191</v>
      </c>
      <c r="I4541">
        <f>IFERROR(VLOOKUP($A4541,原始数据_利率互换_FR007_1年!$A$6:$C$4395,3,0),"")</f>
        <v>2.6204</v>
      </c>
    </row>
    <row r="4542" spans="1:9">
      <c r="A4542" s="6">
        <v>44035</v>
      </c>
      <c r="B4542">
        <f>IFERROR(VLOOKUP($A4542,原始数据_收盘!$A$4:$G$3460,2,0),"")</f>
        <v>2.34</v>
      </c>
      <c r="C4542">
        <f>IFERROR(VLOOKUP($A4542,原始数据_收盘!$A$4:$G$3460,3,0),"")</f>
        <v>2.635</v>
      </c>
      <c r="D4542">
        <f>IFERROR(VLOOKUP($A4542,原始数据_收盘!$A$4:$G$3460,4,0),"")</f>
        <v>2.3425</v>
      </c>
      <c r="E4542">
        <f>IFERROR(VLOOKUP($A4542,原始数据_收盘!$A$4:$G$3460,5,0),"")</f>
        <v>2.6375</v>
      </c>
      <c r="F4542">
        <f>IFERROR(VLOOKUP($A4542,原始数据_收盘!$A$4:$G$3460,6,0),"")</f>
        <v>2.3413</v>
      </c>
      <c r="G4542">
        <f>IFERROR(VLOOKUP($A4542,原始数据_收盘!$A$4:$G$3460,7,0),"")</f>
        <v>2.6363</v>
      </c>
      <c r="H4542">
        <f>IFERROR(VLOOKUP($A4542,原始数据_利率互换_FR007_1年!$A$6:$C$4395,2,0),"")</f>
        <v>2.3318</v>
      </c>
      <c r="I4542">
        <f>IFERROR(VLOOKUP($A4542,原始数据_利率互换_FR007_1年!$A$6:$C$4395,3,0),"")</f>
        <v>2.623</v>
      </c>
    </row>
    <row r="4543" spans="1:9">
      <c r="A4543" s="6">
        <v>44036</v>
      </c>
      <c r="B4543">
        <f>IFERROR(VLOOKUP($A4543,原始数据_收盘!$A$4:$G$3460,2,0),"")</f>
        <v>2.2913</v>
      </c>
      <c r="C4543">
        <f>IFERROR(VLOOKUP($A4543,原始数据_收盘!$A$4:$G$3460,3,0),"")</f>
        <v>2.5825</v>
      </c>
      <c r="D4543">
        <f>IFERROR(VLOOKUP($A4543,原始数据_收盘!$A$4:$G$3460,4,0),"")</f>
        <v>2.2994</v>
      </c>
      <c r="E4543">
        <f>IFERROR(VLOOKUP($A4543,原始数据_收盘!$A$4:$G$3460,5,0),"")</f>
        <v>2.5875</v>
      </c>
      <c r="F4543">
        <f>IFERROR(VLOOKUP($A4543,原始数据_收盘!$A$4:$G$3460,6,0),"")</f>
        <v>2.2954</v>
      </c>
      <c r="G4543">
        <f>IFERROR(VLOOKUP($A4543,原始数据_收盘!$A$4:$G$3460,7,0),"")</f>
        <v>2.585</v>
      </c>
      <c r="H4543">
        <f>IFERROR(VLOOKUP($A4543,原始数据_利率互换_FR007_1年!$A$6:$C$4395,2,0),"")</f>
        <v>2.3193</v>
      </c>
      <c r="I4543">
        <f>IFERROR(VLOOKUP($A4543,原始数据_利率互换_FR007_1年!$A$6:$C$4395,3,0),"")</f>
        <v>2.6156</v>
      </c>
    </row>
    <row r="4544" spans="1:9">
      <c r="A4544" s="6">
        <v>44037</v>
      </c>
      <c r="B4544" t="str">
        <f>IFERROR(VLOOKUP($A4544,原始数据_收盘!$A$4:$G$3460,2,0),"")</f>
        <v/>
      </c>
      <c r="C4544" t="str">
        <f>IFERROR(VLOOKUP($A4544,原始数据_收盘!$A$4:$G$3460,3,0),"")</f>
        <v/>
      </c>
      <c r="D4544" t="str">
        <f>IFERROR(VLOOKUP($A4544,原始数据_收盘!$A$4:$G$3460,4,0),"")</f>
        <v/>
      </c>
      <c r="E4544" t="str">
        <f>IFERROR(VLOOKUP($A4544,原始数据_收盘!$A$4:$G$3460,5,0),"")</f>
        <v/>
      </c>
      <c r="F4544" t="str">
        <f>IFERROR(VLOOKUP($A4544,原始数据_收盘!$A$4:$G$3460,6,0),"")</f>
        <v/>
      </c>
      <c r="G4544" t="str">
        <f>IFERROR(VLOOKUP($A4544,原始数据_收盘!$A$4:$G$3460,7,0),"")</f>
        <v/>
      </c>
      <c r="H4544" t="str">
        <f>IFERROR(VLOOKUP($A4544,原始数据_利率互换_FR007_1年!$A$6:$C$4395,2,0),"")</f>
        <v/>
      </c>
      <c r="I4544" t="str">
        <f>IFERROR(VLOOKUP($A4544,原始数据_利率互换_FR007_1年!$A$6:$C$4395,3,0),"")</f>
        <v/>
      </c>
    </row>
    <row r="4545" spans="1:9">
      <c r="A4545" s="6">
        <v>44038</v>
      </c>
      <c r="B4545" t="str">
        <f>IFERROR(VLOOKUP($A4545,原始数据_收盘!$A$4:$G$3460,2,0),"")</f>
        <v/>
      </c>
      <c r="C4545" t="str">
        <f>IFERROR(VLOOKUP($A4545,原始数据_收盘!$A$4:$G$3460,3,0),"")</f>
        <v/>
      </c>
      <c r="D4545" t="str">
        <f>IFERROR(VLOOKUP($A4545,原始数据_收盘!$A$4:$G$3460,4,0),"")</f>
        <v/>
      </c>
      <c r="E4545" t="str">
        <f>IFERROR(VLOOKUP($A4545,原始数据_收盘!$A$4:$G$3460,5,0),"")</f>
        <v/>
      </c>
      <c r="F4545" t="str">
        <f>IFERROR(VLOOKUP($A4545,原始数据_收盘!$A$4:$G$3460,6,0),"")</f>
        <v/>
      </c>
      <c r="G4545" t="str">
        <f>IFERROR(VLOOKUP($A4545,原始数据_收盘!$A$4:$G$3460,7,0),"")</f>
        <v/>
      </c>
      <c r="H4545" t="str">
        <f>IFERROR(VLOOKUP($A4545,原始数据_利率互换_FR007_1年!$A$6:$C$4395,2,0),"")</f>
        <v/>
      </c>
      <c r="I4545" t="str">
        <f>IFERROR(VLOOKUP($A4545,原始数据_利率互换_FR007_1年!$A$6:$C$4395,3,0),"")</f>
        <v/>
      </c>
    </row>
    <row r="4546" spans="1:9">
      <c r="A4546" s="6">
        <v>44039</v>
      </c>
      <c r="B4546">
        <f>IFERROR(VLOOKUP($A4546,原始数据_收盘!$A$4:$G$3460,2,0),"")</f>
        <v>2.3097</v>
      </c>
      <c r="C4546">
        <f>IFERROR(VLOOKUP($A4546,原始数据_收盘!$A$4:$G$3460,3,0),"")</f>
        <v>2.605</v>
      </c>
      <c r="D4546">
        <f>IFERROR(VLOOKUP($A4546,原始数据_收盘!$A$4:$G$3460,4,0),"")</f>
        <v>2.3193</v>
      </c>
      <c r="E4546">
        <f>IFERROR(VLOOKUP($A4546,原始数据_收盘!$A$4:$G$3460,5,0),"")</f>
        <v>2.6075</v>
      </c>
      <c r="F4546">
        <f>IFERROR(VLOOKUP($A4546,原始数据_收盘!$A$4:$G$3460,6,0),"")</f>
        <v>2.3145</v>
      </c>
      <c r="G4546">
        <f>IFERROR(VLOOKUP($A4546,原始数据_收盘!$A$4:$G$3460,7,0),"")</f>
        <v>2.6063</v>
      </c>
      <c r="H4546">
        <f>IFERROR(VLOOKUP($A4546,原始数据_利率互换_FR007_1年!$A$6:$C$4395,2,0),"")</f>
        <v>2.3075</v>
      </c>
      <c r="I4546">
        <f>IFERROR(VLOOKUP($A4546,原始数据_利率互换_FR007_1年!$A$6:$C$4395,3,0),"")</f>
        <v>2.5997</v>
      </c>
    </row>
    <row r="4547" spans="1:9">
      <c r="A4547" s="6">
        <v>44040</v>
      </c>
      <c r="B4547">
        <f>IFERROR(VLOOKUP($A4547,原始数据_收盘!$A$4:$G$3460,2,0),"")</f>
        <v>2.3428</v>
      </c>
      <c r="C4547">
        <f>IFERROR(VLOOKUP($A4547,原始数据_收盘!$A$4:$G$3460,3,0),"")</f>
        <v>2.6444</v>
      </c>
      <c r="D4547">
        <f>IFERROR(VLOOKUP($A4547,原始数据_收盘!$A$4:$G$3460,4,0),"")</f>
        <v>2.3475</v>
      </c>
      <c r="E4547">
        <f>IFERROR(VLOOKUP($A4547,原始数据_收盘!$A$4:$G$3460,5,0),"")</f>
        <v>2.6471</v>
      </c>
      <c r="F4547">
        <f>IFERROR(VLOOKUP($A4547,原始数据_收盘!$A$4:$G$3460,6,0),"")</f>
        <v>2.3452</v>
      </c>
      <c r="G4547">
        <f>IFERROR(VLOOKUP($A4547,原始数据_收盘!$A$4:$G$3460,7,0),"")</f>
        <v>2.6458</v>
      </c>
      <c r="H4547">
        <f>IFERROR(VLOOKUP($A4547,原始数据_利率互换_FR007_1年!$A$6:$C$4395,2,0),"")</f>
        <v>2.3402</v>
      </c>
      <c r="I4547">
        <f>IFERROR(VLOOKUP($A4547,原始数据_利率互换_FR007_1年!$A$6:$C$4395,3,0),"")</f>
        <v>2.6369</v>
      </c>
    </row>
    <row r="4548" spans="1:9">
      <c r="A4548" s="6">
        <v>44041</v>
      </c>
      <c r="B4548">
        <f>IFERROR(VLOOKUP($A4548,原始数据_收盘!$A$4:$G$3460,2,0),"")</f>
        <v>2.3493</v>
      </c>
      <c r="C4548">
        <f>IFERROR(VLOOKUP($A4548,原始数据_收盘!$A$4:$G$3460,3,0),"")</f>
        <v>2.6649</v>
      </c>
      <c r="D4548">
        <f>IFERROR(VLOOKUP($A4548,原始数据_收盘!$A$4:$G$3460,4,0),"")</f>
        <v>2.3543</v>
      </c>
      <c r="E4548">
        <f>IFERROR(VLOOKUP($A4548,原始数据_收盘!$A$4:$G$3460,5,0),"")</f>
        <v>2.6675</v>
      </c>
      <c r="F4548">
        <f>IFERROR(VLOOKUP($A4548,原始数据_收盘!$A$4:$G$3460,6,0),"")</f>
        <v>2.3518</v>
      </c>
      <c r="G4548">
        <f>IFERROR(VLOOKUP($A4548,原始数据_收盘!$A$4:$G$3460,7,0),"")</f>
        <v>2.6662</v>
      </c>
      <c r="H4548">
        <f>IFERROR(VLOOKUP($A4548,原始数据_利率互换_FR007_1年!$A$6:$C$4395,2,0),"")</f>
        <v>2.3545</v>
      </c>
      <c r="I4548">
        <f>IFERROR(VLOOKUP($A4548,原始数据_利率互换_FR007_1年!$A$6:$C$4395,3,0),"")</f>
        <v>2.6619</v>
      </c>
    </row>
    <row r="4549" spans="1:9">
      <c r="A4549" s="6">
        <v>44042</v>
      </c>
      <c r="B4549">
        <f>IFERROR(VLOOKUP($A4549,原始数据_收盘!$A$4:$G$3460,2,0),"")</f>
        <v>2.355</v>
      </c>
      <c r="C4549">
        <f>IFERROR(VLOOKUP($A4549,原始数据_收盘!$A$4:$G$3460,3,0),"")</f>
        <v>2.6672</v>
      </c>
      <c r="D4549">
        <f>IFERROR(VLOOKUP($A4549,原始数据_收盘!$A$4:$G$3460,4,0),"")</f>
        <v>2.36</v>
      </c>
      <c r="E4549">
        <f>IFERROR(VLOOKUP($A4549,原始数据_收盘!$A$4:$G$3460,5,0),"")</f>
        <v>2.67</v>
      </c>
      <c r="F4549">
        <f>IFERROR(VLOOKUP($A4549,原始数据_收盘!$A$4:$G$3460,6,0),"")</f>
        <v>2.3575</v>
      </c>
      <c r="G4549">
        <f>IFERROR(VLOOKUP($A4549,原始数据_收盘!$A$4:$G$3460,7,0),"")</f>
        <v>2.6686</v>
      </c>
      <c r="H4549">
        <f>IFERROR(VLOOKUP($A4549,原始数据_利率互换_FR007_1年!$A$6:$C$4395,2,0),"")</f>
        <v>2.3545</v>
      </c>
      <c r="I4549">
        <f>IFERROR(VLOOKUP($A4549,原始数据_利率互换_FR007_1年!$A$6:$C$4395,3,0),"")</f>
        <v>2.6695</v>
      </c>
    </row>
    <row r="4550" spans="1:9">
      <c r="A4550" s="6">
        <v>44043</v>
      </c>
      <c r="B4550">
        <f>IFERROR(VLOOKUP($A4550,原始数据_收盘!$A$4:$G$3460,2,0),"")</f>
        <v>2.3834</v>
      </c>
      <c r="C4550">
        <f>IFERROR(VLOOKUP($A4550,原始数据_收盘!$A$4:$G$3460,3,0),"")</f>
        <v>2.705</v>
      </c>
      <c r="D4550">
        <f>IFERROR(VLOOKUP($A4550,原始数据_收盘!$A$4:$G$3460,4,0),"")</f>
        <v>2.3859</v>
      </c>
      <c r="E4550">
        <f>IFERROR(VLOOKUP($A4550,原始数据_收盘!$A$4:$G$3460,5,0),"")</f>
        <v>2.7075</v>
      </c>
      <c r="F4550">
        <f>IFERROR(VLOOKUP($A4550,原始数据_收盘!$A$4:$G$3460,6,0),"")</f>
        <v>2.3846</v>
      </c>
      <c r="G4550">
        <f>IFERROR(VLOOKUP($A4550,原始数据_收盘!$A$4:$G$3460,7,0),"")</f>
        <v>2.7063</v>
      </c>
      <c r="H4550">
        <f>IFERROR(VLOOKUP($A4550,原始数据_利率互换_FR007_1年!$A$6:$C$4395,2,0),"")</f>
        <v>2.376</v>
      </c>
      <c r="I4550">
        <f>IFERROR(VLOOKUP($A4550,原始数据_利率互换_FR007_1年!$A$6:$C$4395,3,0),"")</f>
        <v>2.6943</v>
      </c>
    </row>
    <row r="4551" spans="1:9">
      <c r="A4551" s="6">
        <v>44044</v>
      </c>
      <c r="B4551" t="str">
        <f>IFERROR(VLOOKUP($A4551,原始数据_收盘!$A$4:$G$3460,2,0),"")</f>
        <v/>
      </c>
      <c r="C4551" t="str">
        <f>IFERROR(VLOOKUP($A4551,原始数据_收盘!$A$4:$G$3460,3,0),"")</f>
        <v/>
      </c>
      <c r="D4551" t="str">
        <f>IFERROR(VLOOKUP($A4551,原始数据_收盘!$A$4:$G$3460,4,0),"")</f>
        <v/>
      </c>
      <c r="E4551" t="str">
        <f>IFERROR(VLOOKUP($A4551,原始数据_收盘!$A$4:$G$3460,5,0),"")</f>
        <v/>
      </c>
      <c r="F4551" t="str">
        <f>IFERROR(VLOOKUP($A4551,原始数据_收盘!$A$4:$G$3460,6,0),"")</f>
        <v/>
      </c>
      <c r="G4551" t="str">
        <f>IFERROR(VLOOKUP($A4551,原始数据_收盘!$A$4:$G$3460,7,0),"")</f>
        <v/>
      </c>
      <c r="H4551" t="str">
        <f>IFERROR(VLOOKUP($A4551,原始数据_利率互换_FR007_1年!$A$6:$C$4395,2,0),"")</f>
        <v/>
      </c>
      <c r="I4551" t="str">
        <f>IFERROR(VLOOKUP($A4551,原始数据_利率互换_FR007_1年!$A$6:$C$4395,3,0),"")</f>
        <v/>
      </c>
    </row>
    <row r="4552" spans="1:9">
      <c r="A4552" s="6">
        <v>44045</v>
      </c>
      <c r="B4552" t="str">
        <f>IFERROR(VLOOKUP($A4552,原始数据_收盘!$A$4:$G$3460,2,0),"")</f>
        <v/>
      </c>
      <c r="C4552" t="str">
        <f>IFERROR(VLOOKUP($A4552,原始数据_收盘!$A$4:$G$3460,3,0),"")</f>
        <v/>
      </c>
      <c r="D4552" t="str">
        <f>IFERROR(VLOOKUP($A4552,原始数据_收盘!$A$4:$G$3460,4,0),"")</f>
        <v/>
      </c>
      <c r="E4552" t="str">
        <f>IFERROR(VLOOKUP($A4552,原始数据_收盘!$A$4:$G$3460,5,0),"")</f>
        <v/>
      </c>
      <c r="F4552" t="str">
        <f>IFERROR(VLOOKUP($A4552,原始数据_收盘!$A$4:$G$3460,6,0),"")</f>
        <v/>
      </c>
      <c r="G4552" t="str">
        <f>IFERROR(VLOOKUP($A4552,原始数据_收盘!$A$4:$G$3460,7,0),"")</f>
        <v/>
      </c>
      <c r="H4552" t="str">
        <f>IFERROR(VLOOKUP($A4552,原始数据_利率互换_FR007_1年!$A$6:$C$4395,2,0),"")</f>
        <v/>
      </c>
      <c r="I4552" t="str">
        <f>IFERROR(VLOOKUP($A4552,原始数据_利率互换_FR007_1年!$A$6:$C$4395,3,0),"")</f>
        <v/>
      </c>
    </row>
    <row r="4553" spans="1:9">
      <c r="A4553" s="6">
        <v>44046</v>
      </c>
      <c r="B4553">
        <f>IFERROR(VLOOKUP($A4553,原始数据_收盘!$A$4:$G$3460,2,0),"")</f>
        <v>2.3775</v>
      </c>
      <c r="C4553">
        <f>IFERROR(VLOOKUP($A4553,原始数据_收盘!$A$4:$G$3460,3,0),"")</f>
        <v>2.695</v>
      </c>
      <c r="D4553">
        <f>IFERROR(VLOOKUP($A4553,原始数据_收盘!$A$4:$G$3460,4,0),"")</f>
        <v>2.3804</v>
      </c>
      <c r="E4553">
        <f>IFERROR(VLOOKUP($A4553,原始数据_收盘!$A$4:$G$3460,5,0),"")</f>
        <v>2.6985</v>
      </c>
      <c r="F4553">
        <f>IFERROR(VLOOKUP($A4553,原始数据_收盘!$A$4:$G$3460,6,0),"")</f>
        <v>2.379</v>
      </c>
      <c r="G4553">
        <f>IFERROR(VLOOKUP($A4553,原始数据_收盘!$A$4:$G$3460,7,0),"")</f>
        <v>2.6968</v>
      </c>
      <c r="H4553">
        <f>IFERROR(VLOOKUP($A4553,原始数据_利率互换_FR007_1年!$A$6:$C$4395,2,0),"")</f>
        <v>2.3872</v>
      </c>
      <c r="I4553">
        <f>IFERROR(VLOOKUP($A4553,原始数据_利率互换_FR007_1年!$A$6:$C$4395,3,0),"")</f>
        <v>2.7146</v>
      </c>
    </row>
    <row r="4554" spans="1:9">
      <c r="A4554" s="6">
        <v>44047</v>
      </c>
      <c r="B4554">
        <f>IFERROR(VLOOKUP($A4554,原始数据_收盘!$A$4:$G$3460,2,0),"")</f>
        <v>2.385</v>
      </c>
      <c r="C4554">
        <f>IFERROR(VLOOKUP($A4554,原始数据_收盘!$A$4:$G$3460,3,0),"")</f>
        <v>2.695</v>
      </c>
      <c r="D4554">
        <f>IFERROR(VLOOKUP($A4554,原始数据_收盘!$A$4:$G$3460,4,0),"")</f>
        <v>2.388</v>
      </c>
      <c r="E4554">
        <f>IFERROR(VLOOKUP($A4554,原始数据_收盘!$A$4:$G$3460,5,0),"")</f>
        <v>2.7</v>
      </c>
      <c r="F4554">
        <f>IFERROR(VLOOKUP($A4554,原始数据_收盘!$A$4:$G$3460,6,0),"")</f>
        <v>2.3865</v>
      </c>
      <c r="G4554">
        <f>IFERROR(VLOOKUP($A4554,原始数据_收盘!$A$4:$G$3460,7,0),"")</f>
        <v>2.6975</v>
      </c>
      <c r="H4554">
        <f>IFERROR(VLOOKUP($A4554,原始数据_利率互换_FR007_1年!$A$6:$C$4395,2,0),"")</f>
        <v>2.3828</v>
      </c>
      <c r="I4554">
        <f>IFERROR(VLOOKUP($A4554,原始数据_利率互换_FR007_1年!$A$6:$C$4395,3,0),"")</f>
        <v>2.7023</v>
      </c>
    </row>
    <row r="4555" spans="1:9">
      <c r="A4555" s="6">
        <v>44048</v>
      </c>
      <c r="B4555">
        <f>IFERROR(VLOOKUP($A4555,原始数据_收盘!$A$4:$G$3460,2,0),"")</f>
        <v>2.3875</v>
      </c>
      <c r="C4555">
        <f>IFERROR(VLOOKUP($A4555,原始数据_收盘!$A$4:$G$3460,3,0),"")</f>
        <v>2.7025</v>
      </c>
      <c r="D4555">
        <f>IFERROR(VLOOKUP($A4555,原始数据_收盘!$A$4:$G$3460,4,0),"")</f>
        <v>2.39</v>
      </c>
      <c r="E4555">
        <f>IFERROR(VLOOKUP($A4555,原始数据_收盘!$A$4:$G$3460,5,0),"")</f>
        <v>2.705</v>
      </c>
      <c r="F4555">
        <f>IFERROR(VLOOKUP($A4555,原始数据_收盘!$A$4:$G$3460,6,0),"")</f>
        <v>2.3888</v>
      </c>
      <c r="G4555">
        <f>IFERROR(VLOOKUP($A4555,原始数据_收盘!$A$4:$G$3460,7,0),"")</f>
        <v>2.7038</v>
      </c>
      <c r="H4555">
        <f>IFERROR(VLOOKUP($A4555,原始数据_利率互换_FR007_1年!$A$6:$C$4395,2,0),"")</f>
        <v>2.3813</v>
      </c>
      <c r="I4555">
        <f>IFERROR(VLOOKUP($A4555,原始数据_利率互换_FR007_1年!$A$6:$C$4395,3,0),"")</f>
        <v>2.6845</v>
      </c>
    </row>
    <row r="4556" spans="1:9">
      <c r="A4556" s="6">
        <v>44049</v>
      </c>
      <c r="B4556">
        <f>IFERROR(VLOOKUP($A4556,原始数据_收盘!$A$4:$G$3460,2,0),"")</f>
        <v>2.4073</v>
      </c>
      <c r="C4556">
        <f>IFERROR(VLOOKUP($A4556,原始数据_收盘!$A$4:$G$3460,3,0),"")</f>
        <v>2.7243</v>
      </c>
      <c r="D4556">
        <f>IFERROR(VLOOKUP($A4556,原始数据_收盘!$A$4:$G$3460,4,0),"")</f>
        <v>2.4125</v>
      </c>
      <c r="E4556">
        <f>IFERROR(VLOOKUP($A4556,原始数据_收盘!$A$4:$G$3460,5,0),"")</f>
        <v>2.7275</v>
      </c>
      <c r="F4556">
        <f>IFERROR(VLOOKUP($A4556,原始数据_收盘!$A$4:$G$3460,6,0),"")</f>
        <v>2.4099</v>
      </c>
      <c r="G4556">
        <f>IFERROR(VLOOKUP($A4556,原始数据_收盘!$A$4:$G$3460,7,0),"")</f>
        <v>2.7259</v>
      </c>
      <c r="H4556">
        <f>IFERROR(VLOOKUP($A4556,原始数据_利率互换_FR007_1年!$A$6:$C$4395,2,0),"")</f>
        <v>2.4026</v>
      </c>
      <c r="I4556">
        <f>IFERROR(VLOOKUP($A4556,原始数据_利率互换_FR007_1年!$A$6:$C$4395,3,0),"")</f>
        <v>2.7116</v>
      </c>
    </row>
    <row r="4557" spans="1:9">
      <c r="A4557" s="6">
        <v>44050</v>
      </c>
      <c r="B4557">
        <f>IFERROR(VLOOKUP($A4557,原始数据_收盘!$A$4:$G$3460,2,0),"")</f>
        <v>2.4175</v>
      </c>
      <c r="C4557">
        <f>IFERROR(VLOOKUP($A4557,原始数据_收盘!$A$4:$G$3460,3,0),"")</f>
        <v>2.735</v>
      </c>
      <c r="D4557">
        <f>IFERROR(VLOOKUP($A4557,原始数据_收盘!$A$4:$G$3460,4,0),"")</f>
        <v>2.4201</v>
      </c>
      <c r="E4557">
        <f>IFERROR(VLOOKUP($A4557,原始数据_收盘!$A$4:$G$3460,5,0),"")</f>
        <v>2.7375</v>
      </c>
      <c r="F4557">
        <f>IFERROR(VLOOKUP($A4557,原始数据_收盘!$A$4:$G$3460,6,0),"")</f>
        <v>2.4188</v>
      </c>
      <c r="G4557">
        <f>IFERROR(VLOOKUP($A4557,原始数据_收盘!$A$4:$G$3460,7,0),"")</f>
        <v>2.7363</v>
      </c>
      <c r="H4557">
        <f>IFERROR(VLOOKUP($A4557,原始数据_利率互换_FR007_1年!$A$6:$C$4395,2,0),"")</f>
        <v>2.4166</v>
      </c>
      <c r="I4557">
        <f>IFERROR(VLOOKUP($A4557,原始数据_利率互换_FR007_1年!$A$6:$C$4395,3,0),"")</f>
        <v>2.7338</v>
      </c>
    </row>
    <row r="4558" spans="1:9">
      <c r="A4558" s="6">
        <v>44051</v>
      </c>
      <c r="B4558" t="str">
        <f>IFERROR(VLOOKUP($A4558,原始数据_收盘!$A$4:$G$3460,2,0),"")</f>
        <v/>
      </c>
      <c r="C4558" t="str">
        <f>IFERROR(VLOOKUP($A4558,原始数据_收盘!$A$4:$G$3460,3,0),"")</f>
        <v/>
      </c>
      <c r="D4558" t="str">
        <f>IFERROR(VLOOKUP($A4558,原始数据_收盘!$A$4:$G$3460,4,0),"")</f>
        <v/>
      </c>
      <c r="E4558" t="str">
        <f>IFERROR(VLOOKUP($A4558,原始数据_收盘!$A$4:$G$3460,5,0),"")</f>
        <v/>
      </c>
      <c r="F4558" t="str">
        <f>IFERROR(VLOOKUP($A4558,原始数据_收盘!$A$4:$G$3460,6,0),"")</f>
        <v/>
      </c>
      <c r="G4558" t="str">
        <f>IFERROR(VLOOKUP($A4558,原始数据_收盘!$A$4:$G$3460,7,0),"")</f>
        <v/>
      </c>
      <c r="H4558" t="str">
        <f>IFERROR(VLOOKUP($A4558,原始数据_利率互换_FR007_1年!$A$6:$C$4395,2,0),"")</f>
        <v/>
      </c>
      <c r="I4558" t="str">
        <f>IFERROR(VLOOKUP($A4558,原始数据_利率互换_FR007_1年!$A$6:$C$4395,3,0),"")</f>
        <v/>
      </c>
    </row>
    <row r="4559" spans="1:9">
      <c r="A4559" s="6">
        <v>44052</v>
      </c>
      <c r="B4559" t="str">
        <f>IFERROR(VLOOKUP($A4559,原始数据_收盘!$A$4:$G$3460,2,0),"")</f>
        <v/>
      </c>
      <c r="C4559" t="str">
        <f>IFERROR(VLOOKUP($A4559,原始数据_收盘!$A$4:$G$3460,3,0),"")</f>
        <v/>
      </c>
      <c r="D4559" t="str">
        <f>IFERROR(VLOOKUP($A4559,原始数据_收盘!$A$4:$G$3460,4,0),"")</f>
        <v/>
      </c>
      <c r="E4559" t="str">
        <f>IFERROR(VLOOKUP($A4559,原始数据_收盘!$A$4:$G$3460,5,0),"")</f>
        <v/>
      </c>
      <c r="F4559" t="str">
        <f>IFERROR(VLOOKUP($A4559,原始数据_收盘!$A$4:$G$3460,6,0),"")</f>
        <v/>
      </c>
      <c r="G4559" t="str">
        <f>IFERROR(VLOOKUP($A4559,原始数据_收盘!$A$4:$G$3460,7,0),"")</f>
        <v/>
      </c>
      <c r="H4559" t="str">
        <f>IFERROR(VLOOKUP($A4559,原始数据_利率互换_FR007_1年!$A$6:$C$4395,2,0),"")</f>
        <v/>
      </c>
      <c r="I4559" t="str">
        <f>IFERROR(VLOOKUP($A4559,原始数据_利率互换_FR007_1年!$A$6:$C$4395,3,0),"")</f>
        <v/>
      </c>
    </row>
    <row r="4560" spans="1:9">
      <c r="A4560" s="6">
        <v>44053</v>
      </c>
      <c r="B4560">
        <f>IFERROR(VLOOKUP($A4560,原始数据_收盘!$A$4:$G$3460,2,0),"")</f>
        <v>2.3727</v>
      </c>
      <c r="C4560">
        <f>IFERROR(VLOOKUP($A4560,原始数据_收盘!$A$4:$G$3460,3,0),"")</f>
        <v>2.6825</v>
      </c>
      <c r="D4560">
        <f>IFERROR(VLOOKUP($A4560,原始数据_收盘!$A$4:$G$3460,4,0),"")</f>
        <v>2.3784</v>
      </c>
      <c r="E4560">
        <f>IFERROR(VLOOKUP($A4560,原始数据_收盘!$A$4:$G$3460,5,0),"")</f>
        <v>2.685</v>
      </c>
      <c r="F4560">
        <f>IFERROR(VLOOKUP($A4560,原始数据_收盘!$A$4:$G$3460,6,0),"")</f>
        <v>2.3755</v>
      </c>
      <c r="G4560">
        <f>IFERROR(VLOOKUP($A4560,原始数据_收盘!$A$4:$G$3460,7,0),"")</f>
        <v>2.6838</v>
      </c>
      <c r="H4560">
        <f>IFERROR(VLOOKUP($A4560,原始数据_利率互换_FR007_1年!$A$6:$C$4395,2,0),"")</f>
        <v>2.392</v>
      </c>
      <c r="I4560">
        <f>IFERROR(VLOOKUP($A4560,原始数据_利率互换_FR007_1年!$A$6:$C$4395,3,0),"")</f>
        <v>2.7041</v>
      </c>
    </row>
    <row r="4561" spans="1:9">
      <c r="A4561" s="6">
        <v>44054</v>
      </c>
      <c r="B4561">
        <f>IFERROR(VLOOKUP($A4561,原始数据_收盘!$A$4:$G$3460,2,0),"")</f>
        <v>2.3875</v>
      </c>
      <c r="C4561">
        <f>IFERROR(VLOOKUP($A4561,原始数据_收盘!$A$4:$G$3460,3,0),"")</f>
        <v>2.6905</v>
      </c>
      <c r="D4561">
        <f>IFERROR(VLOOKUP($A4561,原始数据_收盘!$A$4:$G$3460,4,0),"")</f>
        <v>2.3935</v>
      </c>
      <c r="E4561">
        <f>IFERROR(VLOOKUP($A4561,原始数据_收盘!$A$4:$G$3460,5,0),"")</f>
        <v>2.6931</v>
      </c>
      <c r="F4561">
        <f>IFERROR(VLOOKUP($A4561,原始数据_收盘!$A$4:$G$3460,6,0),"")</f>
        <v>2.3905</v>
      </c>
      <c r="G4561">
        <f>IFERROR(VLOOKUP($A4561,原始数据_收盘!$A$4:$G$3460,7,0),"")</f>
        <v>2.6918</v>
      </c>
      <c r="H4561">
        <f>IFERROR(VLOOKUP($A4561,原始数据_利率互换_FR007_1年!$A$6:$C$4395,2,0),"")</f>
        <v>2.3912</v>
      </c>
      <c r="I4561">
        <f>IFERROR(VLOOKUP($A4561,原始数据_利率互换_FR007_1年!$A$6:$C$4395,3,0),"")</f>
        <v>2.6947</v>
      </c>
    </row>
    <row r="4562" spans="1:9">
      <c r="A4562" s="6">
        <v>44055</v>
      </c>
      <c r="B4562">
        <f>IFERROR(VLOOKUP($A4562,原始数据_收盘!$A$4:$G$3460,2,0),"")</f>
        <v>2.4296</v>
      </c>
      <c r="C4562">
        <f>IFERROR(VLOOKUP($A4562,原始数据_收盘!$A$4:$G$3460,3,0),"")</f>
        <v>2.73</v>
      </c>
      <c r="D4562">
        <f>IFERROR(VLOOKUP($A4562,原始数据_收盘!$A$4:$G$3460,4,0),"")</f>
        <v>2.4336</v>
      </c>
      <c r="E4562">
        <f>IFERROR(VLOOKUP($A4562,原始数据_收盘!$A$4:$G$3460,5,0),"")</f>
        <v>2.735</v>
      </c>
      <c r="F4562">
        <f>IFERROR(VLOOKUP($A4562,原始数据_收盘!$A$4:$G$3460,6,0),"")</f>
        <v>2.4316</v>
      </c>
      <c r="G4562">
        <f>IFERROR(VLOOKUP($A4562,原始数据_收盘!$A$4:$G$3460,7,0),"")</f>
        <v>2.7325</v>
      </c>
      <c r="H4562">
        <f>IFERROR(VLOOKUP($A4562,原始数据_利率互换_FR007_1年!$A$6:$C$4395,2,0),"")</f>
        <v>2.4149</v>
      </c>
      <c r="I4562">
        <f>IFERROR(VLOOKUP($A4562,原始数据_利率互换_FR007_1年!$A$6:$C$4395,3,0),"")</f>
        <v>2.7119</v>
      </c>
    </row>
    <row r="4563" spans="1:9">
      <c r="A4563" s="6">
        <v>44056</v>
      </c>
      <c r="B4563">
        <f>IFERROR(VLOOKUP($A4563,原始数据_收盘!$A$4:$G$3460,2,0),"")</f>
        <v>2.41</v>
      </c>
      <c r="C4563">
        <f>IFERROR(VLOOKUP($A4563,原始数据_收盘!$A$4:$G$3460,3,0),"")</f>
        <v>2.715</v>
      </c>
      <c r="D4563">
        <f>IFERROR(VLOOKUP($A4563,原始数据_收盘!$A$4:$G$3460,4,0),"")</f>
        <v>2.4125</v>
      </c>
      <c r="E4563">
        <f>IFERROR(VLOOKUP($A4563,原始数据_收盘!$A$4:$G$3460,5,0),"")</f>
        <v>2.7175</v>
      </c>
      <c r="F4563">
        <f>IFERROR(VLOOKUP($A4563,原始数据_收盘!$A$4:$G$3460,6,0),"")</f>
        <v>2.4113</v>
      </c>
      <c r="G4563">
        <f>IFERROR(VLOOKUP($A4563,原始数据_收盘!$A$4:$G$3460,7,0),"")</f>
        <v>2.7163</v>
      </c>
      <c r="H4563">
        <f>IFERROR(VLOOKUP($A4563,原始数据_利率互换_FR007_1年!$A$6:$C$4395,2,0),"")</f>
        <v>2.4136</v>
      </c>
      <c r="I4563">
        <f>IFERROR(VLOOKUP($A4563,原始数据_利率互换_FR007_1年!$A$6:$C$4395,3,0),"")</f>
        <v>2.7209</v>
      </c>
    </row>
    <row r="4564" spans="1:9">
      <c r="A4564" s="6">
        <v>44057</v>
      </c>
      <c r="B4564">
        <f>IFERROR(VLOOKUP($A4564,原始数据_收盘!$A$4:$G$3460,2,0),"")</f>
        <v>2.4025</v>
      </c>
      <c r="C4564">
        <f>IFERROR(VLOOKUP($A4564,原始数据_收盘!$A$4:$G$3460,3,0),"")</f>
        <v>2.7025</v>
      </c>
      <c r="D4564">
        <f>IFERROR(VLOOKUP($A4564,原始数据_收盘!$A$4:$G$3460,4,0),"")</f>
        <v>2.41</v>
      </c>
      <c r="E4564">
        <f>IFERROR(VLOOKUP($A4564,原始数据_收盘!$A$4:$G$3460,5,0),"")</f>
        <v>2.7075</v>
      </c>
      <c r="F4564">
        <f>IFERROR(VLOOKUP($A4564,原始数据_收盘!$A$4:$G$3460,6,0),"")</f>
        <v>2.4063</v>
      </c>
      <c r="G4564">
        <f>IFERROR(VLOOKUP($A4564,原始数据_收盘!$A$4:$G$3460,7,0),"")</f>
        <v>2.705</v>
      </c>
      <c r="H4564">
        <f>IFERROR(VLOOKUP($A4564,原始数据_利率互换_FR007_1年!$A$6:$C$4395,2,0),"")</f>
        <v>2.3988</v>
      </c>
      <c r="I4564">
        <f>IFERROR(VLOOKUP($A4564,原始数据_利率互换_FR007_1年!$A$6:$C$4395,3,0),"")</f>
        <v>2.7073</v>
      </c>
    </row>
    <row r="4565" spans="1:9">
      <c r="A4565" s="6">
        <v>44058</v>
      </c>
      <c r="B4565" t="str">
        <f>IFERROR(VLOOKUP($A4565,原始数据_收盘!$A$4:$G$3460,2,0),"")</f>
        <v/>
      </c>
      <c r="C4565" t="str">
        <f>IFERROR(VLOOKUP($A4565,原始数据_收盘!$A$4:$G$3460,3,0),"")</f>
        <v/>
      </c>
      <c r="D4565" t="str">
        <f>IFERROR(VLOOKUP($A4565,原始数据_收盘!$A$4:$G$3460,4,0),"")</f>
        <v/>
      </c>
      <c r="E4565" t="str">
        <f>IFERROR(VLOOKUP($A4565,原始数据_收盘!$A$4:$G$3460,5,0),"")</f>
        <v/>
      </c>
      <c r="F4565" t="str">
        <f>IFERROR(VLOOKUP($A4565,原始数据_收盘!$A$4:$G$3460,6,0),"")</f>
        <v/>
      </c>
      <c r="G4565" t="str">
        <f>IFERROR(VLOOKUP($A4565,原始数据_收盘!$A$4:$G$3460,7,0),"")</f>
        <v/>
      </c>
      <c r="H4565" t="str">
        <f>IFERROR(VLOOKUP($A4565,原始数据_利率互换_FR007_1年!$A$6:$C$4395,2,0),"")</f>
        <v/>
      </c>
      <c r="I4565" t="str">
        <f>IFERROR(VLOOKUP($A4565,原始数据_利率互换_FR007_1年!$A$6:$C$4395,3,0),"")</f>
        <v/>
      </c>
    </row>
    <row r="4566" spans="1:9">
      <c r="A4566" s="6">
        <v>44059</v>
      </c>
      <c r="B4566" t="str">
        <f>IFERROR(VLOOKUP($A4566,原始数据_收盘!$A$4:$G$3460,2,0),"")</f>
        <v/>
      </c>
      <c r="C4566" t="str">
        <f>IFERROR(VLOOKUP($A4566,原始数据_收盘!$A$4:$G$3460,3,0),"")</f>
        <v/>
      </c>
      <c r="D4566" t="str">
        <f>IFERROR(VLOOKUP($A4566,原始数据_收盘!$A$4:$G$3460,4,0),"")</f>
        <v/>
      </c>
      <c r="E4566" t="str">
        <f>IFERROR(VLOOKUP($A4566,原始数据_收盘!$A$4:$G$3460,5,0),"")</f>
        <v/>
      </c>
      <c r="F4566" t="str">
        <f>IFERROR(VLOOKUP($A4566,原始数据_收盘!$A$4:$G$3460,6,0),"")</f>
        <v/>
      </c>
      <c r="G4566" t="str">
        <f>IFERROR(VLOOKUP($A4566,原始数据_收盘!$A$4:$G$3460,7,0),"")</f>
        <v/>
      </c>
      <c r="H4566" t="str">
        <f>IFERROR(VLOOKUP($A4566,原始数据_利率互换_FR007_1年!$A$6:$C$4395,2,0),"")</f>
        <v/>
      </c>
      <c r="I4566" t="str">
        <f>IFERROR(VLOOKUP($A4566,原始数据_利率互换_FR007_1年!$A$6:$C$4395,3,0),"")</f>
        <v/>
      </c>
    </row>
    <row r="4567" spans="1:9">
      <c r="A4567" s="6">
        <v>44060</v>
      </c>
      <c r="B4567">
        <f>IFERROR(VLOOKUP($A4567,原始数据_收盘!$A$4:$G$3460,2,0),"")</f>
        <v>2.395</v>
      </c>
      <c r="C4567">
        <f>IFERROR(VLOOKUP($A4567,原始数据_收盘!$A$4:$G$3460,3,0),"")</f>
        <v>2.695</v>
      </c>
      <c r="D4567">
        <f>IFERROR(VLOOKUP($A4567,原始数据_收盘!$A$4:$G$3460,4,0),"")</f>
        <v>2.3975</v>
      </c>
      <c r="E4567">
        <f>IFERROR(VLOOKUP($A4567,原始数据_收盘!$A$4:$G$3460,5,0),"")</f>
        <v>2.6975</v>
      </c>
      <c r="F4567">
        <f>IFERROR(VLOOKUP($A4567,原始数据_收盘!$A$4:$G$3460,6,0),"")</f>
        <v>2.3963</v>
      </c>
      <c r="G4567">
        <f>IFERROR(VLOOKUP($A4567,原始数据_收盘!$A$4:$G$3460,7,0),"")</f>
        <v>2.6963</v>
      </c>
      <c r="H4567">
        <f>IFERROR(VLOOKUP($A4567,原始数据_利率互换_FR007_1年!$A$6:$C$4395,2,0),"")</f>
        <v>2.3963</v>
      </c>
      <c r="I4567">
        <f>IFERROR(VLOOKUP($A4567,原始数据_利率互换_FR007_1年!$A$6:$C$4395,3,0),"")</f>
        <v>2.6893</v>
      </c>
    </row>
    <row r="4568" spans="1:9">
      <c r="A4568" s="6">
        <v>44061</v>
      </c>
      <c r="B4568">
        <f>IFERROR(VLOOKUP($A4568,原始数据_收盘!$A$4:$G$3460,2,0),"")</f>
        <v>2.4047</v>
      </c>
      <c r="C4568">
        <f>IFERROR(VLOOKUP($A4568,原始数据_收盘!$A$4:$G$3460,3,0),"")</f>
        <v>2.715</v>
      </c>
      <c r="D4568">
        <f>IFERROR(VLOOKUP($A4568,原始数据_收盘!$A$4:$G$3460,4,0),"")</f>
        <v>2.415</v>
      </c>
      <c r="E4568">
        <f>IFERROR(VLOOKUP($A4568,原始数据_收盘!$A$4:$G$3460,5,0),"")</f>
        <v>2.7175</v>
      </c>
      <c r="F4568">
        <f>IFERROR(VLOOKUP($A4568,原始数据_收盘!$A$4:$G$3460,6,0),"")</f>
        <v>2.4099</v>
      </c>
      <c r="G4568">
        <f>IFERROR(VLOOKUP($A4568,原始数据_收盘!$A$4:$G$3460,7,0),"")</f>
        <v>2.7163</v>
      </c>
      <c r="H4568">
        <f>IFERROR(VLOOKUP($A4568,原始数据_利率互换_FR007_1年!$A$6:$C$4395,2,0),"")</f>
        <v>2.3979</v>
      </c>
      <c r="I4568">
        <f>IFERROR(VLOOKUP($A4568,原始数据_利率互换_FR007_1年!$A$6:$C$4395,3,0),"")</f>
        <v>2.7037</v>
      </c>
    </row>
    <row r="4569" spans="1:9">
      <c r="A4569" s="6">
        <v>44062</v>
      </c>
      <c r="B4569">
        <f>IFERROR(VLOOKUP($A4569,原始数据_收盘!$A$4:$G$3460,2,0),"")</f>
        <v>2.4325</v>
      </c>
      <c r="C4569">
        <f>IFERROR(VLOOKUP($A4569,原始数据_收盘!$A$4:$G$3460,3,0),"")</f>
        <v>2.7438</v>
      </c>
      <c r="D4569">
        <f>IFERROR(VLOOKUP($A4569,原始数据_收盘!$A$4:$G$3460,4,0),"")</f>
        <v>2.44</v>
      </c>
      <c r="E4569">
        <f>IFERROR(VLOOKUP($A4569,原始数据_收盘!$A$4:$G$3460,5,0),"")</f>
        <v>2.7464</v>
      </c>
      <c r="F4569">
        <f>IFERROR(VLOOKUP($A4569,原始数据_收盘!$A$4:$G$3460,6,0),"")</f>
        <v>2.4363</v>
      </c>
      <c r="G4569">
        <f>IFERROR(VLOOKUP($A4569,原始数据_收盘!$A$4:$G$3460,7,0),"")</f>
        <v>2.7451</v>
      </c>
      <c r="H4569">
        <f>IFERROR(VLOOKUP($A4569,原始数据_利率互换_FR007_1年!$A$6:$C$4395,2,0),"")</f>
        <v>2.4197</v>
      </c>
      <c r="I4569">
        <f>IFERROR(VLOOKUP($A4569,原始数据_利率互换_FR007_1年!$A$6:$C$4395,3,0),"")</f>
        <v>2.7327</v>
      </c>
    </row>
    <row r="4570" spans="1:9">
      <c r="A4570" s="6">
        <v>44063</v>
      </c>
      <c r="B4570">
        <f>IFERROR(VLOOKUP($A4570,原始数据_收盘!$A$4:$G$3460,2,0),"")</f>
        <v>2.465</v>
      </c>
      <c r="C4570">
        <f>IFERROR(VLOOKUP($A4570,原始数据_收盘!$A$4:$G$3460,3,0),"")</f>
        <v>2.774</v>
      </c>
      <c r="D4570">
        <f>IFERROR(VLOOKUP($A4570,原始数据_收盘!$A$4:$G$3460,4,0),"")</f>
        <v>2.4725</v>
      </c>
      <c r="E4570">
        <f>IFERROR(VLOOKUP($A4570,原始数据_收盘!$A$4:$G$3460,5,0),"")</f>
        <v>2.781</v>
      </c>
      <c r="F4570">
        <f>IFERROR(VLOOKUP($A4570,原始数据_收盘!$A$4:$G$3460,6,0),"")</f>
        <v>2.4688</v>
      </c>
      <c r="G4570">
        <f>IFERROR(VLOOKUP($A4570,原始数据_收盘!$A$4:$G$3460,7,0),"")</f>
        <v>2.7775</v>
      </c>
      <c r="H4570">
        <f>IFERROR(VLOOKUP($A4570,原始数据_利率互换_FR007_1年!$A$6:$C$4395,2,0),"")</f>
        <v>2.4596</v>
      </c>
      <c r="I4570">
        <f>IFERROR(VLOOKUP($A4570,原始数据_利率互换_FR007_1年!$A$6:$C$4395,3,0),"")</f>
        <v>2.7664</v>
      </c>
    </row>
    <row r="4571" spans="1:9">
      <c r="A4571" s="6">
        <v>44064</v>
      </c>
      <c r="B4571">
        <f>IFERROR(VLOOKUP($A4571,原始数据_收盘!$A$4:$G$3460,2,0),"")</f>
        <v>2.4472</v>
      </c>
      <c r="C4571">
        <f>IFERROR(VLOOKUP($A4571,原始数据_收盘!$A$4:$G$3460,3,0),"")</f>
        <v>2.7438</v>
      </c>
      <c r="D4571">
        <f>IFERROR(VLOOKUP($A4571,原始数据_收盘!$A$4:$G$3460,4,0),"")</f>
        <v>2.4511</v>
      </c>
      <c r="E4571">
        <f>IFERROR(VLOOKUP($A4571,原始数据_收盘!$A$4:$G$3460,5,0),"")</f>
        <v>2.7488</v>
      </c>
      <c r="F4571">
        <f>IFERROR(VLOOKUP($A4571,原始数据_收盘!$A$4:$G$3460,6,0),"")</f>
        <v>2.4492</v>
      </c>
      <c r="G4571">
        <f>IFERROR(VLOOKUP($A4571,原始数据_收盘!$A$4:$G$3460,7,0),"")</f>
        <v>2.7463</v>
      </c>
      <c r="H4571">
        <f>IFERROR(VLOOKUP($A4571,原始数据_利率互换_FR007_1年!$A$6:$C$4395,2,0),"")</f>
        <v>2.4716</v>
      </c>
      <c r="I4571">
        <f>IFERROR(VLOOKUP($A4571,原始数据_利率互换_FR007_1年!$A$6:$C$4395,3,0),"")</f>
        <v>2.7673</v>
      </c>
    </row>
    <row r="4572" spans="1:9">
      <c r="A4572" s="6">
        <v>44065</v>
      </c>
      <c r="B4572" t="str">
        <f>IFERROR(VLOOKUP($A4572,原始数据_收盘!$A$4:$G$3460,2,0),"")</f>
        <v/>
      </c>
      <c r="C4572" t="str">
        <f>IFERROR(VLOOKUP($A4572,原始数据_收盘!$A$4:$G$3460,3,0),"")</f>
        <v/>
      </c>
      <c r="D4572" t="str">
        <f>IFERROR(VLOOKUP($A4572,原始数据_收盘!$A$4:$G$3460,4,0),"")</f>
        <v/>
      </c>
      <c r="E4572" t="str">
        <f>IFERROR(VLOOKUP($A4572,原始数据_收盘!$A$4:$G$3460,5,0),"")</f>
        <v/>
      </c>
      <c r="F4572" t="str">
        <f>IFERROR(VLOOKUP($A4572,原始数据_收盘!$A$4:$G$3460,6,0),"")</f>
        <v/>
      </c>
      <c r="G4572" t="str">
        <f>IFERROR(VLOOKUP($A4572,原始数据_收盘!$A$4:$G$3460,7,0),"")</f>
        <v/>
      </c>
      <c r="H4572" t="str">
        <f>IFERROR(VLOOKUP($A4572,原始数据_利率互换_FR007_1年!$A$6:$C$4395,2,0),"")</f>
        <v/>
      </c>
      <c r="I4572" t="str">
        <f>IFERROR(VLOOKUP($A4572,原始数据_利率互换_FR007_1年!$A$6:$C$4395,3,0),"")</f>
        <v/>
      </c>
    </row>
    <row r="4573" spans="1:9">
      <c r="A4573" s="6">
        <v>44066</v>
      </c>
      <c r="B4573" t="str">
        <f>IFERROR(VLOOKUP($A4573,原始数据_收盘!$A$4:$G$3460,2,0),"")</f>
        <v/>
      </c>
      <c r="C4573" t="str">
        <f>IFERROR(VLOOKUP($A4573,原始数据_收盘!$A$4:$G$3460,3,0),"")</f>
        <v/>
      </c>
      <c r="D4573" t="str">
        <f>IFERROR(VLOOKUP($A4573,原始数据_收盘!$A$4:$G$3460,4,0),"")</f>
        <v/>
      </c>
      <c r="E4573" t="str">
        <f>IFERROR(VLOOKUP($A4573,原始数据_收盘!$A$4:$G$3460,5,0),"")</f>
        <v/>
      </c>
      <c r="F4573" t="str">
        <f>IFERROR(VLOOKUP($A4573,原始数据_收盘!$A$4:$G$3460,6,0),"")</f>
        <v/>
      </c>
      <c r="G4573" t="str">
        <f>IFERROR(VLOOKUP($A4573,原始数据_收盘!$A$4:$G$3460,7,0),"")</f>
        <v/>
      </c>
      <c r="H4573" t="str">
        <f>IFERROR(VLOOKUP($A4573,原始数据_利率互换_FR007_1年!$A$6:$C$4395,2,0),"")</f>
        <v/>
      </c>
      <c r="I4573" t="str">
        <f>IFERROR(VLOOKUP($A4573,原始数据_利率互换_FR007_1年!$A$6:$C$4395,3,0),"")</f>
        <v/>
      </c>
    </row>
    <row r="4574" spans="1:9">
      <c r="A4574" s="6">
        <v>44067</v>
      </c>
      <c r="B4574">
        <f>IFERROR(VLOOKUP($A4574,原始数据_收盘!$A$4:$G$3460,2,0),"")</f>
        <v>2.465</v>
      </c>
      <c r="C4574">
        <f>IFERROR(VLOOKUP($A4574,原始数据_收盘!$A$4:$G$3460,3,0),"")</f>
        <v>2.7753</v>
      </c>
      <c r="D4574">
        <f>IFERROR(VLOOKUP($A4574,原始数据_收盘!$A$4:$G$3460,4,0),"")</f>
        <v>2.4717</v>
      </c>
      <c r="E4574">
        <f>IFERROR(VLOOKUP($A4574,原始数据_收盘!$A$4:$G$3460,5,0),"")</f>
        <v>2.7788</v>
      </c>
      <c r="F4574">
        <f>IFERROR(VLOOKUP($A4574,原始数据_收盘!$A$4:$G$3460,6,0),"")</f>
        <v>2.4683</v>
      </c>
      <c r="G4574">
        <f>IFERROR(VLOOKUP($A4574,原始数据_收盘!$A$4:$G$3460,7,0),"")</f>
        <v>2.777</v>
      </c>
      <c r="H4574">
        <f>IFERROR(VLOOKUP($A4574,原始数据_利率互换_FR007_1年!$A$6:$C$4395,2,0),"")</f>
        <v>2.4604</v>
      </c>
      <c r="I4574">
        <f>IFERROR(VLOOKUP($A4574,原始数据_利率互换_FR007_1年!$A$6:$C$4395,3,0),"")</f>
        <v>2.7628</v>
      </c>
    </row>
    <row r="4575" spans="1:9">
      <c r="A4575" s="6">
        <v>44068</v>
      </c>
      <c r="B4575">
        <f>IFERROR(VLOOKUP($A4575,原始数据_收盘!$A$4:$G$3460,2,0),"")</f>
        <v>2.495</v>
      </c>
      <c r="C4575">
        <f>IFERROR(VLOOKUP($A4575,原始数据_收盘!$A$4:$G$3460,3,0),"")</f>
        <v>2.8173</v>
      </c>
      <c r="D4575">
        <f>IFERROR(VLOOKUP($A4575,原始数据_收盘!$A$4:$G$3460,4,0),"")</f>
        <v>2.4975</v>
      </c>
      <c r="E4575">
        <f>IFERROR(VLOOKUP($A4575,原始数据_收盘!$A$4:$G$3460,5,0),"")</f>
        <v>2.82</v>
      </c>
      <c r="F4575">
        <f>IFERROR(VLOOKUP($A4575,原始数据_收盘!$A$4:$G$3460,6,0),"")</f>
        <v>2.4963</v>
      </c>
      <c r="G4575">
        <f>IFERROR(VLOOKUP($A4575,原始数据_收盘!$A$4:$G$3460,7,0),"")</f>
        <v>2.8187</v>
      </c>
      <c r="H4575">
        <f>IFERROR(VLOOKUP($A4575,原始数据_利率互换_FR007_1年!$A$6:$C$4395,2,0),"")</f>
        <v>2.4966</v>
      </c>
      <c r="I4575">
        <f>IFERROR(VLOOKUP($A4575,原始数据_利率互换_FR007_1年!$A$6:$C$4395,3,0),"")</f>
        <v>2.8172</v>
      </c>
    </row>
    <row r="4576" spans="1:9">
      <c r="A4576" s="6">
        <v>44069</v>
      </c>
      <c r="B4576">
        <f>IFERROR(VLOOKUP($A4576,原始数据_收盘!$A$4:$G$3460,2,0),"")</f>
        <v>2.5</v>
      </c>
      <c r="C4576">
        <f>IFERROR(VLOOKUP($A4576,原始数据_收盘!$A$4:$G$3460,3,0),"")</f>
        <v>2.8325</v>
      </c>
      <c r="D4576">
        <f>IFERROR(VLOOKUP($A4576,原始数据_收盘!$A$4:$G$3460,4,0),"")</f>
        <v>2.5051</v>
      </c>
      <c r="E4576">
        <f>IFERROR(VLOOKUP($A4576,原始数据_收盘!$A$4:$G$3460,5,0),"")</f>
        <v>2.835</v>
      </c>
      <c r="F4576">
        <f>IFERROR(VLOOKUP($A4576,原始数据_收盘!$A$4:$G$3460,6,0),"")</f>
        <v>2.5026</v>
      </c>
      <c r="G4576">
        <f>IFERROR(VLOOKUP($A4576,原始数据_收盘!$A$4:$G$3460,7,0),"")</f>
        <v>2.8338</v>
      </c>
      <c r="H4576">
        <f>IFERROR(VLOOKUP($A4576,原始数据_利率互换_FR007_1年!$A$6:$C$4395,2,0),"")</f>
        <v>2.5002</v>
      </c>
      <c r="I4576">
        <f>IFERROR(VLOOKUP($A4576,原始数据_利率互换_FR007_1年!$A$6:$C$4395,3,0),"")</f>
        <v>2.8177</v>
      </c>
    </row>
    <row r="4577" spans="1:9">
      <c r="A4577" s="6">
        <v>44070</v>
      </c>
      <c r="B4577">
        <f>IFERROR(VLOOKUP($A4577,原始数据_收盘!$A$4:$G$3460,2,0),"")</f>
        <v>2.505</v>
      </c>
      <c r="C4577">
        <f>IFERROR(VLOOKUP($A4577,原始数据_收盘!$A$4:$G$3460,3,0),"")</f>
        <v>2.8325</v>
      </c>
      <c r="D4577">
        <f>IFERROR(VLOOKUP($A4577,原始数据_收盘!$A$4:$G$3460,4,0),"")</f>
        <v>2.515</v>
      </c>
      <c r="E4577">
        <f>IFERROR(VLOOKUP($A4577,原始数据_收盘!$A$4:$G$3460,5,0),"")</f>
        <v>2.8369</v>
      </c>
      <c r="F4577">
        <f>IFERROR(VLOOKUP($A4577,原始数据_收盘!$A$4:$G$3460,6,0),"")</f>
        <v>2.51</v>
      </c>
      <c r="G4577">
        <f>IFERROR(VLOOKUP($A4577,原始数据_收盘!$A$4:$G$3460,7,0),"")</f>
        <v>2.8347</v>
      </c>
      <c r="H4577">
        <f>IFERROR(VLOOKUP($A4577,原始数据_利率互换_FR007_1年!$A$6:$C$4395,2,0),"")</f>
        <v>2.5055</v>
      </c>
      <c r="I4577">
        <f>IFERROR(VLOOKUP($A4577,原始数据_利率互换_FR007_1年!$A$6:$C$4395,3,0),"")</f>
        <v>2.8334</v>
      </c>
    </row>
    <row r="4578" spans="1:9">
      <c r="A4578" s="6">
        <v>44071</v>
      </c>
      <c r="B4578">
        <f>IFERROR(VLOOKUP($A4578,原始数据_收盘!$A$4:$G$3460,2,0),"")</f>
        <v>2.5118</v>
      </c>
      <c r="C4578">
        <f>IFERROR(VLOOKUP($A4578,原始数据_收盘!$A$4:$G$3460,3,0),"")</f>
        <v>2.8569</v>
      </c>
      <c r="D4578">
        <f>IFERROR(VLOOKUP($A4578,原始数据_收盘!$A$4:$G$3460,4,0),"")</f>
        <v>2.5214</v>
      </c>
      <c r="E4578">
        <f>IFERROR(VLOOKUP($A4578,原始数据_收盘!$A$4:$G$3460,5,0),"")</f>
        <v>2.86</v>
      </c>
      <c r="F4578">
        <f>IFERROR(VLOOKUP($A4578,原始数据_收盘!$A$4:$G$3460,6,0),"")</f>
        <v>2.5166</v>
      </c>
      <c r="G4578">
        <f>IFERROR(VLOOKUP($A4578,原始数据_收盘!$A$4:$G$3460,7,0),"")</f>
        <v>2.8585</v>
      </c>
      <c r="H4578">
        <f>IFERROR(VLOOKUP($A4578,原始数据_利率互换_FR007_1年!$A$6:$C$4395,2,0),"")</f>
        <v>2.5276</v>
      </c>
      <c r="I4578">
        <f>IFERROR(VLOOKUP($A4578,原始数据_利率互换_FR007_1年!$A$6:$C$4395,3,0),"")</f>
        <v>2.8655</v>
      </c>
    </row>
    <row r="4579" spans="1:9">
      <c r="A4579" s="6">
        <v>44072</v>
      </c>
      <c r="B4579" t="str">
        <f>IFERROR(VLOOKUP($A4579,原始数据_收盘!$A$4:$G$3460,2,0),"")</f>
        <v/>
      </c>
      <c r="C4579" t="str">
        <f>IFERROR(VLOOKUP($A4579,原始数据_收盘!$A$4:$G$3460,3,0),"")</f>
        <v/>
      </c>
      <c r="D4579" t="str">
        <f>IFERROR(VLOOKUP($A4579,原始数据_收盘!$A$4:$G$3460,4,0),"")</f>
        <v/>
      </c>
      <c r="E4579" t="str">
        <f>IFERROR(VLOOKUP($A4579,原始数据_收盘!$A$4:$G$3460,5,0),"")</f>
        <v/>
      </c>
      <c r="F4579" t="str">
        <f>IFERROR(VLOOKUP($A4579,原始数据_收盘!$A$4:$G$3460,6,0),"")</f>
        <v/>
      </c>
      <c r="G4579" t="str">
        <f>IFERROR(VLOOKUP($A4579,原始数据_收盘!$A$4:$G$3460,7,0),"")</f>
        <v/>
      </c>
      <c r="H4579" t="str">
        <f>IFERROR(VLOOKUP($A4579,原始数据_利率互换_FR007_1年!$A$6:$C$4395,2,0),"")</f>
        <v/>
      </c>
      <c r="I4579" t="str">
        <f>IFERROR(VLOOKUP($A4579,原始数据_利率互换_FR007_1年!$A$6:$C$4395,3,0),"")</f>
        <v/>
      </c>
    </row>
    <row r="4580" spans="1:9">
      <c r="A4580" s="6">
        <v>44073</v>
      </c>
      <c r="B4580" t="str">
        <f>IFERROR(VLOOKUP($A4580,原始数据_收盘!$A$4:$G$3460,2,0),"")</f>
        <v/>
      </c>
      <c r="C4580" t="str">
        <f>IFERROR(VLOOKUP($A4580,原始数据_收盘!$A$4:$G$3460,3,0),"")</f>
        <v/>
      </c>
      <c r="D4580" t="str">
        <f>IFERROR(VLOOKUP($A4580,原始数据_收盘!$A$4:$G$3460,4,0),"")</f>
        <v/>
      </c>
      <c r="E4580" t="str">
        <f>IFERROR(VLOOKUP($A4580,原始数据_收盘!$A$4:$G$3460,5,0),"")</f>
        <v/>
      </c>
      <c r="F4580" t="str">
        <f>IFERROR(VLOOKUP($A4580,原始数据_收盘!$A$4:$G$3460,6,0),"")</f>
        <v/>
      </c>
      <c r="G4580" t="str">
        <f>IFERROR(VLOOKUP($A4580,原始数据_收盘!$A$4:$G$3460,7,0),"")</f>
        <v/>
      </c>
      <c r="H4580" t="str">
        <f>IFERROR(VLOOKUP($A4580,原始数据_利率互换_FR007_1年!$A$6:$C$4395,2,0),"")</f>
        <v/>
      </c>
      <c r="I4580" t="str">
        <f>IFERROR(VLOOKUP($A4580,原始数据_利率互换_FR007_1年!$A$6:$C$4395,3,0),"")</f>
        <v/>
      </c>
    </row>
    <row r="4581" spans="1:9">
      <c r="A4581" s="6">
        <v>44074</v>
      </c>
      <c r="B4581">
        <f>IFERROR(VLOOKUP($A4581,原始数据_收盘!$A$4:$G$3460,2,0),"")</f>
        <v>2.4965</v>
      </c>
      <c r="C4581">
        <f>IFERROR(VLOOKUP($A4581,原始数据_收盘!$A$4:$G$3460,3,0),"")</f>
        <v>2.8191</v>
      </c>
      <c r="D4581">
        <f>IFERROR(VLOOKUP($A4581,原始数据_收盘!$A$4:$G$3460,4,0),"")</f>
        <v>2.4994</v>
      </c>
      <c r="E4581">
        <f>IFERROR(VLOOKUP($A4581,原始数据_收盘!$A$4:$G$3460,5,0),"")</f>
        <v>2.822</v>
      </c>
      <c r="F4581">
        <f>IFERROR(VLOOKUP($A4581,原始数据_收盘!$A$4:$G$3460,6,0),"")</f>
        <v>2.4979</v>
      </c>
      <c r="G4581">
        <f>IFERROR(VLOOKUP($A4581,原始数据_收盘!$A$4:$G$3460,7,0),"")</f>
        <v>2.8205</v>
      </c>
      <c r="H4581">
        <f>IFERROR(VLOOKUP($A4581,原始数据_利率互换_FR007_1年!$A$6:$C$4395,2,0),"")</f>
        <v>2.5123</v>
      </c>
      <c r="I4581">
        <f>IFERROR(VLOOKUP($A4581,原始数据_利率互换_FR007_1年!$A$6:$C$4395,3,0),"")</f>
        <v>2.8437</v>
      </c>
    </row>
    <row r="4582" spans="1:9">
      <c r="A4582" s="6">
        <v>44075</v>
      </c>
      <c r="B4582">
        <f>IFERROR(VLOOKUP($A4582,原始数据_收盘!$A$4:$G$3460,2,0),"")</f>
        <v>2.5241</v>
      </c>
      <c r="C4582">
        <f>IFERROR(VLOOKUP($A4582,原始数据_收盘!$A$4:$G$3460,3,0),"")</f>
        <v>2.8613</v>
      </c>
      <c r="D4582">
        <f>IFERROR(VLOOKUP($A4582,原始数据_收盘!$A$4:$G$3460,4,0),"")</f>
        <v>2.5376</v>
      </c>
      <c r="E4582">
        <f>IFERROR(VLOOKUP($A4582,原始数据_收盘!$A$4:$G$3460,5,0),"")</f>
        <v>2.8668</v>
      </c>
      <c r="F4582">
        <f>IFERROR(VLOOKUP($A4582,原始数据_收盘!$A$4:$G$3460,6,0),"")</f>
        <v>2.5308</v>
      </c>
      <c r="G4582">
        <f>IFERROR(VLOOKUP($A4582,原始数据_收盘!$A$4:$G$3460,7,0),"")</f>
        <v>2.864</v>
      </c>
      <c r="H4582">
        <f>IFERROR(VLOOKUP($A4582,原始数据_利率互换_FR007_1年!$A$6:$C$4395,2,0),"")</f>
        <v>2.5206</v>
      </c>
      <c r="I4582">
        <f>IFERROR(VLOOKUP($A4582,原始数据_利率互换_FR007_1年!$A$6:$C$4395,3,0),"")</f>
        <v>2.8428</v>
      </c>
    </row>
    <row r="4583" spans="1:9">
      <c r="A4583" s="6">
        <v>44076</v>
      </c>
      <c r="B4583">
        <f>IFERROR(VLOOKUP($A4583,原始数据_收盘!$A$4:$G$3460,2,0),"")</f>
        <v>2.565</v>
      </c>
      <c r="C4583">
        <f>IFERROR(VLOOKUP($A4583,原始数据_收盘!$A$4:$G$3460,3,0),"")</f>
        <v>2.9165</v>
      </c>
      <c r="D4583">
        <f>IFERROR(VLOOKUP($A4583,原始数据_收盘!$A$4:$G$3460,4,0),"")</f>
        <v>2.5691</v>
      </c>
      <c r="E4583">
        <f>IFERROR(VLOOKUP($A4583,原始数据_收盘!$A$4:$G$3460,5,0),"")</f>
        <v>2.92</v>
      </c>
      <c r="F4583">
        <f>IFERROR(VLOOKUP($A4583,原始数据_收盘!$A$4:$G$3460,6,0),"")</f>
        <v>2.5671</v>
      </c>
      <c r="G4583">
        <f>IFERROR(VLOOKUP($A4583,原始数据_收盘!$A$4:$G$3460,7,0),"")</f>
        <v>2.9183</v>
      </c>
      <c r="H4583">
        <f>IFERROR(VLOOKUP($A4583,原始数据_利率互换_FR007_1年!$A$6:$C$4395,2,0),"")</f>
        <v>2.5543</v>
      </c>
      <c r="I4583">
        <f>IFERROR(VLOOKUP($A4583,原始数据_利率互换_FR007_1年!$A$6:$C$4395,3,0),"")</f>
        <v>2.8951</v>
      </c>
    </row>
    <row r="4584" spans="1:9">
      <c r="A4584" s="6">
        <v>44077</v>
      </c>
      <c r="B4584">
        <f>IFERROR(VLOOKUP($A4584,原始数据_收盘!$A$4:$G$3460,2,0),"")</f>
        <v>2.5544</v>
      </c>
      <c r="C4584">
        <f>IFERROR(VLOOKUP($A4584,原始数据_收盘!$A$4:$G$3460,3,0),"")</f>
        <v>2.904</v>
      </c>
      <c r="D4584">
        <f>IFERROR(VLOOKUP($A4584,原始数据_收盘!$A$4:$G$3460,4,0),"")</f>
        <v>2.5641</v>
      </c>
      <c r="E4584">
        <f>IFERROR(VLOOKUP($A4584,原始数据_收盘!$A$4:$G$3460,5,0),"")</f>
        <v>2.9075</v>
      </c>
      <c r="F4584">
        <f>IFERROR(VLOOKUP($A4584,原始数据_收盘!$A$4:$G$3460,6,0),"")</f>
        <v>2.5593</v>
      </c>
      <c r="G4584">
        <f>IFERROR(VLOOKUP($A4584,原始数据_收盘!$A$4:$G$3460,7,0),"")</f>
        <v>2.9058</v>
      </c>
      <c r="H4584">
        <f>IFERROR(VLOOKUP($A4584,原始数据_利率互换_FR007_1年!$A$6:$C$4395,2,0),"")</f>
        <v>2.5735</v>
      </c>
      <c r="I4584">
        <f>IFERROR(VLOOKUP($A4584,原始数据_利率互换_FR007_1年!$A$6:$C$4395,3,0),"")</f>
        <v>2.9214</v>
      </c>
    </row>
    <row r="4585" spans="1:9">
      <c r="A4585" s="6">
        <v>44078</v>
      </c>
      <c r="B4585">
        <f>IFERROR(VLOOKUP($A4585,原始数据_收盘!$A$4:$G$3460,2,0),"")</f>
        <v>2.5668</v>
      </c>
      <c r="C4585">
        <f>IFERROR(VLOOKUP($A4585,原始数据_收盘!$A$4:$G$3460,3,0),"")</f>
        <v>2.9221</v>
      </c>
      <c r="D4585">
        <f>IFERROR(VLOOKUP($A4585,原始数据_收盘!$A$4:$G$3460,4,0),"")</f>
        <v>2.5731</v>
      </c>
      <c r="E4585">
        <f>IFERROR(VLOOKUP($A4585,原始数据_收盘!$A$4:$G$3460,5,0),"")</f>
        <v>2.9245</v>
      </c>
      <c r="F4585">
        <f>IFERROR(VLOOKUP($A4585,原始数据_收盘!$A$4:$G$3460,6,0),"")</f>
        <v>2.57</v>
      </c>
      <c r="G4585">
        <f>IFERROR(VLOOKUP($A4585,原始数据_收盘!$A$4:$G$3460,7,0),"")</f>
        <v>2.9233</v>
      </c>
      <c r="H4585">
        <f>IFERROR(VLOOKUP($A4585,原始数据_利率互换_FR007_1年!$A$6:$C$4395,2,0),"")</f>
        <v>2.5618</v>
      </c>
      <c r="I4585">
        <f>IFERROR(VLOOKUP($A4585,原始数据_利率互换_FR007_1年!$A$6:$C$4395,3,0),"")</f>
        <v>2.9049</v>
      </c>
    </row>
    <row r="4586" spans="1:9">
      <c r="A4586" s="6">
        <v>44079</v>
      </c>
      <c r="B4586" t="str">
        <f>IFERROR(VLOOKUP($A4586,原始数据_收盘!$A$4:$G$3460,2,0),"")</f>
        <v/>
      </c>
      <c r="C4586" t="str">
        <f>IFERROR(VLOOKUP($A4586,原始数据_收盘!$A$4:$G$3460,3,0),"")</f>
        <v/>
      </c>
      <c r="D4586" t="str">
        <f>IFERROR(VLOOKUP($A4586,原始数据_收盘!$A$4:$G$3460,4,0),"")</f>
        <v/>
      </c>
      <c r="E4586" t="str">
        <f>IFERROR(VLOOKUP($A4586,原始数据_收盘!$A$4:$G$3460,5,0),"")</f>
        <v/>
      </c>
      <c r="F4586" t="str">
        <f>IFERROR(VLOOKUP($A4586,原始数据_收盘!$A$4:$G$3460,6,0),"")</f>
        <v/>
      </c>
      <c r="G4586" t="str">
        <f>IFERROR(VLOOKUP($A4586,原始数据_收盘!$A$4:$G$3460,7,0),"")</f>
        <v/>
      </c>
      <c r="H4586" t="str">
        <f>IFERROR(VLOOKUP($A4586,原始数据_利率互换_FR007_1年!$A$6:$C$4395,2,0),"")</f>
        <v/>
      </c>
      <c r="I4586" t="str">
        <f>IFERROR(VLOOKUP($A4586,原始数据_利率互换_FR007_1年!$A$6:$C$4395,3,0),"")</f>
        <v/>
      </c>
    </row>
    <row r="4587" spans="1:9">
      <c r="A4587" s="6">
        <v>44080</v>
      </c>
      <c r="B4587" t="str">
        <f>IFERROR(VLOOKUP($A4587,原始数据_收盘!$A$4:$G$3460,2,0),"")</f>
        <v/>
      </c>
      <c r="C4587" t="str">
        <f>IFERROR(VLOOKUP($A4587,原始数据_收盘!$A$4:$G$3460,3,0),"")</f>
        <v/>
      </c>
      <c r="D4587" t="str">
        <f>IFERROR(VLOOKUP($A4587,原始数据_收盘!$A$4:$G$3460,4,0),"")</f>
        <v/>
      </c>
      <c r="E4587" t="str">
        <f>IFERROR(VLOOKUP($A4587,原始数据_收盘!$A$4:$G$3460,5,0),"")</f>
        <v/>
      </c>
      <c r="F4587" t="str">
        <f>IFERROR(VLOOKUP($A4587,原始数据_收盘!$A$4:$G$3460,6,0),"")</f>
        <v/>
      </c>
      <c r="G4587" t="str">
        <f>IFERROR(VLOOKUP($A4587,原始数据_收盘!$A$4:$G$3460,7,0),"")</f>
        <v/>
      </c>
      <c r="H4587" t="str">
        <f>IFERROR(VLOOKUP($A4587,原始数据_利率互换_FR007_1年!$A$6:$C$4395,2,0),"")</f>
        <v/>
      </c>
      <c r="I4587" t="str">
        <f>IFERROR(VLOOKUP($A4587,原始数据_利率互换_FR007_1年!$A$6:$C$4395,3,0),"")</f>
        <v/>
      </c>
    </row>
    <row r="4588" spans="1:9">
      <c r="A4588" s="6">
        <v>44081</v>
      </c>
      <c r="B4588">
        <f>IFERROR(VLOOKUP($A4588,原始数据_收盘!$A$4:$G$3460,2,0),"")</f>
        <v>2.582</v>
      </c>
      <c r="C4588">
        <f>IFERROR(VLOOKUP($A4588,原始数据_收盘!$A$4:$G$3460,3,0),"")</f>
        <v>2.945</v>
      </c>
      <c r="D4588">
        <f>IFERROR(VLOOKUP($A4588,原始数据_收盘!$A$4:$G$3460,4,0),"")</f>
        <v>2.585</v>
      </c>
      <c r="E4588">
        <f>IFERROR(VLOOKUP($A4588,原始数据_收盘!$A$4:$G$3460,5,0),"")</f>
        <v>2.9477</v>
      </c>
      <c r="F4588">
        <f>IFERROR(VLOOKUP($A4588,原始数据_收盘!$A$4:$G$3460,6,0),"")</f>
        <v>2.5835</v>
      </c>
      <c r="G4588">
        <f>IFERROR(VLOOKUP($A4588,原始数据_收盘!$A$4:$G$3460,7,0),"")</f>
        <v>2.9463</v>
      </c>
      <c r="H4588">
        <f>IFERROR(VLOOKUP($A4588,原始数据_利率互换_FR007_1年!$A$6:$C$4395,2,0),"")</f>
        <v>2.5881</v>
      </c>
      <c r="I4588">
        <f>IFERROR(VLOOKUP($A4588,原始数据_利率互换_FR007_1年!$A$6:$C$4395,3,0),"")</f>
        <v>2.9528</v>
      </c>
    </row>
    <row r="4589" spans="1:9">
      <c r="A4589" s="6">
        <v>44082</v>
      </c>
      <c r="B4589">
        <f>IFERROR(VLOOKUP($A4589,原始数据_收盘!$A$4:$G$3460,2,0),"")</f>
        <v>2.5625</v>
      </c>
      <c r="C4589">
        <f>IFERROR(VLOOKUP($A4589,原始数据_收盘!$A$4:$G$3460,3,0),"")</f>
        <v>2.9175</v>
      </c>
      <c r="D4589">
        <f>IFERROR(VLOOKUP($A4589,原始数据_收盘!$A$4:$G$3460,4,0),"")</f>
        <v>2.565</v>
      </c>
      <c r="E4589">
        <f>IFERROR(VLOOKUP($A4589,原始数据_收盘!$A$4:$G$3460,5,0),"")</f>
        <v>2.92</v>
      </c>
      <c r="F4589">
        <f>IFERROR(VLOOKUP($A4589,原始数据_收盘!$A$4:$G$3460,6,0),"")</f>
        <v>2.5638</v>
      </c>
      <c r="G4589">
        <f>IFERROR(VLOOKUP($A4589,原始数据_收盘!$A$4:$G$3460,7,0),"")</f>
        <v>2.9188</v>
      </c>
      <c r="H4589">
        <f>IFERROR(VLOOKUP($A4589,原始数据_利率互换_FR007_1年!$A$6:$C$4395,2,0),"")</f>
        <v>2.5637</v>
      </c>
      <c r="I4589">
        <f>IFERROR(VLOOKUP($A4589,原始数据_利率互换_FR007_1年!$A$6:$C$4395,3,0),"")</f>
        <v>2.9205</v>
      </c>
    </row>
    <row r="4590" spans="1:9">
      <c r="A4590" s="6">
        <v>44083</v>
      </c>
      <c r="B4590">
        <f>IFERROR(VLOOKUP($A4590,原始数据_收盘!$A$4:$G$3460,2,0),"")</f>
        <v>2.5225</v>
      </c>
      <c r="C4590">
        <f>IFERROR(VLOOKUP($A4590,原始数据_收盘!$A$4:$G$3460,3,0),"")</f>
        <v>2.8697</v>
      </c>
      <c r="D4590">
        <f>IFERROR(VLOOKUP($A4590,原始数据_收盘!$A$4:$G$3460,4,0),"")</f>
        <v>2.53</v>
      </c>
      <c r="E4590">
        <f>IFERROR(VLOOKUP($A4590,原始数据_收盘!$A$4:$G$3460,5,0),"")</f>
        <v>2.8725</v>
      </c>
      <c r="F4590">
        <f>IFERROR(VLOOKUP($A4590,原始数据_收盘!$A$4:$G$3460,6,0),"")</f>
        <v>2.5263</v>
      </c>
      <c r="G4590">
        <f>IFERROR(VLOOKUP($A4590,原始数据_收盘!$A$4:$G$3460,7,0),"")</f>
        <v>2.8711</v>
      </c>
      <c r="H4590">
        <f>IFERROR(VLOOKUP($A4590,原始数据_利率互换_FR007_1年!$A$6:$C$4395,2,0),"")</f>
        <v>2.5348</v>
      </c>
      <c r="I4590">
        <f>IFERROR(VLOOKUP($A4590,原始数据_利率互换_FR007_1年!$A$6:$C$4395,3,0),"")</f>
        <v>2.8813</v>
      </c>
    </row>
    <row r="4591" spans="1:9">
      <c r="A4591" s="6">
        <v>44084</v>
      </c>
      <c r="B4591">
        <f>IFERROR(VLOOKUP($A4591,原始数据_收盘!$A$4:$G$3460,2,0),"")</f>
        <v>2.4988</v>
      </c>
      <c r="C4591">
        <f>IFERROR(VLOOKUP($A4591,原始数据_收盘!$A$4:$G$3460,3,0),"")</f>
        <v>2.8509</v>
      </c>
      <c r="D4591">
        <f>IFERROR(VLOOKUP($A4591,原始数据_收盘!$A$4:$G$3460,4,0),"")</f>
        <v>2.506</v>
      </c>
      <c r="E4591">
        <f>IFERROR(VLOOKUP($A4591,原始数据_收盘!$A$4:$G$3460,5,0),"")</f>
        <v>2.855</v>
      </c>
      <c r="F4591">
        <f>IFERROR(VLOOKUP($A4591,原始数据_收盘!$A$4:$G$3460,6,0),"")</f>
        <v>2.5024</v>
      </c>
      <c r="G4591">
        <f>IFERROR(VLOOKUP($A4591,原始数据_收盘!$A$4:$G$3460,7,0),"")</f>
        <v>2.8529</v>
      </c>
      <c r="H4591">
        <f>IFERROR(VLOOKUP($A4591,原始数据_利率互换_FR007_1年!$A$6:$C$4395,2,0),"")</f>
        <v>2.505</v>
      </c>
      <c r="I4591">
        <f>IFERROR(VLOOKUP($A4591,原始数据_利率互换_FR007_1年!$A$6:$C$4395,3,0),"")</f>
        <v>2.8604</v>
      </c>
    </row>
    <row r="4592" spans="1:9">
      <c r="A4592" s="6">
        <v>44085</v>
      </c>
      <c r="B4592">
        <f>IFERROR(VLOOKUP($A4592,原始数据_收盘!$A$4:$G$3460,2,0),"")</f>
        <v>2.52</v>
      </c>
      <c r="C4592">
        <f>IFERROR(VLOOKUP($A4592,原始数据_收盘!$A$4:$G$3460,3,0),"")</f>
        <v>2.8775</v>
      </c>
      <c r="D4592">
        <f>IFERROR(VLOOKUP($A4592,原始数据_收盘!$A$4:$G$3460,4,0),"")</f>
        <v>2.5229</v>
      </c>
      <c r="E4592">
        <f>IFERROR(VLOOKUP($A4592,原始数据_收盘!$A$4:$G$3460,5,0),"")</f>
        <v>2.8825</v>
      </c>
      <c r="F4592">
        <f>IFERROR(VLOOKUP($A4592,原始数据_收盘!$A$4:$G$3460,6,0),"")</f>
        <v>2.5215</v>
      </c>
      <c r="G4592">
        <f>IFERROR(VLOOKUP($A4592,原始数据_收盘!$A$4:$G$3460,7,0),"")</f>
        <v>2.88</v>
      </c>
      <c r="H4592">
        <f>IFERROR(VLOOKUP($A4592,原始数据_利率互换_FR007_1年!$A$6:$C$4395,2,0),"")</f>
        <v>2.5145</v>
      </c>
      <c r="I4592">
        <f>IFERROR(VLOOKUP($A4592,原始数据_利率互换_FR007_1年!$A$6:$C$4395,3,0),"")</f>
        <v>2.8736</v>
      </c>
    </row>
    <row r="4593" spans="1:9">
      <c r="A4593" s="6">
        <v>44086</v>
      </c>
      <c r="B4593" t="str">
        <f>IFERROR(VLOOKUP($A4593,原始数据_收盘!$A$4:$G$3460,2,0),"")</f>
        <v/>
      </c>
      <c r="C4593" t="str">
        <f>IFERROR(VLOOKUP($A4593,原始数据_收盘!$A$4:$G$3460,3,0),"")</f>
        <v/>
      </c>
      <c r="D4593" t="str">
        <f>IFERROR(VLOOKUP($A4593,原始数据_收盘!$A$4:$G$3460,4,0),"")</f>
        <v/>
      </c>
      <c r="E4593" t="str">
        <f>IFERROR(VLOOKUP($A4593,原始数据_收盘!$A$4:$G$3460,5,0),"")</f>
        <v/>
      </c>
      <c r="F4593" t="str">
        <f>IFERROR(VLOOKUP($A4593,原始数据_收盘!$A$4:$G$3460,6,0),"")</f>
        <v/>
      </c>
      <c r="G4593" t="str">
        <f>IFERROR(VLOOKUP($A4593,原始数据_收盘!$A$4:$G$3460,7,0),"")</f>
        <v/>
      </c>
      <c r="H4593" t="str">
        <f>IFERROR(VLOOKUP($A4593,原始数据_利率互换_FR007_1年!$A$6:$C$4395,2,0),"")</f>
        <v/>
      </c>
      <c r="I4593" t="str">
        <f>IFERROR(VLOOKUP($A4593,原始数据_利率互换_FR007_1年!$A$6:$C$4395,3,0),"")</f>
        <v/>
      </c>
    </row>
    <row r="4594" spans="1:9">
      <c r="A4594" s="6">
        <v>44087</v>
      </c>
      <c r="B4594" t="str">
        <f>IFERROR(VLOOKUP($A4594,原始数据_收盘!$A$4:$G$3460,2,0),"")</f>
        <v/>
      </c>
      <c r="C4594" t="str">
        <f>IFERROR(VLOOKUP($A4594,原始数据_收盘!$A$4:$G$3460,3,0),"")</f>
        <v/>
      </c>
      <c r="D4594" t="str">
        <f>IFERROR(VLOOKUP($A4594,原始数据_收盘!$A$4:$G$3460,4,0),"")</f>
        <v/>
      </c>
      <c r="E4594" t="str">
        <f>IFERROR(VLOOKUP($A4594,原始数据_收盘!$A$4:$G$3460,5,0),"")</f>
        <v/>
      </c>
      <c r="F4594" t="str">
        <f>IFERROR(VLOOKUP($A4594,原始数据_收盘!$A$4:$G$3460,6,0),"")</f>
        <v/>
      </c>
      <c r="G4594" t="str">
        <f>IFERROR(VLOOKUP($A4594,原始数据_收盘!$A$4:$G$3460,7,0),"")</f>
        <v/>
      </c>
      <c r="H4594" t="str">
        <f>IFERROR(VLOOKUP($A4594,原始数据_利率互换_FR007_1年!$A$6:$C$4395,2,0),"")</f>
        <v/>
      </c>
      <c r="I4594" t="str">
        <f>IFERROR(VLOOKUP($A4594,原始数据_利率互换_FR007_1年!$A$6:$C$4395,3,0),"")</f>
        <v/>
      </c>
    </row>
    <row r="4595" spans="1:9">
      <c r="A4595" s="6">
        <v>44088</v>
      </c>
      <c r="B4595">
        <f>IFERROR(VLOOKUP($A4595,原始数据_收盘!$A$4:$G$3460,2,0),"")</f>
        <v>2.5299</v>
      </c>
      <c r="C4595">
        <f>IFERROR(VLOOKUP($A4595,原始数据_收盘!$A$4:$G$3460,3,0),"")</f>
        <v>2.895</v>
      </c>
      <c r="D4595">
        <f>IFERROR(VLOOKUP($A4595,原始数据_收盘!$A$4:$G$3460,4,0),"")</f>
        <v>2.5334</v>
      </c>
      <c r="E4595">
        <f>IFERROR(VLOOKUP($A4595,原始数据_收盘!$A$4:$G$3460,5,0),"")</f>
        <v>2.8985</v>
      </c>
      <c r="F4595">
        <f>IFERROR(VLOOKUP($A4595,原始数据_收盘!$A$4:$G$3460,6,0),"")</f>
        <v>2.5316</v>
      </c>
      <c r="G4595">
        <f>IFERROR(VLOOKUP($A4595,原始数据_收盘!$A$4:$G$3460,7,0),"")</f>
        <v>2.8968</v>
      </c>
      <c r="H4595">
        <f>IFERROR(VLOOKUP($A4595,原始数据_利率互换_FR007_1年!$A$6:$C$4395,2,0),"")</f>
        <v>2.5362</v>
      </c>
      <c r="I4595">
        <f>IFERROR(VLOOKUP($A4595,原始数据_利率互换_FR007_1年!$A$6:$C$4395,3,0),"")</f>
        <v>2.9057</v>
      </c>
    </row>
    <row r="4596" spans="1:9">
      <c r="A4596" s="6">
        <v>44089</v>
      </c>
      <c r="B4596">
        <f>IFERROR(VLOOKUP($A4596,原始数据_收盘!$A$4:$G$3460,2,0),"")</f>
        <v>2.46</v>
      </c>
      <c r="C4596">
        <f>IFERROR(VLOOKUP($A4596,原始数据_收盘!$A$4:$G$3460,3,0),"")</f>
        <v>2.8441</v>
      </c>
      <c r="D4596">
        <f>IFERROR(VLOOKUP($A4596,原始数据_收盘!$A$4:$G$3460,4,0),"")</f>
        <v>2.4646</v>
      </c>
      <c r="E4596">
        <f>IFERROR(VLOOKUP($A4596,原始数据_收盘!$A$4:$G$3460,5,0),"")</f>
        <v>2.8469</v>
      </c>
      <c r="F4596">
        <f>IFERROR(VLOOKUP($A4596,原始数据_收盘!$A$4:$G$3460,6,0),"")</f>
        <v>2.4623</v>
      </c>
      <c r="G4596">
        <f>IFERROR(VLOOKUP($A4596,原始数据_收盘!$A$4:$G$3460,7,0),"")</f>
        <v>2.8455</v>
      </c>
      <c r="H4596">
        <f>IFERROR(VLOOKUP($A4596,原始数据_利率互换_FR007_1年!$A$6:$C$4395,2,0),"")</f>
        <v>2.4829</v>
      </c>
      <c r="I4596">
        <f>IFERROR(VLOOKUP($A4596,原始数据_利率互换_FR007_1年!$A$6:$C$4395,3,0),"")</f>
        <v>2.8635</v>
      </c>
    </row>
    <row r="4597" spans="1:9">
      <c r="A4597" s="6">
        <v>44090</v>
      </c>
      <c r="B4597">
        <f>IFERROR(VLOOKUP($A4597,原始数据_收盘!$A$4:$G$3460,2,0),"")</f>
        <v>2.4475</v>
      </c>
      <c r="C4597">
        <f>IFERROR(VLOOKUP($A4597,原始数据_收盘!$A$4:$G$3460,3,0),"")</f>
        <v>2.8225</v>
      </c>
      <c r="D4597">
        <f>IFERROR(VLOOKUP($A4597,原始数据_收盘!$A$4:$G$3460,4,0),"")</f>
        <v>2.4525</v>
      </c>
      <c r="E4597">
        <f>IFERROR(VLOOKUP($A4597,原始数据_收盘!$A$4:$G$3460,5,0),"")</f>
        <v>2.825</v>
      </c>
      <c r="F4597">
        <f>IFERROR(VLOOKUP($A4597,原始数据_收盘!$A$4:$G$3460,6,0),"")</f>
        <v>2.45</v>
      </c>
      <c r="G4597">
        <f>IFERROR(VLOOKUP($A4597,原始数据_收盘!$A$4:$G$3460,7,0),"")</f>
        <v>2.8238</v>
      </c>
      <c r="H4597">
        <f>IFERROR(VLOOKUP($A4597,原始数据_利率互换_FR007_1年!$A$6:$C$4395,2,0),"")</f>
        <v>2.4235</v>
      </c>
      <c r="I4597">
        <f>IFERROR(VLOOKUP($A4597,原始数据_利率互换_FR007_1年!$A$6:$C$4395,3,0),"")</f>
        <v>2.8107</v>
      </c>
    </row>
    <row r="4598" spans="1:9">
      <c r="A4598" s="6">
        <v>44091</v>
      </c>
      <c r="B4598">
        <f>IFERROR(VLOOKUP($A4598,原始数据_收盘!$A$4:$G$3460,2,0),"")</f>
        <v>2.4725</v>
      </c>
      <c r="C4598">
        <f>IFERROR(VLOOKUP($A4598,原始数据_收盘!$A$4:$G$3460,3,0),"")</f>
        <v>2.8378</v>
      </c>
      <c r="D4598">
        <f>IFERROR(VLOOKUP($A4598,原始数据_收盘!$A$4:$G$3460,4,0),"")</f>
        <v>2.4775</v>
      </c>
      <c r="E4598">
        <f>IFERROR(VLOOKUP($A4598,原始数据_收盘!$A$4:$G$3460,5,0),"")</f>
        <v>2.8417</v>
      </c>
      <c r="F4598">
        <f>IFERROR(VLOOKUP($A4598,原始数据_收盘!$A$4:$G$3460,6,0),"")</f>
        <v>2.475</v>
      </c>
      <c r="G4598">
        <f>IFERROR(VLOOKUP($A4598,原始数据_收盘!$A$4:$G$3460,7,0),"")</f>
        <v>2.8397</v>
      </c>
      <c r="H4598">
        <f>IFERROR(VLOOKUP($A4598,原始数据_利率互换_FR007_1年!$A$6:$C$4395,2,0),"")</f>
        <v>2.4503</v>
      </c>
      <c r="I4598">
        <f>IFERROR(VLOOKUP($A4598,原始数据_利率互换_FR007_1年!$A$6:$C$4395,3,0),"")</f>
        <v>2.8246</v>
      </c>
    </row>
    <row r="4599" spans="1:9">
      <c r="A4599" s="6">
        <v>44092</v>
      </c>
      <c r="B4599">
        <f>IFERROR(VLOOKUP($A4599,原始数据_收盘!$A$4:$G$3460,2,0),"")</f>
        <v>2.4393</v>
      </c>
      <c r="C4599">
        <f>IFERROR(VLOOKUP($A4599,原始数据_收盘!$A$4:$G$3460,3,0),"")</f>
        <v>2.7971</v>
      </c>
      <c r="D4599">
        <f>IFERROR(VLOOKUP($A4599,原始数据_收盘!$A$4:$G$3460,4,0),"")</f>
        <v>2.4475</v>
      </c>
      <c r="E4599">
        <f>IFERROR(VLOOKUP($A4599,原始数据_收盘!$A$4:$G$3460,5,0),"")</f>
        <v>2.8</v>
      </c>
      <c r="F4599">
        <f>IFERROR(VLOOKUP($A4599,原始数据_收盘!$A$4:$G$3460,6,0),"")</f>
        <v>2.4434</v>
      </c>
      <c r="G4599">
        <f>IFERROR(VLOOKUP($A4599,原始数据_收盘!$A$4:$G$3460,7,0),"")</f>
        <v>2.7985</v>
      </c>
      <c r="H4599">
        <f>IFERROR(VLOOKUP($A4599,原始数据_利率互换_FR007_1年!$A$6:$C$4395,2,0),"")</f>
        <v>2.4539</v>
      </c>
      <c r="I4599">
        <f>IFERROR(VLOOKUP($A4599,原始数据_利率互换_FR007_1年!$A$6:$C$4395,3,0),"")</f>
        <v>2.8173</v>
      </c>
    </row>
    <row r="4600" spans="1:9">
      <c r="A4600" s="6">
        <v>44093</v>
      </c>
      <c r="B4600" t="str">
        <f>IFERROR(VLOOKUP($A4600,原始数据_收盘!$A$4:$G$3460,2,0),"")</f>
        <v/>
      </c>
      <c r="C4600" t="str">
        <f>IFERROR(VLOOKUP($A4600,原始数据_收盘!$A$4:$G$3460,3,0),"")</f>
        <v/>
      </c>
      <c r="D4600" t="str">
        <f>IFERROR(VLOOKUP($A4600,原始数据_收盘!$A$4:$G$3460,4,0),"")</f>
        <v/>
      </c>
      <c r="E4600" t="str">
        <f>IFERROR(VLOOKUP($A4600,原始数据_收盘!$A$4:$G$3460,5,0),"")</f>
        <v/>
      </c>
      <c r="F4600" t="str">
        <f>IFERROR(VLOOKUP($A4600,原始数据_收盘!$A$4:$G$3460,6,0),"")</f>
        <v/>
      </c>
      <c r="G4600" t="str">
        <f>IFERROR(VLOOKUP($A4600,原始数据_收盘!$A$4:$G$3460,7,0),"")</f>
        <v/>
      </c>
      <c r="H4600" t="str">
        <f>IFERROR(VLOOKUP($A4600,原始数据_利率互换_FR007_1年!$A$6:$C$4395,2,0),"")</f>
        <v/>
      </c>
      <c r="I4600" t="str">
        <f>IFERROR(VLOOKUP($A4600,原始数据_利率互换_FR007_1年!$A$6:$C$4395,3,0),"")</f>
        <v/>
      </c>
    </row>
    <row r="4601" spans="1:9">
      <c r="A4601" s="6">
        <v>44094</v>
      </c>
      <c r="B4601" t="str">
        <f>IFERROR(VLOOKUP($A4601,原始数据_收盘!$A$4:$G$3460,2,0),"")</f>
        <v/>
      </c>
      <c r="C4601" t="str">
        <f>IFERROR(VLOOKUP($A4601,原始数据_收盘!$A$4:$G$3460,3,0),"")</f>
        <v/>
      </c>
      <c r="D4601" t="str">
        <f>IFERROR(VLOOKUP($A4601,原始数据_收盘!$A$4:$G$3460,4,0),"")</f>
        <v/>
      </c>
      <c r="E4601" t="str">
        <f>IFERROR(VLOOKUP($A4601,原始数据_收盘!$A$4:$G$3460,5,0),"")</f>
        <v/>
      </c>
      <c r="F4601" t="str">
        <f>IFERROR(VLOOKUP($A4601,原始数据_收盘!$A$4:$G$3460,6,0),"")</f>
        <v/>
      </c>
      <c r="G4601" t="str">
        <f>IFERROR(VLOOKUP($A4601,原始数据_收盘!$A$4:$G$3460,7,0),"")</f>
        <v/>
      </c>
      <c r="H4601" t="str">
        <f>IFERROR(VLOOKUP($A4601,原始数据_利率互换_FR007_1年!$A$6:$C$4395,2,0),"")</f>
        <v/>
      </c>
      <c r="I4601" t="str">
        <f>IFERROR(VLOOKUP($A4601,原始数据_利率互换_FR007_1年!$A$6:$C$4395,3,0),"")</f>
        <v/>
      </c>
    </row>
    <row r="4602" spans="1:9">
      <c r="A4602" s="6">
        <v>44095</v>
      </c>
      <c r="B4602">
        <f>IFERROR(VLOOKUP($A4602,原始数据_收盘!$A$4:$G$3460,2,0),"")</f>
        <v>2.4275</v>
      </c>
      <c r="C4602">
        <f>IFERROR(VLOOKUP($A4602,原始数据_收盘!$A$4:$G$3460,3,0),"")</f>
        <v>2.7725</v>
      </c>
      <c r="D4602">
        <f>IFERROR(VLOOKUP($A4602,原始数据_收盘!$A$4:$G$3460,4,0),"")</f>
        <v>2.4301</v>
      </c>
      <c r="E4602">
        <f>IFERROR(VLOOKUP($A4602,原始数据_收盘!$A$4:$G$3460,5,0),"")</f>
        <v>2.775</v>
      </c>
      <c r="F4602">
        <f>IFERROR(VLOOKUP($A4602,原始数据_收盘!$A$4:$G$3460,6,0),"")</f>
        <v>2.4288</v>
      </c>
      <c r="G4602">
        <f>IFERROR(VLOOKUP($A4602,原始数据_收盘!$A$4:$G$3460,7,0),"")</f>
        <v>2.7738</v>
      </c>
      <c r="H4602">
        <f>IFERROR(VLOOKUP($A4602,原始数据_利率互换_FR007_1年!$A$6:$C$4395,2,0),"")</f>
        <v>2.4303</v>
      </c>
      <c r="I4602">
        <f>IFERROR(VLOOKUP($A4602,原始数据_利率互换_FR007_1年!$A$6:$C$4395,3,0),"")</f>
        <v>2.781</v>
      </c>
    </row>
    <row r="4603" spans="1:9">
      <c r="A4603" s="6">
        <v>44096</v>
      </c>
      <c r="B4603">
        <f>IFERROR(VLOOKUP($A4603,原始数据_收盘!$A$4:$G$3460,2,0),"")</f>
        <v>2.4325</v>
      </c>
      <c r="C4603">
        <f>IFERROR(VLOOKUP($A4603,原始数据_收盘!$A$4:$G$3460,3,0),"")</f>
        <v>2.7686</v>
      </c>
      <c r="D4603">
        <f>IFERROR(VLOOKUP($A4603,原始数据_收盘!$A$4:$G$3460,4,0),"")</f>
        <v>2.435</v>
      </c>
      <c r="E4603">
        <f>IFERROR(VLOOKUP($A4603,原始数据_收盘!$A$4:$G$3460,5,0),"")</f>
        <v>2.7739</v>
      </c>
      <c r="F4603">
        <f>IFERROR(VLOOKUP($A4603,原始数据_收盘!$A$4:$G$3460,6,0),"")</f>
        <v>2.4338</v>
      </c>
      <c r="G4603">
        <f>IFERROR(VLOOKUP($A4603,原始数据_收盘!$A$4:$G$3460,7,0),"")</f>
        <v>2.7713</v>
      </c>
      <c r="H4603">
        <f>IFERROR(VLOOKUP($A4603,原始数据_利率互换_FR007_1年!$A$6:$C$4395,2,0),"")</f>
        <v>2.4305</v>
      </c>
      <c r="I4603">
        <f>IFERROR(VLOOKUP($A4603,原始数据_利率互换_FR007_1年!$A$6:$C$4395,3,0),"")</f>
        <v>2.7651</v>
      </c>
    </row>
    <row r="4604" spans="1:9">
      <c r="A4604" s="6">
        <v>44097</v>
      </c>
      <c r="B4604">
        <f>IFERROR(VLOOKUP($A4604,原始数据_收盘!$A$4:$G$3460,2,0),"")</f>
        <v>2.4392</v>
      </c>
      <c r="C4604">
        <f>IFERROR(VLOOKUP($A4604,原始数据_收盘!$A$4:$G$3460,3,0),"")</f>
        <v>2.791</v>
      </c>
      <c r="D4604">
        <f>IFERROR(VLOOKUP($A4604,原始数据_收盘!$A$4:$G$3460,4,0),"")</f>
        <v>2.444</v>
      </c>
      <c r="E4604">
        <f>IFERROR(VLOOKUP($A4604,原始数据_收盘!$A$4:$G$3460,5,0),"")</f>
        <v>2.7945</v>
      </c>
      <c r="F4604">
        <f>IFERROR(VLOOKUP($A4604,原始数据_收盘!$A$4:$G$3460,6,0),"")</f>
        <v>2.4416</v>
      </c>
      <c r="G4604">
        <f>IFERROR(VLOOKUP($A4604,原始数据_收盘!$A$4:$G$3460,7,0),"")</f>
        <v>2.7928</v>
      </c>
      <c r="H4604">
        <f>IFERROR(VLOOKUP($A4604,原始数据_利率互换_FR007_1年!$A$6:$C$4395,2,0),"")</f>
        <v>2.4356</v>
      </c>
      <c r="I4604">
        <f>IFERROR(VLOOKUP($A4604,原始数据_利率互换_FR007_1年!$A$6:$C$4395,3,0),"")</f>
        <v>2.7802</v>
      </c>
    </row>
    <row r="4605" spans="1:9">
      <c r="A4605" s="6">
        <v>44098</v>
      </c>
      <c r="B4605">
        <f>IFERROR(VLOOKUP($A4605,原始数据_收盘!$A$4:$G$3460,2,0),"")</f>
        <v>2.4275</v>
      </c>
      <c r="C4605">
        <f>IFERROR(VLOOKUP($A4605,原始数据_收盘!$A$4:$G$3460,3,0),"")</f>
        <v>2.78</v>
      </c>
      <c r="D4605">
        <f>IFERROR(VLOOKUP($A4605,原始数据_收盘!$A$4:$G$3460,4,0),"")</f>
        <v>2.43</v>
      </c>
      <c r="E4605">
        <f>IFERROR(VLOOKUP($A4605,原始数据_收盘!$A$4:$G$3460,5,0),"")</f>
        <v>2.7825</v>
      </c>
      <c r="F4605">
        <f>IFERROR(VLOOKUP($A4605,原始数据_收盘!$A$4:$G$3460,6,0),"")</f>
        <v>2.4288</v>
      </c>
      <c r="G4605">
        <f>IFERROR(VLOOKUP($A4605,原始数据_收盘!$A$4:$G$3460,7,0),"")</f>
        <v>2.7813</v>
      </c>
      <c r="H4605">
        <f>IFERROR(VLOOKUP($A4605,原始数据_利率互换_FR007_1年!$A$6:$C$4395,2,0),"")</f>
        <v>2.4273</v>
      </c>
      <c r="I4605">
        <f>IFERROR(VLOOKUP($A4605,原始数据_利率互换_FR007_1年!$A$6:$C$4395,3,0),"")</f>
        <v>2.7799</v>
      </c>
    </row>
    <row r="4606" spans="1:9">
      <c r="A4606" s="6">
        <v>44099</v>
      </c>
      <c r="B4606">
        <f>IFERROR(VLOOKUP($A4606,原始数据_收盘!$A$4:$G$3460,2,0),"")</f>
        <v>2.455</v>
      </c>
      <c r="C4606">
        <f>IFERROR(VLOOKUP($A4606,原始数据_收盘!$A$4:$G$3460,3,0),"")</f>
        <v>2.8297</v>
      </c>
      <c r="D4606">
        <f>IFERROR(VLOOKUP($A4606,原始数据_收盘!$A$4:$G$3460,4,0),"")</f>
        <v>2.46</v>
      </c>
      <c r="E4606">
        <f>IFERROR(VLOOKUP($A4606,原始数据_收盘!$A$4:$G$3460,5,0),"")</f>
        <v>2.8325</v>
      </c>
      <c r="F4606">
        <f>IFERROR(VLOOKUP($A4606,原始数据_收盘!$A$4:$G$3460,6,0),"")</f>
        <v>2.4575</v>
      </c>
      <c r="G4606">
        <f>IFERROR(VLOOKUP($A4606,原始数据_收盘!$A$4:$G$3460,7,0),"")</f>
        <v>2.8311</v>
      </c>
      <c r="H4606">
        <f>IFERROR(VLOOKUP($A4606,原始数据_利率互换_FR007_1年!$A$6:$C$4395,2,0),"")</f>
        <v>2.4418</v>
      </c>
      <c r="I4606">
        <f>IFERROR(VLOOKUP($A4606,原始数据_利率互换_FR007_1年!$A$6:$C$4395,3,0),"")</f>
        <v>2.8114</v>
      </c>
    </row>
    <row r="4607" spans="1:9">
      <c r="A4607" s="6">
        <v>44100</v>
      </c>
      <c r="B4607" t="str">
        <f>IFERROR(VLOOKUP($A4607,原始数据_收盘!$A$4:$G$3460,2,0),"")</f>
        <v/>
      </c>
      <c r="C4607" t="str">
        <f>IFERROR(VLOOKUP($A4607,原始数据_收盘!$A$4:$G$3460,3,0),"")</f>
        <v/>
      </c>
      <c r="D4607" t="str">
        <f>IFERROR(VLOOKUP($A4607,原始数据_收盘!$A$4:$G$3460,4,0),"")</f>
        <v/>
      </c>
      <c r="E4607" t="str">
        <f>IFERROR(VLOOKUP($A4607,原始数据_收盘!$A$4:$G$3460,5,0),"")</f>
        <v/>
      </c>
      <c r="F4607" t="str">
        <f>IFERROR(VLOOKUP($A4607,原始数据_收盘!$A$4:$G$3460,6,0),"")</f>
        <v/>
      </c>
      <c r="G4607" t="str">
        <f>IFERROR(VLOOKUP($A4607,原始数据_收盘!$A$4:$G$3460,7,0),"")</f>
        <v/>
      </c>
      <c r="H4607" t="str">
        <f>IFERROR(VLOOKUP($A4607,原始数据_利率互换_FR007_1年!$A$6:$C$4395,2,0),"")</f>
        <v/>
      </c>
      <c r="I4607" t="str">
        <f>IFERROR(VLOOKUP($A4607,原始数据_利率互换_FR007_1年!$A$6:$C$4395,3,0),"")</f>
        <v/>
      </c>
    </row>
    <row r="4608" spans="1:9">
      <c r="A4608" s="6">
        <v>44101</v>
      </c>
      <c r="B4608">
        <f>IFERROR(VLOOKUP($A4608,原始数据_收盘!$A$4:$G$3460,2,0),"")</f>
        <v>2.445</v>
      </c>
      <c r="C4608">
        <f>IFERROR(VLOOKUP($A4608,原始数据_收盘!$A$4:$G$3460,3,0),"")</f>
        <v>2.83</v>
      </c>
      <c r="D4608">
        <f>IFERROR(VLOOKUP($A4608,原始数据_收盘!$A$4:$G$3460,4,0),"")</f>
        <v>2.465</v>
      </c>
      <c r="E4608">
        <f>IFERROR(VLOOKUP($A4608,原始数据_收盘!$A$4:$G$3460,5,0),"")</f>
        <v>2.85</v>
      </c>
      <c r="F4608">
        <f>IFERROR(VLOOKUP($A4608,原始数据_收盘!$A$4:$G$3460,6,0),"")</f>
        <v>2.455</v>
      </c>
      <c r="G4608">
        <f>IFERROR(VLOOKUP($A4608,原始数据_收盘!$A$4:$G$3460,7,0),"")</f>
        <v>2.84</v>
      </c>
      <c r="H4608">
        <f>IFERROR(VLOOKUP($A4608,原始数据_利率互换_FR007_1年!$A$6:$C$4395,2,0),"")</f>
        <v>0</v>
      </c>
      <c r="I4608">
        <f>IFERROR(VLOOKUP($A4608,原始数据_利率互换_FR007_1年!$A$6:$C$4395,3,0),"")</f>
        <v>2.8208</v>
      </c>
    </row>
    <row r="4609" spans="1:9">
      <c r="A4609" s="6">
        <v>44102</v>
      </c>
      <c r="B4609">
        <f>IFERROR(VLOOKUP($A4609,原始数据_收盘!$A$4:$G$3460,2,0),"")</f>
        <v>2.4375</v>
      </c>
      <c r="C4609">
        <f>IFERROR(VLOOKUP($A4609,原始数据_收盘!$A$4:$G$3460,3,0),"")</f>
        <v>2.8075</v>
      </c>
      <c r="D4609">
        <f>IFERROR(VLOOKUP($A4609,原始数据_收盘!$A$4:$G$3460,4,0),"")</f>
        <v>2.4401</v>
      </c>
      <c r="E4609">
        <f>IFERROR(VLOOKUP($A4609,原始数据_收盘!$A$4:$G$3460,5,0),"")</f>
        <v>2.81</v>
      </c>
      <c r="F4609">
        <f>IFERROR(VLOOKUP($A4609,原始数据_收盘!$A$4:$G$3460,6,0),"")</f>
        <v>2.4388</v>
      </c>
      <c r="G4609">
        <f>IFERROR(VLOOKUP($A4609,原始数据_收盘!$A$4:$G$3460,7,0),"")</f>
        <v>2.8088</v>
      </c>
      <c r="H4609">
        <f>IFERROR(VLOOKUP($A4609,原始数据_利率互换_FR007_1年!$A$6:$C$4395,2,0),"")</f>
        <v>2.4435</v>
      </c>
      <c r="I4609">
        <f>IFERROR(VLOOKUP($A4609,原始数据_利率互换_FR007_1年!$A$6:$C$4395,3,0),"")</f>
        <v>2.8139</v>
      </c>
    </row>
    <row r="4610" spans="1:9">
      <c r="A4610" s="6">
        <v>44103</v>
      </c>
      <c r="B4610">
        <f>IFERROR(VLOOKUP($A4610,原始数据_收盘!$A$4:$G$3460,2,0),"")</f>
        <v>2.4603</v>
      </c>
      <c r="C4610">
        <f>IFERROR(VLOOKUP($A4610,原始数据_收盘!$A$4:$G$3460,3,0),"")</f>
        <v>2.8379</v>
      </c>
      <c r="D4610">
        <f>IFERROR(VLOOKUP($A4610,原始数据_收盘!$A$4:$G$3460,4,0),"")</f>
        <v>2.4645</v>
      </c>
      <c r="E4610">
        <f>IFERROR(VLOOKUP($A4610,原始数据_收盘!$A$4:$G$3460,5,0),"")</f>
        <v>2.841</v>
      </c>
      <c r="F4610">
        <f>IFERROR(VLOOKUP($A4610,原始数据_收盘!$A$4:$G$3460,6,0),"")</f>
        <v>2.4624</v>
      </c>
      <c r="G4610">
        <f>IFERROR(VLOOKUP($A4610,原始数据_收盘!$A$4:$G$3460,7,0),"")</f>
        <v>2.8395</v>
      </c>
      <c r="H4610">
        <f>IFERROR(VLOOKUP($A4610,原始数据_利率互换_FR007_1年!$A$6:$C$4395,2,0),"")</f>
        <v>2.4505</v>
      </c>
      <c r="I4610">
        <f>IFERROR(VLOOKUP($A4610,原始数据_利率互换_FR007_1年!$A$6:$C$4395,3,0),"")</f>
        <v>2.8263</v>
      </c>
    </row>
    <row r="4611" spans="1:9">
      <c r="A4611" s="6">
        <v>44104</v>
      </c>
      <c r="B4611">
        <f>IFERROR(VLOOKUP($A4611,原始数据_收盘!$A$4:$G$3460,2,0),"")</f>
        <v>2.4786</v>
      </c>
      <c r="C4611">
        <f>IFERROR(VLOOKUP($A4611,原始数据_收盘!$A$4:$G$3460,3,0),"")</f>
        <v>2.8538</v>
      </c>
      <c r="D4611">
        <f>IFERROR(VLOOKUP($A4611,原始数据_收盘!$A$4:$G$3460,4,0),"")</f>
        <v>2.4826</v>
      </c>
      <c r="E4611">
        <f>IFERROR(VLOOKUP($A4611,原始数据_收盘!$A$4:$G$3460,5,0),"")</f>
        <v>2.8585</v>
      </c>
      <c r="F4611">
        <f>IFERROR(VLOOKUP($A4611,原始数据_收盘!$A$4:$G$3460,6,0),"")</f>
        <v>2.4806</v>
      </c>
      <c r="G4611">
        <f>IFERROR(VLOOKUP($A4611,原始数据_收盘!$A$4:$G$3460,7,0),"")</f>
        <v>2.8561</v>
      </c>
      <c r="H4611">
        <f>IFERROR(VLOOKUP($A4611,原始数据_利率互换_FR007_1年!$A$6:$C$4395,2,0),"")</f>
        <v>2.4765</v>
      </c>
      <c r="I4611">
        <f>IFERROR(VLOOKUP($A4611,原始数据_利率互换_FR007_1年!$A$6:$C$4395,3,0),"")</f>
        <v>2.8484</v>
      </c>
    </row>
    <row r="4612" spans="1:9">
      <c r="A4612" s="6">
        <v>44105</v>
      </c>
      <c r="B4612" t="str">
        <f>IFERROR(VLOOKUP($A4612,原始数据_收盘!$A$4:$G$3460,2,0),"")</f>
        <v/>
      </c>
      <c r="C4612" t="str">
        <f>IFERROR(VLOOKUP($A4612,原始数据_收盘!$A$4:$G$3460,3,0),"")</f>
        <v/>
      </c>
      <c r="D4612" t="str">
        <f>IFERROR(VLOOKUP($A4612,原始数据_收盘!$A$4:$G$3460,4,0),"")</f>
        <v/>
      </c>
      <c r="E4612" t="str">
        <f>IFERROR(VLOOKUP($A4612,原始数据_收盘!$A$4:$G$3460,5,0),"")</f>
        <v/>
      </c>
      <c r="F4612" t="str">
        <f>IFERROR(VLOOKUP($A4612,原始数据_收盘!$A$4:$G$3460,6,0),"")</f>
        <v/>
      </c>
      <c r="G4612" t="str">
        <f>IFERROR(VLOOKUP($A4612,原始数据_收盘!$A$4:$G$3460,7,0),"")</f>
        <v/>
      </c>
      <c r="H4612" t="str">
        <f>IFERROR(VLOOKUP($A4612,原始数据_利率互换_FR007_1年!$A$6:$C$4395,2,0),"")</f>
        <v/>
      </c>
      <c r="I4612" t="str">
        <f>IFERROR(VLOOKUP($A4612,原始数据_利率互换_FR007_1年!$A$6:$C$4395,3,0),"")</f>
        <v/>
      </c>
    </row>
    <row r="4613" spans="1:9">
      <c r="A4613" s="6">
        <v>44106</v>
      </c>
      <c r="B4613" t="str">
        <f>IFERROR(VLOOKUP($A4613,原始数据_收盘!$A$4:$G$3460,2,0),"")</f>
        <v/>
      </c>
      <c r="C4613" t="str">
        <f>IFERROR(VLOOKUP($A4613,原始数据_收盘!$A$4:$G$3460,3,0),"")</f>
        <v/>
      </c>
      <c r="D4613" t="str">
        <f>IFERROR(VLOOKUP($A4613,原始数据_收盘!$A$4:$G$3460,4,0),"")</f>
        <v/>
      </c>
      <c r="E4613" t="str">
        <f>IFERROR(VLOOKUP($A4613,原始数据_收盘!$A$4:$G$3460,5,0),"")</f>
        <v/>
      </c>
      <c r="F4613" t="str">
        <f>IFERROR(VLOOKUP($A4613,原始数据_收盘!$A$4:$G$3460,6,0),"")</f>
        <v/>
      </c>
      <c r="G4613" t="str">
        <f>IFERROR(VLOOKUP($A4613,原始数据_收盘!$A$4:$G$3460,7,0),"")</f>
        <v/>
      </c>
      <c r="H4613" t="str">
        <f>IFERROR(VLOOKUP($A4613,原始数据_利率互换_FR007_1年!$A$6:$C$4395,2,0),"")</f>
        <v/>
      </c>
      <c r="I4613" t="str">
        <f>IFERROR(VLOOKUP($A4613,原始数据_利率互换_FR007_1年!$A$6:$C$4395,3,0),"")</f>
        <v/>
      </c>
    </row>
    <row r="4614" spans="1:9">
      <c r="A4614" s="6">
        <v>44107</v>
      </c>
      <c r="B4614" t="str">
        <f>IFERROR(VLOOKUP($A4614,原始数据_收盘!$A$4:$G$3460,2,0),"")</f>
        <v/>
      </c>
      <c r="C4614" t="str">
        <f>IFERROR(VLOOKUP($A4614,原始数据_收盘!$A$4:$G$3460,3,0),"")</f>
        <v/>
      </c>
      <c r="D4614" t="str">
        <f>IFERROR(VLOOKUP($A4614,原始数据_收盘!$A$4:$G$3460,4,0),"")</f>
        <v/>
      </c>
      <c r="E4614" t="str">
        <f>IFERROR(VLOOKUP($A4614,原始数据_收盘!$A$4:$G$3460,5,0),"")</f>
        <v/>
      </c>
      <c r="F4614" t="str">
        <f>IFERROR(VLOOKUP($A4614,原始数据_收盘!$A$4:$G$3460,6,0),"")</f>
        <v/>
      </c>
      <c r="G4614" t="str">
        <f>IFERROR(VLOOKUP($A4614,原始数据_收盘!$A$4:$G$3460,7,0),"")</f>
        <v/>
      </c>
      <c r="H4614" t="str">
        <f>IFERROR(VLOOKUP($A4614,原始数据_利率互换_FR007_1年!$A$6:$C$4395,2,0),"")</f>
        <v/>
      </c>
      <c r="I4614" t="str">
        <f>IFERROR(VLOOKUP($A4614,原始数据_利率互换_FR007_1年!$A$6:$C$4395,3,0),"")</f>
        <v/>
      </c>
    </row>
    <row r="4615" spans="1:9">
      <c r="A4615" s="6">
        <v>44108</v>
      </c>
      <c r="B4615" t="str">
        <f>IFERROR(VLOOKUP($A4615,原始数据_收盘!$A$4:$G$3460,2,0),"")</f>
        <v/>
      </c>
      <c r="C4615" t="str">
        <f>IFERROR(VLOOKUP($A4615,原始数据_收盘!$A$4:$G$3460,3,0),"")</f>
        <v/>
      </c>
      <c r="D4615" t="str">
        <f>IFERROR(VLOOKUP($A4615,原始数据_收盘!$A$4:$G$3460,4,0),"")</f>
        <v/>
      </c>
      <c r="E4615" t="str">
        <f>IFERROR(VLOOKUP($A4615,原始数据_收盘!$A$4:$G$3460,5,0),"")</f>
        <v/>
      </c>
      <c r="F4615" t="str">
        <f>IFERROR(VLOOKUP($A4615,原始数据_收盘!$A$4:$G$3460,6,0),"")</f>
        <v/>
      </c>
      <c r="G4615" t="str">
        <f>IFERROR(VLOOKUP($A4615,原始数据_收盘!$A$4:$G$3460,7,0),"")</f>
        <v/>
      </c>
      <c r="H4615" t="str">
        <f>IFERROR(VLOOKUP($A4615,原始数据_利率互换_FR007_1年!$A$6:$C$4395,2,0),"")</f>
        <v/>
      </c>
      <c r="I4615" t="str">
        <f>IFERROR(VLOOKUP($A4615,原始数据_利率互换_FR007_1年!$A$6:$C$4395,3,0),"")</f>
        <v/>
      </c>
    </row>
    <row r="4616" spans="1:9">
      <c r="A4616" s="6">
        <v>44109</v>
      </c>
      <c r="B4616" t="str">
        <f>IFERROR(VLOOKUP($A4616,原始数据_收盘!$A$4:$G$3460,2,0),"")</f>
        <v/>
      </c>
      <c r="C4616" t="str">
        <f>IFERROR(VLOOKUP($A4616,原始数据_收盘!$A$4:$G$3460,3,0),"")</f>
        <v/>
      </c>
      <c r="D4616" t="str">
        <f>IFERROR(VLOOKUP($A4616,原始数据_收盘!$A$4:$G$3460,4,0),"")</f>
        <v/>
      </c>
      <c r="E4616" t="str">
        <f>IFERROR(VLOOKUP($A4616,原始数据_收盘!$A$4:$G$3460,5,0),"")</f>
        <v/>
      </c>
      <c r="F4616" t="str">
        <f>IFERROR(VLOOKUP($A4616,原始数据_收盘!$A$4:$G$3460,6,0),"")</f>
        <v/>
      </c>
      <c r="G4616" t="str">
        <f>IFERROR(VLOOKUP($A4616,原始数据_收盘!$A$4:$G$3460,7,0),"")</f>
        <v/>
      </c>
      <c r="H4616" t="str">
        <f>IFERROR(VLOOKUP($A4616,原始数据_利率互换_FR007_1年!$A$6:$C$4395,2,0),"")</f>
        <v/>
      </c>
      <c r="I4616" t="str">
        <f>IFERROR(VLOOKUP($A4616,原始数据_利率互换_FR007_1年!$A$6:$C$4395,3,0),"")</f>
        <v/>
      </c>
    </row>
    <row r="4617" spans="1:9">
      <c r="A4617" s="6">
        <v>44110</v>
      </c>
      <c r="B4617" t="str">
        <f>IFERROR(VLOOKUP($A4617,原始数据_收盘!$A$4:$G$3460,2,0),"")</f>
        <v/>
      </c>
      <c r="C4617" t="str">
        <f>IFERROR(VLOOKUP($A4617,原始数据_收盘!$A$4:$G$3460,3,0),"")</f>
        <v/>
      </c>
      <c r="D4617" t="str">
        <f>IFERROR(VLOOKUP($A4617,原始数据_收盘!$A$4:$G$3460,4,0),"")</f>
        <v/>
      </c>
      <c r="E4617" t="str">
        <f>IFERROR(VLOOKUP($A4617,原始数据_收盘!$A$4:$G$3460,5,0),"")</f>
        <v/>
      </c>
      <c r="F4617" t="str">
        <f>IFERROR(VLOOKUP($A4617,原始数据_收盘!$A$4:$G$3460,6,0),"")</f>
        <v/>
      </c>
      <c r="G4617" t="str">
        <f>IFERROR(VLOOKUP($A4617,原始数据_收盘!$A$4:$G$3460,7,0),"")</f>
        <v/>
      </c>
      <c r="H4617" t="str">
        <f>IFERROR(VLOOKUP($A4617,原始数据_利率互换_FR007_1年!$A$6:$C$4395,2,0),"")</f>
        <v/>
      </c>
      <c r="I4617" t="str">
        <f>IFERROR(VLOOKUP($A4617,原始数据_利率互换_FR007_1年!$A$6:$C$4395,3,0),"")</f>
        <v/>
      </c>
    </row>
    <row r="4618" spans="1:9">
      <c r="A4618" s="6">
        <v>44111</v>
      </c>
      <c r="B4618" t="str">
        <f>IFERROR(VLOOKUP($A4618,原始数据_收盘!$A$4:$G$3460,2,0),"")</f>
        <v/>
      </c>
      <c r="C4618" t="str">
        <f>IFERROR(VLOOKUP($A4618,原始数据_收盘!$A$4:$G$3460,3,0),"")</f>
        <v/>
      </c>
      <c r="D4618" t="str">
        <f>IFERROR(VLOOKUP($A4618,原始数据_收盘!$A$4:$G$3460,4,0),"")</f>
        <v/>
      </c>
      <c r="E4618" t="str">
        <f>IFERROR(VLOOKUP($A4618,原始数据_收盘!$A$4:$G$3460,5,0),"")</f>
        <v/>
      </c>
      <c r="F4618" t="str">
        <f>IFERROR(VLOOKUP($A4618,原始数据_收盘!$A$4:$G$3460,6,0),"")</f>
        <v/>
      </c>
      <c r="G4618" t="str">
        <f>IFERROR(VLOOKUP($A4618,原始数据_收盘!$A$4:$G$3460,7,0),"")</f>
        <v/>
      </c>
      <c r="H4618" t="str">
        <f>IFERROR(VLOOKUP($A4618,原始数据_利率互换_FR007_1年!$A$6:$C$4395,2,0),"")</f>
        <v/>
      </c>
      <c r="I4618" t="str">
        <f>IFERROR(VLOOKUP($A4618,原始数据_利率互换_FR007_1年!$A$6:$C$4395,3,0),"")</f>
        <v/>
      </c>
    </row>
    <row r="4619" spans="1:9">
      <c r="A4619" s="6">
        <v>44112</v>
      </c>
      <c r="B4619" t="str">
        <f>IFERROR(VLOOKUP($A4619,原始数据_收盘!$A$4:$G$3460,2,0),"")</f>
        <v/>
      </c>
      <c r="C4619" t="str">
        <f>IFERROR(VLOOKUP($A4619,原始数据_收盘!$A$4:$G$3460,3,0),"")</f>
        <v/>
      </c>
      <c r="D4619" t="str">
        <f>IFERROR(VLOOKUP($A4619,原始数据_收盘!$A$4:$G$3460,4,0),"")</f>
        <v/>
      </c>
      <c r="E4619" t="str">
        <f>IFERROR(VLOOKUP($A4619,原始数据_收盘!$A$4:$G$3460,5,0),"")</f>
        <v/>
      </c>
      <c r="F4619" t="str">
        <f>IFERROR(VLOOKUP($A4619,原始数据_收盘!$A$4:$G$3460,6,0),"")</f>
        <v/>
      </c>
      <c r="G4619" t="str">
        <f>IFERROR(VLOOKUP($A4619,原始数据_收盘!$A$4:$G$3460,7,0),"")</f>
        <v/>
      </c>
      <c r="H4619" t="str">
        <f>IFERROR(VLOOKUP($A4619,原始数据_利率互换_FR007_1年!$A$6:$C$4395,2,0),"")</f>
        <v/>
      </c>
      <c r="I4619" t="str">
        <f>IFERROR(VLOOKUP($A4619,原始数据_利率互换_FR007_1年!$A$6:$C$4395,3,0),"")</f>
        <v/>
      </c>
    </row>
    <row r="4620" spans="1:9">
      <c r="A4620" s="6">
        <v>44113</v>
      </c>
      <c r="B4620">
        <f>IFERROR(VLOOKUP($A4620,原始数据_收盘!$A$4:$G$3460,2,0),"")</f>
        <v>2.5125</v>
      </c>
      <c r="C4620">
        <f>IFERROR(VLOOKUP($A4620,原始数据_收盘!$A$4:$G$3460,3,0),"")</f>
        <v>2.9025</v>
      </c>
      <c r="D4620">
        <f>IFERROR(VLOOKUP($A4620,原始数据_收盘!$A$4:$G$3460,4,0),"")</f>
        <v>2.515</v>
      </c>
      <c r="E4620">
        <f>IFERROR(VLOOKUP($A4620,原始数据_收盘!$A$4:$G$3460,5,0),"")</f>
        <v>2.9075</v>
      </c>
      <c r="F4620">
        <f>IFERROR(VLOOKUP($A4620,原始数据_收盘!$A$4:$G$3460,6,0),"")</f>
        <v>2.5138</v>
      </c>
      <c r="G4620">
        <f>IFERROR(VLOOKUP($A4620,原始数据_收盘!$A$4:$G$3460,7,0),"")</f>
        <v>2.905</v>
      </c>
      <c r="H4620">
        <f>IFERROR(VLOOKUP($A4620,原始数据_利率互换_FR007_1年!$A$6:$C$4395,2,0),"")</f>
        <v>2.5125</v>
      </c>
      <c r="I4620">
        <f>IFERROR(VLOOKUP($A4620,原始数据_利率互换_FR007_1年!$A$6:$C$4395,3,0),"")</f>
        <v>2.9025</v>
      </c>
    </row>
    <row r="4621" spans="1:9">
      <c r="A4621" s="6">
        <v>44114</v>
      </c>
      <c r="B4621">
        <f>IFERROR(VLOOKUP($A4621,原始数据_收盘!$A$4:$G$3460,2,0),"")</f>
        <v>2.4975</v>
      </c>
      <c r="C4621">
        <f>IFERROR(VLOOKUP($A4621,原始数据_收盘!$A$4:$G$3460,3,0),"")</f>
        <v>2.9</v>
      </c>
      <c r="D4621">
        <f>IFERROR(VLOOKUP($A4621,原始数据_收盘!$A$4:$G$3460,4,0),"")</f>
        <v>2.51</v>
      </c>
      <c r="E4621">
        <f>IFERROR(VLOOKUP($A4621,原始数据_收盘!$A$4:$G$3460,5,0),"")</f>
        <v>2.91</v>
      </c>
      <c r="F4621">
        <f>IFERROR(VLOOKUP($A4621,原始数据_收盘!$A$4:$G$3460,6,0),"")</f>
        <v>2.5038</v>
      </c>
      <c r="G4621">
        <f>IFERROR(VLOOKUP($A4621,原始数据_收盘!$A$4:$G$3460,7,0),"")</f>
        <v>2.905</v>
      </c>
      <c r="H4621" t="str">
        <f>IFERROR(VLOOKUP($A4621,原始数据_利率互换_FR007_1年!$A$6:$C$4395,2,0),"")</f>
        <v/>
      </c>
      <c r="I4621" t="str">
        <f>IFERROR(VLOOKUP($A4621,原始数据_利率互换_FR007_1年!$A$6:$C$4395,3,0),"")</f>
        <v/>
      </c>
    </row>
    <row r="4622" spans="1:9">
      <c r="A4622" s="6">
        <v>44115</v>
      </c>
      <c r="B4622" t="str">
        <f>IFERROR(VLOOKUP($A4622,原始数据_收盘!$A$4:$G$3460,2,0),"")</f>
        <v/>
      </c>
      <c r="C4622" t="str">
        <f>IFERROR(VLOOKUP($A4622,原始数据_收盘!$A$4:$G$3460,3,0),"")</f>
        <v/>
      </c>
      <c r="D4622" t="str">
        <f>IFERROR(VLOOKUP($A4622,原始数据_收盘!$A$4:$G$3460,4,0),"")</f>
        <v/>
      </c>
      <c r="E4622" t="str">
        <f>IFERROR(VLOOKUP($A4622,原始数据_收盘!$A$4:$G$3460,5,0),"")</f>
        <v/>
      </c>
      <c r="F4622" t="str">
        <f>IFERROR(VLOOKUP($A4622,原始数据_收盘!$A$4:$G$3460,6,0),"")</f>
        <v/>
      </c>
      <c r="G4622" t="str">
        <f>IFERROR(VLOOKUP($A4622,原始数据_收盘!$A$4:$G$3460,7,0),"")</f>
        <v/>
      </c>
      <c r="H4622" t="str">
        <f>IFERROR(VLOOKUP($A4622,原始数据_利率互换_FR007_1年!$A$6:$C$4395,2,0),"")</f>
        <v/>
      </c>
      <c r="I4622" t="str">
        <f>IFERROR(VLOOKUP($A4622,原始数据_利率互换_FR007_1年!$A$6:$C$4395,3,0),"")</f>
        <v/>
      </c>
    </row>
    <row r="4623" spans="1:9">
      <c r="A4623" s="6">
        <v>44116</v>
      </c>
      <c r="B4623">
        <f>IFERROR(VLOOKUP($A4623,原始数据_收盘!$A$4:$G$3460,2,0),"")</f>
        <v>2.5149</v>
      </c>
      <c r="C4623">
        <f>IFERROR(VLOOKUP($A4623,原始数据_收盘!$A$4:$G$3460,3,0),"")</f>
        <v>2.8916</v>
      </c>
      <c r="D4623">
        <f>IFERROR(VLOOKUP($A4623,原始数据_收盘!$A$4:$G$3460,4,0),"")</f>
        <v>2.5175</v>
      </c>
      <c r="E4623">
        <f>IFERROR(VLOOKUP($A4623,原始数据_收盘!$A$4:$G$3460,5,0),"")</f>
        <v>2.8943</v>
      </c>
      <c r="F4623">
        <f>IFERROR(VLOOKUP($A4623,原始数据_收盘!$A$4:$G$3460,6,0),"")</f>
        <v>2.5162</v>
      </c>
      <c r="G4623">
        <f>IFERROR(VLOOKUP($A4623,原始数据_收盘!$A$4:$G$3460,7,0),"")</f>
        <v>2.8929</v>
      </c>
      <c r="H4623">
        <f>IFERROR(VLOOKUP($A4623,原始数据_利率互换_FR007_1年!$A$6:$C$4395,2,0),"")</f>
        <v>2.5187</v>
      </c>
      <c r="I4623">
        <f>IFERROR(VLOOKUP($A4623,原始数据_利率互换_FR007_1年!$A$6:$C$4395,3,0),"")</f>
        <v>2.9118</v>
      </c>
    </row>
    <row r="4624" spans="1:9">
      <c r="A4624" s="6">
        <v>44117</v>
      </c>
      <c r="B4624">
        <f>IFERROR(VLOOKUP($A4624,原始数据_收盘!$A$4:$G$3460,2,0),"")</f>
        <v>2.5075</v>
      </c>
      <c r="C4624">
        <f>IFERROR(VLOOKUP($A4624,原始数据_收盘!$A$4:$G$3460,3,0),"")</f>
        <v>2.8975</v>
      </c>
      <c r="D4624">
        <f>IFERROR(VLOOKUP($A4624,原始数据_收盘!$A$4:$G$3460,4,0),"")</f>
        <v>2.51</v>
      </c>
      <c r="E4624">
        <f>IFERROR(VLOOKUP($A4624,原始数据_收盘!$A$4:$G$3460,5,0),"")</f>
        <v>2.9</v>
      </c>
      <c r="F4624">
        <f>IFERROR(VLOOKUP($A4624,原始数据_收盘!$A$4:$G$3460,6,0),"")</f>
        <v>2.5088</v>
      </c>
      <c r="G4624">
        <f>IFERROR(VLOOKUP($A4624,原始数据_收盘!$A$4:$G$3460,7,0),"")</f>
        <v>2.8988</v>
      </c>
      <c r="H4624">
        <f>IFERROR(VLOOKUP($A4624,原始数据_利率互换_FR007_1年!$A$6:$C$4395,2,0),"")</f>
        <v>2.5069</v>
      </c>
      <c r="I4624">
        <f>IFERROR(VLOOKUP($A4624,原始数据_利率互换_FR007_1年!$A$6:$C$4395,3,0),"")</f>
        <v>2.8951</v>
      </c>
    </row>
    <row r="4625" spans="1:9">
      <c r="A4625" s="6">
        <v>44118</v>
      </c>
      <c r="B4625">
        <f>IFERROR(VLOOKUP($A4625,原始数据_收盘!$A$4:$G$3460,2,0),"")</f>
        <v>2.525</v>
      </c>
      <c r="C4625">
        <f>IFERROR(VLOOKUP($A4625,原始数据_收盘!$A$4:$G$3460,3,0),"")</f>
        <v>2.9124</v>
      </c>
      <c r="D4625">
        <f>IFERROR(VLOOKUP($A4625,原始数据_收盘!$A$4:$G$3460,4,0),"")</f>
        <v>2.5275</v>
      </c>
      <c r="E4625">
        <f>IFERROR(VLOOKUP($A4625,原始数据_收盘!$A$4:$G$3460,5,0),"")</f>
        <v>2.915</v>
      </c>
      <c r="F4625">
        <f>IFERROR(VLOOKUP($A4625,原始数据_收盘!$A$4:$G$3460,6,0),"")</f>
        <v>2.5263</v>
      </c>
      <c r="G4625">
        <f>IFERROR(VLOOKUP($A4625,原始数据_收盘!$A$4:$G$3460,7,0),"")</f>
        <v>2.9137</v>
      </c>
      <c r="H4625">
        <f>IFERROR(VLOOKUP($A4625,原始数据_利率互换_FR007_1年!$A$6:$C$4395,2,0),"")</f>
        <v>2.5249</v>
      </c>
      <c r="I4625">
        <f>IFERROR(VLOOKUP($A4625,原始数据_利率互换_FR007_1年!$A$6:$C$4395,3,0),"")</f>
        <v>2.9146</v>
      </c>
    </row>
    <row r="4626" spans="1:9">
      <c r="A4626" s="6">
        <v>44119</v>
      </c>
      <c r="B4626">
        <f>IFERROR(VLOOKUP($A4626,原始数据_收盘!$A$4:$G$3460,2,0),"")</f>
        <v>2.5375</v>
      </c>
      <c r="C4626">
        <f>IFERROR(VLOOKUP($A4626,原始数据_收盘!$A$4:$G$3460,3,0),"")</f>
        <v>2.925</v>
      </c>
      <c r="D4626">
        <f>IFERROR(VLOOKUP($A4626,原始数据_收盘!$A$4:$G$3460,4,0),"")</f>
        <v>2.54</v>
      </c>
      <c r="E4626">
        <f>IFERROR(VLOOKUP($A4626,原始数据_收盘!$A$4:$G$3460,5,0),"")</f>
        <v>2.9275</v>
      </c>
      <c r="F4626">
        <f>IFERROR(VLOOKUP($A4626,原始数据_收盘!$A$4:$G$3460,6,0),"")</f>
        <v>2.5388</v>
      </c>
      <c r="G4626">
        <f>IFERROR(VLOOKUP($A4626,原始数据_收盘!$A$4:$G$3460,7,0),"")</f>
        <v>2.9263</v>
      </c>
      <c r="H4626">
        <f>IFERROR(VLOOKUP($A4626,原始数据_利率互换_FR007_1年!$A$6:$C$4395,2,0),"")</f>
        <v>2.5346</v>
      </c>
      <c r="I4626">
        <f>IFERROR(VLOOKUP($A4626,原始数据_利率互换_FR007_1年!$A$6:$C$4395,3,0),"")</f>
        <v>2.9217</v>
      </c>
    </row>
    <row r="4627" spans="1:9">
      <c r="A4627" s="6">
        <v>44120</v>
      </c>
      <c r="B4627">
        <f>IFERROR(VLOOKUP($A4627,原始数据_收盘!$A$4:$G$3460,2,0),"")</f>
        <v>2.535</v>
      </c>
      <c r="C4627">
        <f>IFERROR(VLOOKUP($A4627,原始数据_收盘!$A$4:$G$3460,3,0),"")</f>
        <v>2.9175</v>
      </c>
      <c r="D4627">
        <f>IFERROR(VLOOKUP($A4627,原始数据_收盘!$A$4:$G$3460,4,0),"")</f>
        <v>2.5375</v>
      </c>
      <c r="E4627">
        <f>IFERROR(VLOOKUP($A4627,原始数据_收盘!$A$4:$G$3460,5,0),"")</f>
        <v>2.92</v>
      </c>
      <c r="F4627">
        <f>IFERROR(VLOOKUP($A4627,原始数据_收盘!$A$4:$G$3460,6,0),"")</f>
        <v>2.5363</v>
      </c>
      <c r="G4627">
        <f>IFERROR(VLOOKUP($A4627,原始数据_收盘!$A$4:$G$3460,7,0),"")</f>
        <v>2.9188</v>
      </c>
      <c r="H4627">
        <f>IFERROR(VLOOKUP($A4627,原始数据_利率互换_FR007_1年!$A$6:$C$4395,2,0),"")</f>
        <v>2.5356</v>
      </c>
      <c r="I4627">
        <f>IFERROR(VLOOKUP($A4627,原始数据_利率互换_FR007_1年!$A$6:$C$4395,3,0),"")</f>
        <v>2.9306</v>
      </c>
    </row>
    <row r="4628" spans="1:9">
      <c r="A4628" s="6">
        <v>44121</v>
      </c>
      <c r="B4628" t="str">
        <f>IFERROR(VLOOKUP($A4628,原始数据_收盘!$A$4:$G$3460,2,0),"")</f>
        <v/>
      </c>
      <c r="C4628" t="str">
        <f>IFERROR(VLOOKUP($A4628,原始数据_收盘!$A$4:$G$3460,3,0),"")</f>
        <v/>
      </c>
      <c r="D4628" t="str">
        <f>IFERROR(VLOOKUP($A4628,原始数据_收盘!$A$4:$G$3460,4,0),"")</f>
        <v/>
      </c>
      <c r="E4628" t="str">
        <f>IFERROR(VLOOKUP($A4628,原始数据_收盘!$A$4:$G$3460,5,0),"")</f>
        <v/>
      </c>
      <c r="F4628" t="str">
        <f>IFERROR(VLOOKUP($A4628,原始数据_收盘!$A$4:$G$3460,6,0),"")</f>
        <v/>
      </c>
      <c r="G4628" t="str">
        <f>IFERROR(VLOOKUP($A4628,原始数据_收盘!$A$4:$G$3460,7,0),"")</f>
        <v/>
      </c>
      <c r="H4628" t="str">
        <f>IFERROR(VLOOKUP($A4628,原始数据_利率互换_FR007_1年!$A$6:$C$4395,2,0),"")</f>
        <v/>
      </c>
      <c r="I4628" t="str">
        <f>IFERROR(VLOOKUP($A4628,原始数据_利率互换_FR007_1年!$A$6:$C$4395,3,0),"")</f>
        <v/>
      </c>
    </row>
    <row r="4629" spans="1:9">
      <c r="A4629" s="6">
        <v>44122</v>
      </c>
      <c r="B4629" t="str">
        <f>IFERROR(VLOOKUP($A4629,原始数据_收盘!$A$4:$G$3460,2,0),"")</f>
        <v/>
      </c>
      <c r="C4629" t="str">
        <f>IFERROR(VLOOKUP($A4629,原始数据_收盘!$A$4:$G$3460,3,0),"")</f>
        <v/>
      </c>
      <c r="D4629" t="str">
        <f>IFERROR(VLOOKUP($A4629,原始数据_收盘!$A$4:$G$3460,4,0),"")</f>
        <v/>
      </c>
      <c r="E4629" t="str">
        <f>IFERROR(VLOOKUP($A4629,原始数据_收盘!$A$4:$G$3460,5,0),"")</f>
        <v/>
      </c>
      <c r="F4629" t="str">
        <f>IFERROR(VLOOKUP($A4629,原始数据_收盘!$A$4:$G$3460,6,0),"")</f>
        <v/>
      </c>
      <c r="G4629" t="str">
        <f>IFERROR(VLOOKUP($A4629,原始数据_收盘!$A$4:$G$3460,7,0),"")</f>
        <v/>
      </c>
      <c r="H4629" t="str">
        <f>IFERROR(VLOOKUP($A4629,原始数据_利率互换_FR007_1年!$A$6:$C$4395,2,0),"")</f>
        <v/>
      </c>
      <c r="I4629" t="str">
        <f>IFERROR(VLOOKUP($A4629,原始数据_利率互换_FR007_1年!$A$6:$C$4395,3,0),"")</f>
        <v/>
      </c>
    </row>
    <row r="4630" spans="1:9">
      <c r="A4630" s="6">
        <v>44123</v>
      </c>
      <c r="B4630">
        <f>IFERROR(VLOOKUP($A4630,原始数据_收盘!$A$4:$G$3460,2,0),"")</f>
        <v>2.505</v>
      </c>
      <c r="C4630">
        <f>IFERROR(VLOOKUP($A4630,原始数据_收盘!$A$4:$G$3460,3,0),"")</f>
        <v>2.8821</v>
      </c>
      <c r="D4630">
        <f>IFERROR(VLOOKUP($A4630,原始数据_收盘!$A$4:$G$3460,4,0),"")</f>
        <v>2.51</v>
      </c>
      <c r="E4630">
        <f>IFERROR(VLOOKUP($A4630,原始数据_收盘!$A$4:$G$3460,5,0),"")</f>
        <v>2.885</v>
      </c>
      <c r="F4630">
        <f>IFERROR(VLOOKUP($A4630,原始数据_收盘!$A$4:$G$3460,6,0),"")</f>
        <v>2.5075</v>
      </c>
      <c r="G4630">
        <f>IFERROR(VLOOKUP($A4630,原始数据_收盘!$A$4:$G$3460,7,0),"")</f>
        <v>2.8835</v>
      </c>
      <c r="H4630">
        <f>IFERROR(VLOOKUP($A4630,原始数据_利率互换_FR007_1年!$A$6:$C$4395,2,0),"")</f>
        <v>2.5257</v>
      </c>
      <c r="I4630">
        <f>IFERROR(VLOOKUP($A4630,原始数据_利率互换_FR007_1年!$A$6:$C$4395,3,0),"")</f>
        <v>2.8997</v>
      </c>
    </row>
    <row r="4631" spans="1:9">
      <c r="A4631" s="6">
        <v>44124</v>
      </c>
      <c r="B4631">
        <f>IFERROR(VLOOKUP($A4631,原始数据_收盘!$A$4:$G$3460,2,0),"")</f>
        <v>2.5125</v>
      </c>
      <c r="C4631">
        <f>IFERROR(VLOOKUP($A4631,原始数据_收盘!$A$4:$G$3460,3,0),"")</f>
        <v>2.8825</v>
      </c>
      <c r="D4631">
        <f>IFERROR(VLOOKUP($A4631,原始数据_收盘!$A$4:$G$3460,4,0),"")</f>
        <v>2.515</v>
      </c>
      <c r="E4631">
        <f>IFERROR(VLOOKUP($A4631,原始数据_收盘!$A$4:$G$3460,5,0),"")</f>
        <v>2.8846</v>
      </c>
      <c r="F4631">
        <f>IFERROR(VLOOKUP($A4631,原始数据_收盘!$A$4:$G$3460,6,0),"")</f>
        <v>2.5138</v>
      </c>
      <c r="G4631">
        <f>IFERROR(VLOOKUP($A4631,原始数据_收盘!$A$4:$G$3460,7,0),"")</f>
        <v>2.8835</v>
      </c>
      <c r="H4631">
        <f>IFERROR(VLOOKUP($A4631,原始数据_利率互换_FR007_1年!$A$6:$C$4395,2,0),"")</f>
        <v>2.5181</v>
      </c>
      <c r="I4631">
        <f>IFERROR(VLOOKUP($A4631,原始数据_利率互换_FR007_1年!$A$6:$C$4395,3,0),"")</f>
        <v>2.8933</v>
      </c>
    </row>
    <row r="4632" spans="1:9">
      <c r="A4632" s="6">
        <v>44125</v>
      </c>
      <c r="B4632">
        <f>IFERROR(VLOOKUP($A4632,原始数据_收盘!$A$4:$G$3460,2,0),"")</f>
        <v>2.49</v>
      </c>
      <c r="C4632">
        <f>IFERROR(VLOOKUP($A4632,原始数据_收盘!$A$4:$G$3460,3,0),"")</f>
        <v>2.8556</v>
      </c>
      <c r="D4632">
        <f>IFERROR(VLOOKUP($A4632,原始数据_收盘!$A$4:$G$3460,4,0),"")</f>
        <v>2.5</v>
      </c>
      <c r="E4632">
        <f>IFERROR(VLOOKUP($A4632,原始数据_收盘!$A$4:$G$3460,5,0),"")</f>
        <v>2.8595</v>
      </c>
      <c r="F4632">
        <f>IFERROR(VLOOKUP($A4632,原始数据_收盘!$A$4:$G$3460,6,0),"")</f>
        <v>2.495</v>
      </c>
      <c r="G4632">
        <f>IFERROR(VLOOKUP($A4632,原始数据_收盘!$A$4:$G$3460,7,0),"")</f>
        <v>2.8575</v>
      </c>
      <c r="H4632">
        <f>IFERROR(VLOOKUP($A4632,原始数据_利率互换_FR007_1年!$A$6:$C$4395,2,0),"")</f>
        <v>2.505</v>
      </c>
      <c r="I4632">
        <f>IFERROR(VLOOKUP($A4632,原始数据_利率互换_FR007_1年!$A$6:$C$4395,3,0),"")</f>
        <v>2.8669</v>
      </c>
    </row>
    <row r="4633" spans="1:9">
      <c r="A4633" s="6">
        <v>44126</v>
      </c>
      <c r="B4633">
        <f>IFERROR(VLOOKUP($A4633,原始数据_收盘!$A$4:$G$3460,2,0),"")</f>
        <v>2.4824</v>
      </c>
      <c r="C4633">
        <f>IFERROR(VLOOKUP($A4633,原始数据_收盘!$A$4:$G$3460,3,0),"")</f>
        <v>2.84</v>
      </c>
      <c r="D4633">
        <f>IFERROR(VLOOKUP($A4633,原始数据_收盘!$A$4:$G$3460,4,0),"")</f>
        <v>2.485</v>
      </c>
      <c r="E4633">
        <f>IFERROR(VLOOKUP($A4633,原始数据_收盘!$A$4:$G$3460,5,0),"")</f>
        <v>2.845</v>
      </c>
      <c r="F4633">
        <f>IFERROR(VLOOKUP($A4633,原始数据_收盘!$A$4:$G$3460,6,0),"")</f>
        <v>2.4837</v>
      </c>
      <c r="G4633">
        <f>IFERROR(VLOOKUP($A4633,原始数据_收盘!$A$4:$G$3460,7,0),"")</f>
        <v>2.8425</v>
      </c>
      <c r="H4633">
        <f>IFERROR(VLOOKUP($A4633,原始数据_利率互换_FR007_1年!$A$6:$C$4395,2,0),"")</f>
        <v>2.4851</v>
      </c>
      <c r="I4633">
        <f>IFERROR(VLOOKUP($A4633,原始数据_利率互换_FR007_1年!$A$6:$C$4395,3,0),"")</f>
        <v>2.8424</v>
      </c>
    </row>
    <row r="4634" spans="1:9">
      <c r="A4634" s="6">
        <v>44127</v>
      </c>
      <c r="B4634">
        <f>IFERROR(VLOOKUP($A4634,原始数据_收盘!$A$4:$G$3460,2,0),"")</f>
        <v>2.5025</v>
      </c>
      <c r="C4634">
        <f>IFERROR(VLOOKUP($A4634,原始数据_收盘!$A$4:$G$3460,3,0),"")</f>
        <v>2.865</v>
      </c>
      <c r="D4634">
        <f>IFERROR(VLOOKUP($A4634,原始数据_收盘!$A$4:$G$3460,4,0),"")</f>
        <v>2.505</v>
      </c>
      <c r="E4634">
        <f>IFERROR(VLOOKUP($A4634,原始数据_收盘!$A$4:$G$3460,5,0),"")</f>
        <v>2.87</v>
      </c>
      <c r="F4634">
        <f>IFERROR(VLOOKUP($A4634,原始数据_收盘!$A$4:$G$3460,6,0),"")</f>
        <v>2.5038</v>
      </c>
      <c r="G4634">
        <f>IFERROR(VLOOKUP($A4634,原始数据_收盘!$A$4:$G$3460,7,0),"")</f>
        <v>2.8675</v>
      </c>
      <c r="H4634">
        <f>IFERROR(VLOOKUP($A4634,原始数据_利率互换_FR007_1年!$A$6:$C$4395,2,0),"")</f>
        <v>2.4937</v>
      </c>
      <c r="I4634">
        <f>IFERROR(VLOOKUP($A4634,原始数据_利率互换_FR007_1年!$A$6:$C$4395,3,0),"")</f>
        <v>2.8564</v>
      </c>
    </row>
    <row r="4635" spans="1:9">
      <c r="A4635" s="6">
        <v>44128</v>
      </c>
      <c r="B4635" t="str">
        <f>IFERROR(VLOOKUP($A4635,原始数据_收盘!$A$4:$G$3460,2,0),"")</f>
        <v/>
      </c>
      <c r="C4635" t="str">
        <f>IFERROR(VLOOKUP($A4635,原始数据_收盘!$A$4:$G$3460,3,0),"")</f>
        <v/>
      </c>
      <c r="D4635" t="str">
        <f>IFERROR(VLOOKUP($A4635,原始数据_收盘!$A$4:$G$3460,4,0),"")</f>
        <v/>
      </c>
      <c r="E4635" t="str">
        <f>IFERROR(VLOOKUP($A4635,原始数据_收盘!$A$4:$G$3460,5,0),"")</f>
        <v/>
      </c>
      <c r="F4635" t="str">
        <f>IFERROR(VLOOKUP($A4635,原始数据_收盘!$A$4:$G$3460,6,0),"")</f>
        <v/>
      </c>
      <c r="G4635" t="str">
        <f>IFERROR(VLOOKUP($A4635,原始数据_收盘!$A$4:$G$3460,7,0),"")</f>
        <v/>
      </c>
      <c r="H4635" t="str">
        <f>IFERROR(VLOOKUP($A4635,原始数据_利率互换_FR007_1年!$A$6:$C$4395,2,0),"")</f>
        <v/>
      </c>
      <c r="I4635" t="str">
        <f>IFERROR(VLOOKUP($A4635,原始数据_利率互换_FR007_1年!$A$6:$C$4395,3,0),"")</f>
        <v/>
      </c>
    </row>
    <row r="4636" spans="1:9">
      <c r="A4636" s="6">
        <v>44129</v>
      </c>
      <c r="B4636" t="str">
        <f>IFERROR(VLOOKUP($A4636,原始数据_收盘!$A$4:$G$3460,2,0),"")</f>
        <v/>
      </c>
      <c r="C4636" t="str">
        <f>IFERROR(VLOOKUP($A4636,原始数据_收盘!$A$4:$G$3460,3,0),"")</f>
        <v/>
      </c>
      <c r="D4636" t="str">
        <f>IFERROR(VLOOKUP($A4636,原始数据_收盘!$A$4:$G$3460,4,0),"")</f>
        <v/>
      </c>
      <c r="E4636" t="str">
        <f>IFERROR(VLOOKUP($A4636,原始数据_收盘!$A$4:$G$3460,5,0),"")</f>
        <v/>
      </c>
      <c r="F4636" t="str">
        <f>IFERROR(VLOOKUP($A4636,原始数据_收盘!$A$4:$G$3460,6,0),"")</f>
        <v/>
      </c>
      <c r="G4636" t="str">
        <f>IFERROR(VLOOKUP($A4636,原始数据_收盘!$A$4:$G$3460,7,0),"")</f>
        <v/>
      </c>
      <c r="H4636" t="str">
        <f>IFERROR(VLOOKUP($A4636,原始数据_利率互换_FR007_1年!$A$6:$C$4395,2,0),"")</f>
        <v/>
      </c>
      <c r="I4636" t="str">
        <f>IFERROR(VLOOKUP($A4636,原始数据_利率互换_FR007_1年!$A$6:$C$4395,3,0),"")</f>
        <v/>
      </c>
    </row>
    <row r="4637" spans="1:9">
      <c r="A4637" s="6">
        <v>44130</v>
      </c>
      <c r="B4637">
        <f>IFERROR(VLOOKUP($A4637,原始数据_收盘!$A$4:$G$3460,2,0),"")</f>
        <v>2.52</v>
      </c>
      <c r="C4637">
        <f>IFERROR(VLOOKUP($A4637,原始数据_收盘!$A$4:$G$3460,3,0),"")</f>
        <v>2.8725</v>
      </c>
      <c r="D4637">
        <f>IFERROR(VLOOKUP($A4637,原始数据_收盘!$A$4:$G$3460,4,0),"")</f>
        <v>2.5225</v>
      </c>
      <c r="E4637">
        <f>IFERROR(VLOOKUP($A4637,原始数据_收盘!$A$4:$G$3460,5,0),"")</f>
        <v>2.8775</v>
      </c>
      <c r="F4637">
        <f>IFERROR(VLOOKUP($A4637,原始数据_收盘!$A$4:$G$3460,6,0),"")</f>
        <v>2.5213</v>
      </c>
      <c r="G4637">
        <f>IFERROR(VLOOKUP($A4637,原始数据_收盘!$A$4:$G$3460,7,0),"")</f>
        <v>2.875</v>
      </c>
      <c r="H4637">
        <f>IFERROR(VLOOKUP($A4637,原始数据_利率互换_FR007_1年!$A$6:$C$4395,2,0),"")</f>
        <v>2.5053</v>
      </c>
      <c r="I4637">
        <f>IFERROR(VLOOKUP($A4637,原始数据_利率互换_FR007_1年!$A$6:$C$4395,3,0),"")</f>
        <v>2.8683</v>
      </c>
    </row>
    <row r="4638" spans="1:9">
      <c r="A4638" s="6">
        <v>44131</v>
      </c>
      <c r="B4638">
        <f>IFERROR(VLOOKUP($A4638,原始数据_收盘!$A$4:$G$3460,2,0),"")</f>
        <v>2.4947</v>
      </c>
      <c r="C4638">
        <f>IFERROR(VLOOKUP($A4638,原始数据_收盘!$A$4:$G$3460,3,0),"")</f>
        <v>2.8392</v>
      </c>
      <c r="D4638">
        <f>IFERROR(VLOOKUP($A4638,原始数据_收盘!$A$4:$G$3460,4,0),"")</f>
        <v>2.4977</v>
      </c>
      <c r="E4638">
        <f>IFERROR(VLOOKUP($A4638,原始数据_收盘!$A$4:$G$3460,5,0),"")</f>
        <v>2.8431</v>
      </c>
      <c r="F4638">
        <f>IFERROR(VLOOKUP($A4638,原始数据_收盘!$A$4:$G$3460,6,0),"")</f>
        <v>2.4962</v>
      </c>
      <c r="G4638">
        <f>IFERROR(VLOOKUP($A4638,原始数据_收盘!$A$4:$G$3460,7,0),"")</f>
        <v>2.8411</v>
      </c>
      <c r="H4638">
        <f>IFERROR(VLOOKUP($A4638,原始数据_利率互换_FR007_1年!$A$6:$C$4395,2,0),"")</f>
        <v>2.5143</v>
      </c>
      <c r="I4638">
        <f>IFERROR(VLOOKUP($A4638,原始数据_利率互换_FR007_1年!$A$6:$C$4395,3,0),"")</f>
        <v>2.8577</v>
      </c>
    </row>
    <row r="4639" spans="1:9">
      <c r="A4639" s="6">
        <v>44132</v>
      </c>
      <c r="B4639">
        <f>IFERROR(VLOOKUP($A4639,原始数据_收盘!$A$4:$G$3460,2,0),"")</f>
        <v>2.4892</v>
      </c>
      <c r="C4639">
        <f>IFERROR(VLOOKUP($A4639,原始数据_收盘!$A$4:$G$3460,3,0),"")</f>
        <v>2.8325</v>
      </c>
      <c r="D4639">
        <f>IFERROR(VLOOKUP($A4639,原始数据_收盘!$A$4:$G$3460,4,0),"")</f>
        <v>2.4925</v>
      </c>
      <c r="E4639">
        <f>IFERROR(VLOOKUP($A4639,原始数据_收盘!$A$4:$G$3460,5,0),"")</f>
        <v>2.8375</v>
      </c>
      <c r="F4639">
        <f>IFERROR(VLOOKUP($A4639,原始数据_收盘!$A$4:$G$3460,6,0),"")</f>
        <v>2.4908</v>
      </c>
      <c r="G4639">
        <f>IFERROR(VLOOKUP($A4639,原始数据_收盘!$A$4:$G$3460,7,0),"")</f>
        <v>2.835</v>
      </c>
      <c r="H4639">
        <f>IFERROR(VLOOKUP($A4639,原始数据_利率互换_FR007_1年!$A$6:$C$4395,2,0),"")</f>
        <v>2.4863</v>
      </c>
      <c r="I4639">
        <f>IFERROR(VLOOKUP($A4639,原始数据_利率互换_FR007_1年!$A$6:$C$4395,3,0),"")</f>
        <v>2.8354</v>
      </c>
    </row>
    <row r="4640" spans="1:9">
      <c r="A4640" s="6">
        <v>44133</v>
      </c>
      <c r="B4640">
        <f>IFERROR(VLOOKUP($A4640,原始数据_收盘!$A$4:$G$3460,2,0),"")</f>
        <v>2.495</v>
      </c>
      <c r="C4640">
        <f>IFERROR(VLOOKUP($A4640,原始数据_收盘!$A$4:$G$3460,3,0),"")</f>
        <v>2.835</v>
      </c>
      <c r="D4640">
        <f>IFERROR(VLOOKUP($A4640,原始数据_收盘!$A$4:$G$3460,4,0),"")</f>
        <v>2.5025</v>
      </c>
      <c r="E4640">
        <f>IFERROR(VLOOKUP($A4640,原始数据_收盘!$A$4:$G$3460,5,0),"")</f>
        <v>2.8382</v>
      </c>
      <c r="F4640">
        <f>IFERROR(VLOOKUP($A4640,原始数据_收盘!$A$4:$G$3460,6,0),"")</f>
        <v>2.4988</v>
      </c>
      <c r="G4640">
        <f>IFERROR(VLOOKUP($A4640,原始数据_收盘!$A$4:$G$3460,7,0),"")</f>
        <v>2.8366</v>
      </c>
      <c r="H4640">
        <f>IFERROR(VLOOKUP($A4640,原始数据_利率互换_FR007_1年!$A$6:$C$4395,2,0),"")</f>
        <v>2.4922</v>
      </c>
      <c r="I4640">
        <f>IFERROR(VLOOKUP($A4640,原始数据_利率互换_FR007_1年!$A$6:$C$4395,3,0),"")</f>
        <v>2.8255</v>
      </c>
    </row>
    <row r="4641" spans="1:9">
      <c r="A4641" s="6">
        <v>44134</v>
      </c>
      <c r="B4641">
        <f>IFERROR(VLOOKUP($A4641,原始数据_收盘!$A$4:$G$3460,2,0),"")</f>
        <v>2.4875</v>
      </c>
      <c r="C4641">
        <f>IFERROR(VLOOKUP($A4641,原始数据_收盘!$A$4:$G$3460,3,0),"")</f>
        <v>2.825</v>
      </c>
      <c r="D4641">
        <f>IFERROR(VLOOKUP($A4641,原始数据_收盘!$A$4:$G$3460,4,0),"")</f>
        <v>2.4975</v>
      </c>
      <c r="E4641">
        <f>IFERROR(VLOOKUP($A4641,原始数据_收盘!$A$4:$G$3460,5,0),"")</f>
        <v>2.83</v>
      </c>
      <c r="F4641">
        <f>IFERROR(VLOOKUP($A4641,原始数据_收盘!$A$4:$G$3460,6,0),"")</f>
        <v>2.4925</v>
      </c>
      <c r="G4641">
        <f>IFERROR(VLOOKUP($A4641,原始数据_收盘!$A$4:$G$3460,7,0),"")</f>
        <v>2.8275</v>
      </c>
      <c r="H4641">
        <f>IFERROR(VLOOKUP($A4641,原始数据_利率互换_FR007_1年!$A$6:$C$4395,2,0),"")</f>
        <v>2.4984</v>
      </c>
      <c r="I4641">
        <f>IFERROR(VLOOKUP($A4641,原始数据_利率互换_FR007_1年!$A$6:$C$4395,3,0),"")</f>
        <v>2.8367</v>
      </c>
    </row>
    <row r="4642" spans="1:9">
      <c r="A4642" s="6">
        <v>44135</v>
      </c>
      <c r="B4642" t="str">
        <f>IFERROR(VLOOKUP($A4642,原始数据_收盘!$A$4:$G$3460,2,0),"")</f>
        <v/>
      </c>
      <c r="C4642" t="str">
        <f>IFERROR(VLOOKUP($A4642,原始数据_收盘!$A$4:$G$3460,3,0),"")</f>
        <v/>
      </c>
      <c r="D4642" t="str">
        <f>IFERROR(VLOOKUP($A4642,原始数据_收盘!$A$4:$G$3460,4,0),"")</f>
        <v/>
      </c>
      <c r="E4642" t="str">
        <f>IFERROR(VLOOKUP($A4642,原始数据_收盘!$A$4:$G$3460,5,0),"")</f>
        <v/>
      </c>
      <c r="F4642" t="str">
        <f>IFERROR(VLOOKUP($A4642,原始数据_收盘!$A$4:$G$3460,6,0),"")</f>
        <v/>
      </c>
      <c r="G4642" t="str">
        <f>IFERROR(VLOOKUP($A4642,原始数据_收盘!$A$4:$G$3460,7,0),"")</f>
        <v/>
      </c>
      <c r="H4642" t="str">
        <f>IFERROR(VLOOKUP($A4642,原始数据_利率互换_FR007_1年!$A$6:$C$4395,2,0),"")</f>
        <v/>
      </c>
      <c r="I4642" t="str">
        <f>IFERROR(VLOOKUP($A4642,原始数据_利率互换_FR007_1年!$A$6:$C$4395,3,0),"")</f>
        <v/>
      </c>
    </row>
    <row r="4643" spans="1:9">
      <c r="A4643" s="6">
        <v>44136</v>
      </c>
      <c r="B4643" t="str">
        <f>IFERROR(VLOOKUP($A4643,原始数据_收盘!$A$4:$G$3460,2,0),"")</f>
        <v/>
      </c>
      <c r="C4643" t="str">
        <f>IFERROR(VLOOKUP($A4643,原始数据_收盘!$A$4:$G$3460,3,0),"")</f>
        <v/>
      </c>
      <c r="D4643" t="str">
        <f>IFERROR(VLOOKUP($A4643,原始数据_收盘!$A$4:$G$3460,4,0),"")</f>
        <v/>
      </c>
      <c r="E4643" t="str">
        <f>IFERROR(VLOOKUP($A4643,原始数据_收盘!$A$4:$G$3460,5,0),"")</f>
        <v/>
      </c>
      <c r="F4643" t="str">
        <f>IFERROR(VLOOKUP($A4643,原始数据_收盘!$A$4:$G$3460,6,0),"")</f>
        <v/>
      </c>
      <c r="G4643" t="str">
        <f>IFERROR(VLOOKUP($A4643,原始数据_收盘!$A$4:$G$3460,7,0),"")</f>
        <v/>
      </c>
      <c r="H4643" t="str">
        <f>IFERROR(VLOOKUP($A4643,原始数据_利率互换_FR007_1年!$A$6:$C$4395,2,0),"")</f>
        <v/>
      </c>
      <c r="I4643" t="str">
        <f>IFERROR(VLOOKUP($A4643,原始数据_利率互换_FR007_1年!$A$6:$C$4395,3,0),"")</f>
        <v/>
      </c>
    </row>
    <row r="4644" spans="1:9">
      <c r="A4644" s="6">
        <v>44137</v>
      </c>
      <c r="B4644">
        <f>IFERROR(VLOOKUP($A4644,原始数据_收盘!$A$4:$G$3460,2,0),"")</f>
        <v>2.47</v>
      </c>
      <c r="C4644">
        <f>IFERROR(VLOOKUP($A4644,原始数据_收盘!$A$4:$G$3460,3,0),"")</f>
        <v>2.8238</v>
      </c>
      <c r="D4644">
        <f>IFERROR(VLOOKUP($A4644,原始数据_收盘!$A$4:$G$3460,4,0),"")</f>
        <v>2.4781</v>
      </c>
      <c r="E4644">
        <f>IFERROR(VLOOKUP($A4644,原始数据_收盘!$A$4:$G$3460,5,0),"")</f>
        <v>2.8279</v>
      </c>
      <c r="F4644">
        <f>IFERROR(VLOOKUP($A4644,原始数据_收盘!$A$4:$G$3460,6,0),"")</f>
        <v>2.474</v>
      </c>
      <c r="G4644">
        <f>IFERROR(VLOOKUP($A4644,原始数据_收盘!$A$4:$G$3460,7,0),"")</f>
        <v>2.8259</v>
      </c>
      <c r="H4644">
        <f>IFERROR(VLOOKUP($A4644,原始数据_利率互换_FR007_1年!$A$6:$C$4395,2,0),"")</f>
        <v>2.4888</v>
      </c>
      <c r="I4644">
        <f>IFERROR(VLOOKUP($A4644,原始数据_利率互换_FR007_1年!$A$6:$C$4395,3,0),"")</f>
        <v>2.8349</v>
      </c>
    </row>
    <row r="4645" spans="1:9">
      <c r="A4645" s="6">
        <v>44138</v>
      </c>
      <c r="B4645">
        <f>IFERROR(VLOOKUP($A4645,原始数据_收盘!$A$4:$G$3460,2,0),"")</f>
        <v>2.47</v>
      </c>
      <c r="C4645">
        <f>IFERROR(VLOOKUP($A4645,原始数据_收盘!$A$4:$G$3460,3,0),"")</f>
        <v>2.825</v>
      </c>
      <c r="D4645">
        <f>IFERROR(VLOOKUP($A4645,原始数据_收盘!$A$4:$G$3460,4,0),"")</f>
        <v>2.4725</v>
      </c>
      <c r="E4645">
        <f>IFERROR(VLOOKUP($A4645,原始数据_收盘!$A$4:$G$3460,5,0),"")</f>
        <v>2.8275</v>
      </c>
      <c r="F4645">
        <f>IFERROR(VLOOKUP($A4645,原始数据_收盘!$A$4:$G$3460,6,0),"")</f>
        <v>2.4713</v>
      </c>
      <c r="G4645">
        <f>IFERROR(VLOOKUP($A4645,原始数据_收盘!$A$4:$G$3460,7,0),"")</f>
        <v>2.8263</v>
      </c>
      <c r="H4645">
        <f>IFERROR(VLOOKUP($A4645,原始数据_利率互换_FR007_1年!$A$6:$C$4395,2,0),"")</f>
        <v>2.4671</v>
      </c>
      <c r="I4645">
        <f>IFERROR(VLOOKUP($A4645,原始数据_利率互换_FR007_1年!$A$6:$C$4395,3,0),"")</f>
        <v>2.8222</v>
      </c>
    </row>
    <row r="4646" spans="1:9">
      <c r="A4646" s="6">
        <v>44139</v>
      </c>
      <c r="B4646">
        <f>IFERROR(VLOOKUP($A4646,原始数据_收盘!$A$4:$G$3460,2,0),"")</f>
        <v>2.46</v>
      </c>
      <c r="C4646">
        <f>IFERROR(VLOOKUP($A4646,原始数据_收盘!$A$4:$G$3460,3,0),"")</f>
        <v>2.8198</v>
      </c>
      <c r="D4646">
        <f>IFERROR(VLOOKUP($A4646,原始数据_收盘!$A$4:$G$3460,4,0),"")</f>
        <v>2.465</v>
      </c>
      <c r="E4646">
        <f>IFERROR(VLOOKUP($A4646,原始数据_收盘!$A$4:$G$3460,5,0),"")</f>
        <v>2.8223</v>
      </c>
      <c r="F4646">
        <f>IFERROR(VLOOKUP($A4646,原始数据_收盘!$A$4:$G$3460,6,0),"")</f>
        <v>2.4625</v>
      </c>
      <c r="G4646">
        <f>IFERROR(VLOOKUP($A4646,原始数据_收盘!$A$4:$G$3460,7,0),"")</f>
        <v>2.8211</v>
      </c>
      <c r="H4646">
        <f>IFERROR(VLOOKUP($A4646,原始数据_利率互换_FR007_1年!$A$6:$C$4395,2,0),"")</f>
        <v>2.4674</v>
      </c>
      <c r="I4646">
        <f>IFERROR(VLOOKUP($A4646,原始数据_利率互换_FR007_1年!$A$6:$C$4395,3,0),"")</f>
        <v>2.8275</v>
      </c>
    </row>
    <row r="4647" spans="1:9">
      <c r="A4647" s="6">
        <v>44140</v>
      </c>
      <c r="B4647">
        <f>IFERROR(VLOOKUP($A4647,原始数据_收盘!$A$4:$G$3460,2,0),"")</f>
        <v>2.4775</v>
      </c>
      <c r="C4647">
        <f>IFERROR(VLOOKUP($A4647,原始数据_收盘!$A$4:$G$3460,3,0),"")</f>
        <v>2.835</v>
      </c>
      <c r="D4647">
        <f>IFERROR(VLOOKUP($A4647,原始数据_收盘!$A$4:$G$3460,4,0),"")</f>
        <v>2.48</v>
      </c>
      <c r="E4647">
        <f>IFERROR(VLOOKUP($A4647,原始数据_收盘!$A$4:$G$3460,5,0),"")</f>
        <v>2.84</v>
      </c>
      <c r="F4647">
        <f>IFERROR(VLOOKUP($A4647,原始数据_收盘!$A$4:$G$3460,6,0),"")</f>
        <v>2.4788</v>
      </c>
      <c r="G4647">
        <f>IFERROR(VLOOKUP($A4647,原始数据_收盘!$A$4:$G$3460,7,0),"")</f>
        <v>2.8375</v>
      </c>
      <c r="H4647">
        <f>IFERROR(VLOOKUP($A4647,原始数据_利率互换_FR007_1年!$A$6:$C$4395,2,0),"")</f>
        <v>2.4684</v>
      </c>
      <c r="I4647">
        <f>IFERROR(VLOOKUP($A4647,原始数据_利率互换_FR007_1年!$A$6:$C$4395,3,0),"")</f>
        <v>2.8242</v>
      </c>
    </row>
    <row r="4648" spans="1:9">
      <c r="A4648" s="6">
        <v>44141</v>
      </c>
      <c r="B4648">
        <f>IFERROR(VLOOKUP($A4648,原始数据_收盘!$A$4:$G$3460,2,0),"")</f>
        <v>2.5025</v>
      </c>
      <c r="C4648">
        <f>IFERROR(VLOOKUP($A4648,原始数据_收盘!$A$4:$G$3460,3,0),"")</f>
        <v>2.86</v>
      </c>
      <c r="D4648">
        <f>IFERROR(VLOOKUP($A4648,原始数据_收盘!$A$4:$G$3460,4,0),"")</f>
        <v>2.5075</v>
      </c>
      <c r="E4648">
        <f>IFERROR(VLOOKUP($A4648,原始数据_收盘!$A$4:$G$3460,5,0),"")</f>
        <v>2.8635</v>
      </c>
      <c r="F4648">
        <f>IFERROR(VLOOKUP($A4648,原始数据_收盘!$A$4:$G$3460,6,0),"")</f>
        <v>2.505</v>
      </c>
      <c r="G4648">
        <f>IFERROR(VLOOKUP($A4648,原始数据_收盘!$A$4:$G$3460,7,0),"")</f>
        <v>2.8618</v>
      </c>
      <c r="H4648">
        <f>IFERROR(VLOOKUP($A4648,原始数据_利率互换_FR007_1年!$A$6:$C$4395,2,0),"")</f>
        <v>2.4908</v>
      </c>
      <c r="I4648">
        <f>IFERROR(VLOOKUP($A4648,原始数据_利率互换_FR007_1年!$A$6:$C$4395,3,0),"")</f>
        <v>2.8452</v>
      </c>
    </row>
    <row r="4649" spans="1:9">
      <c r="A4649" s="6">
        <v>44142</v>
      </c>
      <c r="B4649" t="str">
        <f>IFERROR(VLOOKUP($A4649,原始数据_收盘!$A$4:$G$3460,2,0),"")</f>
        <v/>
      </c>
      <c r="C4649" t="str">
        <f>IFERROR(VLOOKUP($A4649,原始数据_收盘!$A$4:$G$3460,3,0),"")</f>
        <v/>
      </c>
      <c r="D4649" t="str">
        <f>IFERROR(VLOOKUP($A4649,原始数据_收盘!$A$4:$G$3460,4,0),"")</f>
        <v/>
      </c>
      <c r="E4649" t="str">
        <f>IFERROR(VLOOKUP($A4649,原始数据_收盘!$A$4:$G$3460,5,0),"")</f>
        <v/>
      </c>
      <c r="F4649" t="str">
        <f>IFERROR(VLOOKUP($A4649,原始数据_收盘!$A$4:$G$3460,6,0),"")</f>
        <v/>
      </c>
      <c r="G4649" t="str">
        <f>IFERROR(VLOOKUP($A4649,原始数据_收盘!$A$4:$G$3460,7,0),"")</f>
        <v/>
      </c>
      <c r="H4649" t="str">
        <f>IFERROR(VLOOKUP($A4649,原始数据_利率互换_FR007_1年!$A$6:$C$4395,2,0),"")</f>
        <v/>
      </c>
      <c r="I4649" t="str">
        <f>IFERROR(VLOOKUP($A4649,原始数据_利率互换_FR007_1年!$A$6:$C$4395,3,0),"")</f>
        <v/>
      </c>
    </row>
    <row r="4650" spans="1:9">
      <c r="A4650" s="6">
        <v>44143</v>
      </c>
      <c r="B4650" t="str">
        <f>IFERROR(VLOOKUP($A4650,原始数据_收盘!$A$4:$G$3460,2,0),"")</f>
        <v/>
      </c>
      <c r="C4650" t="str">
        <f>IFERROR(VLOOKUP($A4650,原始数据_收盘!$A$4:$G$3460,3,0),"")</f>
        <v/>
      </c>
      <c r="D4650" t="str">
        <f>IFERROR(VLOOKUP($A4650,原始数据_收盘!$A$4:$G$3460,4,0),"")</f>
        <v/>
      </c>
      <c r="E4650" t="str">
        <f>IFERROR(VLOOKUP($A4650,原始数据_收盘!$A$4:$G$3460,5,0),"")</f>
        <v/>
      </c>
      <c r="F4650" t="str">
        <f>IFERROR(VLOOKUP($A4650,原始数据_收盘!$A$4:$G$3460,6,0),"")</f>
        <v/>
      </c>
      <c r="G4650" t="str">
        <f>IFERROR(VLOOKUP($A4650,原始数据_收盘!$A$4:$G$3460,7,0),"")</f>
        <v/>
      </c>
      <c r="H4650" t="str">
        <f>IFERROR(VLOOKUP($A4650,原始数据_利率互换_FR007_1年!$A$6:$C$4395,2,0),"")</f>
        <v/>
      </c>
      <c r="I4650" t="str">
        <f>IFERROR(VLOOKUP($A4650,原始数据_利率互换_FR007_1年!$A$6:$C$4395,3,0),"")</f>
        <v/>
      </c>
    </row>
    <row r="4651" spans="1:9">
      <c r="A4651" s="6">
        <v>44144</v>
      </c>
      <c r="B4651">
        <f>IFERROR(VLOOKUP($A4651,原始数据_收盘!$A$4:$G$3460,2,0),"")</f>
        <v>2.53</v>
      </c>
      <c r="C4651">
        <f>IFERROR(VLOOKUP($A4651,原始数据_收盘!$A$4:$G$3460,3,0),"")</f>
        <v>2.8845</v>
      </c>
      <c r="D4651">
        <f>IFERROR(VLOOKUP($A4651,原始数据_收盘!$A$4:$G$3460,4,0),"")</f>
        <v>2.535</v>
      </c>
      <c r="E4651">
        <f>IFERROR(VLOOKUP($A4651,原始数据_收盘!$A$4:$G$3460,5,0),"")</f>
        <v>2.8875</v>
      </c>
      <c r="F4651">
        <f>IFERROR(VLOOKUP($A4651,原始数据_收盘!$A$4:$G$3460,6,0),"")</f>
        <v>2.5325</v>
      </c>
      <c r="G4651">
        <f>IFERROR(VLOOKUP($A4651,原始数据_收盘!$A$4:$G$3460,7,0),"")</f>
        <v>2.886</v>
      </c>
      <c r="H4651">
        <f>IFERROR(VLOOKUP($A4651,原始数据_利率互换_FR007_1年!$A$6:$C$4395,2,0),"")</f>
        <v>2.5284</v>
      </c>
      <c r="I4651">
        <f>IFERROR(VLOOKUP($A4651,原始数据_利率互换_FR007_1年!$A$6:$C$4395,3,0),"")</f>
        <v>2.8775</v>
      </c>
    </row>
    <row r="4652" spans="1:9">
      <c r="A4652" s="6">
        <v>44145</v>
      </c>
      <c r="B4652">
        <f>IFERROR(VLOOKUP($A4652,原始数据_收盘!$A$4:$G$3460,2,0),"")</f>
        <v>2.53</v>
      </c>
      <c r="C4652">
        <f>IFERROR(VLOOKUP($A4652,原始数据_收盘!$A$4:$G$3460,3,0),"")</f>
        <v>2.885</v>
      </c>
      <c r="D4652">
        <f>IFERROR(VLOOKUP($A4652,原始数据_收盘!$A$4:$G$3460,4,0),"")</f>
        <v>2.5325</v>
      </c>
      <c r="E4652">
        <f>IFERROR(VLOOKUP($A4652,原始数据_收盘!$A$4:$G$3460,5,0),"")</f>
        <v>2.8887</v>
      </c>
      <c r="F4652">
        <f>IFERROR(VLOOKUP($A4652,原始数据_收盘!$A$4:$G$3460,6,0),"")</f>
        <v>2.5313</v>
      </c>
      <c r="G4652">
        <f>IFERROR(VLOOKUP($A4652,原始数据_收盘!$A$4:$G$3460,7,0),"")</f>
        <v>2.8868</v>
      </c>
      <c r="H4652">
        <f>IFERROR(VLOOKUP($A4652,原始数据_利率互换_FR007_1年!$A$6:$C$4395,2,0),"")</f>
        <v>2.536</v>
      </c>
      <c r="I4652">
        <f>IFERROR(VLOOKUP($A4652,原始数据_利率互换_FR007_1年!$A$6:$C$4395,3,0),"")</f>
        <v>2.8918</v>
      </c>
    </row>
    <row r="4653" spans="1:9">
      <c r="A4653" s="6">
        <v>44146</v>
      </c>
      <c r="B4653">
        <f>IFERROR(VLOOKUP($A4653,原始数据_收盘!$A$4:$G$3460,2,0),"")</f>
        <v>2.56</v>
      </c>
      <c r="C4653">
        <f>IFERROR(VLOOKUP($A4653,原始数据_收盘!$A$4:$G$3460,3,0),"")</f>
        <v>2.8975</v>
      </c>
      <c r="D4653">
        <f>IFERROR(VLOOKUP($A4653,原始数据_收盘!$A$4:$G$3460,4,0),"")</f>
        <v>2.57</v>
      </c>
      <c r="E4653">
        <f>IFERROR(VLOOKUP($A4653,原始数据_收盘!$A$4:$G$3460,5,0),"")</f>
        <v>2.9025</v>
      </c>
      <c r="F4653">
        <f>IFERROR(VLOOKUP($A4653,原始数据_收盘!$A$4:$G$3460,6,0),"")</f>
        <v>2.565</v>
      </c>
      <c r="G4653">
        <f>IFERROR(VLOOKUP($A4653,原始数据_收盘!$A$4:$G$3460,7,0),"")</f>
        <v>2.9</v>
      </c>
      <c r="H4653">
        <f>IFERROR(VLOOKUP($A4653,原始数据_利率互换_FR007_1年!$A$6:$C$4395,2,0),"")</f>
        <v>2.5521</v>
      </c>
      <c r="I4653">
        <f>IFERROR(VLOOKUP($A4653,原始数据_利率互换_FR007_1年!$A$6:$C$4395,3,0),"")</f>
        <v>2.8935</v>
      </c>
    </row>
    <row r="4654" spans="1:9">
      <c r="A4654" s="6">
        <v>44147</v>
      </c>
      <c r="B4654">
        <f>IFERROR(VLOOKUP($A4654,原始数据_收盘!$A$4:$G$3460,2,0),"")</f>
        <v>2.605</v>
      </c>
      <c r="C4654">
        <f>IFERROR(VLOOKUP($A4654,原始数据_收盘!$A$4:$G$3460,3,0),"")</f>
        <v>2.938</v>
      </c>
      <c r="D4654">
        <f>IFERROR(VLOOKUP($A4654,原始数据_收盘!$A$4:$G$3460,4,0),"")</f>
        <v>2.6116</v>
      </c>
      <c r="E4654">
        <f>IFERROR(VLOOKUP($A4654,原始数据_收盘!$A$4:$G$3460,5,0),"")</f>
        <v>2.9407</v>
      </c>
      <c r="F4654">
        <f>IFERROR(VLOOKUP($A4654,原始数据_收盘!$A$4:$G$3460,6,0),"")</f>
        <v>2.6083</v>
      </c>
      <c r="G4654">
        <f>IFERROR(VLOOKUP($A4654,原始数据_收盘!$A$4:$G$3460,7,0),"")</f>
        <v>2.9394</v>
      </c>
      <c r="H4654">
        <f>IFERROR(VLOOKUP($A4654,原始数据_利率互换_FR007_1年!$A$6:$C$4395,2,0),"")</f>
        <v>2.583</v>
      </c>
      <c r="I4654">
        <f>IFERROR(VLOOKUP($A4654,原始数据_利率互换_FR007_1年!$A$6:$C$4395,3,0),"")</f>
        <v>2.9215</v>
      </c>
    </row>
    <row r="4655" spans="1:9">
      <c r="A4655" s="6">
        <v>44148</v>
      </c>
      <c r="B4655">
        <f>IFERROR(VLOOKUP($A4655,原始数据_收盘!$A$4:$G$3460,2,0),"")</f>
        <v>2.6153</v>
      </c>
      <c r="C4655">
        <f>IFERROR(VLOOKUP($A4655,原始数据_收盘!$A$4:$G$3460,3,0),"")</f>
        <v>2.945</v>
      </c>
      <c r="D4655">
        <f>IFERROR(VLOOKUP($A4655,原始数据_收盘!$A$4:$G$3460,4,0),"")</f>
        <v>2.62</v>
      </c>
      <c r="E4655">
        <f>IFERROR(VLOOKUP($A4655,原始数据_收盘!$A$4:$G$3460,5,0),"")</f>
        <v>2.95</v>
      </c>
      <c r="F4655">
        <f>IFERROR(VLOOKUP($A4655,原始数据_收盘!$A$4:$G$3460,6,0),"")</f>
        <v>2.6177</v>
      </c>
      <c r="G4655">
        <f>IFERROR(VLOOKUP($A4655,原始数据_收盘!$A$4:$G$3460,7,0),"")</f>
        <v>2.9475</v>
      </c>
      <c r="H4655">
        <f>IFERROR(VLOOKUP($A4655,原始数据_利率互换_FR007_1年!$A$6:$C$4395,2,0),"")</f>
        <v>2.6303</v>
      </c>
      <c r="I4655">
        <f>IFERROR(VLOOKUP($A4655,原始数据_利率互换_FR007_1年!$A$6:$C$4395,3,0),"")</f>
        <v>2.9547</v>
      </c>
    </row>
    <row r="4656" spans="1:9">
      <c r="A4656" s="6">
        <v>44149</v>
      </c>
      <c r="B4656" t="str">
        <f>IFERROR(VLOOKUP($A4656,原始数据_收盘!$A$4:$G$3460,2,0),"")</f>
        <v/>
      </c>
      <c r="C4656" t="str">
        <f>IFERROR(VLOOKUP($A4656,原始数据_收盘!$A$4:$G$3460,3,0),"")</f>
        <v/>
      </c>
      <c r="D4656" t="str">
        <f>IFERROR(VLOOKUP($A4656,原始数据_收盘!$A$4:$G$3460,4,0),"")</f>
        <v/>
      </c>
      <c r="E4656" t="str">
        <f>IFERROR(VLOOKUP($A4656,原始数据_收盘!$A$4:$G$3460,5,0),"")</f>
        <v/>
      </c>
      <c r="F4656" t="str">
        <f>IFERROR(VLOOKUP($A4656,原始数据_收盘!$A$4:$G$3460,6,0),"")</f>
        <v/>
      </c>
      <c r="G4656" t="str">
        <f>IFERROR(VLOOKUP($A4656,原始数据_收盘!$A$4:$G$3460,7,0),"")</f>
        <v/>
      </c>
      <c r="H4656" t="str">
        <f>IFERROR(VLOOKUP($A4656,原始数据_利率互换_FR007_1年!$A$6:$C$4395,2,0),"")</f>
        <v/>
      </c>
      <c r="I4656" t="str">
        <f>IFERROR(VLOOKUP($A4656,原始数据_利率互换_FR007_1年!$A$6:$C$4395,3,0),"")</f>
        <v/>
      </c>
    </row>
    <row r="4657" spans="1:9">
      <c r="A4657" s="6">
        <v>44150</v>
      </c>
      <c r="B4657" t="str">
        <f>IFERROR(VLOOKUP($A4657,原始数据_收盘!$A$4:$G$3460,2,0),"")</f>
        <v/>
      </c>
      <c r="C4657" t="str">
        <f>IFERROR(VLOOKUP($A4657,原始数据_收盘!$A$4:$G$3460,3,0),"")</f>
        <v/>
      </c>
      <c r="D4657" t="str">
        <f>IFERROR(VLOOKUP($A4657,原始数据_收盘!$A$4:$G$3460,4,0),"")</f>
        <v/>
      </c>
      <c r="E4657" t="str">
        <f>IFERROR(VLOOKUP($A4657,原始数据_收盘!$A$4:$G$3460,5,0),"")</f>
        <v/>
      </c>
      <c r="F4657" t="str">
        <f>IFERROR(VLOOKUP($A4657,原始数据_收盘!$A$4:$G$3460,6,0),"")</f>
        <v/>
      </c>
      <c r="G4657" t="str">
        <f>IFERROR(VLOOKUP($A4657,原始数据_收盘!$A$4:$G$3460,7,0),"")</f>
        <v/>
      </c>
      <c r="H4657" t="str">
        <f>IFERROR(VLOOKUP($A4657,原始数据_利率互换_FR007_1年!$A$6:$C$4395,2,0),"")</f>
        <v/>
      </c>
      <c r="I4657" t="str">
        <f>IFERROR(VLOOKUP($A4657,原始数据_利率互换_FR007_1年!$A$6:$C$4395,3,0),"")</f>
        <v/>
      </c>
    </row>
    <row r="4658" spans="1:9">
      <c r="A4658" s="6">
        <v>44151</v>
      </c>
      <c r="B4658">
        <f>IFERROR(VLOOKUP($A4658,原始数据_收盘!$A$4:$G$3460,2,0),"")</f>
        <v>2.604</v>
      </c>
      <c r="C4658">
        <f>IFERROR(VLOOKUP($A4658,原始数据_收盘!$A$4:$G$3460,3,0),"")</f>
        <v>2.9425</v>
      </c>
      <c r="D4658">
        <f>IFERROR(VLOOKUP($A4658,原始数据_收盘!$A$4:$G$3460,4,0),"")</f>
        <v>2.6093</v>
      </c>
      <c r="E4658">
        <f>IFERROR(VLOOKUP($A4658,原始数据_收盘!$A$4:$G$3460,5,0),"")</f>
        <v>2.9455</v>
      </c>
      <c r="F4658">
        <f>IFERROR(VLOOKUP($A4658,原始数据_收盘!$A$4:$G$3460,6,0),"")</f>
        <v>2.6066</v>
      </c>
      <c r="G4658">
        <f>IFERROR(VLOOKUP($A4658,原始数据_收盘!$A$4:$G$3460,7,0),"")</f>
        <v>2.944</v>
      </c>
      <c r="H4658">
        <f>IFERROR(VLOOKUP($A4658,原始数据_利率互换_FR007_1年!$A$6:$C$4395,2,0),"")</f>
        <v>2.603</v>
      </c>
      <c r="I4658">
        <f>IFERROR(VLOOKUP($A4658,原始数据_利率互换_FR007_1年!$A$6:$C$4395,3,0),"")</f>
        <v>2.9397</v>
      </c>
    </row>
    <row r="4659" spans="1:9">
      <c r="A4659" s="6">
        <v>44152</v>
      </c>
      <c r="B4659">
        <f>IFERROR(VLOOKUP($A4659,原始数据_收盘!$A$4:$G$3460,2,0),"")</f>
        <v>2.6186</v>
      </c>
      <c r="C4659">
        <f>IFERROR(VLOOKUP($A4659,原始数据_收盘!$A$4:$G$3460,3,0),"")</f>
        <v>2.955</v>
      </c>
      <c r="D4659">
        <f>IFERROR(VLOOKUP($A4659,原始数据_收盘!$A$4:$G$3460,4,0),"")</f>
        <v>2.6214</v>
      </c>
      <c r="E4659">
        <f>IFERROR(VLOOKUP($A4659,原始数据_收盘!$A$4:$G$3460,5,0),"")</f>
        <v>2.9575</v>
      </c>
      <c r="F4659">
        <f>IFERROR(VLOOKUP($A4659,原始数据_收盘!$A$4:$G$3460,6,0),"")</f>
        <v>2.62</v>
      </c>
      <c r="G4659">
        <f>IFERROR(VLOOKUP($A4659,原始数据_收盘!$A$4:$G$3460,7,0),"")</f>
        <v>2.9563</v>
      </c>
      <c r="H4659">
        <f>IFERROR(VLOOKUP($A4659,原始数据_利率互换_FR007_1年!$A$6:$C$4395,2,0),"")</f>
        <v>2.6055</v>
      </c>
      <c r="I4659">
        <f>IFERROR(VLOOKUP($A4659,原始数据_利率互换_FR007_1年!$A$6:$C$4395,3,0),"")</f>
        <v>2.943</v>
      </c>
    </row>
    <row r="4660" spans="1:9">
      <c r="A4660" s="6">
        <v>44153</v>
      </c>
      <c r="B4660">
        <f>IFERROR(VLOOKUP($A4660,原始数据_收盘!$A$4:$G$3460,2,0),"")</f>
        <v>2.6533</v>
      </c>
      <c r="C4660">
        <f>IFERROR(VLOOKUP($A4660,原始数据_收盘!$A$4:$G$3460,3,0),"")</f>
        <v>2.985</v>
      </c>
      <c r="D4660">
        <f>IFERROR(VLOOKUP($A4660,原始数据_收盘!$A$4:$G$3460,4,0),"")</f>
        <v>2.6561</v>
      </c>
      <c r="E4660">
        <f>IFERROR(VLOOKUP($A4660,原始数据_收盘!$A$4:$G$3460,5,0),"")</f>
        <v>2.988</v>
      </c>
      <c r="F4660">
        <f>IFERROR(VLOOKUP($A4660,原始数据_收盘!$A$4:$G$3460,6,0),"")</f>
        <v>2.6547</v>
      </c>
      <c r="G4660">
        <f>IFERROR(VLOOKUP($A4660,原始数据_收盘!$A$4:$G$3460,7,0),"")</f>
        <v>2.9865</v>
      </c>
      <c r="H4660">
        <f>IFERROR(VLOOKUP($A4660,原始数据_利率互换_FR007_1年!$A$6:$C$4395,2,0),"")</f>
        <v>2.6493</v>
      </c>
      <c r="I4660">
        <f>IFERROR(VLOOKUP($A4660,原始数据_利率互换_FR007_1年!$A$6:$C$4395,3,0),"")</f>
        <v>2.9779</v>
      </c>
    </row>
    <row r="4661" spans="1:9">
      <c r="A4661" s="6">
        <v>44154</v>
      </c>
      <c r="B4661">
        <f>IFERROR(VLOOKUP($A4661,原始数据_收盘!$A$4:$G$3460,2,0),"")</f>
        <v>2.7225</v>
      </c>
      <c r="C4661">
        <f>IFERROR(VLOOKUP($A4661,原始数据_收盘!$A$4:$G$3460,3,0),"")</f>
        <v>3.0625</v>
      </c>
      <c r="D4661">
        <f>IFERROR(VLOOKUP($A4661,原始数据_收盘!$A$4:$G$3460,4,0),"")</f>
        <v>2.725</v>
      </c>
      <c r="E4661">
        <f>IFERROR(VLOOKUP($A4661,原始数据_收盘!$A$4:$G$3460,5,0),"")</f>
        <v>3.0689</v>
      </c>
      <c r="F4661">
        <f>IFERROR(VLOOKUP($A4661,原始数据_收盘!$A$4:$G$3460,6,0),"")</f>
        <v>2.7238</v>
      </c>
      <c r="G4661">
        <f>IFERROR(VLOOKUP($A4661,原始数据_收盘!$A$4:$G$3460,7,0),"")</f>
        <v>3.0657</v>
      </c>
      <c r="H4661">
        <f>IFERROR(VLOOKUP($A4661,原始数据_利率互换_FR007_1年!$A$6:$C$4395,2,0),"")</f>
        <v>2.6984</v>
      </c>
      <c r="I4661">
        <f>IFERROR(VLOOKUP($A4661,原始数据_利率互换_FR007_1年!$A$6:$C$4395,3,0),"")</f>
        <v>3.0282</v>
      </c>
    </row>
    <row r="4662" spans="1:9">
      <c r="A4662" s="6">
        <v>44155</v>
      </c>
      <c r="B4662">
        <f>IFERROR(VLOOKUP($A4662,原始数据_收盘!$A$4:$G$3460,2,0),"")</f>
        <v>2.6942</v>
      </c>
      <c r="C4662">
        <f>IFERROR(VLOOKUP($A4662,原始数据_收盘!$A$4:$G$3460,3,0),"")</f>
        <v>3.0575</v>
      </c>
      <c r="D4662">
        <f>IFERROR(VLOOKUP($A4662,原始数据_收盘!$A$4:$G$3460,4,0),"")</f>
        <v>2.6975</v>
      </c>
      <c r="E4662">
        <f>IFERROR(VLOOKUP($A4662,原始数据_收盘!$A$4:$G$3460,5,0),"")</f>
        <v>3.06</v>
      </c>
      <c r="F4662">
        <f>IFERROR(VLOOKUP($A4662,原始数据_收盘!$A$4:$G$3460,6,0),"")</f>
        <v>2.6959</v>
      </c>
      <c r="G4662">
        <f>IFERROR(VLOOKUP($A4662,原始数据_收盘!$A$4:$G$3460,7,0),"")</f>
        <v>3.0588</v>
      </c>
      <c r="H4662">
        <f>IFERROR(VLOOKUP($A4662,原始数据_利率互换_FR007_1年!$A$6:$C$4395,2,0),"")</f>
        <v>2.7109</v>
      </c>
      <c r="I4662">
        <f>IFERROR(VLOOKUP($A4662,原始数据_利率互换_FR007_1年!$A$6:$C$4395,3,0),"")</f>
        <v>3.0702</v>
      </c>
    </row>
    <row r="4663" spans="1:9">
      <c r="A4663" s="6">
        <v>44156</v>
      </c>
      <c r="B4663" t="str">
        <f>IFERROR(VLOOKUP($A4663,原始数据_收盘!$A$4:$G$3460,2,0),"")</f>
        <v/>
      </c>
      <c r="C4663" t="str">
        <f>IFERROR(VLOOKUP($A4663,原始数据_收盘!$A$4:$G$3460,3,0),"")</f>
        <v/>
      </c>
      <c r="D4663" t="str">
        <f>IFERROR(VLOOKUP($A4663,原始数据_收盘!$A$4:$G$3460,4,0),"")</f>
        <v/>
      </c>
      <c r="E4663" t="str">
        <f>IFERROR(VLOOKUP($A4663,原始数据_收盘!$A$4:$G$3460,5,0),"")</f>
        <v/>
      </c>
      <c r="F4663" t="str">
        <f>IFERROR(VLOOKUP($A4663,原始数据_收盘!$A$4:$G$3460,6,0),"")</f>
        <v/>
      </c>
      <c r="G4663" t="str">
        <f>IFERROR(VLOOKUP($A4663,原始数据_收盘!$A$4:$G$3460,7,0),"")</f>
        <v/>
      </c>
      <c r="H4663" t="str">
        <f>IFERROR(VLOOKUP($A4663,原始数据_利率互换_FR007_1年!$A$6:$C$4395,2,0),"")</f>
        <v/>
      </c>
      <c r="I4663" t="str">
        <f>IFERROR(VLOOKUP($A4663,原始数据_利率互换_FR007_1年!$A$6:$C$4395,3,0),"")</f>
        <v/>
      </c>
    </row>
    <row r="4664" spans="1:9">
      <c r="A4664" s="6">
        <v>44157</v>
      </c>
      <c r="B4664" t="str">
        <f>IFERROR(VLOOKUP($A4664,原始数据_收盘!$A$4:$G$3460,2,0),"")</f>
        <v/>
      </c>
      <c r="C4664" t="str">
        <f>IFERROR(VLOOKUP($A4664,原始数据_收盘!$A$4:$G$3460,3,0),"")</f>
        <v/>
      </c>
      <c r="D4664" t="str">
        <f>IFERROR(VLOOKUP($A4664,原始数据_收盘!$A$4:$G$3460,4,0),"")</f>
        <v/>
      </c>
      <c r="E4664" t="str">
        <f>IFERROR(VLOOKUP($A4664,原始数据_收盘!$A$4:$G$3460,5,0),"")</f>
        <v/>
      </c>
      <c r="F4664" t="str">
        <f>IFERROR(VLOOKUP($A4664,原始数据_收盘!$A$4:$G$3460,6,0),"")</f>
        <v/>
      </c>
      <c r="G4664" t="str">
        <f>IFERROR(VLOOKUP($A4664,原始数据_收盘!$A$4:$G$3460,7,0),"")</f>
        <v/>
      </c>
      <c r="H4664" t="str">
        <f>IFERROR(VLOOKUP($A4664,原始数据_利率互换_FR007_1年!$A$6:$C$4395,2,0),"")</f>
        <v/>
      </c>
      <c r="I4664" t="str">
        <f>IFERROR(VLOOKUP($A4664,原始数据_利率互换_FR007_1年!$A$6:$C$4395,3,0),"")</f>
        <v/>
      </c>
    </row>
    <row r="4665" spans="1:9">
      <c r="A4665" s="6">
        <v>44158</v>
      </c>
      <c r="B4665">
        <f>IFERROR(VLOOKUP($A4665,原始数据_收盘!$A$4:$G$3460,2,0),"")</f>
        <v>2.6333</v>
      </c>
      <c r="C4665">
        <f>IFERROR(VLOOKUP($A4665,原始数据_收盘!$A$4:$G$3460,3,0),"")</f>
        <v>2.9963</v>
      </c>
      <c r="D4665">
        <f>IFERROR(VLOOKUP($A4665,原始数据_收盘!$A$4:$G$3460,4,0),"")</f>
        <v>2.638</v>
      </c>
      <c r="E4665">
        <f>IFERROR(VLOOKUP($A4665,原始数据_收盘!$A$4:$G$3460,5,0),"")</f>
        <v>3.0001</v>
      </c>
      <c r="F4665">
        <f>IFERROR(VLOOKUP($A4665,原始数据_收盘!$A$4:$G$3460,6,0),"")</f>
        <v>2.6357</v>
      </c>
      <c r="G4665">
        <f>IFERROR(VLOOKUP($A4665,原始数据_收盘!$A$4:$G$3460,7,0),"")</f>
        <v>2.9982</v>
      </c>
      <c r="H4665">
        <f>IFERROR(VLOOKUP($A4665,原始数据_利率互换_FR007_1年!$A$6:$C$4395,2,0),"")</f>
        <v>2.6408</v>
      </c>
      <c r="I4665">
        <f>IFERROR(VLOOKUP($A4665,原始数据_利率互换_FR007_1年!$A$6:$C$4395,3,0),"")</f>
        <v>3.0111</v>
      </c>
    </row>
    <row r="4666" spans="1:9">
      <c r="A4666" s="6">
        <v>44159</v>
      </c>
      <c r="B4666">
        <f>IFERROR(VLOOKUP($A4666,原始数据_收盘!$A$4:$G$3460,2,0),"")</f>
        <v>2.6999</v>
      </c>
      <c r="C4666">
        <f>IFERROR(VLOOKUP($A4666,原始数据_收盘!$A$4:$G$3460,3,0),"")</f>
        <v>3.0525</v>
      </c>
      <c r="D4666">
        <f>IFERROR(VLOOKUP($A4666,原始数据_收盘!$A$4:$G$3460,4,0),"")</f>
        <v>2.705</v>
      </c>
      <c r="E4666">
        <f>IFERROR(VLOOKUP($A4666,原始数据_收盘!$A$4:$G$3460,5,0),"")</f>
        <v>3.055</v>
      </c>
      <c r="F4666">
        <f>IFERROR(VLOOKUP($A4666,原始数据_收盘!$A$4:$G$3460,6,0),"")</f>
        <v>2.7024</v>
      </c>
      <c r="G4666">
        <f>IFERROR(VLOOKUP($A4666,原始数据_收盘!$A$4:$G$3460,7,0),"")</f>
        <v>3.0538</v>
      </c>
      <c r="H4666">
        <f>IFERROR(VLOOKUP($A4666,原始数据_利率互换_FR007_1年!$A$6:$C$4395,2,0),"")</f>
        <v>2.6774</v>
      </c>
      <c r="I4666">
        <f>IFERROR(VLOOKUP($A4666,原始数据_利率互换_FR007_1年!$A$6:$C$4395,3,0),"")</f>
        <v>3.0293</v>
      </c>
    </row>
    <row r="4667" spans="1:9">
      <c r="A4667" s="6">
        <v>44160</v>
      </c>
      <c r="B4667">
        <f>IFERROR(VLOOKUP($A4667,原始数据_收盘!$A$4:$G$3460,2,0),"")</f>
        <v>2.6582</v>
      </c>
      <c r="C4667">
        <f>IFERROR(VLOOKUP($A4667,原始数据_收盘!$A$4:$G$3460,3,0),"")</f>
        <v>3.0075</v>
      </c>
      <c r="D4667">
        <f>IFERROR(VLOOKUP($A4667,原始数据_收盘!$A$4:$G$3460,4,0),"")</f>
        <v>2.6618</v>
      </c>
      <c r="E4667">
        <f>IFERROR(VLOOKUP($A4667,原始数据_收盘!$A$4:$G$3460,5,0),"")</f>
        <v>3.0102</v>
      </c>
      <c r="F4667">
        <f>IFERROR(VLOOKUP($A4667,原始数据_收盘!$A$4:$G$3460,6,0),"")</f>
        <v>2.66</v>
      </c>
      <c r="G4667">
        <f>IFERROR(VLOOKUP($A4667,原始数据_收盘!$A$4:$G$3460,7,0),"")</f>
        <v>3.0088</v>
      </c>
      <c r="H4667">
        <f>IFERROR(VLOOKUP($A4667,原始数据_利率互换_FR007_1年!$A$6:$C$4395,2,0),"")</f>
        <v>2.6732</v>
      </c>
      <c r="I4667">
        <f>IFERROR(VLOOKUP($A4667,原始数据_利率互换_FR007_1年!$A$6:$C$4395,3,0),"")</f>
        <v>3.0255</v>
      </c>
    </row>
    <row r="4668" spans="1:9">
      <c r="A4668" s="6">
        <v>44161</v>
      </c>
      <c r="B4668">
        <f>IFERROR(VLOOKUP($A4668,原始数据_收盘!$A$4:$G$3460,2,0),"")</f>
        <v>2.6765</v>
      </c>
      <c r="C4668">
        <f>IFERROR(VLOOKUP($A4668,原始数据_收盘!$A$4:$G$3460,3,0),"")</f>
        <v>3.0198</v>
      </c>
      <c r="D4668">
        <f>IFERROR(VLOOKUP($A4668,原始数据_收盘!$A$4:$G$3460,4,0),"")</f>
        <v>2.6775</v>
      </c>
      <c r="E4668">
        <f>IFERROR(VLOOKUP($A4668,原始数据_收盘!$A$4:$G$3460,5,0),"")</f>
        <v>3.0225</v>
      </c>
      <c r="F4668">
        <f>IFERROR(VLOOKUP($A4668,原始数据_收盘!$A$4:$G$3460,6,0),"")</f>
        <v>2.677</v>
      </c>
      <c r="G4668">
        <f>IFERROR(VLOOKUP($A4668,原始数据_收盘!$A$4:$G$3460,7,0),"")</f>
        <v>3.0212</v>
      </c>
      <c r="H4668">
        <f>IFERROR(VLOOKUP($A4668,原始数据_利率互换_FR007_1年!$A$6:$C$4395,2,0),"")</f>
        <v>2.6586</v>
      </c>
      <c r="I4668">
        <f>IFERROR(VLOOKUP($A4668,原始数据_利率互换_FR007_1年!$A$6:$C$4395,3,0),"")</f>
        <v>3.0091</v>
      </c>
    </row>
    <row r="4669" spans="1:9">
      <c r="A4669" s="6">
        <v>44162</v>
      </c>
      <c r="B4669">
        <f>IFERROR(VLOOKUP($A4669,原始数据_收盘!$A$4:$G$3460,2,0),"")</f>
        <v>2.6707</v>
      </c>
      <c r="C4669">
        <f>IFERROR(VLOOKUP($A4669,原始数据_收盘!$A$4:$G$3460,3,0),"")</f>
        <v>3.024</v>
      </c>
      <c r="D4669">
        <f>IFERROR(VLOOKUP($A4669,原始数据_收盘!$A$4:$G$3460,4,0),"")</f>
        <v>2.6743</v>
      </c>
      <c r="E4669">
        <f>IFERROR(VLOOKUP($A4669,原始数据_收盘!$A$4:$G$3460,5,0),"")</f>
        <v>3.03</v>
      </c>
      <c r="F4669">
        <f>IFERROR(VLOOKUP($A4669,原始数据_收盘!$A$4:$G$3460,6,0),"")</f>
        <v>2.6725</v>
      </c>
      <c r="G4669">
        <f>IFERROR(VLOOKUP($A4669,原始数据_收盘!$A$4:$G$3460,7,0),"")</f>
        <v>3.027</v>
      </c>
      <c r="H4669">
        <f>IFERROR(VLOOKUP($A4669,原始数据_利率互换_FR007_1年!$A$6:$C$4395,2,0),"")</f>
        <v>2.6625</v>
      </c>
      <c r="I4669">
        <f>IFERROR(VLOOKUP($A4669,原始数据_利率互换_FR007_1年!$A$6:$C$4395,3,0),"")</f>
        <v>3.0142</v>
      </c>
    </row>
    <row r="4670" spans="1:9">
      <c r="A4670" s="6">
        <v>44163</v>
      </c>
      <c r="B4670" t="str">
        <f>IFERROR(VLOOKUP($A4670,原始数据_收盘!$A$4:$G$3460,2,0),"")</f>
        <v/>
      </c>
      <c r="C4670" t="str">
        <f>IFERROR(VLOOKUP($A4670,原始数据_收盘!$A$4:$G$3460,3,0),"")</f>
        <v/>
      </c>
      <c r="D4670" t="str">
        <f>IFERROR(VLOOKUP($A4670,原始数据_收盘!$A$4:$G$3460,4,0),"")</f>
        <v/>
      </c>
      <c r="E4670" t="str">
        <f>IFERROR(VLOOKUP($A4670,原始数据_收盘!$A$4:$G$3460,5,0),"")</f>
        <v/>
      </c>
      <c r="F4670" t="str">
        <f>IFERROR(VLOOKUP($A4670,原始数据_收盘!$A$4:$G$3460,6,0),"")</f>
        <v/>
      </c>
      <c r="G4670" t="str">
        <f>IFERROR(VLOOKUP($A4670,原始数据_收盘!$A$4:$G$3460,7,0),"")</f>
        <v/>
      </c>
      <c r="H4670" t="str">
        <f>IFERROR(VLOOKUP($A4670,原始数据_利率互换_FR007_1年!$A$6:$C$4395,2,0),"")</f>
        <v/>
      </c>
      <c r="I4670" t="str">
        <f>IFERROR(VLOOKUP($A4670,原始数据_利率互换_FR007_1年!$A$6:$C$4395,3,0),"")</f>
        <v/>
      </c>
    </row>
    <row r="4671" spans="1:9">
      <c r="A4671" s="6">
        <v>44164</v>
      </c>
      <c r="B4671" t="str">
        <f>IFERROR(VLOOKUP($A4671,原始数据_收盘!$A$4:$G$3460,2,0),"")</f>
        <v/>
      </c>
      <c r="C4671" t="str">
        <f>IFERROR(VLOOKUP($A4671,原始数据_收盘!$A$4:$G$3460,3,0),"")</f>
        <v/>
      </c>
      <c r="D4671" t="str">
        <f>IFERROR(VLOOKUP($A4671,原始数据_收盘!$A$4:$G$3460,4,0),"")</f>
        <v/>
      </c>
      <c r="E4671" t="str">
        <f>IFERROR(VLOOKUP($A4671,原始数据_收盘!$A$4:$G$3460,5,0),"")</f>
        <v/>
      </c>
      <c r="F4671" t="str">
        <f>IFERROR(VLOOKUP($A4671,原始数据_收盘!$A$4:$G$3460,6,0),"")</f>
        <v/>
      </c>
      <c r="G4671" t="str">
        <f>IFERROR(VLOOKUP($A4671,原始数据_收盘!$A$4:$G$3460,7,0),"")</f>
        <v/>
      </c>
      <c r="H4671" t="str">
        <f>IFERROR(VLOOKUP($A4671,原始数据_利率互换_FR007_1年!$A$6:$C$4395,2,0),"")</f>
        <v/>
      </c>
      <c r="I4671" t="str">
        <f>IFERROR(VLOOKUP($A4671,原始数据_利率互换_FR007_1年!$A$6:$C$4395,3,0),"")</f>
        <v/>
      </c>
    </row>
    <row r="4672" spans="1:9">
      <c r="A4672" s="6">
        <v>44165</v>
      </c>
      <c r="B4672">
        <f>IFERROR(VLOOKUP($A4672,原始数据_收盘!$A$4:$G$3460,2,0),"")</f>
        <v>2.6075</v>
      </c>
      <c r="C4672">
        <f>IFERROR(VLOOKUP($A4672,原始数据_收盘!$A$4:$G$3460,3,0),"")</f>
        <v>2.9475</v>
      </c>
      <c r="D4672">
        <f>IFERROR(VLOOKUP($A4672,原始数据_收盘!$A$4:$G$3460,4,0),"")</f>
        <v>2.609</v>
      </c>
      <c r="E4672">
        <f>IFERROR(VLOOKUP($A4672,原始数据_收盘!$A$4:$G$3460,5,0),"")</f>
        <v>2.9525</v>
      </c>
      <c r="F4672">
        <f>IFERROR(VLOOKUP($A4672,原始数据_收盘!$A$4:$G$3460,6,0),"")</f>
        <v>2.6082</v>
      </c>
      <c r="G4672">
        <f>IFERROR(VLOOKUP($A4672,原始数据_收盘!$A$4:$G$3460,7,0),"")</f>
        <v>2.95</v>
      </c>
      <c r="H4672">
        <f>IFERROR(VLOOKUP($A4672,原始数据_利率互换_FR007_1年!$A$6:$C$4395,2,0),"")</f>
        <v>2.6105</v>
      </c>
      <c r="I4672">
        <f>IFERROR(VLOOKUP($A4672,原始数据_利率互换_FR007_1年!$A$6:$C$4395,3,0),"")</f>
        <v>2.9653</v>
      </c>
    </row>
    <row r="4673" spans="1:9">
      <c r="A4673" s="6">
        <v>44166</v>
      </c>
      <c r="B4673">
        <f>IFERROR(VLOOKUP($A4673,原始数据_收盘!$A$4:$G$3460,2,0),"")</f>
        <v>2.6175</v>
      </c>
      <c r="C4673">
        <f>IFERROR(VLOOKUP($A4673,原始数据_收盘!$A$4:$G$3460,3,0),"")</f>
        <v>2.975</v>
      </c>
      <c r="D4673">
        <f>IFERROR(VLOOKUP($A4673,原始数据_收盘!$A$4:$G$3460,4,0),"")</f>
        <v>2.62</v>
      </c>
      <c r="E4673">
        <f>IFERROR(VLOOKUP($A4673,原始数据_收盘!$A$4:$G$3460,5,0),"")</f>
        <v>2.9775</v>
      </c>
      <c r="F4673">
        <f>IFERROR(VLOOKUP($A4673,原始数据_收盘!$A$4:$G$3460,6,0),"")</f>
        <v>2.6188</v>
      </c>
      <c r="G4673">
        <f>IFERROR(VLOOKUP($A4673,原始数据_收盘!$A$4:$G$3460,7,0),"")</f>
        <v>2.9763</v>
      </c>
      <c r="H4673">
        <f>IFERROR(VLOOKUP($A4673,原始数据_利率互换_FR007_1年!$A$6:$C$4395,2,0),"")</f>
        <v>2.6071</v>
      </c>
      <c r="I4673">
        <f>IFERROR(VLOOKUP($A4673,原始数据_利率互换_FR007_1年!$A$6:$C$4395,3,0),"")</f>
        <v>2.9592</v>
      </c>
    </row>
    <row r="4674" spans="1:9">
      <c r="A4674" s="6">
        <v>44167</v>
      </c>
      <c r="B4674">
        <f>IFERROR(VLOOKUP($A4674,原始数据_收盘!$A$4:$G$3460,2,0),"")</f>
        <v>2.6595</v>
      </c>
      <c r="C4674">
        <f>IFERROR(VLOOKUP($A4674,原始数据_收盘!$A$4:$G$3460,3,0),"")</f>
        <v>3.0075</v>
      </c>
      <c r="D4674">
        <f>IFERROR(VLOOKUP($A4674,原始数据_收盘!$A$4:$G$3460,4,0),"")</f>
        <v>2.6621</v>
      </c>
      <c r="E4674">
        <f>IFERROR(VLOOKUP($A4674,原始数据_收盘!$A$4:$G$3460,5,0),"")</f>
        <v>3.01</v>
      </c>
      <c r="F4674">
        <f>IFERROR(VLOOKUP($A4674,原始数据_收盘!$A$4:$G$3460,6,0),"")</f>
        <v>2.6608</v>
      </c>
      <c r="G4674">
        <f>IFERROR(VLOOKUP($A4674,原始数据_收盘!$A$4:$G$3460,7,0),"")</f>
        <v>3.0088</v>
      </c>
      <c r="H4674">
        <f>IFERROR(VLOOKUP($A4674,原始数据_利率互换_FR007_1年!$A$6:$C$4395,2,0),"")</f>
        <v>2.6472</v>
      </c>
      <c r="I4674">
        <f>IFERROR(VLOOKUP($A4674,原始数据_利率互换_FR007_1年!$A$6:$C$4395,3,0),"")</f>
        <v>2.9997</v>
      </c>
    </row>
    <row r="4675" spans="1:9">
      <c r="A4675" s="6">
        <v>44168</v>
      </c>
      <c r="B4675">
        <f>IFERROR(VLOOKUP($A4675,原始数据_收盘!$A$4:$G$3460,2,0),"")</f>
        <v>2.6675</v>
      </c>
      <c r="C4675">
        <f>IFERROR(VLOOKUP($A4675,原始数据_收盘!$A$4:$G$3460,3,0),"")</f>
        <v>3.01</v>
      </c>
      <c r="D4675">
        <f>IFERROR(VLOOKUP($A4675,原始数据_收盘!$A$4:$G$3460,4,0),"")</f>
        <v>2.67</v>
      </c>
      <c r="E4675">
        <f>IFERROR(VLOOKUP($A4675,原始数据_收盘!$A$4:$G$3460,5,0),"")</f>
        <v>3.015</v>
      </c>
      <c r="F4675">
        <f>IFERROR(VLOOKUP($A4675,原始数据_收盘!$A$4:$G$3460,6,0),"")</f>
        <v>2.6688</v>
      </c>
      <c r="G4675">
        <f>IFERROR(VLOOKUP($A4675,原始数据_收盘!$A$4:$G$3460,7,0),"")</f>
        <v>3.0125</v>
      </c>
      <c r="H4675">
        <f>IFERROR(VLOOKUP($A4675,原始数据_利率互换_FR007_1年!$A$6:$C$4395,2,0),"")</f>
        <v>2.664</v>
      </c>
      <c r="I4675">
        <f>IFERROR(VLOOKUP($A4675,原始数据_利率互换_FR007_1年!$A$6:$C$4395,3,0),"")</f>
        <v>3.0111</v>
      </c>
    </row>
    <row r="4676" spans="1:9">
      <c r="A4676" s="6">
        <v>44169</v>
      </c>
      <c r="B4676">
        <f>IFERROR(VLOOKUP($A4676,原始数据_收盘!$A$4:$G$3460,2,0),"")</f>
        <v>2.655</v>
      </c>
      <c r="C4676">
        <f>IFERROR(VLOOKUP($A4676,原始数据_收盘!$A$4:$G$3460,3,0),"")</f>
        <v>2.9975</v>
      </c>
      <c r="D4676">
        <f>IFERROR(VLOOKUP($A4676,原始数据_收盘!$A$4:$G$3460,4,0),"")</f>
        <v>2.67</v>
      </c>
      <c r="E4676">
        <f>IFERROR(VLOOKUP($A4676,原始数据_收盘!$A$4:$G$3460,5,0),"")</f>
        <v>3.0025</v>
      </c>
      <c r="F4676">
        <f>IFERROR(VLOOKUP($A4676,原始数据_收盘!$A$4:$G$3460,6,0),"")</f>
        <v>2.6625</v>
      </c>
      <c r="G4676">
        <f>IFERROR(VLOOKUP($A4676,原始数据_收盘!$A$4:$G$3460,7,0),"")</f>
        <v>3</v>
      </c>
      <c r="H4676">
        <f>IFERROR(VLOOKUP($A4676,原始数据_利率互换_FR007_1年!$A$6:$C$4395,2,0),"")</f>
        <v>2.6587</v>
      </c>
      <c r="I4676">
        <f>IFERROR(VLOOKUP($A4676,原始数据_利率互换_FR007_1年!$A$6:$C$4395,3,0),"")</f>
        <v>3.004</v>
      </c>
    </row>
    <row r="4677" spans="1:9">
      <c r="A4677" s="6">
        <v>44170</v>
      </c>
      <c r="B4677" t="str">
        <f>IFERROR(VLOOKUP($A4677,原始数据_收盘!$A$4:$G$3460,2,0),"")</f>
        <v/>
      </c>
      <c r="C4677" t="str">
        <f>IFERROR(VLOOKUP($A4677,原始数据_收盘!$A$4:$G$3460,3,0),"")</f>
        <v/>
      </c>
      <c r="D4677" t="str">
        <f>IFERROR(VLOOKUP($A4677,原始数据_收盘!$A$4:$G$3460,4,0),"")</f>
        <v/>
      </c>
      <c r="E4677" t="str">
        <f>IFERROR(VLOOKUP($A4677,原始数据_收盘!$A$4:$G$3460,5,0),"")</f>
        <v/>
      </c>
      <c r="F4677" t="str">
        <f>IFERROR(VLOOKUP($A4677,原始数据_收盘!$A$4:$G$3460,6,0),"")</f>
        <v/>
      </c>
      <c r="G4677" t="str">
        <f>IFERROR(VLOOKUP($A4677,原始数据_收盘!$A$4:$G$3460,7,0),"")</f>
        <v/>
      </c>
      <c r="H4677" t="str">
        <f>IFERROR(VLOOKUP($A4677,原始数据_利率互换_FR007_1年!$A$6:$C$4395,2,0),"")</f>
        <v/>
      </c>
      <c r="I4677" t="str">
        <f>IFERROR(VLOOKUP($A4677,原始数据_利率互换_FR007_1年!$A$6:$C$4395,3,0),"")</f>
        <v/>
      </c>
    </row>
    <row r="4678" spans="1:9">
      <c r="A4678" s="6">
        <v>44171</v>
      </c>
      <c r="B4678" t="str">
        <f>IFERROR(VLOOKUP($A4678,原始数据_收盘!$A$4:$G$3460,2,0),"")</f>
        <v/>
      </c>
      <c r="C4678" t="str">
        <f>IFERROR(VLOOKUP($A4678,原始数据_收盘!$A$4:$G$3460,3,0),"")</f>
        <v/>
      </c>
      <c r="D4678" t="str">
        <f>IFERROR(VLOOKUP($A4678,原始数据_收盘!$A$4:$G$3460,4,0),"")</f>
        <v/>
      </c>
      <c r="E4678" t="str">
        <f>IFERROR(VLOOKUP($A4678,原始数据_收盘!$A$4:$G$3460,5,0),"")</f>
        <v/>
      </c>
      <c r="F4678" t="str">
        <f>IFERROR(VLOOKUP($A4678,原始数据_收盘!$A$4:$G$3460,6,0),"")</f>
        <v/>
      </c>
      <c r="G4678" t="str">
        <f>IFERROR(VLOOKUP($A4678,原始数据_收盘!$A$4:$G$3460,7,0),"")</f>
        <v/>
      </c>
      <c r="H4678" t="str">
        <f>IFERROR(VLOOKUP($A4678,原始数据_利率互换_FR007_1年!$A$6:$C$4395,2,0),"")</f>
        <v/>
      </c>
      <c r="I4678" t="str">
        <f>IFERROR(VLOOKUP($A4678,原始数据_利率互换_FR007_1年!$A$6:$C$4395,3,0),"")</f>
        <v/>
      </c>
    </row>
    <row r="4679" spans="1:9">
      <c r="A4679" s="6">
        <v>44172</v>
      </c>
      <c r="B4679">
        <f>IFERROR(VLOOKUP($A4679,原始数据_收盘!$A$4:$G$3460,2,0),"")</f>
        <v>2.645</v>
      </c>
      <c r="C4679">
        <f>IFERROR(VLOOKUP($A4679,原始数据_收盘!$A$4:$G$3460,3,0),"")</f>
        <v>3.0009</v>
      </c>
      <c r="D4679">
        <f>IFERROR(VLOOKUP($A4679,原始数据_收盘!$A$4:$G$3460,4,0),"")</f>
        <v>2.6479</v>
      </c>
      <c r="E4679">
        <f>IFERROR(VLOOKUP($A4679,原始数据_收盘!$A$4:$G$3460,5,0),"")</f>
        <v>3.005</v>
      </c>
      <c r="F4679">
        <f>IFERROR(VLOOKUP($A4679,原始数据_收盘!$A$4:$G$3460,6,0),"")</f>
        <v>2.6465</v>
      </c>
      <c r="G4679">
        <f>IFERROR(VLOOKUP($A4679,原始数据_收盘!$A$4:$G$3460,7,0),"")</f>
        <v>3.0029</v>
      </c>
      <c r="H4679">
        <f>IFERROR(VLOOKUP($A4679,原始数据_利率互换_FR007_1年!$A$6:$C$4395,2,0),"")</f>
        <v>2.6587</v>
      </c>
      <c r="I4679">
        <f>IFERROR(VLOOKUP($A4679,原始数据_利率互换_FR007_1年!$A$6:$C$4395,3,0),"")</f>
        <v>3.0103</v>
      </c>
    </row>
    <row r="4680" spans="1:9">
      <c r="A4680" s="6">
        <v>44173</v>
      </c>
      <c r="B4680">
        <f>IFERROR(VLOOKUP($A4680,原始数据_收盘!$A$4:$G$3460,2,0),"")</f>
        <v>2.6182</v>
      </c>
      <c r="C4680">
        <f>IFERROR(VLOOKUP($A4680,原始数据_收盘!$A$4:$G$3460,3,0),"")</f>
        <v>2.9775</v>
      </c>
      <c r="D4680">
        <f>IFERROR(VLOOKUP($A4680,原始数据_收盘!$A$4:$G$3460,4,0),"")</f>
        <v>2.6211</v>
      </c>
      <c r="E4680">
        <f>IFERROR(VLOOKUP($A4680,原始数据_收盘!$A$4:$G$3460,5,0),"")</f>
        <v>2.98</v>
      </c>
      <c r="F4680">
        <f>IFERROR(VLOOKUP($A4680,原始数据_收盘!$A$4:$G$3460,6,0),"")</f>
        <v>2.6197</v>
      </c>
      <c r="G4680">
        <f>IFERROR(VLOOKUP($A4680,原始数据_收盘!$A$4:$G$3460,7,0),"")</f>
        <v>2.9788</v>
      </c>
      <c r="H4680">
        <f>IFERROR(VLOOKUP($A4680,原始数据_利率互换_FR007_1年!$A$6:$C$4395,2,0),"")</f>
        <v>2.6249</v>
      </c>
      <c r="I4680">
        <f>IFERROR(VLOOKUP($A4680,原始数据_利率互换_FR007_1年!$A$6:$C$4395,3,0),"")</f>
        <v>2.9825</v>
      </c>
    </row>
    <row r="4681" spans="1:9">
      <c r="A4681" s="6">
        <v>44174</v>
      </c>
      <c r="B4681">
        <f>IFERROR(VLOOKUP($A4681,原始数据_收盘!$A$4:$G$3460,2,0),"")</f>
        <v>2.6171</v>
      </c>
      <c r="C4681">
        <f>IFERROR(VLOOKUP($A4681,原始数据_收盘!$A$4:$G$3460,3,0),"")</f>
        <v>2.975</v>
      </c>
      <c r="D4681">
        <f>IFERROR(VLOOKUP($A4681,原始数据_收盘!$A$4:$G$3460,4,0),"")</f>
        <v>2.62</v>
      </c>
      <c r="E4681">
        <f>IFERROR(VLOOKUP($A4681,原始数据_收盘!$A$4:$G$3460,5,0),"")</f>
        <v>2.98</v>
      </c>
      <c r="F4681">
        <f>IFERROR(VLOOKUP($A4681,原始数据_收盘!$A$4:$G$3460,6,0),"")</f>
        <v>2.6185</v>
      </c>
      <c r="G4681">
        <f>IFERROR(VLOOKUP($A4681,原始数据_收盘!$A$4:$G$3460,7,0),"")</f>
        <v>2.9775</v>
      </c>
      <c r="H4681">
        <f>IFERROR(VLOOKUP($A4681,原始数据_利率互换_FR007_1年!$A$6:$C$4395,2,0),"")</f>
        <v>2.6179</v>
      </c>
      <c r="I4681">
        <f>IFERROR(VLOOKUP($A4681,原始数据_利率互换_FR007_1年!$A$6:$C$4395,3,0),"")</f>
        <v>2.9793</v>
      </c>
    </row>
    <row r="4682" spans="1:9">
      <c r="A4682" s="6">
        <v>44175</v>
      </c>
      <c r="B4682">
        <f>IFERROR(VLOOKUP($A4682,原始数据_收盘!$A$4:$G$3460,2,0),"")</f>
        <v>2.5975</v>
      </c>
      <c r="C4682">
        <f>IFERROR(VLOOKUP($A4682,原始数据_收盘!$A$4:$G$3460,3,0),"")</f>
        <v>2.9575</v>
      </c>
      <c r="D4682">
        <f>IFERROR(VLOOKUP($A4682,原始数据_收盘!$A$4:$G$3460,4,0),"")</f>
        <v>2.6012</v>
      </c>
      <c r="E4682">
        <f>IFERROR(VLOOKUP($A4682,原始数据_收盘!$A$4:$G$3460,5,0),"")</f>
        <v>2.9625</v>
      </c>
      <c r="F4682">
        <f>IFERROR(VLOOKUP($A4682,原始数据_收盘!$A$4:$G$3460,6,0),"")</f>
        <v>2.5993</v>
      </c>
      <c r="G4682">
        <f>IFERROR(VLOOKUP($A4682,原始数据_收盘!$A$4:$G$3460,7,0),"")</f>
        <v>2.96</v>
      </c>
      <c r="H4682">
        <f>IFERROR(VLOOKUP($A4682,原始数据_利率互换_FR007_1年!$A$6:$C$4395,2,0),"")</f>
        <v>2.5902</v>
      </c>
      <c r="I4682">
        <f>IFERROR(VLOOKUP($A4682,原始数据_利率互换_FR007_1年!$A$6:$C$4395,3,0),"")</f>
        <v>2.9541</v>
      </c>
    </row>
    <row r="4683" spans="1:9">
      <c r="A4683" s="6">
        <v>44176</v>
      </c>
      <c r="B4683">
        <f>IFERROR(VLOOKUP($A4683,原始数据_收盘!$A$4:$G$3460,2,0),"")</f>
        <v>2.6221</v>
      </c>
      <c r="C4683">
        <f>IFERROR(VLOOKUP($A4683,原始数据_收盘!$A$4:$G$3460,3,0),"")</f>
        <v>2.98</v>
      </c>
      <c r="D4683">
        <f>IFERROR(VLOOKUP($A4683,原始数据_收盘!$A$4:$G$3460,4,0),"")</f>
        <v>2.625</v>
      </c>
      <c r="E4683">
        <f>IFERROR(VLOOKUP($A4683,原始数据_收盘!$A$4:$G$3460,5,0),"")</f>
        <v>2.9825</v>
      </c>
      <c r="F4683">
        <f>IFERROR(VLOOKUP($A4683,原始数据_收盘!$A$4:$G$3460,6,0),"")</f>
        <v>2.6235</v>
      </c>
      <c r="G4683">
        <f>IFERROR(VLOOKUP($A4683,原始数据_收盘!$A$4:$G$3460,7,0),"")</f>
        <v>2.9813</v>
      </c>
      <c r="H4683">
        <f>IFERROR(VLOOKUP($A4683,原始数据_利率互换_FR007_1年!$A$6:$C$4395,2,0),"")</f>
        <v>2.6183</v>
      </c>
      <c r="I4683">
        <f>IFERROR(VLOOKUP($A4683,原始数据_利率互换_FR007_1年!$A$6:$C$4395,3,0),"")</f>
        <v>2.9755</v>
      </c>
    </row>
    <row r="4684" spans="1:9">
      <c r="A4684" s="6">
        <v>44177</v>
      </c>
      <c r="B4684" t="str">
        <f>IFERROR(VLOOKUP($A4684,原始数据_收盘!$A$4:$G$3460,2,0),"")</f>
        <v/>
      </c>
      <c r="C4684" t="str">
        <f>IFERROR(VLOOKUP($A4684,原始数据_收盘!$A$4:$G$3460,3,0),"")</f>
        <v/>
      </c>
      <c r="D4684" t="str">
        <f>IFERROR(VLOOKUP($A4684,原始数据_收盘!$A$4:$G$3460,4,0),"")</f>
        <v/>
      </c>
      <c r="E4684" t="str">
        <f>IFERROR(VLOOKUP($A4684,原始数据_收盘!$A$4:$G$3460,5,0),"")</f>
        <v/>
      </c>
      <c r="F4684" t="str">
        <f>IFERROR(VLOOKUP($A4684,原始数据_收盘!$A$4:$G$3460,6,0),"")</f>
        <v/>
      </c>
      <c r="G4684" t="str">
        <f>IFERROR(VLOOKUP($A4684,原始数据_收盘!$A$4:$G$3460,7,0),"")</f>
        <v/>
      </c>
      <c r="H4684" t="str">
        <f>IFERROR(VLOOKUP($A4684,原始数据_利率互换_FR007_1年!$A$6:$C$4395,2,0),"")</f>
        <v/>
      </c>
      <c r="I4684" t="str">
        <f>IFERROR(VLOOKUP($A4684,原始数据_利率互换_FR007_1年!$A$6:$C$4395,3,0),"")</f>
        <v/>
      </c>
    </row>
    <row r="4685" spans="1:9">
      <c r="A4685" s="6">
        <v>44178</v>
      </c>
      <c r="B4685" t="str">
        <f>IFERROR(VLOOKUP($A4685,原始数据_收盘!$A$4:$G$3460,2,0),"")</f>
        <v/>
      </c>
      <c r="C4685" t="str">
        <f>IFERROR(VLOOKUP($A4685,原始数据_收盘!$A$4:$G$3460,3,0),"")</f>
        <v/>
      </c>
      <c r="D4685" t="str">
        <f>IFERROR(VLOOKUP($A4685,原始数据_收盘!$A$4:$G$3460,4,0),"")</f>
        <v/>
      </c>
      <c r="E4685" t="str">
        <f>IFERROR(VLOOKUP($A4685,原始数据_收盘!$A$4:$G$3460,5,0),"")</f>
        <v/>
      </c>
      <c r="F4685" t="str">
        <f>IFERROR(VLOOKUP($A4685,原始数据_收盘!$A$4:$G$3460,6,0),"")</f>
        <v/>
      </c>
      <c r="G4685" t="str">
        <f>IFERROR(VLOOKUP($A4685,原始数据_收盘!$A$4:$G$3460,7,0),"")</f>
        <v/>
      </c>
      <c r="H4685" t="str">
        <f>IFERROR(VLOOKUP($A4685,原始数据_利率互换_FR007_1年!$A$6:$C$4395,2,0),"")</f>
        <v/>
      </c>
      <c r="I4685" t="str">
        <f>IFERROR(VLOOKUP($A4685,原始数据_利率互换_FR007_1年!$A$6:$C$4395,3,0),"")</f>
        <v/>
      </c>
    </row>
    <row r="4686" spans="1:9">
      <c r="A4686" s="6">
        <v>44179</v>
      </c>
      <c r="B4686">
        <f>IFERROR(VLOOKUP($A4686,原始数据_收盘!$A$4:$G$3460,2,0),"")</f>
        <v>2.595</v>
      </c>
      <c r="C4686">
        <f>IFERROR(VLOOKUP($A4686,原始数据_收盘!$A$4:$G$3460,3,0),"")</f>
        <v>2.9575</v>
      </c>
      <c r="D4686">
        <f>IFERROR(VLOOKUP($A4686,原始数据_收盘!$A$4:$G$3460,4,0),"")</f>
        <v>2.6012</v>
      </c>
      <c r="E4686">
        <f>IFERROR(VLOOKUP($A4686,原始数据_收盘!$A$4:$G$3460,5,0),"")</f>
        <v>2.9625</v>
      </c>
      <c r="F4686">
        <f>IFERROR(VLOOKUP($A4686,原始数据_收盘!$A$4:$G$3460,6,0),"")</f>
        <v>2.5981</v>
      </c>
      <c r="G4686">
        <f>IFERROR(VLOOKUP($A4686,原始数据_收盘!$A$4:$G$3460,7,0),"")</f>
        <v>2.96</v>
      </c>
      <c r="H4686">
        <f>IFERROR(VLOOKUP($A4686,原始数据_利率互换_FR007_1年!$A$6:$C$4395,2,0),"")</f>
        <v>2.6176</v>
      </c>
      <c r="I4686">
        <f>IFERROR(VLOOKUP($A4686,原始数据_利率互换_FR007_1年!$A$6:$C$4395,3,0),"")</f>
        <v>2.9801</v>
      </c>
    </row>
    <row r="4687" spans="1:9">
      <c r="A4687" s="6">
        <v>44180</v>
      </c>
      <c r="B4687">
        <f>IFERROR(VLOOKUP($A4687,原始数据_收盘!$A$4:$G$3460,2,0),"")</f>
        <v>2.5625</v>
      </c>
      <c r="C4687">
        <f>IFERROR(VLOOKUP($A4687,原始数据_收盘!$A$4:$G$3460,3,0),"")</f>
        <v>2.94</v>
      </c>
      <c r="D4687">
        <f>IFERROR(VLOOKUP($A4687,原始数据_收盘!$A$4:$G$3460,4,0),"")</f>
        <v>2.5675</v>
      </c>
      <c r="E4687">
        <f>IFERROR(VLOOKUP($A4687,原始数据_收盘!$A$4:$G$3460,5,0),"")</f>
        <v>2.943</v>
      </c>
      <c r="F4687">
        <f>IFERROR(VLOOKUP($A4687,原始数据_收盘!$A$4:$G$3460,6,0),"")</f>
        <v>2.565</v>
      </c>
      <c r="G4687">
        <f>IFERROR(VLOOKUP($A4687,原始数据_收盘!$A$4:$G$3460,7,0),"")</f>
        <v>2.9415</v>
      </c>
      <c r="H4687">
        <f>IFERROR(VLOOKUP($A4687,原始数据_利率互换_FR007_1年!$A$6:$C$4395,2,0),"")</f>
        <v>2.5728</v>
      </c>
      <c r="I4687">
        <f>IFERROR(VLOOKUP($A4687,原始数据_利率互换_FR007_1年!$A$6:$C$4395,3,0),"")</f>
        <v>2.9445</v>
      </c>
    </row>
    <row r="4688" spans="1:9">
      <c r="A4688" s="6">
        <v>44181</v>
      </c>
      <c r="B4688">
        <f>IFERROR(VLOOKUP($A4688,原始数据_收盘!$A$4:$G$3460,2,0),"")</f>
        <v>2.5475</v>
      </c>
      <c r="C4688">
        <f>IFERROR(VLOOKUP($A4688,原始数据_收盘!$A$4:$G$3460,3,0),"")</f>
        <v>2.925</v>
      </c>
      <c r="D4688">
        <f>IFERROR(VLOOKUP($A4688,原始数据_收盘!$A$4:$G$3460,4,0),"")</f>
        <v>2.5514</v>
      </c>
      <c r="E4688">
        <f>IFERROR(VLOOKUP($A4688,原始数据_收盘!$A$4:$G$3460,5,0),"")</f>
        <v>2.9285</v>
      </c>
      <c r="F4688">
        <f>IFERROR(VLOOKUP($A4688,原始数据_收盘!$A$4:$G$3460,6,0),"")</f>
        <v>2.5494</v>
      </c>
      <c r="G4688">
        <f>IFERROR(VLOOKUP($A4688,原始数据_收盘!$A$4:$G$3460,7,0),"")</f>
        <v>2.9268</v>
      </c>
      <c r="H4688">
        <f>IFERROR(VLOOKUP($A4688,原始数据_利率互换_FR007_1年!$A$6:$C$4395,2,0),"")</f>
        <v>2.5484</v>
      </c>
      <c r="I4688">
        <f>IFERROR(VLOOKUP($A4688,原始数据_利率互换_FR007_1年!$A$6:$C$4395,3,0),"")</f>
        <v>2.9282</v>
      </c>
    </row>
    <row r="4689" spans="1:9">
      <c r="A4689" s="6">
        <v>44182</v>
      </c>
      <c r="B4689">
        <f>IFERROR(VLOOKUP($A4689,原始数据_收盘!$A$4:$G$3460,2,0),"")</f>
        <v>2.5725</v>
      </c>
      <c r="C4689">
        <f>IFERROR(VLOOKUP($A4689,原始数据_收盘!$A$4:$G$3460,3,0),"")</f>
        <v>2.9507</v>
      </c>
      <c r="D4689">
        <f>IFERROR(VLOOKUP($A4689,原始数据_收盘!$A$4:$G$3460,4,0),"")</f>
        <v>2.5775</v>
      </c>
      <c r="E4689">
        <f>IFERROR(VLOOKUP($A4689,原始数据_收盘!$A$4:$G$3460,5,0),"")</f>
        <v>2.9543</v>
      </c>
      <c r="F4689">
        <f>IFERROR(VLOOKUP($A4689,原始数据_收盘!$A$4:$G$3460,6,0),"")</f>
        <v>2.575</v>
      </c>
      <c r="G4689">
        <f>IFERROR(VLOOKUP($A4689,原始数据_收盘!$A$4:$G$3460,7,0),"")</f>
        <v>2.9525</v>
      </c>
      <c r="H4689">
        <f>IFERROR(VLOOKUP($A4689,原始数据_利率互换_FR007_1年!$A$6:$C$4395,2,0),"")</f>
        <v>2.5674</v>
      </c>
      <c r="I4689">
        <f>IFERROR(VLOOKUP($A4689,原始数据_利率互换_FR007_1年!$A$6:$C$4395,3,0),"")</f>
        <v>2.9459</v>
      </c>
    </row>
    <row r="4690" spans="1:9">
      <c r="A4690" s="6">
        <v>44183</v>
      </c>
      <c r="B4690">
        <f>IFERROR(VLOOKUP($A4690,原始数据_收盘!$A$4:$G$3460,2,0),"")</f>
        <v>2.5673</v>
      </c>
      <c r="C4690">
        <f>IFERROR(VLOOKUP($A4690,原始数据_收盘!$A$4:$G$3460,3,0),"")</f>
        <v>2.95</v>
      </c>
      <c r="D4690">
        <f>IFERROR(VLOOKUP($A4690,原始数据_收盘!$A$4:$G$3460,4,0),"")</f>
        <v>2.5716</v>
      </c>
      <c r="E4690">
        <f>IFERROR(VLOOKUP($A4690,原始数据_收盘!$A$4:$G$3460,5,0),"")</f>
        <v>2.955</v>
      </c>
      <c r="F4690">
        <f>IFERROR(VLOOKUP($A4690,原始数据_收盘!$A$4:$G$3460,6,0),"")</f>
        <v>2.5694</v>
      </c>
      <c r="G4690">
        <f>IFERROR(VLOOKUP($A4690,原始数据_收盘!$A$4:$G$3460,7,0),"")</f>
        <v>2.9525</v>
      </c>
      <c r="H4690">
        <f>IFERROR(VLOOKUP($A4690,原始数据_利率互换_FR007_1年!$A$6:$C$4395,2,0),"")</f>
        <v>2.5866</v>
      </c>
      <c r="I4690">
        <f>IFERROR(VLOOKUP($A4690,原始数据_利率互换_FR007_1年!$A$6:$C$4395,3,0),"")</f>
        <v>2.9638</v>
      </c>
    </row>
    <row r="4691" spans="1:9">
      <c r="A4691" s="6">
        <v>44184</v>
      </c>
      <c r="B4691" t="str">
        <f>IFERROR(VLOOKUP($A4691,原始数据_收盘!$A$4:$G$3460,2,0),"")</f>
        <v/>
      </c>
      <c r="C4691" t="str">
        <f>IFERROR(VLOOKUP($A4691,原始数据_收盘!$A$4:$G$3460,3,0),"")</f>
        <v/>
      </c>
      <c r="D4691" t="str">
        <f>IFERROR(VLOOKUP($A4691,原始数据_收盘!$A$4:$G$3460,4,0),"")</f>
        <v/>
      </c>
      <c r="E4691" t="str">
        <f>IFERROR(VLOOKUP($A4691,原始数据_收盘!$A$4:$G$3460,5,0),"")</f>
        <v/>
      </c>
      <c r="F4691" t="str">
        <f>IFERROR(VLOOKUP($A4691,原始数据_收盘!$A$4:$G$3460,6,0),"")</f>
        <v/>
      </c>
      <c r="G4691" t="str">
        <f>IFERROR(VLOOKUP($A4691,原始数据_收盘!$A$4:$G$3460,7,0),"")</f>
        <v/>
      </c>
      <c r="H4691" t="str">
        <f>IFERROR(VLOOKUP($A4691,原始数据_利率互换_FR007_1年!$A$6:$C$4395,2,0),"")</f>
        <v/>
      </c>
      <c r="I4691" t="str">
        <f>IFERROR(VLOOKUP($A4691,原始数据_利率互换_FR007_1年!$A$6:$C$4395,3,0),"")</f>
        <v/>
      </c>
    </row>
    <row r="4692" spans="1:9">
      <c r="A4692" s="6">
        <v>44185</v>
      </c>
      <c r="B4692" t="str">
        <f>IFERROR(VLOOKUP($A4692,原始数据_收盘!$A$4:$G$3460,2,0),"")</f>
        <v/>
      </c>
      <c r="C4692" t="str">
        <f>IFERROR(VLOOKUP($A4692,原始数据_收盘!$A$4:$G$3460,3,0),"")</f>
        <v/>
      </c>
      <c r="D4692" t="str">
        <f>IFERROR(VLOOKUP($A4692,原始数据_收盘!$A$4:$G$3460,4,0),"")</f>
        <v/>
      </c>
      <c r="E4692" t="str">
        <f>IFERROR(VLOOKUP($A4692,原始数据_收盘!$A$4:$G$3460,5,0),"")</f>
        <v/>
      </c>
      <c r="F4692" t="str">
        <f>IFERROR(VLOOKUP($A4692,原始数据_收盘!$A$4:$G$3460,6,0),"")</f>
        <v/>
      </c>
      <c r="G4692" t="str">
        <f>IFERROR(VLOOKUP($A4692,原始数据_收盘!$A$4:$G$3460,7,0),"")</f>
        <v/>
      </c>
      <c r="H4692" t="str">
        <f>IFERROR(VLOOKUP($A4692,原始数据_利率互换_FR007_1年!$A$6:$C$4395,2,0),"")</f>
        <v/>
      </c>
      <c r="I4692" t="str">
        <f>IFERROR(VLOOKUP($A4692,原始数据_利率互换_FR007_1年!$A$6:$C$4395,3,0),"")</f>
        <v/>
      </c>
    </row>
    <row r="4693" spans="1:9">
      <c r="A4693" s="6">
        <v>44186</v>
      </c>
      <c r="B4693">
        <f>IFERROR(VLOOKUP($A4693,原始数据_收盘!$A$4:$G$3460,2,0),"")</f>
        <v>2.5384</v>
      </c>
      <c r="C4693">
        <f>IFERROR(VLOOKUP($A4693,原始数据_收盘!$A$4:$G$3460,3,0),"")</f>
        <v>2.92</v>
      </c>
      <c r="D4693">
        <f>IFERROR(VLOOKUP($A4693,原始数据_收盘!$A$4:$G$3460,4,0),"")</f>
        <v>2.5425</v>
      </c>
      <c r="E4693">
        <f>IFERROR(VLOOKUP($A4693,原始数据_收盘!$A$4:$G$3460,5,0),"")</f>
        <v>2.9225</v>
      </c>
      <c r="F4693">
        <f>IFERROR(VLOOKUP($A4693,原始数据_收盘!$A$4:$G$3460,6,0),"")</f>
        <v>2.5404</v>
      </c>
      <c r="G4693">
        <f>IFERROR(VLOOKUP($A4693,原始数据_收盘!$A$4:$G$3460,7,0),"")</f>
        <v>2.9213</v>
      </c>
      <c r="H4693">
        <f>IFERROR(VLOOKUP($A4693,原始数据_利率互换_FR007_1年!$A$6:$C$4395,2,0),"")</f>
        <v>2.5487</v>
      </c>
      <c r="I4693">
        <f>IFERROR(VLOOKUP($A4693,原始数据_利率互换_FR007_1年!$A$6:$C$4395,3,0),"")</f>
        <v>2.9326</v>
      </c>
    </row>
    <row r="4694" spans="1:9">
      <c r="A4694" s="6">
        <v>44187</v>
      </c>
      <c r="B4694">
        <f>IFERROR(VLOOKUP($A4694,原始数据_收盘!$A$4:$G$3460,2,0),"")</f>
        <v>2.503</v>
      </c>
      <c r="C4694">
        <f>IFERROR(VLOOKUP($A4694,原始数据_收盘!$A$4:$G$3460,3,0),"")</f>
        <v>2.8731</v>
      </c>
      <c r="D4694">
        <f>IFERROR(VLOOKUP($A4694,原始数据_收盘!$A$4:$G$3460,4,0),"")</f>
        <v>2.5055</v>
      </c>
      <c r="E4694">
        <f>IFERROR(VLOOKUP($A4694,原始数据_收盘!$A$4:$G$3460,5,0),"")</f>
        <v>2.8776</v>
      </c>
      <c r="F4694">
        <f>IFERROR(VLOOKUP($A4694,原始数据_收盘!$A$4:$G$3460,6,0),"")</f>
        <v>2.5043</v>
      </c>
      <c r="G4694">
        <f>IFERROR(VLOOKUP($A4694,原始数据_收盘!$A$4:$G$3460,7,0),"")</f>
        <v>2.8754</v>
      </c>
      <c r="H4694">
        <f>IFERROR(VLOOKUP($A4694,原始数据_利率互换_FR007_1年!$A$6:$C$4395,2,0),"")</f>
        <v>2.5074</v>
      </c>
      <c r="I4694">
        <f>IFERROR(VLOOKUP($A4694,原始数据_利率互换_FR007_1年!$A$6:$C$4395,3,0),"")</f>
        <v>2.8902</v>
      </c>
    </row>
    <row r="4695" spans="1:9">
      <c r="A4695" s="6">
        <v>44188</v>
      </c>
      <c r="B4695">
        <f>IFERROR(VLOOKUP($A4695,原始数据_收盘!$A$4:$G$3460,2,0),"")</f>
        <v>2.5</v>
      </c>
      <c r="C4695">
        <f>IFERROR(VLOOKUP($A4695,原始数据_收盘!$A$4:$G$3460,3,0),"")</f>
        <v>2.87</v>
      </c>
      <c r="D4695">
        <f>IFERROR(VLOOKUP($A4695,原始数据_收盘!$A$4:$G$3460,4,0),"")</f>
        <v>2.5025</v>
      </c>
      <c r="E4695">
        <f>IFERROR(VLOOKUP($A4695,原始数据_收盘!$A$4:$G$3460,5,0),"")</f>
        <v>2.875</v>
      </c>
      <c r="F4695">
        <f>IFERROR(VLOOKUP($A4695,原始数据_收盘!$A$4:$G$3460,6,0),"")</f>
        <v>2.5013</v>
      </c>
      <c r="G4695">
        <f>IFERROR(VLOOKUP($A4695,原始数据_收盘!$A$4:$G$3460,7,0),"")</f>
        <v>2.8725</v>
      </c>
      <c r="H4695">
        <f>IFERROR(VLOOKUP($A4695,原始数据_利率互换_FR007_1年!$A$6:$C$4395,2,0),"")</f>
        <v>2.4909</v>
      </c>
      <c r="I4695">
        <f>IFERROR(VLOOKUP($A4695,原始数据_利率互换_FR007_1年!$A$6:$C$4395,3,0),"")</f>
        <v>2.869</v>
      </c>
    </row>
    <row r="4696" spans="1:9">
      <c r="A4696" s="6">
        <v>44189</v>
      </c>
      <c r="B4696">
        <f>IFERROR(VLOOKUP($A4696,原始数据_收盘!$A$4:$G$3460,2,0),"")</f>
        <v>2.5125</v>
      </c>
      <c r="C4696">
        <f>IFERROR(VLOOKUP($A4696,原始数据_收盘!$A$4:$G$3460,3,0),"")</f>
        <v>2.8925</v>
      </c>
      <c r="D4696">
        <f>IFERROR(VLOOKUP($A4696,原始数据_收盘!$A$4:$G$3460,4,0),"")</f>
        <v>2.515</v>
      </c>
      <c r="E4696">
        <f>IFERROR(VLOOKUP($A4696,原始数据_收盘!$A$4:$G$3460,5,0),"")</f>
        <v>2.8975</v>
      </c>
      <c r="F4696">
        <f>IFERROR(VLOOKUP($A4696,原始数据_收盘!$A$4:$G$3460,6,0),"")</f>
        <v>2.5138</v>
      </c>
      <c r="G4696">
        <f>IFERROR(VLOOKUP($A4696,原始数据_收盘!$A$4:$G$3460,7,0),"")</f>
        <v>2.895</v>
      </c>
      <c r="H4696">
        <f>IFERROR(VLOOKUP($A4696,原始数据_利率互换_FR007_1年!$A$6:$C$4395,2,0),"")</f>
        <v>2.5102</v>
      </c>
      <c r="I4696">
        <f>IFERROR(VLOOKUP($A4696,原始数据_利率互换_FR007_1年!$A$6:$C$4395,3,0),"")</f>
        <v>2.886</v>
      </c>
    </row>
    <row r="4697" spans="1:9">
      <c r="A4697" s="6">
        <v>44190</v>
      </c>
      <c r="B4697">
        <f>IFERROR(VLOOKUP($A4697,原始数据_收盘!$A$4:$G$3460,2,0),"")</f>
        <v>2.49</v>
      </c>
      <c r="C4697">
        <f>IFERROR(VLOOKUP($A4697,原始数据_收盘!$A$4:$G$3460,3,0),"")</f>
        <v>2.8661</v>
      </c>
      <c r="D4697">
        <f>IFERROR(VLOOKUP($A4697,原始数据_收盘!$A$4:$G$3460,4,0),"")</f>
        <v>2.495</v>
      </c>
      <c r="E4697">
        <f>IFERROR(VLOOKUP($A4697,原始数据_收盘!$A$4:$G$3460,5,0),"")</f>
        <v>2.87</v>
      </c>
      <c r="F4697">
        <f>IFERROR(VLOOKUP($A4697,原始数据_收盘!$A$4:$G$3460,6,0),"")</f>
        <v>2.4925</v>
      </c>
      <c r="G4697">
        <f>IFERROR(VLOOKUP($A4697,原始数据_收盘!$A$4:$G$3460,7,0),"")</f>
        <v>2.8681</v>
      </c>
      <c r="H4697">
        <f>IFERROR(VLOOKUP($A4697,原始数据_利率互换_FR007_1年!$A$6:$C$4395,2,0),"")</f>
        <v>2.5092</v>
      </c>
      <c r="I4697">
        <f>IFERROR(VLOOKUP($A4697,原始数据_利率互换_FR007_1年!$A$6:$C$4395,3,0),"")</f>
        <v>2.8809</v>
      </c>
    </row>
    <row r="4698" spans="1:9">
      <c r="A4698" s="6">
        <v>44191</v>
      </c>
      <c r="B4698" t="str">
        <f>IFERROR(VLOOKUP($A4698,原始数据_收盘!$A$4:$G$3460,2,0),"")</f>
        <v/>
      </c>
      <c r="C4698" t="str">
        <f>IFERROR(VLOOKUP($A4698,原始数据_收盘!$A$4:$G$3460,3,0),"")</f>
        <v/>
      </c>
      <c r="D4698" t="str">
        <f>IFERROR(VLOOKUP($A4698,原始数据_收盘!$A$4:$G$3460,4,0),"")</f>
        <v/>
      </c>
      <c r="E4698" t="str">
        <f>IFERROR(VLOOKUP($A4698,原始数据_收盘!$A$4:$G$3460,5,0),"")</f>
        <v/>
      </c>
      <c r="F4698" t="str">
        <f>IFERROR(VLOOKUP($A4698,原始数据_收盘!$A$4:$G$3460,6,0),"")</f>
        <v/>
      </c>
      <c r="G4698" t="str">
        <f>IFERROR(VLOOKUP($A4698,原始数据_收盘!$A$4:$G$3460,7,0),"")</f>
        <v/>
      </c>
      <c r="H4698" t="str">
        <f>IFERROR(VLOOKUP($A4698,原始数据_利率互换_FR007_1年!$A$6:$C$4395,2,0),"")</f>
        <v/>
      </c>
      <c r="I4698" t="str">
        <f>IFERROR(VLOOKUP($A4698,原始数据_利率互换_FR007_1年!$A$6:$C$4395,3,0),"")</f>
        <v/>
      </c>
    </row>
    <row r="4699" spans="1:9">
      <c r="A4699" s="6">
        <v>44192</v>
      </c>
      <c r="B4699" t="str">
        <f>IFERROR(VLOOKUP($A4699,原始数据_收盘!$A$4:$G$3460,2,0),"")</f>
        <v/>
      </c>
      <c r="C4699" t="str">
        <f>IFERROR(VLOOKUP($A4699,原始数据_收盘!$A$4:$G$3460,3,0),"")</f>
        <v/>
      </c>
      <c r="D4699" t="str">
        <f>IFERROR(VLOOKUP($A4699,原始数据_收盘!$A$4:$G$3460,4,0),"")</f>
        <v/>
      </c>
      <c r="E4699" t="str">
        <f>IFERROR(VLOOKUP($A4699,原始数据_收盘!$A$4:$G$3460,5,0),"")</f>
        <v/>
      </c>
      <c r="F4699" t="str">
        <f>IFERROR(VLOOKUP($A4699,原始数据_收盘!$A$4:$G$3460,6,0),"")</f>
        <v/>
      </c>
      <c r="G4699" t="str">
        <f>IFERROR(VLOOKUP($A4699,原始数据_收盘!$A$4:$G$3460,7,0),"")</f>
        <v/>
      </c>
      <c r="H4699" t="str">
        <f>IFERROR(VLOOKUP($A4699,原始数据_利率互换_FR007_1年!$A$6:$C$4395,2,0),"")</f>
        <v/>
      </c>
      <c r="I4699" t="str">
        <f>IFERROR(VLOOKUP($A4699,原始数据_利率互换_FR007_1年!$A$6:$C$4395,3,0),"")</f>
        <v/>
      </c>
    </row>
    <row r="4700" spans="1:9">
      <c r="A4700" s="6">
        <v>44193</v>
      </c>
      <c r="B4700">
        <f>IFERROR(VLOOKUP($A4700,原始数据_收盘!$A$4:$G$3460,2,0),"")</f>
        <v>2.505</v>
      </c>
      <c r="C4700">
        <f>IFERROR(VLOOKUP($A4700,原始数据_收盘!$A$4:$G$3460,3,0),"")</f>
        <v>2.8725</v>
      </c>
      <c r="D4700">
        <f>IFERROR(VLOOKUP($A4700,原始数据_收盘!$A$4:$G$3460,4,0),"")</f>
        <v>2.5125</v>
      </c>
      <c r="E4700">
        <f>IFERROR(VLOOKUP($A4700,原始数据_收盘!$A$4:$G$3460,5,0),"")</f>
        <v>2.875</v>
      </c>
      <c r="F4700">
        <f>IFERROR(VLOOKUP($A4700,原始数据_收盘!$A$4:$G$3460,6,0),"")</f>
        <v>2.5088</v>
      </c>
      <c r="G4700">
        <f>IFERROR(VLOOKUP($A4700,原始数据_收盘!$A$4:$G$3460,7,0),"")</f>
        <v>2.8738</v>
      </c>
      <c r="H4700">
        <f>IFERROR(VLOOKUP($A4700,原始数据_利率互换_FR007_1年!$A$6:$C$4395,2,0),"")</f>
        <v>2.497</v>
      </c>
      <c r="I4700">
        <f>IFERROR(VLOOKUP($A4700,原始数据_利率互换_FR007_1年!$A$6:$C$4395,3,0),"")</f>
        <v>2.8687</v>
      </c>
    </row>
    <row r="4701" spans="1:9">
      <c r="A4701" s="6">
        <v>44194</v>
      </c>
      <c r="B4701">
        <f>IFERROR(VLOOKUP($A4701,原始数据_收盘!$A$4:$G$3460,2,0),"")</f>
        <v>2.505</v>
      </c>
      <c r="C4701">
        <f>IFERROR(VLOOKUP($A4701,原始数据_收盘!$A$4:$G$3460,3,0),"")</f>
        <v>2.8675</v>
      </c>
      <c r="D4701">
        <f>IFERROR(VLOOKUP($A4701,原始数据_收盘!$A$4:$G$3460,4,0),"")</f>
        <v>2.5125</v>
      </c>
      <c r="E4701">
        <f>IFERROR(VLOOKUP($A4701,原始数据_收盘!$A$4:$G$3460,5,0),"")</f>
        <v>2.8725</v>
      </c>
      <c r="F4701">
        <f>IFERROR(VLOOKUP($A4701,原始数据_收盘!$A$4:$G$3460,6,0),"")</f>
        <v>2.5088</v>
      </c>
      <c r="G4701">
        <f>IFERROR(VLOOKUP($A4701,原始数据_收盘!$A$4:$G$3460,7,0),"")</f>
        <v>2.87</v>
      </c>
      <c r="H4701">
        <f>IFERROR(VLOOKUP($A4701,原始数据_利率互换_FR007_1年!$A$6:$C$4395,2,0),"")</f>
        <v>2.5057</v>
      </c>
      <c r="I4701">
        <f>IFERROR(VLOOKUP($A4701,原始数据_利率互换_FR007_1年!$A$6:$C$4395,3,0),"")</f>
        <v>2.8684</v>
      </c>
    </row>
    <row r="4702" spans="1:9">
      <c r="A4702" s="6">
        <v>44195</v>
      </c>
      <c r="B4702">
        <f>IFERROR(VLOOKUP($A4702,原始数据_收盘!$A$4:$G$3460,2,0),"")</f>
        <v>2.48</v>
      </c>
      <c r="C4702">
        <f>IFERROR(VLOOKUP($A4702,原始数据_收盘!$A$4:$G$3460,3,0),"")</f>
        <v>2.83</v>
      </c>
      <c r="D4702">
        <f>IFERROR(VLOOKUP($A4702,原始数据_收盘!$A$4:$G$3460,4,0),"")</f>
        <v>2.485</v>
      </c>
      <c r="E4702">
        <f>IFERROR(VLOOKUP($A4702,原始数据_收盘!$A$4:$G$3460,5,0),"")</f>
        <v>2.8327</v>
      </c>
      <c r="F4702">
        <f>IFERROR(VLOOKUP($A4702,原始数据_收盘!$A$4:$G$3460,6,0),"")</f>
        <v>2.4825</v>
      </c>
      <c r="G4702">
        <f>IFERROR(VLOOKUP($A4702,原始数据_收盘!$A$4:$G$3460,7,0),"")</f>
        <v>2.8313</v>
      </c>
      <c r="H4702">
        <f>IFERROR(VLOOKUP($A4702,原始数据_利率互换_FR007_1年!$A$6:$C$4395,2,0),"")</f>
        <v>2.4892</v>
      </c>
      <c r="I4702">
        <f>IFERROR(VLOOKUP($A4702,原始数据_利率互换_FR007_1年!$A$6:$C$4395,3,0),"")</f>
        <v>2.8432</v>
      </c>
    </row>
    <row r="4703" spans="1:9">
      <c r="A4703" s="6">
        <v>44196</v>
      </c>
      <c r="B4703">
        <f>IFERROR(VLOOKUP($A4703,原始数据_收盘!$A$4:$G$3460,2,0),"")</f>
        <v>2.475</v>
      </c>
      <c r="C4703">
        <f>IFERROR(VLOOKUP($A4703,原始数据_收盘!$A$4:$G$3460,3,0),"")</f>
        <v>2.8325</v>
      </c>
      <c r="D4703">
        <f>IFERROR(VLOOKUP($A4703,原始数据_收盘!$A$4:$G$3460,4,0),"")</f>
        <v>2.4825</v>
      </c>
      <c r="E4703">
        <f>IFERROR(VLOOKUP($A4703,原始数据_收盘!$A$4:$G$3460,5,0),"")</f>
        <v>2.835</v>
      </c>
      <c r="F4703">
        <f>IFERROR(VLOOKUP($A4703,原始数据_收盘!$A$4:$G$3460,6,0),"")</f>
        <v>2.4788</v>
      </c>
      <c r="G4703">
        <f>IFERROR(VLOOKUP($A4703,原始数据_收盘!$A$4:$G$3460,7,0),"")</f>
        <v>2.8338</v>
      </c>
      <c r="H4703">
        <f>IFERROR(VLOOKUP($A4703,原始数据_利率互换_FR007_1年!$A$6:$C$4395,2,0),"")</f>
        <v>2.4688</v>
      </c>
      <c r="I4703">
        <f>IFERROR(VLOOKUP($A4703,原始数据_利率互换_FR007_1年!$A$6:$C$4395,3,0),"")</f>
        <v>2.8339</v>
      </c>
    </row>
    <row r="4704" spans="1:9">
      <c r="A4704" s="6">
        <v>44197</v>
      </c>
      <c r="B4704" t="str">
        <f>IFERROR(VLOOKUP($A4704,原始数据_收盘!$A$4:$G$3460,2,0),"")</f>
        <v/>
      </c>
      <c r="C4704" t="str">
        <f>IFERROR(VLOOKUP($A4704,原始数据_收盘!$A$4:$G$3460,3,0),"")</f>
        <v/>
      </c>
      <c r="D4704" t="str">
        <f>IFERROR(VLOOKUP($A4704,原始数据_收盘!$A$4:$G$3460,4,0),"")</f>
        <v/>
      </c>
      <c r="E4704" t="str">
        <f>IFERROR(VLOOKUP($A4704,原始数据_收盘!$A$4:$G$3460,5,0),"")</f>
        <v/>
      </c>
      <c r="F4704" t="str">
        <f>IFERROR(VLOOKUP($A4704,原始数据_收盘!$A$4:$G$3460,6,0),"")</f>
        <v/>
      </c>
      <c r="G4704" t="str">
        <f>IFERROR(VLOOKUP($A4704,原始数据_收盘!$A$4:$G$3460,7,0),"")</f>
        <v/>
      </c>
      <c r="H4704" t="str">
        <f>IFERROR(VLOOKUP($A4704,原始数据_利率互换_FR007_1年!$A$6:$C$4395,2,0),"")</f>
        <v/>
      </c>
      <c r="I4704" t="str">
        <f>IFERROR(VLOOKUP($A4704,原始数据_利率互换_FR007_1年!$A$6:$C$4395,3,0),"")</f>
        <v/>
      </c>
    </row>
    <row r="4705" spans="1:9">
      <c r="A4705" s="6">
        <v>44198</v>
      </c>
      <c r="B4705" t="str">
        <f>IFERROR(VLOOKUP($A4705,原始数据_收盘!$A$4:$G$3460,2,0),"")</f>
        <v/>
      </c>
      <c r="C4705" t="str">
        <f>IFERROR(VLOOKUP($A4705,原始数据_收盘!$A$4:$G$3460,3,0),"")</f>
        <v/>
      </c>
      <c r="D4705" t="str">
        <f>IFERROR(VLOOKUP($A4705,原始数据_收盘!$A$4:$G$3460,4,0),"")</f>
        <v/>
      </c>
      <c r="E4705" t="str">
        <f>IFERROR(VLOOKUP($A4705,原始数据_收盘!$A$4:$G$3460,5,0),"")</f>
        <v/>
      </c>
      <c r="F4705" t="str">
        <f>IFERROR(VLOOKUP($A4705,原始数据_收盘!$A$4:$G$3460,6,0),"")</f>
        <v/>
      </c>
      <c r="G4705" t="str">
        <f>IFERROR(VLOOKUP($A4705,原始数据_收盘!$A$4:$G$3460,7,0),"")</f>
        <v/>
      </c>
      <c r="H4705" t="str">
        <f>IFERROR(VLOOKUP($A4705,原始数据_利率互换_FR007_1年!$A$6:$C$4395,2,0),"")</f>
        <v/>
      </c>
      <c r="I4705" t="str">
        <f>IFERROR(VLOOKUP($A4705,原始数据_利率互换_FR007_1年!$A$6:$C$4395,3,0),"")</f>
        <v/>
      </c>
    </row>
    <row r="4706" spans="1:9">
      <c r="A4706" s="6">
        <v>44199</v>
      </c>
      <c r="B4706" t="str">
        <f>IFERROR(VLOOKUP($A4706,原始数据_收盘!$A$4:$G$3460,2,0),"")</f>
        <v/>
      </c>
      <c r="C4706" t="str">
        <f>IFERROR(VLOOKUP($A4706,原始数据_收盘!$A$4:$G$3460,3,0),"")</f>
        <v/>
      </c>
      <c r="D4706" t="str">
        <f>IFERROR(VLOOKUP($A4706,原始数据_收盘!$A$4:$G$3460,4,0),"")</f>
        <v/>
      </c>
      <c r="E4706" t="str">
        <f>IFERROR(VLOOKUP($A4706,原始数据_收盘!$A$4:$G$3460,5,0),"")</f>
        <v/>
      </c>
      <c r="F4706" t="str">
        <f>IFERROR(VLOOKUP($A4706,原始数据_收盘!$A$4:$G$3460,6,0),"")</f>
        <v/>
      </c>
      <c r="G4706" t="str">
        <f>IFERROR(VLOOKUP($A4706,原始数据_收盘!$A$4:$G$3460,7,0),"")</f>
        <v/>
      </c>
      <c r="H4706" t="str">
        <f>IFERROR(VLOOKUP($A4706,原始数据_利率互换_FR007_1年!$A$6:$C$4395,2,0),"")</f>
        <v/>
      </c>
      <c r="I4706" t="str">
        <f>IFERROR(VLOOKUP($A4706,原始数据_利率互换_FR007_1年!$A$6:$C$4395,3,0),"")</f>
        <v/>
      </c>
    </row>
    <row r="4707" spans="1:9">
      <c r="A4707" s="6">
        <v>44200</v>
      </c>
      <c r="B4707">
        <f>IFERROR(VLOOKUP($A4707,原始数据_收盘!$A$4:$G$3460,2,0),"")</f>
        <v>2.5125</v>
      </c>
      <c r="C4707">
        <f>IFERROR(VLOOKUP($A4707,原始数据_收盘!$A$4:$G$3460,3,0),"")</f>
        <v>2.885</v>
      </c>
      <c r="D4707">
        <f>IFERROR(VLOOKUP($A4707,原始数据_收盘!$A$4:$G$3460,4,0),"")</f>
        <v>2.5225</v>
      </c>
      <c r="E4707">
        <f>IFERROR(VLOOKUP($A4707,原始数据_收盘!$A$4:$G$3460,5,0),"")</f>
        <v>2.8875</v>
      </c>
      <c r="F4707">
        <f>IFERROR(VLOOKUP($A4707,原始数据_收盘!$A$4:$G$3460,6,0),"")</f>
        <v>2.5175</v>
      </c>
      <c r="G4707">
        <f>IFERROR(VLOOKUP($A4707,原始数据_收盘!$A$4:$G$3460,7,0),"")</f>
        <v>2.8863</v>
      </c>
      <c r="H4707">
        <f>IFERROR(VLOOKUP($A4707,原始数据_利率互换_FR007_1年!$A$6:$C$4395,2,0),"")</f>
        <v>2.5073</v>
      </c>
      <c r="I4707">
        <f>IFERROR(VLOOKUP($A4707,原始数据_利率互换_FR007_1年!$A$6:$C$4395,3,0),"")</f>
        <v>2.8728</v>
      </c>
    </row>
    <row r="4708" spans="1:9">
      <c r="A4708" s="6">
        <v>44201</v>
      </c>
      <c r="B4708">
        <f>IFERROR(VLOOKUP($A4708,原始数据_收盘!$A$4:$G$3460,2,0),"")</f>
        <v>2.4596</v>
      </c>
      <c r="C4708">
        <f>IFERROR(VLOOKUP($A4708,原始数据_收盘!$A$4:$G$3460,3,0),"")</f>
        <v>2.8315</v>
      </c>
      <c r="D4708">
        <f>IFERROR(VLOOKUP($A4708,原始数据_收盘!$A$4:$G$3460,4,0),"")</f>
        <v>2.4638</v>
      </c>
      <c r="E4708">
        <f>IFERROR(VLOOKUP($A4708,原始数据_收盘!$A$4:$G$3460,5,0),"")</f>
        <v>2.8346</v>
      </c>
      <c r="F4708">
        <f>IFERROR(VLOOKUP($A4708,原始数据_收盘!$A$4:$G$3460,6,0),"")</f>
        <v>2.4617</v>
      </c>
      <c r="G4708">
        <f>IFERROR(VLOOKUP($A4708,原始数据_收盘!$A$4:$G$3460,7,0),"")</f>
        <v>2.833</v>
      </c>
      <c r="H4708">
        <f>IFERROR(VLOOKUP($A4708,原始数据_利率互换_FR007_1年!$A$6:$C$4395,2,0),"")</f>
        <v>2.4861</v>
      </c>
      <c r="I4708">
        <f>IFERROR(VLOOKUP($A4708,原始数据_利率互换_FR007_1年!$A$6:$C$4395,3,0),"")</f>
        <v>2.8611</v>
      </c>
    </row>
    <row r="4709" spans="1:9">
      <c r="A4709" s="6">
        <v>44202</v>
      </c>
      <c r="B4709">
        <f>IFERROR(VLOOKUP($A4709,原始数据_收盘!$A$4:$G$3460,2,0),"")</f>
        <v>2.4668</v>
      </c>
      <c r="C4709">
        <f>IFERROR(VLOOKUP($A4709,原始数据_收盘!$A$4:$G$3460,3,0),"")</f>
        <v>2.8411</v>
      </c>
      <c r="D4709">
        <f>IFERROR(VLOOKUP($A4709,原始数据_收盘!$A$4:$G$3460,4,0),"")</f>
        <v>2.47</v>
      </c>
      <c r="E4709">
        <f>IFERROR(VLOOKUP($A4709,原始数据_收盘!$A$4:$G$3460,5,0),"")</f>
        <v>2.8439</v>
      </c>
      <c r="F4709">
        <f>IFERROR(VLOOKUP($A4709,原始数据_收盘!$A$4:$G$3460,6,0),"")</f>
        <v>2.4684</v>
      </c>
      <c r="G4709">
        <f>IFERROR(VLOOKUP($A4709,原始数据_收盘!$A$4:$G$3460,7,0),"")</f>
        <v>2.8425</v>
      </c>
      <c r="H4709">
        <f>IFERROR(VLOOKUP($A4709,原始数据_利率互换_FR007_1年!$A$6:$C$4395,2,0),"")</f>
        <v>2.4622</v>
      </c>
      <c r="I4709">
        <f>IFERROR(VLOOKUP($A4709,原始数据_利率互换_FR007_1年!$A$6:$C$4395,3,0),"")</f>
        <v>2.8382</v>
      </c>
    </row>
    <row r="4710" spans="1:9">
      <c r="A4710" s="6">
        <v>44203</v>
      </c>
      <c r="B4710">
        <f>IFERROR(VLOOKUP($A4710,原始数据_收盘!$A$4:$G$3460,2,0),"")</f>
        <v>2.4425</v>
      </c>
      <c r="C4710">
        <f>IFERROR(VLOOKUP($A4710,原始数据_收盘!$A$4:$G$3460,3,0),"")</f>
        <v>2.8203</v>
      </c>
      <c r="D4710">
        <f>IFERROR(VLOOKUP($A4710,原始数据_收盘!$A$4:$G$3460,4,0),"")</f>
        <v>2.4469</v>
      </c>
      <c r="E4710">
        <f>IFERROR(VLOOKUP($A4710,原始数据_收盘!$A$4:$G$3460,5,0),"")</f>
        <v>2.825</v>
      </c>
      <c r="F4710">
        <f>IFERROR(VLOOKUP($A4710,原始数据_收盘!$A$4:$G$3460,6,0),"")</f>
        <v>2.4447</v>
      </c>
      <c r="G4710">
        <f>IFERROR(VLOOKUP($A4710,原始数据_收盘!$A$4:$G$3460,7,0),"")</f>
        <v>2.8227</v>
      </c>
      <c r="H4710">
        <f>IFERROR(VLOOKUP($A4710,原始数据_利率互换_FR007_1年!$A$6:$C$4395,2,0),"")</f>
        <v>2.4455</v>
      </c>
      <c r="I4710">
        <f>IFERROR(VLOOKUP($A4710,原始数据_利率互换_FR007_1年!$A$6:$C$4395,3,0),"")</f>
        <v>2.8252</v>
      </c>
    </row>
    <row r="4711" spans="1:9">
      <c r="A4711" s="6">
        <v>44204</v>
      </c>
      <c r="B4711">
        <f>IFERROR(VLOOKUP($A4711,原始数据_收盘!$A$4:$G$3460,2,0),"")</f>
        <v>2.4574</v>
      </c>
      <c r="C4711">
        <f>IFERROR(VLOOKUP($A4711,原始数据_收盘!$A$4:$G$3460,3,0),"")</f>
        <v>2.835</v>
      </c>
      <c r="D4711">
        <f>IFERROR(VLOOKUP($A4711,原始数据_收盘!$A$4:$G$3460,4,0),"")</f>
        <v>2.4603</v>
      </c>
      <c r="E4711">
        <f>IFERROR(VLOOKUP($A4711,原始数据_收盘!$A$4:$G$3460,5,0),"")</f>
        <v>2.84</v>
      </c>
      <c r="F4711">
        <f>IFERROR(VLOOKUP($A4711,原始数据_收盘!$A$4:$G$3460,6,0),"")</f>
        <v>2.4589</v>
      </c>
      <c r="G4711">
        <f>IFERROR(VLOOKUP($A4711,原始数据_收盘!$A$4:$G$3460,7,0),"")</f>
        <v>2.8375</v>
      </c>
      <c r="H4711">
        <f>IFERROR(VLOOKUP($A4711,原始数据_利率互换_FR007_1年!$A$6:$C$4395,2,0),"")</f>
        <v>2.452</v>
      </c>
      <c r="I4711">
        <f>IFERROR(VLOOKUP($A4711,原始数据_利率互换_FR007_1年!$A$6:$C$4395,3,0),"")</f>
        <v>2.8386</v>
      </c>
    </row>
    <row r="4712" spans="1:9">
      <c r="A4712" s="6">
        <v>44205</v>
      </c>
      <c r="B4712" t="str">
        <f>IFERROR(VLOOKUP($A4712,原始数据_收盘!$A$4:$G$3460,2,0),"")</f>
        <v/>
      </c>
      <c r="C4712" t="str">
        <f>IFERROR(VLOOKUP($A4712,原始数据_收盘!$A$4:$G$3460,3,0),"")</f>
        <v/>
      </c>
      <c r="D4712" t="str">
        <f>IFERROR(VLOOKUP($A4712,原始数据_收盘!$A$4:$G$3460,4,0),"")</f>
        <v/>
      </c>
      <c r="E4712" t="str">
        <f>IFERROR(VLOOKUP($A4712,原始数据_收盘!$A$4:$G$3460,5,0),"")</f>
        <v/>
      </c>
      <c r="F4712" t="str">
        <f>IFERROR(VLOOKUP($A4712,原始数据_收盘!$A$4:$G$3460,6,0),"")</f>
        <v/>
      </c>
      <c r="G4712" t="str">
        <f>IFERROR(VLOOKUP($A4712,原始数据_收盘!$A$4:$G$3460,7,0),"")</f>
        <v/>
      </c>
      <c r="H4712" t="str">
        <f>IFERROR(VLOOKUP($A4712,原始数据_利率互换_FR007_1年!$A$6:$C$4395,2,0),"")</f>
        <v/>
      </c>
      <c r="I4712" t="str">
        <f>IFERROR(VLOOKUP($A4712,原始数据_利率互换_FR007_1年!$A$6:$C$4395,3,0),"")</f>
        <v/>
      </c>
    </row>
    <row r="4713" spans="1:9">
      <c r="A4713" s="6">
        <v>44206</v>
      </c>
      <c r="B4713" t="str">
        <f>IFERROR(VLOOKUP($A4713,原始数据_收盘!$A$4:$G$3460,2,0),"")</f>
        <v/>
      </c>
      <c r="C4713" t="str">
        <f>IFERROR(VLOOKUP($A4713,原始数据_收盘!$A$4:$G$3460,3,0),"")</f>
        <v/>
      </c>
      <c r="D4713" t="str">
        <f>IFERROR(VLOOKUP($A4713,原始数据_收盘!$A$4:$G$3460,4,0),"")</f>
        <v/>
      </c>
      <c r="E4713" t="str">
        <f>IFERROR(VLOOKUP($A4713,原始数据_收盘!$A$4:$G$3460,5,0),"")</f>
        <v/>
      </c>
      <c r="F4713" t="str">
        <f>IFERROR(VLOOKUP($A4713,原始数据_收盘!$A$4:$G$3460,6,0),"")</f>
        <v/>
      </c>
      <c r="G4713" t="str">
        <f>IFERROR(VLOOKUP($A4713,原始数据_收盘!$A$4:$G$3460,7,0),"")</f>
        <v/>
      </c>
      <c r="H4713" t="str">
        <f>IFERROR(VLOOKUP($A4713,原始数据_利率互换_FR007_1年!$A$6:$C$4395,2,0),"")</f>
        <v/>
      </c>
      <c r="I4713" t="str">
        <f>IFERROR(VLOOKUP($A4713,原始数据_利率互换_FR007_1年!$A$6:$C$4395,3,0),"")</f>
        <v/>
      </c>
    </row>
    <row r="4714" spans="1:9">
      <c r="A4714" s="6">
        <v>44207</v>
      </c>
      <c r="B4714">
        <f>IFERROR(VLOOKUP($A4714,原始数据_收盘!$A$4:$G$3460,2,0),"")</f>
        <v>2.465</v>
      </c>
      <c r="C4714">
        <f>IFERROR(VLOOKUP($A4714,原始数据_收盘!$A$4:$G$3460,3,0),"")</f>
        <v>2.8525</v>
      </c>
      <c r="D4714">
        <f>IFERROR(VLOOKUP($A4714,原始数据_收盘!$A$4:$G$3460,4,0),"")</f>
        <v>2.4675</v>
      </c>
      <c r="E4714">
        <f>IFERROR(VLOOKUP($A4714,原始数据_收盘!$A$4:$G$3460,5,0),"")</f>
        <v>2.855</v>
      </c>
      <c r="F4714">
        <f>IFERROR(VLOOKUP($A4714,原始数据_收盘!$A$4:$G$3460,6,0),"")</f>
        <v>2.4663</v>
      </c>
      <c r="G4714">
        <f>IFERROR(VLOOKUP($A4714,原始数据_收盘!$A$4:$G$3460,7,0),"")</f>
        <v>2.8538</v>
      </c>
      <c r="H4714">
        <f>IFERROR(VLOOKUP($A4714,原始数据_利率互换_FR007_1年!$A$6:$C$4395,2,0),"")</f>
        <v>2.4741</v>
      </c>
      <c r="I4714">
        <f>IFERROR(VLOOKUP($A4714,原始数据_利率互换_FR007_1年!$A$6:$C$4395,3,0),"")</f>
        <v>2.8643</v>
      </c>
    </row>
    <row r="4715" spans="1:9">
      <c r="A4715" s="6">
        <v>44208</v>
      </c>
      <c r="B4715">
        <f>IFERROR(VLOOKUP($A4715,原始数据_收盘!$A$4:$G$3460,2,0),"")</f>
        <v>2.4375</v>
      </c>
      <c r="C4715">
        <f>IFERROR(VLOOKUP($A4715,原始数据_收盘!$A$4:$G$3460,3,0),"")</f>
        <v>2.825</v>
      </c>
      <c r="D4715">
        <f>IFERROR(VLOOKUP($A4715,原始数据_收盘!$A$4:$G$3460,4,0),"")</f>
        <v>2.4425</v>
      </c>
      <c r="E4715">
        <f>IFERROR(VLOOKUP($A4715,原始数据_收盘!$A$4:$G$3460,5,0),"")</f>
        <v>2.8279</v>
      </c>
      <c r="F4715">
        <f>IFERROR(VLOOKUP($A4715,原始数据_收盘!$A$4:$G$3460,6,0),"")</f>
        <v>2.44</v>
      </c>
      <c r="G4715">
        <f>IFERROR(VLOOKUP($A4715,原始数据_收盘!$A$4:$G$3460,7,0),"")</f>
        <v>2.8265</v>
      </c>
      <c r="H4715">
        <f>IFERROR(VLOOKUP($A4715,原始数据_利率互换_FR007_1年!$A$6:$C$4395,2,0),"")</f>
        <v>2.461</v>
      </c>
      <c r="I4715">
        <f>IFERROR(VLOOKUP($A4715,原始数据_利率互换_FR007_1年!$A$6:$C$4395,3,0),"")</f>
        <v>2.844</v>
      </c>
    </row>
    <row r="4716" spans="1:9">
      <c r="A4716" s="6">
        <v>44209</v>
      </c>
      <c r="B4716">
        <f>IFERROR(VLOOKUP($A4716,原始数据_收盘!$A$4:$G$3460,2,0),"")</f>
        <v>2.41</v>
      </c>
      <c r="C4716">
        <f>IFERROR(VLOOKUP($A4716,原始数据_收盘!$A$4:$G$3460,3,0),"")</f>
        <v>2.785</v>
      </c>
      <c r="D4716">
        <f>IFERROR(VLOOKUP($A4716,原始数据_收盘!$A$4:$G$3460,4,0),"")</f>
        <v>2.415</v>
      </c>
      <c r="E4716">
        <f>IFERROR(VLOOKUP($A4716,原始数据_收盘!$A$4:$G$3460,5,0),"")</f>
        <v>2.788</v>
      </c>
      <c r="F4716">
        <f>IFERROR(VLOOKUP($A4716,原始数据_收盘!$A$4:$G$3460,6,0),"")</f>
        <v>2.4125</v>
      </c>
      <c r="G4716">
        <f>IFERROR(VLOOKUP($A4716,原始数据_收盘!$A$4:$G$3460,7,0),"")</f>
        <v>2.7865</v>
      </c>
      <c r="H4716">
        <f>IFERROR(VLOOKUP($A4716,原始数据_利率互换_FR007_1年!$A$6:$C$4395,2,0),"")</f>
        <v>2.4257</v>
      </c>
      <c r="I4716">
        <f>IFERROR(VLOOKUP($A4716,原始数据_利率互换_FR007_1年!$A$6:$C$4395,3,0),"")</f>
        <v>2.8111</v>
      </c>
    </row>
    <row r="4717" spans="1:9">
      <c r="A4717" s="6">
        <v>44210</v>
      </c>
      <c r="B4717">
        <f>IFERROR(VLOOKUP($A4717,原始数据_收盘!$A$4:$G$3460,2,0),"")</f>
        <v>2.4325</v>
      </c>
      <c r="C4717">
        <f>IFERROR(VLOOKUP($A4717,原始数据_收盘!$A$4:$G$3460,3,0),"")</f>
        <v>2.8025</v>
      </c>
      <c r="D4717">
        <f>IFERROR(VLOOKUP($A4717,原始数据_收盘!$A$4:$G$3460,4,0),"")</f>
        <v>2.4369</v>
      </c>
      <c r="E4717">
        <f>IFERROR(VLOOKUP($A4717,原始数据_收盘!$A$4:$G$3460,5,0),"")</f>
        <v>2.8046</v>
      </c>
      <c r="F4717">
        <f>IFERROR(VLOOKUP($A4717,原始数据_收盘!$A$4:$G$3460,6,0),"")</f>
        <v>2.4347</v>
      </c>
      <c r="G4717">
        <f>IFERROR(VLOOKUP($A4717,原始数据_收盘!$A$4:$G$3460,7,0),"")</f>
        <v>2.8035</v>
      </c>
      <c r="H4717">
        <f>IFERROR(VLOOKUP($A4717,原始数据_利率互换_FR007_1年!$A$6:$C$4395,2,0),"")</f>
        <v>2.4106</v>
      </c>
      <c r="I4717">
        <f>IFERROR(VLOOKUP($A4717,原始数据_利率互换_FR007_1年!$A$6:$C$4395,3,0),"")</f>
        <v>2.7779</v>
      </c>
    </row>
    <row r="4718" spans="1:9">
      <c r="A4718" s="6">
        <v>44211</v>
      </c>
      <c r="B4718">
        <f>IFERROR(VLOOKUP($A4718,原始数据_收盘!$A$4:$G$3460,2,0),"")</f>
        <v>2.4731</v>
      </c>
      <c r="C4718">
        <f>IFERROR(VLOOKUP($A4718,原始数据_收盘!$A$4:$G$3460,3,0),"")</f>
        <v>2.8528</v>
      </c>
      <c r="D4718">
        <f>IFERROR(VLOOKUP($A4718,原始数据_收盘!$A$4:$G$3460,4,0),"")</f>
        <v>2.4772</v>
      </c>
      <c r="E4718">
        <f>IFERROR(VLOOKUP($A4718,原始数据_收盘!$A$4:$G$3460,5,0),"")</f>
        <v>2.8564</v>
      </c>
      <c r="F4718">
        <f>IFERROR(VLOOKUP($A4718,原始数据_收盘!$A$4:$G$3460,6,0),"")</f>
        <v>2.4751</v>
      </c>
      <c r="G4718">
        <f>IFERROR(VLOOKUP($A4718,原始数据_收盘!$A$4:$G$3460,7,0),"")</f>
        <v>2.8546</v>
      </c>
      <c r="H4718">
        <f>IFERROR(VLOOKUP($A4718,原始数据_利率互换_FR007_1年!$A$6:$C$4395,2,0),"")</f>
        <v>2.4594</v>
      </c>
      <c r="I4718">
        <f>IFERROR(VLOOKUP($A4718,原始数据_利率互换_FR007_1年!$A$6:$C$4395,3,0),"")</f>
        <v>2.8295</v>
      </c>
    </row>
    <row r="4719" spans="1:9">
      <c r="A4719" s="6">
        <v>44212</v>
      </c>
      <c r="B4719" t="str">
        <f>IFERROR(VLOOKUP($A4719,原始数据_收盘!$A$4:$G$3460,2,0),"")</f>
        <v/>
      </c>
      <c r="C4719" t="str">
        <f>IFERROR(VLOOKUP($A4719,原始数据_收盘!$A$4:$G$3460,3,0),"")</f>
        <v/>
      </c>
      <c r="D4719" t="str">
        <f>IFERROR(VLOOKUP($A4719,原始数据_收盘!$A$4:$G$3460,4,0),"")</f>
        <v/>
      </c>
      <c r="E4719" t="str">
        <f>IFERROR(VLOOKUP($A4719,原始数据_收盘!$A$4:$G$3460,5,0),"")</f>
        <v/>
      </c>
      <c r="F4719" t="str">
        <f>IFERROR(VLOOKUP($A4719,原始数据_收盘!$A$4:$G$3460,6,0),"")</f>
        <v/>
      </c>
      <c r="G4719" t="str">
        <f>IFERROR(VLOOKUP($A4719,原始数据_收盘!$A$4:$G$3460,7,0),"")</f>
        <v/>
      </c>
      <c r="H4719" t="str">
        <f>IFERROR(VLOOKUP($A4719,原始数据_利率互换_FR007_1年!$A$6:$C$4395,2,0),"")</f>
        <v/>
      </c>
      <c r="I4719" t="str">
        <f>IFERROR(VLOOKUP($A4719,原始数据_利率互换_FR007_1年!$A$6:$C$4395,3,0),"")</f>
        <v/>
      </c>
    </row>
    <row r="4720" spans="1:9">
      <c r="A4720" s="6">
        <v>44213</v>
      </c>
      <c r="B4720" t="str">
        <f>IFERROR(VLOOKUP($A4720,原始数据_收盘!$A$4:$G$3460,2,0),"")</f>
        <v/>
      </c>
      <c r="C4720" t="str">
        <f>IFERROR(VLOOKUP($A4720,原始数据_收盘!$A$4:$G$3460,3,0),"")</f>
        <v/>
      </c>
      <c r="D4720" t="str">
        <f>IFERROR(VLOOKUP($A4720,原始数据_收盘!$A$4:$G$3460,4,0),"")</f>
        <v/>
      </c>
      <c r="E4720" t="str">
        <f>IFERROR(VLOOKUP($A4720,原始数据_收盘!$A$4:$G$3460,5,0),"")</f>
        <v/>
      </c>
      <c r="F4720" t="str">
        <f>IFERROR(VLOOKUP($A4720,原始数据_收盘!$A$4:$G$3460,6,0),"")</f>
        <v/>
      </c>
      <c r="G4720" t="str">
        <f>IFERROR(VLOOKUP($A4720,原始数据_收盘!$A$4:$G$3460,7,0),"")</f>
        <v/>
      </c>
      <c r="H4720" t="str">
        <f>IFERROR(VLOOKUP($A4720,原始数据_利率互换_FR007_1年!$A$6:$C$4395,2,0),"")</f>
        <v/>
      </c>
      <c r="I4720" t="str">
        <f>IFERROR(VLOOKUP($A4720,原始数据_利率互换_FR007_1年!$A$6:$C$4395,3,0),"")</f>
        <v/>
      </c>
    </row>
    <row r="4721" spans="1:9">
      <c r="A4721" s="6">
        <v>44214</v>
      </c>
      <c r="B4721">
        <f>IFERROR(VLOOKUP($A4721,原始数据_收盘!$A$4:$G$3460,2,0),"")</f>
        <v>2.5226</v>
      </c>
      <c r="C4721">
        <f>IFERROR(VLOOKUP($A4721,原始数据_收盘!$A$4:$G$3460,3,0),"")</f>
        <v>2.8909</v>
      </c>
      <c r="D4721">
        <f>IFERROR(VLOOKUP($A4721,原始数据_收盘!$A$4:$G$3460,4,0),"")</f>
        <v>2.5287</v>
      </c>
      <c r="E4721">
        <f>IFERROR(VLOOKUP($A4721,原始数据_收盘!$A$4:$G$3460,5,0),"")</f>
        <v>2.895</v>
      </c>
      <c r="F4721">
        <f>IFERROR(VLOOKUP($A4721,原始数据_收盘!$A$4:$G$3460,6,0),"")</f>
        <v>2.5257</v>
      </c>
      <c r="G4721">
        <f>IFERROR(VLOOKUP($A4721,原始数据_收盘!$A$4:$G$3460,7,0),"")</f>
        <v>2.8929</v>
      </c>
      <c r="H4721">
        <f>IFERROR(VLOOKUP($A4721,原始数据_利率互换_FR007_1年!$A$6:$C$4395,2,0),"")</f>
        <v>2.498</v>
      </c>
      <c r="I4721">
        <f>IFERROR(VLOOKUP($A4721,原始数据_利率互换_FR007_1年!$A$6:$C$4395,3,0),"")</f>
        <v>2.8732</v>
      </c>
    </row>
    <row r="4722" spans="1:9">
      <c r="A4722" s="6">
        <v>44215</v>
      </c>
      <c r="B4722">
        <f>IFERROR(VLOOKUP($A4722,原始数据_收盘!$A$4:$G$3460,2,0),"")</f>
        <v>2.5175</v>
      </c>
      <c r="C4722">
        <f>IFERROR(VLOOKUP($A4722,原始数据_收盘!$A$4:$G$3460,3,0),"")</f>
        <v>2.88</v>
      </c>
      <c r="D4722">
        <f>IFERROR(VLOOKUP($A4722,原始数据_收盘!$A$4:$G$3460,4,0),"")</f>
        <v>2.52</v>
      </c>
      <c r="E4722">
        <f>IFERROR(VLOOKUP($A4722,原始数据_收盘!$A$4:$G$3460,5,0),"")</f>
        <v>2.885</v>
      </c>
      <c r="F4722">
        <f>IFERROR(VLOOKUP($A4722,原始数据_收盘!$A$4:$G$3460,6,0),"")</f>
        <v>2.5188</v>
      </c>
      <c r="G4722">
        <f>IFERROR(VLOOKUP($A4722,原始数据_收盘!$A$4:$G$3460,7,0),"")</f>
        <v>2.8825</v>
      </c>
      <c r="H4722">
        <f>IFERROR(VLOOKUP($A4722,原始数据_利率互换_FR007_1年!$A$6:$C$4395,2,0),"")</f>
        <v>2.5125</v>
      </c>
      <c r="I4722">
        <f>IFERROR(VLOOKUP($A4722,原始数据_利率互换_FR007_1年!$A$6:$C$4395,3,0),"")</f>
        <v>2.8786</v>
      </c>
    </row>
    <row r="4723" spans="1:9">
      <c r="A4723" s="6">
        <v>44216</v>
      </c>
      <c r="B4723">
        <f>IFERROR(VLOOKUP($A4723,原始数据_收盘!$A$4:$G$3460,2,0),"")</f>
        <v>2.4956</v>
      </c>
      <c r="C4723">
        <f>IFERROR(VLOOKUP($A4723,原始数据_收盘!$A$4:$G$3460,3,0),"")</f>
        <v>2.855</v>
      </c>
      <c r="D4723">
        <f>IFERROR(VLOOKUP($A4723,原始数据_收盘!$A$4:$G$3460,4,0),"")</f>
        <v>2.5</v>
      </c>
      <c r="E4723">
        <f>IFERROR(VLOOKUP($A4723,原始数据_收盘!$A$4:$G$3460,5,0),"")</f>
        <v>2.8575</v>
      </c>
      <c r="F4723">
        <f>IFERROR(VLOOKUP($A4723,原始数据_收盘!$A$4:$G$3460,6,0),"")</f>
        <v>2.4978</v>
      </c>
      <c r="G4723">
        <f>IFERROR(VLOOKUP($A4723,原始数据_收盘!$A$4:$G$3460,7,0),"")</f>
        <v>2.8563</v>
      </c>
      <c r="H4723">
        <f>IFERROR(VLOOKUP($A4723,原始数据_利率互换_FR007_1年!$A$6:$C$4395,2,0),"")</f>
        <v>2.505</v>
      </c>
      <c r="I4723">
        <f>IFERROR(VLOOKUP($A4723,原始数据_利率互换_FR007_1年!$A$6:$C$4395,3,0),"")</f>
        <v>2.8643</v>
      </c>
    </row>
    <row r="4724" spans="1:9">
      <c r="A4724" s="6">
        <v>44217</v>
      </c>
      <c r="B4724">
        <f>IFERROR(VLOOKUP($A4724,原始数据_收盘!$A$4:$G$3460,2,0),"")</f>
        <v>2.4742</v>
      </c>
      <c r="C4724">
        <f>IFERROR(VLOOKUP($A4724,原始数据_收盘!$A$4:$G$3460,3,0),"")</f>
        <v>2.8348</v>
      </c>
      <c r="D4724">
        <f>IFERROR(VLOOKUP($A4724,原始数据_收盘!$A$4:$G$3460,4,0),"")</f>
        <v>2.4773</v>
      </c>
      <c r="E4724">
        <f>IFERROR(VLOOKUP($A4724,原始数据_收盘!$A$4:$G$3460,5,0),"")</f>
        <v>2.8376</v>
      </c>
      <c r="F4724">
        <f>IFERROR(VLOOKUP($A4724,原始数据_收盘!$A$4:$G$3460,6,0),"")</f>
        <v>2.4758</v>
      </c>
      <c r="G4724">
        <f>IFERROR(VLOOKUP($A4724,原始数据_收盘!$A$4:$G$3460,7,0),"")</f>
        <v>2.8362</v>
      </c>
      <c r="H4724">
        <f>IFERROR(VLOOKUP($A4724,原始数据_利率互换_FR007_1年!$A$6:$C$4395,2,0),"")</f>
        <v>2.4844</v>
      </c>
      <c r="I4724">
        <f>IFERROR(VLOOKUP($A4724,原始数据_利率互换_FR007_1年!$A$6:$C$4395,3,0),"")</f>
        <v>2.8487</v>
      </c>
    </row>
    <row r="4725" spans="1:9">
      <c r="A4725" s="6">
        <v>44218</v>
      </c>
      <c r="B4725">
        <f>IFERROR(VLOOKUP($A4725,原始数据_收盘!$A$4:$G$3460,2,0),"")</f>
        <v>2.485</v>
      </c>
      <c r="C4725">
        <f>IFERROR(VLOOKUP($A4725,原始数据_收盘!$A$4:$G$3460,3,0),"")</f>
        <v>2.8475</v>
      </c>
      <c r="D4725">
        <f>IFERROR(VLOOKUP($A4725,原始数据_收盘!$A$4:$G$3460,4,0),"")</f>
        <v>2.4879</v>
      </c>
      <c r="E4725">
        <f>IFERROR(VLOOKUP($A4725,原始数据_收盘!$A$4:$G$3460,5,0),"")</f>
        <v>2.85</v>
      </c>
      <c r="F4725">
        <f>IFERROR(VLOOKUP($A4725,原始数据_收盘!$A$4:$G$3460,6,0),"")</f>
        <v>2.4865</v>
      </c>
      <c r="G4725">
        <f>IFERROR(VLOOKUP($A4725,原始数据_收盘!$A$4:$G$3460,7,0),"")</f>
        <v>2.8488</v>
      </c>
      <c r="H4725">
        <f>IFERROR(VLOOKUP($A4725,原始数据_利率互换_FR007_1年!$A$6:$C$4395,2,0),"")</f>
        <v>2.4935</v>
      </c>
      <c r="I4725">
        <f>IFERROR(VLOOKUP($A4725,原始数据_利率互换_FR007_1年!$A$6:$C$4395,3,0),"")</f>
        <v>2.8515</v>
      </c>
    </row>
    <row r="4726" spans="1:9">
      <c r="A4726" s="6">
        <v>44219</v>
      </c>
      <c r="B4726" t="str">
        <f>IFERROR(VLOOKUP($A4726,原始数据_收盘!$A$4:$G$3460,2,0),"")</f>
        <v/>
      </c>
      <c r="C4726" t="str">
        <f>IFERROR(VLOOKUP($A4726,原始数据_收盘!$A$4:$G$3460,3,0),"")</f>
        <v/>
      </c>
      <c r="D4726" t="str">
        <f>IFERROR(VLOOKUP($A4726,原始数据_收盘!$A$4:$G$3460,4,0),"")</f>
        <v/>
      </c>
      <c r="E4726" t="str">
        <f>IFERROR(VLOOKUP($A4726,原始数据_收盘!$A$4:$G$3460,5,0),"")</f>
        <v/>
      </c>
      <c r="F4726" t="str">
        <f>IFERROR(VLOOKUP($A4726,原始数据_收盘!$A$4:$G$3460,6,0),"")</f>
        <v/>
      </c>
      <c r="G4726" t="str">
        <f>IFERROR(VLOOKUP($A4726,原始数据_收盘!$A$4:$G$3460,7,0),"")</f>
        <v/>
      </c>
      <c r="H4726" t="str">
        <f>IFERROR(VLOOKUP($A4726,原始数据_利率互换_FR007_1年!$A$6:$C$4395,2,0),"")</f>
        <v/>
      </c>
      <c r="I4726" t="str">
        <f>IFERROR(VLOOKUP($A4726,原始数据_利率互换_FR007_1年!$A$6:$C$4395,3,0),"")</f>
        <v/>
      </c>
    </row>
    <row r="4727" spans="1:9">
      <c r="A4727" s="6">
        <v>44220</v>
      </c>
      <c r="B4727" t="str">
        <f>IFERROR(VLOOKUP($A4727,原始数据_收盘!$A$4:$G$3460,2,0),"")</f>
        <v/>
      </c>
      <c r="C4727" t="str">
        <f>IFERROR(VLOOKUP($A4727,原始数据_收盘!$A$4:$G$3460,3,0),"")</f>
        <v/>
      </c>
      <c r="D4727" t="str">
        <f>IFERROR(VLOOKUP($A4727,原始数据_收盘!$A$4:$G$3460,4,0),"")</f>
        <v/>
      </c>
      <c r="E4727" t="str">
        <f>IFERROR(VLOOKUP($A4727,原始数据_收盘!$A$4:$G$3460,5,0),"")</f>
        <v/>
      </c>
      <c r="F4727" t="str">
        <f>IFERROR(VLOOKUP($A4727,原始数据_收盘!$A$4:$G$3460,6,0),"")</f>
        <v/>
      </c>
      <c r="G4727" t="str">
        <f>IFERROR(VLOOKUP($A4727,原始数据_收盘!$A$4:$G$3460,7,0),"")</f>
        <v/>
      </c>
      <c r="H4727" t="str">
        <f>IFERROR(VLOOKUP($A4727,原始数据_利率互换_FR007_1年!$A$6:$C$4395,2,0),"")</f>
        <v/>
      </c>
      <c r="I4727" t="str">
        <f>IFERROR(VLOOKUP($A4727,原始数据_利率互换_FR007_1年!$A$6:$C$4395,3,0),"")</f>
        <v/>
      </c>
    </row>
    <row r="4728" spans="1:9">
      <c r="A4728" s="6">
        <v>44221</v>
      </c>
      <c r="B4728">
        <f>IFERROR(VLOOKUP($A4728,原始数据_收盘!$A$4:$G$3460,2,0),"")</f>
        <v>2.5107</v>
      </c>
      <c r="C4728">
        <f>IFERROR(VLOOKUP($A4728,原始数据_收盘!$A$4:$G$3460,3,0),"")</f>
        <v>2.87</v>
      </c>
      <c r="D4728">
        <f>IFERROR(VLOOKUP($A4728,原始数据_收盘!$A$4:$G$3460,4,0),"")</f>
        <v>2.5143</v>
      </c>
      <c r="E4728">
        <f>IFERROR(VLOOKUP($A4728,原始数据_收盘!$A$4:$G$3460,5,0),"")</f>
        <v>2.8725</v>
      </c>
      <c r="F4728">
        <f>IFERROR(VLOOKUP($A4728,原始数据_收盘!$A$4:$G$3460,6,0),"")</f>
        <v>2.5125</v>
      </c>
      <c r="G4728">
        <f>IFERROR(VLOOKUP($A4728,原始数据_收盘!$A$4:$G$3460,7,0),"")</f>
        <v>2.8713</v>
      </c>
      <c r="H4728">
        <f>IFERROR(VLOOKUP($A4728,原始数据_利率互换_FR007_1年!$A$6:$C$4395,2,0),"")</f>
        <v>2.504</v>
      </c>
      <c r="I4728">
        <f>IFERROR(VLOOKUP($A4728,原始数据_利率互换_FR007_1年!$A$6:$C$4395,3,0),"")</f>
        <v>2.8609</v>
      </c>
    </row>
    <row r="4729" spans="1:9">
      <c r="A4729" s="6">
        <v>44222</v>
      </c>
      <c r="B4729">
        <f>IFERROR(VLOOKUP($A4729,原始数据_收盘!$A$4:$G$3460,2,0),"")</f>
        <v>2.5702</v>
      </c>
      <c r="C4729">
        <f>IFERROR(VLOOKUP($A4729,原始数据_收盘!$A$4:$G$3460,3,0),"")</f>
        <v>2.9125</v>
      </c>
      <c r="D4729">
        <f>IFERROR(VLOOKUP($A4729,原始数据_收盘!$A$4:$G$3460,4,0),"")</f>
        <v>2.5744</v>
      </c>
      <c r="E4729">
        <f>IFERROR(VLOOKUP($A4729,原始数据_收盘!$A$4:$G$3460,5,0),"")</f>
        <v>2.9181</v>
      </c>
      <c r="F4729">
        <f>IFERROR(VLOOKUP($A4729,原始数据_收盘!$A$4:$G$3460,6,0),"")</f>
        <v>2.5723</v>
      </c>
      <c r="G4729">
        <f>IFERROR(VLOOKUP($A4729,原始数据_收盘!$A$4:$G$3460,7,0),"")</f>
        <v>2.9153</v>
      </c>
      <c r="H4729">
        <f>IFERROR(VLOOKUP($A4729,原始数据_利率互换_FR007_1年!$A$6:$C$4395,2,0),"")</f>
        <v>2.5747</v>
      </c>
      <c r="I4729">
        <f>IFERROR(VLOOKUP($A4729,原始数据_利率互换_FR007_1年!$A$6:$C$4395,3,0),"")</f>
        <v>2.915</v>
      </c>
    </row>
    <row r="4730" spans="1:9">
      <c r="A4730" s="6">
        <v>44223</v>
      </c>
      <c r="B4730">
        <f>IFERROR(VLOOKUP($A4730,原始数据_收盘!$A$4:$G$3460,2,0),"")</f>
        <v>2.58</v>
      </c>
      <c r="C4730">
        <f>IFERROR(VLOOKUP($A4730,原始数据_收盘!$A$4:$G$3460,3,0),"")</f>
        <v>2.9175</v>
      </c>
      <c r="D4730">
        <f>IFERROR(VLOOKUP($A4730,原始数据_收盘!$A$4:$G$3460,4,0),"")</f>
        <v>2.5841</v>
      </c>
      <c r="E4730">
        <f>IFERROR(VLOOKUP($A4730,原始数据_收盘!$A$4:$G$3460,5,0),"")</f>
        <v>2.9225</v>
      </c>
      <c r="F4730">
        <f>IFERROR(VLOOKUP($A4730,原始数据_收盘!$A$4:$G$3460,6,0),"")</f>
        <v>2.5821</v>
      </c>
      <c r="G4730">
        <f>IFERROR(VLOOKUP($A4730,原始数据_收盘!$A$4:$G$3460,7,0),"")</f>
        <v>2.92</v>
      </c>
      <c r="H4730">
        <f>IFERROR(VLOOKUP($A4730,原始数据_利率互换_FR007_1年!$A$6:$C$4395,2,0),"")</f>
        <v>2.5993</v>
      </c>
      <c r="I4730">
        <f>IFERROR(VLOOKUP($A4730,原始数据_利率互换_FR007_1年!$A$6:$C$4395,3,0),"")</f>
        <v>2.9361</v>
      </c>
    </row>
    <row r="4731" spans="1:9">
      <c r="A4731" s="6">
        <v>44224</v>
      </c>
      <c r="B4731">
        <f>IFERROR(VLOOKUP($A4731,原始数据_收盘!$A$4:$G$3460,2,0),"")</f>
        <v>2.6361</v>
      </c>
      <c r="C4731">
        <f>IFERROR(VLOOKUP($A4731,原始数据_收盘!$A$4:$G$3460,3,0),"")</f>
        <v>2.9625</v>
      </c>
      <c r="D4731">
        <f>IFERROR(VLOOKUP($A4731,原始数据_收盘!$A$4:$G$3460,4,0),"")</f>
        <v>2.6389</v>
      </c>
      <c r="E4731">
        <f>IFERROR(VLOOKUP($A4731,原始数据_收盘!$A$4:$G$3460,5,0),"")</f>
        <v>2.9655</v>
      </c>
      <c r="F4731">
        <f>IFERROR(VLOOKUP($A4731,原始数据_收盘!$A$4:$G$3460,6,0),"")</f>
        <v>2.6375</v>
      </c>
      <c r="G4731">
        <f>IFERROR(VLOOKUP($A4731,原始数据_收盘!$A$4:$G$3460,7,0),"")</f>
        <v>2.964</v>
      </c>
      <c r="H4731">
        <f>IFERROR(VLOOKUP($A4731,原始数据_利率互换_FR007_1年!$A$6:$C$4395,2,0),"")</f>
        <v>2.6251</v>
      </c>
      <c r="I4731">
        <f>IFERROR(VLOOKUP($A4731,原始数据_利率互换_FR007_1年!$A$6:$C$4395,3,0),"")</f>
        <v>2.9552</v>
      </c>
    </row>
    <row r="4732" spans="1:9">
      <c r="A4732" s="6">
        <v>44225</v>
      </c>
      <c r="B4732">
        <f>IFERROR(VLOOKUP($A4732,原始数据_收盘!$A$4:$G$3460,2,0),"")</f>
        <v>2.6236</v>
      </c>
      <c r="C4732">
        <f>IFERROR(VLOOKUP($A4732,原始数据_收盘!$A$4:$G$3460,3,0),"")</f>
        <v>2.9478</v>
      </c>
      <c r="D4732">
        <f>IFERROR(VLOOKUP($A4732,原始数据_收盘!$A$4:$G$3460,4,0),"")</f>
        <v>2.63</v>
      </c>
      <c r="E4732">
        <f>IFERROR(VLOOKUP($A4732,原始数据_收盘!$A$4:$G$3460,5,0),"")</f>
        <v>2.9525</v>
      </c>
      <c r="F4732">
        <f>IFERROR(VLOOKUP($A4732,原始数据_收盘!$A$4:$G$3460,6,0),"")</f>
        <v>2.6268</v>
      </c>
      <c r="G4732">
        <f>IFERROR(VLOOKUP($A4732,原始数据_收盘!$A$4:$G$3460,7,0),"")</f>
        <v>2.9502</v>
      </c>
      <c r="H4732">
        <f>IFERROR(VLOOKUP($A4732,原始数据_利率互换_FR007_1年!$A$6:$C$4395,2,0),"")</f>
        <v>2.6315</v>
      </c>
      <c r="I4732">
        <f>IFERROR(VLOOKUP($A4732,原始数据_利率互换_FR007_1年!$A$6:$C$4395,3,0),"")</f>
        <v>2.9543</v>
      </c>
    </row>
    <row r="4733" spans="1:9">
      <c r="A4733" s="6">
        <v>44226</v>
      </c>
      <c r="B4733" t="str">
        <f>IFERROR(VLOOKUP($A4733,原始数据_收盘!$A$4:$G$3460,2,0),"")</f>
        <v/>
      </c>
      <c r="C4733" t="str">
        <f>IFERROR(VLOOKUP($A4733,原始数据_收盘!$A$4:$G$3460,3,0),"")</f>
        <v/>
      </c>
      <c r="D4733" t="str">
        <f>IFERROR(VLOOKUP($A4733,原始数据_收盘!$A$4:$G$3460,4,0),"")</f>
        <v/>
      </c>
      <c r="E4733" t="str">
        <f>IFERROR(VLOOKUP($A4733,原始数据_收盘!$A$4:$G$3460,5,0),"")</f>
        <v/>
      </c>
      <c r="F4733" t="str">
        <f>IFERROR(VLOOKUP($A4733,原始数据_收盘!$A$4:$G$3460,6,0),"")</f>
        <v/>
      </c>
      <c r="G4733" t="str">
        <f>IFERROR(VLOOKUP($A4733,原始数据_收盘!$A$4:$G$3460,7,0),"")</f>
        <v/>
      </c>
      <c r="H4733" t="str">
        <f>IFERROR(VLOOKUP($A4733,原始数据_利率互换_FR007_1年!$A$6:$C$4395,2,0),"")</f>
        <v/>
      </c>
      <c r="I4733" t="str">
        <f>IFERROR(VLOOKUP($A4733,原始数据_利率互换_FR007_1年!$A$6:$C$4395,3,0),"")</f>
        <v/>
      </c>
    </row>
    <row r="4734" spans="1:9">
      <c r="A4734" s="6">
        <v>44227</v>
      </c>
      <c r="B4734" t="str">
        <f>IFERROR(VLOOKUP($A4734,原始数据_收盘!$A$4:$G$3460,2,0),"")</f>
        <v/>
      </c>
      <c r="C4734" t="str">
        <f>IFERROR(VLOOKUP($A4734,原始数据_收盘!$A$4:$G$3460,3,0),"")</f>
        <v/>
      </c>
      <c r="D4734" t="str">
        <f>IFERROR(VLOOKUP($A4734,原始数据_收盘!$A$4:$G$3460,4,0),"")</f>
        <v/>
      </c>
      <c r="E4734" t="str">
        <f>IFERROR(VLOOKUP($A4734,原始数据_收盘!$A$4:$G$3460,5,0),"")</f>
        <v/>
      </c>
      <c r="F4734" t="str">
        <f>IFERROR(VLOOKUP($A4734,原始数据_收盘!$A$4:$G$3460,6,0),"")</f>
        <v/>
      </c>
      <c r="G4734" t="str">
        <f>IFERROR(VLOOKUP($A4734,原始数据_收盘!$A$4:$G$3460,7,0),"")</f>
        <v/>
      </c>
      <c r="H4734" t="str">
        <f>IFERROR(VLOOKUP($A4734,原始数据_利率互换_FR007_1年!$A$6:$C$4395,2,0),"")</f>
        <v/>
      </c>
      <c r="I4734" t="str">
        <f>IFERROR(VLOOKUP($A4734,原始数据_利率互换_FR007_1年!$A$6:$C$4395,3,0),"")</f>
        <v/>
      </c>
    </row>
    <row r="4735" spans="1:9">
      <c r="A4735" s="6">
        <v>44228</v>
      </c>
      <c r="B4735">
        <f>IFERROR(VLOOKUP($A4735,原始数据_收盘!$A$4:$G$3460,2,0),"")</f>
        <v>2.59</v>
      </c>
      <c r="C4735">
        <f>IFERROR(VLOOKUP($A4735,原始数据_收盘!$A$4:$G$3460,3,0),"")</f>
        <v>2.9299</v>
      </c>
      <c r="D4735">
        <f>IFERROR(VLOOKUP($A4735,原始数据_收盘!$A$4:$G$3460,4,0),"")</f>
        <v>2.5925</v>
      </c>
      <c r="E4735">
        <f>IFERROR(VLOOKUP($A4735,原始数据_收盘!$A$4:$G$3460,5,0),"")</f>
        <v>2.9325</v>
      </c>
      <c r="F4735">
        <f>IFERROR(VLOOKUP($A4735,原始数据_收盘!$A$4:$G$3460,6,0),"")</f>
        <v>2.5913</v>
      </c>
      <c r="G4735">
        <f>IFERROR(VLOOKUP($A4735,原始数据_收盘!$A$4:$G$3460,7,0),"")</f>
        <v>2.9312</v>
      </c>
      <c r="H4735">
        <f>IFERROR(VLOOKUP($A4735,原始数据_利率互换_FR007_1年!$A$6:$C$4395,2,0),"")</f>
        <v>2.6</v>
      </c>
      <c r="I4735">
        <f>IFERROR(VLOOKUP($A4735,原始数据_利率互换_FR007_1年!$A$6:$C$4395,3,0),"")</f>
        <v>2.9362</v>
      </c>
    </row>
    <row r="4736" spans="1:9">
      <c r="A4736" s="6">
        <v>44229</v>
      </c>
      <c r="B4736">
        <f>IFERROR(VLOOKUP($A4736,原始数据_收盘!$A$4:$G$3460,2,0),"")</f>
        <v>2.59</v>
      </c>
      <c r="C4736">
        <f>IFERROR(VLOOKUP($A4736,原始数据_收盘!$A$4:$G$3460,3,0),"")</f>
        <v>2.9425</v>
      </c>
      <c r="D4736">
        <f>IFERROR(VLOOKUP($A4736,原始数据_收盘!$A$4:$G$3460,4,0),"")</f>
        <v>2.595</v>
      </c>
      <c r="E4736">
        <f>IFERROR(VLOOKUP($A4736,原始数据_收盘!$A$4:$G$3460,5,0),"")</f>
        <v>2.9458</v>
      </c>
      <c r="F4736">
        <f>IFERROR(VLOOKUP($A4736,原始数据_收盘!$A$4:$G$3460,6,0),"")</f>
        <v>2.5925</v>
      </c>
      <c r="G4736">
        <f>IFERROR(VLOOKUP($A4736,原始数据_收盘!$A$4:$G$3460,7,0),"")</f>
        <v>2.9442</v>
      </c>
      <c r="H4736">
        <f>IFERROR(VLOOKUP($A4736,原始数据_利率互换_FR007_1年!$A$6:$C$4395,2,0),"")</f>
        <v>2.5818</v>
      </c>
      <c r="I4736">
        <f>IFERROR(VLOOKUP($A4736,原始数据_利率互换_FR007_1年!$A$6:$C$4395,3,0),"")</f>
        <v>2.9331</v>
      </c>
    </row>
    <row r="4737" spans="1:9">
      <c r="A4737" s="6">
        <v>44230</v>
      </c>
      <c r="B4737">
        <f>IFERROR(VLOOKUP($A4737,原始数据_收盘!$A$4:$G$3460,2,0),"")</f>
        <v>2.6577</v>
      </c>
      <c r="C4737">
        <f>IFERROR(VLOOKUP($A4737,原始数据_收盘!$A$4:$G$3460,3,0),"")</f>
        <v>3.0095</v>
      </c>
      <c r="D4737">
        <f>IFERROR(VLOOKUP($A4737,原始数据_收盘!$A$4:$G$3460,4,0),"")</f>
        <v>2.6635</v>
      </c>
      <c r="E4737">
        <f>IFERROR(VLOOKUP($A4737,原始数据_收盘!$A$4:$G$3460,5,0),"")</f>
        <v>3.0127</v>
      </c>
      <c r="F4737">
        <f>IFERROR(VLOOKUP($A4737,原始数据_收盘!$A$4:$G$3460,6,0),"")</f>
        <v>2.6606</v>
      </c>
      <c r="G4737">
        <f>IFERROR(VLOOKUP($A4737,原始数据_收盘!$A$4:$G$3460,7,0),"")</f>
        <v>3.0111</v>
      </c>
      <c r="H4737">
        <f>IFERROR(VLOOKUP($A4737,原始数据_利率互换_FR007_1年!$A$6:$C$4395,2,0),"")</f>
        <v>2.6249</v>
      </c>
      <c r="I4737">
        <f>IFERROR(VLOOKUP($A4737,原始数据_利率互换_FR007_1年!$A$6:$C$4395,3,0),"")</f>
        <v>2.9776</v>
      </c>
    </row>
    <row r="4738" spans="1:9">
      <c r="A4738" s="6">
        <v>44231</v>
      </c>
      <c r="B4738">
        <f>IFERROR(VLOOKUP($A4738,原始数据_收盘!$A$4:$G$3460,2,0),"")</f>
        <v>2.6817</v>
      </c>
      <c r="C4738">
        <f>IFERROR(VLOOKUP($A4738,原始数据_收盘!$A$4:$G$3460,3,0),"")</f>
        <v>3.0356</v>
      </c>
      <c r="D4738">
        <f>IFERROR(VLOOKUP($A4738,原始数据_收盘!$A$4:$G$3460,4,0),"")</f>
        <v>2.6886</v>
      </c>
      <c r="E4738">
        <f>IFERROR(VLOOKUP($A4738,原始数据_收盘!$A$4:$G$3460,5,0),"")</f>
        <v>3.0385</v>
      </c>
      <c r="F4738">
        <f>IFERROR(VLOOKUP($A4738,原始数据_收盘!$A$4:$G$3460,6,0),"")</f>
        <v>2.6852</v>
      </c>
      <c r="G4738">
        <f>IFERROR(VLOOKUP($A4738,原始数据_收盘!$A$4:$G$3460,7,0),"")</f>
        <v>3.037</v>
      </c>
      <c r="H4738">
        <f>IFERROR(VLOOKUP($A4738,原始数据_利率互换_FR007_1年!$A$6:$C$4395,2,0),"")</f>
        <v>2.6764</v>
      </c>
      <c r="I4738">
        <f>IFERROR(VLOOKUP($A4738,原始数据_利率互换_FR007_1年!$A$6:$C$4395,3,0),"")</f>
        <v>3.0251</v>
      </c>
    </row>
    <row r="4739" spans="1:9">
      <c r="A4739" s="6">
        <v>44232</v>
      </c>
      <c r="B4739">
        <f>IFERROR(VLOOKUP($A4739,原始数据_收盘!$A$4:$G$3460,2,0),"")</f>
        <v>2.686</v>
      </c>
      <c r="C4739">
        <f>IFERROR(VLOOKUP($A4739,原始数据_收盘!$A$4:$G$3460,3,0),"")</f>
        <v>3.0465</v>
      </c>
      <c r="D4739">
        <f>IFERROR(VLOOKUP($A4739,原始数据_收盘!$A$4:$G$3460,4,0),"")</f>
        <v>2.689</v>
      </c>
      <c r="E4739">
        <f>IFERROR(VLOOKUP($A4739,原始数据_收盘!$A$4:$G$3460,5,0),"")</f>
        <v>3.0485</v>
      </c>
      <c r="F4739">
        <f>IFERROR(VLOOKUP($A4739,原始数据_收盘!$A$4:$G$3460,6,0),"")</f>
        <v>2.6875</v>
      </c>
      <c r="G4739">
        <f>IFERROR(VLOOKUP($A4739,原始数据_收盘!$A$4:$G$3460,7,0),"")</f>
        <v>3.0475</v>
      </c>
      <c r="H4739">
        <f>IFERROR(VLOOKUP($A4739,原始数据_利率互换_FR007_1年!$A$6:$C$4395,2,0),"")</f>
        <v>2.6846</v>
      </c>
      <c r="I4739">
        <f>IFERROR(VLOOKUP($A4739,原始数据_利率互换_FR007_1年!$A$6:$C$4395,3,0),"")</f>
        <v>3.038</v>
      </c>
    </row>
    <row r="4740" spans="1:9">
      <c r="A4740" s="6">
        <v>44233</v>
      </c>
      <c r="B4740" t="str">
        <f>IFERROR(VLOOKUP($A4740,原始数据_收盘!$A$4:$G$3460,2,0),"")</f>
        <v/>
      </c>
      <c r="C4740" t="str">
        <f>IFERROR(VLOOKUP($A4740,原始数据_收盘!$A$4:$G$3460,3,0),"")</f>
        <v/>
      </c>
      <c r="D4740" t="str">
        <f>IFERROR(VLOOKUP($A4740,原始数据_收盘!$A$4:$G$3460,4,0),"")</f>
        <v/>
      </c>
      <c r="E4740" t="str">
        <f>IFERROR(VLOOKUP($A4740,原始数据_收盘!$A$4:$G$3460,5,0),"")</f>
        <v/>
      </c>
      <c r="F4740" t="str">
        <f>IFERROR(VLOOKUP($A4740,原始数据_收盘!$A$4:$G$3460,6,0),"")</f>
        <v/>
      </c>
      <c r="G4740" t="str">
        <f>IFERROR(VLOOKUP($A4740,原始数据_收盘!$A$4:$G$3460,7,0),"")</f>
        <v/>
      </c>
      <c r="H4740" t="str">
        <f>IFERROR(VLOOKUP($A4740,原始数据_利率互换_FR007_1年!$A$6:$C$4395,2,0),"")</f>
        <v/>
      </c>
      <c r="I4740" t="str">
        <f>IFERROR(VLOOKUP($A4740,原始数据_利率互换_FR007_1年!$A$6:$C$4395,3,0),"")</f>
        <v/>
      </c>
    </row>
    <row r="4741" spans="1:9">
      <c r="A4741" s="6">
        <v>44234</v>
      </c>
      <c r="B4741">
        <f>IFERROR(VLOOKUP($A4741,原始数据_收盘!$A$4:$G$3460,2,0),"")</f>
        <v>2.675</v>
      </c>
      <c r="C4741">
        <f>IFERROR(VLOOKUP($A4741,原始数据_收盘!$A$4:$G$3460,3,0),"")</f>
        <v>3.04</v>
      </c>
      <c r="D4741">
        <f>IFERROR(VLOOKUP($A4741,原始数据_收盘!$A$4:$G$3460,4,0),"")</f>
        <v>2.69</v>
      </c>
      <c r="E4741">
        <f>IFERROR(VLOOKUP($A4741,原始数据_收盘!$A$4:$G$3460,5,0),"")</f>
        <v>3.045</v>
      </c>
      <c r="F4741">
        <f>IFERROR(VLOOKUP($A4741,原始数据_收盘!$A$4:$G$3460,6,0),"")</f>
        <v>2.6825</v>
      </c>
      <c r="G4741">
        <f>IFERROR(VLOOKUP($A4741,原始数据_收盘!$A$4:$G$3460,7,0),"")</f>
        <v>3.0425</v>
      </c>
      <c r="H4741" t="str">
        <f>IFERROR(VLOOKUP($A4741,原始数据_利率互换_FR007_1年!$A$6:$C$4395,2,0),"")</f>
        <v/>
      </c>
      <c r="I4741" t="str">
        <f>IFERROR(VLOOKUP($A4741,原始数据_利率互换_FR007_1年!$A$6:$C$4395,3,0),"")</f>
        <v/>
      </c>
    </row>
    <row r="4742" spans="1:9">
      <c r="A4742" s="6">
        <v>44235</v>
      </c>
      <c r="B4742">
        <f>IFERROR(VLOOKUP($A4742,原始数据_收盘!$A$4:$G$3460,2,0),"")</f>
        <v>2.7038</v>
      </c>
      <c r="C4742">
        <f>IFERROR(VLOOKUP($A4742,原始数据_收盘!$A$4:$G$3460,3,0),"")</f>
        <v>3.0725</v>
      </c>
      <c r="D4742">
        <f>IFERROR(VLOOKUP($A4742,原始数据_收盘!$A$4:$G$3460,4,0),"")</f>
        <v>2.7085</v>
      </c>
      <c r="E4742">
        <f>IFERROR(VLOOKUP($A4742,原始数据_收盘!$A$4:$G$3460,5,0),"")</f>
        <v>3.0787</v>
      </c>
      <c r="F4742">
        <f>IFERROR(VLOOKUP($A4742,原始数据_收盘!$A$4:$G$3460,6,0),"")</f>
        <v>2.7062</v>
      </c>
      <c r="G4742">
        <f>IFERROR(VLOOKUP($A4742,原始数据_收盘!$A$4:$G$3460,7,0),"")</f>
        <v>3.0756</v>
      </c>
      <c r="H4742">
        <f>IFERROR(VLOOKUP($A4742,原始数据_利率互换_FR007_1年!$A$6:$C$4395,2,0),"")</f>
        <v>2.6931</v>
      </c>
      <c r="I4742">
        <f>IFERROR(VLOOKUP($A4742,原始数据_利率互换_FR007_1年!$A$6:$C$4395,3,0),"")</f>
        <v>3.0552</v>
      </c>
    </row>
    <row r="4743" spans="1:9">
      <c r="A4743" s="6">
        <v>44236</v>
      </c>
      <c r="B4743">
        <f>IFERROR(VLOOKUP($A4743,原始数据_收盘!$A$4:$G$3460,2,0),"")</f>
        <v>2.687</v>
      </c>
      <c r="C4743">
        <f>IFERROR(VLOOKUP($A4743,原始数据_收盘!$A$4:$G$3460,3,0),"")</f>
        <v>3.0571</v>
      </c>
      <c r="D4743">
        <f>IFERROR(VLOOKUP($A4743,原始数据_收盘!$A$4:$G$3460,4,0),"")</f>
        <v>2.6891</v>
      </c>
      <c r="E4743">
        <f>IFERROR(VLOOKUP($A4743,原始数据_收盘!$A$4:$G$3460,5,0),"")</f>
        <v>3.0587</v>
      </c>
      <c r="F4743">
        <f>IFERROR(VLOOKUP($A4743,原始数据_收盘!$A$4:$G$3460,6,0),"")</f>
        <v>2.6881</v>
      </c>
      <c r="G4743">
        <f>IFERROR(VLOOKUP($A4743,原始数据_收盘!$A$4:$G$3460,7,0),"")</f>
        <v>3.0579</v>
      </c>
      <c r="H4743">
        <f>IFERROR(VLOOKUP($A4743,原始数据_利率互换_FR007_1年!$A$6:$C$4395,2,0),"")</f>
        <v>2.6853</v>
      </c>
      <c r="I4743">
        <f>IFERROR(VLOOKUP($A4743,原始数据_利率互换_FR007_1年!$A$6:$C$4395,3,0),"")</f>
        <v>3.0549</v>
      </c>
    </row>
    <row r="4744" spans="1:9">
      <c r="A4744" s="6">
        <v>44237</v>
      </c>
      <c r="B4744">
        <f>IFERROR(VLOOKUP($A4744,原始数据_收盘!$A$4:$G$3460,2,0),"")</f>
        <v>2.705</v>
      </c>
      <c r="C4744">
        <f>IFERROR(VLOOKUP($A4744,原始数据_收盘!$A$4:$G$3460,3,0),"")</f>
        <v>3.0771</v>
      </c>
      <c r="D4744">
        <f>IFERROR(VLOOKUP($A4744,原始数据_收盘!$A$4:$G$3460,4,0),"")</f>
        <v>2.715</v>
      </c>
      <c r="E4744">
        <f>IFERROR(VLOOKUP($A4744,原始数据_收盘!$A$4:$G$3460,5,0),"")</f>
        <v>3.0842</v>
      </c>
      <c r="F4744">
        <f>IFERROR(VLOOKUP($A4744,原始数据_收盘!$A$4:$G$3460,6,0),"")</f>
        <v>2.71</v>
      </c>
      <c r="G4744">
        <f>IFERROR(VLOOKUP($A4744,原始数据_收盘!$A$4:$G$3460,7,0),"")</f>
        <v>3.0807</v>
      </c>
      <c r="H4744">
        <f>IFERROR(VLOOKUP($A4744,原始数据_利率互换_FR007_1年!$A$6:$C$4395,2,0),"")</f>
        <v>2.6982</v>
      </c>
      <c r="I4744">
        <f>IFERROR(VLOOKUP($A4744,原始数据_利率互换_FR007_1年!$A$6:$C$4395,3,0),"")</f>
        <v>3.0697</v>
      </c>
    </row>
    <row r="4745" spans="1:9">
      <c r="A4745" s="6">
        <v>44238</v>
      </c>
      <c r="B4745" t="str">
        <f>IFERROR(VLOOKUP($A4745,原始数据_收盘!$A$4:$G$3460,2,0),"")</f>
        <v/>
      </c>
      <c r="C4745" t="str">
        <f>IFERROR(VLOOKUP($A4745,原始数据_收盘!$A$4:$G$3460,3,0),"")</f>
        <v/>
      </c>
      <c r="D4745" t="str">
        <f>IFERROR(VLOOKUP($A4745,原始数据_收盘!$A$4:$G$3460,4,0),"")</f>
        <v/>
      </c>
      <c r="E4745" t="str">
        <f>IFERROR(VLOOKUP($A4745,原始数据_收盘!$A$4:$G$3460,5,0),"")</f>
        <v/>
      </c>
      <c r="F4745" t="str">
        <f>IFERROR(VLOOKUP($A4745,原始数据_收盘!$A$4:$G$3460,6,0),"")</f>
        <v/>
      </c>
      <c r="G4745" t="str">
        <f>IFERROR(VLOOKUP($A4745,原始数据_收盘!$A$4:$G$3460,7,0),"")</f>
        <v/>
      </c>
      <c r="H4745" t="str">
        <f>IFERROR(VLOOKUP($A4745,原始数据_利率互换_FR007_1年!$A$6:$C$4395,2,0),"")</f>
        <v/>
      </c>
      <c r="I4745" t="str">
        <f>IFERROR(VLOOKUP($A4745,原始数据_利率互换_FR007_1年!$A$6:$C$4395,3,0),"")</f>
        <v/>
      </c>
    </row>
    <row r="4746" spans="1:9">
      <c r="A4746" s="6">
        <v>44239</v>
      </c>
      <c r="B4746" t="str">
        <f>IFERROR(VLOOKUP($A4746,原始数据_收盘!$A$4:$G$3460,2,0),"")</f>
        <v/>
      </c>
      <c r="C4746" t="str">
        <f>IFERROR(VLOOKUP($A4746,原始数据_收盘!$A$4:$G$3460,3,0),"")</f>
        <v/>
      </c>
      <c r="D4746" t="str">
        <f>IFERROR(VLOOKUP($A4746,原始数据_收盘!$A$4:$G$3460,4,0),"")</f>
        <v/>
      </c>
      <c r="E4746" t="str">
        <f>IFERROR(VLOOKUP($A4746,原始数据_收盘!$A$4:$G$3460,5,0),"")</f>
        <v/>
      </c>
      <c r="F4746" t="str">
        <f>IFERROR(VLOOKUP($A4746,原始数据_收盘!$A$4:$G$3460,6,0),"")</f>
        <v/>
      </c>
      <c r="G4746" t="str">
        <f>IFERROR(VLOOKUP($A4746,原始数据_收盘!$A$4:$G$3460,7,0),"")</f>
        <v/>
      </c>
      <c r="H4746" t="str">
        <f>IFERROR(VLOOKUP($A4746,原始数据_利率互换_FR007_1年!$A$6:$C$4395,2,0),"")</f>
        <v/>
      </c>
      <c r="I4746" t="str">
        <f>IFERROR(VLOOKUP($A4746,原始数据_利率互换_FR007_1年!$A$6:$C$4395,3,0),"")</f>
        <v/>
      </c>
    </row>
    <row r="4747" spans="1:9">
      <c r="A4747" s="6">
        <v>44240</v>
      </c>
      <c r="B4747" t="str">
        <f>IFERROR(VLOOKUP($A4747,原始数据_收盘!$A$4:$G$3460,2,0),"")</f>
        <v/>
      </c>
      <c r="C4747" t="str">
        <f>IFERROR(VLOOKUP($A4747,原始数据_收盘!$A$4:$G$3460,3,0),"")</f>
        <v/>
      </c>
      <c r="D4747" t="str">
        <f>IFERROR(VLOOKUP($A4747,原始数据_收盘!$A$4:$G$3460,4,0),"")</f>
        <v/>
      </c>
      <c r="E4747" t="str">
        <f>IFERROR(VLOOKUP($A4747,原始数据_收盘!$A$4:$G$3460,5,0),"")</f>
        <v/>
      </c>
      <c r="F4747" t="str">
        <f>IFERROR(VLOOKUP($A4747,原始数据_收盘!$A$4:$G$3460,6,0),"")</f>
        <v/>
      </c>
      <c r="G4747" t="str">
        <f>IFERROR(VLOOKUP($A4747,原始数据_收盘!$A$4:$G$3460,7,0),"")</f>
        <v/>
      </c>
      <c r="H4747" t="str">
        <f>IFERROR(VLOOKUP($A4747,原始数据_利率互换_FR007_1年!$A$6:$C$4395,2,0),"")</f>
        <v/>
      </c>
      <c r="I4747" t="str">
        <f>IFERROR(VLOOKUP($A4747,原始数据_利率互换_FR007_1年!$A$6:$C$4395,3,0),"")</f>
        <v/>
      </c>
    </row>
    <row r="4748" spans="1:9">
      <c r="A4748" s="6">
        <v>44241</v>
      </c>
      <c r="B4748" t="str">
        <f>IFERROR(VLOOKUP($A4748,原始数据_收盘!$A$4:$G$3460,2,0),"")</f>
        <v/>
      </c>
      <c r="C4748" t="str">
        <f>IFERROR(VLOOKUP($A4748,原始数据_收盘!$A$4:$G$3460,3,0),"")</f>
        <v/>
      </c>
      <c r="D4748" t="str">
        <f>IFERROR(VLOOKUP($A4748,原始数据_收盘!$A$4:$G$3460,4,0),"")</f>
        <v/>
      </c>
      <c r="E4748" t="str">
        <f>IFERROR(VLOOKUP($A4748,原始数据_收盘!$A$4:$G$3460,5,0),"")</f>
        <v/>
      </c>
      <c r="F4748" t="str">
        <f>IFERROR(VLOOKUP($A4748,原始数据_收盘!$A$4:$G$3460,6,0),"")</f>
        <v/>
      </c>
      <c r="G4748" t="str">
        <f>IFERROR(VLOOKUP($A4748,原始数据_收盘!$A$4:$G$3460,7,0),"")</f>
        <v/>
      </c>
      <c r="H4748" t="str">
        <f>IFERROR(VLOOKUP($A4748,原始数据_利率互换_FR007_1年!$A$6:$C$4395,2,0),"")</f>
        <v/>
      </c>
      <c r="I4748" t="str">
        <f>IFERROR(VLOOKUP($A4748,原始数据_利率互换_FR007_1年!$A$6:$C$4395,3,0),"")</f>
        <v/>
      </c>
    </row>
    <row r="4749" spans="1:9">
      <c r="A4749" s="6">
        <v>44242</v>
      </c>
      <c r="B4749" t="str">
        <f>IFERROR(VLOOKUP($A4749,原始数据_收盘!$A$4:$G$3460,2,0),"")</f>
        <v/>
      </c>
      <c r="C4749" t="str">
        <f>IFERROR(VLOOKUP($A4749,原始数据_收盘!$A$4:$G$3460,3,0),"")</f>
        <v/>
      </c>
      <c r="D4749" t="str">
        <f>IFERROR(VLOOKUP($A4749,原始数据_收盘!$A$4:$G$3460,4,0),"")</f>
        <v/>
      </c>
      <c r="E4749" t="str">
        <f>IFERROR(VLOOKUP($A4749,原始数据_收盘!$A$4:$G$3460,5,0),"")</f>
        <v/>
      </c>
      <c r="F4749" t="str">
        <f>IFERROR(VLOOKUP($A4749,原始数据_收盘!$A$4:$G$3460,6,0),"")</f>
        <v/>
      </c>
      <c r="G4749" t="str">
        <f>IFERROR(VLOOKUP($A4749,原始数据_收盘!$A$4:$G$3460,7,0),"")</f>
        <v/>
      </c>
      <c r="H4749" t="str">
        <f>IFERROR(VLOOKUP($A4749,原始数据_利率互换_FR007_1年!$A$6:$C$4395,2,0),"")</f>
        <v/>
      </c>
      <c r="I4749" t="str">
        <f>IFERROR(VLOOKUP($A4749,原始数据_利率互换_FR007_1年!$A$6:$C$4395,3,0),"")</f>
        <v/>
      </c>
    </row>
    <row r="4750" spans="1:9">
      <c r="A4750" s="6">
        <v>44243</v>
      </c>
      <c r="B4750" t="str">
        <f>IFERROR(VLOOKUP($A4750,原始数据_收盘!$A$4:$G$3460,2,0),"")</f>
        <v/>
      </c>
      <c r="C4750" t="str">
        <f>IFERROR(VLOOKUP($A4750,原始数据_收盘!$A$4:$G$3460,3,0),"")</f>
        <v/>
      </c>
      <c r="D4750" t="str">
        <f>IFERROR(VLOOKUP($A4750,原始数据_收盘!$A$4:$G$3460,4,0),"")</f>
        <v/>
      </c>
      <c r="E4750" t="str">
        <f>IFERROR(VLOOKUP($A4750,原始数据_收盘!$A$4:$G$3460,5,0),"")</f>
        <v/>
      </c>
      <c r="F4750" t="str">
        <f>IFERROR(VLOOKUP($A4750,原始数据_收盘!$A$4:$G$3460,6,0),"")</f>
        <v/>
      </c>
      <c r="G4750" t="str">
        <f>IFERROR(VLOOKUP($A4750,原始数据_收盘!$A$4:$G$3460,7,0),"")</f>
        <v/>
      </c>
      <c r="H4750" t="str">
        <f>IFERROR(VLOOKUP($A4750,原始数据_利率互换_FR007_1年!$A$6:$C$4395,2,0),"")</f>
        <v/>
      </c>
      <c r="I4750" t="str">
        <f>IFERROR(VLOOKUP($A4750,原始数据_利率互换_FR007_1年!$A$6:$C$4395,3,0),"")</f>
        <v/>
      </c>
    </row>
    <row r="4751" spans="1:9">
      <c r="A4751" s="6">
        <v>44244</v>
      </c>
      <c r="B4751" t="str">
        <f>IFERROR(VLOOKUP($A4751,原始数据_收盘!$A$4:$G$3460,2,0),"")</f>
        <v/>
      </c>
      <c r="C4751" t="str">
        <f>IFERROR(VLOOKUP($A4751,原始数据_收盘!$A$4:$G$3460,3,0),"")</f>
        <v/>
      </c>
      <c r="D4751" t="str">
        <f>IFERROR(VLOOKUP($A4751,原始数据_收盘!$A$4:$G$3460,4,0),"")</f>
        <v/>
      </c>
      <c r="E4751" t="str">
        <f>IFERROR(VLOOKUP($A4751,原始数据_收盘!$A$4:$G$3460,5,0),"")</f>
        <v/>
      </c>
      <c r="F4751" t="str">
        <f>IFERROR(VLOOKUP($A4751,原始数据_收盘!$A$4:$G$3460,6,0),"")</f>
        <v/>
      </c>
      <c r="G4751" t="str">
        <f>IFERROR(VLOOKUP($A4751,原始数据_收盘!$A$4:$G$3460,7,0),"")</f>
        <v/>
      </c>
      <c r="H4751" t="str">
        <f>IFERROR(VLOOKUP($A4751,原始数据_利率互换_FR007_1年!$A$6:$C$4395,2,0),"")</f>
        <v/>
      </c>
      <c r="I4751" t="str">
        <f>IFERROR(VLOOKUP($A4751,原始数据_利率互换_FR007_1年!$A$6:$C$4395,3,0),"")</f>
        <v/>
      </c>
    </row>
    <row r="4752" spans="1:9">
      <c r="A4752" s="6">
        <v>44245</v>
      </c>
      <c r="B4752">
        <f>IFERROR(VLOOKUP($A4752,原始数据_收盘!$A$4:$G$3460,2,0),"")</f>
        <v>2.725</v>
      </c>
      <c r="C4752">
        <f>IFERROR(VLOOKUP($A4752,原始数据_收盘!$A$4:$G$3460,3,0),"")</f>
        <v>3.1125</v>
      </c>
      <c r="D4752">
        <f>IFERROR(VLOOKUP($A4752,原始数据_收盘!$A$4:$G$3460,4,0),"")</f>
        <v>2.7275</v>
      </c>
      <c r="E4752">
        <f>IFERROR(VLOOKUP($A4752,原始数据_收盘!$A$4:$G$3460,5,0),"")</f>
        <v>3.1175</v>
      </c>
      <c r="F4752">
        <f>IFERROR(VLOOKUP($A4752,原始数据_收盘!$A$4:$G$3460,6,0),"")</f>
        <v>2.7263</v>
      </c>
      <c r="G4752">
        <f>IFERROR(VLOOKUP($A4752,原始数据_收盘!$A$4:$G$3460,7,0),"")</f>
        <v>3.115</v>
      </c>
      <c r="H4752">
        <f>IFERROR(VLOOKUP($A4752,原始数据_利率互换_FR007_1年!$A$6:$C$4395,2,0),"")</f>
        <v>2.7391</v>
      </c>
      <c r="I4752">
        <f>IFERROR(VLOOKUP($A4752,原始数据_利率互换_FR007_1年!$A$6:$C$4395,3,0),"")</f>
        <v>3.1301</v>
      </c>
    </row>
    <row r="4753" spans="1:9">
      <c r="A4753" s="6">
        <v>44246</v>
      </c>
      <c r="B4753">
        <f>IFERROR(VLOOKUP($A4753,原始数据_收盘!$A$4:$G$3460,2,0),"")</f>
        <v>2.6875</v>
      </c>
      <c r="C4753">
        <f>IFERROR(VLOOKUP($A4753,原始数据_收盘!$A$4:$G$3460,3,0),"")</f>
        <v>3.075</v>
      </c>
      <c r="D4753">
        <f>IFERROR(VLOOKUP($A4753,原始数据_收盘!$A$4:$G$3460,4,0),"")</f>
        <v>2.69</v>
      </c>
      <c r="E4753">
        <f>IFERROR(VLOOKUP($A4753,原始数据_收盘!$A$4:$G$3460,5,0),"")</f>
        <v>3.0775</v>
      </c>
      <c r="F4753">
        <f>IFERROR(VLOOKUP($A4753,原始数据_收盘!$A$4:$G$3460,6,0),"")</f>
        <v>2.6888</v>
      </c>
      <c r="G4753">
        <f>IFERROR(VLOOKUP($A4753,原始数据_收盘!$A$4:$G$3460,7,0),"")</f>
        <v>3.0763</v>
      </c>
      <c r="H4753">
        <f>IFERROR(VLOOKUP($A4753,原始数据_利率互换_FR007_1年!$A$6:$C$4395,2,0),"")</f>
        <v>2.6919</v>
      </c>
      <c r="I4753">
        <f>IFERROR(VLOOKUP($A4753,原始数据_利率互换_FR007_1年!$A$6:$C$4395,3,0),"")</f>
        <v>3.0817</v>
      </c>
    </row>
    <row r="4754" spans="1:9">
      <c r="A4754" s="6">
        <v>44247</v>
      </c>
      <c r="B4754">
        <f>IFERROR(VLOOKUP($A4754,原始数据_收盘!$A$4:$G$3460,2,0),"")</f>
        <v>2.68</v>
      </c>
      <c r="C4754">
        <f>IFERROR(VLOOKUP($A4754,原始数据_收盘!$A$4:$G$3460,3,0),"")</f>
        <v>3.0696</v>
      </c>
      <c r="D4754">
        <f>IFERROR(VLOOKUP($A4754,原始数据_收盘!$A$4:$G$3460,4,0),"")</f>
        <v>2.685</v>
      </c>
      <c r="E4754">
        <f>IFERROR(VLOOKUP($A4754,原始数据_收盘!$A$4:$G$3460,5,0),"")</f>
        <v>3.0725</v>
      </c>
      <c r="F4754">
        <f>IFERROR(VLOOKUP($A4754,原始数据_收盘!$A$4:$G$3460,6,0),"")</f>
        <v>2.6825</v>
      </c>
      <c r="G4754">
        <f>IFERROR(VLOOKUP($A4754,原始数据_收盘!$A$4:$G$3460,7,0),"")</f>
        <v>3.071</v>
      </c>
      <c r="H4754">
        <f>IFERROR(VLOOKUP($A4754,原始数据_利率互换_FR007_1年!$A$6:$C$4395,2,0),"")</f>
        <v>2.6835</v>
      </c>
      <c r="I4754">
        <f>IFERROR(VLOOKUP($A4754,原始数据_利率互换_FR007_1年!$A$6:$C$4395,3,0),"")</f>
        <v>3.0721</v>
      </c>
    </row>
    <row r="4755" spans="1:9">
      <c r="A4755" s="6">
        <v>44248</v>
      </c>
      <c r="B4755" t="str">
        <f>IFERROR(VLOOKUP($A4755,原始数据_收盘!$A$4:$G$3460,2,0),"")</f>
        <v/>
      </c>
      <c r="C4755" t="str">
        <f>IFERROR(VLOOKUP($A4755,原始数据_收盘!$A$4:$G$3460,3,0),"")</f>
        <v/>
      </c>
      <c r="D4755" t="str">
        <f>IFERROR(VLOOKUP($A4755,原始数据_收盘!$A$4:$G$3460,4,0),"")</f>
        <v/>
      </c>
      <c r="E4755" t="str">
        <f>IFERROR(VLOOKUP($A4755,原始数据_收盘!$A$4:$G$3460,5,0),"")</f>
        <v/>
      </c>
      <c r="F4755" t="str">
        <f>IFERROR(VLOOKUP($A4755,原始数据_收盘!$A$4:$G$3460,6,0),"")</f>
        <v/>
      </c>
      <c r="G4755" t="str">
        <f>IFERROR(VLOOKUP($A4755,原始数据_收盘!$A$4:$G$3460,7,0),"")</f>
        <v/>
      </c>
      <c r="H4755" t="str">
        <f>IFERROR(VLOOKUP($A4755,原始数据_利率互换_FR007_1年!$A$6:$C$4395,2,0),"")</f>
        <v/>
      </c>
      <c r="I4755" t="str">
        <f>IFERROR(VLOOKUP($A4755,原始数据_利率互换_FR007_1年!$A$6:$C$4395,3,0),"")</f>
        <v/>
      </c>
    </row>
    <row r="4756" spans="1:9">
      <c r="A4756" s="6">
        <v>44249</v>
      </c>
      <c r="B4756">
        <f>IFERROR(VLOOKUP($A4756,原始数据_收盘!$A$4:$G$3460,2,0),"")</f>
        <v>2.6925</v>
      </c>
      <c r="C4756">
        <f>IFERROR(VLOOKUP($A4756,原始数据_收盘!$A$4:$G$3460,3,0),"")</f>
        <v>3.08</v>
      </c>
      <c r="D4756">
        <f>IFERROR(VLOOKUP($A4756,原始数据_收盘!$A$4:$G$3460,4,0),"")</f>
        <v>2.695</v>
      </c>
      <c r="E4756">
        <f>IFERROR(VLOOKUP($A4756,原始数据_收盘!$A$4:$G$3460,5,0),"")</f>
        <v>3.085</v>
      </c>
      <c r="F4756">
        <f>IFERROR(VLOOKUP($A4756,原始数据_收盘!$A$4:$G$3460,6,0),"")</f>
        <v>2.6938</v>
      </c>
      <c r="G4756">
        <f>IFERROR(VLOOKUP($A4756,原始数据_收盘!$A$4:$G$3460,7,0),"")</f>
        <v>3.0825</v>
      </c>
      <c r="H4756">
        <f>IFERROR(VLOOKUP($A4756,原始数据_利率互换_FR007_1年!$A$6:$C$4395,2,0),"")</f>
        <v>2.6958</v>
      </c>
      <c r="I4756">
        <f>IFERROR(VLOOKUP($A4756,原始数据_利率互换_FR007_1年!$A$6:$C$4395,3,0),"")</f>
        <v>3.0845</v>
      </c>
    </row>
    <row r="4757" spans="1:9">
      <c r="A4757" s="6">
        <v>44250</v>
      </c>
      <c r="B4757">
        <f>IFERROR(VLOOKUP($A4757,原始数据_收盘!$A$4:$G$3460,2,0),"")</f>
        <v>2.677</v>
      </c>
      <c r="C4757">
        <f>IFERROR(VLOOKUP($A4757,原始数据_收盘!$A$4:$G$3460,3,0),"")</f>
        <v>3.0623</v>
      </c>
      <c r="D4757">
        <f>IFERROR(VLOOKUP($A4757,原始数据_收盘!$A$4:$G$3460,4,0),"")</f>
        <v>2.68</v>
      </c>
      <c r="E4757">
        <f>IFERROR(VLOOKUP($A4757,原始数据_收盘!$A$4:$G$3460,5,0),"")</f>
        <v>3.065</v>
      </c>
      <c r="F4757">
        <f>IFERROR(VLOOKUP($A4757,原始数据_收盘!$A$4:$G$3460,6,0),"")</f>
        <v>2.6785</v>
      </c>
      <c r="G4757">
        <f>IFERROR(VLOOKUP($A4757,原始数据_收盘!$A$4:$G$3460,7,0),"")</f>
        <v>3.0637</v>
      </c>
      <c r="H4757">
        <f>IFERROR(VLOOKUP($A4757,原始数据_利率互换_FR007_1年!$A$6:$C$4395,2,0),"")</f>
        <v>2.6844</v>
      </c>
      <c r="I4757">
        <f>IFERROR(VLOOKUP($A4757,原始数据_利率互换_FR007_1年!$A$6:$C$4395,3,0),"")</f>
        <v>3.0738</v>
      </c>
    </row>
    <row r="4758" spans="1:9">
      <c r="A4758" s="6">
        <v>44251</v>
      </c>
      <c r="B4758">
        <f>IFERROR(VLOOKUP($A4758,原始数据_收盘!$A$4:$G$3460,2,0),"")</f>
        <v>2.6675</v>
      </c>
      <c r="C4758">
        <f>IFERROR(VLOOKUP($A4758,原始数据_收盘!$A$4:$G$3460,3,0),"")</f>
        <v>3.0475</v>
      </c>
      <c r="D4758">
        <f>IFERROR(VLOOKUP($A4758,原始数据_收盘!$A$4:$G$3460,4,0),"")</f>
        <v>2.6725</v>
      </c>
      <c r="E4758">
        <f>IFERROR(VLOOKUP($A4758,原始数据_收盘!$A$4:$G$3460,5,0),"")</f>
        <v>3.0505</v>
      </c>
      <c r="F4758">
        <f>IFERROR(VLOOKUP($A4758,原始数据_收盘!$A$4:$G$3460,6,0),"")</f>
        <v>2.67</v>
      </c>
      <c r="G4758">
        <f>IFERROR(VLOOKUP($A4758,原始数据_收盘!$A$4:$G$3460,7,0),"")</f>
        <v>3.049</v>
      </c>
      <c r="H4758">
        <f>IFERROR(VLOOKUP($A4758,原始数据_利率互换_FR007_1年!$A$6:$C$4395,2,0),"")</f>
        <v>2.6629</v>
      </c>
      <c r="I4758">
        <f>IFERROR(VLOOKUP($A4758,原始数据_利率互换_FR007_1年!$A$6:$C$4395,3,0),"")</f>
        <v>3.042</v>
      </c>
    </row>
    <row r="4759" spans="1:9">
      <c r="A4759" s="6">
        <v>44252</v>
      </c>
      <c r="B4759">
        <f>IFERROR(VLOOKUP($A4759,原始数据_收盘!$A$4:$G$3460,2,0),"")</f>
        <v>2.6725</v>
      </c>
      <c r="C4759">
        <f>IFERROR(VLOOKUP($A4759,原始数据_收盘!$A$4:$G$3460,3,0),"")</f>
        <v>3.0599</v>
      </c>
      <c r="D4759">
        <f>IFERROR(VLOOKUP($A4759,原始数据_收盘!$A$4:$G$3460,4,0),"")</f>
        <v>2.6775</v>
      </c>
      <c r="E4759">
        <f>IFERROR(VLOOKUP($A4759,原始数据_收盘!$A$4:$G$3460,5,0),"")</f>
        <v>3.0625</v>
      </c>
      <c r="F4759">
        <f>IFERROR(VLOOKUP($A4759,原始数据_收盘!$A$4:$G$3460,6,0),"")</f>
        <v>2.675</v>
      </c>
      <c r="G4759">
        <f>IFERROR(VLOOKUP($A4759,原始数据_收盘!$A$4:$G$3460,7,0),"")</f>
        <v>3.0612</v>
      </c>
      <c r="H4759">
        <f>IFERROR(VLOOKUP($A4759,原始数据_利率互换_FR007_1年!$A$6:$C$4395,2,0),"")</f>
        <v>2.6779</v>
      </c>
      <c r="I4759">
        <f>IFERROR(VLOOKUP($A4759,原始数据_利率互换_FR007_1年!$A$6:$C$4395,3,0),"")</f>
        <v>3.0611</v>
      </c>
    </row>
    <row r="4760" spans="1:9">
      <c r="A4760" s="6">
        <v>44253</v>
      </c>
      <c r="B4760">
        <f>IFERROR(VLOOKUP($A4760,原始数据_收盘!$A$4:$G$3460,2,0),"")</f>
        <v>2.6825</v>
      </c>
      <c r="C4760">
        <f>IFERROR(VLOOKUP($A4760,原始数据_收盘!$A$4:$G$3460,3,0),"")</f>
        <v>3.0775</v>
      </c>
      <c r="D4760">
        <f>IFERROR(VLOOKUP($A4760,原始数据_收盘!$A$4:$G$3460,4,0),"")</f>
        <v>2.69</v>
      </c>
      <c r="E4760">
        <f>IFERROR(VLOOKUP($A4760,原始数据_收盘!$A$4:$G$3460,5,0),"")</f>
        <v>3.08</v>
      </c>
      <c r="F4760">
        <f>IFERROR(VLOOKUP($A4760,原始数据_收盘!$A$4:$G$3460,6,0),"")</f>
        <v>2.6863</v>
      </c>
      <c r="G4760">
        <f>IFERROR(VLOOKUP($A4760,原始数据_收盘!$A$4:$G$3460,7,0),"")</f>
        <v>3.0788</v>
      </c>
      <c r="H4760">
        <f>IFERROR(VLOOKUP($A4760,原始数据_利率互换_FR007_1年!$A$6:$C$4395,2,0),"")</f>
        <v>2.6749</v>
      </c>
      <c r="I4760">
        <f>IFERROR(VLOOKUP($A4760,原始数据_利率互换_FR007_1年!$A$6:$C$4395,3,0),"")</f>
        <v>3.0684</v>
      </c>
    </row>
    <row r="4761" spans="1:9">
      <c r="A4761" s="6">
        <v>44254</v>
      </c>
      <c r="B4761" t="str">
        <f>IFERROR(VLOOKUP($A4761,原始数据_收盘!$A$4:$G$3460,2,0),"")</f>
        <v/>
      </c>
      <c r="C4761" t="str">
        <f>IFERROR(VLOOKUP($A4761,原始数据_收盘!$A$4:$G$3460,3,0),"")</f>
        <v/>
      </c>
      <c r="D4761" t="str">
        <f>IFERROR(VLOOKUP($A4761,原始数据_收盘!$A$4:$G$3460,4,0),"")</f>
        <v/>
      </c>
      <c r="E4761" t="str">
        <f>IFERROR(VLOOKUP($A4761,原始数据_收盘!$A$4:$G$3460,5,0),"")</f>
        <v/>
      </c>
      <c r="F4761" t="str">
        <f>IFERROR(VLOOKUP($A4761,原始数据_收盘!$A$4:$G$3460,6,0),"")</f>
        <v/>
      </c>
      <c r="G4761" t="str">
        <f>IFERROR(VLOOKUP($A4761,原始数据_收盘!$A$4:$G$3460,7,0),"")</f>
        <v/>
      </c>
      <c r="H4761" t="str">
        <f>IFERROR(VLOOKUP($A4761,原始数据_利率互换_FR007_1年!$A$6:$C$4395,2,0),"")</f>
        <v/>
      </c>
      <c r="I4761" t="str">
        <f>IFERROR(VLOOKUP($A4761,原始数据_利率互换_FR007_1年!$A$6:$C$4395,3,0),"")</f>
        <v/>
      </c>
    </row>
    <row r="4762" spans="1:9">
      <c r="A4762" s="6">
        <v>44255</v>
      </c>
      <c r="B4762" t="str">
        <f>IFERROR(VLOOKUP($A4762,原始数据_收盘!$A$4:$G$3460,2,0),"")</f>
        <v/>
      </c>
      <c r="C4762" t="str">
        <f>IFERROR(VLOOKUP($A4762,原始数据_收盘!$A$4:$G$3460,3,0),"")</f>
        <v/>
      </c>
      <c r="D4762" t="str">
        <f>IFERROR(VLOOKUP($A4762,原始数据_收盘!$A$4:$G$3460,4,0),"")</f>
        <v/>
      </c>
      <c r="E4762" t="str">
        <f>IFERROR(VLOOKUP($A4762,原始数据_收盘!$A$4:$G$3460,5,0),"")</f>
        <v/>
      </c>
      <c r="F4762" t="str">
        <f>IFERROR(VLOOKUP($A4762,原始数据_收盘!$A$4:$G$3460,6,0),"")</f>
        <v/>
      </c>
      <c r="G4762" t="str">
        <f>IFERROR(VLOOKUP($A4762,原始数据_收盘!$A$4:$G$3460,7,0),"")</f>
        <v/>
      </c>
      <c r="H4762" t="str">
        <f>IFERROR(VLOOKUP($A4762,原始数据_利率互换_FR007_1年!$A$6:$C$4395,2,0),"")</f>
        <v/>
      </c>
      <c r="I4762" t="str">
        <f>IFERROR(VLOOKUP($A4762,原始数据_利率互换_FR007_1年!$A$6:$C$4395,3,0),"")</f>
        <v/>
      </c>
    </row>
    <row r="4763" spans="1:9">
      <c r="A4763" s="6">
        <v>44256</v>
      </c>
      <c r="B4763">
        <f>IFERROR(VLOOKUP($A4763,原始数据_收盘!$A$4:$G$3460,2,0),"")</f>
        <v>2.6525</v>
      </c>
      <c r="C4763">
        <f>IFERROR(VLOOKUP($A4763,原始数据_收盘!$A$4:$G$3460,3,0),"")</f>
        <v>3.0275</v>
      </c>
      <c r="D4763">
        <f>IFERROR(VLOOKUP($A4763,原始数据_收盘!$A$4:$G$3460,4,0),"")</f>
        <v>2.6554</v>
      </c>
      <c r="E4763">
        <f>IFERROR(VLOOKUP($A4763,原始数据_收盘!$A$4:$G$3460,5,0),"")</f>
        <v>3.0325</v>
      </c>
      <c r="F4763">
        <f>IFERROR(VLOOKUP($A4763,原始数据_收盘!$A$4:$G$3460,6,0),"")</f>
        <v>2.654</v>
      </c>
      <c r="G4763">
        <f>IFERROR(VLOOKUP($A4763,原始数据_收盘!$A$4:$G$3460,7,0),"")</f>
        <v>3.03</v>
      </c>
      <c r="H4763">
        <f>IFERROR(VLOOKUP($A4763,原始数据_利率互换_FR007_1年!$A$6:$C$4395,2,0),"")</f>
        <v>2.6598</v>
      </c>
      <c r="I4763">
        <f>IFERROR(VLOOKUP($A4763,原始数据_利率互换_FR007_1年!$A$6:$C$4395,3,0),"")</f>
        <v>3.0424</v>
      </c>
    </row>
    <row r="4764" spans="1:9">
      <c r="A4764" s="6">
        <v>44257</v>
      </c>
      <c r="B4764">
        <f>IFERROR(VLOOKUP($A4764,原始数据_收盘!$A$4:$G$3460,2,0),"")</f>
        <v>2.6513</v>
      </c>
      <c r="C4764">
        <f>IFERROR(VLOOKUP($A4764,原始数据_收盘!$A$4:$G$3460,3,0),"")</f>
        <v>3.03</v>
      </c>
      <c r="D4764">
        <f>IFERROR(VLOOKUP($A4764,原始数据_收盘!$A$4:$G$3460,4,0),"")</f>
        <v>2.655</v>
      </c>
      <c r="E4764">
        <f>IFERROR(VLOOKUP($A4764,原始数据_收盘!$A$4:$G$3460,5,0),"")</f>
        <v>3.035</v>
      </c>
      <c r="F4764">
        <f>IFERROR(VLOOKUP($A4764,原始数据_收盘!$A$4:$G$3460,6,0),"")</f>
        <v>2.6532</v>
      </c>
      <c r="G4764">
        <f>IFERROR(VLOOKUP($A4764,原始数据_收盘!$A$4:$G$3460,7,0),"")</f>
        <v>3.0325</v>
      </c>
      <c r="H4764">
        <f>IFERROR(VLOOKUP($A4764,原始数据_利率互换_FR007_1年!$A$6:$C$4395,2,0),"")</f>
        <v>2.644</v>
      </c>
      <c r="I4764">
        <f>IFERROR(VLOOKUP($A4764,原始数据_利率互换_FR007_1年!$A$6:$C$4395,3,0),"")</f>
        <v>3.0075</v>
      </c>
    </row>
    <row r="4765" spans="1:9">
      <c r="A4765" s="6">
        <v>44258</v>
      </c>
      <c r="B4765">
        <f>IFERROR(VLOOKUP($A4765,原始数据_收盘!$A$4:$G$3460,2,0),"")</f>
        <v>2.65</v>
      </c>
      <c r="C4765">
        <f>IFERROR(VLOOKUP($A4765,原始数据_收盘!$A$4:$G$3460,3,0),"")</f>
        <v>3.03</v>
      </c>
      <c r="D4765">
        <f>IFERROR(VLOOKUP($A4765,原始数据_收盘!$A$4:$G$3460,4,0),"")</f>
        <v>2.6526</v>
      </c>
      <c r="E4765">
        <f>IFERROR(VLOOKUP($A4765,原始数据_收盘!$A$4:$G$3460,5,0),"")</f>
        <v>3.035</v>
      </c>
      <c r="F4765">
        <f>IFERROR(VLOOKUP($A4765,原始数据_收盘!$A$4:$G$3460,6,0),"")</f>
        <v>2.6513</v>
      </c>
      <c r="G4765">
        <f>IFERROR(VLOOKUP($A4765,原始数据_收盘!$A$4:$G$3460,7,0),"")</f>
        <v>3.0325</v>
      </c>
      <c r="H4765">
        <f>IFERROR(VLOOKUP($A4765,原始数据_利率互换_FR007_1年!$A$6:$C$4395,2,0),"")</f>
        <v>2.6467</v>
      </c>
      <c r="I4765">
        <f>IFERROR(VLOOKUP($A4765,原始数据_利率互换_FR007_1年!$A$6:$C$4395,3,0),"")</f>
        <v>3.0262</v>
      </c>
    </row>
    <row r="4766" spans="1:9">
      <c r="A4766" s="6">
        <v>44259</v>
      </c>
      <c r="B4766">
        <f>IFERROR(VLOOKUP($A4766,原始数据_收盘!$A$4:$G$3460,2,0),"")</f>
        <v>2.665</v>
      </c>
      <c r="C4766">
        <f>IFERROR(VLOOKUP($A4766,原始数据_收盘!$A$4:$G$3460,3,0),"")</f>
        <v>3.045</v>
      </c>
      <c r="D4766">
        <f>IFERROR(VLOOKUP($A4766,原始数据_收盘!$A$4:$G$3460,4,0),"")</f>
        <v>2.6675</v>
      </c>
      <c r="E4766">
        <f>IFERROR(VLOOKUP($A4766,原始数据_收盘!$A$4:$G$3460,5,0),"")</f>
        <v>3.0475</v>
      </c>
      <c r="F4766">
        <f>IFERROR(VLOOKUP($A4766,原始数据_收盘!$A$4:$G$3460,6,0),"")</f>
        <v>2.6663</v>
      </c>
      <c r="G4766">
        <f>IFERROR(VLOOKUP($A4766,原始数据_收盘!$A$4:$G$3460,7,0),"")</f>
        <v>3.0463</v>
      </c>
      <c r="H4766">
        <f>IFERROR(VLOOKUP($A4766,原始数据_利率互换_FR007_1年!$A$6:$C$4395,2,0),"")</f>
        <v>2.6636</v>
      </c>
      <c r="I4766">
        <f>IFERROR(VLOOKUP($A4766,原始数据_利率互换_FR007_1年!$A$6:$C$4395,3,0),"")</f>
        <v>3.0435</v>
      </c>
    </row>
    <row r="4767" spans="1:9">
      <c r="A4767" s="6">
        <v>44260</v>
      </c>
      <c r="B4767">
        <f>IFERROR(VLOOKUP($A4767,原始数据_收盘!$A$4:$G$3460,2,0),"")</f>
        <v>2.6275</v>
      </c>
      <c r="C4767">
        <f>IFERROR(VLOOKUP($A4767,原始数据_收盘!$A$4:$G$3460,3,0),"")</f>
        <v>3.015</v>
      </c>
      <c r="D4767">
        <f>IFERROR(VLOOKUP($A4767,原始数据_收盘!$A$4:$G$3460,4,0),"")</f>
        <v>2.63</v>
      </c>
      <c r="E4767">
        <f>IFERROR(VLOOKUP($A4767,原始数据_收盘!$A$4:$G$3460,5,0),"")</f>
        <v>3.0175</v>
      </c>
      <c r="F4767">
        <f>IFERROR(VLOOKUP($A4767,原始数据_收盘!$A$4:$G$3460,6,0),"")</f>
        <v>2.6288</v>
      </c>
      <c r="G4767">
        <f>IFERROR(VLOOKUP($A4767,原始数据_收盘!$A$4:$G$3460,7,0),"")</f>
        <v>3.0163</v>
      </c>
      <c r="H4767">
        <f>IFERROR(VLOOKUP($A4767,原始数据_利率互换_FR007_1年!$A$6:$C$4395,2,0),"")</f>
        <v>2.643</v>
      </c>
      <c r="I4767">
        <f>IFERROR(VLOOKUP($A4767,原始数据_利率互换_FR007_1年!$A$6:$C$4395,3,0),"")</f>
        <v>3.0322</v>
      </c>
    </row>
    <row r="4768" spans="1:9">
      <c r="A4768" s="6">
        <v>44261</v>
      </c>
      <c r="B4768" t="str">
        <f>IFERROR(VLOOKUP($A4768,原始数据_收盘!$A$4:$G$3460,2,0),"")</f>
        <v/>
      </c>
      <c r="C4768" t="str">
        <f>IFERROR(VLOOKUP($A4768,原始数据_收盘!$A$4:$G$3460,3,0),"")</f>
        <v/>
      </c>
      <c r="D4768" t="str">
        <f>IFERROR(VLOOKUP($A4768,原始数据_收盘!$A$4:$G$3460,4,0),"")</f>
        <v/>
      </c>
      <c r="E4768" t="str">
        <f>IFERROR(VLOOKUP($A4768,原始数据_收盘!$A$4:$G$3460,5,0),"")</f>
        <v/>
      </c>
      <c r="F4768" t="str">
        <f>IFERROR(VLOOKUP($A4768,原始数据_收盘!$A$4:$G$3460,6,0),"")</f>
        <v/>
      </c>
      <c r="G4768" t="str">
        <f>IFERROR(VLOOKUP($A4768,原始数据_收盘!$A$4:$G$3460,7,0),"")</f>
        <v/>
      </c>
      <c r="H4768" t="str">
        <f>IFERROR(VLOOKUP($A4768,原始数据_利率互换_FR007_1年!$A$6:$C$4395,2,0),"")</f>
        <v/>
      </c>
      <c r="I4768" t="str">
        <f>IFERROR(VLOOKUP($A4768,原始数据_利率互换_FR007_1年!$A$6:$C$4395,3,0),"")</f>
        <v/>
      </c>
    </row>
    <row r="4769" spans="1:9">
      <c r="A4769" s="6">
        <v>44262</v>
      </c>
      <c r="B4769" t="str">
        <f>IFERROR(VLOOKUP($A4769,原始数据_收盘!$A$4:$G$3460,2,0),"")</f>
        <v/>
      </c>
      <c r="C4769" t="str">
        <f>IFERROR(VLOOKUP($A4769,原始数据_收盘!$A$4:$G$3460,3,0),"")</f>
        <v/>
      </c>
      <c r="D4769" t="str">
        <f>IFERROR(VLOOKUP($A4769,原始数据_收盘!$A$4:$G$3460,4,0),"")</f>
        <v/>
      </c>
      <c r="E4769" t="str">
        <f>IFERROR(VLOOKUP($A4769,原始数据_收盘!$A$4:$G$3460,5,0),"")</f>
        <v/>
      </c>
      <c r="F4769" t="str">
        <f>IFERROR(VLOOKUP($A4769,原始数据_收盘!$A$4:$G$3460,6,0),"")</f>
        <v/>
      </c>
      <c r="G4769" t="str">
        <f>IFERROR(VLOOKUP($A4769,原始数据_收盘!$A$4:$G$3460,7,0),"")</f>
        <v/>
      </c>
      <c r="H4769" t="str">
        <f>IFERROR(VLOOKUP($A4769,原始数据_利率互换_FR007_1年!$A$6:$C$4395,2,0),"")</f>
        <v/>
      </c>
      <c r="I4769" t="str">
        <f>IFERROR(VLOOKUP($A4769,原始数据_利率互换_FR007_1年!$A$6:$C$4395,3,0),"")</f>
        <v/>
      </c>
    </row>
    <row r="4770" spans="1:9">
      <c r="A4770" s="6">
        <v>44263</v>
      </c>
      <c r="B4770">
        <f>IFERROR(VLOOKUP($A4770,原始数据_收盘!$A$4:$G$3460,2,0),"")</f>
        <v>2.6248</v>
      </c>
      <c r="C4770">
        <f>IFERROR(VLOOKUP($A4770,原始数据_收盘!$A$4:$G$3460,3,0),"")</f>
        <v>3.0075</v>
      </c>
      <c r="D4770">
        <f>IFERROR(VLOOKUP($A4770,原始数据_收盘!$A$4:$G$3460,4,0),"")</f>
        <v>2.6314</v>
      </c>
      <c r="E4770">
        <f>IFERROR(VLOOKUP($A4770,原始数据_收盘!$A$4:$G$3460,5,0),"")</f>
        <v>3.0125</v>
      </c>
      <c r="F4770">
        <f>IFERROR(VLOOKUP($A4770,原始数据_收盘!$A$4:$G$3460,6,0),"")</f>
        <v>2.6281</v>
      </c>
      <c r="G4770">
        <f>IFERROR(VLOOKUP($A4770,原始数据_收盘!$A$4:$G$3460,7,0),"")</f>
        <v>3.01</v>
      </c>
      <c r="H4770">
        <f>IFERROR(VLOOKUP($A4770,原始数据_利率互换_FR007_1年!$A$6:$C$4395,2,0),"")</f>
        <v>2.6292</v>
      </c>
      <c r="I4770">
        <f>IFERROR(VLOOKUP($A4770,原始数据_利率互换_FR007_1年!$A$6:$C$4395,3,0),"")</f>
        <v>3.0172</v>
      </c>
    </row>
    <row r="4771" spans="1:9">
      <c r="A4771" s="6">
        <v>44264</v>
      </c>
      <c r="B4771">
        <f>IFERROR(VLOOKUP($A4771,原始数据_收盘!$A$4:$G$3460,2,0),"")</f>
        <v>2.6428</v>
      </c>
      <c r="C4771">
        <f>IFERROR(VLOOKUP($A4771,原始数据_收盘!$A$4:$G$3460,3,0),"")</f>
        <v>3.0325</v>
      </c>
      <c r="D4771">
        <f>IFERROR(VLOOKUP($A4771,原始数据_收盘!$A$4:$G$3460,4,0),"")</f>
        <v>2.6475</v>
      </c>
      <c r="E4771">
        <f>IFERROR(VLOOKUP($A4771,原始数据_收盘!$A$4:$G$3460,5,0),"")</f>
        <v>3.0375</v>
      </c>
      <c r="F4771">
        <f>IFERROR(VLOOKUP($A4771,原始数据_收盘!$A$4:$G$3460,6,0),"")</f>
        <v>2.6452</v>
      </c>
      <c r="G4771">
        <f>IFERROR(VLOOKUP($A4771,原始数据_收盘!$A$4:$G$3460,7,0),"")</f>
        <v>3.035</v>
      </c>
      <c r="H4771">
        <f>IFERROR(VLOOKUP($A4771,原始数据_利率互换_FR007_1年!$A$6:$C$4395,2,0),"")</f>
        <v>2.6447</v>
      </c>
      <c r="I4771">
        <f>IFERROR(VLOOKUP($A4771,原始数据_利率互换_FR007_1年!$A$6:$C$4395,3,0),"")</f>
        <v>3.0304</v>
      </c>
    </row>
    <row r="4772" spans="1:9">
      <c r="A4772" s="6">
        <v>44265</v>
      </c>
      <c r="B4772">
        <f>IFERROR(VLOOKUP($A4772,原始数据_收盘!$A$4:$G$3460,2,0),"")</f>
        <v>2.6275</v>
      </c>
      <c r="C4772">
        <f>IFERROR(VLOOKUP($A4772,原始数据_收盘!$A$4:$G$3460,3,0),"")</f>
        <v>3.015</v>
      </c>
      <c r="D4772">
        <f>IFERROR(VLOOKUP($A4772,原始数据_收盘!$A$4:$G$3460,4,0),"")</f>
        <v>2.63</v>
      </c>
      <c r="E4772">
        <f>IFERROR(VLOOKUP($A4772,原始数据_收盘!$A$4:$G$3460,5,0),"")</f>
        <v>3.0175</v>
      </c>
      <c r="F4772">
        <f>IFERROR(VLOOKUP($A4772,原始数据_收盘!$A$4:$G$3460,6,0),"")</f>
        <v>2.6288</v>
      </c>
      <c r="G4772">
        <f>IFERROR(VLOOKUP($A4772,原始数据_收盘!$A$4:$G$3460,7,0),"")</f>
        <v>3.0163</v>
      </c>
      <c r="H4772">
        <f>IFERROR(VLOOKUP($A4772,原始数据_利率互换_FR007_1年!$A$6:$C$4395,2,0),"")</f>
        <v>2.6364</v>
      </c>
      <c r="I4772">
        <f>IFERROR(VLOOKUP($A4772,原始数据_利率互换_FR007_1年!$A$6:$C$4395,3,0),"")</f>
        <v>3.0253</v>
      </c>
    </row>
    <row r="4773" spans="1:9">
      <c r="A4773" s="6">
        <v>44266</v>
      </c>
      <c r="B4773">
        <f>IFERROR(VLOOKUP($A4773,原始数据_收盘!$A$4:$G$3460,2,0),"")</f>
        <v>2.645</v>
      </c>
      <c r="C4773">
        <f>IFERROR(VLOOKUP($A4773,原始数据_收盘!$A$4:$G$3460,3,0),"")</f>
        <v>3.0325</v>
      </c>
      <c r="D4773">
        <f>IFERROR(VLOOKUP($A4773,原始数据_收盘!$A$4:$G$3460,4,0),"")</f>
        <v>2.6475</v>
      </c>
      <c r="E4773">
        <f>IFERROR(VLOOKUP($A4773,原始数据_收盘!$A$4:$G$3460,5,0),"")</f>
        <v>3.0375</v>
      </c>
      <c r="F4773">
        <f>IFERROR(VLOOKUP($A4773,原始数据_收盘!$A$4:$G$3460,6,0),"")</f>
        <v>2.6463</v>
      </c>
      <c r="G4773">
        <f>IFERROR(VLOOKUP($A4773,原始数据_收盘!$A$4:$G$3460,7,0),"")</f>
        <v>3.035</v>
      </c>
      <c r="H4773">
        <f>IFERROR(VLOOKUP($A4773,原始数据_利率互换_FR007_1年!$A$6:$C$4395,2,0),"")</f>
        <v>2.6435</v>
      </c>
      <c r="I4773">
        <f>IFERROR(VLOOKUP($A4773,原始数据_利率互换_FR007_1年!$A$6:$C$4395,3,0),"")</f>
        <v>3.0309</v>
      </c>
    </row>
    <row r="4774" spans="1:9">
      <c r="A4774" s="6">
        <v>44267</v>
      </c>
      <c r="B4774">
        <f>IFERROR(VLOOKUP($A4774,原始数据_收盘!$A$4:$G$3460,2,0),"")</f>
        <v>2.65</v>
      </c>
      <c r="C4774">
        <f>IFERROR(VLOOKUP($A4774,原始数据_收盘!$A$4:$G$3460,3,0),"")</f>
        <v>3.0413</v>
      </c>
      <c r="D4774">
        <f>IFERROR(VLOOKUP($A4774,原始数据_收盘!$A$4:$G$3460,4,0),"")</f>
        <v>2.655</v>
      </c>
      <c r="E4774">
        <f>IFERROR(VLOOKUP($A4774,原始数据_收盘!$A$4:$G$3460,5,0),"")</f>
        <v>3.045</v>
      </c>
      <c r="F4774">
        <f>IFERROR(VLOOKUP($A4774,原始数据_收盘!$A$4:$G$3460,6,0),"")</f>
        <v>2.6525</v>
      </c>
      <c r="G4774">
        <f>IFERROR(VLOOKUP($A4774,原始数据_收盘!$A$4:$G$3460,7,0),"")</f>
        <v>3.0432</v>
      </c>
      <c r="H4774">
        <f>IFERROR(VLOOKUP($A4774,原始数据_利率互换_FR007_1年!$A$6:$C$4395,2,0),"")</f>
        <v>2.6463</v>
      </c>
      <c r="I4774">
        <f>IFERROR(VLOOKUP($A4774,原始数据_利率互换_FR007_1年!$A$6:$C$4395,3,0),"")</f>
        <v>3.0381</v>
      </c>
    </row>
    <row r="4775" spans="1:9">
      <c r="A4775" s="6">
        <v>44268</v>
      </c>
      <c r="B4775" t="str">
        <f>IFERROR(VLOOKUP($A4775,原始数据_收盘!$A$4:$G$3460,2,0),"")</f>
        <v/>
      </c>
      <c r="C4775" t="str">
        <f>IFERROR(VLOOKUP($A4775,原始数据_收盘!$A$4:$G$3460,3,0),"")</f>
        <v/>
      </c>
      <c r="D4775" t="str">
        <f>IFERROR(VLOOKUP($A4775,原始数据_收盘!$A$4:$G$3460,4,0),"")</f>
        <v/>
      </c>
      <c r="E4775" t="str">
        <f>IFERROR(VLOOKUP($A4775,原始数据_收盘!$A$4:$G$3460,5,0),"")</f>
        <v/>
      </c>
      <c r="F4775" t="str">
        <f>IFERROR(VLOOKUP($A4775,原始数据_收盘!$A$4:$G$3460,6,0),"")</f>
        <v/>
      </c>
      <c r="G4775" t="str">
        <f>IFERROR(VLOOKUP($A4775,原始数据_收盘!$A$4:$G$3460,7,0),"")</f>
        <v/>
      </c>
      <c r="H4775" t="str">
        <f>IFERROR(VLOOKUP($A4775,原始数据_利率互换_FR007_1年!$A$6:$C$4395,2,0),"")</f>
        <v/>
      </c>
      <c r="I4775" t="str">
        <f>IFERROR(VLOOKUP($A4775,原始数据_利率互换_FR007_1年!$A$6:$C$4395,3,0),"")</f>
        <v/>
      </c>
    </row>
    <row r="4776" spans="1:9">
      <c r="A4776" s="6">
        <v>44269</v>
      </c>
      <c r="B4776" t="str">
        <f>IFERROR(VLOOKUP($A4776,原始数据_收盘!$A$4:$G$3460,2,0),"")</f>
        <v/>
      </c>
      <c r="C4776" t="str">
        <f>IFERROR(VLOOKUP($A4776,原始数据_收盘!$A$4:$G$3460,3,0),"")</f>
        <v/>
      </c>
      <c r="D4776" t="str">
        <f>IFERROR(VLOOKUP($A4776,原始数据_收盘!$A$4:$G$3460,4,0),"")</f>
        <v/>
      </c>
      <c r="E4776" t="str">
        <f>IFERROR(VLOOKUP($A4776,原始数据_收盘!$A$4:$G$3460,5,0),"")</f>
        <v/>
      </c>
      <c r="F4776" t="str">
        <f>IFERROR(VLOOKUP($A4776,原始数据_收盘!$A$4:$G$3460,6,0),"")</f>
        <v/>
      </c>
      <c r="G4776" t="str">
        <f>IFERROR(VLOOKUP($A4776,原始数据_收盘!$A$4:$G$3460,7,0),"")</f>
        <v/>
      </c>
      <c r="H4776" t="str">
        <f>IFERROR(VLOOKUP($A4776,原始数据_利率互换_FR007_1年!$A$6:$C$4395,2,0),"")</f>
        <v/>
      </c>
      <c r="I4776" t="str">
        <f>IFERROR(VLOOKUP($A4776,原始数据_利率互换_FR007_1年!$A$6:$C$4395,3,0),"")</f>
        <v/>
      </c>
    </row>
    <row r="4777" spans="1:9">
      <c r="A4777" s="6">
        <v>44270</v>
      </c>
      <c r="B4777">
        <f>IFERROR(VLOOKUP($A4777,原始数据_收盘!$A$4:$G$3460,2,0),"")</f>
        <v>2.6688</v>
      </c>
      <c r="C4777">
        <f>IFERROR(VLOOKUP($A4777,原始数据_收盘!$A$4:$G$3460,3,0),"")</f>
        <v>3.0567</v>
      </c>
      <c r="D4777">
        <f>IFERROR(VLOOKUP($A4777,原始数据_收盘!$A$4:$G$3460,4,0),"")</f>
        <v>2.6713</v>
      </c>
      <c r="E4777">
        <f>IFERROR(VLOOKUP($A4777,原始数据_收盘!$A$4:$G$3460,5,0),"")</f>
        <v>3.0593</v>
      </c>
      <c r="F4777">
        <f>IFERROR(VLOOKUP($A4777,原始数据_收盘!$A$4:$G$3460,6,0),"")</f>
        <v>2.67</v>
      </c>
      <c r="G4777">
        <f>IFERROR(VLOOKUP($A4777,原始数据_收盘!$A$4:$G$3460,7,0),"")</f>
        <v>3.058</v>
      </c>
      <c r="H4777">
        <f>IFERROR(VLOOKUP($A4777,原始数据_利率互换_FR007_1年!$A$6:$C$4395,2,0),"")</f>
        <v>2.6728</v>
      </c>
      <c r="I4777">
        <f>IFERROR(VLOOKUP($A4777,原始数据_利率互换_FR007_1年!$A$6:$C$4395,3,0),"")</f>
        <v>3.0589</v>
      </c>
    </row>
    <row r="4778" spans="1:9">
      <c r="A4778" s="6">
        <v>44271</v>
      </c>
      <c r="B4778">
        <f>IFERROR(VLOOKUP($A4778,原始数据_收盘!$A$4:$G$3460,2,0),"")</f>
        <v>2.66</v>
      </c>
      <c r="C4778">
        <f>IFERROR(VLOOKUP($A4778,原始数据_收盘!$A$4:$G$3460,3,0),"")</f>
        <v>3.0475</v>
      </c>
      <c r="D4778">
        <f>IFERROR(VLOOKUP($A4778,原始数据_收盘!$A$4:$G$3460,4,0),"")</f>
        <v>2.6625</v>
      </c>
      <c r="E4778">
        <f>IFERROR(VLOOKUP($A4778,原始数据_收盘!$A$4:$G$3460,5,0),"")</f>
        <v>3.05</v>
      </c>
      <c r="F4778">
        <f>IFERROR(VLOOKUP($A4778,原始数据_收盘!$A$4:$G$3460,6,0),"")</f>
        <v>2.6613</v>
      </c>
      <c r="G4778">
        <f>IFERROR(VLOOKUP($A4778,原始数据_收盘!$A$4:$G$3460,7,0),"")</f>
        <v>3.0488</v>
      </c>
      <c r="H4778">
        <f>IFERROR(VLOOKUP($A4778,原始数据_利率互换_FR007_1年!$A$6:$C$4395,2,0),"")</f>
        <v>2.6626</v>
      </c>
      <c r="I4778">
        <f>IFERROR(VLOOKUP($A4778,原始数据_利率互换_FR007_1年!$A$6:$C$4395,3,0),"")</f>
        <v>3.0494</v>
      </c>
    </row>
    <row r="4779" spans="1:9">
      <c r="A4779" s="6">
        <v>44272</v>
      </c>
      <c r="B4779">
        <f>IFERROR(VLOOKUP($A4779,原始数据_收盘!$A$4:$G$3460,2,0),"")</f>
        <v>2.645</v>
      </c>
      <c r="C4779">
        <f>IFERROR(VLOOKUP($A4779,原始数据_收盘!$A$4:$G$3460,3,0),"")</f>
        <v>3.035</v>
      </c>
      <c r="D4779">
        <f>IFERROR(VLOOKUP($A4779,原始数据_收盘!$A$4:$G$3460,4,0),"")</f>
        <v>2.6475</v>
      </c>
      <c r="E4779">
        <f>IFERROR(VLOOKUP($A4779,原始数据_收盘!$A$4:$G$3460,5,0),"")</f>
        <v>3.0375</v>
      </c>
      <c r="F4779">
        <f>IFERROR(VLOOKUP($A4779,原始数据_收盘!$A$4:$G$3460,6,0),"")</f>
        <v>2.6463</v>
      </c>
      <c r="G4779">
        <f>IFERROR(VLOOKUP($A4779,原始数据_收盘!$A$4:$G$3460,7,0),"")</f>
        <v>3.0363</v>
      </c>
      <c r="H4779">
        <f>IFERROR(VLOOKUP($A4779,原始数据_利率互换_FR007_1年!$A$6:$C$4395,2,0),"")</f>
        <v>2.6447</v>
      </c>
      <c r="I4779">
        <f>IFERROR(VLOOKUP($A4779,原始数据_利率互换_FR007_1年!$A$6:$C$4395,3,0),"")</f>
        <v>3.0362</v>
      </c>
    </row>
    <row r="4780" spans="1:9">
      <c r="A4780" s="6">
        <v>44273</v>
      </c>
      <c r="B4780">
        <f>IFERROR(VLOOKUP($A4780,原始数据_收盘!$A$4:$G$3460,2,0),"")</f>
        <v>2.6525</v>
      </c>
      <c r="C4780">
        <f>IFERROR(VLOOKUP($A4780,原始数据_收盘!$A$4:$G$3460,3,0),"")</f>
        <v>3.0488</v>
      </c>
      <c r="D4780">
        <f>IFERROR(VLOOKUP($A4780,原始数据_收盘!$A$4:$G$3460,4,0),"")</f>
        <v>2.6554</v>
      </c>
      <c r="E4780">
        <f>IFERROR(VLOOKUP($A4780,原始数据_收盘!$A$4:$G$3460,5,0),"")</f>
        <v>3.0525</v>
      </c>
      <c r="F4780">
        <f>IFERROR(VLOOKUP($A4780,原始数据_收盘!$A$4:$G$3460,6,0),"")</f>
        <v>2.654</v>
      </c>
      <c r="G4780">
        <f>IFERROR(VLOOKUP($A4780,原始数据_收盘!$A$4:$G$3460,7,0),"")</f>
        <v>3.0507</v>
      </c>
      <c r="H4780">
        <f>IFERROR(VLOOKUP($A4780,原始数据_利率互换_FR007_1年!$A$6:$C$4395,2,0),"")</f>
        <v>2.655</v>
      </c>
      <c r="I4780">
        <f>IFERROR(VLOOKUP($A4780,原始数据_利率互换_FR007_1年!$A$6:$C$4395,3,0),"")</f>
        <v>3.0496</v>
      </c>
    </row>
    <row r="4781" spans="1:9">
      <c r="A4781" s="6">
        <v>44274</v>
      </c>
      <c r="B4781">
        <f>IFERROR(VLOOKUP($A4781,原始数据_收盘!$A$4:$G$3460,2,0),"")</f>
        <v>2.63</v>
      </c>
      <c r="C4781">
        <f>IFERROR(VLOOKUP($A4781,原始数据_收盘!$A$4:$G$3460,3,0),"")</f>
        <v>3.0225</v>
      </c>
      <c r="D4781">
        <f>IFERROR(VLOOKUP($A4781,原始数据_收盘!$A$4:$G$3460,4,0),"")</f>
        <v>2.6325</v>
      </c>
      <c r="E4781">
        <f>IFERROR(VLOOKUP($A4781,原始数据_收盘!$A$4:$G$3460,5,0),"")</f>
        <v>3.0266</v>
      </c>
      <c r="F4781">
        <f>IFERROR(VLOOKUP($A4781,原始数据_收盘!$A$4:$G$3460,6,0),"")</f>
        <v>2.6313</v>
      </c>
      <c r="G4781">
        <f>IFERROR(VLOOKUP($A4781,原始数据_收盘!$A$4:$G$3460,7,0),"")</f>
        <v>3.0246</v>
      </c>
      <c r="H4781">
        <f>IFERROR(VLOOKUP($A4781,原始数据_利率互换_FR007_1年!$A$6:$C$4395,2,0),"")</f>
        <v>2.6372</v>
      </c>
      <c r="I4781">
        <f>IFERROR(VLOOKUP($A4781,原始数据_利率互换_FR007_1年!$A$6:$C$4395,3,0),"")</f>
        <v>3.0293</v>
      </c>
    </row>
    <row r="4782" spans="1:9">
      <c r="A4782" s="6">
        <v>44275</v>
      </c>
      <c r="B4782" t="str">
        <f>IFERROR(VLOOKUP($A4782,原始数据_收盘!$A$4:$G$3460,2,0),"")</f>
        <v/>
      </c>
      <c r="C4782" t="str">
        <f>IFERROR(VLOOKUP($A4782,原始数据_收盘!$A$4:$G$3460,3,0),"")</f>
        <v/>
      </c>
      <c r="D4782" t="str">
        <f>IFERROR(VLOOKUP($A4782,原始数据_收盘!$A$4:$G$3460,4,0),"")</f>
        <v/>
      </c>
      <c r="E4782" t="str">
        <f>IFERROR(VLOOKUP($A4782,原始数据_收盘!$A$4:$G$3460,5,0),"")</f>
        <v/>
      </c>
      <c r="F4782" t="str">
        <f>IFERROR(VLOOKUP($A4782,原始数据_收盘!$A$4:$G$3460,6,0),"")</f>
        <v/>
      </c>
      <c r="G4782" t="str">
        <f>IFERROR(VLOOKUP($A4782,原始数据_收盘!$A$4:$G$3460,7,0),"")</f>
        <v/>
      </c>
      <c r="H4782" t="str">
        <f>IFERROR(VLOOKUP($A4782,原始数据_利率互换_FR007_1年!$A$6:$C$4395,2,0),"")</f>
        <v/>
      </c>
      <c r="I4782" t="str">
        <f>IFERROR(VLOOKUP($A4782,原始数据_利率互换_FR007_1年!$A$6:$C$4395,3,0),"")</f>
        <v/>
      </c>
    </row>
    <row r="4783" spans="1:9">
      <c r="A4783" s="6">
        <v>44276</v>
      </c>
      <c r="B4783" t="str">
        <f>IFERROR(VLOOKUP($A4783,原始数据_收盘!$A$4:$G$3460,2,0),"")</f>
        <v/>
      </c>
      <c r="C4783" t="str">
        <f>IFERROR(VLOOKUP($A4783,原始数据_收盘!$A$4:$G$3460,3,0),"")</f>
        <v/>
      </c>
      <c r="D4783" t="str">
        <f>IFERROR(VLOOKUP($A4783,原始数据_收盘!$A$4:$G$3460,4,0),"")</f>
        <v/>
      </c>
      <c r="E4783" t="str">
        <f>IFERROR(VLOOKUP($A4783,原始数据_收盘!$A$4:$G$3460,5,0),"")</f>
        <v/>
      </c>
      <c r="F4783" t="str">
        <f>IFERROR(VLOOKUP($A4783,原始数据_收盘!$A$4:$G$3460,6,0),"")</f>
        <v/>
      </c>
      <c r="G4783" t="str">
        <f>IFERROR(VLOOKUP($A4783,原始数据_收盘!$A$4:$G$3460,7,0),"")</f>
        <v/>
      </c>
      <c r="H4783" t="str">
        <f>IFERROR(VLOOKUP($A4783,原始数据_利率互换_FR007_1年!$A$6:$C$4395,2,0),"")</f>
        <v/>
      </c>
      <c r="I4783" t="str">
        <f>IFERROR(VLOOKUP($A4783,原始数据_利率互换_FR007_1年!$A$6:$C$4395,3,0),"")</f>
        <v/>
      </c>
    </row>
    <row r="4784" spans="1:9">
      <c r="A4784" s="6">
        <v>44277</v>
      </c>
      <c r="B4784">
        <f>IFERROR(VLOOKUP($A4784,原始数据_收盘!$A$4:$G$3460,2,0),"")</f>
        <v>2.6225</v>
      </c>
      <c r="C4784">
        <f>IFERROR(VLOOKUP($A4784,原始数据_收盘!$A$4:$G$3460,3,0),"")</f>
        <v>3.0175</v>
      </c>
      <c r="D4784">
        <f>IFERROR(VLOOKUP($A4784,原始数据_收盘!$A$4:$G$3460,4,0),"")</f>
        <v>2.625</v>
      </c>
      <c r="E4784">
        <f>IFERROR(VLOOKUP($A4784,原始数据_收盘!$A$4:$G$3460,5,0),"")</f>
        <v>3.02</v>
      </c>
      <c r="F4784">
        <f>IFERROR(VLOOKUP($A4784,原始数据_收盘!$A$4:$G$3460,6,0),"")</f>
        <v>2.6238</v>
      </c>
      <c r="G4784">
        <f>IFERROR(VLOOKUP($A4784,原始数据_收盘!$A$4:$G$3460,7,0),"")</f>
        <v>3.0188</v>
      </c>
      <c r="H4784">
        <f>IFERROR(VLOOKUP($A4784,原始数据_利率互换_FR007_1年!$A$6:$C$4395,2,0),"")</f>
        <v>2.6224</v>
      </c>
      <c r="I4784">
        <f>IFERROR(VLOOKUP($A4784,原始数据_利率互换_FR007_1年!$A$6:$C$4395,3,0),"")</f>
        <v>3.0168</v>
      </c>
    </row>
    <row r="4785" spans="1:9">
      <c r="A4785" s="6">
        <v>44278</v>
      </c>
      <c r="B4785">
        <f>IFERROR(VLOOKUP($A4785,原始数据_收盘!$A$4:$G$3460,2,0),"")</f>
        <v>2.6002</v>
      </c>
      <c r="C4785">
        <f>IFERROR(VLOOKUP($A4785,原始数据_收盘!$A$4:$G$3460,3,0),"")</f>
        <v>2.9917</v>
      </c>
      <c r="D4785">
        <f>IFERROR(VLOOKUP($A4785,原始数据_收盘!$A$4:$G$3460,4,0),"")</f>
        <v>2.6034</v>
      </c>
      <c r="E4785">
        <f>IFERROR(VLOOKUP($A4785,原始数据_收盘!$A$4:$G$3460,5,0),"")</f>
        <v>2.9944</v>
      </c>
      <c r="F4785">
        <f>IFERROR(VLOOKUP($A4785,原始数据_收盘!$A$4:$G$3460,6,0),"")</f>
        <v>2.6018</v>
      </c>
      <c r="G4785">
        <f>IFERROR(VLOOKUP($A4785,原始数据_收盘!$A$4:$G$3460,7,0),"")</f>
        <v>2.9931</v>
      </c>
      <c r="H4785">
        <f>IFERROR(VLOOKUP($A4785,原始数据_利率互换_FR007_1年!$A$6:$C$4395,2,0),"")</f>
        <v>2.6177</v>
      </c>
      <c r="I4785">
        <f>IFERROR(VLOOKUP($A4785,原始数据_利率互换_FR007_1年!$A$6:$C$4395,3,0),"")</f>
        <v>3.0112</v>
      </c>
    </row>
    <row r="4786" spans="1:9">
      <c r="A4786" s="6">
        <v>44279</v>
      </c>
      <c r="B4786">
        <f>IFERROR(VLOOKUP($A4786,原始数据_收盘!$A$4:$G$3460,2,0),"")</f>
        <v>2.5707</v>
      </c>
      <c r="C4786">
        <f>IFERROR(VLOOKUP($A4786,原始数据_收盘!$A$4:$G$3460,3,0),"")</f>
        <v>2.95</v>
      </c>
      <c r="D4786">
        <f>IFERROR(VLOOKUP($A4786,原始数据_收盘!$A$4:$G$3460,4,0),"")</f>
        <v>2.5743</v>
      </c>
      <c r="E4786">
        <f>IFERROR(VLOOKUP($A4786,原始数据_收盘!$A$4:$G$3460,5,0),"")</f>
        <v>2.9525</v>
      </c>
      <c r="F4786">
        <f>IFERROR(VLOOKUP($A4786,原始数据_收盘!$A$4:$G$3460,6,0),"")</f>
        <v>2.5725</v>
      </c>
      <c r="G4786">
        <f>IFERROR(VLOOKUP($A4786,原始数据_收盘!$A$4:$G$3460,7,0),"")</f>
        <v>2.9513</v>
      </c>
      <c r="H4786">
        <f>IFERROR(VLOOKUP($A4786,原始数据_利率互换_FR007_1年!$A$6:$C$4395,2,0),"")</f>
        <v>2.5692</v>
      </c>
      <c r="I4786">
        <f>IFERROR(VLOOKUP($A4786,原始数据_利率互换_FR007_1年!$A$6:$C$4395,3,0),"")</f>
        <v>2.9552</v>
      </c>
    </row>
    <row r="4787" spans="1:9">
      <c r="A4787" s="6">
        <v>44280</v>
      </c>
      <c r="B4787">
        <f>IFERROR(VLOOKUP($A4787,原始数据_收盘!$A$4:$G$3460,2,0),"")</f>
        <v>2.5625</v>
      </c>
      <c r="C4787">
        <f>IFERROR(VLOOKUP($A4787,原始数据_收盘!$A$4:$G$3460,3,0),"")</f>
        <v>2.935</v>
      </c>
      <c r="D4787">
        <f>IFERROR(VLOOKUP($A4787,原始数据_收盘!$A$4:$G$3460,4,0),"")</f>
        <v>2.5675</v>
      </c>
      <c r="E4787">
        <f>IFERROR(VLOOKUP($A4787,原始数据_收盘!$A$4:$G$3460,5,0),"")</f>
        <v>2.9375</v>
      </c>
      <c r="F4787">
        <f>IFERROR(VLOOKUP($A4787,原始数据_收盘!$A$4:$G$3460,6,0),"")</f>
        <v>2.565</v>
      </c>
      <c r="G4787">
        <f>IFERROR(VLOOKUP($A4787,原始数据_收盘!$A$4:$G$3460,7,0),"")</f>
        <v>2.9363</v>
      </c>
      <c r="H4787">
        <f>IFERROR(VLOOKUP($A4787,原始数据_利率互换_FR007_1年!$A$6:$C$4395,2,0),"")</f>
        <v>2.5704</v>
      </c>
      <c r="I4787">
        <f>IFERROR(VLOOKUP($A4787,原始数据_利率互换_FR007_1年!$A$6:$C$4395,3,0),"")</f>
        <v>2.9466</v>
      </c>
    </row>
    <row r="4788" spans="1:9">
      <c r="A4788" s="6">
        <v>44281</v>
      </c>
      <c r="B4788">
        <f>IFERROR(VLOOKUP($A4788,原始数据_收盘!$A$4:$G$3460,2,0),"")</f>
        <v>2.5825</v>
      </c>
      <c r="C4788">
        <f>IFERROR(VLOOKUP($A4788,原始数据_收盘!$A$4:$G$3460,3,0),"")</f>
        <v>2.955</v>
      </c>
      <c r="D4788">
        <f>IFERROR(VLOOKUP($A4788,原始数据_收盘!$A$4:$G$3460,4,0),"")</f>
        <v>2.585</v>
      </c>
      <c r="E4788">
        <f>IFERROR(VLOOKUP($A4788,原始数据_收盘!$A$4:$G$3460,5,0),"")</f>
        <v>2.9575</v>
      </c>
      <c r="F4788">
        <f>IFERROR(VLOOKUP($A4788,原始数据_收盘!$A$4:$G$3460,6,0),"")</f>
        <v>2.5838</v>
      </c>
      <c r="G4788">
        <f>IFERROR(VLOOKUP($A4788,原始数据_收盘!$A$4:$G$3460,7,0),"")</f>
        <v>2.9563</v>
      </c>
      <c r="H4788">
        <f>IFERROR(VLOOKUP($A4788,原始数据_利率互换_FR007_1年!$A$6:$C$4395,2,0),"")</f>
        <v>2.5811</v>
      </c>
      <c r="I4788">
        <f>IFERROR(VLOOKUP($A4788,原始数据_利率互换_FR007_1年!$A$6:$C$4395,3,0),"")</f>
        <v>2.9532</v>
      </c>
    </row>
    <row r="4789" spans="1:9">
      <c r="A4789" s="6">
        <v>44282</v>
      </c>
      <c r="B4789" t="str">
        <f>IFERROR(VLOOKUP($A4789,原始数据_收盘!$A$4:$G$3460,2,0),"")</f>
        <v/>
      </c>
      <c r="C4789" t="str">
        <f>IFERROR(VLOOKUP($A4789,原始数据_收盘!$A$4:$G$3460,3,0),"")</f>
        <v/>
      </c>
      <c r="D4789" t="str">
        <f>IFERROR(VLOOKUP($A4789,原始数据_收盘!$A$4:$G$3460,4,0),"")</f>
        <v/>
      </c>
      <c r="E4789" t="str">
        <f>IFERROR(VLOOKUP($A4789,原始数据_收盘!$A$4:$G$3460,5,0),"")</f>
        <v/>
      </c>
      <c r="F4789" t="str">
        <f>IFERROR(VLOOKUP($A4789,原始数据_收盘!$A$4:$G$3460,6,0),"")</f>
        <v/>
      </c>
      <c r="G4789" t="str">
        <f>IFERROR(VLOOKUP($A4789,原始数据_收盘!$A$4:$G$3460,7,0),"")</f>
        <v/>
      </c>
      <c r="H4789" t="str">
        <f>IFERROR(VLOOKUP($A4789,原始数据_利率互换_FR007_1年!$A$6:$C$4395,2,0),"")</f>
        <v/>
      </c>
      <c r="I4789" t="str">
        <f>IFERROR(VLOOKUP($A4789,原始数据_利率互换_FR007_1年!$A$6:$C$4395,3,0),"")</f>
        <v/>
      </c>
    </row>
    <row r="4790" spans="1:9">
      <c r="A4790" s="6">
        <v>44283</v>
      </c>
      <c r="B4790" t="str">
        <f>IFERROR(VLOOKUP($A4790,原始数据_收盘!$A$4:$G$3460,2,0),"")</f>
        <v/>
      </c>
      <c r="C4790" t="str">
        <f>IFERROR(VLOOKUP($A4790,原始数据_收盘!$A$4:$G$3460,3,0),"")</f>
        <v/>
      </c>
      <c r="D4790" t="str">
        <f>IFERROR(VLOOKUP($A4790,原始数据_收盘!$A$4:$G$3460,4,0),"")</f>
        <v/>
      </c>
      <c r="E4790" t="str">
        <f>IFERROR(VLOOKUP($A4790,原始数据_收盘!$A$4:$G$3460,5,0),"")</f>
        <v/>
      </c>
      <c r="F4790" t="str">
        <f>IFERROR(VLOOKUP($A4790,原始数据_收盘!$A$4:$G$3460,6,0),"")</f>
        <v/>
      </c>
      <c r="G4790" t="str">
        <f>IFERROR(VLOOKUP($A4790,原始数据_收盘!$A$4:$G$3460,7,0),"")</f>
        <v/>
      </c>
      <c r="H4790" t="str">
        <f>IFERROR(VLOOKUP($A4790,原始数据_利率互换_FR007_1年!$A$6:$C$4395,2,0),"")</f>
        <v/>
      </c>
      <c r="I4790" t="str">
        <f>IFERROR(VLOOKUP($A4790,原始数据_利率互换_FR007_1年!$A$6:$C$4395,3,0),"")</f>
        <v/>
      </c>
    </row>
    <row r="4791" spans="1:9">
      <c r="A4791" s="6">
        <v>44284</v>
      </c>
      <c r="B4791">
        <f>IFERROR(VLOOKUP($A4791,原始数据_收盘!$A$4:$G$3460,2,0),"")</f>
        <v>2.5775</v>
      </c>
      <c r="C4791">
        <f>IFERROR(VLOOKUP($A4791,原始数据_收盘!$A$4:$G$3460,3,0),"")</f>
        <v>2.9539</v>
      </c>
      <c r="D4791">
        <f>IFERROR(VLOOKUP($A4791,原始数据_收盘!$A$4:$G$3460,4,0),"")</f>
        <v>2.5825</v>
      </c>
      <c r="E4791">
        <f>IFERROR(VLOOKUP($A4791,原始数据_收盘!$A$4:$G$3460,5,0),"")</f>
        <v>2.957</v>
      </c>
      <c r="F4791">
        <f>IFERROR(VLOOKUP($A4791,原始数据_收盘!$A$4:$G$3460,6,0),"")</f>
        <v>2.58</v>
      </c>
      <c r="G4791">
        <f>IFERROR(VLOOKUP($A4791,原始数据_收盘!$A$4:$G$3460,7,0),"")</f>
        <v>2.9554</v>
      </c>
      <c r="H4791">
        <f>IFERROR(VLOOKUP($A4791,原始数据_利率互换_FR007_1年!$A$6:$C$4395,2,0),"")</f>
        <v>2.5888</v>
      </c>
      <c r="I4791">
        <f>IFERROR(VLOOKUP($A4791,原始数据_利率互换_FR007_1年!$A$6:$C$4395,3,0),"")</f>
        <v>2.9669</v>
      </c>
    </row>
    <row r="4792" spans="1:9">
      <c r="A4792" s="6">
        <v>44285</v>
      </c>
      <c r="B4792">
        <f>IFERROR(VLOOKUP($A4792,原始数据_收盘!$A$4:$G$3460,2,0),"")</f>
        <v>2.585</v>
      </c>
      <c r="C4792">
        <f>IFERROR(VLOOKUP($A4792,原始数据_收盘!$A$4:$G$3460,3,0),"")</f>
        <v>2.97</v>
      </c>
      <c r="D4792">
        <f>IFERROR(VLOOKUP($A4792,原始数据_收盘!$A$4:$G$3460,4,0),"")</f>
        <v>2.59</v>
      </c>
      <c r="E4792">
        <f>IFERROR(VLOOKUP($A4792,原始数据_收盘!$A$4:$G$3460,5,0),"")</f>
        <v>2.9725</v>
      </c>
      <c r="F4792">
        <f>IFERROR(VLOOKUP($A4792,原始数据_收盘!$A$4:$G$3460,6,0),"")</f>
        <v>2.5875</v>
      </c>
      <c r="G4792">
        <f>IFERROR(VLOOKUP($A4792,原始数据_收盘!$A$4:$G$3460,7,0),"")</f>
        <v>2.9713</v>
      </c>
      <c r="H4792">
        <f>IFERROR(VLOOKUP($A4792,原始数据_利率互换_FR007_1年!$A$6:$C$4395,2,0),"")</f>
        <v>2.5766</v>
      </c>
      <c r="I4792">
        <f>IFERROR(VLOOKUP($A4792,原始数据_利率互换_FR007_1年!$A$6:$C$4395,3,0),"")</f>
        <v>2.9589</v>
      </c>
    </row>
    <row r="4793" spans="1:9">
      <c r="A4793" s="6">
        <v>44286</v>
      </c>
      <c r="B4793">
        <f>IFERROR(VLOOKUP($A4793,原始数据_收盘!$A$4:$G$3460,2,0),"")</f>
        <v>2.5675</v>
      </c>
      <c r="C4793">
        <f>IFERROR(VLOOKUP($A4793,原始数据_收盘!$A$4:$G$3460,3,0),"")</f>
        <v>2.9475</v>
      </c>
      <c r="D4793">
        <f>IFERROR(VLOOKUP($A4793,原始数据_收盘!$A$4:$G$3460,4,0),"")</f>
        <v>2.57</v>
      </c>
      <c r="E4793">
        <f>IFERROR(VLOOKUP($A4793,原始数据_收盘!$A$4:$G$3460,5,0),"")</f>
        <v>2.95</v>
      </c>
      <c r="F4793">
        <f>IFERROR(VLOOKUP($A4793,原始数据_收盘!$A$4:$G$3460,6,0),"")</f>
        <v>2.5688</v>
      </c>
      <c r="G4793">
        <f>IFERROR(VLOOKUP($A4793,原始数据_收盘!$A$4:$G$3460,7,0),"")</f>
        <v>2.9488</v>
      </c>
      <c r="H4793">
        <f>IFERROR(VLOOKUP($A4793,原始数据_利率互换_FR007_1年!$A$6:$C$4395,2,0),"")</f>
        <v>2.5753</v>
      </c>
      <c r="I4793">
        <f>IFERROR(VLOOKUP($A4793,原始数据_利率互换_FR007_1年!$A$6:$C$4395,3,0),"")</f>
        <v>2.955</v>
      </c>
    </row>
    <row r="4794" spans="1:9">
      <c r="A4794" s="6">
        <v>44287</v>
      </c>
      <c r="B4794">
        <f>IFERROR(VLOOKUP($A4794,原始数据_收盘!$A$4:$G$3460,2,0),"")</f>
        <v>2.5725</v>
      </c>
      <c r="C4794">
        <f>IFERROR(VLOOKUP($A4794,原始数据_收盘!$A$4:$G$3460,3,0),"")</f>
        <v>2.9575</v>
      </c>
      <c r="D4794">
        <f>IFERROR(VLOOKUP($A4794,原始数据_收盘!$A$4:$G$3460,4,0),"")</f>
        <v>2.5775</v>
      </c>
      <c r="E4794">
        <f>IFERROR(VLOOKUP($A4794,原始数据_收盘!$A$4:$G$3460,5,0),"")</f>
        <v>2.96</v>
      </c>
      <c r="F4794">
        <f>IFERROR(VLOOKUP($A4794,原始数据_收盘!$A$4:$G$3460,6,0),"")</f>
        <v>2.575</v>
      </c>
      <c r="G4794">
        <f>IFERROR(VLOOKUP($A4794,原始数据_收盘!$A$4:$G$3460,7,0),"")</f>
        <v>2.9588</v>
      </c>
      <c r="H4794">
        <f>IFERROR(VLOOKUP($A4794,原始数据_利率互换_FR007_1年!$A$6:$C$4395,2,0),"")</f>
        <v>2.5739</v>
      </c>
      <c r="I4794">
        <f>IFERROR(VLOOKUP($A4794,原始数据_利率互换_FR007_1年!$A$6:$C$4395,3,0),"")</f>
        <v>2.9567</v>
      </c>
    </row>
    <row r="4795" spans="1:9">
      <c r="A4795" s="6">
        <v>44288</v>
      </c>
      <c r="B4795">
        <f>IFERROR(VLOOKUP($A4795,原始数据_收盘!$A$4:$G$3460,2,0),"")</f>
        <v>2.5725</v>
      </c>
      <c r="C4795">
        <f>IFERROR(VLOOKUP($A4795,原始数据_收盘!$A$4:$G$3460,3,0),"")</f>
        <v>2.9625</v>
      </c>
      <c r="D4795">
        <f>IFERROR(VLOOKUP($A4795,原始数据_收盘!$A$4:$G$3460,4,0),"")</f>
        <v>2.575</v>
      </c>
      <c r="E4795">
        <f>IFERROR(VLOOKUP($A4795,原始数据_收盘!$A$4:$G$3460,5,0),"")</f>
        <v>2.965</v>
      </c>
      <c r="F4795">
        <f>IFERROR(VLOOKUP($A4795,原始数据_收盘!$A$4:$G$3460,6,0),"")</f>
        <v>2.5738</v>
      </c>
      <c r="G4795">
        <f>IFERROR(VLOOKUP($A4795,原始数据_收盘!$A$4:$G$3460,7,0),"")</f>
        <v>2.9638</v>
      </c>
      <c r="H4795">
        <f>IFERROR(VLOOKUP($A4795,原始数据_利率互换_FR007_1年!$A$6:$C$4395,2,0),"")</f>
        <v>2.568</v>
      </c>
      <c r="I4795">
        <f>IFERROR(VLOOKUP($A4795,原始数据_利率互换_FR007_1年!$A$6:$C$4395,3,0),"")</f>
        <v>2.9566</v>
      </c>
    </row>
    <row r="4796" spans="1:9">
      <c r="A4796" s="6">
        <v>44289</v>
      </c>
      <c r="B4796" t="str">
        <f>IFERROR(VLOOKUP($A4796,原始数据_收盘!$A$4:$G$3460,2,0),"")</f>
        <v/>
      </c>
      <c r="C4796" t="str">
        <f>IFERROR(VLOOKUP($A4796,原始数据_收盘!$A$4:$G$3460,3,0),"")</f>
        <v/>
      </c>
      <c r="D4796" t="str">
        <f>IFERROR(VLOOKUP($A4796,原始数据_收盘!$A$4:$G$3460,4,0),"")</f>
        <v/>
      </c>
      <c r="E4796" t="str">
        <f>IFERROR(VLOOKUP($A4796,原始数据_收盘!$A$4:$G$3460,5,0),"")</f>
        <v/>
      </c>
      <c r="F4796" t="str">
        <f>IFERROR(VLOOKUP($A4796,原始数据_收盘!$A$4:$G$3460,6,0),"")</f>
        <v/>
      </c>
      <c r="G4796" t="str">
        <f>IFERROR(VLOOKUP($A4796,原始数据_收盘!$A$4:$G$3460,7,0),"")</f>
        <v/>
      </c>
      <c r="H4796" t="str">
        <f>IFERROR(VLOOKUP($A4796,原始数据_利率互换_FR007_1年!$A$6:$C$4395,2,0),"")</f>
        <v/>
      </c>
      <c r="I4796" t="str">
        <f>IFERROR(VLOOKUP($A4796,原始数据_利率互换_FR007_1年!$A$6:$C$4395,3,0),"")</f>
        <v/>
      </c>
    </row>
    <row r="4797" spans="1:9">
      <c r="A4797" s="6">
        <v>44290</v>
      </c>
      <c r="B4797" t="str">
        <f>IFERROR(VLOOKUP($A4797,原始数据_收盘!$A$4:$G$3460,2,0),"")</f>
        <v/>
      </c>
      <c r="C4797" t="str">
        <f>IFERROR(VLOOKUP($A4797,原始数据_收盘!$A$4:$G$3460,3,0),"")</f>
        <v/>
      </c>
      <c r="D4797" t="str">
        <f>IFERROR(VLOOKUP($A4797,原始数据_收盘!$A$4:$G$3460,4,0),"")</f>
        <v/>
      </c>
      <c r="E4797" t="str">
        <f>IFERROR(VLOOKUP($A4797,原始数据_收盘!$A$4:$G$3460,5,0),"")</f>
        <v/>
      </c>
      <c r="F4797" t="str">
        <f>IFERROR(VLOOKUP($A4797,原始数据_收盘!$A$4:$G$3460,6,0),"")</f>
        <v/>
      </c>
      <c r="G4797" t="str">
        <f>IFERROR(VLOOKUP($A4797,原始数据_收盘!$A$4:$G$3460,7,0),"")</f>
        <v/>
      </c>
      <c r="H4797" t="str">
        <f>IFERROR(VLOOKUP($A4797,原始数据_利率互换_FR007_1年!$A$6:$C$4395,2,0),"")</f>
        <v/>
      </c>
      <c r="I4797" t="str">
        <f>IFERROR(VLOOKUP($A4797,原始数据_利率互换_FR007_1年!$A$6:$C$4395,3,0),"")</f>
        <v/>
      </c>
    </row>
    <row r="4798" spans="1:9">
      <c r="A4798" s="6">
        <v>44291</v>
      </c>
      <c r="B4798" t="str">
        <f>IFERROR(VLOOKUP($A4798,原始数据_收盘!$A$4:$G$3460,2,0),"")</f>
        <v/>
      </c>
      <c r="C4798" t="str">
        <f>IFERROR(VLOOKUP($A4798,原始数据_收盘!$A$4:$G$3460,3,0),"")</f>
        <v/>
      </c>
      <c r="D4798" t="str">
        <f>IFERROR(VLOOKUP($A4798,原始数据_收盘!$A$4:$G$3460,4,0),"")</f>
        <v/>
      </c>
      <c r="E4798" t="str">
        <f>IFERROR(VLOOKUP($A4798,原始数据_收盘!$A$4:$G$3460,5,0),"")</f>
        <v/>
      </c>
      <c r="F4798" t="str">
        <f>IFERROR(VLOOKUP($A4798,原始数据_收盘!$A$4:$G$3460,6,0),"")</f>
        <v/>
      </c>
      <c r="G4798" t="str">
        <f>IFERROR(VLOOKUP($A4798,原始数据_收盘!$A$4:$G$3460,7,0),"")</f>
        <v/>
      </c>
      <c r="H4798" t="str">
        <f>IFERROR(VLOOKUP($A4798,原始数据_利率互换_FR007_1年!$A$6:$C$4395,2,0),"")</f>
        <v/>
      </c>
      <c r="I4798" t="str">
        <f>IFERROR(VLOOKUP($A4798,原始数据_利率互换_FR007_1年!$A$6:$C$4395,3,0),"")</f>
        <v/>
      </c>
    </row>
    <row r="4799" spans="1:9">
      <c r="A4799" s="6">
        <v>44292</v>
      </c>
      <c r="B4799">
        <f>IFERROR(VLOOKUP($A4799,原始数据_收盘!$A$4:$G$3460,2,0),"")</f>
        <v>2.585</v>
      </c>
      <c r="C4799">
        <f>IFERROR(VLOOKUP($A4799,原始数据_收盘!$A$4:$G$3460,3,0),"")</f>
        <v>2.9775</v>
      </c>
      <c r="D4799">
        <f>IFERROR(VLOOKUP($A4799,原始数据_收盘!$A$4:$G$3460,4,0),"")</f>
        <v>2.59</v>
      </c>
      <c r="E4799">
        <f>IFERROR(VLOOKUP($A4799,原始数据_收盘!$A$4:$G$3460,5,0),"")</f>
        <v>2.9801</v>
      </c>
      <c r="F4799">
        <f>IFERROR(VLOOKUP($A4799,原始数据_收盘!$A$4:$G$3460,6,0),"")</f>
        <v>2.5875</v>
      </c>
      <c r="G4799">
        <f>IFERROR(VLOOKUP($A4799,原始数据_收盘!$A$4:$G$3460,7,0),"")</f>
        <v>2.9788</v>
      </c>
      <c r="H4799">
        <f>IFERROR(VLOOKUP($A4799,原始数据_利率互换_FR007_1年!$A$6:$C$4395,2,0),"")</f>
        <v>2.5851</v>
      </c>
      <c r="I4799">
        <f>IFERROR(VLOOKUP($A4799,原始数据_利率互换_FR007_1年!$A$6:$C$4395,3,0),"")</f>
        <v>2.9743</v>
      </c>
    </row>
    <row r="4800" spans="1:9">
      <c r="A4800" s="6">
        <v>44293</v>
      </c>
      <c r="B4800">
        <f>IFERROR(VLOOKUP($A4800,原始数据_收盘!$A$4:$G$3460,2,0),"")</f>
        <v>2.5925</v>
      </c>
      <c r="C4800">
        <f>IFERROR(VLOOKUP($A4800,原始数据_收盘!$A$4:$G$3460,3,0),"")</f>
        <v>2.99</v>
      </c>
      <c r="D4800">
        <f>IFERROR(VLOOKUP($A4800,原始数据_收盘!$A$4:$G$3460,4,0),"")</f>
        <v>2.595</v>
      </c>
      <c r="E4800">
        <f>IFERROR(VLOOKUP($A4800,原始数据_收盘!$A$4:$G$3460,5,0),"")</f>
        <v>2.9925</v>
      </c>
      <c r="F4800">
        <f>IFERROR(VLOOKUP($A4800,原始数据_收盘!$A$4:$G$3460,6,0),"")</f>
        <v>2.5938</v>
      </c>
      <c r="G4800">
        <f>IFERROR(VLOOKUP($A4800,原始数据_收盘!$A$4:$G$3460,7,0),"")</f>
        <v>2.9913</v>
      </c>
      <c r="H4800">
        <f>IFERROR(VLOOKUP($A4800,原始数据_利率互换_FR007_1年!$A$6:$C$4395,2,0),"")</f>
        <v>2.5919</v>
      </c>
      <c r="I4800">
        <f>IFERROR(VLOOKUP($A4800,原始数据_利率互换_FR007_1年!$A$6:$C$4395,3,0),"")</f>
        <v>2.9866</v>
      </c>
    </row>
    <row r="4801" spans="1:9">
      <c r="A4801" s="6">
        <v>44294</v>
      </c>
      <c r="B4801">
        <f>IFERROR(VLOOKUP($A4801,原始数据_收盘!$A$4:$G$3460,2,0),"")</f>
        <v>2.5919</v>
      </c>
      <c r="C4801">
        <f>IFERROR(VLOOKUP($A4801,原始数据_收盘!$A$4:$G$3460,3,0),"")</f>
        <v>2.9884</v>
      </c>
      <c r="D4801">
        <f>IFERROR(VLOOKUP($A4801,原始数据_收盘!$A$4:$G$3460,4,0),"")</f>
        <v>2.5944</v>
      </c>
      <c r="E4801">
        <f>IFERROR(VLOOKUP($A4801,原始数据_收盘!$A$4:$G$3460,5,0),"")</f>
        <v>2.9909</v>
      </c>
      <c r="F4801">
        <f>IFERROR(VLOOKUP($A4801,原始数据_收盘!$A$4:$G$3460,6,0),"")</f>
        <v>2.5931</v>
      </c>
      <c r="G4801">
        <f>IFERROR(VLOOKUP($A4801,原始数据_收盘!$A$4:$G$3460,7,0),"")</f>
        <v>2.9896</v>
      </c>
      <c r="H4801">
        <f>IFERROR(VLOOKUP($A4801,原始数据_利率互换_FR007_1年!$A$6:$C$4395,2,0),"")</f>
        <v>2.5922</v>
      </c>
      <c r="I4801">
        <f>IFERROR(VLOOKUP($A4801,原始数据_利率互换_FR007_1年!$A$6:$C$4395,3,0),"")</f>
        <v>2.9904</v>
      </c>
    </row>
    <row r="4802" spans="1:9">
      <c r="A4802" s="6">
        <v>44295</v>
      </c>
      <c r="B4802">
        <f>IFERROR(VLOOKUP($A4802,原始数据_收盘!$A$4:$G$3460,2,0),"")</f>
        <v>2.5725</v>
      </c>
      <c r="C4802">
        <f>IFERROR(VLOOKUP($A4802,原始数据_收盘!$A$4:$G$3460,3,0),"")</f>
        <v>2.9725</v>
      </c>
      <c r="D4802">
        <f>IFERROR(VLOOKUP($A4802,原始数据_收盘!$A$4:$G$3460,4,0),"")</f>
        <v>2.575</v>
      </c>
      <c r="E4802">
        <f>IFERROR(VLOOKUP($A4802,原始数据_收盘!$A$4:$G$3460,5,0),"")</f>
        <v>2.975</v>
      </c>
      <c r="F4802">
        <f>IFERROR(VLOOKUP($A4802,原始数据_收盘!$A$4:$G$3460,6,0),"")</f>
        <v>2.5738</v>
      </c>
      <c r="G4802">
        <f>IFERROR(VLOOKUP($A4802,原始数据_收盘!$A$4:$G$3460,7,0),"")</f>
        <v>2.9738</v>
      </c>
      <c r="H4802">
        <f>IFERROR(VLOOKUP($A4802,原始数据_利率互换_FR007_1年!$A$6:$C$4395,2,0),"")</f>
        <v>2.5775</v>
      </c>
      <c r="I4802">
        <f>IFERROR(VLOOKUP($A4802,原始数据_利率互换_FR007_1年!$A$6:$C$4395,3,0),"")</f>
        <v>2.978</v>
      </c>
    </row>
    <row r="4803" spans="1:9">
      <c r="A4803" s="6">
        <v>44296</v>
      </c>
      <c r="B4803" t="str">
        <f>IFERROR(VLOOKUP($A4803,原始数据_收盘!$A$4:$G$3460,2,0),"")</f>
        <v/>
      </c>
      <c r="C4803" t="str">
        <f>IFERROR(VLOOKUP($A4803,原始数据_收盘!$A$4:$G$3460,3,0),"")</f>
        <v/>
      </c>
      <c r="D4803" t="str">
        <f>IFERROR(VLOOKUP($A4803,原始数据_收盘!$A$4:$G$3460,4,0),"")</f>
        <v/>
      </c>
      <c r="E4803" t="str">
        <f>IFERROR(VLOOKUP($A4803,原始数据_收盘!$A$4:$G$3460,5,0),"")</f>
        <v/>
      </c>
      <c r="F4803" t="str">
        <f>IFERROR(VLOOKUP($A4803,原始数据_收盘!$A$4:$G$3460,6,0),"")</f>
        <v/>
      </c>
      <c r="G4803" t="str">
        <f>IFERROR(VLOOKUP($A4803,原始数据_收盘!$A$4:$G$3460,7,0),"")</f>
        <v/>
      </c>
      <c r="H4803" t="str">
        <f>IFERROR(VLOOKUP($A4803,原始数据_利率互换_FR007_1年!$A$6:$C$4395,2,0),"")</f>
        <v/>
      </c>
      <c r="I4803" t="str">
        <f>IFERROR(VLOOKUP($A4803,原始数据_利率互换_FR007_1年!$A$6:$C$4395,3,0),"")</f>
        <v/>
      </c>
    </row>
    <row r="4804" spans="1:9">
      <c r="A4804" s="6">
        <v>44297</v>
      </c>
      <c r="B4804" t="str">
        <f>IFERROR(VLOOKUP($A4804,原始数据_收盘!$A$4:$G$3460,2,0),"")</f>
        <v/>
      </c>
      <c r="C4804" t="str">
        <f>IFERROR(VLOOKUP($A4804,原始数据_收盘!$A$4:$G$3460,3,0),"")</f>
        <v/>
      </c>
      <c r="D4804" t="str">
        <f>IFERROR(VLOOKUP($A4804,原始数据_收盘!$A$4:$G$3460,4,0),"")</f>
        <v/>
      </c>
      <c r="E4804" t="str">
        <f>IFERROR(VLOOKUP($A4804,原始数据_收盘!$A$4:$G$3460,5,0),"")</f>
        <v/>
      </c>
      <c r="F4804" t="str">
        <f>IFERROR(VLOOKUP($A4804,原始数据_收盘!$A$4:$G$3460,6,0),"")</f>
        <v/>
      </c>
      <c r="G4804" t="str">
        <f>IFERROR(VLOOKUP($A4804,原始数据_收盘!$A$4:$G$3460,7,0),"")</f>
        <v/>
      </c>
      <c r="H4804" t="str">
        <f>IFERROR(VLOOKUP($A4804,原始数据_利率互换_FR007_1年!$A$6:$C$4395,2,0),"")</f>
        <v/>
      </c>
      <c r="I4804" t="str">
        <f>IFERROR(VLOOKUP($A4804,原始数据_利率互换_FR007_1年!$A$6:$C$4395,3,0),"")</f>
        <v/>
      </c>
    </row>
    <row r="4805" spans="1:9">
      <c r="A4805" s="6">
        <v>44298</v>
      </c>
      <c r="B4805">
        <f>IFERROR(VLOOKUP($A4805,原始数据_收盘!$A$4:$G$3460,2,0),"")</f>
        <v>2.56</v>
      </c>
      <c r="C4805">
        <f>IFERROR(VLOOKUP($A4805,原始数据_收盘!$A$4:$G$3460,3,0),"")</f>
        <v>2.9513</v>
      </c>
      <c r="D4805">
        <f>IFERROR(VLOOKUP($A4805,原始数据_收盘!$A$4:$G$3460,4,0),"")</f>
        <v>2.5625</v>
      </c>
      <c r="E4805">
        <f>IFERROR(VLOOKUP($A4805,原始数据_收盘!$A$4:$G$3460,5,0),"")</f>
        <v>2.9542</v>
      </c>
      <c r="F4805">
        <f>IFERROR(VLOOKUP($A4805,原始数据_收盘!$A$4:$G$3460,6,0),"")</f>
        <v>2.5613</v>
      </c>
      <c r="G4805">
        <f>IFERROR(VLOOKUP($A4805,原始数据_收盘!$A$4:$G$3460,7,0),"")</f>
        <v>2.9527</v>
      </c>
      <c r="H4805">
        <f>IFERROR(VLOOKUP($A4805,原始数据_利率互换_FR007_1年!$A$6:$C$4395,2,0),"")</f>
        <v>2.5602</v>
      </c>
      <c r="I4805">
        <f>IFERROR(VLOOKUP($A4805,原始数据_利率互换_FR007_1年!$A$6:$C$4395,3,0),"")</f>
        <v>2.957</v>
      </c>
    </row>
    <row r="4806" spans="1:9">
      <c r="A4806" s="6">
        <v>44299</v>
      </c>
      <c r="B4806">
        <f>IFERROR(VLOOKUP($A4806,原始数据_收盘!$A$4:$G$3460,2,0),"")</f>
        <v>2.5075</v>
      </c>
      <c r="C4806">
        <f>IFERROR(VLOOKUP($A4806,原始数据_收盘!$A$4:$G$3460,3,0),"")</f>
        <v>2.895</v>
      </c>
      <c r="D4806">
        <f>IFERROR(VLOOKUP($A4806,原始数据_收盘!$A$4:$G$3460,4,0),"")</f>
        <v>2.5101</v>
      </c>
      <c r="E4806">
        <f>IFERROR(VLOOKUP($A4806,原始数据_收盘!$A$4:$G$3460,5,0),"")</f>
        <v>2.9</v>
      </c>
      <c r="F4806">
        <f>IFERROR(VLOOKUP($A4806,原始数据_收盘!$A$4:$G$3460,6,0),"")</f>
        <v>2.5088</v>
      </c>
      <c r="G4806">
        <f>IFERROR(VLOOKUP($A4806,原始数据_收盘!$A$4:$G$3460,7,0),"")</f>
        <v>2.8975</v>
      </c>
      <c r="H4806">
        <f>IFERROR(VLOOKUP($A4806,原始数据_利率互换_FR007_1年!$A$6:$C$4395,2,0),"")</f>
        <v>2.5147</v>
      </c>
      <c r="I4806">
        <f>IFERROR(VLOOKUP($A4806,原始数据_利率互换_FR007_1年!$A$6:$C$4395,3,0),"")</f>
        <v>2.905</v>
      </c>
    </row>
    <row r="4807" spans="1:9">
      <c r="A4807" s="6">
        <v>44300</v>
      </c>
      <c r="B4807">
        <f>IFERROR(VLOOKUP($A4807,原始数据_收盘!$A$4:$G$3460,2,0),"")</f>
        <v>2.505</v>
      </c>
      <c r="C4807">
        <f>IFERROR(VLOOKUP($A4807,原始数据_收盘!$A$4:$G$3460,3,0),"")</f>
        <v>2.895</v>
      </c>
      <c r="D4807">
        <f>IFERROR(VLOOKUP($A4807,原始数据_收盘!$A$4:$G$3460,4,0),"")</f>
        <v>2.5075</v>
      </c>
      <c r="E4807">
        <f>IFERROR(VLOOKUP($A4807,原始数据_收盘!$A$4:$G$3460,5,0),"")</f>
        <v>2.8975</v>
      </c>
      <c r="F4807">
        <f>IFERROR(VLOOKUP($A4807,原始数据_收盘!$A$4:$G$3460,6,0),"")</f>
        <v>2.5063</v>
      </c>
      <c r="G4807">
        <f>IFERROR(VLOOKUP($A4807,原始数据_收盘!$A$4:$G$3460,7,0),"")</f>
        <v>2.8963</v>
      </c>
      <c r="H4807">
        <f>IFERROR(VLOOKUP($A4807,原始数据_利率互换_FR007_1年!$A$6:$C$4395,2,0),"")</f>
        <v>2.513</v>
      </c>
      <c r="I4807">
        <f>IFERROR(VLOOKUP($A4807,原始数据_利率互换_FR007_1年!$A$6:$C$4395,3,0),"")</f>
        <v>2.9029</v>
      </c>
    </row>
    <row r="4808" spans="1:9">
      <c r="A4808" s="6">
        <v>44301</v>
      </c>
      <c r="B4808">
        <f>IFERROR(VLOOKUP($A4808,原始数据_收盘!$A$4:$G$3460,2,0),"")</f>
        <v>2.5225</v>
      </c>
      <c r="C4808">
        <f>IFERROR(VLOOKUP($A4808,原始数据_收盘!$A$4:$G$3460,3,0),"")</f>
        <v>2.915</v>
      </c>
      <c r="D4808">
        <f>IFERROR(VLOOKUP($A4808,原始数据_收盘!$A$4:$G$3460,4,0),"")</f>
        <v>2.525</v>
      </c>
      <c r="E4808">
        <f>IFERROR(VLOOKUP($A4808,原始数据_收盘!$A$4:$G$3460,5,0),"")</f>
        <v>2.9175</v>
      </c>
      <c r="F4808">
        <f>IFERROR(VLOOKUP($A4808,原始数据_收盘!$A$4:$G$3460,6,0),"")</f>
        <v>2.5238</v>
      </c>
      <c r="G4808">
        <f>IFERROR(VLOOKUP($A4808,原始数据_收盘!$A$4:$G$3460,7,0),"")</f>
        <v>2.9163</v>
      </c>
      <c r="H4808">
        <f>IFERROR(VLOOKUP($A4808,原始数据_利率互换_FR007_1年!$A$6:$C$4395,2,0),"")</f>
        <v>2.5194</v>
      </c>
      <c r="I4808">
        <f>IFERROR(VLOOKUP($A4808,原始数据_利率互换_FR007_1年!$A$6:$C$4395,3,0),"")</f>
        <v>2.9109</v>
      </c>
    </row>
    <row r="4809" spans="1:9">
      <c r="A4809" s="6">
        <v>44302</v>
      </c>
      <c r="B4809">
        <f>IFERROR(VLOOKUP($A4809,原始数据_收盘!$A$4:$G$3460,2,0),"")</f>
        <v>2.5225</v>
      </c>
      <c r="C4809">
        <f>IFERROR(VLOOKUP($A4809,原始数据_收盘!$A$4:$G$3460,3,0),"")</f>
        <v>2.9082</v>
      </c>
      <c r="D4809">
        <f>IFERROR(VLOOKUP($A4809,原始数据_收盘!$A$4:$G$3460,4,0),"")</f>
        <v>2.5251</v>
      </c>
      <c r="E4809">
        <f>IFERROR(VLOOKUP($A4809,原始数据_收盘!$A$4:$G$3460,5,0),"")</f>
        <v>2.9108</v>
      </c>
      <c r="F4809">
        <f>IFERROR(VLOOKUP($A4809,原始数据_收盘!$A$4:$G$3460,6,0),"")</f>
        <v>2.5238</v>
      </c>
      <c r="G4809">
        <f>IFERROR(VLOOKUP($A4809,原始数据_收盘!$A$4:$G$3460,7,0),"")</f>
        <v>2.9095</v>
      </c>
      <c r="H4809">
        <f>IFERROR(VLOOKUP($A4809,原始数据_利率互换_FR007_1年!$A$6:$C$4395,2,0),"")</f>
        <v>2.5306</v>
      </c>
      <c r="I4809">
        <f>IFERROR(VLOOKUP($A4809,原始数据_利率互换_FR007_1年!$A$6:$C$4395,3,0),"")</f>
        <v>2.9139</v>
      </c>
    </row>
    <row r="4810" spans="1:9">
      <c r="A4810" s="6">
        <v>44303</v>
      </c>
      <c r="B4810" t="str">
        <f>IFERROR(VLOOKUP($A4810,原始数据_收盘!$A$4:$G$3460,2,0),"")</f>
        <v/>
      </c>
      <c r="C4810" t="str">
        <f>IFERROR(VLOOKUP($A4810,原始数据_收盘!$A$4:$G$3460,3,0),"")</f>
        <v/>
      </c>
      <c r="D4810" t="str">
        <f>IFERROR(VLOOKUP($A4810,原始数据_收盘!$A$4:$G$3460,4,0),"")</f>
        <v/>
      </c>
      <c r="E4810" t="str">
        <f>IFERROR(VLOOKUP($A4810,原始数据_收盘!$A$4:$G$3460,5,0),"")</f>
        <v/>
      </c>
      <c r="F4810" t="str">
        <f>IFERROR(VLOOKUP($A4810,原始数据_收盘!$A$4:$G$3460,6,0),"")</f>
        <v/>
      </c>
      <c r="G4810" t="str">
        <f>IFERROR(VLOOKUP($A4810,原始数据_收盘!$A$4:$G$3460,7,0),"")</f>
        <v/>
      </c>
      <c r="H4810" t="str">
        <f>IFERROR(VLOOKUP($A4810,原始数据_利率互换_FR007_1年!$A$6:$C$4395,2,0),"")</f>
        <v/>
      </c>
      <c r="I4810" t="str">
        <f>IFERROR(VLOOKUP($A4810,原始数据_利率互换_FR007_1年!$A$6:$C$4395,3,0),"")</f>
        <v/>
      </c>
    </row>
    <row r="4811" spans="1:9">
      <c r="A4811" s="6">
        <v>44304</v>
      </c>
      <c r="B4811" t="str">
        <f>IFERROR(VLOOKUP($A4811,原始数据_收盘!$A$4:$G$3460,2,0),"")</f>
        <v/>
      </c>
      <c r="C4811" t="str">
        <f>IFERROR(VLOOKUP($A4811,原始数据_收盘!$A$4:$G$3460,3,0),"")</f>
        <v/>
      </c>
      <c r="D4811" t="str">
        <f>IFERROR(VLOOKUP($A4811,原始数据_收盘!$A$4:$G$3460,4,0),"")</f>
        <v/>
      </c>
      <c r="E4811" t="str">
        <f>IFERROR(VLOOKUP($A4811,原始数据_收盘!$A$4:$G$3460,5,0),"")</f>
        <v/>
      </c>
      <c r="F4811" t="str">
        <f>IFERROR(VLOOKUP($A4811,原始数据_收盘!$A$4:$G$3460,6,0),"")</f>
        <v/>
      </c>
      <c r="G4811" t="str">
        <f>IFERROR(VLOOKUP($A4811,原始数据_收盘!$A$4:$G$3460,7,0),"")</f>
        <v/>
      </c>
      <c r="H4811" t="str">
        <f>IFERROR(VLOOKUP($A4811,原始数据_利率互换_FR007_1年!$A$6:$C$4395,2,0),"")</f>
        <v/>
      </c>
      <c r="I4811" t="str">
        <f>IFERROR(VLOOKUP($A4811,原始数据_利率互换_FR007_1年!$A$6:$C$4395,3,0),"")</f>
        <v/>
      </c>
    </row>
    <row r="4812" spans="1:9">
      <c r="A4812" s="6">
        <v>44305</v>
      </c>
      <c r="B4812">
        <f>IFERROR(VLOOKUP($A4812,原始数据_收盘!$A$4:$G$3460,2,0),"")</f>
        <v>2.5075</v>
      </c>
      <c r="C4812">
        <f>IFERROR(VLOOKUP($A4812,原始数据_收盘!$A$4:$G$3460,3,0),"")</f>
        <v>2.8909</v>
      </c>
      <c r="D4812">
        <f>IFERROR(VLOOKUP($A4812,原始数据_收盘!$A$4:$G$3460,4,0),"")</f>
        <v>2.5114</v>
      </c>
      <c r="E4812">
        <f>IFERROR(VLOOKUP($A4812,原始数据_收盘!$A$4:$G$3460,5,0),"")</f>
        <v>2.895</v>
      </c>
      <c r="F4812">
        <f>IFERROR(VLOOKUP($A4812,原始数据_收盘!$A$4:$G$3460,6,0),"")</f>
        <v>2.5094</v>
      </c>
      <c r="G4812">
        <f>IFERROR(VLOOKUP($A4812,原始数据_收盘!$A$4:$G$3460,7,0),"")</f>
        <v>2.8929</v>
      </c>
      <c r="H4812">
        <f>IFERROR(VLOOKUP($A4812,原始数据_利率互换_FR007_1年!$A$6:$C$4395,2,0),"")</f>
        <v>2.5176</v>
      </c>
      <c r="I4812">
        <f>IFERROR(VLOOKUP($A4812,原始数据_利率互换_FR007_1年!$A$6:$C$4395,3,0),"")</f>
        <v>2.9008</v>
      </c>
    </row>
    <row r="4813" spans="1:9">
      <c r="A4813" s="6">
        <v>44306</v>
      </c>
      <c r="B4813">
        <f>IFERROR(VLOOKUP($A4813,原始数据_收盘!$A$4:$G$3460,2,0),"")</f>
        <v>2.4975</v>
      </c>
      <c r="C4813">
        <f>IFERROR(VLOOKUP($A4813,原始数据_收盘!$A$4:$G$3460,3,0),"")</f>
        <v>2.8825</v>
      </c>
      <c r="D4813">
        <f>IFERROR(VLOOKUP($A4813,原始数据_收盘!$A$4:$G$3460,4,0),"")</f>
        <v>2.5002</v>
      </c>
      <c r="E4813">
        <f>IFERROR(VLOOKUP($A4813,原始数据_收盘!$A$4:$G$3460,5,0),"")</f>
        <v>2.885</v>
      </c>
      <c r="F4813">
        <f>IFERROR(VLOOKUP($A4813,原始数据_收盘!$A$4:$G$3460,6,0),"")</f>
        <v>2.4988</v>
      </c>
      <c r="G4813">
        <f>IFERROR(VLOOKUP($A4813,原始数据_收盘!$A$4:$G$3460,7,0),"")</f>
        <v>2.8838</v>
      </c>
      <c r="H4813">
        <f>IFERROR(VLOOKUP($A4813,原始数据_利率互换_FR007_1年!$A$6:$C$4395,2,0),"")</f>
        <v>2.5022</v>
      </c>
      <c r="I4813">
        <f>IFERROR(VLOOKUP($A4813,原始数据_利率互换_FR007_1年!$A$6:$C$4395,3,0),"")</f>
        <v>2.8837</v>
      </c>
    </row>
    <row r="4814" spans="1:9">
      <c r="A4814" s="6">
        <v>44307</v>
      </c>
      <c r="B4814">
        <f>IFERROR(VLOOKUP($A4814,原始数据_收盘!$A$4:$G$3460,2,0),"")</f>
        <v>2.495</v>
      </c>
      <c r="C4814">
        <f>IFERROR(VLOOKUP($A4814,原始数据_收盘!$A$4:$G$3460,3,0),"")</f>
        <v>2.8868</v>
      </c>
      <c r="D4814">
        <f>IFERROR(VLOOKUP($A4814,原始数据_收盘!$A$4:$G$3460,4,0),"")</f>
        <v>2.5</v>
      </c>
      <c r="E4814">
        <f>IFERROR(VLOOKUP($A4814,原始数据_收盘!$A$4:$G$3460,5,0),"")</f>
        <v>2.8877</v>
      </c>
      <c r="F4814">
        <f>IFERROR(VLOOKUP($A4814,原始数据_收盘!$A$4:$G$3460,6,0),"")</f>
        <v>2.4975</v>
      </c>
      <c r="G4814">
        <f>IFERROR(VLOOKUP($A4814,原始数据_收盘!$A$4:$G$3460,7,0),"")</f>
        <v>2.8873</v>
      </c>
      <c r="H4814">
        <f>IFERROR(VLOOKUP($A4814,原始数据_利率互换_FR007_1年!$A$6:$C$4395,2,0),"")</f>
        <v>2.4983</v>
      </c>
      <c r="I4814">
        <f>IFERROR(VLOOKUP($A4814,原始数据_利率互换_FR007_1年!$A$6:$C$4395,3,0),"")</f>
        <v>2.8857</v>
      </c>
    </row>
    <row r="4815" spans="1:9">
      <c r="A4815" s="6">
        <v>44308</v>
      </c>
      <c r="B4815">
        <f>IFERROR(VLOOKUP($A4815,原始数据_收盘!$A$4:$G$3460,2,0),"")</f>
        <v>2.5</v>
      </c>
      <c r="C4815">
        <f>IFERROR(VLOOKUP($A4815,原始数据_收盘!$A$4:$G$3460,3,0),"")</f>
        <v>2.8925</v>
      </c>
      <c r="D4815">
        <f>IFERROR(VLOOKUP($A4815,原始数据_收盘!$A$4:$G$3460,4,0),"")</f>
        <v>2.5025</v>
      </c>
      <c r="E4815">
        <f>IFERROR(VLOOKUP($A4815,原始数据_收盘!$A$4:$G$3460,5,0),"")</f>
        <v>2.895</v>
      </c>
      <c r="F4815">
        <f>IFERROR(VLOOKUP($A4815,原始数据_收盘!$A$4:$G$3460,6,0),"")</f>
        <v>2.5013</v>
      </c>
      <c r="G4815">
        <f>IFERROR(VLOOKUP($A4815,原始数据_收盘!$A$4:$G$3460,7,0),"")</f>
        <v>2.8938</v>
      </c>
      <c r="H4815">
        <f>IFERROR(VLOOKUP($A4815,原始数据_利率互换_FR007_1年!$A$6:$C$4395,2,0),"")</f>
        <v>2.503</v>
      </c>
      <c r="I4815">
        <f>IFERROR(VLOOKUP($A4815,原始数据_利率互换_FR007_1年!$A$6:$C$4395,3,0),"")</f>
        <v>2.8962</v>
      </c>
    </row>
    <row r="4816" spans="1:9">
      <c r="A4816" s="6">
        <v>44309</v>
      </c>
      <c r="B4816">
        <f>IFERROR(VLOOKUP($A4816,原始数据_收盘!$A$4:$G$3460,2,0),"")</f>
        <v>2.5106</v>
      </c>
      <c r="C4816">
        <f>IFERROR(VLOOKUP($A4816,原始数据_收盘!$A$4:$G$3460,3,0),"")</f>
        <v>2.9061</v>
      </c>
      <c r="D4816">
        <f>IFERROR(VLOOKUP($A4816,原始数据_收盘!$A$4:$G$3460,4,0),"")</f>
        <v>2.5144</v>
      </c>
      <c r="E4816">
        <f>IFERROR(VLOOKUP($A4816,原始数据_收盘!$A$4:$G$3460,5,0),"")</f>
        <v>2.91</v>
      </c>
      <c r="F4816">
        <f>IFERROR(VLOOKUP($A4816,原始数据_收盘!$A$4:$G$3460,6,0),"")</f>
        <v>2.5125</v>
      </c>
      <c r="G4816">
        <f>IFERROR(VLOOKUP($A4816,原始数据_收盘!$A$4:$G$3460,7,0),"")</f>
        <v>2.9081</v>
      </c>
      <c r="H4816">
        <f>IFERROR(VLOOKUP($A4816,原始数据_利率互换_FR007_1年!$A$6:$C$4395,2,0),"")</f>
        <v>2.5015</v>
      </c>
      <c r="I4816">
        <f>IFERROR(VLOOKUP($A4816,原始数据_利率互换_FR007_1年!$A$6:$C$4395,3,0),"")</f>
        <v>2.9024</v>
      </c>
    </row>
    <row r="4817" spans="1:9">
      <c r="A4817" s="6">
        <v>44310</v>
      </c>
      <c r="B4817" t="str">
        <f>IFERROR(VLOOKUP($A4817,原始数据_收盘!$A$4:$G$3460,2,0),"")</f>
        <v/>
      </c>
      <c r="C4817" t="str">
        <f>IFERROR(VLOOKUP($A4817,原始数据_收盘!$A$4:$G$3460,3,0),"")</f>
        <v/>
      </c>
      <c r="D4817" t="str">
        <f>IFERROR(VLOOKUP($A4817,原始数据_收盘!$A$4:$G$3460,4,0),"")</f>
        <v/>
      </c>
      <c r="E4817" t="str">
        <f>IFERROR(VLOOKUP($A4817,原始数据_收盘!$A$4:$G$3460,5,0),"")</f>
        <v/>
      </c>
      <c r="F4817" t="str">
        <f>IFERROR(VLOOKUP($A4817,原始数据_收盘!$A$4:$G$3460,6,0),"")</f>
        <v/>
      </c>
      <c r="G4817" t="str">
        <f>IFERROR(VLOOKUP($A4817,原始数据_收盘!$A$4:$G$3460,7,0),"")</f>
        <v/>
      </c>
      <c r="H4817" t="str">
        <f>IFERROR(VLOOKUP($A4817,原始数据_利率互换_FR007_1年!$A$6:$C$4395,2,0),"")</f>
        <v/>
      </c>
      <c r="I4817" t="str">
        <f>IFERROR(VLOOKUP($A4817,原始数据_利率互换_FR007_1年!$A$6:$C$4395,3,0),"")</f>
        <v/>
      </c>
    </row>
    <row r="4818" spans="1:9">
      <c r="A4818" s="6">
        <v>44311</v>
      </c>
      <c r="B4818">
        <f>IFERROR(VLOOKUP($A4818,原始数据_收盘!$A$4:$G$3460,2,0),"")</f>
        <v>2.535</v>
      </c>
      <c r="C4818">
        <f>IFERROR(VLOOKUP($A4818,原始数据_收盘!$A$4:$G$3460,3,0),"")</f>
        <v>2.9325</v>
      </c>
      <c r="D4818">
        <f>IFERROR(VLOOKUP($A4818,原始数据_收盘!$A$4:$G$3460,4,0),"")</f>
        <v>2.54</v>
      </c>
      <c r="E4818">
        <f>IFERROR(VLOOKUP($A4818,原始数据_收盘!$A$4:$G$3460,5,0),"")</f>
        <v>2.935</v>
      </c>
      <c r="F4818">
        <f>IFERROR(VLOOKUP($A4818,原始数据_收盘!$A$4:$G$3460,6,0),"")</f>
        <v>2.5375</v>
      </c>
      <c r="G4818">
        <f>IFERROR(VLOOKUP($A4818,原始数据_收盘!$A$4:$G$3460,7,0),"")</f>
        <v>2.9338</v>
      </c>
      <c r="H4818">
        <f>IFERROR(VLOOKUP($A4818,原始数据_利率互换_FR007_1年!$A$6:$C$4395,2,0),"")</f>
        <v>2.5358</v>
      </c>
      <c r="I4818">
        <f>IFERROR(VLOOKUP($A4818,原始数据_利率互换_FR007_1年!$A$6:$C$4395,3,0),"")</f>
        <v>2.9294</v>
      </c>
    </row>
    <row r="4819" spans="1:9">
      <c r="A4819" s="6">
        <v>44312</v>
      </c>
      <c r="B4819">
        <f>IFERROR(VLOOKUP($A4819,原始数据_收盘!$A$4:$G$3460,2,0),"")</f>
        <v>2.5425</v>
      </c>
      <c r="C4819">
        <f>IFERROR(VLOOKUP($A4819,原始数据_收盘!$A$4:$G$3460,3,0),"")</f>
        <v>2.9475</v>
      </c>
      <c r="D4819">
        <f>IFERROR(VLOOKUP($A4819,原始数据_收盘!$A$4:$G$3460,4,0),"")</f>
        <v>2.5475</v>
      </c>
      <c r="E4819">
        <f>IFERROR(VLOOKUP($A4819,原始数据_收盘!$A$4:$G$3460,5,0),"")</f>
        <v>2.95</v>
      </c>
      <c r="F4819">
        <f>IFERROR(VLOOKUP($A4819,原始数据_收盘!$A$4:$G$3460,6,0),"")</f>
        <v>2.545</v>
      </c>
      <c r="G4819">
        <f>IFERROR(VLOOKUP($A4819,原始数据_收盘!$A$4:$G$3460,7,0),"")</f>
        <v>2.9488</v>
      </c>
      <c r="H4819">
        <f>IFERROR(VLOOKUP($A4819,原始数据_利率互换_FR007_1年!$A$6:$C$4395,2,0),"")</f>
        <v>2.5407</v>
      </c>
      <c r="I4819">
        <f>IFERROR(VLOOKUP($A4819,原始数据_利率互换_FR007_1年!$A$6:$C$4395,3,0),"")</f>
        <v>2.9413</v>
      </c>
    </row>
    <row r="4820" spans="1:9">
      <c r="A4820" s="6">
        <v>44313</v>
      </c>
      <c r="B4820">
        <f>IFERROR(VLOOKUP($A4820,原始数据_收盘!$A$4:$G$3460,2,0),"")</f>
        <v>2.54</v>
      </c>
      <c r="C4820">
        <f>IFERROR(VLOOKUP($A4820,原始数据_收盘!$A$4:$G$3460,3,0),"")</f>
        <v>2.95</v>
      </c>
      <c r="D4820">
        <f>IFERROR(VLOOKUP($A4820,原始数据_收盘!$A$4:$G$3460,4,0),"")</f>
        <v>2.5425</v>
      </c>
      <c r="E4820">
        <f>IFERROR(VLOOKUP($A4820,原始数据_收盘!$A$4:$G$3460,5,0),"")</f>
        <v>2.9525</v>
      </c>
      <c r="F4820">
        <f>IFERROR(VLOOKUP($A4820,原始数据_收盘!$A$4:$G$3460,6,0),"")</f>
        <v>2.5413</v>
      </c>
      <c r="G4820">
        <f>IFERROR(VLOOKUP($A4820,原始数据_收盘!$A$4:$G$3460,7,0),"")</f>
        <v>2.9513</v>
      </c>
      <c r="H4820">
        <f>IFERROR(VLOOKUP($A4820,原始数据_利率互换_FR007_1年!$A$6:$C$4395,2,0),"")</f>
        <v>2.5335</v>
      </c>
      <c r="I4820">
        <f>IFERROR(VLOOKUP($A4820,原始数据_利率互换_FR007_1年!$A$6:$C$4395,3,0),"")</f>
        <v>2.9405</v>
      </c>
    </row>
    <row r="4821" spans="1:9">
      <c r="A4821" s="6">
        <v>44314</v>
      </c>
      <c r="B4821">
        <f>IFERROR(VLOOKUP($A4821,原始数据_收盘!$A$4:$G$3460,2,0),"")</f>
        <v>2.5225</v>
      </c>
      <c r="C4821">
        <f>IFERROR(VLOOKUP($A4821,原始数据_收盘!$A$4:$G$3460,3,0),"")</f>
        <v>2.9325</v>
      </c>
      <c r="D4821">
        <f>IFERROR(VLOOKUP($A4821,原始数据_收盘!$A$4:$G$3460,4,0),"")</f>
        <v>2.5275</v>
      </c>
      <c r="E4821">
        <f>IFERROR(VLOOKUP($A4821,原始数据_收盘!$A$4:$G$3460,5,0),"")</f>
        <v>2.935</v>
      </c>
      <c r="F4821">
        <f>IFERROR(VLOOKUP($A4821,原始数据_收盘!$A$4:$G$3460,6,0),"")</f>
        <v>2.525</v>
      </c>
      <c r="G4821">
        <f>IFERROR(VLOOKUP($A4821,原始数据_收盘!$A$4:$G$3460,7,0),"")</f>
        <v>2.9338</v>
      </c>
      <c r="H4821">
        <f>IFERROR(VLOOKUP($A4821,原始数据_利率互换_FR007_1年!$A$6:$C$4395,2,0),"")</f>
        <v>2.5285</v>
      </c>
      <c r="I4821">
        <f>IFERROR(VLOOKUP($A4821,原始数据_利率互换_FR007_1年!$A$6:$C$4395,3,0),"")</f>
        <v>2.935</v>
      </c>
    </row>
    <row r="4822" spans="1:9">
      <c r="A4822" s="6">
        <v>44315</v>
      </c>
      <c r="B4822">
        <f>IFERROR(VLOOKUP($A4822,原始数据_收盘!$A$4:$G$3460,2,0),"")</f>
        <v>2.5261</v>
      </c>
      <c r="C4822">
        <f>IFERROR(VLOOKUP($A4822,原始数据_收盘!$A$4:$G$3460,3,0),"")</f>
        <v>2.9317</v>
      </c>
      <c r="D4822">
        <f>IFERROR(VLOOKUP($A4822,原始数据_收盘!$A$4:$G$3460,4,0),"")</f>
        <v>2.53</v>
      </c>
      <c r="E4822">
        <f>IFERROR(VLOOKUP($A4822,原始数据_收盘!$A$4:$G$3460,5,0),"")</f>
        <v>2.935</v>
      </c>
      <c r="F4822">
        <f>IFERROR(VLOOKUP($A4822,原始数据_收盘!$A$4:$G$3460,6,0),"")</f>
        <v>2.5281</v>
      </c>
      <c r="G4822">
        <f>IFERROR(VLOOKUP($A4822,原始数据_收盘!$A$4:$G$3460,7,0),"")</f>
        <v>2.9333</v>
      </c>
      <c r="H4822">
        <f>IFERROR(VLOOKUP($A4822,原始数据_利率互换_FR007_1年!$A$6:$C$4395,2,0),"")</f>
        <v>2.523</v>
      </c>
      <c r="I4822">
        <f>IFERROR(VLOOKUP($A4822,原始数据_利率互换_FR007_1年!$A$6:$C$4395,3,0),"")</f>
        <v>2.9278</v>
      </c>
    </row>
    <row r="4823" spans="1:9">
      <c r="A4823" s="6">
        <v>44316</v>
      </c>
      <c r="B4823">
        <f>IFERROR(VLOOKUP($A4823,原始数据_收盘!$A$4:$G$3460,2,0),"")</f>
        <v>2.5154</v>
      </c>
      <c r="C4823">
        <f>IFERROR(VLOOKUP($A4823,原始数据_收盘!$A$4:$G$3460,3,0),"")</f>
        <v>2.9091</v>
      </c>
      <c r="D4823">
        <f>IFERROR(VLOOKUP($A4823,原始数据_收盘!$A$4:$G$3460,4,0),"")</f>
        <v>2.5178</v>
      </c>
      <c r="E4823">
        <f>IFERROR(VLOOKUP($A4823,原始数据_收盘!$A$4:$G$3460,5,0),"")</f>
        <v>2.9126</v>
      </c>
      <c r="F4823">
        <f>IFERROR(VLOOKUP($A4823,原始数据_收盘!$A$4:$G$3460,6,0),"")</f>
        <v>2.5166</v>
      </c>
      <c r="G4823">
        <f>IFERROR(VLOOKUP($A4823,原始数据_收盘!$A$4:$G$3460,7,0),"")</f>
        <v>2.9109</v>
      </c>
      <c r="H4823">
        <f>IFERROR(VLOOKUP($A4823,原始数据_利率互换_FR007_1年!$A$6:$C$4395,2,0),"")</f>
        <v>2.5199</v>
      </c>
      <c r="I4823">
        <f>IFERROR(VLOOKUP($A4823,原始数据_利率互换_FR007_1年!$A$6:$C$4395,3,0),"")</f>
        <v>2.9203</v>
      </c>
    </row>
    <row r="4824" spans="1:9">
      <c r="A4824" s="6">
        <v>44317</v>
      </c>
      <c r="B4824" t="str">
        <f>IFERROR(VLOOKUP($A4824,原始数据_收盘!$A$4:$G$3460,2,0),"")</f>
        <v/>
      </c>
      <c r="C4824" t="str">
        <f>IFERROR(VLOOKUP($A4824,原始数据_收盘!$A$4:$G$3460,3,0),"")</f>
        <v/>
      </c>
      <c r="D4824" t="str">
        <f>IFERROR(VLOOKUP($A4824,原始数据_收盘!$A$4:$G$3460,4,0),"")</f>
        <v/>
      </c>
      <c r="E4824" t="str">
        <f>IFERROR(VLOOKUP($A4824,原始数据_收盘!$A$4:$G$3460,5,0),"")</f>
        <v/>
      </c>
      <c r="F4824" t="str">
        <f>IFERROR(VLOOKUP($A4824,原始数据_收盘!$A$4:$G$3460,6,0),"")</f>
        <v/>
      </c>
      <c r="G4824" t="str">
        <f>IFERROR(VLOOKUP($A4824,原始数据_收盘!$A$4:$G$3460,7,0),"")</f>
        <v/>
      </c>
      <c r="H4824" t="str">
        <f>IFERROR(VLOOKUP($A4824,原始数据_利率互换_FR007_1年!$A$6:$C$4395,2,0),"")</f>
        <v/>
      </c>
      <c r="I4824" t="str">
        <f>IFERROR(VLOOKUP($A4824,原始数据_利率互换_FR007_1年!$A$6:$C$4395,3,0),"")</f>
        <v/>
      </c>
    </row>
    <row r="4825" spans="1:9">
      <c r="A4825" s="6">
        <v>44318</v>
      </c>
      <c r="B4825" t="str">
        <f>IFERROR(VLOOKUP($A4825,原始数据_收盘!$A$4:$G$3460,2,0),"")</f>
        <v/>
      </c>
      <c r="C4825" t="str">
        <f>IFERROR(VLOOKUP($A4825,原始数据_收盘!$A$4:$G$3460,3,0),"")</f>
        <v/>
      </c>
      <c r="D4825" t="str">
        <f>IFERROR(VLOOKUP($A4825,原始数据_收盘!$A$4:$G$3460,4,0),"")</f>
        <v/>
      </c>
      <c r="E4825" t="str">
        <f>IFERROR(VLOOKUP($A4825,原始数据_收盘!$A$4:$G$3460,5,0),"")</f>
        <v/>
      </c>
      <c r="F4825" t="str">
        <f>IFERROR(VLOOKUP($A4825,原始数据_收盘!$A$4:$G$3460,6,0),"")</f>
        <v/>
      </c>
      <c r="G4825" t="str">
        <f>IFERROR(VLOOKUP($A4825,原始数据_收盘!$A$4:$G$3460,7,0),"")</f>
        <v/>
      </c>
      <c r="H4825" t="str">
        <f>IFERROR(VLOOKUP($A4825,原始数据_利率互换_FR007_1年!$A$6:$C$4395,2,0),"")</f>
        <v/>
      </c>
      <c r="I4825" t="str">
        <f>IFERROR(VLOOKUP($A4825,原始数据_利率互换_FR007_1年!$A$6:$C$4395,3,0),"")</f>
        <v/>
      </c>
    </row>
    <row r="4826" spans="1:9">
      <c r="A4826" s="6">
        <v>44319</v>
      </c>
      <c r="B4826" t="str">
        <f>IFERROR(VLOOKUP($A4826,原始数据_收盘!$A$4:$G$3460,2,0),"")</f>
        <v/>
      </c>
      <c r="C4826" t="str">
        <f>IFERROR(VLOOKUP($A4826,原始数据_收盘!$A$4:$G$3460,3,0),"")</f>
        <v/>
      </c>
      <c r="D4826" t="str">
        <f>IFERROR(VLOOKUP($A4826,原始数据_收盘!$A$4:$G$3460,4,0),"")</f>
        <v/>
      </c>
      <c r="E4826" t="str">
        <f>IFERROR(VLOOKUP($A4826,原始数据_收盘!$A$4:$G$3460,5,0),"")</f>
        <v/>
      </c>
      <c r="F4826" t="str">
        <f>IFERROR(VLOOKUP($A4826,原始数据_收盘!$A$4:$G$3460,6,0),"")</f>
        <v/>
      </c>
      <c r="G4826" t="str">
        <f>IFERROR(VLOOKUP($A4826,原始数据_收盘!$A$4:$G$3460,7,0),"")</f>
        <v/>
      </c>
      <c r="H4826" t="str">
        <f>IFERROR(VLOOKUP($A4826,原始数据_利率互换_FR007_1年!$A$6:$C$4395,2,0),"")</f>
        <v/>
      </c>
      <c r="I4826" t="str">
        <f>IFERROR(VLOOKUP($A4826,原始数据_利率互换_FR007_1年!$A$6:$C$4395,3,0),"")</f>
        <v/>
      </c>
    </row>
    <row r="4827" spans="1:9">
      <c r="A4827" s="6">
        <v>44320</v>
      </c>
      <c r="B4827" t="str">
        <f>IFERROR(VLOOKUP($A4827,原始数据_收盘!$A$4:$G$3460,2,0),"")</f>
        <v/>
      </c>
      <c r="C4827" t="str">
        <f>IFERROR(VLOOKUP($A4827,原始数据_收盘!$A$4:$G$3460,3,0),"")</f>
        <v/>
      </c>
      <c r="D4827" t="str">
        <f>IFERROR(VLOOKUP($A4827,原始数据_收盘!$A$4:$G$3460,4,0),"")</f>
        <v/>
      </c>
      <c r="E4827" t="str">
        <f>IFERROR(VLOOKUP($A4827,原始数据_收盘!$A$4:$G$3460,5,0),"")</f>
        <v/>
      </c>
      <c r="F4827" t="str">
        <f>IFERROR(VLOOKUP($A4827,原始数据_收盘!$A$4:$G$3460,6,0),"")</f>
        <v/>
      </c>
      <c r="G4827" t="str">
        <f>IFERROR(VLOOKUP($A4827,原始数据_收盘!$A$4:$G$3460,7,0),"")</f>
        <v/>
      </c>
      <c r="H4827" t="str">
        <f>IFERROR(VLOOKUP($A4827,原始数据_利率互换_FR007_1年!$A$6:$C$4395,2,0),"")</f>
        <v/>
      </c>
      <c r="I4827" t="str">
        <f>IFERROR(VLOOKUP($A4827,原始数据_利率互换_FR007_1年!$A$6:$C$4395,3,0),"")</f>
        <v/>
      </c>
    </row>
    <row r="4828" spans="1:9">
      <c r="A4828" s="6">
        <v>44321</v>
      </c>
      <c r="B4828" t="str">
        <f>IFERROR(VLOOKUP($A4828,原始数据_收盘!$A$4:$G$3460,2,0),"")</f>
        <v/>
      </c>
      <c r="C4828" t="str">
        <f>IFERROR(VLOOKUP($A4828,原始数据_收盘!$A$4:$G$3460,3,0),"")</f>
        <v/>
      </c>
      <c r="D4828" t="str">
        <f>IFERROR(VLOOKUP($A4828,原始数据_收盘!$A$4:$G$3460,4,0),"")</f>
        <v/>
      </c>
      <c r="E4828" t="str">
        <f>IFERROR(VLOOKUP($A4828,原始数据_收盘!$A$4:$G$3460,5,0),"")</f>
        <v/>
      </c>
      <c r="F4828" t="str">
        <f>IFERROR(VLOOKUP($A4828,原始数据_收盘!$A$4:$G$3460,6,0),"")</f>
        <v/>
      </c>
      <c r="G4828" t="str">
        <f>IFERROR(VLOOKUP($A4828,原始数据_收盘!$A$4:$G$3460,7,0),"")</f>
        <v/>
      </c>
      <c r="H4828" t="str">
        <f>IFERROR(VLOOKUP($A4828,原始数据_利率互换_FR007_1年!$A$6:$C$4395,2,0),"")</f>
        <v/>
      </c>
      <c r="I4828" t="str">
        <f>IFERROR(VLOOKUP($A4828,原始数据_利率互换_FR007_1年!$A$6:$C$4395,3,0),"")</f>
        <v/>
      </c>
    </row>
    <row r="4829" spans="1:9">
      <c r="A4829" s="6">
        <v>44322</v>
      </c>
      <c r="B4829">
        <f>IFERROR(VLOOKUP($A4829,原始数据_收盘!$A$4:$G$3460,2,0),"")</f>
        <v>2.5046</v>
      </c>
      <c r="C4829">
        <f>IFERROR(VLOOKUP($A4829,原始数据_收盘!$A$4:$G$3460,3,0),"")</f>
        <v>2.9025</v>
      </c>
      <c r="D4829">
        <f>IFERROR(VLOOKUP($A4829,原始数据_收盘!$A$4:$G$3460,4,0),"")</f>
        <v>2.5075</v>
      </c>
      <c r="E4829">
        <f>IFERROR(VLOOKUP($A4829,原始数据_收盘!$A$4:$G$3460,5,0),"")</f>
        <v>2.906</v>
      </c>
      <c r="F4829">
        <f>IFERROR(VLOOKUP($A4829,原始数据_收盘!$A$4:$G$3460,6,0),"")</f>
        <v>2.506</v>
      </c>
      <c r="G4829">
        <f>IFERROR(VLOOKUP($A4829,原始数据_收盘!$A$4:$G$3460,7,0),"")</f>
        <v>2.9043</v>
      </c>
      <c r="H4829">
        <f>IFERROR(VLOOKUP($A4829,原始数据_利率互换_FR007_1年!$A$6:$C$4395,2,0),"")</f>
        <v>2.5096</v>
      </c>
      <c r="I4829">
        <f>IFERROR(VLOOKUP($A4829,原始数据_利率互换_FR007_1年!$A$6:$C$4395,3,0),"")</f>
        <v>2.905</v>
      </c>
    </row>
    <row r="4830" spans="1:9">
      <c r="A4830" s="6">
        <v>44323</v>
      </c>
      <c r="B4830">
        <f>IFERROR(VLOOKUP($A4830,原始数据_收盘!$A$4:$G$3460,2,0),"")</f>
        <v>2.4925</v>
      </c>
      <c r="C4830">
        <f>IFERROR(VLOOKUP($A4830,原始数据_收盘!$A$4:$G$3460,3,0),"")</f>
        <v>2.9038</v>
      </c>
      <c r="D4830">
        <f>IFERROR(VLOOKUP($A4830,原始数据_收盘!$A$4:$G$3460,4,0),"")</f>
        <v>2.4975</v>
      </c>
      <c r="E4830">
        <f>IFERROR(VLOOKUP($A4830,原始数据_收盘!$A$4:$G$3460,5,0),"")</f>
        <v>2.9075</v>
      </c>
      <c r="F4830">
        <f>IFERROR(VLOOKUP($A4830,原始数据_收盘!$A$4:$G$3460,6,0),"")</f>
        <v>2.495</v>
      </c>
      <c r="G4830">
        <f>IFERROR(VLOOKUP($A4830,原始数据_收盘!$A$4:$G$3460,7,0),"")</f>
        <v>2.9057</v>
      </c>
      <c r="H4830">
        <f>IFERROR(VLOOKUP($A4830,原始数据_利率互换_FR007_1年!$A$6:$C$4395,2,0),"")</f>
        <v>2.4948</v>
      </c>
      <c r="I4830">
        <f>IFERROR(VLOOKUP($A4830,原始数据_利率互换_FR007_1年!$A$6:$C$4395,3,0),"")</f>
        <v>2.9004</v>
      </c>
    </row>
    <row r="4831" spans="1:9">
      <c r="A4831" s="6">
        <v>44324</v>
      </c>
      <c r="B4831">
        <f>IFERROR(VLOOKUP($A4831,原始数据_收盘!$A$4:$G$3460,2,0),"")</f>
        <v>2.48</v>
      </c>
      <c r="C4831">
        <f>IFERROR(VLOOKUP($A4831,原始数据_收盘!$A$4:$G$3460,3,0),"")</f>
        <v>2.9</v>
      </c>
      <c r="D4831">
        <f>IFERROR(VLOOKUP($A4831,原始数据_收盘!$A$4:$G$3460,4,0),"")</f>
        <v>2.485</v>
      </c>
      <c r="E4831">
        <f>IFERROR(VLOOKUP($A4831,原始数据_收盘!$A$4:$G$3460,5,0),"")</f>
        <v>2.9025</v>
      </c>
      <c r="F4831">
        <f>IFERROR(VLOOKUP($A4831,原始数据_收盘!$A$4:$G$3460,6,0),"")</f>
        <v>2.4825</v>
      </c>
      <c r="G4831">
        <f>IFERROR(VLOOKUP($A4831,原始数据_收盘!$A$4:$G$3460,7,0),"")</f>
        <v>2.9013</v>
      </c>
      <c r="H4831">
        <f>IFERROR(VLOOKUP($A4831,原始数据_利率互换_FR007_1年!$A$6:$C$4395,2,0),"")</f>
        <v>2.4846</v>
      </c>
      <c r="I4831">
        <f>IFERROR(VLOOKUP($A4831,原始数据_利率互换_FR007_1年!$A$6:$C$4395,3,0),"")</f>
        <v>2.8998</v>
      </c>
    </row>
    <row r="4832" spans="1:9">
      <c r="A4832" s="6">
        <v>44325</v>
      </c>
      <c r="B4832" t="str">
        <f>IFERROR(VLOOKUP($A4832,原始数据_收盘!$A$4:$G$3460,2,0),"")</f>
        <v/>
      </c>
      <c r="C4832" t="str">
        <f>IFERROR(VLOOKUP($A4832,原始数据_收盘!$A$4:$G$3460,3,0),"")</f>
        <v/>
      </c>
      <c r="D4832" t="str">
        <f>IFERROR(VLOOKUP($A4832,原始数据_收盘!$A$4:$G$3460,4,0),"")</f>
        <v/>
      </c>
      <c r="E4832" t="str">
        <f>IFERROR(VLOOKUP($A4832,原始数据_收盘!$A$4:$G$3460,5,0),"")</f>
        <v/>
      </c>
      <c r="F4832" t="str">
        <f>IFERROR(VLOOKUP($A4832,原始数据_收盘!$A$4:$G$3460,6,0),"")</f>
        <v/>
      </c>
      <c r="G4832" t="str">
        <f>IFERROR(VLOOKUP($A4832,原始数据_收盘!$A$4:$G$3460,7,0),"")</f>
        <v/>
      </c>
      <c r="H4832" t="str">
        <f>IFERROR(VLOOKUP($A4832,原始数据_利率互换_FR007_1年!$A$6:$C$4395,2,0),"")</f>
        <v/>
      </c>
      <c r="I4832" t="str">
        <f>IFERROR(VLOOKUP($A4832,原始数据_利率互换_FR007_1年!$A$6:$C$4395,3,0),"")</f>
        <v/>
      </c>
    </row>
    <row r="4833" spans="1:9">
      <c r="A4833" s="6">
        <v>44326</v>
      </c>
      <c r="B4833">
        <f>IFERROR(VLOOKUP($A4833,原始数据_收盘!$A$4:$G$3460,2,0),"")</f>
        <v>2.4575</v>
      </c>
      <c r="C4833">
        <f>IFERROR(VLOOKUP($A4833,原始数据_收盘!$A$4:$G$3460,3,0),"")</f>
        <v>2.8778</v>
      </c>
      <c r="D4833">
        <f>IFERROR(VLOOKUP($A4833,原始数据_收盘!$A$4:$G$3460,4,0),"")</f>
        <v>2.4622</v>
      </c>
      <c r="E4833">
        <f>IFERROR(VLOOKUP($A4833,原始数据_收盘!$A$4:$G$3460,5,0),"")</f>
        <v>2.8817</v>
      </c>
      <c r="F4833">
        <f>IFERROR(VLOOKUP($A4833,原始数据_收盘!$A$4:$G$3460,6,0),"")</f>
        <v>2.4598</v>
      </c>
      <c r="G4833">
        <f>IFERROR(VLOOKUP($A4833,原始数据_收盘!$A$4:$G$3460,7,0),"")</f>
        <v>2.8797</v>
      </c>
      <c r="H4833">
        <f>IFERROR(VLOOKUP($A4833,原始数据_利率互换_FR007_1年!$A$6:$C$4395,2,0),"")</f>
        <v>2.4759</v>
      </c>
      <c r="I4833">
        <f>IFERROR(VLOOKUP($A4833,原始数据_利率互换_FR007_1年!$A$6:$C$4395,3,0),"")</f>
        <v>2.8973</v>
      </c>
    </row>
    <row r="4834" spans="1:9">
      <c r="A4834" s="6">
        <v>44327</v>
      </c>
      <c r="B4834">
        <f>IFERROR(VLOOKUP($A4834,原始数据_收盘!$A$4:$G$3460,2,0),"")</f>
        <v>2.4528</v>
      </c>
      <c r="C4834">
        <f>IFERROR(VLOOKUP($A4834,原始数据_收盘!$A$4:$G$3460,3,0),"")</f>
        <v>2.8624</v>
      </c>
      <c r="D4834">
        <f>IFERROR(VLOOKUP($A4834,原始数据_收盘!$A$4:$G$3460,4,0),"")</f>
        <v>2.4575</v>
      </c>
      <c r="E4834">
        <f>IFERROR(VLOOKUP($A4834,原始数据_收盘!$A$4:$G$3460,5,0),"")</f>
        <v>2.8646</v>
      </c>
      <c r="F4834">
        <f>IFERROR(VLOOKUP($A4834,原始数据_收盘!$A$4:$G$3460,6,0),"")</f>
        <v>2.4552</v>
      </c>
      <c r="G4834">
        <f>IFERROR(VLOOKUP($A4834,原始数据_收盘!$A$4:$G$3460,7,0),"")</f>
        <v>2.8635</v>
      </c>
      <c r="H4834">
        <f>IFERROR(VLOOKUP($A4834,原始数据_利率互换_FR007_1年!$A$6:$C$4395,2,0),"")</f>
        <v>2.4571</v>
      </c>
      <c r="I4834">
        <f>IFERROR(VLOOKUP($A4834,原始数据_利率互换_FR007_1年!$A$6:$C$4395,3,0),"")</f>
        <v>2.8689</v>
      </c>
    </row>
    <row r="4835" spans="1:9">
      <c r="A4835" s="6">
        <v>44328</v>
      </c>
      <c r="B4835">
        <f>IFERROR(VLOOKUP($A4835,原始数据_收盘!$A$4:$G$3460,2,0),"")</f>
        <v>2.4675</v>
      </c>
      <c r="C4835">
        <f>IFERROR(VLOOKUP($A4835,原始数据_收盘!$A$4:$G$3460,3,0),"")</f>
        <v>2.8713</v>
      </c>
      <c r="D4835">
        <f>IFERROR(VLOOKUP($A4835,原始数据_收盘!$A$4:$G$3460,4,0),"")</f>
        <v>2.4703</v>
      </c>
      <c r="E4835">
        <f>IFERROR(VLOOKUP($A4835,原始数据_收盘!$A$4:$G$3460,5,0),"")</f>
        <v>2.875</v>
      </c>
      <c r="F4835">
        <f>IFERROR(VLOOKUP($A4835,原始数据_收盘!$A$4:$G$3460,6,0),"")</f>
        <v>2.4689</v>
      </c>
      <c r="G4835">
        <f>IFERROR(VLOOKUP($A4835,原始数据_收盘!$A$4:$G$3460,7,0),"")</f>
        <v>2.8732</v>
      </c>
      <c r="H4835">
        <f>IFERROR(VLOOKUP($A4835,原始数据_利率互换_FR007_1年!$A$6:$C$4395,2,0),"")</f>
        <v>2.459</v>
      </c>
      <c r="I4835">
        <f>IFERROR(VLOOKUP($A4835,原始数据_利率互换_FR007_1年!$A$6:$C$4395,3,0),"")</f>
        <v>2.8584</v>
      </c>
    </row>
    <row r="4836" spans="1:9">
      <c r="A4836" s="6">
        <v>44329</v>
      </c>
      <c r="B4836">
        <f>IFERROR(VLOOKUP($A4836,原始数据_收盘!$A$4:$G$3460,2,0),"")</f>
        <v>2.4849</v>
      </c>
      <c r="C4836">
        <f>IFERROR(VLOOKUP($A4836,原始数据_收盘!$A$4:$G$3460,3,0),"")</f>
        <v>2.8899</v>
      </c>
      <c r="D4836">
        <f>IFERROR(VLOOKUP($A4836,原始数据_收盘!$A$4:$G$3460,4,0),"")</f>
        <v>2.4875</v>
      </c>
      <c r="E4836">
        <f>IFERROR(VLOOKUP($A4836,原始数据_收盘!$A$4:$G$3460,5,0),"")</f>
        <v>2.8912</v>
      </c>
      <c r="F4836">
        <f>IFERROR(VLOOKUP($A4836,原始数据_收盘!$A$4:$G$3460,6,0),"")</f>
        <v>2.4862</v>
      </c>
      <c r="G4836">
        <f>IFERROR(VLOOKUP($A4836,原始数据_收盘!$A$4:$G$3460,7,0),"")</f>
        <v>2.8905</v>
      </c>
      <c r="H4836">
        <f>IFERROR(VLOOKUP($A4836,原始数据_利率互换_FR007_1年!$A$6:$C$4395,2,0),"")</f>
        <v>2.495</v>
      </c>
      <c r="I4836">
        <f>IFERROR(VLOOKUP($A4836,原始数据_利率互换_FR007_1年!$A$6:$C$4395,3,0),"")</f>
        <v>2.9013</v>
      </c>
    </row>
    <row r="4837" spans="1:9">
      <c r="A4837" s="6">
        <v>44330</v>
      </c>
      <c r="B4837">
        <f>IFERROR(VLOOKUP($A4837,原始数据_收盘!$A$4:$G$3460,2,0),"")</f>
        <v>2.4775</v>
      </c>
      <c r="C4837">
        <f>IFERROR(VLOOKUP($A4837,原始数据_收盘!$A$4:$G$3460,3,0),"")</f>
        <v>2.89</v>
      </c>
      <c r="D4837">
        <f>IFERROR(VLOOKUP($A4837,原始数据_收盘!$A$4:$G$3460,4,0),"")</f>
        <v>2.48</v>
      </c>
      <c r="E4837">
        <f>IFERROR(VLOOKUP($A4837,原始数据_收盘!$A$4:$G$3460,5,0),"")</f>
        <v>2.8925</v>
      </c>
      <c r="F4837">
        <f>IFERROR(VLOOKUP($A4837,原始数据_收盘!$A$4:$G$3460,6,0),"")</f>
        <v>2.4788</v>
      </c>
      <c r="G4837">
        <f>IFERROR(VLOOKUP($A4837,原始数据_收盘!$A$4:$G$3460,7,0),"")</f>
        <v>2.8913</v>
      </c>
      <c r="H4837">
        <f>IFERROR(VLOOKUP($A4837,原始数据_利率互换_FR007_1年!$A$6:$C$4395,2,0),"")</f>
        <v>2.4784</v>
      </c>
      <c r="I4837">
        <f>IFERROR(VLOOKUP($A4837,原始数据_利率互换_FR007_1年!$A$6:$C$4395,3,0),"")</f>
        <v>2.8864</v>
      </c>
    </row>
    <row r="4838" spans="1:9">
      <c r="A4838" s="6">
        <v>44331</v>
      </c>
      <c r="B4838" t="str">
        <f>IFERROR(VLOOKUP($A4838,原始数据_收盘!$A$4:$G$3460,2,0),"")</f>
        <v/>
      </c>
      <c r="C4838" t="str">
        <f>IFERROR(VLOOKUP($A4838,原始数据_收盘!$A$4:$G$3460,3,0),"")</f>
        <v/>
      </c>
      <c r="D4838" t="str">
        <f>IFERROR(VLOOKUP($A4838,原始数据_收盘!$A$4:$G$3460,4,0),"")</f>
        <v/>
      </c>
      <c r="E4838" t="str">
        <f>IFERROR(VLOOKUP($A4838,原始数据_收盘!$A$4:$G$3460,5,0),"")</f>
        <v/>
      </c>
      <c r="F4838" t="str">
        <f>IFERROR(VLOOKUP($A4838,原始数据_收盘!$A$4:$G$3460,6,0),"")</f>
        <v/>
      </c>
      <c r="G4838" t="str">
        <f>IFERROR(VLOOKUP($A4838,原始数据_收盘!$A$4:$G$3460,7,0),"")</f>
        <v/>
      </c>
      <c r="H4838" t="str">
        <f>IFERROR(VLOOKUP($A4838,原始数据_利率互换_FR007_1年!$A$6:$C$4395,2,0),"")</f>
        <v/>
      </c>
      <c r="I4838" t="str">
        <f>IFERROR(VLOOKUP($A4838,原始数据_利率互换_FR007_1年!$A$6:$C$4395,3,0),"")</f>
        <v/>
      </c>
    </row>
    <row r="4839" spans="1:9">
      <c r="A4839" s="6">
        <v>44332</v>
      </c>
      <c r="B4839" t="str">
        <f>IFERROR(VLOOKUP($A4839,原始数据_收盘!$A$4:$G$3460,2,0),"")</f>
        <v/>
      </c>
      <c r="C4839" t="str">
        <f>IFERROR(VLOOKUP($A4839,原始数据_收盘!$A$4:$G$3460,3,0),"")</f>
        <v/>
      </c>
      <c r="D4839" t="str">
        <f>IFERROR(VLOOKUP($A4839,原始数据_收盘!$A$4:$G$3460,4,0),"")</f>
        <v/>
      </c>
      <c r="E4839" t="str">
        <f>IFERROR(VLOOKUP($A4839,原始数据_收盘!$A$4:$G$3460,5,0),"")</f>
        <v/>
      </c>
      <c r="F4839" t="str">
        <f>IFERROR(VLOOKUP($A4839,原始数据_收盘!$A$4:$G$3460,6,0),"")</f>
        <v/>
      </c>
      <c r="G4839" t="str">
        <f>IFERROR(VLOOKUP($A4839,原始数据_收盘!$A$4:$G$3460,7,0),"")</f>
        <v/>
      </c>
      <c r="H4839" t="str">
        <f>IFERROR(VLOOKUP($A4839,原始数据_利率互换_FR007_1年!$A$6:$C$4395,2,0),"")</f>
        <v/>
      </c>
      <c r="I4839" t="str">
        <f>IFERROR(VLOOKUP($A4839,原始数据_利率互换_FR007_1年!$A$6:$C$4395,3,0),"")</f>
        <v/>
      </c>
    </row>
    <row r="4840" spans="1:9">
      <c r="A4840" s="6">
        <v>44333</v>
      </c>
      <c r="B4840">
        <f>IFERROR(VLOOKUP($A4840,原始数据_收盘!$A$4:$G$3460,2,0),"")</f>
        <v>2.5054</v>
      </c>
      <c r="C4840">
        <f>IFERROR(VLOOKUP($A4840,原始数据_收盘!$A$4:$G$3460,3,0),"")</f>
        <v>2.91</v>
      </c>
      <c r="D4840">
        <f>IFERROR(VLOOKUP($A4840,原始数据_收盘!$A$4:$G$3460,4,0),"")</f>
        <v>2.5081</v>
      </c>
      <c r="E4840">
        <f>IFERROR(VLOOKUP($A4840,原始数据_收盘!$A$4:$G$3460,5,0),"")</f>
        <v>2.9133</v>
      </c>
      <c r="F4840">
        <f>IFERROR(VLOOKUP($A4840,原始数据_收盘!$A$4:$G$3460,6,0),"")</f>
        <v>2.5067</v>
      </c>
      <c r="G4840">
        <f>IFERROR(VLOOKUP($A4840,原始数据_收盘!$A$4:$G$3460,7,0),"")</f>
        <v>2.9117</v>
      </c>
      <c r="H4840">
        <f>IFERROR(VLOOKUP($A4840,原始数据_利率互换_FR007_1年!$A$6:$C$4395,2,0),"")</f>
        <v>2.5038</v>
      </c>
      <c r="I4840">
        <f>IFERROR(VLOOKUP($A4840,原始数据_利率互换_FR007_1年!$A$6:$C$4395,3,0),"")</f>
        <v>2.9066</v>
      </c>
    </row>
    <row r="4841" spans="1:9">
      <c r="A4841" s="6">
        <v>44334</v>
      </c>
      <c r="B4841">
        <f>IFERROR(VLOOKUP($A4841,原始数据_收盘!$A$4:$G$3460,2,0),"")</f>
        <v>2.4916</v>
      </c>
      <c r="C4841">
        <f>IFERROR(VLOOKUP($A4841,原始数据_收盘!$A$4:$G$3460,3,0),"")</f>
        <v>2.8959</v>
      </c>
      <c r="D4841">
        <f>IFERROR(VLOOKUP($A4841,原始数据_收盘!$A$4:$G$3460,4,0),"")</f>
        <v>2.4943</v>
      </c>
      <c r="E4841">
        <f>IFERROR(VLOOKUP($A4841,原始数据_收盘!$A$4:$G$3460,5,0),"")</f>
        <v>2.9</v>
      </c>
      <c r="F4841">
        <f>IFERROR(VLOOKUP($A4841,原始数据_收盘!$A$4:$G$3460,6,0),"")</f>
        <v>2.4929</v>
      </c>
      <c r="G4841">
        <f>IFERROR(VLOOKUP($A4841,原始数据_收盘!$A$4:$G$3460,7,0),"")</f>
        <v>2.8979</v>
      </c>
      <c r="H4841">
        <f>IFERROR(VLOOKUP($A4841,原始数据_利率互换_FR007_1年!$A$6:$C$4395,2,0),"")</f>
        <v>2.498</v>
      </c>
      <c r="I4841">
        <f>IFERROR(VLOOKUP($A4841,原始数据_利率互换_FR007_1年!$A$6:$C$4395,3,0),"")</f>
        <v>2.9063</v>
      </c>
    </row>
    <row r="4842" spans="1:9">
      <c r="A4842" s="6">
        <v>44335</v>
      </c>
      <c r="B4842">
        <f>IFERROR(VLOOKUP($A4842,原始数据_收盘!$A$4:$G$3460,2,0),"")</f>
        <v>2.4725</v>
      </c>
      <c r="C4842">
        <f>IFERROR(VLOOKUP($A4842,原始数据_收盘!$A$4:$G$3460,3,0),"")</f>
        <v>2.875</v>
      </c>
      <c r="D4842">
        <f>IFERROR(VLOOKUP($A4842,原始数据_收盘!$A$4:$G$3460,4,0),"")</f>
        <v>2.4775</v>
      </c>
      <c r="E4842">
        <f>IFERROR(VLOOKUP($A4842,原始数据_收盘!$A$4:$G$3460,5,0),"")</f>
        <v>2.8775</v>
      </c>
      <c r="F4842">
        <f>IFERROR(VLOOKUP($A4842,原始数据_收盘!$A$4:$G$3460,6,0),"")</f>
        <v>2.475</v>
      </c>
      <c r="G4842">
        <f>IFERROR(VLOOKUP($A4842,原始数据_收盘!$A$4:$G$3460,7,0),"")</f>
        <v>2.8763</v>
      </c>
      <c r="H4842">
        <f>IFERROR(VLOOKUP($A4842,原始数据_利率互换_FR007_1年!$A$6:$C$4395,2,0),"")</f>
        <v>2.4784</v>
      </c>
      <c r="I4842">
        <f>IFERROR(VLOOKUP($A4842,原始数据_利率互换_FR007_1年!$A$6:$C$4395,3,0),"")</f>
        <v>2.8849</v>
      </c>
    </row>
    <row r="4843" spans="1:9">
      <c r="A4843" s="6">
        <v>44336</v>
      </c>
      <c r="B4843">
        <f>IFERROR(VLOOKUP($A4843,原始数据_收盘!$A$4:$G$3460,2,0),"")</f>
        <v>2.4525</v>
      </c>
      <c r="C4843">
        <f>IFERROR(VLOOKUP($A4843,原始数据_收盘!$A$4:$G$3460,3,0),"")</f>
        <v>2.8546</v>
      </c>
      <c r="D4843">
        <f>IFERROR(VLOOKUP($A4843,原始数据_收盘!$A$4:$G$3460,4,0),"")</f>
        <v>2.4554</v>
      </c>
      <c r="E4843">
        <f>IFERROR(VLOOKUP($A4843,原始数据_收盘!$A$4:$G$3460,5,0),"")</f>
        <v>2.8553</v>
      </c>
      <c r="F4843">
        <f>IFERROR(VLOOKUP($A4843,原始数据_收盘!$A$4:$G$3460,6,0),"")</f>
        <v>2.454</v>
      </c>
      <c r="G4843">
        <f>IFERROR(VLOOKUP($A4843,原始数据_收盘!$A$4:$G$3460,7,0),"")</f>
        <v>2.8549</v>
      </c>
      <c r="H4843">
        <f>IFERROR(VLOOKUP($A4843,原始数据_利率互换_FR007_1年!$A$6:$C$4395,2,0),"")</f>
        <v>2.4624</v>
      </c>
      <c r="I4843">
        <f>IFERROR(VLOOKUP($A4843,原始数据_利率互换_FR007_1年!$A$6:$C$4395,3,0),"")</f>
        <v>2.8654</v>
      </c>
    </row>
    <row r="4844" spans="1:9">
      <c r="A4844" s="6">
        <v>44337</v>
      </c>
      <c r="B4844">
        <f>IFERROR(VLOOKUP($A4844,原始数据_收盘!$A$4:$G$3460,2,0),"")</f>
        <v>2.4422</v>
      </c>
      <c r="C4844">
        <f>IFERROR(VLOOKUP($A4844,原始数据_收盘!$A$4:$G$3460,3,0),"")</f>
        <v>2.8368</v>
      </c>
      <c r="D4844">
        <f>IFERROR(VLOOKUP($A4844,原始数据_收盘!$A$4:$G$3460,4,0),"")</f>
        <v>2.445</v>
      </c>
      <c r="E4844">
        <f>IFERROR(VLOOKUP($A4844,原始数据_收盘!$A$4:$G$3460,5,0),"")</f>
        <v>2.8391</v>
      </c>
      <c r="F4844">
        <f>IFERROR(VLOOKUP($A4844,原始数据_收盘!$A$4:$G$3460,6,0),"")</f>
        <v>2.4436</v>
      </c>
      <c r="G4844">
        <f>IFERROR(VLOOKUP($A4844,原始数据_收盘!$A$4:$G$3460,7,0),"")</f>
        <v>2.8379</v>
      </c>
      <c r="H4844">
        <f>IFERROR(VLOOKUP($A4844,原始数据_利率互换_FR007_1年!$A$6:$C$4395,2,0),"")</f>
        <v>2.447</v>
      </c>
      <c r="I4844">
        <f>IFERROR(VLOOKUP($A4844,原始数据_利率互换_FR007_1年!$A$6:$C$4395,3,0),"")</f>
        <v>2.8479</v>
      </c>
    </row>
    <row r="4845" spans="1:9">
      <c r="A4845" s="6">
        <v>44338</v>
      </c>
      <c r="B4845" t="str">
        <f>IFERROR(VLOOKUP($A4845,原始数据_收盘!$A$4:$G$3460,2,0),"")</f>
        <v/>
      </c>
      <c r="C4845" t="str">
        <f>IFERROR(VLOOKUP($A4845,原始数据_收盘!$A$4:$G$3460,3,0),"")</f>
        <v/>
      </c>
      <c r="D4845" t="str">
        <f>IFERROR(VLOOKUP($A4845,原始数据_收盘!$A$4:$G$3460,4,0),"")</f>
        <v/>
      </c>
      <c r="E4845" t="str">
        <f>IFERROR(VLOOKUP($A4845,原始数据_收盘!$A$4:$G$3460,5,0),"")</f>
        <v/>
      </c>
      <c r="F4845" t="str">
        <f>IFERROR(VLOOKUP($A4845,原始数据_收盘!$A$4:$G$3460,6,0),"")</f>
        <v/>
      </c>
      <c r="G4845" t="str">
        <f>IFERROR(VLOOKUP($A4845,原始数据_收盘!$A$4:$G$3460,7,0),"")</f>
        <v/>
      </c>
      <c r="H4845" t="str">
        <f>IFERROR(VLOOKUP($A4845,原始数据_利率互换_FR007_1年!$A$6:$C$4395,2,0),"")</f>
        <v/>
      </c>
      <c r="I4845" t="str">
        <f>IFERROR(VLOOKUP($A4845,原始数据_利率互换_FR007_1年!$A$6:$C$4395,3,0),"")</f>
        <v/>
      </c>
    </row>
    <row r="4846" spans="1:9">
      <c r="A4846" s="6">
        <v>44339</v>
      </c>
      <c r="B4846" t="str">
        <f>IFERROR(VLOOKUP($A4846,原始数据_收盘!$A$4:$G$3460,2,0),"")</f>
        <v/>
      </c>
      <c r="C4846" t="str">
        <f>IFERROR(VLOOKUP($A4846,原始数据_收盘!$A$4:$G$3460,3,0),"")</f>
        <v/>
      </c>
      <c r="D4846" t="str">
        <f>IFERROR(VLOOKUP($A4846,原始数据_收盘!$A$4:$G$3460,4,0),"")</f>
        <v/>
      </c>
      <c r="E4846" t="str">
        <f>IFERROR(VLOOKUP($A4846,原始数据_收盘!$A$4:$G$3460,5,0),"")</f>
        <v/>
      </c>
      <c r="F4846" t="str">
        <f>IFERROR(VLOOKUP($A4846,原始数据_收盘!$A$4:$G$3460,6,0),"")</f>
        <v/>
      </c>
      <c r="G4846" t="str">
        <f>IFERROR(VLOOKUP($A4846,原始数据_收盘!$A$4:$G$3460,7,0),"")</f>
        <v/>
      </c>
      <c r="H4846" t="str">
        <f>IFERROR(VLOOKUP($A4846,原始数据_利率互换_FR007_1年!$A$6:$C$4395,2,0),"")</f>
        <v/>
      </c>
      <c r="I4846" t="str">
        <f>IFERROR(VLOOKUP($A4846,原始数据_利率互换_FR007_1年!$A$6:$C$4395,3,0),"")</f>
        <v/>
      </c>
    </row>
    <row r="4847" spans="1:9">
      <c r="A4847" s="6">
        <v>44340</v>
      </c>
      <c r="B4847">
        <f>IFERROR(VLOOKUP($A4847,原始数据_收盘!$A$4:$G$3460,2,0),"")</f>
        <v>2.4575</v>
      </c>
      <c r="C4847">
        <f>IFERROR(VLOOKUP($A4847,原始数据_收盘!$A$4:$G$3460,3,0),"")</f>
        <v>2.8575</v>
      </c>
      <c r="D4847">
        <f>IFERROR(VLOOKUP($A4847,原始数据_收盘!$A$4:$G$3460,4,0),"")</f>
        <v>2.46</v>
      </c>
      <c r="E4847">
        <f>IFERROR(VLOOKUP($A4847,原始数据_收盘!$A$4:$G$3460,5,0),"")</f>
        <v>2.8585</v>
      </c>
      <c r="F4847">
        <f>IFERROR(VLOOKUP($A4847,原始数据_收盘!$A$4:$G$3460,6,0),"")</f>
        <v>2.4588</v>
      </c>
      <c r="G4847">
        <f>IFERROR(VLOOKUP($A4847,原始数据_收盘!$A$4:$G$3460,7,0),"")</f>
        <v>2.858</v>
      </c>
      <c r="H4847">
        <f>IFERROR(VLOOKUP($A4847,原始数据_利率互换_FR007_1年!$A$6:$C$4395,2,0),"")</f>
        <v>2.4589</v>
      </c>
      <c r="I4847">
        <f>IFERROR(VLOOKUP($A4847,原始数据_利率互换_FR007_1年!$A$6:$C$4395,3,0),"")</f>
        <v>2.8546</v>
      </c>
    </row>
    <row r="4848" spans="1:9">
      <c r="A4848" s="6">
        <v>44341</v>
      </c>
      <c r="B4848">
        <f>IFERROR(VLOOKUP($A4848,原始数据_收盘!$A$4:$G$3460,2,0),"")</f>
        <v>2.455</v>
      </c>
      <c r="C4848">
        <f>IFERROR(VLOOKUP($A4848,原始数据_收盘!$A$4:$G$3460,3,0),"")</f>
        <v>2.8525</v>
      </c>
      <c r="D4848">
        <f>IFERROR(VLOOKUP($A4848,原始数据_收盘!$A$4:$G$3460,4,0),"")</f>
        <v>2.46</v>
      </c>
      <c r="E4848">
        <f>IFERROR(VLOOKUP($A4848,原始数据_收盘!$A$4:$G$3460,5,0),"")</f>
        <v>2.8562</v>
      </c>
      <c r="F4848">
        <f>IFERROR(VLOOKUP($A4848,原始数据_收盘!$A$4:$G$3460,6,0),"")</f>
        <v>2.4575</v>
      </c>
      <c r="G4848">
        <f>IFERROR(VLOOKUP($A4848,原始数据_收盘!$A$4:$G$3460,7,0),"")</f>
        <v>2.8543</v>
      </c>
      <c r="H4848">
        <f>IFERROR(VLOOKUP($A4848,原始数据_利率互换_FR007_1年!$A$6:$C$4395,2,0),"")</f>
        <v>2.4689</v>
      </c>
      <c r="I4848">
        <f>IFERROR(VLOOKUP($A4848,原始数据_利率互换_FR007_1年!$A$6:$C$4395,3,0),"")</f>
        <v>2.8664</v>
      </c>
    </row>
    <row r="4849" spans="1:9">
      <c r="A4849" s="6">
        <v>44342</v>
      </c>
      <c r="B4849">
        <f>IFERROR(VLOOKUP($A4849,原始数据_收盘!$A$4:$G$3460,2,0),"")</f>
        <v>2.4475</v>
      </c>
      <c r="C4849">
        <f>IFERROR(VLOOKUP($A4849,原始数据_收盘!$A$4:$G$3460,3,0),"")</f>
        <v>2.845</v>
      </c>
      <c r="D4849">
        <f>IFERROR(VLOOKUP($A4849,原始数据_收盘!$A$4:$G$3460,4,0),"")</f>
        <v>2.455</v>
      </c>
      <c r="E4849">
        <f>IFERROR(VLOOKUP($A4849,原始数据_收盘!$A$4:$G$3460,5,0),"")</f>
        <v>2.8475</v>
      </c>
      <c r="F4849">
        <f>IFERROR(VLOOKUP($A4849,原始数据_收盘!$A$4:$G$3460,6,0),"")</f>
        <v>2.4513</v>
      </c>
      <c r="G4849">
        <f>IFERROR(VLOOKUP($A4849,原始数据_收盘!$A$4:$G$3460,7,0),"")</f>
        <v>2.8463</v>
      </c>
      <c r="H4849">
        <f>IFERROR(VLOOKUP($A4849,原始数据_利率互换_FR007_1年!$A$6:$C$4395,2,0),"")</f>
        <v>2.4485</v>
      </c>
      <c r="I4849">
        <f>IFERROR(VLOOKUP($A4849,原始数据_利率互换_FR007_1年!$A$6:$C$4395,3,0),"")</f>
        <v>2.845</v>
      </c>
    </row>
    <row r="4850" spans="1:9">
      <c r="A4850" s="6">
        <v>44343</v>
      </c>
      <c r="B4850">
        <f>IFERROR(VLOOKUP($A4850,原始数据_收盘!$A$4:$G$3460,2,0),"")</f>
        <v>2.4675</v>
      </c>
      <c r="C4850">
        <f>IFERROR(VLOOKUP($A4850,原始数据_收盘!$A$4:$G$3460,3,0),"")</f>
        <v>2.865</v>
      </c>
      <c r="D4850">
        <f>IFERROR(VLOOKUP($A4850,原始数据_收盘!$A$4:$G$3460,4,0),"")</f>
        <v>2.47</v>
      </c>
      <c r="E4850">
        <f>IFERROR(VLOOKUP($A4850,原始数据_收盘!$A$4:$G$3460,5,0),"")</f>
        <v>2.8675</v>
      </c>
      <c r="F4850">
        <f>IFERROR(VLOOKUP($A4850,原始数据_收盘!$A$4:$G$3460,6,0),"")</f>
        <v>2.4688</v>
      </c>
      <c r="G4850">
        <f>IFERROR(VLOOKUP($A4850,原始数据_收盘!$A$4:$G$3460,7,0),"")</f>
        <v>2.8663</v>
      </c>
      <c r="H4850">
        <f>IFERROR(VLOOKUP($A4850,原始数据_利率互换_FR007_1年!$A$6:$C$4395,2,0),"")</f>
        <v>2.4657</v>
      </c>
      <c r="I4850">
        <f>IFERROR(VLOOKUP($A4850,原始数据_利率互换_FR007_1年!$A$6:$C$4395,3,0),"")</f>
        <v>2.8621</v>
      </c>
    </row>
    <row r="4851" spans="1:9">
      <c r="A4851" s="6">
        <v>44344</v>
      </c>
      <c r="B4851">
        <f>IFERROR(VLOOKUP($A4851,原始数据_收盘!$A$4:$G$3460,2,0),"")</f>
        <v>2.4825</v>
      </c>
      <c r="C4851">
        <f>IFERROR(VLOOKUP($A4851,原始数据_收盘!$A$4:$G$3460,3,0),"")</f>
        <v>2.8795</v>
      </c>
      <c r="D4851">
        <f>IFERROR(VLOOKUP($A4851,原始数据_收盘!$A$4:$G$3460,4,0),"")</f>
        <v>2.485</v>
      </c>
      <c r="E4851">
        <f>IFERROR(VLOOKUP($A4851,原始数据_收盘!$A$4:$G$3460,5,0),"")</f>
        <v>2.8815</v>
      </c>
      <c r="F4851">
        <f>IFERROR(VLOOKUP($A4851,原始数据_收盘!$A$4:$G$3460,6,0),"")</f>
        <v>2.4838</v>
      </c>
      <c r="G4851">
        <f>IFERROR(VLOOKUP($A4851,原始数据_收盘!$A$4:$G$3460,7,0),"")</f>
        <v>2.8805</v>
      </c>
      <c r="H4851">
        <f>IFERROR(VLOOKUP($A4851,原始数据_利率互换_FR007_1年!$A$6:$C$4395,2,0),"")</f>
        <v>2.4864</v>
      </c>
      <c r="I4851">
        <f>IFERROR(VLOOKUP($A4851,原始数据_利率互换_FR007_1年!$A$6:$C$4395,3,0),"")</f>
        <v>2.8847</v>
      </c>
    </row>
    <row r="4852" spans="1:9">
      <c r="A4852" s="6">
        <v>44345</v>
      </c>
      <c r="B4852" t="str">
        <f>IFERROR(VLOOKUP($A4852,原始数据_收盘!$A$4:$G$3460,2,0),"")</f>
        <v/>
      </c>
      <c r="C4852" t="str">
        <f>IFERROR(VLOOKUP($A4852,原始数据_收盘!$A$4:$G$3460,3,0),"")</f>
        <v/>
      </c>
      <c r="D4852" t="str">
        <f>IFERROR(VLOOKUP($A4852,原始数据_收盘!$A$4:$G$3460,4,0),"")</f>
        <v/>
      </c>
      <c r="E4852" t="str">
        <f>IFERROR(VLOOKUP($A4852,原始数据_收盘!$A$4:$G$3460,5,0),"")</f>
        <v/>
      </c>
      <c r="F4852" t="str">
        <f>IFERROR(VLOOKUP($A4852,原始数据_收盘!$A$4:$G$3460,6,0),"")</f>
        <v/>
      </c>
      <c r="G4852" t="str">
        <f>IFERROR(VLOOKUP($A4852,原始数据_收盘!$A$4:$G$3460,7,0),"")</f>
        <v/>
      </c>
      <c r="H4852" t="str">
        <f>IFERROR(VLOOKUP($A4852,原始数据_利率互换_FR007_1年!$A$6:$C$4395,2,0),"")</f>
        <v/>
      </c>
      <c r="I4852" t="str">
        <f>IFERROR(VLOOKUP($A4852,原始数据_利率互换_FR007_1年!$A$6:$C$4395,3,0),"")</f>
        <v/>
      </c>
    </row>
    <row r="4853" spans="1:9">
      <c r="A4853" s="6">
        <v>44346</v>
      </c>
      <c r="B4853" t="str">
        <f>IFERROR(VLOOKUP($A4853,原始数据_收盘!$A$4:$G$3460,2,0),"")</f>
        <v/>
      </c>
      <c r="C4853" t="str">
        <f>IFERROR(VLOOKUP($A4853,原始数据_收盘!$A$4:$G$3460,3,0),"")</f>
        <v/>
      </c>
      <c r="D4853" t="str">
        <f>IFERROR(VLOOKUP($A4853,原始数据_收盘!$A$4:$G$3460,4,0),"")</f>
        <v/>
      </c>
      <c r="E4853" t="str">
        <f>IFERROR(VLOOKUP($A4853,原始数据_收盘!$A$4:$G$3460,5,0),"")</f>
        <v/>
      </c>
      <c r="F4853" t="str">
        <f>IFERROR(VLOOKUP($A4853,原始数据_收盘!$A$4:$G$3460,6,0),"")</f>
        <v/>
      </c>
      <c r="G4853" t="str">
        <f>IFERROR(VLOOKUP($A4853,原始数据_收盘!$A$4:$G$3460,7,0),"")</f>
        <v/>
      </c>
      <c r="H4853" t="str">
        <f>IFERROR(VLOOKUP($A4853,原始数据_利率互换_FR007_1年!$A$6:$C$4395,2,0),"")</f>
        <v/>
      </c>
      <c r="I4853" t="str">
        <f>IFERROR(VLOOKUP($A4853,原始数据_利率互换_FR007_1年!$A$6:$C$4395,3,0),"")</f>
        <v/>
      </c>
    </row>
    <row r="4854" spans="1:9">
      <c r="A4854" s="6">
        <v>44347</v>
      </c>
      <c r="B4854">
        <f>IFERROR(VLOOKUP($A4854,原始数据_收盘!$A$4:$G$3460,2,0),"")</f>
        <v>2.4854</v>
      </c>
      <c r="C4854">
        <f>IFERROR(VLOOKUP($A4854,原始数据_收盘!$A$4:$G$3460,3,0),"")</f>
        <v>2.875</v>
      </c>
      <c r="D4854">
        <f>IFERROR(VLOOKUP($A4854,原始数据_收盘!$A$4:$G$3460,4,0),"")</f>
        <v>2.4883</v>
      </c>
      <c r="E4854">
        <f>IFERROR(VLOOKUP($A4854,原始数据_收盘!$A$4:$G$3460,5,0),"")</f>
        <v>2.8775</v>
      </c>
      <c r="F4854">
        <f>IFERROR(VLOOKUP($A4854,原始数据_收盘!$A$4:$G$3460,6,0),"")</f>
        <v>2.4869</v>
      </c>
      <c r="G4854">
        <f>IFERROR(VLOOKUP($A4854,原始数据_收盘!$A$4:$G$3460,7,0),"")</f>
        <v>2.8763</v>
      </c>
      <c r="H4854">
        <f>IFERROR(VLOOKUP($A4854,原始数据_利率互换_FR007_1年!$A$6:$C$4395,2,0),"")</f>
        <v>2.4925</v>
      </c>
      <c r="I4854">
        <f>IFERROR(VLOOKUP($A4854,原始数据_利率互换_FR007_1年!$A$6:$C$4395,3,0),"")</f>
        <v>2.8843</v>
      </c>
    </row>
    <row r="4855" spans="1:9">
      <c r="A4855" s="6">
        <v>44348</v>
      </c>
      <c r="B4855">
        <f>IFERROR(VLOOKUP($A4855,原始数据_收盘!$A$4:$G$3460,2,0),"")</f>
        <v>2.475</v>
      </c>
      <c r="C4855">
        <f>IFERROR(VLOOKUP($A4855,原始数据_收盘!$A$4:$G$3460,3,0),"")</f>
        <v>2.8725</v>
      </c>
      <c r="D4855">
        <f>IFERROR(VLOOKUP($A4855,原始数据_收盘!$A$4:$G$3460,4,0),"")</f>
        <v>2.4775</v>
      </c>
      <c r="E4855">
        <f>IFERROR(VLOOKUP($A4855,原始数据_收盘!$A$4:$G$3460,5,0),"")</f>
        <v>2.8762</v>
      </c>
      <c r="F4855">
        <f>IFERROR(VLOOKUP($A4855,原始数据_收盘!$A$4:$G$3460,6,0),"")</f>
        <v>2.4763</v>
      </c>
      <c r="G4855">
        <f>IFERROR(VLOOKUP($A4855,原始数据_收盘!$A$4:$G$3460,7,0),"")</f>
        <v>2.8743</v>
      </c>
      <c r="H4855">
        <f>IFERROR(VLOOKUP($A4855,原始数据_利率互换_FR007_1年!$A$6:$C$4395,2,0),"")</f>
        <v>2.4757</v>
      </c>
      <c r="I4855">
        <f>IFERROR(VLOOKUP($A4855,原始数据_利率互换_FR007_1年!$A$6:$C$4395,3,0),"")</f>
        <v>2.8694</v>
      </c>
    </row>
    <row r="4856" spans="1:9">
      <c r="A4856" s="6">
        <v>44349</v>
      </c>
      <c r="B4856">
        <f>IFERROR(VLOOKUP($A4856,原始数据_收盘!$A$4:$G$3460,2,0),"")</f>
        <v>2.4875</v>
      </c>
      <c r="C4856">
        <f>IFERROR(VLOOKUP($A4856,原始数据_收盘!$A$4:$G$3460,3,0),"")</f>
        <v>2.89</v>
      </c>
      <c r="D4856">
        <f>IFERROR(VLOOKUP($A4856,原始数据_收盘!$A$4:$G$3460,4,0),"")</f>
        <v>2.49</v>
      </c>
      <c r="E4856">
        <f>IFERROR(VLOOKUP($A4856,原始数据_收盘!$A$4:$G$3460,5,0),"")</f>
        <v>2.8925</v>
      </c>
      <c r="F4856">
        <f>IFERROR(VLOOKUP($A4856,原始数据_收盘!$A$4:$G$3460,6,0),"")</f>
        <v>2.4888</v>
      </c>
      <c r="G4856">
        <f>IFERROR(VLOOKUP($A4856,原始数据_收盘!$A$4:$G$3460,7,0),"")</f>
        <v>2.8913</v>
      </c>
      <c r="H4856">
        <f>IFERROR(VLOOKUP($A4856,原始数据_利率互换_FR007_1年!$A$6:$C$4395,2,0),"")</f>
        <v>2.4795</v>
      </c>
      <c r="I4856">
        <f>IFERROR(VLOOKUP($A4856,原始数据_利率互换_FR007_1年!$A$6:$C$4395,3,0),"")</f>
        <v>2.8829</v>
      </c>
    </row>
    <row r="4857" spans="1:9">
      <c r="A4857" s="6">
        <v>44350</v>
      </c>
      <c r="B4857">
        <f>IFERROR(VLOOKUP($A4857,原始数据_收盘!$A$4:$G$3460,2,0),"")</f>
        <v>2.4675</v>
      </c>
      <c r="C4857">
        <f>IFERROR(VLOOKUP($A4857,原始数据_收盘!$A$4:$G$3460,3,0),"")</f>
        <v>2.8725</v>
      </c>
      <c r="D4857">
        <f>IFERROR(VLOOKUP($A4857,原始数据_收盘!$A$4:$G$3460,4,0),"")</f>
        <v>2.4725</v>
      </c>
      <c r="E4857">
        <f>IFERROR(VLOOKUP($A4857,原始数据_收盘!$A$4:$G$3460,5,0),"")</f>
        <v>2.875</v>
      </c>
      <c r="F4857">
        <f>IFERROR(VLOOKUP($A4857,原始数据_收盘!$A$4:$G$3460,6,0),"")</f>
        <v>2.47</v>
      </c>
      <c r="G4857">
        <f>IFERROR(VLOOKUP($A4857,原始数据_收盘!$A$4:$G$3460,7,0),"")</f>
        <v>2.8738</v>
      </c>
      <c r="H4857">
        <f>IFERROR(VLOOKUP($A4857,原始数据_利率互换_FR007_1年!$A$6:$C$4395,2,0),"")</f>
        <v>2.4698</v>
      </c>
      <c r="I4857">
        <f>IFERROR(VLOOKUP($A4857,原始数据_利率互换_FR007_1年!$A$6:$C$4395,3,0),"")</f>
        <v>2.8771</v>
      </c>
    </row>
    <row r="4858" spans="1:9">
      <c r="A4858" s="6">
        <v>44351</v>
      </c>
      <c r="B4858">
        <f>IFERROR(VLOOKUP($A4858,原始数据_收盘!$A$4:$G$3460,2,0),"")</f>
        <v>2.51</v>
      </c>
      <c r="C4858">
        <f>IFERROR(VLOOKUP($A4858,原始数据_收盘!$A$4:$G$3460,3,0),"")</f>
        <v>2.92</v>
      </c>
      <c r="D4858">
        <f>IFERROR(VLOOKUP($A4858,原始数据_收盘!$A$4:$G$3460,4,0),"")</f>
        <v>2.5133</v>
      </c>
      <c r="E4858">
        <f>IFERROR(VLOOKUP($A4858,原始数据_收盘!$A$4:$G$3460,5,0),"")</f>
        <v>2.9233</v>
      </c>
      <c r="F4858">
        <f>IFERROR(VLOOKUP($A4858,原始数据_收盘!$A$4:$G$3460,6,0),"")</f>
        <v>2.5117</v>
      </c>
      <c r="G4858">
        <f>IFERROR(VLOOKUP($A4858,原始数据_收盘!$A$4:$G$3460,7,0),"")</f>
        <v>2.9217</v>
      </c>
      <c r="H4858">
        <f>IFERROR(VLOOKUP($A4858,原始数据_利率互换_FR007_1年!$A$6:$C$4395,2,0),"")</f>
        <v>2.4934</v>
      </c>
      <c r="I4858">
        <f>IFERROR(VLOOKUP($A4858,原始数据_利率互换_FR007_1年!$A$6:$C$4395,3,0),"")</f>
        <v>2.9011</v>
      </c>
    </row>
    <row r="4859" spans="1:9">
      <c r="A4859" s="6">
        <v>44352</v>
      </c>
      <c r="B4859" t="str">
        <f>IFERROR(VLOOKUP($A4859,原始数据_收盘!$A$4:$G$3460,2,0),"")</f>
        <v/>
      </c>
      <c r="C4859" t="str">
        <f>IFERROR(VLOOKUP($A4859,原始数据_收盘!$A$4:$G$3460,3,0),"")</f>
        <v/>
      </c>
      <c r="D4859" t="str">
        <f>IFERROR(VLOOKUP($A4859,原始数据_收盘!$A$4:$G$3460,4,0),"")</f>
        <v/>
      </c>
      <c r="E4859" t="str">
        <f>IFERROR(VLOOKUP($A4859,原始数据_收盘!$A$4:$G$3460,5,0),"")</f>
        <v/>
      </c>
      <c r="F4859" t="str">
        <f>IFERROR(VLOOKUP($A4859,原始数据_收盘!$A$4:$G$3460,6,0),"")</f>
        <v/>
      </c>
      <c r="G4859" t="str">
        <f>IFERROR(VLOOKUP($A4859,原始数据_收盘!$A$4:$G$3460,7,0),"")</f>
        <v/>
      </c>
      <c r="H4859" t="str">
        <f>IFERROR(VLOOKUP($A4859,原始数据_利率互换_FR007_1年!$A$6:$C$4395,2,0),"")</f>
        <v/>
      </c>
      <c r="I4859" t="str">
        <f>IFERROR(VLOOKUP($A4859,原始数据_利率互换_FR007_1年!$A$6:$C$4395,3,0),"")</f>
        <v/>
      </c>
    </row>
    <row r="4860" spans="1:9">
      <c r="A4860" s="6">
        <v>44353</v>
      </c>
      <c r="B4860" t="str">
        <f>IFERROR(VLOOKUP($A4860,原始数据_收盘!$A$4:$G$3460,2,0),"")</f>
        <v/>
      </c>
      <c r="C4860" t="str">
        <f>IFERROR(VLOOKUP($A4860,原始数据_收盘!$A$4:$G$3460,3,0),"")</f>
        <v/>
      </c>
      <c r="D4860" t="str">
        <f>IFERROR(VLOOKUP($A4860,原始数据_收盘!$A$4:$G$3460,4,0),"")</f>
        <v/>
      </c>
      <c r="E4860" t="str">
        <f>IFERROR(VLOOKUP($A4860,原始数据_收盘!$A$4:$G$3460,5,0),"")</f>
        <v/>
      </c>
      <c r="F4860" t="str">
        <f>IFERROR(VLOOKUP($A4860,原始数据_收盘!$A$4:$G$3460,6,0),"")</f>
        <v/>
      </c>
      <c r="G4860" t="str">
        <f>IFERROR(VLOOKUP($A4860,原始数据_收盘!$A$4:$G$3460,7,0),"")</f>
        <v/>
      </c>
      <c r="H4860" t="str">
        <f>IFERROR(VLOOKUP($A4860,原始数据_利率互换_FR007_1年!$A$6:$C$4395,2,0),"")</f>
        <v/>
      </c>
      <c r="I4860" t="str">
        <f>IFERROR(VLOOKUP($A4860,原始数据_利率互换_FR007_1年!$A$6:$C$4395,3,0),"")</f>
        <v/>
      </c>
    </row>
    <row r="4861" spans="1:9">
      <c r="A4861" s="6">
        <v>44354</v>
      </c>
      <c r="B4861">
        <f>IFERROR(VLOOKUP($A4861,原始数据_收盘!$A$4:$G$3460,2,0),"")</f>
        <v>2.5325</v>
      </c>
      <c r="C4861">
        <f>IFERROR(VLOOKUP($A4861,原始数据_收盘!$A$4:$G$3460,3,0),"")</f>
        <v>2.9375</v>
      </c>
      <c r="D4861">
        <f>IFERROR(VLOOKUP($A4861,原始数据_收盘!$A$4:$G$3460,4,0),"")</f>
        <v>2.535</v>
      </c>
      <c r="E4861">
        <f>IFERROR(VLOOKUP($A4861,原始数据_收盘!$A$4:$G$3460,5,0),"")</f>
        <v>2.94</v>
      </c>
      <c r="F4861">
        <f>IFERROR(VLOOKUP($A4861,原始数据_收盘!$A$4:$G$3460,6,0),"")</f>
        <v>2.5338</v>
      </c>
      <c r="G4861">
        <f>IFERROR(VLOOKUP($A4861,原始数据_收盘!$A$4:$G$3460,7,0),"")</f>
        <v>2.9388</v>
      </c>
      <c r="H4861">
        <f>IFERROR(VLOOKUP($A4861,原始数据_利率互换_FR007_1年!$A$6:$C$4395,2,0),"")</f>
        <v>2.5349</v>
      </c>
      <c r="I4861">
        <f>IFERROR(VLOOKUP($A4861,原始数据_利率互换_FR007_1年!$A$6:$C$4395,3,0),"")</f>
        <v>2.9376</v>
      </c>
    </row>
    <row r="4862" spans="1:9">
      <c r="A4862" s="6">
        <v>44355</v>
      </c>
      <c r="B4862">
        <f>IFERROR(VLOOKUP($A4862,原始数据_收盘!$A$4:$G$3460,2,0),"")</f>
        <v>2.535</v>
      </c>
      <c r="C4862">
        <f>IFERROR(VLOOKUP($A4862,原始数据_收盘!$A$4:$G$3460,3,0),"")</f>
        <v>2.9433</v>
      </c>
      <c r="D4862">
        <f>IFERROR(VLOOKUP($A4862,原始数据_收盘!$A$4:$G$3460,4,0),"")</f>
        <v>2.54</v>
      </c>
      <c r="E4862">
        <f>IFERROR(VLOOKUP($A4862,原始数据_收盘!$A$4:$G$3460,5,0),"")</f>
        <v>2.9461</v>
      </c>
      <c r="F4862">
        <f>IFERROR(VLOOKUP($A4862,原始数据_收盘!$A$4:$G$3460,6,0),"")</f>
        <v>2.5375</v>
      </c>
      <c r="G4862">
        <f>IFERROR(VLOOKUP($A4862,原始数据_收盘!$A$4:$G$3460,7,0),"")</f>
        <v>2.9447</v>
      </c>
      <c r="H4862">
        <f>IFERROR(VLOOKUP($A4862,原始数据_利率互换_FR007_1年!$A$6:$C$4395,2,0),"")</f>
        <v>2.5322</v>
      </c>
      <c r="I4862">
        <f>IFERROR(VLOOKUP($A4862,原始数据_利率互换_FR007_1年!$A$6:$C$4395,3,0),"")</f>
        <v>2.9386</v>
      </c>
    </row>
    <row r="4863" spans="1:9">
      <c r="A4863" s="6">
        <v>44356</v>
      </c>
      <c r="B4863">
        <f>IFERROR(VLOOKUP($A4863,原始数据_收盘!$A$4:$G$3460,2,0),"")</f>
        <v>2.5315</v>
      </c>
      <c r="C4863">
        <f>IFERROR(VLOOKUP($A4863,原始数据_收盘!$A$4:$G$3460,3,0),"")</f>
        <v>2.9367</v>
      </c>
      <c r="D4863">
        <f>IFERROR(VLOOKUP($A4863,原始数据_收盘!$A$4:$G$3460,4,0),"")</f>
        <v>2.535</v>
      </c>
      <c r="E4863">
        <f>IFERROR(VLOOKUP($A4863,原始数据_收盘!$A$4:$G$3460,5,0),"")</f>
        <v>2.9394</v>
      </c>
      <c r="F4863">
        <f>IFERROR(VLOOKUP($A4863,原始数据_收盘!$A$4:$G$3460,6,0),"")</f>
        <v>2.5333</v>
      </c>
      <c r="G4863">
        <f>IFERROR(VLOOKUP($A4863,原始数据_收盘!$A$4:$G$3460,7,0),"")</f>
        <v>2.9381</v>
      </c>
      <c r="H4863">
        <f>IFERROR(VLOOKUP($A4863,原始数据_利率互换_FR007_1年!$A$6:$C$4395,2,0),"")</f>
        <v>2.5395</v>
      </c>
      <c r="I4863">
        <f>IFERROR(VLOOKUP($A4863,原始数据_利率互换_FR007_1年!$A$6:$C$4395,3,0),"")</f>
        <v>2.948</v>
      </c>
    </row>
    <row r="4864" spans="1:9">
      <c r="A4864" s="6">
        <v>44357</v>
      </c>
      <c r="B4864">
        <f>IFERROR(VLOOKUP($A4864,原始数据_收盘!$A$4:$G$3460,2,0),"")</f>
        <v>2.5225</v>
      </c>
      <c r="C4864">
        <f>IFERROR(VLOOKUP($A4864,原始数据_收盘!$A$4:$G$3460,3,0),"")</f>
        <v>2.9325</v>
      </c>
      <c r="D4864">
        <f>IFERROR(VLOOKUP($A4864,原始数据_收盘!$A$4:$G$3460,4,0),"")</f>
        <v>2.53</v>
      </c>
      <c r="E4864">
        <f>IFERROR(VLOOKUP($A4864,原始数据_收盘!$A$4:$G$3460,5,0),"")</f>
        <v>2.9375</v>
      </c>
      <c r="F4864">
        <f>IFERROR(VLOOKUP($A4864,原始数据_收盘!$A$4:$G$3460,6,0),"")</f>
        <v>2.5263</v>
      </c>
      <c r="G4864">
        <f>IFERROR(VLOOKUP($A4864,原始数据_收盘!$A$4:$G$3460,7,0),"")</f>
        <v>2.935</v>
      </c>
      <c r="H4864">
        <f>IFERROR(VLOOKUP($A4864,原始数据_利率互换_FR007_1年!$A$6:$C$4395,2,0),"")</f>
        <v>2.5205</v>
      </c>
      <c r="I4864">
        <f>IFERROR(VLOOKUP($A4864,原始数据_利率互换_FR007_1年!$A$6:$C$4395,3,0),"")</f>
        <v>2.9308</v>
      </c>
    </row>
    <row r="4865" spans="1:9">
      <c r="A4865" s="6">
        <v>44358</v>
      </c>
      <c r="B4865">
        <f>IFERROR(VLOOKUP($A4865,原始数据_收盘!$A$4:$G$3460,2,0),"")</f>
        <v>2.5425</v>
      </c>
      <c r="C4865">
        <f>IFERROR(VLOOKUP($A4865,原始数据_收盘!$A$4:$G$3460,3,0),"")</f>
        <v>2.9575</v>
      </c>
      <c r="D4865">
        <f>IFERROR(VLOOKUP($A4865,原始数据_收盘!$A$4:$G$3460,4,0),"")</f>
        <v>2.545</v>
      </c>
      <c r="E4865">
        <f>IFERROR(VLOOKUP($A4865,原始数据_收盘!$A$4:$G$3460,5,0),"")</f>
        <v>2.96</v>
      </c>
      <c r="F4865">
        <f>IFERROR(VLOOKUP($A4865,原始数据_收盘!$A$4:$G$3460,6,0),"")</f>
        <v>2.5438</v>
      </c>
      <c r="G4865">
        <f>IFERROR(VLOOKUP($A4865,原始数据_收盘!$A$4:$G$3460,7,0),"")</f>
        <v>2.9588</v>
      </c>
      <c r="H4865">
        <f>IFERROR(VLOOKUP($A4865,原始数据_利率互换_FR007_1年!$A$6:$C$4395,2,0),"")</f>
        <v>2.5385</v>
      </c>
      <c r="I4865">
        <f>IFERROR(VLOOKUP($A4865,原始数据_利率互换_FR007_1年!$A$6:$C$4395,3,0),"")</f>
        <v>2.9471</v>
      </c>
    </row>
    <row r="4866" spans="1:9">
      <c r="A4866" s="6">
        <v>44359</v>
      </c>
      <c r="B4866" t="str">
        <f>IFERROR(VLOOKUP($A4866,原始数据_收盘!$A$4:$G$3460,2,0),"")</f>
        <v/>
      </c>
      <c r="C4866" t="str">
        <f>IFERROR(VLOOKUP($A4866,原始数据_收盘!$A$4:$G$3460,3,0),"")</f>
        <v/>
      </c>
      <c r="D4866" t="str">
        <f>IFERROR(VLOOKUP($A4866,原始数据_收盘!$A$4:$G$3460,4,0),"")</f>
        <v/>
      </c>
      <c r="E4866" t="str">
        <f>IFERROR(VLOOKUP($A4866,原始数据_收盘!$A$4:$G$3460,5,0),"")</f>
        <v/>
      </c>
      <c r="F4866" t="str">
        <f>IFERROR(VLOOKUP($A4866,原始数据_收盘!$A$4:$G$3460,6,0),"")</f>
        <v/>
      </c>
      <c r="G4866" t="str">
        <f>IFERROR(VLOOKUP($A4866,原始数据_收盘!$A$4:$G$3460,7,0),"")</f>
        <v/>
      </c>
      <c r="H4866" t="str">
        <f>IFERROR(VLOOKUP($A4866,原始数据_利率互换_FR007_1年!$A$6:$C$4395,2,0),"")</f>
        <v/>
      </c>
      <c r="I4866" t="str">
        <f>IFERROR(VLOOKUP($A4866,原始数据_利率互换_FR007_1年!$A$6:$C$4395,3,0),"")</f>
        <v/>
      </c>
    </row>
    <row r="4867" spans="1:9">
      <c r="A4867" s="6">
        <v>44360</v>
      </c>
      <c r="B4867" t="str">
        <f>IFERROR(VLOOKUP($A4867,原始数据_收盘!$A$4:$G$3460,2,0),"")</f>
        <v/>
      </c>
      <c r="C4867" t="str">
        <f>IFERROR(VLOOKUP($A4867,原始数据_收盘!$A$4:$G$3460,3,0),"")</f>
        <v/>
      </c>
      <c r="D4867" t="str">
        <f>IFERROR(VLOOKUP($A4867,原始数据_收盘!$A$4:$G$3460,4,0),"")</f>
        <v/>
      </c>
      <c r="E4867" t="str">
        <f>IFERROR(VLOOKUP($A4867,原始数据_收盘!$A$4:$G$3460,5,0),"")</f>
        <v/>
      </c>
      <c r="F4867" t="str">
        <f>IFERROR(VLOOKUP($A4867,原始数据_收盘!$A$4:$G$3460,6,0),"")</f>
        <v/>
      </c>
      <c r="G4867" t="str">
        <f>IFERROR(VLOOKUP($A4867,原始数据_收盘!$A$4:$G$3460,7,0),"")</f>
        <v/>
      </c>
      <c r="H4867" t="str">
        <f>IFERROR(VLOOKUP($A4867,原始数据_利率互换_FR007_1年!$A$6:$C$4395,2,0),"")</f>
        <v/>
      </c>
      <c r="I4867" t="str">
        <f>IFERROR(VLOOKUP($A4867,原始数据_利率互换_FR007_1年!$A$6:$C$4395,3,0),"")</f>
        <v/>
      </c>
    </row>
    <row r="4868" spans="1:9">
      <c r="A4868" s="6">
        <v>44361</v>
      </c>
      <c r="B4868" t="str">
        <f>IFERROR(VLOOKUP($A4868,原始数据_收盘!$A$4:$G$3460,2,0),"")</f>
        <v/>
      </c>
      <c r="C4868" t="str">
        <f>IFERROR(VLOOKUP($A4868,原始数据_收盘!$A$4:$G$3460,3,0),"")</f>
        <v/>
      </c>
      <c r="D4868" t="str">
        <f>IFERROR(VLOOKUP($A4868,原始数据_收盘!$A$4:$G$3460,4,0),"")</f>
        <v/>
      </c>
      <c r="E4868" t="str">
        <f>IFERROR(VLOOKUP($A4868,原始数据_收盘!$A$4:$G$3460,5,0),"")</f>
        <v/>
      </c>
      <c r="F4868" t="str">
        <f>IFERROR(VLOOKUP($A4868,原始数据_收盘!$A$4:$G$3460,6,0),"")</f>
        <v/>
      </c>
      <c r="G4868" t="str">
        <f>IFERROR(VLOOKUP($A4868,原始数据_收盘!$A$4:$G$3460,7,0),"")</f>
        <v/>
      </c>
      <c r="H4868" t="str">
        <f>IFERROR(VLOOKUP($A4868,原始数据_利率互换_FR007_1年!$A$6:$C$4395,2,0),"")</f>
        <v/>
      </c>
      <c r="I4868" t="str">
        <f>IFERROR(VLOOKUP($A4868,原始数据_利率互换_FR007_1年!$A$6:$C$4395,3,0),"")</f>
        <v/>
      </c>
    </row>
    <row r="4869" spans="1:9">
      <c r="A4869" s="6">
        <v>44362</v>
      </c>
      <c r="B4869">
        <f>IFERROR(VLOOKUP($A4869,原始数据_收盘!$A$4:$G$3460,2,0),"")</f>
        <v>2.5413</v>
      </c>
      <c r="C4869">
        <f>IFERROR(VLOOKUP($A4869,原始数据_收盘!$A$4:$G$3460,3,0),"")</f>
        <v>2.9549</v>
      </c>
      <c r="D4869">
        <f>IFERROR(VLOOKUP($A4869,原始数据_收盘!$A$4:$G$3460,4,0),"")</f>
        <v>2.545</v>
      </c>
      <c r="E4869">
        <f>IFERROR(VLOOKUP($A4869,原始数据_收盘!$A$4:$G$3460,5,0),"")</f>
        <v>2.9575</v>
      </c>
      <c r="F4869">
        <f>IFERROR(VLOOKUP($A4869,原始数据_收盘!$A$4:$G$3460,6,0),"")</f>
        <v>2.5432</v>
      </c>
      <c r="G4869">
        <f>IFERROR(VLOOKUP($A4869,原始数据_收盘!$A$4:$G$3460,7,0),"")</f>
        <v>2.9562</v>
      </c>
      <c r="H4869">
        <f>IFERROR(VLOOKUP($A4869,原始数据_利率互换_FR007_1年!$A$6:$C$4395,2,0),"")</f>
        <v>2.5445</v>
      </c>
      <c r="I4869">
        <f>IFERROR(VLOOKUP($A4869,原始数据_利率互换_FR007_1年!$A$6:$C$4395,3,0),"")</f>
        <v>2.9568</v>
      </c>
    </row>
    <row r="4870" spans="1:9">
      <c r="A4870" s="6">
        <v>44363</v>
      </c>
      <c r="B4870">
        <f>IFERROR(VLOOKUP($A4870,原始数据_收盘!$A$4:$G$3460,2,0),"")</f>
        <v>2.549</v>
      </c>
      <c r="C4870">
        <f>IFERROR(VLOOKUP($A4870,原始数据_收盘!$A$4:$G$3460,3,0),"")</f>
        <v>2.9666</v>
      </c>
      <c r="D4870">
        <f>IFERROR(VLOOKUP($A4870,原始数据_收盘!$A$4:$G$3460,4,0),"")</f>
        <v>2.5537</v>
      </c>
      <c r="E4870">
        <f>IFERROR(VLOOKUP($A4870,原始数据_收盘!$A$4:$G$3460,5,0),"")</f>
        <v>2.9716</v>
      </c>
      <c r="F4870">
        <f>IFERROR(VLOOKUP($A4870,原始数据_收盘!$A$4:$G$3460,6,0),"")</f>
        <v>2.5513</v>
      </c>
      <c r="G4870">
        <f>IFERROR(VLOOKUP($A4870,原始数据_收盘!$A$4:$G$3460,7,0),"")</f>
        <v>2.9691</v>
      </c>
      <c r="H4870">
        <f>IFERROR(VLOOKUP($A4870,原始数据_利率互换_FR007_1年!$A$6:$C$4395,2,0),"")</f>
        <v>2.545</v>
      </c>
      <c r="I4870">
        <f>IFERROR(VLOOKUP($A4870,原始数据_利率互换_FR007_1年!$A$6:$C$4395,3,0),"")</f>
        <v>2.9595</v>
      </c>
    </row>
    <row r="4871" spans="1:9">
      <c r="A4871" s="6">
        <v>44364</v>
      </c>
      <c r="B4871">
        <f>IFERROR(VLOOKUP($A4871,原始数据_收盘!$A$4:$G$3460,2,0),"")</f>
        <v>2.555</v>
      </c>
      <c r="C4871">
        <f>IFERROR(VLOOKUP($A4871,原始数据_收盘!$A$4:$G$3460,3,0),"")</f>
        <v>2.9765</v>
      </c>
      <c r="D4871">
        <f>IFERROR(VLOOKUP($A4871,原始数据_收盘!$A$4:$G$3460,4,0),"")</f>
        <v>2.5578</v>
      </c>
      <c r="E4871">
        <f>IFERROR(VLOOKUP($A4871,原始数据_收盘!$A$4:$G$3460,5,0),"")</f>
        <v>2.98</v>
      </c>
      <c r="F4871">
        <f>IFERROR(VLOOKUP($A4871,原始数据_收盘!$A$4:$G$3460,6,0),"")</f>
        <v>2.5564</v>
      </c>
      <c r="G4871">
        <f>IFERROR(VLOOKUP($A4871,原始数据_收盘!$A$4:$G$3460,7,0),"")</f>
        <v>2.9783</v>
      </c>
      <c r="H4871">
        <f>IFERROR(VLOOKUP($A4871,原始数据_利率互换_FR007_1年!$A$6:$C$4395,2,0),"")</f>
        <v>2.5514</v>
      </c>
      <c r="I4871">
        <f>IFERROR(VLOOKUP($A4871,原始数据_利率互换_FR007_1年!$A$6:$C$4395,3,0),"")</f>
        <v>2.9716</v>
      </c>
    </row>
    <row r="4872" spans="1:9">
      <c r="A4872" s="6">
        <v>44365</v>
      </c>
      <c r="B4872">
        <f>IFERROR(VLOOKUP($A4872,原始数据_收盘!$A$4:$G$3460,2,0),"")</f>
        <v>2.5446</v>
      </c>
      <c r="C4872">
        <f>IFERROR(VLOOKUP($A4872,原始数据_收盘!$A$4:$G$3460,3,0),"")</f>
        <v>2.9575</v>
      </c>
      <c r="D4872">
        <f>IFERROR(VLOOKUP($A4872,原始数据_收盘!$A$4:$G$3460,4,0),"")</f>
        <v>2.5475</v>
      </c>
      <c r="E4872">
        <f>IFERROR(VLOOKUP($A4872,原始数据_收盘!$A$4:$G$3460,5,0),"")</f>
        <v>2.9605</v>
      </c>
      <c r="F4872">
        <f>IFERROR(VLOOKUP($A4872,原始数据_收盘!$A$4:$G$3460,6,0),"")</f>
        <v>2.546</v>
      </c>
      <c r="G4872">
        <f>IFERROR(VLOOKUP($A4872,原始数据_收盘!$A$4:$G$3460,7,0),"")</f>
        <v>2.959</v>
      </c>
      <c r="H4872">
        <f>IFERROR(VLOOKUP($A4872,原始数据_利率互换_FR007_1年!$A$6:$C$4395,2,0),"")</f>
        <v>2.5499</v>
      </c>
      <c r="I4872">
        <f>IFERROR(VLOOKUP($A4872,原始数据_利率互换_FR007_1年!$A$6:$C$4395,3,0),"")</f>
        <v>2.9685</v>
      </c>
    </row>
    <row r="4873" spans="1:9">
      <c r="A4873" s="6">
        <v>44366</v>
      </c>
      <c r="B4873" t="str">
        <f>IFERROR(VLOOKUP($A4873,原始数据_收盘!$A$4:$G$3460,2,0),"")</f>
        <v/>
      </c>
      <c r="C4873" t="str">
        <f>IFERROR(VLOOKUP($A4873,原始数据_收盘!$A$4:$G$3460,3,0),"")</f>
        <v/>
      </c>
      <c r="D4873" t="str">
        <f>IFERROR(VLOOKUP($A4873,原始数据_收盘!$A$4:$G$3460,4,0),"")</f>
        <v/>
      </c>
      <c r="E4873" t="str">
        <f>IFERROR(VLOOKUP($A4873,原始数据_收盘!$A$4:$G$3460,5,0),"")</f>
        <v/>
      </c>
      <c r="F4873" t="str">
        <f>IFERROR(VLOOKUP($A4873,原始数据_收盘!$A$4:$G$3460,6,0),"")</f>
        <v/>
      </c>
      <c r="G4873" t="str">
        <f>IFERROR(VLOOKUP($A4873,原始数据_收盘!$A$4:$G$3460,7,0),"")</f>
        <v/>
      </c>
      <c r="H4873" t="str">
        <f>IFERROR(VLOOKUP($A4873,原始数据_利率互换_FR007_1年!$A$6:$C$4395,2,0),"")</f>
        <v/>
      </c>
      <c r="I4873" t="str">
        <f>IFERROR(VLOOKUP($A4873,原始数据_利率互换_FR007_1年!$A$6:$C$4395,3,0),"")</f>
        <v/>
      </c>
    </row>
    <row r="4874" spans="1:9">
      <c r="A4874" s="6">
        <v>44367</v>
      </c>
      <c r="B4874" t="str">
        <f>IFERROR(VLOOKUP($A4874,原始数据_收盘!$A$4:$G$3460,2,0),"")</f>
        <v/>
      </c>
      <c r="C4874" t="str">
        <f>IFERROR(VLOOKUP($A4874,原始数据_收盘!$A$4:$G$3460,3,0),"")</f>
        <v/>
      </c>
      <c r="D4874" t="str">
        <f>IFERROR(VLOOKUP($A4874,原始数据_收盘!$A$4:$G$3460,4,0),"")</f>
        <v/>
      </c>
      <c r="E4874" t="str">
        <f>IFERROR(VLOOKUP($A4874,原始数据_收盘!$A$4:$G$3460,5,0),"")</f>
        <v/>
      </c>
      <c r="F4874" t="str">
        <f>IFERROR(VLOOKUP($A4874,原始数据_收盘!$A$4:$G$3460,6,0),"")</f>
        <v/>
      </c>
      <c r="G4874" t="str">
        <f>IFERROR(VLOOKUP($A4874,原始数据_收盘!$A$4:$G$3460,7,0),"")</f>
        <v/>
      </c>
      <c r="H4874" t="str">
        <f>IFERROR(VLOOKUP($A4874,原始数据_利率互换_FR007_1年!$A$6:$C$4395,2,0),"")</f>
        <v/>
      </c>
      <c r="I4874" t="str">
        <f>IFERROR(VLOOKUP($A4874,原始数据_利率互换_FR007_1年!$A$6:$C$4395,3,0),"")</f>
        <v/>
      </c>
    </row>
    <row r="4875" spans="1:9">
      <c r="A4875" s="6">
        <v>44368</v>
      </c>
      <c r="B4875">
        <f>IFERROR(VLOOKUP($A4875,原始数据_收盘!$A$4:$G$3460,2,0),"")</f>
        <v>2.515</v>
      </c>
      <c r="C4875">
        <f>IFERROR(VLOOKUP($A4875,原始数据_收盘!$A$4:$G$3460,3,0),"")</f>
        <v>2.9163</v>
      </c>
      <c r="D4875">
        <f>IFERROR(VLOOKUP($A4875,原始数据_收盘!$A$4:$G$3460,4,0),"")</f>
        <v>2.5175</v>
      </c>
      <c r="E4875">
        <f>IFERROR(VLOOKUP($A4875,原始数据_收盘!$A$4:$G$3460,5,0),"")</f>
        <v>2.92</v>
      </c>
      <c r="F4875">
        <f>IFERROR(VLOOKUP($A4875,原始数据_收盘!$A$4:$G$3460,6,0),"")</f>
        <v>2.5163</v>
      </c>
      <c r="G4875">
        <f>IFERROR(VLOOKUP($A4875,原始数据_收盘!$A$4:$G$3460,7,0),"")</f>
        <v>2.9182</v>
      </c>
      <c r="H4875">
        <f>IFERROR(VLOOKUP($A4875,原始数据_利率互换_FR007_1年!$A$6:$C$4395,2,0),"")</f>
        <v>2.525</v>
      </c>
      <c r="I4875">
        <f>IFERROR(VLOOKUP($A4875,原始数据_利率互换_FR007_1年!$A$6:$C$4395,3,0),"")</f>
        <v>2.9283</v>
      </c>
    </row>
    <row r="4876" spans="1:9">
      <c r="A4876" s="6">
        <v>44369</v>
      </c>
      <c r="B4876">
        <f>IFERROR(VLOOKUP($A4876,原始数据_收盘!$A$4:$G$3460,2,0),"")</f>
        <v>2.5125</v>
      </c>
      <c r="C4876">
        <f>IFERROR(VLOOKUP($A4876,原始数据_收盘!$A$4:$G$3460,3,0),"")</f>
        <v>2.9142</v>
      </c>
      <c r="D4876">
        <f>IFERROR(VLOOKUP($A4876,原始数据_收盘!$A$4:$G$3460,4,0),"")</f>
        <v>2.515</v>
      </c>
      <c r="E4876">
        <f>IFERROR(VLOOKUP($A4876,原始数据_收盘!$A$4:$G$3460,5,0),"")</f>
        <v>2.9168</v>
      </c>
      <c r="F4876">
        <f>IFERROR(VLOOKUP($A4876,原始数据_收盘!$A$4:$G$3460,6,0),"")</f>
        <v>2.5138</v>
      </c>
      <c r="G4876">
        <f>IFERROR(VLOOKUP($A4876,原始数据_收盘!$A$4:$G$3460,7,0),"")</f>
        <v>2.9155</v>
      </c>
      <c r="H4876">
        <f>IFERROR(VLOOKUP($A4876,原始数据_利率互换_FR007_1年!$A$6:$C$4395,2,0),"")</f>
        <v>2.5218</v>
      </c>
      <c r="I4876">
        <f>IFERROR(VLOOKUP($A4876,原始数据_利率互换_FR007_1年!$A$6:$C$4395,3,0),"")</f>
        <v>2.9273</v>
      </c>
    </row>
    <row r="4877" spans="1:9">
      <c r="A4877" s="6">
        <v>44370</v>
      </c>
      <c r="B4877">
        <f>IFERROR(VLOOKUP($A4877,原始数据_收盘!$A$4:$G$3460,2,0),"")</f>
        <v>2.5025</v>
      </c>
      <c r="C4877">
        <f>IFERROR(VLOOKUP($A4877,原始数据_收盘!$A$4:$G$3460,3,0),"")</f>
        <v>2.9075</v>
      </c>
      <c r="D4877">
        <f>IFERROR(VLOOKUP($A4877,原始数据_收盘!$A$4:$G$3460,4,0),"")</f>
        <v>2.5075</v>
      </c>
      <c r="E4877">
        <f>IFERROR(VLOOKUP($A4877,原始数据_收盘!$A$4:$G$3460,5,0),"")</f>
        <v>2.9112</v>
      </c>
      <c r="F4877">
        <f>IFERROR(VLOOKUP($A4877,原始数据_收盘!$A$4:$G$3460,6,0),"")</f>
        <v>2.505</v>
      </c>
      <c r="G4877">
        <f>IFERROR(VLOOKUP($A4877,原始数据_收盘!$A$4:$G$3460,7,0),"")</f>
        <v>2.9093</v>
      </c>
      <c r="H4877">
        <f>IFERROR(VLOOKUP($A4877,原始数据_利率互换_FR007_1年!$A$6:$C$4395,2,0),"")</f>
        <v>2.5102</v>
      </c>
      <c r="I4877">
        <f>IFERROR(VLOOKUP($A4877,原始数据_利率互换_FR007_1年!$A$6:$C$4395,3,0),"")</f>
        <v>2.9148</v>
      </c>
    </row>
    <row r="4878" spans="1:9">
      <c r="A4878" s="6">
        <v>44371</v>
      </c>
      <c r="B4878">
        <f>IFERROR(VLOOKUP($A4878,原始数据_收盘!$A$4:$G$3460,2,0),"")</f>
        <v>2.4925</v>
      </c>
      <c r="C4878">
        <f>IFERROR(VLOOKUP($A4878,原始数据_收盘!$A$4:$G$3460,3,0),"")</f>
        <v>2.8962</v>
      </c>
      <c r="D4878">
        <f>IFERROR(VLOOKUP($A4878,原始数据_收盘!$A$4:$G$3460,4,0),"")</f>
        <v>2.4975</v>
      </c>
      <c r="E4878">
        <f>IFERROR(VLOOKUP($A4878,原始数据_收盘!$A$4:$G$3460,5,0),"")</f>
        <v>2.8986</v>
      </c>
      <c r="F4878">
        <f>IFERROR(VLOOKUP($A4878,原始数据_收盘!$A$4:$G$3460,6,0),"")</f>
        <v>2.495</v>
      </c>
      <c r="G4878">
        <f>IFERROR(VLOOKUP($A4878,原始数据_收盘!$A$4:$G$3460,7,0),"")</f>
        <v>2.8974</v>
      </c>
      <c r="H4878">
        <f>IFERROR(VLOOKUP($A4878,原始数据_利率互换_FR007_1年!$A$6:$C$4395,2,0),"")</f>
        <v>2.4928</v>
      </c>
      <c r="I4878">
        <f>IFERROR(VLOOKUP($A4878,原始数据_利率互换_FR007_1年!$A$6:$C$4395,3,0),"")</f>
        <v>2.8961</v>
      </c>
    </row>
    <row r="4879" spans="1:9">
      <c r="A4879" s="6">
        <v>44372</v>
      </c>
      <c r="B4879">
        <f>IFERROR(VLOOKUP($A4879,原始数据_收盘!$A$4:$G$3460,2,0),"")</f>
        <v>2.485</v>
      </c>
      <c r="C4879">
        <f>IFERROR(VLOOKUP($A4879,原始数据_收盘!$A$4:$G$3460,3,0),"")</f>
        <v>2.8942</v>
      </c>
      <c r="D4879">
        <f>IFERROR(VLOOKUP($A4879,原始数据_收盘!$A$4:$G$3460,4,0),"")</f>
        <v>2.49</v>
      </c>
      <c r="E4879">
        <f>IFERROR(VLOOKUP($A4879,原始数据_收盘!$A$4:$G$3460,5,0),"")</f>
        <v>2.8975</v>
      </c>
      <c r="F4879">
        <f>IFERROR(VLOOKUP($A4879,原始数据_收盘!$A$4:$G$3460,6,0),"")</f>
        <v>2.4875</v>
      </c>
      <c r="G4879">
        <f>IFERROR(VLOOKUP($A4879,原始数据_收盘!$A$4:$G$3460,7,0),"")</f>
        <v>2.8958</v>
      </c>
      <c r="H4879">
        <f>IFERROR(VLOOKUP($A4879,原始数据_利率互换_FR007_1年!$A$6:$C$4395,2,0),"")</f>
        <v>2.492</v>
      </c>
      <c r="I4879">
        <f>IFERROR(VLOOKUP($A4879,原始数据_利率互换_FR007_1年!$A$6:$C$4395,3,0),"")</f>
        <v>2.9016</v>
      </c>
    </row>
    <row r="4880" spans="1:9">
      <c r="A4880" s="6">
        <v>44373</v>
      </c>
      <c r="B4880" t="str">
        <f>IFERROR(VLOOKUP($A4880,原始数据_收盘!$A$4:$G$3460,2,0),"")</f>
        <v/>
      </c>
      <c r="C4880" t="str">
        <f>IFERROR(VLOOKUP($A4880,原始数据_收盘!$A$4:$G$3460,3,0),"")</f>
        <v/>
      </c>
      <c r="D4880" t="str">
        <f>IFERROR(VLOOKUP($A4880,原始数据_收盘!$A$4:$G$3460,4,0),"")</f>
        <v/>
      </c>
      <c r="E4880" t="str">
        <f>IFERROR(VLOOKUP($A4880,原始数据_收盘!$A$4:$G$3460,5,0),"")</f>
        <v/>
      </c>
      <c r="F4880" t="str">
        <f>IFERROR(VLOOKUP($A4880,原始数据_收盘!$A$4:$G$3460,6,0),"")</f>
        <v/>
      </c>
      <c r="G4880" t="str">
        <f>IFERROR(VLOOKUP($A4880,原始数据_收盘!$A$4:$G$3460,7,0),"")</f>
        <v/>
      </c>
      <c r="H4880" t="str">
        <f>IFERROR(VLOOKUP($A4880,原始数据_利率互换_FR007_1年!$A$6:$C$4395,2,0),"")</f>
        <v/>
      </c>
      <c r="I4880" t="str">
        <f>IFERROR(VLOOKUP($A4880,原始数据_利率互换_FR007_1年!$A$6:$C$4395,3,0),"")</f>
        <v/>
      </c>
    </row>
    <row r="4881" spans="1:9">
      <c r="A4881" s="6">
        <v>44374</v>
      </c>
      <c r="B4881" t="str">
        <f>IFERROR(VLOOKUP($A4881,原始数据_收盘!$A$4:$G$3460,2,0),"")</f>
        <v/>
      </c>
      <c r="C4881" t="str">
        <f>IFERROR(VLOOKUP($A4881,原始数据_收盘!$A$4:$G$3460,3,0),"")</f>
        <v/>
      </c>
      <c r="D4881" t="str">
        <f>IFERROR(VLOOKUP($A4881,原始数据_收盘!$A$4:$G$3460,4,0),"")</f>
        <v/>
      </c>
      <c r="E4881" t="str">
        <f>IFERROR(VLOOKUP($A4881,原始数据_收盘!$A$4:$G$3460,5,0),"")</f>
        <v/>
      </c>
      <c r="F4881" t="str">
        <f>IFERROR(VLOOKUP($A4881,原始数据_收盘!$A$4:$G$3460,6,0),"")</f>
        <v/>
      </c>
      <c r="G4881" t="str">
        <f>IFERROR(VLOOKUP($A4881,原始数据_收盘!$A$4:$G$3460,7,0),"")</f>
        <v/>
      </c>
      <c r="H4881" t="str">
        <f>IFERROR(VLOOKUP($A4881,原始数据_利率互换_FR007_1年!$A$6:$C$4395,2,0),"")</f>
        <v/>
      </c>
      <c r="I4881" t="str">
        <f>IFERROR(VLOOKUP($A4881,原始数据_利率互换_FR007_1年!$A$6:$C$4395,3,0),"")</f>
        <v/>
      </c>
    </row>
    <row r="4882" spans="1:9">
      <c r="A4882" s="6">
        <v>44375</v>
      </c>
      <c r="B4882">
        <f>IFERROR(VLOOKUP($A4882,原始数据_收盘!$A$4:$G$3460,2,0),"")</f>
        <v>2.5125</v>
      </c>
      <c r="C4882">
        <f>IFERROR(VLOOKUP($A4882,原始数据_收盘!$A$4:$G$3460,3,0),"")</f>
        <v>2.9225</v>
      </c>
      <c r="D4882">
        <f>IFERROR(VLOOKUP($A4882,原始数据_收盘!$A$4:$G$3460,4,0),"")</f>
        <v>2.515</v>
      </c>
      <c r="E4882">
        <f>IFERROR(VLOOKUP($A4882,原始数据_收盘!$A$4:$G$3460,5,0),"")</f>
        <v>2.925</v>
      </c>
      <c r="F4882">
        <f>IFERROR(VLOOKUP($A4882,原始数据_收盘!$A$4:$G$3460,6,0),"")</f>
        <v>2.5138</v>
      </c>
      <c r="G4882">
        <f>IFERROR(VLOOKUP($A4882,原始数据_收盘!$A$4:$G$3460,7,0),"")</f>
        <v>2.9238</v>
      </c>
      <c r="H4882">
        <f>IFERROR(VLOOKUP($A4882,原始数据_利率互换_FR007_1年!$A$6:$C$4395,2,0),"")</f>
        <v>2.4924</v>
      </c>
      <c r="I4882">
        <f>IFERROR(VLOOKUP($A4882,原始数据_利率互换_FR007_1年!$A$6:$C$4395,3,0),"")</f>
        <v>2.904</v>
      </c>
    </row>
    <row r="4883" spans="1:9">
      <c r="A4883" s="6">
        <v>44376</v>
      </c>
      <c r="B4883">
        <f>IFERROR(VLOOKUP($A4883,原始数据_收盘!$A$4:$G$3460,2,0),"")</f>
        <v>2.5075</v>
      </c>
      <c r="C4883">
        <f>IFERROR(VLOOKUP($A4883,原始数据_收盘!$A$4:$G$3460,3,0),"")</f>
        <v>2.905</v>
      </c>
      <c r="D4883">
        <f>IFERROR(VLOOKUP($A4883,原始数据_收盘!$A$4:$G$3460,4,0),"")</f>
        <v>2.5125</v>
      </c>
      <c r="E4883">
        <f>IFERROR(VLOOKUP($A4883,原始数据_收盘!$A$4:$G$3460,5,0),"")</f>
        <v>2.9075</v>
      </c>
      <c r="F4883">
        <f>IFERROR(VLOOKUP($A4883,原始数据_收盘!$A$4:$G$3460,6,0),"")</f>
        <v>2.51</v>
      </c>
      <c r="G4883">
        <f>IFERROR(VLOOKUP($A4883,原始数据_收盘!$A$4:$G$3460,7,0),"")</f>
        <v>2.9063</v>
      </c>
      <c r="H4883">
        <f>IFERROR(VLOOKUP($A4883,原始数据_利率互换_FR007_1年!$A$6:$C$4395,2,0),"")</f>
        <v>2.5156</v>
      </c>
      <c r="I4883">
        <f>IFERROR(VLOOKUP($A4883,原始数据_利率互换_FR007_1年!$A$6:$C$4395,3,0),"")</f>
        <v>2.9166</v>
      </c>
    </row>
    <row r="4884" spans="1:9">
      <c r="A4884" s="6">
        <v>44377</v>
      </c>
      <c r="B4884">
        <f>IFERROR(VLOOKUP($A4884,原始数据_收盘!$A$4:$G$3460,2,0),"")</f>
        <v>2.5025</v>
      </c>
      <c r="C4884">
        <f>IFERROR(VLOOKUP($A4884,原始数据_收盘!$A$4:$G$3460,3,0),"")</f>
        <v>2.9</v>
      </c>
      <c r="D4884">
        <f>IFERROR(VLOOKUP($A4884,原始数据_收盘!$A$4:$G$3460,4,0),"")</f>
        <v>2.5075</v>
      </c>
      <c r="E4884">
        <f>IFERROR(VLOOKUP($A4884,原始数据_收盘!$A$4:$G$3460,5,0),"")</f>
        <v>2.9025</v>
      </c>
      <c r="F4884">
        <f>IFERROR(VLOOKUP($A4884,原始数据_收盘!$A$4:$G$3460,6,0),"")</f>
        <v>2.505</v>
      </c>
      <c r="G4884">
        <f>IFERROR(VLOOKUP($A4884,原始数据_收盘!$A$4:$G$3460,7,0),"")</f>
        <v>2.9013</v>
      </c>
      <c r="H4884">
        <f>IFERROR(VLOOKUP($A4884,原始数据_利率互换_FR007_1年!$A$6:$C$4395,2,0),"")</f>
        <v>2.5071</v>
      </c>
      <c r="I4884">
        <f>IFERROR(VLOOKUP($A4884,原始数据_利率互换_FR007_1年!$A$6:$C$4395,3,0),"")</f>
        <v>2.9031</v>
      </c>
    </row>
    <row r="4885" spans="1:9">
      <c r="A4885" s="6">
        <v>44378</v>
      </c>
      <c r="B4885">
        <f>IFERROR(VLOOKUP($A4885,原始数据_收盘!$A$4:$G$3460,2,0),"")</f>
        <v>2.5</v>
      </c>
      <c r="C4885">
        <f>IFERROR(VLOOKUP($A4885,原始数据_收盘!$A$4:$G$3460,3,0),"")</f>
        <v>2.905</v>
      </c>
      <c r="D4885">
        <f>IFERROR(VLOOKUP($A4885,原始数据_收盘!$A$4:$G$3460,4,0),"")</f>
        <v>2.5025</v>
      </c>
      <c r="E4885">
        <f>IFERROR(VLOOKUP($A4885,原始数据_收盘!$A$4:$G$3460,5,0),"")</f>
        <v>2.9075</v>
      </c>
      <c r="F4885">
        <f>IFERROR(VLOOKUP($A4885,原始数据_收盘!$A$4:$G$3460,6,0),"")</f>
        <v>2.5013</v>
      </c>
      <c r="G4885">
        <f>IFERROR(VLOOKUP($A4885,原始数据_收盘!$A$4:$G$3460,7,0),"")</f>
        <v>2.9063</v>
      </c>
      <c r="H4885">
        <f>IFERROR(VLOOKUP($A4885,原始数据_利率互换_FR007_1年!$A$6:$C$4395,2,0),"")</f>
        <v>2.4935</v>
      </c>
      <c r="I4885">
        <f>IFERROR(VLOOKUP($A4885,原始数据_利率互换_FR007_1年!$A$6:$C$4395,3,0),"")</f>
        <v>2.9014</v>
      </c>
    </row>
    <row r="4886" spans="1:9">
      <c r="A4886" s="6">
        <v>44379</v>
      </c>
      <c r="B4886">
        <f>IFERROR(VLOOKUP($A4886,原始数据_收盘!$A$4:$G$3460,2,0),"")</f>
        <v>2.4775</v>
      </c>
      <c r="C4886">
        <f>IFERROR(VLOOKUP($A4886,原始数据_收盘!$A$4:$G$3460,3,0),"")</f>
        <v>2.8918</v>
      </c>
      <c r="D4886">
        <f>IFERROR(VLOOKUP($A4886,原始数据_收盘!$A$4:$G$3460,4,0),"")</f>
        <v>2.48</v>
      </c>
      <c r="E4886">
        <f>IFERROR(VLOOKUP($A4886,原始数据_收盘!$A$4:$G$3460,5,0),"")</f>
        <v>2.895</v>
      </c>
      <c r="F4886">
        <f>IFERROR(VLOOKUP($A4886,原始数据_收盘!$A$4:$G$3460,6,0),"")</f>
        <v>2.4788</v>
      </c>
      <c r="G4886">
        <f>IFERROR(VLOOKUP($A4886,原始数据_收盘!$A$4:$G$3460,7,0),"")</f>
        <v>2.8934</v>
      </c>
      <c r="H4886">
        <f>IFERROR(VLOOKUP($A4886,原始数据_利率互换_FR007_1年!$A$6:$C$4395,2,0),"")</f>
        <v>2.4829</v>
      </c>
      <c r="I4886">
        <f>IFERROR(VLOOKUP($A4886,原始数据_利率互换_FR007_1年!$A$6:$C$4395,3,0),"")</f>
        <v>2.8944</v>
      </c>
    </row>
    <row r="4887" spans="1:9">
      <c r="A4887" s="6">
        <v>44380</v>
      </c>
      <c r="B4887" t="str">
        <f>IFERROR(VLOOKUP($A4887,原始数据_收盘!$A$4:$G$3460,2,0),"")</f>
        <v/>
      </c>
      <c r="C4887" t="str">
        <f>IFERROR(VLOOKUP($A4887,原始数据_收盘!$A$4:$G$3460,3,0),"")</f>
        <v/>
      </c>
      <c r="D4887" t="str">
        <f>IFERROR(VLOOKUP($A4887,原始数据_收盘!$A$4:$G$3460,4,0),"")</f>
        <v/>
      </c>
      <c r="E4887" t="str">
        <f>IFERROR(VLOOKUP($A4887,原始数据_收盘!$A$4:$G$3460,5,0),"")</f>
        <v/>
      </c>
      <c r="F4887" t="str">
        <f>IFERROR(VLOOKUP($A4887,原始数据_收盘!$A$4:$G$3460,6,0),"")</f>
        <v/>
      </c>
      <c r="G4887" t="str">
        <f>IFERROR(VLOOKUP($A4887,原始数据_收盘!$A$4:$G$3460,7,0),"")</f>
        <v/>
      </c>
      <c r="H4887" t="str">
        <f>IFERROR(VLOOKUP($A4887,原始数据_利率互换_FR007_1年!$A$6:$C$4395,2,0),"")</f>
        <v/>
      </c>
      <c r="I4887" t="str">
        <f>IFERROR(VLOOKUP($A4887,原始数据_利率互换_FR007_1年!$A$6:$C$4395,3,0),"")</f>
        <v/>
      </c>
    </row>
    <row r="4888" spans="1:9">
      <c r="A4888" s="6">
        <v>44381</v>
      </c>
      <c r="B4888" t="str">
        <f>IFERROR(VLOOKUP($A4888,原始数据_收盘!$A$4:$G$3460,2,0),"")</f>
        <v/>
      </c>
      <c r="C4888" t="str">
        <f>IFERROR(VLOOKUP($A4888,原始数据_收盘!$A$4:$G$3460,3,0),"")</f>
        <v/>
      </c>
      <c r="D4888" t="str">
        <f>IFERROR(VLOOKUP($A4888,原始数据_收盘!$A$4:$G$3460,4,0),"")</f>
        <v/>
      </c>
      <c r="E4888" t="str">
        <f>IFERROR(VLOOKUP($A4888,原始数据_收盘!$A$4:$G$3460,5,0),"")</f>
        <v/>
      </c>
      <c r="F4888" t="str">
        <f>IFERROR(VLOOKUP($A4888,原始数据_收盘!$A$4:$G$3460,6,0),"")</f>
        <v/>
      </c>
      <c r="G4888" t="str">
        <f>IFERROR(VLOOKUP($A4888,原始数据_收盘!$A$4:$G$3460,7,0),"")</f>
        <v/>
      </c>
      <c r="H4888" t="str">
        <f>IFERROR(VLOOKUP($A4888,原始数据_利率互换_FR007_1年!$A$6:$C$4395,2,0),"")</f>
        <v/>
      </c>
      <c r="I4888" t="str">
        <f>IFERROR(VLOOKUP($A4888,原始数据_利率互换_FR007_1年!$A$6:$C$4395,3,0),"")</f>
        <v/>
      </c>
    </row>
    <row r="4889" spans="1:9">
      <c r="A4889" s="6">
        <v>44382</v>
      </c>
      <c r="B4889">
        <f>IFERROR(VLOOKUP($A4889,原始数据_收盘!$A$4:$G$3460,2,0),"")</f>
        <v>2.47</v>
      </c>
      <c r="C4889">
        <f>IFERROR(VLOOKUP($A4889,原始数据_收盘!$A$4:$G$3460,3,0),"")</f>
        <v>2.8875</v>
      </c>
      <c r="D4889">
        <f>IFERROR(VLOOKUP($A4889,原始数据_收盘!$A$4:$G$3460,4,0),"")</f>
        <v>2.473</v>
      </c>
      <c r="E4889">
        <f>IFERROR(VLOOKUP($A4889,原始数据_收盘!$A$4:$G$3460,5,0),"")</f>
        <v>2.89</v>
      </c>
      <c r="F4889">
        <f>IFERROR(VLOOKUP($A4889,原始数据_收盘!$A$4:$G$3460,6,0),"")</f>
        <v>2.4715</v>
      </c>
      <c r="G4889">
        <f>IFERROR(VLOOKUP($A4889,原始数据_收盘!$A$4:$G$3460,7,0),"")</f>
        <v>2.8888</v>
      </c>
      <c r="H4889">
        <f>IFERROR(VLOOKUP($A4889,原始数据_利率互换_FR007_1年!$A$6:$C$4395,2,0),"")</f>
        <v>2.4774</v>
      </c>
      <c r="I4889">
        <f>IFERROR(VLOOKUP($A4889,原始数据_利率互换_FR007_1年!$A$6:$C$4395,3,0),"")</f>
        <v>2.8907</v>
      </c>
    </row>
    <row r="4890" spans="1:9">
      <c r="A4890" s="6">
        <v>44383</v>
      </c>
      <c r="B4890">
        <f>IFERROR(VLOOKUP($A4890,原始数据_收盘!$A$4:$G$3460,2,0),"")</f>
        <v>2.48</v>
      </c>
      <c r="C4890">
        <f>IFERROR(VLOOKUP($A4890,原始数据_收盘!$A$4:$G$3460,3,0),"")</f>
        <v>2.9029</v>
      </c>
      <c r="D4890">
        <f>IFERROR(VLOOKUP($A4890,原始数据_收盘!$A$4:$G$3460,4,0),"")</f>
        <v>2.4832</v>
      </c>
      <c r="E4890">
        <f>IFERROR(VLOOKUP($A4890,原始数据_收盘!$A$4:$G$3460,5,0),"")</f>
        <v>2.9057</v>
      </c>
      <c r="F4890">
        <f>IFERROR(VLOOKUP($A4890,原始数据_收盘!$A$4:$G$3460,6,0),"")</f>
        <v>2.4816</v>
      </c>
      <c r="G4890">
        <f>IFERROR(VLOOKUP($A4890,原始数据_收盘!$A$4:$G$3460,7,0),"")</f>
        <v>2.9043</v>
      </c>
      <c r="H4890">
        <f>IFERROR(VLOOKUP($A4890,原始数据_利率互换_FR007_1年!$A$6:$C$4395,2,0),"")</f>
        <v>2.4779</v>
      </c>
      <c r="I4890">
        <f>IFERROR(VLOOKUP($A4890,原始数据_利率互换_FR007_1年!$A$6:$C$4395,3,0),"")</f>
        <v>2.8962</v>
      </c>
    </row>
    <row r="4891" spans="1:9">
      <c r="A4891" s="6">
        <v>44384</v>
      </c>
      <c r="B4891">
        <f>IFERROR(VLOOKUP($A4891,原始数据_收盘!$A$4:$G$3460,2,0),"")</f>
        <v>2.4625</v>
      </c>
      <c r="C4891">
        <f>IFERROR(VLOOKUP($A4891,原始数据_收盘!$A$4:$G$3460,3,0),"")</f>
        <v>2.8725</v>
      </c>
      <c r="D4891">
        <f>IFERROR(VLOOKUP($A4891,原始数据_收盘!$A$4:$G$3460,4,0),"")</f>
        <v>2.466</v>
      </c>
      <c r="E4891">
        <f>IFERROR(VLOOKUP($A4891,原始数据_收盘!$A$4:$G$3460,5,0),"")</f>
        <v>2.875</v>
      </c>
      <c r="F4891">
        <f>IFERROR(VLOOKUP($A4891,原始数据_收盘!$A$4:$G$3460,6,0),"")</f>
        <v>2.4643</v>
      </c>
      <c r="G4891">
        <f>IFERROR(VLOOKUP($A4891,原始数据_收盘!$A$4:$G$3460,7,0),"")</f>
        <v>2.8738</v>
      </c>
      <c r="H4891">
        <f>IFERROR(VLOOKUP($A4891,原始数据_利率互换_FR007_1年!$A$6:$C$4395,2,0),"")</f>
        <v>2.4777</v>
      </c>
      <c r="I4891">
        <f>IFERROR(VLOOKUP($A4891,原始数据_利率互换_FR007_1年!$A$6:$C$4395,3,0),"")</f>
        <v>2.8895</v>
      </c>
    </row>
    <row r="4892" spans="1:9">
      <c r="A4892" s="6">
        <v>44385</v>
      </c>
      <c r="B4892">
        <f>IFERROR(VLOOKUP($A4892,原始数据_收盘!$A$4:$G$3460,2,0),"")</f>
        <v>2.41</v>
      </c>
      <c r="C4892">
        <f>IFERROR(VLOOKUP($A4892,原始数据_收盘!$A$4:$G$3460,3,0),"")</f>
        <v>2.7925</v>
      </c>
      <c r="D4892">
        <f>IFERROR(VLOOKUP($A4892,原始数据_收盘!$A$4:$G$3460,4,0),"")</f>
        <v>2.415</v>
      </c>
      <c r="E4892">
        <f>IFERROR(VLOOKUP($A4892,原始数据_收盘!$A$4:$G$3460,5,0),"")</f>
        <v>2.795</v>
      </c>
      <c r="F4892">
        <f>IFERROR(VLOOKUP($A4892,原始数据_收盘!$A$4:$G$3460,6,0),"")</f>
        <v>2.4125</v>
      </c>
      <c r="G4892">
        <f>IFERROR(VLOOKUP($A4892,原始数据_收盘!$A$4:$G$3460,7,0),"")</f>
        <v>2.7938</v>
      </c>
      <c r="H4892">
        <f>IFERROR(VLOOKUP($A4892,原始数据_利率互换_FR007_1年!$A$6:$C$4395,2,0),"")</f>
        <v>2.4135</v>
      </c>
      <c r="I4892">
        <f>IFERROR(VLOOKUP($A4892,原始数据_利率互换_FR007_1年!$A$6:$C$4395,3,0),"")</f>
        <v>2.8028</v>
      </c>
    </row>
    <row r="4893" spans="1:9">
      <c r="A4893" s="6">
        <v>44386</v>
      </c>
      <c r="B4893">
        <f>IFERROR(VLOOKUP($A4893,原始数据_收盘!$A$4:$G$3460,2,0),"")</f>
        <v>2.4216</v>
      </c>
      <c r="C4893">
        <f>IFERROR(VLOOKUP($A4893,原始数据_收盘!$A$4:$G$3460,3,0),"")</f>
        <v>2.7975</v>
      </c>
      <c r="D4893">
        <f>IFERROR(VLOOKUP($A4893,原始数据_收盘!$A$4:$G$3460,4,0),"")</f>
        <v>2.4231</v>
      </c>
      <c r="E4893">
        <f>IFERROR(VLOOKUP($A4893,原始数据_收盘!$A$4:$G$3460,5,0),"")</f>
        <v>2.8</v>
      </c>
      <c r="F4893">
        <f>IFERROR(VLOOKUP($A4893,原始数据_收盘!$A$4:$G$3460,6,0),"")</f>
        <v>2.4223</v>
      </c>
      <c r="G4893">
        <f>IFERROR(VLOOKUP($A4893,原始数据_收盘!$A$4:$G$3460,7,0),"")</f>
        <v>2.7988</v>
      </c>
      <c r="H4893">
        <f>IFERROR(VLOOKUP($A4893,原始数据_利率互换_FR007_1年!$A$6:$C$4395,2,0),"")</f>
        <v>2.4289</v>
      </c>
      <c r="I4893">
        <f>IFERROR(VLOOKUP($A4893,原始数据_利率互换_FR007_1年!$A$6:$C$4395,3,0),"")</f>
        <v>2.8029</v>
      </c>
    </row>
    <row r="4894" spans="1:9">
      <c r="A4894" s="6">
        <v>44387</v>
      </c>
      <c r="B4894" t="str">
        <f>IFERROR(VLOOKUP($A4894,原始数据_收盘!$A$4:$G$3460,2,0),"")</f>
        <v/>
      </c>
      <c r="C4894" t="str">
        <f>IFERROR(VLOOKUP($A4894,原始数据_收盘!$A$4:$G$3460,3,0),"")</f>
        <v/>
      </c>
      <c r="D4894" t="str">
        <f>IFERROR(VLOOKUP($A4894,原始数据_收盘!$A$4:$G$3460,4,0),"")</f>
        <v/>
      </c>
      <c r="E4894" t="str">
        <f>IFERROR(VLOOKUP($A4894,原始数据_收盘!$A$4:$G$3460,5,0),"")</f>
        <v/>
      </c>
      <c r="F4894" t="str">
        <f>IFERROR(VLOOKUP($A4894,原始数据_收盘!$A$4:$G$3460,6,0),"")</f>
        <v/>
      </c>
      <c r="G4894" t="str">
        <f>IFERROR(VLOOKUP($A4894,原始数据_收盘!$A$4:$G$3460,7,0),"")</f>
        <v/>
      </c>
      <c r="H4894" t="str">
        <f>IFERROR(VLOOKUP($A4894,原始数据_利率互换_FR007_1年!$A$6:$C$4395,2,0),"")</f>
        <v/>
      </c>
      <c r="I4894" t="str">
        <f>IFERROR(VLOOKUP($A4894,原始数据_利率互换_FR007_1年!$A$6:$C$4395,3,0),"")</f>
        <v/>
      </c>
    </row>
    <row r="4895" spans="1:9">
      <c r="A4895" s="6">
        <v>44388</v>
      </c>
      <c r="B4895" t="str">
        <f>IFERROR(VLOOKUP($A4895,原始数据_收盘!$A$4:$G$3460,2,0),"")</f>
        <v/>
      </c>
      <c r="C4895" t="str">
        <f>IFERROR(VLOOKUP($A4895,原始数据_收盘!$A$4:$G$3460,3,0),"")</f>
        <v/>
      </c>
      <c r="D4895" t="str">
        <f>IFERROR(VLOOKUP($A4895,原始数据_收盘!$A$4:$G$3460,4,0),"")</f>
        <v/>
      </c>
      <c r="E4895" t="str">
        <f>IFERROR(VLOOKUP($A4895,原始数据_收盘!$A$4:$G$3460,5,0),"")</f>
        <v/>
      </c>
      <c r="F4895" t="str">
        <f>IFERROR(VLOOKUP($A4895,原始数据_收盘!$A$4:$G$3460,6,0),"")</f>
        <v/>
      </c>
      <c r="G4895" t="str">
        <f>IFERROR(VLOOKUP($A4895,原始数据_收盘!$A$4:$G$3460,7,0),"")</f>
        <v/>
      </c>
      <c r="H4895" t="str">
        <f>IFERROR(VLOOKUP($A4895,原始数据_利率互换_FR007_1年!$A$6:$C$4395,2,0),"")</f>
        <v/>
      </c>
      <c r="I4895" t="str">
        <f>IFERROR(VLOOKUP($A4895,原始数据_利率互换_FR007_1年!$A$6:$C$4395,3,0),"")</f>
        <v/>
      </c>
    </row>
    <row r="4896" spans="1:9">
      <c r="A4896" s="6">
        <v>44389</v>
      </c>
      <c r="B4896">
        <f>IFERROR(VLOOKUP($A4896,原始数据_收盘!$A$4:$G$3460,2,0),"")</f>
        <v>2.365</v>
      </c>
      <c r="C4896">
        <f>IFERROR(VLOOKUP($A4896,原始数据_收盘!$A$4:$G$3460,3,0),"")</f>
        <v>2.7348</v>
      </c>
      <c r="D4896">
        <f>IFERROR(VLOOKUP($A4896,原始数据_收盘!$A$4:$G$3460,4,0),"")</f>
        <v>2.37</v>
      </c>
      <c r="E4896">
        <f>IFERROR(VLOOKUP($A4896,原始数据_收盘!$A$4:$G$3460,5,0),"")</f>
        <v>2.7376</v>
      </c>
      <c r="F4896">
        <f>IFERROR(VLOOKUP($A4896,原始数据_收盘!$A$4:$G$3460,6,0),"")</f>
        <v>2.3675</v>
      </c>
      <c r="G4896">
        <f>IFERROR(VLOOKUP($A4896,原始数据_收盘!$A$4:$G$3460,7,0),"")</f>
        <v>2.7362</v>
      </c>
      <c r="H4896">
        <f>IFERROR(VLOOKUP($A4896,原始数据_利率互换_FR007_1年!$A$6:$C$4395,2,0),"")</f>
        <v>2.3797</v>
      </c>
      <c r="I4896">
        <f>IFERROR(VLOOKUP($A4896,原始数据_利率互换_FR007_1年!$A$6:$C$4395,3,0),"")</f>
        <v>2.7606</v>
      </c>
    </row>
    <row r="4897" spans="1:9">
      <c r="A4897" s="6">
        <v>44390</v>
      </c>
      <c r="B4897">
        <f>IFERROR(VLOOKUP($A4897,原始数据_收盘!$A$4:$G$3460,2,0),"")</f>
        <v>2.3425</v>
      </c>
      <c r="C4897">
        <f>IFERROR(VLOOKUP($A4897,原始数据_收盘!$A$4:$G$3460,3,0),"")</f>
        <v>2.7157</v>
      </c>
      <c r="D4897">
        <f>IFERROR(VLOOKUP($A4897,原始数据_收盘!$A$4:$G$3460,4,0),"")</f>
        <v>2.3495</v>
      </c>
      <c r="E4897">
        <f>IFERROR(VLOOKUP($A4897,原始数据_收盘!$A$4:$G$3460,5,0),"")</f>
        <v>2.7191</v>
      </c>
      <c r="F4897">
        <f>IFERROR(VLOOKUP($A4897,原始数据_收盘!$A$4:$G$3460,6,0),"")</f>
        <v>2.346</v>
      </c>
      <c r="G4897">
        <f>IFERROR(VLOOKUP($A4897,原始数据_收盘!$A$4:$G$3460,7,0),"")</f>
        <v>2.7174</v>
      </c>
      <c r="H4897" t="str">
        <f>IFERROR(VLOOKUP($A4897,原始数据_利率互换_FR007_1年!$A$6:$C$4395,2,0),"")</f>
        <v/>
      </c>
      <c r="I4897" t="str">
        <f>IFERROR(VLOOKUP($A4897,原始数据_利率互换_FR007_1年!$A$6:$C$4395,3,0),"")</f>
        <v/>
      </c>
    </row>
    <row r="4898" spans="1:9">
      <c r="A4898" s="6">
        <v>44391</v>
      </c>
      <c r="B4898">
        <f>IFERROR(VLOOKUP($A4898,原始数据_收盘!$A$4:$G$3460,2,0),"")</f>
        <v>2.35</v>
      </c>
      <c r="C4898">
        <f>IFERROR(VLOOKUP($A4898,原始数据_收盘!$A$4:$G$3460,3,0),"")</f>
        <v>2.7273</v>
      </c>
      <c r="D4898">
        <f>IFERROR(VLOOKUP($A4898,原始数据_收盘!$A$4:$G$3460,4,0),"")</f>
        <v>2.355</v>
      </c>
      <c r="E4898">
        <f>IFERROR(VLOOKUP($A4898,原始数据_收盘!$A$4:$G$3460,5,0),"")</f>
        <v>2.73</v>
      </c>
      <c r="F4898">
        <f>IFERROR(VLOOKUP($A4898,原始数据_收盘!$A$4:$G$3460,6,0),"")</f>
        <v>2.3525</v>
      </c>
      <c r="G4898">
        <f>IFERROR(VLOOKUP($A4898,原始数据_收盘!$A$4:$G$3460,7,0),"")</f>
        <v>2.7287</v>
      </c>
      <c r="H4898">
        <f>IFERROR(VLOOKUP($A4898,原始数据_利率互换_FR007_1年!$A$6:$C$4395,2,0),"")</f>
        <v>2.3503</v>
      </c>
      <c r="I4898">
        <f>IFERROR(VLOOKUP($A4898,原始数据_利率互换_FR007_1年!$A$6:$C$4395,3,0),"")</f>
        <v>2.7226</v>
      </c>
    </row>
    <row r="4899" spans="1:9">
      <c r="A4899" s="6">
        <v>44392</v>
      </c>
      <c r="B4899">
        <f>IFERROR(VLOOKUP($A4899,原始数据_收盘!$A$4:$G$3460,2,0),"")</f>
        <v>2.3808</v>
      </c>
      <c r="C4899">
        <f>IFERROR(VLOOKUP($A4899,原始数据_收盘!$A$4:$G$3460,3,0),"")</f>
        <v>2.7568</v>
      </c>
      <c r="D4899">
        <f>IFERROR(VLOOKUP($A4899,原始数据_收盘!$A$4:$G$3460,4,0),"")</f>
        <v>2.3842</v>
      </c>
      <c r="E4899">
        <f>IFERROR(VLOOKUP($A4899,原始数据_收盘!$A$4:$G$3460,5,0),"")</f>
        <v>2.7597</v>
      </c>
      <c r="F4899">
        <f>IFERROR(VLOOKUP($A4899,原始数据_收盘!$A$4:$G$3460,6,0),"")</f>
        <v>2.3825</v>
      </c>
      <c r="G4899">
        <f>IFERROR(VLOOKUP($A4899,原始数据_收盘!$A$4:$G$3460,7,0),"")</f>
        <v>2.7582</v>
      </c>
      <c r="H4899">
        <f>IFERROR(VLOOKUP($A4899,原始数据_利率互换_FR007_1年!$A$6:$C$4395,2,0),"")</f>
        <v>2.3816</v>
      </c>
      <c r="I4899">
        <f>IFERROR(VLOOKUP($A4899,原始数据_利率互换_FR007_1年!$A$6:$C$4395,3,0),"")</f>
        <v>2.7555</v>
      </c>
    </row>
    <row r="4900" spans="1:9">
      <c r="A4900" s="6">
        <v>44393</v>
      </c>
      <c r="B4900">
        <f>IFERROR(VLOOKUP($A4900,原始数据_收盘!$A$4:$G$3460,2,0),"")</f>
        <v>2.36</v>
      </c>
      <c r="C4900">
        <f>IFERROR(VLOOKUP($A4900,原始数据_收盘!$A$4:$G$3460,3,0),"")</f>
        <v>2.7353</v>
      </c>
      <c r="D4900">
        <f>IFERROR(VLOOKUP($A4900,原始数据_收盘!$A$4:$G$3460,4,0),"")</f>
        <v>2.3658</v>
      </c>
      <c r="E4900">
        <f>IFERROR(VLOOKUP($A4900,原始数据_收盘!$A$4:$G$3460,5,0),"")</f>
        <v>2.7397</v>
      </c>
      <c r="F4900">
        <f>IFERROR(VLOOKUP($A4900,原始数据_收盘!$A$4:$G$3460,6,0),"")</f>
        <v>2.3629</v>
      </c>
      <c r="G4900">
        <f>IFERROR(VLOOKUP($A4900,原始数据_收盘!$A$4:$G$3460,7,0),"")</f>
        <v>2.7375</v>
      </c>
      <c r="H4900">
        <f>IFERROR(VLOOKUP($A4900,原始数据_利率互换_FR007_1年!$A$6:$C$4395,2,0),"")</f>
        <v>2.3721</v>
      </c>
      <c r="I4900">
        <f>IFERROR(VLOOKUP($A4900,原始数据_利率互换_FR007_1年!$A$6:$C$4395,3,0),"")</f>
        <v>2.7518</v>
      </c>
    </row>
    <row r="4901" spans="1:9">
      <c r="A4901" s="6">
        <v>44394</v>
      </c>
      <c r="B4901" t="str">
        <f>IFERROR(VLOOKUP($A4901,原始数据_收盘!$A$4:$G$3460,2,0),"")</f>
        <v/>
      </c>
      <c r="C4901" t="str">
        <f>IFERROR(VLOOKUP($A4901,原始数据_收盘!$A$4:$G$3460,3,0),"")</f>
        <v/>
      </c>
      <c r="D4901" t="str">
        <f>IFERROR(VLOOKUP($A4901,原始数据_收盘!$A$4:$G$3460,4,0),"")</f>
        <v/>
      </c>
      <c r="E4901" t="str">
        <f>IFERROR(VLOOKUP($A4901,原始数据_收盘!$A$4:$G$3460,5,0),"")</f>
        <v/>
      </c>
      <c r="F4901" t="str">
        <f>IFERROR(VLOOKUP($A4901,原始数据_收盘!$A$4:$G$3460,6,0),"")</f>
        <v/>
      </c>
      <c r="G4901" t="str">
        <f>IFERROR(VLOOKUP($A4901,原始数据_收盘!$A$4:$G$3460,7,0),"")</f>
        <v/>
      </c>
      <c r="H4901" t="str">
        <f>IFERROR(VLOOKUP($A4901,原始数据_利率互换_FR007_1年!$A$6:$C$4395,2,0),"")</f>
        <v/>
      </c>
      <c r="I4901" t="str">
        <f>IFERROR(VLOOKUP($A4901,原始数据_利率互换_FR007_1年!$A$6:$C$4395,3,0),"")</f>
        <v/>
      </c>
    </row>
    <row r="4902" spans="1:9">
      <c r="A4902" s="6">
        <v>44395</v>
      </c>
      <c r="B4902" t="str">
        <f>IFERROR(VLOOKUP($A4902,原始数据_收盘!$A$4:$G$3460,2,0),"")</f>
        <v/>
      </c>
      <c r="C4902" t="str">
        <f>IFERROR(VLOOKUP($A4902,原始数据_收盘!$A$4:$G$3460,3,0),"")</f>
        <v/>
      </c>
      <c r="D4902" t="str">
        <f>IFERROR(VLOOKUP($A4902,原始数据_收盘!$A$4:$G$3460,4,0),"")</f>
        <v/>
      </c>
      <c r="E4902" t="str">
        <f>IFERROR(VLOOKUP($A4902,原始数据_收盘!$A$4:$G$3460,5,0),"")</f>
        <v/>
      </c>
      <c r="F4902" t="str">
        <f>IFERROR(VLOOKUP($A4902,原始数据_收盘!$A$4:$G$3460,6,0),"")</f>
        <v/>
      </c>
      <c r="G4902" t="str">
        <f>IFERROR(VLOOKUP($A4902,原始数据_收盘!$A$4:$G$3460,7,0),"")</f>
        <v/>
      </c>
      <c r="H4902" t="str">
        <f>IFERROR(VLOOKUP($A4902,原始数据_利率互换_FR007_1年!$A$6:$C$4395,2,0),"")</f>
        <v/>
      </c>
      <c r="I4902" t="str">
        <f>IFERROR(VLOOKUP($A4902,原始数据_利率互换_FR007_1年!$A$6:$C$4395,3,0),"")</f>
        <v/>
      </c>
    </row>
    <row r="4903" spans="1:9">
      <c r="A4903" s="6">
        <v>44396</v>
      </c>
      <c r="B4903">
        <f>IFERROR(VLOOKUP($A4903,原始数据_收盘!$A$4:$G$3460,2,0),"")</f>
        <v>2.3686</v>
      </c>
      <c r="C4903">
        <f>IFERROR(VLOOKUP($A4903,原始数据_收盘!$A$4:$G$3460,3,0),"")</f>
        <v>2.7425</v>
      </c>
      <c r="D4903">
        <f>IFERROR(VLOOKUP($A4903,原始数据_收盘!$A$4:$G$3460,4,0),"")</f>
        <v>2.3725</v>
      </c>
      <c r="E4903">
        <f>IFERROR(VLOOKUP($A4903,原始数据_收盘!$A$4:$G$3460,5,0),"")</f>
        <v>2.745</v>
      </c>
      <c r="F4903">
        <f>IFERROR(VLOOKUP($A4903,原始数据_收盘!$A$4:$G$3460,6,0),"")</f>
        <v>2.3706</v>
      </c>
      <c r="G4903">
        <f>IFERROR(VLOOKUP($A4903,原始数据_收盘!$A$4:$G$3460,7,0),"")</f>
        <v>2.7438</v>
      </c>
      <c r="H4903">
        <f>IFERROR(VLOOKUP($A4903,原始数据_利率互换_FR007_1年!$A$6:$C$4395,2,0),"")</f>
        <v>2.3692</v>
      </c>
      <c r="I4903">
        <f>IFERROR(VLOOKUP($A4903,原始数据_利率互换_FR007_1年!$A$6:$C$4395,3,0),"")</f>
        <v>2.7431</v>
      </c>
    </row>
    <row r="4904" spans="1:9">
      <c r="A4904" s="6">
        <v>44397</v>
      </c>
      <c r="B4904">
        <f>IFERROR(VLOOKUP($A4904,原始数据_收盘!$A$4:$G$3460,2,0),"")</f>
        <v>2.37</v>
      </c>
      <c r="C4904">
        <f>IFERROR(VLOOKUP($A4904,原始数据_收盘!$A$4:$G$3460,3,0),"")</f>
        <v>2.7325</v>
      </c>
      <c r="D4904">
        <f>IFERROR(VLOOKUP($A4904,原始数据_收盘!$A$4:$G$3460,4,0),"")</f>
        <v>2.375</v>
      </c>
      <c r="E4904">
        <f>IFERROR(VLOOKUP($A4904,原始数据_收盘!$A$4:$G$3460,5,0),"")</f>
        <v>2.7354</v>
      </c>
      <c r="F4904">
        <f>IFERROR(VLOOKUP($A4904,原始数据_收盘!$A$4:$G$3460,6,0),"")</f>
        <v>2.3725</v>
      </c>
      <c r="G4904">
        <f>IFERROR(VLOOKUP($A4904,原始数据_收盘!$A$4:$G$3460,7,0),"")</f>
        <v>2.734</v>
      </c>
      <c r="H4904">
        <f>IFERROR(VLOOKUP($A4904,原始数据_利率互换_FR007_1年!$A$6:$C$4395,2,0),"")</f>
        <v>2.3694</v>
      </c>
      <c r="I4904">
        <f>IFERROR(VLOOKUP($A4904,原始数据_利率互换_FR007_1年!$A$6:$C$4395,3,0),"")</f>
        <v>2.7326</v>
      </c>
    </row>
    <row r="4905" spans="1:9">
      <c r="A4905" s="6">
        <v>44398</v>
      </c>
      <c r="B4905">
        <f>IFERROR(VLOOKUP($A4905,原始数据_收盘!$A$4:$G$3460,2,0),"")</f>
        <v>2.37</v>
      </c>
      <c r="C4905">
        <f>IFERROR(VLOOKUP($A4905,原始数据_收盘!$A$4:$G$3460,3,0),"")</f>
        <v>2.73</v>
      </c>
      <c r="D4905">
        <f>IFERROR(VLOOKUP($A4905,原始数据_收盘!$A$4:$G$3460,4,0),"")</f>
        <v>2.3725</v>
      </c>
      <c r="E4905">
        <f>IFERROR(VLOOKUP($A4905,原始数据_收盘!$A$4:$G$3460,5,0),"")</f>
        <v>2.7325</v>
      </c>
      <c r="F4905">
        <f>IFERROR(VLOOKUP($A4905,原始数据_收盘!$A$4:$G$3460,6,0),"")</f>
        <v>2.3713</v>
      </c>
      <c r="G4905">
        <f>IFERROR(VLOOKUP($A4905,原始数据_收盘!$A$4:$G$3460,7,0),"")</f>
        <v>2.7313</v>
      </c>
      <c r="H4905">
        <f>IFERROR(VLOOKUP($A4905,原始数据_利率互换_FR007_1年!$A$6:$C$4395,2,0),"")</f>
        <v>2.3716</v>
      </c>
      <c r="I4905">
        <f>IFERROR(VLOOKUP($A4905,原始数据_利率互换_FR007_1年!$A$6:$C$4395,3,0),"")</f>
        <v>2.7326</v>
      </c>
    </row>
    <row r="4906" spans="1:9">
      <c r="A4906" s="6">
        <v>44399</v>
      </c>
      <c r="B4906">
        <f>IFERROR(VLOOKUP($A4906,原始数据_收盘!$A$4:$G$3460,2,0),"")</f>
        <v>2.3775</v>
      </c>
      <c r="C4906">
        <f>IFERROR(VLOOKUP($A4906,原始数据_收盘!$A$4:$G$3460,3,0),"")</f>
        <v>2.7475</v>
      </c>
      <c r="D4906">
        <f>IFERROR(VLOOKUP($A4906,原始数据_收盘!$A$4:$G$3460,4,0),"")</f>
        <v>2.38</v>
      </c>
      <c r="E4906">
        <f>IFERROR(VLOOKUP($A4906,原始数据_收盘!$A$4:$G$3460,5,0),"")</f>
        <v>2.75</v>
      </c>
      <c r="F4906">
        <f>IFERROR(VLOOKUP($A4906,原始数据_收盘!$A$4:$G$3460,6,0),"")</f>
        <v>2.3788</v>
      </c>
      <c r="G4906">
        <f>IFERROR(VLOOKUP($A4906,原始数据_收盘!$A$4:$G$3460,7,0),"")</f>
        <v>2.7488</v>
      </c>
      <c r="H4906">
        <f>IFERROR(VLOOKUP($A4906,原始数据_利率互换_FR007_1年!$A$6:$C$4395,2,0),"")</f>
        <v>2.3801</v>
      </c>
      <c r="I4906">
        <f>IFERROR(VLOOKUP($A4906,原始数据_利率互换_FR007_1年!$A$6:$C$4395,3,0),"")</f>
        <v>2.7457</v>
      </c>
    </row>
    <row r="4907" spans="1:9">
      <c r="A4907" s="6">
        <v>44400</v>
      </c>
      <c r="B4907">
        <f>IFERROR(VLOOKUP($A4907,原始数据_收盘!$A$4:$G$3460,2,0),"")</f>
        <v>2.3699</v>
      </c>
      <c r="C4907">
        <f>IFERROR(VLOOKUP($A4907,原始数据_收盘!$A$4:$G$3460,3,0),"")</f>
        <v>2.735</v>
      </c>
      <c r="D4907">
        <f>IFERROR(VLOOKUP($A4907,原始数据_收盘!$A$4:$G$3460,4,0),"")</f>
        <v>2.3725</v>
      </c>
      <c r="E4907">
        <f>IFERROR(VLOOKUP($A4907,原始数据_收盘!$A$4:$G$3460,5,0),"")</f>
        <v>2.7375</v>
      </c>
      <c r="F4907">
        <f>IFERROR(VLOOKUP($A4907,原始数据_收盘!$A$4:$G$3460,6,0),"")</f>
        <v>2.3712</v>
      </c>
      <c r="G4907">
        <f>IFERROR(VLOOKUP($A4907,原始数据_收盘!$A$4:$G$3460,7,0),"")</f>
        <v>2.7363</v>
      </c>
      <c r="H4907">
        <f>IFERROR(VLOOKUP($A4907,原始数据_利率互换_FR007_1年!$A$6:$C$4395,2,0),"")</f>
        <v>2.3717</v>
      </c>
      <c r="I4907">
        <f>IFERROR(VLOOKUP($A4907,原始数据_利率互换_FR007_1年!$A$6:$C$4395,3,0),"")</f>
        <v>2.7363</v>
      </c>
    </row>
    <row r="4908" spans="1:9">
      <c r="A4908" s="6">
        <v>44401</v>
      </c>
      <c r="B4908" t="str">
        <f>IFERROR(VLOOKUP($A4908,原始数据_收盘!$A$4:$G$3460,2,0),"")</f>
        <v/>
      </c>
      <c r="C4908" t="str">
        <f>IFERROR(VLOOKUP($A4908,原始数据_收盘!$A$4:$G$3460,3,0),"")</f>
        <v/>
      </c>
      <c r="D4908" t="str">
        <f>IFERROR(VLOOKUP($A4908,原始数据_收盘!$A$4:$G$3460,4,0),"")</f>
        <v/>
      </c>
      <c r="E4908" t="str">
        <f>IFERROR(VLOOKUP($A4908,原始数据_收盘!$A$4:$G$3460,5,0),"")</f>
        <v/>
      </c>
      <c r="F4908" t="str">
        <f>IFERROR(VLOOKUP($A4908,原始数据_收盘!$A$4:$G$3460,6,0),"")</f>
        <v/>
      </c>
      <c r="G4908" t="str">
        <f>IFERROR(VLOOKUP($A4908,原始数据_收盘!$A$4:$G$3460,7,0),"")</f>
        <v/>
      </c>
      <c r="H4908" t="str">
        <f>IFERROR(VLOOKUP($A4908,原始数据_利率互换_FR007_1年!$A$6:$C$4395,2,0),"")</f>
        <v/>
      </c>
      <c r="I4908" t="str">
        <f>IFERROR(VLOOKUP($A4908,原始数据_利率互换_FR007_1年!$A$6:$C$4395,3,0),"")</f>
        <v/>
      </c>
    </row>
    <row r="4909" spans="1:9">
      <c r="A4909" s="6">
        <v>44402</v>
      </c>
      <c r="B4909" t="str">
        <f>IFERROR(VLOOKUP($A4909,原始数据_收盘!$A$4:$G$3460,2,0),"")</f>
        <v/>
      </c>
      <c r="C4909" t="str">
        <f>IFERROR(VLOOKUP($A4909,原始数据_收盘!$A$4:$G$3460,3,0),"")</f>
        <v/>
      </c>
      <c r="D4909" t="str">
        <f>IFERROR(VLOOKUP($A4909,原始数据_收盘!$A$4:$G$3460,4,0),"")</f>
        <v/>
      </c>
      <c r="E4909" t="str">
        <f>IFERROR(VLOOKUP($A4909,原始数据_收盘!$A$4:$G$3460,5,0),"")</f>
        <v/>
      </c>
      <c r="F4909" t="str">
        <f>IFERROR(VLOOKUP($A4909,原始数据_收盘!$A$4:$G$3460,6,0),"")</f>
        <v/>
      </c>
      <c r="G4909" t="str">
        <f>IFERROR(VLOOKUP($A4909,原始数据_收盘!$A$4:$G$3460,7,0),"")</f>
        <v/>
      </c>
      <c r="H4909" t="str">
        <f>IFERROR(VLOOKUP($A4909,原始数据_利率互换_FR007_1年!$A$6:$C$4395,2,0),"")</f>
        <v/>
      </c>
      <c r="I4909" t="str">
        <f>IFERROR(VLOOKUP($A4909,原始数据_利率互换_FR007_1年!$A$6:$C$4395,3,0),"")</f>
        <v/>
      </c>
    </row>
    <row r="4910" spans="1:9">
      <c r="A4910" s="6">
        <v>44403</v>
      </c>
      <c r="B4910">
        <f>IFERROR(VLOOKUP($A4910,原始数据_收盘!$A$4:$G$3460,2,0),"")</f>
        <v>2.3585</v>
      </c>
      <c r="C4910">
        <f>IFERROR(VLOOKUP($A4910,原始数据_收盘!$A$4:$G$3460,3,0),"")</f>
        <v>2.7131</v>
      </c>
      <c r="D4910">
        <f>IFERROR(VLOOKUP($A4910,原始数据_收盘!$A$4:$G$3460,4,0),"")</f>
        <v>2.3612</v>
      </c>
      <c r="E4910">
        <f>IFERROR(VLOOKUP($A4910,原始数据_收盘!$A$4:$G$3460,5,0),"")</f>
        <v>2.7156</v>
      </c>
      <c r="F4910">
        <f>IFERROR(VLOOKUP($A4910,原始数据_收盘!$A$4:$G$3460,6,0),"")</f>
        <v>2.3598</v>
      </c>
      <c r="G4910">
        <f>IFERROR(VLOOKUP($A4910,原始数据_收盘!$A$4:$G$3460,7,0),"")</f>
        <v>2.7144</v>
      </c>
      <c r="H4910">
        <f>IFERROR(VLOOKUP($A4910,原始数据_利率互换_FR007_1年!$A$6:$C$4395,2,0),"")</f>
        <v>2.3592</v>
      </c>
      <c r="I4910">
        <f>IFERROR(VLOOKUP($A4910,原始数据_利率互换_FR007_1年!$A$6:$C$4395,3,0),"")</f>
        <v>2.7147</v>
      </c>
    </row>
    <row r="4911" spans="1:9">
      <c r="A4911" s="6">
        <v>44404</v>
      </c>
      <c r="B4911">
        <f>IFERROR(VLOOKUP($A4911,原始数据_收盘!$A$4:$G$3460,2,0),"")</f>
        <v>2.3933</v>
      </c>
      <c r="C4911">
        <f>IFERROR(VLOOKUP($A4911,原始数据_收盘!$A$4:$G$3460,3,0),"")</f>
        <v>2.7513</v>
      </c>
      <c r="D4911">
        <f>IFERROR(VLOOKUP($A4911,原始数据_收盘!$A$4:$G$3460,4,0),"")</f>
        <v>2.3969</v>
      </c>
      <c r="E4911">
        <f>IFERROR(VLOOKUP($A4911,原始数据_收盘!$A$4:$G$3460,5,0),"")</f>
        <v>2.755</v>
      </c>
      <c r="F4911">
        <f>IFERROR(VLOOKUP($A4911,原始数据_收盘!$A$4:$G$3460,6,0),"")</f>
        <v>2.3951</v>
      </c>
      <c r="G4911">
        <f>IFERROR(VLOOKUP($A4911,原始数据_收盘!$A$4:$G$3460,7,0),"")</f>
        <v>2.7532</v>
      </c>
      <c r="H4911">
        <f>IFERROR(VLOOKUP($A4911,原始数据_利率互换_FR007_1年!$A$6:$C$4395,2,0),"")</f>
        <v>2.3893</v>
      </c>
      <c r="I4911">
        <f>IFERROR(VLOOKUP($A4911,原始数据_利率互换_FR007_1年!$A$6:$C$4395,3,0),"")</f>
        <v>2.7461</v>
      </c>
    </row>
    <row r="4912" spans="1:9">
      <c r="A4912" s="6">
        <v>44405</v>
      </c>
      <c r="B4912">
        <f>IFERROR(VLOOKUP($A4912,原始数据_收盘!$A$4:$G$3460,2,0),"")</f>
        <v>2.4018</v>
      </c>
      <c r="C4912">
        <f>IFERROR(VLOOKUP($A4912,原始数据_收盘!$A$4:$G$3460,3,0),"")</f>
        <v>2.759</v>
      </c>
      <c r="D4912">
        <f>IFERROR(VLOOKUP($A4912,原始数据_收盘!$A$4:$G$3460,4,0),"")</f>
        <v>2.403</v>
      </c>
      <c r="E4912">
        <f>IFERROR(VLOOKUP($A4912,原始数据_收盘!$A$4:$G$3460,5,0),"")</f>
        <v>2.7611</v>
      </c>
      <c r="F4912">
        <f>IFERROR(VLOOKUP($A4912,原始数据_收盘!$A$4:$G$3460,6,0),"")</f>
        <v>2.4024</v>
      </c>
      <c r="G4912">
        <f>IFERROR(VLOOKUP($A4912,原始数据_收盘!$A$4:$G$3460,7,0),"")</f>
        <v>2.7601</v>
      </c>
      <c r="H4912">
        <f>IFERROR(VLOOKUP($A4912,原始数据_利率互换_FR007_1年!$A$6:$C$4395,2,0),"")</f>
        <v>2.4025</v>
      </c>
      <c r="I4912">
        <f>IFERROR(VLOOKUP($A4912,原始数据_利率互换_FR007_1年!$A$6:$C$4395,3,0),"")</f>
        <v>2.7578</v>
      </c>
    </row>
    <row r="4913" spans="1:9">
      <c r="A4913" s="6">
        <v>44406</v>
      </c>
      <c r="B4913">
        <f>IFERROR(VLOOKUP($A4913,原始数据_收盘!$A$4:$G$3460,2,0),"")</f>
        <v>2.365</v>
      </c>
      <c r="C4913">
        <f>IFERROR(VLOOKUP($A4913,原始数据_收盘!$A$4:$G$3460,3,0),"")</f>
        <v>2.7249</v>
      </c>
      <c r="D4913">
        <f>IFERROR(VLOOKUP($A4913,原始数据_收盘!$A$4:$G$3460,4,0),"")</f>
        <v>2.368</v>
      </c>
      <c r="E4913">
        <f>IFERROR(VLOOKUP($A4913,原始数据_收盘!$A$4:$G$3460,5,0),"")</f>
        <v>2.7275</v>
      </c>
      <c r="F4913">
        <f>IFERROR(VLOOKUP($A4913,原始数据_收盘!$A$4:$G$3460,6,0),"")</f>
        <v>2.3665</v>
      </c>
      <c r="G4913">
        <f>IFERROR(VLOOKUP($A4913,原始数据_收盘!$A$4:$G$3460,7,0),"")</f>
        <v>2.7262</v>
      </c>
      <c r="H4913">
        <f>IFERROR(VLOOKUP($A4913,原始数据_利率互换_FR007_1年!$A$6:$C$4395,2,0),"")</f>
        <v>2.3794</v>
      </c>
      <c r="I4913">
        <f>IFERROR(VLOOKUP($A4913,原始数据_利率互换_FR007_1年!$A$6:$C$4395,3,0),"")</f>
        <v>2.742</v>
      </c>
    </row>
    <row r="4914" spans="1:9">
      <c r="A4914" s="6">
        <v>44407</v>
      </c>
      <c r="B4914">
        <f>IFERROR(VLOOKUP($A4914,原始数据_收盘!$A$4:$G$3460,2,0),"")</f>
        <v>2.3357</v>
      </c>
      <c r="C4914">
        <f>IFERROR(VLOOKUP($A4914,原始数据_收盘!$A$4:$G$3460,3,0),"")</f>
        <v>2.68</v>
      </c>
      <c r="D4914">
        <f>IFERROR(VLOOKUP($A4914,原始数据_收盘!$A$4:$G$3460,4,0),"")</f>
        <v>2.3393</v>
      </c>
      <c r="E4914">
        <f>IFERROR(VLOOKUP($A4914,原始数据_收盘!$A$4:$G$3460,5,0),"")</f>
        <v>2.685</v>
      </c>
      <c r="F4914">
        <f>IFERROR(VLOOKUP($A4914,原始数据_收盘!$A$4:$G$3460,6,0),"")</f>
        <v>2.3375</v>
      </c>
      <c r="G4914">
        <f>IFERROR(VLOOKUP($A4914,原始数据_收盘!$A$4:$G$3460,7,0),"")</f>
        <v>2.6825</v>
      </c>
      <c r="H4914">
        <f>IFERROR(VLOOKUP($A4914,原始数据_利率互换_FR007_1年!$A$6:$C$4395,2,0),"")</f>
        <v>2.3479</v>
      </c>
      <c r="I4914">
        <f>IFERROR(VLOOKUP($A4914,原始数据_利率互换_FR007_1年!$A$6:$C$4395,3,0),"")</f>
        <v>2.7008</v>
      </c>
    </row>
    <row r="4915" spans="1:9">
      <c r="A4915" s="6">
        <v>44408</v>
      </c>
      <c r="B4915" t="str">
        <f>IFERROR(VLOOKUP($A4915,原始数据_收盘!$A$4:$G$3460,2,0),"")</f>
        <v/>
      </c>
      <c r="C4915" t="str">
        <f>IFERROR(VLOOKUP($A4915,原始数据_收盘!$A$4:$G$3460,3,0),"")</f>
        <v/>
      </c>
      <c r="D4915" t="str">
        <f>IFERROR(VLOOKUP($A4915,原始数据_收盘!$A$4:$G$3460,4,0),"")</f>
        <v/>
      </c>
      <c r="E4915" t="str">
        <f>IFERROR(VLOOKUP($A4915,原始数据_收盘!$A$4:$G$3460,5,0),"")</f>
        <v/>
      </c>
      <c r="F4915" t="str">
        <f>IFERROR(VLOOKUP($A4915,原始数据_收盘!$A$4:$G$3460,6,0),"")</f>
        <v/>
      </c>
      <c r="G4915" t="str">
        <f>IFERROR(VLOOKUP($A4915,原始数据_收盘!$A$4:$G$3460,7,0),"")</f>
        <v/>
      </c>
      <c r="H4915" t="str">
        <f>IFERROR(VLOOKUP($A4915,原始数据_利率互换_FR007_1年!$A$6:$C$4395,2,0),"")</f>
        <v/>
      </c>
      <c r="I4915" t="str">
        <f>IFERROR(VLOOKUP($A4915,原始数据_利率互换_FR007_1年!$A$6:$C$4395,3,0),"")</f>
        <v/>
      </c>
    </row>
    <row r="4916" spans="1:9">
      <c r="A4916" s="6">
        <v>44409</v>
      </c>
      <c r="B4916" t="str">
        <f>IFERROR(VLOOKUP($A4916,原始数据_收盘!$A$4:$G$3460,2,0),"")</f>
        <v/>
      </c>
      <c r="C4916" t="str">
        <f>IFERROR(VLOOKUP($A4916,原始数据_收盘!$A$4:$G$3460,3,0),"")</f>
        <v/>
      </c>
      <c r="D4916" t="str">
        <f>IFERROR(VLOOKUP($A4916,原始数据_收盘!$A$4:$G$3460,4,0),"")</f>
        <v/>
      </c>
      <c r="E4916" t="str">
        <f>IFERROR(VLOOKUP($A4916,原始数据_收盘!$A$4:$G$3460,5,0),"")</f>
        <v/>
      </c>
      <c r="F4916" t="str">
        <f>IFERROR(VLOOKUP($A4916,原始数据_收盘!$A$4:$G$3460,6,0),"")</f>
        <v/>
      </c>
      <c r="G4916" t="str">
        <f>IFERROR(VLOOKUP($A4916,原始数据_收盘!$A$4:$G$3460,7,0),"")</f>
        <v/>
      </c>
      <c r="H4916" t="str">
        <f>IFERROR(VLOOKUP($A4916,原始数据_利率互换_FR007_1年!$A$6:$C$4395,2,0),"")</f>
        <v/>
      </c>
      <c r="I4916" t="str">
        <f>IFERROR(VLOOKUP($A4916,原始数据_利率互换_FR007_1年!$A$6:$C$4395,3,0),"")</f>
        <v/>
      </c>
    </row>
    <row r="4917" spans="1:9">
      <c r="A4917" s="6">
        <v>44410</v>
      </c>
      <c r="B4917">
        <f>IFERROR(VLOOKUP($A4917,原始数据_收盘!$A$4:$G$3460,2,0),"")</f>
        <v>2.33</v>
      </c>
      <c r="C4917">
        <f>IFERROR(VLOOKUP($A4917,原始数据_收盘!$A$4:$G$3460,3,0),"")</f>
        <v>2.6775</v>
      </c>
      <c r="D4917">
        <f>IFERROR(VLOOKUP($A4917,原始数据_收盘!$A$4:$G$3460,4,0),"")</f>
        <v>2.3325</v>
      </c>
      <c r="E4917">
        <f>IFERROR(VLOOKUP($A4917,原始数据_收盘!$A$4:$G$3460,5,0),"")</f>
        <v>2.68</v>
      </c>
      <c r="F4917">
        <f>IFERROR(VLOOKUP($A4917,原始数据_收盘!$A$4:$G$3460,6,0),"")</f>
        <v>2.3313</v>
      </c>
      <c r="G4917">
        <f>IFERROR(VLOOKUP($A4917,原始数据_收盘!$A$4:$G$3460,7,0),"")</f>
        <v>2.6788</v>
      </c>
      <c r="H4917">
        <f>IFERROR(VLOOKUP($A4917,原始数据_利率互换_FR007_1年!$A$6:$C$4395,2,0),"")</f>
        <v>2.3246</v>
      </c>
      <c r="I4917">
        <f>IFERROR(VLOOKUP($A4917,原始数据_利率互换_FR007_1年!$A$6:$C$4395,3,0),"")</f>
        <v>2.6702</v>
      </c>
    </row>
    <row r="4918" spans="1:9">
      <c r="A4918" s="6">
        <v>44411</v>
      </c>
      <c r="B4918">
        <f>IFERROR(VLOOKUP($A4918,原始数据_收盘!$A$4:$G$3460,2,0),"")</f>
        <v>2.3192</v>
      </c>
      <c r="C4918">
        <f>IFERROR(VLOOKUP($A4918,原始数据_收盘!$A$4:$G$3460,3,0),"")</f>
        <v>2.678</v>
      </c>
      <c r="D4918">
        <f>IFERROR(VLOOKUP($A4918,原始数据_收盘!$A$4:$G$3460,4,0),"")</f>
        <v>2.3225</v>
      </c>
      <c r="E4918">
        <f>IFERROR(VLOOKUP($A4918,原始数据_收盘!$A$4:$G$3460,5,0),"")</f>
        <v>2.6815</v>
      </c>
      <c r="F4918">
        <f>IFERROR(VLOOKUP($A4918,原始数据_收盘!$A$4:$G$3460,6,0),"")</f>
        <v>2.3208</v>
      </c>
      <c r="G4918">
        <f>IFERROR(VLOOKUP($A4918,原始数据_收盘!$A$4:$G$3460,7,0),"")</f>
        <v>2.6798</v>
      </c>
      <c r="H4918">
        <f>IFERROR(VLOOKUP($A4918,原始数据_利率互换_FR007_1年!$A$6:$C$4395,2,0),"")</f>
        <v>2.3287</v>
      </c>
      <c r="I4918">
        <f>IFERROR(VLOOKUP($A4918,原始数据_利率互换_FR007_1年!$A$6:$C$4395,3,0),"")</f>
        <v>2.6845</v>
      </c>
    </row>
    <row r="4919" spans="1:9">
      <c r="A4919" s="6">
        <v>44412</v>
      </c>
      <c r="B4919">
        <f>IFERROR(VLOOKUP($A4919,原始数据_收盘!$A$4:$G$3460,2,0),"")</f>
        <v>2.315</v>
      </c>
      <c r="C4919">
        <f>IFERROR(VLOOKUP($A4919,原始数据_收盘!$A$4:$G$3460,3,0),"")</f>
        <v>2.67</v>
      </c>
      <c r="D4919">
        <f>IFERROR(VLOOKUP($A4919,原始数据_收盘!$A$4:$G$3460,4,0),"")</f>
        <v>2.3175</v>
      </c>
      <c r="E4919">
        <f>IFERROR(VLOOKUP($A4919,原始数据_收盘!$A$4:$G$3460,5,0),"")</f>
        <v>2.675</v>
      </c>
      <c r="F4919">
        <f>IFERROR(VLOOKUP($A4919,原始数据_收盘!$A$4:$G$3460,6,0),"")</f>
        <v>2.3163</v>
      </c>
      <c r="G4919">
        <f>IFERROR(VLOOKUP($A4919,原始数据_收盘!$A$4:$G$3460,7,0),"")</f>
        <v>2.6725</v>
      </c>
      <c r="H4919">
        <f>IFERROR(VLOOKUP($A4919,原始数据_利率互换_FR007_1年!$A$6:$C$4395,2,0),"")</f>
        <v>2.3203</v>
      </c>
      <c r="I4919">
        <f>IFERROR(VLOOKUP($A4919,原始数据_利率互换_FR007_1年!$A$6:$C$4395,3,0),"")</f>
        <v>2.681</v>
      </c>
    </row>
    <row r="4920" spans="1:9">
      <c r="A4920" s="6">
        <v>44413</v>
      </c>
      <c r="B4920">
        <f>IFERROR(VLOOKUP($A4920,原始数据_收盘!$A$4:$G$3460,2,0),"")</f>
        <v>2.2878</v>
      </c>
      <c r="C4920">
        <f>IFERROR(VLOOKUP($A4920,原始数据_收盘!$A$4:$G$3460,3,0),"")</f>
        <v>2.64</v>
      </c>
      <c r="D4920">
        <f>IFERROR(VLOOKUP($A4920,原始数据_收盘!$A$4:$G$3460,4,0),"")</f>
        <v>2.2925</v>
      </c>
      <c r="E4920">
        <f>IFERROR(VLOOKUP($A4920,原始数据_收盘!$A$4:$G$3460,5,0),"")</f>
        <v>2.6425</v>
      </c>
      <c r="F4920">
        <f>IFERROR(VLOOKUP($A4920,原始数据_收盘!$A$4:$G$3460,6,0),"")</f>
        <v>2.2902</v>
      </c>
      <c r="G4920">
        <f>IFERROR(VLOOKUP($A4920,原始数据_收盘!$A$4:$G$3460,7,0),"")</f>
        <v>2.6413</v>
      </c>
      <c r="H4920">
        <f>IFERROR(VLOOKUP($A4920,原始数据_利率互换_FR007_1年!$A$6:$C$4395,2,0),"")</f>
        <v>2.2943</v>
      </c>
      <c r="I4920">
        <f>IFERROR(VLOOKUP($A4920,原始数据_利率互换_FR007_1年!$A$6:$C$4395,3,0),"")</f>
        <v>2.6522</v>
      </c>
    </row>
    <row r="4921" spans="1:9">
      <c r="A4921" s="6">
        <v>44414</v>
      </c>
      <c r="B4921">
        <f>IFERROR(VLOOKUP($A4921,原始数据_收盘!$A$4:$G$3460,2,0),"")</f>
        <v>2.3025</v>
      </c>
      <c r="C4921">
        <f>IFERROR(VLOOKUP($A4921,原始数据_收盘!$A$4:$G$3460,3,0),"")</f>
        <v>2.6609</v>
      </c>
      <c r="D4921">
        <f>IFERROR(VLOOKUP($A4921,原始数据_收盘!$A$4:$G$3460,4,0),"")</f>
        <v>2.3075</v>
      </c>
      <c r="E4921">
        <f>IFERROR(VLOOKUP($A4921,原始数据_收盘!$A$4:$G$3460,5,0),"")</f>
        <v>2.6631</v>
      </c>
      <c r="F4921">
        <f>IFERROR(VLOOKUP($A4921,原始数据_收盘!$A$4:$G$3460,6,0),"")</f>
        <v>2.305</v>
      </c>
      <c r="G4921">
        <f>IFERROR(VLOOKUP($A4921,原始数据_收盘!$A$4:$G$3460,7,0),"")</f>
        <v>2.662</v>
      </c>
      <c r="H4921">
        <f>IFERROR(VLOOKUP($A4921,原始数据_利率互换_FR007_1年!$A$6:$C$4395,2,0),"")</f>
        <v>2.2995</v>
      </c>
      <c r="I4921">
        <f>IFERROR(VLOOKUP($A4921,原始数据_利率互换_FR007_1年!$A$6:$C$4395,3,0),"")</f>
        <v>2.6539</v>
      </c>
    </row>
    <row r="4922" spans="1:9">
      <c r="A4922" s="6">
        <v>44415</v>
      </c>
      <c r="B4922" t="str">
        <f>IFERROR(VLOOKUP($A4922,原始数据_收盘!$A$4:$G$3460,2,0),"")</f>
        <v/>
      </c>
      <c r="C4922" t="str">
        <f>IFERROR(VLOOKUP($A4922,原始数据_收盘!$A$4:$G$3460,3,0),"")</f>
        <v/>
      </c>
      <c r="D4922" t="str">
        <f>IFERROR(VLOOKUP($A4922,原始数据_收盘!$A$4:$G$3460,4,0),"")</f>
        <v/>
      </c>
      <c r="E4922" t="str">
        <f>IFERROR(VLOOKUP($A4922,原始数据_收盘!$A$4:$G$3460,5,0),"")</f>
        <v/>
      </c>
      <c r="F4922" t="str">
        <f>IFERROR(VLOOKUP($A4922,原始数据_收盘!$A$4:$G$3460,6,0),"")</f>
        <v/>
      </c>
      <c r="G4922" t="str">
        <f>IFERROR(VLOOKUP($A4922,原始数据_收盘!$A$4:$G$3460,7,0),"")</f>
        <v/>
      </c>
      <c r="H4922" t="str">
        <f>IFERROR(VLOOKUP($A4922,原始数据_利率互换_FR007_1年!$A$6:$C$4395,2,0),"")</f>
        <v/>
      </c>
      <c r="I4922" t="str">
        <f>IFERROR(VLOOKUP($A4922,原始数据_利率互换_FR007_1年!$A$6:$C$4395,3,0),"")</f>
        <v/>
      </c>
    </row>
    <row r="4923" spans="1:9">
      <c r="A4923" s="6">
        <v>44416</v>
      </c>
      <c r="B4923" t="str">
        <f>IFERROR(VLOOKUP($A4923,原始数据_收盘!$A$4:$G$3460,2,0),"")</f>
        <v/>
      </c>
      <c r="C4923" t="str">
        <f>IFERROR(VLOOKUP($A4923,原始数据_收盘!$A$4:$G$3460,3,0),"")</f>
        <v/>
      </c>
      <c r="D4923" t="str">
        <f>IFERROR(VLOOKUP($A4923,原始数据_收盘!$A$4:$G$3460,4,0),"")</f>
        <v/>
      </c>
      <c r="E4923" t="str">
        <f>IFERROR(VLOOKUP($A4923,原始数据_收盘!$A$4:$G$3460,5,0),"")</f>
        <v/>
      </c>
      <c r="F4923" t="str">
        <f>IFERROR(VLOOKUP($A4923,原始数据_收盘!$A$4:$G$3460,6,0),"")</f>
        <v/>
      </c>
      <c r="G4923" t="str">
        <f>IFERROR(VLOOKUP($A4923,原始数据_收盘!$A$4:$G$3460,7,0),"")</f>
        <v/>
      </c>
      <c r="H4923" t="str">
        <f>IFERROR(VLOOKUP($A4923,原始数据_利率互换_FR007_1年!$A$6:$C$4395,2,0),"")</f>
        <v/>
      </c>
      <c r="I4923" t="str">
        <f>IFERROR(VLOOKUP($A4923,原始数据_利率互换_FR007_1年!$A$6:$C$4395,3,0),"")</f>
        <v/>
      </c>
    </row>
    <row r="4924" spans="1:9">
      <c r="A4924" s="6">
        <v>44417</v>
      </c>
      <c r="B4924">
        <f>IFERROR(VLOOKUP($A4924,原始数据_收盘!$A$4:$G$3460,2,0),"")</f>
        <v>2.3503</v>
      </c>
      <c r="C4924">
        <f>IFERROR(VLOOKUP($A4924,原始数据_收盘!$A$4:$G$3460,3,0),"")</f>
        <v>2.7125</v>
      </c>
      <c r="D4924">
        <f>IFERROR(VLOOKUP($A4924,原始数据_收盘!$A$4:$G$3460,4,0),"")</f>
        <v>2.355</v>
      </c>
      <c r="E4924">
        <f>IFERROR(VLOOKUP($A4924,原始数据_收盘!$A$4:$G$3460,5,0),"")</f>
        <v>2.715</v>
      </c>
      <c r="F4924">
        <f>IFERROR(VLOOKUP($A4924,原始数据_收盘!$A$4:$G$3460,6,0),"")</f>
        <v>2.3527</v>
      </c>
      <c r="G4924">
        <f>IFERROR(VLOOKUP($A4924,原始数据_收盘!$A$4:$G$3460,7,0),"")</f>
        <v>2.7138</v>
      </c>
      <c r="H4924">
        <f>IFERROR(VLOOKUP($A4924,原始数据_利率互换_FR007_1年!$A$6:$C$4395,2,0),"")</f>
        <v>2.342</v>
      </c>
      <c r="I4924">
        <f>IFERROR(VLOOKUP($A4924,原始数据_利率互换_FR007_1年!$A$6:$C$4395,3,0),"")</f>
        <v>2.6904</v>
      </c>
    </row>
    <row r="4925" spans="1:9">
      <c r="A4925" s="6">
        <v>44418</v>
      </c>
      <c r="B4925">
        <f>IFERROR(VLOOKUP($A4925,原始数据_收盘!$A$4:$G$3460,2,0),"")</f>
        <v>2.3425</v>
      </c>
      <c r="C4925">
        <f>IFERROR(VLOOKUP($A4925,原始数据_收盘!$A$4:$G$3460,3,0),"")</f>
        <v>2.7023</v>
      </c>
      <c r="D4925">
        <f>IFERROR(VLOOKUP($A4925,原始数据_收盘!$A$4:$G$3460,4,0),"")</f>
        <v>2.345</v>
      </c>
      <c r="E4925">
        <f>IFERROR(VLOOKUP($A4925,原始数据_收盘!$A$4:$G$3460,5,0),"")</f>
        <v>2.7035</v>
      </c>
      <c r="F4925">
        <f>IFERROR(VLOOKUP($A4925,原始数据_收盘!$A$4:$G$3460,6,0),"")</f>
        <v>2.3438</v>
      </c>
      <c r="G4925">
        <f>IFERROR(VLOOKUP($A4925,原始数据_收盘!$A$4:$G$3460,7,0),"")</f>
        <v>2.7029</v>
      </c>
      <c r="H4925">
        <f>IFERROR(VLOOKUP($A4925,原始数据_利率互换_FR007_1年!$A$6:$C$4395,2,0),"")</f>
        <v>2.3534</v>
      </c>
      <c r="I4925">
        <f>IFERROR(VLOOKUP($A4925,原始数据_利率互换_FR007_1年!$A$6:$C$4395,3,0),"")</f>
        <v>2.712</v>
      </c>
    </row>
    <row r="4926" spans="1:9">
      <c r="A4926" s="6">
        <v>44419</v>
      </c>
      <c r="B4926">
        <f>IFERROR(VLOOKUP($A4926,原始数据_收盘!$A$4:$G$3460,2,0),"")</f>
        <v>2.3435</v>
      </c>
      <c r="C4926">
        <f>IFERROR(VLOOKUP($A4926,原始数据_收盘!$A$4:$G$3460,3,0),"")</f>
        <v>2.7116</v>
      </c>
      <c r="D4926">
        <f>IFERROR(VLOOKUP($A4926,原始数据_收盘!$A$4:$G$3460,4,0),"")</f>
        <v>2.3453</v>
      </c>
      <c r="E4926">
        <f>IFERROR(VLOOKUP($A4926,原始数据_收盘!$A$4:$G$3460,5,0),"")</f>
        <v>2.7132</v>
      </c>
      <c r="F4926">
        <f>IFERROR(VLOOKUP($A4926,原始数据_收盘!$A$4:$G$3460,6,0),"")</f>
        <v>2.3444</v>
      </c>
      <c r="G4926">
        <f>IFERROR(VLOOKUP($A4926,原始数据_收盘!$A$4:$G$3460,7,0),"")</f>
        <v>2.7124</v>
      </c>
      <c r="H4926">
        <f>IFERROR(VLOOKUP($A4926,原始数据_利率互换_FR007_1年!$A$6:$C$4395,2,0),"")</f>
        <v>2.3454</v>
      </c>
      <c r="I4926">
        <f>IFERROR(VLOOKUP($A4926,原始数据_利率互换_FR007_1年!$A$6:$C$4395,3,0),"")</f>
        <v>2.7126</v>
      </c>
    </row>
    <row r="4927" spans="1:9">
      <c r="A4927" s="6">
        <v>44420</v>
      </c>
      <c r="B4927">
        <f>IFERROR(VLOOKUP($A4927,原始数据_收盘!$A$4:$G$3460,2,0),"")</f>
        <v>2.3262</v>
      </c>
      <c r="C4927">
        <f>IFERROR(VLOOKUP($A4927,原始数据_收盘!$A$4:$G$3460,3,0),"")</f>
        <v>2.6833</v>
      </c>
      <c r="D4927">
        <f>IFERROR(VLOOKUP($A4927,原始数据_收盘!$A$4:$G$3460,4,0),"")</f>
        <v>2.3286</v>
      </c>
      <c r="E4927">
        <f>IFERROR(VLOOKUP($A4927,原始数据_收盘!$A$4:$G$3460,5,0),"")</f>
        <v>2.6859</v>
      </c>
      <c r="F4927">
        <f>IFERROR(VLOOKUP($A4927,原始数据_收盘!$A$4:$G$3460,6,0),"")</f>
        <v>2.3274</v>
      </c>
      <c r="G4927">
        <f>IFERROR(VLOOKUP($A4927,原始数据_收盘!$A$4:$G$3460,7,0),"")</f>
        <v>2.6846</v>
      </c>
      <c r="H4927">
        <f>IFERROR(VLOOKUP($A4927,原始数据_利率互换_FR007_1年!$A$6:$C$4395,2,0),"")</f>
        <v>2.3329</v>
      </c>
      <c r="I4927">
        <f>IFERROR(VLOOKUP($A4927,原始数据_利率互换_FR007_1年!$A$6:$C$4395,3,0),"")</f>
        <v>2.6941</v>
      </c>
    </row>
    <row r="4928" spans="1:9">
      <c r="A4928" s="6">
        <v>44421</v>
      </c>
      <c r="B4928">
        <f>IFERROR(VLOOKUP($A4928,原始数据_收盘!$A$4:$G$3460,2,0),"")</f>
        <v>2.3325</v>
      </c>
      <c r="C4928">
        <f>IFERROR(VLOOKUP($A4928,原始数据_收盘!$A$4:$G$3460,3,0),"")</f>
        <v>2.6936</v>
      </c>
      <c r="D4928">
        <f>IFERROR(VLOOKUP($A4928,原始数据_收盘!$A$4:$G$3460,4,0),"")</f>
        <v>2.3375</v>
      </c>
      <c r="E4928">
        <f>IFERROR(VLOOKUP($A4928,原始数据_收盘!$A$4:$G$3460,5,0),"")</f>
        <v>2.6962</v>
      </c>
      <c r="F4928">
        <f>IFERROR(VLOOKUP($A4928,原始数据_收盘!$A$4:$G$3460,6,0),"")</f>
        <v>2.335</v>
      </c>
      <c r="G4928">
        <f>IFERROR(VLOOKUP($A4928,原始数据_收盘!$A$4:$G$3460,7,0),"")</f>
        <v>2.6949</v>
      </c>
      <c r="H4928">
        <f>IFERROR(VLOOKUP($A4928,原始数据_利率互换_FR007_1年!$A$6:$C$4395,2,0),"")</f>
        <v>2.3361</v>
      </c>
      <c r="I4928">
        <f>IFERROR(VLOOKUP($A4928,原始数据_利率互换_FR007_1年!$A$6:$C$4395,3,0),"")</f>
        <v>2.6981</v>
      </c>
    </row>
    <row r="4929" spans="1:9">
      <c r="A4929" s="6">
        <v>44422</v>
      </c>
      <c r="B4929" t="str">
        <f>IFERROR(VLOOKUP($A4929,原始数据_收盘!$A$4:$G$3460,2,0),"")</f>
        <v/>
      </c>
      <c r="C4929" t="str">
        <f>IFERROR(VLOOKUP($A4929,原始数据_收盘!$A$4:$G$3460,3,0),"")</f>
        <v/>
      </c>
      <c r="D4929" t="str">
        <f>IFERROR(VLOOKUP($A4929,原始数据_收盘!$A$4:$G$3460,4,0),"")</f>
        <v/>
      </c>
      <c r="E4929" t="str">
        <f>IFERROR(VLOOKUP($A4929,原始数据_收盘!$A$4:$G$3460,5,0),"")</f>
        <v/>
      </c>
      <c r="F4929" t="str">
        <f>IFERROR(VLOOKUP($A4929,原始数据_收盘!$A$4:$G$3460,6,0),"")</f>
        <v/>
      </c>
      <c r="G4929" t="str">
        <f>IFERROR(VLOOKUP($A4929,原始数据_收盘!$A$4:$G$3460,7,0),"")</f>
        <v/>
      </c>
      <c r="H4929" t="str">
        <f>IFERROR(VLOOKUP($A4929,原始数据_利率互换_FR007_1年!$A$6:$C$4395,2,0),"")</f>
        <v/>
      </c>
      <c r="I4929" t="str">
        <f>IFERROR(VLOOKUP($A4929,原始数据_利率互换_FR007_1年!$A$6:$C$4395,3,0),"")</f>
        <v/>
      </c>
    </row>
    <row r="4930" spans="1:9">
      <c r="A4930" s="6">
        <v>44423</v>
      </c>
      <c r="B4930" t="str">
        <f>IFERROR(VLOOKUP($A4930,原始数据_收盘!$A$4:$G$3460,2,0),"")</f>
        <v/>
      </c>
      <c r="C4930" t="str">
        <f>IFERROR(VLOOKUP($A4930,原始数据_收盘!$A$4:$G$3460,3,0),"")</f>
        <v/>
      </c>
      <c r="D4930" t="str">
        <f>IFERROR(VLOOKUP($A4930,原始数据_收盘!$A$4:$G$3460,4,0),"")</f>
        <v/>
      </c>
      <c r="E4930" t="str">
        <f>IFERROR(VLOOKUP($A4930,原始数据_收盘!$A$4:$G$3460,5,0),"")</f>
        <v/>
      </c>
      <c r="F4930" t="str">
        <f>IFERROR(VLOOKUP($A4930,原始数据_收盘!$A$4:$G$3460,6,0),"")</f>
        <v/>
      </c>
      <c r="G4930" t="str">
        <f>IFERROR(VLOOKUP($A4930,原始数据_收盘!$A$4:$G$3460,7,0),"")</f>
        <v/>
      </c>
      <c r="H4930" t="str">
        <f>IFERROR(VLOOKUP($A4930,原始数据_利率互换_FR007_1年!$A$6:$C$4395,2,0),"")</f>
        <v/>
      </c>
      <c r="I4930" t="str">
        <f>IFERROR(VLOOKUP($A4930,原始数据_利率互换_FR007_1年!$A$6:$C$4395,3,0),"")</f>
        <v/>
      </c>
    </row>
    <row r="4931" spans="1:9">
      <c r="A4931" s="6">
        <v>44424</v>
      </c>
      <c r="B4931">
        <f>IFERROR(VLOOKUP($A4931,原始数据_收盘!$A$4:$G$3460,2,0),"")</f>
        <v>2.3498</v>
      </c>
      <c r="C4931">
        <f>IFERROR(VLOOKUP($A4931,原始数据_收盘!$A$4:$G$3460,3,0),"")</f>
        <v>2.7165</v>
      </c>
      <c r="D4931">
        <f>IFERROR(VLOOKUP($A4931,原始数据_收盘!$A$4:$G$3460,4,0),"")</f>
        <v>2.3521</v>
      </c>
      <c r="E4931">
        <f>IFERROR(VLOOKUP($A4931,原始数据_收盘!$A$4:$G$3460,5,0),"")</f>
        <v>2.7191</v>
      </c>
      <c r="F4931">
        <f>IFERROR(VLOOKUP($A4931,原始数据_收盘!$A$4:$G$3460,6,0),"")</f>
        <v>2.3509</v>
      </c>
      <c r="G4931">
        <f>IFERROR(VLOOKUP($A4931,原始数据_收盘!$A$4:$G$3460,7,0),"")</f>
        <v>2.7178</v>
      </c>
      <c r="H4931">
        <f>IFERROR(VLOOKUP($A4931,原始数据_利率互换_FR007_1年!$A$6:$C$4395,2,0),"")</f>
        <v>2.3459</v>
      </c>
      <c r="I4931">
        <f>IFERROR(VLOOKUP($A4931,原始数据_利率互换_FR007_1年!$A$6:$C$4395,3,0),"")</f>
        <v>2.7096</v>
      </c>
    </row>
    <row r="4932" spans="1:9">
      <c r="A4932" s="6">
        <v>44425</v>
      </c>
      <c r="B4932">
        <f>IFERROR(VLOOKUP($A4932,原始数据_收盘!$A$4:$G$3460,2,0),"")</f>
        <v>2.3375</v>
      </c>
      <c r="C4932">
        <f>IFERROR(VLOOKUP($A4932,原始数据_收盘!$A$4:$G$3460,3,0),"")</f>
        <v>2.705</v>
      </c>
      <c r="D4932">
        <f>IFERROR(VLOOKUP($A4932,原始数据_收盘!$A$4:$G$3460,4,0),"")</f>
        <v>2.341</v>
      </c>
      <c r="E4932">
        <f>IFERROR(VLOOKUP($A4932,原始数据_收盘!$A$4:$G$3460,5,0),"")</f>
        <v>2.7075</v>
      </c>
      <c r="F4932">
        <f>IFERROR(VLOOKUP($A4932,原始数据_收盘!$A$4:$G$3460,6,0),"")</f>
        <v>2.3393</v>
      </c>
      <c r="G4932">
        <f>IFERROR(VLOOKUP($A4932,原始数据_收盘!$A$4:$G$3460,7,0),"")</f>
        <v>2.7063</v>
      </c>
      <c r="H4932">
        <f>IFERROR(VLOOKUP($A4932,原始数据_利率互换_FR007_1年!$A$6:$C$4395,2,0),"")</f>
        <v>2.344</v>
      </c>
      <c r="I4932">
        <f>IFERROR(VLOOKUP($A4932,原始数据_利率互换_FR007_1年!$A$6:$C$4395,3,0),"")</f>
        <v>2.7089</v>
      </c>
    </row>
    <row r="4933" spans="1:9">
      <c r="A4933" s="6">
        <v>44426</v>
      </c>
      <c r="B4933">
        <f>IFERROR(VLOOKUP($A4933,原始数据_收盘!$A$4:$G$3460,2,0),"")</f>
        <v>2.3125</v>
      </c>
      <c r="C4933">
        <f>IFERROR(VLOOKUP($A4933,原始数据_收盘!$A$4:$G$3460,3,0),"")</f>
        <v>2.6725</v>
      </c>
      <c r="D4933">
        <f>IFERROR(VLOOKUP($A4933,原始数据_收盘!$A$4:$G$3460,4,0),"")</f>
        <v>2.3187</v>
      </c>
      <c r="E4933">
        <f>IFERROR(VLOOKUP($A4933,原始数据_收盘!$A$4:$G$3460,5,0),"")</f>
        <v>2.675</v>
      </c>
      <c r="F4933">
        <f>IFERROR(VLOOKUP($A4933,原始数据_收盘!$A$4:$G$3460,6,0),"")</f>
        <v>2.3156</v>
      </c>
      <c r="G4933">
        <f>IFERROR(VLOOKUP($A4933,原始数据_收盘!$A$4:$G$3460,7,0),"")</f>
        <v>2.6738</v>
      </c>
      <c r="H4933">
        <f>IFERROR(VLOOKUP($A4933,原始数据_利率互换_FR007_1年!$A$6:$C$4395,2,0),"")</f>
        <v>2.3183</v>
      </c>
      <c r="I4933">
        <f>IFERROR(VLOOKUP($A4933,原始数据_利率互换_FR007_1年!$A$6:$C$4395,3,0),"")</f>
        <v>2.683</v>
      </c>
    </row>
    <row r="4934" spans="1:9">
      <c r="A4934" s="6">
        <v>44427</v>
      </c>
      <c r="B4934">
        <f>IFERROR(VLOOKUP($A4934,原始数据_收盘!$A$4:$G$3460,2,0),"")</f>
        <v>2.31</v>
      </c>
      <c r="C4934">
        <f>IFERROR(VLOOKUP($A4934,原始数据_收盘!$A$4:$G$3460,3,0),"")</f>
        <v>2.67</v>
      </c>
      <c r="D4934">
        <f>IFERROR(VLOOKUP($A4934,原始数据_收盘!$A$4:$G$3460,4,0),"")</f>
        <v>2.3125</v>
      </c>
      <c r="E4934">
        <f>IFERROR(VLOOKUP($A4934,原始数据_收盘!$A$4:$G$3460,5,0),"")</f>
        <v>2.6725</v>
      </c>
      <c r="F4934">
        <f>IFERROR(VLOOKUP($A4934,原始数据_收盘!$A$4:$G$3460,6,0),"")</f>
        <v>2.3113</v>
      </c>
      <c r="G4934">
        <f>IFERROR(VLOOKUP($A4934,原始数据_收盘!$A$4:$G$3460,7,0),"")</f>
        <v>2.6713</v>
      </c>
      <c r="H4934">
        <f>IFERROR(VLOOKUP($A4934,原始数据_利率互换_FR007_1年!$A$6:$C$4395,2,0),"")</f>
        <v>2.3098</v>
      </c>
      <c r="I4934">
        <f>IFERROR(VLOOKUP($A4934,原始数据_利率互换_FR007_1年!$A$6:$C$4395,3,0),"")</f>
        <v>2.6706</v>
      </c>
    </row>
    <row r="4935" spans="1:9">
      <c r="A4935" s="6">
        <v>44428</v>
      </c>
      <c r="B4935">
        <f>IFERROR(VLOOKUP($A4935,原始数据_收盘!$A$4:$G$3460,2,0),"")</f>
        <v>2.3175</v>
      </c>
      <c r="C4935">
        <f>IFERROR(VLOOKUP($A4935,原始数据_收盘!$A$4:$G$3460,3,0),"")</f>
        <v>2.6825</v>
      </c>
      <c r="D4935">
        <f>IFERROR(VLOOKUP($A4935,原始数据_收盘!$A$4:$G$3460,4,0),"")</f>
        <v>2.32</v>
      </c>
      <c r="E4935">
        <f>IFERROR(VLOOKUP($A4935,原始数据_收盘!$A$4:$G$3460,5,0),"")</f>
        <v>2.685</v>
      </c>
      <c r="F4935">
        <f>IFERROR(VLOOKUP($A4935,原始数据_收盘!$A$4:$G$3460,6,0),"")</f>
        <v>2.3188</v>
      </c>
      <c r="G4935">
        <f>IFERROR(VLOOKUP($A4935,原始数据_收盘!$A$4:$G$3460,7,0),"")</f>
        <v>2.6838</v>
      </c>
      <c r="H4935">
        <f>IFERROR(VLOOKUP($A4935,原始数据_利率互换_FR007_1年!$A$6:$C$4395,2,0),"")</f>
        <v>2.3144</v>
      </c>
      <c r="I4935">
        <f>IFERROR(VLOOKUP($A4935,原始数据_利率互换_FR007_1年!$A$6:$C$4395,3,0),"")</f>
        <v>2.6744</v>
      </c>
    </row>
    <row r="4936" spans="1:9">
      <c r="A4936" s="6">
        <v>44429</v>
      </c>
      <c r="B4936" t="str">
        <f>IFERROR(VLOOKUP($A4936,原始数据_收盘!$A$4:$G$3460,2,0),"")</f>
        <v/>
      </c>
      <c r="C4936" t="str">
        <f>IFERROR(VLOOKUP($A4936,原始数据_收盘!$A$4:$G$3460,3,0),"")</f>
        <v/>
      </c>
      <c r="D4936" t="str">
        <f>IFERROR(VLOOKUP($A4936,原始数据_收盘!$A$4:$G$3460,4,0),"")</f>
        <v/>
      </c>
      <c r="E4936" t="str">
        <f>IFERROR(VLOOKUP($A4936,原始数据_收盘!$A$4:$G$3460,5,0),"")</f>
        <v/>
      </c>
      <c r="F4936" t="str">
        <f>IFERROR(VLOOKUP($A4936,原始数据_收盘!$A$4:$G$3460,6,0),"")</f>
        <v/>
      </c>
      <c r="G4936" t="str">
        <f>IFERROR(VLOOKUP($A4936,原始数据_收盘!$A$4:$G$3460,7,0),"")</f>
        <v/>
      </c>
      <c r="H4936" t="str">
        <f>IFERROR(VLOOKUP($A4936,原始数据_利率互换_FR007_1年!$A$6:$C$4395,2,0),"")</f>
        <v/>
      </c>
      <c r="I4936" t="str">
        <f>IFERROR(VLOOKUP($A4936,原始数据_利率互换_FR007_1年!$A$6:$C$4395,3,0),"")</f>
        <v/>
      </c>
    </row>
    <row r="4937" spans="1:9">
      <c r="A4937" s="6">
        <v>44430</v>
      </c>
      <c r="B4937" t="str">
        <f>IFERROR(VLOOKUP($A4937,原始数据_收盘!$A$4:$G$3460,2,0),"")</f>
        <v/>
      </c>
      <c r="C4937" t="str">
        <f>IFERROR(VLOOKUP($A4937,原始数据_收盘!$A$4:$G$3460,3,0),"")</f>
        <v/>
      </c>
      <c r="D4937" t="str">
        <f>IFERROR(VLOOKUP($A4937,原始数据_收盘!$A$4:$G$3460,4,0),"")</f>
        <v/>
      </c>
      <c r="E4937" t="str">
        <f>IFERROR(VLOOKUP($A4937,原始数据_收盘!$A$4:$G$3460,5,0),"")</f>
        <v/>
      </c>
      <c r="F4937" t="str">
        <f>IFERROR(VLOOKUP($A4937,原始数据_收盘!$A$4:$G$3460,6,0),"")</f>
        <v/>
      </c>
      <c r="G4937" t="str">
        <f>IFERROR(VLOOKUP($A4937,原始数据_收盘!$A$4:$G$3460,7,0),"")</f>
        <v/>
      </c>
      <c r="H4937" t="str">
        <f>IFERROR(VLOOKUP($A4937,原始数据_利率互换_FR007_1年!$A$6:$C$4395,2,0),"")</f>
        <v/>
      </c>
      <c r="I4937" t="str">
        <f>IFERROR(VLOOKUP($A4937,原始数据_利率互换_FR007_1年!$A$6:$C$4395,3,0),"")</f>
        <v/>
      </c>
    </row>
    <row r="4938" spans="1:9">
      <c r="A4938" s="6">
        <v>44431</v>
      </c>
      <c r="B4938">
        <f>IFERROR(VLOOKUP($A4938,原始数据_收盘!$A$4:$G$3460,2,0),"")</f>
        <v>2.3293</v>
      </c>
      <c r="C4938">
        <f>IFERROR(VLOOKUP($A4938,原始数据_收盘!$A$4:$G$3460,3,0),"")</f>
        <v>2.6954</v>
      </c>
      <c r="D4938">
        <f>IFERROR(VLOOKUP($A4938,原始数据_收盘!$A$4:$G$3460,4,0),"")</f>
        <v>2.3325</v>
      </c>
      <c r="E4938">
        <f>IFERROR(VLOOKUP($A4938,原始数据_收盘!$A$4:$G$3460,5,0),"")</f>
        <v>2.6975</v>
      </c>
      <c r="F4938">
        <f>IFERROR(VLOOKUP($A4938,原始数据_收盘!$A$4:$G$3460,6,0),"")</f>
        <v>2.3309</v>
      </c>
      <c r="G4938">
        <f>IFERROR(VLOOKUP($A4938,原始数据_收盘!$A$4:$G$3460,7,0),"")</f>
        <v>2.6965</v>
      </c>
      <c r="H4938">
        <f>IFERROR(VLOOKUP($A4938,原始数据_利率互换_FR007_1年!$A$6:$C$4395,2,0),"")</f>
        <v>2.3298</v>
      </c>
      <c r="I4938">
        <f>IFERROR(VLOOKUP($A4938,原始数据_利率互换_FR007_1年!$A$6:$C$4395,3,0),"")</f>
        <v>2.6968</v>
      </c>
    </row>
    <row r="4939" spans="1:9">
      <c r="A4939" s="6">
        <v>44432</v>
      </c>
      <c r="B4939">
        <f>IFERROR(VLOOKUP($A4939,原始数据_收盘!$A$4:$G$3460,2,0),"")</f>
        <v>2.3109</v>
      </c>
      <c r="C4939">
        <f>IFERROR(VLOOKUP($A4939,原始数据_收盘!$A$4:$G$3460,3,0),"")</f>
        <v>2.6774</v>
      </c>
      <c r="D4939">
        <f>IFERROR(VLOOKUP($A4939,原始数据_收盘!$A$4:$G$3460,4,0),"")</f>
        <v>2.315</v>
      </c>
      <c r="E4939">
        <f>IFERROR(VLOOKUP($A4939,原始数据_收盘!$A$4:$G$3460,5,0),"")</f>
        <v>2.68</v>
      </c>
      <c r="F4939">
        <f>IFERROR(VLOOKUP($A4939,原始数据_收盘!$A$4:$G$3460,6,0),"")</f>
        <v>2.3129</v>
      </c>
      <c r="G4939">
        <f>IFERROR(VLOOKUP($A4939,原始数据_收盘!$A$4:$G$3460,7,0),"")</f>
        <v>2.6787</v>
      </c>
      <c r="H4939">
        <f>IFERROR(VLOOKUP($A4939,原始数据_利率互换_FR007_1年!$A$6:$C$4395,2,0),"")</f>
        <v>2.3279</v>
      </c>
      <c r="I4939">
        <f>IFERROR(VLOOKUP($A4939,原始数据_利率互换_FR007_1年!$A$6:$C$4395,3,0),"")</f>
        <v>2.696</v>
      </c>
    </row>
    <row r="4940" spans="1:9">
      <c r="A4940" s="6">
        <v>44433</v>
      </c>
      <c r="B4940">
        <f>IFERROR(VLOOKUP($A4940,原始数据_收盘!$A$4:$G$3460,2,0),"")</f>
        <v>2.3175</v>
      </c>
      <c r="C4940">
        <f>IFERROR(VLOOKUP($A4940,原始数据_收盘!$A$4:$G$3460,3,0),"")</f>
        <v>2.68</v>
      </c>
      <c r="D4940">
        <f>IFERROR(VLOOKUP($A4940,原始数据_收盘!$A$4:$G$3460,4,0),"")</f>
        <v>2.3202</v>
      </c>
      <c r="E4940">
        <f>IFERROR(VLOOKUP($A4940,原始数据_收盘!$A$4:$G$3460,5,0),"")</f>
        <v>2.6844</v>
      </c>
      <c r="F4940">
        <f>IFERROR(VLOOKUP($A4940,原始数据_收盘!$A$4:$G$3460,6,0),"")</f>
        <v>2.3188</v>
      </c>
      <c r="G4940">
        <f>IFERROR(VLOOKUP($A4940,原始数据_收盘!$A$4:$G$3460,7,0),"")</f>
        <v>2.6822</v>
      </c>
      <c r="H4940">
        <f>IFERROR(VLOOKUP($A4940,原始数据_利率互换_FR007_1年!$A$6:$C$4395,2,0),"")</f>
        <v>2.3126</v>
      </c>
      <c r="I4940">
        <f>IFERROR(VLOOKUP($A4940,原始数据_利率互换_FR007_1年!$A$6:$C$4395,3,0),"")</f>
        <v>2.6742</v>
      </c>
    </row>
    <row r="4941" spans="1:9">
      <c r="A4941" s="6">
        <v>44434</v>
      </c>
      <c r="B4941">
        <f>IFERROR(VLOOKUP($A4941,原始数据_收盘!$A$4:$G$3460,2,0),"")</f>
        <v>2.335</v>
      </c>
      <c r="C4941">
        <f>IFERROR(VLOOKUP($A4941,原始数据_收盘!$A$4:$G$3460,3,0),"")</f>
        <v>2.7025</v>
      </c>
      <c r="D4941">
        <f>IFERROR(VLOOKUP($A4941,原始数据_收盘!$A$4:$G$3460,4,0),"")</f>
        <v>2.3375</v>
      </c>
      <c r="E4941">
        <f>IFERROR(VLOOKUP($A4941,原始数据_收盘!$A$4:$G$3460,5,0),"")</f>
        <v>2.705</v>
      </c>
      <c r="F4941">
        <f>IFERROR(VLOOKUP($A4941,原始数据_收盘!$A$4:$G$3460,6,0),"")</f>
        <v>2.3363</v>
      </c>
      <c r="G4941">
        <f>IFERROR(VLOOKUP($A4941,原始数据_收盘!$A$4:$G$3460,7,0),"")</f>
        <v>2.7038</v>
      </c>
      <c r="H4941">
        <f>IFERROR(VLOOKUP($A4941,原始数据_利率互换_FR007_1年!$A$6:$C$4395,2,0),"")</f>
        <v>2.3316</v>
      </c>
      <c r="I4941">
        <f>IFERROR(VLOOKUP($A4941,原始数据_利率互换_FR007_1年!$A$6:$C$4395,3,0),"")</f>
        <v>2.6992</v>
      </c>
    </row>
    <row r="4942" spans="1:9">
      <c r="A4942" s="6">
        <v>44435</v>
      </c>
      <c r="B4942">
        <f>IFERROR(VLOOKUP($A4942,原始数据_收盘!$A$4:$G$3460,2,0),"")</f>
        <v>2.3175</v>
      </c>
      <c r="C4942">
        <f>IFERROR(VLOOKUP($A4942,原始数据_收盘!$A$4:$G$3460,3,0),"")</f>
        <v>2.6843</v>
      </c>
      <c r="D4942">
        <f>IFERROR(VLOOKUP($A4942,原始数据_收盘!$A$4:$G$3460,4,0),"")</f>
        <v>2.32</v>
      </c>
      <c r="E4942">
        <f>IFERROR(VLOOKUP($A4942,原始数据_收盘!$A$4:$G$3460,5,0),"")</f>
        <v>2.6875</v>
      </c>
      <c r="F4942">
        <f>IFERROR(VLOOKUP($A4942,原始数据_收盘!$A$4:$G$3460,6,0),"")</f>
        <v>2.3188</v>
      </c>
      <c r="G4942">
        <f>IFERROR(VLOOKUP($A4942,原始数据_收盘!$A$4:$G$3460,7,0),"")</f>
        <v>2.6859</v>
      </c>
      <c r="H4942">
        <f>IFERROR(VLOOKUP($A4942,原始数据_利率互换_FR007_1年!$A$6:$C$4395,2,0),"")</f>
        <v>2.3191</v>
      </c>
      <c r="I4942">
        <f>IFERROR(VLOOKUP($A4942,原始数据_利率互换_FR007_1年!$A$6:$C$4395,3,0),"")</f>
        <v>2.6903</v>
      </c>
    </row>
    <row r="4943" spans="1:9">
      <c r="A4943" s="6">
        <v>44436</v>
      </c>
      <c r="B4943" t="str">
        <f>IFERROR(VLOOKUP($A4943,原始数据_收盘!$A$4:$G$3460,2,0),"")</f>
        <v/>
      </c>
      <c r="C4943" t="str">
        <f>IFERROR(VLOOKUP($A4943,原始数据_收盘!$A$4:$G$3460,3,0),"")</f>
        <v/>
      </c>
      <c r="D4943" t="str">
        <f>IFERROR(VLOOKUP($A4943,原始数据_收盘!$A$4:$G$3460,4,0),"")</f>
        <v/>
      </c>
      <c r="E4943" t="str">
        <f>IFERROR(VLOOKUP($A4943,原始数据_收盘!$A$4:$G$3460,5,0),"")</f>
        <v/>
      </c>
      <c r="F4943" t="str">
        <f>IFERROR(VLOOKUP($A4943,原始数据_收盘!$A$4:$G$3460,6,0),"")</f>
        <v/>
      </c>
      <c r="G4943" t="str">
        <f>IFERROR(VLOOKUP($A4943,原始数据_收盘!$A$4:$G$3460,7,0),"")</f>
        <v/>
      </c>
      <c r="H4943" t="str">
        <f>IFERROR(VLOOKUP($A4943,原始数据_利率互换_FR007_1年!$A$6:$C$4395,2,0),"")</f>
        <v/>
      </c>
      <c r="I4943" t="str">
        <f>IFERROR(VLOOKUP($A4943,原始数据_利率互换_FR007_1年!$A$6:$C$4395,3,0),"")</f>
        <v/>
      </c>
    </row>
    <row r="4944" spans="1:9">
      <c r="A4944" s="6">
        <v>44437</v>
      </c>
      <c r="B4944" t="str">
        <f>IFERROR(VLOOKUP($A4944,原始数据_收盘!$A$4:$G$3460,2,0),"")</f>
        <v/>
      </c>
      <c r="C4944" t="str">
        <f>IFERROR(VLOOKUP($A4944,原始数据_收盘!$A$4:$G$3460,3,0),"")</f>
        <v/>
      </c>
      <c r="D4944" t="str">
        <f>IFERROR(VLOOKUP($A4944,原始数据_收盘!$A$4:$G$3460,4,0),"")</f>
        <v/>
      </c>
      <c r="E4944" t="str">
        <f>IFERROR(VLOOKUP($A4944,原始数据_收盘!$A$4:$G$3460,5,0),"")</f>
        <v/>
      </c>
      <c r="F4944" t="str">
        <f>IFERROR(VLOOKUP($A4944,原始数据_收盘!$A$4:$G$3460,6,0),"")</f>
        <v/>
      </c>
      <c r="G4944" t="str">
        <f>IFERROR(VLOOKUP($A4944,原始数据_收盘!$A$4:$G$3460,7,0),"")</f>
        <v/>
      </c>
      <c r="H4944" t="str">
        <f>IFERROR(VLOOKUP($A4944,原始数据_利率互换_FR007_1年!$A$6:$C$4395,2,0),"")</f>
        <v/>
      </c>
      <c r="I4944" t="str">
        <f>IFERROR(VLOOKUP($A4944,原始数据_利率互换_FR007_1年!$A$6:$C$4395,3,0),"")</f>
        <v/>
      </c>
    </row>
    <row r="4945" spans="1:9">
      <c r="A4945" s="6">
        <v>44438</v>
      </c>
      <c r="B4945">
        <f>IFERROR(VLOOKUP($A4945,原始数据_收盘!$A$4:$G$3460,2,0),"")</f>
        <v>2.305</v>
      </c>
      <c r="C4945">
        <f>IFERROR(VLOOKUP($A4945,原始数据_收盘!$A$4:$G$3460,3,0),"")</f>
        <v>2.6725</v>
      </c>
      <c r="D4945">
        <f>IFERROR(VLOOKUP($A4945,原始数据_收盘!$A$4:$G$3460,4,0),"")</f>
        <v>2.31</v>
      </c>
      <c r="E4945">
        <f>IFERROR(VLOOKUP($A4945,原始数据_收盘!$A$4:$G$3460,5,0),"")</f>
        <v>2.6743</v>
      </c>
      <c r="F4945">
        <f>IFERROR(VLOOKUP($A4945,原始数据_收盘!$A$4:$G$3460,6,0),"")</f>
        <v>2.3075</v>
      </c>
      <c r="G4945">
        <f>IFERROR(VLOOKUP($A4945,原始数据_收盘!$A$4:$G$3460,7,0),"")</f>
        <v>2.6734</v>
      </c>
      <c r="H4945">
        <f>IFERROR(VLOOKUP($A4945,原始数据_利率互换_FR007_1年!$A$6:$C$4395,2,0),"")</f>
        <v>2.3097</v>
      </c>
      <c r="I4945">
        <f>IFERROR(VLOOKUP($A4945,原始数据_利率互换_FR007_1年!$A$6:$C$4395,3,0),"")</f>
        <v>2.6768</v>
      </c>
    </row>
    <row r="4946" spans="1:9">
      <c r="A4946" s="6">
        <v>44439</v>
      </c>
      <c r="B4946">
        <f>IFERROR(VLOOKUP($A4946,原始数据_收盘!$A$4:$G$3460,2,0),"")</f>
        <v>2.3025</v>
      </c>
      <c r="C4946">
        <f>IFERROR(VLOOKUP($A4946,原始数据_收盘!$A$4:$G$3460,3,0),"")</f>
        <v>2.67</v>
      </c>
      <c r="D4946">
        <f>IFERROR(VLOOKUP($A4946,原始数据_收盘!$A$4:$G$3460,4,0),"")</f>
        <v>2.3055</v>
      </c>
      <c r="E4946">
        <f>IFERROR(VLOOKUP($A4946,原始数据_收盘!$A$4:$G$3460,5,0),"")</f>
        <v>2.6725</v>
      </c>
      <c r="F4946">
        <f>IFERROR(VLOOKUP($A4946,原始数据_收盘!$A$4:$G$3460,6,0),"")</f>
        <v>2.304</v>
      </c>
      <c r="G4946">
        <f>IFERROR(VLOOKUP($A4946,原始数据_收盘!$A$4:$G$3460,7,0),"")</f>
        <v>2.6713</v>
      </c>
      <c r="H4946">
        <f>IFERROR(VLOOKUP($A4946,原始数据_利率互换_FR007_1年!$A$6:$C$4395,2,0),"")</f>
        <v>2.3048</v>
      </c>
      <c r="I4946">
        <f>IFERROR(VLOOKUP($A4946,原始数据_利率互换_FR007_1年!$A$6:$C$4395,3,0),"")</f>
        <v>2.6702</v>
      </c>
    </row>
    <row r="4947" spans="1:9">
      <c r="A4947" s="6">
        <v>44440</v>
      </c>
      <c r="B4947">
        <f>IFERROR(VLOOKUP($A4947,原始数据_收盘!$A$4:$G$3460,2,0),"")</f>
        <v>2.2825</v>
      </c>
      <c r="C4947">
        <f>IFERROR(VLOOKUP($A4947,原始数据_收盘!$A$4:$G$3460,3,0),"")</f>
        <v>2.6381</v>
      </c>
      <c r="D4947">
        <f>IFERROR(VLOOKUP($A4947,原始数据_收盘!$A$4:$G$3460,4,0),"")</f>
        <v>2.2875</v>
      </c>
      <c r="E4947">
        <f>IFERROR(VLOOKUP($A4947,原始数据_收盘!$A$4:$G$3460,5,0),"")</f>
        <v>2.6425</v>
      </c>
      <c r="F4947">
        <f>IFERROR(VLOOKUP($A4947,原始数据_收盘!$A$4:$G$3460,6,0),"")</f>
        <v>2.285</v>
      </c>
      <c r="G4947">
        <f>IFERROR(VLOOKUP($A4947,原始数据_收盘!$A$4:$G$3460,7,0),"")</f>
        <v>2.6403</v>
      </c>
      <c r="H4947">
        <f>IFERROR(VLOOKUP($A4947,原始数据_利率互换_FR007_1年!$A$6:$C$4395,2,0),"")</f>
        <v>2.2893</v>
      </c>
      <c r="I4947">
        <f>IFERROR(VLOOKUP($A4947,原始数据_利率互换_FR007_1年!$A$6:$C$4395,3,0),"")</f>
        <v>2.6473</v>
      </c>
    </row>
    <row r="4948" spans="1:9">
      <c r="A4948" s="6">
        <v>44441</v>
      </c>
      <c r="B4948">
        <f>IFERROR(VLOOKUP($A4948,原始数据_收盘!$A$4:$G$3460,2,0),"")</f>
        <v>2.295</v>
      </c>
      <c r="C4948">
        <f>IFERROR(VLOOKUP($A4948,原始数据_收盘!$A$4:$G$3460,3,0),"")</f>
        <v>2.6543</v>
      </c>
      <c r="D4948">
        <f>IFERROR(VLOOKUP($A4948,原始数据_收盘!$A$4:$G$3460,4,0),"")</f>
        <v>2.2975</v>
      </c>
      <c r="E4948">
        <f>IFERROR(VLOOKUP($A4948,原始数据_收盘!$A$4:$G$3460,5,0),"")</f>
        <v>2.6575</v>
      </c>
      <c r="F4948">
        <f>IFERROR(VLOOKUP($A4948,原始数据_收盘!$A$4:$G$3460,6,0),"")</f>
        <v>2.2963</v>
      </c>
      <c r="G4948">
        <f>IFERROR(VLOOKUP($A4948,原始数据_收盘!$A$4:$G$3460,7,0),"")</f>
        <v>2.6559</v>
      </c>
      <c r="H4948">
        <f>IFERROR(VLOOKUP($A4948,原始数据_利率互换_FR007_1年!$A$6:$C$4395,2,0),"")</f>
        <v>2.292</v>
      </c>
      <c r="I4948">
        <f>IFERROR(VLOOKUP($A4948,原始数据_利率互换_FR007_1年!$A$6:$C$4395,3,0),"")</f>
        <v>2.6508</v>
      </c>
    </row>
    <row r="4949" spans="1:9">
      <c r="A4949" s="6">
        <v>44442</v>
      </c>
      <c r="B4949">
        <f>IFERROR(VLOOKUP($A4949,原始数据_收盘!$A$4:$G$3460,2,0),"")</f>
        <v>2.295</v>
      </c>
      <c r="C4949">
        <f>IFERROR(VLOOKUP($A4949,原始数据_收盘!$A$4:$G$3460,3,0),"")</f>
        <v>2.6575</v>
      </c>
      <c r="D4949">
        <f>IFERROR(VLOOKUP($A4949,原始数据_收盘!$A$4:$G$3460,4,0),"")</f>
        <v>2.2975</v>
      </c>
      <c r="E4949">
        <f>IFERROR(VLOOKUP($A4949,原始数据_收盘!$A$4:$G$3460,5,0),"")</f>
        <v>2.66</v>
      </c>
      <c r="F4949">
        <f>IFERROR(VLOOKUP($A4949,原始数据_收盘!$A$4:$G$3460,6,0),"")</f>
        <v>2.2963</v>
      </c>
      <c r="G4949">
        <f>IFERROR(VLOOKUP($A4949,原始数据_收盘!$A$4:$G$3460,7,0),"")</f>
        <v>2.6588</v>
      </c>
      <c r="H4949">
        <f>IFERROR(VLOOKUP($A4949,原始数据_利率互换_FR007_1年!$A$6:$C$4395,2,0),"")</f>
        <v>2.2932</v>
      </c>
      <c r="I4949">
        <f>IFERROR(VLOOKUP($A4949,原始数据_利率互换_FR007_1年!$A$6:$C$4395,3,0),"")</f>
        <v>2.6541</v>
      </c>
    </row>
    <row r="4950" spans="1:9">
      <c r="A4950" s="6">
        <v>44443</v>
      </c>
      <c r="B4950" t="str">
        <f>IFERROR(VLOOKUP($A4950,原始数据_收盘!$A$4:$G$3460,2,0),"")</f>
        <v/>
      </c>
      <c r="C4950" t="str">
        <f>IFERROR(VLOOKUP($A4950,原始数据_收盘!$A$4:$G$3460,3,0),"")</f>
        <v/>
      </c>
      <c r="D4950" t="str">
        <f>IFERROR(VLOOKUP($A4950,原始数据_收盘!$A$4:$G$3460,4,0),"")</f>
        <v/>
      </c>
      <c r="E4950" t="str">
        <f>IFERROR(VLOOKUP($A4950,原始数据_收盘!$A$4:$G$3460,5,0),"")</f>
        <v/>
      </c>
      <c r="F4950" t="str">
        <f>IFERROR(VLOOKUP($A4950,原始数据_收盘!$A$4:$G$3460,6,0),"")</f>
        <v/>
      </c>
      <c r="G4950" t="str">
        <f>IFERROR(VLOOKUP($A4950,原始数据_收盘!$A$4:$G$3460,7,0),"")</f>
        <v/>
      </c>
      <c r="H4950" t="str">
        <f>IFERROR(VLOOKUP($A4950,原始数据_利率互换_FR007_1年!$A$6:$C$4395,2,0),"")</f>
        <v/>
      </c>
      <c r="I4950" t="str">
        <f>IFERROR(VLOOKUP($A4950,原始数据_利率互换_FR007_1年!$A$6:$C$4395,3,0),"")</f>
        <v/>
      </c>
    </row>
    <row r="4951" spans="1:9">
      <c r="A4951" s="6">
        <v>44444</v>
      </c>
      <c r="B4951" t="str">
        <f>IFERROR(VLOOKUP($A4951,原始数据_收盘!$A$4:$G$3460,2,0),"")</f>
        <v/>
      </c>
      <c r="C4951" t="str">
        <f>IFERROR(VLOOKUP($A4951,原始数据_收盘!$A$4:$G$3460,3,0),"")</f>
        <v/>
      </c>
      <c r="D4951" t="str">
        <f>IFERROR(VLOOKUP($A4951,原始数据_收盘!$A$4:$G$3460,4,0),"")</f>
        <v/>
      </c>
      <c r="E4951" t="str">
        <f>IFERROR(VLOOKUP($A4951,原始数据_收盘!$A$4:$G$3460,5,0),"")</f>
        <v/>
      </c>
      <c r="F4951" t="str">
        <f>IFERROR(VLOOKUP($A4951,原始数据_收盘!$A$4:$G$3460,6,0),"")</f>
        <v/>
      </c>
      <c r="G4951" t="str">
        <f>IFERROR(VLOOKUP($A4951,原始数据_收盘!$A$4:$G$3460,7,0),"")</f>
        <v/>
      </c>
      <c r="H4951" t="str">
        <f>IFERROR(VLOOKUP($A4951,原始数据_利率互换_FR007_1年!$A$6:$C$4395,2,0),"")</f>
        <v/>
      </c>
      <c r="I4951" t="str">
        <f>IFERROR(VLOOKUP($A4951,原始数据_利率互换_FR007_1年!$A$6:$C$4395,3,0),"")</f>
        <v/>
      </c>
    </row>
    <row r="4952" spans="1:9">
      <c r="A4952" s="6">
        <v>44445</v>
      </c>
      <c r="B4952">
        <f>IFERROR(VLOOKUP($A4952,原始数据_收盘!$A$4:$G$3460,2,0),"")</f>
        <v>2.3075</v>
      </c>
      <c r="C4952">
        <f>IFERROR(VLOOKUP($A4952,原始数据_收盘!$A$4:$G$3460,3,0),"")</f>
        <v>2.6675</v>
      </c>
      <c r="D4952">
        <f>IFERROR(VLOOKUP($A4952,原始数据_收盘!$A$4:$G$3460,4,0),"")</f>
        <v>2.31</v>
      </c>
      <c r="E4952">
        <f>IFERROR(VLOOKUP($A4952,原始数据_收盘!$A$4:$G$3460,5,0),"")</f>
        <v>2.67</v>
      </c>
      <c r="F4952">
        <f>IFERROR(VLOOKUP($A4952,原始数据_收盘!$A$4:$G$3460,6,0),"")</f>
        <v>2.3088</v>
      </c>
      <c r="G4952">
        <f>IFERROR(VLOOKUP($A4952,原始数据_收盘!$A$4:$G$3460,7,0),"")</f>
        <v>2.6688</v>
      </c>
      <c r="H4952">
        <f>IFERROR(VLOOKUP($A4952,原始数据_利率互换_FR007_1年!$A$6:$C$4395,2,0),"")</f>
        <v>2.3026</v>
      </c>
      <c r="I4952">
        <f>IFERROR(VLOOKUP($A4952,原始数据_利率互换_FR007_1年!$A$6:$C$4395,3,0),"")</f>
        <v>2.6608</v>
      </c>
    </row>
    <row r="4953" spans="1:9">
      <c r="A4953" s="6">
        <v>44446</v>
      </c>
      <c r="B4953">
        <f>IFERROR(VLOOKUP($A4953,原始数据_收盘!$A$4:$G$3460,2,0),"")</f>
        <v>2.33</v>
      </c>
      <c r="C4953">
        <f>IFERROR(VLOOKUP($A4953,原始数据_收盘!$A$4:$G$3460,3,0),"")</f>
        <v>2.69</v>
      </c>
      <c r="D4953">
        <f>IFERROR(VLOOKUP($A4953,原始数据_收盘!$A$4:$G$3460,4,0),"")</f>
        <v>2.3347</v>
      </c>
      <c r="E4953">
        <f>IFERROR(VLOOKUP($A4953,原始数据_收盘!$A$4:$G$3460,5,0),"")</f>
        <v>2.6925</v>
      </c>
      <c r="F4953">
        <f>IFERROR(VLOOKUP($A4953,原始数据_收盘!$A$4:$G$3460,6,0),"")</f>
        <v>2.3323</v>
      </c>
      <c r="G4953">
        <f>IFERROR(VLOOKUP($A4953,原始数据_收盘!$A$4:$G$3460,7,0),"")</f>
        <v>2.6913</v>
      </c>
      <c r="H4953">
        <f>IFERROR(VLOOKUP($A4953,原始数据_利率互换_FR007_1年!$A$6:$C$4395,2,0),"")</f>
        <v>2.3217</v>
      </c>
      <c r="I4953">
        <f>IFERROR(VLOOKUP($A4953,原始数据_利率互换_FR007_1年!$A$6:$C$4395,3,0),"")</f>
        <v>2.6855</v>
      </c>
    </row>
    <row r="4954" spans="1:9">
      <c r="A4954" s="6">
        <v>44447</v>
      </c>
      <c r="B4954">
        <f>IFERROR(VLOOKUP($A4954,原始数据_收盘!$A$4:$G$3460,2,0),"")</f>
        <v>2.34</v>
      </c>
      <c r="C4954">
        <f>IFERROR(VLOOKUP($A4954,原始数据_收盘!$A$4:$G$3460,3,0),"")</f>
        <v>2.705</v>
      </c>
      <c r="D4954">
        <f>IFERROR(VLOOKUP($A4954,原始数据_收盘!$A$4:$G$3460,4,0),"")</f>
        <v>2.345</v>
      </c>
      <c r="E4954">
        <f>IFERROR(VLOOKUP($A4954,原始数据_收盘!$A$4:$G$3460,5,0),"")</f>
        <v>2.7079</v>
      </c>
      <c r="F4954">
        <f>IFERROR(VLOOKUP($A4954,原始数据_收盘!$A$4:$G$3460,6,0),"")</f>
        <v>2.3425</v>
      </c>
      <c r="G4954">
        <f>IFERROR(VLOOKUP($A4954,原始数据_收盘!$A$4:$G$3460,7,0),"")</f>
        <v>2.7065</v>
      </c>
      <c r="H4954">
        <f>IFERROR(VLOOKUP($A4954,原始数据_利率互换_FR007_1年!$A$6:$C$4395,2,0),"")</f>
        <v>2.3384</v>
      </c>
      <c r="I4954">
        <f>IFERROR(VLOOKUP($A4954,原始数据_利率互换_FR007_1年!$A$6:$C$4395,3,0),"")</f>
        <v>2.7022</v>
      </c>
    </row>
    <row r="4955" spans="1:9">
      <c r="A4955" s="6">
        <v>44448</v>
      </c>
      <c r="B4955">
        <f>IFERROR(VLOOKUP($A4955,原始数据_收盘!$A$4:$G$3460,2,0),"")</f>
        <v>2.35</v>
      </c>
      <c r="C4955">
        <f>IFERROR(VLOOKUP($A4955,原始数据_收盘!$A$4:$G$3460,3,0),"")</f>
        <v>2.7125</v>
      </c>
      <c r="D4955">
        <f>IFERROR(VLOOKUP($A4955,原始数据_收盘!$A$4:$G$3460,4,0),"")</f>
        <v>2.3525</v>
      </c>
      <c r="E4955">
        <f>IFERROR(VLOOKUP($A4955,原始数据_收盘!$A$4:$G$3460,5,0),"")</f>
        <v>2.715</v>
      </c>
      <c r="F4955">
        <f>IFERROR(VLOOKUP($A4955,原始数据_收盘!$A$4:$G$3460,6,0),"")</f>
        <v>2.3513</v>
      </c>
      <c r="G4955">
        <f>IFERROR(VLOOKUP($A4955,原始数据_收盘!$A$4:$G$3460,7,0),"")</f>
        <v>2.7138</v>
      </c>
      <c r="H4955">
        <f>IFERROR(VLOOKUP($A4955,原始数据_利率互换_FR007_1年!$A$6:$C$4395,2,0),"")</f>
        <v>2.3453</v>
      </c>
      <c r="I4955">
        <f>IFERROR(VLOOKUP($A4955,原始数据_利率互换_FR007_1年!$A$6:$C$4395,3,0),"")</f>
        <v>2.7058</v>
      </c>
    </row>
    <row r="4956" spans="1:9">
      <c r="A4956" s="6">
        <v>44449</v>
      </c>
      <c r="B4956">
        <f>IFERROR(VLOOKUP($A4956,原始数据_收盘!$A$4:$G$3460,2,0),"")</f>
        <v>2.34</v>
      </c>
      <c r="C4956">
        <f>IFERROR(VLOOKUP($A4956,原始数据_收盘!$A$4:$G$3460,3,0),"")</f>
        <v>2.7025</v>
      </c>
      <c r="D4956">
        <f>IFERROR(VLOOKUP($A4956,原始数据_收盘!$A$4:$G$3460,4,0),"")</f>
        <v>2.3425</v>
      </c>
      <c r="E4956">
        <f>IFERROR(VLOOKUP($A4956,原始数据_收盘!$A$4:$G$3460,5,0),"")</f>
        <v>2.705</v>
      </c>
      <c r="F4956">
        <f>IFERROR(VLOOKUP($A4956,原始数据_收盘!$A$4:$G$3460,6,0),"")</f>
        <v>2.3413</v>
      </c>
      <c r="G4956">
        <f>IFERROR(VLOOKUP($A4956,原始数据_收盘!$A$4:$G$3460,7,0),"")</f>
        <v>2.7038</v>
      </c>
      <c r="H4956">
        <f>IFERROR(VLOOKUP($A4956,原始数据_利率互换_FR007_1年!$A$6:$C$4395,2,0),"")</f>
        <v>2.3437</v>
      </c>
      <c r="I4956">
        <f>IFERROR(VLOOKUP($A4956,原始数据_利率互换_FR007_1年!$A$6:$C$4395,3,0),"")</f>
        <v>2.7077</v>
      </c>
    </row>
    <row r="4957" spans="1:9">
      <c r="A4957" s="6">
        <v>44450</v>
      </c>
      <c r="B4957" t="str">
        <f>IFERROR(VLOOKUP($A4957,原始数据_收盘!$A$4:$G$3460,2,0),"")</f>
        <v/>
      </c>
      <c r="C4957" t="str">
        <f>IFERROR(VLOOKUP($A4957,原始数据_收盘!$A$4:$G$3460,3,0),"")</f>
        <v/>
      </c>
      <c r="D4957" t="str">
        <f>IFERROR(VLOOKUP($A4957,原始数据_收盘!$A$4:$G$3460,4,0),"")</f>
        <v/>
      </c>
      <c r="E4957" t="str">
        <f>IFERROR(VLOOKUP($A4957,原始数据_收盘!$A$4:$G$3460,5,0),"")</f>
        <v/>
      </c>
      <c r="F4957" t="str">
        <f>IFERROR(VLOOKUP($A4957,原始数据_收盘!$A$4:$G$3460,6,0),"")</f>
        <v/>
      </c>
      <c r="G4957" t="str">
        <f>IFERROR(VLOOKUP($A4957,原始数据_收盘!$A$4:$G$3460,7,0),"")</f>
        <v/>
      </c>
      <c r="H4957" t="str">
        <f>IFERROR(VLOOKUP($A4957,原始数据_利率互换_FR007_1年!$A$6:$C$4395,2,0),"")</f>
        <v/>
      </c>
      <c r="I4957" t="str">
        <f>IFERROR(VLOOKUP($A4957,原始数据_利率互换_FR007_1年!$A$6:$C$4395,3,0),"")</f>
        <v/>
      </c>
    </row>
    <row r="4958" spans="1:9">
      <c r="A4958" s="6">
        <v>44451</v>
      </c>
      <c r="B4958" t="str">
        <f>IFERROR(VLOOKUP($A4958,原始数据_收盘!$A$4:$G$3460,2,0),"")</f>
        <v/>
      </c>
      <c r="C4958" t="str">
        <f>IFERROR(VLOOKUP($A4958,原始数据_收盘!$A$4:$G$3460,3,0),"")</f>
        <v/>
      </c>
      <c r="D4958" t="str">
        <f>IFERROR(VLOOKUP($A4958,原始数据_收盘!$A$4:$G$3460,4,0),"")</f>
        <v/>
      </c>
      <c r="E4958" t="str">
        <f>IFERROR(VLOOKUP($A4958,原始数据_收盘!$A$4:$G$3460,5,0),"")</f>
        <v/>
      </c>
      <c r="F4958" t="str">
        <f>IFERROR(VLOOKUP($A4958,原始数据_收盘!$A$4:$G$3460,6,0),"")</f>
        <v/>
      </c>
      <c r="G4958" t="str">
        <f>IFERROR(VLOOKUP($A4958,原始数据_收盘!$A$4:$G$3460,7,0),"")</f>
        <v/>
      </c>
      <c r="H4958" t="str">
        <f>IFERROR(VLOOKUP($A4958,原始数据_利率互换_FR007_1年!$A$6:$C$4395,2,0),"")</f>
        <v/>
      </c>
      <c r="I4958" t="str">
        <f>IFERROR(VLOOKUP($A4958,原始数据_利率互换_FR007_1年!$A$6:$C$4395,3,0),"")</f>
        <v/>
      </c>
    </row>
    <row r="4959" spans="1:9">
      <c r="A4959" s="6">
        <v>44452</v>
      </c>
      <c r="B4959">
        <f>IFERROR(VLOOKUP($A4959,原始数据_收盘!$A$4:$G$3460,2,0),"")</f>
        <v>2.3693</v>
      </c>
      <c r="C4959">
        <f>IFERROR(VLOOKUP($A4959,原始数据_收盘!$A$4:$G$3460,3,0),"")</f>
        <v>2.74</v>
      </c>
      <c r="D4959">
        <f>IFERROR(VLOOKUP($A4959,原始数据_收盘!$A$4:$G$3460,4,0),"")</f>
        <v>2.3753</v>
      </c>
      <c r="E4959">
        <f>IFERROR(VLOOKUP($A4959,原始数据_收盘!$A$4:$G$3460,5,0),"")</f>
        <v>2.7427</v>
      </c>
      <c r="F4959">
        <f>IFERROR(VLOOKUP($A4959,原始数据_收盘!$A$4:$G$3460,6,0),"")</f>
        <v>2.3723</v>
      </c>
      <c r="G4959">
        <f>IFERROR(VLOOKUP($A4959,原始数据_收盘!$A$4:$G$3460,7,0),"")</f>
        <v>2.7413</v>
      </c>
      <c r="H4959">
        <f>IFERROR(VLOOKUP($A4959,原始数据_利率互换_FR007_1年!$A$6:$C$4395,2,0),"")</f>
        <v>2.354</v>
      </c>
      <c r="I4959">
        <f>IFERROR(VLOOKUP($A4959,原始数据_利率互换_FR007_1年!$A$6:$C$4395,3,0),"")</f>
        <v>2.7183</v>
      </c>
    </row>
    <row r="4960" spans="1:9">
      <c r="A4960" s="6">
        <v>44453</v>
      </c>
      <c r="B4960">
        <f>IFERROR(VLOOKUP($A4960,原始数据_收盘!$A$4:$G$3460,2,0),"")</f>
        <v>2.3649</v>
      </c>
      <c r="C4960">
        <f>IFERROR(VLOOKUP($A4960,原始数据_收盘!$A$4:$G$3460,3,0),"")</f>
        <v>2.7325</v>
      </c>
      <c r="D4960">
        <f>IFERROR(VLOOKUP($A4960,原始数据_收盘!$A$4:$G$3460,4,0),"")</f>
        <v>2.3675</v>
      </c>
      <c r="E4960">
        <f>IFERROR(VLOOKUP($A4960,原始数据_收盘!$A$4:$G$3460,5,0),"")</f>
        <v>2.7351</v>
      </c>
      <c r="F4960">
        <f>IFERROR(VLOOKUP($A4960,原始数据_收盘!$A$4:$G$3460,6,0),"")</f>
        <v>2.3662</v>
      </c>
      <c r="G4960">
        <f>IFERROR(VLOOKUP($A4960,原始数据_收盘!$A$4:$G$3460,7,0),"")</f>
        <v>2.7338</v>
      </c>
      <c r="H4960">
        <f>IFERROR(VLOOKUP($A4960,原始数据_利率互换_FR007_1年!$A$6:$C$4395,2,0),"")</f>
        <v>2.3781</v>
      </c>
      <c r="I4960">
        <f>IFERROR(VLOOKUP($A4960,原始数据_利率互换_FR007_1年!$A$6:$C$4395,3,0),"")</f>
        <v>2.7455</v>
      </c>
    </row>
    <row r="4961" spans="1:9">
      <c r="A4961" s="6">
        <v>44454</v>
      </c>
      <c r="B4961">
        <f>IFERROR(VLOOKUP($A4961,原始数据_收盘!$A$4:$G$3460,2,0),"")</f>
        <v>2.3788</v>
      </c>
      <c r="C4961">
        <f>IFERROR(VLOOKUP($A4961,原始数据_收盘!$A$4:$G$3460,3,0),"")</f>
        <v>2.7554</v>
      </c>
      <c r="D4961">
        <f>IFERROR(VLOOKUP($A4961,原始数据_收盘!$A$4:$G$3460,4,0),"")</f>
        <v>2.385</v>
      </c>
      <c r="E4961">
        <f>IFERROR(VLOOKUP($A4961,原始数据_收盘!$A$4:$G$3460,5,0),"")</f>
        <v>2.758</v>
      </c>
      <c r="F4961">
        <f>IFERROR(VLOOKUP($A4961,原始数据_收盘!$A$4:$G$3460,6,0),"")</f>
        <v>2.3819</v>
      </c>
      <c r="G4961">
        <f>IFERROR(VLOOKUP($A4961,原始数据_收盘!$A$4:$G$3460,7,0),"")</f>
        <v>2.7567</v>
      </c>
      <c r="H4961">
        <f>IFERROR(VLOOKUP($A4961,原始数据_利率互换_FR007_1年!$A$6:$C$4395,2,0),"")</f>
        <v>2.3658</v>
      </c>
      <c r="I4961">
        <f>IFERROR(VLOOKUP($A4961,原始数据_利率互换_FR007_1年!$A$6:$C$4395,3,0),"")</f>
        <v>2.7341</v>
      </c>
    </row>
    <row r="4962" spans="1:9">
      <c r="A4962" s="6">
        <v>44455</v>
      </c>
      <c r="B4962">
        <f>IFERROR(VLOOKUP($A4962,原始数据_收盘!$A$4:$G$3460,2,0),"")</f>
        <v>2.3725</v>
      </c>
      <c r="C4962">
        <f>IFERROR(VLOOKUP($A4962,原始数据_收盘!$A$4:$G$3460,3,0),"")</f>
        <v>2.7375</v>
      </c>
      <c r="D4962">
        <f>IFERROR(VLOOKUP($A4962,原始数据_收盘!$A$4:$G$3460,4,0),"")</f>
        <v>2.375</v>
      </c>
      <c r="E4962">
        <f>IFERROR(VLOOKUP($A4962,原始数据_收盘!$A$4:$G$3460,5,0),"")</f>
        <v>2.74</v>
      </c>
      <c r="F4962">
        <f>IFERROR(VLOOKUP($A4962,原始数据_收盘!$A$4:$G$3460,6,0),"")</f>
        <v>2.3738</v>
      </c>
      <c r="G4962">
        <f>IFERROR(VLOOKUP($A4962,原始数据_收盘!$A$4:$G$3460,7,0),"")</f>
        <v>2.7388</v>
      </c>
      <c r="H4962">
        <f>IFERROR(VLOOKUP($A4962,原始数据_利率互换_FR007_1年!$A$6:$C$4395,2,0),"")</f>
        <v>2.3781</v>
      </c>
      <c r="I4962">
        <f>IFERROR(VLOOKUP($A4962,原始数据_利率互换_FR007_1年!$A$6:$C$4395,3,0),"")</f>
        <v>2.7457</v>
      </c>
    </row>
    <row r="4963" spans="1:9">
      <c r="A4963" s="6">
        <v>44456</v>
      </c>
      <c r="B4963">
        <f>IFERROR(VLOOKUP($A4963,原始数据_收盘!$A$4:$G$3460,2,0),"")</f>
        <v>2.365</v>
      </c>
      <c r="C4963">
        <f>IFERROR(VLOOKUP($A4963,原始数据_收盘!$A$4:$G$3460,3,0),"")</f>
        <v>2.715</v>
      </c>
      <c r="D4963">
        <f>IFERROR(VLOOKUP($A4963,原始数据_收盘!$A$4:$G$3460,4,0),"")</f>
        <v>2.37</v>
      </c>
      <c r="E4963">
        <f>IFERROR(VLOOKUP($A4963,原始数据_收盘!$A$4:$G$3460,5,0),"")</f>
        <v>2.7175</v>
      </c>
      <c r="F4963">
        <f>IFERROR(VLOOKUP($A4963,原始数据_收盘!$A$4:$G$3460,6,0),"")</f>
        <v>2.3675</v>
      </c>
      <c r="G4963">
        <f>IFERROR(VLOOKUP($A4963,原始数据_收盘!$A$4:$G$3460,7,0),"")</f>
        <v>2.7163</v>
      </c>
      <c r="H4963">
        <f>IFERROR(VLOOKUP($A4963,原始数据_利率互换_FR007_1年!$A$6:$C$4395,2,0),"")</f>
        <v>2.368</v>
      </c>
      <c r="I4963">
        <f>IFERROR(VLOOKUP($A4963,原始数据_利率互换_FR007_1年!$A$6:$C$4395,3,0),"")</f>
        <v>2.7213</v>
      </c>
    </row>
    <row r="4964" spans="1:9">
      <c r="A4964" s="6">
        <v>44457</v>
      </c>
      <c r="B4964">
        <f>IFERROR(VLOOKUP($A4964,原始数据_收盘!$A$4:$G$3460,2,0),"")</f>
        <v>2.35</v>
      </c>
      <c r="C4964">
        <f>IFERROR(VLOOKUP($A4964,原始数据_收盘!$A$4:$G$3460,3,0),"")</f>
        <v>2.7075</v>
      </c>
      <c r="D4964">
        <f>IFERROR(VLOOKUP($A4964,原始数据_收盘!$A$4:$G$3460,4,0),"")</f>
        <v>2.4</v>
      </c>
      <c r="E4964">
        <f>IFERROR(VLOOKUP($A4964,原始数据_收盘!$A$4:$G$3460,5,0),"")</f>
        <v>2.7175</v>
      </c>
      <c r="F4964">
        <f>IFERROR(VLOOKUP($A4964,原始数据_收盘!$A$4:$G$3460,6,0),"")</f>
        <v>2.375</v>
      </c>
      <c r="G4964">
        <f>IFERROR(VLOOKUP($A4964,原始数据_收盘!$A$4:$G$3460,7,0),"")</f>
        <v>2.7125</v>
      </c>
      <c r="H4964">
        <f>IFERROR(VLOOKUP($A4964,原始数据_利率互换_FR007_1年!$A$6:$C$4395,2,0),"")</f>
        <v>0</v>
      </c>
      <c r="I4964">
        <f>IFERROR(VLOOKUP($A4964,原始数据_利率互换_FR007_1年!$A$6:$C$4395,3,0),"")</f>
        <v>2.7125</v>
      </c>
    </row>
    <row r="4965" spans="1:9">
      <c r="A4965" s="6">
        <v>44458</v>
      </c>
      <c r="B4965" t="str">
        <f>IFERROR(VLOOKUP($A4965,原始数据_收盘!$A$4:$G$3460,2,0),"")</f>
        <v/>
      </c>
      <c r="C4965" t="str">
        <f>IFERROR(VLOOKUP($A4965,原始数据_收盘!$A$4:$G$3460,3,0),"")</f>
        <v/>
      </c>
      <c r="D4965" t="str">
        <f>IFERROR(VLOOKUP($A4965,原始数据_收盘!$A$4:$G$3460,4,0),"")</f>
        <v/>
      </c>
      <c r="E4965" t="str">
        <f>IFERROR(VLOOKUP($A4965,原始数据_收盘!$A$4:$G$3460,5,0),"")</f>
        <v/>
      </c>
      <c r="F4965" t="str">
        <f>IFERROR(VLOOKUP($A4965,原始数据_收盘!$A$4:$G$3460,6,0),"")</f>
        <v/>
      </c>
      <c r="G4965" t="str">
        <f>IFERROR(VLOOKUP($A4965,原始数据_收盘!$A$4:$G$3460,7,0),"")</f>
        <v/>
      </c>
      <c r="H4965" t="str">
        <f>IFERROR(VLOOKUP($A4965,原始数据_利率互换_FR007_1年!$A$6:$C$4395,2,0),"")</f>
        <v/>
      </c>
      <c r="I4965" t="str">
        <f>IFERROR(VLOOKUP($A4965,原始数据_利率互换_FR007_1年!$A$6:$C$4395,3,0),"")</f>
        <v/>
      </c>
    </row>
    <row r="4966" spans="1:9">
      <c r="A4966" s="6">
        <v>44459</v>
      </c>
      <c r="B4966" t="str">
        <f>IFERROR(VLOOKUP($A4966,原始数据_收盘!$A$4:$G$3460,2,0),"")</f>
        <v/>
      </c>
      <c r="C4966" t="str">
        <f>IFERROR(VLOOKUP($A4966,原始数据_收盘!$A$4:$G$3460,3,0),"")</f>
        <v/>
      </c>
      <c r="D4966" t="str">
        <f>IFERROR(VLOOKUP($A4966,原始数据_收盘!$A$4:$G$3460,4,0),"")</f>
        <v/>
      </c>
      <c r="E4966" t="str">
        <f>IFERROR(VLOOKUP($A4966,原始数据_收盘!$A$4:$G$3460,5,0),"")</f>
        <v/>
      </c>
      <c r="F4966" t="str">
        <f>IFERROR(VLOOKUP($A4966,原始数据_收盘!$A$4:$G$3460,6,0),"")</f>
        <v/>
      </c>
      <c r="G4966" t="str">
        <f>IFERROR(VLOOKUP($A4966,原始数据_收盘!$A$4:$G$3460,7,0),"")</f>
        <v/>
      </c>
      <c r="H4966" t="str">
        <f>IFERROR(VLOOKUP($A4966,原始数据_利率互换_FR007_1年!$A$6:$C$4395,2,0),"")</f>
        <v/>
      </c>
      <c r="I4966" t="str">
        <f>IFERROR(VLOOKUP($A4966,原始数据_利率互换_FR007_1年!$A$6:$C$4395,3,0),"")</f>
        <v/>
      </c>
    </row>
    <row r="4967" spans="1:9">
      <c r="A4967" s="6">
        <v>44460</v>
      </c>
      <c r="B4967" t="str">
        <f>IFERROR(VLOOKUP($A4967,原始数据_收盘!$A$4:$G$3460,2,0),"")</f>
        <v/>
      </c>
      <c r="C4967" t="str">
        <f>IFERROR(VLOOKUP($A4967,原始数据_收盘!$A$4:$G$3460,3,0),"")</f>
        <v/>
      </c>
      <c r="D4967" t="str">
        <f>IFERROR(VLOOKUP($A4967,原始数据_收盘!$A$4:$G$3460,4,0),"")</f>
        <v/>
      </c>
      <c r="E4967" t="str">
        <f>IFERROR(VLOOKUP($A4967,原始数据_收盘!$A$4:$G$3460,5,0),"")</f>
        <v/>
      </c>
      <c r="F4967" t="str">
        <f>IFERROR(VLOOKUP($A4967,原始数据_收盘!$A$4:$G$3460,6,0),"")</f>
        <v/>
      </c>
      <c r="G4967" t="str">
        <f>IFERROR(VLOOKUP($A4967,原始数据_收盘!$A$4:$G$3460,7,0),"")</f>
        <v/>
      </c>
      <c r="H4967" t="str">
        <f>IFERROR(VLOOKUP($A4967,原始数据_利率互换_FR007_1年!$A$6:$C$4395,2,0),"")</f>
        <v/>
      </c>
      <c r="I4967" t="str">
        <f>IFERROR(VLOOKUP($A4967,原始数据_利率互换_FR007_1年!$A$6:$C$4395,3,0),"")</f>
        <v/>
      </c>
    </row>
    <row r="4968" spans="1:9">
      <c r="A4968" s="6">
        <v>44461</v>
      </c>
      <c r="B4968">
        <f>IFERROR(VLOOKUP($A4968,原始数据_收盘!$A$4:$G$3460,2,0),"")</f>
        <v>2.3375</v>
      </c>
      <c r="C4968">
        <f>IFERROR(VLOOKUP($A4968,原始数据_收盘!$A$4:$G$3460,3,0),"")</f>
        <v>2.695</v>
      </c>
      <c r="D4968">
        <f>IFERROR(VLOOKUP($A4968,原始数据_收盘!$A$4:$G$3460,4,0),"")</f>
        <v>2.3407</v>
      </c>
      <c r="E4968">
        <f>IFERROR(VLOOKUP($A4968,原始数据_收盘!$A$4:$G$3460,5,0),"")</f>
        <v>2.6975</v>
      </c>
      <c r="F4968">
        <f>IFERROR(VLOOKUP($A4968,原始数据_收盘!$A$4:$G$3460,6,0),"")</f>
        <v>2.3391</v>
      </c>
      <c r="G4968">
        <f>IFERROR(VLOOKUP($A4968,原始数据_收盘!$A$4:$G$3460,7,0),"")</f>
        <v>2.6963</v>
      </c>
      <c r="H4968">
        <f>IFERROR(VLOOKUP($A4968,原始数据_利率互换_FR007_1年!$A$6:$C$4395,2,0),"")</f>
        <v>2.3455</v>
      </c>
      <c r="I4968">
        <f>IFERROR(VLOOKUP($A4968,原始数据_利率互换_FR007_1年!$A$6:$C$4395,3,0),"")</f>
        <v>2.6953</v>
      </c>
    </row>
    <row r="4969" spans="1:9">
      <c r="A4969" s="6">
        <v>44462</v>
      </c>
      <c r="B4969">
        <f>IFERROR(VLOOKUP($A4969,原始数据_收盘!$A$4:$G$3460,2,0),"")</f>
        <v>2.325</v>
      </c>
      <c r="C4969">
        <f>IFERROR(VLOOKUP($A4969,原始数据_收盘!$A$4:$G$3460,3,0),"")</f>
        <v>2.68</v>
      </c>
      <c r="D4969">
        <f>IFERROR(VLOOKUP($A4969,原始数据_收盘!$A$4:$G$3460,4,0),"")</f>
        <v>2.3275</v>
      </c>
      <c r="E4969">
        <f>IFERROR(VLOOKUP($A4969,原始数据_收盘!$A$4:$G$3460,5,0),"")</f>
        <v>2.6825</v>
      </c>
      <c r="F4969">
        <f>IFERROR(VLOOKUP($A4969,原始数据_收盘!$A$4:$G$3460,6,0),"")</f>
        <v>2.3263</v>
      </c>
      <c r="G4969">
        <f>IFERROR(VLOOKUP($A4969,原始数据_收盘!$A$4:$G$3460,7,0),"")</f>
        <v>2.6813</v>
      </c>
      <c r="H4969">
        <f>IFERROR(VLOOKUP($A4969,原始数据_利率互换_FR007_1年!$A$6:$C$4395,2,0),"")</f>
        <v>2.331</v>
      </c>
      <c r="I4969">
        <f>IFERROR(VLOOKUP($A4969,原始数据_利率互换_FR007_1年!$A$6:$C$4395,3,0),"")</f>
        <v>2.6881</v>
      </c>
    </row>
    <row r="4970" spans="1:9">
      <c r="A4970" s="6">
        <v>44463</v>
      </c>
      <c r="B4970">
        <f>IFERROR(VLOOKUP($A4970,原始数据_收盘!$A$4:$G$3460,2,0),"")</f>
        <v>2.335</v>
      </c>
      <c r="C4970">
        <f>IFERROR(VLOOKUP($A4970,原始数据_收盘!$A$4:$G$3460,3,0),"")</f>
        <v>2.7025</v>
      </c>
      <c r="D4970">
        <f>IFERROR(VLOOKUP($A4970,原始数据_收盘!$A$4:$G$3460,4,0),"")</f>
        <v>2.34</v>
      </c>
      <c r="E4970">
        <f>IFERROR(VLOOKUP($A4970,原始数据_收盘!$A$4:$G$3460,5,0),"")</f>
        <v>2.705</v>
      </c>
      <c r="F4970">
        <f>IFERROR(VLOOKUP($A4970,原始数据_收盘!$A$4:$G$3460,6,0),"")</f>
        <v>2.3375</v>
      </c>
      <c r="G4970">
        <f>IFERROR(VLOOKUP($A4970,原始数据_收盘!$A$4:$G$3460,7,0),"")</f>
        <v>2.7038</v>
      </c>
      <c r="H4970">
        <f>IFERROR(VLOOKUP($A4970,原始数据_利率互换_FR007_1年!$A$6:$C$4395,2,0),"")</f>
        <v>2.332</v>
      </c>
      <c r="I4970">
        <f>IFERROR(VLOOKUP($A4970,原始数据_利率互换_FR007_1年!$A$6:$C$4395,3,0),"")</f>
        <v>2.6969</v>
      </c>
    </row>
    <row r="4971" spans="1:9">
      <c r="A4971" s="6">
        <v>44464</v>
      </c>
      <c r="B4971" t="str">
        <f>IFERROR(VLOOKUP($A4971,原始数据_收盘!$A$4:$G$3460,2,0),"")</f>
        <v/>
      </c>
      <c r="C4971" t="str">
        <f>IFERROR(VLOOKUP($A4971,原始数据_收盘!$A$4:$G$3460,3,0),"")</f>
        <v/>
      </c>
      <c r="D4971" t="str">
        <f>IFERROR(VLOOKUP($A4971,原始数据_收盘!$A$4:$G$3460,4,0),"")</f>
        <v/>
      </c>
      <c r="E4971" t="str">
        <f>IFERROR(VLOOKUP($A4971,原始数据_收盘!$A$4:$G$3460,5,0),"")</f>
        <v/>
      </c>
      <c r="F4971" t="str">
        <f>IFERROR(VLOOKUP($A4971,原始数据_收盘!$A$4:$G$3460,6,0),"")</f>
        <v/>
      </c>
      <c r="G4971" t="str">
        <f>IFERROR(VLOOKUP($A4971,原始数据_收盘!$A$4:$G$3460,7,0),"")</f>
        <v/>
      </c>
      <c r="H4971" t="str">
        <f>IFERROR(VLOOKUP($A4971,原始数据_利率互换_FR007_1年!$A$6:$C$4395,2,0),"")</f>
        <v/>
      </c>
      <c r="I4971" t="str">
        <f>IFERROR(VLOOKUP($A4971,原始数据_利率互换_FR007_1年!$A$6:$C$4395,3,0),"")</f>
        <v/>
      </c>
    </row>
    <row r="4972" spans="1:9">
      <c r="A4972" s="6">
        <v>44465</v>
      </c>
      <c r="B4972">
        <f>IFERROR(VLOOKUP($A4972,原始数据_收盘!$A$4:$G$3460,2,0),"")</f>
        <v>2.33</v>
      </c>
      <c r="C4972">
        <f>IFERROR(VLOOKUP($A4972,原始数据_收盘!$A$4:$G$3460,3,0),"")</f>
        <v>2.7025</v>
      </c>
      <c r="D4972">
        <f>IFERROR(VLOOKUP($A4972,原始数据_收盘!$A$4:$G$3460,4,0),"")</f>
        <v>2.3325</v>
      </c>
      <c r="E4972">
        <f>IFERROR(VLOOKUP($A4972,原始数据_收盘!$A$4:$G$3460,5,0),"")</f>
        <v>2.705</v>
      </c>
      <c r="F4972">
        <f>IFERROR(VLOOKUP($A4972,原始数据_收盘!$A$4:$G$3460,6,0),"")</f>
        <v>2.3313</v>
      </c>
      <c r="G4972">
        <f>IFERROR(VLOOKUP($A4972,原始数据_收盘!$A$4:$G$3460,7,0),"")</f>
        <v>2.7038</v>
      </c>
      <c r="H4972">
        <f>IFERROR(VLOOKUP($A4972,原始数据_利率互换_FR007_1年!$A$6:$C$4395,2,0),"")</f>
        <v>2.3311</v>
      </c>
      <c r="I4972">
        <f>IFERROR(VLOOKUP($A4972,原始数据_利率互换_FR007_1年!$A$6:$C$4395,3,0),"")</f>
        <v>2.7019</v>
      </c>
    </row>
    <row r="4973" spans="1:9">
      <c r="A4973" s="6">
        <v>44466</v>
      </c>
      <c r="B4973">
        <f>IFERROR(VLOOKUP($A4973,原始数据_收盘!$A$4:$G$3460,2,0),"")</f>
        <v>2.335</v>
      </c>
      <c r="C4973">
        <f>IFERROR(VLOOKUP($A4973,原始数据_收盘!$A$4:$G$3460,3,0),"")</f>
        <v>2.705</v>
      </c>
      <c r="D4973">
        <f>IFERROR(VLOOKUP($A4973,原始数据_收盘!$A$4:$G$3460,4,0),"")</f>
        <v>2.3375</v>
      </c>
      <c r="E4973">
        <f>IFERROR(VLOOKUP($A4973,原始数据_收盘!$A$4:$G$3460,5,0),"")</f>
        <v>2.7075</v>
      </c>
      <c r="F4973">
        <f>IFERROR(VLOOKUP($A4973,原始数据_收盘!$A$4:$G$3460,6,0),"")</f>
        <v>2.3363</v>
      </c>
      <c r="G4973">
        <f>IFERROR(VLOOKUP($A4973,原始数据_收盘!$A$4:$G$3460,7,0),"")</f>
        <v>2.7063</v>
      </c>
      <c r="H4973">
        <f>IFERROR(VLOOKUP($A4973,原始数据_利率互换_FR007_1年!$A$6:$C$4395,2,0),"")</f>
        <v>2.3283</v>
      </c>
      <c r="I4973">
        <f>IFERROR(VLOOKUP($A4973,原始数据_利率互换_FR007_1年!$A$6:$C$4395,3,0),"")</f>
        <v>2.6988</v>
      </c>
    </row>
    <row r="4974" spans="1:9">
      <c r="A4974" s="6">
        <v>44467</v>
      </c>
      <c r="B4974">
        <f>IFERROR(VLOOKUP($A4974,原始数据_收盘!$A$4:$G$3460,2,0),"")</f>
        <v>2.345</v>
      </c>
      <c r="C4974">
        <f>IFERROR(VLOOKUP($A4974,原始数据_收盘!$A$4:$G$3460,3,0),"")</f>
        <v>2.7175</v>
      </c>
      <c r="D4974">
        <f>IFERROR(VLOOKUP($A4974,原始数据_收盘!$A$4:$G$3460,4,0),"")</f>
        <v>2.35</v>
      </c>
      <c r="E4974">
        <f>IFERROR(VLOOKUP($A4974,原始数据_收盘!$A$4:$G$3460,5,0),"")</f>
        <v>2.721</v>
      </c>
      <c r="F4974">
        <f>IFERROR(VLOOKUP($A4974,原始数据_收盘!$A$4:$G$3460,6,0),"")</f>
        <v>2.3475</v>
      </c>
      <c r="G4974">
        <f>IFERROR(VLOOKUP($A4974,原始数据_收盘!$A$4:$G$3460,7,0),"")</f>
        <v>2.7193</v>
      </c>
      <c r="H4974">
        <f>IFERROR(VLOOKUP($A4974,原始数据_利率互换_FR007_1年!$A$6:$C$4395,2,0),"")</f>
        <v>2.3475</v>
      </c>
      <c r="I4974">
        <f>IFERROR(VLOOKUP($A4974,原始数据_利率互换_FR007_1年!$A$6:$C$4395,3,0),"")</f>
        <v>2.7184</v>
      </c>
    </row>
    <row r="4975" spans="1:9">
      <c r="A4975" s="6">
        <v>44468</v>
      </c>
      <c r="B4975">
        <f>IFERROR(VLOOKUP($A4975,原始数据_收盘!$A$4:$G$3460,2,0),"")</f>
        <v>2.355</v>
      </c>
      <c r="C4975">
        <f>IFERROR(VLOOKUP($A4975,原始数据_收盘!$A$4:$G$3460,3,0),"")</f>
        <v>2.7025</v>
      </c>
      <c r="D4975">
        <f>IFERROR(VLOOKUP($A4975,原始数据_收盘!$A$4:$G$3460,4,0),"")</f>
        <v>2.36</v>
      </c>
      <c r="E4975">
        <f>IFERROR(VLOOKUP($A4975,原始数据_收盘!$A$4:$G$3460,5,0),"")</f>
        <v>2.7075</v>
      </c>
      <c r="F4975">
        <f>IFERROR(VLOOKUP($A4975,原始数据_收盘!$A$4:$G$3460,6,0),"")</f>
        <v>2.3575</v>
      </c>
      <c r="G4975">
        <f>IFERROR(VLOOKUP($A4975,原始数据_收盘!$A$4:$G$3460,7,0),"")</f>
        <v>2.705</v>
      </c>
      <c r="H4975">
        <f>IFERROR(VLOOKUP($A4975,原始数据_利率互换_FR007_1年!$A$6:$C$4395,2,0),"")</f>
        <v>2.3566</v>
      </c>
      <c r="I4975">
        <f>IFERROR(VLOOKUP($A4975,原始数据_利率互换_FR007_1年!$A$6:$C$4395,3,0),"")</f>
        <v>2.7138</v>
      </c>
    </row>
    <row r="4976" spans="1:9">
      <c r="A4976" s="6">
        <v>44469</v>
      </c>
      <c r="B4976">
        <f>IFERROR(VLOOKUP($A4976,原始数据_收盘!$A$4:$G$3460,2,0),"")</f>
        <v>2.335</v>
      </c>
      <c r="C4976">
        <f>IFERROR(VLOOKUP($A4976,原始数据_收盘!$A$4:$G$3460,3,0),"")</f>
        <v>2.71</v>
      </c>
      <c r="D4976">
        <f>IFERROR(VLOOKUP($A4976,原始数据_收盘!$A$4:$G$3460,4,0),"")</f>
        <v>2.3389</v>
      </c>
      <c r="E4976">
        <f>IFERROR(VLOOKUP($A4976,原始数据_收盘!$A$4:$G$3460,5,0),"")</f>
        <v>2.7125</v>
      </c>
      <c r="F4976">
        <f>IFERROR(VLOOKUP($A4976,原始数据_收盘!$A$4:$G$3460,6,0),"")</f>
        <v>2.3369</v>
      </c>
      <c r="G4976">
        <f>IFERROR(VLOOKUP($A4976,原始数据_收盘!$A$4:$G$3460,7,0),"")</f>
        <v>2.7113</v>
      </c>
      <c r="H4976">
        <f>IFERROR(VLOOKUP($A4976,原始数据_利率互换_FR007_1年!$A$6:$C$4395,2,0),"")</f>
        <v>2.3373</v>
      </c>
      <c r="I4976">
        <f>IFERROR(VLOOKUP($A4976,原始数据_利率互换_FR007_1年!$A$6:$C$4395,3,0),"")</f>
        <v>2.7054</v>
      </c>
    </row>
    <row r="4977" spans="1:9">
      <c r="A4977" s="6">
        <v>44470</v>
      </c>
      <c r="B4977" t="str">
        <f>IFERROR(VLOOKUP($A4977,原始数据_收盘!$A$4:$G$3460,2,0),"")</f>
        <v/>
      </c>
      <c r="C4977" t="str">
        <f>IFERROR(VLOOKUP($A4977,原始数据_收盘!$A$4:$G$3460,3,0),"")</f>
        <v/>
      </c>
      <c r="D4977" t="str">
        <f>IFERROR(VLOOKUP($A4977,原始数据_收盘!$A$4:$G$3460,4,0),"")</f>
        <v/>
      </c>
      <c r="E4977" t="str">
        <f>IFERROR(VLOOKUP($A4977,原始数据_收盘!$A$4:$G$3460,5,0),"")</f>
        <v/>
      </c>
      <c r="F4977" t="str">
        <f>IFERROR(VLOOKUP($A4977,原始数据_收盘!$A$4:$G$3460,6,0),"")</f>
        <v/>
      </c>
      <c r="G4977" t="str">
        <f>IFERROR(VLOOKUP($A4977,原始数据_收盘!$A$4:$G$3460,7,0),"")</f>
        <v/>
      </c>
      <c r="H4977" t="str">
        <f>IFERROR(VLOOKUP($A4977,原始数据_利率互换_FR007_1年!$A$6:$C$4395,2,0),"")</f>
        <v/>
      </c>
      <c r="I4977" t="str">
        <f>IFERROR(VLOOKUP($A4977,原始数据_利率互换_FR007_1年!$A$6:$C$4395,3,0),"")</f>
        <v/>
      </c>
    </row>
    <row r="4978" spans="1:9">
      <c r="A4978" s="6">
        <v>44471</v>
      </c>
      <c r="B4978" t="str">
        <f>IFERROR(VLOOKUP($A4978,原始数据_收盘!$A$4:$G$3460,2,0),"")</f>
        <v/>
      </c>
      <c r="C4978" t="str">
        <f>IFERROR(VLOOKUP($A4978,原始数据_收盘!$A$4:$G$3460,3,0),"")</f>
        <v/>
      </c>
      <c r="D4978" t="str">
        <f>IFERROR(VLOOKUP($A4978,原始数据_收盘!$A$4:$G$3460,4,0),"")</f>
        <v/>
      </c>
      <c r="E4978" t="str">
        <f>IFERROR(VLOOKUP($A4978,原始数据_收盘!$A$4:$G$3460,5,0),"")</f>
        <v/>
      </c>
      <c r="F4978" t="str">
        <f>IFERROR(VLOOKUP($A4978,原始数据_收盘!$A$4:$G$3460,6,0),"")</f>
        <v/>
      </c>
      <c r="G4978" t="str">
        <f>IFERROR(VLOOKUP($A4978,原始数据_收盘!$A$4:$G$3460,7,0),"")</f>
        <v/>
      </c>
      <c r="H4978" t="str">
        <f>IFERROR(VLOOKUP($A4978,原始数据_利率互换_FR007_1年!$A$6:$C$4395,2,0),"")</f>
        <v/>
      </c>
      <c r="I4978" t="str">
        <f>IFERROR(VLOOKUP($A4978,原始数据_利率互换_FR007_1年!$A$6:$C$4395,3,0),"")</f>
        <v/>
      </c>
    </row>
    <row r="4979" spans="1:9">
      <c r="A4979" s="6">
        <v>44472</v>
      </c>
      <c r="B4979" t="str">
        <f>IFERROR(VLOOKUP($A4979,原始数据_收盘!$A$4:$G$3460,2,0),"")</f>
        <v/>
      </c>
      <c r="C4979" t="str">
        <f>IFERROR(VLOOKUP($A4979,原始数据_收盘!$A$4:$G$3460,3,0),"")</f>
        <v/>
      </c>
      <c r="D4979" t="str">
        <f>IFERROR(VLOOKUP($A4979,原始数据_收盘!$A$4:$G$3460,4,0),"")</f>
        <v/>
      </c>
      <c r="E4979" t="str">
        <f>IFERROR(VLOOKUP($A4979,原始数据_收盘!$A$4:$G$3460,5,0),"")</f>
        <v/>
      </c>
      <c r="F4979" t="str">
        <f>IFERROR(VLOOKUP($A4979,原始数据_收盘!$A$4:$G$3460,6,0),"")</f>
        <v/>
      </c>
      <c r="G4979" t="str">
        <f>IFERROR(VLOOKUP($A4979,原始数据_收盘!$A$4:$G$3460,7,0),"")</f>
        <v/>
      </c>
      <c r="H4979" t="str">
        <f>IFERROR(VLOOKUP($A4979,原始数据_利率互换_FR007_1年!$A$6:$C$4395,2,0),"")</f>
        <v/>
      </c>
      <c r="I4979" t="str">
        <f>IFERROR(VLOOKUP($A4979,原始数据_利率互换_FR007_1年!$A$6:$C$4395,3,0),"")</f>
        <v/>
      </c>
    </row>
    <row r="4980" spans="1:9">
      <c r="A4980" s="6">
        <v>44473</v>
      </c>
      <c r="B4980" t="str">
        <f>IFERROR(VLOOKUP($A4980,原始数据_收盘!$A$4:$G$3460,2,0),"")</f>
        <v/>
      </c>
      <c r="C4980" t="str">
        <f>IFERROR(VLOOKUP($A4980,原始数据_收盘!$A$4:$G$3460,3,0),"")</f>
        <v/>
      </c>
      <c r="D4980" t="str">
        <f>IFERROR(VLOOKUP($A4980,原始数据_收盘!$A$4:$G$3460,4,0),"")</f>
        <v/>
      </c>
      <c r="E4980" t="str">
        <f>IFERROR(VLOOKUP($A4980,原始数据_收盘!$A$4:$G$3460,5,0),"")</f>
        <v/>
      </c>
      <c r="F4980" t="str">
        <f>IFERROR(VLOOKUP($A4980,原始数据_收盘!$A$4:$G$3460,6,0),"")</f>
        <v/>
      </c>
      <c r="G4980" t="str">
        <f>IFERROR(VLOOKUP($A4980,原始数据_收盘!$A$4:$G$3460,7,0),"")</f>
        <v/>
      </c>
      <c r="H4980" t="str">
        <f>IFERROR(VLOOKUP($A4980,原始数据_利率互换_FR007_1年!$A$6:$C$4395,2,0),"")</f>
        <v/>
      </c>
      <c r="I4980" t="str">
        <f>IFERROR(VLOOKUP($A4980,原始数据_利率互换_FR007_1年!$A$6:$C$4395,3,0),"")</f>
        <v/>
      </c>
    </row>
    <row r="4981" spans="1:9">
      <c r="A4981" s="6">
        <v>44474</v>
      </c>
      <c r="B4981" t="str">
        <f>IFERROR(VLOOKUP($A4981,原始数据_收盘!$A$4:$G$3460,2,0),"")</f>
        <v/>
      </c>
      <c r="C4981" t="str">
        <f>IFERROR(VLOOKUP($A4981,原始数据_收盘!$A$4:$G$3460,3,0),"")</f>
        <v/>
      </c>
      <c r="D4981" t="str">
        <f>IFERROR(VLOOKUP($A4981,原始数据_收盘!$A$4:$G$3460,4,0),"")</f>
        <v/>
      </c>
      <c r="E4981" t="str">
        <f>IFERROR(VLOOKUP($A4981,原始数据_收盘!$A$4:$G$3460,5,0),"")</f>
        <v/>
      </c>
      <c r="F4981" t="str">
        <f>IFERROR(VLOOKUP($A4981,原始数据_收盘!$A$4:$G$3460,6,0),"")</f>
        <v/>
      </c>
      <c r="G4981" t="str">
        <f>IFERROR(VLOOKUP($A4981,原始数据_收盘!$A$4:$G$3460,7,0),"")</f>
        <v/>
      </c>
      <c r="H4981" t="str">
        <f>IFERROR(VLOOKUP($A4981,原始数据_利率互换_FR007_1年!$A$6:$C$4395,2,0),"")</f>
        <v/>
      </c>
      <c r="I4981" t="str">
        <f>IFERROR(VLOOKUP($A4981,原始数据_利率互换_FR007_1年!$A$6:$C$4395,3,0),"")</f>
        <v/>
      </c>
    </row>
    <row r="4982" spans="1:9">
      <c r="A4982" s="6">
        <v>44475</v>
      </c>
      <c r="B4982" t="str">
        <f>IFERROR(VLOOKUP($A4982,原始数据_收盘!$A$4:$G$3460,2,0),"")</f>
        <v/>
      </c>
      <c r="C4982" t="str">
        <f>IFERROR(VLOOKUP($A4982,原始数据_收盘!$A$4:$G$3460,3,0),"")</f>
        <v/>
      </c>
      <c r="D4982" t="str">
        <f>IFERROR(VLOOKUP($A4982,原始数据_收盘!$A$4:$G$3460,4,0),"")</f>
        <v/>
      </c>
      <c r="E4982" t="str">
        <f>IFERROR(VLOOKUP($A4982,原始数据_收盘!$A$4:$G$3460,5,0),"")</f>
        <v/>
      </c>
      <c r="F4982" t="str">
        <f>IFERROR(VLOOKUP($A4982,原始数据_收盘!$A$4:$G$3460,6,0),"")</f>
        <v/>
      </c>
      <c r="G4982" t="str">
        <f>IFERROR(VLOOKUP($A4982,原始数据_收盘!$A$4:$G$3460,7,0),"")</f>
        <v/>
      </c>
      <c r="H4982" t="str">
        <f>IFERROR(VLOOKUP($A4982,原始数据_利率互换_FR007_1年!$A$6:$C$4395,2,0),"")</f>
        <v/>
      </c>
      <c r="I4982" t="str">
        <f>IFERROR(VLOOKUP($A4982,原始数据_利率互换_FR007_1年!$A$6:$C$4395,3,0),"")</f>
        <v/>
      </c>
    </row>
    <row r="4983" spans="1:9">
      <c r="A4983" s="6">
        <v>44476</v>
      </c>
      <c r="B4983" t="str">
        <f>IFERROR(VLOOKUP($A4983,原始数据_收盘!$A$4:$G$3460,2,0),"")</f>
        <v/>
      </c>
      <c r="C4983" t="str">
        <f>IFERROR(VLOOKUP($A4983,原始数据_收盘!$A$4:$G$3460,3,0),"")</f>
        <v/>
      </c>
      <c r="D4983" t="str">
        <f>IFERROR(VLOOKUP($A4983,原始数据_收盘!$A$4:$G$3460,4,0),"")</f>
        <v/>
      </c>
      <c r="E4983" t="str">
        <f>IFERROR(VLOOKUP($A4983,原始数据_收盘!$A$4:$G$3460,5,0),"")</f>
        <v/>
      </c>
      <c r="F4983" t="str">
        <f>IFERROR(VLOOKUP($A4983,原始数据_收盘!$A$4:$G$3460,6,0),"")</f>
        <v/>
      </c>
      <c r="G4983" t="str">
        <f>IFERROR(VLOOKUP($A4983,原始数据_收盘!$A$4:$G$3460,7,0),"")</f>
        <v/>
      </c>
      <c r="H4983" t="str">
        <f>IFERROR(VLOOKUP($A4983,原始数据_利率互换_FR007_1年!$A$6:$C$4395,2,0),"")</f>
        <v/>
      </c>
      <c r="I4983" t="str">
        <f>IFERROR(VLOOKUP($A4983,原始数据_利率互换_FR007_1年!$A$6:$C$4395,3,0),"")</f>
        <v/>
      </c>
    </row>
    <row r="4984" spans="1:9">
      <c r="A4984" s="6">
        <v>44477</v>
      </c>
      <c r="B4984">
        <f>IFERROR(VLOOKUP($A4984,原始数据_收盘!$A$4:$G$3460,2,0),"")</f>
        <v>2.362</v>
      </c>
      <c r="C4984">
        <f>IFERROR(VLOOKUP($A4984,原始数据_收盘!$A$4:$G$3460,3,0),"")</f>
        <v>2.7375</v>
      </c>
      <c r="D4984">
        <f>IFERROR(VLOOKUP($A4984,原始数据_收盘!$A$4:$G$3460,4,0),"")</f>
        <v>2.3645</v>
      </c>
      <c r="E4984">
        <f>IFERROR(VLOOKUP($A4984,原始数据_收盘!$A$4:$G$3460,5,0),"")</f>
        <v>2.74</v>
      </c>
      <c r="F4984">
        <f>IFERROR(VLOOKUP($A4984,原始数据_收盘!$A$4:$G$3460,6,0),"")</f>
        <v>2.3632</v>
      </c>
      <c r="G4984">
        <f>IFERROR(VLOOKUP($A4984,原始数据_收盘!$A$4:$G$3460,7,0),"")</f>
        <v>2.7388</v>
      </c>
      <c r="H4984">
        <f>IFERROR(VLOOKUP($A4984,原始数据_利率互换_FR007_1年!$A$6:$C$4395,2,0),"")</f>
        <v>2.3584</v>
      </c>
      <c r="I4984">
        <f>IFERROR(VLOOKUP($A4984,原始数据_利率互换_FR007_1年!$A$6:$C$4395,3,0),"")</f>
        <v>2.7366</v>
      </c>
    </row>
    <row r="4985" spans="1:9">
      <c r="A4985" s="6">
        <v>44478</v>
      </c>
      <c r="B4985">
        <f>IFERROR(VLOOKUP($A4985,原始数据_收盘!$A$4:$G$3460,2,0),"")</f>
        <v>2.3575</v>
      </c>
      <c r="C4985">
        <f>IFERROR(VLOOKUP($A4985,原始数据_收盘!$A$4:$G$3460,3,0),"")</f>
        <v>2.745</v>
      </c>
      <c r="D4985">
        <f>IFERROR(VLOOKUP($A4985,原始数据_收盘!$A$4:$G$3460,4,0),"")</f>
        <v>2.37</v>
      </c>
      <c r="E4985">
        <f>IFERROR(VLOOKUP($A4985,原始数据_收盘!$A$4:$G$3460,5,0),"")</f>
        <v>2.7575</v>
      </c>
      <c r="F4985">
        <f>IFERROR(VLOOKUP($A4985,原始数据_收盘!$A$4:$G$3460,6,0),"")</f>
        <v>2.3638</v>
      </c>
      <c r="G4985">
        <f>IFERROR(VLOOKUP($A4985,原始数据_收盘!$A$4:$G$3460,7,0),"")</f>
        <v>2.7513</v>
      </c>
      <c r="H4985" t="str">
        <f>IFERROR(VLOOKUP($A4985,原始数据_利率互换_FR007_1年!$A$6:$C$4395,2,0),"")</f>
        <v/>
      </c>
      <c r="I4985" t="str">
        <f>IFERROR(VLOOKUP($A4985,原始数据_利率互换_FR007_1年!$A$6:$C$4395,3,0),"")</f>
        <v/>
      </c>
    </row>
    <row r="4986" spans="1:9">
      <c r="A4986" s="6">
        <v>44479</v>
      </c>
      <c r="B4986" t="str">
        <f>IFERROR(VLOOKUP($A4986,原始数据_收盘!$A$4:$G$3460,2,0),"")</f>
        <v/>
      </c>
      <c r="C4986" t="str">
        <f>IFERROR(VLOOKUP($A4986,原始数据_收盘!$A$4:$G$3460,3,0),"")</f>
        <v/>
      </c>
      <c r="D4986" t="str">
        <f>IFERROR(VLOOKUP($A4986,原始数据_收盘!$A$4:$G$3460,4,0),"")</f>
        <v/>
      </c>
      <c r="E4986" t="str">
        <f>IFERROR(VLOOKUP($A4986,原始数据_收盘!$A$4:$G$3460,5,0),"")</f>
        <v/>
      </c>
      <c r="F4986" t="str">
        <f>IFERROR(VLOOKUP($A4986,原始数据_收盘!$A$4:$G$3460,6,0),"")</f>
        <v/>
      </c>
      <c r="G4986" t="str">
        <f>IFERROR(VLOOKUP($A4986,原始数据_收盘!$A$4:$G$3460,7,0),"")</f>
        <v/>
      </c>
      <c r="H4986" t="str">
        <f>IFERROR(VLOOKUP($A4986,原始数据_利率互换_FR007_1年!$A$6:$C$4395,2,0),"")</f>
        <v/>
      </c>
      <c r="I4986" t="str">
        <f>IFERROR(VLOOKUP($A4986,原始数据_利率互换_FR007_1年!$A$6:$C$4395,3,0),"")</f>
        <v/>
      </c>
    </row>
    <row r="4987" spans="1:9">
      <c r="A4987" s="6">
        <v>44480</v>
      </c>
      <c r="B4987">
        <f>IFERROR(VLOOKUP($A4987,原始数据_收盘!$A$4:$G$3460,2,0),"")</f>
        <v>2.385</v>
      </c>
      <c r="C4987">
        <f>IFERROR(VLOOKUP($A4987,原始数据_收盘!$A$4:$G$3460,3,0),"")</f>
        <v>2.7823</v>
      </c>
      <c r="D4987">
        <f>IFERROR(VLOOKUP($A4987,原始数据_收盘!$A$4:$G$3460,4,0),"")</f>
        <v>2.3875</v>
      </c>
      <c r="E4987">
        <f>IFERROR(VLOOKUP($A4987,原始数据_收盘!$A$4:$G$3460,5,0),"")</f>
        <v>2.785</v>
      </c>
      <c r="F4987">
        <f>IFERROR(VLOOKUP($A4987,原始数据_收盘!$A$4:$G$3460,6,0),"")</f>
        <v>2.3863</v>
      </c>
      <c r="G4987">
        <f>IFERROR(VLOOKUP($A4987,原始数据_收盘!$A$4:$G$3460,7,0),"")</f>
        <v>2.7837</v>
      </c>
      <c r="H4987">
        <f>IFERROR(VLOOKUP($A4987,原始数据_利率互换_FR007_1年!$A$6:$C$4395,2,0),"")</f>
        <v>2.3857</v>
      </c>
      <c r="I4987">
        <f>IFERROR(VLOOKUP($A4987,原始数据_利率互换_FR007_1年!$A$6:$C$4395,3,0),"")</f>
        <v>2.7688</v>
      </c>
    </row>
    <row r="4988" spans="1:9">
      <c r="A4988" s="6">
        <v>44481</v>
      </c>
      <c r="B4988">
        <f>IFERROR(VLOOKUP($A4988,原始数据_收盘!$A$4:$G$3460,2,0),"")</f>
        <v>2.3781</v>
      </c>
      <c r="C4988">
        <f>IFERROR(VLOOKUP($A4988,原始数据_收盘!$A$4:$G$3460,3,0),"")</f>
        <v>2.7729</v>
      </c>
      <c r="D4988">
        <f>IFERROR(VLOOKUP($A4988,原始数据_收盘!$A$4:$G$3460,4,0),"")</f>
        <v>2.3825</v>
      </c>
      <c r="E4988">
        <f>IFERROR(VLOOKUP($A4988,原始数据_收盘!$A$4:$G$3460,5,0),"")</f>
        <v>2.7755</v>
      </c>
      <c r="F4988">
        <f>IFERROR(VLOOKUP($A4988,原始数据_收盘!$A$4:$G$3460,6,0),"")</f>
        <v>2.3803</v>
      </c>
      <c r="G4988">
        <f>IFERROR(VLOOKUP($A4988,原始数据_收盘!$A$4:$G$3460,7,0),"")</f>
        <v>2.7742</v>
      </c>
      <c r="H4988">
        <f>IFERROR(VLOOKUP($A4988,原始数据_利率互换_FR007_1年!$A$6:$C$4395,2,0),"")</f>
        <v>2.3833</v>
      </c>
      <c r="I4988">
        <f>IFERROR(VLOOKUP($A4988,原始数据_利率互换_FR007_1年!$A$6:$C$4395,3,0),"")</f>
        <v>2.779</v>
      </c>
    </row>
    <row r="4989" spans="1:9">
      <c r="A4989" s="6">
        <v>44482</v>
      </c>
      <c r="B4989">
        <f>IFERROR(VLOOKUP($A4989,原始数据_收盘!$A$4:$G$3460,2,0),"")</f>
        <v>2.37</v>
      </c>
      <c r="C4989">
        <f>IFERROR(VLOOKUP($A4989,原始数据_收盘!$A$4:$G$3460,3,0),"")</f>
        <v>2.76</v>
      </c>
      <c r="D4989">
        <f>IFERROR(VLOOKUP($A4989,原始数据_收盘!$A$4:$G$3460,4,0),"")</f>
        <v>2.3725</v>
      </c>
      <c r="E4989">
        <f>IFERROR(VLOOKUP($A4989,原始数据_收盘!$A$4:$G$3460,5,0),"")</f>
        <v>2.7629</v>
      </c>
      <c r="F4989">
        <f>IFERROR(VLOOKUP($A4989,原始数据_收盘!$A$4:$G$3460,6,0),"")</f>
        <v>2.3713</v>
      </c>
      <c r="G4989">
        <f>IFERROR(VLOOKUP($A4989,原始数据_收盘!$A$4:$G$3460,7,0),"")</f>
        <v>2.7615</v>
      </c>
      <c r="H4989">
        <f>IFERROR(VLOOKUP($A4989,原始数据_利率互换_FR007_1年!$A$6:$C$4395,2,0),"")</f>
        <v>2.3784</v>
      </c>
      <c r="I4989">
        <f>IFERROR(VLOOKUP($A4989,原始数据_利率互换_FR007_1年!$A$6:$C$4395,3,0),"")</f>
        <v>2.7716</v>
      </c>
    </row>
    <row r="4990" spans="1:9">
      <c r="A4990" s="6">
        <v>44483</v>
      </c>
      <c r="B4990">
        <f>IFERROR(VLOOKUP($A4990,原始数据_收盘!$A$4:$G$3460,2,0),"")</f>
        <v>2.3725</v>
      </c>
      <c r="C4990">
        <f>IFERROR(VLOOKUP($A4990,原始数据_收盘!$A$4:$G$3460,3,0),"")</f>
        <v>2.7675</v>
      </c>
      <c r="D4990">
        <f>IFERROR(VLOOKUP($A4990,原始数据_收盘!$A$4:$G$3460,4,0),"")</f>
        <v>2.3769</v>
      </c>
      <c r="E4990">
        <f>IFERROR(VLOOKUP($A4990,原始数据_收盘!$A$4:$G$3460,5,0),"")</f>
        <v>2.77</v>
      </c>
      <c r="F4990">
        <f>IFERROR(VLOOKUP($A4990,原始数据_收盘!$A$4:$G$3460,6,0),"")</f>
        <v>2.3747</v>
      </c>
      <c r="G4990">
        <f>IFERROR(VLOOKUP($A4990,原始数据_收盘!$A$4:$G$3460,7,0),"")</f>
        <v>2.7688</v>
      </c>
      <c r="H4990">
        <f>IFERROR(VLOOKUP($A4990,原始数据_利率互换_FR007_1年!$A$6:$C$4395,2,0),"")</f>
        <v>2.3702</v>
      </c>
      <c r="I4990">
        <f>IFERROR(VLOOKUP($A4990,原始数据_利率互换_FR007_1年!$A$6:$C$4395,3,0),"")</f>
        <v>2.7618</v>
      </c>
    </row>
    <row r="4991" spans="1:9">
      <c r="A4991" s="6">
        <v>44484</v>
      </c>
      <c r="B4991">
        <f>IFERROR(VLOOKUP($A4991,原始数据_收盘!$A$4:$G$3460,2,0),"")</f>
        <v>2.375</v>
      </c>
      <c r="C4991">
        <f>IFERROR(VLOOKUP($A4991,原始数据_收盘!$A$4:$G$3460,3,0),"")</f>
        <v>2.775</v>
      </c>
      <c r="D4991">
        <f>IFERROR(VLOOKUP($A4991,原始数据_收盘!$A$4:$G$3460,4,0),"")</f>
        <v>2.38</v>
      </c>
      <c r="E4991">
        <f>IFERROR(VLOOKUP($A4991,原始数据_收盘!$A$4:$G$3460,5,0),"")</f>
        <v>2.7779</v>
      </c>
      <c r="F4991">
        <f>IFERROR(VLOOKUP($A4991,原始数据_收盘!$A$4:$G$3460,6,0),"")</f>
        <v>2.3775</v>
      </c>
      <c r="G4991">
        <f>IFERROR(VLOOKUP($A4991,原始数据_收盘!$A$4:$G$3460,7,0),"")</f>
        <v>2.7765</v>
      </c>
      <c r="H4991">
        <f>IFERROR(VLOOKUP($A4991,原始数据_利率互换_FR007_1年!$A$6:$C$4395,2,0),"")</f>
        <v>2.3779</v>
      </c>
      <c r="I4991">
        <f>IFERROR(VLOOKUP($A4991,原始数据_利率互换_FR007_1年!$A$6:$C$4395,3,0),"")</f>
        <v>2.7757</v>
      </c>
    </row>
    <row r="4992" spans="1:9">
      <c r="A4992" s="6">
        <v>44485</v>
      </c>
      <c r="B4992" t="str">
        <f>IFERROR(VLOOKUP($A4992,原始数据_收盘!$A$4:$G$3460,2,0),"")</f>
        <v/>
      </c>
      <c r="C4992" t="str">
        <f>IFERROR(VLOOKUP($A4992,原始数据_收盘!$A$4:$G$3460,3,0),"")</f>
        <v/>
      </c>
      <c r="D4992" t="str">
        <f>IFERROR(VLOOKUP($A4992,原始数据_收盘!$A$4:$G$3460,4,0),"")</f>
        <v/>
      </c>
      <c r="E4992" t="str">
        <f>IFERROR(VLOOKUP($A4992,原始数据_收盘!$A$4:$G$3460,5,0),"")</f>
        <v/>
      </c>
      <c r="F4992" t="str">
        <f>IFERROR(VLOOKUP($A4992,原始数据_收盘!$A$4:$G$3460,6,0),"")</f>
        <v/>
      </c>
      <c r="G4992" t="str">
        <f>IFERROR(VLOOKUP($A4992,原始数据_收盘!$A$4:$G$3460,7,0),"")</f>
        <v/>
      </c>
      <c r="H4992" t="str">
        <f>IFERROR(VLOOKUP($A4992,原始数据_利率互换_FR007_1年!$A$6:$C$4395,2,0),"")</f>
        <v/>
      </c>
      <c r="I4992" t="str">
        <f>IFERROR(VLOOKUP($A4992,原始数据_利率互换_FR007_1年!$A$6:$C$4395,3,0),"")</f>
        <v/>
      </c>
    </row>
    <row r="4993" spans="1:9">
      <c r="A4993" s="6">
        <v>44486</v>
      </c>
      <c r="B4993" t="str">
        <f>IFERROR(VLOOKUP($A4993,原始数据_收盘!$A$4:$G$3460,2,0),"")</f>
        <v/>
      </c>
      <c r="C4993" t="str">
        <f>IFERROR(VLOOKUP($A4993,原始数据_收盘!$A$4:$G$3460,3,0),"")</f>
        <v/>
      </c>
      <c r="D4993" t="str">
        <f>IFERROR(VLOOKUP($A4993,原始数据_收盘!$A$4:$G$3460,4,0),"")</f>
        <v/>
      </c>
      <c r="E4993" t="str">
        <f>IFERROR(VLOOKUP($A4993,原始数据_收盘!$A$4:$G$3460,5,0),"")</f>
        <v/>
      </c>
      <c r="F4993" t="str">
        <f>IFERROR(VLOOKUP($A4993,原始数据_收盘!$A$4:$G$3460,6,0),"")</f>
        <v/>
      </c>
      <c r="G4993" t="str">
        <f>IFERROR(VLOOKUP($A4993,原始数据_收盘!$A$4:$G$3460,7,0),"")</f>
        <v/>
      </c>
      <c r="H4993" t="str">
        <f>IFERROR(VLOOKUP($A4993,原始数据_利率互换_FR007_1年!$A$6:$C$4395,2,0),"")</f>
        <v/>
      </c>
      <c r="I4993" t="str">
        <f>IFERROR(VLOOKUP($A4993,原始数据_利率互换_FR007_1年!$A$6:$C$4395,3,0),"")</f>
        <v/>
      </c>
    </row>
    <row r="4994" spans="1:9">
      <c r="A4994" s="6">
        <v>44487</v>
      </c>
      <c r="B4994">
        <f>IFERROR(VLOOKUP($A4994,原始数据_收盘!$A$4:$G$3460,2,0),"")</f>
        <v>2.42</v>
      </c>
      <c r="C4994">
        <f>IFERROR(VLOOKUP($A4994,原始数据_收盘!$A$4:$G$3460,3,0),"")</f>
        <v>2.8449</v>
      </c>
      <c r="D4994">
        <f>IFERROR(VLOOKUP($A4994,原始数据_收盘!$A$4:$G$3460,4,0),"")</f>
        <v>2.425</v>
      </c>
      <c r="E4994">
        <f>IFERROR(VLOOKUP($A4994,原始数据_收盘!$A$4:$G$3460,5,0),"")</f>
        <v>2.8481</v>
      </c>
      <c r="F4994">
        <f>IFERROR(VLOOKUP($A4994,原始数据_收盘!$A$4:$G$3460,6,0),"")</f>
        <v>2.4225</v>
      </c>
      <c r="G4994">
        <f>IFERROR(VLOOKUP($A4994,原始数据_收盘!$A$4:$G$3460,7,0),"")</f>
        <v>2.8465</v>
      </c>
      <c r="H4994">
        <f>IFERROR(VLOOKUP($A4994,原始数据_利率互换_FR007_1年!$A$6:$C$4395,2,0),"")</f>
        <v>2.4099</v>
      </c>
      <c r="I4994">
        <f>IFERROR(VLOOKUP($A4994,原始数据_利率互换_FR007_1年!$A$6:$C$4395,3,0),"")</f>
        <v>2.8297</v>
      </c>
    </row>
    <row r="4995" spans="1:9">
      <c r="A4995" s="6">
        <v>44488</v>
      </c>
      <c r="B4995">
        <f>IFERROR(VLOOKUP($A4995,原始数据_收盘!$A$4:$G$3460,2,0),"")</f>
        <v>2.4074</v>
      </c>
      <c r="C4995">
        <f>IFERROR(VLOOKUP($A4995,原始数据_收盘!$A$4:$G$3460,3,0),"")</f>
        <v>2.8175</v>
      </c>
      <c r="D4995">
        <f>IFERROR(VLOOKUP($A4995,原始数据_收盘!$A$4:$G$3460,4,0),"")</f>
        <v>2.4102</v>
      </c>
      <c r="E4995">
        <f>IFERROR(VLOOKUP($A4995,原始数据_收盘!$A$4:$G$3460,5,0),"")</f>
        <v>2.82</v>
      </c>
      <c r="F4995">
        <f>IFERROR(VLOOKUP($A4995,原始数据_收盘!$A$4:$G$3460,6,0),"")</f>
        <v>2.4088</v>
      </c>
      <c r="G4995">
        <f>IFERROR(VLOOKUP($A4995,原始数据_收盘!$A$4:$G$3460,7,0),"")</f>
        <v>2.8188</v>
      </c>
      <c r="H4995">
        <f>IFERROR(VLOOKUP($A4995,原始数据_利率互换_FR007_1年!$A$6:$C$4395,2,0),"")</f>
        <v>2.4325</v>
      </c>
      <c r="I4995">
        <f>IFERROR(VLOOKUP($A4995,原始数据_利率互换_FR007_1年!$A$6:$C$4395,3,0),"")</f>
        <v>2.8378</v>
      </c>
    </row>
    <row r="4996" spans="1:9">
      <c r="A4996" s="6">
        <v>44489</v>
      </c>
      <c r="B4996">
        <f>IFERROR(VLOOKUP($A4996,原始数据_收盘!$A$4:$G$3460,2,0),"")</f>
        <v>2.405</v>
      </c>
      <c r="C4996">
        <f>IFERROR(VLOOKUP($A4996,原始数据_收盘!$A$4:$G$3460,3,0),"")</f>
        <v>2.8247</v>
      </c>
      <c r="D4996">
        <f>IFERROR(VLOOKUP($A4996,原始数据_收盘!$A$4:$G$3460,4,0),"")</f>
        <v>2.41</v>
      </c>
      <c r="E4996">
        <f>IFERROR(VLOOKUP($A4996,原始数据_收盘!$A$4:$G$3460,5,0),"")</f>
        <v>2.8275</v>
      </c>
      <c r="F4996">
        <f>IFERROR(VLOOKUP($A4996,原始数据_收盘!$A$4:$G$3460,6,0),"")</f>
        <v>2.4075</v>
      </c>
      <c r="G4996">
        <f>IFERROR(VLOOKUP($A4996,原始数据_收盘!$A$4:$G$3460,7,0),"")</f>
        <v>2.8261</v>
      </c>
      <c r="H4996">
        <f>IFERROR(VLOOKUP($A4996,原始数据_利率互换_FR007_1年!$A$6:$C$4395,2,0),"")</f>
        <v>2.4041</v>
      </c>
      <c r="I4996">
        <f>IFERROR(VLOOKUP($A4996,原始数据_利率互换_FR007_1年!$A$6:$C$4395,3,0),"")</f>
        <v>2.8178</v>
      </c>
    </row>
    <row r="4997" spans="1:9">
      <c r="A4997" s="6">
        <v>44490</v>
      </c>
      <c r="B4997">
        <f>IFERROR(VLOOKUP($A4997,原始数据_收盘!$A$4:$G$3460,2,0),"")</f>
        <v>2.3844</v>
      </c>
      <c r="C4997">
        <f>IFERROR(VLOOKUP($A4997,原始数据_收盘!$A$4:$G$3460,3,0),"")</f>
        <v>2.7947</v>
      </c>
      <c r="D4997">
        <f>IFERROR(VLOOKUP($A4997,原始数据_收盘!$A$4:$G$3460,4,0),"")</f>
        <v>2.3869</v>
      </c>
      <c r="E4997">
        <f>IFERROR(VLOOKUP($A4997,原始数据_收盘!$A$4:$G$3460,5,0),"")</f>
        <v>2.7975</v>
      </c>
      <c r="F4997">
        <f>IFERROR(VLOOKUP($A4997,原始数据_收盘!$A$4:$G$3460,6,0),"")</f>
        <v>2.3856</v>
      </c>
      <c r="G4997">
        <f>IFERROR(VLOOKUP($A4997,原始数据_收盘!$A$4:$G$3460,7,0),"")</f>
        <v>2.7961</v>
      </c>
      <c r="H4997">
        <f>IFERROR(VLOOKUP($A4997,原始数据_利率互换_FR007_1年!$A$6:$C$4395,2,0),"")</f>
        <v>2.3873</v>
      </c>
      <c r="I4997">
        <f>IFERROR(VLOOKUP($A4997,原始数据_利率互换_FR007_1年!$A$6:$C$4395,3,0),"")</f>
        <v>2.8008</v>
      </c>
    </row>
    <row r="4998" spans="1:9">
      <c r="A4998" s="6">
        <v>44491</v>
      </c>
      <c r="B4998">
        <f>IFERROR(VLOOKUP($A4998,原始数据_收盘!$A$4:$G$3460,2,0),"")</f>
        <v>2.39</v>
      </c>
      <c r="C4998">
        <f>IFERROR(VLOOKUP($A4998,原始数据_收盘!$A$4:$G$3460,3,0),"")</f>
        <v>2.815</v>
      </c>
      <c r="D4998">
        <f>IFERROR(VLOOKUP($A4998,原始数据_收盘!$A$4:$G$3460,4,0),"")</f>
        <v>2.395</v>
      </c>
      <c r="E4998">
        <f>IFERROR(VLOOKUP($A4998,原始数据_收盘!$A$4:$G$3460,5,0),"")</f>
        <v>2.8175</v>
      </c>
      <c r="F4998">
        <f>IFERROR(VLOOKUP($A4998,原始数据_收盘!$A$4:$G$3460,6,0),"")</f>
        <v>2.3925</v>
      </c>
      <c r="G4998">
        <f>IFERROR(VLOOKUP($A4998,原始数据_收盘!$A$4:$G$3460,7,0),"")</f>
        <v>2.8163</v>
      </c>
      <c r="H4998">
        <f>IFERROR(VLOOKUP($A4998,原始数据_利率互换_FR007_1年!$A$6:$C$4395,2,0),"")</f>
        <v>2.3838</v>
      </c>
      <c r="I4998">
        <f>IFERROR(VLOOKUP($A4998,原始数据_利率互换_FR007_1年!$A$6:$C$4395,3,0),"")</f>
        <v>2.8066</v>
      </c>
    </row>
    <row r="4999" spans="1:9">
      <c r="A4999" s="6">
        <v>44492</v>
      </c>
      <c r="B4999" t="str">
        <f>IFERROR(VLOOKUP($A4999,原始数据_收盘!$A$4:$G$3460,2,0),"")</f>
        <v/>
      </c>
      <c r="C4999" t="str">
        <f>IFERROR(VLOOKUP($A4999,原始数据_收盘!$A$4:$G$3460,3,0),"")</f>
        <v/>
      </c>
      <c r="D4999" t="str">
        <f>IFERROR(VLOOKUP($A4999,原始数据_收盘!$A$4:$G$3460,4,0),"")</f>
        <v/>
      </c>
      <c r="E4999" t="str">
        <f>IFERROR(VLOOKUP($A4999,原始数据_收盘!$A$4:$G$3460,5,0),"")</f>
        <v/>
      </c>
      <c r="F4999" t="str">
        <f>IFERROR(VLOOKUP($A4999,原始数据_收盘!$A$4:$G$3460,6,0),"")</f>
        <v/>
      </c>
      <c r="G4999" t="str">
        <f>IFERROR(VLOOKUP($A4999,原始数据_收盘!$A$4:$G$3460,7,0),"")</f>
        <v/>
      </c>
      <c r="H4999" t="str">
        <f>IFERROR(VLOOKUP($A4999,原始数据_利率互换_FR007_1年!$A$6:$C$4395,2,0),"")</f>
        <v/>
      </c>
      <c r="I4999" t="str">
        <f>IFERROR(VLOOKUP($A4999,原始数据_利率互换_FR007_1年!$A$6:$C$4395,3,0),"")</f>
        <v/>
      </c>
    </row>
    <row r="5000" spans="1:9">
      <c r="A5000" s="6">
        <v>44493</v>
      </c>
      <c r="B5000" t="str">
        <f>IFERROR(VLOOKUP($A5000,原始数据_收盘!$A$4:$G$3460,2,0),"")</f>
        <v/>
      </c>
      <c r="C5000" t="str">
        <f>IFERROR(VLOOKUP($A5000,原始数据_收盘!$A$4:$G$3460,3,0),"")</f>
        <v/>
      </c>
      <c r="D5000" t="str">
        <f>IFERROR(VLOOKUP($A5000,原始数据_收盘!$A$4:$G$3460,4,0),"")</f>
        <v/>
      </c>
      <c r="E5000" t="str">
        <f>IFERROR(VLOOKUP($A5000,原始数据_收盘!$A$4:$G$3460,5,0),"")</f>
        <v/>
      </c>
      <c r="F5000" t="str">
        <f>IFERROR(VLOOKUP($A5000,原始数据_收盘!$A$4:$G$3460,6,0),"")</f>
        <v/>
      </c>
      <c r="G5000" t="str">
        <f>IFERROR(VLOOKUP($A5000,原始数据_收盘!$A$4:$G$3460,7,0),"")</f>
        <v/>
      </c>
      <c r="H5000" t="str">
        <f>IFERROR(VLOOKUP($A5000,原始数据_利率互换_FR007_1年!$A$6:$C$4395,2,0),"")</f>
        <v/>
      </c>
      <c r="I5000" t="str">
        <f>IFERROR(VLOOKUP($A5000,原始数据_利率互换_FR007_1年!$A$6:$C$4395,3,0),"")</f>
        <v/>
      </c>
    </row>
    <row r="5001" spans="1:9">
      <c r="A5001" s="6">
        <v>44494</v>
      </c>
      <c r="B5001">
        <f>IFERROR(VLOOKUP($A5001,原始数据_收盘!$A$4:$G$3460,2,0),"")</f>
        <v>2.395</v>
      </c>
      <c r="C5001">
        <f>IFERROR(VLOOKUP($A5001,原始数据_收盘!$A$4:$G$3460,3,0),"")</f>
        <v>2.8175</v>
      </c>
      <c r="D5001">
        <f>IFERROR(VLOOKUP($A5001,原始数据_收盘!$A$4:$G$3460,4,0),"")</f>
        <v>2.4</v>
      </c>
      <c r="E5001">
        <f>IFERROR(VLOOKUP($A5001,原始数据_收盘!$A$4:$G$3460,5,0),"")</f>
        <v>2.82</v>
      </c>
      <c r="F5001">
        <f>IFERROR(VLOOKUP($A5001,原始数据_收盘!$A$4:$G$3460,6,0),"")</f>
        <v>2.3975</v>
      </c>
      <c r="G5001">
        <f>IFERROR(VLOOKUP($A5001,原始数据_收盘!$A$4:$G$3460,7,0),"")</f>
        <v>2.8188</v>
      </c>
      <c r="H5001">
        <f>IFERROR(VLOOKUP($A5001,原始数据_利率互换_FR007_1年!$A$6:$C$4395,2,0),"")</f>
        <v>2.3941</v>
      </c>
      <c r="I5001">
        <f>IFERROR(VLOOKUP($A5001,原始数据_利率互换_FR007_1年!$A$6:$C$4395,3,0),"")</f>
        <v>2.8133</v>
      </c>
    </row>
    <row r="5002" spans="1:9">
      <c r="A5002" s="6">
        <v>44495</v>
      </c>
      <c r="B5002">
        <f>IFERROR(VLOOKUP($A5002,原始数据_收盘!$A$4:$G$3460,2,0),"")</f>
        <v>2.3875</v>
      </c>
      <c r="C5002">
        <f>IFERROR(VLOOKUP($A5002,原始数据_收盘!$A$4:$G$3460,3,0),"")</f>
        <v>2.8025</v>
      </c>
      <c r="D5002">
        <f>IFERROR(VLOOKUP($A5002,原始数据_收盘!$A$4:$G$3460,4,0),"")</f>
        <v>2.39</v>
      </c>
      <c r="E5002">
        <f>IFERROR(VLOOKUP($A5002,原始数据_收盘!$A$4:$G$3460,5,0),"")</f>
        <v>2.805</v>
      </c>
      <c r="F5002">
        <f>IFERROR(VLOOKUP($A5002,原始数据_收盘!$A$4:$G$3460,6,0),"")</f>
        <v>2.3888</v>
      </c>
      <c r="G5002">
        <f>IFERROR(VLOOKUP($A5002,原始数据_收盘!$A$4:$G$3460,7,0),"")</f>
        <v>2.8038</v>
      </c>
      <c r="H5002">
        <f>IFERROR(VLOOKUP($A5002,原始数据_利率互换_FR007_1年!$A$6:$C$4395,2,0),"")</f>
        <v>2.3896</v>
      </c>
      <c r="I5002">
        <f>IFERROR(VLOOKUP($A5002,原始数据_利率互换_FR007_1年!$A$6:$C$4395,3,0),"")</f>
        <v>2.7995</v>
      </c>
    </row>
    <row r="5003" spans="1:9">
      <c r="A5003" s="6">
        <v>44496</v>
      </c>
      <c r="B5003">
        <f>IFERROR(VLOOKUP($A5003,原始数据_收盘!$A$4:$G$3460,2,0),"")</f>
        <v>2.4</v>
      </c>
      <c r="C5003">
        <f>IFERROR(VLOOKUP($A5003,原始数据_收盘!$A$4:$G$3460,3,0),"")</f>
        <v>2.817</v>
      </c>
      <c r="D5003">
        <f>IFERROR(VLOOKUP($A5003,原始数据_收盘!$A$4:$G$3460,4,0),"")</f>
        <v>2.4066</v>
      </c>
      <c r="E5003">
        <f>IFERROR(VLOOKUP($A5003,原始数据_收盘!$A$4:$G$3460,5,0),"")</f>
        <v>2.8195</v>
      </c>
      <c r="F5003">
        <f>IFERROR(VLOOKUP($A5003,原始数据_收盘!$A$4:$G$3460,6,0),"")</f>
        <v>2.4033</v>
      </c>
      <c r="G5003">
        <f>IFERROR(VLOOKUP($A5003,原始数据_收盘!$A$4:$G$3460,7,0),"")</f>
        <v>2.8182</v>
      </c>
      <c r="H5003">
        <f>IFERROR(VLOOKUP($A5003,原始数据_利率互换_FR007_1年!$A$6:$C$4395,2,0),"")</f>
        <v>2.3942</v>
      </c>
      <c r="I5003">
        <f>IFERROR(VLOOKUP($A5003,原始数据_利率互换_FR007_1年!$A$6:$C$4395,3,0),"")</f>
        <v>2.8089</v>
      </c>
    </row>
    <row r="5004" spans="1:9">
      <c r="A5004" s="6">
        <v>44497</v>
      </c>
      <c r="B5004">
        <f>IFERROR(VLOOKUP($A5004,原始数据_收盘!$A$4:$G$3460,2,0),"")</f>
        <v>2.3867</v>
      </c>
      <c r="C5004">
        <f>IFERROR(VLOOKUP($A5004,原始数据_收盘!$A$4:$G$3460,3,0),"")</f>
        <v>2.795</v>
      </c>
      <c r="D5004">
        <f>IFERROR(VLOOKUP($A5004,原始数据_收盘!$A$4:$G$3460,4,0),"")</f>
        <v>2.39</v>
      </c>
      <c r="E5004">
        <f>IFERROR(VLOOKUP($A5004,原始数据_收盘!$A$4:$G$3460,5,0),"")</f>
        <v>2.7975</v>
      </c>
      <c r="F5004">
        <f>IFERROR(VLOOKUP($A5004,原始数据_收盘!$A$4:$G$3460,6,0),"")</f>
        <v>2.3884</v>
      </c>
      <c r="G5004">
        <f>IFERROR(VLOOKUP($A5004,原始数据_收盘!$A$4:$G$3460,7,0),"")</f>
        <v>2.7963</v>
      </c>
      <c r="H5004">
        <f>IFERROR(VLOOKUP($A5004,原始数据_利率互换_FR007_1年!$A$6:$C$4395,2,0),"")</f>
        <v>2.3959</v>
      </c>
      <c r="I5004">
        <f>IFERROR(VLOOKUP($A5004,原始数据_利率互换_FR007_1年!$A$6:$C$4395,3,0),"")</f>
        <v>2.8075</v>
      </c>
    </row>
    <row r="5005" spans="1:9">
      <c r="A5005" s="6">
        <v>44498</v>
      </c>
      <c r="B5005">
        <f>IFERROR(VLOOKUP($A5005,原始数据_收盘!$A$4:$G$3460,2,0),"")</f>
        <v>2.39</v>
      </c>
      <c r="C5005">
        <f>IFERROR(VLOOKUP($A5005,原始数据_收盘!$A$4:$G$3460,3,0),"")</f>
        <v>2.8</v>
      </c>
      <c r="D5005">
        <f>IFERROR(VLOOKUP($A5005,原始数据_收盘!$A$4:$G$3460,4,0),"")</f>
        <v>2.395</v>
      </c>
      <c r="E5005">
        <f>IFERROR(VLOOKUP($A5005,原始数据_收盘!$A$4:$G$3460,5,0),"")</f>
        <v>2.8026</v>
      </c>
      <c r="F5005">
        <f>IFERROR(VLOOKUP($A5005,原始数据_收盘!$A$4:$G$3460,6,0),"")</f>
        <v>2.3925</v>
      </c>
      <c r="G5005">
        <f>IFERROR(VLOOKUP($A5005,原始数据_收盘!$A$4:$G$3460,7,0),"")</f>
        <v>2.8013</v>
      </c>
      <c r="H5005">
        <f>IFERROR(VLOOKUP($A5005,原始数据_利率互换_FR007_1年!$A$6:$C$4395,2,0),"")</f>
        <v>2.3914</v>
      </c>
      <c r="I5005">
        <f>IFERROR(VLOOKUP($A5005,原始数据_利率互换_FR007_1年!$A$6:$C$4395,3,0),"")</f>
        <v>2.8003</v>
      </c>
    </row>
    <row r="5006" spans="1:9">
      <c r="A5006" s="6">
        <v>44499</v>
      </c>
      <c r="B5006" t="str">
        <f>IFERROR(VLOOKUP($A5006,原始数据_收盘!$A$4:$G$3460,2,0),"")</f>
        <v/>
      </c>
      <c r="C5006" t="str">
        <f>IFERROR(VLOOKUP($A5006,原始数据_收盘!$A$4:$G$3460,3,0),"")</f>
        <v/>
      </c>
      <c r="D5006" t="str">
        <f>IFERROR(VLOOKUP($A5006,原始数据_收盘!$A$4:$G$3460,4,0),"")</f>
        <v/>
      </c>
      <c r="E5006" t="str">
        <f>IFERROR(VLOOKUP($A5006,原始数据_收盘!$A$4:$G$3460,5,0),"")</f>
        <v/>
      </c>
      <c r="F5006" t="str">
        <f>IFERROR(VLOOKUP($A5006,原始数据_收盘!$A$4:$G$3460,6,0),"")</f>
        <v/>
      </c>
      <c r="G5006" t="str">
        <f>IFERROR(VLOOKUP($A5006,原始数据_收盘!$A$4:$G$3460,7,0),"")</f>
        <v/>
      </c>
      <c r="H5006" t="str">
        <f>IFERROR(VLOOKUP($A5006,原始数据_利率互换_FR007_1年!$A$6:$C$4395,2,0),"")</f>
        <v/>
      </c>
      <c r="I5006" t="str">
        <f>IFERROR(VLOOKUP($A5006,原始数据_利率互换_FR007_1年!$A$6:$C$4395,3,0),"")</f>
        <v/>
      </c>
    </row>
    <row r="5007" spans="1:9">
      <c r="A5007" s="6">
        <v>44500</v>
      </c>
      <c r="B5007" t="str">
        <f>IFERROR(VLOOKUP($A5007,原始数据_收盘!$A$4:$G$3460,2,0),"")</f>
        <v/>
      </c>
      <c r="C5007" t="str">
        <f>IFERROR(VLOOKUP($A5007,原始数据_收盘!$A$4:$G$3460,3,0),"")</f>
        <v/>
      </c>
      <c r="D5007" t="str">
        <f>IFERROR(VLOOKUP($A5007,原始数据_收盘!$A$4:$G$3460,4,0),"")</f>
        <v/>
      </c>
      <c r="E5007" t="str">
        <f>IFERROR(VLOOKUP($A5007,原始数据_收盘!$A$4:$G$3460,5,0),"")</f>
        <v/>
      </c>
      <c r="F5007" t="str">
        <f>IFERROR(VLOOKUP($A5007,原始数据_收盘!$A$4:$G$3460,6,0),"")</f>
        <v/>
      </c>
      <c r="G5007" t="str">
        <f>IFERROR(VLOOKUP($A5007,原始数据_收盘!$A$4:$G$3460,7,0),"")</f>
        <v/>
      </c>
      <c r="H5007" t="str">
        <f>IFERROR(VLOOKUP($A5007,原始数据_利率互换_FR007_1年!$A$6:$C$4395,2,0),"")</f>
        <v/>
      </c>
      <c r="I5007" t="str">
        <f>IFERROR(VLOOKUP($A5007,原始数据_利率互换_FR007_1年!$A$6:$C$4395,3,0),"")</f>
        <v/>
      </c>
    </row>
    <row r="5008" spans="1:9">
      <c r="A5008" s="6">
        <v>44501</v>
      </c>
      <c r="B5008">
        <f>IFERROR(VLOOKUP($A5008,原始数据_收盘!$A$4:$G$3460,2,0),"")</f>
        <v>2.37</v>
      </c>
      <c r="C5008">
        <f>IFERROR(VLOOKUP($A5008,原始数据_收盘!$A$4:$G$3460,3,0),"")</f>
        <v>2.7714</v>
      </c>
      <c r="D5008">
        <f>IFERROR(VLOOKUP($A5008,原始数据_收盘!$A$4:$G$3460,4,0),"")</f>
        <v>2.375</v>
      </c>
      <c r="E5008">
        <f>IFERROR(VLOOKUP($A5008,原始数据_收盘!$A$4:$G$3460,5,0),"")</f>
        <v>2.7739</v>
      </c>
      <c r="F5008">
        <f>IFERROR(VLOOKUP($A5008,原始数据_收盘!$A$4:$G$3460,6,0),"")</f>
        <v>2.3725</v>
      </c>
      <c r="G5008">
        <f>IFERROR(VLOOKUP($A5008,原始数据_收盘!$A$4:$G$3460,7,0),"")</f>
        <v>2.7727</v>
      </c>
      <c r="H5008">
        <f>IFERROR(VLOOKUP($A5008,原始数据_利率互换_FR007_1年!$A$6:$C$4395,2,0),"")</f>
        <v>2.3789</v>
      </c>
      <c r="I5008">
        <f>IFERROR(VLOOKUP($A5008,原始数据_利率互换_FR007_1年!$A$6:$C$4395,3,0),"")</f>
        <v>2.7876</v>
      </c>
    </row>
    <row r="5009" spans="1:9">
      <c r="A5009" s="6">
        <v>44502</v>
      </c>
      <c r="B5009">
        <f>IFERROR(VLOOKUP($A5009,原始数据_收盘!$A$4:$G$3460,2,0),"")</f>
        <v>2.365</v>
      </c>
      <c r="C5009">
        <f>IFERROR(VLOOKUP($A5009,原始数据_收盘!$A$4:$G$3460,3,0),"")</f>
        <v>2.755</v>
      </c>
      <c r="D5009">
        <f>IFERROR(VLOOKUP($A5009,原始数据_收盘!$A$4:$G$3460,4,0),"")</f>
        <v>2.3675</v>
      </c>
      <c r="E5009">
        <f>IFERROR(VLOOKUP($A5009,原始数据_收盘!$A$4:$G$3460,5,0),"")</f>
        <v>2.7576</v>
      </c>
      <c r="F5009">
        <f>IFERROR(VLOOKUP($A5009,原始数据_收盘!$A$4:$G$3460,6,0),"")</f>
        <v>2.3663</v>
      </c>
      <c r="G5009">
        <f>IFERROR(VLOOKUP($A5009,原始数据_收盘!$A$4:$G$3460,7,0),"")</f>
        <v>2.7563</v>
      </c>
      <c r="H5009">
        <f>IFERROR(VLOOKUP($A5009,原始数据_利率互换_FR007_1年!$A$6:$C$4395,2,0),"")</f>
        <v>2.3734</v>
      </c>
      <c r="I5009">
        <f>IFERROR(VLOOKUP($A5009,原始数据_利率互换_FR007_1年!$A$6:$C$4395,3,0),"")</f>
        <v>2.7691</v>
      </c>
    </row>
    <row r="5010" spans="1:9">
      <c r="A5010" s="6">
        <v>44503</v>
      </c>
      <c r="B5010">
        <f>IFERROR(VLOOKUP($A5010,原始数据_收盘!$A$4:$G$3460,2,0),"")</f>
        <v>2.365</v>
      </c>
      <c r="C5010">
        <f>IFERROR(VLOOKUP($A5010,原始数据_收盘!$A$4:$G$3460,3,0),"")</f>
        <v>2.77</v>
      </c>
      <c r="D5010">
        <f>IFERROR(VLOOKUP($A5010,原始数据_收盘!$A$4:$G$3460,4,0),"")</f>
        <v>2.37</v>
      </c>
      <c r="E5010">
        <f>IFERROR(VLOOKUP($A5010,原始数据_收盘!$A$4:$G$3460,5,0),"")</f>
        <v>2.7725</v>
      </c>
      <c r="F5010">
        <f>IFERROR(VLOOKUP($A5010,原始数据_收盘!$A$4:$G$3460,6,0),"")</f>
        <v>2.3675</v>
      </c>
      <c r="G5010">
        <f>IFERROR(VLOOKUP($A5010,原始数据_收盘!$A$4:$G$3460,7,0),"")</f>
        <v>2.7713</v>
      </c>
      <c r="H5010">
        <f>IFERROR(VLOOKUP($A5010,原始数据_利率互换_FR007_1年!$A$6:$C$4395,2,0),"")</f>
        <v>2.36</v>
      </c>
      <c r="I5010">
        <f>IFERROR(VLOOKUP($A5010,原始数据_利率互换_FR007_1年!$A$6:$C$4395,3,0),"")</f>
        <v>2.7583</v>
      </c>
    </row>
    <row r="5011" spans="1:9">
      <c r="A5011" s="6">
        <v>44504</v>
      </c>
      <c r="B5011">
        <f>IFERROR(VLOOKUP($A5011,原始数据_收盘!$A$4:$G$3460,2,0),"")</f>
        <v>2.35</v>
      </c>
      <c r="C5011">
        <f>IFERROR(VLOOKUP($A5011,原始数据_收盘!$A$4:$G$3460,3,0),"")</f>
        <v>2.7458</v>
      </c>
      <c r="D5011">
        <f>IFERROR(VLOOKUP($A5011,原始数据_收盘!$A$4:$G$3460,4,0),"")</f>
        <v>2.3537</v>
      </c>
      <c r="E5011">
        <f>IFERROR(VLOOKUP($A5011,原始数据_收盘!$A$4:$G$3460,5,0),"")</f>
        <v>2.7486</v>
      </c>
      <c r="F5011">
        <f>IFERROR(VLOOKUP($A5011,原始数据_收盘!$A$4:$G$3460,6,0),"")</f>
        <v>2.3518</v>
      </c>
      <c r="G5011">
        <f>IFERROR(VLOOKUP($A5011,原始数据_收盘!$A$4:$G$3460,7,0),"")</f>
        <v>2.7472</v>
      </c>
      <c r="H5011">
        <f>IFERROR(VLOOKUP($A5011,原始数据_利率互换_FR007_1年!$A$6:$C$4395,2,0),"")</f>
        <v>2.3562</v>
      </c>
      <c r="I5011">
        <f>IFERROR(VLOOKUP($A5011,原始数据_利率互换_FR007_1年!$A$6:$C$4395,3,0),"")</f>
        <v>2.7571</v>
      </c>
    </row>
    <row r="5012" spans="1:9">
      <c r="A5012" s="6">
        <v>44505</v>
      </c>
      <c r="B5012">
        <f>IFERROR(VLOOKUP($A5012,原始数据_收盘!$A$4:$G$3460,2,0),"")</f>
        <v>2.32</v>
      </c>
      <c r="C5012">
        <f>IFERROR(VLOOKUP($A5012,原始数据_收盘!$A$4:$G$3460,3,0),"")</f>
        <v>2.6992</v>
      </c>
      <c r="D5012">
        <f>IFERROR(VLOOKUP($A5012,原始数据_收盘!$A$4:$G$3460,4,0),"")</f>
        <v>2.325</v>
      </c>
      <c r="E5012">
        <f>IFERROR(VLOOKUP($A5012,原始数据_收盘!$A$4:$G$3460,5,0),"")</f>
        <v>2.7025</v>
      </c>
      <c r="F5012">
        <f>IFERROR(VLOOKUP($A5012,原始数据_收盘!$A$4:$G$3460,6,0),"")</f>
        <v>2.3225</v>
      </c>
      <c r="G5012">
        <f>IFERROR(VLOOKUP($A5012,原始数据_收盘!$A$4:$G$3460,7,0),"")</f>
        <v>2.7008</v>
      </c>
      <c r="H5012">
        <f>IFERROR(VLOOKUP($A5012,原始数据_利率互换_FR007_1年!$A$6:$C$4395,2,0),"")</f>
        <v>2.3239</v>
      </c>
      <c r="I5012">
        <f>IFERROR(VLOOKUP($A5012,原始数据_利率互换_FR007_1年!$A$6:$C$4395,3,0),"")</f>
        <v>2.7113</v>
      </c>
    </row>
    <row r="5013" spans="1:9">
      <c r="A5013" s="6">
        <v>44506</v>
      </c>
      <c r="B5013" t="str">
        <f>IFERROR(VLOOKUP($A5013,原始数据_收盘!$A$4:$G$3460,2,0),"")</f>
        <v/>
      </c>
      <c r="C5013" t="str">
        <f>IFERROR(VLOOKUP($A5013,原始数据_收盘!$A$4:$G$3460,3,0),"")</f>
        <v/>
      </c>
      <c r="D5013" t="str">
        <f>IFERROR(VLOOKUP($A5013,原始数据_收盘!$A$4:$G$3460,4,0),"")</f>
        <v/>
      </c>
      <c r="E5013" t="str">
        <f>IFERROR(VLOOKUP($A5013,原始数据_收盘!$A$4:$G$3460,5,0),"")</f>
        <v/>
      </c>
      <c r="F5013" t="str">
        <f>IFERROR(VLOOKUP($A5013,原始数据_收盘!$A$4:$G$3460,6,0),"")</f>
        <v/>
      </c>
      <c r="G5013" t="str">
        <f>IFERROR(VLOOKUP($A5013,原始数据_收盘!$A$4:$G$3460,7,0),"")</f>
        <v/>
      </c>
      <c r="H5013" t="str">
        <f>IFERROR(VLOOKUP($A5013,原始数据_利率互换_FR007_1年!$A$6:$C$4395,2,0),"")</f>
        <v/>
      </c>
      <c r="I5013" t="str">
        <f>IFERROR(VLOOKUP($A5013,原始数据_利率互换_FR007_1年!$A$6:$C$4395,3,0),"")</f>
        <v/>
      </c>
    </row>
    <row r="5014" spans="1:9">
      <c r="A5014" s="6">
        <v>44507</v>
      </c>
      <c r="B5014" t="str">
        <f>IFERROR(VLOOKUP($A5014,原始数据_收盘!$A$4:$G$3460,2,0),"")</f>
        <v/>
      </c>
      <c r="C5014" t="str">
        <f>IFERROR(VLOOKUP($A5014,原始数据_收盘!$A$4:$G$3460,3,0),"")</f>
        <v/>
      </c>
      <c r="D5014" t="str">
        <f>IFERROR(VLOOKUP($A5014,原始数据_收盘!$A$4:$G$3460,4,0),"")</f>
        <v/>
      </c>
      <c r="E5014" t="str">
        <f>IFERROR(VLOOKUP($A5014,原始数据_收盘!$A$4:$G$3460,5,0),"")</f>
        <v/>
      </c>
      <c r="F5014" t="str">
        <f>IFERROR(VLOOKUP($A5014,原始数据_收盘!$A$4:$G$3460,6,0),"")</f>
        <v/>
      </c>
      <c r="G5014" t="str">
        <f>IFERROR(VLOOKUP($A5014,原始数据_收盘!$A$4:$G$3460,7,0),"")</f>
        <v/>
      </c>
      <c r="H5014" t="str">
        <f>IFERROR(VLOOKUP($A5014,原始数据_利率互换_FR007_1年!$A$6:$C$4395,2,0),"")</f>
        <v/>
      </c>
      <c r="I5014" t="str">
        <f>IFERROR(VLOOKUP($A5014,原始数据_利率互换_FR007_1年!$A$6:$C$4395,3,0),"")</f>
        <v/>
      </c>
    </row>
    <row r="5015" spans="1:9">
      <c r="A5015" s="6">
        <v>44508</v>
      </c>
      <c r="B5015">
        <f>IFERROR(VLOOKUP($A5015,原始数据_收盘!$A$4:$G$3460,2,0),"")</f>
        <v>2.3204</v>
      </c>
      <c r="C5015">
        <f>IFERROR(VLOOKUP($A5015,原始数据_收盘!$A$4:$G$3460,3,0),"")</f>
        <v>2.7049</v>
      </c>
      <c r="D5015">
        <f>IFERROR(VLOOKUP($A5015,原始数据_收盘!$A$4:$G$3460,4,0),"")</f>
        <v>2.3235</v>
      </c>
      <c r="E5015">
        <f>IFERROR(VLOOKUP($A5015,原始数据_收盘!$A$4:$G$3460,5,0),"")</f>
        <v>2.7075</v>
      </c>
      <c r="F5015">
        <f>IFERROR(VLOOKUP($A5015,原始数据_收盘!$A$4:$G$3460,6,0),"")</f>
        <v>2.322</v>
      </c>
      <c r="G5015">
        <f>IFERROR(VLOOKUP($A5015,原始数据_收盘!$A$4:$G$3460,7,0),"")</f>
        <v>2.7062</v>
      </c>
      <c r="H5015">
        <f>IFERROR(VLOOKUP($A5015,原始数据_利率互换_FR007_1年!$A$6:$C$4395,2,0),"")</f>
        <v>2.3213</v>
      </c>
      <c r="I5015">
        <f>IFERROR(VLOOKUP($A5015,原始数据_利率互换_FR007_1年!$A$6:$C$4395,3,0),"")</f>
        <v>2.7029</v>
      </c>
    </row>
    <row r="5016" spans="1:9">
      <c r="A5016" s="6">
        <v>44509</v>
      </c>
      <c r="B5016">
        <f>IFERROR(VLOOKUP($A5016,原始数据_收盘!$A$4:$G$3460,2,0),"")</f>
        <v>2.3124</v>
      </c>
      <c r="C5016">
        <f>IFERROR(VLOOKUP($A5016,原始数据_收盘!$A$4:$G$3460,3,0),"")</f>
        <v>2.6972</v>
      </c>
      <c r="D5016">
        <f>IFERROR(VLOOKUP($A5016,原始数据_收盘!$A$4:$G$3460,4,0),"")</f>
        <v>2.3177</v>
      </c>
      <c r="E5016">
        <f>IFERROR(VLOOKUP($A5016,原始数据_收盘!$A$4:$G$3460,5,0),"")</f>
        <v>2.6993</v>
      </c>
      <c r="F5016">
        <f>IFERROR(VLOOKUP($A5016,原始数据_收盘!$A$4:$G$3460,6,0),"")</f>
        <v>2.3151</v>
      </c>
      <c r="G5016">
        <f>IFERROR(VLOOKUP($A5016,原始数据_收盘!$A$4:$G$3460,7,0),"")</f>
        <v>2.6982</v>
      </c>
      <c r="H5016">
        <f>IFERROR(VLOOKUP($A5016,原始数据_利率互换_FR007_1年!$A$6:$C$4395,2,0),"")</f>
        <v>2.3224</v>
      </c>
      <c r="I5016">
        <f>IFERROR(VLOOKUP($A5016,原始数据_利率互换_FR007_1年!$A$6:$C$4395,3,0),"")</f>
        <v>2.7138</v>
      </c>
    </row>
    <row r="5017" spans="1:9">
      <c r="A5017" s="6">
        <v>44510</v>
      </c>
      <c r="B5017">
        <f>IFERROR(VLOOKUP($A5017,原始数据_收盘!$A$4:$G$3460,2,0),"")</f>
        <v>2.32</v>
      </c>
      <c r="C5017">
        <f>IFERROR(VLOOKUP($A5017,原始数据_收盘!$A$4:$G$3460,3,0),"")</f>
        <v>2.7125</v>
      </c>
      <c r="D5017">
        <f>IFERROR(VLOOKUP($A5017,原始数据_收盘!$A$4:$G$3460,4,0),"")</f>
        <v>2.3275</v>
      </c>
      <c r="E5017">
        <f>IFERROR(VLOOKUP($A5017,原始数据_收盘!$A$4:$G$3460,5,0),"")</f>
        <v>2.715</v>
      </c>
      <c r="F5017">
        <f>IFERROR(VLOOKUP($A5017,原始数据_收盘!$A$4:$G$3460,6,0),"")</f>
        <v>2.3238</v>
      </c>
      <c r="G5017">
        <f>IFERROR(VLOOKUP($A5017,原始数据_收盘!$A$4:$G$3460,7,0),"")</f>
        <v>2.7138</v>
      </c>
      <c r="H5017">
        <f>IFERROR(VLOOKUP($A5017,原始数据_利率互换_FR007_1年!$A$6:$C$4395,2,0),"")</f>
        <v>2.312</v>
      </c>
      <c r="I5017">
        <f>IFERROR(VLOOKUP($A5017,原始数据_利率互换_FR007_1年!$A$6:$C$4395,3,0),"")</f>
        <v>2.6996</v>
      </c>
    </row>
    <row r="5018" spans="1:9">
      <c r="A5018" s="6">
        <v>44511</v>
      </c>
      <c r="B5018">
        <f>IFERROR(VLOOKUP($A5018,原始数据_收盘!$A$4:$G$3460,2,0),"")</f>
        <v>2.3317</v>
      </c>
      <c r="C5018">
        <f>IFERROR(VLOOKUP($A5018,原始数据_收盘!$A$4:$G$3460,3,0),"")</f>
        <v>2.725</v>
      </c>
      <c r="D5018">
        <f>IFERROR(VLOOKUP($A5018,原始数据_收盘!$A$4:$G$3460,4,0),"")</f>
        <v>2.335</v>
      </c>
      <c r="E5018">
        <f>IFERROR(VLOOKUP($A5018,原始数据_收盘!$A$4:$G$3460,5,0),"")</f>
        <v>2.7275</v>
      </c>
      <c r="F5018">
        <f>IFERROR(VLOOKUP($A5018,原始数据_收盘!$A$4:$G$3460,6,0),"")</f>
        <v>2.3333</v>
      </c>
      <c r="G5018">
        <f>IFERROR(VLOOKUP($A5018,原始数据_收盘!$A$4:$G$3460,7,0),"")</f>
        <v>2.7263</v>
      </c>
      <c r="H5018">
        <f>IFERROR(VLOOKUP($A5018,原始数据_利率互换_FR007_1年!$A$6:$C$4395,2,0),"")</f>
        <v>2.333</v>
      </c>
      <c r="I5018">
        <f>IFERROR(VLOOKUP($A5018,原始数据_利率互换_FR007_1年!$A$6:$C$4395,3,0),"")</f>
        <v>2.7263</v>
      </c>
    </row>
    <row r="5019" spans="1:9">
      <c r="A5019" s="6">
        <v>44512</v>
      </c>
      <c r="B5019">
        <f>IFERROR(VLOOKUP($A5019,原始数据_收盘!$A$4:$G$3460,2,0),"")</f>
        <v>2.3325</v>
      </c>
      <c r="C5019">
        <f>IFERROR(VLOOKUP($A5019,原始数据_收盘!$A$4:$G$3460,3,0),"")</f>
        <v>2.725</v>
      </c>
      <c r="D5019">
        <f>IFERROR(VLOOKUP($A5019,原始数据_收盘!$A$4:$G$3460,4,0),"")</f>
        <v>2.335</v>
      </c>
      <c r="E5019">
        <f>IFERROR(VLOOKUP($A5019,原始数据_收盘!$A$4:$G$3460,5,0),"")</f>
        <v>2.7287</v>
      </c>
      <c r="F5019">
        <f>IFERROR(VLOOKUP($A5019,原始数据_收盘!$A$4:$G$3460,6,0),"")</f>
        <v>2.3338</v>
      </c>
      <c r="G5019">
        <f>IFERROR(VLOOKUP($A5019,原始数据_收盘!$A$4:$G$3460,7,0),"")</f>
        <v>2.7268</v>
      </c>
      <c r="H5019">
        <f>IFERROR(VLOOKUP($A5019,原始数据_利率互换_FR007_1年!$A$6:$C$4395,2,0),"")</f>
        <v>2.3319</v>
      </c>
      <c r="I5019">
        <f>IFERROR(VLOOKUP($A5019,原始数据_利率互换_FR007_1年!$A$6:$C$4395,3,0),"")</f>
        <v>2.7244</v>
      </c>
    </row>
    <row r="5020" spans="1:9">
      <c r="A5020" s="6">
        <v>44513</v>
      </c>
      <c r="B5020" t="str">
        <f>IFERROR(VLOOKUP($A5020,原始数据_收盘!$A$4:$G$3460,2,0),"")</f>
        <v/>
      </c>
      <c r="C5020" t="str">
        <f>IFERROR(VLOOKUP($A5020,原始数据_收盘!$A$4:$G$3460,3,0),"")</f>
        <v/>
      </c>
      <c r="D5020" t="str">
        <f>IFERROR(VLOOKUP($A5020,原始数据_收盘!$A$4:$G$3460,4,0),"")</f>
        <v/>
      </c>
      <c r="E5020" t="str">
        <f>IFERROR(VLOOKUP($A5020,原始数据_收盘!$A$4:$G$3460,5,0),"")</f>
        <v/>
      </c>
      <c r="F5020" t="str">
        <f>IFERROR(VLOOKUP($A5020,原始数据_收盘!$A$4:$G$3460,6,0),"")</f>
        <v/>
      </c>
      <c r="G5020" t="str">
        <f>IFERROR(VLOOKUP($A5020,原始数据_收盘!$A$4:$G$3460,7,0),"")</f>
        <v/>
      </c>
      <c r="H5020" t="str">
        <f>IFERROR(VLOOKUP($A5020,原始数据_利率互换_FR007_1年!$A$6:$C$4395,2,0),"")</f>
        <v/>
      </c>
      <c r="I5020" t="str">
        <f>IFERROR(VLOOKUP($A5020,原始数据_利率互换_FR007_1年!$A$6:$C$4395,3,0),"")</f>
        <v/>
      </c>
    </row>
    <row r="5021" spans="1:9">
      <c r="A5021" s="6">
        <v>44514</v>
      </c>
      <c r="B5021" t="str">
        <f>IFERROR(VLOOKUP($A5021,原始数据_收盘!$A$4:$G$3460,2,0),"")</f>
        <v/>
      </c>
      <c r="C5021" t="str">
        <f>IFERROR(VLOOKUP($A5021,原始数据_收盘!$A$4:$G$3460,3,0),"")</f>
        <v/>
      </c>
      <c r="D5021" t="str">
        <f>IFERROR(VLOOKUP($A5021,原始数据_收盘!$A$4:$G$3460,4,0),"")</f>
        <v/>
      </c>
      <c r="E5021" t="str">
        <f>IFERROR(VLOOKUP($A5021,原始数据_收盘!$A$4:$G$3460,5,0),"")</f>
        <v/>
      </c>
      <c r="F5021" t="str">
        <f>IFERROR(VLOOKUP($A5021,原始数据_收盘!$A$4:$G$3460,6,0),"")</f>
        <v/>
      </c>
      <c r="G5021" t="str">
        <f>IFERROR(VLOOKUP($A5021,原始数据_收盘!$A$4:$G$3460,7,0),"")</f>
        <v/>
      </c>
      <c r="H5021" t="str">
        <f>IFERROR(VLOOKUP($A5021,原始数据_利率互换_FR007_1年!$A$6:$C$4395,2,0),"")</f>
        <v/>
      </c>
      <c r="I5021" t="str">
        <f>IFERROR(VLOOKUP($A5021,原始数据_利率互换_FR007_1年!$A$6:$C$4395,3,0),"")</f>
        <v/>
      </c>
    </row>
    <row r="5022" spans="1:9">
      <c r="A5022" s="6">
        <v>44515</v>
      </c>
      <c r="B5022">
        <f>IFERROR(VLOOKUP($A5022,原始数据_收盘!$A$4:$G$3460,2,0),"")</f>
        <v>2.32</v>
      </c>
      <c r="C5022">
        <f>IFERROR(VLOOKUP($A5022,原始数据_收盘!$A$4:$G$3460,3,0),"")</f>
        <v>2.71</v>
      </c>
      <c r="D5022">
        <f>IFERROR(VLOOKUP($A5022,原始数据_收盘!$A$4:$G$3460,4,0),"")</f>
        <v>2.325</v>
      </c>
      <c r="E5022">
        <f>IFERROR(VLOOKUP($A5022,原始数据_收盘!$A$4:$G$3460,5,0),"")</f>
        <v>2.7125</v>
      </c>
      <c r="F5022">
        <f>IFERROR(VLOOKUP($A5022,原始数据_收盘!$A$4:$G$3460,6,0),"")</f>
        <v>2.3225</v>
      </c>
      <c r="G5022">
        <f>IFERROR(VLOOKUP($A5022,原始数据_收盘!$A$4:$G$3460,7,0),"")</f>
        <v>2.7113</v>
      </c>
      <c r="H5022">
        <f>IFERROR(VLOOKUP($A5022,原始数据_利率互换_FR007_1年!$A$6:$C$4395,2,0),"")</f>
        <v>2.3264</v>
      </c>
      <c r="I5022">
        <f>IFERROR(VLOOKUP($A5022,原始数据_利率互换_FR007_1年!$A$6:$C$4395,3,0),"")</f>
        <v>2.7194</v>
      </c>
    </row>
    <row r="5023" spans="1:9">
      <c r="A5023" s="6">
        <v>44516</v>
      </c>
      <c r="B5023">
        <f>IFERROR(VLOOKUP($A5023,原始数据_收盘!$A$4:$G$3460,2,0),"")</f>
        <v>2.3225</v>
      </c>
      <c r="C5023">
        <f>IFERROR(VLOOKUP($A5023,原始数据_收盘!$A$4:$G$3460,3,0),"")</f>
        <v>2.7142</v>
      </c>
      <c r="D5023">
        <f>IFERROR(VLOOKUP($A5023,原始数据_收盘!$A$4:$G$3460,4,0),"")</f>
        <v>2.325</v>
      </c>
      <c r="E5023">
        <f>IFERROR(VLOOKUP($A5023,原始数据_收盘!$A$4:$G$3460,5,0),"")</f>
        <v>2.7168</v>
      </c>
      <c r="F5023">
        <f>IFERROR(VLOOKUP($A5023,原始数据_收盘!$A$4:$G$3460,6,0),"")</f>
        <v>2.3238</v>
      </c>
      <c r="G5023">
        <f>IFERROR(VLOOKUP($A5023,原始数据_收盘!$A$4:$G$3460,7,0),"")</f>
        <v>2.7155</v>
      </c>
      <c r="H5023">
        <f>IFERROR(VLOOKUP($A5023,原始数据_利率互换_FR007_1年!$A$6:$C$4395,2,0),"")</f>
        <v>2.3232</v>
      </c>
      <c r="I5023">
        <f>IFERROR(VLOOKUP($A5023,原始数据_利率互换_FR007_1年!$A$6:$C$4395,3,0),"")</f>
        <v>2.7147</v>
      </c>
    </row>
    <row r="5024" spans="1:9">
      <c r="A5024" s="6">
        <v>44517</v>
      </c>
      <c r="B5024">
        <f>IFERROR(VLOOKUP($A5024,原始数据_收盘!$A$4:$G$3460,2,0),"")</f>
        <v>2.329</v>
      </c>
      <c r="C5024">
        <f>IFERROR(VLOOKUP($A5024,原始数据_收盘!$A$4:$G$3460,3,0),"")</f>
        <v>2.72</v>
      </c>
      <c r="D5024">
        <f>IFERROR(VLOOKUP($A5024,原始数据_收盘!$A$4:$G$3460,4,0),"")</f>
        <v>2.335</v>
      </c>
      <c r="E5024">
        <f>IFERROR(VLOOKUP($A5024,原始数据_收盘!$A$4:$G$3460,5,0),"")</f>
        <v>2.7237</v>
      </c>
      <c r="F5024">
        <f>IFERROR(VLOOKUP($A5024,原始数据_收盘!$A$4:$G$3460,6,0),"")</f>
        <v>2.332</v>
      </c>
      <c r="G5024">
        <f>IFERROR(VLOOKUP($A5024,原始数据_收盘!$A$4:$G$3460,7,0),"")</f>
        <v>2.7218</v>
      </c>
      <c r="H5024">
        <f>IFERROR(VLOOKUP($A5024,原始数据_利率互换_FR007_1年!$A$6:$C$4395,2,0),"")</f>
        <v>2.3346</v>
      </c>
      <c r="I5024">
        <f>IFERROR(VLOOKUP($A5024,原始数据_利率互换_FR007_1年!$A$6:$C$4395,3,0),"")</f>
        <v>2.7243</v>
      </c>
    </row>
    <row r="5025" spans="1:9">
      <c r="A5025" s="6">
        <v>44518</v>
      </c>
      <c r="B5025">
        <f>IFERROR(VLOOKUP($A5025,原始数据_收盘!$A$4:$G$3460,2,0),"")</f>
        <v>2.3275</v>
      </c>
      <c r="C5025">
        <f>IFERROR(VLOOKUP($A5025,原始数据_收盘!$A$4:$G$3460,3,0),"")</f>
        <v>2.7125</v>
      </c>
      <c r="D5025">
        <f>IFERROR(VLOOKUP($A5025,原始数据_收盘!$A$4:$G$3460,4,0),"")</f>
        <v>2.33</v>
      </c>
      <c r="E5025">
        <f>IFERROR(VLOOKUP($A5025,原始数据_收盘!$A$4:$G$3460,5,0),"")</f>
        <v>2.715</v>
      </c>
      <c r="F5025">
        <f>IFERROR(VLOOKUP($A5025,原始数据_收盘!$A$4:$G$3460,6,0),"")</f>
        <v>2.3288</v>
      </c>
      <c r="G5025">
        <f>IFERROR(VLOOKUP($A5025,原始数据_收盘!$A$4:$G$3460,7,0),"")</f>
        <v>2.7138</v>
      </c>
      <c r="H5025">
        <f>IFERROR(VLOOKUP($A5025,原始数据_利率互换_FR007_1年!$A$6:$C$4395,2,0),"")</f>
        <v>2.3282</v>
      </c>
      <c r="I5025">
        <f>IFERROR(VLOOKUP($A5025,原始数据_利率互换_FR007_1年!$A$6:$C$4395,3,0),"")</f>
        <v>2.7147</v>
      </c>
    </row>
    <row r="5026" spans="1:9">
      <c r="A5026" s="6">
        <v>44519</v>
      </c>
      <c r="B5026">
        <f>IFERROR(VLOOKUP($A5026,原始数据_收盘!$A$4:$G$3460,2,0),"")</f>
        <v>2.3375</v>
      </c>
      <c r="C5026">
        <f>IFERROR(VLOOKUP($A5026,原始数据_收盘!$A$4:$G$3460,3,0),"")</f>
        <v>2.7325</v>
      </c>
      <c r="D5026">
        <f>IFERROR(VLOOKUP($A5026,原始数据_收盘!$A$4:$G$3460,4,0),"")</f>
        <v>2.34</v>
      </c>
      <c r="E5026">
        <f>IFERROR(VLOOKUP($A5026,原始数据_收盘!$A$4:$G$3460,5,0),"")</f>
        <v>2.735</v>
      </c>
      <c r="F5026">
        <f>IFERROR(VLOOKUP($A5026,原始数据_收盘!$A$4:$G$3460,6,0),"")</f>
        <v>2.3388</v>
      </c>
      <c r="G5026">
        <f>IFERROR(VLOOKUP($A5026,原始数据_收盘!$A$4:$G$3460,7,0),"")</f>
        <v>2.7338</v>
      </c>
      <c r="H5026">
        <f>IFERROR(VLOOKUP($A5026,原始数据_利率互换_FR007_1年!$A$6:$C$4395,2,0),"")</f>
        <v>2.3347</v>
      </c>
      <c r="I5026">
        <f>IFERROR(VLOOKUP($A5026,原始数据_利率互换_FR007_1年!$A$6:$C$4395,3,0),"")</f>
        <v>2.726</v>
      </c>
    </row>
    <row r="5027" spans="1:9">
      <c r="A5027" s="6">
        <v>44520</v>
      </c>
      <c r="B5027" t="str">
        <f>IFERROR(VLOOKUP($A5027,原始数据_收盘!$A$4:$G$3460,2,0),"")</f>
        <v/>
      </c>
      <c r="C5027" t="str">
        <f>IFERROR(VLOOKUP($A5027,原始数据_收盘!$A$4:$G$3460,3,0),"")</f>
        <v/>
      </c>
      <c r="D5027" t="str">
        <f>IFERROR(VLOOKUP($A5027,原始数据_收盘!$A$4:$G$3460,4,0),"")</f>
        <v/>
      </c>
      <c r="E5027" t="str">
        <f>IFERROR(VLOOKUP($A5027,原始数据_收盘!$A$4:$G$3460,5,0),"")</f>
        <v/>
      </c>
      <c r="F5027" t="str">
        <f>IFERROR(VLOOKUP($A5027,原始数据_收盘!$A$4:$G$3460,6,0),"")</f>
        <v/>
      </c>
      <c r="G5027" t="str">
        <f>IFERROR(VLOOKUP($A5027,原始数据_收盘!$A$4:$G$3460,7,0),"")</f>
        <v/>
      </c>
      <c r="H5027" t="str">
        <f>IFERROR(VLOOKUP($A5027,原始数据_利率互换_FR007_1年!$A$6:$C$4395,2,0),"")</f>
        <v/>
      </c>
      <c r="I5027" t="str">
        <f>IFERROR(VLOOKUP($A5027,原始数据_利率互换_FR007_1年!$A$6:$C$4395,3,0),"")</f>
        <v/>
      </c>
    </row>
    <row r="5028" spans="1:9">
      <c r="A5028" s="6">
        <v>44521</v>
      </c>
      <c r="B5028" t="str">
        <f>IFERROR(VLOOKUP($A5028,原始数据_收盘!$A$4:$G$3460,2,0),"")</f>
        <v/>
      </c>
      <c r="C5028" t="str">
        <f>IFERROR(VLOOKUP($A5028,原始数据_收盘!$A$4:$G$3460,3,0),"")</f>
        <v/>
      </c>
      <c r="D5028" t="str">
        <f>IFERROR(VLOOKUP($A5028,原始数据_收盘!$A$4:$G$3460,4,0),"")</f>
        <v/>
      </c>
      <c r="E5028" t="str">
        <f>IFERROR(VLOOKUP($A5028,原始数据_收盘!$A$4:$G$3460,5,0),"")</f>
        <v/>
      </c>
      <c r="F5028" t="str">
        <f>IFERROR(VLOOKUP($A5028,原始数据_收盘!$A$4:$G$3460,6,0),"")</f>
        <v/>
      </c>
      <c r="G5028" t="str">
        <f>IFERROR(VLOOKUP($A5028,原始数据_收盘!$A$4:$G$3460,7,0),"")</f>
        <v/>
      </c>
      <c r="H5028" t="str">
        <f>IFERROR(VLOOKUP($A5028,原始数据_利率互换_FR007_1年!$A$6:$C$4395,2,0),"")</f>
        <v/>
      </c>
      <c r="I5028" t="str">
        <f>IFERROR(VLOOKUP($A5028,原始数据_利率互换_FR007_1年!$A$6:$C$4395,3,0),"")</f>
        <v/>
      </c>
    </row>
    <row r="5029" spans="1:9">
      <c r="A5029" s="6">
        <v>44522</v>
      </c>
      <c r="B5029">
        <f>IFERROR(VLOOKUP($A5029,原始数据_收盘!$A$4:$G$3460,2,0),"")</f>
        <v>2.325</v>
      </c>
      <c r="C5029">
        <f>IFERROR(VLOOKUP($A5029,原始数据_收盘!$A$4:$G$3460,3,0),"")</f>
        <v>2.715</v>
      </c>
      <c r="D5029">
        <f>IFERROR(VLOOKUP($A5029,原始数据_收盘!$A$4:$G$3460,4,0),"")</f>
        <v>2.3275</v>
      </c>
      <c r="E5029">
        <f>IFERROR(VLOOKUP($A5029,原始数据_收盘!$A$4:$G$3460,5,0),"")</f>
        <v>2.7175</v>
      </c>
      <c r="F5029">
        <f>IFERROR(VLOOKUP($A5029,原始数据_收盘!$A$4:$G$3460,6,0),"")</f>
        <v>2.3263</v>
      </c>
      <c r="G5029">
        <f>IFERROR(VLOOKUP($A5029,原始数据_收盘!$A$4:$G$3460,7,0),"")</f>
        <v>2.7163</v>
      </c>
      <c r="H5029">
        <f>IFERROR(VLOOKUP($A5029,原始数据_利率互换_FR007_1年!$A$6:$C$4395,2,0),"")</f>
        <v>2.3239</v>
      </c>
      <c r="I5029">
        <f>IFERROR(VLOOKUP($A5029,原始数据_利率互换_FR007_1年!$A$6:$C$4395,3,0),"")</f>
        <v>2.7155</v>
      </c>
    </row>
    <row r="5030" spans="1:9">
      <c r="A5030" s="6">
        <v>44523</v>
      </c>
      <c r="B5030">
        <f>IFERROR(VLOOKUP($A5030,原始数据_收盘!$A$4:$G$3460,2,0),"")</f>
        <v>2.325</v>
      </c>
      <c r="C5030">
        <f>IFERROR(VLOOKUP($A5030,原始数据_收盘!$A$4:$G$3460,3,0),"")</f>
        <v>2.7186</v>
      </c>
      <c r="D5030">
        <f>IFERROR(VLOOKUP($A5030,原始数据_收盘!$A$4:$G$3460,4,0),"")</f>
        <v>2.3275</v>
      </c>
      <c r="E5030">
        <f>IFERROR(VLOOKUP($A5030,原始数据_收盘!$A$4:$G$3460,5,0),"")</f>
        <v>2.7225</v>
      </c>
      <c r="F5030">
        <f>IFERROR(VLOOKUP($A5030,原始数据_收盘!$A$4:$G$3460,6,0),"")</f>
        <v>2.3263</v>
      </c>
      <c r="G5030">
        <f>IFERROR(VLOOKUP($A5030,原始数据_收盘!$A$4:$G$3460,7,0),"")</f>
        <v>2.7206</v>
      </c>
      <c r="H5030">
        <f>IFERROR(VLOOKUP($A5030,原始数据_利率互换_FR007_1年!$A$6:$C$4395,2,0),"")</f>
        <v>2.3282</v>
      </c>
      <c r="I5030">
        <f>IFERROR(VLOOKUP($A5030,原始数据_利率互换_FR007_1年!$A$6:$C$4395,3,0),"")</f>
        <v>2.7224</v>
      </c>
    </row>
    <row r="5031" spans="1:9">
      <c r="A5031" s="6">
        <v>44524</v>
      </c>
      <c r="B5031">
        <f>IFERROR(VLOOKUP($A5031,原始数据_收盘!$A$4:$G$3460,2,0),"")</f>
        <v>2.3075</v>
      </c>
      <c r="C5031">
        <f>IFERROR(VLOOKUP($A5031,原始数据_收盘!$A$4:$G$3460,3,0),"")</f>
        <v>2.6822</v>
      </c>
      <c r="D5031">
        <f>IFERROR(VLOOKUP($A5031,原始数据_收盘!$A$4:$G$3460,4,0),"")</f>
        <v>2.3101</v>
      </c>
      <c r="E5031">
        <f>IFERROR(VLOOKUP($A5031,原始数据_收盘!$A$4:$G$3460,5,0),"")</f>
        <v>2.685</v>
      </c>
      <c r="F5031">
        <f>IFERROR(VLOOKUP($A5031,原始数据_收盘!$A$4:$G$3460,6,0),"")</f>
        <v>2.3088</v>
      </c>
      <c r="G5031">
        <f>IFERROR(VLOOKUP($A5031,原始数据_收盘!$A$4:$G$3460,7,0),"")</f>
        <v>2.6836</v>
      </c>
      <c r="H5031">
        <f>IFERROR(VLOOKUP($A5031,原始数据_利率互换_FR007_1年!$A$6:$C$4395,2,0),"")</f>
        <v>2.3178</v>
      </c>
      <c r="I5031">
        <f>IFERROR(VLOOKUP($A5031,原始数据_利率互换_FR007_1年!$A$6:$C$4395,3,0),"")</f>
        <v>2.7008</v>
      </c>
    </row>
    <row r="5032" spans="1:9">
      <c r="A5032" s="6">
        <v>44525</v>
      </c>
      <c r="B5032">
        <f>IFERROR(VLOOKUP($A5032,原始数据_收盘!$A$4:$G$3460,2,0),"")</f>
        <v>2.315</v>
      </c>
      <c r="C5032">
        <f>IFERROR(VLOOKUP($A5032,原始数据_收盘!$A$4:$G$3460,3,0),"")</f>
        <v>2.69</v>
      </c>
      <c r="D5032">
        <f>IFERROR(VLOOKUP($A5032,原始数据_收盘!$A$4:$G$3460,4,0),"")</f>
        <v>2.3175</v>
      </c>
      <c r="E5032">
        <f>IFERROR(VLOOKUP($A5032,原始数据_收盘!$A$4:$G$3460,5,0),"")</f>
        <v>2.6925</v>
      </c>
      <c r="F5032">
        <f>IFERROR(VLOOKUP($A5032,原始数据_收盘!$A$4:$G$3460,6,0),"")</f>
        <v>2.3163</v>
      </c>
      <c r="G5032">
        <f>IFERROR(VLOOKUP($A5032,原始数据_收盘!$A$4:$G$3460,7,0),"")</f>
        <v>2.6913</v>
      </c>
      <c r="H5032">
        <f>IFERROR(VLOOKUP($A5032,原始数据_利率互换_FR007_1年!$A$6:$C$4395,2,0),"")</f>
        <v>2.3149</v>
      </c>
      <c r="I5032">
        <f>IFERROR(VLOOKUP($A5032,原始数据_利率互换_FR007_1年!$A$6:$C$4395,3,0),"")</f>
        <v>2.6909</v>
      </c>
    </row>
    <row r="5033" spans="1:9">
      <c r="A5033" s="6">
        <v>44526</v>
      </c>
      <c r="B5033">
        <f>IFERROR(VLOOKUP($A5033,原始数据_收盘!$A$4:$G$3460,2,0),"")</f>
        <v>2.295</v>
      </c>
      <c r="C5033">
        <f>IFERROR(VLOOKUP($A5033,原始数据_收盘!$A$4:$G$3460,3,0),"")</f>
        <v>2.6604</v>
      </c>
      <c r="D5033">
        <f>IFERROR(VLOOKUP($A5033,原始数据_收盘!$A$4:$G$3460,4,0),"")</f>
        <v>2.2975</v>
      </c>
      <c r="E5033">
        <f>IFERROR(VLOOKUP($A5033,原始数据_收盘!$A$4:$G$3460,5,0),"")</f>
        <v>2.6625</v>
      </c>
      <c r="F5033">
        <f>IFERROR(VLOOKUP($A5033,原始数据_收盘!$A$4:$G$3460,6,0),"")</f>
        <v>2.2963</v>
      </c>
      <c r="G5033">
        <f>IFERROR(VLOOKUP($A5033,原始数据_收盘!$A$4:$G$3460,7,0),"")</f>
        <v>2.6615</v>
      </c>
      <c r="H5033">
        <f>IFERROR(VLOOKUP($A5033,原始数据_利率互换_FR007_1年!$A$6:$C$4395,2,0),"")</f>
        <v>2.2971</v>
      </c>
      <c r="I5033">
        <f>IFERROR(VLOOKUP($A5033,原始数据_利率互换_FR007_1年!$A$6:$C$4395,3,0),"")</f>
        <v>2.6681</v>
      </c>
    </row>
    <row r="5034" spans="1:9">
      <c r="A5034" s="6">
        <v>44527</v>
      </c>
      <c r="B5034" t="str">
        <f>IFERROR(VLOOKUP($A5034,原始数据_收盘!$A$4:$G$3460,2,0),"")</f>
        <v/>
      </c>
      <c r="C5034" t="str">
        <f>IFERROR(VLOOKUP($A5034,原始数据_收盘!$A$4:$G$3460,3,0),"")</f>
        <v/>
      </c>
      <c r="D5034" t="str">
        <f>IFERROR(VLOOKUP($A5034,原始数据_收盘!$A$4:$G$3460,4,0),"")</f>
        <v/>
      </c>
      <c r="E5034" t="str">
        <f>IFERROR(VLOOKUP($A5034,原始数据_收盘!$A$4:$G$3460,5,0),"")</f>
        <v/>
      </c>
      <c r="F5034" t="str">
        <f>IFERROR(VLOOKUP($A5034,原始数据_收盘!$A$4:$G$3460,6,0),"")</f>
        <v/>
      </c>
      <c r="G5034" t="str">
        <f>IFERROR(VLOOKUP($A5034,原始数据_收盘!$A$4:$G$3460,7,0),"")</f>
        <v/>
      </c>
      <c r="H5034" t="str">
        <f>IFERROR(VLOOKUP($A5034,原始数据_利率互换_FR007_1年!$A$6:$C$4395,2,0),"")</f>
        <v/>
      </c>
      <c r="I5034" t="str">
        <f>IFERROR(VLOOKUP($A5034,原始数据_利率互换_FR007_1年!$A$6:$C$4395,3,0),"")</f>
        <v/>
      </c>
    </row>
    <row r="5035" spans="1:9">
      <c r="A5035" s="6">
        <v>44528</v>
      </c>
      <c r="B5035" t="str">
        <f>IFERROR(VLOOKUP($A5035,原始数据_收盘!$A$4:$G$3460,2,0),"")</f>
        <v/>
      </c>
      <c r="C5035" t="str">
        <f>IFERROR(VLOOKUP($A5035,原始数据_收盘!$A$4:$G$3460,3,0),"")</f>
        <v/>
      </c>
      <c r="D5035" t="str">
        <f>IFERROR(VLOOKUP($A5035,原始数据_收盘!$A$4:$G$3460,4,0),"")</f>
        <v/>
      </c>
      <c r="E5035" t="str">
        <f>IFERROR(VLOOKUP($A5035,原始数据_收盘!$A$4:$G$3460,5,0),"")</f>
        <v/>
      </c>
      <c r="F5035" t="str">
        <f>IFERROR(VLOOKUP($A5035,原始数据_收盘!$A$4:$G$3460,6,0),"")</f>
        <v/>
      </c>
      <c r="G5035" t="str">
        <f>IFERROR(VLOOKUP($A5035,原始数据_收盘!$A$4:$G$3460,7,0),"")</f>
        <v/>
      </c>
      <c r="H5035" t="str">
        <f>IFERROR(VLOOKUP($A5035,原始数据_利率互换_FR007_1年!$A$6:$C$4395,2,0),"")</f>
        <v/>
      </c>
      <c r="I5035" t="str">
        <f>IFERROR(VLOOKUP($A5035,原始数据_利率互换_FR007_1年!$A$6:$C$4395,3,0),"")</f>
        <v/>
      </c>
    </row>
    <row r="5036" spans="1:9">
      <c r="A5036" s="6">
        <v>44529</v>
      </c>
      <c r="B5036">
        <f>IFERROR(VLOOKUP($A5036,原始数据_收盘!$A$4:$G$3460,2,0),"")</f>
        <v>2.3</v>
      </c>
      <c r="C5036">
        <f>IFERROR(VLOOKUP($A5036,原始数据_收盘!$A$4:$G$3460,3,0),"")</f>
        <v>2.6725</v>
      </c>
      <c r="D5036">
        <f>IFERROR(VLOOKUP($A5036,原始数据_收盘!$A$4:$G$3460,4,0),"")</f>
        <v>2.305</v>
      </c>
      <c r="E5036">
        <f>IFERROR(VLOOKUP($A5036,原始数据_收盘!$A$4:$G$3460,5,0),"")</f>
        <v>2.675</v>
      </c>
      <c r="F5036">
        <f>IFERROR(VLOOKUP($A5036,原始数据_收盘!$A$4:$G$3460,6,0),"")</f>
        <v>2.3025</v>
      </c>
      <c r="G5036">
        <f>IFERROR(VLOOKUP($A5036,原始数据_收盘!$A$4:$G$3460,7,0),"")</f>
        <v>2.6738</v>
      </c>
      <c r="H5036">
        <f>IFERROR(VLOOKUP($A5036,原始数据_利率互换_FR007_1年!$A$6:$C$4395,2,0),"")</f>
        <v>2.3059</v>
      </c>
      <c r="I5036">
        <f>IFERROR(VLOOKUP($A5036,原始数据_利率互换_FR007_1年!$A$6:$C$4395,3,0),"")</f>
        <v>2.6758</v>
      </c>
    </row>
    <row r="5037" spans="1:9">
      <c r="A5037" s="6">
        <v>44530</v>
      </c>
      <c r="B5037">
        <f>IFERROR(VLOOKUP($A5037,原始数据_收盘!$A$4:$G$3460,2,0),"")</f>
        <v>2.3025</v>
      </c>
      <c r="C5037">
        <f>IFERROR(VLOOKUP($A5037,原始数据_收盘!$A$4:$G$3460,3,0),"")</f>
        <v>2.6725</v>
      </c>
      <c r="D5037">
        <f>IFERROR(VLOOKUP($A5037,原始数据_收盘!$A$4:$G$3460,4,0),"")</f>
        <v>2.305</v>
      </c>
      <c r="E5037">
        <f>IFERROR(VLOOKUP($A5037,原始数据_收盘!$A$4:$G$3460,5,0),"")</f>
        <v>2.675</v>
      </c>
      <c r="F5037">
        <f>IFERROR(VLOOKUP($A5037,原始数据_收盘!$A$4:$G$3460,6,0),"")</f>
        <v>2.3038</v>
      </c>
      <c r="G5037">
        <f>IFERROR(VLOOKUP($A5037,原始数据_收盘!$A$4:$G$3460,7,0),"")</f>
        <v>2.6738</v>
      </c>
      <c r="H5037">
        <f>IFERROR(VLOOKUP($A5037,原始数据_利率互换_FR007_1年!$A$6:$C$4395,2,0),"")</f>
        <v>2.3129</v>
      </c>
      <c r="I5037">
        <f>IFERROR(VLOOKUP($A5037,原始数据_利率互换_FR007_1年!$A$6:$C$4395,3,0),"")</f>
        <v>2.685</v>
      </c>
    </row>
    <row r="5038" spans="1:9">
      <c r="A5038" s="6">
        <v>44531</v>
      </c>
      <c r="B5038">
        <f>IFERROR(VLOOKUP($A5038,原始数据_收盘!$A$4:$G$3460,2,0),"")</f>
        <v>2.3125</v>
      </c>
      <c r="C5038">
        <f>IFERROR(VLOOKUP($A5038,原始数据_收盘!$A$4:$G$3460,3,0),"")</f>
        <v>2.6925</v>
      </c>
      <c r="D5038">
        <f>IFERROR(VLOOKUP($A5038,原始数据_收盘!$A$4:$G$3460,4,0),"")</f>
        <v>2.3155</v>
      </c>
      <c r="E5038">
        <f>IFERROR(VLOOKUP($A5038,原始数据_收盘!$A$4:$G$3460,5,0),"")</f>
        <v>2.6946</v>
      </c>
      <c r="F5038">
        <f>IFERROR(VLOOKUP($A5038,原始数据_收盘!$A$4:$G$3460,6,0),"")</f>
        <v>2.314</v>
      </c>
      <c r="G5038">
        <f>IFERROR(VLOOKUP($A5038,原始数据_收盘!$A$4:$G$3460,7,0),"")</f>
        <v>2.6935</v>
      </c>
      <c r="H5038">
        <f>IFERROR(VLOOKUP($A5038,原始数据_利率互换_FR007_1年!$A$6:$C$4395,2,0),"")</f>
        <v>2.3139</v>
      </c>
      <c r="I5038">
        <f>IFERROR(VLOOKUP($A5038,原始数据_利率互换_FR007_1年!$A$6:$C$4395,3,0),"")</f>
        <v>2.6904</v>
      </c>
    </row>
    <row r="5039" spans="1:9">
      <c r="A5039" s="6">
        <v>44532</v>
      </c>
      <c r="B5039">
        <f>IFERROR(VLOOKUP($A5039,原始数据_收盘!$A$4:$G$3460,2,0),"")</f>
        <v>2.3175</v>
      </c>
      <c r="C5039">
        <f>IFERROR(VLOOKUP($A5039,原始数据_收盘!$A$4:$G$3460,3,0),"")</f>
        <v>2.705</v>
      </c>
      <c r="D5039">
        <f>IFERROR(VLOOKUP($A5039,原始数据_收盘!$A$4:$G$3460,4,0),"")</f>
        <v>2.32</v>
      </c>
      <c r="E5039">
        <f>IFERROR(VLOOKUP($A5039,原始数据_收盘!$A$4:$G$3460,5,0),"")</f>
        <v>2.7075</v>
      </c>
      <c r="F5039">
        <f>IFERROR(VLOOKUP($A5039,原始数据_收盘!$A$4:$G$3460,6,0),"")</f>
        <v>2.3188</v>
      </c>
      <c r="G5039">
        <f>IFERROR(VLOOKUP($A5039,原始数据_收盘!$A$4:$G$3460,7,0),"")</f>
        <v>2.7063</v>
      </c>
      <c r="H5039">
        <f>IFERROR(VLOOKUP($A5039,原始数据_利率互换_FR007_1年!$A$6:$C$4395,2,0),"")</f>
        <v>2.3157</v>
      </c>
      <c r="I5039">
        <f>IFERROR(VLOOKUP($A5039,原始数据_利率互换_FR007_1年!$A$6:$C$4395,3,0),"")</f>
        <v>2.6988</v>
      </c>
    </row>
    <row r="5040" spans="1:9">
      <c r="A5040" s="6">
        <v>44533</v>
      </c>
      <c r="B5040">
        <f>IFERROR(VLOOKUP($A5040,原始数据_收盘!$A$4:$G$3460,2,0),"")</f>
        <v>2.325</v>
      </c>
      <c r="C5040">
        <f>IFERROR(VLOOKUP($A5040,原始数据_收盘!$A$4:$G$3460,3,0),"")</f>
        <v>2.7175</v>
      </c>
      <c r="D5040">
        <f>IFERROR(VLOOKUP($A5040,原始数据_收盘!$A$4:$G$3460,4,0),"")</f>
        <v>2.33</v>
      </c>
      <c r="E5040">
        <f>IFERROR(VLOOKUP($A5040,原始数据_收盘!$A$4:$G$3460,5,0),"")</f>
        <v>2.72</v>
      </c>
      <c r="F5040">
        <f>IFERROR(VLOOKUP($A5040,原始数据_收盘!$A$4:$G$3460,6,0),"")</f>
        <v>2.3275</v>
      </c>
      <c r="G5040">
        <f>IFERROR(VLOOKUP($A5040,原始数据_收盘!$A$4:$G$3460,7,0),"")</f>
        <v>2.7188</v>
      </c>
      <c r="H5040">
        <f>IFERROR(VLOOKUP($A5040,原始数据_利率互换_FR007_1年!$A$6:$C$4395,2,0),"")</f>
        <v>2.3265</v>
      </c>
      <c r="I5040">
        <f>IFERROR(VLOOKUP($A5040,原始数据_利率互换_FR007_1年!$A$6:$C$4395,3,0),"")</f>
        <v>2.7163</v>
      </c>
    </row>
    <row r="5041" spans="1:9">
      <c r="A5041" s="6">
        <v>44534</v>
      </c>
      <c r="B5041" t="str">
        <f>IFERROR(VLOOKUP($A5041,原始数据_收盘!$A$4:$G$3460,2,0),"")</f>
        <v/>
      </c>
      <c r="C5041" t="str">
        <f>IFERROR(VLOOKUP($A5041,原始数据_收盘!$A$4:$G$3460,3,0),"")</f>
        <v/>
      </c>
      <c r="D5041" t="str">
        <f>IFERROR(VLOOKUP($A5041,原始数据_收盘!$A$4:$G$3460,4,0),"")</f>
        <v/>
      </c>
      <c r="E5041" t="str">
        <f>IFERROR(VLOOKUP($A5041,原始数据_收盘!$A$4:$G$3460,5,0),"")</f>
        <v/>
      </c>
      <c r="F5041" t="str">
        <f>IFERROR(VLOOKUP($A5041,原始数据_收盘!$A$4:$G$3460,6,0),"")</f>
        <v/>
      </c>
      <c r="G5041" t="str">
        <f>IFERROR(VLOOKUP($A5041,原始数据_收盘!$A$4:$G$3460,7,0),"")</f>
        <v/>
      </c>
      <c r="H5041" t="str">
        <f>IFERROR(VLOOKUP($A5041,原始数据_利率互换_FR007_1年!$A$6:$C$4395,2,0),"")</f>
        <v/>
      </c>
      <c r="I5041" t="str">
        <f>IFERROR(VLOOKUP($A5041,原始数据_利率互换_FR007_1年!$A$6:$C$4395,3,0),"")</f>
        <v/>
      </c>
    </row>
    <row r="5042" spans="1:9">
      <c r="A5042" s="6">
        <v>44535</v>
      </c>
      <c r="B5042" t="str">
        <f>IFERROR(VLOOKUP($A5042,原始数据_收盘!$A$4:$G$3460,2,0),"")</f>
        <v/>
      </c>
      <c r="C5042" t="str">
        <f>IFERROR(VLOOKUP($A5042,原始数据_收盘!$A$4:$G$3460,3,0),"")</f>
        <v/>
      </c>
      <c r="D5042" t="str">
        <f>IFERROR(VLOOKUP($A5042,原始数据_收盘!$A$4:$G$3460,4,0),"")</f>
        <v/>
      </c>
      <c r="E5042" t="str">
        <f>IFERROR(VLOOKUP($A5042,原始数据_收盘!$A$4:$G$3460,5,0),"")</f>
        <v/>
      </c>
      <c r="F5042" t="str">
        <f>IFERROR(VLOOKUP($A5042,原始数据_收盘!$A$4:$G$3460,6,0),"")</f>
        <v/>
      </c>
      <c r="G5042" t="str">
        <f>IFERROR(VLOOKUP($A5042,原始数据_收盘!$A$4:$G$3460,7,0),"")</f>
        <v/>
      </c>
      <c r="H5042" t="str">
        <f>IFERROR(VLOOKUP($A5042,原始数据_利率互换_FR007_1年!$A$6:$C$4395,2,0),"")</f>
        <v/>
      </c>
      <c r="I5042" t="str">
        <f>IFERROR(VLOOKUP($A5042,原始数据_利率互换_FR007_1年!$A$6:$C$4395,3,0),"")</f>
        <v/>
      </c>
    </row>
    <row r="5043" spans="1:9">
      <c r="A5043" s="6">
        <v>44536</v>
      </c>
      <c r="B5043">
        <f>IFERROR(VLOOKUP($A5043,原始数据_收盘!$A$4:$G$3460,2,0),"")</f>
        <v>2.29</v>
      </c>
      <c r="C5043">
        <f>IFERROR(VLOOKUP($A5043,原始数据_收盘!$A$4:$G$3460,3,0),"")</f>
        <v>2.6648</v>
      </c>
      <c r="D5043">
        <f>IFERROR(VLOOKUP($A5043,原始数据_收盘!$A$4:$G$3460,4,0),"")</f>
        <v>2.2925</v>
      </c>
      <c r="E5043">
        <f>IFERROR(VLOOKUP($A5043,原始数据_收盘!$A$4:$G$3460,5,0),"")</f>
        <v>2.6673</v>
      </c>
      <c r="F5043">
        <f>IFERROR(VLOOKUP($A5043,原始数据_收盘!$A$4:$G$3460,6,0),"")</f>
        <v>2.2913</v>
      </c>
      <c r="G5043">
        <f>IFERROR(VLOOKUP($A5043,原始数据_收盘!$A$4:$G$3460,7,0),"")</f>
        <v>2.6661</v>
      </c>
      <c r="H5043">
        <f>IFERROR(VLOOKUP($A5043,原始数据_利率互换_FR007_1年!$A$6:$C$4395,2,0),"")</f>
        <v>2.2916</v>
      </c>
      <c r="I5043">
        <f>IFERROR(VLOOKUP($A5043,原始数据_利率互换_FR007_1年!$A$6:$C$4395,3,0),"")</f>
        <v>2.6664</v>
      </c>
    </row>
    <row r="5044" spans="1:9">
      <c r="A5044" s="6">
        <v>44537</v>
      </c>
      <c r="B5044">
        <f>IFERROR(VLOOKUP($A5044,原始数据_收盘!$A$4:$G$3460,2,0),"")</f>
        <v>2.3075</v>
      </c>
      <c r="C5044">
        <f>IFERROR(VLOOKUP($A5044,原始数据_收盘!$A$4:$G$3460,3,0),"")</f>
        <v>2.695</v>
      </c>
      <c r="D5044">
        <f>IFERROR(VLOOKUP($A5044,原始数据_收盘!$A$4:$G$3460,4,0),"")</f>
        <v>2.31</v>
      </c>
      <c r="E5044">
        <f>IFERROR(VLOOKUP($A5044,原始数据_收盘!$A$4:$G$3460,5,0),"")</f>
        <v>2.6975</v>
      </c>
      <c r="F5044">
        <f>IFERROR(VLOOKUP($A5044,原始数据_收盘!$A$4:$G$3460,6,0),"")</f>
        <v>2.3088</v>
      </c>
      <c r="G5044">
        <f>IFERROR(VLOOKUP($A5044,原始数据_收盘!$A$4:$G$3460,7,0),"")</f>
        <v>2.6963</v>
      </c>
      <c r="H5044">
        <f>IFERROR(VLOOKUP($A5044,原始数据_利率互换_FR007_1年!$A$6:$C$4395,2,0),"")</f>
        <v>2.3021</v>
      </c>
      <c r="I5044">
        <f>IFERROR(VLOOKUP($A5044,原始数据_利率互换_FR007_1年!$A$6:$C$4395,3,0),"")</f>
        <v>2.6823</v>
      </c>
    </row>
    <row r="5045" spans="1:9">
      <c r="A5045" s="6">
        <v>44538</v>
      </c>
      <c r="B5045">
        <f>IFERROR(VLOOKUP($A5045,原始数据_收盘!$A$4:$G$3460,2,0),"")</f>
        <v>2.31</v>
      </c>
      <c r="C5045">
        <f>IFERROR(VLOOKUP($A5045,原始数据_收盘!$A$4:$G$3460,3,0),"")</f>
        <v>2.695</v>
      </c>
      <c r="D5045">
        <f>IFERROR(VLOOKUP($A5045,原始数据_收盘!$A$4:$G$3460,4,0),"")</f>
        <v>2.3128</v>
      </c>
      <c r="E5045">
        <f>IFERROR(VLOOKUP($A5045,原始数据_收盘!$A$4:$G$3460,5,0),"")</f>
        <v>2.6989</v>
      </c>
      <c r="F5045">
        <f>IFERROR(VLOOKUP($A5045,原始数据_收盘!$A$4:$G$3460,6,0),"")</f>
        <v>2.3114</v>
      </c>
      <c r="G5045">
        <f>IFERROR(VLOOKUP($A5045,原始数据_收盘!$A$4:$G$3460,7,0),"")</f>
        <v>2.6969</v>
      </c>
      <c r="H5045">
        <f>IFERROR(VLOOKUP($A5045,原始数据_利率互换_FR007_1年!$A$6:$C$4395,2,0),"")</f>
        <v>2.3137</v>
      </c>
      <c r="I5045">
        <f>IFERROR(VLOOKUP($A5045,原始数据_利率互换_FR007_1年!$A$6:$C$4395,3,0),"")</f>
        <v>2.6995</v>
      </c>
    </row>
    <row r="5046" spans="1:9">
      <c r="A5046" s="6">
        <v>44539</v>
      </c>
      <c r="B5046">
        <f>IFERROR(VLOOKUP($A5046,原始数据_收盘!$A$4:$G$3460,2,0),"")</f>
        <v>2.3013</v>
      </c>
      <c r="C5046">
        <f>IFERROR(VLOOKUP($A5046,原始数据_收盘!$A$4:$G$3460,3,0),"")</f>
        <v>2.68</v>
      </c>
      <c r="D5046">
        <f>IFERROR(VLOOKUP($A5046,原始数据_收盘!$A$4:$G$3460,4,0),"")</f>
        <v>2.3037</v>
      </c>
      <c r="E5046">
        <f>IFERROR(VLOOKUP($A5046,原始数据_收盘!$A$4:$G$3460,5,0),"")</f>
        <v>2.6844</v>
      </c>
      <c r="F5046">
        <f>IFERROR(VLOOKUP($A5046,原始数据_收盘!$A$4:$G$3460,6,0),"")</f>
        <v>2.3025</v>
      </c>
      <c r="G5046">
        <f>IFERROR(VLOOKUP($A5046,原始数据_收盘!$A$4:$G$3460,7,0),"")</f>
        <v>2.6822</v>
      </c>
      <c r="H5046">
        <f>IFERROR(VLOOKUP($A5046,原始数据_利率互换_FR007_1年!$A$6:$C$4395,2,0),"")</f>
        <v>2.3096</v>
      </c>
      <c r="I5046">
        <f>IFERROR(VLOOKUP($A5046,原始数据_利率互换_FR007_1年!$A$6:$C$4395,3,0),"")</f>
        <v>2.6915</v>
      </c>
    </row>
    <row r="5047" spans="1:9">
      <c r="A5047" s="6">
        <v>44540</v>
      </c>
      <c r="B5047">
        <f>IFERROR(VLOOKUP($A5047,原始数据_收盘!$A$4:$G$3460,2,0),"")</f>
        <v>2.295</v>
      </c>
      <c r="C5047">
        <f>IFERROR(VLOOKUP($A5047,原始数据_收盘!$A$4:$G$3460,3,0),"")</f>
        <v>2.6725</v>
      </c>
      <c r="D5047">
        <f>IFERROR(VLOOKUP($A5047,原始数据_收盘!$A$4:$G$3460,4,0),"")</f>
        <v>2.3</v>
      </c>
      <c r="E5047">
        <f>IFERROR(VLOOKUP($A5047,原始数据_收盘!$A$4:$G$3460,5,0),"")</f>
        <v>2.675</v>
      </c>
      <c r="F5047">
        <f>IFERROR(VLOOKUP($A5047,原始数据_收盘!$A$4:$G$3460,6,0),"")</f>
        <v>2.2975</v>
      </c>
      <c r="G5047">
        <f>IFERROR(VLOOKUP($A5047,原始数据_收盘!$A$4:$G$3460,7,0),"")</f>
        <v>2.6738</v>
      </c>
      <c r="H5047">
        <f>IFERROR(VLOOKUP($A5047,原始数据_利率互换_FR007_1年!$A$6:$C$4395,2,0),"")</f>
        <v>2.3116</v>
      </c>
      <c r="I5047">
        <f>IFERROR(VLOOKUP($A5047,原始数据_利率互换_FR007_1年!$A$6:$C$4395,3,0),"")</f>
        <v>2.6739</v>
      </c>
    </row>
    <row r="5048" spans="1:9">
      <c r="A5048" s="6">
        <v>44541</v>
      </c>
      <c r="B5048" t="str">
        <f>IFERROR(VLOOKUP($A5048,原始数据_收盘!$A$4:$G$3460,2,0),"")</f>
        <v/>
      </c>
      <c r="C5048" t="str">
        <f>IFERROR(VLOOKUP($A5048,原始数据_收盘!$A$4:$G$3460,3,0),"")</f>
        <v/>
      </c>
      <c r="D5048" t="str">
        <f>IFERROR(VLOOKUP($A5048,原始数据_收盘!$A$4:$G$3460,4,0),"")</f>
        <v/>
      </c>
      <c r="E5048" t="str">
        <f>IFERROR(VLOOKUP($A5048,原始数据_收盘!$A$4:$G$3460,5,0),"")</f>
        <v/>
      </c>
      <c r="F5048" t="str">
        <f>IFERROR(VLOOKUP($A5048,原始数据_收盘!$A$4:$G$3460,6,0),"")</f>
        <v/>
      </c>
      <c r="G5048" t="str">
        <f>IFERROR(VLOOKUP($A5048,原始数据_收盘!$A$4:$G$3460,7,0),"")</f>
        <v/>
      </c>
      <c r="H5048" t="str">
        <f>IFERROR(VLOOKUP($A5048,原始数据_利率互换_FR007_1年!$A$6:$C$4395,2,0),"")</f>
        <v/>
      </c>
      <c r="I5048" t="str">
        <f>IFERROR(VLOOKUP($A5048,原始数据_利率互换_FR007_1年!$A$6:$C$4395,3,0),"")</f>
        <v/>
      </c>
    </row>
    <row r="5049" spans="1:9">
      <c r="A5049" s="6">
        <v>44542</v>
      </c>
      <c r="B5049" t="str">
        <f>IFERROR(VLOOKUP($A5049,原始数据_收盘!$A$4:$G$3460,2,0),"")</f>
        <v/>
      </c>
      <c r="C5049" t="str">
        <f>IFERROR(VLOOKUP($A5049,原始数据_收盘!$A$4:$G$3460,3,0),"")</f>
        <v/>
      </c>
      <c r="D5049" t="str">
        <f>IFERROR(VLOOKUP($A5049,原始数据_收盘!$A$4:$G$3460,4,0),"")</f>
        <v/>
      </c>
      <c r="E5049" t="str">
        <f>IFERROR(VLOOKUP($A5049,原始数据_收盘!$A$4:$G$3460,5,0),"")</f>
        <v/>
      </c>
      <c r="F5049" t="str">
        <f>IFERROR(VLOOKUP($A5049,原始数据_收盘!$A$4:$G$3460,6,0),"")</f>
        <v/>
      </c>
      <c r="G5049" t="str">
        <f>IFERROR(VLOOKUP($A5049,原始数据_收盘!$A$4:$G$3460,7,0),"")</f>
        <v/>
      </c>
      <c r="H5049" t="str">
        <f>IFERROR(VLOOKUP($A5049,原始数据_利率互换_FR007_1年!$A$6:$C$4395,2,0),"")</f>
        <v/>
      </c>
      <c r="I5049" t="str">
        <f>IFERROR(VLOOKUP($A5049,原始数据_利率互换_FR007_1年!$A$6:$C$4395,3,0),"")</f>
        <v/>
      </c>
    </row>
    <row r="5050" spans="1:9">
      <c r="A5050" s="6">
        <v>44543</v>
      </c>
      <c r="B5050">
        <f>IFERROR(VLOOKUP($A5050,原始数据_收盘!$A$4:$G$3460,2,0),"")</f>
        <v>2.295</v>
      </c>
      <c r="C5050">
        <f>IFERROR(VLOOKUP($A5050,原始数据_收盘!$A$4:$G$3460,3,0),"")</f>
        <v>2.675</v>
      </c>
      <c r="D5050">
        <f>IFERROR(VLOOKUP($A5050,原始数据_收盘!$A$4:$G$3460,4,0),"")</f>
        <v>2.2975</v>
      </c>
      <c r="E5050">
        <f>IFERROR(VLOOKUP($A5050,原始数据_收盘!$A$4:$G$3460,5,0),"")</f>
        <v>2.6775</v>
      </c>
      <c r="F5050">
        <f>IFERROR(VLOOKUP($A5050,原始数据_收盘!$A$4:$G$3460,6,0),"")</f>
        <v>2.2963</v>
      </c>
      <c r="G5050">
        <f>IFERROR(VLOOKUP($A5050,原始数据_收盘!$A$4:$G$3460,7,0),"")</f>
        <v>2.6763</v>
      </c>
      <c r="H5050">
        <f>IFERROR(VLOOKUP($A5050,原始数据_利率互换_FR007_1年!$A$6:$C$4395,2,0),"")</f>
        <v>2.2994</v>
      </c>
      <c r="I5050">
        <f>IFERROR(VLOOKUP($A5050,原始数据_利率互换_FR007_1年!$A$6:$C$4395,3,0),"")</f>
        <v>2.6795</v>
      </c>
    </row>
    <row r="5051" spans="1:9">
      <c r="A5051" s="6">
        <v>44544</v>
      </c>
      <c r="B5051">
        <f>IFERROR(VLOOKUP($A5051,原始数据_收盘!$A$4:$G$3460,2,0),"")</f>
        <v>2.2725</v>
      </c>
      <c r="C5051">
        <f>IFERROR(VLOOKUP($A5051,原始数据_收盘!$A$4:$G$3460,3,0),"")</f>
        <v>2.6475</v>
      </c>
      <c r="D5051">
        <f>IFERROR(VLOOKUP($A5051,原始数据_收盘!$A$4:$G$3460,4,0),"")</f>
        <v>2.275</v>
      </c>
      <c r="E5051">
        <f>IFERROR(VLOOKUP($A5051,原始数据_收盘!$A$4:$G$3460,5,0),"")</f>
        <v>2.65</v>
      </c>
      <c r="F5051">
        <f>IFERROR(VLOOKUP($A5051,原始数据_收盘!$A$4:$G$3460,6,0),"")</f>
        <v>2.2738</v>
      </c>
      <c r="G5051">
        <f>IFERROR(VLOOKUP($A5051,原始数据_收盘!$A$4:$G$3460,7,0),"")</f>
        <v>2.6488</v>
      </c>
      <c r="H5051">
        <f>IFERROR(VLOOKUP($A5051,原始数据_利率互换_FR007_1年!$A$6:$C$4395,2,0),"")</f>
        <v>2.276</v>
      </c>
      <c r="I5051">
        <f>IFERROR(VLOOKUP($A5051,原始数据_利率互换_FR007_1年!$A$6:$C$4395,3,0),"")</f>
        <v>2.6534</v>
      </c>
    </row>
    <row r="5052" spans="1:9">
      <c r="A5052" s="6">
        <v>44545</v>
      </c>
      <c r="B5052">
        <f>IFERROR(VLOOKUP($A5052,原始数据_收盘!$A$4:$G$3460,2,0),"")</f>
        <v>2.27</v>
      </c>
      <c r="C5052">
        <f>IFERROR(VLOOKUP($A5052,原始数据_收盘!$A$4:$G$3460,3,0),"")</f>
        <v>2.6425</v>
      </c>
      <c r="D5052">
        <f>IFERROR(VLOOKUP($A5052,原始数据_收盘!$A$4:$G$3460,4,0),"")</f>
        <v>2.273</v>
      </c>
      <c r="E5052">
        <f>IFERROR(VLOOKUP($A5052,原始数据_收盘!$A$4:$G$3460,5,0),"")</f>
        <v>2.645</v>
      </c>
      <c r="F5052">
        <f>IFERROR(VLOOKUP($A5052,原始数据_收盘!$A$4:$G$3460,6,0),"")</f>
        <v>2.2715</v>
      </c>
      <c r="G5052">
        <f>IFERROR(VLOOKUP($A5052,原始数据_收盘!$A$4:$G$3460,7,0),"")</f>
        <v>2.6438</v>
      </c>
      <c r="H5052">
        <f>IFERROR(VLOOKUP($A5052,原始数据_利率互换_FR007_1年!$A$6:$C$4395,2,0),"")</f>
        <v>2.2802</v>
      </c>
      <c r="I5052">
        <f>IFERROR(VLOOKUP($A5052,原始数据_利率互换_FR007_1年!$A$6:$C$4395,3,0),"")</f>
        <v>2.651</v>
      </c>
    </row>
    <row r="5053" spans="1:9">
      <c r="A5053" s="6">
        <v>44546</v>
      </c>
      <c r="B5053">
        <f>IFERROR(VLOOKUP($A5053,原始数据_收盘!$A$4:$G$3460,2,0),"")</f>
        <v>2.2825</v>
      </c>
      <c r="C5053">
        <f>IFERROR(VLOOKUP($A5053,原始数据_收盘!$A$4:$G$3460,3,0),"")</f>
        <v>2.6525</v>
      </c>
      <c r="D5053">
        <f>IFERROR(VLOOKUP($A5053,原始数据_收盘!$A$4:$G$3460,4,0),"")</f>
        <v>2.285</v>
      </c>
      <c r="E5053">
        <f>IFERROR(VLOOKUP($A5053,原始数据_收盘!$A$4:$G$3460,5,0),"")</f>
        <v>2.6557</v>
      </c>
      <c r="F5053">
        <f>IFERROR(VLOOKUP($A5053,原始数据_收盘!$A$4:$G$3460,6,0),"")</f>
        <v>2.2838</v>
      </c>
      <c r="G5053">
        <f>IFERROR(VLOOKUP($A5053,原始数据_收盘!$A$4:$G$3460,7,0),"")</f>
        <v>2.6541</v>
      </c>
      <c r="H5053">
        <f>IFERROR(VLOOKUP($A5053,原始数据_利率互换_FR007_1年!$A$6:$C$4395,2,0),"")</f>
        <v>2.2855</v>
      </c>
      <c r="I5053">
        <f>IFERROR(VLOOKUP($A5053,原始数据_利率互换_FR007_1年!$A$6:$C$4395,3,0),"")</f>
        <v>2.6581</v>
      </c>
    </row>
    <row r="5054" spans="1:9">
      <c r="A5054" s="6">
        <v>44547</v>
      </c>
      <c r="B5054">
        <f>IFERROR(VLOOKUP($A5054,原始数据_收盘!$A$4:$G$3460,2,0),"")</f>
        <v>2.2875</v>
      </c>
      <c r="C5054">
        <f>IFERROR(VLOOKUP($A5054,原始数据_收盘!$A$4:$G$3460,3,0),"")</f>
        <v>2.6542</v>
      </c>
      <c r="D5054">
        <f>IFERROR(VLOOKUP($A5054,原始数据_收盘!$A$4:$G$3460,4,0),"")</f>
        <v>2.2902</v>
      </c>
      <c r="E5054">
        <f>IFERROR(VLOOKUP($A5054,原始数据_收盘!$A$4:$G$3460,5,0),"")</f>
        <v>2.6581</v>
      </c>
      <c r="F5054">
        <f>IFERROR(VLOOKUP($A5054,原始数据_收盘!$A$4:$G$3460,6,0),"")</f>
        <v>2.2888</v>
      </c>
      <c r="G5054">
        <f>IFERROR(VLOOKUP($A5054,原始数据_收盘!$A$4:$G$3460,7,0),"")</f>
        <v>2.6561</v>
      </c>
      <c r="H5054">
        <f>IFERROR(VLOOKUP($A5054,原始数据_利率互换_FR007_1年!$A$6:$C$4395,2,0),"")</f>
        <v>2.2823</v>
      </c>
      <c r="I5054">
        <f>IFERROR(VLOOKUP($A5054,原始数据_利率互换_FR007_1年!$A$6:$C$4395,3,0),"")</f>
        <v>2.6465</v>
      </c>
    </row>
    <row r="5055" spans="1:9">
      <c r="A5055" s="6">
        <v>44548</v>
      </c>
      <c r="B5055" t="str">
        <f>IFERROR(VLOOKUP($A5055,原始数据_收盘!$A$4:$G$3460,2,0),"")</f>
        <v/>
      </c>
      <c r="C5055" t="str">
        <f>IFERROR(VLOOKUP($A5055,原始数据_收盘!$A$4:$G$3460,3,0),"")</f>
        <v/>
      </c>
      <c r="D5055" t="str">
        <f>IFERROR(VLOOKUP($A5055,原始数据_收盘!$A$4:$G$3460,4,0),"")</f>
        <v/>
      </c>
      <c r="E5055" t="str">
        <f>IFERROR(VLOOKUP($A5055,原始数据_收盘!$A$4:$G$3460,5,0),"")</f>
        <v/>
      </c>
      <c r="F5055" t="str">
        <f>IFERROR(VLOOKUP($A5055,原始数据_收盘!$A$4:$G$3460,6,0),"")</f>
        <v/>
      </c>
      <c r="G5055" t="str">
        <f>IFERROR(VLOOKUP($A5055,原始数据_收盘!$A$4:$G$3460,7,0),"")</f>
        <v/>
      </c>
      <c r="H5055" t="str">
        <f>IFERROR(VLOOKUP($A5055,原始数据_利率互换_FR007_1年!$A$6:$C$4395,2,0),"")</f>
        <v/>
      </c>
      <c r="I5055" t="str">
        <f>IFERROR(VLOOKUP($A5055,原始数据_利率互换_FR007_1年!$A$6:$C$4395,3,0),"")</f>
        <v/>
      </c>
    </row>
    <row r="5056" spans="1:9">
      <c r="A5056" s="6">
        <v>44549</v>
      </c>
      <c r="B5056" t="str">
        <f>IFERROR(VLOOKUP($A5056,原始数据_收盘!$A$4:$G$3460,2,0),"")</f>
        <v/>
      </c>
      <c r="C5056" t="str">
        <f>IFERROR(VLOOKUP($A5056,原始数据_收盘!$A$4:$G$3460,3,0),"")</f>
        <v/>
      </c>
      <c r="D5056" t="str">
        <f>IFERROR(VLOOKUP($A5056,原始数据_收盘!$A$4:$G$3460,4,0),"")</f>
        <v/>
      </c>
      <c r="E5056" t="str">
        <f>IFERROR(VLOOKUP($A5056,原始数据_收盘!$A$4:$G$3460,5,0),"")</f>
        <v/>
      </c>
      <c r="F5056" t="str">
        <f>IFERROR(VLOOKUP($A5056,原始数据_收盘!$A$4:$G$3460,6,0),"")</f>
        <v/>
      </c>
      <c r="G5056" t="str">
        <f>IFERROR(VLOOKUP($A5056,原始数据_收盘!$A$4:$G$3460,7,0),"")</f>
        <v/>
      </c>
      <c r="H5056" t="str">
        <f>IFERROR(VLOOKUP($A5056,原始数据_利率互换_FR007_1年!$A$6:$C$4395,2,0),"")</f>
        <v/>
      </c>
      <c r="I5056" t="str">
        <f>IFERROR(VLOOKUP($A5056,原始数据_利率互换_FR007_1年!$A$6:$C$4395,3,0),"")</f>
        <v/>
      </c>
    </row>
    <row r="5057" spans="1:9">
      <c r="A5057" s="6">
        <v>44550</v>
      </c>
      <c r="B5057">
        <f>IFERROR(VLOOKUP($A5057,原始数据_收盘!$A$4:$G$3460,2,0),"")</f>
        <v>2.3</v>
      </c>
      <c r="C5057">
        <f>IFERROR(VLOOKUP($A5057,原始数据_收盘!$A$4:$G$3460,3,0),"")</f>
        <v>2.6675</v>
      </c>
      <c r="D5057">
        <f>IFERROR(VLOOKUP($A5057,原始数据_收盘!$A$4:$G$3460,4,0),"")</f>
        <v>2.3</v>
      </c>
      <c r="E5057">
        <f>IFERROR(VLOOKUP($A5057,原始数据_收盘!$A$4:$G$3460,5,0),"")</f>
        <v>2.6725</v>
      </c>
      <c r="F5057">
        <f>IFERROR(VLOOKUP($A5057,原始数据_收盘!$A$4:$G$3460,6,0),"")</f>
        <v>2.3</v>
      </c>
      <c r="G5057">
        <f>IFERROR(VLOOKUP($A5057,原始数据_收盘!$A$4:$G$3460,7,0),"")</f>
        <v>2.67</v>
      </c>
      <c r="H5057">
        <f>IFERROR(VLOOKUP($A5057,原始数据_利率互换_FR007_1年!$A$6:$C$4395,2,0),"")</f>
        <v>2.2969</v>
      </c>
      <c r="I5057">
        <f>IFERROR(VLOOKUP($A5057,原始数据_利率互换_FR007_1年!$A$6:$C$4395,3,0),"")</f>
        <v>2.6631</v>
      </c>
    </row>
    <row r="5058" spans="1:9">
      <c r="A5058" s="6">
        <v>44551</v>
      </c>
      <c r="B5058">
        <f>IFERROR(VLOOKUP($A5058,原始数据_收盘!$A$4:$G$3460,2,0),"")</f>
        <v>2.285</v>
      </c>
      <c r="C5058">
        <f>IFERROR(VLOOKUP($A5058,原始数据_收盘!$A$4:$G$3460,3,0),"")</f>
        <v>2.655</v>
      </c>
      <c r="D5058">
        <f>IFERROR(VLOOKUP($A5058,原始数据_收盘!$A$4:$G$3460,4,0),"")</f>
        <v>2.2875</v>
      </c>
      <c r="E5058">
        <f>IFERROR(VLOOKUP($A5058,原始数据_收盘!$A$4:$G$3460,5,0),"")</f>
        <v>2.6575</v>
      </c>
      <c r="F5058">
        <f>IFERROR(VLOOKUP($A5058,原始数据_收盘!$A$4:$G$3460,6,0),"")</f>
        <v>2.2863</v>
      </c>
      <c r="G5058">
        <f>IFERROR(VLOOKUP($A5058,原始数据_收盘!$A$4:$G$3460,7,0),"")</f>
        <v>2.6563</v>
      </c>
      <c r="H5058">
        <f>IFERROR(VLOOKUP($A5058,原始数据_利率互换_FR007_1年!$A$6:$C$4395,2,0),"")</f>
        <v>2.2957</v>
      </c>
      <c r="I5058">
        <f>IFERROR(VLOOKUP($A5058,原始数据_利率互换_FR007_1年!$A$6:$C$4395,3,0),"")</f>
        <v>2.668</v>
      </c>
    </row>
    <row r="5059" spans="1:9">
      <c r="A5059" s="6">
        <v>44552</v>
      </c>
      <c r="B5059">
        <f>IFERROR(VLOOKUP($A5059,原始数据_收盘!$A$4:$G$3460,2,0),"")</f>
        <v>2.2675</v>
      </c>
      <c r="C5059">
        <f>IFERROR(VLOOKUP($A5059,原始数据_收盘!$A$4:$G$3460,3,0),"")</f>
        <v>2.64</v>
      </c>
      <c r="D5059">
        <f>IFERROR(VLOOKUP($A5059,原始数据_收盘!$A$4:$G$3460,4,0),"")</f>
        <v>2.27</v>
      </c>
      <c r="E5059">
        <f>IFERROR(VLOOKUP($A5059,原始数据_收盘!$A$4:$G$3460,5,0),"")</f>
        <v>2.6425</v>
      </c>
      <c r="F5059">
        <f>IFERROR(VLOOKUP($A5059,原始数据_收盘!$A$4:$G$3460,6,0),"")</f>
        <v>2.2688</v>
      </c>
      <c r="G5059">
        <f>IFERROR(VLOOKUP($A5059,原始数据_收盘!$A$4:$G$3460,7,0),"")</f>
        <v>2.6413</v>
      </c>
      <c r="H5059">
        <f>IFERROR(VLOOKUP($A5059,原始数据_利率互换_FR007_1年!$A$6:$C$4395,2,0),"")</f>
        <v>2.2744</v>
      </c>
      <c r="I5059">
        <f>IFERROR(VLOOKUP($A5059,原始数据_利率互换_FR007_1年!$A$6:$C$4395,3,0),"")</f>
        <v>2.6473</v>
      </c>
    </row>
    <row r="5060" spans="1:9">
      <c r="A5060" s="6">
        <v>44553</v>
      </c>
      <c r="B5060">
        <f>IFERROR(VLOOKUP($A5060,原始数据_收盘!$A$4:$G$3460,2,0),"")</f>
        <v>2.255</v>
      </c>
      <c r="C5060">
        <f>IFERROR(VLOOKUP($A5060,原始数据_收盘!$A$4:$G$3460,3,0),"")</f>
        <v>2.615</v>
      </c>
      <c r="D5060">
        <f>IFERROR(VLOOKUP($A5060,原始数据_收盘!$A$4:$G$3460,4,0),"")</f>
        <v>2.26</v>
      </c>
      <c r="E5060">
        <f>IFERROR(VLOOKUP($A5060,原始数据_收盘!$A$4:$G$3460,5,0),"")</f>
        <v>2.6175</v>
      </c>
      <c r="F5060">
        <f>IFERROR(VLOOKUP($A5060,原始数据_收盘!$A$4:$G$3460,6,0),"")</f>
        <v>2.2575</v>
      </c>
      <c r="G5060">
        <f>IFERROR(VLOOKUP($A5060,原始数据_收盘!$A$4:$G$3460,7,0),"")</f>
        <v>2.6163</v>
      </c>
      <c r="H5060">
        <f>IFERROR(VLOOKUP($A5060,原始数据_利率互换_FR007_1年!$A$6:$C$4395,2,0),"")</f>
        <v>2.2592</v>
      </c>
      <c r="I5060">
        <f>IFERROR(VLOOKUP($A5060,原始数据_利率互换_FR007_1年!$A$6:$C$4395,3,0),"")</f>
        <v>2.623</v>
      </c>
    </row>
    <row r="5061" spans="1:9">
      <c r="A5061" s="6">
        <v>44554</v>
      </c>
      <c r="B5061">
        <f>IFERROR(VLOOKUP($A5061,原始数据_收盘!$A$4:$G$3460,2,0),"")</f>
        <v>2.255</v>
      </c>
      <c r="C5061">
        <f>IFERROR(VLOOKUP($A5061,原始数据_收盘!$A$4:$G$3460,3,0),"")</f>
        <v>2.6175</v>
      </c>
      <c r="D5061">
        <f>IFERROR(VLOOKUP($A5061,原始数据_收盘!$A$4:$G$3460,4,0),"")</f>
        <v>2.2575</v>
      </c>
      <c r="E5061">
        <f>IFERROR(VLOOKUP($A5061,原始数据_收盘!$A$4:$G$3460,5,0),"")</f>
        <v>2.62</v>
      </c>
      <c r="F5061">
        <f>IFERROR(VLOOKUP($A5061,原始数据_收盘!$A$4:$G$3460,6,0),"")</f>
        <v>2.2563</v>
      </c>
      <c r="G5061">
        <f>IFERROR(VLOOKUP($A5061,原始数据_收盘!$A$4:$G$3460,7,0),"")</f>
        <v>2.6188</v>
      </c>
      <c r="H5061">
        <f>IFERROR(VLOOKUP($A5061,原始数据_利率互换_FR007_1年!$A$6:$C$4395,2,0),"")</f>
        <v>2.2574</v>
      </c>
      <c r="I5061">
        <f>IFERROR(VLOOKUP($A5061,原始数据_利率互换_FR007_1年!$A$6:$C$4395,3,0),"")</f>
        <v>2.6197</v>
      </c>
    </row>
    <row r="5062" spans="1:9">
      <c r="A5062" s="6">
        <v>44555</v>
      </c>
      <c r="B5062" t="str">
        <f>IFERROR(VLOOKUP($A5062,原始数据_收盘!$A$4:$G$3460,2,0),"")</f>
        <v/>
      </c>
      <c r="C5062" t="str">
        <f>IFERROR(VLOOKUP($A5062,原始数据_收盘!$A$4:$G$3460,3,0),"")</f>
        <v/>
      </c>
      <c r="D5062" t="str">
        <f>IFERROR(VLOOKUP($A5062,原始数据_收盘!$A$4:$G$3460,4,0),"")</f>
        <v/>
      </c>
      <c r="E5062" t="str">
        <f>IFERROR(VLOOKUP($A5062,原始数据_收盘!$A$4:$G$3460,5,0),"")</f>
        <v/>
      </c>
      <c r="F5062" t="str">
        <f>IFERROR(VLOOKUP($A5062,原始数据_收盘!$A$4:$G$3460,6,0),"")</f>
        <v/>
      </c>
      <c r="G5062" t="str">
        <f>IFERROR(VLOOKUP($A5062,原始数据_收盘!$A$4:$G$3460,7,0),"")</f>
        <v/>
      </c>
      <c r="H5062" t="str">
        <f>IFERROR(VLOOKUP($A5062,原始数据_利率互换_FR007_1年!$A$6:$C$4395,2,0),"")</f>
        <v/>
      </c>
      <c r="I5062" t="str">
        <f>IFERROR(VLOOKUP($A5062,原始数据_利率互换_FR007_1年!$A$6:$C$4395,3,0),"")</f>
        <v/>
      </c>
    </row>
    <row r="5063" spans="1:9">
      <c r="A5063" s="6">
        <v>44556</v>
      </c>
      <c r="B5063" t="str">
        <f>IFERROR(VLOOKUP($A5063,原始数据_收盘!$A$4:$G$3460,2,0),"")</f>
        <v/>
      </c>
      <c r="C5063" t="str">
        <f>IFERROR(VLOOKUP($A5063,原始数据_收盘!$A$4:$G$3460,3,0),"")</f>
        <v/>
      </c>
      <c r="D5063" t="str">
        <f>IFERROR(VLOOKUP($A5063,原始数据_收盘!$A$4:$G$3460,4,0),"")</f>
        <v/>
      </c>
      <c r="E5063" t="str">
        <f>IFERROR(VLOOKUP($A5063,原始数据_收盘!$A$4:$G$3460,5,0),"")</f>
        <v/>
      </c>
      <c r="F5063" t="str">
        <f>IFERROR(VLOOKUP($A5063,原始数据_收盘!$A$4:$G$3460,6,0),"")</f>
        <v/>
      </c>
      <c r="G5063" t="str">
        <f>IFERROR(VLOOKUP($A5063,原始数据_收盘!$A$4:$G$3460,7,0),"")</f>
        <v/>
      </c>
      <c r="H5063" t="str">
        <f>IFERROR(VLOOKUP($A5063,原始数据_利率互换_FR007_1年!$A$6:$C$4395,2,0),"")</f>
        <v/>
      </c>
      <c r="I5063" t="str">
        <f>IFERROR(VLOOKUP($A5063,原始数据_利率互换_FR007_1年!$A$6:$C$4395,3,0),"")</f>
        <v/>
      </c>
    </row>
    <row r="5064" spans="1:9">
      <c r="A5064" s="6">
        <v>44557</v>
      </c>
      <c r="B5064">
        <f>IFERROR(VLOOKUP($A5064,原始数据_收盘!$A$4:$G$3460,2,0),"")</f>
        <v>2.245</v>
      </c>
      <c r="C5064">
        <f>IFERROR(VLOOKUP($A5064,原始数据_收盘!$A$4:$G$3460,3,0),"")</f>
        <v>2.595</v>
      </c>
      <c r="D5064">
        <f>IFERROR(VLOOKUP($A5064,原始数据_收盘!$A$4:$G$3460,4,0),"")</f>
        <v>2.2486</v>
      </c>
      <c r="E5064">
        <f>IFERROR(VLOOKUP($A5064,原始数据_收盘!$A$4:$G$3460,5,0),"")</f>
        <v>2.5975</v>
      </c>
      <c r="F5064">
        <f>IFERROR(VLOOKUP($A5064,原始数据_收盘!$A$4:$G$3460,6,0),"")</f>
        <v>2.2468</v>
      </c>
      <c r="G5064">
        <f>IFERROR(VLOOKUP($A5064,原始数据_收盘!$A$4:$G$3460,7,0),"")</f>
        <v>2.5963</v>
      </c>
      <c r="H5064">
        <f>IFERROR(VLOOKUP($A5064,原始数据_利率互换_FR007_1年!$A$6:$C$4395,2,0),"")</f>
        <v>2.2424</v>
      </c>
      <c r="I5064">
        <f>IFERROR(VLOOKUP($A5064,原始数据_利率互换_FR007_1年!$A$6:$C$4395,3,0),"")</f>
        <v>2.5926</v>
      </c>
    </row>
    <row r="5065" spans="1:9">
      <c r="A5065" s="6">
        <v>44558</v>
      </c>
      <c r="B5065">
        <f>IFERROR(VLOOKUP($A5065,原始数据_收盘!$A$4:$G$3460,2,0),"")</f>
        <v>2.2391</v>
      </c>
      <c r="C5065">
        <f>IFERROR(VLOOKUP($A5065,原始数据_收盘!$A$4:$G$3460,3,0),"")</f>
        <v>2.5865</v>
      </c>
      <c r="D5065">
        <f>IFERROR(VLOOKUP($A5065,原始数据_收盘!$A$4:$G$3460,4,0),"")</f>
        <v>2.2416</v>
      </c>
      <c r="E5065">
        <f>IFERROR(VLOOKUP($A5065,原始数据_收盘!$A$4:$G$3460,5,0),"")</f>
        <v>2.5891</v>
      </c>
      <c r="F5065">
        <f>IFERROR(VLOOKUP($A5065,原始数据_收盘!$A$4:$G$3460,6,0),"")</f>
        <v>2.2404</v>
      </c>
      <c r="G5065">
        <f>IFERROR(VLOOKUP($A5065,原始数据_收盘!$A$4:$G$3460,7,0),"")</f>
        <v>2.5878</v>
      </c>
      <c r="H5065">
        <f>IFERROR(VLOOKUP($A5065,原始数据_利率互换_FR007_1年!$A$6:$C$4395,2,0),"")</f>
        <v>2.2418</v>
      </c>
      <c r="I5065">
        <f>IFERROR(VLOOKUP($A5065,原始数据_利率互换_FR007_1年!$A$6:$C$4395,3,0),"")</f>
        <v>2.5911</v>
      </c>
    </row>
    <row r="5066" spans="1:9">
      <c r="A5066" s="6">
        <v>44559</v>
      </c>
      <c r="B5066">
        <f>IFERROR(VLOOKUP($A5066,原始数据_收盘!$A$4:$G$3460,2,0),"")</f>
        <v>2.215</v>
      </c>
      <c r="C5066">
        <f>IFERROR(VLOOKUP($A5066,原始数据_收盘!$A$4:$G$3460,3,0),"")</f>
        <v>2.5568</v>
      </c>
      <c r="D5066">
        <f>IFERROR(VLOOKUP($A5066,原始数据_收盘!$A$4:$G$3460,4,0),"")</f>
        <v>2.2225</v>
      </c>
      <c r="E5066">
        <f>IFERROR(VLOOKUP($A5066,原始数据_收盘!$A$4:$G$3460,5,0),"")</f>
        <v>2.5618</v>
      </c>
      <c r="F5066">
        <f>IFERROR(VLOOKUP($A5066,原始数据_收盘!$A$4:$G$3460,6,0),"")</f>
        <v>2.2188</v>
      </c>
      <c r="G5066">
        <f>IFERROR(VLOOKUP($A5066,原始数据_收盘!$A$4:$G$3460,7,0),"")</f>
        <v>2.5593</v>
      </c>
      <c r="H5066">
        <f>IFERROR(VLOOKUP($A5066,原始数据_利率互换_FR007_1年!$A$6:$C$4395,2,0),"")</f>
        <v>2.2231</v>
      </c>
      <c r="I5066">
        <f>IFERROR(VLOOKUP($A5066,原始数据_利率互换_FR007_1年!$A$6:$C$4395,3,0),"")</f>
        <v>2.5659</v>
      </c>
    </row>
    <row r="5067" spans="1:9">
      <c r="A5067" s="6">
        <v>44560</v>
      </c>
      <c r="B5067">
        <f>IFERROR(VLOOKUP($A5067,原始数据_收盘!$A$4:$G$3460,2,0),"")</f>
        <v>2.2112</v>
      </c>
      <c r="C5067">
        <f>IFERROR(VLOOKUP($A5067,原始数据_收盘!$A$4:$G$3460,3,0),"")</f>
        <v>2.5379</v>
      </c>
      <c r="D5067">
        <f>IFERROR(VLOOKUP($A5067,原始数据_收盘!$A$4:$G$3460,4,0),"")</f>
        <v>2.2129</v>
      </c>
      <c r="E5067">
        <f>IFERROR(VLOOKUP($A5067,原始数据_收盘!$A$4:$G$3460,5,0),"")</f>
        <v>2.5404</v>
      </c>
      <c r="F5067">
        <f>IFERROR(VLOOKUP($A5067,原始数据_收盘!$A$4:$G$3460,6,0),"")</f>
        <v>2.2121</v>
      </c>
      <c r="G5067">
        <f>IFERROR(VLOOKUP($A5067,原始数据_收盘!$A$4:$G$3460,7,0),"")</f>
        <v>2.5391</v>
      </c>
      <c r="H5067">
        <f>IFERROR(VLOOKUP($A5067,原始数据_利率互换_FR007_1年!$A$6:$C$4395,2,0),"")</f>
        <v>2.2137</v>
      </c>
      <c r="I5067">
        <f>IFERROR(VLOOKUP($A5067,原始数据_利率互换_FR007_1年!$A$6:$C$4395,3,0),"")</f>
        <v>2.5556</v>
      </c>
    </row>
    <row r="5068" spans="1:9">
      <c r="A5068" s="6">
        <v>44561</v>
      </c>
      <c r="B5068">
        <f>IFERROR(VLOOKUP($A5068,原始数据_收盘!$A$4:$G$3460,2,0),"")</f>
        <v>2.2111</v>
      </c>
      <c r="C5068">
        <f>IFERROR(VLOOKUP($A5068,原始数据_收盘!$A$4:$G$3460,3,0),"")</f>
        <v>2.5536</v>
      </c>
      <c r="D5068">
        <f>IFERROR(VLOOKUP($A5068,原始数据_收盘!$A$4:$G$3460,4,0),"")</f>
        <v>2.215</v>
      </c>
      <c r="E5068">
        <f>IFERROR(VLOOKUP($A5068,原始数据_收盘!$A$4:$G$3460,5,0),"")</f>
        <v>2.56</v>
      </c>
      <c r="F5068">
        <f>IFERROR(VLOOKUP($A5068,原始数据_收盘!$A$4:$G$3460,6,0),"")</f>
        <v>2.2131</v>
      </c>
      <c r="G5068">
        <f>IFERROR(VLOOKUP($A5068,原始数据_收盘!$A$4:$G$3460,7,0),"")</f>
        <v>2.5568</v>
      </c>
      <c r="H5068">
        <f>IFERROR(VLOOKUP($A5068,原始数据_利率互换_FR007_1年!$A$6:$C$4395,2,0),"")</f>
        <v>2.198</v>
      </c>
      <c r="I5068">
        <f>IFERROR(VLOOKUP($A5068,原始数据_利率互换_FR007_1年!$A$6:$C$4395,3,0),"")</f>
        <v>2.5593</v>
      </c>
    </row>
    <row r="5069" spans="1:9">
      <c r="A5069" s="6">
        <v>44562</v>
      </c>
      <c r="B5069" t="str">
        <f>IFERROR(VLOOKUP($A5069,原始数据_收盘!$A$4:$G$3460,2,0),"")</f>
        <v/>
      </c>
      <c r="C5069" t="str">
        <f>IFERROR(VLOOKUP($A5069,原始数据_收盘!$A$4:$G$3460,3,0),"")</f>
        <v/>
      </c>
      <c r="D5069" t="str">
        <f>IFERROR(VLOOKUP($A5069,原始数据_收盘!$A$4:$G$3460,4,0),"")</f>
        <v/>
      </c>
      <c r="E5069" t="str">
        <f>IFERROR(VLOOKUP($A5069,原始数据_收盘!$A$4:$G$3460,5,0),"")</f>
        <v/>
      </c>
      <c r="F5069" t="str">
        <f>IFERROR(VLOOKUP($A5069,原始数据_收盘!$A$4:$G$3460,6,0),"")</f>
        <v/>
      </c>
      <c r="G5069" t="str">
        <f>IFERROR(VLOOKUP($A5069,原始数据_收盘!$A$4:$G$3460,7,0),"")</f>
        <v/>
      </c>
      <c r="H5069" t="str">
        <f>IFERROR(VLOOKUP($A5069,原始数据_利率互换_FR007_1年!$A$6:$C$4395,2,0),"")</f>
        <v/>
      </c>
      <c r="I5069" t="str">
        <f>IFERROR(VLOOKUP($A5069,原始数据_利率互换_FR007_1年!$A$6:$C$4395,3,0),"")</f>
        <v/>
      </c>
    </row>
    <row r="5070" spans="1:9">
      <c r="A5070" s="6">
        <v>44563</v>
      </c>
      <c r="B5070" t="str">
        <f>IFERROR(VLOOKUP($A5070,原始数据_收盘!$A$4:$G$3460,2,0),"")</f>
        <v/>
      </c>
      <c r="C5070" t="str">
        <f>IFERROR(VLOOKUP($A5070,原始数据_收盘!$A$4:$G$3460,3,0),"")</f>
        <v/>
      </c>
      <c r="D5070" t="str">
        <f>IFERROR(VLOOKUP($A5070,原始数据_收盘!$A$4:$G$3460,4,0),"")</f>
        <v/>
      </c>
      <c r="E5070" t="str">
        <f>IFERROR(VLOOKUP($A5070,原始数据_收盘!$A$4:$G$3460,5,0),"")</f>
        <v/>
      </c>
      <c r="F5070" t="str">
        <f>IFERROR(VLOOKUP($A5070,原始数据_收盘!$A$4:$G$3460,6,0),"")</f>
        <v/>
      </c>
      <c r="G5070" t="str">
        <f>IFERROR(VLOOKUP($A5070,原始数据_收盘!$A$4:$G$3460,7,0),"")</f>
        <v/>
      </c>
      <c r="H5070" t="str">
        <f>IFERROR(VLOOKUP($A5070,原始数据_利率互换_FR007_1年!$A$6:$C$4395,2,0),"")</f>
        <v/>
      </c>
      <c r="I5070" t="str">
        <f>IFERROR(VLOOKUP($A5070,原始数据_利率互换_FR007_1年!$A$6:$C$4395,3,0),"")</f>
        <v/>
      </c>
    </row>
    <row r="5071" spans="1:9">
      <c r="A5071" s="6">
        <v>44564</v>
      </c>
      <c r="B5071" t="str">
        <f>IFERROR(VLOOKUP($A5071,原始数据_收盘!$A$4:$G$3460,2,0),"")</f>
        <v/>
      </c>
      <c r="C5071" t="str">
        <f>IFERROR(VLOOKUP($A5071,原始数据_收盘!$A$4:$G$3460,3,0),"")</f>
        <v/>
      </c>
      <c r="D5071" t="str">
        <f>IFERROR(VLOOKUP($A5071,原始数据_收盘!$A$4:$G$3460,4,0),"")</f>
        <v/>
      </c>
      <c r="E5071" t="str">
        <f>IFERROR(VLOOKUP($A5071,原始数据_收盘!$A$4:$G$3460,5,0),"")</f>
        <v/>
      </c>
      <c r="F5071" t="str">
        <f>IFERROR(VLOOKUP($A5071,原始数据_收盘!$A$4:$G$3460,6,0),"")</f>
        <v/>
      </c>
      <c r="G5071" t="str">
        <f>IFERROR(VLOOKUP($A5071,原始数据_收盘!$A$4:$G$3460,7,0),"")</f>
        <v/>
      </c>
      <c r="H5071" t="str">
        <f>IFERROR(VLOOKUP($A5071,原始数据_利率互换_FR007_1年!$A$6:$C$4395,2,0),"")</f>
        <v/>
      </c>
      <c r="I5071" t="str">
        <f>IFERROR(VLOOKUP($A5071,原始数据_利率互换_FR007_1年!$A$6:$C$4395,3,0),"")</f>
        <v/>
      </c>
    </row>
    <row r="5072" spans="1:9">
      <c r="A5072" s="6">
        <v>44565</v>
      </c>
      <c r="B5072">
        <f>IFERROR(VLOOKUP($A5072,原始数据_收盘!$A$4:$G$3460,2,0),"")</f>
        <v>2.21</v>
      </c>
      <c r="C5072">
        <f>IFERROR(VLOOKUP($A5072,原始数据_收盘!$A$4:$G$3460,3,0),"")</f>
        <v>2.5675</v>
      </c>
      <c r="D5072">
        <f>IFERROR(VLOOKUP($A5072,原始数据_收盘!$A$4:$G$3460,4,0),"")</f>
        <v>2.215</v>
      </c>
      <c r="E5072">
        <f>IFERROR(VLOOKUP($A5072,原始数据_收盘!$A$4:$G$3460,5,0),"")</f>
        <v>2.57</v>
      </c>
      <c r="F5072">
        <f>IFERROR(VLOOKUP($A5072,原始数据_收盘!$A$4:$G$3460,6,0),"")</f>
        <v>2.2125</v>
      </c>
      <c r="G5072">
        <f>IFERROR(VLOOKUP($A5072,原始数据_收盘!$A$4:$G$3460,7,0),"")</f>
        <v>2.5688</v>
      </c>
      <c r="H5072">
        <f>IFERROR(VLOOKUP($A5072,原始数据_利率互换_FR007_1年!$A$6:$C$4395,2,0),"")</f>
        <v>2.2214</v>
      </c>
      <c r="I5072">
        <f>IFERROR(VLOOKUP($A5072,原始数据_利率互换_FR007_1年!$A$6:$C$4395,3,0),"")</f>
        <v>2.5802</v>
      </c>
    </row>
    <row r="5073" spans="1:9">
      <c r="A5073" s="6">
        <v>44566</v>
      </c>
      <c r="B5073">
        <f>IFERROR(VLOOKUP($A5073,原始数据_收盘!$A$4:$G$3460,2,0),"")</f>
        <v>2.2275</v>
      </c>
      <c r="C5073">
        <f>IFERROR(VLOOKUP($A5073,原始数据_收盘!$A$4:$G$3460,3,0),"")</f>
        <v>2.5865</v>
      </c>
      <c r="D5073">
        <f>IFERROR(VLOOKUP($A5073,原始数据_收盘!$A$4:$G$3460,4,0),"")</f>
        <v>2.23</v>
      </c>
      <c r="E5073">
        <f>IFERROR(VLOOKUP($A5073,原始数据_收盘!$A$4:$G$3460,5,0),"")</f>
        <v>2.5904</v>
      </c>
      <c r="F5073">
        <f>IFERROR(VLOOKUP($A5073,原始数据_收盘!$A$4:$G$3460,6,0),"")</f>
        <v>2.2288</v>
      </c>
      <c r="G5073">
        <f>IFERROR(VLOOKUP($A5073,原始数据_收盘!$A$4:$G$3460,7,0),"")</f>
        <v>2.5885</v>
      </c>
      <c r="H5073">
        <f>IFERROR(VLOOKUP($A5073,原始数据_利率互换_FR007_1年!$A$6:$C$4395,2,0),"")</f>
        <v>2.2193</v>
      </c>
      <c r="I5073">
        <f>IFERROR(VLOOKUP($A5073,原始数据_利率互换_FR007_1年!$A$6:$C$4395,3,0),"")</f>
        <v>2.5808</v>
      </c>
    </row>
    <row r="5074" spans="1:9">
      <c r="A5074" s="6">
        <v>44567</v>
      </c>
      <c r="B5074">
        <f>IFERROR(VLOOKUP($A5074,原始数据_收盘!$A$4:$G$3460,2,0),"")</f>
        <v>2.24</v>
      </c>
      <c r="C5074">
        <f>IFERROR(VLOOKUP($A5074,原始数据_收盘!$A$4:$G$3460,3,0),"")</f>
        <v>2.6075</v>
      </c>
      <c r="D5074">
        <f>IFERROR(VLOOKUP($A5074,原始数据_收盘!$A$4:$G$3460,4,0),"")</f>
        <v>2.2425</v>
      </c>
      <c r="E5074">
        <f>IFERROR(VLOOKUP($A5074,原始数据_收盘!$A$4:$G$3460,5,0),"")</f>
        <v>2.61</v>
      </c>
      <c r="F5074">
        <f>IFERROR(VLOOKUP($A5074,原始数据_收盘!$A$4:$G$3460,6,0),"")</f>
        <v>2.2413</v>
      </c>
      <c r="G5074">
        <f>IFERROR(VLOOKUP($A5074,原始数据_收盘!$A$4:$G$3460,7,0),"")</f>
        <v>2.6088</v>
      </c>
      <c r="H5074">
        <f>IFERROR(VLOOKUP($A5074,原始数据_利率互换_FR007_1年!$A$6:$C$4395,2,0),"")</f>
        <v>2.2439</v>
      </c>
      <c r="I5074">
        <f>IFERROR(VLOOKUP($A5074,原始数据_利率互换_FR007_1年!$A$6:$C$4395,3,0),"")</f>
        <v>2.6052</v>
      </c>
    </row>
    <row r="5075" spans="1:9">
      <c r="A5075" s="6">
        <v>44568</v>
      </c>
      <c r="B5075">
        <f>IFERROR(VLOOKUP($A5075,原始数据_收盘!$A$4:$G$3460,2,0),"")</f>
        <v>2.2325</v>
      </c>
      <c r="C5075">
        <f>IFERROR(VLOOKUP($A5075,原始数据_收盘!$A$4:$G$3460,3,0),"")</f>
        <v>2.595</v>
      </c>
      <c r="D5075">
        <f>IFERROR(VLOOKUP($A5075,原始数据_收盘!$A$4:$G$3460,4,0),"")</f>
        <v>2.235</v>
      </c>
      <c r="E5075">
        <f>IFERROR(VLOOKUP($A5075,原始数据_收盘!$A$4:$G$3460,5,0),"")</f>
        <v>2.5975</v>
      </c>
      <c r="F5075">
        <f>IFERROR(VLOOKUP($A5075,原始数据_收盘!$A$4:$G$3460,6,0),"")</f>
        <v>2.2338</v>
      </c>
      <c r="G5075">
        <f>IFERROR(VLOOKUP($A5075,原始数据_收盘!$A$4:$G$3460,7,0),"")</f>
        <v>2.5963</v>
      </c>
      <c r="H5075">
        <f>IFERROR(VLOOKUP($A5075,原始数据_利率互换_FR007_1年!$A$6:$C$4395,2,0),"")</f>
        <v>2.2383</v>
      </c>
      <c r="I5075">
        <f>IFERROR(VLOOKUP($A5075,原始数据_利率互换_FR007_1年!$A$6:$C$4395,3,0),"")</f>
        <v>2.6027</v>
      </c>
    </row>
    <row r="5076" spans="1:9">
      <c r="A5076" s="6">
        <v>44569</v>
      </c>
      <c r="B5076" t="str">
        <f>IFERROR(VLOOKUP($A5076,原始数据_收盘!$A$4:$G$3460,2,0),"")</f>
        <v/>
      </c>
      <c r="C5076" t="str">
        <f>IFERROR(VLOOKUP($A5076,原始数据_收盘!$A$4:$G$3460,3,0),"")</f>
        <v/>
      </c>
      <c r="D5076" t="str">
        <f>IFERROR(VLOOKUP($A5076,原始数据_收盘!$A$4:$G$3460,4,0),"")</f>
        <v/>
      </c>
      <c r="E5076" t="str">
        <f>IFERROR(VLOOKUP($A5076,原始数据_收盘!$A$4:$G$3460,5,0),"")</f>
        <v/>
      </c>
      <c r="F5076" t="str">
        <f>IFERROR(VLOOKUP($A5076,原始数据_收盘!$A$4:$G$3460,6,0),"")</f>
        <v/>
      </c>
      <c r="G5076" t="str">
        <f>IFERROR(VLOOKUP($A5076,原始数据_收盘!$A$4:$G$3460,7,0),"")</f>
        <v/>
      </c>
      <c r="H5076" t="str">
        <f>IFERROR(VLOOKUP($A5076,原始数据_利率互换_FR007_1年!$A$6:$C$4395,2,0),"")</f>
        <v/>
      </c>
      <c r="I5076" t="str">
        <f>IFERROR(VLOOKUP($A5076,原始数据_利率互换_FR007_1年!$A$6:$C$4395,3,0),"")</f>
        <v/>
      </c>
    </row>
    <row r="5077" spans="1:9">
      <c r="A5077" s="6">
        <v>44570</v>
      </c>
      <c r="B5077" t="str">
        <f>IFERROR(VLOOKUP($A5077,原始数据_收盘!$A$4:$G$3460,2,0),"")</f>
        <v/>
      </c>
      <c r="C5077" t="str">
        <f>IFERROR(VLOOKUP($A5077,原始数据_收盘!$A$4:$G$3460,3,0),"")</f>
        <v/>
      </c>
      <c r="D5077" t="str">
        <f>IFERROR(VLOOKUP($A5077,原始数据_收盘!$A$4:$G$3460,4,0),"")</f>
        <v/>
      </c>
      <c r="E5077" t="str">
        <f>IFERROR(VLOOKUP($A5077,原始数据_收盘!$A$4:$G$3460,5,0),"")</f>
        <v/>
      </c>
      <c r="F5077" t="str">
        <f>IFERROR(VLOOKUP($A5077,原始数据_收盘!$A$4:$G$3460,6,0),"")</f>
        <v/>
      </c>
      <c r="G5077" t="str">
        <f>IFERROR(VLOOKUP($A5077,原始数据_收盘!$A$4:$G$3460,7,0),"")</f>
        <v/>
      </c>
      <c r="H5077" t="str">
        <f>IFERROR(VLOOKUP($A5077,原始数据_利率互换_FR007_1年!$A$6:$C$4395,2,0),"")</f>
        <v/>
      </c>
      <c r="I5077" t="str">
        <f>IFERROR(VLOOKUP($A5077,原始数据_利率互换_FR007_1年!$A$6:$C$4395,3,0),"")</f>
        <v/>
      </c>
    </row>
    <row r="5078" spans="1:9">
      <c r="A5078" s="6">
        <v>44571</v>
      </c>
      <c r="B5078">
        <f>IFERROR(VLOOKUP($A5078,原始数据_收盘!$A$4:$G$3460,2,0),"")</f>
        <v>2.2175</v>
      </c>
      <c r="C5078">
        <f>IFERROR(VLOOKUP($A5078,原始数据_收盘!$A$4:$G$3460,3,0),"")</f>
        <v>2.5731</v>
      </c>
      <c r="D5078">
        <f>IFERROR(VLOOKUP($A5078,原始数据_收盘!$A$4:$G$3460,4,0),"")</f>
        <v>2.22</v>
      </c>
      <c r="E5078">
        <f>IFERROR(VLOOKUP($A5078,原始数据_收盘!$A$4:$G$3460,5,0),"")</f>
        <v>2.5775</v>
      </c>
      <c r="F5078">
        <f>IFERROR(VLOOKUP($A5078,原始数据_收盘!$A$4:$G$3460,6,0),"")</f>
        <v>2.2188</v>
      </c>
      <c r="G5078">
        <f>IFERROR(VLOOKUP($A5078,原始数据_收盘!$A$4:$G$3460,7,0),"")</f>
        <v>2.5753</v>
      </c>
      <c r="H5078">
        <f>IFERROR(VLOOKUP($A5078,原始数据_利率互换_FR007_1年!$A$6:$C$4395,2,0),"")</f>
        <v>2.2237</v>
      </c>
      <c r="I5078">
        <f>IFERROR(VLOOKUP($A5078,原始数据_利率互换_FR007_1年!$A$6:$C$4395,3,0),"")</f>
        <v>2.5829</v>
      </c>
    </row>
    <row r="5079" spans="1:9">
      <c r="A5079" s="6">
        <v>44572</v>
      </c>
      <c r="B5079">
        <f>IFERROR(VLOOKUP($A5079,原始数据_收盘!$A$4:$G$3460,2,0),"")</f>
        <v>2.2125</v>
      </c>
      <c r="C5079">
        <f>IFERROR(VLOOKUP($A5079,原始数据_收盘!$A$4:$G$3460,3,0),"")</f>
        <v>2.5625</v>
      </c>
      <c r="D5079">
        <f>IFERROR(VLOOKUP($A5079,原始数据_收盘!$A$4:$G$3460,4,0),"")</f>
        <v>2.215</v>
      </c>
      <c r="E5079">
        <f>IFERROR(VLOOKUP($A5079,原始数据_收盘!$A$4:$G$3460,5,0),"")</f>
        <v>2.565</v>
      </c>
      <c r="F5079">
        <f>IFERROR(VLOOKUP($A5079,原始数据_收盘!$A$4:$G$3460,6,0),"")</f>
        <v>2.2138</v>
      </c>
      <c r="G5079">
        <f>IFERROR(VLOOKUP($A5079,原始数据_收盘!$A$4:$G$3460,7,0),"")</f>
        <v>2.5638</v>
      </c>
      <c r="H5079">
        <f>IFERROR(VLOOKUP($A5079,原始数据_利率互换_FR007_1年!$A$6:$C$4395,2,0),"")</f>
        <v>2.2201</v>
      </c>
      <c r="I5079">
        <f>IFERROR(VLOOKUP($A5079,原始数据_利率互换_FR007_1年!$A$6:$C$4395,3,0),"")</f>
        <v>2.5742</v>
      </c>
    </row>
    <row r="5080" spans="1:9">
      <c r="A5080" s="6">
        <v>44573</v>
      </c>
      <c r="B5080">
        <f>IFERROR(VLOOKUP($A5080,原始数据_收盘!$A$4:$G$3460,2,0),"")</f>
        <v>2.22</v>
      </c>
      <c r="C5080">
        <f>IFERROR(VLOOKUP($A5080,原始数据_收盘!$A$4:$G$3460,3,0),"")</f>
        <v>2.5717</v>
      </c>
      <c r="D5080">
        <f>IFERROR(VLOOKUP($A5080,原始数据_收盘!$A$4:$G$3460,4,0),"")</f>
        <v>2.2225</v>
      </c>
      <c r="E5080">
        <f>IFERROR(VLOOKUP($A5080,原始数据_收盘!$A$4:$G$3460,5,0),"")</f>
        <v>2.5737</v>
      </c>
      <c r="F5080">
        <f>IFERROR(VLOOKUP($A5080,原始数据_收盘!$A$4:$G$3460,6,0),"")</f>
        <v>2.2213</v>
      </c>
      <c r="G5080">
        <f>IFERROR(VLOOKUP($A5080,原始数据_收盘!$A$4:$G$3460,7,0),"")</f>
        <v>2.5727</v>
      </c>
      <c r="H5080">
        <f>IFERROR(VLOOKUP($A5080,原始数据_利率互换_FR007_1年!$A$6:$C$4395,2,0),"")</f>
        <v>2.216</v>
      </c>
      <c r="I5080">
        <f>IFERROR(VLOOKUP($A5080,原始数据_利率互换_FR007_1年!$A$6:$C$4395,3,0),"")</f>
        <v>2.5621</v>
      </c>
    </row>
    <row r="5081" spans="1:9">
      <c r="A5081" s="6">
        <v>44574</v>
      </c>
      <c r="B5081">
        <f>IFERROR(VLOOKUP($A5081,原始数据_收盘!$A$4:$G$3460,2,0),"")</f>
        <v>2.2175</v>
      </c>
      <c r="C5081">
        <f>IFERROR(VLOOKUP($A5081,原始数据_收盘!$A$4:$G$3460,3,0),"")</f>
        <v>2.565</v>
      </c>
      <c r="D5081">
        <f>IFERROR(VLOOKUP($A5081,原始数据_收盘!$A$4:$G$3460,4,0),"")</f>
        <v>2.22</v>
      </c>
      <c r="E5081">
        <f>IFERROR(VLOOKUP($A5081,原始数据_收盘!$A$4:$G$3460,5,0),"")</f>
        <v>2.5675</v>
      </c>
      <c r="F5081">
        <f>IFERROR(VLOOKUP($A5081,原始数据_收盘!$A$4:$G$3460,6,0),"")</f>
        <v>2.2188</v>
      </c>
      <c r="G5081">
        <f>IFERROR(VLOOKUP($A5081,原始数据_收盘!$A$4:$G$3460,7,0),"")</f>
        <v>2.5663</v>
      </c>
      <c r="H5081">
        <f>IFERROR(VLOOKUP($A5081,原始数据_利率互换_FR007_1年!$A$6:$C$4395,2,0),"")</f>
        <v>2.2202</v>
      </c>
      <c r="I5081">
        <f>IFERROR(VLOOKUP($A5081,原始数据_利率互换_FR007_1年!$A$6:$C$4395,3,0),"")</f>
        <v>2.5684</v>
      </c>
    </row>
    <row r="5082" spans="1:9">
      <c r="A5082" s="6">
        <v>44575</v>
      </c>
      <c r="B5082">
        <f>IFERROR(VLOOKUP($A5082,原始数据_收盘!$A$4:$G$3460,2,0),"")</f>
        <v>2.2175</v>
      </c>
      <c r="C5082">
        <f>IFERROR(VLOOKUP($A5082,原始数据_收盘!$A$4:$G$3460,3,0),"")</f>
        <v>2.5679</v>
      </c>
      <c r="D5082">
        <f>IFERROR(VLOOKUP($A5082,原始数据_收盘!$A$4:$G$3460,4,0),"")</f>
        <v>2.22</v>
      </c>
      <c r="E5082">
        <f>IFERROR(VLOOKUP($A5082,原始数据_收盘!$A$4:$G$3460,5,0),"")</f>
        <v>2.5705</v>
      </c>
      <c r="F5082">
        <f>IFERROR(VLOOKUP($A5082,原始数据_收盘!$A$4:$G$3460,6,0),"")</f>
        <v>2.2188</v>
      </c>
      <c r="G5082">
        <f>IFERROR(VLOOKUP($A5082,原始数据_收盘!$A$4:$G$3460,7,0),"")</f>
        <v>2.5692</v>
      </c>
      <c r="H5082">
        <f>IFERROR(VLOOKUP($A5082,原始数据_利率互换_FR007_1年!$A$6:$C$4395,2,0),"")</f>
        <v>2.218</v>
      </c>
      <c r="I5082">
        <f>IFERROR(VLOOKUP($A5082,原始数据_利率互换_FR007_1年!$A$6:$C$4395,3,0),"")</f>
        <v>2.5686</v>
      </c>
    </row>
    <row r="5083" spans="1:9">
      <c r="A5083" s="6">
        <v>44576</v>
      </c>
      <c r="B5083" t="str">
        <f>IFERROR(VLOOKUP($A5083,原始数据_收盘!$A$4:$G$3460,2,0),"")</f>
        <v/>
      </c>
      <c r="C5083" t="str">
        <f>IFERROR(VLOOKUP($A5083,原始数据_收盘!$A$4:$G$3460,3,0),"")</f>
        <v/>
      </c>
      <c r="D5083" t="str">
        <f>IFERROR(VLOOKUP($A5083,原始数据_收盘!$A$4:$G$3460,4,0),"")</f>
        <v/>
      </c>
      <c r="E5083" t="str">
        <f>IFERROR(VLOOKUP($A5083,原始数据_收盘!$A$4:$G$3460,5,0),"")</f>
        <v/>
      </c>
      <c r="F5083" t="str">
        <f>IFERROR(VLOOKUP($A5083,原始数据_收盘!$A$4:$G$3460,6,0),"")</f>
        <v/>
      </c>
      <c r="G5083" t="str">
        <f>IFERROR(VLOOKUP($A5083,原始数据_收盘!$A$4:$G$3460,7,0),"")</f>
        <v/>
      </c>
      <c r="H5083" t="str">
        <f>IFERROR(VLOOKUP($A5083,原始数据_利率互换_FR007_1年!$A$6:$C$4395,2,0),"")</f>
        <v/>
      </c>
      <c r="I5083" t="str">
        <f>IFERROR(VLOOKUP($A5083,原始数据_利率互换_FR007_1年!$A$6:$C$4395,3,0),"")</f>
        <v/>
      </c>
    </row>
    <row r="5084" spans="1:9">
      <c r="A5084" s="6">
        <v>44577</v>
      </c>
      <c r="B5084" t="str">
        <f>IFERROR(VLOOKUP($A5084,原始数据_收盘!$A$4:$G$3460,2,0),"")</f>
        <v/>
      </c>
      <c r="C5084" t="str">
        <f>IFERROR(VLOOKUP($A5084,原始数据_收盘!$A$4:$G$3460,3,0),"")</f>
        <v/>
      </c>
      <c r="D5084" t="str">
        <f>IFERROR(VLOOKUP($A5084,原始数据_收盘!$A$4:$G$3460,4,0),"")</f>
        <v/>
      </c>
      <c r="E5084" t="str">
        <f>IFERROR(VLOOKUP($A5084,原始数据_收盘!$A$4:$G$3460,5,0),"")</f>
        <v/>
      </c>
      <c r="F5084" t="str">
        <f>IFERROR(VLOOKUP($A5084,原始数据_收盘!$A$4:$G$3460,6,0),"")</f>
        <v/>
      </c>
      <c r="G5084" t="str">
        <f>IFERROR(VLOOKUP($A5084,原始数据_收盘!$A$4:$G$3460,7,0),"")</f>
        <v/>
      </c>
      <c r="H5084" t="str">
        <f>IFERROR(VLOOKUP($A5084,原始数据_利率互换_FR007_1年!$A$6:$C$4395,2,0),"")</f>
        <v/>
      </c>
      <c r="I5084" t="str">
        <f>IFERROR(VLOOKUP($A5084,原始数据_利率互换_FR007_1年!$A$6:$C$4395,3,0),"")</f>
        <v/>
      </c>
    </row>
    <row r="5085" spans="1:9">
      <c r="A5085" s="6">
        <v>44578</v>
      </c>
      <c r="B5085">
        <f>IFERROR(VLOOKUP($A5085,原始数据_收盘!$A$4:$G$3460,2,0),"")</f>
        <v>2.1677</v>
      </c>
      <c r="C5085">
        <f>IFERROR(VLOOKUP($A5085,原始数据_收盘!$A$4:$G$3460,3,0),"")</f>
        <v>2.5325</v>
      </c>
      <c r="D5085">
        <f>IFERROR(VLOOKUP($A5085,原始数据_收盘!$A$4:$G$3460,4,0),"")</f>
        <v>2.1703</v>
      </c>
      <c r="E5085">
        <f>IFERROR(VLOOKUP($A5085,原始数据_收盘!$A$4:$G$3460,5,0),"")</f>
        <v>2.535</v>
      </c>
      <c r="F5085">
        <f>IFERROR(VLOOKUP($A5085,原始数据_收盘!$A$4:$G$3460,6,0),"")</f>
        <v>2.169</v>
      </c>
      <c r="G5085">
        <f>IFERROR(VLOOKUP($A5085,原始数据_收盘!$A$4:$G$3460,7,0),"")</f>
        <v>2.5338</v>
      </c>
      <c r="H5085">
        <f>IFERROR(VLOOKUP($A5085,原始数据_利率互换_FR007_1年!$A$6:$C$4395,2,0),"")</f>
        <v>2.1738</v>
      </c>
      <c r="I5085">
        <f>IFERROR(VLOOKUP($A5085,原始数据_利率互换_FR007_1年!$A$6:$C$4395,3,0),"")</f>
        <v>2.5396</v>
      </c>
    </row>
    <row r="5086" spans="1:9">
      <c r="A5086" s="6">
        <v>44579</v>
      </c>
      <c r="B5086">
        <f>IFERROR(VLOOKUP($A5086,原始数据_收盘!$A$4:$G$3460,2,0),"")</f>
        <v>2.1197</v>
      </c>
      <c r="C5086">
        <f>IFERROR(VLOOKUP($A5086,原始数据_收盘!$A$4:$G$3460,3,0),"")</f>
        <v>2.4754</v>
      </c>
      <c r="D5086">
        <f>IFERROR(VLOOKUP($A5086,原始数据_收盘!$A$4:$G$3460,4,0),"")</f>
        <v>2.1226</v>
      </c>
      <c r="E5086">
        <f>IFERROR(VLOOKUP($A5086,原始数据_收盘!$A$4:$G$3460,5,0),"")</f>
        <v>2.4791</v>
      </c>
      <c r="F5086">
        <f>IFERROR(VLOOKUP($A5086,原始数据_收盘!$A$4:$G$3460,6,0),"")</f>
        <v>2.1211</v>
      </c>
      <c r="G5086">
        <f>IFERROR(VLOOKUP($A5086,原始数据_收盘!$A$4:$G$3460,7,0),"")</f>
        <v>2.4772</v>
      </c>
      <c r="H5086">
        <f>IFERROR(VLOOKUP($A5086,原始数据_利率互换_FR007_1年!$A$6:$C$4395,2,0),"")</f>
        <v>2.1285</v>
      </c>
      <c r="I5086">
        <f>IFERROR(VLOOKUP($A5086,原始数据_利率互换_FR007_1年!$A$6:$C$4395,3,0),"")</f>
        <v>2.4914</v>
      </c>
    </row>
    <row r="5087" spans="1:9">
      <c r="A5087" s="6">
        <v>44580</v>
      </c>
      <c r="B5087">
        <f>IFERROR(VLOOKUP($A5087,原始数据_收盘!$A$4:$G$3460,2,0),"")</f>
        <v>2.12</v>
      </c>
      <c r="C5087">
        <f>IFERROR(VLOOKUP($A5087,原始数据_收盘!$A$4:$G$3460,3,0),"")</f>
        <v>2.4598</v>
      </c>
      <c r="D5087">
        <f>IFERROR(VLOOKUP($A5087,原始数据_收盘!$A$4:$G$3460,4,0),"")</f>
        <v>2.125</v>
      </c>
      <c r="E5087">
        <f>IFERROR(VLOOKUP($A5087,原始数据_收盘!$A$4:$G$3460,5,0),"")</f>
        <v>2.4616</v>
      </c>
      <c r="F5087">
        <f>IFERROR(VLOOKUP($A5087,原始数据_收盘!$A$4:$G$3460,6,0),"")</f>
        <v>2.1225</v>
      </c>
      <c r="G5087">
        <f>IFERROR(VLOOKUP($A5087,原始数据_收盘!$A$4:$G$3460,7,0),"")</f>
        <v>2.4607</v>
      </c>
      <c r="H5087">
        <f>IFERROR(VLOOKUP($A5087,原始数据_利率互换_FR007_1年!$A$6:$C$4395,2,0),"")</f>
        <v>2.1054</v>
      </c>
      <c r="I5087">
        <f>IFERROR(VLOOKUP($A5087,原始数据_利率互换_FR007_1年!$A$6:$C$4395,3,0),"")</f>
        <v>2.442</v>
      </c>
    </row>
    <row r="5088" spans="1:9">
      <c r="A5088" s="6">
        <v>44581</v>
      </c>
      <c r="B5088">
        <f>IFERROR(VLOOKUP($A5088,原始数据_收盘!$A$4:$G$3460,2,0),"")</f>
        <v>2.1175</v>
      </c>
      <c r="C5088">
        <f>IFERROR(VLOOKUP($A5088,原始数据_收盘!$A$4:$G$3460,3,0),"")</f>
        <v>2.45</v>
      </c>
      <c r="D5088">
        <f>IFERROR(VLOOKUP($A5088,原始数据_收盘!$A$4:$G$3460,4,0),"")</f>
        <v>2.12</v>
      </c>
      <c r="E5088">
        <f>IFERROR(VLOOKUP($A5088,原始数据_收盘!$A$4:$G$3460,5,0),"")</f>
        <v>2.4525</v>
      </c>
      <c r="F5088">
        <f>IFERROR(VLOOKUP($A5088,原始数据_收盘!$A$4:$G$3460,6,0),"")</f>
        <v>2.1188</v>
      </c>
      <c r="G5088">
        <f>IFERROR(VLOOKUP($A5088,原始数据_收盘!$A$4:$G$3460,7,0),"")</f>
        <v>2.4513</v>
      </c>
      <c r="H5088">
        <f>IFERROR(VLOOKUP($A5088,原始数据_利率互换_FR007_1年!$A$6:$C$4395,2,0),"")</f>
        <v>2.1155</v>
      </c>
      <c r="I5088">
        <f>IFERROR(VLOOKUP($A5088,原始数据_利率互换_FR007_1年!$A$6:$C$4395,3,0),"")</f>
        <v>2.4539</v>
      </c>
    </row>
    <row r="5089" spans="1:9">
      <c r="A5089" s="6">
        <v>44582</v>
      </c>
      <c r="B5089">
        <f>IFERROR(VLOOKUP($A5089,原始数据_收盘!$A$4:$G$3460,2,0),"")</f>
        <v>2.0955</v>
      </c>
      <c r="C5089">
        <f>IFERROR(VLOOKUP($A5089,原始数据_收盘!$A$4:$G$3460,3,0),"")</f>
        <v>2.425</v>
      </c>
      <c r="D5089">
        <f>IFERROR(VLOOKUP($A5089,原始数据_收盘!$A$4:$G$3460,4,0),"")</f>
        <v>2.102</v>
      </c>
      <c r="E5089">
        <f>IFERROR(VLOOKUP($A5089,原始数据_收盘!$A$4:$G$3460,5,0),"")</f>
        <v>2.4275</v>
      </c>
      <c r="F5089">
        <f>IFERROR(VLOOKUP($A5089,原始数据_收盘!$A$4:$G$3460,6,0),"")</f>
        <v>2.0988</v>
      </c>
      <c r="G5089">
        <f>IFERROR(VLOOKUP($A5089,原始数据_收盘!$A$4:$G$3460,7,0),"")</f>
        <v>2.4263</v>
      </c>
      <c r="H5089">
        <f>IFERROR(VLOOKUP($A5089,原始数据_利率互换_FR007_1年!$A$6:$C$4395,2,0),"")</f>
        <v>2.1074</v>
      </c>
      <c r="I5089">
        <f>IFERROR(VLOOKUP($A5089,原始数据_利率互换_FR007_1年!$A$6:$C$4395,3,0),"")</f>
        <v>2.4362</v>
      </c>
    </row>
    <row r="5090" spans="1:9">
      <c r="A5090" s="6">
        <v>44583</v>
      </c>
      <c r="B5090" t="str">
        <f>IFERROR(VLOOKUP($A5090,原始数据_收盘!$A$4:$G$3460,2,0),"")</f>
        <v/>
      </c>
      <c r="C5090" t="str">
        <f>IFERROR(VLOOKUP($A5090,原始数据_收盘!$A$4:$G$3460,3,0),"")</f>
        <v/>
      </c>
      <c r="D5090" t="str">
        <f>IFERROR(VLOOKUP($A5090,原始数据_收盘!$A$4:$G$3460,4,0),"")</f>
        <v/>
      </c>
      <c r="E5090" t="str">
        <f>IFERROR(VLOOKUP($A5090,原始数据_收盘!$A$4:$G$3460,5,0),"")</f>
        <v/>
      </c>
      <c r="F5090" t="str">
        <f>IFERROR(VLOOKUP($A5090,原始数据_收盘!$A$4:$G$3460,6,0),"")</f>
        <v/>
      </c>
      <c r="G5090" t="str">
        <f>IFERROR(VLOOKUP($A5090,原始数据_收盘!$A$4:$G$3460,7,0),"")</f>
        <v/>
      </c>
      <c r="H5090" t="str">
        <f>IFERROR(VLOOKUP($A5090,原始数据_利率互换_FR007_1年!$A$6:$C$4395,2,0),"")</f>
        <v/>
      </c>
      <c r="I5090" t="str">
        <f>IFERROR(VLOOKUP($A5090,原始数据_利率互换_FR007_1年!$A$6:$C$4395,3,0),"")</f>
        <v/>
      </c>
    </row>
    <row r="5091" spans="1:9">
      <c r="A5091" s="6">
        <v>44584</v>
      </c>
      <c r="B5091" t="str">
        <f>IFERROR(VLOOKUP($A5091,原始数据_收盘!$A$4:$G$3460,2,0),"")</f>
        <v/>
      </c>
      <c r="C5091" t="str">
        <f>IFERROR(VLOOKUP($A5091,原始数据_收盘!$A$4:$G$3460,3,0),"")</f>
        <v/>
      </c>
      <c r="D5091" t="str">
        <f>IFERROR(VLOOKUP($A5091,原始数据_收盘!$A$4:$G$3460,4,0),"")</f>
        <v/>
      </c>
      <c r="E5091" t="str">
        <f>IFERROR(VLOOKUP($A5091,原始数据_收盘!$A$4:$G$3460,5,0),"")</f>
        <v/>
      </c>
      <c r="F5091" t="str">
        <f>IFERROR(VLOOKUP($A5091,原始数据_收盘!$A$4:$G$3460,6,0),"")</f>
        <v/>
      </c>
      <c r="G5091" t="str">
        <f>IFERROR(VLOOKUP($A5091,原始数据_收盘!$A$4:$G$3460,7,0),"")</f>
        <v/>
      </c>
      <c r="H5091" t="str">
        <f>IFERROR(VLOOKUP($A5091,原始数据_利率互换_FR007_1年!$A$6:$C$4395,2,0),"")</f>
        <v/>
      </c>
      <c r="I5091" t="str">
        <f>IFERROR(VLOOKUP($A5091,原始数据_利率互换_FR007_1年!$A$6:$C$4395,3,0),"")</f>
        <v/>
      </c>
    </row>
    <row r="5092" spans="1:9">
      <c r="A5092" s="6">
        <v>44585</v>
      </c>
      <c r="B5092">
        <f>IFERROR(VLOOKUP($A5092,原始数据_收盘!$A$4:$G$3460,2,0),"")</f>
        <v>2.0825</v>
      </c>
      <c r="C5092">
        <f>IFERROR(VLOOKUP($A5092,原始数据_收盘!$A$4:$G$3460,3,0),"")</f>
        <v>2.4033</v>
      </c>
      <c r="D5092">
        <f>IFERROR(VLOOKUP($A5092,原始数据_收盘!$A$4:$G$3460,4,0),"")</f>
        <v>2.0851</v>
      </c>
      <c r="E5092">
        <f>IFERROR(VLOOKUP($A5092,原始数据_收盘!$A$4:$G$3460,5,0),"")</f>
        <v>2.406</v>
      </c>
      <c r="F5092">
        <f>IFERROR(VLOOKUP($A5092,原始数据_收盘!$A$4:$G$3460,6,0),"")</f>
        <v>2.0838</v>
      </c>
      <c r="G5092">
        <f>IFERROR(VLOOKUP($A5092,原始数据_收盘!$A$4:$G$3460,7,0),"")</f>
        <v>2.4046</v>
      </c>
      <c r="H5092">
        <f>IFERROR(VLOOKUP($A5092,原始数据_利率互换_FR007_1年!$A$6:$C$4395,2,0),"")</f>
        <v>2.0868</v>
      </c>
      <c r="I5092">
        <f>IFERROR(VLOOKUP($A5092,原始数据_利率互换_FR007_1年!$A$6:$C$4395,3,0),"")</f>
        <v>2.4099</v>
      </c>
    </row>
    <row r="5093" spans="1:9">
      <c r="A5093" s="6">
        <v>44586</v>
      </c>
      <c r="B5093">
        <f>IFERROR(VLOOKUP($A5093,原始数据_收盘!$A$4:$G$3460,2,0),"")</f>
        <v>2.1011</v>
      </c>
      <c r="C5093">
        <f>IFERROR(VLOOKUP($A5093,原始数据_收盘!$A$4:$G$3460,3,0),"")</f>
        <v>2.4352</v>
      </c>
      <c r="D5093">
        <f>IFERROR(VLOOKUP($A5093,原始数据_收盘!$A$4:$G$3460,4,0),"")</f>
        <v>2.105</v>
      </c>
      <c r="E5093">
        <f>IFERROR(VLOOKUP($A5093,原始数据_收盘!$A$4:$G$3460,5,0),"")</f>
        <v>2.4381</v>
      </c>
      <c r="F5093">
        <f>IFERROR(VLOOKUP($A5093,原始数据_收盘!$A$4:$G$3460,6,0),"")</f>
        <v>2.1031</v>
      </c>
      <c r="G5093">
        <f>IFERROR(VLOOKUP($A5093,原始数据_收盘!$A$4:$G$3460,7,0),"")</f>
        <v>2.4367</v>
      </c>
      <c r="H5093">
        <f>IFERROR(VLOOKUP($A5093,原始数据_利率互换_FR007_1年!$A$6:$C$4395,2,0),"")</f>
        <v>2.0952</v>
      </c>
      <c r="I5093">
        <f>IFERROR(VLOOKUP($A5093,原始数据_利率互换_FR007_1年!$A$6:$C$4395,3,0),"")</f>
        <v>2.4237</v>
      </c>
    </row>
    <row r="5094" spans="1:9">
      <c r="A5094" s="6">
        <v>44587</v>
      </c>
      <c r="B5094">
        <f>IFERROR(VLOOKUP($A5094,原始数据_收盘!$A$4:$G$3460,2,0),"")</f>
        <v>2.1045</v>
      </c>
      <c r="C5094">
        <f>IFERROR(VLOOKUP($A5094,原始数据_收盘!$A$4:$G$3460,3,0),"")</f>
        <v>2.445</v>
      </c>
      <c r="D5094">
        <f>IFERROR(VLOOKUP($A5094,原始数据_收盘!$A$4:$G$3460,4,0),"")</f>
        <v>2.1075</v>
      </c>
      <c r="E5094">
        <f>IFERROR(VLOOKUP($A5094,原始数据_收盘!$A$4:$G$3460,5,0),"")</f>
        <v>2.4475</v>
      </c>
      <c r="F5094">
        <f>IFERROR(VLOOKUP($A5094,原始数据_收盘!$A$4:$G$3460,6,0),"")</f>
        <v>2.106</v>
      </c>
      <c r="G5094">
        <f>IFERROR(VLOOKUP($A5094,原始数据_收盘!$A$4:$G$3460,7,0),"")</f>
        <v>2.4463</v>
      </c>
      <c r="H5094">
        <f>IFERROR(VLOOKUP($A5094,原始数据_利率互换_FR007_1年!$A$6:$C$4395,2,0),"")</f>
        <v>2.1104</v>
      </c>
      <c r="I5094">
        <f>IFERROR(VLOOKUP($A5094,原始数据_利率互换_FR007_1年!$A$6:$C$4395,3,0),"")</f>
        <v>2.4499</v>
      </c>
    </row>
    <row r="5095" spans="1:9">
      <c r="A5095" s="6">
        <v>44588</v>
      </c>
      <c r="B5095">
        <f>IFERROR(VLOOKUP($A5095,原始数据_收盘!$A$4:$G$3460,2,0),"")</f>
        <v>2.1175</v>
      </c>
      <c r="C5095">
        <f>IFERROR(VLOOKUP($A5095,原始数据_收盘!$A$4:$G$3460,3,0),"")</f>
        <v>2.4525</v>
      </c>
      <c r="D5095">
        <f>IFERROR(VLOOKUP($A5095,原始数据_收盘!$A$4:$G$3460,4,0),"")</f>
        <v>2.12</v>
      </c>
      <c r="E5095">
        <f>IFERROR(VLOOKUP($A5095,原始数据_收盘!$A$4:$G$3460,5,0),"")</f>
        <v>2.455</v>
      </c>
      <c r="F5095">
        <f>IFERROR(VLOOKUP($A5095,原始数据_收盘!$A$4:$G$3460,6,0),"")</f>
        <v>2.1188</v>
      </c>
      <c r="G5095">
        <f>IFERROR(VLOOKUP($A5095,原始数据_收盘!$A$4:$G$3460,7,0),"")</f>
        <v>2.4538</v>
      </c>
      <c r="H5095">
        <f>IFERROR(VLOOKUP($A5095,原始数据_利率互换_FR007_1年!$A$6:$C$4395,2,0),"")</f>
        <v>2.1138</v>
      </c>
      <c r="I5095">
        <f>IFERROR(VLOOKUP($A5095,原始数据_利率互换_FR007_1年!$A$6:$C$4395,3,0),"")</f>
        <v>2.4526</v>
      </c>
    </row>
    <row r="5096" spans="1:9">
      <c r="A5096" s="6">
        <v>44589</v>
      </c>
      <c r="B5096">
        <f>IFERROR(VLOOKUP($A5096,原始数据_收盘!$A$4:$G$3460,2,0),"")</f>
        <v>2.0925</v>
      </c>
      <c r="C5096">
        <f>IFERROR(VLOOKUP($A5096,原始数据_收盘!$A$4:$G$3460,3,0),"")</f>
        <v>2.41</v>
      </c>
      <c r="D5096">
        <f>IFERROR(VLOOKUP($A5096,原始数据_收盘!$A$4:$G$3460,4,0),"")</f>
        <v>2.095</v>
      </c>
      <c r="E5096">
        <f>IFERROR(VLOOKUP($A5096,原始数据_收盘!$A$4:$G$3460,5,0),"")</f>
        <v>2.415</v>
      </c>
      <c r="F5096">
        <f>IFERROR(VLOOKUP($A5096,原始数据_收盘!$A$4:$G$3460,6,0),"")</f>
        <v>2.0938</v>
      </c>
      <c r="G5096">
        <f>IFERROR(VLOOKUP($A5096,原始数据_收盘!$A$4:$G$3460,7,0),"")</f>
        <v>2.4125</v>
      </c>
      <c r="H5096">
        <f>IFERROR(VLOOKUP($A5096,原始数据_利率互换_FR007_1年!$A$6:$C$4395,2,0),"")</f>
        <v>2.0964</v>
      </c>
      <c r="I5096">
        <f>IFERROR(VLOOKUP($A5096,原始数据_利率互换_FR007_1年!$A$6:$C$4395,3,0),"")</f>
        <v>2.4212</v>
      </c>
    </row>
    <row r="5097" spans="1:9">
      <c r="A5097" s="6">
        <v>44590</v>
      </c>
      <c r="B5097">
        <f>IFERROR(VLOOKUP($A5097,原始数据_收盘!$A$4:$G$3460,2,0),"")</f>
        <v>2.09</v>
      </c>
      <c r="C5097">
        <f>IFERROR(VLOOKUP($A5097,原始数据_收盘!$A$4:$G$3460,3,0),"")</f>
        <v>2.41</v>
      </c>
      <c r="D5097">
        <f>IFERROR(VLOOKUP($A5097,原始数据_收盘!$A$4:$G$3460,4,0),"")</f>
        <v>2.0925</v>
      </c>
      <c r="E5097">
        <f>IFERROR(VLOOKUP($A5097,原始数据_收盘!$A$4:$G$3460,5,0),"")</f>
        <v>2.4175</v>
      </c>
      <c r="F5097">
        <f>IFERROR(VLOOKUP($A5097,原始数据_收盘!$A$4:$G$3460,6,0),"")</f>
        <v>2.0913</v>
      </c>
      <c r="G5097">
        <f>IFERROR(VLOOKUP($A5097,原始数据_收盘!$A$4:$G$3460,7,0),"")</f>
        <v>2.4138</v>
      </c>
      <c r="H5097">
        <f>IFERROR(VLOOKUP($A5097,原始数据_利率互换_FR007_1年!$A$6:$C$4395,2,0),"")</f>
        <v>2.0888</v>
      </c>
      <c r="I5097">
        <f>IFERROR(VLOOKUP($A5097,原始数据_利率互换_FR007_1年!$A$6:$C$4395,3,0),"")</f>
        <v>2.4136</v>
      </c>
    </row>
    <row r="5098" spans="1:9">
      <c r="A5098" s="6">
        <v>44591</v>
      </c>
      <c r="B5098">
        <f>IFERROR(VLOOKUP($A5098,原始数据_收盘!$A$4:$G$3460,2,0),"")</f>
        <v>2.0775</v>
      </c>
      <c r="C5098">
        <f>IFERROR(VLOOKUP($A5098,原始数据_收盘!$A$4:$G$3460,3,0),"")</f>
        <v>2.405</v>
      </c>
      <c r="D5098">
        <f>IFERROR(VLOOKUP($A5098,原始数据_收盘!$A$4:$G$3460,4,0),"")</f>
        <v>2.1025</v>
      </c>
      <c r="E5098">
        <f>IFERROR(VLOOKUP($A5098,原始数据_收盘!$A$4:$G$3460,5,0),"")</f>
        <v>2.425</v>
      </c>
      <c r="F5098">
        <f>IFERROR(VLOOKUP($A5098,原始数据_收盘!$A$4:$G$3460,6,0),"")</f>
        <v>2.09</v>
      </c>
      <c r="G5098">
        <f>IFERROR(VLOOKUP($A5098,原始数据_收盘!$A$4:$G$3460,7,0),"")</f>
        <v>2.415</v>
      </c>
      <c r="H5098" t="str">
        <f>IFERROR(VLOOKUP($A5098,原始数据_利率互换_FR007_1年!$A$6:$C$4395,2,0),"")</f>
        <v/>
      </c>
      <c r="I5098" t="str">
        <f>IFERROR(VLOOKUP($A5098,原始数据_利率互换_FR007_1年!$A$6:$C$4395,3,0),"")</f>
        <v/>
      </c>
    </row>
    <row r="5099" spans="1:9">
      <c r="A5099" s="6">
        <v>44592</v>
      </c>
      <c r="B5099" t="str">
        <f>IFERROR(VLOOKUP($A5099,原始数据_收盘!$A$4:$G$3460,2,0),"")</f>
        <v/>
      </c>
      <c r="C5099" t="str">
        <f>IFERROR(VLOOKUP($A5099,原始数据_收盘!$A$4:$G$3460,3,0),"")</f>
        <v/>
      </c>
      <c r="D5099" t="str">
        <f>IFERROR(VLOOKUP($A5099,原始数据_收盘!$A$4:$G$3460,4,0),"")</f>
        <v/>
      </c>
      <c r="E5099" t="str">
        <f>IFERROR(VLOOKUP($A5099,原始数据_收盘!$A$4:$G$3460,5,0),"")</f>
        <v/>
      </c>
      <c r="F5099" t="str">
        <f>IFERROR(VLOOKUP($A5099,原始数据_收盘!$A$4:$G$3460,6,0),"")</f>
        <v/>
      </c>
      <c r="G5099" t="str">
        <f>IFERROR(VLOOKUP($A5099,原始数据_收盘!$A$4:$G$3460,7,0),"")</f>
        <v/>
      </c>
      <c r="H5099" t="str">
        <f>IFERROR(VLOOKUP($A5099,原始数据_利率互换_FR007_1年!$A$6:$C$4395,2,0),"")</f>
        <v/>
      </c>
      <c r="I5099" t="str">
        <f>IFERROR(VLOOKUP($A5099,原始数据_利率互换_FR007_1年!$A$6:$C$4395,3,0),"")</f>
        <v/>
      </c>
    </row>
    <row r="5100" spans="1:9">
      <c r="A5100" s="6">
        <v>44593</v>
      </c>
      <c r="B5100" t="str">
        <f>IFERROR(VLOOKUP($A5100,原始数据_收盘!$A$4:$G$3460,2,0),"")</f>
        <v/>
      </c>
      <c r="C5100" t="str">
        <f>IFERROR(VLOOKUP($A5100,原始数据_收盘!$A$4:$G$3460,3,0),"")</f>
        <v/>
      </c>
      <c r="D5100" t="str">
        <f>IFERROR(VLOOKUP($A5100,原始数据_收盘!$A$4:$G$3460,4,0),"")</f>
        <v/>
      </c>
      <c r="E5100" t="str">
        <f>IFERROR(VLOOKUP($A5100,原始数据_收盘!$A$4:$G$3460,5,0),"")</f>
        <v/>
      </c>
      <c r="F5100" t="str">
        <f>IFERROR(VLOOKUP($A5100,原始数据_收盘!$A$4:$G$3460,6,0),"")</f>
        <v/>
      </c>
      <c r="G5100" t="str">
        <f>IFERROR(VLOOKUP($A5100,原始数据_收盘!$A$4:$G$3460,7,0),"")</f>
        <v/>
      </c>
      <c r="H5100" t="str">
        <f>IFERROR(VLOOKUP($A5100,原始数据_利率互换_FR007_1年!$A$6:$C$4395,2,0),"")</f>
        <v/>
      </c>
      <c r="I5100" t="str">
        <f>IFERROR(VLOOKUP($A5100,原始数据_利率互换_FR007_1年!$A$6:$C$4395,3,0),"")</f>
        <v/>
      </c>
    </row>
    <row r="5101" spans="1:9">
      <c r="A5101" s="6">
        <v>44594</v>
      </c>
      <c r="B5101" t="str">
        <f>IFERROR(VLOOKUP($A5101,原始数据_收盘!$A$4:$G$3460,2,0),"")</f>
        <v/>
      </c>
      <c r="C5101" t="str">
        <f>IFERROR(VLOOKUP($A5101,原始数据_收盘!$A$4:$G$3460,3,0),"")</f>
        <v/>
      </c>
      <c r="D5101" t="str">
        <f>IFERROR(VLOOKUP($A5101,原始数据_收盘!$A$4:$G$3460,4,0),"")</f>
        <v/>
      </c>
      <c r="E5101" t="str">
        <f>IFERROR(VLOOKUP($A5101,原始数据_收盘!$A$4:$G$3460,5,0),"")</f>
        <v/>
      </c>
      <c r="F5101" t="str">
        <f>IFERROR(VLOOKUP($A5101,原始数据_收盘!$A$4:$G$3460,6,0),"")</f>
        <v/>
      </c>
      <c r="G5101" t="str">
        <f>IFERROR(VLOOKUP($A5101,原始数据_收盘!$A$4:$G$3460,7,0),"")</f>
        <v/>
      </c>
      <c r="H5101" t="str">
        <f>IFERROR(VLOOKUP($A5101,原始数据_利率互换_FR007_1年!$A$6:$C$4395,2,0),"")</f>
        <v/>
      </c>
      <c r="I5101" t="str">
        <f>IFERROR(VLOOKUP($A5101,原始数据_利率互换_FR007_1年!$A$6:$C$4395,3,0),"")</f>
        <v/>
      </c>
    </row>
    <row r="5102" spans="1:9">
      <c r="A5102" s="6">
        <v>44595</v>
      </c>
      <c r="B5102" t="str">
        <f>IFERROR(VLOOKUP($A5102,原始数据_收盘!$A$4:$G$3460,2,0),"")</f>
        <v/>
      </c>
      <c r="C5102" t="str">
        <f>IFERROR(VLOOKUP($A5102,原始数据_收盘!$A$4:$G$3460,3,0),"")</f>
        <v/>
      </c>
      <c r="D5102" t="str">
        <f>IFERROR(VLOOKUP($A5102,原始数据_收盘!$A$4:$G$3460,4,0),"")</f>
        <v/>
      </c>
      <c r="E5102" t="str">
        <f>IFERROR(VLOOKUP($A5102,原始数据_收盘!$A$4:$G$3460,5,0),"")</f>
        <v/>
      </c>
      <c r="F5102" t="str">
        <f>IFERROR(VLOOKUP($A5102,原始数据_收盘!$A$4:$G$3460,6,0),"")</f>
        <v/>
      </c>
      <c r="G5102" t="str">
        <f>IFERROR(VLOOKUP($A5102,原始数据_收盘!$A$4:$G$3460,7,0),"")</f>
        <v/>
      </c>
      <c r="H5102" t="str">
        <f>IFERROR(VLOOKUP($A5102,原始数据_利率互换_FR007_1年!$A$6:$C$4395,2,0),"")</f>
        <v/>
      </c>
      <c r="I5102" t="str">
        <f>IFERROR(VLOOKUP($A5102,原始数据_利率互换_FR007_1年!$A$6:$C$4395,3,0),"")</f>
        <v/>
      </c>
    </row>
    <row r="5103" spans="1:9">
      <c r="A5103" s="6">
        <v>44596</v>
      </c>
      <c r="B5103" t="str">
        <f>IFERROR(VLOOKUP($A5103,原始数据_收盘!$A$4:$G$3460,2,0),"")</f>
        <v/>
      </c>
      <c r="C5103" t="str">
        <f>IFERROR(VLOOKUP($A5103,原始数据_收盘!$A$4:$G$3460,3,0),"")</f>
        <v/>
      </c>
      <c r="D5103" t="str">
        <f>IFERROR(VLOOKUP($A5103,原始数据_收盘!$A$4:$G$3460,4,0),"")</f>
        <v/>
      </c>
      <c r="E5103" t="str">
        <f>IFERROR(VLOOKUP($A5103,原始数据_收盘!$A$4:$G$3460,5,0),"")</f>
        <v/>
      </c>
      <c r="F5103" t="str">
        <f>IFERROR(VLOOKUP($A5103,原始数据_收盘!$A$4:$G$3460,6,0),"")</f>
        <v/>
      </c>
      <c r="G5103" t="str">
        <f>IFERROR(VLOOKUP($A5103,原始数据_收盘!$A$4:$G$3460,7,0),"")</f>
        <v/>
      </c>
      <c r="H5103" t="str">
        <f>IFERROR(VLOOKUP($A5103,原始数据_利率互换_FR007_1年!$A$6:$C$4395,2,0),"")</f>
        <v/>
      </c>
      <c r="I5103" t="str">
        <f>IFERROR(VLOOKUP($A5103,原始数据_利率互换_FR007_1年!$A$6:$C$4395,3,0),"")</f>
        <v/>
      </c>
    </row>
    <row r="5104" spans="1:9">
      <c r="A5104" s="6">
        <v>44597</v>
      </c>
      <c r="B5104" t="str">
        <f>IFERROR(VLOOKUP($A5104,原始数据_收盘!$A$4:$G$3460,2,0),"")</f>
        <v/>
      </c>
      <c r="C5104" t="str">
        <f>IFERROR(VLOOKUP($A5104,原始数据_收盘!$A$4:$G$3460,3,0),"")</f>
        <v/>
      </c>
      <c r="D5104" t="str">
        <f>IFERROR(VLOOKUP($A5104,原始数据_收盘!$A$4:$G$3460,4,0),"")</f>
        <v/>
      </c>
      <c r="E5104" t="str">
        <f>IFERROR(VLOOKUP($A5104,原始数据_收盘!$A$4:$G$3460,5,0),"")</f>
        <v/>
      </c>
      <c r="F5104" t="str">
        <f>IFERROR(VLOOKUP($A5104,原始数据_收盘!$A$4:$G$3460,6,0),"")</f>
        <v/>
      </c>
      <c r="G5104" t="str">
        <f>IFERROR(VLOOKUP($A5104,原始数据_收盘!$A$4:$G$3460,7,0),"")</f>
        <v/>
      </c>
      <c r="H5104" t="str">
        <f>IFERROR(VLOOKUP($A5104,原始数据_利率互换_FR007_1年!$A$6:$C$4395,2,0),"")</f>
        <v/>
      </c>
      <c r="I5104" t="str">
        <f>IFERROR(VLOOKUP($A5104,原始数据_利率互换_FR007_1年!$A$6:$C$4395,3,0),"")</f>
        <v/>
      </c>
    </row>
    <row r="5105" spans="1:9">
      <c r="A5105" s="6">
        <v>44598</v>
      </c>
      <c r="B5105" t="str">
        <f>IFERROR(VLOOKUP($A5105,原始数据_收盘!$A$4:$G$3460,2,0),"")</f>
        <v/>
      </c>
      <c r="C5105" t="str">
        <f>IFERROR(VLOOKUP($A5105,原始数据_收盘!$A$4:$G$3460,3,0),"")</f>
        <v/>
      </c>
      <c r="D5105" t="str">
        <f>IFERROR(VLOOKUP($A5105,原始数据_收盘!$A$4:$G$3460,4,0),"")</f>
        <v/>
      </c>
      <c r="E5105" t="str">
        <f>IFERROR(VLOOKUP($A5105,原始数据_收盘!$A$4:$G$3460,5,0),"")</f>
        <v/>
      </c>
      <c r="F5105" t="str">
        <f>IFERROR(VLOOKUP($A5105,原始数据_收盘!$A$4:$G$3460,6,0),"")</f>
        <v/>
      </c>
      <c r="G5105" t="str">
        <f>IFERROR(VLOOKUP($A5105,原始数据_收盘!$A$4:$G$3460,7,0),"")</f>
        <v/>
      </c>
      <c r="H5105" t="str">
        <f>IFERROR(VLOOKUP($A5105,原始数据_利率互换_FR007_1年!$A$6:$C$4395,2,0),"")</f>
        <v/>
      </c>
      <c r="I5105" t="str">
        <f>IFERROR(VLOOKUP($A5105,原始数据_利率互换_FR007_1年!$A$6:$C$4395,3,0),"")</f>
        <v/>
      </c>
    </row>
    <row r="5106" spans="1:9">
      <c r="A5106" s="6">
        <v>44599</v>
      </c>
      <c r="B5106">
        <f>IFERROR(VLOOKUP($A5106,原始数据_收盘!$A$4:$G$3460,2,0),"")</f>
        <v>2.1013</v>
      </c>
      <c r="C5106">
        <f>IFERROR(VLOOKUP($A5106,原始数据_收盘!$A$4:$G$3460,3,0),"")</f>
        <v>2.435</v>
      </c>
      <c r="D5106">
        <f>IFERROR(VLOOKUP($A5106,原始数据_收盘!$A$4:$G$3460,4,0),"")</f>
        <v>2.105</v>
      </c>
      <c r="E5106">
        <f>IFERROR(VLOOKUP($A5106,原始数据_收盘!$A$4:$G$3460,5,0),"")</f>
        <v>2.44</v>
      </c>
      <c r="F5106">
        <f>IFERROR(VLOOKUP($A5106,原始数据_收盘!$A$4:$G$3460,6,0),"")</f>
        <v>2.1032</v>
      </c>
      <c r="G5106">
        <f>IFERROR(VLOOKUP($A5106,原始数据_收盘!$A$4:$G$3460,7,0),"")</f>
        <v>2.4375</v>
      </c>
      <c r="H5106">
        <f>IFERROR(VLOOKUP($A5106,原始数据_利率互换_FR007_1年!$A$6:$C$4395,2,0),"")</f>
        <v>2.1051</v>
      </c>
      <c r="I5106">
        <f>IFERROR(VLOOKUP($A5106,原始数据_利率互换_FR007_1年!$A$6:$C$4395,3,0),"")</f>
        <v>2.4375</v>
      </c>
    </row>
    <row r="5107" spans="1:9">
      <c r="A5107" s="6">
        <v>44600</v>
      </c>
      <c r="B5107">
        <f>IFERROR(VLOOKUP($A5107,原始数据_收盘!$A$4:$G$3460,2,0),"")</f>
        <v>2.105</v>
      </c>
      <c r="C5107">
        <f>IFERROR(VLOOKUP($A5107,原始数据_收盘!$A$4:$G$3460,3,0),"")</f>
        <v>2.4475</v>
      </c>
      <c r="D5107">
        <f>IFERROR(VLOOKUP($A5107,原始数据_收盘!$A$4:$G$3460,4,0),"")</f>
        <v>2.1075</v>
      </c>
      <c r="E5107">
        <f>IFERROR(VLOOKUP($A5107,原始数据_收盘!$A$4:$G$3460,5,0),"")</f>
        <v>2.45</v>
      </c>
      <c r="F5107">
        <f>IFERROR(VLOOKUP($A5107,原始数据_收盘!$A$4:$G$3460,6,0),"")</f>
        <v>2.1063</v>
      </c>
      <c r="G5107">
        <f>IFERROR(VLOOKUP($A5107,原始数据_收盘!$A$4:$G$3460,7,0),"")</f>
        <v>2.4488</v>
      </c>
      <c r="H5107">
        <f>IFERROR(VLOOKUP($A5107,原始数据_利率互换_FR007_1年!$A$6:$C$4395,2,0),"")</f>
        <v>2.1001</v>
      </c>
      <c r="I5107">
        <f>IFERROR(VLOOKUP($A5107,原始数据_利率互换_FR007_1年!$A$6:$C$4395,3,0),"")</f>
        <v>2.4382</v>
      </c>
    </row>
    <row r="5108" spans="1:9">
      <c r="A5108" s="6">
        <v>44601</v>
      </c>
      <c r="B5108">
        <f>IFERROR(VLOOKUP($A5108,原始数据_收盘!$A$4:$G$3460,2,0),"")</f>
        <v>2.1075</v>
      </c>
      <c r="C5108">
        <f>IFERROR(VLOOKUP($A5108,原始数据_收盘!$A$4:$G$3460,3,0),"")</f>
        <v>2.46</v>
      </c>
      <c r="D5108">
        <f>IFERROR(VLOOKUP($A5108,原始数据_收盘!$A$4:$G$3460,4,0),"")</f>
        <v>2.1125</v>
      </c>
      <c r="E5108">
        <f>IFERROR(VLOOKUP($A5108,原始数据_收盘!$A$4:$G$3460,5,0),"")</f>
        <v>2.4625</v>
      </c>
      <c r="F5108">
        <f>IFERROR(VLOOKUP($A5108,原始数据_收盘!$A$4:$G$3460,6,0),"")</f>
        <v>2.11</v>
      </c>
      <c r="G5108">
        <f>IFERROR(VLOOKUP($A5108,原始数据_收盘!$A$4:$G$3460,7,0),"")</f>
        <v>2.4613</v>
      </c>
      <c r="H5108">
        <f>IFERROR(VLOOKUP($A5108,原始数据_利率互换_FR007_1年!$A$6:$C$4395,2,0),"")</f>
        <v>2.1084</v>
      </c>
      <c r="I5108">
        <f>IFERROR(VLOOKUP($A5108,原始数据_利率互换_FR007_1年!$A$6:$C$4395,3,0),"")</f>
        <v>2.4573</v>
      </c>
    </row>
    <row r="5109" spans="1:9">
      <c r="A5109" s="6">
        <v>44602</v>
      </c>
      <c r="B5109">
        <f>IFERROR(VLOOKUP($A5109,原始数据_收盘!$A$4:$G$3460,2,0),"")</f>
        <v>2.1</v>
      </c>
      <c r="C5109">
        <f>IFERROR(VLOOKUP($A5109,原始数据_收盘!$A$4:$G$3460,3,0),"")</f>
        <v>2.4525</v>
      </c>
      <c r="D5109">
        <f>IFERROR(VLOOKUP($A5109,原始数据_收盘!$A$4:$G$3460,4,0),"")</f>
        <v>2.1025</v>
      </c>
      <c r="E5109">
        <f>IFERROR(VLOOKUP($A5109,原始数据_收盘!$A$4:$G$3460,5,0),"")</f>
        <v>2.4569</v>
      </c>
      <c r="F5109">
        <f>IFERROR(VLOOKUP($A5109,原始数据_收盘!$A$4:$G$3460,6,0),"")</f>
        <v>2.1013</v>
      </c>
      <c r="G5109">
        <f>IFERROR(VLOOKUP($A5109,原始数据_收盘!$A$4:$G$3460,7,0),"")</f>
        <v>2.4547</v>
      </c>
      <c r="H5109">
        <f>IFERROR(VLOOKUP($A5109,原始数据_利率互换_FR007_1年!$A$6:$C$4395,2,0),"")</f>
        <v>2.101</v>
      </c>
      <c r="I5109">
        <f>IFERROR(VLOOKUP($A5109,原始数据_利率互换_FR007_1年!$A$6:$C$4395,3,0),"")</f>
        <v>2.4526</v>
      </c>
    </row>
    <row r="5110" spans="1:9">
      <c r="A5110" s="6">
        <v>44603</v>
      </c>
      <c r="B5110">
        <f>IFERROR(VLOOKUP($A5110,原始数据_收盘!$A$4:$G$3460,2,0),"")</f>
        <v>2.152</v>
      </c>
      <c r="C5110">
        <f>IFERROR(VLOOKUP($A5110,原始数据_收盘!$A$4:$G$3460,3,0),"")</f>
        <v>2.5304</v>
      </c>
      <c r="D5110">
        <f>IFERROR(VLOOKUP($A5110,原始数据_收盘!$A$4:$G$3460,4,0),"")</f>
        <v>2.1565</v>
      </c>
      <c r="E5110">
        <f>IFERROR(VLOOKUP($A5110,原始数据_收盘!$A$4:$G$3460,5,0),"")</f>
        <v>2.5327</v>
      </c>
      <c r="F5110">
        <f>IFERROR(VLOOKUP($A5110,原始数据_收盘!$A$4:$G$3460,6,0),"")</f>
        <v>2.1542</v>
      </c>
      <c r="G5110">
        <f>IFERROR(VLOOKUP($A5110,原始数据_收盘!$A$4:$G$3460,7,0),"")</f>
        <v>2.5316</v>
      </c>
      <c r="H5110">
        <f>IFERROR(VLOOKUP($A5110,原始数据_利率互换_FR007_1年!$A$6:$C$4395,2,0),"")</f>
        <v>2.1488</v>
      </c>
      <c r="I5110">
        <f>IFERROR(VLOOKUP($A5110,原始数据_利率互换_FR007_1年!$A$6:$C$4395,3,0),"")</f>
        <v>2.5211</v>
      </c>
    </row>
    <row r="5111" spans="1:9">
      <c r="A5111" s="6">
        <v>44604</v>
      </c>
      <c r="B5111" t="str">
        <f>IFERROR(VLOOKUP($A5111,原始数据_收盘!$A$4:$G$3460,2,0),"")</f>
        <v/>
      </c>
      <c r="C5111" t="str">
        <f>IFERROR(VLOOKUP($A5111,原始数据_收盘!$A$4:$G$3460,3,0),"")</f>
        <v/>
      </c>
      <c r="D5111" t="str">
        <f>IFERROR(VLOOKUP($A5111,原始数据_收盘!$A$4:$G$3460,4,0),"")</f>
        <v/>
      </c>
      <c r="E5111" t="str">
        <f>IFERROR(VLOOKUP($A5111,原始数据_收盘!$A$4:$G$3460,5,0),"")</f>
        <v/>
      </c>
      <c r="F5111" t="str">
        <f>IFERROR(VLOOKUP($A5111,原始数据_收盘!$A$4:$G$3460,6,0),"")</f>
        <v/>
      </c>
      <c r="G5111" t="str">
        <f>IFERROR(VLOOKUP($A5111,原始数据_收盘!$A$4:$G$3460,7,0),"")</f>
        <v/>
      </c>
      <c r="H5111" t="str">
        <f>IFERROR(VLOOKUP($A5111,原始数据_利率互换_FR007_1年!$A$6:$C$4395,2,0),"")</f>
        <v/>
      </c>
      <c r="I5111" t="str">
        <f>IFERROR(VLOOKUP($A5111,原始数据_利率互换_FR007_1年!$A$6:$C$4395,3,0),"")</f>
        <v/>
      </c>
    </row>
    <row r="5112" spans="1:9">
      <c r="A5112" s="6">
        <v>44605</v>
      </c>
      <c r="B5112" t="str">
        <f>IFERROR(VLOOKUP($A5112,原始数据_收盘!$A$4:$G$3460,2,0),"")</f>
        <v/>
      </c>
      <c r="C5112" t="str">
        <f>IFERROR(VLOOKUP($A5112,原始数据_收盘!$A$4:$G$3460,3,0),"")</f>
        <v/>
      </c>
      <c r="D5112" t="str">
        <f>IFERROR(VLOOKUP($A5112,原始数据_收盘!$A$4:$G$3460,4,0),"")</f>
        <v/>
      </c>
      <c r="E5112" t="str">
        <f>IFERROR(VLOOKUP($A5112,原始数据_收盘!$A$4:$G$3460,5,0),"")</f>
        <v/>
      </c>
      <c r="F5112" t="str">
        <f>IFERROR(VLOOKUP($A5112,原始数据_收盘!$A$4:$G$3460,6,0),"")</f>
        <v/>
      </c>
      <c r="G5112" t="str">
        <f>IFERROR(VLOOKUP($A5112,原始数据_收盘!$A$4:$G$3460,7,0),"")</f>
        <v/>
      </c>
      <c r="H5112" t="str">
        <f>IFERROR(VLOOKUP($A5112,原始数据_利率互换_FR007_1年!$A$6:$C$4395,2,0),"")</f>
        <v/>
      </c>
      <c r="I5112" t="str">
        <f>IFERROR(VLOOKUP($A5112,原始数据_利率互换_FR007_1年!$A$6:$C$4395,3,0),"")</f>
        <v/>
      </c>
    </row>
    <row r="5113" spans="1:9">
      <c r="A5113" s="6">
        <v>44606</v>
      </c>
      <c r="B5113">
        <f>IFERROR(VLOOKUP($A5113,原始数据_收盘!$A$4:$G$3460,2,0),"")</f>
        <v>2.165</v>
      </c>
      <c r="C5113">
        <f>IFERROR(VLOOKUP($A5113,原始数据_收盘!$A$4:$G$3460,3,0),"")</f>
        <v>2.5425</v>
      </c>
      <c r="D5113">
        <f>IFERROR(VLOOKUP($A5113,原始数据_收盘!$A$4:$G$3460,4,0),"")</f>
        <v>2.1675</v>
      </c>
      <c r="E5113">
        <f>IFERROR(VLOOKUP($A5113,原始数据_收盘!$A$4:$G$3460,5,0),"")</f>
        <v>2.545</v>
      </c>
      <c r="F5113">
        <f>IFERROR(VLOOKUP($A5113,原始数据_收盘!$A$4:$G$3460,6,0),"")</f>
        <v>2.1663</v>
      </c>
      <c r="G5113">
        <f>IFERROR(VLOOKUP($A5113,原始数据_收盘!$A$4:$G$3460,7,0),"")</f>
        <v>2.5438</v>
      </c>
      <c r="H5113">
        <f>IFERROR(VLOOKUP($A5113,原始数据_利率互换_FR007_1年!$A$6:$C$4395,2,0),"")</f>
        <v>2.1615</v>
      </c>
      <c r="I5113">
        <f>IFERROR(VLOOKUP($A5113,原始数据_利率互换_FR007_1年!$A$6:$C$4395,3,0),"")</f>
        <v>2.5396</v>
      </c>
    </row>
    <row r="5114" spans="1:9">
      <c r="A5114" s="6">
        <v>44607</v>
      </c>
      <c r="B5114">
        <f>IFERROR(VLOOKUP($A5114,原始数据_收盘!$A$4:$G$3460,2,0),"")</f>
        <v>2.155</v>
      </c>
      <c r="C5114">
        <f>IFERROR(VLOOKUP($A5114,原始数据_收盘!$A$4:$G$3460,3,0),"")</f>
        <v>2.5388</v>
      </c>
      <c r="D5114">
        <f>IFERROR(VLOOKUP($A5114,原始数据_收盘!$A$4:$G$3460,4,0),"")</f>
        <v>2.16</v>
      </c>
      <c r="E5114">
        <f>IFERROR(VLOOKUP($A5114,原始数据_收盘!$A$4:$G$3460,5,0),"")</f>
        <v>2.5418</v>
      </c>
      <c r="F5114">
        <f>IFERROR(VLOOKUP($A5114,原始数据_收盘!$A$4:$G$3460,6,0),"")</f>
        <v>2.1575</v>
      </c>
      <c r="G5114">
        <f>IFERROR(VLOOKUP($A5114,原始数据_收盘!$A$4:$G$3460,7,0),"")</f>
        <v>2.5403</v>
      </c>
      <c r="H5114">
        <f>IFERROR(VLOOKUP($A5114,原始数据_利率互换_FR007_1年!$A$6:$C$4395,2,0),"")</f>
        <v>2.1544</v>
      </c>
      <c r="I5114">
        <f>IFERROR(VLOOKUP($A5114,原始数据_利率互换_FR007_1年!$A$6:$C$4395,3,0),"")</f>
        <v>2.5291</v>
      </c>
    </row>
    <row r="5115" spans="1:9">
      <c r="A5115" s="6">
        <v>44608</v>
      </c>
      <c r="B5115">
        <f>IFERROR(VLOOKUP($A5115,原始数据_收盘!$A$4:$G$3460,2,0),"")</f>
        <v>2.148</v>
      </c>
      <c r="C5115">
        <f>IFERROR(VLOOKUP($A5115,原始数据_收盘!$A$4:$G$3460,3,0),"")</f>
        <v>2.5225</v>
      </c>
      <c r="D5115">
        <f>IFERROR(VLOOKUP($A5115,原始数据_收盘!$A$4:$G$3460,4,0),"")</f>
        <v>2.1505</v>
      </c>
      <c r="E5115">
        <f>IFERROR(VLOOKUP($A5115,原始数据_收盘!$A$4:$G$3460,5,0),"")</f>
        <v>2.525</v>
      </c>
      <c r="F5115">
        <f>IFERROR(VLOOKUP($A5115,原始数据_收盘!$A$4:$G$3460,6,0),"")</f>
        <v>2.1492</v>
      </c>
      <c r="G5115">
        <f>IFERROR(VLOOKUP($A5115,原始数据_收盘!$A$4:$G$3460,7,0),"")</f>
        <v>2.5238</v>
      </c>
      <c r="H5115">
        <f>IFERROR(VLOOKUP($A5115,原始数据_利率互换_FR007_1年!$A$6:$C$4395,2,0),"")</f>
        <v>2.1566</v>
      </c>
      <c r="I5115">
        <f>IFERROR(VLOOKUP($A5115,原始数据_利率互换_FR007_1年!$A$6:$C$4395,3,0),"")</f>
        <v>2.5121</v>
      </c>
    </row>
    <row r="5116" spans="1:9">
      <c r="A5116" s="6">
        <v>44609</v>
      </c>
      <c r="B5116">
        <f>IFERROR(VLOOKUP($A5116,原始数据_收盘!$A$4:$G$3460,2,0),"")</f>
        <v>2.1525</v>
      </c>
      <c r="C5116">
        <f>IFERROR(VLOOKUP($A5116,原始数据_收盘!$A$4:$G$3460,3,0),"")</f>
        <v>2.52</v>
      </c>
      <c r="D5116">
        <f>IFERROR(VLOOKUP($A5116,原始数据_收盘!$A$4:$G$3460,4,0),"")</f>
        <v>2.155</v>
      </c>
      <c r="E5116">
        <f>IFERROR(VLOOKUP($A5116,原始数据_收盘!$A$4:$G$3460,5,0),"")</f>
        <v>2.5225</v>
      </c>
      <c r="F5116">
        <f>IFERROR(VLOOKUP($A5116,原始数据_收盘!$A$4:$G$3460,6,0),"")</f>
        <v>2.1538</v>
      </c>
      <c r="G5116">
        <f>IFERROR(VLOOKUP($A5116,原始数据_收盘!$A$4:$G$3460,7,0),"")</f>
        <v>2.5213</v>
      </c>
      <c r="H5116">
        <f>IFERROR(VLOOKUP($A5116,原始数据_利率互换_FR007_1年!$A$6:$C$4395,2,0),"")</f>
        <v>2.1503</v>
      </c>
      <c r="I5116">
        <f>IFERROR(VLOOKUP($A5116,原始数据_利率互换_FR007_1年!$A$6:$C$4395,3,0),"")</f>
        <v>2.5158</v>
      </c>
    </row>
    <row r="5117" spans="1:9">
      <c r="A5117" s="6">
        <v>44610</v>
      </c>
      <c r="B5117">
        <f>IFERROR(VLOOKUP($A5117,原始数据_收盘!$A$4:$G$3460,2,0),"")</f>
        <v>2.16</v>
      </c>
      <c r="C5117">
        <f>IFERROR(VLOOKUP($A5117,原始数据_收盘!$A$4:$G$3460,3,0),"")</f>
        <v>2.5425</v>
      </c>
      <c r="D5117">
        <f>IFERROR(VLOOKUP($A5117,原始数据_收盘!$A$4:$G$3460,4,0),"")</f>
        <v>2.165</v>
      </c>
      <c r="E5117">
        <f>IFERROR(VLOOKUP($A5117,原始数据_收盘!$A$4:$G$3460,5,0),"")</f>
        <v>2.545</v>
      </c>
      <c r="F5117">
        <f>IFERROR(VLOOKUP($A5117,原始数据_收盘!$A$4:$G$3460,6,0),"")</f>
        <v>2.1625</v>
      </c>
      <c r="G5117">
        <f>IFERROR(VLOOKUP($A5117,原始数据_收盘!$A$4:$G$3460,7,0),"")</f>
        <v>2.5438</v>
      </c>
      <c r="H5117">
        <f>IFERROR(VLOOKUP($A5117,原始数据_利率互换_FR007_1年!$A$6:$C$4395,2,0),"")</f>
        <v>2.1652</v>
      </c>
      <c r="I5117">
        <f>IFERROR(VLOOKUP($A5117,原始数据_利率互换_FR007_1年!$A$6:$C$4395,3,0),"")</f>
        <v>2.534</v>
      </c>
    </row>
    <row r="5118" spans="1:9">
      <c r="A5118" s="6">
        <v>44611</v>
      </c>
      <c r="B5118" t="str">
        <f>IFERROR(VLOOKUP($A5118,原始数据_收盘!$A$4:$G$3460,2,0),"")</f>
        <v/>
      </c>
      <c r="C5118" t="str">
        <f>IFERROR(VLOOKUP($A5118,原始数据_收盘!$A$4:$G$3460,3,0),"")</f>
        <v/>
      </c>
      <c r="D5118" t="str">
        <f>IFERROR(VLOOKUP($A5118,原始数据_收盘!$A$4:$G$3460,4,0),"")</f>
        <v/>
      </c>
      <c r="E5118" t="str">
        <f>IFERROR(VLOOKUP($A5118,原始数据_收盘!$A$4:$G$3460,5,0),"")</f>
        <v/>
      </c>
      <c r="F5118" t="str">
        <f>IFERROR(VLOOKUP($A5118,原始数据_收盘!$A$4:$G$3460,6,0),"")</f>
        <v/>
      </c>
      <c r="G5118" t="str">
        <f>IFERROR(VLOOKUP($A5118,原始数据_收盘!$A$4:$G$3460,7,0),"")</f>
        <v/>
      </c>
      <c r="H5118" t="str">
        <f>IFERROR(VLOOKUP($A5118,原始数据_利率互换_FR007_1年!$A$6:$C$4395,2,0),"")</f>
        <v/>
      </c>
      <c r="I5118" t="str">
        <f>IFERROR(VLOOKUP($A5118,原始数据_利率互换_FR007_1年!$A$6:$C$4395,3,0),"")</f>
        <v/>
      </c>
    </row>
    <row r="5119" spans="1:9">
      <c r="A5119" s="6">
        <v>44612</v>
      </c>
      <c r="B5119" t="str">
        <f>IFERROR(VLOOKUP($A5119,原始数据_收盘!$A$4:$G$3460,2,0),"")</f>
        <v/>
      </c>
      <c r="C5119" t="str">
        <f>IFERROR(VLOOKUP($A5119,原始数据_收盘!$A$4:$G$3460,3,0),"")</f>
        <v/>
      </c>
      <c r="D5119" t="str">
        <f>IFERROR(VLOOKUP($A5119,原始数据_收盘!$A$4:$G$3460,4,0),"")</f>
        <v/>
      </c>
      <c r="E5119" t="str">
        <f>IFERROR(VLOOKUP($A5119,原始数据_收盘!$A$4:$G$3460,5,0),"")</f>
        <v/>
      </c>
      <c r="F5119" t="str">
        <f>IFERROR(VLOOKUP($A5119,原始数据_收盘!$A$4:$G$3460,6,0),"")</f>
        <v/>
      </c>
      <c r="G5119" t="str">
        <f>IFERROR(VLOOKUP($A5119,原始数据_收盘!$A$4:$G$3460,7,0),"")</f>
        <v/>
      </c>
      <c r="H5119" t="str">
        <f>IFERROR(VLOOKUP($A5119,原始数据_利率互换_FR007_1年!$A$6:$C$4395,2,0),"")</f>
        <v/>
      </c>
      <c r="I5119" t="str">
        <f>IFERROR(VLOOKUP($A5119,原始数据_利率互换_FR007_1年!$A$6:$C$4395,3,0),"")</f>
        <v/>
      </c>
    </row>
    <row r="5120" spans="1:9">
      <c r="A5120" s="6">
        <v>44613</v>
      </c>
      <c r="B5120">
        <f>IFERROR(VLOOKUP($A5120,原始数据_收盘!$A$4:$G$3460,2,0),"")</f>
        <v>2.2125</v>
      </c>
      <c r="C5120">
        <f>IFERROR(VLOOKUP($A5120,原始数据_收盘!$A$4:$G$3460,3,0),"")</f>
        <v>2.6124</v>
      </c>
      <c r="D5120">
        <f>IFERROR(VLOOKUP($A5120,原始数据_收盘!$A$4:$G$3460,4,0),"")</f>
        <v>2.2175</v>
      </c>
      <c r="E5120">
        <f>IFERROR(VLOOKUP($A5120,原始数据_收盘!$A$4:$G$3460,5,0),"")</f>
        <v>2.6146</v>
      </c>
      <c r="F5120">
        <f>IFERROR(VLOOKUP($A5120,原始数据_收盘!$A$4:$G$3460,6,0),"")</f>
        <v>2.215</v>
      </c>
      <c r="G5120">
        <f>IFERROR(VLOOKUP($A5120,原始数据_收盘!$A$4:$G$3460,7,0),"")</f>
        <v>2.6135</v>
      </c>
      <c r="H5120">
        <f>IFERROR(VLOOKUP($A5120,原始数据_利率互换_FR007_1年!$A$6:$C$4395,2,0),"")</f>
        <v>2.1936</v>
      </c>
      <c r="I5120">
        <f>IFERROR(VLOOKUP($A5120,原始数据_利率互换_FR007_1年!$A$6:$C$4395,3,0),"")</f>
        <v>2.5847</v>
      </c>
    </row>
    <row r="5121" spans="1:9">
      <c r="A5121" s="6">
        <v>44614</v>
      </c>
      <c r="B5121">
        <f>IFERROR(VLOOKUP($A5121,原始数据_收盘!$A$4:$G$3460,2,0),"")</f>
        <v>2.2242</v>
      </c>
      <c r="C5121">
        <f>IFERROR(VLOOKUP($A5121,原始数据_收盘!$A$4:$G$3460,3,0),"")</f>
        <v>2.618</v>
      </c>
      <c r="D5121">
        <f>IFERROR(VLOOKUP($A5121,原始数据_收盘!$A$4:$G$3460,4,0),"")</f>
        <v>2.23</v>
      </c>
      <c r="E5121">
        <f>IFERROR(VLOOKUP($A5121,原始数据_收盘!$A$4:$G$3460,5,0),"")</f>
        <v>2.6205</v>
      </c>
      <c r="F5121">
        <f>IFERROR(VLOOKUP($A5121,原始数据_收盘!$A$4:$G$3460,6,0),"")</f>
        <v>2.2271</v>
      </c>
      <c r="G5121">
        <f>IFERROR(VLOOKUP($A5121,原始数据_收盘!$A$4:$G$3460,7,0),"")</f>
        <v>2.6193</v>
      </c>
      <c r="H5121">
        <f>IFERROR(VLOOKUP($A5121,原始数据_利率互换_FR007_1年!$A$6:$C$4395,2,0),"")</f>
        <v>2.2197</v>
      </c>
      <c r="I5121">
        <f>IFERROR(VLOOKUP($A5121,原始数据_利率互换_FR007_1年!$A$6:$C$4395,3,0),"")</f>
        <v>2.6103</v>
      </c>
    </row>
    <row r="5122" spans="1:9">
      <c r="A5122" s="6">
        <v>44615</v>
      </c>
      <c r="B5122">
        <f>IFERROR(VLOOKUP($A5122,原始数据_收盘!$A$4:$G$3460,2,0),"")</f>
        <v>2.1997</v>
      </c>
      <c r="C5122">
        <f>IFERROR(VLOOKUP($A5122,原始数据_收盘!$A$4:$G$3460,3,0),"")</f>
        <v>2.5806</v>
      </c>
      <c r="D5122">
        <f>IFERROR(VLOOKUP($A5122,原始数据_收盘!$A$4:$G$3460,4,0),"")</f>
        <v>2.2025</v>
      </c>
      <c r="E5122">
        <f>IFERROR(VLOOKUP($A5122,原始数据_收盘!$A$4:$G$3460,5,0),"")</f>
        <v>2.585</v>
      </c>
      <c r="F5122">
        <f>IFERROR(VLOOKUP($A5122,原始数据_收盘!$A$4:$G$3460,6,0),"")</f>
        <v>2.2011</v>
      </c>
      <c r="G5122">
        <f>IFERROR(VLOOKUP($A5122,原始数据_收盘!$A$4:$G$3460,7,0),"")</f>
        <v>2.5828</v>
      </c>
      <c r="H5122">
        <f>IFERROR(VLOOKUP($A5122,原始数据_利率互换_FR007_1年!$A$6:$C$4395,2,0),"")</f>
        <v>2.2006</v>
      </c>
      <c r="I5122">
        <f>IFERROR(VLOOKUP($A5122,原始数据_利率互换_FR007_1年!$A$6:$C$4395,3,0),"")</f>
        <v>2.5855</v>
      </c>
    </row>
    <row r="5123" spans="1:9">
      <c r="A5123" s="6">
        <v>44616</v>
      </c>
      <c r="B5123">
        <f>IFERROR(VLOOKUP($A5123,原始数据_收盘!$A$4:$G$3460,2,0),"")</f>
        <v>2.2002</v>
      </c>
      <c r="C5123">
        <f>IFERROR(VLOOKUP($A5123,原始数据_收盘!$A$4:$G$3460,3,0),"")</f>
        <v>2.5793</v>
      </c>
      <c r="D5123">
        <f>IFERROR(VLOOKUP($A5123,原始数据_收盘!$A$4:$G$3460,4,0),"")</f>
        <v>2.2042</v>
      </c>
      <c r="E5123">
        <f>IFERROR(VLOOKUP($A5123,原始数据_收盘!$A$4:$G$3460,5,0),"")</f>
        <v>2.5825</v>
      </c>
      <c r="F5123">
        <f>IFERROR(VLOOKUP($A5123,原始数据_收盘!$A$4:$G$3460,6,0),"")</f>
        <v>2.2022</v>
      </c>
      <c r="G5123">
        <f>IFERROR(VLOOKUP($A5123,原始数据_收盘!$A$4:$G$3460,7,0),"")</f>
        <v>2.5809</v>
      </c>
      <c r="H5123">
        <f>IFERROR(VLOOKUP($A5123,原始数据_利率互换_FR007_1年!$A$6:$C$4395,2,0),"")</f>
        <v>2.1969</v>
      </c>
      <c r="I5123">
        <f>IFERROR(VLOOKUP($A5123,原始数据_利率互换_FR007_1年!$A$6:$C$4395,3,0),"")</f>
        <v>2.5708</v>
      </c>
    </row>
    <row r="5124" spans="1:9">
      <c r="A5124" s="6">
        <v>44617</v>
      </c>
      <c r="B5124">
        <f>IFERROR(VLOOKUP($A5124,原始数据_收盘!$A$4:$G$3460,2,0),"")</f>
        <v>2.1825</v>
      </c>
      <c r="C5124">
        <f>IFERROR(VLOOKUP($A5124,原始数据_收盘!$A$4:$G$3460,3,0),"")</f>
        <v>2.5576</v>
      </c>
      <c r="D5124">
        <f>IFERROR(VLOOKUP($A5124,原始数据_收盘!$A$4:$G$3460,4,0),"")</f>
        <v>2.1882</v>
      </c>
      <c r="E5124">
        <f>IFERROR(VLOOKUP($A5124,原始数据_收盘!$A$4:$G$3460,5,0),"")</f>
        <v>2.5617</v>
      </c>
      <c r="F5124">
        <f>IFERROR(VLOOKUP($A5124,原始数据_收盘!$A$4:$G$3460,6,0),"")</f>
        <v>2.1853</v>
      </c>
      <c r="G5124">
        <f>IFERROR(VLOOKUP($A5124,原始数据_收盘!$A$4:$G$3460,7,0),"")</f>
        <v>2.5596</v>
      </c>
      <c r="H5124">
        <f>IFERROR(VLOOKUP($A5124,原始数据_利率互换_FR007_1年!$A$6:$C$4395,2,0),"")</f>
        <v>2.2024</v>
      </c>
      <c r="I5124">
        <f>IFERROR(VLOOKUP($A5124,原始数据_利率互换_FR007_1年!$A$6:$C$4395,3,0),"")</f>
        <v>2.5799</v>
      </c>
    </row>
    <row r="5125" spans="1:9">
      <c r="A5125" s="6">
        <v>44618</v>
      </c>
      <c r="B5125" t="str">
        <f>IFERROR(VLOOKUP($A5125,原始数据_收盘!$A$4:$G$3460,2,0),"")</f>
        <v/>
      </c>
      <c r="C5125" t="str">
        <f>IFERROR(VLOOKUP($A5125,原始数据_收盘!$A$4:$G$3460,3,0),"")</f>
        <v/>
      </c>
      <c r="D5125" t="str">
        <f>IFERROR(VLOOKUP($A5125,原始数据_收盘!$A$4:$G$3460,4,0),"")</f>
        <v/>
      </c>
      <c r="E5125" t="str">
        <f>IFERROR(VLOOKUP($A5125,原始数据_收盘!$A$4:$G$3460,5,0),"")</f>
        <v/>
      </c>
      <c r="F5125" t="str">
        <f>IFERROR(VLOOKUP($A5125,原始数据_收盘!$A$4:$G$3460,6,0),"")</f>
        <v/>
      </c>
      <c r="G5125" t="str">
        <f>IFERROR(VLOOKUP($A5125,原始数据_收盘!$A$4:$G$3460,7,0),"")</f>
        <v/>
      </c>
      <c r="H5125" t="str">
        <f>IFERROR(VLOOKUP($A5125,原始数据_利率互换_FR007_1年!$A$6:$C$4395,2,0),"")</f>
        <v/>
      </c>
      <c r="I5125" t="str">
        <f>IFERROR(VLOOKUP($A5125,原始数据_利率互换_FR007_1年!$A$6:$C$4395,3,0),"")</f>
        <v/>
      </c>
    </row>
    <row r="5126" spans="1:9">
      <c r="A5126" s="6">
        <v>44619</v>
      </c>
      <c r="B5126" t="str">
        <f>IFERROR(VLOOKUP($A5126,原始数据_收盘!$A$4:$G$3460,2,0),"")</f>
        <v/>
      </c>
      <c r="C5126" t="str">
        <f>IFERROR(VLOOKUP($A5126,原始数据_收盘!$A$4:$G$3460,3,0),"")</f>
        <v/>
      </c>
      <c r="D5126" t="str">
        <f>IFERROR(VLOOKUP($A5126,原始数据_收盘!$A$4:$G$3460,4,0),"")</f>
        <v/>
      </c>
      <c r="E5126" t="str">
        <f>IFERROR(VLOOKUP($A5126,原始数据_收盘!$A$4:$G$3460,5,0),"")</f>
        <v/>
      </c>
      <c r="F5126" t="str">
        <f>IFERROR(VLOOKUP($A5126,原始数据_收盘!$A$4:$G$3460,6,0),"")</f>
        <v/>
      </c>
      <c r="G5126" t="str">
        <f>IFERROR(VLOOKUP($A5126,原始数据_收盘!$A$4:$G$3460,7,0),"")</f>
        <v/>
      </c>
      <c r="H5126" t="str">
        <f>IFERROR(VLOOKUP($A5126,原始数据_利率互换_FR007_1年!$A$6:$C$4395,2,0),"")</f>
        <v/>
      </c>
      <c r="I5126" t="str">
        <f>IFERROR(VLOOKUP($A5126,原始数据_利率互换_FR007_1年!$A$6:$C$4395,3,0),"")</f>
        <v/>
      </c>
    </row>
    <row r="5127" spans="1:9">
      <c r="A5127" s="6">
        <v>44620</v>
      </c>
      <c r="B5127">
        <f>IFERROR(VLOOKUP($A5127,原始数据_收盘!$A$4:$G$3460,2,0),"")</f>
        <v>2.18</v>
      </c>
      <c r="C5127">
        <f>IFERROR(VLOOKUP($A5127,原始数据_收盘!$A$4:$G$3460,3,0),"")</f>
        <v>2.5625</v>
      </c>
      <c r="D5127">
        <f>IFERROR(VLOOKUP($A5127,原始数据_收盘!$A$4:$G$3460,4,0),"")</f>
        <v>2.185</v>
      </c>
      <c r="E5127">
        <f>IFERROR(VLOOKUP($A5127,原始数据_收盘!$A$4:$G$3460,5,0),"")</f>
        <v>2.565</v>
      </c>
      <c r="F5127">
        <f>IFERROR(VLOOKUP($A5127,原始数据_收盘!$A$4:$G$3460,6,0),"")</f>
        <v>2.1825</v>
      </c>
      <c r="G5127">
        <f>IFERROR(VLOOKUP($A5127,原始数据_收盘!$A$4:$G$3460,7,0),"")</f>
        <v>2.5638</v>
      </c>
      <c r="H5127">
        <f>IFERROR(VLOOKUP($A5127,原始数据_利率互换_FR007_1年!$A$6:$C$4395,2,0),"")</f>
        <v>2.1757</v>
      </c>
      <c r="I5127">
        <f>IFERROR(VLOOKUP($A5127,原始数据_利率互换_FR007_1年!$A$6:$C$4395,3,0),"")</f>
        <v>2.5544</v>
      </c>
    </row>
    <row r="5128" spans="1:9">
      <c r="A5128" s="6">
        <v>44621</v>
      </c>
      <c r="B5128">
        <f>IFERROR(VLOOKUP($A5128,原始数据_收盘!$A$4:$G$3460,2,0),"")</f>
        <v>2.2036</v>
      </c>
      <c r="C5128">
        <f>IFERROR(VLOOKUP($A5128,原始数据_收盘!$A$4:$G$3460,3,0),"")</f>
        <v>2.5975</v>
      </c>
      <c r="D5128">
        <f>IFERROR(VLOOKUP($A5128,原始数据_收盘!$A$4:$G$3460,4,0),"")</f>
        <v>2.2061</v>
      </c>
      <c r="E5128">
        <f>IFERROR(VLOOKUP($A5128,原始数据_收盘!$A$4:$G$3460,5,0),"")</f>
        <v>2.6</v>
      </c>
      <c r="F5128">
        <f>IFERROR(VLOOKUP($A5128,原始数据_收盘!$A$4:$G$3460,6,0),"")</f>
        <v>2.2048</v>
      </c>
      <c r="G5128">
        <f>IFERROR(VLOOKUP($A5128,原始数据_收盘!$A$4:$G$3460,7,0),"")</f>
        <v>2.5988</v>
      </c>
      <c r="H5128">
        <f>IFERROR(VLOOKUP($A5128,原始数据_利率互换_FR007_1年!$A$6:$C$4395,2,0),"")</f>
        <v>2.1958</v>
      </c>
      <c r="I5128">
        <f>IFERROR(VLOOKUP($A5128,原始数据_利率互换_FR007_1年!$A$6:$C$4395,3,0),"")</f>
        <v>2.5833</v>
      </c>
    </row>
    <row r="5129" spans="1:9">
      <c r="A5129" s="6">
        <v>44622</v>
      </c>
      <c r="B5129">
        <f>IFERROR(VLOOKUP($A5129,原始数据_收盘!$A$4:$G$3460,2,0),"")</f>
        <v>2.205</v>
      </c>
      <c r="C5129">
        <f>IFERROR(VLOOKUP($A5129,原始数据_收盘!$A$4:$G$3460,3,0),"")</f>
        <v>2.5975</v>
      </c>
      <c r="D5129">
        <f>IFERROR(VLOOKUP($A5129,原始数据_收盘!$A$4:$G$3460,4,0),"")</f>
        <v>2.2089</v>
      </c>
      <c r="E5129">
        <f>IFERROR(VLOOKUP($A5129,原始数据_收盘!$A$4:$G$3460,5,0),"")</f>
        <v>2.6003</v>
      </c>
      <c r="F5129">
        <f>IFERROR(VLOOKUP($A5129,原始数据_收盘!$A$4:$G$3460,6,0),"")</f>
        <v>2.2069</v>
      </c>
      <c r="G5129">
        <f>IFERROR(VLOOKUP($A5129,原始数据_收盘!$A$4:$G$3460,7,0),"")</f>
        <v>2.5989</v>
      </c>
      <c r="H5129">
        <f>IFERROR(VLOOKUP($A5129,原始数据_利率互换_FR007_1年!$A$6:$C$4395,2,0),"")</f>
        <v>2.2072</v>
      </c>
      <c r="I5129">
        <f>IFERROR(VLOOKUP($A5129,原始数据_利率互换_FR007_1年!$A$6:$C$4395,3,0),"")</f>
        <v>2.6051</v>
      </c>
    </row>
    <row r="5130" spans="1:9">
      <c r="A5130" s="6">
        <v>44623</v>
      </c>
      <c r="B5130">
        <f>IFERROR(VLOOKUP($A5130,原始数据_收盘!$A$4:$G$3460,2,0),"")</f>
        <v>2.2325</v>
      </c>
      <c r="C5130">
        <f>IFERROR(VLOOKUP($A5130,原始数据_收盘!$A$4:$G$3460,3,0),"")</f>
        <v>2.63</v>
      </c>
      <c r="D5130">
        <f>IFERROR(VLOOKUP($A5130,原始数据_收盘!$A$4:$G$3460,4,0),"")</f>
        <v>2.2375</v>
      </c>
      <c r="E5130">
        <f>IFERROR(VLOOKUP($A5130,原始数据_收盘!$A$4:$G$3460,5,0),"")</f>
        <v>2.6325</v>
      </c>
      <c r="F5130">
        <f>IFERROR(VLOOKUP($A5130,原始数据_收盘!$A$4:$G$3460,6,0),"")</f>
        <v>2.235</v>
      </c>
      <c r="G5130">
        <f>IFERROR(VLOOKUP($A5130,原始数据_收盘!$A$4:$G$3460,7,0),"")</f>
        <v>2.6313</v>
      </c>
      <c r="H5130">
        <f>IFERROR(VLOOKUP($A5130,原始数据_利率互换_FR007_1年!$A$6:$C$4395,2,0),"")</f>
        <v>2.2319</v>
      </c>
      <c r="I5130">
        <f>IFERROR(VLOOKUP($A5130,原始数据_利率互换_FR007_1年!$A$6:$C$4395,3,0),"")</f>
        <v>2.6277</v>
      </c>
    </row>
    <row r="5131" spans="1:9">
      <c r="A5131" s="6">
        <v>44624</v>
      </c>
      <c r="B5131">
        <f>IFERROR(VLOOKUP($A5131,原始数据_收盘!$A$4:$G$3460,2,0),"")</f>
        <v>2.2115</v>
      </c>
      <c r="C5131">
        <f>IFERROR(VLOOKUP($A5131,原始数据_收盘!$A$4:$G$3460,3,0),"")</f>
        <v>2.6</v>
      </c>
      <c r="D5131">
        <f>IFERROR(VLOOKUP($A5131,原始数据_收盘!$A$4:$G$3460,4,0),"")</f>
        <v>2.215</v>
      </c>
      <c r="E5131">
        <f>IFERROR(VLOOKUP($A5131,原始数据_收盘!$A$4:$G$3460,5,0),"")</f>
        <v>2.6025</v>
      </c>
      <c r="F5131">
        <f>IFERROR(VLOOKUP($A5131,原始数据_收盘!$A$4:$G$3460,6,0),"")</f>
        <v>2.2133</v>
      </c>
      <c r="G5131">
        <f>IFERROR(VLOOKUP($A5131,原始数据_收盘!$A$4:$G$3460,7,0),"")</f>
        <v>2.6013</v>
      </c>
      <c r="H5131">
        <f>IFERROR(VLOOKUP($A5131,原始数据_利率互换_FR007_1年!$A$6:$C$4395,2,0),"")</f>
        <v>2.2268</v>
      </c>
      <c r="I5131">
        <f>IFERROR(VLOOKUP($A5131,原始数据_利率互换_FR007_1年!$A$6:$C$4395,3,0),"")</f>
        <v>2.6206</v>
      </c>
    </row>
    <row r="5132" spans="1:9">
      <c r="A5132" s="6">
        <v>44625</v>
      </c>
      <c r="B5132" t="str">
        <f>IFERROR(VLOOKUP($A5132,原始数据_收盘!$A$4:$G$3460,2,0),"")</f>
        <v/>
      </c>
      <c r="C5132" t="str">
        <f>IFERROR(VLOOKUP($A5132,原始数据_收盘!$A$4:$G$3460,3,0),"")</f>
        <v/>
      </c>
      <c r="D5132" t="str">
        <f>IFERROR(VLOOKUP($A5132,原始数据_收盘!$A$4:$G$3460,4,0),"")</f>
        <v/>
      </c>
      <c r="E5132" t="str">
        <f>IFERROR(VLOOKUP($A5132,原始数据_收盘!$A$4:$G$3460,5,0),"")</f>
        <v/>
      </c>
      <c r="F5132" t="str">
        <f>IFERROR(VLOOKUP($A5132,原始数据_收盘!$A$4:$G$3460,6,0),"")</f>
        <v/>
      </c>
      <c r="G5132" t="str">
        <f>IFERROR(VLOOKUP($A5132,原始数据_收盘!$A$4:$G$3460,7,0),"")</f>
        <v/>
      </c>
      <c r="H5132" t="str">
        <f>IFERROR(VLOOKUP($A5132,原始数据_利率互换_FR007_1年!$A$6:$C$4395,2,0),"")</f>
        <v/>
      </c>
      <c r="I5132" t="str">
        <f>IFERROR(VLOOKUP($A5132,原始数据_利率互换_FR007_1年!$A$6:$C$4395,3,0),"")</f>
        <v/>
      </c>
    </row>
    <row r="5133" spans="1:9">
      <c r="A5133" s="6">
        <v>44626</v>
      </c>
      <c r="B5133" t="str">
        <f>IFERROR(VLOOKUP($A5133,原始数据_收盘!$A$4:$G$3460,2,0),"")</f>
        <v/>
      </c>
      <c r="C5133" t="str">
        <f>IFERROR(VLOOKUP($A5133,原始数据_收盘!$A$4:$G$3460,3,0),"")</f>
        <v/>
      </c>
      <c r="D5133" t="str">
        <f>IFERROR(VLOOKUP($A5133,原始数据_收盘!$A$4:$G$3460,4,0),"")</f>
        <v/>
      </c>
      <c r="E5133" t="str">
        <f>IFERROR(VLOOKUP($A5133,原始数据_收盘!$A$4:$G$3460,5,0),"")</f>
        <v/>
      </c>
      <c r="F5133" t="str">
        <f>IFERROR(VLOOKUP($A5133,原始数据_收盘!$A$4:$G$3460,6,0),"")</f>
        <v/>
      </c>
      <c r="G5133" t="str">
        <f>IFERROR(VLOOKUP($A5133,原始数据_收盘!$A$4:$G$3460,7,0),"")</f>
        <v/>
      </c>
      <c r="H5133" t="str">
        <f>IFERROR(VLOOKUP($A5133,原始数据_利率互换_FR007_1年!$A$6:$C$4395,2,0),"")</f>
        <v/>
      </c>
      <c r="I5133" t="str">
        <f>IFERROR(VLOOKUP($A5133,原始数据_利率互换_FR007_1年!$A$6:$C$4395,3,0),"")</f>
        <v/>
      </c>
    </row>
    <row r="5134" spans="1:9">
      <c r="A5134" s="6">
        <v>44627</v>
      </c>
      <c r="B5134">
        <f>IFERROR(VLOOKUP($A5134,原始数据_收盘!$A$4:$G$3460,2,0),"")</f>
        <v>2.2025</v>
      </c>
      <c r="C5134">
        <f>IFERROR(VLOOKUP($A5134,原始数据_收盘!$A$4:$G$3460,3,0),"")</f>
        <v>2.595</v>
      </c>
      <c r="D5134">
        <f>IFERROR(VLOOKUP($A5134,原始数据_收盘!$A$4:$G$3460,4,0),"")</f>
        <v>2.2075</v>
      </c>
      <c r="E5134">
        <f>IFERROR(VLOOKUP($A5134,原始数据_收盘!$A$4:$G$3460,5,0),"")</f>
        <v>2.6</v>
      </c>
      <c r="F5134">
        <f>IFERROR(VLOOKUP($A5134,原始数据_收盘!$A$4:$G$3460,6,0),"")</f>
        <v>2.205</v>
      </c>
      <c r="G5134">
        <f>IFERROR(VLOOKUP($A5134,原始数据_收盘!$A$4:$G$3460,7,0),"")</f>
        <v>2.5975</v>
      </c>
      <c r="H5134">
        <f>IFERROR(VLOOKUP($A5134,原始数据_利率互换_FR007_1年!$A$6:$C$4395,2,0),"")</f>
        <v>2.2155</v>
      </c>
      <c r="I5134">
        <f>IFERROR(VLOOKUP($A5134,原始数据_利率互换_FR007_1年!$A$6:$C$4395,3,0),"")</f>
        <v>2.6106</v>
      </c>
    </row>
    <row r="5135" spans="1:9">
      <c r="A5135" s="6">
        <v>44628</v>
      </c>
      <c r="B5135">
        <f>IFERROR(VLOOKUP($A5135,原始数据_收盘!$A$4:$G$3460,2,0),"")</f>
        <v>2.2065</v>
      </c>
      <c r="C5135">
        <f>IFERROR(VLOOKUP($A5135,原始数据_收盘!$A$4:$G$3460,3,0),"")</f>
        <v>2.595</v>
      </c>
      <c r="D5135">
        <f>IFERROR(VLOOKUP($A5135,原始数据_收盘!$A$4:$G$3460,4,0),"")</f>
        <v>2.21</v>
      </c>
      <c r="E5135">
        <f>IFERROR(VLOOKUP($A5135,原始数据_收盘!$A$4:$G$3460,5,0),"")</f>
        <v>2.5977</v>
      </c>
      <c r="F5135">
        <f>IFERROR(VLOOKUP($A5135,原始数据_收盘!$A$4:$G$3460,6,0),"")</f>
        <v>2.2083</v>
      </c>
      <c r="G5135">
        <f>IFERROR(VLOOKUP($A5135,原始数据_收盘!$A$4:$G$3460,7,0),"")</f>
        <v>2.5963</v>
      </c>
      <c r="H5135">
        <f>IFERROR(VLOOKUP($A5135,原始数据_利率互换_FR007_1年!$A$6:$C$4395,2,0),"")</f>
        <v>2.1978</v>
      </c>
      <c r="I5135">
        <f>IFERROR(VLOOKUP($A5135,原始数据_利率互换_FR007_1年!$A$6:$C$4395,3,0),"")</f>
        <v>2.5847</v>
      </c>
    </row>
    <row r="5136" spans="1:9">
      <c r="A5136" s="6">
        <v>44629</v>
      </c>
      <c r="B5136">
        <f>IFERROR(VLOOKUP($A5136,原始数据_收盘!$A$4:$G$3460,2,0),"")</f>
        <v>2.225</v>
      </c>
      <c r="C5136">
        <f>IFERROR(VLOOKUP($A5136,原始数据_收盘!$A$4:$G$3460,3,0),"")</f>
        <v>2.62</v>
      </c>
      <c r="D5136">
        <f>IFERROR(VLOOKUP($A5136,原始数据_收盘!$A$4:$G$3460,4,0),"")</f>
        <v>2.2275</v>
      </c>
      <c r="E5136">
        <f>IFERROR(VLOOKUP($A5136,原始数据_收盘!$A$4:$G$3460,5,0),"")</f>
        <v>2.6225</v>
      </c>
      <c r="F5136">
        <f>IFERROR(VLOOKUP($A5136,原始数据_收盘!$A$4:$G$3460,6,0),"")</f>
        <v>2.2263</v>
      </c>
      <c r="G5136">
        <f>IFERROR(VLOOKUP($A5136,原始数据_收盘!$A$4:$G$3460,7,0),"")</f>
        <v>2.6213</v>
      </c>
      <c r="H5136">
        <f>IFERROR(VLOOKUP($A5136,原始数据_利率互换_FR007_1年!$A$6:$C$4395,2,0),"")</f>
        <v>2.2253</v>
      </c>
      <c r="I5136">
        <f>IFERROR(VLOOKUP($A5136,原始数据_利率互换_FR007_1年!$A$6:$C$4395,3,0),"")</f>
        <v>2.6209</v>
      </c>
    </row>
    <row r="5137" spans="1:9">
      <c r="A5137" s="6">
        <v>44630</v>
      </c>
      <c r="B5137">
        <f>IFERROR(VLOOKUP($A5137,原始数据_收盘!$A$4:$G$3460,2,0),"")</f>
        <v>2.2397</v>
      </c>
      <c r="C5137">
        <f>IFERROR(VLOOKUP($A5137,原始数据_收盘!$A$4:$G$3460,3,0),"")</f>
        <v>2.6332</v>
      </c>
      <c r="D5137">
        <f>IFERROR(VLOOKUP($A5137,原始数据_收盘!$A$4:$G$3460,4,0),"")</f>
        <v>2.2441</v>
      </c>
      <c r="E5137">
        <f>IFERROR(VLOOKUP($A5137,原始数据_收盘!$A$4:$G$3460,5,0),"")</f>
        <v>2.6368</v>
      </c>
      <c r="F5137">
        <f>IFERROR(VLOOKUP($A5137,原始数据_收盘!$A$4:$G$3460,6,0),"")</f>
        <v>2.2419</v>
      </c>
      <c r="G5137">
        <f>IFERROR(VLOOKUP($A5137,原始数据_收盘!$A$4:$G$3460,7,0),"")</f>
        <v>2.635</v>
      </c>
      <c r="H5137">
        <f>IFERROR(VLOOKUP($A5137,原始数据_利率互换_FR007_1年!$A$6:$C$4395,2,0),"")</f>
        <v>2.2326</v>
      </c>
      <c r="I5137">
        <f>IFERROR(VLOOKUP($A5137,原始数据_利率互换_FR007_1年!$A$6:$C$4395,3,0),"")</f>
        <v>2.6233</v>
      </c>
    </row>
    <row r="5138" spans="1:9">
      <c r="A5138" s="6">
        <v>44631</v>
      </c>
      <c r="B5138">
        <f>IFERROR(VLOOKUP($A5138,原始数据_收盘!$A$4:$G$3460,2,0),"")</f>
        <v>2.1719</v>
      </c>
      <c r="C5138">
        <f>IFERROR(VLOOKUP($A5138,原始数据_收盘!$A$4:$G$3460,3,0),"")</f>
        <v>2.5505</v>
      </c>
      <c r="D5138">
        <f>IFERROR(VLOOKUP($A5138,原始数据_收盘!$A$4:$G$3460,4,0),"")</f>
        <v>2.1773</v>
      </c>
      <c r="E5138">
        <f>IFERROR(VLOOKUP($A5138,原始数据_收盘!$A$4:$G$3460,5,0),"")</f>
        <v>2.5532</v>
      </c>
      <c r="F5138">
        <f>IFERROR(VLOOKUP($A5138,原始数据_收盘!$A$4:$G$3460,6,0),"")</f>
        <v>2.1746</v>
      </c>
      <c r="G5138">
        <f>IFERROR(VLOOKUP($A5138,原始数据_收盘!$A$4:$G$3460,7,0),"")</f>
        <v>2.5518</v>
      </c>
      <c r="H5138">
        <f>IFERROR(VLOOKUP($A5138,原始数据_利率互换_FR007_1年!$A$6:$C$4395,2,0),"")</f>
        <v>2.2122</v>
      </c>
      <c r="I5138">
        <f>IFERROR(VLOOKUP($A5138,原始数据_利率互换_FR007_1年!$A$6:$C$4395,3,0),"")</f>
        <v>2.6043</v>
      </c>
    </row>
    <row r="5139" spans="1:9">
      <c r="A5139" s="6">
        <v>44632</v>
      </c>
      <c r="B5139" t="str">
        <f>IFERROR(VLOOKUP($A5139,原始数据_收盘!$A$4:$G$3460,2,0),"")</f>
        <v/>
      </c>
      <c r="C5139" t="str">
        <f>IFERROR(VLOOKUP($A5139,原始数据_收盘!$A$4:$G$3460,3,0),"")</f>
        <v/>
      </c>
      <c r="D5139" t="str">
        <f>IFERROR(VLOOKUP($A5139,原始数据_收盘!$A$4:$G$3460,4,0),"")</f>
        <v/>
      </c>
      <c r="E5139" t="str">
        <f>IFERROR(VLOOKUP($A5139,原始数据_收盘!$A$4:$G$3460,5,0),"")</f>
        <v/>
      </c>
      <c r="F5139" t="str">
        <f>IFERROR(VLOOKUP($A5139,原始数据_收盘!$A$4:$G$3460,6,0),"")</f>
        <v/>
      </c>
      <c r="G5139" t="str">
        <f>IFERROR(VLOOKUP($A5139,原始数据_收盘!$A$4:$G$3460,7,0),"")</f>
        <v/>
      </c>
      <c r="H5139" t="str">
        <f>IFERROR(VLOOKUP($A5139,原始数据_利率互换_FR007_1年!$A$6:$C$4395,2,0),"")</f>
        <v/>
      </c>
      <c r="I5139" t="str">
        <f>IFERROR(VLOOKUP($A5139,原始数据_利率互换_FR007_1年!$A$6:$C$4395,3,0),"")</f>
        <v/>
      </c>
    </row>
    <row r="5140" spans="1:9">
      <c r="A5140" s="6">
        <v>44633</v>
      </c>
      <c r="B5140" t="str">
        <f>IFERROR(VLOOKUP($A5140,原始数据_收盘!$A$4:$G$3460,2,0),"")</f>
        <v/>
      </c>
      <c r="C5140" t="str">
        <f>IFERROR(VLOOKUP($A5140,原始数据_收盘!$A$4:$G$3460,3,0),"")</f>
        <v/>
      </c>
      <c r="D5140" t="str">
        <f>IFERROR(VLOOKUP($A5140,原始数据_收盘!$A$4:$G$3460,4,0),"")</f>
        <v/>
      </c>
      <c r="E5140" t="str">
        <f>IFERROR(VLOOKUP($A5140,原始数据_收盘!$A$4:$G$3460,5,0),"")</f>
        <v/>
      </c>
      <c r="F5140" t="str">
        <f>IFERROR(VLOOKUP($A5140,原始数据_收盘!$A$4:$G$3460,6,0),"")</f>
        <v/>
      </c>
      <c r="G5140" t="str">
        <f>IFERROR(VLOOKUP($A5140,原始数据_收盘!$A$4:$G$3460,7,0),"")</f>
        <v/>
      </c>
      <c r="H5140" t="str">
        <f>IFERROR(VLOOKUP($A5140,原始数据_利率互换_FR007_1年!$A$6:$C$4395,2,0),"")</f>
        <v/>
      </c>
      <c r="I5140" t="str">
        <f>IFERROR(VLOOKUP($A5140,原始数据_利率互换_FR007_1年!$A$6:$C$4395,3,0),"")</f>
        <v/>
      </c>
    </row>
    <row r="5141" spans="1:9">
      <c r="A5141" s="6">
        <v>44634</v>
      </c>
      <c r="B5141">
        <f>IFERROR(VLOOKUP($A5141,原始数据_收盘!$A$4:$G$3460,2,0),"")</f>
        <v>2.135</v>
      </c>
      <c r="C5141">
        <f>IFERROR(VLOOKUP($A5141,原始数据_收盘!$A$4:$G$3460,3,0),"")</f>
        <v>2.5175</v>
      </c>
      <c r="D5141">
        <f>IFERROR(VLOOKUP($A5141,原始数据_收盘!$A$4:$G$3460,4,0),"")</f>
        <v>2.1387</v>
      </c>
      <c r="E5141">
        <f>IFERROR(VLOOKUP($A5141,原始数据_收盘!$A$4:$G$3460,5,0),"")</f>
        <v>2.5225</v>
      </c>
      <c r="F5141">
        <f>IFERROR(VLOOKUP($A5141,原始数据_收盘!$A$4:$G$3460,6,0),"")</f>
        <v>2.1368</v>
      </c>
      <c r="G5141">
        <f>IFERROR(VLOOKUP($A5141,原始数据_收盘!$A$4:$G$3460,7,0),"")</f>
        <v>2.52</v>
      </c>
      <c r="H5141">
        <f>IFERROR(VLOOKUP($A5141,原始数据_利率互换_FR007_1年!$A$6:$C$4395,2,0),"")</f>
        <v>2.1373</v>
      </c>
      <c r="I5141">
        <f>IFERROR(VLOOKUP($A5141,原始数据_利率互换_FR007_1年!$A$6:$C$4395,3,0),"")</f>
        <v>2.5172</v>
      </c>
    </row>
    <row r="5142" spans="1:9">
      <c r="A5142" s="6">
        <v>44635</v>
      </c>
      <c r="B5142">
        <f>IFERROR(VLOOKUP($A5142,原始数据_收盘!$A$4:$G$3460,2,0),"")</f>
        <v>2.205</v>
      </c>
      <c r="C5142">
        <f>IFERROR(VLOOKUP($A5142,原始数据_收盘!$A$4:$G$3460,3,0),"")</f>
        <v>2.59</v>
      </c>
      <c r="D5142">
        <f>IFERROR(VLOOKUP($A5142,原始数据_收盘!$A$4:$G$3460,4,0),"")</f>
        <v>2.2097</v>
      </c>
      <c r="E5142">
        <f>IFERROR(VLOOKUP($A5142,原始数据_收盘!$A$4:$G$3460,5,0),"")</f>
        <v>2.5944</v>
      </c>
      <c r="F5142">
        <f>IFERROR(VLOOKUP($A5142,原始数据_收盘!$A$4:$G$3460,6,0),"")</f>
        <v>2.2073</v>
      </c>
      <c r="G5142">
        <f>IFERROR(VLOOKUP($A5142,原始数据_收盘!$A$4:$G$3460,7,0),"")</f>
        <v>2.5922</v>
      </c>
      <c r="H5142">
        <f>IFERROR(VLOOKUP($A5142,原始数据_利率互换_FR007_1年!$A$6:$C$4395,2,0),"")</f>
        <v>2.1889</v>
      </c>
      <c r="I5142">
        <f>IFERROR(VLOOKUP($A5142,原始数据_利率互换_FR007_1年!$A$6:$C$4395,3,0),"")</f>
        <v>2.5658</v>
      </c>
    </row>
    <row r="5143" spans="1:9">
      <c r="A5143" s="6">
        <v>44636</v>
      </c>
      <c r="B5143">
        <f>IFERROR(VLOOKUP($A5143,原始数据_收盘!$A$4:$G$3460,2,0),"")</f>
        <v>2.155</v>
      </c>
      <c r="C5143">
        <f>IFERROR(VLOOKUP($A5143,原始数据_收盘!$A$4:$G$3460,3,0),"")</f>
        <v>2.5352</v>
      </c>
      <c r="D5143">
        <f>IFERROR(VLOOKUP($A5143,原始数据_收盘!$A$4:$G$3460,4,0),"")</f>
        <v>2.1575</v>
      </c>
      <c r="E5143">
        <f>IFERROR(VLOOKUP($A5143,原始数据_收盘!$A$4:$G$3460,5,0),"")</f>
        <v>2.5375</v>
      </c>
      <c r="F5143">
        <f>IFERROR(VLOOKUP($A5143,原始数据_收盘!$A$4:$G$3460,6,0),"")</f>
        <v>2.1563</v>
      </c>
      <c r="G5143">
        <f>IFERROR(VLOOKUP($A5143,原始数据_收盘!$A$4:$G$3460,7,0),"")</f>
        <v>2.5363</v>
      </c>
      <c r="H5143">
        <f>IFERROR(VLOOKUP($A5143,原始数据_利率互换_FR007_1年!$A$6:$C$4395,2,0),"")</f>
        <v>2.1912</v>
      </c>
      <c r="I5143">
        <f>IFERROR(VLOOKUP($A5143,原始数据_利率互换_FR007_1年!$A$6:$C$4395,3,0),"")</f>
        <v>2.5683</v>
      </c>
    </row>
    <row r="5144" spans="1:9">
      <c r="A5144" s="6">
        <v>44637</v>
      </c>
      <c r="B5144">
        <f>IFERROR(VLOOKUP($A5144,原始数据_收盘!$A$4:$G$3460,2,0),"")</f>
        <v>2.1525</v>
      </c>
      <c r="C5144">
        <f>IFERROR(VLOOKUP($A5144,原始数据_收盘!$A$4:$G$3460,3,0),"")</f>
        <v>2.53</v>
      </c>
      <c r="D5144">
        <f>IFERROR(VLOOKUP($A5144,原始数据_收盘!$A$4:$G$3460,4,0),"")</f>
        <v>2.1555</v>
      </c>
      <c r="E5144">
        <f>IFERROR(VLOOKUP($A5144,原始数据_收盘!$A$4:$G$3460,5,0),"")</f>
        <v>2.5333</v>
      </c>
      <c r="F5144">
        <f>IFERROR(VLOOKUP($A5144,原始数据_收盘!$A$4:$G$3460,6,0),"")</f>
        <v>2.154</v>
      </c>
      <c r="G5144">
        <f>IFERROR(VLOOKUP($A5144,原始数据_收盘!$A$4:$G$3460,7,0),"")</f>
        <v>2.5317</v>
      </c>
      <c r="H5144">
        <f>IFERROR(VLOOKUP($A5144,原始数据_利率互换_FR007_1年!$A$6:$C$4395,2,0),"")</f>
        <v>2.1587</v>
      </c>
      <c r="I5144">
        <f>IFERROR(VLOOKUP($A5144,原始数据_利率互换_FR007_1年!$A$6:$C$4395,3,0),"")</f>
        <v>2.5462</v>
      </c>
    </row>
    <row r="5145" spans="1:9">
      <c r="A5145" s="6">
        <v>44638</v>
      </c>
      <c r="B5145">
        <f>IFERROR(VLOOKUP($A5145,原始数据_收盘!$A$4:$G$3460,2,0),"")</f>
        <v>2.1675</v>
      </c>
      <c r="C5145">
        <f>IFERROR(VLOOKUP($A5145,原始数据_收盘!$A$4:$G$3460,3,0),"")</f>
        <v>2.545</v>
      </c>
      <c r="D5145">
        <f>IFERROR(VLOOKUP($A5145,原始数据_收盘!$A$4:$G$3460,4,0),"")</f>
        <v>2.1707</v>
      </c>
      <c r="E5145">
        <f>IFERROR(VLOOKUP($A5145,原始数据_收盘!$A$4:$G$3460,5,0),"")</f>
        <v>2.5475</v>
      </c>
      <c r="F5145">
        <f>IFERROR(VLOOKUP($A5145,原始数据_收盘!$A$4:$G$3460,6,0),"")</f>
        <v>2.1691</v>
      </c>
      <c r="G5145">
        <f>IFERROR(VLOOKUP($A5145,原始数据_收盘!$A$4:$G$3460,7,0),"")</f>
        <v>2.5463</v>
      </c>
      <c r="H5145">
        <f>IFERROR(VLOOKUP($A5145,原始数据_利率互换_FR007_1年!$A$6:$C$4395,2,0),"")</f>
        <v>2.1618</v>
      </c>
      <c r="I5145">
        <f>IFERROR(VLOOKUP($A5145,原始数据_利率互换_FR007_1年!$A$6:$C$4395,3,0),"")</f>
        <v>2.5379</v>
      </c>
    </row>
    <row r="5146" spans="1:9">
      <c r="A5146" s="6">
        <v>44639</v>
      </c>
      <c r="B5146" t="str">
        <f>IFERROR(VLOOKUP($A5146,原始数据_收盘!$A$4:$G$3460,2,0),"")</f>
        <v/>
      </c>
      <c r="C5146" t="str">
        <f>IFERROR(VLOOKUP($A5146,原始数据_收盘!$A$4:$G$3460,3,0),"")</f>
        <v/>
      </c>
      <c r="D5146" t="str">
        <f>IFERROR(VLOOKUP($A5146,原始数据_收盘!$A$4:$G$3460,4,0),"")</f>
        <v/>
      </c>
      <c r="E5146" t="str">
        <f>IFERROR(VLOOKUP($A5146,原始数据_收盘!$A$4:$G$3460,5,0),"")</f>
        <v/>
      </c>
      <c r="F5146" t="str">
        <f>IFERROR(VLOOKUP($A5146,原始数据_收盘!$A$4:$G$3460,6,0),"")</f>
        <v/>
      </c>
      <c r="G5146" t="str">
        <f>IFERROR(VLOOKUP($A5146,原始数据_收盘!$A$4:$G$3460,7,0),"")</f>
        <v/>
      </c>
      <c r="H5146" t="str">
        <f>IFERROR(VLOOKUP($A5146,原始数据_利率互换_FR007_1年!$A$6:$C$4395,2,0),"")</f>
        <v/>
      </c>
      <c r="I5146" t="str">
        <f>IFERROR(VLOOKUP($A5146,原始数据_利率互换_FR007_1年!$A$6:$C$4395,3,0),"")</f>
        <v/>
      </c>
    </row>
    <row r="5147" spans="1:9">
      <c r="A5147" s="6">
        <v>44640</v>
      </c>
      <c r="B5147" t="str">
        <f>IFERROR(VLOOKUP($A5147,原始数据_收盘!$A$4:$G$3460,2,0),"")</f>
        <v/>
      </c>
      <c r="C5147" t="str">
        <f>IFERROR(VLOOKUP($A5147,原始数据_收盘!$A$4:$G$3460,3,0),"")</f>
        <v/>
      </c>
      <c r="D5147" t="str">
        <f>IFERROR(VLOOKUP($A5147,原始数据_收盘!$A$4:$G$3460,4,0),"")</f>
        <v/>
      </c>
      <c r="E5147" t="str">
        <f>IFERROR(VLOOKUP($A5147,原始数据_收盘!$A$4:$G$3460,5,0),"")</f>
        <v/>
      </c>
      <c r="F5147" t="str">
        <f>IFERROR(VLOOKUP($A5147,原始数据_收盘!$A$4:$G$3460,6,0),"")</f>
        <v/>
      </c>
      <c r="G5147" t="str">
        <f>IFERROR(VLOOKUP($A5147,原始数据_收盘!$A$4:$G$3460,7,0),"")</f>
        <v/>
      </c>
      <c r="H5147" t="str">
        <f>IFERROR(VLOOKUP($A5147,原始数据_利率互换_FR007_1年!$A$6:$C$4395,2,0),"")</f>
        <v/>
      </c>
      <c r="I5147" t="str">
        <f>IFERROR(VLOOKUP($A5147,原始数据_利率互换_FR007_1年!$A$6:$C$4395,3,0),"")</f>
        <v/>
      </c>
    </row>
    <row r="5148" spans="1:9">
      <c r="A5148" s="6">
        <v>44641</v>
      </c>
      <c r="B5148">
        <f>IFERROR(VLOOKUP($A5148,原始数据_收盘!$A$4:$G$3460,2,0),"")</f>
        <v>2.1775</v>
      </c>
      <c r="C5148">
        <f>IFERROR(VLOOKUP($A5148,原始数据_收盘!$A$4:$G$3460,3,0),"")</f>
        <v>2.5602</v>
      </c>
      <c r="D5148">
        <f>IFERROR(VLOOKUP($A5148,原始数据_收盘!$A$4:$G$3460,4,0),"")</f>
        <v>2.1805</v>
      </c>
      <c r="E5148">
        <f>IFERROR(VLOOKUP($A5148,原始数据_收盘!$A$4:$G$3460,5,0),"")</f>
        <v>2.5628</v>
      </c>
      <c r="F5148">
        <f>IFERROR(VLOOKUP($A5148,原始数据_收盘!$A$4:$G$3460,6,0),"")</f>
        <v>2.179</v>
      </c>
      <c r="G5148">
        <f>IFERROR(VLOOKUP($A5148,原始数据_收盘!$A$4:$G$3460,7,0),"")</f>
        <v>2.5615</v>
      </c>
      <c r="H5148">
        <f>IFERROR(VLOOKUP($A5148,原始数据_利率互换_FR007_1年!$A$6:$C$4395,2,0),"")</f>
        <v>2.1816</v>
      </c>
      <c r="I5148">
        <f>IFERROR(VLOOKUP($A5148,原始数据_利率互换_FR007_1年!$A$6:$C$4395,3,0),"")</f>
        <v>2.5612</v>
      </c>
    </row>
    <row r="5149" spans="1:9">
      <c r="A5149" s="6">
        <v>44642</v>
      </c>
      <c r="B5149">
        <f>IFERROR(VLOOKUP($A5149,原始数据_收盘!$A$4:$G$3460,2,0),"")</f>
        <v>2.2</v>
      </c>
      <c r="C5149">
        <f>IFERROR(VLOOKUP($A5149,原始数据_收盘!$A$4:$G$3460,3,0),"")</f>
        <v>2.5825</v>
      </c>
      <c r="D5149">
        <f>IFERROR(VLOOKUP($A5149,原始数据_收盘!$A$4:$G$3460,4,0),"")</f>
        <v>2.2075</v>
      </c>
      <c r="E5149">
        <f>IFERROR(VLOOKUP($A5149,原始数据_收盘!$A$4:$G$3460,5,0),"")</f>
        <v>2.585</v>
      </c>
      <c r="F5149">
        <f>IFERROR(VLOOKUP($A5149,原始数据_收盘!$A$4:$G$3460,6,0),"")</f>
        <v>2.2038</v>
      </c>
      <c r="G5149">
        <f>IFERROR(VLOOKUP($A5149,原始数据_收盘!$A$4:$G$3460,7,0),"")</f>
        <v>2.5838</v>
      </c>
      <c r="H5149">
        <f>IFERROR(VLOOKUP($A5149,原始数据_利率互换_FR007_1年!$A$6:$C$4395,2,0),"")</f>
        <v>2.207</v>
      </c>
      <c r="I5149">
        <f>IFERROR(VLOOKUP($A5149,原始数据_利率互换_FR007_1年!$A$6:$C$4395,3,0),"")</f>
        <v>2.5916</v>
      </c>
    </row>
    <row r="5150" spans="1:9">
      <c r="A5150" s="6">
        <v>44643</v>
      </c>
      <c r="B5150">
        <f>IFERROR(VLOOKUP($A5150,原始数据_收盘!$A$4:$G$3460,2,0),"")</f>
        <v>2.205</v>
      </c>
      <c r="C5150">
        <f>IFERROR(VLOOKUP($A5150,原始数据_收盘!$A$4:$G$3460,3,0),"")</f>
        <v>2.5875</v>
      </c>
      <c r="D5150">
        <f>IFERROR(VLOOKUP($A5150,原始数据_收盘!$A$4:$G$3460,4,0),"")</f>
        <v>2.21</v>
      </c>
      <c r="E5150">
        <f>IFERROR(VLOOKUP($A5150,原始数据_收盘!$A$4:$G$3460,5,0),"")</f>
        <v>2.59</v>
      </c>
      <c r="F5150">
        <f>IFERROR(VLOOKUP($A5150,原始数据_收盘!$A$4:$G$3460,6,0),"")</f>
        <v>2.2075</v>
      </c>
      <c r="G5150">
        <f>IFERROR(VLOOKUP($A5150,原始数据_收盘!$A$4:$G$3460,7,0),"")</f>
        <v>2.5888</v>
      </c>
      <c r="H5150">
        <f>IFERROR(VLOOKUP($A5150,原始数据_利率互换_FR007_1年!$A$6:$C$4395,2,0),"")</f>
        <v>2.2043</v>
      </c>
      <c r="I5150">
        <f>IFERROR(VLOOKUP($A5150,原始数据_利率互换_FR007_1年!$A$6:$C$4395,3,0),"")</f>
        <v>2.5848</v>
      </c>
    </row>
    <row r="5151" spans="1:9">
      <c r="A5151" s="6">
        <v>44644</v>
      </c>
      <c r="B5151">
        <f>IFERROR(VLOOKUP($A5151,原始数据_收盘!$A$4:$G$3460,2,0),"")</f>
        <v>2.1929</v>
      </c>
      <c r="C5151">
        <f>IFERROR(VLOOKUP($A5151,原始数据_收盘!$A$4:$G$3460,3,0),"")</f>
        <v>2.565</v>
      </c>
      <c r="D5151">
        <f>IFERROR(VLOOKUP($A5151,原始数据_收盘!$A$4:$G$3460,4,0),"")</f>
        <v>2.1954</v>
      </c>
      <c r="E5151">
        <f>IFERROR(VLOOKUP($A5151,原始数据_收盘!$A$4:$G$3460,5,0),"")</f>
        <v>2.5677</v>
      </c>
      <c r="F5151">
        <f>IFERROR(VLOOKUP($A5151,原始数据_收盘!$A$4:$G$3460,6,0),"")</f>
        <v>2.1941</v>
      </c>
      <c r="G5151">
        <f>IFERROR(VLOOKUP($A5151,原始数据_收盘!$A$4:$G$3460,7,0),"")</f>
        <v>2.5663</v>
      </c>
      <c r="H5151">
        <f>IFERROR(VLOOKUP($A5151,原始数据_利率互换_FR007_1年!$A$6:$C$4395,2,0),"")</f>
        <v>2.2031</v>
      </c>
      <c r="I5151">
        <f>IFERROR(VLOOKUP($A5151,原始数据_利率互换_FR007_1年!$A$6:$C$4395,3,0),"")</f>
        <v>2.5806</v>
      </c>
    </row>
    <row r="5152" spans="1:9">
      <c r="A5152" s="6">
        <v>44645</v>
      </c>
      <c r="B5152">
        <f>IFERROR(VLOOKUP($A5152,原始数据_收盘!$A$4:$G$3460,2,0),"")</f>
        <v>2.205</v>
      </c>
      <c r="C5152">
        <f>IFERROR(VLOOKUP($A5152,原始数据_收盘!$A$4:$G$3460,3,0),"")</f>
        <v>2.5675</v>
      </c>
      <c r="D5152">
        <f>IFERROR(VLOOKUP($A5152,原始数据_收盘!$A$4:$G$3460,4,0),"")</f>
        <v>2.2085</v>
      </c>
      <c r="E5152">
        <f>IFERROR(VLOOKUP($A5152,原始数据_收盘!$A$4:$G$3460,5,0),"")</f>
        <v>2.5725</v>
      </c>
      <c r="F5152">
        <f>IFERROR(VLOOKUP($A5152,原始数据_收盘!$A$4:$G$3460,6,0),"")</f>
        <v>2.2068</v>
      </c>
      <c r="G5152">
        <f>IFERROR(VLOOKUP($A5152,原始数据_收盘!$A$4:$G$3460,7,0),"")</f>
        <v>2.57</v>
      </c>
      <c r="H5152">
        <f>IFERROR(VLOOKUP($A5152,原始数据_利率互换_FR007_1年!$A$6:$C$4395,2,0),"")</f>
        <v>2.2011</v>
      </c>
      <c r="I5152">
        <f>IFERROR(VLOOKUP($A5152,原始数据_利率互换_FR007_1年!$A$6:$C$4395,3,0),"")</f>
        <v>2.5682</v>
      </c>
    </row>
    <row r="5153" spans="1:9">
      <c r="A5153" s="6">
        <v>44646</v>
      </c>
      <c r="B5153" t="str">
        <f>IFERROR(VLOOKUP($A5153,原始数据_收盘!$A$4:$G$3460,2,0),"")</f>
        <v/>
      </c>
      <c r="C5153" t="str">
        <f>IFERROR(VLOOKUP($A5153,原始数据_收盘!$A$4:$G$3460,3,0),"")</f>
        <v/>
      </c>
      <c r="D5153" t="str">
        <f>IFERROR(VLOOKUP($A5153,原始数据_收盘!$A$4:$G$3460,4,0),"")</f>
        <v/>
      </c>
      <c r="E5153" t="str">
        <f>IFERROR(VLOOKUP($A5153,原始数据_收盘!$A$4:$G$3460,5,0),"")</f>
        <v/>
      </c>
      <c r="F5153" t="str">
        <f>IFERROR(VLOOKUP($A5153,原始数据_收盘!$A$4:$G$3460,6,0),"")</f>
        <v/>
      </c>
      <c r="G5153" t="str">
        <f>IFERROR(VLOOKUP($A5153,原始数据_收盘!$A$4:$G$3460,7,0),"")</f>
        <v/>
      </c>
      <c r="H5153" t="str">
        <f>IFERROR(VLOOKUP($A5153,原始数据_利率互换_FR007_1年!$A$6:$C$4395,2,0),"")</f>
        <v/>
      </c>
      <c r="I5153" t="str">
        <f>IFERROR(VLOOKUP($A5153,原始数据_利率互换_FR007_1年!$A$6:$C$4395,3,0),"")</f>
        <v/>
      </c>
    </row>
    <row r="5154" spans="1:9">
      <c r="A5154" s="6">
        <v>44647</v>
      </c>
      <c r="B5154" t="str">
        <f>IFERROR(VLOOKUP($A5154,原始数据_收盘!$A$4:$G$3460,2,0),"")</f>
        <v/>
      </c>
      <c r="C5154" t="str">
        <f>IFERROR(VLOOKUP($A5154,原始数据_收盘!$A$4:$G$3460,3,0),"")</f>
        <v/>
      </c>
      <c r="D5154" t="str">
        <f>IFERROR(VLOOKUP($A5154,原始数据_收盘!$A$4:$G$3460,4,0),"")</f>
        <v/>
      </c>
      <c r="E5154" t="str">
        <f>IFERROR(VLOOKUP($A5154,原始数据_收盘!$A$4:$G$3460,5,0),"")</f>
        <v/>
      </c>
      <c r="F5154" t="str">
        <f>IFERROR(VLOOKUP($A5154,原始数据_收盘!$A$4:$G$3460,6,0),"")</f>
        <v/>
      </c>
      <c r="G5154" t="str">
        <f>IFERROR(VLOOKUP($A5154,原始数据_收盘!$A$4:$G$3460,7,0),"")</f>
        <v/>
      </c>
      <c r="H5154" t="str">
        <f>IFERROR(VLOOKUP($A5154,原始数据_利率互换_FR007_1年!$A$6:$C$4395,2,0),"")</f>
        <v/>
      </c>
      <c r="I5154" t="str">
        <f>IFERROR(VLOOKUP($A5154,原始数据_利率互换_FR007_1年!$A$6:$C$4395,3,0),"")</f>
        <v/>
      </c>
    </row>
    <row r="5155" spans="1:9">
      <c r="A5155" s="6">
        <v>44648</v>
      </c>
      <c r="B5155">
        <f>IFERROR(VLOOKUP($A5155,原始数据_收盘!$A$4:$G$3460,2,0),"")</f>
        <v>2.215</v>
      </c>
      <c r="C5155">
        <f>IFERROR(VLOOKUP($A5155,原始数据_收盘!$A$4:$G$3460,3,0),"")</f>
        <v>2.58</v>
      </c>
      <c r="D5155">
        <f>IFERROR(VLOOKUP($A5155,原始数据_收盘!$A$4:$G$3460,4,0),"")</f>
        <v>2.2175</v>
      </c>
      <c r="E5155">
        <f>IFERROR(VLOOKUP($A5155,原始数据_收盘!$A$4:$G$3460,5,0),"")</f>
        <v>2.585</v>
      </c>
      <c r="F5155">
        <f>IFERROR(VLOOKUP($A5155,原始数据_收盘!$A$4:$G$3460,6,0),"")</f>
        <v>2.2163</v>
      </c>
      <c r="G5155">
        <f>IFERROR(VLOOKUP($A5155,原始数据_收盘!$A$4:$G$3460,7,0),"")</f>
        <v>2.5825</v>
      </c>
      <c r="H5155">
        <f>IFERROR(VLOOKUP($A5155,原始数据_利率互换_FR007_1年!$A$6:$C$4395,2,0),"")</f>
        <v>2.2112</v>
      </c>
      <c r="I5155">
        <f>IFERROR(VLOOKUP($A5155,原始数据_利率互换_FR007_1年!$A$6:$C$4395,3,0),"")</f>
        <v>2.5712</v>
      </c>
    </row>
    <row r="5156" spans="1:9">
      <c r="A5156" s="6">
        <v>44649</v>
      </c>
      <c r="B5156">
        <f>IFERROR(VLOOKUP($A5156,原始数据_收盘!$A$4:$G$3460,2,0),"")</f>
        <v>2.2075</v>
      </c>
      <c r="C5156">
        <f>IFERROR(VLOOKUP($A5156,原始数据_收盘!$A$4:$G$3460,3,0),"")</f>
        <v>2.5725</v>
      </c>
      <c r="D5156">
        <f>IFERROR(VLOOKUP($A5156,原始数据_收盘!$A$4:$G$3460,4,0),"")</f>
        <v>2.2125</v>
      </c>
      <c r="E5156">
        <f>IFERROR(VLOOKUP($A5156,原始数据_收盘!$A$4:$G$3460,5,0),"")</f>
        <v>2.575</v>
      </c>
      <c r="F5156">
        <f>IFERROR(VLOOKUP($A5156,原始数据_收盘!$A$4:$G$3460,6,0),"")</f>
        <v>2.21</v>
      </c>
      <c r="G5156">
        <f>IFERROR(VLOOKUP($A5156,原始数据_收盘!$A$4:$G$3460,7,0),"")</f>
        <v>2.5738</v>
      </c>
      <c r="H5156">
        <f>IFERROR(VLOOKUP($A5156,原始数据_利率互换_FR007_1年!$A$6:$C$4395,2,0),"")</f>
        <v>2.2097</v>
      </c>
      <c r="I5156">
        <f>IFERROR(VLOOKUP($A5156,原始数据_利率互换_FR007_1年!$A$6:$C$4395,3,0),"")</f>
        <v>2.5772</v>
      </c>
    </row>
    <row r="5157" spans="1:9">
      <c r="A5157" s="6">
        <v>44650</v>
      </c>
      <c r="B5157">
        <f>IFERROR(VLOOKUP($A5157,原始数据_收盘!$A$4:$G$3460,2,0),"")</f>
        <v>2.195</v>
      </c>
      <c r="C5157">
        <f>IFERROR(VLOOKUP($A5157,原始数据_收盘!$A$4:$G$3460,3,0),"")</f>
        <v>2.5475</v>
      </c>
      <c r="D5157">
        <f>IFERROR(VLOOKUP($A5157,原始数据_收盘!$A$4:$G$3460,4,0),"")</f>
        <v>2.2</v>
      </c>
      <c r="E5157">
        <f>IFERROR(VLOOKUP($A5157,原始数据_收盘!$A$4:$G$3460,5,0),"")</f>
        <v>2.55</v>
      </c>
      <c r="F5157">
        <f>IFERROR(VLOOKUP($A5157,原始数据_收盘!$A$4:$G$3460,6,0),"")</f>
        <v>2.1975</v>
      </c>
      <c r="G5157">
        <f>IFERROR(VLOOKUP($A5157,原始数据_收盘!$A$4:$G$3460,7,0),"")</f>
        <v>2.5488</v>
      </c>
      <c r="H5157">
        <f>IFERROR(VLOOKUP($A5157,原始数据_利率互换_FR007_1年!$A$6:$C$4395,2,0),"")</f>
        <v>2.197</v>
      </c>
      <c r="I5157">
        <f>IFERROR(VLOOKUP($A5157,原始数据_利率互换_FR007_1年!$A$6:$C$4395,3,0),"")</f>
        <v>2.5514</v>
      </c>
    </row>
    <row r="5158" spans="1:9">
      <c r="A5158" s="6">
        <v>44651</v>
      </c>
      <c r="B5158">
        <f>IFERROR(VLOOKUP($A5158,原始数据_收盘!$A$4:$G$3460,2,0),"")</f>
        <v>2.19</v>
      </c>
      <c r="C5158">
        <f>IFERROR(VLOOKUP($A5158,原始数据_收盘!$A$4:$G$3460,3,0),"")</f>
        <v>2.565</v>
      </c>
      <c r="D5158">
        <f>IFERROR(VLOOKUP($A5158,原始数据_收盘!$A$4:$G$3460,4,0),"")</f>
        <v>2.1926</v>
      </c>
      <c r="E5158">
        <f>IFERROR(VLOOKUP($A5158,原始数据_收盘!$A$4:$G$3460,5,0),"")</f>
        <v>2.5675</v>
      </c>
      <c r="F5158">
        <f>IFERROR(VLOOKUP($A5158,原始数据_收盘!$A$4:$G$3460,6,0),"")</f>
        <v>2.1913</v>
      </c>
      <c r="G5158">
        <f>IFERROR(VLOOKUP($A5158,原始数据_收盘!$A$4:$G$3460,7,0),"")</f>
        <v>2.5663</v>
      </c>
      <c r="H5158">
        <f>IFERROR(VLOOKUP($A5158,原始数据_利率互换_FR007_1年!$A$6:$C$4395,2,0),"")</f>
        <v>2.1907</v>
      </c>
      <c r="I5158">
        <f>IFERROR(VLOOKUP($A5158,原始数据_利率互换_FR007_1年!$A$6:$C$4395,3,0),"")</f>
        <v>2.5606</v>
      </c>
    </row>
    <row r="5159" spans="1:9">
      <c r="A5159" s="6">
        <v>44652</v>
      </c>
      <c r="B5159">
        <f>IFERROR(VLOOKUP($A5159,原始数据_收盘!$A$4:$G$3460,2,0),"")</f>
        <v>2.1725</v>
      </c>
      <c r="C5159">
        <f>IFERROR(VLOOKUP($A5159,原始数据_收盘!$A$4:$G$3460,3,0),"")</f>
        <v>2.545</v>
      </c>
      <c r="D5159">
        <f>IFERROR(VLOOKUP($A5159,原始数据_收盘!$A$4:$G$3460,4,0),"")</f>
        <v>2.1775</v>
      </c>
      <c r="E5159">
        <f>IFERROR(VLOOKUP($A5159,原始数据_收盘!$A$4:$G$3460,5,0),"")</f>
        <v>2.5482</v>
      </c>
      <c r="F5159">
        <f>IFERROR(VLOOKUP($A5159,原始数据_收盘!$A$4:$G$3460,6,0),"")</f>
        <v>2.175</v>
      </c>
      <c r="G5159">
        <f>IFERROR(VLOOKUP($A5159,原始数据_收盘!$A$4:$G$3460,7,0),"")</f>
        <v>2.5466</v>
      </c>
      <c r="H5159">
        <f>IFERROR(VLOOKUP($A5159,原始数据_利率互换_FR007_1年!$A$6:$C$4395,2,0),"")</f>
        <v>2.1765</v>
      </c>
      <c r="I5159">
        <f>IFERROR(VLOOKUP($A5159,原始数据_利率互换_FR007_1年!$A$6:$C$4395,3,0),"")</f>
        <v>2.5502</v>
      </c>
    </row>
    <row r="5160" spans="1:9">
      <c r="A5160" s="6">
        <v>44653</v>
      </c>
      <c r="B5160">
        <f>IFERROR(VLOOKUP($A5160,原始数据_收盘!$A$4:$G$3460,2,0),"")</f>
        <v>2.155</v>
      </c>
      <c r="C5160">
        <f>IFERROR(VLOOKUP($A5160,原始数据_收盘!$A$4:$G$3460,3,0),"")</f>
        <v>2.5425</v>
      </c>
      <c r="D5160">
        <f>IFERROR(VLOOKUP($A5160,原始数据_收盘!$A$4:$G$3460,4,0),"")</f>
        <v>2.175</v>
      </c>
      <c r="E5160">
        <f>IFERROR(VLOOKUP($A5160,原始数据_收盘!$A$4:$G$3460,5,0),"")</f>
        <v>2.55</v>
      </c>
      <c r="F5160">
        <f>IFERROR(VLOOKUP($A5160,原始数据_收盘!$A$4:$G$3460,6,0),"")</f>
        <v>2.165</v>
      </c>
      <c r="G5160">
        <f>IFERROR(VLOOKUP($A5160,原始数据_收盘!$A$4:$G$3460,7,0),"")</f>
        <v>2.5463</v>
      </c>
      <c r="H5160" t="str">
        <f>IFERROR(VLOOKUP($A5160,原始数据_利率互换_FR007_1年!$A$6:$C$4395,2,0),"")</f>
        <v/>
      </c>
      <c r="I5160" t="str">
        <f>IFERROR(VLOOKUP($A5160,原始数据_利率互换_FR007_1年!$A$6:$C$4395,3,0),"")</f>
        <v/>
      </c>
    </row>
    <row r="5161" spans="1:9">
      <c r="A5161" s="6">
        <v>44654</v>
      </c>
      <c r="B5161" t="str">
        <f>IFERROR(VLOOKUP($A5161,原始数据_收盘!$A$4:$G$3460,2,0),"")</f>
        <v/>
      </c>
      <c r="C5161" t="str">
        <f>IFERROR(VLOOKUP($A5161,原始数据_收盘!$A$4:$G$3460,3,0),"")</f>
        <v/>
      </c>
      <c r="D5161" t="str">
        <f>IFERROR(VLOOKUP($A5161,原始数据_收盘!$A$4:$G$3460,4,0),"")</f>
        <v/>
      </c>
      <c r="E5161" t="str">
        <f>IFERROR(VLOOKUP($A5161,原始数据_收盘!$A$4:$G$3460,5,0),"")</f>
        <v/>
      </c>
      <c r="F5161" t="str">
        <f>IFERROR(VLOOKUP($A5161,原始数据_收盘!$A$4:$G$3460,6,0),"")</f>
        <v/>
      </c>
      <c r="G5161" t="str">
        <f>IFERROR(VLOOKUP($A5161,原始数据_收盘!$A$4:$G$3460,7,0),"")</f>
        <v/>
      </c>
      <c r="H5161" t="str">
        <f>IFERROR(VLOOKUP($A5161,原始数据_利率互换_FR007_1年!$A$6:$C$4395,2,0),"")</f>
        <v/>
      </c>
      <c r="I5161" t="str">
        <f>IFERROR(VLOOKUP($A5161,原始数据_利率互换_FR007_1年!$A$6:$C$4395,3,0),"")</f>
        <v/>
      </c>
    </row>
    <row r="5162" spans="1:9">
      <c r="A5162" s="6">
        <v>44655</v>
      </c>
      <c r="B5162" t="str">
        <f>IFERROR(VLOOKUP($A5162,原始数据_收盘!$A$4:$G$3460,2,0),"")</f>
        <v/>
      </c>
      <c r="C5162" t="str">
        <f>IFERROR(VLOOKUP($A5162,原始数据_收盘!$A$4:$G$3460,3,0),"")</f>
        <v/>
      </c>
      <c r="D5162" t="str">
        <f>IFERROR(VLOOKUP($A5162,原始数据_收盘!$A$4:$G$3460,4,0),"")</f>
        <v/>
      </c>
      <c r="E5162" t="str">
        <f>IFERROR(VLOOKUP($A5162,原始数据_收盘!$A$4:$G$3460,5,0),"")</f>
        <v/>
      </c>
      <c r="F5162" t="str">
        <f>IFERROR(VLOOKUP($A5162,原始数据_收盘!$A$4:$G$3460,6,0),"")</f>
        <v/>
      </c>
      <c r="G5162" t="str">
        <f>IFERROR(VLOOKUP($A5162,原始数据_收盘!$A$4:$G$3460,7,0),"")</f>
        <v/>
      </c>
      <c r="H5162" t="str">
        <f>IFERROR(VLOOKUP($A5162,原始数据_利率互换_FR007_1年!$A$6:$C$4395,2,0),"")</f>
        <v/>
      </c>
      <c r="I5162" t="str">
        <f>IFERROR(VLOOKUP($A5162,原始数据_利率互换_FR007_1年!$A$6:$C$4395,3,0),"")</f>
        <v/>
      </c>
    </row>
    <row r="5163" spans="1:9">
      <c r="A5163" s="6">
        <v>44656</v>
      </c>
      <c r="B5163" t="str">
        <f>IFERROR(VLOOKUP($A5163,原始数据_收盘!$A$4:$G$3460,2,0),"")</f>
        <v/>
      </c>
      <c r="C5163" t="str">
        <f>IFERROR(VLOOKUP($A5163,原始数据_收盘!$A$4:$G$3460,3,0),"")</f>
        <v/>
      </c>
      <c r="D5163" t="str">
        <f>IFERROR(VLOOKUP($A5163,原始数据_收盘!$A$4:$G$3460,4,0),"")</f>
        <v/>
      </c>
      <c r="E5163" t="str">
        <f>IFERROR(VLOOKUP($A5163,原始数据_收盘!$A$4:$G$3460,5,0),"")</f>
        <v/>
      </c>
      <c r="F5163" t="str">
        <f>IFERROR(VLOOKUP($A5163,原始数据_收盘!$A$4:$G$3460,6,0),"")</f>
        <v/>
      </c>
      <c r="G5163" t="str">
        <f>IFERROR(VLOOKUP($A5163,原始数据_收盘!$A$4:$G$3460,7,0),"")</f>
        <v/>
      </c>
      <c r="H5163" t="str">
        <f>IFERROR(VLOOKUP($A5163,原始数据_利率互换_FR007_1年!$A$6:$C$4395,2,0),"")</f>
        <v/>
      </c>
      <c r="I5163" t="str">
        <f>IFERROR(VLOOKUP($A5163,原始数据_利率互换_FR007_1年!$A$6:$C$4395,3,0),"")</f>
        <v/>
      </c>
    </row>
    <row r="5164" spans="1:9">
      <c r="A5164" s="6">
        <v>44657</v>
      </c>
      <c r="B5164">
        <f>IFERROR(VLOOKUP($A5164,原始数据_收盘!$A$4:$G$3460,2,0),"")</f>
        <v>2.1668</v>
      </c>
      <c r="C5164">
        <f>IFERROR(VLOOKUP($A5164,原始数据_收盘!$A$4:$G$3460,3,0),"")</f>
        <v>2.5325</v>
      </c>
      <c r="D5164">
        <f>IFERROR(VLOOKUP($A5164,原始数据_收盘!$A$4:$G$3460,4,0),"")</f>
        <v>2.17</v>
      </c>
      <c r="E5164">
        <f>IFERROR(VLOOKUP($A5164,原始数据_收盘!$A$4:$G$3460,5,0),"")</f>
        <v>2.535</v>
      </c>
      <c r="F5164">
        <f>IFERROR(VLOOKUP($A5164,原始数据_收盘!$A$4:$G$3460,6,0),"")</f>
        <v>2.1684</v>
      </c>
      <c r="G5164">
        <f>IFERROR(VLOOKUP($A5164,原始数据_收盘!$A$4:$G$3460,7,0),"")</f>
        <v>2.5338</v>
      </c>
      <c r="H5164">
        <f>IFERROR(VLOOKUP($A5164,原始数据_利率互换_FR007_1年!$A$6:$C$4395,2,0),"")</f>
        <v>2.1646</v>
      </c>
      <c r="I5164">
        <f>IFERROR(VLOOKUP($A5164,原始数据_利率互换_FR007_1年!$A$6:$C$4395,3,0),"")</f>
        <v>2.5364</v>
      </c>
    </row>
    <row r="5165" spans="1:9">
      <c r="A5165" s="6">
        <v>44658</v>
      </c>
      <c r="B5165">
        <f>IFERROR(VLOOKUP($A5165,原始数据_收盘!$A$4:$G$3460,2,0),"")</f>
        <v>2.155</v>
      </c>
      <c r="C5165">
        <f>IFERROR(VLOOKUP($A5165,原始数据_收盘!$A$4:$G$3460,3,0),"")</f>
        <v>2.5095</v>
      </c>
      <c r="D5165">
        <f>IFERROR(VLOOKUP($A5165,原始数据_收盘!$A$4:$G$3460,4,0),"")</f>
        <v>2.1587</v>
      </c>
      <c r="E5165">
        <f>IFERROR(VLOOKUP($A5165,原始数据_收盘!$A$4:$G$3460,5,0),"")</f>
        <v>2.5123</v>
      </c>
      <c r="F5165">
        <f>IFERROR(VLOOKUP($A5165,原始数据_收盘!$A$4:$G$3460,6,0),"")</f>
        <v>2.1568</v>
      </c>
      <c r="G5165">
        <f>IFERROR(VLOOKUP($A5165,原始数据_收盘!$A$4:$G$3460,7,0),"")</f>
        <v>2.5109</v>
      </c>
      <c r="H5165">
        <f>IFERROR(VLOOKUP($A5165,原始数据_利率互换_FR007_1年!$A$6:$C$4395,2,0),"")</f>
        <v>2.1617</v>
      </c>
      <c r="I5165">
        <f>IFERROR(VLOOKUP($A5165,原始数据_利率互换_FR007_1年!$A$6:$C$4395,3,0),"")</f>
        <v>2.5209</v>
      </c>
    </row>
    <row r="5166" spans="1:9">
      <c r="A5166" s="6">
        <v>44659</v>
      </c>
      <c r="B5166">
        <f>IFERROR(VLOOKUP($A5166,原始数据_收盘!$A$4:$G$3460,2,0),"")</f>
        <v>2.16</v>
      </c>
      <c r="C5166">
        <f>IFERROR(VLOOKUP($A5166,原始数据_收盘!$A$4:$G$3460,3,0),"")</f>
        <v>2.5193</v>
      </c>
      <c r="D5166">
        <f>IFERROR(VLOOKUP($A5166,原始数据_收盘!$A$4:$G$3460,4,0),"")</f>
        <v>2.1625</v>
      </c>
      <c r="E5166">
        <f>IFERROR(VLOOKUP($A5166,原始数据_收盘!$A$4:$G$3460,5,0),"")</f>
        <v>2.5225</v>
      </c>
      <c r="F5166">
        <f>IFERROR(VLOOKUP($A5166,原始数据_收盘!$A$4:$G$3460,6,0),"")</f>
        <v>2.1613</v>
      </c>
      <c r="G5166">
        <f>IFERROR(VLOOKUP($A5166,原始数据_收盘!$A$4:$G$3460,7,0),"")</f>
        <v>2.5209</v>
      </c>
      <c r="H5166">
        <f>IFERROR(VLOOKUP($A5166,原始数据_利率互换_FR007_1年!$A$6:$C$4395,2,0),"")</f>
        <v>2.1598</v>
      </c>
      <c r="I5166">
        <f>IFERROR(VLOOKUP($A5166,原始数据_利率互换_FR007_1年!$A$6:$C$4395,3,0),"")</f>
        <v>2.518</v>
      </c>
    </row>
    <row r="5167" spans="1:9">
      <c r="A5167" s="6">
        <v>44660</v>
      </c>
      <c r="B5167" t="str">
        <f>IFERROR(VLOOKUP($A5167,原始数据_收盘!$A$4:$G$3460,2,0),"")</f>
        <v/>
      </c>
      <c r="C5167" t="str">
        <f>IFERROR(VLOOKUP($A5167,原始数据_收盘!$A$4:$G$3460,3,0),"")</f>
        <v/>
      </c>
      <c r="D5167" t="str">
        <f>IFERROR(VLOOKUP($A5167,原始数据_收盘!$A$4:$G$3460,4,0),"")</f>
        <v/>
      </c>
      <c r="E5167" t="str">
        <f>IFERROR(VLOOKUP($A5167,原始数据_收盘!$A$4:$G$3460,5,0),"")</f>
        <v/>
      </c>
      <c r="F5167" t="str">
        <f>IFERROR(VLOOKUP($A5167,原始数据_收盘!$A$4:$G$3460,6,0),"")</f>
        <v/>
      </c>
      <c r="G5167" t="str">
        <f>IFERROR(VLOOKUP($A5167,原始数据_收盘!$A$4:$G$3460,7,0),"")</f>
        <v/>
      </c>
      <c r="H5167" t="str">
        <f>IFERROR(VLOOKUP($A5167,原始数据_利率互换_FR007_1年!$A$6:$C$4395,2,0),"")</f>
        <v/>
      </c>
      <c r="I5167" t="str">
        <f>IFERROR(VLOOKUP($A5167,原始数据_利率互换_FR007_1年!$A$6:$C$4395,3,0),"")</f>
        <v/>
      </c>
    </row>
    <row r="5168" spans="1:9">
      <c r="A5168" s="6">
        <v>44661</v>
      </c>
      <c r="B5168" t="str">
        <f>IFERROR(VLOOKUP($A5168,原始数据_收盘!$A$4:$G$3460,2,0),"")</f>
        <v/>
      </c>
      <c r="C5168" t="str">
        <f>IFERROR(VLOOKUP($A5168,原始数据_收盘!$A$4:$G$3460,3,0),"")</f>
        <v/>
      </c>
      <c r="D5168" t="str">
        <f>IFERROR(VLOOKUP($A5168,原始数据_收盘!$A$4:$G$3460,4,0),"")</f>
        <v/>
      </c>
      <c r="E5168" t="str">
        <f>IFERROR(VLOOKUP($A5168,原始数据_收盘!$A$4:$G$3460,5,0),"")</f>
        <v/>
      </c>
      <c r="F5168" t="str">
        <f>IFERROR(VLOOKUP($A5168,原始数据_收盘!$A$4:$G$3460,6,0),"")</f>
        <v/>
      </c>
      <c r="G5168" t="str">
        <f>IFERROR(VLOOKUP($A5168,原始数据_收盘!$A$4:$G$3460,7,0),"")</f>
        <v/>
      </c>
      <c r="H5168" t="str">
        <f>IFERROR(VLOOKUP($A5168,原始数据_利率互换_FR007_1年!$A$6:$C$4395,2,0),"")</f>
        <v/>
      </c>
      <c r="I5168" t="str">
        <f>IFERROR(VLOOKUP($A5168,原始数据_利率互换_FR007_1年!$A$6:$C$4395,3,0),"")</f>
        <v/>
      </c>
    </row>
    <row r="5169" spans="1:9">
      <c r="A5169" s="6">
        <v>44662</v>
      </c>
      <c r="B5169">
        <f>IFERROR(VLOOKUP($A5169,原始数据_收盘!$A$4:$G$3460,2,0),"")</f>
        <v>2.1675</v>
      </c>
      <c r="C5169">
        <f>IFERROR(VLOOKUP($A5169,原始数据_收盘!$A$4:$G$3460,3,0),"")</f>
        <v>2.54</v>
      </c>
      <c r="D5169">
        <f>IFERROR(VLOOKUP($A5169,原始数据_收盘!$A$4:$G$3460,4,0),"")</f>
        <v>2.17</v>
      </c>
      <c r="E5169">
        <f>IFERROR(VLOOKUP($A5169,原始数据_收盘!$A$4:$G$3460,5,0),"")</f>
        <v>2.5425</v>
      </c>
      <c r="F5169">
        <f>IFERROR(VLOOKUP($A5169,原始数据_收盘!$A$4:$G$3460,6,0),"")</f>
        <v>2.1688</v>
      </c>
      <c r="G5169">
        <f>IFERROR(VLOOKUP($A5169,原始数据_收盘!$A$4:$G$3460,7,0),"")</f>
        <v>2.5413</v>
      </c>
      <c r="H5169">
        <f>IFERROR(VLOOKUP($A5169,原始数据_利率互换_FR007_1年!$A$6:$C$4395,2,0),"")</f>
        <v>2.1677</v>
      </c>
      <c r="I5169">
        <f>IFERROR(VLOOKUP($A5169,原始数据_利率互换_FR007_1年!$A$6:$C$4395,3,0),"")</f>
        <v>2.5394</v>
      </c>
    </row>
    <row r="5170" spans="1:9">
      <c r="A5170" s="6">
        <v>44663</v>
      </c>
      <c r="B5170">
        <f>IFERROR(VLOOKUP($A5170,原始数据_收盘!$A$4:$G$3460,2,0),"")</f>
        <v>2.17</v>
      </c>
      <c r="C5170">
        <f>IFERROR(VLOOKUP($A5170,原始数据_收盘!$A$4:$G$3460,3,0),"")</f>
        <v>2.5425</v>
      </c>
      <c r="D5170">
        <f>IFERROR(VLOOKUP($A5170,原始数据_收盘!$A$4:$G$3460,4,0),"")</f>
        <v>2.1725</v>
      </c>
      <c r="E5170">
        <f>IFERROR(VLOOKUP($A5170,原始数据_收盘!$A$4:$G$3460,5,0),"")</f>
        <v>2.545</v>
      </c>
      <c r="F5170">
        <f>IFERROR(VLOOKUP($A5170,原始数据_收盘!$A$4:$G$3460,6,0),"")</f>
        <v>2.1713</v>
      </c>
      <c r="G5170">
        <f>IFERROR(VLOOKUP($A5170,原始数据_收盘!$A$4:$G$3460,7,0),"")</f>
        <v>2.5438</v>
      </c>
      <c r="H5170">
        <f>IFERROR(VLOOKUP($A5170,原始数据_利率互换_FR007_1年!$A$6:$C$4395,2,0),"")</f>
        <v>2.1714</v>
      </c>
      <c r="I5170">
        <f>IFERROR(VLOOKUP($A5170,原始数据_利率互换_FR007_1年!$A$6:$C$4395,3,0),"")</f>
        <v>2.5421</v>
      </c>
    </row>
    <row r="5171" spans="1:9">
      <c r="A5171" s="6">
        <v>44664</v>
      </c>
      <c r="B5171">
        <f>IFERROR(VLOOKUP($A5171,原始数据_收盘!$A$4:$G$3460,2,0),"")</f>
        <v>2.165</v>
      </c>
      <c r="C5171">
        <f>IFERROR(VLOOKUP($A5171,原始数据_收盘!$A$4:$G$3460,3,0),"")</f>
        <v>2.5268</v>
      </c>
      <c r="D5171">
        <f>IFERROR(VLOOKUP($A5171,原始数据_收盘!$A$4:$G$3460,4,0),"")</f>
        <v>2.1675</v>
      </c>
      <c r="E5171">
        <f>IFERROR(VLOOKUP($A5171,原始数据_收盘!$A$4:$G$3460,5,0),"")</f>
        <v>2.5293</v>
      </c>
      <c r="F5171">
        <f>IFERROR(VLOOKUP($A5171,原始数据_收盘!$A$4:$G$3460,6,0),"")</f>
        <v>2.1663</v>
      </c>
      <c r="G5171">
        <f>IFERROR(VLOOKUP($A5171,原始数据_收盘!$A$4:$G$3460,7,0),"")</f>
        <v>2.528</v>
      </c>
      <c r="H5171">
        <f>IFERROR(VLOOKUP($A5171,原始数据_利率互换_FR007_1年!$A$6:$C$4395,2,0),"")</f>
        <v>2.1679</v>
      </c>
      <c r="I5171">
        <f>IFERROR(VLOOKUP($A5171,原始数据_利率互换_FR007_1年!$A$6:$C$4395,3,0),"")</f>
        <v>2.5337</v>
      </c>
    </row>
    <row r="5172" spans="1:9">
      <c r="A5172" s="6">
        <v>44665</v>
      </c>
      <c r="B5172">
        <f>IFERROR(VLOOKUP($A5172,原始数据_收盘!$A$4:$G$3460,2,0),"")</f>
        <v>2.15</v>
      </c>
      <c r="C5172">
        <f>IFERROR(VLOOKUP($A5172,原始数据_收盘!$A$4:$G$3460,3,0),"")</f>
        <v>2.5225</v>
      </c>
      <c r="D5172">
        <f>IFERROR(VLOOKUP($A5172,原始数据_收盘!$A$4:$G$3460,4,0),"")</f>
        <v>2.1541</v>
      </c>
      <c r="E5172">
        <f>IFERROR(VLOOKUP($A5172,原始数据_收盘!$A$4:$G$3460,5,0),"")</f>
        <v>2.5275</v>
      </c>
      <c r="F5172">
        <f>IFERROR(VLOOKUP($A5172,原始数据_收盘!$A$4:$G$3460,6,0),"")</f>
        <v>2.1521</v>
      </c>
      <c r="G5172">
        <f>IFERROR(VLOOKUP($A5172,原始数据_收盘!$A$4:$G$3460,7,0),"")</f>
        <v>2.525</v>
      </c>
      <c r="H5172">
        <f>IFERROR(VLOOKUP($A5172,原始数据_利率互换_FR007_1年!$A$6:$C$4395,2,0),"")</f>
        <v>2.148</v>
      </c>
      <c r="I5172">
        <f>IFERROR(VLOOKUP($A5172,原始数据_利率互换_FR007_1年!$A$6:$C$4395,3,0),"")</f>
        <v>2.5149</v>
      </c>
    </row>
    <row r="5173" spans="1:9">
      <c r="A5173" s="6">
        <v>44666</v>
      </c>
      <c r="B5173">
        <f>IFERROR(VLOOKUP($A5173,原始数据_收盘!$A$4:$G$3460,2,0),"")</f>
        <v>2.125</v>
      </c>
      <c r="C5173">
        <f>IFERROR(VLOOKUP($A5173,原始数据_收盘!$A$4:$G$3460,3,0),"")</f>
        <v>2.505</v>
      </c>
      <c r="D5173">
        <f>IFERROR(VLOOKUP($A5173,原始数据_收盘!$A$4:$G$3460,4,0),"")</f>
        <v>2.1275</v>
      </c>
      <c r="E5173">
        <f>IFERROR(VLOOKUP($A5173,原始数据_收盘!$A$4:$G$3460,5,0),"")</f>
        <v>2.5075</v>
      </c>
      <c r="F5173">
        <f>IFERROR(VLOOKUP($A5173,原始数据_收盘!$A$4:$G$3460,6,0),"")</f>
        <v>2.1263</v>
      </c>
      <c r="G5173">
        <f>IFERROR(VLOOKUP($A5173,原始数据_收盘!$A$4:$G$3460,7,0),"")</f>
        <v>2.5063</v>
      </c>
      <c r="H5173">
        <f>IFERROR(VLOOKUP($A5173,原始数据_利率互换_FR007_1年!$A$6:$C$4395,2,0),"")</f>
        <v>2.1345</v>
      </c>
      <c r="I5173">
        <f>IFERROR(VLOOKUP($A5173,原始数据_利率互换_FR007_1年!$A$6:$C$4395,3,0),"")</f>
        <v>2.5113</v>
      </c>
    </row>
    <row r="5174" spans="1:9">
      <c r="A5174" s="6">
        <v>44667</v>
      </c>
      <c r="B5174" t="str">
        <f>IFERROR(VLOOKUP($A5174,原始数据_收盘!$A$4:$G$3460,2,0),"")</f>
        <v/>
      </c>
      <c r="C5174" t="str">
        <f>IFERROR(VLOOKUP($A5174,原始数据_收盘!$A$4:$G$3460,3,0),"")</f>
        <v/>
      </c>
      <c r="D5174" t="str">
        <f>IFERROR(VLOOKUP($A5174,原始数据_收盘!$A$4:$G$3460,4,0),"")</f>
        <v/>
      </c>
      <c r="E5174" t="str">
        <f>IFERROR(VLOOKUP($A5174,原始数据_收盘!$A$4:$G$3460,5,0),"")</f>
        <v/>
      </c>
      <c r="F5174" t="str">
        <f>IFERROR(VLOOKUP($A5174,原始数据_收盘!$A$4:$G$3460,6,0),"")</f>
        <v/>
      </c>
      <c r="G5174" t="str">
        <f>IFERROR(VLOOKUP($A5174,原始数据_收盘!$A$4:$G$3460,7,0),"")</f>
        <v/>
      </c>
      <c r="H5174" t="str">
        <f>IFERROR(VLOOKUP($A5174,原始数据_利率互换_FR007_1年!$A$6:$C$4395,2,0),"")</f>
        <v/>
      </c>
      <c r="I5174" t="str">
        <f>IFERROR(VLOOKUP($A5174,原始数据_利率互换_FR007_1年!$A$6:$C$4395,3,0),"")</f>
        <v/>
      </c>
    </row>
    <row r="5175" spans="1:9">
      <c r="A5175" s="6">
        <v>44668</v>
      </c>
      <c r="B5175" t="str">
        <f>IFERROR(VLOOKUP($A5175,原始数据_收盘!$A$4:$G$3460,2,0),"")</f>
        <v/>
      </c>
      <c r="C5175" t="str">
        <f>IFERROR(VLOOKUP($A5175,原始数据_收盘!$A$4:$G$3460,3,0),"")</f>
        <v/>
      </c>
      <c r="D5175" t="str">
        <f>IFERROR(VLOOKUP($A5175,原始数据_收盘!$A$4:$G$3460,4,0),"")</f>
        <v/>
      </c>
      <c r="E5175" t="str">
        <f>IFERROR(VLOOKUP($A5175,原始数据_收盘!$A$4:$G$3460,5,0),"")</f>
        <v/>
      </c>
      <c r="F5175" t="str">
        <f>IFERROR(VLOOKUP($A5175,原始数据_收盘!$A$4:$G$3460,6,0),"")</f>
        <v/>
      </c>
      <c r="G5175" t="str">
        <f>IFERROR(VLOOKUP($A5175,原始数据_收盘!$A$4:$G$3460,7,0),"")</f>
        <v/>
      </c>
      <c r="H5175" t="str">
        <f>IFERROR(VLOOKUP($A5175,原始数据_利率互换_FR007_1年!$A$6:$C$4395,2,0),"")</f>
        <v/>
      </c>
      <c r="I5175" t="str">
        <f>IFERROR(VLOOKUP($A5175,原始数据_利率互换_FR007_1年!$A$6:$C$4395,3,0),"")</f>
        <v/>
      </c>
    </row>
    <row r="5176" spans="1:9">
      <c r="A5176" s="6">
        <v>44669</v>
      </c>
      <c r="B5176">
        <f>IFERROR(VLOOKUP($A5176,原始数据_收盘!$A$4:$G$3460,2,0),"")</f>
        <v>2.175</v>
      </c>
      <c r="C5176">
        <f>IFERROR(VLOOKUP($A5176,原始数据_收盘!$A$4:$G$3460,3,0),"")</f>
        <v>2.5675</v>
      </c>
      <c r="D5176">
        <f>IFERROR(VLOOKUP($A5176,原始数据_收盘!$A$4:$G$3460,4,0),"")</f>
        <v>2.1775</v>
      </c>
      <c r="E5176">
        <f>IFERROR(VLOOKUP($A5176,原始数据_收盘!$A$4:$G$3460,5,0),"")</f>
        <v>2.57</v>
      </c>
      <c r="F5176">
        <f>IFERROR(VLOOKUP($A5176,原始数据_收盘!$A$4:$G$3460,6,0),"")</f>
        <v>2.1763</v>
      </c>
      <c r="G5176">
        <f>IFERROR(VLOOKUP($A5176,原始数据_收盘!$A$4:$G$3460,7,0),"")</f>
        <v>2.5688</v>
      </c>
      <c r="H5176">
        <f>IFERROR(VLOOKUP($A5176,原始数据_利率互换_FR007_1年!$A$6:$C$4395,2,0),"")</f>
        <v>2.1704</v>
      </c>
      <c r="I5176">
        <f>IFERROR(VLOOKUP($A5176,原始数据_利率互换_FR007_1年!$A$6:$C$4395,3,0),"")</f>
        <v>2.5601</v>
      </c>
    </row>
    <row r="5177" spans="1:9">
      <c r="A5177" s="6">
        <v>44670</v>
      </c>
      <c r="B5177">
        <f>IFERROR(VLOOKUP($A5177,原始数据_收盘!$A$4:$G$3460,2,0),"")</f>
        <v>2.17</v>
      </c>
      <c r="C5177">
        <f>IFERROR(VLOOKUP($A5177,原始数据_收盘!$A$4:$G$3460,3,0),"")</f>
        <v>2.5675</v>
      </c>
      <c r="D5177">
        <f>IFERROR(VLOOKUP($A5177,原始数据_收盘!$A$4:$G$3460,4,0),"")</f>
        <v>2.1725</v>
      </c>
      <c r="E5177">
        <f>IFERROR(VLOOKUP($A5177,原始数据_收盘!$A$4:$G$3460,5,0),"")</f>
        <v>2.57</v>
      </c>
      <c r="F5177">
        <f>IFERROR(VLOOKUP($A5177,原始数据_收盘!$A$4:$G$3460,6,0),"")</f>
        <v>2.1713</v>
      </c>
      <c r="G5177">
        <f>IFERROR(VLOOKUP($A5177,原始数据_收盘!$A$4:$G$3460,7,0),"")</f>
        <v>2.5688</v>
      </c>
      <c r="H5177">
        <f>IFERROR(VLOOKUP($A5177,原始数据_利率互换_FR007_1年!$A$6:$C$4395,2,0),"")</f>
        <v>2.1672</v>
      </c>
      <c r="I5177">
        <f>IFERROR(VLOOKUP($A5177,原始数据_利率互换_FR007_1年!$A$6:$C$4395,3,0),"")</f>
        <v>2.5632</v>
      </c>
    </row>
    <row r="5178" spans="1:9">
      <c r="A5178" s="6">
        <v>44671</v>
      </c>
      <c r="B5178">
        <f>IFERROR(VLOOKUP($A5178,原始数据_收盘!$A$4:$G$3460,2,0),"")</f>
        <v>2.1786</v>
      </c>
      <c r="C5178">
        <f>IFERROR(VLOOKUP($A5178,原始数据_收盘!$A$4:$G$3460,3,0),"")</f>
        <v>2.5785</v>
      </c>
      <c r="D5178">
        <f>IFERROR(VLOOKUP($A5178,原始数据_收盘!$A$4:$G$3460,4,0),"")</f>
        <v>2.1825</v>
      </c>
      <c r="E5178">
        <f>IFERROR(VLOOKUP($A5178,原始数据_收盘!$A$4:$G$3460,5,0),"")</f>
        <v>2.58</v>
      </c>
      <c r="F5178">
        <f>IFERROR(VLOOKUP($A5178,原始数据_收盘!$A$4:$G$3460,6,0),"")</f>
        <v>2.1806</v>
      </c>
      <c r="G5178">
        <f>IFERROR(VLOOKUP($A5178,原始数据_收盘!$A$4:$G$3460,7,0),"")</f>
        <v>2.5793</v>
      </c>
      <c r="H5178">
        <f>IFERROR(VLOOKUP($A5178,原始数据_利率互换_FR007_1年!$A$6:$C$4395,2,0),"")</f>
        <v>2.181</v>
      </c>
      <c r="I5178">
        <f>IFERROR(VLOOKUP($A5178,原始数据_利率互换_FR007_1年!$A$6:$C$4395,3,0),"")</f>
        <v>2.5817</v>
      </c>
    </row>
    <row r="5179" spans="1:9">
      <c r="A5179" s="6">
        <v>44672</v>
      </c>
      <c r="B5179">
        <f>IFERROR(VLOOKUP($A5179,原始数据_收盘!$A$4:$G$3460,2,0),"")</f>
        <v>2.165</v>
      </c>
      <c r="C5179">
        <f>IFERROR(VLOOKUP($A5179,原始数据_收盘!$A$4:$G$3460,3,0),"")</f>
        <v>2.57</v>
      </c>
      <c r="D5179">
        <f>IFERROR(VLOOKUP($A5179,原始数据_收盘!$A$4:$G$3460,4,0),"")</f>
        <v>2.1675</v>
      </c>
      <c r="E5179">
        <f>IFERROR(VLOOKUP($A5179,原始数据_收盘!$A$4:$G$3460,5,0),"")</f>
        <v>2.5725</v>
      </c>
      <c r="F5179">
        <f>IFERROR(VLOOKUP($A5179,原始数据_收盘!$A$4:$G$3460,6,0),"")</f>
        <v>2.1663</v>
      </c>
      <c r="G5179">
        <f>IFERROR(VLOOKUP($A5179,原始数据_收盘!$A$4:$G$3460,7,0),"")</f>
        <v>2.5713</v>
      </c>
      <c r="H5179">
        <f>IFERROR(VLOOKUP($A5179,原始数据_利率互换_FR007_1年!$A$6:$C$4395,2,0),"")</f>
        <v>2.1698</v>
      </c>
      <c r="I5179">
        <f>IFERROR(VLOOKUP($A5179,原始数据_利率互换_FR007_1年!$A$6:$C$4395,3,0),"")</f>
        <v>2.5703</v>
      </c>
    </row>
    <row r="5180" spans="1:9">
      <c r="A5180" s="6">
        <v>44673</v>
      </c>
      <c r="B5180">
        <f>IFERROR(VLOOKUP($A5180,原始数据_收盘!$A$4:$G$3460,2,0),"")</f>
        <v>2.175</v>
      </c>
      <c r="C5180">
        <f>IFERROR(VLOOKUP($A5180,原始数据_收盘!$A$4:$G$3460,3,0),"")</f>
        <v>2.585</v>
      </c>
      <c r="D5180">
        <f>IFERROR(VLOOKUP($A5180,原始数据_收盘!$A$4:$G$3460,4,0),"")</f>
        <v>2.1775</v>
      </c>
      <c r="E5180">
        <f>IFERROR(VLOOKUP($A5180,原始数据_收盘!$A$4:$G$3460,5,0),"")</f>
        <v>2.5875</v>
      </c>
      <c r="F5180">
        <f>IFERROR(VLOOKUP($A5180,原始数据_收盘!$A$4:$G$3460,6,0),"")</f>
        <v>2.1763</v>
      </c>
      <c r="G5180">
        <f>IFERROR(VLOOKUP($A5180,原始数据_收盘!$A$4:$G$3460,7,0),"")</f>
        <v>2.5863</v>
      </c>
      <c r="H5180">
        <f>IFERROR(VLOOKUP($A5180,原始数据_利率互换_FR007_1年!$A$6:$C$4395,2,0),"")</f>
        <v>2.1723</v>
      </c>
      <c r="I5180">
        <f>IFERROR(VLOOKUP($A5180,原始数据_利率互换_FR007_1年!$A$6:$C$4395,3,0),"")</f>
        <v>2.5833</v>
      </c>
    </row>
    <row r="5181" spans="1:9">
      <c r="A5181" s="6">
        <v>44674</v>
      </c>
      <c r="B5181" t="str">
        <f>IFERROR(VLOOKUP($A5181,原始数据_收盘!$A$4:$G$3460,2,0),"")</f>
        <v/>
      </c>
      <c r="C5181" t="str">
        <f>IFERROR(VLOOKUP($A5181,原始数据_收盘!$A$4:$G$3460,3,0),"")</f>
        <v/>
      </c>
      <c r="D5181" t="str">
        <f>IFERROR(VLOOKUP($A5181,原始数据_收盘!$A$4:$G$3460,4,0),"")</f>
        <v/>
      </c>
      <c r="E5181" t="str">
        <f>IFERROR(VLOOKUP($A5181,原始数据_收盘!$A$4:$G$3460,5,0),"")</f>
        <v/>
      </c>
      <c r="F5181" t="str">
        <f>IFERROR(VLOOKUP($A5181,原始数据_收盘!$A$4:$G$3460,6,0),"")</f>
        <v/>
      </c>
      <c r="G5181" t="str">
        <f>IFERROR(VLOOKUP($A5181,原始数据_收盘!$A$4:$G$3460,7,0),"")</f>
        <v/>
      </c>
      <c r="H5181" t="str">
        <f>IFERROR(VLOOKUP($A5181,原始数据_利率互换_FR007_1年!$A$6:$C$4395,2,0),"")</f>
        <v/>
      </c>
      <c r="I5181" t="str">
        <f>IFERROR(VLOOKUP($A5181,原始数据_利率互换_FR007_1年!$A$6:$C$4395,3,0),"")</f>
        <v/>
      </c>
    </row>
    <row r="5182" spans="1:9">
      <c r="A5182" s="6">
        <v>44675</v>
      </c>
      <c r="B5182">
        <f>IFERROR(VLOOKUP($A5182,原始数据_收盘!$A$4:$G$3460,2,0),"")</f>
        <v>2.17</v>
      </c>
      <c r="C5182">
        <f>IFERROR(VLOOKUP($A5182,原始数据_收盘!$A$4:$G$3460,3,0),"")</f>
        <v>2.585</v>
      </c>
      <c r="D5182">
        <f>IFERROR(VLOOKUP($A5182,原始数据_收盘!$A$4:$G$3460,4,0),"")</f>
        <v>2.1775</v>
      </c>
      <c r="E5182">
        <f>IFERROR(VLOOKUP($A5182,原始数据_收盘!$A$4:$G$3460,5,0),"")</f>
        <v>2.5925</v>
      </c>
      <c r="F5182">
        <f>IFERROR(VLOOKUP($A5182,原始数据_收盘!$A$4:$G$3460,6,0),"")</f>
        <v>2.1738</v>
      </c>
      <c r="G5182">
        <f>IFERROR(VLOOKUP($A5182,原始数据_收盘!$A$4:$G$3460,7,0),"")</f>
        <v>2.5888</v>
      </c>
      <c r="H5182">
        <f>IFERROR(VLOOKUP($A5182,原始数据_利率互换_FR007_1年!$A$6:$C$4395,2,0),"")</f>
        <v>2.1752</v>
      </c>
      <c r="I5182">
        <f>IFERROR(VLOOKUP($A5182,原始数据_利率互换_FR007_1年!$A$6:$C$4395,3,0),"")</f>
        <v>2.5894</v>
      </c>
    </row>
    <row r="5183" spans="1:9">
      <c r="A5183" s="6">
        <v>44676</v>
      </c>
      <c r="B5183">
        <f>IFERROR(VLOOKUP($A5183,原始数据_收盘!$A$4:$G$3460,2,0),"")</f>
        <v>2.135</v>
      </c>
      <c r="C5183">
        <f>IFERROR(VLOOKUP($A5183,原始数据_收盘!$A$4:$G$3460,3,0),"")</f>
        <v>2.5525</v>
      </c>
      <c r="D5183">
        <f>IFERROR(VLOOKUP($A5183,原始数据_收盘!$A$4:$G$3460,4,0),"")</f>
        <v>2.14</v>
      </c>
      <c r="E5183">
        <f>IFERROR(VLOOKUP($A5183,原始数据_收盘!$A$4:$G$3460,5,0),"")</f>
        <v>2.555</v>
      </c>
      <c r="F5183">
        <f>IFERROR(VLOOKUP($A5183,原始数据_收盘!$A$4:$G$3460,6,0),"")</f>
        <v>2.1375</v>
      </c>
      <c r="G5183">
        <f>IFERROR(VLOOKUP($A5183,原始数据_收盘!$A$4:$G$3460,7,0),"")</f>
        <v>2.5538</v>
      </c>
      <c r="H5183">
        <f>IFERROR(VLOOKUP($A5183,原始数据_利率互换_FR007_1年!$A$6:$C$4395,2,0),"")</f>
        <v>2.1586</v>
      </c>
      <c r="I5183">
        <f>IFERROR(VLOOKUP($A5183,原始数据_利率互换_FR007_1年!$A$6:$C$4395,3,0),"")</f>
        <v>2.5699</v>
      </c>
    </row>
    <row r="5184" spans="1:9">
      <c r="A5184" s="6">
        <v>44677</v>
      </c>
      <c r="B5184">
        <f>IFERROR(VLOOKUP($A5184,原始数据_收盘!$A$4:$G$3460,2,0),"")</f>
        <v>2.1482</v>
      </c>
      <c r="C5184">
        <f>IFERROR(VLOOKUP($A5184,原始数据_收盘!$A$4:$G$3460,3,0),"")</f>
        <v>2.5575</v>
      </c>
      <c r="D5184">
        <f>IFERROR(VLOOKUP($A5184,原始数据_收盘!$A$4:$G$3460,4,0),"")</f>
        <v>2.1518</v>
      </c>
      <c r="E5184">
        <f>IFERROR(VLOOKUP($A5184,原始数据_收盘!$A$4:$G$3460,5,0),"")</f>
        <v>2.56</v>
      </c>
      <c r="F5184">
        <f>IFERROR(VLOOKUP($A5184,原始数据_收盘!$A$4:$G$3460,6,0),"")</f>
        <v>2.15</v>
      </c>
      <c r="G5184">
        <f>IFERROR(VLOOKUP($A5184,原始数据_收盘!$A$4:$G$3460,7,0),"")</f>
        <v>2.5588</v>
      </c>
      <c r="H5184">
        <f>IFERROR(VLOOKUP($A5184,原始数据_利率互换_FR007_1年!$A$6:$C$4395,2,0),"")</f>
        <v>2.1453</v>
      </c>
      <c r="I5184">
        <f>IFERROR(VLOOKUP($A5184,原始数据_利率互换_FR007_1年!$A$6:$C$4395,3,0),"")</f>
        <v>2.5594</v>
      </c>
    </row>
    <row r="5185" spans="1:9">
      <c r="A5185" s="6">
        <v>44678</v>
      </c>
      <c r="B5185">
        <f>IFERROR(VLOOKUP($A5185,原始数据_收盘!$A$4:$G$3460,2,0),"")</f>
        <v>2.1725</v>
      </c>
      <c r="C5185">
        <f>IFERROR(VLOOKUP($A5185,原始数据_收盘!$A$4:$G$3460,3,0),"")</f>
        <v>2.5825</v>
      </c>
      <c r="D5185">
        <f>IFERROR(VLOOKUP($A5185,原始数据_收盘!$A$4:$G$3460,4,0),"")</f>
        <v>2.1775</v>
      </c>
      <c r="E5185">
        <f>IFERROR(VLOOKUP($A5185,原始数据_收盘!$A$4:$G$3460,5,0),"")</f>
        <v>2.585</v>
      </c>
      <c r="F5185">
        <f>IFERROR(VLOOKUP($A5185,原始数据_收盘!$A$4:$G$3460,6,0),"")</f>
        <v>2.175</v>
      </c>
      <c r="G5185">
        <f>IFERROR(VLOOKUP($A5185,原始数据_收盘!$A$4:$G$3460,7,0),"")</f>
        <v>2.5838</v>
      </c>
      <c r="H5185">
        <f>IFERROR(VLOOKUP($A5185,原始数据_利率互换_FR007_1年!$A$6:$C$4395,2,0),"")</f>
        <v>2.1676</v>
      </c>
      <c r="I5185">
        <f>IFERROR(VLOOKUP($A5185,原始数据_利率互换_FR007_1年!$A$6:$C$4395,3,0),"")</f>
        <v>2.577</v>
      </c>
    </row>
    <row r="5186" spans="1:9">
      <c r="A5186" s="6">
        <v>44679</v>
      </c>
      <c r="B5186">
        <f>IFERROR(VLOOKUP($A5186,原始数据_收盘!$A$4:$G$3460,2,0),"")</f>
        <v>2.1975</v>
      </c>
      <c r="C5186">
        <f>IFERROR(VLOOKUP($A5186,原始数据_收盘!$A$4:$G$3460,3,0),"")</f>
        <v>2.615</v>
      </c>
      <c r="D5186">
        <f>IFERROR(VLOOKUP($A5186,原始数据_收盘!$A$4:$G$3460,4,0),"")</f>
        <v>2.2</v>
      </c>
      <c r="E5186">
        <f>IFERROR(VLOOKUP($A5186,原始数据_收盘!$A$4:$G$3460,5,0),"")</f>
        <v>2.6175</v>
      </c>
      <c r="F5186">
        <f>IFERROR(VLOOKUP($A5186,原始数据_收盘!$A$4:$G$3460,6,0),"")</f>
        <v>2.1988</v>
      </c>
      <c r="G5186">
        <f>IFERROR(VLOOKUP($A5186,原始数据_收盘!$A$4:$G$3460,7,0),"")</f>
        <v>2.6163</v>
      </c>
      <c r="H5186">
        <f>IFERROR(VLOOKUP($A5186,原始数据_利率互换_FR007_1年!$A$6:$C$4395,2,0),"")</f>
        <v>2.1894</v>
      </c>
      <c r="I5186">
        <f>IFERROR(VLOOKUP($A5186,原始数据_利率互换_FR007_1年!$A$6:$C$4395,3,0),"")</f>
        <v>2.605</v>
      </c>
    </row>
    <row r="5187" spans="1:9">
      <c r="A5187" s="6">
        <v>44680</v>
      </c>
      <c r="B5187">
        <f>IFERROR(VLOOKUP($A5187,原始数据_收盘!$A$4:$G$3460,2,0),"")</f>
        <v>2.18</v>
      </c>
      <c r="C5187">
        <f>IFERROR(VLOOKUP($A5187,原始数据_收盘!$A$4:$G$3460,3,0),"")</f>
        <v>2.5825</v>
      </c>
      <c r="D5187">
        <f>IFERROR(VLOOKUP($A5187,原始数据_收盘!$A$4:$G$3460,4,0),"")</f>
        <v>2.1825</v>
      </c>
      <c r="E5187">
        <f>IFERROR(VLOOKUP($A5187,原始数据_收盘!$A$4:$G$3460,5,0),"")</f>
        <v>2.585</v>
      </c>
      <c r="F5187">
        <f>IFERROR(VLOOKUP($A5187,原始数据_收盘!$A$4:$G$3460,6,0),"")</f>
        <v>2.1813</v>
      </c>
      <c r="G5187">
        <f>IFERROR(VLOOKUP($A5187,原始数据_收盘!$A$4:$G$3460,7,0),"")</f>
        <v>2.5838</v>
      </c>
      <c r="H5187">
        <f>IFERROR(VLOOKUP($A5187,原始数据_利率互换_FR007_1年!$A$6:$C$4395,2,0),"")</f>
        <v>2.1826</v>
      </c>
      <c r="I5187">
        <f>IFERROR(VLOOKUP($A5187,原始数据_利率互换_FR007_1年!$A$6:$C$4395,3,0),"")</f>
        <v>2.5868</v>
      </c>
    </row>
    <row r="5188" spans="1:9">
      <c r="A5188" s="6">
        <v>44681</v>
      </c>
      <c r="B5188" t="str">
        <f>IFERROR(VLOOKUP($A5188,原始数据_收盘!$A$4:$G$3460,2,0),"")</f>
        <v/>
      </c>
      <c r="C5188" t="str">
        <f>IFERROR(VLOOKUP($A5188,原始数据_收盘!$A$4:$G$3460,3,0),"")</f>
        <v/>
      </c>
      <c r="D5188" t="str">
        <f>IFERROR(VLOOKUP($A5188,原始数据_收盘!$A$4:$G$3460,4,0),"")</f>
        <v/>
      </c>
      <c r="E5188" t="str">
        <f>IFERROR(VLOOKUP($A5188,原始数据_收盘!$A$4:$G$3460,5,0),"")</f>
        <v/>
      </c>
      <c r="F5188" t="str">
        <f>IFERROR(VLOOKUP($A5188,原始数据_收盘!$A$4:$G$3460,6,0),"")</f>
        <v/>
      </c>
      <c r="G5188" t="str">
        <f>IFERROR(VLOOKUP($A5188,原始数据_收盘!$A$4:$G$3460,7,0),"")</f>
        <v/>
      </c>
      <c r="H5188" t="str">
        <f>IFERROR(VLOOKUP($A5188,原始数据_利率互换_FR007_1年!$A$6:$C$4395,2,0),"")</f>
        <v/>
      </c>
      <c r="I5188" t="str">
        <f>IFERROR(VLOOKUP($A5188,原始数据_利率互换_FR007_1年!$A$6:$C$4395,3,0),"")</f>
        <v/>
      </c>
    </row>
    <row r="5189" spans="1:9">
      <c r="A5189" s="6">
        <v>44682</v>
      </c>
      <c r="B5189" t="str">
        <f>IFERROR(VLOOKUP($A5189,原始数据_收盘!$A$4:$G$3460,2,0),"")</f>
        <v/>
      </c>
      <c r="C5189" t="str">
        <f>IFERROR(VLOOKUP($A5189,原始数据_收盘!$A$4:$G$3460,3,0),"")</f>
        <v/>
      </c>
      <c r="D5189" t="str">
        <f>IFERROR(VLOOKUP($A5189,原始数据_收盘!$A$4:$G$3460,4,0),"")</f>
        <v/>
      </c>
      <c r="E5189" t="str">
        <f>IFERROR(VLOOKUP($A5189,原始数据_收盘!$A$4:$G$3460,5,0),"")</f>
        <v/>
      </c>
      <c r="F5189" t="str">
        <f>IFERROR(VLOOKUP($A5189,原始数据_收盘!$A$4:$G$3460,6,0),"")</f>
        <v/>
      </c>
      <c r="G5189" t="str">
        <f>IFERROR(VLOOKUP($A5189,原始数据_收盘!$A$4:$G$3460,7,0),"")</f>
        <v/>
      </c>
      <c r="H5189" t="str">
        <f>IFERROR(VLOOKUP($A5189,原始数据_利率互换_FR007_1年!$A$6:$C$4395,2,0),"")</f>
        <v/>
      </c>
      <c r="I5189" t="str">
        <f>IFERROR(VLOOKUP($A5189,原始数据_利率互换_FR007_1年!$A$6:$C$4395,3,0),"")</f>
        <v/>
      </c>
    </row>
    <row r="5190" spans="1:9">
      <c r="A5190" s="6">
        <v>44683</v>
      </c>
      <c r="B5190" t="str">
        <f>IFERROR(VLOOKUP($A5190,原始数据_收盘!$A$4:$G$3460,2,0),"")</f>
        <v/>
      </c>
      <c r="C5190" t="str">
        <f>IFERROR(VLOOKUP($A5190,原始数据_收盘!$A$4:$G$3460,3,0),"")</f>
        <v/>
      </c>
      <c r="D5190" t="str">
        <f>IFERROR(VLOOKUP($A5190,原始数据_收盘!$A$4:$G$3460,4,0),"")</f>
        <v/>
      </c>
      <c r="E5190" t="str">
        <f>IFERROR(VLOOKUP($A5190,原始数据_收盘!$A$4:$G$3460,5,0),"")</f>
        <v/>
      </c>
      <c r="F5190" t="str">
        <f>IFERROR(VLOOKUP($A5190,原始数据_收盘!$A$4:$G$3460,6,0),"")</f>
        <v/>
      </c>
      <c r="G5190" t="str">
        <f>IFERROR(VLOOKUP($A5190,原始数据_收盘!$A$4:$G$3460,7,0),"")</f>
        <v/>
      </c>
      <c r="H5190" t="str">
        <f>IFERROR(VLOOKUP($A5190,原始数据_利率互换_FR007_1年!$A$6:$C$4395,2,0),"")</f>
        <v/>
      </c>
      <c r="I5190" t="str">
        <f>IFERROR(VLOOKUP($A5190,原始数据_利率互换_FR007_1年!$A$6:$C$4395,3,0),"")</f>
        <v/>
      </c>
    </row>
    <row r="5191" spans="1:9">
      <c r="A5191" s="6">
        <v>44684</v>
      </c>
      <c r="B5191" t="str">
        <f>IFERROR(VLOOKUP($A5191,原始数据_收盘!$A$4:$G$3460,2,0),"")</f>
        <v/>
      </c>
      <c r="C5191" t="str">
        <f>IFERROR(VLOOKUP($A5191,原始数据_收盘!$A$4:$G$3460,3,0),"")</f>
        <v/>
      </c>
      <c r="D5191" t="str">
        <f>IFERROR(VLOOKUP($A5191,原始数据_收盘!$A$4:$G$3460,4,0),"")</f>
        <v/>
      </c>
      <c r="E5191" t="str">
        <f>IFERROR(VLOOKUP($A5191,原始数据_收盘!$A$4:$G$3460,5,0),"")</f>
        <v/>
      </c>
      <c r="F5191" t="str">
        <f>IFERROR(VLOOKUP($A5191,原始数据_收盘!$A$4:$G$3460,6,0),"")</f>
        <v/>
      </c>
      <c r="G5191" t="str">
        <f>IFERROR(VLOOKUP($A5191,原始数据_收盘!$A$4:$G$3460,7,0),"")</f>
        <v/>
      </c>
      <c r="H5191" t="str">
        <f>IFERROR(VLOOKUP($A5191,原始数据_利率互换_FR007_1年!$A$6:$C$4395,2,0),"")</f>
        <v/>
      </c>
      <c r="I5191" t="str">
        <f>IFERROR(VLOOKUP($A5191,原始数据_利率互换_FR007_1年!$A$6:$C$4395,3,0),"")</f>
        <v/>
      </c>
    </row>
    <row r="5192" spans="1:9">
      <c r="A5192" s="6">
        <v>44685</v>
      </c>
      <c r="B5192" t="str">
        <f>IFERROR(VLOOKUP($A5192,原始数据_收盘!$A$4:$G$3460,2,0),"")</f>
        <v/>
      </c>
      <c r="C5192" t="str">
        <f>IFERROR(VLOOKUP($A5192,原始数据_收盘!$A$4:$G$3460,3,0),"")</f>
        <v/>
      </c>
      <c r="D5192" t="str">
        <f>IFERROR(VLOOKUP($A5192,原始数据_收盘!$A$4:$G$3460,4,0),"")</f>
        <v/>
      </c>
      <c r="E5192" t="str">
        <f>IFERROR(VLOOKUP($A5192,原始数据_收盘!$A$4:$G$3460,5,0),"")</f>
        <v/>
      </c>
      <c r="F5192" t="str">
        <f>IFERROR(VLOOKUP($A5192,原始数据_收盘!$A$4:$G$3460,6,0),"")</f>
        <v/>
      </c>
      <c r="G5192" t="str">
        <f>IFERROR(VLOOKUP($A5192,原始数据_收盘!$A$4:$G$3460,7,0),"")</f>
        <v/>
      </c>
      <c r="H5192" t="str">
        <f>IFERROR(VLOOKUP($A5192,原始数据_利率互换_FR007_1年!$A$6:$C$4395,2,0),"")</f>
        <v/>
      </c>
      <c r="I5192" t="str">
        <f>IFERROR(VLOOKUP($A5192,原始数据_利率互换_FR007_1年!$A$6:$C$4395,3,0),"")</f>
        <v/>
      </c>
    </row>
    <row r="5193" spans="1:9">
      <c r="A5193" s="6">
        <v>44686</v>
      </c>
      <c r="B5193">
        <f>IFERROR(VLOOKUP($A5193,原始数据_收盘!$A$4:$G$3460,2,0),"")</f>
        <v>2.17</v>
      </c>
      <c r="C5193">
        <f>IFERROR(VLOOKUP($A5193,原始数据_收盘!$A$4:$G$3460,3,0),"")</f>
        <v>2.5775</v>
      </c>
      <c r="D5193">
        <f>IFERROR(VLOOKUP($A5193,原始数据_收盘!$A$4:$G$3460,4,0),"")</f>
        <v>2.1725</v>
      </c>
      <c r="E5193">
        <f>IFERROR(VLOOKUP($A5193,原始数据_收盘!$A$4:$G$3460,5,0),"")</f>
        <v>2.58</v>
      </c>
      <c r="F5193">
        <f>IFERROR(VLOOKUP($A5193,原始数据_收盘!$A$4:$G$3460,6,0),"")</f>
        <v>2.1713</v>
      </c>
      <c r="G5193">
        <f>IFERROR(VLOOKUP($A5193,原始数据_收盘!$A$4:$G$3460,7,0),"")</f>
        <v>2.5788</v>
      </c>
      <c r="H5193">
        <f>IFERROR(VLOOKUP($A5193,原始数据_利率互换_FR007_1年!$A$6:$C$4395,2,0),"")</f>
        <v>2.1722</v>
      </c>
      <c r="I5193">
        <f>IFERROR(VLOOKUP($A5193,原始数据_利率互换_FR007_1年!$A$6:$C$4395,3,0),"")</f>
        <v>2.5774</v>
      </c>
    </row>
    <row r="5194" spans="1:9">
      <c r="A5194" s="6">
        <v>44687</v>
      </c>
      <c r="B5194">
        <f>IFERROR(VLOOKUP($A5194,原始数据_收盘!$A$4:$G$3460,2,0),"")</f>
        <v>2.17</v>
      </c>
      <c r="C5194">
        <f>IFERROR(VLOOKUP($A5194,原始数据_收盘!$A$4:$G$3460,3,0),"")</f>
        <v>2.5875</v>
      </c>
      <c r="D5194">
        <f>IFERROR(VLOOKUP($A5194,原始数据_收盘!$A$4:$G$3460,4,0),"")</f>
        <v>2.1725</v>
      </c>
      <c r="E5194">
        <f>IFERROR(VLOOKUP($A5194,原始数据_收盘!$A$4:$G$3460,5,0),"")</f>
        <v>2.59</v>
      </c>
      <c r="F5194">
        <f>IFERROR(VLOOKUP($A5194,原始数据_收盘!$A$4:$G$3460,6,0),"")</f>
        <v>2.1713</v>
      </c>
      <c r="G5194">
        <f>IFERROR(VLOOKUP($A5194,原始数据_收盘!$A$4:$G$3460,7,0),"")</f>
        <v>2.5888</v>
      </c>
      <c r="H5194">
        <f>IFERROR(VLOOKUP($A5194,原始数据_利率互换_FR007_1年!$A$6:$C$4395,2,0),"")</f>
        <v>2.1727</v>
      </c>
      <c r="I5194">
        <f>IFERROR(VLOOKUP($A5194,原始数据_利率互换_FR007_1年!$A$6:$C$4395,3,0),"")</f>
        <v>2.5885</v>
      </c>
    </row>
    <row r="5195" spans="1:9">
      <c r="A5195" s="6">
        <v>44688</v>
      </c>
      <c r="B5195">
        <f>IFERROR(VLOOKUP($A5195,原始数据_收盘!$A$4:$G$3460,2,0),"")</f>
        <v>2.155</v>
      </c>
      <c r="C5195">
        <f>IFERROR(VLOOKUP($A5195,原始数据_收盘!$A$4:$G$3460,3,0),"")</f>
        <v>2.5825</v>
      </c>
      <c r="D5195">
        <f>IFERROR(VLOOKUP($A5195,原始数据_收盘!$A$4:$G$3460,4,0),"")</f>
        <v>2.1775</v>
      </c>
      <c r="E5195">
        <f>IFERROR(VLOOKUP($A5195,原始数据_收盘!$A$4:$G$3460,5,0),"")</f>
        <v>2.59</v>
      </c>
      <c r="F5195">
        <f>IFERROR(VLOOKUP($A5195,原始数据_收盘!$A$4:$G$3460,6,0),"")</f>
        <v>2.1663</v>
      </c>
      <c r="G5195">
        <f>IFERROR(VLOOKUP($A5195,原始数据_收盘!$A$4:$G$3460,7,0),"")</f>
        <v>2.5863</v>
      </c>
      <c r="H5195" t="str">
        <f>IFERROR(VLOOKUP($A5195,原始数据_利率互换_FR007_1年!$A$6:$C$4395,2,0),"")</f>
        <v/>
      </c>
      <c r="I5195" t="str">
        <f>IFERROR(VLOOKUP($A5195,原始数据_利率互换_FR007_1年!$A$6:$C$4395,3,0),"")</f>
        <v/>
      </c>
    </row>
    <row r="5196" spans="1:9">
      <c r="A5196" s="6">
        <v>44689</v>
      </c>
      <c r="B5196" t="str">
        <f>IFERROR(VLOOKUP($A5196,原始数据_收盘!$A$4:$G$3460,2,0),"")</f>
        <v/>
      </c>
      <c r="C5196" t="str">
        <f>IFERROR(VLOOKUP($A5196,原始数据_收盘!$A$4:$G$3460,3,0),"")</f>
        <v/>
      </c>
      <c r="D5196" t="str">
        <f>IFERROR(VLOOKUP($A5196,原始数据_收盘!$A$4:$G$3460,4,0),"")</f>
        <v/>
      </c>
      <c r="E5196" t="str">
        <f>IFERROR(VLOOKUP($A5196,原始数据_收盘!$A$4:$G$3460,5,0),"")</f>
        <v/>
      </c>
      <c r="F5196" t="str">
        <f>IFERROR(VLOOKUP($A5196,原始数据_收盘!$A$4:$G$3460,6,0),"")</f>
        <v/>
      </c>
      <c r="G5196" t="str">
        <f>IFERROR(VLOOKUP($A5196,原始数据_收盘!$A$4:$G$3460,7,0),"")</f>
        <v/>
      </c>
      <c r="H5196" t="str">
        <f>IFERROR(VLOOKUP($A5196,原始数据_利率互换_FR007_1年!$A$6:$C$4395,2,0),"")</f>
        <v/>
      </c>
      <c r="I5196" t="str">
        <f>IFERROR(VLOOKUP($A5196,原始数据_利率互换_FR007_1年!$A$6:$C$4395,3,0),"")</f>
        <v/>
      </c>
    </row>
    <row r="5197" spans="1:9">
      <c r="A5197" s="6">
        <v>44690</v>
      </c>
      <c r="B5197">
        <f>IFERROR(VLOOKUP($A5197,原始数据_收盘!$A$4:$G$3460,2,0),"")</f>
        <v>2.1475</v>
      </c>
      <c r="C5197">
        <f>IFERROR(VLOOKUP($A5197,原始数据_收盘!$A$4:$G$3460,3,0),"")</f>
        <v>2.565</v>
      </c>
      <c r="D5197">
        <f>IFERROR(VLOOKUP($A5197,原始数据_收盘!$A$4:$G$3460,4,0),"")</f>
        <v>2.1525</v>
      </c>
      <c r="E5197">
        <f>IFERROR(VLOOKUP($A5197,原始数据_收盘!$A$4:$G$3460,5,0),"")</f>
        <v>2.5691</v>
      </c>
      <c r="F5197">
        <f>IFERROR(VLOOKUP($A5197,原始数据_收盘!$A$4:$G$3460,6,0),"")</f>
        <v>2.15</v>
      </c>
      <c r="G5197">
        <f>IFERROR(VLOOKUP($A5197,原始数据_收盘!$A$4:$G$3460,7,0),"")</f>
        <v>2.5671</v>
      </c>
      <c r="H5197">
        <f>IFERROR(VLOOKUP($A5197,原始数据_利率互换_FR007_1年!$A$6:$C$4395,2,0),"")</f>
        <v>2.1626</v>
      </c>
      <c r="I5197">
        <f>IFERROR(VLOOKUP($A5197,原始数据_利率互换_FR007_1年!$A$6:$C$4395,3,0),"")</f>
        <v>2.5786</v>
      </c>
    </row>
    <row r="5198" spans="1:9">
      <c r="A5198" s="6">
        <v>44691</v>
      </c>
      <c r="B5198">
        <f>IFERROR(VLOOKUP($A5198,原始数据_收盘!$A$4:$G$3460,2,0),"")</f>
        <v>2.124</v>
      </c>
      <c r="C5198">
        <f>IFERROR(VLOOKUP($A5198,原始数据_收盘!$A$4:$G$3460,3,0),"")</f>
        <v>2.54</v>
      </c>
      <c r="D5198">
        <f>IFERROR(VLOOKUP($A5198,原始数据_收盘!$A$4:$G$3460,4,0),"")</f>
        <v>2.1275</v>
      </c>
      <c r="E5198">
        <f>IFERROR(VLOOKUP($A5198,原始数据_收盘!$A$4:$G$3460,5,0),"")</f>
        <v>2.5425</v>
      </c>
      <c r="F5198">
        <f>IFERROR(VLOOKUP($A5198,原始数据_收盘!$A$4:$G$3460,6,0),"")</f>
        <v>2.1258</v>
      </c>
      <c r="G5198">
        <f>IFERROR(VLOOKUP($A5198,原始数据_收盘!$A$4:$G$3460,7,0),"")</f>
        <v>2.5413</v>
      </c>
      <c r="H5198">
        <f>IFERROR(VLOOKUP($A5198,原始数据_利率互换_FR007_1年!$A$6:$C$4395,2,0),"")</f>
        <v>2.1296</v>
      </c>
      <c r="I5198">
        <f>IFERROR(VLOOKUP($A5198,原始数据_利率互换_FR007_1年!$A$6:$C$4395,3,0),"")</f>
        <v>2.5474</v>
      </c>
    </row>
    <row r="5199" spans="1:9">
      <c r="A5199" s="6">
        <v>44692</v>
      </c>
      <c r="B5199">
        <f>IFERROR(VLOOKUP($A5199,原始数据_收盘!$A$4:$G$3460,2,0),"")</f>
        <v>2.1424</v>
      </c>
      <c r="C5199">
        <f>IFERROR(VLOOKUP($A5199,原始数据_收盘!$A$4:$G$3460,3,0),"")</f>
        <v>2.565</v>
      </c>
      <c r="D5199">
        <f>IFERROR(VLOOKUP($A5199,原始数据_收盘!$A$4:$G$3460,4,0),"")</f>
        <v>2.145</v>
      </c>
      <c r="E5199">
        <f>IFERROR(VLOOKUP($A5199,原始数据_收盘!$A$4:$G$3460,5,0),"")</f>
        <v>2.5675</v>
      </c>
      <c r="F5199">
        <f>IFERROR(VLOOKUP($A5199,原始数据_收盘!$A$4:$G$3460,6,0),"")</f>
        <v>2.1437</v>
      </c>
      <c r="G5199">
        <f>IFERROR(VLOOKUP($A5199,原始数据_收盘!$A$4:$G$3460,7,0),"")</f>
        <v>2.5663</v>
      </c>
      <c r="H5199">
        <f>IFERROR(VLOOKUP($A5199,原始数据_利率互换_FR007_1年!$A$6:$C$4395,2,0),"")</f>
        <v>2.1392</v>
      </c>
      <c r="I5199">
        <f>IFERROR(VLOOKUP($A5199,原始数据_利率互换_FR007_1年!$A$6:$C$4395,3,0),"")</f>
        <v>2.563</v>
      </c>
    </row>
    <row r="5200" spans="1:9">
      <c r="A5200" s="6">
        <v>44693</v>
      </c>
      <c r="B5200">
        <f>IFERROR(VLOOKUP($A5200,原始数据_收盘!$A$4:$G$3460,2,0),"")</f>
        <v>2.1055</v>
      </c>
      <c r="C5200">
        <f>IFERROR(VLOOKUP($A5200,原始数据_收盘!$A$4:$G$3460,3,0),"")</f>
        <v>2.5397</v>
      </c>
      <c r="D5200">
        <f>IFERROR(VLOOKUP($A5200,原始数据_收盘!$A$4:$G$3460,4,0),"")</f>
        <v>2.1118</v>
      </c>
      <c r="E5200">
        <f>IFERROR(VLOOKUP($A5200,原始数据_收盘!$A$4:$G$3460,5,0),"")</f>
        <v>2.5425</v>
      </c>
      <c r="F5200">
        <f>IFERROR(VLOOKUP($A5200,原始数据_收盘!$A$4:$G$3460,6,0),"")</f>
        <v>2.1086</v>
      </c>
      <c r="G5200">
        <f>IFERROR(VLOOKUP($A5200,原始数据_收盘!$A$4:$G$3460,7,0),"")</f>
        <v>2.5411</v>
      </c>
      <c r="H5200">
        <f>IFERROR(VLOOKUP($A5200,原始数据_利率互换_FR007_1年!$A$6:$C$4395,2,0),"")</f>
        <v>2.1186</v>
      </c>
      <c r="I5200">
        <f>IFERROR(VLOOKUP($A5200,原始数据_利率互换_FR007_1年!$A$6:$C$4395,3,0),"")</f>
        <v>2.5473</v>
      </c>
    </row>
    <row r="5201" spans="1:9">
      <c r="A5201" s="6">
        <v>44694</v>
      </c>
      <c r="B5201">
        <f>IFERROR(VLOOKUP($A5201,原始数据_收盘!$A$4:$G$3460,2,0),"")</f>
        <v>2.1084</v>
      </c>
      <c r="C5201">
        <f>IFERROR(VLOOKUP($A5201,原始数据_收盘!$A$4:$G$3460,3,0),"")</f>
        <v>2.5461</v>
      </c>
      <c r="D5201">
        <f>IFERROR(VLOOKUP($A5201,原始数据_收盘!$A$4:$G$3460,4,0),"")</f>
        <v>2.1109</v>
      </c>
      <c r="E5201">
        <f>IFERROR(VLOOKUP($A5201,原始数据_收盘!$A$4:$G$3460,5,0),"")</f>
        <v>2.5486</v>
      </c>
      <c r="F5201">
        <f>IFERROR(VLOOKUP($A5201,原始数据_收盘!$A$4:$G$3460,6,0),"")</f>
        <v>2.1096</v>
      </c>
      <c r="G5201">
        <f>IFERROR(VLOOKUP($A5201,原始数据_收盘!$A$4:$G$3460,7,0),"")</f>
        <v>2.5473</v>
      </c>
      <c r="H5201">
        <f>IFERROR(VLOOKUP($A5201,原始数据_利率互换_FR007_1年!$A$6:$C$4395,2,0),"")</f>
        <v>2.102</v>
      </c>
      <c r="I5201">
        <f>IFERROR(VLOOKUP($A5201,原始数据_利率互换_FR007_1年!$A$6:$C$4395,3,0),"")</f>
        <v>2.5392</v>
      </c>
    </row>
    <row r="5202" spans="1:9">
      <c r="A5202" s="6">
        <v>44695</v>
      </c>
      <c r="B5202" t="str">
        <f>IFERROR(VLOOKUP($A5202,原始数据_收盘!$A$4:$G$3460,2,0),"")</f>
        <v/>
      </c>
      <c r="C5202" t="str">
        <f>IFERROR(VLOOKUP($A5202,原始数据_收盘!$A$4:$G$3460,3,0),"")</f>
        <v/>
      </c>
      <c r="D5202" t="str">
        <f>IFERROR(VLOOKUP($A5202,原始数据_收盘!$A$4:$G$3460,4,0),"")</f>
        <v/>
      </c>
      <c r="E5202" t="str">
        <f>IFERROR(VLOOKUP($A5202,原始数据_收盘!$A$4:$G$3460,5,0),"")</f>
        <v/>
      </c>
      <c r="F5202" t="str">
        <f>IFERROR(VLOOKUP($A5202,原始数据_收盘!$A$4:$G$3460,6,0),"")</f>
        <v/>
      </c>
      <c r="G5202" t="str">
        <f>IFERROR(VLOOKUP($A5202,原始数据_收盘!$A$4:$G$3460,7,0),"")</f>
        <v/>
      </c>
      <c r="H5202" t="str">
        <f>IFERROR(VLOOKUP($A5202,原始数据_利率互换_FR007_1年!$A$6:$C$4395,2,0),"")</f>
        <v/>
      </c>
      <c r="I5202" t="str">
        <f>IFERROR(VLOOKUP($A5202,原始数据_利率互换_FR007_1年!$A$6:$C$4395,3,0),"")</f>
        <v/>
      </c>
    </row>
    <row r="5203" spans="1:9">
      <c r="A5203" s="6">
        <v>44696</v>
      </c>
      <c r="B5203" t="str">
        <f>IFERROR(VLOOKUP($A5203,原始数据_收盘!$A$4:$G$3460,2,0),"")</f>
        <v/>
      </c>
      <c r="C5203" t="str">
        <f>IFERROR(VLOOKUP($A5203,原始数据_收盘!$A$4:$G$3460,3,0),"")</f>
        <v/>
      </c>
      <c r="D5203" t="str">
        <f>IFERROR(VLOOKUP($A5203,原始数据_收盘!$A$4:$G$3460,4,0),"")</f>
        <v/>
      </c>
      <c r="E5203" t="str">
        <f>IFERROR(VLOOKUP($A5203,原始数据_收盘!$A$4:$G$3460,5,0),"")</f>
        <v/>
      </c>
      <c r="F5203" t="str">
        <f>IFERROR(VLOOKUP($A5203,原始数据_收盘!$A$4:$G$3460,6,0),"")</f>
        <v/>
      </c>
      <c r="G5203" t="str">
        <f>IFERROR(VLOOKUP($A5203,原始数据_收盘!$A$4:$G$3460,7,0),"")</f>
        <v/>
      </c>
      <c r="H5203" t="str">
        <f>IFERROR(VLOOKUP($A5203,原始数据_利率互换_FR007_1年!$A$6:$C$4395,2,0),"")</f>
        <v/>
      </c>
      <c r="I5203" t="str">
        <f>IFERROR(VLOOKUP($A5203,原始数据_利率互换_FR007_1年!$A$6:$C$4395,3,0),"")</f>
        <v/>
      </c>
    </row>
    <row r="5204" spans="1:9">
      <c r="A5204" s="6">
        <v>44697</v>
      </c>
      <c r="B5204">
        <f>IFERROR(VLOOKUP($A5204,原始数据_收盘!$A$4:$G$3460,2,0),"")</f>
        <v>2.0883</v>
      </c>
      <c r="C5204">
        <f>IFERROR(VLOOKUP($A5204,原始数据_收盘!$A$4:$G$3460,3,0),"")</f>
        <v>2.54</v>
      </c>
      <c r="D5204">
        <f>IFERROR(VLOOKUP($A5204,原始数据_收盘!$A$4:$G$3460,4,0),"")</f>
        <v>2.0918</v>
      </c>
      <c r="E5204">
        <f>IFERROR(VLOOKUP($A5204,原始数据_收盘!$A$4:$G$3460,5,0),"")</f>
        <v>2.5425</v>
      </c>
      <c r="F5204">
        <f>IFERROR(VLOOKUP($A5204,原始数据_收盘!$A$4:$G$3460,6,0),"")</f>
        <v>2.09</v>
      </c>
      <c r="G5204">
        <f>IFERROR(VLOOKUP($A5204,原始数据_收盘!$A$4:$G$3460,7,0),"")</f>
        <v>2.5413</v>
      </c>
      <c r="H5204">
        <f>IFERROR(VLOOKUP($A5204,原始数据_利率互换_FR007_1年!$A$6:$C$4395,2,0),"")</f>
        <v>2.1028</v>
      </c>
      <c r="I5204">
        <f>IFERROR(VLOOKUP($A5204,原始数据_利率互换_FR007_1年!$A$6:$C$4395,3,0),"")</f>
        <v>2.5503</v>
      </c>
    </row>
    <row r="5205" spans="1:9">
      <c r="A5205" s="6">
        <v>44698</v>
      </c>
      <c r="B5205">
        <f>IFERROR(VLOOKUP($A5205,原始数据_收盘!$A$4:$G$3460,2,0),"")</f>
        <v>2.0825</v>
      </c>
      <c r="C5205">
        <f>IFERROR(VLOOKUP($A5205,原始数据_收盘!$A$4:$G$3460,3,0),"")</f>
        <v>2.532</v>
      </c>
      <c r="D5205">
        <f>IFERROR(VLOOKUP($A5205,原始数据_收盘!$A$4:$G$3460,4,0),"")</f>
        <v>2.0875</v>
      </c>
      <c r="E5205">
        <f>IFERROR(VLOOKUP($A5205,原始数据_收盘!$A$4:$G$3460,5,0),"")</f>
        <v>2.5346</v>
      </c>
      <c r="F5205">
        <f>IFERROR(VLOOKUP($A5205,原始数据_收盘!$A$4:$G$3460,6,0),"")</f>
        <v>2.085</v>
      </c>
      <c r="G5205">
        <f>IFERROR(VLOOKUP($A5205,原始数据_收盘!$A$4:$G$3460,7,0),"")</f>
        <v>2.5333</v>
      </c>
      <c r="H5205">
        <f>IFERROR(VLOOKUP($A5205,原始数据_利率互换_FR007_1年!$A$6:$C$4395,2,0),"")</f>
        <v>2.0817</v>
      </c>
      <c r="I5205">
        <f>IFERROR(VLOOKUP($A5205,原始数据_利率互换_FR007_1年!$A$6:$C$4395,3,0),"")</f>
        <v>2.5327</v>
      </c>
    </row>
    <row r="5206" spans="1:9">
      <c r="A5206" s="6">
        <v>44699</v>
      </c>
      <c r="B5206">
        <f>IFERROR(VLOOKUP($A5206,原始数据_收盘!$A$4:$G$3460,2,0),"")</f>
        <v>2.065</v>
      </c>
      <c r="C5206">
        <f>IFERROR(VLOOKUP($A5206,原始数据_收盘!$A$4:$G$3460,3,0),"")</f>
        <v>2.5025</v>
      </c>
      <c r="D5206">
        <f>IFERROR(VLOOKUP($A5206,原始数据_收盘!$A$4:$G$3460,4,0),"")</f>
        <v>2.0675</v>
      </c>
      <c r="E5206">
        <f>IFERROR(VLOOKUP($A5206,原始数据_收盘!$A$4:$G$3460,5,0),"")</f>
        <v>2.505</v>
      </c>
      <c r="F5206">
        <f>IFERROR(VLOOKUP($A5206,原始数据_收盘!$A$4:$G$3460,6,0),"")</f>
        <v>2.0663</v>
      </c>
      <c r="G5206">
        <f>IFERROR(VLOOKUP($A5206,原始数据_收盘!$A$4:$G$3460,7,0),"")</f>
        <v>2.5038</v>
      </c>
      <c r="H5206">
        <f>IFERROR(VLOOKUP($A5206,原始数据_利率互换_FR007_1年!$A$6:$C$4395,2,0),"")</f>
        <v>2.0668</v>
      </c>
      <c r="I5206">
        <f>IFERROR(VLOOKUP($A5206,原始数据_利率互换_FR007_1年!$A$6:$C$4395,3,0),"")</f>
        <v>2.5083</v>
      </c>
    </row>
    <row r="5207" spans="1:9">
      <c r="A5207" s="6">
        <v>44700</v>
      </c>
      <c r="B5207">
        <f>IFERROR(VLOOKUP($A5207,原始数据_收盘!$A$4:$G$3460,2,0),"")</f>
        <v>2.0713</v>
      </c>
      <c r="C5207">
        <f>IFERROR(VLOOKUP($A5207,原始数据_收盘!$A$4:$G$3460,3,0),"")</f>
        <v>2.5075</v>
      </c>
      <c r="D5207">
        <f>IFERROR(VLOOKUP($A5207,原始数据_收盘!$A$4:$G$3460,4,0),"")</f>
        <v>2.0739</v>
      </c>
      <c r="E5207">
        <f>IFERROR(VLOOKUP($A5207,原始数据_收盘!$A$4:$G$3460,5,0),"")</f>
        <v>2.5125</v>
      </c>
      <c r="F5207">
        <f>IFERROR(VLOOKUP($A5207,原始数据_收盘!$A$4:$G$3460,6,0),"")</f>
        <v>2.0726</v>
      </c>
      <c r="G5207">
        <f>IFERROR(VLOOKUP($A5207,原始数据_收盘!$A$4:$G$3460,7,0),"")</f>
        <v>2.51</v>
      </c>
      <c r="H5207">
        <f>IFERROR(VLOOKUP($A5207,原始数据_利率互换_FR007_1年!$A$6:$C$4395,2,0),"")</f>
        <v>2.0641</v>
      </c>
      <c r="I5207">
        <f>IFERROR(VLOOKUP($A5207,原始数据_利率互换_FR007_1年!$A$6:$C$4395,3,0),"")</f>
        <v>2.4973</v>
      </c>
    </row>
    <row r="5208" spans="1:9">
      <c r="A5208" s="6">
        <v>44701</v>
      </c>
      <c r="B5208">
        <f>IFERROR(VLOOKUP($A5208,原始数据_收盘!$A$4:$G$3460,2,0),"")</f>
        <v>2.07</v>
      </c>
      <c r="C5208">
        <f>IFERROR(VLOOKUP($A5208,原始数据_收盘!$A$4:$G$3460,3,0),"")</f>
        <v>2.5191</v>
      </c>
      <c r="D5208">
        <f>IFERROR(VLOOKUP($A5208,原始数据_收盘!$A$4:$G$3460,4,0),"")</f>
        <v>2.0725</v>
      </c>
      <c r="E5208">
        <f>IFERROR(VLOOKUP($A5208,原始数据_收盘!$A$4:$G$3460,5,0),"")</f>
        <v>2.5214</v>
      </c>
      <c r="F5208">
        <f>IFERROR(VLOOKUP($A5208,原始数据_收盘!$A$4:$G$3460,6,0),"")</f>
        <v>2.0713</v>
      </c>
      <c r="G5208">
        <f>IFERROR(VLOOKUP($A5208,原始数据_收盘!$A$4:$G$3460,7,0),"")</f>
        <v>2.5203</v>
      </c>
      <c r="H5208">
        <f>IFERROR(VLOOKUP($A5208,原始数据_利率互换_FR007_1年!$A$6:$C$4395,2,0),"")</f>
        <v>2.0751</v>
      </c>
      <c r="I5208">
        <f>IFERROR(VLOOKUP($A5208,原始数据_利率互换_FR007_1年!$A$6:$C$4395,3,0),"")</f>
        <v>2.5124</v>
      </c>
    </row>
    <row r="5209" spans="1:9">
      <c r="A5209" s="6">
        <v>44702</v>
      </c>
      <c r="B5209" t="str">
        <f>IFERROR(VLOOKUP($A5209,原始数据_收盘!$A$4:$G$3460,2,0),"")</f>
        <v/>
      </c>
      <c r="C5209" t="str">
        <f>IFERROR(VLOOKUP($A5209,原始数据_收盘!$A$4:$G$3460,3,0),"")</f>
        <v/>
      </c>
      <c r="D5209" t="str">
        <f>IFERROR(VLOOKUP($A5209,原始数据_收盘!$A$4:$G$3460,4,0),"")</f>
        <v/>
      </c>
      <c r="E5209" t="str">
        <f>IFERROR(VLOOKUP($A5209,原始数据_收盘!$A$4:$G$3460,5,0),"")</f>
        <v/>
      </c>
      <c r="F5209" t="str">
        <f>IFERROR(VLOOKUP($A5209,原始数据_收盘!$A$4:$G$3460,6,0),"")</f>
        <v/>
      </c>
      <c r="G5209" t="str">
        <f>IFERROR(VLOOKUP($A5209,原始数据_收盘!$A$4:$G$3460,7,0),"")</f>
        <v/>
      </c>
      <c r="H5209" t="str">
        <f>IFERROR(VLOOKUP($A5209,原始数据_利率互换_FR007_1年!$A$6:$C$4395,2,0),"")</f>
        <v/>
      </c>
      <c r="I5209" t="str">
        <f>IFERROR(VLOOKUP($A5209,原始数据_利率互换_FR007_1年!$A$6:$C$4395,3,0),"")</f>
        <v/>
      </c>
    </row>
    <row r="5210" spans="1:9">
      <c r="A5210" s="6">
        <v>44703</v>
      </c>
      <c r="B5210" t="str">
        <f>IFERROR(VLOOKUP($A5210,原始数据_收盘!$A$4:$G$3460,2,0),"")</f>
        <v/>
      </c>
      <c r="C5210" t="str">
        <f>IFERROR(VLOOKUP($A5210,原始数据_收盘!$A$4:$G$3460,3,0),"")</f>
        <v/>
      </c>
      <c r="D5210" t="str">
        <f>IFERROR(VLOOKUP($A5210,原始数据_收盘!$A$4:$G$3460,4,0),"")</f>
        <v/>
      </c>
      <c r="E5210" t="str">
        <f>IFERROR(VLOOKUP($A5210,原始数据_收盘!$A$4:$G$3460,5,0),"")</f>
        <v/>
      </c>
      <c r="F5210" t="str">
        <f>IFERROR(VLOOKUP($A5210,原始数据_收盘!$A$4:$G$3460,6,0),"")</f>
        <v/>
      </c>
      <c r="G5210" t="str">
        <f>IFERROR(VLOOKUP($A5210,原始数据_收盘!$A$4:$G$3460,7,0),"")</f>
        <v/>
      </c>
      <c r="H5210" t="str">
        <f>IFERROR(VLOOKUP($A5210,原始数据_利率互换_FR007_1年!$A$6:$C$4395,2,0),"")</f>
        <v/>
      </c>
      <c r="I5210" t="str">
        <f>IFERROR(VLOOKUP($A5210,原始数据_利率互换_FR007_1年!$A$6:$C$4395,3,0),"")</f>
        <v/>
      </c>
    </row>
    <row r="5211" spans="1:9">
      <c r="A5211" s="6">
        <v>44704</v>
      </c>
      <c r="B5211">
        <f>IFERROR(VLOOKUP($A5211,原始数据_收盘!$A$4:$G$3460,2,0),"")</f>
        <v>2.0525</v>
      </c>
      <c r="C5211">
        <f>IFERROR(VLOOKUP($A5211,原始数据_收盘!$A$4:$G$3460,3,0),"")</f>
        <v>2.5025</v>
      </c>
      <c r="D5211">
        <f>IFERROR(VLOOKUP($A5211,原始数据_收盘!$A$4:$G$3460,4,0),"")</f>
        <v>2.055</v>
      </c>
      <c r="E5211">
        <f>IFERROR(VLOOKUP($A5211,原始数据_收盘!$A$4:$G$3460,5,0),"")</f>
        <v>2.505</v>
      </c>
      <c r="F5211">
        <f>IFERROR(VLOOKUP($A5211,原始数据_收盘!$A$4:$G$3460,6,0),"")</f>
        <v>2.0538</v>
      </c>
      <c r="G5211">
        <f>IFERROR(VLOOKUP($A5211,原始数据_收盘!$A$4:$G$3460,7,0),"")</f>
        <v>2.5038</v>
      </c>
      <c r="H5211">
        <f>IFERROR(VLOOKUP($A5211,原始数据_利率互换_FR007_1年!$A$6:$C$4395,2,0),"")</f>
        <v>2.0555</v>
      </c>
      <c r="I5211">
        <f>IFERROR(VLOOKUP($A5211,原始数据_利率互换_FR007_1年!$A$6:$C$4395,3,0),"")</f>
        <v>2.5069</v>
      </c>
    </row>
    <row r="5212" spans="1:9">
      <c r="A5212" s="6">
        <v>44705</v>
      </c>
      <c r="B5212">
        <f>IFERROR(VLOOKUP($A5212,原始数据_收盘!$A$4:$G$3460,2,0),"")</f>
        <v>2.0725</v>
      </c>
      <c r="C5212">
        <f>IFERROR(VLOOKUP($A5212,原始数据_收盘!$A$4:$G$3460,3,0),"")</f>
        <v>2.515</v>
      </c>
      <c r="D5212">
        <f>IFERROR(VLOOKUP($A5212,原始数据_收盘!$A$4:$G$3460,4,0),"")</f>
        <v>2.0769</v>
      </c>
      <c r="E5212">
        <f>IFERROR(VLOOKUP($A5212,原始数据_收盘!$A$4:$G$3460,5,0),"")</f>
        <v>2.5175</v>
      </c>
      <c r="F5212">
        <f>IFERROR(VLOOKUP($A5212,原始数据_收盘!$A$4:$G$3460,6,0),"")</f>
        <v>2.0747</v>
      </c>
      <c r="G5212">
        <f>IFERROR(VLOOKUP($A5212,原始数据_收盘!$A$4:$G$3460,7,0),"")</f>
        <v>2.5163</v>
      </c>
      <c r="H5212">
        <f>IFERROR(VLOOKUP($A5212,原始数据_利率互换_FR007_1年!$A$6:$C$4395,2,0),"")</f>
        <v>2.0637</v>
      </c>
      <c r="I5212">
        <f>IFERROR(VLOOKUP($A5212,原始数据_利率互换_FR007_1年!$A$6:$C$4395,3,0),"")</f>
        <v>2.507</v>
      </c>
    </row>
    <row r="5213" spans="1:9">
      <c r="A5213" s="6">
        <v>44706</v>
      </c>
      <c r="B5213">
        <f>IFERROR(VLOOKUP($A5213,原始数据_收盘!$A$4:$G$3460,2,0),"")</f>
        <v>2.0752</v>
      </c>
      <c r="C5213">
        <f>IFERROR(VLOOKUP($A5213,原始数据_收盘!$A$4:$G$3460,3,0),"")</f>
        <v>2.515</v>
      </c>
      <c r="D5213">
        <f>IFERROR(VLOOKUP($A5213,原始数据_收盘!$A$4:$G$3460,4,0),"")</f>
        <v>2.0777</v>
      </c>
      <c r="E5213">
        <f>IFERROR(VLOOKUP($A5213,原始数据_收盘!$A$4:$G$3460,5,0),"")</f>
        <v>2.5177</v>
      </c>
      <c r="F5213">
        <f>IFERROR(VLOOKUP($A5213,原始数据_收盘!$A$4:$G$3460,6,0),"")</f>
        <v>2.0764</v>
      </c>
      <c r="G5213">
        <f>IFERROR(VLOOKUP($A5213,原始数据_收盘!$A$4:$G$3460,7,0),"")</f>
        <v>2.5163</v>
      </c>
      <c r="H5213">
        <f>IFERROR(VLOOKUP($A5213,原始数据_利率互换_FR007_1年!$A$6:$C$4395,2,0),"")</f>
        <v>2.0763</v>
      </c>
      <c r="I5213">
        <f>IFERROR(VLOOKUP($A5213,原始数据_利率互换_FR007_1年!$A$6:$C$4395,3,0),"")</f>
        <v>2.5106</v>
      </c>
    </row>
    <row r="5214" spans="1:9">
      <c r="A5214" s="6">
        <v>44707</v>
      </c>
      <c r="B5214">
        <f>IFERROR(VLOOKUP($A5214,原始数据_收盘!$A$4:$G$3460,2,0),"")</f>
        <v>2.0325</v>
      </c>
      <c r="C5214">
        <f>IFERROR(VLOOKUP($A5214,原始数据_收盘!$A$4:$G$3460,3,0),"")</f>
        <v>2.46</v>
      </c>
      <c r="D5214">
        <f>IFERROR(VLOOKUP($A5214,原始数据_收盘!$A$4:$G$3460,4,0),"")</f>
        <v>2.0503</v>
      </c>
      <c r="E5214">
        <f>IFERROR(VLOOKUP($A5214,原始数据_收盘!$A$4:$G$3460,5,0),"")</f>
        <v>2.465</v>
      </c>
      <c r="F5214">
        <f>IFERROR(VLOOKUP($A5214,原始数据_收盘!$A$4:$G$3460,6,0),"")</f>
        <v>2.0414</v>
      </c>
      <c r="G5214">
        <f>IFERROR(VLOOKUP($A5214,原始数据_收盘!$A$4:$G$3460,7,0),"")</f>
        <v>2.4625</v>
      </c>
      <c r="H5214">
        <f>IFERROR(VLOOKUP($A5214,原始数据_利率互换_FR007_1年!$A$6:$C$4395,2,0),"")</f>
        <v>2.0425</v>
      </c>
      <c r="I5214">
        <f>IFERROR(VLOOKUP($A5214,原始数据_利率互换_FR007_1年!$A$6:$C$4395,3,0),"")</f>
        <v>2.4637</v>
      </c>
    </row>
    <row r="5215" spans="1:9">
      <c r="A5215" s="6">
        <v>44708</v>
      </c>
      <c r="B5215">
        <f>IFERROR(VLOOKUP($A5215,原始数据_收盘!$A$4:$G$3460,2,0),"")</f>
        <v>2.025</v>
      </c>
      <c r="C5215">
        <f>IFERROR(VLOOKUP($A5215,原始数据_收盘!$A$4:$G$3460,3,0),"")</f>
        <v>2.45</v>
      </c>
      <c r="D5215">
        <f>IFERROR(VLOOKUP($A5215,原始数据_收盘!$A$4:$G$3460,4,0),"")</f>
        <v>2.0275</v>
      </c>
      <c r="E5215">
        <f>IFERROR(VLOOKUP($A5215,原始数据_收盘!$A$4:$G$3460,5,0),"")</f>
        <v>2.4525</v>
      </c>
      <c r="F5215">
        <f>IFERROR(VLOOKUP($A5215,原始数据_收盘!$A$4:$G$3460,6,0),"")</f>
        <v>2.0263</v>
      </c>
      <c r="G5215">
        <f>IFERROR(VLOOKUP($A5215,原始数据_收盘!$A$4:$G$3460,7,0),"")</f>
        <v>2.4513</v>
      </c>
      <c r="H5215">
        <f>IFERROR(VLOOKUP($A5215,原始数据_利率互换_FR007_1年!$A$6:$C$4395,2,0),"")</f>
        <v>2.0372</v>
      </c>
      <c r="I5215">
        <f>IFERROR(VLOOKUP($A5215,原始数据_利率互换_FR007_1年!$A$6:$C$4395,3,0),"")</f>
        <v>2.4586</v>
      </c>
    </row>
    <row r="5216" spans="1:9">
      <c r="A5216" s="6">
        <v>44709</v>
      </c>
      <c r="B5216" t="str">
        <f>IFERROR(VLOOKUP($A5216,原始数据_收盘!$A$4:$G$3460,2,0),"")</f>
        <v/>
      </c>
      <c r="C5216" t="str">
        <f>IFERROR(VLOOKUP($A5216,原始数据_收盘!$A$4:$G$3460,3,0),"")</f>
        <v/>
      </c>
      <c r="D5216" t="str">
        <f>IFERROR(VLOOKUP($A5216,原始数据_收盘!$A$4:$G$3460,4,0),"")</f>
        <v/>
      </c>
      <c r="E5216" t="str">
        <f>IFERROR(VLOOKUP($A5216,原始数据_收盘!$A$4:$G$3460,5,0),"")</f>
        <v/>
      </c>
      <c r="F5216" t="str">
        <f>IFERROR(VLOOKUP($A5216,原始数据_收盘!$A$4:$G$3460,6,0),"")</f>
        <v/>
      </c>
      <c r="G5216" t="str">
        <f>IFERROR(VLOOKUP($A5216,原始数据_收盘!$A$4:$G$3460,7,0),"")</f>
        <v/>
      </c>
      <c r="H5216" t="str">
        <f>IFERROR(VLOOKUP($A5216,原始数据_利率互换_FR007_1年!$A$6:$C$4395,2,0),"")</f>
        <v/>
      </c>
      <c r="I5216" t="str">
        <f>IFERROR(VLOOKUP($A5216,原始数据_利率互换_FR007_1年!$A$6:$C$4395,3,0),"")</f>
        <v/>
      </c>
    </row>
    <row r="5217" spans="1:9">
      <c r="A5217" s="6">
        <v>44710</v>
      </c>
      <c r="B5217" t="str">
        <f>IFERROR(VLOOKUP($A5217,原始数据_收盘!$A$4:$G$3460,2,0),"")</f>
        <v/>
      </c>
      <c r="C5217" t="str">
        <f>IFERROR(VLOOKUP($A5217,原始数据_收盘!$A$4:$G$3460,3,0),"")</f>
        <v/>
      </c>
      <c r="D5217" t="str">
        <f>IFERROR(VLOOKUP($A5217,原始数据_收盘!$A$4:$G$3460,4,0),"")</f>
        <v/>
      </c>
      <c r="E5217" t="str">
        <f>IFERROR(VLOOKUP($A5217,原始数据_收盘!$A$4:$G$3460,5,0),"")</f>
        <v/>
      </c>
      <c r="F5217" t="str">
        <f>IFERROR(VLOOKUP($A5217,原始数据_收盘!$A$4:$G$3460,6,0),"")</f>
        <v/>
      </c>
      <c r="G5217" t="str">
        <f>IFERROR(VLOOKUP($A5217,原始数据_收盘!$A$4:$G$3460,7,0),"")</f>
        <v/>
      </c>
      <c r="H5217" t="str">
        <f>IFERROR(VLOOKUP($A5217,原始数据_利率互换_FR007_1年!$A$6:$C$4395,2,0),"")</f>
        <v/>
      </c>
      <c r="I5217" t="str">
        <f>IFERROR(VLOOKUP($A5217,原始数据_利率互换_FR007_1年!$A$6:$C$4395,3,0),"")</f>
        <v/>
      </c>
    </row>
    <row r="5218" spans="1:9">
      <c r="A5218" s="6">
        <v>44711</v>
      </c>
      <c r="B5218">
        <f>IFERROR(VLOOKUP($A5218,原始数据_收盘!$A$4:$G$3460,2,0),"")</f>
        <v>2.0593</v>
      </c>
      <c r="C5218">
        <f>IFERROR(VLOOKUP($A5218,原始数据_收盘!$A$4:$G$3460,3,0),"")</f>
        <v>2.49</v>
      </c>
      <c r="D5218">
        <f>IFERROR(VLOOKUP($A5218,原始数据_收盘!$A$4:$G$3460,4,0),"")</f>
        <v>2.0625</v>
      </c>
      <c r="E5218">
        <f>IFERROR(VLOOKUP($A5218,原始数据_收盘!$A$4:$G$3460,5,0),"")</f>
        <v>2.4925</v>
      </c>
      <c r="F5218">
        <f>IFERROR(VLOOKUP($A5218,原始数据_收盘!$A$4:$G$3460,6,0),"")</f>
        <v>2.0609</v>
      </c>
      <c r="G5218">
        <f>IFERROR(VLOOKUP($A5218,原始数据_收盘!$A$4:$G$3460,7,0),"")</f>
        <v>2.4913</v>
      </c>
      <c r="H5218">
        <f>IFERROR(VLOOKUP($A5218,原始数据_利率互换_FR007_1年!$A$6:$C$4395,2,0),"")</f>
        <v>2.0583</v>
      </c>
      <c r="I5218">
        <f>IFERROR(VLOOKUP($A5218,原始数据_利率互换_FR007_1年!$A$6:$C$4395,3,0),"")</f>
        <v>2.4879</v>
      </c>
    </row>
    <row r="5219" spans="1:9">
      <c r="A5219" s="6">
        <v>44712</v>
      </c>
      <c r="B5219">
        <f>IFERROR(VLOOKUP($A5219,原始数据_收盘!$A$4:$G$3460,2,0),"")</f>
        <v>2.09</v>
      </c>
      <c r="C5219">
        <f>IFERROR(VLOOKUP($A5219,原始数据_收盘!$A$4:$G$3460,3,0),"")</f>
        <v>2.5228</v>
      </c>
      <c r="D5219">
        <f>IFERROR(VLOOKUP($A5219,原始数据_收盘!$A$4:$G$3460,4,0),"")</f>
        <v>2.0925</v>
      </c>
      <c r="E5219">
        <f>IFERROR(VLOOKUP($A5219,原始数据_收盘!$A$4:$G$3460,5,0),"")</f>
        <v>2.5267</v>
      </c>
      <c r="F5219">
        <f>IFERROR(VLOOKUP($A5219,原始数据_收盘!$A$4:$G$3460,6,0),"")</f>
        <v>2.0913</v>
      </c>
      <c r="G5219">
        <f>IFERROR(VLOOKUP($A5219,原始数据_收盘!$A$4:$G$3460,7,0),"")</f>
        <v>2.5247</v>
      </c>
      <c r="H5219">
        <f>IFERROR(VLOOKUP($A5219,原始数据_利率互换_FR007_1年!$A$6:$C$4395,2,0),"")</f>
        <v>2.0897</v>
      </c>
      <c r="I5219">
        <f>IFERROR(VLOOKUP($A5219,原始数据_利率互换_FR007_1年!$A$6:$C$4395,3,0),"")</f>
        <v>2.5229</v>
      </c>
    </row>
    <row r="5220" spans="1:9">
      <c r="A5220" s="6">
        <v>44713</v>
      </c>
      <c r="B5220">
        <f>IFERROR(VLOOKUP($A5220,原始数据_收盘!$A$4:$G$3460,2,0),"")</f>
        <v>2.0875</v>
      </c>
      <c r="C5220">
        <f>IFERROR(VLOOKUP($A5220,原始数据_收盘!$A$4:$G$3460,3,0),"")</f>
        <v>2.5325</v>
      </c>
      <c r="D5220">
        <f>IFERROR(VLOOKUP($A5220,原始数据_收盘!$A$4:$G$3460,4,0),"")</f>
        <v>2.0925</v>
      </c>
      <c r="E5220">
        <f>IFERROR(VLOOKUP($A5220,原始数据_收盘!$A$4:$G$3460,5,0),"")</f>
        <v>2.5357</v>
      </c>
      <c r="F5220">
        <f>IFERROR(VLOOKUP($A5220,原始数据_收盘!$A$4:$G$3460,6,0),"")</f>
        <v>2.09</v>
      </c>
      <c r="G5220">
        <f>IFERROR(VLOOKUP($A5220,原始数据_收盘!$A$4:$G$3460,7,0),"")</f>
        <v>2.5341</v>
      </c>
      <c r="H5220">
        <f>IFERROR(VLOOKUP($A5220,原始数据_利率互换_FR007_1年!$A$6:$C$4395,2,0),"")</f>
        <v>2.0815</v>
      </c>
      <c r="I5220">
        <f>IFERROR(VLOOKUP($A5220,原始数据_利率互换_FR007_1年!$A$6:$C$4395,3,0),"")</f>
        <v>2.5254</v>
      </c>
    </row>
    <row r="5221" spans="1:9">
      <c r="A5221" s="6">
        <v>44714</v>
      </c>
      <c r="B5221">
        <f>IFERROR(VLOOKUP($A5221,原始数据_收盘!$A$4:$G$3460,2,0),"")</f>
        <v>2.0938</v>
      </c>
      <c r="C5221">
        <f>IFERROR(VLOOKUP($A5221,原始数据_收盘!$A$4:$G$3460,3,0),"")</f>
        <v>2.5425</v>
      </c>
      <c r="D5221">
        <f>IFERROR(VLOOKUP($A5221,原始数据_收盘!$A$4:$G$3460,4,0),"")</f>
        <v>2.0996</v>
      </c>
      <c r="E5221">
        <f>IFERROR(VLOOKUP($A5221,原始数据_收盘!$A$4:$G$3460,5,0),"")</f>
        <v>2.545</v>
      </c>
      <c r="F5221">
        <f>IFERROR(VLOOKUP($A5221,原始数据_收盘!$A$4:$G$3460,6,0),"")</f>
        <v>2.0967</v>
      </c>
      <c r="G5221">
        <f>IFERROR(VLOOKUP($A5221,原始数据_收盘!$A$4:$G$3460,7,0),"")</f>
        <v>2.5438</v>
      </c>
      <c r="H5221">
        <f>IFERROR(VLOOKUP($A5221,原始数据_利率互换_FR007_1年!$A$6:$C$4395,2,0),"")</f>
        <v>2.0917</v>
      </c>
      <c r="I5221">
        <f>IFERROR(VLOOKUP($A5221,原始数据_利率互换_FR007_1年!$A$6:$C$4395,3,0),"")</f>
        <v>2.5397</v>
      </c>
    </row>
    <row r="5222" spans="1:9">
      <c r="A5222" s="6">
        <v>44715</v>
      </c>
      <c r="B5222" t="str">
        <f>IFERROR(VLOOKUP($A5222,原始数据_收盘!$A$4:$G$3460,2,0),"")</f>
        <v/>
      </c>
      <c r="C5222" t="str">
        <f>IFERROR(VLOOKUP($A5222,原始数据_收盘!$A$4:$G$3460,3,0),"")</f>
        <v/>
      </c>
      <c r="D5222" t="str">
        <f>IFERROR(VLOOKUP($A5222,原始数据_收盘!$A$4:$G$3460,4,0),"")</f>
        <v/>
      </c>
      <c r="E5222" t="str">
        <f>IFERROR(VLOOKUP($A5222,原始数据_收盘!$A$4:$G$3460,5,0),"")</f>
        <v/>
      </c>
      <c r="F5222" t="str">
        <f>IFERROR(VLOOKUP($A5222,原始数据_收盘!$A$4:$G$3460,6,0),"")</f>
        <v/>
      </c>
      <c r="G5222" t="str">
        <f>IFERROR(VLOOKUP($A5222,原始数据_收盘!$A$4:$G$3460,7,0),"")</f>
        <v/>
      </c>
      <c r="H5222" t="str">
        <f>IFERROR(VLOOKUP($A5222,原始数据_利率互换_FR007_1年!$A$6:$C$4395,2,0),"")</f>
        <v/>
      </c>
      <c r="I5222" t="str">
        <f>IFERROR(VLOOKUP($A5222,原始数据_利率互换_FR007_1年!$A$6:$C$4395,3,0),"")</f>
        <v/>
      </c>
    </row>
    <row r="5223" spans="1:9">
      <c r="A5223" s="6">
        <v>44716</v>
      </c>
      <c r="B5223" t="str">
        <f>IFERROR(VLOOKUP($A5223,原始数据_收盘!$A$4:$G$3460,2,0),"")</f>
        <v/>
      </c>
      <c r="C5223" t="str">
        <f>IFERROR(VLOOKUP($A5223,原始数据_收盘!$A$4:$G$3460,3,0),"")</f>
        <v/>
      </c>
      <c r="D5223" t="str">
        <f>IFERROR(VLOOKUP($A5223,原始数据_收盘!$A$4:$G$3460,4,0),"")</f>
        <v/>
      </c>
      <c r="E5223" t="str">
        <f>IFERROR(VLOOKUP($A5223,原始数据_收盘!$A$4:$G$3460,5,0),"")</f>
        <v/>
      </c>
      <c r="F5223" t="str">
        <f>IFERROR(VLOOKUP($A5223,原始数据_收盘!$A$4:$G$3460,6,0),"")</f>
        <v/>
      </c>
      <c r="G5223" t="str">
        <f>IFERROR(VLOOKUP($A5223,原始数据_收盘!$A$4:$G$3460,7,0),"")</f>
        <v/>
      </c>
      <c r="H5223" t="str">
        <f>IFERROR(VLOOKUP($A5223,原始数据_利率互换_FR007_1年!$A$6:$C$4395,2,0),"")</f>
        <v/>
      </c>
      <c r="I5223" t="str">
        <f>IFERROR(VLOOKUP($A5223,原始数据_利率互换_FR007_1年!$A$6:$C$4395,3,0),"")</f>
        <v/>
      </c>
    </row>
    <row r="5224" spans="1:9">
      <c r="A5224" s="6">
        <v>44717</v>
      </c>
      <c r="B5224" t="str">
        <f>IFERROR(VLOOKUP($A5224,原始数据_收盘!$A$4:$G$3460,2,0),"")</f>
        <v/>
      </c>
      <c r="C5224" t="str">
        <f>IFERROR(VLOOKUP($A5224,原始数据_收盘!$A$4:$G$3460,3,0),"")</f>
        <v/>
      </c>
      <c r="D5224" t="str">
        <f>IFERROR(VLOOKUP($A5224,原始数据_收盘!$A$4:$G$3460,4,0),"")</f>
        <v/>
      </c>
      <c r="E5224" t="str">
        <f>IFERROR(VLOOKUP($A5224,原始数据_收盘!$A$4:$G$3460,5,0),"")</f>
        <v/>
      </c>
      <c r="F5224" t="str">
        <f>IFERROR(VLOOKUP($A5224,原始数据_收盘!$A$4:$G$3460,6,0),"")</f>
        <v/>
      </c>
      <c r="G5224" t="str">
        <f>IFERROR(VLOOKUP($A5224,原始数据_收盘!$A$4:$G$3460,7,0),"")</f>
        <v/>
      </c>
      <c r="H5224" t="str">
        <f>IFERROR(VLOOKUP($A5224,原始数据_利率互换_FR007_1年!$A$6:$C$4395,2,0),"")</f>
        <v/>
      </c>
      <c r="I5224" t="str">
        <f>IFERROR(VLOOKUP($A5224,原始数据_利率互换_FR007_1年!$A$6:$C$4395,3,0),"")</f>
        <v/>
      </c>
    </row>
    <row r="5225" spans="1:9">
      <c r="A5225" s="6">
        <v>44718</v>
      </c>
      <c r="B5225">
        <f>IFERROR(VLOOKUP($A5225,原始数据_收盘!$A$4:$G$3460,2,0),"")</f>
        <v>2.12</v>
      </c>
      <c r="C5225">
        <f>IFERROR(VLOOKUP($A5225,原始数据_收盘!$A$4:$G$3460,3,0),"")</f>
        <v>2.5718</v>
      </c>
      <c r="D5225">
        <f>IFERROR(VLOOKUP($A5225,原始数据_收盘!$A$4:$G$3460,4,0),"")</f>
        <v>2.125</v>
      </c>
      <c r="E5225">
        <f>IFERROR(VLOOKUP($A5225,原始数据_收盘!$A$4:$G$3460,5,0),"")</f>
        <v>2.5743</v>
      </c>
      <c r="F5225">
        <f>IFERROR(VLOOKUP($A5225,原始数据_收盘!$A$4:$G$3460,6,0),"")</f>
        <v>2.1225</v>
      </c>
      <c r="G5225">
        <f>IFERROR(VLOOKUP($A5225,原始数据_收盘!$A$4:$G$3460,7,0),"")</f>
        <v>2.573</v>
      </c>
      <c r="H5225">
        <f>IFERROR(VLOOKUP($A5225,原始数据_利率互换_FR007_1年!$A$6:$C$4395,2,0),"")</f>
        <v>2.1125</v>
      </c>
      <c r="I5225">
        <f>IFERROR(VLOOKUP($A5225,原始数据_利率互换_FR007_1年!$A$6:$C$4395,3,0),"")</f>
        <v>2.5583</v>
      </c>
    </row>
    <row r="5226" spans="1:9">
      <c r="A5226" s="6">
        <v>44719</v>
      </c>
      <c r="B5226">
        <f>IFERROR(VLOOKUP($A5226,原始数据_收盘!$A$4:$G$3460,2,0),"")</f>
        <v>2.11</v>
      </c>
      <c r="C5226">
        <f>IFERROR(VLOOKUP($A5226,原始数据_收盘!$A$4:$G$3460,3,0),"")</f>
        <v>2.5475</v>
      </c>
      <c r="D5226">
        <f>IFERROR(VLOOKUP($A5226,原始数据_收盘!$A$4:$G$3460,4,0),"")</f>
        <v>2.1125</v>
      </c>
      <c r="E5226">
        <f>IFERROR(VLOOKUP($A5226,原始数据_收盘!$A$4:$G$3460,5,0),"")</f>
        <v>2.5516</v>
      </c>
      <c r="F5226">
        <f>IFERROR(VLOOKUP($A5226,原始数据_收盘!$A$4:$G$3460,6,0),"")</f>
        <v>2.1113</v>
      </c>
      <c r="G5226">
        <f>IFERROR(VLOOKUP($A5226,原始数据_收盘!$A$4:$G$3460,7,0),"")</f>
        <v>2.5496</v>
      </c>
      <c r="H5226">
        <f>IFERROR(VLOOKUP($A5226,原始数据_利率互换_FR007_1年!$A$6:$C$4395,2,0),"")</f>
        <v>2.12</v>
      </c>
      <c r="I5226">
        <f>IFERROR(VLOOKUP($A5226,原始数据_利率互换_FR007_1年!$A$6:$C$4395,3,0),"")</f>
        <v>2.5627</v>
      </c>
    </row>
    <row r="5227" spans="1:9">
      <c r="A5227" s="6">
        <v>44720</v>
      </c>
      <c r="B5227">
        <f>IFERROR(VLOOKUP($A5227,原始数据_收盘!$A$4:$G$3460,2,0),"")</f>
        <v>2.1067</v>
      </c>
      <c r="C5227">
        <f>IFERROR(VLOOKUP($A5227,原始数据_收盘!$A$4:$G$3460,3,0),"")</f>
        <v>2.5521</v>
      </c>
      <c r="D5227">
        <f>IFERROR(VLOOKUP($A5227,原始数据_收盘!$A$4:$G$3460,4,0),"")</f>
        <v>2.11</v>
      </c>
      <c r="E5227">
        <f>IFERROR(VLOOKUP($A5227,原始数据_收盘!$A$4:$G$3460,5,0),"")</f>
        <v>2.5529</v>
      </c>
      <c r="F5227">
        <f>IFERROR(VLOOKUP($A5227,原始数据_收盘!$A$4:$G$3460,6,0),"")</f>
        <v>2.1083</v>
      </c>
      <c r="G5227">
        <f>IFERROR(VLOOKUP($A5227,原始数据_收盘!$A$4:$G$3460,7,0),"")</f>
        <v>2.5525</v>
      </c>
      <c r="H5227">
        <f>IFERROR(VLOOKUP($A5227,原始数据_利率互换_FR007_1年!$A$6:$C$4395,2,0),"")</f>
        <v>2.1052</v>
      </c>
      <c r="I5227">
        <f>IFERROR(VLOOKUP($A5227,原始数据_利率互换_FR007_1年!$A$6:$C$4395,3,0),"")</f>
        <v>2.55</v>
      </c>
    </row>
    <row r="5228" spans="1:9">
      <c r="A5228" s="6">
        <v>44721</v>
      </c>
      <c r="B5228">
        <f>IFERROR(VLOOKUP($A5228,原始数据_收盘!$A$4:$G$3460,2,0),"")</f>
        <v>2.0925</v>
      </c>
      <c r="C5228">
        <f>IFERROR(VLOOKUP($A5228,原始数据_收盘!$A$4:$G$3460,3,0),"")</f>
        <v>2.537</v>
      </c>
      <c r="D5228">
        <f>IFERROR(VLOOKUP($A5228,原始数据_收盘!$A$4:$G$3460,4,0),"")</f>
        <v>2.096</v>
      </c>
      <c r="E5228">
        <f>IFERROR(VLOOKUP($A5228,原始数据_收盘!$A$4:$G$3460,5,0),"")</f>
        <v>2.5395</v>
      </c>
      <c r="F5228">
        <f>IFERROR(VLOOKUP($A5228,原始数据_收盘!$A$4:$G$3460,6,0),"")</f>
        <v>2.0943</v>
      </c>
      <c r="G5228">
        <f>IFERROR(VLOOKUP($A5228,原始数据_收盘!$A$4:$G$3460,7,0),"")</f>
        <v>2.5382</v>
      </c>
      <c r="H5228">
        <f>IFERROR(VLOOKUP($A5228,原始数据_利率互换_FR007_1年!$A$6:$C$4395,2,0),"")</f>
        <v>2.0984</v>
      </c>
      <c r="I5228">
        <f>IFERROR(VLOOKUP($A5228,原始数据_利率互换_FR007_1年!$A$6:$C$4395,3,0),"")</f>
        <v>2.5421</v>
      </c>
    </row>
    <row r="5229" spans="1:9">
      <c r="A5229" s="6">
        <v>44722</v>
      </c>
      <c r="B5229">
        <f>IFERROR(VLOOKUP($A5229,原始数据_收盘!$A$4:$G$3460,2,0),"")</f>
        <v>2.095</v>
      </c>
      <c r="C5229">
        <f>IFERROR(VLOOKUP($A5229,原始数据_收盘!$A$4:$G$3460,3,0),"")</f>
        <v>2.54</v>
      </c>
      <c r="D5229">
        <f>IFERROR(VLOOKUP($A5229,原始数据_收盘!$A$4:$G$3460,4,0),"")</f>
        <v>2.0975</v>
      </c>
      <c r="E5229">
        <f>IFERROR(VLOOKUP($A5229,原始数据_收盘!$A$4:$G$3460,5,0),"")</f>
        <v>2.5428</v>
      </c>
      <c r="F5229">
        <f>IFERROR(VLOOKUP($A5229,原始数据_收盘!$A$4:$G$3460,6,0),"")</f>
        <v>2.0963</v>
      </c>
      <c r="G5229">
        <f>IFERROR(VLOOKUP($A5229,原始数据_收盘!$A$4:$G$3460,7,0),"")</f>
        <v>2.5414</v>
      </c>
      <c r="H5229">
        <f>IFERROR(VLOOKUP($A5229,原始数据_利率互换_FR007_1年!$A$6:$C$4395,2,0),"")</f>
        <v>2.0934</v>
      </c>
      <c r="I5229">
        <f>IFERROR(VLOOKUP($A5229,原始数据_利率互换_FR007_1年!$A$6:$C$4395,3,0),"")</f>
        <v>2.5368</v>
      </c>
    </row>
    <row r="5230" spans="1:9">
      <c r="A5230" s="6">
        <v>44723</v>
      </c>
      <c r="B5230" t="str">
        <f>IFERROR(VLOOKUP($A5230,原始数据_收盘!$A$4:$G$3460,2,0),"")</f>
        <v/>
      </c>
      <c r="C5230" t="str">
        <f>IFERROR(VLOOKUP($A5230,原始数据_收盘!$A$4:$G$3460,3,0),"")</f>
        <v/>
      </c>
      <c r="D5230" t="str">
        <f>IFERROR(VLOOKUP($A5230,原始数据_收盘!$A$4:$G$3460,4,0),"")</f>
        <v/>
      </c>
      <c r="E5230" t="str">
        <f>IFERROR(VLOOKUP($A5230,原始数据_收盘!$A$4:$G$3460,5,0),"")</f>
        <v/>
      </c>
      <c r="F5230" t="str">
        <f>IFERROR(VLOOKUP($A5230,原始数据_收盘!$A$4:$G$3460,6,0),"")</f>
        <v/>
      </c>
      <c r="G5230" t="str">
        <f>IFERROR(VLOOKUP($A5230,原始数据_收盘!$A$4:$G$3460,7,0),"")</f>
        <v/>
      </c>
      <c r="H5230" t="str">
        <f>IFERROR(VLOOKUP($A5230,原始数据_利率互换_FR007_1年!$A$6:$C$4395,2,0),"")</f>
        <v/>
      </c>
      <c r="I5230" t="str">
        <f>IFERROR(VLOOKUP($A5230,原始数据_利率互换_FR007_1年!$A$6:$C$4395,3,0),"")</f>
        <v/>
      </c>
    </row>
    <row r="5231" spans="1:9">
      <c r="A5231" s="6">
        <v>44724</v>
      </c>
      <c r="B5231" t="str">
        <f>IFERROR(VLOOKUP($A5231,原始数据_收盘!$A$4:$G$3460,2,0),"")</f>
        <v/>
      </c>
      <c r="C5231" t="str">
        <f>IFERROR(VLOOKUP($A5231,原始数据_收盘!$A$4:$G$3460,3,0),"")</f>
        <v/>
      </c>
      <c r="D5231" t="str">
        <f>IFERROR(VLOOKUP($A5231,原始数据_收盘!$A$4:$G$3460,4,0),"")</f>
        <v/>
      </c>
      <c r="E5231" t="str">
        <f>IFERROR(VLOOKUP($A5231,原始数据_收盘!$A$4:$G$3460,5,0),"")</f>
        <v/>
      </c>
      <c r="F5231" t="str">
        <f>IFERROR(VLOOKUP($A5231,原始数据_收盘!$A$4:$G$3460,6,0),"")</f>
        <v/>
      </c>
      <c r="G5231" t="str">
        <f>IFERROR(VLOOKUP($A5231,原始数据_收盘!$A$4:$G$3460,7,0),"")</f>
        <v/>
      </c>
      <c r="H5231" t="str">
        <f>IFERROR(VLOOKUP($A5231,原始数据_利率互换_FR007_1年!$A$6:$C$4395,2,0),"")</f>
        <v/>
      </c>
      <c r="I5231" t="str">
        <f>IFERROR(VLOOKUP($A5231,原始数据_利率互换_FR007_1年!$A$6:$C$4395,3,0),"")</f>
        <v/>
      </c>
    </row>
    <row r="5232" spans="1:9">
      <c r="A5232" s="6">
        <v>44725</v>
      </c>
      <c r="B5232">
        <f>IFERROR(VLOOKUP($A5232,原始数据_收盘!$A$4:$G$3460,2,0),"")</f>
        <v>2.105</v>
      </c>
      <c r="C5232">
        <f>IFERROR(VLOOKUP($A5232,原始数据_收盘!$A$4:$G$3460,3,0),"")</f>
        <v>2.5525</v>
      </c>
      <c r="D5232">
        <f>IFERROR(VLOOKUP($A5232,原始数据_收盘!$A$4:$G$3460,4,0),"")</f>
        <v>2.1075</v>
      </c>
      <c r="E5232">
        <f>IFERROR(VLOOKUP($A5232,原始数据_收盘!$A$4:$G$3460,5,0),"")</f>
        <v>2.555</v>
      </c>
      <c r="F5232">
        <f>IFERROR(VLOOKUP($A5232,原始数据_收盘!$A$4:$G$3460,6,0),"")</f>
        <v>2.1063</v>
      </c>
      <c r="G5232">
        <f>IFERROR(VLOOKUP($A5232,原始数据_收盘!$A$4:$G$3460,7,0),"")</f>
        <v>2.5538</v>
      </c>
      <c r="H5232">
        <f>IFERROR(VLOOKUP($A5232,原始数据_利率互换_FR007_1年!$A$6:$C$4395,2,0),"")</f>
        <v>2.1035</v>
      </c>
      <c r="I5232">
        <f>IFERROR(VLOOKUP($A5232,原始数据_利率互换_FR007_1年!$A$6:$C$4395,3,0),"")</f>
        <v>2.5507</v>
      </c>
    </row>
    <row r="5233" spans="1:9">
      <c r="A5233" s="6">
        <v>44726</v>
      </c>
      <c r="B5233">
        <f>IFERROR(VLOOKUP($A5233,原始数据_收盘!$A$4:$G$3460,2,0),"")</f>
        <v>2.1125</v>
      </c>
      <c r="C5233">
        <f>IFERROR(VLOOKUP($A5233,原始数据_收盘!$A$4:$G$3460,3,0),"")</f>
        <v>2.5563</v>
      </c>
      <c r="D5233">
        <f>IFERROR(VLOOKUP($A5233,原始数据_收盘!$A$4:$G$3460,4,0),"")</f>
        <v>2.115</v>
      </c>
      <c r="E5233">
        <f>IFERROR(VLOOKUP($A5233,原始数据_收盘!$A$4:$G$3460,5,0),"")</f>
        <v>2.5587</v>
      </c>
      <c r="F5233">
        <f>IFERROR(VLOOKUP($A5233,原始数据_收盘!$A$4:$G$3460,6,0),"")</f>
        <v>2.1138</v>
      </c>
      <c r="G5233">
        <f>IFERROR(VLOOKUP($A5233,原始数据_收盘!$A$4:$G$3460,7,0),"")</f>
        <v>2.5575</v>
      </c>
      <c r="H5233">
        <f>IFERROR(VLOOKUP($A5233,原始数据_利率互换_FR007_1年!$A$6:$C$4395,2,0),"")</f>
        <v>2.1193</v>
      </c>
      <c r="I5233">
        <f>IFERROR(VLOOKUP($A5233,原始数据_利率互换_FR007_1年!$A$6:$C$4395,3,0),"")</f>
        <v>2.5675</v>
      </c>
    </row>
    <row r="5234" spans="1:9">
      <c r="A5234" s="6">
        <v>44727</v>
      </c>
      <c r="B5234">
        <f>IFERROR(VLOOKUP($A5234,原始数据_收盘!$A$4:$G$3460,2,0),"")</f>
        <v>2.1287</v>
      </c>
      <c r="C5234">
        <f>IFERROR(VLOOKUP($A5234,原始数据_收盘!$A$4:$G$3460,3,0),"")</f>
        <v>2.5775</v>
      </c>
      <c r="D5234">
        <f>IFERROR(VLOOKUP($A5234,原始数据_收盘!$A$4:$G$3460,4,0),"")</f>
        <v>2.1313</v>
      </c>
      <c r="E5234">
        <f>IFERROR(VLOOKUP($A5234,原始数据_收盘!$A$4:$G$3460,5,0),"")</f>
        <v>2.5807</v>
      </c>
      <c r="F5234">
        <f>IFERROR(VLOOKUP($A5234,原始数据_收盘!$A$4:$G$3460,6,0),"")</f>
        <v>2.13</v>
      </c>
      <c r="G5234">
        <f>IFERROR(VLOOKUP($A5234,原始数据_收盘!$A$4:$G$3460,7,0),"")</f>
        <v>2.5791</v>
      </c>
      <c r="H5234">
        <f>IFERROR(VLOOKUP($A5234,原始数据_利率互换_FR007_1年!$A$6:$C$4395,2,0),"")</f>
        <v>2.127</v>
      </c>
      <c r="I5234">
        <f>IFERROR(VLOOKUP($A5234,原始数据_利率互换_FR007_1年!$A$6:$C$4395,3,0),"")</f>
        <v>2.5755</v>
      </c>
    </row>
    <row r="5235" spans="1:9">
      <c r="A5235" s="6">
        <v>44728</v>
      </c>
      <c r="B5235">
        <f>IFERROR(VLOOKUP($A5235,原始数据_收盘!$A$4:$G$3460,2,0),"")</f>
        <v>2.1125</v>
      </c>
      <c r="C5235">
        <f>IFERROR(VLOOKUP($A5235,原始数据_收盘!$A$4:$G$3460,3,0),"")</f>
        <v>2.5625</v>
      </c>
      <c r="D5235">
        <f>IFERROR(VLOOKUP($A5235,原始数据_收盘!$A$4:$G$3460,4,0),"")</f>
        <v>2.1154</v>
      </c>
      <c r="E5235">
        <f>IFERROR(VLOOKUP($A5235,原始数据_收盘!$A$4:$G$3460,5,0),"")</f>
        <v>2.565</v>
      </c>
      <c r="F5235">
        <f>IFERROR(VLOOKUP($A5235,原始数据_收盘!$A$4:$G$3460,6,0),"")</f>
        <v>2.114</v>
      </c>
      <c r="G5235">
        <f>IFERROR(VLOOKUP($A5235,原始数据_收盘!$A$4:$G$3460,7,0),"")</f>
        <v>2.5638</v>
      </c>
      <c r="H5235">
        <f>IFERROR(VLOOKUP($A5235,原始数据_利率互换_FR007_1年!$A$6:$C$4395,2,0),"")</f>
        <v>2.1182</v>
      </c>
      <c r="I5235">
        <f>IFERROR(VLOOKUP($A5235,原始数据_利率互换_FR007_1年!$A$6:$C$4395,3,0),"")</f>
        <v>2.5698</v>
      </c>
    </row>
    <row r="5236" spans="1:9">
      <c r="A5236" s="6">
        <v>44729</v>
      </c>
      <c r="B5236">
        <f>IFERROR(VLOOKUP($A5236,原始数据_收盘!$A$4:$G$3460,2,0),"")</f>
        <v>2.1121</v>
      </c>
      <c r="C5236">
        <f>IFERROR(VLOOKUP($A5236,原始数据_收盘!$A$4:$G$3460,3,0),"")</f>
        <v>2.5625</v>
      </c>
      <c r="D5236">
        <f>IFERROR(VLOOKUP($A5236,原始数据_收盘!$A$4:$G$3460,4,0),"")</f>
        <v>2.1175</v>
      </c>
      <c r="E5236">
        <f>IFERROR(VLOOKUP($A5236,原始数据_收盘!$A$4:$G$3460,5,0),"")</f>
        <v>2.565</v>
      </c>
      <c r="F5236">
        <f>IFERROR(VLOOKUP($A5236,原始数据_收盘!$A$4:$G$3460,6,0),"")</f>
        <v>2.1148</v>
      </c>
      <c r="G5236">
        <f>IFERROR(VLOOKUP($A5236,原始数据_收盘!$A$4:$G$3460,7,0),"")</f>
        <v>2.5638</v>
      </c>
      <c r="H5236">
        <f>IFERROR(VLOOKUP($A5236,原始数据_利率互换_FR007_1年!$A$6:$C$4395,2,0),"")</f>
        <v>2.1058</v>
      </c>
      <c r="I5236">
        <f>IFERROR(VLOOKUP($A5236,原始数据_利率互换_FR007_1年!$A$6:$C$4395,3,0),"")</f>
        <v>2.5594</v>
      </c>
    </row>
    <row r="5237" spans="1:9">
      <c r="A5237" s="6">
        <v>44730</v>
      </c>
      <c r="B5237" t="str">
        <f>IFERROR(VLOOKUP($A5237,原始数据_收盘!$A$4:$G$3460,2,0),"")</f>
        <v/>
      </c>
      <c r="C5237" t="str">
        <f>IFERROR(VLOOKUP($A5237,原始数据_收盘!$A$4:$G$3460,3,0),"")</f>
        <v/>
      </c>
      <c r="D5237" t="str">
        <f>IFERROR(VLOOKUP($A5237,原始数据_收盘!$A$4:$G$3460,4,0),"")</f>
        <v/>
      </c>
      <c r="E5237" t="str">
        <f>IFERROR(VLOOKUP($A5237,原始数据_收盘!$A$4:$G$3460,5,0),"")</f>
        <v/>
      </c>
      <c r="F5237" t="str">
        <f>IFERROR(VLOOKUP($A5237,原始数据_收盘!$A$4:$G$3460,6,0),"")</f>
        <v/>
      </c>
      <c r="G5237" t="str">
        <f>IFERROR(VLOOKUP($A5237,原始数据_收盘!$A$4:$G$3460,7,0),"")</f>
        <v/>
      </c>
      <c r="H5237" t="str">
        <f>IFERROR(VLOOKUP($A5237,原始数据_利率互换_FR007_1年!$A$6:$C$4395,2,0),"")</f>
        <v/>
      </c>
      <c r="I5237" t="str">
        <f>IFERROR(VLOOKUP($A5237,原始数据_利率互换_FR007_1年!$A$6:$C$4395,3,0),"")</f>
        <v/>
      </c>
    </row>
    <row r="5238" spans="1:9">
      <c r="A5238" s="6">
        <v>44731</v>
      </c>
      <c r="B5238" t="str">
        <f>IFERROR(VLOOKUP($A5238,原始数据_收盘!$A$4:$G$3460,2,0),"")</f>
        <v/>
      </c>
      <c r="C5238" t="str">
        <f>IFERROR(VLOOKUP($A5238,原始数据_收盘!$A$4:$G$3460,3,0),"")</f>
        <v/>
      </c>
      <c r="D5238" t="str">
        <f>IFERROR(VLOOKUP($A5238,原始数据_收盘!$A$4:$G$3460,4,0),"")</f>
        <v/>
      </c>
      <c r="E5238" t="str">
        <f>IFERROR(VLOOKUP($A5238,原始数据_收盘!$A$4:$G$3460,5,0),"")</f>
        <v/>
      </c>
      <c r="F5238" t="str">
        <f>IFERROR(VLOOKUP($A5238,原始数据_收盘!$A$4:$G$3460,6,0),"")</f>
        <v/>
      </c>
      <c r="G5238" t="str">
        <f>IFERROR(VLOOKUP($A5238,原始数据_收盘!$A$4:$G$3460,7,0),"")</f>
        <v/>
      </c>
      <c r="H5238" t="str">
        <f>IFERROR(VLOOKUP($A5238,原始数据_利率互换_FR007_1年!$A$6:$C$4395,2,0),"")</f>
        <v/>
      </c>
      <c r="I5238" t="str">
        <f>IFERROR(VLOOKUP($A5238,原始数据_利率互换_FR007_1年!$A$6:$C$4395,3,0),"")</f>
        <v/>
      </c>
    </row>
    <row r="5239" spans="1:9">
      <c r="A5239" s="6">
        <v>44732</v>
      </c>
      <c r="B5239">
        <f>IFERROR(VLOOKUP($A5239,原始数据_收盘!$A$4:$G$3460,2,0),"")</f>
        <v>2.14</v>
      </c>
      <c r="C5239">
        <f>IFERROR(VLOOKUP($A5239,原始数据_收盘!$A$4:$G$3460,3,0),"")</f>
        <v>2.59</v>
      </c>
      <c r="D5239">
        <f>IFERROR(VLOOKUP($A5239,原始数据_收盘!$A$4:$G$3460,4,0),"")</f>
        <v>2.14</v>
      </c>
      <c r="E5239">
        <f>IFERROR(VLOOKUP($A5239,原始数据_收盘!$A$4:$G$3460,5,0),"")</f>
        <v>2.595</v>
      </c>
      <c r="F5239">
        <f>IFERROR(VLOOKUP($A5239,原始数据_收盘!$A$4:$G$3460,6,0),"")</f>
        <v>2.14</v>
      </c>
      <c r="G5239">
        <f>IFERROR(VLOOKUP($A5239,原始数据_收盘!$A$4:$G$3460,7,0),"")</f>
        <v>2.5925</v>
      </c>
      <c r="H5239">
        <f>IFERROR(VLOOKUP($A5239,原始数据_利率互换_FR007_1年!$A$6:$C$4395,2,0),"")</f>
        <v>2.1311</v>
      </c>
      <c r="I5239">
        <f>IFERROR(VLOOKUP($A5239,原始数据_利率互换_FR007_1年!$A$6:$C$4395,3,0),"")</f>
        <v>2.5829</v>
      </c>
    </row>
    <row r="5240" spans="1:9">
      <c r="A5240" s="6">
        <v>44733</v>
      </c>
      <c r="B5240">
        <f>IFERROR(VLOOKUP($A5240,原始数据_收盘!$A$4:$G$3460,2,0),"")</f>
        <v>2.1399</v>
      </c>
      <c r="C5240">
        <f>IFERROR(VLOOKUP($A5240,原始数据_收盘!$A$4:$G$3460,3,0),"")</f>
        <v>2.5875</v>
      </c>
      <c r="D5240">
        <f>IFERROR(VLOOKUP($A5240,原始数据_收盘!$A$4:$G$3460,4,0),"")</f>
        <v>2.14</v>
      </c>
      <c r="E5240">
        <f>IFERROR(VLOOKUP($A5240,原始数据_收盘!$A$4:$G$3460,5,0),"")</f>
        <v>2.5904</v>
      </c>
      <c r="F5240">
        <f>IFERROR(VLOOKUP($A5240,原始数据_收盘!$A$4:$G$3460,6,0),"")</f>
        <v>2.14</v>
      </c>
      <c r="G5240">
        <f>IFERROR(VLOOKUP($A5240,原始数据_收盘!$A$4:$G$3460,7,0),"")</f>
        <v>2.589</v>
      </c>
      <c r="H5240">
        <f>IFERROR(VLOOKUP($A5240,原始数据_利率互换_FR007_1年!$A$6:$C$4395,2,0),"")</f>
        <v>2.1409</v>
      </c>
      <c r="I5240">
        <f>IFERROR(VLOOKUP($A5240,原始数据_利率互换_FR007_1年!$A$6:$C$4395,3,0),"")</f>
        <v>2.5907</v>
      </c>
    </row>
    <row r="5241" spans="1:9">
      <c r="A5241" s="6">
        <v>44734</v>
      </c>
      <c r="B5241">
        <f>IFERROR(VLOOKUP($A5241,原始数据_收盘!$A$4:$G$3460,2,0),"")</f>
        <v>2.125</v>
      </c>
      <c r="C5241">
        <f>IFERROR(VLOOKUP($A5241,原始数据_收盘!$A$4:$G$3460,3,0),"")</f>
        <v>2.575</v>
      </c>
      <c r="D5241">
        <f>IFERROR(VLOOKUP($A5241,原始数据_收盘!$A$4:$G$3460,4,0),"")</f>
        <v>2.1275</v>
      </c>
      <c r="E5241">
        <f>IFERROR(VLOOKUP($A5241,原始数据_收盘!$A$4:$G$3460,5,0),"")</f>
        <v>2.5775</v>
      </c>
      <c r="F5241">
        <f>IFERROR(VLOOKUP($A5241,原始数据_收盘!$A$4:$G$3460,6,0),"")</f>
        <v>2.1263</v>
      </c>
      <c r="G5241">
        <f>IFERROR(VLOOKUP($A5241,原始数据_收盘!$A$4:$G$3460,7,0),"")</f>
        <v>2.5763</v>
      </c>
      <c r="H5241">
        <f>IFERROR(VLOOKUP($A5241,原始数据_利率互换_FR007_1年!$A$6:$C$4395,2,0),"")</f>
        <v>2.1308</v>
      </c>
      <c r="I5241">
        <f>IFERROR(VLOOKUP($A5241,原始数据_利率互换_FR007_1年!$A$6:$C$4395,3,0),"")</f>
        <v>2.58</v>
      </c>
    </row>
    <row r="5242" spans="1:9">
      <c r="A5242" s="6">
        <v>44735</v>
      </c>
      <c r="B5242">
        <f>IFERROR(VLOOKUP($A5242,原始数据_收盘!$A$4:$G$3460,2,0),"")</f>
        <v>2.1313</v>
      </c>
      <c r="C5242">
        <f>IFERROR(VLOOKUP($A5242,原始数据_收盘!$A$4:$G$3460,3,0),"")</f>
        <v>2.5824</v>
      </c>
      <c r="D5242">
        <f>IFERROR(VLOOKUP($A5242,原始数据_收盘!$A$4:$G$3460,4,0),"")</f>
        <v>2.135</v>
      </c>
      <c r="E5242">
        <f>IFERROR(VLOOKUP($A5242,原始数据_收盘!$A$4:$G$3460,5,0),"")</f>
        <v>2.585</v>
      </c>
      <c r="F5242">
        <f>IFERROR(VLOOKUP($A5242,原始数据_收盘!$A$4:$G$3460,6,0),"")</f>
        <v>2.1332</v>
      </c>
      <c r="G5242">
        <f>IFERROR(VLOOKUP($A5242,原始数据_收盘!$A$4:$G$3460,7,0),"")</f>
        <v>2.5837</v>
      </c>
      <c r="H5242">
        <f>IFERROR(VLOOKUP($A5242,原始数据_利率互换_FR007_1年!$A$6:$C$4395,2,0),"")</f>
        <v>2.126</v>
      </c>
      <c r="I5242">
        <f>IFERROR(VLOOKUP($A5242,原始数据_利率互换_FR007_1年!$A$6:$C$4395,3,0),"")</f>
        <v>2.5744</v>
      </c>
    </row>
    <row r="5243" spans="1:9">
      <c r="A5243" s="6">
        <v>44736</v>
      </c>
      <c r="B5243">
        <f>IFERROR(VLOOKUP($A5243,原始数据_收盘!$A$4:$G$3460,2,0),"")</f>
        <v>2.1599</v>
      </c>
      <c r="C5243">
        <f>IFERROR(VLOOKUP($A5243,原始数据_收盘!$A$4:$G$3460,3,0),"")</f>
        <v>2.605</v>
      </c>
      <c r="D5243">
        <f>IFERROR(VLOOKUP($A5243,原始数据_收盘!$A$4:$G$3460,4,0),"")</f>
        <v>2.1626</v>
      </c>
      <c r="E5243">
        <f>IFERROR(VLOOKUP($A5243,原始数据_收盘!$A$4:$G$3460,5,0),"")</f>
        <v>2.6075</v>
      </c>
      <c r="F5243">
        <f>IFERROR(VLOOKUP($A5243,原始数据_收盘!$A$4:$G$3460,6,0),"")</f>
        <v>2.1613</v>
      </c>
      <c r="G5243">
        <f>IFERROR(VLOOKUP($A5243,原始数据_收盘!$A$4:$G$3460,7,0),"")</f>
        <v>2.6063</v>
      </c>
      <c r="H5243">
        <f>IFERROR(VLOOKUP($A5243,原始数据_利率互换_FR007_1年!$A$6:$C$4395,2,0),"")</f>
        <v>2.1468</v>
      </c>
      <c r="I5243">
        <f>IFERROR(VLOOKUP($A5243,原始数据_利率互换_FR007_1年!$A$6:$C$4395,3,0),"")</f>
        <v>2.5956</v>
      </c>
    </row>
    <row r="5244" spans="1:9">
      <c r="A5244" s="6">
        <v>44737</v>
      </c>
      <c r="B5244" t="str">
        <f>IFERROR(VLOOKUP($A5244,原始数据_收盘!$A$4:$G$3460,2,0),"")</f>
        <v/>
      </c>
      <c r="C5244" t="str">
        <f>IFERROR(VLOOKUP($A5244,原始数据_收盘!$A$4:$G$3460,3,0),"")</f>
        <v/>
      </c>
      <c r="D5244" t="str">
        <f>IFERROR(VLOOKUP($A5244,原始数据_收盘!$A$4:$G$3460,4,0),"")</f>
        <v/>
      </c>
      <c r="E5244" t="str">
        <f>IFERROR(VLOOKUP($A5244,原始数据_收盘!$A$4:$G$3460,5,0),"")</f>
        <v/>
      </c>
      <c r="F5244" t="str">
        <f>IFERROR(VLOOKUP($A5244,原始数据_收盘!$A$4:$G$3460,6,0),"")</f>
        <v/>
      </c>
      <c r="G5244" t="str">
        <f>IFERROR(VLOOKUP($A5244,原始数据_收盘!$A$4:$G$3460,7,0),"")</f>
        <v/>
      </c>
      <c r="H5244" t="str">
        <f>IFERROR(VLOOKUP($A5244,原始数据_利率互换_FR007_1年!$A$6:$C$4395,2,0),"")</f>
        <v/>
      </c>
      <c r="I5244" t="str">
        <f>IFERROR(VLOOKUP($A5244,原始数据_利率互换_FR007_1年!$A$6:$C$4395,3,0),"")</f>
        <v/>
      </c>
    </row>
    <row r="5245" spans="1:9">
      <c r="A5245" s="6">
        <v>44738</v>
      </c>
      <c r="B5245" t="str">
        <f>IFERROR(VLOOKUP($A5245,原始数据_收盘!$A$4:$G$3460,2,0),"")</f>
        <v/>
      </c>
      <c r="C5245" t="str">
        <f>IFERROR(VLOOKUP($A5245,原始数据_收盘!$A$4:$G$3460,3,0),"")</f>
        <v/>
      </c>
      <c r="D5245" t="str">
        <f>IFERROR(VLOOKUP($A5245,原始数据_收盘!$A$4:$G$3460,4,0),"")</f>
        <v/>
      </c>
      <c r="E5245" t="str">
        <f>IFERROR(VLOOKUP($A5245,原始数据_收盘!$A$4:$G$3460,5,0),"")</f>
        <v/>
      </c>
      <c r="F5245" t="str">
        <f>IFERROR(VLOOKUP($A5245,原始数据_收盘!$A$4:$G$3460,6,0),"")</f>
        <v/>
      </c>
      <c r="G5245" t="str">
        <f>IFERROR(VLOOKUP($A5245,原始数据_收盘!$A$4:$G$3460,7,0),"")</f>
        <v/>
      </c>
      <c r="H5245" t="str">
        <f>IFERROR(VLOOKUP($A5245,原始数据_利率互换_FR007_1年!$A$6:$C$4395,2,0),"")</f>
        <v/>
      </c>
      <c r="I5245" t="str">
        <f>IFERROR(VLOOKUP($A5245,原始数据_利率互换_FR007_1年!$A$6:$C$4395,3,0),"")</f>
        <v/>
      </c>
    </row>
    <row r="5246" spans="1:9">
      <c r="A5246" s="6">
        <v>44739</v>
      </c>
      <c r="B5246">
        <f>IFERROR(VLOOKUP($A5246,原始数据_收盘!$A$4:$G$3460,2,0),"")</f>
        <v>2.1911</v>
      </c>
      <c r="C5246">
        <f>IFERROR(VLOOKUP($A5246,原始数据_收盘!$A$4:$G$3460,3,0),"")</f>
        <v>2.6485</v>
      </c>
      <c r="D5246">
        <f>IFERROR(VLOOKUP($A5246,原始数据_收盘!$A$4:$G$3460,4,0),"")</f>
        <v>2.1928</v>
      </c>
      <c r="E5246">
        <f>IFERROR(VLOOKUP($A5246,原始数据_收盘!$A$4:$G$3460,5,0),"")</f>
        <v>2.6512</v>
      </c>
      <c r="F5246">
        <f>IFERROR(VLOOKUP($A5246,原始数据_收盘!$A$4:$G$3460,6,0),"")</f>
        <v>2.192</v>
      </c>
      <c r="G5246">
        <f>IFERROR(VLOOKUP($A5246,原始数据_收盘!$A$4:$G$3460,7,0),"")</f>
        <v>2.6498</v>
      </c>
      <c r="H5246">
        <f>IFERROR(VLOOKUP($A5246,原始数据_利率互换_FR007_1年!$A$6:$C$4395,2,0),"")</f>
        <v>2.1878</v>
      </c>
      <c r="I5246">
        <f>IFERROR(VLOOKUP($A5246,原始数据_利率互换_FR007_1年!$A$6:$C$4395,3,0),"")</f>
        <v>2.6396</v>
      </c>
    </row>
    <row r="5247" spans="1:9">
      <c r="A5247" s="6">
        <v>44740</v>
      </c>
      <c r="B5247">
        <f>IFERROR(VLOOKUP($A5247,原始数据_收盘!$A$4:$G$3460,2,0),"")</f>
        <v>2.1928</v>
      </c>
      <c r="C5247">
        <f>IFERROR(VLOOKUP($A5247,原始数据_收盘!$A$4:$G$3460,3,0),"")</f>
        <v>2.6638</v>
      </c>
      <c r="D5247">
        <f>IFERROR(VLOOKUP($A5247,原始数据_收盘!$A$4:$G$3460,4,0),"")</f>
        <v>2.1967</v>
      </c>
      <c r="E5247">
        <f>IFERROR(VLOOKUP($A5247,原始数据_收盘!$A$4:$G$3460,5,0),"")</f>
        <v>2.665</v>
      </c>
      <c r="F5247">
        <f>IFERROR(VLOOKUP($A5247,原始数据_收盘!$A$4:$G$3460,6,0),"")</f>
        <v>2.1947</v>
      </c>
      <c r="G5247">
        <f>IFERROR(VLOOKUP($A5247,原始数据_收盘!$A$4:$G$3460,7,0),"")</f>
        <v>2.6644</v>
      </c>
      <c r="H5247">
        <f>IFERROR(VLOOKUP($A5247,原始数据_利率互换_FR007_1年!$A$6:$C$4395,2,0),"")</f>
        <v>2.1855</v>
      </c>
      <c r="I5247">
        <f>IFERROR(VLOOKUP($A5247,原始数据_利率互换_FR007_1年!$A$6:$C$4395,3,0),"")</f>
        <v>2.6508</v>
      </c>
    </row>
    <row r="5248" spans="1:9">
      <c r="A5248" s="6">
        <v>44741</v>
      </c>
      <c r="B5248">
        <f>IFERROR(VLOOKUP($A5248,原始数据_收盘!$A$4:$G$3460,2,0),"")</f>
        <v>2.1775</v>
      </c>
      <c r="C5248">
        <f>IFERROR(VLOOKUP($A5248,原始数据_收盘!$A$4:$G$3460,3,0),"")</f>
        <v>2.6475</v>
      </c>
      <c r="D5248">
        <f>IFERROR(VLOOKUP($A5248,原始数据_收盘!$A$4:$G$3460,4,0),"")</f>
        <v>2.18</v>
      </c>
      <c r="E5248">
        <f>IFERROR(VLOOKUP($A5248,原始数据_收盘!$A$4:$G$3460,5,0),"")</f>
        <v>2.65</v>
      </c>
      <c r="F5248">
        <f>IFERROR(VLOOKUP($A5248,原始数据_收盘!$A$4:$G$3460,6,0),"")</f>
        <v>2.1788</v>
      </c>
      <c r="G5248">
        <f>IFERROR(VLOOKUP($A5248,原始数据_收盘!$A$4:$G$3460,7,0),"")</f>
        <v>2.6488</v>
      </c>
      <c r="H5248">
        <f>IFERROR(VLOOKUP($A5248,原始数据_利率互换_FR007_1年!$A$6:$C$4395,2,0),"")</f>
        <v>2.1797</v>
      </c>
      <c r="I5248">
        <f>IFERROR(VLOOKUP($A5248,原始数据_利率互换_FR007_1年!$A$6:$C$4395,3,0),"")</f>
        <v>2.6478</v>
      </c>
    </row>
    <row r="5249" spans="1:9">
      <c r="A5249" s="6">
        <v>44742</v>
      </c>
      <c r="B5249">
        <f>IFERROR(VLOOKUP($A5249,原始数据_收盘!$A$4:$G$3460,2,0),"")</f>
        <v>2.1643</v>
      </c>
      <c r="C5249">
        <f>IFERROR(VLOOKUP($A5249,原始数据_收盘!$A$4:$G$3460,3,0),"")</f>
        <v>2.6275</v>
      </c>
      <c r="D5249">
        <f>IFERROR(VLOOKUP($A5249,原始数据_收盘!$A$4:$G$3460,4,0),"")</f>
        <v>2.1675</v>
      </c>
      <c r="E5249">
        <f>IFERROR(VLOOKUP($A5249,原始数据_收盘!$A$4:$G$3460,5,0),"")</f>
        <v>2.6303</v>
      </c>
      <c r="F5249">
        <f>IFERROR(VLOOKUP($A5249,原始数据_收盘!$A$4:$G$3460,6,0),"")</f>
        <v>2.1659</v>
      </c>
      <c r="G5249">
        <f>IFERROR(VLOOKUP($A5249,原始数据_收盘!$A$4:$G$3460,7,0),"")</f>
        <v>2.6289</v>
      </c>
      <c r="H5249">
        <f>IFERROR(VLOOKUP($A5249,原始数据_利率互换_FR007_1年!$A$6:$C$4395,2,0),"")</f>
        <v>2.1652</v>
      </c>
      <c r="I5249">
        <f>IFERROR(VLOOKUP($A5249,原始数据_利率互换_FR007_1年!$A$6:$C$4395,3,0),"")</f>
        <v>2.6323</v>
      </c>
    </row>
    <row r="5250" spans="1:9">
      <c r="A5250" s="6">
        <v>44743</v>
      </c>
      <c r="B5250">
        <f>IFERROR(VLOOKUP($A5250,原始数据_收盘!$A$4:$G$3460,2,0),"")</f>
        <v>2.145</v>
      </c>
      <c r="C5250">
        <f>IFERROR(VLOOKUP($A5250,原始数据_收盘!$A$4:$G$3460,3,0),"")</f>
        <v>2.6238</v>
      </c>
      <c r="D5250">
        <f>IFERROR(VLOOKUP($A5250,原始数据_收盘!$A$4:$G$3460,4,0),"")</f>
        <v>2.1475</v>
      </c>
      <c r="E5250">
        <f>IFERROR(VLOOKUP($A5250,原始数据_收盘!$A$4:$G$3460,5,0),"")</f>
        <v>2.6264</v>
      </c>
      <c r="F5250">
        <f>IFERROR(VLOOKUP($A5250,原始数据_收盘!$A$4:$G$3460,6,0),"")</f>
        <v>2.1463</v>
      </c>
      <c r="G5250">
        <f>IFERROR(VLOOKUP($A5250,原始数据_收盘!$A$4:$G$3460,7,0),"")</f>
        <v>2.6251</v>
      </c>
      <c r="H5250">
        <f>IFERROR(VLOOKUP($A5250,原始数据_利率互换_FR007_1年!$A$6:$C$4395,2,0),"")</f>
        <v>2.1413</v>
      </c>
      <c r="I5250">
        <f>IFERROR(VLOOKUP($A5250,原始数据_利率互换_FR007_1年!$A$6:$C$4395,3,0),"")</f>
        <v>2.6202</v>
      </c>
    </row>
    <row r="5251" spans="1:9">
      <c r="A5251" s="6">
        <v>44744</v>
      </c>
      <c r="B5251" t="str">
        <f>IFERROR(VLOOKUP($A5251,原始数据_收盘!$A$4:$G$3460,2,0),"")</f>
        <v/>
      </c>
      <c r="C5251" t="str">
        <f>IFERROR(VLOOKUP($A5251,原始数据_收盘!$A$4:$G$3460,3,0),"")</f>
        <v/>
      </c>
      <c r="D5251" t="str">
        <f>IFERROR(VLOOKUP($A5251,原始数据_收盘!$A$4:$G$3460,4,0),"")</f>
        <v/>
      </c>
      <c r="E5251" t="str">
        <f>IFERROR(VLOOKUP($A5251,原始数据_收盘!$A$4:$G$3460,5,0),"")</f>
        <v/>
      </c>
      <c r="F5251" t="str">
        <f>IFERROR(VLOOKUP($A5251,原始数据_收盘!$A$4:$G$3460,6,0),"")</f>
        <v/>
      </c>
      <c r="G5251" t="str">
        <f>IFERROR(VLOOKUP($A5251,原始数据_收盘!$A$4:$G$3460,7,0),"")</f>
        <v/>
      </c>
      <c r="H5251" t="str">
        <f>IFERROR(VLOOKUP($A5251,原始数据_利率互换_FR007_1年!$A$6:$C$4395,2,0),"")</f>
        <v/>
      </c>
      <c r="I5251" t="str">
        <f>IFERROR(VLOOKUP($A5251,原始数据_利率互换_FR007_1年!$A$6:$C$4395,3,0),"")</f>
        <v/>
      </c>
    </row>
    <row r="5252" spans="1:9">
      <c r="A5252" s="6">
        <v>44745</v>
      </c>
      <c r="B5252" t="str">
        <f>IFERROR(VLOOKUP($A5252,原始数据_收盘!$A$4:$G$3460,2,0),"")</f>
        <v/>
      </c>
      <c r="C5252" t="str">
        <f>IFERROR(VLOOKUP($A5252,原始数据_收盘!$A$4:$G$3460,3,0),"")</f>
        <v/>
      </c>
      <c r="D5252" t="str">
        <f>IFERROR(VLOOKUP($A5252,原始数据_收盘!$A$4:$G$3460,4,0),"")</f>
        <v/>
      </c>
      <c r="E5252" t="str">
        <f>IFERROR(VLOOKUP($A5252,原始数据_收盘!$A$4:$G$3460,5,0),"")</f>
        <v/>
      </c>
      <c r="F5252" t="str">
        <f>IFERROR(VLOOKUP($A5252,原始数据_收盘!$A$4:$G$3460,6,0),"")</f>
        <v/>
      </c>
      <c r="G5252" t="str">
        <f>IFERROR(VLOOKUP($A5252,原始数据_收盘!$A$4:$G$3460,7,0),"")</f>
        <v/>
      </c>
      <c r="H5252" t="str">
        <f>IFERROR(VLOOKUP($A5252,原始数据_利率互换_FR007_1年!$A$6:$C$4395,2,0),"")</f>
        <v/>
      </c>
      <c r="I5252" t="str">
        <f>IFERROR(VLOOKUP($A5252,原始数据_利率互换_FR007_1年!$A$6:$C$4395,3,0),"")</f>
        <v/>
      </c>
    </row>
    <row r="5253" spans="1:9">
      <c r="A5253" s="6">
        <v>44746</v>
      </c>
      <c r="B5253">
        <f>IFERROR(VLOOKUP($A5253,原始数据_收盘!$A$4:$G$3460,2,0),"")</f>
        <v>2.2025</v>
      </c>
      <c r="C5253">
        <f>IFERROR(VLOOKUP($A5253,原始数据_收盘!$A$4:$G$3460,3,0),"")</f>
        <v>2.6725</v>
      </c>
      <c r="D5253">
        <f>IFERROR(VLOOKUP($A5253,原始数据_收盘!$A$4:$G$3460,4,0),"")</f>
        <v>2.2075</v>
      </c>
      <c r="E5253">
        <f>IFERROR(VLOOKUP($A5253,原始数据_收盘!$A$4:$G$3460,5,0),"")</f>
        <v>2.675</v>
      </c>
      <c r="F5253">
        <f>IFERROR(VLOOKUP($A5253,原始数据_收盘!$A$4:$G$3460,6,0),"")</f>
        <v>2.205</v>
      </c>
      <c r="G5253">
        <f>IFERROR(VLOOKUP($A5253,原始数据_收盘!$A$4:$G$3460,7,0),"")</f>
        <v>2.6738</v>
      </c>
      <c r="H5253">
        <f>IFERROR(VLOOKUP($A5253,原始数据_利率互换_FR007_1年!$A$6:$C$4395,2,0),"")</f>
        <v>2.2051</v>
      </c>
      <c r="I5253">
        <f>IFERROR(VLOOKUP($A5253,原始数据_利率互换_FR007_1年!$A$6:$C$4395,3,0),"")</f>
        <v>2.6656</v>
      </c>
    </row>
    <row r="5254" spans="1:9">
      <c r="A5254" s="6">
        <v>44747</v>
      </c>
      <c r="B5254">
        <f>IFERROR(VLOOKUP($A5254,原始数据_收盘!$A$4:$G$3460,2,0),"")</f>
        <v>2.2038</v>
      </c>
      <c r="C5254">
        <f>IFERROR(VLOOKUP($A5254,原始数据_收盘!$A$4:$G$3460,3,0),"")</f>
        <v>2.6777</v>
      </c>
      <c r="D5254">
        <f>IFERROR(VLOOKUP($A5254,原始数据_收盘!$A$4:$G$3460,4,0),"")</f>
        <v>2.2075</v>
      </c>
      <c r="E5254">
        <f>IFERROR(VLOOKUP($A5254,原始数据_收盘!$A$4:$G$3460,5,0),"")</f>
        <v>2.6804</v>
      </c>
      <c r="F5254">
        <f>IFERROR(VLOOKUP($A5254,原始数据_收盘!$A$4:$G$3460,6,0),"")</f>
        <v>2.2057</v>
      </c>
      <c r="G5254">
        <f>IFERROR(VLOOKUP($A5254,原始数据_收盘!$A$4:$G$3460,7,0),"")</f>
        <v>2.679</v>
      </c>
      <c r="H5254">
        <f>IFERROR(VLOOKUP($A5254,原始数据_利率互换_FR007_1年!$A$6:$C$4395,2,0),"")</f>
        <v>2.2095</v>
      </c>
      <c r="I5254">
        <f>IFERROR(VLOOKUP($A5254,原始数据_利率互换_FR007_1年!$A$6:$C$4395,3,0),"")</f>
        <v>2.6858</v>
      </c>
    </row>
    <row r="5255" spans="1:9">
      <c r="A5255" s="6">
        <v>44748</v>
      </c>
      <c r="B5255">
        <f>IFERROR(VLOOKUP($A5255,原始数据_收盘!$A$4:$G$3460,2,0),"")</f>
        <v>2.2</v>
      </c>
      <c r="C5255">
        <f>IFERROR(VLOOKUP($A5255,原始数据_收盘!$A$4:$G$3460,3,0),"")</f>
        <v>2.6775</v>
      </c>
      <c r="D5255">
        <f>IFERROR(VLOOKUP($A5255,原始数据_收盘!$A$4:$G$3460,4,0),"")</f>
        <v>2.205</v>
      </c>
      <c r="E5255">
        <f>IFERROR(VLOOKUP($A5255,原始数据_收盘!$A$4:$G$3460,5,0),"")</f>
        <v>2.68</v>
      </c>
      <c r="F5255">
        <f>IFERROR(VLOOKUP($A5255,原始数据_收盘!$A$4:$G$3460,6,0),"")</f>
        <v>2.2025</v>
      </c>
      <c r="G5255">
        <f>IFERROR(VLOOKUP($A5255,原始数据_收盘!$A$4:$G$3460,7,0),"")</f>
        <v>2.6788</v>
      </c>
      <c r="H5255">
        <f>IFERROR(VLOOKUP($A5255,原始数据_利率互换_FR007_1年!$A$6:$C$4395,2,0),"")</f>
        <v>2.1925</v>
      </c>
      <c r="I5255">
        <f>IFERROR(VLOOKUP($A5255,原始数据_利率互换_FR007_1年!$A$6:$C$4395,3,0),"")</f>
        <v>2.6684</v>
      </c>
    </row>
    <row r="5256" spans="1:9">
      <c r="A5256" s="6">
        <v>44749</v>
      </c>
      <c r="B5256">
        <f>IFERROR(VLOOKUP($A5256,原始数据_收盘!$A$4:$G$3460,2,0),"")</f>
        <v>2.195</v>
      </c>
      <c r="C5256">
        <f>IFERROR(VLOOKUP($A5256,原始数据_收盘!$A$4:$G$3460,3,0),"")</f>
        <v>2.6707</v>
      </c>
      <c r="D5256">
        <f>IFERROR(VLOOKUP($A5256,原始数据_收盘!$A$4:$G$3460,4,0),"")</f>
        <v>2.1975</v>
      </c>
      <c r="E5256">
        <f>IFERROR(VLOOKUP($A5256,原始数据_收盘!$A$4:$G$3460,5,0),"")</f>
        <v>2.6743</v>
      </c>
      <c r="F5256">
        <f>IFERROR(VLOOKUP($A5256,原始数据_收盘!$A$4:$G$3460,6,0),"")</f>
        <v>2.1963</v>
      </c>
      <c r="G5256">
        <f>IFERROR(VLOOKUP($A5256,原始数据_收盘!$A$4:$G$3460,7,0),"")</f>
        <v>2.6725</v>
      </c>
      <c r="H5256">
        <f>IFERROR(VLOOKUP($A5256,原始数据_利率互换_FR007_1年!$A$6:$C$4395,2,0),"")</f>
        <v>2.1962</v>
      </c>
      <c r="I5256">
        <f>IFERROR(VLOOKUP($A5256,原始数据_利率互换_FR007_1年!$A$6:$C$4395,3,0),"")</f>
        <v>2.6721</v>
      </c>
    </row>
    <row r="5257" spans="1:9">
      <c r="A5257" s="6">
        <v>44750</v>
      </c>
      <c r="B5257">
        <f>IFERROR(VLOOKUP($A5257,原始数据_收盘!$A$4:$G$3460,2,0),"")</f>
        <v>2.1874</v>
      </c>
      <c r="C5257">
        <f>IFERROR(VLOOKUP($A5257,原始数据_收盘!$A$4:$G$3460,3,0),"")</f>
        <v>2.6717</v>
      </c>
      <c r="D5257">
        <f>IFERROR(VLOOKUP($A5257,原始数据_收盘!$A$4:$G$3460,4,0),"")</f>
        <v>2.19</v>
      </c>
      <c r="E5257">
        <f>IFERROR(VLOOKUP($A5257,原始数据_收盘!$A$4:$G$3460,5,0),"")</f>
        <v>2.6738</v>
      </c>
      <c r="F5257">
        <f>IFERROR(VLOOKUP($A5257,原始数据_收盘!$A$4:$G$3460,6,0),"")</f>
        <v>2.1887</v>
      </c>
      <c r="G5257">
        <f>IFERROR(VLOOKUP($A5257,原始数据_收盘!$A$4:$G$3460,7,0),"")</f>
        <v>2.6727</v>
      </c>
      <c r="H5257">
        <f>IFERROR(VLOOKUP($A5257,原始数据_利率互换_FR007_1年!$A$6:$C$4395,2,0),"")</f>
        <v>2.1903</v>
      </c>
      <c r="I5257">
        <f>IFERROR(VLOOKUP($A5257,原始数据_利率互换_FR007_1年!$A$6:$C$4395,3,0),"")</f>
        <v>2.6721</v>
      </c>
    </row>
    <row r="5258" spans="1:9">
      <c r="A5258" s="6">
        <v>44751</v>
      </c>
      <c r="B5258" t="str">
        <f>IFERROR(VLOOKUP($A5258,原始数据_收盘!$A$4:$G$3460,2,0),"")</f>
        <v/>
      </c>
      <c r="C5258" t="str">
        <f>IFERROR(VLOOKUP($A5258,原始数据_收盘!$A$4:$G$3460,3,0),"")</f>
        <v/>
      </c>
      <c r="D5258" t="str">
        <f>IFERROR(VLOOKUP($A5258,原始数据_收盘!$A$4:$G$3460,4,0),"")</f>
        <v/>
      </c>
      <c r="E5258" t="str">
        <f>IFERROR(VLOOKUP($A5258,原始数据_收盘!$A$4:$G$3460,5,0),"")</f>
        <v/>
      </c>
      <c r="F5258" t="str">
        <f>IFERROR(VLOOKUP($A5258,原始数据_收盘!$A$4:$G$3460,6,0),"")</f>
        <v/>
      </c>
      <c r="G5258" t="str">
        <f>IFERROR(VLOOKUP($A5258,原始数据_收盘!$A$4:$G$3460,7,0),"")</f>
        <v/>
      </c>
      <c r="H5258" t="str">
        <f>IFERROR(VLOOKUP($A5258,原始数据_利率互换_FR007_1年!$A$6:$C$4395,2,0),"")</f>
        <v/>
      </c>
      <c r="I5258" t="str">
        <f>IFERROR(VLOOKUP($A5258,原始数据_利率互换_FR007_1年!$A$6:$C$4395,3,0),"")</f>
        <v/>
      </c>
    </row>
    <row r="5259" spans="1:9">
      <c r="A5259" s="6">
        <v>44752</v>
      </c>
      <c r="B5259" t="str">
        <f>IFERROR(VLOOKUP($A5259,原始数据_收盘!$A$4:$G$3460,2,0),"")</f>
        <v/>
      </c>
      <c r="C5259" t="str">
        <f>IFERROR(VLOOKUP($A5259,原始数据_收盘!$A$4:$G$3460,3,0),"")</f>
        <v/>
      </c>
      <c r="D5259" t="str">
        <f>IFERROR(VLOOKUP($A5259,原始数据_收盘!$A$4:$G$3460,4,0),"")</f>
        <v/>
      </c>
      <c r="E5259" t="str">
        <f>IFERROR(VLOOKUP($A5259,原始数据_收盘!$A$4:$G$3460,5,0),"")</f>
        <v/>
      </c>
      <c r="F5259" t="str">
        <f>IFERROR(VLOOKUP($A5259,原始数据_收盘!$A$4:$G$3460,6,0),"")</f>
        <v/>
      </c>
      <c r="G5259" t="str">
        <f>IFERROR(VLOOKUP($A5259,原始数据_收盘!$A$4:$G$3460,7,0),"")</f>
        <v/>
      </c>
      <c r="H5259" t="str">
        <f>IFERROR(VLOOKUP($A5259,原始数据_利率互换_FR007_1年!$A$6:$C$4395,2,0),"")</f>
        <v/>
      </c>
      <c r="I5259" t="str">
        <f>IFERROR(VLOOKUP($A5259,原始数据_利率互换_FR007_1年!$A$6:$C$4395,3,0),"")</f>
        <v/>
      </c>
    </row>
    <row r="5260" spans="1:9">
      <c r="A5260" s="6">
        <v>44753</v>
      </c>
      <c r="B5260">
        <f>IFERROR(VLOOKUP($A5260,原始数据_收盘!$A$4:$G$3460,2,0),"")</f>
        <v>2.1465</v>
      </c>
      <c r="C5260">
        <f>IFERROR(VLOOKUP($A5260,原始数据_收盘!$A$4:$G$3460,3,0),"")</f>
        <v>2.6328</v>
      </c>
      <c r="D5260">
        <f>IFERROR(VLOOKUP($A5260,原始数据_收盘!$A$4:$G$3460,4,0),"")</f>
        <v>2.1492</v>
      </c>
      <c r="E5260">
        <f>IFERROR(VLOOKUP($A5260,原始数据_收盘!$A$4:$G$3460,5,0),"")</f>
        <v>2.6367</v>
      </c>
      <c r="F5260">
        <f>IFERROR(VLOOKUP($A5260,原始数据_收盘!$A$4:$G$3460,6,0),"")</f>
        <v>2.1479</v>
      </c>
      <c r="G5260">
        <f>IFERROR(VLOOKUP($A5260,原始数据_收盘!$A$4:$G$3460,7,0),"")</f>
        <v>2.6347</v>
      </c>
      <c r="H5260">
        <f>IFERROR(VLOOKUP($A5260,原始数据_利率互换_FR007_1年!$A$6:$C$4395,2,0),"")</f>
        <v>2.1567</v>
      </c>
      <c r="I5260">
        <f>IFERROR(VLOOKUP($A5260,原始数据_利率互换_FR007_1年!$A$6:$C$4395,3,0),"")</f>
        <v>2.6447</v>
      </c>
    </row>
    <row r="5261" spans="1:9">
      <c r="A5261" s="6">
        <v>44754</v>
      </c>
      <c r="B5261">
        <f>IFERROR(VLOOKUP($A5261,原始数据_收盘!$A$4:$G$3460,2,0),"")</f>
        <v>2.12</v>
      </c>
      <c r="C5261">
        <f>IFERROR(VLOOKUP($A5261,原始数据_收盘!$A$4:$G$3460,3,0),"")</f>
        <v>2.6035</v>
      </c>
      <c r="D5261">
        <f>IFERROR(VLOOKUP($A5261,原始数据_收盘!$A$4:$G$3460,4,0),"")</f>
        <v>2.1275</v>
      </c>
      <c r="E5261">
        <f>IFERROR(VLOOKUP($A5261,原始数据_收盘!$A$4:$G$3460,5,0),"")</f>
        <v>2.6056</v>
      </c>
      <c r="F5261">
        <f>IFERROR(VLOOKUP($A5261,原始数据_收盘!$A$4:$G$3460,6,0),"")</f>
        <v>2.1238</v>
      </c>
      <c r="G5261">
        <f>IFERROR(VLOOKUP($A5261,原始数据_收盘!$A$4:$G$3460,7,0),"")</f>
        <v>2.6046</v>
      </c>
      <c r="H5261">
        <f>IFERROR(VLOOKUP($A5261,原始数据_利率互换_FR007_1年!$A$6:$C$4395,2,0),"")</f>
        <v>2.1309</v>
      </c>
      <c r="I5261">
        <f>IFERROR(VLOOKUP($A5261,原始数据_利率互换_FR007_1年!$A$6:$C$4395,3,0),"")</f>
        <v>2.6147</v>
      </c>
    </row>
    <row r="5262" spans="1:9">
      <c r="A5262" s="6">
        <v>44755</v>
      </c>
      <c r="B5262">
        <f>IFERROR(VLOOKUP($A5262,原始数据_收盘!$A$4:$G$3460,2,0),"")</f>
        <v>2.12</v>
      </c>
      <c r="C5262">
        <f>IFERROR(VLOOKUP($A5262,原始数据_收盘!$A$4:$G$3460,3,0),"")</f>
        <v>2.6</v>
      </c>
      <c r="D5262">
        <f>IFERROR(VLOOKUP($A5262,原始数据_收盘!$A$4:$G$3460,4,0),"")</f>
        <v>2.125</v>
      </c>
      <c r="E5262">
        <f>IFERROR(VLOOKUP($A5262,原始数据_收盘!$A$4:$G$3460,5,0),"")</f>
        <v>2.6025</v>
      </c>
      <c r="F5262">
        <f>IFERROR(VLOOKUP($A5262,原始数据_收盘!$A$4:$G$3460,6,0),"")</f>
        <v>2.1225</v>
      </c>
      <c r="G5262">
        <f>IFERROR(VLOOKUP($A5262,原始数据_收盘!$A$4:$G$3460,7,0),"")</f>
        <v>2.6013</v>
      </c>
      <c r="H5262">
        <f>IFERROR(VLOOKUP($A5262,原始数据_利率互换_FR007_1年!$A$6:$C$4395,2,0),"")</f>
        <v>2.1196</v>
      </c>
      <c r="I5262">
        <f>IFERROR(VLOOKUP($A5262,原始数据_利率互换_FR007_1年!$A$6:$C$4395,3,0),"")</f>
        <v>2.5962</v>
      </c>
    </row>
    <row r="5263" spans="1:9">
      <c r="A5263" s="6">
        <v>44756</v>
      </c>
      <c r="B5263">
        <f>IFERROR(VLOOKUP($A5263,原始数据_收盘!$A$4:$G$3460,2,0),"")</f>
        <v>2.0875</v>
      </c>
      <c r="C5263">
        <f>IFERROR(VLOOKUP($A5263,原始数据_收盘!$A$4:$G$3460,3,0),"")</f>
        <v>2.5699</v>
      </c>
      <c r="D5263">
        <f>IFERROR(VLOOKUP($A5263,原始数据_收盘!$A$4:$G$3460,4,0),"")</f>
        <v>2.0896</v>
      </c>
      <c r="E5263">
        <f>IFERROR(VLOOKUP($A5263,原始数据_收盘!$A$4:$G$3460,5,0),"")</f>
        <v>2.5725</v>
      </c>
      <c r="F5263">
        <f>IFERROR(VLOOKUP($A5263,原始数据_收盘!$A$4:$G$3460,6,0),"")</f>
        <v>2.0885</v>
      </c>
      <c r="G5263">
        <f>IFERROR(VLOOKUP($A5263,原始数据_收盘!$A$4:$G$3460,7,0),"")</f>
        <v>2.5712</v>
      </c>
      <c r="H5263">
        <f>IFERROR(VLOOKUP($A5263,原始数据_利率互换_FR007_1年!$A$6:$C$4395,2,0),"")</f>
        <v>2.1007</v>
      </c>
      <c r="I5263">
        <f>IFERROR(VLOOKUP($A5263,原始数据_利率互换_FR007_1年!$A$6:$C$4395,3,0),"")</f>
        <v>2.5832</v>
      </c>
    </row>
    <row r="5264" spans="1:9">
      <c r="A5264" s="6">
        <v>44757</v>
      </c>
      <c r="B5264">
        <f>IFERROR(VLOOKUP($A5264,原始数据_收盘!$A$4:$G$3460,2,0),"")</f>
        <v>2.0796</v>
      </c>
      <c r="C5264">
        <f>IFERROR(VLOOKUP($A5264,原始数据_收盘!$A$4:$G$3460,3,0),"")</f>
        <v>2.5609</v>
      </c>
      <c r="D5264">
        <f>IFERROR(VLOOKUP($A5264,原始数据_收盘!$A$4:$G$3460,4,0),"")</f>
        <v>2.0823</v>
      </c>
      <c r="E5264">
        <f>IFERROR(VLOOKUP($A5264,原始数据_收盘!$A$4:$G$3460,5,0),"")</f>
        <v>2.563</v>
      </c>
      <c r="F5264">
        <f>IFERROR(VLOOKUP($A5264,原始数据_收盘!$A$4:$G$3460,6,0),"")</f>
        <v>2.081</v>
      </c>
      <c r="G5264">
        <f>IFERROR(VLOOKUP($A5264,原始数据_收盘!$A$4:$G$3460,7,0),"")</f>
        <v>2.562</v>
      </c>
      <c r="H5264">
        <f>IFERROR(VLOOKUP($A5264,原始数据_利率互换_FR007_1年!$A$6:$C$4395,2,0),"")</f>
        <v>2.0883</v>
      </c>
      <c r="I5264">
        <f>IFERROR(VLOOKUP($A5264,原始数据_利率互换_FR007_1年!$A$6:$C$4395,3,0),"")</f>
        <v>2.5674</v>
      </c>
    </row>
    <row r="5265" spans="1:9">
      <c r="A5265" s="6">
        <v>44758</v>
      </c>
      <c r="B5265" t="str">
        <f>IFERROR(VLOOKUP($A5265,原始数据_收盘!$A$4:$G$3460,2,0),"")</f>
        <v/>
      </c>
      <c r="C5265" t="str">
        <f>IFERROR(VLOOKUP($A5265,原始数据_收盘!$A$4:$G$3460,3,0),"")</f>
        <v/>
      </c>
      <c r="D5265" t="str">
        <f>IFERROR(VLOOKUP($A5265,原始数据_收盘!$A$4:$G$3460,4,0),"")</f>
        <v/>
      </c>
      <c r="E5265" t="str">
        <f>IFERROR(VLOOKUP($A5265,原始数据_收盘!$A$4:$G$3460,5,0),"")</f>
        <v/>
      </c>
      <c r="F5265" t="str">
        <f>IFERROR(VLOOKUP($A5265,原始数据_收盘!$A$4:$G$3460,6,0),"")</f>
        <v/>
      </c>
      <c r="G5265" t="str">
        <f>IFERROR(VLOOKUP($A5265,原始数据_收盘!$A$4:$G$3460,7,0),"")</f>
        <v/>
      </c>
      <c r="H5265" t="str">
        <f>IFERROR(VLOOKUP($A5265,原始数据_利率互换_FR007_1年!$A$6:$C$4395,2,0),"")</f>
        <v/>
      </c>
      <c r="I5265" t="str">
        <f>IFERROR(VLOOKUP($A5265,原始数据_利率互换_FR007_1年!$A$6:$C$4395,3,0),"")</f>
        <v/>
      </c>
    </row>
    <row r="5266" spans="1:9">
      <c r="A5266" s="6">
        <v>44759</v>
      </c>
      <c r="B5266" t="str">
        <f>IFERROR(VLOOKUP($A5266,原始数据_收盘!$A$4:$G$3460,2,0),"")</f>
        <v/>
      </c>
      <c r="C5266" t="str">
        <f>IFERROR(VLOOKUP($A5266,原始数据_收盘!$A$4:$G$3460,3,0),"")</f>
        <v/>
      </c>
      <c r="D5266" t="str">
        <f>IFERROR(VLOOKUP($A5266,原始数据_收盘!$A$4:$G$3460,4,0),"")</f>
        <v/>
      </c>
      <c r="E5266" t="str">
        <f>IFERROR(VLOOKUP($A5266,原始数据_收盘!$A$4:$G$3460,5,0),"")</f>
        <v/>
      </c>
      <c r="F5266" t="str">
        <f>IFERROR(VLOOKUP($A5266,原始数据_收盘!$A$4:$G$3460,6,0),"")</f>
        <v/>
      </c>
      <c r="G5266" t="str">
        <f>IFERROR(VLOOKUP($A5266,原始数据_收盘!$A$4:$G$3460,7,0),"")</f>
        <v/>
      </c>
      <c r="H5266" t="str">
        <f>IFERROR(VLOOKUP($A5266,原始数据_利率互换_FR007_1年!$A$6:$C$4395,2,0),"")</f>
        <v/>
      </c>
      <c r="I5266" t="str">
        <f>IFERROR(VLOOKUP($A5266,原始数据_利率互换_FR007_1年!$A$6:$C$4395,3,0),"")</f>
        <v/>
      </c>
    </row>
    <row r="5267" spans="1:9">
      <c r="A5267" s="6">
        <v>44760</v>
      </c>
      <c r="B5267">
        <f>IFERROR(VLOOKUP($A5267,原始数据_收盘!$A$4:$G$3460,2,0),"")</f>
        <v>2.0775</v>
      </c>
      <c r="C5267">
        <f>IFERROR(VLOOKUP($A5267,原始数据_收盘!$A$4:$G$3460,3,0),"")</f>
        <v>2.56</v>
      </c>
      <c r="D5267">
        <f>IFERROR(VLOOKUP($A5267,原始数据_收盘!$A$4:$G$3460,4,0),"")</f>
        <v>2.08</v>
      </c>
      <c r="E5267">
        <f>IFERROR(VLOOKUP($A5267,原始数据_收盘!$A$4:$G$3460,5,0),"")</f>
        <v>2.5625</v>
      </c>
      <c r="F5267">
        <f>IFERROR(VLOOKUP($A5267,原始数据_收盘!$A$4:$G$3460,6,0),"")</f>
        <v>2.0788</v>
      </c>
      <c r="G5267">
        <f>IFERROR(VLOOKUP($A5267,原始数据_收盘!$A$4:$G$3460,7,0),"")</f>
        <v>2.5613</v>
      </c>
      <c r="H5267">
        <f>IFERROR(VLOOKUP($A5267,原始数据_利率互换_FR007_1年!$A$6:$C$4395,2,0),"")</f>
        <v>2.0808</v>
      </c>
      <c r="I5267">
        <f>IFERROR(VLOOKUP($A5267,原始数据_利率互换_FR007_1年!$A$6:$C$4395,3,0),"")</f>
        <v>2.5641</v>
      </c>
    </row>
    <row r="5268" spans="1:9">
      <c r="A5268" s="6">
        <v>44761</v>
      </c>
      <c r="B5268">
        <f>IFERROR(VLOOKUP($A5268,原始数据_收盘!$A$4:$G$3460,2,0),"")</f>
        <v>2.08</v>
      </c>
      <c r="C5268">
        <f>IFERROR(VLOOKUP($A5268,原始数据_收盘!$A$4:$G$3460,3,0),"")</f>
        <v>2.57</v>
      </c>
      <c r="D5268">
        <f>IFERROR(VLOOKUP($A5268,原始数据_收盘!$A$4:$G$3460,4,0),"")</f>
        <v>2.085</v>
      </c>
      <c r="E5268">
        <f>IFERROR(VLOOKUP($A5268,原始数据_收盘!$A$4:$G$3460,5,0),"")</f>
        <v>2.5725</v>
      </c>
      <c r="F5268">
        <f>IFERROR(VLOOKUP($A5268,原始数据_收盘!$A$4:$G$3460,6,0),"")</f>
        <v>2.0825</v>
      </c>
      <c r="G5268">
        <f>IFERROR(VLOOKUP($A5268,原始数据_收盘!$A$4:$G$3460,7,0),"")</f>
        <v>2.5713</v>
      </c>
      <c r="H5268">
        <f>IFERROR(VLOOKUP($A5268,原始数据_利率互换_FR007_1年!$A$6:$C$4395,2,0),"")</f>
        <v>2.0875</v>
      </c>
      <c r="I5268">
        <f>IFERROR(VLOOKUP($A5268,原始数据_利率互换_FR007_1年!$A$6:$C$4395,3,0),"")</f>
        <v>2.5735</v>
      </c>
    </row>
    <row r="5269" spans="1:9">
      <c r="A5269" s="6">
        <v>44762</v>
      </c>
      <c r="B5269">
        <f>IFERROR(VLOOKUP($A5269,原始数据_收盘!$A$4:$G$3460,2,0),"")</f>
        <v>2.0625</v>
      </c>
      <c r="C5269">
        <f>IFERROR(VLOOKUP($A5269,原始数据_收盘!$A$4:$G$3460,3,0),"")</f>
        <v>2.5381</v>
      </c>
      <c r="D5269">
        <f>IFERROR(VLOOKUP($A5269,原始数据_收盘!$A$4:$G$3460,4,0),"")</f>
        <v>2.0695</v>
      </c>
      <c r="E5269">
        <f>IFERROR(VLOOKUP($A5269,原始数据_收盘!$A$4:$G$3460,5,0),"")</f>
        <v>2.5408</v>
      </c>
      <c r="F5269">
        <f>IFERROR(VLOOKUP($A5269,原始数据_收盘!$A$4:$G$3460,6,0),"")</f>
        <v>2.066</v>
      </c>
      <c r="G5269">
        <f>IFERROR(VLOOKUP($A5269,原始数据_收盘!$A$4:$G$3460,7,0),"")</f>
        <v>2.5394</v>
      </c>
      <c r="H5269">
        <f>IFERROR(VLOOKUP($A5269,原始数据_利率互换_FR007_1年!$A$6:$C$4395,2,0),"")</f>
        <v>2.0793</v>
      </c>
      <c r="I5269">
        <f>IFERROR(VLOOKUP($A5269,原始数据_利率互换_FR007_1年!$A$6:$C$4395,3,0),"")</f>
        <v>2.5611</v>
      </c>
    </row>
    <row r="5270" spans="1:9">
      <c r="A5270" s="6">
        <v>44763</v>
      </c>
      <c r="B5270">
        <f>IFERROR(VLOOKUP($A5270,原始数据_收盘!$A$4:$G$3460,2,0),"")</f>
        <v>2.06</v>
      </c>
      <c r="C5270">
        <f>IFERROR(VLOOKUP($A5270,原始数据_收盘!$A$4:$G$3460,3,0),"")</f>
        <v>2.535</v>
      </c>
      <c r="D5270">
        <f>IFERROR(VLOOKUP($A5270,原始数据_收盘!$A$4:$G$3460,4,0),"")</f>
        <v>2.065</v>
      </c>
      <c r="E5270">
        <f>IFERROR(VLOOKUP($A5270,原始数据_收盘!$A$4:$G$3460,5,0),"")</f>
        <v>2.5375</v>
      </c>
      <c r="F5270">
        <f>IFERROR(VLOOKUP($A5270,原始数据_收盘!$A$4:$G$3460,6,0),"")</f>
        <v>2.0625</v>
      </c>
      <c r="G5270">
        <f>IFERROR(VLOOKUP($A5270,原始数据_收盘!$A$4:$G$3460,7,0),"")</f>
        <v>2.5363</v>
      </c>
      <c r="H5270">
        <f>IFERROR(VLOOKUP($A5270,原始数据_利率互换_FR007_1年!$A$6:$C$4395,2,0),"")</f>
        <v>2.0574</v>
      </c>
      <c r="I5270">
        <f>IFERROR(VLOOKUP($A5270,原始数据_利率互换_FR007_1年!$A$6:$C$4395,3,0),"")</f>
        <v>2.5315</v>
      </c>
    </row>
    <row r="5271" spans="1:9">
      <c r="A5271" s="6">
        <v>44764</v>
      </c>
      <c r="B5271">
        <f>IFERROR(VLOOKUP($A5271,原始数据_收盘!$A$4:$G$3460,2,0),"")</f>
        <v>2.075</v>
      </c>
      <c r="C5271">
        <f>IFERROR(VLOOKUP($A5271,原始数据_收盘!$A$4:$G$3460,3,0),"")</f>
        <v>2.555</v>
      </c>
      <c r="D5271">
        <f>IFERROR(VLOOKUP($A5271,原始数据_收盘!$A$4:$G$3460,4,0),"")</f>
        <v>2.08</v>
      </c>
      <c r="E5271">
        <f>IFERROR(VLOOKUP($A5271,原始数据_收盘!$A$4:$G$3460,5,0),"")</f>
        <v>2.5575</v>
      </c>
      <c r="F5271">
        <f>IFERROR(VLOOKUP($A5271,原始数据_收盘!$A$4:$G$3460,6,0),"")</f>
        <v>2.0775</v>
      </c>
      <c r="G5271">
        <f>IFERROR(VLOOKUP($A5271,原始数据_收盘!$A$4:$G$3460,7,0),"")</f>
        <v>2.5563</v>
      </c>
      <c r="H5271">
        <f>IFERROR(VLOOKUP($A5271,原始数据_利率互换_FR007_1年!$A$6:$C$4395,2,0),"")</f>
        <v>2.0743</v>
      </c>
      <c r="I5271">
        <f>IFERROR(VLOOKUP($A5271,原始数据_利率互换_FR007_1年!$A$6:$C$4395,3,0),"")</f>
        <v>2.5499</v>
      </c>
    </row>
    <row r="5272" spans="1:9">
      <c r="A5272" s="6">
        <v>44765</v>
      </c>
      <c r="B5272" t="str">
        <f>IFERROR(VLOOKUP($A5272,原始数据_收盘!$A$4:$G$3460,2,0),"")</f>
        <v/>
      </c>
      <c r="C5272" t="str">
        <f>IFERROR(VLOOKUP($A5272,原始数据_收盘!$A$4:$G$3460,3,0),"")</f>
        <v/>
      </c>
      <c r="D5272" t="str">
        <f>IFERROR(VLOOKUP($A5272,原始数据_收盘!$A$4:$G$3460,4,0),"")</f>
        <v/>
      </c>
      <c r="E5272" t="str">
        <f>IFERROR(VLOOKUP($A5272,原始数据_收盘!$A$4:$G$3460,5,0),"")</f>
        <v/>
      </c>
      <c r="F5272" t="str">
        <f>IFERROR(VLOOKUP($A5272,原始数据_收盘!$A$4:$G$3460,6,0),"")</f>
        <v/>
      </c>
      <c r="G5272" t="str">
        <f>IFERROR(VLOOKUP($A5272,原始数据_收盘!$A$4:$G$3460,7,0),"")</f>
        <v/>
      </c>
      <c r="H5272" t="str">
        <f>IFERROR(VLOOKUP($A5272,原始数据_利率互换_FR007_1年!$A$6:$C$4395,2,0),"")</f>
        <v/>
      </c>
      <c r="I5272" t="str">
        <f>IFERROR(VLOOKUP($A5272,原始数据_利率互换_FR007_1年!$A$6:$C$4395,3,0),"")</f>
        <v/>
      </c>
    </row>
    <row r="5273" spans="1:9">
      <c r="A5273" s="6">
        <v>44766</v>
      </c>
      <c r="B5273" t="str">
        <f>IFERROR(VLOOKUP($A5273,原始数据_收盘!$A$4:$G$3460,2,0),"")</f>
        <v/>
      </c>
      <c r="C5273" t="str">
        <f>IFERROR(VLOOKUP($A5273,原始数据_收盘!$A$4:$G$3460,3,0),"")</f>
        <v/>
      </c>
      <c r="D5273" t="str">
        <f>IFERROR(VLOOKUP($A5273,原始数据_收盘!$A$4:$G$3460,4,0),"")</f>
        <v/>
      </c>
      <c r="E5273" t="str">
        <f>IFERROR(VLOOKUP($A5273,原始数据_收盘!$A$4:$G$3460,5,0),"")</f>
        <v/>
      </c>
      <c r="F5273" t="str">
        <f>IFERROR(VLOOKUP($A5273,原始数据_收盘!$A$4:$G$3460,6,0),"")</f>
        <v/>
      </c>
      <c r="G5273" t="str">
        <f>IFERROR(VLOOKUP($A5273,原始数据_收盘!$A$4:$G$3460,7,0),"")</f>
        <v/>
      </c>
      <c r="H5273" t="str">
        <f>IFERROR(VLOOKUP($A5273,原始数据_利率互换_FR007_1年!$A$6:$C$4395,2,0),"")</f>
        <v/>
      </c>
      <c r="I5273" t="str">
        <f>IFERROR(VLOOKUP($A5273,原始数据_利率互换_FR007_1年!$A$6:$C$4395,3,0),"")</f>
        <v/>
      </c>
    </row>
    <row r="5274" spans="1:9">
      <c r="A5274" s="6">
        <v>44767</v>
      </c>
      <c r="B5274">
        <f>IFERROR(VLOOKUP($A5274,原始数据_收盘!$A$4:$G$3460,2,0),"")</f>
        <v>2.0743</v>
      </c>
      <c r="C5274">
        <f>IFERROR(VLOOKUP($A5274,原始数据_收盘!$A$4:$G$3460,3,0),"")</f>
        <v>2.5473</v>
      </c>
      <c r="D5274">
        <f>IFERROR(VLOOKUP($A5274,原始数据_收盘!$A$4:$G$3460,4,0),"")</f>
        <v>2.0768</v>
      </c>
      <c r="E5274">
        <f>IFERROR(VLOOKUP($A5274,原始数据_收盘!$A$4:$G$3460,5,0),"")</f>
        <v>2.5498</v>
      </c>
      <c r="F5274">
        <f>IFERROR(VLOOKUP($A5274,原始数据_收盘!$A$4:$G$3460,6,0),"")</f>
        <v>2.0755</v>
      </c>
      <c r="G5274">
        <f>IFERROR(VLOOKUP($A5274,原始数据_收盘!$A$4:$G$3460,7,0),"")</f>
        <v>2.5486</v>
      </c>
      <c r="H5274">
        <f>IFERROR(VLOOKUP($A5274,原始数据_利率互换_FR007_1年!$A$6:$C$4395,2,0),"")</f>
        <v>2.0713</v>
      </c>
      <c r="I5274">
        <f>IFERROR(VLOOKUP($A5274,原始数据_利率互换_FR007_1年!$A$6:$C$4395,3,0),"")</f>
        <v>2.5459</v>
      </c>
    </row>
    <row r="5275" spans="1:9">
      <c r="A5275" s="6">
        <v>44768</v>
      </c>
      <c r="B5275">
        <f>IFERROR(VLOOKUP($A5275,原始数据_收盘!$A$4:$G$3460,2,0),"")</f>
        <v>2.0525</v>
      </c>
      <c r="C5275">
        <f>IFERROR(VLOOKUP($A5275,原始数据_收盘!$A$4:$G$3460,3,0),"")</f>
        <v>2.5284</v>
      </c>
      <c r="D5275">
        <f>IFERROR(VLOOKUP($A5275,原始数据_收盘!$A$4:$G$3460,4,0),"")</f>
        <v>2.055</v>
      </c>
      <c r="E5275">
        <f>IFERROR(VLOOKUP($A5275,原始数据_收盘!$A$4:$G$3460,5,0),"")</f>
        <v>2.5307</v>
      </c>
      <c r="F5275">
        <f>IFERROR(VLOOKUP($A5275,原始数据_收盘!$A$4:$G$3460,6,0),"")</f>
        <v>2.0538</v>
      </c>
      <c r="G5275">
        <f>IFERROR(VLOOKUP($A5275,原始数据_收盘!$A$4:$G$3460,7,0),"")</f>
        <v>2.5296</v>
      </c>
      <c r="H5275">
        <f>IFERROR(VLOOKUP($A5275,原始数据_利率互换_FR007_1年!$A$6:$C$4395,2,0),"")</f>
        <v>2.0618</v>
      </c>
      <c r="I5275">
        <f>IFERROR(VLOOKUP($A5275,原始数据_利率互换_FR007_1年!$A$6:$C$4395,3,0),"")</f>
        <v>2.5338</v>
      </c>
    </row>
    <row r="5276" spans="1:9">
      <c r="A5276" s="6">
        <v>44769</v>
      </c>
      <c r="B5276">
        <f>IFERROR(VLOOKUP($A5276,原始数据_收盘!$A$4:$G$3460,2,0),"")</f>
        <v>2.0524</v>
      </c>
      <c r="C5276">
        <f>IFERROR(VLOOKUP($A5276,原始数据_收盘!$A$4:$G$3460,3,0),"")</f>
        <v>2.5325</v>
      </c>
      <c r="D5276">
        <f>IFERROR(VLOOKUP($A5276,原始数据_收盘!$A$4:$G$3460,4,0),"")</f>
        <v>2.055</v>
      </c>
      <c r="E5276">
        <f>IFERROR(VLOOKUP($A5276,原始数据_收盘!$A$4:$G$3460,5,0),"")</f>
        <v>2.5346</v>
      </c>
      <c r="F5276">
        <f>IFERROR(VLOOKUP($A5276,原始数据_收盘!$A$4:$G$3460,6,0),"")</f>
        <v>2.0537</v>
      </c>
      <c r="G5276">
        <f>IFERROR(VLOOKUP($A5276,原始数据_收盘!$A$4:$G$3460,7,0),"")</f>
        <v>2.5335</v>
      </c>
      <c r="H5276">
        <f>IFERROR(VLOOKUP($A5276,原始数据_利率互换_FR007_1年!$A$6:$C$4395,2,0),"")</f>
        <v>2.056</v>
      </c>
      <c r="I5276">
        <f>IFERROR(VLOOKUP($A5276,原始数据_利率互换_FR007_1年!$A$6:$C$4395,3,0),"")</f>
        <v>2.5308</v>
      </c>
    </row>
    <row r="5277" spans="1:9">
      <c r="A5277" s="6">
        <v>44770</v>
      </c>
      <c r="B5277">
        <f>IFERROR(VLOOKUP($A5277,原始数据_收盘!$A$4:$G$3460,2,0),"")</f>
        <v>2.0743</v>
      </c>
      <c r="C5277">
        <f>IFERROR(VLOOKUP($A5277,原始数据_收盘!$A$4:$G$3460,3,0),"")</f>
        <v>2.5625</v>
      </c>
      <c r="D5277">
        <f>IFERROR(VLOOKUP($A5277,原始数据_收盘!$A$4:$G$3460,4,0),"")</f>
        <v>2.0775</v>
      </c>
      <c r="E5277">
        <f>IFERROR(VLOOKUP($A5277,原始数据_收盘!$A$4:$G$3460,5,0),"")</f>
        <v>2.565</v>
      </c>
      <c r="F5277">
        <f>IFERROR(VLOOKUP($A5277,原始数据_收盘!$A$4:$G$3460,6,0),"")</f>
        <v>2.0759</v>
      </c>
      <c r="G5277">
        <f>IFERROR(VLOOKUP($A5277,原始数据_收盘!$A$4:$G$3460,7,0),"")</f>
        <v>2.5638</v>
      </c>
      <c r="H5277">
        <f>IFERROR(VLOOKUP($A5277,原始数据_利率互换_FR007_1年!$A$6:$C$4395,2,0),"")</f>
        <v>2.0695</v>
      </c>
      <c r="I5277">
        <f>IFERROR(VLOOKUP($A5277,原始数据_利率互换_FR007_1年!$A$6:$C$4395,3,0),"")</f>
        <v>2.5538</v>
      </c>
    </row>
    <row r="5278" spans="1:9">
      <c r="A5278" s="6">
        <v>44771</v>
      </c>
      <c r="B5278">
        <f>IFERROR(VLOOKUP($A5278,原始数据_收盘!$A$4:$G$3460,2,0),"")</f>
        <v>2.03</v>
      </c>
      <c r="C5278">
        <f>IFERROR(VLOOKUP($A5278,原始数据_收盘!$A$4:$G$3460,3,0),"")</f>
        <v>2.52</v>
      </c>
      <c r="D5278">
        <f>IFERROR(VLOOKUP($A5278,原始数据_收盘!$A$4:$G$3460,4,0),"")</f>
        <v>2.0325</v>
      </c>
      <c r="E5278">
        <f>IFERROR(VLOOKUP($A5278,原始数据_收盘!$A$4:$G$3460,5,0),"")</f>
        <v>2.5225</v>
      </c>
      <c r="F5278">
        <f>IFERROR(VLOOKUP($A5278,原始数据_收盘!$A$4:$G$3460,6,0),"")</f>
        <v>2.0313</v>
      </c>
      <c r="G5278">
        <f>IFERROR(VLOOKUP($A5278,原始数据_收盘!$A$4:$G$3460,7,0),"")</f>
        <v>2.5213</v>
      </c>
      <c r="H5278">
        <f>IFERROR(VLOOKUP($A5278,原始数据_利率互换_FR007_1年!$A$6:$C$4395,2,0),"")</f>
        <v>2.0388</v>
      </c>
      <c r="I5278">
        <f>IFERROR(VLOOKUP($A5278,原始数据_利率互换_FR007_1年!$A$6:$C$4395,3,0),"")</f>
        <v>2.5253</v>
      </c>
    </row>
    <row r="5279" spans="1:9">
      <c r="A5279" s="6">
        <v>44772</v>
      </c>
      <c r="B5279" t="str">
        <f>IFERROR(VLOOKUP($A5279,原始数据_收盘!$A$4:$G$3460,2,0),"")</f>
        <v/>
      </c>
      <c r="C5279" t="str">
        <f>IFERROR(VLOOKUP($A5279,原始数据_收盘!$A$4:$G$3460,3,0),"")</f>
        <v/>
      </c>
      <c r="D5279" t="str">
        <f>IFERROR(VLOOKUP($A5279,原始数据_收盘!$A$4:$G$3460,4,0),"")</f>
        <v/>
      </c>
      <c r="E5279" t="str">
        <f>IFERROR(VLOOKUP($A5279,原始数据_收盘!$A$4:$G$3460,5,0),"")</f>
        <v/>
      </c>
      <c r="F5279" t="str">
        <f>IFERROR(VLOOKUP($A5279,原始数据_收盘!$A$4:$G$3460,6,0),"")</f>
        <v/>
      </c>
      <c r="G5279" t="str">
        <f>IFERROR(VLOOKUP($A5279,原始数据_收盘!$A$4:$G$3460,7,0),"")</f>
        <v/>
      </c>
      <c r="H5279" t="str">
        <f>IFERROR(VLOOKUP($A5279,原始数据_利率互换_FR007_1年!$A$6:$C$4395,2,0),"")</f>
        <v/>
      </c>
      <c r="I5279" t="str">
        <f>IFERROR(VLOOKUP($A5279,原始数据_利率互换_FR007_1年!$A$6:$C$4395,3,0),"")</f>
        <v/>
      </c>
    </row>
    <row r="5280" spans="1:9">
      <c r="A5280" s="6">
        <v>44773</v>
      </c>
      <c r="B5280" t="str">
        <f>IFERROR(VLOOKUP($A5280,原始数据_收盘!$A$4:$G$3460,2,0),"")</f>
        <v/>
      </c>
      <c r="C5280" t="str">
        <f>IFERROR(VLOOKUP($A5280,原始数据_收盘!$A$4:$G$3460,3,0),"")</f>
        <v/>
      </c>
      <c r="D5280" t="str">
        <f>IFERROR(VLOOKUP($A5280,原始数据_收盘!$A$4:$G$3460,4,0),"")</f>
        <v/>
      </c>
      <c r="E5280" t="str">
        <f>IFERROR(VLOOKUP($A5280,原始数据_收盘!$A$4:$G$3460,5,0),"")</f>
        <v/>
      </c>
      <c r="F5280" t="str">
        <f>IFERROR(VLOOKUP($A5280,原始数据_收盘!$A$4:$G$3460,6,0),"")</f>
        <v/>
      </c>
      <c r="G5280" t="str">
        <f>IFERROR(VLOOKUP($A5280,原始数据_收盘!$A$4:$G$3460,7,0),"")</f>
        <v/>
      </c>
      <c r="H5280" t="str">
        <f>IFERROR(VLOOKUP($A5280,原始数据_利率互换_FR007_1年!$A$6:$C$4395,2,0),"")</f>
        <v/>
      </c>
      <c r="I5280" t="str">
        <f>IFERROR(VLOOKUP($A5280,原始数据_利率互换_FR007_1年!$A$6:$C$4395,3,0),"")</f>
        <v/>
      </c>
    </row>
    <row r="5281" spans="1:9">
      <c r="A5281" s="6">
        <v>44774</v>
      </c>
      <c r="B5281">
        <f>IFERROR(VLOOKUP($A5281,原始数据_收盘!$A$4:$G$3460,2,0),"")</f>
        <v>2.0125</v>
      </c>
      <c r="C5281">
        <f>IFERROR(VLOOKUP($A5281,原始数据_收盘!$A$4:$G$3460,3,0),"")</f>
        <v>2.505</v>
      </c>
      <c r="D5281">
        <f>IFERROR(VLOOKUP($A5281,原始数据_收盘!$A$4:$G$3460,4,0),"")</f>
        <v>2.015</v>
      </c>
      <c r="E5281">
        <f>IFERROR(VLOOKUP($A5281,原始数据_收盘!$A$4:$G$3460,5,0),"")</f>
        <v>2.5075</v>
      </c>
      <c r="F5281">
        <f>IFERROR(VLOOKUP($A5281,原始数据_收盘!$A$4:$G$3460,6,0),"")</f>
        <v>2.0138</v>
      </c>
      <c r="G5281">
        <f>IFERROR(VLOOKUP($A5281,原始数据_收盘!$A$4:$G$3460,7,0),"")</f>
        <v>2.5063</v>
      </c>
      <c r="H5281">
        <f>IFERROR(VLOOKUP($A5281,原始数据_利率互换_FR007_1年!$A$6:$C$4395,2,0),"")</f>
        <v>2.0158</v>
      </c>
      <c r="I5281">
        <f>IFERROR(VLOOKUP($A5281,原始数据_利率互换_FR007_1年!$A$6:$C$4395,3,0),"")</f>
        <v>2.5043</v>
      </c>
    </row>
    <row r="5282" spans="1:9">
      <c r="A5282" s="6">
        <v>44775</v>
      </c>
      <c r="B5282">
        <f>IFERROR(VLOOKUP($A5282,原始数据_收盘!$A$4:$G$3460,2,0),"")</f>
        <v>1.9928</v>
      </c>
      <c r="C5282">
        <f>IFERROR(VLOOKUP($A5282,原始数据_收盘!$A$4:$G$3460,3,0),"")</f>
        <v>2.4923</v>
      </c>
      <c r="D5282">
        <f>IFERROR(VLOOKUP($A5282,原始数据_收盘!$A$4:$G$3460,4,0),"")</f>
        <v>1.9969</v>
      </c>
      <c r="E5282">
        <f>IFERROR(VLOOKUP($A5282,原始数据_收盘!$A$4:$G$3460,5,0),"")</f>
        <v>2.4944</v>
      </c>
      <c r="F5282">
        <f>IFERROR(VLOOKUP($A5282,原始数据_收盘!$A$4:$G$3460,6,0),"")</f>
        <v>1.9949</v>
      </c>
      <c r="G5282">
        <f>IFERROR(VLOOKUP($A5282,原始数据_收盘!$A$4:$G$3460,7,0),"")</f>
        <v>2.4934</v>
      </c>
      <c r="H5282">
        <f>IFERROR(VLOOKUP($A5282,原始数据_利率互换_FR007_1年!$A$6:$C$4395,2,0),"")</f>
        <v>1.9994</v>
      </c>
      <c r="I5282">
        <f>IFERROR(VLOOKUP($A5282,原始数据_利率互换_FR007_1年!$A$6:$C$4395,3,0),"")</f>
        <v>2.4913</v>
      </c>
    </row>
    <row r="5283" spans="1:9">
      <c r="A5283" s="6">
        <v>44776</v>
      </c>
      <c r="B5283">
        <f>IFERROR(VLOOKUP($A5283,原始数据_收盘!$A$4:$G$3460,2,0),"")</f>
        <v>1.925</v>
      </c>
      <c r="C5283">
        <f>IFERROR(VLOOKUP($A5283,原始数据_收盘!$A$4:$G$3460,3,0),"")</f>
        <v>2.45</v>
      </c>
      <c r="D5283">
        <f>IFERROR(VLOOKUP($A5283,原始数据_收盘!$A$4:$G$3460,4,0),"")</f>
        <v>1.93</v>
      </c>
      <c r="E5283">
        <f>IFERROR(VLOOKUP($A5283,原始数据_收盘!$A$4:$G$3460,5,0),"")</f>
        <v>2.4529</v>
      </c>
      <c r="F5283">
        <f>IFERROR(VLOOKUP($A5283,原始数据_收盘!$A$4:$G$3460,6,0),"")</f>
        <v>1.9275</v>
      </c>
      <c r="G5283">
        <f>IFERROR(VLOOKUP($A5283,原始数据_收盘!$A$4:$G$3460,7,0),"")</f>
        <v>2.4515</v>
      </c>
      <c r="H5283">
        <f>IFERROR(VLOOKUP($A5283,原始数据_利率互换_FR007_1年!$A$6:$C$4395,2,0),"")</f>
        <v>1.9672</v>
      </c>
      <c r="I5283">
        <f>IFERROR(VLOOKUP($A5283,原始数据_利率互换_FR007_1年!$A$6:$C$4395,3,0),"")</f>
        <v>2.4784</v>
      </c>
    </row>
    <row r="5284" spans="1:9">
      <c r="A5284" s="6">
        <v>44777</v>
      </c>
      <c r="B5284">
        <f>IFERROR(VLOOKUP($A5284,原始数据_收盘!$A$4:$G$3460,2,0),"")</f>
        <v>1.92</v>
      </c>
      <c r="C5284">
        <f>IFERROR(VLOOKUP($A5284,原始数据_收盘!$A$4:$G$3460,3,0),"")</f>
        <v>2.4422</v>
      </c>
      <c r="D5284">
        <f>IFERROR(VLOOKUP($A5284,原始数据_收盘!$A$4:$G$3460,4,0),"")</f>
        <v>1.9209</v>
      </c>
      <c r="E5284">
        <f>IFERROR(VLOOKUP($A5284,原始数据_收盘!$A$4:$G$3460,5,0),"")</f>
        <v>2.445</v>
      </c>
      <c r="F5284">
        <f>IFERROR(VLOOKUP($A5284,原始数据_收盘!$A$4:$G$3460,6,0),"")</f>
        <v>1.9204</v>
      </c>
      <c r="G5284">
        <f>IFERROR(VLOOKUP($A5284,原始数据_收盘!$A$4:$G$3460,7,0),"")</f>
        <v>2.4436</v>
      </c>
      <c r="H5284">
        <f>IFERROR(VLOOKUP($A5284,原始数据_利率互换_FR007_1年!$A$6:$C$4395,2,0),"")</f>
        <v>1.9063</v>
      </c>
      <c r="I5284">
        <f>IFERROR(VLOOKUP($A5284,原始数据_利率互换_FR007_1年!$A$6:$C$4395,3,0),"")</f>
        <v>2.4374</v>
      </c>
    </row>
    <row r="5285" spans="1:9">
      <c r="A5285" s="6">
        <v>44778</v>
      </c>
      <c r="B5285">
        <f>IFERROR(VLOOKUP($A5285,原始数据_收盘!$A$4:$G$3460,2,0),"")</f>
        <v>1.9375</v>
      </c>
      <c r="C5285">
        <f>IFERROR(VLOOKUP($A5285,原始数据_收盘!$A$4:$G$3460,3,0),"")</f>
        <v>2.4706</v>
      </c>
      <c r="D5285">
        <f>IFERROR(VLOOKUP($A5285,原始数据_收盘!$A$4:$G$3460,4,0),"")</f>
        <v>1.9402</v>
      </c>
      <c r="E5285">
        <f>IFERROR(VLOOKUP($A5285,原始数据_收盘!$A$4:$G$3460,5,0),"")</f>
        <v>2.4727</v>
      </c>
      <c r="F5285">
        <f>IFERROR(VLOOKUP($A5285,原始数据_收盘!$A$4:$G$3460,6,0),"")</f>
        <v>1.9388</v>
      </c>
      <c r="G5285">
        <f>IFERROR(VLOOKUP($A5285,原始数据_收盘!$A$4:$G$3460,7,0),"")</f>
        <v>2.4716</v>
      </c>
      <c r="H5285">
        <f>IFERROR(VLOOKUP($A5285,原始数据_利率互换_FR007_1年!$A$6:$C$4395,2,0),"")</f>
        <v>1.9325</v>
      </c>
      <c r="I5285">
        <f>IFERROR(VLOOKUP($A5285,原始数据_利率互换_FR007_1年!$A$6:$C$4395,3,0),"")</f>
        <v>2.4607</v>
      </c>
    </row>
    <row r="5286" spans="1:9">
      <c r="A5286" s="6">
        <v>44779</v>
      </c>
      <c r="B5286" t="str">
        <f>IFERROR(VLOOKUP($A5286,原始数据_收盘!$A$4:$G$3460,2,0),"")</f>
        <v/>
      </c>
      <c r="C5286" t="str">
        <f>IFERROR(VLOOKUP($A5286,原始数据_收盘!$A$4:$G$3460,3,0),"")</f>
        <v/>
      </c>
      <c r="D5286" t="str">
        <f>IFERROR(VLOOKUP($A5286,原始数据_收盘!$A$4:$G$3460,4,0),"")</f>
        <v/>
      </c>
      <c r="E5286" t="str">
        <f>IFERROR(VLOOKUP($A5286,原始数据_收盘!$A$4:$G$3460,5,0),"")</f>
        <v/>
      </c>
      <c r="F5286" t="str">
        <f>IFERROR(VLOOKUP($A5286,原始数据_收盘!$A$4:$G$3460,6,0),"")</f>
        <v/>
      </c>
      <c r="G5286" t="str">
        <f>IFERROR(VLOOKUP($A5286,原始数据_收盘!$A$4:$G$3460,7,0),"")</f>
        <v/>
      </c>
      <c r="H5286" t="str">
        <f>IFERROR(VLOOKUP($A5286,原始数据_利率互换_FR007_1年!$A$6:$C$4395,2,0),"")</f>
        <v/>
      </c>
      <c r="I5286" t="str">
        <f>IFERROR(VLOOKUP($A5286,原始数据_利率互换_FR007_1年!$A$6:$C$4395,3,0),"")</f>
        <v/>
      </c>
    </row>
    <row r="5287" spans="1:9">
      <c r="A5287" s="6">
        <v>44780</v>
      </c>
      <c r="B5287" t="str">
        <f>IFERROR(VLOOKUP($A5287,原始数据_收盘!$A$4:$G$3460,2,0),"")</f>
        <v/>
      </c>
      <c r="C5287" t="str">
        <f>IFERROR(VLOOKUP($A5287,原始数据_收盘!$A$4:$G$3460,3,0),"")</f>
        <v/>
      </c>
      <c r="D5287" t="str">
        <f>IFERROR(VLOOKUP($A5287,原始数据_收盘!$A$4:$G$3460,4,0),"")</f>
        <v/>
      </c>
      <c r="E5287" t="str">
        <f>IFERROR(VLOOKUP($A5287,原始数据_收盘!$A$4:$G$3460,5,0),"")</f>
        <v/>
      </c>
      <c r="F5287" t="str">
        <f>IFERROR(VLOOKUP($A5287,原始数据_收盘!$A$4:$G$3460,6,0),"")</f>
        <v/>
      </c>
      <c r="G5287" t="str">
        <f>IFERROR(VLOOKUP($A5287,原始数据_收盘!$A$4:$G$3460,7,0),"")</f>
        <v/>
      </c>
      <c r="H5287" t="str">
        <f>IFERROR(VLOOKUP($A5287,原始数据_利率互换_FR007_1年!$A$6:$C$4395,2,0),"")</f>
        <v/>
      </c>
      <c r="I5287" t="str">
        <f>IFERROR(VLOOKUP($A5287,原始数据_利率互换_FR007_1年!$A$6:$C$4395,3,0),"")</f>
        <v/>
      </c>
    </row>
    <row r="5288" spans="1:9">
      <c r="A5288" s="6">
        <v>44781</v>
      </c>
      <c r="B5288">
        <f>IFERROR(VLOOKUP($A5288,原始数据_收盘!$A$4:$G$3460,2,0),"")</f>
        <v>1.945</v>
      </c>
      <c r="C5288">
        <f>IFERROR(VLOOKUP($A5288,原始数据_收盘!$A$4:$G$3460,3,0),"")</f>
        <v>2.4825</v>
      </c>
      <c r="D5288">
        <f>IFERROR(VLOOKUP($A5288,原始数据_收盘!$A$4:$G$3460,4,0),"")</f>
        <v>1.95</v>
      </c>
      <c r="E5288">
        <f>IFERROR(VLOOKUP($A5288,原始数据_收盘!$A$4:$G$3460,5,0),"")</f>
        <v>2.485</v>
      </c>
      <c r="F5288">
        <f>IFERROR(VLOOKUP($A5288,原始数据_收盘!$A$4:$G$3460,6,0),"")</f>
        <v>1.9475</v>
      </c>
      <c r="G5288">
        <f>IFERROR(VLOOKUP($A5288,原始数据_收盘!$A$4:$G$3460,7,0),"")</f>
        <v>2.4838</v>
      </c>
      <c r="H5288">
        <f>IFERROR(VLOOKUP($A5288,原始数据_利率互换_FR007_1年!$A$6:$C$4395,2,0),"")</f>
        <v>1.9384</v>
      </c>
      <c r="I5288">
        <f>IFERROR(VLOOKUP($A5288,原始数据_利率互换_FR007_1年!$A$6:$C$4395,3,0),"")</f>
        <v>2.4742</v>
      </c>
    </row>
    <row r="5289" spans="1:9">
      <c r="A5289" s="6">
        <v>44782</v>
      </c>
      <c r="B5289">
        <f>IFERROR(VLOOKUP($A5289,原始数据_收盘!$A$4:$G$3460,2,0),"")</f>
        <v>1.9761</v>
      </c>
      <c r="C5289">
        <f>IFERROR(VLOOKUP($A5289,原始数据_收盘!$A$4:$G$3460,3,0),"")</f>
        <v>2.4975</v>
      </c>
      <c r="D5289">
        <f>IFERROR(VLOOKUP($A5289,原始数据_收盘!$A$4:$G$3460,4,0),"")</f>
        <v>1.9789</v>
      </c>
      <c r="E5289">
        <f>IFERROR(VLOOKUP($A5289,原始数据_收盘!$A$4:$G$3460,5,0),"")</f>
        <v>2.5</v>
      </c>
      <c r="F5289">
        <f>IFERROR(VLOOKUP($A5289,原始数据_收盘!$A$4:$G$3460,6,0),"")</f>
        <v>1.9775</v>
      </c>
      <c r="G5289">
        <f>IFERROR(VLOOKUP($A5289,原始数据_收盘!$A$4:$G$3460,7,0),"")</f>
        <v>2.4988</v>
      </c>
      <c r="H5289">
        <f>IFERROR(VLOOKUP($A5289,原始数据_利率互换_FR007_1年!$A$6:$C$4395,2,0),"")</f>
        <v>1.9788</v>
      </c>
      <c r="I5289">
        <f>IFERROR(VLOOKUP($A5289,原始数据_利率互换_FR007_1年!$A$6:$C$4395,3,0),"")</f>
        <v>2.5031</v>
      </c>
    </row>
    <row r="5290" spans="1:9">
      <c r="A5290" s="6">
        <v>44783</v>
      </c>
      <c r="B5290">
        <f>IFERROR(VLOOKUP($A5290,原始数据_收盘!$A$4:$G$3460,2,0),"")</f>
        <v>2.015</v>
      </c>
      <c r="C5290">
        <f>IFERROR(VLOOKUP($A5290,原始数据_收盘!$A$4:$G$3460,3,0),"")</f>
        <v>2.524</v>
      </c>
      <c r="D5290">
        <f>IFERROR(VLOOKUP($A5290,原始数据_收盘!$A$4:$G$3460,4,0),"")</f>
        <v>2.02</v>
      </c>
      <c r="E5290">
        <f>IFERROR(VLOOKUP($A5290,原始数据_收盘!$A$4:$G$3460,5,0),"")</f>
        <v>2.5258</v>
      </c>
      <c r="F5290">
        <f>IFERROR(VLOOKUP($A5290,原始数据_收盘!$A$4:$G$3460,6,0),"")</f>
        <v>2.0175</v>
      </c>
      <c r="G5290">
        <f>IFERROR(VLOOKUP($A5290,原始数据_收盘!$A$4:$G$3460,7,0),"")</f>
        <v>2.5249</v>
      </c>
      <c r="H5290">
        <f>IFERROR(VLOOKUP($A5290,原始数据_利率互换_FR007_1年!$A$6:$C$4395,2,0),"")</f>
        <v>1.9872</v>
      </c>
      <c r="I5290">
        <f>IFERROR(VLOOKUP($A5290,原始数据_利率互换_FR007_1年!$A$6:$C$4395,3,0),"")</f>
        <v>2.4985</v>
      </c>
    </row>
    <row r="5291" spans="1:9">
      <c r="A5291" s="6">
        <v>44784</v>
      </c>
      <c r="B5291">
        <f>IFERROR(VLOOKUP($A5291,原始数据_收盘!$A$4:$G$3460,2,0),"")</f>
        <v>2.01</v>
      </c>
      <c r="C5291">
        <f>IFERROR(VLOOKUP($A5291,原始数据_收盘!$A$4:$G$3460,3,0),"")</f>
        <v>2.5149</v>
      </c>
      <c r="D5291">
        <f>IFERROR(VLOOKUP($A5291,原始数据_收盘!$A$4:$G$3460,4,0),"")</f>
        <v>2.0125</v>
      </c>
      <c r="E5291">
        <f>IFERROR(VLOOKUP($A5291,原始数据_收盘!$A$4:$G$3460,5,0),"")</f>
        <v>2.5175</v>
      </c>
      <c r="F5291">
        <f>IFERROR(VLOOKUP($A5291,原始数据_收盘!$A$4:$G$3460,6,0),"")</f>
        <v>2.0113</v>
      </c>
      <c r="G5291">
        <f>IFERROR(VLOOKUP($A5291,原始数据_收盘!$A$4:$G$3460,7,0),"")</f>
        <v>2.5162</v>
      </c>
      <c r="H5291">
        <f>IFERROR(VLOOKUP($A5291,原始数据_利率互换_FR007_1年!$A$6:$C$4395,2,0),"")</f>
        <v>2.0097</v>
      </c>
      <c r="I5291">
        <f>IFERROR(VLOOKUP($A5291,原始数据_利率互换_FR007_1年!$A$6:$C$4395,3,0),"")</f>
        <v>2.515</v>
      </c>
    </row>
    <row r="5292" spans="1:9">
      <c r="A5292" s="6">
        <v>44785</v>
      </c>
      <c r="B5292">
        <f>IFERROR(VLOOKUP($A5292,原始数据_收盘!$A$4:$G$3460,2,0),"")</f>
        <v>2.02</v>
      </c>
      <c r="C5292">
        <f>IFERROR(VLOOKUP($A5292,原始数据_收盘!$A$4:$G$3460,3,0),"")</f>
        <v>2.52</v>
      </c>
      <c r="D5292">
        <f>IFERROR(VLOOKUP($A5292,原始数据_收盘!$A$4:$G$3460,4,0),"")</f>
        <v>2.0225</v>
      </c>
      <c r="E5292">
        <f>IFERROR(VLOOKUP($A5292,原始数据_收盘!$A$4:$G$3460,5,0),"")</f>
        <v>2.5225</v>
      </c>
      <c r="F5292">
        <f>IFERROR(VLOOKUP($A5292,原始数据_收盘!$A$4:$G$3460,6,0),"")</f>
        <v>2.0213</v>
      </c>
      <c r="G5292">
        <f>IFERROR(VLOOKUP($A5292,原始数据_收盘!$A$4:$G$3460,7,0),"")</f>
        <v>2.5213</v>
      </c>
      <c r="H5292">
        <f>IFERROR(VLOOKUP($A5292,原始数据_利率互换_FR007_1年!$A$6:$C$4395,2,0),"")</f>
        <v>2.0115</v>
      </c>
      <c r="I5292">
        <f>IFERROR(VLOOKUP($A5292,原始数据_利率互换_FR007_1年!$A$6:$C$4395,3,0),"")</f>
        <v>2.5156</v>
      </c>
    </row>
    <row r="5293" spans="1:9">
      <c r="A5293" s="6">
        <v>44786</v>
      </c>
      <c r="B5293" t="str">
        <f>IFERROR(VLOOKUP($A5293,原始数据_收盘!$A$4:$G$3460,2,0),"")</f>
        <v/>
      </c>
      <c r="C5293" t="str">
        <f>IFERROR(VLOOKUP($A5293,原始数据_收盘!$A$4:$G$3460,3,0),"")</f>
        <v/>
      </c>
      <c r="D5293" t="str">
        <f>IFERROR(VLOOKUP($A5293,原始数据_收盘!$A$4:$G$3460,4,0),"")</f>
        <v/>
      </c>
      <c r="E5293" t="str">
        <f>IFERROR(VLOOKUP($A5293,原始数据_收盘!$A$4:$G$3460,5,0),"")</f>
        <v/>
      </c>
      <c r="F5293" t="str">
        <f>IFERROR(VLOOKUP($A5293,原始数据_收盘!$A$4:$G$3460,6,0),"")</f>
        <v/>
      </c>
      <c r="G5293" t="str">
        <f>IFERROR(VLOOKUP($A5293,原始数据_收盘!$A$4:$G$3460,7,0),"")</f>
        <v/>
      </c>
      <c r="H5293" t="str">
        <f>IFERROR(VLOOKUP($A5293,原始数据_利率互换_FR007_1年!$A$6:$C$4395,2,0),"")</f>
        <v/>
      </c>
      <c r="I5293" t="str">
        <f>IFERROR(VLOOKUP($A5293,原始数据_利率互换_FR007_1年!$A$6:$C$4395,3,0),"")</f>
        <v/>
      </c>
    </row>
    <row r="5294" spans="1:9">
      <c r="A5294" s="6">
        <v>44787</v>
      </c>
      <c r="B5294" t="str">
        <f>IFERROR(VLOOKUP($A5294,原始数据_收盘!$A$4:$G$3460,2,0),"")</f>
        <v/>
      </c>
      <c r="C5294" t="str">
        <f>IFERROR(VLOOKUP($A5294,原始数据_收盘!$A$4:$G$3460,3,0),"")</f>
        <v/>
      </c>
      <c r="D5294" t="str">
        <f>IFERROR(VLOOKUP($A5294,原始数据_收盘!$A$4:$G$3460,4,0),"")</f>
        <v/>
      </c>
      <c r="E5294" t="str">
        <f>IFERROR(VLOOKUP($A5294,原始数据_收盘!$A$4:$G$3460,5,0),"")</f>
        <v/>
      </c>
      <c r="F5294" t="str">
        <f>IFERROR(VLOOKUP($A5294,原始数据_收盘!$A$4:$G$3460,6,0),"")</f>
        <v/>
      </c>
      <c r="G5294" t="str">
        <f>IFERROR(VLOOKUP($A5294,原始数据_收盘!$A$4:$G$3460,7,0),"")</f>
        <v/>
      </c>
      <c r="H5294" t="str">
        <f>IFERROR(VLOOKUP($A5294,原始数据_利率互换_FR007_1年!$A$6:$C$4395,2,0),"")</f>
        <v/>
      </c>
      <c r="I5294" t="str">
        <f>IFERROR(VLOOKUP($A5294,原始数据_利率互换_FR007_1年!$A$6:$C$4395,3,0),"")</f>
        <v/>
      </c>
    </row>
    <row r="5295" spans="1:9">
      <c r="A5295" s="6">
        <v>44788</v>
      </c>
      <c r="B5295">
        <f>IFERROR(VLOOKUP($A5295,原始数据_收盘!$A$4:$G$3460,2,0),"")</f>
        <v>1.8975</v>
      </c>
      <c r="C5295">
        <f>IFERROR(VLOOKUP($A5295,原始数据_收盘!$A$4:$G$3460,3,0),"")</f>
        <v>2.405</v>
      </c>
      <c r="D5295">
        <f>IFERROR(VLOOKUP($A5295,原始数据_收盘!$A$4:$G$3460,4,0),"")</f>
        <v>1.899</v>
      </c>
      <c r="E5295">
        <f>IFERROR(VLOOKUP($A5295,原始数据_收盘!$A$4:$G$3460,5,0),"")</f>
        <v>2.4075</v>
      </c>
      <c r="F5295">
        <f>IFERROR(VLOOKUP($A5295,原始数据_收盘!$A$4:$G$3460,6,0),"")</f>
        <v>1.8982</v>
      </c>
      <c r="G5295">
        <f>IFERROR(VLOOKUP($A5295,原始数据_收盘!$A$4:$G$3460,7,0),"")</f>
        <v>2.4063</v>
      </c>
      <c r="H5295">
        <f>IFERROR(VLOOKUP($A5295,原始数据_利率互换_FR007_1年!$A$6:$C$4395,2,0),"")</f>
        <v>1.9164</v>
      </c>
      <c r="I5295">
        <f>IFERROR(VLOOKUP($A5295,原始数据_利率互换_FR007_1年!$A$6:$C$4395,3,0),"")</f>
        <v>2.418</v>
      </c>
    </row>
    <row r="5296" spans="1:9">
      <c r="A5296" s="6">
        <v>44789</v>
      </c>
      <c r="B5296">
        <f>IFERROR(VLOOKUP($A5296,原始数据_收盘!$A$4:$G$3460,2,0),"")</f>
        <v>1.8937</v>
      </c>
      <c r="C5296">
        <f>IFERROR(VLOOKUP($A5296,原始数据_收盘!$A$4:$G$3460,3,0),"")</f>
        <v>2.4025</v>
      </c>
      <c r="D5296">
        <f>IFERROR(VLOOKUP($A5296,原始数据_收盘!$A$4:$G$3460,4,0),"")</f>
        <v>1.8957</v>
      </c>
      <c r="E5296">
        <f>IFERROR(VLOOKUP($A5296,原始数据_收盘!$A$4:$G$3460,5,0),"")</f>
        <v>2.405</v>
      </c>
      <c r="F5296">
        <f>IFERROR(VLOOKUP($A5296,原始数据_收盘!$A$4:$G$3460,6,0),"")</f>
        <v>1.8947</v>
      </c>
      <c r="G5296">
        <f>IFERROR(VLOOKUP($A5296,原始数据_收盘!$A$4:$G$3460,7,0),"")</f>
        <v>2.4038</v>
      </c>
      <c r="H5296">
        <f>IFERROR(VLOOKUP($A5296,原始数据_利率互换_FR007_1年!$A$6:$C$4395,2,0),"")</f>
        <v>1.8897</v>
      </c>
      <c r="I5296">
        <f>IFERROR(VLOOKUP($A5296,原始数据_利率互换_FR007_1年!$A$6:$C$4395,3,0),"")</f>
        <v>2.393</v>
      </c>
    </row>
    <row r="5297" spans="1:9">
      <c r="A5297" s="6">
        <v>44790</v>
      </c>
      <c r="B5297">
        <f>IFERROR(VLOOKUP($A5297,原始数据_收盘!$A$4:$G$3460,2,0),"")</f>
        <v>1.8972</v>
      </c>
      <c r="C5297">
        <f>IFERROR(VLOOKUP($A5297,原始数据_收盘!$A$4:$G$3460,3,0),"")</f>
        <v>2.4048</v>
      </c>
      <c r="D5297">
        <f>IFERROR(VLOOKUP($A5297,原始数据_收盘!$A$4:$G$3460,4,0),"")</f>
        <v>1.8991</v>
      </c>
      <c r="E5297">
        <f>IFERROR(VLOOKUP($A5297,原始数据_收盘!$A$4:$G$3460,5,0),"")</f>
        <v>2.4092</v>
      </c>
      <c r="F5297">
        <f>IFERROR(VLOOKUP($A5297,原始数据_收盘!$A$4:$G$3460,6,0),"")</f>
        <v>1.8981</v>
      </c>
      <c r="G5297">
        <f>IFERROR(VLOOKUP($A5297,原始数据_收盘!$A$4:$G$3460,7,0),"")</f>
        <v>2.407</v>
      </c>
      <c r="H5297">
        <f>IFERROR(VLOOKUP($A5297,原始数据_利率互换_FR007_1年!$A$6:$C$4395,2,0),"")</f>
        <v>1.9046</v>
      </c>
      <c r="I5297">
        <f>IFERROR(VLOOKUP($A5297,原始数据_利率互换_FR007_1年!$A$6:$C$4395,3,0),"")</f>
        <v>2.413</v>
      </c>
    </row>
    <row r="5298" spans="1:9">
      <c r="A5298" s="6">
        <v>44791</v>
      </c>
      <c r="B5298">
        <f>IFERROR(VLOOKUP($A5298,原始数据_收盘!$A$4:$G$3460,2,0),"")</f>
        <v>1.8779</v>
      </c>
      <c r="C5298">
        <f>IFERROR(VLOOKUP($A5298,原始数据_收盘!$A$4:$G$3460,3,0),"")</f>
        <v>2.39</v>
      </c>
      <c r="D5298">
        <f>IFERROR(VLOOKUP($A5298,原始数据_收盘!$A$4:$G$3460,4,0),"")</f>
        <v>1.8808</v>
      </c>
      <c r="E5298">
        <f>IFERROR(VLOOKUP($A5298,原始数据_收盘!$A$4:$G$3460,5,0),"")</f>
        <v>2.3925</v>
      </c>
      <c r="F5298">
        <f>IFERROR(VLOOKUP($A5298,原始数据_收盘!$A$4:$G$3460,6,0),"")</f>
        <v>1.8794</v>
      </c>
      <c r="G5298">
        <f>IFERROR(VLOOKUP($A5298,原始数据_收盘!$A$4:$G$3460,7,0),"")</f>
        <v>2.3913</v>
      </c>
      <c r="H5298">
        <f>IFERROR(VLOOKUP($A5298,原始数据_利率互换_FR007_1年!$A$6:$C$4395,2,0),"")</f>
        <v>1.8854</v>
      </c>
      <c r="I5298">
        <f>IFERROR(VLOOKUP($A5298,原始数据_利率互换_FR007_1年!$A$6:$C$4395,3,0),"")</f>
        <v>2.3957</v>
      </c>
    </row>
    <row r="5299" spans="1:9">
      <c r="A5299" s="6">
        <v>44792</v>
      </c>
      <c r="B5299">
        <f>IFERROR(VLOOKUP($A5299,原始数据_收盘!$A$4:$G$3460,2,0),"")</f>
        <v>1.885</v>
      </c>
      <c r="C5299">
        <f>IFERROR(VLOOKUP($A5299,原始数据_收盘!$A$4:$G$3460,3,0),"")</f>
        <v>2.395</v>
      </c>
      <c r="D5299">
        <f>IFERROR(VLOOKUP($A5299,原始数据_收盘!$A$4:$G$3460,4,0),"")</f>
        <v>1.89</v>
      </c>
      <c r="E5299">
        <f>IFERROR(VLOOKUP($A5299,原始数据_收盘!$A$4:$G$3460,5,0),"")</f>
        <v>2.3975</v>
      </c>
      <c r="F5299">
        <f>IFERROR(VLOOKUP($A5299,原始数据_收盘!$A$4:$G$3460,6,0),"")</f>
        <v>1.8875</v>
      </c>
      <c r="G5299">
        <f>IFERROR(VLOOKUP($A5299,原始数据_收盘!$A$4:$G$3460,7,0),"")</f>
        <v>2.3963</v>
      </c>
      <c r="H5299">
        <f>IFERROR(VLOOKUP($A5299,原始数据_利率互换_FR007_1年!$A$6:$C$4395,2,0),"")</f>
        <v>1.8879</v>
      </c>
      <c r="I5299">
        <f>IFERROR(VLOOKUP($A5299,原始数据_利率互换_FR007_1年!$A$6:$C$4395,3,0),"")</f>
        <v>2.3975</v>
      </c>
    </row>
    <row r="5300" spans="1:9">
      <c r="A5300" s="6">
        <v>44793</v>
      </c>
      <c r="B5300" t="str">
        <f>IFERROR(VLOOKUP($A5300,原始数据_收盘!$A$4:$G$3460,2,0),"")</f>
        <v/>
      </c>
      <c r="C5300" t="str">
        <f>IFERROR(VLOOKUP($A5300,原始数据_收盘!$A$4:$G$3460,3,0),"")</f>
        <v/>
      </c>
      <c r="D5300" t="str">
        <f>IFERROR(VLOOKUP($A5300,原始数据_收盘!$A$4:$G$3460,4,0),"")</f>
        <v/>
      </c>
      <c r="E5300" t="str">
        <f>IFERROR(VLOOKUP($A5300,原始数据_收盘!$A$4:$G$3460,5,0),"")</f>
        <v/>
      </c>
      <c r="F5300" t="str">
        <f>IFERROR(VLOOKUP($A5300,原始数据_收盘!$A$4:$G$3460,6,0),"")</f>
        <v/>
      </c>
      <c r="G5300" t="str">
        <f>IFERROR(VLOOKUP($A5300,原始数据_收盘!$A$4:$G$3460,7,0),"")</f>
        <v/>
      </c>
      <c r="H5300" t="str">
        <f>IFERROR(VLOOKUP($A5300,原始数据_利率互换_FR007_1年!$A$6:$C$4395,2,0),"")</f>
        <v/>
      </c>
      <c r="I5300" t="str">
        <f>IFERROR(VLOOKUP($A5300,原始数据_利率互换_FR007_1年!$A$6:$C$4395,3,0),"")</f>
        <v/>
      </c>
    </row>
    <row r="5301" spans="1:9">
      <c r="A5301" s="6">
        <v>44794</v>
      </c>
      <c r="B5301" t="str">
        <f>IFERROR(VLOOKUP($A5301,原始数据_收盘!$A$4:$G$3460,2,0),"")</f>
        <v/>
      </c>
      <c r="C5301" t="str">
        <f>IFERROR(VLOOKUP($A5301,原始数据_收盘!$A$4:$G$3460,3,0),"")</f>
        <v/>
      </c>
      <c r="D5301" t="str">
        <f>IFERROR(VLOOKUP($A5301,原始数据_收盘!$A$4:$G$3460,4,0),"")</f>
        <v/>
      </c>
      <c r="E5301" t="str">
        <f>IFERROR(VLOOKUP($A5301,原始数据_收盘!$A$4:$G$3460,5,0),"")</f>
        <v/>
      </c>
      <c r="F5301" t="str">
        <f>IFERROR(VLOOKUP($A5301,原始数据_收盘!$A$4:$G$3460,6,0),"")</f>
        <v/>
      </c>
      <c r="G5301" t="str">
        <f>IFERROR(VLOOKUP($A5301,原始数据_收盘!$A$4:$G$3460,7,0),"")</f>
        <v/>
      </c>
      <c r="H5301" t="str">
        <f>IFERROR(VLOOKUP($A5301,原始数据_利率互换_FR007_1年!$A$6:$C$4395,2,0),"")</f>
        <v/>
      </c>
      <c r="I5301" t="str">
        <f>IFERROR(VLOOKUP($A5301,原始数据_利率互换_FR007_1年!$A$6:$C$4395,3,0),"")</f>
        <v/>
      </c>
    </row>
    <row r="5302" spans="1:9">
      <c r="A5302" s="6">
        <v>44795</v>
      </c>
      <c r="B5302">
        <f>IFERROR(VLOOKUP($A5302,原始数据_收盘!$A$4:$G$3460,2,0),"")</f>
        <v>1.9</v>
      </c>
      <c r="C5302">
        <f>IFERROR(VLOOKUP($A5302,原始数据_收盘!$A$4:$G$3460,3,0),"")</f>
        <v>2.405</v>
      </c>
      <c r="D5302">
        <f>IFERROR(VLOOKUP($A5302,原始数据_收盘!$A$4:$G$3460,4,0),"")</f>
        <v>1.9033</v>
      </c>
      <c r="E5302">
        <f>IFERROR(VLOOKUP($A5302,原始数据_收盘!$A$4:$G$3460,5,0),"")</f>
        <v>2.4083</v>
      </c>
      <c r="F5302">
        <f>IFERROR(VLOOKUP($A5302,原始数据_收盘!$A$4:$G$3460,6,0),"")</f>
        <v>1.9017</v>
      </c>
      <c r="G5302">
        <f>IFERROR(VLOOKUP($A5302,原始数据_收盘!$A$4:$G$3460,7,0),"")</f>
        <v>2.4067</v>
      </c>
      <c r="H5302">
        <f>IFERROR(VLOOKUP($A5302,原始数据_利率互换_FR007_1年!$A$6:$C$4395,2,0),"")</f>
        <v>1.9004</v>
      </c>
      <c r="I5302">
        <f>IFERROR(VLOOKUP($A5302,原始数据_利率互换_FR007_1年!$A$6:$C$4395,3,0),"")</f>
        <v>2.4029</v>
      </c>
    </row>
    <row r="5303" spans="1:9">
      <c r="A5303" s="6">
        <v>44796</v>
      </c>
      <c r="B5303">
        <f>IFERROR(VLOOKUP($A5303,原始数据_收盘!$A$4:$G$3460,2,0),"")</f>
        <v>1.9175</v>
      </c>
      <c r="C5303">
        <f>IFERROR(VLOOKUP($A5303,原始数据_收盘!$A$4:$G$3460,3,0),"")</f>
        <v>2.4256</v>
      </c>
      <c r="D5303">
        <f>IFERROR(VLOOKUP($A5303,原始数据_收盘!$A$4:$G$3460,4,0),"")</f>
        <v>1.92</v>
      </c>
      <c r="E5303">
        <f>IFERROR(VLOOKUP($A5303,原始数据_收盘!$A$4:$G$3460,5,0),"")</f>
        <v>2.43</v>
      </c>
      <c r="F5303">
        <f>IFERROR(VLOOKUP($A5303,原始数据_收盘!$A$4:$G$3460,6,0),"")</f>
        <v>1.9188</v>
      </c>
      <c r="G5303">
        <f>IFERROR(VLOOKUP($A5303,原始数据_收盘!$A$4:$G$3460,7,0),"")</f>
        <v>2.4278</v>
      </c>
      <c r="H5303">
        <f>IFERROR(VLOOKUP($A5303,原始数据_利率互换_FR007_1年!$A$6:$C$4395,2,0),"")</f>
        <v>1.916</v>
      </c>
      <c r="I5303">
        <f>IFERROR(VLOOKUP($A5303,原始数据_利率互换_FR007_1年!$A$6:$C$4395,3,0),"")</f>
        <v>2.4221</v>
      </c>
    </row>
    <row r="5304" spans="1:9">
      <c r="A5304" s="6">
        <v>44797</v>
      </c>
      <c r="B5304">
        <f>IFERROR(VLOOKUP($A5304,原始数据_收盘!$A$4:$G$3460,2,0),"")</f>
        <v>1.915</v>
      </c>
      <c r="C5304">
        <f>IFERROR(VLOOKUP($A5304,原始数据_收盘!$A$4:$G$3460,3,0),"")</f>
        <v>2.4225</v>
      </c>
      <c r="D5304">
        <f>IFERROR(VLOOKUP($A5304,原始数据_收盘!$A$4:$G$3460,4,0),"")</f>
        <v>1.9175</v>
      </c>
      <c r="E5304">
        <f>IFERROR(VLOOKUP($A5304,原始数据_收盘!$A$4:$G$3460,5,0),"")</f>
        <v>2.425</v>
      </c>
      <c r="F5304">
        <f>IFERROR(VLOOKUP($A5304,原始数据_收盘!$A$4:$G$3460,6,0),"")</f>
        <v>1.9163</v>
      </c>
      <c r="G5304">
        <f>IFERROR(VLOOKUP($A5304,原始数据_收盘!$A$4:$G$3460,7,0),"")</f>
        <v>2.4238</v>
      </c>
      <c r="H5304">
        <f>IFERROR(VLOOKUP($A5304,原始数据_利率互换_FR007_1年!$A$6:$C$4395,2,0),"")</f>
        <v>1.9149</v>
      </c>
      <c r="I5304">
        <f>IFERROR(VLOOKUP($A5304,原始数据_利率互换_FR007_1年!$A$6:$C$4395,3,0),"")</f>
        <v>2.4222</v>
      </c>
    </row>
    <row r="5305" spans="1:9">
      <c r="A5305" s="6">
        <v>44798</v>
      </c>
      <c r="B5305">
        <f>IFERROR(VLOOKUP($A5305,原始数据_收盘!$A$4:$G$3460,2,0),"")</f>
        <v>1.95</v>
      </c>
      <c r="C5305">
        <f>IFERROR(VLOOKUP($A5305,原始数据_收盘!$A$4:$G$3460,3,0),"")</f>
        <v>2.455</v>
      </c>
      <c r="D5305">
        <f>IFERROR(VLOOKUP($A5305,原始数据_收盘!$A$4:$G$3460,4,0),"")</f>
        <v>1.9525</v>
      </c>
      <c r="E5305">
        <f>IFERROR(VLOOKUP($A5305,原始数据_收盘!$A$4:$G$3460,5,0),"")</f>
        <v>2.46</v>
      </c>
      <c r="F5305">
        <f>IFERROR(VLOOKUP($A5305,原始数据_收盘!$A$4:$G$3460,6,0),"")</f>
        <v>1.9513</v>
      </c>
      <c r="G5305">
        <f>IFERROR(VLOOKUP($A5305,原始数据_收盘!$A$4:$G$3460,7,0),"")</f>
        <v>2.4575</v>
      </c>
      <c r="H5305">
        <f>IFERROR(VLOOKUP($A5305,原始数据_利率互换_FR007_1年!$A$6:$C$4395,2,0),"")</f>
        <v>1.9401</v>
      </c>
      <c r="I5305">
        <f>IFERROR(VLOOKUP($A5305,原始数据_利率互换_FR007_1年!$A$6:$C$4395,3,0),"")</f>
        <v>2.4443</v>
      </c>
    </row>
    <row r="5306" spans="1:9">
      <c r="A5306" s="6">
        <v>44799</v>
      </c>
      <c r="B5306">
        <f>IFERROR(VLOOKUP($A5306,原始数据_收盘!$A$4:$G$3460,2,0),"")</f>
        <v>1.9525</v>
      </c>
      <c r="C5306">
        <f>IFERROR(VLOOKUP($A5306,原始数据_收盘!$A$4:$G$3460,3,0),"")</f>
        <v>2.45</v>
      </c>
      <c r="D5306">
        <f>IFERROR(VLOOKUP($A5306,原始数据_收盘!$A$4:$G$3460,4,0),"")</f>
        <v>1.955</v>
      </c>
      <c r="E5306">
        <f>IFERROR(VLOOKUP($A5306,原始数据_收盘!$A$4:$G$3460,5,0),"")</f>
        <v>2.4525</v>
      </c>
      <c r="F5306">
        <f>IFERROR(VLOOKUP($A5306,原始数据_收盘!$A$4:$G$3460,6,0),"")</f>
        <v>1.9538</v>
      </c>
      <c r="G5306">
        <f>IFERROR(VLOOKUP($A5306,原始数据_收盘!$A$4:$G$3460,7,0),"")</f>
        <v>2.4513</v>
      </c>
      <c r="H5306">
        <f>IFERROR(VLOOKUP($A5306,原始数据_利率互换_FR007_1年!$A$6:$C$4395,2,0),"")</f>
        <v>1.9569</v>
      </c>
      <c r="I5306">
        <f>IFERROR(VLOOKUP($A5306,原始数据_利率互换_FR007_1年!$A$6:$C$4395,3,0),"")</f>
        <v>2.4536</v>
      </c>
    </row>
    <row r="5307" spans="1:9">
      <c r="A5307" s="6">
        <v>44800</v>
      </c>
      <c r="B5307" t="str">
        <f>IFERROR(VLOOKUP($A5307,原始数据_收盘!$A$4:$G$3460,2,0),"")</f>
        <v/>
      </c>
      <c r="C5307" t="str">
        <f>IFERROR(VLOOKUP($A5307,原始数据_收盘!$A$4:$G$3460,3,0),"")</f>
        <v/>
      </c>
      <c r="D5307" t="str">
        <f>IFERROR(VLOOKUP($A5307,原始数据_收盘!$A$4:$G$3460,4,0),"")</f>
        <v/>
      </c>
      <c r="E5307" t="str">
        <f>IFERROR(VLOOKUP($A5307,原始数据_收盘!$A$4:$G$3460,5,0),"")</f>
        <v/>
      </c>
      <c r="F5307" t="str">
        <f>IFERROR(VLOOKUP($A5307,原始数据_收盘!$A$4:$G$3460,6,0),"")</f>
        <v/>
      </c>
      <c r="G5307" t="str">
        <f>IFERROR(VLOOKUP($A5307,原始数据_收盘!$A$4:$G$3460,7,0),"")</f>
        <v/>
      </c>
      <c r="H5307" t="str">
        <f>IFERROR(VLOOKUP($A5307,原始数据_利率互换_FR007_1年!$A$6:$C$4395,2,0),"")</f>
        <v/>
      </c>
      <c r="I5307" t="str">
        <f>IFERROR(VLOOKUP($A5307,原始数据_利率互换_FR007_1年!$A$6:$C$4395,3,0),"")</f>
        <v/>
      </c>
    </row>
    <row r="5308" spans="1:9">
      <c r="A5308" s="6">
        <v>44801</v>
      </c>
      <c r="B5308" t="str">
        <f>IFERROR(VLOOKUP($A5308,原始数据_收盘!$A$4:$G$3460,2,0),"")</f>
        <v/>
      </c>
      <c r="C5308" t="str">
        <f>IFERROR(VLOOKUP($A5308,原始数据_收盘!$A$4:$G$3460,3,0),"")</f>
        <v/>
      </c>
      <c r="D5308" t="str">
        <f>IFERROR(VLOOKUP($A5308,原始数据_收盘!$A$4:$G$3460,4,0),"")</f>
        <v/>
      </c>
      <c r="E5308" t="str">
        <f>IFERROR(VLOOKUP($A5308,原始数据_收盘!$A$4:$G$3460,5,0),"")</f>
        <v/>
      </c>
      <c r="F5308" t="str">
        <f>IFERROR(VLOOKUP($A5308,原始数据_收盘!$A$4:$G$3460,6,0),"")</f>
        <v/>
      </c>
      <c r="G5308" t="str">
        <f>IFERROR(VLOOKUP($A5308,原始数据_收盘!$A$4:$G$3460,7,0),"")</f>
        <v/>
      </c>
      <c r="H5308" t="str">
        <f>IFERROR(VLOOKUP($A5308,原始数据_利率互换_FR007_1年!$A$6:$C$4395,2,0),"")</f>
        <v/>
      </c>
      <c r="I5308" t="str">
        <f>IFERROR(VLOOKUP($A5308,原始数据_利率互换_FR007_1年!$A$6:$C$4395,3,0),"")</f>
        <v/>
      </c>
    </row>
    <row r="5309" spans="1:9">
      <c r="A5309" s="6">
        <v>44802</v>
      </c>
      <c r="B5309">
        <f>IFERROR(VLOOKUP($A5309,原始数据_收盘!$A$4:$G$3460,2,0),"")</f>
        <v>1.9269</v>
      </c>
      <c r="C5309">
        <f>IFERROR(VLOOKUP($A5309,原始数据_收盘!$A$4:$G$3460,3,0),"")</f>
        <v>2.425</v>
      </c>
      <c r="D5309">
        <f>IFERROR(VLOOKUP($A5309,原始数据_收盘!$A$4:$G$3460,4,0),"")</f>
        <v>1.9292</v>
      </c>
      <c r="E5309">
        <f>IFERROR(VLOOKUP($A5309,原始数据_收盘!$A$4:$G$3460,5,0),"")</f>
        <v>2.4275</v>
      </c>
      <c r="F5309">
        <f>IFERROR(VLOOKUP($A5309,原始数据_收盘!$A$4:$G$3460,6,0),"")</f>
        <v>1.928</v>
      </c>
      <c r="G5309">
        <f>IFERROR(VLOOKUP($A5309,原始数据_收盘!$A$4:$G$3460,7,0),"")</f>
        <v>2.4263</v>
      </c>
      <c r="H5309">
        <f>IFERROR(VLOOKUP($A5309,原始数据_利率互换_FR007_1年!$A$6:$C$4395,2,0),"")</f>
        <v>1.941</v>
      </c>
      <c r="I5309">
        <f>IFERROR(VLOOKUP($A5309,原始数据_利率互换_FR007_1年!$A$6:$C$4395,3,0),"")</f>
        <v>2.4436</v>
      </c>
    </row>
    <row r="5310" spans="1:9">
      <c r="A5310" s="6">
        <v>44803</v>
      </c>
      <c r="B5310">
        <f>IFERROR(VLOOKUP($A5310,原始数据_收盘!$A$4:$G$3460,2,0),"")</f>
        <v>1.9125</v>
      </c>
      <c r="C5310">
        <f>IFERROR(VLOOKUP($A5310,原始数据_收盘!$A$4:$G$3460,3,0),"")</f>
        <v>2.42</v>
      </c>
      <c r="D5310">
        <f>IFERROR(VLOOKUP($A5310,原始数据_收盘!$A$4:$G$3460,4,0),"")</f>
        <v>1.915</v>
      </c>
      <c r="E5310">
        <f>IFERROR(VLOOKUP($A5310,原始数据_收盘!$A$4:$G$3460,5,0),"")</f>
        <v>2.4225</v>
      </c>
      <c r="F5310">
        <f>IFERROR(VLOOKUP($A5310,原始数据_收盘!$A$4:$G$3460,6,0),"")</f>
        <v>1.9138</v>
      </c>
      <c r="G5310">
        <f>IFERROR(VLOOKUP($A5310,原始数据_收盘!$A$4:$G$3460,7,0),"")</f>
        <v>2.4213</v>
      </c>
      <c r="H5310">
        <f>IFERROR(VLOOKUP($A5310,原始数据_利率互换_FR007_1年!$A$6:$C$4395,2,0),"")</f>
        <v>1.9261</v>
      </c>
      <c r="I5310">
        <f>IFERROR(VLOOKUP($A5310,原始数据_利率互换_FR007_1年!$A$6:$C$4395,3,0),"")</f>
        <v>2.4211</v>
      </c>
    </row>
    <row r="5311" spans="1:9">
      <c r="A5311" s="6">
        <v>44804</v>
      </c>
      <c r="B5311">
        <f>IFERROR(VLOOKUP($A5311,原始数据_收盘!$A$4:$G$3460,2,0),"")</f>
        <v>1.9092</v>
      </c>
      <c r="C5311">
        <f>IFERROR(VLOOKUP($A5311,原始数据_收盘!$A$4:$G$3460,3,0),"")</f>
        <v>2.42</v>
      </c>
      <c r="D5311">
        <f>IFERROR(VLOOKUP($A5311,原始数据_收盘!$A$4:$G$3460,4,0),"")</f>
        <v>1.9108</v>
      </c>
      <c r="E5311">
        <f>IFERROR(VLOOKUP($A5311,原始数据_收盘!$A$4:$G$3460,5,0),"")</f>
        <v>2.4225</v>
      </c>
      <c r="F5311">
        <f>IFERROR(VLOOKUP($A5311,原始数据_收盘!$A$4:$G$3460,6,0),"")</f>
        <v>1.91</v>
      </c>
      <c r="G5311">
        <f>IFERROR(VLOOKUP($A5311,原始数据_收盘!$A$4:$G$3460,7,0),"")</f>
        <v>2.4213</v>
      </c>
      <c r="H5311">
        <f>IFERROR(VLOOKUP($A5311,原始数据_利率互换_FR007_1年!$A$6:$C$4395,2,0),"")</f>
        <v>1.9138</v>
      </c>
      <c r="I5311">
        <f>IFERROR(VLOOKUP($A5311,原始数据_利率互换_FR007_1年!$A$6:$C$4395,3,0),"")</f>
        <v>2.4244</v>
      </c>
    </row>
    <row r="5312" spans="1:9">
      <c r="A5312" s="6">
        <v>44805</v>
      </c>
      <c r="B5312">
        <f>IFERROR(VLOOKUP($A5312,原始数据_收盘!$A$4:$G$3460,2,0),"")</f>
        <v>1.8975</v>
      </c>
      <c r="C5312">
        <f>IFERROR(VLOOKUP($A5312,原始数据_收盘!$A$4:$G$3460,3,0),"")</f>
        <v>2.4025</v>
      </c>
      <c r="D5312">
        <f>IFERROR(VLOOKUP($A5312,原始数据_收盘!$A$4:$G$3460,4,0),"")</f>
        <v>1.9025</v>
      </c>
      <c r="E5312">
        <f>IFERROR(VLOOKUP($A5312,原始数据_收盘!$A$4:$G$3460,5,0),"")</f>
        <v>2.4069</v>
      </c>
      <c r="F5312">
        <f>IFERROR(VLOOKUP($A5312,原始数据_收盘!$A$4:$G$3460,6,0),"")</f>
        <v>1.9</v>
      </c>
      <c r="G5312">
        <f>IFERROR(VLOOKUP($A5312,原始数据_收盘!$A$4:$G$3460,7,0),"")</f>
        <v>2.4047</v>
      </c>
      <c r="H5312">
        <f>IFERROR(VLOOKUP($A5312,原始数据_利率互换_FR007_1年!$A$6:$C$4395,2,0),"")</f>
        <v>1.9044</v>
      </c>
      <c r="I5312">
        <f>IFERROR(VLOOKUP($A5312,原始数据_利率互换_FR007_1年!$A$6:$C$4395,3,0),"")</f>
        <v>2.415</v>
      </c>
    </row>
    <row r="5313" spans="1:9">
      <c r="A5313" s="6">
        <v>44806</v>
      </c>
      <c r="B5313">
        <f>IFERROR(VLOOKUP($A5313,原始数据_收盘!$A$4:$G$3460,2,0),"")</f>
        <v>1.895</v>
      </c>
      <c r="C5313">
        <f>IFERROR(VLOOKUP($A5313,原始数据_收盘!$A$4:$G$3460,3,0),"")</f>
        <v>2.4056</v>
      </c>
      <c r="D5313">
        <f>IFERROR(VLOOKUP($A5313,原始数据_收盘!$A$4:$G$3460,4,0),"")</f>
        <v>1.9</v>
      </c>
      <c r="E5313">
        <f>IFERROR(VLOOKUP($A5313,原始数据_收盘!$A$4:$G$3460,5,0),"")</f>
        <v>2.41</v>
      </c>
      <c r="F5313">
        <f>IFERROR(VLOOKUP($A5313,原始数据_收盘!$A$4:$G$3460,6,0),"")</f>
        <v>1.8975</v>
      </c>
      <c r="G5313">
        <f>IFERROR(VLOOKUP($A5313,原始数据_收盘!$A$4:$G$3460,7,0),"")</f>
        <v>2.4078</v>
      </c>
      <c r="H5313">
        <f>IFERROR(VLOOKUP($A5313,原始数据_利率互换_FR007_1年!$A$6:$C$4395,2,0),"")</f>
        <v>1.894</v>
      </c>
      <c r="I5313">
        <f>IFERROR(VLOOKUP($A5313,原始数据_利率互换_FR007_1年!$A$6:$C$4395,3,0),"")</f>
        <v>2.4021</v>
      </c>
    </row>
    <row r="5314" spans="1:9">
      <c r="A5314" s="6">
        <v>44807</v>
      </c>
      <c r="B5314" t="str">
        <f>IFERROR(VLOOKUP($A5314,原始数据_收盘!$A$4:$G$3460,2,0),"")</f>
        <v/>
      </c>
      <c r="C5314" t="str">
        <f>IFERROR(VLOOKUP($A5314,原始数据_收盘!$A$4:$G$3460,3,0),"")</f>
        <v/>
      </c>
      <c r="D5314" t="str">
        <f>IFERROR(VLOOKUP($A5314,原始数据_收盘!$A$4:$G$3460,4,0),"")</f>
        <v/>
      </c>
      <c r="E5314" t="str">
        <f>IFERROR(VLOOKUP($A5314,原始数据_收盘!$A$4:$G$3460,5,0),"")</f>
        <v/>
      </c>
      <c r="F5314" t="str">
        <f>IFERROR(VLOOKUP($A5314,原始数据_收盘!$A$4:$G$3460,6,0),"")</f>
        <v/>
      </c>
      <c r="G5314" t="str">
        <f>IFERROR(VLOOKUP($A5314,原始数据_收盘!$A$4:$G$3460,7,0),"")</f>
        <v/>
      </c>
      <c r="H5314" t="str">
        <f>IFERROR(VLOOKUP($A5314,原始数据_利率互换_FR007_1年!$A$6:$C$4395,2,0),"")</f>
        <v/>
      </c>
      <c r="I5314" t="str">
        <f>IFERROR(VLOOKUP($A5314,原始数据_利率互换_FR007_1年!$A$6:$C$4395,3,0),"")</f>
        <v/>
      </c>
    </row>
    <row r="5315" spans="1:9">
      <c r="A5315" s="6">
        <v>44808</v>
      </c>
      <c r="B5315" t="str">
        <f>IFERROR(VLOOKUP($A5315,原始数据_收盘!$A$4:$G$3460,2,0),"")</f>
        <v/>
      </c>
      <c r="C5315" t="str">
        <f>IFERROR(VLOOKUP($A5315,原始数据_收盘!$A$4:$G$3460,3,0),"")</f>
        <v/>
      </c>
      <c r="D5315" t="str">
        <f>IFERROR(VLOOKUP($A5315,原始数据_收盘!$A$4:$G$3460,4,0),"")</f>
        <v/>
      </c>
      <c r="E5315" t="str">
        <f>IFERROR(VLOOKUP($A5315,原始数据_收盘!$A$4:$G$3460,5,0),"")</f>
        <v/>
      </c>
      <c r="F5315" t="str">
        <f>IFERROR(VLOOKUP($A5315,原始数据_收盘!$A$4:$G$3460,6,0),"")</f>
        <v/>
      </c>
      <c r="G5315" t="str">
        <f>IFERROR(VLOOKUP($A5315,原始数据_收盘!$A$4:$G$3460,7,0),"")</f>
        <v/>
      </c>
      <c r="H5315" t="str">
        <f>IFERROR(VLOOKUP($A5315,原始数据_利率互换_FR007_1年!$A$6:$C$4395,2,0),"")</f>
        <v/>
      </c>
      <c r="I5315" t="str">
        <f>IFERROR(VLOOKUP($A5315,原始数据_利率互换_FR007_1年!$A$6:$C$4395,3,0),"")</f>
        <v/>
      </c>
    </row>
    <row r="5316" spans="1:9">
      <c r="A5316" s="6">
        <v>44809</v>
      </c>
      <c r="B5316">
        <f>IFERROR(VLOOKUP($A5316,原始数据_收盘!$A$4:$G$3460,2,0),"")</f>
        <v>1.8825</v>
      </c>
      <c r="C5316">
        <f>IFERROR(VLOOKUP($A5316,原始数据_收盘!$A$4:$G$3460,3,0),"")</f>
        <v>2.3956</v>
      </c>
      <c r="D5316">
        <f>IFERROR(VLOOKUP($A5316,原始数据_收盘!$A$4:$G$3460,4,0),"")</f>
        <v>1.8858</v>
      </c>
      <c r="E5316">
        <f>IFERROR(VLOOKUP($A5316,原始数据_收盘!$A$4:$G$3460,5,0),"")</f>
        <v>2.3985</v>
      </c>
      <c r="F5316">
        <f>IFERROR(VLOOKUP($A5316,原始数据_收盘!$A$4:$G$3460,6,0),"")</f>
        <v>1.8842</v>
      </c>
      <c r="G5316">
        <f>IFERROR(VLOOKUP($A5316,原始数据_收盘!$A$4:$G$3460,7,0),"")</f>
        <v>2.397</v>
      </c>
      <c r="H5316">
        <f>IFERROR(VLOOKUP($A5316,原始数据_利率互换_FR007_1年!$A$6:$C$4395,2,0),"")</f>
        <v>1.8845</v>
      </c>
      <c r="I5316">
        <f>IFERROR(VLOOKUP($A5316,原始数据_利率互换_FR007_1年!$A$6:$C$4395,3,0),"")</f>
        <v>2.3971</v>
      </c>
    </row>
    <row r="5317" spans="1:9">
      <c r="A5317" s="6">
        <v>44810</v>
      </c>
      <c r="B5317">
        <f>IFERROR(VLOOKUP($A5317,原始数据_收盘!$A$4:$G$3460,2,0),"")</f>
        <v>1.88</v>
      </c>
      <c r="C5317">
        <f>IFERROR(VLOOKUP($A5317,原始数据_收盘!$A$4:$G$3460,3,0),"")</f>
        <v>2.39</v>
      </c>
      <c r="D5317">
        <f>IFERROR(VLOOKUP($A5317,原始数据_收盘!$A$4:$G$3460,4,0),"")</f>
        <v>1.8825</v>
      </c>
      <c r="E5317">
        <f>IFERROR(VLOOKUP($A5317,原始数据_收盘!$A$4:$G$3460,5,0),"")</f>
        <v>2.3928</v>
      </c>
      <c r="F5317">
        <f>IFERROR(VLOOKUP($A5317,原始数据_收盘!$A$4:$G$3460,6,0),"")</f>
        <v>1.8813</v>
      </c>
      <c r="G5317">
        <f>IFERROR(VLOOKUP($A5317,原始数据_收盘!$A$4:$G$3460,7,0),"")</f>
        <v>2.3914</v>
      </c>
      <c r="H5317">
        <f>IFERROR(VLOOKUP($A5317,原始数据_利率互换_FR007_1年!$A$6:$C$4395,2,0),"")</f>
        <v>1.8845</v>
      </c>
      <c r="I5317">
        <f>IFERROR(VLOOKUP($A5317,原始数据_利率互换_FR007_1年!$A$6:$C$4395,3,0),"")</f>
        <v>2.3943</v>
      </c>
    </row>
    <row r="5318" spans="1:9">
      <c r="A5318" s="6">
        <v>44811</v>
      </c>
      <c r="B5318">
        <f>IFERROR(VLOOKUP($A5318,原始数据_收盘!$A$4:$G$3460,2,0),"")</f>
        <v>1.8925</v>
      </c>
      <c r="C5318">
        <f>IFERROR(VLOOKUP($A5318,原始数据_收盘!$A$4:$G$3460,3,0),"")</f>
        <v>2.4</v>
      </c>
      <c r="D5318">
        <f>IFERROR(VLOOKUP($A5318,原始数据_收盘!$A$4:$G$3460,4,0),"")</f>
        <v>1.895</v>
      </c>
      <c r="E5318">
        <f>IFERROR(VLOOKUP($A5318,原始数据_收盘!$A$4:$G$3460,5,0),"")</f>
        <v>2.4025</v>
      </c>
      <c r="F5318">
        <f>IFERROR(VLOOKUP($A5318,原始数据_收盘!$A$4:$G$3460,6,0),"")</f>
        <v>1.8938</v>
      </c>
      <c r="G5318">
        <f>IFERROR(VLOOKUP($A5318,原始数据_收盘!$A$4:$G$3460,7,0),"")</f>
        <v>2.4013</v>
      </c>
      <c r="H5318">
        <f>IFERROR(VLOOKUP($A5318,原始数据_利率互换_FR007_1年!$A$6:$C$4395,2,0),"")</f>
        <v>1.8898</v>
      </c>
      <c r="I5318">
        <f>IFERROR(VLOOKUP($A5318,原始数据_利率互换_FR007_1年!$A$6:$C$4395,3,0),"")</f>
        <v>2.3988</v>
      </c>
    </row>
    <row r="5319" spans="1:9">
      <c r="A5319" s="6">
        <v>44812</v>
      </c>
      <c r="B5319">
        <f>IFERROR(VLOOKUP($A5319,原始数据_收盘!$A$4:$G$3460,2,0),"")</f>
        <v>1.9</v>
      </c>
      <c r="C5319">
        <f>IFERROR(VLOOKUP($A5319,原始数据_收盘!$A$4:$G$3460,3,0),"")</f>
        <v>2.4049</v>
      </c>
      <c r="D5319">
        <f>IFERROR(VLOOKUP($A5319,原始数据_收盘!$A$4:$G$3460,4,0),"")</f>
        <v>1.9025</v>
      </c>
      <c r="E5319">
        <f>IFERROR(VLOOKUP($A5319,原始数据_收盘!$A$4:$G$3460,5,0),"")</f>
        <v>2.4075</v>
      </c>
      <c r="F5319">
        <f>IFERROR(VLOOKUP($A5319,原始数据_收盘!$A$4:$G$3460,6,0),"")</f>
        <v>1.9013</v>
      </c>
      <c r="G5319">
        <f>IFERROR(VLOOKUP($A5319,原始数据_收盘!$A$4:$G$3460,7,0),"")</f>
        <v>2.4062</v>
      </c>
      <c r="H5319">
        <f>IFERROR(VLOOKUP($A5319,原始数据_利率互换_FR007_1年!$A$6:$C$4395,2,0),"")</f>
        <v>1.906</v>
      </c>
      <c r="I5319">
        <f>IFERROR(VLOOKUP($A5319,原始数据_利率互换_FR007_1年!$A$6:$C$4395,3,0),"")</f>
        <v>2.4122</v>
      </c>
    </row>
    <row r="5320" spans="1:9">
      <c r="A5320" s="6">
        <v>44813</v>
      </c>
      <c r="B5320">
        <f>IFERROR(VLOOKUP($A5320,原始数据_收盘!$A$4:$G$3460,2,0),"")</f>
        <v>1.9148</v>
      </c>
      <c r="C5320">
        <f>IFERROR(VLOOKUP($A5320,原始数据_收盘!$A$4:$G$3460,3,0),"")</f>
        <v>2.4257</v>
      </c>
      <c r="D5320">
        <f>IFERROR(VLOOKUP($A5320,原始数据_收盘!$A$4:$G$3460,4,0),"")</f>
        <v>1.9175</v>
      </c>
      <c r="E5320">
        <f>IFERROR(VLOOKUP($A5320,原始数据_收盘!$A$4:$G$3460,5,0),"")</f>
        <v>2.4275</v>
      </c>
      <c r="F5320">
        <f>IFERROR(VLOOKUP($A5320,原始数据_收盘!$A$4:$G$3460,6,0),"")</f>
        <v>1.9162</v>
      </c>
      <c r="G5320">
        <f>IFERROR(VLOOKUP($A5320,原始数据_收盘!$A$4:$G$3460,7,0),"")</f>
        <v>2.4266</v>
      </c>
      <c r="H5320">
        <f>IFERROR(VLOOKUP($A5320,原始数据_利率互换_FR007_1年!$A$6:$C$4395,2,0),"")</f>
        <v>1.9135</v>
      </c>
      <c r="I5320">
        <f>IFERROR(VLOOKUP($A5320,原始数据_利率互换_FR007_1年!$A$6:$C$4395,3,0),"")</f>
        <v>2.4202</v>
      </c>
    </row>
    <row r="5321" spans="1:9">
      <c r="A5321" s="6">
        <v>44814</v>
      </c>
      <c r="B5321" t="str">
        <f>IFERROR(VLOOKUP($A5321,原始数据_收盘!$A$4:$G$3460,2,0),"")</f>
        <v/>
      </c>
      <c r="C5321" t="str">
        <f>IFERROR(VLOOKUP($A5321,原始数据_收盘!$A$4:$G$3460,3,0),"")</f>
        <v/>
      </c>
      <c r="D5321" t="str">
        <f>IFERROR(VLOOKUP($A5321,原始数据_收盘!$A$4:$G$3460,4,0),"")</f>
        <v/>
      </c>
      <c r="E5321" t="str">
        <f>IFERROR(VLOOKUP($A5321,原始数据_收盘!$A$4:$G$3460,5,0),"")</f>
        <v/>
      </c>
      <c r="F5321" t="str">
        <f>IFERROR(VLOOKUP($A5321,原始数据_收盘!$A$4:$G$3460,6,0),"")</f>
        <v/>
      </c>
      <c r="G5321" t="str">
        <f>IFERROR(VLOOKUP($A5321,原始数据_收盘!$A$4:$G$3460,7,0),"")</f>
        <v/>
      </c>
      <c r="H5321" t="str">
        <f>IFERROR(VLOOKUP($A5321,原始数据_利率互换_FR007_1年!$A$6:$C$4395,2,0),"")</f>
        <v/>
      </c>
      <c r="I5321" t="str">
        <f>IFERROR(VLOOKUP($A5321,原始数据_利率互换_FR007_1年!$A$6:$C$4395,3,0),"")</f>
        <v/>
      </c>
    </row>
    <row r="5322" spans="1:9">
      <c r="A5322" s="6">
        <v>44815</v>
      </c>
      <c r="B5322" t="str">
        <f>IFERROR(VLOOKUP($A5322,原始数据_收盘!$A$4:$G$3460,2,0),"")</f>
        <v/>
      </c>
      <c r="C5322" t="str">
        <f>IFERROR(VLOOKUP($A5322,原始数据_收盘!$A$4:$G$3460,3,0),"")</f>
        <v/>
      </c>
      <c r="D5322" t="str">
        <f>IFERROR(VLOOKUP($A5322,原始数据_收盘!$A$4:$G$3460,4,0),"")</f>
        <v/>
      </c>
      <c r="E5322" t="str">
        <f>IFERROR(VLOOKUP($A5322,原始数据_收盘!$A$4:$G$3460,5,0),"")</f>
        <v/>
      </c>
      <c r="F5322" t="str">
        <f>IFERROR(VLOOKUP($A5322,原始数据_收盘!$A$4:$G$3460,6,0),"")</f>
        <v/>
      </c>
      <c r="G5322" t="str">
        <f>IFERROR(VLOOKUP($A5322,原始数据_收盘!$A$4:$G$3460,7,0),"")</f>
        <v/>
      </c>
      <c r="H5322" t="str">
        <f>IFERROR(VLOOKUP($A5322,原始数据_利率互换_FR007_1年!$A$6:$C$4395,2,0),"")</f>
        <v/>
      </c>
      <c r="I5322" t="str">
        <f>IFERROR(VLOOKUP($A5322,原始数据_利率互换_FR007_1年!$A$6:$C$4395,3,0),"")</f>
        <v/>
      </c>
    </row>
    <row r="5323" spans="1:9">
      <c r="A5323" s="6">
        <v>44816</v>
      </c>
      <c r="B5323" t="str">
        <f>IFERROR(VLOOKUP($A5323,原始数据_收盘!$A$4:$G$3460,2,0),"")</f>
        <v/>
      </c>
      <c r="C5323" t="str">
        <f>IFERROR(VLOOKUP($A5323,原始数据_收盘!$A$4:$G$3460,3,0),"")</f>
        <v/>
      </c>
      <c r="D5323" t="str">
        <f>IFERROR(VLOOKUP($A5323,原始数据_收盘!$A$4:$G$3460,4,0),"")</f>
        <v/>
      </c>
      <c r="E5323" t="str">
        <f>IFERROR(VLOOKUP($A5323,原始数据_收盘!$A$4:$G$3460,5,0),"")</f>
        <v/>
      </c>
      <c r="F5323" t="str">
        <f>IFERROR(VLOOKUP($A5323,原始数据_收盘!$A$4:$G$3460,6,0),"")</f>
        <v/>
      </c>
      <c r="G5323" t="str">
        <f>IFERROR(VLOOKUP($A5323,原始数据_收盘!$A$4:$G$3460,7,0),"")</f>
        <v/>
      </c>
      <c r="H5323" t="str">
        <f>IFERROR(VLOOKUP($A5323,原始数据_利率互换_FR007_1年!$A$6:$C$4395,2,0),"")</f>
        <v/>
      </c>
      <c r="I5323" t="str">
        <f>IFERROR(VLOOKUP($A5323,原始数据_利率互换_FR007_1年!$A$6:$C$4395,3,0),"")</f>
        <v/>
      </c>
    </row>
    <row r="5324" spans="1:9">
      <c r="A5324" s="6">
        <v>44817</v>
      </c>
      <c r="B5324">
        <f>IFERROR(VLOOKUP($A5324,原始数据_收盘!$A$4:$G$3460,2,0),"")</f>
        <v>1.92</v>
      </c>
      <c r="C5324">
        <f>IFERROR(VLOOKUP($A5324,原始数据_收盘!$A$4:$G$3460,3,0),"")</f>
        <v>2.4325</v>
      </c>
      <c r="D5324">
        <f>IFERROR(VLOOKUP($A5324,原始数据_收盘!$A$4:$G$3460,4,0),"")</f>
        <v>1.9225</v>
      </c>
      <c r="E5324">
        <f>IFERROR(VLOOKUP($A5324,原始数据_收盘!$A$4:$G$3460,5,0),"")</f>
        <v>2.4353</v>
      </c>
      <c r="F5324">
        <f>IFERROR(VLOOKUP($A5324,原始数据_收盘!$A$4:$G$3460,6,0),"")</f>
        <v>1.9213</v>
      </c>
      <c r="G5324">
        <f>IFERROR(VLOOKUP($A5324,原始数据_收盘!$A$4:$G$3460,7,0),"")</f>
        <v>2.4339</v>
      </c>
      <c r="H5324">
        <f>IFERROR(VLOOKUP($A5324,原始数据_利率互换_FR007_1年!$A$6:$C$4395,2,0),"")</f>
        <v>1.9221</v>
      </c>
      <c r="I5324">
        <f>IFERROR(VLOOKUP($A5324,原始数据_利率互换_FR007_1年!$A$6:$C$4395,3,0),"")</f>
        <v>2.4356</v>
      </c>
    </row>
    <row r="5325" spans="1:9">
      <c r="A5325" s="6">
        <v>44818</v>
      </c>
      <c r="B5325">
        <f>IFERROR(VLOOKUP($A5325,原始数据_收盘!$A$4:$G$3460,2,0),"")</f>
        <v>1.9375</v>
      </c>
      <c r="C5325">
        <f>IFERROR(VLOOKUP($A5325,原始数据_收盘!$A$4:$G$3460,3,0),"")</f>
        <v>2.45</v>
      </c>
      <c r="D5325">
        <f>IFERROR(VLOOKUP($A5325,原始数据_收盘!$A$4:$G$3460,4,0),"")</f>
        <v>1.9425</v>
      </c>
      <c r="E5325">
        <f>IFERROR(VLOOKUP($A5325,原始数据_收盘!$A$4:$G$3460,5,0),"")</f>
        <v>2.455</v>
      </c>
      <c r="F5325">
        <f>IFERROR(VLOOKUP($A5325,原始数据_收盘!$A$4:$G$3460,6,0),"")</f>
        <v>1.94</v>
      </c>
      <c r="G5325">
        <f>IFERROR(VLOOKUP($A5325,原始数据_收盘!$A$4:$G$3460,7,0),"")</f>
        <v>2.4525</v>
      </c>
      <c r="H5325">
        <f>IFERROR(VLOOKUP($A5325,原始数据_利率互换_FR007_1年!$A$6:$C$4395,2,0),"")</f>
        <v>1.935</v>
      </c>
      <c r="I5325">
        <f>IFERROR(VLOOKUP($A5325,原始数据_利率互换_FR007_1年!$A$6:$C$4395,3,0),"")</f>
        <v>2.4498</v>
      </c>
    </row>
    <row r="5326" spans="1:9">
      <c r="A5326" s="6">
        <v>44819</v>
      </c>
      <c r="B5326">
        <f>IFERROR(VLOOKUP($A5326,原始数据_收盘!$A$4:$G$3460,2,0),"")</f>
        <v>1.955</v>
      </c>
      <c r="C5326">
        <f>IFERROR(VLOOKUP($A5326,原始数据_收盘!$A$4:$G$3460,3,0),"")</f>
        <v>2.4575</v>
      </c>
      <c r="D5326">
        <f>IFERROR(VLOOKUP($A5326,原始数据_收盘!$A$4:$G$3460,4,0),"")</f>
        <v>1.9575</v>
      </c>
      <c r="E5326">
        <f>IFERROR(VLOOKUP($A5326,原始数据_收盘!$A$4:$G$3460,5,0),"")</f>
        <v>2.46</v>
      </c>
      <c r="F5326">
        <f>IFERROR(VLOOKUP($A5326,原始数据_收盘!$A$4:$G$3460,6,0),"")</f>
        <v>1.9563</v>
      </c>
      <c r="G5326">
        <f>IFERROR(VLOOKUP($A5326,原始数据_收盘!$A$4:$G$3460,7,0),"")</f>
        <v>2.4588</v>
      </c>
      <c r="H5326">
        <f>IFERROR(VLOOKUP($A5326,原始数据_利率互换_FR007_1年!$A$6:$C$4395,2,0),"")</f>
        <v>1.9439</v>
      </c>
      <c r="I5326">
        <f>IFERROR(VLOOKUP($A5326,原始数据_利率互换_FR007_1年!$A$6:$C$4395,3,0),"")</f>
        <v>2.4521</v>
      </c>
    </row>
    <row r="5327" spans="1:9">
      <c r="A5327" s="6">
        <v>44820</v>
      </c>
      <c r="B5327">
        <f>IFERROR(VLOOKUP($A5327,原始数据_收盘!$A$4:$G$3460,2,0),"")</f>
        <v>1.965</v>
      </c>
      <c r="C5327">
        <f>IFERROR(VLOOKUP($A5327,原始数据_收盘!$A$4:$G$3460,3,0),"")</f>
        <v>2.4675</v>
      </c>
      <c r="D5327">
        <f>IFERROR(VLOOKUP($A5327,原始数据_收盘!$A$4:$G$3460,4,0),"")</f>
        <v>1.9694</v>
      </c>
      <c r="E5327">
        <f>IFERROR(VLOOKUP($A5327,原始数据_收盘!$A$4:$G$3460,5,0),"")</f>
        <v>2.4701</v>
      </c>
      <c r="F5327">
        <f>IFERROR(VLOOKUP($A5327,原始数据_收盘!$A$4:$G$3460,6,0),"")</f>
        <v>1.9672</v>
      </c>
      <c r="G5327">
        <f>IFERROR(VLOOKUP($A5327,原始数据_收盘!$A$4:$G$3460,7,0),"")</f>
        <v>2.4688</v>
      </c>
      <c r="H5327">
        <f>IFERROR(VLOOKUP($A5327,原始数据_利率互换_FR007_1年!$A$6:$C$4395,2,0),"")</f>
        <v>1.9756</v>
      </c>
      <c r="I5327">
        <f>IFERROR(VLOOKUP($A5327,原始数据_利率互换_FR007_1年!$A$6:$C$4395,3,0),"")</f>
        <v>2.479</v>
      </c>
    </row>
    <row r="5328" spans="1:9">
      <c r="A5328" s="6">
        <v>44821</v>
      </c>
      <c r="B5328" t="str">
        <f>IFERROR(VLOOKUP($A5328,原始数据_收盘!$A$4:$G$3460,2,0),"")</f>
        <v/>
      </c>
      <c r="C5328" t="str">
        <f>IFERROR(VLOOKUP($A5328,原始数据_收盘!$A$4:$G$3460,3,0),"")</f>
        <v/>
      </c>
      <c r="D5328" t="str">
        <f>IFERROR(VLOOKUP($A5328,原始数据_收盘!$A$4:$G$3460,4,0),"")</f>
        <v/>
      </c>
      <c r="E5328" t="str">
        <f>IFERROR(VLOOKUP($A5328,原始数据_收盘!$A$4:$G$3460,5,0),"")</f>
        <v/>
      </c>
      <c r="F5328" t="str">
        <f>IFERROR(VLOOKUP($A5328,原始数据_收盘!$A$4:$G$3460,6,0),"")</f>
        <v/>
      </c>
      <c r="G5328" t="str">
        <f>IFERROR(VLOOKUP($A5328,原始数据_收盘!$A$4:$G$3460,7,0),"")</f>
        <v/>
      </c>
      <c r="H5328" t="str">
        <f>IFERROR(VLOOKUP($A5328,原始数据_利率互换_FR007_1年!$A$6:$C$4395,2,0),"")</f>
        <v/>
      </c>
      <c r="I5328" t="str">
        <f>IFERROR(VLOOKUP($A5328,原始数据_利率互换_FR007_1年!$A$6:$C$4395,3,0),"")</f>
        <v/>
      </c>
    </row>
    <row r="5329" spans="1:9">
      <c r="A5329" s="6">
        <v>44822</v>
      </c>
      <c r="B5329" t="str">
        <f>IFERROR(VLOOKUP($A5329,原始数据_收盘!$A$4:$G$3460,2,0),"")</f>
        <v/>
      </c>
      <c r="C5329" t="str">
        <f>IFERROR(VLOOKUP($A5329,原始数据_收盘!$A$4:$G$3460,3,0),"")</f>
        <v/>
      </c>
      <c r="D5329" t="str">
        <f>IFERROR(VLOOKUP($A5329,原始数据_收盘!$A$4:$G$3460,4,0),"")</f>
        <v/>
      </c>
      <c r="E5329" t="str">
        <f>IFERROR(VLOOKUP($A5329,原始数据_收盘!$A$4:$G$3460,5,0),"")</f>
        <v/>
      </c>
      <c r="F5329" t="str">
        <f>IFERROR(VLOOKUP($A5329,原始数据_收盘!$A$4:$G$3460,6,0),"")</f>
        <v/>
      </c>
      <c r="G5329" t="str">
        <f>IFERROR(VLOOKUP($A5329,原始数据_收盘!$A$4:$G$3460,7,0),"")</f>
        <v/>
      </c>
      <c r="H5329" t="str">
        <f>IFERROR(VLOOKUP($A5329,原始数据_利率互换_FR007_1年!$A$6:$C$4395,2,0),"")</f>
        <v/>
      </c>
      <c r="I5329" t="str">
        <f>IFERROR(VLOOKUP($A5329,原始数据_利率互换_FR007_1年!$A$6:$C$4395,3,0),"")</f>
        <v/>
      </c>
    </row>
    <row r="5330" spans="1:9">
      <c r="A5330" s="6">
        <v>44823</v>
      </c>
      <c r="B5330">
        <f>IFERROR(VLOOKUP($A5330,原始数据_收盘!$A$4:$G$3460,2,0),"")</f>
        <v>1.965</v>
      </c>
      <c r="C5330">
        <f>IFERROR(VLOOKUP($A5330,原始数据_收盘!$A$4:$G$3460,3,0),"")</f>
        <v>2.4625</v>
      </c>
      <c r="D5330">
        <f>IFERROR(VLOOKUP($A5330,原始数据_收盘!$A$4:$G$3460,4,0),"")</f>
        <v>1.9675</v>
      </c>
      <c r="E5330">
        <f>IFERROR(VLOOKUP($A5330,原始数据_收盘!$A$4:$G$3460,5,0),"")</f>
        <v>2.465</v>
      </c>
      <c r="F5330">
        <f>IFERROR(VLOOKUP($A5330,原始数据_收盘!$A$4:$G$3460,6,0),"")</f>
        <v>1.9663</v>
      </c>
      <c r="G5330">
        <f>IFERROR(VLOOKUP($A5330,原始数据_收盘!$A$4:$G$3460,7,0),"")</f>
        <v>2.4638</v>
      </c>
      <c r="H5330">
        <f>IFERROR(VLOOKUP($A5330,原始数据_利率互换_FR007_1年!$A$6:$C$4395,2,0),"")</f>
        <v>1.9686</v>
      </c>
      <c r="I5330">
        <f>IFERROR(VLOOKUP($A5330,原始数据_利率互换_FR007_1年!$A$6:$C$4395,3,0),"")</f>
        <v>2.4685</v>
      </c>
    </row>
    <row r="5331" spans="1:9">
      <c r="A5331" s="6">
        <v>44824</v>
      </c>
      <c r="B5331">
        <f>IFERROR(VLOOKUP($A5331,原始数据_收盘!$A$4:$G$3460,2,0),"")</f>
        <v>1.9475</v>
      </c>
      <c r="C5331">
        <f>IFERROR(VLOOKUP($A5331,原始数据_收盘!$A$4:$G$3460,3,0),"")</f>
        <v>2.445</v>
      </c>
      <c r="D5331">
        <f>IFERROR(VLOOKUP($A5331,原始数据_收盘!$A$4:$G$3460,4,0),"")</f>
        <v>1.95</v>
      </c>
      <c r="E5331">
        <f>IFERROR(VLOOKUP($A5331,原始数据_收盘!$A$4:$G$3460,5,0),"")</f>
        <v>2.4475</v>
      </c>
      <c r="F5331">
        <f>IFERROR(VLOOKUP($A5331,原始数据_收盘!$A$4:$G$3460,6,0),"")</f>
        <v>1.9488</v>
      </c>
      <c r="G5331">
        <f>IFERROR(VLOOKUP($A5331,原始数据_收盘!$A$4:$G$3460,7,0),"")</f>
        <v>2.4463</v>
      </c>
      <c r="H5331">
        <f>IFERROR(VLOOKUP($A5331,原始数据_利率互换_FR007_1年!$A$6:$C$4395,2,0),"")</f>
        <v>1.9562</v>
      </c>
      <c r="I5331">
        <f>IFERROR(VLOOKUP($A5331,原始数据_利率互换_FR007_1年!$A$6:$C$4395,3,0),"")</f>
        <v>2.4554</v>
      </c>
    </row>
    <row r="5332" spans="1:9">
      <c r="A5332" s="6">
        <v>44825</v>
      </c>
      <c r="B5332">
        <f>IFERROR(VLOOKUP($A5332,原始数据_收盘!$A$4:$G$3460,2,0),"")</f>
        <v>1.945</v>
      </c>
      <c r="C5332">
        <f>IFERROR(VLOOKUP($A5332,原始数据_收盘!$A$4:$G$3460,3,0),"")</f>
        <v>2.44</v>
      </c>
      <c r="D5332">
        <f>IFERROR(VLOOKUP($A5332,原始数据_收盘!$A$4:$G$3460,4,0),"")</f>
        <v>1.95</v>
      </c>
      <c r="E5332">
        <f>IFERROR(VLOOKUP($A5332,原始数据_收盘!$A$4:$G$3460,5,0),"")</f>
        <v>2.4425</v>
      </c>
      <c r="F5332">
        <f>IFERROR(VLOOKUP($A5332,原始数据_收盘!$A$4:$G$3460,6,0),"")</f>
        <v>1.9475</v>
      </c>
      <c r="G5332">
        <f>IFERROR(VLOOKUP($A5332,原始数据_收盘!$A$4:$G$3460,7,0),"")</f>
        <v>2.4413</v>
      </c>
      <c r="H5332">
        <f>IFERROR(VLOOKUP($A5332,原始数据_利率互换_FR007_1年!$A$6:$C$4395,2,0),"")</f>
        <v>1.9533</v>
      </c>
      <c r="I5332">
        <f>IFERROR(VLOOKUP($A5332,原始数据_利率互换_FR007_1年!$A$6:$C$4395,3,0),"")</f>
        <v>2.4465</v>
      </c>
    </row>
    <row r="5333" spans="1:9">
      <c r="A5333" s="6">
        <v>44826</v>
      </c>
      <c r="B5333">
        <f>IFERROR(VLOOKUP($A5333,原始数据_收盘!$A$4:$G$3460,2,0),"")</f>
        <v>1.9625</v>
      </c>
      <c r="C5333">
        <f>IFERROR(VLOOKUP($A5333,原始数据_收盘!$A$4:$G$3460,3,0),"")</f>
        <v>2.4525</v>
      </c>
      <c r="D5333">
        <f>IFERROR(VLOOKUP($A5333,原始数据_收盘!$A$4:$G$3460,4,0),"")</f>
        <v>1.965</v>
      </c>
      <c r="E5333">
        <f>IFERROR(VLOOKUP($A5333,原始数据_收盘!$A$4:$G$3460,5,0),"")</f>
        <v>2.455</v>
      </c>
      <c r="F5333">
        <f>IFERROR(VLOOKUP($A5333,原始数据_收盘!$A$4:$G$3460,6,0),"")</f>
        <v>1.9638</v>
      </c>
      <c r="G5333">
        <f>IFERROR(VLOOKUP($A5333,原始数据_收盘!$A$4:$G$3460,7,0),"")</f>
        <v>2.4538</v>
      </c>
      <c r="H5333">
        <f>IFERROR(VLOOKUP($A5333,原始数据_利率互换_FR007_1年!$A$6:$C$4395,2,0),"")</f>
        <v>1.9617</v>
      </c>
      <c r="I5333">
        <f>IFERROR(VLOOKUP($A5333,原始数据_利率互换_FR007_1年!$A$6:$C$4395,3,0),"")</f>
        <v>2.451</v>
      </c>
    </row>
    <row r="5334" spans="1:9">
      <c r="A5334" s="6">
        <v>44827</v>
      </c>
      <c r="B5334">
        <f>IFERROR(VLOOKUP($A5334,原始数据_收盘!$A$4:$G$3460,2,0),"")</f>
        <v>1.9725</v>
      </c>
      <c r="C5334">
        <f>IFERROR(VLOOKUP($A5334,原始数据_收盘!$A$4:$G$3460,3,0),"")</f>
        <v>2.48</v>
      </c>
      <c r="D5334">
        <f>IFERROR(VLOOKUP($A5334,原始数据_收盘!$A$4:$G$3460,4,0),"")</f>
        <v>1.9754</v>
      </c>
      <c r="E5334">
        <f>IFERROR(VLOOKUP($A5334,原始数据_收盘!$A$4:$G$3460,5,0),"")</f>
        <v>2.4825</v>
      </c>
      <c r="F5334">
        <f>IFERROR(VLOOKUP($A5334,原始数据_收盘!$A$4:$G$3460,6,0),"")</f>
        <v>1.974</v>
      </c>
      <c r="G5334">
        <f>IFERROR(VLOOKUP($A5334,原始数据_收盘!$A$4:$G$3460,7,0),"")</f>
        <v>2.4813</v>
      </c>
      <c r="H5334">
        <f>IFERROR(VLOOKUP($A5334,原始数据_利率互换_FR007_1年!$A$6:$C$4395,2,0),"")</f>
        <v>1.9687</v>
      </c>
      <c r="I5334">
        <f>IFERROR(VLOOKUP($A5334,原始数据_利率互换_FR007_1年!$A$6:$C$4395,3,0),"")</f>
        <v>2.4721</v>
      </c>
    </row>
    <row r="5335" spans="1:9">
      <c r="A5335" s="6">
        <v>44828</v>
      </c>
      <c r="B5335" t="str">
        <f>IFERROR(VLOOKUP($A5335,原始数据_收盘!$A$4:$G$3460,2,0),"")</f>
        <v/>
      </c>
      <c r="C5335" t="str">
        <f>IFERROR(VLOOKUP($A5335,原始数据_收盘!$A$4:$G$3460,3,0),"")</f>
        <v/>
      </c>
      <c r="D5335" t="str">
        <f>IFERROR(VLOOKUP($A5335,原始数据_收盘!$A$4:$G$3460,4,0),"")</f>
        <v/>
      </c>
      <c r="E5335" t="str">
        <f>IFERROR(VLOOKUP($A5335,原始数据_收盘!$A$4:$G$3460,5,0),"")</f>
        <v/>
      </c>
      <c r="F5335" t="str">
        <f>IFERROR(VLOOKUP($A5335,原始数据_收盘!$A$4:$G$3460,6,0),"")</f>
        <v/>
      </c>
      <c r="G5335" t="str">
        <f>IFERROR(VLOOKUP($A5335,原始数据_收盘!$A$4:$G$3460,7,0),"")</f>
        <v/>
      </c>
      <c r="H5335" t="str">
        <f>IFERROR(VLOOKUP($A5335,原始数据_利率互换_FR007_1年!$A$6:$C$4395,2,0),"")</f>
        <v/>
      </c>
      <c r="I5335" t="str">
        <f>IFERROR(VLOOKUP($A5335,原始数据_利率互换_FR007_1年!$A$6:$C$4395,3,0),"")</f>
        <v/>
      </c>
    </row>
    <row r="5336" spans="1:9">
      <c r="A5336" s="6">
        <v>44829</v>
      </c>
      <c r="B5336" t="str">
        <f>IFERROR(VLOOKUP($A5336,原始数据_收盘!$A$4:$G$3460,2,0),"")</f>
        <v/>
      </c>
      <c r="C5336" t="str">
        <f>IFERROR(VLOOKUP($A5336,原始数据_收盘!$A$4:$G$3460,3,0),"")</f>
        <v/>
      </c>
      <c r="D5336" t="str">
        <f>IFERROR(VLOOKUP($A5336,原始数据_收盘!$A$4:$G$3460,4,0),"")</f>
        <v/>
      </c>
      <c r="E5336" t="str">
        <f>IFERROR(VLOOKUP($A5336,原始数据_收盘!$A$4:$G$3460,5,0),"")</f>
        <v/>
      </c>
      <c r="F5336" t="str">
        <f>IFERROR(VLOOKUP($A5336,原始数据_收盘!$A$4:$G$3460,6,0),"")</f>
        <v/>
      </c>
      <c r="G5336" t="str">
        <f>IFERROR(VLOOKUP($A5336,原始数据_收盘!$A$4:$G$3460,7,0),"")</f>
        <v/>
      </c>
      <c r="H5336" t="str">
        <f>IFERROR(VLOOKUP($A5336,原始数据_利率互换_FR007_1年!$A$6:$C$4395,2,0),"")</f>
        <v/>
      </c>
      <c r="I5336" t="str">
        <f>IFERROR(VLOOKUP($A5336,原始数据_利率互换_FR007_1年!$A$6:$C$4395,3,0),"")</f>
        <v/>
      </c>
    </row>
    <row r="5337" spans="1:9">
      <c r="A5337" s="6">
        <v>44830</v>
      </c>
      <c r="B5337">
        <f>IFERROR(VLOOKUP($A5337,原始数据_收盘!$A$4:$G$3460,2,0),"")</f>
        <v>2.015</v>
      </c>
      <c r="C5337">
        <f>IFERROR(VLOOKUP($A5337,原始数据_收盘!$A$4:$G$3460,3,0),"")</f>
        <v>2.5225</v>
      </c>
      <c r="D5337">
        <f>IFERROR(VLOOKUP($A5337,原始数据_收盘!$A$4:$G$3460,4,0),"")</f>
        <v>2.0175</v>
      </c>
      <c r="E5337">
        <f>IFERROR(VLOOKUP($A5337,原始数据_收盘!$A$4:$G$3460,5,0),"")</f>
        <v>2.525</v>
      </c>
      <c r="F5337">
        <f>IFERROR(VLOOKUP($A5337,原始数据_收盘!$A$4:$G$3460,6,0),"")</f>
        <v>2.0163</v>
      </c>
      <c r="G5337">
        <f>IFERROR(VLOOKUP($A5337,原始数据_收盘!$A$4:$G$3460,7,0),"")</f>
        <v>2.5238</v>
      </c>
      <c r="H5337">
        <f>IFERROR(VLOOKUP($A5337,原始数据_利率互换_FR007_1年!$A$6:$C$4395,2,0),"")</f>
        <v>2.0095</v>
      </c>
      <c r="I5337">
        <f>IFERROR(VLOOKUP($A5337,原始数据_利率互换_FR007_1年!$A$6:$C$4395,3,0),"")</f>
        <v>2.5082</v>
      </c>
    </row>
    <row r="5338" spans="1:9">
      <c r="A5338" s="6">
        <v>44831</v>
      </c>
      <c r="B5338">
        <f>IFERROR(VLOOKUP($A5338,原始数据_收盘!$A$4:$G$3460,2,0),"")</f>
        <v>1.9874</v>
      </c>
      <c r="C5338">
        <f>IFERROR(VLOOKUP($A5338,原始数据_收盘!$A$4:$G$3460,3,0),"")</f>
        <v>2.5096</v>
      </c>
      <c r="D5338">
        <f>IFERROR(VLOOKUP($A5338,原始数据_收盘!$A$4:$G$3460,4,0),"")</f>
        <v>1.9906</v>
      </c>
      <c r="E5338">
        <f>IFERROR(VLOOKUP($A5338,原始数据_收盘!$A$4:$G$3460,5,0),"")</f>
        <v>2.5125</v>
      </c>
      <c r="F5338">
        <f>IFERROR(VLOOKUP($A5338,原始数据_收盘!$A$4:$G$3460,6,0),"")</f>
        <v>1.989</v>
      </c>
      <c r="G5338">
        <f>IFERROR(VLOOKUP($A5338,原始数据_收盘!$A$4:$G$3460,7,0),"")</f>
        <v>2.511</v>
      </c>
      <c r="H5338">
        <f>IFERROR(VLOOKUP($A5338,原始数据_利率互换_FR007_1年!$A$6:$C$4395,2,0),"")</f>
        <v>1.9974</v>
      </c>
      <c r="I5338">
        <f>IFERROR(VLOOKUP($A5338,原始数据_利率互换_FR007_1年!$A$6:$C$4395,3,0),"")</f>
        <v>2.5158</v>
      </c>
    </row>
    <row r="5339" spans="1:9">
      <c r="A5339" s="6">
        <v>44832</v>
      </c>
      <c r="B5339">
        <f>IFERROR(VLOOKUP($A5339,原始数据_收盘!$A$4:$G$3460,2,0),"")</f>
        <v>2.0068</v>
      </c>
      <c r="C5339">
        <f>IFERROR(VLOOKUP($A5339,原始数据_收盘!$A$4:$G$3460,3,0),"")</f>
        <v>2.5393</v>
      </c>
      <c r="D5339">
        <f>IFERROR(VLOOKUP($A5339,原始数据_收盘!$A$4:$G$3460,4,0),"")</f>
        <v>2.0103</v>
      </c>
      <c r="E5339">
        <f>IFERROR(VLOOKUP($A5339,原始数据_收盘!$A$4:$G$3460,5,0),"")</f>
        <v>2.5421</v>
      </c>
      <c r="F5339">
        <f>IFERROR(VLOOKUP($A5339,原始数据_收盘!$A$4:$G$3460,6,0),"")</f>
        <v>2.0085</v>
      </c>
      <c r="G5339">
        <f>IFERROR(VLOOKUP($A5339,原始数据_收盘!$A$4:$G$3460,7,0),"")</f>
        <v>2.5407</v>
      </c>
      <c r="H5339">
        <f>IFERROR(VLOOKUP($A5339,原始数据_利率互换_FR007_1年!$A$6:$C$4395,2,0),"")</f>
        <v>1.9991</v>
      </c>
      <c r="I5339">
        <f>IFERROR(VLOOKUP($A5339,原始数据_利率互换_FR007_1年!$A$6:$C$4395,3,0),"")</f>
        <v>2.5303</v>
      </c>
    </row>
    <row r="5340" spans="1:9">
      <c r="A5340" s="6">
        <v>44833</v>
      </c>
      <c r="B5340">
        <f>IFERROR(VLOOKUP($A5340,原始数据_收盘!$A$4:$G$3460,2,0),"")</f>
        <v>2.035</v>
      </c>
      <c r="C5340">
        <f>IFERROR(VLOOKUP($A5340,原始数据_收盘!$A$4:$G$3460,3,0),"")</f>
        <v>2.565</v>
      </c>
      <c r="D5340">
        <f>IFERROR(VLOOKUP($A5340,原始数据_收盘!$A$4:$G$3460,4,0),"")</f>
        <v>2.04</v>
      </c>
      <c r="E5340">
        <f>IFERROR(VLOOKUP($A5340,原始数据_收盘!$A$4:$G$3460,5,0),"")</f>
        <v>2.57</v>
      </c>
      <c r="F5340">
        <f>IFERROR(VLOOKUP($A5340,原始数据_收盘!$A$4:$G$3460,6,0),"")</f>
        <v>2.0375</v>
      </c>
      <c r="G5340">
        <f>IFERROR(VLOOKUP($A5340,原始数据_收盘!$A$4:$G$3460,7,0),"")</f>
        <v>2.5675</v>
      </c>
      <c r="H5340">
        <f>IFERROR(VLOOKUP($A5340,原始数据_利率互换_FR007_1年!$A$6:$C$4395,2,0),"")</f>
        <v>2.0235</v>
      </c>
      <c r="I5340">
        <f>IFERROR(VLOOKUP($A5340,原始数据_利率互换_FR007_1年!$A$6:$C$4395,3,0),"")</f>
        <v>2.5461</v>
      </c>
    </row>
    <row r="5341" spans="1:9">
      <c r="A5341" s="6">
        <v>44834</v>
      </c>
      <c r="B5341">
        <f>IFERROR(VLOOKUP($A5341,原始数据_收盘!$A$4:$G$3460,2,0),"")</f>
        <v>2.0199</v>
      </c>
      <c r="C5341">
        <f>IFERROR(VLOOKUP($A5341,原始数据_收盘!$A$4:$G$3460,3,0),"")</f>
        <v>2.5675</v>
      </c>
      <c r="D5341">
        <f>IFERROR(VLOOKUP($A5341,原始数据_收盘!$A$4:$G$3460,4,0),"")</f>
        <v>2.0225</v>
      </c>
      <c r="E5341">
        <f>IFERROR(VLOOKUP($A5341,原始数据_收盘!$A$4:$G$3460,5,0),"")</f>
        <v>2.57</v>
      </c>
      <c r="F5341">
        <f>IFERROR(VLOOKUP($A5341,原始数据_收盘!$A$4:$G$3460,6,0),"")</f>
        <v>2.0212</v>
      </c>
      <c r="G5341">
        <f>IFERROR(VLOOKUP($A5341,原始数据_收盘!$A$4:$G$3460,7,0),"")</f>
        <v>2.5688</v>
      </c>
      <c r="H5341">
        <f>IFERROR(VLOOKUP($A5341,原始数据_利率互换_FR007_1年!$A$6:$C$4395,2,0),"")</f>
        <v>2.0235</v>
      </c>
      <c r="I5341">
        <f>IFERROR(VLOOKUP($A5341,原始数据_利率互换_FR007_1年!$A$6:$C$4395,3,0),"")</f>
        <v>2.5707</v>
      </c>
    </row>
    <row r="5342" spans="1:9">
      <c r="A5342" s="6">
        <v>44835</v>
      </c>
      <c r="B5342" t="str">
        <f>IFERROR(VLOOKUP($A5342,原始数据_收盘!$A$4:$G$3460,2,0),"")</f>
        <v/>
      </c>
      <c r="C5342" t="str">
        <f>IFERROR(VLOOKUP($A5342,原始数据_收盘!$A$4:$G$3460,3,0),"")</f>
        <v/>
      </c>
      <c r="D5342" t="str">
        <f>IFERROR(VLOOKUP($A5342,原始数据_收盘!$A$4:$G$3460,4,0),"")</f>
        <v/>
      </c>
      <c r="E5342" t="str">
        <f>IFERROR(VLOOKUP($A5342,原始数据_收盘!$A$4:$G$3460,5,0),"")</f>
        <v/>
      </c>
      <c r="F5342" t="str">
        <f>IFERROR(VLOOKUP($A5342,原始数据_收盘!$A$4:$G$3460,6,0),"")</f>
        <v/>
      </c>
      <c r="G5342" t="str">
        <f>IFERROR(VLOOKUP($A5342,原始数据_收盘!$A$4:$G$3460,7,0),"")</f>
        <v/>
      </c>
      <c r="H5342" t="str">
        <f>IFERROR(VLOOKUP($A5342,原始数据_利率互换_FR007_1年!$A$6:$C$4395,2,0),"")</f>
        <v/>
      </c>
      <c r="I5342" t="str">
        <f>IFERROR(VLOOKUP($A5342,原始数据_利率互换_FR007_1年!$A$6:$C$4395,3,0),"")</f>
        <v/>
      </c>
    </row>
    <row r="5343" spans="1:9">
      <c r="A5343" s="6">
        <v>44836</v>
      </c>
      <c r="B5343" t="str">
        <f>IFERROR(VLOOKUP($A5343,原始数据_收盘!$A$4:$G$3460,2,0),"")</f>
        <v/>
      </c>
      <c r="C5343" t="str">
        <f>IFERROR(VLOOKUP($A5343,原始数据_收盘!$A$4:$G$3460,3,0),"")</f>
        <v/>
      </c>
      <c r="D5343" t="str">
        <f>IFERROR(VLOOKUP($A5343,原始数据_收盘!$A$4:$G$3460,4,0),"")</f>
        <v/>
      </c>
      <c r="E5343" t="str">
        <f>IFERROR(VLOOKUP($A5343,原始数据_收盘!$A$4:$G$3460,5,0),"")</f>
        <v/>
      </c>
      <c r="F5343" t="str">
        <f>IFERROR(VLOOKUP($A5343,原始数据_收盘!$A$4:$G$3460,6,0),"")</f>
        <v/>
      </c>
      <c r="G5343" t="str">
        <f>IFERROR(VLOOKUP($A5343,原始数据_收盘!$A$4:$G$3460,7,0),"")</f>
        <v/>
      </c>
      <c r="H5343" t="str">
        <f>IFERROR(VLOOKUP($A5343,原始数据_利率互换_FR007_1年!$A$6:$C$4395,2,0),"")</f>
        <v/>
      </c>
      <c r="I5343" t="str">
        <f>IFERROR(VLOOKUP($A5343,原始数据_利率互换_FR007_1年!$A$6:$C$4395,3,0),"")</f>
        <v/>
      </c>
    </row>
    <row r="5344" spans="1:9">
      <c r="A5344" s="6">
        <v>44837</v>
      </c>
      <c r="B5344" t="str">
        <f>IFERROR(VLOOKUP($A5344,原始数据_收盘!$A$4:$G$3460,2,0),"")</f>
        <v/>
      </c>
      <c r="C5344" t="str">
        <f>IFERROR(VLOOKUP($A5344,原始数据_收盘!$A$4:$G$3460,3,0),"")</f>
        <v/>
      </c>
      <c r="D5344" t="str">
        <f>IFERROR(VLOOKUP($A5344,原始数据_收盘!$A$4:$G$3460,4,0),"")</f>
        <v/>
      </c>
      <c r="E5344" t="str">
        <f>IFERROR(VLOOKUP($A5344,原始数据_收盘!$A$4:$G$3460,5,0),"")</f>
        <v/>
      </c>
      <c r="F5344" t="str">
        <f>IFERROR(VLOOKUP($A5344,原始数据_收盘!$A$4:$G$3460,6,0),"")</f>
        <v/>
      </c>
      <c r="G5344" t="str">
        <f>IFERROR(VLOOKUP($A5344,原始数据_收盘!$A$4:$G$3460,7,0),"")</f>
        <v/>
      </c>
      <c r="H5344" t="str">
        <f>IFERROR(VLOOKUP($A5344,原始数据_利率互换_FR007_1年!$A$6:$C$4395,2,0),"")</f>
        <v/>
      </c>
      <c r="I5344" t="str">
        <f>IFERROR(VLOOKUP($A5344,原始数据_利率互换_FR007_1年!$A$6:$C$4395,3,0),"")</f>
        <v/>
      </c>
    </row>
    <row r="5345" spans="1:9">
      <c r="A5345" s="6">
        <v>44838</v>
      </c>
      <c r="B5345" t="str">
        <f>IFERROR(VLOOKUP($A5345,原始数据_收盘!$A$4:$G$3460,2,0),"")</f>
        <v/>
      </c>
      <c r="C5345" t="str">
        <f>IFERROR(VLOOKUP($A5345,原始数据_收盘!$A$4:$G$3460,3,0),"")</f>
        <v/>
      </c>
      <c r="D5345" t="str">
        <f>IFERROR(VLOOKUP($A5345,原始数据_收盘!$A$4:$G$3460,4,0),"")</f>
        <v/>
      </c>
      <c r="E5345" t="str">
        <f>IFERROR(VLOOKUP($A5345,原始数据_收盘!$A$4:$G$3460,5,0),"")</f>
        <v/>
      </c>
      <c r="F5345" t="str">
        <f>IFERROR(VLOOKUP($A5345,原始数据_收盘!$A$4:$G$3460,6,0),"")</f>
        <v/>
      </c>
      <c r="G5345" t="str">
        <f>IFERROR(VLOOKUP($A5345,原始数据_收盘!$A$4:$G$3460,7,0),"")</f>
        <v/>
      </c>
      <c r="H5345" t="str">
        <f>IFERROR(VLOOKUP($A5345,原始数据_利率互换_FR007_1年!$A$6:$C$4395,2,0),"")</f>
        <v/>
      </c>
      <c r="I5345" t="str">
        <f>IFERROR(VLOOKUP($A5345,原始数据_利率互换_FR007_1年!$A$6:$C$4395,3,0),"")</f>
        <v/>
      </c>
    </row>
    <row r="5346" spans="1:9">
      <c r="A5346" s="6">
        <v>44839</v>
      </c>
      <c r="B5346" t="str">
        <f>IFERROR(VLOOKUP($A5346,原始数据_收盘!$A$4:$G$3460,2,0),"")</f>
        <v/>
      </c>
      <c r="C5346" t="str">
        <f>IFERROR(VLOOKUP($A5346,原始数据_收盘!$A$4:$G$3460,3,0),"")</f>
        <v/>
      </c>
      <c r="D5346" t="str">
        <f>IFERROR(VLOOKUP($A5346,原始数据_收盘!$A$4:$G$3460,4,0),"")</f>
        <v/>
      </c>
      <c r="E5346" t="str">
        <f>IFERROR(VLOOKUP($A5346,原始数据_收盘!$A$4:$G$3460,5,0),"")</f>
        <v/>
      </c>
      <c r="F5346" t="str">
        <f>IFERROR(VLOOKUP($A5346,原始数据_收盘!$A$4:$G$3460,6,0),"")</f>
        <v/>
      </c>
      <c r="G5346" t="str">
        <f>IFERROR(VLOOKUP($A5346,原始数据_收盘!$A$4:$G$3460,7,0),"")</f>
        <v/>
      </c>
      <c r="H5346" t="str">
        <f>IFERROR(VLOOKUP($A5346,原始数据_利率互换_FR007_1年!$A$6:$C$4395,2,0),"")</f>
        <v/>
      </c>
      <c r="I5346" t="str">
        <f>IFERROR(VLOOKUP($A5346,原始数据_利率互换_FR007_1年!$A$6:$C$4395,3,0),"")</f>
        <v/>
      </c>
    </row>
    <row r="5347" spans="1:9">
      <c r="A5347" s="6">
        <v>44840</v>
      </c>
      <c r="B5347" t="str">
        <f>IFERROR(VLOOKUP($A5347,原始数据_收盘!$A$4:$G$3460,2,0),"")</f>
        <v/>
      </c>
      <c r="C5347" t="str">
        <f>IFERROR(VLOOKUP($A5347,原始数据_收盘!$A$4:$G$3460,3,0),"")</f>
        <v/>
      </c>
      <c r="D5347" t="str">
        <f>IFERROR(VLOOKUP($A5347,原始数据_收盘!$A$4:$G$3460,4,0),"")</f>
        <v/>
      </c>
      <c r="E5347" t="str">
        <f>IFERROR(VLOOKUP($A5347,原始数据_收盘!$A$4:$G$3460,5,0),"")</f>
        <v/>
      </c>
      <c r="F5347" t="str">
        <f>IFERROR(VLOOKUP($A5347,原始数据_收盘!$A$4:$G$3460,6,0),"")</f>
        <v/>
      </c>
      <c r="G5347" t="str">
        <f>IFERROR(VLOOKUP($A5347,原始数据_收盘!$A$4:$G$3460,7,0),"")</f>
        <v/>
      </c>
      <c r="H5347" t="str">
        <f>IFERROR(VLOOKUP($A5347,原始数据_利率互换_FR007_1年!$A$6:$C$4395,2,0),"")</f>
        <v/>
      </c>
      <c r="I5347" t="str">
        <f>IFERROR(VLOOKUP($A5347,原始数据_利率互换_FR007_1年!$A$6:$C$4395,3,0),"")</f>
        <v/>
      </c>
    </row>
    <row r="5348" spans="1:9">
      <c r="A5348" s="6">
        <v>44841</v>
      </c>
      <c r="B5348" t="str">
        <f>IFERROR(VLOOKUP($A5348,原始数据_收盘!$A$4:$G$3460,2,0),"")</f>
        <v/>
      </c>
      <c r="C5348" t="str">
        <f>IFERROR(VLOOKUP($A5348,原始数据_收盘!$A$4:$G$3460,3,0),"")</f>
        <v/>
      </c>
      <c r="D5348" t="str">
        <f>IFERROR(VLOOKUP($A5348,原始数据_收盘!$A$4:$G$3460,4,0),"")</f>
        <v/>
      </c>
      <c r="E5348" t="str">
        <f>IFERROR(VLOOKUP($A5348,原始数据_收盘!$A$4:$G$3460,5,0),"")</f>
        <v/>
      </c>
      <c r="F5348" t="str">
        <f>IFERROR(VLOOKUP($A5348,原始数据_收盘!$A$4:$G$3460,6,0),"")</f>
        <v/>
      </c>
      <c r="G5348" t="str">
        <f>IFERROR(VLOOKUP($A5348,原始数据_收盘!$A$4:$G$3460,7,0),"")</f>
        <v/>
      </c>
      <c r="H5348" t="str">
        <f>IFERROR(VLOOKUP($A5348,原始数据_利率互换_FR007_1年!$A$6:$C$4395,2,0),"")</f>
        <v/>
      </c>
      <c r="I5348" t="str">
        <f>IFERROR(VLOOKUP($A5348,原始数据_利率互换_FR007_1年!$A$6:$C$4395,3,0),"")</f>
        <v/>
      </c>
    </row>
    <row r="5349" spans="1:9">
      <c r="A5349" s="6">
        <v>44842</v>
      </c>
      <c r="B5349">
        <f>IFERROR(VLOOKUP($A5349,原始数据_收盘!$A$4:$G$3460,2,0),"")</f>
        <v>2.015</v>
      </c>
      <c r="C5349">
        <f>IFERROR(VLOOKUP($A5349,原始数据_收盘!$A$4:$G$3460,3,0),"")</f>
        <v>2.56</v>
      </c>
      <c r="D5349">
        <f>IFERROR(VLOOKUP($A5349,原始数据_收盘!$A$4:$G$3460,4,0),"")</f>
        <v>2.05</v>
      </c>
      <c r="E5349">
        <f>IFERROR(VLOOKUP($A5349,原始数据_收盘!$A$4:$G$3460,5,0),"")</f>
        <v>2.595</v>
      </c>
      <c r="F5349">
        <f>IFERROR(VLOOKUP($A5349,原始数据_收盘!$A$4:$G$3460,6,0),"")</f>
        <v>2.0325</v>
      </c>
      <c r="G5349">
        <f>IFERROR(VLOOKUP($A5349,原始数据_收盘!$A$4:$G$3460,7,0),"")</f>
        <v>2.5775</v>
      </c>
      <c r="H5349">
        <f>IFERROR(VLOOKUP($A5349,原始数据_利率互换_FR007_1年!$A$6:$C$4395,2,0),"")</f>
        <v>2.015</v>
      </c>
      <c r="I5349">
        <f>IFERROR(VLOOKUP($A5349,原始数据_利率互换_FR007_1年!$A$6:$C$4395,3,0),"")</f>
        <v>2.55</v>
      </c>
    </row>
    <row r="5350" spans="1:9">
      <c r="A5350" s="6">
        <v>44843</v>
      </c>
      <c r="B5350">
        <f>IFERROR(VLOOKUP($A5350,原始数据_收盘!$A$4:$G$3460,2,0),"")</f>
        <v>1.9925</v>
      </c>
      <c r="C5350">
        <f>IFERROR(VLOOKUP($A5350,原始数据_收盘!$A$4:$G$3460,3,0),"")</f>
        <v>2.5475</v>
      </c>
      <c r="D5350">
        <f>IFERROR(VLOOKUP($A5350,原始数据_收盘!$A$4:$G$3460,4,0),"")</f>
        <v>2.01</v>
      </c>
      <c r="E5350">
        <f>IFERROR(VLOOKUP($A5350,原始数据_收盘!$A$4:$G$3460,5,0),"")</f>
        <v>2.5525</v>
      </c>
      <c r="F5350">
        <f>IFERROR(VLOOKUP($A5350,原始数据_收盘!$A$4:$G$3460,6,0),"")</f>
        <v>2.0013</v>
      </c>
      <c r="G5350">
        <f>IFERROR(VLOOKUP($A5350,原始数据_收盘!$A$4:$G$3460,7,0),"")</f>
        <v>2.55</v>
      </c>
      <c r="H5350">
        <f>IFERROR(VLOOKUP($A5350,原始数据_利率互换_FR007_1年!$A$6:$C$4395,2,0),"")</f>
        <v>2.0033</v>
      </c>
      <c r="I5350">
        <f>IFERROR(VLOOKUP($A5350,原始数据_利率互换_FR007_1年!$A$6:$C$4395,3,0),"")</f>
        <v>2.5503</v>
      </c>
    </row>
    <row r="5351" spans="1:9">
      <c r="A5351" s="6">
        <v>44844</v>
      </c>
      <c r="B5351">
        <f>IFERROR(VLOOKUP($A5351,原始数据_收盘!$A$4:$G$3460,2,0),"")</f>
        <v>1.9725</v>
      </c>
      <c r="C5351">
        <f>IFERROR(VLOOKUP($A5351,原始数据_收盘!$A$4:$G$3460,3,0),"")</f>
        <v>2.5325</v>
      </c>
      <c r="D5351">
        <f>IFERROR(VLOOKUP($A5351,原始数据_收盘!$A$4:$G$3460,4,0),"")</f>
        <v>1.9775</v>
      </c>
      <c r="E5351">
        <f>IFERROR(VLOOKUP($A5351,原始数据_收盘!$A$4:$G$3460,5,0),"")</f>
        <v>2.535</v>
      </c>
      <c r="F5351">
        <f>IFERROR(VLOOKUP($A5351,原始数据_收盘!$A$4:$G$3460,6,0),"")</f>
        <v>1.975</v>
      </c>
      <c r="G5351">
        <f>IFERROR(VLOOKUP($A5351,原始数据_收盘!$A$4:$G$3460,7,0),"")</f>
        <v>2.5338</v>
      </c>
      <c r="H5351">
        <f>IFERROR(VLOOKUP($A5351,原始数据_利率互换_FR007_1年!$A$6:$C$4395,2,0),"")</f>
        <v>1.9757</v>
      </c>
      <c r="I5351">
        <f>IFERROR(VLOOKUP($A5351,原始数据_利率互换_FR007_1年!$A$6:$C$4395,3,0),"")</f>
        <v>2.5374</v>
      </c>
    </row>
    <row r="5352" spans="1:9">
      <c r="A5352" s="6">
        <v>44845</v>
      </c>
      <c r="B5352">
        <f>IFERROR(VLOOKUP($A5352,原始数据_收盘!$A$4:$G$3460,2,0),"")</f>
        <v>1.98</v>
      </c>
      <c r="C5352">
        <f>IFERROR(VLOOKUP($A5352,原始数据_收盘!$A$4:$G$3460,3,0),"")</f>
        <v>2.5425</v>
      </c>
      <c r="D5352">
        <f>IFERROR(VLOOKUP($A5352,原始数据_收盘!$A$4:$G$3460,4,0),"")</f>
        <v>1.9844</v>
      </c>
      <c r="E5352">
        <f>IFERROR(VLOOKUP($A5352,原始数据_收盘!$A$4:$G$3460,5,0),"")</f>
        <v>2.545</v>
      </c>
      <c r="F5352">
        <f>IFERROR(VLOOKUP($A5352,原始数据_收盘!$A$4:$G$3460,6,0),"")</f>
        <v>1.9822</v>
      </c>
      <c r="G5352">
        <f>IFERROR(VLOOKUP($A5352,原始数据_收盘!$A$4:$G$3460,7,0),"")</f>
        <v>2.5438</v>
      </c>
      <c r="H5352">
        <f>IFERROR(VLOOKUP($A5352,原始数据_利率互换_FR007_1年!$A$6:$C$4395,2,0),"")</f>
        <v>1.9723</v>
      </c>
      <c r="I5352">
        <f>IFERROR(VLOOKUP($A5352,原始数据_利率互换_FR007_1年!$A$6:$C$4395,3,0),"")</f>
        <v>2.5285</v>
      </c>
    </row>
    <row r="5353" spans="1:9">
      <c r="A5353" s="6">
        <v>44846</v>
      </c>
      <c r="B5353">
        <f>IFERROR(VLOOKUP($A5353,原始数据_收盘!$A$4:$G$3460,2,0),"")</f>
        <v>1.9652</v>
      </c>
      <c r="C5353">
        <f>IFERROR(VLOOKUP($A5353,原始数据_收盘!$A$4:$G$3460,3,0),"")</f>
        <v>2.526</v>
      </c>
      <c r="D5353">
        <f>IFERROR(VLOOKUP($A5353,原始数据_收盘!$A$4:$G$3460,4,0),"")</f>
        <v>1.9686</v>
      </c>
      <c r="E5353">
        <f>IFERROR(VLOOKUP($A5353,原始数据_收盘!$A$4:$G$3460,5,0),"")</f>
        <v>2.5276</v>
      </c>
      <c r="F5353">
        <f>IFERROR(VLOOKUP($A5353,原始数据_收盘!$A$4:$G$3460,6,0),"")</f>
        <v>1.9669</v>
      </c>
      <c r="G5353">
        <f>IFERROR(VLOOKUP($A5353,原始数据_收盘!$A$4:$G$3460,7,0),"")</f>
        <v>2.5268</v>
      </c>
      <c r="H5353">
        <f>IFERROR(VLOOKUP($A5353,原始数据_利率互换_FR007_1年!$A$6:$C$4395,2,0),"")</f>
        <v>1.9716</v>
      </c>
      <c r="I5353">
        <f>IFERROR(VLOOKUP($A5353,原始数据_利率互换_FR007_1年!$A$6:$C$4395,3,0),"")</f>
        <v>2.5302</v>
      </c>
    </row>
    <row r="5354" spans="1:9">
      <c r="A5354" s="6">
        <v>44847</v>
      </c>
      <c r="B5354">
        <f>IFERROR(VLOOKUP($A5354,原始数据_收盘!$A$4:$G$3460,2,0),"")</f>
        <v>1.9625</v>
      </c>
      <c r="C5354">
        <f>IFERROR(VLOOKUP($A5354,原始数据_收盘!$A$4:$G$3460,3,0),"")</f>
        <v>2.5175</v>
      </c>
      <c r="D5354">
        <f>IFERROR(VLOOKUP($A5354,原始数据_收盘!$A$4:$G$3460,4,0),"")</f>
        <v>1.9675</v>
      </c>
      <c r="E5354">
        <f>IFERROR(VLOOKUP($A5354,原始数据_收盘!$A$4:$G$3460,5,0),"")</f>
        <v>2.52</v>
      </c>
      <c r="F5354">
        <f>IFERROR(VLOOKUP($A5354,原始数据_收盘!$A$4:$G$3460,6,0),"")</f>
        <v>1.965</v>
      </c>
      <c r="G5354">
        <f>IFERROR(VLOOKUP($A5354,原始数据_收盘!$A$4:$G$3460,7,0),"")</f>
        <v>2.5188</v>
      </c>
      <c r="H5354">
        <f>IFERROR(VLOOKUP($A5354,原始数据_利率互换_FR007_1年!$A$6:$C$4395,2,0),"")</f>
        <v>1.9607</v>
      </c>
      <c r="I5354">
        <f>IFERROR(VLOOKUP($A5354,原始数据_利率互换_FR007_1年!$A$6:$C$4395,3,0),"")</f>
        <v>2.5193</v>
      </c>
    </row>
    <row r="5355" spans="1:9">
      <c r="A5355" s="6">
        <v>44848</v>
      </c>
      <c r="B5355">
        <f>IFERROR(VLOOKUP($A5355,原始数据_收盘!$A$4:$G$3460,2,0),"")</f>
        <v>1.9475</v>
      </c>
      <c r="C5355">
        <f>IFERROR(VLOOKUP($A5355,原始数据_收盘!$A$4:$G$3460,3,0),"")</f>
        <v>2.495</v>
      </c>
      <c r="D5355">
        <f>IFERROR(VLOOKUP($A5355,原始数据_收盘!$A$4:$G$3460,4,0),"")</f>
        <v>1.9475</v>
      </c>
      <c r="E5355">
        <f>IFERROR(VLOOKUP($A5355,原始数据_收盘!$A$4:$G$3460,5,0),"")</f>
        <v>2.4975</v>
      </c>
      <c r="F5355">
        <f>IFERROR(VLOOKUP($A5355,原始数据_收盘!$A$4:$G$3460,6,0),"")</f>
        <v>1.9475</v>
      </c>
      <c r="G5355">
        <f>IFERROR(VLOOKUP($A5355,原始数据_收盘!$A$4:$G$3460,7,0),"")</f>
        <v>2.4963</v>
      </c>
      <c r="H5355">
        <f>IFERROR(VLOOKUP($A5355,原始数据_利率互换_FR007_1年!$A$6:$C$4395,2,0),"")</f>
        <v>1.9555</v>
      </c>
      <c r="I5355">
        <f>IFERROR(VLOOKUP($A5355,原始数据_利率互换_FR007_1年!$A$6:$C$4395,3,0),"")</f>
        <v>2.5115</v>
      </c>
    </row>
    <row r="5356" spans="1:9">
      <c r="A5356" s="6">
        <v>44849</v>
      </c>
      <c r="B5356" t="str">
        <f>IFERROR(VLOOKUP($A5356,原始数据_收盘!$A$4:$G$3460,2,0),"")</f>
        <v/>
      </c>
      <c r="C5356" t="str">
        <f>IFERROR(VLOOKUP($A5356,原始数据_收盘!$A$4:$G$3460,3,0),"")</f>
        <v/>
      </c>
      <c r="D5356" t="str">
        <f>IFERROR(VLOOKUP($A5356,原始数据_收盘!$A$4:$G$3460,4,0),"")</f>
        <v/>
      </c>
      <c r="E5356" t="str">
        <f>IFERROR(VLOOKUP($A5356,原始数据_收盘!$A$4:$G$3460,5,0),"")</f>
        <v/>
      </c>
      <c r="F5356" t="str">
        <f>IFERROR(VLOOKUP($A5356,原始数据_收盘!$A$4:$G$3460,6,0),"")</f>
        <v/>
      </c>
      <c r="G5356" t="str">
        <f>IFERROR(VLOOKUP($A5356,原始数据_收盘!$A$4:$G$3460,7,0),"")</f>
        <v/>
      </c>
      <c r="H5356" t="str">
        <f>IFERROR(VLOOKUP($A5356,原始数据_利率互换_FR007_1年!$A$6:$C$4395,2,0),"")</f>
        <v/>
      </c>
      <c r="I5356" t="str">
        <f>IFERROR(VLOOKUP($A5356,原始数据_利率互换_FR007_1年!$A$6:$C$4395,3,0),"")</f>
        <v/>
      </c>
    </row>
    <row r="5357" spans="1:9">
      <c r="A5357" s="6">
        <v>44850</v>
      </c>
      <c r="B5357" t="str">
        <f>IFERROR(VLOOKUP($A5357,原始数据_收盘!$A$4:$G$3460,2,0),"")</f>
        <v/>
      </c>
      <c r="C5357" t="str">
        <f>IFERROR(VLOOKUP($A5357,原始数据_收盘!$A$4:$G$3460,3,0),"")</f>
        <v/>
      </c>
      <c r="D5357" t="str">
        <f>IFERROR(VLOOKUP($A5357,原始数据_收盘!$A$4:$G$3460,4,0),"")</f>
        <v/>
      </c>
      <c r="E5357" t="str">
        <f>IFERROR(VLOOKUP($A5357,原始数据_收盘!$A$4:$G$3460,5,0),"")</f>
        <v/>
      </c>
      <c r="F5357" t="str">
        <f>IFERROR(VLOOKUP($A5357,原始数据_收盘!$A$4:$G$3460,6,0),"")</f>
        <v/>
      </c>
      <c r="G5357" t="str">
        <f>IFERROR(VLOOKUP($A5357,原始数据_收盘!$A$4:$G$3460,7,0),"")</f>
        <v/>
      </c>
      <c r="H5357" t="str">
        <f>IFERROR(VLOOKUP($A5357,原始数据_利率互换_FR007_1年!$A$6:$C$4395,2,0),"")</f>
        <v/>
      </c>
      <c r="I5357" t="str">
        <f>IFERROR(VLOOKUP($A5357,原始数据_利率互换_FR007_1年!$A$6:$C$4395,3,0),"")</f>
        <v/>
      </c>
    </row>
    <row r="5358" spans="1:9">
      <c r="A5358" s="6">
        <v>44851</v>
      </c>
      <c r="B5358">
        <f>IFERROR(VLOOKUP($A5358,原始数据_收盘!$A$4:$G$3460,2,0),"")</f>
        <v>1.9425</v>
      </c>
      <c r="C5358">
        <f>IFERROR(VLOOKUP($A5358,原始数据_收盘!$A$4:$G$3460,3,0),"")</f>
        <v>2.4977</v>
      </c>
      <c r="D5358">
        <f>IFERROR(VLOOKUP($A5358,原始数据_收盘!$A$4:$G$3460,4,0),"")</f>
        <v>1.945</v>
      </c>
      <c r="E5358">
        <f>IFERROR(VLOOKUP($A5358,原始数据_收盘!$A$4:$G$3460,5,0),"")</f>
        <v>2.5005</v>
      </c>
      <c r="F5358">
        <f>IFERROR(VLOOKUP($A5358,原始数据_收盘!$A$4:$G$3460,6,0),"")</f>
        <v>1.9438</v>
      </c>
      <c r="G5358">
        <f>IFERROR(VLOOKUP($A5358,原始数据_收盘!$A$4:$G$3460,7,0),"")</f>
        <v>2.4991</v>
      </c>
      <c r="H5358">
        <f>IFERROR(VLOOKUP($A5358,原始数据_利率互换_FR007_1年!$A$6:$C$4395,2,0),"")</f>
        <v>1.9473</v>
      </c>
      <c r="I5358">
        <f>IFERROR(VLOOKUP($A5358,原始数据_利率互换_FR007_1年!$A$6:$C$4395,3,0),"")</f>
        <v>2.499</v>
      </c>
    </row>
    <row r="5359" spans="1:9">
      <c r="A5359" s="6">
        <v>44852</v>
      </c>
      <c r="B5359">
        <f>IFERROR(VLOOKUP($A5359,原始数据_收盘!$A$4:$G$3460,2,0),"")</f>
        <v>1.9446</v>
      </c>
      <c r="C5359">
        <f>IFERROR(VLOOKUP($A5359,原始数据_收盘!$A$4:$G$3460,3,0),"")</f>
        <v>2.499</v>
      </c>
      <c r="D5359">
        <f>IFERROR(VLOOKUP($A5359,原始数据_收盘!$A$4:$G$3460,4,0),"")</f>
        <v>1.9475</v>
      </c>
      <c r="E5359">
        <f>IFERROR(VLOOKUP($A5359,原始数据_收盘!$A$4:$G$3460,5,0),"")</f>
        <v>2.5016</v>
      </c>
      <c r="F5359">
        <f>IFERROR(VLOOKUP($A5359,原始数据_收盘!$A$4:$G$3460,6,0),"")</f>
        <v>1.946</v>
      </c>
      <c r="G5359">
        <f>IFERROR(VLOOKUP($A5359,原始数据_收盘!$A$4:$G$3460,7,0),"")</f>
        <v>2.5003</v>
      </c>
      <c r="H5359">
        <f>IFERROR(VLOOKUP($A5359,原始数据_利率互换_FR007_1年!$A$6:$C$4395,2,0),"")</f>
        <v>1.9466</v>
      </c>
      <c r="I5359">
        <f>IFERROR(VLOOKUP($A5359,原始数据_利率互换_FR007_1年!$A$6:$C$4395,3,0),"")</f>
        <v>2.5018</v>
      </c>
    </row>
    <row r="5360" spans="1:9">
      <c r="A5360" s="6">
        <v>44853</v>
      </c>
      <c r="B5360">
        <f>IFERROR(VLOOKUP($A5360,原始数据_收盘!$A$4:$G$3460,2,0),"")</f>
        <v>1.9475</v>
      </c>
      <c r="C5360">
        <f>IFERROR(VLOOKUP($A5360,原始数据_收盘!$A$4:$G$3460,3,0),"")</f>
        <v>2.5</v>
      </c>
      <c r="D5360">
        <f>IFERROR(VLOOKUP($A5360,原始数据_收盘!$A$4:$G$3460,4,0),"")</f>
        <v>1.95</v>
      </c>
      <c r="E5360">
        <f>IFERROR(VLOOKUP($A5360,原始数据_收盘!$A$4:$G$3460,5,0),"")</f>
        <v>2.5025</v>
      </c>
      <c r="F5360">
        <f>IFERROR(VLOOKUP($A5360,原始数据_收盘!$A$4:$G$3460,6,0),"")</f>
        <v>1.9488</v>
      </c>
      <c r="G5360">
        <f>IFERROR(VLOOKUP($A5360,原始数据_收盘!$A$4:$G$3460,7,0),"")</f>
        <v>2.5013</v>
      </c>
      <c r="H5360">
        <f>IFERROR(VLOOKUP($A5360,原始数据_利率互换_FR007_1年!$A$6:$C$4395,2,0),"")</f>
        <v>1.9461</v>
      </c>
      <c r="I5360">
        <f>IFERROR(VLOOKUP($A5360,原始数据_利率互换_FR007_1年!$A$6:$C$4395,3,0),"")</f>
        <v>2.5002</v>
      </c>
    </row>
    <row r="5361" spans="1:9">
      <c r="A5361" s="6">
        <v>44854</v>
      </c>
      <c r="B5361">
        <f>IFERROR(VLOOKUP($A5361,原始数据_收盘!$A$4:$G$3460,2,0),"")</f>
        <v>1.9575</v>
      </c>
      <c r="C5361">
        <f>IFERROR(VLOOKUP($A5361,原始数据_收盘!$A$4:$G$3460,3,0),"")</f>
        <v>2.5171</v>
      </c>
      <c r="D5361">
        <f>IFERROR(VLOOKUP($A5361,原始数据_收盘!$A$4:$G$3460,4,0),"")</f>
        <v>1.96</v>
      </c>
      <c r="E5361">
        <f>IFERROR(VLOOKUP($A5361,原始数据_收盘!$A$4:$G$3460,5,0),"")</f>
        <v>2.5195</v>
      </c>
      <c r="F5361">
        <f>IFERROR(VLOOKUP($A5361,原始数据_收盘!$A$4:$G$3460,6,0),"")</f>
        <v>1.9588</v>
      </c>
      <c r="G5361">
        <f>IFERROR(VLOOKUP($A5361,原始数据_收盘!$A$4:$G$3460,7,0),"")</f>
        <v>2.5183</v>
      </c>
      <c r="H5361">
        <f>IFERROR(VLOOKUP($A5361,原始数据_利率互换_FR007_1年!$A$6:$C$4395,2,0),"")</f>
        <v>1.9568</v>
      </c>
      <c r="I5361">
        <f>IFERROR(VLOOKUP($A5361,原始数据_利率互换_FR007_1年!$A$6:$C$4395,3,0),"")</f>
        <v>2.5167</v>
      </c>
    </row>
    <row r="5362" spans="1:9">
      <c r="A5362" s="6">
        <v>44855</v>
      </c>
      <c r="B5362">
        <f>IFERROR(VLOOKUP($A5362,原始数据_收盘!$A$4:$G$3460,2,0),"")</f>
        <v>1.98</v>
      </c>
      <c r="C5362">
        <f>IFERROR(VLOOKUP($A5362,原始数据_收盘!$A$4:$G$3460,3,0),"")</f>
        <v>2.53</v>
      </c>
      <c r="D5362">
        <f>IFERROR(VLOOKUP($A5362,原始数据_收盘!$A$4:$G$3460,4,0),"")</f>
        <v>1.9825</v>
      </c>
      <c r="E5362">
        <f>IFERROR(VLOOKUP($A5362,原始数据_收盘!$A$4:$G$3460,5,0),"")</f>
        <v>2.5313</v>
      </c>
      <c r="F5362">
        <f>IFERROR(VLOOKUP($A5362,原始数据_收盘!$A$4:$G$3460,6,0),"")</f>
        <v>1.9813</v>
      </c>
      <c r="G5362">
        <f>IFERROR(VLOOKUP($A5362,原始数据_收盘!$A$4:$G$3460,7,0),"")</f>
        <v>2.5306</v>
      </c>
      <c r="H5362">
        <f>IFERROR(VLOOKUP($A5362,原始数据_利率互换_FR007_1年!$A$6:$C$4395,2,0),"")</f>
        <v>1.9751</v>
      </c>
      <c r="I5362">
        <f>IFERROR(VLOOKUP($A5362,原始数据_利率互换_FR007_1年!$A$6:$C$4395,3,0),"")</f>
        <v>2.5251</v>
      </c>
    </row>
    <row r="5363" spans="1:9">
      <c r="A5363" s="6">
        <v>44856</v>
      </c>
      <c r="B5363" t="str">
        <f>IFERROR(VLOOKUP($A5363,原始数据_收盘!$A$4:$G$3460,2,0),"")</f>
        <v/>
      </c>
      <c r="C5363" t="str">
        <f>IFERROR(VLOOKUP($A5363,原始数据_收盘!$A$4:$G$3460,3,0),"")</f>
        <v/>
      </c>
      <c r="D5363" t="str">
        <f>IFERROR(VLOOKUP($A5363,原始数据_收盘!$A$4:$G$3460,4,0),"")</f>
        <v/>
      </c>
      <c r="E5363" t="str">
        <f>IFERROR(VLOOKUP($A5363,原始数据_收盘!$A$4:$G$3460,5,0),"")</f>
        <v/>
      </c>
      <c r="F5363" t="str">
        <f>IFERROR(VLOOKUP($A5363,原始数据_收盘!$A$4:$G$3460,6,0),"")</f>
        <v/>
      </c>
      <c r="G5363" t="str">
        <f>IFERROR(VLOOKUP($A5363,原始数据_收盘!$A$4:$G$3460,7,0),"")</f>
        <v/>
      </c>
      <c r="H5363" t="str">
        <f>IFERROR(VLOOKUP($A5363,原始数据_利率互换_FR007_1年!$A$6:$C$4395,2,0),"")</f>
        <v/>
      </c>
      <c r="I5363" t="str">
        <f>IFERROR(VLOOKUP($A5363,原始数据_利率互换_FR007_1年!$A$6:$C$4395,3,0),"")</f>
        <v/>
      </c>
    </row>
    <row r="5364" spans="1:9">
      <c r="A5364" s="6">
        <v>44857</v>
      </c>
      <c r="B5364" t="str">
        <f>IFERROR(VLOOKUP($A5364,原始数据_收盘!$A$4:$G$3460,2,0),"")</f>
        <v/>
      </c>
      <c r="C5364" t="str">
        <f>IFERROR(VLOOKUP($A5364,原始数据_收盘!$A$4:$G$3460,3,0),"")</f>
        <v/>
      </c>
      <c r="D5364" t="str">
        <f>IFERROR(VLOOKUP($A5364,原始数据_收盘!$A$4:$G$3460,4,0),"")</f>
        <v/>
      </c>
      <c r="E5364" t="str">
        <f>IFERROR(VLOOKUP($A5364,原始数据_收盘!$A$4:$G$3460,5,0),"")</f>
        <v/>
      </c>
      <c r="F5364" t="str">
        <f>IFERROR(VLOOKUP($A5364,原始数据_收盘!$A$4:$G$3460,6,0),"")</f>
        <v/>
      </c>
      <c r="G5364" t="str">
        <f>IFERROR(VLOOKUP($A5364,原始数据_收盘!$A$4:$G$3460,7,0),"")</f>
        <v/>
      </c>
      <c r="H5364" t="str">
        <f>IFERROR(VLOOKUP($A5364,原始数据_利率互换_FR007_1年!$A$6:$C$4395,2,0),"")</f>
        <v/>
      </c>
      <c r="I5364" t="str">
        <f>IFERROR(VLOOKUP($A5364,原始数据_利率互换_FR007_1年!$A$6:$C$4395,3,0),"")</f>
        <v/>
      </c>
    </row>
    <row r="5365" spans="1:9">
      <c r="A5365" s="6">
        <v>44858</v>
      </c>
      <c r="B5365">
        <f>IFERROR(VLOOKUP($A5365,原始数据_收盘!$A$4:$G$3460,2,0),"")</f>
        <v>1.9742</v>
      </c>
      <c r="C5365">
        <f>IFERROR(VLOOKUP($A5365,原始数据_收盘!$A$4:$G$3460,3,0),"")</f>
        <v>2.5075</v>
      </c>
      <c r="D5365">
        <f>IFERROR(VLOOKUP($A5365,原始数据_收盘!$A$4:$G$3460,4,0),"")</f>
        <v>1.9765</v>
      </c>
      <c r="E5365">
        <f>IFERROR(VLOOKUP($A5365,原始数据_收盘!$A$4:$G$3460,5,0),"")</f>
        <v>2.51</v>
      </c>
      <c r="F5365">
        <f>IFERROR(VLOOKUP($A5365,原始数据_收盘!$A$4:$G$3460,6,0),"")</f>
        <v>1.9754</v>
      </c>
      <c r="G5365">
        <f>IFERROR(VLOOKUP($A5365,原始数据_收盘!$A$4:$G$3460,7,0),"")</f>
        <v>2.5088</v>
      </c>
      <c r="H5365">
        <f>IFERROR(VLOOKUP($A5365,原始数据_利率互换_FR007_1年!$A$6:$C$4395,2,0),"")</f>
        <v>1.9792</v>
      </c>
      <c r="I5365">
        <f>IFERROR(VLOOKUP($A5365,原始数据_利率互换_FR007_1年!$A$6:$C$4395,3,0),"")</f>
        <v>2.5198</v>
      </c>
    </row>
    <row r="5366" spans="1:9">
      <c r="A5366" s="6">
        <v>44859</v>
      </c>
      <c r="B5366">
        <f>IFERROR(VLOOKUP($A5366,原始数据_收盘!$A$4:$G$3460,2,0),"")</f>
        <v>2.0063</v>
      </c>
      <c r="C5366">
        <f>IFERROR(VLOOKUP($A5366,原始数据_收盘!$A$4:$G$3460,3,0),"")</f>
        <v>2.5343</v>
      </c>
      <c r="D5366">
        <f>IFERROR(VLOOKUP($A5366,原始数据_收盘!$A$4:$G$3460,4,0),"")</f>
        <v>2.0076</v>
      </c>
      <c r="E5366">
        <f>IFERROR(VLOOKUP($A5366,原始数据_收盘!$A$4:$G$3460,5,0),"")</f>
        <v>2.5358</v>
      </c>
      <c r="F5366">
        <f>IFERROR(VLOOKUP($A5366,原始数据_收盘!$A$4:$G$3460,6,0),"")</f>
        <v>2.0069</v>
      </c>
      <c r="G5366">
        <f>IFERROR(VLOOKUP($A5366,原始数据_收盘!$A$4:$G$3460,7,0),"")</f>
        <v>2.5351</v>
      </c>
      <c r="H5366">
        <f>IFERROR(VLOOKUP($A5366,原始数据_利率互换_FR007_1年!$A$6:$C$4395,2,0),"")</f>
        <v>1.9999</v>
      </c>
      <c r="I5366">
        <f>IFERROR(VLOOKUP($A5366,原始数据_利率互换_FR007_1年!$A$6:$C$4395,3,0),"")</f>
        <v>2.5276</v>
      </c>
    </row>
    <row r="5367" spans="1:9">
      <c r="A5367" s="6">
        <v>44860</v>
      </c>
      <c r="B5367">
        <f>IFERROR(VLOOKUP($A5367,原始数据_收盘!$A$4:$G$3460,2,0),"")</f>
        <v>1.985</v>
      </c>
      <c r="C5367">
        <f>IFERROR(VLOOKUP($A5367,原始数据_收盘!$A$4:$G$3460,3,0),"")</f>
        <v>2.51</v>
      </c>
      <c r="D5367">
        <f>IFERROR(VLOOKUP($A5367,原始数据_收盘!$A$4:$G$3460,4,0),"")</f>
        <v>1.9891</v>
      </c>
      <c r="E5367">
        <f>IFERROR(VLOOKUP($A5367,原始数据_收盘!$A$4:$G$3460,5,0),"")</f>
        <v>2.5125</v>
      </c>
      <c r="F5367">
        <f>IFERROR(VLOOKUP($A5367,原始数据_收盘!$A$4:$G$3460,6,0),"")</f>
        <v>1.9871</v>
      </c>
      <c r="G5367">
        <f>IFERROR(VLOOKUP($A5367,原始数据_收盘!$A$4:$G$3460,7,0),"")</f>
        <v>2.5113</v>
      </c>
      <c r="H5367">
        <f>IFERROR(VLOOKUP($A5367,原始数据_利率互换_FR007_1年!$A$6:$C$4395,2,0),"")</f>
        <v>1.9944</v>
      </c>
      <c r="I5367">
        <f>IFERROR(VLOOKUP($A5367,原始数据_利率互换_FR007_1年!$A$6:$C$4395,3,0),"")</f>
        <v>2.5217</v>
      </c>
    </row>
    <row r="5368" spans="1:9">
      <c r="A5368" s="6">
        <v>44861</v>
      </c>
      <c r="B5368">
        <f>IFERROR(VLOOKUP($A5368,原始数据_收盘!$A$4:$G$3460,2,0),"")</f>
        <v>1.9775</v>
      </c>
      <c r="C5368">
        <f>IFERROR(VLOOKUP($A5368,原始数据_收盘!$A$4:$G$3460,3,0),"")</f>
        <v>2.495</v>
      </c>
      <c r="D5368">
        <f>IFERROR(VLOOKUP($A5368,原始数据_收盘!$A$4:$G$3460,4,0),"")</f>
        <v>1.98</v>
      </c>
      <c r="E5368">
        <f>IFERROR(VLOOKUP($A5368,原始数据_收盘!$A$4:$G$3460,5,0),"")</f>
        <v>2.4975</v>
      </c>
      <c r="F5368">
        <f>IFERROR(VLOOKUP($A5368,原始数据_收盘!$A$4:$G$3460,6,0),"")</f>
        <v>1.9788</v>
      </c>
      <c r="G5368">
        <f>IFERROR(VLOOKUP($A5368,原始数据_收盘!$A$4:$G$3460,7,0),"")</f>
        <v>2.4963</v>
      </c>
      <c r="H5368">
        <f>IFERROR(VLOOKUP($A5368,原始数据_利率互换_FR007_1年!$A$6:$C$4395,2,0),"")</f>
        <v>1.9782</v>
      </c>
      <c r="I5368">
        <f>IFERROR(VLOOKUP($A5368,原始数据_利率互换_FR007_1年!$A$6:$C$4395,3,0),"")</f>
        <v>2.499</v>
      </c>
    </row>
    <row r="5369" spans="1:9">
      <c r="A5369" s="6">
        <v>44862</v>
      </c>
      <c r="B5369">
        <f>IFERROR(VLOOKUP($A5369,原始数据_收盘!$A$4:$G$3460,2,0),"")</f>
        <v>1.9575</v>
      </c>
      <c r="C5369">
        <f>IFERROR(VLOOKUP($A5369,原始数据_收盘!$A$4:$G$3460,3,0),"")</f>
        <v>2.4775</v>
      </c>
      <c r="D5369">
        <f>IFERROR(VLOOKUP($A5369,原始数据_收盘!$A$4:$G$3460,4,0),"")</f>
        <v>1.96</v>
      </c>
      <c r="E5369">
        <f>IFERROR(VLOOKUP($A5369,原始数据_收盘!$A$4:$G$3460,5,0),"")</f>
        <v>2.4825</v>
      </c>
      <c r="F5369">
        <f>IFERROR(VLOOKUP($A5369,原始数据_收盘!$A$4:$G$3460,6,0),"")</f>
        <v>1.9588</v>
      </c>
      <c r="G5369">
        <f>IFERROR(VLOOKUP($A5369,原始数据_收盘!$A$4:$G$3460,7,0),"")</f>
        <v>2.48</v>
      </c>
      <c r="H5369">
        <f>IFERROR(VLOOKUP($A5369,原始数据_利率互换_FR007_1年!$A$6:$C$4395,2,0),"")</f>
        <v>1.9619</v>
      </c>
      <c r="I5369">
        <f>IFERROR(VLOOKUP($A5369,原始数据_利率互换_FR007_1年!$A$6:$C$4395,3,0),"")</f>
        <v>2.4864</v>
      </c>
    </row>
    <row r="5370" spans="1:9">
      <c r="A5370" s="6">
        <v>44863</v>
      </c>
      <c r="B5370" t="str">
        <f>IFERROR(VLOOKUP($A5370,原始数据_收盘!$A$4:$G$3460,2,0),"")</f>
        <v/>
      </c>
      <c r="C5370" t="str">
        <f>IFERROR(VLOOKUP($A5370,原始数据_收盘!$A$4:$G$3460,3,0),"")</f>
        <v/>
      </c>
      <c r="D5370" t="str">
        <f>IFERROR(VLOOKUP($A5370,原始数据_收盘!$A$4:$G$3460,4,0),"")</f>
        <v/>
      </c>
      <c r="E5370" t="str">
        <f>IFERROR(VLOOKUP($A5370,原始数据_收盘!$A$4:$G$3460,5,0),"")</f>
        <v/>
      </c>
      <c r="F5370" t="str">
        <f>IFERROR(VLOOKUP($A5370,原始数据_收盘!$A$4:$G$3460,6,0),"")</f>
        <v/>
      </c>
      <c r="G5370" t="str">
        <f>IFERROR(VLOOKUP($A5370,原始数据_收盘!$A$4:$G$3460,7,0),"")</f>
        <v/>
      </c>
      <c r="H5370" t="str">
        <f>IFERROR(VLOOKUP($A5370,原始数据_利率互换_FR007_1年!$A$6:$C$4395,2,0),"")</f>
        <v/>
      </c>
      <c r="I5370" t="str">
        <f>IFERROR(VLOOKUP($A5370,原始数据_利率互换_FR007_1年!$A$6:$C$4395,3,0),"")</f>
        <v/>
      </c>
    </row>
    <row r="5371" spans="1:9">
      <c r="A5371" s="6">
        <v>44864</v>
      </c>
      <c r="B5371" t="str">
        <f>IFERROR(VLOOKUP($A5371,原始数据_收盘!$A$4:$G$3460,2,0),"")</f>
        <v/>
      </c>
      <c r="C5371" t="str">
        <f>IFERROR(VLOOKUP($A5371,原始数据_收盘!$A$4:$G$3460,3,0),"")</f>
        <v/>
      </c>
      <c r="D5371" t="str">
        <f>IFERROR(VLOOKUP($A5371,原始数据_收盘!$A$4:$G$3460,4,0),"")</f>
        <v/>
      </c>
      <c r="E5371" t="str">
        <f>IFERROR(VLOOKUP($A5371,原始数据_收盘!$A$4:$G$3460,5,0),"")</f>
        <v/>
      </c>
      <c r="F5371" t="str">
        <f>IFERROR(VLOOKUP($A5371,原始数据_收盘!$A$4:$G$3460,6,0),"")</f>
        <v/>
      </c>
      <c r="G5371" t="str">
        <f>IFERROR(VLOOKUP($A5371,原始数据_收盘!$A$4:$G$3460,7,0),"")</f>
        <v/>
      </c>
      <c r="H5371" t="str">
        <f>IFERROR(VLOOKUP($A5371,原始数据_利率互换_FR007_1年!$A$6:$C$4395,2,0),"")</f>
        <v/>
      </c>
      <c r="I5371" t="str">
        <f>IFERROR(VLOOKUP($A5371,原始数据_利率互换_FR007_1年!$A$6:$C$4395,3,0),"")</f>
        <v/>
      </c>
    </row>
    <row r="5372" spans="1:9">
      <c r="A5372" s="6">
        <v>44865</v>
      </c>
      <c r="B5372">
        <f>IFERROR(VLOOKUP($A5372,原始数据_收盘!$A$4:$G$3460,2,0),"")</f>
        <v>1.9525</v>
      </c>
      <c r="C5372">
        <f>IFERROR(VLOOKUP($A5372,原始数据_收盘!$A$4:$G$3460,3,0),"")</f>
        <v>2.461</v>
      </c>
      <c r="D5372">
        <f>IFERROR(VLOOKUP($A5372,原始数据_收盘!$A$4:$G$3460,4,0),"")</f>
        <v>1.955</v>
      </c>
      <c r="E5372">
        <f>IFERROR(VLOOKUP($A5372,原始数据_收盘!$A$4:$G$3460,5,0),"")</f>
        <v>2.464</v>
      </c>
      <c r="F5372">
        <f>IFERROR(VLOOKUP($A5372,原始数据_收盘!$A$4:$G$3460,6,0),"")</f>
        <v>1.9538</v>
      </c>
      <c r="G5372">
        <f>IFERROR(VLOOKUP($A5372,原始数据_收盘!$A$4:$G$3460,7,0),"")</f>
        <v>2.4625</v>
      </c>
      <c r="H5372">
        <f>IFERROR(VLOOKUP($A5372,原始数据_利率互换_FR007_1年!$A$6:$C$4395,2,0),"")</f>
        <v>1.9516</v>
      </c>
      <c r="I5372">
        <f>IFERROR(VLOOKUP($A5372,原始数据_利率互换_FR007_1年!$A$6:$C$4395,3,0),"")</f>
        <v>2.4597</v>
      </c>
    </row>
    <row r="5373" spans="1:9">
      <c r="A5373" s="6">
        <v>44866</v>
      </c>
      <c r="B5373">
        <f>IFERROR(VLOOKUP($A5373,原始数据_收盘!$A$4:$G$3460,2,0),"")</f>
        <v>1.9756</v>
      </c>
      <c r="C5373">
        <f>IFERROR(VLOOKUP($A5373,原始数据_收盘!$A$4:$G$3460,3,0),"")</f>
        <v>2.485</v>
      </c>
      <c r="D5373">
        <f>IFERROR(VLOOKUP($A5373,原始数据_收盘!$A$4:$G$3460,4,0),"")</f>
        <v>1.9794</v>
      </c>
      <c r="E5373">
        <f>IFERROR(VLOOKUP($A5373,原始数据_收盘!$A$4:$G$3460,5,0),"")</f>
        <v>2.4875</v>
      </c>
      <c r="F5373">
        <f>IFERROR(VLOOKUP($A5373,原始数据_收盘!$A$4:$G$3460,6,0),"")</f>
        <v>1.9775</v>
      </c>
      <c r="G5373">
        <f>IFERROR(VLOOKUP($A5373,原始数据_收盘!$A$4:$G$3460,7,0),"")</f>
        <v>2.4863</v>
      </c>
      <c r="H5373">
        <f>IFERROR(VLOOKUP($A5373,原始数据_利率互换_FR007_1年!$A$6:$C$4395,2,0),"")</f>
        <v>1.9781</v>
      </c>
      <c r="I5373">
        <f>IFERROR(VLOOKUP($A5373,原始数据_利率互换_FR007_1年!$A$6:$C$4395,3,0),"")</f>
        <v>2.4834</v>
      </c>
    </row>
    <row r="5374" spans="1:9">
      <c r="A5374" s="6">
        <v>44867</v>
      </c>
      <c r="B5374">
        <f>IFERROR(VLOOKUP($A5374,原始数据_收盘!$A$4:$G$3460,2,0),"")</f>
        <v>1.9875</v>
      </c>
      <c r="C5374">
        <f>IFERROR(VLOOKUP($A5374,原始数据_收盘!$A$4:$G$3460,3,0),"")</f>
        <v>2.5025</v>
      </c>
      <c r="D5374">
        <f>IFERROR(VLOOKUP($A5374,原始数据_收盘!$A$4:$G$3460,4,0),"")</f>
        <v>1.99</v>
      </c>
      <c r="E5374">
        <f>IFERROR(VLOOKUP($A5374,原始数据_收盘!$A$4:$G$3460,5,0),"")</f>
        <v>2.505</v>
      </c>
      <c r="F5374">
        <f>IFERROR(VLOOKUP($A5374,原始数据_收盘!$A$4:$G$3460,6,0),"")</f>
        <v>1.9888</v>
      </c>
      <c r="G5374">
        <f>IFERROR(VLOOKUP($A5374,原始数据_收盘!$A$4:$G$3460,7,0),"")</f>
        <v>2.5038</v>
      </c>
      <c r="H5374">
        <f>IFERROR(VLOOKUP($A5374,原始数据_利率互换_FR007_1年!$A$6:$C$4395,2,0),"")</f>
        <v>1.9851</v>
      </c>
      <c r="I5374">
        <f>IFERROR(VLOOKUP($A5374,原始数据_利率互换_FR007_1年!$A$6:$C$4395,3,0),"")</f>
        <v>2.4981</v>
      </c>
    </row>
    <row r="5375" spans="1:9">
      <c r="A5375" s="6">
        <v>44868</v>
      </c>
      <c r="B5375">
        <f>IFERROR(VLOOKUP($A5375,原始数据_收盘!$A$4:$G$3460,2,0),"")</f>
        <v>1.995</v>
      </c>
      <c r="C5375">
        <f>IFERROR(VLOOKUP($A5375,原始数据_收盘!$A$4:$G$3460,3,0),"")</f>
        <v>2.505</v>
      </c>
      <c r="D5375">
        <f>IFERROR(VLOOKUP($A5375,原始数据_收盘!$A$4:$G$3460,4,0),"")</f>
        <v>1.9975</v>
      </c>
      <c r="E5375">
        <f>IFERROR(VLOOKUP($A5375,原始数据_收盘!$A$4:$G$3460,5,0),"")</f>
        <v>2.5079</v>
      </c>
      <c r="F5375">
        <f>IFERROR(VLOOKUP($A5375,原始数据_收盘!$A$4:$G$3460,6,0),"")</f>
        <v>1.9963</v>
      </c>
      <c r="G5375">
        <f>IFERROR(VLOOKUP($A5375,原始数据_收盘!$A$4:$G$3460,7,0),"")</f>
        <v>2.5065</v>
      </c>
      <c r="H5375">
        <f>IFERROR(VLOOKUP($A5375,原始数据_利率互换_FR007_1年!$A$6:$C$4395,2,0),"")</f>
        <v>1.9866</v>
      </c>
      <c r="I5375">
        <f>IFERROR(VLOOKUP($A5375,原始数据_利率互换_FR007_1年!$A$6:$C$4395,3,0),"")</f>
        <v>2.5004</v>
      </c>
    </row>
    <row r="5376" spans="1:9">
      <c r="A5376" s="6">
        <v>44869</v>
      </c>
      <c r="B5376">
        <f>IFERROR(VLOOKUP($A5376,原始数据_收盘!$A$4:$G$3460,2,0),"")</f>
        <v>1.9975</v>
      </c>
      <c r="C5376">
        <f>IFERROR(VLOOKUP($A5376,原始数据_收盘!$A$4:$G$3460,3,0),"")</f>
        <v>2.5325</v>
      </c>
      <c r="D5376">
        <f>IFERROR(VLOOKUP($A5376,原始数据_收盘!$A$4:$G$3460,4,0),"")</f>
        <v>2</v>
      </c>
      <c r="E5376">
        <f>IFERROR(VLOOKUP($A5376,原始数据_收盘!$A$4:$G$3460,5,0),"")</f>
        <v>2.535</v>
      </c>
      <c r="F5376">
        <f>IFERROR(VLOOKUP($A5376,原始数据_收盘!$A$4:$G$3460,6,0),"")</f>
        <v>1.9988</v>
      </c>
      <c r="G5376">
        <f>IFERROR(VLOOKUP($A5376,原始数据_收盘!$A$4:$G$3460,7,0),"")</f>
        <v>2.5338</v>
      </c>
      <c r="H5376">
        <f>IFERROR(VLOOKUP($A5376,原始数据_利率互换_FR007_1年!$A$6:$C$4395,2,0),"")</f>
        <v>1.9992</v>
      </c>
      <c r="I5376">
        <f>IFERROR(VLOOKUP($A5376,原始数据_利率互换_FR007_1年!$A$6:$C$4395,3,0),"")</f>
        <v>2.5267</v>
      </c>
    </row>
    <row r="5377" spans="1:9">
      <c r="A5377" s="6">
        <v>44870</v>
      </c>
      <c r="B5377" t="str">
        <f>IFERROR(VLOOKUP($A5377,原始数据_收盘!$A$4:$G$3460,2,0),"")</f>
        <v/>
      </c>
      <c r="C5377" t="str">
        <f>IFERROR(VLOOKUP($A5377,原始数据_收盘!$A$4:$G$3460,3,0),"")</f>
        <v/>
      </c>
      <c r="D5377" t="str">
        <f>IFERROR(VLOOKUP($A5377,原始数据_收盘!$A$4:$G$3460,4,0),"")</f>
        <v/>
      </c>
      <c r="E5377" t="str">
        <f>IFERROR(VLOOKUP($A5377,原始数据_收盘!$A$4:$G$3460,5,0),"")</f>
        <v/>
      </c>
      <c r="F5377" t="str">
        <f>IFERROR(VLOOKUP($A5377,原始数据_收盘!$A$4:$G$3460,6,0),"")</f>
        <v/>
      </c>
      <c r="G5377" t="str">
        <f>IFERROR(VLOOKUP($A5377,原始数据_收盘!$A$4:$G$3460,7,0),"")</f>
        <v/>
      </c>
      <c r="H5377" t="str">
        <f>IFERROR(VLOOKUP($A5377,原始数据_利率互换_FR007_1年!$A$6:$C$4395,2,0),"")</f>
        <v/>
      </c>
      <c r="I5377" t="str">
        <f>IFERROR(VLOOKUP($A5377,原始数据_利率互换_FR007_1年!$A$6:$C$4395,3,0),"")</f>
        <v/>
      </c>
    </row>
    <row r="5378" spans="1:9">
      <c r="A5378" s="6">
        <v>44871</v>
      </c>
      <c r="B5378" t="str">
        <f>IFERROR(VLOOKUP($A5378,原始数据_收盘!$A$4:$G$3460,2,0),"")</f>
        <v/>
      </c>
      <c r="C5378" t="str">
        <f>IFERROR(VLOOKUP($A5378,原始数据_收盘!$A$4:$G$3460,3,0),"")</f>
        <v/>
      </c>
      <c r="D5378" t="str">
        <f>IFERROR(VLOOKUP($A5378,原始数据_收盘!$A$4:$G$3460,4,0),"")</f>
        <v/>
      </c>
      <c r="E5378" t="str">
        <f>IFERROR(VLOOKUP($A5378,原始数据_收盘!$A$4:$G$3460,5,0),"")</f>
        <v/>
      </c>
      <c r="F5378" t="str">
        <f>IFERROR(VLOOKUP($A5378,原始数据_收盘!$A$4:$G$3460,6,0),"")</f>
        <v/>
      </c>
      <c r="G5378" t="str">
        <f>IFERROR(VLOOKUP($A5378,原始数据_收盘!$A$4:$G$3460,7,0),"")</f>
        <v/>
      </c>
      <c r="H5378" t="str">
        <f>IFERROR(VLOOKUP($A5378,原始数据_利率互换_FR007_1年!$A$6:$C$4395,2,0),"")</f>
        <v/>
      </c>
      <c r="I5378" t="str">
        <f>IFERROR(VLOOKUP($A5378,原始数据_利率互换_FR007_1年!$A$6:$C$4395,3,0),"")</f>
        <v/>
      </c>
    </row>
    <row r="5379" spans="1:9">
      <c r="A5379" s="6">
        <v>44872</v>
      </c>
      <c r="B5379">
        <f>IFERROR(VLOOKUP($A5379,原始数据_收盘!$A$4:$G$3460,2,0),"")</f>
        <v>2.0225</v>
      </c>
      <c r="C5379">
        <f>IFERROR(VLOOKUP($A5379,原始数据_收盘!$A$4:$G$3460,3,0),"")</f>
        <v>2.545</v>
      </c>
      <c r="D5379">
        <f>IFERROR(VLOOKUP($A5379,原始数据_收盘!$A$4:$G$3460,4,0),"")</f>
        <v>2.025</v>
      </c>
      <c r="E5379">
        <f>IFERROR(VLOOKUP($A5379,原始数据_收盘!$A$4:$G$3460,5,0),"")</f>
        <v>2.5475</v>
      </c>
      <c r="F5379">
        <f>IFERROR(VLOOKUP($A5379,原始数据_收盘!$A$4:$G$3460,6,0),"")</f>
        <v>2.0238</v>
      </c>
      <c r="G5379">
        <f>IFERROR(VLOOKUP($A5379,原始数据_收盘!$A$4:$G$3460,7,0),"")</f>
        <v>2.5463</v>
      </c>
      <c r="H5379">
        <f>IFERROR(VLOOKUP($A5379,原始数据_利率互换_FR007_1年!$A$6:$C$4395,2,0),"")</f>
        <v>2.015</v>
      </c>
      <c r="I5379">
        <f>IFERROR(VLOOKUP($A5379,原始数据_利率互换_FR007_1年!$A$6:$C$4395,3,0),"")</f>
        <v>2.539</v>
      </c>
    </row>
    <row r="5380" spans="1:9">
      <c r="A5380" s="6">
        <v>44873</v>
      </c>
      <c r="B5380">
        <f>IFERROR(VLOOKUP($A5380,原始数据_收盘!$A$4:$G$3460,2,0),"")</f>
        <v>2.0247</v>
      </c>
      <c r="C5380">
        <f>IFERROR(VLOOKUP($A5380,原始数据_收盘!$A$4:$G$3460,3,0),"")</f>
        <v>2.5338</v>
      </c>
      <c r="D5380">
        <f>IFERROR(VLOOKUP($A5380,原始数据_收盘!$A$4:$G$3460,4,0),"")</f>
        <v>2.0275</v>
      </c>
      <c r="E5380">
        <f>IFERROR(VLOOKUP($A5380,原始数据_收盘!$A$4:$G$3460,5,0),"")</f>
        <v>2.5364</v>
      </c>
      <c r="F5380">
        <f>IFERROR(VLOOKUP($A5380,原始数据_收盘!$A$4:$G$3460,6,0),"")</f>
        <v>2.0261</v>
      </c>
      <c r="G5380">
        <f>IFERROR(VLOOKUP($A5380,原始数据_收盘!$A$4:$G$3460,7,0),"")</f>
        <v>2.5351</v>
      </c>
      <c r="H5380">
        <f>IFERROR(VLOOKUP($A5380,原始数据_利率互换_FR007_1年!$A$6:$C$4395,2,0),"")</f>
        <v>2.0413</v>
      </c>
      <c r="I5380">
        <f>IFERROR(VLOOKUP($A5380,原始数据_利率互换_FR007_1年!$A$6:$C$4395,3,0),"")</f>
        <v>2.5566</v>
      </c>
    </row>
    <row r="5381" spans="1:9">
      <c r="A5381" s="6">
        <v>44874</v>
      </c>
      <c r="B5381">
        <f>IFERROR(VLOOKUP($A5381,原始数据_收盘!$A$4:$G$3460,2,0),"")</f>
        <v>2.055</v>
      </c>
      <c r="C5381">
        <f>IFERROR(VLOOKUP($A5381,原始数据_收盘!$A$4:$G$3460,3,0),"")</f>
        <v>2.55</v>
      </c>
      <c r="D5381">
        <f>IFERROR(VLOOKUP($A5381,原始数据_收盘!$A$4:$G$3460,4,0),"")</f>
        <v>2.0585</v>
      </c>
      <c r="E5381">
        <f>IFERROR(VLOOKUP($A5381,原始数据_收盘!$A$4:$G$3460,5,0),"")</f>
        <v>2.555</v>
      </c>
      <c r="F5381">
        <f>IFERROR(VLOOKUP($A5381,原始数据_收盘!$A$4:$G$3460,6,0),"")</f>
        <v>2.0568</v>
      </c>
      <c r="G5381">
        <f>IFERROR(VLOOKUP($A5381,原始数据_收盘!$A$4:$G$3460,7,0),"")</f>
        <v>2.5525</v>
      </c>
      <c r="H5381">
        <f>IFERROR(VLOOKUP($A5381,原始数据_利率互换_FR007_1年!$A$6:$C$4395,2,0),"")</f>
        <v>2.0456</v>
      </c>
      <c r="I5381">
        <f>IFERROR(VLOOKUP($A5381,原始数据_利率互换_FR007_1年!$A$6:$C$4395,3,0),"")</f>
        <v>2.5458</v>
      </c>
    </row>
    <row r="5382" spans="1:9">
      <c r="A5382" s="6">
        <v>44875</v>
      </c>
      <c r="B5382">
        <f>IFERROR(VLOOKUP($A5382,原始数据_收盘!$A$4:$G$3460,2,0),"")</f>
        <v>2.0831</v>
      </c>
      <c r="C5382">
        <f>IFERROR(VLOOKUP($A5382,原始数据_收盘!$A$4:$G$3460,3,0),"")</f>
        <v>2.5625</v>
      </c>
      <c r="D5382">
        <f>IFERROR(VLOOKUP($A5382,原始数据_收盘!$A$4:$G$3460,4,0),"")</f>
        <v>2.0859</v>
      </c>
      <c r="E5382">
        <f>IFERROR(VLOOKUP($A5382,原始数据_收盘!$A$4:$G$3460,5,0),"")</f>
        <v>2.565</v>
      </c>
      <c r="F5382">
        <f>IFERROR(VLOOKUP($A5382,原始数据_收盘!$A$4:$G$3460,6,0),"")</f>
        <v>2.0845</v>
      </c>
      <c r="G5382">
        <f>IFERROR(VLOOKUP($A5382,原始数据_收盘!$A$4:$G$3460,7,0),"")</f>
        <v>2.5638</v>
      </c>
      <c r="H5382">
        <f>IFERROR(VLOOKUP($A5382,原始数据_利率互换_FR007_1年!$A$6:$C$4395,2,0),"")</f>
        <v>2.0662</v>
      </c>
      <c r="I5382">
        <f>IFERROR(VLOOKUP($A5382,原始数据_利率互换_FR007_1年!$A$6:$C$4395,3,0),"")</f>
        <v>2.5515</v>
      </c>
    </row>
    <row r="5383" spans="1:9">
      <c r="A5383" s="6">
        <v>44876</v>
      </c>
      <c r="B5383">
        <f>IFERROR(VLOOKUP($A5383,原始数据_收盘!$A$4:$G$3460,2,0),"")</f>
        <v>2.0918</v>
      </c>
      <c r="C5383">
        <f>IFERROR(VLOOKUP($A5383,原始数据_收盘!$A$4:$G$3460,3,0),"")</f>
        <v>2.602</v>
      </c>
      <c r="D5383">
        <f>IFERROR(VLOOKUP($A5383,原始数据_收盘!$A$4:$G$3460,4,0),"")</f>
        <v>2.095</v>
      </c>
      <c r="E5383">
        <f>IFERROR(VLOOKUP($A5383,原始数据_收盘!$A$4:$G$3460,5,0),"")</f>
        <v>2.605</v>
      </c>
      <c r="F5383">
        <f>IFERROR(VLOOKUP($A5383,原始数据_收盘!$A$4:$G$3460,6,0),"")</f>
        <v>2.0934</v>
      </c>
      <c r="G5383">
        <f>IFERROR(VLOOKUP($A5383,原始数据_收盘!$A$4:$G$3460,7,0),"")</f>
        <v>2.6035</v>
      </c>
      <c r="H5383">
        <f>IFERROR(VLOOKUP($A5383,原始数据_利率互换_FR007_1年!$A$6:$C$4395,2,0),"")</f>
        <v>2.0819</v>
      </c>
      <c r="I5383">
        <f>IFERROR(VLOOKUP($A5383,原始数据_利率互换_FR007_1年!$A$6:$C$4395,3,0),"")</f>
        <v>2.5866</v>
      </c>
    </row>
    <row r="5384" spans="1:9">
      <c r="A5384" s="6">
        <v>44877</v>
      </c>
      <c r="B5384" t="str">
        <f>IFERROR(VLOOKUP($A5384,原始数据_收盘!$A$4:$G$3460,2,0),"")</f>
        <v/>
      </c>
      <c r="C5384" t="str">
        <f>IFERROR(VLOOKUP($A5384,原始数据_收盘!$A$4:$G$3460,3,0),"")</f>
        <v/>
      </c>
      <c r="D5384" t="str">
        <f>IFERROR(VLOOKUP($A5384,原始数据_收盘!$A$4:$G$3460,4,0),"")</f>
        <v/>
      </c>
      <c r="E5384" t="str">
        <f>IFERROR(VLOOKUP($A5384,原始数据_收盘!$A$4:$G$3460,5,0),"")</f>
        <v/>
      </c>
      <c r="F5384" t="str">
        <f>IFERROR(VLOOKUP($A5384,原始数据_收盘!$A$4:$G$3460,6,0),"")</f>
        <v/>
      </c>
      <c r="G5384" t="str">
        <f>IFERROR(VLOOKUP($A5384,原始数据_收盘!$A$4:$G$3460,7,0),"")</f>
        <v/>
      </c>
      <c r="H5384" t="str">
        <f>IFERROR(VLOOKUP($A5384,原始数据_利率互换_FR007_1年!$A$6:$C$4395,2,0),"")</f>
        <v/>
      </c>
      <c r="I5384" t="str">
        <f>IFERROR(VLOOKUP($A5384,原始数据_利率互换_FR007_1年!$A$6:$C$4395,3,0),"")</f>
        <v/>
      </c>
    </row>
    <row r="5385" spans="1:9">
      <c r="A5385" s="6">
        <v>44878</v>
      </c>
      <c r="B5385" t="str">
        <f>IFERROR(VLOOKUP($A5385,原始数据_收盘!$A$4:$G$3460,2,0),"")</f>
        <v/>
      </c>
      <c r="C5385" t="str">
        <f>IFERROR(VLOOKUP($A5385,原始数据_收盘!$A$4:$G$3460,3,0),"")</f>
        <v/>
      </c>
      <c r="D5385" t="str">
        <f>IFERROR(VLOOKUP($A5385,原始数据_收盘!$A$4:$G$3460,4,0),"")</f>
        <v/>
      </c>
      <c r="E5385" t="str">
        <f>IFERROR(VLOOKUP($A5385,原始数据_收盘!$A$4:$G$3460,5,0),"")</f>
        <v/>
      </c>
      <c r="F5385" t="str">
        <f>IFERROR(VLOOKUP($A5385,原始数据_收盘!$A$4:$G$3460,6,0),"")</f>
        <v/>
      </c>
      <c r="G5385" t="str">
        <f>IFERROR(VLOOKUP($A5385,原始数据_收盘!$A$4:$G$3460,7,0),"")</f>
        <v/>
      </c>
      <c r="H5385" t="str">
        <f>IFERROR(VLOOKUP($A5385,原始数据_利率互换_FR007_1年!$A$6:$C$4395,2,0),"")</f>
        <v/>
      </c>
      <c r="I5385" t="str">
        <f>IFERROR(VLOOKUP($A5385,原始数据_利率互换_FR007_1年!$A$6:$C$4395,3,0),"")</f>
        <v/>
      </c>
    </row>
    <row r="5386" spans="1:9">
      <c r="A5386" s="6">
        <v>44879</v>
      </c>
      <c r="B5386">
        <f>IFERROR(VLOOKUP($A5386,原始数据_收盘!$A$4:$G$3460,2,0),"")</f>
        <v>2.236</v>
      </c>
      <c r="C5386">
        <f>IFERROR(VLOOKUP($A5386,原始数据_收盘!$A$4:$G$3460,3,0),"")</f>
        <v>2.7765</v>
      </c>
      <c r="D5386">
        <f>IFERROR(VLOOKUP($A5386,原始数据_收盘!$A$4:$G$3460,4,0),"")</f>
        <v>2.2432</v>
      </c>
      <c r="E5386">
        <f>IFERROR(VLOOKUP($A5386,原始数据_收盘!$A$4:$G$3460,5,0),"")</f>
        <v>2.7804</v>
      </c>
      <c r="F5386">
        <f>IFERROR(VLOOKUP($A5386,原始数据_收盘!$A$4:$G$3460,6,0),"")</f>
        <v>2.2396</v>
      </c>
      <c r="G5386">
        <f>IFERROR(VLOOKUP($A5386,原始数据_收盘!$A$4:$G$3460,7,0),"")</f>
        <v>2.7784</v>
      </c>
      <c r="H5386">
        <f>IFERROR(VLOOKUP($A5386,原始数据_利率互换_FR007_1年!$A$6:$C$4395,2,0),"")</f>
        <v>2.1809</v>
      </c>
      <c r="I5386">
        <f>IFERROR(VLOOKUP($A5386,原始数据_利率互换_FR007_1年!$A$6:$C$4395,3,0),"")</f>
        <v>2.7143</v>
      </c>
    </row>
    <row r="5387" spans="1:9">
      <c r="A5387" s="6">
        <v>44880</v>
      </c>
      <c r="B5387">
        <f>IFERROR(VLOOKUP($A5387,原始数据_收盘!$A$4:$G$3460,2,0),"")</f>
        <v>2.245</v>
      </c>
      <c r="C5387">
        <f>IFERROR(VLOOKUP($A5387,原始数据_收盘!$A$4:$G$3460,3,0),"")</f>
        <v>2.7606</v>
      </c>
      <c r="D5387">
        <f>IFERROR(VLOOKUP($A5387,原始数据_收盘!$A$4:$G$3460,4,0),"")</f>
        <v>2.25</v>
      </c>
      <c r="E5387">
        <f>IFERROR(VLOOKUP($A5387,原始数据_收盘!$A$4:$G$3460,5,0),"")</f>
        <v>2.7637</v>
      </c>
      <c r="F5387">
        <f>IFERROR(VLOOKUP($A5387,原始数据_收盘!$A$4:$G$3460,6,0),"")</f>
        <v>2.2475</v>
      </c>
      <c r="G5387">
        <f>IFERROR(VLOOKUP($A5387,原始数据_收盘!$A$4:$G$3460,7,0),"")</f>
        <v>2.7621</v>
      </c>
      <c r="H5387">
        <f>IFERROR(VLOOKUP($A5387,原始数据_利率互换_FR007_1年!$A$6:$C$4395,2,0),"")</f>
        <v>2.2251</v>
      </c>
      <c r="I5387">
        <f>IFERROR(VLOOKUP($A5387,原始数据_利率互换_FR007_1年!$A$6:$C$4395,3,0),"")</f>
        <v>2.7483</v>
      </c>
    </row>
    <row r="5388" spans="1:9">
      <c r="A5388" s="6">
        <v>44881</v>
      </c>
      <c r="B5388">
        <f>IFERROR(VLOOKUP($A5388,原始数据_收盘!$A$4:$G$3460,2,0),"")</f>
        <v>2.3236</v>
      </c>
      <c r="C5388">
        <f>IFERROR(VLOOKUP($A5388,原始数据_收盘!$A$4:$G$3460,3,0),"")</f>
        <v>2.8225</v>
      </c>
      <c r="D5388">
        <f>IFERROR(VLOOKUP($A5388,原始数据_收盘!$A$4:$G$3460,4,0),"")</f>
        <v>2.3253</v>
      </c>
      <c r="E5388">
        <f>IFERROR(VLOOKUP($A5388,原始数据_收盘!$A$4:$G$3460,5,0),"")</f>
        <v>2.8287</v>
      </c>
      <c r="F5388">
        <f>IFERROR(VLOOKUP($A5388,原始数据_收盘!$A$4:$G$3460,6,0),"")</f>
        <v>2.3245</v>
      </c>
      <c r="G5388">
        <f>IFERROR(VLOOKUP($A5388,原始数据_收盘!$A$4:$G$3460,7,0),"")</f>
        <v>2.8256</v>
      </c>
      <c r="H5388">
        <f>IFERROR(VLOOKUP($A5388,原始数据_利率互换_FR007_1年!$A$6:$C$4395,2,0),"")</f>
        <v>2.2874</v>
      </c>
      <c r="I5388">
        <f>IFERROR(VLOOKUP($A5388,原始数据_利率互换_FR007_1年!$A$6:$C$4395,3,0),"")</f>
        <v>2.7884</v>
      </c>
    </row>
    <row r="5389" spans="1:9">
      <c r="A5389" s="6">
        <v>44882</v>
      </c>
      <c r="B5389">
        <f>IFERROR(VLOOKUP($A5389,原始数据_收盘!$A$4:$G$3460,2,0),"")</f>
        <v>2.2383</v>
      </c>
      <c r="C5389">
        <f>IFERROR(VLOOKUP($A5389,原始数据_收盘!$A$4:$G$3460,3,0),"")</f>
        <v>2.7592</v>
      </c>
      <c r="D5389">
        <f>IFERROR(VLOOKUP($A5389,原始数据_收盘!$A$4:$G$3460,4,0),"")</f>
        <v>2.242</v>
      </c>
      <c r="E5389">
        <f>IFERROR(VLOOKUP($A5389,原始数据_收盘!$A$4:$G$3460,5,0),"")</f>
        <v>2.7608</v>
      </c>
      <c r="F5389">
        <f>IFERROR(VLOOKUP($A5389,原始数据_收盘!$A$4:$G$3460,6,0),"")</f>
        <v>2.2401</v>
      </c>
      <c r="G5389">
        <f>IFERROR(VLOOKUP($A5389,原始数据_收盘!$A$4:$G$3460,7,0),"")</f>
        <v>2.76</v>
      </c>
      <c r="H5389">
        <f>IFERROR(VLOOKUP($A5389,原始数据_利率互换_FR007_1年!$A$6:$C$4395,2,0),"")</f>
        <v>2.2745</v>
      </c>
      <c r="I5389">
        <f>IFERROR(VLOOKUP($A5389,原始数据_利率互换_FR007_1年!$A$6:$C$4395,3,0),"")</f>
        <v>2.7924</v>
      </c>
    </row>
    <row r="5390" spans="1:9">
      <c r="A5390" s="6">
        <v>44883</v>
      </c>
      <c r="B5390">
        <f>IFERROR(VLOOKUP($A5390,原始数据_收盘!$A$4:$G$3460,2,0),"")</f>
        <v>2.239</v>
      </c>
      <c r="C5390">
        <f>IFERROR(VLOOKUP($A5390,原始数据_收盘!$A$4:$G$3460,3,0),"")</f>
        <v>2.7624</v>
      </c>
      <c r="D5390">
        <f>IFERROR(VLOOKUP($A5390,原始数据_收盘!$A$4:$G$3460,4,0),"")</f>
        <v>2.2412</v>
      </c>
      <c r="E5390">
        <f>IFERROR(VLOOKUP($A5390,原始数据_收盘!$A$4:$G$3460,5,0),"")</f>
        <v>2.7639</v>
      </c>
      <c r="F5390">
        <f>IFERROR(VLOOKUP($A5390,原始数据_收盘!$A$4:$G$3460,6,0),"")</f>
        <v>2.2401</v>
      </c>
      <c r="G5390">
        <f>IFERROR(VLOOKUP($A5390,原始数据_收盘!$A$4:$G$3460,7,0),"")</f>
        <v>2.7631</v>
      </c>
      <c r="H5390">
        <f>IFERROR(VLOOKUP($A5390,原始数据_利率互换_FR007_1年!$A$6:$C$4395,2,0),"")</f>
        <v>2.2353</v>
      </c>
      <c r="I5390">
        <f>IFERROR(VLOOKUP($A5390,原始数据_利率互换_FR007_1年!$A$6:$C$4395,3,0),"")</f>
        <v>2.7644</v>
      </c>
    </row>
    <row r="5391" spans="1:9">
      <c r="A5391" s="6">
        <v>44884</v>
      </c>
      <c r="B5391" t="str">
        <f>IFERROR(VLOOKUP($A5391,原始数据_收盘!$A$4:$G$3460,2,0),"")</f>
        <v/>
      </c>
      <c r="C5391" t="str">
        <f>IFERROR(VLOOKUP($A5391,原始数据_收盘!$A$4:$G$3460,3,0),"")</f>
        <v/>
      </c>
      <c r="D5391" t="str">
        <f>IFERROR(VLOOKUP($A5391,原始数据_收盘!$A$4:$G$3460,4,0),"")</f>
        <v/>
      </c>
      <c r="E5391" t="str">
        <f>IFERROR(VLOOKUP($A5391,原始数据_收盘!$A$4:$G$3460,5,0),"")</f>
        <v/>
      </c>
      <c r="F5391" t="str">
        <f>IFERROR(VLOOKUP($A5391,原始数据_收盘!$A$4:$G$3460,6,0),"")</f>
        <v/>
      </c>
      <c r="G5391" t="str">
        <f>IFERROR(VLOOKUP($A5391,原始数据_收盘!$A$4:$G$3460,7,0),"")</f>
        <v/>
      </c>
      <c r="H5391" t="str">
        <f>IFERROR(VLOOKUP($A5391,原始数据_利率互换_FR007_1年!$A$6:$C$4395,2,0),"")</f>
        <v/>
      </c>
      <c r="I5391" t="str">
        <f>IFERROR(VLOOKUP($A5391,原始数据_利率互换_FR007_1年!$A$6:$C$4395,3,0),"")</f>
        <v/>
      </c>
    </row>
    <row r="5392" spans="1:9">
      <c r="A5392" s="6">
        <v>44885</v>
      </c>
      <c r="B5392" t="str">
        <f>IFERROR(VLOOKUP($A5392,原始数据_收盘!$A$4:$G$3460,2,0),"")</f>
        <v/>
      </c>
      <c r="C5392" t="str">
        <f>IFERROR(VLOOKUP($A5392,原始数据_收盘!$A$4:$G$3460,3,0),"")</f>
        <v/>
      </c>
      <c r="D5392" t="str">
        <f>IFERROR(VLOOKUP($A5392,原始数据_收盘!$A$4:$G$3460,4,0),"")</f>
        <v/>
      </c>
      <c r="E5392" t="str">
        <f>IFERROR(VLOOKUP($A5392,原始数据_收盘!$A$4:$G$3460,5,0),"")</f>
        <v/>
      </c>
      <c r="F5392" t="str">
        <f>IFERROR(VLOOKUP($A5392,原始数据_收盘!$A$4:$G$3460,6,0),"")</f>
        <v/>
      </c>
      <c r="G5392" t="str">
        <f>IFERROR(VLOOKUP($A5392,原始数据_收盘!$A$4:$G$3460,7,0),"")</f>
        <v/>
      </c>
      <c r="H5392" t="str">
        <f>IFERROR(VLOOKUP($A5392,原始数据_利率互换_FR007_1年!$A$6:$C$4395,2,0),"")</f>
        <v/>
      </c>
      <c r="I5392" t="str">
        <f>IFERROR(VLOOKUP($A5392,原始数据_利率互换_FR007_1年!$A$6:$C$4395,3,0),"")</f>
        <v/>
      </c>
    </row>
    <row r="5393" spans="1:9">
      <c r="A5393" s="6">
        <v>44886</v>
      </c>
      <c r="B5393">
        <f>IFERROR(VLOOKUP($A5393,原始数据_收盘!$A$4:$G$3460,2,0),"")</f>
        <v>2.2294</v>
      </c>
      <c r="C5393">
        <f>IFERROR(VLOOKUP($A5393,原始数据_收盘!$A$4:$G$3460,3,0),"")</f>
        <v>2.7525</v>
      </c>
      <c r="D5393">
        <f>IFERROR(VLOOKUP($A5393,原始数据_收盘!$A$4:$G$3460,4,0),"")</f>
        <v>2.2321</v>
      </c>
      <c r="E5393">
        <f>IFERROR(VLOOKUP($A5393,原始数据_收盘!$A$4:$G$3460,5,0),"")</f>
        <v>2.7575</v>
      </c>
      <c r="F5393">
        <f>IFERROR(VLOOKUP($A5393,原始数据_收盘!$A$4:$G$3460,6,0),"")</f>
        <v>2.2308</v>
      </c>
      <c r="G5393">
        <f>IFERROR(VLOOKUP($A5393,原始数据_收盘!$A$4:$G$3460,7,0),"")</f>
        <v>2.755</v>
      </c>
      <c r="H5393">
        <f>IFERROR(VLOOKUP($A5393,原始数据_利率互换_FR007_1年!$A$6:$C$4395,2,0),"")</f>
        <v>2.2123</v>
      </c>
      <c r="I5393">
        <f>IFERROR(VLOOKUP($A5393,原始数据_利率互换_FR007_1年!$A$6:$C$4395,3,0),"")</f>
        <v>2.7362</v>
      </c>
    </row>
    <row r="5394" spans="1:9">
      <c r="A5394" s="6">
        <v>44887</v>
      </c>
      <c r="B5394">
        <f>IFERROR(VLOOKUP($A5394,原始数据_收盘!$A$4:$G$3460,2,0),"")</f>
        <v>2.2259</v>
      </c>
      <c r="C5394">
        <f>IFERROR(VLOOKUP($A5394,原始数据_收盘!$A$4:$G$3460,3,0),"")</f>
        <v>2.766</v>
      </c>
      <c r="D5394">
        <f>IFERROR(VLOOKUP($A5394,原始数据_收盘!$A$4:$G$3460,4,0),"")</f>
        <v>2.228</v>
      </c>
      <c r="E5394">
        <f>IFERROR(VLOOKUP($A5394,原始数据_收盘!$A$4:$G$3460,5,0),"")</f>
        <v>2.7675</v>
      </c>
      <c r="F5394">
        <f>IFERROR(VLOOKUP($A5394,原始数据_收盘!$A$4:$G$3460,6,0),"")</f>
        <v>2.227</v>
      </c>
      <c r="G5394">
        <f>IFERROR(VLOOKUP($A5394,原始数据_收盘!$A$4:$G$3460,7,0),"")</f>
        <v>2.7668</v>
      </c>
      <c r="H5394">
        <f>IFERROR(VLOOKUP($A5394,原始数据_利率互换_FR007_1年!$A$6:$C$4395,2,0),"")</f>
        <v>2.2187</v>
      </c>
      <c r="I5394">
        <f>IFERROR(VLOOKUP($A5394,原始数据_利率互换_FR007_1年!$A$6:$C$4395,3,0),"")</f>
        <v>2.7525</v>
      </c>
    </row>
    <row r="5395" spans="1:9">
      <c r="A5395" s="6">
        <v>44888</v>
      </c>
      <c r="B5395">
        <f>IFERROR(VLOOKUP($A5395,原始数据_收盘!$A$4:$G$3460,2,0),"")</f>
        <v>2.1841</v>
      </c>
      <c r="C5395">
        <f>IFERROR(VLOOKUP($A5395,原始数据_收盘!$A$4:$G$3460,3,0),"")</f>
        <v>2.7125</v>
      </c>
      <c r="D5395">
        <f>IFERROR(VLOOKUP($A5395,原始数据_收盘!$A$4:$G$3460,4,0),"")</f>
        <v>2.1882</v>
      </c>
      <c r="E5395">
        <f>IFERROR(VLOOKUP($A5395,原始数据_收盘!$A$4:$G$3460,5,0),"")</f>
        <v>2.7172</v>
      </c>
      <c r="F5395">
        <f>IFERROR(VLOOKUP($A5395,原始数据_收盘!$A$4:$G$3460,6,0),"")</f>
        <v>2.1862</v>
      </c>
      <c r="G5395">
        <f>IFERROR(VLOOKUP($A5395,原始数据_收盘!$A$4:$G$3460,7,0),"")</f>
        <v>2.7148</v>
      </c>
      <c r="H5395">
        <f>IFERROR(VLOOKUP($A5395,原始数据_利率互换_FR007_1年!$A$6:$C$4395,2,0),"")</f>
        <v>2.1915</v>
      </c>
      <c r="I5395">
        <f>IFERROR(VLOOKUP($A5395,原始数据_利率互换_FR007_1年!$A$6:$C$4395,3,0),"")</f>
        <v>2.7231</v>
      </c>
    </row>
    <row r="5396" spans="1:9">
      <c r="A5396" s="6">
        <v>44889</v>
      </c>
      <c r="B5396">
        <f>IFERROR(VLOOKUP($A5396,原始数据_收盘!$A$4:$G$3460,2,0),"")</f>
        <v>2.155</v>
      </c>
      <c r="C5396">
        <f>IFERROR(VLOOKUP($A5396,原始数据_收盘!$A$4:$G$3460,3,0),"")</f>
        <v>2.6796</v>
      </c>
      <c r="D5396">
        <f>IFERROR(VLOOKUP($A5396,原始数据_收盘!$A$4:$G$3460,4,0),"")</f>
        <v>2.1583</v>
      </c>
      <c r="E5396">
        <f>IFERROR(VLOOKUP($A5396,原始数据_收盘!$A$4:$G$3460,5,0),"")</f>
        <v>2.6825</v>
      </c>
      <c r="F5396">
        <f>IFERROR(VLOOKUP($A5396,原始数据_收盘!$A$4:$G$3460,6,0),"")</f>
        <v>2.1567</v>
      </c>
      <c r="G5396">
        <f>IFERROR(VLOOKUP($A5396,原始数据_收盘!$A$4:$G$3460,7,0),"")</f>
        <v>2.681</v>
      </c>
      <c r="H5396">
        <f>IFERROR(VLOOKUP($A5396,原始数据_利率互换_FR007_1年!$A$6:$C$4395,2,0),"")</f>
        <v>2.1409</v>
      </c>
      <c r="I5396">
        <f>IFERROR(VLOOKUP($A5396,原始数据_利率互换_FR007_1年!$A$6:$C$4395,3,0),"")</f>
        <v>2.6673</v>
      </c>
    </row>
    <row r="5397" spans="1:9">
      <c r="A5397" s="6">
        <v>44890</v>
      </c>
      <c r="B5397">
        <f>IFERROR(VLOOKUP($A5397,原始数据_收盘!$A$4:$G$3460,2,0),"")</f>
        <v>2.2143</v>
      </c>
      <c r="C5397">
        <f>IFERROR(VLOOKUP($A5397,原始数据_收盘!$A$4:$G$3460,3,0),"")</f>
        <v>2.7497</v>
      </c>
      <c r="D5397">
        <f>IFERROR(VLOOKUP($A5397,原始数据_收盘!$A$4:$G$3460,4,0),"")</f>
        <v>2.2157</v>
      </c>
      <c r="E5397">
        <f>IFERROR(VLOOKUP($A5397,原始数据_收盘!$A$4:$G$3460,5,0),"")</f>
        <v>2.7508</v>
      </c>
      <c r="F5397">
        <f>IFERROR(VLOOKUP($A5397,原始数据_收盘!$A$4:$G$3460,6,0),"")</f>
        <v>2.215</v>
      </c>
      <c r="G5397">
        <f>IFERROR(VLOOKUP($A5397,原始数据_收盘!$A$4:$G$3460,7,0),"")</f>
        <v>2.7503</v>
      </c>
      <c r="H5397">
        <f>IFERROR(VLOOKUP($A5397,原始数据_利率互换_FR007_1年!$A$6:$C$4395,2,0),"")</f>
        <v>2.1792</v>
      </c>
      <c r="I5397">
        <f>IFERROR(VLOOKUP($A5397,原始数据_利率互换_FR007_1年!$A$6:$C$4395,3,0),"")</f>
        <v>2.707</v>
      </c>
    </row>
    <row r="5398" spans="1:9">
      <c r="A5398" s="6">
        <v>44891</v>
      </c>
      <c r="B5398" t="str">
        <f>IFERROR(VLOOKUP($A5398,原始数据_收盘!$A$4:$G$3460,2,0),"")</f>
        <v/>
      </c>
      <c r="C5398" t="str">
        <f>IFERROR(VLOOKUP($A5398,原始数据_收盘!$A$4:$G$3460,3,0),"")</f>
        <v/>
      </c>
      <c r="D5398" t="str">
        <f>IFERROR(VLOOKUP($A5398,原始数据_收盘!$A$4:$G$3460,4,0),"")</f>
        <v/>
      </c>
      <c r="E5398" t="str">
        <f>IFERROR(VLOOKUP($A5398,原始数据_收盘!$A$4:$G$3460,5,0),"")</f>
        <v/>
      </c>
      <c r="F5398" t="str">
        <f>IFERROR(VLOOKUP($A5398,原始数据_收盘!$A$4:$G$3460,6,0),"")</f>
        <v/>
      </c>
      <c r="G5398" t="str">
        <f>IFERROR(VLOOKUP($A5398,原始数据_收盘!$A$4:$G$3460,7,0),"")</f>
        <v/>
      </c>
      <c r="H5398" t="str">
        <f>IFERROR(VLOOKUP($A5398,原始数据_利率互换_FR007_1年!$A$6:$C$4395,2,0),"")</f>
        <v/>
      </c>
      <c r="I5398" t="str">
        <f>IFERROR(VLOOKUP($A5398,原始数据_利率互换_FR007_1年!$A$6:$C$4395,3,0),"")</f>
        <v/>
      </c>
    </row>
    <row r="5399" spans="1:9">
      <c r="A5399" s="6">
        <v>44892</v>
      </c>
      <c r="B5399" t="str">
        <f>IFERROR(VLOOKUP($A5399,原始数据_收盘!$A$4:$G$3460,2,0),"")</f>
        <v/>
      </c>
      <c r="C5399" t="str">
        <f>IFERROR(VLOOKUP($A5399,原始数据_收盘!$A$4:$G$3460,3,0),"")</f>
        <v/>
      </c>
      <c r="D5399" t="str">
        <f>IFERROR(VLOOKUP($A5399,原始数据_收盘!$A$4:$G$3460,4,0),"")</f>
        <v/>
      </c>
      <c r="E5399" t="str">
        <f>IFERROR(VLOOKUP($A5399,原始数据_收盘!$A$4:$G$3460,5,0),"")</f>
        <v/>
      </c>
      <c r="F5399" t="str">
        <f>IFERROR(VLOOKUP($A5399,原始数据_收盘!$A$4:$G$3460,6,0),"")</f>
        <v/>
      </c>
      <c r="G5399" t="str">
        <f>IFERROR(VLOOKUP($A5399,原始数据_收盘!$A$4:$G$3460,7,0),"")</f>
        <v/>
      </c>
      <c r="H5399" t="str">
        <f>IFERROR(VLOOKUP($A5399,原始数据_利率互换_FR007_1年!$A$6:$C$4395,2,0),"")</f>
        <v/>
      </c>
      <c r="I5399" t="str">
        <f>IFERROR(VLOOKUP($A5399,原始数据_利率互换_FR007_1年!$A$6:$C$4395,3,0),"")</f>
        <v/>
      </c>
    </row>
    <row r="5400" spans="1:9">
      <c r="A5400" s="6">
        <v>44893</v>
      </c>
      <c r="B5400">
        <f>IFERROR(VLOOKUP($A5400,原始数据_收盘!$A$4:$G$3460,2,0),"")</f>
        <v>2.237</v>
      </c>
      <c r="C5400">
        <f>IFERROR(VLOOKUP($A5400,原始数据_收盘!$A$4:$G$3460,3,0),"")</f>
        <v>2.785</v>
      </c>
      <c r="D5400">
        <f>IFERROR(VLOOKUP($A5400,原始数据_收盘!$A$4:$G$3460,4,0),"")</f>
        <v>2.2386</v>
      </c>
      <c r="E5400">
        <f>IFERROR(VLOOKUP($A5400,原始数据_收盘!$A$4:$G$3460,5,0),"")</f>
        <v>2.7875</v>
      </c>
      <c r="F5400">
        <f>IFERROR(VLOOKUP($A5400,原始数据_收盘!$A$4:$G$3460,6,0),"")</f>
        <v>2.2378</v>
      </c>
      <c r="G5400">
        <f>IFERROR(VLOOKUP($A5400,原始数据_收盘!$A$4:$G$3460,7,0),"")</f>
        <v>2.7863</v>
      </c>
      <c r="H5400">
        <f>IFERROR(VLOOKUP($A5400,原始数据_利率互换_FR007_1年!$A$6:$C$4395,2,0),"")</f>
        <v>2.2192</v>
      </c>
      <c r="I5400">
        <f>IFERROR(VLOOKUP($A5400,原始数据_利率互换_FR007_1年!$A$6:$C$4395,3,0),"")</f>
        <v>2.7538</v>
      </c>
    </row>
    <row r="5401" spans="1:9">
      <c r="A5401" s="6">
        <v>44894</v>
      </c>
      <c r="B5401">
        <f>IFERROR(VLOOKUP($A5401,原始数据_收盘!$A$4:$G$3460,2,0),"")</f>
        <v>2.2586</v>
      </c>
      <c r="C5401">
        <f>IFERROR(VLOOKUP($A5401,原始数据_收盘!$A$4:$G$3460,3,0),"")</f>
        <v>2.825</v>
      </c>
      <c r="D5401">
        <f>IFERROR(VLOOKUP($A5401,原始数据_收盘!$A$4:$G$3460,4,0),"")</f>
        <v>2.265</v>
      </c>
      <c r="E5401">
        <f>IFERROR(VLOOKUP($A5401,原始数据_收盘!$A$4:$G$3460,5,0),"")</f>
        <v>2.8278</v>
      </c>
      <c r="F5401">
        <f>IFERROR(VLOOKUP($A5401,原始数据_收盘!$A$4:$G$3460,6,0),"")</f>
        <v>2.2618</v>
      </c>
      <c r="G5401">
        <f>IFERROR(VLOOKUP($A5401,原始数据_收盘!$A$4:$G$3460,7,0),"")</f>
        <v>2.8264</v>
      </c>
      <c r="H5401">
        <f>IFERROR(VLOOKUP($A5401,原始数据_利率互换_FR007_1年!$A$6:$C$4395,2,0),"")</f>
        <v>2.2684</v>
      </c>
      <c r="I5401">
        <f>IFERROR(VLOOKUP($A5401,原始数据_利率互换_FR007_1年!$A$6:$C$4395,3,0),"")</f>
        <v>2.8334</v>
      </c>
    </row>
    <row r="5402" spans="1:9">
      <c r="A5402" s="6">
        <v>44895</v>
      </c>
      <c r="B5402">
        <f>IFERROR(VLOOKUP($A5402,原始数据_收盘!$A$4:$G$3460,2,0),"")</f>
        <v>2.25</v>
      </c>
      <c r="C5402">
        <f>IFERROR(VLOOKUP($A5402,原始数据_收盘!$A$4:$G$3460,3,0),"")</f>
        <v>2.8175</v>
      </c>
      <c r="D5402">
        <f>IFERROR(VLOOKUP($A5402,原始数据_收盘!$A$4:$G$3460,4,0),"")</f>
        <v>2.265</v>
      </c>
      <c r="E5402">
        <f>IFERROR(VLOOKUP($A5402,原始数据_收盘!$A$4:$G$3460,5,0),"")</f>
        <v>2.8232</v>
      </c>
      <c r="F5402">
        <f>IFERROR(VLOOKUP($A5402,原始数据_收盘!$A$4:$G$3460,6,0),"")</f>
        <v>2.2575</v>
      </c>
      <c r="G5402">
        <f>IFERROR(VLOOKUP($A5402,原始数据_收盘!$A$4:$G$3460,7,0),"")</f>
        <v>2.8203</v>
      </c>
      <c r="H5402">
        <f>IFERROR(VLOOKUP($A5402,原始数据_利率互换_FR007_1年!$A$6:$C$4395,2,0),"")</f>
        <v>2.2498</v>
      </c>
      <c r="I5402">
        <f>IFERROR(VLOOKUP($A5402,原始数据_利率互换_FR007_1年!$A$6:$C$4395,3,0),"")</f>
        <v>2.815</v>
      </c>
    </row>
    <row r="5403" spans="1:9">
      <c r="A5403" s="6">
        <v>44896</v>
      </c>
      <c r="B5403">
        <f>IFERROR(VLOOKUP($A5403,原始数据_收盘!$A$4:$G$3460,2,0),"")</f>
        <v>2.2267</v>
      </c>
      <c r="C5403">
        <f>IFERROR(VLOOKUP($A5403,原始数据_收盘!$A$4:$G$3460,3,0),"")</f>
        <v>2.7911</v>
      </c>
      <c r="D5403">
        <f>IFERROR(VLOOKUP($A5403,原始数据_收盘!$A$4:$G$3460,4,0),"")</f>
        <v>2.2303</v>
      </c>
      <c r="E5403">
        <f>IFERROR(VLOOKUP($A5403,原始数据_收盘!$A$4:$G$3460,5,0),"")</f>
        <v>2.7939</v>
      </c>
      <c r="F5403">
        <f>IFERROR(VLOOKUP($A5403,原始数据_收盘!$A$4:$G$3460,6,0),"")</f>
        <v>2.2285</v>
      </c>
      <c r="G5403">
        <f>IFERROR(VLOOKUP($A5403,原始数据_收盘!$A$4:$G$3460,7,0),"")</f>
        <v>2.7925</v>
      </c>
      <c r="H5403">
        <f>IFERROR(VLOOKUP($A5403,原始数据_利率互换_FR007_1年!$A$6:$C$4395,2,0),"")</f>
        <v>2.2383</v>
      </c>
      <c r="I5403">
        <f>IFERROR(VLOOKUP($A5403,原始数据_利率互换_FR007_1年!$A$6:$C$4395,3,0),"")</f>
        <v>2.8149</v>
      </c>
    </row>
    <row r="5404" spans="1:9">
      <c r="A5404" s="6">
        <v>44897</v>
      </c>
      <c r="B5404">
        <f>IFERROR(VLOOKUP($A5404,原始数据_收盘!$A$4:$G$3460,2,0),"")</f>
        <v>2.2195</v>
      </c>
      <c r="C5404">
        <f>IFERROR(VLOOKUP($A5404,原始数据_收盘!$A$4:$G$3460,3,0),"")</f>
        <v>2.784</v>
      </c>
      <c r="D5404">
        <f>IFERROR(VLOOKUP($A5404,原始数据_收盘!$A$4:$G$3460,4,0),"")</f>
        <v>2.2225</v>
      </c>
      <c r="E5404">
        <f>IFERROR(VLOOKUP($A5404,原始数据_收盘!$A$4:$G$3460,5,0),"")</f>
        <v>2.7875</v>
      </c>
      <c r="F5404">
        <f>IFERROR(VLOOKUP($A5404,原始数据_收盘!$A$4:$G$3460,6,0),"")</f>
        <v>2.221</v>
      </c>
      <c r="G5404">
        <f>IFERROR(VLOOKUP($A5404,原始数据_收盘!$A$4:$G$3460,7,0),"")</f>
        <v>2.7858</v>
      </c>
      <c r="H5404">
        <f>IFERROR(VLOOKUP($A5404,原始数据_利率互换_FR007_1年!$A$6:$C$4395,2,0),"")</f>
        <v>2.2187</v>
      </c>
      <c r="I5404">
        <f>IFERROR(VLOOKUP($A5404,原始数据_利率互换_FR007_1年!$A$6:$C$4395,3,0),"")</f>
        <v>2.7849</v>
      </c>
    </row>
    <row r="5405" spans="1:9">
      <c r="A5405" s="6">
        <v>44898</v>
      </c>
      <c r="B5405" t="str">
        <f>IFERROR(VLOOKUP($A5405,原始数据_收盘!$A$4:$G$3460,2,0),"")</f>
        <v/>
      </c>
      <c r="C5405" t="str">
        <f>IFERROR(VLOOKUP($A5405,原始数据_收盘!$A$4:$G$3460,3,0),"")</f>
        <v/>
      </c>
      <c r="D5405" t="str">
        <f>IFERROR(VLOOKUP($A5405,原始数据_收盘!$A$4:$G$3460,4,0),"")</f>
        <v/>
      </c>
      <c r="E5405" t="str">
        <f>IFERROR(VLOOKUP($A5405,原始数据_收盘!$A$4:$G$3460,5,0),"")</f>
        <v/>
      </c>
      <c r="F5405" t="str">
        <f>IFERROR(VLOOKUP($A5405,原始数据_收盘!$A$4:$G$3460,6,0),"")</f>
        <v/>
      </c>
      <c r="G5405" t="str">
        <f>IFERROR(VLOOKUP($A5405,原始数据_收盘!$A$4:$G$3460,7,0),"")</f>
        <v/>
      </c>
      <c r="H5405" t="str">
        <f>IFERROR(VLOOKUP($A5405,原始数据_利率互换_FR007_1年!$A$6:$C$4395,2,0),"")</f>
        <v/>
      </c>
      <c r="I5405" t="str">
        <f>IFERROR(VLOOKUP($A5405,原始数据_利率互换_FR007_1年!$A$6:$C$4395,3,0),"")</f>
        <v/>
      </c>
    </row>
    <row r="5406" spans="1:9">
      <c r="A5406" s="6">
        <v>44899</v>
      </c>
      <c r="B5406" t="str">
        <f>IFERROR(VLOOKUP($A5406,原始数据_收盘!$A$4:$G$3460,2,0),"")</f>
        <v/>
      </c>
      <c r="C5406" t="str">
        <f>IFERROR(VLOOKUP($A5406,原始数据_收盘!$A$4:$G$3460,3,0),"")</f>
        <v/>
      </c>
      <c r="D5406" t="str">
        <f>IFERROR(VLOOKUP($A5406,原始数据_收盘!$A$4:$G$3460,4,0),"")</f>
        <v/>
      </c>
      <c r="E5406" t="str">
        <f>IFERROR(VLOOKUP($A5406,原始数据_收盘!$A$4:$G$3460,5,0),"")</f>
        <v/>
      </c>
      <c r="F5406" t="str">
        <f>IFERROR(VLOOKUP($A5406,原始数据_收盘!$A$4:$G$3460,6,0),"")</f>
        <v/>
      </c>
      <c r="G5406" t="str">
        <f>IFERROR(VLOOKUP($A5406,原始数据_收盘!$A$4:$G$3460,7,0),"")</f>
        <v/>
      </c>
      <c r="H5406" t="str">
        <f>IFERROR(VLOOKUP($A5406,原始数据_利率互换_FR007_1年!$A$6:$C$4395,2,0),"")</f>
        <v/>
      </c>
      <c r="I5406" t="str">
        <f>IFERROR(VLOOKUP($A5406,原始数据_利率互换_FR007_1年!$A$6:$C$4395,3,0),"")</f>
        <v/>
      </c>
    </row>
    <row r="5407" spans="1:9">
      <c r="A5407" s="6">
        <v>44900</v>
      </c>
      <c r="B5407">
        <f>IFERROR(VLOOKUP($A5407,原始数据_收盘!$A$4:$G$3460,2,0),"")</f>
        <v>2.2361</v>
      </c>
      <c r="C5407">
        <f>IFERROR(VLOOKUP($A5407,原始数据_收盘!$A$4:$G$3460,3,0),"")</f>
        <v>2.8138</v>
      </c>
      <c r="D5407">
        <f>IFERROR(VLOOKUP($A5407,原始数据_收盘!$A$4:$G$3460,4,0),"")</f>
        <v>2.2389</v>
      </c>
      <c r="E5407">
        <f>IFERROR(VLOOKUP($A5407,原始数据_收盘!$A$4:$G$3460,5,0),"")</f>
        <v>2.8165</v>
      </c>
      <c r="F5407">
        <f>IFERROR(VLOOKUP($A5407,原始数据_收盘!$A$4:$G$3460,6,0),"")</f>
        <v>2.2375</v>
      </c>
      <c r="G5407">
        <f>IFERROR(VLOOKUP($A5407,原始数据_收盘!$A$4:$G$3460,7,0),"")</f>
        <v>2.8151</v>
      </c>
      <c r="H5407">
        <f>IFERROR(VLOOKUP($A5407,原始数据_利率互换_FR007_1年!$A$6:$C$4395,2,0),"")</f>
        <v>2.2316</v>
      </c>
      <c r="I5407">
        <f>IFERROR(VLOOKUP($A5407,原始数据_利率互换_FR007_1年!$A$6:$C$4395,3,0),"")</f>
        <v>2.807</v>
      </c>
    </row>
    <row r="5408" spans="1:9">
      <c r="A5408" s="6">
        <v>44901</v>
      </c>
      <c r="B5408">
        <f>IFERROR(VLOOKUP($A5408,原始数据_收盘!$A$4:$G$3460,2,0),"")</f>
        <v>2.27</v>
      </c>
      <c r="C5408">
        <f>IFERROR(VLOOKUP($A5408,原始数据_收盘!$A$4:$G$3460,3,0),"")</f>
        <v>2.8717</v>
      </c>
      <c r="D5408">
        <f>IFERROR(VLOOKUP($A5408,原始数据_收盘!$A$4:$G$3460,4,0),"")</f>
        <v>2.275</v>
      </c>
      <c r="E5408">
        <f>IFERROR(VLOOKUP($A5408,原始数据_收盘!$A$4:$G$3460,5,0),"")</f>
        <v>2.8744</v>
      </c>
      <c r="F5408">
        <f>IFERROR(VLOOKUP($A5408,原始数据_收盘!$A$4:$G$3460,6,0),"")</f>
        <v>2.2725</v>
      </c>
      <c r="G5408">
        <f>IFERROR(VLOOKUP($A5408,原始数据_收盘!$A$4:$G$3460,7,0),"")</f>
        <v>2.8731</v>
      </c>
      <c r="H5408">
        <f>IFERROR(VLOOKUP($A5408,原始数据_利率互换_FR007_1年!$A$6:$C$4395,2,0),"")</f>
        <v>2.2552</v>
      </c>
      <c r="I5408">
        <f>IFERROR(VLOOKUP($A5408,原始数据_利率互换_FR007_1年!$A$6:$C$4395,3,0),"")</f>
        <v>2.8505</v>
      </c>
    </row>
    <row r="5409" spans="1:9">
      <c r="A5409" s="6">
        <v>44902</v>
      </c>
      <c r="B5409">
        <f>IFERROR(VLOOKUP($A5409,原始数据_收盘!$A$4:$G$3460,2,0),"")</f>
        <v>2.234</v>
      </c>
      <c r="C5409">
        <f>IFERROR(VLOOKUP($A5409,原始数据_收盘!$A$4:$G$3460,3,0),"")</f>
        <v>2.8261</v>
      </c>
      <c r="D5409">
        <f>IFERROR(VLOOKUP($A5409,原始数据_收盘!$A$4:$G$3460,4,0),"")</f>
        <v>2.25</v>
      </c>
      <c r="E5409">
        <f>IFERROR(VLOOKUP($A5409,原始数据_收盘!$A$4:$G$3460,5,0),"")</f>
        <v>2.8296</v>
      </c>
      <c r="F5409">
        <f>IFERROR(VLOOKUP($A5409,原始数据_收盘!$A$4:$G$3460,6,0),"")</f>
        <v>2.242</v>
      </c>
      <c r="G5409">
        <f>IFERROR(VLOOKUP($A5409,原始数据_收盘!$A$4:$G$3460,7,0),"")</f>
        <v>2.8279</v>
      </c>
      <c r="H5409">
        <f>IFERROR(VLOOKUP($A5409,原始数据_利率互换_FR007_1年!$A$6:$C$4395,2,0),"")</f>
        <v>2.279</v>
      </c>
      <c r="I5409">
        <f>IFERROR(VLOOKUP($A5409,原始数据_利率互换_FR007_1年!$A$6:$C$4395,3,0),"")</f>
        <v>2.8789</v>
      </c>
    </row>
    <row r="5410" spans="1:9">
      <c r="A5410" s="6">
        <v>44903</v>
      </c>
      <c r="B5410">
        <f>IFERROR(VLOOKUP($A5410,原始数据_收盘!$A$4:$G$3460,2,0),"")</f>
        <v>2.25</v>
      </c>
      <c r="C5410">
        <f>IFERROR(VLOOKUP($A5410,原始数据_收盘!$A$4:$G$3460,3,0),"")</f>
        <v>2.831</v>
      </c>
      <c r="D5410">
        <f>IFERROR(VLOOKUP($A5410,原始数据_收盘!$A$4:$G$3460,4,0),"")</f>
        <v>2.2536</v>
      </c>
      <c r="E5410">
        <f>IFERROR(VLOOKUP($A5410,原始数据_收盘!$A$4:$G$3460,5,0),"")</f>
        <v>2.835</v>
      </c>
      <c r="F5410">
        <f>IFERROR(VLOOKUP($A5410,原始数据_收盘!$A$4:$G$3460,6,0),"")</f>
        <v>2.2518</v>
      </c>
      <c r="G5410">
        <f>IFERROR(VLOOKUP($A5410,原始数据_收盘!$A$4:$G$3460,7,0),"")</f>
        <v>2.833</v>
      </c>
      <c r="H5410">
        <f>IFERROR(VLOOKUP($A5410,原始数据_利率互换_FR007_1年!$A$6:$C$4395,2,0),"")</f>
        <v>2.2443</v>
      </c>
      <c r="I5410">
        <f>IFERROR(VLOOKUP($A5410,原始数据_利率互换_FR007_1年!$A$6:$C$4395,3,0),"")</f>
        <v>2.8278</v>
      </c>
    </row>
    <row r="5411" spans="1:9">
      <c r="A5411" s="6">
        <v>44904</v>
      </c>
      <c r="B5411">
        <f>IFERROR(VLOOKUP($A5411,原始数据_收盘!$A$4:$G$3460,2,0),"")</f>
        <v>2.2625</v>
      </c>
      <c r="C5411">
        <f>IFERROR(VLOOKUP($A5411,原始数据_收盘!$A$4:$G$3460,3,0),"")</f>
        <v>2.8574</v>
      </c>
      <c r="D5411">
        <f>IFERROR(VLOOKUP($A5411,原始数据_收盘!$A$4:$G$3460,4,0),"")</f>
        <v>2.265</v>
      </c>
      <c r="E5411">
        <f>IFERROR(VLOOKUP($A5411,原始数据_收盘!$A$4:$G$3460,5,0),"")</f>
        <v>2.86</v>
      </c>
      <c r="F5411">
        <f>IFERROR(VLOOKUP($A5411,原始数据_收盘!$A$4:$G$3460,6,0),"")</f>
        <v>2.2638</v>
      </c>
      <c r="G5411">
        <f>IFERROR(VLOOKUP($A5411,原始数据_收盘!$A$4:$G$3460,7,0),"")</f>
        <v>2.8587</v>
      </c>
      <c r="H5411">
        <f>IFERROR(VLOOKUP($A5411,原始数据_利率互换_FR007_1年!$A$6:$C$4395,2,0),"")</f>
        <v>2.2579</v>
      </c>
      <c r="I5411">
        <f>IFERROR(VLOOKUP($A5411,原始数据_利率互换_FR007_1年!$A$6:$C$4395,3,0),"")</f>
        <v>2.8489</v>
      </c>
    </row>
    <row r="5412" spans="1:9">
      <c r="A5412" s="6">
        <v>44905</v>
      </c>
      <c r="B5412" t="str">
        <f>IFERROR(VLOOKUP($A5412,原始数据_收盘!$A$4:$G$3460,2,0),"")</f>
        <v/>
      </c>
      <c r="C5412" t="str">
        <f>IFERROR(VLOOKUP($A5412,原始数据_收盘!$A$4:$G$3460,3,0),"")</f>
        <v/>
      </c>
      <c r="D5412" t="str">
        <f>IFERROR(VLOOKUP($A5412,原始数据_收盘!$A$4:$G$3460,4,0),"")</f>
        <v/>
      </c>
      <c r="E5412" t="str">
        <f>IFERROR(VLOOKUP($A5412,原始数据_收盘!$A$4:$G$3460,5,0),"")</f>
        <v/>
      </c>
      <c r="F5412" t="str">
        <f>IFERROR(VLOOKUP($A5412,原始数据_收盘!$A$4:$G$3460,6,0),"")</f>
        <v/>
      </c>
      <c r="G5412" t="str">
        <f>IFERROR(VLOOKUP($A5412,原始数据_收盘!$A$4:$G$3460,7,0),"")</f>
        <v/>
      </c>
      <c r="H5412" t="str">
        <f>IFERROR(VLOOKUP($A5412,原始数据_利率互换_FR007_1年!$A$6:$C$4395,2,0),"")</f>
        <v/>
      </c>
      <c r="I5412" t="str">
        <f>IFERROR(VLOOKUP($A5412,原始数据_利率互换_FR007_1年!$A$6:$C$4395,3,0),"")</f>
        <v/>
      </c>
    </row>
    <row r="5413" spans="1:9">
      <c r="A5413" s="6">
        <v>44906</v>
      </c>
      <c r="B5413" t="str">
        <f>IFERROR(VLOOKUP($A5413,原始数据_收盘!$A$4:$G$3460,2,0),"")</f>
        <v/>
      </c>
      <c r="C5413" t="str">
        <f>IFERROR(VLOOKUP($A5413,原始数据_收盘!$A$4:$G$3460,3,0),"")</f>
        <v/>
      </c>
      <c r="D5413" t="str">
        <f>IFERROR(VLOOKUP($A5413,原始数据_收盘!$A$4:$G$3460,4,0),"")</f>
        <v/>
      </c>
      <c r="E5413" t="str">
        <f>IFERROR(VLOOKUP($A5413,原始数据_收盘!$A$4:$G$3460,5,0),"")</f>
        <v/>
      </c>
      <c r="F5413" t="str">
        <f>IFERROR(VLOOKUP($A5413,原始数据_收盘!$A$4:$G$3460,6,0),"")</f>
        <v/>
      </c>
      <c r="G5413" t="str">
        <f>IFERROR(VLOOKUP($A5413,原始数据_收盘!$A$4:$G$3460,7,0),"")</f>
        <v/>
      </c>
      <c r="H5413" t="str">
        <f>IFERROR(VLOOKUP($A5413,原始数据_利率互换_FR007_1年!$A$6:$C$4395,2,0),"")</f>
        <v/>
      </c>
      <c r="I5413" t="str">
        <f>IFERROR(VLOOKUP($A5413,原始数据_利率互换_FR007_1年!$A$6:$C$4395,3,0),"")</f>
        <v/>
      </c>
    </row>
    <row r="5414" spans="1:9">
      <c r="A5414" s="6">
        <v>44907</v>
      </c>
      <c r="B5414">
        <f>IFERROR(VLOOKUP($A5414,原始数据_收盘!$A$4:$G$3460,2,0),"")</f>
        <v>2.2549</v>
      </c>
      <c r="C5414">
        <f>IFERROR(VLOOKUP($A5414,原始数据_收盘!$A$4:$G$3460,3,0),"")</f>
        <v>2.8502</v>
      </c>
      <c r="D5414">
        <f>IFERROR(VLOOKUP($A5414,原始数据_收盘!$A$4:$G$3460,4,0),"")</f>
        <v>2.2569</v>
      </c>
      <c r="E5414">
        <f>IFERROR(VLOOKUP($A5414,原始数据_收盘!$A$4:$G$3460,5,0),"")</f>
        <v>2.8556</v>
      </c>
      <c r="F5414">
        <f>IFERROR(VLOOKUP($A5414,原始数据_收盘!$A$4:$G$3460,6,0),"")</f>
        <v>2.2559</v>
      </c>
      <c r="G5414">
        <f>IFERROR(VLOOKUP($A5414,原始数据_收盘!$A$4:$G$3460,7,0),"")</f>
        <v>2.8529</v>
      </c>
      <c r="H5414">
        <f>IFERROR(VLOOKUP($A5414,原始数据_利率互换_FR007_1年!$A$6:$C$4395,2,0),"")</f>
        <v>2.2464</v>
      </c>
      <c r="I5414">
        <f>IFERROR(VLOOKUP($A5414,原始数据_利率互换_FR007_1年!$A$6:$C$4395,3,0),"")</f>
        <v>2.8391</v>
      </c>
    </row>
    <row r="5415" spans="1:9">
      <c r="A5415" s="6">
        <v>44908</v>
      </c>
      <c r="B5415">
        <f>IFERROR(VLOOKUP($A5415,原始数据_收盘!$A$4:$G$3460,2,0),"")</f>
        <v>2.2659</v>
      </c>
      <c r="C5415">
        <f>IFERROR(VLOOKUP($A5415,原始数据_收盘!$A$4:$G$3460,3,0),"")</f>
        <v>2.8486</v>
      </c>
      <c r="D5415">
        <f>IFERROR(VLOOKUP($A5415,原始数据_收盘!$A$4:$G$3460,4,0),"")</f>
        <v>2.2681</v>
      </c>
      <c r="E5415">
        <f>IFERROR(VLOOKUP($A5415,原始数据_收盘!$A$4:$G$3460,5,0),"")</f>
        <v>2.8525</v>
      </c>
      <c r="F5415">
        <f>IFERROR(VLOOKUP($A5415,原始数据_收盘!$A$4:$G$3460,6,0),"")</f>
        <v>2.267</v>
      </c>
      <c r="G5415">
        <f>IFERROR(VLOOKUP($A5415,原始数据_收盘!$A$4:$G$3460,7,0),"")</f>
        <v>2.8506</v>
      </c>
      <c r="H5415">
        <f>IFERROR(VLOOKUP($A5415,原始数据_利率互换_FR007_1年!$A$6:$C$4395,2,0),"")</f>
        <v>2.2655</v>
      </c>
      <c r="I5415">
        <f>IFERROR(VLOOKUP($A5415,原始数据_利率互换_FR007_1年!$A$6:$C$4395,3,0),"")</f>
        <v>2.8539</v>
      </c>
    </row>
    <row r="5416" spans="1:9">
      <c r="A5416" s="6">
        <v>44909</v>
      </c>
      <c r="B5416">
        <f>IFERROR(VLOOKUP($A5416,原始数据_收盘!$A$4:$G$3460,2,0),"")</f>
        <v>2.2225</v>
      </c>
      <c r="C5416">
        <f>IFERROR(VLOOKUP($A5416,原始数据_收盘!$A$4:$G$3460,3,0),"")</f>
        <v>2.785</v>
      </c>
      <c r="D5416">
        <f>IFERROR(VLOOKUP($A5416,原始数据_收盘!$A$4:$G$3460,4,0),"")</f>
        <v>2.226</v>
      </c>
      <c r="E5416">
        <f>IFERROR(VLOOKUP($A5416,原始数据_收盘!$A$4:$G$3460,5,0),"")</f>
        <v>2.79</v>
      </c>
      <c r="F5416">
        <f>IFERROR(VLOOKUP($A5416,原始数据_收盘!$A$4:$G$3460,6,0),"")</f>
        <v>2.2243</v>
      </c>
      <c r="G5416">
        <f>IFERROR(VLOOKUP($A5416,原始数据_收盘!$A$4:$G$3460,7,0),"")</f>
        <v>2.7875</v>
      </c>
      <c r="H5416">
        <f>IFERROR(VLOOKUP($A5416,原始数据_利率互换_FR007_1年!$A$6:$C$4395,2,0),"")</f>
        <v>2.2333</v>
      </c>
      <c r="I5416">
        <f>IFERROR(VLOOKUP($A5416,原始数据_利率互换_FR007_1年!$A$6:$C$4395,3,0),"")</f>
        <v>2.8037</v>
      </c>
    </row>
    <row r="5417" spans="1:9">
      <c r="A5417" s="6">
        <v>44910</v>
      </c>
      <c r="B5417">
        <f>IFERROR(VLOOKUP($A5417,原始数据_收盘!$A$4:$G$3460,2,0),"")</f>
        <v>2.2349</v>
      </c>
      <c r="C5417">
        <f>IFERROR(VLOOKUP($A5417,原始数据_收盘!$A$4:$G$3460,3,0),"")</f>
        <v>2.8021</v>
      </c>
      <c r="D5417">
        <f>IFERROR(VLOOKUP($A5417,原始数据_收盘!$A$4:$G$3460,4,0),"")</f>
        <v>2.2375</v>
      </c>
      <c r="E5417">
        <f>IFERROR(VLOOKUP($A5417,原始数据_收盘!$A$4:$G$3460,5,0),"")</f>
        <v>2.805</v>
      </c>
      <c r="F5417">
        <f>IFERROR(VLOOKUP($A5417,原始数据_收盘!$A$4:$G$3460,6,0),"")</f>
        <v>2.2362</v>
      </c>
      <c r="G5417">
        <f>IFERROR(VLOOKUP($A5417,原始数据_收盘!$A$4:$G$3460,7,0),"")</f>
        <v>2.8035</v>
      </c>
      <c r="H5417">
        <f>IFERROR(VLOOKUP($A5417,原始数据_利率互换_FR007_1年!$A$6:$C$4395,2,0),"")</f>
        <v>2.2343</v>
      </c>
      <c r="I5417">
        <f>IFERROR(VLOOKUP($A5417,原始数据_利率互换_FR007_1年!$A$6:$C$4395,3,0),"")</f>
        <v>2.7991</v>
      </c>
    </row>
    <row r="5418" spans="1:9">
      <c r="A5418" s="6">
        <v>44911</v>
      </c>
      <c r="B5418">
        <f>IFERROR(VLOOKUP($A5418,原始数据_收盘!$A$4:$G$3460,2,0),"")</f>
        <v>2.2325</v>
      </c>
      <c r="C5418">
        <f>IFERROR(VLOOKUP($A5418,原始数据_收盘!$A$4:$G$3460,3,0),"")</f>
        <v>2.8109</v>
      </c>
      <c r="D5418">
        <f>IFERROR(VLOOKUP($A5418,原始数据_收盘!$A$4:$G$3460,4,0),"")</f>
        <v>2.2362</v>
      </c>
      <c r="E5418">
        <f>IFERROR(VLOOKUP($A5418,原始数据_收盘!$A$4:$G$3460,5,0),"")</f>
        <v>2.815</v>
      </c>
      <c r="F5418">
        <f>IFERROR(VLOOKUP($A5418,原始数据_收盘!$A$4:$G$3460,6,0),"")</f>
        <v>2.2343</v>
      </c>
      <c r="G5418">
        <f>IFERROR(VLOOKUP($A5418,原始数据_收盘!$A$4:$G$3460,7,0),"")</f>
        <v>2.8129</v>
      </c>
      <c r="H5418">
        <f>IFERROR(VLOOKUP($A5418,原始数据_利率互换_FR007_1年!$A$6:$C$4395,2,0),"")</f>
        <v>2.239</v>
      </c>
      <c r="I5418">
        <f>IFERROR(VLOOKUP($A5418,原始数据_利率互换_FR007_1年!$A$6:$C$4395,3,0),"")</f>
        <v>2.8139</v>
      </c>
    </row>
    <row r="5419" spans="1:9">
      <c r="A5419" s="6">
        <v>44912</v>
      </c>
      <c r="B5419" t="str">
        <f>IFERROR(VLOOKUP($A5419,原始数据_收盘!$A$4:$G$3460,2,0),"")</f>
        <v/>
      </c>
      <c r="C5419" t="str">
        <f>IFERROR(VLOOKUP($A5419,原始数据_收盘!$A$4:$G$3460,3,0),"")</f>
        <v/>
      </c>
      <c r="D5419" t="str">
        <f>IFERROR(VLOOKUP($A5419,原始数据_收盘!$A$4:$G$3460,4,0),"")</f>
        <v/>
      </c>
      <c r="E5419" t="str">
        <f>IFERROR(VLOOKUP($A5419,原始数据_收盘!$A$4:$G$3460,5,0),"")</f>
        <v/>
      </c>
      <c r="F5419" t="str">
        <f>IFERROR(VLOOKUP($A5419,原始数据_收盘!$A$4:$G$3460,6,0),"")</f>
        <v/>
      </c>
      <c r="G5419" t="str">
        <f>IFERROR(VLOOKUP($A5419,原始数据_收盘!$A$4:$G$3460,7,0),"")</f>
        <v/>
      </c>
      <c r="H5419" t="str">
        <f>IFERROR(VLOOKUP($A5419,原始数据_利率互换_FR007_1年!$A$6:$C$4395,2,0),"")</f>
        <v/>
      </c>
      <c r="I5419" t="str">
        <f>IFERROR(VLOOKUP($A5419,原始数据_利率互换_FR007_1年!$A$6:$C$4395,3,0),"")</f>
        <v/>
      </c>
    </row>
    <row r="5420" spans="1:9">
      <c r="A5420" s="6">
        <v>44913</v>
      </c>
      <c r="B5420" t="str">
        <f>IFERROR(VLOOKUP($A5420,原始数据_收盘!$A$4:$G$3460,2,0),"")</f>
        <v/>
      </c>
      <c r="C5420" t="str">
        <f>IFERROR(VLOOKUP($A5420,原始数据_收盘!$A$4:$G$3460,3,0),"")</f>
        <v/>
      </c>
      <c r="D5420" t="str">
        <f>IFERROR(VLOOKUP($A5420,原始数据_收盘!$A$4:$G$3460,4,0),"")</f>
        <v/>
      </c>
      <c r="E5420" t="str">
        <f>IFERROR(VLOOKUP($A5420,原始数据_收盘!$A$4:$G$3460,5,0),"")</f>
        <v/>
      </c>
      <c r="F5420" t="str">
        <f>IFERROR(VLOOKUP($A5420,原始数据_收盘!$A$4:$G$3460,6,0),"")</f>
        <v/>
      </c>
      <c r="G5420" t="str">
        <f>IFERROR(VLOOKUP($A5420,原始数据_收盘!$A$4:$G$3460,7,0),"")</f>
        <v/>
      </c>
      <c r="H5420" t="str">
        <f>IFERROR(VLOOKUP($A5420,原始数据_利率互换_FR007_1年!$A$6:$C$4395,2,0),"")</f>
        <v/>
      </c>
      <c r="I5420" t="str">
        <f>IFERROR(VLOOKUP($A5420,原始数据_利率互换_FR007_1年!$A$6:$C$4395,3,0),"")</f>
        <v/>
      </c>
    </row>
    <row r="5421" spans="1:9">
      <c r="A5421" s="6">
        <v>44914</v>
      </c>
      <c r="B5421">
        <f>IFERROR(VLOOKUP($A5421,原始数据_收盘!$A$4:$G$3460,2,0),"")</f>
        <v>2.1925</v>
      </c>
      <c r="C5421">
        <f>IFERROR(VLOOKUP($A5421,原始数据_收盘!$A$4:$G$3460,3,0),"")</f>
        <v>2.7704</v>
      </c>
      <c r="D5421">
        <f>IFERROR(VLOOKUP($A5421,原始数据_收盘!$A$4:$G$3460,4,0),"")</f>
        <v>2.1975</v>
      </c>
      <c r="E5421">
        <f>IFERROR(VLOOKUP($A5421,原始数据_收盘!$A$4:$G$3460,5,0),"")</f>
        <v>2.7725</v>
      </c>
      <c r="F5421">
        <f>IFERROR(VLOOKUP($A5421,原始数据_收盘!$A$4:$G$3460,6,0),"")</f>
        <v>2.195</v>
      </c>
      <c r="G5421">
        <f>IFERROR(VLOOKUP($A5421,原始数据_收盘!$A$4:$G$3460,7,0),"")</f>
        <v>2.7715</v>
      </c>
      <c r="H5421">
        <f>IFERROR(VLOOKUP($A5421,原始数据_利率互换_FR007_1年!$A$6:$C$4395,2,0),"")</f>
        <v>2.1921</v>
      </c>
      <c r="I5421">
        <f>IFERROR(VLOOKUP($A5421,原始数据_利率互换_FR007_1年!$A$6:$C$4395,3,0),"")</f>
        <v>2.7663</v>
      </c>
    </row>
    <row r="5422" spans="1:9">
      <c r="A5422" s="6">
        <v>44915</v>
      </c>
      <c r="B5422">
        <f>IFERROR(VLOOKUP($A5422,原始数据_收盘!$A$4:$G$3460,2,0),"")</f>
        <v>2.2122</v>
      </c>
      <c r="C5422">
        <f>IFERROR(VLOOKUP($A5422,原始数据_收盘!$A$4:$G$3460,3,0),"")</f>
        <v>2.7872</v>
      </c>
      <c r="D5422">
        <f>IFERROR(VLOOKUP($A5422,原始数据_收盘!$A$4:$G$3460,4,0),"")</f>
        <v>2.215</v>
      </c>
      <c r="E5422">
        <f>IFERROR(VLOOKUP($A5422,原始数据_收盘!$A$4:$G$3460,5,0),"")</f>
        <v>2.7882</v>
      </c>
      <c r="F5422">
        <f>IFERROR(VLOOKUP($A5422,原始数据_收盘!$A$4:$G$3460,6,0),"")</f>
        <v>2.2136</v>
      </c>
      <c r="G5422">
        <f>IFERROR(VLOOKUP($A5422,原始数据_收盘!$A$4:$G$3460,7,0),"")</f>
        <v>2.7877</v>
      </c>
      <c r="H5422">
        <f>IFERROR(VLOOKUP($A5422,原始数据_利率互换_FR007_1年!$A$6:$C$4395,2,0),"")</f>
        <v>2.2037</v>
      </c>
      <c r="I5422">
        <f>IFERROR(VLOOKUP($A5422,原始数据_利率互换_FR007_1年!$A$6:$C$4395,3,0),"")</f>
        <v>2.7745</v>
      </c>
    </row>
    <row r="5423" spans="1:9">
      <c r="A5423" s="6">
        <v>44916</v>
      </c>
      <c r="B5423">
        <f>IFERROR(VLOOKUP($A5423,原始数据_收盘!$A$4:$G$3460,2,0),"")</f>
        <v>2.1975</v>
      </c>
      <c r="C5423">
        <f>IFERROR(VLOOKUP($A5423,原始数据_收盘!$A$4:$G$3460,3,0),"")</f>
        <v>2.77</v>
      </c>
      <c r="D5423">
        <f>IFERROR(VLOOKUP($A5423,原始数据_收盘!$A$4:$G$3460,4,0),"")</f>
        <v>2.2</v>
      </c>
      <c r="E5423">
        <f>IFERROR(VLOOKUP($A5423,原始数据_收盘!$A$4:$G$3460,5,0),"")</f>
        <v>2.7728</v>
      </c>
      <c r="F5423">
        <f>IFERROR(VLOOKUP($A5423,原始数据_收盘!$A$4:$G$3460,6,0),"")</f>
        <v>2.1988</v>
      </c>
      <c r="G5423">
        <f>IFERROR(VLOOKUP($A5423,原始数据_收盘!$A$4:$G$3460,7,0),"")</f>
        <v>2.7714</v>
      </c>
      <c r="H5423">
        <f>IFERROR(VLOOKUP($A5423,原始数据_利率互换_FR007_1年!$A$6:$C$4395,2,0),"")</f>
        <v>2.2011</v>
      </c>
      <c r="I5423">
        <f>IFERROR(VLOOKUP($A5423,原始数据_利率互换_FR007_1年!$A$6:$C$4395,3,0),"")</f>
        <v>2.7808</v>
      </c>
    </row>
    <row r="5424" spans="1:9">
      <c r="A5424" s="6">
        <v>44917</v>
      </c>
      <c r="B5424">
        <f>IFERROR(VLOOKUP($A5424,原始数据_收盘!$A$4:$G$3460,2,0),"")</f>
        <v>2.1734</v>
      </c>
      <c r="C5424">
        <f>IFERROR(VLOOKUP($A5424,原始数据_收盘!$A$4:$G$3460,3,0),"")</f>
        <v>2.7475</v>
      </c>
      <c r="D5424">
        <f>IFERROR(VLOOKUP($A5424,原始数据_收盘!$A$4:$G$3460,4,0),"")</f>
        <v>2.18</v>
      </c>
      <c r="E5424">
        <f>IFERROR(VLOOKUP($A5424,原始数据_收盘!$A$4:$G$3460,5,0),"")</f>
        <v>2.7503</v>
      </c>
      <c r="F5424">
        <f>IFERROR(VLOOKUP($A5424,原始数据_收盘!$A$4:$G$3460,6,0),"")</f>
        <v>2.1767</v>
      </c>
      <c r="G5424">
        <f>IFERROR(VLOOKUP($A5424,原始数据_收盘!$A$4:$G$3460,7,0),"")</f>
        <v>2.7489</v>
      </c>
      <c r="H5424">
        <f>IFERROR(VLOOKUP($A5424,原始数据_利率互换_FR007_1年!$A$6:$C$4395,2,0),"")</f>
        <v>2.1806</v>
      </c>
      <c r="I5424">
        <f>IFERROR(VLOOKUP($A5424,原始数据_利率互换_FR007_1年!$A$6:$C$4395,3,0),"")</f>
        <v>2.7535</v>
      </c>
    </row>
    <row r="5425" spans="1:9">
      <c r="A5425" s="6">
        <v>44918</v>
      </c>
      <c r="B5425">
        <f>IFERROR(VLOOKUP($A5425,原始数据_收盘!$A$4:$G$3460,2,0),"")</f>
        <v>2.16</v>
      </c>
      <c r="C5425">
        <f>IFERROR(VLOOKUP($A5425,原始数据_收盘!$A$4:$G$3460,3,0),"")</f>
        <v>2.73</v>
      </c>
      <c r="D5425">
        <f>IFERROR(VLOOKUP($A5425,原始数据_收盘!$A$4:$G$3460,4,0),"")</f>
        <v>2.17</v>
      </c>
      <c r="E5425">
        <f>IFERROR(VLOOKUP($A5425,原始数据_收盘!$A$4:$G$3460,5,0),"")</f>
        <v>2.7325</v>
      </c>
      <c r="F5425">
        <f>IFERROR(VLOOKUP($A5425,原始数据_收盘!$A$4:$G$3460,6,0),"")</f>
        <v>2.165</v>
      </c>
      <c r="G5425">
        <f>IFERROR(VLOOKUP($A5425,原始数据_收盘!$A$4:$G$3460,7,0),"")</f>
        <v>2.7313</v>
      </c>
      <c r="H5425">
        <f>IFERROR(VLOOKUP($A5425,原始数据_利率互换_FR007_1年!$A$6:$C$4395,2,0),"")</f>
        <v>2.1688</v>
      </c>
      <c r="I5425">
        <f>IFERROR(VLOOKUP($A5425,原始数据_利率互换_FR007_1年!$A$6:$C$4395,3,0),"")</f>
        <v>2.7376</v>
      </c>
    </row>
    <row r="5426" spans="1:9">
      <c r="A5426" s="6">
        <v>44919</v>
      </c>
      <c r="B5426" t="str">
        <f>IFERROR(VLOOKUP($A5426,原始数据_收盘!$A$4:$G$3460,2,0),"")</f>
        <v/>
      </c>
      <c r="C5426" t="str">
        <f>IFERROR(VLOOKUP($A5426,原始数据_收盘!$A$4:$G$3460,3,0),"")</f>
        <v/>
      </c>
      <c r="D5426" t="str">
        <f>IFERROR(VLOOKUP($A5426,原始数据_收盘!$A$4:$G$3460,4,0),"")</f>
        <v/>
      </c>
      <c r="E5426" t="str">
        <f>IFERROR(VLOOKUP($A5426,原始数据_收盘!$A$4:$G$3460,5,0),"")</f>
        <v/>
      </c>
      <c r="F5426" t="str">
        <f>IFERROR(VLOOKUP($A5426,原始数据_收盘!$A$4:$G$3460,6,0),"")</f>
        <v/>
      </c>
      <c r="G5426" t="str">
        <f>IFERROR(VLOOKUP($A5426,原始数据_收盘!$A$4:$G$3460,7,0),"")</f>
        <v/>
      </c>
      <c r="H5426" t="str">
        <f>IFERROR(VLOOKUP($A5426,原始数据_利率互换_FR007_1年!$A$6:$C$4395,2,0),"")</f>
        <v/>
      </c>
      <c r="I5426" t="str">
        <f>IFERROR(VLOOKUP($A5426,原始数据_利率互换_FR007_1年!$A$6:$C$4395,3,0),"")</f>
        <v/>
      </c>
    </row>
    <row r="5427" spans="1:9">
      <c r="A5427" s="6">
        <v>44920</v>
      </c>
      <c r="B5427" t="str">
        <f>IFERROR(VLOOKUP($A5427,原始数据_收盘!$A$4:$G$3460,2,0),"")</f>
        <v/>
      </c>
      <c r="C5427" t="str">
        <f>IFERROR(VLOOKUP($A5427,原始数据_收盘!$A$4:$G$3460,3,0),"")</f>
        <v/>
      </c>
      <c r="D5427" t="str">
        <f>IFERROR(VLOOKUP($A5427,原始数据_收盘!$A$4:$G$3460,4,0),"")</f>
        <v/>
      </c>
      <c r="E5427" t="str">
        <f>IFERROR(VLOOKUP($A5427,原始数据_收盘!$A$4:$G$3460,5,0),"")</f>
        <v/>
      </c>
      <c r="F5427" t="str">
        <f>IFERROR(VLOOKUP($A5427,原始数据_收盘!$A$4:$G$3460,6,0),"")</f>
        <v/>
      </c>
      <c r="G5427" t="str">
        <f>IFERROR(VLOOKUP($A5427,原始数据_收盘!$A$4:$G$3460,7,0),"")</f>
        <v/>
      </c>
      <c r="H5427" t="str">
        <f>IFERROR(VLOOKUP($A5427,原始数据_利率互换_FR007_1年!$A$6:$C$4395,2,0),"")</f>
        <v/>
      </c>
      <c r="I5427" t="str">
        <f>IFERROR(VLOOKUP($A5427,原始数据_利率互换_FR007_1年!$A$6:$C$4395,3,0),"")</f>
        <v/>
      </c>
    </row>
    <row r="5428" spans="1:9">
      <c r="A5428" s="6">
        <v>44921</v>
      </c>
      <c r="B5428">
        <f>IFERROR(VLOOKUP($A5428,原始数据_收盘!$A$4:$G$3460,2,0),"")</f>
        <v>2.18</v>
      </c>
      <c r="C5428">
        <f>IFERROR(VLOOKUP($A5428,原始数据_收盘!$A$4:$G$3460,3,0),"")</f>
        <v>2.7425</v>
      </c>
      <c r="D5428">
        <f>IFERROR(VLOOKUP($A5428,原始数据_收盘!$A$4:$G$3460,4,0),"")</f>
        <v>2.185</v>
      </c>
      <c r="E5428">
        <f>IFERROR(VLOOKUP($A5428,原始数据_收盘!$A$4:$G$3460,5,0),"")</f>
        <v>2.744</v>
      </c>
      <c r="F5428">
        <f>IFERROR(VLOOKUP($A5428,原始数据_收盘!$A$4:$G$3460,6,0),"")</f>
        <v>2.1825</v>
      </c>
      <c r="G5428">
        <f>IFERROR(VLOOKUP($A5428,原始数据_收盘!$A$4:$G$3460,7,0),"")</f>
        <v>2.7432</v>
      </c>
      <c r="H5428" t="str">
        <f>IFERROR(VLOOKUP($A5428,原始数据_利率互换_FR007_1年!$A$6:$C$4395,2,0),"")</f>
        <v/>
      </c>
      <c r="I5428" t="str">
        <f>IFERROR(VLOOKUP($A5428,原始数据_利率互换_FR007_1年!$A$6:$C$4395,3,0),"")</f>
        <v/>
      </c>
    </row>
    <row r="5429" spans="1:9">
      <c r="A5429" s="6">
        <v>44922</v>
      </c>
      <c r="B5429">
        <f>IFERROR(VLOOKUP($A5429,原始数据_收盘!$A$4:$G$3460,2,0),"")</f>
        <v>2.24</v>
      </c>
      <c r="C5429">
        <f>IFERROR(VLOOKUP($A5429,原始数据_收盘!$A$4:$G$3460,3,0),"")</f>
        <v>2.785</v>
      </c>
      <c r="D5429">
        <f>IFERROR(VLOOKUP($A5429,原始数据_收盘!$A$4:$G$3460,4,0),"")</f>
        <v>2.2425</v>
      </c>
      <c r="E5429">
        <f>IFERROR(VLOOKUP($A5429,原始数据_收盘!$A$4:$G$3460,5,0),"")</f>
        <v>2.7875</v>
      </c>
      <c r="F5429">
        <f>IFERROR(VLOOKUP($A5429,原始数据_收盘!$A$4:$G$3460,6,0),"")</f>
        <v>2.2413</v>
      </c>
      <c r="G5429">
        <f>IFERROR(VLOOKUP($A5429,原始数据_收盘!$A$4:$G$3460,7,0),"")</f>
        <v>2.7863</v>
      </c>
      <c r="H5429">
        <f>IFERROR(VLOOKUP($A5429,原始数据_利率互换_FR007_1年!$A$6:$C$4395,2,0),"")</f>
        <v>2.2315</v>
      </c>
      <c r="I5429">
        <f>IFERROR(VLOOKUP($A5429,原始数据_利率互换_FR007_1年!$A$6:$C$4395,3,0),"")</f>
        <v>2.7833</v>
      </c>
    </row>
    <row r="5430" spans="1:9">
      <c r="A5430" s="6">
        <v>44923</v>
      </c>
      <c r="B5430">
        <f>IFERROR(VLOOKUP($A5430,原始数据_收盘!$A$4:$G$3460,2,0),"")</f>
        <v>2.23</v>
      </c>
      <c r="C5430">
        <f>IFERROR(VLOOKUP($A5430,原始数据_收盘!$A$4:$G$3460,3,0),"")</f>
        <v>2.7825</v>
      </c>
      <c r="D5430">
        <f>IFERROR(VLOOKUP($A5430,原始数据_收盘!$A$4:$G$3460,4,0),"")</f>
        <v>2.24</v>
      </c>
      <c r="E5430">
        <f>IFERROR(VLOOKUP($A5430,原始数据_收盘!$A$4:$G$3460,5,0),"")</f>
        <v>2.7838</v>
      </c>
      <c r="F5430">
        <f>IFERROR(VLOOKUP($A5430,原始数据_收盘!$A$4:$G$3460,6,0),"")</f>
        <v>2.235</v>
      </c>
      <c r="G5430">
        <f>IFERROR(VLOOKUP($A5430,原始数据_收盘!$A$4:$G$3460,7,0),"")</f>
        <v>2.7831</v>
      </c>
      <c r="H5430">
        <f>IFERROR(VLOOKUP($A5430,原始数据_利率互换_FR007_1年!$A$6:$C$4395,2,0),"")</f>
        <v>2.2309</v>
      </c>
      <c r="I5430">
        <f>IFERROR(VLOOKUP($A5430,原始数据_利率互换_FR007_1年!$A$6:$C$4395,3,0),"")</f>
        <v>2.7813</v>
      </c>
    </row>
    <row r="5431" spans="1:9">
      <c r="A5431" s="6">
        <v>44924</v>
      </c>
      <c r="B5431">
        <f>IFERROR(VLOOKUP($A5431,原始数据_收盘!$A$4:$G$3460,2,0),"")</f>
        <v>2.1925</v>
      </c>
      <c r="C5431">
        <f>IFERROR(VLOOKUP($A5431,原始数据_收盘!$A$4:$G$3460,3,0),"")</f>
        <v>2.755</v>
      </c>
      <c r="D5431">
        <f>IFERROR(VLOOKUP($A5431,原始数据_收盘!$A$4:$G$3460,4,0),"")</f>
        <v>2.1975</v>
      </c>
      <c r="E5431">
        <f>IFERROR(VLOOKUP($A5431,原始数据_收盘!$A$4:$G$3460,5,0),"")</f>
        <v>2.7575</v>
      </c>
      <c r="F5431">
        <f>IFERROR(VLOOKUP($A5431,原始数据_收盘!$A$4:$G$3460,6,0),"")</f>
        <v>2.195</v>
      </c>
      <c r="G5431">
        <f>IFERROR(VLOOKUP($A5431,原始数据_收盘!$A$4:$G$3460,7,0),"")</f>
        <v>2.7563</v>
      </c>
      <c r="H5431">
        <f>IFERROR(VLOOKUP($A5431,原始数据_利率互换_FR007_1年!$A$6:$C$4395,2,0),"")</f>
        <v>2.2007</v>
      </c>
      <c r="I5431">
        <f>IFERROR(VLOOKUP($A5431,原始数据_利率互换_FR007_1年!$A$6:$C$4395,3,0),"")</f>
        <v>2.7574</v>
      </c>
    </row>
    <row r="5432" spans="1:9">
      <c r="A5432" s="6">
        <v>44925</v>
      </c>
      <c r="B5432">
        <f>IFERROR(VLOOKUP($A5432,原始数据_收盘!$A$4:$G$3460,2,0),"")</f>
        <v>2.1825</v>
      </c>
      <c r="C5432">
        <f>IFERROR(VLOOKUP($A5432,原始数据_收盘!$A$4:$G$3460,3,0),"")</f>
        <v>2.7628</v>
      </c>
      <c r="D5432">
        <f>IFERROR(VLOOKUP($A5432,原始数据_收盘!$A$4:$G$3460,4,0),"")</f>
        <v>2.1875</v>
      </c>
      <c r="E5432">
        <f>IFERROR(VLOOKUP($A5432,原始数据_收盘!$A$4:$G$3460,5,0),"")</f>
        <v>2.7675</v>
      </c>
      <c r="F5432">
        <f>IFERROR(VLOOKUP($A5432,原始数据_收盘!$A$4:$G$3460,6,0),"")</f>
        <v>2.185</v>
      </c>
      <c r="G5432">
        <f>IFERROR(VLOOKUP($A5432,原始数据_收盘!$A$4:$G$3460,7,0),"")</f>
        <v>2.7652</v>
      </c>
      <c r="H5432">
        <f>IFERROR(VLOOKUP($A5432,原始数据_利率互换_FR007_1年!$A$6:$C$4395,2,0),"")</f>
        <v>2.1801</v>
      </c>
      <c r="I5432">
        <f>IFERROR(VLOOKUP($A5432,原始数据_利率互换_FR007_1年!$A$6:$C$4395,3,0),"")</f>
        <v>2.759</v>
      </c>
    </row>
    <row r="5433" spans="1:9">
      <c r="A5433" s="6">
        <v>44926</v>
      </c>
      <c r="B5433" t="str">
        <f>IFERROR(VLOOKUP($A5433,原始数据_收盘!$A$4:$G$3460,2,0),"")</f>
        <v/>
      </c>
      <c r="C5433" t="str">
        <f>IFERROR(VLOOKUP($A5433,原始数据_收盘!$A$4:$G$3460,3,0),"")</f>
        <v/>
      </c>
      <c r="D5433" t="str">
        <f>IFERROR(VLOOKUP($A5433,原始数据_收盘!$A$4:$G$3460,4,0),"")</f>
        <v/>
      </c>
      <c r="E5433" t="str">
        <f>IFERROR(VLOOKUP($A5433,原始数据_收盘!$A$4:$G$3460,5,0),"")</f>
        <v/>
      </c>
      <c r="F5433" t="str">
        <f>IFERROR(VLOOKUP($A5433,原始数据_收盘!$A$4:$G$3460,6,0),"")</f>
        <v/>
      </c>
      <c r="G5433" t="str">
        <f>IFERROR(VLOOKUP($A5433,原始数据_收盘!$A$4:$G$3460,7,0),"")</f>
        <v/>
      </c>
      <c r="H5433" t="str">
        <f>IFERROR(VLOOKUP($A5433,原始数据_利率互换_FR007_1年!$A$6:$C$4395,2,0),"")</f>
        <v/>
      </c>
      <c r="I5433" t="str">
        <f>IFERROR(VLOOKUP($A5433,原始数据_利率互换_FR007_1年!$A$6:$C$4395,3,0),"")</f>
        <v/>
      </c>
    </row>
    <row r="5434" spans="1:9">
      <c r="A5434" s="6">
        <v>44927</v>
      </c>
      <c r="B5434" t="str">
        <f>IFERROR(VLOOKUP($A5434,原始数据_收盘!$A$4:$G$3460,2,0),"")</f>
        <v/>
      </c>
      <c r="C5434" t="str">
        <f>IFERROR(VLOOKUP($A5434,原始数据_收盘!$A$4:$G$3460,3,0),"")</f>
        <v/>
      </c>
      <c r="D5434" t="str">
        <f>IFERROR(VLOOKUP($A5434,原始数据_收盘!$A$4:$G$3460,4,0),"")</f>
        <v/>
      </c>
      <c r="E5434" t="str">
        <f>IFERROR(VLOOKUP($A5434,原始数据_收盘!$A$4:$G$3460,5,0),"")</f>
        <v/>
      </c>
      <c r="F5434" t="str">
        <f>IFERROR(VLOOKUP($A5434,原始数据_收盘!$A$4:$G$3460,6,0),"")</f>
        <v/>
      </c>
      <c r="G5434" t="str">
        <f>IFERROR(VLOOKUP($A5434,原始数据_收盘!$A$4:$G$3460,7,0),"")</f>
        <v/>
      </c>
      <c r="H5434" t="str">
        <f>IFERROR(VLOOKUP($A5434,原始数据_利率互换_FR007_1年!$A$6:$C$4395,2,0),"")</f>
        <v/>
      </c>
      <c r="I5434" t="str">
        <f>IFERROR(VLOOKUP($A5434,原始数据_利率互换_FR007_1年!$A$6:$C$4395,3,0),"")</f>
        <v/>
      </c>
    </row>
    <row r="5435" spans="1:9">
      <c r="A5435" s="6">
        <v>44928</v>
      </c>
      <c r="B5435" t="str">
        <f>IFERROR(VLOOKUP($A5435,原始数据_收盘!$A$4:$G$3460,2,0),"")</f>
        <v/>
      </c>
      <c r="C5435" t="str">
        <f>IFERROR(VLOOKUP($A5435,原始数据_收盘!$A$4:$G$3460,3,0),"")</f>
        <v/>
      </c>
      <c r="D5435" t="str">
        <f>IFERROR(VLOOKUP($A5435,原始数据_收盘!$A$4:$G$3460,4,0),"")</f>
        <v/>
      </c>
      <c r="E5435" t="str">
        <f>IFERROR(VLOOKUP($A5435,原始数据_收盘!$A$4:$G$3460,5,0),"")</f>
        <v/>
      </c>
      <c r="F5435" t="str">
        <f>IFERROR(VLOOKUP($A5435,原始数据_收盘!$A$4:$G$3460,6,0),"")</f>
        <v/>
      </c>
      <c r="G5435" t="str">
        <f>IFERROR(VLOOKUP($A5435,原始数据_收盘!$A$4:$G$3460,7,0),"")</f>
        <v/>
      </c>
      <c r="H5435" t="str">
        <f>IFERROR(VLOOKUP($A5435,原始数据_利率互换_FR007_1年!$A$6:$C$4395,2,0),"")</f>
        <v/>
      </c>
      <c r="I5435" t="str">
        <f>IFERROR(VLOOKUP($A5435,原始数据_利率互换_FR007_1年!$A$6:$C$4395,3,0),"")</f>
        <v/>
      </c>
    </row>
    <row r="5436" spans="1:9">
      <c r="A5436" s="6">
        <v>44929</v>
      </c>
      <c r="B5436">
        <f>IFERROR(VLOOKUP($A5436,原始数据_收盘!$A$4:$G$3460,2,0),"")</f>
        <v>2.16</v>
      </c>
      <c r="C5436">
        <f>IFERROR(VLOOKUP($A5436,原始数据_收盘!$A$4:$G$3460,3,0),"")</f>
        <v>2.755</v>
      </c>
      <c r="D5436">
        <f>IFERROR(VLOOKUP($A5436,原始数据_收盘!$A$4:$G$3460,4,0),"")</f>
        <v>2.1625</v>
      </c>
      <c r="E5436">
        <f>IFERROR(VLOOKUP($A5436,原始数据_收盘!$A$4:$G$3460,5,0),"")</f>
        <v>2.7575</v>
      </c>
      <c r="F5436">
        <f>IFERROR(VLOOKUP($A5436,原始数据_收盘!$A$4:$G$3460,6,0),"")</f>
        <v>2.1613</v>
      </c>
      <c r="G5436">
        <f>IFERROR(VLOOKUP($A5436,原始数据_收盘!$A$4:$G$3460,7,0),"")</f>
        <v>2.7563</v>
      </c>
      <c r="H5436">
        <f>IFERROR(VLOOKUP($A5436,原始数据_利率互换_FR007_1年!$A$6:$C$4395,2,0),"")</f>
        <v>2.1752</v>
      </c>
      <c r="I5436">
        <f>IFERROR(VLOOKUP($A5436,原始数据_利率互换_FR007_1年!$A$6:$C$4395,3,0),"")</f>
        <v>2.7651</v>
      </c>
    </row>
    <row r="5437" spans="1:9">
      <c r="A5437" s="6">
        <v>44930</v>
      </c>
      <c r="B5437">
        <f>IFERROR(VLOOKUP($A5437,原始数据_收盘!$A$4:$G$3460,2,0),"")</f>
        <v>2.1399</v>
      </c>
      <c r="C5437">
        <f>IFERROR(VLOOKUP($A5437,原始数据_收盘!$A$4:$G$3460,3,0),"")</f>
        <v>2.7248</v>
      </c>
      <c r="D5437">
        <f>IFERROR(VLOOKUP($A5437,原始数据_收盘!$A$4:$G$3460,4,0),"")</f>
        <v>2.1425</v>
      </c>
      <c r="E5437">
        <f>IFERROR(VLOOKUP($A5437,原始数据_收盘!$A$4:$G$3460,5,0),"")</f>
        <v>2.7275</v>
      </c>
      <c r="F5437">
        <f>IFERROR(VLOOKUP($A5437,原始数据_收盘!$A$4:$G$3460,6,0),"")</f>
        <v>2.1412</v>
      </c>
      <c r="G5437">
        <f>IFERROR(VLOOKUP($A5437,原始数据_收盘!$A$4:$G$3460,7,0),"")</f>
        <v>2.7262</v>
      </c>
      <c r="H5437">
        <f>IFERROR(VLOOKUP($A5437,原始数据_利率互换_FR007_1年!$A$6:$C$4395,2,0),"")</f>
        <v>2.1469</v>
      </c>
      <c r="I5437">
        <f>IFERROR(VLOOKUP($A5437,原始数据_利率互换_FR007_1年!$A$6:$C$4395,3,0),"")</f>
        <v>2.7342</v>
      </c>
    </row>
    <row r="5438" spans="1:9">
      <c r="A5438" s="6">
        <v>44931</v>
      </c>
      <c r="B5438">
        <f>IFERROR(VLOOKUP($A5438,原始数据_收盘!$A$4:$G$3460,2,0),"")</f>
        <v>2.145</v>
      </c>
      <c r="C5438">
        <f>IFERROR(VLOOKUP($A5438,原始数据_收盘!$A$4:$G$3460,3,0),"")</f>
        <v>2.7375</v>
      </c>
      <c r="D5438">
        <f>IFERROR(VLOOKUP($A5438,原始数据_收盘!$A$4:$G$3460,4,0),"")</f>
        <v>2.15</v>
      </c>
      <c r="E5438">
        <f>IFERROR(VLOOKUP($A5438,原始数据_收盘!$A$4:$G$3460,5,0),"")</f>
        <v>2.74</v>
      </c>
      <c r="F5438">
        <f>IFERROR(VLOOKUP($A5438,原始数据_收盘!$A$4:$G$3460,6,0),"")</f>
        <v>2.1475</v>
      </c>
      <c r="G5438">
        <f>IFERROR(VLOOKUP($A5438,原始数据_收盘!$A$4:$G$3460,7,0),"")</f>
        <v>2.7388</v>
      </c>
      <c r="H5438">
        <f>IFERROR(VLOOKUP($A5438,原始数据_利率互换_FR007_1年!$A$6:$C$4395,2,0),"")</f>
        <v>2.144</v>
      </c>
      <c r="I5438">
        <f>IFERROR(VLOOKUP($A5438,原始数据_利率互换_FR007_1年!$A$6:$C$4395,3,0),"")</f>
        <v>2.7366</v>
      </c>
    </row>
    <row r="5439" spans="1:9">
      <c r="A5439" s="6">
        <v>44932</v>
      </c>
      <c r="B5439">
        <f>IFERROR(VLOOKUP($A5439,原始数据_收盘!$A$4:$G$3460,2,0),"")</f>
        <v>2.1638</v>
      </c>
      <c r="C5439">
        <f>IFERROR(VLOOKUP($A5439,原始数据_收盘!$A$4:$G$3460,3,0),"")</f>
        <v>2.7608</v>
      </c>
      <c r="D5439">
        <f>IFERROR(VLOOKUP($A5439,原始数据_收盘!$A$4:$G$3460,4,0),"")</f>
        <v>2.1666</v>
      </c>
      <c r="E5439">
        <f>IFERROR(VLOOKUP($A5439,原始数据_收盘!$A$4:$G$3460,5,0),"")</f>
        <v>2.7635</v>
      </c>
      <c r="F5439">
        <f>IFERROR(VLOOKUP($A5439,原始数据_收盘!$A$4:$G$3460,6,0),"")</f>
        <v>2.1652</v>
      </c>
      <c r="G5439">
        <f>IFERROR(VLOOKUP($A5439,原始数据_收盘!$A$4:$G$3460,7,0),"")</f>
        <v>2.7621</v>
      </c>
      <c r="H5439">
        <f>IFERROR(VLOOKUP($A5439,原始数据_利率互换_FR007_1年!$A$6:$C$4395,2,0),"")</f>
        <v>2.1611</v>
      </c>
      <c r="I5439">
        <f>IFERROR(VLOOKUP($A5439,原始数据_利率互换_FR007_1年!$A$6:$C$4395,3,0),"")</f>
        <v>2.7604</v>
      </c>
    </row>
    <row r="5440" spans="1:9">
      <c r="A5440" s="6">
        <v>44933</v>
      </c>
      <c r="B5440" t="str">
        <f>IFERROR(VLOOKUP($A5440,原始数据_收盘!$A$4:$G$3460,2,0),"")</f>
        <v/>
      </c>
      <c r="C5440" t="str">
        <f>IFERROR(VLOOKUP($A5440,原始数据_收盘!$A$4:$G$3460,3,0),"")</f>
        <v/>
      </c>
      <c r="D5440" t="str">
        <f>IFERROR(VLOOKUP($A5440,原始数据_收盘!$A$4:$G$3460,4,0),"")</f>
        <v/>
      </c>
      <c r="E5440" t="str">
        <f>IFERROR(VLOOKUP($A5440,原始数据_收盘!$A$4:$G$3460,5,0),"")</f>
        <v/>
      </c>
      <c r="F5440" t="str">
        <f>IFERROR(VLOOKUP($A5440,原始数据_收盘!$A$4:$G$3460,6,0),"")</f>
        <v/>
      </c>
      <c r="G5440" t="str">
        <f>IFERROR(VLOOKUP($A5440,原始数据_收盘!$A$4:$G$3460,7,0),"")</f>
        <v/>
      </c>
      <c r="H5440" t="str">
        <f>IFERROR(VLOOKUP($A5440,原始数据_利率互换_FR007_1年!$A$6:$C$4395,2,0),"")</f>
        <v/>
      </c>
      <c r="I5440" t="str">
        <f>IFERROR(VLOOKUP($A5440,原始数据_利率互换_FR007_1年!$A$6:$C$4395,3,0),"")</f>
        <v/>
      </c>
    </row>
    <row r="5441" spans="1:9">
      <c r="A5441" s="6">
        <v>44934</v>
      </c>
      <c r="B5441" t="str">
        <f>IFERROR(VLOOKUP($A5441,原始数据_收盘!$A$4:$G$3460,2,0),"")</f>
        <v/>
      </c>
      <c r="C5441" t="str">
        <f>IFERROR(VLOOKUP($A5441,原始数据_收盘!$A$4:$G$3460,3,0),"")</f>
        <v/>
      </c>
      <c r="D5441" t="str">
        <f>IFERROR(VLOOKUP($A5441,原始数据_收盘!$A$4:$G$3460,4,0),"")</f>
        <v/>
      </c>
      <c r="E5441" t="str">
        <f>IFERROR(VLOOKUP($A5441,原始数据_收盘!$A$4:$G$3460,5,0),"")</f>
        <v/>
      </c>
      <c r="F5441" t="str">
        <f>IFERROR(VLOOKUP($A5441,原始数据_收盘!$A$4:$G$3460,6,0),"")</f>
        <v/>
      </c>
      <c r="G5441" t="str">
        <f>IFERROR(VLOOKUP($A5441,原始数据_收盘!$A$4:$G$3460,7,0),"")</f>
        <v/>
      </c>
      <c r="H5441" t="str">
        <f>IFERROR(VLOOKUP($A5441,原始数据_利率互换_FR007_1年!$A$6:$C$4395,2,0),"")</f>
        <v/>
      </c>
      <c r="I5441" t="str">
        <f>IFERROR(VLOOKUP($A5441,原始数据_利率互换_FR007_1年!$A$6:$C$4395,3,0),"")</f>
        <v/>
      </c>
    </row>
    <row r="5442" spans="1:9">
      <c r="A5442" s="6">
        <v>44935</v>
      </c>
      <c r="B5442">
        <f>IFERROR(VLOOKUP($A5442,原始数据_收盘!$A$4:$G$3460,2,0),"")</f>
        <v>2.1788</v>
      </c>
      <c r="C5442">
        <f>IFERROR(VLOOKUP($A5442,原始数据_收盘!$A$4:$G$3460,3,0),"")</f>
        <v>2.7704</v>
      </c>
      <c r="D5442">
        <f>IFERROR(VLOOKUP($A5442,原始数据_收盘!$A$4:$G$3460,4,0),"")</f>
        <v>2.1825</v>
      </c>
      <c r="E5442">
        <f>IFERROR(VLOOKUP($A5442,原始数据_收盘!$A$4:$G$3460,5,0),"")</f>
        <v>2.7728</v>
      </c>
      <c r="F5442">
        <f>IFERROR(VLOOKUP($A5442,原始数据_收盘!$A$4:$G$3460,6,0),"")</f>
        <v>2.1807</v>
      </c>
      <c r="G5442">
        <f>IFERROR(VLOOKUP($A5442,原始数据_收盘!$A$4:$G$3460,7,0),"")</f>
        <v>2.7716</v>
      </c>
      <c r="H5442">
        <f>IFERROR(VLOOKUP($A5442,原始数据_利率互换_FR007_1年!$A$6:$C$4395,2,0),"")</f>
        <v>2.1796</v>
      </c>
      <c r="I5442">
        <f>IFERROR(VLOOKUP($A5442,原始数据_利率互换_FR007_1年!$A$6:$C$4395,3,0),"")</f>
        <v>2.7701</v>
      </c>
    </row>
    <row r="5443" spans="1:9">
      <c r="A5443" s="6">
        <v>44936</v>
      </c>
      <c r="B5443">
        <f>IFERROR(VLOOKUP($A5443,原始数据_收盘!$A$4:$G$3460,2,0),"")</f>
        <v>2.245</v>
      </c>
      <c r="C5443">
        <f>IFERROR(VLOOKUP($A5443,原始数据_收盘!$A$4:$G$3460,3,0),"")</f>
        <v>2.8298</v>
      </c>
      <c r="D5443">
        <f>IFERROR(VLOOKUP($A5443,原始数据_收盘!$A$4:$G$3460,4,0),"")</f>
        <v>2.25</v>
      </c>
      <c r="E5443">
        <f>IFERROR(VLOOKUP($A5443,原始数据_收盘!$A$4:$G$3460,5,0),"")</f>
        <v>2.8325</v>
      </c>
      <c r="F5443">
        <f>IFERROR(VLOOKUP($A5443,原始数据_收盘!$A$4:$G$3460,6,0),"")</f>
        <v>2.2475</v>
      </c>
      <c r="G5443">
        <f>IFERROR(VLOOKUP($A5443,原始数据_收盘!$A$4:$G$3460,7,0),"")</f>
        <v>2.8312</v>
      </c>
      <c r="H5443">
        <f>IFERROR(VLOOKUP($A5443,原始数据_利率互换_FR007_1年!$A$6:$C$4395,2,0),"")</f>
        <v>2.2331</v>
      </c>
      <c r="I5443">
        <f>IFERROR(VLOOKUP($A5443,原始数据_利率互换_FR007_1年!$A$6:$C$4395,3,0),"")</f>
        <v>2.8136</v>
      </c>
    </row>
    <row r="5444" spans="1:9">
      <c r="A5444" s="6">
        <v>44937</v>
      </c>
      <c r="B5444">
        <f>IFERROR(VLOOKUP($A5444,原始数据_收盘!$A$4:$G$3460,2,0),"")</f>
        <v>2.245</v>
      </c>
      <c r="C5444">
        <f>IFERROR(VLOOKUP($A5444,原始数据_收盘!$A$4:$G$3460,3,0),"")</f>
        <v>2.8196</v>
      </c>
      <c r="D5444">
        <f>IFERROR(VLOOKUP($A5444,原始数据_收盘!$A$4:$G$3460,4,0),"")</f>
        <v>2.2475</v>
      </c>
      <c r="E5444">
        <f>IFERROR(VLOOKUP($A5444,原始数据_收盘!$A$4:$G$3460,5,0),"")</f>
        <v>2.8225</v>
      </c>
      <c r="F5444">
        <f>IFERROR(VLOOKUP($A5444,原始数据_收盘!$A$4:$G$3460,6,0),"")</f>
        <v>2.2463</v>
      </c>
      <c r="G5444">
        <f>IFERROR(VLOOKUP($A5444,原始数据_收盘!$A$4:$G$3460,7,0),"")</f>
        <v>2.821</v>
      </c>
      <c r="H5444">
        <f>IFERROR(VLOOKUP($A5444,原始数据_利率互换_FR007_1年!$A$6:$C$4395,2,0),"")</f>
        <v>2.2547</v>
      </c>
      <c r="I5444">
        <f>IFERROR(VLOOKUP($A5444,原始数据_利率互换_FR007_1年!$A$6:$C$4395,3,0),"")</f>
        <v>2.8284</v>
      </c>
    </row>
    <row r="5445" spans="1:9">
      <c r="A5445" s="6">
        <v>44938</v>
      </c>
      <c r="B5445">
        <f>IFERROR(VLOOKUP($A5445,原始数据_收盘!$A$4:$G$3460,2,0),"")</f>
        <v>2.24</v>
      </c>
      <c r="C5445">
        <f>IFERROR(VLOOKUP($A5445,原始数据_收盘!$A$4:$G$3460,3,0),"")</f>
        <v>2.8263</v>
      </c>
      <c r="D5445">
        <f>IFERROR(VLOOKUP($A5445,原始数据_收盘!$A$4:$G$3460,4,0),"")</f>
        <v>2.245</v>
      </c>
      <c r="E5445">
        <f>IFERROR(VLOOKUP($A5445,原始数据_收盘!$A$4:$G$3460,5,0),"")</f>
        <v>2.8294</v>
      </c>
      <c r="F5445">
        <f>IFERROR(VLOOKUP($A5445,原始数据_收盘!$A$4:$G$3460,6,0),"")</f>
        <v>2.2425</v>
      </c>
      <c r="G5445">
        <f>IFERROR(VLOOKUP($A5445,原始数据_收盘!$A$4:$G$3460,7,0),"")</f>
        <v>2.8279</v>
      </c>
      <c r="H5445">
        <f>IFERROR(VLOOKUP($A5445,原始数据_利率互换_FR007_1年!$A$6:$C$4395,2,0),"")</f>
        <v>2.2357</v>
      </c>
      <c r="I5445">
        <f>IFERROR(VLOOKUP($A5445,原始数据_利率互换_FR007_1年!$A$6:$C$4395,3,0),"")</f>
        <v>2.8169</v>
      </c>
    </row>
    <row r="5446" spans="1:9">
      <c r="A5446" s="6">
        <v>44939</v>
      </c>
      <c r="B5446">
        <f>IFERROR(VLOOKUP($A5446,原始数据_收盘!$A$4:$G$3460,2,0),"")</f>
        <v>2.25</v>
      </c>
      <c r="C5446">
        <f>IFERROR(VLOOKUP($A5446,原始数据_收盘!$A$4:$G$3460,3,0),"")</f>
        <v>2.852</v>
      </c>
      <c r="D5446">
        <f>IFERROR(VLOOKUP($A5446,原始数据_收盘!$A$4:$G$3460,4,0),"")</f>
        <v>2.2531</v>
      </c>
      <c r="E5446">
        <f>IFERROR(VLOOKUP($A5446,原始数据_收盘!$A$4:$G$3460,5,0),"")</f>
        <v>2.8554</v>
      </c>
      <c r="F5446">
        <f>IFERROR(VLOOKUP($A5446,原始数据_收盘!$A$4:$G$3460,6,0),"")</f>
        <v>2.2515</v>
      </c>
      <c r="G5446">
        <f>IFERROR(VLOOKUP($A5446,原始数据_收盘!$A$4:$G$3460,7,0),"")</f>
        <v>2.8537</v>
      </c>
      <c r="H5446">
        <f>IFERROR(VLOOKUP($A5446,原始数据_利率互换_FR007_1年!$A$6:$C$4395,2,0),"")</f>
        <v>2.2449</v>
      </c>
      <c r="I5446">
        <f>IFERROR(VLOOKUP($A5446,原始数据_利率互换_FR007_1年!$A$6:$C$4395,3,0),"")</f>
        <v>2.8414</v>
      </c>
    </row>
    <row r="5447" spans="1:9">
      <c r="A5447" s="6">
        <v>44940</v>
      </c>
      <c r="B5447" t="str">
        <f>IFERROR(VLOOKUP($A5447,原始数据_收盘!$A$4:$G$3460,2,0),"")</f>
        <v/>
      </c>
      <c r="C5447" t="str">
        <f>IFERROR(VLOOKUP($A5447,原始数据_收盘!$A$4:$G$3460,3,0),"")</f>
        <v/>
      </c>
      <c r="D5447" t="str">
        <f>IFERROR(VLOOKUP($A5447,原始数据_收盘!$A$4:$G$3460,4,0),"")</f>
        <v/>
      </c>
      <c r="E5447" t="str">
        <f>IFERROR(VLOOKUP($A5447,原始数据_收盘!$A$4:$G$3460,5,0),"")</f>
        <v/>
      </c>
      <c r="F5447" t="str">
        <f>IFERROR(VLOOKUP($A5447,原始数据_收盘!$A$4:$G$3460,6,0),"")</f>
        <v/>
      </c>
      <c r="G5447" t="str">
        <f>IFERROR(VLOOKUP($A5447,原始数据_收盘!$A$4:$G$3460,7,0),"")</f>
        <v/>
      </c>
      <c r="H5447" t="str">
        <f>IFERROR(VLOOKUP($A5447,原始数据_利率互换_FR007_1年!$A$6:$C$4395,2,0),"")</f>
        <v/>
      </c>
      <c r="I5447" t="str">
        <f>IFERROR(VLOOKUP($A5447,原始数据_利率互换_FR007_1年!$A$6:$C$4395,3,0),"")</f>
        <v/>
      </c>
    </row>
    <row r="5448" spans="1:9">
      <c r="A5448" s="6">
        <v>44941</v>
      </c>
      <c r="B5448" t="str">
        <f>IFERROR(VLOOKUP($A5448,原始数据_收盘!$A$4:$G$3460,2,0),"")</f>
        <v/>
      </c>
      <c r="C5448" t="str">
        <f>IFERROR(VLOOKUP($A5448,原始数据_收盘!$A$4:$G$3460,3,0),"")</f>
        <v/>
      </c>
      <c r="D5448" t="str">
        <f>IFERROR(VLOOKUP($A5448,原始数据_收盘!$A$4:$G$3460,4,0),"")</f>
        <v/>
      </c>
      <c r="E5448" t="str">
        <f>IFERROR(VLOOKUP($A5448,原始数据_收盘!$A$4:$G$3460,5,0),"")</f>
        <v/>
      </c>
      <c r="F5448" t="str">
        <f>IFERROR(VLOOKUP($A5448,原始数据_收盘!$A$4:$G$3460,6,0),"")</f>
        <v/>
      </c>
      <c r="G5448" t="str">
        <f>IFERROR(VLOOKUP($A5448,原始数据_收盘!$A$4:$G$3460,7,0),"")</f>
        <v/>
      </c>
      <c r="H5448" t="str">
        <f>IFERROR(VLOOKUP($A5448,原始数据_利率互换_FR007_1年!$A$6:$C$4395,2,0),"")</f>
        <v/>
      </c>
      <c r="I5448" t="str">
        <f>IFERROR(VLOOKUP($A5448,原始数据_利率互换_FR007_1年!$A$6:$C$4395,3,0),"")</f>
        <v/>
      </c>
    </row>
    <row r="5449" spans="1:9">
      <c r="A5449" s="6">
        <v>44942</v>
      </c>
      <c r="B5449">
        <f>IFERROR(VLOOKUP($A5449,原始数据_收盘!$A$4:$G$3460,2,0),"")</f>
        <v>2.2941</v>
      </c>
      <c r="C5449">
        <f>IFERROR(VLOOKUP($A5449,原始数据_收盘!$A$4:$G$3460,3,0),"")</f>
        <v>2.9075</v>
      </c>
      <c r="D5449">
        <f>IFERROR(VLOOKUP($A5449,原始数据_收盘!$A$4:$G$3460,4,0),"")</f>
        <v>2.2993</v>
      </c>
      <c r="E5449">
        <f>IFERROR(VLOOKUP($A5449,原始数据_收盘!$A$4:$G$3460,5,0),"")</f>
        <v>2.9102</v>
      </c>
      <c r="F5449">
        <f>IFERROR(VLOOKUP($A5449,原始数据_收盘!$A$4:$G$3460,6,0),"")</f>
        <v>2.2967</v>
      </c>
      <c r="G5449">
        <f>IFERROR(VLOOKUP($A5449,原始数据_收盘!$A$4:$G$3460,7,0),"")</f>
        <v>2.9088</v>
      </c>
      <c r="H5449">
        <f>IFERROR(VLOOKUP($A5449,原始数据_利率互换_FR007_1年!$A$6:$C$4395,2,0),"")</f>
        <v>2.2877</v>
      </c>
      <c r="I5449">
        <f>IFERROR(VLOOKUP($A5449,原始数据_利率互换_FR007_1年!$A$6:$C$4395,3,0),"")</f>
        <v>2.8972</v>
      </c>
    </row>
    <row r="5450" spans="1:9">
      <c r="A5450" s="6">
        <v>44943</v>
      </c>
      <c r="B5450">
        <f>IFERROR(VLOOKUP($A5450,原始数据_收盘!$A$4:$G$3460,2,0),"")</f>
        <v>2.2825</v>
      </c>
      <c r="C5450">
        <f>IFERROR(VLOOKUP($A5450,原始数据_收盘!$A$4:$G$3460,3,0),"")</f>
        <v>2.8783</v>
      </c>
      <c r="D5450">
        <f>IFERROR(VLOOKUP($A5450,原始数据_收盘!$A$4:$G$3460,4,0),"")</f>
        <v>2.29</v>
      </c>
      <c r="E5450">
        <f>IFERROR(VLOOKUP($A5450,原始数据_收盘!$A$4:$G$3460,5,0),"")</f>
        <v>2.881</v>
      </c>
      <c r="F5450">
        <f>IFERROR(VLOOKUP($A5450,原始数据_收盘!$A$4:$G$3460,6,0),"")</f>
        <v>2.2863</v>
      </c>
      <c r="G5450">
        <f>IFERROR(VLOOKUP($A5450,原始数据_收盘!$A$4:$G$3460,7,0),"")</f>
        <v>2.8796</v>
      </c>
      <c r="H5450">
        <f>IFERROR(VLOOKUP($A5450,原始数据_利率互换_FR007_1年!$A$6:$C$4395,2,0),"")</f>
        <v>2.297</v>
      </c>
      <c r="I5450">
        <f>IFERROR(VLOOKUP($A5450,原始数据_利率互换_FR007_1年!$A$6:$C$4395,3,0),"")</f>
        <v>2.8954</v>
      </c>
    </row>
    <row r="5451" spans="1:9">
      <c r="A5451" s="6">
        <v>44944</v>
      </c>
      <c r="B5451">
        <f>IFERROR(VLOOKUP($A5451,原始数据_收盘!$A$4:$G$3460,2,0),"")</f>
        <v>2.3075</v>
      </c>
      <c r="C5451">
        <f>IFERROR(VLOOKUP($A5451,原始数据_收盘!$A$4:$G$3460,3,0),"")</f>
        <v>2.9075</v>
      </c>
      <c r="D5451">
        <f>IFERROR(VLOOKUP($A5451,原始数据_收盘!$A$4:$G$3460,4,0),"")</f>
        <v>2.315</v>
      </c>
      <c r="E5451">
        <f>IFERROR(VLOOKUP($A5451,原始数据_收盘!$A$4:$G$3460,5,0),"")</f>
        <v>2.91</v>
      </c>
      <c r="F5451">
        <f>IFERROR(VLOOKUP($A5451,原始数据_收盘!$A$4:$G$3460,6,0),"")</f>
        <v>2.3113</v>
      </c>
      <c r="G5451">
        <f>IFERROR(VLOOKUP($A5451,原始数据_收盘!$A$4:$G$3460,7,0),"")</f>
        <v>2.9088</v>
      </c>
      <c r="H5451">
        <f>IFERROR(VLOOKUP($A5451,原始数据_利率互换_FR007_1年!$A$6:$C$4395,2,0),"")</f>
        <v>2.2933</v>
      </c>
      <c r="I5451">
        <f>IFERROR(VLOOKUP($A5451,原始数据_利率互换_FR007_1年!$A$6:$C$4395,3,0),"")</f>
        <v>2.8874</v>
      </c>
    </row>
    <row r="5452" spans="1:9">
      <c r="A5452" s="6">
        <v>44945</v>
      </c>
      <c r="B5452">
        <f>IFERROR(VLOOKUP($A5452,原始数据_收盘!$A$4:$G$3460,2,0),"")</f>
        <v>2.2925</v>
      </c>
      <c r="C5452">
        <f>IFERROR(VLOOKUP($A5452,原始数据_收盘!$A$4:$G$3460,3,0),"")</f>
        <v>2.905</v>
      </c>
      <c r="D5452">
        <f>IFERROR(VLOOKUP($A5452,原始数据_收盘!$A$4:$G$3460,4,0),"")</f>
        <v>2.3013</v>
      </c>
      <c r="E5452">
        <f>IFERROR(VLOOKUP($A5452,原始数据_收盘!$A$4:$G$3460,5,0),"")</f>
        <v>2.9075</v>
      </c>
      <c r="F5452">
        <f>IFERROR(VLOOKUP($A5452,原始数据_收盘!$A$4:$G$3460,6,0),"")</f>
        <v>2.2969</v>
      </c>
      <c r="G5452">
        <f>IFERROR(VLOOKUP($A5452,原始数据_收盘!$A$4:$G$3460,7,0),"")</f>
        <v>2.9063</v>
      </c>
      <c r="H5452">
        <f>IFERROR(VLOOKUP($A5452,原始数据_利率互换_FR007_1年!$A$6:$C$4395,2,0),"")</f>
        <v>2.308</v>
      </c>
      <c r="I5452">
        <f>IFERROR(VLOOKUP($A5452,原始数据_利率互换_FR007_1年!$A$6:$C$4395,3,0),"")</f>
        <v>2.9123</v>
      </c>
    </row>
    <row r="5453" spans="1:9">
      <c r="A5453" s="6">
        <v>44946</v>
      </c>
      <c r="B5453">
        <f>IFERROR(VLOOKUP($A5453,原始数据_收盘!$A$4:$G$3460,2,0),"")</f>
        <v>2.305</v>
      </c>
      <c r="C5453">
        <f>IFERROR(VLOOKUP($A5453,原始数据_收盘!$A$4:$G$3460,3,0),"")</f>
        <v>2.9273</v>
      </c>
      <c r="D5453">
        <f>IFERROR(VLOOKUP($A5453,原始数据_收盘!$A$4:$G$3460,4,0),"")</f>
        <v>2.3107</v>
      </c>
      <c r="E5453">
        <f>IFERROR(VLOOKUP($A5453,原始数据_收盘!$A$4:$G$3460,5,0),"")</f>
        <v>2.933</v>
      </c>
      <c r="F5453">
        <f>IFERROR(VLOOKUP($A5453,原始数据_收盘!$A$4:$G$3460,6,0),"")</f>
        <v>2.3078</v>
      </c>
      <c r="G5453">
        <f>IFERROR(VLOOKUP($A5453,原始数据_收盘!$A$4:$G$3460,7,0),"")</f>
        <v>2.9301</v>
      </c>
      <c r="H5453">
        <f>IFERROR(VLOOKUP($A5453,原始数据_利率互换_FR007_1年!$A$6:$C$4395,2,0),"")</f>
        <v>2.2937</v>
      </c>
      <c r="I5453">
        <f>IFERROR(VLOOKUP($A5453,原始数据_利率互换_FR007_1年!$A$6:$C$4395,3,0),"")</f>
        <v>2.9066</v>
      </c>
    </row>
    <row r="5454" spans="1:9">
      <c r="A5454" s="6">
        <v>44947</v>
      </c>
      <c r="B5454" t="str">
        <f>IFERROR(VLOOKUP($A5454,原始数据_收盘!$A$4:$G$3460,2,0),"")</f>
        <v/>
      </c>
      <c r="C5454" t="str">
        <f>IFERROR(VLOOKUP($A5454,原始数据_收盘!$A$4:$G$3460,3,0),"")</f>
        <v/>
      </c>
      <c r="D5454" t="str">
        <f>IFERROR(VLOOKUP($A5454,原始数据_收盘!$A$4:$G$3460,4,0),"")</f>
        <v/>
      </c>
      <c r="E5454" t="str">
        <f>IFERROR(VLOOKUP($A5454,原始数据_收盘!$A$4:$G$3460,5,0),"")</f>
        <v/>
      </c>
      <c r="F5454" t="str">
        <f>IFERROR(VLOOKUP($A5454,原始数据_收盘!$A$4:$G$3460,6,0),"")</f>
        <v/>
      </c>
      <c r="G5454" t="str">
        <f>IFERROR(VLOOKUP($A5454,原始数据_收盘!$A$4:$G$3460,7,0),"")</f>
        <v/>
      </c>
      <c r="H5454" t="str">
        <f>IFERROR(VLOOKUP($A5454,原始数据_利率互换_FR007_1年!$A$6:$C$4395,2,0),"")</f>
        <v/>
      </c>
      <c r="I5454" t="str">
        <f>IFERROR(VLOOKUP($A5454,原始数据_利率互换_FR007_1年!$A$6:$C$4395,3,0),"")</f>
        <v/>
      </c>
    </row>
    <row r="5455" spans="1:9">
      <c r="A5455" s="6">
        <v>44948</v>
      </c>
      <c r="B5455" t="str">
        <f>IFERROR(VLOOKUP($A5455,原始数据_收盘!$A$4:$G$3460,2,0),"")</f>
        <v/>
      </c>
      <c r="C5455" t="str">
        <f>IFERROR(VLOOKUP($A5455,原始数据_收盘!$A$4:$G$3460,3,0),"")</f>
        <v/>
      </c>
      <c r="D5455" t="str">
        <f>IFERROR(VLOOKUP($A5455,原始数据_收盘!$A$4:$G$3460,4,0),"")</f>
        <v/>
      </c>
      <c r="E5455" t="str">
        <f>IFERROR(VLOOKUP($A5455,原始数据_收盘!$A$4:$G$3460,5,0),"")</f>
        <v/>
      </c>
      <c r="F5455" t="str">
        <f>IFERROR(VLOOKUP($A5455,原始数据_收盘!$A$4:$G$3460,6,0),"")</f>
        <v/>
      </c>
      <c r="G5455" t="str">
        <f>IFERROR(VLOOKUP($A5455,原始数据_收盘!$A$4:$G$3460,7,0),"")</f>
        <v/>
      </c>
      <c r="H5455" t="str">
        <f>IFERROR(VLOOKUP($A5455,原始数据_利率互换_FR007_1年!$A$6:$C$4395,2,0),"")</f>
        <v/>
      </c>
      <c r="I5455" t="str">
        <f>IFERROR(VLOOKUP($A5455,原始数据_利率互换_FR007_1年!$A$6:$C$4395,3,0),"")</f>
        <v/>
      </c>
    </row>
    <row r="5456" spans="1:9">
      <c r="A5456" s="6">
        <v>44949</v>
      </c>
      <c r="B5456" t="str">
        <f>IFERROR(VLOOKUP($A5456,原始数据_收盘!$A$4:$G$3460,2,0),"")</f>
        <v/>
      </c>
      <c r="C5456" t="str">
        <f>IFERROR(VLOOKUP($A5456,原始数据_收盘!$A$4:$G$3460,3,0),"")</f>
        <v/>
      </c>
      <c r="D5456" t="str">
        <f>IFERROR(VLOOKUP($A5456,原始数据_收盘!$A$4:$G$3460,4,0),"")</f>
        <v/>
      </c>
      <c r="E5456" t="str">
        <f>IFERROR(VLOOKUP($A5456,原始数据_收盘!$A$4:$G$3460,5,0),"")</f>
        <v/>
      </c>
      <c r="F5456" t="str">
        <f>IFERROR(VLOOKUP($A5456,原始数据_收盘!$A$4:$G$3460,6,0),"")</f>
        <v/>
      </c>
      <c r="G5456" t="str">
        <f>IFERROR(VLOOKUP($A5456,原始数据_收盘!$A$4:$G$3460,7,0),"")</f>
        <v/>
      </c>
      <c r="H5456" t="str">
        <f>IFERROR(VLOOKUP($A5456,原始数据_利率互换_FR007_1年!$A$6:$C$4395,2,0),"")</f>
        <v/>
      </c>
      <c r="I5456" t="str">
        <f>IFERROR(VLOOKUP($A5456,原始数据_利率互换_FR007_1年!$A$6:$C$4395,3,0),"")</f>
        <v/>
      </c>
    </row>
    <row r="5457" spans="1:9">
      <c r="A5457" s="6">
        <v>44950</v>
      </c>
      <c r="B5457" t="str">
        <f>IFERROR(VLOOKUP($A5457,原始数据_收盘!$A$4:$G$3460,2,0),"")</f>
        <v/>
      </c>
      <c r="C5457" t="str">
        <f>IFERROR(VLOOKUP($A5457,原始数据_收盘!$A$4:$G$3460,3,0),"")</f>
        <v/>
      </c>
      <c r="D5457" t="str">
        <f>IFERROR(VLOOKUP($A5457,原始数据_收盘!$A$4:$G$3460,4,0),"")</f>
        <v/>
      </c>
      <c r="E5457" t="str">
        <f>IFERROR(VLOOKUP($A5457,原始数据_收盘!$A$4:$G$3460,5,0),"")</f>
        <v/>
      </c>
      <c r="F5457" t="str">
        <f>IFERROR(VLOOKUP($A5457,原始数据_收盘!$A$4:$G$3460,6,0),"")</f>
        <v/>
      </c>
      <c r="G5457" t="str">
        <f>IFERROR(VLOOKUP($A5457,原始数据_收盘!$A$4:$G$3460,7,0),"")</f>
        <v/>
      </c>
      <c r="H5457" t="str">
        <f>IFERROR(VLOOKUP($A5457,原始数据_利率互换_FR007_1年!$A$6:$C$4395,2,0),"")</f>
        <v/>
      </c>
      <c r="I5457" t="str">
        <f>IFERROR(VLOOKUP($A5457,原始数据_利率互换_FR007_1年!$A$6:$C$4395,3,0),"")</f>
        <v/>
      </c>
    </row>
    <row r="5458" spans="1:9">
      <c r="A5458" s="6">
        <v>44951</v>
      </c>
      <c r="B5458" t="str">
        <f>IFERROR(VLOOKUP($A5458,原始数据_收盘!$A$4:$G$3460,2,0),"")</f>
        <v/>
      </c>
      <c r="C5458" t="str">
        <f>IFERROR(VLOOKUP($A5458,原始数据_收盘!$A$4:$G$3460,3,0),"")</f>
        <v/>
      </c>
      <c r="D5458" t="str">
        <f>IFERROR(VLOOKUP($A5458,原始数据_收盘!$A$4:$G$3460,4,0),"")</f>
        <v/>
      </c>
      <c r="E5458" t="str">
        <f>IFERROR(VLOOKUP($A5458,原始数据_收盘!$A$4:$G$3460,5,0),"")</f>
        <v/>
      </c>
      <c r="F5458" t="str">
        <f>IFERROR(VLOOKUP($A5458,原始数据_收盘!$A$4:$G$3460,6,0),"")</f>
        <v/>
      </c>
      <c r="G5458" t="str">
        <f>IFERROR(VLOOKUP($A5458,原始数据_收盘!$A$4:$G$3460,7,0),"")</f>
        <v/>
      </c>
      <c r="H5458" t="str">
        <f>IFERROR(VLOOKUP($A5458,原始数据_利率互换_FR007_1年!$A$6:$C$4395,2,0),"")</f>
        <v/>
      </c>
      <c r="I5458" t="str">
        <f>IFERROR(VLOOKUP($A5458,原始数据_利率互换_FR007_1年!$A$6:$C$4395,3,0),"")</f>
        <v/>
      </c>
    </row>
    <row r="5459" spans="1:9">
      <c r="A5459" s="6">
        <v>44952</v>
      </c>
      <c r="B5459" t="str">
        <f>IFERROR(VLOOKUP($A5459,原始数据_收盘!$A$4:$G$3460,2,0),"")</f>
        <v/>
      </c>
      <c r="C5459" t="str">
        <f>IFERROR(VLOOKUP($A5459,原始数据_收盘!$A$4:$G$3460,3,0),"")</f>
        <v/>
      </c>
      <c r="D5459" t="str">
        <f>IFERROR(VLOOKUP($A5459,原始数据_收盘!$A$4:$G$3460,4,0),"")</f>
        <v/>
      </c>
      <c r="E5459" t="str">
        <f>IFERROR(VLOOKUP($A5459,原始数据_收盘!$A$4:$G$3460,5,0),"")</f>
        <v/>
      </c>
      <c r="F5459" t="str">
        <f>IFERROR(VLOOKUP($A5459,原始数据_收盘!$A$4:$G$3460,6,0),"")</f>
        <v/>
      </c>
      <c r="G5459" t="str">
        <f>IFERROR(VLOOKUP($A5459,原始数据_收盘!$A$4:$G$3460,7,0),"")</f>
        <v/>
      </c>
      <c r="H5459" t="str">
        <f>IFERROR(VLOOKUP($A5459,原始数据_利率互换_FR007_1年!$A$6:$C$4395,2,0),"")</f>
        <v/>
      </c>
      <c r="I5459" t="str">
        <f>IFERROR(VLOOKUP($A5459,原始数据_利率互换_FR007_1年!$A$6:$C$4395,3,0),"")</f>
        <v/>
      </c>
    </row>
    <row r="5460" spans="1:9">
      <c r="A5460" s="6">
        <v>44953</v>
      </c>
      <c r="B5460" t="str">
        <f>IFERROR(VLOOKUP($A5460,原始数据_收盘!$A$4:$G$3460,2,0),"")</f>
        <v/>
      </c>
      <c r="C5460" t="str">
        <f>IFERROR(VLOOKUP($A5460,原始数据_收盘!$A$4:$G$3460,3,0),"")</f>
        <v/>
      </c>
      <c r="D5460" t="str">
        <f>IFERROR(VLOOKUP($A5460,原始数据_收盘!$A$4:$G$3460,4,0),"")</f>
        <v/>
      </c>
      <c r="E5460" t="str">
        <f>IFERROR(VLOOKUP($A5460,原始数据_收盘!$A$4:$G$3460,5,0),"")</f>
        <v/>
      </c>
      <c r="F5460" t="str">
        <f>IFERROR(VLOOKUP($A5460,原始数据_收盘!$A$4:$G$3460,6,0),"")</f>
        <v/>
      </c>
      <c r="G5460" t="str">
        <f>IFERROR(VLOOKUP($A5460,原始数据_收盘!$A$4:$G$3460,7,0),"")</f>
        <v/>
      </c>
      <c r="H5460" t="str">
        <f>IFERROR(VLOOKUP($A5460,原始数据_利率互换_FR007_1年!$A$6:$C$4395,2,0),"")</f>
        <v/>
      </c>
      <c r="I5460" t="str">
        <f>IFERROR(VLOOKUP($A5460,原始数据_利率互换_FR007_1年!$A$6:$C$4395,3,0),"")</f>
        <v/>
      </c>
    </row>
    <row r="5461" spans="1:9">
      <c r="A5461" s="6">
        <v>44954</v>
      </c>
      <c r="B5461">
        <f>IFERROR(VLOOKUP($A5461,原始数据_收盘!$A$4:$G$3460,2,0),"")</f>
        <v>2.295</v>
      </c>
      <c r="C5461">
        <f>IFERROR(VLOOKUP($A5461,原始数据_收盘!$A$4:$G$3460,3,0),"")</f>
        <v>2.92</v>
      </c>
      <c r="D5461">
        <f>IFERROR(VLOOKUP($A5461,原始数据_收盘!$A$4:$G$3460,4,0),"")</f>
        <v>2.31</v>
      </c>
      <c r="E5461">
        <f>IFERROR(VLOOKUP($A5461,原始数据_收盘!$A$4:$G$3460,5,0),"")</f>
        <v>2.94</v>
      </c>
      <c r="F5461">
        <f>IFERROR(VLOOKUP($A5461,原始数据_收盘!$A$4:$G$3460,6,0),"")</f>
        <v>2.3025</v>
      </c>
      <c r="G5461">
        <f>IFERROR(VLOOKUP($A5461,原始数据_收盘!$A$4:$G$3460,7,0),"")</f>
        <v>2.93</v>
      </c>
      <c r="H5461">
        <f>IFERROR(VLOOKUP($A5461,原始数据_利率互换_FR007_1年!$A$6:$C$4395,2,0),"")</f>
        <v>0</v>
      </c>
      <c r="I5461">
        <f>IFERROR(VLOOKUP($A5461,原始数据_利率互换_FR007_1年!$A$6:$C$4395,3,0),"")</f>
        <v>2.9434</v>
      </c>
    </row>
    <row r="5462" spans="1:9">
      <c r="A5462" s="6">
        <v>44955</v>
      </c>
      <c r="B5462">
        <f>IFERROR(VLOOKUP($A5462,原始数据_收盘!$A$4:$G$3460,2,0),"")</f>
        <v>2.28</v>
      </c>
      <c r="C5462">
        <f>IFERROR(VLOOKUP($A5462,原始数据_收盘!$A$4:$G$3460,3,0),"")</f>
        <v>2.92</v>
      </c>
      <c r="D5462">
        <f>IFERROR(VLOOKUP($A5462,原始数据_收盘!$A$4:$G$3460,4,0),"")</f>
        <v>2.32</v>
      </c>
      <c r="E5462">
        <f>IFERROR(VLOOKUP($A5462,原始数据_收盘!$A$4:$G$3460,5,0),"")</f>
        <v>2.935</v>
      </c>
      <c r="F5462">
        <f>IFERROR(VLOOKUP($A5462,原始数据_收盘!$A$4:$G$3460,6,0),"")</f>
        <v>2.3</v>
      </c>
      <c r="G5462">
        <f>IFERROR(VLOOKUP($A5462,原始数据_收盘!$A$4:$G$3460,7,0),"")</f>
        <v>2.9275</v>
      </c>
      <c r="H5462" t="str">
        <f>IFERROR(VLOOKUP($A5462,原始数据_利率互换_FR007_1年!$A$6:$C$4395,2,0),"")</f>
        <v/>
      </c>
      <c r="I5462" t="str">
        <f>IFERROR(VLOOKUP($A5462,原始数据_利率互换_FR007_1年!$A$6:$C$4395,3,0),"")</f>
        <v/>
      </c>
    </row>
    <row r="5463" spans="1:9">
      <c r="A5463" s="6">
        <v>44956</v>
      </c>
      <c r="B5463">
        <f>IFERROR(VLOOKUP($A5463,原始数据_收盘!$A$4:$G$3460,2,0),"")</f>
        <v>2.2975</v>
      </c>
      <c r="C5463">
        <f>IFERROR(VLOOKUP($A5463,原始数据_收盘!$A$4:$G$3460,3,0),"")</f>
        <v>2.925</v>
      </c>
      <c r="D5463">
        <f>IFERROR(VLOOKUP($A5463,原始数据_收盘!$A$4:$G$3460,4,0),"")</f>
        <v>2.3016</v>
      </c>
      <c r="E5463">
        <f>IFERROR(VLOOKUP($A5463,原始数据_收盘!$A$4:$G$3460,5,0),"")</f>
        <v>2.93</v>
      </c>
      <c r="F5463">
        <f>IFERROR(VLOOKUP($A5463,原始数据_收盘!$A$4:$G$3460,6,0),"")</f>
        <v>2.2996</v>
      </c>
      <c r="G5463">
        <f>IFERROR(VLOOKUP($A5463,原始数据_收盘!$A$4:$G$3460,7,0),"")</f>
        <v>2.9275</v>
      </c>
      <c r="H5463">
        <f>IFERROR(VLOOKUP($A5463,原始数据_利率互换_FR007_1年!$A$6:$C$4395,2,0),"")</f>
        <v>2.3007</v>
      </c>
      <c r="I5463">
        <f>IFERROR(VLOOKUP($A5463,原始数据_利率互换_FR007_1年!$A$6:$C$4395,3,0),"")</f>
        <v>2.9292</v>
      </c>
    </row>
    <row r="5464" spans="1:9">
      <c r="A5464" s="6">
        <v>44957</v>
      </c>
      <c r="B5464">
        <f>IFERROR(VLOOKUP($A5464,原始数据_收盘!$A$4:$G$3460,2,0),"")</f>
        <v>2.28</v>
      </c>
      <c r="C5464">
        <f>IFERROR(VLOOKUP($A5464,原始数据_收盘!$A$4:$G$3460,3,0),"")</f>
        <v>2.8925</v>
      </c>
      <c r="D5464">
        <f>IFERROR(VLOOKUP($A5464,原始数据_收盘!$A$4:$G$3460,4,0),"")</f>
        <v>2.2825</v>
      </c>
      <c r="E5464">
        <f>IFERROR(VLOOKUP($A5464,原始数据_收盘!$A$4:$G$3460,5,0),"")</f>
        <v>2.895</v>
      </c>
      <c r="F5464">
        <f>IFERROR(VLOOKUP($A5464,原始数据_收盘!$A$4:$G$3460,6,0),"")</f>
        <v>2.2813</v>
      </c>
      <c r="G5464">
        <f>IFERROR(VLOOKUP($A5464,原始数据_收盘!$A$4:$G$3460,7,0),"")</f>
        <v>2.8938</v>
      </c>
      <c r="H5464">
        <f>IFERROR(VLOOKUP($A5464,原始数据_利率互换_FR007_1年!$A$6:$C$4395,2,0),"")</f>
        <v>2.2868</v>
      </c>
      <c r="I5464">
        <f>IFERROR(VLOOKUP($A5464,原始数据_利率互换_FR007_1年!$A$6:$C$4395,3,0),"")</f>
        <v>2.9067</v>
      </c>
    </row>
    <row r="5465" spans="1:9">
      <c r="A5465" s="6">
        <v>44958</v>
      </c>
      <c r="B5465">
        <f>IFERROR(VLOOKUP($A5465,原始数据_收盘!$A$4:$G$3460,2,0),"")</f>
        <v>2.28</v>
      </c>
      <c r="C5465">
        <f>IFERROR(VLOOKUP($A5465,原始数据_收盘!$A$4:$G$3460,3,0),"")</f>
        <v>2.9006</v>
      </c>
      <c r="D5465">
        <f>IFERROR(VLOOKUP($A5465,原始数据_收盘!$A$4:$G$3460,4,0),"")</f>
        <v>2.2835</v>
      </c>
      <c r="E5465">
        <f>IFERROR(VLOOKUP($A5465,原始数据_收盘!$A$4:$G$3460,5,0),"")</f>
        <v>2.9034</v>
      </c>
      <c r="F5465">
        <f>IFERROR(VLOOKUP($A5465,原始数据_收盘!$A$4:$G$3460,6,0),"")</f>
        <v>2.2818</v>
      </c>
      <c r="G5465">
        <f>IFERROR(VLOOKUP($A5465,原始数据_收盘!$A$4:$G$3460,7,0),"")</f>
        <v>2.902</v>
      </c>
      <c r="H5465">
        <f>IFERROR(VLOOKUP($A5465,原始数据_利率互换_FR007_1年!$A$6:$C$4395,2,0),"")</f>
        <v>2.2814</v>
      </c>
      <c r="I5465">
        <f>IFERROR(VLOOKUP($A5465,原始数据_利率互换_FR007_1年!$A$6:$C$4395,3,0),"")</f>
        <v>2.9032</v>
      </c>
    </row>
    <row r="5466" spans="1:9">
      <c r="A5466" s="6">
        <v>44959</v>
      </c>
      <c r="B5466">
        <f>IFERROR(VLOOKUP($A5466,原始数据_收盘!$A$4:$G$3460,2,0),"")</f>
        <v>2.2572</v>
      </c>
      <c r="C5466">
        <f>IFERROR(VLOOKUP($A5466,原始数据_收盘!$A$4:$G$3460,3,0),"")</f>
        <v>2.8625</v>
      </c>
      <c r="D5466">
        <f>IFERROR(VLOOKUP($A5466,原始数据_收盘!$A$4:$G$3460,4,0),"")</f>
        <v>2.2598</v>
      </c>
      <c r="E5466">
        <f>IFERROR(VLOOKUP($A5466,原始数据_收盘!$A$4:$G$3460,5,0),"")</f>
        <v>2.865</v>
      </c>
      <c r="F5466">
        <f>IFERROR(VLOOKUP($A5466,原始数据_收盘!$A$4:$G$3460,6,0),"")</f>
        <v>2.2585</v>
      </c>
      <c r="G5466">
        <f>IFERROR(VLOOKUP($A5466,原始数据_收盘!$A$4:$G$3460,7,0),"")</f>
        <v>2.8638</v>
      </c>
      <c r="H5466">
        <f>IFERROR(VLOOKUP($A5466,原始数据_利率互换_FR007_1年!$A$6:$C$4395,2,0),"")</f>
        <v>2.266</v>
      </c>
      <c r="I5466">
        <f>IFERROR(VLOOKUP($A5466,原始数据_利率互换_FR007_1年!$A$6:$C$4395,3,0),"")</f>
        <v>2.8845</v>
      </c>
    </row>
    <row r="5467" spans="1:9">
      <c r="A5467" s="6">
        <v>44960</v>
      </c>
      <c r="B5467">
        <f>IFERROR(VLOOKUP($A5467,原始数据_收盘!$A$4:$G$3460,2,0),"")</f>
        <v>2.25</v>
      </c>
      <c r="C5467">
        <f>IFERROR(VLOOKUP($A5467,原始数据_收盘!$A$4:$G$3460,3,0),"")</f>
        <v>2.855</v>
      </c>
      <c r="D5467">
        <f>IFERROR(VLOOKUP($A5467,原始数据_收盘!$A$4:$G$3460,4,0),"")</f>
        <v>2.2525</v>
      </c>
      <c r="E5467">
        <f>IFERROR(VLOOKUP($A5467,原始数据_收盘!$A$4:$G$3460,5,0),"")</f>
        <v>2.86</v>
      </c>
      <c r="F5467">
        <f>IFERROR(VLOOKUP($A5467,原始数据_收盘!$A$4:$G$3460,6,0),"")</f>
        <v>2.2513</v>
      </c>
      <c r="G5467">
        <f>IFERROR(VLOOKUP($A5467,原始数据_收盘!$A$4:$G$3460,7,0),"")</f>
        <v>2.8575</v>
      </c>
      <c r="H5467">
        <f>IFERROR(VLOOKUP($A5467,原始数据_利率互换_FR007_1年!$A$6:$C$4395,2,0),"")</f>
        <v>2.2525</v>
      </c>
      <c r="I5467">
        <f>IFERROR(VLOOKUP($A5467,原始数据_利率互换_FR007_1年!$A$6:$C$4395,3,0),"")</f>
        <v>2.8571</v>
      </c>
    </row>
    <row r="5468" spans="1:9">
      <c r="A5468" s="6">
        <v>44961</v>
      </c>
      <c r="B5468" t="str">
        <f>IFERROR(VLOOKUP($A5468,原始数据_收盘!$A$4:$G$3460,2,0),"")</f>
        <v/>
      </c>
      <c r="C5468" t="str">
        <f>IFERROR(VLOOKUP($A5468,原始数据_收盘!$A$4:$G$3460,3,0),"")</f>
        <v/>
      </c>
      <c r="D5468" t="str">
        <f>IFERROR(VLOOKUP($A5468,原始数据_收盘!$A$4:$G$3460,4,0),"")</f>
        <v/>
      </c>
      <c r="E5468" t="str">
        <f>IFERROR(VLOOKUP($A5468,原始数据_收盘!$A$4:$G$3460,5,0),"")</f>
        <v/>
      </c>
      <c r="F5468" t="str">
        <f>IFERROR(VLOOKUP($A5468,原始数据_收盘!$A$4:$G$3460,6,0),"")</f>
        <v/>
      </c>
      <c r="G5468" t="str">
        <f>IFERROR(VLOOKUP($A5468,原始数据_收盘!$A$4:$G$3460,7,0),"")</f>
        <v/>
      </c>
      <c r="H5468" t="str">
        <f>IFERROR(VLOOKUP($A5468,原始数据_利率互换_FR007_1年!$A$6:$C$4395,2,0),"")</f>
        <v/>
      </c>
      <c r="I5468" t="str">
        <f>IFERROR(VLOOKUP($A5468,原始数据_利率互换_FR007_1年!$A$6:$C$4395,3,0),"")</f>
        <v/>
      </c>
    </row>
    <row r="5469" spans="1:9">
      <c r="A5469" s="6">
        <v>44962</v>
      </c>
      <c r="B5469" t="str">
        <f>IFERROR(VLOOKUP($A5469,原始数据_收盘!$A$4:$G$3460,2,0),"")</f>
        <v/>
      </c>
      <c r="C5469" t="str">
        <f>IFERROR(VLOOKUP($A5469,原始数据_收盘!$A$4:$G$3460,3,0),"")</f>
        <v/>
      </c>
      <c r="D5469" t="str">
        <f>IFERROR(VLOOKUP($A5469,原始数据_收盘!$A$4:$G$3460,4,0),"")</f>
        <v/>
      </c>
      <c r="E5469" t="str">
        <f>IFERROR(VLOOKUP($A5469,原始数据_收盘!$A$4:$G$3460,5,0),"")</f>
        <v/>
      </c>
      <c r="F5469" t="str">
        <f>IFERROR(VLOOKUP($A5469,原始数据_收盘!$A$4:$G$3460,6,0),"")</f>
        <v/>
      </c>
      <c r="G5469" t="str">
        <f>IFERROR(VLOOKUP($A5469,原始数据_收盘!$A$4:$G$3460,7,0),"")</f>
        <v/>
      </c>
      <c r="H5469" t="str">
        <f>IFERROR(VLOOKUP($A5469,原始数据_利率互换_FR007_1年!$A$6:$C$4395,2,0),"")</f>
        <v/>
      </c>
      <c r="I5469" t="str">
        <f>IFERROR(VLOOKUP($A5469,原始数据_利率互换_FR007_1年!$A$6:$C$4395,3,0),"")</f>
        <v/>
      </c>
    </row>
    <row r="5470" spans="1:9">
      <c r="A5470" s="6">
        <v>44963</v>
      </c>
      <c r="B5470">
        <f>IFERROR(VLOOKUP($A5470,原始数据_收盘!$A$4:$G$3460,2,0),"")</f>
        <v>2.2811</v>
      </c>
      <c r="C5470">
        <f>IFERROR(VLOOKUP($A5470,原始数据_收盘!$A$4:$G$3460,3,0),"")</f>
        <v>2.8804</v>
      </c>
      <c r="D5470">
        <f>IFERROR(VLOOKUP($A5470,原始数据_收盘!$A$4:$G$3460,4,0),"")</f>
        <v>2.2829</v>
      </c>
      <c r="E5470">
        <f>IFERROR(VLOOKUP($A5470,原始数据_收盘!$A$4:$G$3460,5,0),"")</f>
        <v>2.8825</v>
      </c>
      <c r="F5470">
        <f>IFERROR(VLOOKUP($A5470,原始数据_收盘!$A$4:$G$3460,6,0),"")</f>
        <v>2.282</v>
      </c>
      <c r="G5470">
        <f>IFERROR(VLOOKUP($A5470,原始数据_收盘!$A$4:$G$3460,7,0),"")</f>
        <v>2.8815</v>
      </c>
      <c r="H5470">
        <f>IFERROR(VLOOKUP($A5470,原始数据_利率互换_FR007_1年!$A$6:$C$4395,2,0),"")</f>
        <v>2.2653</v>
      </c>
      <c r="I5470">
        <f>IFERROR(VLOOKUP($A5470,原始数据_利率互换_FR007_1年!$A$6:$C$4395,3,0),"")</f>
        <v>2.8654</v>
      </c>
    </row>
    <row r="5471" spans="1:9">
      <c r="A5471" s="6">
        <v>44964</v>
      </c>
      <c r="B5471">
        <f>IFERROR(VLOOKUP($A5471,原始数据_收盘!$A$4:$G$3460,2,0),"")</f>
        <v>2.285</v>
      </c>
      <c r="C5471">
        <f>IFERROR(VLOOKUP($A5471,原始数据_收盘!$A$4:$G$3460,3,0),"")</f>
        <v>2.8675</v>
      </c>
      <c r="D5471">
        <f>IFERROR(VLOOKUP($A5471,原始数据_收盘!$A$4:$G$3460,4,0),"")</f>
        <v>2.2889</v>
      </c>
      <c r="E5471">
        <f>IFERROR(VLOOKUP($A5471,原始数据_收盘!$A$4:$G$3460,5,0),"")</f>
        <v>2.8725</v>
      </c>
      <c r="F5471">
        <f>IFERROR(VLOOKUP($A5471,原始数据_收盘!$A$4:$G$3460,6,0),"")</f>
        <v>2.2869</v>
      </c>
      <c r="G5471">
        <f>IFERROR(VLOOKUP($A5471,原始数据_收盘!$A$4:$G$3460,7,0),"")</f>
        <v>2.87</v>
      </c>
      <c r="H5471">
        <f>IFERROR(VLOOKUP($A5471,原始数据_利率互换_FR007_1年!$A$6:$C$4395,2,0),"")</f>
        <v>2.2894</v>
      </c>
      <c r="I5471">
        <f>IFERROR(VLOOKUP($A5471,原始数据_利率互换_FR007_1年!$A$6:$C$4395,3,0),"")</f>
        <v>2.8793</v>
      </c>
    </row>
    <row r="5472" spans="1:9">
      <c r="A5472" s="6">
        <v>44965</v>
      </c>
      <c r="B5472">
        <f>IFERROR(VLOOKUP($A5472,原始数据_收盘!$A$4:$G$3460,2,0),"")</f>
        <v>2.3067</v>
      </c>
      <c r="C5472">
        <f>IFERROR(VLOOKUP($A5472,原始数据_收盘!$A$4:$G$3460,3,0),"")</f>
        <v>2.879</v>
      </c>
      <c r="D5472">
        <f>IFERROR(VLOOKUP($A5472,原始数据_收盘!$A$4:$G$3460,4,0),"")</f>
        <v>2.3094</v>
      </c>
      <c r="E5472">
        <f>IFERROR(VLOOKUP($A5472,原始数据_收盘!$A$4:$G$3460,5,0),"")</f>
        <v>2.8824</v>
      </c>
      <c r="F5472">
        <f>IFERROR(VLOOKUP($A5472,原始数据_收盘!$A$4:$G$3460,6,0),"")</f>
        <v>2.3081</v>
      </c>
      <c r="G5472">
        <f>IFERROR(VLOOKUP($A5472,原始数据_收盘!$A$4:$G$3460,7,0),"")</f>
        <v>2.8807</v>
      </c>
      <c r="H5472">
        <f>IFERROR(VLOOKUP($A5472,原始数据_利率互换_FR007_1年!$A$6:$C$4395,2,0),"")</f>
        <v>2.2994</v>
      </c>
      <c r="I5472">
        <f>IFERROR(VLOOKUP($A5472,原始数据_利率互换_FR007_1年!$A$6:$C$4395,3,0),"")</f>
        <v>2.8748</v>
      </c>
    </row>
    <row r="5473" spans="1:9">
      <c r="A5473" s="6">
        <v>44966</v>
      </c>
      <c r="B5473">
        <f>IFERROR(VLOOKUP($A5473,原始数据_收盘!$A$4:$G$3460,2,0),"")</f>
        <v>2.2956</v>
      </c>
      <c r="C5473">
        <f>IFERROR(VLOOKUP($A5473,原始数据_收盘!$A$4:$G$3460,3,0),"")</f>
        <v>2.87</v>
      </c>
      <c r="D5473">
        <f>IFERROR(VLOOKUP($A5473,原始数据_收盘!$A$4:$G$3460,4,0),"")</f>
        <v>2.3</v>
      </c>
      <c r="E5473">
        <f>IFERROR(VLOOKUP($A5473,原始数据_收盘!$A$4:$G$3460,5,0),"")</f>
        <v>2.8725</v>
      </c>
      <c r="F5473">
        <f>IFERROR(VLOOKUP($A5473,原始数据_收盘!$A$4:$G$3460,6,0),"")</f>
        <v>2.2978</v>
      </c>
      <c r="G5473">
        <f>IFERROR(VLOOKUP($A5473,原始数据_收盘!$A$4:$G$3460,7,0),"")</f>
        <v>2.8713</v>
      </c>
      <c r="H5473">
        <f>IFERROR(VLOOKUP($A5473,原始数据_利率互换_FR007_1年!$A$6:$C$4395,2,0),"")</f>
        <v>2.2948</v>
      </c>
      <c r="I5473">
        <f>IFERROR(VLOOKUP($A5473,原始数据_利率互换_FR007_1年!$A$6:$C$4395,3,0),"")</f>
        <v>2.874</v>
      </c>
    </row>
    <row r="5474" spans="1:9">
      <c r="A5474" s="6">
        <v>44967</v>
      </c>
      <c r="B5474">
        <f>IFERROR(VLOOKUP($A5474,原始数据_收盘!$A$4:$G$3460,2,0),"")</f>
        <v>2.28</v>
      </c>
      <c r="C5474">
        <f>IFERROR(VLOOKUP($A5474,原始数据_收盘!$A$4:$G$3460,3,0),"")</f>
        <v>2.8675</v>
      </c>
      <c r="D5474">
        <f>IFERROR(VLOOKUP($A5474,原始数据_收盘!$A$4:$G$3460,4,0),"")</f>
        <v>2.2875</v>
      </c>
      <c r="E5474">
        <f>IFERROR(VLOOKUP($A5474,原始数据_收盘!$A$4:$G$3460,5,0),"")</f>
        <v>2.8703</v>
      </c>
      <c r="F5474">
        <f>IFERROR(VLOOKUP($A5474,原始数据_收盘!$A$4:$G$3460,6,0),"")</f>
        <v>2.2838</v>
      </c>
      <c r="G5474">
        <f>IFERROR(VLOOKUP($A5474,原始数据_收盘!$A$4:$G$3460,7,0),"")</f>
        <v>2.8689</v>
      </c>
      <c r="H5474">
        <f>IFERROR(VLOOKUP($A5474,原始数据_利率互换_FR007_1年!$A$6:$C$4395,2,0),"")</f>
        <v>2.2805</v>
      </c>
      <c r="I5474">
        <f>IFERROR(VLOOKUP($A5474,原始数据_利率互换_FR007_1年!$A$6:$C$4395,3,0),"")</f>
        <v>2.8666</v>
      </c>
    </row>
    <row r="5475" spans="1:9">
      <c r="A5475" s="6">
        <v>44968</v>
      </c>
      <c r="B5475" t="str">
        <f>IFERROR(VLOOKUP($A5475,原始数据_收盘!$A$4:$G$3460,2,0),"")</f>
        <v/>
      </c>
      <c r="C5475" t="str">
        <f>IFERROR(VLOOKUP($A5475,原始数据_收盘!$A$4:$G$3460,3,0),"")</f>
        <v/>
      </c>
      <c r="D5475" t="str">
        <f>IFERROR(VLOOKUP($A5475,原始数据_收盘!$A$4:$G$3460,4,0),"")</f>
        <v/>
      </c>
      <c r="E5475" t="str">
        <f>IFERROR(VLOOKUP($A5475,原始数据_收盘!$A$4:$G$3460,5,0),"")</f>
        <v/>
      </c>
      <c r="F5475" t="str">
        <f>IFERROR(VLOOKUP($A5475,原始数据_收盘!$A$4:$G$3460,6,0),"")</f>
        <v/>
      </c>
      <c r="G5475" t="str">
        <f>IFERROR(VLOOKUP($A5475,原始数据_收盘!$A$4:$G$3460,7,0),"")</f>
        <v/>
      </c>
      <c r="H5475" t="str">
        <f>IFERROR(VLOOKUP($A5475,原始数据_利率互换_FR007_1年!$A$6:$C$4395,2,0),"")</f>
        <v/>
      </c>
      <c r="I5475" t="str">
        <f>IFERROR(VLOOKUP($A5475,原始数据_利率互换_FR007_1年!$A$6:$C$4395,3,0),"")</f>
        <v/>
      </c>
    </row>
    <row r="5476" spans="1:9">
      <c r="A5476" s="6">
        <v>44969</v>
      </c>
      <c r="B5476" t="str">
        <f>IFERROR(VLOOKUP($A5476,原始数据_收盘!$A$4:$G$3460,2,0),"")</f>
        <v/>
      </c>
      <c r="C5476" t="str">
        <f>IFERROR(VLOOKUP($A5476,原始数据_收盘!$A$4:$G$3460,3,0),"")</f>
        <v/>
      </c>
      <c r="D5476" t="str">
        <f>IFERROR(VLOOKUP($A5476,原始数据_收盘!$A$4:$G$3460,4,0),"")</f>
        <v/>
      </c>
      <c r="E5476" t="str">
        <f>IFERROR(VLOOKUP($A5476,原始数据_收盘!$A$4:$G$3460,5,0),"")</f>
        <v/>
      </c>
      <c r="F5476" t="str">
        <f>IFERROR(VLOOKUP($A5476,原始数据_收盘!$A$4:$G$3460,6,0),"")</f>
        <v/>
      </c>
      <c r="G5476" t="str">
        <f>IFERROR(VLOOKUP($A5476,原始数据_收盘!$A$4:$G$3460,7,0),"")</f>
        <v/>
      </c>
      <c r="H5476" t="str">
        <f>IFERROR(VLOOKUP($A5476,原始数据_利率互换_FR007_1年!$A$6:$C$4395,2,0),"")</f>
        <v/>
      </c>
      <c r="I5476" t="str">
        <f>IFERROR(VLOOKUP($A5476,原始数据_利率互换_FR007_1年!$A$6:$C$4395,3,0),"")</f>
        <v/>
      </c>
    </row>
    <row r="5477" spans="1:9">
      <c r="A5477" s="6">
        <v>44970</v>
      </c>
      <c r="B5477">
        <f>IFERROR(VLOOKUP($A5477,原始数据_收盘!$A$4:$G$3460,2,0),"")</f>
        <v>2.275</v>
      </c>
      <c r="C5477">
        <f>IFERROR(VLOOKUP($A5477,原始数据_收盘!$A$4:$G$3460,3,0),"")</f>
        <v>2.8504</v>
      </c>
      <c r="D5477">
        <f>IFERROR(VLOOKUP($A5477,原始数据_收盘!$A$4:$G$3460,4,0),"")</f>
        <v>2.2775</v>
      </c>
      <c r="E5477">
        <f>IFERROR(VLOOKUP($A5477,原始数据_收盘!$A$4:$G$3460,5,0),"")</f>
        <v>2.8528</v>
      </c>
      <c r="F5477">
        <f>IFERROR(VLOOKUP($A5477,原始数据_收盘!$A$4:$G$3460,6,0),"")</f>
        <v>2.2763</v>
      </c>
      <c r="G5477">
        <f>IFERROR(VLOOKUP($A5477,原始数据_收盘!$A$4:$G$3460,7,0),"")</f>
        <v>2.8516</v>
      </c>
      <c r="H5477">
        <f>IFERROR(VLOOKUP($A5477,原始数据_利率互换_FR007_1年!$A$6:$C$4395,2,0),"")</f>
        <v>2.2771</v>
      </c>
      <c r="I5477">
        <f>IFERROR(VLOOKUP($A5477,原始数据_利率互换_FR007_1年!$A$6:$C$4395,3,0),"")</f>
        <v>2.8551</v>
      </c>
    </row>
    <row r="5478" spans="1:9">
      <c r="A5478" s="6">
        <v>44971</v>
      </c>
      <c r="B5478">
        <f>IFERROR(VLOOKUP($A5478,原始数据_收盘!$A$4:$G$3460,2,0),"")</f>
        <v>2.285</v>
      </c>
      <c r="C5478">
        <f>IFERROR(VLOOKUP($A5478,原始数据_收盘!$A$4:$G$3460,3,0),"")</f>
        <v>2.8475</v>
      </c>
      <c r="D5478">
        <f>IFERROR(VLOOKUP($A5478,原始数据_收盘!$A$4:$G$3460,4,0),"")</f>
        <v>2.2875</v>
      </c>
      <c r="E5478">
        <f>IFERROR(VLOOKUP($A5478,原始数据_收盘!$A$4:$G$3460,5,0),"")</f>
        <v>2.8514</v>
      </c>
      <c r="F5478">
        <f>IFERROR(VLOOKUP($A5478,原始数据_收盘!$A$4:$G$3460,6,0),"")</f>
        <v>2.2863</v>
      </c>
      <c r="G5478">
        <f>IFERROR(VLOOKUP($A5478,原始数据_收盘!$A$4:$G$3460,7,0),"")</f>
        <v>2.8494</v>
      </c>
      <c r="H5478">
        <f>IFERROR(VLOOKUP($A5478,原始数据_利率互换_FR007_1年!$A$6:$C$4395,2,0),"")</f>
        <v>2.2895</v>
      </c>
      <c r="I5478">
        <f>IFERROR(VLOOKUP($A5478,原始数据_利率互换_FR007_1年!$A$6:$C$4395,3,0),"")</f>
        <v>2.8551</v>
      </c>
    </row>
    <row r="5479" spans="1:9">
      <c r="A5479" s="6">
        <v>44972</v>
      </c>
      <c r="B5479">
        <f>IFERROR(VLOOKUP($A5479,原始数据_收盘!$A$4:$G$3460,2,0),"")</f>
        <v>2.3</v>
      </c>
      <c r="C5479">
        <f>IFERROR(VLOOKUP($A5479,原始数据_收盘!$A$4:$G$3460,3,0),"")</f>
        <v>2.855</v>
      </c>
      <c r="D5479">
        <f>IFERROR(VLOOKUP($A5479,原始数据_收盘!$A$4:$G$3460,4,0),"")</f>
        <v>2.3025</v>
      </c>
      <c r="E5479">
        <f>IFERROR(VLOOKUP($A5479,原始数据_收盘!$A$4:$G$3460,5,0),"")</f>
        <v>2.8575</v>
      </c>
      <c r="F5479">
        <f>IFERROR(VLOOKUP($A5479,原始数据_收盘!$A$4:$G$3460,6,0),"")</f>
        <v>2.3013</v>
      </c>
      <c r="G5479">
        <f>IFERROR(VLOOKUP($A5479,原始数据_收盘!$A$4:$G$3460,7,0),"")</f>
        <v>2.8563</v>
      </c>
      <c r="H5479">
        <f>IFERROR(VLOOKUP($A5479,原始数据_利率互换_FR007_1年!$A$6:$C$4395,2,0),"")</f>
        <v>2.3081</v>
      </c>
      <c r="I5479">
        <f>IFERROR(VLOOKUP($A5479,原始数据_利率互换_FR007_1年!$A$6:$C$4395,3,0),"")</f>
        <v>2.8626</v>
      </c>
    </row>
    <row r="5480" spans="1:9">
      <c r="A5480" s="6">
        <v>44973</v>
      </c>
      <c r="B5480">
        <f>IFERROR(VLOOKUP($A5480,原始数据_收盘!$A$4:$G$3460,2,0),"")</f>
        <v>2.31</v>
      </c>
      <c r="C5480">
        <f>IFERROR(VLOOKUP($A5480,原始数据_收盘!$A$4:$G$3460,3,0),"")</f>
        <v>2.859</v>
      </c>
      <c r="D5480">
        <f>IFERROR(VLOOKUP($A5480,原始数据_收盘!$A$4:$G$3460,4,0),"")</f>
        <v>2.315</v>
      </c>
      <c r="E5480">
        <f>IFERROR(VLOOKUP($A5480,原始数据_收盘!$A$4:$G$3460,5,0),"")</f>
        <v>2.8604</v>
      </c>
      <c r="F5480">
        <f>IFERROR(VLOOKUP($A5480,原始数据_收盘!$A$4:$G$3460,6,0),"")</f>
        <v>2.3125</v>
      </c>
      <c r="G5480">
        <f>IFERROR(VLOOKUP($A5480,原始数据_收盘!$A$4:$G$3460,7,0),"")</f>
        <v>2.8597</v>
      </c>
      <c r="H5480">
        <f>IFERROR(VLOOKUP($A5480,原始数据_利率互换_FR007_1年!$A$6:$C$4395,2,0),"")</f>
        <v>2.3165</v>
      </c>
      <c r="I5480">
        <f>IFERROR(VLOOKUP($A5480,原始数据_利率互换_FR007_1年!$A$6:$C$4395,3,0),"")</f>
        <v>2.8639</v>
      </c>
    </row>
    <row r="5481" spans="1:9">
      <c r="A5481" s="6">
        <v>44974</v>
      </c>
      <c r="B5481">
        <f>IFERROR(VLOOKUP($A5481,原始数据_收盘!$A$4:$G$3460,2,0),"")</f>
        <v>2.3092</v>
      </c>
      <c r="C5481">
        <f>IFERROR(VLOOKUP($A5481,原始数据_收盘!$A$4:$G$3460,3,0),"")</f>
        <v>2.86</v>
      </c>
      <c r="D5481">
        <f>IFERROR(VLOOKUP($A5481,原始数据_收盘!$A$4:$G$3460,4,0),"")</f>
        <v>2.3125</v>
      </c>
      <c r="E5481">
        <f>IFERROR(VLOOKUP($A5481,原始数据_收盘!$A$4:$G$3460,5,0),"")</f>
        <v>2.8632</v>
      </c>
      <c r="F5481">
        <f>IFERROR(VLOOKUP($A5481,原始数据_收盘!$A$4:$G$3460,6,0),"")</f>
        <v>2.3108</v>
      </c>
      <c r="G5481">
        <f>IFERROR(VLOOKUP($A5481,原始数据_收盘!$A$4:$G$3460,7,0),"")</f>
        <v>2.8616</v>
      </c>
      <c r="H5481">
        <f>IFERROR(VLOOKUP($A5481,原始数据_利率互换_FR007_1年!$A$6:$C$4395,2,0),"")</f>
        <v>2.3192</v>
      </c>
      <c r="I5481">
        <f>IFERROR(VLOOKUP($A5481,原始数据_利率互换_FR007_1年!$A$6:$C$4395,3,0),"")</f>
        <v>2.8667</v>
      </c>
    </row>
    <row r="5482" spans="1:9">
      <c r="A5482" s="6">
        <v>44975</v>
      </c>
      <c r="B5482" t="str">
        <f>IFERROR(VLOOKUP($A5482,原始数据_收盘!$A$4:$G$3460,2,0),"")</f>
        <v/>
      </c>
      <c r="C5482" t="str">
        <f>IFERROR(VLOOKUP($A5482,原始数据_收盘!$A$4:$G$3460,3,0),"")</f>
        <v/>
      </c>
      <c r="D5482" t="str">
        <f>IFERROR(VLOOKUP($A5482,原始数据_收盘!$A$4:$G$3460,4,0),"")</f>
        <v/>
      </c>
      <c r="E5482" t="str">
        <f>IFERROR(VLOOKUP($A5482,原始数据_收盘!$A$4:$G$3460,5,0),"")</f>
        <v/>
      </c>
      <c r="F5482" t="str">
        <f>IFERROR(VLOOKUP($A5482,原始数据_收盘!$A$4:$G$3460,6,0),"")</f>
        <v/>
      </c>
      <c r="G5482" t="str">
        <f>IFERROR(VLOOKUP($A5482,原始数据_收盘!$A$4:$G$3460,7,0),"")</f>
        <v/>
      </c>
      <c r="H5482" t="str">
        <f>IFERROR(VLOOKUP($A5482,原始数据_利率互换_FR007_1年!$A$6:$C$4395,2,0),"")</f>
        <v/>
      </c>
      <c r="I5482" t="str">
        <f>IFERROR(VLOOKUP($A5482,原始数据_利率互换_FR007_1年!$A$6:$C$4395,3,0),"")</f>
        <v/>
      </c>
    </row>
    <row r="5483" spans="1:9">
      <c r="A5483" s="6">
        <v>44976</v>
      </c>
      <c r="B5483" t="str">
        <f>IFERROR(VLOOKUP($A5483,原始数据_收盘!$A$4:$G$3460,2,0),"")</f>
        <v/>
      </c>
      <c r="C5483" t="str">
        <f>IFERROR(VLOOKUP($A5483,原始数据_收盘!$A$4:$G$3460,3,0),"")</f>
        <v/>
      </c>
      <c r="D5483" t="str">
        <f>IFERROR(VLOOKUP($A5483,原始数据_收盘!$A$4:$G$3460,4,0),"")</f>
        <v/>
      </c>
      <c r="E5483" t="str">
        <f>IFERROR(VLOOKUP($A5483,原始数据_收盘!$A$4:$G$3460,5,0),"")</f>
        <v/>
      </c>
      <c r="F5483" t="str">
        <f>IFERROR(VLOOKUP($A5483,原始数据_收盘!$A$4:$G$3460,6,0),"")</f>
        <v/>
      </c>
      <c r="G5483" t="str">
        <f>IFERROR(VLOOKUP($A5483,原始数据_收盘!$A$4:$G$3460,7,0),"")</f>
        <v/>
      </c>
      <c r="H5483" t="str">
        <f>IFERROR(VLOOKUP($A5483,原始数据_利率互换_FR007_1年!$A$6:$C$4395,2,0),"")</f>
        <v/>
      </c>
      <c r="I5483" t="str">
        <f>IFERROR(VLOOKUP($A5483,原始数据_利率互换_FR007_1年!$A$6:$C$4395,3,0),"")</f>
        <v/>
      </c>
    </row>
    <row r="5484" spans="1:9">
      <c r="A5484" s="6">
        <v>44977</v>
      </c>
      <c r="B5484">
        <f>IFERROR(VLOOKUP($A5484,原始数据_收盘!$A$4:$G$3460,2,0),"")</f>
        <v>2.355</v>
      </c>
      <c r="C5484">
        <f>IFERROR(VLOOKUP($A5484,原始数据_收盘!$A$4:$G$3460,3,0),"")</f>
        <v>2.9157</v>
      </c>
      <c r="D5484">
        <f>IFERROR(VLOOKUP($A5484,原始数据_收盘!$A$4:$G$3460,4,0),"")</f>
        <v>2.3585</v>
      </c>
      <c r="E5484">
        <f>IFERROR(VLOOKUP($A5484,原始数据_收盘!$A$4:$G$3460,5,0),"")</f>
        <v>2.9174</v>
      </c>
      <c r="F5484">
        <f>IFERROR(VLOOKUP($A5484,原始数据_收盘!$A$4:$G$3460,6,0),"")</f>
        <v>2.3568</v>
      </c>
      <c r="G5484">
        <f>IFERROR(VLOOKUP($A5484,原始数据_收盘!$A$4:$G$3460,7,0),"")</f>
        <v>2.9165</v>
      </c>
      <c r="H5484">
        <f>IFERROR(VLOOKUP($A5484,原始数据_利率互换_FR007_1年!$A$6:$C$4395,2,0),"")</f>
        <v>2.339</v>
      </c>
      <c r="I5484">
        <f>IFERROR(VLOOKUP($A5484,原始数据_利率互换_FR007_1年!$A$6:$C$4395,3,0),"")</f>
        <v>2.8947</v>
      </c>
    </row>
    <row r="5485" spans="1:9">
      <c r="A5485" s="6">
        <v>44978</v>
      </c>
      <c r="B5485">
        <f>IFERROR(VLOOKUP($A5485,原始数据_收盘!$A$4:$G$3460,2,0),"")</f>
        <v>2.36</v>
      </c>
      <c r="C5485">
        <f>IFERROR(VLOOKUP($A5485,原始数据_收盘!$A$4:$G$3460,3,0),"")</f>
        <v>2.925</v>
      </c>
      <c r="D5485">
        <f>IFERROR(VLOOKUP($A5485,原始数据_收盘!$A$4:$G$3460,4,0),"")</f>
        <v>2.3625</v>
      </c>
      <c r="E5485">
        <f>IFERROR(VLOOKUP($A5485,原始数据_收盘!$A$4:$G$3460,5,0),"")</f>
        <v>2.9275</v>
      </c>
      <c r="F5485">
        <f>IFERROR(VLOOKUP($A5485,原始数据_收盘!$A$4:$G$3460,6,0),"")</f>
        <v>2.3613</v>
      </c>
      <c r="G5485">
        <f>IFERROR(VLOOKUP($A5485,原始数据_收盘!$A$4:$G$3460,7,0),"")</f>
        <v>2.9263</v>
      </c>
      <c r="H5485">
        <f>IFERROR(VLOOKUP($A5485,原始数据_利率互换_FR007_1年!$A$6:$C$4395,2,0),"")</f>
        <v>2.3627</v>
      </c>
      <c r="I5485">
        <f>IFERROR(VLOOKUP($A5485,原始数据_利率互换_FR007_1年!$A$6:$C$4395,3,0),"")</f>
        <v>2.9356</v>
      </c>
    </row>
    <row r="5486" spans="1:9">
      <c r="A5486" s="6">
        <v>44979</v>
      </c>
      <c r="B5486">
        <f>IFERROR(VLOOKUP($A5486,原始数据_收盘!$A$4:$G$3460,2,0),"")</f>
        <v>2.385</v>
      </c>
      <c r="C5486">
        <f>IFERROR(VLOOKUP($A5486,原始数据_收盘!$A$4:$G$3460,3,0),"")</f>
        <v>2.9175</v>
      </c>
      <c r="D5486">
        <f>IFERROR(VLOOKUP($A5486,原始数据_收盘!$A$4:$G$3460,4,0),"")</f>
        <v>2.39</v>
      </c>
      <c r="E5486">
        <f>IFERROR(VLOOKUP($A5486,原始数据_收盘!$A$4:$G$3460,5,0),"")</f>
        <v>2.9201</v>
      </c>
      <c r="F5486">
        <f>IFERROR(VLOOKUP($A5486,原始数据_收盘!$A$4:$G$3460,6,0),"")</f>
        <v>2.3875</v>
      </c>
      <c r="G5486">
        <f>IFERROR(VLOOKUP($A5486,原始数据_收盘!$A$4:$G$3460,7,0),"")</f>
        <v>2.9188</v>
      </c>
      <c r="H5486">
        <f>IFERROR(VLOOKUP($A5486,原始数据_利率互换_FR007_1年!$A$6:$C$4395,2,0),"")</f>
        <v>2.3757</v>
      </c>
      <c r="I5486">
        <f>IFERROR(VLOOKUP($A5486,原始数据_利率互换_FR007_1年!$A$6:$C$4395,3,0),"")</f>
        <v>2.9193</v>
      </c>
    </row>
    <row r="5487" spans="1:9">
      <c r="A5487" s="6">
        <v>44980</v>
      </c>
      <c r="B5487">
        <f>IFERROR(VLOOKUP($A5487,原始数据_收盘!$A$4:$G$3460,2,0),"")</f>
        <v>2.425</v>
      </c>
      <c r="C5487">
        <f>IFERROR(VLOOKUP($A5487,原始数据_收盘!$A$4:$G$3460,3,0),"")</f>
        <v>2.9453</v>
      </c>
      <c r="D5487">
        <f>IFERROR(VLOOKUP($A5487,原始数据_收盘!$A$4:$G$3460,4,0),"")</f>
        <v>2.4276</v>
      </c>
      <c r="E5487">
        <f>IFERROR(VLOOKUP($A5487,原始数据_收盘!$A$4:$G$3460,5,0),"")</f>
        <v>2.9478</v>
      </c>
      <c r="F5487">
        <f>IFERROR(VLOOKUP($A5487,原始数据_收盘!$A$4:$G$3460,6,0),"")</f>
        <v>2.4263</v>
      </c>
      <c r="G5487">
        <f>IFERROR(VLOOKUP($A5487,原始数据_收盘!$A$4:$G$3460,7,0),"")</f>
        <v>2.9465</v>
      </c>
      <c r="H5487">
        <f>IFERROR(VLOOKUP($A5487,原始数据_利率互换_FR007_1年!$A$6:$C$4395,2,0),"")</f>
        <v>2.4116</v>
      </c>
      <c r="I5487">
        <f>IFERROR(VLOOKUP($A5487,原始数据_利率互换_FR007_1年!$A$6:$C$4395,3,0),"")</f>
        <v>2.9359</v>
      </c>
    </row>
    <row r="5488" spans="1:9">
      <c r="A5488" s="6">
        <v>44981</v>
      </c>
      <c r="B5488">
        <f>IFERROR(VLOOKUP($A5488,原始数据_收盘!$A$4:$G$3460,2,0),"")</f>
        <v>2.4171</v>
      </c>
      <c r="C5488">
        <f>IFERROR(VLOOKUP($A5488,原始数据_收盘!$A$4:$G$3460,3,0),"")</f>
        <v>2.9343</v>
      </c>
      <c r="D5488">
        <f>IFERROR(VLOOKUP($A5488,原始数据_收盘!$A$4:$G$3460,4,0),"")</f>
        <v>2.42</v>
      </c>
      <c r="E5488">
        <f>IFERROR(VLOOKUP($A5488,原始数据_收盘!$A$4:$G$3460,5,0),"")</f>
        <v>2.9368</v>
      </c>
      <c r="F5488">
        <f>IFERROR(VLOOKUP($A5488,原始数据_收盘!$A$4:$G$3460,6,0),"")</f>
        <v>2.4185</v>
      </c>
      <c r="G5488">
        <f>IFERROR(VLOOKUP($A5488,原始数据_收盘!$A$4:$G$3460,7,0),"")</f>
        <v>2.9355</v>
      </c>
      <c r="H5488">
        <f>IFERROR(VLOOKUP($A5488,原始数据_利率互换_FR007_1年!$A$6:$C$4395,2,0),"")</f>
        <v>2.4157</v>
      </c>
      <c r="I5488">
        <f>IFERROR(VLOOKUP($A5488,原始数据_利率互换_FR007_1年!$A$6:$C$4395,3,0),"")</f>
        <v>2.938</v>
      </c>
    </row>
    <row r="5489" spans="1:9">
      <c r="A5489" s="6">
        <v>44982</v>
      </c>
      <c r="B5489" t="str">
        <f>IFERROR(VLOOKUP($A5489,原始数据_收盘!$A$4:$G$3460,2,0),"")</f>
        <v/>
      </c>
      <c r="C5489" t="str">
        <f>IFERROR(VLOOKUP($A5489,原始数据_收盘!$A$4:$G$3460,3,0),"")</f>
        <v/>
      </c>
      <c r="D5489" t="str">
        <f>IFERROR(VLOOKUP($A5489,原始数据_收盘!$A$4:$G$3460,4,0),"")</f>
        <v/>
      </c>
      <c r="E5489" t="str">
        <f>IFERROR(VLOOKUP($A5489,原始数据_收盘!$A$4:$G$3460,5,0),"")</f>
        <v/>
      </c>
      <c r="F5489" t="str">
        <f>IFERROR(VLOOKUP($A5489,原始数据_收盘!$A$4:$G$3460,6,0),"")</f>
        <v/>
      </c>
      <c r="G5489" t="str">
        <f>IFERROR(VLOOKUP($A5489,原始数据_收盘!$A$4:$G$3460,7,0),"")</f>
        <v/>
      </c>
      <c r="H5489" t="str">
        <f>IFERROR(VLOOKUP($A5489,原始数据_利率互换_FR007_1年!$A$6:$C$4395,2,0),"")</f>
        <v/>
      </c>
      <c r="I5489" t="str">
        <f>IFERROR(VLOOKUP($A5489,原始数据_利率互换_FR007_1年!$A$6:$C$4395,3,0),"")</f>
        <v/>
      </c>
    </row>
    <row r="5490" spans="1:9">
      <c r="A5490" s="6">
        <v>44983</v>
      </c>
      <c r="B5490" t="str">
        <f>IFERROR(VLOOKUP($A5490,原始数据_收盘!$A$4:$G$3460,2,0),"")</f>
        <v/>
      </c>
      <c r="C5490" t="str">
        <f>IFERROR(VLOOKUP($A5490,原始数据_收盘!$A$4:$G$3460,3,0),"")</f>
        <v/>
      </c>
      <c r="D5490" t="str">
        <f>IFERROR(VLOOKUP($A5490,原始数据_收盘!$A$4:$G$3460,4,0),"")</f>
        <v/>
      </c>
      <c r="E5490" t="str">
        <f>IFERROR(VLOOKUP($A5490,原始数据_收盘!$A$4:$G$3460,5,0),"")</f>
        <v/>
      </c>
      <c r="F5490" t="str">
        <f>IFERROR(VLOOKUP($A5490,原始数据_收盘!$A$4:$G$3460,6,0),"")</f>
        <v/>
      </c>
      <c r="G5490" t="str">
        <f>IFERROR(VLOOKUP($A5490,原始数据_收盘!$A$4:$G$3460,7,0),"")</f>
        <v/>
      </c>
      <c r="H5490" t="str">
        <f>IFERROR(VLOOKUP($A5490,原始数据_利率互换_FR007_1年!$A$6:$C$4395,2,0),"")</f>
        <v/>
      </c>
      <c r="I5490" t="str">
        <f>IFERROR(VLOOKUP($A5490,原始数据_利率互换_FR007_1年!$A$6:$C$4395,3,0),"")</f>
        <v/>
      </c>
    </row>
    <row r="5491" spans="1:9">
      <c r="A5491" s="6">
        <v>44984</v>
      </c>
      <c r="B5491">
        <f>IFERROR(VLOOKUP($A5491,原始数据_收盘!$A$4:$G$3460,2,0),"")</f>
        <v>2.425</v>
      </c>
      <c r="C5491">
        <f>IFERROR(VLOOKUP($A5491,原始数据_收盘!$A$4:$G$3460,3,0),"")</f>
        <v>2.945</v>
      </c>
      <c r="D5491">
        <f>IFERROR(VLOOKUP($A5491,原始数据_收盘!$A$4:$G$3460,4,0),"")</f>
        <v>2.4275</v>
      </c>
      <c r="E5491">
        <f>IFERROR(VLOOKUP($A5491,原始数据_收盘!$A$4:$G$3460,5,0),"")</f>
        <v>2.9475</v>
      </c>
      <c r="F5491">
        <f>IFERROR(VLOOKUP($A5491,原始数据_收盘!$A$4:$G$3460,6,0),"")</f>
        <v>2.4263</v>
      </c>
      <c r="G5491">
        <f>IFERROR(VLOOKUP($A5491,原始数据_收盘!$A$4:$G$3460,7,0),"")</f>
        <v>2.9463</v>
      </c>
      <c r="H5491">
        <f>IFERROR(VLOOKUP($A5491,原始数据_利率互换_FR007_1年!$A$6:$C$4395,2,0),"")</f>
        <v>2.4226</v>
      </c>
      <c r="I5491">
        <f>IFERROR(VLOOKUP($A5491,原始数据_利率互换_FR007_1年!$A$6:$C$4395,3,0),"")</f>
        <v>2.9427</v>
      </c>
    </row>
    <row r="5492" spans="1:9">
      <c r="A5492" s="6">
        <v>44985</v>
      </c>
      <c r="B5492">
        <f>IFERROR(VLOOKUP($A5492,原始数据_收盘!$A$4:$G$3460,2,0),"")</f>
        <v>2.435</v>
      </c>
      <c r="C5492">
        <f>IFERROR(VLOOKUP($A5492,原始数据_收盘!$A$4:$G$3460,3,0),"")</f>
        <v>2.945</v>
      </c>
      <c r="D5492">
        <f>IFERROR(VLOOKUP($A5492,原始数据_收盘!$A$4:$G$3460,4,0),"")</f>
        <v>2.4375</v>
      </c>
      <c r="E5492">
        <f>IFERROR(VLOOKUP($A5492,原始数据_收盘!$A$4:$G$3460,5,0),"")</f>
        <v>2.9475</v>
      </c>
      <c r="F5492">
        <f>IFERROR(VLOOKUP($A5492,原始数据_收盘!$A$4:$G$3460,6,0),"")</f>
        <v>2.4363</v>
      </c>
      <c r="G5492">
        <f>IFERROR(VLOOKUP($A5492,原始数据_收盘!$A$4:$G$3460,7,0),"")</f>
        <v>2.9463</v>
      </c>
      <c r="H5492">
        <f>IFERROR(VLOOKUP($A5492,原始数据_利率互换_FR007_1年!$A$6:$C$4395,2,0),"")</f>
        <v>2.4549</v>
      </c>
      <c r="I5492">
        <f>IFERROR(VLOOKUP($A5492,原始数据_利率互换_FR007_1年!$A$6:$C$4395,3,0),"")</f>
        <v>2.9598</v>
      </c>
    </row>
    <row r="5493" spans="1:9">
      <c r="A5493" s="6">
        <v>44986</v>
      </c>
      <c r="B5493">
        <f>IFERROR(VLOOKUP($A5493,原始数据_收盘!$A$4:$G$3460,2,0),"")</f>
        <v>2.4175</v>
      </c>
      <c r="C5493">
        <f>IFERROR(VLOOKUP($A5493,原始数据_收盘!$A$4:$G$3460,3,0),"")</f>
        <v>2.9475</v>
      </c>
      <c r="D5493">
        <f>IFERROR(VLOOKUP($A5493,原始数据_收盘!$A$4:$G$3460,4,0),"")</f>
        <v>2.42</v>
      </c>
      <c r="E5493">
        <f>IFERROR(VLOOKUP($A5493,原始数据_收盘!$A$4:$G$3460,5,0),"")</f>
        <v>2.95</v>
      </c>
      <c r="F5493">
        <f>IFERROR(VLOOKUP($A5493,原始数据_收盘!$A$4:$G$3460,6,0),"")</f>
        <v>2.4188</v>
      </c>
      <c r="G5493">
        <f>IFERROR(VLOOKUP($A5493,原始数据_收盘!$A$4:$G$3460,7,0),"")</f>
        <v>2.9488</v>
      </c>
      <c r="H5493">
        <f>IFERROR(VLOOKUP($A5493,原始数据_利率互换_FR007_1年!$A$6:$C$4395,2,0),"")</f>
        <v>2.4229</v>
      </c>
      <c r="I5493">
        <f>IFERROR(VLOOKUP($A5493,原始数据_利率互换_FR007_1年!$A$6:$C$4395,3,0),"")</f>
        <v>2.9554</v>
      </c>
    </row>
    <row r="5494" spans="1:9">
      <c r="A5494" s="6">
        <v>44987</v>
      </c>
      <c r="B5494">
        <f>IFERROR(VLOOKUP($A5494,原始数据_收盘!$A$4:$G$3460,2,0),"")</f>
        <v>2.455</v>
      </c>
      <c r="C5494">
        <f>IFERROR(VLOOKUP($A5494,原始数据_收盘!$A$4:$G$3460,3,0),"")</f>
        <v>2.9855</v>
      </c>
      <c r="D5494">
        <f>IFERROR(VLOOKUP($A5494,原始数据_收盘!$A$4:$G$3460,4,0),"")</f>
        <v>2.46</v>
      </c>
      <c r="E5494">
        <f>IFERROR(VLOOKUP($A5494,原始数据_收盘!$A$4:$G$3460,5,0),"")</f>
        <v>2.9882</v>
      </c>
      <c r="F5494">
        <f>IFERROR(VLOOKUP($A5494,原始数据_收盘!$A$4:$G$3460,6,0),"")</f>
        <v>2.4575</v>
      </c>
      <c r="G5494">
        <f>IFERROR(VLOOKUP($A5494,原始数据_收盘!$A$4:$G$3460,7,0),"")</f>
        <v>2.9869</v>
      </c>
      <c r="H5494">
        <f>IFERROR(VLOOKUP($A5494,原始数据_利率互换_FR007_1年!$A$6:$C$4395,2,0),"")</f>
        <v>2.431</v>
      </c>
      <c r="I5494">
        <f>IFERROR(VLOOKUP($A5494,原始数据_利率互换_FR007_1年!$A$6:$C$4395,3,0),"")</f>
        <v>2.969</v>
      </c>
    </row>
    <row r="5495" spans="1:9">
      <c r="A5495" s="6">
        <v>44988</v>
      </c>
      <c r="B5495">
        <f>IFERROR(VLOOKUP($A5495,原始数据_收盘!$A$4:$G$3460,2,0),"")</f>
        <v>2.4525</v>
      </c>
      <c r="C5495">
        <f>IFERROR(VLOOKUP($A5495,原始数据_收盘!$A$4:$G$3460,3,0),"")</f>
        <v>2.9775</v>
      </c>
      <c r="D5495">
        <f>IFERROR(VLOOKUP($A5495,原始数据_收盘!$A$4:$G$3460,4,0),"")</f>
        <v>2.455</v>
      </c>
      <c r="E5495">
        <f>IFERROR(VLOOKUP($A5495,原始数据_收盘!$A$4:$G$3460,5,0),"")</f>
        <v>2.98</v>
      </c>
      <c r="F5495">
        <f>IFERROR(VLOOKUP($A5495,原始数据_收盘!$A$4:$G$3460,6,0),"")</f>
        <v>2.4538</v>
      </c>
      <c r="G5495">
        <f>IFERROR(VLOOKUP($A5495,原始数据_收盘!$A$4:$G$3460,7,0),"")</f>
        <v>2.9788</v>
      </c>
      <c r="H5495">
        <f>IFERROR(VLOOKUP($A5495,原始数据_利率互换_FR007_1年!$A$6:$C$4395,2,0),"")</f>
        <v>2.4585</v>
      </c>
      <c r="I5495">
        <f>IFERROR(VLOOKUP($A5495,原始数据_利率互换_FR007_1年!$A$6:$C$4395,3,0),"")</f>
        <v>2.9923</v>
      </c>
    </row>
    <row r="5496" spans="1:9">
      <c r="A5496" s="6">
        <v>44989</v>
      </c>
      <c r="B5496" t="str">
        <f>IFERROR(VLOOKUP($A5496,原始数据_收盘!$A$4:$G$3460,2,0),"")</f>
        <v/>
      </c>
      <c r="C5496" t="str">
        <f>IFERROR(VLOOKUP($A5496,原始数据_收盘!$A$4:$G$3460,3,0),"")</f>
        <v/>
      </c>
      <c r="D5496" t="str">
        <f>IFERROR(VLOOKUP($A5496,原始数据_收盘!$A$4:$G$3460,4,0),"")</f>
        <v/>
      </c>
      <c r="E5496" t="str">
        <f>IFERROR(VLOOKUP($A5496,原始数据_收盘!$A$4:$G$3460,5,0),"")</f>
        <v/>
      </c>
      <c r="F5496" t="str">
        <f>IFERROR(VLOOKUP($A5496,原始数据_收盘!$A$4:$G$3460,6,0),"")</f>
        <v/>
      </c>
      <c r="G5496" t="str">
        <f>IFERROR(VLOOKUP($A5496,原始数据_收盘!$A$4:$G$3460,7,0),"")</f>
        <v/>
      </c>
      <c r="H5496" t="str">
        <f>IFERROR(VLOOKUP($A5496,原始数据_利率互换_FR007_1年!$A$6:$C$4395,2,0),"")</f>
        <v/>
      </c>
      <c r="I5496" t="str">
        <f>IFERROR(VLOOKUP($A5496,原始数据_利率互换_FR007_1年!$A$6:$C$4395,3,0),"")</f>
        <v/>
      </c>
    </row>
    <row r="5497" spans="1:9">
      <c r="A5497" s="6">
        <v>44990</v>
      </c>
      <c r="B5497" t="str">
        <f>IFERROR(VLOOKUP($A5497,原始数据_收盘!$A$4:$G$3460,2,0),"")</f>
        <v/>
      </c>
      <c r="C5497" t="str">
        <f>IFERROR(VLOOKUP($A5497,原始数据_收盘!$A$4:$G$3460,3,0),"")</f>
        <v/>
      </c>
      <c r="D5497" t="str">
        <f>IFERROR(VLOOKUP($A5497,原始数据_收盘!$A$4:$G$3460,4,0),"")</f>
        <v/>
      </c>
      <c r="E5497" t="str">
        <f>IFERROR(VLOOKUP($A5497,原始数据_收盘!$A$4:$G$3460,5,0),"")</f>
        <v/>
      </c>
      <c r="F5497" t="str">
        <f>IFERROR(VLOOKUP($A5497,原始数据_收盘!$A$4:$G$3460,6,0),"")</f>
        <v/>
      </c>
      <c r="G5497" t="str">
        <f>IFERROR(VLOOKUP($A5497,原始数据_收盘!$A$4:$G$3460,7,0),"")</f>
        <v/>
      </c>
      <c r="H5497" t="str">
        <f>IFERROR(VLOOKUP($A5497,原始数据_利率互换_FR007_1年!$A$6:$C$4395,2,0),"")</f>
        <v/>
      </c>
      <c r="I5497" t="str">
        <f>IFERROR(VLOOKUP($A5497,原始数据_利率互换_FR007_1年!$A$6:$C$4395,3,0),"")</f>
        <v/>
      </c>
    </row>
    <row r="5498" spans="1:9">
      <c r="A5498" s="6">
        <v>44991</v>
      </c>
      <c r="B5498">
        <f>IFERROR(VLOOKUP($A5498,原始数据_收盘!$A$4:$G$3460,2,0),"")</f>
        <v>2.41</v>
      </c>
      <c r="C5498">
        <f>IFERROR(VLOOKUP($A5498,原始数据_收盘!$A$4:$G$3460,3,0),"")</f>
        <v>2.9271</v>
      </c>
      <c r="D5498">
        <f>IFERROR(VLOOKUP($A5498,原始数据_收盘!$A$4:$G$3460,4,0),"")</f>
        <v>2.4125</v>
      </c>
      <c r="E5498">
        <f>IFERROR(VLOOKUP($A5498,原始数据_收盘!$A$4:$G$3460,5,0),"")</f>
        <v>2.9296</v>
      </c>
      <c r="F5498">
        <f>IFERROR(VLOOKUP($A5498,原始数据_收盘!$A$4:$G$3460,6,0),"")</f>
        <v>2.4113</v>
      </c>
      <c r="G5498">
        <f>IFERROR(VLOOKUP($A5498,原始数据_收盘!$A$4:$G$3460,7,0),"")</f>
        <v>2.9284</v>
      </c>
      <c r="H5498">
        <f>IFERROR(VLOOKUP($A5498,原始数据_利率互换_FR007_1年!$A$6:$C$4395,2,0),"")</f>
        <v>2.4212</v>
      </c>
      <c r="I5498">
        <f>IFERROR(VLOOKUP($A5498,原始数据_利率互换_FR007_1年!$A$6:$C$4395,3,0),"")</f>
        <v>2.9408</v>
      </c>
    </row>
    <row r="5499" spans="1:9">
      <c r="A5499" s="6">
        <v>44992</v>
      </c>
      <c r="B5499">
        <f>IFERROR(VLOOKUP($A5499,原始数据_收盘!$A$4:$G$3460,2,0),"")</f>
        <v>2.4123</v>
      </c>
      <c r="C5499">
        <f>IFERROR(VLOOKUP($A5499,原始数据_收盘!$A$4:$G$3460,3,0),"")</f>
        <v>2.9173</v>
      </c>
      <c r="D5499">
        <f>IFERROR(VLOOKUP($A5499,原始数据_收盘!$A$4:$G$3460,4,0),"")</f>
        <v>2.4146</v>
      </c>
      <c r="E5499">
        <f>IFERROR(VLOOKUP($A5499,原始数据_收盘!$A$4:$G$3460,5,0),"")</f>
        <v>2.92</v>
      </c>
      <c r="F5499">
        <f>IFERROR(VLOOKUP($A5499,原始数据_收盘!$A$4:$G$3460,6,0),"")</f>
        <v>2.4134</v>
      </c>
      <c r="G5499">
        <f>IFERROR(VLOOKUP($A5499,原始数据_收盘!$A$4:$G$3460,7,0),"")</f>
        <v>2.9187</v>
      </c>
      <c r="H5499">
        <f>IFERROR(VLOOKUP($A5499,原始数据_利率互换_FR007_1年!$A$6:$C$4395,2,0),"")</f>
        <v>2.4198</v>
      </c>
      <c r="I5499">
        <f>IFERROR(VLOOKUP($A5499,原始数据_利率互换_FR007_1年!$A$6:$C$4395,3,0),"")</f>
        <v>2.9298</v>
      </c>
    </row>
    <row r="5500" spans="1:9">
      <c r="A5500" s="6">
        <v>44993</v>
      </c>
      <c r="B5500">
        <f>IFERROR(VLOOKUP($A5500,原始数据_收盘!$A$4:$G$3460,2,0),"")</f>
        <v>2.4317</v>
      </c>
      <c r="C5500">
        <f>IFERROR(VLOOKUP($A5500,原始数据_收盘!$A$4:$G$3460,3,0),"")</f>
        <v>2.9344</v>
      </c>
      <c r="D5500">
        <f>IFERROR(VLOOKUP($A5500,原始数据_收盘!$A$4:$G$3460,4,0),"")</f>
        <v>2.435</v>
      </c>
      <c r="E5500">
        <f>IFERROR(VLOOKUP($A5500,原始数据_收盘!$A$4:$G$3460,5,0),"")</f>
        <v>2.9362</v>
      </c>
      <c r="F5500">
        <f>IFERROR(VLOOKUP($A5500,原始数据_收盘!$A$4:$G$3460,6,0),"")</f>
        <v>2.4333</v>
      </c>
      <c r="G5500">
        <f>IFERROR(VLOOKUP($A5500,原始数据_收盘!$A$4:$G$3460,7,0),"")</f>
        <v>2.9353</v>
      </c>
      <c r="H5500">
        <f>IFERROR(VLOOKUP($A5500,原始数据_利率互换_FR007_1年!$A$6:$C$4395,2,0),"")</f>
        <v>2.4237</v>
      </c>
      <c r="I5500">
        <f>IFERROR(VLOOKUP($A5500,原始数据_利率互换_FR007_1年!$A$6:$C$4395,3,0),"")</f>
        <v>2.9234</v>
      </c>
    </row>
    <row r="5501" spans="1:9">
      <c r="A5501" s="6">
        <v>44994</v>
      </c>
      <c r="B5501">
        <f>IFERROR(VLOOKUP($A5501,原始数据_收盘!$A$4:$G$3460,2,0),"")</f>
        <v>2.43</v>
      </c>
      <c r="C5501">
        <f>IFERROR(VLOOKUP($A5501,原始数据_收盘!$A$4:$G$3460,3,0),"")</f>
        <v>2.9059</v>
      </c>
      <c r="D5501">
        <f>IFERROR(VLOOKUP($A5501,原始数据_收盘!$A$4:$G$3460,4,0),"")</f>
        <v>2.4341</v>
      </c>
      <c r="E5501">
        <f>IFERROR(VLOOKUP($A5501,原始数据_收盘!$A$4:$G$3460,5,0),"")</f>
        <v>2.9084</v>
      </c>
      <c r="F5501">
        <f>IFERROR(VLOOKUP($A5501,原始数据_收盘!$A$4:$G$3460,6,0),"")</f>
        <v>2.4321</v>
      </c>
      <c r="G5501">
        <f>IFERROR(VLOOKUP($A5501,原始数据_收盘!$A$4:$G$3460,7,0),"")</f>
        <v>2.9071</v>
      </c>
      <c r="H5501">
        <f>IFERROR(VLOOKUP($A5501,原始数据_利率互换_FR007_1年!$A$6:$C$4395,2,0),"")</f>
        <v>2.425</v>
      </c>
      <c r="I5501">
        <f>IFERROR(VLOOKUP($A5501,原始数据_利率互换_FR007_1年!$A$6:$C$4395,3,0),"")</f>
        <v>2.91</v>
      </c>
    </row>
    <row r="5502" spans="1:9">
      <c r="A5502" s="6">
        <v>44995</v>
      </c>
      <c r="B5502">
        <f>IFERROR(VLOOKUP($A5502,原始数据_收盘!$A$4:$G$3460,2,0),"")</f>
        <v>2.4009</v>
      </c>
      <c r="C5502">
        <f>IFERROR(VLOOKUP($A5502,原始数据_收盘!$A$4:$G$3460,3,0),"")</f>
        <v>2.8603</v>
      </c>
      <c r="D5502">
        <f>IFERROR(VLOOKUP($A5502,原始数据_收盘!$A$4:$G$3460,4,0),"")</f>
        <v>2.4031</v>
      </c>
      <c r="E5502">
        <f>IFERROR(VLOOKUP($A5502,原始数据_收盘!$A$4:$G$3460,5,0),"")</f>
        <v>2.8638</v>
      </c>
      <c r="F5502">
        <f>IFERROR(VLOOKUP($A5502,原始数据_收盘!$A$4:$G$3460,6,0),"")</f>
        <v>2.402</v>
      </c>
      <c r="G5502">
        <f>IFERROR(VLOOKUP($A5502,原始数据_收盘!$A$4:$G$3460,7,0),"")</f>
        <v>2.862</v>
      </c>
      <c r="H5502">
        <f>IFERROR(VLOOKUP($A5502,原始数据_利率互换_FR007_1年!$A$6:$C$4395,2,0),"")</f>
        <v>2.4083</v>
      </c>
      <c r="I5502">
        <f>IFERROR(VLOOKUP($A5502,原始数据_利率互换_FR007_1年!$A$6:$C$4395,3,0),"")</f>
        <v>2.8704</v>
      </c>
    </row>
    <row r="5503" spans="1:9">
      <c r="A5503" s="6">
        <v>44996</v>
      </c>
      <c r="B5503" t="str">
        <f>IFERROR(VLOOKUP($A5503,原始数据_收盘!$A$4:$G$3460,2,0),"")</f>
        <v/>
      </c>
      <c r="C5503" t="str">
        <f>IFERROR(VLOOKUP($A5503,原始数据_收盘!$A$4:$G$3460,3,0),"")</f>
        <v/>
      </c>
      <c r="D5503" t="str">
        <f>IFERROR(VLOOKUP($A5503,原始数据_收盘!$A$4:$G$3460,4,0),"")</f>
        <v/>
      </c>
      <c r="E5503" t="str">
        <f>IFERROR(VLOOKUP($A5503,原始数据_收盘!$A$4:$G$3460,5,0),"")</f>
        <v/>
      </c>
      <c r="F5503" t="str">
        <f>IFERROR(VLOOKUP($A5503,原始数据_收盘!$A$4:$G$3460,6,0),"")</f>
        <v/>
      </c>
      <c r="G5503" t="str">
        <f>IFERROR(VLOOKUP($A5503,原始数据_收盘!$A$4:$G$3460,7,0),"")</f>
        <v/>
      </c>
      <c r="H5503" t="str">
        <f>IFERROR(VLOOKUP($A5503,原始数据_利率互换_FR007_1年!$A$6:$C$4395,2,0),"")</f>
        <v/>
      </c>
      <c r="I5503" t="str">
        <f>IFERROR(VLOOKUP($A5503,原始数据_利率互换_FR007_1年!$A$6:$C$4395,3,0),"")</f>
        <v/>
      </c>
    </row>
    <row r="5504" spans="1:9">
      <c r="A5504" s="6">
        <v>44997</v>
      </c>
      <c r="B5504" t="str">
        <f>IFERROR(VLOOKUP($A5504,原始数据_收盘!$A$4:$G$3460,2,0),"")</f>
        <v/>
      </c>
      <c r="C5504" t="str">
        <f>IFERROR(VLOOKUP($A5504,原始数据_收盘!$A$4:$G$3460,3,0),"")</f>
        <v/>
      </c>
      <c r="D5504" t="str">
        <f>IFERROR(VLOOKUP($A5504,原始数据_收盘!$A$4:$G$3460,4,0),"")</f>
        <v/>
      </c>
      <c r="E5504" t="str">
        <f>IFERROR(VLOOKUP($A5504,原始数据_收盘!$A$4:$G$3460,5,0),"")</f>
        <v/>
      </c>
      <c r="F5504" t="str">
        <f>IFERROR(VLOOKUP($A5504,原始数据_收盘!$A$4:$G$3460,6,0),"")</f>
        <v/>
      </c>
      <c r="G5504" t="str">
        <f>IFERROR(VLOOKUP($A5504,原始数据_收盘!$A$4:$G$3460,7,0),"")</f>
        <v/>
      </c>
      <c r="H5504" t="str">
        <f>IFERROR(VLOOKUP($A5504,原始数据_利率互换_FR007_1年!$A$6:$C$4395,2,0),"")</f>
        <v/>
      </c>
      <c r="I5504" t="str">
        <f>IFERROR(VLOOKUP($A5504,原始数据_利率互换_FR007_1年!$A$6:$C$4395,3,0),"")</f>
        <v/>
      </c>
    </row>
    <row r="5505" spans="1:9">
      <c r="A5505" s="6">
        <v>44998</v>
      </c>
      <c r="B5505">
        <f>IFERROR(VLOOKUP($A5505,原始数据_收盘!$A$4:$G$3460,2,0),"")</f>
        <v>2.41</v>
      </c>
      <c r="C5505">
        <f>IFERROR(VLOOKUP($A5505,原始数据_收盘!$A$4:$G$3460,3,0),"")</f>
        <v>2.8735</v>
      </c>
      <c r="D5505">
        <f>IFERROR(VLOOKUP($A5505,原始数据_收盘!$A$4:$G$3460,4,0),"")</f>
        <v>2.4125</v>
      </c>
      <c r="E5505">
        <f>IFERROR(VLOOKUP($A5505,原始数据_收盘!$A$4:$G$3460,5,0),"")</f>
        <v>2.8758</v>
      </c>
      <c r="F5505">
        <f>IFERROR(VLOOKUP($A5505,原始数据_收盘!$A$4:$G$3460,6,0),"")</f>
        <v>2.4113</v>
      </c>
      <c r="G5505">
        <f>IFERROR(VLOOKUP($A5505,原始数据_收盘!$A$4:$G$3460,7,0),"")</f>
        <v>2.8746</v>
      </c>
      <c r="H5505">
        <f>IFERROR(VLOOKUP($A5505,原始数据_利率互换_FR007_1年!$A$6:$C$4395,2,0),"")</f>
        <v>2.4078</v>
      </c>
      <c r="I5505">
        <f>IFERROR(VLOOKUP($A5505,原始数据_利率互换_FR007_1年!$A$6:$C$4395,3,0),"")</f>
        <v>2.8763</v>
      </c>
    </row>
    <row r="5506" spans="1:9">
      <c r="A5506" s="6">
        <v>44999</v>
      </c>
      <c r="B5506">
        <f>IFERROR(VLOOKUP($A5506,原始数据_收盘!$A$4:$G$3460,2,0),"")</f>
        <v>2.3994</v>
      </c>
      <c r="C5506">
        <f>IFERROR(VLOOKUP($A5506,原始数据_收盘!$A$4:$G$3460,3,0),"")</f>
        <v>2.8375</v>
      </c>
      <c r="D5506">
        <f>IFERROR(VLOOKUP($A5506,原始数据_收盘!$A$4:$G$3460,4,0),"")</f>
        <v>2.4023</v>
      </c>
      <c r="E5506">
        <f>IFERROR(VLOOKUP($A5506,原始数据_收盘!$A$4:$G$3460,5,0),"")</f>
        <v>2.84</v>
      </c>
      <c r="F5506">
        <f>IFERROR(VLOOKUP($A5506,原始数据_收盘!$A$4:$G$3460,6,0),"")</f>
        <v>2.4008</v>
      </c>
      <c r="G5506">
        <f>IFERROR(VLOOKUP($A5506,原始数据_收盘!$A$4:$G$3460,7,0),"")</f>
        <v>2.8388</v>
      </c>
      <c r="H5506">
        <f>IFERROR(VLOOKUP($A5506,原始数据_利率互换_FR007_1年!$A$6:$C$4395,2,0),"")</f>
        <v>2.4021</v>
      </c>
      <c r="I5506">
        <f>IFERROR(VLOOKUP($A5506,原始数据_利率互换_FR007_1年!$A$6:$C$4395,3,0),"")</f>
        <v>2.8395</v>
      </c>
    </row>
    <row r="5507" spans="1:9">
      <c r="A5507" s="6">
        <v>45000</v>
      </c>
      <c r="B5507">
        <f>IFERROR(VLOOKUP($A5507,原始数据_收盘!$A$4:$G$3460,2,0),"")</f>
        <v>2.4225</v>
      </c>
      <c r="C5507">
        <f>IFERROR(VLOOKUP($A5507,原始数据_收盘!$A$4:$G$3460,3,0),"")</f>
        <v>2.8575</v>
      </c>
      <c r="D5507">
        <f>IFERROR(VLOOKUP($A5507,原始数据_收盘!$A$4:$G$3460,4,0),"")</f>
        <v>2.425</v>
      </c>
      <c r="E5507">
        <f>IFERROR(VLOOKUP($A5507,原始数据_收盘!$A$4:$G$3460,5,0),"")</f>
        <v>2.86</v>
      </c>
      <c r="F5507">
        <f>IFERROR(VLOOKUP($A5507,原始数据_收盘!$A$4:$G$3460,6,0),"")</f>
        <v>2.4238</v>
      </c>
      <c r="G5507">
        <f>IFERROR(VLOOKUP($A5507,原始数据_收盘!$A$4:$G$3460,7,0),"")</f>
        <v>2.8588</v>
      </c>
      <c r="H5507">
        <f>IFERROR(VLOOKUP($A5507,原始数据_利率互换_FR007_1年!$A$6:$C$4395,2,0),"")</f>
        <v>2.4229</v>
      </c>
      <c r="I5507">
        <f>IFERROR(VLOOKUP($A5507,原始数据_利率互换_FR007_1年!$A$6:$C$4395,3,0),"")</f>
        <v>2.8614</v>
      </c>
    </row>
    <row r="5508" spans="1:9">
      <c r="A5508" s="6">
        <v>45001</v>
      </c>
      <c r="B5508">
        <f>IFERROR(VLOOKUP($A5508,原始数据_收盘!$A$4:$G$3460,2,0),"")</f>
        <v>2.4</v>
      </c>
      <c r="C5508">
        <f>IFERROR(VLOOKUP($A5508,原始数据_收盘!$A$4:$G$3460,3,0),"")</f>
        <v>2.8225</v>
      </c>
      <c r="D5508">
        <f>IFERROR(VLOOKUP($A5508,原始数据_收盘!$A$4:$G$3460,4,0),"")</f>
        <v>2.4044</v>
      </c>
      <c r="E5508">
        <f>IFERROR(VLOOKUP($A5508,原始数据_收盘!$A$4:$G$3460,5,0),"")</f>
        <v>2.825</v>
      </c>
      <c r="F5508">
        <f>IFERROR(VLOOKUP($A5508,原始数据_收盘!$A$4:$G$3460,6,0),"")</f>
        <v>2.4022</v>
      </c>
      <c r="G5508">
        <f>IFERROR(VLOOKUP($A5508,原始数据_收盘!$A$4:$G$3460,7,0),"")</f>
        <v>2.8238</v>
      </c>
      <c r="H5508">
        <f>IFERROR(VLOOKUP($A5508,原始数据_利率互换_FR007_1年!$A$6:$C$4395,2,0),"")</f>
        <v>2.4104</v>
      </c>
      <c r="I5508">
        <f>IFERROR(VLOOKUP($A5508,原始数据_利率互换_FR007_1年!$A$6:$C$4395,3,0),"")</f>
        <v>2.8322</v>
      </c>
    </row>
    <row r="5509" spans="1:9">
      <c r="A5509" s="6">
        <v>45002</v>
      </c>
      <c r="B5509">
        <f>IFERROR(VLOOKUP($A5509,原始数据_收盘!$A$4:$G$3460,2,0),"")</f>
        <v>2.3975</v>
      </c>
      <c r="C5509">
        <f>IFERROR(VLOOKUP($A5509,原始数据_收盘!$A$4:$G$3460,3,0),"")</f>
        <v>2.8388</v>
      </c>
      <c r="D5509">
        <f>IFERROR(VLOOKUP($A5509,原始数据_收盘!$A$4:$G$3460,4,0),"")</f>
        <v>2.4</v>
      </c>
      <c r="E5509">
        <f>IFERROR(VLOOKUP($A5509,原始数据_收盘!$A$4:$G$3460,5,0),"")</f>
        <v>2.8415</v>
      </c>
      <c r="F5509">
        <f>IFERROR(VLOOKUP($A5509,原始数据_收盘!$A$4:$G$3460,6,0),"")</f>
        <v>2.3988</v>
      </c>
      <c r="G5509">
        <f>IFERROR(VLOOKUP($A5509,原始数据_收盘!$A$4:$G$3460,7,0),"")</f>
        <v>2.8402</v>
      </c>
      <c r="H5509">
        <f>IFERROR(VLOOKUP($A5509,原始数据_利率互换_FR007_1年!$A$6:$C$4395,2,0),"")</f>
        <v>2.3992</v>
      </c>
      <c r="I5509">
        <f>IFERROR(VLOOKUP($A5509,原始数据_利率互换_FR007_1年!$A$6:$C$4395,3,0),"")</f>
        <v>2.8323</v>
      </c>
    </row>
    <row r="5510" spans="1:9">
      <c r="A5510" s="6">
        <v>45003</v>
      </c>
      <c r="B5510" t="str">
        <f>IFERROR(VLOOKUP($A5510,原始数据_收盘!$A$4:$G$3460,2,0),"")</f>
        <v/>
      </c>
      <c r="C5510" t="str">
        <f>IFERROR(VLOOKUP($A5510,原始数据_收盘!$A$4:$G$3460,3,0),"")</f>
        <v/>
      </c>
      <c r="D5510" t="str">
        <f>IFERROR(VLOOKUP($A5510,原始数据_收盘!$A$4:$G$3460,4,0),"")</f>
        <v/>
      </c>
      <c r="E5510" t="str">
        <f>IFERROR(VLOOKUP($A5510,原始数据_收盘!$A$4:$G$3460,5,0),"")</f>
        <v/>
      </c>
      <c r="F5510" t="str">
        <f>IFERROR(VLOOKUP($A5510,原始数据_收盘!$A$4:$G$3460,6,0),"")</f>
        <v/>
      </c>
      <c r="G5510" t="str">
        <f>IFERROR(VLOOKUP($A5510,原始数据_收盘!$A$4:$G$3460,7,0),"")</f>
        <v/>
      </c>
      <c r="H5510" t="str">
        <f>IFERROR(VLOOKUP($A5510,原始数据_利率互换_FR007_1年!$A$6:$C$4395,2,0),"")</f>
        <v/>
      </c>
      <c r="I5510" t="str">
        <f>IFERROR(VLOOKUP($A5510,原始数据_利率互换_FR007_1年!$A$6:$C$4395,3,0),"")</f>
        <v/>
      </c>
    </row>
    <row r="5511" spans="1:9">
      <c r="A5511" s="6">
        <v>45004</v>
      </c>
      <c r="B5511" t="str">
        <f>IFERROR(VLOOKUP($A5511,原始数据_收盘!$A$4:$G$3460,2,0),"")</f>
        <v/>
      </c>
      <c r="C5511" t="str">
        <f>IFERROR(VLOOKUP($A5511,原始数据_收盘!$A$4:$G$3460,3,0),"")</f>
        <v/>
      </c>
      <c r="D5511" t="str">
        <f>IFERROR(VLOOKUP($A5511,原始数据_收盘!$A$4:$G$3460,4,0),"")</f>
        <v/>
      </c>
      <c r="E5511" t="str">
        <f>IFERROR(VLOOKUP($A5511,原始数据_收盘!$A$4:$G$3460,5,0),"")</f>
        <v/>
      </c>
      <c r="F5511" t="str">
        <f>IFERROR(VLOOKUP($A5511,原始数据_收盘!$A$4:$G$3460,6,0),"")</f>
        <v/>
      </c>
      <c r="G5511" t="str">
        <f>IFERROR(VLOOKUP($A5511,原始数据_收盘!$A$4:$G$3460,7,0),"")</f>
        <v/>
      </c>
      <c r="H5511" t="str">
        <f>IFERROR(VLOOKUP($A5511,原始数据_利率互换_FR007_1年!$A$6:$C$4395,2,0),"")</f>
        <v/>
      </c>
      <c r="I5511" t="str">
        <f>IFERROR(VLOOKUP($A5511,原始数据_利率互换_FR007_1年!$A$6:$C$4395,3,0),"")</f>
        <v/>
      </c>
    </row>
    <row r="5512" spans="1:9">
      <c r="A5512" s="6">
        <v>45005</v>
      </c>
      <c r="B5512">
        <f>IFERROR(VLOOKUP($A5512,原始数据_收盘!$A$4:$G$3460,2,0),"")</f>
        <v>2.3421</v>
      </c>
      <c r="C5512">
        <f>IFERROR(VLOOKUP($A5512,原始数据_收盘!$A$4:$G$3460,3,0),"")</f>
        <v>2.79</v>
      </c>
      <c r="D5512">
        <f>IFERROR(VLOOKUP($A5512,原始数据_收盘!$A$4:$G$3460,4,0),"")</f>
        <v>2.345</v>
      </c>
      <c r="E5512">
        <f>IFERROR(VLOOKUP($A5512,原始数据_收盘!$A$4:$G$3460,5,0),"")</f>
        <v>2.7925</v>
      </c>
      <c r="F5512">
        <f>IFERROR(VLOOKUP($A5512,原始数据_收盘!$A$4:$G$3460,6,0),"")</f>
        <v>2.3435</v>
      </c>
      <c r="G5512">
        <f>IFERROR(VLOOKUP($A5512,原始数据_收盘!$A$4:$G$3460,7,0),"")</f>
        <v>2.7913</v>
      </c>
      <c r="H5512">
        <f>IFERROR(VLOOKUP($A5512,原始数据_利率互换_FR007_1年!$A$6:$C$4395,2,0),"")</f>
        <v>2.3431</v>
      </c>
      <c r="I5512">
        <f>IFERROR(VLOOKUP($A5512,原始数据_利率互换_FR007_1年!$A$6:$C$4395,3,0),"")</f>
        <v>2.8061</v>
      </c>
    </row>
    <row r="5513" spans="1:9">
      <c r="A5513" s="6">
        <v>45006</v>
      </c>
      <c r="B5513">
        <f>IFERROR(VLOOKUP($A5513,原始数据_收盘!$A$4:$G$3460,2,0),"")</f>
        <v>2.38</v>
      </c>
      <c r="C5513">
        <f>IFERROR(VLOOKUP($A5513,原始数据_收盘!$A$4:$G$3460,3,0),"")</f>
        <v>2.8275</v>
      </c>
      <c r="D5513">
        <f>IFERROR(VLOOKUP($A5513,原始数据_收盘!$A$4:$G$3460,4,0),"")</f>
        <v>2.3825</v>
      </c>
      <c r="E5513">
        <f>IFERROR(VLOOKUP($A5513,原始数据_收盘!$A$4:$G$3460,5,0),"")</f>
        <v>2.83</v>
      </c>
      <c r="F5513">
        <f>IFERROR(VLOOKUP($A5513,原始数据_收盘!$A$4:$G$3460,6,0),"")</f>
        <v>2.3813</v>
      </c>
      <c r="G5513">
        <f>IFERROR(VLOOKUP($A5513,原始数据_收盘!$A$4:$G$3460,7,0),"")</f>
        <v>2.8288</v>
      </c>
      <c r="H5513">
        <f>IFERROR(VLOOKUP($A5513,原始数据_利率互换_FR007_1年!$A$6:$C$4395,2,0),"")</f>
        <v>2.3723</v>
      </c>
      <c r="I5513">
        <f>IFERROR(VLOOKUP($A5513,原始数据_利率互换_FR007_1年!$A$6:$C$4395,3,0),"")</f>
        <v>2.8157</v>
      </c>
    </row>
    <row r="5514" spans="1:9">
      <c r="A5514" s="6">
        <v>45007</v>
      </c>
      <c r="B5514">
        <f>IFERROR(VLOOKUP($A5514,原始数据_收盘!$A$4:$G$3460,2,0),"")</f>
        <v>2.3725</v>
      </c>
      <c r="C5514">
        <f>IFERROR(VLOOKUP($A5514,原始数据_收盘!$A$4:$G$3460,3,0),"")</f>
        <v>2.8225</v>
      </c>
      <c r="D5514">
        <f>IFERROR(VLOOKUP($A5514,原始数据_收盘!$A$4:$G$3460,4,0),"")</f>
        <v>2.375</v>
      </c>
      <c r="E5514">
        <f>IFERROR(VLOOKUP($A5514,原始数据_收盘!$A$4:$G$3460,5,0),"")</f>
        <v>2.8252</v>
      </c>
      <c r="F5514">
        <f>IFERROR(VLOOKUP($A5514,原始数据_收盘!$A$4:$G$3460,6,0),"")</f>
        <v>2.3738</v>
      </c>
      <c r="G5514">
        <f>IFERROR(VLOOKUP($A5514,原始数据_收盘!$A$4:$G$3460,7,0),"")</f>
        <v>2.8238</v>
      </c>
      <c r="H5514">
        <f>IFERROR(VLOOKUP($A5514,原始数据_利率互换_FR007_1年!$A$6:$C$4395,2,0),"")</f>
        <v>2.3812</v>
      </c>
      <c r="I5514">
        <f>IFERROR(VLOOKUP($A5514,原始数据_利率互换_FR007_1年!$A$6:$C$4395,3,0),"")</f>
        <v>2.8362</v>
      </c>
    </row>
    <row r="5515" spans="1:9">
      <c r="A5515" s="6">
        <v>45008</v>
      </c>
      <c r="B5515">
        <f>IFERROR(VLOOKUP($A5515,原始数据_收盘!$A$4:$G$3460,2,0),"")</f>
        <v>2.3725</v>
      </c>
      <c r="C5515">
        <f>IFERROR(VLOOKUP($A5515,原始数据_收盘!$A$4:$G$3460,3,0),"")</f>
        <v>2.84</v>
      </c>
      <c r="D5515">
        <f>IFERROR(VLOOKUP($A5515,原始数据_收盘!$A$4:$G$3460,4,0),"")</f>
        <v>2.375</v>
      </c>
      <c r="E5515">
        <f>IFERROR(VLOOKUP($A5515,原始数据_收盘!$A$4:$G$3460,5,0),"")</f>
        <v>2.8425</v>
      </c>
      <c r="F5515">
        <f>IFERROR(VLOOKUP($A5515,原始数据_收盘!$A$4:$G$3460,6,0),"")</f>
        <v>2.3738</v>
      </c>
      <c r="G5515">
        <f>IFERROR(VLOOKUP($A5515,原始数据_收盘!$A$4:$G$3460,7,0),"")</f>
        <v>2.8413</v>
      </c>
      <c r="H5515">
        <f>IFERROR(VLOOKUP($A5515,原始数据_利率互换_FR007_1年!$A$6:$C$4395,2,0),"")</f>
        <v>2.3687</v>
      </c>
      <c r="I5515">
        <f>IFERROR(VLOOKUP($A5515,原始数据_利率互换_FR007_1年!$A$6:$C$4395,3,0),"")</f>
        <v>2.8307</v>
      </c>
    </row>
    <row r="5516" spans="1:9">
      <c r="A5516" s="6">
        <v>45009</v>
      </c>
      <c r="B5516">
        <f>IFERROR(VLOOKUP($A5516,原始数据_收盘!$A$4:$G$3460,2,0),"")</f>
        <v>2.3775</v>
      </c>
      <c r="C5516">
        <f>IFERROR(VLOOKUP($A5516,原始数据_收盘!$A$4:$G$3460,3,0),"")</f>
        <v>2.8448</v>
      </c>
      <c r="D5516">
        <f>IFERROR(VLOOKUP($A5516,原始数据_收盘!$A$4:$G$3460,4,0),"")</f>
        <v>2.38</v>
      </c>
      <c r="E5516">
        <f>IFERROR(VLOOKUP($A5516,原始数据_收盘!$A$4:$G$3460,5,0),"")</f>
        <v>2.8477</v>
      </c>
      <c r="F5516">
        <f>IFERROR(VLOOKUP($A5516,原始数据_收盘!$A$4:$G$3460,6,0),"")</f>
        <v>2.3788</v>
      </c>
      <c r="G5516">
        <f>IFERROR(VLOOKUP($A5516,原始数据_收盘!$A$4:$G$3460,7,0),"")</f>
        <v>2.8463</v>
      </c>
      <c r="H5516">
        <f>IFERROR(VLOOKUP($A5516,原始数据_利率互换_FR007_1年!$A$6:$C$4395,2,0),"")</f>
        <v>2.3804</v>
      </c>
      <c r="I5516">
        <f>IFERROR(VLOOKUP($A5516,原始数据_利率互换_FR007_1年!$A$6:$C$4395,3,0),"")</f>
        <v>2.8498</v>
      </c>
    </row>
    <row r="5517" spans="1:9">
      <c r="A5517" s="6">
        <v>45010</v>
      </c>
      <c r="B5517" t="str">
        <f>IFERROR(VLOOKUP($A5517,原始数据_收盘!$A$4:$G$3460,2,0),"")</f>
        <v/>
      </c>
      <c r="C5517" t="str">
        <f>IFERROR(VLOOKUP($A5517,原始数据_收盘!$A$4:$G$3460,3,0),"")</f>
        <v/>
      </c>
      <c r="D5517" t="str">
        <f>IFERROR(VLOOKUP($A5517,原始数据_收盘!$A$4:$G$3460,4,0),"")</f>
        <v/>
      </c>
      <c r="E5517" t="str">
        <f>IFERROR(VLOOKUP($A5517,原始数据_收盘!$A$4:$G$3460,5,0),"")</f>
        <v/>
      </c>
      <c r="F5517" t="str">
        <f>IFERROR(VLOOKUP($A5517,原始数据_收盘!$A$4:$G$3460,6,0),"")</f>
        <v/>
      </c>
      <c r="G5517" t="str">
        <f>IFERROR(VLOOKUP($A5517,原始数据_收盘!$A$4:$G$3460,7,0),"")</f>
        <v/>
      </c>
      <c r="H5517" t="str">
        <f>IFERROR(VLOOKUP($A5517,原始数据_利率互换_FR007_1年!$A$6:$C$4395,2,0),"")</f>
        <v/>
      </c>
      <c r="I5517" t="str">
        <f>IFERROR(VLOOKUP($A5517,原始数据_利率互换_FR007_1年!$A$6:$C$4395,3,0),"")</f>
        <v/>
      </c>
    </row>
    <row r="5518" spans="1:9">
      <c r="A5518" s="6">
        <v>45011</v>
      </c>
      <c r="B5518" t="str">
        <f>IFERROR(VLOOKUP($A5518,原始数据_收盘!$A$4:$G$3460,2,0),"")</f>
        <v/>
      </c>
      <c r="C5518" t="str">
        <f>IFERROR(VLOOKUP($A5518,原始数据_收盘!$A$4:$G$3460,3,0),"")</f>
        <v/>
      </c>
      <c r="D5518" t="str">
        <f>IFERROR(VLOOKUP($A5518,原始数据_收盘!$A$4:$G$3460,4,0),"")</f>
        <v/>
      </c>
      <c r="E5518" t="str">
        <f>IFERROR(VLOOKUP($A5518,原始数据_收盘!$A$4:$G$3460,5,0),"")</f>
        <v/>
      </c>
      <c r="F5518" t="str">
        <f>IFERROR(VLOOKUP($A5518,原始数据_收盘!$A$4:$G$3460,6,0),"")</f>
        <v/>
      </c>
      <c r="G5518" t="str">
        <f>IFERROR(VLOOKUP($A5518,原始数据_收盘!$A$4:$G$3460,7,0),"")</f>
        <v/>
      </c>
      <c r="H5518" t="str">
        <f>IFERROR(VLOOKUP($A5518,原始数据_利率互换_FR007_1年!$A$6:$C$4395,2,0),"")</f>
        <v/>
      </c>
      <c r="I5518" t="str">
        <f>IFERROR(VLOOKUP($A5518,原始数据_利率互换_FR007_1年!$A$6:$C$4395,3,0),"")</f>
        <v/>
      </c>
    </row>
    <row r="5519" spans="1:9">
      <c r="A5519" s="6">
        <v>45012</v>
      </c>
      <c r="B5519">
        <f>IFERROR(VLOOKUP($A5519,原始数据_收盘!$A$4:$G$3460,2,0),"")</f>
        <v>2.3604</v>
      </c>
      <c r="C5519">
        <f>IFERROR(VLOOKUP($A5519,原始数据_收盘!$A$4:$G$3460,3,0),"")</f>
        <v>2.8125</v>
      </c>
      <c r="D5519">
        <f>IFERROR(VLOOKUP($A5519,原始数据_收盘!$A$4:$G$3460,4,0),"")</f>
        <v>2.3627</v>
      </c>
      <c r="E5519">
        <f>IFERROR(VLOOKUP($A5519,原始数据_收盘!$A$4:$G$3460,5,0),"")</f>
        <v>2.815</v>
      </c>
      <c r="F5519">
        <f>IFERROR(VLOOKUP($A5519,原始数据_收盘!$A$4:$G$3460,6,0),"")</f>
        <v>2.3616</v>
      </c>
      <c r="G5519">
        <f>IFERROR(VLOOKUP($A5519,原始数据_收盘!$A$4:$G$3460,7,0),"")</f>
        <v>2.8138</v>
      </c>
      <c r="H5519">
        <f>IFERROR(VLOOKUP($A5519,原始数据_利率互换_FR007_1年!$A$6:$C$4395,2,0),"")</f>
        <v>2.3633</v>
      </c>
      <c r="I5519">
        <f>IFERROR(VLOOKUP($A5519,原始数据_利率互换_FR007_1年!$A$6:$C$4395,3,0),"")</f>
        <v>2.8229</v>
      </c>
    </row>
    <row r="5520" spans="1:9">
      <c r="A5520" s="6">
        <v>45013</v>
      </c>
      <c r="B5520">
        <f>IFERROR(VLOOKUP($A5520,原始数据_收盘!$A$4:$G$3460,2,0),"")</f>
        <v>2.37</v>
      </c>
      <c r="C5520">
        <f>IFERROR(VLOOKUP($A5520,原始数据_收盘!$A$4:$G$3460,3,0),"")</f>
        <v>2.8225</v>
      </c>
      <c r="D5520">
        <f>IFERROR(VLOOKUP($A5520,原始数据_收盘!$A$4:$G$3460,4,0),"")</f>
        <v>2.3735</v>
      </c>
      <c r="E5520">
        <f>IFERROR(VLOOKUP($A5520,原始数据_收盘!$A$4:$G$3460,5,0),"")</f>
        <v>2.825</v>
      </c>
      <c r="F5520">
        <f>IFERROR(VLOOKUP($A5520,原始数据_收盘!$A$4:$G$3460,6,0),"")</f>
        <v>2.3718</v>
      </c>
      <c r="G5520">
        <f>IFERROR(VLOOKUP($A5520,原始数据_收盘!$A$4:$G$3460,7,0),"")</f>
        <v>2.8238</v>
      </c>
      <c r="H5520">
        <f>IFERROR(VLOOKUP($A5520,原始数据_利率互换_FR007_1年!$A$6:$C$4395,2,0),"")</f>
        <v>2.3752</v>
      </c>
      <c r="I5520">
        <f>IFERROR(VLOOKUP($A5520,原始数据_利率互换_FR007_1年!$A$6:$C$4395,3,0),"")</f>
        <v>2.8217</v>
      </c>
    </row>
    <row r="5521" spans="1:9">
      <c r="A5521" s="6">
        <v>45014</v>
      </c>
      <c r="B5521">
        <f>IFERROR(VLOOKUP($A5521,原始数据_收盘!$A$4:$G$3460,2,0),"")</f>
        <v>2.3625</v>
      </c>
      <c r="C5521">
        <f>IFERROR(VLOOKUP($A5521,原始数据_收盘!$A$4:$G$3460,3,0),"")</f>
        <v>2.8175</v>
      </c>
      <c r="D5521">
        <f>IFERROR(VLOOKUP($A5521,原始数据_收盘!$A$4:$G$3460,4,0),"")</f>
        <v>2.365</v>
      </c>
      <c r="E5521">
        <f>IFERROR(VLOOKUP($A5521,原始数据_收盘!$A$4:$G$3460,5,0),"")</f>
        <v>2.82</v>
      </c>
      <c r="F5521">
        <f>IFERROR(VLOOKUP($A5521,原始数据_收盘!$A$4:$G$3460,6,0),"")</f>
        <v>2.3638</v>
      </c>
      <c r="G5521">
        <f>IFERROR(VLOOKUP($A5521,原始数据_收盘!$A$4:$G$3460,7,0),"")</f>
        <v>2.8188</v>
      </c>
      <c r="H5521">
        <f>IFERROR(VLOOKUP($A5521,原始数据_利率互换_FR007_1年!$A$6:$C$4395,2,0),"")</f>
        <v>2.3715</v>
      </c>
      <c r="I5521">
        <f>IFERROR(VLOOKUP($A5521,原始数据_利率互换_FR007_1年!$A$6:$C$4395,3,0),"")</f>
        <v>2.8279</v>
      </c>
    </row>
    <row r="5522" spans="1:9">
      <c r="A5522" s="6">
        <v>45015</v>
      </c>
      <c r="B5522">
        <f>IFERROR(VLOOKUP($A5522,原始数据_收盘!$A$4:$G$3460,2,0),"")</f>
        <v>2.3634</v>
      </c>
      <c r="C5522">
        <f>IFERROR(VLOOKUP($A5522,原始数据_收盘!$A$4:$G$3460,3,0),"")</f>
        <v>2.8286</v>
      </c>
      <c r="D5522">
        <f>IFERROR(VLOOKUP($A5522,原始数据_收盘!$A$4:$G$3460,4,0),"")</f>
        <v>2.366</v>
      </c>
      <c r="E5522">
        <f>IFERROR(VLOOKUP($A5522,原始数据_收盘!$A$4:$G$3460,5,0),"")</f>
        <v>2.8303</v>
      </c>
      <c r="F5522">
        <f>IFERROR(VLOOKUP($A5522,原始数据_收盘!$A$4:$G$3460,6,0),"")</f>
        <v>2.3647</v>
      </c>
      <c r="G5522">
        <f>IFERROR(VLOOKUP($A5522,原始数据_收盘!$A$4:$G$3460,7,0),"")</f>
        <v>2.8295</v>
      </c>
      <c r="H5522">
        <f>IFERROR(VLOOKUP($A5522,原始数据_利率互换_FR007_1年!$A$6:$C$4395,2,0),"")</f>
        <v>2.3631</v>
      </c>
      <c r="I5522">
        <f>IFERROR(VLOOKUP($A5522,原始数据_利率互换_FR007_1年!$A$6:$C$4395,3,0),"")</f>
        <v>2.8227</v>
      </c>
    </row>
    <row r="5523" spans="1:9">
      <c r="A5523" s="6">
        <v>45016</v>
      </c>
      <c r="B5523">
        <f>IFERROR(VLOOKUP($A5523,原始数据_收盘!$A$4:$G$3460,2,0),"")</f>
        <v>2.335</v>
      </c>
      <c r="C5523">
        <f>IFERROR(VLOOKUP($A5523,原始数据_收盘!$A$4:$G$3460,3,0),"")</f>
        <v>2.82</v>
      </c>
      <c r="D5523">
        <f>IFERROR(VLOOKUP($A5523,原始数据_收盘!$A$4:$G$3460,4,0),"")</f>
        <v>2.3375</v>
      </c>
      <c r="E5523">
        <f>IFERROR(VLOOKUP($A5523,原始数据_收盘!$A$4:$G$3460,5,0),"")</f>
        <v>2.8225</v>
      </c>
      <c r="F5523">
        <f>IFERROR(VLOOKUP($A5523,原始数据_收盘!$A$4:$G$3460,6,0),"")</f>
        <v>2.3363</v>
      </c>
      <c r="G5523">
        <f>IFERROR(VLOOKUP($A5523,原始数据_收盘!$A$4:$G$3460,7,0),"")</f>
        <v>2.8213</v>
      </c>
      <c r="H5523">
        <f>IFERROR(VLOOKUP($A5523,原始数据_利率互换_FR007_1年!$A$6:$C$4395,2,0),"")</f>
        <v>2.3523</v>
      </c>
      <c r="I5523">
        <f>IFERROR(VLOOKUP($A5523,原始数据_利率互换_FR007_1年!$A$6:$C$4395,3,0),"")</f>
        <v>2.8285</v>
      </c>
    </row>
    <row r="5524" spans="1:9">
      <c r="A5524" s="6">
        <v>45017</v>
      </c>
      <c r="B5524" t="str">
        <f>IFERROR(VLOOKUP($A5524,原始数据_收盘!$A$4:$G$3460,2,0),"")</f>
        <v/>
      </c>
      <c r="C5524" t="str">
        <f>IFERROR(VLOOKUP($A5524,原始数据_收盘!$A$4:$G$3460,3,0),"")</f>
        <v/>
      </c>
      <c r="D5524" t="str">
        <f>IFERROR(VLOOKUP($A5524,原始数据_收盘!$A$4:$G$3460,4,0),"")</f>
        <v/>
      </c>
      <c r="E5524" t="str">
        <f>IFERROR(VLOOKUP($A5524,原始数据_收盘!$A$4:$G$3460,5,0),"")</f>
        <v/>
      </c>
      <c r="F5524" t="str">
        <f>IFERROR(VLOOKUP($A5524,原始数据_收盘!$A$4:$G$3460,6,0),"")</f>
        <v/>
      </c>
      <c r="G5524" t="str">
        <f>IFERROR(VLOOKUP($A5524,原始数据_收盘!$A$4:$G$3460,7,0),"")</f>
        <v/>
      </c>
      <c r="H5524" t="str">
        <f>IFERROR(VLOOKUP($A5524,原始数据_利率互换_FR007_1年!$A$6:$C$4395,2,0),"")</f>
        <v/>
      </c>
      <c r="I5524" t="str">
        <f>IFERROR(VLOOKUP($A5524,原始数据_利率互换_FR007_1年!$A$6:$C$4395,3,0),"")</f>
        <v/>
      </c>
    </row>
    <row r="5525" spans="1:9">
      <c r="A5525" s="6">
        <v>45018</v>
      </c>
      <c r="B5525" t="str">
        <f>IFERROR(VLOOKUP($A5525,原始数据_收盘!$A$4:$G$3460,2,0),"")</f>
        <v/>
      </c>
      <c r="C5525" t="str">
        <f>IFERROR(VLOOKUP($A5525,原始数据_收盘!$A$4:$G$3460,3,0),"")</f>
        <v/>
      </c>
      <c r="D5525" t="str">
        <f>IFERROR(VLOOKUP($A5525,原始数据_收盘!$A$4:$G$3460,4,0),"")</f>
        <v/>
      </c>
      <c r="E5525" t="str">
        <f>IFERROR(VLOOKUP($A5525,原始数据_收盘!$A$4:$G$3460,5,0),"")</f>
        <v/>
      </c>
      <c r="F5525" t="str">
        <f>IFERROR(VLOOKUP($A5525,原始数据_收盘!$A$4:$G$3460,6,0),"")</f>
        <v/>
      </c>
      <c r="G5525" t="str">
        <f>IFERROR(VLOOKUP($A5525,原始数据_收盘!$A$4:$G$3460,7,0),"")</f>
        <v/>
      </c>
      <c r="H5525" t="str">
        <f>IFERROR(VLOOKUP($A5525,原始数据_利率互换_FR007_1年!$A$6:$C$4395,2,0),"")</f>
        <v/>
      </c>
      <c r="I5525" t="str">
        <f>IFERROR(VLOOKUP($A5525,原始数据_利率互换_FR007_1年!$A$6:$C$4395,3,0),"")</f>
        <v/>
      </c>
    </row>
    <row r="5526" spans="1:9">
      <c r="A5526" s="6">
        <v>45019</v>
      </c>
      <c r="B5526">
        <f>IFERROR(VLOOKUP($A5526,原始数据_收盘!$A$4:$G$3460,2,0),"")</f>
        <v>2.3475</v>
      </c>
      <c r="C5526">
        <f>IFERROR(VLOOKUP($A5526,原始数据_收盘!$A$4:$G$3460,3,0),"")</f>
        <v>2.835</v>
      </c>
      <c r="D5526">
        <f>IFERROR(VLOOKUP($A5526,原始数据_收盘!$A$4:$G$3460,4,0),"")</f>
        <v>2.35</v>
      </c>
      <c r="E5526">
        <f>IFERROR(VLOOKUP($A5526,原始数据_收盘!$A$4:$G$3460,5,0),"")</f>
        <v>2.8383</v>
      </c>
      <c r="F5526">
        <f>IFERROR(VLOOKUP($A5526,原始数据_收盘!$A$4:$G$3460,6,0),"")</f>
        <v>2.3488</v>
      </c>
      <c r="G5526">
        <f>IFERROR(VLOOKUP($A5526,原始数据_收盘!$A$4:$G$3460,7,0),"")</f>
        <v>2.8367</v>
      </c>
      <c r="H5526">
        <f>IFERROR(VLOOKUP($A5526,原始数据_利率互换_FR007_1年!$A$6:$C$4395,2,0),"")</f>
        <v>2.339</v>
      </c>
      <c r="I5526">
        <f>IFERROR(VLOOKUP($A5526,原始数据_利率互换_FR007_1年!$A$6:$C$4395,3,0),"")</f>
        <v>2.8303</v>
      </c>
    </row>
    <row r="5527" spans="1:9">
      <c r="A5527" s="6">
        <v>45020</v>
      </c>
      <c r="B5527">
        <f>IFERROR(VLOOKUP($A5527,原始数据_收盘!$A$4:$G$3460,2,0),"")</f>
        <v>2.36</v>
      </c>
      <c r="C5527">
        <f>IFERROR(VLOOKUP($A5527,原始数据_收盘!$A$4:$G$3460,3,0),"")</f>
        <v>2.845</v>
      </c>
      <c r="D5527">
        <f>IFERROR(VLOOKUP($A5527,原始数据_收盘!$A$4:$G$3460,4,0),"")</f>
        <v>2.3625</v>
      </c>
      <c r="E5527">
        <f>IFERROR(VLOOKUP($A5527,原始数据_收盘!$A$4:$G$3460,5,0),"")</f>
        <v>2.8475</v>
      </c>
      <c r="F5527">
        <f>IFERROR(VLOOKUP($A5527,原始数据_收盘!$A$4:$G$3460,6,0),"")</f>
        <v>2.3613</v>
      </c>
      <c r="G5527">
        <f>IFERROR(VLOOKUP($A5527,原始数据_收盘!$A$4:$G$3460,7,0),"")</f>
        <v>2.8463</v>
      </c>
      <c r="H5527">
        <f>IFERROR(VLOOKUP($A5527,原始数据_利率互换_FR007_1年!$A$6:$C$4395,2,0),"")</f>
        <v>2.3536</v>
      </c>
      <c r="I5527">
        <f>IFERROR(VLOOKUP($A5527,原始数据_利率互换_FR007_1年!$A$6:$C$4395,3,0),"")</f>
        <v>2.8412</v>
      </c>
    </row>
    <row r="5528" spans="1:9">
      <c r="A5528" s="6">
        <v>45021</v>
      </c>
      <c r="B5528" t="str">
        <f>IFERROR(VLOOKUP($A5528,原始数据_收盘!$A$4:$G$3460,2,0),"")</f>
        <v/>
      </c>
      <c r="C5528" t="str">
        <f>IFERROR(VLOOKUP($A5528,原始数据_收盘!$A$4:$G$3460,3,0),"")</f>
        <v/>
      </c>
      <c r="D5528" t="str">
        <f>IFERROR(VLOOKUP($A5528,原始数据_收盘!$A$4:$G$3460,4,0),"")</f>
        <v/>
      </c>
      <c r="E5528" t="str">
        <f>IFERROR(VLOOKUP($A5528,原始数据_收盘!$A$4:$G$3460,5,0),"")</f>
        <v/>
      </c>
      <c r="F5528" t="str">
        <f>IFERROR(VLOOKUP($A5528,原始数据_收盘!$A$4:$G$3460,6,0),"")</f>
        <v/>
      </c>
      <c r="G5528" t="str">
        <f>IFERROR(VLOOKUP($A5528,原始数据_收盘!$A$4:$G$3460,7,0),"")</f>
        <v/>
      </c>
      <c r="H5528" t="str">
        <f>IFERROR(VLOOKUP($A5528,原始数据_利率互换_FR007_1年!$A$6:$C$4395,2,0),"")</f>
        <v/>
      </c>
      <c r="I5528" t="str">
        <f>IFERROR(VLOOKUP($A5528,原始数据_利率互换_FR007_1年!$A$6:$C$4395,3,0),"")</f>
        <v/>
      </c>
    </row>
    <row r="5529" spans="1:9">
      <c r="A5529" s="6">
        <v>45022</v>
      </c>
      <c r="B5529">
        <f>IFERROR(VLOOKUP($A5529,原始数据_收盘!$A$4:$G$3460,2,0),"")</f>
        <v>2.3875</v>
      </c>
      <c r="C5529">
        <f>IFERROR(VLOOKUP($A5529,原始数据_收盘!$A$4:$G$3460,3,0),"")</f>
        <v>2.8579</v>
      </c>
      <c r="D5529">
        <f>IFERROR(VLOOKUP($A5529,原始数据_收盘!$A$4:$G$3460,4,0),"")</f>
        <v>2.3925</v>
      </c>
      <c r="E5529">
        <f>IFERROR(VLOOKUP($A5529,原始数据_收盘!$A$4:$G$3460,5,0),"")</f>
        <v>2.8607</v>
      </c>
      <c r="F5529">
        <f>IFERROR(VLOOKUP($A5529,原始数据_收盘!$A$4:$G$3460,6,0),"")</f>
        <v>2.39</v>
      </c>
      <c r="G5529">
        <f>IFERROR(VLOOKUP($A5529,原始数据_收盘!$A$4:$G$3460,7,0),"")</f>
        <v>2.8593</v>
      </c>
      <c r="H5529">
        <f>IFERROR(VLOOKUP($A5529,原始数据_利率互换_FR007_1年!$A$6:$C$4395,2,0),"")</f>
        <v>2.3853</v>
      </c>
      <c r="I5529">
        <f>IFERROR(VLOOKUP($A5529,原始数据_利率互换_FR007_1年!$A$6:$C$4395,3,0),"")</f>
        <v>2.8576</v>
      </c>
    </row>
    <row r="5530" spans="1:9">
      <c r="A5530" s="6">
        <v>45023</v>
      </c>
      <c r="B5530">
        <f>IFERROR(VLOOKUP($A5530,原始数据_收盘!$A$4:$G$3460,2,0),"")</f>
        <v>2.3725</v>
      </c>
      <c r="C5530">
        <f>IFERROR(VLOOKUP($A5530,原始数据_收盘!$A$4:$G$3460,3,0),"")</f>
        <v>2.8431</v>
      </c>
      <c r="D5530">
        <f>IFERROR(VLOOKUP($A5530,原始数据_收盘!$A$4:$G$3460,4,0),"")</f>
        <v>2.375</v>
      </c>
      <c r="E5530">
        <f>IFERROR(VLOOKUP($A5530,原始数据_收盘!$A$4:$G$3460,5,0),"")</f>
        <v>2.8475</v>
      </c>
      <c r="F5530">
        <f>IFERROR(VLOOKUP($A5530,原始数据_收盘!$A$4:$G$3460,6,0),"")</f>
        <v>2.3738</v>
      </c>
      <c r="G5530">
        <f>IFERROR(VLOOKUP($A5530,原始数据_收盘!$A$4:$G$3460,7,0),"")</f>
        <v>2.8453</v>
      </c>
      <c r="H5530">
        <f>IFERROR(VLOOKUP($A5530,原始数据_利率互换_FR007_1年!$A$6:$C$4395,2,0),"")</f>
        <v>2.3904</v>
      </c>
      <c r="I5530">
        <f>IFERROR(VLOOKUP($A5530,原始数据_利率互换_FR007_1年!$A$6:$C$4395,3,0),"")</f>
        <v>2.8625</v>
      </c>
    </row>
    <row r="5531" spans="1:9">
      <c r="A5531" s="6">
        <v>45024</v>
      </c>
      <c r="B5531" t="str">
        <f>IFERROR(VLOOKUP($A5531,原始数据_收盘!$A$4:$G$3460,2,0),"")</f>
        <v/>
      </c>
      <c r="C5531" t="str">
        <f>IFERROR(VLOOKUP($A5531,原始数据_收盘!$A$4:$G$3460,3,0),"")</f>
        <v/>
      </c>
      <c r="D5531" t="str">
        <f>IFERROR(VLOOKUP($A5531,原始数据_收盘!$A$4:$G$3460,4,0),"")</f>
        <v/>
      </c>
      <c r="E5531" t="str">
        <f>IFERROR(VLOOKUP($A5531,原始数据_收盘!$A$4:$G$3460,5,0),"")</f>
        <v/>
      </c>
      <c r="F5531" t="str">
        <f>IFERROR(VLOOKUP($A5531,原始数据_收盘!$A$4:$G$3460,6,0),"")</f>
        <v/>
      </c>
      <c r="G5531" t="str">
        <f>IFERROR(VLOOKUP($A5531,原始数据_收盘!$A$4:$G$3460,7,0),"")</f>
        <v/>
      </c>
      <c r="H5531" t="str">
        <f>IFERROR(VLOOKUP($A5531,原始数据_利率互换_FR007_1年!$A$6:$C$4395,2,0),"")</f>
        <v/>
      </c>
      <c r="I5531" t="str">
        <f>IFERROR(VLOOKUP($A5531,原始数据_利率互换_FR007_1年!$A$6:$C$4395,3,0),"")</f>
        <v/>
      </c>
    </row>
    <row r="5532" spans="1:9">
      <c r="A5532" s="6">
        <v>45025</v>
      </c>
      <c r="B5532" t="str">
        <f>IFERROR(VLOOKUP($A5532,原始数据_收盘!$A$4:$G$3460,2,0),"")</f>
        <v/>
      </c>
      <c r="C5532" t="str">
        <f>IFERROR(VLOOKUP($A5532,原始数据_收盘!$A$4:$G$3460,3,0),"")</f>
        <v/>
      </c>
      <c r="D5532" t="str">
        <f>IFERROR(VLOOKUP($A5532,原始数据_收盘!$A$4:$G$3460,4,0),"")</f>
        <v/>
      </c>
      <c r="E5532" t="str">
        <f>IFERROR(VLOOKUP($A5532,原始数据_收盘!$A$4:$G$3460,5,0),"")</f>
        <v/>
      </c>
      <c r="F5532" t="str">
        <f>IFERROR(VLOOKUP($A5532,原始数据_收盘!$A$4:$G$3460,6,0),"")</f>
        <v/>
      </c>
      <c r="G5532" t="str">
        <f>IFERROR(VLOOKUP($A5532,原始数据_收盘!$A$4:$G$3460,7,0),"")</f>
        <v/>
      </c>
      <c r="H5532" t="str">
        <f>IFERROR(VLOOKUP($A5532,原始数据_利率互换_FR007_1年!$A$6:$C$4395,2,0),"")</f>
        <v/>
      </c>
      <c r="I5532" t="str">
        <f>IFERROR(VLOOKUP($A5532,原始数据_利率互换_FR007_1年!$A$6:$C$4395,3,0),"")</f>
        <v/>
      </c>
    </row>
    <row r="5533" spans="1:9">
      <c r="A5533" s="6">
        <v>45026</v>
      </c>
      <c r="B5533">
        <f>IFERROR(VLOOKUP($A5533,原始数据_收盘!$A$4:$G$3460,2,0),"")</f>
        <v>2.3875</v>
      </c>
      <c r="C5533">
        <f>IFERROR(VLOOKUP($A5533,原始数据_收盘!$A$4:$G$3460,3,0),"")</f>
        <v>2.8525</v>
      </c>
      <c r="D5533">
        <f>IFERROR(VLOOKUP($A5533,原始数据_收盘!$A$4:$G$3460,4,0),"")</f>
        <v>2.39</v>
      </c>
      <c r="E5533">
        <f>IFERROR(VLOOKUP($A5533,原始数据_收盘!$A$4:$G$3460,5,0),"")</f>
        <v>2.855</v>
      </c>
      <c r="F5533">
        <f>IFERROR(VLOOKUP($A5533,原始数据_收盘!$A$4:$G$3460,6,0),"")</f>
        <v>2.3888</v>
      </c>
      <c r="G5533">
        <f>IFERROR(VLOOKUP($A5533,原始数据_收盘!$A$4:$G$3460,7,0),"")</f>
        <v>2.8538</v>
      </c>
      <c r="H5533">
        <f>IFERROR(VLOOKUP($A5533,原始数据_利率互换_FR007_1年!$A$6:$C$4395,2,0),"")</f>
        <v>2.3852</v>
      </c>
      <c r="I5533">
        <f>IFERROR(VLOOKUP($A5533,原始数据_利率互换_FR007_1年!$A$6:$C$4395,3,0),"")</f>
        <v>2.8525</v>
      </c>
    </row>
    <row r="5534" spans="1:9">
      <c r="A5534" s="6">
        <v>45027</v>
      </c>
      <c r="B5534">
        <f>IFERROR(VLOOKUP($A5534,原始数据_收盘!$A$4:$G$3460,2,0),"")</f>
        <v>2.37</v>
      </c>
      <c r="C5534">
        <f>IFERROR(VLOOKUP($A5534,原始数据_收盘!$A$4:$G$3460,3,0),"")</f>
        <v>2.8209</v>
      </c>
      <c r="D5534">
        <f>IFERROR(VLOOKUP($A5534,原始数据_收盘!$A$4:$G$3460,4,0),"")</f>
        <v>2.375</v>
      </c>
      <c r="E5534">
        <f>IFERROR(VLOOKUP($A5534,原始数据_收盘!$A$4:$G$3460,5,0),"")</f>
        <v>2.825</v>
      </c>
      <c r="F5534">
        <f>IFERROR(VLOOKUP($A5534,原始数据_收盘!$A$4:$G$3460,6,0),"")</f>
        <v>2.3725</v>
      </c>
      <c r="G5534">
        <f>IFERROR(VLOOKUP($A5534,原始数据_收盘!$A$4:$G$3460,7,0),"")</f>
        <v>2.8229</v>
      </c>
      <c r="H5534">
        <f>IFERROR(VLOOKUP($A5534,原始数据_利率互换_FR007_1年!$A$6:$C$4395,2,0),"")</f>
        <v>2.3776</v>
      </c>
      <c r="I5534">
        <f>IFERROR(VLOOKUP($A5534,原始数据_利率互换_FR007_1年!$A$6:$C$4395,3,0),"")</f>
        <v>2.8301</v>
      </c>
    </row>
    <row r="5535" spans="1:9">
      <c r="A5535" s="6">
        <v>45028</v>
      </c>
      <c r="B5535">
        <f>IFERROR(VLOOKUP($A5535,原始数据_收盘!$A$4:$G$3460,2,0),"")</f>
        <v>2.3675</v>
      </c>
      <c r="C5535">
        <f>IFERROR(VLOOKUP($A5535,原始数据_收盘!$A$4:$G$3460,3,0),"")</f>
        <v>2.815</v>
      </c>
      <c r="D5535">
        <f>IFERROR(VLOOKUP($A5535,原始数据_收盘!$A$4:$G$3460,4,0),"")</f>
        <v>2.37</v>
      </c>
      <c r="E5535">
        <f>IFERROR(VLOOKUP($A5535,原始数据_收盘!$A$4:$G$3460,5,0),"")</f>
        <v>2.8175</v>
      </c>
      <c r="F5535">
        <f>IFERROR(VLOOKUP($A5535,原始数据_收盘!$A$4:$G$3460,6,0),"")</f>
        <v>2.3688</v>
      </c>
      <c r="G5535">
        <f>IFERROR(VLOOKUP($A5535,原始数据_收盘!$A$4:$G$3460,7,0),"")</f>
        <v>2.8163</v>
      </c>
      <c r="H5535">
        <f>IFERROR(VLOOKUP($A5535,原始数据_利率互换_FR007_1年!$A$6:$C$4395,2,0),"")</f>
        <v>2.3695</v>
      </c>
      <c r="I5535">
        <f>IFERROR(VLOOKUP($A5535,原始数据_利率互换_FR007_1年!$A$6:$C$4395,3,0),"")</f>
        <v>2.8144</v>
      </c>
    </row>
    <row r="5536" spans="1:9">
      <c r="A5536" s="6">
        <v>45029</v>
      </c>
      <c r="B5536">
        <f>IFERROR(VLOOKUP($A5536,原始数据_收盘!$A$4:$G$3460,2,0),"")</f>
        <v>2.38</v>
      </c>
      <c r="C5536">
        <f>IFERROR(VLOOKUP($A5536,原始数据_收盘!$A$4:$G$3460,3,0),"")</f>
        <v>2.83</v>
      </c>
      <c r="D5536">
        <f>IFERROR(VLOOKUP($A5536,原始数据_收盘!$A$4:$G$3460,4,0),"")</f>
        <v>2.385</v>
      </c>
      <c r="E5536">
        <f>IFERROR(VLOOKUP($A5536,原始数据_收盘!$A$4:$G$3460,5,0),"")</f>
        <v>2.8325</v>
      </c>
      <c r="F5536">
        <f>IFERROR(VLOOKUP($A5536,原始数据_收盘!$A$4:$G$3460,6,0),"")</f>
        <v>2.3825</v>
      </c>
      <c r="G5536">
        <f>IFERROR(VLOOKUP($A5536,原始数据_收盘!$A$4:$G$3460,7,0),"")</f>
        <v>2.8313</v>
      </c>
      <c r="H5536">
        <f>IFERROR(VLOOKUP($A5536,原始数据_利率互换_FR007_1年!$A$6:$C$4395,2,0),"")</f>
        <v>2.3792</v>
      </c>
      <c r="I5536">
        <f>IFERROR(VLOOKUP($A5536,原始数据_利率互换_FR007_1年!$A$6:$C$4395,3,0),"")</f>
        <v>2.8284</v>
      </c>
    </row>
    <row r="5537" spans="1:9">
      <c r="A5537" s="6">
        <v>45030</v>
      </c>
      <c r="B5537">
        <f>IFERROR(VLOOKUP($A5537,原始数据_收盘!$A$4:$G$3460,2,0),"")</f>
        <v>2.3675</v>
      </c>
      <c r="C5537">
        <f>IFERROR(VLOOKUP($A5537,原始数据_收盘!$A$4:$G$3460,3,0),"")</f>
        <v>2.83</v>
      </c>
      <c r="D5537">
        <f>IFERROR(VLOOKUP($A5537,原始数据_收盘!$A$4:$G$3460,4,0),"")</f>
        <v>2.37</v>
      </c>
      <c r="E5537">
        <f>IFERROR(VLOOKUP($A5537,原始数据_收盘!$A$4:$G$3460,5,0),"")</f>
        <v>2.8325</v>
      </c>
      <c r="F5537">
        <f>IFERROR(VLOOKUP($A5537,原始数据_收盘!$A$4:$G$3460,6,0),"")</f>
        <v>2.3688</v>
      </c>
      <c r="G5537">
        <f>IFERROR(VLOOKUP($A5537,原始数据_收盘!$A$4:$G$3460,7,0),"")</f>
        <v>2.8313</v>
      </c>
      <c r="H5537">
        <f>IFERROR(VLOOKUP($A5537,原始数据_利率互换_FR007_1年!$A$6:$C$4395,2,0),"")</f>
        <v>2.3704</v>
      </c>
      <c r="I5537">
        <f>IFERROR(VLOOKUP($A5537,原始数据_利率互换_FR007_1年!$A$6:$C$4395,3,0),"")</f>
        <v>2.831</v>
      </c>
    </row>
    <row r="5538" spans="1:9">
      <c r="A5538" s="6">
        <v>45031</v>
      </c>
      <c r="B5538" t="str">
        <f>IFERROR(VLOOKUP($A5538,原始数据_收盘!$A$4:$G$3460,2,0),"")</f>
        <v/>
      </c>
      <c r="C5538" t="str">
        <f>IFERROR(VLOOKUP($A5538,原始数据_收盘!$A$4:$G$3460,3,0),"")</f>
        <v/>
      </c>
      <c r="D5538" t="str">
        <f>IFERROR(VLOOKUP($A5538,原始数据_收盘!$A$4:$G$3460,4,0),"")</f>
        <v/>
      </c>
      <c r="E5538" t="str">
        <f>IFERROR(VLOOKUP($A5538,原始数据_收盘!$A$4:$G$3460,5,0),"")</f>
        <v/>
      </c>
      <c r="F5538" t="str">
        <f>IFERROR(VLOOKUP($A5538,原始数据_收盘!$A$4:$G$3460,6,0),"")</f>
        <v/>
      </c>
      <c r="G5538" t="str">
        <f>IFERROR(VLOOKUP($A5538,原始数据_收盘!$A$4:$G$3460,7,0),"")</f>
        <v/>
      </c>
      <c r="H5538" t="str">
        <f>IFERROR(VLOOKUP($A5538,原始数据_利率互换_FR007_1年!$A$6:$C$4395,2,0),"")</f>
        <v/>
      </c>
      <c r="I5538" t="str">
        <f>IFERROR(VLOOKUP($A5538,原始数据_利率互换_FR007_1年!$A$6:$C$4395,3,0),"")</f>
        <v/>
      </c>
    </row>
    <row r="5539" spans="1:9">
      <c r="A5539" s="6">
        <v>45032</v>
      </c>
      <c r="B5539" t="str">
        <f>IFERROR(VLOOKUP($A5539,原始数据_收盘!$A$4:$G$3460,2,0),"")</f>
        <v/>
      </c>
      <c r="C5539" t="str">
        <f>IFERROR(VLOOKUP($A5539,原始数据_收盘!$A$4:$G$3460,3,0),"")</f>
        <v/>
      </c>
      <c r="D5539" t="str">
        <f>IFERROR(VLOOKUP($A5539,原始数据_收盘!$A$4:$G$3460,4,0),"")</f>
        <v/>
      </c>
      <c r="E5539" t="str">
        <f>IFERROR(VLOOKUP($A5539,原始数据_收盘!$A$4:$G$3460,5,0),"")</f>
        <v/>
      </c>
      <c r="F5539" t="str">
        <f>IFERROR(VLOOKUP($A5539,原始数据_收盘!$A$4:$G$3460,6,0),"")</f>
        <v/>
      </c>
      <c r="G5539" t="str">
        <f>IFERROR(VLOOKUP($A5539,原始数据_收盘!$A$4:$G$3460,7,0),"")</f>
        <v/>
      </c>
      <c r="H5539" t="str">
        <f>IFERROR(VLOOKUP($A5539,原始数据_利率互换_FR007_1年!$A$6:$C$4395,2,0),"")</f>
        <v/>
      </c>
      <c r="I5539" t="str">
        <f>IFERROR(VLOOKUP($A5539,原始数据_利率互换_FR007_1年!$A$6:$C$4395,3,0),"")</f>
        <v/>
      </c>
    </row>
    <row r="5540" spans="1:9">
      <c r="A5540" s="6">
        <v>45033</v>
      </c>
      <c r="B5540">
        <f>IFERROR(VLOOKUP($A5540,原始数据_收盘!$A$4:$G$3460,2,0),"")</f>
        <v>2.39</v>
      </c>
      <c r="C5540">
        <f>IFERROR(VLOOKUP($A5540,原始数据_收盘!$A$4:$G$3460,3,0),"")</f>
        <v>2.85</v>
      </c>
      <c r="D5540">
        <f>IFERROR(VLOOKUP($A5540,原始数据_收盘!$A$4:$G$3460,4,0),"")</f>
        <v>2.3925</v>
      </c>
      <c r="E5540">
        <f>IFERROR(VLOOKUP($A5540,原始数据_收盘!$A$4:$G$3460,5,0),"")</f>
        <v>2.8525</v>
      </c>
      <c r="F5540">
        <f>IFERROR(VLOOKUP($A5540,原始数据_收盘!$A$4:$G$3460,6,0),"")</f>
        <v>2.3913</v>
      </c>
      <c r="G5540">
        <f>IFERROR(VLOOKUP($A5540,原始数据_收盘!$A$4:$G$3460,7,0),"")</f>
        <v>2.8513</v>
      </c>
      <c r="H5540">
        <f>IFERROR(VLOOKUP($A5540,原始数据_利率互换_FR007_1年!$A$6:$C$4395,2,0),"")</f>
        <v>2.388</v>
      </c>
      <c r="I5540">
        <f>IFERROR(VLOOKUP($A5540,原始数据_利率互换_FR007_1年!$A$6:$C$4395,3,0),"")</f>
        <v>2.8465</v>
      </c>
    </row>
    <row r="5541" spans="1:9">
      <c r="A5541" s="6">
        <v>45034</v>
      </c>
      <c r="B5541">
        <f>IFERROR(VLOOKUP($A5541,原始数据_收盘!$A$4:$G$3460,2,0),"")</f>
        <v>2.385</v>
      </c>
      <c r="C5541">
        <f>IFERROR(VLOOKUP($A5541,原始数据_收盘!$A$4:$G$3460,3,0),"")</f>
        <v>2.8425</v>
      </c>
      <c r="D5541">
        <f>IFERROR(VLOOKUP($A5541,原始数据_收盘!$A$4:$G$3460,4,0),"")</f>
        <v>2.3875</v>
      </c>
      <c r="E5541">
        <f>IFERROR(VLOOKUP($A5541,原始数据_收盘!$A$4:$G$3460,5,0),"")</f>
        <v>2.845</v>
      </c>
      <c r="F5541">
        <f>IFERROR(VLOOKUP($A5541,原始数据_收盘!$A$4:$G$3460,6,0),"")</f>
        <v>2.3863</v>
      </c>
      <c r="G5541">
        <f>IFERROR(VLOOKUP($A5541,原始数据_收盘!$A$4:$G$3460,7,0),"")</f>
        <v>2.8438</v>
      </c>
      <c r="H5541">
        <f>IFERROR(VLOOKUP($A5541,原始数据_利率互换_FR007_1年!$A$6:$C$4395,2,0),"")</f>
        <v>2.3875</v>
      </c>
      <c r="I5541">
        <f>IFERROR(VLOOKUP($A5541,原始数据_利率互换_FR007_1年!$A$6:$C$4395,3,0),"")</f>
        <v>2.8487</v>
      </c>
    </row>
    <row r="5542" spans="1:9">
      <c r="A5542" s="6">
        <v>45035</v>
      </c>
      <c r="B5542">
        <f>IFERROR(VLOOKUP($A5542,原始数据_收盘!$A$4:$G$3460,2,0),"")</f>
        <v>2.3795</v>
      </c>
      <c r="C5542">
        <f>IFERROR(VLOOKUP($A5542,原始数据_收盘!$A$4:$G$3460,3,0),"")</f>
        <v>2.8422</v>
      </c>
      <c r="D5542">
        <f>IFERROR(VLOOKUP($A5542,原始数据_收盘!$A$4:$G$3460,4,0),"")</f>
        <v>2.3825</v>
      </c>
      <c r="E5542">
        <f>IFERROR(VLOOKUP($A5542,原始数据_收盘!$A$4:$G$3460,5,0),"")</f>
        <v>2.8441</v>
      </c>
      <c r="F5542">
        <f>IFERROR(VLOOKUP($A5542,原始数据_收盘!$A$4:$G$3460,6,0),"")</f>
        <v>2.381</v>
      </c>
      <c r="G5542">
        <f>IFERROR(VLOOKUP($A5542,原始数据_收盘!$A$4:$G$3460,7,0),"")</f>
        <v>2.8431</v>
      </c>
      <c r="H5542">
        <f>IFERROR(VLOOKUP($A5542,原始数据_利率互换_FR007_1年!$A$6:$C$4395,2,0),"")</f>
        <v>2.379</v>
      </c>
      <c r="I5542">
        <f>IFERROR(VLOOKUP($A5542,原始数据_利率互换_FR007_1年!$A$6:$C$4395,3,0),"")</f>
        <v>2.8373</v>
      </c>
    </row>
    <row r="5543" spans="1:9">
      <c r="A5543" s="6">
        <v>45036</v>
      </c>
      <c r="B5543">
        <f>IFERROR(VLOOKUP($A5543,原始数据_收盘!$A$4:$G$3460,2,0),"")</f>
        <v>2.385</v>
      </c>
      <c r="C5543">
        <f>IFERROR(VLOOKUP($A5543,原始数据_收盘!$A$4:$G$3460,3,0),"")</f>
        <v>2.8475</v>
      </c>
      <c r="D5543">
        <f>IFERROR(VLOOKUP($A5543,原始数据_收盘!$A$4:$G$3460,4,0),"")</f>
        <v>2.3875</v>
      </c>
      <c r="E5543">
        <f>IFERROR(VLOOKUP($A5543,原始数据_收盘!$A$4:$G$3460,5,0),"")</f>
        <v>2.85</v>
      </c>
      <c r="F5543">
        <f>IFERROR(VLOOKUP($A5543,原始数据_收盘!$A$4:$G$3460,6,0),"")</f>
        <v>2.3863</v>
      </c>
      <c r="G5543">
        <f>IFERROR(VLOOKUP($A5543,原始数据_收盘!$A$4:$G$3460,7,0),"")</f>
        <v>2.8488</v>
      </c>
      <c r="H5543">
        <f>IFERROR(VLOOKUP($A5543,原始数据_利率互换_FR007_1年!$A$6:$C$4395,2,0),"")</f>
        <v>2.381</v>
      </c>
      <c r="I5543">
        <f>IFERROR(VLOOKUP($A5543,原始数据_利率互换_FR007_1年!$A$6:$C$4395,3,0),"")</f>
        <v>2.8465</v>
      </c>
    </row>
    <row r="5544" spans="1:9">
      <c r="A5544" s="6">
        <v>45037</v>
      </c>
      <c r="B5544">
        <f>IFERROR(VLOOKUP($A5544,原始数据_收盘!$A$4:$G$3460,2,0),"")</f>
        <v>2.385</v>
      </c>
      <c r="C5544">
        <f>IFERROR(VLOOKUP($A5544,原始数据_收盘!$A$4:$G$3460,3,0),"")</f>
        <v>2.84</v>
      </c>
      <c r="D5544">
        <f>IFERROR(VLOOKUP($A5544,原始数据_收盘!$A$4:$G$3460,4,0),"")</f>
        <v>2.3875</v>
      </c>
      <c r="E5544">
        <f>IFERROR(VLOOKUP($A5544,原始数据_收盘!$A$4:$G$3460,5,0),"")</f>
        <v>2.8425</v>
      </c>
      <c r="F5544">
        <f>IFERROR(VLOOKUP($A5544,原始数据_收盘!$A$4:$G$3460,6,0),"")</f>
        <v>2.3863</v>
      </c>
      <c r="G5544">
        <f>IFERROR(VLOOKUP($A5544,原始数据_收盘!$A$4:$G$3460,7,0),"")</f>
        <v>2.8413</v>
      </c>
      <c r="H5544">
        <f>IFERROR(VLOOKUP($A5544,原始数据_利率互换_FR007_1年!$A$6:$C$4395,2,0),"")</f>
        <v>2.387</v>
      </c>
      <c r="I5544">
        <f>IFERROR(VLOOKUP($A5544,原始数据_利率互换_FR007_1年!$A$6:$C$4395,3,0),"")</f>
        <v>2.8434</v>
      </c>
    </row>
    <row r="5545" spans="1:9">
      <c r="A5545" s="6">
        <v>45038</v>
      </c>
      <c r="B5545" t="str">
        <f>IFERROR(VLOOKUP($A5545,原始数据_收盘!$A$4:$G$3460,2,0),"")</f>
        <v/>
      </c>
      <c r="C5545" t="str">
        <f>IFERROR(VLOOKUP($A5545,原始数据_收盘!$A$4:$G$3460,3,0),"")</f>
        <v/>
      </c>
      <c r="D5545" t="str">
        <f>IFERROR(VLOOKUP($A5545,原始数据_收盘!$A$4:$G$3460,4,0),"")</f>
        <v/>
      </c>
      <c r="E5545" t="str">
        <f>IFERROR(VLOOKUP($A5545,原始数据_收盘!$A$4:$G$3460,5,0),"")</f>
        <v/>
      </c>
      <c r="F5545" t="str">
        <f>IFERROR(VLOOKUP($A5545,原始数据_收盘!$A$4:$G$3460,6,0),"")</f>
        <v/>
      </c>
      <c r="G5545" t="str">
        <f>IFERROR(VLOOKUP($A5545,原始数据_收盘!$A$4:$G$3460,7,0),"")</f>
        <v/>
      </c>
      <c r="H5545" t="str">
        <f>IFERROR(VLOOKUP($A5545,原始数据_利率互换_FR007_1年!$A$6:$C$4395,2,0),"")</f>
        <v/>
      </c>
      <c r="I5545" t="str">
        <f>IFERROR(VLOOKUP($A5545,原始数据_利率互换_FR007_1年!$A$6:$C$4395,3,0),"")</f>
        <v/>
      </c>
    </row>
    <row r="5546" spans="1:9">
      <c r="A5546" s="6">
        <v>45039</v>
      </c>
      <c r="B5546">
        <f>IFERROR(VLOOKUP($A5546,原始数据_收盘!$A$4:$G$3460,2,0),"")</f>
        <v>2.37</v>
      </c>
      <c r="C5546">
        <f>IFERROR(VLOOKUP($A5546,原始数据_收盘!$A$4:$G$3460,3,0),"")</f>
        <v>2.8275</v>
      </c>
      <c r="D5546">
        <f>IFERROR(VLOOKUP($A5546,原始数据_收盘!$A$4:$G$3460,4,0),"")</f>
        <v>2.3875</v>
      </c>
      <c r="E5546">
        <f>IFERROR(VLOOKUP($A5546,原始数据_收盘!$A$4:$G$3460,5,0),"")</f>
        <v>2.8377</v>
      </c>
      <c r="F5546">
        <f>IFERROR(VLOOKUP($A5546,原始数据_收盘!$A$4:$G$3460,6,0),"")</f>
        <v>2.3788</v>
      </c>
      <c r="G5546">
        <f>IFERROR(VLOOKUP($A5546,原始数据_收盘!$A$4:$G$3460,7,0),"")</f>
        <v>2.8326</v>
      </c>
      <c r="H5546">
        <f>IFERROR(VLOOKUP($A5546,原始数据_利率互换_FR007_1年!$A$6:$C$4395,2,0),"")</f>
        <v>2.37</v>
      </c>
      <c r="I5546">
        <f>IFERROR(VLOOKUP($A5546,原始数据_利率互换_FR007_1年!$A$6:$C$4395,3,0),"")</f>
        <v>0</v>
      </c>
    </row>
    <row r="5547" spans="1:9">
      <c r="A5547" s="6">
        <v>45040</v>
      </c>
      <c r="B5547">
        <f>IFERROR(VLOOKUP($A5547,原始数据_收盘!$A$4:$G$3460,2,0),"")</f>
        <v>2.385</v>
      </c>
      <c r="C5547">
        <f>IFERROR(VLOOKUP($A5547,原始数据_收盘!$A$4:$G$3460,3,0),"")</f>
        <v>2.8294</v>
      </c>
      <c r="D5547">
        <f>IFERROR(VLOOKUP($A5547,原始数据_收盘!$A$4:$G$3460,4,0),"")</f>
        <v>2.3875</v>
      </c>
      <c r="E5547">
        <f>IFERROR(VLOOKUP($A5547,原始数据_收盘!$A$4:$G$3460,5,0),"")</f>
        <v>2.8319</v>
      </c>
      <c r="F5547">
        <f>IFERROR(VLOOKUP($A5547,原始数据_收盘!$A$4:$G$3460,6,0),"")</f>
        <v>2.3863</v>
      </c>
      <c r="G5547">
        <f>IFERROR(VLOOKUP($A5547,原始数据_收盘!$A$4:$G$3460,7,0),"")</f>
        <v>2.8306</v>
      </c>
      <c r="H5547">
        <f>IFERROR(VLOOKUP($A5547,原始数据_利率互换_FR007_1年!$A$6:$C$4395,2,0),"")</f>
        <v>2.3791</v>
      </c>
      <c r="I5547">
        <f>IFERROR(VLOOKUP($A5547,原始数据_利率互换_FR007_1年!$A$6:$C$4395,3,0),"")</f>
        <v>2.8272</v>
      </c>
    </row>
    <row r="5548" spans="1:9">
      <c r="A5548" s="6">
        <v>45041</v>
      </c>
      <c r="B5548">
        <f>IFERROR(VLOOKUP($A5548,原始数据_收盘!$A$4:$G$3460,2,0),"")</f>
        <v>2.377</v>
      </c>
      <c r="C5548">
        <f>IFERROR(VLOOKUP($A5548,原始数据_收盘!$A$4:$G$3460,3,0),"")</f>
        <v>2.8222</v>
      </c>
      <c r="D5548">
        <f>IFERROR(VLOOKUP($A5548,原始数据_收盘!$A$4:$G$3460,4,0),"")</f>
        <v>2.3791</v>
      </c>
      <c r="E5548">
        <f>IFERROR(VLOOKUP($A5548,原始数据_收盘!$A$4:$G$3460,5,0),"")</f>
        <v>2.824</v>
      </c>
      <c r="F5548">
        <f>IFERROR(VLOOKUP($A5548,原始数据_收盘!$A$4:$G$3460,6,0),"")</f>
        <v>2.378</v>
      </c>
      <c r="G5548">
        <f>IFERROR(VLOOKUP($A5548,原始数据_收盘!$A$4:$G$3460,7,0),"")</f>
        <v>2.8231</v>
      </c>
      <c r="H5548">
        <f>IFERROR(VLOOKUP($A5548,原始数据_利率互换_FR007_1年!$A$6:$C$4395,2,0),"")</f>
        <v>2.3815</v>
      </c>
      <c r="I5548">
        <f>IFERROR(VLOOKUP($A5548,原始数据_利率互换_FR007_1年!$A$6:$C$4395,3,0),"")</f>
        <v>2.8264</v>
      </c>
    </row>
    <row r="5549" spans="1:9">
      <c r="A5549" s="6">
        <v>45042</v>
      </c>
      <c r="B5549">
        <f>IFERROR(VLOOKUP($A5549,原始数据_收盘!$A$4:$G$3460,2,0),"")</f>
        <v>2.3508</v>
      </c>
      <c r="C5549">
        <f>IFERROR(VLOOKUP($A5549,原始数据_收盘!$A$4:$G$3460,3,0),"")</f>
        <v>2.8011</v>
      </c>
      <c r="D5549">
        <f>IFERROR(VLOOKUP($A5549,原始数据_收盘!$A$4:$G$3460,4,0),"")</f>
        <v>2.3527</v>
      </c>
      <c r="E5549">
        <f>IFERROR(VLOOKUP($A5549,原始数据_收盘!$A$4:$G$3460,5,0),"")</f>
        <v>2.8026</v>
      </c>
      <c r="F5549">
        <f>IFERROR(VLOOKUP($A5549,原始数据_收盘!$A$4:$G$3460,6,0),"")</f>
        <v>2.3517</v>
      </c>
      <c r="G5549">
        <f>IFERROR(VLOOKUP($A5549,原始数据_收盘!$A$4:$G$3460,7,0),"")</f>
        <v>2.8019</v>
      </c>
      <c r="H5549">
        <f>IFERROR(VLOOKUP($A5549,原始数据_利率互换_FR007_1年!$A$6:$C$4395,2,0),"")</f>
        <v>2.3632</v>
      </c>
      <c r="I5549">
        <f>IFERROR(VLOOKUP($A5549,原始数据_利率互换_FR007_1年!$A$6:$C$4395,3,0),"")</f>
        <v>2.8108</v>
      </c>
    </row>
    <row r="5550" spans="1:9">
      <c r="A5550" s="6">
        <v>45043</v>
      </c>
      <c r="B5550">
        <f>IFERROR(VLOOKUP($A5550,原始数据_收盘!$A$4:$G$3460,2,0),"")</f>
        <v>2.3275</v>
      </c>
      <c r="C5550">
        <f>IFERROR(VLOOKUP($A5550,原始数据_收盘!$A$4:$G$3460,3,0),"")</f>
        <v>2.765</v>
      </c>
      <c r="D5550">
        <f>IFERROR(VLOOKUP($A5550,原始数据_收盘!$A$4:$G$3460,4,0),"")</f>
        <v>2.3325</v>
      </c>
      <c r="E5550">
        <f>IFERROR(VLOOKUP($A5550,原始数据_收盘!$A$4:$G$3460,5,0),"")</f>
        <v>2.77</v>
      </c>
      <c r="F5550">
        <f>IFERROR(VLOOKUP($A5550,原始数据_收盘!$A$4:$G$3460,6,0),"")</f>
        <v>2.33</v>
      </c>
      <c r="G5550">
        <f>IFERROR(VLOOKUP($A5550,原始数据_收盘!$A$4:$G$3460,7,0),"")</f>
        <v>2.7675</v>
      </c>
      <c r="H5550">
        <f>IFERROR(VLOOKUP($A5550,原始数据_利率互换_FR007_1年!$A$6:$C$4395,2,0),"")</f>
        <v>2.3338</v>
      </c>
      <c r="I5550">
        <f>IFERROR(VLOOKUP($A5550,原始数据_利率互换_FR007_1年!$A$6:$C$4395,3,0),"")</f>
        <v>2.7755</v>
      </c>
    </row>
    <row r="5551" spans="1:9">
      <c r="A5551" s="6">
        <v>45044</v>
      </c>
      <c r="B5551">
        <f>IFERROR(VLOOKUP($A5551,原始数据_收盘!$A$4:$G$3460,2,0),"")</f>
        <v>2.3225</v>
      </c>
      <c r="C5551">
        <f>IFERROR(VLOOKUP($A5551,原始数据_收盘!$A$4:$G$3460,3,0),"")</f>
        <v>2.7625</v>
      </c>
      <c r="D5551">
        <f>IFERROR(VLOOKUP($A5551,原始数据_收盘!$A$4:$G$3460,4,0),"")</f>
        <v>2.3276</v>
      </c>
      <c r="E5551">
        <f>IFERROR(VLOOKUP($A5551,原始数据_收盘!$A$4:$G$3460,5,0),"")</f>
        <v>2.765</v>
      </c>
      <c r="F5551">
        <f>IFERROR(VLOOKUP($A5551,原始数据_收盘!$A$4:$G$3460,6,0),"")</f>
        <v>2.3251</v>
      </c>
      <c r="G5551">
        <f>IFERROR(VLOOKUP($A5551,原始数据_收盘!$A$4:$G$3460,7,0),"")</f>
        <v>2.7638</v>
      </c>
      <c r="H5551">
        <f>IFERROR(VLOOKUP($A5551,原始数据_利率互换_FR007_1年!$A$6:$C$4395,2,0),"")</f>
        <v>2.3372</v>
      </c>
      <c r="I5551">
        <f>IFERROR(VLOOKUP($A5551,原始数据_利率互换_FR007_1年!$A$6:$C$4395,3,0),"")</f>
        <v>2.7793</v>
      </c>
    </row>
    <row r="5552" spans="1:9">
      <c r="A5552" s="6">
        <v>45045</v>
      </c>
      <c r="B5552" t="str">
        <f>IFERROR(VLOOKUP($A5552,原始数据_收盘!$A$4:$G$3460,2,0),"")</f>
        <v/>
      </c>
      <c r="C5552" t="str">
        <f>IFERROR(VLOOKUP($A5552,原始数据_收盘!$A$4:$G$3460,3,0),"")</f>
        <v/>
      </c>
      <c r="D5552" t="str">
        <f>IFERROR(VLOOKUP($A5552,原始数据_收盘!$A$4:$G$3460,4,0),"")</f>
        <v/>
      </c>
      <c r="E5552" t="str">
        <f>IFERROR(VLOOKUP($A5552,原始数据_收盘!$A$4:$G$3460,5,0),"")</f>
        <v/>
      </c>
      <c r="F5552" t="str">
        <f>IFERROR(VLOOKUP($A5552,原始数据_收盘!$A$4:$G$3460,6,0),"")</f>
        <v/>
      </c>
      <c r="G5552" t="str">
        <f>IFERROR(VLOOKUP($A5552,原始数据_收盘!$A$4:$G$3460,7,0),"")</f>
        <v/>
      </c>
      <c r="H5552" t="str">
        <f>IFERROR(VLOOKUP($A5552,原始数据_利率互换_FR007_1年!$A$6:$C$4395,2,0),"")</f>
        <v/>
      </c>
      <c r="I5552" t="str">
        <f>IFERROR(VLOOKUP($A5552,原始数据_利率互换_FR007_1年!$A$6:$C$4395,3,0),"")</f>
        <v/>
      </c>
    </row>
    <row r="5553" spans="1:9">
      <c r="A5553" s="6">
        <v>45046</v>
      </c>
      <c r="B5553" t="str">
        <f>IFERROR(VLOOKUP($A5553,原始数据_收盘!$A$4:$G$3460,2,0),"")</f>
        <v/>
      </c>
      <c r="C5553" t="str">
        <f>IFERROR(VLOOKUP($A5553,原始数据_收盘!$A$4:$G$3460,3,0),"")</f>
        <v/>
      </c>
      <c r="D5553" t="str">
        <f>IFERROR(VLOOKUP($A5553,原始数据_收盘!$A$4:$G$3460,4,0),"")</f>
        <v/>
      </c>
      <c r="E5553" t="str">
        <f>IFERROR(VLOOKUP($A5553,原始数据_收盘!$A$4:$G$3460,5,0),"")</f>
        <v/>
      </c>
      <c r="F5553" t="str">
        <f>IFERROR(VLOOKUP($A5553,原始数据_收盘!$A$4:$G$3460,6,0),"")</f>
        <v/>
      </c>
      <c r="G5553" t="str">
        <f>IFERROR(VLOOKUP($A5553,原始数据_收盘!$A$4:$G$3460,7,0),"")</f>
        <v/>
      </c>
      <c r="H5553" t="str">
        <f>IFERROR(VLOOKUP($A5553,原始数据_利率互换_FR007_1年!$A$6:$C$4395,2,0),"")</f>
        <v/>
      </c>
      <c r="I5553" t="str">
        <f>IFERROR(VLOOKUP($A5553,原始数据_利率互换_FR007_1年!$A$6:$C$4395,3,0),"")</f>
        <v/>
      </c>
    </row>
    <row r="5554" spans="1:9">
      <c r="A5554" s="6">
        <v>45047</v>
      </c>
      <c r="B5554" t="str">
        <f>IFERROR(VLOOKUP($A5554,原始数据_收盘!$A$4:$G$3460,2,0),"")</f>
        <v/>
      </c>
      <c r="C5554" t="str">
        <f>IFERROR(VLOOKUP($A5554,原始数据_收盘!$A$4:$G$3460,3,0),"")</f>
        <v/>
      </c>
      <c r="D5554" t="str">
        <f>IFERROR(VLOOKUP($A5554,原始数据_收盘!$A$4:$G$3460,4,0),"")</f>
        <v/>
      </c>
      <c r="E5554" t="str">
        <f>IFERROR(VLOOKUP($A5554,原始数据_收盘!$A$4:$G$3460,5,0),"")</f>
        <v/>
      </c>
      <c r="F5554" t="str">
        <f>IFERROR(VLOOKUP($A5554,原始数据_收盘!$A$4:$G$3460,6,0),"")</f>
        <v/>
      </c>
      <c r="G5554" t="str">
        <f>IFERROR(VLOOKUP($A5554,原始数据_收盘!$A$4:$G$3460,7,0),"")</f>
        <v/>
      </c>
      <c r="H5554" t="str">
        <f>IFERROR(VLOOKUP($A5554,原始数据_利率互换_FR007_1年!$A$6:$C$4395,2,0),"")</f>
        <v/>
      </c>
      <c r="I5554" t="str">
        <f>IFERROR(VLOOKUP($A5554,原始数据_利率互换_FR007_1年!$A$6:$C$4395,3,0),"")</f>
        <v/>
      </c>
    </row>
    <row r="5555" spans="1:9">
      <c r="A5555" s="6">
        <v>45048</v>
      </c>
      <c r="B5555" t="str">
        <f>IFERROR(VLOOKUP($A5555,原始数据_收盘!$A$4:$G$3460,2,0),"")</f>
        <v/>
      </c>
      <c r="C5555" t="str">
        <f>IFERROR(VLOOKUP($A5555,原始数据_收盘!$A$4:$G$3460,3,0),"")</f>
        <v/>
      </c>
      <c r="D5555" t="str">
        <f>IFERROR(VLOOKUP($A5555,原始数据_收盘!$A$4:$G$3460,4,0),"")</f>
        <v/>
      </c>
      <c r="E5555" t="str">
        <f>IFERROR(VLOOKUP($A5555,原始数据_收盘!$A$4:$G$3460,5,0),"")</f>
        <v/>
      </c>
      <c r="F5555" t="str">
        <f>IFERROR(VLOOKUP($A5555,原始数据_收盘!$A$4:$G$3460,6,0),"")</f>
        <v/>
      </c>
      <c r="G5555" t="str">
        <f>IFERROR(VLOOKUP($A5555,原始数据_收盘!$A$4:$G$3460,7,0),"")</f>
        <v/>
      </c>
      <c r="H5555" t="str">
        <f>IFERROR(VLOOKUP($A5555,原始数据_利率互换_FR007_1年!$A$6:$C$4395,2,0),"")</f>
        <v/>
      </c>
      <c r="I5555" t="str">
        <f>IFERROR(VLOOKUP($A5555,原始数据_利率互换_FR007_1年!$A$6:$C$4395,3,0),"")</f>
        <v/>
      </c>
    </row>
    <row r="5556" spans="1:9">
      <c r="A5556" s="6">
        <v>45049</v>
      </c>
      <c r="B5556" t="str">
        <f>IFERROR(VLOOKUP($A5556,原始数据_收盘!$A$4:$G$3460,2,0),"")</f>
        <v/>
      </c>
      <c r="C5556" t="str">
        <f>IFERROR(VLOOKUP($A5556,原始数据_收盘!$A$4:$G$3460,3,0),"")</f>
        <v/>
      </c>
      <c r="D5556" t="str">
        <f>IFERROR(VLOOKUP($A5556,原始数据_收盘!$A$4:$G$3460,4,0),"")</f>
        <v/>
      </c>
      <c r="E5556" t="str">
        <f>IFERROR(VLOOKUP($A5556,原始数据_收盘!$A$4:$G$3460,5,0),"")</f>
        <v/>
      </c>
      <c r="F5556" t="str">
        <f>IFERROR(VLOOKUP($A5556,原始数据_收盘!$A$4:$G$3460,6,0),"")</f>
        <v/>
      </c>
      <c r="G5556" t="str">
        <f>IFERROR(VLOOKUP($A5556,原始数据_收盘!$A$4:$G$3460,7,0),"")</f>
        <v/>
      </c>
      <c r="H5556" t="str">
        <f>IFERROR(VLOOKUP($A5556,原始数据_利率互换_FR007_1年!$A$6:$C$4395,2,0),"")</f>
        <v/>
      </c>
      <c r="I5556" t="str">
        <f>IFERROR(VLOOKUP($A5556,原始数据_利率互换_FR007_1年!$A$6:$C$4395,3,0),"")</f>
        <v/>
      </c>
    </row>
    <row r="5557" spans="1:9">
      <c r="A5557" s="6">
        <v>45050</v>
      </c>
      <c r="B5557">
        <f>IFERROR(VLOOKUP($A5557,原始数据_收盘!$A$4:$G$3460,2,0),"")</f>
        <v>2.29</v>
      </c>
      <c r="C5557">
        <f>IFERROR(VLOOKUP($A5557,原始数据_收盘!$A$4:$G$3460,3,0),"")</f>
        <v>2.735</v>
      </c>
      <c r="D5557">
        <f>IFERROR(VLOOKUP($A5557,原始数据_收盘!$A$4:$G$3460,4,0),"")</f>
        <v>2.2925</v>
      </c>
      <c r="E5557">
        <f>IFERROR(VLOOKUP($A5557,原始数据_收盘!$A$4:$G$3460,5,0),"")</f>
        <v>2.7375</v>
      </c>
      <c r="F5557">
        <f>IFERROR(VLOOKUP($A5557,原始数据_收盘!$A$4:$G$3460,6,0),"")</f>
        <v>2.2913</v>
      </c>
      <c r="G5557">
        <f>IFERROR(VLOOKUP($A5557,原始数据_收盘!$A$4:$G$3460,7,0),"")</f>
        <v>2.7363</v>
      </c>
      <c r="H5557">
        <f>IFERROR(VLOOKUP($A5557,原始数据_利率互换_FR007_1年!$A$6:$C$4395,2,0),"")</f>
        <v>2.3003</v>
      </c>
      <c r="I5557">
        <f>IFERROR(VLOOKUP($A5557,原始数据_利率互换_FR007_1年!$A$6:$C$4395,3,0),"")</f>
        <v>2.7403</v>
      </c>
    </row>
    <row r="5558" spans="1:9">
      <c r="A5558" s="6">
        <v>45051</v>
      </c>
      <c r="B5558">
        <f>IFERROR(VLOOKUP($A5558,原始数据_收盘!$A$4:$G$3460,2,0),"")</f>
        <v>2.2374</v>
      </c>
      <c r="C5558">
        <f>IFERROR(VLOOKUP($A5558,原始数据_收盘!$A$4:$G$3460,3,0),"")</f>
        <v>2.6838</v>
      </c>
      <c r="D5558">
        <f>IFERROR(VLOOKUP($A5558,原始数据_收盘!$A$4:$G$3460,4,0),"")</f>
        <v>2.2411</v>
      </c>
      <c r="E5558">
        <f>IFERROR(VLOOKUP($A5558,原始数据_收盘!$A$4:$G$3460,5,0),"")</f>
        <v>2.6867</v>
      </c>
      <c r="F5558">
        <f>IFERROR(VLOOKUP($A5558,原始数据_收盘!$A$4:$G$3460,6,0),"")</f>
        <v>2.2392</v>
      </c>
      <c r="G5558">
        <f>IFERROR(VLOOKUP($A5558,原始数据_收盘!$A$4:$G$3460,7,0),"")</f>
        <v>2.6852</v>
      </c>
      <c r="H5558">
        <f>IFERROR(VLOOKUP($A5558,原始数据_利率互换_FR007_1年!$A$6:$C$4395,2,0),"")</f>
        <v>2.2637</v>
      </c>
      <c r="I5558">
        <f>IFERROR(VLOOKUP($A5558,原始数据_利率互换_FR007_1年!$A$6:$C$4395,3,0),"")</f>
        <v>2.7107</v>
      </c>
    </row>
    <row r="5559" spans="1:9">
      <c r="A5559" s="6">
        <v>45052</v>
      </c>
      <c r="B5559">
        <f>IFERROR(VLOOKUP($A5559,原始数据_收盘!$A$4:$G$3460,2,0),"")</f>
        <v>2.2275</v>
      </c>
      <c r="C5559">
        <f>IFERROR(VLOOKUP($A5559,原始数据_收盘!$A$4:$G$3460,3,0),"")</f>
        <v>2.6765</v>
      </c>
      <c r="D5559">
        <f>IFERROR(VLOOKUP($A5559,原始数据_收盘!$A$4:$G$3460,4,0),"")</f>
        <v>2.2339</v>
      </c>
      <c r="E5559">
        <f>IFERROR(VLOOKUP($A5559,原始数据_收盘!$A$4:$G$3460,5,0),"")</f>
        <v>2.6825</v>
      </c>
      <c r="F5559">
        <f>IFERROR(VLOOKUP($A5559,原始数据_收盘!$A$4:$G$3460,6,0),"")</f>
        <v>2.2307</v>
      </c>
      <c r="G5559">
        <f>IFERROR(VLOOKUP($A5559,原始数据_收盘!$A$4:$G$3460,7,0),"")</f>
        <v>2.6795</v>
      </c>
      <c r="H5559">
        <f>IFERROR(VLOOKUP($A5559,原始数据_利率互换_FR007_1年!$A$6:$C$4395,2,0),"")</f>
        <v>2.2339</v>
      </c>
      <c r="I5559">
        <f>IFERROR(VLOOKUP($A5559,原始数据_利率互换_FR007_1年!$A$6:$C$4395,3,0),"")</f>
        <v>2.682</v>
      </c>
    </row>
    <row r="5560" spans="1:9">
      <c r="A5560" s="6">
        <v>45053</v>
      </c>
      <c r="B5560" t="str">
        <f>IFERROR(VLOOKUP($A5560,原始数据_收盘!$A$4:$G$3460,2,0),"")</f>
        <v/>
      </c>
      <c r="C5560" t="str">
        <f>IFERROR(VLOOKUP($A5560,原始数据_收盘!$A$4:$G$3460,3,0),"")</f>
        <v/>
      </c>
      <c r="D5560" t="str">
        <f>IFERROR(VLOOKUP($A5560,原始数据_收盘!$A$4:$G$3460,4,0),"")</f>
        <v/>
      </c>
      <c r="E5560" t="str">
        <f>IFERROR(VLOOKUP($A5560,原始数据_收盘!$A$4:$G$3460,5,0),"")</f>
        <v/>
      </c>
      <c r="F5560" t="str">
        <f>IFERROR(VLOOKUP($A5560,原始数据_收盘!$A$4:$G$3460,6,0),"")</f>
        <v/>
      </c>
      <c r="G5560" t="str">
        <f>IFERROR(VLOOKUP($A5560,原始数据_收盘!$A$4:$G$3460,7,0),"")</f>
        <v/>
      </c>
      <c r="H5560" t="str">
        <f>IFERROR(VLOOKUP($A5560,原始数据_利率互换_FR007_1年!$A$6:$C$4395,2,0),"")</f>
        <v/>
      </c>
      <c r="I5560" t="str">
        <f>IFERROR(VLOOKUP($A5560,原始数据_利率互换_FR007_1年!$A$6:$C$4395,3,0),"")</f>
        <v/>
      </c>
    </row>
    <row r="5561" spans="1:9">
      <c r="A5561" s="6">
        <v>45054</v>
      </c>
      <c r="B5561">
        <f>IFERROR(VLOOKUP($A5561,原始数据_收盘!$A$4:$G$3460,2,0),"")</f>
        <v>2.2548</v>
      </c>
      <c r="C5561">
        <f>IFERROR(VLOOKUP($A5561,原始数据_收盘!$A$4:$G$3460,3,0),"")</f>
        <v>2.7025</v>
      </c>
      <c r="D5561">
        <f>IFERROR(VLOOKUP($A5561,原始数据_收盘!$A$4:$G$3460,4,0),"")</f>
        <v>2.2575</v>
      </c>
      <c r="E5561">
        <f>IFERROR(VLOOKUP($A5561,原始数据_收盘!$A$4:$G$3460,5,0),"")</f>
        <v>2.705</v>
      </c>
      <c r="F5561">
        <f>IFERROR(VLOOKUP($A5561,原始数据_收盘!$A$4:$G$3460,6,0),"")</f>
        <v>2.2562</v>
      </c>
      <c r="G5561">
        <f>IFERROR(VLOOKUP($A5561,原始数据_收盘!$A$4:$G$3460,7,0),"")</f>
        <v>2.7038</v>
      </c>
      <c r="H5561">
        <f>IFERROR(VLOOKUP($A5561,原始数据_利率互换_FR007_1年!$A$6:$C$4395,2,0),"")</f>
        <v>2.2538</v>
      </c>
      <c r="I5561">
        <f>IFERROR(VLOOKUP($A5561,原始数据_利率互换_FR007_1年!$A$6:$C$4395,3,0),"")</f>
        <v>2.7032</v>
      </c>
    </row>
    <row r="5562" spans="1:9">
      <c r="A5562" s="6">
        <v>45055</v>
      </c>
      <c r="B5562">
        <f>IFERROR(VLOOKUP($A5562,原始数据_收盘!$A$4:$G$3460,2,0),"")</f>
        <v>2.245</v>
      </c>
      <c r="C5562">
        <f>IFERROR(VLOOKUP($A5562,原始数据_收盘!$A$4:$G$3460,3,0),"")</f>
        <v>2.6913</v>
      </c>
      <c r="D5562">
        <f>IFERROR(VLOOKUP($A5562,原始数据_收盘!$A$4:$G$3460,4,0),"")</f>
        <v>2.2494</v>
      </c>
      <c r="E5562">
        <f>IFERROR(VLOOKUP($A5562,原始数据_收盘!$A$4:$G$3460,5,0),"")</f>
        <v>2.6939</v>
      </c>
      <c r="F5562">
        <f>IFERROR(VLOOKUP($A5562,原始数据_收盘!$A$4:$G$3460,6,0),"")</f>
        <v>2.2472</v>
      </c>
      <c r="G5562">
        <f>IFERROR(VLOOKUP($A5562,原始数据_收盘!$A$4:$G$3460,7,0),"")</f>
        <v>2.6926</v>
      </c>
      <c r="H5562">
        <f>IFERROR(VLOOKUP($A5562,原始数据_利率互换_FR007_1年!$A$6:$C$4395,2,0),"")</f>
        <v>2.2453</v>
      </c>
      <c r="I5562">
        <f>IFERROR(VLOOKUP($A5562,原始数据_利率互换_FR007_1年!$A$6:$C$4395,3,0),"")</f>
        <v>2.6888</v>
      </c>
    </row>
    <row r="5563" spans="1:9">
      <c r="A5563" s="6">
        <v>45056</v>
      </c>
      <c r="B5563">
        <f>IFERROR(VLOOKUP($A5563,原始数据_收盘!$A$4:$G$3460,2,0),"")</f>
        <v>2.2175</v>
      </c>
      <c r="C5563">
        <f>IFERROR(VLOOKUP($A5563,原始数据_收盘!$A$4:$G$3460,3,0),"")</f>
        <v>2.655</v>
      </c>
      <c r="D5563">
        <f>IFERROR(VLOOKUP($A5563,原始数据_收盘!$A$4:$G$3460,4,0),"")</f>
        <v>2.22</v>
      </c>
      <c r="E5563">
        <f>IFERROR(VLOOKUP($A5563,原始数据_收盘!$A$4:$G$3460,5,0),"")</f>
        <v>2.6578</v>
      </c>
      <c r="F5563">
        <f>IFERROR(VLOOKUP($A5563,原始数据_收盘!$A$4:$G$3460,6,0),"")</f>
        <v>2.2188</v>
      </c>
      <c r="G5563">
        <f>IFERROR(VLOOKUP($A5563,原始数据_收盘!$A$4:$G$3460,7,0),"")</f>
        <v>2.6564</v>
      </c>
      <c r="H5563">
        <f>IFERROR(VLOOKUP($A5563,原始数据_利率互换_FR007_1年!$A$6:$C$4395,2,0),"")</f>
        <v>2.2196</v>
      </c>
      <c r="I5563">
        <f>IFERROR(VLOOKUP($A5563,原始数据_利率互换_FR007_1年!$A$6:$C$4395,3,0),"")</f>
        <v>2.6612</v>
      </c>
    </row>
    <row r="5564" spans="1:9">
      <c r="A5564" s="6">
        <v>45057</v>
      </c>
      <c r="B5564">
        <f>IFERROR(VLOOKUP($A5564,原始数据_收盘!$A$4:$G$3460,2,0),"")</f>
        <v>2.1575</v>
      </c>
      <c r="C5564">
        <f>IFERROR(VLOOKUP($A5564,原始数据_收盘!$A$4:$G$3460,3,0),"")</f>
        <v>2.6125</v>
      </c>
      <c r="D5564">
        <f>IFERROR(VLOOKUP($A5564,原始数据_收盘!$A$4:$G$3460,4,0),"")</f>
        <v>2.16</v>
      </c>
      <c r="E5564">
        <f>IFERROR(VLOOKUP($A5564,原始数据_收盘!$A$4:$G$3460,5,0),"")</f>
        <v>2.615</v>
      </c>
      <c r="F5564">
        <f>IFERROR(VLOOKUP($A5564,原始数据_收盘!$A$4:$G$3460,6,0),"")</f>
        <v>2.1588</v>
      </c>
      <c r="G5564">
        <f>IFERROR(VLOOKUP($A5564,原始数据_收盘!$A$4:$G$3460,7,0),"")</f>
        <v>2.6138</v>
      </c>
      <c r="H5564">
        <f>IFERROR(VLOOKUP($A5564,原始数据_利率互换_FR007_1年!$A$6:$C$4395,2,0),"")</f>
        <v>2.1735</v>
      </c>
      <c r="I5564">
        <f>IFERROR(VLOOKUP($A5564,原始数据_利率互换_FR007_1年!$A$6:$C$4395,3,0),"")</f>
        <v>2.6194</v>
      </c>
    </row>
    <row r="5565" spans="1:9">
      <c r="A5565" s="6">
        <v>45058</v>
      </c>
      <c r="B5565">
        <f>IFERROR(VLOOKUP($A5565,原始数据_收盘!$A$4:$G$3460,2,0),"")</f>
        <v>2.1342</v>
      </c>
      <c r="C5565">
        <f>IFERROR(VLOOKUP($A5565,原始数据_收盘!$A$4:$G$3460,3,0),"")</f>
        <v>2.6089</v>
      </c>
      <c r="D5565">
        <f>IFERROR(VLOOKUP($A5565,原始数据_收盘!$A$4:$G$3460,4,0),"")</f>
        <v>2.1379</v>
      </c>
      <c r="E5565">
        <f>IFERROR(VLOOKUP($A5565,原始数据_收盘!$A$4:$G$3460,5,0),"")</f>
        <v>2.6139</v>
      </c>
      <c r="F5565">
        <f>IFERROR(VLOOKUP($A5565,原始数据_收盘!$A$4:$G$3460,6,0),"")</f>
        <v>2.1361</v>
      </c>
      <c r="G5565">
        <f>IFERROR(VLOOKUP($A5565,原始数据_收盘!$A$4:$G$3460,7,0),"")</f>
        <v>2.6114</v>
      </c>
      <c r="H5565">
        <f>IFERROR(VLOOKUP($A5565,原始数据_利率互换_FR007_1年!$A$6:$C$4395,2,0),"")</f>
        <v>2.1561</v>
      </c>
      <c r="I5565">
        <f>IFERROR(VLOOKUP($A5565,原始数据_利率互换_FR007_1年!$A$6:$C$4395,3,0),"")</f>
        <v>2.6243</v>
      </c>
    </row>
    <row r="5566" spans="1:9">
      <c r="A5566" s="6">
        <v>45059</v>
      </c>
      <c r="B5566" t="str">
        <f>IFERROR(VLOOKUP($A5566,原始数据_收盘!$A$4:$G$3460,2,0),"")</f>
        <v/>
      </c>
      <c r="C5566" t="str">
        <f>IFERROR(VLOOKUP($A5566,原始数据_收盘!$A$4:$G$3460,3,0),"")</f>
        <v/>
      </c>
      <c r="D5566" t="str">
        <f>IFERROR(VLOOKUP($A5566,原始数据_收盘!$A$4:$G$3460,4,0),"")</f>
        <v/>
      </c>
      <c r="E5566" t="str">
        <f>IFERROR(VLOOKUP($A5566,原始数据_收盘!$A$4:$G$3460,5,0),"")</f>
        <v/>
      </c>
      <c r="F5566" t="str">
        <f>IFERROR(VLOOKUP($A5566,原始数据_收盘!$A$4:$G$3460,6,0),"")</f>
        <v/>
      </c>
      <c r="G5566" t="str">
        <f>IFERROR(VLOOKUP($A5566,原始数据_收盘!$A$4:$G$3460,7,0),"")</f>
        <v/>
      </c>
      <c r="H5566" t="str">
        <f>IFERROR(VLOOKUP($A5566,原始数据_利率互换_FR007_1年!$A$6:$C$4395,2,0),"")</f>
        <v/>
      </c>
      <c r="I5566" t="str">
        <f>IFERROR(VLOOKUP($A5566,原始数据_利率互换_FR007_1年!$A$6:$C$4395,3,0),"")</f>
        <v/>
      </c>
    </row>
    <row r="5567" spans="1:9">
      <c r="A5567" s="6">
        <v>45060</v>
      </c>
      <c r="B5567" t="str">
        <f>IFERROR(VLOOKUP($A5567,原始数据_收盘!$A$4:$G$3460,2,0),"")</f>
        <v/>
      </c>
      <c r="C5567" t="str">
        <f>IFERROR(VLOOKUP($A5567,原始数据_收盘!$A$4:$G$3460,3,0),"")</f>
        <v/>
      </c>
      <c r="D5567" t="str">
        <f>IFERROR(VLOOKUP($A5567,原始数据_收盘!$A$4:$G$3460,4,0),"")</f>
        <v/>
      </c>
      <c r="E5567" t="str">
        <f>IFERROR(VLOOKUP($A5567,原始数据_收盘!$A$4:$G$3460,5,0),"")</f>
        <v/>
      </c>
      <c r="F5567" t="str">
        <f>IFERROR(VLOOKUP($A5567,原始数据_收盘!$A$4:$G$3460,6,0),"")</f>
        <v/>
      </c>
      <c r="G5567" t="str">
        <f>IFERROR(VLOOKUP($A5567,原始数据_收盘!$A$4:$G$3460,7,0),"")</f>
        <v/>
      </c>
      <c r="H5567" t="str">
        <f>IFERROR(VLOOKUP($A5567,原始数据_利率互换_FR007_1年!$A$6:$C$4395,2,0),"")</f>
        <v/>
      </c>
      <c r="I5567" t="str">
        <f>IFERROR(VLOOKUP($A5567,原始数据_利率互换_FR007_1年!$A$6:$C$4395,3,0),"")</f>
        <v/>
      </c>
    </row>
    <row r="5568" spans="1:9">
      <c r="A5568" s="6">
        <v>45061</v>
      </c>
      <c r="B5568">
        <f>IFERROR(VLOOKUP($A5568,原始数据_收盘!$A$4:$G$3460,2,0),"")</f>
        <v>2.1625</v>
      </c>
      <c r="C5568">
        <f>IFERROR(VLOOKUP($A5568,原始数据_收盘!$A$4:$G$3460,3,0),"")</f>
        <v>2.6275</v>
      </c>
      <c r="D5568">
        <f>IFERROR(VLOOKUP($A5568,原始数据_收盘!$A$4:$G$3460,4,0),"")</f>
        <v>2.165</v>
      </c>
      <c r="E5568">
        <f>IFERROR(VLOOKUP($A5568,原始数据_收盘!$A$4:$G$3460,5,0),"")</f>
        <v>2.63</v>
      </c>
      <c r="F5568">
        <f>IFERROR(VLOOKUP($A5568,原始数据_收盘!$A$4:$G$3460,6,0),"")</f>
        <v>2.1638</v>
      </c>
      <c r="G5568">
        <f>IFERROR(VLOOKUP($A5568,原始数据_收盘!$A$4:$G$3460,7,0),"")</f>
        <v>2.6288</v>
      </c>
      <c r="H5568">
        <f>IFERROR(VLOOKUP($A5568,原始数据_利率互换_FR007_1年!$A$6:$C$4395,2,0),"")</f>
        <v>2.1534</v>
      </c>
      <c r="I5568">
        <f>IFERROR(VLOOKUP($A5568,原始数据_利率互换_FR007_1年!$A$6:$C$4395,3,0),"")</f>
        <v>2.6218</v>
      </c>
    </row>
    <row r="5569" spans="1:9">
      <c r="A5569" s="6">
        <v>45062</v>
      </c>
      <c r="B5569">
        <f>IFERROR(VLOOKUP($A5569,原始数据_收盘!$A$4:$G$3460,2,0),"")</f>
        <v>2.1725</v>
      </c>
      <c r="C5569">
        <f>IFERROR(VLOOKUP($A5569,原始数据_收盘!$A$4:$G$3460,3,0),"")</f>
        <v>2.6265</v>
      </c>
      <c r="D5569">
        <f>IFERROR(VLOOKUP($A5569,原始数据_收盘!$A$4:$G$3460,4,0),"")</f>
        <v>2.1775</v>
      </c>
      <c r="E5569">
        <f>IFERROR(VLOOKUP($A5569,原始数据_收盘!$A$4:$G$3460,5,0),"")</f>
        <v>2.6294</v>
      </c>
      <c r="F5569">
        <f>IFERROR(VLOOKUP($A5569,原始数据_收盘!$A$4:$G$3460,6,0),"")</f>
        <v>2.175</v>
      </c>
      <c r="G5569">
        <f>IFERROR(VLOOKUP($A5569,原始数据_收盘!$A$4:$G$3460,7,0),"")</f>
        <v>2.6279</v>
      </c>
      <c r="H5569">
        <f>IFERROR(VLOOKUP($A5569,原始数据_利率互换_FR007_1年!$A$6:$C$4395,2,0),"")</f>
        <v>2.1794</v>
      </c>
      <c r="I5569">
        <f>IFERROR(VLOOKUP($A5569,原始数据_利率互换_FR007_1年!$A$6:$C$4395,3,0),"")</f>
        <v>2.6344</v>
      </c>
    </row>
    <row r="5570" spans="1:9">
      <c r="A5570" s="6">
        <v>45063</v>
      </c>
      <c r="B5570">
        <f>IFERROR(VLOOKUP($A5570,原始数据_收盘!$A$4:$G$3460,2,0),"")</f>
        <v>2.1825</v>
      </c>
      <c r="C5570">
        <f>IFERROR(VLOOKUP($A5570,原始数据_收盘!$A$4:$G$3460,3,0),"")</f>
        <v>2.6457</v>
      </c>
      <c r="D5570">
        <f>IFERROR(VLOOKUP($A5570,原始数据_收盘!$A$4:$G$3460,4,0),"")</f>
        <v>2.1846</v>
      </c>
      <c r="E5570">
        <f>IFERROR(VLOOKUP($A5570,原始数据_收盘!$A$4:$G$3460,5,0),"")</f>
        <v>2.6482</v>
      </c>
      <c r="F5570">
        <f>IFERROR(VLOOKUP($A5570,原始数据_收盘!$A$4:$G$3460,6,0),"")</f>
        <v>2.1835</v>
      </c>
      <c r="G5570">
        <f>IFERROR(VLOOKUP($A5570,原始数据_收盘!$A$4:$G$3460,7,0),"")</f>
        <v>2.647</v>
      </c>
      <c r="H5570">
        <f>IFERROR(VLOOKUP($A5570,原始数据_利率互换_FR007_1年!$A$6:$C$4395,2,0),"")</f>
        <v>2.1709</v>
      </c>
      <c r="I5570">
        <f>IFERROR(VLOOKUP($A5570,原始数据_利率互换_FR007_1年!$A$6:$C$4395,3,0),"")</f>
        <v>2.6348</v>
      </c>
    </row>
    <row r="5571" spans="1:9">
      <c r="A5571" s="6">
        <v>45064</v>
      </c>
      <c r="B5571">
        <f>IFERROR(VLOOKUP($A5571,原始数据_收盘!$A$4:$G$3460,2,0),"")</f>
        <v>2.1624</v>
      </c>
      <c r="C5571">
        <f>IFERROR(VLOOKUP($A5571,原始数据_收盘!$A$4:$G$3460,3,0),"")</f>
        <v>2.6325</v>
      </c>
      <c r="D5571">
        <f>IFERROR(VLOOKUP($A5571,原始数据_收盘!$A$4:$G$3460,4,0),"")</f>
        <v>2.165</v>
      </c>
      <c r="E5571">
        <f>IFERROR(VLOOKUP($A5571,原始数据_收盘!$A$4:$G$3460,5,0),"")</f>
        <v>2.6375</v>
      </c>
      <c r="F5571">
        <f>IFERROR(VLOOKUP($A5571,原始数据_收盘!$A$4:$G$3460,6,0),"")</f>
        <v>2.1637</v>
      </c>
      <c r="G5571">
        <f>IFERROR(VLOOKUP($A5571,原始数据_收盘!$A$4:$G$3460,7,0),"")</f>
        <v>2.635</v>
      </c>
      <c r="H5571">
        <f>IFERROR(VLOOKUP($A5571,原始数据_利率互换_FR007_1年!$A$6:$C$4395,2,0),"")</f>
        <v>2.177</v>
      </c>
      <c r="I5571">
        <f>IFERROR(VLOOKUP($A5571,原始数据_利率互换_FR007_1年!$A$6:$C$4395,3,0),"")</f>
        <v>2.6497</v>
      </c>
    </row>
    <row r="5572" spans="1:9">
      <c r="A5572" s="6">
        <v>45065</v>
      </c>
      <c r="B5572">
        <f>IFERROR(VLOOKUP($A5572,原始数据_收盘!$A$4:$G$3460,2,0),"")</f>
        <v>2.1325</v>
      </c>
      <c r="C5572">
        <f>IFERROR(VLOOKUP($A5572,原始数据_收盘!$A$4:$G$3460,3,0),"")</f>
        <v>2.6025</v>
      </c>
      <c r="D5572">
        <f>IFERROR(VLOOKUP($A5572,原始数据_收盘!$A$4:$G$3460,4,0),"")</f>
        <v>2.1364</v>
      </c>
      <c r="E5572">
        <f>IFERROR(VLOOKUP($A5572,原始数据_收盘!$A$4:$G$3460,5,0),"")</f>
        <v>2.6075</v>
      </c>
      <c r="F5572">
        <f>IFERROR(VLOOKUP($A5572,原始数据_收盘!$A$4:$G$3460,6,0),"")</f>
        <v>2.1344</v>
      </c>
      <c r="G5572">
        <f>IFERROR(VLOOKUP($A5572,原始数据_收盘!$A$4:$G$3460,7,0),"")</f>
        <v>2.605</v>
      </c>
      <c r="H5572">
        <f>IFERROR(VLOOKUP($A5572,原始数据_利率互换_FR007_1年!$A$6:$C$4395,2,0),"")</f>
        <v>2.1478</v>
      </c>
      <c r="I5572">
        <f>IFERROR(VLOOKUP($A5572,原始数据_利率互换_FR007_1年!$A$6:$C$4395,3,0),"")</f>
        <v>2.6191</v>
      </c>
    </row>
    <row r="5573" spans="1:9">
      <c r="A5573" s="6">
        <v>45066</v>
      </c>
      <c r="B5573" t="str">
        <f>IFERROR(VLOOKUP($A5573,原始数据_收盘!$A$4:$G$3460,2,0),"")</f>
        <v/>
      </c>
      <c r="C5573" t="str">
        <f>IFERROR(VLOOKUP($A5573,原始数据_收盘!$A$4:$G$3460,3,0),"")</f>
        <v/>
      </c>
      <c r="D5573" t="str">
        <f>IFERROR(VLOOKUP($A5573,原始数据_收盘!$A$4:$G$3460,4,0),"")</f>
        <v/>
      </c>
      <c r="E5573" t="str">
        <f>IFERROR(VLOOKUP($A5573,原始数据_收盘!$A$4:$G$3460,5,0),"")</f>
        <v/>
      </c>
      <c r="F5573" t="str">
        <f>IFERROR(VLOOKUP($A5573,原始数据_收盘!$A$4:$G$3460,6,0),"")</f>
        <v/>
      </c>
      <c r="G5573" t="str">
        <f>IFERROR(VLOOKUP($A5573,原始数据_收盘!$A$4:$G$3460,7,0),"")</f>
        <v/>
      </c>
      <c r="H5573" t="str">
        <f>IFERROR(VLOOKUP($A5573,原始数据_利率互换_FR007_1年!$A$6:$C$4395,2,0),"")</f>
        <v/>
      </c>
      <c r="I5573" t="str">
        <f>IFERROR(VLOOKUP($A5573,原始数据_利率互换_FR007_1年!$A$6:$C$4395,3,0),"")</f>
        <v/>
      </c>
    </row>
    <row r="5574" spans="1:9">
      <c r="A5574" s="6">
        <v>45067</v>
      </c>
      <c r="B5574" t="str">
        <f>IFERROR(VLOOKUP($A5574,原始数据_收盘!$A$4:$G$3460,2,0),"")</f>
        <v/>
      </c>
      <c r="C5574" t="str">
        <f>IFERROR(VLOOKUP($A5574,原始数据_收盘!$A$4:$G$3460,3,0),"")</f>
        <v/>
      </c>
      <c r="D5574" t="str">
        <f>IFERROR(VLOOKUP($A5574,原始数据_收盘!$A$4:$G$3460,4,0),"")</f>
        <v/>
      </c>
      <c r="E5574" t="str">
        <f>IFERROR(VLOOKUP($A5574,原始数据_收盘!$A$4:$G$3460,5,0),"")</f>
        <v/>
      </c>
      <c r="F5574" t="str">
        <f>IFERROR(VLOOKUP($A5574,原始数据_收盘!$A$4:$G$3460,6,0),"")</f>
        <v/>
      </c>
      <c r="G5574" t="str">
        <f>IFERROR(VLOOKUP($A5574,原始数据_收盘!$A$4:$G$3460,7,0),"")</f>
        <v/>
      </c>
      <c r="H5574" t="str">
        <f>IFERROR(VLOOKUP($A5574,原始数据_利率互换_FR007_1年!$A$6:$C$4395,2,0),"")</f>
        <v/>
      </c>
      <c r="I5574" t="str">
        <f>IFERROR(VLOOKUP($A5574,原始数据_利率互换_FR007_1年!$A$6:$C$4395,3,0),"")</f>
        <v/>
      </c>
    </row>
    <row r="5575" spans="1:9">
      <c r="A5575" s="6">
        <v>45068</v>
      </c>
      <c r="B5575">
        <f>IFERROR(VLOOKUP($A5575,原始数据_收盘!$A$4:$G$3460,2,0),"")</f>
        <v>2.1075</v>
      </c>
      <c r="C5575">
        <f>IFERROR(VLOOKUP($A5575,原始数据_收盘!$A$4:$G$3460,3,0),"")</f>
        <v>2.565</v>
      </c>
      <c r="D5575">
        <f>IFERROR(VLOOKUP($A5575,原始数据_收盘!$A$4:$G$3460,4,0),"")</f>
        <v>2.11</v>
      </c>
      <c r="E5575">
        <f>IFERROR(VLOOKUP($A5575,原始数据_收盘!$A$4:$G$3460,5,0),"")</f>
        <v>2.5675</v>
      </c>
      <c r="F5575">
        <f>IFERROR(VLOOKUP($A5575,原始数据_收盘!$A$4:$G$3460,6,0),"")</f>
        <v>2.1088</v>
      </c>
      <c r="G5575">
        <f>IFERROR(VLOOKUP($A5575,原始数据_收盘!$A$4:$G$3460,7,0),"")</f>
        <v>2.5663</v>
      </c>
      <c r="H5575">
        <f>IFERROR(VLOOKUP($A5575,原始数据_利率互换_FR007_1年!$A$6:$C$4395,2,0),"")</f>
        <v>2.1126</v>
      </c>
      <c r="I5575">
        <f>IFERROR(VLOOKUP($A5575,原始数据_利率互换_FR007_1年!$A$6:$C$4395,3,0),"")</f>
        <v>2.5773</v>
      </c>
    </row>
    <row r="5576" spans="1:9">
      <c r="A5576" s="6">
        <v>45069</v>
      </c>
      <c r="B5576">
        <f>IFERROR(VLOOKUP($A5576,原始数据_收盘!$A$4:$G$3460,2,0),"")</f>
        <v>2.0875</v>
      </c>
      <c r="C5576">
        <f>IFERROR(VLOOKUP($A5576,原始数据_收盘!$A$4:$G$3460,3,0),"")</f>
        <v>2.5225</v>
      </c>
      <c r="D5576">
        <f>IFERROR(VLOOKUP($A5576,原始数据_收盘!$A$4:$G$3460,4,0),"")</f>
        <v>2.09</v>
      </c>
      <c r="E5576">
        <f>IFERROR(VLOOKUP($A5576,原始数据_收盘!$A$4:$G$3460,5,0),"")</f>
        <v>2.525</v>
      </c>
      <c r="F5576">
        <f>IFERROR(VLOOKUP($A5576,原始数据_收盘!$A$4:$G$3460,6,0),"")</f>
        <v>2.0888</v>
      </c>
      <c r="G5576">
        <f>IFERROR(VLOOKUP($A5576,原始数据_收盘!$A$4:$G$3460,7,0),"")</f>
        <v>2.5238</v>
      </c>
      <c r="H5576">
        <f>IFERROR(VLOOKUP($A5576,原始数据_利率互换_FR007_1年!$A$6:$C$4395,2,0),"")</f>
        <v>2.0731</v>
      </c>
      <c r="I5576">
        <f>IFERROR(VLOOKUP($A5576,原始数据_利率互换_FR007_1年!$A$6:$C$4395,3,0),"")</f>
        <v>2.5177</v>
      </c>
    </row>
    <row r="5577" spans="1:9">
      <c r="A5577" s="6">
        <v>45070</v>
      </c>
      <c r="B5577">
        <f>IFERROR(VLOOKUP($A5577,原始数据_收盘!$A$4:$G$3460,2,0),"")</f>
        <v>2.1067</v>
      </c>
      <c r="C5577">
        <f>IFERROR(VLOOKUP($A5577,原始数据_收盘!$A$4:$G$3460,3,0),"")</f>
        <v>2.5492</v>
      </c>
      <c r="D5577">
        <f>IFERROR(VLOOKUP($A5577,原始数据_收盘!$A$4:$G$3460,4,0),"")</f>
        <v>2.1102</v>
      </c>
      <c r="E5577">
        <f>IFERROR(VLOOKUP($A5577,原始数据_收盘!$A$4:$G$3460,5,0),"")</f>
        <v>2.5525</v>
      </c>
      <c r="F5577">
        <f>IFERROR(VLOOKUP($A5577,原始数据_收盘!$A$4:$G$3460,6,0),"")</f>
        <v>2.1084</v>
      </c>
      <c r="G5577">
        <f>IFERROR(VLOOKUP($A5577,原始数据_收盘!$A$4:$G$3460,7,0),"")</f>
        <v>2.5508</v>
      </c>
      <c r="H5577">
        <f>IFERROR(VLOOKUP($A5577,原始数据_利率互换_FR007_1年!$A$6:$C$4395,2,0),"")</f>
        <v>2.0947</v>
      </c>
      <c r="I5577">
        <f>IFERROR(VLOOKUP($A5577,原始数据_利率互换_FR007_1年!$A$6:$C$4395,3,0),"")</f>
        <v>2.534</v>
      </c>
    </row>
    <row r="5578" spans="1:9">
      <c r="A5578" s="6">
        <v>45071</v>
      </c>
      <c r="B5578">
        <f>IFERROR(VLOOKUP($A5578,原始数据_收盘!$A$4:$G$3460,2,0),"")</f>
        <v>2.0975</v>
      </c>
      <c r="C5578">
        <f>IFERROR(VLOOKUP($A5578,原始数据_收盘!$A$4:$G$3460,3,0),"")</f>
        <v>2.5413</v>
      </c>
      <c r="D5578">
        <f>IFERROR(VLOOKUP($A5578,原始数据_收盘!$A$4:$G$3460,4,0),"")</f>
        <v>2.1025</v>
      </c>
      <c r="E5578">
        <f>IFERROR(VLOOKUP($A5578,原始数据_收盘!$A$4:$G$3460,5,0),"")</f>
        <v>2.545</v>
      </c>
      <c r="F5578">
        <f>IFERROR(VLOOKUP($A5578,原始数据_收盘!$A$4:$G$3460,6,0),"")</f>
        <v>2.1</v>
      </c>
      <c r="G5578">
        <f>IFERROR(VLOOKUP($A5578,原始数据_收盘!$A$4:$G$3460,7,0),"")</f>
        <v>2.5432</v>
      </c>
      <c r="H5578">
        <f>IFERROR(VLOOKUP($A5578,原始数据_利率互换_FR007_1年!$A$6:$C$4395,2,0),"")</f>
        <v>2.1073</v>
      </c>
      <c r="I5578">
        <f>IFERROR(VLOOKUP($A5578,原始数据_利率互换_FR007_1年!$A$6:$C$4395,3,0),"")</f>
        <v>2.5491</v>
      </c>
    </row>
    <row r="5579" spans="1:9">
      <c r="A5579" s="6">
        <v>45072</v>
      </c>
      <c r="B5579">
        <f>IFERROR(VLOOKUP($A5579,原始数据_收盘!$A$4:$G$3460,2,0),"")</f>
        <v>2.11</v>
      </c>
      <c r="C5579">
        <f>IFERROR(VLOOKUP($A5579,原始数据_收盘!$A$4:$G$3460,3,0),"")</f>
        <v>2.5619</v>
      </c>
      <c r="D5579">
        <f>IFERROR(VLOOKUP($A5579,原始数据_收盘!$A$4:$G$3460,4,0),"")</f>
        <v>2.1125</v>
      </c>
      <c r="E5579">
        <f>IFERROR(VLOOKUP($A5579,原始数据_收盘!$A$4:$G$3460,5,0),"")</f>
        <v>2.5641</v>
      </c>
      <c r="F5579">
        <f>IFERROR(VLOOKUP($A5579,原始数据_收盘!$A$4:$G$3460,6,0),"")</f>
        <v>2.1113</v>
      </c>
      <c r="G5579">
        <f>IFERROR(VLOOKUP($A5579,原始数据_收盘!$A$4:$G$3460,7,0),"")</f>
        <v>2.563</v>
      </c>
      <c r="H5579">
        <f>IFERROR(VLOOKUP($A5579,原始数据_利率互换_FR007_1年!$A$6:$C$4395,2,0),"")</f>
        <v>2.1029</v>
      </c>
      <c r="I5579">
        <f>IFERROR(VLOOKUP($A5579,原始数据_利率互换_FR007_1年!$A$6:$C$4395,3,0),"")</f>
        <v>2.5494</v>
      </c>
    </row>
    <row r="5580" spans="1:9">
      <c r="A5580" s="6">
        <v>45073</v>
      </c>
      <c r="B5580" t="str">
        <f>IFERROR(VLOOKUP($A5580,原始数据_收盘!$A$4:$G$3460,2,0),"")</f>
        <v/>
      </c>
      <c r="C5580" t="str">
        <f>IFERROR(VLOOKUP($A5580,原始数据_收盘!$A$4:$G$3460,3,0),"")</f>
        <v/>
      </c>
      <c r="D5580" t="str">
        <f>IFERROR(VLOOKUP($A5580,原始数据_收盘!$A$4:$G$3460,4,0),"")</f>
        <v/>
      </c>
      <c r="E5580" t="str">
        <f>IFERROR(VLOOKUP($A5580,原始数据_收盘!$A$4:$G$3460,5,0),"")</f>
        <v/>
      </c>
      <c r="F5580" t="str">
        <f>IFERROR(VLOOKUP($A5580,原始数据_收盘!$A$4:$G$3460,6,0),"")</f>
        <v/>
      </c>
      <c r="G5580" t="str">
        <f>IFERROR(VLOOKUP($A5580,原始数据_收盘!$A$4:$G$3460,7,0),"")</f>
        <v/>
      </c>
      <c r="H5580" t="str">
        <f>IFERROR(VLOOKUP($A5580,原始数据_利率互换_FR007_1年!$A$6:$C$4395,2,0),"")</f>
        <v/>
      </c>
      <c r="I5580" t="str">
        <f>IFERROR(VLOOKUP($A5580,原始数据_利率互换_FR007_1年!$A$6:$C$4395,3,0),"")</f>
        <v/>
      </c>
    </row>
    <row r="5581" spans="1:9">
      <c r="A5581" s="6">
        <v>45074</v>
      </c>
      <c r="B5581" t="str">
        <f>IFERROR(VLOOKUP($A5581,原始数据_收盘!$A$4:$G$3460,2,0),"")</f>
        <v/>
      </c>
      <c r="C5581" t="str">
        <f>IFERROR(VLOOKUP($A5581,原始数据_收盘!$A$4:$G$3460,3,0),"")</f>
        <v/>
      </c>
      <c r="D5581" t="str">
        <f>IFERROR(VLOOKUP($A5581,原始数据_收盘!$A$4:$G$3460,4,0),"")</f>
        <v/>
      </c>
      <c r="E5581" t="str">
        <f>IFERROR(VLOOKUP($A5581,原始数据_收盘!$A$4:$G$3460,5,0),"")</f>
        <v/>
      </c>
      <c r="F5581" t="str">
        <f>IFERROR(VLOOKUP($A5581,原始数据_收盘!$A$4:$G$3460,6,0),"")</f>
        <v/>
      </c>
      <c r="G5581" t="str">
        <f>IFERROR(VLOOKUP($A5581,原始数据_收盘!$A$4:$G$3460,7,0),"")</f>
        <v/>
      </c>
      <c r="H5581" t="str">
        <f>IFERROR(VLOOKUP($A5581,原始数据_利率互换_FR007_1年!$A$6:$C$4395,2,0),"")</f>
        <v/>
      </c>
      <c r="I5581" t="str">
        <f>IFERROR(VLOOKUP($A5581,原始数据_利率互换_FR007_1年!$A$6:$C$4395,3,0),"")</f>
        <v/>
      </c>
    </row>
    <row r="5582" spans="1:9">
      <c r="A5582" s="6">
        <v>45075</v>
      </c>
      <c r="B5582">
        <f>IFERROR(VLOOKUP($A5582,原始数据_收盘!$A$4:$G$3460,2,0),"")</f>
        <v>2.095</v>
      </c>
      <c r="C5582">
        <f>IFERROR(VLOOKUP($A5582,原始数据_收盘!$A$4:$G$3460,3,0),"")</f>
        <v>2.5375</v>
      </c>
      <c r="D5582">
        <f>IFERROR(VLOOKUP($A5582,原始数据_收盘!$A$4:$G$3460,4,0),"")</f>
        <v>2.0985</v>
      </c>
      <c r="E5582">
        <f>IFERROR(VLOOKUP($A5582,原始数据_收盘!$A$4:$G$3460,5,0),"")</f>
        <v>2.54</v>
      </c>
      <c r="F5582">
        <f>IFERROR(VLOOKUP($A5582,原始数据_收盘!$A$4:$G$3460,6,0),"")</f>
        <v>2.0968</v>
      </c>
      <c r="G5582">
        <f>IFERROR(VLOOKUP($A5582,原始数据_收盘!$A$4:$G$3460,7,0),"")</f>
        <v>2.5388</v>
      </c>
      <c r="H5582">
        <f>IFERROR(VLOOKUP($A5582,原始数据_利率互换_FR007_1年!$A$6:$C$4395,2,0),"")</f>
        <v>2.101</v>
      </c>
      <c r="I5582">
        <f>IFERROR(VLOOKUP($A5582,原始数据_利率互换_FR007_1年!$A$6:$C$4395,3,0),"")</f>
        <v>2.5503</v>
      </c>
    </row>
    <row r="5583" spans="1:9">
      <c r="A5583" s="6">
        <v>45076</v>
      </c>
      <c r="B5583">
        <f>IFERROR(VLOOKUP($A5583,原始数据_收盘!$A$4:$G$3460,2,0),"")</f>
        <v>2.1013</v>
      </c>
      <c r="C5583">
        <f>IFERROR(VLOOKUP($A5583,原始数据_收盘!$A$4:$G$3460,3,0),"")</f>
        <v>2.55</v>
      </c>
      <c r="D5583">
        <f>IFERROR(VLOOKUP($A5583,原始数据_收盘!$A$4:$G$3460,4,0),"")</f>
        <v>2.105</v>
      </c>
      <c r="E5583">
        <f>IFERROR(VLOOKUP($A5583,原始数据_收盘!$A$4:$G$3460,5,0),"")</f>
        <v>2.5525</v>
      </c>
      <c r="F5583">
        <f>IFERROR(VLOOKUP($A5583,原始数据_收盘!$A$4:$G$3460,6,0),"")</f>
        <v>2.1032</v>
      </c>
      <c r="G5583">
        <f>IFERROR(VLOOKUP($A5583,原始数据_收盘!$A$4:$G$3460,7,0),"")</f>
        <v>2.5513</v>
      </c>
      <c r="H5583">
        <f>IFERROR(VLOOKUP($A5583,原始数据_利率互换_FR007_1年!$A$6:$C$4395,2,0),"")</f>
        <v>2.0926</v>
      </c>
      <c r="I5583">
        <f>IFERROR(VLOOKUP($A5583,原始数据_利率互换_FR007_1年!$A$6:$C$4395,3,0),"")</f>
        <v>2.5331</v>
      </c>
    </row>
    <row r="5584" spans="1:9">
      <c r="A5584" s="6">
        <v>45077</v>
      </c>
      <c r="B5584">
        <f>IFERROR(VLOOKUP($A5584,原始数据_收盘!$A$4:$G$3460,2,0),"")</f>
        <v>2.0664</v>
      </c>
      <c r="C5584">
        <f>IFERROR(VLOOKUP($A5584,原始数据_收盘!$A$4:$G$3460,3,0),"")</f>
        <v>2.5139</v>
      </c>
      <c r="D5584">
        <f>IFERROR(VLOOKUP($A5584,原始数据_收盘!$A$4:$G$3460,4,0),"")</f>
        <v>2.069</v>
      </c>
      <c r="E5584">
        <f>IFERROR(VLOOKUP($A5584,原始数据_收盘!$A$4:$G$3460,5,0),"")</f>
        <v>2.517</v>
      </c>
      <c r="F5584">
        <f>IFERROR(VLOOKUP($A5584,原始数据_收盘!$A$4:$G$3460,6,0),"")</f>
        <v>2.0677</v>
      </c>
      <c r="G5584">
        <f>IFERROR(VLOOKUP($A5584,原始数据_收盘!$A$4:$G$3460,7,0),"")</f>
        <v>2.5155</v>
      </c>
      <c r="H5584">
        <f>IFERROR(VLOOKUP($A5584,原始数据_利率互换_FR007_1年!$A$6:$C$4395,2,0),"")</f>
        <v>2.085</v>
      </c>
      <c r="I5584">
        <f>IFERROR(VLOOKUP($A5584,原始数据_利率互换_FR007_1年!$A$6:$C$4395,3,0),"")</f>
        <v>2.5349</v>
      </c>
    </row>
    <row r="5585" spans="1:9">
      <c r="A5585" s="6">
        <v>45078</v>
      </c>
      <c r="B5585">
        <f>IFERROR(VLOOKUP($A5585,原始数据_收盘!$A$4:$G$3460,2,0),"")</f>
        <v>2.05</v>
      </c>
      <c r="C5585">
        <f>IFERROR(VLOOKUP($A5585,原始数据_收盘!$A$4:$G$3460,3,0),"")</f>
        <v>2.4932</v>
      </c>
      <c r="D5585">
        <f>IFERROR(VLOOKUP($A5585,原始数据_收盘!$A$4:$G$3460,4,0),"")</f>
        <v>2.0529</v>
      </c>
      <c r="E5585">
        <f>IFERROR(VLOOKUP($A5585,原始数据_收盘!$A$4:$G$3460,5,0),"")</f>
        <v>2.4957</v>
      </c>
      <c r="F5585">
        <f>IFERROR(VLOOKUP($A5585,原始数据_收盘!$A$4:$G$3460,6,0),"")</f>
        <v>2.0515</v>
      </c>
      <c r="G5585">
        <f>IFERROR(VLOOKUP($A5585,原始数据_收盘!$A$4:$G$3460,7,0),"")</f>
        <v>2.4945</v>
      </c>
      <c r="H5585">
        <f>IFERROR(VLOOKUP($A5585,原始数据_利率互换_FR007_1年!$A$6:$C$4395,2,0),"")</f>
        <v>2.0597</v>
      </c>
      <c r="I5585">
        <f>IFERROR(VLOOKUP($A5585,原始数据_利率互换_FR007_1年!$A$6:$C$4395,3,0),"")</f>
        <v>2.5028</v>
      </c>
    </row>
    <row r="5586" spans="1:9">
      <c r="A5586" s="6">
        <v>45079</v>
      </c>
      <c r="B5586">
        <f>IFERROR(VLOOKUP($A5586,原始数据_收盘!$A$4:$G$3460,2,0),"")</f>
        <v>2.0825</v>
      </c>
      <c r="C5586">
        <f>IFERROR(VLOOKUP($A5586,原始数据_收盘!$A$4:$G$3460,3,0),"")</f>
        <v>2.5475</v>
      </c>
      <c r="D5586">
        <f>IFERROR(VLOOKUP($A5586,原始数据_收盘!$A$4:$G$3460,4,0),"")</f>
        <v>2.0875</v>
      </c>
      <c r="E5586">
        <f>IFERROR(VLOOKUP($A5586,原始数据_收盘!$A$4:$G$3460,5,0),"")</f>
        <v>2.55</v>
      </c>
      <c r="F5586">
        <f>IFERROR(VLOOKUP($A5586,原始数据_收盘!$A$4:$G$3460,6,0),"")</f>
        <v>2.085</v>
      </c>
      <c r="G5586">
        <f>IFERROR(VLOOKUP($A5586,原始数据_收盘!$A$4:$G$3460,7,0),"")</f>
        <v>2.5488</v>
      </c>
      <c r="H5586">
        <f>IFERROR(VLOOKUP($A5586,原始数据_利率互换_FR007_1年!$A$6:$C$4395,2,0),"")</f>
        <v>2.0722</v>
      </c>
      <c r="I5586">
        <f>IFERROR(VLOOKUP($A5586,原始数据_利率互换_FR007_1年!$A$6:$C$4395,3,0),"")</f>
        <v>2.5305</v>
      </c>
    </row>
    <row r="5587" spans="1:9">
      <c r="A5587" s="6">
        <v>45080</v>
      </c>
      <c r="B5587" t="str">
        <f>IFERROR(VLOOKUP($A5587,原始数据_收盘!$A$4:$G$3460,2,0),"")</f>
        <v/>
      </c>
      <c r="C5587" t="str">
        <f>IFERROR(VLOOKUP($A5587,原始数据_收盘!$A$4:$G$3460,3,0),"")</f>
        <v/>
      </c>
      <c r="D5587" t="str">
        <f>IFERROR(VLOOKUP($A5587,原始数据_收盘!$A$4:$G$3460,4,0),"")</f>
        <v/>
      </c>
      <c r="E5587" t="str">
        <f>IFERROR(VLOOKUP($A5587,原始数据_收盘!$A$4:$G$3460,5,0),"")</f>
        <v/>
      </c>
      <c r="F5587" t="str">
        <f>IFERROR(VLOOKUP($A5587,原始数据_收盘!$A$4:$G$3460,6,0),"")</f>
        <v/>
      </c>
      <c r="G5587" t="str">
        <f>IFERROR(VLOOKUP($A5587,原始数据_收盘!$A$4:$G$3460,7,0),"")</f>
        <v/>
      </c>
      <c r="H5587" t="str">
        <f>IFERROR(VLOOKUP($A5587,原始数据_利率互换_FR007_1年!$A$6:$C$4395,2,0),"")</f>
        <v/>
      </c>
      <c r="I5587" t="str">
        <f>IFERROR(VLOOKUP($A5587,原始数据_利率互换_FR007_1年!$A$6:$C$4395,3,0),"")</f>
        <v/>
      </c>
    </row>
    <row r="5588" spans="1:9">
      <c r="A5588" s="6">
        <v>45081</v>
      </c>
      <c r="B5588" t="str">
        <f>IFERROR(VLOOKUP($A5588,原始数据_收盘!$A$4:$G$3460,2,0),"")</f>
        <v/>
      </c>
      <c r="C5588" t="str">
        <f>IFERROR(VLOOKUP($A5588,原始数据_收盘!$A$4:$G$3460,3,0),"")</f>
        <v/>
      </c>
      <c r="D5588" t="str">
        <f>IFERROR(VLOOKUP($A5588,原始数据_收盘!$A$4:$G$3460,4,0),"")</f>
        <v/>
      </c>
      <c r="E5588" t="str">
        <f>IFERROR(VLOOKUP($A5588,原始数据_收盘!$A$4:$G$3460,5,0),"")</f>
        <v/>
      </c>
      <c r="F5588" t="str">
        <f>IFERROR(VLOOKUP($A5588,原始数据_收盘!$A$4:$G$3460,6,0),"")</f>
        <v/>
      </c>
      <c r="G5588" t="str">
        <f>IFERROR(VLOOKUP($A5588,原始数据_收盘!$A$4:$G$3460,7,0),"")</f>
        <v/>
      </c>
      <c r="H5588" t="str">
        <f>IFERROR(VLOOKUP($A5588,原始数据_利率互换_FR007_1年!$A$6:$C$4395,2,0),"")</f>
        <v/>
      </c>
      <c r="I5588" t="str">
        <f>IFERROR(VLOOKUP($A5588,原始数据_利率互换_FR007_1年!$A$6:$C$4395,3,0),"")</f>
        <v/>
      </c>
    </row>
    <row r="5589" spans="1:9">
      <c r="A5589" s="6">
        <v>45082</v>
      </c>
      <c r="B5589">
        <f>IFERROR(VLOOKUP($A5589,原始数据_收盘!$A$4:$G$3460,2,0),"")</f>
        <v>2.0725</v>
      </c>
      <c r="C5589">
        <f>IFERROR(VLOOKUP($A5589,原始数据_收盘!$A$4:$G$3460,3,0),"")</f>
        <v>2.5365</v>
      </c>
      <c r="D5589">
        <f>IFERROR(VLOOKUP($A5589,原始数据_收盘!$A$4:$G$3460,4,0),"")</f>
        <v>2.0762</v>
      </c>
      <c r="E5589">
        <f>IFERROR(VLOOKUP($A5589,原始数据_收盘!$A$4:$G$3460,5,0),"")</f>
        <v>2.54</v>
      </c>
      <c r="F5589">
        <f>IFERROR(VLOOKUP($A5589,原始数据_收盘!$A$4:$G$3460,6,0),"")</f>
        <v>2.0743</v>
      </c>
      <c r="G5589">
        <f>IFERROR(VLOOKUP($A5589,原始数据_收盘!$A$4:$G$3460,7,0),"")</f>
        <v>2.5383</v>
      </c>
      <c r="H5589">
        <f>IFERROR(VLOOKUP($A5589,原始数据_利率互换_FR007_1年!$A$6:$C$4395,2,0),"")</f>
        <v>2.0722</v>
      </c>
      <c r="I5589">
        <f>IFERROR(VLOOKUP($A5589,原始数据_利率互换_FR007_1年!$A$6:$C$4395,3,0),"")</f>
        <v>2.5394</v>
      </c>
    </row>
    <row r="5590" spans="1:9">
      <c r="A5590" s="6">
        <v>45083</v>
      </c>
      <c r="B5590">
        <f>IFERROR(VLOOKUP($A5590,原始数据_收盘!$A$4:$G$3460,2,0),"")</f>
        <v>2.055</v>
      </c>
      <c r="C5590">
        <f>IFERROR(VLOOKUP($A5590,原始数据_收盘!$A$4:$G$3460,3,0),"")</f>
        <v>2.5054</v>
      </c>
      <c r="D5590">
        <f>IFERROR(VLOOKUP($A5590,原始数据_收盘!$A$4:$G$3460,4,0),"")</f>
        <v>2.058</v>
      </c>
      <c r="E5590">
        <f>IFERROR(VLOOKUP($A5590,原始数据_收盘!$A$4:$G$3460,5,0),"")</f>
        <v>2.5085</v>
      </c>
      <c r="F5590">
        <f>IFERROR(VLOOKUP($A5590,原始数据_收盘!$A$4:$G$3460,6,0),"")</f>
        <v>2.0565</v>
      </c>
      <c r="G5590">
        <f>IFERROR(VLOOKUP($A5590,原始数据_收盘!$A$4:$G$3460,7,0),"")</f>
        <v>2.507</v>
      </c>
      <c r="H5590">
        <f>IFERROR(VLOOKUP($A5590,原始数据_利率互换_FR007_1年!$A$6:$C$4395,2,0),"")</f>
        <v>2.0616</v>
      </c>
      <c r="I5590">
        <f>IFERROR(VLOOKUP($A5590,原始数据_利率互换_FR007_1年!$A$6:$C$4395,3,0),"")</f>
        <v>2.5193</v>
      </c>
    </row>
    <row r="5591" spans="1:9">
      <c r="A5591" s="6">
        <v>45084</v>
      </c>
      <c r="B5591">
        <f>IFERROR(VLOOKUP($A5591,原始数据_收盘!$A$4:$G$3460,2,0),"")</f>
        <v>2.0676</v>
      </c>
      <c r="C5591">
        <f>IFERROR(VLOOKUP($A5591,原始数据_收盘!$A$4:$G$3460,3,0),"")</f>
        <v>2.5122</v>
      </c>
      <c r="D5591">
        <f>IFERROR(VLOOKUP($A5591,原始数据_收盘!$A$4:$G$3460,4,0),"")</f>
        <v>2.0707</v>
      </c>
      <c r="E5591">
        <f>IFERROR(VLOOKUP($A5591,原始数据_收盘!$A$4:$G$3460,5,0),"")</f>
        <v>2.5151</v>
      </c>
      <c r="F5591">
        <f>IFERROR(VLOOKUP($A5591,原始数据_收盘!$A$4:$G$3460,6,0),"")</f>
        <v>2.0691</v>
      </c>
      <c r="G5591">
        <f>IFERROR(VLOOKUP($A5591,原始数据_收盘!$A$4:$G$3460,7,0),"")</f>
        <v>2.5136</v>
      </c>
      <c r="H5591">
        <f>IFERROR(VLOOKUP($A5591,原始数据_利率互换_FR007_1年!$A$6:$C$4395,2,0),"")</f>
        <v>2.0618</v>
      </c>
      <c r="I5591">
        <f>IFERROR(VLOOKUP($A5591,原始数据_利率互换_FR007_1年!$A$6:$C$4395,3,0),"")</f>
        <v>2.5089</v>
      </c>
    </row>
    <row r="5592" spans="1:9">
      <c r="A5592" s="6">
        <v>45085</v>
      </c>
      <c r="B5592">
        <f>IFERROR(VLOOKUP($A5592,原始数据_收盘!$A$4:$G$3460,2,0),"")</f>
        <v>2.065</v>
      </c>
      <c r="C5592">
        <f>IFERROR(VLOOKUP($A5592,原始数据_收盘!$A$4:$G$3460,3,0),"")</f>
        <v>2.522</v>
      </c>
      <c r="D5592">
        <f>IFERROR(VLOOKUP($A5592,原始数据_收盘!$A$4:$G$3460,4,0),"")</f>
        <v>2.0675</v>
      </c>
      <c r="E5592">
        <f>IFERROR(VLOOKUP($A5592,原始数据_收盘!$A$4:$G$3460,5,0),"")</f>
        <v>2.525</v>
      </c>
      <c r="F5592">
        <f>IFERROR(VLOOKUP($A5592,原始数据_收盘!$A$4:$G$3460,6,0),"")</f>
        <v>2.0663</v>
      </c>
      <c r="G5592">
        <f>IFERROR(VLOOKUP($A5592,原始数据_收盘!$A$4:$G$3460,7,0),"")</f>
        <v>2.5235</v>
      </c>
      <c r="H5592">
        <f>IFERROR(VLOOKUP($A5592,原始数据_利率互换_FR007_1年!$A$6:$C$4395,2,0),"")</f>
        <v>2.0682</v>
      </c>
      <c r="I5592">
        <f>IFERROR(VLOOKUP($A5592,原始数据_利率互换_FR007_1年!$A$6:$C$4395,3,0),"")</f>
        <v>2.5251</v>
      </c>
    </row>
    <row r="5593" spans="1:9">
      <c r="A5593" s="6">
        <v>45086</v>
      </c>
      <c r="B5593">
        <f>IFERROR(VLOOKUP($A5593,原始数据_收盘!$A$4:$G$3460,2,0),"")</f>
        <v>2.0475</v>
      </c>
      <c r="C5593">
        <f>IFERROR(VLOOKUP($A5593,原始数据_收盘!$A$4:$G$3460,3,0),"")</f>
        <v>2.4942</v>
      </c>
      <c r="D5593">
        <f>IFERROR(VLOOKUP($A5593,原始数据_收盘!$A$4:$G$3460,4,0),"")</f>
        <v>2.05</v>
      </c>
      <c r="E5593">
        <f>IFERROR(VLOOKUP($A5593,原始数据_收盘!$A$4:$G$3460,5,0),"")</f>
        <v>2.4975</v>
      </c>
      <c r="F5593">
        <f>IFERROR(VLOOKUP($A5593,原始数据_收盘!$A$4:$G$3460,6,0),"")</f>
        <v>2.0488</v>
      </c>
      <c r="G5593">
        <f>IFERROR(VLOOKUP($A5593,原始数据_收盘!$A$4:$G$3460,7,0),"")</f>
        <v>2.4958</v>
      </c>
      <c r="H5593">
        <f>IFERROR(VLOOKUP($A5593,原始数据_利率互换_FR007_1年!$A$6:$C$4395,2,0),"")</f>
        <v>2.0566</v>
      </c>
      <c r="I5593">
        <f>IFERROR(VLOOKUP($A5593,原始数据_利率互换_FR007_1年!$A$6:$C$4395,3,0),"")</f>
        <v>2.5078</v>
      </c>
    </row>
    <row r="5594" spans="1:9">
      <c r="A5594" s="6">
        <v>45087</v>
      </c>
      <c r="B5594" t="str">
        <f>IFERROR(VLOOKUP($A5594,原始数据_收盘!$A$4:$G$3460,2,0),"")</f>
        <v/>
      </c>
      <c r="C5594" t="str">
        <f>IFERROR(VLOOKUP($A5594,原始数据_收盘!$A$4:$G$3460,3,0),"")</f>
        <v/>
      </c>
      <c r="D5594" t="str">
        <f>IFERROR(VLOOKUP($A5594,原始数据_收盘!$A$4:$G$3460,4,0),"")</f>
        <v/>
      </c>
      <c r="E5594" t="str">
        <f>IFERROR(VLOOKUP($A5594,原始数据_收盘!$A$4:$G$3460,5,0),"")</f>
        <v/>
      </c>
      <c r="F5594" t="str">
        <f>IFERROR(VLOOKUP($A5594,原始数据_收盘!$A$4:$G$3460,6,0),"")</f>
        <v/>
      </c>
      <c r="G5594" t="str">
        <f>IFERROR(VLOOKUP($A5594,原始数据_收盘!$A$4:$G$3460,7,0),"")</f>
        <v/>
      </c>
      <c r="H5594" t="str">
        <f>IFERROR(VLOOKUP($A5594,原始数据_利率互换_FR007_1年!$A$6:$C$4395,2,0),"")</f>
        <v/>
      </c>
      <c r="I5594" t="str">
        <f>IFERROR(VLOOKUP($A5594,原始数据_利率互换_FR007_1年!$A$6:$C$4395,3,0),"")</f>
        <v/>
      </c>
    </row>
    <row r="5595" spans="1:9">
      <c r="A5595" s="6">
        <v>45088</v>
      </c>
      <c r="B5595" t="str">
        <f>IFERROR(VLOOKUP($A5595,原始数据_收盘!$A$4:$G$3460,2,0),"")</f>
        <v/>
      </c>
      <c r="C5595" t="str">
        <f>IFERROR(VLOOKUP($A5595,原始数据_收盘!$A$4:$G$3460,3,0),"")</f>
        <v/>
      </c>
      <c r="D5595" t="str">
        <f>IFERROR(VLOOKUP($A5595,原始数据_收盘!$A$4:$G$3460,4,0),"")</f>
        <v/>
      </c>
      <c r="E5595" t="str">
        <f>IFERROR(VLOOKUP($A5595,原始数据_收盘!$A$4:$G$3460,5,0),"")</f>
        <v/>
      </c>
      <c r="F5595" t="str">
        <f>IFERROR(VLOOKUP($A5595,原始数据_收盘!$A$4:$G$3460,6,0),"")</f>
        <v/>
      </c>
      <c r="G5595" t="str">
        <f>IFERROR(VLOOKUP($A5595,原始数据_收盘!$A$4:$G$3460,7,0),"")</f>
        <v/>
      </c>
      <c r="H5595" t="str">
        <f>IFERROR(VLOOKUP($A5595,原始数据_利率互换_FR007_1年!$A$6:$C$4395,2,0),"")</f>
        <v/>
      </c>
      <c r="I5595" t="str">
        <f>IFERROR(VLOOKUP($A5595,原始数据_利率互换_FR007_1年!$A$6:$C$4395,3,0),"")</f>
        <v/>
      </c>
    </row>
    <row r="5596" spans="1:9">
      <c r="A5596" s="6">
        <v>45089</v>
      </c>
      <c r="B5596">
        <f>IFERROR(VLOOKUP($A5596,原始数据_收盘!$A$4:$G$3460,2,0),"")</f>
        <v>2.0543</v>
      </c>
      <c r="C5596">
        <f>IFERROR(VLOOKUP($A5596,原始数据_收盘!$A$4:$G$3460,3,0),"")</f>
        <v>2.4873</v>
      </c>
      <c r="D5596">
        <f>IFERROR(VLOOKUP($A5596,原始数据_收盘!$A$4:$G$3460,4,0),"")</f>
        <v>2.0575</v>
      </c>
      <c r="E5596">
        <f>IFERROR(VLOOKUP($A5596,原始数据_收盘!$A$4:$G$3460,5,0),"")</f>
        <v>2.4896</v>
      </c>
      <c r="F5596">
        <f>IFERROR(VLOOKUP($A5596,原始数据_收盘!$A$4:$G$3460,6,0),"")</f>
        <v>2.0559</v>
      </c>
      <c r="G5596">
        <f>IFERROR(VLOOKUP($A5596,原始数据_收盘!$A$4:$G$3460,7,0),"")</f>
        <v>2.4884</v>
      </c>
      <c r="H5596">
        <f>IFERROR(VLOOKUP($A5596,原始数据_利率互换_FR007_1年!$A$6:$C$4395,2,0),"")</f>
        <v>2.049</v>
      </c>
      <c r="I5596">
        <f>IFERROR(VLOOKUP($A5596,原始数据_利率互换_FR007_1年!$A$6:$C$4395,3,0),"")</f>
        <v>2.4837</v>
      </c>
    </row>
    <row r="5597" spans="1:9">
      <c r="A5597" s="6">
        <v>45090</v>
      </c>
      <c r="B5597">
        <f>IFERROR(VLOOKUP($A5597,原始数据_收盘!$A$4:$G$3460,2,0),"")</f>
        <v>2.025</v>
      </c>
      <c r="C5597">
        <f>IFERROR(VLOOKUP($A5597,原始数据_收盘!$A$4:$G$3460,3,0),"")</f>
        <v>2.4325</v>
      </c>
      <c r="D5597">
        <f>IFERROR(VLOOKUP($A5597,原始数据_收盘!$A$4:$G$3460,4,0),"")</f>
        <v>2.0277</v>
      </c>
      <c r="E5597">
        <f>IFERROR(VLOOKUP($A5597,原始数据_收盘!$A$4:$G$3460,5,0),"")</f>
        <v>2.4366</v>
      </c>
      <c r="F5597">
        <f>IFERROR(VLOOKUP($A5597,原始数据_收盘!$A$4:$G$3460,6,0),"")</f>
        <v>2.0263</v>
      </c>
      <c r="G5597">
        <f>IFERROR(VLOOKUP($A5597,原始数据_收盘!$A$4:$G$3460,7,0),"")</f>
        <v>2.4346</v>
      </c>
      <c r="H5597">
        <f>IFERROR(VLOOKUP($A5597,原始数据_利率互换_FR007_1年!$A$6:$C$4395,2,0),"")</f>
        <v>2.0248</v>
      </c>
      <c r="I5597">
        <f>IFERROR(VLOOKUP($A5597,原始数据_利率互换_FR007_1年!$A$6:$C$4395,3,0),"")</f>
        <v>2.4347</v>
      </c>
    </row>
    <row r="5598" spans="1:9">
      <c r="A5598" s="6">
        <v>45091</v>
      </c>
      <c r="B5598">
        <f>IFERROR(VLOOKUP($A5598,原始数据_收盘!$A$4:$G$3460,2,0),"")</f>
        <v>2.0375</v>
      </c>
      <c r="C5598">
        <f>IFERROR(VLOOKUP($A5598,原始数据_收盘!$A$4:$G$3460,3,0),"")</f>
        <v>2.4393</v>
      </c>
      <c r="D5598">
        <f>IFERROR(VLOOKUP($A5598,原始数据_收盘!$A$4:$G$3460,4,0),"")</f>
        <v>2.04</v>
      </c>
      <c r="E5598">
        <f>IFERROR(VLOOKUP($A5598,原始数据_收盘!$A$4:$G$3460,5,0),"")</f>
        <v>2.442</v>
      </c>
      <c r="F5598">
        <f>IFERROR(VLOOKUP($A5598,原始数据_收盘!$A$4:$G$3460,6,0),"")</f>
        <v>2.0388</v>
      </c>
      <c r="G5598">
        <f>IFERROR(VLOOKUP($A5598,原始数据_收盘!$A$4:$G$3460,7,0),"")</f>
        <v>2.4406</v>
      </c>
      <c r="H5598">
        <f>IFERROR(VLOOKUP($A5598,原始数据_利率互换_FR007_1年!$A$6:$C$4395,2,0),"")</f>
        <v>2.0254</v>
      </c>
      <c r="I5598">
        <f>IFERROR(VLOOKUP($A5598,原始数据_利率互换_FR007_1年!$A$6:$C$4395,3,0),"")</f>
        <v>2.4223</v>
      </c>
    </row>
    <row r="5599" spans="1:9">
      <c r="A5599" s="6">
        <v>45092</v>
      </c>
      <c r="B5599">
        <f>IFERROR(VLOOKUP($A5599,原始数据_收盘!$A$4:$G$3460,2,0),"")</f>
        <v>2.05</v>
      </c>
      <c r="C5599">
        <f>IFERROR(VLOOKUP($A5599,原始数据_收盘!$A$4:$G$3460,3,0),"")</f>
        <v>2.4775</v>
      </c>
      <c r="D5599">
        <f>IFERROR(VLOOKUP($A5599,原始数据_收盘!$A$4:$G$3460,4,0),"")</f>
        <v>2.0537</v>
      </c>
      <c r="E5599">
        <f>IFERROR(VLOOKUP($A5599,原始数据_收盘!$A$4:$G$3460,5,0),"")</f>
        <v>2.48</v>
      </c>
      <c r="F5599">
        <f>IFERROR(VLOOKUP($A5599,原始数据_收盘!$A$4:$G$3460,6,0),"")</f>
        <v>2.0518</v>
      </c>
      <c r="G5599">
        <f>IFERROR(VLOOKUP($A5599,原始数据_收盘!$A$4:$G$3460,7,0),"")</f>
        <v>2.4788</v>
      </c>
      <c r="H5599">
        <f>IFERROR(VLOOKUP($A5599,原始数据_利率互换_FR007_1年!$A$6:$C$4395,2,0),"")</f>
        <v>2.0461</v>
      </c>
      <c r="I5599">
        <f>IFERROR(VLOOKUP($A5599,原始数据_利率互换_FR007_1年!$A$6:$C$4395,3,0),"")</f>
        <v>2.4646</v>
      </c>
    </row>
    <row r="5600" spans="1:9">
      <c r="A5600" s="6">
        <v>45093</v>
      </c>
      <c r="B5600">
        <f>IFERROR(VLOOKUP($A5600,原始数据_收盘!$A$4:$G$3460,2,0),"")</f>
        <v>2.0696</v>
      </c>
      <c r="C5600">
        <f>IFERROR(VLOOKUP($A5600,原始数据_收盘!$A$4:$G$3460,3,0),"")</f>
        <v>2.5217</v>
      </c>
      <c r="D5600">
        <f>IFERROR(VLOOKUP($A5600,原始数据_收盘!$A$4:$G$3460,4,0),"")</f>
        <v>2.0731</v>
      </c>
      <c r="E5600">
        <f>IFERROR(VLOOKUP($A5600,原始数据_收盘!$A$4:$G$3460,5,0),"")</f>
        <v>2.524</v>
      </c>
      <c r="F5600">
        <f>IFERROR(VLOOKUP($A5600,原始数据_收盘!$A$4:$G$3460,6,0),"")</f>
        <v>2.0714</v>
      </c>
      <c r="G5600">
        <f>IFERROR(VLOOKUP($A5600,原始数据_收盘!$A$4:$G$3460,7,0),"")</f>
        <v>2.5229</v>
      </c>
      <c r="H5600">
        <f>IFERROR(VLOOKUP($A5600,原始数据_利率互换_FR007_1年!$A$6:$C$4395,2,0),"")</f>
        <v>2.0862</v>
      </c>
      <c r="I5600">
        <f>IFERROR(VLOOKUP($A5600,原始数据_利率互换_FR007_1年!$A$6:$C$4395,3,0),"")</f>
        <v>2.5277</v>
      </c>
    </row>
    <row r="5601" spans="1:9">
      <c r="A5601" s="6">
        <v>45094</v>
      </c>
      <c r="B5601" t="str">
        <f>IFERROR(VLOOKUP($A5601,原始数据_收盘!$A$4:$G$3460,2,0),"")</f>
        <v/>
      </c>
      <c r="C5601" t="str">
        <f>IFERROR(VLOOKUP($A5601,原始数据_收盘!$A$4:$G$3460,3,0),"")</f>
        <v/>
      </c>
      <c r="D5601" t="str">
        <f>IFERROR(VLOOKUP($A5601,原始数据_收盘!$A$4:$G$3460,4,0),"")</f>
        <v/>
      </c>
      <c r="E5601" t="str">
        <f>IFERROR(VLOOKUP($A5601,原始数据_收盘!$A$4:$G$3460,5,0),"")</f>
        <v/>
      </c>
      <c r="F5601" t="str">
        <f>IFERROR(VLOOKUP($A5601,原始数据_收盘!$A$4:$G$3460,6,0),"")</f>
        <v/>
      </c>
      <c r="G5601" t="str">
        <f>IFERROR(VLOOKUP($A5601,原始数据_收盘!$A$4:$G$3460,7,0),"")</f>
        <v/>
      </c>
      <c r="H5601" t="str">
        <f>IFERROR(VLOOKUP($A5601,原始数据_利率互换_FR007_1年!$A$6:$C$4395,2,0),"")</f>
        <v/>
      </c>
      <c r="I5601" t="str">
        <f>IFERROR(VLOOKUP($A5601,原始数据_利率互换_FR007_1年!$A$6:$C$4395,3,0),"")</f>
        <v/>
      </c>
    </row>
    <row r="5602" spans="1:9">
      <c r="A5602" s="6">
        <v>45095</v>
      </c>
      <c r="B5602" t="str">
        <f>IFERROR(VLOOKUP($A5602,原始数据_收盘!$A$4:$G$3460,2,0),"")</f>
        <v/>
      </c>
      <c r="C5602" t="str">
        <f>IFERROR(VLOOKUP($A5602,原始数据_收盘!$A$4:$G$3460,3,0),"")</f>
        <v/>
      </c>
      <c r="D5602" t="str">
        <f>IFERROR(VLOOKUP($A5602,原始数据_收盘!$A$4:$G$3460,4,0),"")</f>
        <v/>
      </c>
      <c r="E5602" t="str">
        <f>IFERROR(VLOOKUP($A5602,原始数据_收盘!$A$4:$G$3460,5,0),"")</f>
        <v/>
      </c>
      <c r="F5602" t="str">
        <f>IFERROR(VLOOKUP($A5602,原始数据_收盘!$A$4:$G$3460,6,0),"")</f>
        <v/>
      </c>
      <c r="G5602" t="str">
        <f>IFERROR(VLOOKUP($A5602,原始数据_收盘!$A$4:$G$3460,7,0),"")</f>
        <v/>
      </c>
      <c r="H5602" t="str">
        <f>IFERROR(VLOOKUP($A5602,原始数据_利率互换_FR007_1年!$A$6:$C$4395,2,0),"")</f>
        <v/>
      </c>
      <c r="I5602" t="str">
        <f>IFERROR(VLOOKUP($A5602,原始数据_利率互换_FR007_1年!$A$6:$C$4395,3,0),"")</f>
        <v/>
      </c>
    </row>
    <row r="5603" spans="1:9">
      <c r="A5603" s="6">
        <v>45096</v>
      </c>
      <c r="B5603">
        <f>IFERROR(VLOOKUP($A5603,原始数据_收盘!$A$4:$G$3460,2,0),"")</f>
        <v>2.105</v>
      </c>
      <c r="C5603">
        <f>IFERROR(VLOOKUP($A5603,原始数据_收盘!$A$4:$G$3460,3,0),"")</f>
        <v>2.5525</v>
      </c>
      <c r="D5603">
        <f>IFERROR(VLOOKUP($A5603,原始数据_收盘!$A$4:$G$3460,4,0),"")</f>
        <v>2.1097</v>
      </c>
      <c r="E5603">
        <f>IFERROR(VLOOKUP($A5603,原始数据_收盘!$A$4:$G$3460,5,0),"")</f>
        <v>2.5575</v>
      </c>
      <c r="F5603">
        <f>IFERROR(VLOOKUP($A5603,原始数据_收盘!$A$4:$G$3460,6,0),"")</f>
        <v>2.1073</v>
      </c>
      <c r="G5603">
        <f>IFERROR(VLOOKUP($A5603,原始数据_收盘!$A$4:$G$3460,7,0),"")</f>
        <v>2.555</v>
      </c>
      <c r="H5603">
        <f>IFERROR(VLOOKUP($A5603,原始数据_利率互换_FR007_1年!$A$6:$C$4395,2,0),"")</f>
        <v>2.1031</v>
      </c>
      <c r="I5603">
        <f>IFERROR(VLOOKUP($A5603,原始数据_利率互换_FR007_1年!$A$6:$C$4395,3,0),"")</f>
        <v>2.5492</v>
      </c>
    </row>
    <row r="5604" spans="1:9">
      <c r="A5604" s="6">
        <v>45097</v>
      </c>
      <c r="B5604">
        <f>IFERROR(VLOOKUP($A5604,原始数据_收盘!$A$4:$G$3460,2,0),"")</f>
        <v>2.0925</v>
      </c>
      <c r="C5604">
        <f>IFERROR(VLOOKUP($A5604,原始数据_收盘!$A$4:$G$3460,3,0),"")</f>
        <v>2.53</v>
      </c>
      <c r="D5604">
        <f>IFERROR(VLOOKUP($A5604,原始数据_收盘!$A$4:$G$3460,4,0),"")</f>
        <v>2.095</v>
      </c>
      <c r="E5604">
        <f>IFERROR(VLOOKUP($A5604,原始数据_收盘!$A$4:$G$3460,5,0),"")</f>
        <v>2.5325</v>
      </c>
      <c r="F5604">
        <f>IFERROR(VLOOKUP($A5604,原始数据_收盘!$A$4:$G$3460,6,0),"")</f>
        <v>2.0938</v>
      </c>
      <c r="G5604">
        <f>IFERROR(VLOOKUP($A5604,原始数据_收盘!$A$4:$G$3460,7,0),"")</f>
        <v>2.5313</v>
      </c>
      <c r="H5604">
        <f>IFERROR(VLOOKUP($A5604,原始数据_利率互换_FR007_1年!$A$6:$C$4395,2,0),"")</f>
        <v>2.0909</v>
      </c>
      <c r="I5604">
        <f>IFERROR(VLOOKUP($A5604,原始数据_利率互换_FR007_1年!$A$6:$C$4395,3,0),"")</f>
        <v>2.533</v>
      </c>
    </row>
    <row r="5605" spans="1:9">
      <c r="A5605" s="6">
        <v>45098</v>
      </c>
      <c r="B5605">
        <f>IFERROR(VLOOKUP($A5605,原始数据_收盘!$A$4:$G$3460,2,0),"")</f>
        <v>2.0775</v>
      </c>
      <c r="C5605">
        <f>IFERROR(VLOOKUP($A5605,原始数据_收盘!$A$4:$G$3460,3,0),"")</f>
        <v>2.5148</v>
      </c>
      <c r="D5605">
        <f>IFERROR(VLOOKUP($A5605,原始数据_收盘!$A$4:$G$3460,4,0),"")</f>
        <v>2.08</v>
      </c>
      <c r="E5605">
        <f>IFERROR(VLOOKUP($A5605,原始数据_收盘!$A$4:$G$3460,5,0),"")</f>
        <v>2.5175</v>
      </c>
      <c r="F5605">
        <f>IFERROR(VLOOKUP($A5605,原始数据_收盘!$A$4:$G$3460,6,0),"")</f>
        <v>2.0788</v>
      </c>
      <c r="G5605">
        <f>IFERROR(VLOOKUP($A5605,原始数据_收盘!$A$4:$G$3460,7,0),"")</f>
        <v>2.5162</v>
      </c>
      <c r="H5605">
        <f>IFERROR(VLOOKUP($A5605,原始数据_利率互换_FR007_1年!$A$6:$C$4395,2,0),"")</f>
        <v>2.0817</v>
      </c>
      <c r="I5605">
        <f>IFERROR(VLOOKUP($A5605,原始数据_利率互换_FR007_1年!$A$6:$C$4395,3,0),"")</f>
        <v>2.5138</v>
      </c>
    </row>
    <row r="5606" spans="1:9">
      <c r="A5606" s="6">
        <v>45099</v>
      </c>
      <c r="B5606" t="str">
        <f>IFERROR(VLOOKUP($A5606,原始数据_收盘!$A$4:$G$3460,2,0),"")</f>
        <v/>
      </c>
      <c r="C5606" t="str">
        <f>IFERROR(VLOOKUP($A5606,原始数据_收盘!$A$4:$G$3460,3,0),"")</f>
        <v/>
      </c>
      <c r="D5606" t="str">
        <f>IFERROR(VLOOKUP($A5606,原始数据_收盘!$A$4:$G$3460,4,0),"")</f>
        <v/>
      </c>
      <c r="E5606" t="str">
        <f>IFERROR(VLOOKUP($A5606,原始数据_收盘!$A$4:$G$3460,5,0),"")</f>
        <v/>
      </c>
      <c r="F5606" t="str">
        <f>IFERROR(VLOOKUP($A5606,原始数据_收盘!$A$4:$G$3460,6,0),"")</f>
        <v/>
      </c>
      <c r="G5606" t="str">
        <f>IFERROR(VLOOKUP($A5606,原始数据_收盘!$A$4:$G$3460,7,0),"")</f>
        <v/>
      </c>
      <c r="H5606" t="str">
        <f>IFERROR(VLOOKUP($A5606,原始数据_利率互换_FR007_1年!$A$6:$C$4395,2,0),"")</f>
        <v/>
      </c>
      <c r="I5606" t="str">
        <f>IFERROR(VLOOKUP($A5606,原始数据_利率互换_FR007_1年!$A$6:$C$4395,3,0),"")</f>
        <v/>
      </c>
    </row>
    <row r="5607" spans="1:9">
      <c r="A5607" s="6">
        <v>45100</v>
      </c>
      <c r="B5607" t="str">
        <f>IFERROR(VLOOKUP($A5607,原始数据_收盘!$A$4:$G$3460,2,0),"")</f>
        <v/>
      </c>
      <c r="C5607" t="str">
        <f>IFERROR(VLOOKUP($A5607,原始数据_收盘!$A$4:$G$3460,3,0),"")</f>
        <v/>
      </c>
      <c r="D5607" t="str">
        <f>IFERROR(VLOOKUP($A5607,原始数据_收盘!$A$4:$G$3460,4,0),"")</f>
        <v/>
      </c>
      <c r="E5607" t="str">
        <f>IFERROR(VLOOKUP($A5607,原始数据_收盘!$A$4:$G$3460,5,0),"")</f>
        <v/>
      </c>
      <c r="F5607" t="str">
        <f>IFERROR(VLOOKUP($A5607,原始数据_收盘!$A$4:$G$3460,6,0),"")</f>
        <v/>
      </c>
      <c r="G5607" t="str">
        <f>IFERROR(VLOOKUP($A5607,原始数据_收盘!$A$4:$G$3460,7,0),"")</f>
        <v/>
      </c>
      <c r="H5607" t="str">
        <f>IFERROR(VLOOKUP($A5607,原始数据_利率互换_FR007_1年!$A$6:$C$4395,2,0),"")</f>
        <v/>
      </c>
      <c r="I5607" t="str">
        <f>IFERROR(VLOOKUP($A5607,原始数据_利率互换_FR007_1年!$A$6:$C$4395,3,0),"")</f>
        <v/>
      </c>
    </row>
    <row r="5608" spans="1:9">
      <c r="A5608" s="6">
        <v>45101</v>
      </c>
      <c r="B5608" t="str">
        <f>IFERROR(VLOOKUP($A5608,原始数据_收盘!$A$4:$G$3460,2,0),"")</f>
        <v/>
      </c>
      <c r="C5608" t="str">
        <f>IFERROR(VLOOKUP($A5608,原始数据_收盘!$A$4:$G$3460,3,0),"")</f>
        <v/>
      </c>
      <c r="D5608" t="str">
        <f>IFERROR(VLOOKUP($A5608,原始数据_收盘!$A$4:$G$3460,4,0),"")</f>
        <v/>
      </c>
      <c r="E5608" t="str">
        <f>IFERROR(VLOOKUP($A5608,原始数据_收盘!$A$4:$G$3460,5,0),"")</f>
        <v/>
      </c>
      <c r="F5608" t="str">
        <f>IFERROR(VLOOKUP($A5608,原始数据_收盘!$A$4:$G$3460,6,0),"")</f>
        <v/>
      </c>
      <c r="G5608" t="str">
        <f>IFERROR(VLOOKUP($A5608,原始数据_收盘!$A$4:$G$3460,7,0),"")</f>
        <v/>
      </c>
      <c r="H5608" t="str">
        <f>IFERROR(VLOOKUP($A5608,原始数据_利率互换_FR007_1年!$A$6:$C$4395,2,0),"")</f>
        <v/>
      </c>
      <c r="I5608" t="str">
        <f>IFERROR(VLOOKUP($A5608,原始数据_利率互换_FR007_1年!$A$6:$C$4395,3,0),"")</f>
        <v/>
      </c>
    </row>
    <row r="5609" spans="1:9">
      <c r="A5609" s="6">
        <v>45102</v>
      </c>
      <c r="B5609">
        <f>IFERROR(VLOOKUP($A5609,原始数据_收盘!$A$4:$G$3460,2,0),"")</f>
        <v>2.0725</v>
      </c>
      <c r="C5609">
        <f>IFERROR(VLOOKUP($A5609,原始数据_收盘!$A$4:$G$3460,3,0),"")</f>
        <v>2.5025</v>
      </c>
      <c r="D5609">
        <f>IFERROR(VLOOKUP($A5609,原始数据_收盘!$A$4:$G$3460,4,0),"")</f>
        <v>2.0819</v>
      </c>
      <c r="E5609">
        <f>IFERROR(VLOOKUP($A5609,原始数据_收盘!$A$4:$G$3460,5,0),"")</f>
        <v>2.51</v>
      </c>
      <c r="F5609">
        <f>IFERROR(VLOOKUP($A5609,原始数据_收盘!$A$4:$G$3460,6,0),"")</f>
        <v>2.0772</v>
      </c>
      <c r="G5609">
        <f>IFERROR(VLOOKUP($A5609,原始数据_收盘!$A$4:$G$3460,7,0),"")</f>
        <v>2.5063</v>
      </c>
      <c r="H5609">
        <f>IFERROR(VLOOKUP($A5609,原始数据_利率互换_FR007_1年!$A$6:$C$4395,2,0),"")</f>
        <v>2.03</v>
      </c>
      <c r="I5609">
        <f>IFERROR(VLOOKUP($A5609,原始数据_利率互换_FR007_1年!$A$6:$C$4395,3,0),"")</f>
        <v>2.51</v>
      </c>
    </row>
    <row r="5610" spans="1:9">
      <c r="A5610" s="6">
        <v>45103</v>
      </c>
      <c r="B5610">
        <f>IFERROR(VLOOKUP($A5610,原始数据_收盘!$A$4:$G$3460,2,0),"")</f>
        <v>2.0675</v>
      </c>
      <c r="C5610">
        <f>IFERROR(VLOOKUP($A5610,原始数据_收盘!$A$4:$G$3460,3,0),"")</f>
        <v>2.513</v>
      </c>
      <c r="D5610">
        <f>IFERROR(VLOOKUP($A5610,原始数据_收盘!$A$4:$G$3460,4,0),"")</f>
        <v>2.07</v>
      </c>
      <c r="E5610">
        <f>IFERROR(VLOOKUP($A5610,原始数据_收盘!$A$4:$G$3460,5,0),"")</f>
        <v>2.5155</v>
      </c>
      <c r="F5610">
        <f>IFERROR(VLOOKUP($A5610,原始数据_收盘!$A$4:$G$3460,6,0),"")</f>
        <v>2.0688</v>
      </c>
      <c r="G5610">
        <f>IFERROR(VLOOKUP($A5610,原始数据_收盘!$A$4:$G$3460,7,0),"")</f>
        <v>2.5143</v>
      </c>
      <c r="H5610">
        <f>IFERROR(VLOOKUP($A5610,原始数据_利率互换_FR007_1年!$A$6:$C$4395,2,0),"")</f>
        <v>2.0702</v>
      </c>
      <c r="I5610">
        <f>IFERROR(VLOOKUP($A5610,原始数据_利率互换_FR007_1年!$A$6:$C$4395,3,0),"")</f>
        <v>2.5051</v>
      </c>
    </row>
    <row r="5611" spans="1:9">
      <c r="A5611" s="6">
        <v>45104</v>
      </c>
      <c r="B5611">
        <f>IFERROR(VLOOKUP($A5611,原始数据_收盘!$A$4:$G$3460,2,0),"")</f>
        <v>2.075</v>
      </c>
      <c r="C5611">
        <f>IFERROR(VLOOKUP($A5611,原始数据_收盘!$A$4:$G$3460,3,0),"")</f>
        <v>2.5122</v>
      </c>
      <c r="D5611">
        <f>IFERROR(VLOOKUP($A5611,原始数据_收盘!$A$4:$G$3460,4,0),"")</f>
        <v>2.0778</v>
      </c>
      <c r="E5611">
        <f>IFERROR(VLOOKUP($A5611,原始数据_收盘!$A$4:$G$3460,5,0),"")</f>
        <v>2.5146</v>
      </c>
      <c r="F5611">
        <f>IFERROR(VLOOKUP($A5611,原始数据_收盘!$A$4:$G$3460,6,0),"")</f>
        <v>2.0764</v>
      </c>
      <c r="G5611">
        <f>IFERROR(VLOOKUP($A5611,原始数据_收盘!$A$4:$G$3460,7,0),"")</f>
        <v>2.5134</v>
      </c>
      <c r="H5611">
        <f>IFERROR(VLOOKUP($A5611,原始数据_利率互换_FR007_1年!$A$6:$C$4395,2,0),"")</f>
        <v>2.0799</v>
      </c>
      <c r="I5611">
        <f>IFERROR(VLOOKUP($A5611,原始数据_利率互换_FR007_1年!$A$6:$C$4395,3,0),"")</f>
        <v>2.525</v>
      </c>
    </row>
    <row r="5612" spans="1:9">
      <c r="A5612" s="6">
        <v>45105</v>
      </c>
      <c r="B5612">
        <f>IFERROR(VLOOKUP($A5612,原始数据_收盘!$A$4:$G$3460,2,0),"")</f>
        <v>2.0675</v>
      </c>
      <c r="C5612">
        <f>IFERROR(VLOOKUP($A5612,原始数据_收盘!$A$4:$G$3460,3,0),"")</f>
        <v>2.5</v>
      </c>
      <c r="D5612">
        <f>IFERROR(VLOOKUP($A5612,原始数据_收盘!$A$4:$G$3460,4,0),"")</f>
        <v>2.0702</v>
      </c>
      <c r="E5612">
        <f>IFERROR(VLOOKUP($A5612,原始数据_收盘!$A$4:$G$3460,5,0),"")</f>
        <v>2.505</v>
      </c>
      <c r="F5612">
        <f>IFERROR(VLOOKUP($A5612,原始数据_收盘!$A$4:$G$3460,6,0),"")</f>
        <v>2.0688</v>
      </c>
      <c r="G5612">
        <f>IFERROR(VLOOKUP($A5612,原始数据_收盘!$A$4:$G$3460,7,0),"")</f>
        <v>2.5025</v>
      </c>
      <c r="H5612">
        <f>IFERROR(VLOOKUP($A5612,原始数据_利率互换_FR007_1年!$A$6:$C$4395,2,0),"")</f>
        <v>2.0701</v>
      </c>
      <c r="I5612">
        <f>IFERROR(VLOOKUP($A5612,原始数据_利率互换_FR007_1年!$A$6:$C$4395,3,0),"")</f>
        <v>2.503</v>
      </c>
    </row>
    <row r="5613" spans="1:9">
      <c r="A5613" s="6">
        <v>45106</v>
      </c>
      <c r="B5613">
        <f>IFERROR(VLOOKUP($A5613,原始数据_收盘!$A$4:$G$3460,2,0),"")</f>
        <v>2.062</v>
      </c>
      <c r="C5613">
        <f>IFERROR(VLOOKUP($A5613,原始数据_收盘!$A$4:$G$3460,3,0),"")</f>
        <v>2.4895</v>
      </c>
      <c r="D5613">
        <f>IFERROR(VLOOKUP($A5613,原始数据_收盘!$A$4:$G$3460,4,0),"")</f>
        <v>2.0645</v>
      </c>
      <c r="E5613">
        <f>IFERROR(VLOOKUP($A5613,原始数据_收盘!$A$4:$G$3460,5,0),"")</f>
        <v>2.4925</v>
      </c>
      <c r="F5613">
        <f>IFERROR(VLOOKUP($A5613,原始数据_收盘!$A$4:$G$3460,6,0),"")</f>
        <v>2.0633</v>
      </c>
      <c r="G5613">
        <f>IFERROR(VLOOKUP($A5613,原始数据_收盘!$A$4:$G$3460,7,0),"")</f>
        <v>2.491</v>
      </c>
      <c r="H5613">
        <f>IFERROR(VLOOKUP($A5613,原始数据_利率互换_FR007_1年!$A$6:$C$4395,2,0),"")</f>
        <v>2.0658</v>
      </c>
      <c r="I5613">
        <f>IFERROR(VLOOKUP($A5613,原始数据_利率互换_FR007_1年!$A$6:$C$4395,3,0),"")</f>
        <v>2.4965</v>
      </c>
    </row>
    <row r="5614" spans="1:9">
      <c r="A5614" s="6">
        <v>45107</v>
      </c>
      <c r="B5614">
        <f>IFERROR(VLOOKUP($A5614,原始数据_收盘!$A$4:$G$3460,2,0),"")</f>
        <v>2.0123</v>
      </c>
      <c r="C5614">
        <f>IFERROR(VLOOKUP($A5614,原始数据_收盘!$A$4:$G$3460,3,0),"")</f>
        <v>2.4449</v>
      </c>
      <c r="D5614">
        <f>IFERROR(VLOOKUP($A5614,原始数据_收盘!$A$4:$G$3460,4,0),"")</f>
        <v>2.0148</v>
      </c>
      <c r="E5614">
        <f>IFERROR(VLOOKUP($A5614,原始数据_收盘!$A$4:$G$3460,5,0),"")</f>
        <v>2.4475</v>
      </c>
      <c r="F5614">
        <f>IFERROR(VLOOKUP($A5614,原始数据_收盘!$A$4:$G$3460,6,0),"")</f>
        <v>2.0136</v>
      </c>
      <c r="G5614">
        <f>IFERROR(VLOOKUP($A5614,原始数据_收盘!$A$4:$G$3460,7,0),"")</f>
        <v>2.4462</v>
      </c>
      <c r="H5614">
        <f>IFERROR(VLOOKUP($A5614,原始数据_利率互换_FR007_1年!$A$6:$C$4395,2,0),"")</f>
        <v>2.0245</v>
      </c>
      <c r="I5614">
        <f>IFERROR(VLOOKUP($A5614,原始数据_利率互换_FR007_1年!$A$6:$C$4395,3,0),"")</f>
        <v>2.4626</v>
      </c>
    </row>
    <row r="5615" spans="1:9">
      <c r="A5615" s="6">
        <v>45108</v>
      </c>
      <c r="B5615" t="str">
        <f>IFERROR(VLOOKUP($A5615,原始数据_收盘!$A$4:$G$3460,2,0),"")</f>
        <v/>
      </c>
      <c r="C5615" t="str">
        <f>IFERROR(VLOOKUP($A5615,原始数据_收盘!$A$4:$G$3460,3,0),"")</f>
        <v/>
      </c>
      <c r="D5615" t="str">
        <f>IFERROR(VLOOKUP($A5615,原始数据_收盘!$A$4:$G$3460,4,0),"")</f>
        <v/>
      </c>
      <c r="E5615" t="str">
        <f>IFERROR(VLOOKUP($A5615,原始数据_收盘!$A$4:$G$3460,5,0),"")</f>
        <v/>
      </c>
      <c r="F5615" t="str">
        <f>IFERROR(VLOOKUP($A5615,原始数据_收盘!$A$4:$G$3460,6,0),"")</f>
        <v/>
      </c>
      <c r="G5615" t="str">
        <f>IFERROR(VLOOKUP($A5615,原始数据_收盘!$A$4:$G$3460,7,0),"")</f>
        <v/>
      </c>
      <c r="H5615" t="str">
        <f>IFERROR(VLOOKUP($A5615,原始数据_利率互换_FR007_1年!$A$6:$C$4395,2,0),"")</f>
        <v/>
      </c>
      <c r="I5615" t="str">
        <f>IFERROR(VLOOKUP($A5615,原始数据_利率互换_FR007_1年!$A$6:$C$4395,3,0),"")</f>
        <v/>
      </c>
    </row>
    <row r="5616" spans="1:9">
      <c r="A5616" s="6">
        <v>45109</v>
      </c>
      <c r="B5616" t="str">
        <f>IFERROR(VLOOKUP($A5616,原始数据_收盘!$A$4:$G$3460,2,0),"")</f>
        <v/>
      </c>
      <c r="C5616" t="str">
        <f>IFERROR(VLOOKUP($A5616,原始数据_收盘!$A$4:$G$3460,3,0),"")</f>
        <v/>
      </c>
      <c r="D5616" t="str">
        <f>IFERROR(VLOOKUP($A5616,原始数据_收盘!$A$4:$G$3460,4,0),"")</f>
        <v/>
      </c>
      <c r="E5616" t="str">
        <f>IFERROR(VLOOKUP($A5616,原始数据_收盘!$A$4:$G$3460,5,0),"")</f>
        <v/>
      </c>
      <c r="F5616" t="str">
        <f>IFERROR(VLOOKUP($A5616,原始数据_收盘!$A$4:$G$3460,6,0),"")</f>
        <v/>
      </c>
      <c r="G5616" t="str">
        <f>IFERROR(VLOOKUP($A5616,原始数据_收盘!$A$4:$G$3460,7,0),"")</f>
        <v/>
      </c>
      <c r="H5616" t="str">
        <f>IFERROR(VLOOKUP($A5616,原始数据_利率互换_FR007_1年!$A$6:$C$4395,2,0),"")</f>
        <v/>
      </c>
      <c r="I5616" t="str">
        <f>IFERROR(VLOOKUP($A5616,原始数据_利率互换_FR007_1年!$A$6:$C$4395,3,0),"")</f>
        <v/>
      </c>
    </row>
    <row r="5617" spans="1:9">
      <c r="A5617" s="6">
        <v>45110</v>
      </c>
      <c r="B5617">
        <f>IFERROR(VLOOKUP($A5617,原始数据_收盘!$A$4:$G$3460,2,0),"")</f>
        <v>2.015</v>
      </c>
      <c r="C5617">
        <f>IFERROR(VLOOKUP($A5617,原始数据_收盘!$A$4:$G$3460,3,0),"")</f>
        <v>2.4525</v>
      </c>
      <c r="D5617">
        <f>IFERROR(VLOOKUP($A5617,原始数据_收盘!$A$4:$G$3460,4,0),"")</f>
        <v>2.0175</v>
      </c>
      <c r="E5617">
        <f>IFERROR(VLOOKUP($A5617,原始数据_收盘!$A$4:$G$3460,5,0),"")</f>
        <v>2.455</v>
      </c>
      <c r="F5617">
        <f>IFERROR(VLOOKUP($A5617,原始数据_收盘!$A$4:$G$3460,6,0),"")</f>
        <v>2.0163</v>
      </c>
      <c r="G5617">
        <f>IFERROR(VLOOKUP($A5617,原始数据_收盘!$A$4:$G$3460,7,0),"")</f>
        <v>2.4538</v>
      </c>
      <c r="H5617">
        <f>IFERROR(VLOOKUP($A5617,原始数据_利率互换_FR007_1年!$A$6:$C$4395,2,0),"")</f>
        <v>2.0145</v>
      </c>
      <c r="I5617">
        <f>IFERROR(VLOOKUP($A5617,原始数据_利率互换_FR007_1年!$A$6:$C$4395,3,0),"")</f>
        <v>2.4583</v>
      </c>
    </row>
    <row r="5618" spans="1:9">
      <c r="A5618" s="6">
        <v>45111</v>
      </c>
      <c r="B5618">
        <f>IFERROR(VLOOKUP($A5618,原始数据_收盘!$A$4:$G$3460,2,0),"")</f>
        <v>2.0396</v>
      </c>
      <c r="C5618">
        <f>IFERROR(VLOOKUP($A5618,原始数据_收盘!$A$4:$G$3460,3,0),"")</f>
        <v>2.4819</v>
      </c>
      <c r="D5618">
        <f>IFERROR(VLOOKUP($A5618,原始数据_收盘!$A$4:$G$3460,4,0),"")</f>
        <v>2.0437</v>
      </c>
      <c r="E5618">
        <f>IFERROR(VLOOKUP($A5618,原始数据_收盘!$A$4:$G$3460,5,0),"")</f>
        <v>2.4846</v>
      </c>
      <c r="F5618">
        <f>IFERROR(VLOOKUP($A5618,原始数据_收盘!$A$4:$G$3460,6,0),"")</f>
        <v>2.0416</v>
      </c>
      <c r="G5618">
        <f>IFERROR(VLOOKUP($A5618,原始数据_收盘!$A$4:$G$3460,7,0),"")</f>
        <v>2.4833</v>
      </c>
      <c r="H5618">
        <f>IFERROR(VLOOKUP($A5618,原始数据_利率互换_FR007_1年!$A$6:$C$4395,2,0),"")</f>
        <v>2.0276</v>
      </c>
      <c r="I5618">
        <f>IFERROR(VLOOKUP($A5618,原始数据_利率互换_FR007_1年!$A$6:$C$4395,3,0),"")</f>
        <v>2.4656</v>
      </c>
    </row>
    <row r="5619" spans="1:9">
      <c r="A5619" s="6">
        <v>45112</v>
      </c>
      <c r="B5619">
        <f>IFERROR(VLOOKUP($A5619,原始数据_收盘!$A$4:$G$3460,2,0),"")</f>
        <v>2.02</v>
      </c>
      <c r="C5619">
        <f>IFERROR(VLOOKUP($A5619,原始数据_收盘!$A$4:$G$3460,3,0),"")</f>
        <v>2.4525</v>
      </c>
      <c r="D5619">
        <f>IFERROR(VLOOKUP($A5619,原始数据_收盘!$A$4:$G$3460,4,0),"")</f>
        <v>2.0225</v>
      </c>
      <c r="E5619">
        <f>IFERROR(VLOOKUP($A5619,原始数据_收盘!$A$4:$G$3460,5,0),"")</f>
        <v>2.4551</v>
      </c>
      <c r="F5619">
        <f>IFERROR(VLOOKUP($A5619,原始数据_收盘!$A$4:$G$3460,6,0),"")</f>
        <v>2.0213</v>
      </c>
      <c r="G5619">
        <f>IFERROR(VLOOKUP($A5619,原始数据_收盘!$A$4:$G$3460,7,0),"")</f>
        <v>2.4538</v>
      </c>
      <c r="H5619">
        <f>IFERROR(VLOOKUP($A5619,原始数据_利率互换_FR007_1年!$A$6:$C$4395,2,0),"")</f>
        <v>2.0237</v>
      </c>
      <c r="I5619">
        <f>IFERROR(VLOOKUP($A5619,原始数据_利率互换_FR007_1年!$A$6:$C$4395,3,0),"")</f>
        <v>2.462</v>
      </c>
    </row>
    <row r="5620" spans="1:9">
      <c r="A5620" s="6">
        <v>45113</v>
      </c>
      <c r="B5620">
        <f>IFERROR(VLOOKUP($A5620,原始数据_收盘!$A$4:$G$3460,2,0),"")</f>
        <v>2.0175</v>
      </c>
      <c r="C5620">
        <f>IFERROR(VLOOKUP($A5620,原始数据_收盘!$A$4:$G$3460,3,0),"")</f>
        <v>2.455</v>
      </c>
      <c r="D5620">
        <f>IFERROR(VLOOKUP($A5620,原始数据_收盘!$A$4:$G$3460,4,0),"")</f>
        <v>2.02</v>
      </c>
      <c r="E5620">
        <f>IFERROR(VLOOKUP($A5620,原始数据_收盘!$A$4:$G$3460,5,0),"")</f>
        <v>2.4585</v>
      </c>
      <c r="F5620">
        <f>IFERROR(VLOOKUP($A5620,原始数据_收盘!$A$4:$G$3460,6,0),"")</f>
        <v>2.0188</v>
      </c>
      <c r="G5620">
        <f>IFERROR(VLOOKUP($A5620,原始数据_收盘!$A$4:$G$3460,7,0),"")</f>
        <v>2.4568</v>
      </c>
      <c r="H5620">
        <f>IFERROR(VLOOKUP($A5620,原始数据_利率互换_FR007_1年!$A$6:$C$4395,2,0),"")</f>
        <v>2.0188</v>
      </c>
      <c r="I5620">
        <f>IFERROR(VLOOKUP($A5620,原始数据_利率互换_FR007_1年!$A$6:$C$4395,3,0),"")</f>
        <v>2.4526</v>
      </c>
    </row>
    <row r="5621" spans="1:9">
      <c r="A5621" s="6">
        <v>45114</v>
      </c>
      <c r="B5621">
        <f>IFERROR(VLOOKUP($A5621,原始数据_收盘!$A$4:$G$3460,2,0),"")</f>
        <v>2.02</v>
      </c>
      <c r="C5621">
        <f>IFERROR(VLOOKUP($A5621,原始数据_收盘!$A$4:$G$3460,3,0),"")</f>
        <v>2.4525</v>
      </c>
      <c r="D5621">
        <f>IFERROR(VLOOKUP($A5621,原始数据_收盘!$A$4:$G$3460,4,0),"")</f>
        <v>2.0225</v>
      </c>
      <c r="E5621">
        <f>IFERROR(VLOOKUP($A5621,原始数据_收盘!$A$4:$G$3460,5,0),"")</f>
        <v>2.455</v>
      </c>
      <c r="F5621">
        <f>IFERROR(VLOOKUP($A5621,原始数据_收盘!$A$4:$G$3460,6,0),"")</f>
        <v>2.0213</v>
      </c>
      <c r="G5621">
        <f>IFERROR(VLOOKUP($A5621,原始数据_收盘!$A$4:$G$3460,7,0),"")</f>
        <v>2.4538</v>
      </c>
      <c r="H5621">
        <f>IFERROR(VLOOKUP($A5621,原始数据_利率互换_FR007_1年!$A$6:$C$4395,2,0),"")</f>
        <v>2.0195</v>
      </c>
      <c r="I5621">
        <f>IFERROR(VLOOKUP($A5621,原始数据_利率互换_FR007_1年!$A$6:$C$4395,3,0),"")</f>
        <v>2.4527</v>
      </c>
    </row>
    <row r="5622" spans="1:9">
      <c r="A5622" s="6">
        <v>45115</v>
      </c>
      <c r="B5622" t="str">
        <f>IFERROR(VLOOKUP($A5622,原始数据_收盘!$A$4:$G$3460,2,0),"")</f>
        <v/>
      </c>
      <c r="C5622" t="str">
        <f>IFERROR(VLOOKUP($A5622,原始数据_收盘!$A$4:$G$3460,3,0),"")</f>
        <v/>
      </c>
      <c r="D5622" t="str">
        <f>IFERROR(VLOOKUP($A5622,原始数据_收盘!$A$4:$G$3460,4,0),"")</f>
        <v/>
      </c>
      <c r="E5622" t="str">
        <f>IFERROR(VLOOKUP($A5622,原始数据_收盘!$A$4:$G$3460,5,0),"")</f>
        <v/>
      </c>
      <c r="F5622" t="str">
        <f>IFERROR(VLOOKUP($A5622,原始数据_收盘!$A$4:$G$3460,6,0),"")</f>
        <v/>
      </c>
      <c r="G5622" t="str">
        <f>IFERROR(VLOOKUP($A5622,原始数据_收盘!$A$4:$G$3460,7,0),"")</f>
        <v/>
      </c>
      <c r="H5622" t="str">
        <f>IFERROR(VLOOKUP($A5622,原始数据_利率互换_FR007_1年!$A$6:$C$4395,2,0),"")</f>
        <v/>
      </c>
      <c r="I5622" t="str">
        <f>IFERROR(VLOOKUP($A5622,原始数据_利率互换_FR007_1年!$A$6:$C$4395,3,0),"")</f>
        <v/>
      </c>
    </row>
    <row r="5623" spans="1:9">
      <c r="A5623" s="6">
        <v>45116</v>
      </c>
      <c r="B5623" t="str">
        <f>IFERROR(VLOOKUP($A5623,原始数据_收盘!$A$4:$G$3460,2,0),"")</f>
        <v/>
      </c>
      <c r="C5623" t="str">
        <f>IFERROR(VLOOKUP($A5623,原始数据_收盘!$A$4:$G$3460,3,0),"")</f>
        <v/>
      </c>
      <c r="D5623" t="str">
        <f>IFERROR(VLOOKUP($A5623,原始数据_收盘!$A$4:$G$3460,4,0),"")</f>
        <v/>
      </c>
      <c r="E5623" t="str">
        <f>IFERROR(VLOOKUP($A5623,原始数据_收盘!$A$4:$G$3460,5,0),"")</f>
        <v/>
      </c>
      <c r="F5623" t="str">
        <f>IFERROR(VLOOKUP($A5623,原始数据_收盘!$A$4:$G$3460,6,0),"")</f>
        <v/>
      </c>
      <c r="G5623" t="str">
        <f>IFERROR(VLOOKUP($A5623,原始数据_收盘!$A$4:$G$3460,7,0),"")</f>
        <v/>
      </c>
      <c r="H5623" t="str">
        <f>IFERROR(VLOOKUP($A5623,原始数据_利率互换_FR007_1年!$A$6:$C$4395,2,0),"")</f>
        <v/>
      </c>
      <c r="I5623" t="str">
        <f>IFERROR(VLOOKUP($A5623,原始数据_利率互换_FR007_1年!$A$6:$C$4395,3,0),"")</f>
        <v/>
      </c>
    </row>
    <row r="5624" spans="1:9">
      <c r="A5624" s="6">
        <v>45117</v>
      </c>
      <c r="B5624">
        <f>IFERROR(VLOOKUP($A5624,原始数据_收盘!$A$4:$G$3460,2,0),"")</f>
        <v>2.025</v>
      </c>
      <c r="C5624">
        <f>IFERROR(VLOOKUP($A5624,原始数据_收盘!$A$4:$G$3460,3,0),"")</f>
        <v>2.4525</v>
      </c>
      <c r="D5624">
        <f>IFERROR(VLOOKUP($A5624,原始数据_收盘!$A$4:$G$3460,4,0),"")</f>
        <v>2.0275</v>
      </c>
      <c r="E5624">
        <f>IFERROR(VLOOKUP($A5624,原始数据_收盘!$A$4:$G$3460,5,0),"")</f>
        <v>2.455</v>
      </c>
      <c r="F5624">
        <f>IFERROR(VLOOKUP($A5624,原始数据_收盘!$A$4:$G$3460,6,0),"")</f>
        <v>2.0263</v>
      </c>
      <c r="G5624">
        <f>IFERROR(VLOOKUP($A5624,原始数据_收盘!$A$4:$G$3460,7,0),"")</f>
        <v>2.4538</v>
      </c>
      <c r="H5624">
        <f>IFERROR(VLOOKUP($A5624,原始数据_利率互换_FR007_1年!$A$6:$C$4395,2,0),"")</f>
        <v>2.0265</v>
      </c>
      <c r="I5624">
        <f>IFERROR(VLOOKUP($A5624,原始数据_利率互换_FR007_1年!$A$6:$C$4395,3,0),"")</f>
        <v>2.462</v>
      </c>
    </row>
    <row r="5625" spans="1:9">
      <c r="A5625" s="6">
        <v>45118</v>
      </c>
      <c r="B5625">
        <f>IFERROR(VLOOKUP($A5625,原始数据_收盘!$A$4:$G$3460,2,0),"")</f>
        <v>2.03</v>
      </c>
      <c r="C5625">
        <f>IFERROR(VLOOKUP($A5625,原始数据_收盘!$A$4:$G$3460,3,0),"")</f>
        <v>2.4575</v>
      </c>
      <c r="D5625">
        <f>IFERROR(VLOOKUP($A5625,原始数据_收盘!$A$4:$G$3460,4,0),"")</f>
        <v>2.0341</v>
      </c>
      <c r="E5625">
        <f>IFERROR(VLOOKUP($A5625,原始数据_收盘!$A$4:$G$3460,5,0),"")</f>
        <v>2.46</v>
      </c>
      <c r="F5625">
        <f>IFERROR(VLOOKUP($A5625,原始数据_收盘!$A$4:$G$3460,6,0),"")</f>
        <v>2.0321</v>
      </c>
      <c r="G5625">
        <f>IFERROR(VLOOKUP($A5625,原始数据_收盘!$A$4:$G$3460,7,0),"")</f>
        <v>2.4588</v>
      </c>
      <c r="H5625">
        <f>IFERROR(VLOOKUP($A5625,原始数据_利率互换_FR007_1年!$A$6:$C$4395,2,0),"")</f>
        <v>2.0262</v>
      </c>
      <c r="I5625">
        <f>IFERROR(VLOOKUP($A5625,原始数据_利率互换_FR007_1年!$A$6:$C$4395,3,0),"")</f>
        <v>2.4504</v>
      </c>
    </row>
    <row r="5626" spans="1:9">
      <c r="A5626" s="6">
        <v>45119</v>
      </c>
      <c r="B5626">
        <f>IFERROR(VLOOKUP($A5626,原始数据_收盘!$A$4:$G$3460,2,0),"")</f>
        <v>2.0325</v>
      </c>
      <c r="C5626">
        <f>IFERROR(VLOOKUP($A5626,原始数据_收盘!$A$4:$G$3460,3,0),"")</f>
        <v>2.46</v>
      </c>
      <c r="D5626">
        <f>IFERROR(VLOOKUP($A5626,原始数据_收盘!$A$4:$G$3460,4,0),"")</f>
        <v>2.0375</v>
      </c>
      <c r="E5626">
        <f>IFERROR(VLOOKUP($A5626,原始数据_收盘!$A$4:$G$3460,5,0),"")</f>
        <v>2.4625</v>
      </c>
      <c r="F5626">
        <f>IFERROR(VLOOKUP($A5626,原始数据_收盘!$A$4:$G$3460,6,0),"")</f>
        <v>2.035</v>
      </c>
      <c r="G5626">
        <f>IFERROR(VLOOKUP($A5626,原始数据_收盘!$A$4:$G$3460,7,0),"")</f>
        <v>2.4613</v>
      </c>
      <c r="H5626">
        <f>IFERROR(VLOOKUP($A5626,原始数据_利率互换_FR007_1年!$A$6:$C$4395,2,0),"")</f>
        <v>2.0339</v>
      </c>
      <c r="I5626">
        <f>IFERROR(VLOOKUP($A5626,原始数据_利率互换_FR007_1年!$A$6:$C$4395,3,0),"")</f>
        <v>2.4635</v>
      </c>
    </row>
    <row r="5627" spans="1:9">
      <c r="A5627" s="6">
        <v>45120</v>
      </c>
      <c r="B5627">
        <f>IFERROR(VLOOKUP($A5627,原始数据_收盘!$A$4:$G$3460,2,0),"")</f>
        <v>2.0475</v>
      </c>
      <c r="C5627">
        <f>IFERROR(VLOOKUP($A5627,原始数据_收盘!$A$4:$G$3460,3,0),"")</f>
        <v>2.4812</v>
      </c>
      <c r="D5627">
        <f>IFERROR(VLOOKUP($A5627,原始数据_收盘!$A$4:$G$3460,4,0),"")</f>
        <v>2.0501</v>
      </c>
      <c r="E5627">
        <f>IFERROR(VLOOKUP($A5627,原始数据_收盘!$A$4:$G$3460,5,0),"")</f>
        <v>2.4833</v>
      </c>
      <c r="F5627">
        <f>IFERROR(VLOOKUP($A5627,原始数据_收盘!$A$4:$G$3460,6,0),"")</f>
        <v>2.0488</v>
      </c>
      <c r="G5627">
        <f>IFERROR(VLOOKUP($A5627,原始数据_收盘!$A$4:$G$3460,7,0),"")</f>
        <v>2.4823</v>
      </c>
      <c r="H5627">
        <f>IFERROR(VLOOKUP($A5627,原始数据_利率互换_FR007_1年!$A$6:$C$4395,2,0),"")</f>
        <v>2.0407</v>
      </c>
      <c r="I5627">
        <f>IFERROR(VLOOKUP($A5627,原始数据_利率互换_FR007_1年!$A$6:$C$4395,3,0),"")</f>
        <v>2.4721</v>
      </c>
    </row>
    <row r="5628" spans="1:9">
      <c r="A5628" s="6">
        <v>45121</v>
      </c>
      <c r="B5628">
        <f>IFERROR(VLOOKUP($A5628,原始数据_收盘!$A$4:$G$3460,2,0),"")</f>
        <v>2.0375</v>
      </c>
      <c r="C5628">
        <f>IFERROR(VLOOKUP($A5628,原始数据_收盘!$A$4:$G$3460,3,0),"")</f>
        <v>2.4675</v>
      </c>
      <c r="D5628">
        <f>IFERROR(VLOOKUP($A5628,原始数据_收盘!$A$4:$G$3460,4,0),"")</f>
        <v>2.04</v>
      </c>
      <c r="E5628">
        <f>IFERROR(VLOOKUP($A5628,原始数据_收盘!$A$4:$G$3460,5,0),"")</f>
        <v>2.47</v>
      </c>
      <c r="F5628">
        <f>IFERROR(VLOOKUP($A5628,原始数据_收盘!$A$4:$G$3460,6,0),"")</f>
        <v>2.0388</v>
      </c>
      <c r="G5628">
        <f>IFERROR(VLOOKUP($A5628,原始数据_收盘!$A$4:$G$3460,7,0),"")</f>
        <v>2.4688</v>
      </c>
      <c r="H5628">
        <f>IFERROR(VLOOKUP($A5628,原始数据_利率互换_FR007_1年!$A$6:$C$4395,2,0),"")</f>
        <v>2.0448</v>
      </c>
      <c r="I5628">
        <f>IFERROR(VLOOKUP($A5628,原始数据_利率互换_FR007_1年!$A$6:$C$4395,3,0),"")</f>
        <v>2.4807</v>
      </c>
    </row>
    <row r="5629" spans="1:9">
      <c r="A5629" s="6">
        <v>45122</v>
      </c>
      <c r="B5629" t="str">
        <f>IFERROR(VLOOKUP($A5629,原始数据_收盘!$A$4:$G$3460,2,0),"")</f>
        <v/>
      </c>
      <c r="C5629" t="str">
        <f>IFERROR(VLOOKUP($A5629,原始数据_收盘!$A$4:$G$3460,3,0),"")</f>
        <v/>
      </c>
      <c r="D5629" t="str">
        <f>IFERROR(VLOOKUP($A5629,原始数据_收盘!$A$4:$G$3460,4,0),"")</f>
        <v/>
      </c>
      <c r="E5629" t="str">
        <f>IFERROR(VLOOKUP($A5629,原始数据_收盘!$A$4:$G$3460,5,0),"")</f>
        <v/>
      </c>
      <c r="F5629" t="str">
        <f>IFERROR(VLOOKUP($A5629,原始数据_收盘!$A$4:$G$3460,6,0),"")</f>
        <v/>
      </c>
      <c r="G5629" t="str">
        <f>IFERROR(VLOOKUP($A5629,原始数据_收盘!$A$4:$G$3460,7,0),"")</f>
        <v/>
      </c>
      <c r="H5629" t="str">
        <f>IFERROR(VLOOKUP($A5629,原始数据_利率互换_FR007_1年!$A$6:$C$4395,2,0),"")</f>
        <v/>
      </c>
      <c r="I5629" t="str">
        <f>IFERROR(VLOOKUP($A5629,原始数据_利率互换_FR007_1年!$A$6:$C$4395,3,0),"")</f>
        <v/>
      </c>
    </row>
    <row r="5630" spans="1:9">
      <c r="A5630" s="6">
        <v>45123</v>
      </c>
      <c r="B5630" t="str">
        <f>IFERROR(VLOOKUP($A5630,原始数据_收盘!$A$4:$G$3460,2,0),"")</f>
        <v/>
      </c>
      <c r="C5630" t="str">
        <f>IFERROR(VLOOKUP($A5630,原始数据_收盘!$A$4:$G$3460,3,0),"")</f>
        <v/>
      </c>
      <c r="D5630" t="str">
        <f>IFERROR(VLOOKUP($A5630,原始数据_收盘!$A$4:$G$3460,4,0),"")</f>
        <v/>
      </c>
      <c r="E5630" t="str">
        <f>IFERROR(VLOOKUP($A5630,原始数据_收盘!$A$4:$G$3460,5,0),"")</f>
        <v/>
      </c>
      <c r="F5630" t="str">
        <f>IFERROR(VLOOKUP($A5630,原始数据_收盘!$A$4:$G$3460,6,0),"")</f>
        <v/>
      </c>
      <c r="G5630" t="str">
        <f>IFERROR(VLOOKUP($A5630,原始数据_收盘!$A$4:$G$3460,7,0),"")</f>
        <v/>
      </c>
      <c r="H5630" t="str">
        <f>IFERROR(VLOOKUP($A5630,原始数据_利率互换_FR007_1年!$A$6:$C$4395,2,0),"")</f>
        <v/>
      </c>
      <c r="I5630" t="str">
        <f>IFERROR(VLOOKUP($A5630,原始数据_利率互换_FR007_1年!$A$6:$C$4395,3,0),"")</f>
        <v/>
      </c>
    </row>
    <row r="5631" spans="1:9">
      <c r="A5631" s="6">
        <v>45124</v>
      </c>
      <c r="B5631">
        <f>IFERROR(VLOOKUP($A5631,原始数据_收盘!$A$4:$G$3460,2,0),"")</f>
        <v>2.0325</v>
      </c>
      <c r="C5631">
        <f>IFERROR(VLOOKUP($A5631,原始数据_收盘!$A$4:$G$3460,3,0),"")</f>
        <v>2.4575</v>
      </c>
      <c r="D5631">
        <f>IFERROR(VLOOKUP($A5631,原始数据_收盘!$A$4:$G$3460,4,0),"")</f>
        <v>2.035</v>
      </c>
      <c r="E5631">
        <f>IFERROR(VLOOKUP($A5631,原始数据_收盘!$A$4:$G$3460,5,0),"")</f>
        <v>2.46</v>
      </c>
      <c r="F5631">
        <f>IFERROR(VLOOKUP($A5631,原始数据_收盘!$A$4:$G$3460,6,0),"")</f>
        <v>2.0338</v>
      </c>
      <c r="G5631">
        <f>IFERROR(VLOOKUP($A5631,原始数据_收盘!$A$4:$G$3460,7,0),"")</f>
        <v>2.4588</v>
      </c>
      <c r="H5631">
        <f>IFERROR(VLOOKUP($A5631,原始数据_利率互换_FR007_1年!$A$6:$C$4395,2,0),"")</f>
        <v>2.037</v>
      </c>
      <c r="I5631">
        <f>IFERROR(VLOOKUP($A5631,原始数据_利率互换_FR007_1年!$A$6:$C$4395,3,0),"")</f>
        <v>2.462</v>
      </c>
    </row>
    <row r="5632" spans="1:9">
      <c r="A5632" s="6">
        <v>45125</v>
      </c>
      <c r="B5632">
        <f>IFERROR(VLOOKUP($A5632,原始数据_收盘!$A$4:$G$3460,2,0),"")</f>
        <v>2.0268</v>
      </c>
      <c r="C5632">
        <f>IFERROR(VLOOKUP($A5632,原始数据_收盘!$A$4:$G$3460,3,0),"")</f>
        <v>2.445</v>
      </c>
      <c r="D5632">
        <f>IFERROR(VLOOKUP($A5632,原始数据_收盘!$A$4:$G$3460,4,0),"")</f>
        <v>2.03</v>
      </c>
      <c r="E5632">
        <f>IFERROR(VLOOKUP($A5632,原始数据_收盘!$A$4:$G$3460,5,0),"")</f>
        <v>2.4475</v>
      </c>
      <c r="F5632">
        <f>IFERROR(VLOOKUP($A5632,原始数据_收盘!$A$4:$G$3460,6,0),"")</f>
        <v>2.0284</v>
      </c>
      <c r="G5632">
        <f>IFERROR(VLOOKUP($A5632,原始数据_收盘!$A$4:$G$3460,7,0),"")</f>
        <v>2.4463</v>
      </c>
      <c r="H5632">
        <f>IFERROR(VLOOKUP($A5632,原始数据_利率互换_FR007_1年!$A$6:$C$4395,2,0),"")</f>
        <v>2.0273</v>
      </c>
      <c r="I5632">
        <f>IFERROR(VLOOKUP($A5632,原始数据_利率互换_FR007_1年!$A$6:$C$4395,3,0),"")</f>
        <v>2.4495</v>
      </c>
    </row>
    <row r="5633" spans="1:9">
      <c r="A5633" s="6">
        <v>45126</v>
      </c>
      <c r="B5633">
        <f>IFERROR(VLOOKUP($A5633,原始数据_收盘!$A$4:$G$3460,2,0),"")</f>
        <v>2.025</v>
      </c>
      <c r="C5633">
        <f>IFERROR(VLOOKUP($A5633,原始数据_收盘!$A$4:$G$3460,3,0),"")</f>
        <v>2.4525</v>
      </c>
      <c r="D5633">
        <f>IFERROR(VLOOKUP($A5633,原始数据_收盘!$A$4:$G$3460,4,0),"")</f>
        <v>2.0275</v>
      </c>
      <c r="E5633">
        <f>IFERROR(VLOOKUP($A5633,原始数据_收盘!$A$4:$G$3460,5,0),"")</f>
        <v>2.455</v>
      </c>
      <c r="F5633">
        <f>IFERROR(VLOOKUP($A5633,原始数据_收盘!$A$4:$G$3460,6,0),"")</f>
        <v>2.0263</v>
      </c>
      <c r="G5633">
        <f>IFERROR(VLOOKUP($A5633,原始数据_收盘!$A$4:$G$3460,7,0),"")</f>
        <v>2.4538</v>
      </c>
      <c r="H5633">
        <f>IFERROR(VLOOKUP($A5633,原始数据_利率互换_FR007_1年!$A$6:$C$4395,2,0),"")</f>
        <v>2.0251</v>
      </c>
      <c r="I5633">
        <f>IFERROR(VLOOKUP($A5633,原始数据_利率互换_FR007_1年!$A$6:$C$4395,3,0),"")</f>
        <v>2.4482</v>
      </c>
    </row>
    <row r="5634" spans="1:9">
      <c r="A5634" s="6">
        <v>45127</v>
      </c>
      <c r="B5634">
        <f>IFERROR(VLOOKUP($A5634,原始数据_收盘!$A$4:$G$3460,2,0),"")</f>
        <v>2.015</v>
      </c>
      <c r="C5634">
        <f>IFERROR(VLOOKUP($A5634,原始数据_收盘!$A$4:$G$3460,3,0),"")</f>
        <v>2.4475</v>
      </c>
      <c r="D5634">
        <f>IFERROR(VLOOKUP($A5634,原始数据_收盘!$A$4:$G$3460,4,0),"")</f>
        <v>2.0175</v>
      </c>
      <c r="E5634">
        <f>IFERROR(VLOOKUP($A5634,原始数据_收盘!$A$4:$G$3460,5,0),"")</f>
        <v>2.45</v>
      </c>
      <c r="F5634">
        <f>IFERROR(VLOOKUP($A5634,原始数据_收盘!$A$4:$G$3460,6,0),"")</f>
        <v>2.0163</v>
      </c>
      <c r="G5634">
        <f>IFERROR(VLOOKUP($A5634,原始数据_收盘!$A$4:$G$3460,7,0),"")</f>
        <v>2.4488</v>
      </c>
      <c r="H5634">
        <f>IFERROR(VLOOKUP($A5634,原始数据_利率互换_FR007_1年!$A$6:$C$4395,2,0),"")</f>
        <v>2.0192</v>
      </c>
      <c r="I5634">
        <f>IFERROR(VLOOKUP($A5634,原始数据_利率互换_FR007_1年!$A$6:$C$4395,3,0),"")</f>
        <v>2.4538</v>
      </c>
    </row>
    <row r="5635" spans="1:9">
      <c r="A5635" s="6">
        <v>45128</v>
      </c>
      <c r="B5635">
        <f>IFERROR(VLOOKUP($A5635,原始数据_收盘!$A$4:$G$3460,2,0),"")</f>
        <v>2.0018</v>
      </c>
      <c r="C5635">
        <f>IFERROR(VLOOKUP($A5635,原始数据_收盘!$A$4:$G$3460,3,0),"")</f>
        <v>2.425</v>
      </c>
      <c r="D5635">
        <f>IFERROR(VLOOKUP($A5635,原始数据_收盘!$A$4:$G$3460,4,0),"")</f>
        <v>2.005</v>
      </c>
      <c r="E5635">
        <f>IFERROR(VLOOKUP($A5635,原始数据_收盘!$A$4:$G$3460,5,0),"")</f>
        <v>2.4275</v>
      </c>
      <c r="F5635">
        <f>IFERROR(VLOOKUP($A5635,原始数据_收盘!$A$4:$G$3460,6,0),"")</f>
        <v>2.0034</v>
      </c>
      <c r="G5635">
        <f>IFERROR(VLOOKUP($A5635,原始数据_收盘!$A$4:$G$3460,7,0),"")</f>
        <v>2.4263</v>
      </c>
      <c r="H5635">
        <f>IFERROR(VLOOKUP($A5635,原始数据_利率互换_FR007_1年!$A$6:$C$4395,2,0),"")</f>
        <v>2.0086</v>
      </c>
      <c r="I5635">
        <f>IFERROR(VLOOKUP($A5635,原始数据_利率互换_FR007_1年!$A$6:$C$4395,3,0),"")</f>
        <v>2.4352</v>
      </c>
    </row>
    <row r="5636" spans="1:9">
      <c r="A5636" s="6">
        <v>45129</v>
      </c>
      <c r="B5636" t="str">
        <f>IFERROR(VLOOKUP($A5636,原始数据_收盘!$A$4:$G$3460,2,0),"")</f>
        <v/>
      </c>
      <c r="C5636" t="str">
        <f>IFERROR(VLOOKUP($A5636,原始数据_收盘!$A$4:$G$3460,3,0),"")</f>
        <v/>
      </c>
      <c r="D5636" t="str">
        <f>IFERROR(VLOOKUP($A5636,原始数据_收盘!$A$4:$G$3460,4,0),"")</f>
        <v/>
      </c>
      <c r="E5636" t="str">
        <f>IFERROR(VLOOKUP($A5636,原始数据_收盘!$A$4:$G$3460,5,0),"")</f>
        <v/>
      </c>
      <c r="F5636" t="str">
        <f>IFERROR(VLOOKUP($A5636,原始数据_收盘!$A$4:$G$3460,6,0),"")</f>
        <v/>
      </c>
      <c r="G5636" t="str">
        <f>IFERROR(VLOOKUP($A5636,原始数据_收盘!$A$4:$G$3460,7,0),"")</f>
        <v/>
      </c>
      <c r="H5636" t="str">
        <f>IFERROR(VLOOKUP($A5636,原始数据_利率互换_FR007_1年!$A$6:$C$4395,2,0),"")</f>
        <v/>
      </c>
      <c r="I5636" t="str">
        <f>IFERROR(VLOOKUP($A5636,原始数据_利率互换_FR007_1年!$A$6:$C$4395,3,0),"")</f>
        <v/>
      </c>
    </row>
    <row r="5637" spans="1:9">
      <c r="A5637" s="6">
        <v>45130</v>
      </c>
      <c r="B5637" t="str">
        <f>IFERROR(VLOOKUP($A5637,原始数据_收盘!$A$4:$G$3460,2,0),"")</f>
        <v/>
      </c>
      <c r="C5637" t="str">
        <f>IFERROR(VLOOKUP($A5637,原始数据_收盘!$A$4:$G$3460,3,0),"")</f>
        <v/>
      </c>
      <c r="D5637" t="str">
        <f>IFERROR(VLOOKUP($A5637,原始数据_收盘!$A$4:$G$3460,4,0),"")</f>
        <v/>
      </c>
      <c r="E5637" t="str">
        <f>IFERROR(VLOOKUP($A5637,原始数据_收盘!$A$4:$G$3460,5,0),"")</f>
        <v/>
      </c>
      <c r="F5637" t="str">
        <f>IFERROR(VLOOKUP($A5637,原始数据_收盘!$A$4:$G$3460,6,0),"")</f>
        <v/>
      </c>
      <c r="G5637" t="str">
        <f>IFERROR(VLOOKUP($A5637,原始数据_收盘!$A$4:$G$3460,7,0),"")</f>
        <v/>
      </c>
      <c r="H5637" t="str">
        <f>IFERROR(VLOOKUP($A5637,原始数据_利率互换_FR007_1年!$A$6:$C$4395,2,0),"")</f>
        <v/>
      </c>
      <c r="I5637" t="str">
        <f>IFERROR(VLOOKUP($A5637,原始数据_利率互换_FR007_1年!$A$6:$C$4395,3,0),"")</f>
        <v/>
      </c>
    </row>
    <row r="5638" spans="1:9">
      <c r="A5638" s="6">
        <v>45131</v>
      </c>
      <c r="B5638">
        <f>IFERROR(VLOOKUP($A5638,原始数据_收盘!$A$4:$G$3460,2,0),"")</f>
        <v>2</v>
      </c>
      <c r="C5638">
        <f>IFERROR(VLOOKUP($A5638,原始数据_收盘!$A$4:$G$3460,3,0),"")</f>
        <v>2.4275</v>
      </c>
      <c r="D5638">
        <f>IFERROR(VLOOKUP($A5638,原始数据_收盘!$A$4:$G$3460,4,0),"")</f>
        <v>2.0025</v>
      </c>
      <c r="E5638">
        <f>IFERROR(VLOOKUP($A5638,原始数据_收盘!$A$4:$G$3460,5,0),"")</f>
        <v>2.43</v>
      </c>
      <c r="F5638">
        <f>IFERROR(VLOOKUP($A5638,原始数据_收盘!$A$4:$G$3460,6,0),"")</f>
        <v>2.0013</v>
      </c>
      <c r="G5638">
        <f>IFERROR(VLOOKUP($A5638,原始数据_收盘!$A$4:$G$3460,7,0),"")</f>
        <v>2.4288</v>
      </c>
      <c r="H5638">
        <f>IFERROR(VLOOKUP($A5638,原始数据_利率互换_FR007_1年!$A$6:$C$4395,2,0),"")</f>
        <v>2.0084</v>
      </c>
      <c r="I5638">
        <f>IFERROR(VLOOKUP($A5638,原始数据_利率互换_FR007_1年!$A$6:$C$4395,3,0),"")</f>
        <v>2.4377</v>
      </c>
    </row>
    <row r="5639" spans="1:9">
      <c r="A5639" s="6">
        <v>45132</v>
      </c>
      <c r="B5639">
        <f>IFERROR(VLOOKUP($A5639,原始数据_收盘!$A$4:$G$3460,2,0),"")</f>
        <v>2.0588</v>
      </c>
      <c r="C5639">
        <f>IFERROR(VLOOKUP($A5639,原始数据_收盘!$A$4:$G$3460,3,0),"")</f>
        <v>2.5125</v>
      </c>
      <c r="D5639">
        <f>IFERROR(VLOOKUP($A5639,原始数据_收盘!$A$4:$G$3460,4,0),"")</f>
        <v>2.065</v>
      </c>
      <c r="E5639">
        <f>IFERROR(VLOOKUP($A5639,原始数据_收盘!$A$4:$G$3460,5,0),"")</f>
        <v>2.5155</v>
      </c>
      <c r="F5639">
        <f>IFERROR(VLOOKUP($A5639,原始数据_收盘!$A$4:$G$3460,6,0),"")</f>
        <v>2.0619</v>
      </c>
      <c r="G5639">
        <f>IFERROR(VLOOKUP($A5639,原始数据_收盘!$A$4:$G$3460,7,0),"")</f>
        <v>2.514</v>
      </c>
      <c r="H5639">
        <f>IFERROR(VLOOKUP($A5639,原始数据_利率互换_FR007_1年!$A$6:$C$4395,2,0),"")</f>
        <v>2.0442</v>
      </c>
      <c r="I5639">
        <f>IFERROR(VLOOKUP($A5639,原始数据_利率互换_FR007_1年!$A$6:$C$4395,3,0),"")</f>
        <v>2.4898</v>
      </c>
    </row>
    <row r="5640" spans="1:9">
      <c r="A5640" s="6">
        <v>45133</v>
      </c>
      <c r="B5640">
        <f>IFERROR(VLOOKUP($A5640,原始数据_收盘!$A$4:$G$3460,2,0),"")</f>
        <v>2.035</v>
      </c>
      <c r="C5640">
        <f>IFERROR(VLOOKUP($A5640,原始数据_收盘!$A$4:$G$3460,3,0),"")</f>
        <v>2.4898</v>
      </c>
      <c r="D5640">
        <f>IFERROR(VLOOKUP($A5640,原始数据_收盘!$A$4:$G$3460,4,0),"")</f>
        <v>2.0375</v>
      </c>
      <c r="E5640">
        <f>IFERROR(VLOOKUP($A5640,原始数据_收盘!$A$4:$G$3460,5,0),"")</f>
        <v>2.4928</v>
      </c>
      <c r="F5640">
        <f>IFERROR(VLOOKUP($A5640,原始数据_收盘!$A$4:$G$3460,6,0),"")</f>
        <v>2.0363</v>
      </c>
      <c r="G5640">
        <f>IFERROR(VLOOKUP($A5640,原始数据_收盘!$A$4:$G$3460,7,0),"")</f>
        <v>2.4913</v>
      </c>
      <c r="H5640">
        <f>IFERROR(VLOOKUP($A5640,原始数据_利率互换_FR007_1年!$A$6:$C$4395,2,0),"")</f>
        <v>2.044</v>
      </c>
      <c r="I5640">
        <f>IFERROR(VLOOKUP($A5640,原始数据_利率互换_FR007_1年!$A$6:$C$4395,3,0),"")</f>
        <v>2.5028</v>
      </c>
    </row>
    <row r="5641" spans="1:9">
      <c r="A5641" s="6">
        <v>45134</v>
      </c>
      <c r="B5641">
        <f>IFERROR(VLOOKUP($A5641,原始数据_收盘!$A$4:$G$3460,2,0),"")</f>
        <v>2.02</v>
      </c>
      <c r="C5641">
        <f>IFERROR(VLOOKUP($A5641,原始数据_收盘!$A$4:$G$3460,3,0),"")</f>
        <v>2.475</v>
      </c>
      <c r="D5641">
        <f>IFERROR(VLOOKUP($A5641,原始数据_收盘!$A$4:$G$3460,4,0),"")</f>
        <v>2.0225</v>
      </c>
      <c r="E5641">
        <f>IFERROR(VLOOKUP($A5641,原始数据_收盘!$A$4:$G$3460,5,0),"")</f>
        <v>2.4775</v>
      </c>
      <c r="F5641">
        <f>IFERROR(VLOOKUP($A5641,原始数据_收盘!$A$4:$G$3460,6,0),"")</f>
        <v>2.0213</v>
      </c>
      <c r="G5641">
        <f>IFERROR(VLOOKUP($A5641,原始数据_收盘!$A$4:$G$3460,7,0),"")</f>
        <v>2.4763</v>
      </c>
      <c r="H5641">
        <f>IFERROR(VLOOKUP($A5641,原始数据_利率互换_FR007_1年!$A$6:$C$4395,2,0),"")</f>
        <v>2.0224</v>
      </c>
      <c r="I5641">
        <f>IFERROR(VLOOKUP($A5641,原始数据_利率互换_FR007_1年!$A$6:$C$4395,3,0),"")</f>
        <v>2.478</v>
      </c>
    </row>
    <row r="5642" spans="1:9">
      <c r="A5642" s="6">
        <v>45135</v>
      </c>
      <c r="B5642">
        <f>IFERROR(VLOOKUP($A5642,原始数据_收盘!$A$4:$G$3460,2,0),"")</f>
        <v>2.0297</v>
      </c>
      <c r="C5642">
        <f>IFERROR(VLOOKUP($A5642,原始数据_收盘!$A$4:$G$3460,3,0),"")</f>
        <v>2.4975</v>
      </c>
      <c r="D5642">
        <f>IFERROR(VLOOKUP($A5642,原始数据_收盘!$A$4:$G$3460,4,0),"")</f>
        <v>2.0325</v>
      </c>
      <c r="E5642">
        <f>IFERROR(VLOOKUP($A5642,原始数据_收盘!$A$4:$G$3460,5,0),"")</f>
        <v>2.5</v>
      </c>
      <c r="F5642">
        <f>IFERROR(VLOOKUP($A5642,原始数据_收盘!$A$4:$G$3460,6,0),"")</f>
        <v>2.0311</v>
      </c>
      <c r="G5642">
        <f>IFERROR(VLOOKUP($A5642,原始数据_收盘!$A$4:$G$3460,7,0),"")</f>
        <v>2.4988</v>
      </c>
      <c r="H5642">
        <f>IFERROR(VLOOKUP($A5642,原始数据_利率互换_FR007_1年!$A$6:$C$4395,2,0),"")</f>
        <v>2.0305</v>
      </c>
      <c r="I5642">
        <f>IFERROR(VLOOKUP($A5642,原始数据_利率互换_FR007_1年!$A$6:$C$4395,3,0),"")</f>
        <v>2.4967</v>
      </c>
    </row>
    <row r="5643" spans="1:9">
      <c r="A5643" s="6">
        <v>45136</v>
      </c>
      <c r="B5643" t="str">
        <f>IFERROR(VLOOKUP($A5643,原始数据_收盘!$A$4:$G$3460,2,0),"")</f>
        <v/>
      </c>
      <c r="C5643" t="str">
        <f>IFERROR(VLOOKUP($A5643,原始数据_收盘!$A$4:$G$3460,3,0),"")</f>
        <v/>
      </c>
      <c r="D5643" t="str">
        <f>IFERROR(VLOOKUP($A5643,原始数据_收盘!$A$4:$G$3460,4,0),"")</f>
        <v/>
      </c>
      <c r="E5643" t="str">
        <f>IFERROR(VLOOKUP($A5643,原始数据_收盘!$A$4:$G$3460,5,0),"")</f>
        <v/>
      </c>
      <c r="F5643" t="str">
        <f>IFERROR(VLOOKUP($A5643,原始数据_收盘!$A$4:$G$3460,6,0),"")</f>
        <v/>
      </c>
      <c r="G5643" t="str">
        <f>IFERROR(VLOOKUP($A5643,原始数据_收盘!$A$4:$G$3460,7,0),"")</f>
        <v/>
      </c>
      <c r="H5643" t="str">
        <f>IFERROR(VLOOKUP($A5643,原始数据_利率互换_FR007_1年!$A$6:$C$4395,2,0),"")</f>
        <v/>
      </c>
      <c r="I5643" t="str">
        <f>IFERROR(VLOOKUP($A5643,原始数据_利率互换_FR007_1年!$A$6:$C$4395,3,0),"")</f>
        <v/>
      </c>
    </row>
    <row r="5644" spans="1:9">
      <c r="A5644" s="6">
        <v>45137</v>
      </c>
      <c r="B5644" t="str">
        <f>IFERROR(VLOOKUP($A5644,原始数据_收盘!$A$4:$G$3460,2,0),"")</f>
        <v/>
      </c>
      <c r="C5644" t="str">
        <f>IFERROR(VLOOKUP($A5644,原始数据_收盘!$A$4:$G$3460,3,0),"")</f>
        <v/>
      </c>
      <c r="D5644" t="str">
        <f>IFERROR(VLOOKUP($A5644,原始数据_收盘!$A$4:$G$3460,4,0),"")</f>
        <v/>
      </c>
      <c r="E5644" t="str">
        <f>IFERROR(VLOOKUP($A5644,原始数据_收盘!$A$4:$G$3460,5,0),"")</f>
        <v/>
      </c>
      <c r="F5644" t="str">
        <f>IFERROR(VLOOKUP($A5644,原始数据_收盘!$A$4:$G$3460,6,0),"")</f>
        <v/>
      </c>
      <c r="G5644" t="str">
        <f>IFERROR(VLOOKUP($A5644,原始数据_收盘!$A$4:$G$3460,7,0),"")</f>
        <v/>
      </c>
      <c r="H5644" t="str">
        <f>IFERROR(VLOOKUP($A5644,原始数据_利率互换_FR007_1年!$A$6:$C$4395,2,0),"")</f>
        <v/>
      </c>
      <c r="I5644" t="str">
        <f>IFERROR(VLOOKUP($A5644,原始数据_利率互换_FR007_1年!$A$6:$C$4395,3,0),"")</f>
        <v/>
      </c>
    </row>
    <row r="5645" spans="1:9">
      <c r="A5645" s="6">
        <v>45138</v>
      </c>
      <c r="B5645">
        <f>IFERROR(VLOOKUP($A5645,原始数据_收盘!$A$4:$G$3460,2,0),"")</f>
        <v>2.0328</v>
      </c>
      <c r="C5645">
        <f>IFERROR(VLOOKUP($A5645,原始数据_收盘!$A$4:$G$3460,3,0),"")</f>
        <v>2.512</v>
      </c>
      <c r="D5645">
        <f>IFERROR(VLOOKUP($A5645,原始数据_收盘!$A$4:$G$3460,4,0),"")</f>
        <v>2.0362</v>
      </c>
      <c r="E5645">
        <f>IFERROR(VLOOKUP($A5645,原始数据_收盘!$A$4:$G$3460,5,0),"")</f>
        <v>2.5142</v>
      </c>
      <c r="F5645">
        <f>IFERROR(VLOOKUP($A5645,原始数据_收盘!$A$4:$G$3460,6,0),"")</f>
        <v>2.0345</v>
      </c>
      <c r="G5645">
        <f>IFERROR(VLOOKUP($A5645,原始数据_收盘!$A$4:$G$3460,7,0),"")</f>
        <v>2.5131</v>
      </c>
      <c r="H5645">
        <f>IFERROR(VLOOKUP($A5645,原始数据_利率互换_FR007_1年!$A$6:$C$4395,2,0),"")</f>
        <v>2.045</v>
      </c>
      <c r="I5645">
        <f>IFERROR(VLOOKUP($A5645,原始数据_利率互换_FR007_1年!$A$6:$C$4395,3,0),"")</f>
        <v>2.524</v>
      </c>
    </row>
    <row r="5646" spans="1:9">
      <c r="A5646" s="6">
        <v>45139</v>
      </c>
      <c r="B5646">
        <f>IFERROR(VLOOKUP($A5646,原始数据_收盘!$A$4:$G$3460,2,0),"")</f>
        <v>2.03</v>
      </c>
      <c r="C5646">
        <f>IFERROR(VLOOKUP($A5646,原始数据_收盘!$A$4:$G$3460,3,0),"")</f>
        <v>2.51</v>
      </c>
      <c r="D5646">
        <f>IFERROR(VLOOKUP($A5646,原始数据_收盘!$A$4:$G$3460,4,0),"")</f>
        <v>2.0325</v>
      </c>
      <c r="E5646">
        <f>IFERROR(VLOOKUP($A5646,原始数据_收盘!$A$4:$G$3460,5,0),"")</f>
        <v>2.5109</v>
      </c>
      <c r="F5646">
        <f>IFERROR(VLOOKUP($A5646,原始数据_收盘!$A$4:$G$3460,6,0),"")</f>
        <v>2.0313</v>
      </c>
      <c r="G5646">
        <f>IFERROR(VLOOKUP($A5646,原始数据_收盘!$A$4:$G$3460,7,0),"")</f>
        <v>2.5104</v>
      </c>
      <c r="H5646">
        <f>IFERROR(VLOOKUP($A5646,原始数据_利率互换_FR007_1年!$A$6:$C$4395,2,0),"")</f>
        <v>2.0257</v>
      </c>
      <c r="I5646">
        <f>IFERROR(VLOOKUP($A5646,原始数据_利率互换_FR007_1年!$A$6:$C$4395,3,0),"")</f>
        <v>2.5033</v>
      </c>
    </row>
    <row r="5647" spans="1:9">
      <c r="A5647" s="6">
        <v>45140</v>
      </c>
      <c r="B5647">
        <f>IFERROR(VLOOKUP($A5647,原始数据_收盘!$A$4:$G$3460,2,0),"")</f>
        <v>2.017</v>
      </c>
      <c r="C5647">
        <f>IFERROR(VLOOKUP($A5647,原始数据_收盘!$A$4:$G$3460,3,0),"")</f>
        <v>2.4974</v>
      </c>
      <c r="D5647">
        <f>IFERROR(VLOOKUP($A5647,原始数据_收盘!$A$4:$G$3460,4,0),"")</f>
        <v>2.0195</v>
      </c>
      <c r="E5647">
        <f>IFERROR(VLOOKUP($A5647,原始数据_收盘!$A$4:$G$3460,5,0),"")</f>
        <v>2.5</v>
      </c>
      <c r="F5647">
        <f>IFERROR(VLOOKUP($A5647,原始数据_收盘!$A$4:$G$3460,6,0),"")</f>
        <v>2.0182</v>
      </c>
      <c r="G5647">
        <f>IFERROR(VLOOKUP($A5647,原始数据_收盘!$A$4:$G$3460,7,0),"")</f>
        <v>2.4987</v>
      </c>
      <c r="H5647">
        <f>IFERROR(VLOOKUP($A5647,原始数据_利率互换_FR007_1年!$A$6:$C$4395,2,0),"")</f>
        <v>2.0195</v>
      </c>
      <c r="I5647">
        <f>IFERROR(VLOOKUP($A5647,原始数据_利率互换_FR007_1年!$A$6:$C$4395,3,0),"")</f>
        <v>2.5</v>
      </c>
    </row>
    <row r="5648" spans="1:9">
      <c r="A5648" s="6">
        <v>45141</v>
      </c>
      <c r="B5648">
        <f>IFERROR(VLOOKUP($A5648,原始数据_收盘!$A$4:$G$3460,2,0),"")</f>
        <v>1.985</v>
      </c>
      <c r="C5648">
        <f>IFERROR(VLOOKUP($A5648,原始数据_收盘!$A$4:$G$3460,3,0),"")</f>
        <v>2.465</v>
      </c>
      <c r="D5648">
        <f>IFERROR(VLOOKUP($A5648,原始数据_收盘!$A$4:$G$3460,4,0),"")</f>
        <v>1.9875</v>
      </c>
      <c r="E5648">
        <f>IFERROR(VLOOKUP($A5648,原始数据_收盘!$A$4:$G$3460,5,0),"")</f>
        <v>2.4675</v>
      </c>
      <c r="F5648">
        <f>IFERROR(VLOOKUP($A5648,原始数据_收盘!$A$4:$G$3460,6,0),"")</f>
        <v>1.9863</v>
      </c>
      <c r="G5648">
        <f>IFERROR(VLOOKUP($A5648,原始数据_收盘!$A$4:$G$3460,7,0),"")</f>
        <v>2.4663</v>
      </c>
      <c r="H5648">
        <f>IFERROR(VLOOKUP($A5648,原始数据_利率互换_FR007_1年!$A$6:$C$4395,2,0),"")</f>
        <v>1.9928</v>
      </c>
      <c r="I5648">
        <f>IFERROR(VLOOKUP($A5648,原始数据_利率互换_FR007_1年!$A$6:$C$4395,3,0),"")</f>
        <v>2.4726</v>
      </c>
    </row>
    <row r="5649" spans="1:9">
      <c r="A5649" s="6">
        <v>45142</v>
      </c>
      <c r="B5649">
        <f>IFERROR(VLOOKUP($A5649,原始数据_收盘!$A$4:$G$3460,2,0),"")</f>
        <v>1.975</v>
      </c>
      <c r="C5649">
        <f>IFERROR(VLOOKUP($A5649,原始数据_收盘!$A$4:$G$3460,3,0),"")</f>
        <v>2.4625</v>
      </c>
      <c r="D5649">
        <f>IFERROR(VLOOKUP($A5649,原始数据_收盘!$A$4:$G$3460,4,0),"")</f>
        <v>1.978</v>
      </c>
      <c r="E5649">
        <f>IFERROR(VLOOKUP($A5649,原始数据_收盘!$A$4:$G$3460,5,0),"")</f>
        <v>2.465</v>
      </c>
      <c r="F5649">
        <f>IFERROR(VLOOKUP($A5649,原始数据_收盘!$A$4:$G$3460,6,0),"")</f>
        <v>1.9765</v>
      </c>
      <c r="G5649">
        <f>IFERROR(VLOOKUP($A5649,原始数据_收盘!$A$4:$G$3460,7,0),"")</f>
        <v>2.4638</v>
      </c>
      <c r="H5649">
        <f>IFERROR(VLOOKUP($A5649,原始数据_利率互换_FR007_1年!$A$6:$C$4395,2,0),"")</f>
        <v>1.9783</v>
      </c>
      <c r="I5649">
        <f>IFERROR(VLOOKUP($A5649,原始数据_利率互换_FR007_1年!$A$6:$C$4395,3,0),"")</f>
        <v>2.4678</v>
      </c>
    </row>
    <row r="5650" spans="1:9">
      <c r="A5650" s="6">
        <v>45143</v>
      </c>
      <c r="B5650" t="str">
        <f>IFERROR(VLOOKUP($A5650,原始数据_收盘!$A$4:$G$3460,2,0),"")</f>
        <v/>
      </c>
      <c r="C5650" t="str">
        <f>IFERROR(VLOOKUP($A5650,原始数据_收盘!$A$4:$G$3460,3,0),"")</f>
        <v/>
      </c>
      <c r="D5650" t="str">
        <f>IFERROR(VLOOKUP($A5650,原始数据_收盘!$A$4:$G$3460,4,0),"")</f>
        <v/>
      </c>
      <c r="E5650" t="str">
        <f>IFERROR(VLOOKUP($A5650,原始数据_收盘!$A$4:$G$3460,5,0),"")</f>
        <v/>
      </c>
      <c r="F5650" t="str">
        <f>IFERROR(VLOOKUP($A5650,原始数据_收盘!$A$4:$G$3460,6,0),"")</f>
        <v/>
      </c>
      <c r="G5650" t="str">
        <f>IFERROR(VLOOKUP($A5650,原始数据_收盘!$A$4:$G$3460,7,0),"")</f>
        <v/>
      </c>
      <c r="H5650" t="str">
        <f>IFERROR(VLOOKUP($A5650,原始数据_利率互换_FR007_1年!$A$6:$C$4395,2,0),"")</f>
        <v/>
      </c>
      <c r="I5650" t="str">
        <f>IFERROR(VLOOKUP($A5650,原始数据_利率互换_FR007_1年!$A$6:$C$4395,3,0),"")</f>
        <v/>
      </c>
    </row>
    <row r="5651" spans="1:9">
      <c r="A5651" s="6">
        <v>45144</v>
      </c>
      <c r="B5651" t="str">
        <f>IFERROR(VLOOKUP($A5651,原始数据_收盘!$A$4:$G$3460,2,0),"")</f>
        <v/>
      </c>
      <c r="C5651" t="str">
        <f>IFERROR(VLOOKUP($A5651,原始数据_收盘!$A$4:$G$3460,3,0),"")</f>
        <v/>
      </c>
      <c r="D5651" t="str">
        <f>IFERROR(VLOOKUP($A5651,原始数据_收盘!$A$4:$G$3460,4,0),"")</f>
        <v/>
      </c>
      <c r="E5651" t="str">
        <f>IFERROR(VLOOKUP($A5651,原始数据_收盘!$A$4:$G$3460,5,0),"")</f>
        <v/>
      </c>
      <c r="F5651" t="str">
        <f>IFERROR(VLOOKUP($A5651,原始数据_收盘!$A$4:$G$3460,6,0),"")</f>
        <v/>
      </c>
      <c r="G5651" t="str">
        <f>IFERROR(VLOOKUP($A5651,原始数据_收盘!$A$4:$G$3460,7,0),"")</f>
        <v/>
      </c>
      <c r="H5651" t="str">
        <f>IFERROR(VLOOKUP($A5651,原始数据_利率互换_FR007_1年!$A$6:$C$4395,2,0),"")</f>
        <v/>
      </c>
      <c r="I5651" t="str">
        <f>IFERROR(VLOOKUP($A5651,原始数据_利率互换_FR007_1年!$A$6:$C$4395,3,0),"")</f>
        <v/>
      </c>
    </row>
    <row r="5652" spans="1:9">
      <c r="A5652" s="6">
        <v>45145</v>
      </c>
      <c r="B5652">
        <f>IFERROR(VLOOKUP($A5652,原始数据_收盘!$A$4:$G$3460,2,0),"")</f>
        <v>1.9775</v>
      </c>
      <c r="C5652">
        <f>IFERROR(VLOOKUP($A5652,原始数据_收盘!$A$4:$G$3460,3,0),"")</f>
        <v>2.4573</v>
      </c>
      <c r="D5652">
        <f>IFERROR(VLOOKUP($A5652,原始数据_收盘!$A$4:$G$3460,4,0),"")</f>
        <v>1.9825</v>
      </c>
      <c r="E5652">
        <f>IFERROR(VLOOKUP($A5652,原始数据_收盘!$A$4:$G$3460,5,0),"")</f>
        <v>2.46</v>
      </c>
      <c r="F5652">
        <f>IFERROR(VLOOKUP($A5652,原始数据_收盘!$A$4:$G$3460,6,0),"")</f>
        <v>1.98</v>
      </c>
      <c r="G5652">
        <f>IFERROR(VLOOKUP($A5652,原始数据_收盘!$A$4:$G$3460,7,0),"")</f>
        <v>2.4587</v>
      </c>
      <c r="H5652">
        <f>IFERROR(VLOOKUP($A5652,原始数据_利率互换_FR007_1年!$A$6:$C$4395,2,0),"")</f>
        <v>1.9977</v>
      </c>
      <c r="I5652">
        <f>IFERROR(VLOOKUP($A5652,原始数据_利率互换_FR007_1年!$A$6:$C$4395,3,0),"")</f>
        <v>2.4638</v>
      </c>
    </row>
    <row r="5653" spans="1:9">
      <c r="A5653" s="6">
        <v>45146</v>
      </c>
      <c r="B5653">
        <f>IFERROR(VLOOKUP($A5653,原始数据_收盘!$A$4:$G$3460,2,0),"")</f>
        <v>1.9771</v>
      </c>
      <c r="C5653">
        <f>IFERROR(VLOOKUP($A5653,原始数据_收盘!$A$4:$G$3460,3,0),"")</f>
        <v>2.4509</v>
      </c>
      <c r="D5653">
        <f>IFERROR(VLOOKUP($A5653,原始数据_收盘!$A$4:$G$3460,4,0),"")</f>
        <v>1.9817</v>
      </c>
      <c r="E5653">
        <f>IFERROR(VLOOKUP($A5653,原始数据_收盘!$A$4:$G$3460,5,0),"")</f>
        <v>2.4531</v>
      </c>
      <c r="F5653">
        <f>IFERROR(VLOOKUP($A5653,原始数据_收盘!$A$4:$G$3460,6,0),"")</f>
        <v>1.9794</v>
      </c>
      <c r="G5653">
        <f>IFERROR(VLOOKUP($A5653,原始数据_收盘!$A$4:$G$3460,7,0),"")</f>
        <v>2.452</v>
      </c>
      <c r="H5653">
        <f>IFERROR(VLOOKUP($A5653,原始数据_利率互换_FR007_1年!$A$6:$C$4395,2,0),"")</f>
        <v>1.9855</v>
      </c>
      <c r="I5653">
        <f>IFERROR(VLOOKUP($A5653,原始数据_利率互换_FR007_1年!$A$6:$C$4395,3,0),"")</f>
        <v>2.4623</v>
      </c>
    </row>
    <row r="5654" spans="1:9">
      <c r="A5654" s="6">
        <v>45147</v>
      </c>
      <c r="B5654">
        <f>IFERROR(VLOOKUP($A5654,原始数据_收盘!$A$4:$G$3460,2,0),"")</f>
        <v>1.9836</v>
      </c>
      <c r="C5654">
        <f>IFERROR(VLOOKUP($A5654,原始数据_收盘!$A$4:$G$3460,3,0),"")</f>
        <v>2.4475</v>
      </c>
      <c r="D5654">
        <f>IFERROR(VLOOKUP($A5654,原始数据_收盘!$A$4:$G$3460,4,0),"")</f>
        <v>1.9875</v>
      </c>
      <c r="E5654">
        <f>IFERROR(VLOOKUP($A5654,原始数据_收盘!$A$4:$G$3460,5,0),"")</f>
        <v>2.45</v>
      </c>
      <c r="F5654">
        <f>IFERROR(VLOOKUP($A5654,原始数据_收盘!$A$4:$G$3460,6,0),"")</f>
        <v>1.9856</v>
      </c>
      <c r="G5654">
        <f>IFERROR(VLOOKUP($A5654,原始数据_收盘!$A$4:$G$3460,7,0),"")</f>
        <v>2.4488</v>
      </c>
      <c r="H5654">
        <f>IFERROR(VLOOKUP($A5654,原始数据_利率互换_FR007_1年!$A$6:$C$4395,2,0),"")</f>
        <v>1.9891</v>
      </c>
      <c r="I5654">
        <f>IFERROR(VLOOKUP($A5654,原始数据_利率互换_FR007_1年!$A$6:$C$4395,3,0),"")</f>
        <v>2.4542</v>
      </c>
    </row>
    <row r="5655" spans="1:9">
      <c r="A5655" s="6">
        <v>45148</v>
      </c>
      <c r="B5655">
        <f>IFERROR(VLOOKUP($A5655,原始数据_收盘!$A$4:$G$3460,2,0),"")</f>
        <v>1.9825</v>
      </c>
      <c r="C5655">
        <f>IFERROR(VLOOKUP($A5655,原始数据_收盘!$A$4:$G$3460,3,0),"")</f>
        <v>2.4557</v>
      </c>
      <c r="D5655">
        <f>IFERROR(VLOOKUP($A5655,原始数据_收盘!$A$4:$G$3460,4,0),"")</f>
        <v>1.9855</v>
      </c>
      <c r="E5655">
        <f>IFERROR(VLOOKUP($A5655,原始数据_收盘!$A$4:$G$3460,5,0),"")</f>
        <v>2.4578</v>
      </c>
      <c r="F5655">
        <f>IFERROR(VLOOKUP($A5655,原始数据_收盘!$A$4:$G$3460,6,0),"")</f>
        <v>1.984</v>
      </c>
      <c r="G5655">
        <f>IFERROR(VLOOKUP($A5655,原始数据_收盘!$A$4:$G$3460,7,0),"")</f>
        <v>2.4568</v>
      </c>
      <c r="H5655">
        <f>IFERROR(VLOOKUP($A5655,原始数据_利率互换_FR007_1年!$A$6:$C$4395,2,0),"")</f>
        <v>1.9893</v>
      </c>
      <c r="I5655">
        <f>IFERROR(VLOOKUP($A5655,原始数据_利率互换_FR007_1年!$A$6:$C$4395,3,0),"")</f>
        <v>2.4613</v>
      </c>
    </row>
    <row r="5656" spans="1:9">
      <c r="A5656" s="6">
        <v>45149</v>
      </c>
      <c r="B5656">
        <f>IFERROR(VLOOKUP($A5656,原始数据_收盘!$A$4:$G$3460,2,0),"")</f>
        <v>1.9725</v>
      </c>
      <c r="C5656">
        <f>IFERROR(VLOOKUP($A5656,原始数据_收盘!$A$4:$G$3460,3,0),"")</f>
        <v>2.445</v>
      </c>
      <c r="D5656">
        <f>IFERROR(VLOOKUP($A5656,原始数据_收盘!$A$4:$G$3460,4,0),"")</f>
        <v>1.9754</v>
      </c>
      <c r="E5656">
        <f>IFERROR(VLOOKUP($A5656,原始数据_收盘!$A$4:$G$3460,5,0),"")</f>
        <v>2.4475</v>
      </c>
      <c r="F5656">
        <f>IFERROR(VLOOKUP($A5656,原始数据_收盘!$A$4:$G$3460,6,0),"")</f>
        <v>1.974</v>
      </c>
      <c r="G5656">
        <f>IFERROR(VLOOKUP($A5656,原始数据_收盘!$A$4:$G$3460,7,0),"")</f>
        <v>2.4463</v>
      </c>
      <c r="H5656">
        <f>IFERROR(VLOOKUP($A5656,原始数据_利率互换_FR007_1年!$A$6:$C$4395,2,0),"")</f>
        <v>1.9756</v>
      </c>
      <c r="I5656">
        <f>IFERROR(VLOOKUP($A5656,原始数据_利率互换_FR007_1年!$A$6:$C$4395,3,0),"")</f>
        <v>2.4493</v>
      </c>
    </row>
    <row r="5657" spans="1:9">
      <c r="A5657" s="6">
        <v>45150</v>
      </c>
      <c r="B5657" t="str">
        <f>IFERROR(VLOOKUP($A5657,原始数据_收盘!$A$4:$G$3460,2,0),"")</f>
        <v/>
      </c>
      <c r="C5657" t="str">
        <f>IFERROR(VLOOKUP($A5657,原始数据_收盘!$A$4:$G$3460,3,0),"")</f>
        <v/>
      </c>
      <c r="D5657" t="str">
        <f>IFERROR(VLOOKUP($A5657,原始数据_收盘!$A$4:$G$3460,4,0),"")</f>
        <v/>
      </c>
      <c r="E5657" t="str">
        <f>IFERROR(VLOOKUP($A5657,原始数据_收盘!$A$4:$G$3460,5,0),"")</f>
        <v/>
      </c>
      <c r="F5657" t="str">
        <f>IFERROR(VLOOKUP($A5657,原始数据_收盘!$A$4:$G$3460,6,0),"")</f>
        <v/>
      </c>
      <c r="G5657" t="str">
        <f>IFERROR(VLOOKUP($A5657,原始数据_收盘!$A$4:$G$3460,7,0),"")</f>
        <v/>
      </c>
      <c r="H5657" t="str">
        <f>IFERROR(VLOOKUP($A5657,原始数据_利率互换_FR007_1年!$A$6:$C$4395,2,0),"")</f>
        <v/>
      </c>
      <c r="I5657" t="str">
        <f>IFERROR(VLOOKUP($A5657,原始数据_利率互换_FR007_1年!$A$6:$C$4395,3,0),"")</f>
        <v/>
      </c>
    </row>
    <row r="5658" spans="1:9">
      <c r="A5658" s="6">
        <v>45151</v>
      </c>
      <c r="B5658" t="str">
        <f>IFERROR(VLOOKUP($A5658,原始数据_收盘!$A$4:$G$3460,2,0),"")</f>
        <v/>
      </c>
      <c r="C5658" t="str">
        <f>IFERROR(VLOOKUP($A5658,原始数据_收盘!$A$4:$G$3460,3,0),"")</f>
        <v/>
      </c>
      <c r="D5658" t="str">
        <f>IFERROR(VLOOKUP($A5658,原始数据_收盘!$A$4:$G$3460,4,0),"")</f>
        <v/>
      </c>
      <c r="E5658" t="str">
        <f>IFERROR(VLOOKUP($A5658,原始数据_收盘!$A$4:$G$3460,5,0),"")</f>
        <v/>
      </c>
      <c r="F5658" t="str">
        <f>IFERROR(VLOOKUP($A5658,原始数据_收盘!$A$4:$G$3460,6,0),"")</f>
        <v/>
      </c>
      <c r="G5658" t="str">
        <f>IFERROR(VLOOKUP($A5658,原始数据_收盘!$A$4:$G$3460,7,0),"")</f>
        <v/>
      </c>
      <c r="H5658" t="str">
        <f>IFERROR(VLOOKUP($A5658,原始数据_利率互换_FR007_1年!$A$6:$C$4395,2,0),"")</f>
        <v/>
      </c>
      <c r="I5658" t="str">
        <f>IFERROR(VLOOKUP($A5658,原始数据_利率互换_FR007_1年!$A$6:$C$4395,3,0),"")</f>
        <v/>
      </c>
    </row>
    <row r="5659" spans="1:9">
      <c r="A5659" s="6">
        <v>45152</v>
      </c>
      <c r="B5659">
        <f>IFERROR(VLOOKUP($A5659,原始数据_收盘!$A$4:$G$3460,2,0),"")</f>
        <v>1.9467</v>
      </c>
      <c r="C5659">
        <f>IFERROR(VLOOKUP($A5659,原始数据_收盘!$A$4:$G$3460,3,0),"")</f>
        <v>2.3985</v>
      </c>
      <c r="D5659">
        <f>IFERROR(VLOOKUP($A5659,原始数据_收盘!$A$4:$G$3460,4,0),"")</f>
        <v>1.9496</v>
      </c>
      <c r="E5659">
        <f>IFERROR(VLOOKUP($A5659,原始数据_收盘!$A$4:$G$3460,5,0),"")</f>
        <v>2.4007</v>
      </c>
      <c r="F5659">
        <f>IFERROR(VLOOKUP($A5659,原始数据_收盘!$A$4:$G$3460,6,0),"")</f>
        <v>1.9481</v>
      </c>
      <c r="G5659">
        <f>IFERROR(VLOOKUP($A5659,原始数据_收盘!$A$4:$G$3460,7,0),"")</f>
        <v>2.3996</v>
      </c>
      <c r="H5659">
        <f>IFERROR(VLOOKUP($A5659,原始数据_利率互换_FR007_1年!$A$6:$C$4395,2,0),"")</f>
        <v>1.9521</v>
      </c>
      <c r="I5659">
        <f>IFERROR(VLOOKUP($A5659,原始数据_利率互换_FR007_1年!$A$6:$C$4395,3,0),"")</f>
        <v>2.408</v>
      </c>
    </row>
    <row r="5660" spans="1:9">
      <c r="A5660" s="6">
        <v>45153</v>
      </c>
      <c r="B5660">
        <f>IFERROR(VLOOKUP($A5660,原始数据_收盘!$A$4:$G$3460,2,0),"")</f>
        <v>1.915</v>
      </c>
      <c r="C5660">
        <f>IFERROR(VLOOKUP($A5660,原始数据_收盘!$A$4:$G$3460,3,0),"")</f>
        <v>2.3474</v>
      </c>
      <c r="D5660">
        <f>IFERROR(VLOOKUP($A5660,原始数据_收盘!$A$4:$G$3460,4,0),"")</f>
        <v>1.9175</v>
      </c>
      <c r="E5660">
        <f>IFERROR(VLOOKUP($A5660,原始数据_收盘!$A$4:$G$3460,5,0),"")</f>
        <v>2.3484</v>
      </c>
      <c r="F5660">
        <f>IFERROR(VLOOKUP($A5660,原始数据_收盘!$A$4:$G$3460,6,0),"")</f>
        <v>1.9163</v>
      </c>
      <c r="G5660">
        <f>IFERROR(VLOOKUP($A5660,原始数据_收盘!$A$4:$G$3460,7,0),"")</f>
        <v>2.3479</v>
      </c>
      <c r="H5660">
        <f>IFERROR(VLOOKUP($A5660,原始数据_利率互换_FR007_1年!$A$6:$C$4395,2,0),"")</f>
        <v>1.9104</v>
      </c>
      <c r="I5660">
        <f>IFERROR(VLOOKUP($A5660,原始数据_利率互换_FR007_1年!$A$6:$C$4395,3,0),"")</f>
        <v>2.3412</v>
      </c>
    </row>
    <row r="5661" spans="1:9">
      <c r="A5661" s="6">
        <v>45154</v>
      </c>
      <c r="B5661">
        <f>IFERROR(VLOOKUP($A5661,原始数据_收盘!$A$4:$G$3460,2,0),"")</f>
        <v>1.9079</v>
      </c>
      <c r="C5661">
        <f>IFERROR(VLOOKUP($A5661,原始数据_收盘!$A$4:$G$3460,3,0),"")</f>
        <v>2.335</v>
      </c>
      <c r="D5661">
        <f>IFERROR(VLOOKUP($A5661,原始数据_收盘!$A$4:$G$3460,4,0),"")</f>
        <v>1.9102</v>
      </c>
      <c r="E5661">
        <f>IFERROR(VLOOKUP($A5661,原始数据_收盘!$A$4:$G$3460,5,0),"")</f>
        <v>2.3375</v>
      </c>
      <c r="F5661">
        <f>IFERROR(VLOOKUP($A5661,原始数据_收盘!$A$4:$G$3460,6,0),"")</f>
        <v>1.9091</v>
      </c>
      <c r="G5661">
        <f>IFERROR(VLOOKUP($A5661,原始数据_收盘!$A$4:$G$3460,7,0),"")</f>
        <v>2.3363</v>
      </c>
      <c r="H5661">
        <f>IFERROR(VLOOKUP($A5661,原始数据_利率互换_FR007_1年!$A$6:$C$4395,2,0),"")</f>
        <v>1.9109</v>
      </c>
      <c r="I5661">
        <f>IFERROR(VLOOKUP($A5661,原始数据_利率互换_FR007_1年!$A$6:$C$4395,3,0),"")</f>
        <v>2.3408</v>
      </c>
    </row>
    <row r="5662" spans="1:9">
      <c r="A5662" s="6">
        <v>45155</v>
      </c>
      <c r="B5662">
        <f>IFERROR(VLOOKUP($A5662,原始数据_收盘!$A$4:$G$3460,2,0),"")</f>
        <v>1.905</v>
      </c>
      <c r="C5662">
        <f>IFERROR(VLOOKUP($A5662,原始数据_收盘!$A$4:$G$3460,3,0),"")</f>
        <v>2.3429</v>
      </c>
      <c r="D5662">
        <f>IFERROR(VLOOKUP($A5662,原始数据_收盘!$A$4:$G$3460,4,0),"")</f>
        <v>1.91</v>
      </c>
      <c r="E5662">
        <f>IFERROR(VLOOKUP($A5662,原始数据_收盘!$A$4:$G$3460,5,0),"")</f>
        <v>2.345</v>
      </c>
      <c r="F5662">
        <f>IFERROR(VLOOKUP($A5662,原始数据_收盘!$A$4:$G$3460,6,0),"")</f>
        <v>1.9075</v>
      </c>
      <c r="G5662">
        <f>IFERROR(VLOOKUP($A5662,原始数据_收盘!$A$4:$G$3460,7,0),"")</f>
        <v>2.344</v>
      </c>
      <c r="H5662">
        <f>IFERROR(VLOOKUP($A5662,原始数据_利率互换_FR007_1年!$A$6:$C$4395,2,0),"")</f>
        <v>1.9145</v>
      </c>
      <c r="I5662">
        <f>IFERROR(VLOOKUP($A5662,原始数据_利率互换_FR007_1年!$A$6:$C$4395,3,0),"")</f>
        <v>2.3517</v>
      </c>
    </row>
    <row r="5663" spans="1:9">
      <c r="A5663" s="6">
        <v>45156</v>
      </c>
      <c r="B5663">
        <f>IFERROR(VLOOKUP($A5663,原始数据_收盘!$A$4:$G$3460,2,0),"")</f>
        <v>1.8928</v>
      </c>
      <c r="C5663">
        <f>IFERROR(VLOOKUP($A5663,原始数据_收盘!$A$4:$G$3460,3,0),"")</f>
        <v>2.3242</v>
      </c>
      <c r="D5663">
        <f>IFERROR(VLOOKUP($A5663,原始数据_收盘!$A$4:$G$3460,4,0),"")</f>
        <v>1.8975</v>
      </c>
      <c r="E5663">
        <f>IFERROR(VLOOKUP($A5663,原始数据_收盘!$A$4:$G$3460,5,0),"")</f>
        <v>2.3275</v>
      </c>
      <c r="F5663">
        <f>IFERROR(VLOOKUP($A5663,原始数据_收盘!$A$4:$G$3460,6,0),"")</f>
        <v>1.8952</v>
      </c>
      <c r="G5663">
        <f>IFERROR(VLOOKUP($A5663,原始数据_收盘!$A$4:$G$3460,7,0),"")</f>
        <v>2.3258</v>
      </c>
      <c r="H5663">
        <f>IFERROR(VLOOKUP($A5663,原始数据_利率互换_FR007_1年!$A$6:$C$4395,2,0),"")</f>
        <v>1.9028</v>
      </c>
      <c r="I5663">
        <f>IFERROR(VLOOKUP($A5663,原始数据_利率互换_FR007_1年!$A$6:$C$4395,3,0),"")</f>
        <v>2.3346</v>
      </c>
    </row>
    <row r="5664" spans="1:9">
      <c r="A5664" s="6">
        <v>45157</v>
      </c>
      <c r="B5664" t="str">
        <f>IFERROR(VLOOKUP($A5664,原始数据_收盘!$A$4:$G$3460,2,0),"")</f>
        <v/>
      </c>
      <c r="C5664" t="str">
        <f>IFERROR(VLOOKUP($A5664,原始数据_收盘!$A$4:$G$3460,3,0),"")</f>
        <v/>
      </c>
      <c r="D5664" t="str">
        <f>IFERROR(VLOOKUP($A5664,原始数据_收盘!$A$4:$G$3460,4,0),"")</f>
        <v/>
      </c>
      <c r="E5664" t="str">
        <f>IFERROR(VLOOKUP($A5664,原始数据_收盘!$A$4:$G$3460,5,0),"")</f>
        <v/>
      </c>
      <c r="F5664" t="str">
        <f>IFERROR(VLOOKUP($A5664,原始数据_收盘!$A$4:$G$3460,6,0),"")</f>
        <v/>
      </c>
      <c r="G5664" t="str">
        <f>IFERROR(VLOOKUP($A5664,原始数据_收盘!$A$4:$G$3460,7,0),"")</f>
        <v/>
      </c>
      <c r="H5664" t="str">
        <f>IFERROR(VLOOKUP($A5664,原始数据_利率互换_FR007_1年!$A$6:$C$4395,2,0),"")</f>
        <v/>
      </c>
      <c r="I5664" t="str">
        <f>IFERROR(VLOOKUP($A5664,原始数据_利率互换_FR007_1年!$A$6:$C$4395,3,0),"")</f>
        <v/>
      </c>
    </row>
    <row r="5665" spans="1:9">
      <c r="A5665" s="6">
        <v>45158</v>
      </c>
      <c r="B5665" t="str">
        <f>IFERROR(VLOOKUP($A5665,原始数据_收盘!$A$4:$G$3460,2,0),"")</f>
        <v/>
      </c>
      <c r="C5665" t="str">
        <f>IFERROR(VLOOKUP($A5665,原始数据_收盘!$A$4:$G$3460,3,0),"")</f>
        <v/>
      </c>
      <c r="D5665" t="str">
        <f>IFERROR(VLOOKUP($A5665,原始数据_收盘!$A$4:$G$3460,4,0),"")</f>
        <v/>
      </c>
      <c r="E5665" t="str">
        <f>IFERROR(VLOOKUP($A5665,原始数据_收盘!$A$4:$G$3460,5,0),"")</f>
        <v/>
      </c>
      <c r="F5665" t="str">
        <f>IFERROR(VLOOKUP($A5665,原始数据_收盘!$A$4:$G$3460,6,0),"")</f>
        <v/>
      </c>
      <c r="G5665" t="str">
        <f>IFERROR(VLOOKUP($A5665,原始数据_收盘!$A$4:$G$3460,7,0),"")</f>
        <v/>
      </c>
      <c r="H5665" t="str">
        <f>IFERROR(VLOOKUP($A5665,原始数据_利率互换_FR007_1年!$A$6:$C$4395,2,0),"")</f>
        <v/>
      </c>
      <c r="I5665" t="str">
        <f>IFERROR(VLOOKUP($A5665,原始数据_利率互换_FR007_1年!$A$6:$C$4395,3,0),"")</f>
        <v/>
      </c>
    </row>
    <row r="5666" spans="1:9">
      <c r="A5666" s="6">
        <v>45159</v>
      </c>
      <c r="B5666">
        <f>IFERROR(VLOOKUP($A5666,原始数据_收盘!$A$4:$G$3460,2,0),"")</f>
        <v>1.8925</v>
      </c>
      <c r="C5666">
        <f>IFERROR(VLOOKUP($A5666,原始数据_收盘!$A$4:$G$3460,3,0),"")</f>
        <v>2.2975</v>
      </c>
      <c r="D5666">
        <f>IFERROR(VLOOKUP($A5666,原始数据_收盘!$A$4:$G$3460,4,0),"")</f>
        <v>1.895</v>
      </c>
      <c r="E5666">
        <f>IFERROR(VLOOKUP($A5666,原始数据_收盘!$A$4:$G$3460,5,0),"")</f>
        <v>2.3</v>
      </c>
      <c r="F5666">
        <f>IFERROR(VLOOKUP($A5666,原始数据_收盘!$A$4:$G$3460,6,0),"")</f>
        <v>1.8938</v>
      </c>
      <c r="G5666">
        <f>IFERROR(VLOOKUP($A5666,原始数据_收盘!$A$4:$G$3460,7,0),"")</f>
        <v>2.2988</v>
      </c>
      <c r="H5666">
        <f>IFERROR(VLOOKUP($A5666,原始数据_利率互换_FR007_1年!$A$6:$C$4395,2,0),"")</f>
        <v>1.8898</v>
      </c>
      <c r="I5666">
        <f>IFERROR(VLOOKUP($A5666,原始数据_利率互换_FR007_1年!$A$6:$C$4395,3,0),"")</f>
        <v>2.3018</v>
      </c>
    </row>
    <row r="5667" spans="1:9">
      <c r="A5667" s="6">
        <v>45160</v>
      </c>
      <c r="B5667">
        <f>IFERROR(VLOOKUP($A5667,原始数据_收盘!$A$4:$G$3460,2,0),"")</f>
        <v>1.905</v>
      </c>
      <c r="C5667">
        <f>IFERROR(VLOOKUP($A5667,原始数据_收盘!$A$4:$G$3460,3,0),"")</f>
        <v>2.3275</v>
      </c>
      <c r="D5667">
        <f>IFERROR(VLOOKUP($A5667,原始数据_收盘!$A$4:$G$3460,4,0),"")</f>
        <v>1.9075</v>
      </c>
      <c r="E5667">
        <f>IFERROR(VLOOKUP($A5667,原始数据_收盘!$A$4:$G$3460,5,0),"")</f>
        <v>2.33</v>
      </c>
      <c r="F5667">
        <f>IFERROR(VLOOKUP($A5667,原始数据_收盘!$A$4:$G$3460,6,0),"")</f>
        <v>1.9063</v>
      </c>
      <c r="G5667">
        <f>IFERROR(VLOOKUP($A5667,原始数据_收盘!$A$4:$G$3460,7,0),"")</f>
        <v>2.3288</v>
      </c>
      <c r="H5667">
        <f>IFERROR(VLOOKUP($A5667,原始数据_利率互换_FR007_1年!$A$6:$C$4395,2,0),"")</f>
        <v>1.9052</v>
      </c>
      <c r="I5667">
        <f>IFERROR(VLOOKUP($A5667,原始数据_利率互换_FR007_1年!$A$6:$C$4395,3,0),"")</f>
        <v>2.3178</v>
      </c>
    </row>
    <row r="5668" spans="1:9">
      <c r="A5668" s="6">
        <v>45161</v>
      </c>
      <c r="B5668">
        <f>IFERROR(VLOOKUP($A5668,原始数据_收盘!$A$4:$G$3460,2,0),"")</f>
        <v>1.9</v>
      </c>
      <c r="C5668">
        <f>IFERROR(VLOOKUP($A5668,原始数据_收盘!$A$4:$G$3460,3,0),"")</f>
        <v>2.325</v>
      </c>
      <c r="D5668">
        <f>IFERROR(VLOOKUP($A5668,原始数据_收盘!$A$4:$G$3460,4,0),"")</f>
        <v>1.905</v>
      </c>
      <c r="E5668">
        <f>IFERROR(VLOOKUP($A5668,原始数据_收盘!$A$4:$G$3460,5,0),"")</f>
        <v>2.3275</v>
      </c>
      <c r="F5668">
        <f>IFERROR(VLOOKUP($A5668,原始数据_收盘!$A$4:$G$3460,6,0),"")</f>
        <v>1.9025</v>
      </c>
      <c r="G5668">
        <f>IFERROR(VLOOKUP($A5668,原始数据_收盘!$A$4:$G$3460,7,0),"")</f>
        <v>2.3263</v>
      </c>
      <c r="H5668">
        <f>IFERROR(VLOOKUP($A5668,原始数据_利率互换_FR007_1年!$A$6:$C$4395,2,0),"")</f>
        <v>1.9068</v>
      </c>
      <c r="I5668">
        <f>IFERROR(VLOOKUP($A5668,原始数据_利率互换_FR007_1年!$A$6:$C$4395,3,0),"")</f>
        <v>2.3306</v>
      </c>
    </row>
    <row r="5669" spans="1:9">
      <c r="A5669" s="6">
        <v>45162</v>
      </c>
      <c r="B5669">
        <f>IFERROR(VLOOKUP($A5669,原始数据_收盘!$A$4:$G$3460,2,0),"")</f>
        <v>1.8892</v>
      </c>
      <c r="C5669">
        <f>IFERROR(VLOOKUP($A5669,原始数据_收盘!$A$4:$G$3460,3,0),"")</f>
        <v>2.3148</v>
      </c>
      <c r="D5669">
        <f>IFERROR(VLOOKUP($A5669,原始数据_收盘!$A$4:$G$3460,4,0),"")</f>
        <v>1.8925</v>
      </c>
      <c r="E5669">
        <f>IFERROR(VLOOKUP($A5669,原始数据_收盘!$A$4:$G$3460,5,0),"")</f>
        <v>2.3175</v>
      </c>
      <c r="F5669">
        <f>IFERROR(VLOOKUP($A5669,原始数据_收盘!$A$4:$G$3460,6,0),"")</f>
        <v>1.8908</v>
      </c>
      <c r="G5669">
        <f>IFERROR(VLOOKUP($A5669,原始数据_收盘!$A$4:$G$3460,7,0),"")</f>
        <v>2.3162</v>
      </c>
      <c r="H5669">
        <f>IFERROR(VLOOKUP($A5669,原始数据_利率互换_FR007_1年!$A$6:$C$4395,2,0),"")</f>
        <v>1.8941</v>
      </c>
      <c r="I5669">
        <f>IFERROR(VLOOKUP($A5669,原始数据_利率互换_FR007_1年!$A$6:$C$4395,3,0),"")</f>
        <v>2.3216</v>
      </c>
    </row>
    <row r="5670" spans="1:9">
      <c r="A5670" s="6">
        <v>45163</v>
      </c>
      <c r="B5670">
        <f>IFERROR(VLOOKUP($A5670,原始数据_收盘!$A$4:$G$3460,2,0),"")</f>
        <v>1.925</v>
      </c>
      <c r="C5670">
        <f>IFERROR(VLOOKUP($A5670,原始数据_收盘!$A$4:$G$3460,3,0),"")</f>
        <v>2.3475</v>
      </c>
      <c r="D5670">
        <f>IFERROR(VLOOKUP($A5670,原始数据_收盘!$A$4:$G$3460,4,0),"")</f>
        <v>1.93</v>
      </c>
      <c r="E5670">
        <f>IFERROR(VLOOKUP($A5670,原始数据_收盘!$A$4:$G$3460,5,0),"")</f>
        <v>2.35</v>
      </c>
      <c r="F5670">
        <f>IFERROR(VLOOKUP($A5670,原始数据_收盘!$A$4:$G$3460,6,0),"")</f>
        <v>1.9275</v>
      </c>
      <c r="G5670">
        <f>IFERROR(VLOOKUP($A5670,原始数据_收盘!$A$4:$G$3460,7,0),"")</f>
        <v>2.3488</v>
      </c>
      <c r="H5670">
        <f>IFERROR(VLOOKUP($A5670,原始数据_利率互换_FR007_1年!$A$6:$C$4395,2,0),"")</f>
        <v>1.916</v>
      </c>
      <c r="I5670">
        <f>IFERROR(VLOOKUP($A5670,原始数据_利率互换_FR007_1年!$A$6:$C$4395,3,0),"")</f>
        <v>2.3389</v>
      </c>
    </row>
    <row r="5671" spans="1:9">
      <c r="A5671" s="6">
        <v>45164</v>
      </c>
      <c r="B5671" t="str">
        <f>IFERROR(VLOOKUP($A5671,原始数据_收盘!$A$4:$G$3460,2,0),"")</f>
        <v/>
      </c>
      <c r="C5671" t="str">
        <f>IFERROR(VLOOKUP($A5671,原始数据_收盘!$A$4:$G$3460,3,0),"")</f>
        <v/>
      </c>
      <c r="D5671" t="str">
        <f>IFERROR(VLOOKUP($A5671,原始数据_收盘!$A$4:$G$3460,4,0),"")</f>
        <v/>
      </c>
      <c r="E5671" t="str">
        <f>IFERROR(VLOOKUP($A5671,原始数据_收盘!$A$4:$G$3460,5,0),"")</f>
        <v/>
      </c>
      <c r="F5671" t="str">
        <f>IFERROR(VLOOKUP($A5671,原始数据_收盘!$A$4:$G$3460,6,0),"")</f>
        <v/>
      </c>
      <c r="G5671" t="str">
        <f>IFERROR(VLOOKUP($A5671,原始数据_收盘!$A$4:$G$3460,7,0),"")</f>
        <v/>
      </c>
      <c r="H5671" t="str">
        <f>IFERROR(VLOOKUP($A5671,原始数据_利率互换_FR007_1年!$A$6:$C$4395,2,0),"")</f>
        <v/>
      </c>
      <c r="I5671" t="str">
        <f>IFERROR(VLOOKUP($A5671,原始数据_利率互换_FR007_1年!$A$6:$C$4395,3,0),"")</f>
        <v/>
      </c>
    </row>
    <row r="5672" spans="1:9">
      <c r="A5672" s="6">
        <v>45165</v>
      </c>
      <c r="B5672" t="str">
        <f>IFERROR(VLOOKUP($A5672,原始数据_收盘!$A$4:$G$3460,2,0),"")</f>
        <v/>
      </c>
      <c r="C5672" t="str">
        <f>IFERROR(VLOOKUP($A5672,原始数据_收盘!$A$4:$G$3460,3,0),"")</f>
        <v/>
      </c>
      <c r="D5672" t="str">
        <f>IFERROR(VLOOKUP($A5672,原始数据_收盘!$A$4:$G$3460,4,0),"")</f>
        <v/>
      </c>
      <c r="E5672" t="str">
        <f>IFERROR(VLOOKUP($A5672,原始数据_收盘!$A$4:$G$3460,5,0),"")</f>
        <v/>
      </c>
      <c r="F5672" t="str">
        <f>IFERROR(VLOOKUP($A5672,原始数据_收盘!$A$4:$G$3460,6,0),"")</f>
        <v/>
      </c>
      <c r="G5672" t="str">
        <f>IFERROR(VLOOKUP($A5672,原始数据_收盘!$A$4:$G$3460,7,0),"")</f>
        <v/>
      </c>
      <c r="H5672" t="str">
        <f>IFERROR(VLOOKUP($A5672,原始数据_利率互换_FR007_1年!$A$6:$C$4395,2,0),"")</f>
        <v/>
      </c>
      <c r="I5672" t="str">
        <f>IFERROR(VLOOKUP($A5672,原始数据_利率互换_FR007_1年!$A$6:$C$4395,3,0),"")</f>
        <v/>
      </c>
    </row>
    <row r="5673" spans="1:9">
      <c r="A5673" s="6">
        <v>45166</v>
      </c>
      <c r="B5673">
        <f>IFERROR(VLOOKUP($A5673,原始数据_收盘!$A$4:$G$3460,2,0),"")</f>
        <v>1.935</v>
      </c>
      <c r="C5673">
        <f>IFERROR(VLOOKUP($A5673,原始数据_收盘!$A$4:$G$3460,3,0),"")</f>
        <v>2.36</v>
      </c>
      <c r="D5673">
        <f>IFERROR(VLOOKUP($A5673,原始数据_收盘!$A$4:$G$3460,4,0),"")</f>
        <v>1.9375</v>
      </c>
      <c r="E5673">
        <f>IFERROR(VLOOKUP($A5673,原始数据_收盘!$A$4:$G$3460,5,0),"")</f>
        <v>2.3625</v>
      </c>
      <c r="F5673">
        <f>IFERROR(VLOOKUP($A5673,原始数据_收盘!$A$4:$G$3460,6,0),"")</f>
        <v>1.9363</v>
      </c>
      <c r="G5673">
        <f>IFERROR(VLOOKUP($A5673,原始数据_收盘!$A$4:$G$3460,7,0),"")</f>
        <v>2.3613</v>
      </c>
      <c r="H5673">
        <f>IFERROR(VLOOKUP($A5673,原始数据_利率互换_FR007_1年!$A$6:$C$4395,2,0),"")</f>
        <v>1.9401</v>
      </c>
      <c r="I5673">
        <f>IFERROR(VLOOKUP($A5673,原始数据_利率互换_FR007_1年!$A$6:$C$4395,3,0),"")</f>
        <v>2.3773</v>
      </c>
    </row>
    <row r="5674" spans="1:9">
      <c r="A5674" s="6">
        <v>45167</v>
      </c>
      <c r="B5674">
        <f>IFERROR(VLOOKUP($A5674,原始数据_收盘!$A$4:$G$3460,2,0),"")</f>
        <v>1.945</v>
      </c>
      <c r="C5674">
        <f>IFERROR(VLOOKUP($A5674,原始数据_收盘!$A$4:$G$3460,3,0),"")</f>
        <v>2.37</v>
      </c>
      <c r="D5674">
        <f>IFERROR(VLOOKUP($A5674,原始数据_收盘!$A$4:$G$3460,4,0),"")</f>
        <v>1.9475</v>
      </c>
      <c r="E5674">
        <f>IFERROR(VLOOKUP($A5674,原始数据_收盘!$A$4:$G$3460,5,0),"")</f>
        <v>2.3725</v>
      </c>
      <c r="F5674">
        <f>IFERROR(VLOOKUP($A5674,原始数据_收盘!$A$4:$G$3460,6,0),"")</f>
        <v>1.9463</v>
      </c>
      <c r="G5674">
        <f>IFERROR(VLOOKUP($A5674,原始数据_收盘!$A$4:$G$3460,7,0),"")</f>
        <v>2.3713</v>
      </c>
      <c r="H5674">
        <f>IFERROR(VLOOKUP($A5674,原始数据_利率互换_FR007_1年!$A$6:$C$4395,2,0),"")</f>
        <v>1.9459</v>
      </c>
      <c r="I5674">
        <f>IFERROR(VLOOKUP($A5674,原始数据_利率互换_FR007_1年!$A$6:$C$4395,3,0),"")</f>
        <v>2.3744</v>
      </c>
    </row>
    <row r="5675" spans="1:9">
      <c r="A5675" s="6">
        <v>45168</v>
      </c>
      <c r="B5675">
        <f>IFERROR(VLOOKUP($A5675,原始数据_收盘!$A$4:$G$3460,2,0),"")</f>
        <v>1.935</v>
      </c>
      <c r="C5675">
        <f>IFERROR(VLOOKUP($A5675,原始数据_收盘!$A$4:$G$3460,3,0),"")</f>
        <v>2.355</v>
      </c>
      <c r="D5675">
        <f>IFERROR(VLOOKUP($A5675,原始数据_收盘!$A$4:$G$3460,4,0),"")</f>
        <v>1.9375</v>
      </c>
      <c r="E5675">
        <f>IFERROR(VLOOKUP($A5675,原始数据_收盘!$A$4:$G$3460,5,0),"")</f>
        <v>2.3575</v>
      </c>
      <c r="F5675">
        <f>IFERROR(VLOOKUP($A5675,原始数据_收盘!$A$4:$G$3460,6,0),"")</f>
        <v>1.9363</v>
      </c>
      <c r="G5675">
        <f>IFERROR(VLOOKUP($A5675,原始数据_收盘!$A$4:$G$3460,7,0),"")</f>
        <v>2.3563</v>
      </c>
      <c r="H5675">
        <f>IFERROR(VLOOKUP($A5675,原始数据_利率互换_FR007_1年!$A$6:$C$4395,2,0),"")</f>
        <v>1.9393</v>
      </c>
      <c r="I5675">
        <f>IFERROR(VLOOKUP($A5675,原始数据_利率互换_FR007_1年!$A$6:$C$4395,3,0),"")</f>
        <v>2.363</v>
      </c>
    </row>
    <row r="5676" spans="1:9">
      <c r="A5676" s="6">
        <v>45169</v>
      </c>
      <c r="B5676">
        <f>IFERROR(VLOOKUP($A5676,原始数据_收盘!$A$4:$G$3460,2,0),"")</f>
        <v>1.9398</v>
      </c>
      <c r="C5676">
        <f>IFERROR(VLOOKUP($A5676,原始数据_收盘!$A$4:$G$3460,3,0),"")</f>
        <v>2.3575</v>
      </c>
      <c r="D5676">
        <f>IFERROR(VLOOKUP($A5676,原始数据_收盘!$A$4:$G$3460,4,0),"")</f>
        <v>1.9422</v>
      </c>
      <c r="E5676">
        <f>IFERROR(VLOOKUP($A5676,原始数据_收盘!$A$4:$G$3460,5,0),"")</f>
        <v>2.36</v>
      </c>
      <c r="F5676">
        <f>IFERROR(VLOOKUP($A5676,原始数据_收盘!$A$4:$G$3460,6,0),"")</f>
        <v>1.941</v>
      </c>
      <c r="G5676">
        <f>IFERROR(VLOOKUP($A5676,原始数据_收盘!$A$4:$G$3460,7,0),"")</f>
        <v>2.3588</v>
      </c>
      <c r="H5676">
        <f>IFERROR(VLOOKUP($A5676,原始数据_利率互换_FR007_1年!$A$6:$C$4395,2,0),"")</f>
        <v>1.9358</v>
      </c>
      <c r="I5676">
        <f>IFERROR(VLOOKUP($A5676,原始数据_利率互换_FR007_1年!$A$6:$C$4395,3,0),"")</f>
        <v>2.3583</v>
      </c>
    </row>
    <row r="5677" spans="1:9">
      <c r="A5677" s="6">
        <v>45170</v>
      </c>
      <c r="B5677">
        <f>IFERROR(VLOOKUP($A5677,原始数据_收盘!$A$4:$G$3460,2,0),"")</f>
        <v>1.9675</v>
      </c>
      <c r="C5677">
        <f>IFERROR(VLOOKUP($A5677,原始数据_收盘!$A$4:$G$3460,3,0),"")</f>
        <v>2.4207</v>
      </c>
      <c r="D5677">
        <f>IFERROR(VLOOKUP($A5677,原始数据_收盘!$A$4:$G$3460,4,0),"")</f>
        <v>1.9701</v>
      </c>
      <c r="E5677">
        <f>IFERROR(VLOOKUP($A5677,原始数据_收盘!$A$4:$G$3460,5,0),"")</f>
        <v>2.4237</v>
      </c>
      <c r="F5677">
        <f>IFERROR(VLOOKUP($A5677,原始数据_收盘!$A$4:$G$3460,6,0),"")</f>
        <v>1.9688</v>
      </c>
      <c r="G5677">
        <f>IFERROR(VLOOKUP($A5677,原始数据_收盘!$A$4:$G$3460,7,0),"")</f>
        <v>2.4222</v>
      </c>
      <c r="H5677">
        <f>IFERROR(VLOOKUP($A5677,原始数据_利率互换_FR007_1年!$A$6:$C$4395,2,0),"")</f>
        <v>1.9549</v>
      </c>
      <c r="I5677">
        <f>IFERROR(VLOOKUP($A5677,原始数据_利率互换_FR007_1年!$A$6:$C$4395,3,0),"")</f>
        <v>2.3989</v>
      </c>
    </row>
    <row r="5678" spans="1:9">
      <c r="A5678" s="6">
        <v>45171</v>
      </c>
      <c r="B5678" t="str">
        <f>IFERROR(VLOOKUP($A5678,原始数据_收盘!$A$4:$G$3460,2,0),"")</f>
        <v/>
      </c>
      <c r="C5678" t="str">
        <f>IFERROR(VLOOKUP($A5678,原始数据_收盘!$A$4:$G$3460,3,0),"")</f>
        <v/>
      </c>
      <c r="D5678" t="str">
        <f>IFERROR(VLOOKUP($A5678,原始数据_收盘!$A$4:$G$3460,4,0),"")</f>
        <v/>
      </c>
      <c r="E5678" t="str">
        <f>IFERROR(VLOOKUP($A5678,原始数据_收盘!$A$4:$G$3460,5,0),"")</f>
        <v/>
      </c>
      <c r="F5678" t="str">
        <f>IFERROR(VLOOKUP($A5678,原始数据_收盘!$A$4:$G$3460,6,0),"")</f>
        <v/>
      </c>
      <c r="G5678" t="str">
        <f>IFERROR(VLOOKUP($A5678,原始数据_收盘!$A$4:$G$3460,7,0),"")</f>
        <v/>
      </c>
      <c r="H5678" t="str">
        <f>IFERROR(VLOOKUP($A5678,原始数据_利率互换_FR007_1年!$A$6:$C$4395,2,0),"")</f>
        <v/>
      </c>
      <c r="I5678" t="str">
        <f>IFERROR(VLOOKUP($A5678,原始数据_利率互换_FR007_1年!$A$6:$C$4395,3,0),"")</f>
        <v/>
      </c>
    </row>
    <row r="5679" spans="1:9">
      <c r="A5679" s="6">
        <v>45172</v>
      </c>
      <c r="B5679" t="str">
        <f>IFERROR(VLOOKUP($A5679,原始数据_收盘!$A$4:$G$3460,2,0),"")</f>
        <v/>
      </c>
      <c r="C5679" t="str">
        <f>IFERROR(VLOOKUP($A5679,原始数据_收盘!$A$4:$G$3460,3,0),"")</f>
        <v/>
      </c>
      <c r="D5679" t="str">
        <f>IFERROR(VLOOKUP($A5679,原始数据_收盘!$A$4:$G$3460,4,0),"")</f>
        <v/>
      </c>
      <c r="E5679" t="str">
        <f>IFERROR(VLOOKUP($A5679,原始数据_收盘!$A$4:$G$3460,5,0),"")</f>
        <v/>
      </c>
      <c r="F5679" t="str">
        <f>IFERROR(VLOOKUP($A5679,原始数据_收盘!$A$4:$G$3460,6,0),"")</f>
        <v/>
      </c>
      <c r="G5679" t="str">
        <f>IFERROR(VLOOKUP($A5679,原始数据_收盘!$A$4:$G$3460,7,0),"")</f>
        <v/>
      </c>
      <c r="H5679" t="str">
        <f>IFERROR(VLOOKUP($A5679,原始数据_利率互换_FR007_1年!$A$6:$C$4395,2,0),"")</f>
        <v/>
      </c>
      <c r="I5679" t="str">
        <f>IFERROR(VLOOKUP($A5679,原始数据_利率互换_FR007_1年!$A$6:$C$4395,3,0),"")</f>
        <v/>
      </c>
    </row>
    <row r="5680" spans="1:9">
      <c r="A5680" s="6">
        <v>45173</v>
      </c>
      <c r="B5680">
        <f>IFERROR(VLOOKUP($A5680,原始数据_收盘!$A$4:$G$3460,2,0),"")</f>
        <v>1.98</v>
      </c>
      <c r="C5680">
        <f>IFERROR(VLOOKUP($A5680,原始数据_收盘!$A$4:$G$3460,3,0),"")</f>
        <v>2.4437</v>
      </c>
      <c r="D5680">
        <f>IFERROR(VLOOKUP($A5680,原始数据_收盘!$A$4:$G$3460,4,0),"")</f>
        <v>1.9825</v>
      </c>
      <c r="E5680">
        <f>IFERROR(VLOOKUP($A5680,原始数据_收盘!$A$4:$G$3460,5,0),"")</f>
        <v>2.4455</v>
      </c>
      <c r="F5680">
        <f>IFERROR(VLOOKUP($A5680,原始数据_收盘!$A$4:$G$3460,6,0),"")</f>
        <v>1.9813</v>
      </c>
      <c r="G5680">
        <f>IFERROR(VLOOKUP($A5680,原始数据_收盘!$A$4:$G$3460,7,0),"")</f>
        <v>2.4446</v>
      </c>
      <c r="H5680">
        <f>IFERROR(VLOOKUP($A5680,原始数据_利率互换_FR007_1年!$A$6:$C$4395,2,0),"")</f>
        <v>1.9782</v>
      </c>
      <c r="I5680">
        <f>IFERROR(VLOOKUP($A5680,原始数据_利率互换_FR007_1年!$A$6:$C$4395,3,0),"")</f>
        <v>2.444</v>
      </c>
    </row>
    <row r="5681" spans="1:9">
      <c r="A5681" s="6">
        <v>45174</v>
      </c>
      <c r="B5681">
        <f>IFERROR(VLOOKUP($A5681,原始数据_收盘!$A$4:$G$3460,2,0),"")</f>
        <v>1.98</v>
      </c>
      <c r="C5681">
        <f>IFERROR(VLOOKUP($A5681,原始数据_收盘!$A$4:$G$3460,3,0),"")</f>
        <v>2.4425</v>
      </c>
      <c r="D5681">
        <f>IFERROR(VLOOKUP($A5681,原始数据_收盘!$A$4:$G$3460,4,0),"")</f>
        <v>1.985</v>
      </c>
      <c r="E5681">
        <f>IFERROR(VLOOKUP($A5681,原始数据_收盘!$A$4:$G$3460,5,0),"")</f>
        <v>2.445</v>
      </c>
      <c r="F5681">
        <f>IFERROR(VLOOKUP($A5681,原始数据_收盘!$A$4:$G$3460,6,0),"")</f>
        <v>1.9825</v>
      </c>
      <c r="G5681">
        <f>IFERROR(VLOOKUP($A5681,原始数据_收盘!$A$4:$G$3460,7,0),"")</f>
        <v>2.4438</v>
      </c>
      <c r="H5681">
        <f>IFERROR(VLOOKUP($A5681,原始数据_利率互换_FR007_1年!$A$6:$C$4395,2,0),"")</f>
        <v>1.9762</v>
      </c>
      <c r="I5681">
        <f>IFERROR(VLOOKUP($A5681,原始数据_利率互换_FR007_1年!$A$6:$C$4395,3,0),"")</f>
        <v>2.4362</v>
      </c>
    </row>
    <row r="5682" spans="1:9">
      <c r="A5682" s="6">
        <v>45175</v>
      </c>
      <c r="B5682">
        <f>IFERROR(VLOOKUP($A5682,原始数据_收盘!$A$4:$G$3460,2,0),"")</f>
        <v>2.0325</v>
      </c>
      <c r="C5682">
        <f>IFERROR(VLOOKUP($A5682,原始数据_收盘!$A$4:$G$3460,3,0),"")</f>
        <v>2.4857</v>
      </c>
      <c r="D5682">
        <f>IFERROR(VLOOKUP($A5682,原始数据_收盘!$A$4:$G$3460,4,0),"")</f>
        <v>2.035</v>
      </c>
      <c r="E5682">
        <f>IFERROR(VLOOKUP($A5682,原始数据_收盘!$A$4:$G$3460,5,0),"")</f>
        <v>2.4882</v>
      </c>
      <c r="F5682">
        <f>IFERROR(VLOOKUP($A5682,原始数据_收盘!$A$4:$G$3460,6,0),"")</f>
        <v>2.0338</v>
      </c>
      <c r="G5682">
        <f>IFERROR(VLOOKUP($A5682,原始数据_收盘!$A$4:$G$3460,7,0),"")</f>
        <v>2.4869</v>
      </c>
      <c r="H5682">
        <f>IFERROR(VLOOKUP($A5682,原始数据_利率互换_FR007_1年!$A$6:$C$4395,2,0),"")</f>
        <v>2.0075</v>
      </c>
      <c r="I5682">
        <f>IFERROR(VLOOKUP($A5682,原始数据_利率互换_FR007_1年!$A$6:$C$4395,3,0),"")</f>
        <v>2.4655</v>
      </c>
    </row>
    <row r="5683" spans="1:9">
      <c r="A5683" s="6">
        <v>45176</v>
      </c>
      <c r="B5683">
        <f>IFERROR(VLOOKUP($A5683,原始数据_收盘!$A$4:$G$3460,2,0),"")</f>
        <v>2.0513</v>
      </c>
      <c r="C5683">
        <f>IFERROR(VLOOKUP($A5683,原始数据_收盘!$A$4:$G$3460,3,0),"")</f>
        <v>2.4875</v>
      </c>
      <c r="D5683">
        <f>IFERROR(VLOOKUP($A5683,原始数据_收盘!$A$4:$G$3460,4,0),"")</f>
        <v>2.0526</v>
      </c>
      <c r="E5683">
        <f>IFERROR(VLOOKUP($A5683,原始数据_收盘!$A$4:$G$3460,5,0),"")</f>
        <v>2.49</v>
      </c>
      <c r="F5683">
        <f>IFERROR(VLOOKUP($A5683,原始数据_收盘!$A$4:$G$3460,6,0),"")</f>
        <v>2.0519</v>
      </c>
      <c r="G5683">
        <f>IFERROR(VLOOKUP($A5683,原始数据_收盘!$A$4:$G$3460,7,0),"")</f>
        <v>2.4888</v>
      </c>
      <c r="H5683">
        <f>IFERROR(VLOOKUP($A5683,原始数据_利率互换_FR007_1年!$A$6:$C$4395,2,0),"")</f>
        <v>2.0472</v>
      </c>
      <c r="I5683">
        <f>IFERROR(VLOOKUP($A5683,原始数据_利率互换_FR007_1年!$A$6:$C$4395,3,0),"")</f>
        <v>2.4887</v>
      </c>
    </row>
    <row r="5684" spans="1:9">
      <c r="A5684" s="6">
        <v>45177</v>
      </c>
      <c r="B5684">
        <f>IFERROR(VLOOKUP($A5684,原始数据_收盘!$A$4:$G$3460,2,0),"")</f>
        <v>2.0515</v>
      </c>
      <c r="C5684">
        <f>IFERROR(VLOOKUP($A5684,原始数据_收盘!$A$4:$G$3460,3,0),"")</f>
        <v>2.485</v>
      </c>
      <c r="D5684">
        <f>IFERROR(VLOOKUP($A5684,原始数据_收盘!$A$4:$G$3460,4,0),"")</f>
        <v>2.055</v>
      </c>
      <c r="E5684">
        <f>IFERROR(VLOOKUP($A5684,原始数据_收盘!$A$4:$G$3460,5,0),"")</f>
        <v>2.4863</v>
      </c>
      <c r="F5684">
        <f>IFERROR(VLOOKUP($A5684,原始数据_收盘!$A$4:$G$3460,6,0),"")</f>
        <v>2.0533</v>
      </c>
      <c r="G5684">
        <f>IFERROR(VLOOKUP($A5684,原始数据_收盘!$A$4:$G$3460,7,0),"")</f>
        <v>2.4856</v>
      </c>
      <c r="H5684">
        <f>IFERROR(VLOOKUP($A5684,原始数据_利率互换_FR007_1年!$A$6:$C$4395,2,0),"")</f>
        <v>2.046</v>
      </c>
      <c r="I5684">
        <f>IFERROR(VLOOKUP($A5684,原始数据_利率互换_FR007_1年!$A$6:$C$4395,3,0),"")</f>
        <v>2.4867</v>
      </c>
    </row>
    <row r="5685" spans="1:9">
      <c r="A5685" s="6">
        <v>45178</v>
      </c>
      <c r="B5685" t="str">
        <f>IFERROR(VLOOKUP($A5685,原始数据_收盘!$A$4:$G$3460,2,0),"")</f>
        <v/>
      </c>
      <c r="C5685" t="str">
        <f>IFERROR(VLOOKUP($A5685,原始数据_收盘!$A$4:$G$3460,3,0),"")</f>
        <v/>
      </c>
      <c r="D5685" t="str">
        <f>IFERROR(VLOOKUP($A5685,原始数据_收盘!$A$4:$G$3460,4,0),"")</f>
        <v/>
      </c>
      <c r="E5685" t="str">
        <f>IFERROR(VLOOKUP($A5685,原始数据_收盘!$A$4:$G$3460,5,0),"")</f>
        <v/>
      </c>
      <c r="F5685" t="str">
        <f>IFERROR(VLOOKUP($A5685,原始数据_收盘!$A$4:$G$3460,6,0),"")</f>
        <v/>
      </c>
      <c r="G5685" t="str">
        <f>IFERROR(VLOOKUP($A5685,原始数据_收盘!$A$4:$G$3460,7,0),"")</f>
        <v/>
      </c>
      <c r="H5685" t="str">
        <f>IFERROR(VLOOKUP($A5685,原始数据_利率互换_FR007_1年!$A$6:$C$4395,2,0),"")</f>
        <v/>
      </c>
      <c r="I5685" t="str">
        <f>IFERROR(VLOOKUP($A5685,原始数据_利率互换_FR007_1年!$A$6:$C$4395,3,0),"")</f>
        <v/>
      </c>
    </row>
    <row r="5686" spans="1:9">
      <c r="A5686" s="6">
        <v>45179</v>
      </c>
      <c r="B5686" t="str">
        <f>IFERROR(VLOOKUP($A5686,原始数据_收盘!$A$4:$G$3460,2,0),"")</f>
        <v/>
      </c>
      <c r="C5686" t="str">
        <f>IFERROR(VLOOKUP($A5686,原始数据_收盘!$A$4:$G$3460,3,0),"")</f>
        <v/>
      </c>
      <c r="D5686" t="str">
        <f>IFERROR(VLOOKUP($A5686,原始数据_收盘!$A$4:$G$3460,4,0),"")</f>
        <v/>
      </c>
      <c r="E5686" t="str">
        <f>IFERROR(VLOOKUP($A5686,原始数据_收盘!$A$4:$G$3460,5,0),"")</f>
        <v/>
      </c>
      <c r="F5686" t="str">
        <f>IFERROR(VLOOKUP($A5686,原始数据_收盘!$A$4:$G$3460,6,0),"")</f>
        <v/>
      </c>
      <c r="G5686" t="str">
        <f>IFERROR(VLOOKUP($A5686,原始数据_收盘!$A$4:$G$3460,7,0),"")</f>
        <v/>
      </c>
      <c r="H5686" t="str">
        <f>IFERROR(VLOOKUP($A5686,原始数据_利率互换_FR007_1年!$A$6:$C$4395,2,0),"")</f>
        <v/>
      </c>
      <c r="I5686" t="str">
        <f>IFERROR(VLOOKUP($A5686,原始数据_利率互换_FR007_1年!$A$6:$C$4395,3,0),"")</f>
        <v/>
      </c>
    </row>
    <row r="5687" spans="1:9">
      <c r="A5687" s="6">
        <v>45180</v>
      </c>
      <c r="B5687">
        <f>IFERROR(VLOOKUP($A5687,原始数据_收盘!$A$4:$G$3460,2,0),"")</f>
        <v>2.0575</v>
      </c>
      <c r="C5687">
        <f>IFERROR(VLOOKUP($A5687,原始数据_收盘!$A$4:$G$3460,3,0),"")</f>
        <v>2.4775</v>
      </c>
      <c r="D5687">
        <f>IFERROR(VLOOKUP($A5687,原始数据_收盘!$A$4:$G$3460,4,0),"")</f>
        <v>2.06</v>
      </c>
      <c r="E5687">
        <f>IFERROR(VLOOKUP($A5687,原始数据_收盘!$A$4:$G$3460,5,0),"")</f>
        <v>2.48</v>
      </c>
      <c r="F5687">
        <f>IFERROR(VLOOKUP($A5687,原始数据_收盘!$A$4:$G$3460,6,0),"")</f>
        <v>2.0588</v>
      </c>
      <c r="G5687">
        <f>IFERROR(VLOOKUP($A5687,原始数据_收盘!$A$4:$G$3460,7,0),"")</f>
        <v>2.4788</v>
      </c>
      <c r="H5687">
        <f>IFERROR(VLOOKUP($A5687,原始数据_利率互换_FR007_1年!$A$6:$C$4395,2,0),"")</f>
        <v>2.0687</v>
      </c>
      <c r="I5687">
        <f>IFERROR(VLOOKUP($A5687,原始数据_利率互换_FR007_1年!$A$6:$C$4395,3,0),"")</f>
        <v>2.4962</v>
      </c>
    </row>
    <row r="5688" spans="1:9">
      <c r="A5688" s="6">
        <v>45181</v>
      </c>
      <c r="B5688">
        <f>IFERROR(VLOOKUP($A5688,原始数据_收盘!$A$4:$G$3460,2,0),"")</f>
        <v>2.0313</v>
      </c>
      <c r="C5688">
        <f>IFERROR(VLOOKUP($A5688,原始数据_收盘!$A$4:$G$3460,3,0),"")</f>
        <v>2.46</v>
      </c>
      <c r="D5688">
        <f>IFERROR(VLOOKUP($A5688,原始数据_收盘!$A$4:$G$3460,4,0),"")</f>
        <v>2.035</v>
      </c>
      <c r="E5688">
        <f>IFERROR(VLOOKUP($A5688,原始数据_收盘!$A$4:$G$3460,5,0),"")</f>
        <v>2.4625</v>
      </c>
      <c r="F5688">
        <f>IFERROR(VLOOKUP($A5688,原始数据_收盘!$A$4:$G$3460,6,0),"")</f>
        <v>2.0332</v>
      </c>
      <c r="G5688">
        <f>IFERROR(VLOOKUP($A5688,原始数据_收盘!$A$4:$G$3460,7,0),"")</f>
        <v>2.4613</v>
      </c>
      <c r="H5688">
        <f>IFERROR(VLOOKUP($A5688,原始数据_利率互换_FR007_1年!$A$6:$C$4395,2,0),"")</f>
        <v>2.0333</v>
      </c>
      <c r="I5688">
        <f>IFERROR(VLOOKUP($A5688,原始数据_利率互换_FR007_1年!$A$6:$C$4395,3,0),"")</f>
        <v>2.4618</v>
      </c>
    </row>
    <row r="5689" spans="1:9">
      <c r="A5689" s="6">
        <v>45182</v>
      </c>
      <c r="B5689">
        <f>IFERROR(VLOOKUP($A5689,原始数据_收盘!$A$4:$G$3460,2,0),"")</f>
        <v>2.01</v>
      </c>
      <c r="C5689">
        <f>IFERROR(VLOOKUP($A5689,原始数据_收盘!$A$4:$G$3460,3,0),"")</f>
        <v>2.435</v>
      </c>
      <c r="D5689">
        <f>IFERROR(VLOOKUP($A5689,原始数据_收盘!$A$4:$G$3460,4,0),"")</f>
        <v>2.0125</v>
      </c>
      <c r="E5689">
        <f>IFERROR(VLOOKUP($A5689,原始数据_收盘!$A$4:$G$3460,5,0),"")</f>
        <v>2.4375</v>
      </c>
      <c r="F5689">
        <f>IFERROR(VLOOKUP($A5689,原始数据_收盘!$A$4:$G$3460,6,0),"")</f>
        <v>2.0113</v>
      </c>
      <c r="G5689">
        <f>IFERROR(VLOOKUP($A5689,原始数据_收盘!$A$4:$G$3460,7,0),"")</f>
        <v>2.4363</v>
      </c>
      <c r="H5689">
        <f>IFERROR(VLOOKUP($A5689,原始数据_利率互换_FR007_1年!$A$6:$C$4395,2,0),"")</f>
        <v>2.0084</v>
      </c>
      <c r="I5689">
        <f>IFERROR(VLOOKUP($A5689,原始数据_利率互换_FR007_1年!$A$6:$C$4395,3,0),"")</f>
        <v>2.4391</v>
      </c>
    </row>
    <row r="5690" spans="1:9">
      <c r="A5690" s="6">
        <v>45183</v>
      </c>
      <c r="B5690">
        <f>IFERROR(VLOOKUP($A5690,原始数据_收盘!$A$4:$G$3460,2,0),"")</f>
        <v>2.005</v>
      </c>
      <c r="C5690">
        <f>IFERROR(VLOOKUP($A5690,原始数据_收盘!$A$4:$G$3460,3,0),"")</f>
        <v>2.4173</v>
      </c>
      <c r="D5690">
        <f>IFERROR(VLOOKUP($A5690,原始数据_收盘!$A$4:$G$3460,4,0),"")</f>
        <v>2.0075</v>
      </c>
      <c r="E5690">
        <f>IFERROR(VLOOKUP($A5690,原始数据_收盘!$A$4:$G$3460,5,0),"")</f>
        <v>2.4198</v>
      </c>
      <c r="F5690">
        <f>IFERROR(VLOOKUP($A5690,原始数据_收盘!$A$4:$G$3460,6,0),"")</f>
        <v>2.0063</v>
      </c>
      <c r="G5690">
        <f>IFERROR(VLOOKUP($A5690,原始数据_收盘!$A$4:$G$3460,7,0),"")</f>
        <v>2.4186</v>
      </c>
      <c r="H5690">
        <f>IFERROR(VLOOKUP($A5690,原始数据_利率互换_FR007_1年!$A$6:$C$4395,2,0),"")</f>
        <v>2.0138</v>
      </c>
      <c r="I5690">
        <f>IFERROR(VLOOKUP($A5690,原始数据_利率互换_FR007_1年!$A$6:$C$4395,3,0),"")</f>
        <v>2.4341</v>
      </c>
    </row>
    <row r="5691" spans="1:9">
      <c r="A5691" s="6">
        <v>45184</v>
      </c>
      <c r="B5691">
        <f>IFERROR(VLOOKUP($A5691,原始数据_收盘!$A$4:$G$3460,2,0),"")</f>
        <v>2.01</v>
      </c>
      <c r="C5691">
        <f>IFERROR(VLOOKUP($A5691,原始数据_收盘!$A$4:$G$3460,3,0),"")</f>
        <v>2.4475</v>
      </c>
      <c r="D5691">
        <f>IFERROR(VLOOKUP($A5691,原始数据_收盘!$A$4:$G$3460,4,0),"")</f>
        <v>2.015</v>
      </c>
      <c r="E5691">
        <f>IFERROR(VLOOKUP($A5691,原始数据_收盘!$A$4:$G$3460,5,0),"")</f>
        <v>2.45</v>
      </c>
      <c r="F5691">
        <f>IFERROR(VLOOKUP($A5691,原始数据_收盘!$A$4:$G$3460,6,0),"")</f>
        <v>2.0125</v>
      </c>
      <c r="G5691">
        <f>IFERROR(VLOOKUP($A5691,原始数据_收盘!$A$4:$G$3460,7,0),"")</f>
        <v>2.4488</v>
      </c>
      <c r="H5691">
        <f>IFERROR(VLOOKUP($A5691,原始数据_利率互换_FR007_1年!$A$6:$C$4395,2,0),"")</f>
        <v>2.0089</v>
      </c>
      <c r="I5691">
        <f>IFERROR(VLOOKUP($A5691,原始数据_利率互换_FR007_1年!$A$6:$C$4395,3,0),"")</f>
        <v>2.4423</v>
      </c>
    </row>
    <row r="5692" spans="1:9">
      <c r="A5692" s="6">
        <v>45185</v>
      </c>
      <c r="B5692" t="str">
        <f>IFERROR(VLOOKUP($A5692,原始数据_收盘!$A$4:$G$3460,2,0),"")</f>
        <v/>
      </c>
      <c r="C5692" t="str">
        <f>IFERROR(VLOOKUP($A5692,原始数据_收盘!$A$4:$G$3460,3,0),"")</f>
        <v/>
      </c>
      <c r="D5692" t="str">
        <f>IFERROR(VLOOKUP($A5692,原始数据_收盘!$A$4:$G$3460,4,0),"")</f>
        <v/>
      </c>
      <c r="E5692" t="str">
        <f>IFERROR(VLOOKUP($A5692,原始数据_收盘!$A$4:$G$3460,5,0),"")</f>
        <v/>
      </c>
      <c r="F5692" t="str">
        <f>IFERROR(VLOOKUP($A5692,原始数据_收盘!$A$4:$G$3460,6,0),"")</f>
        <v/>
      </c>
      <c r="G5692" t="str">
        <f>IFERROR(VLOOKUP($A5692,原始数据_收盘!$A$4:$G$3460,7,0),"")</f>
        <v/>
      </c>
      <c r="H5692" t="str">
        <f>IFERROR(VLOOKUP($A5692,原始数据_利率互换_FR007_1年!$A$6:$C$4395,2,0),"")</f>
        <v/>
      </c>
      <c r="I5692" t="str">
        <f>IFERROR(VLOOKUP($A5692,原始数据_利率互换_FR007_1年!$A$6:$C$4395,3,0),"")</f>
        <v/>
      </c>
    </row>
    <row r="5693" spans="1:9">
      <c r="A5693" s="6">
        <v>45186</v>
      </c>
      <c r="B5693" t="str">
        <f>IFERROR(VLOOKUP($A5693,原始数据_收盘!$A$4:$G$3460,2,0),"")</f>
        <v/>
      </c>
      <c r="C5693" t="str">
        <f>IFERROR(VLOOKUP($A5693,原始数据_收盘!$A$4:$G$3460,3,0),"")</f>
        <v/>
      </c>
      <c r="D5693" t="str">
        <f>IFERROR(VLOOKUP($A5693,原始数据_收盘!$A$4:$G$3460,4,0),"")</f>
        <v/>
      </c>
      <c r="E5693" t="str">
        <f>IFERROR(VLOOKUP($A5693,原始数据_收盘!$A$4:$G$3460,5,0),"")</f>
        <v/>
      </c>
      <c r="F5693" t="str">
        <f>IFERROR(VLOOKUP($A5693,原始数据_收盘!$A$4:$G$3460,6,0),"")</f>
        <v/>
      </c>
      <c r="G5693" t="str">
        <f>IFERROR(VLOOKUP($A5693,原始数据_收盘!$A$4:$G$3460,7,0),"")</f>
        <v/>
      </c>
      <c r="H5693" t="str">
        <f>IFERROR(VLOOKUP($A5693,原始数据_利率互换_FR007_1年!$A$6:$C$4395,2,0),"")</f>
        <v/>
      </c>
      <c r="I5693" t="str">
        <f>IFERROR(VLOOKUP($A5693,原始数据_利率互换_FR007_1年!$A$6:$C$4395,3,0),"")</f>
        <v/>
      </c>
    </row>
    <row r="5694" spans="1:9">
      <c r="A5694" s="6">
        <v>45187</v>
      </c>
      <c r="B5694">
        <f>IFERROR(VLOOKUP($A5694,原始数据_收盘!$A$4:$G$3460,2,0),"")</f>
        <v>2.0478</v>
      </c>
      <c r="C5694">
        <f>IFERROR(VLOOKUP($A5694,原始数据_收盘!$A$4:$G$3460,3,0),"")</f>
        <v>2.4775</v>
      </c>
      <c r="D5694">
        <f>IFERROR(VLOOKUP($A5694,原始数据_收盘!$A$4:$G$3460,4,0),"")</f>
        <v>2.0496</v>
      </c>
      <c r="E5694">
        <f>IFERROR(VLOOKUP($A5694,原始数据_收盘!$A$4:$G$3460,5,0),"")</f>
        <v>2.4807</v>
      </c>
      <c r="F5694">
        <f>IFERROR(VLOOKUP($A5694,原始数据_收盘!$A$4:$G$3460,6,0),"")</f>
        <v>2.0487</v>
      </c>
      <c r="G5694">
        <f>IFERROR(VLOOKUP($A5694,原始数据_收盘!$A$4:$G$3460,7,0),"")</f>
        <v>2.4791</v>
      </c>
      <c r="H5694">
        <f>IFERROR(VLOOKUP($A5694,原始数据_利率互换_FR007_1年!$A$6:$C$4395,2,0),"")</f>
        <v>2.0505</v>
      </c>
      <c r="I5694">
        <f>IFERROR(VLOOKUP($A5694,原始数据_利率互换_FR007_1年!$A$6:$C$4395,3,0),"")</f>
        <v>2.4858</v>
      </c>
    </row>
    <row r="5695" spans="1:9">
      <c r="A5695" s="6">
        <v>45188</v>
      </c>
      <c r="B5695">
        <f>IFERROR(VLOOKUP($A5695,原始数据_收盘!$A$4:$G$3460,2,0),"")</f>
        <v>2.057</v>
      </c>
      <c r="C5695">
        <f>IFERROR(VLOOKUP($A5695,原始数据_收盘!$A$4:$G$3460,3,0),"")</f>
        <v>2.4796</v>
      </c>
      <c r="D5695">
        <f>IFERROR(VLOOKUP($A5695,原始数据_收盘!$A$4:$G$3460,4,0),"")</f>
        <v>2.0596</v>
      </c>
      <c r="E5695">
        <f>IFERROR(VLOOKUP($A5695,原始数据_收盘!$A$4:$G$3460,5,0),"")</f>
        <v>2.4821</v>
      </c>
      <c r="F5695">
        <f>IFERROR(VLOOKUP($A5695,原始数据_收盘!$A$4:$G$3460,6,0),"")</f>
        <v>2.0583</v>
      </c>
      <c r="G5695">
        <f>IFERROR(VLOOKUP($A5695,原始数据_收盘!$A$4:$G$3460,7,0),"")</f>
        <v>2.4809</v>
      </c>
      <c r="H5695">
        <f>IFERROR(VLOOKUP($A5695,原始数据_利率互换_FR007_1年!$A$6:$C$4395,2,0),"")</f>
        <v>2.0597</v>
      </c>
      <c r="I5695">
        <f>IFERROR(VLOOKUP($A5695,原始数据_利率互换_FR007_1年!$A$6:$C$4395,3,0),"")</f>
        <v>2.4778</v>
      </c>
    </row>
    <row r="5696" spans="1:9">
      <c r="A5696" s="6">
        <v>45189</v>
      </c>
      <c r="B5696">
        <f>IFERROR(VLOOKUP($A5696,原始数据_收盘!$A$4:$G$3460,2,0),"")</f>
        <v>2.0475</v>
      </c>
      <c r="C5696">
        <f>IFERROR(VLOOKUP($A5696,原始数据_收盘!$A$4:$G$3460,3,0),"")</f>
        <v>2.4625</v>
      </c>
      <c r="D5696">
        <f>IFERROR(VLOOKUP($A5696,原始数据_收盘!$A$4:$G$3460,4,0),"")</f>
        <v>2.05</v>
      </c>
      <c r="E5696">
        <f>IFERROR(VLOOKUP($A5696,原始数据_收盘!$A$4:$G$3460,5,0),"")</f>
        <v>2.465</v>
      </c>
      <c r="F5696">
        <f>IFERROR(VLOOKUP($A5696,原始数据_收盘!$A$4:$G$3460,6,0),"")</f>
        <v>2.0488</v>
      </c>
      <c r="G5696">
        <f>IFERROR(VLOOKUP($A5696,原始数据_收盘!$A$4:$G$3460,7,0),"")</f>
        <v>2.4638</v>
      </c>
      <c r="H5696">
        <f>IFERROR(VLOOKUP($A5696,原始数据_利率互换_FR007_1年!$A$6:$C$4395,2,0),"")</f>
        <v>2.0564</v>
      </c>
      <c r="I5696">
        <f>IFERROR(VLOOKUP($A5696,原始数据_利率互换_FR007_1年!$A$6:$C$4395,3,0),"")</f>
        <v>2.4757</v>
      </c>
    </row>
    <row r="5697" spans="1:9">
      <c r="A5697" s="6">
        <v>45190</v>
      </c>
      <c r="B5697">
        <f>IFERROR(VLOOKUP($A5697,原始数据_收盘!$A$4:$G$3460,2,0),"")</f>
        <v>2.03</v>
      </c>
      <c r="C5697">
        <f>IFERROR(VLOOKUP($A5697,原始数据_收盘!$A$4:$G$3460,3,0),"")</f>
        <v>2.4475</v>
      </c>
      <c r="D5697">
        <f>IFERROR(VLOOKUP($A5697,原始数据_收盘!$A$4:$G$3460,4,0),"")</f>
        <v>2.0325</v>
      </c>
      <c r="E5697">
        <f>IFERROR(VLOOKUP($A5697,原始数据_收盘!$A$4:$G$3460,5,0),"")</f>
        <v>2.45</v>
      </c>
      <c r="F5697">
        <f>IFERROR(VLOOKUP($A5697,原始数据_收盘!$A$4:$G$3460,6,0),"")</f>
        <v>2.0313</v>
      </c>
      <c r="G5697">
        <f>IFERROR(VLOOKUP($A5697,原始数据_收盘!$A$4:$G$3460,7,0),"")</f>
        <v>2.4488</v>
      </c>
      <c r="H5697">
        <f>IFERROR(VLOOKUP($A5697,原始数据_利率互换_FR007_1年!$A$6:$C$4395,2,0),"")</f>
        <v>2.0333</v>
      </c>
      <c r="I5697">
        <f>IFERROR(VLOOKUP($A5697,原始数据_利率互换_FR007_1年!$A$6:$C$4395,3,0),"")</f>
        <v>2.4506</v>
      </c>
    </row>
    <row r="5698" spans="1:9">
      <c r="A5698" s="6">
        <v>45191</v>
      </c>
      <c r="B5698">
        <f>IFERROR(VLOOKUP($A5698,原始数据_收盘!$A$4:$G$3460,2,0),"")</f>
        <v>2.0296</v>
      </c>
      <c r="C5698">
        <f>IFERROR(VLOOKUP($A5698,原始数据_收盘!$A$4:$G$3460,3,0),"")</f>
        <v>2.4654</v>
      </c>
      <c r="D5698">
        <f>IFERROR(VLOOKUP($A5698,原始数据_收盘!$A$4:$G$3460,4,0),"")</f>
        <v>2.0304</v>
      </c>
      <c r="E5698">
        <f>IFERROR(VLOOKUP($A5698,原始数据_收盘!$A$4:$G$3460,5,0),"")</f>
        <v>2.4675</v>
      </c>
      <c r="F5698">
        <f>IFERROR(VLOOKUP($A5698,原始数据_收盘!$A$4:$G$3460,6,0),"")</f>
        <v>2.03</v>
      </c>
      <c r="G5698">
        <f>IFERROR(VLOOKUP($A5698,原始数据_收盘!$A$4:$G$3460,7,0),"")</f>
        <v>2.4665</v>
      </c>
      <c r="H5698">
        <f>IFERROR(VLOOKUP($A5698,原始数据_利率互换_FR007_1年!$A$6:$C$4395,2,0),"")</f>
        <v>2.0287</v>
      </c>
      <c r="I5698">
        <f>IFERROR(VLOOKUP($A5698,原始数据_利率互换_FR007_1年!$A$6:$C$4395,3,0),"")</f>
        <v>2.4663</v>
      </c>
    </row>
    <row r="5699" spans="1:9">
      <c r="A5699" s="6">
        <v>45192</v>
      </c>
      <c r="B5699" t="str">
        <f>IFERROR(VLOOKUP($A5699,原始数据_收盘!$A$4:$G$3460,2,0),"")</f>
        <v/>
      </c>
      <c r="C5699" t="str">
        <f>IFERROR(VLOOKUP($A5699,原始数据_收盘!$A$4:$G$3460,3,0),"")</f>
        <v/>
      </c>
      <c r="D5699" t="str">
        <f>IFERROR(VLOOKUP($A5699,原始数据_收盘!$A$4:$G$3460,4,0),"")</f>
        <v/>
      </c>
      <c r="E5699" t="str">
        <f>IFERROR(VLOOKUP($A5699,原始数据_收盘!$A$4:$G$3460,5,0),"")</f>
        <v/>
      </c>
      <c r="F5699" t="str">
        <f>IFERROR(VLOOKUP($A5699,原始数据_收盘!$A$4:$G$3460,6,0),"")</f>
        <v/>
      </c>
      <c r="G5699" t="str">
        <f>IFERROR(VLOOKUP($A5699,原始数据_收盘!$A$4:$G$3460,7,0),"")</f>
        <v/>
      </c>
      <c r="H5699" t="str">
        <f>IFERROR(VLOOKUP($A5699,原始数据_利率互换_FR007_1年!$A$6:$C$4395,2,0),"")</f>
        <v/>
      </c>
      <c r="I5699" t="str">
        <f>IFERROR(VLOOKUP($A5699,原始数据_利率互换_FR007_1年!$A$6:$C$4395,3,0),"")</f>
        <v/>
      </c>
    </row>
    <row r="5700" spans="1:9">
      <c r="A5700" s="6">
        <v>45193</v>
      </c>
      <c r="B5700" t="str">
        <f>IFERROR(VLOOKUP($A5700,原始数据_收盘!$A$4:$G$3460,2,0),"")</f>
        <v/>
      </c>
      <c r="C5700" t="str">
        <f>IFERROR(VLOOKUP($A5700,原始数据_收盘!$A$4:$G$3460,3,0),"")</f>
        <v/>
      </c>
      <c r="D5700" t="str">
        <f>IFERROR(VLOOKUP($A5700,原始数据_收盘!$A$4:$G$3460,4,0),"")</f>
        <v/>
      </c>
      <c r="E5700" t="str">
        <f>IFERROR(VLOOKUP($A5700,原始数据_收盘!$A$4:$G$3460,5,0),"")</f>
        <v/>
      </c>
      <c r="F5700" t="str">
        <f>IFERROR(VLOOKUP($A5700,原始数据_收盘!$A$4:$G$3460,6,0),"")</f>
        <v/>
      </c>
      <c r="G5700" t="str">
        <f>IFERROR(VLOOKUP($A5700,原始数据_收盘!$A$4:$G$3460,7,0),"")</f>
        <v/>
      </c>
      <c r="H5700" t="str">
        <f>IFERROR(VLOOKUP($A5700,原始数据_利率互换_FR007_1年!$A$6:$C$4395,2,0),"")</f>
        <v/>
      </c>
      <c r="I5700" t="str">
        <f>IFERROR(VLOOKUP($A5700,原始数据_利率互换_FR007_1年!$A$6:$C$4395,3,0),"")</f>
        <v/>
      </c>
    </row>
    <row r="5701" spans="1:9">
      <c r="A5701" s="6">
        <v>45194</v>
      </c>
      <c r="B5701">
        <f>IFERROR(VLOOKUP($A5701,原始数据_收盘!$A$4:$G$3460,2,0),"")</f>
        <v>2.055</v>
      </c>
      <c r="C5701">
        <f>IFERROR(VLOOKUP($A5701,原始数据_收盘!$A$4:$G$3460,3,0),"")</f>
        <v>2.49</v>
      </c>
      <c r="D5701">
        <f>IFERROR(VLOOKUP($A5701,原始数据_收盘!$A$4:$G$3460,4,0),"")</f>
        <v>2.0575</v>
      </c>
      <c r="E5701">
        <f>IFERROR(VLOOKUP($A5701,原始数据_收盘!$A$4:$G$3460,5,0),"")</f>
        <v>2.4925</v>
      </c>
      <c r="F5701">
        <f>IFERROR(VLOOKUP($A5701,原始数据_收盘!$A$4:$G$3460,6,0),"")</f>
        <v>2.0563</v>
      </c>
      <c r="G5701">
        <f>IFERROR(VLOOKUP($A5701,原始数据_收盘!$A$4:$G$3460,7,0),"")</f>
        <v>2.4913</v>
      </c>
      <c r="H5701">
        <f>IFERROR(VLOOKUP($A5701,原始数据_利率互换_FR007_1年!$A$6:$C$4395,2,0),"")</f>
        <v>2.0411</v>
      </c>
      <c r="I5701">
        <f>IFERROR(VLOOKUP($A5701,原始数据_利率互换_FR007_1年!$A$6:$C$4395,3,0),"")</f>
        <v>2.4764</v>
      </c>
    </row>
    <row r="5702" spans="1:9">
      <c r="A5702" s="6">
        <v>45195</v>
      </c>
      <c r="B5702">
        <f>IFERROR(VLOOKUP($A5702,原始数据_收盘!$A$4:$G$3460,2,0),"")</f>
        <v>2.0525</v>
      </c>
      <c r="C5702">
        <f>IFERROR(VLOOKUP($A5702,原始数据_收盘!$A$4:$G$3460,3,0),"")</f>
        <v>2.4825</v>
      </c>
      <c r="D5702">
        <f>IFERROR(VLOOKUP($A5702,原始数据_收盘!$A$4:$G$3460,4,0),"")</f>
        <v>2.055</v>
      </c>
      <c r="E5702">
        <f>IFERROR(VLOOKUP($A5702,原始数据_收盘!$A$4:$G$3460,5,0),"")</f>
        <v>2.4851</v>
      </c>
      <c r="F5702">
        <f>IFERROR(VLOOKUP($A5702,原始数据_收盘!$A$4:$G$3460,6,0),"")</f>
        <v>2.0538</v>
      </c>
      <c r="G5702">
        <f>IFERROR(VLOOKUP($A5702,原始数据_收盘!$A$4:$G$3460,7,0),"")</f>
        <v>2.4838</v>
      </c>
      <c r="H5702">
        <f>IFERROR(VLOOKUP($A5702,原始数据_利率互换_FR007_1年!$A$6:$C$4395,2,0),"")</f>
        <v>2.0561</v>
      </c>
      <c r="I5702">
        <f>IFERROR(VLOOKUP($A5702,原始数据_利率互换_FR007_1年!$A$6:$C$4395,3,0),"")</f>
        <v>2.4884</v>
      </c>
    </row>
    <row r="5703" spans="1:9">
      <c r="A5703" s="6">
        <v>45196</v>
      </c>
      <c r="B5703">
        <f>IFERROR(VLOOKUP($A5703,原始数据_收盘!$A$4:$G$3460,2,0),"")</f>
        <v>2.015</v>
      </c>
      <c r="C5703">
        <f>IFERROR(VLOOKUP($A5703,原始数据_收盘!$A$4:$G$3460,3,0),"")</f>
        <v>2.4625</v>
      </c>
      <c r="D5703">
        <f>IFERROR(VLOOKUP($A5703,原始数据_收盘!$A$4:$G$3460,4,0),"")</f>
        <v>2.02</v>
      </c>
      <c r="E5703">
        <f>IFERROR(VLOOKUP($A5703,原始数据_收盘!$A$4:$G$3460,5,0),"")</f>
        <v>2.465</v>
      </c>
      <c r="F5703">
        <f>IFERROR(VLOOKUP($A5703,原始数据_收盘!$A$4:$G$3460,6,0),"")</f>
        <v>2.0175</v>
      </c>
      <c r="G5703">
        <f>IFERROR(VLOOKUP($A5703,原始数据_收盘!$A$4:$G$3460,7,0),"")</f>
        <v>2.4638</v>
      </c>
      <c r="H5703">
        <f>IFERROR(VLOOKUP($A5703,原始数据_利率互换_FR007_1年!$A$6:$C$4395,2,0),"")</f>
        <v>2.0319</v>
      </c>
      <c r="I5703">
        <f>IFERROR(VLOOKUP($A5703,原始数据_利率互换_FR007_1年!$A$6:$C$4395,3,0),"")</f>
        <v>2.4758</v>
      </c>
    </row>
    <row r="5704" spans="1:9">
      <c r="A5704" s="6">
        <v>45197</v>
      </c>
      <c r="B5704">
        <f>IFERROR(VLOOKUP($A5704,原始数据_收盘!$A$4:$G$3460,2,0),"")</f>
        <v>2.0325</v>
      </c>
      <c r="C5704">
        <f>IFERROR(VLOOKUP($A5704,原始数据_收盘!$A$4:$G$3460,3,0),"")</f>
        <v>2.46</v>
      </c>
      <c r="D5704">
        <f>IFERROR(VLOOKUP($A5704,原始数据_收盘!$A$4:$G$3460,4,0),"")</f>
        <v>2.035</v>
      </c>
      <c r="E5704">
        <f>IFERROR(VLOOKUP($A5704,原始数据_收盘!$A$4:$G$3460,5,0),"")</f>
        <v>2.4625</v>
      </c>
      <c r="F5704">
        <f>IFERROR(VLOOKUP($A5704,原始数据_收盘!$A$4:$G$3460,6,0),"")</f>
        <v>2.0338</v>
      </c>
      <c r="G5704">
        <f>IFERROR(VLOOKUP($A5704,原始数据_收盘!$A$4:$G$3460,7,0),"")</f>
        <v>2.4613</v>
      </c>
      <c r="H5704">
        <f>IFERROR(VLOOKUP($A5704,原始数据_利率互换_FR007_1年!$A$6:$C$4395,2,0),"")</f>
        <v>2.018</v>
      </c>
      <c r="I5704">
        <f>IFERROR(VLOOKUP($A5704,原始数据_利率互换_FR007_1年!$A$6:$C$4395,3,0),"")</f>
        <v>2.4547</v>
      </c>
    </row>
    <row r="5705" spans="1:9">
      <c r="A5705" s="6">
        <v>45198</v>
      </c>
      <c r="B5705" t="str">
        <f>IFERROR(VLOOKUP($A5705,原始数据_收盘!$A$4:$G$3460,2,0),"")</f>
        <v/>
      </c>
      <c r="C5705" t="str">
        <f>IFERROR(VLOOKUP($A5705,原始数据_收盘!$A$4:$G$3460,3,0),"")</f>
        <v/>
      </c>
      <c r="D5705" t="str">
        <f>IFERROR(VLOOKUP($A5705,原始数据_收盘!$A$4:$G$3460,4,0),"")</f>
        <v/>
      </c>
      <c r="E5705" t="str">
        <f>IFERROR(VLOOKUP($A5705,原始数据_收盘!$A$4:$G$3460,5,0),"")</f>
        <v/>
      </c>
      <c r="F5705" t="str">
        <f>IFERROR(VLOOKUP($A5705,原始数据_收盘!$A$4:$G$3460,6,0),"")</f>
        <v/>
      </c>
      <c r="G5705" t="str">
        <f>IFERROR(VLOOKUP($A5705,原始数据_收盘!$A$4:$G$3460,7,0),"")</f>
        <v/>
      </c>
      <c r="H5705" t="str">
        <f>IFERROR(VLOOKUP($A5705,原始数据_利率互换_FR007_1年!$A$6:$C$4395,2,0),"")</f>
        <v/>
      </c>
      <c r="I5705" t="str">
        <f>IFERROR(VLOOKUP($A5705,原始数据_利率互换_FR007_1年!$A$6:$C$4395,3,0),"")</f>
        <v/>
      </c>
    </row>
    <row r="5706" spans="1:9">
      <c r="A5706" s="6">
        <v>45199</v>
      </c>
      <c r="B5706" t="str">
        <f>IFERROR(VLOOKUP($A5706,原始数据_收盘!$A$4:$G$3460,2,0),"")</f>
        <v/>
      </c>
      <c r="C5706" t="str">
        <f>IFERROR(VLOOKUP($A5706,原始数据_收盘!$A$4:$G$3460,3,0),"")</f>
        <v/>
      </c>
      <c r="D5706" t="str">
        <f>IFERROR(VLOOKUP($A5706,原始数据_收盘!$A$4:$G$3460,4,0),"")</f>
        <v/>
      </c>
      <c r="E5706" t="str">
        <f>IFERROR(VLOOKUP($A5706,原始数据_收盘!$A$4:$G$3460,5,0),"")</f>
        <v/>
      </c>
      <c r="F5706" t="str">
        <f>IFERROR(VLOOKUP($A5706,原始数据_收盘!$A$4:$G$3460,6,0),"")</f>
        <v/>
      </c>
      <c r="G5706" t="str">
        <f>IFERROR(VLOOKUP($A5706,原始数据_收盘!$A$4:$G$3460,7,0),"")</f>
        <v/>
      </c>
      <c r="H5706" t="str">
        <f>IFERROR(VLOOKUP($A5706,原始数据_利率互换_FR007_1年!$A$6:$C$4395,2,0),"")</f>
        <v/>
      </c>
      <c r="I5706" t="str">
        <f>IFERROR(VLOOKUP($A5706,原始数据_利率互换_FR007_1年!$A$6:$C$4395,3,0),"")</f>
        <v/>
      </c>
    </row>
    <row r="5707" spans="1:9">
      <c r="A5707" s="6">
        <v>45200</v>
      </c>
      <c r="B5707" t="str">
        <f>IFERROR(VLOOKUP($A5707,原始数据_收盘!$A$4:$G$3460,2,0),"")</f>
        <v/>
      </c>
      <c r="C5707" t="str">
        <f>IFERROR(VLOOKUP($A5707,原始数据_收盘!$A$4:$G$3460,3,0),"")</f>
        <v/>
      </c>
      <c r="D5707" t="str">
        <f>IFERROR(VLOOKUP($A5707,原始数据_收盘!$A$4:$G$3460,4,0),"")</f>
        <v/>
      </c>
      <c r="E5707" t="str">
        <f>IFERROR(VLOOKUP($A5707,原始数据_收盘!$A$4:$G$3460,5,0),"")</f>
        <v/>
      </c>
      <c r="F5707" t="str">
        <f>IFERROR(VLOOKUP($A5707,原始数据_收盘!$A$4:$G$3460,6,0),"")</f>
        <v/>
      </c>
      <c r="G5707" t="str">
        <f>IFERROR(VLOOKUP($A5707,原始数据_收盘!$A$4:$G$3460,7,0),"")</f>
        <v/>
      </c>
      <c r="H5707" t="str">
        <f>IFERROR(VLOOKUP($A5707,原始数据_利率互换_FR007_1年!$A$6:$C$4395,2,0),"")</f>
        <v/>
      </c>
      <c r="I5707" t="str">
        <f>IFERROR(VLOOKUP($A5707,原始数据_利率互换_FR007_1年!$A$6:$C$4395,3,0),"")</f>
        <v/>
      </c>
    </row>
    <row r="5708" spans="1:9">
      <c r="A5708" s="6">
        <v>45201</v>
      </c>
      <c r="B5708" t="str">
        <f>IFERROR(VLOOKUP($A5708,原始数据_收盘!$A$4:$G$3460,2,0),"")</f>
        <v/>
      </c>
      <c r="C5708" t="str">
        <f>IFERROR(VLOOKUP($A5708,原始数据_收盘!$A$4:$G$3460,3,0),"")</f>
        <v/>
      </c>
      <c r="D5708" t="str">
        <f>IFERROR(VLOOKUP($A5708,原始数据_收盘!$A$4:$G$3460,4,0),"")</f>
        <v/>
      </c>
      <c r="E5708" t="str">
        <f>IFERROR(VLOOKUP($A5708,原始数据_收盘!$A$4:$G$3460,5,0),"")</f>
        <v/>
      </c>
      <c r="F5708" t="str">
        <f>IFERROR(VLOOKUP($A5708,原始数据_收盘!$A$4:$G$3460,6,0),"")</f>
        <v/>
      </c>
      <c r="G5708" t="str">
        <f>IFERROR(VLOOKUP($A5708,原始数据_收盘!$A$4:$G$3460,7,0),"")</f>
        <v/>
      </c>
      <c r="H5708" t="str">
        <f>IFERROR(VLOOKUP($A5708,原始数据_利率互换_FR007_1年!$A$6:$C$4395,2,0),"")</f>
        <v/>
      </c>
      <c r="I5708" t="str">
        <f>IFERROR(VLOOKUP($A5708,原始数据_利率互换_FR007_1年!$A$6:$C$4395,3,0),"")</f>
        <v/>
      </c>
    </row>
    <row r="5709" spans="1:9">
      <c r="A5709" s="6">
        <v>45202</v>
      </c>
      <c r="B5709" t="str">
        <f>IFERROR(VLOOKUP($A5709,原始数据_收盘!$A$4:$G$3460,2,0),"")</f>
        <v/>
      </c>
      <c r="C5709" t="str">
        <f>IFERROR(VLOOKUP($A5709,原始数据_收盘!$A$4:$G$3460,3,0),"")</f>
        <v/>
      </c>
      <c r="D5709" t="str">
        <f>IFERROR(VLOOKUP($A5709,原始数据_收盘!$A$4:$G$3460,4,0),"")</f>
        <v/>
      </c>
      <c r="E5709" t="str">
        <f>IFERROR(VLOOKUP($A5709,原始数据_收盘!$A$4:$G$3460,5,0),"")</f>
        <v/>
      </c>
      <c r="F5709" t="str">
        <f>IFERROR(VLOOKUP($A5709,原始数据_收盘!$A$4:$G$3460,6,0),"")</f>
        <v/>
      </c>
      <c r="G5709" t="str">
        <f>IFERROR(VLOOKUP($A5709,原始数据_收盘!$A$4:$G$3460,7,0),"")</f>
        <v/>
      </c>
      <c r="H5709" t="str">
        <f>IFERROR(VLOOKUP($A5709,原始数据_利率互换_FR007_1年!$A$6:$C$4395,2,0),"")</f>
        <v/>
      </c>
      <c r="I5709" t="str">
        <f>IFERROR(VLOOKUP($A5709,原始数据_利率互换_FR007_1年!$A$6:$C$4395,3,0),"")</f>
        <v/>
      </c>
    </row>
    <row r="5710" spans="1:9">
      <c r="A5710" s="6">
        <v>45203</v>
      </c>
      <c r="B5710" t="str">
        <f>IFERROR(VLOOKUP($A5710,原始数据_收盘!$A$4:$G$3460,2,0),"")</f>
        <v/>
      </c>
      <c r="C5710" t="str">
        <f>IFERROR(VLOOKUP($A5710,原始数据_收盘!$A$4:$G$3460,3,0),"")</f>
        <v/>
      </c>
      <c r="D5710" t="str">
        <f>IFERROR(VLOOKUP($A5710,原始数据_收盘!$A$4:$G$3460,4,0),"")</f>
        <v/>
      </c>
      <c r="E5710" t="str">
        <f>IFERROR(VLOOKUP($A5710,原始数据_收盘!$A$4:$G$3460,5,0),"")</f>
        <v/>
      </c>
      <c r="F5710" t="str">
        <f>IFERROR(VLOOKUP($A5710,原始数据_收盘!$A$4:$G$3460,6,0),"")</f>
        <v/>
      </c>
      <c r="G5710" t="str">
        <f>IFERROR(VLOOKUP($A5710,原始数据_收盘!$A$4:$G$3460,7,0),"")</f>
        <v/>
      </c>
      <c r="H5710" t="str">
        <f>IFERROR(VLOOKUP($A5710,原始数据_利率互换_FR007_1年!$A$6:$C$4395,2,0),"")</f>
        <v/>
      </c>
      <c r="I5710" t="str">
        <f>IFERROR(VLOOKUP($A5710,原始数据_利率互换_FR007_1年!$A$6:$C$4395,3,0),"")</f>
        <v/>
      </c>
    </row>
    <row r="5711" spans="1:9">
      <c r="A5711" s="6">
        <v>45204</v>
      </c>
      <c r="B5711" t="str">
        <f>IFERROR(VLOOKUP($A5711,原始数据_收盘!$A$4:$G$3460,2,0),"")</f>
        <v/>
      </c>
      <c r="C5711" t="str">
        <f>IFERROR(VLOOKUP($A5711,原始数据_收盘!$A$4:$G$3460,3,0),"")</f>
        <v/>
      </c>
      <c r="D5711" t="str">
        <f>IFERROR(VLOOKUP($A5711,原始数据_收盘!$A$4:$G$3460,4,0),"")</f>
        <v/>
      </c>
      <c r="E5711" t="str">
        <f>IFERROR(VLOOKUP($A5711,原始数据_收盘!$A$4:$G$3460,5,0),"")</f>
        <v/>
      </c>
      <c r="F5711" t="str">
        <f>IFERROR(VLOOKUP($A5711,原始数据_收盘!$A$4:$G$3460,6,0),"")</f>
        <v/>
      </c>
      <c r="G5711" t="str">
        <f>IFERROR(VLOOKUP($A5711,原始数据_收盘!$A$4:$G$3460,7,0),"")</f>
        <v/>
      </c>
      <c r="H5711" t="str">
        <f>IFERROR(VLOOKUP($A5711,原始数据_利率互换_FR007_1年!$A$6:$C$4395,2,0),"")</f>
        <v/>
      </c>
      <c r="I5711" t="str">
        <f>IFERROR(VLOOKUP($A5711,原始数据_利率互换_FR007_1年!$A$6:$C$4395,3,0),"")</f>
        <v/>
      </c>
    </row>
    <row r="5712" spans="1:9">
      <c r="A5712" s="6">
        <v>45205</v>
      </c>
      <c r="B5712" t="str">
        <f>IFERROR(VLOOKUP($A5712,原始数据_收盘!$A$4:$G$3460,2,0),"")</f>
        <v/>
      </c>
      <c r="C5712" t="str">
        <f>IFERROR(VLOOKUP($A5712,原始数据_收盘!$A$4:$G$3460,3,0),"")</f>
        <v/>
      </c>
      <c r="D5712" t="str">
        <f>IFERROR(VLOOKUP($A5712,原始数据_收盘!$A$4:$G$3460,4,0),"")</f>
        <v/>
      </c>
      <c r="E5712" t="str">
        <f>IFERROR(VLOOKUP($A5712,原始数据_收盘!$A$4:$G$3460,5,0),"")</f>
        <v/>
      </c>
      <c r="F5712" t="str">
        <f>IFERROR(VLOOKUP($A5712,原始数据_收盘!$A$4:$G$3460,6,0),"")</f>
        <v/>
      </c>
      <c r="G5712" t="str">
        <f>IFERROR(VLOOKUP($A5712,原始数据_收盘!$A$4:$G$3460,7,0),"")</f>
        <v/>
      </c>
      <c r="H5712" t="str">
        <f>IFERROR(VLOOKUP($A5712,原始数据_利率互换_FR007_1年!$A$6:$C$4395,2,0),"")</f>
        <v/>
      </c>
      <c r="I5712" t="str">
        <f>IFERROR(VLOOKUP($A5712,原始数据_利率互换_FR007_1年!$A$6:$C$4395,3,0),"")</f>
        <v/>
      </c>
    </row>
    <row r="5713" spans="1:9">
      <c r="A5713" s="6">
        <v>45206</v>
      </c>
      <c r="B5713">
        <f>IFERROR(VLOOKUP($A5713,原始数据_收盘!$A$4:$G$3460,2,0),"")</f>
        <v>2</v>
      </c>
      <c r="C5713">
        <f>IFERROR(VLOOKUP($A5713,原始数据_收盘!$A$4:$G$3460,3,0),"")</f>
        <v>2.45</v>
      </c>
      <c r="D5713">
        <f>IFERROR(VLOOKUP($A5713,原始数据_收盘!$A$4:$G$3460,4,0),"")</f>
        <v>2.03</v>
      </c>
      <c r="E5713">
        <f>IFERROR(VLOOKUP($A5713,原始数据_收盘!$A$4:$G$3460,5,0),"")</f>
        <v>2.46</v>
      </c>
      <c r="F5713">
        <f>IFERROR(VLOOKUP($A5713,原始数据_收盘!$A$4:$G$3460,6,0),"")</f>
        <v>2.015</v>
      </c>
      <c r="G5713">
        <f>IFERROR(VLOOKUP($A5713,原始数据_收盘!$A$4:$G$3460,7,0),"")</f>
        <v>2.455</v>
      </c>
      <c r="H5713" t="str">
        <f>IFERROR(VLOOKUP($A5713,原始数据_利率互换_FR007_1年!$A$6:$C$4395,2,0),"")</f>
        <v/>
      </c>
      <c r="I5713" t="str">
        <f>IFERROR(VLOOKUP($A5713,原始数据_利率互换_FR007_1年!$A$6:$C$4395,3,0),"")</f>
        <v/>
      </c>
    </row>
    <row r="5714" spans="1:9">
      <c r="A5714" s="6">
        <v>45207</v>
      </c>
      <c r="B5714">
        <f>IFERROR(VLOOKUP($A5714,原始数据_收盘!$A$4:$G$3460,2,0),"")</f>
        <v>2</v>
      </c>
      <c r="C5714">
        <f>IFERROR(VLOOKUP($A5714,原始数据_收盘!$A$4:$G$3460,3,0),"")</f>
        <v>2.45</v>
      </c>
      <c r="D5714">
        <f>IFERROR(VLOOKUP($A5714,原始数据_收盘!$A$4:$G$3460,4,0),"")</f>
        <v>2.03</v>
      </c>
      <c r="E5714">
        <f>IFERROR(VLOOKUP($A5714,原始数据_收盘!$A$4:$G$3460,5,0),"")</f>
        <v>2.465</v>
      </c>
      <c r="F5714">
        <f>IFERROR(VLOOKUP($A5714,原始数据_收盘!$A$4:$G$3460,6,0),"")</f>
        <v>2.015</v>
      </c>
      <c r="G5714">
        <f>IFERROR(VLOOKUP($A5714,原始数据_收盘!$A$4:$G$3460,7,0),"")</f>
        <v>2.4575</v>
      </c>
      <c r="H5714" t="str">
        <f>IFERROR(VLOOKUP($A5714,原始数据_利率互换_FR007_1年!$A$6:$C$4395,2,0),"")</f>
        <v/>
      </c>
      <c r="I5714" t="str">
        <f>IFERROR(VLOOKUP($A5714,原始数据_利率互换_FR007_1年!$A$6:$C$4395,3,0),"")</f>
        <v/>
      </c>
    </row>
    <row r="5715" spans="1:9">
      <c r="A5715" s="6">
        <v>45208</v>
      </c>
      <c r="B5715">
        <f>IFERROR(VLOOKUP($A5715,原始数据_收盘!$A$4:$G$3460,2,0),"")</f>
        <v>2.0425</v>
      </c>
      <c r="C5715">
        <f>IFERROR(VLOOKUP($A5715,原始数据_收盘!$A$4:$G$3460,3,0),"")</f>
        <v>2.46</v>
      </c>
      <c r="D5715">
        <f>IFERROR(VLOOKUP($A5715,原始数据_收盘!$A$4:$G$3460,4,0),"")</f>
        <v>2.045</v>
      </c>
      <c r="E5715">
        <f>IFERROR(VLOOKUP($A5715,原始数据_收盘!$A$4:$G$3460,5,0),"")</f>
        <v>2.4625</v>
      </c>
      <c r="F5715">
        <f>IFERROR(VLOOKUP($A5715,原始数据_收盘!$A$4:$G$3460,6,0),"")</f>
        <v>2.0438</v>
      </c>
      <c r="G5715">
        <f>IFERROR(VLOOKUP($A5715,原始数据_收盘!$A$4:$G$3460,7,0),"")</f>
        <v>2.4613</v>
      </c>
      <c r="H5715">
        <f>IFERROR(VLOOKUP($A5715,原始数据_利率互换_FR007_1年!$A$6:$C$4395,2,0),"")</f>
        <v>2.0345</v>
      </c>
      <c r="I5715">
        <f>IFERROR(VLOOKUP($A5715,原始数据_利率互换_FR007_1年!$A$6:$C$4395,3,0),"")</f>
        <v>2.4585</v>
      </c>
    </row>
    <row r="5716" spans="1:9">
      <c r="A5716" s="6">
        <v>45209</v>
      </c>
      <c r="B5716">
        <f>IFERROR(VLOOKUP($A5716,原始数据_收盘!$A$4:$G$3460,2,0),"")</f>
        <v>2.065</v>
      </c>
      <c r="C5716">
        <f>IFERROR(VLOOKUP($A5716,原始数据_收盘!$A$4:$G$3460,3,0),"")</f>
        <v>2.487</v>
      </c>
      <c r="D5716">
        <f>IFERROR(VLOOKUP($A5716,原始数据_收盘!$A$4:$G$3460,4,0),"")</f>
        <v>2.0675</v>
      </c>
      <c r="E5716">
        <f>IFERROR(VLOOKUP($A5716,原始数据_收盘!$A$4:$G$3460,5,0),"")</f>
        <v>2.4898</v>
      </c>
      <c r="F5716">
        <f>IFERROR(VLOOKUP($A5716,原始数据_收盘!$A$4:$G$3460,6,0),"")</f>
        <v>2.0663</v>
      </c>
      <c r="G5716">
        <f>IFERROR(VLOOKUP($A5716,原始数据_收盘!$A$4:$G$3460,7,0),"")</f>
        <v>2.4884</v>
      </c>
      <c r="H5716">
        <f>IFERROR(VLOOKUP($A5716,原始数据_利率互换_FR007_1年!$A$6:$C$4395,2,0),"")</f>
        <v>2.0616</v>
      </c>
      <c r="I5716">
        <f>IFERROR(VLOOKUP($A5716,原始数据_利率互换_FR007_1年!$A$6:$C$4395,3,0),"")</f>
        <v>2.481</v>
      </c>
    </row>
    <row r="5717" spans="1:9">
      <c r="A5717" s="6">
        <v>45210</v>
      </c>
      <c r="B5717">
        <f>IFERROR(VLOOKUP($A5717,原始数据_收盘!$A$4:$G$3460,2,0),"")</f>
        <v>2.0875</v>
      </c>
      <c r="C5717">
        <f>IFERROR(VLOOKUP($A5717,原始数据_收盘!$A$4:$G$3460,3,0),"")</f>
        <v>2.5113</v>
      </c>
      <c r="D5717">
        <f>IFERROR(VLOOKUP($A5717,原始数据_收盘!$A$4:$G$3460,4,0),"")</f>
        <v>2.09</v>
      </c>
      <c r="E5717">
        <f>IFERROR(VLOOKUP($A5717,原始数据_收盘!$A$4:$G$3460,5,0),"")</f>
        <v>2.5138</v>
      </c>
      <c r="F5717">
        <f>IFERROR(VLOOKUP($A5717,原始数据_收盘!$A$4:$G$3460,6,0),"")</f>
        <v>2.0888</v>
      </c>
      <c r="G5717">
        <f>IFERROR(VLOOKUP($A5717,原始数据_收盘!$A$4:$G$3460,7,0),"")</f>
        <v>2.5125</v>
      </c>
      <c r="H5717">
        <f>IFERROR(VLOOKUP($A5717,原始数据_利率互换_FR007_1年!$A$6:$C$4395,2,0),"")</f>
        <v>2.0856</v>
      </c>
      <c r="I5717">
        <f>IFERROR(VLOOKUP($A5717,原始数据_利率互换_FR007_1年!$A$6:$C$4395,3,0),"")</f>
        <v>2.5085</v>
      </c>
    </row>
    <row r="5718" spans="1:9">
      <c r="A5718" s="6">
        <v>45211</v>
      </c>
      <c r="B5718">
        <f>IFERROR(VLOOKUP($A5718,原始数据_收盘!$A$4:$G$3460,2,0),"")</f>
        <v>2.0722</v>
      </c>
      <c r="C5718">
        <f>IFERROR(VLOOKUP($A5718,原始数据_收盘!$A$4:$G$3460,3,0),"")</f>
        <v>2.4979</v>
      </c>
      <c r="D5718">
        <f>IFERROR(VLOOKUP($A5718,原始数据_收盘!$A$4:$G$3460,4,0),"")</f>
        <v>2.075</v>
      </c>
      <c r="E5718">
        <f>IFERROR(VLOOKUP($A5718,原始数据_收盘!$A$4:$G$3460,5,0),"")</f>
        <v>2.5005</v>
      </c>
      <c r="F5718">
        <f>IFERROR(VLOOKUP($A5718,原始数据_收盘!$A$4:$G$3460,6,0),"")</f>
        <v>2.0736</v>
      </c>
      <c r="G5718">
        <f>IFERROR(VLOOKUP($A5718,原始数据_收盘!$A$4:$G$3460,7,0),"")</f>
        <v>2.4992</v>
      </c>
      <c r="H5718">
        <f>IFERROR(VLOOKUP($A5718,原始数据_利率互换_FR007_1年!$A$6:$C$4395,2,0),"")</f>
        <v>2.0857</v>
      </c>
      <c r="I5718">
        <f>IFERROR(VLOOKUP($A5718,原始数据_利率互换_FR007_1年!$A$6:$C$4395,3,0),"")</f>
        <v>2.5174</v>
      </c>
    </row>
    <row r="5719" spans="1:9">
      <c r="A5719" s="6">
        <v>45212</v>
      </c>
      <c r="B5719">
        <f>IFERROR(VLOOKUP($A5719,原始数据_收盘!$A$4:$G$3460,2,0),"")</f>
        <v>2.07</v>
      </c>
      <c r="C5719">
        <f>IFERROR(VLOOKUP($A5719,原始数据_收盘!$A$4:$G$3460,3,0),"")</f>
        <v>2.4913</v>
      </c>
      <c r="D5719">
        <f>IFERROR(VLOOKUP($A5719,原始数据_收盘!$A$4:$G$3460,4,0),"")</f>
        <v>2.075</v>
      </c>
      <c r="E5719">
        <f>IFERROR(VLOOKUP($A5719,原始数据_收盘!$A$4:$G$3460,5,0),"")</f>
        <v>2.4932</v>
      </c>
      <c r="F5719">
        <f>IFERROR(VLOOKUP($A5719,原始数据_收盘!$A$4:$G$3460,6,0),"")</f>
        <v>2.0725</v>
      </c>
      <c r="G5719">
        <f>IFERROR(VLOOKUP($A5719,原始数据_收盘!$A$4:$G$3460,7,0),"")</f>
        <v>2.4922</v>
      </c>
      <c r="H5719">
        <f>IFERROR(VLOOKUP($A5719,原始数据_利率互换_FR007_1年!$A$6:$C$4395,2,0),"")</f>
        <v>2.0721</v>
      </c>
      <c r="I5719">
        <f>IFERROR(VLOOKUP($A5719,原始数据_利率互换_FR007_1年!$A$6:$C$4395,3,0),"")</f>
        <v>2.4907</v>
      </c>
    </row>
    <row r="5720" spans="1:9">
      <c r="A5720" s="6">
        <v>45213</v>
      </c>
      <c r="B5720" t="str">
        <f>IFERROR(VLOOKUP($A5720,原始数据_收盘!$A$4:$G$3460,2,0),"")</f>
        <v/>
      </c>
      <c r="C5720" t="str">
        <f>IFERROR(VLOOKUP($A5720,原始数据_收盘!$A$4:$G$3460,3,0),"")</f>
        <v/>
      </c>
      <c r="D5720" t="str">
        <f>IFERROR(VLOOKUP($A5720,原始数据_收盘!$A$4:$G$3460,4,0),"")</f>
        <v/>
      </c>
      <c r="E5720" t="str">
        <f>IFERROR(VLOOKUP($A5720,原始数据_收盘!$A$4:$G$3460,5,0),"")</f>
        <v/>
      </c>
      <c r="F5720" t="str">
        <f>IFERROR(VLOOKUP($A5720,原始数据_收盘!$A$4:$G$3460,6,0),"")</f>
        <v/>
      </c>
      <c r="G5720" t="str">
        <f>IFERROR(VLOOKUP($A5720,原始数据_收盘!$A$4:$G$3460,7,0),"")</f>
        <v/>
      </c>
      <c r="H5720" t="str">
        <f>IFERROR(VLOOKUP($A5720,原始数据_利率互换_FR007_1年!$A$6:$C$4395,2,0),"")</f>
        <v/>
      </c>
      <c r="I5720" t="str">
        <f>IFERROR(VLOOKUP($A5720,原始数据_利率互换_FR007_1年!$A$6:$C$4395,3,0),"")</f>
        <v/>
      </c>
    </row>
    <row r="5721" spans="1:9">
      <c r="A5721" s="6">
        <v>45214</v>
      </c>
      <c r="B5721" t="str">
        <f>IFERROR(VLOOKUP($A5721,原始数据_收盘!$A$4:$G$3460,2,0),"")</f>
        <v/>
      </c>
      <c r="C5721" t="str">
        <f>IFERROR(VLOOKUP($A5721,原始数据_收盘!$A$4:$G$3460,3,0),"")</f>
        <v/>
      </c>
      <c r="D5721" t="str">
        <f>IFERROR(VLOOKUP($A5721,原始数据_收盘!$A$4:$G$3460,4,0),"")</f>
        <v/>
      </c>
      <c r="E5721" t="str">
        <f>IFERROR(VLOOKUP($A5721,原始数据_收盘!$A$4:$G$3460,5,0),"")</f>
        <v/>
      </c>
      <c r="F5721" t="str">
        <f>IFERROR(VLOOKUP($A5721,原始数据_收盘!$A$4:$G$3460,6,0),"")</f>
        <v/>
      </c>
      <c r="G5721" t="str">
        <f>IFERROR(VLOOKUP($A5721,原始数据_收盘!$A$4:$G$3460,7,0),"")</f>
        <v/>
      </c>
      <c r="H5721" t="str">
        <f>IFERROR(VLOOKUP($A5721,原始数据_利率互换_FR007_1年!$A$6:$C$4395,2,0),"")</f>
        <v/>
      </c>
      <c r="I5721" t="str">
        <f>IFERROR(VLOOKUP($A5721,原始数据_利率互换_FR007_1年!$A$6:$C$4395,3,0),"")</f>
        <v/>
      </c>
    </row>
    <row r="5722" spans="1:9">
      <c r="A5722" s="6">
        <v>45215</v>
      </c>
      <c r="B5722">
        <f>IFERROR(VLOOKUP($A5722,原始数据_收盘!$A$4:$G$3460,2,0),"")</f>
        <v>2.0775</v>
      </c>
      <c r="C5722">
        <f>IFERROR(VLOOKUP($A5722,原始数据_收盘!$A$4:$G$3460,3,0),"")</f>
        <v>2.49</v>
      </c>
      <c r="D5722">
        <f>IFERROR(VLOOKUP($A5722,原始数据_收盘!$A$4:$G$3460,4,0),"")</f>
        <v>2.08</v>
      </c>
      <c r="E5722">
        <f>IFERROR(VLOOKUP($A5722,原始数据_收盘!$A$4:$G$3460,5,0),"")</f>
        <v>2.4941</v>
      </c>
      <c r="F5722">
        <f>IFERROR(VLOOKUP($A5722,原始数据_收盘!$A$4:$G$3460,6,0),"")</f>
        <v>2.0788</v>
      </c>
      <c r="G5722">
        <f>IFERROR(VLOOKUP($A5722,原始数据_收盘!$A$4:$G$3460,7,0),"")</f>
        <v>2.4921</v>
      </c>
      <c r="H5722">
        <f>IFERROR(VLOOKUP($A5722,原始数据_利率互换_FR007_1年!$A$6:$C$4395,2,0),"")</f>
        <v>2.0716</v>
      </c>
      <c r="I5722">
        <f>IFERROR(VLOOKUP($A5722,原始数据_利率互换_FR007_1年!$A$6:$C$4395,3,0),"")</f>
        <v>2.4864</v>
      </c>
    </row>
    <row r="5723" spans="1:9">
      <c r="A5723" s="6">
        <v>45216</v>
      </c>
      <c r="B5723">
        <f>IFERROR(VLOOKUP($A5723,原始数据_收盘!$A$4:$G$3460,2,0),"")</f>
        <v>2.0875</v>
      </c>
      <c r="C5723">
        <f>IFERROR(VLOOKUP($A5723,原始数据_收盘!$A$4:$G$3460,3,0),"")</f>
        <v>2.505</v>
      </c>
      <c r="D5723">
        <f>IFERROR(VLOOKUP($A5723,原始数据_收盘!$A$4:$G$3460,4,0),"")</f>
        <v>2.0896</v>
      </c>
      <c r="E5723">
        <f>IFERROR(VLOOKUP($A5723,原始数据_收盘!$A$4:$G$3460,5,0),"")</f>
        <v>2.5075</v>
      </c>
      <c r="F5723">
        <f>IFERROR(VLOOKUP($A5723,原始数据_收盘!$A$4:$G$3460,6,0),"")</f>
        <v>2.0885</v>
      </c>
      <c r="G5723">
        <f>IFERROR(VLOOKUP($A5723,原始数据_收盘!$A$4:$G$3460,7,0),"")</f>
        <v>2.5063</v>
      </c>
      <c r="H5723">
        <f>IFERROR(VLOOKUP($A5723,原始数据_利率互换_FR007_1年!$A$6:$C$4395,2,0),"")</f>
        <v>2.0892</v>
      </c>
      <c r="I5723">
        <f>IFERROR(VLOOKUP($A5723,原始数据_利率互换_FR007_1年!$A$6:$C$4395,3,0),"")</f>
        <v>2.5047</v>
      </c>
    </row>
    <row r="5724" spans="1:9">
      <c r="A5724" s="6">
        <v>45217</v>
      </c>
      <c r="B5724">
        <f>IFERROR(VLOOKUP($A5724,原始数据_收盘!$A$4:$G$3460,2,0),"")</f>
        <v>2.106</v>
      </c>
      <c r="C5724">
        <f>IFERROR(VLOOKUP($A5724,原始数据_收盘!$A$4:$G$3460,3,0),"")</f>
        <v>2.515</v>
      </c>
      <c r="D5724">
        <f>IFERROR(VLOOKUP($A5724,原始数据_收盘!$A$4:$G$3460,4,0),"")</f>
        <v>2.1075</v>
      </c>
      <c r="E5724">
        <f>IFERROR(VLOOKUP($A5724,原始数据_收盘!$A$4:$G$3460,5,0),"")</f>
        <v>2.5175</v>
      </c>
      <c r="F5724">
        <f>IFERROR(VLOOKUP($A5724,原始数据_收盘!$A$4:$G$3460,6,0),"")</f>
        <v>2.1068</v>
      </c>
      <c r="G5724">
        <f>IFERROR(VLOOKUP($A5724,原始数据_收盘!$A$4:$G$3460,7,0),"")</f>
        <v>2.5163</v>
      </c>
      <c r="H5724">
        <f>IFERROR(VLOOKUP($A5724,原始数据_利率互换_FR007_1年!$A$6:$C$4395,2,0),"")</f>
        <v>2.0948</v>
      </c>
      <c r="I5724">
        <f>IFERROR(VLOOKUP($A5724,原始数据_利率互换_FR007_1年!$A$6:$C$4395,3,0),"")</f>
        <v>2.5093</v>
      </c>
    </row>
    <row r="5725" spans="1:9">
      <c r="A5725" s="6">
        <v>45218</v>
      </c>
      <c r="B5725">
        <f>IFERROR(VLOOKUP($A5725,原始数据_收盘!$A$4:$G$3460,2,0),"")</f>
        <v>2.1375</v>
      </c>
      <c r="C5725">
        <f>IFERROR(VLOOKUP($A5725,原始数据_收盘!$A$4:$G$3460,3,0),"")</f>
        <v>2.535</v>
      </c>
      <c r="D5725">
        <f>IFERROR(VLOOKUP($A5725,原始数据_收盘!$A$4:$G$3460,4,0),"")</f>
        <v>2.1404</v>
      </c>
      <c r="E5725">
        <f>IFERROR(VLOOKUP($A5725,原始数据_收盘!$A$4:$G$3460,5,0),"")</f>
        <v>2.5385</v>
      </c>
      <c r="F5725">
        <f>IFERROR(VLOOKUP($A5725,原始数据_收盘!$A$4:$G$3460,6,0),"")</f>
        <v>2.139</v>
      </c>
      <c r="G5725">
        <f>IFERROR(VLOOKUP($A5725,原始数据_收盘!$A$4:$G$3460,7,0),"")</f>
        <v>2.5368</v>
      </c>
      <c r="H5725">
        <f>IFERROR(VLOOKUP($A5725,原始数据_利率互换_FR007_1年!$A$6:$C$4395,2,0),"")</f>
        <v>2.1315</v>
      </c>
      <c r="I5725">
        <f>IFERROR(VLOOKUP($A5725,原始数据_利率互换_FR007_1年!$A$6:$C$4395,3,0),"")</f>
        <v>2.5373</v>
      </c>
    </row>
    <row r="5726" spans="1:9">
      <c r="A5726" s="6">
        <v>45219</v>
      </c>
      <c r="B5726">
        <f>IFERROR(VLOOKUP($A5726,原始数据_收盘!$A$4:$G$3460,2,0),"")</f>
        <v>2.1442</v>
      </c>
      <c r="C5726">
        <f>IFERROR(VLOOKUP($A5726,原始数据_收盘!$A$4:$G$3460,3,0),"")</f>
        <v>2.5275</v>
      </c>
      <c r="D5726">
        <f>IFERROR(VLOOKUP($A5726,原始数据_收盘!$A$4:$G$3460,4,0),"")</f>
        <v>2.1473</v>
      </c>
      <c r="E5726">
        <f>IFERROR(VLOOKUP($A5726,原始数据_收盘!$A$4:$G$3460,5,0),"")</f>
        <v>2.5308</v>
      </c>
      <c r="F5726">
        <f>IFERROR(VLOOKUP($A5726,原始数据_收盘!$A$4:$G$3460,6,0),"")</f>
        <v>2.1458</v>
      </c>
      <c r="G5726">
        <f>IFERROR(VLOOKUP($A5726,原始数据_收盘!$A$4:$G$3460,7,0),"")</f>
        <v>2.5292</v>
      </c>
      <c r="H5726">
        <f>IFERROR(VLOOKUP($A5726,原始数据_利率互换_FR007_1年!$A$6:$C$4395,2,0),"")</f>
        <v>2.1546</v>
      </c>
      <c r="I5726">
        <f>IFERROR(VLOOKUP($A5726,原始数据_利率互换_FR007_1年!$A$6:$C$4395,3,0),"")</f>
        <v>2.543</v>
      </c>
    </row>
    <row r="5727" spans="1:9">
      <c r="A5727" s="6">
        <v>45220</v>
      </c>
      <c r="B5727" t="str">
        <f>IFERROR(VLOOKUP($A5727,原始数据_收盘!$A$4:$G$3460,2,0),"")</f>
        <v/>
      </c>
      <c r="C5727" t="str">
        <f>IFERROR(VLOOKUP($A5727,原始数据_收盘!$A$4:$G$3460,3,0),"")</f>
        <v/>
      </c>
      <c r="D5727" t="str">
        <f>IFERROR(VLOOKUP($A5727,原始数据_收盘!$A$4:$G$3460,4,0),"")</f>
        <v/>
      </c>
      <c r="E5727" t="str">
        <f>IFERROR(VLOOKUP($A5727,原始数据_收盘!$A$4:$G$3460,5,0),"")</f>
        <v/>
      </c>
      <c r="F5727" t="str">
        <f>IFERROR(VLOOKUP($A5727,原始数据_收盘!$A$4:$G$3460,6,0),"")</f>
        <v/>
      </c>
      <c r="G5727" t="str">
        <f>IFERROR(VLOOKUP($A5727,原始数据_收盘!$A$4:$G$3460,7,0),"")</f>
        <v/>
      </c>
      <c r="H5727" t="str">
        <f>IFERROR(VLOOKUP($A5727,原始数据_利率互换_FR007_1年!$A$6:$C$4395,2,0),"")</f>
        <v/>
      </c>
      <c r="I5727" t="str">
        <f>IFERROR(VLOOKUP($A5727,原始数据_利率互换_FR007_1年!$A$6:$C$4395,3,0),"")</f>
        <v/>
      </c>
    </row>
    <row r="5728" spans="1:9">
      <c r="A5728" s="6">
        <v>45221</v>
      </c>
      <c r="B5728" t="str">
        <f>IFERROR(VLOOKUP($A5728,原始数据_收盘!$A$4:$G$3460,2,0),"")</f>
        <v/>
      </c>
      <c r="C5728" t="str">
        <f>IFERROR(VLOOKUP($A5728,原始数据_收盘!$A$4:$G$3460,3,0),"")</f>
        <v/>
      </c>
      <c r="D5728" t="str">
        <f>IFERROR(VLOOKUP($A5728,原始数据_收盘!$A$4:$G$3460,4,0),"")</f>
        <v/>
      </c>
      <c r="E5728" t="str">
        <f>IFERROR(VLOOKUP($A5728,原始数据_收盘!$A$4:$G$3460,5,0),"")</f>
        <v/>
      </c>
      <c r="F5728" t="str">
        <f>IFERROR(VLOOKUP($A5728,原始数据_收盘!$A$4:$G$3460,6,0),"")</f>
        <v/>
      </c>
      <c r="G5728" t="str">
        <f>IFERROR(VLOOKUP($A5728,原始数据_收盘!$A$4:$G$3460,7,0),"")</f>
        <v/>
      </c>
      <c r="H5728" t="str">
        <f>IFERROR(VLOOKUP($A5728,原始数据_利率互换_FR007_1年!$A$6:$C$4395,2,0),"")</f>
        <v/>
      </c>
      <c r="I5728" t="str">
        <f>IFERROR(VLOOKUP($A5728,原始数据_利率互换_FR007_1年!$A$6:$C$4395,3,0),"")</f>
        <v/>
      </c>
    </row>
    <row r="5729" spans="1:9">
      <c r="A5729" s="6">
        <v>45222</v>
      </c>
      <c r="B5729">
        <f>IFERROR(VLOOKUP($A5729,原始数据_收盘!$A$4:$G$3460,2,0),"")</f>
        <v>2.128</v>
      </c>
      <c r="C5729">
        <f>IFERROR(VLOOKUP($A5729,原始数据_收盘!$A$4:$G$3460,3,0),"")</f>
        <v>2.5175</v>
      </c>
      <c r="D5729">
        <f>IFERROR(VLOOKUP($A5729,原始数据_收盘!$A$4:$G$3460,4,0),"")</f>
        <v>2.1315</v>
      </c>
      <c r="E5729">
        <f>IFERROR(VLOOKUP($A5729,原始数据_收盘!$A$4:$G$3460,5,0),"")</f>
        <v>2.5201</v>
      </c>
      <c r="F5729">
        <f>IFERROR(VLOOKUP($A5729,原始数据_收盘!$A$4:$G$3460,6,0),"")</f>
        <v>2.1298</v>
      </c>
      <c r="G5729">
        <f>IFERROR(VLOOKUP($A5729,原始数据_收盘!$A$4:$G$3460,7,0),"")</f>
        <v>2.5188</v>
      </c>
      <c r="H5729">
        <f>IFERROR(VLOOKUP($A5729,原始数据_利率互换_FR007_1年!$A$6:$C$4395,2,0),"")</f>
        <v>2.1248</v>
      </c>
      <c r="I5729">
        <f>IFERROR(VLOOKUP($A5729,原始数据_利率互换_FR007_1年!$A$6:$C$4395,3,0),"")</f>
        <v>2.5147</v>
      </c>
    </row>
    <row r="5730" spans="1:9">
      <c r="A5730" s="6">
        <v>45223</v>
      </c>
      <c r="B5730">
        <f>IFERROR(VLOOKUP($A5730,原始数据_收盘!$A$4:$G$3460,2,0),"")</f>
        <v>2.135</v>
      </c>
      <c r="C5730">
        <f>IFERROR(VLOOKUP($A5730,原始数据_收盘!$A$4:$G$3460,3,0),"")</f>
        <v>2.5267</v>
      </c>
      <c r="D5730">
        <f>IFERROR(VLOOKUP($A5730,原始数据_收盘!$A$4:$G$3460,4,0),"")</f>
        <v>2.1391</v>
      </c>
      <c r="E5730">
        <f>IFERROR(VLOOKUP($A5730,原始数据_收盘!$A$4:$G$3460,5,0),"")</f>
        <v>2.5293</v>
      </c>
      <c r="F5730">
        <f>IFERROR(VLOOKUP($A5730,原始数据_收盘!$A$4:$G$3460,6,0),"")</f>
        <v>2.1371</v>
      </c>
      <c r="G5730">
        <f>IFERROR(VLOOKUP($A5730,原始数据_收盘!$A$4:$G$3460,7,0),"")</f>
        <v>2.528</v>
      </c>
      <c r="H5730">
        <f>IFERROR(VLOOKUP($A5730,原始数据_利率互换_FR007_1年!$A$6:$C$4395,2,0),"")</f>
        <v>2.1514</v>
      </c>
      <c r="I5730">
        <f>IFERROR(VLOOKUP($A5730,原始数据_利率互换_FR007_1年!$A$6:$C$4395,3,0),"")</f>
        <v>2.5376</v>
      </c>
    </row>
    <row r="5731" spans="1:9">
      <c r="A5731" s="6">
        <v>45224</v>
      </c>
      <c r="B5731">
        <f>IFERROR(VLOOKUP($A5731,原始数据_收盘!$A$4:$G$3460,2,0),"")</f>
        <v>2.0936</v>
      </c>
      <c r="C5731">
        <f>IFERROR(VLOOKUP($A5731,原始数据_收盘!$A$4:$G$3460,3,0),"")</f>
        <v>2.4833</v>
      </c>
      <c r="D5731">
        <f>IFERROR(VLOOKUP($A5731,原始数据_收盘!$A$4:$G$3460,4,0),"")</f>
        <v>2.0961</v>
      </c>
      <c r="E5731">
        <f>IFERROR(VLOOKUP($A5731,原始数据_收盘!$A$4:$G$3460,5,0),"")</f>
        <v>2.4872</v>
      </c>
      <c r="F5731">
        <f>IFERROR(VLOOKUP($A5731,原始数据_收盘!$A$4:$G$3460,6,0),"")</f>
        <v>2.0948</v>
      </c>
      <c r="G5731">
        <f>IFERROR(VLOOKUP($A5731,原始数据_收盘!$A$4:$G$3460,7,0),"")</f>
        <v>2.4853</v>
      </c>
      <c r="H5731">
        <f>IFERROR(VLOOKUP($A5731,原始数据_利率互换_FR007_1年!$A$6:$C$4395,2,0),"")</f>
        <v>2.1161</v>
      </c>
      <c r="I5731">
        <f>IFERROR(VLOOKUP($A5731,原始数据_利率互换_FR007_1年!$A$6:$C$4395,3,0),"")</f>
        <v>2.5179</v>
      </c>
    </row>
    <row r="5732" spans="1:9">
      <c r="A5732" s="6">
        <v>45225</v>
      </c>
      <c r="B5732">
        <f>IFERROR(VLOOKUP($A5732,原始数据_收盘!$A$4:$G$3460,2,0),"")</f>
        <v>2.1042</v>
      </c>
      <c r="C5732">
        <f>IFERROR(VLOOKUP($A5732,原始数据_收盘!$A$4:$G$3460,3,0),"")</f>
        <v>2.5025</v>
      </c>
      <c r="D5732">
        <f>IFERROR(VLOOKUP($A5732,原始数据_收盘!$A$4:$G$3460,4,0),"")</f>
        <v>2.1075</v>
      </c>
      <c r="E5732">
        <f>IFERROR(VLOOKUP($A5732,原始数据_收盘!$A$4:$G$3460,5,0),"")</f>
        <v>2.5051</v>
      </c>
      <c r="F5732">
        <f>IFERROR(VLOOKUP($A5732,原始数据_收盘!$A$4:$G$3460,6,0),"")</f>
        <v>2.1058</v>
      </c>
      <c r="G5732">
        <f>IFERROR(VLOOKUP($A5732,原始数据_收盘!$A$4:$G$3460,7,0),"")</f>
        <v>2.5038</v>
      </c>
      <c r="H5732">
        <f>IFERROR(VLOOKUP($A5732,原始数据_利率互换_FR007_1年!$A$6:$C$4395,2,0),"")</f>
        <v>2.0937</v>
      </c>
      <c r="I5732">
        <f>IFERROR(VLOOKUP($A5732,原始数据_利率互换_FR007_1年!$A$6:$C$4395,3,0),"")</f>
        <v>2.493</v>
      </c>
    </row>
    <row r="5733" spans="1:9">
      <c r="A5733" s="6">
        <v>45226</v>
      </c>
      <c r="B5733">
        <f>IFERROR(VLOOKUP($A5733,原始数据_收盘!$A$4:$G$3460,2,0),"")</f>
        <v>2.0788</v>
      </c>
      <c r="C5733">
        <f>IFERROR(VLOOKUP($A5733,原始数据_收盘!$A$4:$G$3460,3,0),"")</f>
        <v>2.4825</v>
      </c>
      <c r="D5733">
        <f>IFERROR(VLOOKUP($A5733,原始数据_收盘!$A$4:$G$3460,4,0),"")</f>
        <v>2.0825</v>
      </c>
      <c r="E5733">
        <f>IFERROR(VLOOKUP($A5733,原始数据_收盘!$A$4:$G$3460,5,0),"")</f>
        <v>2.485</v>
      </c>
      <c r="F5733">
        <f>IFERROR(VLOOKUP($A5733,原始数据_收盘!$A$4:$G$3460,6,0),"")</f>
        <v>2.0807</v>
      </c>
      <c r="G5733">
        <f>IFERROR(VLOOKUP($A5733,原始数据_收盘!$A$4:$G$3460,7,0),"")</f>
        <v>2.4838</v>
      </c>
      <c r="H5733">
        <f>IFERROR(VLOOKUP($A5733,原始数据_利率互换_FR007_1年!$A$6:$C$4395,2,0),"")</f>
        <v>2.0931</v>
      </c>
      <c r="I5733">
        <f>IFERROR(VLOOKUP($A5733,原始数据_利率互换_FR007_1年!$A$6:$C$4395,3,0),"")</f>
        <v>2.4967</v>
      </c>
    </row>
    <row r="5734" spans="1:9">
      <c r="A5734" s="6">
        <v>45227</v>
      </c>
      <c r="B5734" t="str">
        <f>IFERROR(VLOOKUP($A5734,原始数据_收盘!$A$4:$G$3460,2,0),"")</f>
        <v/>
      </c>
      <c r="C5734" t="str">
        <f>IFERROR(VLOOKUP($A5734,原始数据_收盘!$A$4:$G$3460,3,0),"")</f>
        <v/>
      </c>
      <c r="D5734" t="str">
        <f>IFERROR(VLOOKUP($A5734,原始数据_收盘!$A$4:$G$3460,4,0),"")</f>
        <v/>
      </c>
      <c r="E5734" t="str">
        <f>IFERROR(VLOOKUP($A5734,原始数据_收盘!$A$4:$G$3460,5,0),"")</f>
        <v/>
      </c>
      <c r="F5734" t="str">
        <f>IFERROR(VLOOKUP($A5734,原始数据_收盘!$A$4:$G$3460,6,0),"")</f>
        <v/>
      </c>
      <c r="G5734" t="str">
        <f>IFERROR(VLOOKUP($A5734,原始数据_收盘!$A$4:$G$3460,7,0),"")</f>
        <v/>
      </c>
      <c r="H5734" t="str">
        <f>IFERROR(VLOOKUP($A5734,原始数据_利率互换_FR007_1年!$A$6:$C$4395,2,0),"")</f>
        <v/>
      </c>
      <c r="I5734" t="str">
        <f>IFERROR(VLOOKUP($A5734,原始数据_利率互换_FR007_1年!$A$6:$C$4395,3,0),"")</f>
        <v/>
      </c>
    </row>
    <row r="5735" spans="1:9">
      <c r="A5735" s="6">
        <v>45228</v>
      </c>
      <c r="B5735" t="str">
        <f>IFERROR(VLOOKUP($A5735,原始数据_收盘!$A$4:$G$3460,2,0),"")</f>
        <v/>
      </c>
      <c r="C5735" t="str">
        <f>IFERROR(VLOOKUP($A5735,原始数据_收盘!$A$4:$G$3460,3,0),"")</f>
        <v/>
      </c>
      <c r="D5735" t="str">
        <f>IFERROR(VLOOKUP($A5735,原始数据_收盘!$A$4:$G$3460,4,0),"")</f>
        <v/>
      </c>
      <c r="E5735" t="str">
        <f>IFERROR(VLOOKUP($A5735,原始数据_收盘!$A$4:$G$3460,5,0),"")</f>
        <v/>
      </c>
      <c r="F5735" t="str">
        <f>IFERROR(VLOOKUP($A5735,原始数据_收盘!$A$4:$G$3460,6,0),"")</f>
        <v/>
      </c>
      <c r="G5735" t="str">
        <f>IFERROR(VLOOKUP($A5735,原始数据_收盘!$A$4:$G$3460,7,0),"")</f>
        <v/>
      </c>
      <c r="H5735" t="str">
        <f>IFERROR(VLOOKUP($A5735,原始数据_利率互换_FR007_1年!$A$6:$C$4395,2,0),"")</f>
        <v/>
      </c>
      <c r="I5735" t="str">
        <f>IFERROR(VLOOKUP($A5735,原始数据_利率互换_FR007_1年!$A$6:$C$4395,3,0),"")</f>
        <v/>
      </c>
    </row>
    <row r="5736" spans="1:9">
      <c r="A5736" s="6">
        <v>45229</v>
      </c>
      <c r="B5736">
        <f>IFERROR(VLOOKUP($A5736,原始数据_收盘!$A$4:$G$3460,2,0),"")</f>
        <v>2.075</v>
      </c>
      <c r="C5736">
        <f>IFERROR(VLOOKUP($A5736,原始数据_收盘!$A$4:$G$3460,3,0),"")</f>
        <v>2.4775</v>
      </c>
      <c r="D5736">
        <f>IFERROR(VLOOKUP($A5736,原始数据_收盘!$A$4:$G$3460,4,0),"")</f>
        <v>2.08</v>
      </c>
      <c r="E5736">
        <f>IFERROR(VLOOKUP($A5736,原始数据_收盘!$A$4:$G$3460,5,0),"")</f>
        <v>2.4814</v>
      </c>
      <c r="F5736">
        <f>IFERROR(VLOOKUP($A5736,原始数据_收盘!$A$4:$G$3460,6,0),"")</f>
        <v>2.0775</v>
      </c>
      <c r="G5736">
        <f>IFERROR(VLOOKUP($A5736,原始数据_收盘!$A$4:$G$3460,7,0),"")</f>
        <v>2.4794</v>
      </c>
      <c r="H5736">
        <f>IFERROR(VLOOKUP($A5736,原始数据_利率互换_FR007_1年!$A$6:$C$4395,2,0),"")</f>
        <v>2.0753</v>
      </c>
      <c r="I5736">
        <f>IFERROR(VLOOKUP($A5736,原始数据_利率互换_FR007_1年!$A$6:$C$4395,3,0),"")</f>
        <v>2.4802</v>
      </c>
    </row>
    <row r="5737" spans="1:9">
      <c r="A5737" s="6">
        <v>45230</v>
      </c>
      <c r="B5737">
        <f>IFERROR(VLOOKUP($A5737,原始数据_收盘!$A$4:$G$3460,2,0),"")</f>
        <v>2.075</v>
      </c>
      <c r="C5737">
        <f>IFERROR(VLOOKUP($A5737,原始数据_收盘!$A$4:$G$3460,3,0),"")</f>
        <v>2.4625</v>
      </c>
      <c r="D5737">
        <f>IFERROR(VLOOKUP($A5737,原始数据_收盘!$A$4:$G$3460,4,0),"")</f>
        <v>2.0775</v>
      </c>
      <c r="E5737">
        <f>IFERROR(VLOOKUP($A5737,原始数据_收盘!$A$4:$G$3460,5,0),"")</f>
        <v>2.4643</v>
      </c>
      <c r="F5737">
        <f>IFERROR(VLOOKUP($A5737,原始数据_收盘!$A$4:$G$3460,6,0),"")</f>
        <v>2.0763</v>
      </c>
      <c r="G5737">
        <f>IFERROR(VLOOKUP($A5737,原始数据_收盘!$A$4:$G$3460,7,0),"")</f>
        <v>2.4634</v>
      </c>
      <c r="H5737">
        <f>IFERROR(VLOOKUP($A5737,原始数据_利率互换_FR007_1年!$A$6:$C$4395,2,0),"")</f>
        <v>2.0688</v>
      </c>
      <c r="I5737">
        <f>IFERROR(VLOOKUP($A5737,原始数据_利率互换_FR007_1年!$A$6:$C$4395,3,0),"")</f>
        <v>2.4624</v>
      </c>
    </row>
    <row r="5738" spans="1:9">
      <c r="A5738" s="6">
        <v>45231</v>
      </c>
      <c r="B5738">
        <f>IFERROR(VLOOKUP($A5738,原始数据_收盘!$A$4:$G$3460,2,0),"")</f>
        <v>2.075</v>
      </c>
      <c r="C5738">
        <f>IFERROR(VLOOKUP($A5738,原始数据_收盘!$A$4:$G$3460,3,0),"")</f>
        <v>2.46</v>
      </c>
      <c r="D5738">
        <f>IFERROR(VLOOKUP($A5738,原始数据_收盘!$A$4:$G$3460,4,0),"")</f>
        <v>2.0775</v>
      </c>
      <c r="E5738">
        <f>IFERROR(VLOOKUP($A5738,原始数据_收盘!$A$4:$G$3460,5,0),"")</f>
        <v>2.4625</v>
      </c>
      <c r="F5738">
        <f>IFERROR(VLOOKUP($A5738,原始数据_收盘!$A$4:$G$3460,6,0),"")</f>
        <v>2.0763</v>
      </c>
      <c r="G5738">
        <f>IFERROR(VLOOKUP($A5738,原始数据_收盘!$A$4:$G$3460,7,0),"")</f>
        <v>2.4613</v>
      </c>
      <c r="H5738">
        <f>IFERROR(VLOOKUP($A5738,原始数据_利率互换_FR007_1年!$A$6:$C$4395,2,0),"")</f>
        <v>2.086</v>
      </c>
      <c r="I5738">
        <f>IFERROR(VLOOKUP($A5738,原始数据_利率互换_FR007_1年!$A$6:$C$4395,3,0),"")</f>
        <v>2.4655</v>
      </c>
    </row>
    <row r="5739" spans="1:9">
      <c r="A5739" s="6">
        <v>45232</v>
      </c>
      <c r="B5739">
        <f>IFERROR(VLOOKUP($A5739,原始数据_收盘!$A$4:$G$3460,2,0),"")</f>
        <v>2.04</v>
      </c>
      <c r="C5739">
        <f>IFERROR(VLOOKUP($A5739,原始数据_收盘!$A$4:$G$3460,3,0),"")</f>
        <v>2.4245</v>
      </c>
      <c r="D5739">
        <f>IFERROR(VLOOKUP($A5739,原始数据_收盘!$A$4:$G$3460,4,0),"")</f>
        <v>2.0441</v>
      </c>
      <c r="E5739">
        <f>IFERROR(VLOOKUP($A5739,原始数据_收盘!$A$4:$G$3460,5,0),"")</f>
        <v>2.4275</v>
      </c>
      <c r="F5739">
        <f>IFERROR(VLOOKUP($A5739,原始数据_收盘!$A$4:$G$3460,6,0),"")</f>
        <v>2.0421</v>
      </c>
      <c r="G5739">
        <f>IFERROR(VLOOKUP($A5739,原始数据_收盘!$A$4:$G$3460,7,0),"")</f>
        <v>2.426</v>
      </c>
      <c r="H5739">
        <f>IFERROR(VLOOKUP($A5739,原始数据_利率互换_FR007_1年!$A$6:$C$4395,2,0),"")</f>
        <v>2.0516</v>
      </c>
      <c r="I5739">
        <f>IFERROR(VLOOKUP($A5739,原始数据_利率互换_FR007_1年!$A$6:$C$4395,3,0),"")</f>
        <v>2.4391</v>
      </c>
    </row>
    <row r="5740" spans="1:9">
      <c r="A5740" s="6">
        <v>45233</v>
      </c>
      <c r="B5740">
        <f>IFERROR(VLOOKUP($A5740,原始数据_收盘!$A$4:$G$3460,2,0),"")</f>
        <v>2.0475</v>
      </c>
      <c r="C5740">
        <f>IFERROR(VLOOKUP($A5740,原始数据_收盘!$A$4:$G$3460,3,0),"")</f>
        <v>2.4375</v>
      </c>
      <c r="D5740">
        <f>IFERROR(VLOOKUP($A5740,原始数据_收盘!$A$4:$G$3460,4,0),"")</f>
        <v>2.05</v>
      </c>
      <c r="E5740">
        <f>IFERROR(VLOOKUP($A5740,原始数据_收盘!$A$4:$G$3460,5,0),"")</f>
        <v>2.44</v>
      </c>
      <c r="F5740">
        <f>IFERROR(VLOOKUP($A5740,原始数据_收盘!$A$4:$G$3460,6,0),"")</f>
        <v>2.0488</v>
      </c>
      <c r="G5740">
        <f>IFERROR(VLOOKUP($A5740,原始数据_收盘!$A$4:$G$3460,7,0),"")</f>
        <v>2.4388</v>
      </c>
      <c r="H5740">
        <f>IFERROR(VLOOKUP($A5740,原始数据_利率互换_FR007_1年!$A$6:$C$4395,2,0),"")</f>
        <v>2.0484</v>
      </c>
      <c r="I5740">
        <f>IFERROR(VLOOKUP($A5740,原始数据_利率互换_FR007_1年!$A$6:$C$4395,3,0),"")</f>
        <v>2.4415</v>
      </c>
    </row>
    <row r="5741" spans="1:9">
      <c r="A5741" s="6">
        <v>45234</v>
      </c>
      <c r="B5741" t="str">
        <f>IFERROR(VLOOKUP($A5741,原始数据_收盘!$A$4:$G$3460,2,0),"")</f>
        <v/>
      </c>
      <c r="C5741" t="str">
        <f>IFERROR(VLOOKUP($A5741,原始数据_收盘!$A$4:$G$3460,3,0),"")</f>
        <v/>
      </c>
      <c r="D5741" t="str">
        <f>IFERROR(VLOOKUP($A5741,原始数据_收盘!$A$4:$G$3460,4,0),"")</f>
        <v/>
      </c>
      <c r="E5741" t="str">
        <f>IFERROR(VLOOKUP($A5741,原始数据_收盘!$A$4:$G$3460,5,0),"")</f>
        <v/>
      </c>
      <c r="F5741" t="str">
        <f>IFERROR(VLOOKUP($A5741,原始数据_收盘!$A$4:$G$3460,6,0),"")</f>
        <v/>
      </c>
      <c r="G5741" t="str">
        <f>IFERROR(VLOOKUP($A5741,原始数据_收盘!$A$4:$G$3460,7,0),"")</f>
        <v/>
      </c>
      <c r="H5741" t="str">
        <f>IFERROR(VLOOKUP($A5741,原始数据_利率互换_FR007_1年!$A$6:$C$4395,2,0),"")</f>
        <v/>
      </c>
      <c r="I5741" t="str">
        <f>IFERROR(VLOOKUP($A5741,原始数据_利率互换_FR007_1年!$A$6:$C$4395,3,0),"")</f>
        <v/>
      </c>
    </row>
    <row r="5742" spans="1:9">
      <c r="A5742" s="6">
        <v>45235</v>
      </c>
      <c r="B5742" t="str">
        <f>IFERROR(VLOOKUP($A5742,原始数据_收盘!$A$4:$G$3460,2,0),"")</f>
        <v/>
      </c>
      <c r="C5742" t="str">
        <f>IFERROR(VLOOKUP($A5742,原始数据_收盘!$A$4:$G$3460,3,0),"")</f>
        <v/>
      </c>
      <c r="D5742" t="str">
        <f>IFERROR(VLOOKUP($A5742,原始数据_收盘!$A$4:$G$3460,4,0),"")</f>
        <v/>
      </c>
      <c r="E5742" t="str">
        <f>IFERROR(VLOOKUP($A5742,原始数据_收盘!$A$4:$G$3460,5,0),"")</f>
        <v/>
      </c>
      <c r="F5742" t="str">
        <f>IFERROR(VLOOKUP($A5742,原始数据_收盘!$A$4:$G$3460,6,0),"")</f>
        <v/>
      </c>
      <c r="G5742" t="str">
        <f>IFERROR(VLOOKUP($A5742,原始数据_收盘!$A$4:$G$3460,7,0),"")</f>
        <v/>
      </c>
      <c r="H5742" t="str">
        <f>IFERROR(VLOOKUP($A5742,原始数据_利率互换_FR007_1年!$A$6:$C$4395,2,0),"")</f>
        <v/>
      </c>
      <c r="I5742" t="str">
        <f>IFERROR(VLOOKUP($A5742,原始数据_利率互换_FR007_1年!$A$6:$C$4395,3,0),"")</f>
        <v/>
      </c>
    </row>
    <row r="5743" spans="1:9">
      <c r="A5743" s="6">
        <v>45236</v>
      </c>
      <c r="B5743">
        <f>IFERROR(VLOOKUP($A5743,原始数据_收盘!$A$4:$G$3460,2,0),"")</f>
        <v>2.0525</v>
      </c>
      <c r="C5743">
        <f>IFERROR(VLOOKUP($A5743,原始数据_收盘!$A$4:$G$3460,3,0),"")</f>
        <v>2.4324</v>
      </c>
      <c r="D5743">
        <f>IFERROR(VLOOKUP($A5743,原始数据_收盘!$A$4:$G$3460,4,0),"")</f>
        <v>2.055</v>
      </c>
      <c r="E5743">
        <f>IFERROR(VLOOKUP($A5743,原始数据_收盘!$A$4:$G$3460,5,0),"")</f>
        <v>2.4346</v>
      </c>
      <c r="F5743">
        <f>IFERROR(VLOOKUP($A5743,原始数据_收盘!$A$4:$G$3460,6,0),"")</f>
        <v>2.0538</v>
      </c>
      <c r="G5743">
        <f>IFERROR(VLOOKUP($A5743,原始数据_收盘!$A$4:$G$3460,7,0),"")</f>
        <v>2.4335</v>
      </c>
      <c r="H5743">
        <f>IFERROR(VLOOKUP($A5743,原始数据_利率互换_FR007_1年!$A$6:$C$4395,2,0),"")</f>
        <v>2.0545</v>
      </c>
      <c r="I5743">
        <f>IFERROR(VLOOKUP($A5743,原始数据_利率互换_FR007_1年!$A$6:$C$4395,3,0),"")</f>
        <v>2.4391</v>
      </c>
    </row>
    <row r="5744" spans="1:9">
      <c r="A5744" s="6">
        <v>45237</v>
      </c>
      <c r="B5744">
        <f>IFERROR(VLOOKUP($A5744,原始数据_收盘!$A$4:$G$3460,2,0),"")</f>
        <v>2.075</v>
      </c>
      <c r="C5744">
        <f>IFERROR(VLOOKUP($A5744,原始数据_收盘!$A$4:$G$3460,3,0),"")</f>
        <v>2.4465</v>
      </c>
      <c r="D5744">
        <f>IFERROR(VLOOKUP($A5744,原始数据_收盘!$A$4:$G$3460,4,0),"")</f>
        <v>2.08</v>
      </c>
      <c r="E5744">
        <f>IFERROR(VLOOKUP($A5744,原始数据_收盘!$A$4:$G$3460,5,0),"")</f>
        <v>2.45</v>
      </c>
      <c r="F5744">
        <f>IFERROR(VLOOKUP($A5744,原始数据_收盘!$A$4:$G$3460,6,0),"")</f>
        <v>2.0775</v>
      </c>
      <c r="G5744">
        <f>IFERROR(VLOOKUP($A5744,原始数据_收盘!$A$4:$G$3460,7,0),"")</f>
        <v>2.4483</v>
      </c>
      <c r="H5744">
        <f>IFERROR(VLOOKUP($A5744,原始数据_利率互换_FR007_1年!$A$6:$C$4395,2,0),"")</f>
        <v>2.0692</v>
      </c>
      <c r="I5744">
        <f>IFERROR(VLOOKUP($A5744,原始数据_利率互换_FR007_1年!$A$6:$C$4395,3,0),"")</f>
        <v>2.4395</v>
      </c>
    </row>
    <row r="5745" spans="1:9">
      <c r="A5745" s="6">
        <v>45238</v>
      </c>
      <c r="B5745">
        <f>IFERROR(VLOOKUP($A5745,原始数据_收盘!$A$4:$G$3460,2,0),"")</f>
        <v>2.0688</v>
      </c>
      <c r="C5745">
        <f>IFERROR(VLOOKUP($A5745,原始数据_收盘!$A$4:$G$3460,3,0),"")</f>
        <v>2.4275</v>
      </c>
      <c r="D5745">
        <f>IFERROR(VLOOKUP($A5745,原始数据_收盘!$A$4:$G$3460,4,0),"")</f>
        <v>2.0725</v>
      </c>
      <c r="E5745">
        <f>IFERROR(VLOOKUP($A5745,原始数据_收盘!$A$4:$G$3460,5,0),"")</f>
        <v>2.4302</v>
      </c>
      <c r="F5745">
        <f>IFERROR(VLOOKUP($A5745,原始数据_收盘!$A$4:$G$3460,6,0),"")</f>
        <v>2.0707</v>
      </c>
      <c r="G5745">
        <f>IFERROR(VLOOKUP($A5745,原始数据_收盘!$A$4:$G$3460,7,0),"")</f>
        <v>2.4288</v>
      </c>
      <c r="H5745">
        <f>IFERROR(VLOOKUP($A5745,原始数据_利率互换_FR007_1年!$A$6:$C$4395,2,0),"")</f>
        <v>2.0783</v>
      </c>
      <c r="I5745">
        <f>IFERROR(VLOOKUP($A5745,原始数据_利率互换_FR007_1年!$A$6:$C$4395,3,0),"")</f>
        <v>2.4431</v>
      </c>
    </row>
    <row r="5746" spans="1:9">
      <c r="A5746" s="6">
        <v>45239</v>
      </c>
      <c r="B5746">
        <f>IFERROR(VLOOKUP($A5746,原始数据_收盘!$A$4:$G$3460,2,0),"")</f>
        <v>2.07</v>
      </c>
      <c r="C5746">
        <f>IFERROR(VLOOKUP($A5746,原始数据_收盘!$A$4:$G$3460,3,0),"")</f>
        <v>2.42</v>
      </c>
      <c r="D5746">
        <f>IFERROR(VLOOKUP($A5746,原始数据_收盘!$A$4:$G$3460,4,0),"")</f>
        <v>2.075</v>
      </c>
      <c r="E5746">
        <f>IFERROR(VLOOKUP($A5746,原始数据_收盘!$A$4:$G$3460,5,0),"")</f>
        <v>2.4225</v>
      </c>
      <c r="F5746">
        <f>IFERROR(VLOOKUP($A5746,原始数据_收盘!$A$4:$G$3460,6,0),"")</f>
        <v>2.0725</v>
      </c>
      <c r="G5746">
        <f>IFERROR(VLOOKUP($A5746,原始数据_收盘!$A$4:$G$3460,7,0),"")</f>
        <v>2.4213</v>
      </c>
      <c r="H5746">
        <f>IFERROR(VLOOKUP($A5746,原始数据_利率互换_FR007_1年!$A$6:$C$4395,2,0),"")</f>
        <v>2.071</v>
      </c>
      <c r="I5746">
        <f>IFERROR(VLOOKUP($A5746,原始数据_利率互换_FR007_1年!$A$6:$C$4395,3,0),"")</f>
        <v>2.4228</v>
      </c>
    </row>
    <row r="5747" spans="1:9">
      <c r="A5747" s="6">
        <v>45240</v>
      </c>
      <c r="B5747">
        <f>IFERROR(VLOOKUP($A5747,原始数据_收盘!$A$4:$G$3460,2,0),"")</f>
        <v>2.0519</v>
      </c>
      <c r="C5747">
        <f>IFERROR(VLOOKUP($A5747,原始数据_收盘!$A$4:$G$3460,3,0),"")</f>
        <v>2.405</v>
      </c>
      <c r="D5747">
        <f>IFERROR(VLOOKUP($A5747,原始数据_收盘!$A$4:$G$3460,4,0),"")</f>
        <v>2.0548</v>
      </c>
      <c r="E5747">
        <f>IFERROR(VLOOKUP($A5747,原始数据_收盘!$A$4:$G$3460,5,0),"")</f>
        <v>2.41</v>
      </c>
      <c r="F5747">
        <f>IFERROR(VLOOKUP($A5747,原始数据_收盘!$A$4:$G$3460,6,0),"")</f>
        <v>2.0533</v>
      </c>
      <c r="G5747">
        <f>IFERROR(VLOOKUP($A5747,原始数据_收盘!$A$4:$G$3460,7,0),"")</f>
        <v>2.4075</v>
      </c>
      <c r="H5747">
        <f>IFERROR(VLOOKUP($A5747,原始数据_利率互换_FR007_1年!$A$6:$C$4395,2,0),"")</f>
        <v>2.0693</v>
      </c>
      <c r="I5747">
        <f>IFERROR(VLOOKUP($A5747,原始数据_利率互换_FR007_1年!$A$6:$C$4395,3,0),"")</f>
        <v>2.4223</v>
      </c>
    </row>
    <row r="5748" spans="1:9">
      <c r="A5748" s="6">
        <v>45241</v>
      </c>
      <c r="B5748" t="str">
        <f>IFERROR(VLOOKUP($A5748,原始数据_收盘!$A$4:$G$3460,2,0),"")</f>
        <v/>
      </c>
      <c r="C5748" t="str">
        <f>IFERROR(VLOOKUP($A5748,原始数据_收盘!$A$4:$G$3460,3,0),"")</f>
        <v/>
      </c>
      <c r="D5748" t="str">
        <f>IFERROR(VLOOKUP($A5748,原始数据_收盘!$A$4:$G$3460,4,0),"")</f>
        <v/>
      </c>
      <c r="E5748" t="str">
        <f>IFERROR(VLOOKUP($A5748,原始数据_收盘!$A$4:$G$3460,5,0),"")</f>
        <v/>
      </c>
      <c r="F5748" t="str">
        <f>IFERROR(VLOOKUP($A5748,原始数据_收盘!$A$4:$G$3460,6,0),"")</f>
        <v/>
      </c>
      <c r="G5748" t="str">
        <f>IFERROR(VLOOKUP($A5748,原始数据_收盘!$A$4:$G$3460,7,0),"")</f>
        <v/>
      </c>
      <c r="H5748" t="str">
        <f>IFERROR(VLOOKUP($A5748,原始数据_利率互换_FR007_1年!$A$6:$C$4395,2,0),"")</f>
        <v/>
      </c>
      <c r="I5748" t="str">
        <f>IFERROR(VLOOKUP($A5748,原始数据_利率互换_FR007_1年!$A$6:$C$4395,3,0),"")</f>
        <v/>
      </c>
    </row>
    <row r="5749" spans="1:9">
      <c r="A5749" s="6">
        <v>45242</v>
      </c>
      <c r="B5749" t="str">
        <f>IFERROR(VLOOKUP($A5749,原始数据_收盘!$A$4:$G$3460,2,0),"")</f>
        <v/>
      </c>
      <c r="C5749" t="str">
        <f>IFERROR(VLOOKUP($A5749,原始数据_收盘!$A$4:$G$3460,3,0),"")</f>
        <v/>
      </c>
      <c r="D5749" t="str">
        <f>IFERROR(VLOOKUP($A5749,原始数据_收盘!$A$4:$G$3460,4,0),"")</f>
        <v/>
      </c>
      <c r="E5749" t="str">
        <f>IFERROR(VLOOKUP($A5749,原始数据_收盘!$A$4:$G$3460,5,0),"")</f>
        <v/>
      </c>
      <c r="F5749" t="str">
        <f>IFERROR(VLOOKUP($A5749,原始数据_收盘!$A$4:$G$3460,6,0),"")</f>
        <v/>
      </c>
      <c r="G5749" t="str">
        <f>IFERROR(VLOOKUP($A5749,原始数据_收盘!$A$4:$G$3460,7,0),"")</f>
        <v/>
      </c>
      <c r="H5749" t="str">
        <f>IFERROR(VLOOKUP($A5749,原始数据_利率互换_FR007_1年!$A$6:$C$4395,2,0),"")</f>
        <v/>
      </c>
      <c r="I5749" t="str">
        <f>IFERROR(VLOOKUP($A5749,原始数据_利率互换_FR007_1年!$A$6:$C$4395,3,0),"")</f>
        <v/>
      </c>
    </row>
    <row r="5750" spans="1:9">
      <c r="A5750" s="6">
        <v>45243</v>
      </c>
      <c r="B5750">
        <f>IFERROR(VLOOKUP($A5750,原始数据_收盘!$A$4:$G$3460,2,0),"")</f>
        <v>2.05</v>
      </c>
      <c r="C5750">
        <f>IFERROR(VLOOKUP($A5750,原始数据_收盘!$A$4:$G$3460,3,0),"")</f>
        <v>2.3975</v>
      </c>
      <c r="D5750">
        <f>IFERROR(VLOOKUP($A5750,原始数据_收盘!$A$4:$G$3460,4,0),"")</f>
        <v>2.0537</v>
      </c>
      <c r="E5750">
        <f>IFERROR(VLOOKUP($A5750,原始数据_收盘!$A$4:$G$3460,5,0),"")</f>
        <v>2.4007</v>
      </c>
      <c r="F5750">
        <f>IFERROR(VLOOKUP($A5750,原始数据_收盘!$A$4:$G$3460,6,0),"")</f>
        <v>2.0518</v>
      </c>
      <c r="G5750">
        <f>IFERROR(VLOOKUP($A5750,原始数据_收盘!$A$4:$G$3460,7,0),"")</f>
        <v>2.3991</v>
      </c>
      <c r="H5750">
        <f>IFERROR(VLOOKUP($A5750,原始数据_利率互换_FR007_1年!$A$6:$C$4395,2,0),"")</f>
        <v>2.0534</v>
      </c>
      <c r="I5750">
        <f>IFERROR(VLOOKUP($A5750,原始数据_利率互换_FR007_1年!$A$6:$C$4395,3,0),"")</f>
        <v>2.4036</v>
      </c>
    </row>
    <row r="5751" spans="1:9">
      <c r="A5751" s="6">
        <v>45244</v>
      </c>
      <c r="B5751">
        <f>IFERROR(VLOOKUP($A5751,原始数据_收盘!$A$4:$G$3460,2,0),"")</f>
        <v>2.0575</v>
      </c>
      <c r="C5751">
        <f>IFERROR(VLOOKUP($A5751,原始数据_收盘!$A$4:$G$3460,3,0),"")</f>
        <v>2.4075</v>
      </c>
      <c r="D5751">
        <f>IFERROR(VLOOKUP($A5751,原始数据_收盘!$A$4:$G$3460,4,0),"")</f>
        <v>2.06</v>
      </c>
      <c r="E5751">
        <f>IFERROR(VLOOKUP($A5751,原始数据_收盘!$A$4:$G$3460,5,0),"")</f>
        <v>2.41</v>
      </c>
      <c r="F5751">
        <f>IFERROR(VLOOKUP($A5751,原始数据_收盘!$A$4:$G$3460,6,0),"")</f>
        <v>2.0588</v>
      </c>
      <c r="G5751">
        <f>IFERROR(VLOOKUP($A5751,原始数据_收盘!$A$4:$G$3460,7,0),"")</f>
        <v>2.4088</v>
      </c>
      <c r="H5751">
        <f>IFERROR(VLOOKUP($A5751,原始数据_利率互换_FR007_1年!$A$6:$C$4395,2,0),"")</f>
        <v>2.0639</v>
      </c>
      <c r="I5751">
        <f>IFERROR(VLOOKUP($A5751,原始数据_利率互换_FR007_1年!$A$6:$C$4395,3,0),"")</f>
        <v>2.4125</v>
      </c>
    </row>
    <row r="5752" spans="1:9">
      <c r="A5752" s="6">
        <v>45245</v>
      </c>
      <c r="B5752">
        <f>IFERROR(VLOOKUP($A5752,原始数据_收盘!$A$4:$G$3460,2,0),"")</f>
        <v>2.06</v>
      </c>
      <c r="C5752">
        <f>IFERROR(VLOOKUP($A5752,原始数据_收盘!$A$4:$G$3460,3,0),"")</f>
        <v>2.4145</v>
      </c>
      <c r="D5752">
        <f>IFERROR(VLOOKUP($A5752,原始数据_收盘!$A$4:$G$3460,4,0),"")</f>
        <v>2.065</v>
      </c>
      <c r="E5752">
        <f>IFERROR(VLOOKUP($A5752,原始数据_收盘!$A$4:$G$3460,5,0),"")</f>
        <v>2.4175</v>
      </c>
      <c r="F5752">
        <f>IFERROR(VLOOKUP($A5752,原始数据_收盘!$A$4:$G$3460,6,0),"")</f>
        <v>2.0625</v>
      </c>
      <c r="G5752">
        <f>IFERROR(VLOOKUP($A5752,原始数据_收盘!$A$4:$G$3460,7,0),"")</f>
        <v>2.416</v>
      </c>
      <c r="H5752">
        <f>IFERROR(VLOOKUP($A5752,原始数据_利率互换_FR007_1年!$A$6:$C$4395,2,0),"")</f>
        <v>2.0645</v>
      </c>
      <c r="I5752">
        <f>IFERROR(VLOOKUP($A5752,原始数据_利率互换_FR007_1年!$A$6:$C$4395,3,0),"")</f>
        <v>2.4214</v>
      </c>
    </row>
    <row r="5753" spans="1:9">
      <c r="A5753" s="6">
        <v>45246</v>
      </c>
      <c r="B5753">
        <f>IFERROR(VLOOKUP($A5753,原始数据_收盘!$A$4:$G$3460,2,0),"")</f>
        <v>2.0625</v>
      </c>
      <c r="C5753">
        <f>IFERROR(VLOOKUP($A5753,原始数据_收盘!$A$4:$G$3460,3,0),"")</f>
        <v>2.4075</v>
      </c>
      <c r="D5753">
        <f>IFERROR(VLOOKUP($A5753,原始数据_收盘!$A$4:$G$3460,4,0),"")</f>
        <v>2.065</v>
      </c>
      <c r="E5753">
        <f>IFERROR(VLOOKUP($A5753,原始数据_收盘!$A$4:$G$3460,5,0),"")</f>
        <v>2.41</v>
      </c>
      <c r="F5753">
        <f>IFERROR(VLOOKUP($A5753,原始数据_收盘!$A$4:$G$3460,6,0),"")</f>
        <v>2.0638</v>
      </c>
      <c r="G5753">
        <f>IFERROR(VLOOKUP($A5753,原始数据_收盘!$A$4:$G$3460,7,0),"")</f>
        <v>2.4088</v>
      </c>
      <c r="H5753">
        <f>IFERROR(VLOOKUP($A5753,原始数据_利率互换_FR007_1年!$A$6:$C$4395,2,0),"")</f>
        <v>2.0637</v>
      </c>
      <c r="I5753">
        <f>IFERROR(VLOOKUP($A5753,原始数据_利率互换_FR007_1年!$A$6:$C$4395,3,0),"")</f>
        <v>2.4097</v>
      </c>
    </row>
    <row r="5754" spans="1:9">
      <c r="A5754" s="6">
        <v>45247</v>
      </c>
      <c r="B5754">
        <f>IFERROR(VLOOKUP($A5754,原始数据_收盘!$A$4:$G$3460,2,0),"")</f>
        <v>2.065</v>
      </c>
      <c r="C5754">
        <f>IFERROR(VLOOKUP($A5754,原始数据_收盘!$A$4:$G$3460,3,0),"")</f>
        <v>2.4075</v>
      </c>
      <c r="D5754">
        <f>IFERROR(VLOOKUP($A5754,原始数据_收盘!$A$4:$G$3460,4,0),"")</f>
        <v>2.0675</v>
      </c>
      <c r="E5754">
        <f>IFERROR(VLOOKUP($A5754,原始数据_收盘!$A$4:$G$3460,5,0),"")</f>
        <v>2.41</v>
      </c>
      <c r="F5754">
        <f>IFERROR(VLOOKUP($A5754,原始数据_收盘!$A$4:$G$3460,6,0),"")</f>
        <v>2.0663</v>
      </c>
      <c r="G5754">
        <f>IFERROR(VLOOKUP($A5754,原始数据_收盘!$A$4:$G$3460,7,0),"")</f>
        <v>2.4088</v>
      </c>
      <c r="H5754">
        <f>IFERROR(VLOOKUP($A5754,原始数据_利率互换_FR007_1年!$A$6:$C$4395,2,0),"")</f>
        <v>2.0651</v>
      </c>
      <c r="I5754">
        <f>IFERROR(VLOOKUP($A5754,原始数据_利率互换_FR007_1年!$A$6:$C$4395,3,0),"")</f>
        <v>2.4087</v>
      </c>
    </row>
    <row r="5755" spans="1:9">
      <c r="A5755" s="6">
        <v>45248</v>
      </c>
      <c r="B5755" t="str">
        <f>IFERROR(VLOOKUP($A5755,原始数据_收盘!$A$4:$G$3460,2,0),"")</f>
        <v/>
      </c>
      <c r="C5755" t="str">
        <f>IFERROR(VLOOKUP($A5755,原始数据_收盘!$A$4:$G$3460,3,0),"")</f>
        <v/>
      </c>
      <c r="D5755" t="str">
        <f>IFERROR(VLOOKUP($A5755,原始数据_收盘!$A$4:$G$3460,4,0),"")</f>
        <v/>
      </c>
      <c r="E5755" t="str">
        <f>IFERROR(VLOOKUP($A5755,原始数据_收盘!$A$4:$G$3460,5,0),"")</f>
        <v/>
      </c>
      <c r="F5755" t="str">
        <f>IFERROR(VLOOKUP($A5755,原始数据_收盘!$A$4:$G$3460,6,0),"")</f>
        <v/>
      </c>
      <c r="G5755" t="str">
        <f>IFERROR(VLOOKUP($A5755,原始数据_收盘!$A$4:$G$3460,7,0),"")</f>
        <v/>
      </c>
      <c r="H5755" t="str">
        <f>IFERROR(VLOOKUP($A5755,原始数据_利率互换_FR007_1年!$A$6:$C$4395,2,0),"")</f>
        <v/>
      </c>
      <c r="I5755" t="str">
        <f>IFERROR(VLOOKUP($A5755,原始数据_利率互换_FR007_1年!$A$6:$C$4395,3,0),"")</f>
        <v/>
      </c>
    </row>
    <row r="5756" spans="1:9">
      <c r="A5756" s="6">
        <v>45249</v>
      </c>
      <c r="B5756" t="str">
        <f>IFERROR(VLOOKUP($A5756,原始数据_收盘!$A$4:$G$3460,2,0),"")</f>
        <v/>
      </c>
      <c r="C5756" t="str">
        <f>IFERROR(VLOOKUP($A5756,原始数据_收盘!$A$4:$G$3460,3,0),"")</f>
        <v/>
      </c>
      <c r="D5756" t="str">
        <f>IFERROR(VLOOKUP($A5756,原始数据_收盘!$A$4:$G$3460,4,0),"")</f>
        <v/>
      </c>
      <c r="E5756" t="str">
        <f>IFERROR(VLOOKUP($A5756,原始数据_收盘!$A$4:$G$3460,5,0),"")</f>
        <v/>
      </c>
      <c r="F5756" t="str">
        <f>IFERROR(VLOOKUP($A5756,原始数据_收盘!$A$4:$G$3460,6,0),"")</f>
        <v/>
      </c>
      <c r="G5756" t="str">
        <f>IFERROR(VLOOKUP($A5756,原始数据_收盘!$A$4:$G$3460,7,0),"")</f>
        <v/>
      </c>
      <c r="H5756" t="str">
        <f>IFERROR(VLOOKUP($A5756,原始数据_利率互换_FR007_1年!$A$6:$C$4395,2,0),"")</f>
        <v/>
      </c>
      <c r="I5756" t="str">
        <f>IFERROR(VLOOKUP($A5756,原始数据_利率互换_FR007_1年!$A$6:$C$4395,3,0),"")</f>
        <v/>
      </c>
    </row>
    <row r="5757" spans="1:9">
      <c r="A5757" s="6">
        <v>45250</v>
      </c>
      <c r="B5757">
        <f>IFERROR(VLOOKUP($A5757,原始数据_收盘!$A$4:$G$3460,2,0),"")</f>
        <v>2.0775</v>
      </c>
      <c r="C5757">
        <f>IFERROR(VLOOKUP($A5757,原始数据_收盘!$A$4:$G$3460,3,0),"")</f>
        <v>2.4127</v>
      </c>
      <c r="D5757">
        <f>IFERROR(VLOOKUP($A5757,原始数据_收盘!$A$4:$G$3460,4,0),"")</f>
        <v>2.0812</v>
      </c>
      <c r="E5757">
        <f>IFERROR(VLOOKUP($A5757,原始数据_收盘!$A$4:$G$3460,5,0),"")</f>
        <v>2.4152</v>
      </c>
      <c r="F5757">
        <f>IFERROR(VLOOKUP($A5757,原始数据_收盘!$A$4:$G$3460,6,0),"")</f>
        <v>2.0793</v>
      </c>
      <c r="G5757">
        <f>IFERROR(VLOOKUP($A5757,原始数据_收盘!$A$4:$G$3460,7,0),"")</f>
        <v>2.4139</v>
      </c>
      <c r="H5757">
        <f>IFERROR(VLOOKUP($A5757,原始数据_利率互换_FR007_1年!$A$6:$C$4395,2,0),"")</f>
        <v>2.0781</v>
      </c>
      <c r="I5757">
        <f>IFERROR(VLOOKUP($A5757,原始数据_利率互换_FR007_1年!$A$6:$C$4395,3,0),"")</f>
        <v>2.4187</v>
      </c>
    </row>
    <row r="5758" spans="1:9">
      <c r="A5758" s="6">
        <v>45251</v>
      </c>
      <c r="B5758">
        <f>IFERROR(VLOOKUP($A5758,原始数据_收盘!$A$4:$G$3460,2,0),"")</f>
        <v>2.0975</v>
      </c>
      <c r="C5758">
        <f>IFERROR(VLOOKUP($A5758,原始数据_收盘!$A$4:$G$3460,3,0),"")</f>
        <v>2.43</v>
      </c>
      <c r="D5758">
        <f>IFERROR(VLOOKUP($A5758,原始数据_收盘!$A$4:$G$3460,4,0),"")</f>
        <v>2.1</v>
      </c>
      <c r="E5758">
        <f>IFERROR(VLOOKUP($A5758,原始数据_收盘!$A$4:$G$3460,5,0),"")</f>
        <v>2.4325</v>
      </c>
      <c r="F5758">
        <f>IFERROR(VLOOKUP($A5758,原始数据_收盘!$A$4:$G$3460,6,0),"")</f>
        <v>2.0988</v>
      </c>
      <c r="G5758">
        <f>IFERROR(VLOOKUP($A5758,原始数据_收盘!$A$4:$G$3460,7,0),"")</f>
        <v>2.4313</v>
      </c>
      <c r="H5758">
        <f>IFERROR(VLOOKUP($A5758,原始数据_利率互换_FR007_1年!$A$6:$C$4395,2,0),"")</f>
        <v>2.096</v>
      </c>
      <c r="I5758">
        <f>IFERROR(VLOOKUP($A5758,原始数据_利率互换_FR007_1年!$A$6:$C$4395,3,0),"")</f>
        <v>2.4322</v>
      </c>
    </row>
    <row r="5759" spans="1:9">
      <c r="A5759" s="6">
        <v>45252</v>
      </c>
      <c r="B5759">
        <f>IFERROR(VLOOKUP($A5759,原始数据_收盘!$A$4:$G$3460,2,0),"")</f>
        <v>2.1175</v>
      </c>
      <c r="C5759">
        <f>IFERROR(VLOOKUP($A5759,原始数据_收盘!$A$4:$G$3460,3,0),"")</f>
        <v>2.4425</v>
      </c>
      <c r="D5759">
        <f>IFERROR(VLOOKUP($A5759,原始数据_收盘!$A$4:$G$3460,4,0),"")</f>
        <v>2.12</v>
      </c>
      <c r="E5759">
        <f>IFERROR(VLOOKUP($A5759,原始数据_收盘!$A$4:$G$3460,5,0),"")</f>
        <v>2.445</v>
      </c>
      <c r="F5759">
        <f>IFERROR(VLOOKUP($A5759,原始数据_收盘!$A$4:$G$3460,6,0),"")</f>
        <v>2.1188</v>
      </c>
      <c r="G5759">
        <f>IFERROR(VLOOKUP($A5759,原始数据_收盘!$A$4:$G$3460,7,0),"")</f>
        <v>2.4438</v>
      </c>
      <c r="H5759">
        <f>IFERROR(VLOOKUP($A5759,原始数据_利率互换_FR007_1年!$A$6:$C$4395,2,0),"")</f>
        <v>2.1167</v>
      </c>
      <c r="I5759">
        <f>IFERROR(VLOOKUP($A5759,原始数据_利率互换_FR007_1年!$A$6:$C$4395,3,0),"")</f>
        <v>2.4423</v>
      </c>
    </row>
    <row r="5760" spans="1:9">
      <c r="A5760" s="6">
        <v>45253</v>
      </c>
      <c r="B5760">
        <f>IFERROR(VLOOKUP($A5760,原始数据_收盘!$A$4:$G$3460,2,0),"")</f>
        <v>2.1355</v>
      </c>
      <c r="C5760">
        <f>IFERROR(VLOOKUP($A5760,原始数据_收盘!$A$4:$G$3460,3,0),"")</f>
        <v>2.4775</v>
      </c>
      <c r="D5760">
        <f>IFERROR(VLOOKUP($A5760,原始数据_收盘!$A$4:$G$3460,4,0),"")</f>
        <v>2.1388</v>
      </c>
      <c r="E5760">
        <f>IFERROR(VLOOKUP($A5760,原始数据_收盘!$A$4:$G$3460,5,0),"")</f>
        <v>2.4808</v>
      </c>
      <c r="F5760">
        <f>IFERROR(VLOOKUP($A5760,原始数据_收盘!$A$4:$G$3460,6,0),"")</f>
        <v>2.1371</v>
      </c>
      <c r="G5760">
        <f>IFERROR(VLOOKUP($A5760,原始数据_收盘!$A$4:$G$3460,7,0),"")</f>
        <v>2.4792</v>
      </c>
      <c r="H5760">
        <f>IFERROR(VLOOKUP($A5760,原始数据_利率互换_FR007_1年!$A$6:$C$4395,2,0),"")</f>
        <v>2.1343</v>
      </c>
      <c r="I5760">
        <f>IFERROR(VLOOKUP($A5760,原始数据_利率互换_FR007_1年!$A$6:$C$4395,3,0),"")</f>
        <v>2.4745</v>
      </c>
    </row>
    <row r="5761" spans="1:9">
      <c r="A5761" s="6">
        <v>45254</v>
      </c>
      <c r="B5761">
        <f>IFERROR(VLOOKUP($A5761,原始数据_收盘!$A$4:$G$3460,2,0),"")</f>
        <v>2.1531</v>
      </c>
      <c r="C5761">
        <f>IFERROR(VLOOKUP($A5761,原始数据_收盘!$A$4:$G$3460,3,0),"")</f>
        <v>2.4803</v>
      </c>
      <c r="D5761">
        <f>IFERROR(VLOOKUP($A5761,原始数据_收盘!$A$4:$G$3460,4,0),"")</f>
        <v>2.1575</v>
      </c>
      <c r="E5761">
        <f>IFERROR(VLOOKUP($A5761,原始数据_收盘!$A$4:$G$3460,5,0),"")</f>
        <v>2.485</v>
      </c>
      <c r="F5761">
        <f>IFERROR(VLOOKUP($A5761,原始数据_收盘!$A$4:$G$3460,6,0),"")</f>
        <v>2.1553</v>
      </c>
      <c r="G5761">
        <f>IFERROR(VLOOKUP($A5761,原始数据_收盘!$A$4:$G$3460,7,0),"")</f>
        <v>2.4827</v>
      </c>
      <c r="H5761">
        <f>IFERROR(VLOOKUP($A5761,原始数据_利率互换_FR007_1年!$A$6:$C$4395,2,0),"")</f>
        <v>2.1393</v>
      </c>
      <c r="I5761">
        <f>IFERROR(VLOOKUP($A5761,原始数据_利率互换_FR007_1年!$A$6:$C$4395,3,0),"")</f>
        <v>2.4763</v>
      </c>
    </row>
    <row r="5762" spans="1:9">
      <c r="A5762" s="6">
        <v>45255</v>
      </c>
      <c r="B5762" t="str">
        <f>IFERROR(VLOOKUP($A5762,原始数据_收盘!$A$4:$G$3460,2,0),"")</f>
        <v/>
      </c>
      <c r="C5762" t="str">
        <f>IFERROR(VLOOKUP($A5762,原始数据_收盘!$A$4:$G$3460,3,0),"")</f>
        <v/>
      </c>
      <c r="D5762" t="str">
        <f>IFERROR(VLOOKUP($A5762,原始数据_收盘!$A$4:$G$3460,4,0),"")</f>
        <v/>
      </c>
      <c r="E5762" t="str">
        <f>IFERROR(VLOOKUP($A5762,原始数据_收盘!$A$4:$G$3460,5,0),"")</f>
        <v/>
      </c>
      <c r="F5762" t="str">
        <f>IFERROR(VLOOKUP($A5762,原始数据_收盘!$A$4:$G$3460,6,0),"")</f>
        <v/>
      </c>
      <c r="G5762" t="str">
        <f>IFERROR(VLOOKUP($A5762,原始数据_收盘!$A$4:$G$3460,7,0),"")</f>
        <v/>
      </c>
      <c r="H5762" t="str">
        <f>IFERROR(VLOOKUP($A5762,原始数据_利率互换_FR007_1年!$A$6:$C$4395,2,0),"")</f>
        <v/>
      </c>
      <c r="I5762" t="str">
        <f>IFERROR(VLOOKUP($A5762,原始数据_利率互换_FR007_1年!$A$6:$C$4395,3,0),"")</f>
        <v/>
      </c>
    </row>
    <row r="5763" spans="1:9">
      <c r="A5763" s="6">
        <v>45256</v>
      </c>
      <c r="B5763" t="str">
        <f>IFERROR(VLOOKUP($A5763,原始数据_收盘!$A$4:$G$3460,2,0),"")</f>
        <v/>
      </c>
      <c r="C5763" t="str">
        <f>IFERROR(VLOOKUP($A5763,原始数据_收盘!$A$4:$G$3460,3,0),"")</f>
        <v/>
      </c>
      <c r="D5763" t="str">
        <f>IFERROR(VLOOKUP($A5763,原始数据_收盘!$A$4:$G$3460,4,0),"")</f>
        <v/>
      </c>
      <c r="E5763" t="str">
        <f>IFERROR(VLOOKUP($A5763,原始数据_收盘!$A$4:$G$3460,5,0),"")</f>
        <v/>
      </c>
      <c r="F5763" t="str">
        <f>IFERROR(VLOOKUP($A5763,原始数据_收盘!$A$4:$G$3460,6,0),"")</f>
        <v/>
      </c>
      <c r="G5763" t="str">
        <f>IFERROR(VLOOKUP($A5763,原始数据_收盘!$A$4:$G$3460,7,0),"")</f>
        <v/>
      </c>
      <c r="H5763" t="str">
        <f>IFERROR(VLOOKUP($A5763,原始数据_利率互换_FR007_1年!$A$6:$C$4395,2,0),"")</f>
        <v/>
      </c>
      <c r="I5763" t="str">
        <f>IFERROR(VLOOKUP($A5763,原始数据_利率互换_FR007_1年!$A$6:$C$4395,3,0),"")</f>
        <v/>
      </c>
    </row>
    <row r="5764" spans="1:9">
      <c r="A5764" s="6">
        <v>45257</v>
      </c>
      <c r="B5764">
        <f>IFERROR(VLOOKUP($A5764,原始数据_收盘!$A$4:$G$3460,2,0),"")</f>
        <v>2.193</v>
      </c>
      <c r="C5764">
        <f>IFERROR(VLOOKUP($A5764,原始数据_收盘!$A$4:$G$3460,3,0),"")</f>
        <v>2.5021</v>
      </c>
      <c r="D5764">
        <f>IFERROR(VLOOKUP($A5764,原始数据_收盘!$A$4:$G$3460,4,0),"")</f>
        <v>2.1963</v>
      </c>
      <c r="E5764">
        <f>IFERROR(VLOOKUP($A5764,原始数据_收盘!$A$4:$G$3460,5,0),"")</f>
        <v>2.5046</v>
      </c>
      <c r="F5764">
        <f>IFERROR(VLOOKUP($A5764,原始数据_收盘!$A$4:$G$3460,6,0),"")</f>
        <v>2.1946</v>
      </c>
      <c r="G5764">
        <f>IFERROR(VLOOKUP($A5764,原始数据_收盘!$A$4:$G$3460,7,0),"")</f>
        <v>2.5034</v>
      </c>
      <c r="H5764">
        <f>IFERROR(VLOOKUP($A5764,原始数据_利率互换_FR007_1年!$A$6:$C$4395,2,0),"")</f>
        <v>2.179</v>
      </c>
      <c r="I5764">
        <f>IFERROR(VLOOKUP($A5764,原始数据_利率互换_FR007_1年!$A$6:$C$4395,3,0),"")</f>
        <v>2.495</v>
      </c>
    </row>
    <row r="5765" spans="1:9">
      <c r="A5765" s="6">
        <v>45258</v>
      </c>
      <c r="B5765">
        <f>IFERROR(VLOOKUP($A5765,原始数据_收盘!$A$4:$G$3460,2,0),"")</f>
        <v>2.1556</v>
      </c>
      <c r="C5765">
        <f>IFERROR(VLOOKUP($A5765,原始数据_收盘!$A$4:$G$3460,3,0),"")</f>
        <v>2.4675</v>
      </c>
      <c r="D5765">
        <f>IFERROR(VLOOKUP($A5765,原始数据_收盘!$A$4:$G$3460,4,0),"")</f>
        <v>2.16</v>
      </c>
      <c r="E5765">
        <f>IFERROR(VLOOKUP($A5765,原始数据_收盘!$A$4:$G$3460,5,0),"")</f>
        <v>2.47</v>
      </c>
      <c r="F5765">
        <f>IFERROR(VLOOKUP($A5765,原始数据_收盘!$A$4:$G$3460,6,0),"")</f>
        <v>2.1578</v>
      </c>
      <c r="G5765">
        <f>IFERROR(VLOOKUP($A5765,原始数据_收盘!$A$4:$G$3460,7,0),"")</f>
        <v>2.4688</v>
      </c>
      <c r="H5765">
        <f>IFERROR(VLOOKUP($A5765,原始数据_利率互换_FR007_1年!$A$6:$C$4395,2,0),"")</f>
        <v>2.1637</v>
      </c>
      <c r="I5765">
        <f>IFERROR(VLOOKUP($A5765,原始数据_利率互换_FR007_1年!$A$6:$C$4395,3,0),"")</f>
        <v>2.4751</v>
      </c>
    </row>
    <row r="5766" spans="1:9">
      <c r="A5766" s="6">
        <v>45259</v>
      </c>
      <c r="B5766">
        <f>IFERROR(VLOOKUP($A5766,原始数据_收盘!$A$4:$G$3460,2,0),"")</f>
        <v>2.165</v>
      </c>
      <c r="C5766">
        <f>IFERROR(VLOOKUP($A5766,原始数据_收盘!$A$4:$G$3460,3,0),"")</f>
        <v>2.46</v>
      </c>
      <c r="D5766">
        <f>IFERROR(VLOOKUP($A5766,原始数据_收盘!$A$4:$G$3460,4,0),"")</f>
        <v>2.1675</v>
      </c>
      <c r="E5766">
        <f>IFERROR(VLOOKUP($A5766,原始数据_收盘!$A$4:$G$3460,5,0),"")</f>
        <v>2.4625</v>
      </c>
      <c r="F5766">
        <f>IFERROR(VLOOKUP($A5766,原始数据_收盘!$A$4:$G$3460,6,0),"")</f>
        <v>2.1663</v>
      </c>
      <c r="G5766">
        <f>IFERROR(VLOOKUP($A5766,原始数据_收盘!$A$4:$G$3460,7,0),"")</f>
        <v>2.4613</v>
      </c>
      <c r="H5766">
        <f>IFERROR(VLOOKUP($A5766,原始数据_利率互换_FR007_1年!$A$6:$C$4395,2,0),"")</f>
        <v>2.1634</v>
      </c>
      <c r="I5766">
        <f>IFERROR(VLOOKUP($A5766,原始数据_利率互换_FR007_1年!$A$6:$C$4395,3,0),"")</f>
        <v>2.4624</v>
      </c>
    </row>
    <row r="5767" spans="1:9">
      <c r="A5767" s="6">
        <v>45260</v>
      </c>
      <c r="B5767">
        <f>IFERROR(VLOOKUP($A5767,原始数据_收盘!$A$4:$G$3460,2,0),"")</f>
        <v>2.13</v>
      </c>
      <c r="C5767">
        <f>IFERROR(VLOOKUP($A5767,原始数据_收盘!$A$4:$G$3460,3,0),"")</f>
        <v>2.4524</v>
      </c>
      <c r="D5767">
        <f>IFERROR(VLOOKUP($A5767,原始数据_收盘!$A$4:$G$3460,4,0),"")</f>
        <v>2.1326</v>
      </c>
      <c r="E5767">
        <f>IFERROR(VLOOKUP($A5767,原始数据_收盘!$A$4:$G$3460,5,0),"")</f>
        <v>2.455</v>
      </c>
      <c r="F5767">
        <f>IFERROR(VLOOKUP($A5767,原始数据_收盘!$A$4:$G$3460,6,0),"")</f>
        <v>2.1313</v>
      </c>
      <c r="G5767">
        <f>IFERROR(VLOOKUP($A5767,原始数据_收盘!$A$4:$G$3460,7,0),"")</f>
        <v>2.4537</v>
      </c>
      <c r="H5767">
        <f>IFERROR(VLOOKUP($A5767,原始数据_利率互换_FR007_1年!$A$6:$C$4395,2,0),"")</f>
        <v>2.133</v>
      </c>
      <c r="I5767">
        <f>IFERROR(VLOOKUP($A5767,原始数据_利率互换_FR007_1年!$A$6:$C$4395,3,0),"")</f>
        <v>2.4491</v>
      </c>
    </row>
    <row r="5768" spans="1:9">
      <c r="A5768" s="6">
        <v>45261</v>
      </c>
      <c r="B5768">
        <f>IFERROR(VLOOKUP($A5768,原始数据_收盘!$A$4:$G$3460,2,0),"")</f>
        <v>2.12</v>
      </c>
      <c r="C5768">
        <f>IFERROR(VLOOKUP($A5768,原始数据_收盘!$A$4:$G$3460,3,0),"")</f>
        <v>2.4475</v>
      </c>
      <c r="D5768">
        <f>IFERROR(VLOOKUP($A5768,原始数据_收盘!$A$4:$G$3460,4,0),"")</f>
        <v>2.1235</v>
      </c>
      <c r="E5768">
        <f>IFERROR(VLOOKUP($A5768,原始数据_收盘!$A$4:$G$3460,5,0),"")</f>
        <v>2.45</v>
      </c>
      <c r="F5768">
        <f>IFERROR(VLOOKUP($A5768,原始数据_收盘!$A$4:$G$3460,6,0),"")</f>
        <v>2.1218</v>
      </c>
      <c r="G5768">
        <f>IFERROR(VLOOKUP($A5768,原始数据_收盘!$A$4:$G$3460,7,0),"")</f>
        <v>2.4488</v>
      </c>
      <c r="H5768">
        <f>IFERROR(VLOOKUP($A5768,原始数据_利率互换_FR007_1年!$A$6:$C$4395,2,0),"")</f>
        <v>2.1199</v>
      </c>
      <c r="I5768">
        <f>IFERROR(VLOOKUP($A5768,原始数据_利率互换_FR007_1年!$A$6:$C$4395,3,0),"")</f>
        <v>2.4516</v>
      </c>
    </row>
    <row r="5769" spans="1:9">
      <c r="A5769" s="6">
        <v>45262</v>
      </c>
      <c r="B5769" t="str">
        <f>IFERROR(VLOOKUP($A5769,原始数据_收盘!$A$4:$G$3460,2,0),"")</f>
        <v/>
      </c>
      <c r="C5769" t="str">
        <f>IFERROR(VLOOKUP($A5769,原始数据_收盘!$A$4:$G$3460,3,0),"")</f>
        <v/>
      </c>
      <c r="D5769" t="str">
        <f>IFERROR(VLOOKUP($A5769,原始数据_收盘!$A$4:$G$3460,4,0),"")</f>
        <v/>
      </c>
      <c r="E5769" t="str">
        <f>IFERROR(VLOOKUP($A5769,原始数据_收盘!$A$4:$G$3460,5,0),"")</f>
        <v/>
      </c>
      <c r="F5769" t="str">
        <f>IFERROR(VLOOKUP($A5769,原始数据_收盘!$A$4:$G$3460,6,0),"")</f>
        <v/>
      </c>
      <c r="G5769" t="str">
        <f>IFERROR(VLOOKUP($A5769,原始数据_收盘!$A$4:$G$3460,7,0),"")</f>
        <v/>
      </c>
      <c r="H5769" t="str">
        <f>IFERROR(VLOOKUP($A5769,原始数据_利率互换_FR007_1年!$A$6:$C$4395,2,0),"")</f>
        <v/>
      </c>
      <c r="I5769" t="str">
        <f>IFERROR(VLOOKUP($A5769,原始数据_利率互换_FR007_1年!$A$6:$C$4395,3,0),"")</f>
        <v/>
      </c>
    </row>
    <row r="5770" spans="1:9">
      <c r="A5770" s="6">
        <v>45263</v>
      </c>
      <c r="B5770" t="str">
        <f>IFERROR(VLOOKUP($A5770,原始数据_收盘!$A$4:$G$3460,2,0),"")</f>
        <v/>
      </c>
      <c r="C5770" t="str">
        <f>IFERROR(VLOOKUP($A5770,原始数据_收盘!$A$4:$G$3460,3,0),"")</f>
        <v/>
      </c>
      <c r="D5770" t="str">
        <f>IFERROR(VLOOKUP($A5770,原始数据_收盘!$A$4:$G$3460,4,0),"")</f>
        <v/>
      </c>
      <c r="E5770" t="str">
        <f>IFERROR(VLOOKUP($A5770,原始数据_收盘!$A$4:$G$3460,5,0),"")</f>
        <v/>
      </c>
      <c r="F5770" t="str">
        <f>IFERROR(VLOOKUP($A5770,原始数据_收盘!$A$4:$G$3460,6,0),"")</f>
        <v/>
      </c>
      <c r="G5770" t="str">
        <f>IFERROR(VLOOKUP($A5770,原始数据_收盘!$A$4:$G$3460,7,0),"")</f>
        <v/>
      </c>
      <c r="H5770" t="str">
        <f>IFERROR(VLOOKUP($A5770,原始数据_利率互换_FR007_1年!$A$6:$C$4395,2,0),"")</f>
        <v/>
      </c>
      <c r="I5770" t="str">
        <f>IFERROR(VLOOKUP($A5770,原始数据_利率互换_FR007_1年!$A$6:$C$4395,3,0),"")</f>
        <v/>
      </c>
    </row>
    <row r="5771" spans="1:9">
      <c r="A5771" s="6">
        <v>45264</v>
      </c>
      <c r="B5771">
        <f>IFERROR(VLOOKUP($A5771,原始数据_收盘!$A$4:$G$3460,2,0),"")</f>
        <v>2.1699</v>
      </c>
      <c r="C5771">
        <f>IFERROR(VLOOKUP($A5771,原始数据_收盘!$A$4:$G$3460,3,0),"")</f>
        <v>2.466</v>
      </c>
      <c r="D5771">
        <f>IFERROR(VLOOKUP($A5771,原始数据_收盘!$A$4:$G$3460,4,0),"")</f>
        <v>2.1715</v>
      </c>
      <c r="E5771">
        <f>IFERROR(VLOOKUP($A5771,原始数据_收盘!$A$4:$G$3460,5,0),"")</f>
        <v>2.4683</v>
      </c>
      <c r="F5771">
        <f>IFERROR(VLOOKUP($A5771,原始数据_收盘!$A$4:$G$3460,6,0),"")</f>
        <v>2.1707</v>
      </c>
      <c r="G5771">
        <f>IFERROR(VLOOKUP($A5771,原始数据_收盘!$A$4:$G$3460,7,0),"")</f>
        <v>2.4671</v>
      </c>
      <c r="H5771">
        <f>IFERROR(VLOOKUP($A5771,原始数据_利率互换_FR007_1年!$A$6:$C$4395,2,0),"")</f>
        <v>2.1579</v>
      </c>
      <c r="I5771">
        <f>IFERROR(VLOOKUP($A5771,原始数据_利率互换_FR007_1年!$A$6:$C$4395,3,0),"")</f>
        <v>2.4602</v>
      </c>
    </row>
    <row r="5772" spans="1:9">
      <c r="A5772" s="6">
        <v>45265</v>
      </c>
      <c r="B5772">
        <f>IFERROR(VLOOKUP($A5772,原始数据_收盘!$A$4:$G$3460,2,0),"")</f>
        <v>2.1752</v>
      </c>
      <c r="C5772">
        <f>IFERROR(VLOOKUP($A5772,原始数据_收盘!$A$4:$G$3460,3,0),"")</f>
        <v>2.4575</v>
      </c>
      <c r="D5772">
        <f>IFERROR(VLOOKUP($A5772,原始数据_收盘!$A$4:$G$3460,4,0),"")</f>
        <v>2.1783</v>
      </c>
      <c r="E5772">
        <f>IFERROR(VLOOKUP($A5772,原始数据_收盘!$A$4:$G$3460,5,0),"")</f>
        <v>2.46</v>
      </c>
      <c r="F5772">
        <f>IFERROR(VLOOKUP($A5772,原始数据_收盘!$A$4:$G$3460,6,0),"")</f>
        <v>2.1767</v>
      </c>
      <c r="G5772">
        <f>IFERROR(VLOOKUP($A5772,原始数据_收盘!$A$4:$G$3460,7,0),"")</f>
        <v>2.4588</v>
      </c>
      <c r="H5772">
        <f>IFERROR(VLOOKUP($A5772,原始数据_利率互换_FR007_1年!$A$6:$C$4395,2,0),"")</f>
        <v>2.1798</v>
      </c>
      <c r="I5772">
        <f>IFERROR(VLOOKUP($A5772,原始数据_利率互换_FR007_1年!$A$6:$C$4395,3,0),"")</f>
        <v>2.4677</v>
      </c>
    </row>
    <row r="5773" spans="1:9">
      <c r="A5773" s="6">
        <v>45266</v>
      </c>
      <c r="B5773">
        <f>IFERROR(VLOOKUP($A5773,原始数据_收盘!$A$4:$G$3460,2,0),"")</f>
        <v>2.2</v>
      </c>
      <c r="C5773">
        <f>IFERROR(VLOOKUP($A5773,原始数据_收盘!$A$4:$G$3460,3,0),"")</f>
        <v>2.4725</v>
      </c>
      <c r="D5773">
        <f>IFERROR(VLOOKUP($A5773,原始数据_收盘!$A$4:$G$3460,4,0),"")</f>
        <v>2.205</v>
      </c>
      <c r="E5773">
        <f>IFERROR(VLOOKUP($A5773,原始数据_收盘!$A$4:$G$3460,5,0),"")</f>
        <v>2.475</v>
      </c>
      <c r="F5773">
        <f>IFERROR(VLOOKUP($A5773,原始数据_收盘!$A$4:$G$3460,6,0),"")</f>
        <v>2.2025</v>
      </c>
      <c r="G5773">
        <f>IFERROR(VLOOKUP($A5773,原始数据_收盘!$A$4:$G$3460,7,0),"")</f>
        <v>2.4738</v>
      </c>
      <c r="H5773">
        <f>IFERROR(VLOOKUP($A5773,原始数据_利率互换_FR007_1年!$A$6:$C$4395,2,0),"")</f>
        <v>2.1959</v>
      </c>
      <c r="I5773">
        <f>IFERROR(VLOOKUP($A5773,原始数据_利率互换_FR007_1年!$A$6:$C$4395,3,0),"")</f>
        <v>2.4696</v>
      </c>
    </row>
    <row r="5774" spans="1:9">
      <c r="A5774" s="6">
        <v>45267</v>
      </c>
      <c r="B5774">
        <f>IFERROR(VLOOKUP($A5774,原始数据_收盘!$A$4:$G$3460,2,0),"")</f>
        <v>2.1747</v>
      </c>
      <c r="C5774">
        <f>IFERROR(VLOOKUP($A5774,原始数据_收盘!$A$4:$G$3460,3,0),"")</f>
        <v>2.4511</v>
      </c>
      <c r="D5774">
        <f>IFERROR(VLOOKUP($A5774,原始数据_收盘!$A$4:$G$3460,4,0),"")</f>
        <v>2.1771</v>
      </c>
      <c r="E5774">
        <f>IFERROR(VLOOKUP($A5774,原始数据_收盘!$A$4:$G$3460,5,0),"")</f>
        <v>2.455</v>
      </c>
      <c r="F5774">
        <f>IFERROR(VLOOKUP($A5774,原始数据_收盘!$A$4:$G$3460,6,0),"")</f>
        <v>2.1759</v>
      </c>
      <c r="G5774">
        <f>IFERROR(VLOOKUP($A5774,原始数据_收盘!$A$4:$G$3460,7,0),"")</f>
        <v>2.4531</v>
      </c>
      <c r="H5774">
        <f>IFERROR(VLOOKUP($A5774,原始数据_利率互换_FR007_1年!$A$6:$C$4395,2,0),"")</f>
        <v>2.1865</v>
      </c>
      <c r="I5774">
        <f>IFERROR(VLOOKUP($A5774,原始数据_利率互换_FR007_1年!$A$6:$C$4395,3,0),"")</f>
        <v>2.4673</v>
      </c>
    </row>
    <row r="5775" spans="1:9">
      <c r="A5775" s="6">
        <v>45268</v>
      </c>
      <c r="B5775">
        <f>IFERROR(VLOOKUP($A5775,原始数据_收盘!$A$4:$G$3460,2,0),"")</f>
        <v>2.1743</v>
      </c>
      <c r="C5775">
        <f>IFERROR(VLOOKUP($A5775,原始数据_收盘!$A$4:$G$3460,3,0),"")</f>
        <v>2.455</v>
      </c>
      <c r="D5775">
        <f>IFERROR(VLOOKUP($A5775,原始数据_收盘!$A$4:$G$3460,4,0),"")</f>
        <v>2.1776</v>
      </c>
      <c r="E5775">
        <f>IFERROR(VLOOKUP($A5775,原始数据_收盘!$A$4:$G$3460,5,0),"")</f>
        <v>2.4577</v>
      </c>
      <c r="F5775">
        <f>IFERROR(VLOOKUP($A5775,原始数据_收盘!$A$4:$G$3460,6,0),"")</f>
        <v>2.176</v>
      </c>
      <c r="G5775">
        <f>IFERROR(VLOOKUP($A5775,原始数据_收盘!$A$4:$G$3460,7,0),"")</f>
        <v>2.4563</v>
      </c>
      <c r="H5775">
        <f>IFERROR(VLOOKUP($A5775,原始数据_利率互换_FR007_1年!$A$6:$C$4395,2,0),"")</f>
        <v>2.1711</v>
      </c>
      <c r="I5775">
        <f>IFERROR(VLOOKUP($A5775,原始数据_利率互换_FR007_1年!$A$6:$C$4395,3,0),"")</f>
        <v>2.4532</v>
      </c>
    </row>
    <row r="5776" spans="1:9">
      <c r="A5776" s="6">
        <v>45269</v>
      </c>
      <c r="B5776" t="str">
        <f>IFERROR(VLOOKUP($A5776,原始数据_收盘!$A$4:$G$3460,2,0),"")</f>
        <v/>
      </c>
      <c r="C5776" t="str">
        <f>IFERROR(VLOOKUP($A5776,原始数据_收盘!$A$4:$G$3460,3,0),"")</f>
        <v/>
      </c>
      <c r="D5776" t="str">
        <f>IFERROR(VLOOKUP($A5776,原始数据_收盘!$A$4:$G$3460,4,0),"")</f>
        <v/>
      </c>
      <c r="E5776" t="str">
        <f>IFERROR(VLOOKUP($A5776,原始数据_收盘!$A$4:$G$3460,5,0),"")</f>
        <v/>
      </c>
      <c r="F5776" t="str">
        <f>IFERROR(VLOOKUP($A5776,原始数据_收盘!$A$4:$G$3460,6,0),"")</f>
        <v/>
      </c>
      <c r="G5776" t="str">
        <f>IFERROR(VLOOKUP($A5776,原始数据_收盘!$A$4:$G$3460,7,0),"")</f>
        <v/>
      </c>
      <c r="H5776" t="str">
        <f>IFERROR(VLOOKUP($A5776,原始数据_利率互换_FR007_1年!$A$6:$C$4395,2,0),"")</f>
        <v/>
      </c>
      <c r="I5776" t="str">
        <f>IFERROR(VLOOKUP($A5776,原始数据_利率互换_FR007_1年!$A$6:$C$4395,3,0),"")</f>
        <v/>
      </c>
    </row>
    <row r="5777" spans="1:9">
      <c r="A5777" s="6">
        <v>45270</v>
      </c>
      <c r="B5777" t="str">
        <f>IFERROR(VLOOKUP($A5777,原始数据_收盘!$A$4:$G$3460,2,0),"")</f>
        <v/>
      </c>
      <c r="C5777" t="str">
        <f>IFERROR(VLOOKUP($A5777,原始数据_收盘!$A$4:$G$3460,3,0),"")</f>
        <v/>
      </c>
      <c r="D5777" t="str">
        <f>IFERROR(VLOOKUP($A5777,原始数据_收盘!$A$4:$G$3460,4,0),"")</f>
        <v/>
      </c>
      <c r="E5777" t="str">
        <f>IFERROR(VLOOKUP($A5777,原始数据_收盘!$A$4:$G$3460,5,0),"")</f>
        <v/>
      </c>
      <c r="F5777" t="str">
        <f>IFERROR(VLOOKUP($A5777,原始数据_收盘!$A$4:$G$3460,6,0),"")</f>
        <v/>
      </c>
      <c r="G5777" t="str">
        <f>IFERROR(VLOOKUP($A5777,原始数据_收盘!$A$4:$G$3460,7,0),"")</f>
        <v/>
      </c>
      <c r="H5777" t="str">
        <f>IFERROR(VLOOKUP($A5777,原始数据_利率互换_FR007_1年!$A$6:$C$4395,2,0),"")</f>
        <v/>
      </c>
      <c r="I5777" t="str">
        <f>IFERROR(VLOOKUP($A5777,原始数据_利率互换_FR007_1年!$A$6:$C$4395,3,0),"")</f>
        <v/>
      </c>
    </row>
    <row r="5778" spans="1:9">
      <c r="A5778" s="6">
        <v>45271</v>
      </c>
      <c r="B5778">
        <f>IFERROR(VLOOKUP($A5778,原始数据_收盘!$A$4:$G$3460,2,0),"")</f>
        <v>2.1775</v>
      </c>
      <c r="C5778">
        <f>IFERROR(VLOOKUP($A5778,原始数据_收盘!$A$4:$G$3460,3,0),"")</f>
        <v>2.4225</v>
      </c>
      <c r="D5778">
        <f>IFERROR(VLOOKUP($A5778,原始数据_收盘!$A$4:$G$3460,4,0),"")</f>
        <v>2.18</v>
      </c>
      <c r="E5778">
        <f>IFERROR(VLOOKUP($A5778,原始数据_收盘!$A$4:$G$3460,5,0),"")</f>
        <v>2.425</v>
      </c>
      <c r="F5778">
        <f>IFERROR(VLOOKUP($A5778,原始数据_收盘!$A$4:$G$3460,6,0),"")</f>
        <v>2.1788</v>
      </c>
      <c r="G5778">
        <f>IFERROR(VLOOKUP($A5778,原始数据_收盘!$A$4:$G$3460,7,0),"")</f>
        <v>2.4238</v>
      </c>
      <c r="H5778">
        <f>IFERROR(VLOOKUP($A5778,原始数据_利率互换_FR007_1年!$A$6:$C$4395,2,0),"")</f>
        <v>2.1694</v>
      </c>
      <c r="I5778">
        <f>IFERROR(VLOOKUP($A5778,原始数据_利率互换_FR007_1年!$A$6:$C$4395,3,0),"")</f>
        <v>2.4233</v>
      </c>
    </row>
    <row r="5779" spans="1:9">
      <c r="A5779" s="6">
        <v>45272</v>
      </c>
      <c r="B5779">
        <f>IFERROR(VLOOKUP($A5779,原始数据_收盘!$A$4:$G$3460,2,0),"")</f>
        <v>2.1671</v>
      </c>
      <c r="C5779">
        <f>IFERROR(VLOOKUP($A5779,原始数据_收盘!$A$4:$G$3460,3,0),"")</f>
        <v>2.4214</v>
      </c>
      <c r="D5779">
        <f>IFERROR(VLOOKUP($A5779,原始数据_收盘!$A$4:$G$3460,4,0),"")</f>
        <v>2.17</v>
      </c>
      <c r="E5779">
        <f>IFERROR(VLOOKUP($A5779,原始数据_收盘!$A$4:$G$3460,5,0),"")</f>
        <v>2.4239</v>
      </c>
      <c r="F5779">
        <f>IFERROR(VLOOKUP($A5779,原始数据_收盘!$A$4:$G$3460,6,0),"")</f>
        <v>2.1685</v>
      </c>
      <c r="G5779">
        <f>IFERROR(VLOOKUP($A5779,原始数据_收盘!$A$4:$G$3460,7,0),"")</f>
        <v>2.4227</v>
      </c>
      <c r="H5779">
        <f>IFERROR(VLOOKUP($A5779,原始数据_利率互换_FR007_1年!$A$6:$C$4395,2,0),"")</f>
        <v>2.1657</v>
      </c>
      <c r="I5779">
        <f>IFERROR(VLOOKUP($A5779,原始数据_利率互换_FR007_1年!$A$6:$C$4395,3,0),"")</f>
        <v>2.4199</v>
      </c>
    </row>
    <row r="5780" spans="1:9">
      <c r="A5780" s="6">
        <v>45273</v>
      </c>
      <c r="B5780">
        <f>IFERROR(VLOOKUP($A5780,原始数据_收盘!$A$4:$G$3460,2,0),"")</f>
        <v>2.115</v>
      </c>
      <c r="C5780">
        <f>IFERROR(VLOOKUP($A5780,原始数据_收盘!$A$4:$G$3460,3,0),"")</f>
        <v>2.3839</v>
      </c>
      <c r="D5780">
        <f>IFERROR(VLOOKUP($A5780,原始数据_收盘!$A$4:$G$3460,4,0),"")</f>
        <v>2.1175</v>
      </c>
      <c r="E5780">
        <f>IFERROR(VLOOKUP($A5780,原始数据_收盘!$A$4:$G$3460,5,0),"")</f>
        <v>2.3856</v>
      </c>
      <c r="F5780">
        <f>IFERROR(VLOOKUP($A5780,原始数据_收盘!$A$4:$G$3460,6,0),"")</f>
        <v>2.1163</v>
      </c>
      <c r="G5780">
        <f>IFERROR(VLOOKUP($A5780,原始数据_收盘!$A$4:$G$3460,7,0),"")</f>
        <v>2.3848</v>
      </c>
      <c r="H5780">
        <f>IFERROR(VLOOKUP($A5780,原始数据_利率互换_FR007_1年!$A$6:$C$4395,2,0),"")</f>
        <v>2.1264</v>
      </c>
      <c r="I5780">
        <f>IFERROR(VLOOKUP($A5780,原始数据_利率互换_FR007_1年!$A$6:$C$4395,3,0),"")</f>
        <v>2.3908</v>
      </c>
    </row>
    <row r="5781" spans="1:9">
      <c r="A5781" s="6">
        <v>45274</v>
      </c>
      <c r="B5781">
        <f>IFERROR(VLOOKUP($A5781,原始数据_收盘!$A$4:$G$3460,2,0),"")</f>
        <v>2.1025</v>
      </c>
      <c r="C5781">
        <f>IFERROR(VLOOKUP($A5781,原始数据_收盘!$A$4:$G$3460,3,0),"")</f>
        <v>2.37</v>
      </c>
      <c r="D5781">
        <f>IFERROR(VLOOKUP($A5781,原始数据_收盘!$A$4:$G$3460,4,0),"")</f>
        <v>2.105</v>
      </c>
      <c r="E5781">
        <f>IFERROR(VLOOKUP($A5781,原始数据_收盘!$A$4:$G$3460,5,0),"")</f>
        <v>2.3725</v>
      </c>
      <c r="F5781">
        <f>IFERROR(VLOOKUP($A5781,原始数据_收盘!$A$4:$G$3460,6,0),"")</f>
        <v>2.1038</v>
      </c>
      <c r="G5781">
        <f>IFERROR(VLOOKUP($A5781,原始数据_收盘!$A$4:$G$3460,7,0),"")</f>
        <v>2.3713</v>
      </c>
      <c r="H5781">
        <f>IFERROR(VLOOKUP($A5781,原始数据_利率互换_FR007_1年!$A$6:$C$4395,2,0),"")</f>
        <v>2.0979</v>
      </c>
      <c r="I5781">
        <f>IFERROR(VLOOKUP($A5781,原始数据_利率互换_FR007_1年!$A$6:$C$4395,3,0),"")</f>
        <v>2.3744</v>
      </c>
    </row>
    <row r="5782" spans="1:9">
      <c r="A5782" s="6">
        <v>45275</v>
      </c>
      <c r="B5782">
        <f>IFERROR(VLOOKUP($A5782,原始数据_收盘!$A$4:$G$3460,2,0),"")</f>
        <v>2.0794</v>
      </c>
      <c r="C5782">
        <f>IFERROR(VLOOKUP($A5782,原始数据_收盘!$A$4:$G$3460,3,0),"")</f>
        <v>2.3575</v>
      </c>
      <c r="D5782">
        <f>IFERROR(VLOOKUP($A5782,原始数据_收盘!$A$4:$G$3460,4,0),"")</f>
        <v>2.0823</v>
      </c>
      <c r="E5782">
        <f>IFERROR(VLOOKUP($A5782,原始数据_收盘!$A$4:$G$3460,5,0),"")</f>
        <v>2.3608</v>
      </c>
      <c r="F5782">
        <f>IFERROR(VLOOKUP($A5782,原始数据_收盘!$A$4:$G$3460,6,0),"")</f>
        <v>2.0808</v>
      </c>
      <c r="G5782">
        <f>IFERROR(VLOOKUP($A5782,原始数据_收盘!$A$4:$G$3460,7,0),"")</f>
        <v>2.3592</v>
      </c>
      <c r="H5782">
        <f>IFERROR(VLOOKUP($A5782,原始数据_利率互换_FR007_1年!$A$6:$C$4395,2,0),"")</f>
        <v>2.082</v>
      </c>
      <c r="I5782">
        <f>IFERROR(VLOOKUP($A5782,原始数据_利率互换_FR007_1年!$A$6:$C$4395,3,0),"")</f>
        <v>2.3714</v>
      </c>
    </row>
    <row r="5783" spans="1:9">
      <c r="A5783" s="6">
        <v>45276</v>
      </c>
      <c r="B5783" t="str">
        <f>IFERROR(VLOOKUP($A5783,原始数据_收盘!$A$4:$G$3460,2,0),"")</f>
        <v/>
      </c>
      <c r="C5783" t="str">
        <f>IFERROR(VLOOKUP($A5783,原始数据_收盘!$A$4:$G$3460,3,0),"")</f>
        <v/>
      </c>
      <c r="D5783" t="str">
        <f>IFERROR(VLOOKUP($A5783,原始数据_收盘!$A$4:$G$3460,4,0),"")</f>
        <v/>
      </c>
      <c r="E5783" t="str">
        <f>IFERROR(VLOOKUP($A5783,原始数据_收盘!$A$4:$G$3460,5,0),"")</f>
        <v/>
      </c>
      <c r="F5783" t="str">
        <f>IFERROR(VLOOKUP($A5783,原始数据_收盘!$A$4:$G$3460,6,0),"")</f>
        <v/>
      </c>
      <c r="G5783" t="str">
        <f>IFERROR(VLOOKUP($A5783,原始数据_收盘!$A$4:$G$3460,7,0),"")</f>
        <v/>
      </c>
      <c r="H5783" t="str">
        <f>IFERROR(VLOOKUP($A5783,原始数据_利率互换_FR007_1年!$A$6:$C$4395,2,0),"")</f>
        <v/>
      </c>
      <c r="I5783" t="str">
        <f>IFERROR(VLOOKUP($A5783,原始数据_利率互换_FR007_1年!$A$6:$C$4395,3,0),"")</f>
        <v/>
      </c>
    </row>
    <row r="5784" spans="1:9">
      <c r="A5784" s="6">
        <v>45277</v>
      </c>
      <c r="B5784" t="str">
        <f>IFERROR(VLOOKUP($A5784,原始数据_收盘!$A$4:$G$3460,2,0),"")</f>
        <v/>
      </c>
      <c r="C5784" t="str">
        <f>IFERROR(VLOOKUP($A5784,原始数据_收盘!$A$4:$G$3460,3,0),"")</f>
        <v/>
      </c>
      <c r="D5784" t="str">
        <f>IFERROR(VLOOKUP($A5784,原始数据_收盘!$A$4:$G$3460,4,0),"")</f>
        <v/>
      </c>
      <c r="E5784" t="str">
        <f>IFERROR(VLOOKUP($A5784,原始数据_收盘!$A$4:$G$3460,5,0),"")</f>
        <v/>
      </c>
      <c r="F5784" t="str">
        <f>IFERROR(VLOOKUP($A5784,原始数据_收盘!$A$4:$G$3460,6,0),"")</f>
        <v/>
      </c>
      <c r="G5784" t="str">
        <f>IFERROR(VLOOKUP($A5784,原始数据_收盘!$A$4:$G$3460,7,0),"")</f>
        <v/>
      </c>
      <c r="H5784" t="str">
        <f>IFERROR(VLOOKUP($A5784,原始数据_利率互换_FR007_1年!$A$6:$C$4395,2,0),"")</f>
        <v/>
      </c>
      <c r="I5784" t="str">
        <f>IFERROR(VLOOKUP($A5784,原始数据_利率互换_FR007_1年!$A$6:$C$4395,3,0),"")</f>
        <v/>
      </c>
    </row>
    <row r="5785" spans="1:9">
      <c r="A5785" s="6">
        <v>45278</v>
      </c>
      <c r="B5785">
        <f>IFERROR(VLOOKUP($A5785,原始数据_收盘!$A$4:$G$3460,2,0),"")</f>
        <v>2.0925</v>
      </c>
      <c r="C5785">
        <f>IFERROR(VLOOKUP($A5785,原始数据_收盘!$A$4:$G$3460,3,0),"")</f>
        <v>2.3525</v>
      </c>
      <c r="D5785">
        <f>IFERROR(VLOOKUP($A5785,原始数据_收盘!$A$4:$G$3460,4,0),"")</f>
        <v>2.0975</v>
      </c>
      <c r="E5785">
        <f>IFERROR(VLOOKUP($A5785,原始数据_收盘!$A$4:$G$3460,5,0),"")</f>
        <v>2.3575</v>
      </c>
      <c r="F5785">
        <f>IFERROR(VLOOKUP($A5785,原始数据_收盘!$A$4:$G$3460,6,0),"")</f>
        <v>2.095</v>
      </c>
      <c r="G5785">
        <f>IFERROR(VLOOKUP($A5785,原始数据_收盘!$A$4:$G$3460,7,0),"")</f>
        <v>2.355</v>
      </c>
      <c r="H5785">
        <f>IFERROR(VLOOKUP($A5785,原始数据_利率互换_FR007_1年!$A$6:$C$4395,2,0),"")</f>
        <v>2.0943</v>
      </c>
      <c r="I5785">
        <f>IFERROR(VLOOKUP($A5785,原始数据_利率互换_FR007_1年!$A$6:$C$4395,3,0),"")</f>
        <v>2.363</v>
      </c>
    </row>
    <row r="5786" spans="1:9">
      <c r="A5786" s="6">
        <v>45279</v>
      </c>
      <c r="B5786">
        <f>IFERROR(VLOOKUP($A5786,原始数据_收盘!$A$4:$G$3460,2,0),"")</f>
        <v>2.0975</v>
      </c>
      <c r="C5786">
        <f>IFERROR(VLOOKUP($A5786,原始数据_收盘!$A$4:$G$3460,3,0),"")</f>
        <v>2.36</v>
      </c>
      <c r="D5786">
        <f>IFERROR(VLOOKUP($A5786,原始数据_收盘!$A$4:$G$3460,4,0),"")</f>
        <v>2.1</v>
      </c>
      <c r="E5786">
        <f>IFERROR(VLOOKUP($A5786,原始数据_收盘!$A$4:$G$3460,5,0),"")</f>
        <v>2.3629</v>
      </c>
      <c r="F5786">
        <f>IFERROR(VLOOKUP($A5786,原始数据_收盘!$A$4:$G$3460,6,0),"")</f>
        <v>2.0988</v>
      </c>
      <c r="G5786">
        <f>IFERROR(VLOOKUP($A5786,原始数据_收盘!$A$4:$G$3460,7,0),"")</f>
        <v>2.3615</v>
      </c>
      <c r="H5786">
        <f>IFERROR(VLOOKUP($A5786,原始数据_利率互换_FR007_1年!$A$6:$C$4395,2,0),"")</f>
        <v>2.1047</v>
      </c>
      <c r="I5786">
        <f>IFERROR(VLOOKUP($A5786,原始数据_利率互换_FR007_1年!$A$6:$C$4395,3,0),"")</f>
        <v>2.3641</v>
      </c>
    </row>
    <row r="5787" spans="1:9">
      <c r="A5787" s="6">
        <v>45280</v>
      </c>
      <c r="B5787">
        <f>IFERROR(VLOOKUP($A5787,原始数据_收盘!$A$4:$G$3460,2,0),"")</f>
        <v>2.1075</v>
      </c>
      <c r="C5787">
        <f>IFERROR(VLOOKUP($A5787,原始数据_收盘!$A$4:$G$3460,3,0),"")</f>
        <v>2.365</v>
      </c>
      <c r="D5787">
        <f>IFERROR(VLOOKUP($A5787,原始数据_收盘!$A$4:$G$3460,4,0),"")</f>
        <v>2.11</v>
      </c>
      <c r="E5787">
        <f>IFERROR(VLOOKUP($A5787,原始数据_收盘!$A$4:$G$3460,5,0),"")</f>
        <v>2.3694</v>
      </c>
      <c r="F5787">
        <f>IFERROR(VLOOKUP($A5787,原始数据_收盘!$A$4:$G$3460,6,0),"")</f>
        <v>2.1088</v>
      </c>
      <c r="G5787">
        <f>IFERROR(VLOOKUP($A5787,原始数据_收盘!$A$4:$G$3460,7,0),"")</f>
        <v>2.3672</v>
      </c>
      <c r="H5787">
        <f>IFERROR(VLOOKUP($A5787,原始数据_利率互换_FR007_1年!$A$6:$C$4395,2,0),"")</f>
        <v>2.1045</v>
      </c>
      <c r="I5787">
        <f>IFERROR(VLOOKUP($A5787,原始数据_利率互换_FR007_1年!$A$6:$C$4395,3,0),"")</f>
        <v>2.3639</v>
      </c>
    </row>
    <row r="5788" spans="1:9">
      <c r="A5788" s="6">
        <v>45281</v>
      </c>
      <c r="B5788">
        <f>IFERROR(VLOOKUP($A5788,原始数据_收盘!$A$4:$G$3460,2,0),"")</f>
        <v>2.085</v>
      </c>
      <c r="C5788">
        <f>IFERROR(VLOOKUP($A5788,原始数据_收盘!$A$4:$G$3460,3,0),"")</f>
        <v>2.3425</v>
      </c>
      <c r="D5788">
        <f>IFERROR(VLOOKUP($A5788,原始数据_收盘!$A$4:$G$3460,4,0),"")</f>
        <v>2.0875</v>
      </c>
      <c r="E5788">
        <f>IFERROR(VLOOKUP($A5788,原始数据_收盘!$A$4:$G$3460,5,0),"")</f>
        <v>2.3475</v>
      </c>
      <c r="F5788">
        <f>IFERROR(VLOOKUP($A5788,原始数据_收盘!$A$4:$G$3460,6,0),"")</f>
        <v>2.0863</v>
      </c>
      <c r="G5788">
        <f>IFERROR(VLOOKUP($A5788,原始数据_收盘!$A$4:$G$3460,7,0),"")</f>
        <v>2.345</v>
      </c>
      <c r="H5788">
        <f>IFERROR(VLOOKUP($A5788,原始数据_利率互换_FR007_1年!$A$6:$C$4395,2,0),"")</f>
        <v>2.1073</v>
      </c>
      <c r="I5788">
        <f>IFERROR(VLOOKUP($A5788,原始数据_利率互换_FR007_1年!$A$6:$C$4395,3,0),"")</f>
        <v>2.3622</v>
      </c>
    </row>
    <row r="5789" spans="1:9">
      <c r="A5789" s="6">
        <v>45282</v>
      </c>
      <c r="B5789">
        <f>IFERROR(VLOOKUP($A5789,原始数据_收盘!$A$4:$G$3460,2,0),"")</f>
        <v>2.0575</v>
      </c>
      <c r="C5789">
        <f>IFERROR(VLOOKUP($A5789,原始数据_收盘!$A$4:$G$3460,3,0),"")</f>
        <v>2.335</v>
      </c>
      <c r="D5789">
        <f>IFERROR(VLOOKUP($A5789,原始数据_收盘!$A$4:$G$3460,4,0),"")</f>
        <v>2.0614</v>
      </c>
      <c r="E5789">
        <f>IFERROR(VLOOKUP($A5789,原始数据_收盘!$A$4:$G$3460,5,0),"")</f>
        <v>2.3375</v>
      </c>
      <c r="F5789">
        <f>IFERROR(VLOOKUP($A5789,原始数据_收盘!$A$4:$G$3460,6,0),"")</f>
        <v>2.0594</v>
      </c>
      <c r="G5789">
        <f>IFERROR(VLOOKUP($A5789,原始数据_收盘!$A$4:$G$3460,7,0),"")</f>
        <v>2.3363</v>
      </c>
      <c r="H5789">
        <f>IFERROR(VLOOKUP($A5789,原始数据_利率互换_FR007_1年!$A$6:$C$4395,2,0),"")</f>
        <v>2.0612</v>
      </c>
      <c r="I5789">
        <f>IFERROR(VLOOKUP($A5789,原始数据_利率互换_FR007_1年!$A$6:$C$4395,3,0),"")</f>
        <v>2.3331</v>
      </c>
    </row>
    <row r="5790" spans="1:9">
      <c r="A5790" s="6">
        <v>45283</v>
      </c>
      <c r="B5790" t="str">
        <f>IFERROR(VLOOKUP($A5790,原始数据_收盘!$A$4:$G$3460,2,0),"")</f>
        <v/>
      </c>
      <c r="C5790" t="str">
        <f>IFERROR(VLOOKUP($A5790,原始数据_收盘!$A$4:$G$3460,3,0),"")</f>
        <v/>
      </c>
      <c r="D5790" t="str">
        <f>IFERROR(VLOOKUP($A5790,原始数据_收盘!$A$4:$G$3460,4,0),"")</f>
        <v/>
      </c>
      <c r="E5790" t="str">
        <f>IFERROR(VLOOKUP($A5790,原始数据_收盘!$A$4:$G$3460,5,0),"")</f>
        <v/>
      </c>
      <c r="F5790" t="str">
        <f>IFERROR(VLOOKUP($A5790,原始数据_收盘!$A$4:$G$3460,6,0),"")</f>
        <v/>
      </c>
      <c r="G5790" t="str">
        <f>IFERROR(VLOOKUP($A5790,原始数据_收盘!$A$4:$G$3460,7,0),"")</f>
        <v/>
      </c>
      <c r="H5790" t="str">
        <f>IFERROR(VLOOKUP($A5790,原始数据_利率互换_FR007_1年!$A$6:$C$4395,2,0),"")</f>
        <v/>
      </c>
      <c r="I5790" t="str">
        <f>IFERROR(VLOOKUP($A5790,原始数据_利率互换_FR007_1年!$A$6:$C$4395,3,0),"")</f>
        <v/>
      </c>
    </row>
    <row r="5791" spans="1:9">
      <c r="A5791" s="6">
        <v>45284</v>
      </c>
      <c r="B5791" t="str">
        <f>IFERROR(VLOOKUP($A5791,原始数据_收盘!$A$4:$G$3460,2,0),"")</f>
        <v/>
      </c>
      <c r="C5791" t="str">
        <f>IFERROR(VLOOKUP($A5791,原始数据_收盘!$A$4:$G$3460,3,0),"")</f>
        <v/>
      </c>
      <c r="D5791" t="str">
        <f>IFERROR(VLOOKUP($A5791,原始数据_收盘!$A$4:$G$3460,4,0),"")</f>
        <v/>
      </c>
      <c r="E5791" t="str">
        <f>IFERROR(VLOOKUP($A5791,原始数据_收盘!$A$4:$G$3460,5,0),"")</f>
        <v/>
      </c>
      <c r="F5791" t="str">
        <f>IFERROR(VLOOKUP($A5791,原始数据_收盘!$A$4:$G$3460,6,0),"")</f>
        <v/>
      </c>
      <c r="G5791" t="str">
        <f>IFERROR(VLOOKUP($A5791,原始数据_收盘!$A$4:$G$3460,7,0),"")</f>
        <v/>
      </c>
      <c r="H5791" t="str">
        <f>IFERROR(VLOOKUP($A5791,原始数据_利率互换_FR007_1年!$A$6:$C$4395,2,0),"")</f>
        <v/>
      </c>
      <c r="I5791" t="str">
        <f>IFERROR(VLOOKUP($A5791,原始数据_利率互换_FR007_1年!$A$6:$C$4395,3,0),"")</f>
        <v/>
      </c>
    </row>
    <row r="5792" spans="1:9">
      <c r="A5792" s="6">
        <v>45285</v>
      </c>
      <c r="B5792">
        <f>IFERROR(VLOOKUP($A5792,原始数据_收盘!$A$4:$G$3460,2,0),"")</f>
        <v>2.0175</v>
      </c>
      <c r="C5792">
        <f>IFERROR(VLOOKUP($A5792,原始数据_收盘!$A$4:$G$3460,3,0),"")</f>
        <v>2.31</v>
      </c>
      <c r="D5792">
        <f>IFERROR(VLOOKUP($A5792,原始数据_收盘!$A$4:$G$3460,4,0),"")</f>
        <v>2.02</v>
      </c>
      <c r="E5792">
        <f>IFERROR(VLOOKUP($A5792,原始数据_收盘!$A$4:$G$3460,5,0),"")</f>
        <v>2.3125</v>
      </c>
      <c r="F5792">
        <f>IFERROR(VLOOKUP($A5792,原始数据_收盘!$A$4:$G$3460,6,0),"")</f>
        <v>2.0188</v>
      </c>
      <c r="G5792">
        <f>IFERROR(VLOOKUP($A5792,原始数据_收盘!$A$4:$G$3460,7,0),"")</f>
        <v>2.3113</v>
      </c>
      <c r="H5792">
        <f>IFERROR(VLOOKUP($A5792,原始数据_利率互换_FR007_1年!$A$6:$C$4395,2,0),"")</f>
        <v>2.0443</v>
      </c>
      <c r="I5792">
        <f>IFERROR(VLOOKUP($A5792,原始数据_利率互换_FR007_1年!$A$6:$C$4395,3,0),"")</f>
        <v>2.3162</v>
      </c>
    </row>
    <row r="5793" spans="1:9">
      <c r="A5793" s="6">
        <v>45286</v>
      </c>
      <c r="B5793">
        <f>IFERROR(VLOOKUP($A5793,原始数据_收盘!$A$4:$G$3460,2,0),"")</f>
        <v>2.0375</v>
      </c>
      <c r="C5793">
        <f>IFERROR(VLOOKUP($A5793,原始数据_收盘!$A$4:$G$3460,3,0),"")</f>
        <v>2.32</v>
      </c>
      <c r="D5793">
        <f>IFERROR(VLOOKUP($A5793,原始数据_收盘!$A$4:$G$3460,4,0),"")</f>
        <v>2.04</v>
      </c>
      <c r="E5793">
        <f>IFERROR(VLOOKUP($A5793,原始数据_收盘!$A$4:$G$3460,5,0),"")</f>
        <v>2.3241</v>
      </c>
      <c r="F5793">
        <f>IFERROR(VLOOKUP($A5793,原始数据_收盘!$A$4:$G$3460,6,0),"")</f>
        <v>2.0388</v>
      </c>
      <c r="G5793">
        <f>IFERROR(VLOOKUP($A5793,原始数据_收盘!$A$4:$G$3460,7,0),"")</f>
        <v>2.3221</v>
      </c>
      <c r="H5793">
        <f>IFERROR(VLOOKUP($A5793,原始数据_利率互换_FR007_1年!$A$6:$C$4395,2,0),"")</f>
        <v>2.0352</v>
      </c>
      <c r="I5793">
        <f>IFERROR(VLOOKUP($A5793,原始数据_利率互换_FR007_1年!$A$6:$C$4395,3,0),"")</f>
        <v>2.3104</v>
      </c>
    </row>
    <row r="5794" spans="1:9">
      <c r="A5794" s="6">
        <v>45287</v>
      </c>
      <c r="B5794">
        <f>IFERROR(VLOOKUP($A5794,原始数据_收盘!$A$4:$G$3460,2,0),"")</f>
        <v>2.0125</v>
      </c>
      <c r="C5794">
        <f>IFERROR(VLOOKUP($A5794,原始数据_收盘!$A$4:$G$3460,3,0),"")</f>
        <v>2.3147</v>
      </c>
      <c r="D5794">
        <f>IFERROR(VLOOKUP($A5794,原始数据_收盘!$A$4:$G$3460,4,0),"")</f>
        <v>2.0151</v>
      </c>
      <c r="E5794">
        <f>IFERROR(VLOOKUP($A5794,原始数据_收盘!$A$4:$G$3460,5,0),"")</f>
        <v>2.3171</v>
      </c>
      <c r="F5794">
        <f>IFERROR(VLOOKUP($A5794,原始数据_收盘!$A$4:$G$3460,6,0),"")</f>
        <v>2.0138</v>
      </c>
      <c r="G5794">
        <f>IFERROR(VLOOKUP($A5794,原始数据_收盘!$A$4:$G$3460,7,0),"")</f>
        <v>2.3159</v>
      </c>
      <c r="H5794">
        <f>IFERROR(VLOOKUP($A5794,原始数据_利率互换_FR007_1年!$A$6:$C$4395,2,0),"")</f>
        <v>2.0189</v>
      </c>
      <c r="I5794">
        <f>IFERROR(VLOOKUP($A5794,原始数据_利率互换_FR007_1年!$A$6:$C$4395,3,0),"")</f>
        <v>2.3184</v>
      </c>
    </row>
    <row r="5795" spans="1:9">
      <c r="A5795" s="6">
        <v>45288</v>
      </c>
      <c r="B5795">
        <f>IFERROR(VLOOKUP($A5795,原始数据_收盘!$A$4:$G$3460,2,0),"")</f>
        <v>1.9925</v>
      </c>
      <c r="C5795">
        <f>IFERROR(VLOOKUP($A5795,原始数据_收盘!$A$4:$G$3460,3,0),"")</f>
        <v>2.3275</v>
      </c>
      <c r="D5795">
        <f>IFERROR(VLOOKUP($A5795,原始数据_收盘!$A$4:$G$3460,4,0),"")</f>
        <v>1.995</v>
      </c>
      <c r="E5795">
        <f>IFERROR(VLOOKUP($A5795,原始数据_收盘!$A$4:$G$3460,5,0),"")</f>
        <v>2.3314</v>
      </c>
      <c r="F5795">
        <f>IFERROR(VLOOKUP($A5795,原始数据_收盘!$A$4:$G$3460,6,0),"")</f>
        <v>1.9938</v>
      </c>
      <c r="G5795">
        <f>IFERROR(VLOOKUP($A5795,原始数据_收盘!$A$4:$G$3460,7,0),"")</f>
        <v>2.3294</v>
      </c>
      <c r="H5795">
        <f>IFERROR(VLOOKUP($A5795,原始数据_利率互换_FR007_1年!$A$6:$C$4395,2,0),"")</f>
        <v>1.9952</v>
      </c>
      <c r="I5795">
        <f>IFERROR(VLOOKUP($A5795,原始数据_利率互换_FR007_1年!$A$6:$C$4395,3,0),"")</f>
        <v>2.3223</v>
      </c>
    </row>
    <row r="5796" spans="1:9">
      <c r="A5796" s="6">
        <v>45289</v>
      </c>
      <c r="B5796">
        <f>IFERROR(VLOOKUP($A5796,原始数据_收盘!$A$4:$G$3460,2,0),"")</f>
        <v>1.99</v>
      </c>
      <c r="C5796">
        <f>IFERROR(VLOOKUP($A5796,原始数据_收盘!$A$4:$G$3460,3,0),"")</f>
        <v>2.315</v>
      </c>
      <c r="D5796">
        <f>IFERROR(VLOOKUP($A5796,原始数据_收盘!$A$4:$G$3460,4,0),"")</f>
        <v>1.9925</v>
      </c>
      <c r="E5796">
        <f>IFERROR(VLOOKUP($A5796,原始数据_收盘!$A$4:$G$3460,5,0),"")</f>
        <v>2.32</v>
      </c>
      <c r="F5796">
        <f>IFERROR(VLOOKUP($A5796,原始数据_收盘!$A$4:$G$3460,6,0),"")</f>
        <v>1.9913</v>
      </c>
      <c r="G5796">
        <f>IFERROR(VLOOKUP($A5796,原始数据_收盘!$A$4:$G$3460,7,0),"")</f>
        <v>2.3175</v>
      </c>
      <c r="H5796">
        <f>IFERROR(VLOOKUP($A5796,原始数据_利率互换_FR007_1年!$A$6:$C$4395,2,0),"")</f>
        <v>1.9857</v>
      </c>
      <c r="I5796">
        <f>IFERROR(VLOOKUP($A5796,原始数据_利率互换_FR007_1年!$A$6:$C$4395,3,0),"")</f>
        <v>2.3245</v>
      </c>
    </row>
    <row r="5797" spans="1:9">
      <c r="A5797" s="6">
        <v>45290</v>
      </c>
      <c r="B5797" t="str">
        <f>IFERROR(VLOOKUP($A5797,原始数据_收盘!$A$4:$G$3460,2,0),"")</f>
        <v/>
      </c>
      <c r="C5797" t="str">
        <f>IFERROR(VLOOKUP($A5797,原始数据_收盘!$A$4:$G$3460,3,0),"")</f>
        <v/>
      </c>
      <c r="D5797" t="str">
        <f>IFERROR(VLOOKUP($A5797,原始数据_收盘!$A$4:$G$3460,4,0),"")</f>
        <v/>
      </c>
      <c r="E5797" t="str">
        <f>IFERROR(VLOOKUP($A5797,原始数据_收盘!$A$4:$G$3460,5,0),"")</f>
        <v/>
      </c>
      <c r="F5797" t="str">
        <f>IFERROR(VLOOKUP($A5797,原始数据_收盘!$A$4:$G$3460,6,0),"")</f>
        <v/>
      </c>
      <c r="G5797" t="str">
        <f>IFERROR(VLOOKUP($A5797,原始数据_收盘!$A$4:$G$3460,7,0),"")</f>
        <v/>
      </c>
      <c r="H5797" t="str">
        <f>IFERROR(VLOOKUP($A5797,原始数据_利率互换_FR007_1年!$A$6:$C$4395,2,0),"")</f>
        <v/>
      </c>
      <c r="I5797" t="str">
        <f>IFERROR(VLOOKUP($A5797,原始数据_利率互换_FR007_1年!$A$6:$C$4395,3,0),"")</f>
        <v/>
      </c>
    </row>
    <row r="5798" spans="1:9">
      <c r="A5798" s="6">
        <v>45291</v>
      </c>
      <c r="B5798" t="str">
        <f>IFERROR(VLOOKUP($A5798,原始数据_收盘!$A$4:$G$3460,2,0),"")</f>
        <v/>
      </c>
      <c r="C5798" t="str">
        <f>IFERROR(VLOOKUP($A5798,原始数据_收盘!$A$4:$G$3460,3,0),"")</f>
        <v/>
      </c>
      <c r="D5798" t="str">
        <f>IFERROR(VLOOKUP($A5798,原始数据_收盘!$A$4:$G$3460,4,0),"")</f>
        <v/>
      </c>
      <c r="E5798" t="str">
        <f>IFERROR(VLOOKUP($A5798,原始数据_收盘!$A$4:$G$3460,5,0),"")</f>
        <v/>
      </c>
      <c r="F5798" t="str">
        <f>IFERROR(VLOOKUP($A5798,原始数据_收盘!$A$4:$G$3460,6,0),"")</f>
        <v/>
      </c>
      <c r="G5798" t="str">
        <f>IFERROR(VLOOKUP($A5798,原始数据_收盘!$A$4:$G$3460,7,0),"")</f>
        <v/>
      </c>
      <c r="H5798" t="str">
        <f>IFERROR(VLOOKUP($A5798,原始数据_利率互换_FR007_1年!$A$6:$C$4395,2,0),"")</f>
        <v/>
      </c>
      <c r="I5798" t="str">
        <f>IFERROR(VLOOKUP($A5798,原始数据_利率互换_FR007_1年!$A$6:$C$4395,3,0),"")</f>
        <v/>
      </c>
    </row>
    <row r="5799" spans="1:9">
      <c r="A5799" s="6">
        <v>45292</v>
      </c>
      <c r="B5799" t="str">
        <f>IFERROR(VLOOKUP($A5799,原始数据_收盘!$A$4:$G$3460,2,0),"")</f>
        <v/>
      </c>
      <c r="C5799" t="str">
        <f>IFERROR(VLOOKUP($A5799,原始数据_收盘!$A$4:$G$3460,3,0),"")</f>
        <v/>
      </c>
      <c r="D5799" t="str">
        <f>IFERROR(VLOOKUP($A5799,原始数据_收盘!$A$4:$G$3460,4,0),"")</f>
        <v/>
      </c>
      <c r="E5799" t="str">
        <f>IFERROR(VLOOKUP($A5799,原始数据_收盘!$A$4:$G$3460,5,0),"")</f>
        <v/>
      </c>
      <c r="F5799" t="str">
        <f>IFERROR(VLOOKUP($A5799,原始数据_收盘!$A$4:$G$3460,6,0),"")</f>
        <v/>
      </c>
      <c r="G5799" t="str">
        <f>IFERROR(VLOOKUP($A5799,原始数据_收盘!$A$4:$G$3460,7,0),"")</f>
        <v/>
      </c>
      <c r="H5799" t="str">
        <f>IFERROR(VLOOKUP($A5799,原始数据_利率互换_FR007_1年!$A$6:$C$4395,2,0),"")</f>
        <v/>
      </c>
      <c r="I5799" t="str">
        <f>IFERROR(VLOOKUP($A5799,原始数据_利率互换_FR007_1年!$A$6:$C$4395,3,0),"")</f>
        <v/>
      </c>
    </row>
    <row r="5800" spans="1:9">
      <c r="A5800" s="6">
        <v>45293</v>
      </c>
      <c r="B5800">
        <f>IFERROR(VLOOKUP($A5800,原始数据_收盘!$A$4:$G$3460,2,0),"")</f>
        <v>2.042</v>
      </c>
      <c r="C5800">
        <f>IFERROR(VLOOKUP($A5800,原始数据_收盘!$A$4:$G$3460,3,0),"")</f>
        <v>2.3392</v>
      </c>
      <c r="D5800">
        <f>IFERROR(VLOOKUP($A5800,原始数据_收盘!$A$4:$G$3460,4,0),"")</f>
        <v>2.0451</v>
      </c>
      <c r="E5800">
        <f>IFERROR(VLOOKUP($A5800,原始数据_收盘!$A$4:$G$3460,5,0),"")</f>
        <v>2.3431</v>
      </c>
      <c r="F5800">
        <f>IFERROR(VLOOKUP($A5800,原始数据_收盘!$A$4:$G$3460,6,0),"")</f>
        <v>2.0436</v>
      </c>
      <c r="G5800">
        <f>IFERROR(VLOOKUP($A5800,原始数据_收盘!$A$4:$G$3460,7,0),"")</f>
        <v>2.3411</v>
      </c>
      <c r="H5800">
        <f>IFERROR(VLOOKUP($A5800,原始数据_利率互换_FR007_1年!$A$6:$C$4395,2,0),"")</f>
        <v>2.0208</v>
      </c>
      <c r="I5800">
        <f>IFERROR(VLOOKUP($A5800,原始数据_利率互换_FR007_1年!$A$6:$C$4395,3,0),"")</f>
        <v>2.3324</v>
      </c>
    </row>
    <row r="5801" spans="1:9">
      <c r="A5801" s="6">
        <v>45294</v>
      </c>
      <c r="B5801">
        <f>IFERROR(VLOOKUP($A5801,原始数据_收盘!$A$4:$G$3460,2,0),"")</f>
        <v>2.054</v>
      </c>
      <c r="C5801">
        <f>IFERROR(VLOOKUP($A5801,原始数据_收盘!$A$4:$G$3460,3,0),"")</f>
        <v>2.3325</v>
      </c>
      <c r="D5801">
        <f>IFERROR(VLOOKUP($A5801,原始数据_收盘!$A$4:$G$3460,4,0),"")</f>
        <v>2.0567</v>
      </c>
      <c r="E5801">
        <f>IFERROR(VLOOKUP($A5801,原始数据_收盘!$A$4:$G$3460,5,0),"")</f>
        <v>2.335</v>
      </c>
      <c r="F5801">
        <f>IFERROR(VLOOKUP($A5801,原始数据_收盘!$A$4:$G$3460,6,0),"")</f>
        <v>2.0554</v>
      </c>
      <c r="G5801">
        <f>IFERROR(VLOOKUP($A5801,原始数据_收盘!$A$4:$G$3460,7,0),"")</f>
        <v>2.3338</v>
      </c>
      <c r="H5801">
        <f>IFERROR(VLOOKUP($A5801,原始数据_利率互换_FR007_1年!$A$6:$C$4395,2,0),"")</f>
        <v>2.0652</v>
      </c>
      <c r="I5801">
        <f>IFERROR(VLOOKUP($A5801,原始数据_利率互换_FR007_1年!$A$6:$C$4395,3,0),"")</f>
        <v>2.346</v>
      </c>
    </row>
    <row r="5802" spans="1:9">
      <c r="A5802" s="6">
        <v>45295</v>
      </c>
      <c r="B5802">
        <f>IFERROR(VLOOKUP($A5802,原始数据_收盘!$A$4:$G$3460,2,0),"")</f>
        <v>2.0775</v>
      </c>
      <c r="C5802">
        <f>IFERROR(VLOOKUP($A5802,原始数据_收盘!$A$4:$G$3460,3,0),"")</f>
        <v>2.3424</v>
      </c>
      <c r="D5802">
        <f>IFERROR(VLOOKUP($A5802,原始数据_收盘!$A$4:$G$3460,4,0),"")</f>
        <v>2.08</v>
      </c>
      <c r="E5802">
        <f>IFERROR(VLOOKUP($A5802,原始数据_收盘!$A$4:$G$3460,5,0),"")</f>
        <v>2.345</v>
      </c>
      <c r="F5802">
        <f>IFERROR(VLOOKUP($A5802,原始数据_收盘!$A$4:$G$3460,6,0),"")</f>
        <v>2.0788</v>
      </c>
      <c r="G5802">
        <f>IFERROR(VLOOKUP($A5802,原始数据_收盘!$A$4:$G$3460,7,0),"")</f>
        <v>2.3437</v>
      </c>
      <c r="H5802">
        <f>IFERROR(VLOOKUP($A5802,原始数据_利率互换_FR007_1年!$A$6:$C$4395,2,0),"")</f>
        <v>2.0672</v>
      </c>
      <c r="I5802">
        <f>IFERROR(VLOOKUP($A5802,原始数据_利率互换_FR007_1年!$A$6:$C$4395,3,0),"")</f>
        <v>2.3387</v>
      </c>
    </row>
    <row r="5803" spans="1:9">
      <c r="A5803" s="6">
        <v>45296</v>
      </c>
      <c r="B5803">
        <f>IFERROR(VLOOKUP($A5803,原始数据_收盘!$A$4:$G$3460,2,0),"")</f>
        <v>2.0425</v>
      </c>
      <c r="C5803">
        <f>IFERROR(VLOOKUP($A5803,原始数据_收盘!$A$4:$G$3460,3,0),"")</f>
        <v>2.31</v>
      </c>
      <c r="D5803">
        <f>IFERROR(VLOOKUP($A5803,原始数据_收盘!$A$4:$G$3460,4,0),"")</f>
        <v>2.045</v>
      </c>
      <c r="E5803">
        <f>IFERROR(VLOOKUP($A5803,原始数据_收盘!$A$4:$G$3460,5,0),"")</f>
        <v>2.3125</v>
      </c>
      <c r="F5803">
        <f>IFERROR(VLOOKUP($A5803,原始数据_收盘!$A$4:$G$3460,6,0),"")</f>
        <v>2.0438</v>
      </c>
      <c r="G5803">
        <f>IFERROR(VLOOKUP($A5803,原始数据_收盘!$A$4:$G$3460,7,0),"")</f>
        <v>2.3113</v>
      </c>
      <c r="H5803">
        <f>IFERROR(VLOOKUP($A5803,原始数据_利率互换_FR007_1年!$A$6:$C$4395,2,0),"")</f>
        <v>2.0512</v>
      </c>
      <c r="I5803">
        <f>IFERROR(VLOOKUP($A5803,原始数据_利率互换_FR007_1年!$A$6:$C$4395,3,0),"")</f>
        <v>2.3121</v>
      </c>
    </row>
    <row r="5804" spans="1:9">
      <c r="A5804" s="6">
        <v>45297</v>
      </c>
      <c r="B5804" t="str">
        <f>IFERROR(VLOOKUP($A5804,原始数据_收盘!$A$4:$G$3460,2,0),"")</f>
        <v/>
      </c>
      <c r="C5804" t="str">
        <f>IFERROR(VLOOKUP($A5804,原始数据_收盘!$A$4:$G$3460,3,0),"")</f>
        <v/>
      </c>
      <c r="D5804" t="str">
        <f>IFERROR(VLOOKUP($A5804,原始数据_收盘!$A$4:$G$3460,4,0),"")</f>
        <v/>
      </c>
      <c r="E5804" t="str">
        <f>IFERROR(VLOOKUP($A5804,原始数据_收盘!$A$4:$G$3460,5,0),"")</f>
        <v/>
      </c>
      <c r="F5804" t="str">
        <f>IFERROR(VLOOKUP($A5804,原始数据_收盘!$A$4:$G$3460,6,0),"")</f>
        <v/>
      </c>
      <c r="G5804" t="str">
        <f>IFERROR(VLOOKUP($A5804,原始数据_收盘!$A$4:$G$3460,7,0),"")</f>
        <v/>
      </c>
      <c r="H5804" t="str">
        <f>IFERROR(VLOOKUP($A5804,原始数据_利率互换_FR007_1年!$A$6:$C$4395,2,0),"")</f>
        <v/>
      </c>
      <c r="I5804" t="str">
        <f>IFERROR(VLOOKUP($A5804,原始数据_利率互换_FR007_1年!$A$6:$C$4395,3,0),"")</f>
        <v/>
      </c>
    </row>
    <row r="5805" spans="1:9">
      <c r="A5805" s="6">
        <v>45298</v>
      </c>
      <c r="B5805" t="str">
        <f>IFERROR(VLOOKUP($A5805,原始数据_收盘!$A$4:$G$3460,2,0),"")</f>
        <v/>
      </c>
      <c r="C5805" t="str">
        <f>IFERROR(VLOOKUP($A5805,原始数据_收盘!$A$4:$G$3460,3,0),"")</f>
        <v/>
      </c>
      <c r="D5805" t="str">
        <f>IFERROR(VLOOKUP($A5805,原始数据_收盘!$A$4:$G$3460,4,0),"")</f>
        <v/>
      </c>
      <c r="E5805" t="str">
        <f>IFERROR(VLOOKUP($A5805,原始数据_收盘!$A$4:$G$3460,5,0),"")</f>
        <v/>
      </c>
      <c r="F5805" t="str">
        <f>IFERROR(VLOOKUP($A5805,原始数据_收盘!$A$4:$G$3460,6,0),"")</f>
        <v/>
      </c>
      <c r="G5805" t="str">
        <f>IFERROR(VLOOKUP($A5805,原始数据_收盘!$A$4:$G$3460,7,0),"")</f>
        <v/>
      </c>
      <c r="H5805" t="str">
        <f>IFERROR(VLOOKUP($A5805,原始数据_利率互换_FR007_1年!$A$6:$C$4395,2,0),"")</f>
        <v/>
      </c>
      <c r="I5805" t="str">
        <f>IFERROR(VLOOKUP($A5805,原始数据_利率互换_FR007_1年!$A$6:$C$4395,3,0),"")</f>
        <v/>
      </c>
    </row>
    <row r="5806" spans="1:9">
      <c r="A5806" s="6">
        <v>45299</v>
      </c>
      <c r="B5806">
        <f>IFERROR(VLOOKUP($A5806,原始数据_收盘!$A$4:$G$3460,2,0),"")</f>
        <v>2.0624</v>
      </c>
      <c r="C5806">
        <f>IFERROR(VLOOKUP($A5806,原始数据_收盘!$A$4:$G$3460,3,0),"")</f>
        <v>2.3125</v>
      </c>
      <c r="D5806">
        <f>IFERROR(VLOOKUP($A5806,原始数据_收盘!$A$4:$G$3460,4,0),"")</f>
        <v>2.064</v>
      </c>
      <c r="E5806">
        <f>IFERROR(VLOOKUP($A5806,原始数据_收盘!$A$4:$G$3460,5,0),"")</f>
        <v>2.3152</v>
      </c>
      <c r="F5806">
        <f>IFERROR(VLOOKUP($A5806,原始数据_收盘!$A$4:$G$3460,6,0),"")</f>
        <v>2.0632</v>
      </c>
      <c r="G5806">
        <f>IFERROR(VLOOKUP($A5806,原始数据_收盘!$A$4:$G$3460,7,0),"")</f>
        <v>2.3138</v>
      </c>
      <c r="H5806">
        <f>IFERROR(VLOOKUP($A5806,原始数据_利率互换_FR007_1年!$A$6:$C$4395,2,0),"")</f>
        <v>2.0606</v>
      </c>
      <c r="I5806">
        <f>IFERROR(VLOOKUP($A5806,原始数据_利率互换_FR007_1年!$A$6:$C$4395,3,0),"")</f>
        <v>2.3141</v>
      </c>
    </row>
    <row r="5807" spans="1:9">
      <c r="A5807" s="6">
        <v>45300</v>
      </c>
      <c r="B5807">
        <f>IFERROR(VLOOKUP($A5807,原始数据_收盘!$A$4:$G$3460,2,0),"")</f>
        <v>2.045</v>
      </c>
      <c r="C5807">
        <f>IFERROR(VLOOKUP($A5807,原始数据_收盘!$A$4:$G$3460,3,0),"")</f>
        <v>2.2808</v>
      </c>
      <c r="D5807">
        <f>IFERROR(VLOOKUP($A5807,原始数据_收盘!$A$4:$G$3460,4,0),"")</f>
        <v>2.0476</v>
      </c>
      <c r="E5807">
        <f>IFERROR(VLOOKUP($A5807,原始数据_收盘!$A$4:$G$3460,5,0),"")</f>
        <v>2.2835</v>
      </c>
      <c r="F5807">
        <f>IFERROR(VLOOKUP($A5807,原始数据_收盘!$A$4:$G$3460,6,0),"")</f>
        <v>2.0463</v>
      </c>
      <c r="G5807">
        <f>IFERROR(VLOOKUP($A5807,原始数据_收盘!$A$4:$G$3460,7,0),"")</f>
        <v>2.2821</v>
      </c>
      <c r="H5807">
        <f>IFERROR(VLOOKUP($A5807,原始数据_利率互换_FR007_1年!$A$6:$C$4395,2,0),"")</f>
        <v>2.0431</v>
      </c>
      <c r="I5807">
        <f>IFERROR(VLOOKUP($A5807,原始数据_利率互换_FR007_1年!$A$6:$C$4395,3,0),"")</f>
        <v>2.2903</v>
      </c>
    </row>
    <row r="5808" spans="1:9">
      <c r="A5808" s="6">
        <v>45301</v>
      </c>
      <c r="B5808">
        <f>IFERROR(VLOOKUP($A5808,原始数据_收盘!$A$4:$G$3460,2,0),"")</f>
        <v>2.0613</v>
      </c>
      <c r="C5808">
        <f>IFERROR(VLOOKUP($A5808,原始数据_收盘!$A$4:$G$3460,3,0),"")</f>
        <v>2.3006</v>
      </c>
      <c r="D5808">
        <f>IFERROR(VLOOKUP($A5808,原始数据_收盘!$A$4:$G$3460,4,0),"")</f>
        <v>2.0626</v>
      </c>
      <c r="E5808">
        <f>IFERROR(VLOOKUP($A5808,原始数据_收盘!$A$4:$G$3460,5,0),"")</f>
        <v>2.3037</v>
      </c>
      <c r="F5808">
        <f>IFERROR(VLOOKUP($A5808,原始数据_收盘!$A$4:$G$3460,6,0),"")</f>
        <v>2.0619</v>
      </c>
      <c r="G5808">
        <f>IFERROR(VLOOKUP($A5808,原始数据_收盘!$A$4:$G$3460,7,0),"")</f>
        <v>2.3021</v>
      </c>
      <c r="H5808">
        <f>IFERROR(VLOOKUP($A5808,原始数据_利率互换_FR007_1年!$A$6:$C$4395,2,0),"")</f>
        <v>2.0585</v>
      </c>
      <c r="I5808">
        <f>IFERROR(VLOOKUP($A5808,原始数据_利率互换_FR007_1年!$A$6:$C$4395,3,0),"")</f>
        <v>2.2951</v>
      </c>
    </row>
    <row r="5809" spans="1:9">
      <c r="A5809" s="6">
        <v>45302</v>
      </c>
      <c r="B5809">
        <f>IFERROR(VLOOKUP($A5809,原始数据_收盘!$A$4:$G$3460,2,0),"")</f>
        <v>2.045</v>
      </c>
      <c r="C5809">
        <f>IFERROR(VLOOKUP($A5809,原始数据_收盘!$A$4:$G$3460,3,0),"")</f>
        <v>2.2825</v>
      </c>
      <c r="D5809">
        <f>IFERROR(VLOOKUP($A5809,原始数据_收盘!$A$4:$G$3460,4,0),"")</f>
        <v>2.0475</v>
      </c>
      <c r="E5809">
        <f>IFERROR(VLOOKUP($A5809,原始数据_收盘!$A$4:$G$3460,5,0),"")</f>
        <v>2.2875</v>
      </c>
      <c r="F5809">
        <f>IFERROR(VLOOKUP($A5809,原始数据_收盘!$A$4:$G$3460,6,0),"")</f>
        <v>2.0463</v>
      </c>
      <c r="G5809">
        <f>IFERROR(VLOOKUP($A5809,原始数据_收盘!$A$4:$G$3460,7,0),"")</f>
        <v>2.285</v>
      </c>
      <c r="H5809">
        <f>IFERROR(VLOOKUP($A5809,原始数据_利率互换_FR007_1年!$A$6:$C$4395,2,0),"")</f>
        <v>2.0534</v>
      </c>
      <c r="I5809">
        <f>IFERROR(VLOOKUP($A5809,原始数据_利率互换_FR007_1年!$A$6:$C$4395,3,0),"")</f>
        <v>2.2941</v>
      </c>
    </row>
    <row r="5810" spans="1:9">
      <c r="A5810" s="6">
        <v>45303</v>
      </c>
      <c r="B5810">
        <f>IFERROR(VLOOKUP($A5810,原始数据_收盘!$A$4:$G$3460,2,0),"")</f>
        <v>2.04</v>
      </c>
      <c r="C5810">
        <f>IFERROR(VLOOKUP($A5810,原始数据_收盘!$A$4:$G$3460,3,0),"")</f>
        <v>2.2975</v>
      </c>
      <c r="D5810">
        <f>IFERROR(VLOOKUP($A5810,原始数据_收盘!$A$4:$G$3460,4,0),"")</f>
        <v>2.0437</v>
      </c>
      <c r="E5810">
        <f>IFERROR(VLOOKUP($A5810,原始数据_收盘!$A$4:$G$3460,5,0),"")</f>
        <v>2.3</v>
      </c>
      <c r="F5810">
        <f>IFERROR(VLOOKUP($A5810,原始数据_收盘!$A$4:$G$3460,6,0),"")</f>
        <v>2.0418</v>
      </c>
      <c r="G5810">
        <f>IFERROR(VLOOKUP($A5810,原始数据_收盘!$A$4:$G$3460,7,0),"")</f>
        <v>2.2988</v>
      </c>
      <c r="H5810">
        <f>IFERROR(VLOOKUP($A5810,原始数据_利率互换_FR007_1年!$A$6:$C$4395,2,0),"")</f>
        <v>2.0402</v>
      </c>
      <c r="I5810">
        <f>IFERROR(VLOOKUP($A5810,原始数据_利率互换_FR007_1年!$A$6:$C$4395,3,0),"")</f>
        <v>2.2977</v>
      </c>
    </row>
    <row r="5811" spans="1:9">
      <c r="A5811" s="6">
        <v>45304</v>
      </c>
      <c r="B5811" t="str">
        <f>IFERROR(VLOOKUP($A5811,原始数据_收盘!$A$4:$G$3460,2,0),"")</f>
        <v/>
      </c>
      <c r="C5811" t="str">
        <f>IFERROR(VLOOKUP($A5811,原始数据_收盘!$A$4:$G$3460,3,0),"")</f>
        <v/>
      </c>
      <c r="D5811" t="str">
        <f>IFERROR(VLOOKUP($A5811,原始数据_收盘!$A$4:$G$3460,4,0),"")</f>
        <v/>
      </c>
      <c r="E5811" t="str">
        <f>IFERROR(VLOOKUP($A5811,原始数据_收盘!$A$4:$G$3460,5,0),"")</f>
        <v/>
      </c>
      <c r="F5811" t="str">
        <f>IFERROR(VLOOKUP($A5811,原始数据_收盘!$A$4:$G$3460,6,0),"")</f>
        <v/>
      </c>
      <c r="G5811" t="str">
        <f>IFERROR(VLOOKUP($A5811,原始数据_收盘!$A$4:$G$3460,7,0),"")</f>
        <v/>
      </c>
      <c r="H5811" t="str">
        <f>IFERROR(VLOOKUP($A5811,原始数据_利率互换_FR007_1年!$A$6:$C$4395,2,0),"")</f>
        <v/>
      </c>
      <c r="I5811" t="str">
        <f>IFERROR(VLOOKUP($A5811,原始数据_利率互换_FR007_1年!$A$6:$C$4395,3,0),"")</f>
        <v/>
      </c>
    </row>
    <row r="5812" spans="1:9">
      <c r="A5812" s="6">
        <v>45305</v>
      </c>
      <c r="B5812" t="str">
        <f>IFERROR(VLOOKUP($A5812,原始数据_收盘!$A$4:$G$3460,2,0),"")</f>
        <v/>
      </c>
      <c r="C5812" t="str">
        <f>IFERROR(VLOOKUP($A5812,原始数据_收盘!$A$4:$G$3460,3,0),"")</f>
        <v/>
      </c>
      <c r="D5812" t="str">
        <f>IFERROR(VLOOKUP($A5812,原始数据_收盘!$A$4:$G$3460,4,0),"")</f>
        <v/>
      </c>
      <c r="E5812" t="str">
        <f>IFERROR(VLOOKUP($A5812,原始数据_收盘!$A$4:$G$3460,5,0),"")</f>
        <v/>
      </c>
      <c r="F5812" t="str">
        <f>IFERROR(VLOOKUP($A5812,原始数据_收盘!$A$4:$G$3460,6,0),"")</f>
        <v/>
      </c>
      <c r="G5812" t="str">
        <f>IFERROR(VLOOKUP($A5812,原始数据_收盘!$A$4:$G$3460,7,0),"")</f>
        <v/>
      </c>
      <c r="H5812" t="str">
        <f>IFERROR(VLOOKUP($A5812,原始数据_利率互换_FR007_1年!$A$6:$C$4395,2,0),"")</f>
        <v/>
      </c>
      <c r="I5812" t="str">
        <f>IFERROR(VLOOKUP($A5812,原始数据_利率互换_FR007_1年!$A$6:$C$4395,3,0),"")</f>
        <v/>
      </c>
    </row>
    <row r="5813" spans="1:9">
      <c r="A5813" s="6">
        <v>45306</v>
      </c>
      <c r="B5813">
        <f>IFERROR(VLOOKUP($A5813,原始数据_收盘!$A$4:$G$3460,2,0),"")</f>
        <v>2.085</v>
      </c>
      <c r="C5813">
        <f>IFERROR(VLOOKUP($A5813,原始数据_收盘!$A$4:$G$3460,3,0),"")</f>
        <v>2.305</v>
      </c>
      <c r="D5813">
        <f>IFERROR(VLOOKUP($A5813,原始数据_收盘!$A$4:$G$3460,4,0),"")</f>
        <v>2.0875</v>
      </c>
      <c r="E5813">
        <f>IFERROR(VLOOKUP($A5813,原始数据_收盘!$A$4:$G$3460,5,0),"")</f>
        <v>2.3075</v>
      </c>
      <c r="F5813">
        <f>IFERROR(VLOOKUP($A5813,原始数据_收盘!$A$4:$G$3460,6,0),"")</f>
        <v>2.0863</v>
      </c>
      <c r="G5813">
        <f>IFERROR(VLOOKUP($A5813,原始数据_收盘!$A$4:$G$3460,7,0),"")</f>
        <v>2.3063</v>
      </c>
      <c r="H5813">
        <f>IFERROR(VLOOKUP($A5813,原始数据_利率互换_FR007_1年!$A$6:$C$4395,2,0),"")</f>
        <v>2.0704</v>
      </c>
      <c r="I5813">
        <f>IFERROR(VLOOKUP($A5813,原始数据_利率互换_FR007_1年!$A$6:$C$4395,3,0),"")</f>
        <v>2.2994</v>
      </c>
    </row>
    <row r="5814" spans="1:9">
      <c r="A5814" s="6">
        <v>45307</v>
      </c>
      <c r="B5814">
        <f>IFERROR(VLOOKUP($A5814,原始数据_收盘!$A$4:$G$3460,2,0),"")</f>
        <v>2.108</v>
      </c>
      <c r="C5814">
        <f>IFERROR(VLOOKUP($A5814,原始数据_收盘!$A$4:$G$3460,3,0),"")</f>
        <v>2.3155</v>
      </c>
      <c r="D5814">
        <f>IFERROR(VLOOKUP($A5814,原始数据_收盘!$A$4:$G$3460,4,0),"")</f>
        <v>2.1109</v>
      </c>
      <c r="E5814">
        <f>IFERROR(VLOOKUP($A5814,原始数据_收盘!$A$4:$G$3460,5,0),"")</f>
        <v>2.3182</v>
      </c>
      <c r="F5814">
        <f>IFERROR(VLOOKUP($A5814,原始数据_收盘!$A$4:$G$3460,6,0),"")</f>
        <v>2.1095</v>
      </c>
      <c r="G5814">
        <f>IFERROR(VLOOKUP($A5814,原始数据_收盘!$A$4:$G$3460,7,0),"")</f>
        <v>2.3169</v>
      </c>
      <c r="H5814">
        <f>IFERROR(VLOOKUP($A5814,原始数据_利率互换_FR007_1年!$A$6:$C$4395,2,0),"")</f>
        <v>2.1048</v>
      </c>
      <c r="I5814">
        <f>IFERROR(VLOOKUP($A5814,原始数据_利率互换_FR007_1年!$A$6:$C$4395,3,0),"")</f>
        <v>2.317</v>
      </c>
    </row>
    <row r="5815" spans="1:9">
      <c r="A5815" s="6">
        <v>45308</v>
      </c>
      <c r="B5815">
        <f>IFERROR(VLOOKUP($A5815,原始数据_收盘!$A$4:$G$3460,2,0),"")</f>
        <v>2.0975</v>
      </c>
      <c r="C5815">
        <f>IFERROR(VLOOKUP($A5815,原始数据_收盘!$A$4:$G$3460,3,0),"")</f>
        <v>2.2908</v>
      </c>
      <c r="D5815">
        <f>IFERROR(VLOOKUP($A5815,原始数据_收盘!$A$4:$G$3460,4,0),"")</f>
        <v>2.1</v>
      </c>
      <c r="E5815">
        <f>IFERROR(VLOOKUP($A5815,原始数据_收盘!$A$4:$G$3460,5,0),"")</f>
        <v>2.2929</v>
      </c>
      <c r="F5815">
        <f>IFERROR(VLOOKUP($A5815,原始数据_收盘!$A$4:$G$3460,6,0),"")</f>
        <v>2.0988</v>
      </c>
      <c r="G5815">
        <f>IFERROR(VLOOKUP($A5815,原始数据_收盘!$A$4:$G$3460,7,0),"")</f>
        <v>2.2919</v>
      </c>
      <c r="H5815">
        <f>IFERROR(VLOOKUP($A5815,原始数据_利率互换_FR007_1年!$A$6:$C$4395,2,0),"")</f>
        <v>2.103</v>
      </c>
      <c r="I5815">
        <f>IFERROR(VLOOKUP($A5815,原始数据_利率互换_FR007_1年!$A$6:$C$4395,3,0),"")</f>
        <v>2.305</v>
      </c>
    </row>
    <row r="5816" spans="1:9">
      <c r="A5816" s="6">
        <v>45309</v>
      </c>
      <c r="B5816">
        <f>IFERROR(VLOOKUP($A5816,原始数据_收盘!$A$4:$G$3460,2,0),"")</f>
        <v>2.09</v>
      </c>
      <c r="C5816">
        <f>IFERROR(VLOOKUP($A5816,原始数据_收盘!$A$4:$G$3460,3,0),"")</f>
        <v>2.3025</v>
      </c>
      <c r="D5816">
        <f>IFERROR(VLOOKUP($A5816,原始数据_收盘!$A$4:$G$3460,4,0),"")</f>
        <v>2.0925</v>
      </c>
      <c r="E5816">
        <f>IFERROR(VLOOKUP($A5816,原始数据_收盘!$A$4:$G$3460,5,0),"")</f>
        <v>2.305</v>
      </c>
      <c r="F5816">
        <f>IFERROR(VLOOKUP($A5816,原始数据_收盘!$A$4:$G$3460,6,0),"")</f>
        <v>2.0913</v>
      </c>
      <c r="G5816">
        <f>IFERROR(VLOOKUP($A5816,原始数据_收盘!$A$4:$G$3460,7,0),"")</f>
        <v>2.3038</v>
      </c>
      <c r="H5816">
        <f>IFERROR(VLOOKUP($A5816,原始数据_利率互换_FR007_1年!$A$6:$C$4395,2,0),"")</f>
        <v>2.0938</v>
      </c>
      <c r="I5816">
        <f>IFERROR(VLOOKUP($A5816,原始数据_利率互换_FR007_1年!$A$6:$C$4395,3,0),"")</f>
        <v>2.2987</v>
      </c>
    </row>
    <row r="5817" spans="1:9">
      <c r="A5817" s="6">
        <v>45310</v>
      </c>
      <c r="B5817">
        <f>IFERROR(VLOOKUP($A5817,原始数据_收盘!$A$4:$G$3460,2,0),"")</f>
        <v>2.07</v>
      </c>
      <c r="C5817">
        <f>IFERROR(VLOOKUP($A5817,原始数据_收盘!$A$4:$G$3460,3,0),"")</f>
        <v>2.292</v>
      </c>
      <c r="D5817">
        <f>IFERROR(VLOOKUP($A5817,原始数据_收盘!$A$4:$G$3460,4,0),"")</f>
        <v>2.0725</v>
      </c>
      <c r="E5817">
        <f>IFERROR(VLOOKUP($A5817,原始数据_收盘!$A$4:$G$3460,5,0),"")</f>
        <v>2.2945</v>
      </c>
      <c r="F5817">
        <f>IFERROR(VLOOKUP($A5817,原始数据_收盘!$A$4:$G$3460,6,0),"")</f>
        <v>2.0713</v>
      </c>
      <c r="G5817">
        <f>IFERROR(VLOOKUP($A5817,原始数据_收盘!$A$4:$G$3460,7,0),"")</f>
        <v>2.2932</v>
      </c>
      <c r="H5817">
        <f>IFERROR(VLOOKUP($A5817,原始数据_利率互换_FR007_1年!$A$6:$C$4395,2,0),"")</f>
        <v>2.0717</v>
      </c>
      <c r="I5817">
        <f>IFERROR(VLOOKUP($A5817,原始数据_利率互换_FR007_1年!$A$6:$C$4395,3,0),"")</f>
        <v>2.2965</v>
      </c>
    </row>
    <row r="5818" spans="1:9">
      <c r="A5818" s="6">
        <v>45311</v>
      </c>
      <c r="B5818" t="str">
        <f>IFERROR(VLOOKUP($A5818,原始数据_收盘!$A$4:$G$3460,2,0),"")</f>
        <v/>
      </c>
      <c r="C5818" t="str">
        <f>IFERROR(VLOOKUP($A5818,原始数据_收盘!$A$4:$G$3460,3,0),"")</f>
        <v/>
      </c>
      <c r="D5818" t="str">
        <f>IFERROR(VLOOKUP($A5818,原始数据_收盘!$A$4:$G$3460,4,0),"")</f>
        <v/>
      </c>
      <c r="E5818" t="str">
        <f>IFERROR(VLOOKUP($A5818,原始数据_收盘!$A$4:$G$3460,5,0),"")</f>
        <v/>
      </c>
      <c r="F5818" t="str">
        <f>IFERROR(VLOOKUP($A5818,原始数据_收盘!$A$4:$G$3460,6,0),"")</f>
        <v/>
      </c>
      <c r="G5818" t="str">
        <f>IFERROR(VLOOKUP($A5818,原始数据_收盘!$A$4:$G$3460,7,0),"")</f>
        <v/>
      </c>
      <c r="H5818" t="str">
        <f>IFERROR(VLOOKUP($A5818,原始数据_利率互换_FR007_1年!$A$6:$C$4395,2,0),"")</f>
        <v/>
      </c>
      <c r="I5818" t="str">
        <f>IFERROR(VLOOKUP($A5818,原始数据_利率互换_FR007_1年!$A$6:$C$4395,3,0),"")</f>
        <v/>
      </c>
    </row>
    <row r="5819" spans="1:9">
      <c r="A5819" s="6">
        <v>45312</v>
      </c>
      <c r="B5819" t="str">
        <f>IFERROR(VLOOKUP($A5819,原始数据_收盘!$A$4:$G$3460,2,0),"")</f>
        <v/>
      </c>
      <c r="C5819" t="str">
        <f>IFERROR(VLOOKUP($A5819,原始数据_收盘!$A$4:$G$3460,3,0),"")</f>
        <v/>
      </c>
      <c r="D5819" t="str">
        <f>IFERROR(VLOOKUP($A5819,原始数据_收盘!$A$4:$G$3460,4,0),"")</f>
        <v/>
      </c>
      <c r="E5819" t="str">
        <f>IFERROR(VLOOKUP($A5819,原始数据_收盘!$A$4:$G$3460,5,0),"")</f>
        <v/>
      </c>
      <c r="F5819" t="str">
        <f>IFERROR(VLOOKUP($A5819,原始数据_收盘!$A$4:$G$3460,6,0),"")</f>
        <v/>
      </c>
      <c r="G5819" t="str">
        <f>IFERROR(VLOOKUP($A5819,原始数据_收盘!$A$4:$G$3460,7,0),"")</f>
        <v/>
      </c>
      <c r="H5819" t="str">
        <f>IFERROR(VLOOKUP($A5819,原始数据_利率互换_FR007_1年!$A$6:$C$4395,2,0),"")</f>
        <v/>
      </c>
      <c r="I5819" t="str">
        <f>IFERROR(VLOOKUP($A5819,原始数据_利率互换_FR007_1年!$A$6:$C$4395,3,0),"")</f>
        <v/>
      </c>
    </row>
    <row r="5820" spans="1:9">
      <c r="A5820" s="6">
        <v>45313</v>
      </c>
      <c r="B5820">
        <f>IFERROR(VLOOKUP($A5820,原始数据_收盘!$A$4:$G$3460,2,0),"")</f>
        <v>2.0825</v>
      </c>
      <c r="C5820">
        <f>IFERROR(VLOOKUP($A5820,原始数据_收盘!$A$4:$G$3460,3,0),"")</f>
        <v>2.2875</v>
      </c>
      <c r="D5820">
        <f>IFERROR(VLOOKUP($A5820,原始数据_收盘!$A$4:$G$3460,4,0),"")</f>
        <v>2.085</v>
      </c>
      <c r="E5820">
        <f>IFERROR(VLOOKUP($A5820,原始数据_收盘!$A$4:$G$3460,5,0),"")</f>
        <v>2.29</v>
      </c>
      <c r="F5820">
        <f>IFERROR(VLOOKUP($A5820,原始数据_收盘!$A$4:$G$3460,6,0),"")</f>
        <v>2.0838</v>
      </c>
      <c r="G5820">
        <f>IFERROR(VLOOKUP($A5820,原始数据_收盘!$A$4:$G$3460,7,0),"")</f>
        <v>2.2888</v>
      </c>
      <c r="H5820">
        <f>IFERROR(VLOOKUP($A5820,原始数据_利率互换_FR007_1年!$A$6:$C$4395,2,0),"")</f>
        <v>2.0869</v>
      </c>
      <c r="I5820">
        <f>IFERROR(VLOOKUP($A5820,原始数据_利率互换_FR007_1年!$A$6:$C$4395,3,0),"")</f>
        <v>2.2916</v>
      </c>
    </row>
    <row r="5821" spans="1:9">
      <c r="A5821" s="6">
        <v>45314</v>
      </c>
      <c r="B5821">
        <f>IFERROR(VLOOKUP($A5821,原始数据_收盘!$A$4:$G$3460,2,0),"")</f>
        <v>2.08</v>
      </c>
      <c r="C5821">
        <f>IFERROR(VLOOKUP($A5821,原始数据_收盘!$A$4:$G$3460,3,0),"")</f>
        <v>2.3066</v>
      </c>
      <c r="D5821">
        <f>IFERROR(VLOOKUP($A5821,原始数据_收盘!$A$4:$G$3460,4,0),"")</f>
        <v>2.0825</v>
      </c>
      <c r="E5821">
        <f>IFERROR(VLOOKUP($A5821,原始数据_收盘!$A$4:$G$3460,5,0),"")</f>
        <v>2.309</v>
      </c>
      <c r="F5821">
        <f>IFERROR(VLOOKUP($A5821,原始数据_收盘!$A$4:$G$3460,6,0),"")</f>
        <v>2.0813</v>
      </c>
      <c r="G5821">
        <f>IFERROR(VLOOKUP($A5821,原始数据_收盘!$A$4:$G$3460,7,0),"")</f>
        <v>2.3078</v>
      </c>
      <c r="H5821">
        <f>IFERROR(VLOOKUP($A5821,原始数据_利率互换_FR007_1年!$A$6:$C$4395,2,0),"")</f>
        <v>2.085</v>
      </c>
      <c r="I5821">
        <f>IFERROR(VLOOKUP($A5821,原始数据_利率互换_FR007_1年!$A$6:$C$4395,3,0),"")</f>
        <v>2.3025</v>
      </c>
    </row>
    <row r="5822" spans="1:9">
      <c r="A5822" s="6">
        <v>45315</v>
      </c>
      <c r="B5822">
        <f>IFERROR(VLOOKUP($A5822,原始数据_收盘!$A$4:$G$3460,2,0),"")</f>
        <v>2.0445</v>
      </c>
      <c r="C5822">
        <f>IFERROR(VLOOKUP($A5822,原始数据_收盘!$A$4:$G$3460,3,0),"")</f>
        <v>2.2903</v>
      </c>
      <c r="D5822">
        <f>IFERROR(VLOOKUP($A5822,原始数据_收盘!$A$4:$G$3460,4,0),"")</f>
        <v>2.0479</v>
      </c>
      <c r="E5822">
        <f>IFERROR(VLOOKUP($A5822,原始数据_收盘!$A$4:$G$3460,5,0),"")</f>
        <v>2.293</v>
      </c>
      <c r="F5822">
        <f>IFERROR(VLOOKUP($A5822,原始数据_收盘!$A$4:$G$3460,6,0),"")</f>
        <v>2.0462</v>
      </c>
      <c r="G5822">
        <f>IFERROR(VLOOKUP($A5822,原始数据_收盘!$A$4:$G$3460,7,0),"")</f>
        <v>2.2916</v>
      </c>
      <c r="H5822">
        <f>IFERROR(VLOOKUP($A5822,原始数据_利率互换_FR007_1年!$A$6:$C$4395,2,0),"")</f>
        <v>2.0613</v>
      </c>
      <c r="I5822">
        <f>IFERROR(VLOOKUP($A5822,原始数据_利率互换_FR007_1年!$A$6:$C$4395,3,0),"")</f>
        <v>2.2955</v>
      </c>
    </row>
    <row r="5823" spans="1:9">
      <c r="A5823" s="6">
        <v>45316</v>
      </c>
      <c r="B5823">
        <f>IFERROR(VLOOKUP($A5823,原始数据_收盘!$A$4:$G$3460,2,0),"")</f>
        <v>2.0175</v>
      </c>
      <c r="C5823">
        <f>IFERROR(VLOOKUP($A5823,原始数据_收盘!$A$4:$G$3460,3,0),"")</f>
        <v>2.2575</v>
      </c>
      <c r="D5823">
        <f>IFERROR(VLOOKUP($A5823,原始数据_收盘!$A$4:$G$3460,4,0),"")</f>
        <v>2.0225</v>
      </c>
      <c r="E5823">
        <f>IFERROR(VLOOKUP($A5823,原始数据_收盘!$A$4:$G$3460,5,0),"")</f>
        <v>2.26</v>
      </c>
      <c r="F5823">
        <f>IFERROR(VLOOKUP($A5823,原始数据_收盘!$A$4:$G$3460,6,0),"")</f>
        <v>2.02</v>
      </c>
      <c r="G5823">
        <f>IFERROR(VLOOKUP($A5823,原始数据_收盘!$A$4:$G$3460,7,0),"")</f>
        <v>2.2588</v>
      </c>
      <c r="H5823">
        <f>IFERROR(VLOOKUP($A5823,原始数据_利率互换_FR007_1年!$A$6:$C$4395,2,0),"")</f>
        <v>2.0223</v>
      </c>
      <c r="I5823">
        <f>IFERROR(VLOOKUP($A5823,原始数据_利率互换_FR007_1年!$A$6:$C$4395,3,0),"")</f>
        <v>2.2648</v>
      </c>
    </row>
    <row r="5824" spans="1:9">
      <c r="A5824" s="6">
        <v>45317</v>
      </c>
      <c r="B5824">
        <f>IFERROR(VLOOKUP($A5824,原始数据_收盘!$A$4:$G$3460,2,0),"")</f>
        <v>2</v>
      </c>
      <c r="C5824">
        <f>IFERROR(VLOOKUP($A5824,原始数据_收盘!$A$4:$G$3460,3,0),"")</f>
        <v>2.255</v>
      </c>
      <c r="D5824">
        <f>IFERROR(VLOOKUP($A5824,原始数据_收盘!$A$4:$G$3460,4,0),"")</f>
        <v>2.0025</v>
      </c>
      <c r="E5824">
        <f>IFERROR(VLOOKUP($A5824,原始数据_收盘!$A$4:$G$3460,5,0),"")</f>
        <v>2.2575</v>
      </c>
      <c r="F5824">
        <f>IFERROR(VLOOKUP($A5824,原始数据_收盘!$A$4:$G$3460,6,0),"")</f>
        <v>2.0013</v>
      </c>
      <c r="G5824">
        <f>IFERROR(VLOOKUP($A5824,原始数据_收盘!$A$4:$G$3460,7,0),"")</f>
        <v>2.2563</v>
      </c>
      <c r="H5824">
        <f>IFERROR(VLOOKUP($A5824,原始数据_利率互换_FR007_1年!$A$6:$C$4395,2,0),"")</f>
        <v>2.0028</v>
      </c>
      <c r="I5824">
        <f>IFERROR(VLOOKUP($A5824,原始数据_利率互换_FR007_1年!$A$6:$C$4395,3,0),"")</f>
        <v>2.2585</v>
      </c>
    </row>
    <row r="5825" spans="1:9">
      <c r="A5825" s="6">
        <v>45318</v>
      </c>
      <c r="B5825" t="str">
        <f>IFERROR(VLOOKUP($A5825,原始数据_收盘!$A$4:$G$3460,2,0),"")</f>
        <v/>
      </c>
      <c r="C5825" t="str">
        <f>IFERROR(VLOOKUP($A5825,原始数据_收盘!$A$4:$G$3460,3,0),"")</f>
        <v/>
      </c>
      <c r="D5825" t="str">
        <f>IFERROR(VLOOKUP($A5825,原始数据_收盘!$A$4:$G$3460,4,0),"")</f>
        <v/>
      </c>
      <c r="E5825" t="str">
        <f>IFERROR(VLOOKUP($A5825,原始数据_收盘!$A$4:$G$3460,5,0),"")</f>
        <v/>
      </c>
      <c r="F5825" t="str">
        <f>IFERROR(VLOOKUP($A5825,原始数据_收盘!$A$4:$G$3460,6,0),"")</f>
        <v/>
      </c>
      <c r="G5825" t="str">
        <f>IFERROR(VLOOKUP($A5825,原始数据_收盘!$A$4:$G$3460,7,0),"")</f>
        <v/>
      </c>
      <c r="H5825" t="str">
        <f>IFERROR(VLOOKUP($A5825,原始数据_利率互换_FR007_1年!$A$6:$C$4395,2,0),"")</f>
        <v/>
      </c>
      <c r="I5825" t="str">
        <f>IFERROR(VLOOKUP($A5825,原始数据_利率互换_FR007_1年!$A$6:$C$4395,3,0),"")</f>
        <v/>
      </c>
    </row>
    <row r="5826" spans="1:9">
      <c r="A5826" s="6">
        <v>45319</v>
      </c>
      <c r="B5826" t="str">
        <f>IFERROR(VLOOKUP($A5826,原始数据_收盘!$A$4:$G$3460,2,0),"")</f>
        <v/>
      </c>
      <c r="C5826" t="str">
        <f>IFERROR(VLOOKUP($A5826,原始数据_收盘!$A$4:$G$3460,3,0),"")</f>
        <v/>
      </c>
      <c r="D5826" t="str">
        <f>IFERROR(VLOOKUP($A5826,原始数据_收盘!$A$4:$G$3460,4,0),"")</f>
        <v/>
      </c>
      <c r="E5826" t="str">
        <f>IFERROR(VLOOKUP($A5826,原始数据_收盘!$A$4:$G$3460,5,0),"")</f>
        <v/>
      </c>
      <c r="F5826" t="str">
        <f>IFERROR(VLOOKUP($A5826,原始数据_收盘!$A$4:$G$3460,6,0),"")</f>
        <v/>
      </c>
      <c r="G5826" t="str">
        <f>IFERROR(VLOOKUP($A5826,原始数据_收盘!$A$4:$G$3460,7,0),"")</f>
        <v/>
      </c>
      <c r="H5826" t="str">
        <f>IFERROR(VLOOKUP($A5826,原始数据_利率互换_FR007_1年!$A$6:$C$4395,2,0),"")</f>
        <v/>
      </c>
      <c r="I5826" t="str">
        <f>IFERROR(VLOOKUP($A5826,原始数据_利率互换_FR007_1年!$A$6:$C$4395,3,0),"")</f>
        <v/>
      </c>
    </row>
    <row r="5827" spans="1:9">
      <c r="A5827" s="6">
        <v>45320</v>
      </c>
      <c r="B5827">
        <f>IFERROR(VLOOKUP($A5827,原始数据_收盘!$A$4:$G$3460,2,0),"")</f>
        <v>1.9825</v>
      </c>
      <c r="C5827">
        <f>IFERROR(VLOOKUP($A5827,原始数据_收盘!$A$4:$G$3460,3,0),"")</f>
        <v>2.2225</v>
      </c>
      <c r="D5827">
        <f>IFERROR(VLOOKUP($A5827,原始数据_收盘!$A$4:$G$3460,4,0),"")</f>
        <v>1.985</v>
      </c>
      <c r="E5827">
        <f>IFERROR(VLOOKUP($A5827,原始数据_收盘!$A$4:$G$3460,5,0),"")</f>
        <v>2.225</v>
      </c>
      <c r="F5827">
        <f>IFERROR(VLOOKUP($A5827,原始数据_收盘!$A$4:$G$3460,6,0),"")</f>
        <v>1.9838</v>
      </c>
      <c r="G5827">
        <f>IFERROR(VLOOKUP($A5827,原始数据_收盘!$A$4:$G$3460,7,0),"")</f>
        <v>2.2238</v>
      </c>
      <c r="H5827">
        <f>IFERROR(VLOOKUP($A5827,原始数据_利率互换_FR007_1年!$A$6:$C$4395,2,0),"")</f>
        <v>1.9965</v>
      </c>
      <c r="I5827">
        <f>IFERROR(VLOOKUP($A5827,原始数据_利率互换_FR007_1年!$A$6:$C$4395,3,0),"")</f>
        <v>2.2389</v>
      </c>
    </row>
    <row r="5828" spans="1:9">
      <c r="A5828" s="6">
        <v>45321</v>
      </c>
      <c r="B5828">
        <f>IFERROR(VLOOKUP($A5828,原始数据_收盘!$A$4:$G$3460,2,0),"")</f>
        <v>1.9507</v>
      </c>
      <c r="C5828">
        <f>IFERROR(VLOOKUP($A5828,原始数据_收盘!$A$4:$G$3460,3,0),"")</f>
        <v>2.1775</v>
      </c>
      <c r="D5828">
        <f>IFERROR(VLOOKUP($A5828,原始数据_收盘!$A$4:$G$3460,4,0),"")</f>
        <v>1.9539</v>
      </c>
      <c r="E5828">
        <f>IFERROR(VLOOKUP($A5828,原始数据_收盘!$A$4:$G$3460,5,0),"")</f>
        <v>2.18</v>
      </c>
      <c r="F5828">
        <f>IFERROR(VLOOKUP($A5828,原始数据_收盘!$A$4:$G$3460,6,0),"")</f>
        <v>1.9523</v>
      </c>
      <c r="G5828">
        <f>IFERROR(VLOOKUP($A5828,原始数据_收盘!$A$4:$G$3460,7,0),"")</f>
        <v>2.1788</v>
      </c>
      <c r="H5828">
        <f>IFERROR(VLOOKUP($A5828,原始数据_利率互换_FR007_1年!$A$6:$C$4395,2,0),"")</f>
        <v>1.9438</v>
      </c>
      <c r="I5828">
        <f>IFERROR(VLOOKUP($A5828,原始数据_利率互换_FR007_1年!$A$6:$C$4395,3,0),"")</f>
        <v>2.1815</v>
      </c>
    </row>
    <row r="5829" spans="1:9">
      <c r="A5829" s="6">
        <v>45322</v>
      </c>
      <c r="B5829">
        <f>IFERROR(VLOOKUP($A5829,原始数据_收盘!$A$4:$G$3460,2,0),"")</f>
        <v>1.9625</v>
      </c>
      <c r="C5829">
        <f>IFERROR(VLOOKUP($A5829,原始数据_收盘!$A$4:$G$3460,3,0),"")</f>
        <v>2.175</v>
      </c>
      <c r="D5829">
        <f>IFERROR(VLOOKUP($A5829,原始数据_收盘!$A$4:$G$3460,4,0),"")</f>
        <v>1.965</v>
      </c>
      <c r="E5829">
        <f>IFERROR(VLOOKUP($A5829,原始数据_收盘!$A$4:$G$3460,5,0),"")</f>
        <v>2.1775</v>
      </c>
      <c r="F5829">
        <f>IFERROR(VLOOKUP($A5829,原始数据_收盘!$A$4:$G$3460,6,0),"")</f>
        <v>1.9638</v>
      </c>
      <c r="G5829">
        <f>IFERROR(VLOOKUP($A5829,原始数据_收盘!$A$4:$G$3460,7,0),"")</f>
        <v>2.1763</v>
      </c>
      <c r="H5829">
        <f>IFERROR(VLOOKUP($A5829,原始数据_利率互换_FR007_1年!$A$6:$C$4395,2,0),"")</f>
        <v>1.9714</v>
      </c>
      <c r="I5829">
        <f>IFERROR(VLOOKUP($A5829,原始数据_利率互换_FR007_1年!$A$6:$C$4395,3,0),"")</f>
        <v>2.1764</v>
      </c>
    </row>
    <row r="5830" spans="1:9">
      <c r="A5830" s="6">
        <v>45323</v>
      </c>
      <c r="B5830">
        <f>IFERROR(VLOOKUP($A5830,原始数据_收盘!$A$4:$G$3460,2,0),"")</f>
        <v>1.9675</v>
      </c>
      <c r="C5830">
        <f>IFERROR(VLOOKUP($A5830,原始数据_收盘!$A$4:$G$3460,3,0),"")</f>
        <v>2.19</v>
      </c>
      <c r="D5830">
        <f>IFERROR(VLOOKUP($A5830,原始数据_收盘!$A$4:$G$3460,4,0),"")</f>
        <v>1.97</v>
      </c>
      <c r="E5830">
        <f>IFERROR(VLOOKUP($A5830,原始数据_收盘!$A$4:$G$3460,5,0),"")</f>
        <v>2.1947</v>
      </c>
      <c r="F5830">
        <f>IFERROR(VLOOKUP($A5830,原始数据_收盘!$A$4:$G$3460,6,0),"")</f>
        <v>1.9688</v>
      </c>
      <c r="G5830">
        <f>IFERROR(VLOOKUP($A5830,原始数据_收盘!$A$4:$G$3460,7,0),"")</f>
        <v>2.1923</v>
      </c>
      <c r="H5830">
        <f>IFERROR(VLOOKUP($A5830,原始数据_利率互换_FR007_1年!$A$6:$C$4395,2,0),"")</f>
        <v>1.9749</v>
      </c>
      <c r="I5830">
        <f>IFERROR(VLOOKUP($A5830,原始数据_利率互换_FR007_1年!$A$6:$C$4395,3,0),"")</f>
        <v>2.1866</v>
      </c>
    </row>
    <row r="5831" spans="1:9">
      <c r="A5831" s="6">
        <v>45324</v>
      </c>
      <c r="B5831">
        <f>IFERROR(VLOOKUP($A5831,原始数据_收盘!$A$4:$G$3460,2,0),"")</f>
        <v>1.96</v>
      </c>
      <c r="C5831">
        <f>IFERROR(VLOOKUP($A5831,原始数据_收盘!$A$4:$G$3460,3,0),"")</f>
        <v>2.1768</v>
      </c>
      <c r="D5831">
        <f>IFERROR(VLOOKUP($A5831,原始数据_收盘!$A$4:$G$3460,4,0),"")</f>
        <v>1.9682</v>
      </c>
      <c r="E5831">
        <f>IFERROR(VLOOKUP($A5831,原始数据_收盘!$A$4:$G$3460,5,0),"")</f>
        <v>2.1825</v>
      </c>
      <c r="F5831">
        <f>IFERROR(VLOOKUP($A5831,原始数据_收盘!$A$4:$G$3460,6,0),"")</f>
        <v>1.9641</v>
      </c>
      <c r="G5831">
        <f>IFERROR(VLOOKUP($A5831,原始数据_收盘!$A$4:$G$3460,7,0),"")</f>
        <v>2.1797</v>
      </c>
      <c r="H5831">
        <f>IFERROR(VLOOKUP($A5831,原始数据_利率互换_FR007_1年!$A$6:$C$4395,2,0),"")</f>
        <v>1.9718</v>
      </c>
      <c r="I5831">
        <f>IFERROR(VLOOKUP($A5831,原始数据_利率互换_FR007_1年!$A$6:$C$4395,3,0),"")</f>
        <v>2.1901</v>
      </c>
    </row>
    <row r="5832" spans="1:9">
      <c r="A5832" s="6">
        <v>45325</v>
      </c>
      <c r="B5832" t="str">
        <f>IFERROR(VLOOKUP($A5832,原始数据_收盘!$A$4:$G$3460,2,0),"")</f>
        <v/>
      </c>
      <c r="C5832" t="str">
        <f>IFERROR(VLOOKUP($A5832,原始数据_收盘!$A$4:$G$3460,3,0),"")</f>
        <v/>
      </c>
      <c r="D5832" t="str">
        <f>IFERROR(VLOOKUP($A5832,原始数据_收盘!$A$4:$G$3460,4,0),"")</f>
        <v/>
      </c>
      <c r="E5832" t="str">
        <f>IFERROR(VLOOKUP($A5832,原始数据_收盘!$A$4:$G$3460,5,0),"")</f>
        <v/>
      </c>
      <c r="F5832" t="str">
        <f>IFERROR(VLOOKUP($A5832,原始数据_收盘!$A$4:$G$3460,6,0),"")</f>
        <v/>
      </c>
      <c r="G5832" t="str">
        <f>IFERROR(VLOOKUP($A5832,原始数据_收盘!$A$4:$G$3460,7,0),"")</f>
        <v/>
      </c>
      <c r="H5832" t="str">
        <f>IFERROR(VLOOKUP($A5832,原始数据_利率互换_FR007_1年!$A$6:$C$4395,2,0),"")</f>
        <v/>
      </c>
      <c r="I5832" t="str">
        <f>IFERROR(VLOOKUP($A5832,原始数据_利率互换_FR007_1年!$A$6:$C$4395,3,0),"")</f>
        <v/>
      </c>
    </row>
    <row r="5833" spans="1:9">
      <c r="A5833" s="6">
        <v>45326</v>
      </c>
      <c r="B5833">
        <f>IFERROR(VLOOKUP($A5833,原始数据_收盘!$A$4:$G$3460,2,0),"")</f>
        <v>1.9525</v>
      </c>
      <c r="C5833">
        <f>IFERROR(VLOOKUP($A5833,原始数据_收盘!$A$4:$G$3460,3,0),"")</f>
        <v>2.1725</v>
      </c>
      <c r="D5833">
        <f>IFERROR(VLOOKUP($A5833,原始数据_收盘!$A$4:$G$3460,4,0),"")</f>
        <v>1.9575</v>
      </c>
      <c r="E5833">
        <f>IFERROR(VLOOKUP($A5833,原始数据_收盘!$A$4:$G$3460,5,0),"")</f>
        <v>2.175</v>
      </c>
      <c r="F5833">
        <f>IFERROR(VLOOKUP($A5833,原始数据_收盘!$A$4:$G$3460,6,0),"")</f>
        <v>1.955</v>
      </c>
      <c r="G5833">
        <f>IFERROR(VLOOKUP($A5833,原始数据_收盘!$A$4:$G$3460,7,0),"")</f>
        <v>2.1738</v>
      </c>
      <c r="H5833">
        <f>IFERROR(VLOOKUP($A5833,原始数据_利率互换_FR007_1年!$A$6:$C$4395,2,0),"")</f>
        <v>1.9572</v>
      </c>
      <c r="I5833">
        <f>IFERROR(VLOOKUP($A5833,原始数据_利率互换_FR007_1年!$A$6:$C$4395,3,0),"")</f>
        <v>2.1745</v>
      </c>
    </row>
    <row r="5834" spans="1:9">
      <c r="A5834" s="6">
        <v>45327</v>
      </c>
      <c r="B5834">
        <f>IFERROR(VLOOKUP($A5834,原始数据_收盘!$A$4:$G$3460,2,0),"")</f>
        <v>1.9582</v>
      </c>
      <c r="C5834">
        <f>IFERROR(VLOOKUP($A5834,原始数据_收盘!$A$4:$G$3460,3,0),"")</f>
        <v>2.1675</v>
      </c>
      <c r="D5834">
        <f>IFERROR(VLOOKUP($A5834,原始数据_收盘!$A$4:$G$3460,4,0),"")</f>
        <v>1.9618</v>
      </c>
      <c r="E5834">
        <f>IFERROR(VLOOKUP($A5834,原始数据_收盘!$A$4:$G$3460,5,0),"")</f>
        <v>2.1702</v>
      </c>
      <c r="F5834">
        <f>IFERROR(VLOOKUP($A5834,原始数据_收盘!$A$4:$G$3460,6,0),"")</f>
        <v>1.96</v>
      </c>
      <c r="G5834">
        <f>IFERROR(VLOOKUP($A5834,原始数据_收盘!$A$4:$G$3460,7,0),"")</f>
        <v>2.1688</v>
      </c>
      <c r="H5834">
        <f>IFERROR(VLOOKUP($A5834,原始数据_利率互换_FR007_1年!$A$6:$C$4395,2,0),"")</f>
        <v>1.9676</v>
      </c>
      <c r="I5834">
        <f>IFERROR(VLOOKUP($A5834,原始数据_利率互换_FR007_1年!$A$6:$C$4395,3,0),"")</f>
        <v>2.1768</v>
      </c>
    </row>
    <row r="5835" spans="1:9">
      <c r="A5835" s="6">
        <v>45328</v>
      </c>
      <c r="B5835">
        <f>IFERROR(VLOOKUP($A5835,原始数据_收盘!$A$4:$G$3460,2,0),"")</f>
        <v>1.9985</v>
      </c>
      <c r="C5835">
        <f>IFERROR(VLOOKUP($A5835,原始数据_收盘!$A$4:$G$3460,3,0),"")</f>
        <v>2.2342</v>
      </c>
      <c r="D5835">
        <f>IFERROR(VLOOKUP($A5835,原始数据_收盘!$A$4:$G$3460,4,0),"")</f>
        <v>2.0009</v>
      </c>
      <c r="E5835">
        <f>IFERROR(VLOOKUP($A5835,原始数据_收盘!$A$4:$G$3460,5,0),"")</f>
        <v>2.2368</v>
      </c>
      <c r="F5835">
        <f>IFERROR(VLOOKUP($A5835,原始数据_收盘!$A$4:$G$3460,6,0),"")</f>
        <v>1.9997</v>
      </c>
      <c r="G5835">
        <f>IFERROR(VLOOKUP($A5835,原始数据_收盘!$A$4:$G$3460,7,0),"")</f>
        <v>2.2355</v>
      </c>
      <c r="H5835">
        <f>IFERROR(VLOOKUP($A5835,原始数据_利率互换_FR007_1年!$A$6:$C$4395,2,0),"")</f>
        <v>1.9814</v>
      </c>
      <c r="I5835">
        <f>IFERROR(VLOOKUP($A5835,原始数据_利率互换_FR007_1年!$A$6:$C$4395,3,0),"")</f>
        <v>2.2077</v>
      </c>
    </row>
    <row r="5836" spans="1:9">
      <c r="A5836" s="6">
        <v>45329</v>
      </c>
      <c r="B5836">
        <f>IFERROR(VLOOKUP($A5836,原始数据_收盘!$A$4:$G$3460,2,0),"")</f>
        <v>1.95</v>
      </c>
      <c r="C5836">
        <f>IFERROR(VLOOKUP($A5836,原始数据_收盘!$A$4:$G$3460,3,0),"")</f>
        <v>2.1802</v>
      </c>
      <c r="D5836">
        <f>IFERROR(VLOOKUP($A5836,原始数据_收盘!$A$4:$G$3460,4,0),"")</f>
        <v>1.9537</v>
      </c>
      <c r="E5836">
        <f>IFERROR(VLOOKUP($A5836,原始数据_收盘!$A$4:$G$3460,5,0),"")</f>
        <v>2.1831</v>
      </c>
      <c r="F5836">
        <f>IFERROR(VLOOKUP($A5836,原始数据_收盘!$A$4:$G$3460,6,0),"")</f>
        <v>1.9518</v>
      </c>
      <c r="G5836">
        <f>IFERROR(VLOOKUP($A5836,原始数据_收盘!$A$4:$G$3460,7,0),"")</f>
        <v>2.1817</v>
      </c>
      <c r="H5836">
        <f>IFERROR(VLOOKUP($A5836,原始数据_利率互换_FR007_1年!$A$6:$C$4395,2,0),"")</f>
        <v>1.9721</v>
      </c>
      <c r="I5836">
        <f>IFERROR(VLOOKUP($A5836,原始数据_利率互换_FR007_1年!$A$6:$C$4395,3,0),"")</f>
        <v>2.2084</v>
      </c>
    </row>
    <row r="5837" spans="1:9">
      <c r="A5837" s="6">
        <v>45330</v>
      </c>
      <c r="B5837">
        <f>IFERROR(VLOOKUP($A5837,原始数据_收盘!$A$4:$G$3460,2,0),"")</f>
        <v>1.9546</v>
      </c>
      <c r="C5837">
        <f>IFERROR(VLOOKUP($A5837,原始数据_收盘!$A$4:$G$3460,3,0),"")</f>
        <v>2.2</v>
      </c>
      <c r="D5837">
        <f>IFERROR(VLOOKUP($A5837,原始数据_收盘!$A$4:$G$3460,4,0),"")</f>
        <v>1.9575</v>
      </c>
      <c r="E5837">
        <f>IFERROR(VLOOKUP($A5837,原始数据_收盘!$A$4:$G$3460,5,0),"")</f>
        <v>2.203</v>
      </c>
      <c r="F5837">
        <f>IFERROR(VLOOKUP($A5837,原始数据_收盘!$A$4:$G$3460,6,0),"")</f>
        <v>1.956</v>
      </c>
      <c r="G5837">
        <f>IFERROR(VLOOKUP($A5837,原始数据_收盘!$A$4:$G$3460,7,0),"")</f>
        <v>2.2015</v>
      </c>
      <c r="H5837">
        <f>IFERROR(VLOOKUP($A5837,原始数据_利率互换_FR007_1年!$A$6:$C$4395,2,0),"")</f>
        <v>1.9469</v>
      </c>
      <c r="I5837">
        <f>IFERROR(VLOOKUP($A5837,原始数据_利率互换_FR007_1年!$A$6:$C$4395,3,0),"")</f>
        <v>2.1921</v>
      </c>
    </row>
    <row r="5838" spans="1:9">
      <c r="A5838" s="6">
        <v>45331</v>
      </c>
      <c r="B5838">
        <f>IFERROR(VLOOKUP($A5838,原始数据_收盘!$A$4:$G$3460,2,0),"")</f>
        <v>1.95</v>
      </c>
      <c r="C5838">
        <f>IFERROR(VLOOKUP($A5838,原始数据_收盘!$A$4:$G$3460,3,0),"")</f>
        <v>2.2025</v>
      </c>
      <c r="D5838">
        <f>IFERROR(VLOOKUP($A5838,原始数据_收盘!$A$4:$G$3460,4,0),"")</f>
        <v>1.965</v>
      </c>
      <c r="E5838">
        <f>IFERROR(VLOOKUP($A5838,原始数据_收盘!$A$4:$G$3460,5,0),"")</f>
        <v>2.21</v>
      </c>
      <c r="F5838">
        <f>IFERROR(VLOOKUP($A5838,原始数据_收盘!$A$4:$G$3460,6,0),"")</f>
        <v>1.9575</v>
      </c>
      <c r="G5838">
        <f>IFERROR(VLOOKUP($A5838,原始数据_收盘!$A$4:$G$3460,7,0),"")</f>
        <v>2.2063</v>
      </c>
      <c r="H5838">
        <f>IFERROR(VLOOKUP($A5838,原始数据_利率互换_FR007_1年!$A$6:$C$4395,2,0),"")</f>
        <v>0</v>
      </c>
      <c r="I5838">
        <f>IFERROR(VLOOKUP($A5838,原始数据_利率互换_FR007_1年!$A$6:$C$4395,3,0),"")</f>
        <v>2.21</v>
      </c>
    </row>
    <row r="5839" spans="1:9">
      <c r="A5839" s="6">
        <v>45332</v>
      </c>
      <c r="B5839" t="str">
        <f>IFERROR(VLOOKUP($A5839,原始数据_收盘!$A$4:$G$3460,2,0),"")</f>
        <v/>
      </c>
      <c r="C5839" t="str">
        <f>IFERROR(VLOOKUP($A5839,原始数据_收盘!$A$4:$G$3460,3,0),"")</f>
        <v/>
      </c>
      <c r="D5839" t="str">
        <f>IFERROR(VLOOKUP($A5839,原始数据_收盘!$A$4:$G$3460,4,0),"")</f>
        <v/>
      </c>
      <c r="E5839" t="str">
        <f>IFERROR(VLOOKUP($A5839,原始数据_收盘!$A$4:$G$3460,5,0),"")</f>
        <v/>
      </c>
      <c r="F5839" t="str">
        <f>IFERROR(VLOOKUP($A5839,原始数据_收盘!$A$4:$G$3460,6,0),"")</f>
        <v/>
      </c>
      <c r="G5839" t="str">
        <f>IFERROR(VLOOKUP($A5839,原始数据_收盘!$A$4:$G$3460,7,0),"")</f>
        <v/>
      </c>
      <c r="H5839" t="str">
        <f>IFERROR(VLOOKUP($A5839,原始数据_利率互换_FR007_1年!$A$6:$C$4395,2,0),"")</f>
        <v/>
      </c>
      <c r="I5839" t="str">
        <f>IFERROR(VLOOKUP($A5839,原始数据_利率互换_FR007_1年!$A$6:$C$4395,3,0),"")</f>
        <v/>
      </c>
    </row>
    <row r="5840" spans="1:9">
      <c r="A5840" s="6">
        <v>45333</v>
      </c>
      <c r="B5840" t="str">
        <f>IFERROR(VLOOKUP($A5840,原始数据_收盘!$A$4:$G$3460,2,0),"")</f>
        <v/>
      </c>
      <c r="C5840" t="str">
        <f>IFERROR(VLOOKUP($A5840,原始数据_收盘!$A$4:$G$3460,3,0),"")</f>
        <v/>
      </c>
      <c r="D5840" t="str">
        <f>IFERROR(VLOOKUP($A5840,原始数据_收盘!$A$4:$G$3460,4,0),"")</f>
        <v/>
      </c>
      <c r="E5840" t="str">
        <f>IFERROR(VLOOKUP($A5840,原始数据_收盘!$A$4:$G$3460,5,0),"")</f>
        <v/>
      </c>
      <c r="F5840" t="str">
        <f>IFERROR(VLOOKUP($A5840,原始数据_收盘!$A$4:$G$3460,6,0),"")</f>
        <v/>
      </c>
      <c r="G5840" t="str">
        <f>IFERROR(VLOOKUP($A5840,原始数据_收盘!$A$4:$G$3460,7,0),"")</f>
        <v/>
      </c>
      <c r="H5840" t="str">
        <f>IFERROR(VLOOKUP($A5840,原始数据_利率互换_FR007_1年!$A$6:$C$4395,2,0),"")</f>
        <v/>
      </c>
      <c r="I5840" t="str">
        <f>IFERROR(VLOOKUP($A5840,原始数据_利率互换_FR007_1年!$A$6:$C$4395,3,0),"")</f>
        <v/>
      </c>
    </row>
    <row r="5841" spans="1:9">
      <c r="A5841" s="6">
        <v>45334</v>
      </c>
      <c r="B5841" t="str">
        <f>IFERROR(VLOOKUP($A5841,原始数据_收盘!$A$4:$G$3460,2,0),"")</f>
        <v/>
      </c>
      <c r="C5841" t="str">
        <f>IFERROR(VLOOKUP($A5841,原始数据_收盘!$A$4:$G$3460,3,0),"")</f>
        <v/>
      </c>
      <c r="D5841" t="str">
        <f>IFERROR(VLOOKUP($A5841,原始数据_收盘!$A$4:$G$3460,4,0),"")</f>
        <v/>
      </c>
      <c r="E5841" t="str">
        <f>IFERROR(VLOOKUP($A5841,原始数据_收盘!$A$4:$G$3460,5,0),"")</f>
        <v/>
      </c>
      <c r="F5841" t="str">
        <f>IFERROR(VLOOKUP($A5841,原始数据_收盘!$A$4:$G$3460,6,0),"")</f>
        <v/>
      </c>
      <c r="G5841" t="str">
        <f>IFERROR(VLOOKUP($A5841,原始数据_收盘!$A$4:$G$3460,7,0),"")</f>
        <v/>
      </c>
      <c r="H5841" t="str">
        <f>IFERROR(VLOOKUP($A5841,原始数据_利率互换_FR007_1年!$A$6:$C$4395,2,0),"")</f>
        <v/>
      </c>
      <c r="I5841" t="str">
        <f>IFERROR(VLOOKUP($A5841,原始数据_利率互换_FR007_1年!$A$6:$C$4395,3,0),"")</f>
        <v/>
      </c>
    </row>
    <row r="5842" spans="1:9">
      <c r="A5842" s="6">
        <v>45335</v>
      </c>
      <c r="B5842" t="str">
        <f>IFERROR(VLOOKUP($A5842,原始数据_收盘!$A$4:$G$3460,2,0),"")</f>
        <v/>
      </c>
      <c r="C5842" t="str">
        <f>IFERROR(VLOOKUP($A5842,原始数据_收盘!$A$4:$G$3460,3,0),"")</f>
        <v/>
      </c>
      <c r="D5842" t="str">
        <f>IFERROR(VLOOKUP($A5842,原始数据_收盘!$A$4:$G$3460,4,0),"")</f>
        <v/>
      </c>
      <c r="E5842" t="str">
        <f>IFERROR(VLOOKUP($A5842,原始数据_收盘!$A$4:$G$3460,5,0),"")</f>
        <v/>
      </c>
      <c r="F5842" t="str">
        <f>IFERROR(VLOOKUP($A5842,原始数据_收盘!$A$4:$G$3460,6,0),"")</f>
        <v/>
      </c>
      <c r="G5842" t="str">
        <f>IFERROR(VLOOKUP($A5842,原始数据_收盘!$A$4:$G$3460,7,0),"")</f>
        <v/>
      </c>
      <c r="H5842" t="str">
        <f>IFERROR(VLOOKUP($A5842,原始数据_利率互换_FR007_1年!$A$6:$C$4395,2,0),"")</f>
        <v/>
      </c>
      <c r="I5842" t="str">
        <f>IFERROR(VLOOKUP($A5842,原始数据_利率互换_FR007_1年!$A$6:$C$4395,3,0),"")</f>
        <v/>
      </c>
    </row>
    <row r="5843" spans="1:9">
      <c r="A5843" s="6">
        <v>45336</v>
      </c>
      <c r="B5843" t="str">
        <f>IFERROR(VLOOKUP($A5843,原始数据_收盘!$A$4:$G$3460,2,0),"")</f>
        <v/>
      </c>
      <c r="C5843" t="str">
        <f>IFERROR(VLOOKUP($A5843,原始数据_收盘!$A$4:$G$3460,3,0),"")</f>
        <v/>
      </c>
      <c r="D5843" t="str">
        <f>IFERROR(VLOOKUP($A5843,原始数据_收盘!$A$4:$G$3460,4,0),"")</f>
        <v/>
      </c>
      <c r="E5843" t="str">
        <f>IFERROR(VLOOKUP($A5843,原始数据_收盘!$A$4:$G$3460,5,0),"")</f>
        <v/>
      </c>
      <c r="F5843" t="str">
        <f>IFERROR(VLOOKUP($A5843,原始数据_收盘!$A$4:$G$3460,6,0),"")</f>
        <v/>
      </c>
      <c r="G5843" t="str">
        <f>IFERROR(VLOOKUP($A5843,原始数据_收盘!$A$4:$G$3460,7,0),"")</f>
        <v/>
      </c>
      <c r="H5843" t="str">
        <f>IFERROR(VLOOKUP($A5843,原始数据_利率互换_FR007_1年!$A$6:$C$4395,2,0),"")</f>
        <v/>
      </c>
      <c r="I5843" t="str">
        <f>IFERROR(VLOOKUP($A5843,原始数据_利率互换_FR007_1年!$A$6:$C$4395,3,0),"")</f>
        <v/>
      </c>
    </row>
    <row r="5844" spans="1:9">
      <c r="A5844" s="6">
        <v>45337</v>
      </c>
      <c r="B5844" t="str">
        <f>IFERROR(VLOOKUP($A5844,原始数据_收盘!$A$4:$G$3460,2,0),"")</f>
        <v/>
      </c>
      <c r="C5844" t="str">
        <f>IFERROR(VLOOKUP($A5844,原始数据_收盘!$A$4:$G$3460,3,0),"")</f>
        <v/>
      </c>
      <c r="D5844" t="str">
        <f>IFERROR(VLOOKUP($A5844,原始数据_收盘!$A$4:$G$3460,4,0),"")</f>
        <v/>
      </c>
      <c r="E5844" t="str">
        <f>IFERROR(VLOOKUP($A5844,原始数据_收盘!$A$4:$G$3460,5,0),"")</f>
        <v/>
      </c>
      <c r="F5844" t="str">
        <f>IFERROR(VLOOKUP($A5844,原始数据_收盘!$A$4:$G$3460,6,0),"")</f>
        <v/>
      </c>
      <c r="G5844" t="str">
        <f>IFERROR(VLOOKUP($A5844,原始数据_收盘!$A$4:$G$3460,7,0),"")</f>
        <v/>
      </c>
      <c r="H5844" t="str">
        <f>IFERROR(VLOOKUP($A5844,原始数据_利率互换_FR007_1年!$A$6:$C$4395,2,0),"")</f>
        <v/>
      </c>
      <c r="I5844" t="str">
        <f>IFERROR(VLOOKUP($A5844,原始数据_利率互换_FR007_1年!$A$6:$C$4395,3,0),"")</f>
        <v/>
      </c>
    </row>
    <row r="5845" spans="1:9">
      <c r="A5845" s="6">
        <v>45338</v>
      </c>
      <c r="B5845" t="str">
        <f>IFERROR(VLOOKUP($A5845,原始数据_收盘!$A$4:$G$3460,2,0),"")</f>
        <v/>
      </c>
      <c r="C5845" t="str">
        <f>IFERROR(VLOOKUP($A5845,原始数据_收盘!$A$4:$G$3460,3,0),"")</f>
        <v/>
      </c>
      <c r="D5845" t="str">
        <f>IFERROR(VLOOKUP($A5845,原始数据_收盘!$A$4:$G$3460,4,0),"")</f>
        <v/>
      </c>
      <c r="E5845" t="str">
        <f>IFERROR(VLOOKUP($A5845,原始数据_收盘!$A$4:$G$3460,5,0),"")</f>
        <v/>
      </c>
      <c r="F5845" t="str">
        <f>IFERROR(VLOOKUP($A5845,原始数据_收盘!$A$4:$G$3460,6,0),"")</f>
        <v/>
      </c>
      <c r="G5845" t="str">
        <f>IFERROR(VLOOKUP($A5845,原始数据_收盘!$A$4:$G$3460,7,0),"")</f>
        <v/>
      </c>
      <c r="H5845" t="str">
        <f>IFERROR(VLOOKUP($A5845,原始数据_利率互换_FR007_1年!$A$6:$C$4395,2,0),"")</f>
        <v/>
      </c>
      <c r="I5845" t="str">
        <f>IFERROR(VLOOKUP($A5845,原始数据_利率互换_FR007_1年!$A$6:$C$4395,3,0),"")</f>
        <v/>
      </c>
    </row>
    <row r="5846" spans="1:9">
      <c r="A5846" s="6">
        <v>45339</v>
      </c>
      <c r="B5846" t="str">
        <f>IFERROR(VLOOKUP($A5846,原始数据_收盘!$A$4:$G$3460,2,0),"")</f>
        <v/>
      </c>
      <c r="C5846" t="str">
        <f>IFERROR(VLOOKUP($A5846,原始数据_收盘!$A$4:$G$3460,3,0),"")</f>
        <v/>
      </c>
      <c r="D5846" t="str">
        <f>IFERROR(VLOOKUP($A5846,原始数据_收盘!$A$4:$G$3460,4,0),"")</f>
        <v/>
      </c>
      <c r="E5846" t="str">
        <f>IFERROR(VLOOKUP($A5846,原始数据_收盘!$A$4:$G$3460,5,0),"")</f>
        <v/>
      </c>
      <c r="F5846" t="str">
        <f>IFERROR(VLOOKUP($A5846,原始数据_收盘!$A$4:$G$3460,6,0),"")</f>
        <v/>
      </c>
      <c r="G5846" t="str">
        <f>IFERROR(VLOOKUP($A5846,原始数据_收盘!$A$4:$G$3460,7,0),"")</f>
        <v/>
      </c>
      <c r="H5846" t="str">
        <f>IFERROR(VLOOKUP($A5846,原始数据_利率互换_FR007_1年!$A$6:$C$4395,2,0),"")</f>
        <v/>
      </c>
      <c r="I5846" t="str">
        <f>IFERROR(VLOOKUP($A5846,原始数据_利率互换_FR007_1年!$A$6:$C$4395,3,0),"")</f>
        <v/>
      </c>
    </row>
    <row r="5847" spans="1:9">
      <c r="A5847" s="6">
        <v>45340</v>
      </c>
      <c r="B5847">
        <f>IFERROR(VLOOKUP($A5847,原始数据_收盘!$A$4:$G$3460,2,0),"")</f>
        <v>1.955</v>
      </c>
      <c r="C5847">
        <f>IFERROR(VLOOKUP($A5847,原始数据_收盘!$A$4:$G$3460,3,0),"")</f>
        <v>2.2</v>
      </c>
      <c r="D5847">
        <f>IFERROR(VLOOKUP($A5847,原始数据_收盘!$A$4:$G$3460,4,0),"")</f>
        <v>1.9613</v>
      </c>
      <c r="E5847">
        <f>IFERROR(VLOOKUP($A5847,原始数据_收盘!$A$4:$G$3460,5,0),"")</f>
        <v>2.21</v>
      </c>
      <c r="F5847">
        <f>IFERROR(VLOOKUP($A5847,原始数据_收盘!$A$4:$G$3460,6,0),"")</f>
        <v>1.9581</v>
      </c>
      <c r="G5847">
        <f>IFERROR(VLOOKUP($A5847,原始数据_收盘!$A$4:$G$3460,7,0),"")</f>
        <v>2.205</v>
      </c>
      <c r="H5847">
        <f>IFERROR(VLOOKUP($A5847,原始数据_利率互换_FR007_1年!$A$6:$C$4395,2,0),"")</f>
        <v>1.9608</v>
      </c>
      <c r="I5847">
        <f>IFERROR(VLOOKUP($A5847,原始数据_利率互换_FR007_1年!$A$6:$C$4395,3,0),"")</f>
        <v>2.2092</v>
      </c>
    </row>
    <row r="5848" spans="1:9">
      <c r="A5848" s="6">
        <v>45341</v>
      </c>
      <c r="B5848">
        <f>IFERROR(VLOOKUP($A5848,原始数据_收盘!$A$4:$G$3460,2,0),"")</f>
        <v>1.9725</v>
      </c>
      <c r="C5848">
        <f>IFERROR(VLOOKUP($A5848,原始数据_收盘!$A$4:$G$3460,3,0),"")</f>
        <v>2.205</v>
      </c>
      <c r="D5848">
        <f>IFERROR(VLOOKUP($A5848,原始数据_收盘!$A$4:$G$3460,4,0),"")</f>
        <v>1.975</v>
      </c>
      <c r="E5848">
        <f>IFERROR(VLOOKUP($A5848,原始数据_收盘!$A$4:$G$3460,5,0),"")</f>
        <v>2.2076</v>
      </c>
      <c r="F5848">
        <f>IFERROR(VLOOKUP($A5848,原始数据_收盘!$A$4:$G$3460,6,0),"")</f>
        <v>1.9738</v>
      </c>
      <c r="G5848">
        <f>IFERROR(VLOOKUP($A5848,原始数据_收盘!$A$4:$G$3460,7,0),"")</f>
        <v>2.2063</v>
      </c>
      <c r="H5848">
        <f>IFERROR(VLOOKUP($A5848,原始数据_利率互换_FR007_1年!$A$6:$C$4395,2,0),"")</f>
        <v>1.9744</v>
      </c>
      <c r="I5848">
        <f>IFERROR(VLOOKUP($A5848,原始数据_利率互换_FR007_1年!$A$6:$C$4395,3,0),"")</f>
        <v>2.2149</v>
      </c>
    </row>
    <row r="5849" spans="1:9">
      <c r="A5849" s="6">
        <v>45342</v>
      </c>
      <c r="B5849">
        <f>IFERROR(VLOOKUP($A5849,原始数据_收盘!$A$4:$G$3460,2,0),"")</f>
        <v>1.945</v>
      </c>
      <c r="C5849">
        <f>IFERROR(VLOOKUP($A5849,原始数据_收盘!$A$4:$G$3460,3,0),"")</f>
        <v>2.1775</v>
      </c>
      <c r="D5849">
        <f>IFERROR(VLOOKUP($A5849,原始数据_收盘!$A$4:$G$3460,4,0),"")</f>
        <v>1.9475</v>
      </c>
      <c r="E5849">
        <f>IFERROR(VLOOKUP($A5849,原始数据_收盘!$A$4:$G$3460,5,0),"")</f>
        <v>2.18</v>
      </c>
      <c r="F5849">
        <f>IFERROR(VLOOKUP($A5849,原始数据_收盘!$A$4:$G$3460,6,0),"")</f>
        <v>1.9463</v>
      </c>
      <c r="G5849">
        <f>IFERROR(VLOOKUP($A5849,原始数据_收盘!$A$4:$G$3460,7,0),"")</f>
        <v>2.1788</v>
      </c>
      <c r="H5849">
        <f>IFERROR(VLOOKUP($A5849,原始数据_利率互换_FR007_1年!$A$6:$C$4395,2,0),"")</f>
        <v>1.9593</v>
      </c>
      <c r="I5849">
        <f>IFERROR(VLOOKUP($A5849,原始数据_利率互换_FR007_1年!$A$6:$C$4395,3,0),"")</f>
        <v>2.1944</v>
      </c>
    </row>
    <row r="5850" spans="1:9">
      <c r="A5850" s="6">
        <v>45343</v>
      </c>
      <c r="B5850">
        <f>IFERROR(VLOOKUP($A5850,原始数据_收盘!$A$4:$G$3460,2,0),"")</f>
        <v>1.9475</v>
      </c>
      <c r="C5850">
        <f>IFERROR(VLOOKUP($A5850,原始数据_收盘!$A$4:$G$3460,3,0),"")</f>
        <v>2.1771</v>
      </c>
      <c r="D5850">
        <f>IFERROR(VLOOKUP($A5850,原始数据_收盘!$A$4:$G$3460,4,0),"")</f>
        <v>1.95</v>
      </c>
      <c r="E5850">
        <f>IFERROR(VLOOKUP($A5850,原始数据_收盘!$A$4:$G$3460,5,0),"")</f>
        <v>2.18</v>
      </c>
      <c r="F5850">
        <f>IFERROR(VLOOKUP($A5850,原始数据_收盘!$A$4:$G$3460,6,0),"")</f>
        <v>1.9488</v>
      </c>
      <c r="G5850">
        <f>IFERROR(VLOOKUP($A5850,原始数据_收盘!$A$4:$G$3460,7,0),"")</f>
        <v>2.1785</v>
      </c>
      <c r="H5850">
        <f>IFERROR(VLOOKUP($A5850,原始数据_利率互换_FR007_1年!$A$6:$C$4395,2,0),"")</f>
        <v>1.9506</v>
      </c>
      <c r="I5850">
        <f>IFERROR(VLOOKUP($A5850,原始数据_利率互换_FR007_1年!$A$6:$C$4395,3,0),"")</f>
        <v>2.1834</v>
      </c>
    </row>
    <row r="5851" spans="1:9">
      <c r="A5851" s="6">
        <v>45344</v>
      </c>
      <c r="B5851">
        <f>IFERROR(VLOOKUP($A5851,原始数据_收盘!$A$4:$G$3460,2,0),"")</f>
        <v>1.9275</v>
      </c>
      <c r="C5851">
        <f>IFERROR(VLOOKUP($A5851,原始数据_收盘!$A$4:$G$3460,3,0),"")</f>
        <v>2.15</v>
      </c>
      <c r="D5851">
        <f>IFERROR(VLOOKUP($A5851,原始数据_收盘!$A$4:$G$3460,4,0),"")</f>
        <v>1.93</v>
      </c>
      <c r="E5851">
        <f>IFERROR(VLOOKUP($A5851,原始数据_收盘!$A$4:$G$3460,5,0),"")</f>
        <v>2.155</v>
      </c>
      <c r="F5851">
        <f>IFERROR(VLOOKUP($A5851,原始数据_收盘!$A$4:$G$3460,6,0),"")</f>
        <v>1.9288</v>
      </c>
      <c r="G5851">
        <f>IFERROR(VLOOKUP($A5851,原始数据_收盘!$A$4:$G$3460,7,0),"")</f>
        <v>2.1525</v>
      </c>
      <c r="H5851">
        <f>IFERROR(VLOOKUP($A5851,原始数据_利率互换_FR007_1年!$A$6:$C$4395,2,0),"")</f>
        <v>1.941</v>
      </c>
      <c r="I5851">
        <f>IFERROR(VLOOKUP($A5851,原始数据_利率互换_FR007_1年!$A$6:$C$4395,3,0),"")</f>
        <v>2.1718</v>
      </c>
    </row>
    <row r="5852" spans="1:9">
      <c r="A5852" s="6">
        <v>45345</v>
      </c>
      <c r="B5852">
        <f>IFERROR(VLOOKUP($A5852,原始数据_收盘!$A$4:$G$3460,2,0),"")</f>
        <v>1.9325</v>
      </c>
      <c r="C5852">
        <f>IFERROR(VLOOKUP($A5852,原始数据_收盘!$A$4:$G$3460,3,0),"")</f>
        <v>2.1525</v>
      </c>
      <c r="D5852">
        <f>IFERROR(VLOOKUP($A5852,原始数据_收盘!$A$4:$G$3460,4,0),"")</f>
        <v>1.935</v>
      </c>
      <c r="E5852">
        <f>IFERROR(VLOOKUP($A5852,原始数据_收盘!$A$4:$G$3460,5,0),"")</f>
        <v>2.155</v>
      </c>
      <c r="F5852">
        <f>IFERROR(VLOOKUP($A5852,原始数据_收盘!$A$4:$G$3460,6,0),"")</f>
        <v>1.9338</v>
      </c>
      <c r="G5852">
        <f>IFERROR(VLOOKUP($A5852,原始数据_收盘!$A$4:$G$3460,7,0),"")</f>
        <v>2.1538</v>
      </c>
      <c r="H5852">
        <f>IFERROR(VLOOKUP($A5852,原始数据_利率互换_FR007_1年!$A$6:$C$4395,2,0),"")</f>
        <v>1.9219</v>
      </c>
      <c r="I5852">
        <f>IFERROR(VLOOKUP($A5852,原始数据_利率互换_FR007_1年!$A$6:$C$4395,3,0),"")</f>
        <v>2.1423</v>
      </c>
    </row>
    <row r="5853" spans="1:9">
      <c r="A5853" s="6">
        <v>45346</v>
      </c>
      <c r="B5853" t="str">
        <f>IFERROR(VLOOKUP($A5853,原始数据_收盘!$A$4:$G$3460,2,0),"")</f>
        <v/>
      </c>
      <c r="C5853" t="str">
        <f>IFERROR(VLOOKUP($A5853,原始数据_收盘!$A$4:$G$3460,3,0),"")</f>
        <v/>
      </c>
      <c r="D5853" t="str">
        <f>IFERROR(VLOOKUP($A5853,原始数据_收盘!$A$4:$G$3460,4,0),"")</f>
        <v/>
      </c>
      <c r="E5853" t="str">
        <f>IFERROR(VLOOKUP($A5853,原始数据_收盘!$A$4:$G$3460,5,0),"")</f>
        <v/>
      </c>
      <c r="F5853" t="str">
        <f>IFERROR(VLOOKUP($A5853,原始数据_收盘!$A$4:$G$3460,6,0),"")</f>
        <v/>
      </c>
      <c r="G5853" t="str">
        <f>IFERROR(VLOOKUP($A5853,原始数据_收盘!$A$4:$G$3460,7,0),"")</f>
        <v/>
      </c>
      <c r="H5853" t="str">
        <f>IFERROR(VLOOKUP($A5853,原始数据_利率互换_FR007_1年!$A$6:$C$4395,2,0),"")</f>
        <v/>
      </c>
      <c r="I5853" t="str">
        <f>IFERROR(VLOOKUP($A5853,原始数据_利率互换_FR007_1年!$A$6:$C$4395,3,0),"")</f>
        <v/>
      </c>
    </row>
    <row r="5854" spans="1:9">
      <c r="A5854" s="6">
        <v>45347</v>
      </c>
      <c r="B5854" t="str">
        <f>IFERROR(VLOOKUP($A5854,原始数据_收盘!$A$4:$G$3460,2,0),"")</f>
        <v/>
      </c>
      <c r="C5854" t="str">
        <f>IFERROR(VLOOKUP($A5854,原始数据_收盘!$A$4:$G$3460,3,0),"")</f>
        <v/>
      </c>
      <c r="D5854" t="str">
        <f>IFERROR(VLOOKUP($A5854,原始数据_收盘!$A$4:$G$3460,4,0),"")</f>
        <v/>
      </c>
      <c r="E5854" t="str">
        <f>IFERROR(VLOOKUP($A5854,原始数据_收盘!$A$4:$G$3460,5,0),"")</f>
        <v/>
      </c>
      <c r="F5854" t="str">
        <f>IFERROR(VLOOKUP($A5854,原始数据_收盘!$A$4:$G$3460,6,0),"")</f>
        <v/>
      </c>
      <c r="G5854" t="str">
        <f>IFERROR(VLOOKUP($A5854,原始数据_收盘!$A$4:$G$3460,7,0),"")</f>
        <v/>
      </c>
      <c r="H5854" t="str">
        <f>IFERROR(VLOOKUP($A5854,原始数据_利率互换_FR007_1年!$A$6:$C$4395,2,0),"")</f>
        <v/>
      </c>
      <c r="I5854" t="str">
        <f>IFERROR(VLOOKUP($A5854,原始数据_利率互换_FR007_1年!$A$6:$C$4395,3,0),"")</f>
        <v/>
      </c>
    </row>
    <row r="5855" spans="1:9">
      <c r="A5855" s="6">
        <v>45348</v>
      </c>
      <c r="B5855">
        <f>IFERROR(VLOOKUP($A5855,原始数据_收盘!$A$4:$G$3460,2,0),"")</f>
        <v>1.935</v>
      </c>
      <c r="C5855">
        <f>IFERROR(VLOOKUP($A5855,原始数据_收盘!$A$4:$G$3460,3,0),"")</f>
        <v>2.1375</v>
      </c>
      <c r="D5855">
        <f>IFERROR(VLOOKUP($A5855,原始数据_收盘!$A$4:$G$3460,4,0),"")</f>
        <v>1.9375</v>
      </c>
      <c r="E5855">
        <f>IFERROR(VLOOKUP($A5855,原始数据_收盘!$A$4:$G$3460,5,0),"")</f>
        <v>2.14</v>
      </c>
      <c r="F5855">
        <f>IFERROR(VLOOKUP($A5855,原始数据_收盘!$A$4:$G$3460,6,0),"")</f>
        <v>1.9363</v>
      </c>
      <c r="G5855">
        <f>IFERROR(VLOOKUP($A5855,原始数据_收盘!$A$4:$G$3460,7,0),"")</f>
        <v>2.1388</v>
      </c>
      <c r="H5855">
        <f>IFERROR(VLOOKUP($A5855,原始数据_利率互换_FR007_1年!$A$6:$C$4395,2,0),"")</f>
        <v>1.9391</v>
      </c>
      <c r="I5855">
        <f>IFERROR(VLOOKUP($A5855,原始数据_利率互换_FR007_1年!$A$6:$C$4395,3,0),"")</f>
        <v>2.1468</v>
      </c>
    </row>
    <row r="5856" spans="1:9">
      <c r="A5856" s="6">
        <v>45349</v>
      </c>
      <c r="B5856">
        <f>IFERROR(VLOOKUP($A5856,原始数据_收盘!$A$4:$G$3460,2,0),"")</f>
        <v>1.955</v>
      </c>
      <c r="C5856">
        <f>IFERROR(VLOOKUP($A5856,原始数据_收盘!$A$4:$G$3460,3,0),"")</f>
        <v>2.1598</v>
      </c>
      <c r="D5856">
        <f>IFERROR(VLOOKUP($A5856,原始数据_收盘!$A$4:$G$3460,4,0),"")</f>
        <v>1.9575</v>
      </c>
      <c r="E5856">
        <f>IFERROR(VLOOKUP($A5856,原始数据_收盘!$A$4:$G$3460,5,0),"")</f>
        <v>2.1625</v>
      </c>
      <c r="F5856">
        <f>IFERROR(VLOOKUP($A5856,原始数据_收盘!$A$4:$G$3460,6,0),"")</f>
        <v>1.9563</v>
      </c>
      <c r="G5856">
        <f>IFERROR(VLOOKUP($A5856,原始数据_收盘!$A$4:$G$3460,7,0),"")</f>
        <v>2.1612</v>
      </c>
      <c r="H5856">
        <f>IFERROR(VLOOKUP($A5856,原始数据_利率互换_FR007_1年!$A$6:$C$4395,2,0),"")</f>
        <v>1.9447</v>
      </c>
      <c r="I5856">
        <f>IFERROR(VLOOKUP($A5856,原始数据_利率互换_FR007_1年!$A$6:$C$4395,3,0),"")</f>
        <v>2.1433</v>
      </c>
    </row>
    <row r="5857" spans="1:9">
      <c r="A5857" s="6">
        <v>45350</v>
      </c>
      <c r="B5857">
        <f>IFERROR(VLOOKUP($A5857,原始数据_收盘!$A$4:$G$3460,2,0),"")</f>
        <v>1.9325</v>
      </c>
      <c r="C5857">
        <f>IFERROR(VLOOKUP($A5857,原始数据_收盘!$A$4:$G$3460,3,0),"")</f>
        <v>2.1325</v>
      </c>
      <c r="D5857">
        <f>IFERROR(VLOOKUP($A5857,原始数据_收盘!$A$4:$G$3460,4,0),"")</f>
        <v>1.935</v>
      </c>
      <c r="E5857">
        <f>IFERROR(VLOOKUP($A5857,原始数据_收盘!$A$4:$G$3460,5,0),"")</f>
        <v>2.135</v>
      </c>
      <c r="F5857">
        <f>IFERROR(VLOOKUP($A5857,原始数据_收盘!$A$4:$G$3460,6,0),"")</f>
        <v>1.9338</v>
      </c>
      <c r="G5857">
        <f>IFERROR(VLOOKUP($A5857,原始数据_收盘!$A$4:$G$3460,7,0),"")</f>
        <v>2.1338</v>
      </c>
      <c r="H5857">
        <f>IFERROR(VLOOKUP($A5857,原始数据_利率互换_FR007_1年!$A$6:$C$4395,2,0),"")</f>
        <v>1.944</v>
      </c>
      <c r="I5857">
        <f>IFERROR(VLOOKUP($A5857,原始数据_利率互换_FR007_1年!$A$6:$C$4395,3,0),"")</f>
        <v>2.1474</v>
      </c>
    </row>
    <row r="5858" spans="1:9">
      <c r="A5858" s="6">
        <v>45351</v>
      </c>
      <c r="B5858">
        <f>IFERROR(VLOOKUP($A5858,原始数据_收盘!$A$4:$G$3460,2,0),"")</f>
        <v>1.9319</v>
      </c>
      <c r="C5858">
        <f>IFERROR(VLOOKUP($A5858,原始数据_收盘!$A$4:$G$3460,3,0),"")</f>
        <v>2.1473</v>
      </c>
      <c r="D5858">
        <f>IFERROR(VLOOKUP($A5858,原始数据_收盘!$A$4:$G$3460,4,0),"")</f>
        <v>1.935</v>
      </c>
      <c r="E5858">
        <f>IFERROR(VLOOKUP($A5858,原始数据_收盘!$A$4:$G$3460,5,0),"")</f>
        <v>2.1492</v>
      </c>
      <c r="F5858">
        <f>IFERROR(VLOOKUP($A5858,原始数据_收盘!$A$4:$G$3460,6,0),"")</f>
        <v>1.9334</v>
      </c>
      <c r="G5858">
        <f>IFERROR(VLOOKUP($A5858,原始数据_收盘!$A$4:$G$3460,7,0),"")</f>
        <v>2.1482</v>
      </c>
      <c r="H5858">
        <f>IFERROR(VLOOKUP($A5858,原始数据_利率互换_FR007_1年!$A$6:$C$4395,2,0),"")</f>
        <v>1.9267</v>
      </c>
      <c r="I5858">
        <f>IFERROR(VLOOKUP($A5858,原始数据_利率互换_FR007_1年!$A$6:$C$4395,3,0),"")</f>
        <v>2.1378</v>
      </c>
    </row>
    <row r="5859" spans="1:9">
      <c r="A5859" s="6">
        <v>45352</v>
      </c>
      <c r="B5859">
        <f>IFERROR(VLOOKUP($A5859,原始数据_收盘!$A$4:$G$3460,2,0),"")</f>
        <v>1.9525</v>
      </c>
      <c r="C5859">
        <f>IFERROR(VLOOKUP($A5859,原始数据_收盘!$A$4:$G$3460,3,0),"")</f>
        <v>2.1875</v>
      </c>
      <c r="D5859">
        <f>IFERROR(VLOOKUP($A5859,原始数据_收盘!$A$4:$G$3460,4,0),"")</f>
        <v>1.955</v>
      </c>
      <c r="E5859">
        <f>IFERROR(VLOOKUP($A5859,原始数据_收盘!$A$4:$G$3460,5,0),"")</f>
        <v>2.1908</v>
      </c>
      <c r="F5859">
        <f>IFERROR(VLOOKUP($A5859,原始数据_收盘!$A$4:$G$3460,6,0),"")</f>
        <v>1.9538</v>
      </c>
      <c r="G5859">
        <f>IFERROR(VLOOKUP($A5859,原始数据_收盘!$A$4:$G$3460,7,0),"")</f>
        <v>2.1892</v>
      </c>
      <c r="H5859">
        <f>IFERROR(VLOOKUP($A5859,原始数据_利率互换_FR007_1年!$A$6:$C$4395,2,0),"")</f>
        <v>1.9451</v>
      </c>
      <c r="I5859">
        <f>IFERROR(VLOOKUP($A5859,原始数据_利率互换_FR007_1年!$A$6:$C$4395,3,0),"")</f>
        <v>2.1722</v>
      </c>
    </row>
    <row r="5860" spans="1:9">
      <c r="A5860" s="6">
        <v>45353</v>
      </c>
      <c r="B5860" t="str">
        <f>IFERROR(VLOOKUP($A5860,原始数据_收盘!$A$4:$G$3460,2,0),"")</f>
        <v/>
      </c>
      <c r="C5860" t="str">
        <f>IFERROR(VLOOKUP($A5860,原始数据_收盘!$A$4:$G$3460,3,0),"")</f>
        <v/>
      </c>
      <c r="D5860" t="str">
        <f>IFERROR(VLOOKUP($A5860,原始数据_收盘!$A$4:$G$3460,4,0),"")</f>
        <v/>
      </c>
      <c r="E5860" t="str">
        <f>IFERROR(VLOOKUP($A5860,原始数据_收盘!$A$4:$G$3460,5,0),"")</f>
        <v/>
      </c>
      <c r="F5860" t="str">
        <f>IFERROR(VLOOKUP($A5860,原始数据_收盘!$A$4:$G$3460,6,0),"")</f>
        <v/>
      </c>
      <c r="G5860" t="str">
        <f>IFERROR(VLOOKUP($A5860,原始数据_收盘!$A$4:$G$3460,7,0),"")</f>
        <v/>
      </c>
      <c r="H5860" t="str">
        <f>IFERROR(VLOOKUP($A5860,原始数据_利率互换_FR007_1年!$A$6:$C$4395,2,0),"")</f>
        <v/>
      </c>
      <c r="I5860" t="str">
        <f>IFERROR(VLOOKUP($A5860,原始数据_利率互换_FR007_1年!$A$6:$C$4395,3,0),"")</f>
        <v/>
      </c>
    </row>
    <row r="5861" spans="1:9">
      <c r="A5861" s="6">
        <v>45354</v>
      </c>
      <c r="B5861" t="str">
        <f>IFERROR(VLOOKUP($A5861,原始数据_收盘!$A$4:$G$3460,2,0),"")</f>
        <v/>
      </c>
      <c r="C5861" t="str">
        <f>IFERROR(VLOOKUP($A5861,原始数据_收盘!$A$4:$G$3460,3,0),"")</f>
        <v/>
      </c>
      <c r="D5861" t="str">
        <f>IFERROR(VLOOKUP($A5861,原始数据_收盘!$A$4:$G$3460,4,0),"")</f>
        <v/>
      </c>
      <c r="E5861" t="str">
        <f>IFERROR(VLOOKUP($A5861,原始数据_收盘!$A$4:$G$3460,5,0),"")</f>
        <v/>
      </c>
      <c r="F5861" t="str">
        <f>IFERROR(VLOOKUP($A5861,原始数据_收盘!$A$4:$G$3460,6,0),"")</f>
        <v/>
      </c>
      <c r="G5861" t="str">
        <f>IFERROR(VLOOKUP($A5861,原始数据_收盘!$A$4:$G$3460,7,0),"")</f>
        <v/>
      </c>
      <c r="H5861" t="str">
        <f>IFERROR(VLOOKUP($A5861,原始数据_利率互换_FR007_1年!$A$6:$C$4395,2,0),"")</f>
        <v/>
      </c>
      <c r="I5861" t="str">
        <f>IFERROR(VLOOKUP($A5861,原始数据_利率互换_FR007_1年!$A$6:$C$4395,3,0),"")</f>
        <v/>
      </c>
    </row>
    <row r="5862" spans="1:9">
      <c r="A5862" s="6">
        <v>45355</v>
      </c>
      <c r="B5862">
        <f>IFERROR(VLOOKUP($A5862,原始数据_收盘!$A$4:$G$3460,2,0),"")</f>
        <v>1.9546</v>
      </c>
      <c r="C5862">
        <f>IFERROR(VLOOKUP($A5862,原始数据_收盘!$A$4:$G$3460,3,0),"")</f>
        <v>2.1655</v>
      </c>
      <c r="D5862">
        <f>IFERROR(VLOOKUP($A5862,原始数据_收盘!$A$4:$G$3460,4,0),"")</f>
        <v>1.9575</v>
      </c>
      <c r="E5862">
        <f>IFERROR(VLOOKUP($A5862,原始数据_收盘!$A$4:$G$3460,5,0),"")</f>
        <v>2.168</v>
      </c>
      <c r="F5862">
        <f>IFERROR(VLOOKUP($A5862,原始数据_收盘!$A$4:$G$3460,6,0),"")</f>
        <v>1.956</v>
      </c>
      <c r="G5862">
        <f>IFERROR(VLOOKUP($A5862,原始数据_收盘!$A$4:$G$3460,7,0),"")</f>
        <v>2.1668</v>
      </c>
      <c r="H5862">
        <f>IFERROR(VLOOKUP($A5862,原始数据_利率互换_FR007_1年!$A$6:$C$4395,2,0),"")</f>
        <v>1.9476</v>
      </c>
      <c r="I5862">
        <f>IFERROR(VLOOKUP($A5862,原始数据_利率互换_FR007_1年!$A$6:$C$4395,3,0),"")</f>
        <v>2.1638</v>
      </c>
    </row>
    <row r="5863" spans="1:9">
      <c r="A5863" s="6">
        <v>45356</v>
      </c>
      <c r="B5863">
        <f>IFERROR(VLOOKUP($A5863,原始数据_收盘!$A$4:$G$3460,2,0),"")</f>
        <v>1.9572</v>
      </c>
      <c r="C5863">
        <f>IFERROR(VLOOKUP($A5863,原始数据_收盘!$A$4:$G$3460,3,0),"")</f>
        <v>2.1559</v>
      </c>
      <c r="D5863">
        <f>IFERROR(VLOOKUP($A5863,原始数据_收盘!$A$4:$G$3460,4,0),"")</f>
        <v>1.96</v>
      </c>
      <c r="E5863">
        <f>IFERROR(VLOOKUP($A5863,原始数据_收盘!$A$4:$G$3460,5,0),"")</f>
        <v>2.158</v>
      </c>
      <c r="F5863">
        <f>IFERROR(VLOOKUP($A5863,原始数据_收盘!$A$4:$G$3460,6,0),"")</f>
        <v>1.9586</v>
      </c>
      <c r="G5863">
        <f>IFERROR(VLOOKUP($A5863,原始数据_收盘!$A$4:$G$3460,7,0),"")</f>
        <v>2.1569</v>
      </c>
      <c r="H5863">
        <f>IFERROR(VLOOKUP($A5863,原始数据_利率互换_FR007_1年!$A$6:$C$4395,2,0),"")</f>
        <v>1.9557</v>
      </c>
      <c r="I5863">
        <f>IFERROR(VLOOKUP($A5863,原始数据_利率互换_FR007_1年!$A$6:$C$4395,3,0),"")</f>
        <v>2.1591</v>
      </c>
    </row>
    <row r="5864" spans="1:9">
      <c r="A5864" s="6">
        <v>45357</v>
      </c>
      <c r="B5864">
        <f>IFERROR(VLOOKUP($A5864,原始数据_收盘!$A$4:$G$3460,2,0),"")</f>
        <v>1.9296</v>
      </c>
      <c r="C5864">
        <f>IFERROR(VLOOKUP($A5864,原始数据_收盘!$A$4:$G$3460,3,0),"")</f>
        <v>2.1155</v>
      </c>
      <c r="D5864">
        <f>IFERROR(VLOOKUP($A5864,原始数据_收盘!$A$4:$G$3460,4,0),"")</f>
        <v>1.9331</v>
      </c>
      <c r="E5864">
        <f>IFERROR(VLOOKUP($A5864,原始数据_收盘!$A$4:$G$3460,5,0),"")</f>
        <v>2.1186</v>
      </c>
      <c r="F5864">
        <f>IFERROR(VLOOKUP($A5864,原始数据_收盘!$A$4:$G$3460,6,0),"")</f>
        <v>1.9313</v>
      </c>
      <c r="G5864">
        <f>IFERROR(VLOOKUP($A5864,原始数据_收盘!$A$4:$G$3460,7,0),"")</f>
        <v>2.117</v>
      </c>
      <c r="H5864">
        <f>IFERROR(VLOOKUP($A5864,原始数据_利率互换_FR007_1年!$A$6:$C$4395,2,0),"")</f>
        <v>1.946</v>
      </c>
      <c r="I5864">
        <f>IFERROR(VLOOKUP($A5864,原始数据_利率互换_FR007_1年!$A$6:$C$4395,3,0),"")</f>
        <v>2.1318</v>
      </c>
    </row>
    <row r="5865" spans="1:9">
      <c r="A5865" s="6">
        <v>45358</v>
      </c>
      <c r="B5865">
        <f>IFERROR(VLOOKUP($A5865,原始数据_收盘!$A$4:$G$3460,2,0),"")</f>
        <v>1.9359</v>
      </c>
      <c r="C5865">
        <f>IFERROR(VLOOKUP($A5865,原始数据_收盘!$A$4:$G$3460,3,0),"")</f>
        <v>2.1215</v>
      </c>
      <c r="D5865">
        <f>IFERROR(VLOOKUP($A5865,原始数据_收盘!$A$4:$G$3460,4,0),"")</f>
        <v>1.94</v>
      </c>
      <c r="E5865">
        <f>IFERROR(VLOOKUP($A5865,原始数据_收盘!$A$4:$G$3460,5,0),"")</f>
        <v>2.1242</v>
      </c>
      <c r="F5865">
        <f>IFERROR(VLOOKUP($A5865,原始数据_收盘!$A$4:$G$3460,6,0),"")</f>
        <v>1.9379</v>
      </c>
      <c r="G5865">
        <f>IFERROR(VLOOKUP($A5865,原始数据_收盘!$A$4:$G$3460,7,0),"")</f>
        <v>2.1229</v>
      </c>
      <c r="H5865">
        <f>IFERROR(VLOOKUP($A5865,原始数据_利率互换_FR007_1年!$A$6:$C$4395,2,0),"")</f>
        <v>1.9312</v>
      </c>
      <c r="I5865">
        <f>IFERROR(VLOOKUP($A5865,原始数据_利率互换_FR007_1年!$A$6:$C$4395,3,0),"")</f>
        <v>2.1139</v>
      </c>
    </row>
    <row r="5866" spans="1:9">
      <c r="A5866" s="6">
        <v>45359</v>
      </c>
      <c r="B5866">
        <f>IFERROR(VLOOKUP($A5866,原始数据_收盘!$A$4:$G$3460,2,0),"")</f>
        <v>1.9403</v>
      </c>
      <c r="C5866">
        <f>IFERROR(VLOOKUP($A5866,原始数据_收盘!$A$4:$G$3460,3,0),"")</f>
        <v>2.1412</v>
      </c>
      <c r="D5866">
        <f>IFERROR(VLOOKUP($A5866,原始数据_收盘!$A$4:$G$3460,4,0),"")</f>
        <v>1.945</v>
      </c>
      <c r="E5866">
        <f>IFERROR(VLOOKUP($A5866,原始数据_收盘!$A$4:$G$3460,5,0),"")</f>
        <v>2.1445</v>
      </c>
      <c r="F5866">
        <f>IFERROR(VLOOKUP($A5866,原始数据_收盘!$A$4:$G$3460,6,0),"")</f>
        <v>1.9427</v>
      </c>
      <c r="G5866">
        <f>IFERROR(VLOOKUP($A5866,原始数据_收盘!$A$4:$G$3460,7,0),"")</f>
        <v>2.1429</v>
      </c>
      <c r="H5866">
        <f>IFERROR(VLOOKUP($A5866,原始数据_利率互换_FR007_1年!$A$6:$C$4395,2,0),"")</f>
        <v>1.9374</v>
      </c>
      <c r="I5866">
        <f>IFERROR(VLOOKUP($A5866,原始数据_利率互换_FR007_1年!$A$6:$C$4395,3,0),"")</f>
        <v>2.1309</v>
      </c>
    </row>
    <row r="5867" spans="1:9">
      <c r="A5867" s="6">
        <v>45360</v>
      </c>
      <c r="B5867" t="str">
        <f>IFERROR(VLOOKUP($A5867,原始数据_收盘!$A$4:$G$3460,2,0),"")</f>
        <v/>
      </c>
      <c r="C5867" t="str">
        <f>IFERROR(VLOOKUP($A5867,原始数据_收盘!$A$4:$G$3460,3,0),"")</f>
        <v/>
      </c>
      <c r="D5867" t="str">
        <f>IFERROR(VLOOKUP($A5867,原始数据_收盘!$A$4:$G$3460,4,0),"")</f>
        <v/>
      </c>
      <c r="E5867" t="str">
        <f>IFERROR(VLOOKUP($A5867,原始数据_收盘!$A$4:$G$3460,5,0),"")</f>
        <v/>
      </c>
      <c r="F5867" t="str">
        <f>IFERROR(VLOOKUP($A5867,原始数据_收盘!$A$4:$G$3460,6,0),"")</f>
        <v/>
      </c>
      <c r="G5867" t="str">
        <f>IFERROR(VLOOKUP($A5867,原始数据_收盘!$A$4:$G$3460,7,0),"")</f>
        <v/>
      </c>
      <c r="H5867" t="str">
        <f>IFERROR(VLOOKUP($A5867,原始数据_利率互换_FR007_1年!$A$6:$C$4395,2,0),"")</f>
        <v/>
      </c>
      <c r="I5867" t="str">
        <f>IFERROR(VLOOKUP($A5867,原始数据_利率互换_FR007_1年!$A$6:$C$4395,3,0),"")</f>
        <v/>
      </c>
    </row>
    <row r="5868" spans="1:9">
      <c r="A5868" s="6">
        <v>45361</v>
      </c>
      <c r="B5868" t="str">
        <f>IFERROR(VLOOKUP($A5868,原始数据_收盘!$A$4:$G$3460,2,0),"")</f>
        <v/>
      </c>
      <c r="C5868" t="str">
        <f>IFERROR(VLOOKUP($A5868,原始数据_收盘!$A$4:$G$3460,3,0),"")</f>
        <v/>
      </c>
      <c r="D5868" t="str">
        <f>IFERROR(VLOOKUP($A5868,原始数据_收盘!$A$4:$G$3460,4,0),"")</f>
        <v/>
      </c>
      <c r="E5868" t="str">
        <f>IFERROR(VLOOKUP($A5868,原始数据_收盘!$A$4:$G$3460,5,0),"")</f>
        <v/>
      </c>
      <c r="F5868" t="str">
        <f>IFERROR(VLOOKUP($A5868,原始数据_收盘!$A$4:$G$3460,6,0),"")</f>
        <v/>
      </c>
      <c r="G5868" t="str">
        <f>IFERROR(VLOOKUP($A5868,原始数据_收盘!$A$4:$G$3460,7,0),"")</f>
        <v/>
      </c>
      <c r="H5868" t="str">
        <f>IFERROR(VLOOKUP($A5868,原始数据_利率互换_FR007_1年!$A$6:$C$4395,2,0),"")</f>
        <v/>
      </c>
      <c r="I5868" t="str">
        <f>IFERROR(VLOOKUP($A5868,原始数据_利率互换_FR007_1年!$A$6:$C$4395,3,0),"")</f>
        <v/>
      </c>
    </row>
    <row r="5869" spans="1:9">
      <c r="A5869" s="6">
        <v>45362</v>
      </c>
      <c r="B5869">
        <f>IFERROR(VLOOKUP($A5869,原始数据_收盘!$A$4:$G$3460,2,0),"")</f>
        <v>1.9575</v>
      </c>
      <c r="C5869">
        <f>IFERROR(VLOOKUP($A5869,原始数据_收盘!$A$4:$G$3460,3,0),"")</f>
        <v>2.1503</v>
      </c>
      <c r="D5869">
        <f>IFERROR(VLOOKUP($A5869,原始数据_收盘!$A$4:$G$3460,4,0),"")</f>
        <v>1.96</v>
      </c>
      <c r="E5869">
        <f>IFERROR(VLOOKUP($A5869,原始数据_收盘!$A$4:$G$3460,5,0),"")</f>
        <v>2.1538</v>
      </c>
      <c r="F5869">
        <f>IFERROR(VLOOKUP($A5869,原始数据_收盘!$A$4:$G$3460,6,0),"")</f>
        <v>1.9588</v>
      </c>
      <c r="G5869">
        <f>IFERROR(VLOOKUP($A5869,原始数据_收盘!$A$4:$G$3460,7,0),"")</f>
        <v>2.152</v>
      </c>
      <c r="H5869">
        <f>IFERROR(VLOOKUP($A5869,原始数据_利率互换_FR007_1年!$A$6:$C$4395,2,0),"")</f>
        <v>1.9505</v>
      </c>
      <c r="I5869">
        <f>IFERROR(VLOOKUP($A5869,原始数据_利率互换_FR007_1年!$A$6:$C$4395,3,0),"")</f>
        <v>2.1394</v>
      </c>
    </row>
    <row r="5870" spans="1:9">
      <c r="A5870" s="6">
        <v>45363</v>
      </c>
      <c r="B5870">
        <f>IFERROR(VLOOKUP($A5870,原始数据_收盘!$A$4:$G$3460,2,0),"")</f>
        <v>1.9674</v>
      </c>
      <c r="C5870">
        <f>IFERROR(VLOOKUP($A5870,原始数据_收盘!$A$4:$G$3460,3,0),"")</f>
        <v>2.1689</v>
      </c>
      <c r="D5870">
        <f>IFERROR(VLOOKUP($A5870,原始数据_收盘!$A$4:$G$3460,4,0),"")</f>
        <v>1.9701</v>
      </c>
      <c r="E5870">
        <f>IFERROR(VLOOKUP($A5870,原始数据_收盘!$A$4:$G$3460,5,0),"")</f>
        <v>2.1723</v>
      </c>
      <c r="F5870">
        <f>IFERROR(VLOOKUP($A5870,原始数据_收盘!$A$4:$G$3460,6,0),"")</f>
        <v>1.9688</v>
      </c>
      <c r="G5870">
        <f>IFERROR(VLOOKUP($A5870,原始数据_收盘!$A$4:$G$3460,7,0),"")</f>
        <v>2.1706</v>
      </c>
      <c r="H5870">
        <f>IFERROR(VLOOKUP($A5870,原始数据_利率互换_FR007_1年!$A$6:$C$4395,2,0),"")</f>
        <v>1.9616</v>
      </c>
      <c r="I5870">
        <f>IFERROR(VLOOKUP($A5870,原始数据_利率互换_FR007_1年!$A$6:$C$4395,3,0),"")</f>
        <v>2.1642</v>
      </c>
    </row>
    <row r="5871" spans="1:9">
      <c r="A5871" s="6">
        <v>45364</v>
      </c>
      <c r="B5871">
        <f>IFERROR(VLOOKUP($A5871,原始数据_收盘!$A$4:$G$3460,2,0),"")</f>
        <v>1.965</v>
      </c>
      <c r="C5871">
        <f>IFERROR(VLOOKUP($A5871,原始数据_收盘!$A$4:$G$3460,3,0),"")</f>
        <v>2.1575</v>
      </c>
      <c r="D5871">
        <f>IFERROR(VLOOKUP($A5871,原始数据_收盘!$A$4:$G$3460,4,0),"")</f>
        <v>1.9675</v>
      </c>
      <c r="E5871">
        <f>IFERROR(VLOOKUP($A5871,原始数据_收盘!$A$4:$G$3460,5,0),"")</f>
        <v>2.1601</v>
      </c>
      <c r="F5871">
        <f>IFERROR(VLOOKUP($A5871,原始数据_收盘!$A$4:$G$3460,6,0),"")</f>
        <v>1.9663</v>
      </c>
      <c r="G5871">
        <f>IFERROR(VLOOKUP($A5871,原始数据_收盘!$A$4:$G$3460,7,0),"")</f>
        <v>2.1588</v>
      </c>
      <c r="H5871">
        <f>IFERROR(VLOOKUP($A5871,原始数据_利率互换_FR007_1年!$A$6:$C$4395,2,0),"")</f>
        <v>1.9695</v>
      </c>
      <c r="I5871">
        <f>IFERROR(VLOOKUP($A5871,原始数据_利率互换_FR007_1年!$A$6:$C$4395,3,0),"")</f>
        <v>2.171</v>
      </c>
    </row>
    <row r="5872" spans="1:9">
      <c r="A5872" s="6">
        <v>45365</v>
      </c>
      <c r="B5872">
        <f>IFERROR(VLOOKUP($A5872,原始数据_收盘!$A$4:$G$3460,2,0),"")</f>
        <v>1.9725</v>
      </c>
      <c r="C5872">
        <f>IFERROR(VLOOKUP($A5872,原始数据_收盘!$A$4:$G$3460,3,0),"")</f>
        <v>2.165</v>
      </c>
      <c r="D5872">
        <f>IFERROR(VLOOKUP($A5872,原始数据_收盘!$A$4:$G$3460,4,0),"")</f>
        <v>1.975</v>
      </c>
      <c r="E5872">
        <f>IFERROR(VLOOKUP($A5872,原始数据_收盘!$A$4:$G$3460,5,0),"")</f>
        <v>2.1675</v>
      </c>
      <c r="F5872">
        <f>IFERROR(VLOOKUP($A5872,原始数据_收盘!$A$4:$G$3460,6,0),"")</f>
        <v>1.9738</v>
      </c>
      <c r="G5872">
        <f>IFERROR(VLOOKUP($A5872,原始数据_收盘!$A$4:$G$3460,7,0),"")</f>
        <v>2.1663</v>
      </c>
      <c r="H5872">
        <f>IFERROR(VLOOKUP($A5872,原始数据_利率互换_FR007_1年!$A$6:$C$4395,2,0),"")</f>
        <v>1.9735</v>
      </c>
      <c r="I5872">
        <f>IFERROR(VLOOKUP($A5872,原始数据_利率互换_FR007_1年!$A$6:$C$4395,3,0),"")</f>
        <v>2.1683</v>
      </c>
    </row>
    <row r="5873" spans="1:9">
      <c r="A5873" s="6">
        <v>45366</v>
      </c>
      <c r="B5873">
        <f>IFERROR(VLOOKUP($A5873,原始数据_收盘!$A$4:$G$3460,2,0),"")</f>
        <v>1.968</v>
      </c>
      <c r="C5873">
        <f>IFERROR(VLOOKUP($A5873,原始数据_收盘!$A$4:$G$3460,3,0),"")</f>
        <v>2.1573</v>
      </c>
      <c r="D5873">
        <f>IFERROR(VLOOKUP($A5873,原始数据_收盘!$A$4:$G$3460,4,0),"")</f>
        <v>1.9705</v>
      </c>
      <c r="E5873">
        <f>IFERROR(VLOOKUP($A5873,原始数据_收盘!$A$4:$G$3460,5,0),"")</f>
        <v>2.16</v>
      </c>
      <c r="F5873">
        <f>IFERROR(VLOOKUP($A5873,原始数据_收盘!$A$4:$G$3460,6,0),"")</f>
        <v>1.9693</v>
      </c>
      <c r="G5873">
        <f>IFERROR(VLOOKUP($A5873,原始数据_收盘!$A$4:$G$3460,7,0),"")</f>
        <v>2.1587</v>
      </c>
      <c r="H5873">
        <f>IFERROR(VLOOKUP($A5873,原始数据_利率互换_FR007_1年!$A$6:$C$4395,2,0),"")</f>
        <v>1.971</v>
      </c>
      <c r="I5873">
        <f>IFERROR(VLOOKUP($A5873,原始数据_利率互换_FR007_1年!$A$6:$C$4395,3,0),"")</f>
        <v>2.1632</v>
      </c>
    </row>
    <row r="5874" spans="1:9">
      <c r="A5874" s="6">
        <v>45367</v>
      </c>
      <c r="B5874" t="str">
        <f>IFERROR(VLOOKUP($A5874,原始数据_收盘!$A$4:$G$3460,2,0),"")</f>
        <v/>
      </c>
      <c r="C5874" t="str">
        <f>IFERROR(VLOOKUP($A5874,原始数据_收盘!$A$4:$G$3460,3,0),"")</f>
        <v/>
      </c>
      <c r="D5874" t="str">
        <f>IFERROR(VLOOKUP($A5874,原始数据_收盘!$A$4:$G$3460,4,0),"")</f>
        <v/>
      </c>
      <c r="E5874" t="str">
        <f>IFERROR(VLOOKUP($A5874,原始数据_收盘!$A$4:$G$3460,5,0),"")</f>
        <v/>
      </c>
      <c r="F5874" t="str">
        <f>IFERROR(VLOOKUP($A5874,原始数据_收盘!$A$4:$G$3460,6,0),"")</f>
        <v/>
      </c>
      <c r="G5874" t="str">
        <f>IFERROR(VLOOKUP($A5874,原始数据_收盘!$A$4:$G$3460,7,0),"")</f>
        <v/>
      </c>
      <c r="H5874" t="str">
        <f>IFERROR(VLOOKUP($A5874,原始数据_利率互换_FR007_1年!$A$6:$C$4395,2,0),"")</f>
        <v/>
      </c>
      <c r="I5874" t="str">
        <f>IFERROR(VLOOKUP($A5874,原始数据_利率互换_FR007_1年!$A$6:$C$4395,3,0),"")</f>
        <v/>
      </c>
    </row>
    <row r="5875" spans="1:9">
      <c r="A5875" s="6">
        <v>45368</v>
      </c>
      <c r="B5875" t="str">
        <f>IFERROR(VLOOKUP($A5875,原始数据_收盘!$A$4:$G$3460,2,0),"")</f>
        <v/>
      </c>
      <c r="C5875" t="str">
        <f>IFERROR(VLOOKUP($A5875,原始数据_收盘!$A$4:$G$3460,3,0),"")</f>
        <v/>
      </c>
      <c r="D5875" t="str">
        <f>IFERROR(VLOOKUP($A5875,原始数据_收盘!$A$4:$G$3460,4,0),"")</f>
        <v/>
      </c>
      <c r="E5875" t="str">
        <f>IFERROR(VLOOKUP($A5875,原始数据_收盘!$A$4:$G$3460,5,0),"")</f>
        <v/>
      </c>
      <c r="F5875" t="str">
        <f>IFERROR(VLOOKUP($A5875,原始数据_收盘!$A$4:$G$3460,6,0),"")</f>
        <v/>
      </c>
      <c r="G5875" t="str">
        <f>IFERROR(VLOOKUP($A5875,原始数据_收盘!$A$4:$G$3460,7,0),"")</f>
        <v/>
      </c>
      <c r="H5875" t="str">
        <f>IFERROR(VLOOKUP($A5875,原始数据_利率互换_FR007_1年!$A$6:$C$4395,2,0),"")</f>
        <v/>
      </c>
      <c r="I5875" t="str">
        <f>IFERROR(VLOOKUP($A5875,原始数据_利率互换_FR007_1年!$A$6:$C$4395,3,0),"")</f>
        <v/>
      </c>
    </row>
    <row r="5876" spans="1:9">
      <c r="A5876" s="6">
        <v>45369</v>
      </c>
      <c r="B5876">
        <f>IFERROR(VLOOKUP($A5876,原始数据_收盘!$A$4:$G$3460,2,0),"")</f>
        <v>1.9591</v>
      </c>
      <c r="C5876">
        <f>IFERROR(VLOOKUP($A5876,原始数据_收盘!$A$4:$G$3460,3,0),"")</f>
        <v>2.1445</v>
      </c>
      <c r="D5876">
        <f>IFERROR(VLOOKUP($A5876,原始数据_收盘!$A$4:$G$3460,4,0),"")</f>
        <v>1.9619</v>
      </c>
      <c r="E5876">
        <f>IFERROR(VLOOKUP($A5876,原始数据_收盘!$A$4:$G$3460,5,0),"")</f>
        <v>2.1473</v>
      </c>
      <c r="F5876">
        <f>IFERROR(VLOOKUP($A5876,原始数据_收盘!$A$4:$G$3460,6,0),"")</f>
        <v>1.9605</v>
      </c>
      <c r="G5876">
        <f>IFERROR(VLOOKUP($A5876,原始数据_收盘!$A$4:$G$3460,7,0),"")</f>
        <v>2.1459</v>
      </c>
      <c r="H5876">
        <f>IFERROR(VLOOKUP($A5876,原始数据_利率互换_FR007_1年!$A$6:$C$4395,2,0),"")</f>
        <v>1.9663</v>
      </c>
      <c r="I5876">
        <f>IFERROR(VLOOKUP($A5876,原始数据_利率互换_FR007_1年!$A$6:$C$4395,3,0),"")</f>
        <v>2.1543</v>
      </c>
    </row>
    <row r="5877" spans="1:9">
      <c r="A5877" s="6">
        <v>45370</v>
      </c>
      <c r="B5877">
        <f>IFERROR(VLOOKUP($A5877,原始数据_收盘!$A$4:$G$3460,2,0),"")</f>
        <v>1.9625</v>
      </c>
      <c r="C5877">
        <f>IFERROR(VLOOKUP($A5877,原始数据_收盘!$A$4:$G$3460,3,0),"")</f>
        <v>2.1409</v>
      </c>
      <c r="D5877">
        <f>IFERROR(VLOOKUP($A5877,原始数据_收盘!$A$4:$G$3460,4,0),"")</f>
        <v>1.9653</v>
      </c>
      <c r="E5877">
        <f>IFERROR(VLOOKUP($A5877,原始数据_收盘!$A$4:$G$3460,5,0),"")</f>
        <v>2.1434</v>
      </c>
      <c r="F5877">
        <f>IFERROR(VLOOKUP($A5877,原始数据_收盘!$A$4:$G$3460,6,0),"")</f>
        <v>1.9639</v>
      </c>
      <c r="G5877">
        <f>IFERROR(VLOOKUP($A5877,原始数据_收盘!$A$4:$G$3460,7,0),"")</f>
        <v>2.1421</v>
      </c>
      <c r="H5877">
        <f>IFERROR(VLOOKUP($A5877,原始数据_利率互换_FR007_1年!$A$6:$C$4395,2,0),"")</f>
        <v>1.9648</v>
      </c>
      <c r="I5877">
        <f>IFERROR(VLOOKUP($A5877,原始数据_利率互换_FR007_1年!$A$6:$C$4395,3,0),"")</f>
        <v>2.1438</v>
      </c>
    </row>
    <row r="5878" spans="1:9">
      <c r="A5878" s="6">
        <v>45371</v>
      </c>
      <c r="B5878">
        <f>IFERROR(VLOOKUP($A5878,原始数据_收盘!$A$4:$G$3460,2,0),"")</f>
        <v>1.9871</v>
      </c>
      <c r="C5878">
        <f>IFERROR(VLOOKUP($A5878,原始数据_收盘!$A$4:$G$3460,3,0),"")</f>
        <v>2.1768</v>
      </c>
      <c r="D5878">
        <f>IFERROR(VLOOKUP($A5878,原始数据_收盘!$A$4:$G$3460,4,0),"")</f>
        <v>1.9889</v>
      </c>
      <c r="E5878">
        <f>IFERROR(VLOOKUP($A5878,原始数据_收盘!$A$4:$G$3460,5,0),"")</f>
        <v>2.1803</v>
      </c>
      <c r="F5878">
        <f>IFERROR(VLOOKUP($A5878,原始数据_收盘!$A$4:$G$3460,6,0),"")</f>
        <v>1.988</v>
      </c>
      <c r="G5878">
        <f>IFERROR(VLOOKUP($A5878,原始数据_收盘!$A$4:$G$3460,7,0),"")</f>
        <v>2.1785</v>
      </c>
      <c r="H5878">
        <f>IFERROR(VLOOKUP($A5878,原始数据_利率互换_FR007_1年!$A$6:$C$4395,2,0),"")</f>
        <v>1.9796</v>
      </c>
      <c r="I5878">
        <f>IFERROR(VLOOKUP($A5878,原始数据_利率互换_FR007_1年!$A$6:$C$4395,3,0),"")</f>
        <v>2.1643</v>
      </c>
    </row>
    <row r="5879" spans="1:9">
      <c r="A5879" s="6">
        <v>45372</v>
      </c>
      <c r="B5879">
        <f>IFERROR(VLOOKUP($A5879,原始数据_收盘!$A$4:$G$3460,2,0),"")</f>
        <v>1.965</v>
      </c>
      <c r="C5879">
        <f>IFERROR(VLOOKUP($A5879,原始数据_收盘!$A$4:$G$3460,3,0),"")</f>
        <v>2.145</v>
      </c>
      <c r="D5879">
        <f>IFERROR(VLOOKUP($A5879,原始数据_收盘!$A$4:$G$3460,4,0),"")</f>
        <v>1.9675</v>
      </c>
      <c r="E5879">
        <f>IFERROR(VLOOKUP($A5879,原始数据_收盘!$A$4:$G$3460,5,0),"")</f>
        <v>2.1479</v>
      </c>
      <c r="F5879">
        <f>IFERROR(VLOOKUP($A5879,原始数据_收盘!$A$4:$G$3460,6,0),"")</f>
        <v>1.9663</v>
      </c>
      <c r="G5879">
        <f>IFERROR(VLOOKUP($A5879,原始数据_收盘!$A$4:$G$3460,7,0),"")</f>
        <v>2.1465</v>
      </c>
      <c r="H5879">
        <f>IFERROR(VLOOKUP($A5879,原始数据_利率互换_FR007_1年!$A$6:$C$4395,2,0),"")</f>
        <v>1.9691</v>
      </c>
      <c r="I5879">
        <f>IFERROR(VLOOKUP($A5879,原始数据_利率互换_FR007_1年!$A$6:$C$4395,3,0),"")</f>
        <v>2.1557</v>
      </c>
    </row>
    <row r="5880" spans="1:9">
      <c r="A5880" s="6">
        <v>45373</v>
      </c>
      <c r="B5880">
        <f>IFERROR(VLOOKUP($A5880,原始数据_收盘!$A$4:$G$3460,2,0),"")</f>
        <v>1.975</v>
      </c>
      <c r="C5880">
        <f>IFERROR(VLOOKUP($A5880,原始数据_收盘!$A$4:$G$3460,3,0),"")</f>
        <v>2.1575</v>
      </c>
      <c r="D5880">
        <f>IFERROR(VLOOKUP($A5880,原始数据_收盘!$A$4:$G$3460,4,0),"")</f>
        <v>1.98</v>
      </c>
      <c r="E5880">
        <f>IFERROR(VLOOKUP($A5880,原始数据_收盘!$A$4:$G$3460,5,0),"")</f>
        <v>2.16</v>
      </c>
      <c r="F5880">
        <f>IFERROR(VLOOKUP($A5880,原始数据_收盘!$A$4:$G$3460,6,0),"")</f>
        <v>1.9775</v>
      </c>
      <c r="G5880">
        <f>IFERROR(VLOOKUP($A5880,原始数据_收盘!$A$4:$G$3460,7,0),"")</f>
        <v>2.1588</v>
      </c>
      <c r="H5880">
        <f>IFERROR(VLOOKUP($A5880,原始数据_利率互换_FR007_1年!$A$6:$C$4395,2,0),"")</f>
        <v>1.973</v>
      </c>
      <c r="I5880">
        <f>IFERROR(VLOOKUP($A5880,原始数据_利率互换_FR007_1年!$A$6:$C$4395,3,0),"")</f>
        <v>2.1592</v>
      </c>
    </row>
    <row r="5881" spans="1:9">
      <c r="A5881" s="6">
        <v>45374</v>
      </c>
      <c r="B5881" t="str">
        <f>IFERROR(VLOOKUP($A5881,原始数据_收盘!$A$4:$G$3460,2,0),"")</f>
        <v/>
      </c>
      <c r="C5881" t="str">
        <f>IFERROR(VLOOKUP($A5881,原始数据_收盘!$A$4:$G$3460,3,0),"")</f>
        <v/>
      </c>
      <c r="D5881" t="str">
        <f>IFERROR(VLOOKUP($A5881,原始数据_收盘!$A$4:$G$3460,4,0),"")</f>
        <v/>
      </c>
      <c r="E5881" t="str">
        <f>IFERROR(VLOOKUP($A5881,原始数据_收盘!$A$4:$G$3460,5,0),"")</f>
        <v/>
      </c>
      <c r="F5881" t="str">
        <f>IFERROR(VLOOKUP($A5881,原始数据_收盘!$A$4:$G$3460,6,0),"")</f>
        <v/>
      </c>
      <c r="G5881" t="str">
        <f>IFERROR(VLOOKUP($A5881,原始数据_收盘!$A$4:$G$3460,7,0),"")</f>
        <v/>
      </c>
      <c r="H5881" t="str">
        <f>IFERROR(VLOOKUP($A5881,原始数据_利率互换_FR007_1年!$A$6:$C$4395,2,0),"")</f>
        <v/>
      </c>
      <c r="I5881" t="str">
        <f>IFERROR(VLOOKUP($A5881,原始数据_利率互换_FR007_1年!$A$6:$C$4395,3,0),"")</f>
        <v/>
      </c>
    </row>
    <row r="5882" spans="1:9">
      <c r="A5882" s="6">
        <v>45375</v>
      </c>
      <c r="B5882" t="str">
        <f>IFERROR(VLOOKUP($A5882,原始数据_收盘!$A$4:$G$3460,2,0),"")</f>
        <v/>
      </c>
      <c r="C5882" t="str">
        <f>IFERROR(VLOOKUP($A5882,原始数据_收盘!$A$4:$G$3460,3,0),"")</f>
        <v/>
      </c>
      <c r="D5882" t="str">
        <f>IFERROR(VLOOKUP($A5882,原始数据_收盘!$A$4:$G$3460,4,0),"")</f>
        <v/>
      </c>
      <c r="E5882" t="str">
        <f>IFERROR(VLOOKUP($A5882,原始数据_收盘!$A$4:$G$3460,5,0),"")</f>
        <v/>
      </c>
      <c r="F5882" t="str">
        <f>IFERROR(VLOOKUP($A5882,原始数据_收盘!$A$4:$G$3460,6,0),"")</f>
        <v/>
      </c>
      <c r="G5882" t="str">
        <f>IFERROR(VLOOKUP($A5882,原始数据_收盘!$A$4:$G$3460,7,0),"")</f>
        <v/>
      </c>
      <c r="H5882" t="str">
        <f>IFERROR(VLOOKUP($A5882,原始数据_利率互换_FR007_1年!$A$6:$C$4395,2,0),"")</f>
        <v/>
      </c>
      <c r="I5882" t="str">
        <f>IFERROR(VLOOKUP($A5882,原始数据_利率互换_FR007_1年!$A$6:$C$4395,3,0),"")</f>
        <v/>
      </c>
    </row>
    <row r="5883" spans="1:9">
      <c r="A5883" s="6">
        <v>45376</v>
      </c>
      <c r="B5883">
        <f>IFERROR(VLOOKUP($A5883,原始数据_收盘!$A$4:$G$3460,2,0),"")</f>
        <v>1.9945</v>
      </c>
      <c r="C5883">
        <f>IFERROR(VLOOKUP($A5883,原始数据_收盘!$A$4:$G$3460,3,0),"")</f>
        <v>2.1725</v>
      </c>
      <c r="D5883">
        <f>IFERROR(VLOOKUP($A5883,原始数据_收盘!$A$4:$G$3460,4,0),"")</f>
        <v>1.9975</v>
      </c>
      <c r="E5883">
        <f>IFERROR(VLOOKUP($A5883,原始数据_收盘!$A$4:$G$3460,5,0),"")</f>
        <v>2.1751</v>
      </c>
      <c r="F5883">
        <f>IFERROR(VLOOKUP($A5883,原始数据_收盘!$A$4:$G$3460,6,0),"")</f>
        <v>1.996</v>
      </c>
      <c r="G5883">
        <f>IFERROR(VLOOKUP($A5883,原始数据_收盘!$A$4:$G$3460,7,0),"")</f>
        <v>2.1738</v>
      </c>
      <c r="H5883">
        <f>IFERROR(VLOOKUP($A5883,原始数据_利率互换_FR007_1年!$A$6:$C$4395,2,0),"")</f>
        <v>1.9905</v>
      </c>
      <c r="I5883">
        <f>IFERROR(VLOOKUP($A5883,原始数据_利率互换_FR007_1年!$A$6:$C$4395,3,0),"")</f>
        <v>2.1716</v>
      </c>
    </row>
    <row r="5884" spans="1:9">
      <c r="A5884" s="6">
        <v>45377</v>
      </c>
      <c r="B5884">
        <f>IFERROR(VLOOKUP($A5884,原始数据_收盘!$A$4:$G$3460,2,0),"")</f>
        <v>2.0043</v>
      </c>
      <c r="C5884">
        <f>IFERROR(VLOOKUP($A5884,原始数据_收盘!$A$4:$G$3460,3,0),"")</f>
        <v>2.185</v>
      </c>
      <c r="D5884">
        <f>IFERROR(VLOOKUP($A5884,原始数据_收盘!$A$4:$G$3460,4,0),"")</f>
        <v>2.005</v>
      </c>
      <c r="E5884">
        <f>IFERROR(VLOOKUP($A5884,原始数据_收盘!$A$4:$G$3460,5,0),"")</f>
        <v>2.1875</v>
      </c>
      <c r="F5884">
        <f>IFERROR(VLOOKUP($A5884,原始数据_收盘!$A$4:$G$3460,6,0),"")</f>
        <v>2.0046</v>
      </c>
      <c r="G5884">
        <f>IFERROR(VLOOKUP($A5884,原始数据_收盘!$A$4:$G$3460,7,0),"")</f>
        <v>2.1863</v>
      </c>
      <c r="H5884">
        <f>IFERROR(VLOOKUP($A5884,原始数据_利率互换_FR007_1年!$A$6:$C$4395,2,0),"")</f>
        <v>2.0019</v>
      </c>
      <c r="I5884">
        <f>IFERROR(VLOOKUP($A5884,原始数据_利率互换_FR007_1年!$A$6:$C$4395,3,0),"")</f>
        <v>2.1815</v>
      </c>
    </row>
    <row r="5885" spans="1:9">
      <c r="A5885" s="6">
        <v>45378</v>
      </c>
      <c r="B5885">
        <f>IFERROR(VLOOKUP($A5885,原始数据_收盘!$A$4:$G$3460,2,0),"")</f>
        <v>1.99</v>
      </c>
      <c r="C5885">
        <f>IFERROR(VLOOKUP($A5885,原始数据_收盘!$A$4:$G$3460,3,0),"")</f>
        <v>2.1671</v>
      </c>
      <c r="D5885">
        <f>IFERROR(VLOOKUP($A5885,原始数据_收盘!$A$4:$G$3460,4,0),"")</f>
        <v>1.9925</v>
      </c>
      <c r="E5885">
        <f>IFERROR(VLOOKUP($A5885,原始数据_收盘!$A$4:$G$3460,5,0),"")</f>
        <v>2.1696</v>
      </c>
      <c r="F5885">
        <f>IFERROR(VLOOKUP($A5885,原始数据_收盘!$A$4:$G$3460,6,0),"")</f>
        <v>1.9913</v>
      </c>
      <c r="G5885">
        <f>IFERROR(VLOOKUP($A5885,原始数据_收盘!$A$4:$G$3460,7,0),"")</f>
        <v>2.1684</v>
      </c>
      <c r="H5885">
        <f>IFERROR(VLOOKUP($A5885,原始数据_利率互换_FR007_1年!$A$6:$C$4395,2,0),"")</f>
        <v>1.9926</v>
      </c>
      <c r="I5885">
        <f>IFERROR(VLOOKUP($A5885,原始数据_利率互换_FR007_1年!$A$6:$C$4395,3,0),"")</f>
        <v>2.1731</v>
      </c>
    </row>
    <row r="5886" spans="1:9">
      <c r="A5886" s="6">
        <v>45379</v>
      </c>
      <c r="B5886">
        <f>IFERROR(VLOOKUP($A5886,原始数据_收盘!$A$4:$G$3460,2,0),"")</f>
        <v>1.9806</v>
      </c>
      <c r="C5886">
        <f>IFERROR(VLOOKUP($A5886,原始数据_收盘!$A$4:$G$3460,3,0),"")</f>
        <v>2.1625</v>
      </c>
      <c r="D5886">
        <f>IFERROR(VLOOKUP($A5886,原始数据_收盘!$A$4:$G$3460,4,0),"")</f>
        <v>1.9827</v>
      </c>
      <c r="E5886">
        <f>IFERROR(VLOOKUP($A5886,原始数据_收盘!$A$4:$G$3460,5,0),"")</f>
        <v>2.165</v>
      </c>
      <c r="F5886">
        <f>IFERROR(VLOOKUP($A5886,原始数据_收盘!$A$4:$G$3460,6,0),"")</f>
        <v>1.9816</v>
      </c>
      <c r="G5886">
        <f>IFERROR(VLOOKUP($A5886,原始数据_收盘!$A$4:$G$3460,7,0),"")</f>
        <v>2.1638</v>
      </c>
      <c r="H5886">
        <f>IFERROR(VLOOKUP($A5886,原始数据_利率互换_FR007_1年!$A$6:$C$4395,2,0),"")</f>
        <v>1.9808</v>
      </c>
      <c r="I5886">
        <f>IFERROR(VLOOKUP($A5886,原始数据_利率互换_FR007_1年!$A$6:$C$4395,3,0),"")</f>
        <v>2.1614</v>
      </c>
    </row>
    <row r="5887" spans="1:9">
      <c r="A5887" s="6">
        <v>45380</v>
      </c>
      <c r="B5887">
        <f>IFERROR(VLOOKUP($A5887,原始数据_收盘!$A$4:$G$3460,2,0),"")</f>
        <v>1.94</v>
      </c>
      <c r="C5887">
        <f>IFERROR(VLOOKUP($A5887,原始数据_收盘!$A$4:$G$3460,3,0),"")</f>
        <v>2.1299</v>
      </c>
      <c r="D5887">
        <f>IFERROR(VLOOKUP($A5887,原始数据_收盘!$A$4:$G$3460,4,0),"")</f>
        <v>1.9426</v>
      </c>
      <c r="E5887">
        <f>IFERROR(VLOOKUP($A5887,原始数据_收盘!$A$4:$G$3460,5,0),"")</f>
        <v>2.1325</v>
      </c>
      <c r="F5887">
        <f>IFERROR(VLOOKUP($A5887,原始数据_收盘!$A$4:$G$3460,6,0),"")</f>
        <v>1.9413</v>
      </c>
      <c r="G5887">
        <f>IFERROR(VLOOKUP($A5887,原始数据_收盘!$A$4:$G$3460,7,0),"")</f>
        <v>2.1312</v>
      </c>
      <c r="H5887">
        <f>IFERROR(VLOOKUP($A5887,原始数据_利率互换_FR007_1年!$A$6:$C$4395,2,0),"")</f>
        <v>1.9564</v>
      </c>
      <c r="I5887">
        <f>IFERROR(VLOOKUP($A5887,原始数据_利率互换_FR007_1年!$A$6:$C$4395,3,0),"")</f>
        <v>2.1455</v>
      </c>
    </row>
    <row r="5888" spans="1:9">
      <c r="A5888" s="6">
        <v>45381</v>
      </c>
      <c r="B5888" t="str">
        <f>IFERROR(VLOOKUP($A5888,原始数据_收盘!$A$4:$G$3460,2,0),"")</f>
        <v/>
      </c>
      <c r="C5888" t="str">
        <f>IFERROR(VLOOKUP($A5888,原始数据_收盘!$A$4:$G$3460,3,0),"")</f>
        <v/>
      </c>
      <c r="D5888" t="str">
        <f>IFERROR(VLOOKUP($A5888,原始数据_收盘!$A$4:$G$3460,4,0),"")</f>
        <v/>
      </c>
      <c r="E5888" t="str">
        <f>IFERROR(VLOOKUP($A5888,原始数据_收盘!$A$4:$G$3460,5,0),"")</f>
        <v/>
      </c>
      <c r="F5888" t="str">
        <f>IFERROR(VLOOKUP($A5888,原始数据_收盘!$A$4:$G$3460,6,0),"")</f>
        <v/>
      </c>
      <c r="G5888" t="str">
        <f>IFERROR(VLOOKUP($A5888,原始数据_收盘!$A$4:$G$3460,7,0),"")</f>
        <v/>
      </c>
      <c r="H5888" t="str">
        <f>IFERROR(VLOOKUP($A5888,原始数据_利率互换_FR007_1年!$A$6:$C$4395,2,0),"")</f>
        <v/>
      </c>
      <c r="I5888" t="str">
        <f>IFERROR(VLOOKUP($A5888,原始数据_利率互换_FR007_1年!$A$6:$C$4395,3,0),"")</f>
        <v/>
      </c>
    </row>
    <row r="5889" spans="1:9">
      <c r="A5889" s="6">
        <v>45382</v>
      </c>
      <c r="B5889" t="str">
        <f>IFERROR(VLOOKUP($A5889,原始数据_收盘!$A$4:$G$3460,2,0),"")</f>
        <v/>
      </c>
      <c r="C5889" t="str">
        <f>IFERROR(VLOOKUP($A5889,原始数据_收盘!$A$4:$G$3460,3,0),"")</f>
        <v/>
      </c>
      <c r="D5889" t="str">
        <f>IFERROR(VLOOKUP($A5889,原始数据_收盘!$A$4:$G$3460,4,0),"")</f>
        <v/>
      </c>
      <c r="E5889" t="str">
        <f>IFERROR(VLOOKUP($A5889,原始数据_收盘!$A$4:$G$3460,5,0),"")</f>
        <v/>
      </c>
      <c r="F5889" t="str">
        <f>IFERROR(VLOOKUP($A5889,原始数据_收盘!$A$4:$G$3460,6,0),"")</f>
        <v/>
      </c>
      <c r="G5889" t="str">
        <f>IFERROR(VLOOKUP($A5889,原始数据_收盘!$A$4:$G$3460,7,0),"")</f>
        <v/>
      </c>
      <c r="H5889" t="str">
        <f>IFERROR(VLOOKUP($A5889,原始数据_利率互换_FR007_1年!$A$6:$C$4395,2,0),"")</f>
        <v/>
      </c>
      <c r="I5889" t="str">
        <f>IFERROR(VLOOKUP($A5889,原始数据_利率互换_FR007_1年!$A$6:$C$4395,3,0),"")</f>
        <v/>
      </c>
    </row>
    <row r="5890" spans="1:9">
      <c r="A5890" s="6">
        <v>45383</v>
      </c>
      <c r="B5890">
        <f>IFERROR(VLOOKUP($A5890,原始数据_收盘!$A$4:$G$3460,2,0),"")</f>
        <v>1.9647</v>
      </c>
      <c r="C5890">
        <f>IFERROR(VLOOKUP($A5890,原始数据_收盘!$A$4:$G$3460,3,0),"")</f>
        <v>2.1549</v>
      </c>
      <c r="D5890">
        <f>IFERROR(VLOOKUP($A5890,原始数据_收盘!$A$4:$G$3460,4,0),"")</f>
        <v>1.9675</v>
      </c>
      <c r="E5890">
        <f>IFERROR(VLOOKUP($A5890,原始数据_收盘!$A$4:$G$3460,5,0),"")</f>
        <v>2.1575</v>
      </c>
      <c r="F5890">
        <f>IFERROR(VLOOKUP($A5890,原始数据_收盘!$A$4:$G$3460,6,0),"")</f>
        <v>1.9661</v>
      </c>
      <c r="G5890">
        <f>IFERROR(VLOOKUP($A5890,原始数据_收盘!$A$4:$G$3460,7,0),"")</f>
        <v>2.1562</v>
      </c>
      <c r="H5890">
        <f>IFERROR(VLOOKUP($A5890,原始数据_利率互换_FR007_1年!$A$6:$C$4395,2,0),"")</f>
        <v>1.9632</v>
      </c>
      <c r="I5890">
        <f>IFERROR(VLOOKUP($A5890,原始数据_利率互换_FR007_1年!$A$6:$C$4395,3,0),"")</f>
        <v>2.1534</v>
      </c>
    </row>
    <row r="5891" spans="1:9">
      <c r="A5891" s="6">
        <v>45384</v>
      </c>
      <c r="B5891">
        <f>IFERROR(VLOOKUP($A5891,原始数据_收盘!$A$4:$G$3460,2,0),"")</f>
        <v>1.9725</v>
      </c>
      <c r="C5891">
        <f>IFERROR(VLOOKUP($A5891,原始数据_收盘!$A$4:$G$3460,3,0),"")</f>
        <v>2.1448</v>
      </c>
      <c r="D5891">
        <f>IFERROR(VLOOKUP($A5891,原始数据_收盘!$A$4:$G$3460,4,0),"")</f>
        <v>1.975</v>
      </c>
      <c r="E5891">
        <f>IFERROR(VLOOKUP($A5891,原始数据_收盘!$A$4:$G$3460,5,0),"")</f>
        <v>2.1473</v>
      </c>
      <c r="F5891">
        <f>IFERROR(VLOOKUP($A5891,原始数据_收盘!$A$4:$G$3460,6,0),"")</f>
        <v>1.9738</v>
      </c>
      <c r="G5891">
        <f>IFERROR(VLOOKUP($A5891,原始数据_收盘!$A$4:$G$3460,7,0),"")</f>
        <v>2.1461</v>
      </c>
      <c r="H5891">
        <f>IFERROR(VLOOKUP($A5891,原始数据_利率互换_FR007_1年!$A$6:$C$4395,2,0),"")</f>
        <v>1.9717</v>
      </c>
      <c r="I5891">
        <f>IFERROR(VLOOKUP($A5891,原始数据_利率互换_FR007_1年!$A$6:$C$4395,3,0),"")</f>
        <v>2.1491</v>
      </c>
    </row>
    <row r="5892" spans="1:9">
      <c r="A5892" s="6">
        <v>45385</v>
      </c>
      <c r="B5892">
        <f>IFERROR(VLOOKUP($A5892,原始数据_收盘!$A$4:$G$3460,2,0),"")</f>
        <v>1.965</v>
      </c>
      <c r="C5892">
        <f>IFERROR(VLOOKUP($A5892,原始数据_收盘!$A$4:$G$3460,3,0),"")</f>
        <v>2.135</v>
      </c>
      <c r="D5892">
        <f>IFERROR(VLOOKUP($A5892,原始数据_收盘!$A$4:$G$3460,4,0),"")</f>
        <v>1.9675</v>
      </c>
      <c r="E5892">
        <f>IFERROR(VLOOKUP($A5892,原始数据_收盘!$A$4:$G$3460,5,0),"")</f>
        <v>2.1375</v>
      </c>
      <c r="F5892">
        <f>IFERROR(VLOOKUP($A5892,原始数据_收盘!$A$4:$G$3460,6,0),"")</f>
        <v>1.9663</v>
      </c>
      <c r="G5892">
        <f>IFERROR(VLOOKUP($A5892,原始数据_收盘!$A$4:$G$3460,7,0),"")</f>
        <v>2.1363</v>
      </c>
      <c r="H5892">
        <f>IFERROR(VLOOKUP($A5892,原始数据_利率互换_FR007_1年!$A$6:$C$4395,2,0),"")</f>
        <v>1.9649</v>
      </c>
      <c r="I5892">
        <f>IFERROR(VLOOKUP($A5892,原始数据_利率互换_FR007_1年!$A$6:$C$4395,3,0),"")</f>
        <v>2.1367</v>
      </c>
    </row>
    <row r="5893" spans="1:9">
      <c r="A5893" s="6">
        <v>45386</v>
      </c>
      <c r="B5893" t="str">
        <f>IFERROR(VLOOKUP($A5893,原始数据_收盘!$A$4:$G$3460,2,0),"")</f>
        <v/>
      </c>
      <c r="C5893" t="str">
        <f>IFERROR(VLOOKUP($A5893,原始数据_收盘!$A$4:$G$3460,3,0),"")</f>
        <v/>
      </c>
      <c r="D5893" t="str">
        <f>IFERROR(VLOOKUP($A5893,原始数据_收盘!$A$4:$G$3460,4,0),"")</f>
        <v/>
      </c>
      <c r="E5893" t="str">
        <f>IFERROR(VLOOKUP($A5893,原始数据_收盘!$A$4:$G$3460,5,0),"")</f>
        <v/>
      </c>
      <c r="F5893" t="str">
        <f>IFERROR(VLOOKUP($A5893,原始数据_收盘!$A$4:$G$3460,6,0),"")</f>
        <v/>
      </c>
      <c r="G5893" t="str">
        <f>IFERROR(VLOOKUP($A5893,原始数据_收盘!$A$4:$G$3460,7,0),"")</f>
        <v/>
      </c>
      <c r="H5893" t="str">
        <f>IFERROR(VLOOKUP($A5893,原始数据_利率互换_FR007_1年!$A$6:$C$4395,2,0),"")</f>
        <v/>
      </c>
      <c r="I5893" t="str">
        <f>IFERROR(VLOOKUP($A5893,原始数据_利率互换_FR007_1年!$A$6:$C$4395,3,0),"")</f>
        <v/>
      </c>
    </row>
    <row r="5894" spans="1:9">
      <c r="A5894" s="6">
        <v>45387</v>
      </c>
      <c r="B5894" t="str">
        <f>IFERROR(VLOOKUP($A5894,原始数据_收盘!$A$4:$G$3460,2,0),"")</f>
        <v/>
      </c>
      <c r="C5894" t="str">
        <f>IFERROR(VLOOKUP($A5894,原始数据_收盘!$A$4:$G$3460,3,0),"")</f>
        <v/>
      </c>
      <c r="D5894" t="str">
        <f>IFERROR(VLOOKUP($A5894,原始数据_收盘!$A$4:$G$3460,4,0),"")</f>
        <v/>
      </c>
      <c r="E5894" t="str">
        <f>IFERROR(VLOOKUP($A5894,原始数据_收盘!$A$4:$G$3460,5,0),"")</f>
        <v/>
      </c>
      <c r="F5894" t="str">
        <f>IFERROR(VLOOKUP($A5894,原始数据_收盘!$A$4:$G$3460,6,0),"")</f>
        <v/>
      </c>
      <c r="G5894" t="str">
        <f>IFERROR(VLOOKUP($A5894,原始数据_收盘!$A$4:$G$3460,7,0),"")</f>
        <v/>
      </c>
      <c r="H5894" t="str">
        <f>IFERROR(VLOOKUP($A5894,原始数据_利率互换_FR007_1年!$A$6:$C$4395,2,0),"")</f>
        <v/>
      </c>
      <c r="I5894" t="str">
        <f>IFERROR(VLOOKUP($A5894,原始数据_利率互换_FR007_1年!$A$6:$C$4395,3,0),"")</f>
        <v/>
      </c>
    </row>
    <row r="5895" spans="1:9">
      <c r="A5895" s="6">
        <v>45388</v>
      </c>
      <c r="B5895" t="str">
        <f>IFERROR(VLOOKUP($A5895,原始数据_收盘!$A$4:$G$3460,2,0),"")</f>
        <v/>
      </c>
      <c r="C5895" t="str">
        <f>IFERROR(VLOOKUP($A5895,原始数据_收盘!$A$4:$G$3460,3,0),"")</f>
        <v/>
      </c>
      <c r="D5895" t="str">
        <f>IFERROR(VLOOKUP($A5895,原始数据_收盘!$A$4:$G$3460,4,0),"")</f>
        <v/>
      </c>
      <c r="E5895" t="str">
        <f>IFERROR(VLOOKUP($A5895,原始数据_收盘!$A$4:$G$3460,5,0),"")</f>
        <v/>
      </c>
      <c r="F5895" t="str">
        <f>IFERROR(VLOOKUP($A5895,原始数据_收盘!$A$4:$G$3460,6,0),"")</f>
        <v/>
      </c>
      <c r="G5895" t="str">
        <f>IFERROR(VLOOKUP($A5895,原始数据_收盘!$A$4:$G$3460,7,0),"")</f>
        <v/>
      </c>
      <c r="H5895" t="str">
        <f>IFERROR(VLOOKUP($A5895,原始数据_利率互换_FR007_1年!$A$6:$C$4395,2,0),"")</f>
        <v/>
      </c>
      <c r="I5895" t="str">
        <f>IFERROR(VLOOKUP($A5895,原始数据_利率互换_FR007_1年!$A$6:$C$4395,3,0),"")</f>
        <v/>
      </c>
    </row>
    <row r="5896" spans="1:9">
      <c r="A5896" s="6">
        <v>45389</v>
      </c>
      <c r="B5896">
        <f>IFERROR(VLOOKUP($A5896,原始数据_收盘!$A$4:$G$3460,2,0),"")</f>
        <v>1.955</v>
      </c>
      <c r="C5896">
        <f>IFERROR(VLOOKUP($A5896,原始数据_收盘!$A$4:$G$3460,3,0),"")</f>
        <v>2.1325</v>
      </c>
      <c r="D5896">
        <f>IFERROR(VLOOKUP($A5896,原始数据_收盘!$A$4:$G$3460,4,0),"")</f>
        <v>1.975</v>
      </c>
      <c r="E5896">
        <f>IFERROR(VLOOKUP($A5896,原始数据_收盘!$A$4:$G$3460,5,0),"")</f>
        <v>2.1425</v>
      </c>
      <c r="F5896">
        <f>IFERROR(VLOOKUP($A5896,原始数据_收盘!$A$4:$G$3460,6,0),"")</f>
        <v>1.965</v>
      </c>
      <c r="G5896">
        <f>IFERROR(VLOOKUP($A5896,原始数据_收盘!$A$4:$G$3460,7,0),"")</f>
        <v>2.1375</v>
      </c>
      <c r="H5896" t="str">
        <f>IFERROR(VLOOKUP($A5896,原始数据_利率互换_FR007_1年!$A$6:$C$4395,2,0),"")</f>
        <v/>
      </c>
      <c r="I5896" t="str">
        <f>IFERROR(VLOOKUP($A5896,原始数据_利率互换_FR007_1年!$A$6:$C$4395,3,0),"")</f>
        <v/>
      </c>
    </row>
    <row r="5897" spans="1:9">
      <c r="A5897" s="6">
        <v>45390</v>
      </c>
      <c r="B5897">
        <f>IFERROR(VLOOKUP($A5897,原始数据_收盘!$A$4:$G$3460,2,0),"")</f>
        <v>1.955</v>
      </c>
      <c r="C5897">
        <f>IFERROR(VLOOKUP($A5897,原始数据_收盘!$A$4:$G$3460,3,0),"")</f>
        <v>2.1321</v>
      </c>
      <c r="D5897">
        <f>IFERROR(VLOOKUP($A5897,原始数据_收盘!$A$4:$G$3460,4,0),"")</f>
        <v>1.9575</v>
      </c>
      <c r="E5897">
        <f>IFERROR(VLOOKUP($A5897,原始数据_收盘!$A$4:$G$3460,5,0),"")</f>
        <v>2.1346</v>
      </c>
      <c r="F5897">
        <f>IFERROR(VLOOKUP($A5897,原始数据_收盘!$A$4:$G$3460,6,0),"")</f>
        <v>1.9563</v>
      </c>
      <c r="G5897">
        <f>IFERROR(VLOOKUP($A5897,原始数据_收盘!$A$4:$G$3460,7,0),"")</f>
        <v>2.1334</v>
      </c>
      <c r="H5897">
        <f>IFERROR(VLOOKUP($A5897,原始数据_利率互换_FR007_1年!$A$6:$C$4395,2,0),"")</f>
        <v>1.9583</v>
      </c>
      <c r="I5897">
        <f>IFERROR(VLOOKUP($A5897,原始数据_利率互换_FR007_1年!$A$6:$C$4395,3,0),"")</f>
        <v>2.1318</v>
      </c>
    </row>
    <row r="5898" spans="1:9">
      <c r="A5898" s="6">
        <v>45391</v>
      </c>
      <c r="B5898">
        <f>IFERROR(VLOOKUP($A5898,原始数据_收盘!$A$4:$G$3460,2,0),"")</f>
        <v>1.955</v>
      </c>
      <c r="C5898">
        <f>IFERROR(VLOOKUP($A5898,原始数据_收盘!$A$4:$G$3460,3,0),"")</f>
        <v>2.125</v>
      </c>
      <c r="D5898">
        <f>IFERROR(VLOOKUP($A5898,原始数据_收盘!$A$4:$G$3460,4,0),"")</f>
        <v>1.9575</v>
      </c>
      <c r="E5898">
        <f>IFERROR(VLOOKUP($A5898,原始数据_收盘!$A$4:$G$3460,5,0),"")</f>
        <v>2.1275</v>
      </c>
      <c r="F5898">
        <f>IFERROR(VLOOKUP($A5898,原始数据_收盘!$A$4:$G$3460,6,0),"")</f>
        <v>1.9563</v>
      </c>
      <c r="G5898">
        <f>IFERROR(VLOOKUP($A5898,原始数据_收盘!$A$4:$G$3460,7,0),"")</f>
        <v>2.1263</v>
      </c>
      <c r="H5898">
        <f>IFERROR(VLOOKUP($A5898,原始数据_利率互换_FR007_1年!$A$6:$C$4395,2,0),"")</f>
        <v>1.955</v>
      </c>
      <c r="I5898">
        <f>IFERROR(VLOOKUP($A5898,原始数据_利率互换_FR007_1年!$A$6:$C$4395,3,0),"")</f>
        <v>2.1281</v>
      </c>
    </row>
    <row r="5899" spans="1:9">
      <c r="A5899" s="6">
        <v>45392</v>
      </c>
      <c r="B5899">
        <f>IFERROR(VLOOKUP($A5899,原始数据_收盘!$A$4:$G$3460,2,0),"")</f>
        <v>1.93</v>
      </c>
      <c r="C5899">
        <f>IFERROR(VLOOKUP($A5899,原始数据_收盘!$A$4:$G$3460,3,0),"")</f>
        <v>2.12</v>
      </c>
      <c r="D5899">
        <f>IFERROR(VLOOKUP($A5899,原始数据_收盘!$A$4:$G$3460,4,0),"")</f>
        <v>1.9325</v>
      </c>
      <c r="E5899">
        <f>IFERROR(VLOOKUP($A5899,原始数据_收盘!$A$4:$G$3460,5,0),"")</f>
        <v>2.1225</v>
      </c>
      <c r="F5899">
        <f>IFERROR(VLOOKUP($A5899,原始数据_收盘!$A$4:$G$3460,6,0),"")</f>
        <v>1.9313</v>
      </c>
      <c r="G5899">
        <f>IFERROR(VLOOKUP($A5899,原始数据_收盘!$A$4:$G$3460,7,0),"")</f>
        <v>2.1213</v>
      </c>
      <c r="H5899">
        <f>IFERROR(VLOOKUP($A5899,原始数据_利率互换_FR007_1年!$A$6:$C$4395,2,0),"")</f>
        <v>1.9427</v>
      </c>
      <c r="I5899">
        <f>IFERROR(VLOOKUP($A5899,原始数据_利率互换_FR007_1年!$A$6:$C$4395,3,0),"")</f>
        <v>2.1292</v>
      </c>
    </row>
    <row r="5900" spans="1:9">
      <c r="A5900" s="6">
        <v>45393</v>
      </c>
      <c r="B5900">
        <f>IFERROR(VLOOKUP($A5900,原始数据_收盘!$A$4:$G$3460,2,0),"")</f>
        <v>1.933</v>
      </c>
      <c r="C5900">
        <f>IFERROR(VLOOKUP($A5900,原始数据_收盘!$A$4:$G$3460,3,0),"")</f>
        <v>2.125</v>
      </c>
      <c r="D5900">
        <f>IFERROR(VLOOKUP($A5900,原始数据_收盘!$A$4:$G$3460,4,0),"")</f>
        <v>1.9363</v>
      </c>
      <c r="E5900">
        <f>IFERROR(VLOOKUP($A5900,原始数据_收盘!$A$4:$G$3460,5,0),"")</f>
        <v>2.1275</v>
      </c>
      <c r="F5900">
        <f>IFERROR(VLOOKUP($A5900,原始数据_收盘!$A$4:$G$3460,6,0),"")</f>
        <v>1.9346</v>
      </c>
      <c r="G5900">
        <f>IFERROR(VLOOKUP($A5900,原始数据_收盘!$A$4:$G$3460,7,0),"")</f>
        <v>2.1263</v>
      </c>
      <c r="H5900">
        <f>IFERROR(VLOOKUP($A5900,原始数据_利率互换_FR007_1年!$A$6:$C$4395,2,0),"")</f>
        <v>1.9326</v>
      </c>
      <c r="I5900">
        <f>IFERROR(VLOOKUP($A5900,原始数据_利率互换_FR007_1年!$A$6:$C$4395,3,0),"")</f>
        <v>2.1242</v>
      </c>
    </row>
    <row r="5901" spans="1:9">
      <c r="A5901" s="6">
        <v>45394</v>
      </c>
      <c r="B5901">
        <f>IFERROR(VLOOKUP($A5901,原始数据_收盘!$A$4:$G$3460,2,0),"")</f>
        <v>1.915</v>
      </c>
      <c r="C5901">
        <f>IFERROR(VLOOKUP($A5901,原始数据_收盘!$A$4:$G$3460,3,0),"")</f>
        <v>2.1</v>
      </c>
      <c r="D5901">
        <f>IFERROR(VLOOKUP($A5901,原始数据_收盘!$A$4:$G$3460,4,0),"")</f>
        <v>1.9175</v>
      </c>
      <c r="E5901">
        <f>IFERROR(VLOOKUP($A5901,原始数据_收盘!$A$4:$G$3460,5,0),"")</f>
        <v>2.1025</v>
      </c>
      <c r="F5901">
        <f>IFERROR(VLOOKUP($A5901,原始数据_收盘!$A$4:$G$3460,6,0),"")</f>
        <v>1.9163</v>
      </c>
      <c r="G5901">
        <f>IFERROR(VLOOKUP($A5901,原始数据_收盘!$A$4:$G$3460,7,0),"")</f>
        <v>2.1013</v>
      </c>
      <c r="H5901">
        <f>IFERROR(VLOOKUP($A5901,原始数据_利率互换_FR007_1年!$A$6:$C$4395,2,0),"")</f>
        <v>1.9141</v>
      </c>
      <c r="I5901">
        <f>IFERROR(VLOOKUP($A5901,原始数据_利率互换_FR007_1年!$A$6:$C$4395,3,0),"")</f>
        <v>2.1039</v>
      </c>
    </row>
    <row r="5902" spans="1:9">
      <c r="A5902" s="6">
        <v>45395</v>
      </c>
      <c r="B5902" t="str">
        <f>IFERROR(VLOOKUP($A5902,原始数据_收盘!$A$4:$G$3460,2,0),"")</f>
        <v/>
      </c>
      <c r="C5902" t="str">
        <f>IFERROR(VLOOKUP($A5902,原始数据_收盘!$A$4:$G$3460,3,0),"")</f>
        <v/>
      </c>
      <c r="D5902" t="str">
        <f>IFERROR(VLOOKUP($A5902,原始数据_收盘!$A$4:$G$3460,4,0),"")</f>
        <v/>
      </c>
      <c r="E5902" t="str">
        <f>IFERROR(VLOOKUP($A5902,原始数据_收盘!$A$4:$G$3460,5,0),"")</f>
        <v/>
      </c>
      <c r="F5902" t="str">
        <f>IFERROR(VLOOKUP($A5902,原始数据_收盘!$A$4:$G$3460,6,0),"")</f>
        <v/>
      </c>
      <c r="G5902" t="str">
        <f>IFERROR(VLOOKUP($A5902,原始数据_收盘!$A$4:$G$3460,7,0),"")</f>
        <v/>
      </c>
      <c r="H5902" t="str">
        <f>IFERROR(VLOOKUP($A5902,原始数据_利率互换_FR007_1年!$A$6:$C$4395,2,0),"")</f>
        <v/>
      </c>
      <c r="I5902" t="str">
        <f>IFERROR(VLOOKUP($A5902,原始数据_利率互换_FR007_1年!$A$6:$C$4395,3,0),"")</f>
        <v/>
      </c>
    </row>
    <row r="5903" spans="1:9">
      <c r="A5903" s="6">
        <v>45396</v>
      </c>
      <c r="B5903" t="str">
        <f>IFERROR(VLOOKUP($A5903,原始数据_收盘!$A$4:$G$3460,2,0),"")</f>
        <v/>
      </c>
      <c r="C5903" t="str">
        <f>IFERROR(VLOOKUP($A5903,原始数据_收盘!$A$4:$G$3460,3,0),"")</f>
        <v/>
      </c>
      <c r="D5903" t="str">
        <f>IFERROR(VLOOKUP($A5903,原始数据_收盘!$A$4:$G$3460,4,0),"")</f>
        <v/>
      </c>
      <c r="E5903" t="str">
        <f>IFERROR(VLOOKUP($A5903,原始数据_收盘!$A$4:$G$3460,5,0),"")</f>
        <v/>
      </c>
      <c r="F5903" t="str">
        <f>IFERROR(VLOOKUP($A5903,原始数据_收盘!$A$4:$G$3460,6,0),"")</f>
        <v/>
      </c>
      <c r="G5903" t="str">
        <f>IFERROR(VLOOKUP($A5903,原始数据_收盘!$A$4:$G$3460,7,0),"")</f>
        <v/>
      </c>
      <c r="H5903" t="str">
        <f>IFERROR(VLOOKUP($A5903,原始数据_利率互换_FR007_1年!$A$6:$C$4395,2,0),"")</f>
        <v/>
      </c>
      <c r="I5903" t="str">
        <f>IFERROR(VLOOKUP($A5903,原始数据_利率互换_FR007_1年!$A$6:$C$4395,3,0),"")</f>
        <v/>
      </c>
    </row>
    <row r="5904" spans="1:9">
      <c r="A5904" s="6">
        <v>45397</v>
      </c>
      <c r="B5904">
        <f>IFERROR(VLOOKUP($A5904,原始数据_收盘!$A$4:$G$3460,2,0),"")</f>
        <v>1.9308</v>
      </c>
      <c r="C5904">
        <f>IFERROR(VLOOKUP($A5904,原始数据_收盘!$A$4:$G$3460,3,0),"")</f>
        <v>2.11</v>
      </c>
      <c r="D5904">
        <f>IFERROR(VLOOKUP($A5904,原始数据_收盘!$A$4:$G$3460,4,0),"")</f>
        <v>1.9335</v>
      </c>
      <c r="E5904">
        <f>IFERROR(VLOOKUP($A5904,原始数据_收盘!$A$4:$G$3460,5,0),"")</f>
        <v>2.1132</v>
      </c>
      <c r="F5904">
        <f>IFERROR(VLOOKUP($A5904,原始数据_收盘!$A$4:$G$3460,6,0),"")</f>
        <v>1.9321</v>
      </c>
      <c r="G5904">
        <f>IFERROR(VLOOKUP($A5904,原始数据_收盘!$A$4:$G$3460,7,0),"")</f>
        <v>2.1116</v>
      </c>
      <c r="H5904">
        <f>IFERROR(VLOOKUP($A5904,原始数据_利率互换_FR007_1年!$A$6:$C$4395,2,0),"")</f>
        <v>1.9227</v>
      </c>
      <c r="I5904">
        <f>IFERROR(VLOOKUP($A5904,原始数据_利率互换_FR007_1年!$A$6:$C$4395,3,0),"")</f>
        <v>2.1043</v>
      </c>
    </row>
    <row r="5905" spans="1:9">
      <c r="A5905" s="6">
        <v>45398</v>
      </c>
      <c r="B5905">
        <f>IFERROR(VLOOKUP($A5905,原始数据_收盘!$A$4:$G$3460,2,0),"")</f>
        <v>1.93</v>
      </c>
      <c r="C5905">
        <f>IFERROR(VLOOKUP($A5905,原始数据_收盘!$A$4:$G$3460,3,0),"")</f>
        <v>2.1048</v>
      </c>
      <c r="D5905">
        <f>IFERROR(VLOOKUP($A5905,原始数据_收盘!$A$4:$G$3460,4,0),"")</f>
        <v>1.9325</v>
      </c>
      <c r="E5905">
        <f>IFERROR(VLOOKUP($A5905,原始数据_收盘!$A$4:$G$3460,5,0),"")</f>
        <v>2.1075</v>
      </c>
      <c r="F5905">
        <f>IFERROR(VLOOKUP($A5905,原始数据_收盘!$A$4:$G$3460,6,0),"")</f>
        <v>1.9313</v>
      </c>
      <c r="G5905">
        <f>IFERROR(VLOOKUP($A5905,原始数据_收盘!$A$4:$G$3460,7,0),"")</f>
        <v>2.1062</v>
      </c>
      <c r="H5905">
        <f>IFERROR(VLOOKUP($A5905,原始数据_利率互换_FR007_1年!$A$6:$C$4395,2,0),"")</f>
        <v>1.9325</v>
      </c>
      <c r="I5905">
        <f>IFERROR(VLOOKUP($A5905,原始数据_利率互换_FR007_1年!$A$6:$C$4395,3,0),"")</f>
        <v>2.1094</v>
      </c>
    </row>
    <row r="5906" spans="1:9">
      <c r="A5906" s="6">
        <v>45399</v>
      </c>
      <c r="B5906">
        <f>IFERROR(VLOOKUP($A5906,原始数据_收盘!$A$4:$G$3460,2,0),"")</f>
        <v>1.94</v>
      </c>
      <c r="C5906">
        <f>IFERROR(VLOOKUP($A5906,原始数据_收盘!$A$4:$G$3460,3,0),"")</f>
        <v>2.1075</v>
      </c>
      <c r="D5906">
        <f>IFERROR(VLOOKUP($A5906,原始数据_收盘!$A$4:$G$3460,4,0),"")</f>
        <v>1.9425</v>
      </c>
      <c r="E5906">
        <f>IFERROR(VLOOKUP($A5906,原始数据_收盘!$A$4:$G$3460,5,0),"")</f>
        <v>2.11</v>
      </c>
      <c r="F5906">
        <f>IFERROR(VLOOKUP($A5906,原始数据_收盘!$A$4:$G$3460,6,0),"")</f>
        <v>1.9413</v>
      </c>
      <c r="G5906">
        <f>IFERROR(VLOOKUP($A5906,原始数据_收盘!$A$4:$G$3460,7,0),"")</f>
        <v>2.1088</v>
      </c>
      <c r="H5906">
        <f>IFERROR(VLOOKUP($A5906,原始数据_利率互换_FR007_1年!$A$6:$C$4395,2,0),"")</f>
        <v>1.9393</v>
      </c>
      <c r="I5906">
        <f>IFERROR(VLOOKUP($A5906,原始数据_利率互换_FR007_1年!$A$6:$C$4395,3,0),"")</f>
        <v>2.1077</v>
      </c>
    </row>
    <row r="5907" spans="1:9">
      <c r="A5907" s="6">
        <v>45400</v>
      </c>
      <c r="B5907">
        <f>IFERROR(VLOOKUP($A5907,原始数据_收盘!$A$4:$G$3460,2,0),"")</f>
        <v>1.93</v>
      </c>
      <c r="C5907">
        <f>IFERROR(VLOOKUP($A5907,原始数据_收盘!$A$4:$G$3460,3,0),"")</f>
        <v>2.0875</v>
      </c>
      <c r="D5907">
        <f>IFERROR(VLOOKUP($A5907,原始数据_收盘!$A$4:$G$3460,4,0),"")</f>
        <v>1.9326</v>
      </c>
      <c r="E5907">
        <f>IFERROR(VLOOKUP($A5907,原始数据_收盘!$A$4:$G$3460,5,0),"")</f>
        <v>2.0925</v>
      </c>
      <c r="F5907">
        <f>IFERROR(VLOOKUP($A5907,原始数据_收盘!$A$4:$G$3460,6,0),"")</f>
        <v>1.9313</v>
      </c>
      <c r="G5907">
        <f>IFERROR(VLOOKUP($A5907,原始数据_收盘!$A$4:$G$3460,7,0),"")</f>
        <v>2.09</v>
      </c>
      <c r="H5907">
        <f>IFERROR(VLOOKUP($A5907,原始数据_利率互换_FR007_1年!$A$6:$C$4395,2,0),"")</f>
        <v>1.9328</v>
      </c>
      <c r="I5907">
        <f>IFERROR(VLOOKUP($A5907,原始数据_利率互换_FR007_1年!$A$6:$C$4395,3,0),"")</f>
        <v>2.0938</v>
      </c>
    </row>
    <row r="5908" spans="1:9">
      <c r="A5908" s="6">
        <v>45401</v>
      </c>
      <c r="B5908">
        <f>IFERROR(VLOOKUP($A5908,原始数据_收盘!$A$4:$G$3460,2,0),"")</f>
        <v>1.9325</v>
      </c>
      <c r="C5908">
        <f>IFERROR(VLOOKUP($A5908,原始数据_收盘!$A$4:$G$3460,3,0),"")</f>
        <v>2.09</v>
      </c>
      <c r="D5908">
        <f>IFERROR(VLOOKUP($A5908,原始数据_收盘!$A$4:$G$3460,4,0),"")</f>
        <v>1.935</v>
      </c>
      <c r="E5908">
        <f>IFERROR(VLOOKUP($A5908,原始数据_收盘!$A$4:$G$3460,5,0),"")</f>
        <v>2.0925</v>
      </c>
      <c r="F5908">
        <f>IFERROR(VLOOKUP($A5908,原始数据_收盘!$A$4:$G$3460,6,0),"")</f>
        <v>1.9338</v>
      </c>
      <c r="G5908">
        <f>IFERROR(VLOOKUP($A5908,原始数据_收盘!$A$4:$G$3460,7,0),"")</f>
        <v>2.0913</v>
      </c>
      <c r="H5908">
        <f>IFERROR(VLOOKUP($A5908,原始数据_利率互换_FR007_1年!$A$6:$C$4395,2,0),"")</f>
        <v>1.9297</v>
      </c>
      <c r="I5908">
        <f>IFERROR(VLOOKUP($A5908,原始数据_利率互换_FR007_1年!$A$6:$C$4395,3,0),"")</f>
        <v>2.0869</v>
      </c>
    </row>
    <row r="5909" spans="1:9">
      <c r="A5909" s="6">
        <v>45402</v>
      </c>
      <c r="B5909" t="str">
        <f>IFERROR(VLOOKUP($A5909,原始数据_收盘!$A$4:$G$3460,2,0),"")</f>
        <v/>
      </c>
      <c r="C5909" t="str">
        <f>IFERROR(VLOOKUP($A5909,原始数据_收盘!$A$4:$G$3460,3,0),"")</f>
        <v/>
      </c>
      <c r="D5909" t="str">
        <f>IFERROR(VLOOKUP($A5909,原始数据_收盘!$A$4:$G$3460,4,0),"")</f>
        <v/>
      </c>
      <c r="E5909" t="str">
        <f>IFERROR(VLOOKUP($A5909,原始数据_收盘!$A$4:$G$3460,5,0),"")</f>
        <v/>
      </c>
      <c r="F5909" t="str">
        <f>IFERROR(VLOOKUP($A5909,原始数据_收盘!$A$4:$G$3460,6,0),"")</f>
        <v/>
      </c>
      <c r="G5909" t="str">
        <f>IFERROR(VLOOKUP($A5909,原始数据_收盘!$A$4:$G$3460,7,0),"")</f>
        <v/>
      </c>
      <c r="H5909" t="str">
        <f>IFERROR(VLOOKUP($A5909,原始数据_利率互换_FR007_1年!$A$6:$C$4395,2,0),"")</f>
        <v/>
      </c>
      <c r="I5909" t="str">
        <f>IFERROR(VLOOKUP($A5909,原始数据_利率互换_FR007_1年!$A$6:$C$4395,3,0),"")</f>
        <v/>
      </c>
    </row>
    <row r="5910" spans="1:9">
      <c r="A5910" s="6">
        <v>45403</v>
      </c>
      <c r="B5910" t="str">
        <f>IFERROR(VLOOKUP($A5910,原始数据_收盘!$A$4:$G$3460,2,0),"")</f>
        <v/>
      </c>
      <c r="C5910" t="str">
        <f>IFERROR(VLOOKUP($A5910,原始数据_收盘!$A$4:$G$3460,3,0),"")</f>
        <v/>
      </c>
      <c r="D5910" t="str">
        <f>IFERROR(VLOOKUP($A5910,原始数据_收盘!$A$4:$G$3460,4,0),"")</f>
        <v/>
      </c>
      <c r="E5910" t="str">
        <f>IFERROR(VLOOKUP($A5910,原始数据_收盘!$A$4:$G$3460,5,0),"")</f>
        <v/>
      </c>
      <c r="F5910" t="str">
        <f>IFERROR(VLOOKUP($A5910,原始数据_收盘!$A$4:$G$3460,6,0),"")</f>
        <v/>
      </c>
      <c r="G5910" t="str">
        <f>IFERROR(VLOOKUP($A5910,原始数据_收盘!$A$4:$G$3460,7,0),"")</f>
        <v/>
      </c>
      <c r="H5910" t="str">
        <f>IFERROR(VLOOKUP($A5910,原始数据_利率互换_FR007_1年!$A$6:$C$4395,2,0),"")</f>
        <v/>
      </c>
      <c r="I5910" t="str">
        <f>IFERROR(VLOOKUP($A5910,原始数据_利率互换_FR007_1年!$A$6:$C$4395,3,0),"")</f>
        <v/>
      </c>
    </row>
    <row r="5911" spans="1:9">
      <c r="A5911" s="6">
        <v>45404</v>
      </c>
      <c r="B5911">
        <f>IFERROR(VLOOKUP($A5911,原始数据_收盘!$A$4:$G$3460,2,0),"")</f>
        <v>1.9282</v>
      </c>
      <c r="C5911">
        <f>IFERROR(VLOOKUP($A5911,原始数据_收盘!$A$4:$G$3460,3,0),"")</f>
        <v>2.085</v>
      </c>
      <c r="D5911">
        <f>IFERROR(VLOOKUP($A5911,原始数据_收盘!$A$4:$G$3460,4,0),"")</f>
        <v>1.9308</v>
      </c>
      <c r="E5911">
        <f>IFERROR(VLOOKUP($A5911,原始数据_收盘!$A$4:$G$3460,5,0),"")</f>
        <v>2.0875</v>
      </c>
      <c r="F5911">
        <f>IFERROR(VLOOKUP($A5911,原始数据_收盘!$A$4:$G$3460,6,0),"")</f>
        <v>1.9295</v>
      </c>
      <c r="G5911">
        <f>IFERROR(VLOOKUP($A5911,原始数据_收盘!$A$4:$G$3460,7,0),"")</f>
        <v>2.0863</v>
      </c>
      <c r="H5911">
        <f>IFERROR(VLOOKUP($A5911,原始数据_利率互换_FR007_1年!$A$6:$C$4395,2,0),"")</f>
        <v>1.9286</v>
      </c>
      <c r="I5911">
        <f>IFERROR(VLOOKUP($A5911,原始数据_利率互换_FR007_1年!$A$6:$C$4395,3,0),"")</f>
        <v>2.0846</v>
      </c>
    </row>
    <row r="5912" spans="1:9">
      <c r="A5912" s="6">
        <v>45405</v>
      </c>
      <c r="B5912">
        <f>IFERROR(VLOOKUP($A5912,原始数据_收盘!$A$4:$G$3460,2,0),"")</f>
        <v>1.9175</v>
      </c>
      <c r="C5912">
        <f>IFERROR(VLOOKUP($A5912,原始数据_收盘!$A$4:$G$3460,3,0),"")</f>
        <v>2.0675</v>
      </c>
      <c r="D5912">
        <f>IFERROR(VLOOKUP($A5912,原始数据_收盘!$A$4:$G$3460,4,0),"")</f>
        <v>1.92</v>
      </c>
      <c r="E5912">
        <f>IFERROR(VLOOKUP($A5912,原始数据_收盘!$A$4:$G$3460,5,0),"")</f>
        <v>2.07</v>
      </c>
      <c r="F5912">
        <f>IFERROR(VLOOKUP($A5912,原始数据_收盘!$A$4:$G$3460,6,0),"")</f>
        <v>1.9188</v>
      </c>
      <c r="G5912">
        <f>IFERROR(VLOOKUP($A5912,原始数据_收盘!$A$4:$G$3460,7,0),"")</f>
        <v>2.0688</v>
      </c>
      <c r="H5912">
        <f>IFERROR(VLOOKUP($A5912,原始数据_利率互换_FR007_1年!$A$6:$C$4395,2,0),"")</f>
        <v>1.9221</v>
      </c>
      <c r="I5912">
        <f>IFERROR(VLOOKUP($A5912,原始数据_利率互换_FR007_1年!$A$6:$C$4395,3,0),"")</f>
        <v>2.074</v>
      </c>
    </row>
    <row r="5913" spans="1:9">
      <c r="A5913" s="6">
        <v>45406</v>
      </c>
      <c r="B5913">
        <f>IFERROR(VLOOKUP($A5913,原始数据_收盘!$A$4:$G$3460,2,0),"")</f>
        <v>1.935</v>
      </c>
      <c r="C5913">
        <f>IFERROR(VLOOKUP($A5913,原始数据_收盘!$A$4:$G$3460,3,0),"")</f>
        <v>2.1024</v>
      </c>
      <c r="D5913">
        <f>IFERROR(VLOOKUP($A5913,原始数据_收盘!$A$4:$G$3460,4,0),"")</f>
        <v>1.9375</v>
      </c>
      <c r="E5913">
        <f>IFERROR(VLOOKUP($A5913,原始数据_收盘!$A$4:$G$3460,5,0),"")</f>
        <v>2.105</v>
      </c>
      <c r="F5913">
        <f>IFERROR(VLOOKUP($A5913,原始数据_收盘!$A$4:$G$3460,6,0),"")</f>
        <v>1.9363</v>
      </c>
      <c r="G5913">
        <f>IFERROR(VLOOKUP($A5913,原始数据_收盘!$A$4:$G$3460,7,0),"")</f>
        <v>2.1037</v>
      </c>
      <c r="H5913">
        <f>IFERROR(VLOOKUP($A5913,原始数据_利率互换_FR007_1年!$A$6:$C$4395,2,0),"")</f>
        <v>1.9291</v>
      </c>
      <c r="I5913">
        <f>IFERROR(VLOOKUP($A5913,原始数据_利率互换_FR007_1年!$A$6:$C$4395,3,0),"")</f>
        <v>2.0906</v>
      </c>
    </row>
    <row r="5914" spans="1:9">
      <c r="A5914" s="6">
        <v>45407</v>
      </c>
      <c r="B5914">
        <f>IFERROR(VLOOKUP($A5914,原始数据_收盘!$A$4:$G$3460,2,0),"")</f>
        <v>1.935</v>
      </c>
      <c r="C5914">
        <f>IFERROR(VLOOKUP($A5914,原始数据_收盘!$A$4:$G$3460,3,0),"")</f>
        <v>2.095</v>
      </c>
      <c r="D5914">
        <f>IFERROR(VLOOKUP($A5914,原始数据_收盘!$A$4:$G$3460,4,0),"")</f>
        <v>1.9375</v>
      </c>
      <c r="E5914">
        <f>IFERROR(VLOOKUP($A5914,原始数据_收盘!$A$4:$G$3460,5,0),"")</f>
        <v>2.0975</v>
      </c>
      <c r="F5914">
        <f>IFERROR(VLOOKUP($A5914,原始数据_收盘!$A$4:$G$3460,6,0),"")</f>
        <v>1.9363</v>
      </c>
      <c r="G5914">
        <f>IFERROR(VLOOKUP($A5914,原始数据_收盘!$A$4:$G$3460,7,0),"")</f>
        <v>2.0963</v>
      </c>
      <c r="H5914">
        <f>IFERROR(VLOOKUP($A5914,原始数据_利率互换_FR007_1年!$A$6:$C$4395,2,0),"")</f>
        <v>1.9361</v>
      </c>
      <c r="I5914">
        <f>IFERROR(VLOOKUP($A5914,原始数据_利率互换_FR007_1年!$A$6:$C$4395,3,0),"")</f>
        <v>2.0967</v>
      </c>
    </row>
    <row r="5915" spans="1:9">
      <c r="A5915" s="6">
        <v>45408</v>
      </c>
      <c r="B5915">
        <f>IFERROR(VLOOKUP($A5915,原始数据_收盘!$A$4:$G$3460,2,0),"")</f>
        <v>1.9712</v>
      </c>
      <c r="C5915">
        <f>IFERROR(VLOOKUP($A5915,原始数据_收盘!$A$4:$G$3460,3,0),"")</f>
        <v>2.1474</v>
      </c>
      <c r="D5915">
        <f>IFERROR(VLOOKUP($A5915,原始数据_收盘!$A$4:$G$3460,4,0),"")</f>
        <v>1.9738</v>
      </c>
      <c r="E5915">
        <f>IFERROR(VLOOKUP($A5915,原始数据_收盘!$A$4:$G$3460,5,0),"")</f>
        <v>2.1503</v>
      </c>
      <c r="F5915">
        <f>IFERROR(VLOOKUP($A5915,原始数据_收盘!$A$4:$G$3460,6,0),"")</f>
        <v>1.9725</v>
      </c>
      <c r="G5915">
        <f>IFERROR(VLOOKUP($A5915,原始数据_收盘!$A$4:$G$3460,7,0),"")</f>
        <v>2.1489</v>
      </c>
      <c r="H5915">
        <f>IFERROR(VLOOKUP($A5915,原始数据_利率互换_FR007_1年!$A$6:$C$4395,2,0),"")</f>
        <v>1.9539</v>
      </c>
      <c r="I5915">
        <f>IFERROR(VLOOKUP($A5915,原始数据_利率互换_FR007_1年!$A$6:$C$4395,3,0),"")</f>
        <v>2.1278</v>
      </c>
    </row>
    <row r="5916" spans="1:9">
      <c r="A5916" s="6">
        <v>45409</v>
      </c>
      <c r="B5916" t="str">
        <f>IFERROR(VLOOKUP($A5916,原始数据_收盘!$A$4:$G$3460,2,0),"")</f>
        <v/>
      </c>
      <c r="C5916" t="str">
        <f>IFERROR(VLOOKUP($A5916,原始数据_收盘!$A$4:$G$3460,3,0),"")</f>
        <v/>
      </c>
      <c r="D5916" t="str">
        <f>IFERROR(VLOOKUP($A5916,原始数据_收盘!$A$4:$G$3460,4,0),"")</f>
        <v/>
      </c>
      <c r="E5916" t="str">
        <f>IFERROR(VLOOKUP($A5916,原始数据_收盘!$A$4:$G$3460,5,0),"")</f>
        <v/>
      </c>
      <c r="F5916" t="str">
        <f>IFERROR(VLOOKUP($A5916,原始数据_收盘!$A$4:$G$3460,6,0),"")</f>
        <v/>
      </c>
      <c r="G5916" t="str">
        <f>IFERROR(VLOOKUP($A5916,原始数据_收盘!$A$4:$G$3460,7,0),"")</f>
        <v/>
      </c>
      <c r="H5916" t="str">
        <f>IFERROR(VLOOKUP($A5916,原始数据_利率互换_FR007_1年!$A$6:$C$4395,2,0),"")</f>
        <v/>
      </c>
      <c r="I5916" t="str">
        <f>IFERROR(VLOOKUP($A5916,原始数据_利率互换_FR007_1年!$A$6:$C$4395,3,0),"")</f>
        <v/>
      </c>
    </row>
    <row r="5917" spans="1:9">
      <c r="A5917" s="6">
        <v>45410</v>
      </c>
      <c r="B5917">
        <f>IFERROR(VLOOKUP($A5917,原始数据_收盘!$A$4:$G$3460,2,0),"")</f>
        <v>1.98</v>
      </c>
      <c r="C5917">
        <f>IFERROR(VLOOKUP($A5917,原始数据_收盘!$A$4:$G$3460,3,0),"")</f>
        <v>2.17</v>
      </c>
      <c r="D5917">
        <f>IFERROR(VLOOKUP($A5917,原始数据_收盘!$A$4:$G$3460,4,0),"")</f>
        <v>2</v>
      </c>
      <c r="E5917">
        <f>IFERROR(VLOOKUP($A5917,原始数据_收盘!$A$4:$G$3460,5,0),"")</f>
        <v>2.18</v>
      </c>
      <c r="F5917">
        <f>IFERROR(VLOOKUP($A5917,原始数据_收盘!$A$4:$G$3460,6,0),"")</f>
        <v>1.99</v>
      </c>
      <c r="G5917">
        <f>IFERROR(VLOOKUP($A5917,原始数据_收盘!$A$4:$G$3460,7,0),"")</f>
        <v>2.175</v>
      </c>
      <c r="H5917">
        <f>IFERROR(VLOOKUP($A5917,原始数据_利率互换_FR007_1年!$A$6:$C$4395,2,0),"")</f>
        <v>0</v>
      </c>
      <c r="I5917">
        <f>IFERROR(VLOOKUP($A5917,原始数据_利率互换_FR007_1年!$A$6:$C$4395,3,0),"")</f>
        <v>2.1575</v>
      </c>
    </row>
    <row r="5918" spans="1:9">
      <c r="A5918" s="6">
        <v>45411</v>
      </c>
      <c r="B5918">
        <f>IFERROR(VLOOKUP($A5918,原始数据_收盘!$A$4:$G$3460,2,0),"")</f>
        <v>2.0225</v>
      </c>
      <c r="C5918">
        <f>IFERROR(VLOOKUP($A5918,原始数据_收盘!$A$4:$G$3460,3,0),"")</f>
        <v>2.2073</v>
      </c>
      <c r="D5918">
        <f>IFERROR(VLOOKUP($A5918,原始数据_收盘!$A$4:$G$3460,4,0),"")</f>
        <v>2.025</v>
      </c>
      <c r="E5918">
        <f>IFERROR(VLOOKUP($A5918,原始数据_收盘!$A$4:$G$3460,5,0),"")</f>
        <v>2.21</v>
      </c>
      <c r="F5918">
        <f>IFERROR(VLOOKUP($A5918,原始数据_收盘!$A$4:$G$3460,6,0),"")</f>
        <v>2.0238</v>
      </c>
      <c r="G5918">
        <f>IFERROR(VLOOKUP($A5918,原始数据_收盘!$A$4:$G$3460,7,0),"")</f>
        <v>2.2087</v>
      </c>
      <c r="H5918">
        <f>IFERROR(VLOOKUP($A5918,原始数据_利率互换_FR007_1年!$A$6:$C$4395,2,0),"")</f>
        <v>2.0313</v>
      </c>
      <c r="I5918">
        <f>IFERROR(VLOOKUP($A5918,原始数据_利率互换_FR007_1年!$A$6:$C$4395,3,0),"")</f>
        <v>2.2056</v>
      </c>
    </row>
    <row r="5919" spans="1:9">
      <c r="A5919" s="6">
        <v>45412</v>
      </c>
      <c r="B5919">
        <f>IFERROR(VLOOKUP($A5919,原始数据_收盘!$A$4:$G$3460,2,0),"")</f>
        <v>1.9769</v>
      </c>
      <c r="C5919">
        <f>IFERROR(VLOOKUP($A5919,原始数据_收盘!$A$4:$G$3460,3,0),"")</f>
        <v>2.1615</v>
      </c>
      <c r="D5919">
        <f>IFERROR(VLOOKUP($A5919,原始数据_收盘!$A$4:$G$3460,4,0),"")</f>
        <v>1.981</v>
      </c>
      <c r="E5919">
        <f>IFERROR(VLOOKUP($A5919,原始数据_收盘!$A$4:$G$3460,5,0),"")</f>
        <v>2.165</v>
      </c>
      <c r="F5919">
        <f>IFERROR(VLOOKUP($A5919,原始数据_收盘!$A$4:$G$3460,6,0),"")</f>
        <v>1.9789</v>
      </c>
      <c r="G5919">
        <f>IFERROR(VLOOKUP($A5919,原始数据_收盘!$A$4:$G$3460,7,0),"")</f>
        <v>2.1633</v>
      </c>
      <c r="H5919">
        <f>IFERROR(VLOOKUP($A5919,原始数据_利率互换_FR007_1年!$A$6:$C$4395,2,0),"")</f>
        <v>2.0029</v>
      </c>
      <c r="I5919">
        <f>IFERROR(VLOOKUP($A5919,原始数据_利率互换_FR007_1年!$A$6:$C$4395,3,0),"")</f>
        <v>2.1781</v>
      </c>
    </row>
    <row r="5920" spans="1:9">
      <c r="A5920" s="6">
        <v>45413</v>
      </c>
      <c r="B5920" t="str">
        <f>IFERROR(VLOOKUP($A5920,原始数据_收盘!$A$4:$G$3460,2,0),"")</f>
        <v/>
      </c>
      <c r="C5920" t="str">
        <f>IFERROR(VLOOKUP($A5920,原始数据_收盘!$A$4:$G$3460,3,0),"")</f>
        <v/>
      </c>
      <c r="D5920" t="str">
        <f>IFERROR(VLOOKUP($A5920,原始数据_收盘!$A$4:$G$3460,4,0),"")</f>
        <v/>
      </c>
      <c r="E5920" t="str">
        <f>IFERROR(VLOOKUP($A5920,原始数据_收盘!$A$4:$G$3460,5,0),"")</f>
        <v/>
      </c>
      <c r="F5920" t="str">
        <f>IFERROR(VLOOKUP($A5920,原始数据_收盘!$A$4:$G$3460,6,0),"")</f>
        <v/>
      </c>
      <c r="G5920" t="str">
        <f>IFERROR(VLOOKUP($A5920,原始数据_收盘!$A$4:$G$3460,7,0),"")</f>
        <v/>
      </c>
      <c r="H5920" t="str">
        <f>IFERROR(VLOOKUP($A5920,原始数据_利率互换_FR007_1年!$A$6:$C$4395,2,0),"")</f>
        <v/>
      </c>
      <c r="I5920" t="str">
        <f>IFERROR(VLOOKUP($A5920,原始数据_利率互换_FR007_1年!$A$6:$C$4395,3,0),"")</f>
        <v/>
      </c>
    </row>
    <row r="5921" spans="1:9">
      <c r="A5921" s="6">
        <v>45414</v>
      </c>
      <c r="B5921" t="str">
        <f>IFERROR(VLOOKUP($A5921,原始数据_收盘!$A$4:$G$3460,2,0),"")</f>
        <v/>
      </c>
      <c r="C5921" t="str">
        <f>IFERROR(VLOOKUP($A5921,原始数据_收盘!$A$4:$G$3460,3,0),"")</f>
        <v/>
      </c>
      <c r="D5921" t="str">
        <f>IFERROR(VLOOKUP($A5921,原始数据_收盘!$A$4:$G$3460,4,0),"")</f>
        <v/>
      </c>
      <c r="E5921" t="str">
        <f>IFERROR(VLOOKUP($A5921,原始数据_收盘!$A$4:$G$3460,5,0),"")</f>
        <v/>
      </c>
      <c r="F5921" t="str">
        <f>IFERROR(VLOOKUP($A5921,原始数据_收盘!$A$4:$G$3460,6,0),"")</f>
        <v/>
      </c>
      <c r="G5921" t="str">
        <f>IFERROR(VLOOKUP($A5921,原始数据_收盘!$A$4:$G$3460,7,0),"")</f>
        <v/>
      </c>
      <c r="H5921" t="str">
        <f>IFERROR(VLOOKUP($A5921,原始数据_利率互换_FR007_1年!$A$6:$C$4395,2,0),"")</f>
        <v/>
      </c>
      <c r="I5921" t="str">
        <f>IFERROR(VLOOKUP($A5921,原始数据_利率互换_FR007_1年!$A$6:$C$4395,3,0),"")</f>
        <v/>
      </c>
    </row>
    <row r="5922" spans="1:9">
      <c r="A5922" s="6">
        <v>45415</v>
      </c>
      <c r="B5922" t="str">
        <f>IFERROR(VLOOKUP($A5922,原始数据_收盘!$A$4:$G$3460,2,0),"")</f>
        <v/>
      </c>
      <c r="C5922" t="str">
        <f>IFERROR(VLOOKUP($A5922,原始数据_收盘!$A$4:$G$3460,3,0),"")</f>
        <v/>
      </c>
      <c r="D5922" t="str">
        <f>IFERROR(VLOOKUP($A5922,原始数据_收盘!$A$4:$G$3460,4,0),"")</f>
        <v/>
      </c>
      <c r="E5922" t="str">
        <f>IFERROR(VLOOKUP($A5922,原始数据_收盘!$A$4:$G$3460,5,0),"")</f>
        <v/>
      </c>
      <c r="F5922" t="str">
        <f>IFERROR(VLOOKUP($A5922,原始数据_收盘!$A$4:$G$3460,6,0),"")</f>
        <v/>
      </c>
      <c r="G5922" t="str">
        <f>IFERROR(VLOOKUP($A5922,原始数据_收盘!$A$4:$G$3460,7,0),"")</f>
        <v/>
      </c>
      <c r="H5922" t="str">
        <f>IFERROR(VLOOKUP($A5922,原始数据_利率互换_FR007_1年!$A$6:$C$4395,2,0),"")</f>
        <v/>
      </c>
      <c r="I5922" t="str">
        <f>IFERROR(VLOOKUP($A5922,原始数据_利率互换_FR007_1年!$A$6:$C$4395,3,0),"")</f>
        <v/>
      </c>
    </row>
    <row r="5923" spans="1:9">
      <c r="A5923" s="6">
        <v>45416</v>
      </c>
      <c r="B5923" t="str">
        <f>IFERROR(VLOOKUP($A5923,原始数据_收盘!$A$4:$G$3460,2,0),"")</f>
        <v/>
      </c>
      <c r="C5923" t="str">
        <f>IFERROR(VLOOKUP($A5923,原始数据_收盘!$A$4:$G$3460,3,0),"")</f>
        <v/>
      </c>
      <c r="D5923" t="str">
        <f>IFERROR(VLOOKUP($A5923,原始数据_收盘!$A$4:$G$3460,4,0),"")</f>
        <v/>
      </c>
      <c r="E5923" t="str">
        <f>IFERROR(VLOOKUP($A5923,原始数据_收盘!$A$4:$G$3460,5,0),"")</f>
        <v/>
      </c>
      <c r="F5923" t="str">
        <f>IFERROR(VLOOKUP($A5923,原始数据_收盘!$A$4:$G$3460,6,0),"")</f>
        <v/>
      </c>
      <c r="G5923" t="str">
        <f>IFERROR(VLOOKUP($A5923,原始数据_收盘!$A$4:$G$3460,7,0),"")</f>
        <v/>
      </c>
      <c r="H5923" t="str">
        <f>IFERROR(VLOOKUP($A5923,原始数据_利率互换_FR007_1年!$A$6:$C$4395,2,0),"")</f>
        <v/>
      </c>
      <c r="I5923" t="str">
        <f>IFERROR(VLOOKUP($A5923,原始数据_利率互换_FR007_1年!$A$6:$C$4395,3,0),"")</f>
        <v/>
      </c>
    </row>
    <row r="5924" spans="1:9">
      <c r="A5924" s="6">
        <v>45417</v>
      </c>
      <c r="B5924" t="str">
        <f>IFERROR(VLOOKUP($A5924,原始数据_收盘!$A$4:$G$3460,2,0),"")</f>
        <v/>
      </c>
      <c r="C5924" t="str">
        <f>IFERROR(VLOOKUP($A5924,原始数据_收盘!$A$4:$G$3460,3,0),"")</f>
        <v/>
      </c>
      <c r="D5924" t="str">
        <f>IFERROR(VLOOKUP($A5924,原始数据_收盘!$A$4:$G$3460,4,0),"")</f>
        <v/>
      </c>
      <c r="E5924" t="str">
        <f>IFERROR(VLOOKUP($A5924,原始数据_收盘!$A$4:$G$3460,5,0),"")</f>
        <v/>
      </c>
      <c r="F5924" t="str">
        <f>IFERROR(VLOOKUP($A5924,原始数据_收盘!$A$4:$G$3460,6,0),"")</f>
        <v/>
      </c>
      <c r="G5924" t="str">
        <f>IFERROR(VLOOKUP($A5924,原始数据_收盘!$A$4:$G$3460,7,0),"")</f>
        <v/>
      </c>
      <c r="H5924" t="str">
        <f>IFERROR(VLOOKUP($A5924,原始数据_利率互换_FR007_1年!$A$6:$C$4395,2,0),"")</f>
        <v/>
      </c>
      <c r="I5924" t="str">
        <f>IFERROR(VLOOKUP($A5924,原始数据_利率互换_FR007_1年!$A$6:$C$4395,3,0),"")</f>
        <v/>
      </c>
    </row>
    <row r="5925" spans="1:9">
      <c r="A5925" s="6">
        <v>45418</v>
      </c>
      <c r="B5925">
        <f>IFERROR(VLOOKUP($A5925,原始数据_收盘!$A$4:$G$3460,2,0),"")</f>
        <v>1.96</v>
      </c>
      <c r="C5925">
        <f>IFERROR(VLOOKUP($A5925,原始数据_收盘!$A$4:$G$3460,3,0),"")</f>
        <v>2.1519</v>
      </c>
      <c r="D5925">
        <f>IFERROR(VLOOKUP($A5925,原始数据_收盘!$A$4:$G$3460,4,0),"")</f>
        <v>1.9625</v>
      </c>
      <c r="E5925">
        <f>IFERROR(VLOOKUP($A5925,原始数据_收盘!$A$4:$G$3460,5,0),"")</f>
        <v>2.1546</v>
      </c>
      <c r="F5925">
        <f>IFERROR(VLOOKUP($A5925,原始数据_收盘!$A$4:$G$3460,6,0),"")</f>
        <v>1.9613</v>
      </c>
      <c r="G5925">
        <f>IFERROR(VLOOKUP($A5925,原始数据_收盘!$A$4:$G$3460,7,0),"")</f>
        <v>2.1533</v>
      </c>
      <c r="H5925">
        <f>IFERROR(VLOOKUP($A5925,原始数据_利率互换_FR007_1年!$A$6:$C$4395,2,0),"")</f>
        <v>1.9665</v>
      </c>
      <c r="I5925">
        <f>IFERROR(VLOOKUP($A5925,原始数据_利率互换_FR007_1年!$A$6:$C$4395,3,0),"")</f>
        <v>2.16</v>
      </c>
    </row>
    <row r="5926" spans="1:9">
      <c r="A5926" s="6">
        <v>45419</v>
      </c>
      <c r="B5926">
        <f>IFERROR(VLOOKUP($A5926,原始数据_收盘!$A$4:$G$3460,2,0),"")</f>
        <v>1.9275</v>
      </c>
      <c r="C5926">
        <f>IFERROR(VLOOKUP($A5926,原始数据_收盘!$A$4:$G$3460,3,0),"")</f>
        <v>2.125</v>
      </c>
      <c r="D5926">
        <f>IFERROR(VLOOKUP($A5926,原始数据_收盘!$A$4:$G$3460,4,0),"")</f>
        <v>1.93</v>
      </c>
      <c r="E5926">
        <f>IFERROR(VLOOKUP($A5926,原始数据_收盘!$A$4:$G$3460,5,0),"")</f>
        <v>2.1275</v>
      </c>
      <c r="F5926">
        <f>IFERROR(VLOOKUP($A5926,原始数据_收盘!$A$4:$G$3460,6,0),"")</f>
        <v>1.9288</v>
      </c>
      <c r="G5926">
        <f>IFERROR(VLOOKUP($A5926,原始数据_收盘!$A$4:$G$3460,7,0),"")</f>
        <v>2.1263</v>
      </c>
      <c r="H5926">
        <f>IFERROR(VLOOKUP($A5926,原始数据_利率互换_FR007_1年!$A$6:$C$4395,2,0),"")</f>
        <v>1.9347</v>
      </c>
      <c r="I5926">
        <f>IFERROR(VLOOKUP($A5926,原始数据_利率互换_FR007_1年!$A$6:$C$4395,3,0),"")</f>
        <v>2.1312</v>
      </c>
    </row>
    <row r="5927" spans="1:9">
      <c r="A5927" s="6">
        <v>45420</v>
      </c>
      <c r="B5927">
        <f>IFERROR(VLOOKUP($A5927,原始数据_收盘!$A$4:$G$3460,2,0),"")</f>
        <v>1.9272</v>
      </c>
      <c r="C5927">
        <f>IFERROR(VLOOKUP($A5927,原始数据_收盘!$A$4:$G$3460,3,0),"")</f>
        <v>2.1192</v>
      </c>
      <c r="D5927">
        <f>IFERROR(VLOOKUP($A5927,原始数据_收盘!$A$4:$G$3460,4,0),"")</f>
        <v>1.9303</v>
      </c>
      <c r="E5927">
        <f>IFERROR(VLOOKUP($A5927,原始数据_收盘!$A$4:$G$3460,5,0),"")</f>
        <v>2.1225</v>
      </c>
      <c r="F5927">
        <f>IFERROR(VLOOKUP($A5927,原始数据_收盘!$A$4:$G$3460,6,0),"")</f>
        <v>1.9288</v>
      </c>
      <c r="G5927">
        <f>IFERROR(VLOOKUP($A5927,原始数据_收盘!$A$4:$G$3460,7,0),"")</f>
        <v>2.1208</v>
      </c>
      <c r="H5927">
        <f>IFERROR(VLOOKUP($A5927,原始数据_利率互换_FR007_1年!$A$6:$C$4395,2,0),"")</f>
        <v>1.9272</v>
      </c>
      <c r="I5927">
        <f>IFERROR(VLOOKUP($A5927,原始数据_利率互换_FR007_1年!$A$6:$C$4395,3,0),"")</f>
        <v>2.1213</v>
      </c>
    </row>
    <row r="5928" spans="1:9">
      <c r="A5928" s="6">
        <v>45421</v>
      </c>
      <c r="B5928">
        <f>IFERROR(VLOOKUP($A5928,原始数据_收盘!$A$4:$G$3460,2,0),"")</f>
        <v>1.945</v>
      </c>
      <c r="C5928">
        <f>IFERROR(VLOOKUP($A5928,原始数据_收盘!$A$4:$G$3460,3,0),"")</f>
        <v>2.152</v>
      </c>
      <c r="D5928">
        <f>IFERROR(VLOOKUP($A5928,原始数据_收盘!$A$4:$G$3460,4,0),"")</f>
        <v>1.95</v>
      </c>
      <c r="E5928">
        <f>IFERROR(VLOOKUP($A5928,原始数据_收盘!$A$4:$G$3460,5,0),"")</f>
        <v>2.1548</v>
      </c>
      <c r="F5928">
        <f>IFERROR(VLOOKUP($A5928,原始数据_收盘!$A$4:$G$3460,6,0),"")</f>
        <v>1.9475</v>
      </c>
      <c r="G5928">
        <f>IFERROR(VLOOKUP($A5928,原始数据_收盘!$A$4:$G$3460,7,0),"")</f>
        <v>2.1534</v>
      </c>
      <c r="H5928">
        <f>IFERROR(VLOOKUP($A5928,原始数据_利率互换_FR007_1年!$A$6:$C$4395,2,0),"")</f>
        <v>1.9384</v>
      </c>
      <c r="I5928">
        <f>IFERROR(VLOOKUP($A5928,原始数据_利率互换_FR007_1年!$A$6:$C$4395,3,0),"")</f>
        <v>2.1383</v>
      </c>
    </row>
    <row r="5929" spans="1:9">
      <c r="A5929" s="6">
        <v>45422</v>
      </c>
      <c r="B5929">
        <f>IFERROR(VLOOKUP($A5929,原始数据_收盘!$A$4:$G$3460,2,0),"")</f>
        <v>1.924</v>
      </c>
      <c r="C5929">
        <f>IFERROR(VLOOKUP($A5929,原始数据_收盘!$A$4:$G$3460,3,0),"")</f>
        <v>2.1448</v>
      </c>
      <c r="D5929">
        <f>IFERROR(VLOOKUP($A5929,原始数据_收盘!$A$4:$G$3460,4,0),"")</f>
        <v>1.9255</v>
      </c>
      <c r="E5929">
        <f>IFERROR(VLOOKUP($A5929,原始数据_收盘!$A$4:$G$3460,5,0),"")</f>
        <v>2.1475</v>
      </c>
      <c r="F5929">
        <f>IFERROR(VLOOKUP($A5929,原始数据_收盘!$A$4:$G$3460,6,0),"")</f>
        <v>1.9248</v>
      </c>
      <c r="G5929">
        <f>IFERROR(VLOOKUP($A5929,原始数据_收盘!$A$4:$G$3460,7,0),"")</f>
        <v>2.1462</v>
      </c>
      <c r="H5929">
        <f>IFERROR(VLOOKUP($A5929,原始数据_利率互换_FR007_1年!$A$6:$C$4395,2,0),"")</f>
        <v>1.9312</v>
      </c>
      <c r="I5929">
        <f>IFERROR(VLOOKUP($A5929,原始数据_利率互换_FR007_1年!$A$6:$C$4395,3,0),"")</f>
        <v>2.1455</v>
      </c>
    </row>
    <row r="5930" spans="1:9">
      <c r="A5930" s="6">
        <v>45423</v>
      </c>
      <c r="B5930">
        <f>IFERROR(VLOOKUP($A5930,原始数据_收盘!$A$4:$G$3460,2,0),"")</f>
        <v>1.93</v>
      </c>
      <c r="C5930">
        <f>IFERROR(VLOOKUP($A5930,原始数据_收盘!$A$4:$G$3460,3,0),"")</f>
        <v>2.1725</v>
      </c>
      <c r="D5930">
        <f>IFERROR(VLOOKUP($A5930,原始数据_收盘!$A$4:$G$3460,4,0),"")</f>
        <v>1.95</v>
      </c>
      <c r="E5930">
        <f>IFERROR(VLOOKUP($A5930,原始数据_收盘!$A$4:$G$3460,5,0),"")</f>
        <v>2.18</v>
      </c>
      <c r="F5930">
        <f>IFERROR(VLOOKUP($A5930,原始数据_收盘!$A$4:$G$3460,6,0),"")</f>
        <v>1.94</v>
      </c>
      <c r="G5930">
        <f>IFERROR(VLOOKUP($A5930,原始数据_收盘!$A$4:$G$3460,7,0),"")</f>
        <v>2.1763</v>
      </c>
      <c r="H5930">
        <f>IFERROR(VLOOKUP($A5930,原始数据_利率互换_FR007_1年!$A$6:$C$4395,2,0),"")</f>
        <v>1.94</v>
      </c>
      <c r="I5930">
        <f>IFERROR(VLOOKUP($A5930,原始数据_利率互换_FR007_1年!$A$6:$C$4395,3,0),"")</f>
        <v>2.1686</v>
      </c>
    </row>
    <row r="5931" spans="1:9">
      <c r="A5931" s="6">
        <v>45424</v>
      </c>
      <c r="B5931" t="str">
        <f>IFERROR(VLOOKUP($A5931,原始数据_收盘!$A$4:$G$3460,2,0),"")</f>
        <v/>
      </c>
      <c r="C5931" t="str">
        <f>IFERROR(VLOOKUP($A5931,原始数据_收盘!$A$4:$G$3460,3,0),"")</f>
        <v/>
      </c>
      <c r="D5931" t="str">
        <f>IFERROR(VLOOKUP($A5931,原始数据_收盘!$A$4:$G$3460,4,0),"")</f>
        <v/>
      </c>
      <c r="E5931" t="str">
        <f>IFERROR(VLOOKUP($A5931,原始数据_收盘!$A$4:$G$3460,5,0),"")</f>
        <v/>
      </c>
      <c r="F5931" t="str">
        <f>IFERROR(VLOOKUP($A5931,原始数据_收盘!$A$4:$G$3460,6,0),"")</f>
        <v/>
      </c>
      <c r="G5931" t="str">
        <f>IFERROR(VLOOKUP($A5931,原始数据_收盘!$A$4:$G$3460,7,0),"")</f>
        <v/>
      </c>
      <c r="H5931" t="str">
        <f>IFERROR(VLOOKUP($A5931,原始数据_利率互换_FR007_1年!$A$6:$C$4395,2,0),"")</f>
        <v/>
      </c>
      <c r="I5931" t="str">
        <f>IFERROR(VLOOKUP($A5931,原始数据_利率互换_FR007_1年!$A$6:$C$4395,3,0),"")</f>
        <v/>
      </c>
    </row>
    <row r="5932" spans="1:9">
      <c r="A5932" s="6">
        <v>45425</v>
      </c>
      <c r="B5932">
        <f>IFERROR(VLOOKUP($A5932,原始数据_收盘!$A$4:$G$3460,2,0),"")</f>
        <v>1.875</v>
      </c>
      <c r="C5932">
        <f>IFERROR(VLOOKUP($A5932,原始数据_收盘!$A$4:$G$3460,3,0),"")</f>
        <v>2.09</v>
      </c>
      <c r="D5932">
        <f>IFERROR(VLOOKUP($A5932,原始数据_收盘!$A$4:$G$3460,4,0),"")</f>
        <v>1.8775</v>
      </c>
      <c r="E5932">
        <f>IFERROR(VLOOKUP($A5932,原始数据_收盘!$A$4:$G$3460,5,0),"")</f>
        <v>2.0925</v>
      </c>
      <c r="F5932">
        <f>IFERROR(VLOOKUP($A5932,原始数据_收盘!$A$4:$G$3460,6,0),"")</f>
        <v>1.8763</v>
      </c>
      <c r="G5932">
        <f>IFERROR(VLOOKUP($A5932,原始数据_收盘!$A$4:$G$3460,7,0),"")</f>
        <v>2.0913</v>
      </c>
      <c r="H5932">
        <f>IFERROR(VLOOKUP($A5932,原始数据_利率互换_FR007_1年!$A$6:$C$4395,2,0),"")</f>
        <v>1.886</v>
      </c>
      <c r="I5932">
        <f>IFERROR(VLOOKUP($A5932,原始数据_利率互换_FR007_1年!$A$6:$C$4395,3,0),"")</f>
        <v>2.1094</v>
      </c>
    </row>
    <row r="5933" spans="1:9">
      <c r="A5933" s="6">
        <v>45426</v>
      </c>
      <c r="B5933">
        <f>IFERROR(VLOOKUP($A5933,原始数据_收盘!$A$4:$G$3460,2,0),"")</f>
        <v>1.8704</v>
      </c>
      <c r="C5933">
        <f>IFERROR(VLOOKUP($A5933,原始数据_收盘!$A$4:$G$3460,3,0),"")</f>
        <v>2.075</v>
      </c>
      <c r="D5933">
        <f>IFERROR(VLOOKUP($A5933,原始数据_收盘!$A$4:$G$3460,4,0),"")</f>
        <v>1.8725</v>
      </c>
      <c r="E5933">
        <f>IFERROR(VLOOKUP($A5933,原始数据_收盘!$A$4:$G$3460,5,0),"")</f>
        <v>2.0775</v>
      </c>
      <c r="F5933">
        <f>IFERROR(VLOOKUP($A5933,原始数据_收盘!$A$4:$G$3460,6,0),"")</f>
        <v>1.8715</v>
      </c>
      <c r="G5933">
        <f>IFERROR(VLOOKUP($A5933,原始数据_收盘!$A$4:$G$3460,7,0),"")</f>
        <v>2.0763</v>
      </c>
      <c r="H5933">
        <f>IFERROR(VLOOKUP($A5933,原始数据_利率互换_FR007_1年!$A$6:$C$4395,2,0),"")</f>
        <v>1.8673</v>
      </c>
      <c r="I5933">
        <f>IFERROR(VLOOKUP($A5933,原始数据_利率互换_FR007_1年!$A$6:$C$4395,3,0),"")</f>
        <v>2.0697</v>
      </c>
    </row>
    <row r="5934" spans="1:9">
      <c r="A5934" s="6">
        <v>45427</v>
      </c>
      <c r="B5934">
        <f>IFERROR(VLOOKUP($A5934,原始数据_收盘!$A$4:$G$3460,2,0),"")</f>
        <v>1.8775</v>
      </c>
      <c r="C5934">
        <f>IFERROR(VLOOKUP($A5934,原始数据_收盘!$A$4:$G$3460,3,0),"")</f>
        <v>2.09</v>
      </c>
      <c r="D5934">
        <f>IFERROR(VLOOKUP($A5934,原始数据_收盘!$A$4:$G$3460,4,0),"")</f>
        <v>1.8825</v>
      </c>
      <c r="E5934">
        <f>IFERROR(VLOOKUP($A5934,原始数据_收盘!$A$4:$G$3460,5,0),"")</f>
        <v>2.0925</v>
      </c>
      <c r="F5934">
        <f>IFERROR(VLOOKUP($A5934,原始数据_收盘!$A$4:$G$3460,6,0),"")</f>
        <v>1.88</v>
      </c>
      <c r="G5934">
        <f>IFERROR(VLOOKUP($A5934,原始数据_收盘!$A$4:$G$3460,7,0),"")</f>
        <v>2.0913</v>
      </c>
      <c r="H5934">
        <f>IFERROR(VLOOKUP($A5934,原始数据_利率互换_FR007_1年!$A$6:$C$4395,2,0),"")</f>
        <v>1.8813</v>
      </c>
      <c r="I5934">
        <f>IFERROR(VLOOKUP($A5934,原始数据_利率互换_FR007_1年!$A$6:$C$4395,3,0),"")</f>
        <v>2.0837</v>
      </c>
    </row>
    <row r="5935" spans="1:9">
      <c r="A5935" s="6">
        <v>45428</v>
      </c>
      <c r="B5935">
        <f>IFERROR(VLOOKUP($A5935,原始数据_收盘!$A$4:$G$3460,2,0),"")</f>
        <v>1.8775</v>
      </c>
      <c r="C5935">
        <f>IFERROR(VLOOKUP($A5935,原始数据_收盘!$A$4:$G$3460,3,0),"")</f>
        <v>2.1046</v>
      </c>
      <c r="D5935">
        <f>IFERROR(VLOOKUP($A5935,原始数据_收盘!$A$4:$G$3460,4,0),"")</f>
        <v>1.8801</v>
      </c>
      <c r="E5935">
        <f>IFERROR(VLOOKUP($A5935,原始数据_收盘!$A$4:$G$3460,5,0),"")</f>
        <v>2.1071</v>
      </c>
      <c r="F5935">
        <f>IFERROR(VLOOKUP($A5935,原始数据_收盘!$A$4:$G$3460,6,0),"")</f>
        <v>1.8788</v>
      </c>
      <c r="G5935">
        <f>IFERROR(VLOOKUP($A5935,原始数据_收盘!$A$4:$G$3460,7,0),"")</f>
        <v>2.1059</v>
      </c>
      <c r="H5935">
        <f>IFERROR(VLOOKUP($A5935,原始数据_利率互换_FR007_1年!$A$6:$C$4395,2,0),"")</f>
        <v>1.8841</v>
      </c>
      <c r="I5935">
        <f>IFERROR(VLOOKUP($A5935,原始数据_利率互换_FR007_1年!$A$6:$C$4395,3,0),"")</f>
        <v>2.1038</v>
      </c>
    </row>
    <row r="5936" spans="1:9">
      <c r="A5936" s="6">
        <v>45429</v>
      </c>
      <c r="B5936">
        <f>IFERROR(VLOOKUP($A5936,原始数据_收盘!$A$4:$G$3460,2,0),"")</f>
        <v>1.8505</v>
      </c>
      <c r="C5936">
        <f>IFERROR(VLOOKUP($A5936,原始数据_收盘!$A$4:$G$3460,3,0),"")</f>
        <v>2.085</v>
      </c>
      <c r="D5936">
        <f>IFERROR(VLOOKUP($A5936,原始数据_收盘!$A$4:$G$3460,4,0),"")</f>
        <v>1.8536</v>
      </c>
      <c r="E5936">
        <f>IFERROR(VLOOKUP($A5936,原始数据_收盘!$A$4:$G$3460,5,0),"")</f>
        <v>2.0887</v>
      </c>
      <c r="F5936">
        <f>IFERROR(VLOOKUP($A5936,原始数据_收盘!$A$4:$G$3460,6,0),"")</f>
        <v>1.852</v>
      </c>
      <c r="G5936">
        <f>IFERROR(VLOOKUP($A5936,原始数据_收盘!$A$4:$G$3460,7,0),"")</f>
        <v>2.0868</v>
      </c>
      <c r="H5936">
        <f>IFERROR(VLOOKUP($A5936,原始数据_利率互换_FR007_1年!$A$6:$C$4395,2,0),"")</f>
        <v>1.8693</v>
      </c>
      <c r="I5936">
        <f>IFERROR(VLOOKUP($A5936,原始数据_利率互换_FR007_1年!$A$6:$C$4395,3,0),"")</f>
        <v>2.1078</v>
      </c>
    </row>
    <row r="5937" spans="1:9">
      <c r="A5937" s="6">
        <v>45430</v>
      </c>
      <c r="B5937" t="str">
        <f>IFERROR(VLOOKUP($A5937,原始数据_收盘!$A$4:$G$3460,2,0),"")</f>
        <v/>
      </c>
      <c r="C5937" t="str">
        <f>IFERROR(VLOOKUP($A5937,原始数据_收盘!$A$4:$G$3460,3,0),"")</f>
        <v/>
      </c>
      <c r="D5937" t="str">
        <f>IFERROR(VLOOKUP($A5937,原始数据_收盘!$A$4:$G$3460,4,0),"")</f>
        <v/>
      </c>
      <c r="E5937" t="str">
        <f>IFERROR(VLOOKUP($A5937,原始数据_收盘!$A$4:$G$3460,5,0),"")</f>
        <v/>
      </c>
      <c r="F5937" t="str">
        <f>IFERROR(VLOOKUP($A5937,原始数据_收盘!$A$4:$G$3460,6,0),"")</f>
        <v/>
      </c>
      <c r="G5937" t="str">
        <f>IFERROR(VLOOKUP($A5937,原始数据_收盘!$A$4:$G$3460,7,0),"")</f>
        <v/>
      </c>
      <c r="H5937" t="str">
        <f>IFERROR(VLOOKUP($A5937,原始数据_利率互换_FR007_1年!$A$6:$C$4395,2,0),"")</f>
        <v/>
      </c>
      <c r="I5937" t="str">
        <f>IFERROR(VLOOKUP($A5937,原始数据_利率互换_FR007_1年!$A$6:$C$4395,3,0),"")</f>
        <v/>
      </c>
    </row>
    <row r="5938" spans="1:9">
      <c r="A5938" s="6">
        <v>45431</v>
      </c>
      <c r="B5938" t="str">
        <f>IFERROR(VLOOKUP($A5938,原始数据_收盘!$A$4:$G$3460,2,0),"")</f>
        <v/>
      </c>
      <c r="C5938" t="str">
        <f>IFERROR(VLOOKUP($A5938,原始数据_收盘!$A$4:$G$3460,3,0),"")</f>
        <v/>
      </c>
      <c r="D5938" t="str">
        <f>IFERROR(VLOOKUP($A5938,原始数据_收盘!$A$4:$G$3460,4,0),"")</f>
        <v/>
      </c>
      <c r="E5938" t="str">
        <f>IFERROR(VLOOKUP($A5938,原始数据_收盘!$A$4:$G$3460,5,0),"")</f>
        <v/>
      </c>
      <c r="F5938" t="str">
        <f>IFERROR(VLOOKUP($A5938,原始数据_收盘!$A$4:$G$3460,6,0),"")</f>
        <v/>
      </c>
      <c r="G5938" t="str">
        <f>IFERROR(VLOOKUP($A5938,原始数据_收盘!$A$4:$G$3460,7,0),"")</f>
        <v/>
      </c>
      <c r="H5938" t="str">
        <f>IFERROR(VLOOKUP($A5938,原始数据_利率互换_FR007_1年!$A$6:$C$4395,2,0),"")</f>
        <v/>
      </c>
      <c r="I5938" t="str">
        <f>IFERROR(VLOOKUP($A5938,原始数据_利率互换_FR007_1年!$A$6:$C$4395,3,0),"")</f>
        <v/>
      </c>
    </row>
    <row r="5939" spans="1:9">
      <c r="A5939" s="6">
        <v>45432</v>
      </c>
      <c r="B5939">
        <f>IFERROR(VLOOKUP($A5939,原始数据_收盘!$A$4:$G$3460,2,0),"")</f>
        <v>1.855</v>
      </c>
      <c r="C5939">
        <f>IFERROR(VLOOKUP($A5939,原始数据_收盘!$A$4:$G$3460,3,0),"")</f>
        <v>2.0775</v>
      </c>
      <c r="D5939">
        <f>IFERROR(VLOOKUP($A5939,原始数据_收盘!$A$4:$G$3460,4,0),"")</f>
        <v>1.8575</v>
      </c>
      <c r="E5939">
        <f>IFERROR(VLOOKUP($A5939,原始数据_收盘!$A$4:$G$3460,5,0),"")</f>
        <v>2.08</v>
      </c>
      <c r="F5939">
        <f>IFERROR(VLOOKUP($A5939,原始数据_收盘!$A$4:$G$3460,6,0),"")</f>
        <v>1.8563</v>
      </c>
      <c r="G5939">
        <f>IFERROR(VLOOKUP($A5939,原始数据_收盘!$A$4:$G$3460,7,0),"")</f>
        <v>2.0788</v>
      </c>
      <c r="H5939">
        <f>IFERROR(VLOOKUP($A5939,原始数据_利率互换_FR007_1年!$A$6:$C$4395,2,0),"")</f>
        <v>1.852</v>
      </c>
      <c r="I5939">
        <f>IFERROR(VLOOKUP($A5939,原始数据_利率互换_FR007_1年!$A$6:$C$4395,3,0),"")</f>
        <v>2.0762</v>
      </c>
    </row>
    <row r="5940" spans="1:9">
      <c r="A5940" s="6">
        <v>45433</v>
      </c>
      <c r="B5940">
        <f>IFERROR(VLOOKUP($A5940,原始数据_收盘!$A$4:$G$3460,2,0),"")</f>
        <v>1.8625</v>
      </c>
      <c r="C5940">
        <f>IFERROR(VLOOKUP($A5940,原始数据_收盘!$A$4:$G$3460,3,0),"")</f>
        <v>2.0765</v>
      </c>
      <c r="D5940">
        <f>IFERROR(VLOOKUP($A5940,原始数据_收盘!$A$4:$G$3460,4,0),"")</f>
        <v>1.8675</v>
      </c>
      <c r="E5940">
        <f>IFERROR(VLOOKUP($A5940,原始数据_收盘!$A$4:$G$3460,5,0),"")</f>
        <v>2.08</v>
      </c>
      <c r="F5940">
        <f>IFERROR(VLOOKUP($A5940,原始数据_收盘!$A$4:$G$3460,6,0),"")</f>
        <v>1.865</v>
      </c>
      <c r="G5940">
        <f>IFERROR(VLOOKUP($A5940,原始数据_收盘!$A$4:$G$3460,7,0),"")</f>
        <v>2.0783</v>
      </c>
      <c r="H5940">
        <f>IFERROR(VLOOKUP($A5940,原始数据_利率互换_FR007_1年!$A$6:$C$4395,2,0),"")</f>
        <v>1.8687</v>
      </c>
      <c r="I5940">
        <f>IFERROR(VLOOKUP($A5940,原始数据_利率互换_FR007_1年!$A$6:$C$4395,3,0),"")</f>
        <v>2.0846</v>
      </c>
    </row>
    <row r="5941" spans="1:9">
      <c r="A5941" s="6">
        <v>45434</v>
      </c>
      <c r="B5941">
        <f>IFERROR(VLOOKUP($A5941,原始数据_收盘!$A$4:$G$3460,2,0),"")</f>
        <v>1.8675</v>
      </c>
      <c r="C5941">
        <f>IFERROR(VLOOKUP($A5941,原始数据_收盘!$A$4:$G$3460,3,0),"")</f>
        <v>2.07</v>
      </c>
      <c r="D5941">
        <f>IFERROR(VLOOKUP($A5941,原始数据_收盘!$A$4:$G$3460,4,0),"")</f>
        <v>1.8681</v>
      </c>
      <c r="E5941">
        <f>IFERROR(VLOOKUP($A5941,原始数据_收盘!$A$4:$G$3460,5,0),"")</f>
        <v>2.075</v>
      </c>
      <c r="F5941">
        <f>IFERROR(VLOOKUP($A5941,原始数据_收盘!$A$4:$G$3460,6,0),"")</f>
        <v>1.8678</v>
      </c>
      <c r="G5941">
        <f>IFERROR(VLOOKUP($A5941,原始数据_收盘!$A$4:$G$3460,7,0),"")</f>
        <v>2.0725</v>
      </c>
      <c r="H5941">
        <f>IFERROR(VLOOKUP($A5941,原始数据_利率互换_FR007_1年!$A$6:$C$4395,2,0),"")</f>
        <v>1.8624</v>
      </c>
      <c r="I5941">
        <f>IFERROR(VLOOKUP($A5941,原始数据_利率互换_FR007_1年!$A$6:$C$4395,3,0),"")</f>
        <v>2.0692</v>
      </c>
    </row>
    <row r="5942" spans="1:9">
      <c r="A5942" s="6">
        <v>45435</v>
      </c>
      <c r="B5942">
        <f>IFERROR(VLOOKUP($A5942,原始数据_收盘!$A$4:$G$3460,2,0),"")</f>
        <v>1.8575</v>
      </c>
      <c r="C5942">
        <f>IFERROR(VLOOKUP($A5942,原始数据_收盘!$A$4:$G$3460,3,0),"")</f>
        <v>2.0634</v>
      </c>
      <c r="D5942">
        <f>IFERROR(VLOOKUP($A5942,原始数据_收盘!$A$4:$G$3460,4,0),"")</f>
        <v>1.86</v>
      </c>
      <c r="E5942">
        <f>IFERROR(VLOOKUP($A5942,原始数据_收盘!$A$4:$G$3460,5,0),"")</f>
        <v>2.066</v>
      </c>
      <c r="F5942">
        <f>IFERROR(VLOOKUP($A5942,原始数据_收盘!$A$4:$G$3460,6,0),"")</f>
        <v>1.8588</v>
      </c>
      <c r="G5942">
        <f>IFERROR(VLOOKUP($A5942,原始数据_收盘!$A$4:$G$3460,7,0),"")</f>
        <v>2.0647</v>
      </c>
      <c r="H5942">
        <f>IFERROR(VLOOKUP($A5942,原始数据_利率互换_FR007_1年!$A$6:$C$4395,2,0),"")</f>
        <v>1.8583</v>
      </c>
      <c r="I5942">
        <f>IFERROR(VLOOKUP($A5942,原始数据_利率互换_FR007_1年!$A$6:$C$4395,3,0),"")</f>
        <v>2.0618</v>
      </c>
    </row>
    <row r="5943" spans="1:9">
      <c r="A5943" s="6">
        <v>45436</v>
      </c>
      <c r="B5943">
        <f>IFERROR(VLOOKUP($A5943,原始数据_收盘!$A$4:$G$3460,2,0),"")</f>
        <v>1.865</v>
      </c>
      <c r="C5943">
        <f>IFERROR(VLOOKUP($A5943,原始数据_收盘!$A$4:$G$3460,3,0),"")</f>
        <v>2.0727</v>
      </c>
      <c r="D5943">
        <f>IFERROR(VLOOKUP($A5943,原始数据_收盘!$A$4:$G$3460,4,0),"")</f>
        <v>1.8675</v>
      </c>
      <c r="E5943">
        <f>IFERROR(VLOOKUP($A5943,原始数据_收盘!$A$4:$G$3460,5,0),"")</f>
        <v>2.0752</v>
      </c>
      <c r="F5943">
        <f>IFERROR(VLOOKUP($A5943,原始数据_收盘!$A$4:$G$3460,6,0),"")</f>
        <v>1.8663</v>
      </c>
      <c r="G5943">
        <f>IFERROR(VLOOKUP($A5943,原始数据_收盘!$A$4:$G$3460,7,0),"")</f>
        <v>2.0739</v>
      </c>
      <c r="H5943">
        <f>IFERROR(VLOOKUP($A5943,原始数据_利率互换_FR007_1年!$A$6:$C$4395,2,0),"")</f>
        <v>1.8605</v>
      </c>
      <c r="I5943">
        <f>IFERROR(VLOOKUP($A5943,原始数据_利率互换_FR007_1年!$A$6:$C$4395,3,0),"")</f>
        <v>2.0674</v>
      </c>
    </row>
    <row r="5944" spans="1:9">
      <c r="A5944" s="6">
        <v>45437</v>
      </c>
      <c r="B5944" t="str">
        <f>IFERROR(VLOOKUP($A5944,原始数据_收盘!$A$4:$G$3460,2,0),"")</f>
        <v/>
      </c>
      <c r="C5944" t="str">
        <f>IFERROR(VLOOKUP($A5944,原始数据_收盘!$A$4:$G$3460,3,0),"")</f>
        <v/>
      </c>
      <c r="D5944" t="str">
        <f>IFERROR(VLOOKUP($A5944,原始数据_收盘!$A$4:$G$3460,4,0),"")</f>
        <v/>
      </c>
      <c r="E5944" t="str">
        <f>IFERROR(VLOOKUP($A5944,原始数据_收盘!$A$4:$G$3460,5,0),"")</f>
        <v/>
      </c>
      <c r="F5944" t="str">
        <f>IFERROR(VLOOKUP($A5944,原始数据_收盘!$A$4:$G$3460,6,0),"")</f>
        <v/>
      </c>
      <c r="G5944" t="str">
        <f>IFERROR(VLOOKUP($A5944,原始数据_收盘!$A$4:$G$3460,7,0),"")</f>
        <v/>
      </c>
      <c r="H5944" t="str">
        <f>IFERROR(VLOOKUP($A5944,原始数据_利率互换_FR007_1年!$A$6:$C$4395,2,0),"")</f>
        <v/>
      </c>
      <c r="I5944" t="str">
        <f>IFERROR(VLOOKUP($A5944,原始数据_利率互换_FR007_1年!$A$6:$C$4395,3,0),"")</f>
        <v/>
      </c>
    </row>
    <row r="5945" spans="1:9">
      <c r="A5945" s="6">
        <v>45438</v>
      </c>
      <c r="B5945" t="str">
        <f>IFERROR(VLOOKUP($A5945,原始数据_收盘!$A$4:$G$3460,2,0),"")</f>
        <v/>
      </c>
      <c r="C5945" t="str">
        <f>IFERROR(VLOOKUP($A5945,原始数据_收盘!$A$4:$G$3460,3,0),"")</f>
        <v/>
      </c>
      <c r="D5945" t="str">
        <f>IFERROR(VLOOKUP($A5945,原始数据_收盘!$A$4:$G$3460,4,0),"")</f>
        <v/>
      </c>
      <c r="E5945" t="str">
        <f>IFERROR(VLOOKUP($A5945,原始数据_收盘!$A$4:$G$3460,5,0),"")</f>
        <v/>
      </c>
      <c r="F5945" t="str">
        <f>IFERROR(VLOOKUP($A5945,原始数据_收盘!$A$4:$G$3460,6,0),"")</f>
        <v/>
      </c>
      <c r="G5945" t="str">
        <f>IFERROR(VLOOKUP($A5945,原始数据_收盘!$A$4:$G$3460,7,0),"")</f>
        <v/>
      </c>
      <c r="H5945" t="str">
        <f>IFERROR(VLOOKUP($A5945,原始数据_利率互换_FR007_1年!$A$6:$C$4395,2,0),"")</f>
        <v/>
      </c>
      <c r="I5945" t="str">
        <f>IFERROR(VLOOKUP($A5945,原始数据_利率互换_FR007_1年!$A$6:$C$4395,3,0),"")</f>
        <v/>
      </c>
    </row>
    <row r="5946" spans="1:9">
      <c r="A5946" s="6">
        <v>45439</v>
      </c>
      <c r="B5946">
        <f>IFERROR(VLOOKUP($A5946,原始数据_收盘!$A$4:$G$3460,2,0),"")</f>
        <v>1.865</v>
      </c>
      <c r="C5946">
        <f>IFERROR(VLOOKUP($A5946,原始数据_收盘!$A$4:$G$3460,3,0),"")</f>
        <v>2.065</v>
      </c>
      <c r="D5946">
        <f>IFERROR(VLOOKUP($A5946,原始数据_收盘!$A$4:$G$3460,4,0),"")</f>
        <v>1.8675</v>
      </c>
      <c r="E5946">
        <f>IFERROR(VLOOKUP($A5946,原始数据_收盘!$A$4:$G$3460,5,0),"")</f>
        <v>2.0675</v>
      </c>
      <c r="F5946">
        <f>IFERROR(VLOOKUP($A5946,原始数据_收盘!$A$4:$G$3460,6,0),"")</f>
        <v>1.8663</v>
      </c>
      <c r="G5946">
        <f>IFERROR(VLOOKUP($A5946,原始数据_收盘!$A$4:$G$3460,7,0),"")</f>
        <v>2.0663</v>
      </c>
      <c r="H5946">
        <f>IFERROR(VLOOKUP($A5946,原始数据_利率互换_FR007_1年!$A$6:$C$4395,2,0),"")</f>
        <v>1.876</v>
      </c>
      <c r="I5946">
        <f>IFERROR(VLOOKUP($A5946,原始数据_利率互换_FR007_1年!$A$6:$C$4395,3,0),"")</f>
        <v>2.0744</v>
      </c>
    </row>
    <row r="5947" spans="1:9">
      <c r="A5947" s="6">
        <v>45440</v>
      </c>
      <c r="B5947">
        <f>IFERROR(VLOOKUP($A5947,原始数据_收盘!$A$4:$G$3460,2,0),"")</f>
        <v>1.857</v>
      </c>
      <c r="C5947">
        <f>IFERROR(VLOOKUP($A5947,原始数据_收盘!$A$4:$G$3460,3,0),"")</f>
        <v>2.0438</v>
      </c>
      <c r="D5947">
        <f>IFERROR(VLOOKUP($A5947,原始数据_收盘!$A$4:$G$3460,4,0),"")</f>
        <v>1.8578</v>
      </c>
      <c r="E5947">
        <f>IFERROR(VLOOKUP($A5947,原始数据_收盘!$A$4:$G$3460,5,0),"")</f>
        <v>2.0464</v>
      </c>
      <c r="F5947">
        <f>IFERROR(VLOOKUP($A5947,原始数据_收盘!$A$4:$G$3460,6,0),"")</f>
        <v>1.8574</v>
      </c>
      <c r="G5947">
        <f>IFERROR(VLOOKUP($A5947,原始数据_收盘!$A$4:$G$3460,7,0),"")</f>
        <v>2.0451</v>
      </c>
      <c r="H5947">
        <f>IFERROR(VLOOKUP($A5947,原始数据_利率互换_FR007_1年!$A$6:$C$4395,2,0),"")</f>
        <v>1.8631</v>
      </c>
      <c r="I5947">
        <f>IFERROR(VLOOKUP($A5947,原始数据_利率互换_FR007_1年!$A$6:$C$4395,3,0),"")</f>
        <v>2.0566</v>
      </c>
    </row>
    <row r="5948" spans="1:9">
      <c r="A5948" s="6">
        <v>45441</v>
      </c>
      <c r="B5948">
        <f>IFERROR(VLOOKUP($A5948,原始数据_收盘!$A$4:$G$3460,2,0),"")</f>
        <v>1.855</v>
      </c>
      <c r="C5948">
        <f>IFERROR(VLOOKUP($A5948,原始数据_收盘!$A$4:$G$3460,3,0),"")</f>
        <v>2.0399</v>
      </c>
      <c r="D5948">
        <f>IFERROR(VLOOKUP($A5948,原始数据_收盘!$A$4:$G$3460,4,0),"")</f>
        <v>1.8575</v>
      </c>
      <c r="E5948">
        <f>IFERROR(VLOOKUP($A5948,原始数据_收盘!$A$4:$G$3460,5,0),"")</f>
        <v>2.0425</v>
      </c>
      <c r="F5948">
        <f>IFERROR(VLOOKUP($A5948,原始数据_收盘!$A$4:$G$3460,6,0),"")</f>
        <v>1.8563</v>
      </c>
      <c r="G5948">
        <f>IFERROR(VLOOKUP($A5948,原始数据_收盘!$A$4:$G$3460,7,0),"")</f>
        <v>2.0412</v>
      </c>
      <c r="H5948">
        <f>IFERROR(VLOOKUP($A5948,原始数据_利率互换_FR007_1年!$A$6:$C$4395,2,0),"")</f>
        <v>1.8542</v>
      </c>
      <c r="I5948">
        <f>IFERROR(VLOOKUP($A5948,原始数据_利率互换_FR007_1年!$A$6:$C$4395,3,0),"")</f>
        <v>2.0382</v>
      </c>
    </row>
    <row r="5949" spans="1:9">
      <c r="A5949" s="6">
        <v>45442</v>
      </c>
      <c r="B5949">
        <f>IFERROR(VLOOKUP($A5949,原始数据_收盘!$A$4:$G$3460,2,0),"")</f>
        <v>1.845</v>
      </c>
      <c r="C5949">
        <f>IFERROR(VLOOKUP($A5949,原始数据_收盘!$A$4:$G$3460,3,0),"")</f>
        <v>2.0425</v>
      </c>
      <c r="D5949">
        <f>IFERROR(VLOOKUP($A5949,原始数据_收盘!$A$4:$G$3460,4,0),"")</f>
        <v>1.8487</v>
      </c>
      <c r="E5949">
        <f>IFERROR(VLOOKUP($A5949,原始数据_收盘!$A$4:$G$3460,5,0),"")</f>
        <v>2.0454</v>
      </c>
      <c r="F5949">
        <f>IFERROR(VLOOKUP($A5949,原始数据_收盘!$A$4:$G$3460,6,0),"")</f>
        <v>1.8468</v>
      </c>
      <c r="G5949">
        <f>IFERROR(VLOOKUP($A5949,原始数据_收盘!$A$4:$G$3460,7,0),"")</f>
        <v>2.044</v>
      </c>
      <c r="H5949">
        <f>IFERROR(VLOOKUP($A5949,原始数据_利率互换_FR007_1年!$A$6:$C$4395,2,0),"")</f>
        <v>1.8482</v>
      </c>
      <c r="I5949">
        <f>IFERROR(VLOOKUP($A5949,原始数据_利率互换_FR007_1年!$A$6:$C$4395,3,0),"")</f>
        <v>2.0451</v>
      </c>
    </row>
    <row r="5950" spans="1:9">
      <c r="A5950" s="6">
        <v>45443</v>
      </c>
      <c r="B5950">
        <f>IFERROR(VLOOKUP($A5950,原始数据_收盘!$A$4:$G$3460,2,0),"")</f>
        <v>1.845</v>
      </c>
      <c r="C5950">
        <f>IFERROR(VLOOKUP($A5950,原始数据_收盘!$A$4:$G$3460,3,0),"")</f>
        <v>2.0569</v>
      </c>
      <c r="D5950">
        <f>IFERROR(VLOOKUP($A5950,原始数据_收盘!$A$4:$G$3460,4,0),"")</f>
        <v>1.8477</v>
      </c>
      <c r="E5950">
        <f>IFERROR(VLOOKUP($A5950,原始数据_收盘!$A$4:$G$3460,5,0),"")</f>
        <v>2.0594</v>
      </c>
      <c r="F5950">
        <f>IFERROR(VLOOKUP($A5950,原始数据_收盘!$A$4:$G$3460,6,0),"")</f>
        <v>1.8463</v>
      </c>
      <c r="G5950">
        <f>IFERROR(VLOOKUP($A5950,原始数据_收盘!$A$4:$G$3460,7,0),"")</f>
        <v>2.0581</v>
      </c>
      <c r="H5950">
        <f>IFERROR(VLOOKUP($A5950,原始数据_利率互换_FR007_1年!$A$6:$C$4395,2,0),"")</f>
        <v>1.8437</v>
      </c>
      <c r="I5950">
        <f>IFERROR(VLOOKUP($A5950,原始数据_利率互换_FR007_1年!$A$6:$C$4395,3,0),"")</f>
        <v>2.051</v>
      </c>
    </row>
    <row r="5951" spans="1:9">
      <c r="A5951" s="6">
        <v>45444</v>
      </c>
      <c r="B5951" t="str">
        <f>IFERROR(VLOOKUP($A5951,原始数据_收盘!$A$4:$G$3460,2,0),"")</f>
        <v/>
      </c>
      <c r="C5951" t="str">
        <f>IFERROR(VLOOKUP($A5951,原始数据_收盘!$A$4:$G$3460,3,0),"")</f>
        <v/>
      </c>
      <c r="D5951" t="str">
        <f>IFERROR(VLOOKUP($A5951,原始数据_收盘!$A$4:$G$3460,4,0),"")</f>
        <v/>
      </c>
      <c r="E5951" t="str">
        <f>IFERROR(VLOOKUP($A5951,原始数据_收盘!$A$4:$G$3460,5,0),"")</f>
        <v/>
      </c>
      <c r="F5951" t="str">
        <f>IFERROR(VLOOKUP($A5951,原始数据_收盘!$A$4:$G$3460,6,0),"")</f>
        <v/>
      </c>
      <c r="G5951" t="str">
        <f>IFERROR(VLOOKUP($A5951,原始数据_收盘!$A$4:$G$3460,7,0),"")</f>
        <v/>
      </c>
      <c r="H5951" t="str">
        <f>IFERROR(VLOOKUP($A5951,原始数据_利率互换_FR007_1年!$A$6:$C$4395,2,0),"")</f>
        <v/>
      </c>
      <c r="I5951" t="str">
        <f>IFERROR(VLOOKUP($A5951,原始数据_利率互换_FR007_1年!$A$6:$C$4395,3,0),"")</f>
        <v/>
      </c>
    </row>
    <row r="5952" spans="1:9">
      <c r="A5952" s="6">
        <v>45445</v>
      </c>
      <c r="B5952" t="str">
        <f>IFERROR(VLOOKUP($A5952,原始数据_收盘!$A$4:$G$3460,2,0),"")</f>
        <v/>
      </c>
      <c r="C5952" t="str">
        <f>IFERROR(VLOOKUP($A5952,原始数据_收盘!$A$4:$G$3460,3,0),"")</f>
        <v/>
      </c>
      <c r="D5952" t="str">
        <f>IFERROR(VLOOKUP($A5952,原始数据_收盘!$A$4:$G$3460,4,0),"")</f>
        <v/>
      </c>
      <c r="E5952" t="str">
        <f>IFERROR(VLOOKUP($A5952,原始数据_收盘!$A$4:$G$3460,5,0),"")</f>
        <v/>
      </c>
      <c r="F5952" t="str">
        <f>IFERROR(VLOOKUP($A5952,原始数据_收盘!$A$4:$G$3460,6,0),"")</f>
        <v/>
      </c>
      <c r="G5952" t="str">
        <f>IFERROR(VLOOKUP($A5952,原始数据_收盘!$A$4:$G$3460,7,0),"")</f>
        <v/>
      </c>
      <c r="H5952" t="str">
        <f>IFERROR(VLOOKUP($A5952,原始数据_利率互换_FR007_1年!$A$6:$C$4395,2,0),"")</f>
        <v/>
      </c>
      <c r="I5952" t="str">
        <f>IFERROR(VLOOKUP($A5952,原始数据_利率互换_FR007_1年!$A$6:$C$4395,3,0),"")</f>
        <v/>
      </c>
    </row>
    <row r="5953" spans="1:9">
      <c r="A5953" s="6">
        <v>45446</v>
      </c>
      <c r="B5953">
        <f>IFERROR(VLOOKUP($A5953,原始数据_收盘!$A$4:$G$3460,2,0),"")</f>
        <v>1.8307</v>
      </c>
      <c r="C5953">
        <f>IFERROR(VLOOKUP($A5953,原始数据_收盘!$A$4:$G$3460,3,0),"")</f>
        <v>2.035</v>
      </c>
      <c r="D5953">
        <f>IFERROR(VLOOKUP($A5953,原始数据_收盘!$A$4:$G$3460,4,0),"")</f>
        <v>1.8333</v>
      </c>
      <c r="E5953">
        <f>IFERROR(VLOOKUP($A5953,原始数据_收盘!$A$4:$G$3460,5,0),"")</f>
        <v>2.0375</v>
      </c>
      <c r="F5953">
        <f>IFERROR(VLOOKUP($A5953,原始数据_收盘!$A$4:$G$3460,6,0),"")</f>
        <v>1.832</v>
      </c>
      <c r="G5953">
        <f>IFERROR(VLOOKUP($A5953,原始数据_收盘!$A$4:$G$3460,7,0),"")</f>
        <v>2.0363</v>
      </c>
      <c r="H5953">
        <f>IFERROR(VLOOKUP($A5953,原始数据_利率互换_FR007_1年!$A$6:$C$4395,2,0),"")</f>
        <v>1.8358</v>
      </c>
      <c r="I5953">
        <f>IFERROR(VLOOKUP($A5953,原始数据_利率互换_FR007_1年!$A$6:$C$4395,3,0),"")</f>
        <v>2.0455</v>
      </c>
    </row>
    <row r="5954" spans="1:9">
      <c r="A5954" s="6">
        <v>45447</v>
      </c>
      <c r="B5954">
        <f>IFERROR(VLOOKUP($A5954,原始数据_收盘!$A$4:$G$3460,2,0),"")</f>
        <v>1.8317</v>
      </c>
      <c r="C5954">
        <f>IFERROR(VLOOKUP($A5954,原始数据_收盘!$A$4:$G$3460,3,0),"")</f>
        <v>2.0324</v>
      </c>
      <c r="D5954">
        <f>IFERROR(VLOOKUP($A5954,原始数据_收盘!$A$4:$G$3460,4,0),"")</f>
        <v>1.835</v>
      </c>
      <c r="E5954">
        <f>IFERROR(VLOOKUP($A5954,原始数据_收盘!$A$4:$G$3460,5,0),"")</f>
        <v>2.0356</v>
      </c>
      <c r="F5954">
        <f>IFERROR(VLOOKUP($A5954,原始数据_收盘!$A$4:$G$3460,6,0),"")</f>
        <v>1.8333</v>
      </c>
      <c r="G5954">
        <f>IFERROR(VLOOKUP($A5954,原始数据_收盘!$A$4:$G$3460,7,0),"")</f>
        <v>2.034</v>
      </c>
      <c r="H5954">
        <f>IFERROR(VLOOKUP($A5954,原始数据_利率互换_FR007_1年!$A$6:$C$4395,2,0),"")</f>
        <v>1.8376</v>
      </c>
      <c r="I5954">
        <f>IFERROR(VLOOKUP($A5954,原始数据_利率互换_FR007_1年!$A$6:$C$4395,3,0),"")</f>
        <v>2.0397</v>
      </c>
    </row>
    <row r="5955" spans="1:9">
      <c r="A5955" s="6">
        <v>45448</v>
      </c>
      <c r="B5955">
        <f>IFERROR(VLOOKUP($A5955,原始数据_收盘!$A$4:$G$3460,2,0),"")</f>
        <v>1.8275</v>
      </c>
      <c r="C5955">
        <f>IFERROR(VLOOKUP($A5955,原始数据_收盘!$A$4:$G$3460,3,0),"")</f>
        <v>2.0175</v>
      </c>
      <c r="D5955">
        <f>IFERROR(VLOOKUP($A5955,原始数据_收盘!$A$4:$G$3460,4,0),"")</f>
        <v>1.83</v>
      </c>
      <c r="E5955">
        <f>IFERROR(VLOOKUP($A5955,原始数据_收盘!$A$4:$G$3460,5,0),"")</f>
        <v>2.0225</v>
      </c>
      <c r="F5955">
        <f>IFERROR(VLOOKUP($A5955,原始数据_收盘!$A$4:$G$3460,6,0),"")</f>
        <v>1.8288</v>
      </c>
      <c r="G5955">
        <f>IFERROR(VLOOKUP($A5955,原始数据_收盘!$A$4:$G$3460,7,0),"")</f>
        <v>2.02</v>
      </c>
      <c r="H5955">
        <f>IFERROR(VLOOKUP($A5955,原始数据_利率互换_FR007_1年!$A$6:$C$4395,2,0),"")</f>
        <v>1.8299</v>
      </c>
      <c r="I5955">
        <f>IFERROR(VLOOKUP($A5955,原始数据_利率互换_FR007_1年!$A$6:$C$4395,3,0),"")</f>
        <v>2.0254</v>
      </c>
    </row>
    <row r="5956" spans="1:9">
      <c r="A5956" s="6">
        <v>45449</v>
      </c>
      <c r="B5956">
        <f>IFERROR(VLOOKUP($A5956,原始数据_收盘!$A$4:$G$3460,2,0),"")</f>
        <v>1.8264</v>
      </c>
      <c r="C5956">
        <f>IFERROR(VLOOKUP($A5956,原始数据_收盘!$A$4:$G$3460,3,0),"")</f>
        <v>2.02</v>
      </c>
      <c r="D5956">
        <f>IFERROR(VLOOKUP($A5956,原始数据_收盘!$A$4:$G$3460,4,0),"")</f>
        <v>1.8289</v>
      </c>
      <c r="E5956">
        <f>IFERROR(VLOOKUP($A5956,原始数据_收盘!$A$4:$G$3460,5,0),"")</f>
        <v>2.0225</v>
      </c>
      <c r="F5956">
        <f>IFERROR(VLOOKUP($A5956,原始数据_收盘!$A$4:$G$3460,6,0),"")</f>
        <v>1.8277</v>
      </c>
      <c r="G5956">
        <f>IFERROR(VLOOKUP($A5956,原始数据_收盘!$A$4:$G$3460,7,0),"")</f>
        <v>2.0213</v>
      </c>
      <c r="H5956">
        <f>IFERROR(VLOOKUP($A5956,原始数据_利率互换_FR007_1年!$A$6:$C$4395,2,0),"")</f>
        <v>1.828</v>
      </c>
      <c r="I5956">
        <f>IFERROR(VLOOKUP($A5956,原始数据_利率互换_FR007_1年!$A$6:$C$4395,3,0),"")</f>
        <v>2.0216</v>
      </c>
    </row>
    <row r="5957" spans="1:9">
      <c r="A5957" s="6">
        <v>45450</v>
      </c>
      <c r="B5957">
        <f>IFERROR(VLOOKUP($A5957,原始数据_收盘!$A$4:$G$3460,2,0),"")</f>
        <v>1.825</v>
      </c>
      <c r="C5957">
        <f>IFERROR(VLOOKUP($A5957,原始数据_收盘!$A$4:$G$3460,3,0),"")</f>
        <v>2.01</v>
      </c>
      <c r="D5957">
        <f>IFERROR(VLOOKUP($A5957,原始数据_收盘!$A$4:$G$3460,4,0),"")</f>
        <v>1.8275</v>
      </c>
      <c r="E5957">
        <f>IFERROR(VLOOKUP($A5957,原始数据_收盘!$A$4:$G$3460,5,0),"")</f>
        <v>2.0125</v>
      </c>
      <c r="F5957">
        <f>IFERROR(VLOOKUP($A5957,原始数据_收盘!$A$4:$G$3460,6,0),"")</f>
        <v>1.8263</v>
      </c>
      <c r="G5957">
        <f>IFERROR(VLOOKUP($A5957,原始数据_收盘!$A$4:$G$3460,7,0),"")</f>
        <v>2.0113</v>
      </c>
      <c r="H5957">
        <f>IFERROR(VLOOKUP($A5957,原始数据_利率互换_FR007_1年!$A$6:$C$4395,2,0),"")</f>
        <v>1.8267</v>
      </c>
      <c r="I5957">
        <f>IFERROR(VLOOKUP($A5957,原始数据_利率互换_FR007_1年!$A$6:$C$4395,3,0),"")</f>
        <v>2.0164</v>
      </c>
    </row>
    <row r="5958" spans="1:9">
      <c r="A5958" s="6">
        <v>45451</v>
      </c>
      <c r="B5958" t="str">
        <f>IFERROR(VLOOKUP($A5958,原始数据_收盘!$A$4:$G$3460,2,0),"")</f>
        <v/>
      </c>
      <c r="C5958" t="str">
        <f>IFERROR(VLOOKUP($A5958,原始数据_收盘!$A$4:$G$3460,3,0),"")</f>
        <v/>
      </c>
      <c r="D5958" t="str">
        <f>IFERROR(VLOOKUP($A5958,原始数据_收盘!$A$4:$G$3460,4,0),"")</f>
        <v/>
      </c>
      <c r="E5958" t="str">
        <f>IFERROR(VLOOKUP($A5958,原始数据_收盘!$A$4:$G$3460,5,0),"")</f>
        <v/>
      </c>
      <c r="F5958" t="str">
        <f>IFERROR(VLOOKUP($A5958,原始数据_收盘!$A$4:$G$3460,6,0),"")</f>
        <v/>
      </c>
      <c r="G5958" t="str">
        <f>IFERROR(VLOOKUP($A5958,原始数据_收盘!$A$4:$G$3460,7,0),"")</f>
        <v/>
      </c>
      <c r="H5958" t="str">
        <f>IFERROR(VLOOKUP($A5958,原始数据_利率互换_FR007_1年!$A$6:$C$4395,2,0),"")</f>
        <v/>
      </c>
      <c r="I5958" t="str">
        <f>IFERROR(VLOOKUP($A5958,原始数据_利率互换_FR007_1年!$A$6:$C$4395,3,0),"")</f>
        <v/>
      </c>
    </row>
    <row r="5959" spans="1:9">
      <c r="A5959" s="6">
        <v>45452</v>
      </c>
      <c r="B5959" t="str">
        <f>IFERROR(VLOOKUP($A5959,原始数据_收盘!$A$4:$G$3460,2,0),"")</f>
        <v/>
      </c>
      <c r="C5959" t="str">
        <f>IFERROR(VLOOKUP($A5959,原始数据_收盘!$A$4:$G$3460,3,0),"")</f>
        <v/>
      </c>
      <c r="D5959" t="str">
        <f>IFERROR(VLOOKUP($A5959,原始数据_收盘!$A$4:$G$3460,4,0),"")</f>
        <v/>
      </c>
      <c r="E5959" t="str">
        <f>IFERROR(VLOOKUP($A5959,原始数据_收盘!$A$4:$G$3460,5,0),"")</f>
        <v/>
      </c>
      <c r="F5959" t="str">
        <f>IFERROR(VLOOKUP($A5959,原始数据_收盘!$A$4:$G$3460,6,0),"")</f>
        <v/>
      </c>
      <c r="G5959" t="str">
        <f>IFERROR(VLOOKUP($A5959,原始数据_收盘!$A$4:$G$3460,7,0),"")</f>
        <v/>
      </c>
      <c r="H5959" t="str">
        <f>IFERROR(VLOOKUP($A5959,原始数据_利率互换_FR007_1年!$A$6:$C$4395,2,0),"")</f>
        <v/>
      </c>
      <c r="I5959" t="str">
        <f>IFERROR(VLOOKUP($A5959,原始数据_利率互换_FR007_1年!$A$6:$C$4395,3,0),"")</f>
        <v/>
      </c>
    </row>
    <row r="5960" spans="1:9">
      <c r="A5960" s="6">
        <v>45453</v>
      </c>
      <c r="B5960" t="str">
        <f>IFERROR(VLOOKUP($A5960,原始数据_收盘!$A$4:$G$3460,2,0),"")</f>
        <v/>
      </c>
      <c r="C5960" t="str">
        <f>IFERROR(VLOOKUP($A5960,原始数据_收盘!$A$4:$G$3460,3,0),"")</f>
        <v/>
      </c>
      <c r="D5960" t="str">
        <f>IFERROR(VLOOKUP($A5960,原始数据_收盘!$A$4:$G$3460,4,0),"")</f>
        <v/>
      </c>
      <c r="E5960" t="str">
        <f>IFERROR(VLOOKUP($A5960,原始数据_收盘!$A$4:$G$3460,5,0),"")</f>
        <v/>
      </c>
      <c r="F5960" t="str">
        <f>IFERROR(VLOOKUP($A5960,原始数据_收盘!$A$4:$G$3460,6,0),"")</f>
        <v/>
      </c>
      <c r="G5960" t="str">
        <f>IFERROR(VLOOKUP($A5960,原始数据_收盘!$A$4:$G$3460,7,0),"")</f>
        <v/>
      </c>
      <c r="H5960" t="str">
        <f>IFERROR(VLOOKUP($A5960,原始数据_利率互换_FR007_1年!$A$6:$C$4395,2,0),"")</f>
        <v/>
      </c>
      <c r="I5960" t="str">
        <f>IFERROR(VLOOKUP($A5960,原始数据_利率互换_FR007_1年!$A$6:$C$4395,3,0),"")</f>
        <v/>
      </c>
    </row>
    <row r="5961" spans="1:9">
      <c r="A5961" s="6">
        <v>45454</v>
      </c>
      <c r="B5961">
        <f>IFERROR(VLOOKUP($A5961,原始数据_收盘!$A$4:$G$3460,2,0),"")</f>
        <v>1.8225</v>
      </c>
      <c r="C5961">
        <f>IFERROR(VLOOKUP($A5961,原始数据_收盘!$A$4:$G$3460,3,0),"")</f>
        <v>2</v>
      </c>
      <c r="D5961">
        <f>IFERROR(VLOOKUP($A5961,原始数据_收盘!$A$4:$G$3460,4,0),"")</f>
        <v>1.8275</v>
      </c>
      <c r="E5961">
        <f>IFERROR(VLOOKUP($A5961,原始数据_收盘!$A$4:$G$3460,5,0),"")</f>
        <v>2.0025</v>
      </c>
      <c r="F5961">
        <f>IFERROR(VLOOKUP($A5961,原始数据_收盘!$A$4:$G$3460,6,0),"")</f>
        <v>1.825</v>
      </c>
      <c r="G5961">
        <f>IFERROR(VLOOKUP($A5961,原始数据_收盘!$A$4:$G$3460,7,0),"")</f>
        <v>2.0013</v>
      </c>
      <c r="H5961">
        <f>IFERROR(VLOOKUP($A5961,原始数据_利率互换_FR007_1年!$A$6:$C$4395,2,0),"")</f>
        <v>1.8255</v>
      </c>
      <c r="I5961">
        <f>IFERROR(VLOOKUP($A5961,原始数据_利率互换_FR007_1年!$A$6:$C$4395,3,0),"")</f>
        <v>2.0049</v>
      </c>
    </row>
    <row r="5962" spans="1:9">
      <c r="A5962" s="6">
        <v>45455</v>
      </c>
      <c r="B5962">
        <f>IFERROR(VLOOKUP($A5962,原始数据_收盘!$A$4:$G$3460,2,0),"")</f>
        <v>1.8375</v>
      </c>
      <c r="C5962">
        <f>IFERROR(VLOOKUP($A5962,原始数据_收盘!$A$4:$G$3460,3,0),"")</f>
        <v>2.0175</v>
      </c>
      <c r="D5962">
        <f>IFERROR(VLOOKUP($A5962,原始数据_收盘!$A$4:$G$3460,4,0),"")</f>
        <v>1.84</v>
      </c>
      <c r="E5962">
        <f>IFERROR(VLOOKUP($A5962,原始数据_收盘!$A$4:$G$3460,5,0),"")</f>
        <v>2.02</v>
      </c>
      <c r="F5962">
        <f>IFERROR(VLOOKUP($A5962,原始数据_收盘!$A$4:$G$3460,6,0),"")</f>
        <v>1.8388</v>
      </c>
      <c r="G5962">
        <f>IFERROR(VLOOKUP($A5962,原始数据_收盘!$A$4:$G$3460,7,0),"")</f>
        <v>2.0188</v>
      </c>
      <c r="H5962">
        <f>IFERROR(VLOOKUP($A5962,原始数据_利率互换_FR007_1年!$A$6:$C$4395,2,0),"")</f>
        <v>1.8313</v>
      </c>
      <c r="I5962">
        <f>IFERROR(VLOOKUP($A5962,原始数据_利率互换_FR007_1年!$A$6:$C$4395,3,0),"")</f>
        <v>2.0115</v>
      </c>
    </row>
    <row r="5963" spans="1:9">
      <c r="A5963" s="6">
        <v>45456</v>
      </c>
      <c r="B5963">
        <f>IFERROR(VLOOKUP($A5963,原始数据_收盘!$A$4:$G$3460,2,0),"")</f>
        <v>1.8475</v>
      </c>
      <c r="C5963">
        <f>IFERROR(VLOOKUP($A5963,原始数据_收盘!$A$4:$G$3460,3,0),"")</f>
        <v>2.0225</v>
      </c>
      <c r="D5963">
        <f>IFERROR(VLOOKUP($A5963,原始数据_收盘!$A$4:$G$3460,4,0),"")</f>
        <v>1.85</v>
      </c>
      <c r="E5963">
        <f>IFERROR(VLOOKUP($A5963,原始数据_收盘!$A$4:$G$3460,5,0),"")</f>
        <v>2.025</v>
      </c>
      <c r="F5963">
        <f>IFERROR(VLOOKUP($A5963,原始数据_收盘!$A$4:$G$3460,6,0),"")</f>
        <v>1.8488</v>
      </c>
      <c r="G5963">
        <f>IFERROR(VLOOKUP($A5963,原始数据_收盘!$A$4:$G$3460,7,0),"")</f>
        <v>2.0238</v>
      </c>
      <c r="H5963">
        <f>IFERROR(VLOOKUP($A5963,原始数据_利率互换_FR007_1年!$A$6:$C$4395,2,0),"")</f>
        <v>1.8439</v>
      </c>
      <c r="I5963">
        <f>IFERROR(VLOOKUP($A5963,原始数据_利率互换_FR007_1年!$A$6:$C$4395,3,0),"")</f>
        <v>2.0199</v>
      </c>
    </row>
    <row r="5964" spans="1:9">
      <c r="A5964" s="6">
        <v>45457</v>
      </c>
      <c r="B5964">
        <f>IFERROR(VLOOKUP($A5964,原始数据_收盘!$A$4:$G$3460,2,0),"")</f>
        <v>1.83</v>
      </c>
      <c r="C5964">
        <f>IFERROR(VLOOKUP($A5964,原始数据_收盘!$A$4:$G$3460,3,0),"")</f>
        <v>2.0075</v>
      </c>
      <c r="D5964">
        <f>IFERROR(VLOOKUP($A5964,原始数据_收盘!$A$4:$G$3460,4,0),"")</f>
        <v>1.835</v>
      </c>
      <c r="E5964">
        <f>IFERROR(VLOOKUP($A5964,原始数据_收盘!$A$4:$G$3460,5,0),"")</f>
        <v>2.0105</v>
      </c>
      <c r="F5964">
        <f>IFERROR(VLOOKUP($A5964,原始数据_收盘!$A$4:$G$3460,6,0),"")</f>
        <v>1.8325</v>
      </c>
      <c r="G5964">
        <f>IFERROR(VLOOKUP($A5964,原始数据_收盘!$A$4:$G$3460,7,0),"")</f>
        <v>2.009</v>
      </c>
      <c r="H5964">
        <f>IFERROR(VLOOKUP($A5964,原始数据_利率互换_FR007_1年!$A$6:$C$4395,2,0),"")</f>
        <v>1.8423</v>
      </c>
      <c r="I5964">
        <f>IFERROR(VLOOKUP($A5964,原始数据_利率互换_FR007_1年!$A$6:$C$4395,3,0),"")</f>
        <v>2.0188</v>
      </c>
    </row>
    <row r="5965" spans="1:9">
      <c r="A5965" s="6">
        <v>45458</v>
      </c>
      <c r="B5965" t="str">
        <f>IFERROR(VLOOKUP($A5965,原始数据_收盘!$A$4:$G$3460,2,0),"")</f>
        <v/>
      </c>
      <c r="C5965" t="str">
        <f>IFERROR(VLOOKUP($A5965,原始数据_收盘!$A$4:$G$3460,3,0),"")</f>
        <v/>
      </c>
      <c r="D5965" t="str">
        <f>IFERROR(VLOOKUP($A5965,原始数据_收盘!$A$4:$G$3460,4,0),"")</f>
        <v/>
      </c>
      <c r="E5965" t="str">
        <f>IFERROR(VLOOKUP($A5965,原始数据_收盘!$A$4:$G$3460,5,0),"")</f>
        <v/>
      </c>
      <c r="F5965" t="str">
        <f>IFERROR(VLOOKUP($A5965,原始数据_收盘!$A$4:$G$3460,6,0),"")</f>
        <v/>
      </c>
      <c r="G5965" t="str">
        <f>IFERROR(VLOOKUP($A5965,原始数据_收盘!$A$4:$G$3460,7,0),"")</f>
        <v/>
      </c>
      <c r="H5965" t="str">
        <f>IFERROR(VLOOKUP($A5965,原始数据_利率互换_FR007_1年!$A$6:$C$4395,2,0),"")</f>
        <v/>
      </c>
      <c r="I5965" t="str">
        <f>IFERROR(VLOOKUP($A5965,原始数据_利率互换_FR007_1年!$A$6:$C$4395,3,0),"")</f>
        <v/>
      </c>
    </row>
    <row r="5966" spans="1:9">
      <c r="A5966" s="6">
        <v>45459</v>
      </c>
      <c r="B5966" t="str">
        <f>IFERROR(VLOOKUP($A5966,原始数据_收盘!$A$4:$G$3460,2,0),"")</f>
        <v/>
      </c>
      <c r="C5966" t="str">
        <f>IFERROR(VLOOKUP($A5966,原始数据_收盘!$A$4:$G$3460,3,0),"")</f>
        <v/>
      </c>
      <c r="D5966" t="str">
        <f>IFERROR(VLOOKUP($A5966,原始数据_收盘!$A$4:$G$3460,4,0),"")</f>
        <v/>
      </c>
      <c r="E5966" t="str">
        <f>IFERROR(VLOOKUP($A5966,原始数据_收盘!$A$4:$G$3460,5,0),"")</f>
        <v/>
      </c>
      <c r="F5966" t="str">
        <f>IFERROR(VLOOKUP($A5966,原始数据_收盘!$A$4:$G$3460,6,0),"")</f>
        <v/>
      </c>
      <c r="G5966" t="str">
        <f>IFERROR(VLOOKUP($A5966,原始数据_收盘!$A$4:$G$3460,7,0),"")</f>
        <v/>
      </c>
      <c r="H5966" t="str">
        <f>IFERROR(VLOOKUP($A5966,原始数据_利率互换_FR007_1年!$A$6:$C$4395,2,0),"")</f>
        <v/>
      </c>
      <c r="I5966" t="str">
        <f>IFERROR(VLOOKUP($A5966,原始数据_利率互换_FR007_1年!$A$6:$C$4395,3,0),"")</f>
        <v/>
      </c>
    </row>
    <row r="5967" spans="1:9">
      <c r="A5967" s="6">
        <v>45460</v>
      </c>
      <c r="B5967">
        <f>IFERROR(VLOOKUP($A5967,原始数据_收盘!$A$4:$G$3460,2,0),"")</f>
        <v>1.855</v>
      </c>
      <c r="C5967">
        <f>IFERROR(VLOOKUP($A5967,原始数据_收盘!$A$4:$G$3460,3,0),"")</f>
        <v>2.03</v>
      </c>
      <c r="D5967">
        <f>IFERROR(VLOOKUP($A5967,原始数据_收盘!$A$4:$G$3460,4,0),"")</f>
        <v>1.86</v>
      </c>
      <c r="E5967">
        <f>IFERROR(VLOOKUP($A5967,原始数据_收盘!$A$4:$G$3460,5,0),"")</f>
        <v>2.0325</v>
      </c>
      <c r="F5967">
        <f>IFERROR(VLOOKUP($A5967,原始数据_收盘!$A$4:$G$3460,6,0),"")</f>
        <v>1.8575</v>
      </c>
      <c r="G5967">
        <f>IFERROR(VLOOKUP($A5967,原始数据_收盘!$A$4:$G$3460,7,0),"")</f>
        <v>2.0313</v>
      </c>
      <c r="H5967">
        <f>IFERROR(VLOOKUP($A5967,原始数据_利率互换_FR007_1年!$A$6:$C$4395,2,0),"")</f>
        <v>1.853</v>
      </c>
      <c r="I5967">
        <f>IFERROR(VLOOKUP($A5967,原始数据_利率互换_FR007_1年!$A$6:$C$4395,3,0),"")</f>
        <v>2.0252</v>
      </c>
    </row>
    <row r="5968" spans="1:9">
      <c r="A5968" s="6">
        <v>45461</v>
      </c>
      <c r="B5968">
        <f>IFERROR(VLOOKUP($A5968,原始数据_收盘!$A$4:$G$3460,2,0),"")</f>
        <v>1.855</v>
      </c>
      <c r="C5968">
        <f>IFERROR(VLOOKUP($A5968,原始数据_收盘!$A$4:$G$3460,3,0),"")</f>
        <v>2.0215</v>
      </c>
      <c r="D5968">
        <f>IFERROR(VLOOKUP($A5968,原始数据_收盘!$A$4:$G$3460,4,0),"")</f>
        <v>1.8575</v>
      </c>
      <c r="E5968">
        <f>IFERROR(VLOOKUP($A5968,原始数据_收盘!$A$4:$G$3460,5,0),"")</f>
        <v>2.0233</v>
      </c>
      <c r="F5968">
        <f>IFERROR(VLOOKUP($A5968,原始数据_收盘!$A$4:$G$3460,6,0),"")</f>
        <v>1.8563</v>
      </c>
      <c r="G5968">
        <f>IFERROR(VLOOKUP($A5968,原始数据_收盘!$A$4:$G$3460,7,0),"")</f>
        <v>2.0224</v>
      </c>
      <c r="H5968">
        <f>IFERROR(VLOOKUP($A5968,原始数据_利率互换_FR007_1年!$A$6:$C$4395,2,0),"")</f>
        <v>1.8544</v>
      </c>
      <c r="I5968">
        <f>IFERROR(VLOOKUP($A5968,原始数据_利率互换_FR007_1年!$A$6:$C$4395,3,0),"")</f>
        <v>2.0206</v>
      </c>
    </row>
    <row r="5969" spans="1:9">
      <c r="A5969" s="6">
        <v>45462</v>
      </c>
      <c r="B5969">
        <f>IFERROR(VLOOKUP($A5969,原始数据_收盘!$A$4:$G$3460,2,0),"")</f>
        <v>1.8396</v>
      </c>
      <c r="C5969">
        <f>IFERROR(VLOOKUP($A5969,原始数据_收盘!$A$4:$G$3460,3,0),"")</f>
        <v>2</v>
      </c>
      <c r="D5969">
        <f>IFERROR(VLOOKUP($A5969,原始数据_收盘!$A$4:$G$3460,4,0),"")</f>
        <v>1.8421</v>
      </c>
      <c r="E5969">
        <f>IFERROR(VLOOKUP($A5969,原始数据_收盘!$A$4:$G$3460,5,0),"")</f>
        <v>2.0025</v>
      </c>
      <c r="F5969">
        <f>IFERROR(VLOOKUP($A5969,原始数据_收盘!$A$4:$G$3460,6,0),"")</f>
        <v>1.8409</v>
      </c>
      <c r="G5969">
        <f>IFERROR(VLOOKUP($A5969,原始数据_收盘!$A$4:$G$3460,7,0),"")</f>
        <v>2.0013</v>
      </c>
      <c r="H5969">
        <f>IFERROR(VLOOKUP($A5969,原始数据_利率互换_FR007_1年!$A$6:$C$4395,2,0),"")</f>
        <v>1.8499</v>
      </c>
      <c r="I5969">
        <f>IFERROR(VLOOKUP($A5969,原始数据_利率互换_FR007_1年!$A$6:$C$4395,3,0),"")</f>
        <v>2.0109</v>
      </c>
    </row>
    <row r="5970" spans="1:9">
      <c r="A5970" s="6">
        <v>45463</v>
      </c>
      <c r="B5970">
        <f>IFERROR(VLOOKUP($A5970,原始数据_收盘!$A$4:$G$3460,2,0),"")</f>
        <v>1.84</v>
      </c>
      <c r="C5970">
        <f>IFERROR(VLOOKUP($A5970,原始数据_收盘!$A$4:$G$3460,3,0),"")</f>
        <v>1.995</v>
      </c>
      <c r="D5970">
        <f>IFERROR(VLOOKUP($A5970,原始数据_收盘!$A$4:$G$3460,4,0),"")</f>
        <v>1.8425</v>
      </c>
      <c r="E5970">
        <f>IFERROR(VLOOKUP($A5970,原始数据_收盘!$A$4:$G$3460,5,0),"")</f>
        <v>1.9975</v>
      </c>
      <c r="F5970">
        <f>IFERROR(VLOOKUP($A5970,原始数据_收盘!$A$4:$G$3460,6,0),"")</f>
        <v>1.8413</v>
      </c>
      <c r="G5970">
        <f>IFERROR(VLOOKUP($A5970,原始数据_收盘!$A$4:$G$3460,7,0),"")</f>
        <v>1.9963</v>
      </c>
      <c r="H5970">
        <f>IFERROR(VLOOKUP($A5970,原始数据_利率互换_FR007_1年!$A$6:$C$4395,2,0),"")</f>
        <v>1.8395</v>
      </c>
      <c r="I5970">
        <f>IFERROR(VLOOKUP($A5970,原始数据_利率互换_FR007_1年!$A$6:$C$4395,3,0),"")</f>
        <v>2.0009</v>
      </c>
    </row>
    <row r="5971" spans="1:9">
      <c r="A5971" s="6">
        <v>45464</v>
      </c>
      <c r="B5971">
        <f>IFERROR(VLOOKUP($A5971,原始数据_收盘!$A$4:$G$3460,2,0),"")</f>
        <v>1.8525</v>
      </c>
      <c r="C5971">
        <f>IFERROR(VLOOKUP($A5971,原始数据_收盘!$A$4:$G$3460,3,0),"")</f>
        <v>2.0068</v>
      </c>
      <c r="D5971">
        <f>IFERROR(VLOOKUP($A5971,原始数据_收盘!$A$4:$G$3460,4,0),"")</f>
        <v>1.8553</v>
      </c>
      <c r="E5971">
        <f>IFERROR(VLOOKUP($A5971,原始数据_收盘!$A$4:$G$3460,5,0),"")</f>
        <v>2.01</v>
      </c>
      <c r="F5971">
        <f>IFERROR(VLOOKUP($A5971,原始数据_收盘!$A$4:$G$3460,6,0),"")</f>
        <v>1.8539</v>
      </c>
      <c r="G5971">
        <f>IFERROR(VLOOKUP($A5971,原始数据_收盘!$A$4:$G$3460,7,0),"")</f>
        <v>2.0084</v>
      </c>
      <c r="H5971">
        <f>IFERROR(VLOOKUP($A5971,原始数据_利率互换_FR007_1年!$A$6:$C$4395,2,0),"")</f>
        <v>1.8579</v>
      </c>
      <c r="I5971">
        <f>IFERROR(VLOOKUP($A5971,原始数据_利率互换_FR007_1年!$A$6:$C$4395,3,0),"")</f>
        <v>2.0119</v>
      </c>
    </row>
    <row r="5972" spans="1:9">
      <c r="A5972" s="6">
        <v>45465</v>
      </c>
      <c r="B5972" t="str">
        <f>IFERROR(VLOOKUP($A5972,原始数据_收盘!$A$4:$G$3460,2,0),"")</f>
        <v/>
      </c>
      <c r="C5972" t="str">
        <f>IFERROR(VLOOKUP($A5972,原始数据_收盘!$A$4:$G$3460,3,0),"")</f>
        <v/>
      </c>
      <c r="D5972" t="str">
        <f>IFERROR(VLOOKUP($A5972,原始数据_收盘!$A$4:$G$3460,4,0),"")</f>
        <v/>
      </c>
      <c r="E5972" t="str">
        <f>IFERROR(VLOOKUP($A5972,原始数据_收盘!$A$4:$G$3460,5,0),"")</f>
        <v/>
      </c>
      <c r="F5972" t="str">
        <f>IFERROR(VLOOKUP($A5972,原始数据_收盘!$A$4:$G$3460,6,0),"")</f>
        <v/>
      </c>
      <c r="G5972" t="str">
        <f>IFERROR(VLOOKUP($A5972,原始数据_收盘!$A$4:$G$3460,7,0),"")</f>
        <v/>
      </c>
      <c r="H5972" t="str">
        <f>IFERROR(VLOOKUP($A5972,原始数据_利率互换_FR007_1年!$A$6:$C$4395,2,0),"")</f>
        <v/>
      </c>
      <c r="I5972" t="str">
        <f>IFERROR(VLOOKUP($A5972,原始数据_利率互换_FR007_1年!$A$6:$C$4395,3,0),"")</f>
        <v/>
      </c>
    </row>
    <row r="5973" spans="1:9">
      <c r="A5973" s="6">
        <v>45466</v>
      </c>
      <c r="B5973" t="str">
        <f>IFERROR(VLOOKUP($A5973,原始数据_收盘!$A$4:$G$3460,2,0),"")</f>
        <v/>
      </c>
      <c r="C5973" t="str">
        <f>IFERROR(VLOOKUP($A5973,原始数据_收盘!$A$4:$G$3460,3,0),"")</f>
        <v/>
      </c>
      <c r="D5973" t="str">
        <f>IFERROR(VLOOKUP($A5973,原始数据_收盘!$A$4:$G$3460,4,0),"")</f>
        <v/>
      </c>
      <c r="E5973" t="str">
        <f>IFERROR(VLOOKUP($A5973,原始数据_收盘!$A$4:$G$3460,5,0),"")</f>
        <v/>
      </c>
      <c r="F5973" t="str">
        <f>IFERROR(VLOOKUP($A5973,原始数据_收盘!$A$4:$G$3460,6,0),"")</f>
        <v/>
      </c>
      <c r="G5973" t="str">
        <f>IFERROR(VLOOKUP($A5973,原始数据_收盘!$A$4:$G$3460,7,0),"")</f>
        <v/>
      </c>
      <c r="H5973" t="str">
        <f>IFERROR(VLOOKUP($A5973,原始数据_利率互换_FR007_1年!$A$6:$C$4395,2,0),"")</f>
        <v/>
      </c>
      <c r="I5973" t="str">
        <f>IFERROR(VLOOKUP($A5973,原始数据_利率互换_FR007_1年!$A$6:$C$4395,3,0),"")</f>
        <v/>
      </c>
    </row>
    <row r="5974" spans="1:9">
      <c r="A5974" s="6">
        <v>45467</v>
      </c>
      <c r="B5974">
        <f>IFERROR(VLOOKUP($A5974,原始数据_收盘!$A$4:$G$3460,2,0),"")</f>
        <v>1.855</v>
      </c>
      <c r="C5974">
        <f>IFERROR(VLOOKUP($A5974,原始数据_收盘!$A$4:$G$3460,3,0),"")</f>
        <v>1.9982</v>
      </c>
      <c r="D5974">
        <f>IFERROR(VLOOKUP($A5974,原始数据_收盘!$A$4:$G$3460,4,0),"")</f>
        <v>1.8582</v>
      </c>
      <c r="E5974">
        <f>IFERROR(VLOOKUP($A5974,原始数据_收盘!$A$4:$G$3460,5,0),"")</f>
        <v>2.0008</v>
      </c>
      <c r="F5974">
        <f>IFERROR(VLOOKUP($A5974,原始数据_收盘!$A$4:$G$3460,6,0),"")</f>
        <v>1.8566</v>
      </c>
      <c r="G5974">
        <f>IFERROR(VLOOKUP($A5974,原始数据_收盘!$A$4:$G$3460,7,0),"")</f>
        <v>1.9995</v>
      </c>
      <c r="H5974">
        <f>IFERROR(VLOOKUP($A5974,原始数据_利率互换_FR007_1年!$A$6:$C$4395,2,0),"")</f>
        <v>1.861</v>
      </c>
      <c r="I5974">
        <f>IFERROR(VLOOKUP($A5974,原始数据_利率互换_FR007_1年!$A$6:$C$4395,3,0),"")</f>
        <v>2.0059</v>
      </c>
    </row>
    <row r="5975" spans="1:9">
      <c r="A5975" s="6">
        <v>45468</v>
      </c>
      <c r="B5975">
        <f>IFERROR(VLOOKUP($A5975,原始数据_收盘!$A$4:$G$3460,2,0),"")</f>
        <v>1.845</v>
      </c>
      <c r="C5975">
        <f>IFERROR(VLOOKUP($A5975,原始数据_收盘!$A$4:$G$3460,3,0),"")</f>
        <v>1.9823</v>
      </c>
      <c r="D5975">
        <f>IFERROR(VLOOKUP($A5975,原始数据_收盘!$A$4:$G$3460,4,0),"")</f>
        <v>1.848</v>
      </c>
      <c r="E5975">
        <f>IFERROR(VLOOKUP($A5975,原始数据_收盘!$A$4:$G$3460,5,0),"")</f>
        <v>1.985</v>
      </c>
      <c r="F5975">
        <f>IFERROR(VLOOKUP($A5975,原始数据_收盘!$A$4:$G$3460,6,0),"")</f>
        <v>1.8465</v>
      </c>
      <c r="G5975">
        <f>IFERROR(VLOOKUP($A5975,原始数据_收盘!$A$4:$G$3460,7,0),"")</f>
        <v>1.9837</v>
      </c>
      <c r="H5975">
        <f>IFERROR(VLOOKUP($A5975,原始数据_利率互换_FR007_1年!$A$6:$C$4395,2,0),"")</f>
        <v>1.8433</v>
      </c>
      <c r="I5975">
        <f>IFERROR(VLOOKUP($A5975,原始数据_利率互换_FR007_1年!$A$6:$C$4395,3,0),"")</f>
        <v>1.9824</v>
      </c>
    </row>
    <row r="5976" spans="1:9">
      <c r="A5976" s="6">
        <v>45469</v>
      </c>
      <c r="B5976">
        <f>IFERROR(VLOOKUP($A5976,原始数据_收盘!$A$4:$G$3460,2,0),"")</f>
        <v>1.84</v>
      </c>
      <c r="C5976">
        <f>IFERROR(VLOOKUP($A5976,原始数据_收盘!$A$4:$G$3460,3,0),"")</f>
        <v>1.975</v>
      </c>
      <c r="D5976">
        <f>IFERROR(VLOOKUP($A5976,原始数据_收盘!$A$4:$G$3460,4,0),"")</f>
        <v>1.8425</v>
      </c>
      <c r="E5976">
        <f>IFERROR(VLOOKUP($A5976,原始数据_收盘!$A$4:$G$3460,5,0),"")</f>
        <v>1.9775</v>
      </c>
      <c r="F5976">
        <f>IFERROR(VLOOKUP($A5976,原始数据_收盘!$A$4:$G$3460,6,0),"")</f>
        <v>1.8413</v>
      </c>
      <c r="G5976">
        <f>IFERROR(VLOOKUP($A5976,原始数据_收盘!$A$4:$G$3460,7,0),"")</f>
        <v>1.9763</v>
      </c>
      <c r="H5976">
        <f>IFERROR(VLOOKUP($A5976,原始数据_利率互换_FR007_1年!$A$6:$C$4395,2,0),"")</f>
        <v>1.8474</v>
      </c>
      <c r="I5976">
        <f>IFERROR(VLOOKUP($A5976,原始数据_利率互换_FR007_1年!$A$6:$C$4395,3,0),"")</f>
        <v>1.9815</v>
      </c>
    </row>
    <row r="5977" spans="1:9">
      <c r="A5977" s="6">
        <v>45470</v>
      </c>
      <c r="B5977">
        <f>IFERROR(VLOOKUP($A5977,原始数据_收盘!$A$4:$G$3460,2,0),"")</f>
        <v>1.83</v>
      </c>
      <c r="C5977">
        <f>IFERROR(VLOOKUP($A5977,原始数据_收盘!$A$4:$G$3460,3,0),"")</f>
        <v>1.9599</v>
      </c>
      <c r="D5977">
        <f>IFERROR(VLOOKUP($A5977,原始数据_收盘!$A$4:$G$3460,4,0),"")</f>
        <v>1.8325</v>
      </c>
      <c r="E5977">
        <f>IFERROR(VLOOKUP($A5977,原始数据_收盘!$A$4:$G$3460,5,0),"")</f>
        <v>1.9625</v>
      </c>
      <c r="F5977">
        <f>IFERROR(VLOOKUP($A5977,原始数据_收盘!$A$4:$G$3460,6,0),"")</f>
        <v>1.8313</v>
      </c>
      <c r="G5977">
        <f>IFERROR(VLOOKUP($A5977,原始数据_收盘!$A$4:$G$3460,7,0),"")</f>
        <v>1.9612</v>
      </c>
      <c r="H5977">
        <f>IFERROR(VLOOKUP($A5977,原始数据_利率互换_FR007_1年!$A$6:$C$4395,2,0),"")</f>
        <v>1.8306</v>
      </c>
      <c r="I5977">
        <f>IFERROR(VLOOKUP($A5977,原始数据_利率互换_FR007_1年!$A$6:$C$4395,3,0),"")</f>
        <v>1.9634</v>
      </c>
    </row>
    <row r="5978" spans="1:9">
      <c r="A5978" s="6">
        <v>45471</v>
      </c>
      <c r="B5978">
        <f>IFERROR(VLOOKUP($A5978,原始数据_收盘!$A$4:$G$3460,2,0),"")</f>
        <v>1.835</v>
      </c>
      <c r="C5978">
        <f>IFERROR(VLOOKUP($A5978,原始数据_收盘!$A$4:$G$3460,3,0),"")</f>
        <v>1.9625</v>
      </c>
      <c r="D5978">
        <f>IFERROR(VLOOKUP($A5978,原始数据_收盘!$A$4:$G$3460,4,0),"")</f>
        <v>1.8375</v>
      </c>
      <c r="E5978">
        <f>IFERROR(VLOOKUP($A5978,原始数据_收盘!$A$4:$G$3460,5,0),"")</f>
        <v>1.965</v>
      </c>
      <c r="F5978">
        <f>IFERROR(VLOOKUP($A5978,原始数据_收盘!$A$4:$G$3460,6,0),"")</f>
        <v>1.8363</v>
      </c>
      <c r="G5978">
        <f>IFERROR(VLOOKUP($A5978,原始数据_收盘!$A$4:$G$3460,7,0),"")</f>
        <v>1.9638</v>
      </c>
      <c r="H5978">
        <f>IFERROR(VLOOKUP($A5978,原始数据_利率互换_FR007_1年!$A$6:$C$4395,2,0),"")</f>
        <v>1.834</v>
      </c>
      <c r="I5978">
        <f>IFERROR(VLOOKUP($A5978,原始数据_利率互换_FR007_1年!$A$6:$C$4395,3,0),"")</f>
        <v>1.965</v>
      </c>
    </row>
    <row r="5979" spans="1:9">
      <c r="A5979" s="6">
        <v>45472</v>
      </c>
      <c r="B5979" t="str">
        <f>IFERROR(VLOOKUP($A5979,原始数据_收盘!$A$4:$G$3460,2,0),"")</f>
        <v/>
      </c>
      <c r="C5979" t="str">
        <f>IFERROR(VLOOKUP($A5979,原始数据_收盘!$A$4:$G$3460,3,0),"")</f>
        <v/>
      </c>
      <c r="D5979" t="str">
        <f>IFERROR(VLOOKUP($A5979,原始数据_收盘!$A$4:$G$3460,4,0),"")</f>
        <v/>
      </c>
      <c r="E5979" t="str">
        <f>IFERROR(VLOOKUP($A5979,原始数据_收盘!$A$4:$G$3460,5,0),"")</f>
        <v/>
      </c>
      <c r="F5979" t="str">
        <f>IFERROR(VLOOKUP($A5979,原始数据_收盘!$A$4:$G$3460,6,0),"")</f>
        <v/>
      </c>
      <c r="G5979" t="str">
        <f>IFERROR(VLOOKUP($A5979,原始数据_收盘!$A$4:$G$3460,7,0),"")</f>
        <v/>
      </c>
      <c r="H5979" t="str">
        <f>IFERROR(VLOOKUP($A5979,原始数据_利率互换_FR007_1年!$A$6:$C$4395,2,0),"")</f>
        <v/>
      </c>
      <c r="I5979" t="str">
        <f>IFERROR(VLOOKUP($A5979,原始数据_利率互换_FR007_1年!$A$6:$C$4395,3,0),"")</f>
        <v/>
      </c>
    </row>
    <row r="5980" spans="1:9">
      <c r="A5980" s="6">
        <v>45473</v>
      </c>
      <c r="B5980" t="str">
        <f>IFERROR(VLOOKUP($A5980,原始数据_收盘!$A$4:$G$3460,2,0),"")</f>
        <v/>
      </c>
      <c r="C5980" t="str">
        <f>IFERROR(VLOOKUP($A5980,原始数据_收盘!$A$4:$G$3460,3,0),"")</f>
        <v/>
      </c>
      <c r="D5980" t="str">
        <f>IFERROR(VLOOKUP($A5980,原始数据_收盘!$A$4:$G$3460,4,0),"")</f>
        <v/>
      </c>
      <c r="E5980" t="str">
        <f>IFERROR(VLOOKUP($A5980,原始数据_收盘!$A$4:$G$3460,5,0),"")</f>
        <v/>
      </c>
      <c r="F5980" t="str">
        <f>IFERROR(VLOOKUP($A5980,原始数据_收盘!$A$4:$G$3460,6,0),"")</f>
        <v/>
      </c>
      <c r="G5980" t="str">
        <f>IFERROR(VLOOKUP($A5980,原始数据_收盘!$A$4:$G$3460,7,0),"")</f>
        <v/>
      </c>
      <c r="H5980" t="str">
        <f>IFERROR(VLOOKUP($A5980,原始数据_利率互换_FR007_1年!$A$6:$C$4395,2,0),"")</f>
        <v/>
      </c>
      <c r="I5980" t="str">
        <f>IFERROR(VLOOKUP($A5980,原始数据_利率互换_FR007_1年!$A$6:$C$4395,3,0),"")</f>
        <v/>
      </c>
    </row>
    <row r="5981" spans="1:9">
      <c r="A5981" s="6">
        <v>45474</v>
      </c>
      <c r="B5981">
        <f>IFERROR(VLOOKUP($A5981,原始数据_收盘!$A$4:$G$3460,2,0),"")</f>
        <v>1.855</v>
      </c>
      <c r="C5981">
        <f>IFERROR(VLOOKUP($A5981,原始数据_收盘!$A$4:$G$3460,3,0),"")</f>
        <v>2.005</v>
      </c>
      <c r="D5981">
        <f>IFERROR(VLOOKUP($A5981,原始数据_收盘!$A$4:$G$3460,4,0),"")</f>
        <v>1.8575</v>
      </c>
      <c r="E5981">
        <f>IFERROR(VLOOKUP($A5981,原始数据_收盘!$A$4:$G$3460,5,0),"")</f>
        <v>2.0075</v>
      </c>
      <c r="F5981">
        <f>IFERROR(VLOOKUP($A5981,原始数据_收盘!$A$4:$G$3460,6,0),"")</f>
        <v>1.8563</v>
      </c>
      <c r="G5981">
        <f>IFERROR(VLOOKUP($A5981,原始数据_收盘!$A$4:$G$3460,7,0),"")</f>
        <v>2.0063</v>
      </c>
      <c r="H5981">
        <f>IFERROR(VLOOKUP($A5981,原始数据_利率互换_FR007_1年!$A$6:$C$4395,2,0),"")</f>
        <v>1.8448</v>
      </c>
      <c r="I5981">
        <f>IFERROR(VLOOKUP($A5981,原始数据_利率互换_FR007_1年!$A$6:$C$4395,3,0),"")</f>
        <v>1.991</v>
      </c>
    </row>
    <row r="5982" spans="1:9">
      <c r="A5982" s="6">
        <v>45475</v>
      </c>
      <c r="B5982">
        <f>IFERROR(VLOOKUP($A5982,原始数据_收盘!$A$4:$G$3460,2,0),"")</f>
        <v>1.8475</v>
      </c>
      <c r="C5982">
        <f>IFERROR(VLOOKUP($A5982,原始数据_收盘!$A$4:$G$3460,3,0),"")</f>
        <v>1.9809</v>
      </c>
      <c r="D5982">
        <f>IFERROR(VLOOKUP($A5982,原始数据_收盘!$A$4:$G$3460,4,0),"")</f>
        <v>1.85</v>
      </c>
      <c r="E5982">
        <f>IFERROR(VLOOKUP($A5982,原始数据_收盘!$A$4:$G$3460,5,0),"")</f>
        <v>1.9834</v>
      </c>
      <c r="F5982">
        <f>IFERROR(VLOOKUP($A5982,原始数据_收盘!$A$4:$G$3460,6,0),"")</f>
        <v>1.8488</v>
      </c>
      <c r="G5982">
        <f>IFERROR(VLOOKUP($A5982,原始数据_收盘!$A$4:$G$3460,7,0),"")</f>
        <v>1.9821</v>
      </c>
      <c r="H5982">
        <f>IFERROR(VLOOKUP($A5982,原始数据_利率互换_FR007_1年!$A$6:$C$4395,2,0),"")</f>
        <v>1.8503</v>
      </c>
      <c r="I5982">
        <f>IFERROR(VLOOKUP($A5982,原始数据_利率互换_FR007_1年!$A$6:$C$4395,3,0),"")</f>
        <v>1.9934</v>
      </c>
    </row>
    <row r="5983" spans="1:9">
      <c r="A5983" s="6">
        <v>45476</v>
      </c>
      <c r="B5983">
        <f>IFERROR(VLOOKUP($A5983,原始数据_收盘!$A$4:$G$3460,2,0),"")</f>
        <v>1.8481</v>
      </c>
      <c r="C5983">
        <f>IFERROR(VLOOKUP($A5983,原始数据_收盘!$A$4:$G$3460,3,0),"")</f>
        <v>1.9775</v>
      </c>
      <c r="D5983">
        <f>IFERROR(VLOOKUP($A5983,原始数据_收盘!$A$4:$G$3460,4,0),"")</f>
        <v>1.8525</v>
      </c>
      <c r="E5983">
        <f>IFERROR(VLOOKUP($A5983,原始数据_收盘!$A$4:$G$3460,5,0),"")</f>
        <v>1.98</v>
      </c>
      <c r="F5983">
        <f>IFERROR(VLOOKUP($A5983,原始数据_收盘!$A$4:$G$3460,6,0),"")</f>
        <v>1.8503</v>
      </c>
      <c r="G5983">
        <f>IFERROR(VLOOKUP($A5983,原始数据_收盘!$A$4:$G$3460,7,0),"")</f>
        <v>1.9788</v>
      </c>
      <c r="H5983">
        <f>IFERROR(VLOOKUP($A5983,原始数据_利率互换_FR007_1年!$A$6:$C$4395,2,0),"")</f>
        <v>1.8512</v>
      </c>
      <c r="I5983">
        <f>IFERROR(VLOOKUP($A5983,原始数据_利率互换_FR007_1年!$A$6:$C$4395,3,0),"")</f>
        <v>1.9784</v>
      </c>
    </row>
    <row r="5984" spans="1:9">
      <c r="A5984" s="6">
        <v>45477</v>
      </c>
      <c r="B5984">
        <f>IFERROR(VLOOKUP($A5984,原始数据_收盘!$A$4:$G$3460,2,0),"")</f>
        <v>1.8525</v>
      </c>
      <c r="C5984">
        <f>IFERROR(VLOOKUP($A5984,原始数据_收盘!$A$4:$G$3460,3,0),"")</f>
        <v>1.9925</v>
      </c>
      <c r="D5984">
        <f>IFERROR(VLOOKUP($A5984,原始数据_收盘!$A$4:$G$3460,4,0),"")</f>
        <v>1.855</v>
      </c>
      <c r="E5984">
        <f>IFERROR(VLOOKUP($A5984,原始数据_收盘!$A$4:$G$3460,5,0),"")</f>
        <v>1.9964</v>
      </c>
      <c r="F5984">
        <f>IFERROR(VLOOKUP($A5984,原始数据_收盘!$A$4:$G$3460,6,0),"")</f>
        <v>1.8538</v>
      </c>
      <c r="G5984">
        <f>IFERROR(VLOOKUP($A5984,原始数据_收盘!$A$4:$G$3460,7,0),"")</f>
        <v>1.9944</v>
      </c>
      <c r="H5984">
        <f>IFERROR(VLOOKUP($A5984,原始数据_利率互换_FR007_1年!$A$6:$C$4395,2,0),"")</f>
        <v>1.8518</v>
      </c>
      <c r="I5984">
        <f>IFERROR(VLOOKUP($A5984,原始数据_利率互换_FR007_1年!$A$6:$C$4395,3,0),"")</f>
        <v>1.9887</v>
      </c>
    </row>
    <row r="5985" spans="1:9">
      <c r="A5985" s="6">
        <v>45478</v>
      </c>
      <c r="B5985">
        <f>IFERROR(VLOOKUP($A5985,原始数据_收盘!$A$4:$G$3460,2,0),"")</f>
        <v>1.8656</v>
      </c>
      <c r="C5985">
        <f>IFERROR(VLOOKUP($A5985,原始数据_收盘!$A$4:$G$3460,3,0),"")</f>
        <v>2.01</v>
      </c>
      <c r="D5985">
        <f>IFERROR(VLOOKUP($A5985,原始数据_收盘!$A$4:$G$3460,4,0),"")</f>
        <v>1.8687</v>
      </c>
      <c r="E5985">
        <f>IFERROR(VLOOKUP($A5985,原始数据_收盘!$A$4:$G$3460,5,0),"")</f>
        <v>2.0125</v>
      </c>
      <c r="F5985">
        <f>IFERROR(VLOOKUP($A5985,原始数据_收盘!$A$4:$G$3460,6,0),"")</f>
        <v>1.8671</v>
      </c>
      <c r="G5985">
        <f>IFERROR(VLOOKUP($A5985,原始数据_收盘!$A$4:$G$3460,7,0),"")</f>
        <v>2.0113</v>
      </c>
      <c r="H5985">
        <f>IFERROR(VLOOKUP($A5985,原始数据_利率互换_FR007_1年!$A$6:$C$4395,2,0),"")</f>
        <v>1.8663</v>
      </c>
      <c r="I5985">
        <f>IFERROR(VLOOKUP($A5985,原始数据_利率互换_FR007_1年!$A$6:$C$4395,3,0),"")</f>
        <v>2.0092</v>
      </c>
    </row>
    <row r="5986" spans="1:9">
      <c r="A5986" s="6">
        <v>45479</v>
      </c>
      <c r="B5986" t="str">
        <f>IFERROR(VLOOKUP($A5986,原始数据_收盘!$A$4:$G$3460,2,0),"")</f>
        <v/>
      </c>
      <c r="C5986" t="str">
        <f>IFERROR(VLOOKUP($A5986,原始数据_收盘!$A$4:$G$3460,3,0),"")</f>
        <v/>
      </c>
      <c r="D5986" t="str">
        <f>IFERROR(VLOOKUP($A5986,原始数据_收盘!$A$4:$G$3460,4,0),"")</f>
        <v/>
      </c>
      <c r="E5986" t="str">
        <f>IFERROR(VLOOKUP($A5986,原始数据_收盘!$A$4:$G$3460,5,0),"")</f>
        <v/>
      </c>
      <c r="F5986" t="str">
        <f>IFERROR(VLOOKUP($A5986,原始数据_收盘!$A$4:$G$3460,6,0),"")</f>
        <v/>
      </c>
      <c r="G5986" t="str">
        <f>IFERROR(VLOOKUP($A5986,原始数据_收盘!$A$4:$G$3460,7,0),"")</f>
        <v/>
      </c>
      <c r="H5986" t="str">
        <f>IFERROR(VLOOKUP($A5986,原始数据_利率互换_FR007_1年!$A$6:$C$4395,2,0),"")</f>
        <v/>
      </c>
      <c r="I5986" t="str">
        <f>IFERROR(VLOOKUP($A5986,原始数据_利率互换_FR007_1年!$A$6:$C$4395,3,0),"")</f>
        <v/>
      </c>
    </row>
    <row r="5987" spans="1:9">
      <c r="A5987" s="6">
        <v>45480</v>
      </c>
      <c r="B5987" t="str">
        <f>IFERROR(VLOOKUP($A5987,原始数据_收盘!$A$4:$G$3460,2,0),"")</f>
        <v/>
      </c>
      <c r="C5987" t="str">
        <f>IFERROR(VLOOKUP($A5987,原始数据_收盘!$A$4:$G$3460,3,0),"")</f>
        <v/>
      </c>
      <c r="D5987" t="str">
        <f>IFERROR(VLOOKUP($A5987,原始数据_收盘!$A$4:$G$3460,4,0),"")</f>
        <v/>
      </c>
      <c r="E5987" t="str">
        <f>IFERROR(VLOOKUP($A5987,原始数据_收盘!$A$4:$G$3460,5,0),"")</f>
        <v/>
      </c>
      <c r="F5987" t="str">
        <f>IFERROR(VLOOKUP($A5987,原始数据_收盘!$A$4:$G$3460,6,0),"")</f>
        <v/>
      </c>
      <c r="G5987" t="str">
        <f>IFERROR(VLOOKUP($A5987,原始数据_收盘!$A$4:$G$3460,7,0),"")</f>
        <v/>
      </c>
      <c r="H5987" t="str">
        <f>IFERROR(VLOOKUP($A5987,原始数据_利率互换_FR007_1年!$A$6:$C$4395,2,0),"")</f>
        <v/>
      </c>
      <c r="I5987" t="str">
        <f>IFERROR(VLOOKUP($A5987,原始数据_利率互换_FR007_1年!$A$6:$C$4395,3,0),"")</f>
        <v/>
      </c>
    </row>
    <row r="5988" spans="1:9">
      <c r="A5988" s="6">
        <v>45481</v>
      </c>
      <c r="B5988">
        <f>IFERROR(VLOOKUP($A5988,原始数据_收盘!$A$4:$G$3460,2,0),"")</f>
        <v>1.8868</v>
      </c>
      <c r="C5988">
        <f>IFERROR(VLOOKUP($A5988,原始数据_收盘!$A$4:$G$3460,3,0),"")</f>
        <v>2.0425</v>
      </c>
      <c r="D5988">
        <f>IFERROR(VLOOKUP($A5988,原始数据_收盘!$A$4:$G$3460,4,0),"")</f>
        <v>1.8878</v>
      </c>
      <c r="E5988">
        <f>IFERROR(VLOOKUP($A5988,原始数据_收盘!$A$4:$G$3460,5,0),"")</f>
        <v>2.045</v>
      </c>
      <c r="F5988">
        <f>IFERROR(VLOOKUP($A5988,原始数据_收盘!$A$4:$G$3460,6,0),"")</f>
        <v>1.8873</v>
      </c>
      <c r="G5988">
        <f>IFERROR(VLOOKUP($A5988,原始数据_收盘!$A$4:$G$3460,7,0),"")</f>
        <v>2.0438</v>
      </c>
      <c r="H5988">
        <f>IFERROR(VLOOKUP($A5988,原始数据_利率互换_FR007_1年!$A$6:$C$4395,2,0),"")</f>
        <v>1.8916</v>
      </c>
      <c r="I5988">
        <f>IFERROR(VLOOKUP($A5988,原始数据_利率互换_FR007_1年!$A$6:$C$4395,3,0),"")</f>
        <v>2.048</v>
      </c>
    </row>
    <row r="5989" spans="1:9">
      <c r="A5989" s="6">
        <v>45482</v>
      </c>
      <c r="B5989">
        <f>IFERROR(VLOOKUP($A5989,原始数据_收盘!$A$4:$G$3460,2,0),"")</f>
        <v>1.8675</v>
      </c>
      <c r="C5989">
        <f>IFERROR(VLOOKUP($A5989,原始数据_收盘!$A$4:$G$3460,3,0),"")</f>
        <v>2.009</v>
      </c>
      <c r="D5989">
        <f>IFERROR(VLOOKUP($A5989,原始数据_收盘!$A$4:$G$3460,4,0),"")</f>
        <v>1.87</v>
      </c>
      <c r="E5989">
        <f>IFERROR(VLOOKUP($A5989,原始数据_收盘!$A$4:$G$3460,5,0),"")</f>
        <v>2.0116</v>
      </c>
      <c r="F5989">
        <f>IFERROR(VLOOKUP($A5989,原始数据_收盘!$A$4:$G$3460,6,0),"")</f>
        <v>1.8688</v>
      </c>
      <c r="G5989">
        <f>IFERROR(VLOOKUP($A5989,原始数据_收盘!$A$4:$G$3460,7,0),"")</f>
        <v>2.0103</v>
      </c>
      <c r="H5989">
        <f>IFERROR(VLOOKUP($A5989,原始数据_利率互换_FR007_1年!$A$6:$C$4395,2,0),"")</f>
        <v>1.8726</v>
      </c>
      <c r="I5989">
        <f>IFERROR(VLOOKUP($A5989,原始数据_利率互换_FR007_1年!$A$6:$C$4395,3,0),"")</f>
        <v>2.0167</v>
      </c>
    </row>
    <row r="5990" spans="1:9">
      <c r="A5990" s="6">
        <v>45483</v>
      </c>
      <c r="B5990">
        <f>IFERROR(VLOOKUP($A5990,原始数据_收盘!$A$4:$G$3460,2,0),"")</f>
        <v>1.8575</v>
      </c>
      <c r="C5990">
        <f>IFERROR(VLOOKUP($A5990,原始数据_收盘!$A$4:$G$3460,3,0),"")</f>
        <v>2</v>
      </c>
      <c r="D5990">
        <f>IFERROR(VLOOKUP($A5990,原始数据_收盘!$A$4:$G$3460,4,0),"")</f>
        <v>1.86</v>
      </c>
      <c r="E5990">
        <f>IFERROR(VLOOKUP($A5990,原始数据_收盘!$A$4:$G$3460,5,0),"")</f>
        <v>2.0025</v>
      </c>
      <c r="F5990">
        <f>IFERROR(VLOOKUP($A5990,原始数据_收盘!$A$4:$G$3460,6,0),"")</f>
        <v>1.8588</v>
      </c>
      <c r="G5990">
        <f>IFERROR(VLOOKUP($A5990,原始数据_收盘!$A$4:$G$3460,7,0),"")</f>
        <v>2.0013</v>
      </c>
      <c r="H5990">
        <f>IFERROR(VLOOKUP($A5990,原始数据_利率互换_FR007_1年!$A$6:$C$4395,2,0),"")</f>
        <v>1.8636</v>
      </c>
      <c r="I5990">
        <f>IFERROR(VLOOKUP($A5990,原始数据_利率互换_FR007_1年!$A$6:$C$4395,3,0),"")</f>
        <v>2.0067</v>
      </c>
    </row>
    <row r="5991" spans="1:9">
      <c r="A5991" s="6">
        <v>45484</v>
      </c>
      <c r="B5991">
        <f>IFERROR(VLOOKUP($A5991,原始数据_收盘!$A$4:$G$3460,2,0),"")</f>
        <v>1.8515</v>
      </c>
      <c r="C5991">
        <f>IFERROR(VLOOKUP($A5991,原始数据_收盘!$A$4:$G$3460,3,0),"")</f>
        <v>1.9916</v>
      </c>
      <c r="D5991">
        <f>IFERROR(VLOOKUP($A5991,原始数据_收盘!$A$4:$G$3460,4,0),"")</f>
        <v>1.8541</v>
      </c>
      <c r="E5991">
        <f>IFERROR(VLOOKUP($A5991,原始数据_收盘!$A$4:$G$3460,5,0),"")</f>
        <v>1.9941</v>
      </c>
      <c r="F5991">
        <f>IFERROR(VLOOKUP($A5991,原始数据_收盘!$A$4:$G$3460,6,0),"")</f>
        <v>1.8528</v>
      </c>
      <c r="G5991">
        <f>IFERROR(VLOOKUP($A5991,原始数据_收盘!$A$4:$G$3460,7,0),"")</f>
        <v>1.9929</v>
      </c>
      <c r="H5991">
        <f>IFERROR(VLOOKUP($A5991,原始数据_利率互换_FR007_1年!$A$6:$C$4395,2,0),"")</f>
        <v>1.8532</v>
      </c>
      <c r="I5991">
        <f>IFERROR(VLOOKUP($A5991,原始数据_利率互换_FR007_1年!$A$6:$C$4395,3,0),"")</f>
        <v>1.9946</v>
      </c>
    </row>
    <row r="5992" spans="1:9">
      <c r="A5992" s="6">
        <v>45485</v>
      </c>
      <c r="B5992">
        <f>IFERROR(VLOOKUP($A5992,原始数据_收盘!$A$4:$G$3460,2,0),"")</f>
        <v>1.845</v>
      </c>
      <c r="C5992">
        <f>IFERROR(VLOOKUP($A5992,原始数据_收盘!$A$4:$G$3460,3,0),"")</f>
        <v>1.98</v>
      </c>
      <c r="D5992">
        <f>IFERROR(VLOOKUP($A5992,原始数据_收盘!$A$4:$G$3460,4,0),"")</f>
        <v>1.8475</v>
      </c>
      <c r="E5992">
        <f>IFERROR(VLOOKUP($A5992,原始数据_收盘!$A$4:$G$3460,5,0),"")</f>
        <v>1.9825</v>
      </c>
      <c r="F5992">
        <f>IFERROR(VLOOKUP($A5992,原始数据_收盘!$A$4:$G$3460,6,0),"")</f>
        <v>1.8463</v>
      </c>
      <c r="G5992">
        <f>IFERROR(VLOOKUP($A5992,原始数据_收盘!$A$4:$G$3460,7,0),"")</f>
        <v>1.9813</v>
      </c>
      <c r="H5992">
        <f>IFERROR(VLOOKUP($A5992,原始数据_利率互换_FR007_1年!$A$6:$C$4395,2,0),"")</f>
        <v>1.8421</v>
      </c>
      <c r="I5992">
        <f>IFERROR(VLOOKUP($A5992,原始数据_利率互换_FR007_1年!$A$6:$C$4395,3,0),"")</f>
        <v>1.9779</v>
      </c>
    </row>
    <row r="5993" spans="1:9">
      <c r="A5993" s="6">
        <v>45486</v>
      </c>
      <c r="B5993" t="str">
        <f>IFERROR(VLOOKUP($A5993,原始数据_收盘!$A$4:$G$3460,2,0),"")</f>
        <v/>
      </c>
      <c r="C5993" t="str">
        <f>IFERROR(VLOOKUP($A5993,原始数据_收盘!$A$4:$G$3460,3,0),"")</f>
        <v/>
      </c>
      <c r="D5993" t="str">
        <f>IFERROR(VLOOKUP($A5993,原始数据_收盘!$A$4:$G$3460,4,0),"")</f>
        <v/>
      </c>
      <c r="E5993" t="str">
        <f>IFERROR(VLOOKUP($A5993,原始数据_收盘!$A$4:$G$3460,5,0),"")</f>
        <v/>
      </c>
      <c r="F5993" t="str">
        <f>IFERROR(VLOOKUP($A5993,原始数据_收盘!$A$4:$G$3460,6,0),"")</f>
        <v/>
      </c>
      <c r="G5993" t="str">
        <f>IFERROR(VLOOKUP($A5993,原始数据_收盘!$A$4:$G$3460,7,0),"")</f>
        <v/>
      </c>
      <c r="H5993" t="str">
        <f>IFERROR(VLOOKUP($A5993,原始数据_利率互换_FR007_1年!$A$6:$C$4395,2,0),"")</f>
        <v/>
      </c>
      <c r="I5993" t="str">
        <f>IFERROR(VLOOKUP($A5993,原始数据_利率互换_FR007_1年!$A$6:$C$4395,3,0),"")</f>
        <v/>
      </c>
    </row>
    <row r="5994" spans="1:9">
      <c r="A5994" s="6">
        <v>45487</v>
      </c>
      <c r="B5994" t="str">
        <f>IFERROR(VLOOKUP($A5994,原始数据_收盘!$A$4:$G$3460,2,0),"")</f>
        <v/>
      </c>
      <c r="C5994" t="str">
        <f>IFERROR(VLOOKUP($A5994,原始数据_收盘!$A$4:$G$3460,3,0),"")</f>
        <v/>
      </c>
      <c r="D5994" t="str">
        <f>IFERROR(VLOOKUP($A5994,原始数据_收盘!$A$4:$G$3460,4,0),"")</f>
        <v/>
      </c>
      <c r="E5994" t="str">
        <f>IFERROR(VLOOKUP($A5994,原始数据_收盘!$A$4:$G$3460,5,0),"")</f>
        <v/>
      </c>
      <c r="F5994" t="str">
        <f>IFERROR(VLOOKUP($A5994,原始数据_收盘!$A$4:$G$3460,6,0),"")</f>
        <v/>
      </c>
      <c r="G5994" t="str">
        <f>IFERROR(VLOOKUP($A5994,原始数据_收盘!$A$4:$G$3460,7,0),"")</f>
        <v/>
      </c>
      <c r="H5994" t="str">
        <f>IFERROR(VLOOKUP($A5994,原始数据_利率互换_FR007_1年!$A$6:$C$4395,2,0),"")</f>
        <v/>
      </c>
      <c r="I5994" t="str">
        <f>IFERROR(VLOOKUP($A5994,原始数据_利率互换_FR007_1年!$A$6:$C$4395,3,0),"")</f>
        <v/>
      </c>
    </row>
    <row r="5995" spans="1:9">
      <c r="A5995" s="6">
        <v>45488</v>
      </c>
      <c r="B5995">
        <f>IFERROR(VLOOKUP($A5995,原始数据_收盘!$A$4:$G$3460,2,0),"")</f>
        <v>1.8489</v>
      </c>
      <c r="C5995">
        <f>IFERROR(VLOOKUP($A5995,原始数据_收盘!$A$4:$G$3460,3,0),"")</f>
        <v>1.98</v>
      </c>
      <c r="D5995">
        <f>IFERROR(VLOOKUP($A5995,原始数据_收盘!$A$4:$G$3460,4,0),"")</f>
        <v>1.8514</v>
      </c>
      <c r="E5995">
        <f>IFERROR(VLOOKUP($A5995,原始数据_收盘!$A$4:$G$3460,5,0),"")</f>
        <v>1.9825</v>
      </c>
      <c r="F5995">
        <f>IFERROR(VLOOKUP($A5995,原始数据_收盘!$A$4:$G$3460,6,0),"")</f>
        <v>1.8502</v>
      </c>
      <c r="G5995">
        <f>IFERROR(VLOOKUP($A5995,原始数据_收盘!$A$4:$G$3460,7,0),"")</f>
        <v>1.9813</v>
      </c>
      <c r="H5995">
        <f>IFERROR(VLOOKUP($A5995,原始数据_利率互换_FR007_1年!$A$6:$C$4395,2,0),"")</f>
        <v>1.847</v>
      </c>
      <c r="I5995">
        <f>IFERROR(VLOOKUP($A5995,原始数据_利率互换_FR007_1年!$A$6:$C$4395,3,0),"")</f>
        <v>1.9757</v>
      </c>
    </row>
    <row r="5996" spans="1:9">
      <c r="A5996" s="6">
        <v>45489</v>
      </c>
      <c r="B5996">
        <f>IFERROR(VLOOKUP($A5996,原始数据_收盘!$A$4:$G$3460,2,0),"")</f>
        <v>1.85</v>
      </c>
      <c r="C5996">
        <f>IFERROR(VLOOKUP($A5996,原始数据_收盘!$A$4:$G$3460,3,0),"")</f>
        <v>1.9825</v>
      </c>
      <c r="D5996">
        <f>IFERROR(VLOOKUP($A5996,原始数据_收盘!$A$4:$G$3460,4,0),"")</f>
        <v>1.8525</v>
      </c>
      <c r="E5996">
        <f>IFERROR(VLOOKUP($A5996,原始数据_收盘!$A$4:$G$3460,5,0),"")</f>
        <v>1.985</v>
      </c>
      <c r="F5996">
        <f>IFERROR(VLOOKUP($A5996,原始数据_收盘!$A$4:$G$3460,6,0),"")</f>
        <v>1.8513</v>
      </c>
      <c r="G5996">
        <f>IFERROR(VLOOKUP($A5996,原始数据_收盘!$A$4:$G$3460,7,0),"")</f>
        <v>1.9838</v>
      </c>
      <c r="H5996">
        <f>IFERROR(VLOOKUP($A5996,原始数据_利率互换_FR007_1年!$A$6:$C$4395,2,0),"")</f>
        <v>1.8509</v>
      </c>
      <c r="I5996">
        <f>IFERROR(VLOOKUP($A5996,原始数据_利率互换_FR007_1年!$A$6:$C$4395,3,0),"")</f>
        <v>1.9846</v>
      </c>
    </row>
    <row r="5997" spans="1:9">
      <c r="A5997" s="6">
        <v>45490</v>
      </c>
      <c r="B5997">
        <f>IFERROR(VLOOKUP($A5997,原始数据_收盘!$A$4:$G$3460,2,0),"")</f>
        <v>1.8425</v>
      </c>
      <c r="C5997">
        <f>IFERROR(VLOOKUP($A5997,原始数据_收盘!$A$4:$G$3460,3,0),"")</f>
        <v>1.975</v>
      </c>
      <c r="D5997">
        <f>IFERROR(VLOOKUP($A5997,原始数据_收盘!$A$4:$G$3460,4,0),"")</f>
        <v>1.845</v>
      </c>
      <c r="E5997">
        <f>IFERROR(VLOOKUP($A5997,原始数据_收盘!$A$4:$G$3460,5,0),"")</f>
        <v>1.9775</v>
      </c>
      <c r="F5997">
        <f>IFERROR(VLOOKUP($A5997,原始数据_收盘!$A$4:$G$3460,6,0),"")</f>
        <v>1.8438</v>
      </c>
      <c r="G5997">
        <f>IFERROR(VLOOKUP($A5997,原始数据_收盘!$A$4:$G$3460,7,0),"")</f>
        <v>1.9763</v>
      </c>
      <c r="H5997">
        <f>IFERROR(VLOOKUP($A5997,原始数据_利率互换_FR007_1年!$A$6:$C$4395,2,0),"")</f>
        <v>1.849</v>
      </c>
      <c r="I5997">
        <f>IFERROR(VLOOKUP($A5997,原始数据_利率互换_FR007_1年!$A$6:$C$4395,3,0),"")</f>
        <v>1.9796</v>
      </c>
    </row>
    <row r="5998" spans="1:9">
      <c r="A5998" s="6">
        <v>45491</v>
      </c>
      <c r="B5998">
        <f>IFERROR(VLOOKUP($A5998,原始数据_收盘!$A$4:$G$3460,2,0),"")</f>
        <v>1.8425</v>
      </c>
      <c r="C5998">
        <f>IFERROR(VLOOKUP($A5998,原始数据_收盘!$A$4:$G$3460,3,0),"")</f>
        <v>1.98</v>
      </c>
      <c r="D5998">
        <f>IFERROR(VLOOKUP($A5998,原始数据_收盘!$A$4:$G$3460,4,0),"")</f>
        <v>1.845</v>
      </c>
      <c r="E5998">
        <f>IFERROR(VLOOKUP($A5998,原始数据_收盘!$A$4:$G$3460,5,0),"")</f>
        <v>1.9825</v>
      </c>
      <c r="F5998">
        <f>IFERROR(VLOOKUP($A5998,原始数据_收盘!$A$4:$G$3460,6,0),"")</f>
        <v>1.8438</v>
      </c>
      <c r="G5998">
        <f>IFERROR(VLOOKUP($A5998,原始数据_收盘!$A$4:$G$3460,7,0),"")</f>
        <v>1.9813</v>
      </c>
      <c r="H5998">
        <f>IFERROR(VLOOKUP($A5998,原始数据_利率互换_FR007_1年!$A$6:$C$4395,2,0),"")</f>
        <v>1.8456</v>
      </c>
      <c r="I5998">
        <f>IFERROR(VLOOKUP($A5998,原始数据_利率互换_FR007_1年!$A$6:$C$4395,3,0),"")</f>
        <v>1.9816</v>
      </c>
    </row>
    <row r="5999" spans="1:9">
      <c r="A5999" s="6">
        <v>45492</v>
      </c>
      <c r="B5999">
        <f>IFERROR(VLOOKUP($A5999,原始数据_收盘!$A$4:$G$3460,2,0),"")</f>
        <v>1.83</v>
      </c>
      <c r="C5999">
        <f>IFERROR(VLOOKUP($A5999,原始数据_收盘!$A$4:$G$3460,3,0),"")</f>
        <v>1.9625</v>
      </c>
      <c r="D5999">
        <f>IFERROR(VLOOKUP($A5999,原始数据_收盘!$A$4:$G$3460,4,0),"")</f>
        <v>1.8325</v>
      </c>
      <c r="E5999">
        <f>IFERROR(VLOOKUP($A5999,原始数据_收盘!$A$4:$G$3460,5,0),"")</f>
        <v>1.965</v>
      </c>
      <c r="F5999">
        <f>IFERROR(VLOOKUP($A5999,原始数据_收盘!$A$4:$G$3460,6,0),"")</f>
        <v>1.8313</v>
      </c>
      <c r="G5999">
        <f>IFERROR(VLOOKUP($A5999,原始数据_收盘!$A$4:$G$3460,7,0),"")</f>
        <v>1.9638</v>
      </c>
      <c r="H5999">
        <f>IFERROR(VLOOKUP($A5999,原始数据_利率互换_FR007_1年!$A$6:$C$4395,2,0),"")</f>
        <v>1.8365</v>
      </c>
      <c r="I5999">
        <f>IFERROR(VLOOKUP($A5999,原始数据_利率互换_FR007_1年!$A$6:$C$4395,3,0),"")</f>
        <v>1.9685</v>
      </c>
    </row>
    <row r="6000" spans="1:9">
      <c r="A6000" s="6">
        <v>45493</v>
      </c>
      <c r="B6000" t="str">
        <f>IFERROR(VLOOKUP($A6000,原始数据_收盘!$A$4:$G$3460,2,0),"")</f>
        <v/>
      </c>
      <c r="C6000" t="str">
        <f>IFERROR(VLOOKUP($A6000,原始数据_收盘!$A$4:$G$3460,3,0),"")</f>
        <v/>
      </c>
      <c r="D6000" t="str">
        <f>IFERROR(VLOOKUP($A6000,原始数据_收盘!$A$4:$G$3460,4,0),"")</f>
        <v/>
      </c>
      <c r="E6000" t="str">
        <f>IFERROR(VLOOKUP($A6000,原始数据_收盘!$A$4:$G$3460,5,0),"")</f>
        <v/>
      </c>
      <c r="F6000" t="str">
        <f>IFERROR(VLOOKUP($A6000,原始数据_收盘!$A$4:$G$3460,6,0),"")</f>
        <v/>
      </c>
      <c r="G6000" t="str">
        <f>IFERROR(VLOOKUP($A6000,原始数据_收盘!$A$4:$G$3460,7,0),"")</f>
        <v/>
      </c>
      <c r="H6000" t="str">
        <f>IFERROR(VLOOKUP($A6000,原始数据_利率互换_FR007_1年!$A$6:$C$4395,2,0),"")</f>
        <v/>
      </c>
      <c r="I6000" t="str">
        <f>IFERROR(VLOOKUP($A6000,原始数据_利率互换_FR007_1年!$A$6:$C$4395,3,0),"")</f>
        <v/>
      </c>
    </row>
    <row r="6001" spans="1:9">
      <c r="A6001" s="6">
        <v>45494</v>
      </c>
      <c r="B6001" t="str">
        <f>IFERROR(VLOOKUP($A6001,原始数据_收盘!$A$4:$G$3460,2,0),"")</f>
        <v/>
      </c>
      <c r="C6001" t="str">
        <f>IFERROR(VLOOKUP($A6001,原始数据_收盘!$A$4:$G$3460,3,0),"")</f>
        <v/>
      </c>
      <c r="D6001" t="str">
        <f>IFERROR(VLOOKUP($A6001,原始数据_收盘!$A$4:$G$3460,4,0),"")</f>
        <v/>
      </c>
      <c r="E6001" t="str">
        <f>IFERROR(VLOOKUP($A6001,原始数据_收盘!$A$4:$G$3460,5,0),"")</f>
        <v/>
      </c>
      <c r="F6001" t="str">
        <f>IFERROR(VLOOKUP($A6001,原始数据_收盘!$A$4:$G$3460,6,0),"")</f>
        <v/>
      </c>
      <c r="G6001" t="str">
        <f>IFERROR(VLOOKUP($A6001,原始数据_收盘!$A$4:$G$3460,7,0),"")</f>
        <v/>
      </c>
      <c r="H6001" t="str">
        <f>IFERROR(VLOOKUP($A6001,原始数据_利率互换_FR007_1年!$A$6:$C$4395,2,0),"")</f>
        <v/>
      </c>
      <c r="I6001" t="str">
        <f>IFERROR(VLOOKUP($A6001,原始数据_利率互换_FR007_1年!$A$6:$C$4395,3,0),"")</f>
        <v/>
      </c>
    </row>
    <row r="6002" spans="1:9">
      <c r="A6002" s="6">
        <v>45495</v>
      </c>
      <c r="B6002">
        <f>IFERROR(VLOOKUP($A6002,原始数据_收盘!$A$4:$G$3460,2,0),"")</f>
        <v>1.7725</v>
      </c>
      <c r="C6002">
        <f>IFERROR(VLOOKUP($A6002,原始数据_收盘!$A$4:$G$3460,3,0),"")</f>
        <v>1.915</v>
      </c>
      <c r="D6002">
        <f>IFERROR(VLOOKUP($A6002,原始数据_收盘!$A$4:$G$3460,4,0),"")</f>
        <v>1.775</v>
      </c>
      <c r="E6002">
        <f>IFERROR(VLOOKUP($A6002,原始数据_收盘!$A$4:$G$3460,5,0),"")</f>
        <v>1.9175</v>
      </c>
      <c r="F6002">
        <f>IFERROR(VLOOKUP($A6002,原始数据_收盘!$A$4:$G$3460,6,0),"")</f>
        <v>1.7738</v>
      </c>
      <c r="G6002">
        <f>IFERROR(VLOOKUP($A6002,原始数据_收盘!$A$4:$G$3460,7,0),"")</f>
        <v>1.9163</v>
      </c>
      <c r="H6002">
        <f>IFERROR(VLOOKUP($A6002,原始数据_利率互换_FR007_1年!$A$6:$C$4395,2,0),"")</f>
        <v>1.7721</v>
      </c>
      <c r="I6002">
        <f>IFERROR(VLOOKUP($A6002,原始数据_利率互换_FR007_1年!$A$6:$C$4395,3,0),"")</f>
        <v>1.918</v>
      </c>
    </row>
    <row r="6003" spans="1:9">
      <c r="A6003" s="6">
        <v>45496</v>
      </c>
      <c r="B6003">
        <f>IFERROR(VLOOKUP($A6003,原始数据_收盘!$A$4:$G$3460,2,0),"")</f>
        <v>1.755</v>
      </c>
      <c r="C6003">
        <f>IFERROR(VLOOKUP($A6003,原始数据_收盘!$A$4:$G$3460,3,0),"")</f>
        <v>1.887</v>
      </c>
      <c r="D6003">
        <f>IFERROR(VLOOKUP($A6003,原始数据_收盘!$A$4:$G$3460,4,0),"")</f>
        <v>1.7575</v>
      </c>
      <c r="E6003">
        <f>IFERROR(VLOOKUP($A6003,原始数据_收盘!$A$4:$G$3460,5,0),"")</f>
        <v>1.89</v>
      </c>
      <c r="F6003">
        <f>IFERROR(VLOOKUP($A6003,原始数据_收盘!$A$4:$G$3460,6,0),"")</f>
        <v>1.7563</v>
      </c>
      <c r="G6003">
        <f>IFERROR(VLOOKUP($A6003,原始数据_收盘!$A$4:$G$3460,7,0),"")</f>
        <v>1.8885</v>
      </c>
      <c r="H6003">
        <f>IFERROR(VLOOKUP($A6003,原始数据_利率互换_FR007_1年!$A$6:$C$4395,2,0),"")</f>
        <v>1.7618</v>
      </c>
      <c r="I6003">
        <f>IFERROR(VLOOKUP($A6003,原始数据_利率互换_FR007_1年!$A$6:$C$4395,3,0),"")</f>
        <v>1.898</v>
      </c>
    </row>
    <row r="6004" spans="1:9">
      <c r="A6004" s="6">
        <v>45497</v>
      </c>
      <c r="B6004">
        <f>IFERROR(VLOOKUP($A6004,原始数据_收盘!$A$4:$G$3460,2,0),"")</f>
        <v>1.7575</v>
      </c>
      <c r="C6004">
        <f>IFERROR(VLOOKUP($A6004,原始数据_收盘!$A$4:$G$3460,3,0),"")</f>
        <v>1.8864</v>
      </c>
      <c r="D6004">
        <f>IFERROR(VLOOKUP($A6004,原始数据_收盘!$A$4:$G$3460,4,0),"")</f>
        <v>1.76</v>
      </c>
      <c r="E6004">
        <f>IFERROR(VLOOKUP($A6004,原始数据_收盘!$A$4:$G$3460,5,0),"")</f>
        <v>1.8889</v>
      </c>
      <c r="F6004">
        <f>IFERROR(VLOOKUP($A6004,原始数据_收盘!$A$4:$G$3460,6,0),"")</f>
        <v>1.7588</v>
      </c>
      <c r="G6004">
        <f>IFERROR(VLOOKUP($A6004,原始数据_收盘!$A$4:$G$3460,7,0),"")</f>
        <v>1.8877</v>
      </c>
      <c r="H6004">
        <f>IFERROR(VLOOKUP($A6004,原始数据_利率互换_FR007_1年!$A$6:$C$4395,2,0),"")</f>
        <v>1.7576</v>
      </c>
      <c r="I6004">
        <f>IFERROR(VLOOKUP($A6004,原始数据_利率互换_FR007_1年!$A$6:$C$4395,3,0),"")</f>
        <v>1.8902</v>
      </c>
    </row>
    <row r="6005" spans="1:9">
      <c r="A6005" s="6">
        <v>45498</v>
      </c>
      <c r="B6005">
        <f>IFERROR(VLOOKUP($A6005,原始数据_收盘!$A$4:$G$3460,2,0),"")</f>
        <v>1.7525</v>
      </c>
      <c r="C6005">
        <f>IFERROR(VLOOKUP($A6005,原始数据_收盘!$A$4:$G$3460,3,0),"")</f>
        <v>1.87</v>
      </c>
      <c r="D6005">
        <f>IFERROR(VLOOKUP($A6005,原始数据_收盘!$A$4:$G$3460,4,0),"")</f>
        <v>1.755</v>
      </c>
      <c r="E6005">
        <f>IFERROR(VLOOKUP($A6005,原始数据_收盘!$A$4:$G$3460,5,0),"")</f>
        <v>1.875</v>
      </c>
      <c r="F6005">
        <f>IFERROR(VLOOKUP($A6005,原始数据_收盘!$A$4:$G$3460,6,0),"")</f>
        <v>1.7538</v>
      </c>
      <c r="G6005">
        <f>IFERROR(VLOOKUP($A6005,原始数据_收盘!$A$4:$G$3460,7,0),"")</f>
        <v>1.8725</v>
      </c>
      <c r="H6005">
        <f>IFERROR(VLOOKUP($A6005,原始数据_利率互换_FR007_1年!$A$6:$C$4395,2,0),"")</f>
        <v>1.7528</v>
      </c>
      <c r="I6005">
        <f>IFERROR(VLOOKUP($A6005,原始数据_利率互换_FR007_1年!$A$6:$C$4395,3,0),"")</f>
        <v>1.8689</v>
      </c>
    </row>
    <row r="6006" spans="1:9">
      <c r="A6006" s="6">
        <v>45499</v>
      </c>
      <c r="B6006">
        <f>IFERROR(VLOOKUP($A6006,原始数据_收盘!$A$4:$G$3460,2,0),"")</f>
        <v>1.7545</v>
      </c>
      <c r="C6006">
        <f>IFERROR(VLOOKUP($A6006,原始数据_收盘!$A$4:$G$3460,3,0),"")</f>
        <v>1.8725</v>
      </c>
      <c r="D6006">
        <f>IFERROR(VLOOKUP($A6006,原始数据_收盘!$A$4:$G$3460,4,0),"")</f>
        <v>1.7575</v>
      </c>
      <c r="E6006">
        <f>IFERROR(VLOOKUP($A6006,原始数据_收盘!$A$4:$G$3460,5,0),"")</f>
        <v>1.875</v>
      </c>
      <c r="F6006">
        <f>IFERROR(VLOOKUP($A6006,原始数据_收盘!$A$4:$G$3460,6,0),"")</f>
        <v>1.756</v>
      </c>
      <c r="G6006">
        <f>IFERROR(VLOOKUP($A6006,原始数据_收盘!$A$4:$G$3460,7,0),"")</f>
        <v>1.8738</v>
      </c>
      <c r="H6006">
        <f>IFERROR(VLOOKUP($A6006,原始数据_利率互换_FR007_1年!$A$6:$C$4395,2,0),"")</f>
        <v>1.751</v>
      </c>
      <c r="I6006">
        <f>IFERROR(VLOOKUP($A6006,原始数据_利率互换_FR007_1年!$A$6:$C$4395,3,0),"")</f>
        <v>1.8687</v>
      </c>
    </row>
    <row r="6007" spans="1:9">
      <c r="A6007" s="6">
        <v>45500</v>
      </c>
      <c r="B6007" t="str">
        <f>IFERROR(VLOOKUP($A6007,原始数据_收盘!$A$4:$G$3460,2,0),"")</f>
        <v/>
      </c>
      <c r="C6007" t="str">
        <f>IFERROR(VLOOKUP($A6007,原始数据_收盘!$A$4:$G$3460,3,0),"")</f>
        <v/>
      </c>
      <c r="D6007" t="str">
        <f>IFERROR(VLOOKUP($A6007,原始数据_收盘!$A$4:$G$3460,4,0),"")</f>
        <v/>
      </c>
      <c r="E6007" t="str">
        <f>IFERROR(VLOOKUP($A6007,原始数据_收盘!$A$4:$G$3460,5,0),"")</f>
        <v/>
      </c>
      <c r="F6007" t="str">
        <f>IFERROR(VLOOKUP($A6007,原始数据_收盘!$A$4:$G$3460,6,0),"")</f>
        <v/>
      </c>
      <c r="G6007" t="str">
        <f>IFERROR(VLOOKUP($A6007,原始数据_收盘!$A$4:$G$3460,7,0),"")</f>
        <v/>
      </c>
      <c r="H6007" t="str">
        <f>IFERROR(VLOOKUP($A6007,原始数据_利率互换_FR007_1年!$A$6:$C$4395,2,0),"")</f>
        <v/>
      </c>
      <c r="I6007" t="str">
        <f>IFERROR(VLOOKUP($A6007,原始数据_利率互换_FR007_1年!$A$6:$C$4395,3,0),"")</f>
        <v/>
      </c>
    </row>
    <row r="6008" spans="1:9">
      <c r="A6008" s="6">
        <v>45501</v>
      </c>
      <c r="B6008" t="str">
        <f>IFERROR(VLOOKUP($A6008,原始数据_收盘!$A$4:$G$3460,2,0),"")</f>
        <v/>
      </c>
      <c r="C6008" t="str">
        <f>IFERROR(VLOOKUP($A6008,原始数据_收盘!$A$4:$G$3460,3,0),"")</f>
        <v/>
      </c>
      <c r="D6008" t="str">
        <f>IFERROR(VLOOKUP($A6008,原始数据_收盘!$A$4:$G$3460,4,0),"")</f>
        <v/>
      </c>
      <c r="E6008" t="str">
        <f>IFERROR(VLOOKUP($A6008,原始数据_收盘!$A$4:$G$3460,5,0),"")</f>
        <v/>
      </c>
      <c r="F6008" t="str">
        <f>IFERROR(VLOOKUP($A6008,原始数据_收盘!$A$4:$G$3460,6,0),"")</f>
        <v/>
      </c>
      <c r="G6008" t="str">
        <f>IFERROR(VLOOKUP($A6008,原始数据_收盘!$A$4:$G$3460,7,0),"")</f>
        <v/>
      </c>
      <c r="H6008" t="str">
        <f>IFERROR(VLOOKUP($A6008,原始数据_利率互换_FR007_1年!$A$6:$C$4395,2,0),"")</f>
        <v/>
      </c>
      <c r="I6008" t="str">
        <f>IFERROR(VLOOKUP($A6008,原始数据_利率互换_FR007_1年!$A$6:$C$4395,3,0),"")</f>
        <v/>
      </c>
    </row>
    <row r="6009" spans="1:9">
      <c r="A6009" s="6">
        <v>45502</v>
      </c>
      <c r="B6009">
        <f>IFERROR(VLOOKUP($A6009,原始数据_收盘!$A$4:$G$3460,2,0),"")</f>
        <v>1.7471</v>
      </c>
      <c r="C6009">
        <f>IFERROR(VLOOKUP($A6009,原始数据_收盘!$A$4:$G$3460,3,0),"")</f>
        <v>1.8625</v>
      </c>
      <c r="D6009">
        <f>IFERROR(VLOOKUP($A6009,原始数据_收盘!$A$4:$G$3460,4,0),"")</f>
        <v>1.75</v>
      </c>
      <c r="E6009">
        <f>IFERROR(VLOOKUP($A6009,原始数据_收盘!$A$4:$G$3460,5,0),"")</f>
        <v>1.865</v>
      </c>
      <c r="F6009">
        <f>IFERROR(VLOOKUP($A6009,原始数据_收盘!$A$4:$G$3460,6,0),"")</f>
        <v>1.7485</v>
      </c>
      <c r="G6009">
        <f>IFERROR(VLOOKUP($A6009,原始数据_收盘!$A$4:$G$3460,7,0),"")</f>
        <v>1.8638</v>
      </c>
      <c r="H6009">
        <f>IFERROR(VLOOKUP($A6009,原始数据_利率互换_FR007_1年!$A$6:$C$4395,2,0),"")</f>
        <v>1.7502</v>
      </c>
      <c r="I6009">
        <f>IFERROR(VLOOKUP($A6009,原始数据_利率互换_FR007_1年!$A$6:$C$4395,3,0),"")</f>
        <v>1.8661</v>
      </c>
    </row>
    <row r="6010" spans="1:9">
      <c r="A6010" s="6">
        <v>45503</v>
      </c>
      <c r="B6010">
        <f>IFERROR(VLOOKUP($A6010,原始数据_收盘!$A$4:$G$3460,2,0),"")</f>
        <v>1.735</v>
      </c>
      <c r="C6010">
        <f>IFERROR(VLOOKUP($A6010,原始数据_收盘!$A$4:$G$3460,3,0),"")</f>
        <v>1.8525</v>
      </c>
      <c r="D6010">
        <f>IFERROR(VLOOKUP($A6010,原始数据_收盘!$A$4:$G$3460,4,0),"")</f>
        <v>1.7375</v>
      </c>
      <c r="E6010">
        <f>IFERROR(VLOOKUP($A6010,原始数据_收盘!$A$4:$G$3460,5,0),"")</f>
        <v>1.855</v>
      </c>
      <c r="F6010">
        <f>IFERROR(VLOOKUP($A6010,原始数据_收盘!$A$4:$G$3460,6,0),"")</f>
        <v>1.7363</v>
      </c>
      <c r="G6010">
        <f>IFERROR(VLOOKUP($A6010,原始数据_收盘!$A$4:$G$3460,7,0),"")</f>
        <v>1.8538</v>
      </c>
      <c r="H6010">
        <f>IFERROR(VLOOKUP($A6010,原始数据_利率互换_FR007_1年!$A$6:$C$4395,2,0),"")</f>
        <v>1.7399</v>
      </c>
      <c r="I6010">
        <f>IFERROR(VLOOKUP($A6010,原始数据_利率互换_FR007_1年!$A$6:$C$4395,3,0),"")</f>
        <v>1.8586</v>
      </c>
    </row>
    <row r="6011" spans="1:9">
      <c r="A6011" s="6">
        <v>45504</v>
      </c>
      <c r="B6011">
        <f>IFERROR(VLOOKUP($A6011,原始数据_收盘!$A$4:$G$3460,2,0),"")</f>
        <v>1.72</v>
      </c>
      <c r="C6011">
        <f>IFERROR(VLOOKUP($A6011,原始数据_收盘!$A$4:$G$3460,3,0),"")</f>
        <v>1.835</v>
      </c>
      <c r="D6011">
        <f>IFERROR(VLOOKUP($A6011,原始数据_收盘!$A$4:$G$3460,4,0),"")</f>
        <v>1.7225</v>
      </c>
      <c r="E6011">
        <f>IFERROR(VLOOKUP($A6011,原始数据_收盘!$A$4:$G$3460,5,0),"")</f>
        <v>1.8375</v>
      </c>
      <c r="F6011">
        <f>IFERROR(VLOOKUP($A6011,原始数据_收盘!$A$4:$G$3460,6,0),"")</f>
        <v>1.7213</v>
      </c>
      <c r="G6011">
        <f>IFERROR(VLOOKUP($A6011,原始数据_收盘!$A$4:$G$3460,7,0),"")</f>
        <v>1.8363</v>
      </c>
      <c r="H6011">
        <f>IFERROR(VLOOKUP($A6011,原始数据_利率互换_FR007_1年!$A$6:$C$4395,2,0),"")</f>
        <v>1.7185</v>
      </c>
      <c r="I6011">
        <f>IFERROR(VLOOKUP($A6011,原始数据_利率互换_FR007_1年!$A$6:$C$4395,3,0),"")</f>
        <v>1.837</v>
      </c>
    </row>
    <row r="6012" spans="1:9">
      <c r="A6012" s="6">
        <v>45505</v>
      </c>
      <c r="B6012">
        <f>IFERROR(VLOOKUP($A6012,原始数据_收盘!$A$4:$G$3460,2,0),"")</f>
        <v>1.72</v>
      </c>
      <c r="C6012">
        <f>IFERROR(VLOOKUP($A6012,原始数据_收盘!$A$4:$G$3460,3,0),"")</f>
        <v>1.825</v>
      </c>
      <c r="D6012">
        <f>IFERROR(VLOOKUP($A6012,原始数据_收盘!$A$4:$G$3460,4,0),"")</f>
        <v>1.7225</v>
      </c>
      <c r="E6012">
        <f>IFERROR(VLOOKUP($A6012,原始数据_收盘!$A$4:$G$3460,5,0),"")</f>
        <v>1.8275</v>
      </c>
      <c r="F6012">
        <f>IFERROR(VLOOKUP($A6012,原始数据_收盘!$A$4:$G$3460,6,0),"")</f>
        <v>1.7213</v>
      </c>
      <c r="G6012">
        <f>IFERROR(VLOOKUP($A6012,原始数据_收盘!$A$4:$G$3460,7,0),"")</f>
        <v>1.8263</v>
      </c>
      <c r="H6012">
        <f>IFERROR(VLOOKUP($A6012,原始数据_利率互换_FR007_1年!$A$6:$C$4395,2,0),"")</f>
        <v>1.7188</v>
      </c>
      <c r="I6012">
        <f>IFERROR(VLOOKUP($A6012,原始数据_利率互换_FR007_1年!$A$6:$C$4395,3,0),"")</f>
        <v>1.8282</v>
      </c>
    </row>
    <row r="6013" spans="1:9">
      <c r="A6013" s="6">
        <v>45506</v>
      </c>
      <c r="B6013">
        <f>IFERROR(VLOOKUP($A6013,原始数据_收盘!$A$4:$G$3460,2,0),"")</f>
        <v>1.7125</v>
      </c>
      <c r="C6013">
        <f>IFERROR(VLOOKUP($A6013,原始数据_收盘!$A$4:$G$3460,3,0),"")</f>
        <v>1.815</v>
      </c>
      <c r="D6013">
        <f>IFERROR(VLOOKUP($A6013,原始数据_收盘!$A$4:$G$3460,4,0),"")</f>
        <v>1.7175</v>
      </c>
      <c r="E6013">
        <f>IFERROR(VLOOKUP($A6013,原始数据_收盘!$A$4:$G$3460,5,0),"")</f>
        <v>1.8175</v>
      </c>
      <c r="F6013">
        <f>IFERROR(VLOOKUP($A6013,原始数据_收盘!$A$4:$G$3460,6,0),"")</f>
        <v>1.715</v>
      </c>
      <c r="G6013">
        <f>IFERROR(VLOOKUP($A6013,原始数据_收盘!$A$4:$G$3460,7,0),"")</f>
        <v>1.8163</v>
      </c>
      <c r="H6013">
        <f>IFERROR(VLOOKUP($A6013,原始数据_利率互换_FR007_1年!$A$6:$C$4395,2,0),"")</f>
        <v>1.7135</v>
      </c>
      <c r="I6013">
        <f>IFERROR(VLOOKUP($A6013,原始数据_利率互换_FR007_1年!$A$6:$C$4395,3,0),"")</f>
        <v>1.8193</v>
      </c>
    </row>
    <row r="6014" spans="1:9">
      <c r="A6014" s="6">
        <v>45507</v>
      </c>
      <c r="B6014" t="str">
        <f>IFERROR(VLOOKUP($A6014,原始数据_收盘!$A$4:$G$3460,2,0),"")</f>
        <v/>
      </c>
      <c r="C6014" t="str">
        <f>IFERROR(VLOOKUP($A6014,原始数据_收盘!$A$4:$G$3460,3,0),"")</f>
        <v/>
      </c>
      <c r="D6014" t="str">
        <f>IFERROR(VLOOKUP($A6014,原始数据_收盘!$A$4:$G$3460,4,0),"")</f>
        <v/>
      </c>
      <c r="E6014" t="str">
        <f>IFERROR(VLOOKUP($A6014,原始数据_收盘!$A$4:$G$3460,5,0),"")</f>
        <v/>
      </c>
      <c r="F6014" t="str">
        <f>IFERROR(VLOOKUP($A6014,原始数据_收盘!$A$4:$G$3460,6,0),"")</f>
        <v/>
      </c>
      <c r="G6014" t="str">
        <f>IFERROR(VLOOKUP($A6014,原始数据_收盘!$A$4:$G$3460,7,0),"")</f>
        <v/>
      </c>
      <c r="H6014" t="str">
        <f>IFERROR(VLOOKUP($A6014,原始数据_利率互换_FR007_1年!$A$6:$C$4395,2,0),"")</f>
        <v/>
      </c>
      <c r="I6014" t="str">
        <f>IFERROR(VLOOKUP($A6014,原始数据_利率互换_FR007_1年!$A$6:$C$4395,3,0),"")</f>
        <v/>
      </c>
    </row>
    <row r="6015" spans="1:9">
      <c r="A6015" s="6">
        <v>45508</v>
      </c>
      <c r="B6015" t="str">
        <f>IFERROR(VLOOKUP($A6015,原始数据_收盘!$A$4:$G$3460,2,0),"")</f>
        <v/>
      </c>
      <c r="C6015" t="str">
        <f>IFERROR(VLOOKUP($A6015,原始数据_收盘!$A$4:$G$3460,3,0),"")</f>
        <v/>
      </c>
      <c r="D6015" t="str">
        <f>IFERROR(VLOOKUP($A6015,原始数据_收盘!$A$4:$G$3460,4,0),"")</f>
        <v/>
      </c>
      <c r="E6015" t="str">
        <f>IFERROR(VLOOKUP($A6015,原始数据_收盘!$A$4:$G$3460,5,0),"")</f>
        <v/>
      </c>
      <c r="F6015" t="str">
        <f>IFERROR(VLOOKUP($A6015,原始数据_收盘!$A$4:$G$3460,6,0),"")</f>
        <v/>
      </c>
      <c r="G6015" t="str">
        <f>IFERROR(VLOOKUP($A6015,原始数据_收盘!$A$4:$G$3460,7,0),"")</f>
        <v/>
      </c>
      <c r="H6015" t="str">
        <f>IFERROR(VLOOKUP($A6015,原始数据_利率互换_FR007_1年!$A$6:$C$4395,2,0),"")</f>
        <v/>
      </c>
      <c r="I6015" t="str">
        <f>IFERROR(VLOOKUP($A6015,原始数据_利率互换_FR007_1年!$A$6:$C$4395,3,0),"")</f>
        <v/>
      </c>
    </row>
    <row r="6016" spans="1:9">
      <c r="A6016" s="6">
        <v>45509</v>
      </c>
      <c r="B6016">
        <f>IFERROR(VLOOKUP($A6016,原始数据_收盘!$A$4:$G$3460,2,0),"")</f>
        <v>1.7124</v>
      </c>
      <c r="C6016">
        <f>IFERROR(VLOOKUP($A6016,原始数据_收盘!$A$4:$G$3460,3,0),"")</f>
        <v>1.81</v>
      </c>
      <c r="D6016">
        <f>IFERROR(VLOOKUP($A6016,原始数据_收盘!$A$4:$G$3460,4,0),"")</f>
        <v>1.715</v>
      </c>
      <c r="E6016">
        <f>IFERROR(VLOOKUP($A6016,原始数据_收盘!$A$4:$G$3460,5,0),"")</f>
        <v>1.8125</v>
      </c>
      <c r="F6016">
        <f>IFERROR(VLOOKUP($A6016,原始数据_收盘!$A$4:$G$3460,6,0),"")</f>
        <v>1.7137</v>
      </c>
      <c r="G6016">
        <f>IFERROR(VLOOKUP($A6016,原始数据_收盘!$A$4:$G$3460,7,0),"")</f>
        <v>1.8113</v>
      </c>
      <c r="H6016">
        <f>IFERROR(VLOOKUP($A6016,原始数据_利率互换_FR007_1年!$A$6:$C$4395,2,0),"")</f>
        <v>1.7122</v>
      </c>
      <c r="I6016">
        <f>IFERROR(VLOOKUP($A6016,原始数据_利率互换_FR007_1年!$A$6:$C$4395,3,0),"")</f>
        <v>1.8077</v>
      </c>
    </row>
    <row r="6017" spans="1:9">
      <c r="A6017" s="6">
        <v>45510</v>
      </c>
      <c r="B6017">
        <f>IFERROR(VLOOKUP($A6017,原始数据_收盘!$A$4:$G$3460,2,0),"")</f>
        <v>1.72</v>
      </c>
      <c r="C6017">
        <f>IFERROR(VLOOKUP($A6017,原始数据_收盘!$A$4:$G$3460,3,0),"")</f>
        <v>1.8284</v>
      </c>
      <c r="D6017">
        <f>IFERROR(VLOOKUP($A6017,原始数据_收盘!$A$4:$G$3460,4,0),"")</f>
        <v>1.725</v>
      </c>
      <c r="E6017">
        <f>IFERROR(VLOOKUP($A6017,原始数据_收盘!$A$4:$G$3460,5,0),"")</f>
        <v>1.8316</v>
      </c>
      <c r="F6017">
        <f>IFERROR(VLOOKUP($A6017,原始数据_收盘!$A$4:$G$3460,6,0),"")</f>
        <v>1.7225</v>
      </c>
      <c r="G6017">
        <f>IFERROR(VLOOKUP($A6017,原始数据_收盘!$A$4:$G$3460,7,0),"")</f>
        <v>1.83</v>
      </c>
      <c r="H6017">
        <f>IFERROR(VLOOKUP($A6017,原始数据_利率互换_FR007_1年!$A$6:$C$4395,2,0),"")</f>
        <v>1.7265</v>
      </c>
      <c r="I6017">
        <f>IFERROR(VLOOKUP($A6017,原始数据_利率互换_FR007_1年!$A$6:$C$4395,3,0),"")</f>
        <v>1.835</v>
      </c>
    </row>
    <row r="6018" spans="1:9">
      <c r="A6018" s="6">
        <v>45511</v>
      </c>
      <c r="B6018">
        <f>IFERROR(VLOOKUP($A6018,原始数据_收盘!$A$4:$G$3460,2,0),"")</f>
        <v>1.7225</v>
      </c>
      <c r="C6018">
        <f>IFERROR(VLOOKUP($A6018,原始数据_收盘!$A$4:$G$3460,3,0),"")</f>
        <v>1.8175</v>
      </c>
      <c r="D6018">
        <f>IFERROR(VLOOKUP($A6018,原始数据_收盘!$A$4:$G$3460,4,0),"")</f>
        <v>1.725</v>
      </c>
      <c r="E6018">
        <f>IFERROR(VLOOKUP($A6018,原始数据_收盘!$A$4:$G$3460,5,0),"")</f>
        <v>1.82</v>
      </c>
      <c r="F6018">
        <f>IFERROR(VLOOKUP($A6018,原始数据_收盘!$A$4:$G$3460,6,0),"")</f>
        <v>1.7238</v>
      </c>
      <c r="G6018">
        <f>IFERROR(VLOOKUP($A6018,原始数据_收盘!$A$4:$G$3460,7,0),"")</f>
        <v>1.8188</v>
      </c>
      <c r="H6018">
        <f>IFERROR(VLOOKUP($A6018,原始数据_利率互换_FR007_1年!$A$6:$C$4395,2,0),"")</f>
        <v>1.7242</v>
      </c>
      <c r="I6018">
        <f>IFERROR(VLOOKUP($A6018,原始数据_利率互换_FR007_1年!$A$6:$C$4395,3,0),"")</f>
        <v>1.8221</v>
      </c>
    </row>
    <row r="6019" spans="1:9">
      <c r="A6019" s="6">
        <v>45512</v>
      </c>
      <c r="B6019">
        <f>IFERROR(VLOOKUP($A6019,原始数据_收盘!$A$4:$G$3460,2,0),"")</f>
        <v>1.7425</v>
      </c>
      <c r="C6019">
        <f>IFERROR(VLOOKUP($A6019,原始数据_收盘!$A$4:$G$3460,3,0),"")</f>
        <v>1.8475</v>
      </c>
      <c r="D6019">
        <f>IFERROR(VLOOKUP($A6019,原始数据_收盘!$A$4:$G$3460,4,0),"")</f>
        <v>1.745</v>
      </c>
      <c r="E6019">
        <f>IFERROR(VLOOKUP($A6019,原始数据_收盘!$A$4:$G$3460,5,0),"")</f>
        <v>1.85</v>
      </c>
      <c r="F6019">
        <f>IFERROR(VLOOKUP($A6019,原始数据_收盘!$A$4:$G$3460,6,0),"")</f>
        <v>1.7438</v>
      </c>
      <c r="G6019">
        <f>IFERROR(VLOOKUP($A6019,原始数据_收盘!$A$4:$G$3460,7,0),"")</f>
        <v>1.8488</v>
      </c>
      <c r="H6019">
        <f>IFERROR(VLOOKUP($A6019,原始数据_利率互换_FR007_1年!$A$6:$C$4395,2,0),"")</f>
        <v>1.743</v>
      </c>
      <c r="I6019">
        <f>IFERROR(VLOOKUP($A6019,原始数据_利率互换_FR007_1年!$A$6:$C$4395,3,0),"")</f>
        <v>1.848</v>
      </c>
    </row>
    <row r="6020" spans="1:9">
      <c r="A6020" s="6">
        <v>45513</v>
      </c>
      <c r="B6020">
        <f>IFERROR(VLOOKUP($A6020,原始数据_收盘!$A$4:$G$3460,2,0),"")</f>
        <v>1.76</v>
      </c>
      <c r="C6020">
        <f>IFERROR(VLOOKUP($A6020,原始数据_收盘!$A$4:$G$3460,3,0),"")</f>
        <v>1.865</v>
      </c>
      <c r="D6020">
        <f>IFERROR(VLOOKUP($A6020,原始数据_收盘!$A$4:$G$3460,4,0),"")</f>
        <v>1.7647</v>
      </c>
      <c r="E6020">
        <f>IFERROR(VLOOKUP($A6020,原始数据_收盘!$A$4:$G$3460,5,0),"")</f>
        <v>1.8675</v>
      </c>
      <c r="F6020">
        <f>IFERROR(VLOOKUP($A6020,原始数据_收盘!$A$4:$G$3460,6,0),"")</f>
        <v>1.7623</v>
      </c>
      <c r="G6020">
        <f>IFERROR(VLOOKUP($A6020,原始数据_收盘!$A$4:$G$3460,7,0),"")</f>
        <v>1.8663</v>
      </c>
      <c r="H6020">
        <f>IFERROR(VLOOKUP($A6020,原始数据_利率互换_FR007_1年!$A$6:$C$4395,2,0),"")</f>
        <v>1.7574</v>
      </c>
      <c r="I6020">
        <f>IFERROR(VLOOKUP($A6020,原始数据_利率互换_FR007_1年!$A$6:$C$4395,3,0),"")</f>
        <v>1.8676</v>
      </c>
    </row>
    <row r="6021" spans="1:9">
      <c r="A6021" s="6">
        <v>45514</v>
      </c>
      <c r="B6021" t="str">
        <f>IFERROR(VLOOKUP($A6021,原始数据_收盘!$A$4:$G$3460,2,0),"")</f>
        <v/>
      </c>
      <c r="C6021" t="str">
        <f>IFERROR(VLOOKUP($A6021,原始数据_收盘!$A$4:$G$3460,3,0),"")</f>
        <v/>
      </c>
      <c r="D6021" t="str">
        <f>IFERROR(VLOOKUP($A6021,原始数据_收盘!$A$4:$G$3460,4,0),"")</f>
        <v/>
      </c>
      <c r="E6021" t="str">
        <f>IFERROR(VLOOKUP($A6021,原始数据_收盘!$A$4:$G$3460,5,0),"")</f>
        <v/>
      </c>
      <c r="F6021" t="str">
        <f>IFERROR(VLOOKUP($A6021,原始数据_收盘!$A$4:$G$3460,6,0),"")</f>
        <v/>
      </c>
      <c r="G6021" t="str">
        <f>IFERROR(VLOOKUP($A6021,原始数据_收盘!$A$4:$G$3460,7,0),"")</f>
        <v/>
      </c>
      <c r="H6021" t="str">
        <f>IFERROR(VLOOKUP($A6021,原始数据_利率互换_FR007_1年!$A$6:$C$4395,2,0),"")</f>
        <v/>
      </c>
      <c r="I6021" t="str">
        <f>IFERROR(VLOOKUP($A6021,原始数据_利率互换_FR007_1年!$A$6:$C$4395,3,0),"")</f>
        <v/>
      </c>
    </row>
    <row r="6022" spans="1:9">
      <c r="A6022" s="6">
        <v>45515</v>
      </c>
      <c r="B6022" t="str">
        <f>IFERROR(VLOOKUP($A6022,原始数据_收盘!$A$4:$G$3460,2,0),"")</f>
        <v/>
      </c>
      <c r="C6022" t="str">
        <f>IFERROR(VLOOKUP($A6022,原始数据_收盘!$A$4:$G$3460,3,0),"")</f>
        <v/>
      </c>
      <c r="D6022" t="str">
        <f>IFERROR(VLOOKUP($A6022,原始数据_收盘!$A$4:$G$3460,4,0),"")</f>
        <v/>
      </c>
      <c r="E6022" t="str">
        <f>IFERROR(VLOOKUP($A6022,原始数据_收盘!$A$4:$G$3460,5,0),"")</f>
        <v/>
      </c>
      <c r="F6022" t="str">
        <f>IFERROR(VLOOKUP($A6022,原始数据_收盘!$A$4:$G$3460,6,0),"")</f>
        <v/>
      </c>
      <c r="G6022" t="str">
        <f>IFERROR(VLOOKUP($A6022,原始数据_收盘!$A$4:$G$3460,7,0),"")</f>
        <v/>
      </c>
      <c r="H6022" t="str">
        <f>IFERROR(VLOOKUP($A6022,原始数据_利率互换_FR007_1年!$A$6:$C$4395,2,0),"")</f>
        <v/>
      </c>
      <c r="I6022" t="str">
        <f>IFERROR(VLOOKUP($A6022,原始数据_利率互换_FR007_1年!$A$6:$C$4395,3,0),"")</f>
        <v/>
      </c>
    </row>
    <row r="6023" spans="1:9">
      <c r="A6023" s="6">
        <v>45516</v>
      </c>
      <c r="B6023">
        <f>IFERROR(VLOOKUP($A6023,原始数据_收盘!$A$4:$G$3460,2,0),"")</f>
        <v>1.7939</v>
      </c>
      <c r="C6023">
        <f>IFERROR(VLOOKUP($A6023,原始数据_收盘!$A$4:$G$3460,3,0),"")</f>
        <v>1.9036</v>
      </c>
      <c r="D6023">
        <f>IFERROR(VLOOKUP($A6023,原始数据_收盘!$A$4:$G$3460,4,0),"")</f>
        <v>1.7964</v>
      </c>
      <c r="E6023">
        <f>IFERROR(VLOOKUP($A6023,原始数据_收盘!$A$4:$G$3460,5,0),"")</f>
        <v>1.9066</v>
      </c>
      <c r="F6023">
        <f>IFERROR(VLOOKUP($A6023,原始数据_收盘!$A$4:$G$3460,6,0),"")</f>
        <v>1.7952</v>
      </c>
      <c r="G6023">
        <f>IFERROR(VLOOKUP($A6023,原始数据_收盘!$A$4:$G$3460,7,0),"")</f>
        <v>1.9051</v>
      </c>
      <c r="H6023">
        <f>IFERROR(VLOOKUP($A6023,原始数据_利率互换_FR007_1年!$A$6:$C$4395,2,0),"")</f>
        <v>1.7911</v>
      </c>
      <c r="I6023">
        <f>IFERROR(VLOOKUP($A6023,原始数据_利率互换_FR007_1年!$A$6:$C$4395,3,0),"")</f>
        <v>1.9009</v>
      </c>
    </row>
    <row r="6024" spans="1:9">
      <c r="A6024" s="6">
        <v>45517</v>
      </c>
      <c r="B6024">
        <f>IFERROR(VLOOKUP($A6024,原始数据_收盘!$A$4:$G$3460,2,0),"")</f>
        <v>1.755</v>
      </c>
      <c r="C6024">
        <f>IFERROR(VLOOKUP($A6024,原始数据_收盘!$A$4:$G$3460,3,0),"")</f>
        <v>1.8467</v>
      </c>
      <c r="D6024">
        <f>IFERROR(VLOOKUP($A6024,原始数据_收盘!$A$4:$G$3460,4,0),"")</f>
        <v>1.76</v>
      </c>
      <c r="E6024">
        <f>IFERROR(VLOOKUP($A6024,原始数据_收盘!$A$4:$G$3460,5,0),"")</f>
        <v>1.8494</v>
      </c>
      <c r="F6024">
        <f>IFERROR(VLOOKUP($A6024,原始数据_收盘!$A$4:$G$3460,6,0),"")</f>
        <v>1.7575</v>
      </c>
      <c r="G6024">
        <f>IFERROR(VLOOKUP($A6024,原始数据_收盘!$A$4:$G$3460,7,0),"")</f>
        <v>1.8481</v>
      </c>
      <c r="H6024">
        <f>IFERROR(VLOOKUP($A6024,原始数据_利率互换_FR007_1年!$A$6:$C$4395,2,0),"")</f>
        <v>1.7678</v>
      </c>
      <c r="I6024">
        <f>IFERROR(VLOOKUP($A6024,原始数据_利率互换_FR007_1年!$A$6:$C$4395,3,0),"")</f>
        <v>1.866</v>
      </c>
    </row>
    <row r="6025" spans="1:9">
      <c r="A6025" s="6">
        <v>45518</v>
      </c>
      <c r="B6025">
        <f>IFERROR(VLOOKUP($A6025,原始数据_收盘!$A$4:$G$3460,2,0),"")</f>
        <v>1.7488</v>
      </c>
      <c r="C6025">
        <f>IFERROR(VLOOKUP($A6025,原始数据_收盘!$A$4:$G$3460,3,0),"")</f>
        <v>1.84</v>
      </c>
      <c r="D6025">
        <f>IFERROR(VLOOKUP($A6025,原始数据_收盘!$A$4:$G$3460,4,0),"")</f>
        <v>1.7513</v>
      </c>
      <c r="E6025">
        <f>IFERROR(VLOOKUP($A6025,原始数据_收盘!$A$4:$G$3460,5,0),"")</f>
        <v>1.8421</v>
      </c>
      <c r="F6025">
        <f>IFERROR(VLOOKUP($A6025,原始数据_收盘!$A$4:$G$3460,6,0),"")</f>
        <v>1.75</v>
      </c>
      <c r="G6025">
        <f>IFERROR(VLOOKUP($A6025,原始数据_收盘!$A$4:$G$3460,7,0),"")</f>
        <v>1.841</v>
      </c>
      <c r="H6025">
        <f>IFERROR(VLOOKUP($A6025,原始数据_利率互换_FR007_1年!$A$6:$C$4395,2,0),"")</f>
        <v>1.7389</v>
      </c>
      <c r="I6025">
        <f>IFERROR(VLOOKUP($A6025,原始数据_利率互换_FR007_1年!$A$6:$C$4395,3,0),"")</f>
        <v>1.8304</v>
      </c>
    </row>
    <row r="6026" spans="1:9">
      <c r="A6026" s="6">
        <v>45519</v>
      </c>
      <c r="B6026">
        <f>IFERROR(VLOOKUP($A6026,原始数据_收盘!$A$4:$G$3460,2,0),"")</f>
        <v>1.7575</v>
      </c>
      <c r="C6026">
        <f>IFERROR(VLOOKUP($A6026,原始数据_收盘!$A$4:$G$3460,3,0),"")</f>
        <v>1.8455</v>
      </c>
      <c r="D6026">
        <f>IFERROR(VLOOKUP($A6026,原始数据_收盘!$A$4:$G$3460,4,0),"")</f>
        <v>1.76</v>
      </c>
      <c r="E6026">
        <f>IFERROR(VLOOKUP($A6026,原始数据_收盘!$A$4:$G$3460,5,0),"")</f>
        <v>1.8482</v>
      </c>
      <c r="F6026">
        <f>IFERROR(VLOOKUP($A6026,原始数据_收盘!$A$4:$G$3460,6,0),"")</f>
        <v>1.7588</v>
      </c>
      <c r="G6026">
        <f>IFERROR(VLOOKUP($A6026,原始数据_收盘!$A$4:$G$3460,7,0),"")</f>
        <v>1.8469</v>
      </c>
      <c r="H6026">
        <f>IFERROR(VLOOKUP($A6026,原始数据_利率互换_FR007_1年!$A$6:$C$4395,2,0),"")</f>
        <v>1.7524</v>
      </c>
      <c r="I6026">
        <f>IFERROR(VLOOKUP($A6026,原始数据_利率互换_FR007_1年!$A$6:$C$4395,3,0),"")</f>
        <v>1.8393</v>
      </c>
    </row>
    <row r="6027" spans="1:9">
      <c r="A6027" s="6">
        <v>45520</v>
      </c>
      <c r="B6027">
        <f>IFERROR(VLOOKUP($A6027,原始数据_收盘!$A$4:$G$3460,2,0),"")</f>
        <v>1.7575</v>
      </c>
      <c r="C6027">
        <f>IFERROR(VLOOKUP($A6027,原始数据_收盘!$A$4:$G$3460,3,0),"")</f>
        <v>1.8425</v>
      </c>
      <c r="D6027">
        <f>IFERROR(VLOOKUP($A6027,原始数据_收盘!$A$4:$G$3460,4,0),"")</f>
        <v>1.76</v>
      </c>
      <c r="E6027">
        <f>IFERROR(VLOOKUP($A6027,原始数据_收盘!$A$4:$G$3460,5,0),"")</f>
        <v>1.845</v>
      </c>
      <c r="F6027">
        <f>IFERROR(VLOOKUP($A6027,原始数据_收盘!$A$4:$G$3460,6,0),"")</f>
        <v>1.7588</v>
      </c>
      <c r="G6027">
        <f>IFERROR(VLOOKUP($A6027,原始数据_收盘!$A$4:$G$3460,7,0),"")</f>
        <v>1.8438</v>
      </c>
      <c r="H6027">
        <f>IFERROR(VLOOKUP($A6027,原始数据_利率互换_FR007_1年!$A$6:$C$4395,2,0),"")</f>
        <v>1.75</v>
      </c>
      <c r="I6027">
        <f>IFERROR(VLOOKUP($A6027,原始数据_利率互换_FR007_1年!$A$6:$C$4395,3,0),"")</f>
        <v>1.8353</v>
      </c>
    </row>
    <row r="6028" spans="1:9">
      <c r="A6028" s="6">
        <v>45521</v>
      </c>
      <c r="B6028" t="str">
        <f>IFERROR(VLOOKUP($A6028,原始数据_收盘!$A$4:$G$3460,2,0),"")</f>
        <v/>
      </c>
      <c r="C6028" t="str">
        <f>IFERROR(VLOOKUP($A6028,原始数据_收盘!$A$4:$G$3460,3,0),"")</f>
        <v/>
      </c>
      <c r="D6028" t="str">
        <f>IFERROR(VLOOKUP($A6028,原始数据_收盘!$A$4:$G$3460,4,0),"")</f>
        <v/>
      </c>
      <c r="E6028" t="str">
        <f>IFERROR(VLOOKUP($A6028,原始数据_收盘!$A$4:$G$3460,5,0),"")</f>
        <v/>
      </c>
      <c r="F6028" t="str">
        <f>IFERROR(VLOOKUP($A6028,原始数据_收盘!$A$4:$G$3460,6,0),"")</f>
        <v/>
      </c>
      <c r="G6028" t="str">
        <f>IFERROR(VLOOKUP($A6028,原始数据_收盘!$A$4:$G$3460,7,0),"")</f>
        <v/>
      </c>
      <c r="H6028" t="str">
        <f>IFERROR(VLOOKUP($A6028,原始数据_利率互换_FR007_1年!$A$6:$C$4395,2,0),"")</f>
        <v/>
      </c>
      <c r="I6028" t="str">
        <f>IFERROR(VLOOKUP($A6028,原始数据_利率互换_FR007_1年!$A$6:$C$4395,3,0),"")</f>
        <v/>
      </c>
    </row>
    <row r="6029" spans="1:9">
      <c r="A6029" s="6">
        <v>45522</v>
      </c>
      <c r="B6029" t="str">
        <f>IFERROR(VLOOKUP($A6029,原始数据_收盘!$A$4:$G$3460,2,0),"")</f>
        <v/>
      </c>
      <c r="C6029" t="str">
        <f>IFERROR(VLOOKUP($A6029,原始数据_收盘!$A$4:$G$3460,3,0),"")</f>
        <v/>
      </c>
      <c r="D6029" t="str">
        <f>IFERROR(VLOOKUP($A6029,原始数据_收盘!$A$4:$G$3460,4,0),"")</f>
        <v/>
      </c>
      <c r="E6029" t="str">
        <f>IFERROR(VLOOKUP($A6029,原始数据_收盘!$A$4:$G$3460,5,0),"")</f>
        <v/>
      </c>
      <c r="F6029" t="str">
        <f>IFERROR(VLOOKUP($A6029,原始数据_收盘!$A$4:$G$3460,6,0),"")</f>
        <v/>
      </c>
      <c r="G6029" t="str">
        <f>IFERROR(VLOOKUP($A6029,原始数据_收盘!$A$4:$G$3460,7,0),"")</f>
        <v/>
      </c>
      <c r="H6029" t="str">
        <f>IFERROR(VLOOKUP($A6029,原始数据_利率互换_FR007_1年!$A$6:$C$4395,2,0),"")</f>
        <v/>
      </c>
      <c r="I6029" t="str">
        <f>IFERROR(VLOOKUP($A6029,原始数据_利率互换_FR007_1年!$A$6:$C$4395,3,0),"")</f>
        <v/>
      </c>
    </row>
    <row r="6030" spans="1:9">
      <c r="A6030" s="6">
        <v>45523</v>
      </c>
      <c r="B6030">
        <f>IFERROR(VLOOKUP($A6030,原始数据_收盘!$A$4:$G$3460,2,0),"")</f>
        <v>1.75</v>
      </c>
      <c r="C6030">
        <f>IFERROR(VLOOKUP($A6030,原始数据_收盘!$A$4:$G$3460,3,0),"")</f>
        <v>1.825</v>
      </c>
      <c r="D6030">
        <f>IFERROR(VLOOKUP($A6030,原始数据_收盘!$A$4:$G$3460,4,0),"")</f>
        <v>1.7525</v>
      </c>
      <c r="E6030">
        <f>IFERROR(VLOOKUP($A6030,原始数据_收盘!$A$4:$G$3460,5,0),"")</f>
        <v>1.8275</v>
      </c>
      <c r="F6030">
        <f>IFERROR(VLOOKUP($A6030,原始数据_收盘!$A$4:$G$3460,6,0),"")</f>
        <v>1.7513</v>
      </c>
      <c r="G6030">
        <f>IFERROR(VLOOKUP($A6030,原始数据_收盘!$A$4:$G$3460,7,0),"")</f>
        <v>1.8263</v>
      </c>
      <c r="H6030">
        <f>IFERROR(VLOOKUP($A6030,原始数据_利率互换_FR007_1年!$A$6:$C$4395,2,0),"")</f>
        <v>1.7506</v>
      </c>
      <c r="I6030">
        <f>IFERROR(VLOOKUP($A6030,原始数据_利率互换_FR007_1年!$A$6:$C$4395,3,0),"")</f>
        <v>1.8315</v>
      </c>
    </row>
    <row r="6031" spans="1:9">
      <c r="A6031" s="6">
        <v>45524</v>
      </c>
      <c r="B6031">
        <f>IFERROR(VLOOKUP($A6031,原始数据_收盘!$A$4:$G$3460,2,0),"")</f>
        <v>1.7595</v>
      </c>
      <c r="C6031">
        <f>IFERROR(VLOOKUP($A6031,原始数据_收盘!$A$4:$G$3460,3,0),"")</f>
        <v>1.8295</v>
      </c>
      <c r="D6031">
        <f>IFERROR(VLOOKUP($A6031,原始数据_收盘!$A$4:$G$3460,4,0),"")</f>
        <v>1.7621</v>
      </c>
      <c r="E6031">
        <f>IFERROR(VLOOKUP($A6031,原始数据_收盘!$A$4:$G$3460,5,0),"")</f>
        <v>1.8321</v>
      </c>
      <c r="F6031">
        <f>IFERROR(VLOOKUP($A6031,原始数据_收盘!$A$4:$G$3460,6,0),"")</f>
        <v>1.7608</v>
      </c>
      <c r="G6031">
        <f>IFERROR(VLOOKUP($A6031,原始数据_收盘!$A$4:$G$3460,7,0),"")</f>
        <v>1.8308</v>
      </c>
      <c r="H6031">
        <f>IFERROR(VLOOKUP($A6031,原始数据_利率互换_FR007_1年!$A$6:$C$4395,2,0),"")</f>
        <v>1.7561</v>
      </c>
      <c r="I6031">
        <f>IFERROR(VLOOKUP($A6031,原始数据_利率互换_FR007_1年!$A$6:$C$4395,3,0),"")</f>
        <v>1.8253</v>
      </c>
    </row>
    <row r="6032" spans="1:9">
      <c r="A6032" s="6">
        <v>45525</v>
      </c>
      <c r="B6032">
        <f>IFERROR(VLOOKUP($A6032,原始数据_收盘!$A$4:$G$3460,2,0),"")</f>
        <v>1.775</v>
      </c>
      <c r="C6032">
        <f>IFERROR(VLOOKUP($A6032,原始数据_收盘!$A$4:$G$3460,3,0),"")</f>
        <v>1.8375</v>
      </c>
      <c r="D6032">
        <f>IFERROR(VLOOKUP($A6032,原始数据_收盘!$A$4:$G$3460,4,0),"")</f>
        <v>1.78</v>
      </c>
      <c r="E6032">
        <f>IFERROR(VLOOKUP($A6032,原始数据_收盘!$A$4:$G$3460,5,0),"")</f>
        <v>1.84</v>
      </c>
      <c r="F6032">
        <f>IFERROR(VLOOKUP($A6032,原始数据_收盘!$A$4:$G$3460,6,0),"")</f>
        <v>1.7775</v>
      </c>
      <c r="G6032">
        <f>IFERROR(VLOOKUP($A6032,原始数据_收盘!$A$4:$G$3460,7,0),"")</f>
        <v>1.8388</v>
      </c>
      <c r="H6032">
        <f>IFERROR(VLOOKUP($A6032,原始数据_利率互换_FR007_1年!$A$6:$C$4395,2,0),"")</f>
        <v>1.7826</v>
      </c>
      <c r="I6032">
        <f>IFERROR(VLOOKUP($A6032,原始数据_利率互换_FR007_1年!$A$6:$C$4395,3,0),"")</f>
        <v>1.8453</v>
      </c>
    </row>
    <row r="6033" spans="1:9">
      <c r="A6033" s="6">
        <v>45526</v>
      </c>
      <c r="B6033">
        <f>IFERROR(VLOOKUP($A6033,原始数据_收盘!$A$4:$G$3460,2,0),"")</f>
        <v>1.78</v>
      </c>
      <c r="C6033">
        <f>IFERROR(VLOOKUP($A6033,原始数据_收盘!$A$4:$G$3460,3,0),"")</f>
        <v>1.83</v>
      </c>
      <c r="D6033">
        <f>IFERROR(VLOOKUP($A6033,原始数据_收盘!$A$4:$G$3460,4,0),"")</f>
        <v>1.785</v>
      </c>
      <c r="E6033">
        <f>IFERROR(VLOOKUP($A6033,原始数据_收盘!$A$4:$G$3460,5,0),"")</f>
        <v>1.8325</v>
      </c>
      <c r="F6033">
        <f>IFERROR(VLOOKUP($A6033,原始数据_收盘!$A$4:$G$3460,6,0),"")</f>
        <v>1.7825</v>
      </c>
      <c r="G6033">
        <f>IFERROR(VLOOKUP($A6033,原始数据_收盘!$A$4:$G$3460,7,0),"")</f>
        <v>1.8313</v>
      </c>
      <c r="H6033">
        <f>IFERROR(VLOOKUP($A6033,原始数据_利率互换_FR007_1年!$A$6:$C$4395,2,0),"")</f>
        <v>1.7816</v>
      </c>
      <c r="I6033">
        <f>IFERROR(VLOOKUP($A6033,原始数据_利率互换_FR007_1年!$A$6:$C$4395,3,0),"")</f>
        <v>1.8302</v>
      </c>
    </row>
    <row r="6034" spans="1:9">
      <c r="A6034" s="6">
        <v>45527</v>
      </c>
      <c r="B6034">
        <f>IFERROR(VLOOKUP($A6034,原始数据_收盘!$A$4:$G$3460,2,0),"")</f>
        <v>1.7725</v>
      </c>
      <c r="C6034">
        <f>IFERROR(VLOOKUP($A6034,原始数据_收盘!$A$4:$G$3460,3,0),"")</f>
        <v>1.83</v>
      </c>
      <c r="D6034">
        <f>IFERROR(VLOOKUP($A6034,原始数据_收盘!$A$4:$G$3460,4,0),"")</f>
        <v>1.775</v>
      </c>
      <c r="E6034">
        <f>IFERROR(VLOOKUP($A6034,原始数据_收盘!$A$4:$G$3460,5,0),"")</f>
        <v>1.8325</v>
      </c>
      <c r="F6034">
        <f>IFERROR(VLOOKUP($A6034,原始数据_收盘!$A$4:$G$3460,6,0),"")</f>
        <v>1.7738</v>
      </c>
      <c r="G6034">
        <f>IFERROR(VLOOKUP($A6034,原始数据_收盘!$A$4:$G$3460,7,0),"")</f>
        <v>1.8313</v>
      </c>
      <c r="H6034">
        <f>IFERROR(VLOOKUP($A6034,原始数据_利率互换_FR007_1年!$A$6:$C$4395,2,0),"")</f>
        <v>1.784</v>
      </c>
      <c r="I6034">
        <f>IFERROR(VLOOKUP($A6034,原始数据_利率互换_FR007_1年!$A$6:$C$4395,3,0),"")</f>
        <v>1.8384</v>
      </c>
    </row>
    <row r="6035" spans="1:9">
      <c r="A6035" s="6">
        <v>45528</v>
      </c>
      <c r="B6035" t="str">
        <f>IFERROR(VLOOKUP($A6035,原始数据_收盘!$A$4:$G$3460,2,0),"")</f>
        <v/>
      </c>
      <c r="C6035" t="str">
        <f>IFERROR(VLOOKUP($A6035,原始数据_收盘!$A$4:$G$3460,3,0),"")</f>
        <v/>
      </c>
      <c r="D6035" t="str">
        <f>IFERROR(VLOOKUP($A6035,原始数据_收盘!$A$4:$G$3460,4,0),"")</f>
        <v/>
      </c>
      <c r="E6035" t="str">
        <f>IFERROR(VLOOKUP($A6035,原始数据_收盘!$A$4:$G$3460,5,0),"")</f>
        <v/>
      </c>
      <c r="F6035" t="str">
        <f>IFERROR(VLOOKUP($A6035,原始数据_收盘!$A$4:$G$3460,6,0),"")</f>
        <v/>
      </c>
      <c r="G6035" t="str">
        <f>IFERROR(VLOOKUP($A6035,原始数据_收盘!$A$4:$G$3460,7,0),"")</f>
        <v/>
      </c>
      <c r="H6035" t="str">
        <f>IFERROR(VLOOKUP($A6035,原始数据_利率互换_FR007_1年!$A$6:$C$4395,2,0),"")</f>
        <v/>
      </c>
      <c r="I6035" t="str">
        <f>IFERROR(VLOOKUP($A6035,原始数据_利率互换_FR007_1年!$A$6:$C$4395,3,0),"")</f>
        <v/>
      </c>
    </row>
    <row r="6036" spans="1:9">
      <c r="A6036" s="6">
        <v>45529</v>
      </c>
      <c r="B6036" t="str">
        <f>IFERROR(VLOOKUP($A6036,原始数据_收盘!$A$4:$G$3460,2,0),"")</f>
        <v/>
      </c>
      <c r="C6036" t="str">
        <f>IFERROR(VLOOKUP($A6036,原始数据_收盘!$A$4:$G$3460,3,0),"")</f>
        <v/>
      </c>
      <c r="D6036" t="str">
        <f>IFERROR(VLOOKUP($A6036,原始数据_收盘!$A$4:$G$3460,4,0),"")</f>
        <v/>
      </c>
      <c r="E6036" t="str">
        <f>IFERROR(VLOOKUP($A6036,原始数据_收盘!$A$4:$G$3460,5,0),"")</f>
        <v/>
      </c>
      <c r="F6036" t="str">
        <f>IFERROR(VLOOKUP($A6036,原始数据_收盘!$A$4:$G$3460,6,0),"")</f>
        <v/>
      </c>
      <c r="G6036" t="str">
        <f>IFERROR(VLOOKUP($A6036,原始数据_收盘!$A$4:$G$3460,7,0),"")</f>
        <v/>
      </c>
      <c r="H6036" t="str">
        <f>IFERROR(VLOOKUP($A6036,原始数据_利率互换_FR007_1年!$A$6:$C$4395,2,0),"")</f>
        <v/>
      </c>
      <c r="I6036" t="str">
        <f>IFERROR(VLOOKUP($A6036,原始数据_利率互换_FR007_1年!$A$6:$C$4395,3,0),"")</f>
        <v/>
      </c>
    </row>
    <row r="6037" spans="1:9">
      <c r="A6037" s="6">
        <v>45530</v>
      </c>
      <c r="B6037">
        <f>IFERROR(VLOOKUP($A6037,原始数据_收盘!$A$4:$G$3460,2,0),"")</f>
        <v>1.76</v>
      </c>
      <c r="C6037">
        <f>IFERROR(VLOOKUP($A6037,原始数据_收盘!$A$4:$G$3460,3,0),"")</f>
        <v>1.825</v>
      </c>
      <c r="D6037">
        <f>IFERROR(VLOOKUP($A6037,原始数据_收盘!$A$4:$G$3460,4,0),"")</f>
        <v>1.7625</v>
      </c>
      <c r="E6037">
        <f>IFERROR(VLOOKUP($A6037,原始数据_收盘!$A$4:$G$3460,5,0),"")</f>
        <v>1.83</v>
      </c>
      <c r="F6037">
        <f>IFERROR(VLOOKUP($A6037,原始数据_收盘!$A$4:$G$3460,6,0),"")</f>
        <v>1.7613</v>
      </c>
      <c r="G6037">
        <f>IFERROR(VLOOKUP($A6037,原始数据_收盘!$A$4:$G$3460,7,0),"")</f>
        <v>1.8275</v>
      </c>
      <c r="H6037">
        <f>IFERROR(VLOOKUP($A6037,原始数据_利率互换_FR007_1年!$A$6:$C$4395,2,0),"")</f>
        <v>1.7584</v>
      </c>
      <c r="I6037">
        <f>IFERROR(VLOOKUP($A6037,原始数据_利率互换_FR007_1年!$A$6:$C$4395,3,0),"")</f>
        <v>1.8289</v>
      </c>
    </row>
    <row r="6038" spans="1:9">
      <c r="A6038" s="6">
        <v>45531</v>
      </c>
      <c r="B6038">
        <f>IFERROR(VLOOKUP($A6038,原始数据_收盘!$A$4:$G$3460,2,0),"")</f>
        <v>1.775</v>
      </c>
      <c r="C6038">
        <f>IFERROR(VLOOKUP($A6038,原始数据_收盘!$A$4:$G$3460,3,0),"")</f>
        <v>1.8573</v>
      </c>
      <c r="D6038">
        <f>IFERROR(VLOOKUP($A6038,原始数据_收盘!$A$4:$G$3460,4,0),"")</f>
        <v>1.7775</v>
      </c>
      <c r="E6038">
        <f>IFERROR(VLOOKUP($A6038,原始数据_收盘!$A$4:$G$3460,5,0),"")</f>
        <v>1.8579</v>
      </c>
      <c r="F6038">
        <f>IFERROR(VLOOKUP($A6038,原始数据_收盘!$A$4:$G$3460,6,0),"")</f>
        <v>1.7763</v>
      </c>
      <c r="G6038">
        <f>IFERROR(VLOOKUP($A6038,原始数据_收盘!$A$4:$G$3460,7,0),"")</f>
        <v>1.8576</v>
      </c>
      <c r="H6038">
        <f>IFERROR(VLOOKUP($A6038,原始数据_利率互换_FR007_1年!$A$6:$C$4395,2,0),"")</f>
        <v>1.7676</v>
      </c>
      <c r="I6038">
        <f>IFERROR(VLOOKUP($A6038,原始数据_利率互换_FR007_1年!$A$6:$C$4395,3,0),"")</f>
        <v>1.8489</v>
      </c>
    </row>
    <row r="6039" spans="1:9">
      <c r="A6039" s="6">
        <v>45532</v>
      </c>
      <c r="B6039">
        <f>IFERROR(VLOOKUP($A6039,原始数据_收盘!$A$4:$G$3460,2,0),"")</f>
        <v>1.7586</v>
      </c>
      <c r="C6039">
        <f>IFERROR(VLOOKUP($A6039,原始数据_收盘!$A$4:$G$3460,3,0),"")</f>
        <v>1.8361</v>
      </c>
      <c r="D6039">
        <f>IFERROR(VLOOKUP($A6039,原始数据_收盘!$A$4:$G$3460,4,0),"")</f>
        <v>1.7625</v>
      </c>
      <c r="E6039">
        <f>IFERROR(VLOOKUP($A6039,原始数据_收盘!$A$4:$G$3460,5,0),"")</f>
        <v>1.84</v>
      </c>
      <c r="F6039">
        <f>IFERROR(VLOOKUP($A6039,原始数据_收盘!$A$4:$G$3460,6,0),"")</f>
        <v>1.7606</v>
      </c>
      <c r="G6039">
        <f>IFERROR(VLOOKUP($A6039,原始数据_收盘!$A$4:$G$3460,7,0),"")</f>
        <v>1.8381</v>
      </c>
      <c r="H6039">
        <f>IFERROR(VLOOKUP($A6039,原始数据_利率互换_FR007_1年!$A$6:$C$4395,2,0),"")</f>
        <v>1.763</v>
      </c>
      <c r="I6039">
        <f>IFERROR(VLOOKUP($A6039,原始数据_利率互换_FR007_1年!$A$6:$C$4395,3,0),"")</f>
        <v>1.8466</v>
      </c>
    </row>
    <row r="6040" spans="1:9">
      <c r="A6040" s="6">
        <v>45533</v>
      </c>
      <c r="B6040">
        <f>IFERROR(VLOOKUP($A6040,原始数据_收盘!$A$4:$G$3460,2,0),"")</f>
        <v>1.752</v>
      </c>
      <c r="C6040">
        <f>IFERROR(VLOOKUP($A6040,原始数据_收盘!$A$4:$G$3460,3,0),"")</f>
        <v>1.8352</v>
      </c>
      <c r="D6040">
        <f>IFERROR(VLOOKUP($A6040,原始数据_收盘!$A$4:$G$3460,4,0),"")</f>
        <v>1.755</v>
      </c>
      <c r="E6040">
        <f>IFERROR(VLOOKUP($A6040,原始数据_收盘!$A$4:$G$3460,5,0),"")</f>
        <v>1.8377</v>
      </c>
      <c r="F6040">
        <f>IFERROR(VLOOKUP($A6040,原始数据_收盘!$A$4:$G$3460,6,0),"")</f>
        <v>1.7535</v>
      </c>
      <c r="G6040">
        <f>IFERROR(VLOOKUP($A6040,原始数据_收盘!$A$4:$G$3460,7,0),"")</f>
        <v>1.8364</v>
      </c>
      <c r="H6040">
        <f>IFERROR(VLOOKUP($A6040,原始数据_利率互换_FR007_1年!$A$6:$C$4395,2,0),"")</f>
        <v>1.7561</v>
      </c>
      <c r="I6040">
        <f>IFERROR(VLOOKUP($A6040,原始数据_利率互换_FR007_1年!$A$6:$C$4395,3,0),"")</f>
        <v>1.8398</v>
      </c>
    </row>
    <row r="6041" spans="1:9">
      <c r="A6041" s="6">
        <v>45534</v>
      </c>
      <c r="B6041">
        <f>IFERROR(VLOOKUP($A6041,原始数据_收盘!$A$4:$G$3460,2,0),"")</f>
        <v>1.7473</v>
      </c>
      <c r="C6041">
        <f>IFERROR(VLOOKUP($A6041,原始数据_收盘!$A$4:$G$3460,3,0),"")</f>
        <v>1.8475</v>
      </c>
      <c r="D6041">
        <f>IFERROR(VLOOKUP($A6041,原始数据_收盘!$A$4:$G$3460,4,0),"")</f>
        <v>1.75</v>
      </c>
      <c r="E6041">
        <f>IFERROR(VLOOKUP($A6041,原始数据_收盘!$A$4:$G$3460,5,0),"")</f>
        <v>1.85</v>
      </c>
      <c r="F6041">
        <f>IFERROR(VLOOKUP($A6041,原始数据_收盘!$A$4:$G$3460,6,0),"")</f>
        <v>1.7487</v>
      </c>
      <c r="G6041">
        <f>IFERROR(VLOOKUP($A6041,原始数据_收盘!$A$4:$G$3460,7,0),"")</f>
        <v>1.8488</v>
      </c>
      <c r="H6041">
        <f>IFERROR(VLOOKUP($A6041,原始数据_利率互换_FR007_1年!$A$6:$C$4395,2,0),"")</f>
        <v>1.7538</v>
      </c>
      <c r="I6041">
        <f>IFERROR(VLOOKUP($A6041,原始数据_利率互换_FR007_1年!$A$6:$C$4395,3,0),"")</f>
        <v>1.8548</v>
      </c>
    </row>
    <row r="6042" spans="1:9">
      <c r="A6042" s="6">
        <v>45535</v>
      </c>
      <c r="B6042" t="str">
        <f>IFERROR(VLOOKUP($A6042,原始数据_收盘!$A$4:$G$3460,2,0),"")</f>
        <v/>
      </c>
      <c r="C6042" t="str">
        <f>IFERROR(VLOOKUP($A6042,原始数据_收盘!$A$4:$G$3460,3,0),"")</f>
        <v/>
      </c>
      <c r="D6042" t="str">
        <f>IFERROR(VLOOKUP($A6042,原始数据_收盘!$A$4:$G$3460,4,0),"")</f>
        <v/>
      </c>
      <c r="E6042" t="str">
        <f>IFERROR(VLOOKUP($A6042,原始数据_收盘!$A$4:$G$3460,5,0),"")</f>
        <v/>
      </c>
      <c r="F6042" t="str">
        <f>IFERROR(VLOOKUP($A6042,原始数据_收盘!$A$4:$G$3460,6,0),"")</f>
        <v/>
      </c>
      <c r="G6042" t="str">
        <f>IFERROR(VLOOKUP($A6042,原始数据_收盘!$A$4:$G$3460,7,0),"")</f>
        <v/>
      </c>
      <c r="H6042" t="str">
        <f>IFERROR(VLOOKUP($A6042,原始数据_利率互换_FR007_1年!$A$6:$C$4395,2,0),"")</f>
        <v/>
      </c>
      <c r="I6042" t="str">
        <f>IFERROR(VLOOKUP($A6042,原始数据_利率互换_FR007_1年!$A$6:$C$4395,3,0),"")</f>
        <v/>
      </c>
    </row>
    <row r="6043" spans="1:9">
      <c r="A6043" s="6">
        <v>45536</v>
      </c>
      <c r="B6043" t="str">
        <f>IFERROR(VLOOKUP($A6043,原始数据_收盘!$A$4:$G$3460,2,0),"")</f>
        <v/>
      </c>
      <c r="C6043" t="str">
        <f>IFERROR(VLOOKUP($A6043,原始数据_收盘!$A$4:$G$3460,3,0),"")</f>
        <v/>
      </c>
      <c r="D6043" t="str">
        <f>IFERROR(VLOOKUP($A6043,原始数据_收盘!$A$4:$G$3460,4,0),"")</f>
        <v/>
      </c>
      <c r="E6043" t="str">
        <f>IFERROR(VLOOKUP($A6043,原始数据_收盘!$A$4:$G$3460,5,0),"")</f>
        <v/>
      </c>
      <c r="F6043" t="str">
        <f>IFERROR(VLOOKUP($A6043,原始数据_收盘!$A$4:$G$3460,6,0),"")</f>
        <v/>
      </c>
      <c r="G6043" t="str">
        <f>IFERROR(VLOOKUP($A6043,原始数据_收盘!$A$4:$G$3460,7,0),"")</f>
        <v/>
      </c>
      <c r="H6043" t="str">
        <f>IFERROR(VLOOKUP($A6043,原始数据_利率互换_FR007_1年!$A$6:$C$4395,2,0),"")</f>
        <v/>
      </c>
      <c r="I6043" t="str">
        <f>IFERROR(VLOOKUP($A6043,原始数据_利率互换_FR007_1年!$A$6:$C$4395,3,0),"")</f>
        <v/>
      </c>
    </row>
    <row r="6044" spans="1:9">
      <c r="A6044" s="6">
        <v>45537</v>
      </c>
      <c r="B6044">
        <f>IFERROR(VLOOKUP($A6044,原始数据_收盘!$A$4:$G$3460,2,0),"")</f>
        <v>1.71</v>
      </c>
      <c r="C6044">
        <f>IFERROR(VLOOKUP($A6044,原始数据_收盘!$A$4:$G$3460,3,0),"")</f>
        <v>1.7975</v>
      </c>
      <c r="D6044">
        <f>IFERROR(VLOOKUP($A6044,原始数据_收盘!$A$4:$G$3460,4,0),"")</f>
        <v>1.7125</v>
      </c>
      <c r="E6044">
        <f>IFERROR(VLOOKUP($A6044,原始数据_收盘!$A$4:$G$3460,5,0),"")</f>
        <v>1.8</v>
      </c>
      <c r="F6044">
        <f>IFERROR(VLOOKUP($A6044,原始数据_收盘!$A$4:$G$3460,6,0),"")</f>
        <v>1.7113</v>
      </c>
      <c r="G6044">
        <f>IFERROR(VLOOKUP($A6044,原始数据_收盘!$A$4:$G$3460,7,0),"")</f>
        <v>1.7988</v>
      </c>
      <c r="H6044">
        <f>IFERROR(VLOOKUP($A6044,原始数据_利率互换_FR007_1年!$A$6:$C$4395,2,0),"")</f>
        <v>1.7177</v>
      </c>
      <c r="I6044">
        <f>IFERROR(VLOOKUP($A6044,原始数据_利率互换_FR007_1年!$A$6:$C$4395,3,0),"")</f>
        <v>1.8088</v>
      </c>
    </row>
    <row r="6045" spans="1:9">
      <c r="A6045" s="6">
        <v>45538</v>
      </c>
      <c r="B6045">
        <f>IFERROR(VLOOKUP($A6045,原始数据_收盘!$A$4:$G$3460,2,0),"")</f>
        <v>1.7025</v>
      </c>
      <c r="C6045">
        <f>IFERROR(VLOOKUP($A6045,原始数据_收盘!$A$4:$G$3460,3,0),"")</f>
        <v>1.7756</v>
      </c>
      <c r="D6045">
        <f>IFERROR(VLOOKUP($A6045,原始数据_收盘!$A$4:$G$3460,4,0),"")</f>
        <v>1.705</v>
      </c>
      <c r="E6045">
        <f>IFERROR(VLOOKUP($A6045,原始数据_收盘!$A$4:$G$3460,5,0),"")</f>
        <v>1.7787</v>
      </c>
      <c r="F6045">
        <f>IFERROR(VLOOKUP($A6045,原始数据_收盘!$A$4:$G$3460,6,0),"")</f>
        <v>1.7038</v>
      </c>
      <c r="G6045">
        <f>IFERROR(VLOOKUP($A6045,原始数据_收盘!$A$4:$G$3460,7,0),"")</f>
        <v>1.7771</v>
      </c>
      <c r="H6045">
        <f>IFERROR(VLOOKUP($A6045,原始数据_利率互换_FR007_1年!$A$6:$C$4395,2,0),"")</f>
        <v>1.7107</v>
      </c>
      <c r="I6045">
        <f>IFERROR(VLOOKUP($A6045,原始数据_利率互换_FR007_1年!$A$6:$C$4395,3,0),"")</f>
        <v>1.7886</v>
      </c>
    </row>
    <row r="6046" spans="1:9">
      <c r="A6046" s="6">
        <v>45539</v>
      </c>
      <c r="B6046">
        <f>IFERROR(VLOOKUP($A6046,原始数据_收盘!$A$4:$G$3460,2,0),"")</f>
        <v>1.715</v>
      </c>
      <c r="C6046">
        <f>IFERROR(VLOOKUP($A6046,原始数据_收盘!$A$4:$G$3460,3,0),"")</f>
        <v>1.7696</v>
      </c>
      <c r="D6046">
        <f>IFERROR(VLOOKUP($A6046,原始数据_收盘!$A$4:$G$3460,4,0),"")</f>
        <v>1.7194</v>
      </c>
      <c r="E6046">
        <f>IFERROR(VLOOKUP($A6046,原始数据_收盘!$A$4:$G$3460,5,0),"")</f>
        <v>1.7721</v>
      </c>
      <c r="F6046">
        <f>IFERROR(VLOOKUP($A6046,原始数据_收盘!$A$4:$G$3460,6,0),"")</f>
        <v>1.7172</v>
      </c>
      <c r="G6046">
        <f>IFERROR(VLOOKUP($A6046,原始数据_收盘!$A$4:$G$3460,7,0),"")</f>
        <v>1.7709</v>
      </c>
      <c r="H6046">
        <f>IFERROR(VLOOKUP($A6046,原始数据_利率互换_FR007_1年!$A$6:$C$4395,2,0),"")</f>
        <v>1.7072</v>
      </c>
      <c r="I6046">
        <f>IFERROR(VLOOKUP($A6046,原始数据_利率互换_FR007_1年!$A$6:$C$4395,3,0),"")</f>
        <v>1.7663</v>
      </c>
    </row>
    <row r="6047" spans="1:9">
      <c r="A6047" s="6">
        <v>45540</v>
      </c>
      <c r="B6047">
        <f>IFERROR(VLOOKUP($A6047,原始数据_收盘!$A$4:$G$3460,2,0),"")</f>
        <v>1.69</v>
      </c>
      <c r="C6047">
        <f>IFERROR(VLOOKUP($A6047,原始数据_收盘!$A$4:$G$3460,3,0),"")</f>
        <v>1.7492</v>
      </c>
      <c r="D6047">
        <f>IFERROR(VLOOKUP($A6047,原始数据_收盘!$A$4:$G$3460,4,0),"")</f>
        <v>1.6976</v>
      </c>
      <c r="E6047">
        <f>IFERROR(VLOOKUP($A6047,原始数据_收盘!$A$4:$G$3460,5,0),"")</f>
        <v>1.7525</v>
      </c>
      <c r="F6047">
        <f>IFERROR(VLOOKUP($A6047,原始数据_收盘!$A$4:$G$3460,6,0),"")</f>
        <v>1.6938</v>
      </c>
      <c r="G6047">
        <f>IFERROR(VLOOKUP($A6047,原始数据_收盘!$A$4:$G$3460,7,0),"")</f>
        <v>1.7508</v>
      </c>
      <c r="H6047">
        <f>IFERROR(VLOOKUP($A6047,原始数据_利率互换_FR007_1年!$A$6:$C$4395,2,0),"")</f>
        <v>1.6992</v>
      </c>
      <c r="I6047">
        <f>IFERROR(VLOOKUP($A6047,原始数据_利率互换_FR007_1年!$A$6:$C$4395,3,0),"")</f>
        <v>1.7473</v>
      </c>
    </row>
    <row r="6048" spans="1:9">
      <c r="A6048" s="6">
        <v>45541</v>
      </c>
      <c r="B6048">
        <f>IFERROR(VLOOKUP($A6048,原始数据_收盘!$A$4:$G$3460,2,0),"")</f>
        <v>1.7</v>
      </c>
      <c r="C6048">
        <f>IFERROR(VLOOKUP($A6048,原始数据_收盘!$A$4:$G$3460,3,0),"")</f>
        <v>1.7493</v>
      </c>
      <c r="D6048">
        <f>IFERROR(VLOOKUP($A6048,原始数据_收盘!$A$4:$G$3460,4,0),"")</f>
        <v>1.7025</v>
      </c>
      <c r="E6048">
        <f>IFERROR(VLOOKUP($A6048,原始数据_收盘!$A$4:$G$3460,5,0),"")</f>
        <v>1.7525</v>
      </c>
      <c r="F6048">
        <f>IFERROR(VLOOKUP($A6048,原始数据_收盘!$A$4:$G$3460,6,0),"")</f>
        <v>1.7013</v>
      </c>
      <c r="G6048">
        <f>IFERROR(VLOOKUP($A6048,原始数据_收盘!$A$4:$G$3460,7,0),"")</f>
        <v>1.7509</v>
      </c>
      <c r="H6048">
        <f>IFERROR(VLOOKUP($A6048,原始数据_利率互换_FR007_1年!$A$6:$C$4395,2,0),"")</f>
        <v>1.6958</v>
      </c>
      <c r="I6048">
        <f>IFERROR(VLOOKUP($A6048,原始数据_利率互换_FR007_1年!$A$6:$C$4395,3,0),"")</f>
        <v>1.7519</v>
      </c>
    </row>
    <row r="6049" spans="1:9">
      <c r="A6049" s="6">
        <v>45542</v>
      </c>
      <c r="B6049" t="str">
        <f>IFERROR(VLOOKUP($A6049,原始数据_收盘!$A$4:$G$3460,2,0),"")</f>
        <v/>
      </c>
      <c r="C6049" t="str">
        <f>IFERROR(VLOOKUP($A6049,原始数据_收盘!$A$4:$G$3460,3,0),"")</f>
        <v/>
      </c>
      <c r="D6049" t="str">
        <f>IFERROR(VLOOKUP($A6049,原始数据_收盘!$A$4:$G$3460,4,0),"")</f>
        <v/>
      </c>
      <c r="E6049" t="str">
        <f>IFERROR(VLOOKUP($A6049,原始数据_收盘!$A$4:$G$3460,5,0),"")</f>
        <v/>
      </c>
      <c r="F6049" t="str">
        <f>IFERROR(VLOOKUP($A6049,原始数据_收盘!$A$4:$G$3460,6,0),"")</f>
        <v/>
      </c>
      <c r="G6049" t="str">
        <f>IFERROR(VLOOKUP($A6049,原始数据_收盘!$A$4:$G$3460,7,0),"")</f>
        <v/>
      </c>
      <c r="H6049" t="str">
        <f>IFERROR(VLOOKUP($A6049,原始数据_利率互换_FR007_1年!$A$6:$C$4395,2,0),"")</f>
        <v/>
      </c>
      <c r="I6049" t="str">
        <f>IFERROR(VLOOKUP($A6049,原始数据_利率互换_FR007_1年!$A$6:$C$4395,3,0),"")</f>
        <v/>
      </c>
    </row>
    <row r="6050" spans="1:9">
      <c r="A6050" s="6">
        <v>45543</v>
      </c>
      <c r="B6050" t="str">
        <f>IFERROR(VLOOKUP($A6050,原始数据_收盘!$A$4:$G$3460,2,0),"")</f>
        <v/>
      </c>
      <c r="C6050" t="str">
        <f>IFERROR(VLOOKUP($A6050,原始数据_收盘!$A$4:$G$3460,3,0),"")</f>
        <v/>
      </c>
      <c r="D6050" t="str">
        <f>IFERROR(VLOOKUP($A6050,原始数据_收盘!$A$4:$G$3460,4,0),"")</f>
        <v/>
      </c>
      <c r="E6050" t="str">
        <f>IFERROR(VLOOKUP($A6050,原始数据_收盘!$A$4:$G$3460,5,0),"")</f>
        <v/>
      </c>
      <c r="F6050" t="str">
        <f>IFERROR(VLOOKUP($A6050,原始数据_收盘!$A$4:$G$3460,6,0),"")</f>
        <v/>
      </c>
      <c r="G6050" t="str">
        <f>IFERROR(VLOOKUP($A6050,原始数据_收盘!$A$4:$G$3460,7,0),"")</f>
        <v/>
      </c>
      <c r="H6050" t="str">
        <f>IFERROR(VLOOKUP($A6050,原始数据_利率互换_FR007_1年!$A$6:$C$4395,2,0),"")</f>
        <v/>
      </c>
      <c r="I6050" t="str">
        <f>IFERROR(VLOOKUP($A6050,原始数据_利率互换_FR007_1年!$A$6:$C$4395,3,0),"")</f>
        <v/>
      </c>
    </row>
    <row r="6051" spans="1:9">
      <c r="A6051" s="6">
        <v>45544</v>
      </c>
      <c r="B6051">
        <f>IFERROR(VLOOKUP($A6051,原始数据_收盘!$A$4:$G$3460,2,0),"")</f>
        <v>1.6975</v>
      </c>
      <c r="C6051">
        <f>IFERROR(VLOOKUP($A6051,原始数据_收盘!$A$4:$G$3460,3,0),"")</f>
        <v>1.7325</v>
      </c>
      <c r="D6051">
        <f>IFERROR(VLOOKUP($A6051,原始数据_收盘!$A$4:$G$3460,4,0),"")</f>
        <v>1.7</v>
      </c>
      <c r="E6051">
        <f>IFERROR(VLOOKUP($A6051,原始数据_收盘!$A$4:$G$3460,5,0),"")</f>
        <v>1.735</v>
      </c>
      <c r="F6051">
        <f>IFERROR(VLOOKUP($A6051,原始数据_收盘!$A$4:$G$3460,6,0),"")</f>
        <v>1.6988</v>
      </c>
      <c r="G6051">
        <f>IFERROR(VLOOKUP($A6051,原始数据_收盘!$A$4:$G$3460,7,0),"")</f>
        <v>1.7338</v>
      </c>
      <c r="H6051">
        <f>IFERROR(VLOOKUP($A6051,原始数据_利率互换_FR007_1年!$A$6:$C$4395,2,0),"")</f>
        <v>1.7022</v>
      </c>
      <c r="I6051">
        <f>IFERROR(VLOOKUP($A6051,原始数据_利率互换_FR007_1年!$A$6:$C$4395,3,0),"")</f>
        <v>1.7408</v>
      </c>
    </row>
    <row r="6052" spans="1:9">
      <c r="A6052" s="6">
        <v>45545</v>
      </c>
      <c r="B6052">
        <f>IFERROR(VLOOKUP($A6052,原始数据_收盘!$A$4:$G$3460,2,0),"")</f>
        <v>1.7</v>
      </c>
      <c r="C6052">
        <f>IFERROR(VLOOKUP($A6052,原始数据_收盘!$A$4:$G$3460,3,0),"")</f>
        <v>1.715</v>
      </c>
      <c r="D6052">
        <f>IFERROR(VLOOKUP($A6052,原始数据_收盘!$A$4:$G$3460,4,0),"")</f>
        <v>1.7025</v>
      </c>
      <c r="E6052">
        <f>IFERROR(VLOOKUP($A6052,原始数据_收盘!$A$4:$G$3460,5,0),"")</f>
        <v>1.7175</v>
      </c>
      <c r="F6052">
        <f>IFERROR(VLOOKUP($A6052,原始数据_收盘!$A$4:$G$3460,6,0),"")</f>
        <v>1.7013</v>
      </c>
      <c r="G6052">
        <f>IFERROR(VLOOKUP($A6052,原始数据_收盘!$A$4:$G$3460,7,0),"")</f>
        <v>1.7163</v>
      </c>
      <c r="H6052">
        <f>IFERROR(VLOOKUP($A6052,原始数据_利率互换_FR007_1年!$A$6:$C$4395,2,0),"")</f>
        <v>1.6969</v>
      </c>
      <c r="I6052">
        <f>IFERROR(VLOOKUP($A6052,原始数据_利率互换_FR007_1年!$A$6:$C$4395,3,0),"")</f>
        <v>1.7191</v>
      </c>
    </row>
    <row r="6053" spans="1:9">
      <c r="A6053" s="6">
        <v>45546</v>
      </c>
      <c r="B6053">
        <f>IFERROR(VLOOKUP($A6053,原始数据_收盘!$A$4:$G$3460,2,0),"")</f>
        <v>1.7004</v>
      </c>
      <c r="C6053">
        <f>IFERROR(VLOOKUP($A6053,原始数据_收盘!$A$4:$G$3460,3,0),"")</f>
        <v>1.71</v>
      </c>
      <c r="D6053">
        <f>IFERROR(VLOOKUP($A6053,原始数据_收盘!$A$4:$G$3460,4,0),"")</f>
        <v>1.703</v>
      </c>
      <c r="E6053">
        <f>IFERROR(VLOOKUP($A6053,原始数据_收盘!$A$4:$G$3460,5,0),"")</f>
        <v>1.7125</v>
      </c>
      <c r="F6053">
        <f>IFERROR(VLOOKUP($A6053,原始数据_收盘!$A$4:$G$3460,6,0),"")</f>
        <v>1.7017</v>
      </c>
      <c r="G6053">
        <f>IFERROR(VLOOKUP($A6053,原始数据_收盘!$A$4:$G$3460,7,0),"")</f>
        <v>1.7113</v>
      </c>
      <c r="H6053">
        <f>IFERROR(VLOOKUP($A6053,原始数据_利率互换_FR007_1年!$A$6:$C$4395,2,0),"")</f>
        <v>1.6987</v>
      </c>
      <c r="I6053">
        <f>IFERROR(VLOOKUP($A6053,原始数据_利率互换_FR007_1年!$A$6:$C$4395,3,0),"")</f>
        <v>1.7101</v>
      </c>
    </row>
    <row r="6054" spans="1:9">
      <c r="A6054" s="6">
        <v>45547</v>
      </c>
      <c r="B6054">
        <f>IFERROR(VLOOKUP($A6054,原始数据_收盘!$A$4:$G$3460,2,0),"")</f>
        <v>1.7075</v>
      </c>
      <c r="C6054">
        <f>IFERROR(VLOOKUP($A6054,原始数据_收盘!$A$4:$G$3460,3,0),"")</f>
        <v>1.7135</v>
      </c>
      <c r="D6054">
        <f>IFERROR(VLOOKUP($A6054,原始数据_收盘!$A$4:$G$3460,4,0),"")</f>
        <v>1.7096</v>
      </c>
      <c r="E6054">
        <f>IFERROR(VLOOKUP($A6054,原始数据_收盘!$A$4:$G$3460,5,0),"")</f>
        <v>1.7162</v>
      </c>
      <c r="F6054">
        <f>IFERROR(VLOOKUP($A6054,原始数据_收盘!$A$4:$G$3460,6,0),"")</f>
        <v>1.7085</v>
      </c>
      <c r="G6054">
        <f>IFERROR(VLOOKUP($A6054,原始数据_收盘!$A$4:$G$3460,7,0),"")</f>
        <v>1.7148</v>
      </c>
      <c r="H6054">
        <f>IFERROR(VLOOKUP($A6054,原始数据_利率互换_FR007_1年!$A$6:$C$4395,2,0),"")</f>
        <v>1.7086</v>
      </c>
      <c r="I6054">
        <f>IFERROR(VLOOKUP($A6054,原始数据_利率互换_FR007_1年!$A$6:$C$4395,3,0),"")</f>
        <v>1.7218</v>
      </c>
    </row>
    <row r="6055" spans="1:9">
      <c r="A6055" s="6">
        <v>45548</v>
      </c>
      <c r="B6055">
        <f>IFERROR(VLOOKUP($A6055,原始数据_收盘!$A$4:$G$3460,2,0),"")</f>
        <v>1.72</v>
      </c>
      <c r="C6055">
        <f>IFERROR(VLOOKUP($A6055,原始数据_收盘!$A$4:$G$3460,3,0),"")</f>
        <v>1.7124</v>
      </c>
      <c r="D6055">
        <f>IFERROR(VLOOKUP($A6055,原始数据_收盘!$A$4:$G$3460,4,0),"")</f>
        <v>1.725</v>
      </c>
      <c r="E6055">
        <f>IFERROR(VLOOKUP($A6055,原始数据_收盘!$A$4:$G$3460,5,0),"")</f>
        <v>1.715</v>
      </c>
      <c r="F6055">
        <f>IFERROR(VLOOKUP($A6055,原始数据_收盘!$A$4:$G$3460,6,0),"")</f>
        <v>1.7225</v>
      </c>
      <c r="G6055">
        <f>IFERROR(VLOOKUP($A6055,原始数据_收盘!$A$4:$G$3460,7,0),"")</f>
        <v>1.7137</v>
      </c>
      <c r="H6055">
        <f>IFERROR(VLOOKUP($A6055,原始数据_利率互换_FR007_1年!$A$6:$C$4395,2,0),"")</f>
        <v>1.7171</v>
      </c>
      <c r="I6055">
        <f>IFERROR(VLOOKUP($A6055,原始数据_利率互换_FR007_1年!$A$6:$C$4395,3,0),"")</f>
        <v>1.7174</v>
      </c>
    </row>
    <row r="6056" spans="1:9">
      <c r="A6056" s="6">
        <v>45549</v>
      </c>
      <c r="B6056">
        <f>IFERROR(VLOOKUP($A6056,原始数据_收盘!$A$4:$G$3460,2,0),"")</f>
        <v>1.705</v>
      </c>
      <c r="C6056">
        <f>IFERROR(VLOOKUP($A6056,原始数据_收盘!$A$4:$G$3460,3,0),"")</f>
        <v>1.7</v>
      </c>
      <c r="D6056">
        <f>IFERROR(VLOOKUP($A6056,原始数据_收盘!$A$4:$G$3460,4,0),"")</f>
        <v>1.72</v>
      </c>
      <c r="E6056">
        <f>IFERROR(VLOOKUP($A6056,原始数据_收盘!$A$4:$G$3460,5,0),"")</f>
        <v>1.71</v>
      </c>
      <c r="F6056">
        <f>IFERROR(VLOOKUP($A6056,原始数据_收盘!$A$4:$G$3460,6,0),"")</f>
        <v>1.7125</v>
      </c>
      <c r="G6056">
        <f>IFERROR(VLOOKUP($A6056,原始数据_收盘!$A$4:$G$3460,7,0),"")</f>
        <v>1.705</v>
      </c>
      <c r="H6056">
        <f>IFERROR(VLOOKUP($A6056,原始数据_利率互换_FR007_1年!$A$6:$C$4395,2,0),"")</f>
        <v>1.71</v>
      </c>
      <c r="I6056">
        <f>IFERROR(VLOOKUP($A6056,原始数据_利率互换_FR007_1年!$A$6:$C$4395,3,0),"")</f>
        <v>0</v>
      </c>
    </row>
    <row r="6057" spans="1:9">
      <c r="A6057" s="6">
        <v>45550</v>
      </c>
      <c r="B6057" t="str">
        <f>IFERROR(VLOOKUP($A6057,原始数据_收盘!$A$4:$G$3460,2,0),"")</f>
        <v/>
      </c>
      <c r="C6057" t="str">
        <f>IFERROR(VLOOKUP($A6057,原始数据_收盘!$A$4:$G$3460,3,0),"")</f>
        <v/>
      </c>
      <c r="D6057" t="str">
        <f>IFERROR(VLOOKUP($A6057,原始数据_收盘!$A$4:$G$3460,4,0),"")</f>
        <v/>
      </c>
      <c r="E6057" t="str">
        <f>IFERROR(VLOOKUP($A6057,原始数据_收盘!$A$4:$G$3460,5,0),"")</f>
        <v/>
      </c>
      <c r="F6057" t="str">
        <f>IFERROR(VLOOKUP($A6057,原始数据_收盘!$A$4:$G$3460,6,0),"")</f>
        <v/>
      </c>
      <c r="G6057" t="str">
        <f>IFERROR(VLOOKUP($A6057,原始数据_收盘!$A$4:$G$3460,7,0),"")</f>
        <v/>
      </c>
      <c r="H6057" t="str">
        <f>IFERROR(VLOOKUP($A6057,原始数据_利率互换_FR007_1年!$A$6:$C$4395,2,0),"")</f>
        <v/>
      </c>
      <c r="I6057" t="str">
        <f>IFERROR(VLOOKUP($A6057,原始数据_利率互换_FR007_1年!$A$6:$C$4395,3,0),"")</f>
        <v/>
      </c>
    </row>
    <row r="6058" spans="1:9">
      <c r="A6058" s="6">
        <v>45551</v>
      </c>
      <c r="B6058" t="str">
        <f>IFERROR(VLOOKUP($A6058,原始数据_收盘!$A$4:$G$3460,2,0),"")</f>
        <v/>
      </c>
      <c r="C6058" t="str">
        <f>IFERROR(VLOOKUP($A6058,原始数据_收盘!$A$4:$G$3460,3,0),"")</f>
        <v/>
      </c>
      <c r="D6058" t="str">
        <f>IFERROR(VLOOKUP($A6058,原始数据_收盘!$A$4:$G$3460,4,0),"")</f>
        <v/>
      </c>
      <c r="E6058" t="str">
        <f>IFERROR(VLOOKUP($A6058,原始数据_收盘!$A$4:$G$3460,5,0),"")</f>
        <v/>
      </c>
      <c r="F6058" t="str">
        <f>IFERROR(VLOOKUP($A6058,原始数据_收盘!$A$4:$G$3460,6,0),"")</f>
        <v/>
      </c>
      <c r="G6058" t="str">
        <f>IFERROR(VLOOKUP($A6058,原始数据_收盘!$A$4:$G$3460,7,0),"")</f>
        <v/>
      </c>
      <c r="H6058" t="str">
        <f>IFERROR(VLOOKUP($A6058,原始数据_利率互换_FR007_1年!$A$6:$C$4395,2,0),"")</f>
        <v/>
      </c>
      <c r="I6058" t="str">
        <f>IFERROR(VLOOKUP($A6058,原始数据_利率互换_FR007_1年!$A$6:$C$4395,3,0),"")</f>
        <v/>
      </c>
    </row>
    <row r="6059" spans="1:9">
      <c r="A6059" s="6">
        <v>45552</v>
      </c>
      <c r="B6059" t="str">
        <f>IFERROR(VLOOKUP($A6059,原始数据_收盘!$A$4:$G$3460,2,0),"")</f>
        <v/>
      </c>
      <c r="C6059" t="str">
        <f>IFERROR(VLOOKUP($A6059,原始数据_收盘!$A$4:$G$3460,3,0),"")</f>
        <v/>
      </c>
      <c r="D6059" t="str">
        <f>IFERROR(VLOOKUP($A6059,原始数据_收盘!$A$4:$G$3460,4,0),"")</f>
        <v/>
      </c>
      <c r="E6059" t="str">
        <f>IFERROR(VLOOKUP($A6059,原始数据_收盘!$A$4:$G$3460,5,0),"")</f>
        <v/>
      </c>
      <c r="F6059" t="str">
        <f>IFERROR(VLOOKUP($A6059,原始数据_收盘!$A$4:$G$3460,6,0),"")</f>
        <v/>
      </c>
      <c r="G6059" t="str">
        <f>IFERROR(VLOOKUP($A6059,原始数据_收盘!$A$4:$G$3460,7,0),"")</f>
        <v/>
      </c>
      <c r="H6059" t="str">
        <f>IFERROR(VLOOKUP($A6059,原始数据_利率互换_FR007_1年!$A$6:$C$4395,2,0),"")</f>
        <v/>
      </c>
      <c r="I6059" t="str">
        <f>IFERROR(VLOOKUP($A6059,原始数据_利率互换_FR007_1年!$A$6:$C$4395,3,0),"")</f>
        <v/>
      </c>
    </row>
    <row r="6060" spans="1:9">
      <c r="A6060" s="6">
        <v>45553</v>
      </c>
      <c r="B6060">
        <f>IFERROR(VLOOKUP($A6060,原始数据_收盘!$A$4:$G$3460,2,0),"")</f>
        <v>1.7175</v>
      </c>
      <c r="C6060">
        <f>IFERROR(VLOOKUP($A6060,原始数据_收盘!$A$4:$G$3460,3,0),"")</f>
        <v>1.695</v>
      </c>
      <c r="D6060">
        <f>IFERROR(VLOOKUP($A6060,原始数据_收盘!$A$4:$G$3460,4,0),"")</f>
        <v>1.72</v>
      </c>
      <c r="E6060">
        <f>IFERROR(VLOOKUP($A6060,原始数据_收盘!$A$4:$G$3460,5,0),"")</f>
        <v>1.6975</v>
      </c>
      <c r="F6060">
        <f>IFERROR(VLOOKUP($A6060,原始数据_收盘!$A$4:$G$3460,6,0),"")</f>
        <v>1.7188</v>
      </c>
      <c r="G6060">
        <f>IFERROR(VLOOKUP($A6060,原始数据_收盘!$A$4:$G$3460,7,0),"")</f>
        <v>1.6963</v>
      </c>
      <c r="H6060">
        <f>IFERROR(VLOOKUP($A6060,原始数据_利率互换_FR007_1年!$A$6:$C$4395,2,0),"")</f>
        <v>1.7107</v>
      </c>
      <c r="I6060">
        <f>IFERROR(VLOOKUP($A6060,原始数据_利率互换_FR007_1年!$A$6:$C$4395,3,0),"")</f>
        <v>1.6963</v>
      </c>
    </row>
    <row r="6061" spans="1:9">
      <c r="A6061" s="6">
        <v>45554</v>
      </c>
      <c r="B6061">
        <f>IFERROR(VLOOKUP($A6061,原始数据_收盘!$A$4:$G$3460,2,0),"")</f>
        <v>1.7175</v>
      </c>
      <c r="C6061">
        <f>IFERROR(VLOOKUP($A6061,原始数据_收盘!$A$4:$G$3460,3,0),"")</f>
        <v>1.705</v>
      </c>
      <c r="D6061">
        <f>IFERROR(VLOOKUP($A6061,原始数据_收盘!$A$4:$G$3460,4,0),"")</f>
        <v>1.72</v>
      </c>
      <c r="E6061">
        <f>IFERROR(VLOOKUP($A6061,原始数据_收盘!$A$4:$G$3460,5,0),"")</f>
        <v>1.7075</v>
      </c>
      <c r="F6061">
        <f>IFERROR(VLOOKUP($A6061,原始数据_收盘!$A$4:$G$3460,6,0),"")</f>
        <v>1.7188</v>
      </c>
      <c r="G6061">
        <f>IFERROR(VLOOKUP($A6061,原始数据_收盘!$A$4:$G$3460,7,0),"")</f>
        <v>1.7063</v>
      </c>
      <c r="H6061">
        <f>IFERROR(VLOOKUP($A6061,原始数据_利率互换_FR007_1年!$A$6:$C$4395,2,0),"")</f>
        <v>1.7201</v>
      </c>
      <c r="I6061">
        <f>IFERROR(VLOOKUP($A6061,原始数据_利率互换_FR007_1年!$A$6:$C$4395,3,0),"")</f>
        <v>1.7055</v>
      </c>
    </row>
    <row r="6062" spans="1:9">
      <c r="A6062" s="6">
        <v>45555</v>
      </c>
      <c r="B6062">
        <f>IFERROR(VLOOKUP($A6062,原始数据_收盘!$A$4:$G$3460,2,0),"")</f>
        <v>1.7175</v>
      </c>
      <c r="C6062">
        <f>IFERROR(VLOOKUP($A6062,原始数据_收盘!$A$4:$G$3460,3,0),"")</f>
        <v>1.6958</v>
      </c>
      <c r="D6062">
        <f>IFERROR(VLOOKUP($A6062,原始数据_收盘!$A$4:$G$3460,4,0),"")</f>
        <v>1.72</v>
      </c>
      <c r="E6062">
        <f>IFERROR(VLOOKUP($A6062,原始数据_收盘!$A$4:$G$3460,5,0),"")</f>
        <v>1.6993</v>
      </c>
      <c r="F6062">
        <f>IFERROR(VLOOKUP($A6062,原始数据_收盘!$A$4:$G$3460,6,0),"")</f>
        <v>1.7188</v>
      </c>
      <c r="G6062">
        <f>IFERROR(VLOOKUP($A6062,原始数据_收盘!$A$4:$G$3460,7,0),"")</f>
        <v>1.6975</v>
      </c>
      <c r="H6062">
        <f>IFERROR(VLOOKUP($A6062,原始数据_利率互换_FR007_1年!$A$6:$C$4395,2,0),"")</f>
        <v>1.7201</v>
      </c>
      <c r="I6062">
        <f>IFERROR(VLOOKUP($A6062,原始数据_利率互换_FR007_1年!$A$6:$C$4395,3,0),"")</f>
        <v>1.702</v>
      </c>
    </row>
    <row r="6063" spans="1:9">
      <c r="A6063" s="6">
        <v>45556</v>
      </c>
      <c r="B6063" t="str">
        <f>IFERROR(VLOOKUP($A6063,原始数据_收盘!$A$4:$G$3460,2,0),"")</f>
        <v/>
      </c>
      <c r="C6063" t="str">
        <f>IFERROR(VLOOKUP($A6063,原始数据_收盘!$A$4:$G$3460,3,0),"")</f>
        <v/>
      </c>
      <c r="D6063" t="str">
        <f>IFERROR(VLOOKUP($A6063,原始数据_收盘!$A$4:$G$3460,4,0),"")</f>
        <v/>
      </c>
      <c r="E6063" t="str">
        <f>IFERROR(VLOOKUP($A6063,原始数据_收盘!$A$4:$G$3460,5,0),"")</f>
        <v/>
      </c>
      <c r="F6063" t="str">
        <f>IFERROR(VLOOKUP($A6063,原始数据_收盘!$A$4:$G$3460,6,0),"")</f>
        <v/>
      </c>
      <c r="G6063" t="str">
        <f>IFERROR(VLOOKUP($A6063,原始数据_收盘!$A$4:$G$3460,7,0),"")</f>
        <v/>
      </c>
      <c r="H6063" t="str">
        <f>IFERROR(VLOOKUP($A6063,原始数据_利率互换_FR007_1年!$A$6:$C$4395,2,0),"")</f>
        <v/>
      </c>
      <c r="I6063" t="str">
        <f>IFERROR(VLOOKUP($A6063,原始数据_利率互换_FR007_1年!$A$6:$C$4395,3,0),"")</f>
        <v/>
      </c>
    </row>
    <row r="6064" spans="1:9">
      <c r="A6064" s="6">
        <v>45557</v>
      </c>
      <c r="B6064" t="str">
        <f>IFERROR(VLOOKUP($A6064,原始数据_收盘!$A$4:$G$3460,2,0),"")</f>
        <v/>
      </c>
      <c r="C6064" t="str">
        <f>IFERROR(VLOOKUP($A6064,原始数据_收盘!$A$4:$G$3460,3,0),"")</f>
        <v/>
      </c>
      <c r="D6064" t="str">
        <f>IFERROR(VLOOKUP($A6064,原始数据_收盘!$A$4:$G$3460,4,0),"")</f>
        <v/>
      </c>
      <c r="E6064" t="str">
        <f>IFERROR(VLOOKUP($A6064,原始数据_收盘!$A$4:$G$3460,5,0),"")</f>
        <v/>
      </c>
      <c r="F6064" t="str">
        <f>IFERROR(VLOOKUP($A6064,原始数据_收盘!$A$4:$G$3460,6,0),"")</f>
        <v/>
      </c>
      <c r="G6064" t="str">
        <f>IFERROR(VLOOKUP($A6064,原始数据_收盘!$A$4:$G$3460,7,0),"")</f>
        <v/>
      </c>
      <c r="H6064" t="str">
        <f>IFERROR(VLOOKUP($A6064,原始数据_利率互换_FR007_1年!$A$6:$C$4395,2,0),"")</f>
        <v/>
      </c>
      <c r="I6064" t="str">
        <f>IFERROR(VLOOKUP($A6064,原始数据_利率互换_FR007_1年!$A$6:$C$4395,3,0),"")</f>
        <v/>
      </c>
    </row>
    <row r="6065" spans="1:9">
      <c r="A6065" s="6">
        <v>45558</v>
      </c>
      <c r="B6065">
        <f>IFERROR(VLOOKUP($A6065,原始数据_收盘!$A$4:$G$3460,2,0),"")</f>
        <v>1.7309</v>
      </c>
      <c r="C6065">
        <f>IFERROR(VLOOKUP($A6065,原始数据_收盘!$A$4:$G$3460,3,0),"")</f>
        <v>1.7059</v>
      </c>
      <c r="D6065">
        <f>IFERROR(VLOOKUP($A6065,原始数据_收盘!$A$4:$G$3460,4,0),"")</f>
        <v>1.7334</v>
      </c>
      <c r="E6065">
        <f>IFERROR(VLOOKUP($A6065,原始数据_收盘!$A$4:$G$3460,5,0),"")</f>
        <v>1.7084</v>
      </c>
      <c r="F6065">
        <f>IFERROR(VLOOKUP($A6065,原始数据_收盘!$A$4:$G$3460,6,0),"")</f>
        <v>1.7321</v>
      </c>
      <c r="G6065">
        <f>IFERROR(VLOOKUP($A6065,原始数据_收盘!$A$4:$G$3460,7,0),"")</f>
        <v>1.7071</v>
      </c>
      <c r="H6065">
        <f>IFERROR(VLOOKUP($A6065,原始数据_利率互换_FR007_1年!$A$6:$C$4395,2,0),"")</f>
        <v>1.7273</v>
      </c>
      <c r="I6065">
        <f>IFERROR(VLOOKUP($A6065,原始数据_利率互换_FR007_1年!$A$6:$C$4395,3,0),"")</f>
        <v>1.7027</v>
      </c>
    </row>
    <row r="6066" spans="1:9">
      <c r="A6066" s="6">
        <v>45559</v>
      </c>
      <c r="B6066">
        <f>IFERROR(VLOOKUP($A6066,原始数据_收盘!$A$4:$G$3460,2,0),"")</f>
        <v>1.6625</v>
      </c>
      <c r="C6066">
        <f>IFERROR(VLOOKUP($A6066,原始数据_收盘!$A$4:$G$3460,3,0),"")</f>
        <v>1.7115</v>
      </c>
      <c r="D6066">
        <f>IFERROR(VLOOKUP($A6066,原始数据_收盘!$A$4:$G$3460,4,0),"")</f>
        <v>1.6675</v>
      </c>
      <c r="E6066">
        <f>IFERROR(VLOOKUP($A6066,原始数据_收盘!$A$4:$G$3460,5,0),"")</f>
        <v>1.7125</v>
      </c>
      <c r="F6066">
        <f>IFERROR(VLOOKUP($A6066,原始数据_收盘!$A$4:$G$3460,6,0),"")</f>
        <v>1.665</v>
      </c>
      <c r="G6066">
        <f>IFERROR(VLOOKUP($A6066,原始数据_收盘!$A$4:$G$3460,7,0),"")</f>
        <v>1.712</v>
      </c>
      <c r="H6066">
        <f>IFERROR(VLOOKUP($A6066,原始数据_利率互换_FR007_1年!$A$6:$C$4395,2,0),"")</f>
        <v>1.6675</v>
      </c>
      <c r="I6066">
        <f>IFERROR(VLOOKUP($A6066,原始数据_利率互换_FR007_1年!$A$6:$C$4395,3,0),"")</f>
        <v>1.6928</v>
      </c>
    </row>
    <row r="6067" spans="1:9">
      <c r="A6067" s="6">
        <v>45560</v>
      </c>
      <c r="B6067">
        <f>IFERROR(VLOOKUP($A6067,原始数据_收盘!$A$4:$G$3460,2,0),"")</f>
        <v>1.6059</v>
      </c>
      <c r="C6067">
        <f>IFERROR(VLOOKUP($A6067,原始数据_收盘!$A$4:$G$3460,3,0),"")</f>
        <v>1.6554</v>
      </c>
      <c r="D6067">
        <f>IFERROR(VLOOKUP($A6067,原始数据_收盘!$A$4:$G$3460,4,0),"")</f>
        <v>1.6086</v>
      </c>
      <c r="E6067">
        <f>IFERROR(VLOOKUP($A6067,原始数据_收盘!$A$4:$G$3460,5,0),"")</f>
        <v>1.6575</v>
      </c>
      <c r="F6067">
        <f>IFERROR(VLOOKUP($A6067,原始数据_收盘!$A$4:$G$3460,6,0),"")</f>
        <v>1.6072</v>
      </c>
      <c r="G6067">
        <f>IFERROR(VLOOKUP($A6067,原始数据_收盘!$A$4:$G$3460,7,0),"")</f>
        <v>1.6565</v>
      </c>
      <c r="H6067">
        <f>IFERROR(VLOOKUP($A6067,原始数据_利率互换_FR007_1年!$A$6:$C$4395,2,0),"")</f>
        <v>1.6255</v>
      </c>
      <c r="I6067">
        <f>IFERROR(VLOOKUP($A6067,原始数据_利率互换_FR007_1年!$A$6:$C$4395,3,0),"")</f>
        <v>1.683</v>
      </c>
    </row>
    <row r="6068" spans="1:9">
      <c r="A6068" s="6">
        <v>45561</v>
      </c>
      <c r="B6068">
        <f>IFERROR(VLOOKUP($A6068,原始数据_收盘!$A$4:$G$3460,2,0),"")</f>
        <v>1.5984</v>
      </c>
      <c r="C6068">
        <f>IFERROR(VLOOKUP($A6068,原始数据_收盘!$A$4:$G$3460,3,0),"")</f>
        <v>1.68</v>
      </c>
      <c r="D6068">
        <f>IFERROR(VLOOKUP($A6068,原始数据_收盘!$A$4:$G$3460,4,0),"")</f>
        <v>1.6025</v>
      </c>
      <c r="E6068">
        <f>IFERROR(VLOOKUP($A6068,原始数据_收盘!$A$4:$G$3460,5,0),"")</f>
        <v>1.685</v>
      </c>
      <c r="F6068">
        <f>IFERROR(VLOOKUP($A6068,原始数据_收盘!$A$4:$G$3460,6,0),"")</f>
        <v>1.6004</v>
      </c>
      <c r="G6068">
        <f>IFERROR(VLOOKUP($A6068,原始数据_收盘!$A$4:$G$3460,7,0),"")</f>
        <v>1.6825</v>
      </c>
      <c r="H6068">
        <f>IFERROR(VLOOKUP($A6068,原始数据_利率互换_FR007_1年!$A$6:$C$4395,2,0),"")</f>
        <v>1.6123</v>
      </c>
      <c r="I6068">
        <f>IFERROR(VLOOKUP($A6068,原始数据_利率互换_FR007_1年!$A$6:$C$4395,3,0),"")</f>
        <v>1.6764</v>
      </c>
    </row>
    <row r="6069" spans="1:9">
      <c r="A6069" s="6">
        <v>45562</v>
      </c>
      <c r="B6069">
        <f>IFERROR(VLOOKUP($A6069,原始数据_收盘!$A$4:$G$3460,2,0),"")</f>
        <v>1.62</v>
      </c>
      <c r="C6069">
        <f>IFERROR(VLOOKUP($A6069,原始数据_收盘!$A$4:$G$3460,3,0),"")</f>
        <v>1.7955</v>
      </c>
      <c r="D6069">
        <f>IFERROR(VLOOKUP($A6069,原始数据_收盘!$A$4:$G$3460,4,0),"")</f>
        <v>1.6275</v>
      </c>
      <c r="E6069">
        <f>IFERROR(VLOOKUP($A6069,原始数据_收盘!$A$4:$G$3460,5,0),"")</f>
        <v>1.7986</v>
      </c>
      <c r="F6069">
        <f>IFERROR(VLOOKUP($A6069,原始数据_收盘!$A$4:$G$3460,6,0),"")</f>
        <v>1.6238</v>
      </c>
      <c r="G6069">
        <f>IFERROR(VLOOKUP($A6069,原始数据_收盘!$A$4:$G$3460,7,0),"")</f>
        <v>1.797</v>
      </c>
      <c r="H6069">
        <f>IFERROR(VLOOKUP($A6069,原始数据_利率互换_FR007_1年!$A$6:$C$4395,2,0),"")</f>
        <v>1.6131</v>
      </c>
      <c r="I6069">
        <f>IFERROR(VLOOKUP($A6069,原始数据_利率互换_FR007_1年!$A$6:$C$4395,3,0),"")</f>
        <v>1.7623</v>
      </c>
    </row>
    <row r="6070" spans="1:9">
      <c r="A6070" s="6">
        <v>45563</v>
      </c>
      <c r="B6070" t="str">
        <f>IFERROR(VLOOKUP($A6070,原始数据_收盘!$A$4:$G$3460,2,0),"")</f>
        <v/>
      </c>
      <c r="C6070" t="str">
        <f>IFERROR(VLOOKUP($A6070,原始数据_收盘!$A$4:$G$3460,3,0),"")</f>
        <v/>
      </c>
      <c r="D6070" t="str">
        <f>IFERROR(VLOOKUP($A6070,原始数据_收盘!$A$4:$G$3460,4,0),"")</f>
        <v/>
      </c>
      <c r="E6070" t="str">
        <f>IFERROR(VLOOKUP($A6070,原始数据_收盘!$A$4:$G$3460,5,0),"")</f>
        <v/>
      </c>
      <c r="F6070" t="str">
        <f>IFERROR(VLOOKUP($A6070,原始数据_收盘!$A$4:$G$3460,6,0),"")</f>
        <v/>
      </c>
      <c r="G6070" t="str">
        <f>IFERROR(VLOOKUP($A6070,原始数据_收盘!$A$4:$G$3460,7,0),"")</f>
        <v/>
      </c>
      <c r="H6070" t="str">
        <f>IFERROR(VLOOKUP($A6070,原始数据_利率互换_FR007_1年!$A$6:$C$4395,2,0),"")</f>
        <v/>
      </c>
      <c r="I6070" t="str">
        <f>IFERROR(VLOOKUP($A6070,原始数据_利率互换_FR007_1年!$A$6:$C$4395,3,0),"")</f>
        <v/>
      </c>
    </row>
    <row r="6071" spans="1:9">
      <c r="A6071" s="6">
        <v>45564</v>
      </c>
      <c r="B6071">
        <f>IFERROR(VLOOKUP($A6071,原始数据_收盘!$A$4:$G$3460,2,0),"")</f>
        <v>1.652</v>
      </c>
      <c r="C6071">
        <f>IFERROR(VLOOKUP($A6071,原始数据_收盘!$A$4:$G$3460,3,0),"")</f>
        <v>1.89</v>
      </c>
      <c r="D6071">
        <f>IFERROR(VLOOKUP($A6071,原始数据_收盘!$A$4:$G$3460,4,0),"")</f>
        <v>1.665</v>
      </c>
      <c r="E6071">
        <f>IFERROR(VLOOKUP($A6071,原始数据_收盘!$A$4:$G$3460,5,0),"")</f>
        <v>1.8964</v>
      </c>
      <c r="F6071">
        <f>IFERROR(VLOOKUP($A6071,原始数据_收盘!$A$4:$G$3460,6,0),"")</f>
        <v>1.6585</v>
      </c>
      <c r="G6071">
        <f>IFERROR(VLOOKUP($A6071,原始数据_收盘!$A$4:$G$3460,7,0),"")</f>
        <v>1.8932</v>
      </c>
      <c r="H6071">
        <f>IFERROR(VLOOKUP($A6071,原始数据_利率互换_FR007_1年!$A$6:$C$4395,2,0),"")</f>
        <v>1.6612</v>
      </c>
      <c r="I6071">
        <f>IFERROR(VLOOKUP($A6071,原始数据_利率互换_FR007_1年!$A$6:$C$4395,3,0),"")</f>
        <v>1.8893</v>
      </c>
    </row>
    <row r="6072" spans="1:9">
      <c r="A6072" s="6">
        <v>45565</v>
      </c>
      <c r="B6072">
        <f>IFERROR(VLOOKUP($A6072,原始数据_收盘!$A$4:$G$3460,2,0),"")</f>
        <v>1.6321</v>
      </c>
      <c r="C6072">
        <f>IFERROR(VLOOKUP($A6072,原始数据_收盘!$A$4:$G$3460,3,0),"")</f>
        <v>1.819</v>
      </c>
      <c r="D6072">
        <f>IFERROR(VLOOKUP($A6072,原始数据_收盘!$A$4:$G$3460,4,0),"")</f>
        <v>1.6375</v>
      </c>
      <c r="E6072">
        <f>IFERROR(VLOOKUP($A6072,原始数据_收盘!$A$4:$G$3460,5,0),"")</f>
        <v>1.8212</v>
      </c>
      <c r="F6072">
        <f>IFERROR(VLOOKUP($A6072,原始数据_收盘!$A$4:$G$3460,6,0),"")</f>
        <v>1.6348</v>
      </c>
      <c r="G6072">
        <f>IFERROR(VLOOKUP($A6072,原始数据_收盘!$A$4:$G$3460,7,0),"")</f>
        <v>1.8201</v>
      </c>
      <c r="H6072">
        <f>IFERROR(VLOOKUP($A6072,原始数据_利率互换_FR007_1年!$A$6:$C$4395,2,0),"")</f>
        <v>1.6431</v>
      </c>
      <c r="I6072">
        <f>IFERROR(VLOOKUP($A6072,原始数据_利率互换_FR007_1年!$A$6:$C$4395,3,0),"")</f>
        <v>1.8394</v>
      </c>
    </row>
    <row r="6073" spans="1:9">
      <c r="A6073" s="6">
        <v>45566</v>
      </c>
      <c r="B6073" t="str">
        <f>IFERROR(VLOOKUP($A6073,原始数据_收盘!$A$4:$G$3460,2,0),"")</f>
        <v/>
      </c>
      <c r="C6073" t="str">
        <f>IFERROR(VLOOKUP($A6073,原始数据_收盘!$A$4:$G$3460,3,0),"")</f>
        <v/>
      </c>
      <c r="D6073" t="str">
        <f>IFERROR(VLOOKUP($A6073,原始数据_收盘!$A$4:$G$3460,4,0),"")</f>
        <v/>
      </c>
      <c r="E6073" t="str">
        <f>IFERROR(VLOOKUP($A6073,原始数据_收盘!$A$4:$G$3460,5,0),"")</f>
        <v/>
      </c>
      <c r="F6073" t="str">
        <f>IFERROR(VLOOKUP($A6073,原始数据_收盘!$A$4:$G$3460,6,0),"")</f>
        <v/>
      </c>
      <c r="G6073" t="str">
        <f>IFERROR(VLOOKUP($A6073,原始数据_收盘!$A$4:$G$3460,7,0),"")</f>
        <v/>
      </c>
      <c r="H6073" t="str">
        <f>IFERROR(VLOOKUP($A6073,原始数据_利率互换_FR007_1年!$A$6:$C$4395,2,0),"")</f>
        <v/>
      </c>
      <c r="I6073" t="str">
        <f>IFERROR(VLOOKUP($A6073,原始数据_利率互换_FR007_1年!$A$6:$C$4395,3,0),"")</f>
        <v/>
      </c>
    </row>
    <row r="6074" spans="1:9">
      <c r="A6074" s="6">
        <v>45567</v>
      </c>
      <c r="B6074" t="str">
        <f>IFERROR(VLOOKUP($A6074,原始数据_收盘!$A$4:$G$3460,2,0),"")</f>
        <v/>
      </c>
      <c r="C6074" t="str">
        <f>IFERROR(VLOOKUP($A6074,原始数据_收盘!$A$4:$G$3460,3,0),"")</f>
        <v/>
      </c>
      <c r="D6074" t="str">
        <f>IFERROR(VLOOKUP($A6074,原始数据_收盘!$A$4:$G$3460,4,0),"")</f>
        <v/>
      </c>
      <c r="E6074" t="str">
        <f>IFERROR(VLOOKUP($A6074,原始数据_收盘!$A$4:$G$3460,5,0),"")</f>
        <v/>
      </c>
      <c r="F6074" t="str">
        <f>IFERROR(VLOOKUP($A6074,原始数据_收盘!$A$4:$G$3460,6,0),"")</f>
        <v/>
      </c>
      <c r="G6074" t="str">
        <f>IFERROR(VLOOKUP($A6074,原始数据_收盘!$A$4:$G$3460,7,0),"")</f>
        <v/>
      </c>
      <c r="H6074" t="str">
        <f>IFERROR(VLOOKUP($A6074,原始数据_利率互换_FR007_1年!$A$6:$C$4395,2,0),"")</f>
        <v/>
      </c>
      <c r="I6074" t="str">
        <f>IFERROR(VLOOKUP($A6074,原始数据_利率互换_FR007_1年!$A$6:$C$4395,3,0),"")</f>
        <v/>
      </c>
    </row>
    <row r="6075" spans="1:9">
      <c r="A6075" s="6">
        <v>45568</v>
      </c>
      <c r="B6075" t="str">
        <f>IFERROR(VLOOKUP($A6075,原始数据_收盘!$A$4:$G$3460,2,0),"")</f>
        <v/>
      </c>
      <c r="C6075" t="str">
        <f>IFERROR(VLOOKUP($A6075,原始数据_收盘!$A$4:$G$3460,3,0),"")</f>
        <v/>
      </c>
      <c r="D6075" t="str">
        <f>IFERROR(VLOOKUP($A6075,原始数据_收盘!$A$4:$G$3460,4,0),"")</f>
        <v/>
      </c>
      <c r="E6075" t="str">
        <f>IFERROR(VLOOKUP($A6075,原始数据_收盘!$A$4:$G$3460,5,0),"")</f>
        <v/>
      </c>
      <c r="F6075" t="str">
        <f>IFERROR(VLOOKUP($A6075,原始数据_收盘!$A$4:$G$3460,6,0),"")</f>
        <v/>
      </c>
      <c r="G6075" t="str">
        <f>IFERROR(VLOOKUP($A6075,原始数据_收盘!$A$4:$G$3460,7,0),"")</f>
        <v/>
      </c>
      <c r="H6075" t="str">
        <f>IFERROR(VLOOKUP($A6075,原始数据_利率互换_FR007_1年!$A$6:$C$4395,2,0),"")</f>
        <v/>
      </c>
      <c r="I6075" t="str">
        <f>IFERROR(VLOOKUP($A6075,原始数据_利率互换_FR007_1年!$A$6:$C$4395,3,0),"")</f>
        <v/>
      </c>
    </row>
    <row r="6076" spans="1:9">
      <c r="A6076" s="6">
        <v>45569</v>
      </c>
      <c r="B6076" t="str">
        <f>IFERROR(VLOOKUP($A6076,原始数据_收盘!$A$4:$G$3460,2,0),"")</f>
        <v/>
      </c>
      <c r="C6076" t="str">
        <f>IFERROR(VLOOKUP($A6076,原始数据_收盘!$A$4:$G$3460,3,0),"")</f>
        <v/>
      </c>
      <c r="D6076" t="str">
        <f>IFERROR(VLOOKUP($A6076,原始数据_收盘!$A$4:$G$3460,4,0),"")</f>
        <v/>
      </c>
      <c r="E6076" t="str">
        <f>IFERROR(VLOOKUP($A6076,原始数据_收盘!$A$4:$G$3460,5,0),"")</f>
        <v/>
      </c>
      <c r="F6076" t="str">
        <f>IFERROR(VLOOKUP($A6076,原始数据_收盘!$A$4:$G$3460,6,0),"")</f>
        <v/>
      </c>
      <c r="G6076" t="str">
        <f>IFERROR(VLOOKUP($A6076,原始数据_收盘!$A$4:$G$3460,7,0),"")</f>
        <v/>
      </c>
      <c r="H6076" t="str">
        <f>IFERROR(VLOOKUP($A6076,原始数据_利率互换_FR007_1年!$A$6:$C$4395,2,0),"")</f>
        <v/>
      </c>
      <c r="I6076" t="str">
        <f>IFERROR(VLOOKUP($A6076,原始数据_利率互换_FR007_1年!$A$6:$C$4395,3,0),"")</f>
        <v/>
      </c>
    </row>
    <row r="6077" spans="1:9">
      <c r="A6077" s="6">
        <v>45570</v>
      </c>
      <c r="B6077" t="str">
        <f>IFERROR(VLOOKUP($A6077,原始数据_收盘!$A$4:$G$3460,2,0),"")</f>
        <v/>
      </c>
      <c r="C6077" t="str">
        <f>IFERROR(VLOOKUP($A6077,原始数据_收盘!$A$4:$G$3460,3,0),"")</f>
        <v/>
      </c>
      <c r="D6077" t="str">
        <f>IFERROR(VLOOKUP($A6077,原始数据_收盘!$A$4:$G$3460,4,0),"")</f>
        <v/>
      </c>
      <c r="E6077" t="str">
        <f>IFERROR(VLOOKUP($A6077,原始数据_收盘!$A$4:$G$3460,5,0),"")</f>
        <v/>
      </c>
      <c r="F6077" t="str">
        <f>IFERROR(VLOOKUP($A6077,原始数据_收盘!$A$4:$G$3460,6,0),"")</f>
        <v/>
      </c>
      <c r="G6077" t="str">
        <f>IFERROR(VLOOKUP($A6077,原始数据_收盘!$A$4:$G$3460,7,0),"")</f>
        <v/>
      </c>
      <c r="H6077" t="str">
        <f>IFERROR(VLOOKUP($A6077,原始数据_利率互换_FR007_1年!$A$6:$C$4395,2,0),"")</f>
        <v/>
      </c>
      <c r="I6077" t="str">
        <f>IFERROR(VLOOKUP($A6077,原始数据_利率互换_FR007_1年!$A$6:$C$4395,3,0),"")</f>
        <v/>
      </c>
    </row>
    <row r="6078" spans="1:9">
      <c r="A6078" s="6">
        <v>45571</v>
      </c>
      <c r="B6078" t="str">
        <f>IFERROR(VLOOKUP($A6078,原始数据_收盘!$A$4:$G$3460,2,0),"")</f>
        <v/>
      </c>
      <c r="C6078" t="str">
        <f>IFERROR(VLOOKUP($A6078,原始数据_收盘!$A$4:$G$3460,3,0),"")</f>
        <v/>
      </c>
      <c r="D6078" t="str">
        <f>IFERROR(VLOOKUP($A6078,原始数据_收盘!$A$4:$G$3460,4,0),"")</f>
        <v/>
      </c>
      <c r="E6078" t="str">
        <f>IFERROR(VLOOKUP($A6078,原始数据_收盘!$A$4:$G$3460,5,0),"")</f>
        <v/>
      </c>
      <c r="F6078" t="str">
        <f>IFERROR(VLOOKUP($A6078,原始数据_收盘!$A$4:$G$3460,6,0),"")</f>
        <v/>
      </c>
      <c r="G6078" t="str">
        <f>IFERROR(VLOOKUP($A6078,原始数据_收盘!$A$4:$G$3460,7,0),"")</f>
        <v/>
      </c>
      <c r="H6078" t="str">
        <f>IFERROR(VLOOKUP($A6078,原始数据_利率互换_FR007_1年!$A$6:$C$4395,2,0),"")</f>
        <v/>
      </c>
      <c r="I6078" t="str">
        <f>IFERROR(VLOOKUP($A6078,原始数据_利率互换_FR007_1年!$A$6:$C$4395,3,0),"")</f>
        <v/>
      </c>
    </row>
    <row r="6079" spans="1:9">
      <c r="A6079" s="6">
        <v>45572</v>
      </c>
      <c r="B6079" t="str">
        <f>IFERROR(VLOOKUP($A6079,原始数据_收盘!$A$4:$G$3460,2,0),"")</f>
        <v/>
      </c>
      <c r="C6079" t="str">
        <f>IFERROR(VLOOKUP($A6079,原始数据_收盘!$A$4:$G$3460,3,0),"")</f>
        <v/>
      </c>
      <c r="D6079" t="str">
        <f>IFERROR(VLOOKUP($A6079,原始数据_收盘!$A$4:$G$3460,4,0),"")</f>
        <v/>
      </c>
      <c r="E6079" t="str">
        <f>IFERROR(VLOOKUP($A6079,原始数据_收盘!$A$4:$G$3460,5,0),"")</f>
        <v/>
      </c>
      <c r="F6079" t="str">
        <f>IFERROR(VLOOKUP($A6079,原始数据_收盘!$A$4:$G$3460,6,0),"")</f>
        <v/>
      </c>
      <c r="G6079" t="str">
        <f>IFERROR(VLOOKUP($A6079,原始数据_收盘!$A$4:$G$3460,7,0),"")</f>
        <v/>
      </c>
      <c r="H6079" t="str">
        <f>IFERROR(VLOOKUP($A6079,原始数据_利率互换_FR007_1年!$A$6:$C$4395,2,0),"")</f>
        <v/>
      </c>
      <c r="I6079" t="str">
        <f>IFERROR(VLOOKUP($A6079,原始数据_利率互换_FR007_1年!$A$6:$C$4395,3,0),"")</f>
        <v/>
      </c>
    </row>
    <row r="6080" spans="1:9">
      <c r="A6080" s="6">
        <v>45573</v>
      </c>
      <c r="B6080">
        <f>IFERROR(VLOOKUP($A6080,原始数据_收盘!$A$4:$G$3460,2,0),"")</f>
        <v>1.6912</v>
      </c>
      <c r="C6080">
        <f>IFERROR(VLOOKUP($A6080,原始数据_收盘!$A$4:$G$3460,3,0),"")</f>
        <v>1.8602</v>
      </c>
      <c r="D6080">
        <f>IFERROR(VLOOKUP($A6080,原始数据_收盘!$A$4:$G$3460,4,0),"")</f>
        <v>1.6949</v>
      </c>
      <c r="E6080">
        <f>IFERROR(VLOOKUP($A6080,原始数据_收盘!$A$4:$G$3460,5,0),"")</f>
        <v>1.8627</v>
      </c>
      <c r="F6080">
        <f>IFERROR(VLOOKUP($A6080,原始数据_收盘!$A$4:$G$3460,6,0),"")</f>
        <v>1.693</v>
      </c>
      <c r="G6080">
        <f>IFERROR(VLOOKUP($A6080,原始数据_收盘!$A$4:$G$3460,7,0),"")</f>
        <v>1.8614</v>
      </c>
      <c r="H6080">
        <f>IFERROR(VLOOKUP($A6080,原始数据_利率互换_FR007_1年!$A$6:$C$4395,2,0),"")</f>
        <v>1.6655</v>
      </c>
      <c r="I6080">
        <f>IFERROR(VLOOKUP($A6080,原始数据_利率互换_FR007_1年!$A$6:$C$4395,3,0),"")</f>
        <v>1.8396</v>
      </c>
    </row>
    <row r="6081" spans="1:9">
      <c r="A6081" s="6">
        <v>45574</v>
      </c>
      <c r="B6081">
        <f>IFERROR(VLOOKUP($A6081,原始数据_收盘!$A$4:$G$3460,2,0),"")</f>
        <v>1.71</v>
      </c>
      <c r="C6081">
        <f>IFERROR(VLOOKUP($A6081,原始数据_收盘!$A$4:$G$3460,3,0),"")</f>
        <v>1.83</v>
      </c>
      <c r="D6081">
        <f>IFERROR(VLOOKUP($A6081,原始数据_收盘!$A$4:$G$3460,4,0),"")</f>
        <v>1.715</v>
      </c>
      <c r="E6081">
        <f>IFERROR(VLOOKUP($A6081,原始数据_收盘!$A$4:$G$3460,5,0),"")</f>
        <v>1.835</v>
      </c>
      <c r="F6081">
        <f>IFERROR(VLOOKUP($A6081,原始数据_收盘!$A$4:$G$3460,6,0),"")</f>
        <v>1.7125</v>
      </c>
      <c r="G6081">
        <f>IFERROR(VLOOKUP($A6081,原始数据_收盘!$A$4:$G$3460,7,0),"")</f>
        <v>1.8325</v>
      </c>
      <c r="H6081">
        <f>IFERROR(VLOOKUP($A6081,原始数据_利率互换_FR007_1年!$A$6:$C$4395,2,0),"")</f>
        <v>1.7126</v>
      </c>
      <c r="I6081">
        <f>IFERROR(VLOOKUP($A6081,原始数据_利率互换_FR007_1年!$A$6:$C$4395,3,0),"")</f>
        <v>1.8454</v>
      </c>
    </row>
    <row r="6082" spans="1:9">
      <c r="A6082" s="6">
        <v>45575</v>
      </c>
      <c r="B6082">
        <f>IFERROR(VLOOKUP($A6082,原始数据_收盘!$A$4:$G$3460,2,0),"")</f>
        <v>1.6825</v>
      </c>
      <c r="C6082">
        <f>IFERROR(VLOOKUP($A6082,原始数据_收盘!$A$4:$G$3460,3,0),"")</f>
        <v>1.7775</v>
      </c>
      <c r="D6082">
        <f>IFERROR(VLOOKUP($A6082,原始数据_收盘!$A$4:$G$3460,4,0),"")</f>
        <v>1.6875</v>
      </c>
      <c r="E6082">
        <f>IFERROR(VLOOKUP($A6082,原始数据_收盘!$A$4:$G$3460,5,0),"")</f>
        <v>1.78</v>
      </c>
      <c r="F6082">
        <f>IFERROR(VLOOKUP($A6082,原始数据_收盘!$A$4:$G$3460,6,0),"")</f>
        <v>1.685</v>
      </c>
      <c r="G6082">
        <f>IFERROR(VLOOKUP($A6082,原始数据_收盘!$A$4:$G$3460,7,0),"")</f>
        <v>1.7788</v>
      </c>
      <c r="H6082">
        <f>IFERROR(VLOOKUP($A6082,原始数据_利率互换_FR007_1年!$A$6:$C$4395,2,0),"")</f>
        <v>1.6885</v>
      </c>
      <c r="I6082">
        <f>IFERROR(VLOOKUP($A6082,原始数据_利率互换_FR007_1年!$A$6:$C$4395,3,0),"")</f>
        <v>1.794</v>
      </c>
    </row>
    <row r="6083" spans="1:9">
      <c r="A6083" s="6">
        <v>45576</v>
      </c>
      <c r="B6083">
        <f>IFERROR(VLOOKUP($A6083,原始数据_收盘!$A$4:$G$3460,2,0),"")</f>
        <v>1.665</v>
      </c>
      <c r="C6083">
        <f>IFERROR(VLOOKUP($A6083,原始数据_收盘!$A$4:$G$3460,3,0),"")</f>
        <v>1.7767</v>
      </c>
      <c r="D6083">
        <f>IFERROR(VLOOKUP($A6083,原始数据_收盘!$A$4:$G$3460,4,0),"")</f>
        <v>1.6689</v>
      </c>
      <c r="E6083">
        <f>IFERROR(VLOOKUP($A6083,原始数据_收盘!$A$4:$G$3460,5,0),"")</f>
        <v>1.7793</v>
      </c>
      <c r="F6083">
        <f>IFERROR(VLOOKUP($A6083,原始数据_收盘!$A$4:$G$3460,6,0),"")</f>
        <v>1.6669</v>
      </c>
      <c r="G6083">
        <f>IFERROR(VLOOKUP($A6083,原始数据_收盘!$A$4:$G$3460,7,0),"")</f>
        <v>1.778</v>
      </c>
      <c r="H6083">
        <f>IFERROR(VLOOKUP($A6083,原始数据_利率互换_FR007_1年!$A$6:$C$4395,2,0),"")</f>
        <v>1.6549</v>
      </c>
      <c r="I6083">
        <f>IFERROR(VLOOKUP($A6083,原始数据_利率互换_FR007_1年!$A$6:$C$4395,3,0),"")</f>
        <v>1.7669</v>
      </c>
    </row>
    <row r="6084" spans="1:9">
      <c r="A6084" s="6">
        <v>45577</v>
      </c>
      <c r="B6084">
        <f>IFERROR(VLOOKUP($A6084,原始数据_收盘!$A$4:$G$3460,2,0),"")</f>
        <v>1.6625</v>
      </c>
      <c r="C6084">
        <f>IFERROR(VLOOKUP($A6084,原始数据_收盘!$A$4:$G$3460,3,0),"")</f>
        <v>1.78</v>
      </c>
      <c r="D6084">
        <f>IFERROR(VLOOKUP($A6084,原始数据_收盘!$A$4:$G$3460,4,0),"")</f>
        <v>1.67</v>
      </c>
      <c r="E6084">
        <f>IFERROR(VLOOKUP($A6084,原始数据_收盘!$A$4:$G$3460,5,0),"")</f>
        <v>1.79</v>
      </c>
      <c r="F6084">
        <f>IFERROR(VLOOKUP($A6084,原始数据_收盘!$A$4:$G$3460,6,0),"")</f>
        <v>1.6663</v>
      </c>
      <c r="G6084">
        <f>IFERROR(VLOOKUP($A6084,原始数据_收盘!$A$4:$G$3460,7,0),"")</f>
        <v>1.785</v>
      </c>
      <c r="H6084">
        <f>IFERROR(VLOOKUP($A6084,原始数据_利率互换_FR007_1年!$A$6:$C$4395,2,0),"")</f>
        <v>1.6637</v>
      </c>
      <c r="I6084">
        <f>IFERROR(VLOOKUP($A6084,原始数据_利率互换_FR007_1年!$A$6:$C$4395,3,0),"")</f>
        <v>1.7798</v>
      </c>
    </row>
    <row r="6085" spans="1:9">
      <c r="A6085" s="6">
        <v>45578</v>
      </c>
      <c r="B6085" t="str">
        <f>IFERROR(VLOOKUP($A6085,原始数据_收盘!$A$4:$G$3460,2,0),"")</f>
        <v/>
      </c>
      <c r="C6085" t="str">
        <f>IFERROR(VLOOKUP($A6085,原始数据_收盘!$A$4:$G$3460,3,0),"")</f>
        <v/>
      </c>
      <c r="D6085" t="str">
        <f>IFERROR(VLOOKUP($A6085,原始数据_收盘!$A$4:$G$3460,4,0),"")</f>
        <v/>
      </c>
      <c r="E6085" t="str">
        <f>IFERROR(VLOOKUP($A6085,原始数据_收盘!$A$4:$G$3460,5,0),"")</f>
        <v/>
      </c>
      <c r="F6085" t="str">
        <f>IFERROR(VLOOKUP($A6085,原始数据_收盘!$A$4:$G$3460,6,0),"")</f>
        <v/>
      </c>
      <c r="G6085" t="str">
        <f>IFERROR(VLOOKUP($A6085,原始数据_收盘!$A$4:$G$3460,7,0),"")</f>
        <v/>
      </c>
      <c r="H6085" t="str">
        <f>IFERROR(VLOOKUP($A6085,原始数据_利率互换_FR007_1年!$A$6:$C$4395,2,0),"")</f>
        <v/>
      </c>
      <c r="I6085" t="str">
        <f>IFERROR(VLOOKUP($A6085,原始数据_利率互换_FR007_1年!$A$6:$C$4395,3,0),"")</f>
        <v/>
      </c>
    </row>
    <row r="6086" spans="1:9">
      <c r="A6086" s="6">
        <v>45579</v>
      </c>
      <c r="B6086">
        <f>IFERROR(VLOOKUP($A6086,原始数据_收盘!$A$4:$G$3460,2,0),"")</f>
        <v>1.66</v>
      </c>
      <c r="C6086">
        <f>IFERROR(VLOOKUP($A6086,原始数据_收盘!$A$4:$G$3460,3,0),"")</f>
        <v>1.765</v>
      </c>
      <c r="D6086">
        <f>IFERROR(VLOOKUP($A6086,原始数据_收盘!$A$4:$G$3460,4,0),"")</f>
        <v>1.6625</v>
      </c>
      <c r="E6086">
        <f>IFERROR(VLOOKUP($A6086,原始数据_收盘!$A$4:$G$3460,5,0),"")</f>
        <v>1.7675</v>
      </c>
      <c r="F6086">
        <f>IFERROR(VLOOKUP($A6086,原始数据_收盘!$A$4:$G$3460,6,0),"")</f>
        <v>1.6613</v>
      </c>
      <c r="G6086">
        <f>IFERROR(VLOOKUP($A6086,原始数据_收盘!$A$4:$G$3460,7,0),"")</f>
        <v>1.7663</v>
      </c>
      <c r="H6086">
        <f>IFERROR(VLOOKUP($A6086,原始数据_利率互换_FR007_1年!$A$6:$C$4395,2,0),"")</f>
        <v>1.6561</v>
      </c>
      <c r="I6086">
        <f>IFERROR(VLOOKUP($A6086,原始数据_利率互换_FR007_1年!$A$6:$C$4395,3,0),"")</f>
        <v>1.7687</v>
      </c>
    </row>
    <row r="6087" spans="1:9">
      <c r="A6087" s="6">
        <v>45580</v>
      </c>
      <c r="B6087">
        <f>IFERROR(VLOOKUP($A6087,原始数据_收盘!$A$4:$G$3460,2,0),"")</f>
        <v>1.6633</v>
      </c>
      <c r="C6087">
        <f>IFERROR(VLOOKUP($A6087,原始数据_收盘!$A$4:$G$3460,3,0),"")</f>
        <v>1.7481</v>
      </c>
      <c r="D6087">
        <f>IFERROR(VLOOKUP($A6087,原始数据_收盘!$A$4:$G$3460,4,0),"")</f>
        <v>1.667</v>
      </c>
      <c r="E6087">
        <f>IFERROR(VLOOKUP($A6087,原始数据_收盘!$A$4:$G$3460,5,0),"")</f>
        <v>1.7506</v>
      </c>
      <c r="F6087">
        <f>IFERROR(VLOOKUP($A6087,原始数据_收盘!$A$4:$G$3460,6,0),"")</f>
        <v>1.6651</v>
      </c>
      <c r="G6087">
        <f>IFERROR(VLOOKUP($A6087,原始数据_收盘!$A$4:$G$3460,7,0),"")</f>
        <v>1.7494</v>
      </c>
      <c r="H6087">
        <f>IFERROR(VLOOKUP($A6087,原始数据_利率互换_FR007_1年!$A$6:$C$4395,2,0),"")</f>
        <v>1.6666</v>
      </c>
      <c r="I6087">
        <f>IFERROR(VLOOKUP($A6087,原始数据_利率互换_FR007_1年!$A$6:$C$4395,3,0),"")</f>
        <v>1.7616</v>
      </c>
    </row>
    <row r="6088" spans="1:9">
      <c r="A6088" s="6">
        <v>45581</v>
      </c>
      <c r="B6088">
        <f>IFERROR(VLOOKUP($A6088,原始数据_收盘!$A$4:$G$3460,2,0),"")</f>
        <v>1.69</v>
      </c>
      <c r="C6088">
        <f>IFERROR(VLOOKUP($A6088,原始数据_收盘!$A$4:$G$3460,3,0),"")</f>
        <v>1.755</v>
      </c>
      <c r="D6088">
        <f>IFERROR(VLOOKUP($A6088,原始数据_收盘!$A$4:$G$3460,4,0),"")</f>
        <v>1.6925</v>
      </c>
      <c r="E6088">
        <f>IFERROR(VLOOKUP($A6088,原始数据_收盘!$A$4:$G$3460,5,0),"")</f>
        <v>1.7575</v>
      </c>
      <c r="F6088">
        <f>IFERROR(VLOOKUP($A6088,原始数据_收盘!$A$4:$G$3460,6,0),"")</f>
        <v>1.6913</v>
      </c>
      <c r="G6088">
        <f>IFERROR(VLOOKUP($A6088,原始数据_收盘!$A$4:$G$3460,7,0),"")</f>
        <v>1.7563</v>
      </c>
      <c r="H6088">
        <f>IFERROR(VLOOKUP($A6088,原始数据_利率互换_FR007_1年!$A$6:$C$4395,2,0),"")</f>
        <v>1.6801</v>
      </c>
      <c r="I6088">
        <f>IFERROR(VLOOKUP($A6088,原始数据_利率互换_FR007_1年!$A$6:$C$4395,3,0),"")</f>
        <v>1.7503</v>
      </c>
    </row>
    <row r="6089" spans="1:9">
      <c r="A6089" s="6">
        <v>45582</v>
      </c>
      <c r="B6089">
        <f>IFERROR(VLOOKUP($A6089,原始数据_收盘!$A$4:$G$3460,2,0),"")</f>
        <v>1.6925</v>
      </c>
      <c r="C6089">
        <f>IFERROR(VLOOKUP($A6089,原始数据_收盘!$A$4:$G$3460,3,0),"")</f>
        <v>1.725</v>
      </c>
      <c r="D6089">
        <f>IFERROR(VLOOKUP($A6089,原始数据_收盘!$A$4:$G$3460,4,0),"")</f>
        <v>1.6955</v>
      </c>
      <c r="E6089">
        <f>IFERROR(VLOOKUP($A6089,原始数据_收盘!$A$4:$G$3460,5,0),"")</f>
        <v>1.7275</v>
      </c>
      <c r="F6089">
        <f>IFERROR(VLOOKUP($A6089,原始数据_收盘!$A$4:$G$3460,6,0),"")</f>
        <v>1.694</v>
      </c>
      <c r="G6089">
        <f>IFERROR(VLOOKUP($A6089,原始数据_收盘!$A$4:$G$3460,7,0),"")</f>
        <v>1.7263</v>
      </c>
      <c r="H6089">
        <f>IFERROR(VLOOKUP($A6089,原始数据_利率互换_FR007_1年!$A$6:$C$4395,2,0),"")</f>
        <v>1.6891</v>
      </c>
      <c r="I6089">
        <f>IFERROR(VLOOKUP($A6089,原始数据_利率互换_FR007_1年!$A$6:$C$4395,3,0),"")</f>
        <v>1.7361</v>
      </c>
    </row>
    <row r="6090" spans="1:9">
      <c r="A6090" s="6">
        <v>45583</v>
      </c>
      <c r="B6090">
        <f>IFERROR(VLOOKUP($A6090,原始数据_收盘!$A$4:$G$3460,2,0),"")</f>
        <v>1.6875</v>
      </c>
      <c r="C6090">
        <f>IFERROR(VLOOKUP($A6090,原始数据_收盘!$A$4:$G$3460,3,0),"")</f>
        <v>1.7512</v>
      </c>
      <c r="D6090">
        <f>IFERROR(VLOOKUP($A6090,原始数据_收盘!$A$4:$G$3460,4,0),"")</f>
        <v>1.6925</v>
      </c>
      <c r="E6090">
        <f>IFERROR(VLOOKUP($A6090,原始数据_收盘!$A$4:$G$3460,5,0),"")</f>
        <v>1.7545</v>
      </c>
      <c r="F6090">
        <f>IFERROR(VLOOKUP($A6090,原始数据_收盘!$A$4:$G$3460,6,0),"")</f>
        <v>1.69</v>
      </c>
      <c r="G6090">
        <f>IFERROR(VLOOKUP($A6090,原始数据_收盘!$A$4:$G$3460,7,0),"")</f>
        <v>1.7529</v>
      </c>
      <c r="H6090">
        <f>IFERROR(VLOOKUP($A6090,原始数据_利率互换_FR007_1年!$A$6:$C$4395,2,0),"")</f>
        <v>1.69</v>
      </c>
      <c r="I6090">
        <f>IFERROR(VLOOKUP($A6090,原始数据_利率互换_FR007_1年!$A$6:$C$4395,3,0),"")</f>
        <v>1.7382</v>
      </c>
    </row>
    <row r="6091" spans="1:9">
      <c r="A6091" s="6">
        <v>45584</v>
      </c>
      <c r="B6091" t="str">
        <f>IFERROR(VLOOKUP($A6091,原始数据_收盘!$A$4:$G$3460,2,0),"")</f>
        <v/>
      </c>
      <c r="C6091" t="str">
        <f>IFERROR(VLOOKUP($A6091,原始数据_收盘!$A$4:$G$3460,3,0),"")</f>
        <v/>
      </c>
      <c r="D6091" t="str">
        <f>IFERROR(VLOOKUP($A6091,原始数据_收盘!$A$4:$G$3460,4,0),"")</f>
        <v/>
      </c>
      <c r="E6091" t="str">
        <f>IFERROR(VLOOKUP($A6091,原始数据_收盘!$A$4:$G$3460,5,0),"")</f>
        <v/>
      </c>
      <c r="F6091" t="str">
        <f>IFERROR(VLOOKUP($A6091,原始数据_收盘!$A$4:$G$3460,6,0),"")</f>
        <v/>
      </c>
      <c r="G6091" t="str">
        <f>IFERROR(VLOOKUP($A6091,原始数据_收盘!$A$4:$G$3460,7,0),"")</f>
        <v/>
      </c>
      <c r="H6091" t="str">
        <f>IFERROR(VLOOKUP($A6091,原始数据_利率互换_FR007_1年!$A$6:$C$4395,2,0),"")</f>
        <v/>
      </c>
      <c r="I6091" t="str">
        <f>IFERROR(VLOOKUP($A6091,原始数据_利率互换_FR007_1年!$A$6:$C$4395,3,0),"")</f>
        <v/>
      </c>
    </row>
    <row r="6092" spans="1:9">
      <c r="A6092" s="6">
        <v>45585</v>
      </c>
      <c r="B6092" t="str">
        <f>IFERROR(VLOOKUP($A6092,原始数据_收盘!$A$4:$G$3460,2,0),"")</f>
        <v/>
      </c>
      <c r="C6092" t="str">
        <f>IFERROR(VLOOKUP($A6092,原始数据_收盘!$A$4:$G$3460,3,0),"")</f>
        <v/>
      </c>
      <c r="D6092" t="str">
        <f>IFERROR(VLOOKUP($A6092,原始数据_收盘!$A$4:$G$3460,4,0),"")</f>
        <v/>
      </c>
      <c r="E6092" t="str">
        <f>IFERROR(VLOOKUP($A6092,原始数据_收盘!$A$4:$G$3460,5,0),"")</f>
        <v/>
      </c>
      <c r="F6092" t="str">
        <f>IFERROR(VLOOKUP($A6092,原始数据_收盘!$A$4:$G$3460,6,0),"")</f>
        <v/>
      </c>
      <c r="G6092" t="str">
        <f>IFERROR(VLOOKUP($A6092,原始数据_收盘!$A$4:$G$3460,7,0),"")</f>
        <v/>
      </c>
      <c r="H6092" t="str">
        <f>IFERROR(VLOOKUP($A6092,原始数据_利率互换_FR007_1年!$A$6:$C$4395,2,0),"")</f>
        <v/>
      </c>
      <c r="I6092" t="str">
        <f>IFERROR(VLOOKUP($A6092,原始数据_利率互换_FR007_1年!$A$6:$C$4395,3,0),"")</f>
        <v/>
      </c>
    </row>
    <row r="6093" spans="1:9">
      <c r="A6093" s="6">
        <v>45586</v>
      </c>
      <c r="B6093">
        <f>IFERROR(VLOOKUP($A6093,原始数据_收盘!$A$4:$G$3460,2,0),"")</f>
        <v>1.6995</v>
      </c>
      <c r="C6093">
        <f>IFERROR(VLOOKUP($A6093,原始数据_收盘!$A$4:$G$3460,3,0),"")</f>
        <v>1.76</v>
      </c>
      <c r="D6093">
        <f>IFERROR(VLOOKUP($A6093,原始数据_收盘!$A$4:$G$3460,4,0),"")</f>
        <v>1.7025</v>
      </c>
      <c r="E6093">
        <f>IFERROR(VLOOKUP($A6093,原始数据_收盘!$A$4:$G$3460,5,0),"")</f>
        <v>1.7641</v>
      </c>
      <c r="F6093">
        <f>IFERROR(VLOOKUP($A6093,原始数据_收盘!$A$4:$G$3460,6,0),"")</f>
        <v>1.701</v>
      </c>
      <c r="G6093">
        <f>IFERROR(VLOOKUP($A6093,原始数据_收盘!$A$4:$G$3460,7,0),"")</f>
        <v>1.7621</v>
      </c>
      <c r="H6093">
        <f>IFERROR(VLOOKUP($A6093,原始数据_利率互换_FR007_1年!$A$6:$C$4395,2,0),"")</f>
        <v>1.696</v>
      </c>
      <c r="I6093">
        <f>IFERROR(VLOOKUP($A6093,原始数据_利率互换_FR007_1年!$A$6:$C$4395,3,0),"")</f>
        <v>1.7557</v>
      </c>
    </row>
    <row r="6094" spans="1:9">
      <c r="A6094" s="6">
        <v>45587</v>
      </c>
      <c r="B6094">
        <f>IFERROR(VLOOKUP($A6094,原始数据_收盘!$A$4:$G$3460,2,0),"")</f>
        <v>1.7333</v>
      </c>
      <c r="C6094">
        <f>IFERROR(VLOOKUP($A6094,原始数据_收盘!$A$4:$G$3460,3,0),"")</f>
        <v>1.7946</v>
      </c>
      <c r="D6094">
        <f>IFERROR(VLOOKUP($A6094,原始数据_收盘!$A$4:$G$3460,4,0),"")</f>
        <v>1.7352</v>
      </c>
      <c r="E6094">
        <f>IFERROR(VLOOKUP($A6094,原始数据_收盘!$A$4:$G$3460,5,0),"")</f>
        <v>1.7987</v>
      </c>
      <c r="F6094">
        <f>IFERROR(VLOOKUP($A6094,原始数据_收盘!$A$4:$G$3460,6,0),"")</f>
        <v>1.7342</v>
      </c>
      <c r="G6094">
        <f>IFERROR(VLOOKUP($A6094,原始数据_收盘!$A$4:$G$3460,7,0),"")</f>
        <v>1.7966</v>
      </c>
      <c r="H6094">
        <f>IFERROR(VLOOKUP($A6094,原始数据_利率互换_FR007_1年!$A$6:$C$4395,2,0),"")</f>
        <v>1.7191</v>
      </c>
      <c r="I6094">
        <f>IFERROR(VLOOKUP($A6094,原始数据_利率互换_FR007_1年!$A$6:$C$4395,3,0),"")</f>
        <v>1.7778</v>
      </c>
    </row>
    <row r="6095" spans="1:9">
      <c r="A6095" s="6">
        <v>45588</v>
      </c>
      <c r="B6095">
        <f>IFERROR(VLOOKUP($A6095,原始数据_收盘!$A$4:$G$3460,2,0),"")</f>
        <v>1.7325</v>
      </c>
      <c r="C6095">
        <f>IFERROR(VLOOKUP($A6095,原始数据_收盘!$A$4:$G$3460,3,0),"")</f>
        <v>1.8125</v>
      </c>
      <c r="D6095">
        <f>IFERROR(VLOOKUP($A6095,原始数据_收盘!$A$4:$G$3460,4,0),"")</f>
        <v>1.735</v>
      </c>
      <c r="E6095">
        <f>IFERROR(VLOOKUP($A6095,原始数据_收盘!$A$4:$G$3460,5,0),"")</f>
        <v>1.8125</v>
      </c>
      <c r="F6095">
        <f>IFERROR(VLOOKUP($A6095,原始数据_收盘!$A$4:$G$3460,6,0),"")</f>
        <v>1.7338</v>
      </c>
      <c r="G6095">
        <f>IFERROR(VLOOKUP($A6095,原始数据_收盘!$A$4:$G$3460,7,0),"")</f>
        <v>1.8125</v>
      </c>
      <c r="H6095">
        <f>IFERROR(VLOOKUP($A6095,原始数据_利率互换_FR007_1年!$A$6:$C$4395,2,0),"")</f>
        <v>1.737</v>
      </c>
      <c r="I6095">
        <f>IFERROR(VLOOKUP($A6095,原始数据_利率互换_FR007_1年!$A$6:$C$4395,3,0),"")</f>
        <v>1.8105</v>
      </c>
    </row>
    <row r="6096" spans="1:9">
      <c r="A6096" s="6">
        <v>45589</v>
      </c>
      <c r="B6096">
        <f>IFERROR(VLOOKUP($A6096,原始数据_收盘!$A$4:$G$3460,2,0),"")</f>
        <v>1.745</v>
      </c>
      <c r="C6096">
        <f>IFERROR(VLOOKUP($A6096,原始数据_收盘!$A$4:$G$3460,3,0),"")</f>
        <v>1.8369</v>
      </c>
      <c r="D6096">
        <f>IFERROR(VLOOKUP($A6096,原始数据_收盘!$A$4:$G$3460,4,0),"")</f>
        <v>1.7489</v>
      </c>
      <c r="E6096">
        <f>IFERROR(VLOOKUP($A6096,原始数据_收盘!$A$4:$G$3460,5,0),"")</f>
        <v>1.8387</v>
      </c>
      <c r="F6096">
        <f>IFERROR(VLOOKUP($A6096,原始数据_收盘!$A$4:$G$3460,6,0),"")</f>
        <v>1.7469</v>
      </c>
      <c r="G6096">
        <f>IFERROR(VLOOKUP($A6096,原始数据_收盘!$A$4:$G$3460,7,0),"")</f>
        <v>1.8378</v>
      </c>
      <c r="H6096">
        <f>IFERROR(VLOOKUP($A6096,原始数据_利率互换_FR007_1年!$A$6:$C$4395,2,0),"")</f>
        <v>1.7297</v>
      </c>
      <c r="I6096">
        <f>IFERROR(VLOOKUP($A6096,原始数据_利率互换_FR007_1年!$A$6:$C$4395,3,0),"")</f>
        <v>1.812</v>
      </c>
    </row>
    <row r="6097" spans="1:9">
      <c r="A6097" s="6">
        <v>45590</v>
      </c>
      <c r="B6097">
        <f>IFERROR(VLOOKUP($A6097,原始数据_收盘!$A$4:$G$3460,2,0),"")</f>
        <v>1.7275</v>
      </c>
      <c r="C6097">
        <f>IFERROR(VLOOKUP($A6097,原始数据_收盘!$A$4:$G$3460,3,0),"")</f>
        <v>1.8158</v>
      </c>
      <c r="D6097">
        <f>IFERROR(VLOOKUP($A6097,原始数据_收盘!$A$4:$G$3460,4,0),"")</f>
        <v>1.73</v>
      </c>
      <c r="E6097">
        <f>IFERROR(VLOOKUP($A6097,原始数据_收盘!$A$4:$G$3460,5,0),"")</f>
        <v>1.8179</v>
      </c>
      <c r="F6097">
        <f>IFERROR(VLOOKUP($A6097,原始数据_收盘!$A$4:$G$3460,6,0),"")</f>
        <v>1.7288</v>
      </c>
      <c r="G6097">
        <f>IFERROR(VLOOKUP($A6097,原始数据_收盘!$A$4:$G$3460,7,0),"")</f>
        <v>1.8168</v>
      </c>
      <c r="H6097">
        <f>IFERROR(VLOOKUP($A6097,原始数据_利率互换_FR007_1年!$A$6:$C$4395,2,0),"")</f>
        <v>1.7315</v>
      </c>
      <c r="I6097">
        <f>IFERROR(VLOOKUP($A6097,原始数据_利率互换_FR007_1年!$A$6:$C$4395,3,0),"")</f>
        <v>1.8217</v>
      </c>
    </row>
    <row r="6098" spans="1:9">
      <c r="A6098" s="6">
        <v>45591</v>
      </c>
      <c r="B6098" t="str">
        <f>IFERROR(VLOOKUP($A6098,原始数据_收盘!$A$4:$G$3460,2,0),"")</f>
        <v/>
      </c>
      <c r="C6098" t="str">
        <f>IFERROR(VLOOKUP($A6098,原始数据_收盘!$A$4:$G$3460,3,0),"")</f>
        <v/>
      </c>
      <c r="D6098" t="str">
        <f>IFERROR(VLOOKUP($A6098,原始数据_收盘!$A$4:$G$3460,4,0),"")</f>
        <v/>
      </c>
      <c r="E6098" t="str">
        <f>IFERROR(VLOOKUP($A6098,原始数据_收盘!$A$4:$G$3460,5,0),"")</f>
        <v/>
      </c>
      <c r="F6098" t="str">
        <f>IFERROR(VLOOKUP($A6098,原始数据_收盘!$A$4:$G$3460,6,0),"")</f>
        <v/>
      </c>
      <c r="G6098" t="str">
        <f>IFERROR(VLOOKUP($A6098,原始数据_收盘!$A$4:$G$3460,7,0),"")</f>
        <v/>
      </c>
      <c r="H6098" t="str">
        <f>IFERROR(VLOOKUP($A6098,原始数据_利率互换_FR007_1年!$A$6:$C$4395,2,0),"")</f>
        <v/>
      </c>
      <c r="I6098" t="str">
        <f>IFERROR(VLOOKUP($A6098,原始数据_利率互换_FR007_1年!$A$6:$C$4395,3,0),"")</f>
        <v/>
      </c>
    </row>
    <row r="6099" spans="1:9">
      <c r="A6099" s="6">
        <v>45592</v>
      </c>
      <c r="B6099" t="str">
        <f>IFERROR(VLOOKUP($A6099,原始数据_收盘!$A$4:$G$3460,2,0),"")</f>
        <v/>
      </c>
      <c r="C6099" t="str">
        <f>IFERROR(VLOOKUP($A6099,原始数据_收盘!$A$4:$G$3460,3,0),"")</f>
        <v/>
      </c>
      <c r="D6099" t="str">
        <f>IFERROR(VLOOKUP($A6099,原始数据_收盘!$A$4:$G$3460,4,0),"")</f>
        <v/>
      </c>
      <c r="E6099" t="str">
        <f>IFERROR(VLOOKUP($A6099,原始数据_收盘!$A$4:$G$3460,5,0),"")</f>
        <v/>
      </c>
      <c r="F6099" t="str">
        <f>IFERROR(VLOOKUP($A6099,原始数据_收盘!$A$4:$G$3460,6,0),"")</f>
        <v/>
      </c>
      <c r="G6099" t="str">
        <f>IFERROR(VLOOKUP($A6099,原始数据_收盘!$A$4:$G$3460,7,0),"")</f>
        <v/>
      </c>
      <c r="H6099" t="str">
        <f>IFERROR(VLOOKUP($A6099,原始数据_利率互换_FR007_1年!$A$6:$C$4395,2,0),"")</f>
        <v/>
      </c>
      <c r="I6099" t="str">
        <f>IFERROR(VLOOKUP($A6099,原始数据_利率互换_FR007_1年!$A$6:$C$4395,3,0),"")</f>
        <v/>
      </c>
    </row>
    <row r="6100" spans="1:9">
      <c r="A6100" s="6">
        <v>45593</v>
      </c>
      <c r="B6100">
        <f>IFERROR(VLOOKUP($A6100,原始数据_收盘!$A$4:$G$3460,2,0),"")</f>
        <v>1.71</v>
      </c>
      <c r="C6100">
        <f>IFERROR(VLOOKUP($A6100,原始数据_收盘!$A$4:$G$3460,3,0),"")</f>
        <v>1.805</v>
      </c>
      <c r="D6100">
        <f>IFERROR(VLOOKUP($A6100,原始数据_收盘!$A$4:$G$3460,4,0),"")</f>
        <v>1.713</v>
      </c>
      <c r="E6100">
        <f>IFERROR(VLOOKUP($A6100,原始数据_收盘!$A$4:$G$3460,5,0),"")</f>
        <v>1.81</v>
      </c>
      <c r="F6100">
        <f>IFERROR(VLOOKUP($A6100,原始数据_收盘!$A$4:$G$3460,6,0),"")</f>
        <v>1.7115</v>
      </c>
      <c r="G6100">
        <f>IFERROR(VLOOKUP($A6100,原始数据_收盘!$A$4:$G$3460,7,0),"")</f>
        <v>1.8075</v>
      </c>
      <c r="H6100">
        <f>IFERROR(VLOOKUP($A6100,原始数据_利率互换_FR007_1年!$A$6:$C$4395,2,0),"")</f>
        <v>1.7142</v>
      </c>
      <c r="I6100">
        <f>IFERROR(VLOOKUP($A6100,原始数据_利率互换_FR007_1年!$A$6:$C$4395,3,0),"")</f>
        <v>1.8114</v>
      </c>
    </row>
    <row r="6101" spans="1:9">
      <c r="A6101" s="6">
        <v>45594</v>
      </c>
      <c r="B6101">
        <f>IFERROR(VLOOKUP($A6101,原始数据_收盘!$A$4:$G$3460,2,0),"")</f>
        <v>1.705</v>
      </c>
      <c r="C6101">
        <f>IFERROR(VLOOKUP($A6101,原始数据_收盘!$A$4:$G$3460,3,0),"")</f>
        <v>1.79</v>
      </c>
      <c r="D6101">
        <f>IFERROR(VLOOKUP($A6101,原始数据_收盘!$A$4:$G$3460,4,0),"")</f>
        <v>1.7075</v>
      </c>
      <c r="E6101">
        <f>IFERROR(VLOOKUP($A6101,原始数据_收盘!$A$4:$G$3460,5,0),"")</f>
        <v>1.7944</v>
      </c>
      <c r="F6101">
        <f>IFERROR(VLOOKUP($A6101,原始数据_收盘!$A$4:$G$3460,6,0),"")</f>
        <v>1.7063</v>
      </c>
      <c r="G6101">
        <f>IFERROR(VLOOKUP($A6101,原始数据_收盘!$A$4:$G$3460,7,0),"")</f>
        <v>1.7922</v>
      </c>
      <c r="H6101">
        <f>IFERROR(VLOOKUP($A6101,原始数据_利率互换_FR007_1年!$A$6:$C$4395,2,0),"")</f>
        <v>1.7064</v>
      </c>
      <c r="I6101">
        <f>IFERROR(VLOOKUP($A6101,原始数据_利率互换_FR007_1年!$A$6:$C$4395,3,0),"")</f>
        <v>1.7985</v>
      </c>
    </row>
    <row r="6102" spans="1:9">
      <c r="A6102" s="6">
        <v>45595</v>
      </c>
      <c r="B6102">
        <f>IFERROR(VLOOKUP($A6102,原始数据_收盘!$A$4:$G$3460,2,0),"")</f>
        <v>1.7173</v>
      </c>
      <c r="C6102">
        <f>IFERROR(VLOOKUP($A6102,原始数据_收盘!$A$4:$G$3460,3,0),"")</f>
        <v>1.8025</v>
      </c>
      <c r="D6102">
        <f>IFERROR(VLOOKUP($A6102,原始数据_收盘!$A$4:$G$3460,4,0),"")</f>
        <v>1.72</v>
      </c>
      <c r="E6102">
        <f>IFERROR(VLOOKUP($A6102,原始数据_收盘!$A$4:$G$3460,5,0),"")</f>
        <v>1.8057</v>
      </c>
      <c r="F6102">
        <f>IFERROR(VLOOKUP($A6102,原始数据_收盘!$A$4:$G$3460,6,0),"")</f>
        <v>1.7187</v>
      </c>
      <c r="G6102">
        <f>IFERROR(VLOOKUP($A6102,原始数据_收盘!$A$4:$G$3460,7,0),"")</f>
        <v>1.8041</v>
      </c>
      <c r="H6102">
        <f>IFERROR(VLOOKUP($A6102,原始数据_利率互换_FR007_1年!$A$6:$C$4395,2,0),"")</f>
        <v>1.7115</v>
      </c>
      <c r="I6102">
        <f>IFERROR(VLOOKUP($A6102,原始数据_利率互换_FR007_1年!$A$6:$C$4395,3,0),"")</f>
        <v>1.7952</v>
      </c>
    </row>
    <row r="6103" spans="1:9">
      <c r="A6103" s="6">
        <v>45596</v>
      </c>
      <c r="B6103">
        <f>IFERROR(VLOOKUP($A6103,原始数据_收盘!$A$4:$G$3460,2,0),"")</f>
        <v>1.7</v>
      </c>
      <c r="C6103">
        <f>IFERROR(VLOOKUP($A6103,原始数据_收盘!$A$4:$G$3460,3,0),"")</f>
        <v>1.7825</v>
      </c>
      <c r="D6103">
        <f>IFERROR(VLOOKUP($A6103,原始数据_收盘!$A$4:$G$3460,4,0),"")</f>
        <v>1.7025</v>
      </c>
      <c r="E6103">
        <f>IFERROR(VLOOKUP($A6103,原始数据_收盘!$A$4:$G$3460,5,0),"")</f>
        <v>1.7875</v>
      </c>
      <c r="F6103">
        <f>IFERROR(VLOOKUP($A6103,原始数据_收盘!$A$4:$G$3460,6,0),"")</f>
        <v>1.7013</v>
      </c>
      <c r="G6103">
        <f>IFERROR(VLOOKUP($A6103,原始数据_收盘!$A$4:$G$3460,7,0),"")</f>
        <v>1.785</v>
      </c>
      <c r="H6103">
        <f>IFERROR(VLOOKUP($A6103,原始数据_利率互换_FR007_1年!$A$6:$C$4395,2,0),"")</f>
        <v>1.7156</v>
      </c>
      <c r="I6103">
        <f>IFERROR(VLOOKUP($A6103,原始数据_利率互换_FR007_1年!$A$6:$C$4395,3,0),"")</f>
        <v>1.7998</v>
      </c>
    </row>
    <row r="6104" spans="1:9">
      <c r="A6104" s="6">
        <v>45597</v>
      </c>
      <c r="B6104">
        <f>IFERROR(VLOOKUP($A6104,原始数据_收盘!$A$4:$G$3460,2,0),"")</f>
        <v>1.6678</v>
      </c>
      <c r="C6104">
        <f>IFERROR(VLOOKUP($A6104,原始数据_收盘!$A$4:$G$3460,3,0),"")</f>
        <v>1.7685</v>
      </c>
      <c r="D6104">
        <f>IFERROR(VLOOKUP($A6104,原始数据_收盘!$A$4:$G$3460,4,0),"")</f>
        <v>1.6725</v>
      </c>
      <c r="E6104">
        <f>IFERROR(VLOOKUP($A6104,原始数据_收盘!$A$4:$G$3460,5,0),"")</f>
        <v>1.7705</v>
      </c>
      <c r="F6104">
        <f>IFERROR(VLOOKUP($A6104,原始数据_收盘!$A$4:$G$3460,6,0),"")</f>
        <v>1.6702</v>
      </c>
      <c r="G6104">
        <f>IFERROR(VLOOKUP($A6104,原始数据_收盘!$A$4:$G$3460,7,0),"")</f>
        <v>1.7695</v>
      </c>
      <c r="H6104">
        <f>IFERROR(VLOOKUP($A6104,原始数据_利率互换_FR007_1年!$A$6:$C$4395,2,0),"")</f>
        <v>1.6841</v>
      </c>
      <c r="I6104">
        <f>IFERROR(VLOOKUP($A6104,原始数据_利率互换_FR007_1年!$A$6:$C$4395,3,0),"")</f>
        <v>1.7819</v>
      </c>
    </row>
    <row r="6105" spans="1:9">
      <c r="A6105" s="6">
        <v>45598</v>
      </c>
      <c r="B6105" t="str">
        <f>IFERROR(VLOOKUP($A6105,原始数据_收盘!$A$4:$G$3460,2,0),"")</f>
        <v/>
      </c>
      <c r="C6105" t="str">
        <f>IFERROR(VLOOKUP($A6105,原始数据_收盘!$A$4:$G$3460,3,0),"")</f>
        <v/>
      </c>
      <c r="D6105" t="str">
        <f>IFERROR(VLOOKUP($A6105,原始数据_收盘!$A$4:$G$3460,4,0),"")</f>
        <v/>
      </c>
      <c r="E6105" t="str">
        <f>IFERROR(VLOOKUP($A6105,原始数据_收盘!$A$4:$G$3460,5,0),"")</f>
        <v/>
      </c>
      <c r="F6105" t="str">
        <f>IFERROR(VLOOKUP($A6105,原始数据_收盘!$A$4:$G$3460,6,0),"")</f>
        <v/>
      </c>
      <c r="G6105" t="str">
        <f>IFERROR(VLOOKUP($A6105,原始数据_收盘!$A$4:$G$3460,7,0),"")</f>
        <v/>
      </c>
      <c r="H6105" t="str">
        <f>IFERROR(VLOOKUP($A6105,原始数据_利率互换_FR007_1年!$A$6:$C$4395,2,0),"")</f>
        <v/>
      </c>
      <c r="I6105" t="str">
        <f>IFERROR(VLOOKUP($A6105,原始数据_利率互换_FR007_1年!$A$6:$C$4395,3,0),"")</f>
        <v/>
      </c>
    </row>
    <row r="6106" spans="1:9">
      <c r="A6106" s="6">
        <v>45599</v>
      </c>
      <c r="B6106" t="str">
        <f>IFERROR(VLOOKUP($A6106,原始数据_收盘!$A$4:$G$3460,2,0),"")</f>
        <v/>
      </c>
      <c r="C6106" t="str">
        <f>IFERROR(VLOOKUP($A6106,原始数据_收盘!$A$4:$G$3460,3,0),"")</f>
        <v/>
      </c>
      <c r="D6106" t="str">
        <f>IFERROR(VLOOKUP($A6106,原始数据_收盘!$A$4:$G$3460,4,0),"")</f>
        <v/>
      </c>
      <c r="E6106" t="str">
        <f>IFERROR(VLOOKUP($A6106,原始数据_收盘!$A$4:$G$3460,5,0),"")</f>
        <v/>
      </c>
      <c r="F6106" t="str">
        <f>IFERROR(VLOOKUP($A6106,原始数据_收盘!$A$4:$G$3460,6,0),"")</f>
        <v/>
      </c>
      <c r="G6106" t="str">
        <f>IFERROR(VLOOKUP($A6106,原始数据_收盘!$A$4:$G$3460,7,0),"")</f>
        <v/>
      </c>
      <c r="H6106" t="str">
        <f>IFERROR(VLOOKUP($A6106,原始数据_利率互换_FR007_1年!$A$6:$C$4395,2,0),"")</f>
        <v/>
      </c>
      <c r="I6106" t="str">
        <f>IFERROR(VLOOKUP($A6106,原始数据_利率互换_FR007_1年!$A$6:$C$4395,3,0),"")</f>
        <v/>
      </c>
    </row>
    <row r="6107" spans="1:9">
      <c r="A6107" s="6">
        <v>45600</v>
      </c>
      <c r="B6107">
        <f>IFERROR(VLOOKUP($A6107,原始数据_收盘!$A$4:$G$3460,2,0),"")</f>
        <v>1.6725</v>
      </c>
      <c r="C6107">
        <f>IFERROR(VLOOKUP($A6107,原始数据_收盘!$A$4:$G$3460,3,0),"")</f>
        <v>1.775</v>
      </c>
      <c r="D6107">
        <f>IFERROR(VLOOKUP($A6107,原始数据_收盘!$A$4:$G$3460,4,0),"")</f>
        <v>1.675</v>
      </c>
      <c r="E6107">
        <f>IFERROR(VLOOKUP($A6107,原始数据_收盘!$A$4:$G$3460,5,0),"")</f>
        <v>1.7775</v>
      </c>
      <c r="F6107">
        <f>IFERROR(VLOOKUP($A6107,原始数据_收盘!$A$4:$G$3460,6,0),"")</f>
        <v>1.6738</v>
      </c>
      <c r="G6107">
        <f>IFERROR(VLOOKUP($A6107,原始数据_收盘!$A$4:$G$3460,7,0),"")</f>
        <v>1.7763</v>
      </c>
      <c r="H6107">
        <f>IFERROR(VLOOKUP($A6107,原始数据_利率互换_FR007_1年!$A$6:$C$4395,2,0),"")</f>
        <v>1.6728</v>
      </c>
      <c r="I6107">
        <f>IFERROR(VLOOKUP($A6107,原始数据_利率互换_FR007_1年!$A$6:$C$4395,3,0),"")</f>
        <v>1.7739</v>
      </c>
    </row>
    <row r="6108" spans="1:9">
      <c r="A6108" s="6">
        <v>45601</v>
      </c>
      <c r="B6108">
        <f>IFERROR(VLOOKUP($A6108,原始数据_收盘!$A$4:$G$3460,2,0),"")</f>
        <v>1.6675</v>
      </c>
      <c r="C6108">
        <f>IFERROR(VLOOKUP($A6108,原始数据_收盘!$A$4:$G$3460,3,0),"")</f>
        <v>1.76</v>
      </c>
      <c r="D6108">
        <f>IFERROR(VLOOKUP($A6108,原始数据_收盘!$A$4:$G$3460,4,0),"")</f>
        <v>1.6716</v>
      </c>
      <c r="E6108">
        <f>IFERROR(VLOOKUP($A6108,原始数据_收盘!$A$4:$G$3460,5,0),"")</f>
        <v>1.7625</v>
      </c>
      <c r="F6108">
        <f>IFERROR(VLOOKUP($A6108,原始数据_收盘!$A$4:$G$3460,6,0),"")</f>
        <v>1.6696</v>
      </c>
      <c r="G6108">
        <f>IFERROR(VLOOKUP($A6108,原始数据_收盘!$A$4:$G$3460,7,0),"")</f>
        <v>1.7613</v>
      </c>
      <c r="H6108">
        <f>IFERROR(VLOOKUP($A6108,原始数据_利率互换_FR007_1年!$A$6:$C$4395,2,0),"")</f>
        <v>1.6725</v>
      </c>
      <c r="I6108">
        <f>IFERROR(VLOOKUP($A6108,原始数据_利率互换_FR007_1年!$A$6:$C$4395,3,0),"")</f>
        <v>1.77</v>
      </c>
    </row>
    <row r="6109" spans="1:9">
      <c r="A6109" s="6">
        <v>45602</v>
      </c>
      <c r="B6109">
        <f>IFERROR(VLOOKUP($A6109,原始数据_收盘!$A$4:$G$3460,2,0),"")</f>
        <v>1.6761</v>
      </c>
      <c r="C6109">
        <f>IFERROR(VLOOKUP($A6109,原始数据_收盘!$A$4:$G$3460,3,0),"")</f>
        <v>1.7554</v>
      </c>
      <c r="D6109">
        <f>IFERROR(VLOOKUP($A6109,原始数据_收盘!$A$4:$G$3460,4,0),"")</f>
        <v>1.68</v>
      </c>
      <c r="E6109">
        <f>IFERROR(VLOOKUP($A6109,原始数据_收盘!$A$4:$G$3460,5,0),"")</f>
        <v>1.7577</v>
      </c>
      <c r="F6109">
        <f>IFERROR(VLOOKUP($A6109,原始数据_收盘!$A$4:$G$3460,6,0),"")</f>
        <v>1.6781</v>
      </c>
      <c r="G6109">
        <f>IFERROR(VLOOKUP($A6109,原始数据_收盘!$A$4:$G$3460,7,0),"")</f>
        <v>1.7566</v>
      </c>
      <c r="H6109">
        <f>IFERROR(VLOOKUP($A6109,原始数据_利率互换_FR007_1年!$A$6:$C$4395,2,0),"")</f>
        <v>1.669</v>
      </c>
      <c r="I6109">
        <f>IFERROR(VLOOKUP($A6109,原始数据_利率互换_FR007_1年!$A$6:$C$4395,3,0),"")</f>
        <v>1.7504</v>
      </c>
    </row>
    <row r="6110" spans="1:9">
      <c r="A6110" s="6">
        <v>45603</v>
      </c>
      <c r="B6110">
        <f>IFERROR(VLOOKUP($A6110,原始数据_收盘!$A$4:$G$3460,2,0),"")</f>
        <v>1.64</v>
      </c>
      <c r="C6110">
        <f>IFERROR(VLOOKUP($A6110,原始数据_收盘!$A$4:$G$3460,3,0),"")</f>
        <v>1.735</v>
      </c>
      <c r="D6110">
        <f>IFERROR(VLOOKUP($A6110,原始数据_收盘!$A$4:$G$3460,4,0),"")</f>
        <v>1.643</v>
      </c>
      <c r="E6110">
        <f>IFERROR(VLOOKUP($A6110,原始数据_收盘!$A$4:$G$3460,5,0),"")</f>
        <v>1.7375</v>
      </c>
      <c r="F6110">
        <f>IFERROR(VLOOKUP($A6110,原始数据_收盘!$A$4:$G$3460,6,0),"")</f>
        <v>1.6415</v>
      </c>
      <c r="G6110">
        <f>IFERROR(VLOOKUP($A6110,原始数据_收盘!$A$4:$G$3460,7,0),"")</f>
        <v>1.7363</v>
      </c>
      <c r="H6110">
        <f>IFERROR(VLOOKUP($A6110,原始数据_利率互换_FR007_1年!$A$6:$C$4395,2,0),"")</f>
        <v>1.6471</v>
      </c>
      <c r="I6110">
        <f>IFERROR(VLOOKUP($A6110,原始数据_利率互换_FR007_1年!$A$6:$C$4395,3,0),"")</f>
        <v>1.7354</v>
      </c>
    </row>
    <row r="6111" spans="1:9">
      <c r="A6111" s="6">
        <v>45604</v>
      </c>
      <c r="B6111">
        <f>IFERROR(VLOOKUP($A6111,原始数据_收盘!$A$4:$G$3460,2,0),"")</f>
        <v>1.6392</v>
      </c>
      <c r="C6111">
        <f>IFERROR(VLOOKUP($A6111,原始数据_收盘!$A$4:$G$3460,3,0),"")</f>
        <v>1.7128</v>
      </c>
      <c r="D6111">
        <f>IFERROR(VLOOKUP($A6111,原始数据_收盘!$A$4:$G$3460,4,0),"")</f>
        <v>1.6441</v>
      </c>
      <c r="E6111">
        <f>IFERROR(VLOOKUP($A6111,原始数据_收盘!$A$4:$G$3460,5,0),"")</f>
        <v>1.7141</v>
      </c>
      <c r="F6111">
        <f>IFERROR(VLOOKUP($A6111,原始数据_收盘!$A$4:$G$3460,6,0),"")</f>
        <v>1.6417</v>
      </c>
      <c r="G6111">
        <f>IFERROR(VLOOKUP($A6111,原始数据_收盘!$A$4:$G$3460,7,0),"")</f>
        <v>1.7134</v>
      </c>
      <c r="H6111">
        <f>IFERROR(VLOOKUP($A6111,原始数据_利率互换_FR007_1年!$A$6:$C$4395,2,0),"")</f>
        <v>1.651</v>
      </c>
      <c r="I6111">
        <f>IFERROR(VLOOKUP($A6111,原始数据_利率互换_FR007_1年!$A$6:$C$4395,3,0),"")</f>
        <v>1.7244</v>
      </c>
    </row>
    <row r="6112" spans="1:9">
      <c r="A6112" s="6">
        <v>45605</v>
      </c>
      <c r="B6112" t="str">
        <f>IFERROR(VLOOKUP($A6112,原始数据_收盘!$A$4:$G$3460,2,0),"")</f>
        <v/>
      </c>
      <c r="C6112" t="str">
        <f>IFERROR(VLOOKUP($A6112,原始数据_收盘!$A$4:$G$3460,3,0),"")</f>
        <v/>
      </c>
      <c r="D6112" t="str">
        <f>IFERROR(VLOOKUP($A6112,原始数据_收盘!$A$4:$G$3460,4,0),"")</f>
        <v/>
      </c>
      <c r="E6112" t="str">
        <f>IFERROR(VLOOKUP($A6112,原始数据_收盘!$A$4:$G$3460,5,0),"")</f>
        <v/>
      </c>
      <c r="F6112" t="str">
        <f>IFERROR(VLOOKUP($A6112,原始数据_收盘!$A$4:$G$3460,6,0),"")</f>
        <v/>
      </c>
      <c r="G6112" t="str">
        <f>IFERROR(VLOOKUP($A6112,原始数据_收盘!$A$4:$G$3460,7,0),"")</f>
        <v/>
      </c>
      <c r="H6112" t="str">
        <f>IFERROR(VLOOKUP($A6112,原始数据_利率互换_FR007_1年!$A$6:$C$4395,2,0),"")</f>
        <v/>
      </c>
      <c r="I6112" t="str">
        <f>IFERROR(VLOOKUP($A6112,原始数据_利率互换_FR007_1年!$A$6:$C$4395,3,0),"")</f>
        <v/>
      </c>
    </row>
    <row r="6113" spans="1:9">
      <c r="A6113" s="6">
        <v>45606</v>
      </c>
      <c r="B6113" t="str">
        <f>IFERROR(VLOOKUP($A6113,原始数据_收盘!$A$4:$G$3460,2,0),"")</f>
        <v/>
      </c>
      <c r="C6113" t="str">
        <f>IFERROR(VLOOKUP($A6113,原始数据_收盘!$A$4:$G$3460,3,0),"")</f>
        <v/>
      </c>
      <c r="D6113" t="str">
        <f>IFERROR(VLOOKUP($A6113,原始数据_收盘!$A$4:$G$3460,4,0),"")</f>
        <v/>
      </c>
      <c r="E6113" t="str">
        <f>IFERROR(VLOOKUP($A6113,原始数据_收盘!$A$4:$G$3460,5,0),"")</f>
        <v/>
      </c>
      <c r="F6113" t="str">
        <f>IFERROR(VLOOKUP($A6113,原始数据_收盘!$A$4:$G$3460,6,0),"")</f>
        <v/>
      </c>
      <c r="G6113" t="str">
        <f>IFERROR(VLOOKUP($A6113,原始数据_收盘!$A$4:$G$3460,7,0),"")</f>
        <v/>
      </c>
      <c r="H6113" t="str">
        <f>IFERROR(VLOOKUP($A6113,原始数据_利率互换_FR007_1年!$A$6:$C$4395,2,0),"")</f>
        <v/>
      </c>
      <c r="I6113" t="str">
        <f>IFERROR(VLOOKUP($A6113,原始数据_利率互换_FR007_1年!$A$6:$C$4395,3,0),"")</f>
        <v/>
      </c>
    </row>
    <row r="6114" spans="1:9">
      <c r="A6114" s="6">
        <v>45607</v>
      </c>
      <c r="B6114">
        <f>IFERROR(VLOOKUP($A6114,原始数据_收盘!$A$4:$G$3460,2,0),"")</f>
        <v>1.66</v>
      </c>
      <c r="C6114">
        <f>IFERROR(VLOOKUP($A6114,原始数据_收盘!$A$4:$G$3460,3,0),"")</f>
        <v>1.715</v>
      </c>
      <c r="D6114">
        <f>IFERROR(VLOOKUP($A6114,原始数据_收盘!$A$4:$G$3460,4,0),"")</f>
        <v>1.6625</v>
      </c>
      <c r="E6114">
        <f>IFERROR(VLOOKUP($A6114,原始数据_收盘!$A$4:$G$3460,5,0),"")</f>
        <v>1.72</v>
      </c>
      <c r="F6114">
        <f>IFERROR(VLOOKUP($A6114,原始数据_收盘!$A$4:$G$3460,6,0),"")</f>
        <v>1.6613</v>
      </c>
      <c r="G6114">
        <f>IFERROR(VLOOKUP($A6114,原始数据_收盘!$A$4:$G$3460,7,0),"")</f>
        <v>1.7175</v>
      </c>
      <c r="H6114">
        <f>IFERROR(VLOOKUP($A6114,原始数据_利率互换_FR007_1年!$A$6:$C$4395,2,0),"")</f>
        <v>1.6617</v>
      </c>
      <c r="I6114">
        <f>IFERROR(VLOOKUP($A6114,原始数据_利率互换_FR007_1年!$A$6:$C$4395,3,0),"")</f>
        <v>1.7164</v>
      </c>
    </row>
    <row r="6115" spans="1:9">
      <c r="A6115" s="6">
        <v>45608</v>
      </c>
      <c r="B6115">
        <f>IFERROR(VLOOKUP($A6115,原始数据_收盘!$A$4:$G$3460,2,0),"")</f>
        <v>1.6461</v>
      </c>
      <c r="C6115">
        <f>IFERROR(VLOOKUP($A6115,原始数据_收盘!$A$4:$G$3460,3,0),"")</f>
        <v>1.6778</v>
      </c>
      <c r="D6115">
        <f>IFERROR(VLOOKUP($A6115,原始数据_收盘!$A$4:$G$3460,4,0),"")</f>
        <v>1.65</v>
      </c>
      <c r="E6115">
        <f>IFERROR(VLOOKUP($A6115,原始数据_收盘!$A$4:$G$3460,5,0),"")</f>
        <v>1.6809</v>
      </c>
      <c r="F6115">
        <f>IFERROR(VLOOKUP($A6115,原始数据_收盘!$A$4:$G$3460,6,0),"")</f>
        <v>1.6481</v>
      </c>
      <c r="G6115">
        <f>IFERROR(VLOOKUP($A6115,原始数据_收盘!$A$4:$G$3460,7,0),"")</f>
        <v>1.6793</v>
      </c>
      <c r="H6115">
        <f>IFERROR(VLOOKUP($A6115,原始数据_利率互换_FR007_1年!$A$6:$C$4395,2,0),"")</f>
        <v>1.6502</v>
      </c>
      <c r="I6115">
        <f>IFERROR(VLOOKUP($A6115,原始数据_利率互换_FR007_1年!$A$6:$C$4395,3,0),"")</f>
        <v>1.6915</v>
      </c>
    </row>
    <row r="6116" spans="1:9">
      <c r="A6116" s="6">
        <v>45609</v>
      </c>
      <c r="B6116">
        <f>IFERROR(VLOOKUP($A6116,原始数据_收盘!$A$4:$G$3460,2,0),"")</f>
        <v>1.66</v>
      </c>
      <c r="C6116">
        <f>IFERROR(VLOOKUP($A6116,原始数据_收盘!$A$4:$G$3460,3,0),"")</f>
        <v>1.7044</v>
      </c>
      <c r="D6116">
        <f>IFERROR(VLOOKUP($A6116,原始数据_收盘!$A$4:$G$3460,4,0),"")</f>
        <v>1.665</v>
      </c>
      <c r="E6116">
        <f>IFERROR(VLOOKUP($A6116,原始数据_收盘!$A$4:$G$3460,5,0),"")</f>
        <v>1.7063</v>
      </c>
      <c r="F6116">
        <f>IFERROR(VLOOKUP($A6116,原始数据_收盘!$A$4:$G$3460,6,0),"")</f>
        <v>1.6625</v>
      </c>
      <c r="G6116">
        <f>IFERROR(VLOOKUP($A6116,原始数据_收盘!$A$4:$G$3460,7,0),"")</f>
        <v>1.7053</v>
      </c>
      <c r="H6116">
        <f>IFERROR(VLOOKUP($A6116,原始数据_利率互换_FR007_1年!$A$6:$C$4395,2,0),"")</f>
        <v>1.6563</v>
      </c>
      <c r="I6116">
        <f>IFERROR(VLOOKUP($A6116,原始数据_利率互换_FR007_1年!$A$6:$C$4395,3,0),"")</f>
        <v>1.6934</v>
      </c>
    </row>
    <row r="6117" spans="1:9">
      <c r="A6117" s="6">
        <v>45610</v>
      </c>
      <c r="B6117">
        <f>IFERROR(VLOOKUP($A6117,原始数据_收盘!$A$4:$G$3460,2,0),"")</f>
        <v>1.6511</v>
      </c>
      <c r="C6117">
        <f>IFERROR(VLOOKUP($A6117,原始数据_收盘!$A$4:$G$3460,3,0),"")</f>
        <v>1.6825</v>
      </c>
      <c r="D6117">
        <f>IFERROR(VLOOKUP($A6117,原始数据_收盘!$A$4:$G$3460,4,0),"")</f>
        <v>1.6526</v>
      </c>
      <c r="E6117">
        <f>IFERROR(VLOOKUP($A6117,原始数据_收盘!$A$4:$G$3460,5,0),"")</f>
        <v>1.685</v>
      </c>
      <c r="F6117">
        <f>IFERROR(VLOOKUP($A6117,原始数据_收盘!$A$4:$G$3460,6,0),"")</f>
        <v>1.6519</v>
      </c>
      <c r="G6117">
        <f>IFERROR(VLOOKUP($A6117,原始数据_收盘!$A$4:$G$3460,7,0),"")</f>
        <v>1.6838</v>
      </c>
      <c r="H6117">
        <f>IFERROR(VLOOKUP($A6117,原始数据_利率互换_FR007_1年!$A$6:$C$4395,2,0),"")</f>
        <v>1.6515</v>
      </c>
      <c r="I6117">
        <f>IFERROR(VLOOKUP($A6117,原始数据_利率互换_FR007_1年!$A$6:$C$4395,3,0),"")</f>
        <v>1.6958</v>
      </c>
    </row>
    <row r="6118" spans="1:9">
      <c r="A6118" s="6">
        <v>45611</v>
      </c>
      <c r="B6118">
        <f>IFERROR(VLOOKUP($A6118,原始数据_收盘!$A$4:$G$3460,2,0),"")</f>
        <v>1.6525</v>
      </c>
      <c r="C6118">
        <f>IFERROR(VLOOKUP($A6118,原始数据_收盘!$A$4:$G$3460,3,0),"")</f>
        <v>1.695</v>
      </c>
      <c r="D6118">
        <f>IFERROR(VLOOKUP($A6118,原始数据_收盘!$A$4:$G$3460,4,0),"")</f>
        <v>1.66</v>
      </c>
      <c r="E6118">
        <f>IFERROR(VLOOKUP($A6118,原始数据_收盘!$A$4:$G$3460,5,0),"")</f>
        <v>1.6975</v>
      </c>
      <c r="F6118">
        <f>IFERROR(VLOOKUP($A6118,原始数据_收盘!$A$4:$G$3460,6,0),"")</f>
        <v>1.6563</v>
      </c>
      <c r="G6118">
        <f>IFERROR(VLOOKUP($A6118,原始数据_收盘!$A$4:$G$3460,7,0),"")</f>
        <v>1.6963</v>
      </c>
      <c r="H6118">
        <f>IFERROR(VLOOKUP($A6118,原始数据_利率互换_FR007_1年!$A$6:$C$4395,2,0),"")</f>
        <v>1.6461</v>
      </c>
      <c r="I6118">
        <f>IFERROR(VLOOKUP($A6118,原始数据_利率互换_FR007_1年!$A$6:$C$4395,3,0),"")</f>
        <v>1.6859</v>
      </c>
    </row>
    <row r="6119" spans="1:9">
      <c r="A6119" s="6">
        <v>45612</v>
      </c>
      <c r="B6119" t="str">
        <f>IFERROR(VLOOKUP($A6119,原始数据_收盘!$A$4:$G$3460,2,0),"")</f>
        <v/>
      </c>
      <c r="C6119" t="str">
        <f>IFERROR(VLOOKUP($A6119,原始数据_收盘!$A$4:$G$3460,3,0),"")</f>
        <v/>
      </c>
      <c r="D6119" t="str">
        <f>IFERROR(VLOOKUP($A6119,原始数据_收盘!$A$4:$G$3460,4,0),"")</f>
        <v/>
      </c>
      <c r="E6119" t="str">
        <f>IFERROR(VLOOKUP($A6119,原始数据_收盘!$A$4:$G$3460,5,0),"")</f>
        <v/>
      </c>
      <c r="F6119" t="str">
        <f>IFERROR(VLOOKUP($A6119,原始数据_收盘!$A$4:$G$3460,6,0),"")</f>
        <v/>
      </c>
      <c r="G6119" t="str">
        <f>IFERROR(VLOOKUP($A6119,原始数据_收盘!$A$4:$G$3460,7,0),"")</f>
        <v/>
      </c>
      <c r="H6119" t="str">
        <f>IFERROR(VLOOKUP($A6119,原始数据_利率互换_FR007_1年!$A$6:$C$4395,2,0),"")</f>
        <v/>
      </c>
      <c r="I6119" t="str">
        <f>IFERROR(VLOOKUP($A6119,原始数据_利率互换_FR007_1年!$A$6:$C$4395,3,0),"")</f>
        <v/>
      </c>
    </row>
    <row r="6120" spans="1:9">
      <c r="A6120" s="6">
        <v>45613</v>
      </c>
      <c r="B6120" t="str">
        <f>IFERROR(VLOOKUP($A6120,原始数据_收盘!$A$4:$G$3460,2,0),"")</f>
        <v/>
      </c>
      <c r="C6120" t="str">
        <f>IFERROR(VLOOKUP($A6120,原始数据_收盘!$A$4:$G$3460,3,0),"")</f>
        <v/>
      </c>
      <c r="D6120" t="str">
        <f>IFERROR(VLOOKUP($A6120,原始数据_收盘!$A$4:$G$3460,4,0),"")</f>
        <v/>
      </c>
      <c r="E6120" t="str">
        <f>IFERROR(VLOOKUP($A6120,原始数据_收盘!$A$4:$G$3460,5,0),"")</f>
        <v/>
      </c>
      <c r="F6120" t="str">
        <f>IFERROR(VLOOKUP($A6120,原始数据_收盘!$A$4:$G$3460,6,0),"")</f>
        <v/>
      </c>
      <c r="G6120" t="str">
        <f>IFERROR(VLOOKUP($A6120,原始数据_收盘!$A$4:$G$3460,7,0),"")</f>
        <v/>
      </c>
      <c r="H6120" t="str">
        <f>IFERROR(VLOOKUP($A6120,原始数据_利率互换_FR007_1年!$A$6:$C$4395,2,0),"")</f>
        <v/>
      </c>
      <c r="I6120" t="str">
        <f>IFERROR(VLOOKUP($A6120,原始数据_利率互换_FR007_1年!$A$6:$C$4395,3,0),"")</f>
        <v/>
      </c>
    </row>
    <row r="6121" spans="1:9">
      <c r="A6121" s="6">
        <v>45614</v>
      </c>
      <c r="B6121">
        <f>IFERROR(VLOOKUP($A6121,原始数据_收盘!$A$4:$G$3460,2,0),"")</f>
        <v>1.6825</v>
      </c>
      <c r="C6121">
        <f>IFERROR(VLOOKUP($A6121,原始数据_收盘!$A$4:$G$3460,3,0),"")</f>
        <v>1.725</v>
      </c>
      <c r="D6121">
        <f>IFERROR(VLOOKUP($A6121,原始数据_收盘!$A$4:$G$3460,4,0),"")</f>
        <v>1.685</v>
      </c>
      <c r="E6121">
        <f>IFERROR(VLOOKUP($A6121,原始数据_收盘!$A$4:$G$3460,5,0),"")</f>
        <v>1.7275</v>
      </c>
      <c r="F6121">
        <f>IFERROR(VLOOKUP($A6121,原始数据_收盘!$A$4:$G$3460,6,0),"")</f>
        <v>1.6838</v>
      </c>
      <c r="G6121">
        <f>IFERROR(VLOOKUP($A6121,原始数据_收盘!$A$4:$G$3460,7,0),"")</f>
        <v>1.7263</v>
      </c>
      <c r="H6121">
        <f>IFERROR(VLOOKUP($A6121,原始数据_利率互换_FR007_1年!$A$6:$C$4395,2,0),"")</f>
        <v>1.6745</v>
      </c>
      <c r="I6121">
        <f>IFERROR(VLOOKUP($A6121,原始数据_利率互换_FR007_1年!$A$6:$C$4395,3,0),"")</f>
        <v>1.716</v>
      </c>
    </row>
    <row r="6122" spans="1:9">
      <c r="A6122" s="6">
        <v>45615</v>
      </c>
      <c r="B6122">
        <f>IFERROR(VLOOKUP($A6122,原始数据_收盘!$A$4:$G$3460,2,0),"")</f>
        <v>1.6625</v>
      </c>
      <c r="C6122">
        <f>IFERROR(VLOOKUP($A6122,原始数据_收盘!$A$4:$G$3460,3,0),"")</f>
        <v>1.7025</v>
      </c>
      <c r="D6122">
        <f>IFERROR(VLOOKUP($A6122,原始数据_收盘!$A$4:$G$3460,4,0),"")</f>
        <v>1.665</v>
      </c>
      <c r="E6122">
        <f>IFERROR(VLOOKUP($A6122,原始数据_收盘!$A$4:$G$3460,5,0),"")</f>
        <v>1.705</v>
      </c>
      <c r="F6122">
        <f>IFERROR(VLOOKUP($A6122,原始数据_收盘!$A$4:$G$3460,6,0),"")</f>
        <v>1.6638</v>
      </c>
      <c r="G6122">
        <f>IFERROR(VLOOKUP($A6122,原始数据_收盘!$A$4:$G$3460,7,0),"")</f>
        <v>1.7038</v>
      </c>
      <c r="H6122">
        <f>IFERROR(VLOOKUP($A6122,原始数据_利率互换_FR007_1年!$A$6:$C$4395,2,0),"")</f>
        <v>1.671</v>
      </c>
      <c r="I6122">
        <f>IFERROR(VLOOKUP($A6122,原始数据_利率互换_FR007_1年!$A$6:$C$4395,3,0),"")</f>
        <v>1.7123</v>
      </c>
    </row>
    <row r="6123" spans="1:9">
      <c r="A6123" s="6">
        <v>45616</v>
      </c>
      <c r="B6123">
        <f>IFERROR(VLOOKUP($A6123,原始数据_收盘!$A$4:$G$3460,2,0),"")</f>
        <v>1.6625</v>
      </c>
      <c r="C6123">
        <f>IFERROR(VLOOKUP($A6123,原始数据_收盘!$A$4:$G$3460,3,0),"")</f>
        <v>1.7</v>
      </c>
      <c r="D6123">
        <f>IFERROR(VLOOKUP($A6123,原始数据_收盘!$A$4:$G$3460,4,0),"")</f>
        <v>1.665</v>
      </c>
      <c r="E6123">
        <f>IFERROR(VLOOKUP($A6123,原始数据_收盘!$A$4:$G$3460,5,0),"")</f>
        <v>1.7028</v>
      </c>
      <c r="F6123">
        <f>IFERROR(VLOOKUP($A6123,原始数据_收盘!$A$4:$G$3460,6,0),"")</f>
        <v>1.6638</v>
      </c>
      <c r="G6123">
        <f>IFERROR(VLOOKUP($A6123,原始数据_收盘!$A$4:$G$3460,7,0),"")</f>
        <v>1.7014</v>
      </c>
      <c r="H6123">
        <f>IFERROR(VLOOKUP($A6123,原始数据_利率互换_FR007_1年!$A$6:$C$4395,2,0),"")</f>
        <v>1.6661</v>
      </c>
      <c r="I6123">
        <f>IFERROR(VLOOKUP($A6123,原始数据_利率互换_FR007_1年!$A$6:$C$4395,3,0),"")</f>
        <v>1.7044</v>
      </c>
    </row>
    <row r="6124" spans="1:9">
      <c r="A6124" s="6">
        <v>45617</v>
      </c>
      <c r="B6124">
        <f>IFERROR(VLOOKUP($A6124,原始数据_收盘!$A$4:$G$3460,2,0),"")</f>
        <v>1.6475</v>
      </c>
      <c r="C6124">
        <f>IFERROR(VLOOKUP($A6124,原始数据_收盘!$A$4:$G$3460,3,0),"")</f>
        <v>1.6825</v>
      </c>
      <c r="D6124">
        <f>IFERROR(VLOOKUP($A6124,原始数据_收盘!$A$4:$G$3460,4,0),"")</f>
        <v>1.65</v>
      </c>
      <c r="E6124">
        <f>IFERROR(VLOOKUP($A6124,原始数据_收盘!$A$4:$G$3460,5,0),"")</f>
        <v>1.685</v>
      </c>
      <c r="F6124">
        <f>IFERROR(VLOOKUP($A6124,原始数据_收盘!$A$4:$G$3460,6,0),"")</f>
        <v>1.6488</v>
      </c>
      <c r="G6124">
        <f>IFERROR(VLOOKUP($A6124,原始数据_收盘!$A$4:$G$3460,7,0),"")</f>
        <v>1.6838</v>
      </c>
      <c r="H6124">
        <f>IFERROR(VLOOKUP($A6124,原始数据_利率互换_FR007_1年!$A$6:$C$4395,2,0),"")</f>
        <v>1.6578</v>
      </c>
      <c r="I6124">
        <f>IFERROR(VLOOKUP($A6124,原始数据_利率互换_FR007_1年!$A$6:$C$4395,3,0),"")</f>
        <v>1.692</v>
      </c>
    </row>
    <row r="6125" spans="1:9">
      <c r="A6125" s="6">
        <v>45618</v>
      </c>
      <c r="B6125">
        <f>IFERROR(VLOOKUP($A6125,原始数据_收盘!$A$4:$G$3460,2,0),"")</f>
        <v>1.64</v>
      </c>
      <c r="C6125">
        <f>IFERROR(VLOOKUP($A6125,原始数据_收盘!$A$4:$G$3460,3,0),"")</f>
        <v>1.6825</v>
      </c>
      <c r="D6125">
        <f>IFERROR(VLOOKUP($A6125,原始数据_收盘!$A$4:$G$3460,4,0),"")</f>
        <v>1.6425</v>
      </c>
      <c r="E6125">
        <f>IFERROR(VLOOKUP($A6125,原始数据_收盘!$A$4:$G$3460,5,0),"")</f>
        <v>1.685</v>
      </c>
      <c r="F6125">
        <f>IFERROR(VLOOKUP($A6125,原始数据_收盘!$A$4:$G$3460,6,0),"")</f>
        <v>1.6413</v>
      </c>
      <c r="G6125">
        <f>IFERROR(VLOOKUP($A6125,原始数据_收盘!$A$4:$G$3460,7,0),"")</f>
        <v>1.6838</v>
      </c>
      <c r="H6125">
        <f>IFERROR(VLOOKUP($A6125,原始数据_利率互换_FR007_1年!$A$6:$C$4395,2,0),"")</f>
        <v>1.6567</v>
      </c>
      <c r="I6125">
        <f>IFERROR(VLOOKUP($A6125,原始数据_利率互换_FR007_1年!$A$6:$C$4395,3,0),"")</f>
        <v>1.6861</v>
      </c>
    </row>
    <row r="6126" spans="1:9">
      <c r="A6126" s="6">
        <v>45619</v>
      </c>
      <c r="B6126" t="str">
        <f>IFERROR(VLOOKUP($A6126,原始数据_收盘!$A$4:$G$3460,2,0),"")</f>
        <v/>
      </c>
      <c r="C6126" t="str">
        <f>IFERROR(VLOOKUP($A6126,原始数据_收盘!$A$4:$G$3460,3,0),"")</f>
        <v/>
      </c>
      <c r="D6126" t="str">
        <f>IFERROR(VLOOKUP($A6126,原始数据_收盘!$A$4:$G$3460,4,0),"")</f>
        <v/>
      </c>
      <c r="E6126" t="str">
        <f>IFERROR(VLOOKUP($A6126,原始数据_收盘!$A$4:$G$3460,5,0),"")</f>
        <v/>
      </c>
      <c r="F6126" t="str">
        <f>IFERROR(VLOOKUP($A6126,原始数据_收盘!$A$4:$G$3460,6,0),"")</f>
        <v/>
      </c>
      <c r="G6126" t="str">
        <f>IFERROR(VLOOKUP($A6126,原始数据_收盘!$A$4:$G$3460,7,0),"")</f>
        <v/>
      </c>
      <c r="H6126" t="str">
        <f>IFERROR(VLOOKUP($A6126,原始数据_利率互换_FR007_1年!$A$6:$C$4395,2,0),"")</f>
        <v/>
      </c>
      <c r="I6126" t="str">
        <f>IFERROR(VLOOKUP($A6126,原始数据_利率互换_FR007_1年!$A$6:$C$4395,3,0),"")</f>
        <v/>
      </c>
    </row>
    <row r="6127" spans="1:9">
      <c r="A6127" s="6">
        <v>45620</v>
      </c>
      <c r="B6127" t="str">
        <f>IFERROR(VLOOKUP($A6127,原始数据_收盘!$A$4:$G$3460,2,0),"")</f>
        <v/>
      </c>
      <c r="C6127" t="str">
        <f>IFERROR(VLOOKUP($A6127,原始数据_收盘!$A$4:$G$3460,3,0),"")</f>
        <v/>
      </c>
      <c r="D6127" t="str">
        <f>IFERROR(VLOOKUP($A6127,原始数据_收盘!$A$4:$G$3460,4,0),"")</f>
        <v/>
      </c>
      <c r="E6127" t="str">
        <f>IFERROR(VLOOKUP($A6127,原始数据_收盘!$A$4:$G$3460,5,0),"")</f>
        <v/>
      </c>
      <c r="F6127" t="str">
        <f>IFERROR(VLOOKUP($A6127,原始数据_收盘!$A$4:$G$3460,6,0),"")</f>
        <v/>
      </c>
      <c r="G6127" t="str">
        <f>IFERROR(VLOOKUP($A6127,原始数据_收盘!$A$4:$G$3460,7,0),"")</f>
        <v/>
      </c>
      <c r="H6127" t="str">
        <f>IFERROR(VLOOKUP($A6127,原始数据_利率互换_FR007_1年!$A$6:$C$4395,2,0),"")</f>
        <v/>
      </c>
      <c r="I6127" t="str">
        <f>IFERROR(VLOOKUP($A6127,原始数据_利率互换_FR007_1年!$A$6:$C$4395,3,0),"")</f>
        <v/>
      </c>
    </row>
    <row r="6128" spans="1:9">
      <c r="A6128" s="6">
        <v>45621</v>
      </c>
      <c r="B6128">
        <f>IFERROR(VLOOKUP($A6128,原始数据_收盘!$A$4:$G$3460,2,0),"")</f>
        <v>1.6359</v>
      </c>
      <c r="C6128">
        <f>IFERROR(VLOOKUP($A6128,原始数据_收盘!$A$4:$G$3460,3,0),"")</f>
        <v>1.6646</v>
      </c>
      <c r="D6128">
        <f>IFERROR(VLOOKUP($A6128,原始数据_收盘!$A$4:$G$3460,4,0),"")</f>
        <v>1.6393</v>
      </c>
      <c r="E6128">
        <f>IFERROR(VLOOKUP($A6128,原始数据_收盘!$A$4:$G$3460,5,0),"")</f>
        <v>1.6675</v>
      </c>
      <c r="F6128">
        <f>IFERROR(VLOOKUP($A6128,原始数据_收盘!$A$4:$G$3460,6,0),"")</f>
        <v>1.6376</v>
      </c>
      <c r="G6128">
        <f>IFERROR(VLOOKUP($A6128,原始数据_收盘!$A$4:$G$3460,7,0),"")</f>
        <v>1.666</v>
      </c>
      <c r="H6128">
        <f>IFERROR(VLOOKUP($A6128,原始数据_利率互换_FR007_1年!$A$6:$C$4395,2,0),"")</f>
        <v>1.6373</v>
      </c>
      <c r="I6128">
        <f>IFERROR(VLOOKUP($A6128,原始数据_利率互换_FR007_1年!$A$6:$C$4395,3,0),"")</f>
        <v>1.6662</v>
      </c>
    </row>
    <row r="6129" spans="1:9">
      <c r="A6129" s="6">
        <v>45622</v>
      </c>
      <c r="B6129">
        <f>IFERROR(VLOOKUP($A6129,原始数据_收盘!$A$4:$G$3460,2,0),"")</f>
        <v>1.6302</v>
      </c>
      <c r="C6129">
        <f>IFERROR(VLOOKUP($A6129,原始数据_收盘!$A$4:$G$3460,3,0),"")</f>
        <v>1.6582</v>
      </c>
      <c r="D6129">
        <f>IFERROR(VLOOKUP($A6129,原始数据_收盘!$A$4:$G$3460,4,0),"")</f>
        <v>1.6328</v>
      </c>
      <c r="E6129">
        <f>IFERROR(VLOOKUP($A6129,原始数据_收盘!$A$4:$G$3460,5,0),"")</f>
        <v>1.6607</v>
      </c>
      <c r="F6129">
        <f>IFERROR(VLOOKUP($A6129,原始数据_收盘!$A$4:$G$3460,6,0),"")</f>
        <v>1.6315</v>
      </c>
      <c r="G6129">
        <f>IFERROR(VLOOKUP($A6129,原始数据_收盘!$A$4:$G$3460,7,0),"")</f>
        <v>1.6595</v>
      </c>
      <c r="H6129">
        <f>IFERROR(VLOOKUP($A6129,原始数据_利率互换_FR007_1年!$A$6:$C$4395,2,0),"")</f>
        <v>1.6318</v>
      </c>
      <c r="I6129">
        <f>IFERROR(VLOOKUP($A6129,原始数据_利率互换_FR007_1年!$A$6:$C$4395,3,0),"")</f>
        <v>1.6593</v>
      </c>
    </row>
    <row r="6130" spans="1:9">
      <c r="A6130" s="6">
        <v>45623</v>
      </c>
      <c r="B6130">
        <f>IFERROR(VLOOKUP($A6130,原始数据_收盘!$A$4:$G$3460,2,0),"")</f>
        <v>1.6375</v>
      </c>
      <c r="C6130">
        <f>IFERROR(VLOOKUP($A6130,原始数据_收盘!$A$4:$G$3460,3,0),"")</f>
        <v>1.6693</v>
      </c>
      <c r="D6130">
        <f>IFERROR(VLOOKUP($A6130,原始数据_收盘!$A$4:$G$3460,4,0),"")</f>
        <v>1.6408</v>
      </c>
      <c r="E6130">
        <f>IFERROR(VLOOKUP($A6130,原始数据_收盘!$A$4:$G$3460,5,0),"")</f>
        <v>1.6725</v>
      </c>
      <c r="F6130">
        <f>IFERROR(VLOOKUP($A6130,原始数据_收盘!$A$4:$G$3460,6,0),"")</f>
        <v>1.6392</v>
      </c>
      <c r="G6130">
        <f>IFERROR(VLOOKUP($A6130,原始数据_收盘!$A$4:$G$3460,7,0),"")</f>
        <v>1.6709</v>
      </c>
      <c r="H6130">
        <f>IFERROR(VLOOKUP($A6130,原始数据_利率互换_FR007_1年!$A$6:$C$4395,2,0),"")</f>
        <v>1.6305</v>
      </c>
      <c r="I6130">
        <f>IFERROR(VLOOKUP($A6130,原始数据_利率互换_FR007_1年!$A$6:$C$4395,3,0),"")</f>
        <v>1.6609</v>
      </c>
    </row>
    <row r="6131" spans="1:9">
      <c r="A6131" s="6">
        <v>45624</v>
      </c>
      <c r="B6131">
        <f>IFERROR(VLOOKUP($A6131,原始数据_收盘!$A$4:$G$3460,2,0),"")</f>
        <v>1.6222</v>
      </c>
      <c r="C6131">
        <f>IFERROR(VLOOKUP($A6131,原始数据_收盘!$A$4:$G$3460,3,0),"")</f>
        <v>1.6444</v>
      </c>
      <c r="D6131">
        <f>IFERROR(VLOOKUP($A6131,原始数据_收盘!$A$4:$G$3460,4,0),"")</f>
        <v>1.625</v>
      </c>
      <c r="E6131">
        <f>IFERROR(VLOOKUP($A6131,原始数据_收盘!$A$4:$G$3460,5,0),"")</f>
        <v>1.6481</v>
      </c>
      <c r="F6131">
        <f>IFERROR(VLOOKUP($A6131,原始数据_收盘!$A$4:$G$3460,6,0),"")</f>
        <v>1.6236</v>
      </c>
      <c r="G6131">
        <f>IFERROR(VLOOKUP($A6131,原始数据_收盘!$A$4:$G$3460,7,0),"")</f>
        <v>1.6463</v>
      </c>
      <c r="H6131">
        <f>IFERROR(VLOOKUP($A6131,原始数据_利率互换_FR007_1年!$A$6:$C$4395,2,0),"")</f>
        <v>1.6328</v>
      </c>
      <c r="I6131">
        <f>IFERROR(VLOOKUP($A6131,原始数据_利率互换_FR007_1年!$A$6:$C$4395,3,0),"")</f>
        <v>1.6607</v>
      </c>
    </row>
    <row r="6132" spans="1:9">
      <c r="A6132" s="6">
        <v>45625</v>
      </c>
      <c r="B6132">
        <f>IFERROR(VLOOKUP($A6132,原始数据_收盘!$A$4:$G$3460,2,0),"")</f>
        <v>1.5874</v>
      </c>
      <c r="C6132">
        <f>IFERROR(VLOOKUP($A6132,原始数据_收盘!$A$4:$G$3460,3,0),"")</f>
        <v>1.6275</v>
      </c>
      <c r="D6132">
        <f>IFERROR(VLOOKUP($A6132,原始数据_收盘!$A$4:$G$3460,4,0),"")</f>
        <v>1.5939</v>
      </c>
      <c r="E6132">
        <f>IFERROR(VLOOKUP($A6132,原始数据_收盘!$A$4:$G$3460,5,0),"")</f>
        <v>1.6308</v>
      </c>
      <c r="F6132">
        <f>IFERROR(VLOOKUP($A6132,原始数据_收盘!$A$4:$G$3460,6,0),"")</f>
        <v>1.5907</v>
      </c>
      <c r="G6132">
        <f>IFERROR(VLOOKUP($A6132,原始数据_收盘!$A$4:$G$3460,7,0),"")</f>
        <v>1.6292</v>
      </c>
      <c r="H6132">
        <f>IFERROR(VLOOKUP($A6132,原始数据_利率互换_FR007_1年!$A$6:$C$4395,2,0),"")</f>
        <v>1.6024</v>
      </c>
      <c r="I6132">
        <f>IFERROR(VLOOKUP($A6132,原始数据_利率互换_FR007_1年!$A$6:$C$4395,3,0),"")</f>
        <v>1.6372</v>
      </c>
    </row>
    <row r="6133" spans="1:9">
      <c r="A6133" s="6">
        <v>45626</v>
      </c>
      <c r="B6133" t="str">
        <f>IFERROR(VLOOKUP($A6133,原始数据_收盘!$A$4:$G$3460,2,0),"")</f>
        <v/>
      </c>
      <c r="C6133" t="str">
        <f>IFERROR(VLOOKUP($A6133,原始数据_收盘!$A$4:$G$3460,3,0),"")</f>
        <v/>
      </c>
      <c r="D6133" t="str">
        <f>IFERROR(VLOOKUP($A6133,原始数据_收盘!$A$4:$G$3460,4,0),"")</f>
        <v/>
      </c>
      <c r="E6133" t="str">
        <f>IFERROR(VLOOKUP($A6133,原始数据_收盘!$A$4:$G$3460,5,0),"")</f>
        <v/>
      </c>
      <c r="F6133" t="str">
        <f>IFERROR(VLOOKUP($A6133,原始数据_收盘!$A$4:$G$3460,6,0),"")</f>
        <v/>
      </c>
      <c r="G6133" t="str">
        <f>IFERROR(VLOOKUP($A6133,原始数据_收盘!$A$4:$G$3460,7,0),"")</f>
        <v/>
      </c>
      <c r="H6133" t="str">
        <f>IFERROR(VLOOKUP($A6133,原始数据_利率互换_FR007_1年!$A$6:$C$4395,2,0),"")</f>
        <v/>
      </c>
      <c r="I6133" t="str">
        <f>IFERROR(VLOOKUP($A6133,原始数据_利率互换_FR007_1年!$A$6:$C$4395,3,0),"")</f>
        <v/>
      </c>
    </row>
    <row r="6134" spans="1:9">
      <c r="A6134" s="6">
        <v>45627</v>
      </c>
      <c r="B6134" t="str">
        <f>IFERROR(VLOOKUP($A6134,原始数据_收盘!$A$4:$G$3460,2,0),"")</f>
        <v/>
      </c>
      <c r="C6134" t="str">
        <f>IFERROR(VLOOKUP($A6134,原始数据_收盘!$A$4:$G$3460,3,0),"")</f>
        <v/>
      </c>
      <c r="D6134" t="str">
        <f>IFERROR(VLOOKUP($A6134,原始数据_收盘!$A$4:$G$3460,4,0),"")</f>
        <v/>
      </c>
      <c r="E6134" t="str">
        <f>IFERROR(VLOOKUP($A6134,原始数据_收盘!$A$4:$G$3460,5,0),"")</f>
        <v/>
      </c>
      <c r="F6134" t="str">
        <f>IFERROR(VLOOKUP($A6134,原始数据_收盘!$A$4:$G$3460,6,0),"")</f>
        <v/>
      </c>
      <c r="G6134" t="str">
        <f>IFERROR(VLOOKUP($A6134,原始数据_收盘!$A$4:$G$3460,7,0),"")</f>
        <v/>
      </c>
      <c r="H6134" t="str">
        <f>IFERROR(VLOOKUP($A6134,原始数据_利率互换_FR007_1年!$A$6:$C$4395,2,0),"")</f>
        <v/>
      </c>
      <c r="I6134" t="str">
        <f>IFERROR(VLOOKUP($A6134,原始数据_利率互换_FR007_1年!$A$6:$C$4395,3,0),"")</f>
        <v/>
      </c>
    </row>
    <row r="6135" spans="1:9">
      <c r="A6135" s="6">
        <v>45628</v>
      </c>
      <c r="B6135">
        <f>IFERROR(VLOOKUP($A6135,原始数据_收盘!$A$4:$G$3460,2,0),"")</f>
        <v>1.5275</v>
      </c>
      <c r="C6135">
        <f>IFERROR(VLOOKUP($A6135,原始数据_收盘!$A$4:$G$3460,3,0),"")</f>
        <v>1.5736</v>
      </c>
      <c r="D6135">
        <f>IFERROR(VLOOKUP($A6135,原始数据_收盘!$A$4:$G$3460,4,0),"")</f>
        <v>1.5325</v>
      </c>
      <c r="E6135">
        <f>IFERROR(VLOOKUP($A6135,原始数据_收盘!$A$4:$G$3460,5,0),"")</f>
        <v>1.5775</v>
      </c>
      <c r="F6135">
        <f>IFERROR(VLOOKUP($A6135,原始数据_收盘!$A$4:$G$3460,6,0),"")</f>
        <v>1.53</v>
      </c>
      <c r="G6135">
        <f>IFERROR(VLOOKUP($A6135,原始数据_收盘!$A$4:$G$3460,7,0),"")</f>
        <v>1.5756</v>
      </c>
      <c r="H6135">
        <f>IFERROR(VLOOKUP($A6135,原始数据_利率互换_FR007_1年!$A$6:$C$4395,2,0),"")</f>
        <v>1.5374</v>
      </c>
      <c r="I6135">
        <f>IFERROR(VLOOKUP($A6135,原始数据_利率互换_FR007_1年!$A$6:$C$4395,3,0),"")</f>
        <v>1.5895</v>
      </c>
    </row>
    <row r="6136" spans="1:9">
      <c r="A6136" s="6">
        <v>45629</v>
      </c>
      <c r="B6136">
        <f>IFERROR(VLOOKUP($A6136,原始数据_收盘!$A$4:$G$3460,2,0),"")</f>
        <v>1.5375</v>
      </c>
      <c r="C6136">
        <f>IFERROR(VLOOKUP($A6136,原始数据_收盘!$A$4:$G$3460,3,0),"")</f>
        <v>1.595</v>
      </c>
      <c r="D6136">
        <f>IFERROR(VLOOKUP($A6136,原始数据_收盘!$A$4:$G$3460,4,0),"")</f>
        <v>1.5403</v>
      </c>
      <c r="E6136">
        <f>IFERROR(VLOOKUP($A6136,原始数据_收盘!$A$4:$G$3460,5,0),"")</f>
        <v>1.5975</v>
      </c>
      <c r="F6136">
        <f>IFERROR(VLOOKUP($A6136,原始数据_收盘!$A$4:$G$3460,6,0),"")</f>
        <v>1.5389</v>
      </c>
      <c r="G6136">
        <f>IFERROR(VLOOKUP($A6136,原始数据_收盘!$A$4:$G$3460,7,0),"")</f>
        <v>1.5963</v>
      </c>
      <c r="H6136">
        <f>IFERROR(VLOOKUP($A6136,原始数据_利率互换_FR007_1年!$A$6:$C$4395,2,0),"")</f>
        <v>1.5441</v>
      </c>
      <c r="I6136">
        <f>IFERROR(VLOOKUP($A6136,原始数据_利率互换_FR007_1年!$A$6:$C$4395,3,0),"")</f>
        <v>1.5973</v>
      </c>
    </row>
    <row r="6137" spans="1:9">
      <c r="A6137" s="6">
        <v>45630</v>
      </c>
      <c r="B6137">
        <f>IFERROR(VLOOKUP($A6137,原始数据_收盘!$A$4:$G$3460,2,0),"")</f>
        <v>1.555</v>
      </c>
      <c r="C6137">
        <f>IFERROR(VLOOKUP($A6137,原始数据_收盘!$A$4:$G$3460,3,0),"")</f>
        <v>1.5825</v>
      </c>
      <c r="D6137">
        <f>IFERROR(VLOOKUP($A6137,原始数据_收盘!$A$4:$G$3460,4,0),"")</f>
        <v>1.5575</v>
      </c>
      <c r="E6137">
        <f>IFERROR(VLOOKUP($A6137,原始数据_收盘!$A$4:$G$3460,5,0),"")</f>
        <v>1.585</v>
      </c>
      <c r="F6137">
        <f>IFERROR(VLOOKUP($A6137,原始数据_收盘!$A$4:$G$3460,6,0),"")</f>
        <v>1.5563</v>
      </c>
      <c r="G6137">
        <f>IFERROR(VLOOKUP($A6137,原始数据_收盘!$A$4:$G$3460,7,0),"")</f>
        <v>1.5838</v>
      </c>
      <c r="H6137">
        <f>IFERROR(VLOOKUP($A6137,原始数据_利率互换_FR007_1年!$A$6:$C$4395,2,0),"")</f>
        <v>1.5501</v>
      </c>
      <c r="I6137">
        <f>IFERROR(VLOOKUP($A6137,原始数据_利率互换_FR007_1年!$A$6:$C$4395,3,0),"")</f>
        <v>1.5858</v>
      </c>
    </row>
    <row r="6138" spans="1:9">
      <c r="A6138" s="6">
        <v>45631</v>
      </c>
      <c r="B6138">
        <f>IFERROR(VLOOKUP($A6138,原始数据_收盘!$A$4:$G$3460,2,0),"")</f>
        <v>1.5675</v>
      </c>
      <c r="C6138">
        <f>IFERROR(VLOOKUP($A6138,原始数据_收盘!$A$4:$G$3460,3,0),"")</f>
        <v>1.59</v>
      </c>
      <c r="D6138">
        <f>IFERROR(VLOOKUP($A6138,原始数据_收盘!$A$4:$G$3460,4,0),"")</f>
        <v>1.57</v>
      </c>
      <c r="E6138">
        <f>IFERROR(VLOOKUP($A6138,原始数据_收盘!$A$4:$G$3460,5,0),"")</f>
        <v>1.5925</v>
      </c>
      <c r="F6138">
        <f>IFERROR(VLOOKUP($A6138,原始数据_收盘!$A$4:$G$3460,6,0),"")</f>
        <v>1.5688</v>
      </c>
      <c r="G6138">
        <f>IFERROR(VLOOKUP($A6138,原始数据_收盘!$A$4:$G$3460,7,0),"")</f>
        <v>1.5913</v>
      </c>
      <c r="H6138">
        <f>IFERROR(VLOOKUP($A6138,原始数据_利率互换_FR007_1年!$A$6:$C$4395,2,0),"")</f>
        <v>1.5684</v>
      </c>
      <c r="I6138">
        <f>IFERROR(VLOOKUP($A6138,原始数据_利率互换_FR007_1年!$A$6:$C$4395,3,0),"")</f>
        <v>1.5932</v>
      </c>
    </row>
    <row r="6139" spans="1:9">
      <c r="A6139" s="6">
        <v>45632</v>
      </c>
      <c r="B6139">
        <f>IFERROR(VLOOKUP($A6139,原始数据_收盘!$A$4:$G$3460,2,0),"")</f>
        <v>1.5775</v>
      </c>
      <c r="C6139">
        <f>IFERROR(VLOOKUP($A6139,原始数据_收盘!$A$4:$G$3460,3,0),"")</f>
        <v>1.6025</v>
      </c>
      <c r="D6139">
        <f>IFERROR(VLOOKUP($A6139,原始数据_收盘!$A$4:$G$3460,4,0),"")</f>
        <v>1.58</v>
      </c>
      <c r="E6139">
        <f>IFERROR(VLOOKUP($A6139,原始数据_收盘!$A$4:$G$3460,5,0),"")</f>
        <v>1.605</v>
      </c>
      <c r="F6139">
        <f>IFERROR(VLOOKUP($A6139,原始数据_收盘!$A$4:$G$3460,6,0),"")</f>
        <v>1.5788</v>
      </c>
      <c r="G6139">
        <f>IFERROR(VLOOKUP($A6139,原始数据_收盘!$A$4:$G$3460,7,0),"")</f>
        <v>1.6038</v>
      </c>
      <c r="H6139">
        <f>IFERROR(VLOOKUP($A6139,原始数据_利率互换_FR007_1年!$A$6:$C$4395,2,0),"")</f>
        <v>1.577</v>
      </c>
      <c r="I6139">
        <f>IFERROR(VLOOKUP($A6139,原始数据_利率互换_FR007_1年!$A$6:$C$4395,3,0),"")</f>
        <v>1.6002</v>
      </c>
    </row>
    <row r="6140" spans="1:9">
      <c r="A6140" s="6">
        <v>45633</v>
      </c>
      <c r="B6140" t="str">
        <f>IFERROR(VLOOKUP($A6140,原始数据_收盘!$A$4:$G$3460,2,0),"")</f>
        <v/>
      </c>
      <c r="C6140" t="str">
        <f>IFERROR(VLOOKUP($A6140,原始数据_收盘!$A$4:$G$3460,3,0),"")</f>
        <v/>
      </c>
      <c r="D6140" t="str">
        <f>IFERROR(VLOOKUP($A6140,原始数据_收盘!$A$4:$G$3460,4,0),"")</f>
        <v/>
      </c>
      <c r="E6140" t="str">
        <f>IFERROR(VLOOKUP($A6140,原始数据_收盘!$A$4:$G$3460,5,0),"")</f>
        <v/>
      </c>
      <c r="F6140" t="str">
        <f>IFERROR(VLOOKUP($A6140,原始数据_收盘!$A$4:$G$3460,6,0),"")</f>
        <v/>
      </c>
      <c r="G6140" t="str">
        <f>IFERROR(VLOOKUP($A6140,原始数据_收盘!$A$4:$G$3460,7,0),"")</f>
        <v/>
      </c>
      <c r="H6140" t="str">
        <f>IFERROR(VLOOKUP($A6140,原始数据_利率互换_FR007_1年!$A$6:$C$4395,2,0),"")</f>
        <v/>
      </c>
      <c r="I6140" t="str">
        <f>IFERROR(VLOOKUP($A6140,原始数据_利率互换_FR007_1年!$A$6:$C$4395,3,0),"")</f>
        <v/>
      </c>
    </row>
    <row r="6141" spans="1:9">
      <c r="A6141" s="6">
        <v>45634</v>
      </c>
      <c r="B6141" t="str">
        <f>IFERROR(VLOOKUP($A6141,原始数据_收盘!$A$4:$G$3460,2,0),"")</f>
        <v/>
      </c>
      <c r="C6141" t="str">
        <f>IFERROR(VLOOKUP($A6141,原始数据_收盘!$A$4:$G$3460,3,0),"")</f>
        <v/>
      </c>
      <c r="D6141" t="str">
        <f>IFERROR(VLOOKUP($A6141,原始数据_收盘!$A$4:$G$3460,4,0),"")</f>
        <v/>
      </c>
      <c r="E6141" t="str">
        <f>IFERROR(VLOOKUP($A6141,原始数据_收盘!$A$4:$G$3460,5,0),"")</f>
        <v/>
      </c>
      <c r="F6141" t="str">
        <f>IFERROR(VLOOKUP($A6141,原始数据_收盘!$A$4:$G$3460,6,0),"")</f>
        <v/>
      </c>
      <c r="G6141" t="str">
        <f>IFERROR(VLOOKUP($A6141,原始数据_收盘!$A$4:$G$3460,7,0),"")</f>
        <v/>
      </c>
      <c r="H6141" t="str">
        <f>IFERROR(VLOOKUP($A6141,原始数据_利率互换_FR007_1年!$A$6:$C$4395,2,0),"")</f>
        <v/>
      </c>
      <c r="I6141" t="str">
        <f>IFERROR(VLOOKUP($A6141,原始数据_利率互换_FR007_1年!$A$6:$C$4395,3,0),"")</f>
        <v/>
      </c>
    </row>
    <row r="6142" spans="1:9">
      <c r="A6142" s="6">
        <v>45635</v>
      </c>
      <c r="B6142">
        <f>IFERROR(VLOOKUP($A6142,原始数据_收盘!$A$4:$G$3460,2,0),"")</f>
        <v>1.5422</v>
      </c>
      <c r="C6142">
        <f>IFERROR(VLOOKUP($A6142,原始数据_收盘!$A$4:$G$3460,3,0),"")</f>
        <v>1.5763</v>
      </c>
      <c r="D6142">
        <f>IFERROR(VLOOKUP($A6142,原始数据_收盘!$A$4:$G$3460,4,0),"")</f>
        <v>1.5463</v>
      </c>
      <c r="E6142">
        <f>IFERROR(VLOOKUP($A6142,原始数据_收盘!$A$4:$G$3460,5,0),"")</f>
        <v>1.5789</v>
      </c>
      <c r="F6142">
        <f>IFERROR(VLOOKUP($A6142,原始数据_收盘!$A$4:$G$3460,6,0),"")</f>
        <v>1.5443</v>
      </c>
      <c r="G6142">
        <f>IFERROR(VLOOKUP($A6142,原始数据_收盘!$A$4:$G$3460,7,0),"")</f>
        <v>1.5776</v>
      </c>
      <c r="H6142">
        <f>IFERROR(VLOOKUP($A6142,原始数据_利率互换_FR007_1年!$A$6:$C$4395,2,0),"")</f>
        <v>1.5606</v>
      </c>
      <c r="I6142">
        <f>IFERROR(VLOOKUP($A6142,原始数据_利率互换_FR007_1年!$A$6:$C$4395,3,0),"")</f>
        <v>1.5898</v>
      </c>
    </row>
    <row r="6143" spans="1:9">
      <c r="A6143" s="6">
        <v>45636</v>
      </c>
      <c r="B6143">
        <f>IFERROR(VLOOKUP($A6143,原始数据_收盘!$A$4:$G$3460,2,0),"")</f>
        <v>1.5078</v>
      </c>
      <c r="C6143">
        <f>IFERROR(VLOOKUP($A6143,原始数据_收盘!$A$4:$G$3460,3,0),"")</f>
        <v>1.5344</v>
      </c>
      <c r="D6143">
        <f>IFERROR(VLOOKUP($A6143,原始数据_收盘!$A$4:$G$3460,4,0),"")</f>
        <v>1.5094</v>
      </c>
      <c r="E6143">
        <f>IFERROR(VLOOKUP($A6143,原始数据_收盘!$A$4:$G$3460,5,0),"")</f>
        <v>1.5375</v>
      </c>
      <c r="F6143">
        <f>IFERROR(VLOOKUP($A6143,原始数据_收盘!$A$4:$G$3460,6,0),"")</f>
        <v>1.5086</v>
      </c>
      <c r="G6143">
        <f>IFERROR(VLOOKUP($A6143,原始数据_收盘!$A$4:$G$3460,7,0),"")</f>
        <v>1.536</v>
      </c>
      <c r="H6143">
        <f>IFERROR(VLOOKUP($A6143,原始数据_利率互换_FR007_1年!$A$6:$C$4395,2,0),"")</f>
        <v>1.4988</v>
      </c>
      <c r="I6143">
        <f>IFERROR(VLOOKUP($A6143,原始数据_利率互换_FR007_1年!$A$6:$C$4395,3,0),"")</f>
        <v>1.5296</v>
      </c>
    </row>
    <row r="6144" spans="1:9">
      <c r="A6144" s="6">
        <v>45637</v>
      </c>
      <c r="B6144">
        <f>IFERROR(VLOOKUP($A6144,原始数据_收盘!$A$4:$G$3460,2,0),"")</f>
        <v>1.4992</v>
      </c>
      <c r="C6144">
        <f>IFERROR(VLOOKUP($A6144,原始数据_收盘!$A$4:$G$3460,3,0),"")</f>
        <v>1.5233</v>
      </c>
      <c r="D6144">
        <f>IFERROR(VLOOKUP($A6144,原始数据_收盘!$A$4:$G$3460,4,0),"")</f>
        <v>1.5026</v>
      </c>
      <c r="E6144">
        <f>IFERROR(VLOOKUP($A6144,原始数据_收盘!$A$4:$G$3460,5,0),"")</f>
        <v>1.5259</v>
      </c>
      <c r="F6144">
        <f>IFERROR(VLOOKUP($A6144,原始数据_收盘!$A$4:$G$3460,6,0),"")</f>
        <v>1.5009</v>
      </c>
      <c r="G6144">
        <f>IFERROR(VLOOKUP($A6144,原始数据_收盘!$A$4:$G$3460,7,0),"")</f>
        <v>1.5246</v>
      </c>
      <c r="H6144">
        <f>IFERROR(VLOOKUP($A6144,原始数据_利率互换_FR007_1年!$A$6:$C$4395,2,0),"")</f>
        <v>1.5132</v>
      </c>
      <c r="I6144">
        <f>IFERROR(VLOOKUP($A6144,原始数据_利率互换_FR007_1年!$A$6:$C$4395,3,0),"")</f>
        <v>1.5404</v>
      </c>
    </row>
    <row r="6145" spans="1:9">
      <c r="A6145" s="6">
        <v>45638</v>
      </c>
      <c r="B6145">
        <f>IFERROR(VLOOKUP($A6145,原始数据_收盘!$A$4:$G$3460,2,0),"")</f>
        <v>1.4925</v>
      </c>
      <c r="C6145">
        <f>IFERROR(VLOOKUP($A6145,原始数据_收盘!$A$4:$G$3460,3,0),"")</f>
        <v>1.5117</v>
      </c>
      <c r="D6145">
        <f>IFERROR(VLOOKUP($A6145,原始数据_收盘!$A$4:$G$3460,4,0),"")</f>
        <v>1.4953</v>
      </c>
      <c r="E6145">
        <f>IFERROR(VLOOKUP($A6145,原始数据_收盘!$A$4:$G$3460,5,0),"")</f>
        <v>1.515</v>
      </c>
      <c r="F6145">
        <f>IFERROR(VLOOKUP($A6145,原始数据_收盘!$A$4:$G$3460,6,0),"")</f>
        <v>1.4939</v>
      </c>
      <c r="G6145">
        <f>IFERROR(VLOOKUP($A6145,原始数据_收盘!$A$4:$G$3460,7,0),"")</f>
        <v>1.5133</v>
      </c>
      <c r="H6145">
        <f>IFERROR(VLOOKUP($A6145,原始数据_利率互换_FR007_1年!$A$6:$C$4395,2,0),"")</f>
        <v>1.5023</v>
      </c>
      <c r="I6145">
        <f>IFERROR(VLOOKUP($A6145,原始数据_利率互换_FR007_1年!$A$6:$C$4395,3,0),"")</f>
        <v>1.5236</v>
      </c>
    </row>
    <row r="6146" spans="1:9">
      <c r="A6146" s="6">
        <v>45639</v>
      </c>
      <c r="B6146">
        <f>IFERROR(VLOOKUP($A6146,原始数据_收盘!$A$4:$G$3460,2,0),"")</f>
        <v>1.4725</v>
      </c>
      <c r="C6146">
        <f>IFERROR(VLOOKUP($A6146,原始数据_收盘!$A$4:$G$3460,3,0),"")</f>
        <v>1.4836</v>
      </c>
      <c r="D6146">
        <f>IFERROR(VLOOKUP($A6146,原始数据_收盘!$A$4:$G$3460,4,0),"")</f>
        <v>1.4743</v>
      </c>
      <c r="E6146">
        <f>IFERROR(VLOOKUP($A6146,原始数据_收盘!$A$4:$G$3460,5,0),"")</f>
        <v>1.4886</v>
      </c>
      <c r="F6146">
        <f>IFERROR(VLOOKUP($A6146,原始数据_收盘!$A$4:$G$3460,6,0),"")</f>
        <v>1.4734</v>
      </c>
      <c r="G6146">
        <f>IFERROR(VLOOKUP($A6146,原始数据_收盘!$A$4:$G$3460,7,0),"")</f>
        <v>1.4861</v>
      </c>
      <c r="H6146">
        <f>IFERROR(VLOOKUP($A6146,原始数据_利率互换_FR007_1年!$A$6:$C$4395,2,0),"")</f>
        <v>1.4534</v>
      </c>
      <c r="I6146">
        <f>IFERROR(VLOOKUP($A6146,原始数据_利率互换_FR007_1年!$A$6:$C$4395,3,0),"")</f>
        <v>1.4724</v>
      </c>
    </row>
    <row r="6147" spans="1:9">
      <c r="A6147" s="6">
        <v>45640</v>
      </c>
      <c r="B6147" t="str">
        <f>IFERROR(VLOOKUP($A6147,原始数据_收盘!$A$4:$G$3460,2,0),"")</f>
        <v/>
      </c>
      <c r="C6147" t="str">
        <f>IFERROR(VLOOKUP($A6147,原始数据_收盘!$A$4:$G$3460,3,0),"")</f>
        <v/>
      </c>
      <c r="D6147" t="str">
        <f>IFERROR(VLOOKUP($A6147,原始数据_收盘!$A$4:$G$3460,4,0),"")</f>
        <v/>
      </c>
      <c r="E6147" t="str">
        <f>IFERROR(VLOOKUP($A6147,原始数据_收盘!$A$4:$G$3460,5,0),"")</f>
        <v/>
      </c>
      <c r="F6147" t="str">
        <f>IFERROR(VLOOKUP($A6147,原始数据_收盘!$A$4:$G$3460,6,0),"")</f>
        <v/>
      </c>
      <c r="G6147" t="str">
        <f>IFERROR(VLOOKUP($A6147,原始数据_收盘!$A$4:$G$3460,7,0),"")</f>
        <v/>
      </c>
      <c r="H6147" t="str">
        <f>IFERROR(VLOOKUP($A6147,原始数据_利率互换_FR007_1年!$A$6:$C$4395,2,0),"")</f>
        <v/>
      </c>
      <c r="I6147" t="str">
        <f>IFERROR(VLOOKUP($A6147,原始数据_利率互换_FR007_1年!$A$6:$C$4395,3,0),"")</f>
        <v/>
      </c>
    </row>
    <row r="6148" spans="1:9">
      <c r="A6148" s="6">
        <v>45641</v>
      </c>
      <c r="B6148" t="str">
        <f>IFERROR(VLOOKUP($A6148,原始数据_收盘!$A$4:$G$3460,2,0),"")</f>
        <v/>
      </c>
      <c r="C6148" t="str">
        <f>IFERROR(VLOOKUP($A6148,原始数据_收盘!$A$4:$G$3460,3,0),"")</f>
        <v/>
      </c>
      <c r="D6148" t="str">
        <f>IFERROR(VLOOKUP($A6148,原始数据_收盘!$A$4:$G$3460,4,0),"")</f>
        <v/>
      </c>
      <c r="E6148" t="str">
        <f>IFERROR(VLOOKUP($A6148,原始数据_收盘!$A$4:$G$3460,5,0),"")</f>
        <v/>
      </c>
      <c r="F6148" t="str">
        <f>IFERROR(VLOOKUP($A6148,原始数据_收盘!$A$4:$G$3460,6,0),"")</f>
        <v/>
      </c>
      <c r="G6148" t="str">
        <f>IFERROR(VLOOKUP($A6148,原始数据_收盘!$A$4:$G$3460,7,0),"")</f>
        <v/>
      </c>
      <c r="H6148" t="str">
        <f>IFERROR(VLOOKUP($A6148,原始数据_利率互换_FR007_1年!$A$6:$C$4395,2,0),"")</f>
        <v/>
      </c>
      <c r="I6148" t="str">
        <f>IFERROR(VLOOKUP($A6148,原始数据_利率互换_FR007_1年!$A$6:$C$4395,3,0),"")</f>
        <v/>
      </c>
    </row>
    <row r="6149" spans="1:9">
      <c r="A6149" s="6">
        <v>45642</v>
      </c>
      <c r="B6149">
        <f>IFERROR(VLOOKUP($A6149,原始数据_收盘!$A$4:$G$3460,2,0),"")</f>
        <v>1.49</v>
      </c>
      <c r="C6149">
        <f>IFERROR(VLOOKUP($A6149,原始数据_收盘!$A$4:$G$3460,3,0),"")</f>
        <v>1.48</v>
      </c>
      <c r="D6149">
        <f>IFERROR(VLOOKUP($A6149,原始数据_收盘!$A$4:$G$3460,4,0),"")</f>
        <v>1.4925</v>
      </c>
      <c r="E6149">
        <f>IFERROR(VLOOKUP($A6149,原始数据_收盘!$A$4:$G$3460,5,0),"")</f>
        <v>1.4825</v>
      </c>
      <c r="F6149">
        <f>IFERROR(VLOOKUP($A6149,原始数据_收盘!$A$4:$G$3460,6,0),"")</f>
        <v>1.4913</v>
      </c>
      <c r="G6149">
        <f>IFERROR(VLOOKUP($A6149,原始数据_收盘!$A$4:$G$3460,7,0),"")</f>
        <v>1.4813</v>
      </c>
      <c r="H6149">
        <f>IFERROR(VLOOKUP($A6149,原始数据_利率互换_FR007_1年!$A$6:$C$4395,2,0),"")</f>
        <v>1.4736</v>
      </c>
      <c r="I6149">
        <f>IFERROR(VLOOKUP($A6149,原始数据_利率互换_FR007_1年!$A$6:$C$4395,3,0),"")</f>
        <v>1.4694</v>
      </c>
    </row>
    <row r="6150" spans="1:9">
      <c r="A6150" s="6">
        <v>45643</v>
      </c>
      <c r="B6150">
        <f>IFERROR(VLOOKUP($A6150,原始数据_收盘!$A$4:$G$3460,2,0),"")</f>
        <v>1.5</v>
      </c>
      <c r="C6150">
        <f>IFERROR(VLOOKUP($A6150,原始数据_收盘!$A$4:$G$3460,3,0),"")</f>
        <v>1.4825</v>
      </c>
      <c r="D6150">
        <f>IFERROR(VLOOKUP($A6150,原始数据_收盘!$A$4:$G$3460,4,0),"")</f>
        <v>1.5025</v>
      </c>
      <c r="E6150">
        <f>IFERROR(VLOOKUP($A6150,原始数据_收盘!$A$4:$G$3460,5,0),"")</f>
        <v>1.485</v>
      </c>
      <c r="F6150">
        <f>IFERROR(VLOOKUP($A6150,原始数据_收盘!$A$4:$G$3460,6,0),"")</f>
        <v>1.5013</v>
      </c>
      <c r="G6150">
        <f>IFERROR(VLOOKUP($A6150,原始数据_收盘!$A$4:$G$3460,7,0),"")</f>
        <v>1.4838</v>
      </c>
      <c r="H6150">
        <f>IFERROR(VLOOKUP($A6150,原始数据_利率互换_FR007_1年!$A$6:$C$4395,2,0),"")</f>
        <v>1.5053</v>
      </c>
      <c r="I6150">
        <f>IFERROR(VLOOKUP($A6150,原始数据_利率互换_FR007_1年!$A$6:$C$4395,3,0),"")</f>
        <v>1.4937</v>
      </c>
    </row>
    <row r="6151" spans="1:9">
      <c r="A6151" s="6">
        <v>45644</v>
      </c>
      <c r="B6151">
        <f>IFERROR(VLOOKUP($A6151,原始数据_收盘!$A$4:$G$3460,2,0),"")</f>
        <v>1.4886</v>
      </c>
      <c r="C6151">
        <f>IFERROR(VLOOKUP($A6151,原始数据_收盘!$A$4:$G$3460,3,0),"")</f>
        <v>1.4861</v>
      </c>
      <c r="D6151">
        <f>IFERROR(VLOOKUP($A6151,原始数据_收盘!$A$4:$G$3460,4,0),"")</f>
        <v>1.4911</v>
      </c>
      <c r="E6151">
        <f>IFERROR(VLOOKUP($A6151,原始数据_收盘!$A$4:$G$3460,5,0),"")</f>
        <v>1.4886</v>
      </c>
      <c r="F6151">
        <f>IFERROR(VLOOKUP($A6151,原始数据_收盘!$A$4:$G$3460,6,0),"")</f>
        <v>1.4898</v>
      </c>
      <c r="G6151">
        <f>IFERROR(VLOOKUP($A6151,原始数据_收盘!$A$4:$G$3460,7,0),"")</f>
        <v>1.4873</v>
      </c>
      <c r="H6151">
        <f>IFERROR(VLOOKUP($A6151,原始数据_利率互换_FR007_1年!$A$6:$C$4395,2,0),"")</f>
        <v>1.4879</v>
      </c>
      <c r="I6151">
        <f>IFERROR(VLOOKUP($A6151,原始数据_利率互换_FR007_1年!$A$6:$C$4395,3,0),"")</f>
        <v>1.4821</v>
      </c>
    </row>
    <row r="6152" spans="1:9">
      <c r="A6152" s="6">
        <v>45645</v>
      </c>
      <c r="B6152">
        <f>IFERROR(VLOOKUP($A6152,原始数据_收盘!$A$4:$G$3460,2,0),"")</f>
        <v>1.4688</v>
      </c>
      <c r="C6152">
        <f>IFERROR(VLOOKUP($A6152,原始数据_收盘!$A$4:$G$3460,3,0),"")</f>
        <v>1.4691</v>
      </c>
      <c r="D6152">
        <f>IFERROR(VLOOKUP($A6152,原始数据_收盘!$A$4:$G$3460,4,0),"")</f>
        <v>1.4718</v>
      </c>
      <c r="E6152">
        <f>IFERROR(VLOOKUP($A6152,原始数据_收盘!$A$4:$G$3460,5,0),"")</f>
        <v>1.4716</v>
      </c>
      <c r="F6152">
        <f>IFERROR(VLOOKUP($A6152,原始数据_收盘!$A$4:$G$3460,6,0),"")</f>
        <v>1.4703</v>
      </c>
      <c r="G6152">
        <f>IFERROR(VLOOKUP($A6152,原始数据_收盘!$A$4:$G$3460,7,0),"")</f>
        <v>1.4704</v>
      </c>
      <c r="H6152">
        <f>IFERROR(VLOOKUP($A6152,原始数据_利率互换_FR007_1年!$A$6:$C$4395,2,0),"")</f>
        <v>1.4862</v>
      </c>
      <c r="I6152">
        <f>IFERROR(VLOOKUP($A6152,原始数据_利率互换_FR007_1年!$A$6:$C$4395,3,0),"")</f>
        <v>1.49</v>
      </c>
    </row>
    <row r="6153" spans="1:9">
      <c r="A6153" s="6">
        <v>45646</v>
      </c>
      <c r="B6153">
        <f>IFERROR(VLOOKUP($A6153,原始数据_收盘!$A$4:$G$3460,2,0),"")</f>
        <v>1.413</v>
      </c>
      <c r="C6153">
        <f>IFERROR(VLOOKUP($A6153,原始数据_收盘!$A$4:$G$3460,3,0),"")</f>
        <v>1.4055</v>
      </c>
      <c r="D6153">
        <f>IFERROR(VLOOKUP($A6153,原始数据_收盘!$A$4:$G$3460,4,0),"")</f>
        <v>1.4155</v>
      </c>
      <c r="E6153">
        <f>IFERROR(VLOOKUP($A6153,原始数据_收盘!$A$4:$G$3460,5,0),"")</f>
        <v>1.409</v>
      </c>
      <c r="F6153">
        <f>IFERROR(VLOOKUP($A6153,原始数据_收盘!$A$4:$G$3460,6,0),"")</f>
        <v>1.4143</v>
      </c>
      <c r="G6153">
        <f>IFERROR(VLOOKUP($A6153,原始数据_收盘!$A$4:$G$3460,7,0),"")</f>
        <v>1.4073</v>
      </c>
      <c r="H6153">
        <f>IFERROR(VLOOKUP($A6153,原始数据_利率互换_FR007_1年!$A$6:$C$4395,2,0),"")</f>
        <v>1.4428</v>
      </c>
      <c r="I6153">
        <f>IFERROR(VLOOKUP($A6153,原始数据_利率互换_FR007_1年!$A$6:$C$4395,3,0),"")</f>
        <v>1.4368</v>
      </c>
    </row>
    <row r="6154" spans="1:9">
      <c r="A6154" s="6">
        <v>45647</v>
      </c>
      <c r="B6154" t="str">
        <f>IFERROR(VLOOKUP($A6154,原始数据_收盘!$A$4:$G$3460,2,0),"")</f>
        <v/>
      </c>
      <c r="C6154" t="str">
        <f>IFERROR(VLOOKUP($A6154,原始数据_收盘!$A$4:$G$3460,3,0),"")</f>
        <v/>
      </c>
      <c r="D6154" t="str">
        <f>IFERROR(VLOOKUP($A6154,原始数据_收盘!$A$4:$G$3460,4,0),"")</f>
        <v/>
      </c>
      <c r="E6154" t="str">
        <f>IFERROR(VLOOKUP($A6154,原始数据_收盘!$A$4:$G$3460,5,0),"")</f>
        <v/>
      </c>
      <c r="F6154" t="str">
        <f>IFERROR(VLOOKUP($A6154,原始数据_收盘!$A$4:$G$3460,6,0),"")</f>
        <v/>
      </c>
      <c r="G6154" t="str">
        <f>IFERROR(VLOOKUP($A6154,原始数据_收盘!$A$4:$G$3460,7,0),"")</f>
        <v/>
      </c>
      <c r="H6154" t="str">
        <f>IFERROR(VLOOKUP($A6154,原始数据_利率互换_FR007_1年!$A$6:$C$4395,2,0),"")</f>
        <v/>
      </c>
      <c r="I6154" t="str">
        <f>IFERROR(VLOOKUP($A6154,原始数据_利率互换_FR007_1年!$A$6:$C$4395,3,0),"")</f>
        <v/>
      </c>
    </row>
    <row r="6155" spans="1:9">
      <c r="A6155" s="6">
        <v>45648</v>
      </c>
      <c r="B6155" t="str">
        <f>IFERROR(VLOOKUP($A6155,原始数据_收盘!$A$4:$G$3460,2,0),"")</f>
        <v/>
      </c>
      <c r="C6155" t="str">
        <f>IFERROR(VLOOKUP($A6155,原始数据_收盘!$A$4:$G$3460,3,0),"")</f>
        <v/>
      </c>
      <c r="D6155" t="str">
        <f>IFERROR(VLOOKUP($A6155,原始数据_收盘!$A$4:$G$3460,4,0),"")</f>
        <v/>
      </c>
      <c r="E6155" t="str">
        <f>IFERROR(VLOOKUP($A6155,原始数据_收盘!$A$4:$G$3460,5,0),"")</f>
        <v/>
      </c>
      <c r="F6155" t="str">
        <f>IFERROR(VLOOKUP($A6155,原始数据_收盘!$A$4:$G$3460,6,0),"")</f>
        <v/>
      </c>
      <c r="G6155" t="str">
        <f>IFERROR(VLOOKUP($A6155,原始数据_收盘!$A$4:$G$3460,7,0),"")</f>
        <v/>
      </c>
      <c r="H6155" t="str">
        <f>IFERROR(VLOOKUP($A6155,原始数据_利率互换_FR007_1年!$A$6:$C$4395,2,0),"")</f>
        <v/>
      </c>
      <c r="I6155" t="str">
        <f>IFERROR(VLOOKUP($A6155,原始数据_利率互换_FR007_1年!$A$6:$C$4395,3,0),"")</f>
        <v/>
      </c>
    </row>
    <row r="6156" spans="1:9">
      <c r="A6156" s="6">
        <v>45649</v>
      </c>
      <c r="B6156">
        <f>IFERROR(VLOOKUP($A6156,原始数据_收盘!$A$4:$G$3460,2,0),"")</f>
        <v>1.4225</v>
      </c>
      <c r="C6156">
        <f>IFERROR(VLOOKUP($A6156,原始数据_收盘!$A$4:$G$3460,3,0),"")</f>
        <v>1.4218</v>
      </c>
      <c r="D6156">
        <f>IFERROR(VLOOKUP($A6156,原始数据_收盘!$A$4:$G$3460,4,0),"")</f>
        <v>1.425</v>
      </c>
      <c r="E6156">
        <f>IFERROR(VLOOKUP($A6156,原始数据_收盘!$A$4:$G$3460,5,0),"")</f>
        <v>1.425</v>
      </c>
      <c r="F6156">
        <f>IFERROR(VLOOKUP($A6156,原始数据_收盘!$A$4:$G$3460,6,0),"")</f>
        <v>1.4238</v>
      </c>
      <c r="G6156">
        <f>IFERROR(VLOOKUP($A6156,原始数据_收盘!$A$4:$G$3460,7,0),"")</f>
        <v>1.4234</v>
      </c>
      <c r="H6156">
        <f>IFERROR(VLOOKUP($A6156,原始数据_利率互换_FR007_1年!$A$6:$C$4395,2,0),"")</f>
        <v>1.4234</v>
      </c>
      <c r="I6156">
        <f>IFERROR(VLOOKUP($A6156,原始数据_利率互换_FR007_1年!$A$6:$C$4395,3,0),"")</f>
        <v>1.4194</v>
      </c>
    </row>
    <row r="6157" spans="1:9">
      <c r="A6157" s="6">
        <v>45650</v>
      </c>
      <c r="B6157">
        <f>IFERROR(VLOOKUP($A6157,原始数据_收盘!$A$4:$G$3460,2,0),"")</f>
        <v>1.44</v>
      </c>
      <c r="C6157">
        <f>IFERROR(VLOOKUP($A6157,原始数据_收盘!$A$4:$G$3460,3,0),"")</f>
        <v>1.445</v>
      </c>
      <c r="D6157">
        <f>IFERROR(VLOOKUP($A6157,原始数据_收盘!$A$4:$G$3460,4,0),"")</f>
        <v>1.4447</v>
      </c>
      <c r="E6157">
        <f>IFERROR(VLOOKUP($A6157,原始数据_收盘!$A$4:$G$3460,5,0),"")</f>
        <v>1.45</v>
      </c>
      <c r="F6157">
        <f>IFERROR(VLOOKUP($A6157,原始数据_收盘!$A$4:$G$3460,6,0),"")</f>
        <v>1.4423</v>
      </c>
      <c r="G6157">
        <f>IFERROR(VLOOKUP($A6157,原始数据_收盘!$A$4:$G$3460,7,0),"")</f>
        <v>1.4475</v>
      </c>
      <c r="H6157">
        <f>IFERROR(VLOOKUP($A6157,原始数据_利率互换_FR007_1年!$A$6:$C$4395,2,0),"")</f>
        <v>1.4296</v>
      </c>
      <c r="I6157">
        <f>IFERROR(VLOOKUP($A6157,原始数据_利率互换_FR007_1年!$A$6:$C$4395,3,0),"")</f>
        <v>1.4314</v>
      </c>
    </row>
    <row r="6158" spans="1:9">
      <c r="A6158" s="6">
        <v>45651</v>
      </c>
      <c r="B6158">
        <f>IFERROR(VLOOKUP($A6158,原始数据_收盘!$A$4:$G$3460,2,0),"")</f>
        <v>1.4575</v>
      </c>
      <c r="C6158">
        <f>IFERROR(VLOOKUP($A6158,原始数据_收盘!$A$4:$G$3460,3,0),"")</f>
        <v>1.46</v>
      </c>
      <c r="D6158">
        <f>IFERROR(VLOOKUP($A6158,原始数据_收盘!$A$4:$G$3460,4,0),"")</f>
        <v>1.46</v>
      </c>
      <c r="E6158">
        <f>IFERROR(VLOOKUP($A6158,原始数据_收盘!$A$4:$G$3460,5,0),"")</f>
        <v>1.465</v>
      </c>
      <c r="F6158">
        <f>IFERROR(VLOOKUP($A6158,原始数据_收盘!$A$4:$G$3460,6,0),"")</f>
        <v>1.4588</v>
      </c>
      <c r="G6158">
        <f>IFERROR(VLOOKUP($A6158,原始数据_收盘!$A$4:$G$3460,7,0),"")</f>
        <v>1.4625</v>
      </c>
      <c r="H6158">
        <f>IFERROR(VLOOKUP($A6158,原始数据_利率互换_FR007_1年!$A$6:$C$4395,2,0),"")</f>
        <v>1.4555</v>
      </c>
      <c r="I6158">
        <f>IFERROR(VLOOKUP($A6158,原始数据_利率互换_FR007_1年!$A$6:$C$4395,3,0),"")</f>
        <v>1.4588</v>
      </c>
    </row>
    <row r="6159" spans="1:9">
      <c r="A6159" s="6">
        <v>45652</v>
      </c>
      <c r="B6159">
        <f>IFERROR(VLOOKUP($A6159,原始数据_收盘!$A$4:$G$3460,2,0),"")</f>
        <v>1.4513</v>
      </c>
      <c r="C6159">
        <f>IFERROR(VLOOKUP($A6159,原始数据_收盘!$A$4:$G$3460,3,0),"")</f>
        <v>1.4491</v>
      </c>
      <c r="D6159">
        <f>IFERROR(VLOOKUP($A6159,原始数据_收盘!$A$4:$G$3460,4,0),"")</f>
        <v>1.4545</v>
      </c>
      <c r="E6159">
        <f>IFERROR(VLOOKUP($A6159,原始数据_收盘!$A$4:$G$3460,5,0),"")</f>
        <v>1.4523</v>
      </c>
      <c r="F6159">
        <f>IFERROR(VLOOKUP($A6159,原始数据_收盘!$A$4:$G$3460,6,0),"")</f>
        <v>1.4529</v>
      </c>
      <c r="G6159">
        <f>IFERROR(VLOOKUP($A6159,原始数据_收盘!$A$4:$G$3460,7,0),"")</f>
        <v>1.4507</v>
      </c>
      <c r="H6159">
        <f>IFERROR(VLOOKUP($A6159,原始数据_利率互换_FR007_1年!$A$6:$C$4395,2,0),"")</f>
        <v>1.457</v>
      </c>
      <c r="I6159">
        <f>IFERROR(VLOOKUP($A6159,原始数据_利率互换_FR007_1年!$A$6:$C$4395,3,0),"")</f>
        <v>1.4578</v>
      </c>
    </row>
    <row r="6160" spans="1:9">
      <c r="A6160" s="6">
        <v>45653</v>
      </c>
      <c r="B6160">
        <f>IFERROR(VLOOKUP($A6160,原始数据_收盘!$A$4:$G$3460,2,0),"")</f>
        <v>1.4425</v>
      </c>
      <c r="C6160">
        <f>IFERROR(VLOOKUP($A6160,原始数据_收盘!$A$4:$G$3460,3,0),"")</f>
        <v>1.4296</v>
      </c>
      <c r="D6160">
        <f>IFERROR(VLOOKUP($A6160,原始数据_收盘!$A$4:$G$3460,4,0),"")</f>
        <v>1.4458</v>
      </c>
      <c r="E6160">
        <f>IFERROR(VLOOKUP($A6160,原始数据_收盘!$A$4:$G$3460,5,0),"")</f>
        <v>1.4325</v>
      </c>
      <c r="F6160">
        <f>IFERROR(VLOOKUP($A6160,原始数据_收盘!$A$4:$G$3460,6,0),"")</f>
        <v>1.4442</v>
      </c>
      <c r="G6160">
        <f>IFERROR(VLOOKUP($A6160,原始数据_收盘!$A$4:$G$3460,7,0),"")</f>
        <v>1.431</v>
      </c>
      <c r="H6160">
        <f>IFERROR(VLOOKUP($A6160,原始数据_利率互换_FR007_1年!$A$6:$C$4395,2,0),"")</f>
        <v>1.4468</v>
      </c>
      <c r="I6160">
        <f>IFERROR(VLOOKUP($A6160,原始数据_利率互换_FR007_1年!$A$6:$C$4395,3,0),"")</f>
        <v>1.4356</v>
      </c>
    </row>
    <row r="6161" spans="1:9">
      <c r="A6161" s="6">
        <v>45654</v>
      </c>
      <c r="B6161" t="str">
        <f>IFERROR(VLOOKUP($A6161,原始数据_收盘!$A$4:$G$3460,2,0),"")</f>
        <v/>
      </c>
      <c r="C6161" t="str">
        <f>IFERROR(VLOOKUP($A6161,原始数据_收盘!$A$4:$G$3460,3,0),"")</f>
        <v/>
      </c>
      <c r="D6161" t="str">
        <f>IFERROR(VLOOKUP($A6161,原始数据_收盘!$A$4:$G$3460,4,0),"")</f>
        <v/>
      </c>
      <c r="E6161" t="str">
        <f>IFERROR(VLOOKUP($A6161,原始数据_收盘!$A$4:$G$3460,5,0),"")</f>
        <v/>
      </c>
      <c r="F6161" t="str">
        <f>IFERROR(VLOOKUP($A6161,原始数据_收盘!$A$4:$G$3460,6,0),"")</f>
        <v/>
      </c>
      <c r="G6161" t="str">
        <f>IFERROR(VLOOKUP($A6161,原始数据_收盘!$A$4:$G$3460,7,0),"")</f>
        <v/>
      </c>
      <c r="H6161" t="str">
        <f>IFERROR(VLOOKUP($A6161,原始数据_利率互换_FR007_1年!$A$6:$C$4395,2,0),"")</f>
        <v/>
      </c>
      <c r="I6161" t="str">
        <f>IFERROR(VLOOKUP($A6161,原始数据_利率互换_FR007_1年!$A$6:$C$4395,3,0),"")</f>
        <v/>
      </c>
    </row>
    <row r="6162" spans="1:9">
      <c r="A6162" s="6">
        <v>45655</v>
      </c>
      <c r="B6162" t="str">
        <f>IFERROR(VLOOKUP($A6162,原始数据_收盘!$A$4:$G$3460,2,0),"")</f>
        <v/>
      </c>
      <c r="C6162" t="str">
        <f>IFERROR(VLOOKUP($A6162,原始数据_收盘!$A$4:$G$3460,3,0),"")</f>
        <v/>
      </c>
      <c r="D6162" t="str">
        <f>IFERROR(VLOOKUP($A6162,原始数据_收盘!$A$4:$G$3460,4,0),"")</f>
        <v/>
      </c>
      <c r="E6162" t="str">
        <f>IFERROR(VLOOKUP($A6162,原始数据_收盘!$A$4:$G$3460,5,0),"")</f>
        <v/>
      </c>
      <c r="F6162" t="str">
        <f>IFERROR(VLOOKUP($A6162,原始数据_收盘!$A$4:$G$3460,6,0),"")</f>
        <v/>
      </c>
      <c r="G6162" t="str">
        <f>IFERROR(VLOOKUP($A6162,原始数据_收盘!$A$4:$G$3460,7,0),"")</f>
        <v/>
      </c>
      <c r="H6162" t="str">
        <f>IFERROR(VLOOKUP($A6162,原始数据_利率互换_FR007_1年!$A$6:$C$4395,2,0),"")</f>
        <v/>
      </c>
      <c r="I6162" t="str">
        <f>IFERROR(VLOOKUP($A6162,原始数据_利率互换_FR007_1年!$A$6:$C$4395,3,0),"")</f>
        <v/>
      </c>
    </row>
    <row r="6163" spans="1:9">
      <c r="A6163" s="6">
        <v>45656</v>
      </c>
      <c r="B6163">
        <f>IFERROR(VLOOKUP($A6163,原始数据_收盘!$A$4:$G$3460,2,0),"")</f>
        <v>1.47</v>
      </c>
      <c r="C6163">
        <f>IFERROR(VLOOKUP($A6163,原始数据_收盘!$A$4:$G$3460,3,0),"")</f>
        <v>1.4575</v>
      </c>
      <c r="D6163">
        <f>IFERROR(VLOOKUP($A6163,原始数据_收盘!$A$4:$G$3460,4,0),"")</f>
        <v>1.4726</v>
      </c>
      <c r="E6163">
        <f>IFERROR(VLOOKUP($A6163,原始数据_收盘!$A$4:$G$3460,5,0),"")</f>
        <v>1.4625</v>
      </c>
      <c r="F6163">
        <f>IFERROR(VLOOKUP($A6163,原始数据_收盘!$A$4:$G$3460,6,0),"")</f>
        <v>1.4713</v>
      </c>
      <c r="G6163">
        <f>IFERROR(VLOOKUP($A6163,原始数据_收盘!$A$4:$G$3460,7,0),"")</f>
        <v>1.46</v>
      </c>
      <c r="H6163">
        <f>IFERROR(VLOOKUP($A6163,原始数据_利率互换_FR007_1年!$A$6:$C$4395,2,0),"")</f>
        <v>1.4695</v>
      </c>
      <c r="I6163">
        <f>IFERROR(VLOOKUP($A6163,原始数据_利率互换_FR007_1年!$A$6:$C$4395,3,0),"")</f>
        <v>1.4536</v>
      </c>
    </row>
    <row r="6164" spans="1:9">
      <c r="A6164" s="6">
        <v>45657</v>
      </c>
      <c r="B6164">
        <f>IFERROR(VLOOKUP($A6164,原始数据_收盘!$A$4:$G$3460,2,0),"")</f>
        <v>1.4625</v>
      </c>
      <c r="C6164">
        <f>IFERROR(VLOOKUP($A6164,原始数据_收盘!$A$4:$G$3460,3,0),"")</f>
        <v>1.4324</v>
      </c>
      <c r="D6164">
        <f>IFERROR(VLOOKUP($A6164,原始数据_收盘!$A$4:$G$3460,4,0),"")</f>
        <v>1.465</v>
      </c>
      <c r="E6164">
        <f>IFERROR(VLOOKUP($A6164,原始数据_收盘!$A$4:$G$3460,5,0),"")</f>
        <v>1.435</v>
      </c>
      <c r="F6164">
        <f>IFERROR(VLOOKUP($A6164,原始数据_收盘!$A$4:$G$3460,6,0),"")</f>
        <v>1.4638</v>
      </c>
      <c r="G6164">
        <f>IFERROR(VLOOKUP($A6164,原始数据_收盘!$A$4:$G$3460,7,0),"")</f>
        <v>1.4337</v>
      </c>
      <c r="H6164">
        <f>IFERROR(VLOOKUP($A6164,原始数据_利率互换_FR007_1年!$A$6:$C$4395,2,0),"")</f>
        <v>1.4611</v>
      </c>
      <c r="I6164">
        <f>IFERROR(VLOOKUP($A6164,原始数据_利率互换_FR007_1年!$A$6:$C$4395,3,0),"")</f>
        <v>1.436</v>
      </c>
    </row>
    <row r="6165" spans="1:9">
      <c r="A6165" s="6">
        <v>45658</v>
      </c>
      <c r="B6165" t="str">
        <f>IFERROR(VLOOKUP($A6165,原始数据_收盘!$A$4:$G$3460,2,0),"")</f>
        <v/>
      </c>
      <c r="C6165" t="str">
        <f>IFERROR(VLOOKUP($A6165,原始数据_收盘!$A$4:$G$3460,3,0),"")</f>
        <v/>
      </c>
      <c r="D6165" t="str">
        <f>IFERROR(VLOOKUP($A6165,原始数据_收盘!$A$4:$G$3460,4,0),"")</f>
        <v/>
      </c>
      <c r="E6165" t="str">
        <f>IFERROR(VLOOKUP($A6165,原始数据_收盘!$A$4:$G$3460,5,0),"")</f>
        <v/>
      </c>
      <c r="F6165" t="str">
        <f>IFERROR(VLOOKUP($A6165,原始数据_收盘!$A$4:$G$3460,6,0),"")</f>
        <v/>
      </c>
      <c r="G6165" t="str">
        <f>IFERROR(VLOOKUP($A6165,原始数据_收盘!$A$4:$G$3460,7,0),"")</f>
        <v/>
      </c>
      <c r="H6165" t="str">
        <f>IFERROR(VLOOKUP($A6165,原始数据_利率互换_FR007_1年!$A$6:$C$4395,2,0),"")</f>
        <v/>
      </c>
      <c r="I6165" t="str">
        <f>IFERROR(VLOOKUP($A6165,原始数据_利率互换_FR007_1年!$A$6:$C$4395,3,0),"")</f>
        <v/>
      </c>
    </row>
    <row r="6166" spans="1:9">
      <c r="A6166" s="6">
        <v>45659</v>
      </c>
      <c r="B6166">
        <f>IFERROR(VLOOKUP($A6166,原始数据_收盘!$A$4:$G$3460,2,0),"")</f>
        <v>1.47</v>
      </c>
      <c r="C6166">
        <f>IFERROR(VLOOKUP($A6166,原始数据_收盘!$A$4:$G$3460,3,0),"")</f>
        <v>1.4075</v>
      </c>
      <c r="D6166">
        <f>IFERROR(VLOOKUP($A6166,原始数据_收盘!$A$4:$G$3460,4,0),"")</f>
        <v>1.4725</v>
      </c>
      <c r="E6166">
        <f>IFERROR(VLOOKUP($A6166,原始数据_收盘!$A$4:$G$3460,5,0),"")</f>
        <v>1.41</v>
      </c>
      <c r="F6166">
        <f>IFERROR(VLOOKUP($A6166,原始数据_收盘!$A$4:$G$3460,6,0),"")</f>
        <v>1.4713</v>
      </c>
      <c r="G6166">
        <f>IFERROR(VLOOKUP($A6166,原始数据_收盘!$A$4:$G$3460,7,0),"")</f>
        <v>1.4088</v>
      </c>
      <c r="H6166">
        <f>IFERROR(VLOOKUP($A6166,原始数据_利率互换_FR007_1年!$A$6:$C$4395,2,0),"")</f>
        <v>1.4659</v>
      </c>
      <c r="I6166">
        <f>IFERROR(VLOOKUP($A6166,原始数据_利率互换_FR007_1年!$A$6:$C$4395,3,0),"")</f>
        <v>1.4094</v>
      </c>
    </row>
    <row r="6167" spans="1:9">
      <c r="A6167" s="6">
        <v>45660</v>
      </c>
      <c r="B6167">
        <f>IFERROR(VLOOKUP($A6167,原始数据_收盘!$A$4:$G$3460,2,0),"")</f>
        <v>1.4375</v>
      </c>
      <c r="C6167">
        <f>IFERROR(VLOOKUP($A6167,原始数据_收盘!$A$4:$G$3460,3,0),"")</f>
        <v>1.39</v>
      </c>
      <c r="D6167">
        <f>IFERROR(VLOOKUP($A6167,原始数据_收盘!$A$4:$G$3460,4,0),"")</f>
        <v>1.44</v>
      </c>
      <c r="E6167">
        <f>IFERROR(VLOOKUP($A6167,原始数据_收盘!$A$4:$G$3460,5,0),"")</f>
        <v>1.3925</v>
      </c>
      <c r="F6167">
        <f>IFERROR(VLOOKUP($A6167,原始数据_收盘!$A$4:$G$3460,6,0),"")</f>
        <v>1.4388</v>
      </c>
      <c r="G6167">
        <f>IFERROR(VLOOKUP($A6167,原始数据_收盘!$A$4:$G$3460,7,0),"")</f>
        <v>1.3913</v>
      </c>
      <c r="H6167">
        <f>IFERROR(VLOOKUP($A6167,原始数据_利率互换_FR007_1年!$A$6:$C$4395,2,0),"")</f>
        <v>1.4626</v>
      </c>
      <c r="I6167">
        <f>IFERROR(VLOOKUP($A6167,原始数据_利率互换_FR007_1年!$A$6:$C$4395,3,0),"")</f>
        <v>1.3984</v>
      </c>
    </row>
    <row r="6168" spans="1:9">
      <c r="A6168" s="6">
        <v>45661</v>
      </c>
      <c r="B6168" t="str">
        <f>IFERROR(VLOOKUP($A6168,原始数据_收盘!$A$4:$G$3460,2,0),"")</f>
        <v/>
      </c>
      <c r="C6168" t="str">
        <f>IFERROR(VLOOKUP($A6168,原始数据_收盘!$A$4:$G$3460,3,0),"")</f>
        <v/>
      </c>
      <c r="D6168" t="str">
        <f>IFERROR(VLOOKUP($A6168,原始数据_收盘!$A$4:$G$3460,4,0),"")</f>
        <v/>
      </c>
      <c r="E6168" t="str">
        <f>IFERROR(VLOOKUP($A6168,原始数据_收盘!$A$4:$G$3460,5,0),"")</f>
        <v/>
      </c>
      <c r="F6168" t="str">
        <f>IFERROR(VLOOKUP($A6168,原始数据_收盘!$A$4:$G$3460,6,0),"")</f>
        <v/>
      </c>
      <c r="G6168" t="str">
        <f>IFERROR(VLOOKUP($A6168,原始数据_收盘!$A$4:$G$3460,7,0),"")</f>
        <v/>
      </c>
      <c r="H6168" t="str">
        <f>IFERROR(VLOOKUP($A6168,原始数据_利率互换_FR007_1年!$A$6:$C$4395,2,0),"")</f>
        <v/>
      </c>
      <c r="I6168" t="str">
        <f>IFERROR(VLOOKUP($A6168,原始数据_利率互换_FR007_1年!$A$6:$C$4395,3,0),"")</f>
        <v/>
      </c>
    </row>
    <row r="6169" spans="1:9">
      <c r="A6169" s="6">
        <v>45662</v>
      </c>
      <c r="B6169" t="str">
        <f>IFERROR(VLOOKUP($A6169,原始数据_收盘!$A$4:$G$3460,2,0),"")</f>
        <v/>
      </c>
      <c r="C6169" t="str">
        <f>IFERROR(VLOOKUP($A6169,原始数据_收盘!$A$4:$G$3460,3,0),"")</f>
        <v/>
      </c>
      <c r="D6169" t="str">
        <f>IFERROR(VLOOKUP($A6169,原始数据_收盘!$A$4:$G$3460,4,0),"")</f>
        <v/>
      </c>
      <c r="E6169" t="str">
        <f>IFERROR(VLOOKUP($A6169,原始数据_收盘!$A$4:$G$3460,5,0),"")</f>
        <v/>
      </c>
      <c r="F6169" t="str">
        <f>IFERROR(VLOOKUP($A6169,原始数据_收盘!$A$4:$G$3460,6,0),"")</f>
        <v/>
      </c>
      <c r="G6169" t="str">
        <f>IFERROR(VLOOKUP($A6169,原始数据_收盘!$A$4:$G$3460,7,0),"")</f>
        <v/>
      </c>
      <c r="H6169" t="str">
        <f>IFERROR(VLOOKUP($A6169,原始数据_利率互换_FR007_1年!$A$6:$C$4395,2,0),"")</f>
        <v/>
      </c>
      <c r="I6169" t="str">
        <f>IFERROR(VLOOKUP($A6169,原始数据_利率互换_FR007_1年!$A$6:$C$4395,3,0),"")</f>
        <v/>
      </c>
    </row>
    <row r="6170" spans="1:9">
      <c r="A6170" s="6">
        <v>45663</v>
      </c>
      <c r="B6170">
        <f>IFERROR(VLOOKUP($A6170,原始数据_收盘!$A$4:$G$3460,2,0),"")</f>
        <v>1.4561</v>
      </c>
      <c r="C6170">
        <f>IFERROR(VLOOKUP($A6170,原始数据_收盘!$A$4:$G$3460,3,0),"")</f>
        <v>1.405</v>
      </c>
      <c r="D6170">
        <f>IFERROR(VLOOKUP($A6170,原始数据_收盘!$A$4:$G$3460,4,0),"")</f>
        <v>1.4594</v>
      </c>
      <c r="E6170">
        <f>IFERROR(VLOOKUP($A6170,原始数据_收盘!$A$4:$G$3460,5,0),"")</f>
        <v>1.4075</v>
      </c>
      <c r="F6170">
        <f>IFERROR(VLOOKUP($A6170,原始数据_收盘!$A$4:$G$3460,6,0),"")</f>
        <v>1.4578</v>
      </c>
      <c r="G6170">
        <f>IFERROR(VLOOKUP($A6170,原始数据_收盘!$A$4:$G$3460,7,0),"")</f>
        <v>1.4063</v>
      </c>
      <c r="H6170">
        <f>IFERROR(VLOOKUP($A6170,原始数据_利率互换_FR007_1年!$A$6:$C$4395,2,0),"")</f>
        <v>1.4567</v>
      </c>
      <c r="I6170">
        <f>IFERROR(VLOOKUP($A6170,原始数据_利率互换_FR007_1年!$A$6:$C$4395,3,0),"")</f>
        <v>1.4059</v>
      </c>
    </row>
    <row r="6171" spans="1:9">
      <c r="A6171" s="6">
        <v>45664</v>
      </c>
      <c r="B6171">
        <f>IFERROR(VLOOKUP($A6171,原始数据_收盘!$A$4:$G$3460,2,0),"")</f>
        <v>1.482</v>
      </c>
      <c r="C6171">
        <f>IFERROR(VLOOKUP($A6171,原始数据_收盘!$A$4:$G$3460,3,0),"")</f>
        <v>1.4487</v>
      </c>
      <c r="D6171">
        <f>IFERROR(VLOOKUP($A6171,原始数据_收盘!$A$4:$G$3460,4,0),"")</f>
        <v>1.4856</v>
      </c>
      <c r="E6171">
        <f>IFERROR(VLOOKUP($A6171,原始数据_收盘!$A$4:$G$3460,5,0),"")</f>
        <v>1.451</v>
      </c>
      <c r="F6171">
        <f>IFERROR(VLOOKUP($A6171,原始数据_收盘!$A$4:$G$3460,6,0),"")</f>
        <v>1.4838</v>
      </c>
      <c r="G6171">
        <f>IFERROR(VLOOKUP($A6171,原始数据_收盘!$A$4:$G$3460,7,0),"")</f>
        <v>1.4498</v>
      </c>
      <c r="H6171">
        <f>IFERROR(VLOOKUP($A6171,原始数据_利率互换_FR007_1年!$A$6:$C$4395,2,0),"")</f>
        <v>1.4696</v>
      </c>
      <c r="I6171">
        <f>IFERROR(VLOOKUP($A6171,原始数据_利率互换_FR007_1年!$A$6:$C$4395,3,0),"")</f>
        <v>1.4307</v>
      </c>
    </row>
    <row r="6172" spans="1:9">
      <c r="A6172" s="6">
        <v>45665</v>
      </c>
      <c r="B6172">
        <f>IFERROR(VLOOKUP($A6172,原始数据_收盘!$A$4:$G$3460,2,0),"")</f>
        <v>1.485</v>
      </c>
      <c r="C6172">
        <f>IFERROR(VLOOKUP($A6172,原始数据_收盘!$A$4:$G$3460,3,0),"")</f>
        <v>1.4488</v>
      </c>
      <c r="D6172">
        <f>IFERROR(VLOOKUP($A6172,原始数据_收盘!$A$4:$G$3460,4,0),"")</f>
        <v>1.49</v>
      </c>
      <c r="E6172">
        <f>IFERROR(VLOOKUP($A6172,原始数据_收盘!$A$4:$G$3460,5,0),"")</f>
        <v>1.4525</v>
      </c>
      <c r="F6172">
        <f>IFERROR(VLOOKUP($A6172,原始数据_收盘!$A$4:$G$3460,6,0),"")</f>
        <v>1.4875</v>
      </c>
      <c r="G6172">
        <f>IFERROR(VLOOKUP($A6172,原始数据_收盘!$A$4:$G$3460,7,0),"")</f>
        <v>1.4507</v>
      </c>
      <c r="H6172">
        <f>IFERROR(VLOOKUP($A6172,原始数据_利率互换_FR007_1年!$A$6:$C$4395,2,0),"")</f>
        <v>1.4831</v>
      </c>
      <c r="I6172">
        <f>IFERROR(VLOOKUP($A6172,原始数据_利率互换_FR007_1年!$A$6:$C$4395,3,0),"")</f>
        <v>1.4435</v>
      </c>
    </row>
    <row r="6173" spans="1:9">
      <c r="A6173" s="6">
        <v>45666</v>
      </c>
      <c r="B6173">
        <f>IFERROR(VLOOKUP($A6173,原始数据_收盘!$A$4:$G$3460,2,0),"")</f>
        <v>1.5209</v>
      </c>
      <c r="C6173">
        <f>IFERROR(VLOOKUP($A6173,原始数据_收盘!$A$4:$G$3460,3,0),"")</f>
        <v>1.485</v>
      </c>
      <c r="D6173">
        <f>IFERROR(VLOOKUP($A6173,原始数据_收盘!$A$4:$G$3460,4,0),"")</f>
        <v>1.5243</v>
      </c>
      <c r="E6173">
        <f>IFERROR(VLOOKUP($A6173,原始数据_收盘!$A$4:$G$3460,5,0),"")</f>
        <v>1.4875</v>
      </c>
      <c r="F6173">
        <f>IFERROR(VLOOKUP($A6173,原始数据_收盘!$A$4:$G$3460,6,0),"")</f>
        <v>1.5226</v>
      </c>
      <c r="G6173">
        <f>IFERROR(VLOOKUP($A6173,原始数据_收盘!$A$4:$G$3460,7,0),"")</f>
        <v>1.4863</v>
      </c>
      <c r="H6173">
        <f>IFERROR(VLOOKUP($A6173,原始数据_利率互换_FR007_1年!$A$6:$C$4395,2,0),"")</f>
        <v>1.5055</v>
      </c>
      <c r="I6173">
        <f>IFERROR(VLOOKUP($A6173,原始数据_利率互换_FR007_1年!$A$6:$C$4395,3,0),"")</f>
        <v>1.4656</v>
      </c>
    </row>
    <row r="6174" spans="1:9">
      <c r="A6174" s="6">
        <v>45667</v>
      </c>
      <c r="B6174">
        <f>IFERROR(VLOOKUP($A6174,原始数据_收盘!$A$4:$G$3460,2,0),"")</f>
        <v>1.525</v>
      </c>
      <c r="C6174">
        <f>IFERROR(VLOOKUP($A6174,原始数据_收盘!$A$4:$G$3460,3,0),"")</f>
        <v>1.4713</v>
      </c>
      <c r="D6174">
        <f>IFERROR(VLOOKUP($A6174,原始数据_收盘!$A$4:$G$3460,4,0),"")</f>
        <v>1.528</v>
      </c>
      <c r="E6174">
        <f>IFERROR(VLOOKUP($A6174,原始数据_收盘!$A$4:$G$3460,5,0),"")</f>
        <v>1.4756</v>
      </c>
      <c r="F6174">
        <f>IFERROR(VLOOKUP($A6174,原始数据_收盘!$A$4:$G$3460,6,0),"")</f>
        <v>1.5265</v>
      </c>
      <c r="G6174">
        <f>IFERROR(VLOOKUP($A6174,原始数据_收盘!$A$4:$G$3460,7,0),"")</f>
        <v>1.4734</v>
      </c>
      <c r="H6174">
        <f>IFERROR(VLOOKUP($A6174,原始数据_利率互换_FR007_1年!$A$6:$C$4395,2,0),"")</f>
        <v>1.5389</v>
      </c>
      <c r="I6174">
        <f>IFERROR(VLOOKUP($A6174,原始数据_利率互换_FR007_1年!$A$6:$C$4395,3,0),"")</f>
        <v>1.5134</v>
      </c>
    </row>
    <row r="6175" spans="1:9">
      <c r="A6175" s="6">
        <v>45668</v>
      </c>
      <c r="B6175" t="str">
        <f>IFERROR(VLOOKUP($A6175,原始数据_收盘!$A$4:$G$3460,2,0),"")</f>
        <v/>
      </c>
      <c r="C6175" t="str">
        <f>IFERROR(VLOOKUP($A6175,原始数据_收盘!$A$4:$G$3460,3,0),"")</f>
        <v/>
      </c>
      <c r="D6175" t="str">
        <f>IFERROR(VLOOKUP($A6175,原始数据_收盘!$A$4:$G$3460,4,0),"")</f>
        <v/>
      </c>
      <c r="E6175" t="str">
        <f>IFERROR(VLOOKUP($A6175,原始数据_收盘!$A$4:$G$3460,5,0),"")</f>
        <v/>
      </c>
      <c r="F6175" t="str">
        <f>IFERROR(VLOOKUP($A6175,原始数据_收盘!$A$4:$G$3460,6,0),"")</f>
        <v/>
      </c>
      <c r="G6175" t="str">
        <f>IFERROR(VLOOKUP($A6175,原始数据_收盘!$A$4:$G$3460,7,0),"")</f>
        <v/>
      </c>
      <c r="H6175" t="str">
        <f>IFERROR(VLOOKUP($A6175,原始数据_利率互换_FR007_1年!$A$6:$C$4395,2,0),"")</f>
        <v/>
      </c>
      <c r="I6175" t="str">
        <f>IFERROR(VLOOKUP($A6175,原始数据_利率互换_FR007_1年!$A$6:$C$4395,3,0),"")</f>
        <v/>
      </c>
    </row>
    <row r="6176" spans="1:9">
      <c r="A6176" s="6">
        <v>45669</v>
      </c>
      <c r="B6176" t="str">
        <f>IFERROR(VLOOKUP($A6176,原始数据_收盘!$A$4:$G$3460,2,0),"")</f>
        <v/>
      </c>
      <c r="C6176" t="str">
        <f>IFERROR(VLOOKUP($A6176,原始数据_收盘!$A$4:$G$3460,3,0),"")</f>
        <v/>
      </c>
      <c r="D6176" t="str">
        <f>IFERROR(VLOOKUP($A6176,原始数据_收盘!$A$4:$G$3460,4,0),"")</f>
        <v/>
      </c>
      <c r="E6176" t="str">
        <f>IFERROR(VLOOKUP($A6176,原始数据_收盘!$A$4:$G$3460,5,0),"")</f>
        <v/>
      </c>
      <c r="F6176" t="str">
        <f>IFERROR(VLOOKUP($A6176,原始数据_收盘!$A$4:$G$3460,6,0),"")</f>
        <v/>
      </c>
      <c r="G6176" t="str">
        <f>IFERROR(VLOOKUP($A6176,原始数据_收盘!$A$4:$G$3460,7,0),"")</f>
        <v/>
      </c>
      <c r="H6176" t="str">
        <f>IFERROR(VLOOKUP($A6176,原始数据_利率互换_FR007_1年!$A$6:$C$4395,2,0),"")</f>
        <v/>
      </c>
      <c r="I6176" t="str">
        <f>IFERROR(VLOOKUP($A6176,原始数据_利率互换_FR007_1年!$A$6:$C$4395,3,0),"")</f>
        <v/>
      </c>
    </row>
    <row r="6177" spans="1:9">
      <c r="A6177" s="6">
        <v>45670</v>
      </c>
      <c r="B6177">
        <f>IFERROR(VLOOKUP($A6177,原始数据_收盘!$A$4:$G$3460,2,0),"")</f>
        <v>1.5959</v>
      </c>
      <c r="C6177">
        <f>IFERROR(VLOOKUP($A6177,原始数据_收盘!$A$4:$G$3460,3,0),"")</f>
        <v>1.5125</v>
      </c>
      <c r="D6177">
        <f>IFERROR(VLOOKUP($A6177,原始数据_收盘!$A$4:$G$3460,4,0),"")</f>
        <v>1.6</v>
      </c>
      <c r="E6177">
        <f>IFERROR(VLOOKUP($A6177,原始数据_收盘!$A$4:$G$3460,5,0),"")</f>
        <v>1.515</v>
      </c>
      <c r="F6177">
        <f>IFERROR(VLOOKUP($A6177,原始数据_收盘!$A$4:$G$3460,6,0),"")</f>
        <v>1.5979</v>
      </c>
      <c r="G6177">
        <f>IFERROR(VLOOKUP($A6177,原始数据_收盘!$A$4:$G$3460,7,0),"")</f>
        <v>1.5138</v>
      </c>
      <c r="H6177">
        <f>IFERROR(VLOOKUP($A6177,原始数据_利率互换_FR007_1年!$A$6:$C$4395,2,0),"")</f>
        <v>1.5861</v>
      </c>
      <c r="I6177">
        <f>IFERROR(VLOOKUP($A6177,原始数据_利率互换_FR007_1年!$A$6:$C$4395,3,0),"")</f>
        <v>1.5063</v>
      </c>
    </row>
    <row r="6178" spans="1:9">
      <c r="A6178" s="6">
        <v>45671</v>
      </c>
      <c r="B6178">
        <f>IFERROR(VLOOKUP($A6178,原始数据_收盘!$A$4:$G$3460,2,0),"")</f>
        <v>1.5525</v>
      </c>
      <c r="C6178">
        <f>IFERROR(VLOOKUP($A6178,原始数据_收盘!$A$4:$G$3460,3,0),"")</f>
        <v>1.4684</v>
      </c>
      <c r="D6178">
        <f>IFERROR(VLOOKUP($A6178,原始数据_收盘!$A$4:$G$3460,4,0),"")</f>
        <v>1.5557</v>
      </c>
      <c r="E6178">
        <f>IFERROR(VLOOKUP($A6178,原始数据_收盘!$A$4:$G$3460,5,0),"")</f>
        <v>1.4707</v>
      </c>
      <c r="F6178">
        <f>IFERROR(VLOOKUP($A6178,原始数据_收盘!$A$4:$G$3460,6,0),"")</f>
        <v>1.5541</v>
      </c>
      <c r="G6178">
        <f>IFERROR(VLOOKUP($A6178,原始数据_收盘!$A$4:$G$3460,7,0),"")</f>
        <v>1.4696</v>
      </c>
      <c r="H6178">
        <f>IFERROR(VLOOKUP($A6178,原始数据_利率互换_FR007_1年!$A$6:$C$4395,2,0),"")</f>
        <v>1.5852</v>
      </c>
      <c r="I6178">
        <f>IFERROR(VLOOKUP($A6178,原始数据_利率互换_FR007_1年!$A$6:$C$4395,3,0),"")</f>
        <v>1.4942</v>
      </c>
    </row>
    <row r="6179" spans="1:9">
      <c r="A6179" s="6">
        <v>45672</v>
      </c>
      <c r="B6179">
        <f>IFERROR(VLOOKUP($A6179,原始数据_收盘!$A$4:$G$3460,2,0),"")</f>
        <v>1.5825</v>
      </c>
      <c r="C6179">
        <f>IFERROR(VLOOKUP($A6179,原始数据_收盘!$A$4:$G$3460,3,0),"")</f>
        <v>1.4838</v>
      </c>
      <c r="D6179">
        <f>IFERROR(VLOOKUP($A6179,原始数据_收盘!$A$4:$G$3460,4,0),"")</f>
        <v>1.585</v>
      </c>
      <c r="E6179">
        <f>IFERROR(VLOOKUP($A6179,原始数据_收盘!$A$4:$G$3460,5,0),"")</f>
        <v>1.485</v>
      </c>
      <c r="F6179">
        <f>IFERROR(VLOOKUP($A6179,原始数据_收盘!$A$4:$G$3460,6,0),"")</f>
        <v>1.5838</v>
      </c>
      <c r="G6179">
        <f>IFERROR(VLOOKUP($A6179,原始数据_收盘!$A$4:$G$3460,7,0),"")</f>
        <v>1.4844</v>
      </c>
      <c r="H6179">
        <f>IFERROR(VLOOKUP($A6179,原始数据_利率互换_FR007_1年!$A$6:$C$4395,2,0),"")</f>
        <v>1.5647</v>
      </c>
      <c r="I6179">
        <f>IFERROR(VLOOKUP($A6179,原始数据_利率互换_FR007_1年!$A$6:$C$4395,3,0),"")</f>
        <v>1.4731</v>
      </c>
    </row>
    <row r="6180" spans="1:9">
      <c r="A6180" s="6">
        <v>45673</v>
      </c>
      <c r="B6180">
        <f>IFERROR(VLOOKUP($A6180,原始数据_收盘!$A$4:$G$3460,2,0),"")</f>
        <v>1.6071</v>
      </c>
      <c r="C6180">
        <f>IFERROR(VLOOKUP($A6180,原始数据_收盘!$A$4:$G$3460,3,0),"")</f>
        <v>1.4986</v>
      </c>
      <c r="D6180">
        <f>IFERROR(VLOOKUP($A6180,原始数据_收盘!$A$4:$G$3460,4,0),"")</f>
        <v>1.6096</v>
      </c>
      <c r="E6180">
        <f>IFERROR(VLOOKUP($A6180,原始数据_收盘!$A$4:$G$3460,5,0),"")</f>
        <v>1.5001</v>
      </c>
      <c r="F6180">
        <f>IFERROR(VLOOKUP($A6180,原始数据_收盘!$A$4:$G$3460,6,0),"")</f>
        <v>1.6084</v>
      </c>
      <c r="G6180">
        <f>IFERROR(VLOOKUP($A6180,原始数据_收盘!$A$4:$G$3460,7,0),"")</f>
        <v>1.4994</v>
      </c>
      <c r="H6180">
        <f>IFERROR(VLOOKUP($A6180,原始数据_利率互换_FR007_1年!$A$6:$C$4395,2,0),"")</f>
        <v>1.6018</v>
      </c>
      <c r="I6180">
        <f>IFERROR(VLOOKUP($A6180,原始数据_利率互换_FR007_1年!$A$6:$C$4395,3,0),"")</f>
        <v>1.4955</v>
      </c>
    </row>
    <row r="6181" spans="1:9">
      <c r="A6181" s="6">
        <v>45674</v>
      </c>
      <c r="B6181">
        <f>IFERROR(VLOOKUP($A6181,原始数据_收盘!$A$4:$G$3460,2,0),"")</f>
        <v>1.59</v>
      </c>
      <c r="C6181">
        <f>IFERROR(VLOOKUP($A6181,原始数据_收盘!$A$4:$G$3460,3,0),"")</f>
        <v>1.5093</v>
      </c>
      <c r="D6181">
        <f>IFERROR(VLOOKUP($A6181,原始数据_收盘!$A$4:$G$3460,4,0),"")</f>
        <v>1.591</v>
      </c>
      <c r="E6181">
        <f>IFERROR(VLOOKUP($A6181,原始数据_收盘!$A$4:$G$3460,5,0),"")</f>
        <v>1.5125</v>
      </c>
      <c r="F6181">
        <f>IFERROR(VLOOKUP($A6181,原始数据_收盘!$A$4:$G$3460,6,0),"")</f>
        <v>1.5905</v>
      </c>
      <c r="G6181">
        <f>IFERROR(VLOOKUP($A6181,原始数据_收盘!$A$4:$G$3460,7,0),"")</f>
        <v>1.5109</v>
      </c>
      <c r="H6181">
        <f>IFERROR(VLOOKUP($A6181,原始数据_利率互换_FR007_1年!$A$6:$C$4395,2,0),"")</f>
        <v>1.5922</v>
      </c>
      <c r="I6181">
        <f>IFERROR(VLOOKUP($A6181,原始数据_利率互换_FR007_1年!$A$6:$C$4395,3,0),"")</f>
        <v>1.5054</v>
      </c>
    </row>
    <row r="6182" spans="1:9">
      <c r="A6182" s="6">
        <v>45675</v>
      </c>
      <c r="B6182" t="str">
        <f>IFERROR(VLOOKUP($A6182,原始数据_收盘!$A$4:$G$3460,2,0),"")</f>
        <v/>
      </c>
      <c r="C6182" t="str">
        <f>IFERROR(VLOOKUP($A6182,原始数据_收盘!$A$4:$G$3460,3,0),"")</f>
        <v/>
      </c>
      <c r="D6182" t="str">
        <f>IFERROR(VLOOKUP($A6182,原始数据_收盘!$A$4:$G$3460,4,0),"")</f>
        <v/>
      </c>
      <c r="E6182" t="str">
        <f>IFERROR(VLOOKUP($A6182,原始数据_收盘!$A$4:$G$3460,5,0),"")</f>
        <v/>
      </c>
      <c r="F6182" t="str">
        <f>IFERROR(VLOOKUP($A6182,原始数据_收盘!$A$4:$G$3460,6,0),"")</f>
        <v/>
      </c>
      <c r="G6182" t="str">
        <f>IFERROR(VLOOKUP($A6182,原始数据_收盘!$A$4:$G$3460,7,0),"")</f>
        <v/>
      </c>
      <c r="H6182" t="str">
        <f>IFERROR(VLOOKUP($A6182,原始数据_利率互换_FR007_1年!$A$6:$C$4395,2,0),"")</f>
        <v/>
      </c>
      <c r="I6182" t="str">
        <f>IFERROR(VLOOKUP($A6182,原始数据_利率互换_FR007_1年!$A$6:$C$4395,3,0),"")</f>
        <v/>
      </c>
    </row>
    <row r="6183" spans="1:9">
      <c r="A6183" s="6">
        <v>45676</v>
      </c>
      <c r="B6183" t="str">
        <f>IFERROR(VLOOKUP($A6183,原始数据_收盘!$A$4:$G$3460,2,0),"")</f>
        <v/>
      </c>
      <c r="C6183" t="str">
        <f>IFERROR(VLOOKUP($A6183,原始数据_收盘!$A$4:$G$3460,3,0),"")</f>
        <v/>
      </c>
      <c r="D6183" t="str">
        <f>IFERROR(VLOOKUP($A6183,原始数据_收盘!$A$4:$G$3460,4,0),"")</f>
        <v/>
      </c>
      <c r="E6183" t="str">
        <f>IFERROR(VLOOKUP($A6183,原始数据_收盘!$A$4:$G$3460,5,0),"")</f>
        <v/>
      </c>
      <c r="F6183" t="str">
        <f>IFERROR(VLOOKUP($A6183,原始数据_收盘!$A$4:$G$3460,6,0),"")</f>
        <v/>
      </c>
      <c r="G6183" t="str">
        <f>IFERROR(VLOOKUP($A6183,原始数据_收盘!$A$4:$G$3460,7,0),"")</f>
        <v/>
      </c>
      <c r="H6183" t="str">
        <f>IFERROR(VLOOKUP($A6183,原始数据_利率互换_FR007_1年!$A$6:$C$4395,2,0),"")</f>
        <v/>
      </c>
      <c r="I6183" t="str">
        <f>IFERROR(VLOOKUP($A6183,原始数据_利率互换_FR007_1年!$A$6:$C$4395,3,0),"")</f>
        <v/>
      </c>
    </row>
    <row r="6184" spans="1:9">
      <c r="A6184" s="6">
        <v>45677</v>
      </c>
      <c r="B6184">
        <f>IFERROR(VLOOKUP($A6184,原始数据_收盘!$A$4:$G$3460,2,0),"")</f>
        <v>1.6225</v>
      </c>
      <c r="C6184">
        <f>IFERROR(VLOOKUP($A6184,原始数据_收盘!$A$4:$G$3460,3,0),"")</f>
        <v>1.5228</v>
      </c>
      <c r="D6184">
        <f>IFERROR(VLOOKUP($A6184,原始数据_收盘!$A$4:$G$3460,4,0),"")</f>
        <v>1.625</v>
      </c>
      <c r="E6184">
        <f>IFERROR(VLOOKUP($A6184,原始数据_收盘!$A$4:$G$3460,5,0),"")</f>
        <v>1.5256</v>
      </c>
      <c r="F6184">
        <f>IFERROR(VLOOKUP($A6184,原始数据_收盘!$A$4:$G$3460,6,0),"")</f>
        <v>1.6238</v>
      </c>
      <c r="G6184">
        <f>IFERROR(VLOOKUP($A6184,原始数据_收盘!$A$4:$G$3460,7,0),"")</f>
        <v>1.5242</v>
      </c>
      <c r="H6184">
        <f>IFERROR(VLOOKUP($A6184,原始数据_利率互换_FR007_1年!$A$6:$C$4395,2,0),"")</f>
        <v>1.6042</v>
      </c>
      <c r="I6184">
        <f>IFERROR(VLOOKUP($A6184,原始数据_利率互换_FR007_1年!$A$6:$C$4395,3,0),"")</f>
        <v>1.5097</v>
      </c>
    </row>
    <row r="6185" spans="1:9">
      <c r="A6185" s="6">
        <v>45678</v>
      </c>
      <c r="B6185">
        <f>IFERROR(VLOOKUP($A6185,原始数据_收盘!$A$4:$G$3460,2,0),"")</f>
        <v>1.5924</v>
      </c>
      <c r="C6185">
        <f>IFERROR(VLOOKUP($A6185,原始数据_收盘!$A$4:$G$3460,3,0),"")</f>
        <v>1.4857</v>
      </c>
      <c r="D6185">
        <f>IFERROR(VLOOKUP($A6185,原始数据_收盘!$A$4:$G$3460,4,0),"")</f>
        <v>1.5933</v>
      </c>
      <c r="E6185">
        <f>IFERROR(VLOOKUP($A6185,原始数据_收盘!$A$4:$G$3460,5,0),"")</f>
        <v>1.4903</v>
      </c>
      <c r="F6185">
        <f>IFERROR(VLOOKUP($A6185,原始数据_收盘!$A$4:$G$3460,6,0),"")</f>
        <v>1.5928</v>
      </c>
      <c r="G6185">
        <f>IFERROR(VLOOKUP($A6185,原始数据_收盘!$A$4:$G$3460,7,0),"")</f>
        <v>1.488</v>
      </c>
      <c r="H6185">
        <f>IFERROR(VLOOKUP($A6185,原始数据_利率互换_FR007_1年!$A$6:$C$4395,2,0),"")</f>
        <v>1.6101</v>
      </c>
      <c r="I6185">
        <f>IFERROR(VLOOKUP($A6185,原始数据_利率互换_FR007_1年!$A$6:$C$4395,3,0),"")</f>
        <v>1.5098</v>
      </c>
    </row>
    <row r="6186" spans="1:9">
      <c r="A6186" s="6">
        <v>45679</v>
      </c>
      <c r="B6186">
        <f>IFERROR(VLOOKUP($A6186,原始数据_收盘!$A$4:$G$3460,2,0),"")</f>
        <v>1.5966</v>
      </c>
      <c r="C6186">
        <f>IFERROR(VLOOKUP($A6186,原始数据_收盘!$A$4:$G$3460,3,0),"")</f>
        <v>1.4903</v>
      </c>
      <c r="D6186">
        <f>IFERROR(VLOOKUP($A6186,原始数据_收盘!$A$4:$G$3460,4,0),"")</f>
        <v>1.5991</v>
      </c>
      <c r="E6186">
        <f>IFERROR(VLOOKUP($A6186,原始数据_收盘!$A$4:$G$3460,5,0),"")</f>
        <v>1.4931</v>
      </c>
      <c r="F6186">
        <f>IFERROR(VLOOKUP($A6186,原始数据_收盘!$A$4:$G$3460,6,0),"")</f>
        <v>1.5979</v>
      </c>
      <c r="G6186">
        <f>IFERROR(VLOOKUP($A6186,原始数据_收盘!$A$4:$G$3460,7,0),"")</f>
        <v>1.4917</v>
      </c>
      <c r="H6186">
        <f>IFERROR(VLOOKUP($A6186,原始数据_利率互换_FR007_1年!$A$6:$C$4395,2,0),"")</f>
        <v>1.5939</v>
      </c>
      <c r="I6186">
        <f>IFERROR(VLOOKUP($A6186,原始数据_利率互换_FR007_1年!$A$6:$C$4395,3,0),"")</f>
        <v>1.4868</v>
      </c>
    </row>
    <row r="6187" spans="1:9">
      <c r="A6187" s="6">
        <v>45680</v>
      </c>
      <c r="B6187">
        <f>IFERROR(VLOOKUP($A6187,原始数据_收盘!$A$4:$G$3460,2,0),"")</f>
        <v>1.665</v>
      </c>
      <c r="C6187">
        <f>IFERROR(VLOOKUP($A6187,原始数据_收盘!$A$4:$G$3460,3,0),"")</f>
        <v>1.53</v>
      </c>
      <c r="D6187">
        <f>IFERROR(VLOOKUP($A6187,原始数据_收盘!$A$4:$G$3460,4,0),"")</f>
        <v>1.6675</v>
      </c>
      <c r="E6187">
        <f>IFERROR(VLOOKUP($A6187,原始数据_收盘!$A$4:$G$3460,5,0),"")</f>
        <v>1.536</v>
      </c>
      <c r="F6187">
        <f>IFERROR(VLOOKUP($A6187,原始数据_收盘!$A$4:$G$3460,6,0),"")</f>
        <v>1.6663</v>
      </c>
      <c r="G6187">
        <f>IFERROR(VLOOKUP($A6187,原始数据_收盘!$A$4:$G$3460,7,0),"")</f>
        <v>1.533</v>
      </c>
      <c r="H6187">
        <f>IFERROR(VLOOKUP($A6187,原始数据_利率互换_FR007_1年!$A$6:$C$4395,2,0),"")</f>
        <v>1.6433</v>
      </c>
      <c r="I6187">
        <f>IFERROR(VLOOKUP($A6187,原始数据_利率互换_FR007_1年!$A$6:$C$4395,3,0),"")</f>
        <v>1.5185</v>
      </c>
    </row>
    <row r="6188" spans="1:9">
      <c r="A6188" s="6">
        <v>45681</v>
      </c>
      <c r="B6188">
        <f>IFERROR(VLOOKUP($A6188,原始数据_收盘!$A$4:$G$3460,2,0),"")</f>
        <v>1.6625</v>
      </c>
      <c r="C6188">
        <f>IFERROR(VLOOKUP($A6188,原始数据_收盘!$A$4:$G$3460,3,0),"")</f>
        <v>1.5181</v>
      </c>
      <c r="D6188">
        <f>IFERROR(VLOOKUP($A6188,原始数据_收盘!$A$4:$G$3460,4,0),"")</f>
        <v>1.665</v>
      </c>
      <c r="E6188">
        <f>IFERROR(VLOOKUP($A6188,原始数据_收盘!$A$4:$G$3460,5,0),"")</f>
        <v>1.5225</v>
      </c>
      <c r="F6188">
        <f>IFERROR(VLOOKUP($A6188,原始数据_收盘!$A$4:$G$3460,6,0),"")</f>
        <v>1.6638</v>
      </c>
      <c r="G6188">
        <f>IFERROR(VLOOKUP($A6188,原始数据_收盘!$A$4:$G$3460,7,0),"")</f>
        <v>1.5203</v>
      </c>
      <c r="H6188">
        <f>IFERROR(VLOOKUP($A6188,原始数据_利率互换_FR007_1年!$A$6:$C$4395,2,0),"")</f>
        <v>1.6819</v>
      </c>
      <c r="I6188">
        <f>IFERROR(VLOOKUP($A6188,原始数据_利率互换_FR007_1年!$A$6:$C$4395,3,0),"")</f>
        <v>1.5456</v>
      </c>
    </row>
    <row r="6189" spans="1:9">
      <c r="A6189" s="6">
        <v>45682</v>
      </c>
      <c r="B6189" t="str">
        <f>IFERROR(VLOOKUP($A6189,原始数据_收盘!$A$4:$G$3460,2,0),"")</f>
        <v/>
      </c>
      <c r="C6189" t="str">
        <f>IFERROR(VLOOKUP($A6189,原始数据_收盘!$A$4:$G$3460,3,0),"")</f>
        <v/>
      </c>
      <c r="D6189" t="str">
        <f>IFERROR(VLOOKUP($A6189,原始数据_收盘!$A$4:$G$3460,4,0),"")</f>
        <v/>
      </c>
      <c r="E6189" t="str">
        <f>IFERROR(VLOOKUP($A6189,原始数据_收盘!$A$4:$G$3460,5,0),"")</f>
        <v/>
      </c>
      <c r="F6189" t="str">
        <f>IFERROR(VLOOKUP($A6189,原始数据_收盘!$A$4:$G$3460,6,0),"")</f>
        <v/>
      </c>
      <c r="G6189" t="str">
        <f>IFERROR(VLOOKUP($A6189,原始数据_收盘!$A$4:$G$3460,7,0),"")</f>
        <v/>
      </c>
      <c r="H6189" t="str">
        <f>IFERROR(VLOOKUP($A6189,原始数据_利率互换_FR007_1年!$A$6:$C$4395,2,0),"")</f>
        <v/>
      </c>
      <c r="I6189" t="str">
        <f>IFERROR(VLOOKUP($A6189,原始数据_利率互换_FR007_1年!$A$6:$C$4395,3,0),"")</f>
        <v/>
      </c>
    </row>
    <row r="6190" spans="1:9">
      <c r="A6190" s="6">
        <v>45683</v>
      </c>
      <c r="B6190">
        <f>IFERROR(VLOOKUP($A6190,原始数据_收盘!$A$4:$G$3460,2,0),"")</f>
        <v>1.645</v>
      </c>
      <c r="C6190">
        <f>IFERROR(VLOOKUP($A6190,原始数据_收盘!$A$4:$G$3460,3,0),"")</f>
        <v>1.5125</v>
      </c>
      <c r="D6190">
        <f>IFERROR(VLOOKUP($A6190,原始数据_收盘!$A$4:$G$3460,4,0),"")</f>
        <v>1.65</v>
      </c>
      <c r="E6190">
        <f>IFERROR(VLOOKUP($A6190,原始数据_收盘!$A$4:$G$3460,5,0),"")</f>
        <v>1.5206</v>
      </c>
      <c r="F6190">
        <f>IFERROR(VLOOKUP($A6190,原始数据_收盘!$A$4:$G$3460,6,0),"")</f>
        <v>1.6475</v>
      </c>
      <c r="G6190">
        <f>IFERROR(VLOOKUP($A6190,原始数据_收盘!$A$4:$G$3460,7,0),"")</f>
        <v>1.5165</v>
      </c>
      <c r="H6190">
        <f>IFERROR(VLOOKUP($A6190,原始数据_利率互换_FR007_1年!$A$6:$C$4395,2,0),"")</f>
        <v>1.6469</v>
      </c>
      <c r="I6190">
        <f>IFERROR(VLOOKUP($A6190,原始数据_利率互换_FR007_1年!$A$6:$C$4395,3,0),"")</f>
        <v>1.515</v>
      </c>
    </row>
    <row r="6191" spans="1:9">
      <c r="A6191" s="6">
        <v>45684</v>
      </c>
      <c r="B6191">
        <f>IFERROR(VLOOKUP($A6191,原始数据_收盘!$A$4:$G$3460,2,0),"")</f>
        <v>1.63</v>
      </c>
      <c r="C6191">
        <f>IFERROR(VLOOKUP($A6191,原始数据_收盘!$A$4:$G$3460,3,0),"")</f>
        <v>1.49</v>
      </c>
      <c r="D6191">
        <f>IFERROR(VLOOKUP($A6191,原始数据_收盘!$A$4:$G$3460,4,0),"")</f>
        <v>1.6347</v>
      </c>
      <c r="E6191">
        <f>IFERROR(VLOOKUP($A6191,原始数据_收盘!$A$4:$G$3460,5,0),"")</f>
        <v>1.4947</v>
      </c>
      <c r="F6191">
        <f>IFERROR(VLOOKUP($A6191,原始数据_收盘!$A$4:$G$3460,6,0),"")</f>
        <v>1.6323</v>
      </c>
      <c r="G6191">
        <f>IFERROR(VLOOKUP($A6191,原始数据_收盘!$A$4:$G$3460,7,0),"")</f>
        <v>1.4923</v>
      </c>
      <c r="H6191">
        <f>IFERROR(VLOOKUP($A6191,原始数据_利率互换_FR007_1年!$A$6:$C$4395,2,0),"")</f>
        <v>1.629</v>
      </c>
      <c r="I6191">
        <f>IFERROR(VLOOKUP($A6191,原始数据_利率互换_FR007_1年!$A$6:$C$4395,3,0),"")</f>
        <v>1.4898</v>
      </c>
    </row>
    <row r="6192" spans="1:9">
      <c r="A6192" s="6">
        <v>45685</v>
      </c>
      <c r="B6192" t="str">
        <f>IFERROR(VLOOKUP($A6192,原始数据_收盘!$A$4:$G$3460,2,0),"")</f>
        <v/>
      </c>
      <c r="C6192" t="str">
        <f>IFERROR(VLOOKUP($A6192,原始数据_收盘!$A$4:$G$3460,3,0),"")</f>
        <v/>
      </c>
      <c r="D6192" t="str">
        <f>IFERROR(VLOOKUP($A6192,原始数据_收盘!$A$4:$G$3460,4,0),"")</f>
        <v/>
      </c>
      <c r="E6192" t="str">
        <f>IFERROR(VLOOKUP($A6192,原始数据_收盘!$A$4:$G$3460,5,0),"")</f>
        <v/>
      </c>
      <c r="F6192" t="str">
        <f>IFERROR(VLOOKUP($A6192,原始数据_收盘!$A$4:$G$3460,6,0),"")</f>
        <v/>
      </c>
      <c r="G6192" t="str">
        <f>IFERROR(VLOOKUP($A6192,原始数据_收盘!$A$4:$G$3460,7,0),"")</f>
        <v/>
      </c>
      <c r="H6192" t="str">
        <f>IFERROR(VLOOKUP($A6192,原始数据_利率互换_FR007_1年!$A$6:$C$4395,2,0),"")</f>
        <v/>
      </c>
      <c r="I6192" t="str">
        <f>IFERROR(VLOOKUP($A6192,原始数据_利率互换_FR007_1年!$A$6:$C$4395,3,0),"")</f>
        <v/>
      </c>
    </row>
    <row r="6193" spans="1:9">
      <c r="A6193" s="6">
        <v>45686</v>
      </c>
      <c r="B6193" t="str">
        <f>IFERROR(VLOOKUP($A6193,原始数据_收盘!$A$4:$G$3460,2,0),"")</f>
        <v/>
      </c>
      <c r="C6193" t="str">
        <f>IFERROR(VLOOKUP($A6193,原始数据_收盘!$A$4:$G$3460,3,0),"")</f>
        <v/>
      </c>
      <c r="D6193" t="str">
        <f>IFERROR(VLOOKUP($A6193,原始数据_收盘!$A$4:$G$3460,4,0),"")</f>
        <v/>
      </c>
      <c r="E6193" t="str">
        <f>IFERROR(VLOOKUP($A6193,原始数据_收盘!$A$4:$G$3460,5,0),"")</f>
        <v/>
      </c>
      <c r="F6193" t="str">
        <f>IFERROR(VLOOKUP($A6193,原始数据_收盘!$A$4:$G$3460,6,0),"")</f>
        <v/>
      </c>
      <c r="G6193" t="str">
        <f>IFERROR(VLOOKUP($A6193,原始数据_收盘!$A$4:$G$3460,7,0),"")</f>
        <v/>
      </c>
      <c r="H6193" t="str">
        <f>IFERROR(VLOOKUP($A6193,原始数据_利率互换_FR007_1年!$A$6:$C$4395,2,0),"")</f>
        <v/>
      </c>
      <c r="I6193" t="str">
        <f>IFERROR(VLOOKUP($A6193,原始数据_利率互换_FR007_1年!$A$6:$C$4395,3,0),"")</f>
        <v/>
      </c>
    </row>
    <row r="6194" spans="1:9">
      <c r="A6194" s="6">
        <v>45687</v>
      </c>
      <c r="B6194" t="str">
        <f>IFERROR(VLOOKUP($A6194,原始数据_收盘!$A$4:$G$3460,2,0),"")</f>
        <v/>
      </c>
      <c r="C6194" t="str">
        <f>IFERROR(VLOOKUP($A6194,原始数据_收盘!$A$4:$G$3460,3,0),"")</f>
        <v/>
      </c>
      <c r="D6194" t="str">
        <f>IFERROR(VLOOKUP($A6194,原始数据_收盘!$A$4:$G$3460,4,0),"")</f>
        <v/>
      </c>
      <c r="E6194" t="str">
        <f>IFERROR(VLOOKUP($A6194,原始数据_收盘!$A$4:$G$3460,5,0),"")</f>
        <v/>
      </c>
      <c r="F6194" t="str">
        <f>IFERROR(VLOOKUP($A6194,原始数据_收盘!$A$4:$G$3460,6,0),"")</f>
        <v/>
      </c>
      <c r="G6194" t="str">
        <f>IFERROR(VLOOKUP($A6194,原始数据_收盘!$A$4:$G$3460,7,0),"")</f>
        <v/>
      </c>
      <c r="H6194" t="str">
        <f>IFERROR(VLOOKUP($A6194,原始数据_利率互换_FR007_1年!$A$6:$C$4395,2,0),"")</f>
        <v/>
      </c>
      <c r="I6194" t="str">
        <f>IFERROR(VLOOKUP($A6194,原始数据_利率互换_FR007_1年!$A$6:$C$4395,3,0),"")</f>
        <v/>
      </c>
    </row>
    <row r="6195" spans="1:9">
      <c r="A6195" s="6">
        <v>45688</v>
      </c>
      <c r="B6195" t="str">
        <f>IFERROR(VLOOKUP($A6195,原始数据_收盘!$A$4:$G$3460,2,0),"")</f>
        <v/>
      </c>
      <c r="C6195" t="str">
        <f>IFERROR(VLOOKUP($A6195,原始数据_收盘!$A$4:$G$3460,3,0),"")</f>
        <v/>
      </c>
      <c r="D6195" t="str">
        <f>IFERROR(VLOOKUP($A6195,原始数据_收盘!$A$4:$G$3460,4,0),"")</f>
        <v/>
      </c>
      <c r="E6195" t="str">
        <f>IFERROR(VLOOKUP($A6195,原始数据_收盘!$A$4:$G$3460,5,0),"")</f>
        <v/>
      </c>
      <c r="F6195" t="str">
        <f>IFERROR(VLOOKUP($A6195,原始数据_收盘!$A$4:$G$3460,6,0),"")</f>
        <v/>
      </c>
      <c r="G6195" t="str">
        <f>IFERROR(VLOOKUP($A6195,原始数据_收盘!$A$4:$G$3460,7,0),"")</f>
        <v/>
      </c>
      <c r="H6195" t="str">
        <f>IFERROR(VLOOKUP($A6195,原始数据_利率互换_FR007_1年!$A$6:$C$4395,2,0),"")</f>
        <v/>
      </c>
      <c r="I6195" t="str">
        <f>IFERROR(VLOOKUP($A6195,原始数据_利率互换_FR007_1年!$A$6:$C$4395,3,0),"")</f>
        <v/>
      </c>
    </row>
    <row r="6196" spans="1:9">
      <c r="A6196" s="6">
        <v>45689</v>
      </c>
      <c r="B6196" t="str">
        <f>IFERROR(VLOOKUP($A6196,原始数据_收盘!$A$4:$G$3460,2,0),"")</f>
        <v/>
      </c>
      <c r="C6196" t="str">
        <f>IFERROR(VLOOKUP($A6196,原始数据_收盘!$A$4:$G$3460,3,0),"")</f>
        <v/>
      </c>
      <c r="D6196" t="str">
        <f>IFERROR(VLOOKUP($A6196,原始数据_收盘!$A$4:$G$3460,4,0),"")</f>
        <v/>
      </c>
      <c r="E6196" t="str">
        <f>IFERROR(VLOOKUP($A6196,原始数据_收盘!$A$4:$G$3460,5,0),"")</f>
        <v/>
      </c>
      <c r="F6196" t="str">
        <f>IFERROR(VLOOKUP($A6196,原始数据_收盘!$A$4:$G$3460,6,0),"")</f>
        <v/>
      </c>
      <c r="G6196" t="str">
        <f>IFERROR(VLOOKUP($A6196,原始数据_收盘!$A$4:$G$3460,7,0),"")</f>
        <v/>
      </c>
      <c r="H6196" t="str">
        <f>IFERROR(VLOOKUP($A6196,原始数据_利率互换_FR007_1年!$A$6:$C$4395,2,0),"")</f>
        <v/>
      </c>
      <c r="I6196" t="str">
        <f>IFERROR(VLOOKUP($A6196,原始数据_利率互换_FR007_1年!$A$6:$C$4395,3,0),"")</f>
        <v/>
      </c>
    </row>
    <row r="6197" spans="1:9">
      <c r="A6197" s="6">
        <v>45690</v>
      </c>
      <c r="B6197" t="str">
        <f>IFERROR(VLOOKUP($A6197,原始数据_收盘!$A$4:$G$3460,2,0),"")</f>
        <v/>
      </c>
      <c r="C6197" t="str">
        <f>IFERROR(VLOOKUP($A6197,原始数据_收盘!$A$4:$G$3460,3,0),"")</f>
        <v/>
      </c>
      <c r="D6197" t="str">
        <f>IFERROR(VLOOKUP($A6197,原始数据_收盘!$A$4:$G$3460,4,0),"")</f>
        <v/>
      </c>
      <c r="E6197" t="str">
        <f>IFERROR(VLOOKUP($A6197,原始数据_收盘!$A$4:$G$3460,5,0),"")</f>
        <v/>
      </c>
      <c r="F6197" t="str">
        <f>IFERROR(VLOOKUP($A6197,原始数据_收盘!$A$4:$G$3460,6,0),"")</f>
        <v/>
      </c>
      <c r="G6197" t="str">
        <f>IFERROR(VLOOKUP($A6197,原始数据_收盘!$A$4:$G$3460,7,0),"")</f>
        <v/>
      </c>
      <c r="H6197" t="str">
        <f>IFERROR(VLOOKUP($A6197,原始数据_利率互换_FR007_1年!$A$6:$C$4395,2,0),"")</f>
        <v/>
      </c>
      <c r="I6197" t="str">
        <f>IFERROR(VLOOKUP($A6197,原始数据_利率互换_FR007_1年!$A$6:$C$4395,3,0),"")</f>
        <v/>
      </c>
    </row>
    <row r="6198" spans="1:9">
      <c r="A6198" s="6">
        <v>45691</v>
      </c>
      <c r="B6198" t="str">
        <f>IFERROR(VLOOKUP($A6198,原始数据_收盘!$A$4:$G$3460,2,0),"")</f>
        <v/>
      </c>
      <c r="C6198" t="str">
        <f>IFERROR(VLOOKUP($A6198,原始数据_收盘!$A$4:$G$3460,3,0),"")</f>
        <v/>
      </c>
      <c r="D6198" t="str">
        <f>IFERROR(VLOOKUP($A6198,原始数据_收盘!$A$4:$G$3460,4,0),"")</f>
        <v/>
      </c>
      <c r="E6198" t="str">
        <f>IFERROR(VLOOKUP($A6198,原始数据_收盘!$A$4:$G$3460,5,0),"")</f>
        <v/>
      </c>
      <c r="F6198" t="str">
        <f>IFERROR(VLOOKUP($A6198,原始数据_收盘!$A$4:$G$3460,6,0),"")</f>
        <v/>
      </c>
      <c r="G6198" t="str">
        <f>IFERROR(VLOOKUP($A6198,原始数据_收盘!$A$4:$G$3460,7,0),"")</f>
        <v/>
      </c>
      <c r="H6198" t="str">
        <f>IFERROR(VLOOKUP($A6198,原始数据_利率互换_FR007_1年!$A$6:$C$4395,2,0),"")</f>
        <v/>
      </c>
      <c r="I6198" t="str">
        <f>IFERROR(VLOOKUP($A6198,原始数据_利率互换_FR007_1年!$A$6:$C$4395,3,0),"")</f>
        <v/>
      </c>
    </row>
    <row r="6199" spans="1:9">
      <c r="A6199" s="6">
        <v>45692</v>
      </c>
      <c r="B6199" t="str">
        <f>IFERROR(VLOOKUP($A6199,原始数据_收盘!$A$4:$G$3460,2,0),"")</f>
        <v/>
      </c>
      <c r="C6199" t="str">
        <f>IFERROR(VLOOKUP($A6199,原始数据_收盘!$A$4:$G$3460,3,0),"")</f>
        <v/>
      </c>
      <c r="D6199" t="str">
        <f>IFERROR(VLOOKUP($A6199,原始数据_收盘!$A$4:$G$3460,4,0),"")</f>
        <v/>
      </c>
      <c r="E6199" t="str">
        <f>IFERROR(VLOOKUP($A6199,原始数据_收盘!$A$4:$G$3460,5,0),"")</f>
        <v/>
      </c>
      <c r="F6199" t="str">
        <f>IFERROR(VLOOKUP($A6199,原始数据_收盘!$A$4:$G$3460,6,0),"")</f>
        <v/>
      </c>
      <c r="G6199" t="str">
        <f>IFERROR(VLOOKUP($A6199,原始数据_收盘!$A$4:$G$3460,7,0),"")</f>
        <v/>
      </c>
      <c r="H6199" t="str">
        <f>IFERROR(VLOOKUP($A6199,原始数据_利率互换_FR007_1年!$A$6:$C$4395,2,0),"")</f>
        <v/>
      </c>
      <c r="I6199" t="str">
        <f>IFERROR(VLOOKUP($A6199,原始数据_利率互换_FR007_1年!$A$6:$C$4395,3,0),"")</f>
        <v/>
      </c>
    </row>
    <row r="6200" spans="1:9">
      <c r="A6200" s="6">
        <v>45693</v>
      </c>
      <c r="B6200">
        <f>IFERROR(VLOOKUP($A6200,原始数据_收盘!$A$4:$G$3460,2,0),"")</f>
        <v>1.6379</v>
      </c>
      <c r="C6200">
        <f>IFERROR(VLOOKUP($A6200,原始数据_收盘!$A$4:$G$3460,3,0),"")</f>
        <v>1.485</v>
      </c>
      <c r="D6200">
        <f>IFERROR(VLOOKUP($A6200,原始数据_收盘!$A$4:$G$3460,4,0),"")</f>
        <v>1.6403</v>
      </c>
      <c r="E6200">
        <f>IFERROR(VLOOKUP($A6200,原始数据_收盘!$A$4:$G$3460,5,0),"")</f>
        <v>1.4875</v>
      </c>
      <c r="F6200">
        <f>IFERROR(VLOOKUP($A6200,原始数据_收盘!$A$4:$G$3460,6,0),"")</f>
        <v>1.6391</v>
      </c>
      <c r="G6200">
        <f>IFERROR(VLOOKUP($A6200,原始数据_收盘!$A$4:$G$3460,7,0),"")</f>
        <v>1.4863</v>
      </c>
      <c r="H6200">
        <f>IFERROR(VLOOKUP($A6200,原始数据_利率互换_FR007_1年!$A$6:$C$4395,2,0),"")</f>
        <v>1.6447</v>
      </c>
      <c r="I6200">
        <f>IFERROR(VLOOKUP($A6200,原始数据_利率互换_FR007_1年!$A$6:$C$4395,3,0),"")</f>
        <v>1.4881</v>
      </c>
    </row>
    <row r="6201" spans="1:9">
      <c r="A6201" s="6">
        <v>45694</v>
      </c>
      <c r="B6201">
        <f>IFERROR(VLOOKUP($A6201,原始数据_收盘!$A$4:$G$3460,2,0),"")</f>
        <v>1.5734</v>
      </c>
      <c r="C6201">
        <f>IFERROR(VLOOKUP($A6201,原始数据_收盘!$A$4:$G$3460,3,0),"")</f>
        <v>1.4606</v>
      </c>
      <c r="D6201">
        <f>IFERROR(VLOOKUP($A6201,原始数据_收盘!$A$4:$G$3460,4,0),"")</f>
        <v>1.5755</v>
      </c>
      <c r="E6201">
        <f>IFERROR(VLOOKUP($A6201,原始数据_收盘!$A$4:$G$3460,5,0),"")</f>
        <v>1.4631</v>
      </c>
      <c r="F6201">
        <f>IFERROR(VLOOKUP($A6201,原始数据_收盘!$A$4:$G$3460,6,0),"")</f>
        <v>1.5744</v>
      </c>
      <c r="G6201">
        <f>IFERROR(VLOOKUP($A6201,原始数据_收盘!$A$4:$G$3460,7,0),"")</f>
        <v>1.4619</v>
      </c>
      <c r="H6201">
        <f>IFERROR(VLOOKUP($A6201,原始数据_利率互换_FR007_1年!$A$6:$C$4395,2,0),"")</f>
        <v>1.5912</v>
      </c>
      <c r="I6201">
        <f>IFERROR(VLOOKUP($A6201,原始数据_利率互换_FR007_1年!$A$6:$C$4395,3,0),"")</f>
        <v>1.4695</v>
      </c>
    </row>
    <row r="6202" spans="1:9">
      <c r="A6202" s="6">
        <v>45695</v>
      </c>
      <c r="B6202">
        <f>IFERROR(VLOOKUP($A6202,原始数据_收盘!$A$4:$G$3460,2,0),"")</f>
        <v>1.5819</v>
      </c>
      <c r="C6202">
        <f>IFERROR(VLOOKUP($A6202,原始数据_收盘!$A$4:$G$3460,3,0),"")</f>
        <v>1.4814</v>
      </c>
      <c r="D6202">
        <f>IFERROR(VLOOKUP($A6202,原始数据_收盘!$A$4:$G$3460,4,0),"")</f>
        <v>1.5845</v>
      </c>
      <c r="E6202">
        <f>IFERROR(VLOOKUP($A6202,原始数据_收盘!$A$4:$G$3460,5,0),"")</f>
        <v>1.4839</v>
      </c>
      <c r="F6202">
        <f>IFERROR(VLOOKUP($A6202,原始数据_收盘!$A$4:$G$3460,6,0),"")</f>
        <v>1.5832</v>
      </c>
      <c r="G6202">
        <f>IFERROR(VLOOKUP($A6202,原始数据_收盘!$A$4:$G$3460,7,0),"")</f>
        <v>1.4827</v>
      </c>
      <c r="H6202">
        <f>IFERROR(VLOOKUP($A6202,原始数据_利率互换_FR007_1年!$A$6:$C$4395,2,0),"")</f>
        <v>1.5766</v>
      </c>
      <c r="I6202">
        <f>IFERROR(VLOOKUP($A6202,原始数据_利率互换_FR007_1年!$A$6:$C$4395,3,0),"")</f>
        <v>1.4799</v>
      </c>
    </row>
    <row r="6203" spans="1:9">
      <c r="A6203" s="6">
        <v>45696</v>
      </c>
      <c r="B6203">
        <f>IFERROR(VLOOKUP($A6203,原始数据_收盘!$A$4:$G$3460,2,0),"")</f>
        <v>1.595</v>
      </c>
      <c r="C6203">
        <f>IFERROR(VLOOKUP($A6203,原始数据_收盘!$A$4:$G$3460,3,0),"")</f>
        <v>1.5025</v>
      </c>
      <c r="D6203">
        <f>IFERROR(VLOOKUP($A6203,原始数据_收盘!$A$4:$G$3460,4,0),"")</f>
        <v>1.5975</v>
      </c>
      <c r="E6203">
        <f>IFERROR(VLOOKUP($A6203,原始数据_收盘!$A$4:$G$3460,5,0),"")</f>
        <v>1.5075</v>
      </c>
      <c r="F6203">
        <f>IFERROR(VLOOKUP($A6203,原始数据_收盘!$A$4:$G$3460,6,0),"")</f>
        <v>1.5963</v>
      </c>
      <c r="G6203">
        <f>IFERROR(VLOOKUP($A6203,原始数据_收盘!$A$4:$G$3460,7,0),"")</f>
        <v>1.505</v>
      </c>
      <c r="H6203">
        <f>IFERROR(VLOOKUP($A6203,原始数据_利率互换_FR007_1年!$A$6:$C$4395,2,0),"")</f>
        <v>1.5987</v>
      </c>
      <c r="I6203">
        <f>IFERROR(VLOOKUP($A6203,原始数据_利率互换_FR007_1年!$A$6:$C$4395,3,0),"")</f>
        <v>1.5052</v>
      </c>
    </row>
    <row r="6204" spans="1:9">
      <c r="A6204" s="6">
        <v>45697</v>
      </c>
      <c r="B6204" t="str">
        <f>IFERROR(VLOOKUP($A6204,原始数据_收盘!$A$4:$G$3460,2,0),"")</f>
        <v/>
      </c>
      <c r="C6204" t="str">
        <f>IFERROR(VLOOKUP($A6204,原始数据_收盘!$A$4:$G$3460,3,0),"")</f>
        <v/>
      </c>
      <c r="D6204" t="str">
        <f>IFERROR(VLOOKUP($A6204,原始数据_收盘!$A$4:$G$3460,4,0),"")</f>
        <v/>
      </c>
      <c r="E6204" t="str">
        <f>IFERROR(VLOOKUP($A6204,原始数据_收盘!$A$4:$G$3460,5,0),"")</f>
        <v/>
      </c>
      <c r="F6204" t="str">
        <f>IFERROR(VLOOKUP($A6204,原始数据_收盘!$A$4:$G$3460,6,0),"")</f>
        <v/>
      </c>
      <c r="G6204" t="str">
        <f>IFERROR(VLOOKUP($A6204,原始数据_收盘!$A$4:$G$3460,7,0),"")</f>
        <v/>
      </c>
      <c r="H6204" t="str">
        <f>IFERROR(VLOOKUP($A6204,原始数据_利率互换_FR007_1年!$A$6:$C$4395,2,0),"")</f>
        <v/>
      </c>
      <c r="I6204" t="str">
        <f>IFERROR(VLOOKUP($A6204,原始数据_利率互换_FR007_1年!$A$6:$C$4395,3,0),"")</f>
        <v/>
      </c>
    </row>
    <row r="6205" spans="1:9">
      <c r="A6205" s="6">
        <v>45698</v>
      </c>
      <c r="B6205">
        <f>IFERROR(VLOOKUP($A6205,原始数据_收盘!$A$4:$G$3460,2,0),"")</f>
        <v>1.6391</v>
      </c>
      <c r="C6205">
        <f>IFERROR(VLOOKUP($A6205,原始数据_收盘!$A$4:$G$3460,3,0),"")</f>
        <v>1.5365</v>
      </c>
      <c r="D6205">
        <f>IFERROR(VLOOKUP($A6205,原始数据_收盘!$A$4:$G$3460,4,0),"")</f>
        <v>1.6455</v>
      </c>
      <c r="E6205">
        <f>IFERROR(VLOOKUP($A6205,原始数据_收盘!$A$4:$G$3460,5,0),"")</f>
        <v>1.5403</v>
      </c>
      <c r="F6205">
        <f>IFERROR(VLOOKUP($A6205,原始数据_收盘!$A$4:$G$3460,6,0),"")</f>
        <v>1.6423</v>
      </c>
      <c r="G6205">
        <f>IFERROR(VLOOKUP($A6205,原始数据_收盘!$A$4:$G$3460,7,0),"")</f>
        <v>1.5384</v>
      </c>
      <c r="H6205">
        <f>IFERROR(VLOOKUP($A6205,原始数据_利率互换_FR007_1年!$A$6:$C$4395,2,0),"")</f>
        <v>1.6332</v>
      </c>
      <c r="I6205">
        <f>IFERROR(VLOOKUP($A6205,原始数据_利率互换_FR007_1年!$A$6:$C$4395,3,0),"")</f>
        <v>1.5286</v>
      </c>
    </row>
    <row r="6206" spans="1:9">
      <c r="A6206" s="6">
        <v>45699</v>
      </c>
      <c r="B6206">
        <f>IFERROR(VLOOKUP($A6206,原始数据_收盘!$A$4:$G$3460,2,0),"")</f>
        <v>1.6475</v>
      </c>
      <c r="C6206">
        <f>IFERROR(VLOOKUP($A6206,原始数据_收盘!$A$4:$G$3460,3,0),"")</f>
        <v>1.5229</v>
      </c>
      <c r="D6206">
        <f>IFERROR(VLOOKUP($A6206,原始数据_收盘!$A$4:$G$3460,4,0),"")</f>
        <v>1.65</v>
      </c>
      <c r="E6206">
        <f>IFERROR(VLOOKUP($A6206,原始数据_收盘!$A$4:$G$3460,5,0),"")</f>
        <v>1.5257</v>
      </c>
      <c r="F6206">
        <f>IFERROR(VLOOKUP($A6206,原始数据_收盘!$A$4:$G$3460,6,0),"")</f>
        <v>1.6488</v>
      </c>
      <c r="G6206">
        <f>IFERROR(VLOOKUP($A6206,原始数据_收盘!$A$4:$G$3460,7,0),"")</f>
        <v>1.5243</v>
      </c>
      <c r="H6206">
        <f>IFERROR(VLOOKUP($A6206,原始数据_利率互换_FR007_1年!$A$6:$C$4395,2,0),"")</f>
        <v>1.656</v>
      </c>
      <c r="I6206">
        <f>IFERROR(VLOOKUP($A6206,原始数据_利率互换_FR007_1年!$A$6:$C$4395,3,0),"")</f>
        <v>1.5319</v>
      </c>
    </row>
    <row r="6207" spans="1:9">
      <c r="A6207" s="6">
        <v>45700</v>
      </c>
      <c r="B6207">
        <f>IFERROR(VLOOKUP($A6207,原始数据_收盘!$A$4:$G$3460,2,0),"")</f>
        <v>1.6525</v>
      </c>
      <c r="C6207">
        <f>IFERROR(VLOOKUP($A6207,原始数据_收盘!$A$4:$G$3460,3,0),"")</f>
        <v>1.5417</v>
      </c>
      <c r="D6207">
        <f>IFERROR(VLOOKUP($A6207,原始数据_收盘!$A$4:$G$3460,4,0),"")</f>
        <v>1.6575</v>
      </c>
      <c r="E6207">
        <f>IFERROR(VLOOKUP($A6207,原始数据_收盘!$A$4:$G$3460,5,0),"")</f>
        <v>1.545</v>
      </c>
      <c r="F6207">
        <f>IFERROR(VLOOKUP($A6207,原始数据_收盘!$A$4:$G$3460,6,0),"")</f>
        <v>1.655</v>
      </c>
      <c r="G6207">
        <f>IFERROR(VLOOKUP($A6207,原始数据_收盘!$A$4:$G$3460,7,0),"")</f>
        <v>1.5433</v>
      </c>
      <c r="H6207">
        <f>IFERROR(VLOOKUP($A6207,原始数据_利率互换_FR007_1年!$A$6:$C$4395,2,0),"")</f>
        <v>1.6414</v>
      </c>
      <c r="I6207">
        <f>IFERROR(VLOOKUP($A6207,原始数据_利率互换_FR007_1年!$A$6:$C$4395,3,0),"")</f>
        <v>1.5324</v>
      </c>
    </row>
    <row r="6208" spans="1:9">
      <c r="A6208" s="6">
        <v>45701</v>
      </c>
      <c r="B6208">
        <f>IFERROR(VLOOKUP($A6208,原始数据_收盘!$A$4:$G$3460,2,0),"")</f>
        <v>1.66</v>
      </c>
      <c r="C6208">
        <f>IFERROR(VLOOKUP($A6208,原始数据_收盘!$A$4:$G$3460,3,0),"")</f>
        <v>1.54</v>
      </c>
      <c r="D6208">
        <f>IFERROR(VLOOKUP($A6208,原始数据_收盘!$A$4:$G$3460,4,0),"")</f>
        <v>1.6625</v>
      </c>
      <c r="E6208">
        <f>IFERROR(VLOOKUP($A6208,原始数据_收盘!$A$4:$G$3460,5,0),"")</f>
        <v>1.5429</v>
      </c>
      <c r="F6208">
        <f>IFERROR(VLOOKUP($A6208,原始数据_收盘!$A$4:$G$3460,6,0),"")</f>
        <v>1.6613</v>
      </c>
      <c r="G6208">
        <f>IFERROR(VLOOKUP($A6208,原始数据_收盘!$A$4:$G$3460,7,0),"")</f>
        <v>1.5415</v>
      </c>
      <c r="H6208">
        <f>IFERROR(VLOOKUP($A6208,原始数据_利率互换_FR007_1年!$A$6:$C$4395,2,0),"")</f>
        <v>1.65</v>
      </c>
      <c r="I6208">
        <f>IFERROR(VLOOKUP($A6208,原始数据_利率互换_FR007_1年!$A$6:$C$4395,3,0),"")</f>
        <v>1.5409</v>
      </c>
    </row>
    <row r="6209" spans="1:9">
      <c r="A6209" s="6">
        <v>45702</v>
      </c>
      <c r="B6209">
        <f>IFERROR(VLOOKUP($A6209,原始数据_收盘!$A$4:$G$3460,2,0),"")</f>
        <v>1.7</v>
      </c>
      <c r="C6209">
        <f>IFERROR(VLOOKUP($A6209,原始数据_收盘!$A$4:$G$3460,3,0),"")</f>
        <v>1.585</v>
      </c>
      <c r="D6209">
        <f>IFERROR(VLOOKUP($A6209,原始数据_收盘!$A$4:$G$3460,4,0),"")</f>
        <v>1.705</v>
      </c>
      <c r="E6209">
        <f>IFERROR(VLOOKUP($A6209,原始数据_收盘!$A$4:$G$3460,5,0),"")</f>
        <v>1.5897</v>
      </c>
      <c r="F6209">
        <f>IFERROR(VLOOKUP($A6209,原始数据_收盘!$A$4:$G$3460,6,0),"")</f>
        <v>1.7025</v>
      </c>
      <c r="G6209">
        <f>IFERROR(VLOOKUP($A6209,原始数据_收盘!$A$4:$G$3460,7,0),"")</f>
        <v>1.5873</v>
      </c>
      <c r="H6209">
        <f>IFERROR(VLOOKUP($A6209,原始数据_利率互换_FR007_1年!$A$6:$C$4395,2,0),"")</f>
        <v>1.694</v>
      </c>
      <c r="I6209">
        <f>IFERROR(VLOOKUP($A6209,原始数据_利率互换_FR007_1年!$A$6:$C$4395,3,0),"")</f>
        <v>1.5721</v>
      </c>
    </row>
    <row r="6210" spans="1:9">
      <c r="A6210" s="6">
        <v>45703</v>
      </c>
      <c r="B6210" t="str">
        <f>IFERROR(VLOOKUP($A6210,原始数据_收盘!$A$4:$G$3460,2,0),"")</f>
        <v/>
      </c>
      <c r="C6210" t="str">
        <f>IFERROR(VLOOKUP($A6210,原始数据_收盘!$A$4:$G$3460,3,0),"")</f>
        <v/>
      </c>
      <c r="D6210" t="str">
        <f>IFERROR(VLOOKUP($A6210,原始数据_收盘!$A$4:$G$3460,4,0),"")</f>
        <v/>
      </c>
      <c r="E6210" t="str">
        <f>IFERROR(VLOOKUP($A6210,原始数据_收盘!$A$4:$G$3460,5,0),"")</f>
        <v/>
      </c>
      <c r="F6210" t="str">
        <f>IFERROR(VLOOKUP($A6210,原始数据_收盘!$A$4:$G$3460,6,0),"")</f>
        <v/>
      </c>
      <c r="G6210" t="str">
        <f>IFERROR(VLOOKUP($A6210,原始数据_收盘!$A$4:$G$3460,7,0),"")</f>
        <v/>
      </c>
      <c r="H6210" t="str">
        <f>IFERROR(VLOOKUP($A6210,原始数据_利率互换_FR007_1年!$A$6:$C$4395,2,0),"")</f>
        <v/>
      </c>
      <c r="I6210" t="str">
        <f>IFERROR(VLOOKUP($A6210,原始数据_利率互换_FR007_1年!$A$6:$C$4395,3,0),"")</f>
        <v/>
      </c>
    </row>
    <row r="6211" spans="1:9">
      <c r="A6211" s="6">
        <v>45704</v>
      </c>
      <c r="B6211" t="str">
        <f>IFERROR(VLOOKUP($A6211,原始数据_收盘!$A$4:$G$3460,2,0),"")</f>
        <v/>
      </c>
      <c r="C6211" t="str">
        <f>IFERROR(VLOOKUP($A6211,原始数据_收盘!$A$4:$G$3460,3,0),"")</f>
        <v/>
      </c>
      <c r="D6211" t="str">
        <f>IFERROR(VLOOKUP($A6211,原始数据_收盘!$A$4:$G$3460,4,0),"")</f>
        <v/>
      </c>
      <c r="E6211" t="str">
        <f>IFERROR(VLOOKUP($A6211,原始数据_收盘!$A$4:$G$3460,5,0),"")</f>
        <v/>
      </c>
      <c r="F6211" t="str">
        <f>IFERROR(VLOOKUP($A6211,原始数据_收盘!$A$4:$G$3460,6,0),"")</f>
        <v/>
      </c>
      <c r="G6211" t="str">
        <f>IFERROR(VLOOKUP($A6211,原始数据_收盘!$A$4:$G$3460,7,0),"")</f>
        <v/>
      </c>
      <c r="H6211" t="str">
        <f>IFERROR(VLOOKUP($A6211,原始数据_利率互换_FR007_1年!$A$6:$C$4395,2,0),"")</f>
        <v/>
      </c>
      <c r="I6211" t="str">
        <f>IFERROR(VLOOKUP($A6211,原始数据_利率互换_FR007_1年!$A$6:$C$4395,3,0),"")</f>
        <v/>
      </c>
    </row>
    <row r="6212" spans="1:9">
      <c r="A6212" s="6">
        <v>45705</v>
      </c>
      <c r="B6212">
        <f>IFERROR(VLOOKUP($A6212,原始数据_收盘!$A$4:$G$3460,2,0),"")</f>
        <v>1.7239</v>
      </c>
      <c r="C6212">
        <f>IFERROR(VLOOKUP($A6212,原始数据_收盘!$A$4:$G$3460,3,0),"")</f>
        <v>1.6206</v>
      </c>
      <c r="D6212">
        <f>IFERROR(VLOOKUP($A6212,原始数据_收盘!$A$4:$G$3460,4,0),"")</f>
        <v>1.7264</v>
      </c>
      <c r="E6212">
        <f>IFERROR(VLOOKUP($A6212,原始数据_收盘!$A$4:$G$3460,5,0),"")</f>
        <v>1.6231</v>
      </c>
      <c r="F6212">
        <f>IFERROR(VLOOKUP($A6212,原始数据_收盘!$A$4:$G$3460,6,0),"")</f>
        <v>1.7252</v>
      </c>
      <c r="G6212">
        <f>IFERROR(VLOOKUP($A6212,原始数据_收盘!$A$4:$G$3460,7,0),"")</f>
        <v>1.6218</v>
      </c>
      <c r="H6212">
        <f>IFERROR(VLOOKUP($A6212,原始数据_利率互换_FR007_1年!$A$6:$C$4395,2,0),"")</f>
        <v>1.7076</v>
      </c>
      <c r="I6212">
        <f>IFERROR(VLOOKUP($A6212,原始数据_利率互换_FR007_1年!$A$6:$C$4395,3,0),"")</f>
        <v>1.6</v>
      </c>
    </row>
    <row r="6213" spans="1:9">
      <c r="A6213" s="6">
        <v>45706</v>
      </c>
      <c r="B6213">
        <f>IFERROR(VLOOKUP($A6213,原始数据_收盘!$A$4:$G$3460,2,0),"")</f>
        <v>1.7539</v>
      </c>
      <c r="C6213">
        <f>IFERROR(VLOOKUP($A6213,原始数据_收盘!$A$4:$G$3460,3,0),"")</f>
        <v>1.64</v>
      </c>
      <c r="D6213">
        <f>IFERROR(VLOOKUP($A6213,原始数据_收盘!$A$4:$G$3460,4,0),"")</f>
        <v>1.7564</v>
      </c>
      <c r="E6213">
        <f>IFERROR(VLOOKUP($A6213,原始数据_收盘!$A$4:$G$3460,5,0),"")</f>
        <v>1.6425</v>
      </c>
      <c r="F6213">
        <f>IFERROR(VLOOKUP($A6213,原始数据_收盘!$A$4:$G$3460,6,0),"")</f>
        <v>1.7552</v>
      </c>
      <c r="G6213">
        <f>IFERROR(VLOOKUP($A6213,原始数据_收盘!$A$4:$G$3460,7,0),"")</f>
        <v>1.6413</v>
      </c>
      <c r="H6213">
        <f>IFERROR(VLOOKUP($A6213,原始数据_利率互换_FR007_1年!$A$6:$C$4395,2,0),"")</f>
        <v>1.7553</v>
      </c>
      <c r="I6213">
        <f>IFERROR(VLOOKUP($A6213,原始数据_利率互换_FR007_1年!$A$6:$C$4395,3,0),"")</f>
        <v>1.6503</v>
      </c>
    </row>
    <row r="6214" spans="1:9">
      <c r="A6214" s="6">
        <v>45707</v>
      </c>
      <c r="B6214">
        <f>IFERROR(VLOOKUP($A6214,原始数据_收盘!$A$4:$G$3460,2,0),"")</f>
        <v>1.7329</v>
      </c>
      <c r="C6214">
        <f>IFERROR(VLOOKUP($A6214,原始数据_收盘!$A$4:$G$3460,3,0),"")</f>
        <v>1.6014</v>
      </c>
      <c r="D6214">
        <f>IFERROR(VLOOKUP($A6214,原始数据_收盘!$A$4:$G$3460,4,0),"")</f>
        <v>1.7352</v>
      </c>
      <c r="E6214">
        <f>IFERROR(VLOOKUP($A6214,原始数据_收盘!$A$4:$G$3460,5,0),"")</f>
        <v>1.6044</v>
      </c>
      <c r="F6214">
        <f>IFERROR(VLOOKUP($A6214,原始数据_收盘!$A$4:$G$3460,6,0),"")</f>
        <v>1.7341</v>
      </c>
      <c r="G6214">
        <f>IFERROR(VLOOKUP($A6214,原始数据_收盘!$A$4:$G$3460,7,0),"")</f>
        <v>1.6029</v>
      </c>
      <c r="H6214">
        <f>IFERROR(VLOOKUP($A6214,原始数据_利率互换_FR007_1年!$A$6:$C$4395,2,0),"")</f>
        <v>1.7267</v>
      </c>
      <c r="I6214">
        <f>IFERROR(VLOOKUP($A6214,原始数据_利率互换_FR007_1年!$A$6:$C$4395,3,0),"")</f>
        <v>1.6024</v>
      </c>
    </row>
    <row r="6215" spans="1:9">
      <c r="A6215" s="6">
        <v>45708</v>
      </c>
      <c r="B6215">
        <f>IFERROR(VLOOKUP($A6215,原始数据_收盘!$A$4:$G$3460,2,0),"")</f>
        <v>1.7824</v>
      </c>
      <c r="C6215">
        <f>IFERROR(VLOOKUP($A6215,原始数据_收盘!$A$4:$G$3460,3,0),"")</f>
        <v>1.6568</v>
      </c>
      <c r="D6215">
        <f>IFERROR(VLOOKUP($A6215,原始数据_收盘!$A$4:$G$3460,4,0),"")</f>
        <v>1.785</v>
      </c>
      <c r="E6215">
        <f>IFERROR(VLOOKUP($A6215,原始数据_收盘!$A$4:$G$3460,5,0),"")</f>
        <v>1.66</v>
      </c>
      <c r="F6215">
        <f>IFERROR(VLOOKUP($A6215,原始数据_收盘!$A$4:$G$3460,6,0),"")</f>
        <v>1.7837</v>
      </c>
      <c r="G6215">
        <f>IFERROR(VLOOKUP($A6215,原始数据_收盘!$A$4:$G$3460,7,0),"")</f>
        <v>1.6584</v>
      </c>
      <c r="H6215">
        <f>IFERROR(VLOOKUP($A6215,原始数据_利率互换_FR007_1年!$A$6:$C$4395,2,0),"")</f>
        <v>1.7617</v>
      </c>
      <c r="I6215">
        <f>IFERROR(VLOOKUP($A6215,原始数据_利率互换_FR007_1年!$A$6:$C$4395,3,0),"")</f>
        <v>1.6318</v>
      </c>
    </row>
    <row r="6216" spans="1:9">
      <c r="A6216" s="6">
        <v>45709</v>
      </c>
      <c r="B6216">
        <f>IFERROR(VLOOKUP($A6216,原始数据_收盘!$A$4:$G$3460,2,0),"")</f>
        <v>1.7725</v>
      </c>
      <c r="C6216">
        <f>IFERROR(VLOOKUP($A6216,原始数据_收盘!$A$4:$G$3460,3,0),"")</f>
        <v>1.6676</v>
      </c>
      <c r="D6216">
        <f>IFERROR(VLOOKUP($A6216,原始数据_收盘!$A$4:$G$3460,4,0),"")</f>
        <v>1.775</v>
      </c>
      <c r="E6216">
        <f>IFERROR(VLOOKUP($A6216,原始数据_收盘!$A$4:$G$3460,5,0),"")</f>
        <v>1.6699</v>
      </c>
      <c r="F6216">
        <f>IFERROR(VLOOKUP($A6216,原始数据_收盘!$A$4:$G$3460,6,0),"")</f>
        <v>1.7738</v>
      </c>
      <c r="G6216">
        <f>IFERROR(VLOOKUP($A6216,原始数据_收盘!$A$4:$G$3460,7,0),"")</f>
        <v>1.6688</v>
      </c>
      <c r="H6216">
        <f>IFERROR(VLOOKUP($A6216,原始数据_利率互换_FR007_1年!$A$6:$C$4395,2,0),"")</f>
        <v>1.7663</v>
      </c>
      <c r="I6216">
        <f>IFERROR(VLOOKUP($A6216,原始数据_利率互换_FR007_1年!$A$6:$C$4395,3,0),"")</f>
        <v>1.6598</v>
      </c>
    </row>
    <row r="6217" spans="1:9">
      <c r="A6217" s="6">
        <v>45710</v>
      </c>
      <c r="B6217" t="str">
        <f>IFERROR(VLOOKUP($A6217,原始数据_收盘!$A$4:$G$3460,2,0),"")</f>
        <v/>
      </c>
      <c r="C6217" t="str">
        <f>IFERROR(VLOOKUP($A6217,原始数据_收盘!$A$4:$G$3460,3,0),"")</f>
        <v/>
      </c>
      <c r="D6217" t="str">
        <f>IFERROR(VLOOKUP($A6217,原始数据_收盘!$A$4:$G$3460,4,0),"")</f>
        <v/>
      </c>
      <c r="E6217" t="str">
        <f>IFERROR(VLOOKUP($A6217,原始数据_收盘!$A$4:$G$3460,5,0),"")</f>
        <v/>
      </c>
      <c r="F6217" t="str">
        <f>IFERROR(VLOOKUP($A6217,原始数据_收盘!$A$4:$G$3460,6,0),"")</f>
        <v/>
      </c>
      <c r="G6217" t="str">
        <f>IFERROR(VLOOKUP($A6217,原始数据_收盘!$A$4:$G$3460,7,0),"")</f>
        <v/>
      </c>
      <c r="H6217" t="str">
        <f>IFERROR(VLOOKUP($A6217,原始数据_利率互换_FR007_1年!$A$6:$C$4395,2,0),"")</f>
        <v/>
      </c>
      <c r="I6217" t="str">
        <f>IFERROR(VLOOKUP($A6217,原始数据_利率互换_FR007_1年!$A$6:$C$4395,3,0),"")</f>
        <v/>
      </c>
    </row>
    <row r="6218" spans="1:9">
      <c r="A6218" s="6">
        <v>45711</v>
      </c>
      <c r="B6218" t="str">
        <f>IFERROR(VLOOKUP($A6218,原始数据_收盘!$A$4:$G$3460,2,0),"")</f>
        <v/>
      </c>
      <c r="C6218" t="str">
        <f>IFERROR(VLOOKUP($A6218,原始数据_收盘!$A$4:$G$3460,3,0),"")</f>
        <v/>
      </c>
      <c r="D6218" t="str">
        <f>IFERROR(VLOOKUP($A6218,原始数据_收盘!$A$4:$G$3460,4,0),"")</f>
        <v/>
      </c>
      <c r="E6218" t="str">
        <f>IFERROR(VLOOKUP($A6218,原始数据_收盘!$A$4:$G$3460,5,0),"")</f>
        <v/>
      </c>
      <c r="F6218" t="str">
        <f>IFERROR(VLOOKUP($A6218,原始数据_收盘!$A$4:$G$3460,6,0),"")</f>
        <v/>
      </c>
      <c r="G6218" t="str">
        <f>IFERROR(VLOOKUP($A6218,原始数据_收盘!$A$4:$G$3460,7,0),"")</f>
        <v/>
      </c>
      <c r="H6218" t="str">
        <f>IFERROR(VLOOKUP($A6218,原始数据_利率互换_FR007_1年!$A$6:$C$4395,2,0),"")</f>
        <v/>
      </c>
      <c r="I6218" t="str">
        <f>IFERROR(VLOOKUP($A6218,原始数据_利率互换_FR007_1年!$A$6:$C$4395,3,0),"")</f>
        <v/>
      </c>
    </row>
    <row r="6219" spans="1:9">
      <c r="A6219" s="6">
        <v>45712</v>
      </c>
      <c r="B6219">
        <f>IFERROR(VLOOKUP($A6219,原始数据_收盘!$A$4:$G$3460,2,0),"")</f>
        <v>1.7797</v>
      </c>
      <c r="C6219">
        <f>IFERROR(VLOOKUP($A6219,原始数据_收盘!$A$4:$G$3460,3,0),"")</f>
        <v>1.6975</v>
      </c>
      <c r="D6219">
        <f>IFERROR(VLOOKUP($A6219,原始数据_收盘!$A$4:$G$3460,4,0),"")</f>
        <v>1.7823</v>
      </c>
      <c r="E6219">
        <f>IFERROR(VLOOKUP($A6219,原始数据_收盘!$A$4:$G$3460,5,0),"")</f>
        <v>1.7</v>
      </c>
      <c r="F6219">
        <f>IFERROR(VLOOKUP($A6219,原始数据_收盘!$A$4:$G$3460,6,0),"")</f>
        <v>1.781</v>
      </c>
      <c r="G6219">
        <f>IFERROR(VLOOKUP($A6219,原始数据_收盘!$A$4:$G$3460,7,0),"")</f>
        <v>1.6988</v>
      </c>
      <c r="H6219">
        <f>IFERROR(VLOOKUP($A6219,原始数据_利率互换_FR007_1年!$A$6:$C$4395,2,0),"")</f>
        <v>1.7742</v>
      </c>
      <c r="I6219">
        <f>IFERROR(VLOOKUP($A6219,原始数据_利率互换_FR007_1年!$A$6:$C$4395,3,0),"")</f>
        <v>1.6802</v>
      </c>
    </row>
    <row r="6220" spans="1:9">
      <c r="A6220" s="6">
        <v>45713</v>
      </c>
      <c r="B6220">
        <f>IFERROR(VLOOKUP($A6220,原始数据_收盘!$A$4:$G$3460,2,0),"")</f>
        <v>1.7608</v>
      </c>
      <c r="C6220">
        <f>IFERROR(VLOOKUP($A6220,原始数据_收盘!$A$4:$G$3460,3,0),"")</f>
        <v>1.6458</v>
      </c>
      <c r="D6220">
        <f>IFERROR(VLOOKUP($A6220,原始数据_收盘!$A$4:$G$3460,4,0),"")</f>
        <v>1.7655</v>
      </c>
      <c r="E6220">
        <f>IFERROR(VLOOKUP($A6220,原始数据_收盘!$A$4:$G$3460,5,0),"")</f>
        <v>1.6495</v>
      </c>
      <c r="F6220">
        <f>IFERROR(VLOOKUP($A6220,原始数据_收盘!$A$4:$G$3460,6,0),"")</f>
        <v>1.7632</v>
      </c>
      <c r="G6220">
        <f>IFERROR(VLOOKUP($A6220,原始数据_收盘!$A$4:$G$3460,7,0),"")</f>
        <v>1.6476</v>
      </c>
      <c r="H6220">
        <f>IFERROR(VLOOKUP($A6220,原始数据_利率互换_FR007_1年!$A$6:$C$4395,2,0),"")</f>
        <v>1.7641</v>
      </c>
      <c r="I6220">
        <f>IFERROR(VLOOKUP($A6220,原始数据_利率互换_FR007_1年!$A$6:$C$4395,3,0),"")</f>
        <v>1.6632</v>
      </c>
    </row>
    <row r="6221" spans="1:9">
      <c r="A6221" s="6">
        <v>45714</v>
      </c>
      <c r="B6221">
        <f>IFERROR(VLOOKUP($A6221,原始数据_收盘!$A$4:$G$3460,2,0),"")</f>
        <v>1.77</v>
      </c>
      <c r="C6221">
        <f>IFERROR(VLOOKUP($A6221,原始数据_收盘!$A$4:$G$3460,3,0),"")</f>
        <v>1.6463</v>
      </c>
      <c r="D6221">
        <f>IFERROR(VLOOKUP($A6221,原始数据_收盘!$A$4:$G$3460,4,0),"")</f>
        <v>1.7725</v>
      </c>
      <c r="E6221">
        <f>IFERROR(VLOOKUP($A6221,原始数据_收盘!$A$4:$G$3460,5,0),"")</f>
        <v>1.6475</v>
      </c>
      <c r="F6221">
        <f>IFERROR(VLOOKUP($A6221,原始数据_收盘!$A$4:$G$3460,6,0),"")</f>
        <v>1.7713</v>
      </c>
      <c r="G6221">
        <f>IFERROR(VLOOKUP($A6221,原始数据_收盘!$A$4:$G$3460,7,0),"")</f>
        <v>1.6469</v>
      </c>
      <c r="H6221">
        <f>IFERROR(VLOOKUP($A6221,原始数据_利率互换_FR007_1年!$A$6:$C$4395,2,0),"")</f>
        <v>1.7659</v>
      </c>
      <c r="I6221">
        <f>IFERROR(VLOOKUP($A6221,原始数据_利率互换_FR007_1年!$A$6:$C$4395,3,0),"")</f>
        <v>1.6411</v>
      </c>
    </row>
    <row r="6222" spans="1:9">
      <c r="A6222" s="6">
        <v>45715</v>
      </c>
      <c r="B6222">
        <f>IFERROR(VLOOKUP($A6222,原始数据_收盘!$A$4:$G$3460,2,0),"")</f>
        <v>1.7997</v>
      </c>
      <c r="C6222">
        <f>IFERROR(VLOOKUP($A6222,原始数据_收盘!$A$4:$G$3460,3,0),"")</f>
        <v>1.6636</v>
      </c>
      <c r="D6222">
        <f>IFERROR(VLOOKUP($A6222,原始数据_收盘!$A$4:$G$3460,4,0),"")</f>
        <v>1.8014</v>
      </c>
      <c r="E6222">
        <f>IFERROR(VLOOKUP($A6222,原始数据_收盘!$A$4:$G$3460,5,0),"")</f>
        <v>1.6664</v>
      </c>
      <c r="F6222">
        <f>IFERROR(VLOOKUP($A6222,原始数据_收盘!$A$4:$G$3460,6,0),"")</f>
        <v>1.8005</v>
      </c>
      <c r="G6222">
        <f>IFERROR(VLOOKUP($A6222,原始数据_收盘!$A$4:$G$3460,7,0),"")</f>
        <v>1.665</v>
      </c>
      <c r="H6222">
        <f>IFERROR(VLOOKUP($A6222,原始数据_利率互换_FR007_1年!$A$6:$C$4395,2,0),"")</f>
        <v>1.7867</v>
      </c>
      <c r="I6222">
        <f>IFERROR(VLOOKUP($A6222,原始数据_利率互换_FR007_1年!$A$6:$C$4395,3,0),"")</f>
        <v>1.6551</v>
      </c>
    </row>
    <row r="6223" spans="1:9">
      <c r="A6223" s="6">
        <v>45716</v>
      </c>
      <c r="B6223">
        <f>IFERROR(VLOOKUP($A6223,原始数据_收盘!$A$4:$G$3460,2,0),"")</f>
        <v>1.7754</v>
      </c>
      <c r="C6223">
        <f>IFERROR(VLOOKUP($A6223,原始数据_收盘!$A$4:$G$3460,3,0),"")</f>
        <v>1.645</v>
      </c>
      <c r="D6223">
        <f>IFERROR(VLOOKUP($A6223,原始数据_收盘!$A$4:$G$3460,4,0),"")</f>
        <v>1.7771</v>
      </c>
      <c r="E6223">
        <f>IFERROR(VLOOKUP($A6223,原始数据_收盘!$A$4:$G$3460,5,0),"")</f>
        <v>1.6475</v>
      </c>
      <c r="F6223">
        <f>IFERROR(VLOOKUP($A6223,原始数据_收盘!$A$4:$G$3460,6,0),"")</f>
        <v>1.7763</v>
      </c>
      <c r="G6223">
        <f>IFERROR(VLOOKUP($A6223,原始数据_收盘!$A$4:$G$3460,7,0),"")</f>
        <v>1.6463</v>
      </c>
      <c r="H6223">
        <f>IFERROR(VLOOKUP($A6223,原始数据_利率互换_FR007_1年!$A$6:$C$4395,2,0),"")</f>
        <v>1.7872</v>
      </c>
      <c r="I6223">
        <f>IFERROR(VLOOKUP($A6223,原始数据_利率互换_FR007_1年!$A$6:$C$4395,3,0),"")</f>
        <v>1.6515</v>
      </c>
    </row>
    <row r="6224" spans="1:9">
      <c r="A6224" s="6">
        <v>45717</v>
      </c>
      <c r="B6224" t="str">
        <f>IFERROR(VLOOKUP($A6224,原始数据_收盘!$A$4:$G$3460,2,0),"")</f>
        <v/>
      </c>
      <c r="C6224" t="str">
        <f>IFERROR(VLOOKUP($A6224,原始数据_收盘!$A$4:$G$3460,3,0),"")</f>
        <v/>
      </c>
      <c r="D6224" t="str">
        <f>IFERROR(VLOOKUP($A6224,原始数据_收盘!$A$4:$G$3460,4,0),"")</f>
        <v/>
      </c>
      <c r="E6224" t="str">
        <f>IFERROR(VLOOKUP($A6224,原始数据_收盘!$A$4:$G$3460,5,0),"")</f>
        <v/>
      </c>
      <c r="F6224" t="str">
        <f>IFERROR(VLOOKUP($A6224,原始数据_收盘!$A$4:$G$3460,6,0),"")</f>
        <v/>
      </c>
      <c r="G6224" t="str">
        <f>IFERROR(VLOOKUP($A6224,原始数据_收盘!$A$4:$G$3460,7,0),"")</f>
        <v/>
      </c>
      <c r="H6224" t="str">
        <f>IFERROR(VLOOKUP($A6224,原始数据_利率互换_FR007_1年!$A$6:$C$4395,2,0),"")</f>
        <v/>
      </c>
      <c r="I6224" t="str">
        <f>IFERROR(VLOOKUP($A6224,原始数据_利率互换_FR007_1年!$A$6:$C$4395,3,0),"")</f>
        <v/>
      </c>
    </row>
    <row r="6225" spans="1:9">
      <c r="A6225" s="6">
        <v>45718</v>
      </c>
      <c r="B6225" t="str">
        <f>IFERROR(VLOOKUP($A6225,原始数据_收盘!$A$4:$G$3460,2,0),"")</f>
        <v/>
      </c>
      <c r="C6225" t="str">
        <f>IFERROR(VLOOKUP($A6225,原始数据_收盘!$A$4:$G$3460,3,0),"")</f>
        <v/>
      </c>
      <c r="D6225" t="str">
        <f>IFERROR(VLOOKUP($A6225,原始数据_收盘!$A$4:$G$3460,4,0),"")</f>
        <v/>
      </c>
      <c r="E6225" t="str">
        <f>IFERROR(VLOOKUP($A6225,原始数据_收盘!$A$4:$G$3460,5,0),"")</f>
        <v/>
      </c>
      <c r="F6225" t="str">
        <f>IFERROR(VLOOKUP($A6225,原始数据_收盘!$A$4:$G$3460,6,0),"")</f>
        <v/>
      </c>
      <c r="G6225" t="str">
        <f>IFERROR(VLOOKUP($A6225,原始数据_收盘!$A$4:$G$3460,7,0),"")</f>
        <v/>
      </c>
      <c r="H6225" t="str">
        <f>IFERROR(VLOOKUP($A6225,原始数据_利率互换_FR007_1年!$A$6:$C$4395,2,0),"")</f>
        <v/>
      </c>
      <c r="I6225" t="str">
        <f>IFERROR(VLOOKUP($A6225,原始数据_利率互换_FR007_1年!$A$6:$C$4395,3,0),"")</f>
        <v/>
      </c>
    </row>
    <row r="6226" spans="1:9">
      <c r="A6226" s="6">
        <v>45719</v>
      </c>
      <c r="B6226">
        <f>IFERROR(VLOOKUP($A6226,原始数据_收盘!$A$4:$G$3460,2,0),"")</f>
        <v>1.735</v>
      </c>
      <c r="C6226">
        <f>IFERROR(VLOOKUP($A6226,原始数据_收盘!$A$4:$G$3460,3,0),"")</f>
        <v>1.6125</v>
      </c>
      <c r="D6226">
        <f>IFERROR(VLOOKUP($A6226,原始数据_收盘!$A$4:$G$3460,4,0),"")</f>
        <v>1.74</v>
      </c>
      <c r="E6226">
        <f>IFERROR(VLOOKUP($A6226,原始数据_收盘!$A$4:$G$3460,5,0),"")</f>
        <v>1.615</v>
      </c>
      <c r="F6226">
        <f>IFERROR(VLOOKUP($A6226,原始数据_收盘!$A$4:$G$3460,6,0),"")</f>
        <v>1.7375</v>
      </c>
      <c r="G6226">
        <f>IFERROR(VLOOKUP($A6226,原始数据_收盘!$A$4:$G$3460,7,0),"")</f>
        <v>1.6138</v>
      </c>
      <c r="H6226">
        <f>IFERROR(VLOOKUP($A6226,原始数据_利率互换_FR007_1年!$A$6:$C$4395,2,0),"")</f>
        <v>1.7409</v>
      </c>
      <c r="I6226">
        <f>IFERROR(VLOOKUP($A6226,原始数据_利率互换_FR007_1年!$A$6:$C$4395,3,0),"")</f>
        <v>1.6207</v>
      </c>
    </row>
    <row r="6227" spans="1:9">
      <c r="A6227" s="6">
        <v>45720</v>
      </c>
      <c r="B6227">
        <f>IFERROR(VLOOKUP($A6227,原始数据_收盘!$A$4:$G$3460,2,0),"")</f>
        <v>1.74</v>
      </c>
      <c r="C6227">
        <f>IFERROR(VLOOKUP($A6227,原始数据_收盘!$A$4:$G$3460,3,0),"")</f>
        <v>1.61</v>
      </c>
      <c r="D6227">
        <f>IFERROR(VLOOKUP($A6227,原始数据_收盘!$A$4:$G$3460,4,0),"")</f>
        <v>1.7429</v>
      </c>
      <c r="E6227">
        <f>IFERROR(VLOOKUP($A6227,原始数据_收盘!$A$4:$G$3460,5,0),"")</f>
        <v>1.615</v>
      </c>
      <c r="F6227">
        <f>IFERROR(VLOOKUP($A6227,原始数据_收盘!$A$4:$G$3460,6,0),"")</f>
        <v>1.7415</v>
      </c>
      <c r="G6227">
        <f>IFERROR(VLOOKUP($A6227,原始数据_收盘!$A$4:$G$3460,7,0),"")</f>
        <v>1.6125</v>
      </c>
      <c r="H6227">
        <f>IFERROR(VLOOKUP($A6227,原始数据_利率互换_FR007_1年!$A$6:$C$4395,2,0),"")</f>
        <v>1.7388</v>
      </c>
      <c r="I6227">
        <f>IFERROR(VLOOKUP($A6227,原始数据_利率互换_FR007_1年!$A$6:$C$4395,3,0),"")</f>
        <v>1.6093</v>
      </c>
    </row>
    <row r="6228" spans="1:9">
      <c r="A6228" s="6">
        <v>45721</v>
      </c>
      <c r="B6228">
        <f>IFERROR(VLOOKUP($A6228,原始数据_收盘!$A$4:$G$3460,2,0),"")</f>
        <v>1.725</v>
      </c>
      <c r="C6228">
        <f>IFERROR(VLOOKUP($A6228,原始数据_收盘!$A$4:$G$3460,3,0),"")</f>
        <v>1.5969</v>
      </c>
      <c r="D6228">
        <f>IFERROR(VLOOKUP($A6228,原始数据_收盘!$A$4:$G$3460,4,0),"")</f>
        <v>1.7285</v>
      </c>
      <c r="E6228">
        <f>IFERROR(VLOOKUP($A6228,原始数据_收盘!$A$4:$G$3460,5,0),"")</f>
        <v>1.599</v>
      </c>
      <c r="F6228">
        <f>IFERROR(VLOOKUP($A6228,原始数据_收盘!$A$4:$G$3460,6,0),"")</f>
        <v>1.7268</v>
      </c>
      <c r="G6228">
        <f>IFERROR(VLOOKUP($A6228,原始数据_收盘!$A$4:$G$3460,7,0),"")</f>
        <v>1.5979</v>
      </c>
      <c r="H6228">
        <f>IFERROR(VLOOKUP($A6228,原始数据_利率互换_FR007_1年!$A$6:$C$4395,2,0),"")</f>
        <v>1.7328</v>
      </c>
      <c r="I6228">
        <f>IFERROR(VLOOKUP($A6228,原始数据_利率互换_FR007_1年!$A$6:$C$4395,3,0),"")</f>
        <v>1.6001</v>
      </c>
    </row>
    <row r="6229" spans="1:9">
      <c r="A6229" s="6">
        <v>45722</v>
      </c>
      <c r="B6229">
        <f>IFERROR(VLOOKUP($A6229,原始数据_收盘!$A$4:$G$3460,2,0),"")</f>
        <v>1.755</v>
      </c>
      <c r="C6229">
        <f>IFERROR(VLOOKUP($A6229,原始数据_收盘!$A$4:$G$3460,3,0),"")</f>
        <v>1.64</v>
      </c>
      <c r="D6229">
        <f>IFERROR(VLOOKUP($A6229,原始数据_收盘!$A$4:$G$3460,4,0),"")</f>
        <v>1.7589</v>
      </c>
      <c r="E6229">
        <f>IFERROR(VLOOKUP($A6229,原始数据_收盘!$A$4:$G$3460,5,0),"")</f>
        <v>1.6426</v>
      </c>
      <c r="F6229">
        <f>IFERROR(VLOOKUP($A6229,原始数据_收盘!$A$4:$G$3460,6,0),"")</f>
        <v>1.7569</v>
      </c>
      <c r="G6229">
        <f>IFERROR(VLOOKUP($A6229,原始数据_收盘!$A$4:$G$3460,7,0),"")</f>
        <v>1.6413</v>
      </c>
      <c r="H6229">
        <f>IFERROR(VLOOKUP($A6229,原始数据_利率互换_FR007_1年!$A$6:$C$4395,2,0),"")</f>
        <v>1.7477</v>
      </c>
      <c r="I6229">
        <f>IFERROR(VLOOKUP($A6229,原始数据_利率互换_FR007_1年!$A$6:$C$4395,3,0),"")</f>
        <v>1.6357</v>
      </c>
    </row>
    <row r="6230" spans="1:9">
      <c r="A6230" s="6">
        <v>45723</v>
      </c>
      <c r="B6230">
        <f>IFERROR(VLOOKUP($A6230,原始数据_收盘!$A$4:$G$3460,2,0),"")</f>
        <v>1.7875</v>
      </c>
      <c r="C6230">
        <f>IFERROR(VLOOKUP($A6230,原始数据_收盘!$A$4:$G$3460,3,0),"")</f>
        <v>1.6957</v>
      </c>
      <c r="D6230">
        <f>IFERROR(VLOOKUP($A6230,原始数据_收盘!$A$4:$G$3460,4,0),"")</f>
        <v>1.791</v>
      </c>
      <c r="E6230">
        <f>IFERROR(VLOOKUP($A6230,原始数据_收盘!$A$4:$G$3460,5,0),"")</f>
        <v>1.6983</v>
      </c>
      <c r="F6230">
        <f>IFERROR(VLOOKUP($A6230,原始数据_收盘!$A$4:$G$3460,6,0),"")</f>
        <v>1.7893</v>
      </c>
      <c r="G6230">
        <f>IFERROR(VLOOKUP($A6230,原始数据_收盘!$A$4:$G$3460,7,0),"")</f>
        <v>1.697</v>
      </c>
      <c r="H6230">
        <f>IFERROR(VLOOKUP($A6230,原始数据_利率互换_FR007_1年!$A$6:$C$4395,2,0),"")</f>
        <v>1.7801</v>
      </c>
      <c r="I6230">
        <f>IFERROR(VLOOKUP($A6230,原始数据_利率互换_FR007_1年!$A$6:$C$4395,3,0),"")</f>
        <v>1.6805</v>
      </c>
    </row>
    <row r="6231" spans="1:9">
      <c r="A6231" s="6">
        <v>45724</v>
      </c>
      <c r="B6231" t="str">
        <f>IFERROR(VLOOKUP($A6231,原始数据_收盘!$A$4:$G$3460,2,0),"")</f>
        <v/>
      </c>
      <c r="C6231" t="str">
        <f>IFERROR(VLOOKUP($A6231,原始数据_收盘!$A$4:$G$3460,3,0),"")</f>
        <v/>
      </c>
      <c r="D6231" t="str">
        <f>IFERROR(VLOOKUP($A6231,原始数据_收盘!$A$4:$G$3460,4,0),"")</f>
        <v/>
      </c>
      <c r="E6231" t="str">
        <f>IFERROR(VLOOKUP($A6231,原始数据_收盘!$A$4:$G$3460,5,0),"")</f>
        <v/>
      </c>
      <c r="F6231" t="str">
        <f>IFERROR(VLOOKUP($A6231,原始数据_收盘!$A$4:$G$3460,6,0),"")</f>
        <v/>
      </c>
      <c r="G6231" t="str">
        <f>IFERROR(VLOOKUP($A6231,原始数据_收盘!$A$4:$G$3460,7,0),"")</f>
        <v/>
      </c>
      <c r="H6231" t="str">
        <f>IFERROR(VLOOKUP($A6231,原始数据_利率互换_FR007_1年!$A$6:$C$4395,2,0),"")</f>
        <v/>
      </c>
      <c r="I6231" t="str">
        <f>IFERROR(VLOOKUP($A6231,原始数据_利率互换_FR007_1年!$A$6:$C$4395,3,0),"")</f>
        <v/>
      </c>
    </row>
    <row r="6232" spans="1:9">
      <c r="A6232" s="6">
        <v>45725</v>
      </c>
      <c r="B6232" t="str">
        <f>IFERROR(VLOOKUP($A6232,原始数据_收盘!$A$4:$G$3460,2,0),"")</f>
        <v/>
      </c>
      <c r="C6232" t="str">
        <f>IFERROR(VLOOKUP($A6232,原始数据_收盘!$A$4:$G$3460,3,0),"")</f>
        <v/>
      </c>
      <c r="D6232" t="str">
        <f>IFERROR(VLOOKUP($A6232,原始数据_收盘!$A$4:$G$3460,4,0),"")</f>
        <v/>
      </c>
      <c r="E6232" t="str">
        <f>IFERROR(VLOOKUP($A6232,原始数据_收盘!$A$4:$G$3460,5,0),"")</f>
        <v/>
      </c>
      <c r="F6232" t="str">
        <f>IFERROR(VLOOKUP($A6232,原始数据_收盘!$A$4:$G$3460,6,0),"")</f>
        <v/>
      </c>
      <c r="G6232" t="str">
        <f>IFERROR(VLOOKUP($A6232,原始数据_收盘!$A$4:$G$3460,7,0),"")</f>
        <v/>
      </c>
      <c r="H6232" t="str">
        <f>IFERROR(VLOOKUP($A6232,原始数据_利率互换_FR007_1年!$A$6:$C$4395,2,0),"")</f>
        <v/>
      </c>
      <c r="I6232" t="str">
        <f>IFERROR(VLOOKUP($A6232,原始数据_利率互换_FR007_1年!$A$6:$C$4395,3,0),"")</f>
        <v/>
      </c>
    </row>
    <row r="6233" spans="1:9">
      <c r="A6233" s="6">
        <v>45726</v>
      </c>
      <c r="B6233">
        <f>IFERROR(VLOOKUP($A6233,原始数据_收盘!$A$4:$G$3460,2,0),"")</f>
        <v>1.7725</v>
      </c>
      <c r="C6233">
        <f>IFERROR(VLOOKUP($A6233,原始数据_收盘!$A$4:$G$3460,3,0),"")</f>
        <v>1.6998</v>
      </c>
      <c r="D6233">
        <f>IFERROR(VLOOKUP($A6233,原始数据_收盘!$A$4:$G$3460,4,0),"")</f>
        <v>1.775</v>
      </c>
      <c r="E6233">
        <f>IFERROR(VLOOKUP($A6233,原始数据_收盘!$A$4:$G$3460,5,0),"")</f>
        <v>1.7019</v>
      </c>
      <c r="F6233">
        <f>IFERROR(VLOOKUP($A6233,原始数据_收盘!$A$4:$G$3460,6,0),"")</f>
        <v>1.7738</v>
      </c>
      <c r="G6233">
        <f>IFERROR(VLOOKUP($A6233,原始数据_收盘!$A$4:$G$3460,7,0),"")</f>
        <v>1.7009</v>
      </c>
      <c r="H6233">
        <f>IFERROR(VLOOKUP($A6233,原始数据_利率互换_FR007_1年!$A$6:$C$4395,2,0),"")</f>
        <v>1.777</v>
      </c>
      <c r="I6233">
        <f>IFERROR(VLOOKUP($A6233,原始数据_利率互换_FR007_1年!$A$6:$C$4395,3,0),"")</f>
        <v>1.7003</v>
      </c>
    </row>
    <row r="6234" spans="1:9">
      <c r="A6234" s="6">
        <v>45727</v>
      </c>
      <c r="B6234">
        <f>IFERROR(VLOOKUP($A6234,原始数据_收盘!$A$4:$G$3460,2,0),"")</f>
        <v>1.7875</v>
      </c>
      <c r="C6234">
        <f>IFERROR(VLOOKUP($A6234,原始数据_收盘!$A$4:$G$3460,3,0),"")</f>
        <v>1.7359</v>
      </c>
      <c r="D6234">
        <f>IFERROR(VLOOKUP($A6234,原始数据_收盘!$A$4:$G$3460,4,0),"")</f>
        <v>1.7925</v>
      </c>
      <c r="E6234">
        <f>IFERROR(VLOOKUP($A6234,原始数据_收盘!$A$4:$G$3460,5,0),"")</f>
        <v>1.738</v>
      </c>
      <c r="F6234">
        <f>IFERROR(VLOOKUP($A6234,原始数据_收盘!$A$4:$G$3460,6,0),"")</f>
        <v>1.79</v>
      </c>
      <c r="G6234">
        <f>IFERROR(VLOOKUP($A6234,原始数据_收盘!$A$4:$G$3460,7,0),"")</f>
        <v>1.7369</v>
      </c>
      <c r="H6234">
        <f>IFERROR(VLOOKUP($A6234,原始数据_利率互换_FR007_1年!$A$6:$C$4395,2,0),"")</f>
        <v>1.7733</v>
      </c>
      <c r="I6234">
        <f>IFERROR(VLOOKUP($A6234,原始数据_利率互换_FR007_1年!$A$6:$C$4395,3,0),"")</f>
        <v>1.7111</v>
      </c>
    </row>
    <row r="6235" spans="1:9">
      <c r="A6235" s="6">
        <v>45728</v>
      </c>
      <c r="B6235">
        <f>IFERROR(VLOOKUP($A6235,原始数据_收盘!$A$4:$G$3460,2,0),"")</f>
        <v>1.7292</v>
      </c>
      <c r="C6235">
        <f>IFERROR(VLOOKUP($A6235,原始数据_收盘!$A$4:$G$3460,3,0),"")</f>
        <v>1.6746</v>
      </c>
      <c r="D6235">
        <f>IFERROR(VLOOKUP($A6235,原始数据_收盘!$A$4:$G$3460,4,0),"")</f>
        <v>1.7325</v>
      </c>
      <c r="E6235">
        <f>IFERROR(VLOOKUP($A6235,原始数据_收盘!$A$4:$G$3460,5,0),"")</f>
        <v>1.6769</v>
      </c>
      <c r="F6235">
        <f>IFERROR(VLOOKUP($A6235,原始数据_收盘!$A$4:$G$3460,6,0),"")</f>
        <v>1.7308</v>
      </c>
      <c r="G6235">
        <f>IFERROR(VLOOKUP($A6235,原始数据_收盘!$A$4:$G$3460,7,0),"")</f>
        <v>1.6757</v>
      </c>
      <c r="H6235">
        <f>IFERROR(VLOOKUP($A6235,原始数据_利率互换_FR007_1年!$A$6:$C$4395,2,0),"")</f>
        <v>1.741</v>
      </c>
      <c r="I6235">
        <f>IFERROR(VLOOKUP($A6235,原始数据_利率互换_FR007_1年!$A$6:$C$4395,3,0),"")</f>
        <v>1.6977</v>
      </c>
    </row>
    <row r="6236" spans="1:9">
      <c r="A6236" s="6">
        <v>45729</v>
      </c>
      <c r="B6236">
        <f>IFERROR(VLOOKUP($A6236,原始数据_收盘!$A$4:$G$3460,2,0),"")</f>
        <v>1.735</v>
      </c>
      <c r="C6236">
        <f>IFERROR(VLOOKUP($A6236,原始数据_收盘!$A$4:$G$3460,3,0),"")</f>
        <v>1.6646</v>
      </c>
      <c r="D6236">
        <f>IFERROR(VLOOKUP($A6236,原始数据_收盘!$A$4:$G$3460,4,0),"")</f>
        <v>1.7375</v>
      </c>
      <c r="E6236">
        <f>IFERROR(VLOOKUP($A6236,原始数据_收盘!$A$4:$G$3460,5,0),"")</f>
        <v>1.6687</v>
      </c>
      <c r="F6236">
        <f>IFERROR(VLOOKUP($A6236,原始数据_收盘!$A$4:$G$3460,6,0),"")</f>
        <v>1.7363</v>
      </c>
      <c r="G6236">
        <f>IFERROR(VLOOKUP($A6236,原始数据_收盘!$A$4:$G$3460,7,0),"")</f>
        <v>1.6666</v>
      </c>
      <c r="H6236">
        <f>IFERROR(VLOOKUP($A6236,原始数据_利率互换_FR007_1年!$A$6:$C$4395,2,0),"")</f>
        <v>1.7163</v>
      </c>
      <c r="I6236">
        <f>IFERROR(VLOOKUP($A6236,原始数据_利率互换_FR007_1年!$A$6:$C$4395,3,0),"")</f>
        <v>1.6532</v>
      </c>
    </row>
    <row r="6237" spans="1:9">
      <c r="A6237" s="6">
        <v>45730</v>
      </c>
      <c r="B6237">
        <f>IFERROR(VLOOKUP($A6237,原始数据_收盘!$A$4:$G$3460,2,0),"")</f>
        <v>1.7075</v>
      </c>
      <c r="C6237">
        <f>IFERROR(VLOOKUP($A6237,原始数据_收盘!$A$4:$G$3460,3,0),"")</f>
        <v>1.652</v>
      </c>
      <c r="D6237">
        <f>IFERROR(VLOOKUP($A6237,原始数据_收盘!$A$4:$G$3460,4,0),"")</f>
        <v>1.7103</v>
      </c>
      <c r="E6237">
        <f>IFERROR(VLOOKUP($A6237,原始数据_收盘!$A$4:$G$3460,5,0),"")</f>
        <v>1.6561</v>
      </c>
      <c r="F6237">
        <f>IFERROR(VLOOKUP($A6237,原始数据_收盘!$A$4:$G$3460,6,0),"")</f>
        <v>1.7089</v>
      </c>
      <c r="G6237">
        <f>IFERROR(VLOOKUP($A6237,原始数据_收盘!$A$4:$G$3460,7,0),"")</f>
        <v>1.654</v>
      </c>
      <c r="H6237">
        <f>IFERROR(VLOOKUP($A6237,原始数据_利率互换_FR007_1年!$A$6:$C$4395,2,0),"")</f>
        <v>1.7247</v>
      </c>
      <c r="I6237">
        <f>IFERROR(VLOOKUP($A6237,原始数据_利率互换_FR007_1年!$A$6:$C$4395,3,0),"")</f>
        <v>1.6716</v>
      </c>
    </row>
    <row r="6238" spans="1:9">
      <c r="A6238" s="6">
        <v>45731</v>
      </c>
      <c r="B6238" t="str">
        <f>IFERROR(VLOOKUP($A6238,原始数据_收盘!$A$4:$G$3460,2,0),"")</f>
        <v/>
      </c>
      <c r="C6238" t="str">
        <f>IFERROR(VLOOKUP($A6238,原始数据_收盘!$A$4:$G$3460,3,0),"")</f>
        <v/>
      </c>
      <c r="D6238" t="str">
        <f>IFERROR(VLOOKUP($A6238,原始数据_收盘!$A$4:$G$3460,4,0),"")</f>
        <v/>
      </c>
      <c r="E6238" t="str">
        <f>IFERROR(VLOOKUP($A6238,原始数据_收盘!$A$4:$G$3460,5,0),"")</f>
        <v/>
      </c>
      <c r="F6238" t="str">
        <f>IFERROR(VLOOKUP($A6238,原始数据_收盘!$A$4:$G$3460,6,0),"")</f>
        <v/>
      </c>
      <c r="G6238" t="str">
        <f>IFERROR(VLOOKUP($A6238,原始数据_收盘!$A$4:$G$3460,7,0),"")</f>
        <v/>
      </c>
      <c r="H6238" t="str">
        <f>IFERROR(VLOOKUP($A6238,原始数据_利率互换_FR007_1年!$A$6:$C$4395,2,0),"")</f>
        <v/>
      </c>
      <c r="I6238" t="str">
        <f>IFERROR(VLOOKUP($A6238,原始数据_利率互换_FR007_1年!$A$6:$C$4395,3,0),"")</f>
        <v/>
      </c>
    </row>
    <row r="6239" spans="1:9">
      <c r="A6239" s="6">
        <v>45732</v>
      </c>
      <c r="B6239" t="str">
        <f>IFERROR(VLOOKUP($A6239,原始数据_收盘!$A$4:$G$3460,2,0),"")</f>
        <v/>
      </c>
      <c r="C6239" t="str">
        <f>IFERROR(VLOOKUP($A6239,原始数据_收盘!$A$4:$G$3460,3,0),"")</f>
        <v/>
      </c>
      <c r="D6239" t="str">
        <f>IFERROR(VLOOKUP($A6239,原始数据_收盘!$A$4:$G$3460,4,0),"")</f>
        <v/>
      </c>
      <c r="E6239" t="str">
        <f>IFERROR(VLOOKUP($A6239,原始数据_收盘!$A$4:$G$3460,5,0),"")</f>
        <v/>
      </c>
      <c r="F6239" t="str">
        <f>IFERROR(VLOOKUP($A6239,原始数据_收盘!$A$4:$G$3460,6,0),"")</f>
        <v/>
      </c>
      <c r="G6239" t="str">
        <f>IFERROR(VLOOKUP($A6239,原始数据_收盘!$A$4:$G$3460,7,0),"")</f>
        <v/>
      </c>
      <c r="H6239" t="str">
        <f>IFERROR(VLOOKUP($A6239,原始数据_利率互换_FR007_1年!$A$6:$C$4395,2,0),"")</f>
        <v/>
      </c>
      <c r="I6239" t="str">
        <f>IFERROR(VLOOKUP($A6239,原始数据_利率互换_FR007_1年!$A$6:$C$4395,3,0),"")</f>
        <v/>
      </c>
    </row>
    <row r="6240" spans="1:9">
      <c r="A6240" s="6">
        <v>45733</v>
      </c>
      <c r="B6240">
        <f>IFERROR(VLOOKUP($A6240,原始数据_收盘!$A$4:$G$3460,2,0),"")</f>
        <v>1.7406</v>
      </c>
      <c r="C6240">
        <f>IFERROR(VLOOKUP($A6240,原始数据_收盘!$A$4:$G$3460,3,0),"")</f>
        <v>1.6998</v>
      </c>
      <c r="D6240">
        <f>IFERROR(VLOOKUP($A6240,原始数据_收盘!$A$4:$G$3460,4,0),"")</f>
        <v>1.7419</v>
      </c>
      <c r="E6240">
        <f>IFERROR(VLOOKUP($A6240,原始数据_收盘!$A$4:$G$3460,5,0),"")</f>
        <v>1.7021</v>
      </c>
      <c r="F6240">
        <f>IFERROR(VLOOKUP($A6240,原始数据_收盘!$A$4:$G$3460,6,0),"")</f>
        <v>1.7413</v>
      </c>
      <c r="G6240">
        <f>IFERROR(VLOOKUP($A6240,原始数据_收盘!$A$4:$G$3460,7,0),"")</f>
        <v>1.7009</v>
      </c>
      <c r="H6240">
        <f>IFERROR(VLOOKUP($A6240,原始数据_利率互换_FR007_1年!$A$6:$C$4395,2,0),"")</f>
        <v>1.7395</v>
      </c>
      <c r="I6240">
        <f>IFERROR(VLOOKUP($A6240,原始数据_利率互换_FR007_1年!$A$6:$C$4395,3,0),"")</f>
        <v>1.6918</v>
      </c>
    </row>
    <row r="6241" spans="1:9">
      <c r="A6241" s="6">
        <v>45734</v>
      </c>
      <c r="B6241">
        <f>IFERROR(VLOOKUP($A6241,原始数据_收盘!$A$4:$G$3460,2,0),"")</f>
        <v>1.7375</v>
      </c>
      <c r="C6241">
        <f>IFERROR(VLOOKUP($A6241,原始数据_收盘!$A$4:$G$3460,3,0),"")</f>
        <v>1.675</v>
      </c>
      <c r="D6241">
        <f>IFERROR(VLOOKUP($A6241,原始数据_收盘!$A$4:$G$3460,4,0),"")</f>
        <v>1.7404</v>
      </c>
      <c r="E6241">
        <f>IFERROR(VLOOKUP($A6241,原始数据_收盘!$A$4:$G$3460,5,0),"")</f>
        <v>1.678</v>
      </c>
      <c r="F6241">
        <f>IFERROR(VLOOKUP($A6241,原始数据_收盘!$A$4:$G$3460,6,0),"")</f>
        <v>1.739</v>
      </c>
      <c r="G6241">
        <f>IFERROR(VLOOKUP($A6241,原始数据_收盘!$A$4:$G$3460,7,0),"")</f>
        <v>1.6765</v>
      </c>
      <c r="H6241">
        <f>IFERROR(VLOOKUP($A6241,原始数据_利率互换_FR007_1年!$A$6:$C$4395,2,0),"")</f>
        <v>1.7345</v>
      </c>
      <c r="I6241">
        <f>IFERROR(VLOOKUP($A6241,原始数据_利率互换_FR007_1年!$A$6:$C$4395,3,0),"")</f>
        <v>1.6801</v>
      </c>
    </row>
    <row r="6242" spans="1:9">
      <c r="A6242" s="6">
        <v>45735</v>
      </c>
      <c r="B6242">
        <f>IFERROR(VLOOKUP($A6242,原始数据_收盘!$A$4:$G$3460,2,0),"")</f>
        <v>1.7425</v>
      </c>
      <c r="C6242">
        <f>IFERROR(VLOOKUP($A6242,原始数据_收盘!$A$4:$G$3460,3,0),"")</f>
        <v>1.6725</v>
      </c>
      <c r="D6242">
        <f>IFERROR(VLOOKUP($A6242,原始数据_收盘!$A$4:$G$3460,4,0),"")</f>
        <v>1.745</v>
      </c>
      <c r="E6242">
        <f>IFERROR(VLOOKUP($A6242,原始数据_收盘!$A$4:$G$3460,5,0),"")</f>
        <v>1.6752</v>
      </c>
      <c r="F6242">
        <f>IFERROR(VLOOKUP($A6242,原始数据_收盘!$A$4:$G$3460,6,0),"")</f>
        <v>1.7438</v>
      </c>
      <c r="G6242">
        <f>IFERROR(VLOOKUP($A6242,原始数据_收盘!$A$4:$G$3460,7,0),"")</f>
        <v>1.6738</v>
      </c>
      <c r="H6242">
        <f>IFERROR(VLOOKUP($A6242,原始数据_利率互换_FR007_1年!$A$6:$C$4395,2,0),"")</f>
        <v>1.7427</v>
      </c>
      <c r="I6242">
        <f>IFERROR(VLOOKUP($A6242,原始数据_利率互换_FR007_1年!$A$6:$C$4395,3,0),"")</f>
        <v>1.6714</v>
      </c>
    </row>
    <row r="6243" spans="1:9">
      <c r="A6243" s="6">
        <v>45736</v>
      </c>
      <c r="B6243">
        <f>IFERROR(VLOOKUP($A6243,原始数据_收盘!$A$4:$G$3460,2,0),"")</f>
        <v>1.72</v>
      </c>
      <c r="C6243">
        <f>IFERROR(VLOOKUP($A6243,原始数据_收盘!$A$4:$G$3460,3,0),"")</f>
        <v>1.6375</v>
      </c>
      <c r="D6243">
        <f>IFERROR(VLOOKUP($A6243,原始数据_收盘!$A$4:$G$3460,4,0),"")</f>
        <v>1.7225</v>
      </c>
      <c r="E6243">
        <f>IFERROR(VLOOKUP($A6243,原始数据_收盘!$A$4:$G$3460,5,0),"")</f>
        <v>1.64</v>
      </c>
      <c r="F6243">
        <f>IFERROR(VLOOKUP($A6243,原始数据_收盘!$A$4:$G$3460,6,0),"")</f>
        <v>1.7213</v>
      </c>
      <c r="G6243">
        <f>IFERROR(VLOOKUP($A6243,原始数据_收盘!$A$4:$G$3460,7,0),"")</f>
        <v>1.6388</v>
      </c>
      <c r="H6243">
        <f>IFERROR(VLOOKUP($A6243,原始数据_利率互换_FR007_1年!$A$6:$C$4395,2,0),"")</f>
        <v>1.7199</v>
      </c>
      <c r="I6243">
        <f>IFERROR(VLOOKUP($A6243,原始数据_利率互换_FR007_1年!$A$6:$C$4395,3,0),"")</f>
        <v>1.6386</v>
      </c>
    </row>
    <row r="6244" spans="1:9">
      <c r="A6244" s="6">
        <v>45737</v>
      </c>
      <c r="B6244">
        <f>IFERROR(VLOOKUP($A6244,原始数据_收盘!$A$4:$G$3460,2,0),"")</f>
        <v>1.7255</v>
      </c>
      <c r="C6244">
        <f>IFERROR(VLOOKUP($A6244,原始数据_收盘!$A$4:$G$3460,3,0),"")</f>
        <v>1.6529</v>
      </c>
      <c r="D6244">
        <f>IFERROR(VLOOKUP($A6244,原始数据_收盘!$A$4:$G$3460,4,0),"")</f>
        <v>1.7279</v>
      </c>
      <c r="E6244">
        <f>IFERROR(VLOOKUP($A6244,原始数据_收盘!$A$4:$G$3460,5,0),"")</f>
        <v>1.6558</v>
      </c>
      <c r="F6244">
        <f>IFERROR(VLOOKUP($A6244,原始数据_收盘!$A$4:$G$3460,6,0),"")</f>
        <v>1.7267</v>
      </c>
      <c r="G6244">
        <f>IFERROR(VLOOKUP($A6244,原始数据_收盘!$A$4:$G$3460,7,0),"")</f>
        <v>1.6544</v>
      </c>
      <c r="H6244">
        <f>IFERROR(VLOOKUP($A6244,原始数据_利率互换_FR007_1年!$A$6:$C$4395,2,0),"")</f>
        <v>1.7256</v>
      </c>
      <c r="I6244">
        <f>IFERROR(VLOOKUP($A6244,原始数据_利率互换_FR007_1年!$A$6:$C$4395,3,0),"")</f>
        <v>1.6478</v>
      </c>
    </row>
    <row r="6245" spans="1:9">
      <c r="A6245" s="6">
        <v>45738</v>
      </c>
      <c r="B6245" t="str">
        <f>IFERROR(VLOOKUP($A6245,原始数据_收盘!$A$4:$G$3460,2,0),"")</f>
        <v/>
      </c>
      <c r="C6245" t="str">
        <f>IFERROR(VLOOKUP($A6245,原始数据_收盘!$A$4:$G$3460,3,0),"")</f>
        <v/>
      </c>
      <c r="D6245" t="str">
        <f>IFERROR(VLOOKUP($A6245,原始数据_收盘!$A$4:$G$3460,4,0),"")</f>
        <v/>
      </c>
      <c r="E6245" t="str">
        <f>IFERROR(VLOOKUP($A6245,原始数据_收盘!$A$4:$G$3460,5,0),"")</f>
        <v/>
      </c>
      <c r="F6245" t="str">
        <f>IFERROR(VLOOKUP($A6245,原始数据_收盘!$A$4:$G$3460,6,0),"")</f>
        <v/>
      </c>
      <c r="G6245" t="str">
        <f>IFERROR(VLOOKUP($A6245,原始数据_收盘!$A$4:$G$3460,7,0),"")</f>
        <v/>
      </c>
      <c r="H6245" t="str">
        <f>IFERROR(VLOOKUP($A6245,原始数据_利率互换_FR007_1年!$A$6:$C$4395,2,0),"")</f>
        <v/>
      </c>
      <c r="I6245" t="str">
        <f>IFERROR(VLOOKUP($A6245,原始数据_利率互换_FR007_1年!$A$6:$C$4395,3,0),"")</f>
        <v/>
      </c>
    </row>
    <row r="6246" spans="1:9">
      <c r="A6246" s="6">
        <v>45739</v>
      </c>
      <c r="B6246" t="str">
        <f>IFERROR(VLOOKUP($A6246,原始数据_收盘!$A$4:$G$3460,2,0),"")</f>
        <v/>
      </c>
      <c r="C6246" t="str">
        <f>IFERROR(VLOOKUP($A6246,原始数据_收盘!$A$4:$G$3460,3,0),"")</f>
        <v/>
      </c>
      <c r="D6246" t="str">
        <f>IFERROR(VLOOKUP($A6246,原始数据_收盘!$A$4:$G$3460,4,0),"")</f>
        <v/>
      </c>
      <c r="E6246" t="str">
        <f>IFERROR(VLOOKUP($A6246,原始数据_收盘!$A$4:$G$3460,5,0),"")</f>
        <v/>
      </c>
      <c r="F6246" t="str">
        <f>IFERROR(VLOOKUP($A6246,原始数据_收盘!$A$4:$G$3460,6,0),"")</f>
        <v/>
      </c>
      <c r="G6246" t="str">
        <f>IFERROR(VLOOKUP($A6246,原始数据_收盘!$A$4:$G$3460,7,0),"")</f>
        <v/>
      </c>
      <c r="H6246" t="str">
        <f>IFERROR(VLOOKUP($A6246,原始数据_利率互换_FR007_1年!$A$6:$C$4395,2,0),"")</f>
        <v/>
      </c>
      <c r="I6246" t="str">
        <f>IFERROR(VLOOKUP($A6246,原始数据_利率互换_FR007_1年!$A$6:$C$4395,3,0),"")</f>
        <v/>
      </c>
    </row>
    <row r="6247" spans="1:9">
      <c r="A6247" s="6">
        <v>45740</v>
      </c>
      <c r="B6247">
        <f>IFERROR(VLOOKUP($A6247,原始数据_收盘!$A$4:$G$3460,2,0),"")</f>
        <v>1.7118</v>
      </c>
      <c r="C6247">
        <f>IFERROR(VLOOKUP($A6247,原始数据_收盘!$A$4:$G$3460,3,0),"")</f>
        <v>1.635</v>
      </c>
      <c r="D6247">
        <f>IFERROR(VLOOKUP($A6247,原始数据_收盘!$A$4:$G$3460,4,0),"")</f>
        <v>1.7143</v>
      </c>
      <c r="E6247">
        <f>IFERROR(VLOOKUP($A6247,原始数据_收盘!$A$4:$G$3460,5,0),"")</f>
        <v>1.6375</v>
      </c>
      <c r="F6247">
        <f>IFERROR(VLOOKUP($A6247,原始数据_收盘!$A$4:$G$3460,6,0),"")</f>
        <v>1.713</v>
      </c>
      <c r="G6247">
        <f>IFERROR(VLOOKUP($A6247,原始数据_收盘!$A$4:$G$3460,7,0),"")</f>
        <v>1.6363</v>
      </c>
      <c r="H6247">
        <f>IFERROR(VLOOKUP($A6247,原始数据_利率互换_FR007_1年!$A$6:$C$4395,2,0),"")</f>
        <v>1.722</v>
      </c>
      <c r="I6247">
        <f>IFERROR(VLOOKUP($A6247,原始数据_利率互换_FR007_1年!$A$6:$C$4395,3,0),"")</f>
        <v>1.6468</v>
      </c>
    </row>
    <row r="6248" spans="1:9">
      <c r="A6248" s="6">
        <v>45741</v>
      </c>
      <c r="B6248">
        <f>IFERROR(VLOOKUP($A6248,原始数据_收盘!$A$4:$G$3460,2,0),"")</f>
        <v>1.7225</v>
      </c>
      <c r="C6248">
        <f>IFERROR(VLOOKUP($A6248,原始数据_收盘!$A$4:$G$3460,3,0),"")</f>
        <v>1.63</v>
      </c>
      <c r="D6248">
        <f>IFERROR(VLOOKUP($A6248,原始数据_收盘!$A$4:$G$3460,4,0),"")</f>
        <v>1.725</v>
      </c>
      <c r="E6248">
        <f>IFERROR(VLOOKUP($A6248,原始数据_收盘!$A$4:$G$3460,5,0),"")</f>
        <v>1.6325</v>
      </c>
      <c r="F6248">
        <f>IFERROR(VLOOKUP($A6248,原始数据_收盘!$A$4:$G$3460,6,0),"")</f>
        <v>1.7238</v>
      </c>
      <c r="G6248">
        <f>IFERROR(VLOOKUP($A6248,原始数据_收盘!$A$4:$G$3460,7,0),"")</f>
        <v>1.6313</v>
      </c>
      <c r="H6248">
        <f>IFERROR(VLOOKUP($A6248,原始数据_利率互换_FR007_1年!$A$6:$C$4395,2,0),"")</f>
        <v>1.7191</v>
      </c>
      <c r="I6248">
        <f>IFERROR(VLOOKUP($A6248,原始数据_利率互换_FR007_1年!$A$6:$C$4395,3,0),"")</f>
        <v>1.627</v>
      </c>
    </row>
    <row r="6249" spans="1:9">
      <c r="A6249" s="6">
        <v>45742</v>
      </c>
      <c r="B6249">
        <f>IFERROR(VLOOKUP($A6249,原始数据_收盘!$A$4:$G$3460,2,0),"")</f>
        <v>1.695</v>
      </c>
      <c r="C6249">
        <f>IFERROR(VLOOKUP($A6249,原始数据_收盘!$A$4:$G$3460,3,0),"")</f>
        <v>1.6025</v>
      </c>
      <c r="D6249">
        <f>IFERROR(VLOOKUP($A6249,原始数据_收盘!$A$4:$G$3460,4,0),"")</f>
        <v>1.6975</v>
      </c>
      <c r="E6249">
        <f>IFERROR(VLOOKUP($A6249,原始数据_收盘!$A$4:$G$3460,5,0),"")</f>
        <v>1.605</v>
      </c>
      <c r="F6249">
        <f>IFERROR(VLOOKUP($A6249,原始数据_收盘!$A$4:$G$3460,6,0),"")</f>
        <v>1.6963</v>
      </c>
      <c r="G6249">
        <f>IFERROR(VLOOKUP($A6249,原始数据_收盘!$A$4:$G$3460,7,0),"")</f>
        <v>1.6038</v>
      </c>
      <c r="H6249">
        <f>IFERROR(VLOOKUP($A6249,原始数据_利率互换_FR007_1年!$A$6:$C$4395,2,0),"")</f>
        <v>1.7129</v>
      </c>
      <c r="I6249">
        <f>IFERROR(VLOOKUP($A6249,原始数据_利率互换_FR007_1年!$A$6:$C$4395,3,0),"")</f>
        <v>1.6189</v>
      </c>
    </row>
    <row r="6250" spans="1:9">
      <c r="A6250" s="6">
        <v>45743</v>
      </c>
      <c r="B6250">
        <f>IFERROR(VLOOKUP($A6250,原始数据_收盘!$A$4:$G$3460,2,0),"")</f>
        <v>1.71</v>
      </c>
      <c r="C6250">
        <f>IFERROR(VLOOKUP($A6250,原始数据_收盘!$A$4:$G$3460,3,0),"")</f>
        <v>1.6175</v>
      </c>
      <c r="D6250">
        <f>IFERROR(VLOOKUP($A6250,原始数据_收盘!$A$4:$G$3460,4,0),"")</f>
        <v>1.7125</v>
      </c>
      <c r="E6250">
        <f>IFERROR(VLOOKUP($A6250,原始数据_收盘!$A$4:$G$3460,5,0),"")</f>
        <v>1.62</v>
      </c>
      <c r="F6250">
        <f>IFERROR(VLOOKUP($A6250,原始数据_收盘!$A$4:$G$3460,6,0),"")</f>
        <v>1.7113</v>
      </c>
      <c r="G6250">
        <f>IFERROR(VLOOKUP($A6250,原始数据_收盘!$A$4:$G$3460,7,0),"")</f>
        <v>1.6188</v>
      </c>
      <c r="H6250">
        <f>IFERROR(VLOOKUP($A6250,原始数据_利率互换_FR007_1年!$A$6:$C$4395,2,0),"")</f>
        <v>1.7036</v>
      </c>
      <c r="I6250">
        <f>IFERROR(VLOOKUP($A6250,原始数据_利率互换_FR007_1年!$A$6:$C$4395,3,0),"")</f>
        <v>1.6094</v>
      </c>
    </row>
    <row r="6251" spans="1:9">
      <c r="A6251" s="6">
        <v>45744</v>
      </c>
      <c r="B6251">
        <f>IFERROR(VLOOKUP($A6251,原始数据_收盘!$A$4:$G$3460,2,0),"")</f>
        <v>1.705</v>
      </c>
      <c r="C6251">
        <f>IFERROR(VLOOKUP($A6251,原始数据_收盘!$A$4:$G$3460,3,0),"")</f>
        <v>1.6238</v>
      </c>
      <c r="D6251">
        <f>IFERROR(VLOOKUP($A6251,原始数据_收盘!$A$4:$G$3460,4,0),"")</f>
        <v>1.7077</v>
      </c>
      <c r="E6251">
        <f>IFERROR(VLOOKUP($A6251,原始数据_收盘!$A$4:$G$3460,5,0),"")</f>
        <v>1.6263</v>
      </c>
      <c r="F6251">
        <f>IFERROR(VLOOKUP($A6251,原始数据_收盘!$A$4:$G$3460,6,0),"")</f>
        <v>1.7063</v>
      </c>
      <c r="G6251">
        <f>IFERROR(VLOOKUP($A6251,原始数据_收盘!$A$4:$G$3460,7,0),"")</f>
        <v>1.625</v>
      </c>
      <c r="H6251">
        <f>IFERROR(VLOOKUP($A6251,原始数据_利率互换_FR007_1年!$A$6:$C$4395,2,0),"")</f>
        <v>1.7028</v>
      </c>
      <c r="I6251">
        <f>IFERROR(VLOOKUP($A6251,原始数据_利率互换_FR007_1年!$A$6:$C$4395,3,0),"")</f>
        <v>1.6168</v>
      </c>
    </row>
    <row r="6252" spans="1:9">
      <c r="A6252" s="6">
        <v>45745</v>
      </c>
      <c r="B6252" t="str">
        <f>IFERROR(VLOOKUP($A6252,原始数据_收盘!$A$4:$G$3460,2,0),"")</f>
        <v/>
      </c>
      <c r="C6252" t="str">
        <f>IFERROR(VLOOKUP($A6252,原始数据_收盘!$A$4:$G$3460,3,0),"")</f>
        <v/>
      </c>
      <c r="D6252" t="str">
        <f>IFERROR(VLOOKUP($A6252,原始数据_收盘!$A$4:$G$3460,4,0),"")</f>
        <v/>
      </c>
      <c r="E6252" t="str">
        <f>IFERROR(VLOOKUP($A6252,原始数据_收盘!$A$4:$G$3460,5,0),"")</f>
        <v/>
      </c>
      <c r="F6252" t="str">
        <f>IFERROR(VLOOKUP($A6252,原始数据_收盘!$A$4:$G$3460,6,0),"")</f>
        <v/>
      </c>
      <c r="G6252" t="str">
        <f>IFERROR(VLOOKUP($A6252,原始数据_收盘!$A$4:$G$3460,7,0),"")</f>
        <v/>
      </c>
      <c r="H6252" t="str">
        <f>IFERROR(VLOOKUP($A6252,原始数据_利率互换_FR007_1年!$A$6:$C$4395,2,0),"")</f>
        <v/>
      </c>
      <c r="I6252" t="str">
        <f>IFERROR(VLOOKUP($A6252,原始数据_利率互换_FR007_1年!$A$6:$C$4395,3,0),"")</f>
        <v/>
      </c>
    </row>
    <row r="6253" spans="1:9">
      <c r="A6253" s="6">
        <v>45746</v>
      </c>
      <c r="B6253" t="str">
        <f>IFERROR(VLOOKUP($A6253,原始数据_收盘!$A$4:$G$3460,2,0),"")</f>
        <v/>
      </c>
      <c r="C6253" t="str">
        <f>IFERROR(VLOOKUP($A6253,原始数据_收盘!$A$4:$G$3460,3,0),"")</f>
        <v/>
      </c>
      <c r="D6253" t="str">
        <f>IFERROR(VLOOKUP($A6253,原始数据_收盘!$A$4:$G$3460,4,0),"")</f>
        <v/>
      </c>
      <c r="E6253" t="str">
        <f>IFERROR(VLOOKUP($A6253,原始数据_收盘!$A$4:$G$3460,5,0),"")</f>
        <v/>
      </c>
      <c r="F6253" t="str">
        <f>IFERROR(VLOOKUP($A6253,原始数据_收盘!$A$4:$G$3460,6,0),"")</f>
        <v/>
      </c>
      <c r="G6253" t="str">
        <f>IFERROR(VLOOKUP($A6253,原始数据_收盘!$A$4:$G$3460,7,0),"")</f>
        <v/>
      </c>
      <c r="H6253" t="str">
        <f>IFERROR(VLOOKUP($A6253,原始数据_利率互换_FR007_1年!$A$6:$C$4395,2,0),"")</f>
        <v/>
      </c>
      <c r="I6253" t="str">
        <f>IFERROR(VLOOKUP($A6253,原始数据_利率互换_FR007_1年!$A$6:$C$4395,3,0),"")</f>
        <v/>
      </c>
    </row>
    <row r="6254" spans="1:9">
      <c r="A6254" s="6">
        <v>45747</v>
      </c>
      <c r="B6254">
        <f>IFERROR(VLOOKUP($A6254,原始数据_收盘!$A$4:$G$3460,2,0),"")</f>
        <v>1.7071</v>
      </c>
      <c r="C6254">
        <f>IFERROR(VLOOKUP($A6254,原始数据_收盘!$A$4:$G$3460,3,0),"")</f>
        <v>1.6247</v>
      </c>
      <c r="D6254">
        <f>IFERROR(VLOOKUP($A6254,原始数据_收盘!$A$4:$G$3460,4,0),"")</f>
        <v>1.7096</v>
      </c>
      <c r="E6254">
        <f>IFERROR(VLOOKUP($A6254,原始数据_收盘!$A$4:$G$3460,5,0),"")</f>
        <v>1.6255</v>
      </c>
      <c r="F6254">
        <f>IFERROR(VLOOKUP($A6254,原始数据_收盘!$A$4:$G$3460,6,0),"")</f>
        <v>1.7084</v>
      </c>
      <c r="G6254">
        <f>IFERROR(VLOOKUP($A6254,原始数据_收盘!$A$4:$G$3460,7,0),"")</f>
        <v>1.6251</v>
      </c>
      <c r="H6254">
        <f>IFERROR(VLOOKUP($A6254,原始数据_利率互换_FR007_1年!$A$6:$C$4395,2,0),"")</f>
        <v>1.7053</v>
      </c>
      <c r="I6254">
        <f>IFERROR(VLOOKUP($A6254,原始数据_利率互换_FR007_1年!$A$6:$C$4395,3,0),"")</f>
        <v>1.6219</v>
      </c>
    </row>
    <row r="6255" spans="1:9">
      <c r="A6255" s="6">
        <v>45748</v>
      </c>
      <c r="B6255">
        <f>IFERROR(VLOOKUP($A6255,原始数据_收盘!$A$4:$G$3460,2,0),"")</f>
        <v>1.7175</v>
      </c>
      <c r="C6255">
        <f>IFERROR(VLOOKUP($A6255,原始数据_收盘!$A$4:$G$3460,3,0),"")</f>
        <v>1.6281</v>
      </c>
      <c r="D6255">
        <f>IFERROR(VLOOKUP($A6255,原始数据_收盘!$A$4:$G$3460,4,0),"")</f>
        <v>1.72</v>
      </c>
      <c r="E6255">
        <f>IFERROR(VLOOKUP($A6255,原始数据_收盘!$A$4:$G$3460,5,0),"")</f>
        <v>1.6312</v>
      </c>
      <c r="F6255">
        <f>IFERROR(VLOOKUP($A6255,原始数据_收盘!$A$4:$G$3460,6,0),"")</f>
        <v>1.7188</v>
      </c>
      <c r="G6255">
        <f>IFERROR(VLOOKUP($A6255,原始数据_收盘!$A$4:$G$3460,7,0),"")</f>
        <v>1.6296</v>
      </c>
      <c r="H6255">
        <f>IFERROR(VLOOKUP($A6255,原始数据_利率互换_FR007_1年!$A$6:$C$4395,2,0),"")</f>
        <v>1.7136</v>
      </c>
      <c r="I6255">
        <f>IFERROR(VLOOKUP($A6255,原始数据_利率互换_FR007_1年!$A$6:$C$4395,3,0),"")</f>
        <v>1.6261</v>
      </c>
    </row>
    <row r="6256" spans="1:9">
      <c r="A6256" s="6">
        <v>45749</v>
      </c>
      <c r="B6256">
        <f>IFERROR(VLOOKUP($A6256,原始数据_收盘!$A$4:$G$3460,2,0),"")</f>
        <v>1.6972</v>
      </c>
      <c r="C6256">
        <f>IFERROR(VLOOKUP($A6256,原始数据_收盘!$A$4:$G$3460,3,0),"")</f>
        <v>1.6099</v>
      </c>
      <c r="D6256">
        <f>IFERROR(VLOOKUP($A6256,原始数据_收盘!$A$4:$G$3460,4,0),"")</f>
        <v>1.6998</v>
      </c>
      <c r="E6256">
        <f>IFERROR(VLOOKUP($A6256,原始数据_收盘!$A$4:$G$3460,5,0),"")</f>
        <v>1.6125</v>
      </c>
      <c r="F6256">
        <f>IFERROR(VLOOKUP($A6256,原始数据_收盘!$A$4:$G$3460,6,0),"")</f>
        <v>1.6985</v>
      </c>
      <c r="G6256">
        <f>IFERROR(VLOOKUP($A6256,原始数据_收盘!$A$4:$G$3460,7,0),"")</f>
        <v>1.6112</v>
      </c>
      <c r="H6256">
        <f>IFERROR(VLOOKUP($A6256,原始数据_利率互换_FR007_1年!$A$6:$C$4395,2,0),"")</f>
        <v>1.7066</v>
      </c>
      <c r="I6256">
        <f>IFERROR(VLOOKUP($A6256,原始数据_利率互换_FR007_1年!$A$6:$C$4395,3,0),"")</f>
        <v>1.62</v>
      </c>
    </row>
    <row r="6257" spans="1:9">
      <c r="A6257" s="6">
        <v>45750</v>
      </c>
      <c r="B6257">
        <f>IFERROR(VLOOKUP($A6257,原始数据_收盘!$A$4:$G$3460,2,0),"")</f>
        <v>1.6125</v>
      </c>
      <c r="C6257">
        <f>IFERROR(VLOOKUP($A6257,原始数据_收盘!$A$4:$G$3460,3,0),"")</f>
        <v>1.53</v>
      </c>
      <c r="D6257">
        <f>IFERROR(VLOOKUP($A6257,原始数据_收盘!$A$4:$G$3460,4,0),"")</f>
        <v>1.615</v>
      </c>
      <c r="E6257">
        <f>IFERROR(VLOOKUP($A6257,原始数据_收盘!$A$4:$G$3460,5,0),"")</f>
        <v>1.5325</v>
      </c>
      <c r="F6257">
        <f>IFERROR(VLOOKUP($A6257,原始数据_收盘!$A$4:$G$3460,6,0),"")</f>
        <v>1.6138</v>
      </c>
      <c r="G6257">
        <f>IFERROR(VLOOKUP($A6257,原始数据_收盘!$A$4:$G$3460,7,0),"")</f>
        <v>1.5313</v>
      </c>
      <c r="H6257">
        <f>IFERROR(VLOOKUP($A6257,原始数据_利率互换_FR007_1年!$A$6:$C$4395,2,0),"")</f>
        <v>1.6379</v>
      </c>
      <c r="I6257">
        <f>IFERROR(VLOOKUP($A6257,原始数据_利率互换_FR007_1年!$A$6:$C$4395,3,0),"")</f>
        <v>1.5502</v>
      </c>
    </row>
    <row r="6258" spans="1:9">
      <c r="A6258" s="6">
        <v>45751</v>
      </c>
      <c r="B6258" t="str">
        <f>IFERROR(VLOOKUP($A6258,原始数据_收盘!$A$4:$G$3460,2,0),"")</f>
        <v/>
      </c>
      <c r="C6258" t="str">
        <f>IFERROR(VLOOKUP($A6258,原始数据_收盘!$A$4:$G$3460,3,0),"")</f>
        <v/>
      </c>
      <c r="D6258" t="str">
        <f>IFERROR(VLOOKUP($A6258,原始数据_收盘!$A$4:$G$3460,4,0),"")</f>
        <v/>
      </c>
      <c r="E6258" t="str">
        <f>IFERROR(VLOOKUP($A6258,原始数据_收盘!$A$4:$G$3460,5,0),"")</f>
        <v/>
      </c>
      <c r="F6258" t="str">
        <f>IFERROR(VLOOKUP($A6258,原始数据_收盘!$A$4:$G$3460,6,0),"")</f>
        <v/>
      </c>
      <c r="G6258" t="str">
        <f>IFERROR(VLOOKUP($A6258,原始数据_收盘!$A$4:$G$3460,7,0),"")</f>
        <v/>
      </c>
      <c r="H6258" t="str">
        <f>IFERROR(VLOOKUP($A6258,原始数据_利率互换_FR007_1年!$A$6:$C$4395,2,0),"")</f>
        <v/>
      </c>
      <c r="I6258" t="str">
        <f>IFERROR(VLOOKUP($A6258,原始数据_利率互换_FR007_1年!$A$6:$C$4395,3,0),"")</f>
        <v/>
      </c>
    </row>
    <row r="6259" spans="1:9">
      <c r="A6259" s="6">
        <v>45752</v>
      </c>
      <c r="B6259" t="str">
        <f>IFERROR(VLOOKUP($A6259,原始数据_收盘!$A$4:$G$3460,2,0),"")</f>
        <v/>
      </c>
      <c r="C6259" t="str">
        <f>IFERROR(VLOOKUP($A6259,原始数据_收盘!$A$4:$G$3460,3,0),"")</f>
        <v/>
      </c>
      <c r="D6259" t="str">
        <f>IFERROR(VLOOKUP($A6259,原始数据_收盘!$A$4:$G$3460,4,0),"")</f>
        <v/>
      </c>
      <c r="E6259" t="str">
        <f>IFERROR(VLOOKUP($A6259,原始数据_收盘!$A$4:$G$3460,5,0),"")</f>
        <v/>
      </c>
      <c r="F6259" t="str">
        <f>IFERROR(VLOOKUP($A6259,原始数据_收盘!$A$4:$G$3460,6,0),"")</f>
        <v/>
      </c>
      <c r="G6259" t="str">
        <f>IFERROR(VLOOKUP($A6259,原始数据_收盘!$A$4:$G$3460,7,0),"")</f>
        <v/>
      </c>
      <c r="H6259" t="str">
        <f>IFERROR(VLOOKUP($A6259,原始数据_利率互换_FR007_1年!$A$6:$C$4395,2,0),"")</f>
        <v/>
      </c>
      <c r="I6259" t="str">
        <f>IFERROR(VLOOKUP($A6259,原始数据_利率互换_FR007_1年!$A$6:$C$4395,3,0),"")</f>
        <v/>
      </c>
    </row>
    <row r="6260" spans="1:9">
      <c r="A6260" s="6">
        <v>45753</v>
      </c>
      <c r="B6260" t="str">
        <f>IFERROR(VLOOKUP($A6260,原始数据_收盘!$A$4:$G$3460,2,0),"")</f>
        <v/>
      </c>
      <c r="C6260" t="str">
        <f>IFERROR(VLOOKUP($A6260,原始数据_收盘!$A$4:$G$3460,3,0),"")</f>
        <v/>
      </c>
      <c r="D6260" t="str">
        <f>IFERROR(VLOOKUP($A6260,原始数据_收盘!$A$4:$G$3460,4,0),"")</f>
        <v/>
      </c>
      <c r="E6260" t="str">
        <f>IFERROR(VLOOKUP($A6260,原始数据_收盘!$A$4:$G$3460,5,0),"")</f>
        <v/>
      </c>
      <c r="F6260" t="str">
        <f>IFERROR(VLOOKUP($A6260,原始数据_收盘!$A$4:$G$3460,6,0),"")</f>
        <v/>
      </c>
      <c r="G6260" t="str">
        <f>IFERROR(VLOOKUP($A6260,原始数据_收盘!$A$4:$G$3460,7,0),"")</f>
        <v/>
      </c>
      <c r="H6260" t="str">
        <f>IFERROR(VLOOKUP($A6260,原始数据_利率互换_FR007_1年!$A$6:$C$4395,2,0),"")</f>
        <v/>
      </c>
      <c r="I6260" t="str">
        <f>IFERROR(VLOOKUP($A6260,原始数据_利率互换_FR007_1年!$A$6:$C$4395,3,0),"")</f>
        <v/>
      </c>
    </row>
    <row r="6261" spans="1:9">
      <c r="A6261" s="6">
        <v>45754</v>
      </c>
      <c r="B6261">
        <f>IFERROR(VLOOKUP($A6261,原始数据_收盘!$A$4:$G$3460,2,0),"")</f>
        <v>1.53</v>
      </c>
      <c r="C6261">
        <f>IFERROR(VLOOKUP($A6261,原始数据_收盘!$A$4:$G$3460,3,0),"")</f>
        <v>1.425</v>
      </c>
      <c r="D6261">
        <f>IFERROR(VLOOKUP($A6261,原始数据_收盘!$A$4:$G$3460,4,0),"")</f>
        <v>1.5325</v>
      </c>
      <c r="E6261">
        <f>IFERROR(VLOOKUP($A6261,原始数据_收盘!$A$4:$G$3460,5,0),"")</f>
        <v>1.4276</v>
      </c>
      <c r="F6261">
        <f>IFERROR(VLOOKUP($A6261,原始数据_收盘!$A$4:$G$3460,6,0),"")</f>
        <v>1.5313</v>
      </c>
      <c r="G6261">
        <f>IFERROR(VLOOKUP($A6261,原始数据_收盘!$A$4:$G$3460,7,0),"")</f>
        <v>1.4263</v>
      </c>
      <c r="H6261">
        <f>IFERROR(VLOOKUP($A6261,原始数据_利率互换_FR007_1年!$A$6:$C$4395,2,0),"")</f>
        <v>1.5456</v>
      </c>
      <c r="I6261">
        <f>IFERROR(VLOOKUP($A6261,原始数据_利率互换_FR007_1年!$A$6:$C$4395,3,0),"")</f>
        <v>1.4394</v>
      </c>
    </row>
    <row r="6262" spans="1:9">
      <c r="A6262" s="6">
        <v>45755</v>
      </c>
      <c r="B6262">
        <f>IFERROR(VLOOKUP($A6262,原始数据_收盘!$A$4:$G$3460,2,0),"")</f>
        <v>1.575</v>
      </c>
      <c r="C6262">
        <f>IFERROR(VLOOKUP($A6262,原始数据_收盘!$A$4:$G$3460,3,0),"")</f>
        <v>1.4766</v>
      </c>
      <c r="D6262">
        <f>IFERROR(VLOOKUP($A6262,原始数据_收盘!$A$4:$G$3460,4,0),"")</f>
        <v>1.5807</v>
      </c>
      <c r="E6262">
        <f>IFERROR(VLOOKUP($A6262,原始数据_收盘!$A$4:$G$3460,5,0),"")</f>
        <v>1.4795</v>
      </c>
      <c r="F6262">
        <f>IFERROR(VLOOKUP($A6262,原始数据_收盘!$A$4:$G$3460,6,0),"")</f>
        <v>1.5778</v>
      </c>
      <c r="G6262">
        <f>IFERROR(VLOOKUP($A6262,原始数据_收盘!$A$4:$G$3460,7,0),"")</f>
        <v>1.478</v>
      </c>
      <c r="H6262">
        <f>IFERROR(VLOOKUP($A6262,原始数据_利率互换_FR007_1年!$A$6:$C$4395,2,0),"")</f>
        <v>1.5531</v>
      </c>
      <c r="I6262">
        <f>IFERROR(VLOOKUP($A6262,原始数据_利率互换_FR007_1年!$A$6:$C$4395,3,0),"")</f>
        <v>1.4527</v>
      </c>
    </row>
    <row r="6263" spans="1:9">
      <c r="A6263" s="6">
        <v>45756</v>
      </c>
      <c r="B6263">
        <f>IFERROR(VLOOKUP($A6263,原始数据_收盘!$A$4:$G$3460,2,0),"")</f>
        <v>1.5238</v>
      </c>
      <c r="C6263">
        <f>IFERROR(VLOOKUP($A6263,原始数据_收盘!$A$4:$G$3460,3,0),"")</f>
        <v>1.4398</v>
      </c>
      <c r="D6263">
        <f>IFERROR(VLOOKUP($A6263,原始数据_收盘!$A$4:$G$3460,4,0),"")</f>
        <v>1.5289</v>
      </c>
      <c r="E6263">
        <f>IFERROR(VLOOKUP($A6263,原始数据_收盘!$A$4:$G$3460,5,0),"")</f>
        <v>1.4421</v>
      </c>
      <c r="F6263">
        <f>IFERROR(VLOOKUP($A6263,原始数据_收盘!$A$4:$G$3460,6,0),"")</f>
        <v>1.5263</v>
      </c>
      <c r="G6263">
        <f>IFERROR(VLOOKUP($A6263,原始数据_收盘!$A$4:$G$3460,7,0),"")</f>
        <v>1.441</v>
      </c>
      <c r="H6263">
        <f>IFERROR(VLOOKUP($A6263,原始数据_利率互换_FR007_1年!$A$6:$C$4395,2,0),"")</f>
        <v>1.5349</v>
      </c>
      <c r="I6263">
        <f>IFERROR(VLOOKUP($A6263,原始数据_利率互换_FR007_1年!$A$6:$C$4395,3,0),"")</f>
        <v>1.4346</v>
      </c>
    </row>
    <row r="6264" spans="1:9">
      <c r="A6264" s="6">
        <v>45757</v>
      </c>
      <c r="B6264">
        <f>IFERROR(VLOOKUP($A6264,原始数据_收盘!$A$4:$G$3460,2,0),"")</f>
        <v>1.4917</v>
      </c>
      <c r="C6264">
        <f>IFERROR(VLOOKUP($A6264,原始数据_收盘!$A$4:$G$3460,3,0),"")</f>
        <v>1.4245</v>
      </c>
      <c r="D6264">
        <f>IFERROR(VLOOKUP($A6264,原始数据_收盘!$A$4:$G$3460,4,0),"")</f>
        <v>1.495</v>
      </c>
      <c r="E6264">
        <f>IFERROR(VLOOKUP($A6264,原始数据_收盘!$A$4:$G$3460,5,0),"")</f>
        <v>1.4275</v>
      </c>
      <c r="F6264">
        <f>IFERROR(VLOOKUP($A6264,原始数据_收盘!$A$4:$G$3460,6,0),"")</f>
        <v>1.4933</v>
      </c>
      <c r="G6264">
        <f>IFERROR(VLOOKUP($A6264,原始数据_收盘!$A$4:$G$3460,7,0),"")</f>
        <v>1.426</v>
      </c>
      <c r="H6264">
        <f>IFERROR(VLOOKUP($A6264,原始数据_利率互换_FR007_1年!$A$6:$C$4395,2,0),"")</f>
        <v>1.5119</v>
      </c>
      <c r="I6264">
        <f>IFERROR(VLOOKUP($A6264,原始数据_利率互换_FR007_1年!$A$6:$C$4395,3,0),"")</f>
        <v>1.4298</v>
      </c>
    </row>
    <row r="6265" spans="1:9">
      <c r="A6265" s="6">
        <v>45758</v>
      </c>
      <c r="B6265">
        <f>IFERROR(VLOOKUP($A6265,原始数据_收盘!$A$4:$G$3460,2,0),"")</f>
        <v>1.4621</v>
      </c>
      <c r="C6265">
        <f>IFERROR(VLOOKUP($A6265,原始数据_收盘!$A$4:$G$3460,3,0),"")</f>
        <v>1.4152</v>
      </c>
      <c r="D6265">
        <f>IFERROR(VLOOKUP($A6265,原始数据_收盘!$A$4:$G$3460,4,0),"")</f>
        <v>1.4647</v>
      </c>
      <c r="E6265">
        <f>IFERROR(VLOOKUP($A6265,原始数据_收盘!$A$4:$G$3460,5,0),"")</f>
        <v>1.4178</v>
      </c>
      <c r="F6265">
        <f>IFERROR(VLOOKUP($A6265,原始数据_收盘!$A$4:$G$3460,6,0),"")</f>
        <v>1.4634</v>
      </c>
      <c r="G6265">
        <f>IFERROR(VLOOKUP($A6265,原始数据_收盘!$A$4:$G$3460,7,0),"")</f>
        <v>1.4165</v>
      </c>
      <c r="H6265">
        <f>IFERROR(VLOOKUP($A6265,原始数据_利率互换_FR007_1年!$A$6:$C$4395,2,0),"")</f>
        <v>1.466</v>
      </c>
      <c r="I6265">
        <f>IFERROR(VLOOKUP($A6265,原始数据_利率互换_FR007_1年!$A$6:$C$4395,3,0),"")</f>
        <v>1.4123</v>
      </c>
    </row>
    <row r="6266" spans="1:9">
      <c r="A6266" s="6">
        <v>45759</v>
      </c>
      <c r="B6266" t="str">
        <f>IFERROR(VLOOKUP($A6266,原始数据_收盘!$A$4:$G$3460,2,0),"")</f>
        <v/>
      </c>
      <c r="C6266" t="str">
        <f>IFERROR(VLOOKUP($A6266,原始数据_收盘!$A$4:$G$3460,3,0),"")</f>
        <v/>
      </c>
      <c r="D6266" t="str">
        <f>IFERROR(VLOOKUP($A6266,原始数据_收盘!$A$4:$G$3460,4,0),"")</f>
        <v/>
      </c>
      <c r="E6266" t="str">
        <f>IFERROR(VLOOKUP($A6266,原始数据_收盘!$A$4:$G$3460,5,0),"")</f>
        <v/>
      </c>
      <c r="F6266" t="str">
        <f>IFERROR(VLOOKUP($A6266,原始数据_收盘!$A$4:$G$3460,6,0),"")</f>
        <v/>
      </c>
      <c r="G6266" t="str">
        <f>IFERROR(VLOOKUP($A6266,原始数据_收盘!$A$4:$G$3460,7,0),"")</f>
        <v/>
      </c>
      <c r="H6266" t="str">
        <f>IFERROR(VLOOKUP($A6266,原始数据_利率互换_FR007_1年!$A$6:$C$4395,2,0),"")</f>
        <v/>
      </c>
      <c r="I6266" t="str">
        <f>IFERROR(VLOOKUP($A6266,原始数据_利率互换_FR007_1年!$A$6:$C$4395,3,0),"")</f>
        <v/>
      </c>
    </row>
    <row r="6267" spans="1:9">
      <c r="A6267" s="6">
        <v>45760</v>
      </c>
      <c r="B6267" t="str">
        <f>IFERROR(VLOOKUP($A6267,原始数据_收盘!$A$4:$G$3460,2,0),"")</f>
        <v/>
      </c>
      <c r="C6267" t="str">
        <f>IFERROR(VLOOKUP($A6267,原始数据_收盘!$A$4:$G$3460,3,0),"")</f>
        <v/>
      </c>
      <c r="D6267" t="str">
        <f>IFERROR(VLOOKUP($A6267,原始数据_收盘!$A$4:$G$3460,4,0),"")</f>
        <v/>
      </c>
      <c r="E6267" t="str">
        <f>IFERROR(VLOOKUP($A6267,原始数据_收盘!$A$4:$G$3460,5,0),"")</f>
        <v/>
      </c>
      <c r="F6267" t="str">
        <f>IFERROR(VLOOKUP($A6267,原始数据_收盘!$A$4:$G$3460,6,0),"")</f>
        <v/>
      </c>
      <c r="G6267" t="str">
        <f>IFERROR(VLOOKUP($A6267,原始数据_收盘!$A$4:$G$3460,7,0),"")</f>
        <v/>
      </c>
      <c r="H6267" t="str">
        <f>IFERROR(VLOOKUP($A6267,原始数据_利率互换_FR007_1年!$A$6:$C$4395,2,0),"")</f>
        <v/>
      </c>
      <c r="I6267" t="str">
        <f>IFERROR(VLOOKUP($A6267,原始数据_利率互换_FR007_1年!$A$6:$C$4395,3,0),"")</f>
        <v/>
      </c>
    </row>
    <row r="6268" spans="1:9">
      <c r="A6268" s="6">
        <v>45761</v>
      </c>
      <c r="B6268">
        <f>IFERROR(VLOOKUP($A6268,原始数据_收盘!$A$4:$G$3460,2,0),"")</f>
        <v>1.4975</v>
      </c>
      <c r="C6268">
        <f>IFERROR(VLOOKUP($A6268,原始数据_收盘!$A$4:$G$3460,3,0),"")</f>
        <v>1.43</v>
      </c>
      <c r="D6268">
        <f>IFERROR(VLOOKUP($A6268,原始数据_收盘!$A$4:$G$3460,4,0),"")</f>
        <v>1.5</v>
      </c>
      <c r="E6268">
        <f>IFERROR(VLOOKUP($A6268,原始数据_收盘!$A$4:$G$3460,5,0),"")</f>
        <v>1.4325</v>
      </c>
      <c r="F6268">
        <f>IFERROR(VLOOKUP($A6268,原始数据_收盘!$A$4:$G$3460,6,0),"")</f>
        <v>1.4988</v>
      </c>
      <c r="G6268">
        <f>IFERROR(VLOOKUP($A6268,原始数据_收盘!$A$4:$G$3460,7,0),"")</f>
        <v>1.4313</v>
      </c>
      <c r="H6268">
        <f>IFERROR(VLOOKUP($A6268,原始数据_利率互换_FR007_1年!$A$6:$C$4395,2,0),"")</f>
        <v>1.4896</v>
      </c>
      <c r="I6268">
        <f>IFERROR(VLOOKUP($A6268,原始数据_利率互换_FR007_1年!$A$6:$C$4395,3,0),"")</f>
        <v>1.4271</v>
      </c>
    </row>
    <row r="6269" spans="1:9">
      <c r="A6269" s="6">
        <v>45762</v>
      </c>
      <c r="B6269">
        <f>IFERROR(VLOOKUP($A6269,原始数据_收盘!$A$4:$G$3460,2,0),"")</f>
        <v>1.5275</v>
      </c>
      <c r="C6269">
        <f>IFERROR(VLOOKUP($A6269,原始数据_收盘!$A$4:$G$3460,3,0),"")</f>
        <v>1.445</v>
      </c>
      <c r="D6269">
        <f>IFERROR(VLOOKUP($A6269,原始数据_收盘!$A$4:$G$3460,4,0),"")</f>
        <v>1.53</v>
      </c>
      <c r="E6269">
        <f>IFERROR(VLOOKUP($A6269,原始数据_收盘!$A$4:$G$3460,5,0),"")</f>
        <v>1.4475</v>
      </c>
      <c r="F6269">
        <f>IFERROR(VLOOKUP($A6269,原始数据_收盘!$A$4:$G$3460,6,0),"")</f>
        <v>1.5288</v>
      </c>
      <c r="G6269">
        <f>IFERROR(VLOOKUP($A6269,原始数据_收盘!$A$4:$G$3460,7,0),"")</f>
        <v>1.4463</v>
      </c>
      <c r="H6269">
        <f>IFERROR(VLOOKUP($A6269,原始数据_利率互换_FR007_1年!$A$6:$C$4395,2,0),"")</f>
        <v>1.5248</v>
      </c>
      <c r="I6269">
        <f>IFERROR(VLOOKUP($A6269,原始数据_利率互换_FR007_1年!$A$6:$C$4395,3,0),"")</f>
        <v>1.4448</v>
      </c>
    </row>
    <row r="6270" spans="1:9">
      <c r="A6270" s="6">
        <v>45763</v>
      </c>
      <c r="B6270">
        <f>IFERROR(VLOOKUP($A6270,原始数据_收盘!$A$4:$G$3460,2,0),"")</f>
        <v>1.515</v>
      </c>
      <c r="C6270">
        <f>IFERROR(VLOOKUP($A6270,原始数据_收盘!$A$4:$G$3460,3,0),"")</f>
        <v>1.4375</v>
      </c>
      <c r="D6270">
        <f>IFERROR(VLOOKUP($A6270,原始数据_收盘!$A$4:$G$3460,4,0),"")</f>
        <v>1.5175</v>
      </c>
      <c r="E6270">
        <f>IFERROR(VLOOKUP($A6270,原始数据_收盘!$A$4:$G$3460,5,0),"")</f>
        <v>1.44</v>
      </c>
      <c r="F6270">
        <f>IFERROR(VLOOKUP($A6270,原始数据_收盘!$A$4:$G$3460,6,0),"")</f>
        <v>1.5163</v>
      </c>
      <c r="G6270">
        <f>IFERROR(VLOOKUP($A6270,原始数据_收盘!$A$4:$G$3460,7,0),"")</f>
        <v>1.4388</v>
      </c>
      <c r="H6270">
        <f>IFERROR(VLOOKUP($A6270,原始数据_利率互换_FR007_1年!$A$6:$C$4395,2,0),"")</f>
        <v>1.5206</v>
      </c>
      <c r="I6270">
        <f>IFERROR(VLOOKUP($A6270,原始数据_利率互换_FR007_1年!$A$6:$C$4395,3,0),"")</f>
        <v>1.4376</v>
      </c>
    </row>
    <row r="6271" spans="1:9">
      <c r="A6271" s="6">
        <v>45764</v>
      </c>
      <c r="B6271">
        <f>IFERROR(VLOOKUP($A6271,原始数据_收盘!$A$4:$G$3460,2,0),"")</f>
        <v>1.53</v>
      </c>
      <c r="C6271">
        <f>IFERROR(VLOOKUP($A6271,原始数据_收盘!$A$4:$G$3460,3,0),"")</f>
        <v>1.47</v>
      </c>
      <c r="D6271">
        <f>IFERROR(VLOOKUP($A6271,原始数据_收盘!$A$4:$G$3460,4,0),"")</f>
        <v>1.535</v>
      </c>
      <c r="E6271">
        <f>IFERROR(VLOOKUP($A6271,原始数据_收盘!$A$4:$G$3460,5,0),"")</f>
        <v>1.4725</v>
      </c>
      <c r="F6271">
        <f>IFERROR(VLOOKUP($A6271,原始数据_收盘!$A$4:$G$3460,6,0),"")</f>
        <v>1.5325</v>
      </c>
      <c r="G6271">
        <f>IFERROR(VLOOKUP($A6271,原始数据_收盘!$A$4:$G$3460,7,0),"")</f>
        <v>1.4713</v>
      </c>
      <c r="H6271">
        <f>IFERROR(VLOOKUP($A6271,原始数据_利率互换_FR007_1年!$A$6:$C$4395,2,0),"")</f>
        <v>1.5229</v>
      </c>
      <c r="I6271">
        <f>IFERROR(VLOOKUP($A6271,原始数据_利率互换_FR007_1年!$A$6:$C$4395,3,0),"")</f>
        <v>1.4588</v>
      </c>
    </row>
    <row r="6272" spans="1:9">
      <c r="A6272" s="6">
        <v>45765</v>
      </c>
      <c r="B6272">
        <f>IFERROR(VLOOKUP($A6272,原始数据_收盘!$A$4:$G$3460,2,0),"")</f>
        <v>1.5266</v>
      </c>
      <c r="C6272">
        <f>IFERROR(VLOOKUP($A6272,原始数据_收盘!$A$4:$G$3460,3,0),"")</f>
        <v>1.4625</v>
      </c>
      <c r="D6272">
        <f>IFERROR(VLOOKUP($A6272,原始数据_收盘!$A$4:$G$3460,4,0),"")</f>
        <v>1.5291</v>
      </c>
      <c r="E6272">
        <f>IFERROR(VLOOKUP($A6272,原始数据_收盘!$A$4:$G$3460,5,0),"")</f>
        <v>1.4651</v>
      </c>
      <c r="F6272">
        <f>IFERROR(VLOOKUP($A6272,原始数据_收盘!$A$4:$G$3460,6,0),"")</f>
        <v>1.5279</v>
      </c>
      <c r="G6272">
        <f>IFERROR(VLOOKUP($A6272,原始数据_收盘!$A$4:$G$3460,7,0),"")</f>
        <v>1.4638</v>
      </c>
      <c r="H6272">
        <f>IFERROR(VLOOKUP($A6272,原始数据_利率互换_FR007_1年!$A$6:$C$4395,2,0),"")</f>
        <v>1.5262</v>
      </c>
      <c r="I6272">
        <f>IFERROR(VLOOKUP($A6272,原始数据_利率互换_FR007_1年!$A$6:$C$4395,3,0),"")</f>
        <v>1.4664</v>
      </c>
    </row>
    <row r="6273" spans="1:9">
      <c r="A6273" s="6">
        <v>45766</v>
      </c>
      <c r="B6273" t="str">
        <f>IFERROR(VLOOKUP($A6273,原始数据_收盘!$A$4:$G$3460,2,0),"")</f>
        <v/>
      </c>
      <c r="C6273" t="str">
        <f>IFERROR(VLOOKUP($A6273,原始数据_收盘!$A$4:$G$3460,3,0),"")</f>
        <v/>
      </c>
      <c r="D6273" t="str">
        <f>IFERROR(VLOOKUP($A6273,原始数据_收盘!$A$4:$G$3460,4,0),"")</f>
        <v/>
      </c>
      <c r="E6273" t="str">
        <f>IFERROR(VLOOKUP($A6273,原始数据_收盘!$A$4:$G$3460,5,0),"")</f>
        <v/>
      </c>
      <c r="F6273" t="str">
        <f>IFERROR(VLOOKUP($A6273,原始数据_收盘!$A$4:$G$3460,6,0),"")</f>
        <v/>
      </c>
      <c r="G6273" t="str">
        <f>IFERROR(VLOOKUP($A6273,原始数据_收盘!$A$4:$G$3460,7,0),"")</f>
        <v/>
      </c>
      <c r="H6273" t="str">
        <f>IFERROR(VLOOKUP($A6273,原始数据_利率互换_FR007_1年!$A$6:$C$4395,2,0),"")</f>
        <v/>
      </c>
      <c r="I6273" t="str">
        <f>IFERROR(VLOOKUP($A6273,原始数据_利率互换_FR007_1年!$A$6:$C$4395,3,0),"")</f>
        <v/>
      </c>
    </row>
    <row r="6274" spans="1:9">
      <c r="A6274" s="6">
        <v>45767</v>
      </c>
      <c r="B6274" t="str">
        <f>IFERROR(VLOOKUP($A6274,原始数据_收盘!$A$4:$G$3460,2,0),"")</f>
        <v/>
      </c>
      <c r="C6274" t="str">
        <f>IFERROR(VLOOKUP($A6274,原始数据_收盘!$A$4:$G$3460,3,0),"")</f>
        <v/>
      </c>
      <c r="D6274" t="str">
        <f>IFERROR(VLOOKUP($A6274,原始数据_收盘!$A$4:$G$3460,4,0),"")</f>
        <v/>
      </c>
      <c r="E6274" t="str">
        <f>IFERROR(VLOOKUP($A6274,原始数据_收盘!$A$4:$G$3460,5,0),"")</f>
        <v/>
      </c>
      <c r="F6274" t="str">
        <f>IFERROR(VLOOKUP($A6274,原始数据_收盘!$A$4:$G$3460,6,0),"")</f>
        <v/>
      </c>
      <c r="G6274" t="str">
        <f>IFERROR(VLOOKUP($A6274,原始数据_收盘!$A$4:$G$3460,7,0),"")</f>
        <v/>
      </c>
      <c r="H6274" t="str">
        <f>IFERROR(VLOOKUP($A6274,原始数据_利率互换_FR007_1年!$A$6:$C$4395,2,0),"")</f>
        <v/>
      </c>
      <c r="I6274" t="str">
        <f>IFERROR(VLOOKUP($A6274,原始数据_利率互换_FR007_1年!$A$6:$C$4395,3,0),"")</f>
        <v/>
      </c>
    </row>
    <row r="6275" spans="1:9">
      <c r="A6275" s="6">
        <v>45768</v>
      </c>
      <c r="B6275">
        <f>IFERROR(VLOOKUP($A6275,原始数据_收盘!$A$4:$G$3460,2,0),"")</f>
        <v>1.54</v>
      </c>
      <c r="C6275">
        <f>IFERROR(VLOOKUP($A6275,原始数据_收盘!$A$4:$G$3460,3,0),"")</f>
        <v>1.4775</v>
      </c>
      <c r="D6275">
        <f>IFERROR(VLOOKUP($A6275,原始数据_收盘!$A$4:$G$3460,4,0),"")</f>
        <v>1.5425</v>
      </c>
      <c r="E6275">
        <f>IFERROR(VLOOKUP($A6275,原始数据_收盘!$A$4:$G$3460,5,0),"")</f>
        <v>1.48</v>
      </c>
      <c r="F6275">
        <f>IFERROR(VLOOKUP($A6275,原始数据_收盘!$A$4:$G$3460,6,0),"")</f>
        <v>1.5413</v>
      </c>
      <c r="G6275">
        <f>IFERROR(VLOOKUP($A6275,原始数据_收盘!$A$4:$G$3460,7,0),"")</f>
        <v>1.4788</v>
      </c>
      <c r="H6275">
        <f>IFERROR(VLOOKUP($A6275,原始数据_利率互换_FR007_1年!$A$6:$C$4395,2,0),"")</f>
        <v>1.5421</v>
      </c>
      <c r="I6275">
        <f>IFERROR(VLOOKUP($A6275,原始数据_利率互换_FR007_1年!$A$6:$C$4395,3,0),"")</f>
        <v>1.479</v>
      </c>
    </row>
    <row r="6276" spans="1:9">
      <c r="A6276" s="6">
        <v>45769</v>
      </c>
      <c r="B6276">
        <f>IFERROR(VLOOKUP($A6276,原始数据_收盘!$A$4:$G$3460,2,0),"")</f>
        <v>1.525</v>
      </c>
      <c r="C6276">
        <f>IFERROR(VLOOKUP($A6276,原始数据_收盘!$A$4:$G$3460,3,0),"")</f>
        <v>1.45</v>
      </c>
      <c r="D6276">
        <f>IFERROR(VLOOKUP($A6276,原始数据_收盘!$A$4:$G$3460,4,0),"")</f>
        <v>1.5275</v>
      </c>
      <c r="E6276">
        <f>IFERROR(VLOOKUP($A6276,原始数据_收盘!$A$4:$G$3460,5,0),"")</f>
        <v>1.455</v>
      </c>
      <c r="F6276">
        <f>IFERROR(VLOOKUP($A6276,原始数据_收盘!$A$4:$G$3460,6,0),"")</f>
        <v>1.5263</v>
      </c>
      <c r="G6276">
        <f>IFERROR(VLOOKUP($A6276,原始数据_收盘!$A$4:$G$3460,7,0),"")</f>
        <v>1.4525</v>
      </c>
      <c r="H6276">
        <f>IFERROR(VLOOKUP($A6276,原始数据_利率互换_FR007_1年!$A$6:$C$4395,2,0),"")</f>
        <v>1.5255</v>
      </c>
      <c r="I6276">
        <f>IFERROR(VLOOKUP($A6276,原始数据_利率互换_FR007_1年!$A$6:$C$4395,3,0),"")</f>
        <v>1.4575</v>
      </c>
    </row>
    <row r="6277" spans="1:9">
      <c r="A6277" s="6">
        <v>45770</v>
      </c>
      <c r="B6277">
        <f>IFERROR(VLOOKUP($A6277,原始数据_收盘!$A$4:$G$3460,2,0),"")</f>
        <v>1.5305</v>
      </c>
      <c r="C6277">
        <f>IFERROR(VLOOKUP($A6277,原始数据_收盘!$A$4:$G$3460,3,0),"")</f>
        <v>1.4702</v>
      </c>
      <c r="D6277">
        <f>IFERROR(VLOOKUP($A6277,原始数据_收盘!$A$4:$G$3460,4,0),"")</f>
        <v>1.533</v>
      </c>
      <c r="E6277">
        <f>IFERROR(VLOOKUP($A6277,原始数据_收盘!$A$4:$G$3460,5,0),"")</f>
        <v>1.4727</v>
      </c>
      <c r="F6277">
        <f>IFERROR(VLOOKUP($A6277,原始数据_收盘!$A$4:$G$3460,6,0),"")</f>
        <v>1.5318</v>
      </c>
      <c r="G6277">
        <f>IFERROR(VLOOKUP($A6277,原始数据_收盘!$A$4:$G$3460,7,0),"")</f>
        <v>1.4714</v>
      </c>
      <c r="H6277">
        <f>IFERROR(VLOOKUP($A6277,原始数据_利率互换_FR007_1年!$A$6:$C$4395,2,0),"")</f>
        <v>1.532</v>
      </c>
      <c r="I6277">
        <f>IFERROR(VLOOKUP($A6277,原始数据_利率互换_FR007_1年!$A$6:$C$4395,3,0),"")</f>
        <v>1.4741</v>
      </c>
    </row>
    <row r="6278" spans="1:9">
      <c r="A6278" s="6">
        <v>45771</v>
      </c>
      <c r="B6278">
        <f>IFERROR(VLOOKUP($A6278,原始数据_收盘!$A$4:$G$3460,2,0),"")</f>
        <v>1.535</v>
      </c>
      <c r="C6278">
        <f>IFERROR(VLOOKUP($A6278,原始数据_收盘!$A$4:$G$3460,3,0),"")</f>
        <v>1.475</v>
      </c>
      <c r="D6278">
        <f>IFERROR(VLOOKUP($A6278,原始数据_收盘!$A$4:$G$3460,4,0),"")</f>
        <v>1.5375</v>
      </c>
      <c r="E6278">
        <f>IFERROR(VLOOKUP($A6278,原始数据_收盘!$A$4:$G$3460,5,0),"")</f>
        <v>1.4775</v>
      </c>
      <c r="F6278">
        <f>IFERROR(VLOOKUP($A6278,原始数据_收盘!$A$4:$G$3460,6,0),"")</f>
        <v>1.5363</v>
      </c>
      <c r="G6278">
        <f>IFERROR(VLOOKUP($A6278,原始数据_收盘!$A$4:$G$3460,7,0),"")</f>
        <v>1.4763</v>
      </c>
      <c r="H6278">
        <f>IFERROR(VLOOKUP($A6278,原始数据_利率互换_FR007_1年!$A$6:$C$4395,2,0),"")</f>
        <v>1.5295</v>
      </c>
      <c r="I6278">
        <f>IFERROR(VLOOKUP($A6278,原始数据_利率互换_FR007_1年!$A$6:$C$4395,3,0),"")</f>
        <v>1.4686</v>
      </c>
    </row>
    <row r="6279" spans="1:9">
      <c r="A6279" s="6">
        <v>45772</v>
      </c>
      <c r="B6279">
        <f>IFERROR(VLOOKUP($A6279,原始数据_收盘!$A$4:$G$3460,2,0),"")</f>
        <v>1.515</v>
      </c>
      <c r="C6279">
        <f>IFERROR(VLOOKUP($A6279,原始数据_收盘!$A$4:$G$3460,3,0),"")</f>
        <v>1.46</v>
      </c>
      <c r="D6279">
        <f>IFERROR(VLOOKUP($A6279,原始数据_收盘!$A$4:$G$3460,4,0),"")</f>
        <v>1.5175</v>
      </c>
      <c r="E6279">
        <f>IFERROR(VLOOKUP($A6279,原始数据_收盘!$A$4:$G$3460,5,0),"")</f>
        <v>1.4625</v>
      </c>
      <c r="F6279">
        <f>IFERROR(VLOOKUP($A6279,原始数据_收盘!$A$4:$G$3460,6,0),"")</f>
        <v>1.5163</v>
      </c>
      <c r="G6279">
        <f>IFERROR(VLOOKUP($A6279,原始数据_收盘!$A$4:$G$3460,7,0),"")</f>
        <v>1.4613</v>
      </c>
      <c r="H6279">
        <f>IFERROR(VLOOKUP($A6279,原始数据_利率互换_FR007_1年!$A$6:$C$4395,2,0),"")</f>
        <v>1.5172</v>
      </c>
      <c r="I6279">
        <f>IFERROR(VLOOKUP($A6279,原始数据_利率互换_FR007_1年!$A$6:$C$4395,3,0),"")</f>
        <v>1.4617</v>
      </c>
    </row>
    <row r="6280" spans="1:9">
      <c r="A6280" s="6">
        <v>45773</v>
      </c>
      <c r="B6280" t="str">
        <f>IFERROR(VLOOKUP($A6280,原始数据_收盘!$A$4:$G$3460,2,0),"")</f>
        <v/>
      </c>
      <c r="C6280" t="str">
        <f>IFERROR(VLOOKUP($A6280,原始数据_收盘!$A$4:$G$3460,3,0),"")</f>
        <v/>
      </c>
      <c r="D6280" t="str">
        <f>IFERROR(VLOOKUP($A6280,原始数据_收盘!$A$4:$G$3460,4,0),"")</f>
        <v/>
      </c>
      <c r="E6280" t="str">
        <f>IFERROR(VLOOKUP($A6280,原始数据_收盘!$A$4:$G$3460,5,0),"")</f>
        <v/>
      </c>
      <c r="F6280" t="str">
        <f>IFERROR(VLOOKUP($A6280,原始数据_收盘!$A$4:$G$3460,6,0),"")</f>
        <v/>
      </c>
      <c r="G6280" t="str">
        <f>IFERROR(VLOOKUP($A6280,原始数据_收盘!$A$4:$G$3460,7,0),"")</f>
        <v/>
      </c>
      <c r="H6280" t="str">
        <f>IFERROR(VLOOKUP($A6280,原始数据_利率互换_FR007_1年!$A$6:$C$4395,2,0),"")</f>
        <v/>
      </c>
      <c r="I6280" t="str">
        <f>IFERROR(VLOOKUP($A6280,原始数据_利率互换_FR007_1年!$A$6:$C$4395,3,0),"")</f>
        <v/>
      </c>
    </row>
    <row r="6281" spans="1:9">
      <c r="A6281" s="6">
        <v>45774</v>
      </c>
      <c r="B6281">
        <f>IFERROR(VLOOKUP($A6281,原始数据_收盘!$A$4:$G$3460,2,0),"")</f>
        <v>1.5125</v>
      </c>
      <c r="C6281">
        <f>IFERROR(VLOOKUP($A6281,原始数据_收盘!$A$4:$G$3460,3,0),"")</f>
        <v>1.4525</v>
      </c>
      <c r="D6281">
        <f>IFERROR(VLOOKUP($A6281,原始数据_收盘!$A$4:$G$3460,4,0),"")</f>
        <v>1.52</v>
      </c>
      <c r="E6281">
        <f>IFERROR(VLOOKUP($A6281,原始数据_收盘!$A$4:$G$3460,5,0),"")</f>
        <v>1.4675</v>
      </c>
      <c r="F6281">
        <f>IFERROR(VLOOKUP($A6281,原始数据_收盘!$A$4:$G$3460,6,0),"")</f>
        <v>1.5163</v>
      </c>
      <c r="G6281">
        <f>IFERROR(VLOOKUP($A6281,原始数据_收盘!$A$4:$G$3460,7,0),"")</f>
        <v>1.46</v>
      </c>
      <c r="H6281">
        <f>IFERROR(VLOOKUP($A6281,原始数据_利率互换_FR007_1年!$A$6:$C$4395,2,0),"")</f>
        <v>1.5155</v>
      </c>
      <c r="I6281">
        <f>IFERROR(VLOOKUP($A6281,原始数据_利率互换_FR007_1年!$A$6:$C$4395,3,0),"")</f>
        <v>0</v>
      </c>
    </row>
    <row r="6282" spans="1:9">
      <c r="A6282" s="6">
        <v>45775</v>
      </c>
      <c r="B6282">
        <f>IFERROR(VLOOKUP($A6282,原始数据_收盘!$A$4:$G$3460,2,0),"")</f>
        <v>1.515</v>
      </c>
      <c r="C6282">
        <f>IFERROR(VLOOKUP($A6282,原始数据_收盘!$A$4:$G$3460,3,0),"")</f>
        <v>1.4502</v>
      </c>
      <c r="D6282">
        <f>IFERROR(VLOOKUP($A6282,原始数据_收盘!$A$4:$G$3460,4,0),"")</f>
        <v>1.5175</v>
      </c>
      <c r="E6282">
        <f>IFERROR(VLOOKUP($A6282,原始数据_收盘!$A$4:$G$3460,5,0),"")</f>
        <v>1.4527</v>
      </c>
      <c r="F6282">
        <f>IFERROR(VLOOKUP($A6282,原始数据_收盘!$A$4:$G$3460,6,0),"")</f>
        <v>1.5163</v>
      </c>
      <c r="G6282">
        <f>IFERROR(VLOOKUP($A6282,原始数据_收盘!$A$4:$G$3460,7,0),"")</f>
        <v>1.4514</v>
      </c>
      <c r="H6282">
        <f>IFERROR(VLOOKUP($A6282,原始数据_利率互换_FR007_1年!$A$6:$C$4395,2,0),"")</f>
        <v>1.5112</v>
      </c>
      <c r="I6282">
        <f>IFERROR(VLOOKUP($A6282,原始数据_利率互换_FR007_1年!$A$6:$C$4395,3,0),"")</f>
        <v>1.4514</v>
      </c>
    </row>
    <row r="6283" spans="1:9">
      <c r="A6283" s="6">
        <v>45776</v>
      </c>
      <c r="B6283">
        <f>IFERROR(VLOOKUP($A6283,原始数据_收盘!$A$4:$G$3460,2,0),"")</f>
        <v>1.52</v>
      </c>
      <c r="C6283">
        <f>IFERROR(VLOOKUP($A6283,原始数据_收盘!$A$4:$G$3460,3,0),"")</f>
        <v>1.43</v>
      </c>
      <c r="D6283">
        <f>IFERROR(VLOOKUP($A6283,原始数据_收盘!$A$4:$G$3460,4,0),"")</f>
        <v>1.5225</v>
      </c>
      <c r="E6283">
        <f>IFERROR(VLOOKUP($A6283,原始数据_收盘!$A$4:$G$3460,5,0),"")</f>
        <v>1.4339</v>
      </c>
      <c r="F6283">
        <f>IFERROR(VLOOKUP($A6283,原始数据_收盘!$A$4:$G$3460,6,0),"")</f>
        <v>1.5213</v>
      </c>
      <c r="G6283">
        <f>IFERROR(VLOOKUP($A6283,原始数据_收盘!$A$4:$G$3460,7,0),"")</f>
        <v>1.4319</v>
      </c>
      <c r="H6283">
        <f>IFERROR(VLOOKUP($A6283,原始数据_利率互换_FR007_1年!$A$6:$C$4395,2,0),"")</f>
        <v>1.5171</v>
      </c>
      <c r="I6283">
        <f>IFERROR(VLOOKUP($A6283,原始数据_利率互换_FR007_1年!$A$6:$C$4395,3,0),"")</f>
        <v>1.4385</v>
      </c>
    </row>
    <row r="6284" spans="1:9">
      <c r="A6284" s="6">
        <v>45777</v>
      </c>
      <c r="B6284">
        <f>IFERROR(VLOOKUP($A6284,原始数据_收盘!$A$4:$G$3460,2,0),"")</f>
        <v>1.52</v>
      </c>
      <c r="C6284">
        <f>IFERROR(VLOOKUP($A6284,原始数据_收盘!$A$4:$G$3460,3,0),"")</f>
        <v>1.435</v>
      </c>
      <c r="D6284">
        <f>IFERROR(VLOOKUP($A6284,原始数据_收盘!$A$4:$G$3460,4,0),"")</f>
        <v>1.5225</v>
      </c>
      <c r="E6284">
        <f>IFERROR(VLOOKUP($A6284,原始数据_收盘!$A$4:$G$3460,5,0),"")</f>
        <v>1.4365</v>
      </c>
      <c r="F6284">
        <f>IFERROR(VLOOKUP($A6284,原始数据_收盘!$A$4:$G$3460,6,0),"")</f>
        <v>1.5213</v>
      </c>
      <c r="G6284">
        <f>IFERROR(VLOOKUP($A6284,原始数据_收盘!$A$4:$G$3460,7,0),"")</f>
        <v>1.4357</v>
      </c>
      <c r="H6284">
        <f>IFERROR(VLOOKUP($A6284,原始数据_利率互换_FR007_1年!$A$6:$C$4395,2,0),"")</f>
        <v>1.5235</v>
      </c>
      <c r="I6284">
        <f>IFERROR(VLOOKUP($A6284,原始数据_利率互换_FR007_1年!$A$6:$C$4395,3,0),"")</f>
        <v>1.4368</v>
      </c>
    </row>
    <row r="6285" spans="1:9">
      <c r="A6285" s="6">
        <v>45778</v>
      </c>
      <c r="B6285" t="str">
        <f>IFERROR(VLOOKUP($A6285,原始数据_收盘!$A$4:$G$3460,2,0),"")</f>
        <v/>
      </c>
      <c r="C6285" t="str">
        <f>IFERROR(VLOOKUP($A6285,原始数据_收盘!$A$4:$G$3460,3,0),"")</f>
        <v/>
      </c>
      <c r="D6285" t="str">
        <f>IFERROR(VLOOKUP($A6285,原始数据_收盘!$A$4:$G$3460,4,0),"")</f>
        <v/>
      </c>
      <c r="E6285" t="str">
        <f>IFERROR(VLOOKUP($A6285,原始数据_收盘!$A$4:$G$3460,5,0),"")</f>
        <v/>
      </c>
      <c r="F6285" t="str">
        <f>IFERROR(VLOOKUP($A6285,原始数据_收盘!$A$4:$G$3460,6,0),"")</f>
        <v/>
      </c>
      <c r="G6285" t="str">
        <f>IFERROR(VLOOKUP($A6285,原始数据_收盘!$A$4:$G$3460,7,0),"")</f>
        <v/>
      </c>
      <c r="H6285" t="str">
        <f>IFERROR(VLOOKUP($A6285,原始数据_利率互换_FR007_1年!$A$6:$C$4395,2,0),"")</f>
        <v/>
      </c>
      <c r="I6285" t="str">
        <f>IFERROR(VLOOKUP($A6285,原始数据_利率互换_FR007_1年!$A$6:$C$4395,3,0),"")</f>
        <v/>
      </c>
    </row>
    <row r="6286" spans="1:9">
      <c r="A6286" s="6">
        <v>45779</v>
      </c>
      <c r="B6286" t="str">
        <f>IFERROR(VLOOKUP($A6286,原始数据_收盘!$A$4:$G$3460,2,0),"")</f>
        <v/>
      </c>
      <c r="C6286" t="str">
        <f>IFERROR(VLOOKUP($A6286,原始数据_收盘!$A$4:$G$3460,3,0),"")</f>
        <v/>
      </c>
      <c r="D6286" t="str">
        <f>IFERROR(VLOOKUP($A6286,原始数据_收盘!$A$4:$G$3460,4,0),"")</f>
        <v/>
      </c>
      <c r="E6286" t="str">
        <f>IFERROR(VLOOKUP($A6286,原始数据_收盘!$A$4:$G$3460,5,0),"")</f>
        <v/>
      </c>
      <c r="F6286" t="str">
        <f>IFERROR(VLOOKUP($A6286,原始数据_收盘!$A$4:$G$3460,6,0),"")</f>
        <v/>
      </c>
      <c r="G6286" t="str">
        <f>IFERROR(VLOOKUP($A6286,原始数据_收盘!$A$4:$G$3460,7,0),"")</f>
        <v/>
      </c>
      <c r="H6286" t="str">
        <f>IFERROR(VLOOKUP($A6286,原始数据_利率互换_FR007_1年!$A$6:$C$4395,2,0),"")</f>
        <v/>
      </c>
      <c r="I6286" t="str">
        <f>IFERROR(VLOOKUP($A6286,原始数据_利率互换_FR007_1年!$A$6:$C$4395,3,0),"")</f>
        <v/>
      </c>
    </row>
    <row r="6287" spans="1:9">
      <c r="A6287" s="6">
        <v>45780</v>
      </c>
      <c r="B6287" t="str">
        <f>IFERROR(VLOOKUP($A6287,原始数据_收盘!$A$4:$G$3460,2,0),"")</f>
        <v/>
      </c>
      <c r="C6287" t="str">
        <f>IFERROR(VLOOKUP($A6287,原始数据_收盘!$A$4:$G$3460,3,0),"")</f>
        <v/>
      </c>
      <c r="D6287" t="str">
        <f>IFERROR(VLOOKUP($A6287,原始数据_收盘!$A$4:$G$3460,4,0),"")</f>
        <v/>
      </c>
      <c r="E6287" t="str">
        <f>IFERROR(VLOOKUP($A6287,原始数据_收盘!$A$4:$G$3460,5,0),"")</f>
        <v/>
      </c>
      <c r="F6287" t="str">
        <f>IFERROR(VLOOKUP($A6287,原始数据_收盘!$A$4:$G$3460,6,0),"")</f>
        <v/>
      </c>
      <c r="G6287" t="str">
        <f>IFERROR(VLOOKUP($A6287,原始数据_收盘!$A$4:$G$3460,7,0),"")</f>
        <v/>
      </c>
      <c r="H6287" t="str">
        <f>IFERROR(VLOOKUP($A6287,原始数据_利率互换_FR007_1年!$A$6:$C$4395,2,0),"")</f>
        <v/>
      </c>
      <c r="I6287" t="str">
        <f>IFERROR(VLOOKUP($A6287,原始数据_利率互换_FR007_1年!$A$6:$C$4395,3,0),"")</f>
        <v/>
      </c>
    </row>
    <row r="6288" spans="1:9">
      <c r="A6288" s="6">
        <v>45781</v>
      </c>
      <c r="B6288" t="str">
        <f>IFERROR(VLOOKUP($A6288,原始数据_收盘!$A$4:$G$3460,2,0),"")</f>
        <v/>
      </c>
      <c r="C6288" t="str">
        <f>IFERROR(VLOOKUP($A6288,原始数据_收盘!$A$4:$G$3460,3,0),"")</f>
        <v/>
      </c>
      <c r="D6288" t="str">
        <f>IFERROR(VLOOKUP($A6288,原始数据_收盘!$A$4:$G$3460,4,0),"")</f>
        <v/>
      </c>
      <c r="E6288" t="str">
        <f>IFERROR(VLOOKUP($A6288,原始数据_收盘!$A$4:$G$3460,5,0),"")</f>
        <v/>
      </c>
      <c r="F6288" t="str">
        <f>IFERROR(VLOOKUP($A6288,原始数据_收盘!$A$4:$G$3460,6,0),"")</f>
        <v/>
      </c>
      <c r="G6288" t="str">
        <f>IFERROR(VLOOKUP($A6288,原始数据_收盘!$A$4:$G$3460,7,0),"")</f>
        <v/>
      </c>
      <c r="H6288" t="str">
        <f>IFERROR(VLOOKUP($A6288,原始数据_利率互换_FR007_1年!$A$6:$C$4395,2,0),"")</f>
        <v/>
      </c>
      <c r="I6288" t="str">
        <f>IFERROR(VLOOKUP($A6288,原始数据_利率互换_FR007_1年!$A$6:$C$4395,3,0),"")</f>
        <v/>
      </c>
    </row>
    <row r="6289" spans="1:9">
      <c r="A6289" s="6">
        <v>45782</v>
      </c>
      <c r="B6289" t="str">
        <f>IFERROR(VLOOKUP($A6289,原始数据_收盘!$A$4:$G$3460,2,0),"")</f>
        <v/>
      </c>
      <c r="C6289" t="str">
        <f>IFERROR(VLOOKUP($A6289,原始数据_收盘!$A$4:$G$3460,3,0),"")</f>
        <v/>
      </c>
      <c r="D6289" t="str">
        <f>IFERROR(VLOOKUP($A6289,原始数据_收盘!$A$4:$G$3460,4,0),"")</f>
        <v/>
      </c>
      <c r="E6289" t="str">
        <f>IFERROR(VLOOKUP($A6289,原始数据_收盘!$A$4:$G$3460,5,0),"")</f>
        <v/>
      </c>
      <c r="F6289" t="str">
        <f>IFERROR(VLOOKUP($A6289,原始数据_收盘!$A$4:$G$3460,6,0),"")</f>
        <v/>
      </c>
      <c r="G6289" t="str">
        <f>IFERROR(VLOOKUP($A6289,原始数据_收盘!$A$4:$G$3460,7,0),"")</f>
        <v/>
      </c>
      <c r="H6289" t="str">
        <f>IFERROR(VLOOKUP($A6289,原始数据_利率互换_FR007_1年!$A$6:$C$4395,2,0),"")</f>
        <v/>
      </c>
      <c r="I6289" t="str">
        <f>IFERROR(VLOOKUP($A6289,原始数据_利率互换_FR007_1年!$A$6:$C$4395,3,0),"")</f>
        <v/>
      </c>
    </row>
    <row r="6290" spans="1:9">
      <c r="A6290" s="6">
        <v>45783</v>
      </c>
      <c r="B6290">
        <f>IFERROR(VLOOKUP($A6290,原始数据_收盘!$A$4:$G$3460,2,0),"")</f>
        <v>1.5297</v>
      </c>
      <c r="C6290">
        <f>IFERROR(VLOOKUP($A6290,原始数据_收盘!$A$4:$G$3460,3,0),"")</f>
        <v>1.445</v>
      </c>
      <c r="D6290">
        <f>IFERROR(VLOOKUP($A6290,原始数据_收盘!$A$4:$G$3460,4,0),"")</f>
        <v>1.5323</v>
      </c>
      <c r="E6290">
        <f>IFERROR(VLOOKUP($A6290,原始数据_收盘!$A$4:$G$3460,5,0),"")</f>
        <v>1.4475</v>
      </c>
      <c r="F6290">
        <f>IFERROR(VLOOKUP($A6290,原始数据_收盘!$A$4:$G$3460,6,0),"")</f>
        <v>1.531</v>
      </c>
      <c r="G6290">
        <f>IFERROR(VLOOKUP($A6290,原始数据_收盘!$A$4:$G$3460,7,0),"")</f>
        <v>1.4463</v>
      </c>
      <c r="H6290">
        <f>IFERROR(VLOOKUP($A6290,原始数据_利率互换_FR007_1年!$A$6:$C$4395,2,0),"")</f>
        <v>1.5281</v>
      </c>
      <c r="I6290">
        <f>IFERROR(VLOOKUP($A6290,原始数据_利率互换_FR007_1年!$A$6:$C$4395,3,0),"")</f>
        <v>1.4446</v>
      </c>
    </row>
    <row r="6291" spans="1:9">
      <c r="A6291" s="6">
        <v>45784</v>
      </c>
      <c r="B6291">
        <f>IFERROR(VLOOKUP($A6291,原始数据_收盘!$A$4:$G$3460,2,0),"")</f>
        <v>1.5225</v>
      </c>
      <c r="C6291">
        <f>IFERROR(VLOOKUP($A6291,原始数据_收盘!$A$4:$G$3460,3,0),"")</f>
        <v>1.455</v>
      </c>
      <c r="D6291">
        <f>IFERROR(VLOOKUP($A6291,原始数据_收盘!$A$4:$G$3460,4,0),"")</f>
        <v>1.525</v>
      </c>
      <c r="E6291">
        <f>IFERROR(VLOOKUP($A6291,原始数据_收盘!$A$4:$G$3460,5,0),"")</f>
        <v>1.4575</v>
      </c>
      <c r="F6291">
        <f>IFERROR(VLOOKUP($A6291,原始数据_收盘!$A$4:$G$3460,6,0),"")</f>
        <v>1.5238</v>
      </c>
      <c r="G6291">
        <f>IFERROR(VLOOKUP($A6291,原始数据_收盘!$A$4:$G$3460,7,0),"")</f>
        <v>1.4563</v>
      </c>
      <c r="H6291">
        <f>IFERROR(VLOOKUP($A6291,原始数据_利率互换_FR007_1年!$A$6:$C$4395,2,0),"")</f>
        <v>1.515</v>
      </c>
      <c r="I6291">
        <f>IFERROR(VLOOKUP($A6291,原始数据_利率互换_FR007_1年!$A$6:$C$4395,3,0),"")</f>
        <v>1.4452</v>
      </c>
    </row>
    <row r="6292" spans="1:9">
      <c r="A6292" s="6">
        <v>45785</v>
      </c>
      <c r="B6292">
        <f>IFERROR(VLOOKUP($A6292,原始数据_收盘!$A$4:$G$3460,2,0),"")</f>
        <v>1.49</v>
      </c>
      <c r="C6292">
        <f>IFERROR(VLOOKUP($A6292,原始数据_收盘!$A$4:$G$3460,3,0),"")</f>
        <v>1.43</v>
      </c>
      <c r="D6292">
        <f>IFERROR(VLOOKUP($A6292,原始数据_收盘!$A$4:$G$3460,4,0),"")</f>
        <v>1.4925</v>
      </c>
      <c r="E6292">
        <f>IFERROR(VLOOKUP($A6292,原始数据_收盘!$A$4:$G$3460,5,0),"")</f>
        <v>1.4325</v>
      </c>
      <c r="F6292">
        <f>IFERROR(VLOOKUP($A6292,原始数据_收盘!$A$4:$G$3460,6,0),"")</f>
        <v>1.4913</v>
      </c>
      <c r="G6292">
        <f>IFERROR(VLOOKUP($A6292,原始数据_收盘!$A$4:$G$3460,7,0),"")</f>
        <v>1.4313</v>
      </c>
      <c r="H6292">
        <f>IFERROR(VLOOKUP($A6292,原始数据_利率互换_FR007_1年!$A$6:$C$4395,2,0),"")</f>
        <v>1.4905</v>
      </c>
      <c r="I6292">
        <f>IFERROR(VLOOKUP($A6292,原始数据_利率互换_FR007_1年!$A$6:$C$4395,3,0),"")</f>
        <v>1.4321</v>
      </c>
    </row>
    <row r="6293" spans="1:9">
      <c r="A6293" s="6">
        <v>45786</v>
      </c>
      <c r="B6293">
        <f>IFERROR(VLOOKUP($A6293,原始数据_收盘!$A$4:$G$3460,2,0),"")</f>
        <v>1.4925</v>
      </c>
      <c r="C6293">
        <f>IFERROR(VLOOKUP($A6293,原始数据_收盘!$A$4:$G$3460,3,0),"")</f>
        <v>1.4325</v>
      </c>
      <c r="D6293">
        <f>IFERROR(VLOOKUP($A6293,原始数据_收盘!$A$4:$G$3460,4,0),"")</f>
        <v>1.495</v>
      </c>
      <c r="E6293">
        <f>IFERROR(VLOOKUP($A6293,原始数据_收盘!$A$4:$G$3460,5,0),"")</f>
        <v>1.435</v>
      </c>
      <c r="F6293">
        <f>IFERROR(VLOOKUP($A6293,原始数据_收盘!$A$4:$G$3460,6,0),"")</f>
        <v>1.4938</v>
      </c>
      <c r="G6293">
        <f>IFERROR(VLOOKUP($A6293,原始数据_收盘!$A$4:$G$3460,7,0),"")</f>
        <v>1.4338</v>
      </c>
      <c r="H6293">
        <f>IFERROR(VLOOKUP($A6293,原始数据_利率互换_FR007_1年!$A$6:$C$4395,2,0),"")</f>
        <v>1.4846</v>
      </c>
      <c r="I6293">
        <f>IFERROR(VLOOKUP($A6293,原始数据_利率互换_FR007_1年!$A$6:$C$4395,3,0),"")</f>
        <v>1.4265</v>
      </c>
    </row>
    <row r="6294" spans="1:9">
      <c r="A6294" s="6">
        <v>45787</v>
      </c>
      <c r="B6294" t="str">
        <f>IFERROR(VLOOKUP($A6294,原始数据_收盘!$A$4:$G$3460,2,0),"")</f>
        <v/>
      </c>
      <c r="C6294" t="str">
        <f>IFERROR(VLOOKUP($A6294,原始数据_收盘!$A$4:$G$3460,3,0),"")</f>
        <v/>
      </c>
      <c r="D6294" t="str">
        <f>IFERROR(VLOOKUP($A6294,原始数据_收盘!$A$4:$G$3460,4,0),"")</f>
        <v/>
      </c>
      <c r="E6294" t="str">
        <f>IFERROR(VLOOKUP($A6294,原始数据_收盘!$A$4:$G$3460,5,0),"")</f>
        <v/>
      </c>
      <c r="F6294" t="str">
        <f>IFERROR(VLOOKUP($A6294,原始数据_收盘!$A$4:$G$3460,6,0),"")</f>
        <v/>
      </c>
      <c r="G6294" t="str">
        <f>IFERROR(VLOOKUP($A6294,原始数据_收盘!$A$4:$G$3460,7,0),"")</f>
        <v/>
      </c>
      <c r="H6294" t="str">
        <f>IFERROR(VLOOKUP($A6294,原始数据_利率互换_FR007_1年!$A$6:$C$4395,2,0),"")</f>
        <v/>
      </c>
      <c r="I6294" t="str">
        <f>IFERROR(VLOOKUP($A6294,原始数据_利率互换_FR007_1年!$A$6:$C$4395,3,0),"")</f>
        <v/>
      </c>
    </row>
    <row r="6295" spans="1:9">
      <c r="A6295" s="6">
        <v>45788</v>
      </c>
      <c r="B6295" t="str">
        <f>IFERROR(VLOOKUP($A6295,原始数据_收盘!$A$4:$G$3460,2,0),"")</f>
        <v/>
      </c>
      <c r="C6295" t="str">
        <f>IFERROR(VLOOKUP($A6295,原始数据_收盘!$A$4:$G$3460,3,0),"")</f>
        <v/>
      </c>
      <c r="D6295" t="str">
        <f>IFERROR(VLOOKUP($A6295,原始数据_收盘!$A$4:$G$3460,4,0),"")</f>
        <v/>
      </c>
      <c r="E6295" t="str">
        <f>IFERROR(VLOOKUP($A6295,原始数据_收盘!$A$4:$G$3460,5,0),"")</f>
        <v/>
      </c>
      <c r="F6295" t="str">
        <f>IFERROR(VLOOKUP($A6295,原始数据_收盘!$A$4:$G$3460,6,0),"")</f>
        <v/>
      </c>
      <c r="G6295" t="str">
        <f>IFERROR(VLOOKUP($A6295,原始数据_收盘!$A$4:$G$3460,7,0),"")</f>
        <v/>
      </c>
      <c r="H6295" t="str">
        <f>IFERROR(VLOOKUP($A6295,原始数据_利率互换_FR007_1年!$A$6:$C$4395,2,0),"")</f>
        <v/>
      </c>
      <c r="I6295" t="str">
        <f>IFERROR(VLOOKUP($A6295,原始数据_利率互换_FR007_1年!$A$6:$C$4395,3,0),"")</f>
        <v/>
      </c>
    </row>
    <row r="6296" spans="1:9">
      <c r="A6296" s="6">
        <v>45789</v>
      </c>
      <c r="B6296">
        <f>IFERROR(VLOOKUP($A6296,原始数据_收盘!$A$4:$G$3460,2,0),"")</f>
        <v>1.5034</v>
      </c>
      <c r="C6296">
        <f>IFERROR(VLOOKUP($A6296,原始数据_收盘!$A$4:$G$3460,3,0),"")</f>
        <v>1.485</v>
      </c>
      <c r="D6296">
        <f>IFERROR(VLOOKUP($A6296,原始数据_收盘!$A$4:$G$3460,4,0),"")</f>
        <v>1.5075</v>
      </c>
      <c r="E6296">
        <f>IFERROR(VLOOKUP($A6296,原始数据_收盘!$A$4:$G$3460,5,0),"")</f>
        <v>1.4875</v>
      </c>
      <c r="F6296">
        <f>IFERROR(VLOOKUP($A6296,原始数据_收盘!$A$4:$G$3460,6,0),"")</f>
        <v>1.5054</v>
      </c>
      <c r="G6296">
        <f>IFERROR(VLOOKUP($A6296,原始数据_收盘!$A$4:$G$3460,7,0),"")</f>
        <v>1.4863</v>
      </c>
      <c r="H6296">
        <f>IFERROR(VLOOKUP($A6296,原始数据_利率互换_FR007_1年!$A$6:$C$4395,2,0),"")</f>
        <v>1.4938</v>
      </c>
      <c r="I6296">
        <f>IFERROR(VLOOKUP($A6296,原始数据_利率互换_FR007_1年!$A$6:$C$4395,3,0),"")</f>
        <v>1.4592</v>
      </c>
    </row>
    <row r="6297" spans="1:9">
      <c r="A6297" s="6">
        <v>45790</v>
      </c>
      <c r="B6297">
        <f>IFERROR(VLOOKUP($A6297,原始数据_收盘!$A$4:$G$3460,2,0),"")</f>
        <v>1.5009</v>
      </c>
      <c r="C6297">
        <f>IFERROR(VLOOKUP($A6297,原始数据_收盘!$A$4:$G$3460,3,0),"")</f>
        <v>1.47</v>
      </c>
      <c r="D6297">
        <f>IFERROR(VLOOKUP($A6297,原始数据_收盘!$A$4:$G$3460,4,0),"")</f>
        <v>1.5034</v>
      </c>
      <c r="E6297">
        <f>IFERROR(VLOOKUP($A6297,原始数据_收盘!$A$4:$G$3460,5,0),"")</f>
        <v>1.4725</v>
      </c>
      <c r="F6297">
        <f>IFERROR(VLOOKUP($A6297,原始数据_收盘!$A$4:$G$3460,6,0),"")</f>
        <v>1.5021</v>
      </c>
      <c r="G6297">
        <f>IFERROR(VLOOKUP($A6297,原始数据_收盘!$A$4:$G$3460,7,0),"")</f>
        <v>1.4713</v>
      </c>
      <c r="H6297">
        <f>IFERROR(VLOOKUP($A6297,原始数据_利率互换_FR007_1年!$A$6:$C$4395,2,0),"")</f>
        <v>1.4992</v>
      </c>
      <c r="I6297">
        <f>IFERROR(VLOOKUP($A6297,原始数据_利率互换_FR007_1年!$A$6:$C$4395,3,0),"")</f>
        <v>1.477</v>
      </c>
    </row>
    <row r="6298" spans="1:9">
      <c r="A6298" s="6">
        <v>45791</v>
      </c>
      <c r="B6298">
        <f>IFERROR(VLOOKUP($A6298,原始数据_收盘!$A$4:$G$3460,2,0),"")</f>
        <v>1.5247</v>
      </c>
      <c r="C6298">
        <f>IFERROR(VLOOKUP($A6298,原始数据_收盘!$A$4:$G$3460,3,0),"")</f>
        <v>1.4925</v>
      </c>
      <c r="D6298">
        <f>IFERROR(VLOOKUP($A6298,原始数据_收盘!$A$4:$G$3460,4,0),"")</f>
        <v>1.5275</v>
      </c>
      <c r="E6298">
        <f>IFERROR(VLOOKUP($A6298,原始数据_收盘!$A$4:$G$3460,5,0),"")</f>
        <v>1.4955</v>
      </c>
      <c r="F6298">
        <f>IFERROR(VLOOKUP($A6298,原始数据_收盘!$A$4:$G$3460,6,0),"")</f>
        <v>1.5261</v>
      </c>
      <c r="G6298">
        <f>IFERROR(VLOOKUP($A6298,原始数据_收盘!$A$4:$G$3460,7,0),"")</f>
        <v>1.494</v>
      </c>
      <c r="H6298">
        <f>IFERROR(VLOOKUP($A6298,原始数据_利率互换_FR007_1年!$A$6:$C$4395,2,0),"")</f>
        <v>1.5189</v>
      </c>
      <c r="I6298">
        <f>IFERROR(VLOOKUP($A6298,原始数据_利率互换_FR007_1年!$A$6:$C$4395,3,0),"")</f>
        <v>1.4898</v>
      </c>
    </row>
    <row r="6299" spans="1:9">
      <c r="A6299" s="6">
        <v>45792</v>
      </c>
      <c r="B6299">
        <f>IFERROR(VLOOKUP($A6299,原始数据_收盘!$A$4:$G$3460,2,0),"")</f>
        <v>1.5518</v>
      </c>
      <c r="C6299">
        <f>IFERROR(VLOOKUP($A6299,原始数据_收盘!$A$4:$G$3460,3,0),"")</f>
        <v>1.5186</v>
      </c>
      <c r="D6299">
        <f>IFERROR(VLOOKUP($A6299,原始数据_收盘!$A$4:$G$3460,4,0),"")</f>
        <v>1.555</v>
      </c>
      <c r="E6299">
        <f>IFERROR(VLOOKUP($A6299,原始数据_收盘!$A$4:$G$3460,5,0),"")</f>
        <v>1.5208</v>
      </c>
      <c r="F6299">
        <f>IFERROR(VLOOKUP($A6299,原始数据_收盘!$A$4:$G$3460,6,0),"")</f>
        <v>1.5534</v>
      </c>
      <c r="G6299">
        <f>IFERROR(VLOOKUP($A6299,原始数据_收盘!$A$4:$G$3460,7,0),"")</f>
        <v>1.5197</v>
      </c>
      <c r="H6299">
        <f>IFERROR(VLOOKUP($A6299,原始数据_利率互换_FR007_1年!$A$6:$C$4395,2,0),"")</f>
        <v>1.5383</v>
      </c>
      <c r="I6299">
        <f>IFERROR(VLOOKUP($A6299,原始数据_利率互换_FR007_1年!$A$6:$C$4395,3,0),"")</f>
        <v>1.5023</v>
      </c>
    </row>
    <row r="6300" spans="1:9">
      <c r="A6300" s="6">
        <v>45793</v>
      </c>
      <c r="B6300">
        <f>IFERROR(VLOOKUP($A6300,原始数据_收盘!$A$4:$G$3460,2,0),"")</f>
        <v>1.565</v>
      </c>
      <c r="C6300">
        <f>IFERROR(VLOOKUP($A6300,原始数据_收盘!$A$4:$G$3460,3,0),"")</f>
        <v>1.5175</v>
      </c>
      <c r="D6300">
        <f>IFERROR(VLOOKUP($A6300,原始数据_收盘!$A$4:$G$3460,4,0),"")</f>
        <v>1.5675</v>
      </c>
      <c r="E6300">
        <f>IFERROR(VLOOKUP($A6300,原始数据_收盘!$A$4:$G$3460,5,0),"")</f>
        <v>1.5193</v>
      </c>
      <c r="F6300">
        <f>IFERROR(VLOOKUP($A6300,原始数据_收盘!$A$4:$G$3460,6,0),"")</f>
        <v>1.5663</v>
      </c>
      <c r="G6300">
        <f>IFERROR(VLOOKUP($A6300,原始数据_收盘!$A$4:$G$3460,7,0),"")</f>
        <v>1.5184</v>
      </c>
      <c r="H6300">
        <f>IFERROR(VLOOKUP($A6300,原始数据_利率互换_FR007_1年!$A$6:$C$4395,2,0),"")</f>
        <v>1.572</v>
      </c>
      <c r="I6300">
        <f>IFERROR(VLOOKUP($A6300,原始数据_利率互换_FR007_1年!$A$6:$C$4395,3,0),"")</f>
        <v>1.5276</v>
      </c>
    </row>
    <row r="6301" spans="1:9">
      <c r="A6301" s="6">
        <v>45794</v>
      </c>
      <c r="B6301" t="str">
        <f>IFERROR(VLOOKUP($A6301,原始数据_收盘!$A$4:$G$3460,2,0),"")</f>
        <v/>
      </c>
      <c r="C6301" t="str">
        <f>IFERROR(VLOOKUP($A6301,原始数据_收盘!$A$4:$G$3460,3,0),"")</f>
        <v/>
      </c>
      <c r="D6301" t="str">
        <f>IFERROR(VLOOKUP($A6301,原始数据_收盘!$A$4:$G$3460,4,0),"")</f>
        <v/>
      </c>
      <c r="E6301" t="str">
        <f>IFERROR(VLOOKUP($A6301,原始数据_收盘!$A$4:$G$3460,5,0),"")</f>
        <v/>
      </c>
      <c r="F6301" t="str">
        <f>IFERROR(VLOOKUP($A6301,原始数据_收盘!$A$4:$G$3460,6,0),"")</f>
        <v/>
      </c>
      <c r="G6301" t="str">
        <f>IFERROR(VLOOKUP($A6301,原始数据_收盘!$A$4:$G$3460,7,0),"")</f>
        <v/>
      </c>
      <c r="H6301" t="str">
        <f>IFERROR(VLOOKUP($A6301,原始数据_利率互换_FR007_1年!$A$6:$C$4395,2,0),"")</f>
        <v/>
      </c>
      <c r="I6301" t="str">
        <f>IFERROR(VLOOKUP($A6301,原始数据_利率互换_FR007_1年!$A$6:$C$4395,3,0),"")</f>
        <v/>
      </c>
    </row>
    <row r="6302" spans="1:9">
      <c r="A6302" s="6">
        <v>45795</v>
      </c>
      <c r="B6302" t="str">
        <f>IFERROR(VLOOKUP($A6302,原始数据_收盘!$A$4:$G$3460,2,0),"")</f>
        <v/>
      </c>
      <c r="C6302" t="str">
        <f>IFERROR(VLOOKUP($A6302,原始数据_收盘!$A$4:$G$3460,3,0),"")</f>
        <v/>
      </c>
      <c r="D6302" t="str">
        <f>IFERROR(VLOOKUP($A6302,原始数据_收盘!$A$4:$G$3460,4,0),"")</f>
        <v/>
      </c>
      <c r="E6302" t="str">
        <f>IFERROR(VLOOKUP($A6302,原始数据_收盘!$A$4:$G$3460,5,0),"")</f>
        <v/>
      </c>
      <c r="F6302" t="str">
        <f>IFERROR(VLOOKUP($A6302,原始数据_收盘!$A$4:$G$3460,6,0),"")</f>
        <v/>
      </c>
      <c r="G6302" t="str">
        <f>IFERROR(VLOOKUP($A6302,原始数据_收盘!$A$4:$G$3460,7,0),"")</f>
        <v/>
      </c>
      <c r="H6302" t="str">
        <f>IFERROR(VLOOKUP($A6302,原始数据_利率互换_FR007_1年!$A$6:$C$4395,2,0),"")</f>
        <v/>
      </c>
      <c r="I6302" t="str">
        <f>IFERROR(VLOOKUP($A6302,原始数据_利率互换_FR007_1年!$A$6:$C$4395,3,0),"")</f>
        <v/>
      </c>
    </row>
    <row r="6303" spans="1:9">
      <c r="A6303" s="6">
        <v>45796</v>
      </c>
      <c r="B6303">
        <f>IFERROR(VLOOKUP($A6303,原始数据_收盘!$A$4:$G$3460,2,0),"")</f>
        <v>1.555</v>
      </c>
      <c r="C6303">
        <f>IFERROR(VLOOKUP($A6303,原始数据_收盘!$A$4:$G$3460,3,0),"")</f>
        <v>1.49</v>
      </c>
      <c r="D6303">
        <f>IFERROR(VLOOKUP($A6303,原始数据_收盘!$A$4:$G$3460,4,0),"")</f>
        <v>1.56</v>
      </c>
      <c r="E6303">
        <f>IFERROR(VLOOKUP($A6303,原始数据_收盘!$A$4:$G$3460,5,0),"")</f>
        <v>1.4925</v>
      </c>
      <c r="F6303">
        <f>IFERROR(VLOOKUP($A6303,原始数据_收盘!$A$4:$G$3460,6,0),"")</f>
        <v>1.5575</v>
      </c>
      <c r="G6303">
        <f>IFERROR(VLOOKUP($A6303,原始数据_收盘!$A$4:$G$3460,7,0),"")</f>
        <v>1.4913</v>
      </c>
      <c r="H6303">
        <f>IFERROR(VLOOKUP($A6303,原始数据_利率互换_FR007_1年!$A$6:$C$4395,2,0),"")</f>
        <v>1.5555</v>
      </c>
      <c r="I6303">
        <f>IFERROR(VLOOKUP($A6303,原始数据_利率互换_FR007_1年!$A$6:$C$4395,3,0),"")</f>
        <v>1.4943</v>
      </c>
    </row>
    <row r="6304" spans="1:9">
      <c r="A6304" s="6">
        <v>45797</v>
      </c>
      <c r="B6304">
        <f>IFERROR(VLOOKUP($A6304,原始数据_收盘!$A$4:$G$3460,2,0),"")</f>
        <v>1.5624</v>
      </c>
      <c r="C6304">
        <f>IFERROR(VLOOKUP($A6304,原始数据_收盘!$A$4:$G$3460,3,0),"")</f>
        <v>1.5025</v>
      </c>
      <c r="D6304">
        <f>IFERROR(VLOOKUP($A6304,原始数据_收盘!$A$4:$G$3460,4,0),"")</f>
        <v>1.565</v>
      </c>
      <c r="E6304">
        <f>IFERROR(VLOOKUP($A6304,原始数据_收盘!$A$4:$G$3460,5,0),"")</f>
        <v>1.505</v>
      </c>
      <c r="F6304">
        <f>IFERROR(VLOOKUP($A6304,原始数据_收盘!$A$4:$G$3460,6,0),"")</f>
        <v>1.5637</v>
      </c>
      <c r="G6304">
        <f>IFERROR(VLOOKUP($A6304,原始数据_收盘!$A$4:$G$3460,7,0),"")</f>
        <v>1.5038</v>
      </c>
      <c r="H6304">
        <f>IFERROR(VLOOKUP($A6304,原始数据_利率互换_FR007_1年!$A$6:$C$4395,2,0),"")</f>
        <v>1.5552</v>
      </c>
      <c r="I6304">
        <f>IFERROR(VLOOKUP($A6304,原始数据_利率互换_FR007_1年!$A$6:$C$4395,3,0),"")</f>
        <v>1.4991</v>
      </c>
    </row>
    <row r="6305" spans="1:9">
      <c r="A6305" s="6">
        <v>45798</v>
      </c>
      <c r="B6305">
        <f>IFERROR(VLOOKUP($A6305,原始数据_收盘!$A$4:$G$3460,2,0),"")</f>
        <v>1.5563</v>
      </c>
      <c r="C6305">
        <f>IFERROR(VLOOKUP($A6305,原始数据_收盘!$A$4:$G$3460,3,0),"")</f>
        <v>1.505</v>
      </c>
      <c r="D6305">
        <f>IFERROR(VLOOKUP($A6305,原始数据_收盘!$A$4:$G$3460,4,0),"")</f>
        <v>1.5601</v>
      </c>
      <c r="E6305">
        <f>IFERROR(VLOOKUP($A6305,原始数据_收盘!$A$4:$G$3460,5,0),"")</f>
        <v>1.5075</v>
      </c>
      <c r="F6305">
        <f>IFERROR(VLOOKUP($A6305,原始数据_收盘!$A$4:$G$3460,6,0),"")</f>
        <v>1.5582</v>
      </c>
      <c r="G6305">
        <f>IFERROR(VLOOKUP($A6305,原始数据_收盘!$A$4:$G$3460,7,0),"")</f>
        <v>1.5063</v>
      </c>
      <c r="H6305">
        <f>IFERROR(VLOOKUP($A6305,原始数据_利率互换_FR007_1年!$A$6:$C$4395,2,0),"")</f>
        <v>1.5581</v>
      </c>
      <c r="I6305">
        <f>IFERROR(VLOOKUP($A6305,原始数据_利率互换_FR007_1年!$A$6:$C$4395,3,0),"")</f>
        <v>1.5043</v>
      </c>
    </row>
    <row r="6306" spans="1:9">
      <c r="A6306" s="6">
        <v>45799</v>
      </c>
      <c r="B6306">
        <f>IFERROR(VLOOKUP($A6306,原始数据_收盘!$A$4:$G$3460,2,0),"")</f>
        <v>1.55</v>
      </c>
      <c r="C6306">
        <f>IFERROR(VLOOKUP($A6306,原始数据_收盘!$A$4:$G$3460,3,0),"")</f>
        <v>1.5</v>
      </c>
      <c r="D6306">
        <f>IFERROR(VLOOKUP($A6306,原始数据_收盘!$A$4:$G$3460,4,0),"")</f>
        <v>1.5525</v>
      </c>
      <c r="E6306">
        <f>IFERROR(VLOOKUP($A6306,原始数据_收盘!$A$4:$G$3460,5,0),"")</f>
        <v>1.5025</v>
      </c>
      <c r="F6306">
        <f>IFERROR(VLOOKUP($A6306,原始数据_收盘!$A$4:$G$3460,6,0),"")</f>
        <v>1.5513</v>
      </c>
      <c r="G6306">
        <f>IFERROR(VLOOKUP($A6306,原始数据_收盘!$A$4:$G$3460,7,0),"")</f>
        <v>1.5013</v>
      </c>
      <c r="H6306">
        <f>IFERROR(VLOOKUP($A6306,原始数据_利率互换_FR007_1年!$A$6:$C$4395,2,0),"")</f>
        <v>1.5501</v>
      </c>
      <c r="I6306">
        <f>IFERROR(VLOOKUP($A6306,原始数据_利率互换_FR007_1年!$A$6:$C$4395,3,0),"")</f>
        <v>1.4994</v>
      </c>
    </row>
    <row r="6307" spans="1:9">
      <c r="A6307" s="6">
        <v>45800</v>
      </c>
      <c r="B6307">
        <f>IFERROR(VLOOKUP($A6307,原始数据_收盘!$A$4:$G$3460,2,0),"")</f>
        <v>1.555</v>
      </c>
      <c r="C6307">
        <f>IFERROR(VLOOKUP($A6307,原始数据_收盘!$A$4:$G$3460,3,0),"")</f>
        <v>1.5025</v>
      </c>
      <c r="D6307">
        <f>IFERROR(VLOOKUP($A6307,原始数据_收盘!$A$4:$G$3460,4,0),"")</f>
        <v>1.5575</v>
      </c>
      <c r="E6307">
        <f>IFERROR(VLOOKUP($A6307,原始数据_收盘!$A$4:$G$3460,5,0),"")</f>
        <v>1.505</v>
      </c>
      <c r="F6307">
        <f>IFERROR(VLOOKUP($A6307,原始数据_收盘!$A$4:$G$3460,6,0),"")</f>
        <v>1.5563</v>
      </c>
      <c r="G6307">
        <f>IFERROR(VLOOKUP($A6307,原始数据_收盘!$A$4:$G$3460,7,0),"")</f>
        <v>1.5038</v>
      </c>
      <c r="H6307">
        <f>IFERROR(VLOOKUP($A6307,原始数据_利率互换_FR007_1年!$A$6:$C$4395,2,0),"")</f>
        <v>1.5575</v>
      </c>
      <c r="I6307">
        <f>IFERROR(VLOOKUP($A6307,原始数据_利率互换_FR007_1年!$A$6:$C$4395,3,0),"")</f>
        <v>1.5057</v>
      </c>
    </row>
    <row r="6308" spans="1:9">
      <c r="A6308" s="6">
        <v>45801</v>
      </c>
      <c r="B6308" t="str">
        <f>IFERROR(VLOOKUP($A6308,原始数据_收盘!$A$4:$G$3460,2,0),"")</f>
        <v/>
      </c>
      <c r="C6308" t="str">
        <f>IFERROR(VLOOKUP($A6308,原始数据_收盘!$A$4:$G$3460,3,0),"")</f>
        <v/>
      </c>
      <c r="D6308" t="str">
        <f>IFERROR(VLOOKUP($A6308,原始数据_收盘!$A$4:$G$3460,4,0),"")</f>
        <v/>
      </c>
      <c r="E6308" t="str">
        <f>IFERROR(VLOOKUP($A6308,原始数据_收盘!$A$4:$G$3460,5,0),"")</f>
        <v/>
      </c>
      <c r="F6308" t="str">
        <f>IFERROR(VLOOKUP($A6308,原始数据_收盘!$A$4:$G$3460,6,0),"")</f>
        <v/>
      </c>
      <c r="G6308" t="str">
        <f>IFERROR(VLOOKUP($A6308,原始数据_收盘!$A$4:$G$3460,7,0),"")</f>
        <v/>
      </c>
      <c r="H6308" t="str">
        <f>IFERROR(VLOOKUP($A6308,原始数据_利率互换_FR007_1年!$A$6:$C$4395,2,0),"")</f>
        <v/>
      </c>
      <c r="I6308" t="str">
        <f>IFERROR(VLOOKUP($A6308,原始数据_利率互换_FR007_1年!$A$6:$C$4395,3,0),"")</f>
        <v/>
      </c>
    </row>
    <row r="6309" spans="1:9">
      <c r="A6309" s="6">
        <v>45802</v>
      </c>
      <c r="B6309" t="str">
        <f>IFERROR(VLOOKUP($A6309,原始数据_收盘!$A$4:$G$3460,2,0),"")</f>
        <v/>
      </c>
      <c r="C6309" t="str">
        <f>IFERROR(VLOOKUP($A6309,原始数据_收盘!$A$4:$G$3460,3,0),"")</f>
        <v/>
      </c>
      <c r="D6309" t="str">
        <f>IFERROR(VLOOKUP($A6309,原始数据_收盘!$A$4:$G$3460,4,0),"")</f>
        <v/>
      </c>
      <c r="E6309" t="str">
        <f>IFERROR(VLOOKUP($A6309,原始数据_收盘!$A$4:$G$3460,5,0),"")</f>
        <v/>
      </c>
      <c r="F6309" t="str">
        <f>IFERROR(VLOOKUP($A6309,原始数据_收盘!$A$4:$G$3460,6,0),"")</f>
        <v/>
      </c>
      <c r="G6309" t="str">
        <f>IFERROR(VLOOKUP($A6309,原始数据_收盘!$A$4:$G$3460,7,0),"")</f>
        <v/>
      </c>
      <c r="H6309" t="str">
        <f>IFERROR(VLOOKUP($A6309,原始数据_利率互换_FR007_1年!$A$6:$C$4395,2,0),"")</f>
        <v/>
      </c>
      <c r="I6309" t="str">
        <f>IFERROR(VLOOKUP($A6309,原始数据_利率互换_FR007_1年!$A$6:$C$4395,3,0),"")</f>
        <v/>
      </c>
    </row>
    <row r="6310" spans="1:9">
      <c r="A6310" s="6">
        <v>45803</v>
      </c>
      <c r="B6310">
        <f>IFERROR(VLOOKUP($A6310,原始数据_收盘!$A$4:$G$3460,2,0),"")</f>
        <v>1.555</v>
      </c>
      <c r="C6310">
        <f>IFERROR(VLOOKUP($A6310,原始数据_收盘!$A$4:$G$3460,3,0),"")</f>
        <v>1.497</v>
      </c>
      <c r="D6310">
        <f>IFERROR(VLOOKUP($A6310,原始数据_收盘!$A$4:$G$3460,4,0),"")</f>
        <v>1.5568</v>
      </c>
      <c r="E6310">
        <f>IFERROR(VLOOKUP($A6310,原始数据_收盘!$A$4:$G$3460,5,0),"")</f>
        <v>1.5</v>
      </c>
      <c r="F6310">
        <f>IFERROR(VLOOKUP($A6310,原始数据_收盘!$A$4:$G$3460,6,0),"")</f>
        <v>1.5559</v>
      </c>
      <c r="G6310">
        <f>IFERROR(VLOOKUP($A6310,原始数据_收盘!$A$4:$G$3460,7,0),"")</f>
        <v>1.4985</v>
      </c>
      <c r="H6310">
        <f>IFERROR(VLOOKUP($A6310,原始数据_利率互换_FR007_1年!$A$6:$C$4395,2,0),"")</f>
        <v>1.5543</v>
      </c>
      <c r="I6310">
        <f>IFERROR(VLOOKUP($A6310,原始数据_利率互换_FR007_1年!$A$6:$C$4395,3,0),"")</f>
        <v>1.4969</v>
      </c>
    </row>
    <row r="6311" spans="1:9">
      <c r="A6311" s="6">
        <v>45804</v>
      </c>
      <c r="B6311">
        <f>IFERROR(VLOOKUP($A6311,原始数据_收盘!$A$4:$G$3460,2,0),"")</f>
        <v>1.56</v>
      </c>
      <c r="C6311">
        <f>IFERROR(VLOOKUP($A6311,原始数据_收盘!$A$4:$G$3460,3,0),"")</f>
        <v>1.5075</v>
      </c>
      <c r="D6311">
        <f>IFERROR(VLOOKUP($A6311,原始数据_收盘!$A$4:$G$3460,4,0),"")</f>
        <v>1.5625</v>
      </c>
      <c r="E6311">
        <f>IFERROR(VLOOKUP($A6311,原始数据_收盘!$A$4:$G$3460,5,0),"")</f>
        <v>1.51</v>
      </c>
      <c r="F6311">
        <f>IFERROR(VLOOKUP($A6311,原始数据_收盘!$A$4:$G$3460,6,0),"")</f>
        <v>1.5613</v>
      </c>
      <c r="G6311">
        <f>IFERROR(VLOOKUP($A6311,原始数据_收盘!$A$4:$G$3460,7,0),"")</f>
        <v>1.5088</v>
      </c>
      <c r="H6311">
        <f>IFERROR(VLOOKUP($A6311,原始数据_利率互换_FR007_1年!$A$6:$C$4395,2,0),"")</f>
        <v>1.5559</v>
      </c>
      <c r="I6311">
        <f>IFERROR(VLOOKUP($A6311,原始数据_利率互换_FR007_1年!$A$6:$C$4395,3,0),"")</f>
        <v>1.5028</v>
      </c>
    </row>
    <row r="6312" spans="1:9">
      <c r="A6312" s="6">
        <v>45805</v>
      </c>
      <c r="B6312">
        <f>IFERROR(VLOOKUP($A6312,原始数据_收盘!$A$4:$G$3460,2,0),"")</f>
        <v>1.555</v>
      </c>
      <c r="C6312">
        <f>IFERROR(VLOOKUP($A6312,原始数据_收盘!$A$4:$G$3460,3,0),"")</f>
        <v>1.5025</v>
      </c>
      <c r="D6312">
        <f>IFERROR(VLOOKUP($A6312,原始数据_收盘!$A$4:$G$3460,4,0),"")</f>
        <v>1.558</v>
      </c>
      <c r="E6312">
        <f>IFERROR(VLOOKUP($A6312,原始数据_收盘!$A$4:$G$3460,5,0),"")</f>
        <v>1.505</v>
      </c>
      <c r="F6312">
        <f>IFERROR(VLOOKUP($A6312,原始数据_收盘!$A$4:$G$3460,6,0),"")</f>
        <v>1.5565</v>
      </c>
      <c r="G6312">
        <f>IFERROR(VLOOKUP($A6312,原始数据_收盘!$A$4:$G$3460,7,0),"")</f>
        <v>1.5038</v>
      </c>
      <c r="H6312">
        <f>IFERROR(VLOOKUP($A6312,原始数据_利率互换_FR007_1年!$A$6:$C$4395,2,0),"")</f>
        <v>1.5515</v>
      </c>
      <c r="I6312">
        <f>IFERROR(VLOOKUP($A6312,原始数据_利率互换_FR007_1年!$A$6:$C$4395,3,0),"")</f>
        <v>1.5004</v>
      </c>
    </row>
    <row r="6313" spans="1:9">
      <c r="A6313" s="6">
        <v>45806</v>
      </c>
      <c r="B6313">
        <f>IFERROR(VLOOKUP($A6313,原始数据_收盘!$A$4:$G$3460,2,0),"")</f>
        <v>1.5645</v>
      </c>
      <c r="C6313">
        <f>IFERROR(VLOOKUP($A6313,原始数据_收盘!$A$4:$G$3460,3,0),"")</f>
        <v>1.52</v>
      </c>
      <c r="D6313">
        <f>IFERROR(VLOOKUP($A6313,原始数据_收盘!$A$4:$G$3460,4,0),"")</f>
        <v>1.5675</v>
      </c>
      <c r="E6313">
        <f>IFERROR(VLOOKUP($A6313,原始数据_收盘!$A$4:$G$3460,5,0),"")</f>
        <v>1.5225</v>
      </c>
      <c r="F6313">
        <f>IFERROR(VLOOKUP($A6313,原始数据_收盘!$A$4:$G$3460,6,0),"")</f>
        <v>1.566</v>
      </c>
      <c r="G6313">
        <f>IFERROR(VLOOKUP($A6313,原始数据_收盘!$A$4:$G$3460,7,0),"")</f>
        <v>1.5213</v>
      </c>
      <c r="H6313">
        <f>IFERROR(VLOOKUP($A6313,原始数据_利率互换_FR007_1年!$A$6:$C$4395,2,0),"")</f>
        <v>1.5675</v>
      </c>
      <c r="I6313">
        <f>IFERROR(VLOOKUP($A6313,原始数据_利率互换_FR007_1年!$A$6:$C$4395,3,0),"")</f>
        <v>1.5206</v>
      </c>
    </row>
    <row r="6314" spans="1:9">
      <c r="A6314" s="6">
        <v>45807</v>
      </c>
      <c r="B6314">
        <f>IFERROR(VLOOKUP($A6314,原始数据_收盘!$A$4:$G$3460,2,0),"")</f>
        <v>1.55</v>
      </c>
      <c r="C6314">
        <f>IFERROR(VLOOKUP($A6314,原始数据_收盘!$A$4:$G$3460,3,0),"")</f>
        <v>1.4975</v>
      </c>
      <c r="D6314">
        <f>IFERROR(VLOOKUP($A6314,原始数据_收盘!$A$4:$G$3460,4,0),"")</f>
        <v>1.5525</v>
      </c>
      <c r="E6314">
        <f>IFERROR(VLOOKUP($A6314,原始数据_收盘!$A$4:$G$3460,5,0),"")</f>
        <v>1.5</v>
      </c>
      <c r="F6314">
        <f>IFERROR(VLOOKUP($A6314,原始数据_收盘!$A$4:$G$3460,6,0),"")</f>
        <v>1.5513</v>
      </c>
      <c r="G6314">
        <f>IFERROR(VLOOKUP($A6314,原始数据_收盘!$A$4:$G$3460,7,0),"")</f>
        <v>1.4988</v>
      </c>
      <c r="H6314">
        <f>IFERROR(VLOOKUP($A6314,原始数据_利率互换_FR007_1年!$A$6:$C$4395,2,0),"")</f>
        <v>1.5525</v>
      </c>
      <c r="I6314">
        <f>IFERROR(VLOOKUP($A6314,原始数据_利率互换_FR007_1年!$A$6:$C$4395,3,0),"")</f>
        <v>1.5043</v>
      </c>
    </row>
    <row r="6315" spans="1:9">
      <c r="A6315" s="6">
        <v>45808</v>
      </c>
      <c r="B6315" t="str">
        <f>IFERROR(VLOOKUP($A6315,原始数据_收盘!$A$4:$G$3460,2,0),"")</f>
        <v/>
      </c>
      <c r="C6315" t="str">
        <f>IFERROR(VLOOKUP($A6315,原始数据_收盘!$A$4:$G$3460,3,0),"")</f>
        <v/>
      </c>
      <c r="D6315" t="str">
        <f>IFERROR(VLOOKUP($A6315,原始数据_收盘!$A$4:$G$3460,4,0),"")</f>
        <v/>
      </c>
      <c r="E6315" t="str">
        <f>IFERROR(VLOOKUP($A6315,原始数据_收盘!$A$4:$G$3460,5,0),"")</f>
        <v/>
      </c>
      <c r="F6315" t="str">
        <f>IFERROR(VLOOKUP($A6315,原始数据_收盘!$A$4:$G$3460,6,0),"")</f>
        <v/>
      </c>
      <c r="G6315" t="str">
        <f>IFERROR(VLOOKUP($A6315,原始数据_收盘!$A$4:$G$3460,7,0),"")</f>
        <v/>
      </c>
      <c r="H6315" t="str">
        <f>IFERROR(VLOOKUP($A6315,原始数据_利率互换_FR007_1年!$A$6:$C$4395,2,0),"")</f>
        <v/>
      </c>
      <c r="I6315" t="str">
        <f>IFERROR(VLOOKUP($A6315,原始数据_利率互换_FR007_1年!$A$6:$C$4395,3,0),"")</f>
        <v/>
      </c>
    </row>
    <row r="6316" spans="1:9">
      <c r="A6316" s="6">
        <v>45809</v>
      </c>
      <c r="B6316" t="str">
        <f>IFERROR(VLOOKUP($A6316,原始数据_收盘!$A$4:$G$3460,2,0),"")</f>
        <v/>
      </c>
      <c r="C6316" t="str">
        <f>IFERROR(VLOOKUP($A6316,原始数据_收盘!$A$4:$G$3460,3,0),"")</f>
        <v/>
      </c>
      <c r="D6316" t="str">
        <f>IFERROR(VLOOKUP($A6316,原始数据_收盘!$A$4:$G$3460,4,0),"")</f>
        <v/>
      </c>
      <c r="E6316" t="str">
        <f>IFERROR(VLOOKUP($A6316,原始数据_收盘!$A$4:$G$3460,5,0),"")</f>
        <v/>
      </c>
      <c r="F6316" t="str">
        <f>IFERROR(VLOOKUP($A6316,原始数据_收盘!$A$4:$G$3460,6,0),"")</f>
        <v/>
      </c>
      <c r="G6316" t="str">
        <f>IFERROR(VLOOKUP($A6316,原始数据_收盘!$A$4:$G$3460,7,0),"")</f>
        <v/>
      </c>
      <c r="H6316" t="str">
        <f>IFERROR(VLOOKUP($A6316,原始数据_利率互换_FR007_1年!$A$6:$C$4395,2,0),"")</f>
        <v/>
      </c>
      <c r="I6316" t="str">
        <f>IFERROR(VLOOKUP($A6316,原始数据_利率互换_FR007_1年!$A$6:$C$4395,3,0),"")</f>
        <v/>
      </c>
    </row>
    <row r="6317" spans="1:9">
      <c r="A6317" s="6">
        <v>45810</v>
      </c>
      <c r="B6317" t="str">
        <f>IFERROR(VLOOKUP($A6317,原始数据_收盘!$A$4:$G$3460,2,0),"")</f>
        <v/>
      </c>
      <c r="C6317" t="str">
        <f>IFERROR(VLOOKUP($A6317,原始数据_收盘!$A$4:$G$3460,3,0),"")</f>
        <v/>
      </c>
      <c r="D6317" t="str">
        <f>IFERROR(VLOOKUP($A6317,原始数据_收盘!$A$4:$G$3460,4,0),"")</f>
        <v/>
      </c>
      <c r="E6317" t="str">
        <f>IFERROR(VLOOKUP($A6317,原始数据_收盘!$A$4:$G$3460,5,0),"")</f>
        <v/>
      </c>
      <c r="F6317" t="str">
        <f>IFERROR(VLOOKUP($A6317,原始数据_收盘!$A$4:$G$3460,6,0),"")</f>
        <v/>
      </c>
      <c r="G6317" t="str">
        <f>IFERROR(VLOOKUP($A6317,原始数据_收盘!$A$4:$G$3460,7,0),"")</f>
        <v/>
      </c>
      <c r="H6317" t="str">
        <f>IFERROR(VLOOKUP($A6317,原始数据_利率互换_FR007_1年!$A$6:$C$4395,2,0),"")</f>
        <v/>
      </c>
      <c r="I6317" t="str">
        <f>IFERROR(VLOOKUP($A6317,原始数据_利率互换_FR007_1年!$A$6:$C$4395,3,0),"")</f>
        <v/>
      </c>
    </row>
    <row r="6318" spans="1:9">
      <c r="A6318" s="6">
        <v>45811</v>
      </c>
      <c r="B6318">
        <f>IFERROR(VLOOKUP($A6318,原始数据_收盘!$A$4:$G$3460,2,0),"")</f>
        <v>1.555</v>
      </c>
      <c r="C6318">
        <f>IFERROR(VLOOKUP($A6318,原始数据_收盘!$A$4:$G$3460,3,0),"")</f>
        <v>1.5</v>
      </c>
      <c r="D6318">
        <f>IFERROR(VLOOKUP($A6318,原始数据_收盘!$A$4:$G$3460,4,0),"")</f>
        <v>1.5575</v>
      </c>
      <c r="E6318">
        <f>IFERROR(VLOOKUP($A6318,原始数据_收盘!$A$4:$G$3460,5,0),"")</f>
        <v>1.5025</v>
      </c>
      <c r="F6318">
        <f>IFERROR(VLOOKUP($A6318,原始数据_收盘!$A$4:$G$3460,6,0),"")</f>
        <v>1.5563</v>
      </c>
      <c r="G6318">
        <f>IFERROR(VLOOKUP($A6318,原始数据_收盘!$A$4:$G$3460,7,0),"")</f>
        <v>1.5013</v>
      </c>
      <c r="H6318">
        <f>IFERROR(VLOOKUP($A6318,原始数据_利率互换_FR007_1年!$A$6:$C$4395,2,0),"")</f>
        <v>1.5556</v>
      </c>
      <c r="I6318">
        <f>IFERROR(VLOOKUP($A6318,原始数据_利率互换_FR007_1年!$A$6:$C$4395,3,0),"")</f>
        <v>1.4989</v>
      </c>
    </row>
    <row r="6319" spans="1:9">
      <c r="A6319" s="6">
        <v>45812</v>
      </c>
      <c r="B6319">
        <f>IFERROR(VLOOKUP($A6319,原始数据_收盘!$A$4:$G$3460,2,0),"")</f>
        <v>1.5475</v>
      </c>
      <c r="C6319">
        <f>IFERROR(VLOOKUP($A6319,原始数据_收盘!$A$4:$G$3460,3,0),"")</f>
        <v>1.4875</v>
      </c>
      <c r="D6319">
        <f>IFERROR(VLOOKUP($A6319,原始数据_收盘!$A$4:$G$3460,4,0),"")</f>
        <v>1.5512</v>
      </c>
      <c r="E6319">
        <f>IFERROR(VLOOKUP($A6319,原始数据_收盘!$A$4:$G$3460,5,0),"")</f>
        <v>1.49</v>
      </c>
      <c r="F6319">
        <f>IFERROR(VLOOKUP($A6319,原始数据_收盘!$A$4:$G$3460,6,0),"")</f>
        <v>1.5493</v>
      </c>
      <c r="G6319">
        <f>IFERROR(VLOOKUP($A6319,原始数据_收盘!$A$4:$G$3460,7,0),"")</f>
        <v>1.4888</v>
      </c>
      <c r="H6319">
        <f>IFERROR(VLOOKUP($A6319,原始数据_利率互换_FR007_1年!$A$6:$C$4395,2,0),"")</f>
        <v>1.5516</v>
      </c>
      <c r="I6319">
        <f>IFERROR(VLOOKUP($A6319,原始数据_利率互换_FR007_1年!$A$6:$C$4395,3,0),"")</f>
        <v>1.4927</v>
      </c>
    </row>
    <row r="6320" spans="1:9">
      <c r="A6320" s="6">
        <v>45813</v>
      </c>
      <c r="B6320">
        <f>IFERROR(VLOOKUP($A6320,原始数据_收盘!$A$4:$G$3460,2,0),"")</f>
        <v>1.54</v>
      </c>
      <c r="C6320">
        <f>IFERROR(VLOOKUP($A6320,原始数据_收盘!$A$4:$G$3460,3,0),"")</f>
        <v>1.4825</v>
      </c>
      <c r="D6320">
        <f>IFERROR(VLOOKUP($A6320,原始数据_收盘!$A$4:$G$3460,4,0),"")</f>
        <v>1.5425</v>
      </c>
      <c r="E6320">
        <f>IFERROR(VLOOKUP($A6320,原始数据_收盘!$A$4:$G$3460,5,0),"")</f>
        <v>1.485</v>
      </c>
      <c r="F6320">
        <f>IFERROR(VLOOKUP($A6320,原始数据_收盘!$A$4:$G$3460,6,0),"")</f>
        <v>1.5413</v>
      </c>
      <c r="G6320">
        <f>IFERROR(VLOOKUP($A6320,原始数据_收盘!$A$4:$G$3460,7,0),"")</f>
        <v>1.4838</v>
      </c>
      <c r="H6320">
        <f>IFERROR(VLOOKUP($A6320,原始数据_利率互换_FR007_1年!$A$6:$C$4395,2,0),"")</f>
        <v>1.5385</v>
      </c>
      <c r="I6320">
        <f>IFERROR(VLOOKUP($A6320,原始数据_利率互换_FR007_1年!$A$6:$C$4395,3,0),"")</f>
        <v>1.4808</v>
      </c>
    </row>
    <row r="6321" spans="1:9">
      <c r="A6321" s="6">
        <v>45814</v>
      </c>
      <c r="B6321">
        <f>IFERROR(VLOOKUP($A6321,原始数据_收盘!$A$4:$G$3460,2,0),"")</f>
        <v>1.5225</v>
      </c>
      <c r="C6321">
        <f>IFERROR(VLOOKUP($A6321,原始数据_收盘!$A$4:$G$3460,3,0),"")</f>
        <v>1.4675</v>
      </c>
      <c r="D6321">
        <f>IFERROR(VLOOKUP($A6321,原始数据_收盘!$A$4:$G$3460,4,0),"")</f>
        <v>1.525</v>
      </c>
      <c r="E6321">
        <f>IFERROR(VLOOKUP($A6321,原始数据_收盘!$A$4:$G$3460,5,0),"")</f>
        <v>1.47</v>
      </c>
      <c r="F6321">
        <f>IFERROR(VLOOKUP($A6321,原始数据_收盘!$A$4:$G$3460,6,0),"")</f>
        <v>1.5238</v>
      </c>
      <c r="G6321">
        <f>IFERROR(VLOOKUP($A6321,原始数据_收盘!$A$4:$G$3460,7,0),"")</f>
        <v>1.4688</v>
      </c>
      <c r="H6321">
        <f>IFERROR(VLOOKUP($A6321,原始数据_利率互换_FR007_1年!$A$6:$C$4395,2,0),"")</f>
        <v>1.525</v>
      </c>
      <c r="I6321">
        <f>IFERROR(VLOOKUP($A6321,原始数据_利率互换_FR007_1年!$A$6:$C$4395,3,0),"")</f>
        <v>1.4724</v>
      </c>
    </row>
    <row r="6322" spans="1:9">
      <c r="A6322" s="6">
        <v>45815</v>
      </c>
      <c r="B6322" t="str">
        <f>IFERROR(VLOOKUP($A6322,原始数据_收盘!$A$4:$G$3460,2,0),"")</f>
        <v/>
      </c>
      <c r="C6322" t="str">
        <f>IFERROR(VLOOKUP($A6322,原始数据_收盘!$A$4:$G$3460,3,0),"")</f>
        <v/>
      </c>
      <c r="D6322" t="str">
        <f>IFERROR(VLOOKUP($A6322,原始数据_收盘!$A$4:$G$3460,4,0),"")</f>
        <v/>
      </c>
      <c r="E6322" t="str">
        <f>IFERROR(VLOOKUP($A6322,原始数据_收盘!$A$4:$G$3460,5,0),"")</f>
        <v/>
      </c>
      <c r="F6322" t="str">
        <f>IFERROR(VLOOKUP($A6322,原始数据_收盘!$A$4:$G$3460,6,0),"")</f>
        <v/>
      </c>
      <c r="G6322" t="str">
        <f>IFERROR(VLOOKUP($A6322,原始数据_收盘!$A$4:$G$3460,7,0),"")</f>
        <v/>
      </c>
      <c r="H6322" t="str">
        <f>IFERROR(VLOOKUP($A6322,原始数据_利率互换_FR007_1年!$A$6:$C$4395,2,0),"")</f>
        <v/>
      </c>
      <c r="I6322" t="str">
        <f>IFERROR(VLOOKUP($A6322,原始数据_利率互换_FR007_1年!$A$6:$C$4395,3,0),"")</f>
        <v/>
      </c>
    </row>
    <row r="6323" spans="1:9">
      <c r="A6323" s="6">
        <v>45816</v>
      </c>
      <c r="B6323" t="str">
        <f>IFERROR(VLOOKUP($A6323,原始数据_收盘!$A$4:$G$3460,2,0),"")</f>
        <v/>
      </c>
      <c r="C6323" t="str">
        <f>IFERROR(VLOOKUP($A6323,原始数据_收盘!$A$4:$G$3460,3,0),"")</f>
        <v/>
      </c>
      <c r="D6323" t="str">
        <f>IFERROR(VLOOKUP($A6323,原始数据_收盘!$A$4:$G$3460,4,0),"")</f>
        <v/>
      </c>
      <c r="E6323" t="str">
        <f>IFERROR(VLOOKUP($A6323,原始数据_收盘!$A$4:$G$3460,5,0),"")</f>
        <v/>
      </c>
      <c r="F6323" t="str">
        <f>IFERROR(VLOOKUP($A6323,原始数据_收盘!$A$4:$G$3460,6,0),"")</f>
        <v/>
      </c>
      <c r="G6323" t="str">
        <f>IFERROR(VLOOKUP($A6323,原始数据_收盘!$A$4:$G$3460,7,0),"")</f>
        <v/>
      </c>
      <c r="H6323" t="str">
        <f>IFERROR(VLOOKUP($A6323,原始数据_利率互换_FR007_1年!$A$6:$C$4395,2,0),"")</f>
        <v/>
      </c>
      <c r="I6323" t="str">
        <f>IFERROR(VLOOKUP($A6323,原始数据_利率互换_FR007_1年!$A$6:$C$4395,3,0),"")</f>
        <v/>
      </c>
    </row>
    <row r="6324" spans="1:9">
      <c r="A6324" s="6">
        <v>45817</v>
      </c>
      <c r="B6324">
        <f>IFERROR(VLOOKUP($A6324,原始数据_收盘!$A$4:$G$3460,2,0),"")</f>
        <v>1.5125</v>
      </c>
      <c r="C6324">
        <f>IFERROR(VLOOKUP($A6324,原始数据_收盘!$A$4:$G$3460,3,0),"")</f>
        <v>1.47</v>
      </c>
      <c r="D6324">
        <f>IFERROR(VLOOKUP($A6324,原始数据_收盘!$A$4:$G$3460,4,0),"")</f>
        <v>1.515</v>
      </c>
      <c r="E6324">
        <f>IFERROR(VLOOKUP($A6324,原始数据_收盘!$A$4:$G$3460,5,0),"")</f>
        <v>1.4725</v>
      </c>
      <c r="F6324">
        <f>IFERROR(VLOOKUP($A6324,原始数据_收盘!$A$4:$G$3460,6,0),"")</f>
        <v>1.5138</v>
      </c>
      <c r="G6324">
        <f>IFERROR(VLOOKUP($A6324,原始数据_收盘!$A$4:$G$3460,7,0),"")</f>
        <v>1.4713</v>
      </c>
      <c r="H6324">
        <f>IFERROR(VLOOKUP($A6324,原始数据_利率互换_FR007_1年!$A$6:$C$4395,2,0),"")</f>
        <v>1.5123</v>
      </c>
      <c r="I6324">
        <f>IFERROR(VLOOKUP($A6324,原始数据_利率互换_FR007_1年!$A$6:$C$4395,3,0),"")</f>
        <v>1.4664</v>
      </c>
    </row>
    <row r="6325" spans="1:9">
      <c r="A6325" s="6">
        <v>45818</v>
      </c>
      <c r="B6325">
        <f>IFERROR(VLOOKUP($A6325,原始数据_收盘!$A$4:$G$3460,2,0),"")</f>
        <v>1.525</v>
      </c>
      <c r="C6325">
        <f>IFERROR(VLOOKUP($A6325,原始数据_收盘!$A$4:$G$3460,3,0),"")</f>
        <v>1.48</v>
      </c>
      <c r="D6325">
        <f>IFERROR(VLOOKUP($A6325,原始数据_收盘!$A$4:$G$3460,4,0),"")</f>
        <v>1.5275</v>
      </c>
      <c r="E6325">
        <f>IFERROR(VLOOKUP($A6325,原始数据_收盘!$A$4:$G$3460,5,0),"")</f>
        <v>1.4825</v>
      </c>
      <c r="F6325">
        <f>IFERROR(VLOOKUP($A6325,原始数据_收盘!$A$4:$G$3460,6,0),"")</f>
        <v>1.5263</v>
      </c>
      <c r="G6325">
        <f>IFERROR(VLOOKUP($A6325,原始数据_收盘!$A$4:$G$3460,7,0),"")</f>
        <v>1.4813</v>
      </c>
      <c r="H6325">
        <f>IFERROR(VLOOKUP($A6325,原始数据_利率互换_FR007_1年!$A$6:$C$4395,2,0),"")</f>
        <v>1.5159</v>
      </c>
      <c r="I6325">
        <f>IFERROR(VLOOKUP($A6325,原始数据_利率互换_FR007_1年!$A$6:$C$4395,3,0),"")</f>
        <v>1.4741</v>
      </c>
    </row>
    <row r="6326" spans="1:9">
      <c r="A6326" s="6">
        <v>45819</v>
      </c>
      <c r="B6326">
        <f>IFERROR(VLOOKUP($A6326,原始数据_收盘!$A$4:$G$3460,2,0),"")</f>
        <v>1.5191</v>
      </c>
      <c r="C6326">
        <f>IFERROR(VLOOKUP($A6326,原始数据_收盘!$A$4:$G$3460,3,0),"")</f>
        <v>1.475</v>
      </c>
      <c r="D6326">
        <f>IFERROR(VLOOKUP($A6326,原始数据_收盘!$A$4:$G$3460,4,0),"")</f>
        <v>1.52</v>
      </c>
      <c r="E6326">
        <f>IFERROR(VLOOKUP($A6326,原始数据_收盘!$A$4:$G$3460,5,0),"")</f>
        <v>1.4775</v>
      </c>
      <c r="F6326">
        <f>IFERROR(VLOOKUP($A6326,原始数据_收盘!$A$4:$G$3460,6,0),"")</f>
        <v>1.5196</v>
      </c>
      <c r="G6326">
        <f>IFERROR(VLOOKUP($A6326,原始数据_收盘!$A$4:$G$3460,7,0),"")</f>
        <v>1.4763</v>
      </c>
      <c r="H6326">
        <f>IFERROR(VLOOKUP($A6326,原始数据_利率互换_FR007_1年!$A$6:$C$4395,2,0),"")</f>
        <v>1.5203</v>
      </c>
      <c r="I6326">
        <f>IFERROR(VLOOKUP($A6326,原始数据_利率互换_FR007_1年!$A$6:$C$4395,3,0),"")</f>
        <v>1.4788</v>
      </c>
    </row>
    <row r="6327" spans="1:9">
      <c r="A6327" s="6">
        <v>45820</v>
      </c>
      <c r="B6327">
        <f>IFERROR(VLOOKUP($A6327,原始数据_收盘!$A$4:$G$3460,2,0),"")</f>
        <v>1.5325</v>
      </c>
      <c r="C6327">
        <f>IFERROR(VLOOKUP($A6327,原始数据_收盘!$A$4:$G$3460,3,0),"")</f>
        <v>1.4825</v>
      </c>
      <c r="D6327">
        <f>IFERROR(VLOOKUP($A6327,原始数据_收盘!$A$4:$G$3460,4,0),"")</f>
        <v>1.5375</v>
      </c>
      <c r="E6327">
        <f>IFERROR(VLOOKUP($A6327,原始数据_收盘!$A$4:$G$3460,5,0),"")</f>
        <v>1.485</v>
      </c>
      <c r="F6327">
        <f>IFERROR(VLOOKUP($A6327,原始数据_收盘!$A$4:$G$3460,6,0),"")</f>
        <v>1.535</v>
      </c>
      <c r="G6327">
        <f>IFERROR(VLOOKUP($A6327,原始数据_收盘!$A$4:$G$3460,7,0),"")</f>
        <v>1.4838</v>
      </c>
      <c r="H6327">
        <f>IFERROR(VLOOKUP($A6327,原始数据_利率互换_FR007_1年!$A$6:$C$4395,2,0),"")</f>
        <v>1.5316</v>
      </c>
      <c r="I6327">
        <f>IFERROR(VLOOKUP($A6327,原始数据_利率互换_FR007_1年!$A$6:$C$4395,3,0),"")</f>
        <v>1.4813</v>
      </c>
    </row>
    <row r="6328" spans="1:9">
      <c r="A6328" s="6">
        <v>45821</v>
      </c>
      <c r="B6328">
        <f>IFERROR(VLOOKUP($A6328,原始数据_收盘!$A$4:$G$3460,2,0),"")</f>
        <v>1.5315</v>
      </c>
      <c r="C6328">
        <f>IFERROR(VLOOKUP($A6328,原始数据_收盘!$A$4:$G$3460,3,0),"")</f>
        <v>1.4775</v>
      </c>
      <c r="D6328">
        <f>IFERROR(VLOOKUP($A6328,原始数据_收盘!$A$4:$G$3460,4,0),"")</f>
        <v>1.5341</v>
      </c>
      <c r="E6328">
        <f>IFERROR(VLOOKUP($A6328,原始数据_收盘!$A$4:$G$3460,5,0),"")</f>
        <v>1.4808</v>
      </c>
      <c r="F6328">
        <f>IFERROR(VLOOKUP($A6328,原始数据_收盘!$A$4:$G$3460,6,0),"")</f>
        <v>1.5328</v>
      </c>
      <c r="G6328">
        <f>IFERROR(VLOOKUP($A6328,原始数据_收盘!$A$4:$G$3460,7,0),"")</f>
        <v>1.4792</v>
      </c>
      <c r="H6328">
        <f>IFERROR(VLOOKUP($A6328,原始数据_利率互换_FR007_1年!$A$6:$C$4395,2,0),"")</f>
        <v>1.5344</v>
      </c>
      <c r="I6328">
        <f>IFERROR(VLOOKUP($A6328,原始数据_利率互换_FR007_1年!$A$6:$C$4395,3,0),"")</f>
        <v>1.4818</v>
      </c>
    </row>
    <row r="6329" spans="1:9">
      <c r="A6329" s="6">
        <v>45822</v>
      </c>
      <c r="B6329" t="str">
        <f>IFERROR(VLOOKUP($A6329,原始数据_收盘!$A$4:$G$3460,2,0),"")</f>
        <v/>
      </c>
      <c r="C6329" t="str">
        <f>IFERROR(VLOOKUP($A6329,原始数据_收盘!$A$4:$G$3460,3,0),"")</f>
        <v/>
      </c>
      <c r="D6329" t="str">
        <f>IFERROR(VLOOKUP($A6329,原始数据_收盘!$A$4:$G$3460,4,0),"")</f>
        <v/>
      </c>
      <c r="E6329" t="str">
        <f>IFERROR(VLOOKUP($A6329,原始数据_收盘!$A$4:$G$3460,5,0),"")</f>
        <v/>
      </c>
      <c r="F6329" t="str">
        <f>IFERROR(VLOOKUP($A6329,原始数据_收盘!$A$4:$G$3460,6,0),"")</f>
        <v/>
      </c>
      <c r="G6329" t="str">
        <f>IFERROR(VLOOKUP($A6329,原始数据_收盘!$A$4:$G$3460,7,0),"")</f>
        <v/>
      </c>
      <c r="H6329" t="str">
        <f>IFERROR(VLOOKUP($A6329,原始数据_利率互换_FR007_1年!$A$6:$C$4395,2,0),"")</f>
        <v/>
      </c>
      <c r="I6329" t="str">
        <f>IFERROR(VLOOKUP($A6329,原始数据_利率互换_FR007_1年!$A$6:$C$4395,3,0),"")</f>
        <v/>
      </c>
    </row>
    <row r="6330" spans="1:9">
      <c r="A6330" s="6">
        <v>45823</v>
      </c>
      <c r="B6330" t="str">
        <f>IFERROR(VLOOKUP($A6330,原始数据_收盘!$A$4:$G$3460,2,0),"")</f>
        <v/>
      </c>
      <c r="C6330" t="str">
        <f>IFERROR(VLOOKUP($A6330,原始数据_收盘!$A$4:$G$3460,3,0),"")</f>
        <v/>
      </c>
      <c r="D6330" t="str">
        <f>IFERROR(VLOOKUP($A6330,原始数据_收盘!$A$4:$G$3460,4,0),"")</f>
        <v/>
      </c>
      <c r="E6330" t="str">
        <f>IFERROR(VLOOKUP($A6330,原始数据_收盘!$A$4:$G$3460,5,0),"")</f>
        <v/>
      </c>
      <c r="F6330" t="str">
        <f>IFERROR(VLOOKUP($A6330,原始数据_收盘!$A$4:$G$3460,6,0),"")</f>
        <v/>
      </c>
      <c r="G6330" t="str">
        <f>IFERROR(VLOOKUP($A6330,原始数据_收盘!$A$4:$G$3460,7,0),"")</f>
        <v/>
      </c>
      <c r="H6330" t="str">
        <f>IFERROR(VLOOKUP($A6330,原始数据_利率互换_FR007_1年!$A$6:$C$4395,2,0),"")</f>
        <v/>
      </c>
      <c r="I6330" t="str">
        <f>IFERROR(VLOOKUP($A6330,原始数据_利率互换_FR007_1年!$A$6:$C$4395,3,0),"")</f>
        <v/>
      </c>
    </row>
    <row r="6331" spans="1:9">
      <c r="A6331" s="6">
        <v>45824</v>
      </c>
      <c r="B6331">
        <f>IFERROR(VLOOKUP($A6331,原始数据_收盘!$A$4:$G$3460,2,0),"")</f>
        <v>1.53</v>
      </c>
      <c r="C6331">
        <f>IFERROR(VLOOKUP($A6331,原始数据_收盘!$A$4:$G$3460,3,0),"")</f>
        <v>1.4775</v>
      </c>
      <c r="D6331">
        <f>IFERROR(VLOOKUP($A6331,原始数据_收盘!$A$4:$G$3460,4,0),"")</f>
        <v>1.5325</v>
      </c>
      <c r="E6331">
        <f>IFERROR(VLOOKUP($A6331,原始数据_收盘!$A$4:$G$3460,5,0),"")</f>
        <v>1.48</v>
      </c>
      <c r="F6331">
        <f>IFERROR(VLOOKUP($A6331,原始数据_收盘!$A$4:$G$3460,6,0),"")</f>
        <v>1.5313</v>
      </c>
      <c r="G6331">
        <f>IFERROR(VLOOKUP($A6331,原始数据_收盘!$A$4:$G$3460,7,0),"")</f>
        <v>1.4788</v>
      </c>
      <c r="H6331">
        <f>IFERROR(VLOOKUP($A6331,原始数据_利率互换_FR007_1年!$A$6:$C$4395,2,0),"")</f>
        <v>1.5295</v>
      </c>
      <c r="I6331">
        <f>IFERROR(VLOOKUP($A6331,原始数据_利率互换_FR007_1年!$A$6:$C$4395,3,0),"")</f>
        <v>1.4755</v>
      </c>
    </row>
    <row r="6332" spans="1:9">
      <c r="A6332" s="6">
        <v>45825</v>
      </c>
      <c r="B6332">
        <f>IFERROR(VLOOKUP($A6332,原始数据_收盘!$A$4:$G$3460,2,0),"")</f>
        <v>1.52</v>
      </c>
      <c r="C6332">
        <f>IFERROR(VLOOKUP($A6332,原始数据_收盘!$A$4:$G$3460,3,0),"")</f>
        <v>1.4693</v>
      </c>
      <c r="D6332">
        <f>IFERROR(VLOOKUP($A6332,原始数据_收盘!$A$4:$G$3460,4,0),"")</f>
        <v>1.5221</v>
      </c>
      <c r="E6332">
        <f>IFERROR(VLOOKUP($A6332,原始数据_收盘!$A$4:$G$3460,5,0),"")</f>
        <v>1.4725</v>
      </c>
      <c r="F6332">
        <f>IFERROR(VLOOKUP($A6332,原始数据_收盘!$A$4:$G$3460,6,0),"")</f>
        <v>1.521</v>
      </c>
      <c r="G6332">
        <f>IFERROR(VLOOKUP($A6332,原始数据_收盘!$A$4:$G$3460,7,0),"")</f>
        <v>1.4709</v>
      </c>
      <c r="H6332">
        <f>IFERROR(VLOOKUP($A6332,原始数据_利率互换_FR007_1年!$A$6:$C$4395,2,0),"")</f>
        <v>1.5209</v>
      </c>
      <c r="I6332">
        <f>IFERROR(VLOOKUP($A6332,原始数据_利率互换_FR007_1年!$A$6:$C$4395,3,0),"")</f>
        <v>1.4722</v>
      </c>
    </row>
    <row r="6333" spans="1:9">
      <c r="A6333" s="6">
        <v>45826</v>
      </c>
      <c r="B6333">
        <f>IFERROR(VLOOKUP($A6333,原始数据_收盘!$A$4:$G$3460,2,0),"")</f>
        <v>1.5225</v>
      </c>
      <c r="C6333">
        <f>IFERROR(VLOOKUP($A6333,原始数据_收盘!$A$4:$G$3460,3,0),"")</f>
        <v>1.4725</v>
      </c>
      <c r="D6333">
        <f>IFERROR(VLOOKUP($A6333,原始数据_收盘!$A$4:$G$3460,4,0),"")</f>
        <v>1.525</v>
      </c>
      <c r="E6333">
        <f>IFERROR(VLOOKUP($A6333,原始数据_收盘!$A$4:$G$3460,5,0),"")</f>
        <v>1.475</v>
      </c>
      <c r="F6333">
        <f>IFERROR(VLOOKUP($A6333,原始数据_收盘!$A$4:$G$3460,6,0),"")</f>
        <v>1.5238</v>
      </c>
      <c r="G6333">
        <f>IFERROR(VLOOKUP($A6333,原始数据_收盘!$A$4:$G$3460,7,0),"")</f>
        <v>1.4738</v>
      </c>
      <c r="H6333">
        <f>IFERROR(VLOOKUP($A6333,原始数据_利率互换_FR007_1年!$A$6:$C$4395,2,0),"")</f>
        <v>1.5218</v>
      </c>
      <c r="I6333">
        <f>IFERROR(VLOOKUP($A6333,原始数据_利率互换_FR007_1年!$A$6:$C$4395,3,0),"")</f>
        <v>1.4725</v>
      </c>
    </row>
    <row r="6334" spans="1:9">
      <c r="A6334" s="6">
        <v>45827</v>
      </c>
      <c r="B6334">
        <f>IFERROR(VLOOKUP($A6334,原始数据_收盘!$A$4:$G$3460,2,0),"")</f>
        <v>1.53</v>
      </c>
      <c r="C6334">
        <f>IFERROR(VLOOKUP($A6334,原始数据_收盘!$A$4:$G$3460,3,0),"")</f>
        <v>1.475</v>
      </c>
      <c r="D6334">
        <f>IFERROR(VLOOKUP($A6334,原始数据_收盘!$A$4:$G$3460,4,0),"")</f>
        <v>1.5325</v>
      </c>
      <c r="E6334">
        <f>IFERROR(VLOOKUP($A6334,原始数据_收盘!$A$4:$G$3460,5,0),"")</f>
        <v>1.4775</v>
      </c>
      <c r="F6334">
        <f>IFERROR(VLOOKUP($A6334,原始数据_收盘!$A$4:$G$3460,6,0),"")</f>
        <v>1.5313</v>
      </c>
      <c r="G6334">
        <f>IFERROR(VLOOKUP($A6334,原始数据_收盘!$A$4:$G$3460,7,0),"")</f>
        <v>1.4763</v>
      </c>
      <c r="H6334">
        <f>IFERROR(VLOOKUP($A6334,原始数据_利率互换_FR007_1年!$A$6:$C$4395,2,0),"")</f>
        <v>1.5264</v>
      </c>
      <c r="I6334">
        <f>IFERROR(VLOOKUP($A6334,原始数据_利率互换_FR007_1年!$A$6:$C$4395,3,0),"")</f>
        <v>1.4742</v>
      </c>
    </row>
    <row r="6335" spans="1:9">
      <c r="A6335" s="6">
        <v>45828</v>
      </c>
      <c r="B6335">
        <f>IFERROR(VLOOKUP($A6335,原始数据_收盘!$A$4:$G$3460,2,0),"")</f>
        <v>1.5275</v>
      </c>
      <c r="C6335">
        <f>IFERROR(VLOOKUP($A6335,原始数据_收盘!$A$4:$G$3460,3,0),"")</f>
        <v>1.475</v>
      </c>
      <c r="D6335">
        <f>IFERROR(VLOOKUP($A6335,原始数据_收盘!$A$4:$G$3460,4,0),"")</f>
        <v>1.53</v>
      </c>
      <c r="E6335">
        <f>IFERROR(VLOOKUP($A6335,原始数据_收盘!$A$4:$G$3460,5,0),"")</f>
        <v>1.4775</v>
      </c>
      <c r="F6335">
        <f>IFERROR(VLOOKUP($A6335,原始数据_收盘!$A$4:$G$3460,6,0),"")</f>
        <v>1.5288</v>
      </c>
      <c r="G6335">
        <f>IFERROR(VLOOKUP($A6335,原始数据_收盘!$A$4:$G$3460,7,0),"")</f>
        <v>1.4763</v>
      </c>
      <c r="H6335">
        <f>IFERROR(VLOOKUP($A6335,原始数据_利率互换_FR007_1年!$A$6:$C$4395,2,0),"")</f>
        <v>1.5277</v>
      </c>
      <c r="I6335">
        <f>IFERROR(VLOOKUP($A6335,原始数据_利率互换_FR007_1年!$A$6:$C$4395,3,0),"")</f>
        <v>1.4746</v>
      </c>
    </row>
    <row r="6336" spans="1:9">
      <c r="A6336" s="6">
        <v>45829</v>
      </c>
      <c r="B6336" t="str">
        <f>IFERROR(VLOOKUP($A6336,原始数据_收盘!$A$4:$G$3460,2,0),"")</f>
        <v/>
      </c>
      <c r="C6336" t="str">
        <f>IFERROR(VLOOKUP($A6336,原始数据_收盘!$A$4:$G$3460,3,0),"")</f>
        <v/>
      </c>
      <c r="D6336" t="str">
        <f>IFERROR(VLOOKUP($A6336,原始数据_收盘!$A$4:$G$3460,4,0),"")</f>
        <v/>
      </c>
      <c r="E6336" t="str">
        <f>IFERROR(VLOOKUP($A6336,原始数据_收盘!$A$4:$G$3460,5,0),"")</f>
        <v/>
      </c>
      <c r="F6336" t="str">
        <f>IFERROR(VLOOKUP($A6336,原始数据_收盘!$A$4:$G$3460,6,0),"")</f>
        <v/>
      </c>
      <c r="G6336" t="str">
        <f>IFERROR(VLOOKUP($A6336,原始数据_收盘!$A$4:$G$3460,7,0),"")</f>
        <v/>
      </c>
      <c r="H6336" t="str">
        <f>IFERROR(VLOOKUP($A6336,原始数据_利率互换_FR007_1年!$A$6:$C$4395,2,0),"")</f>
        <v/>
      </c>
      <c r="I6336" t="str">
        <f>IFERROR(VLOOKUP($A6336,原始数据_利率互换_FR007_1年!$A$6:$C$4395,3,0),"")</f>
        <v/>
      </c>
    </row>
    <row r="6337" spans="1:9">
      <c r="A6337" s="6">
        <v>45830</v>
      </c>
      <c r="B6337" t="str">
        <f>IFERROR(VLOOKUP($A6337,原始数据_收盘!$A$4:$G$3460,2,0),"")</f>
        <v/>
      </c>
      <c r="C6337" t="str">
        <f>IFERROR(VLOOKUP($A6337,原始数据_收盘!$A$4:$G$3460,3,0),"")</f>
        <v/>
      </c>
      <c r="D6337" t="str">
        <f>IFERROR(VLOOKUP($A6337,原始数据_收盘!$A$4:$G$3460,4,0),"")</f>
        <v/>
      </c>
      <c r="E6337" t="str">
        <f>IFERROR(VLOOKUP($A6337,原始数据_收盘!$A$4:$G$3460,5,0),"")</f>
        <v/>
      </c>
      <c r="F6337" t="str">
        <f>IFERROR(VLOOKUP($A6337,原始数据_收盘!$A$4:$G$3460,6,0),"")</f>
        <v/>
      </c>
      <c r="G6337" t="str">
        <f>IFERROR(VLOOKUP($A6337,原始数据_收盘!$A$4:$G$3460,7,0),"")</f>
        <v/>
      </c>
      <c r="H6337" t="str">
        <f>IFERROR(VLOOKUP($A6337,原始数据_利率互换_FR007_1年!$A$6:$C$4395,2,0),"")</f>
        <v/>
      </c>
      <c r="I6337" t="str">
        <f>IFERROR(VLOOKUP($A6337,原始数据_利率互换_FR007_1年!$A$6:$C$4395,3,0),"")</f>
        <v/>
      </c>
    </row>
    <row r="6338" spans="1:9">
      <c r="A6338" s="6">
        <v>45831</v>
      </c>
      <c r="B6338">
        <f>IFERROR(VLOOKUP($A6338,原始数据_收盘!$A$4:$G$3460,2,0),"")</f>
        <v>1.535</v>
      </c>
      <c r="C6338">
        <f>IFERROR(VLOOKUP($A6338,原始数据_收盘!$A$4:$G$3460,3,0),"")</f>
        <v>1.4775</v>
      </c>
      <c r="D6338">
        <f>IFERROR(VLOOKUP($A6338,原始数据_收盘!$A$4:$G$3460,4,0),"")</f>
        <v>1.5375</v>
      </c>
      <c r="E6338">
        <f>IFERROR(VLOOKUP($A6338,原始数据_收盘!$A$4:$G$3460,5,0),"")</f>
        <v>1.48</v>
      </c>
      <c r="F6338">
        <f>IFERROR(VLOOKUP($A6338,原始数据_收盘!$A$4:$G$3460,6,0),"")</f>
        <v>1.5363</v>
      </c>
      <c r="G6338">
        <f>IFERROR(VLOOKUP($A6338,原始数据_收盘!$A$4:$G$3460,7,0),"")</f>
        <v>1.4788</v>
      </c>
      <c r="H6338">
        <f>IFERROR(VLOOKUP($A6338,原始数据_利率互换_FR007_1年!$A$6:$C$4395,2,0),"")</f>
        <v>1.534</v>
      </c>
      <c r="I6338">
        <f>IFERROR(VLOOKUP($A6338,原始数据_利率互换_FR007_1年!$A$6:$C$4395,3,0),"")</f>
        <v>1.4758</v>
      </c>
    </row>
    <row r="6339" spans="1:9">
      <c r="A6339" s="6">
        <v>45832</v>
      </c>
      <c r="B6339">
        <f>IFERROR(VLOOKUP($A6339,原始数据_收盘!$A$4:$G$3460,2,0),"")</f>
        <v>1.54</v>
      </c>
      <c r="C6339">
        <f>IFERROR(VLOOKUP($A6339,原始数据_收盘!$A$4:$G$3460,3,0),"")</f>
        <v>1.4875</v>
      </c>
      <c r="D6339">
        <f>IFERROR(VLOOKUP($A6339,原始数据_收盘!$A$4:$G$3460,4,0),"")</f>
        <v>1.5425</v>
      </c>
      <c r="E6339">
        <f>IFERROR(VLOOKUP($A6339,原始数据_收盘!$A$4:$G$3460,5,0),"")</f>
        <v>1.49</v>
      </c>
      <c r="F6339">
        <f>IFERROR(VLOOKUP($A6339,原始数据_收盘!$A$4:$G$3460,6,0),"")</f>
        <v>1.5413</v>
      </c>
      <c r="G6339">
        <f>IFERROR(VLOOKUP($A6339,原始数据_收盘!$A$4:$G$3460,7,0),"")</f>
        <v>1.4888</v>
      </c>
      <c r="H6339">
        <f>IFERROR(VLOOKUP($A6339,原始数据_利率互换_FR007_1年!$A$6:$C$4395,2,0),"")</f>
        <v>1.5398</v>
      </c>
      <c r="I6339">
        <f>IFERROR(VLOOKUP($A6339,原始数据_利率互换_FR007_1年!$A$6:$C$4395,3,0),"")</f>
        <v>1.4866</v>
      </c>
    </row>
    <row r="6340" spans="1:9">
      <c r="A6340" s="6">
        <v>45833</v>
      </c>
      <c r="B6340">
        <f>IFERROR(VLOOKUP($A6340,原始数据_收盘!$A$4:$G$3460,2,0),"")</f>
        <v>1.5425</v>
      </c>
      <c r="C6340">
        <f>IFERROR(VLOOKUP($A6340,原始数据_收盘!$A$4:$G$3460,3,0),"")</f>
        <v>1.4975</v>
      </c>
      <c r="D6340">
        <f>IFERROR(VLOOKUP($A6340,原始数据_收盘!$A$4:$G$3460,4,0),"")</f>
        <v>1.545</v>
      </c>
      <c r="E6340">
        <f>IFERROR(VLOOKUP($A6340,原始数据_收盘!$A$4:$G$3460,5,0),"")</f>
        <v>1.5</v>
      </c>
      <c r="F6340">
        <f>IFERROR(VLOOKUP($A6340,原始数据_收盘!$A$4:$G$3460,6,0),"")</f>
        <v>1.5438</v>
      </c>
      <c r="G6340">
        <f>IFERROR(VLOOKUP($A6340,原始数据_收盘!$A$4:$G$3460,7,0),"")</f>
        <v>1.4988</v>
      </c>
      <c r="H6340">
        <f>IFERROR(VLOOKUP($A6340,原始数据_利率互换_FR007_1年!$A$6:$C$4395,2,0),"")</f>
        <v>1.5401</v>
      </c>
      <c r="I6340">
        <f>IFERROR(VLOOKUP($A6340,原始数据_利率互换_FR007_1年!$A$6:$C$4395,3,0),"")</f>
        <v>1.4897</v>
      </c>
    </row>
    <row r="6341" spans="1:9">
      <c r="A6341" s="6">
        <v>45834</v>
      </c>
      <c r="B6341">
        <f>IFERROR(VLOOKUP($A6341,原始数据_收盘!$A$4:$G$3460,2,0),"")</f>
        <v>1.53</v>
      </c>
      <c r="C6341">
        <f>IFERROR(VLOOKUP($A6341,原始数据_收盘!$A$4:$G$3460,3,0),"")</f>
        <v>1.4922</v>
      </c>
      <c r="D6341">
        <f>IFERROR(VLOOKUP($A6341,原始数据_收盘!$A$4:$G$3460,4,0),"")</f>
        <v>1.533</v>
      </c>
      <c r="E6341">
        <f>IFERROR(VLOOKUP($A6341,原始数据_收盘!$A$4:$G$3460,5,0),"")</f>
        <v>1.495</v>
      </c>
      <c r="F6341">
        <f>IFERROR(VLOOKUP($A6341,原始数据_收盘!$A$4:$G$3460,6,0),"")</f>
        <v>1.5315</v>
      </c>
      <c r="G6341">
        <f>IFERROR(VLOOKUP($A6341,原始数据_收盘!$A$4:$G$3460,7,0),"")</f>
        <v>1.4936</v>
      </c>
      <c r="H6341">
        <f>IFERROR(VLOOKUP($A6341,原始数据_利率互换_FR007_1年!$A$6:$C$4395,2,0),"")</f>
        <v>1.5364</v>
      </c>
      <c r="I6341">
        <f>IFERROR(VLOOKUP($A6341,原始数据_利率互换_FR007_1年!$A$6:$C$4395,3,0),"")</f>
        <v>1.494</v>
      </c>
    </row>
    <row r="6342" spans="1:9">
      <c r="A6342" s="6">
        <v>45835</v>
      </c>
      <c r="B6342">
        <f>IFERROR(VLOOKUP($A6342,原始数据_收盘!$A$4:$G$3460,2,0),"")</f>
        <v>1.53</v>
      </c>
      <c r="C6342">
        <f>IFERROR(VLOOKUP($A6342,原始数据_收盘!$A$4:$G$3460,3,0),"")</f>
        <v>1.4875</v>
      </c>
      <c r="D6342">
        <f>IFERROR(VLOOKUP($A6342,原始数据_收盘!$A$4:$G$3460,4,0),"")</f>
        <v>1.5325</v>
      </c>
      <c r="E6342">
        <f>IFERROR(VLOOKUP($A6342,原始数据_收盘!$A$4:$G$3460,5,0),"")</f>
        <v>1.49</v>
      </c>
      <c r="F6342">
        <f>IFERROR(VLOOKUP($A6342,原始数据_收盘!$A$4:$G$3460,6,0),"")</f>
        <v>1.5313</v>
      </c>
      <c r="G6342">
        <f>IFERROR(VLOOKUP($A6342,原始数据_收盘!$A$4:$G$3460,7,0),"")</f>
        <v>1.4888</v>
      </c>
      <c r="H6342">
        <f>IFERROR(VLOOKUP($A6342,原始数据_利率互换_FR007_1年!$A$6:$C$4395,2,0),"")</f>
        <v>1.5294</v>
      </c>
      <c r="I6342">
        <f>IFERROR(VLOOKUP($A6342,原始数据_利率互换_FR007_1年!$A$6:$C$4395,3,0),"")</f>
        <v>1.4865</v>
      </c>
    </row>
    <row r="6343" spans="1:9">
      <c r="A6343" s="6">
        <v>45836</v>
      </c>
      <c r="B6343" t="str">
        <f>IFERROR(VLOOKUP($A6343,原始数据_收盘!$A$4:$G$3460,2,0),"")</f>
        <v/>
      </c>
      <c r="C6343" t="str">
        <f>IFERROR(VLOOKUP($A6343,原始数据_收盘!$A$4:$G$3460,3,0),"")</f>
        <v/>
      </c>
      <c r="D6343" t="str">
        <f>IFERROR(VLOOKUP($A6343,原始数据_收盘!$A$4:$G$3460,4,0),"")</f>
        <v/>
      </c>
      <c r="E6343" t="str">
        <f>IFERROR(VLOOKUP($A6343,原始数据_收盘!$A$4:$G$3460,5,0),"")</f>
        <v/>
      </c>
      <c r="F6343" t="str">
        <f>IFERROR(VLOOKUP($A6343,原始数据_收盘!$A$4:$G$3460,6,0),"")</f>
        <v/>
      </c>
      <c r="G6343" t="str">
        <f>IFERROR(VLOOKUP($A6343,原始数据_收盘!$A$4:$G$3460,7,0),"")</f>
        <v/>
      </c>
      <c r="H6343" t="str">
        <f>IFERROR(VLOOKUP($A6343,原始数据_利率互换_FR007_1年!$A$6:$C$4395,2,0),"")</f>
        <v/>
      </c>
      <c r="I6343" t="str">
        <f>IFERROR(VLOOKUP($A6343,原始数据_利率互换_FR007_1年!$A$6:$C$4395,3,0),"")</f>
        <v/>
      </c>
    </row>
    <row r="6344" spans="1:9">
      <c r="A6344" s="6">
        <v>45837</v>
      </c>
      <c r="B6344" t="str">
        <f>IFERROR(VLOOKUP($A6344,原始数据_收盘!$A$4:$G$3460,2,0),"")</f>
        <v/>
      </c>
      <c r="C6344" t="str">
        <f>IFERROR(VLOOKUP($A6344,原始数据_收盘!$A$4:$G$3460,3,0),"")</f>
        <v/>
      </c>
      <c r="D6344" t="str">
        <f>IFERROR(VLOOKUP($A6344,原始数据_收盘!$A$4:$G$3460,4,0),"")</f>
        <v/>
      </c>
      <c r="E6344" t="str">
        <f>IFERROR(VLOOKUP($A6344,原始数据_收盘!$A$4:$G$3460,5,0),"")</f>
        <v/>
      </c>
      <c r="F6344" t="str">
        <f>IFERROR(VLOOKUP($A6344,原始数据_收盘!$A$4:$G$3460,6,0),"")</f>
        <v/>
      </c>
      <c r="G6344" t="str">
        <f>IFERROR(VLOOKUP($A6344,原始数据_收盘!$A$4:$G$3460,7,0),"")</f>
        <v/>
      </c>
      <c r="H6344" t="str">
        <f>IFERROR(VLOOKUP($A6344,原始数据_利率互换_FR007_1年!$A$6:$C$4395,2,0),"")</f>
        <v/>
      </c>
      <c r="I6344" t="str">
        <f>IFERROR(VLOOKUP($A6344,原始数据_利率互换_FR007_1年!$A$6:$C$4395,3,0),"")</f>
        <v/>
      </c>
    </row>
    <row r="6345" spans="1:9">
      <c r="A6345" s="6">
        <v>45838</v>
      </c>
      <c r="B6345">
        <f>IFERROR(VLOOKUP($A6345,原始数据_收盘!$A$4:$G$3460,2,0),"")</f>
        <v>1.5425</v>
      </c>
      <c r="C6345">
        <f>IFERROR(VLOOKUP($A6345,原始数据_收盘!$A$4:$G$3460,3,0),"")</f>
        <v>1.4975</v>
      </c>
      <c r="D6345">
        <f>IFERROR(VLOOKUP($A6345,原始数据_收盘!$A$4:$G$3460,4,0),"")</f>
        <v>1.545</v>
      </c>
      <c r="E6345">
        <f>IFERROR(VLOOKUP($A6345,原始数据_收盘!$A$4:$G$3460,5,0),"")</f>
        <v>1.5001</v>
      </c>
      <c r="F6345">
        <f>IFERROR(VLOOKUP($A6345,原始数据_收盘!$A$4:$G$3460,6,0),"")</f>
        <v>1.5438</v>
      </c>
      <c r="G6345">
        <f>IFERROR(VLOOKUP($A6345,原始数据_收盘!$A$4:$G$3460,7,0),"")</f>
        <v>1.4988</v>
      </c>
      <c r="H6345">
        <f>IFERROR(VLOOKUP($A6345,原始数据_利率互换_FR007_1年!$A$6:$C$4395,2,0),"")</f>
        <v>1.5432</v>
      </c>
      <c r="I6345">
        <f>IFERROR(VLOOKUP($A6345,原始数据_利率互换_FR007_1年!$A$6:$C$4395,3,0),"")</f>
        <v>1.4996</v>
      </c>
    </row>
    <row r="6346" spans="1:9">
      <c r="A6346" s="6">
        <v>45839</v>
      </c>
      <c r="B6346">
        <f>IFERROR(VLOOKUP($A6346,原始数据_收盘!$A$4:$G$3460,2,0),"")</f>
        <v>1.54</v>
      </c>
      <c r="C6346">
        <f>IFERROR(VLOOKUP($A6346,原始数据_收盘!$A$4:$G$3460,3,0),"")</f>
        <v>1.49</v>
      </c>
      <c r="D6346">
        <f>IFERROR(VLOOKUP($A6346,原始数据_收盘!$A$4:$G$3460,4,0),"")</f>
        <v>1.5425</v>
      </c>
      <c r="E6346">
        <f>IFERROR(VLOOKUP($A6346,原始数据_收盘!$A$4:$G$3460,5,0),"")</f>
        <v>1.4925</v>
      </c>
      <c r="F6346">
        <f>IFERROR(VLOOKUP($A6346,原始数据_收盘!$A$4:$G$3460,6,0),"")</f>
        <v>1.5413</v>
      </c>
      <c r="G6346">
        <f>IFERROR(VLOOKUP($A6346,原始数据_收盘!$A$4:$G$3460,7,0),"")</f>
        <v>1.4913</v>
      </c>
      <c r="H6346">
        <f>IFERROR(VLOOKUP($A6346,原始数据_利率互换_FR007_1年!$A$6:$C$4395,2,0),"")</f>
        <v>1.5396</v>
      </c>
      <c r="I6346">
        <f>IFERROR(VLOOKUP($A6346,原始数据_利率互换_FR007_1年!$A$6:$C$4395,3,0),"")</f>
        <v>1.4925</v>
      </c>
    </row>
    <row r="6347" spans="1:9">
      <c r="A6347" s="6">
        <v>45840</v>
      </c>
      <c r="B6347">
        <f>IFERROR(VLOOKUP($A6347,原始数据_收盘!$A$4:$G$3460,2,0),"")</f>
        <v>1.515</v>
      </c>
      <c r="C6347">
        <f>IFERROR(VLOOKUP($A6347,原始数据_收盘!$A$4:$G$3460,3,0),"")</f>
        <v>1.4725</v>
      </c>
      <c r="D6347">
        <f>IFERROR(VLOOKUP($A6347,原始数据_收盘!$A$4:$G$3460,4,0),"")</f>
        <v>1.5175</v>
      </c>
      <c r="E6347">
        <f>IFERROR(VLOOKUP($A6347,原始数据_收盘!$A$4:$G$3460,5,0),"")</f>
        <v>1.475</v>
      </c>
      <c r="F6347">
        <f>IFERROR(VLOOKUP($A6347,原始数据_收盘!$A$4:$G$3460,6,0),"")</f>
        <v>1.5163</v>
      </c>
      <c r="G6347">
        <f>IFERROR(VLOOKUP($A6347,原始数据_收盘!$A$4:$G$3460,7,0),"")</f>
        <v>1.4738</v>
      </c>
      <c r="H6347">
        <f>IFERROR(VLOOKUP($A6347,原始数据_利率互换_FR007_1年!$A$6:$C$4395,2,0),"")</f>
        <v>1.5223</v>
      </c>
      <c r="I6347">
        <f>IFERROR(VLOOKUP($A6347,原始数据_利率互换_FR007_1年!$A$6:$C$4395,3,0),"")</f>
        <v>1.4772</v>
      </c>
    </row>
    <row r="6348" spans="1:9">
      <c r="A6348" s="6">
        <v>45841</v>
      </c>
      <c r="B6348">
        <f>IFERROR(VLOOKUP($A6348,原始数据_收盘!$A$4:$G$3460,2,0),"")</f>
        <v>1.5085</v>
      </c>
      <c r="C6348">
        <f>IFERROR(VLOOKUP($A6348,原始数据_收盘!$A$4:$G$3460,3,0),"")</f>
        <v>1.468</v>
      </c>
      <c r="D6348">
        <f>IFERROR(VLOOKUP($A6348,原始数据_收盘!$A$4:$G$3460,4,0),"")</f>
        <v>1.51</v>
      </c>
      <c r="E6348">
        <f>IFERROR(VLOOKUP($A6348,原始数据_收盘!$A$4:$G$3460,5,0),"")</f>
        <v>1.4705</v>
      </c>
      <c r="F6348">
        <f>IFERROR(VLOOKUP($A6348,原始数据_收盘!$A$4:$G$3460,6,0),"")</f>
        <v>1.5093</v>
      </c>
      <c r="G6348">
        <f>IFERROR(VLOOKUP($A6348,原始数据_收盘!$A$4:$G$3460,7,0),"")</f>
        <v>1.4693</v>
      </c>
      <c r="H6348">
        <f>IFERROR(VLOOKUP($A6348,原始数据_利率互换_FR007_1年!$A$6:$C$4395,2,0),"")</f>
        <v>1.5145</v>
      </c>
      <c r="I6348">
        <f>IFERROR(VLOOKUP($A6348,原始数据_利率互换_FR007_1年!$A$6:$C$4395,3,0),"")</f>
        <v>1.4713</v>
      </c>
    </row>
    <row r="6349" spans="1:9">
      <c r="A6349" s="6">
        <v>45842</v>
      </c>
      <c r="B6349">
        <f>IFERROR(VLOOKUP($A6349,原始数据_收盘!$A$4:$G$3460,2,0),"")</f>
        <v>1.5025</v>
      </c>
      <c r="C6349">
        <f>IFERROR(VLOOKUP($A6349,原始数据_收盘!$A$4:$G$3460,3,0),"")</f>
        <v>1.465</v>
      </c>
      <c r="D6349">
        <f>IFERROR(VLOOKUP($A6349,原始数据_收盘!$A$4:$G$3460,4,0),"")</f>
        <v>1.505</v>
      </c>
      <c r="E6349">
        <f>IFERROR(VLOOKUP($A6349,原始数据_收盘!$A$4:$G$3460,5,0),"")</f>
        <v>1.4675</v>
      </c>
      <c r="F6349">
        <f>IFERROR(VLOOKUP($A6349,原始数据_收盘!$A$4:$G$3460,6,0),"")</f>
        <v>1.5038</v>
      </c>
      <c r="G6349">
        <f>IFERROR(VLOOKUP($A6349,原始数据_收盘!$A$4:$G$3460,7,0),"")</f>
        <v>1.4663</v>
      </c>
      <c r="H6349">
        <f>IFERROR(VLOOKUP($A6349,原始数据_利率互换_FR007_1年!$A$6:$C$4395,2,0),"")</f>
        <v>1.5039</v>
      </c>
      <c r="I6349">
        <f>IFERROR(VLOOKUP($A6349,原始数据_利率互换_FR007_1年!$A$6:$C$4395,3,0),"")</f>
        <v>1.4634</v>
      </c>
    </row>
    <row r="6350" spans="1:9">
      <c r="A6350" s="6">
        <v>45843</v>
      </c>
      <c r="B6350" t="str">
        <f>IFERROR(VLOOKUP($A6350,原始数据_收盘!$A$4:$G$3460,2,0),"")</f>
        <v/>
      </c>
      <c r="C6350" t="str">
        <f>IFERROR(VLOOKUP($A6350,原始数据_收盘!$A$4:$G$3460,3,0),"")</f>
        <v/>
      </c>
      <c r="D6350" t="str">
        <f>IFERROR(VLOOKUP($A6350,原始数据_收盘!$A$4:$G$3460,4,0),"")</f>
        <v/>
      </c>
      <c r="E6350" t="str">
        <f>IFERROR(VLOOKUP($A6350,原始数据_收盘!$A$4:$G$3460,5,0),"")</f>
        <v/>
      </c>
      <c r="F6350" t="str">
        <f>IFERROR(VLOOKUP($A6350,原始数据_收盘!$A$4:$G$3460,6,0),"")</f>
        <v/>
      </c>
      <c r="G6350" t="str">
        <f>IFERROR(VLOOKUP($A6350,原始数据_收盘!$A$4:$G$3460,7,0),"")</f>
        <v/>
      </c>
      <c r="H6350" t="str">
        <f>IFERROR(VLOOKUP($A6350,原始数据_利率互换_FR007_1年!$A$6:$C$4395,2,0),"")</f>
        <v/>
      </c>
      <c r="I6350" t="str">
        <f>IFERROR(VLOOKUP($A6350,原始数据_利率互换_FR007_1年!$A$6:$C$4395,3,0),"")</f>
        <v/>
      </c>
    </row>
    <row r="6351" spans="1:9">
      <c r="A6351" s="6">
        <v>45844</v>
      </c>
      <c r="B6351" t="str">
        <f>IFERROR(VLOOKUP($A6351,原始数据_收盘!$A$4:$G$3460,2,0),"")</f>
        <v/>
      </c>
      <c r="C6351" t="str">
        <f>IFERROR(VLOOKUP($A6351,原始数据_收盘!$A$4:$G$3460,3,0),"")</f>
        <v/>
      </c>
      <c r="D6351" t="str">
        <f>IFERROR(VLOOKUP($A6351,原始数据_收盘!$A$4:$G$3460,4,0),"")</f>
        <v/>
      </c>
      <c r="E6351" t="str">
        <f>IFERROR(VLOOKUP($A6351,原始数据_收盘!$A$4:$G$3460,5,0),"")</f>
        <v/>
      </c>
      <c r="F6351" t="str">
        <f>IFERROR(VLOOKUP($A6351,原始数据_收盘!$A$4:$G$3460,6,0),"")</f>
        <v/>
      </c>
      <c r="G6351" t="str">
        <f>IFERROR(VLOOKUP($A6351,原始数据_收盘!$A$4:$G$3460,7,0),"")</f>
        <v/>
      </c>
      <c r="H6351" t="str">
        <f>IFERROR(VLOOKUP($A6351,原始数据_利率互换_FR007_1年!$A$6:$C$4395,2,0),"")</f>
        <v/>
      </c>
      <c r="I6351" t="str">
        <f>IFERROR(VLOOKUP($A6351,原始数据_利率互换_FR007_1年!$A$6:$C$4395,3,0),"")</f>
        <v/>
      </c>
    </row>
    <row r="6352" spans="1:9">
      <c r="A6352" s="6">
        <v>45845</v>
      </c>
      <c r="B6352">
        <f>IFERROR(VLOOKUP($A6352,原始数据_收盘!$A$4:$G$3460,2,0),"")</f>
        <v>1.5125</v>
      </c>
      <c r="C6352">
        <f>IFERROR(VLOOKUP($A6352,原始数据_收盘!$A$4:$G$3460,3,0),"")</f>
        <v>1.475</v>
      </c>
      <c r="D6352">
        <f>IFERROR(VLOOKUP($A6352,原始数据_收盘!$A$4:$G$3460,4,0),"")</f>
        <v>1.515</v>
      </c>
      <c r="E6352">
        <f>IFERROR(VLOOKUP($A6352,原始数据_收盘!$A$4:$G$3460,5,0),"")</f>
        <v>1.4775</v>
      </c>
      <c r="F6352">
        <f>IFERROR(VLOOKUP($A6352,原始数据_收盘!$A$4:$G$3460,6,0),"")</f>
        <v>1.5138</v>
      </c>
      <c r="G6352">
        <f>IFERROR(VLOOKUP($A6352,原始数据_收盘!$A$4:$G$3460,7,0),"")</f>
        <v>1.4763</v>
      </c>
      <c r="H6352">
        <f>IFERROR(VLOOKUP($A6352,原始数据_利率互换_FR007_1年!$A$6:$C$4395,2,0),"")</f>
        <v>1.5086</v>
      </c>
      <c r="I6352">
        <f>IFERROR(VLOOKUP($A6352,原始数据_利率互换_FR007_1年!$A$6:$C$4395,3,0),"")</f>
        <v>1.4709</v>
      </c>
    </row>
    <row r="6353" spans="1:9">
      <c r="A6353" s="6">
        <v>45846</v>
      </c>
      <c r="B6353">
        <f>IFERROR(VLOOKUP($A6353,原始数据_收盘!$A$4:$G$3460,2,0),"")</f>
        <v>1.5227</v>
      </c>
      <c r="C6353">
        <f>IFERROR(VLOOKUP($A6353,原始数据_收盘!$A$4:$G$3460,3,0),"")</f>
        <v>1.4852</v>
      </c>
      <c r="D6353">
        <f>IFERROR(VLOOKUP($A6353,原始数据_收盘!$A$4:$G$3460,4,0),"")</f>
        <v>1.5252</v>
      </c>
      <c r="E6353">
        <f>IFERROR(VLOOKUP($A6353,原始数据_收盘!$A$4:$G$3460,5,0),"")</f>
        <v>1.4883</v>
      </c>
      <c r="F6353">
        <f>IFERROR(VLOOKUP($A6353,原始数据_收盘!$A$4:$G$3460,6,0),"")</f>
        <v>1.5239</v>
      </c>
      <c r="G6353">
        <f>IFERROR(VLOOKUP($A6353,原始数据_收盘!$A$4:$G$3460,7,0),"")</f>
        <v>1.4867</v>
      </c>
      <c r="H6353">
        <f>IFERROR(VLOOKUP($A6353,原始数据_利率互换_FR007_1年!$A$6:$C$4395,2,0),"")</f>
        <v>1.5216</v>
      </c>
      <c r="I6353">
        <f>IFERROR(VLOOKUP($A6353,原始数据_利率互换_FR007_1年!$A$6:$C$4395,3,0),"")</f>
        <v>1.4864</v>
      </c>
    </row>
    <row r="6354" spans="1:9">
      <c r="A6354" s="6">
        <v>45847</v>
      </c>
      <c r="B6354">
        <f>IFERROR(VLOOKUP($A6354,原始数据_收盘!$A$4:$G$3460,2,0),"")</f>
        <v>1.53</v>
      </c>
      <c r="C6354">
        <f>IFERROR(VLOOKUP($A6354,原始数据_收盘!$A$4:$G$3460,3,0),"")</f>
        <v>1.4875</v>
      </c>
      <c r="D6354">
        <f>IFERROR(VLOOKUP($A6354,原始数据_收盘!$A$4:$G$3460,4,0),"")</f>
        <v>1.5325</v>
      </c>
      <c r="E6354">
        <f>IFERROR(VLOOKUP($A6354,原始数据_收盘!$A$4:$G$3460,5,0),"")</f>
        <v>1.49</v>
      </c>
      <c r="F6354">
        <f>IFERROR(VLOOKUP($A6354,原始数据_收盘!$A$4:$G$3460,6,0),"")</f>
        <v>1.5313</v>
      </c>
      <c r="G6354">
        <f>IFERROR(VLOOKUP($A6354,原始数据_收盘!$A$4:$G$3460,7,0),"")</f>
        <v>1.4888</v>
      </c>
      <c r="H6354">
        <f>IFERROR(VLOOKUP($A6354,原始数据_利率互换_FR007_1年!$A$6:$C$4395,2,0),"")</f>
        <v>1.5323</v>
      </c>
      <c r="I6354">
        <f>IFERROR(VLOOKUP($A6354,原始数据_利率互换_FR007_1年!$A$6:$C$4395,3,0),"")</f>
        <v>1.4922</v>
      </c>
    </row>
    <row r="6355" spans="1:9">
      <c r="A6355" s="6">
        <v>45848</v>
      </c>
      <c r="B6355">
        <f>IFERROR(VLOOKUP($A6355,原始数据_收盘!$A$4:$G$3460,2,0),"")</f>
        <v>1.5425</v>
      </c>
      <c r="C6355">
        <f>IFERROR(VLOOKUP($A6355,原始数据_收盘!$A$4:$G$3460,3,0),"")</f>
        <v>1.51</v>
      </c>
      <c r="D6355">
        <f>IFERROR(VLOOKUP($A6355,原始数据_收盘!$A$4:$G$3460,4,0),"")</f>
        <v>1.545</v>
      </c>
      <c r="E6355">
        <f>IFERROR(VLOOKUP($A6355,原始数据_收盘!$A$4:$G$3460,5,0),"")</f>
        <v>1.5113</v>
      </c>
      <c r="F6355">
        <f>IFERROR(VLOOKUP($A6355,原始数据_收盘!$A$4:$G$3460,6,0),"")</f>
        <v>1.5438</v>
      </c>
      <c r="G6355">
        <f>IFERROR(VLOOKUP($A6355,原始数据_收盘!$A$4:$G$3460,7,0),"")</f>
        <v>1.5106</v>
      </c>
      <c r="H6355">
        <f>IFERROR(VLOOKUP($A6355,原始数据_利率互换_FR007_1年!$A$6:$C$4395,2,0),"")</f>
        <v>1.5405</v>
      </c>
      <c r="I6355">
        <f>IFERROR(VLOOKUP($A6355,原始数据_利率互换_FR007_1年!$A$6:$C$4395,3,0),"")</f>
        <v>1.5053</v>
      </c>
    </row>
    <row r="6356" spans="1:9">
      <c r="A6356" s="6">
        <v>45849</v>
      </c>
      <c r="B6356">
        <f>IFERROR(VLOOKUP($A6356,原始数据_收盘!$A$4:$G$3460,2,0),"")</f>
        <v>1.5275</v>
      </c>
      <c r="C6356">
        <f>IFERROR(VLOOKUP($A6356,原始数据_收盘!$A$4:$G$3460,3,0),"")</f>
        <v>1.5127</v>
      </c>
      <c r="D6356">
        <f>IFERROR(VLOOKUP($A6356,原始数据_收盘!$A$4:$G$3460,4,0),"")</f>
        <v>1.5307</v>
      </c>
      <c r="E6356">
        <f>IFERROR(VLOOKUP($A6356,原始数据_收盘!$A$4:$G$3460,5,0),"")</f>
        <v>1.5158</v>
      </c>
      <c r="F6356">
        <f>IFERROR(VLOOKUP($A6356,原始数据_收盘!$A$4:$G$3460,6,0),"")</f>
        <v>1.5291</v>
      </c>
      <c r="G6356">
        <f>IFERROR(VLOOKUP($A6356,原始数据_收盘!$A$4:$G$3460,7,0),"")</f>
        <v>1.5142</v>
      </c>
      <c r="H6356">
        <f>IFERROR(VLOOKUP($A6356,原始数据_利率互换_FR007_1年!$A$6:$C$4395,2,0),"")</f>
        <v>1.5412</v>
      </c>
      <c r="I6356">
        <f>IFERROR(VLOOKUP($A6356,原始数据_利率互换_FR007_1年!$A$6:$C$4395,3,0),"")</f>
        <v>1.5187</v>
      </c>
    </row>
    <row r="6357" spans="1:9">
      <c r="A6357" s="6">
        <v>45850</v>
      </c>
      <c r="B6357" t="str">
        <f>IFERROR(VLOOKUP($A6357,原始数据_收盘!$A$4:$G$3460,2,0),"")</f>
        <v/>
      </c>
      <c r="C6357" t="str">
        <f>IFERROR(VLOOKUP($A6357,原始数据_收盘!$A$4:$G$3460,3,0),"")</f>
        <v/>
      </c>
      <c r="D6357" t="str">
        <f>IFERROR(VLOOKUP($A6357,原始数据_收盘!$A$4:$G$3460,4,0),"")</f>
        <v/>
      </c>
      <c r="E6357" t="str">
        <f>IFERROR(VLOOKUP($A6357,原始数据_收盘!$A$4:$G$3460,5,0),"")</f>
        <v/>
      </c>
      <c r="F6357" t="str">
        <f>IFERROR(VLOOKUP($A6357,原始数据_收盘!$A$4:$G$3460,6,0),"")</f>
        <v/>
      </c>
      <c r="G6357" t="str">
        <f>IFERROR(VLOOKUP($A6357,原始数据_收盘!$A$4:$G$3460,7,0),"")</f>
        <v/>
      </c>
      <c r="H6357" t="str">
        <f>IFERROR(VLOOKUP($A6357,原始数据_利率互换_FR007_1年!$A$6:$C$4395,2,0),"")</f>
        <v/>
      </c>
      <c r="I6357" t="str">
        <f>IFERROR(VLOOKUP($A6357,原始数据_利率互换_FR007_1年!$A$6:$C$4395,3,0),"")</f>
        <v/>
      </c>
    </row>
    <row r="6358" spans="1:9">
      <c r="A6358" s="6">
        <v>45851</v>
      </c>
      <c r="B6358" t="str">
        <f>IFERROR(VLOOKUP($A6358,原始数据_收盘!$A$4:$G$3460,2,0),"")</f>
        <v/>
      </c>
      <c r="C6358" t="str">
        <f>IFERROR(VLOOKUP($A6358,原始数据_收盘!$A$4:$G$3460,3,0),"")</f>
        <v/>
      </c>
      <c r="D6358" t="str">
        <f>IFERROR(VLOOKUP($A6358,原始数据_收盘!$A$4:$G$3460,4,0),"")</f>
        <v/>
      </c>
      <c r="E6358" t="str">
        <f>IFERROR(VLOOKUP($A6358,原始数据_收盘!$A$4:$G$3460,5,0),"")</f>
        <v/>
      </c>
      <c r="F6358" t="str">
        <f>IFERROR(VLOOKUP($A6358,原始数据_收盘!$A$4:$G$3460,6,0),"")</f>
        <v/>
      </c>
      <c r="G6358" t="str">
        <f>IFERROR(VLOOKUP($A6358,原始数据_收盘!$A$4:$G$3460,7,0),"")</f>
        <v/>
      </c>
      <c r="H6358" t="str">
        <f>IFERROR(VLOOKUP($A6358,原始数据_利率互换_FR007_1年!$A$6:$C$4395,2,0),"")</f>
        <v/>
      </c>
      <c r="I6358" t="str">
        <f>IFERROR(VLOOKUP($A6358,原始数据_利率互换_FR007_1年!$A$6:$C$4395,3,0),"")</f>
        <v/>
      </c>
    </row>
    <row r="6359" spans="1:9">
      <c r="A6359" s="6">
        <v>45852</v>
      </c>
      <c r="B6359">
        <f>IFERROR(VLOOKUP($A6359,原始数据_收盘!$A$4:$G$3460,2,0),"")</f>
        <v>1.5375</v>
      </c>
      <c r="C6359">
        <f>IFERROR(VLOOKUP($A6359,原始数据_收盘!$A$4:$G$3460,3,0),"")</f>
        <v>1.5381</v>
      </c>
      <c r="D6359">
        <f>IFERROR(VLOOKUP($A6359,原始数据_收盘!$A$4:$G$3460,4,0),"")</f>
        <v>1.5425</v>
      </c>
      <c r="E6359">
        <f>IFERROR(VLOOKUP($A6359,原始数据_收盘!$A$4:$G$3460,5,0),"")</f>
        <v>1.5409</v>
      </c>
      <c r="F6359">
        <f>IFERROR(VLOOKUP($A6359,原始数据_收盘!$A$4:$G$3460,6,0),"")</f>
        <v>1.54</v>
      </c>
      <c r="G6359">
        <f>IFERROR(VLOOKUP($A6359,原始数据_收盘!$A$4:$G$3460,7,0),"")</f>
        <v>1.5395</v>
      </c>
      <c r="H6359">
        <f>IFERROR(VLOOKUP($A6359,原始数据_利率互换_FR007_1年!$A$6:$C$4395,2,0),"")</f>
        <v>1.5412</v>
      </c>
      <c r="I6359">
        <f>IFERROR(VLOOKUP($A6359,原始数据_利率互换_FR007_1年!$A$6:$C$4395,3,0),"")</f>
        <v>1.5364</v>
      </c>
    </row>
    <row r="6360" spans="1:9">
      <c r="A6360" s="6">
        <v>45853</v>
      </c>
      <c r="B6360">
        <f>IFERROR(VLOOKUP($A6360,原始数据_收盘!$A$4:$G$3460,2,0),"")</f>
        <v>1.525</v>
      </c>
      <c r="C6360">
        <f>IFERROR(VLOOKUP($A6360,原始数据_收盘!$A$4:$G$3460,3,0),"")</f>
        <v>1.5025</v>
      </c>
      <c r="D6360">
        <f>IFERROR(VLOOKUP($A6360,原始数据_收盘!$A$4:$G$3460,4,0),"")</f>
        <v>1.5275</v>
      </c>
      <c r="E6360">
        <f>IFERROR(VLOOKUP($A6360,原始数据_收盘!$A$4:$G$3460,5,0),"")</f>
        <v>1.505</v>
      </c>
      <c r="F6360">
        <f>IFERROR(VLOOKUP($A6360,原始数据_收盘!$A$4:$G$3460,6,0),"")</f>
        <v>1.5263</v>
      </c>
      <c r="G6360">
        <f>IFERROR(VLOOKUP($A6360,原始数据_收盘!$A$4:$G$3460,7,0),"")</f>
        <v>1.5038</v>
      </c>
      <c r="H6360">
        <f>IFERROR(VLOOKUP($A6360,原始数据_利率互换_FR007_1年!$A$6:$C$4395,2,0),"")</f>
        <v>1.5321</v>
      </c>
      <c r="I6360">
        <f>IFERROR(VLOOKUP($A6360,原始数据_利率互换_FR007_1年!$A$6:$C$4395,3,0),"")</f>
        <v>1.5224</v>
      </c>
    </row>
    <row r="6361" spans="1:9">
      <c r="A6361" s="6">
        <v>45854</v>
      </c>
      <c r="B6361">
        <f>IFERROR(VLOOKUP($A6361,原始数据_收盘!$A$4:$G$3460,2,0),"")</f>
        <v>1.5289</v>
      </c>
      <c r="C6361">
        <f>IFERROR(VLOOKUP($A6361,原始数据_收盘!$A$4:$G$3460,3,0),"")</f>
        <v>1.5175</v>
      </c>
      <c r="D6361">
        <f>IFERROR(VLOOKUP($A6361,原始数据_收盘!$A$4:$G$3460,4,0),"")</f>
        <v>1.5314</v>
      </c>
      <c r="E6361">
        <f>IFERROR(VLOOKUP($A6361,原始数据_收盘!$A$4:$G$3460,5,0),"")</f>
        <v>1.5202</v>
      </c>
      <c r="F6361">
        <f>IFERROR(VLOOKUP($A6361,原始数据_收盘!$A$4:$G$3460,6,0),"")</f>
        <v>1.5302</v>
      </c>
      <c r="G6361">
        <f>IFERROR(VLOOKUP($A6361,原始数据_收盘!$A$4:$G$3460,7,0),"")</f>
        <v>1.5188</v>
      </c>
      <c r="H6361">
        <f>IFERROR(VLOOKUP($A6361,原始数据_利率互换_FR007_1年!$A$6:$C$4395,2,0),"")</f>
        <v>1.5256</v>
      </c>
      <c r="I6361">
        <f>IFERROR(VLOOKUP($A6361,原始数据_利率互换_FR007_1年!$A$6:$C$4395,3,0),"")</f>
        <v>1.5129</v>
      </c>
    </row>
    <row r="6362" spans="1:9">
      <c r="A6362" s="6">
        <v>45855</v>
      </c>
      <c r="B6362">
        <f>IFERROR(VLOOKUP($A6362,原始数据_收盘!$A$4:$G$3460,2,0),"")</f>
        <v>1.5225</v>
      </c>
      <c r="C6362">
        <f>IFERROR(VLOOKUP($A6362,原始数据_收盘!$A$4:$G$3460,3,0),"")</f>
        <v>1.5225</v>
      </c>
      <c r="D6362">
        <f>IFERROR(VLOOKUP($A6362,原始数据_收盘!$A$4:$G$3460,4,0),"")</f>
        <v>1.525</v>
      </c>
      <c r="E6362">
        <f>IFERROR(VLOOKUP($A6362,原始数据_收盘!$A$4:$G$3460,5,0),"")</f>
        <v>1.525</v>
      </c>
      <c r="F6362">
        <f>IFERROR(VLOOKUP($A6362,原始数据_收盘!$A$4:$G$3460,6,0),"")</f>
        <v>1.5238</v>
      </c>
      <c r="G6362">
        <f>IFERROR(VLOOKUP($A6362,原始数据_收盘!$A$4:$G$3460,7,0),"")</f>
        <v>1.5238</v>
      </c>
      <c r="H6362">
        <f>IFERROR(VLOOKUP($A6362,原始数据_利率互换_FR007_1年!$A$6:$C$4395,2,0),"")</f>
        <v>1.5278</v>
      </c>
      <c r="I6362">
        <f>IFERROR(VLOOKUP($A6362,原始数据_利率互换_FR007_1年!$A$6:$C$4395,3,0),"")</f>
        <v>1.5224</v>
      </c>
    </row>
    <row r="6363" spans="1:9">
      <c r="A6363" s="6">
        <v>45856</v>
      </c>
      <c r="B6363">
        <f>IFERROR(VLOOKUP($A6363,原始数据_收盘!$A$4:$G$3460,2,0),"")</f>
        <v>1.515</v>
      </c>
      <c r="C6363">
        <f>IFERROR(VLOOKUP($A6363,原始数据_收盘!$A$4:$G$3460,3,0),"")</f>
        <v>1.5325</v>
      </c>
      <c r="D6363">
        <f>IFERROR(VLOOKUP($A6363,原始数据_收盘!$A$4:$G$3460,4,0),"")</f>
        <v>1.5175</v>
      </c>
      <c r="E6363">
        <f>IFERROR(VLOOKUP($A6363,原始数据_收盘!$A$4:$G$3460,5,0),"")</f>
        <v>1.535</v>
      </c>
      <c r="F6363">
        <f>IFERROR(VLOOKUP($A6363,原始数据_收盘!$A$4:$G$3460,6,0),"")</f>
        <v>1.5163</v>
      </c>
      <c r="G6363">
        <f>IFERROR(VLOOKUP($A6363,原始数据_收盘!$A$4:$G$3460,7,0),"")</f>
        <v>1.5338</v>
      </c>
      <c r="H6363">
        <f>IFERROR(VLOOKUP($A6363,原始数据_利率互换_FR007_1年!$A$6:$C$4395,2,0),"")</f>
        <v>1.5208</v>
      </c>
      <c r="I6363">
        <f>IFERROR(VLOOKUP($A6363,原始数据_利率互换_FR007_1年!$A$6:$C$4395,3,0),"")</f>
        <v>1.5349</v>
      </c>
    </row>
    <row r="6364" spans="1:9">
      <c r="A6364" s="6">
        <v>45857</v>
      </c>
      <c r="B6364" t="str">
        <f>IFERROR(VLOOKUP($A6364,原始数据_收盘!$A$4:$G$3460,2,0),"")</f>
        <v/>
      </c>
      <c r="C6364" t="str">
        <f>IFERROR(VLOOKUP($A6364,原始数据_收盘!$A$4:$G$3460,3,0),"")</f>
        <v/>
      </c>
      <c r="D6364" t="str">
        <f>IFERROR(VLOOKUP($A6364,原始数据_收盘!$A$4:$G$3460,4,0),"")</f>
        <v/>
      </c>
      <c r="E6364" t="str">
        <f>IFERROR(VLOOKUP($A6364,原始数据_收盘!$A$4:$G$3460,5,0),"")</f>
        <v/>
      </c>
      <c r="F6364" t="str">
        <f>IFERROR(VLOOKUP($A6364,原始数据_收盘!$A$4:$G$3460,6,0),"")</f>
        <v/>
      </c>
      <c r="G6364" t="str">
        <f>IFERROR(VLOOKUP($A6364,原始数据_收盘!$A$4:$G$3460,7,0),"")</f>
        <v/>
      </c>
      <c r="H6364" t="str">
        <f>IFERROR(VLOOKUP($A6364,原始数据_利率互换_FR007_1年!$A$6:$C$4395,2,0),"")</f>
        <v/>
      </c>
      <c r="I6364" t="str">
        <f>IFERROR(VLOOKUP($A6364,原始数据_利率互换_FR007_1年!$A$6:$C$4395,3,0),"")</f>
        <v/>
      </c>
    </row>
    <row r="6365" spans="1:9">
      <c r="A6365" s="6">
        <v>45858</v>
      </c>
      <c r="B6365" t="str">
        <f>IFERROR(VLOOKUP($A6365,原始数据_收盘!$A$4:$G$3460,2,0),"")</f>
        <v/>
      </c>
      <c r="C6365" t="str">
        <f>IFERROR(VLOOKUP($A6365,原始数据_收盘!$A$4:$G$3460,3,0),"")</f>
        <v/>
      </c>
      <c r="D6365" t="str">
        <f>IFERROR(VLOOKUP($A6365,原始数据_收盘!$A$4:$G$3460,4,0),"")</f>
        <v/>
      </c>
      <c r="E6365" t="str">
        <f>IFERROR(VLOOKUP($A6365,原始数据_收盘!$A$4:$G$3460,5,0),"")</f>
        <v/>
      </c>
      <c r="F6365" t="str">
        <f>IFERROR(VLOOKUP($A6365,原始数据_收盘!$A$4:$G$3460,6,0),"")</f>
        <v/>
      </c>
      <c r="G6365" t="str">
        <f>IFERROR(VLOOKUP($A6365,原始数据_收盘!$A$4:$G$3460,7,0),"")</f>
        <v/>
      </c>
      <c r="H6365" t="str">
        <f>IFERROR(VLOOKUP($A6365,原始数据_利率互换_FR007_1年!$A$6:$C$4395,2,0),"")</f>
        <v/>
      </c>
      <c r="I6365" t="str">
        <f>IFERROR(VLOOKUP($A6365,原始数据_利率互换_FR007_1年!$A$6:$C$4395,3,0),"")</f>
        <v/>
      </c>
    </row>
    <row r="6366" spans="1:9">
      <c r="A6366" s="6">
        <v>45859</v>
      </c>
      <c r="B6366">
        <f>IFERROR(VLOOKUP($A6366,原始数据_收盘!$A$4:$G$3460,2,0),"")</f>
        <v>1.515</v>
      </c>
      <c r="C6366">
        <f>IFERROR(VLOOKUP($A6366,原始数据_收盘!$A$4:$G$3460,3,0),"")</f>
        <v>1.5459</v>
      </c>
      <c r="D6366">
        <f>IFERROR(VLOOKUP($A6366,原始数据_收盘!$A$4:$G$3460,4,0),"")</f>
        <v>1.5175</v>
      </c>
      <c r="E6366">
        <f>IFERROR(VLOOKUP($A6366,原始数据_收盘!$A$4:$G$3460,5,0),"")</f>
        <v>1.55</v>
      </c>
      <c r="F6366">
        <f>IFERROR(VLOOKUP($A6366,原始数据_收盘!$A$4:$G$3460,6,0),"")</f>
        <v>1.5163</v>
      </c>
      <c r="G6366">
        <f>IFERROR(VLOOKUP($A6366,原始数据_收盘!$A$4:$G$3460,7,0),"")</f>
        <v>1.5479</v>
      </c>
      <c r="H6366">
        <f>IFERROR(VLOOKUP($A6366,原始数据_利率互换_FR007_1年!$A$6:$C$4395,2,0),"")</f>
        <v>1.5213</v>
      </c>
      <c r="I6366">
        <f>IFERROR(VLOOKUP($A6366,原始数据_利率互换_FR007_1年!$A$6:$C$4395,3,0),"")</f>
        <v>1.553</v>
      </c>
    </row>
    <row r="6367" spans="1:9">
      <c r="A6367" s="6">
        <v>45860</v>
      </c>
      <c r="B6367">
        <f>IFERROR(VLOOKUP($A6367,原始数据_收盘!$A$4:$G$3460,2,0),"")</f>
        <v>1.5075</v>
      </c>
      <c r="C6367">
        <f>IFERROR(VLOOKUP($A6367,原始数据_收盘!$A$4:$G$3460,3,0),"")</f>
        <v>1.56</v>
      </c>
      <c r="D6367">
        <f>IFERROR(VLOOKUP($A6367,原始数据_收盘!$A$4:$G$3460,4,0),"")</f>
        <v>1.5122</v>
      </c>
      <c r="E6367">
        <f>IFERROR(VLOOKUP($A6367,原始数据_收盘!$A$4:$G$3460,5,0),"")</f>
        <v>1.5625</v>
      </c>
      <c r="F6367">
        <f>IFERROR(VLOOKUP($A6367,原始数据_收盘!$A$4:$G$3460,6,0),"")</f>
        <v>1.5098</v>
      </c>
      <c r="G6367">
        <f>IFERROR(VLOOKUP($A6367,原始数据_收盘!$A$4:$G$3460,7,0),"")</f>
        <v>1.5613</v>
      </c>
      <c r="H6367">
        <f>IFERROR(VLOOKUP($A6367,原始数据_利率互换_FR007_1年!$A$6:$C$4395,2,0),"")</f>
        <v>1.5072</v>
      </c>
      <c r="I6367">
        <f>IFERROR(VLOOKUP($A6367,原始数据_利率互换_FR007_1年!$A$6:$C$4395,3,0),"")</f>
        <v>1.5528</v>
      </c>
    </row>
    <row r="6368" spans="1:9">
      <c r="A6368" s="6">
        <v>45861</v>
      </c>
      <c r="B6368">
        <f>IFERROR(VLOOKUP($A6368,原始数据_收盘!$A$4:$G$3460,2,0),"")</f>
        <v>1.5227</v>
      </c>
      <c r="C6368">
        <f>IFERROR(VLOOKUP($A6368,原始数据_收盘!$A$4:$G$3460,3,0),"")</f>
        <v>1.5699</v>
      </c>
      <c r="D6368">
        <f>IFERROR(VLOOKUP($A6368,原始数据_收盘!$A$4:$G$3460,4,0),"")</f>
        <v>1.5252</v>
      </c>
      <c r="E6368">
        <f>IFERROR(VLOOKUP($A6368,原始数据_收盘!$A$4:$G$3460,5,0),"")</f>
        <v>1.5734</v>
      </c>
      <c r="F6368">
        <f>IFERROR(VLOOKUP($A6368,原始数据_收盘!$A$4:$G$3460,6,0),"")</f>
        <v>1.5239</v>
      </c>
      <c r="G6368">
        <f>IFERROR(VLOOKUP($A6368,原始数据_收盘!$A$4:$G$3460,7,0),"")</f>
        <v>1.5716</v>
      </c>
      <c r="H6368">
        <f>IFERROR(VLOOKUP($A6368,原始数据_利率互换_FR007_1年!$A$6:$C$4395,2,0),"")</f>
        <v>1.5198</v>
      </c>
      <c r="I6368">
        <f>IFERROR(VLOOKUP($A6368,原始数据_利率互换_FR007_1年!$A$6:$C$4395,3,0),"")</f>
        <v>1.577</v>
      </c>
    </row>
    <row r="6369" spans="1:9">
      <c r="A6369" s="6">
        <v>45862</v>
      </c>
      <c r="B6369">
        <f>IFERROR(VLOOKUP($A6369,原始数据_收盘!$A$4:$G$3460,2,0),"")</f>
        <v>1.55</v>
      </c>
      <c r="C6369">
        <f>IFERROR(VLOOKUP($A6369,原始数据_收盘!$A$4:$G$3460,3,0),"")</f>
        <v>1.5989</v>
      </c>
      <c r="D6369">
        <f>IFERROR(VLOOKUP($A6369,原始数据_收盘!$A$4:$G$3460,4,0),"")</f>
        <v>1.5525</v>
      </c>
      <c r="E6369">
        <f>IFERROR(VLOOKUP($A6369,原始数据_收盘!$A$4:$G$3460,5,0),"")</f>
        <v>1.602</v>
      </c>
      <c r="F6369">
        <f>IFERROR(VLOOKUP($A6369,原始数据_收盘!$A$4:$G$3460,6,0),"")</f>
        <v>1.5513</v>
      </c>
      <c r="G6369">
        <f>IFERROR(VLOOKUP($A6369,原始数据_收盘!$A$4:$G$3460,7,0),"")</f>
        <v>1.6005</v>
      </c>
      <c r="H6369">
        <f>IFERROR(VLOOKUP($A6369,原始数据_利率互换_FR007_1年!$A$6:$C$4395,2,0),"")</f>
        <v>1.5475</v>
      </c>
      <c r="I6369">
        <f>IFERROR(VLOOKUP($A6369,原始数据_利率互换_FR007_1年!$A$6:$C$4395,3,0),"")</f>
        <v>1.5923</v>
      </c>
    </row>
    <row r="6370" spans="1:9">
      <c r="A6370" s="6">
        <v>45863</v>
      </c>
      <c r="B6370">
        <f>IFERROR(VLOOKUP($A6370,原始数据_收盘!$A$4:$G$3460,2,0),"")</f>
        <v>1.54</v>
      </c>
      <c r="C6370">
        <f>IFERROR(VLOOKUP($A6370,原始数据_收盘!$A$4:$G$3460,3,0),"")</f>
        <v>1.5975</v>
      </c>
      <c r="D6370">
        <f>IFERROR(VLOOKUP($A6370,原始数据_收盘!$A$4:$G$3460,4,0),"")</f>
        <v>1.5425</v>
      </c>
      <c r="E6370">
        <f>IFERROR(VLOOKUP($A6370,原始数据_收盘!$A$4:$G$3460,5,0),"")</f>
        <v>1.6</v>
      </c>
      <c r="F6370">
        <f>IFERROR(VLOOKUP($A6370,原始数据_收盘!$A$4:$G$3460,6,0),"")</f>
        <v>1.5413</v>
      </c>
      <c r="G6370">
        <f>IFERROR(VLOOKUP($A6370,原始数据_收盘!$A$4:$G$3460,7,0),"")</f>
        <v>1.5988</v>
      </c>
      <c r="H6370">
        <f>IFERROR(VLOOKUP($A6370,原始数据_利率互换_FR007_1年!$A$6:$C$4395,2,0),"")</f>
        <v>1.541</v>
      </c>
      <c r="I6370">
        <f>IFERROR(VLOOKUP($A6370,原始数据_利率互换_FR007_1年!$A$6:$C$4395,3,0),"")</f>
        <v>1.5947</v>
      </c>
    </row>
    <row r="6371" spans="1:9">
      <c r="A6371" s="6">
        <v>45864</v>
      </c>
      <c r="B6371" t="str">
        <f>IFERROR(VLOOKUP($A6371,原始数据_收盘!$A$4:$G$3460,2,0),"")</f>
        <v/>
      </c>
      <c r="C6371" t="str">
        <f>IFERROR(VLOOKUP($A6371,原始数据_收盘!$A$4:$G$3460,3,0),"")</f>
        <v/>
      </c>
      <c r="D6371" t="str">
        <f>IFERROR(VLOOKUP($A6371,原始数据_收盘!$A$4:$G$3460,4,0),"")</f>
        <v/>
      </c>
      <c r="E6371" t="str">
        <f>IFERROR(VLOOKUP($A6371,原始数据_收盘!$A$4:$G$3460,5,0),"")</f>
        <v/>
      </c>
      <c r="F6371" t="str">
        <f>IFERROR(VLOOKUP($A6371,原始数据_收盘!$A$4:$G$3460,6,0),"")</f>
        <v/>
      </c>
      <c r="G6371" t="str">
        <f>IFERROR(VLOOKUP($A6371,原始数据_收盘!$A$4:$G$3460,7,0),"")</f>
        <v/>
      </c>
      <c r="H6371" t="str">
        <f>IFERROR(VLOOKUP($A6371,原始数据_利率互换_FR007_1年!$A$6:$C$4395,2,0),"")</f>
        <v/>
      </c>
      <c r="I6371" t="str">
        <f>IFERROR(VLOOKUP($A6371,原始数据_利率互换_FR007_1年!$A$6:$C$4395,3,0),"")</f>
        <v/>
      </c>
    </row>
    <row r="6372" spans="1:9">
      <c r="A6372" s="6">
        <v>45865</v>
      </c>
      <c r="B6372" t="str">
        <f>IFERROR(VLOOKUP($A6372,原始数据_收盘!$A$4:$G$3460,2,0),"")</f>
        <v/>
      </c>
      <c r="C6372" t="str">
        <f>IFERROR(VLOOKUP($A6372,原始数据_收盘!$A$4:$G$3460,3,0),"")</f>
        <v/>
      </c>
      <c r="D6372" t="str">
        <f>IFERROR(VLOOKUP($A6372,原始数据_收盘!$A$4:$G$3460,4,0),"")</f>
        <v/>
      </c>
      <c r="E6372" t="str">
        <f>IFERROR(VLOOKUP($A6372,原始数据_收盘!$A$4:$G$3460,5,0),"")</f>
        <v/>
      </c>
      <c r="F6372" t="str">
        <f>IFERROR(VLOOKUP($A6372,原始数据_收盘!$A$4:$G$3460,6,0),"")</f>
        <v/>
      </c>
      <c r="G6372" t="str">
        <f>IFERROR(VLOOKUP($A6372,原始数据_收盘!$A$4:$G$3460,7,0),"")</f>
        <v/>
      </c>
      <c r="H6372" t="str">
        <f>IFERROR(VLOOKUP($A6372,原始数据_利率互换_FR007_1年!$A$6:$C$4395,2,0),"")</f>
        <v/>
      </c>
      <c r="I6372" t="str">
        <f>IFERROR(VLOOKUP($A6372,原始数据_利率互换_FR007_1年!$A$6:$C$4395,3,0),"")</f>
        <v/>
      </c>
    </row>
    <row r="6373" spans="1:9">
      <c r="A6373" s="6">
        <v>45866</v>
      </c>
      <c r="B6373">
        <f>IFERROR(VLOOKUP($A6373,原始数据_收盘!$A$4:$G$3460,2,0),"")</f>
        <v>1.53</v>
      </c>
      <c r="C6373">
        <f>IFERROR(VLOOKUP($A6373,原始数据_收盘!$A$4:$G$3460,3,0),"")</f>
        <v>1.5812</v>
      </c>
      <c r="D6373">
        <f>IFERROR(VLOOKUP($A6373,原始数据_收盘!$A$4:$G$3460,4,0),"")</f>
        <v>1.5325</v>
      </c>
      <c r="E6373">
        <f>IFERROR(VLOOKUP($A6373,原始数据_收盘!$A$4:$G$3460,5,0),"")</f>
        <v>1.5833</v>
      </c>
      <c r="F6373">
        <f>IFERROR(VLOOKUP($A6373,原始数据_收盘!$A$4:$G$3460,6,0),"")</f>
        <v>1.5313</v>
      </c>
      <c r="G6373">
        <f>IFERROR(VLOOKUP($A6373,原始数据_收盘!$A$4:$G$3460,7,0),"")</f>
        <v>1.5823</v>
      </c>
      <c r="H6373">
        <f>IFERROR(VLOOKUP($A6373,原始数据_利率互换_FR007_1年!$A$6:$C$4395,2,0),"")</f>
        <v>1.5329</v>
      </c>
      <c r="I6373">
        <f>IFERROR(VLOOKUP($A6373,原始数据_利率互换_FR007_1年!$A$6:$C$4395,3,0),"")</f>
        <v>1.5855</v>
      </c>
    </row>
    <row r="6374" spans="1:9">
      <c r="A6374" s="6">
        <v>45867</v>
      </c>
      <c r="B6374">
        <f>IFERROR(VLOOKUP($A6374,原始数据_收盘!$A$4:$G$3460,2,0),"")</f>
        <v>1.545</v>
      </c>
      <c r="C6374">
        <f>IFERROR(VLOOKUP($A6374,原始数据_收盘!$A$4:$G$3460,3,0),"")</f>
        <v>1.6166</v>
      </c>
      <c r="D6374">
        <f>IFERROR(VLOOKUP($A6374,原始数据_收盘!$A$4:$G$3460,4,0),"")</f>
        <v>1.5475</v>
      </c>
      <c r="E6374">
        <f>IFERROR(VLOOKUP($A6374,原始数据_收盘!$A$4:$G$3460,5,0),"")</f>
        <v>1.6194</v>
      </c>
      <c r="F6374">
        <f>IFERROR(VLOOKUP($A6374,原始数据_收盘!$A$4:$G$3460,6,0),"")</f>
        <v>1.5463</v>
      </c>
      <c r="G6374">
        <f>IFERROR(VLOOKUP($A6374,原始数据_收盘!$A$4:$G$3460,7,0),"")</f>
        <v>1.618</v>
      </c>
      <c r="H6374">
        <f>IFERROR(VLOOKUP($A6374,原始数据_利率互换_FR007_1年!$A$6:$C$4395,2,0),"")</f>
        <v>1.5427</v>
      </c>
      <c r="I6374">
        <f>IFERROR(VLOOKUP($A6374,原始数据_利率互换_FR007_1年!$A$6:$C$4395,3,0),"")</f>
        <v>1.606</v>
      </c>
    </row>
    <row r="6375" spans="1:9">
      <c r="A6375" s="6">
        <v>45868</v>
      </c>
      <c r="B6375">
        <f>IFERROR(VLOOKUP($A6375,原始数据_收盘!$A$4:$G$3460,2,0),"")</f>
        <v>1.53</v>
      </c>
      <c r="C6375">
        <f>IFERROR(VLOOKUP($A6375,原始数据_收盘!$A$4:$G$3460,3,0),"")</f>
        <v>1.5875</v>
      </c>
      <c r="D6375">
        <f>IFERROR(VLOOKUP($A6375,原始数据_收盘!$A$4:$G$3460,4,0),"")</f>
        <v>1.5325</v>
      </c>
      <c r="E6375">
        <f>IFERROR(VLOOKUP($A6375,原始数据_收盘!$A$4:$G$3460,5,0),"")</f>
        <v>1.5907</v>
      </c>
      <c r="F6375">
        <f>IFERROR(VLOOKUP($A6375,原始数据_收盘!$A$4:$G$3460,6,0),"")</f>
        <v>1.5313</v>
      </c>
      <c r="G6375">
        <f>IFERROR(VLOOKUP($A6375,原始数据_收盘!$A$4:$G$3460,7,0),"")</f>
        <v>1.5891</v>
      </c>
      <c r="H6375">
        <f>IFERROR(VLOOKUP($A6375,原始数据_利率互换_FR007_1年!$A$6:$C$4395,2,0),"")</f>
        <v>1.5333</v>
      </c>
      <c r="I6375">
        <f>IFERROR(VLOOKUP($A6375,原始数据_利率互换_FR007_1年!$A$6:$C$4395,3,0),"")</f>
        <v>1.6025</v>
      </c>
    </row>
    <row r="6376" spans="1:9">
      <c r="A6376" s="6">
        <v>45869</v>
      </c>
      <c r="B6376">
        <f>IFERROR(VLOOKUP($A6376,原始数据_收盘!$A$4:$G$3460,2,0),"")</f>
        <v>1.525</v>
      </c>
      <c r="C6376">
        <f>IFERROR(VLOOKUP($A6376,原始数据_收盘!$A$4:$G$3460,3,0),"")</f>
        <v>1.5725</v>
      </c>
      <c r="D6376">
        <f>IFERROR(VLOOKUP($A6376,原始数据_收盘!$A$4:$G$3460,4,0),"")</f>
        <v>1.5275</v>
      </c>
      <c r="E6376">
        <f>IFERROR(VLOOKUP($A6376,原始数据_收盘!$A$4:$G$3460,5,0),"")</f>
        <v>1.575</v>
      </c>
      <c r="F6376">
        <f>IFERROR(VLOOKUP($A6376,原始数据_收盘!$A$4:$G$3460,6,0),"")</f>
        <v>1.5263</v>
      </c>
      <c r="G6376">
        <f>IFERROR(VLOOKUP($A6376,原始数据_收盘!$A$4:$G$3460,7,0),"")</f>
        <v>1.5738</v>
      </c>
      <c r="H6376">
        <f>IFERROR(VLOOKUP($A6376,原始数据_利率互换_FR007_1年!$A$6:$C$4395,2,0),"")</f>
        <v>1.5271</v>
      </c>
      <c r="I6376">
        <f>IFERROR(VLOOKUP($A6376,原始数据_利率互换_FR007_1年!$A$6:$C$4395,3,0),"")</f>
        <v>1.5745</v>
      </c>
    </row>
    <row r="6377" spans="1:9">
      <c r="A6377" s="6">
        <v>45870</v>
      </c>
      <c r="B6377">
        <f>IFERROR(VLOOKUP($A6377,原始数据_收盘!$A$4:$G$3460,2,0),"")</f>
        <v>1.5269</v>
      </c>
      <c r="C6377">
        <f>IFERROR(VLOOKUP($A6377,原始数据_收盘!$A$4:$G$3460,3,0),"")</f>
        <v>1.5675</v>
      </c>
      <c r="D6377">
        <f>IFERROR(VLOOKUP($A6377,原始数据_收盘!$A$4:$G$3460,4,0),"")</f>
        <v>1.5294</v>
      </c>
      <c r="E6377">
        <f>IFERROR(VLOOKUP($A6377,原始数据_收盘!$A$4:$G$3460,5,0),"")</f>
        <v>1.57</v>
      </c>
      <c r="F6377">
        <f>IFERROR(VLOOKUP($A6377,原始数据_收盘!$A$4:$G$3460,6,0),"")</f>
        <v>1.5281</v>
      </c>
      <c r="G6377">
        <f>IFERROR(VLOOKUP($A6377,原始数据_收盘!$A$4:$G$3460,7,0),"")</f>
        <v>1.5688</v>
      </c>
      <c r="H6377">
        <f>IFERROR(VLOOKUP($A6377,原始数据_利率互换_FR007_1年!$A$6:$C$4395,2,0),"")</f>
        <v>1.5254</v>
      </c>
      <c r="I6377">
        <f>IFERROR(VLOOKUP($A6377,原始数据_利率互换_FR007_1年!$A$6:$C$4395,3,0),"")</f>
        <v>1.5703</v>
      </c>
    </row>
    <row r="6378" spans="1:9">
      <c r="A6378" s="6">
        <v>45871</v>
      </c>
      <c r="B6378" t="str">
        <f>IFERROR(VLOOKUP($A6378,原始数据_收盘!$A$4:$G$3460,2,0),"")</f>
        <v/>
      </c>
      <c r="C6378" t="str">
        <f>IFERROR(VLOOKUP($A6378,原始数据_收盘!$A$4:$G$3460,3,0),"")</f>
        <v/>
      </c>
      <c r="D6378" t="str">
        <f>IFERROR(VLOOKUP($A6378,原始数据_收盘!$A$4:$G$3460,4,0),"")</f>
        <v/>
      </c>
      <c r="E6378" t="str">
        <f>IFERROR(VLOOKUP($A6378,原始数据_收盘!$A$4:$G$3460,5,0),"")</f>
        <v/>
      </c>
      <c r="F6378" t="str">
        <f>IFERROR(VLOOKUP($A6378,原始数据_收盘!$A$4:$G$3460,6,0),"")</f>
        <v/>
      </c>
      <c r="G6378" t="str">
        <f>IFERROR(VLOOKUP($A6378,原始数据_收盘!$A$4:$G$3460,7,0),"")</f>
        <v/>
      </c>
      <c r="H6378" t="str">
        <f>IFERROR(VLOOKUP($A6378,原始数据_利率互换_FR007_1年!$A$6:$C$4395,2,0),"")</f>
        <v/>
      </c>
      <c r="I6378" t="str">
        <f>IFERROR(VLOOKUP($A6378,原始数据_利率互换_FR007_1年!$A$6:$C$4395,3,0),"")</f>
        <v/>
      </c>
    </row>
    <row r="6379" spans="1:9">
      <c r="A6379" s="6">
        <v>45872</v>
      </c>
      <c r="B6379" t="str">
        <f>IFERROR(VLOOKUP($A6379,原始数据_收盘!$A$4:$G$3460,2,0),"")</f>
        <v/>
      </c>
      <c r="C6379" t="str">
        <f>IFERROR(VLOOKUP($A6379,原始数据_收盘!$A$4:$G$3460,3,0),"")</f>
        <v/>
      </c>
      <c r="D6379" t="str">
        <f>IFERROR(VLOOKUP($A6379,原始数据_收盘!$A$4:$G$3460,4,0),"")</f>
        <v/>
      </c>
      <c r="E6379" t="str">
        <f>IFERROR(VLOOKUP($A6379,原始数据_收盘!$A$4:$G$3460,5,0),"")</f>
        <v/>
      </c>
      <c r="F6379" t="str">
        <f>IFERROR(VLOOKUP($A6379,原始数据_收盘!$A$4:$G$3460,6,0),"")</f>
        <v/>
      </c>
      <c r="G6379" t="str">
        <f>IFERROR(VLOOKUP($A6379,原始数据_收盘!$A$4:$G$3460,7,0),"")</f>
        <v/>
      </c>
      <c r="H6379" t="str">
        <f>IFERROR(VLOOKUP($A6379,原始数据_利率互换_FR007_1年!$A$6:$C$4395,2,0),"")</f>
        <v/>
      </c>
      <c r="I6379" t="str">
        <f>IFERROR(VLOOKUP($A6379,原始数据_利率互换_FR007_1年!$A$6:$C$4395,3,0),"")</f>
        <v/>
      </c>
    </row>
    <row r="6380" spans="1:9">
      <c r="A6380" s="6">
        <v>45873</v>
      </c>
      <c r="B6380">
        <f>IFERROR(VLOOKUP($A6380,原始数据_收盘!$A$4:$G$3460,2,0),"")</f>
        <v>1.53</v>
      </c>
      <c r="C6380">
        <f>IFERROR(VLOOKUP($A6380,原始数据_收盘!$A$4:$G$3460,3,0),"")</f>
        <v>1.5825</v>
      </c>
      <c r="D6380">
        <f>IFERROR(VLOOKUP($A6380,原始数据_收盘!$A$4:$G$3460,4,0),"")</f>
        <v>1.5325</v>
      </c>
      <c r="E6380">
        <f>IFERROR(VLOOKUP($A6380,原始数据_收盘!$A$4:$G$3460,5,0),"")</f>
        <v>1.585</v>
      </c>
      <c r="F6380">
        <f>IFERROR(VLOOKUP($A6380,原始数据_收盘!$A$4:$G$3460,6,0),"")</f>
        <v>1.5313</v>
      </c>
      <c r="G6380">
        <f>IFERROR(VLOOKUP($A6380,原始数据_收盘!$A$4:$G$3460,7,0),"")</f>
        <v>1.5838</v>
      </c>
      <c r="H6380">
        <f>IFERROR(VLOOKUP($A6380,原始数据_利率互换_FR007_1年!$A$6:$C$4395,2,0),"")</f>
        <v>1.5259</v>
      </c>
      <c r="I6380">
        <f>IFERROR(VLOOKUP($A6380,原始数据_利率互换_FR007_1年!$A$6:$C$4395,3,0),"")</f>
        <v>1.571</v>
      </c>
    </row>
    <row r="6381" spans="1:9">
      <c r="A6381" s="6">
        <v>45874</v>
      </c>
      <c r="B6381">
        <f>IFERROR(VLOOKUP($A6381,原始数据_收盘!$A$4:$G$3460,2,0),"")</f>
        <v>1.525</v>
      </c>
      <c r="C6381">
        <f>IFERROR(VLOOKUP($A6381,原始数据_收盘!$A$4:$G$3460,3,0),"")</f>
        <v>1.5725</v>
      </c>
      <c r="D6381">
        <f>IFERROR(VLOOKUP($A6381,原始数据_收盘!$A$4:$G$3460,4,0),"")</f>
        <v>1.5275</v>
      </c>
      <c r="E6381">
        <f>IFERROR(VLOOKUP($A6381,原始数据_收盘!$A$4:$G$3460,5,0),"")</f>
        <v>1.5769</v>
      </c>
      <c r="F6381">
        <f>IFERROR(VLOOKUP($A6381,原始数据_收盘!$A$4:$G$3460,6,0),"")</f>
        <v>1.5263</v>
      </c>
      <c r="G6381">
        <f>IFERROR(VLOOKUP($A6381,原始数据_收盘!$A$4:$G$3460,7,0),"")</f>
        <v>1.5747</v>
      </c>
      <c r="H6381">
        <f>IFERROR(VLOOKUP($A6381,原始数据_利率互换_FR007_1年!$A$6:$C$4395,2,0),"")</f>
        <v>1.5263</v>
      </c>
      <c r="I6381">
        <f>IFERROR(VLOOKUP($A6381,原始数据_利率互换_FR007_1年!$A$6:$C$4395,3,0),"")</f>
        <v>1.5781</v>
      </c>
    </row>
    <row r="6382" spans="1:9">
      <c r="A6382" s="6">
        <v>45875</v>
      </c>
      <c r="B6382">
        <f>IFERROR(VLOOKUP($A6382,原始数据_收盘!$A$4:$G$3460,2,0),"")</f>
        <v>1.5225</v>
      </c>
      <c r="C6382">
        <f>IFERROR(VLOOKUP($A6382,原始数据_收盘!$A$4:$G$3460,3,0),"")</f>
        <v>1.5649</v>
      </c>
      <c r="D6382">
        <f>IFERROR(VLOOKUP($A6382,原始数据_收盘!$A$4:$G$3460,4,0),"")</f>
        <v>1.525</v>
      </c>
      <c r="E6382">
        <f>IFERROR(VLOOKUP($A6382,原始数据_收盘!$A$4:$G$3460,5,0),"")</f>
        <v>1.5675</v>
      </c>
      <c r="F6382">
        <f>IFERROR(VLOOKUP($A6382,原始数据_收盘!$A$4:$G$3460,6,0),"")</f>
        <v>1.5238</v>
      </c>
      <c r="G6382">
        <f>IFERROR(VLOOKUP($A6382,原始数据_收盘!$A$4:$G$3460,7,0),"")</f>
        <v>1.5662</v>
      </c>
      <c r="H6382">
        <f>IFERROR(VLOOKUP($A6382,原始数据_利率互换_FR007_1年!$A$6:$C$4395,2,0),"")</f>
        <v>1.5222</v>
      </c>
      <c r="I6382">
        <f>IFERROR(VLOOKUP($A6382,原始数据_利率互换_FR007_1年!$A$6:$C$4395,3,0),"")</f>
        <v>1.5667</v>
      </c>
    </row>
    <row r="6383" spans="1:9">
      <c r="A6383" s="6">
        <v>45876</v>
      </c>
      <c r="B6383">
        <f>IFERROR(VLOOKUP($A6383,原始数据_收盘!$A$4:$G$3460,2,0),"")</f>
        <v>1.52</v>
      </c>
      <c r="C6383">
        <f>IFERROR(VLOOKUP($A6383,原始数据_收盘!$A$4:$G$3460,3,0),"")</f>
        <v>1.5541</v>
      </c>
      <c r="D6383">
        <f>IFERROR(VLOOKUP($A6383,原始数据_收盘!$A$4:$G$3460,4,0),"")</f>
        <v>1.5225</v>
      </c>
      <c r="E6383">
        <f>IFERROR(VLOOKUP($A6383,原始数据_收盘!$A$4:$G$3460,5,0),"")</f>
        <v>1.5569</v>
      </c>
      <c r="F6383">
        <f>IFERROR(VLOOKUP($A6383,原始数据_收盘!$A$4:$G$3460,6,0),"")</f>
        <v>1.5213</v>
      </c>
      <c r="G6383">
        <f>IFERROR(VLOOKUP($A6383,原始数据_收盘!$A$4:$G$3460,7,0),"")</f>
        <v>1.5555</v>
      </c>
      <c r="H6383">
        <f>IFERROR(VLOOKUP($A6383,原始数据_利率互换_FR007_1年!$A$6:$C$4395,2,0),"")</f>
        <v>1.5205</v>
      </c>
      <c r="I6383">
        <f>IFERROR(VLOOKUP($A6383,原始数据_利率互换_FR007_1年!$A$6:$C$4395,3,0),"")</f>
        <v>1.5548</v>
      </c>
    </row>
    <row r="6384" spans="1:9">
      <c r="A6384" s="6">
        <v>45877</v>
      </c>
      <c r="B6384">
        <f>IFERROR(VLOOKUP($A6384,原始数据_收盘!$A$4:$G$3460,2,0),"")</f>
        <v>1.5125</v>
      </c>
      <c r="C6384">
        <f>IFERROR(VLOOKUP($A6384,原始数据_收盘!$A$4:$G$3460,3,0),"")</f>
        <v>1.5525</v>
      </c>
      <c r="D6384">
        <f>IFERROR(VLOOKUP($A6384,原始数据_收盘!$A$4:$G$3460,4,0),"")</f>
        <v>1.515</v>
      </c>
      <c r="E6384">
        <f>IFERROR(VLOOKUP($A6384,原始数据_收盘!$A$4:$G$3460,5,0),"")</f>
        <v>1.555</v>
      </c>
      <c r="F6384">
        <f>IFERROR(VLOOKUP($A6384,原始数据_收盘!$A$4:$G$3460,6,0),"")</f>
        <v>1.5138</v>
      </c>
      <c r="G6384">
        <f>IFERROR(VLOOKUP($A6384,原始数据_收盘!$A$4:$G$3460,7,0),"")</f>
        <v>1.5538</v>
      </c>
      <c r="H6384">
        <f>IFERROR(VLOOKUP($A6384,原始数据_利率互换_FR007_1年!$A$6:$C$4395,2,0),"")</f>
        <v>1.5177</v>
      </c>
      <c r="I6384">
        <f>IFERROR(VLOOKUP($A6384,原始数据_利率互换_FR007_1年!$A$6:$C$4395,3,0),"")</f>
        <v>1.5569</v>
      </c>
    </row>
    <row r="6385" spans="1:9">
      <c r="A6385" s="6">
        <v>45878</v>
      </c>
      <c r="B6385" t="str">
        <f>IFERROR(VLOOKUP($A6385,原始数据_收盘!$A$4:$G$3460,2,0),"")</f>
        <v/>
      </c>
      <c r="C6385" t="str">
        <f>IFERROR(VLOOKUP($A6385,原始数据_收盘!$A$4:$G$3460,3,0),"")</f>
        <v/>
      </c>
      <c r="D6385" t="str">
        <f>IFERROR(VLOOKUP($A6385,原始数据_收盘!$A$4:$G$3460,4,0),"")</f>
        <v/>
      </c>
      <c r="E6385" t="str">
        <f>IFERROR(VLOOKUP($A6385,原始数据_收盘!$A$4:$G$3460,5,0),"")</f>
        <v/>
      </c>
      <c r="F6385" t="str">
        <f>IFERROR(VLOOKUP($A6385,原始数据_收盘!$A$4:$G$3460,6,0),"")</f>
        <v/>
      </c>
      <c r="G6385" t="str">
        <f>IFERROR(VLOOKUP($A6385,原始数据_收盘!$A$4:$G$3460,7,0),"")</f>
        <v/>
      </c>
      <c r="H6385" t="str">
        <f>IFERROR(VLOOKUP($A6385,原始数据_利率互换_FR007_1年!$A$6:$C$4395,2,0),"")</f>
        <v/>
      </c>
      <c r="I6385" t="str">
        <f>IFERROR(VLOOKUP($A6385,原始数据_利率互换_FR007_1年!$A$6:$C$4395,3,0),"")</f>
        <v/>
      </c>
    </row>
    <row r="6386" spans="1:9">
      <c r="A6386" s="6">
        <v>45879</v>
      </c>
      <c r="B6386" t="str">
        <f>IFERROR(VLOOKUP($A6386,原始数据_收盘!$A$4:$G$3460,2,0),"")</f>
        <v/>
      </c>
      <c r="C6386" t="str">
        <f>IFERROR(VLOOKUP($A6386,原始数据_收盘!$A$4:$G$3460,3,0),"")</f>
        <v/>
      </c>
      <c r="D6386" t="str">
        <f>IFERROR(VLOOKUP($A6386,原始数据_收盘!$A$4:$G$3460,4,0),"")</f>
        <v/>
      </c>
      <c r="E6386" t="str">
        <f>IFERROR(VLOOKUP($A6386,原始数据_收盘!$A$4:$G$3460,5,0),"")</f>
        <v/>
      </c>
      <c r="F6386" t="str">
        <f>IFERROR(VLOOKUP($A6386,原始数据_收盘!$A$4:$G$3460,6,0),"")</f>
        <v/>
      </c>
      <c r="G6386" t="str">
        <f>IFERROR(VLOOKUP($A6386,原始数据_收盘!$A$4:$G$3460,7,0),"")</f>
        <v/>
      </c>
      <c r="H6386" t="str">
        <f>IFERROR(VLOOKUP($A6386,原始数据_利率互换_FR007_1年!$A$6:$C$4395,2,0),"")</f>
        <v/>
      </c>
      <c r="I6386" t="str">
        <f>IFERROR(VLOOKUP($A6386,原始数据_利率互换_FR007_1年!$A$6:$C$4395,3,0),"")</f>
        <v/>
      </c>
    </row>
    <row r="6387" spans="1:9">
      <c r="A6387" s="6">
        <v>45880</v>
      </c>
      <c r="B6387">
        <f>IFERROR(VLOOKUP($A6387,原始数据_收盘!$A$4:$G$3460,2,0),"")</f>
        <v>1.52</v>
      </c>
      <c r="C6387">
        <f>IFERROR(VLOOKUP($A6387,原始数据_收盘!$A$4:$G$3460,3,0),"")</f>
        <v>1.57</v>
      </c>
      <c r="D6387">
        <f>IFERROR(VLOOKUP($A6387,原始数据_收盘!$A$4:$G$3460,4,0),"")</f>
        <v>1.5225</v>
      </c>
      <c r="E6387">
        <f>IFERROR(VLOOKUP($A6387,原始数据_收盘!$A$4:$G$3460,5,0),"")</f>
        <v>1.5725</v>
      </c>
      <c r="F6387">
        <f>IFERROR(VLOOKUP($A6387,原始数据_收盘!$A$4:$G$3460,6,0),"")</f>
        <v>1.5213</v>
      </c>
      <c r="G6387">
        <f>IFERROR(VLOOKUP($A6387,原始数据_收盘!$A$4:$G$3460,7,0),"")</f>
        <v>1.5713</v>
      </c>
      <c r="H6387">
        <f>IFERROR(VLOOKUP($A6387,原始数据_利率互换_FR007_1年!$A$6:$C$4395,2,0),"")</f>
        <v>1.5203</v>
      </c>
      <c r="I6387">
        <f>IFERROR(VLOOKUP($A6387,原始数据_利率互换_FR007_1年!$A$6:$C$4395,3,0),"")</f>
        <v>1.5692</v>
      </c>
    </row>
    <row r="6388" spans="1:9">
      <c r="A6388" s="6">
        <v>45881</v>
      </c>
      <c r="B6388">
        <f>IFERROR(VLOOKUP($A6388,原始数据_收盘!$A$4:$G$3460,2,0),"")</f>
        <v>1.5225</v>
      </c>
      <c r="C6388">
        <f>IFERROR(VLOOKUP($A6388,原始数据_收盘!$A$4:$G$3460,3,0),"")</f>
        <v>1.575</v>
      </c>
      <c r="D6388">
        <f>IFERROR(VLOOKUP($A6388,原始数据_收盘!$A$4:$G$3460,4,0),"")</f>
        <v>1.525</v>
      </c>
      <c r="E6388">
        <f>IFERROR(VLOOKUP($A6388,原始数据_收盘!$A$4:$G$3460,5,0),"")</f>
        <v>1.5775</v>
      </c>
      <c r="F6388">
        <f>IFERROR(VLOOKUP($A6388,原始数据_收盘!$A$4:$G$3460,6,0),"")</f>
        <v>1.5238</v>
      </c>
      <c r="G6388">
        <f>IFERROR(VLOOKUP($A6388,原始数据_收盘!$A$4:$G$3460,7,0),"")</f>
        <v>1.5763</v>
      </c>
      <c r="H6388">
        <f>IFERROR(VLOOKUP($A6388,原始数据_利率互换_FR007_1年!$A$6:$C$4395,2,0),"")</f>
        <v>1.5236</v>
      </c>
      <c r="I6388">
        <f>IFERROR(VLOOKUP($A6388,原始数据_利率互换_FR007_1年!$A$6:$C$4395,3,0),"")</f>
        <v>1.5747</v>
      </c>
    </row>
    <row r="6389" spans="1:9">
      <c r="A6389" s="6">
        <v>45882</v>
      </c>
      <c r="B6389">
        <f>IFERROR(VLOOKUP($A6389,原始数据_收盘!$A$4:$G$3460,2,0),"")</f>
        <v>1.5075</v>
      </c>
      <c r="C6389">
        <f>IFERROR(VLOOKUP($A6389,原始数据_收盘!$A$4:$G$3460,3,0),"")</f>
        <v>1.5625</v>
      </c>
      <c r="D6389">
        <f>IFERROR(VLOOKUP($A6389,原始数据_收盘!$A$4:$G$3460,4,0),"")</f>
        <v>1.51</v>
      </c>
      <c r="E6389">
        <f>IFERROR(VLOOKUP($A6389,原始数据_收盘!$A$4:$G$3460,5,0),"")</f>
        <v>1.565</v>
      </c>
      <c r="F6389">
        <f>IFERROR(VLOOKUP($A6389,原始数据_收盘!$A$4:$G$3460,6,0),"")</f>
        <v>1.5088</v>
      </c>
      <c r="G6389">
        <f>IFERROR(VLOOKUP($A6389,原始数据_收盘!$A$4:$G$3460,7,0),"")</f>
        <v>1.5638</v>
      </c>
      <c r="H6389">
        <f>IFERROR(VLOOKUP($A6389,原始数据_利率互换_FR007_1年!$A$6:$C$4395,2,0),"")</f>
        <v>1.5144</v>
      </c>
      <c r="I6389">
        <f>IFERROR(VLOOKUP($A6389,原始数据_利率互换_FR007_1年!$A$6:$C$4395,3,0),"")</f>
        <v>1.5682</v>
      </c>
    </row>
    <row r="6390" spans="1:9">
      <c r="A6390" s="6">
        <v>45883</v>
      </c>
      <c r="B6390">
        <f>IFERROR(VLOOKUP($A6390,原始数据_收盘!$A$4:$G$3460,2,0),"")</f>
        <v>1.5181</v>
      </c>
      <c r="C6390">
        <f>IFERROR(VLOOKUP($A6390,原始数据_收盘!$A$4:$G$3460,3,0),"")</f>
        <v>1.5775</v>
      </c>
      <c r="D6390">
        <f>IFERROR(VLOOKUP($A6390,原始数据_收盘!$A$4:$G$3460,4,0),"")</f>
        <v>1.5219</v>
      </c>
      <c r="E6390">
        <f>IFERROR(VLOOKUP($A6390,原始数据_收盘!$A$4:$G$3460,5,0),"")</f>
        <v>1.58</v>
      </c>
      <c r="F6390">
        <f>IFERROR(VLOOKUP($A6390,原始数据_收盘!$A$4:$G$3460,6,0),"")</f>
        <v>1.52</v>
      </c>
      <c r="G6390">
        <f>IFERROR(VLOOKUP($A6390,原始数据_收盘!$A$4:$G$3460,7,0),"")</f>
        <v>1.5788</v>
      </c>
      <c r="H6390">
        <f>IFERROR(VLOOKUP($A6390,原始数据_利率互换_FR007_1年!$A$6:$C$4395,2,0),"")</f>
        <v>1.5124</v>
      </c>
      <c r="I6390">
        <f>IFERROR(VLOOKUP($A6390,原始数据_利率互换_FR007_1年!$A$6:$C$4395,3,0),"")</f>
        <v>1.573</v>
      </c>
    </row>
    <row r="6391" spans="1:9">
      <c r="A6391" s="6">
        <v>45884</v>
      </c>
      <c r="B6391">
        <f>IFERROR(VLOOKUP($A6391,原始数据_收盘!$A$4:$G$3460,2,0),"")</f>
        <v>1.5208</v>
      </c>
      <c r="C6391">
        <f>IFERROR(VLOOKUP($A6391,原始数据_收盘!$A$4:$G$3460,3,0),"")</f>
        <v>1.5955</v>
      </c>
      <c r="D6391">
        <f>IFERROR(VLOOKUP($A6391,原始数据_收盘!$A$4:$G$3460,4,0),"")</f>
        <v>1.5243</v>
      </c>
      <c r="E6391">
        <f>IFERROR(VLOOKUP($A6391,原始数据_收盘!$A$4:$G$3460,5,0),"")</f>
        <v>1.5982</v>
      </c>
      <c r="F6391">
        <f>IFERROR(VLOOKUP($A6391,原始数据_收盘!$A$4:$G$3460,6,0),"")</f>
        <v>1.5225</v>
      </c>
      <c r="G6391">
        <f>IFERROR(VLOOKUP($A6391,原始数据_收盘!$A$4:$G$3460,7,0),"")</f>
        <v>1.5969</v>
      </c>
      <c r="H6391">
        <f>IFERROR(VLOOKUP($A6391,原始数据_利率互换_FR007_1年!$A$6:$C$4395,2,0),"")</f>
        <v>1.5128</v>
      </c>
      <c r="I6391">
        <f>IFERROR(VLOOKUP($A6391,原始数据_利率互换_FR007_1年!$A$6:$C$4395,3,0),"")</f>
        <v>1.5781</v>
      </c>
    </row>
    <row r="6392" spans="1:9">
      <c r="A6392" s="6">
        <v>45885</v>
      </c>
      <c r="B6392" t="str">
        <f>IFERROR(VLOOKUP($A6392,原始数据_收盘!$A$4:$G$3460,2,0),"")</f>
        <v/>
      </c>
      <c r="C6392" t="str">
        <f>IFERROR(VLOOKUP($A6392,原始数据_收盘!$A$4:$G$3460,3,0),"")</f>
        <v/>
      </c>
      <c r="D6392" t="str">
        <f>IFERROR(VLOOKUP($A6392,原始数据_收盘!$A$4:$G$3460,4,0),"")</f>
        <v/>
      </c>
      <c r="E6392" t="str">
        <f>IFERROR(VLOOKUP($A6392,原始数据_收盘!$A$4:$G$3460,5,0),"")</f>
        <v/>
      </c>
      <c r="F6392" t="str">
        <f>IFERROR(VLOOKUP($A6392,原始数据_收盘!$A$4:$G$3460,6,0),"")</f>
        <v/>
      </c>
      <c r="G6392" t="str">
        <f>IFERROR(VLOOKUP($A6392,原始数据_收盘!$A$4:$G$3460,7,0),"")</f>
        <v/>
      </c>
      <c r="H6392" t="str">
        <f>IFERROR(VLOOKUP($A6392,原始数据_利率互换_FR007_1年!$A$6:$C$4395,2,0),"")</f>
        <v/>
      </c>
      <c r="I6392" t="str">
        <f>IFERROR(VLOOKUP($A6392,原始数据_利率互换_FR007_1年!$A$6:$C$4395,3,0),"")</f>
        <v/>
      </c>
    </row>
    <row r="6393" spans="1:9">
      <c r="A6393" s="6">
        <v>45886</v>
      </c>
      <c r="B6393" t="str">
        <f>IFERROR(VLOOKUP($A6393,原始数据_收盘!$A$4:$G$3460,2,0),"")</f>
        <v/>
      </c>
      <c r="C6393" t="str">
        <f>IFERROR(VLOOKUP($A6393,原始数据_收盘!$A$4:$G$3460,3,0),"")</f>
        <v/>
      </c>
      <c r="D6393" t="str">
        <f>IFERROR(VLOOKUP($A6393,原始数据_收盘!$A$4:$G$3460,4,0),"")</f>
        <v/>
      </c>
      <c r="E6393" t="str">
        <f>IFERROR(VLOOKUP($A6393,原始数据_收盘!$A$4:$G$3460,5,0),"")</f>
        <v/>
      </c>
      <c r="F6393" t="str">
        <f>IFERROR(VLOOKUP($A6393,原始数据_收盘!$A$4:$G$3460,6,0),"")</f>
        <v/>
      </c>
      <c r="G6393" t="str">
        <f>IFERROR(VLOOKUP($A6393,原始数据_收盘!$A$4:$G$3460,7,0),"")</f>
        <v/>
      </c>
      <c r="H6393" t="str">
        <f>IFERROR(VLOOKUP($A6393,原始数据_利率互换_FR007_1年!$A$6:$C$4395,2,0),"")</f>
        <v/>
      </c>
      <c r="I6393" t="str">
        <f>IFERROR(VLOOKUP($A6393,原始数据_利率互换_FR007_1年!$A$6:$C$4395,3,0),"")</f>
        <v/>
      </c>
    </row>
    <row r="6394" spans="1:9">
      <c r="A6394" s="6">
        <v>45887</v>
      </c>
      <c r="B6394">
        <f>IFERROR(VLOOKUP($A6394,原始数据_收盘!$A$4:$G$3460,2,0),"")</f>
        <v>1.5545</v>
      </c>
      <c r="C6394">
        <f>IFERROR(VLOOKUP($A6394,原始数据_收盘!$A$4:$G$3460,3,0),"")</f>
        <v>1.6437</v>
      </c>
      <c r="D6394">
        <f>IFERROR(VLOOKUP($A6394,原始数据_收盘!$A$4:$G$3460,4,0),"")</f>
        <v>1.557</v>
      </c>
      <c r="E6394">
        <f>IFERROR(VLOOKUP($A6394,原始数据_收盘!$A$4:$G$3460,5,0),"")</f>
        <v>1.6458</v>
      </c>
      <c r="F6394">
        <f>IFERROR(VLOOKUP($A6394,原始数据_收盘!$A$4:$G$3460,6,0),"")</f>
        <v>1.5558</v>
      </c>
      <c r="G6394">
        <f>IFERROR(VLOOKUP($A6394,原始数据_收盘!$A$4:$G$3460,7,0),"")</f>
        <v>1.6448</v>
      </c>
      <c r="H6394">
        <f>IFERROR(VLOOKUP($A6394,原始数据_利率互换_FR007_1年!$A$6:$C$4395,2,0),"")</f>
        <v>1.5437</v>
      </c>
      <c r="I6394">
        <f>IFERROR(VLOOKUP($A6394,原始数据_利率互换_FR007_1年!$A$6:$C$4395,3,0),"")</f>
        <v>1.6273</v>
      </c>
    </row>
    <row r="6395" spans="1:9">
      <c r="A6395" s="6">
        <v>45888</v>
      </c>
      <c r="B6395">
        <f>IFERROR(VLOOKUP($A6395,原始数据_收盘!$A$4:$G$3460,2,0),"")</f>
        <v>1.5418</v>
      </c>
      <c r="C6395">
        <f>IFERROR(VLOOKUP($A6395,原始数据_收盘!$A$4:$G$3460,3,0),"")</f>
        <v>1.625</v>
      </c>
      <c r="D6395">
        <f>IFERROR(VLOOKUP($A6395,原始数据_收盘!$A$4:$G$3460,4,0),"")</f>
        <v>1.5443</v>
      </c>
      <c r="E6395">
        <f>IFERROR(VLOOKUP($A6395,原始数据_收盘!$A$4:$G$3460,5,0),"")</f>
        <v>1.6276</v>
      </c>
      <c r="F6395">
        <f>IFERROR(VLOOKUP($A6395,原始数据_收盘!$A$4:$G$3460,6,0),"")</f>
        <v>1.543</v>
      </c>
      <c r="G6395">
        <f>IFERROR(VLOOKUP($A6395,原始数据_收盘!$A$4:$G$3460,7,0),"")</f>
        <v>1.6263</v>
      </c>
      <c r="H6395">
        <f>IFERROR(VLOOKUP($A6395,原始数据_利率互换_FR007_1年!$A$6:$C$4395,2,0),"")</f>
        <v>1.5426</v>
      </c>
      <c r="I6395">
        <f>IFERROR(VLOOKUP($A6395,原始数据_利率互换_FR007_1年!$A$6:$C$4395,3,0),"")</f>
        <v>1.6255</v>
      </c>
    </row>
    <row r="6396" spans="1:9">
      <c r="A6396" s="6">
        <v>45889</v>
      </c>
      <c r="B6396">
        <f>IFERROR(VLOOKUP($A6396,原始数据_收盘!$A$4:$G$3460,2,0),"")</f>
        <v>1.555</v>
      </c>
      <c r="C6396">
        <f>IFERROR(VLOOKUP($A6396,原始数据_收盘!$A$4:$G$3460,3,0),"")</f>
        <v>1.6389</v>
      </c>
      <c r="D6396">
        <f>IFERROR(VLOOKUP($A6396,原始数据_收盘!$A$4:$G$3460,4,0),"")</f>
        <v>1.5575</v>
      </c>
      <c r="E6396">
        <f>IFERROR(VLOOKUP($A6396,原始数据_收盘!$A$4:$G$3460,5,0),"")</f>
        <v>1.6414</v>
      </c>
      <c r="F6396">
        <f>IFERROR(VLOOKUP($A6396,原始数据_收盘!$A$4:$G$3460,6,0),"")</f>
        <v>1.5563</v>
      </c>
      <c r="G6396">
        <f>IFERROR(VLOOKUP($A6396,原始数据_收盘!$A$4:$G$3460,7,0),"")</f>
        <v>1.6402</v>
      </c>
      <c r="H6396">
        <f>IFERROR(VLOOKUP($A6396,原始数据_利率互换_FR007_1年!$A$6:$C$4395,2,0),"")</f>
        <v>1.5454</v>
      </c>
      <c r="I6396">
        <f>IFERROR(VLOOKUP($A6396,原始数据_利率互换_FR007_1年!$A$6:$C$4395,3,0),"")</f>
        <v>1.6242</v>
      </c>
    </row>
    <row r="6397" spans="1:9">
      <c r="A6397" s="6">
        <v>45890</v>
      </c>
      <c r="B6397">
        <f>IFERROR(VLOOKUP($A6397,原始数据_收盘!$A$4:$G$3460,2,0),"")</f>
        <v>1.545</v>
      </c>
      <c r="C6397">
        <f>IFERROR(VLOOKUP($A6397,原始数据_收盘!$A$4:$G$3460,3,0),"")</f>
        <v>1.6204</v>
      </c>
      <c r="D6397">
        <f>IFERROR(VLOOKUP($A6397,原始数据_收盘!$A$4:$G$3460,4,0),"")</f>
        <v>1.5475</v>
      </c>
      <c r="E6397">
        <f>IFERROR(VLOOKUP($A6397,原始数据_收盘!$A$4:$G$3460,5,0),"")</f>
        <v>1.6226</v>
      </c>
      <c r="F6397">
        <f>IFERROR(VLOOKUP($A6397,原始数据_收盘!$A$4:$G$3460,6,0),"")</f>
        <v>1.5463</v>
      </c>
      <c r="G6397">
        <f>IFERROR(VLOOKUP($A6397,原始数据_收盘!$A$4:$G$3460,7,0),"")</f>
        <v>1.6215</v>
      </c>
      <c r="H6397">
        <f>IFERROR(VLOOKUP($A6397,原始数据_利率互换_FR007_1年!$A$6:$C$4395,2,0),"")</f>
        <v>1.5481</v>
      </c>
      <c r="I6397">
        <f>IFERROR(VLOOKUP($A6397,原始数据_利率互换_FR007_1年!$A$6:$C$4395,3,0),"")</f>
        <v>1.6302</v>
      </c>
    </row>
    <row r="6398" spans="1:9">
      <c r="A6398" s="6">
        <v>45891</v>
      </c>
      <c r="B6398">
        <f>IFERROR(VLOOKUP($A6398,原始数据_收盘!$A$4:$G$3460,2,0),"")</f>
        <v>1.545</v>
      </c>
      <c r="C6398">
        <f>IFERROR(VLOOKUP($A6398,原始数据_收盘!$A$4:$G$3460,3,0),"")</f>
        <v>1.6325</v>
      </c>
      <c r="D6398">
        <f>IFERROR(VLOOKUP($A6398,原始数据_收盘!$A$4:$G$3460,4,0),"")</f>
        <v>1.5475</v>
      </c>
      <c r="E6398">
        <f>IFERROR(VLOOKUP($A6398,原始数据_收盘!$A$4:$G$3460,5,0),"")</f>
        <v>1.635</v>
      </c>
      <c r="F6398">
        <f>IFERROR(VLOOKUP($A6398,原始数据_收盘!$A$4:$G$3460,6,0),"")</f>
        <v>1.5463</v>
      </c>
      <c r="G6398">
        <f>IFERROR(VLOOKUP($A6398,原始数据_收盘!$A$4:$G$3460,7,0),"")</f>
        <v>1.6338</v>
      </c>
      <c r="H6398">
        <f>IFERROR(VLOOKUP($A6398,原始数据_利率互换_FR007_1年!$A$6:$C$4395,2,0),"")</f>
        <v>1.5422</v>
      </c>
      <c r="I6398">
        <f>IFERROR(VLOOKUP($A6398,原始数据_利率互换_FR007_1年!$A$6:$C$4395,3,0),"")</f>
        <v>1.6277</v>
      </c>
    </row>
    <row r="6399" spans="1:9">
      <c r="A6399" s="6">
        <v>45892</v>
      </c>
      <c r="B6399" t="str">
        <f>IFERROR(VLOOKUP($A6399,原始数据_收盘!$A$4:$G$3460,2,0),"")</f>
        <v/>
      </c>
      <c r="C6399" t="str">
        <f>IFERROR(VLOOKUP($A6399,原始数据_收盘!$A$4:$G$3460,3,0),"")</f>
        <v/>
      </c>
      <c r="D6399" t="str">
        <f>IFERROR(VLOOKUP($A6399,原始数据_收盘!$A$4:$G$3460,4,0),"")</f>
        <v/>
      </c>
      <c r="E6399" t="str">
        <f>IFERROR(VLOOKUP($A6399,原始数据_收盘!$A$4:$G$3460,5,0),"")</f>
        <v/>
      </c>
      <c r="F6399" t="str">
        <f>IFERROR(VLOOKUP($A6399,原始数据_收盘!$A$4:$G$3460,6,0),"")</f>
        <v/>
      </c>
      <c r="G6399" t="str">
        <f>IFERROR(VLOOKUP($A6399,原始数据_收盘!$A$4:$G$3460,7,0),"")</f>
        <v/>
      </c>
      <c r="H6399" t="str">
        <f>IFERROR(VLOOKUP($A6399,原始数据_利率互换_FR007_1年!$A$6:$C$4395,2,0),"")</f>
        <v/>
      </c>
      <c r="I6399" t="str">
        <f>IFERROR(VLOOKUP($A6399,原始数据_利率互换_FR007_1年!$A$6:$C$4395,3,0),"")</f>
        <v/>
      </c>
    </row>
    <row r="6400" spans="1:9">
      <c r="A6400" s="6">
        <v>45893</v>
      </c>
      <c r="B6400" t="str">
        <f>IFERROR(VLOOKUP($A6400,原始数据_收盘!$A$4:$G$3460,2,0),"")</f>
        <v/>
      </c>
      <c r="C6400" t="str">
        <f>IFERROR(VLOOKUP($A6400,原始数据_收盘!$A$4:$G$3460,3,0),"")</f>
        <v/>
      </c>
      <c r="D6400" t="str">
        <f>IFERROR(VLOOKUP($A6400,原始数据_收盘!$A$4:$G$3460,4,0),"")</f>
        <v/>
      </c>
      <c r="E6400" t="str">
        <f>IFERROR(VLOOKUP($A6400,原始数据_收盘!$A$4:$G$3460,5,0),"")</f>
        <v/>
      </c>
      <c r="F6400" t="str">
        <f>IFERROR(VLOOKUP($A6400,原始数据_收盘!$A$4:$G$3460,6,0),"")</f>
        <v/>
      </c>
      <c r="G6400" t="str">
        <f>IFERROR(VLOOKUP($A6400,原始数据_收盘!$A$4:$G$3460,7,0),"")</f>
        <v/>
      </c>
      <c r="H6400" t="str">
        <f>IFERROR(VLOOKUP($A6400,原始数据_利率互换_FR007_1年!$A$6:$C$4395,2,0),"")</f>
        <v/>
      </c>
      <c r="I6400" t="str">
        <f>IFERROR(VLOOKUP($A6400,原始数据_利率互换_FR007_1年!$A$6:$C$4395,3,0),"")</f>
        <v/>
      </c>
    </row>
    <row r="6401" spans="1:9">
      <c r="A6401" s="6">
        <v>45894</v>
      </c>
      <c r="B6401">
        <f>IFERROR(VLOOKUP($A6401,原始数据_收盘!$A$4:$G$3460,2,0),"")</f>
        <v>1.5425</v>
      </c>
      <c r="C6401">
        <f>IFERROR(VLOOKUP($A6401,原始数据_收盘!$A$4:$G$3460,3,0),"")</f>
        <v>1.62</v>
      </c>
      <c r="D6401">
        <f>IFERROR(VLOOKUP($A6401,原始数据_收盘!$A$4:$G$3460,4,0),"")</f>
        <v>1.545</v>
      </c>
      <c r="E6401">
        <f>IFERROR(VLOOKUP($A6401,原始数据_收盘!$A$4:$G$3460,5,0),"")</f>
        <v>1.6225</v>
      </c>
      <c r="F6401">
        <f>IFERROR(VLOOKUP($A6401,原始数据_收盘!$A$4:$G$3460,6,0),"")</f>
        <v>1.5438</v>
      </c>
      <c r="G6401">
        <f>IFERROR(VLOOKUP($A6401,原始数据_收盘!$A$4:$G$3460,7,0),"")</f>
        <v>1.6213</v>
      </c>
      <c r="H6401">
        <f>IFERROR(VLOOKUP($A6401,原始数据_利率互换_FR007_1年!$A$6:$C$4395,2,0),"")</f>
        <v>1.5423</v>
      </c>
      <c r="I6401">
        <f>IFERROR(VLOOKUP($A6401,原始数据_利率互换_FR007_1年!$A$6:$C$4395,3,0),"")</f>
        <v>1.6276</v>
      </c>
    </row>
    <row r="6402" spans="1:9">
      <c r="A6402" s="6">
        <v>45895</v>
      </c>
      <c r="B6402">
        <f>IFERROR(VLOOKUP($A6402,原始数据_收盘!$A$4:$G$3460,2,0),"")</f>
        <v>1.535</v>
      </c>
      <c r="C6402">
        <f>IFERROR(VLOOKUP($A6402,原始数据_收盘!$A$4:$G$3460,3,0),"")</f>
        <v>1.6125</v>
      </c>
      <c r="D6402">
        <f>IFERROR(VLOOKUP($A6402,原始数据_收盘!$A$4:$G$3460,4,0),"")</f>
        <v>1.54</v>
      </c>
      <c r="E6402">
        <f>IFERROR(VLOOKUP($A6402,原始数据_收盘!$A$4:$G$3460,5,0),"")</f>
        <v>1.615</v>
      </c>
      <c r="F6402">
        <f>IFERROR(VLOOKUP($A6402,原始数据_收盘!$A$4:$G$3460,6,0),"")</f>
        <v>1.5375</v>
      </c>
      <c r="G6402">
        <f>IFERROR(VLOOKUP($A6402,原始数据_收盘!$A$4:$G$3460,7,0),"")</f>
        <v>1.6138</v>
      </c>
      <c r="H6402">
        <f>IFERROR(VLOOKUP($A6402,原始数据_利率互换_FR007_1年!$A$6:$C$4395,2,0),"")</f>
        <v>1.5406</v>
      </c>
      <c r="I6402">
        <f>IFERROR(VLOOKUP($A6402,原始数据_利率互换_FR007_1年!$A$6:$C$4395,3,0),"")</f>
        <v>1.6207</v>
      </c>
    </row>
    <row r="6403" spans="1:9">
      <c r="A6403" s="6">
        <v>45896</v>
      </c>
      <c r="B6403">
        <f>IFERROR(VLOOKUP($A6403,原始数据_收盘!$A$4:$G$3460,2,0),"")</f>
        <v>1.5425</v>
      </c>
      <c r="C6403">
        <f>IFERROR(VLOOKUP($A6403,原始数据_收盘!$A$4:$G$3460,3,0),"")</f>
        <v>1.6175</v>
      </c>
      <c r="D6403">
        <f>IFERROR(VLOOKUP($A6403,原始数据_收盘!$A$4:$G$3460,4,0),"")</f>
        <v>1.5425</v>
      </c>
      <c r="E6403">
        <f>IFERROR(VLOOKUP($A6403,原始数据_收盘!$A$4:$G$3460,5,0),"")</f>
        <v>1.62</v>
      </c>
      <c r="F6403">
        <f>IFERROR(VLOOKUP($A6403,原始数据_收盘!$A$4:$G$3460,6,0),"")</f>
        <v>1.5425</v>
      </c>
      <c r="G6403">
        <f>IFERROR(VLOOKUP($A6403,原始数据_收盘!$A$4:$G$3460,7,0),"")</f>
        <v>1.6188</v>
      </c>
      <c r="H6403">
        <f>IFERROR(VLOOKUP($A6403,原始数据_利率互换_FR007_1年!$A$6:$C$4395,2,0),"")</f>
        <v>1.5412</v>
      </c>
      <c r="I6403">
        <f>IFERROR(VLOOKUP($A6403,原始数据_利率互换_FR007_1年!$A$6:$C$4395,3,0),"")</f>
        <v>1.6177</v>
      </c>
    </row>
    <row r="6404" spans="1:9">
      <c r="A6404" s="6">
        <v>45897</v>
      </c>
      <c r="B6404">
        <f>IFERROR(VLOOKUP($A6404,原始数据_收盘!$A$4:$G$3460,2,0),"")</f>
        <v>1.5509</v>
      </c>
      <c r="C6404">
        <f>IFERROR(VLOOKUP($A6404,原始数据_收盘!$A$4:$G$3460,3,0),"")</f>
        <v>1.6405</v>
      </c>
      <c r="D6404">
        <f>IFERROR(VLOOKUP($A6404,原始数据_收盘!$A$4:$G$3460,4,0),"")</f>
        <v>1.5534</v>
      </c>
      <c r="E6404">
        <f>IFERROR(VLOOKUP($A6404,原始数据_收盘!$A$4:$G$3460,5,0),"")</f>
        <v>1.643</v>
      </c>
      <c r="F6404">
        <f>IFERROR(VLOOKUP($A6404,原始数据_收盘!$A$4:$G$3460,6,0),"")</f>
        <v>1.5521</v>
      </c>
      <c r="G6404">
        <f>IFERROR(VLOOKUP($A6404,原始数据_收盘!$A$4:$G$3460,7,0),"")</f>
        <v>1.6418</v>
      </c>
      <c r="H6404">
        <f>IFERROR(VLOOKUP($A6404,原始数据_利率互换_FR007_1年!$A$6:$C$4395,2,0),"")</f>
        <v>1.5483</v>
      </c>
      <c r="I6404">
        <f>IFERROR(VLOOKUP($A6404,原始数据_利率互换_FR007_1年!$A$6:$C$4395,3,0),"")</f>
        <v>1.6346</v>
      </c>
    </row>
    <row r="6405" spans="1:9">
      <c r="A6405" s="6">
        <v>45898</v>
      </c>
      <c r="B6405">
        <f>IFERROR(VLOOKUP($A6405,原始数据_收盘!$A$4:$G$3460,2,0),"")</f>
        <v>1.5443</v>
      </c>
      <c r="C6405">
        <f>IFERROR(VLOOKUP($A6405,原始数据_收盘!$A$4:$G$3460,3,0),"")</f>
        <v>1.6357</v>
      </c>
      <c r="D6405">
        <f>IFERROR(VLOOKUP($A6405,原始数据_收盘!$A$4:$G$3460,4,0),"")</f>
        <v>1.5468</v>
      </c>
      <c r="E6405">
        <f>IFERROR(VLOOKUP($A6405,原始数据_收盘!$A$4:$G$3460,5,0),"")</f>
        <v>1.6387</v>
      </c>
      <c r="F6405">
        <f>IFERROR(VLOOKUP($A6405,原始数据_收盘!$A$4:$G$3460,6,0),"")</f>
        <v>1.5455</v>
      </c>
      <c r="G6405">
        <f>IFERROR(VLOOKUP($A6405,原始数据_收盘!$A$4:$G$3460,7,0),"")</f>
        <v>1.6372</v>
      </c>
      <c r="H6405">
        <f>IFERROR(VLOOKUP($A6405,原始数据_利率互换_FR007_1年!$A$6:$C$4395,2,0),"")</f>
        <v>1.5446</v>
      </c>
      <c r="I6405">
        <f>IFERROR(VLOOKUP($A6405,原始数据_利率互换_FR007_1年!$A$6:$C$4395,3,0),"")</f>
        <v>1.637</v>
      </c>
    </row>
    <row r="6406" spans="1:9">
      <c r="A6406" s="6">
        <v>45899</v>
      </c>
      <c r="B6406" t="str">
        <f>IFERROR(VLOOKUP($A6406,原始数据_收盘!$A$4:$G$3460,2,0),"")</f>
        <v/>
      </c>
      <c r="C6406" t="str">
        <f>IFERROR(VLOOKUP($A6406,原始数据_收盘!$A$4:$G$3460,3,0),"")</f>
        <v/>
      </c>
      <c r="D6406" t="str">
        <f>IFERROR(VLOOKUP($A6406,原始数据_收盘!$A$4:$G$3460,4,0),"")</f>
        <v/>
      </c>
      <c r="E6406" t="str">
        <f>IFERROR(VLOOKUP($A6406,原始数据_收盘!$A$4:$G$3460,5,0),"")</f>
        <v/>
      </c>
      <c r="F6406" t="str">
        <f>IFERROR(VLOOKUP($A6406,原始数据_收盘!$A$4:$G$3460,6,0),"")</f>
        <v/>
      </c>
      <c r="G6406" t="str">
        <f>IFERROR(VLOOKUP($A6406,原始数据_收盘!$A$4:$G$3460,7,0),"")</f>
        <v/>
      </c>
      <c r="H6406" t="str">
        <f>IFERROR(VLOOKUP($A6406,原始数据_利率互换_FR007_1年!$A$6:$C$4395,2,0),"")</f>
        <v/>
      </c>
      <c r="I6406" t="str">
        <f>IFERROR(VLOOKUP($A6406,原始数据_利率互换_FR007_1年!$A$6:$C$4395,3,0),"")</f>
        <v/>
      </c>
    </row>
    <row r="6407" spans="1:9">
      <c r="A6407" s="6">
        <v>45900</v>
      </c>
      <c r="B6407" t="str">
        <f>IFERROR(VLOOKUP($A6407,原始数据_收盘!$A$4:$G$3460,2,0),"")</f>
        <v/>
      </c>
      <c r="C6407" t="str">
        <f>IFERROR(VLOOKUP($A6407,原始数据_收盘!$A$4:$G$3460,3,0),"")</f>
        <v/>
      </c>
      <c r="D6407" t="str">
        <f>IFERROR(VLOOKUP($A6407,原始数据_收盘!$A$4:$G$3460,4,0),"")</f>
        <v/>
      </c>
      <c r="E6407" t="str">
        <f>IFERROR(VLOOKUP($A6407,原始数据_收盘!$A$4:$G$3460,5,0),"")</f>
        <v/>
      </c>
      <c r="F6407" t="str">
        <f>IFERROR(VLOOKUP($A6407,原始数据_收盘!$A$4:$G$3460,6,0),"")</f>
        <v/>
      </c>
      <c r="G6407" t="str">
        <f>IFERROR(VLOOKUP($A6407,原始数据_收盘!$A$4:$G$3460,7,0),"")</f>
        <v/>
      </c>
      <c r="H6407" t="str">
        <f>IFERROR(VLOOKUP($A6407,原始数据_利率互换_FR007_1年!$A$6:$C$4395,2,0),"")</f>
        <v/>
      </c>
      <c r="I6407" t="str">
        <f>IFERROR(VLOOKUP($A6407,原始数据_利率互换_FR007_1年!$A$6:$C$4395,3,0),"")</f>
        <v/>
      </c>
    </row>
    <row r="6408" spans="1:9">
      <c r="A6408" s="6">
        <v>45901</v>
      </c>
      <c r="B6408">
        <f>IFERROR(VLOOKUP($A6408,原始数据_收盘!$A$4:$G$3460,2,0),"")</f>
        <v>1.54</v>
      </c>
      <c r="C6408">
        <f>IFERROR(VLOOKUP($A6408,原始数据_收盘!$A$4:$G$3460,3,0),"")</f>
        <v>1.63</v>
      </c>
      <c r="D6408">
        <f>IFERROR(VLOOKUP($A6408,原始数据_收盘!$A$4:$G$3460,4,0),"")</f>
        <v>1.5425</v>
      </c>
      <c r="E6408">
        <f>IFERROR(VLOOKUP($A6408,原始数据_收盘!$A$4:$G$3460,5,0),"")</f>
        <v>1.6325</v>
      </c>
      <c r="F6408">
        <f>IFERROR(VLOOKUP($A6408,原始数据_收盘!$A$4:$G$3460,6,0),"")</f>
        <v>1.5413</v>
      </c>
      <c r="G6408">
        <f>IFERROR(VLOOKUP($A6408,原始数据_收盘!$A$4:$G$3460,7,0),"")</f>
        <v>1.6313</v>
      </c>
      <c r="H6408">
        <f>IFERROR(VLOOKUP($A6408,原始数据_利率互换_FR007_1年!$A$6:$C$4395,2,0),"")</f>
        <v>1.5423</v>
      </c>
      <c r="I6408">
        <f>IFERROR(VLOOKUP($A6408,原始数据_利率互换_FR007_1年!$A$6:$C$4395,3,0),"")</f>
        <v>1.6324</v>
      </c>
    </row>
    <row r="6409" spans="1:9">
      <c r="A6409" s="6">
        <v>45902</v>
      </c>
      <c r="B6409">
        <f>IFERROR(VLOOKUP($A6409,原始数据_收盘!$A$4:$G$3460,2,0),"")</f>
        <v>1.535</v>
      </c>
      <c r="C6409">
        <f>IFERROR(VLOOKUP($A6409,原始数据_收盘!$A$4:$G$3460,3,0),"")</f>
        <v>1.621</v>
      </c>
      <c r="D6409">
        <f>IFERROR(VLOOKUP($A6409,原始数据_收盘!$A$4:$G$3460,4,0),"")</f>
        <v>1.5375</v>
      </c>
      <c r="E6409">
        <f>IFERROR(VLOOKUP($A6409,原始数据_收盘!$A$4:$G$3460,5,0),"")</f>
        <v>1.6231</v>
      </c>
      <c r="F6409">
        <f>IFERROR(VLOOKUP($A6409,原始数据_收盘!$A$4:$G$3460,6,0),"")</f>
        <v>1.5363</v>
      </c>
      <c r="G6409">
        <f>IFERROR(VLOOKUP($A6409,原始数据_收盘!$A$4:$G$3460,7,0),"")</f>
        <v>1.6221</v>
      </c>
      <c r="H6409">
        <f>IFERROR(VLOOKUP($A6409,原始数据_利率互换_FR007_1年!$A$6:$C$4395,2,0),"")</f>
        <v>1.5398</v>
      </c>
      <c r="I6409">
        <f>IFERROR(VLOOKUP($A6409,原始数据_利率互换_FR007_1年!$A$6:$C$4395,3,0),"")</f>
        <v>1.6289</v>
      </c>
    </row>
    <row r="6410" spans="1:9">
      <c r="A6410" s="6">
        <v>45903</v>
      </c>
      <c r="B6410">
        <f>IFERROR(VLOOKUP($A6410,原始数据_收盘!$A$4:$G$3460,2,0),"")</f>
        <v>1.5294</v>
      </c>
      <c r="C6410">
        <f>IFERROR(VLOOKUP($A6410,原始数据_收盘!$A$4:$G$3460,3,0),"")</f>
        <v>1.605</v>
      </c>
      <c r="D6410">
        <f>IFERROR(VLOOKUP($A6410,原始数据_收盘!$A$4:$G$3460,4,0),"")</f>
        <v>1.5319</v>
      </c>
      <c r="E6410">
        <f>IFERROR(VLOOKUP($A6410,原始数据_收盘!$A$4:$G$3460,5,0),"")</f>
        <v>1.6075</v>
      </c>
      <c r="F6410">
        <f>IFERROR(VLOOKUP($A6410,原始数据_收盘!$A$4:$G$3460,6,0),"")</f>
        <v>1.5306</v>
      </c>
      <c r="G6410">
        <f>IFERROR(VLOOKUP($A6410,原始数据_收盘!$A$4:$G$3460,7,0),"")</f>
        <v>1.6063</v>
      </c>
      <c r="H6410">
        <f>IFERROR(VLOOKUP($A6410,原始数据_利率互换_FR007_1年!$A$6:$C$4395,2,0),"")</f>
        <v>1.5324</v>
      </c>
      <c r="I6410">
        <f>IFERROR(VLOOKUP($A6410,原始数据_利率互换_FR007_1年!$A$6:$C$4395,3,0),"")</f>
        <v>1.6124</v>
      </c>
    </row>
    <row r="6411" spans="1:9">
      <c r="A6411" s="6">
        <v>45904</v>
      </c>
      <c r="B6411">
        <f>IFERROR(VLOOKUP($A6411,原始数据_收盘!$A$4:$G$3460,2,0),"")</f>
        <v>1.5364</v>
      </c>
      <c r="C6411">
        <f>IFERROR(VLOOKUP($A6411,原始数据_收盘!$A$4:$G$3460,3,0),"")</f>
        <v>1.6148</v>
      </c>
      <c r="D6411">
        <f>IFERROR(VLOOKUP($A6411,原始数据_收盘!$A$4:$G$3460,4,0),"")</f>
        <v>1.5389</v>
      </c>
      <c r="E6411">
        <f>IFERROR(VLOOKUP($A6411,原始数据_收盘!$A$4:$G$3460,5,0),"")</f>
        <v>1.6175</v>
      </c>
      <c r="F6411">
        <f>IFERROR(VLOOKUP($A6411,原始数据_收盘!$A$4:$G$3460,6,0),"")</f>
        <v>1.5377</v>
      </c>
      <c r="G6411">
        <f>IFERROR(VLOOKUP($A6411,原始数据_收盘!$A$4:$G$3460,7,0),"")</f>
        <v>1.6162</v>
      </c>
      <c r="H6411">
        <f>IFERROR(VLOOKUP($A6411,原始数据_利率互换_FR007_1年!$A$6:$C$4395,2,0),"")</f>
        <v>1.529</v>
      </c>
      <c r="I6411">
        <f>IFERROR(VLOOKUP($A6411,原始数据_利率互换_FR007_1年!$A$6:$C$4395,3,0),"")</f>
        <v>1.6049</v>
      </c>
    </row>
    <row r="6412" spans="1:9">
      <c r="A6412" s="6">
        <v>45905</v>
      </c>
      <c r="B6412">
        <f>IFERROR(VLOOKUP($A6412,原始数据_收盘!$A$4:$G$3460,2,0),"")</f>
        <v>1.54</v>
      </c>
      <c r="C6412">
        <f>IFERROR(VLOOKUP($A6412,原始数据_收盘!$A$4:$G$3460,3,0),"")</f>
        <v>1.635</v>
      </c>
      <c r="D6412">
        <f>IFERROR(VLOOKUP($A6412,原始数据_收盘!$A$4:$G$3460,4,0),"")</f>
        <v>1.5425</v>
      </c>
      <c r="E6412">
        <f>IFERROR(VLOOKUP($A6412,原始数据_收盘!$A$4:$G$3460,5,0),"")</f>
        <v>1.6397</v>
      </c>
      <c r="F6412">
        <f>IFERROR(VLOOKUP($A6412,原始数据_收盘!$A$4:$G$3460,6,0),"")</f>
        <v>1.5413</v>
      </c>
      <c r="G6412">
        <f>IFERROR(VLOOKUP($A6412,原始数据_收盘!$A$4:$G$3460,7,0),"")</f>
        <v>1.6373</v>
      </c>
      <c r="H6412">
        <f>IFERROR(VLOOKUP($A6412,原始数据_利率互换_FR007_1年!$A$6:$C$4395,2,0),"")</f>
        <v>1.5425</v>
      </c>
      <c r="I6412">
        <f>IFERROR(VLOOKUP($A6412,原始数据_利率互换_FR007_1年!$A$6:$C$4395,3,0),"")</f>
        <v>1.635</v>
      </c>
    </row>
    <row r="6413" spans="1:9">
      <c r="A6413" s="6">
        <v>45906</v>
      </c>
      <c r="B6413" t="str">
        <f>IFERROR(VLOOKUP($A6413,原始数据_收盘!$A$4:$G$3460,2,0),"")</f>
        <v/>
      </c>
      <c r="C6413" t="str">
        <f>IFERROR(VLOOKUP($A6413,原始数据_收盘!$A$4:$G$3460,3,0),"")</f>
        <v/>
      </c>
      <c r="D6413" t="str">
        <f>IFERROR(VLOOKUP($A6413,原始数据_收盘!$A$4:$G$3460,4,0),"")</f>
        <v/>
      </c>
      <c r="E6413" t="str">
        <f>IFERROR(VLOOKUP($A6413,原始数据_收盘!$A$4:$G$3460,5,0),"")</f>
        <v/>
      </c>
      <c r="F6413" t="str">
        <f>IFERROR(VLOOKUP($A6413,原始数据_收盘!$A$4:$G$3460,6,0),"")</f>
        <v/>
      </c>
      <c r="G6413" t="str">
        <f>IFERROR(VLOOKUP($A6413,原始数据_收盘!$A$4:$G$3460,7,0),"")</f>
        <v/>
      </c>
      <c r="H6413" t="str">
        <f>IFERROR(VLOOKUP($A6413,原始数据_利率互换_FR007_1年!$A$6:$C$4395,2,0),"")</f>
        <v/>
      </c>
      <c r="I6413" t="str">
        <f>IFERROR(VLOOKUP($A6413,原始数据_利率互换_FR007_1年!$A$6:$C$4395,3,0),"")</f>
        <v/>
      </c>
    </row>
    <row r="6414" spans="1:9">
      <c r="A6414" s="6">
        <v>45907</v>
      </c>
      <c r="B6414" t="str">
        <f>IFERROR(VLOOKUP($A6414,原始数据_收盘!$A$4:$G$3460,2,0),"")</f>
        <v/>
      </c>
      <c r="C6414" t="str">
        <f>IFERROR(VLOOKUP($A6414,原始数据_收盘!$A$4:$G$3460,3,0),"")</f>
        <v/>
      </c>
      <c r="D6414" t="str">
        <f>IFERROR(VLOOKUP($A6414,原始数据_收盘!$A$4:$G$3460,4,0),"")</f>
        <v/>
      </c>
      <c r="E6414" t="str">
        <f>IFERROR(VLOOKUP($A6414,原始数据_收盘!$A$4:$G$3460,5,0),"")</f>
        <v/>
      </c>
      <c r="F6414" t="str">
        <f>IFERROR(VLOOKUP($A6414,原始数据_收盘!$A$4:$G$3460,6,0),"")</f>
        <v/>
      </c>
      <c r="G6414" t="str">
        <f>IFERROR(VLOOKUP($A6414,原始数据_收盘!$A$4:$G$3460,7,0),"")</f>
        <v/>
      </c>
      <c r="H6414" t="str">
        <f>IFERROR(VLOOKUP($A6414,原始数据_利率互换_FR007_1年!$A$6:$C$4395,2,0),"")</f>
        <v/>
      </c>
      <c r="I6414" t="str">
        <f>IFERROR(VLOOKUP($A6414,原始数据_利率互换_FR007_1年!$A$6:$C$4395,3,0),"")</f>
        <v/>
      </c>
    </row>
    <row r="6415" spans="1:9">
      <c r="A6415" s="6">
        <v>45908</v>
      </c>
      <c r="B6415">
        <f>IFERROR(VLOOKUP($A6415,原始数据_收盘!$A$4:$G$3460,2,0),"")</f>
        <v>1.55</v>
      </c>
      <c r="C6415">
        <f>IFERROR(VLOOKUP($A6415,原始数据_收盘!$A$4:$G$3460,3,0),"")</f>
        <v>1.6498</v>
      </c>
      <c r="D6415">
        <f>IFERROR(VLOOKUP($A6415,原始数据_收盘!$A$4:$G$3460,4,0),"")</f>
        <v>1.5525</v>
      </c>
      <c r="E6415">
        <f>IFERROR(VLOOKUP($A6415,原始数据_收盘!$A$4:$G$3460,5,0),"")</f>
        <v>1.6513</v>
      </c>
      <c r="F6415">
        <f>IFERROR(VLOOKUP($A6415,原始数据_收盘!$A$4:$G$3460,6,0),"")</f>
        <v>1.5513</v>
      </c>
      <c r="G6415">
        <f>IFERROR(VLOOKUP($A6415,原始数据_收盘!$A$4:$G$3460,7,0),"")</f>
        <v>1.6506</v>
      </c>
      <c r="H6415">
        <f>IFERROR(VLOOKUP($A6415,原始数据_利率互换_FR007_1年!$A$6:$C$4395,2,0),"")</f>
        <v>1.5501</v>
      </c>
      <c r="I6415">
        <f>IFERROR(VLOOKUP($A6415,原始数据_利率互换_FR007_1年!$A$6:$C$4395,3,0),"")</f>
        <v>1.6484</v>
      </c>
    </row>
    <row r="6416" spans="1:9">
      <c r="A6416" s="6">
        <v>45909</v>
      </c>
      <c r="B6416">
        <f>IFERROR(VLOOKUP($A6416,原始数据_收盘!$A$4:$G$3460,2,0),"")</f>
        <v>1.5575</v>
      </c>
      <c r="C6416">
        <f>IFERROR(VLOOKUP($A6416,原始数据_收盘!$A$4:$G$3460,3,0),"")</f>
        <v>1.6558</v>
      </c>
      <c r="D6416">
        <f>IFERROR(VLOOKUP($A6416,原始数据_收盘!$A$4:$G$3460,4,0),"")</f>
        <v>1.56</v>
      </c>
      <c r="E6416">
        <f>IFERROR(VLOOKUP($A6416,原始数据_收盘!$A$4:$G$3460,5,0),"")</f>
        <v>1.6588</v>
      </c>
      <c r="F6416">
        <f>IFERROR(VLOOKUP($A6416,原始数据_收盘!$A$4:$G$3460,6,0),"")</f>
        <v>1.5588</v>
      </c>
      <c r="G6416">
        <f>IFERROR(VLOOKUP($A6416,原始数据_收盘!$A$4:$G$3460,7,0),"")</f>
        <v>1.6573</v>
      </c>
      <c r="H6416">
        <f>IFERROR(VLOOKUP($A6416,原始数据_利率互换_FR007_1年!$A$6:$C$4395,2,0),"")</f>
        <v>1.555</v>
      </c>
      <c r="I6416">
        <f>IFERROR(VLOOKUP($A6416,原始数据_利率互换_FR007_1年!$A$6:$C$4395,3,0),"")</f>
        <v>1.6504</v>
      </c>
    </row>
    <row r="6417" spans="1:9">
      <c r="A6417" s="6">
        <v>45910</v>
      </c>
      <c r="B6417">
        <f>IFERROR(VLOOKUP($A6417,原始数据_收盘!$A$4:$G$3460,2,0),"")</f>
        <v>1.57</v>
      </c>
      <c r="C6417">
        <f>IFERROR(VLOOKUP($A6417,原始数据_收盘!$A$4:$G$3460,3,0),"")</f>
        <v>1.6849</v>
      </c>
      <c r="D6417">
        <f>IFERROR(VLOOKUP($A6417,原始数据_收盘!$A$4:$G$3460,4,0),"")</f>
        <v>1.575</v>
      </c>
      <c r="E6417">
        <f>IFERROR(VLOOKUP($A6417,原始数据_收盘!$A$4:$G$3460,5,0),"")</f>
        <v>1.6879</v>
      </c>
      <c r="F6417">
        <f>IFERROR(VLOOKUP($A6417,原始数据_收盘!$A$4:$G$3460,6,0),"")</f>
        <v>1.5725</v>
      </c>
      <c r="G6417">
        <f>IFERROR(VLOOKUP($A6417,原始数据_收盘!$A$4:$G$3460,7,0),"")</f>
        <v>1.6864</v>
      </c>
      <c r="H6417">
        <f>IFERROR(VLOOKUP($A6417,原始数据_利率互换_FR007_1年!$A$6:$C$4395,2,0),"")</f>
        <v>1.5596</v>
      </c>
      <c r="I6417">
        <f>IFERROR(VLOOKUP($A6417,原始数据_利率互换_FR007_1年!$A$6:$C$4395,3,0),"")</f>
        <v>1.668</v>
      </c>
    </row>
    <row r="6418" spans="1:9">
      <c r="A6418" s="6">
        <v>45911</v>
      </c>
      <c r="B6418">
        <f>IFERROR(VLOOKUP($A6418,原始数据_收盘!$A$4:$G$3460,2,0),"")</f>
        <v>1.5726</v>
      </c>
      <c r="C6418">
        <f>IFERROR(VLOOKUP($A6418,原始数据_收盘!$A$4:$G$3460,3,0),"")</f>
        <v>1.68</v>
      </c>
      <c r="D6418">
        <f>IFERROR(VLOOKUP($A6418,原始数据_收盘!$A$4:$G$3460,4,0),"")</f>
        <v>1.5764</v>
      </c>
      <c r="E6418">
        <f>IFERROR(VLOOKUP($A6418,原始数据_收盘!$A$4:$G$3460,5,0),"")</f>
        <v>1.6804</v>
      </c>
      <c r="F6418">
        <f>IFERROR(VLOOKUP($A6418,原始数据_收盘!$A$4:$G$3460,6,0),"")</f>
        <v>1.5745</v>
      </c>
      <c r="G6418">
        <f>IFERROR(VLOOKUP($A6418,原始数据_收盘!$A$4:$G$3460,7,0),"")</f>
        <v>1.6802</v>
      </c>
      <c r="H6418">
        <f>IFERROR(VLOOKUP($A6418,原始数据_利率互换_FR007_1年!$A$6:$C$4395,2,0),"")</f>
        <v>1.5668</v>
      </c>
      <c r="I6418">
        <f>IFERROR(VLOOKUP($A6418,原始数据_利率互换_FR007_1年!$A$6:$C$4395,3,0),"")</f>
        <v>1.6748</v>
      </c>
    </row>
    <row r="6419" spans="1:9">
      <c r="A6419" s="6">
        <v>45912</v>
      </c>
      <c r="B6419">
        <f>IFERROR(VLOOKUP($A6419,原始数据_收盘!$A$4:$G$3460,2,0),"")</f>
        <v>1.555</v>
      </c>
      <c r="C6419">
        <f>IFERROR(VLOOKUP($A6419,原始数据_收盘!$A$4:$G$3460,3,0),"")</f>
        <v>1.66</v>
      </c>
      <c r="D6419">
        <f>IFERROR(VLOOKUP($A6419,原始数据_收盘!$A$4:$G$3460,4,0),"")</f>
        <v>1.5578</v>
      </c>
      <c r="E6419">
        <f>IFERROR(VLOOKUP($A6419,原始数据_收盘!$A$4:$G$3460,5,0),"")</f>
        <v>1.6625</v>
      </c>
      <c r="F6419">
        <f>IFERROR(VLOOKUP($A6419,原始数据_收盘!$A$4:$G$3460,6,0),"")</f>
        <v>1.5564</v>
      </c>
      <c r="G6419">
        <f>IFERROR(VLOOKUP($A6419,原始数据_收盘!$A$4:$G$3460,7,0),"")</f>
        <v>1.6613</v>
      </c>
      <c r="H6419">
        <f>IFERROR(VLOOKUP($A6419,原始数据_利率互换_FR007_1年!$A$6:$C$4395,2,0),"")</f>
        <v>1.5577</v>
      </c>
      <c r="I6419">
        <f>IFERROR(VLOOKUP($A6419,原始数据_利率互换_FR007_1年!$A$6:$C$4395,3,0),"")</f>
        <v>1.6663</v>
      </c>
    </row>
    <row r="6420" spans="1:9">
      <c r="A6420" s="6">
        <v>45913</v>
      </c>
      <c r="B6420" t="str">
        <f>IFERROR(VLOOKUP($A6420,原始数据_收盘!$A$4:$G$3460,2,0),"")</f>
        <v/>
      </c>
      <c r="C6420" t="str">
        <f>IFERROR(VLOOKUP($A6420,原始数据_收盘!$A$4:$G$3460,3,0),"")</f>
        <v/>
      </c>
      <c r="D6420" t="str">
        <f>IFERROR(VLOOKUP($A6420,原始数据_收盘!$A$4:$G$3460,4,0),"")</f>
        <v/>
      </c>
      <c r="E6420" t="str">
        <f>IFERROR(VLOOKUP($A6420,原始数据_收盘!$A$4:$G$3460,5,0),"")</f>
        <v/>
      </c>
      <c r="F6420" t="str">
        <f>IFERROR(VLOOKUP($A6420,原始数据_收盘!$A$4:$G$3460,6,0),"")</f>
        <v/>
      </c>
      <c r="G6420" t="str">
        <f>IFERROR(VLOOKUP($A6420,原始数据_收盘!$A$4:$G$3460,7,0),"")</f>
        <v/>
      </c>
      <c r="H6420" t="str">
        <f>IFERROR(VLOOKUP($A6420,原始数据_利率互换_FR007_1年!$A$6:$C$4395,2,0),"")</f>
        <v/>
      </c>
      <c r="I6420" t="str">
        <f>IFERROR(VLOOKUP($A6420,原始数据_利率互换_FR007_1年!$A$6:$C$4395,3,0),"")</f>
        <v/>
      </c>
    </row>
    <row r="6421" spans="1:9">
      <c r="A6421" s="6">
        <v>45914</v>
      </c>
      <c r="B6421" t="str">
        <f>IFERROR(VLOOKUP($A6421,原始数据_收盘!$A$4:$G$3460,2,0),"")</f>
        <v/>
      </c>
      <c r="C6421" t="str">
        <f>IFERROR(VLOOKUP($A6421,原始数据_收盘!$A$4:$G$3460,3,0),"")</f>
        <v/>
      </c>
      <c r="D6421" t="str">
        <f>IFERROR(VLOOKUP($A6421,原始数据_收盘!$A$4:$G$3460,4,0),"")</f>
        <v/>
      </c>
      <c r="E6421" t="str">
        <f>IFERROR(VLOOKUP($A6421,原始数据_收盘!$A$4:$G$3460,5,0),"")</f>
        <v/>
      </c>
      <c r="F6421" t="str">
        <f>IFERROR(VLOOKUP($A6421,原始数据_收盘!$A$4:$G$3460,6,0),"")</f>
        <v/>
      </c>
      <c r="G6421" t="str">
        <f>IFERROR(VLOOKUP($A6421,原始数据_收盘!$A$4:$G$3460,7,0),"")</f>
        <v/>
      </c>
      <c r="H6421" t="str">
        <f>IFERROR(VLOOKUP($A6421,原始数据_利率互换_FR007_1年!$A$6:$C$4395,2,0),"")</f>
        <v/>
      </c>
      <c r="I6421" t="str">
        <f>IFERROR(VLOOKUP($A6421,原始数据_利率互换_FR007_1年!$A$6:$C$4395,3,0),"")</f>
        <v/>
      </c>
    </row>
    <row r="6422" spans="1:9">
      <c r="A6422" s="6">
        <v>45915</v>
      </c>
      <c r="B6422">
        <f>IFERROR(VLOOKUP($A6422,原始数据_收盘!$A$4:$G$3460,2,0),"")</f>
        <v>1.555</v>
      </c>
      <c r="C6422">
        <f>IFERROR(VLOOKUP($A6422,原始数据_收盘!$A$4:$G$3460,3,0),"")</f>
        <v>1.6593</v>
      </c>
      <c r="D6422">
        <f>IFERROR(VLOOKUP($A6422,原始数据_收盘!$A$4:$G$3460,4,0),"")</f>
        <v>1.5575</v>
      </c>
      <c r="E6422">
        <f>IFERROR(VLOOKUP($A6422,原始数据_收盘!$A$4:$G$3460,5,0),"")</f>
        <v>1.6625</v>
      </c>
      <c r="F6422">
        <f>IFERROR(VLOOKUP($A6422,原始数据_收盘!$A$4:$G$3460,6,0),"")</f>
        <v>1.5563</v>
      </c>
      <c r="G6422">
        <f>IFERROR(VLOOKUP($A6422,原始数据_收盘!$A$4:$G$3460,7,0),"")</f>
        <v>1.6609</v>
      </c>
      <c r="H6422">
        <f>IFERROR(VLOOKUP($A6422,原始数据_利率互换_FR007_1年!$A$6:$C$4395,2,0),"")</f>
        <v>1.5528</v>
      </c>
      <c r="I6422">
        <f>IFERROR(VLOOKUP($A6422,原始数据_利率互换_FR007_1年!$A$6:$C$4395,3,0),"")</f>
        <v>1.6473</v>
      </c>
    </row>
    <row r="6423" spans="1:9">
      <c r="A6423" s="6">
        <v>45916</v>
      </c>
      <c r="B6423">
        <f>IFERROR(VLOOKUP($A6423,原始数据_收盘!$A$4:$G$3460,2,0),"")</f>
        <v>1.5475</v>
      </c>
      <c r="C6423">
        <f>IFERROR(VLOOKUP($A6423,原始数据_收盘!$A$4:$G$3460,3,0),"")</f>
        <v>1.64</v>
      </c>
      <c r="D6423">
        <f>IFERROR(VLOOKUP($A6423,原始数据_收盘!$A$4:$G$3460,4,0),"")</f>
        <v>1.55</v>
      </c>
      <c r="E6423">
        <f>IFERROR(VLOOKUP($A6423,原始数据_收盘!$A$4:$G$3460,5,0),"")</f>
        <v>1.6425</v>
      </c>
      <c r="F6423">
        <f>IFERROR(VLOOKUP($A6423,原始数据_收盘!$A$4:$G$3460,6,0),"")</f>
        <v>1.5488</v>
      </c>
      <c r="G6423">
        <f>IFERROR(VLOOKUP($A6423,原始数据_收盘!$A$4:$G$3460,7,0),"")</f>
        <v>1.6413</v>
      </c>
      <c r="H6423">
        <f>IFERROR(VLOOKUP($A6423,原始数据_利率互换_FR007_1年!$A$6:$C$4395,2,0),"")</f>
        <v>1.5511</v>
      </c>
      <c r="I6423">
        <f>IFERROR(VLOOKUP($A6423,原始数据_利率互换_FR007_1年!$A$6:$C$4395,3,0),"")</f>
        <v>1.65</v>
      </c>
    </row>
    <row r="6424" spans="1:9">
      <c r="A6424" s="6">
        <v>45917</v>
      </c>
      <c r="B6424">
        <f>IFERROR(VLOOKUP($A6424,原始数据_收盘!$A$4:$G$3460,2,0),"")</f>
        <v>1.5475</v>
      </c>
      <c r="C6424">
        <f>IFERROR(VLOOKUP($A6424,原始数据_收盘!$A$4:$G$3460,3,0),"")</f>
        <v>1.6274</v>
      </c>
      <c r="D6424">
        <f>IFERROR(VLOOKUP($A6424,原始数据_收盘!$A$4:$G$3460,4,0),"")</f>
        <v>1.5493</v>
      </c>
      <c r="E6424">
        <f>IFERROR(VLOOKUP($A6424,原始数据_收盘!$A$4:$G$3460,5,0),"")</f>
        <v>1.6301</v>
      </c>
      <c r="F6424">
        <f>IFERROR(VLOOKUP($A6424,原始数据_收盘!$A$4:$G$3460,6,0),"")</f>
        <v>1.5484</v>
      </c>
      <c r="G6424">
        <f>IFERROR(VLOOKUP($A6424,原始数据_收盘!$A$4:$G$3460,7,0),"")</f>
        <v>1.6288</v>
      </c>
      <c r="H6424">
        <f>IFERROR(VLOOKUP($A6424,原始数据_利率互换_FR007_1年!$A$6:$C$4395,2,0),"")</f>
        <v>1.5517</v>
      </c>
      <c r="I6424">
        <f>IFERROR(VLOOKUP($A6424,原始数据_利率互换_FR007_1年!$A$6:$C$4395,3,0),"")</f>
        <v>1.6355</v>
      </c>
    </row>
    <row r="6425" spans="1:9">
      <c r="A6425" s="6">
        <v>45918</v>
      </c>
      <c r="B6425">
        <f>IFERROR(VLOOKUP($A6425,原始数据_收盘!$A$4:$G$3460,2,0),"")</f>
        <v>1.555</v>
      </c>
      <c r="C6425">
        <f>IFERROR(VLOOKUP($A6425,原始数据_收盘!$A$4:$G$3460,3,0),"")</f>
        <v>1.64</v>
      </c>
      <c r="D6425">
        <f>IFERROR(VLOOKUP($A6425,原始数据_收盘!$A$4:$G$3460,4,0),"")</f>
        <v>1.5575</v>
      </c>
      <c r="E6425">
        <f>IFERROR(VLOOKUP($A6425,原始数据_收盘!$A$4:$G$3460,5,0),"")</f>
        <v>1.6425</v>
      </c>
      <c r="F6425">
        <f>IFERROR(VLOOKUP($A6425,原始数据_收盘!$A$4:$G$3460,6,0),"")</f>
        <v>1.5563</v>
      </c>
      <c r="G6425">
        <f>IFERROR(VLOOKUP($A6425,原始数据_收盘!$A$4:$G$3460,7,0),"")</f>
        <v>1.6413</v>
      </c>
      <c r="H6425">
        <f>IFERROR(VLOOKUP($A6425,原始数据_利率互换_FR007_1年!$A$6:$C$4395,2,0),"")</f>
        <v>1.5547</v>
      </c>
      <c r="I6425">
        <f>IFERROR(VLOOKUP($A6425,原始数据_利率互换_FR007_1年!$A$6:$C$4395,3,0),"")</f>
        <v>1.6362</v>
      </c>
    </row>
    <row r="6426" spans="1:9">
      <c r="A6426" s="6">
        <v>45919</v>
      </c>
      <c r="B6426">
        <f>IFERROR(VLOOKUP($A6426,原始数据_收盘!$A$4:$G$3460,2,0),"")</f>
        <v>1.565</v>
      </c>
      <c r="C6426">
        <f>IFERROR(VLOOKUP($A6426,原始数据_收盘!$A$4:$G$3460,3,0),"")</f>
        <v>1.6653</v>
      </c>
      <c r="D6426">
        <f>IFERROR(VLOOKUP($A6426,原始数据_收盘!$A$4:$G$3460,4,0),"")</f>
        <v>1.5675</v>
      </c>
      <c r="E6426">
        <f>IFERROR(VLOOKUP($A6426,原始数据_收盘!$A$4:$G$3460,5,0),"")</f>
        <v>1.6683</v>
      </c>
      <c r="F6426">
        <f>IFERROR(VLOOKUP($A6426,原始数据_收盘!$A$4:$G$3460,6,0),"")</f>
        <v>1.5663</v>
      </c>
      <c r="G6426">
        <f>IFERROR(VLOOKUP($A6426,原始数据_收盘!$A$4:$G$3460,7,0),"")</f>
        <v>1.6668</v>
      </c>
      <c r="H6426">
        <f>IFERROR(VLOOKUP($A6426,原始数据_利率互换_FR007_1年!$A$6:$C$4395,2,0),"")</f>
        <v>1.556</v>
      </c>
      <c r="I6426">
        <f>IFERROR(VLOOKUP($A6426,原始数据_利率互换_FR007_1年!$A$6:$C$4395,3,0),"")</f>
        <v>1.6527</v>
      </c>
    </row>
    <row r="6427" spans="1:9">
      <c r="A6427" s="6">
        <v>45920</v>
      </c>
      <c r="B6427" t="str">
        <f>IFERROR(VLOOKUP($A6427,原始数据_收盘!$A$4:$G$3460,2,0),"")</f>
        <v/>
      </c>
      <c r="C6427" t="str">
        <f>IFERROR(VLOOKUP($A6427,原始数据_收盘!$A$4:$G$3460,3,0),"")</f>
        <v/>
      </c>
      <c r="D6427" t="str">
        <f>IFERROR(VLOOKUP($A6427,原始数据_收盘!$A$4:$G$3460,4,0),"")</f>
        <v/>
      </c>
      <c r="E6427" t="str">
        <f>IFERROR(VLOOKUP($A6427,原始数据_收盘!$A$4:$G$3460,5,0),"")</f>
        <v/>
      </c>
      <c r="F6427" t="str">
        <f>IFERROR(VLOOKUP($A6427,原始数据_收盘!$A$4:$G$3460,6,0),"")</f>
        <v/>
      </c>
      <c r="G6427" t="str">
        <f>IFERROR(VLOOKUP($A6427,原始数据_收盘!$A$4:$G$3460,7,0),"")</f>
        <v/>
      </c>
      <c r="H6427" t="str">
        <f>IFERROR(VLOOKUP($A6427,原始数据_利率互换_FR007_1年!$A$6:$C$4395,2,0),"")</f>
        <v/>
      </c>
      <c r="I6427" t="str">
        <f>IFERROR(VLOOKUP($A6427,原始数据_利率互换_FR007_1年!$A$6:$C$4395,3,0),"")</f>
        <v/>
      </c>
    </row>
    <row r="6428" spans="1:9">
      <c r="A6428" s="6">
        <v>45921</v>
      </c>
      <c r="B6428" t="str">
        <f>IFERROR(VLOOKUP($A6428,原始数据_收盘!$A$4:$G$3460,2,0),"")</f>
        <v/>
      </c>
      <c r="C6428" t="str">
        <f>IFERROR(VLOOKUP($A6428,原始数据_收盘!$A$4:$G$3460,3,0),"")</f>
        <v/>
      </c>
      <c r="D6428" t="str">
        <f>IFERROR(VLOOKUP($A6428,原始数据_收盘!$A$4:$G$3460,4,0),"")</f>
        <v/>
      </c>
      <c r="E6428" t="str">
        <f>IFERROR(VLOOKUP($A6428,原始数据_收盘!$A$4:$G$3460,5,0),"")</f>
        <v/>
      </c>
      <c r="F6428" t="str">
        <f>IFERROR(VLOOKUP($A6428,原始数据_收盘!$A$4:$G$3460,6,0),"")</f>
        <v/>
      </c>
      <c r="G6428" t="str">
        <f>IFERROR(VLOOKUP($A6428,原始数据_收盘!$A$4:$G$3460,7,0),"")</f>
        <v/>
      </c>
      <c r="H6428" t="str">
        <f>IFERROR(VLOOKUP($A6428,原始数据_利率互换_FR007_1年!$A$6:$C$4395,2,0),"")</f>
        <v/>
      </c>
      <c r="I6428" t="str">
        <f>IFERROR(VLOOKUP($A6428,原始数据_利率互换_FR007_1年!$A$6:$C$4395,3,0),"")</f>
        <v/>
      </c>
    </row>
    <row r="6429" spans="1:9">
      <c r="A6429" s="6">
        <v>45922</v>
      </c>
      <c r="B6429">
        <f>IFERROR(VLOOKUP($A6429,原始数据_收盘!$A$4:$G$3460,2,0),"")</f>
        <v>1.56</v>
      </c>
      <c r="C6429">
        <f>IFERROR(VLOOKUP($A6429,原始数据_收盘!$A$4:$G$3460,3,0),"")</f>
        <v>1.6525</v>
      </c>
      <c r="D6429">
        <f>IFERROR(VLOOKUP($A6429,原始数据_收盘!$A$4:$G$3460,4,0),"")</f>
        <v>1.5633</v>
      </c>
      <c r="E6429">
        <f>IFERROR(VLOOKUP($A6429,原始数据_收盘!$A$4:$G$3460,5,0),"")</f>
        <v>1.6554</v>
      </c>
      <c r="F6429">
        <f>IFERROR(VLOOKUP($A6429,原始数据_收盘!$A$4:$G$3460,6,0),"")</f>
        <v>1.5617</v>
      </c>
      <c r="G6429">
        <f>IFERROR(VLOOKUP($A6429,原始数据_收盘!$A$4:$G$3460,7,0),"")</f>
        <v>1.654</v>
      </c>
      <c r="H6429">
        <f>IFERROR(VLOOKUP($A6429,原始数据_利率互换_FR007_1年!$A$6:$C$4395,2,0),"")</f>
        <v>1.554</v>
      </c>
      <c r="I6429">
        <f>IFERROR(VLOOKUP($A6429,原始数据_利率互换_FR007_1年!$A$6:$C$4395,3,0),"")</f>
        <v>1.6474</v>
      </c>
    </row>
    <row r="6430" spans="1:9">
      <c r="A6430" s="6">
        <v>45923</v>
      </c>
      <c r="B6430">
        <f>IFERROR(VLOOKUP($A6430,原始数据_收盘!$A$4:$G$3460,2,0),"")</f>
        <v>1.5679</v>
      </c>
      <c r="C6430">
        <f>IFERROR(VLOOKUP($A6430,原始数据_收盘!$A$4:$G$3460,3,0),"")</f>
        <v>1.665</v>
      </c>
      <c r="D6430">
        <f>IFERROR(VLOOKUP($A6430,原始数据_收盘!$A$4:$G$3460,4,0),"")</f>
        <v>1.5704</v>
      </c>
      <c r="E6430">
        <f>IFERROR(VLOOKUP($A6430,原始数据_收盘!$A$4:$G$3460,5,0),"")</f>
        <v>1.6675</v>
      </c>
      <c r="F6430">
        <f>IFERROR(VLOOKUP($A6430,原始数据_收盘!$A$4:$G$3460,6,0),"")</f>
        <v>1.5691</v>
      </c>
      <c r="G6430">
        <f>IFERROR(VLOOKUP($A6430,原始数据_收盘!$A$4:$G$3460,7,0),"")</f>
        <v>1.6663</v>
      </c>
      <c r="H6430">
        <f>IFERROR(VLOOKUP($A6430,原始数据_利率互换_FR007_1年!$A$6:$C$4395,2,0),"")</f>
        <v>1.5671</v>
      </c>
      <c r="I6430">
        <f>IFERROR(VLOOKUP($A6430,原始数据_利率互换_FR007_1年!$A$6:$C$4395,3,0),"")</f>
        <v>1.6645</v>
      </c>
    </row>
    <row r="6431" spans="1:9">
      <c r="A6431" s="6">
        <v>45924</v>
      </c>
      <c r="B6431">
        <f>IFERROR(VLOOKUP($A6431,原始数据_收盘!$A$4:$G$3460,2,0),"")</f>
        <v>1.58</v>
      </c>
      <c r="C6431">
        <f>IFERROR(VLOOKUP($A6431,原始数据_收盘!$A$4:$G$3460,3,0),"")</f>
        <v>1.6796</v>
      </c>
      <c r="D6431">
        <f>IFERROR(VLOOKUP($A6431,原始数据_收盘!$A$4:$G$3460,4,0),"")</f>
        <v>1.585</v>
      </c>
      <c r="E6431">
        <f>IFERROR(VLOOKUP($A6431,原始数据_收盘!$A$4:$G$3460,5,0),"")</f>
        <v>1.6825</v>
      </c>
      <c r="F6431">
        <f>IFERROR(VLOOKUP($A6431,原始数据_收盘!$A$4:$G$3460,6,0),"")</f>
        <v>1.5825</v>
      </c>
      <c r="G6431">
        <f>IFERROR(VLOOKUP($A6431,原始数据_收盘!$A$4:$G$3460,7,0),"")</f>
        <v>1.681</v>
      </c>
      <c r="H6431">
        <f>IFERROR(VLOOKUP($A6431,原始数据_利率互换_FR007_1年!$A$6:$C$4395,2,0),"")</f>
        <v>1.5736</v>
      </c>
      <c r="I6431">
        <f>IFERROR(VLOOKUP($A6431,原始数据_利率互换_FR007_1年!$A$6:$C$4395,3,0),"")</f>
        <v>1.6701</v>
      </c>
    </row>
    <row r="6432" spans="1:9">
      <c r="A6432" s="6">
        <v>45925</v>
      </c>
      <c r="B6432">
        <f>IFERROR(VLOOKUP($A6432,原始数据_收盘!$A$4:$G$3460,2,0),"")</f>
        <v>1.59</v>
      </c>
      <c r="C6432">
        <f>IFERROR(VLOOKUP($A6432,原始数据_收盘!$A$4:$G$3460,3,0),"")</f>
        <v>1.685</v>
      </c>
      <c r="D6432">
        <f>IFERROR(VLOOKUP($A6432,原始数据_收盘!$A$4:$G$3460,4,0),"")</f>
        <v>1.5925</v>
      </c>
      <c r="E6432">
        <f>IFERROR(VLOOKUP($A6432,原始数据_收盘!$A$4:$G$3460,5,0),"")</f>
        <v>1.6875</v>
      </c>
      <c r="F6432">
        <f>IFERROR(VLOOKUP($A6432,原始数据_收盘!$A$4:$G$3460,6,0),"")</f>
        <v>1.5913</v>
      </c>
      <c r="G6432">
        <f>IFERROR(VLOOKUP($A6432,原始数据_收盘!$A$4:$G$3460,7,0),"")</f>
        <v>1.6863</v>
      </c>
      <c r="H6432">
        <f>IFERROR(VLOOKUP($A6432,原始数据_利率互换_FR007_1年!$A$6:$C$4395,2,0),"")</f>
        <v>1.5929</v>
      </c>
      <c r="I6432">
        <f>IFERROR(VLOOKUP($A6432,原始数据_利率互换_FR007_1年!$A$6:$C$4395,3,0),"")</f>
        <v>1.6888</v>
      </c>
    </row>
    <row r="6433" spans="1:9">
      <c r="A6433" s="6">
        <v>45926</v>
      </c>
      <c r="B6433">
        <f>IFERROR(VLOOKUP($A6433,原始数据_收盘!$A$4:$G$3460,2,0),"")</f>
        <v>1.5775</v>
      </c>
      <c r="C6433">
        <f>IFERROR(VLOOKUP($A6433,原始数据_收盘!$A$4:$G$3460,3,0),"")</f>
        <v>1.6796</v>
      </c>
      <c r="D6433">
        <f>IFERROR(VLOOKUP($A6433,原始数据_收盘!$A$4:$G$3460,4,0),"")</f>
        <v>1.58</v>
      </c>
      <c r="E6433">
        <f>IFERROR(VLOOKUP($A6433,原始数据_收盘!$A$4:$G$3460,5,0),"")</f>
        <v>1.6802</v>
      </c>
      <c r="F6433">
        <f>IFERROR(VLOOKUP($A6433,原始数据_收盘!$A$4:$G$3460,6,0),"")</f>
        <v>1.5788</v>
      </c>
      <c r="G6433">
        <f>IFERROR(VLOOKUP($A6433,原始数据_收盘!$A$4:$G$3460,7,0),"")</f>
        <v>1.6799</v>
      </c>
      <c r="H6433">
        <f>IFERROR(VLOOKUP($A6433,原始数据_利率互换_FR007_1年!$A$6:$C$4395,2,0),"")</f>
        <v>1.576</v>
      </c>
      <c r="I6433">
        <f>IFERROR(VLOOKUP($A6433,原始数据_利率互换_FR007_1年!$A$6:$C$4395,3,0),"")</f>
        <v>1.6791</v>
      </c>
    </row>
    <row r="6434" spans="1:9">
      <c r="A6434" s="6">
        <v>45927</v>
      </c>
      <c r="B6434" t="str">
        <f>IFERROR(VLOOKUP($A6434,原始数据_收盘!$A$4:$G$3460,2,0),"")</f>
        <v/>
      </c>
      <c r="C6434" t="str">
        <f>IFERROR(VLOOKUP($A6434,原始数据_收盘!$A$4:$G$3460,3,0),"")</f>
        <v/>
      </c>
      <c r="D6434" t="str">
        <f>IFERROR(VLOOKUP($A6434,原始数据_收盘!$A$4:$G$3460,4,0),"")</f>
        <v/>
      </c>
      <c r="E6434" t="str">
        <f>IFERROR(VLOOKUP($A6434,原始数据_收盘!$A$4:$G$3460,5,0),"")</f>
        <v/>
      </c>
      <c r="F6434" t="str">
        <f>IFERROR(VLOOKUP($A6434,原始数据_收盘!$A$4:$G$3460,6,0),"")</f>
        <v/>
      </c>
      <c r="G6434" t="str">
        <f>IFERROR(VLOOKUP($A6434,原始数据_收盘!$A$4:$G$3460,7,0),"")</f>
        <v/>
      </c>
      <c r="H6434" t="str">
        <f>IFERROR(VLOOKUP($A6434,原始数据_利率互换_FR007_1年!$A$6:$C$4395,2,0),"")</f>
        <v/>
      </c>
      <c r="I6434" t="str">
        <f>IFERROR(VLOOKUP($A6434,原始数据_利率互换_FR007_1年!$A$6:$C$4395,3,0),"")</f>
        <v/>
      </c>
    </row>
    <row r="6435" spans="1:9">
      <c r="A6435" s="6">
        <v>45928</v>
      </c>
      <c r="B6435">
        <f>IFERROR(VLOOKUP($A6435,原始数据_收盘!$A$4:$G$3460,2,0),"")</f>
        <v>1.565</v>
      </c>
      <c r="C6435">
        <f>IFERROR(VLOOKUP($A6435,原始数据_收盘!$A$4:$G$3460,3,0),"")</f>
        <v>1.675</v>
      </c>
      <c r="D6435">
        <f>IFERROR(VLOOKUP($A6435,原始数据_收盘!$A$4:$G$3460,4,0),"")</f>
        <v>1.5975</v>
      </c>
      <c r="E6435">
        <f>IFERROR(VLOOKUP($A6435,原始数据_收盘!$A$4:$G$3460,5,0),"")</f>
        <v>1.69</v>
      </c>
      <c r="F6435">
        <f>IFERROR(VLOOKUP($A6435,原始数据_收盘!$A$4:$G$3460,6,0),"")</f>
        <v>1.5813</v>
      </c>
      <c r="G6435">
        <f>IFERROR(VLOOKUP($A6435,原始数据_收盘!$A$4:$G$3460,7,0),"")</f>
        <v>1.6825</v>
      </c>
      <c r="H6435" t="str">
        <f>IFERROR(VLOOKUP($A6435,原始数据_利率互换_FR007_1年!$A$6:$C$4395,2,0),"")</f>
        <v/>
      </c>
      <c r="I6435" t="str">
        <f>IFERROR(VLOOKUP($A6435,原始数据_利率互换_FR007_1年!$A$6:$C$4395,3,0),"")</f>
        <v/>
      </c>
    </row>
    <row r="6436" spans="1:9">
      <c r="A6436" s="6">
        <v>45929</v>
      </c>
      <c r="B6436">
        <f>IFERROR(VLOOKUP($A6436,原始数据_收盘!$A$4:$G$3460,2,0),"")</f>
        <v>1.5925</v>
      </c>
      <c r="C6436">
        <f>IFERROR(VLOOKUP($A6436,原始数据_收盘!$A$4:$G$3460,3,0),"")</f>
        <v>1.6975</v>
      </c>
      <c r="D6436">
        <f>IFERROR(VLOOKUP($A6436,原始数据_收盘!$A$4:$G$3460,4,0),"")</f>
        <v>1.5966</v>
      </c>
      <c r="E6436">
        <f>IFERROR(VLOOKUP($A6436,原始数据_收盘!$A$4:$G$3460,5,0),"")</f>
        <v>1.7</v>
      </c>
      <c r="F6436">
        <f>IFERROR(VLOOKUP($A6436,原始数据_收盘!$A$4:$G$3460,6,0),"")</f>
        <v>1.5946</v>
      </c>
      <c r="G6436">
        <f>IFERROR(VLOOKUP($A6436,原始数据_收盘!$A$4:$G$3460,7,0),"")</f>
        <v>1.6988</v>
      </c>
      <c r="H6436">
        <f>IFERROR(VLOOKUP($A6436,原始数据_利率互换_FR007_1年!$A$6:$C$4395,2,0),"")</f>
        <v>1.5822</v>
      </c>
      <c r="I6436">
        <f>IFERROR(VLOOKUP($A6436,原始数据_利率互换_FR007_1年!$A$6:$C$4395,3,0),"")</f>
        <v>1.6859</v>
      </c>
    </row>
    <row r="6437" spans="1:9">
      <c r="A6437" s="6">
        <v>45930</v>
      </c>
      <c r="B6437">
        <f>IFERROR(VLOOKUP($A6437,原始数据_收盘!$A$4:$G$3460,2,0),"")</f>
        <v>1.57</v>
      </c>
      <c r="C6437">
        <f>IFERROR(VLOOKUP($A6437,原始数据_收盘!$A$4:$G$3460,3,0),"")</f>
        <v>1.6641</v>
      </c>
      <c r="D6437">
        <f>IFERROR(VLOOKUP($A6437,原始数据_收盘!$A$4:$G$3460,4,0),"")</f>
        <v>1.575</v>
      </c>
      <c r="E6437">
        <f>IFERROR(VLOOKUP($A6437,原始数据_收盘!$A$4:$G$3460,5,0),"")</f>
        <v>1.6669</v>
      </c>
      <c r="F6437">
        <f>IFERROR(VLOOKUP($A6437,原始数据_收盘!$A$4:$G$3460,6,0),"")</f>
        <v>1.5725</v>
      </c>
      <c r="G6437">
        <f>IFERROR(VLOOKUP($A6437,原始数据_收盘!$A$4:$G$3460,7,0),"")</f>
        <v>1.6655</v>
      </c>
      <c r="H6437">
        <f>IFERROR(VLOOKUP($A6437,原始数据_利率互换_FR007_1年!$A$6:$C$4395,2,0),"")</f>
        <v>1.5743</v>
      </c>
      <c r="I6437">
        <f>IFERROR(VLOOKUP($A6437,原始数据_利率互换_FR007_1年!$A$6:$C$4395,3,0),"")</f>
        <v>1.6777</v>
      </c>
    </row>
    <row r="6438" spans="1:9">
      <c r="A6438" s="6">
        <v>45931</v>
      </c>
      <c r="B6438" t="str">
        <f>IFERROR(VLOOKUP($A6438,原始数据_收盘!$A$4:$G$3460,2,0),"")</f>
        <v/>
      </c>
      <c r="C6438" t="str">
        <f>IFERROR(VLOOKUP($A6438,原始数据_收盘!$A$4:$G$3460,3,0),"")</f>
        <v/>
      </c>
      <c r="D6438" t="str">
        <f>IFERROR(VLOOKUP($A6438,原始数据_收盘!$A$4:$G$3460,4,0),"")</f>
        <v/>
      </c>
      <c r="E6438" t="str">
        <f>IFERROR(VLOOKUP($A6438,原始数据_收盘!$A$4:$G$3460,5,0),"")</f>
        <v/>
      </c>
      <c r="F6438" t="str">
        <f>IFERROR(VLOOKUP($A6438,原始数据_收盘!$A$4:$G$3460,6,0),"")</f>
        <v/>
      </c>
      <c r="G6438" t="str">
        <f>IFERROR(VLOOKUP($A6438,原始数据_收盘!$A$4:$G$3460,7,0),"")</f>
        <v/>
      </c>
      <c r="H6438" t="str">
        <f>IFERROR(VLOOKUP($A6438,原始数据_利率互换_FR007_1年!$A$6:$C$4395,2,0),"")</f>
        <v/>
      </c>
      <c r="I6438" t="str">
        <f>IFERROR(VLOOKUP($A6438,原始数据_利率互换_FR007_1年!$A$6:$C$4395,3,0),"")</f>
        <v/>
      </c>
    </row>
    <row r="6439" spans="1:9">
      <c r="A6439" s="6">
        <v>45932</v>
      </c>
      <c r="B6439" t="str">
        <f>IFERROR(VLOOKUP($A6439,原始数据_收盘!$A$4:$G$3460,2,0),"")</f>
        <v/>
      </c>
      <c r="C6439" t="str">
        <f>IFERROR(VLOOKUP($A6439,原始数据_收盘!$A$4:$G$3460,3,0),"")</f>
        <v/>
      </c>
      <c r="D6439" t="str">
        <f>IFERROR(VLOOKUP($A6439,原始数据_收盘!$A$4:$G$3460,4,0),"")</f>
        <v/>
      </c>
      <c r="E6439" t="str">
        <f>IFERROR(VLOOKUP($A6439,原始数据_收盘!$A$4:$G$3460,5,0),"")</f>
        <v/>
      </c>
      <c r="F6439" t="str">
        <f>IFERROR(VLOOKUP($A6439,原始数据_收盘!$A$4:$G$3460,6,0),"")</f>
        <v/>
      </c>
      <c r="G6439" t="str">
        <f>IFERROR(VLOOKUP($A6439,原始数据_收盘!$A$4:$G$3460,7,0),"")</f>
        <v/>
      </c>
      <c r="H6439" t="str">
        <f>IFERROR(VLOOKUP($A6439,原始数据_利率互换_FR007_1年!$A$6:$C$4395,2,0),"")</f>
        <v/>
      </c>
      <c r="I6439" t="str">
        <f>IFERROR(VLOOKUP($A6439,原始数据_利率互换_FR007_1年!$A$6:$C$4395,3,0),"")</f>
        <v/>
      </c>
    </row>
    <row r="6440" spans="1:9">
      <c r="A6440" s="6">
        <v>45933</v>
      </c>
      <c r="B6440" t="str">
        <f>IFERROR(VLOOKUP($A6440,原始数据_收盘!$A$4:$G$3460,2,0),"")</f>
        <v/>
      </c>
      <c r="C6440" t="str">
        <f>IFERROR(VLOOKUP($A6440,原始数据_收盘!$A$4:$G$3460,3,0),"")</f>
        <v/>
      </c>
      <c r="D6440" t="str">
        <f>IFERROR(VLOOKUP($A6440,原始数据_收盘!$A$4:$G$3460,4,0),"")</f>
        <v/>
      </c>
      <c r="E6440" t="str">
        <f>IFERROR(VLOOKUP($A6440,原始数据_收盘!$A$4:$G$3460,5,0),"")</f>
        <v/>
      </c>
      <c r="F6440" t="str">
        <f>IFERROR(VLOOKUP($A6440,原始数据_收盘!$A$4:$G$3460,6,0),"")</f>
        <v/>
      </c>
      <c r="G6440" t="str">
        <f>IFERROR(VLOOKUP($A6440,原始数据_收盘!$A$4:$G$3460,7,0),"")</f>
        <v/>
      </c>
      <c r="H6440" t="str">
        <f>IFERROR(VLOOKUP($A6440,原始数据_利率互换_FR007_1年!$A$6:$C$4395,2,0),"")</f>
        <v/>
      </c>
      <c r="I6440" t="str">
        <f>IFERROR(VLOOKUP($A6440,原始数据_利率互换_FR007_1年!$A$6:$C$4395,3,0),"")</f>
        <v/>
      </c>
    </row>
    <row r="6441" spans="1:9">
      <c r="A6441" s="6">
        <v>45934</v>
      </c>
      <c r="B6441" t="str">
        <f>IFERROR(VLOOKUP($A6441,原始数据_收盘!$A$4:$G$3460,2,0),"")</f>
        <v/>
      </c>
      <c r="C6441" t="str">
        <f>IFERROR(VLOOKUP($A6441,原始数据_收盘!$A$4:$G$3460,3,0),"")</f>
        <v/>
      </c>
      <c r="D6441" t="str">
        <f>IFERROR(VLOOKUP($A6441,原始数据_收盘!$A$4:$G$3460,4,0),"")</f>
        <v/>
      </c>
      <c r="E6441" t="str">
        <f>IFERROR(VLOOKUP($A6441,原始数据_收盘!$A$4:$G$3460,5,0),"")</f>
        <v/>
      </c>
      <c r="F6441" t="str">
        <f>IFERROR(VLOOKUP($A6441,原始数据_收盘!$A$4:$G$3460,6,0),"")</f>
        <v/>
      </c>
      <c r="G6441" t="str">
        <f>IFERROR(VLOOKUP($A6441,原始数据_收盘!$A$4:$G$3460,7,0),"")</f>
        <v/>
      </c>
      <c r="H6441" t="str">
        <f>IFERROR(VLOOKUP($A6441,原始数据_利率互换_FR007_1年!$A$6:$C$4395,2,0),"")</f>
        <v/>
      </c>
      <c r="I6441" t="str">
        <f>IFERROR(VLOOKUP($A6441,原始数据_利率互换_FR007_1年!$A$6:$C$4395,3,0),"")</f>
        <v/>
      </c>
    </row>
    <row r="6442" spans="1:9">
      <c r="A6442" s="6">
        <v>45935</v>
      </c>
      <c r="B6442" t="str">
        <f>IFERROR(VLOOKUP($A6442,原始数据_收盘!$A$4:$G$3460,2,0),"")</f>
        <v/>
      </c>
      <c r="C6442" t="str">
        <f>IFERROR(VLOOKUP($A6442,原始数据_收盘!$A$4:$G$3460,3,0),"")</f>
        <v/>
      </c>
      <c r="D6442" t="str">
        <f>IFERROR(VLOOKUP($A6442,原始数据_收盘!$A$4:$G$3460,4,0),"")</f>
        <v/>
      </c>
      <c r="E6442" t="str">
        <f>IFERROR(VLOOKUP($A6442,原始数据_收盘!$A$4:$G$3460,5,0),"")</f>
        <v/>
      </c>
      <c r="F6442" t="str">
        <f>IFERROR(VLOOKUP($A6442,原始数据_收盘!$A$4:$G$3460,6,0),"")</f>
        <v/>
      </c>
      <c r="G6442" t="str">
        <f>IFERROR(VLOOKUP($A6442,原始数据_收盘!$A$4:$G$3460,7,0),"")</f>
        <v/>
      </c>
      <c r="H6442" t="str">
        <f>IFERROR(VLOOKUP($A6442,原始数据_利率互换_FR007_1年!$A$6:$C$4395,2,0),"")</f>
        <v/>
      </c>
      <c r="I6442" t="str">
        <f>IFERROR(VLOOKUP($A6442,原始数据_利率互换_FR007_1年!$A$6:$C$4395,3,0),"")</f>
        <v/>
      </c>
    </row>
    <row r="6443" spans="1:9">
      <c r="A6443" s="6">
        <v>45936</v>
      </c>
      <c r="B6443" t="str">
        <f>IFERROR(VLOOKUP($A6443,原始数据_收盘!$A$4:$G$3460,2,0),"")</f>
        <v/>
      </c>
      <c r="C6443" t="str">
        <f>IFERROR(VLOOKUP($A6443,原始数据_收盘!$A$4:$G$3460,3,0),"")</f>
        <v/>
      </c>
      <c r="D6443" t="str">
        <f>IFERROR(VLOOKUP($A6443,原始数据_收盘!$A$4:$G$3460,4,0),"")</f>
        <v/>
      </c>
      <c r="E6443" t="str">
        <f>IFERROR(VLOOKUP($A6443,原始数据_收盘!$A$4:$G$3460,5,0),"")</f>
        <v/>
      </c>
      <c r="F6443" t="str">
        <f>IFERROR(VLOOKUP($A6443,原始数据_收盘!$A$4:$G$3460,6,0),"")</f>
        <v/>
      </c>
      <c r="G6443" t="str">
        <f>IFERROR(VLOOKUP($A6443,原始数据_收盘!$A$4:$G$3460,7,0),"")</f>
        <v/>
      </c>
      <c r="H6443" t="str">
        <f>IFERROR(VLOOKUP($A6443,原始数据_利率互换_FR007_1年!$A$6:$C$4395,2,0),"")</f>
        <v/>
      </c>
      <c r="I6443" t="str">
        <f>IFERROR(VLOOKUP($A6443,原始数据_利率互换_FR007_1年!$A$6:$C$4395,3,0),"")</f>
        <v/>
      </c>
    </row>
    <row r="6444" spans="1:9">
      <c r="A6444" s="6">
        <v>45937</v>
      </c>
      <c r="B6444" t="str">
        <f>IFERROR(VLOOKUP($A6444,原始数据_收盘!$A$4:$G$3460,2,0),"")</f>
        <v/>
      </c>
      <c r="C6444" t="str">
        <f>IFERROR(VLOOKUP($A6444,原始数据_收盘!$A$4:$G$3460,3,0),"")</f>
        <v/>
      </c>
      <c r="D6444" t="str">
        <f>IFERROR(VLOOKUP($A6444,原始数据_收盘!$A$4:$G$3460,4,0),"")</f>
        <v/>
      </c>
      <c r="E6444" t="str">
        <f>IFERROR(VLOOKUP($A6444,原始数据_收盘!$A$4:$G$3460,5,0),"")</f>
        <v/>
      </c>
      <c r="F6444" t="str">
        <f>IFERROR(VLOOKUP($A6444,原始数据_收盘!$A$4:$G$3460,6,0),"")</f>
        <v/>
      </c>
      <c r="G6444" t="str">
        <f>IFERROR(VLOOKUP($A6444,原始数据_收盘!$A$4:$G$3460,7,0),"")</f>
        <v/>
      </c>
      <c r="H6444" t="str">
        <f>IFERROR(VLOOKUP($A6444,原始数据_利率互换_FR007_1年!$A$6:$C$4395,2,0),"")</f>
        <v/>
      </c>
      <c r="I6444" t="str">
        <f>IFERROR(VLOOKUP($A6444,原始数据_利率互换_FR007_1年!$A$6:$C$4395,3,0),"")</f>
        <v/>
      </c>
    </row>
    <row r="6445" spans="1:9">
      <c r="A6445" s="6">
        <v>45938</v>
      </c>
      <c r="B6445" t="str">
        <f>IFERROR(VLOOKUP($A6445,原始数据_收盘!$A$4:$G$3460,2,0),"")</f>
        <v/>
      </c>
      <c r="C6445" t="str">
        <f>IFERROR(VLOOKUP($A6445,原始数据_收盘!$A$4:$G$3460,3,0),"")</f>
        <v/>
      </c>
      <c r="D6445" t="str">
        <f>IFERROR(VLOOKUP($A6445,原始数据_收盘!$A$4:$G$3460,4,0),"")</f>
        <v/>
      </c>
      <c r="E6445" t="str">
        <f>IFERROR(VLOOKUP($A6445,原始数据_收盘!$A$4:$G$3460,5,0),"")</f>
        <v/>
      </c>
      <c r="F6445" t="str">
        <f>IFERROR(VLOOKUP($A6445,原始数据_收盘!$A$4:$G$3460,6,0),"")</f>
        <v/>
      </c>
      <c r="G6445" t="str">
        <f>IFERROR(VLOOKUP($A6445,原始数据_收盘!$A$4:$G$3460,7,0),"")</f>
        <v/>
      </c>
      <c r="H6445" t="str">
        <f>IFERROR(VLOOKUP($A6445,原始数据_利率互换_FR007_1年!$A$6:$C$4395,2,0),"")</f>
        <v/>
      </c>
      <c r="I6445" t="str">
        <f>IFERROR(VLOOKUP($A6445,原始数据_利率互换_FR007_1年!$A$6:$C$4395,3,0),"")</f>
        <v/>
      </c>
    </row>
    <row r="6446" spans="1:9">
      <c r="A6446" s="6">
        <v>45939</v>
      </c>
      <c r="B6446">
        <f>IFERROR(VLOOKUP($A6446,原始数据_收盘!$A$4:$G$3460,2,0),"")</f>
        <v>1.5575</v>
      </c>
      <c r="C6446">
        <f>IFERROR(VLOOKUP($A6446,原始数据_收盘!$A$4:$G$3460,3,0),"")</f>
        <v>1.6475</v>
      </c>
      <c r="D6446">
        <f>IFERROR(VLOOKUP($A6446,原始数据_收盘!$A$4:$G$3460,4,0),"")</f>
        <v>1.56</v>
      </c>
      <c r="E6446">
        <f>IFERROR(VLOOKUP($A6446,原始数据_收盘!$A$4:$G$3460,5,0),"")</f>
        <v>1.65</v>
      </c>
      <c r="F6446">
        <f>IFERROR(VLOOKUP($A6446,原始数据_收盘!$A$4:$G$3460,6,0),"")</f>
        <v>1.5588</v>
      </c>
      <c r="G6446">
        <f>IFERROR(VLOOKUP($A6446,原始数据_收盘!$A$4:$G$3460,7,0),"")</f>
        <v>1.6488</v>
      </c>
      <c r="H6446">
        <f>IFERROR(VLOOKUP($A6446,原始数据_利率互换_FR007_1年!$A$6:$C$4395,2,0),"")</f>
        <v>1.5539</v>
      </c>
      <c r="I6446">
        <f>IFERROR(VLOOKUP($A6446,原始数据_利率互换_FR007_1年!$A$6:$C$4395,3,0),"")</f>
        <v>1.6466</v>
      </c>
    </row>
    <row r="6447" spans="1:9">
      <c r="A6447" s="6">
        <v>45940</v>
      </c>
      <c r="B6447">
        <f>IFERROR(VLOOKUP($A6447,原始数据_收盘!$A$4:$G$3460,2,0),"")</f>
        <v>1.56</v>
      </c>
      <c r="C6447">
        <f>IFERROR(VLOOKUP($A6447,原始数据_收盘!$A$4:$G$3460,3,0),"")</f>
        <v>1.6525</v>
      </c>
      <c r="D6447">
        <f>IFERROR(VLOOKUP($A6447,原始数据_收盘!$A$4:$G$3460,4,0),"")</f>
        <v>1.5625</v>
      </c>
      <c r="E6447">
        <f>IFERROR(VLOOKUP($A6447,原始数据_收盘!$A$4:$G$3460,5,0),"")</f>
        <v>1.655</v>
      </c>
      <c r="F6447">
        <f>IFERROR(VLOOKUP($A6447,原始数据_收盘!$A$4:$G$3460,6,0),"")</f>
        <v>1.5613</v>
      </c>
      <c r="G6447">
        <f>IFERROR(VLOOKUP($A6447,原始数据_收盘!$A$4:$G$3460,7,0),"")</f>
        <v>1.6538</v>
      </c>
      <c r="H6447">
        <f>IFERROR(VLOOKUP($A6447,原始数据_利率互换_FR007_1年!$A$6:$C$4395,2,0),"")</f>
        <v>1.557</v>
      </c>
      <c r="I6447">
        <f>IFERROR(VLOOKUP($A6447,原始数据_利率互换_FR007_1年!$A$6:$C$4395,3,0),"")</f>
        <v>1.6507</v>
      </c>
    </row>
    <row r="6448" spans="1:9">
      <c r="A6448" s="6">
        <v>45941</v>
      </c>
      <c r="B6448">
        <f>IFERROR(VLOOKUP($A6448,原始数据_收盘!$A$4:$G$3460,2,0),"")</f>
        <v>1.5375</v>
      </c>
      <c r="C6448">
        <f>IFERROR(VLOOKUP($A6448,原始数据_收盘!$A$4:$G$3460,3,0),"")</f>
        <v>1.6225</v>
      </c>
      <c r="D6448">
        <f>IFERROR(VLOOKUP($A6448,原始数据_收盘!$A$4:$G$3460,4,0),"")</f>
        <v>1.54</v>
      </c>
      <c r="E6448">
        <f>IFERROR(VLOOKUP($A6448,原始数据_收盘!$A$4:$G$3460,5,0),"")</f>
        <v>1.625</v>
      </c>
      <c r="F6448">
        <f>IFERROR(VLOOKUP($A6448,原始数据_收盘!$A$4:$G$3460,6,0),"")</f>
        <v>1.5388</v>
      </c>
      <c r="G6448">
        <f>IFERROR(VLOOKUP($A6448,原始数据_收盘!$A$4:$G$3460,7,0),"")</f>
        <v>1.6238</v>
      </c>
      <c r="H6448">
        <f>IFERROR(VLOOKUP($A6448,原始数据_利率互换_FR007_1年!$A$6:$C$4395,2,0),"")</f>
        <v>1.5413</v>
      </c>
      <c r="I6448">
        <f>IFERROR(VLOOKUP($A6448,原始数据_利率互换_FR007_1年!$A$6:$C$4395,3,0),"")</f>
        <v>1.6263</v>
      </c>
    </row>
    <row r="6449" spans="1:9">
      <c r="A6449" s="6">
        <v>45942</v>
      </c>
      <c r="B6449" t="str">
        <f>IFERROR(VLOOKUP($A6449,原始数据_收盘!$A$4:$G$3460,2,0),"")</f>
        <v/>
      </c>
      <c r="C6449" t="str">
        <f>IFERROR(VLOOKUP($A6449,原始数据_收盘!$A$4:$G$3460,3,0),"")</f>
        <v/>
      </c>
      <c r="D6449" t="str">
        <f>IFERROR(VLOOKUP($A6449,原始数据_收盘!$A$4:$G$3460,4,0),"")</f>
        <v/>
      </c>
      <c r="E6449" t="str">
        <f>IFERROR(VLOOKUP($A6449,原始数据_收盘!$A$4:$G$3460,5,0),"")</f>
        <v/>
      </c>
      <c r="F6449" t="str">
        <f>IFERROR(VLOOKUP($A6449,原始数据_收盘!$A$4:$G$3460,6,0),"")</f>
        <v/>
      </c>
      <c r="G6449" t="str">
        <f>IFERROR(VLOOKUP($A6449,原始数据_收盘!$A$4:$G$3460,7,0),"")</f>
        <v/>
      </c>
      <c r="H6449" t="str">
        <f>IFERROR(VLOOKUP($A6449,原始数据_利率互换_FR007_1年!$A$6:$C$4395,2,0),"")</f>
        <v/>
      </c>
      <c r="I6449" t="str">
        <f>IFERROR(VLOOKUP($A6449,原始数据_利率互换_FR007_1年!$A$6:$C$4395,3,0),"")</f>
        <v/>
      </c>
    </row>
    <row r="6450" spans="1:9">
      <c r="A6450" s="6">
        <v>45943</v>
      </c>
      <c r="B6450">
        <f>IFERROR(VLOOKUP($A6450,原始数据_收盘!$A$4:$G$3460,2,0),"")</f>
        <v>1.5478</v>
      </c>
      <c r="C6450">
        <f>IFERROR(VLOOKUP($A6450,原始数据_收盘!$A$4:$G$3460,3,0),"")</f>
        <v>1.635</v>
      </c>
      <c r="D6450">
        <f>IFERROR(VLOOKUP($A6450,原始数据_收盘!$A$4:$G$3460,4,0),"")</f>
        <v>1.5525</v>
      </c>
      <c r="E6450">
        <f>IFERROR(VLOOKUP($A6450,原始数据_收盘!$A$4:$G$3460,5,0),"")</f>
        <v>1.64</v>
      </c>
      <c r="F6450">
        <f>IFERROR(VLOOKUP($A6450,原始数据_收盘!$A$4:$G$3460,6,0),"")</f>
        <v>1.5502</v>
      </c>
      <c r="G6450">
        <f>IFERROR(VLOOKUP($A6450,原始数据_收盘!$A$4:$G$3460,7,0),"")</f>
        <v>1.6375</v>
      </c>
      <c r="H6450">
        <f>IFERROR(VLOOKUP($A6450,原始数据_利率互换_FR007_1年!$A$6:$C$4395,2,0),"")</f>
        <v>1.5458</v>
      </c>
      <c r="I6450">
        <f>IFERROR(VLOOKUP($A6450,原始数据_利率互换_FR007_1年!$A$6:$C$4395,3,0),"")</f>
        <v>1.6335</v>
      </c>
    </row>
    <row r="6451" spans="1:9">
      <c r="A6451" s="6">
        <v>45944</v>
      </c>
      <c r="B6451">
        <f>IFERROR(VLOOKUP($A6451,原始数据_收盘!$A$4:$G$3460,2,0),"")</f>
        <v>1.5325</v>
      </c>
      <c r="C6451">
        <f>IFERROR(VLOOKUP($A6451,原始数据_收盘!$A$4:$G$3460,3,0),"")</f>
        <v>1.6175</v>
      </c>
      <c r="D6451">
        <f>IFERROR(VLOOKUP($A6451,原始数据_收盘!$A$4:$G$3460,4,0),"")</f>
        <v>1.5372</v>
      </c>
      <c r="E6451">
        <f>IFERROR(VLOOKUP($A6451,原始数据_收盘!$A$4:$G$3460,5,0),"")</f>
        <v>1.6196</v>
      </c>
      <c r="F6451">
        <f>IFERROR(VLOOKUP($A6451,原始数据_收盘!$A$4:$G$3460,6,0),"")</f>
        <v>1.5348</v>
      </c>
      <c r="G6451">
        <f>IFERROR(VLOOKUP($A6451,原始数据_收盘!$A$4:$G$3460,7,0),"")</f>
        <v>1.6185</v>
      </c>
      <c r="H6451">
        <f>IFERROR(VLOOKUP($A6451,原始数据_利率互换_FR007_1年!$A$6:$C$4395,2,0),"")</f>
        <v>1.5401</v>
      </c>
      <c r="I6451">
        <f>IFERROR(VLOOKUP($A6451,原始数据_利率互换_FR007_1年!$A$6:$C$4395,3,0),"")</f>
        <v>1.6296</v>
      </c>
    </row>
    <row r="6452" spans="1:9">
      <c r="A6452" s="6">
        <v>45945</v>
      </c>
      <c r="B6452">
        <f>IFERROR(VLOOKUP($A6452,原始数据_收盘!$A$4:$G$3460,2,0),"")</f>
        <v>1.5375</v>
      </c>
      <c r="C6452">
        <f>IFERROR(VLOOKUP($A6452,原始数据_收盘!$A$4:$G$3460,3,0),"")</f>
        <v>1.62</v>
      </c>
      <c r="D6452">
        <f>IFERROR(VLOOKUP($A6452,原始数据_收盘!$A$4:$G$3460,4,0),"")</f>
        <v>1.54</v>
      </c>
      <c r="E6452">
        <f>IFERROR(VLOOKUP($A6452,原始数据_收盘!$A$4:$G$3460,5,0),"")</f>
        <v>1.6225</v>
      </c>
      <c r="F6452">
        <f>IFERROR(VLOOKUP($A6452,原始数据_收盘!$A$4:$G$3460,6,0),"")</f>
        <v>1.5388</v>
      </c>
      <c r="G6452">
        <f>IFERROR(VLOOKUP($A6452,原始数据_收盘!$A$4:$G$3460,7,0),"")</f>
        <v>1.6213</v>
      </c>
      <c r="H6452">
        <f>IFERROR(VLOOKUP($A6452,原始数据_利率互换_FR007_1年!$A$6:$C$4395,2,0),"")</f>
        <v>1.539</v>
      </c>
      <c r="I6452">
        <f>IFERROR(VLOOKUP($A6452,原始数据_利率互换_FR007_1年!$A$6:$C$4395,3,0),"")</f>
        <v>1.6212</v>
      </c>
    </row>
    <row r="6453" spans="1:9">
      <c r="A6453" s="6">
        <v>45946</v>
      </c>
      <c r="B6453">
        <f>IFERROR(VLOOKUP($A6453,原始数据_收盘!$A$4:$G$3460,2,0),"")</f>
        <v>1.535</v>
      </c>
      <c r="C6453">
        <f>IFERROR(VLOOKUP($A6453,原始数据_收盘!$A$4:$G$3460,3,0),"")</f>
        <v>1.612</v>
      </c>
      <c r="D6453">
        <f>IFERROR(VLOOKUP($A6453,原始数据_收盘!$A$4:$G$3460,4,0),"")</f>
        <v>1.5375</v>
      </c>
      <c r="E6453">
        <f>IFERROR(VLOOKUP($A6453,原始数据_收盘!$A$4:$G$3460,5,0),"")</f>
        <v>1.6145</v>
      </c>
      <c r="F6453">
        <f>IFERROR(VLOOKUP($A6453,原始数据_收盘!$A$4:$G$3460,6,0),"")</f>
        <v>1.5363</v>
      </c>
      <c r="G6453">
        <f>IFERROR(VLOOKUP($A6453,原始数据_收盘!$A$4:$G$3460,7,0),"")</f>
        <v>1.6132</v>
      </c>
      <c r="H6453">
        <f>IFERROR(VLOOKUP($A6453,原始数据_利率互换_FR007_1年!$A$6:$C$4395,2,0),"")</f>
        <v>1.532</v>
      </c>
      <c r="I6453">
        <f>IFERROR(VLOOKUP($A6453,原始数据_利率互换_FR007_1年!$A$6:$C$4395,3,0),"")</f>
        <v>1.61</v>
      </c>
    </row>
    <row r="6454" spans="1:9">
      <c r="A6454" s="6">
        <v>45947</v>
      </c>
      <c r="B6454">
        <f>IFERROR(VLOOKUP($A6454,原始数据_收盘!$A$4:$G$3460,2,0),"")</f>
        <v>1.5225</v>
      </c>
      <c r="C6454">
        <f>IFERROR(VLOOKUP($A6454,原始数据_收盘!$A$4:$G$3460,3,0),"")</f>
        <v>1.5975</v>
      </c>
      <c r="D6454">
        <f>IFERROR(VLOOKUP($A6454,原始数据_收盘!$A$4:$G$3460,4,0),"")</f>
        <v>1.525</v>
      </c>
      <c r="E6454">
        <f>IFERROR(VLOOKUP($A6454,原始数据_收盘!$A$4:$G$3460,5,0),"")</f>
        <v>1.6</v>
      </c>
      <c r="F6454">
        <f>IFERROR(VLOOKUP($A6454,原始数据_收盘!$A$4:$G$3460,6,0),"")</f>
        <v>1.5238</v>
      </c>
      <c r="G6454">
        <f>IFERROR(VLOOKUP($A6454,原始数据_收盘!$A$4:$G$3460,7,0),"")</f>
        <v>1.5988</v>
      </c>
      <c r="H6454">
        <f>IFERROR(VLOOKUP($A6454,原始数据_利率互换_FR007_1年!$A$6:$C$4395,2,0),"")</f>
        <v>1.5266</v>
      </c>
      <c r="I6454">
        <f>IFERROR(VLOOKUP($A6454,原始数据_利率互换_FR007_1年!$A$6:$C$4395,3,0),"")</f>
        <v>1.6009</v>
      </c>
    </row>
    <row r="6455" spans="1:9">
      <c r="A6455" s="6">
        <v>45948</v>
      </c>
      <c r="B6455" t="str">
        <f>IFERROR(VLOOKUP($A6455,原始数据_收盘!$A$4:$G$3460,2,0),"")</f>
        <v/>
      </c>
      <c r="C6455" t="str">
        <f>IFERROR(VLOOKUP($A6455,原始数据_收盘!$A$4:$G$3460,3,0),"")</f>
        <v/>
      </c>
      <c r="D6455" t="str">
        <f>IFERROR(VLOOKUP($A6455,原始数据_收盘!$A$4:$G$3460,4,0),"")</f>
        <v/>
      </c>
      <c r="E6455" t="str">
        <f>IFERROR(VLOOKUP($A6455,原始数据_收盘!$A$4:$G$3460,5,0),"")</f>
        <v/>
      </c>
      <c r="F6455" t="str">
        <f>IFERROR(VLOOKUP($A6455,原始数据_收盘!$A$4:$G$3460,6,0),"")</f>
        <v/>
      </c>
      <c r="G6455" t="str">
        <f>IFERROR(VLOOKUP($A6455,原始数据_收盘!$A$4:$G$3460,7,0),"")</f>
        <v/>
      </c>
      <c r="H6455" t="str">
        <f>IFERROR(VLOOKUP($A6455,原始数据_利率互换_FR007_1年!$A$6:$C$4395,2,0),"")</f>
        <v/>
      </c>
      <c r="I6455" t="str">
        <f>IFERROR(VLOOKUP($A6455,原始数据_利率互换_FR007_1年!$A$6:$C$4395,3,0),"")</f>
        <v/>
      </c>
    </row>
    <row r="6456" spans="1:9">
      <c r="A6456" s="6">
        <v>45949</v>
      </c>
      <c r="B6456" t="str">
        <f>IFERROR(VLOOKUP($A6456,原始数据_收盘!$A$4:$G$3460,2,0),"")</f>
        <v/>
      </c>
      <c r="C6456" t="str">
        <f>IFERROR(VLOOKUP($A6456,原始数据_收盘!$A$4:$G$3460,3,0),"")</f>
        <v/>
      </c>
      <c r="D6456" t="str">
        <f>IFERROR(VLOOKUP($A6456,原始数据_收盘!$A$4:$G$3460,4,0),"")</f>
        <v/>
      </c>
      <c r="E6456" t="str">
        <f>IFERROR(VLOOKUP($A6456,原始数据_收盘!$A$4:$G$3460,5,0),"")</f>
        <v/>
      </c>
      <c r="F6456" t="str">
        <f>IFERROR(VLOOKUP($A6456,原始数据_收盘!$A$4:$G$3460,6,0),"")</f>
        <v/>
      </c>
      <c r="G6456" t="str">
        <f>IFERROR(VLOOKUP($A6456,原始数据_收盘!$A$4:$G$3460,7,0),"")</f>
        <v/>
      </c>
      <c r="H6456" t="str">
        <f>IFERROR(VLOOKUP($A6456,原始数据_利率互换_FR007_1年!$A$6:$C$4395,2,0),"")</f>
        <v/>
      </c>
      <c r="I6456" t="str">
        <f>IFERROR(VLOOKUP($A6456,原始数据_利率互换_FR007_1年!$A$6:$C$4395,3,0),"")</f>
        <v/>
      </c>
    </row>
    <row r="6457" spans="1:9">
      <c r="A6457" s="6">
        <v>45950</v>
      </c>
      <c r="B6457">
        <f>IFERROR(VLOOKUP($A6457,原始数据_收盘!$A$4:$G$3460,2,0),"")</f>
        <v>1.5438</v>
      </c>
      <c r="C6457">
        <f>IFERROR(VLOOKUP($A6457,原始数据_收盘!$A$4:$G$3460,3,0),"")</f>
        <v>1.625</v>
      </c>
      <c r="D6457">
        <f>IFERROR(VLOOKUP($A6457,原始数据_收盘!$A$4:$G$3460,4,0),"")</f>
        <v>1.5468</v>
      </c>
      <c r="E6457">
        <f>IFERROR(VLOOKUP($A6457,原始数据_收盘!$A$4:$G$3460,5,0),"")</f>
        <v>1.6275</v>
      </c>
      <c r="F6457">
        <f>IFERROR(VLOOKUP($A6457,原始数据_收盘!$A$4:$G$3460,6,0),"")</f>
        <v>1.5453</v>
      </c>
      <c r="G6457">
        <f>IFERROR(VLOOKUP($A6457,原始数据_收盘!$A$4:$G$3460,7,0),"")</f>
        <v>1.6263</v>
      </c>
      <c r="H6457">
        <f>IFERROR(VLOOKUP($A6457,原始数据_利率互换_FR007_1年!$A$6:$C$4395,2,0),"")</f>
        <v>1.5395</v>
      </c>
      <c r="I6457">
        <f>IFERROR(VLOOKUP($A6457,原始数据_利率互换_FR007_1年!$A$6:$C$4395,3,0),"")</f>
        <v>1.6191</v>
      </c>
    </row>
    <row r="6458" spans="1:9">
      <c r="A6458" s="6">
        <v>45951</v>
      </c>
      <c r="B6458">
        <f>IFERROR(VLOOKUP($A6458,原始数据_收盘!$A$4:$G$3460,2,0),"")</f>
        <v>1.54</v>
      </c>
      <c r="C6458">
        <f>IFERROR(VLOOKUP($A6458,原始数据_收盘!$A$4:$G$3460,3,0),"")</f>
        <v>1.6075</v>
      </c>
      <c r="D6458">
        <f>IFERROR(VLOOKUP($A6458,原始数据_收盘!$A$4:$G$3460,4,0),"")</f>
        <v>1.545</v>
      </c>
      <c r="E6458">
        <f>IFERROR(VLOOKUP($A6458,原始数据_收盘!$A$4:$G$3460,5,0),"")</f>
        <v>1.6112</v>
      </c>
      <c r="F6458">
        <f>IFERROR(VLOOKUP($A6458,原始数据_收盘!$A$4:$G$3460,6,0),"")</f>
        <v>1.5425</v>
      </c>
      <c r="G6458">
        <f>IFERROR(VLOOKUP($A6458,原始数据_收盘!$A$4:$G$3460,7,0),"")</f>
        <v>1.6093</v>
      </c>
      <c r="H6458">
        <f>IFERROR(VLOOKUP($A6458,原始数据_利率互换_FR007_1年!$A$6:$C$4395,2,0),"")</f>
        <v>1.5424</v>
      </c>
      <c r="I6458">
        <f>IFERROR(VLOOKUP($A6458,原始数据_利率互换_FR007_1年!$A$6:$C$4395,3,0),"")</f>
        <v>1.6153</v>
      </c>
    </row>
    <row r="6459" spans="1:9">
      <c r="A6459" s="6">
        <v>45952</v>
      </c>
      <c r="B6459">
        <f>IFERROR(VLOOKUP($A6459,原始数据_收盘!$A$4:$G$3460,2,0),"")</f>
        <v>1.5375</v>
      </c>
      <c r="C6459">
        <f>IFERROR(VLOOKUP($A6459,原始数据_收盘!$A$4:$G$3460,3,0),"")</f>
        <v>1.6</v>
      </c>
      <c r="D6459">
        <f>IFERROR(VLOOKUP($A6459,原始数据_收盘!$A$4:$G$3460,4,0),"")</f>
        <v>1.54</v>
      </c>
      <c r="E6459">
        <f>IFERROR(VLOOKUP($A6459,原始数据_收盘!$A$4:$G$3460,5,0),"")</f>
        <v>1.6025</v>
      </c>
      <c r="F6459">
        <f>IFERROR(VLOOKUP($A6459,原始数据_收盘!$A$4:$G$3460,6,0),"")</f>
        <v>1.5388</v>
      </c>
      <c r="G6459">
        <f>IFERROR(VLOOKUP($A6459,原始数据_收盘!$A$4:$G$3460,7,0),"")</f>
        <v>1.6013</v>
      </c>
      <c r="H6459">
        <f>IFERROR(VLOOKUP($A6459,原始数据_利率互换_FR007_1年!$A$6:$C$4395,2,0),"")</f>
        <v>1.5393</v>
      </c>
      <c r="I6459">
        <f>IFERROR(VLOOKUP($A6459,原始数据_利率互换_FR007_1年!$A$6:$C$4395,3,0),"")</f>
        <v>1.6025</v>
      </c>
    </row>
    <row r="6460" spans="1:9">
      <c r="A6460" s="6">
        <v>45953</v>
      </c>
      <c r="B6460">
        <f>IFERROR(VLOOKUP($A6460,原始数据_收盘!$A$4:$G$3460,2,0),"")</f>
        <v>1.545</v>
      </c>
      <c r="C6460">
        <f>IFERROR(VLOOKUP($A6460,原始数据_收盘!$A$4:$G$3460,3,0),"")</f>
        <v>1.6116</v>
      </c>
      <c r="D6460">
        <f>IFERROR(VLOOKUP($A6460,原始数据_收盘!$A$4:$G$3460,4,0),"")</f>
        <v>1.5475</v>
      </c>
      <c r="E6460">
        <f>IFERROR(VLOOKUP($A6460,原始数据_收盘!$A$4:$G$3460,5,0),"")</f>
        <v>1.6145</v>
      </c>
      <c r="F6460">
        <f>IFERROR(VLOOKUP($A6460,原始数据_收盘!$A$4:$G$3460,6,0),"")</f>
        <v>1.5463</v>
      </c>
      <c r="G6460">
        <f>IFERROR(VLOOKUP($A6460,原始数据_收盘!$A$4:$G$3460,7,0),"")</f>
        <v>1.613</v>
      </c>
      <c r="H6460">
        <f>IFERROR(VLOOKUP($A6460,原始数据_利率互换_FR007_1年!$A$6:$C$4395,2,0),"")</f>
        <v>1.5438</v>
      </c>
      <c r="I6460">
        <f>IFERROR(VLOOKUP($A6460,原始数据_利率互换_FR007_1年!$A$6:$C$4395,3,0),"")</f>
        <v>1.6065</v>
      </c>
    </row>
    <row r="6461" spans="1:9">
      <c r="A6461" s="6">
        <v>45954</v>
      </c>
      <c r="B6461">
        <f>IFERROR(VLOOKUP($A6461,原始数据_收盘!$A$4:$G$3460,2,0),"")</f>
        <v>1.55</v>
      </c>
      <c r="C6461">
        <f>IFERROR(VLOOKUP($A6461,原始数据_收盘!$A$4:$G$3460,3,0),"")</f>
        <v>1.6225</v>
      </c>
      <c r="D6461">
        <f>IFERROR(VLOOKUP($A6461,原始数据_收盘!$A$4:$G$3460,4,0),"")</f>
        <v>1.5533</v>
      </c>
      <c r="E6461">
        <f>IFERROR(VLOOKUP($A6461,原始数据_收盘!$A$4:$G$3460,5,0),"")</f>
        <v>1.6262</v>
      </c>
      <c r="F6461">
        <f>IFERROR(VLOOKUP($A6461,原始数据_收盘!$A$4:$G$3460,6,0),"")</f>
        <v>1.5517</v>
      </c>
      <c r="G6461">
        <f>IFERROR(VLOOKUP($A6461,原始数据_收盘!$A$4:$G$3460,7,0),"")</f>
        <v>1.6243</v>
      </c>
      <c r="H6461">
        <f>IFERROR(VLOOKUP($A6461,原始数据_利率互换_FR007_1年!$A$6:$C$4395,2,0),"")</f>
        <v>1.5463</v>
      </c>
      <c r="I6461">
        <f>IFERROR(VLOOKUP($A6461,原始数据_利率互换_FR007_1年!$A$6:$C$4395,3,0),"")</f>
        <v>1.6181</v>
      </c>
    </row>
    <row r="6462" spans="1:9">
      <c r="A6462" s="6">
        <v>45955</v>
      </c>
      <c r="B6462" t="str">
        <f>IFERROR(VLOOKUP($A6462,原始数据_收盘!$A$4:$G$3460,2,0),"")</f>
        <v/>
      </c>
      <c r="C6462" t="str">
        <f>IFERROR(VLOOKUP($A6462,原始数据_收盘!$A$4:$G$3460,3,0),"")</f>
        <v/>
      </c>
      <c r="D6462" t="str">
        <f>IFERROR(VLOOKUP($A6462,原始数据_收盘!$A$4:$G$3460,4,0),"")</f>
        <v/>
      </c>
      <c r="E6462" t="str">
        <f>IFERROR(VLOOKUP($A6462,原始数据_收盘!$A$4:$G$3460,5,0),"")</f>
        <v/>
      </c>
      <c r="F6462" t="str">
        <f>IFERROR(VLOOKUP($A6462,原始数据_收盘!$A$4:$G$3460,6,0),"")</f>
        <v/>
      </c>
      <c r="G6462" t="str">
        <f>IFERROR(VLOOKUP($A6462,原始数据_收盘!$A$4:$G$3460,7,0),"")</f>
        <v/>
      </c>
      <c r="H6462" t="str">
        <f>IFERROR(VLOOKUP($A6462,原始数据_利率互换_FR007_1年!$A$6:$C$4395,2,0),"")</f>
        <v/>
      </c>
      <c r="I6462" t="str">
        <f>IFERROR(VLOOKUP($A6462,原始数据_利率互换_FR007_1年!$A$6:$C$4395,3,0),"")</f>
        <v/>
      </c>
    </row>
    <row r="6463" spans="1:9">
      <c r="A6463" s="6">
        <v>45956</v>
      </c>
      <c r="B6463" t="str">
        <f>IFERROR(VLOOKUP($A6463,原始数据_收盘!$A$4:$G$3460,2,0),"")</f>
        <v/>
      </c>
      <c r="C6463" t="str">
        <f>IFERROR(VLOOKUP($A6463,原始数据_收盘!$A$4:$G$3460,3,0),"")</f>
        <v/>
      </c>
      <c r="D6463" t="str">
        <f>IFERROR(VLOOKUP($A6463,原始数据_收盘!$A$4:$G$3460,4,0),"")</f>
        <v/>
      </c>
      <c r="E6463" t="str">
        <f>IFERROR(VLOOKUP($A6463,原始数据_收盘!$A$4:$G$3460,5,0),"")</f>
        <v/>
      </c>
      <c r="F6463" t="str">
        <f>IFERROR(VLOOKUP($A6463,原始数据_收盘!$A$4:$G$3460,6,0),"")</f>
        <v/>
      </c>
      <c r="G6463" t="str">
        <f>IFERROR(VLOOKUP($A6463,原始数据_收盘!$A$4:$G$3460,7,0),"")</f>
        <v/>
      </c>
      <c r="H6463" t="str">
        <f>IFERROR(VLOOKUP($A6463,原始数据_利率互换_FR007_1年!$A$6:$C$4395,2,0),"")</f>
        <v/>
      </c>
      <c r="I6463" t="str">
        <f>IFERROR(VLOOKUP($A6463,原始数据_利率互换_FR007_1年!$A$6:$C$4395,3,0),"")</f>
        <v/>
      </c>
    </row>
    <row r="6464" spans="1:9">
      <c r="A6464" s="6">
        <v>45957</v>
      </c>
      <c r="B6464">
        <f>IFERROR(VLOOKUP($A6464,原始数据_收盘!$A$4:$G$3460,2,0),"")</f>
        <v>1.545</v>
      </c>
      <c r="C6464">
        <f>IFERROR(VLOOKUP($A6464,原始数据_收盘!$A$4:$G$3460,3,0),"")</f>
        <v>1.6125</v>
      </c>
      <c r="D6464">
        <f>IFERROR(VLOOKUP($A6464,原始数据_收盘!$A$4:$G$3460,4,0),"")</f>
        <v>1.5475</v>
      </c>
      <c r="E6464">
        <f>IFERROR(VLOOKUP($A6464,原始数据_收盘!$A$4:$G$3460,5,0),"")</f>
        <v>1.615</v>
      </c>
      <c r="F6464">
        <f>IFERROR(VLOOKUP($A6464,原始数据_收盘!$A$4:$G$3460,6,0),"")</f>
        <v>1.5463</v>
      </c>
      <c r="G6464">
        <f>IFERROR(VLOOKUP($A6464,原始数据_收盘!$A$4:$G$3460,7,0),"")</f>
        <v>1.6138</v>
      </c>
      <c r="H6464">
        <f>IFERROR(VLOOKUP($A6464,原始数据_利率互换_FR007_1年!$A$6:$C$4395,2,0),"")</f>
        <v>1.5456</v>
      </c>
      <c r="I6464">
        <f>IFERROR(VLOOKUP($A6464,原始数据_利率互换_FR007_1年!$A$6:$C$4395,3,0),"")</f>
        <v>1.6112</v>
      </c>
    </row>
    <row r="6465" spans="1:9">
      <c r="A6465" s="6">
        <v>45958</v>
      </c>
      <c r="B6465">
        <f>IFERROR(VLOOKUP($A6465,原始数据_收盘!$A$4:$G$3460,2,0),"")</f>
        <v>1.54</v>
      </c>
      <c r="C6465">
        <f>IFERROR(VLOOKUP($A6465,原始数据_收盘!$A$4:$G$3460,3,0),"")</f>
        <v>1.5925</v>
      </c>
      <c r="D6465">
        <f>IFERROR(VLOOKUP($A6465,原始数据_收盘!$A$4:$G$3460,4,0),"")</f>
        <v>1.5425</v>
      </c>
      <c r="E6465">
        <f>IFERROR(VLOOKUP($A6465,原始数据_收盘!$A$4:$G$3460,5,0),"")</f>
        <v>1.595</v>
      </c>
      <c r="F6465">
        <f>IFERROR(VLOOKUP($A6465,原始数据_收盘!$A$4:$G$3460,6,0),"")</f>
        <v>1.5413</v>
      </c>
      <c r="G6465">
        <f>IFERROR(VLOOKUP($A6465,原始数据_收盘!$A$4:$G$3460,7,0),"")</f>
        <v>1.5938</v>
      </c>
      <c r="H6465">
        <f>IFERROR(VLOOKUP($A6465,原始数据_利率互换_FR007_1年!$A$6:$C$4395,2,0),"")</f>
        <v>1.5349</v>
      </c>
      <c r="I6465">
        <f>IFERROR(VLOOKUP($A6465,原始数据_利率互换_FR007_1年!$A$6:$C$4395,3,0),"")</f>
        <v>1.5842</v>
      </c>
    </row>
    <row r="6466" spans="1:9">
      <c r="A6466" s="6">
        <v>45959</v>
      </c>
      <c r="B6466">
        <f>IFERROR(VLOOKUP($A6466,原始数据_收盘!$A$4:$G$3460,2,0),"")</f>
        <v>1.5355</v>
      </c>
      <c r="C6466">
        <f>IFERROR(VLOOKUP($A6466,原始数据_收盘!$A$4:$G$3460,3,0),"")</f>
        <v>1.5825</v>
      </c>
      <c r="D6466">
        <f>IFERROR(VLOOKUP($A6466,原始数据_收盘!$A$4:$G$3460,4,0),"")</f>
        <v>1.5381</v>
      </c>
      <c r="E6466">
        <f>IFERROR(VLOOKUP($A6466,原始数据_收盘!$A$4:$G$3460,5,0),"")</f>
        <v>1.585</v>
      </c>
      <c r="F6466">
        <f>IFERROR(VLOOKUP($A6466,原始数据_收盘!$A$4:$G$3460,6,0),"")</f>
        <v>1.5368</v>
      </c>
      <c r="G6466">
        <f>IFERROR(VLOOKUP($A6466,原始数据_收盘!$A$4:$G$3460,7,0),"")</f>
        <v>1.5838</v>
      </c>
      <c r="H6466">
        <f>IFERROR(VLOOKUP($A6466,原始数据_利率互换_FR007_1年!$A$6:$C$4395,2,0),"")</f>
        <v>1.5342</v>
      </c>
      <c r="I6466">
        <f>IFERROR(VLOOKUP($A6466,原始数据_利率互换_FR007_1年!$A$6:$C$4395,3,0),"")</f>
        <v>1.5811</v>
      </c>
    </row>
    <row r="6467" spans="1:9">
      <c r="A6467" s="6">
        <v>45960</v>
      </c>
      <c r="B6467">
        <f>IFERROR(VLOOKUP($A6467,原始数据_收盘!$A$4:$G$3460,2,0),"")</f>
        <v>1.5375</v>
      </c>
      <c r="C6467">
        <f>IFERROR(VLOOKUP($A6467,原始数据_收盘!$A$4:$G$3460,3,0),"")</f>
        <v>1.5825</v>
      </c>
      <c r="D6467">
        <f>IFERROR(VLOOKUP($A6467,原始数据_收盘!$A$4:$G$3460,4,0),"")</f>
        <v>1.54</v>
      </c>
      <c r="E6467">
        <f>IFERROR(VLOOKUP($A6467,原始数据_收盘!$A$4:$G$3460,5,0),"")</f>
        <v>1.585</v>
      </c>
      <c r="F6467">
        <f>IFERROR(VLOOKUP($A6467,原始数据_收盘!$A$4:$G$3460,6,0),"")</f>
        <v>1.5388</v>
      </c>
      <c r="G6467">
        <f>IFERROR(VLOOKUP($A6467,原始数据_收盘!$A$4:$G$3460,7,0),"")</f>
        <v>1.5838</v>
      </c>
      <c r="H6467">
        <f>IFERROR(VLOOKUP($A6467,原始数据_利率互换_FR007_1年!$A$6:$C$4395,2,0),"")</f>
        <v>1.5382</v>
      </c>
      <c r="I6467">
        <f>IFERROR(VLOOKUP($A6467,原始数据_利率互换_FR007_1年!$A$6:$C$4395,3,0),"")</f>
        <v>1.5825</v>
      </c>
    </row>
    <row r="6468" spans="1:9">
      <c r="A6468" s="6">
        <v>45961</v>
      </c>
      <c r="B6468">
        <f>IFERROR(VLOOKUP($A6468,原始数据_收盘!$A$4:$G$3460,2,0),"")</f>
        <v>1.525</v>
      </c>
      <c r="C6468">
        <f>IFERROR(VLOOKUP($A6468,原始数据_收盘!$A$4:$G$3460,3,0),"")</f>
        <v>1.5675</v>
      </c>
      <c r="D6468">
        <f>IFERROR(VLOOKUP($A6468,原始数据_收盘!$A$4:$G$3460,4,0),"")</f>
        <v>1.5275</v>
      </c>
      <c r="E6468">
        <f>IFERROR(VLOOKUP($A6468,原始数据_收盘!$A$4:$G$3460,5,0),"")</f>
        <v>1.57</v>
      </c>
      <c r="F6468">
        <f>IFERROR(VLOOKUP($A6468,原始数据_收盘!$A$4:$G$3460,6,0),"")</f>
        <v>1.5263</v>
      </c>
      <c r="G6468">
        <f>IFERROR(VLOOKUP($A6468,原始数据_收盘!$A$4:$G$3460,7,0),"")</f>
        <v>1.5688</v>
      </c>
      <c r="H6468">
        <f>IFERROR(VLOOKUP($A6468,原始数据_利率互换_FR007_1年!$A$6:$C$4395,2,0),"")</f>
        <v>1.5302</v>
      </c>
      <c r="I6468">
        <f>IFERROR(VLOOKUP($A6468,原始数据_利率互换_FR007_1年!$A$6:$C$4395,3,0),"")</f>
        <v>1.5713</v>
      </c>
    </row>
    <row r="6469" spans="1:9">
      <c r="A6469" s="6">
        <v>45962</v>
      </c>
      <c r="B6469" t="str">
        <f>IFERROR(VLOOKUP($A6469,原始数据_收盘!$A$4:$G$3460,2,0),"")</f>
        <v/>
      </c>
      <c r="C6469" t="str">
        <f>IFERROR(VLOOKUP($A6469,原始数据_收盘!$A$4:$G$3460,3,0),"")</f>
        <v/>
      </c>
      <c r="D6469" t="str">
        <f>IFERROR(VLOOKUP($A6469,原始数据_收盘!$A$4:$G$3460,4,0),"")</f>
        <v/>
      </c>
      <c r="E6469" t="str">
        <f>IFERROR(VLOOKUP($A6469,原始数据_收盘!$A$4:$G$3460,5,0),"")</f>
        <v/>
      </c>
      <c r="F6469" t="str">
        <f>IFERROR(VLOOKUP($A6469,原始数据_收盘!$A$4:$G$3460,6,0),"")</f>
        <v/>
      </c>
      <c r="G6469" t="str">
        <f>IFERROR(VLOOKUP($A6469,原始数据_收盘!$A$4:$G$3460,7,0),"")</f>
        <v/>
      </c>
      <c r="H6469" t="str">
        <f>IFERROR(VLOOKUP($A6469,原始数据_利率互换_FR007_1年!$A$6:$C$4395,2,0),"")</f>
        <v/>
      </c>
      <c r="I6469" t="str">
        <f>IFERROR(VLOOKUP($A6469,原始数据_利率互换_FR007_1年!$A$6:$C$4395,3,0),"")</f>
        <v/>
      </c>
    </row>
    <row r="6470" spans="1:9">
      <c r="A6470" s="6">
        <v>45963</v>
      </c>
      <c r="B6470" t="str">
        <f>IFERROR(VLOOKUP($A6470,原始数据_收盘!$A$4:$G$3460,2,0),"")</f>
        <v/>
      </c>
      <c r="C6470" t="str">
        <f>IFERROR(VLOOKUP($A6470,原始数据_收盘!$A$4:$G$3460,3,0),"")</f>
        <v/>
      </c>
      <c r="D6470" t="str">
        <f>IFERROR(VLOOKUP($A6470,原始数据_收盘!$A$4:$G$3460,4,0),"")</f>
        <v/>
      </c>
      <c r="E6470" t="str">
        <f>IFERROR(VLOOKUP($A6470,原始数据_收盘!$A$4:$G$3460,5,0),"")</f>
        <v/>
      </c>
      <c r="F6470" t="str">
        <f>IFERROR(VLOOKUP($A6470,原始数据_收盘!$A$4:$G$3460,6,0),"")</f>
        <v/>
      </c>
      <c r="G6470" t="str">
        <f>IFERROR(VLOOKUP($A6470,原始数据_收盘!$A$4:$G$3460,7,0),"")</f>
        <v/>
      </c>
      <c r="H6470" t="str">
        <f>IFERROR(VLOOKUP($A6470,原始数据_利率互换_FR007_1年!$A$6:$C$4395,2,0),"")</f>
        <v/>
      </c>
      <c r="I6470" t="str">
        <f>IFERROR(VLOOKUP($A6470,原始数据_利率互换_FR007_1年!$A$6:$C$4395,3,0),"")</f>
        <v/>
      </c>
    </row>
    <row r="6471" spans="1:9">
      <c r="A6471" s="6">
        <v>45964</v>
      </c>
      <c r="B6471">
        <f>IFERROR(VLOOKUP($A6471,原始数据_收盘!$A$4:$G$3460,2,0),"")</f>
        <v>1.5329</v>
      </c>
      <c r="C6471">
        <f>IFERROR(VLOOKUP($A6471,原始数据_收盘!$A$4:$G$3460,3,0),"")</f>
        <v>1.579</v>
      </c>
      <c r="D6471">
        <f>IFERROR(VLOOKUP($A6471,原始数据_收盘!$A$4:$G$3460,4,0),"")</f>
        <v>1.5351</v>
      </c>
      <c r="E6471">
        <f>IFERROR(VLOOKUP($A6471,原始数据_收盘!$A$4:$G$3460,5,0),"")</f>
        <v>1.5825</v>
      </c>
      <c r="F6471">
        <f>IFERROR(VLOOKUP($A6471,原始数据_收盘!$A$4:$G$3460,6,0),"")</f>
        <v>1.534</v>
      </c>
      <c r="G6471">
        <f>IFERROR(VLOOKUP($A6471,原始数据_收盘!$A$4:$G$3460,7,0),"")</f>
        <v>1.5808</v>
      </c>
      <c r="H6471">
        <f>IFERROR(VLOOKUP($A6471,原始数据_利率互换_FR007_1年!$A$6:$C$4395,2,0),"")</f>
        <v>1.5341</v>
      </c>
      <c r="I6471">
        <f>IFERROR(VLOOKUP($A6471,原始数据_利率互换_FR007_1年!$A$6:$C$4395,3,0),"")</f>
        <v>1.5795</v>
      </c>
    </row>
    <row r="6472" spans="1:9">
      <c r="A6472" s="6">
        <v>45965</v>
      </c>
      <c r="B6472">
        <f>IFERROR(VLOOKUP($A6472,原始数据_收盘!$A$4:$G$3460,2,0),"")</f>
        <v>1.5405</v>
      </c>
      <c r="C6472">
        <f>IFERROR(VLOOKUP($A6472,原始数据_收盘!$A$4:$G$3460,3,0),"")</f>
        <v>1.5916</v>
      </c>
      <c r="D6472">
        <f>IFERROR(VLOOKUP($A6472,原始数据_收盘!$A$4:$G$3460,4,0),"")</f>
        <v>1.5436</v>
      </c>
      <c r="E6472">
        <f>IFERROR(VLOOKUP($A6472,原始数据_收盘!$A$4:$G$3460,5,0),"")</f>
        <v>1.5944</v>
      </c>
      <c r="F6472">
        <f>IFERROR(VLOOKUP($A6472,原始数据_收盘!$A$4:$G$3460,6,0),"")</f>
        <v>1.542</v>
      </c>
      <c r="G6472">
        <f>IFERROR(VLOOKUP($A6472,原始数据_收盘!$A$4:$G$3460,7,0),"")</f>
        <v>1.593</v>
      </c>
      <c r="H6472">
        <f>IFERROR(VLOOKUP($A6472,原始数据_利率互换_FR007_1年!$A$6:$C$4395,2,0),"")</f>
        <v>1.5391</v>
      </c>
      <c r="I6472">
        <f>IFERROR(VLOOKUP($A6472,原始数据_利率互换_FR007_1年!$A$6:$C$4395,3,0),"")</f>
        <v>1.588</v>
      </c>
    </row>
    <row r="6473" spans="1:9">
      <c r="A6473" s="6">
        <v>45966</v>
      </c>
      <c r="B6473">
        <f>IFERROR(VLOOKUP($A6473,原始数据_收盘!$A$4:$G$3460,2,0),"")</f>
        <v>1.5378</v>
      </c>
      <c r="C6473">
        <f>IFERROR(VLOOKUP($A6473,原始数据_收盘!$A$4:$G$3460,3,0),"")</f>
        <v>1.5875</v>
      </c>
      <c r="D6473">
        <f>IFERROR(VLOOKUP($A6473,原始数据_收盘!$A$4:$G$3460,4,0),"")</f>
        <v>1.5419</v>
      </c>
      <c r="E6473">
        <f>IFERROR(VLOOKUP($A6473,原始数据_收盘!$A$4:$G$3460,5,0),"")</f>
        <v>1.59</v>
      </c>
      <c r="F6473">
        <f>IFERROR(VLOOKUP($A6473,原始数据_收盘!$A$4:$G$3460,6,0),"")</f>
        <v>1.5399</v>
      </c>
      <c r="G6473">
        <f>IFERROR(VLOOKUP($A6473,原始数据_收盘!$A$4:$G$3460,7,0),"")</f>
        <v>1.5888</v>
      </c>
      <c r="H6473">
        <f>IFERROR(VLOOKUP($A6473,原始数据_利率互换_FR007_1年!$A$6:$C$4395,2,0),"")</f>
        <v>1.5369</v>
      </c>
      <c r="I6473">
        <f>IFERROR(VLOOKUP($A6473,原始数据_利率互换_FR007_1年!$A$6:$C$4395,3,0),"")</f>
        <v>1.5825</v>
      </c>
    </row>
    <row r="6474" spans="1:9">
      <c r="A6474" s="6">
        <v>45967</v>
      </c>
      <c r="B6474">
        <f>IFERROR(VLOOKUP($A6474,原始数据_收盘!$A$4:$G$3460,2,0),"")</f>
        <v>1.5425</v>
      </c>
      <c r="C6474">
        <f>IFERROR(VLOOKUP($A6474,原始数据_收盘!$A$4:$G$3460,3,0),"")</f>
        <v>1.595</v>
      </c>
      <c r="D6474">
        <f>IFERROR(VLOOKUP($A6474,原始数据_收盘!$A$4:$G$3460,4,0),"")</f>
        <v>1.545</v>
      </c>
      <c r="E6474">
        <f>IFERROR(VLOOKUP($A6474,原始数据_收盘!$A$4:$G$3460,5,0),"")</f>
        <v>1.5975</v>
      </c>
      <c r="F6474">
        <f>IFERROR(VLOOKUP($A6474,原始数据_收盘!$A$4:$G$3460,6,0),"")</f>
        <v>1.5438</v>
      </c>
      <c r="G6474">
        <f>IFERROR(VLOOKUP($A6474,原始数据_收盘!$A$4:$G$3460,7,0),"")</f>
        <v>1.5963</v>
      </c>
      <c r="H6474">
        <f>IFERROR(VLOOKUP($A6474,原始数据_利率互换_FR007_1年!$A$6:$C$4395,2,0),"")</f>
        <v>1.542</v>
      </c>
      <c r="I6474">
        <f>IFERROR(VLOOKUP($A6474,原始数据_利率互换_FR007_1年!$A$6:$C$4395,3,0),"")</f>
        <v>1.5928</v>
      </c>
    </row>
    <row r="6475" spans="1:9">
      <c r="A6475" s="6">
        <v>45968</v>
      </c>
      <c r="B6475">
        <f>IFERROR(VLOOKUP($A6475,原始数据_收盘!$A$4:$G$3460,2,0),"")</f>
        <v>1.5375</v>
      </c>
      <c r="C6475">
        <f>IFERROR(VLOOKUP($A6475,原始数据_收盘!$A$4:$G$3460,3,0),"")</f>
        <v>1.595</v>
      </c>
      <c r="D6475">
        <f>IFERROR(VLOOKUP($A6475,原始数据_收盘!$A$4:$G$3460,4,0),"")</f>
        <v>1.54</v>
      </c>
      <c r="E6475">
        <f>IFERROR(VLOOKUP($A6475,原始数据_收盘!$A$4:$G$3460,5,0),"")</f>
        <v>1.5975</v>
      </c>
      <c r="F6475">
        <f>IFERROR(VLOOKUP($A6475,原始数据_收盘!$A$4:$G$3460,6,0),"")</f>
        <v>1.5388</v>
      </c>
      <c r="G6475">
        <f>IFERROR(VLOOKUP($A6475,原始数据_收盘!$A$4:$G$3460,7,0),"")</f>
        <v>1.5963</v>
      </c>
      <c r="H6475">
        <f>IFERROR(VLOOKUP($A6475,原始数据_利率互换_FR007_1年!$A$6:$C$4395,2,0),"")</f>
        <v>1.5378</v>
      </c>
      <c r="I6475">
        <f>IFERROR(VLOOKUP($A6475,原始数据_利率互换_FR007_1年!$A$6:$C$4395,3,0),"")</f>
        <v>1.5935</v>
      </c>
    </row>
    <row r="6476" spans="1:9">
      <c r="A6476" s="6">
        <v>45969</v>
      </c>
      <c r="B6476" t="str">
        <f>IFERROR(VLOOKUP($A6476,原始数据_收盘!$A$4:$G$3460,2,0),"")</f>
        <v/>
      </c>
      <c r="C6476" t="str">
        <f>IFERROR(VLOOKUP($A6476,原始数据_收盘!$A$4:$G$3460,3,0),"")</f>
        <v/>
      </c>
      <c r="D6476" t="str">
        <f>IFERROR(VLOOKUP($A6476,原始数据_收盘!$A$4:$G$3460,4,0),"")</f>
        <v/>
      </c>
      <c r="E6476" t="str">
        <f>IFERROR(VLOOKUP($A6476,原始数据_收盘!$A$4:$G$3460,5,0),"")</f>
        <v/>
      </c>
      <c r="F6476" t="str">
        <f>IFERROR(VLOOKUP($A6476,原始数据_收盘!$A$4:$G$3460,6,0),"")</f>
        <v/>
      </c>
      <c r="G6476" t="str">
        <f>IFERROR(VLOOKUP($A6476,原始数据_收盘!$A$4:$G$3460,7,0),"")</f>
        <v/>
      </c>
      <c r="H6476" t="str">
        <f>IFERROR(VLOOKUP($A6476,原始数据_利率互换_FR007_1年!$A$6:$C$4395,2,0),"")</f>
        <v/>
      </c>
      <c r="I6476" t="str">
        <f>IFERROR(VLOOKUP($A6476,原始数据_利率互换_FR007_1年!$A$6:$C$4395,3,0),"")</f>
        <v/>
      </c>
    </row>
    <row r="6477" spans="1:9">
      <c r="A6477" s="6">
        <v>45970</v>
      </c>
      <c r="B6477" t="str">
        <f>IFERROR(VLOOKUP($A6477,原始数据_收盘!$A$4:$G$3460,2,0),"")</f>
        <v/>
      </c>
      <c r="C6477" t="str">
        <f>IFERROR(VLOOKUP($A6477,原始数据_收盘!$A$4:$G$3460,3,0),"")</f>
        <v/>
      </c>
      <c r="D6477" t="str">
        <f>IFERROR(VLOOKUP($A6477,原始数据_收盘!$A$4:$G$3460,4,0),"")</f>
        <v/>
      </c>
      <c r="E6477" t="str">
        <f>IFERROR(VLOOKUP($A6477,原始数据_收盘!$A$4:$G$3460,5,0),"")</f>
        <v/>
      </c>
      <c r="F6477" t="str">
        <f>IFERROR(VLOOKUP($A6477,原始数据_收盘!$A$4:$G$3460,6,0),"")</f>
        <v/>
      </c>
      <c r="G6477" t="str">
        <f>IFERROR(VLOOKUP($A6477,原始数据_收盘!$A$4:$G$3460,7,0),"")</f>
        <v/>
      </c>
      <c r="H6477" t="str">
        <f>IFERROR(VLOOKUP($A6477,原始数据_利率互换_FR007_1年!$A$6:$C$4395,2,0),"")</f>
        <v/>
      </c>
      <c r="I6477" t="str">
        <f>IFERROR(VLOOKUP($A6477,原始数据_利率互换_FR007_1年!$A$6:$C$4395,3,0),"")</f>
        <v/>
      </c>
    </row>
    <row r="6478" spans="1:9">
      <c r="A6478" s="6">
        <v>45971</v>
      </c>
      <c r="B6478">
        <f>IFERROR(VLOOKUP($A6478,原始数据_收盘!$A$4:$G$3460,2,0),"")</f>
        <v>1.5375</v>
      </c>
      <c r="C6478">
        <f>IFERROR(VLOOKUP($A6478,原始数据_收盘!$A$4:$G$3460,3,0),"")</f>
        <v>1.5925</v>
      </c>
      <c r="D6478">
        <f>IFERROR(VLOOKUP($A6478,原始数据_收盘!$A$4:$G$3460,4,0),"")</f>
        <v>1.54</v>
      </c>
      <c r="E6478">
        <f>IFERROR(VLOOKUP($A6478,原始数据_收盘!$A$4:$G$3460,5,0),"")</f>
        <v>1.595</v>
      </c>
      <c r="F6478">
        <f>IFERROR(VLOOKUP($A6478,原始数据_收盘!$A$4:$G$3460,6,0),"")</f>
        <v>1.5388</v>
      </c>
      <c r="G6478">
        <f>IFERROR(VLOOKUP($A6478,原始数据_收盘!$A$4:$G$3460,7,0),"")</f>
        <v>1.5938</v>
      </c>
      <c r="H6478">
        <f>IFERROR(VLOOKUP($A6478,原始数据_利率互换_FR007_1年!$A$6:$C$4395,2,0),"")</f>
        <v>1.5384</v>
      </c>
      <c r="I6478">
        <f>IFERROR(VLOOKUP($A6478,原始数据_利率互换_FR007_1年!$A$6:$C$4395,3,0),"")</f>
        <v>1.5926</v>
      </c>
    </row>
    <row r="6479" spans="1:9">
      <c r="A6479" s="6">
        <v>45972</v>
      </c>
      <c r="B6479">
        <f>IFERROR(VLOOKUP($A6479,原始数据_收盘!$A$4:$G$3460,2,0),"")</f>
        <v>1.54</v>
      </c>
      <c r="C6479">
        <f>IFERROR(VLOOKUP($A6479,原始数据_收盘!$A$4:$G$3460,3,0),"")</f>
        <v>1.5925</v>
      </c>
      <c r="D6479">
        <f>IFERROR(VLOOKUP($A6479,原始数据_收盘!$A$4:$G$3460,4,0),"")</f>
        <v>1.5425</v>
      </c>
      <c r="E6479">
        <f>IFERROR(VLOOKUP($A6479,原始数据_收盘!$A$4:$G$3460,5,0),"")</f>
        <v>1.595</v>
      </c>
      <c r="F6479">
        <f>IFERROR(VLOOKUP($A6479,原始数据_收盘!$A$4:$G$3460,6,0),"")</f>
        <v>1.5413</v>
      </c>
      <c r="G6479">
        <f>IFERROR(VLOOKUP($A6479,原始数据_收盘!$A$4:$G$3460,7,0),"")</f>
        <v>1.5938</v>
      </c>
      <c r="H6479">
        <f>IFERROR(VLOOKUP($A6479,原始数据_利率互换_FR007_1年!$A$6:$C$4395,2,0),"")</f>
        <v>1.5353</v>
      </c>
      <c r="I6479">
        <f>IFERROR(VLOOKUP($A6479,原始数据_利率互换_FR007_1年!$A$6:$C$4395,3,0),"")</f>
        <v>1.5867</v>
      </c>
    </row>
    <row r="6480" spans="1:9">
      <c r="A6480" s="6">
        <v>45973</v>
      </c>
      <c r="B6480">
        <f>IFERROR(VLOOKUP($A6480,原始数据_收盘!$A$4:$G$3460,2,0),"")</f>
        <v>1.54</v>
      </c>
      <c r="C6480">
        <f>IFERROR(VLOOKUP($A6480,原始数据_收盘!$A$4:$G$3460,3,0),"")</f>
        <v>1.59</v>
      </c>
      <c r="D6480">
        <f>IFERROR(VLOOKUP($A6480,原始数据_收盘!$A$4:$G$3460,4,0),"")</f>
        <v>1.5425</v>
      </c>
      <c r="E6480">
        <f>IFERROR(VLOOKUP($A6480,原始数据_收盘!$A$4:$G$3460,5,0),"")</f>
        <v>1.5925</v>
      </c>
      <c r="F6480">
        <f>IFERROR(VLOOKUP($A6480,原始数据_收盘!$A$4:$G$3460,6,0),"")</f>
        <v>1.5413</v>
      </c>
      <c r="G6480">
        <f>IFERROR(VLOOKUP($A6480,原始数据_收盘!$A$4:$G$3460,7,0),"")</f>
        <v>1.5913</v>
      </c>
      <c r="H6480">
        <f>IFERROR(VLOOKUP($A6480,原始数据_利率互换_FR007_1年!$A$6:$C$4395,2,0),"")</f>
        <v>1.5402</v>
      </c>
      <c r="I6480">
        <f>IFERROR(VLOOKUP($A6480,原始数据_利率互换_FR007_1年!$A$6:$C$4395,3,0),"")</f>
        <v>1.5899</v>
      </c>
    </row>
    <row r="6481" spans="1:9">
      <c r="A6481" s="6">
        <v>45974</v>
      </c>
      <c r="B6481">
        <f>IFERROR(VLOOKUP($A6481,原始数据_收盘!$A$4:$G$3460,2,0),"")</f>
        <v>1.5425</v>
      </c>
      <c r="C6481">
        <f>IFERROR(VLOOKUP($A6481,原始数据_收盘!$A$4:$G$3460,3,0),"")</f>
        <v>1.5994</v>
      </c>
      <c r="D6481">
        <f>IFERROR(VLOOKUP($A6481,原始数据_收盘!$A$4:$G$3460,4,0),"")</f>
        <v>1.545</v>
      </c>
      <c r="E6481">
        <f>IFERROR(VLOOKUP($A6481,原始数据_收盘!$A$4:$G$3460,5,0),"")</f>
        <v>1.602</v>
      </c>
      <c r="F6481">
        <f>IFERROR(VLOOKUP($A6481,原始数据_收盘!$A$4:$G$3460,6,0),"")</f>
        <v>1.5438</v>
      </c>
      <c r="G6481">
        <f>IFERROR(VLOOKUP($A6481,原始数据_收盘!$A$4:$G$3460,7,0),"")</f>
        <v>1.6007</v>
      </c>
      <c r="H6481">
        <f>IFERROR(VLOOKUP($A6481,原始数据_利率互换_FR007_1年!$A$6:$C$4395,2,0),"")</f>
        <v>1.5438</v>
      </c>
      <c r="I6481">
        <f>IFERROR(VLOOKUP($A6481,原始数据_利率互换_FR007_1年!$A$6:$C$4395,3,0),"")</f>
        <v>1.5971</v>
      </c>
    </row>
    <row r="6482" spans="1:9">
      <c r="A6482" s="6">
        <v>45975</v>
      </c>
      <c r="B6482">
        <f>IFERROR(VLOOKUP($A6482,原始数据_收盘!$A$4:$G$3460,2,0),"")</f>
        <v>1.54</v>
      </c>
      <c r="C6482">
        <f>IFERROR(VLOOKUP($A6482,原始数据_收盘!$A$4:$G$3460,3,0),"")</f>
        <v>1.6025</v>
      </c>
      <c r="D6482">
        <f>IFERROR(VLOOKUP($A6482,原始数据_收盘!$A$4:$G$3460,4,0),"")</f>
        <v>1.5425</v>
      </c>
      <c r="E6482">
        <f>IFERROR(VLOOKUP($A6482,原始数据_收盘!$A$4:$G$3460,5,0),"")</f>
        <v>1.605</v>
      </c>
      <c r="F6482">
        <f>IFERROR(VLOOKUP($A6482,原始数据_收盘!$A$4:$G$3460,6,0),"")</f>
        <v>1.5413</v>
      </c>
      <c r="G6482">
        <f>IFERROR(VLOOKUP($A6482,原始数据_收盘!$A$4:$G$3460,7,0),"")</f>
        <v>1.6038</v>
      </c>
      <c r="H6482">
        <f>IFERROR(VLOOKUP($A6482,原始数据_利率互换_FR007_1年!$A$6:$C$4395,2,0),"")</f>
        <v>1.54</v>
      </c>
      <c r="I6482">
        <f>IFERROR(VLOOKUP($A6482,原始数据_利率互换_FR007_1年!$A$6:$C$4395,3,0),"")</f>
        <v>1.6009</v>
      </c>
    </row>
    <row r="6483" spans="1:9">
      <c r="A6483" s="6">
        <v>45976</v>
      </c>
      <c r="B6483" t="str">
        <f>IFERROR(VLOOKUP($A6483,原始数据_收盘!$A$4:$G$3460,2,0),"")</f>
        <v/>
      </c>
      <c r="C6483" t="str">
        <f>IFERROR(VLOOKUP($A6483,原始数据_收盘!$A$4:$G$3460,3,0),"")</f>
        <v/>
      </c>
      <c r="D6483" t="str">
        <f>IFERROR(VLOOKUP($A6483,原始数据_收盘!$A$4:$G$3460,4,0),"")</f>
        <v/>
      </c>
      <c r="E6483" t="str">
        <f>IFERROR(VLOOKUP($A6483,原始数据_收盘!$A$4:$G$3460,5,0),"")</f>
        <v/>
      </c>
      <c r="F6483" t="str">
        <f>IFERROR(VLOOKUP($A6483,原始数据_收盘!$A$4:$G$3460,6,0),"")</f>
        <v/>
      </c>
      <c r="G6483" t="str">
        <f>IFERROR(VLOOKUP($A6483,原始数据_收盘!$A$4:$G$3460,7,0),"")</f>
        <v/>
      </c>
      <c r="H6483" t="str">
        <f>IFERROR(VLOOKUP($A6483,原始数据_利率互换_FR007_1年!$A$6:$C$4395,2,0),"")</f>
        <v/>
      </c>
      <c r="I6483" t="str">
        <f>IFERROR(VLOOKUP($A6483,原始数据_利率互换_FR007_1年!$A$6:$C$4395,3,0),"")</f>
        <v/>
      </c>
    </row>
    <row r="6484" spans="1:9">
      <c r="A6484" s="6">
        <v>45977</v>
      </c>
      <c r="B6484" t="str">
        <f>IFERROR(VLOOKUP($A6484,原始数据_收盘!$A$4:$G$3460,2,0),"")</f>
        <v/>
      </c>
      <c r="C6484" t="str">
        <f>IFERROR(VLOOKUP($A6484,原始数据_收盘!$A$4:$G$3460,3,0),"")</f>
        <v/>
      </c>
      <c r="D6484" t="str">
        <f>IFERROR(VLOOKUP($A6484,原始数据_收盘!$A$4:$G$3460,4,0),"")</f>
        <v/>
      </c>
      <c r="E6484" t="str">
        <f>IFERROR(VLOOKUP($A6484,原始数据_收盘!$A$4:$G$3460,5,0),"")</f>
        <v/>
      </c>
      <c r="F6484" t="str">
        <f>IFERROR(VLOOKUP($A6484,原始数据_收盘!$A$4:$G$3460,6,0),"")</f>
        <v/>
      </c>
      <c r="G6484" t="str">
        <f>IFERROR(VLOOKUP($A6484,原始数据_收盘!$A$4:$G$3460,7,0),"")</f>
        <v/>
      </c>
      <c r="H6484" t="str">
        <f>IFERROR(VLOOKUP($A6484,原始数据_利率互换_FR007_1年!$A$6:$C$4395,2,0),"")</f>
        <v/>
      </c>
      <c r="I6484" t="str">
        <f>IFERROR(VLOOKUP($A6484,原始数据_利率互换_FR007_1年!$A$6:$C$4395,3,0),"")</f>
        <v/>
      </c>
    </row>
    <row r="6485" spans="1:9">
      <c r="A6485" s="6">
        <v>45978</v>
      </c>
      <c r="B6485">
        <f>IFERROR(VLOOKUP($A6485,原始数据_收盘!$A$4:$G$3460,2,0),"")</f>
        <v>1.5425</v>
      </c>
      <c r="C6485">
        <f>IFERROR(VLOOKUP($A6485,原始数据_收盘!$A$4:$G$3460,3,0),"")</f>
        <v>1.5975</v>
      </c>
      <c r="D6485">
        <f>IFERROR(VLOOKUP($A6485,原始数据_收盘!$A$4:$G$3460,4,0),"")</f>
        <v>1.545</v>
      </c>
      <c r="E6485">
        <f>IFERROR(VLOOKUP($A6485,原始数据_收盘!$A$4:$G$3460,5,0),"")</f>
        <v>1.6</v>
      </c>
      <c r="F6485">
        <f>IFERROR(VLOOKUP($A6485,原始数据_收盘!$A$4:$G$3460,6,0),"")</f>
        <v>1.5438</v>
      </c>
      <c r="G6485">
        <f>IFERROR(VLOOKUP($A6485,原始数据_收盘!$A$4:$G$3460,7,0),"")</f>
        <v>1.5988</v>
      </c>
      <c r="H6485">
        <f>IFERROR(VLOOKUP($A6485,原始数据_利率互换_FR007_1年!$A$6:$C$4395,2,0),"")</f>
        <v>1.5389</v>
      </c>
      <c r="I6485">
        <f>IFERROR(VLOOKUP($A6485,原始数据_利率互换_FR007_1年!$A$6:$C$4395,3,0),"")</f>
        <v>1.5951</v>
      </c>
    </row>
    <row r="6486" spans="1:9">
      <c r="A6486" s="6">
        <v>45979</v>
      </c>
      <c r="B6486">
        <f>IFERROR(VLOOKUP($A6486,原始数据_收盘!$A$4:$G$3460,2,0),"")</f>
        <v>1.545</v>
      </c>
      <c r="C6486">
        <f>IFERROR(VLOOKUP($A6486,原始数据_收盘!$A$4:$G$3460,3,0),"")</f>
        <v>1.5975</v>
      </c>
      <c r="D6486">
        <f>IFERROR(VLOOKUP($A6486,原始数据_收盘!$A$4:$G$3460,4,0),"")</f>
        <v>1.5475</v>
      </c>
      <c r="E6486">
        <f>IFERROR(VLOOKUP($A6486,原始数据_收盘!$A$4:$G$3460,5,0),"")</f>
        <v>1.6</v>
      </c>
      <c r="F6486">
        <f>IFERROR(VLOOKUP($A6486,原始数据_收盘!$A$4:$G$3460,6,0),"")</f>
        <v>1.5463</v>
      </c>
      <c r="G6486">
        <f>IFERROR(VLOOKUP($A6486,原始数据_收盘!$A$4:$G$3460,7,0),"")</f>
        <v>1.5988</v>
      </c>
      <c r="H6486">
        <f>IFERROR(VLOOKUP($A6486,原始数据_利率互换_FR007_1年!$A$6:$C$4395,2,0),"")</f>
        <v>1.545</v>
      </c>
      <c r="I6486">
        <f>IFERROR(VLOOKUP($A6486,原始数据_利率互换_FR007_1年!$A$6:$C$4395,3,0),"")</f>
        <v>1.5981</v>
      </c>
    </row>
    <row r="6487" spans="1:9">
      <c r="A6487" s="6">
        <v>45980</v>
      </c>
      <c r="B6487">
        <f>IFERROR(VLOOKUP($A6487,原始数据_收盘!$A$4:$G$3460,2,0),"")</f>
        <v>1.545</v>
      </c>
      <c r="C6487">
        <f>IFERROR(VLOOKUP($A6487,原始数据_收盘!$A$4:$G$3460,3,0),"")</f>
        <v>1.602</v>
      </c>
      <c r="D6487">
        <f>IFERROR(VLOOKUP($A6487,原始数据_收盘!$A$4:$G$3460,4,0),"")</f>
        <v>1.5475</v>
      </c>
      <c r="E6487">
        <f>IFERROR(VLOOKUP($A6487,原始数据_收盘!$A$4:$G$3460,5,0),"")</f>
        <v>1.605</v>
      </c>
      <c r="F6487">
        <f>IFERROR(VLOOKUP($A6487,原始数据_收盘!$A$4:$G$3460,6,0),"")</f>
        <v>1.5463</v>
      </c>
      <c r="G6487">
        <f>IFERROR(VLOOKUP($A6487,原始数据_收盘!$A$4:$G$3460,7,0),"")</f>
        <v>1.6035</v>
      </c>
      <c r="H6487">
        <f>IFERROR(VLOOKUP($A6487,原始数据_利率互换_FR007_1年!$A$6:$C$4395,2,0),"")</f>
        <v>1.5443</v>
      </c>
      <c r="I6487">
        <f>IFERROR(VLOOKUP($A6487,原始数据_利率互换_FR007_1年!$A$6:$C$4395,3,0),"")</f>
        <v>1.6014</v>
      </c>
    </row>
    <row r="6488" spans="1:9">
      <c r="A6488" s="6">
        <v>45981</v>
      </c>
      <c r="B6488">
        <f>IFERROR(VLOOKUP($A6488,原始数据_收盘!$A$4:$G$3460,2,0),"")</f>
        <v>1.54</v>
      </c>
      <c r="C6488">
        <f>IFERROR(VLOOKUP($A6488,原始数据_收盘!$A$4:$G$3460,3,0),"")</f>
        <v>1.5954</v>
      </c>
      <c r="D6488">
        <f>IFERROR(VLOOKUP($A6488,原始数据_收盘!$A$4:$G$3460,4,0),"")</f>
        <v>1.5425</v>
      </c>
      <c r="E6488">
        <f>IFERROR(VLOOKUP($A6488,原始数据_收盘!$A$4:$G$3460,5,0),"")</f>
        <v>1.5979</v>
      </c>
      <c r="F6488">
        <f>IFERROR(VLOOKUP($A6488,原始数据_收盘!$A$4:$G$3460,6,0),"")</f>
        <v>1.5413</v>
      </c>
      <c r="G6488">
        <f>IFERROR(VLOOKUP($A6488,原始数据_收盘!$A$4:$G$3460,7,0),"")</f>
        <v>1.5966</v>
      </c>
      <c r="H6488">
        <f>IFERROR(VLOOKUP($A6488,原始数据_利率互换_FR007_1年!$A$6:$C$4395,2,0),"")</f>
        <v>1.5406</v>
      </c>
      <c r="I6488">
        <f>IFERROR(VLOOKUP($A6488,原始数据_利率互换_FR007_1年!$A$6:$C$4395,3,0),"")</f>
        <v>1.5973</v>
      </c>
    </row>
    <row r="6489" spans="1:9">
      <c r="A6489" s="6">
        <v>45982</v>
      </c>
      <c r="B6489">
        <f>IFERROR(VLOOKUP($A6489,原始数据_收盘!$A$4:$G$3460,2,0),"")</f>
        <v>1.5413</v>
      </c>
      <c r="C6489">
        <f>IFERROR(VLOOKUP($A6489,原始数据_收盘!$A$4:$G$3460,3,0),"")</f>
        <v>1.5925</v>
      </c>
      <c r="D6489">
        <f>IFERROR(VLOOKUP($A6489,原始数据_收盘!$A$4:$G$3460,4,0),"")</f>
        <v>1.545</v>
      </c>
      <c r="E6489">
        <f>IFERROR(VLOOKUP($A6489,原始数据_收盘!$A$4:$G$3460,5,0),"")</f>
        <v>1.595</v>
      </c>
      <c r="F6489">
        <f>IFERROR(VLOOKUP($A6489,原始数据_收盘!$A$4:$G$3460,6,0),"")</f>
        <v>1.5432</v>
      </c>
      <c r="G6489">
        <f>IFERROR(VLOOKUP($A6489,原始数据_收盘!$A$4:$G$3460,7,0),"")</f>
        <v>1.5938</v>
      </c>
      <c r="H6489">
        <f>IFERROR(VLOOKUP($A6489,原始数据_利率互换_FR007_1年!$A$6:$C$4395,2,0),"")</f>
        <v>1.542</v>
      </c>
      <c r="I6489">
        <f>IFERROR(VLOOKUP($A6489,原始数据_利率互换_FR007_1年!$A$6:$C$4395,3,0),"")</f>
        <v>1.5931</v>
      </c>
    </row>
    <row r="6490" spans="1:9">
      <c r="A6490" s="6">
        <v>45983</v>
      </c>
      <c r="B6490" t="str">
        <f>IFERROR(VLOOKUP($A6490,原始数据_收盘!$A$4:$G$3460,2,0),"")</f>
        <v/>
      </c>
      <c r="C6490" t="str">
        <f>IFERROR(VLOOKUP($A6490,原始数据_收盘!$A$4:$G$3460,3,0),"")</f>
        <v/>
      </c>
      <c r="D6490" t="str">
        <f>IFERROR(VLOOKUP($A6490,原始数据_收盘!$A$4:$G$3460,4,0),"")</f>
        <v/>
      </c>
      <c r="E6490" t="str">
        <f>IFERROR(VLOOKUP($A6490,原始数据_收盘!$A$4:$G$3460,5,0),"")</f>
        <v/>
      </c>
      <c r="F6490" t="str">
        <f>IFERROR(VLOOKUP($A6490,原始数据_收盘!$A$4:$G$3460,6,0),"")</f>
        <v/>
      </c>
      <c r="G6490" t="str">
        <f>IFERROR(VLOOKUP($A6490,原始数据_收盘!$A$4:$G$3460,7,0),"")</f>
        <v/>
      </c>
      <c r="H6490" t="str">
        <f>IFERROR(VLOOKUP($A6490,原始数据_利率互换_FR007_1年!$A$6:$C$4395,2,0),"")</f>
        <v/>
      </c>
      <c r="I6490" t="str">
        <f>IFERROR(VLOOKUP($A6490,原始数据_利率互换_FR007_1年!$A$6:$C$4395,3,0),"")</f>
        <v/>
      </c>
    </row>
    <row r="6491" spans="1:9">
      <c r="A6491" s="6">
        <v>45984</v>
      </c>
      <c r="B6491" t="str">
        <f>IFERROR(VLOOKUP($A6491,原始数据_收盘!$A$4:$G$3460,2,0),"")</f>
        <v/>
      </c>
      <c r="C6491" t="str">
        <f>IFERROR(VLOOKUP($A6491,原始数据_收盘!$A$4:$G$3460,3,0),"")</f>
        <v/>
      </c>
      <c r="D6491" t="str">
        <f>IFERROR(VLOOKUP($A6491,原始数据_收盘!$A$4:$G$3460,4,0),"")</f>
        <v/>
      </c>
      <c r="E6491" t="str">
        <f>IFERROR(VLOOKUP($A6491,原始数据_收盘!$A$4:$G$3460,5,0),"")</f>
        <v/>
      </c>
      <c r="F6491" t="str">
        <f>IFERROR(VLOOKUP($A6491,原始数据_收盘!$A$4:$G$3460,6,0),"")</f>
        <v/>
      </c>
      <c r="G6491" t="str">
        <f>IFERROR(VLOOKUP($A6491,原始数据_收盘!$A$4:$G$3460,7,0),"")</f>
        <v/>
      </c>
      <c r="H6491" t="str">
        <f>IFERROR(VLOOKUP($A6491,原始数据_利率互换_FR007_1年!$A$6:$C$4395,2,0),"")</f>
        <v/>
      </c>
      <c r="I6491" t="str">
        <f>IFERROR(VLOOKUP($A6491,原始数据_利率互换_FR007_1年!$A$6:$C$4395,3,0),"")</f>
        <v/>
      </c>
    </row>
    <row r="6492" spans="1:9">
      <c r="A6492" s="6">
        <v>45985</v>
      </c>
      <c r="B6492">
        <f>IFERROR(VLOOKUP($A6492,原始数据_收盘!$A$4:$G$3460,2,0),"")</f>
        <v>1.5425</v>
      </c>
      <c r="C6492">
        <f>IFERROR(VLOOKUP($A6492,原始数据_收盘!$A$4:$G$3460,3,0),"")</f>
        <v>1.5948</v>
      </c>
      <c r="D6492">
        <f>IFERROR(VLOOKUP($A6492,原始数据_收盘!$A$4:$G$3460,4,0),"")</f>
        <v>1.5464</v>
      </c>
      <c r="E6492">
        <f>IFERROR(VLOOKUP($A6492,原始数据_收盘!$A$4:$G$3460,5,0),"")</f>
        <v>1.5975</v>
      </c>
      <c r="F6492">
        <f>IFERROR(VLOOKUP($A6492,原始数据_收盘!$A$4:$G$3460,6,0),"")</f>
        <v>1.5444</v>
      </c>
      <c r="G6492">
        <f>IFERROR(VLOOKUP($A6492,原始数据_收盘!$A$4:$G$3460,7,0),"")</f>
        <v>1.5962</v>
      </c>
      <c r="H6492">
        <f>IFERROR(VLOOKUP($A6492,原始数据_利率互换_FR007_1年!$A$6:$C$4395,2,0),"")</f>
        <v>1.5445</v>
      </c>
      <c r="I6492">
        <f>IFERROR(VLOOKUP($A6492,原始数据_利率互换_FR007_1年!$A$6:$C$4395,3,0),"")</f>
        <v>1.5946</v>
      </c>
    </row>
    <row r="6493" spans="1:9">
      <c r="A6493" s="6">
        <v>45986</v>
      </c>
      <c r="B6493">
        <f>IFERROR(VLOOKUP($A6493,原始数据_收盘!$A$4:$G$3460,2,0),"")</f>
        <v>1.5475</v>
      </c>
      <c r="C6493">
        <f>IFERROR(VLOOKUP($A6493,原始数据_收盘!$A$4:$G$3460,3,0),"")</f>
        <v>1.6025</v>
      </c>
      <c r="D6493">
        <f>IFERROR(VLOOKUP($A6493,原始数据_收盘!$A$4:$G$3460,4,0),"")</f>
        <v>1.55</v>
      </c>
      <c r="E6493">
        <f>IFERROR(VLOOKUP($A6493,原始数据_收盘!$A$4:$G$3460,5,0),"")</f>
        <v>1.605</v>
      </c>
      <c r="F6493">
        <f>IFERROR(VLOOKUP($A6493,原始数据_收盘!$A$4:$G$3460,6,0),"")</f>
        <v>1.5488</v>
      </c>
      <c r="G6493">
        <f>IFERROR(VLOOKUP($A6493,原始数据_收盘!$A$4:$G$3460,7,0),"")</f>
        <v>1.6038</v>
      </c>
      <c r="H6493">
        <f>IFERROR(VLOOKUP($A6493,原始数据_利率互换_FR007_1年!$A$6:$C$4395,2,0),"")</f>
        <v>1.5471</v>
      </c>
      <c r="I6493">
        <f>IFERROR(VLOOKUP($A6493,原始数据_利率互换_FR007_1年!$A$6:$C$4395,3,0),"")</f>
        <v>1.6003</v>
      </c>
    </row>
    <row r="6494" spans="1:9">
      <c r="A6494" s="6">
        <v>45987</v>
      </c>
      <c r="B6494">
        <f>IFERROR(VLOOKUP($A6494,原始数据_收盘!$A$4:$G$3460,2,0),"")</f>
        <v>1.5525</v>
      </c>
      <c r="C6494">
        <f>IFERROR(VLOOKUP($A6494,原始数据_收盘!$A$4:$G$3460,3,0),"")</f>
        <v>1.6174</v>
      </c>
      <c r="D6494">
        <f>IFERROR(VLOOKUP($A6494,原始数据_收盘!$A$4:$G$3460,4,0),"")</f>
        <v>1.555</v>
      </c>
      <c r="E6494">
        <f>IFERROR(VLOOKUP($A6494,原始数据_收盘!$A$4:$G$3460,5,0),"")</f>
        <v>1.6196</v>
      </c>
      <c r="F6494">
        <f>IFERROR(VLOOKUP($A6494,原始数据_收盘!$A$4:$G$3460,6,0),"")</f>
        <v>1.5538</v>
      </c>
      <c r="G6494">
        <f>IFERROR(VLOOKUP($A6494,原始数据_收盘!$A$4:$G$3460,7,0),"")</f>
        <v>1.6185</v>
      </c>
      <c r="H6494">
        <f>IFERROR(VLOOKUP($A6494,原始数据_利率互换_FR007_1年!$A$6:$C$4395,2,0),"")</f>
        <v>1.5537</v>
      </c>
      <c r="I6494">
        <f>IFERROR(VLOOKUP($A6494,原始数据_利率互换_FR007_1年!$A$6:$C$4395,3,0),"")</f>
        <v>1.6144</v>
      </c>
    </row>
    <row r="6495" spans="1:9">
      <c r="A6495" s="6">
        <v>45988</v>
      </c>
      <c r="B6495">
        <f>IFERROR(VLOOKUP($A6495,原始数据_收盘!$A$4:$G$3460,2,0),"")</f>
        <v>1.555</v>
      </c>
      <c r="C6495">
        <f>IFERROR(VLOOKUP($A6495,原始数据_收盘!$A$4:$G$3460,3,0),"")</f>
        <v>1.6225</v>
      </c>
      <c r="D6495">
        <f>IFERROR(VLOOKUP($A6495,原始数据_收盘!$A$4:$G$3460,4,0),"")</f>
        <v>1.5575</v>
      </c>
      <c r="E6495">
        <f>IFERROR(VLOOKUP($A6495,原始数据_收盘!$A$4:$G$3460,5,0),"")</f>
        <v>1.625</v>
      </c>
      <c r="F6495">
        <f>IFERROR(VLOOKUP($A6495,原始数据_收盘!$A$4:$G$3460,6,0),"")</f>
        <v>1.5563</v>
      </c>
      <c r="G6495">
        <f>IFERROR(VLOOKUP($A6495,原始数据_收盘!$A$4:$G$3460,7,0),"")</f>
        <v>1.6238</v>
      </c>
      <c r="H6495">
        <f>IFERROR(VLOOKUP($A6495,原始数据_利率互换_FR007_1年!$A$6:$C$4395,2,0),"")</f>
        <v>1.5546</v>
      </c>
      <c r="I6495">
        <f>IFERROR(VLOOKUP($A6495,原始数据_利率互换_FR007_1年!$A$6:$C$4395,3,0),"")</f>
        <v>1.6201</v>
      </c>
    </row>
    <row r="6496" spans="1:9">
      <c r="A6496" s="6">
        <v>45989</v>
      </c>
      <c r="B6496">
        <f>IFERROR(VLOOKUP($A6496,原始数据_收盘!$A$4:$G$3460,2,0),"")</f>
        <v>1.5475</v>
      </c>
      <c r="C6496">
        <f>IFERROR(VLOOKUP($A6496,原始数据_收盘!$A$4:$G$3460,3,0),"")</f>
        <v>1.615</v>
      </c>
      <c r="D6496">
        <f>IFERROR(VLOOKUP($A6496,原始数据_收盘!$A$4:$G$3460,4,0),"")</f>
        <v>1.55</v>
      </c>
      <c r="E6496">
        <f>IFERROR(VLOOKUP($A6496,原始数据_收盘!$A$4:$G$3460,5,0),"")</f>
        <v>1.6175</v>
      </c>
      <c r="F6496">
        <f>IFERROR(VLOOKUP($A6496,原始数据_收盘!$A$4:$G$3460,6,0),"")</f>
        <v>1.5488</v>
      </c>
      <c r="G6496">
        <f>IFERROR(VLOOKUP($A6496,原始数据_收盘!$A$4:$G$3460,7,0),"")</f>
        <v>1.6163</v>
      </c>
      <c r="H6496">
        <f>IFERROR(VLOOKUP($A6496,原始数据_利率互换_FR007_1年!$A$6:$C$4395,2,0),"")</f>
        <v>1.5503</v>
      </c>
      <c r="I6496">
        <f>IFERROR(VLOOKUP($A6496,原始数据_利率互换_FR007_1年!$A$6:$C$4395,3,0),"")</f>
        <v>1.6161</v>
      </c>
    </row>
    <row r="6497" spans="1:9">
      <c r="A6497" s="6">
        <v>45990</v>
      </c>
      <c r="B6497" t="str">
        <f>IFERROR(VLOOKUP($A6497,原始数据_收盘!$A$4:$G$3460,2,0),"")</f>
        <v/>
      </c>
      <c r="C6497" t="str">
        <f>IFERROR(VLOOKUP($A6497,原始数据_收盘!$A$4:$G$3460,3,0),"")</f>
        <v/>
      </c>
      <c r="D6497" t="str">
        <f>IFERROR(VLOOKUP($A6497,原始数据_收盘!$A$4:$G$3460,4,0),"")</f>
        <v/>
      </c>
      <c r="E6497" t="str">
        <f>IFERROR(VLOOKUP($A6497,原始数据_收盘!$A$4:$G$3460,5,0),"")</f>
        <v/>
      </c>
      <c r="F6497" t="str">
        <f>IFERROR(VLOOKUP($A6497,原始数据_收盘!$A$4:$G$3460,6,0),"")</f>
        <v/>
      </c>
      <c r="G6497" t="str">
        <f>IFERROR(VLOOKUP($A6497,原始数据_收盘!$A$4:$G$3460,7,0),"")</f>
        <v/>
      </c>
      <c r="H6497" t="str">
        <f>IFERROR(VLOOKUP($A6497,原始数据_利率互换_FR007_1年!$A$6:$C$4395,2,0),"")</f>
        <v/>
      </c>
      <c r="I6497" t="str">
        <f>IFERROR(VLOOKUP($A6497,原始数据_利率互换_FR007_1年!$A$6:$C$4395,3,0),"")</f>
        <v/>
      </c>
    </row>
    <row r="6498" spans="1:9">
      <c r="A6498" s="6">
        <v>45991</v>
      </c>
      <c r="B6498" t="str">
        <f>IFERROR(VLOOKUP($A6498,原始数据_收盘!$A$4:$G$3460,2,0),"")</f>
        <v/>
      </c>
      <c r="C6498" t="str">
        <f>IFERROR(VLOOKUP($A6498,原始数据_收盘!$A$4:$G$3460,3,0),"")</f>
        <v/>
      </c>
      <c r="D6498" t="str">
        <f>IFERROR(VLOOKUP($A6498,原始数据_收盘!$A$4:$G$3460,4,0),"")</f>
        <v/>
      </c>
      <c r="E6498" t="str">
        <f>IFERROR(VLOOKUP($A6498,原始数据_收盘!$A$4:$G$3460,5,0),"")</f>
        <v/>
      </c>
      <c r="F6498" t="str">
        <f>IFERROR(VLOOKUP($A6498,原始数据_收盘!$A$4:$G$3460,6,0),"")</f>
        <v/>
      </c>
      <c r="G6498" t="str">
        <f>IFERROR(VLOOKUP($A6498,原始数据_收盘!$A$4:$G$3460,7,0),"")</f>
        <v/>
      </c>
      <c r="H6498" t="str">
        <f>IFERROR(VLOOKUP($A6498,原始数据_利率互换_FR007_1年!$A$6:$C$4395,2,0),"")</f>
        <v/>
      </c>
      <c r="I6498" t="str">
        <f>IFERROR(VLOOKUP($A6498,原始数据_利率互换_FR007_1年!$A$6:$C$4395,3,0),"")</f>
        <v/>
      </c>
    </row>
    <row r="6499" spans="1:9">
      <c r="A6499" s="6">
        <v>45992</v>
      </c>
      <c r="B6499">
        <f>IFERROR(VLOOKUP($A6499,原始数据_收盘!$A$4:$G$3460,2,0),"")</f>
        <v>1.54</v>
      </c>
      <c r="C6499">
        <f>IFERROR(VLOOKUP($A6499,原始数据_收盘!$A$4:$G$3460,3,0),"")</f>
        <v>1.605</v>
      </c>
      <c r="D6499">
        <f>IFERROR(VLOOKUP($A6499,原始数据_收盘!$A$4:$G$3460,4,0),"")</f>
        <v>1.5425</v>
      </c>
      <c r="E6499">
        <f>IFERROR(VLOOKUP($A6499,原始数据_收盘!$A$4:$G$3460,5,0),"")</f>
        <v>1.6075</v>
      </c>
      <c r="F6499">
        <f>IFERROR(VLOOKUP($A6499,原始数据_收盘!$A$4:$G$3460,6,0),"")</f>
        <v>1.5413</v>
      </c>
      <c r="G6499">
        <f>IFERROR(VLOOKUP($A6499,原始数据_收盘!$A$4:$G$3460,7,0),"")</f>
        <v>1.6063</v>
      </c>
      <c r="H6499">
        <f>IFERROR(VLOOKUP($A6499,原始数据_利率互换_FR007_1年!$A$6:$C$4395,2,0),"")</f>
        <v>1.5393</v>
      </c>
      <c r="I6499">
        <f>IFERROR(VLOOKUP($A6499,原始数据_利率互换_FR007_1年!$A$6:$C$4395,3,0),"")</f>
        <v>1.6049</v>
      </c>
    </row>
    <row r="6500" spans="1:9">
      <c r="A6500" s="6">
        <v>45993</v>
      </c>
      <c r="B6500">
        <f>IFERROR(VLOOKUP($A6500,原始数据_收盘!$A$4:$G$3460,2,0),"")</f>
        <v>1.5404</v>
      </c>
      <c r="C6500">
        <f>IFERROR(VLOOKUP($A6500,原始数据_收盘!$A$4:$G$3460,3,0),"")</f>
        <v>1.615</v>
      </c>
      <c r="D6500">
        <f>IFERROR(VLOOKUP($A6500,原始数据_收盘!$A$4:$G$3460,4,0),"")</f>
        <v>1.5429</v>
      </c>
      <c r="E6500">
        <f>IFERROR(VLOOKUP($A6500,原始数据_收盘!$A$4:$G$3460,5,0),"")</f>
        <v>1.6175</v>
      </c>
      <c r="F6500">
        <f>IFERROR(VLOOKUP($A6500,原始数据_收盘!$A$4:$G$3460,6,0),"")</f>
        <v>1.5416</v>
      </c>
      <c r="G6500">
        <f>IFERROR(VLOOKUP($A6500,原始数据_收盘!$A$4:$G$3460,7,0),"")</f>
        <v>1.6163</v>
      </c>
      <c r="H6500">
        <f>IFERROR(VLOOKUP($A6500,原始数据_利率互换_FR007_1年!$A$6:$C$4395,2,0),"")</f>
        <v>1.5415</v>
      </c>
      <c r="I6500">
        <f>IFERROR(VLOOKUP($A6500,原始数据_利率互换_FR007_1年!$A$6:$C$4395,3,0),"")</f>
        <v>1.6135</v>
      </c>
    </row>
    <row r="6501" spans="1:9">
      <c r="A6501" s="6">
        <v>45994</v>
      </c>
      <c r="B6501">
        <f>IFERROR(VLOOKUP($A6501,原始数据_收盘!$A$4:$G$3460,2,0),"")</f>
        <v>1.535</v>
      </c>
      <c r="C6501">
        <f>IFERROR(VLOOKUP($A6501,原始数据_收盘!$A$4:$G$3460,3,0),"")</f>
        <v>1.6099</v>
      </c>
      <c r="D6501">
        <f>IFERROR(VLOOKUP($A6501,原始数据_收盘!$A$4:$G$3460,4,0),"")</f>
        <v>1.5375</v>
      </c>
      <c r="E6501">
        <f>IFERROR(VLOOKUP($A6501,原始数据_收盘!$A$4:$G$3460,5,0),"")</f>
        <v>1.6125</v>
      </c>
      <c r="F6501">
        <f>IFERROR(VLOOKUP($A6501,原始数据_收盘!$A$4:$G$3460,6,0),"")</f>
        <v>1.5363</v>
      </c>
      <c r="G6501">
        <f>IFERROR(VLOOKUP($A6501,原始数据_收盘!$A$4:$G$3460,7,0),"")</f>
        <v>1.6112</v>
      </c>
      <c r="H6501">
        <f>IFERROR(VLOOKUP($A6501,原始数据_利率互换_FR007_1年!$A$6:$C$4395,2,0),"")</f>
        <v>1.5376</v>
      </c>
      <c r="I6501">
        <f>IFERROR(VLOOKUP($A6501,原始数据_利率互换_FR007_1年!$A$6:$C$4395,3,0),"")</f>
        <v>1.6098</v>
      </c>
    </row>
    <row r="6502" spans="1:9">
      <c r="A6502" s="6">
        <v>45995</v>
      </c>
      <c r="B6502">
        <f>IFERROR(VLOOKUP($A6502,原始数据_收盘!$A$4:$G$3460,2,0),"")</f>
        <v>1.545</v>
      </c>
      <c r="C6502">
        <f>IFERROR(VLOOKUP($A6502,原始数据_收盘!$A$4:$G$3460,3,0),"")</f>
        <v>1.6375</v>
      </c>
      <c r="D6502">
        <f>IFERROR(VLOOKUP($A6502,原始数据_收盘!$A$4:$G$3460,4,0),"")</f>
        <v>1.5475</v>
      </c>
      <c r="E6502">
        <f>IFERROR(VLOOKUP($A6502,原始数据_收盘!$A$4:$G$3460,5,0),"")</f>
        <v>1.64</v>
      </c>
      <c r="F6502">
        <f>IFERROR(VLOOKUP($A6502,原始数据_收盘!$A$4:$G$3460,6,0),"")</f>
        <v>1.5463</v>
      </c>
      <c r="G6502">
        <f>IFERROR(VLOOKUP($A6502,原始数据_收盘!$A$4:$G$3460,7,0),"")</f>
        <v>1.6388</v>
      </c>
      <c r="H6502">
        <f>IFERROR(VLOOKUP($A6502,原始数据_利率互换_FR007_1年!$A$6:$C$4395,2,0),"")</f>
        <v>1.5423</v>
      </c>
      <c r="I6502">
        <f>IFERROR(VLOOKUP($A6502,原始数据_利率互换_FR007_1年!$A$6:$C$4395,3,0),"")</f>
        <v>1.6307</v>
      </c>
    </row>
    <row r="6503" spans="1:9">
      <c r="A6503" s="6">
        <v>45996</v>
      </c>
      <c r="B6503">
        <f>IFERROR(VLOOKUP($A6503,原始数据_收盘!$A$4:$G$3460,2,0),"")</f>
        <v>1.5392</v>
      </c>
      <c r="C6503">
        <f>IFERROR(VLOOKUP($A6503,原始数据_收盘!$A$4:$G$3460,3,0),"")</f>
        <v>1.6339</v>
      </c>
      <c r="D6503">
        <f>IFERROR(VLOOKUP($A6503,原始数据_收盘!$A$4:$G$3460,4,0),"")</f>
        <v>1.5418</v>
      </c>
      <c r="E6503">
        <f>IFERROR(VLOOKUP($A6503,原始数据_收盘!$A$4:$G$3460,5,0),"")</f>
        <v>1.636</v>
      </c>
      <c r="F6503">
        <f>IFERROR(VLOOKUP($A6503,原始数据_收盘!$A$4:$G$3460,6,0),"")</f>
        <v>1.5405</v>
      </c>
      <c r="G6503">
        <f>IFERROR(VLOOKUP($A6503,原始数据_收盘!$A$4:$G$3460,7,0),"")</f>
        <v>1.6349</v>
      </c>
      <c r="H6503">
        <f>IFERROR(VLOOKUP($A6503,原始数据_利率互换_FR007_1年!$A$6:$C$4395,2,0),"")</f>
        <v>1.5391</v>
      </c>
      <c r="I6503">
        <f>IFERROR(VLOOKUP($A6503,原始数据_利率互换_FR007_1年!$A$6:$C$4395,3,0),"")</f>
        <v>1.6327</v>
      </c>
    </row>
    <row r="6504" spans="1:9">
      <c r="A6504" s="6">
        <v>45997</v>
      </c>
      <c r="B6504" t="str">
        <f>IFERROR(VLOOKUP($A6504,原始数据_收盘!$A$4:$G$3460,2,0),"")</f>
        <v/>
      </c>
      <c r="C6504" t="str">
        <f>IFERROR(VLOOKUP($A6504,原始数据_收盘!$A$4:$G$3460,3,0),"")</f>
        <v/>
      </c>
      <c r="D6504" t="str">
        <f>IFERROR(VLOOKUP($A6504,原始数据_收盘!$A$4:$G$3460,4,0),"")</f>
        <v/>
      </c>
      <c r="E6504" t="str">
        <f>IFERROR(VLOOKUP($A6504,原始数据_收盘!$A$4:$G$3460,5,0),"")</f>
        <v/>
      </c>
      <c r="F6504" t="str">
        <f>IFERROR(VLOOKUP($A6504,原始数据_收盘!$A$4:$G$3460,6,0),"")</f>
        <v/>
      </c>
      <c r="G6504" t="str">
        <f>IFERROR(VLOOKUP($A6504,原始数据_收盘!$A$4:$G$3460,7,0),"")</f>
        <v/>
      </c>
      <c r="H6504" t="str">
        <f>IFERROR(VLOOKUP($A6504,原始数据_利率互换_FR007_1年!$A$6:$C$4395,2,0),"")</f>
        <v/>
      </c>
      <c r="I6504" t="str">
        <f>IFERROR(VLOOKUP($A6504,原始数据_利率互换_FR007_1年!$A$6:$C$4395,3,0),"")</f>
        <v/>
      </c>
    </row>
    <row r="6505" spans="1:9">
      <c r="A6505" s="6">
        <v>45998</v>
      </c>
      <c r="B6505" t="str">
        <f>IFERROR(VLOOKUP($A6505,原始数据_收盘!$A$4:$G$3460,2,0),"")</f>
        <v/>
      </c>
      <c r="C6505" t="str">
        <f>IFERROR(VLOOKUP($A6505,原始数据_收盘!$A$4:$G$3460,3,0),"")</f>
        <v/>
      </c>
      <c r="D6505" t="str">
        <f>IFERROR(VLOOKUP($A6505,原始数据_收盘!$A$4:$G$3460,4,0),"")</f>
        <v/>
      </c>
      <c r="E6505" t="str">
        <f>IFERROR(VLOOKUP($A6505,原始数据_收盘!$A$4:$G$3460,5,0),"")</f>
        <v/>
      </c>
      <c r="F6505" t="str">
        <f>IFERROR(VLOOKUP($A6505,原始数据_收盘!$A$4:$G$3460,6,0),"")</f>
        <v/>
      </c>
      <c r="G6505" t="str">
        <f>IFERROR(VLOOKUP($A6505,原始数据_收盘!$A$4:$G$3460,7,0),"")</f>
        <v/>
      </c>
      <c r="H6505" t="str">
        <f>IFERROR(VLOOKUP($A6505,原始数据_利率互换_FR007_1年!$A$6:$C$4395,2,0),"")</f>
        <v/>
      </c>
      <c r="I6505" t="str">
        <f>IFERROR(VLOOKUP($A6505,原始数据_利率互换_FR007_1年!$A$6:$C$4395,3,0),"")</f>
        <v/>
      </c>
    </row>
    <row r="6506" spans="1:9">
      <c r="A6506" s="6">
        <v>45999</v>
      </c>
      <c r="B6506">
        <f>IFERROR(VLOOKUP($A6506,原始数据_收盘!$A$4:$G$3460,2,0),"")</f>
        <v>1.5425</v>
      </c>
      <c r="C6506">
        <f>IFERROR(VLOOKUP($A6506,原始数据_收盘!$A$4:$G$3460,3,0),"")</f>
        <v>1.635</v>
      </c>
      <c r="D6506">
        <f>IFERROR(VLOOKUP($A6506,原始数据_收盘!$A$4:$G$3460,4,0),"")</f>
        <v>1.545</v>
      </c>
      <c r="E6506">
        <f>IFERROR(VLOOKUP($A6506,原始数据_收盘!$A$4:$G$3460,5,0),"")</f>
        <v>1.6375</v>
      </c>
      <c r="F6506">
        <f>IFERROR(VLOOKUP($A6506,原始数据_收盘!$A$4:$G$3460,6,0),"")</f>
        <v>1.5438</v>
      </c>
      <c r="G6506">
        <f>IFERROR(VLOOKUP($A6506,原始数据_收盘!$A$4:$G$3460,7,0),"")</f>
        <v>1.6363</v>
      </c>
      <c r="H6506">
        <f>IFERROR(VLOOKUP($A6506,原始数据_利率互换_FR007_1年!$A$6:$C$4395,2,0),"")</f>
        <v>1.5441</v>
      </c>
      <c r="I6506">
        <f>IFERROR(VLOOKUP($A6506,原始数据_利率互换_FR007_1年!$A$6:$C$4395,3,0),"")</f>
        <v>1.639</v>
      </c>
    </row>
    <row r="6507" spans="1:9">
      <c r="A6507" s="6">
        <v>46000</v>
      </c>
      <c r="B6507">
        <f>IFERROR(VLOOKUP($A6507,原始数据_收盘!$A$4:$G$3460,2,0),"")</f>
        <v>1.5413</v>
      </c>
      <c r="C6507">
        <f>IFERROR(VLOOKUP($A6507,原始数据_收盘!$A$4:$G$3460,3,0),"")</f>
        <v>1.6325</v>
      </c>
      <c r="D6507">
        <f>IFERROR(VLOOKUP($A6507,原始数据_收盘!$A$4:$G$3460,4,0),"")</f>
        <v>1.5425</v>
      </c>
      <c r="E6507">
        <f>IFERROR(VLOOKUP($A6507,原始数据_收盘!$A$4:$G$3460,5,0),"")</f>
        <v>1.635</v>
      </c>
      <c r="F6507">
        <f>IFERROR(VLOOKUP($A6507,原始数据_收盘!$A$4:$G$3460,6,0),"")</f>
        <v>1.5419</v>
      </c>
      <c r="G6507">
        <f>IFERROR(VLOOKUP($A6507,原始数据_收盘!$A$4:$G$3460,7,0),"")</f>
        <v>1.6338</v>
      </c>
      <c r="H6507">
        <f>IFERROR(VLOOKUP($A6507,原始数据_利率互换_FR007_1年!$A$6:$C$4395,2,0),"")</f>
        <v>1.541</v>
      </c>
      <c r="I6507">
        <f>IFERROR(VLOOKUP($A6507,原始数据_利率互换_FR007_1年!$A$6:$C$4395,3,0),"")</f>
        <v>1.633</v>
      </c>
    </row>
    <row r="6508" spans="1:9">
      <c r="A6508" s="6">
        <v>46001</v>
      </c>
      <c r="B6508">
        <f>IFERROR(VLOOKUP($A6508,原始数据_收盘!$A$4:$G$3460,2,0),"")</f>
        <v>1.5419</v>
      </c>
      <c r="C6508">
        <f>IFERROR(VLOOKUP($A6508,原始数据_收盘!$A$4:$G$3460,3,0),"")</f>
        <v>1.6325</v>
      </c>
      <c r="D6508">
        <f>IFERROR(VLOOKUP($A6508,原始数据_收盘!$A$4:$G$3460,4,0),"")</f>
        <v>1.5425</v>
      </c>
      <c r="E6508">
        <f>IFERROR(VLOOKUP($A6508,原始数据_收盘!$A$4:$G$3460,5,0),"")</f>
        <v>1.635</v>
      </c>
      <c r="F6508">
        <f>IFERROR(VLOOKUP($A6508,原始数据_收盘!$A$4:$G$3460,6,0),"")</f>
        <v>1.5422</v>
      </c>
      <c r="G6508">
        <f>IFERROR(VLOOKUP($A6508,原始数据_收盘!$A$4:$G$3460,7,0),"")</f>
        <v>1.6338</v>
      </c>
      <c r="H6508">
        <f>IFERROR(VLOOKUP($A6508,原始数据_利率互换_FR007_1年!$A$6:$C$4395,2,0),"")</f>
        <v>1.5407</v>
      </c>
      <c r="I6508">
        <f>IFERROR(VLOOKUP($A6508,原始数据_利率互换_FR007_1年!$A$6:$C$4395,3,0),"")</f>
        <v>1.6342</v>
      </c>
    </row>
    <row r="6509" spans="1:9">
      <c r="A6509" s="6">
        <v>46002</v>
      </c>
      <c r="B6509">
        <f>IFERROR(VLOOKUP($A6509,原始数据_收盘!$A$4:$G$3460,2,0),"")</f>
        <v>1.54</v>
      </c>
      <c r="C6509">
        <f>IFERROR(VLOOKUP($A6509,原始数据_收盘!$A$4:$G$3460,3,0),"")</f>
        <v>1.6175</v>
      </c>
      <c r="D6509">
        <f>IFERROR(VLOOKUP($A6509,原始数据_收盘!$A$4:$G$3460,4,0),"")</f>
        <v>1.5425</v>
      </c>
      <c r="E6509">
        <f>IFERROR(VLOOKUP($A6509,原始数据_收盘!$A$4:$G$3460,5,0),"")</f>
        <v>1.62</v>
      </c>
      <c r="F6509">
        <f>IFERROR(VLOOKUP($A6509,原始数据_收盘!$A$4:$G$3460,6,0),"")</f>
        <v>1.5413</v>
      </c>
      <c r="G6509">
        <f>IFERROR(VLOOKUP($A6509,原始数据_收盘!$A$4:$G$3460,7,0),"")</f>
        <v>1.6188</v>
      </c>
      <c r="H6509">
        <f>IFERROR(VLOOKUP($A6509,原始数据_利率互换_FR007_1年!$A$6:$C$4395,2,0),"")</f>
        <v>1.5401</v>
      </c>
      <c r="I6509">
        <f>IFERROR(VLOOKUP($A6509,原始数据_利率互换_FR007_1年!$A$6:$C$4395,3,0),"")</f>
        <v>1.622</v>
      </c>
    </row>
    <row r="6510" spans="1:9">
      <c r="A6510" s="6">
        <v>46003</v>
      </c>
      <c r="B6510">
        <f>IFERROR(VLOOKUP($A6510,原始数据_收盘!$A$4:$G$3460,2,0),"")</f>
        <v>1.5375</v>
      </c>
      <c r="C6510">
        <f>IFERROR(VLOOKUP($A6510,原始数据_收盘!$A$4:$G$3460,3,0),"")</f>
        <v>1.6325</v>
      </c>
      <c r="D6510">
        <f>IFERROR(VLOOKUP($A6510,原始数据_收盘!$A$4:$G$3460,4,0),"")</f>
        <v>1.54</v>
      </c>
      <c r="E6510">
        <f>IFERROR(VLOOKUP($A6510,原始数据_收盘!$A$4:$G$3460,5,0),"")</f>
        <v>1.635</v>
      </c>
      <c r="F6510">
        <f>IFERROR(VLOOKUP($A6510,原始数据_收盘!$A$4:$G$3460,6,0),"")</f>
        <v>1.5388</v>
      </c>
      <c r="G6510">
        <f>IFERROR(VLOOKUP($A6510,原始数据_收盘!$A$4:$G$3460,7,0),"")</f>
        <v>1.6338</v>
      </c>
      <c r="H6510">
        <f>IFERROR(VLOOKUP($A6510,原始数据_利率互换_FR007_1年!$A$6:$C$4395,2,0),"")</f>
        <v>1.5353</v>
      </c>
      <c r="I6510">
        <f>IFERROR(VLOOKUP($A6510,原始数据_利率互换_FR007_1年!$A$6:$C$4395,3,0),"")</f>
        <v>1.619</v>
      </c>
    </row>
    <row r="6511" spans="1:9">
      <c r="A6511" s="6">
        <v>46004</v>
      </c>
      <c r="B6511" t="str">
        <f>IFERROR(VLOOKUP($A6511,原始数据_收盘!$A$4:$G$3460,2,0),"")</f>
        <v/>
      </c>
      <c r="C6511" t="str">
        <f>IFERROR(VLOOKUP($A6511,原始数据_收盘!$A$4:$G$3460,3,0),"")</f>
        <v/>
      </c>
      <c r="D6511" t="str">
        <f>IFERROR(VLOOKUP($A6511,原始数据_收盘!$A$4:$G$3460,4,0),"")</f>
        <v/>
      </c>
      <c r="E6511" t="str">
        <f>IFERROR(VLOOKUP($A6511,原始数据_收盘!$A$4:$G$3460,5,0),"")</f>
        <v/>
      </c>
      <c r="F6511" t="str">
        <f>IFERROR(VLOOKUP($A6511,原始数据_收盘!$A$4:$G$3460,6,0),"")</f>
        <v/>
      </c>
      <c r="G6511" t="str">
        <f>IFERROR(VLOOKUP($A6511,原始数据_收盘!$A$4:$G$3460,7,0),"")</f>
        <v/>
      </c>
      <c r="H6511" t="str">
        <f>IFERROR(VLOOKUP($A6511,原始数据_利率互换_FR007_1年!$A$6:$C$4395,2,0),"")</f>
        <v/>
      </c>
      <c r="I6511" t="str">
        <f>IFERROR(VLOOKUP($A6511,原始数据_利率互换_FR007_1年!$A$6:$C$4395,3,0),"")</f>
        <v/>
      </c>
    </row>
    <row r="6512" spans="1:9">
      <c r="A6512" s="6">
        <v>46005</v>
      </c>
      <c r="B6512" t="str">
        <f>IFERROR(VLOOKUP($A6512,原始数据_收盘!$A$4:$G$3460,2,0),"")</f>
        <v/>
      </c>
      <c r="C6512" t="str">
        <f>IFERROR(VLOOKUP($A6512,原始数据_收盘!$A$4:$G$3460,3,0),"")</f>
        <v/>
      </c>
      <c r="D6512" t="str">
        <f>IFERROR(VLOOKUP($A6512,原始数据_收盘!$A$4:$G$3460,4,0),"")</f>
        <v/>
      </c>
      <c r="E6512" t="str">
        <f>IFERROR(VLOOKUP($A6512,原始数据_收盘!$A$4:$G$3460,5,0),"")</f>
        <v/>
      </c>
      <c r="F6512" t="str">
        <f>IFERROR(VLOOKUP($A6512,原始数据_收盘!$A$4:$G$3460,6,0),"")</f>
        <v/>
      </c>
      <c r="G6512" t="str">
        <f>IFERROR(VLOOKUP($A6512,原始数据_收盘!$A$4:$G$3460,7,0),"")</f>
        <v/>
      </c>
      <c r="H6512" t="str">
        <f>IFERROR(VLOOKUP($A6512,原始数据_利率互换_FR007_1年!$A$6:$C$4395,2,0),"")</f>
        <v/>
      </c>
      <c r="I6512" t="str">
        <f>IFERROR(VLOOKUP($A6512,原始数据_利率互换_FR007_1年!$A$6:$C$4395,3,0),"")</f>
        <v/>
      </c>
    </row>
    <row r="6513" spans="1:9">
      <c r="A6513" s="6">
        <v>46006</v>
      </c>
      <c r="B6513">
        <f>IFERROR(VLOOKUP($A6513,原始数据_收盘!$A$4:$G$3460,2,0),"")</f>
        <v>1.54</v>
      </c>
      <c r="C6513">
        <f>IFERROR(VLOOKUP($A6513,原始数据_收盘!$A$4:$G$3460,3,0),"")</f>
        <v>1.6325</v>
      </c>
      <c r="D6513">
        <f>IFERROR(VLOOKUP($A6513,原始数据_收盘!$A$4:$G$3460,4,0),"")</f>
        <v>1.5425</v>
      </c>
      <c r="E6513">
        <f>IFERROR(VLOOKUP($A6513,原始数据_收盘!$A$4:$G$3460,5,0),"")</f>
        <v>1.635</v>
      </c>
      <c r="F6513">
        <f>IFERROR(VLOOKUP($A6513,原始数据_收盘!$A$4:$G$3460,6,0),"")</f>
        <v>1.5413</v>
      </c>
      <c r="G6513">
        <f>IFERROR(VLOOKUP($A6513,原始数据_收盘!$A$4:$G$3460,7,0),"")</f>
        <v>1.6338</v>
      </c>
      <c r="H6513">
        <f>IFERROR(VLOOKUP($A6513,原始数据_利率互换_FR007_1年!$A$6:$C$4395,2,0),"")</f>
        <v>1.5401</v>
      </c>
      <c r="I6513">
        <f>IFERROR(VLOOKUP($A6513,原始数据_利率互换_FR007_1年!$A$6:$C$4395,3,0),"")</f>
        <v>1.633</v>
      </c>
    </row>
    <row r="6514" spans="1:9">
      <c r="A6514" s="6">
        <v>46007</v>
      </c>
      <c r="B6514">
        <f>IFERROR(VLOOKUP($A6514,原始数据_收盘!$A$4:$G$3460,2,0),"")</f>
        <v>1.5375</v>
      </c>
      <c r="C6514">
        <f>IFERROR(VLOOKUP($A6514,原始数据_收盘!$A$4:$G$3460,3,0),"")</f>
        <v>1.63</v>
      </c>
      <c r="D6514">
        <f>IFERROR(VLOOKUP($A6514,原始数据_收盘!$A$4:$G$3460,4,0),"")</f>
        <v>1.54</v>
      </c>
      <c r="E6514">
        <f>IFERROR(VLOOKUP($A6514,原始数据_收盘!$A$4:$G$3460,5,0),"")</f>
        <v>1.6325</v>
      </c>
      <c r="F6514">
        <f>IFERROR(VLOOKUP($A6514,原始数据_收盘!$A$4:$G$3460,6,0),"")</f>
        <v>1.5388</v>
      </c>
      <c r="G6514">
        <f>IFERROR(VLOOKUP($A6514,原始数据_收盘!$A$4:$G$3460,7,0),"")</f>
        <v>1.6313</v>
      </c>
      <c r="H6514">
        <f>IFERROR(VLOOKUP($A6514,原始数据_利率互换_FR007_1年!$A$6:$C$4395,2,0),"")</f>
        <v>1.5388</v>
      </c>
      <c r="I6514">
        <f>IFERROR(VLOOKUP($A6514,原始数据_利率互换_FR007_1年!$A$6:$C$4395,3,0),"")</f>
        <v>1.6321</v>
      </c>
    </row>
    <row r="6515" spans="1:9">
      <c r="A6515" s="6">
        <v>46008</v>
      </c>
      <c r="B6515">
        <f>IFERROR(VLOOKUP($A6515,原始数据_收盘!$A$4:$G$3460,2,0),"")</f>
        <v>1.5238</v>
      </c>
      <c r="C6515">
        <f>IFERROR(VLOOKUP($A6515,原始数据_收盘!$A$4:$G$3460,3,0),"")</f>
        <v>1.6175</v>
      </c>
      <c r="D6515">
        <f>IFERROR(VLOOKUP($A6515,原始数据_收盘!$A$4:$G$3460,4,0),"")</f>
        <v>1.525</v>
      </c>
      <c r="E6515">
        <f>IFERROR(VLOOKUP($A6515,原始数据_收盘!$A$4:$G$3460,5,0),"")</f>
        <v>1.6203</v>
      </c>
      <c r="F6515">
        <f>IFERROR(VLOOKUP($A6515,原始数据_收盘!$A$4:$G$3460,6,0),"")</f>
        <v>1.5244</v>
      </c>
      <c r="G6515">
        <f>IFERROR(VLOOKUP($A6515,原始数据_收盘!$A$4:$G$3460,7,0),"")</f>
        <v>1.6189</v>
      </c>
      <c r="H6515">
        <f>IFERROR(VLOOKUP($A6515,原始数据_利率互换_FR007_1年!$A$6:$C$4395,2,0),"")</f>
        <v>1.5296</v>
      </c>
      <c r="I6515">
        <f>IFERROR(VLOOKUP($A6515,原始数据_利率互换_FR007_1年!$A$6:$C$4395,3,0),"")</f>
        <v>1.6246</v>
      </c>
    </row>
    <row r="6516" spans="1:9">
      <c r="A6516" s="6">
        <v>46009</v>
      </c>
      <c r="B6516">
        <f>IFERROR(VLOOKUP($A6516,原始数据_收盘!$A$4:$G$3460,2,0),"")</f>
        <v>1.505</v>
      </c>
      <c r="C6516">
        <f>IFERROR(VLOOKUP($A6516,原始数据_收盘!$A$4:$G$3460,3,0),"")</f>
        <v>1.61</v>
      </c>
      <c r="D6516">
        <f>IFERROR(VLOOKUP($A6516,原始数据_收盘!$A$4:$G$3460,4,0),"")</f>
        <v>1.5075</v>
      </c>
      <c r="E6516">
        <f>IFERROR(VLOOKUP($A6516,原始数据_收盘!$A$4:$G$3460,5,0),"")</f>
        <v>1.6125</v>
      </c>
      <c r="F6516">
        <f>IFERROR(VLOOKUP($A6516,原始数据_收盘!$A$4:$G$3460,6,0),"")</f>
        <v>1.5063</v>
      </c>
      <c r="G6516">
        <f>IFERROR(VLOOKUP($A6516,原始数据_收盘!$A$4:$G$3460,7,0),"")</f>
        <v>1.6113</v>
      </c>
      <c r="H6516">
        <f>IFERROR(VLOOKUP($A6516,原始数据_利率互换_FR007_1年!$A$6:$C$4395,2,0),"")</f>
        <v>1.5108</v>
      </c>
      <c r="I6516">
        <f>IFERROR(VLOOKUP($A6516,原始数据_利率互换_FR007_1年!$A$6:$C$4395,3,0),"")</f>
        <v>1.6144</v>
      </c>
    </row>
    <row r="6517" spans="1:9">
      <c r="A6517" s="6">
        <v>46010</v>
      </c>
      <c r="B6517">
        <f>IFERROR(VLOOKUP($A6517,原始数据_收盘!$A$4:$G$3460,2,0),"")</f>
        <v>1.485</v>
      </c>
      <c r="C6517">
        <f>IFERROR(VLOOKUP($A6517,原始数据_收盘!$A$4:$G$3460,3,0),"")</f>
        <v>1.595</v>
      </c>
      <c r="D6517">
        <f>IFERROR(VLOOKUP($A6517,原始数据_收盘!$A$4:$G$3460,4,0),"")</f>
        <v>1.4875</v>
      </c>
      <c r="E6517">
        <f>IFERROR(VLOOKUP($A6517,原始数据_收盘!$A$4:$G$3460,5,0),"")</f>
        <v>1.5975</v>
      </c>
      <c r="F6517">
        <f>IFERROR(VLOOKUP($A6517,原始数据_收盘!$A$4:$G$3460,6,0),"")</f>
        <v>1.4863</v>
      </c>
      <c r="G6517">
        <f>IFERROR(VLOOKUP($A6517,原始数据_收盘!$A$4:$G$3460,7,0),"")</f>
        <v>1.5963</v>
      </c>
      <c r="H6517">
        <f>IFERROR(VLOOKUP($A6517,原始数据_利率互换_FR007_1年!$A$6:$C$4395,2,0),"")</f>
        <v>1.4929</v>
      </c>
      <c r="I6517">
        <f>IFERROR(VLOOKUP($A6517,原始数据_利率互换_FR007_1年!$A$6:$C$4395,3,0),"")</f>
        <v>1.6003</v>
      </c>
    </row>
    <row r="6518" spans="1:9">
      <c r="A6518" s="6">
        <v>46011</v>
      </c>
      <c r="B6518" t="str">
        <f>IFERROR(VLOOKUP($A6518,原始数据_收盘!$A$4:$G$3460,2,0),"")</f>
        <v/>
      </c>
      <c r="C6518" t="str">
        <f>IFERROR(VLOOKUP($A6518,原始数据_收盘!$A$4:$G$3460,3,0),"")</f>
        <v/>
      </c>
      <c r="D6518" t="str">
        <f>IFERROR(VLOOKUP($A6518,原始数据_收盘!$A$4:$G$3460,4,0),"")</f>
        <v/>
      </c>
      <c r="E6518" t="str">
        <f>IFERROR(VLOOKUP($A6518,原始数据_收盘!$A$4:$G$3460,5,0),"")</f>
        <v/>
      </c>
      <c r="F6518" t="str">
        <f>IFERROR(VLOOKUP($A6518,原始数据_收盘!$A$4:$G$3460,6,0),"")</f>
        <v/>
      </c>
      <c r="G6518" t="str">
        <f>IFERROR(VLOOKUP($A6518,原始数据_收盘!$A$4:$G$3460,7,0),"")</f>
        <v/>
      </c>
      <c r="H6518" t="str">
        <f>IFERROR(VLOOKUP($A6518,原始数据_利率互换_FR007_1年!$A$6:$C$4395,2,0),"")</f>
        <v/>
      </c>
      <c r="I6518" t="str">
        <f>IFERROR(VLOOKUP($A6518,原始数据_利率互换_FR007_1年!$A$6:$C$4395,3,0),"")</f>
        <v/>
      </c>
    </row>
    <row r="6519" spans="1:9">
      <c r="A6519" s="6">
        <v>46012</v>
      </c>
      <c r="B6519" t="str">
        <f>IFERROR(VLOOKUP($A6519,原始数据_收盘!$A$4:$G$3460,2,0),"")</f>
        <v/>
      </c>
      <c r="C6519" t="str">
        <f>IFERROR(VLOOKUP($A6519,原始数据_收盘!$A$4:$G$3460,3,0),"")</f>
        <v/>
      </c>
      <c r="D6519" t="str">
        <f>IFERROR(VLOOKUP($A6519,原始数据_收盘!$A$4:$G$3460,4,0),"")</f>
        <v/>
      </c>
      <c r="E6519" t="str">
        <f>IFERROR(VLOOKUP($A6519,原始数据_收盘!$A$4:$G$3460,5,0),"")</f>
        <v/>
      </c>
      <c r="F6519" t="str">
        <f>IFERROR(VLOOKUP($A6519,原始数据_收盘!$A$4:$G$3460,6,0),"")</f>
        <v/>
      </c>
      <c r="G6519" t="str">
        <f>IFERROR(VLOOKUP($A6519,原始数据_收盘!$A$4:$G$3460,7,0),"")</f>
        <v/>
      </c>
      <c r="H6519" t="str">
        <f>IFERROR(VLOOKUP($A6519,原始数据_利率互换_FR007_1年!$A$6:$C$4395,2,0),"")</f>
        <v/>
      </c>
      <c r="I6519" t="str">
        <f>IFERROR(VLOOKUP($A6519,原始数据_利率互换_FR007_1年!$A$6:$C$4395,3,0),"")</f>
        <v/>
      </c>
    </row>
    <row r="6520" spans="1:9">
      <c r="A6520" s="6">
        <v>46013</v>
      </c>
      <c r="B6520">
        <f>IFERROR(VLOOKUP($A6520,原始数据_收盘!$A$4:$G$3460,2,0),"")</f>
        <v>1.49</v>
      </c>
      <c r="C6520">
        <f>IFERROR(VLOOKUP($A6520,原始数据_收盘!$A$4:$G$3460,3,0),"")</f>
        <v>1.5925</v>
      </c>
      <c r="D6520">
        <f>IFERROR(VLOOKUP($A6520,原始数据_收盘!$A$4:$G$3460,4,0),"")</f>
        <v>1.4925</v>
      </c>
      <c r="E6520">
        <f>IFERROR(VLOOKUP($A6520,原始数据_收盘!$A$4:$G$3460,5,0),"")</f>
        <v>1.595</v>
      </c>
      <c r="F6520">
        <f>IFERROR(VLOOKUP($A6520,原始数据_收盘!$A$4:$G$3460,6,0),"")</f>
        <v>1.4913</v>
      </c>
      <c r="G6520">
        <f>IFERROR(VLOOKUP($A6520,原始数据_收盘!$A$4:$G$3460,7,0),"")</f>
        <v>1.5938</v>
      </c>
      <c r="H6520">
        <f>IFERROR(VLOOKUP($A6520,原始数据_利率互换_FR007_1年!$A$6:$C$4395,2,0),"")</f>
        <v>1.493</v>
      </c>
      <c r="I6520">
        <f>IFERROR(VLOOKUP($A6520,原始数据_利率互换_FR007_1年!$A$6:$C$4395,3,0),"")</f>
        <v>1.5982</v>
      </c>
    </row>
    <row r="6521" spans="1:9">
      <c r="A6521" s="6">
        <v>46014</v>
      </c>
      <c r="B6521">
        <f>IFERROR(VLOOKUP($A6521,原始数据_收盘!$A$4:$G$3460,2,0),"")</f>
        <v>1.49</v>
      </c>
      <c r="C6521">
        <f>IFERROR(VLOOKUP($A6521,原始数据_收盘!$A$4:$G$3460,3,0),"")</f>
        <v>1.585</v>
      </c>
      <c r="D6521">
        <f>IFERROR(VLOOKUP($A6521,原始数据_收盘!$A$4:$G$3460,4,0),"")</f>
        <v>1.4925</v>
      </c>
      <c r="E6521">
        <f>IFERROR(VLOOKUP($A6521,原始数据_收盘!$A$4:$G$3460,5,0),"")</f>
        <v>1.5875</v>
      </c>
      <c r="F6521">
        <f>IFERROR(VLOOKUP($A6521,原始数据_收盘!$A$4:$G$3460,6,0),"")</f>
        <v>1.4913</v>
      </c>
      <c r="G6521">
        <f>IFERROR(VLOOKUP($A6521,原始数据_收盘!$A$4:$G$3460,7,0),"")</f>
        <v>1.5863</v>
      </c>
      <c r="H6521">
        <f>IFERROR(VLOOKUP($A6521,原始数据_利率互换_FR007_1年!$A$6:$C$4395,2,0),"")</f>
        <v>1.4857</v>
      </c>
      <c r="I6521">
        <f>IFERROR(VLOOKUP($A6521,原始数据_利率互换_FR007_1年!$A$6:$C$4395,3,0),"")</f>
        <v>1.5843</v>
      </c>
    </row>
    <row r="6522" spans="1:9">
      <c r="A6522" s="6">
        <v>46015</v>
      </c>
      <c r="B6522">
        <f>IFERROR(VLOOKUP($A6522,原始数据_收盘!$A$4:$G$3460,2,0),"")</f>
        <v>1.485</v>
      </c>
      <c r="C6522">
        <f>IFERROR(VLOOKUP($A6522,原始数据_收盘!$A$4:$G$3460,3,0),"")</f>
        <v>1.58</v>
      </c>
      <c r="D6522">
        <f>IFERROR(VLOOKUP($A6522,原始数据_收盘!$A$4:$G$3460,4,0),"")</f>
        <v>1.4875</v>
      </c>
      <c r="E6522">
        <f>IFERROR(VLOOKUP($A6522,原始数据_收盘!$A$4:$G$3460,5,0),"")</f>
        <v>1.5825</v>
      </c>
      <c r="F6522">
        <f>IFERROR(VLOOKUP($A6522,原始数据_收盘!$A$4:$G$3460,6,0),"")</f>
        <v>1.4863</v>
      </c>
      <c r="G6522">
        <f>IFERROR(VLOOKUP($A6522,原始数据_收盘!$A$4:$G$3460,7,0),"")</f>
        <v>1.5813</v>
      </c>
      <c r="H6522">
        <f>IFERROR(VLOOKUP($A6522,原始数据_利率互换_FR007_1年!$A$6:$C$4395,2,0),"")</f>
        <v>1.4885</v>
      </c>
      <c r="I6522">
        <f>IFERROR(VLOOKUP($A6522,原始数据_利率互换_FR007_1年!$A$6:$C$4395,3,0),"")</f>
        <v>1.5837</v>
      </c>
    </row>
    <row r="6523" spans="1:9">
      <c r="A6523" s="6">
        <v>46016</v>
      </c>
      <c r="B6523">
        <f>IFERROR(VLOOKUP($A6523,原始数据_收盘!$A$4:$G$3460,2,0),"")</f>
        <v>1.4875</v>
      </c>
      <c r="C6523">
        <f>IFERROR(VLOOKUP($A6523,原始数据_收盘!$A$4:$G$3460,3,0),"")</f>
        <v>1.5863</v>
      </c>
      <c r="D6523">
        <f>IFERROR(VLOOKUP($A6523,原始数据_收盘!$A$4:$G$3460,4,0),"")</f>
        <v>1.49</v>
      </c>
      <c r="E6523">
        <f>IFERROR(VLOOKUP($A6523,原始数据_收盘!$A$4:$G$3460,5,0),"")</f>
        <v>1.5893</v>
      </c>
      <c r="F6523">
        <f>IFERROR(VLOOKUP($A6523,原始数据_收盘!$A$4:$G$3460,6,0),"")</f>
        <v>1.4888</v>
      </c>
      <c r="G6523">
        <f>IFERROR(VLOOKUP($A6523,原始数据_收盘!$A$4:$G$3460,7,0),"")</f>
        <v>1.5878</v>
      </c>
      <c r="H6523">
        <f>IFERROR(VLOOKUP($A6523,原始数据_利率互换_FR007_1年!$A$6:$C$4395,2,0),"")</f>
        <v>1.4875</v>
      </c>
      <c r="I6523">
        <f>IFERROR(VLOOKUP($A6523,原始数据_利率互换_FR007_1年!$A$6:$C$4395,3,0),"")</f>
        <v>1.5857</v>
      </c>
    </row>
    <row r="6524" spans="1:9">
      <c r="A6524" s="6">
        <v>46017</v>
      </c>
      <c r="B6524">
        <f>IFERROR(VLOOKUP($A6524,原始数据_收盘!$A$4:$G$3460,2,0),"")</f>
        <v>1.4825</v>
      </c>
      <c r="C6524">
        <f>IFERROR(VLOOKUP($A6524,原始数据_收盘!$A$4:$G$3460,3,0),"")</f>
        <v>1.5825</v>
      </c>
      <c r="D6524">
        <f>IFERROR(VLOOKUP($A6524,原始数据_收盘!$A$4:$G$3460,4,0),"")</f>
        <v>1.4866</v>
      </c>
      <c r="E6524">
        <f>IFERROR(VLOOKUP($A6524,原始数据_收盘!$A$4:$G$3460,5,0),"")</f>
        <v>1.585</v>
      </c>
      <c r="F6524">
        <f>IFERROR(VLOOKUP($A6524,原始数据_收盘!$A$4:$G$3460,6,0),"")</f>
        <v>1.4846</v>
      </c>
      <c r="G6524">
        <f>IFERROR(VLOOKUP($A6524,原始数据_收盘!$A$4:$G$3460,7,0),"")</f>
        <v>1.5838</v>
      </c>
      <c r="H6524">
        <f>IFERROR(VLOOKUP($A6524,原始数据_利率互换_FR007_1年!$A$6:$C$4395,2,0),"")</f>
        <v>1.4828</v>
      </c>
      <c r="I6524">
        <f>IFERROR(VLOOKUP($A6524,原始数据_利率互换_FR007_1年!$A$6:$C$4395,3,0),"")</f>
        <v>1.581</v>
      </c>
    </row>
    <row r="6525" spans="1:9">
      <c r="A6525" s="6">
        <v>46018</v>
      </c>
      <c r="B6525" t="str">
        <f>IFERROR(VLOOKUP($A6525,原始数据_收盘!$A$4:$G$3460,2,0),"")</f>
        <v/>
      </c>
      <c r="C6525" t="str">
        <f>IFERROR(VLOOKUP($A6525,原始数据_收盘!$A$4:$G$3460,3,0),"")</f>
        <v/>
      </c>
      <c r="D6525" t="str">
        <f>IFERROR(VLOOKUP($A6525,原始数据_收盘!$A$4:$G$3460,4,0),"")</f>
        <v/>
      </c>
      <c r="E6525" t="str">
        <f>IFERROR(VLOOKUP($A6525,原始数据_收盘!$A$4:$G$3460,5,0),"")</f>
        <v/>
      </c>
      <c r="F6525" t="str">
        <f>IFERROR(VLOOKUP($A6525,原始数据_收盘!$A$4:$G$3460,6,0),"")</f>
        <v/>
      </c>
      <c r="G6525" t="str">
        <f>IFERROR(VLOOKUP($A6525,原始数据_收盘!$A$4:$G$3460,7,0),"")</f>
        <v/>
      </c>
      <c r="H6525" t="str">
        <f>IFERROR(VLOOKUP($A6525,原始数据_利率互换_FR007_1年!$A$6:$C$4395,2,0),"")</f>
        <v/>
      </c>
      <c r="I6525" t="str">
        <f>IFERROR(VLOOKUP($A6525,原始数据_利率互换_FR007_1年!$A$6:$C$4395,3,0),"")</f>
        <v/>
      </c>
    </row>
    <row r="6526" spans="1:9">
      <c r="A6526" s="6">
        <v>46019</v>
      </c>
      <c r="B6526" t="str">
        <f>IFERROR(VLOOKUP($A6526,原始数据_收盘!$A$4:$G$3460,2,0),"")</f>
        <v/>
      </c>
      <c r="C6526" t="str">
        <f>IFERROR(VLOOKUP($A6526,原始数据_收盘!$A$4:$G$3460,3,0),"")</f>
        <v/>
      </c>
      <c r="D6526" t="str">
        <f>IFERROR(VLOOKUP($A6526,原始数据_收盘!$A$4:$G$3460,4,0),"")</f>
        <v/>
      </c>
      <c r="E6526" t="str">
        <f>IFERROR(VLOOKUP($A6526,原始数据_收盘!$A$4:$G$3460,5,0),"")</f>
        <v/>
      </c>
      <c r="F6526" t="str">
        <f>IFERROR(VLOOKUP($A6526,原始数据_收盘!$A$4:$G$3460,6,0),"")</f>
        <v/>
      </c>
      <c r="G6526" t="str">
        <f>IFERROR(VLOOKUP($A6526,原始数据_收盘!$A$4:$G$3460,7,0),"")</f>
        <v/>
      </c>
      <c r="H6526" t="str">
        <f>IFERROR(VLOOKUP($A6526,原始数据_利率互换_FR007_1年!$A$6:$C$4395,2,0),"")</f>
        <v/>
      </c>
      <c r="I6526" t="str">
        <f>IFERROR(VLOOKUP($A6526,原始数据_利率互换_FR007_1年!$A$6:$C$4395,3,0),"")</f>
        <v/>
      </c>
    </row>
    <row r="6527" spans="1:9">
      <c r="A6527" s="6">
        <v>46020</v>
      </c>
      <c r="B6527">
        <f>IFERROR(VLOOKUP($A6527,原始数据_收盘!$A$4:$G$3460,2,0),"")</f>
        <v>1.4975</v>
      </c>
      <c r="C6527">
        <f>IFERROR(VLOOKUP($A6527,原始数据_收盘!$A$4:$G$3460,3,0),"")</f>
        <v>1.605</v>
      </c>
      <c r="D6527">
        <f>IFERROR(VLOOKUP($A6527,原始数据_收盘!$A$4:$G$3460,4,0),"")</f>
        <v>1.5</v>
      </c>
      <c r="E6527">
        <f>IFERROR(VLOOKUP($A6527,原始数据_收盘!$A$4:$G$3460,5,0),"")</f>
        <v>1.6075</v>
      </c>
      <c r="F6527">
        <f>IFERROR(VLOOKUP($A6527,原始数据_收盘!$A$4:$G$3460,6,0),"")</f>
        <v>1.4988</v>
      </c>
      <c r="G6527">
        <f>IFERROR(VLOOKUP($A6527,原始数据_收盘!$A$4:$G$3460,7,0),"")</f>
        <v>1.6063</v>
      </c>
      <c r="H6527">
        <f>IFERROR(VLOOKUP($A6527,原始数据_利率互换_FR007_1年!$A$6:$C$4395,2,0),"")</f>
        <v>1.4978</v>
      </c>
      <c r="I6527">
        <f>IFERROR(VLOOKUP($A6527,原始数据_利率互换_FR007_1年!$A$6:$C$4395,3,0),"")</f>
        <v>1.6086</v>
      </c>
    </row>
    <row r="6528" spans="1:9">
      <c r="A6528" s="6">
        <v>46021</v>
      </c>
      <c r="B6528">
        <f>IFERROR(VLOOKUP($A6528,原始数据_收盘!$A$4:$G$3460,2,0),"")</f>
        <v>1.5</v>
      </c>
      <c r="C6528">
        <f>IFERROR(VLOOKUP($A6528,原始数据_收盘!$A$4:$G$3460,3,0),"")</f>
        <v>1.6125</v>
      </c>
      <c r="D6528">
        <f>IFERROR(VLOOKUP($A6528,原始数据_收盘!$A$4:$G$3460,4,0),"")</f>
        <v>1.5025</v>
      </c>
      <c r="E6528">
        <f>IFERROR(VLOOKUP($A6528,原始数据_收盘!$A$4:$G$3460,5,0),"")</f>
        <v>1.615</v>
      </c>
      <c r="F6528">
        <f>IFERROR(VLOOKUP($A6528,原始数据_收盘!$A$4:$G$3460,6,0),"")</f>
        <v>1.5013</v>
      </c>
      <c r="G6528">
        <f>IFERROR(VLOOKUP($A6528,原始数据_收盘!$A$4:$G$3460,7,0),"")</f>
        <v>1.6138</v>
      </c>
      <c r="H6528">
        <f>IFERROR(VLOOKUP($A6528,原始数据_利率互换_FR007_1年!$A$6:$C$4395,2,0),"")</f>
        <v>1.5003</v>
      </c>
      <c r="I6528">
        <f>IFERROR(VLOOKUP($A6528,原始数据_利率互换_FR007_1年!$A$6:$C$4395,3,0),"")</f>
        <v>1.607</v>
      </c>
    </row>
    <row r="6529" spans="1:9">
      <c r="A6529" s="6">
        <v>46022</v>
      </c>
      <c r="B6529">
        <f>IFERROR(VLOOKUP($A6529,原始数据_收盘!$A$4:$G$3460,2,0),"")</f>
        <v>1.497</v>
      </c>
      <c r="C6529">
        <f>IFERROR(VLOOKUP($A6529,原始数据_收盘!$A$4:$G$3460,3,0),"")</f>
        <v>1.6106</v>
      </c>
      <c r="D6529">
        <f>IFERROR(VLOOKUP($A6529,原始数据_收盘!$A$4:$G$3460,4,0),"")</f>
        <v>1.5</v>
      </c>
      <c r="E6529">
        <f>IFERROR(VLOOKUP($A6529,原始数据_收盘!$A$4:$G$3460,5,0),"")</f>
        <v>1.6127</v>
      </c>
      <c r="F6529">
        <f>IFERROR(VLOOKUP($A6529,原始数据_收盘!$A$4:$G$3460,6,0),"")</f>
        <v>1.4985</v>
      </c>
      <c r="G6529">
        <f>IFERROR(VLOOKUP($A6529,原始数据_收盘!$A$4:$G$3460,7,0),"")</f>
        <v>1.6116</v>
      </c>
      <c r="H6529">
        <f>IFERROR(VLOOKUP($A6529,原始数据_利率互换_FR007_1年!$A$6:$C$4395,2,0),"")</f>
        <v>1.5029</v>
      </c>
      <c r="I6529">
        <f>IFERROR(VLOOKUP($A6529,原始数据_利率互换_FR007_1年!$A$6:$C$4395,3,0),"")</f>
        <v>1.6184</v>
      </c>
    </row>
    <row r="6530" spans="1:9">
      <c r="A6530" s="6">
        <v>46023</v>
      </c>
      <c r="B6530" t="str">
        <f>IFERROR(VLOOKUP($A6530,原始数据_收盘!$A$4:$G$3460,2,0),"")</f>
        <v/>
      </c>
      <c r="C6530" t="str">
        <f>IFERROR(VLOOKUP($A6530,原始数据_收盘!$A$4:$G$3460,3,0),"")</f>
        <v/>
      </c>
      <c r="D6530" t="str">
        <f>IFERROR(VLOOKUP($A6530,原始数据_收盘!$A$4:$G$3460,4,0),"")</f>
        <v/>
      </c>
      <c r="E6530" t="str">
        <f>IFERROR(VLOOKUP($A6530,原始数据_收盘!$A$4:$G$3460,5,0),"")</f>
        <v/>
      </c>
      <c r="F6530" t="str">
        <f>IFERROR(VLOOKUP($A6530,原始数据_收盘!$A$4:$G$3460,6,0),"")</f>
        <v/>
      </c>
      <c r="G6530" t="str">
        <f>IFERROR(VLOOKUP($A6530,原始数据_收盘!$A$4:$G$3460,7,0),"")</f>
        <v/>
      </c>
      <c r="H6530" t="str">
        <f>IFERROR(VLOOKUP($A6530,原始数据_利率互换_FR007_1年!$A$6:$C$4395,2,0),"")</f>
        <v/>
      </c>
      <c r="I6530" t="str">
        <f>IFERROR(VLOOKUP($A6530,原始数据_利率互换_FR007_1年!$A$6:$C$4395,3,0),"")</f>
        <v/>
      </c>
    </row>
    <row r="6531" spans="1:9">
      <c r="A6531" s="6">
        <v>46024</v>
      </c>
      <c r="B6531" t="str">
        <f>IFERROR(VLOOKUP($A6531,原始数据_收盘!$A$4:$G$3460,2,0),"")</f>
        <v/>
      </c>
      <c r="C6531" t="str">
        <f>IFERROR(VLOOKUP($A6531,原始数据_收盘!$A$4:$G$3460,3,0),"")</f>
        <v/>
      </c>
      <c r="D6531" t="str">
        <f>IFERROR(VLOOKUP($A6531,原始数据_收盘!$A$4:$G$3460,4,0),"")</f>
        <v/>
      </c>
      <c r="E6531" t="str">
        <f>IFERROR(VLOOKUP($A6531,原始数据_收盘!$A$4:$G$3460,5,0),"")</f>
        <v/>
      </c>
      <c r="F6531" t="str">
        <f>IFERROR(VLOOKUP($A6531,原始数据_收盘!$A$4:$G$3460,6,0),"")</f>
        <v/>
      </c>
      <c r="G6531" t="str">
        <f>IFERROR(VLOOKUP($A6531,原始数据_收盘!$A$4:$G$3460,7,0),"")</f>
        <v/>
      </c>
      <c r="H6531" t="str">
        <f>IFERROR(VLOOKUP($A6531,原始数据_利率互换_FR007_1年!$A$6:$C$4395,2,0),"")</f>
        <v/>
      </c>
      <c r="I6531" t="str">
        <f>IFERROR(VLOOKUP($A6531,原始数据_利率互换_FR007_1年!$A$6:$C$4395,3,0),"")</f>
        <v/>
      </c>
    </row>
    <row r="6532" spans="1:9">
      <c r="A6532" s="6">
        <v>46025</v>
      </c>
      <c r="B6532" t="str">
        <f>IFERROR(VLOOKUP($A6532,原始数据_收盘!$A$4:$G$3460,2,0),"")</f>
        <v/>
      </c>
      <c r="C6532" t="str">
        <f>IFERROR(VLOOKUP($A6532,原始数据_收盘!$A$4:$G$3460,3,0),"")</f>
        <v/>
      </c>
      <c r="D6532" t="str">
        <f>IFERROR(VLOOKUP($A6532,原始数据_收盘!$A$4:$G$3460,4,0),"")</f>
        <v/>
      </c>
      <c r="E6532" t="str">
        <f>IFERROR(VLOOKUP($A6532,原始数据_收盘!$A$4:$G$3460,5,0),"")</f>
        <v/>
      </c>
      <c r="F6532" t="str">
        <f>IFERROR(VLOOKUP($A6532,原始数据_收盘!$A$4:$G$3460,6,0),"")</f>
        <v/>
      </c>
      <c r="G6532" t="str">
        <f>IFERROR(VLOOKUP($A6532,原始数据_收盘!$A$4:$G$3460,7,0),"")</f>
        <v/>
      </c>
      <c r="H6532" t="str">
        <f>IFERROR(VLOOKUP($A6532,原始数据_利率互换_FR007_1年!$A$6:$C$4395,2,0),"")</f>
        <v/>
      </c>
      <c r="I6532" t="str">
        <f>IFERROR(VLOOKUP($A6532,原始数据_利率互换_FR007_1年!$A$6:$C$4395,3,0),"")</f>
        <v/>
      </c>
    </row>
    <row r="6533" spans="1:9">
      <c r="A6533" s="6">
        <v>46026</v>
      </c>
      <c r="B6533">
        <f>IFERROR(VLOOKUP($A6533,原始数据_收盘!$A$4:$G$3460,2,0),"")</f>
        <v>1.495</v>
      </c>
      <c r="C6533">
        <f>IFERROR(VLOOKUP($A6533,原始数据_收盘!$A$4:$G$3460,3,0),"")</f>
        <v>1.605</v>
      </c>
      <c r="D6533">
        <f>IFERROR(VLOOKUP($A6533,原始数据_收盘!$A$4:$G$3460,4,0),"")</f>
        <v>1.5</v>
      </c>
      <c r="E6533">
        <f>IFERROR(VLOOKUP($A6533,原始数据_收盘!$A$4:$G$3460,5,0),"")</f>
        <v>1.615</v>
      </c>
      <c r="F6533">
        <f>IFERROR(VLOOKUP($A6533,原始数据_收盘!$A$4:$G$3460,6,0),"")</f>
        <v>1.4975</v>
      </c>
      <c r="G6533">
        <f>IFERROR(VLOOKUP($A6533,原始数据_收盘!$A$4:$G$3460,7,0),"")</f>
        <v>1.61</v>
      </c>
      <c r="H6533">
        <f>IFERROR(VLOOKUP($A6533,原始数据_利率互换_FR007_1年!$A$6:$C$4395,2,0),"")</f>
        <v>1.5025</v>
      </c>
      <c r="I6533">
        <f>IFERROR(VLOOKUP($A6533,原始数据_利率互换_FR007_1年!$A$6:$C$4395,3,0),"")</f>
        <v>1.6104</v>
      </c>
    </row>
    <row r="6534" spans="1:9">
      <c r="A6534" s="6">
        <v>46027</v>
      </c>
      <c r="B6534">
        <f>IFERROR(VLOOKUP($A6534,原始数据_收盘!$A$4:$G$3460,2,0),"")</f>
        <v>1.5025</v>
      </c>
      <c r="C6534">
        <f>IFERROR(VLOOKUP($A6534,原始数据_收盘!$A$4:$G$3460,3,0),"")</f>
        <v>1.6275</v>
      </c>
      <c r="D6534">
        <f>IFERROR(VLOOKUP($A6534,原始数据_收盘!$A$4:$G$3460,4,0),"")</f>
        <v>1.505</v>
      </c>
      <c r="E6534">
        <f>IFERROR(VLOOKUP($A6534,原始数据_收盘!$A$4:$G$3460,5,0),"")</f>
        <v>1.63</v>
      </c>
      <c r="F6534">
        <f>IFERROR(VLOOKUP($A6534,原始数据_收盘!$A$4:$G$3460,6,0),"")</f>
        <v>1.5038</v>
      </c>
      <c r="G6534">
        <f>IFERROR(VLOOKUP($A6534,原始数据_收盘!$A$4:$G$3460,7,0),"")</f>
        <v>1.6288</v>
      </c>
      <c r="H6534">
        <f>IFERROR(VLOOKUP($A6534,原始数据_利率互换_FR007_1年!$A$6:$C$4395,2,0),"")</f>
        <v>1.5043</v>
      </c>
      <c r="I6534">
        <f>IFERROR(VLOOKUP($A6534,原始数据_利率互换_FR007_1年!$A$6:$C$4395,3,0),"")</f>
        <v>1.6274</v>
      </c>
    </row>
    <row r="6535" spans="1:9">
      <c r="A6535" s="6">
        <v>46028</v>
      </c>
      <c r="B6535">
        <f>IFERROR(VLOOKUP($A6535,原始数据_收盘!$A$4:$G$3460,2,0),"")</f>
        <v>1.51</v>
      </c>
      <c r="C6535">
        <f>IFERROR(VLOOKUP($A6535,原始数据_收盘!$A$4:$G$3460,3,0),"")</f>
        <v>1.645</v>
      </c>
      <c r="D6535">
        <f>IFERROR(VLOOKUP($A6535,原始数据_收盘!$A$4:$G$3460,4,0),"")</f>
        <v>1.5125</v>
      </c>
      <c r="E6535">
        <f>IFERROR(VLOOKUP($A6535,原始数据_收盘!$A$4:$G$3460,5,0),"")</f>
        <v>1.6475</v>
      </c>
      <c r="F6535">
        <f>IFERROR(VLOOKUP($A6535,原始数据_收盘!$A$4:$G$3460,6,0),"")</f>
        <v>1.5113</v>
      </c>
      <c r="G6535">
        <f>IFERROR(VLOOKUP($A6535,原始数据_收盘!$A$4:$G$3460,7,0),"")</f>
        <v>1.6463</v>
      </c>
      <c r="H6535">
        <f>IFERROR(VLOOKUP($A6535,原始数据_利率互换_FR007_1年!$A$6:$C$4395,2,0),"")</f>
        <v>1.5096</v>
      </c>
      <c r="I6535">
        <f>IFERROR(VLOOKUP($A6535,原始数据_利率互换_FR007_1年!$A$6:$C$4395,3,0),"")</f>
        <v>1.6425</v>
      </c>
    </row>
    <row r="6536" spans="1:9">
      <c r="A6536" s="6">
        <v>46029</v>
      </c>
      <c r="B6536">
        <f>IFERROR(VLOOKUP($A6536,原始数据_收盘!$A$4:$G$3460,2,0),"")</f>
        <v>1.515</v>
      </c>
      <c r="C6536">
        <f>IFERROR(VLOOKUP($A6536,原始数据_收盘!$A$4:$G$3460,3,0),"")</f>
        <v>1.65</v>
      </c>
      <c r="D6536">
        <f>IFERROR(VLOOKUP($A6536,原始数据_收盘!$A$4:$G$3460,4,0),"")</f>
        <v>1.5175</v>
      </c>
      <c r="E6536">
        <f>IFERROR(VLOOKUP($A6536,原始数据_收盘!$A$4:$G$3460,5,0),"")</f>
        <v>1.6525</v>
      </c>
      <c r="F6536">
        <f>IFERROR(VLOOKUP($A6536,原始数据_收盘!$A$4:$G$3460,6,0),"")</f>
        <v>1.5163</v>
      </c>
      <c r="G6536">
        <f>IFERROR(VLOOKUP($A6536,原始数据_收盘!$A$4:$G$3460,7,0),"")</f>
        <v>1.6513</v>
      </c>
      <c r="H6536">
        <f>IFERROR(VLOOKUP($A6536,原始数据_利率互换_FR007_1年!$A$6:$C$4395,2,0),"")</f>
        <v>1.5115</v>
      </c>
      <c r="I6536">
        <f>IFERROR(VLOOKUP($A6536,原始数据_利率互换_FR007_1年!$A$6:$C$4395,3,0),"")</f>
        <v>1.6474</v>
      </c>
    </row>
    <row r="6537" spans="1:9">
      <c r="A6537" s="6">
        <v>46030</v>
      </c>
      <c r="B6537">
        <f>IFERROR(VLOOKUP($A6537,原始数据_收盘!$A$4:$G$3460,2,0),"")</f>
        <v>1.5097</v>
      </c>
      <c r="C6537">
        <f>IFERROR(VLOOKUP($A6537,原始数据_收盘!$A$4:$G$3460,3,0),"")</f>
        <v>1.6373</v>
      </c>
      <c r="D6537">
        <f>IFERROR(VLOOKUP($A6537,原始数据_收盘!$A$4:$G$3460,4,0),"")</f>
        <v>1.5123</v>
      </c>
      <c r="E6537">
        <f>IFERROR(VLOOKUP($A6537,原始数据_收盘!$A$4:$G$3460,5,0),"")</f>
        <v>1.6398</v>
      </c>
      <c r="F6537">
        <f>IFERROR(VLOOKUP($A6537,原始数据_收盘!$A$4:$G$3460,6,0),"")</f>
        <v>1.511</v>
      </c>
      <c r="G6537">
        <f>IFERROR(VLOOKUP($A6537,原始数据_收盘!$A$4:$G$3460,7,0),"")</f>
        <v>1.6386</v>
      </c>
      <c r="H6537">
        <f>IFERROR(VLOOKUP($A6537,原始数据_利率互换_FR007_1年!$A$6:$C$4395,2,0),"")</f>
        <v>1.5105</v>
      </c>
      <c r="I6537">
        <f>IFERROR(VLOOKUP($A6537,原始数据_利率互换_FR007_1年!$A$6:$C$4395,3,0),"")</f>
        <v>1.6385</v>
      </c>
    </row>
    <row r="6538" spans="1:9">
      <c r="A6538" s="6">
        <v>46031</v>
      </c>
      <c r="B6538">
        <f>IFERROR(VLOOKUP($A6538,原始数据_收盘!$A$4:$G$3460,2,0),"")</f>
        <v>1.5075</v>
      </c>
      <c r="C6538">
        <f>IFERROR(VLOOKUP($A6538,原始数据_收盘!$A$4:$G$3460,3,0),"")</f>
        <v>1.635</v>
      </c>
      <c r="D6538">
        <f>IFERROR(VLOOKUP($A6538,原始数据_收盘!$A$4:$G$3460,4,0),"")</f>
        <v>1.51</v>
      </c>
      <c r="E6538">
        <f>IFERROR(VLOOKUP($A6538,原始数据_收盘!$A$4:$G$3460,5,0),"")</f>
        <v>1.638</v>
      </c>
      <c r="F6538">
        <f>IFERROR(VLOOKUP($A6538,原始数据_收盘!$A$4:$G$3460,6,0),"")</f>
        <v>1.5088</v>
      </c>
      <c r="G6538">
        <f>IFERROR(VLOOKUP($A6538,原始数据_收盘!$A$4:$G$3460,7,0),"")</f>
        <v>1.6365</v>
      </c>
      <c r="H6538">
        <f>IFERROR(VLOOKUP($A6538,原始数据_利率互换_FR007_1年!$A$6:$C$4395,2,0),"")</f>
        <v>1.5073</v>
      </c>
      <c r="I6538">
        <f>IFERROR(VLOOKUP($A6538,原始数据_利率互换_FR007_1年!$A$6:$C$4395,3,0),"")</f>
        <v>1.6342</v>
      </c>
    </row>
    <row r="6539" spans="1:9">
      <c r="A6539" s="6">
        <v>46032</v>
      </c>
      <c r="B6539" t="str">
        <f>IFERROR(VLOOKUP($A6539,原始数据_收盘!$A$4:$G$3460,2,0),"")</f>
        <v/>
      </c>
      <c r="C6539" t="str">
        <f>IFERROR(VLOOKUP($A6539,原始数据_收盘!$A$4:$G$3460,3,0),"")</f>
        <v/>
      </c>
      <c r="D6539" t="str">
        <f>IFERROR(VLOOKUP($A6539,原始数据_收盘!$A$4:$G$3460,4,0),"")</f>
        <v/>
      </c>
      <c r="E6539" t="str">
        <f>IFERROR(VLOOKUP($A6539,原始数据_收盘!$A$4:$G$3460,5,0),"")</f>
        <v/>
      </c>
      <c r="F6539" t="str">
        <f>IFERROR(VLOOKUP($A6539,原始数据_收盘!$A$4:$G$3460,6,0),"")</f>
        <v/>
      </c>
      <c r="G6539" t="str">
        <f>IFERROR(VLOOKUP($A6539,原始数据_收盘!$A$4:$G$3460,7,0),"")</f>
        <v/>
      </c>
      <c r="H6539" t="str">
        <f>IFERROR(VLOOKUP($A6539,原始数据_利率互换_FR007_1年!$A$6:$C$4395,2,0),"")</f>
        <v/>
      </c>
      <c r="I6539" t="str">
        <f>IFERROR(VLOOKUP($A6539,原始数据_利率互换_FR007_1年!$A$6:$C$4395,3,0),"")</f>
        <v/>
      </c>
    </row>
    <row r="6540" spans="1:9">
      <c r="A6540" s="6">
        <v>46033</v>
      </c>
      <c r="B6540" t="str">
        <f>IFERROR(VLOOKUP($A6540,原始数据_收盘!$A$4:$G$3460,2,0),"")</f>
        <v/>
      </c>
      <c r="C6540" t="str">
        <f>IFERROR(VLOOKUP($A6540,原始数据_收盘!$A$4:$G$3460,3,0),"")</f>
        <v/>
      </c>
      <c r="D6540" t="str">
        <f>IFERROR(VLOOKUP($A6540,原始数据_收盘!$A$4:$G$3460,4,0),"")</f>
        <v/>
      </c>
      <c r="E6540" t="str">
        <f>IFERROR(VLOOKUP($A6540,原始数据_收盘!$A$4:$G$3460,5,0),"")</f>
        <v/>
      </c>
      <c r="F6540" t="str">
        <f>IFERROR(VLOOKUP($A6540,原始数据_收盘!$A$4:$G$3460,6,0),"")</f>
        <v/>
      </c>
      <c r="G6540" t="str">
        <f>IFERROR(VLOOKUP($A6540,原始数据_收盘!$A$4:$G$3460,7,0),"")</f>
        <v/>
      </c>
      <c r="H6540" t="str">
        <f>IFERROR(VLOOKUP($A6540,原始数据_利率互换_FR007_1年!$A$6:$C$4395,2,0),"")</f>
        <v/>
      </c>
      <c r="I6540" t="str">
        <f>IFERROR(VLOOKUP($A6540,原始数据_利率互换_FR007_1年!$A$6:$C$4395,3,0),"")</f>
        <v/>
      </c>
    </row>
    <row r="6541" spans="1:9">
      <c r="A6541" s="6">
        <v>46034</v>
      </c>
      <c r="B6541">
        <f>IFERROR(VLOOKUP($A6541,原始数据_收盘!$A$4:$G$3460,2,0),"")</f>
        <v>1.5125</v>
      </c>
      <c r="C6541">
        <f>IFERROR(VLOOKUP($A6541,原始数据_收盘!$A$4:$G$3460,3,0),"")</f>
        <v>1.6338</v>
      </c>
      <c r="D6541">
        <f>IFERROR(VLOOKUP($A6541,原始数据_收盘!$A$4:$G$3460,4,0),"")</f>
        <v>1.515</v>
      </c>
      <c r="E6541">
        <f>IFERROR(VLOOKUP($A6541,原始数据_收盘!$A$4:$G$3460,5,0),"")</f>
        <v>1.6367</v>
      </c>
      <c r="F6541">
        <f>IFERROR(VLOOKUP($A6541,原始数据_收盘!$A$4:$G$3460,6,0),"")</f>
        <v>1.5138</v>
      </c>
      <c r="G6541">
        <f>IFERROR(VLOOKUP($A6541,原始数据_收盘!$A$4:$G$3460,7,0),"")</f>
        <v>1.6352</v>
      </c>
      <c r="H6541">
        <f>IFERROR(VLOOKUP($A6541,原始数据_利率互换_FR007_1年!$A$6:$C$4395,2,0),"")</f>
        <v>1.5115</v>
      </c>
      <c r="I6541">
        <f>IFERROR(VLOOKUP($A6541,原始数据_利率互换_FR007_1年!$A$6:$C$4395,3,0),"")</f>
        <v>1.6348</v>
      </c>
    </row>
    <row r="6542" spans="1:9">
      <c r="A6542" s="6">
        <v>46035</v>
      </c>
      <c r="B6542">
        <f>IFERROR(VLOOKUP($A6542,原始数据_收盘!$A$4:$G$3460,2,0),"")</f>
        <v>1.5225</v>
      </c>
      <c r="C6542">
        <f>IFERROR(VLOOKUP($A6542,原始数据_收盘!$A$4:$G$3460,3,0),"")</f>
        <v>1.6325</v>
      </c>
      <c r="D6542">
        <f>IFERROR(VLOOKUP($A6542,原始数据_收盘!$A$4:$G$3460,4,0),"")</f>
        <v>1.525</v>
      </c>
      <c r="E6542">
        <f>IFERROR(VLOOKUP($A6542,原始数据_收盘!$A$4:$G$3460,5,0),"")</f>
        <v>1.635</v>
      </c>
      <c r="F6542">
        <f>IFERROR(VLOOKUP($A6542,原始数据_收盘!$A$4:$G$3460,6,0),"")</f>
        <v>1.5238</v>
      </c>
      <c r="G6542">
        <f>IFERROR(VLOOKUP($A6542,原始数据_收盘!$A$4:$G$3460,7,0),"")</f>
        <v>1.6338</v>
      </c>
      <c r="H6542">
        <f>IFERROR(VLOOKUP($A6542,原始数据_利率互换_FR007_1年!$A$6:$C$4395,2,0),"")</f>
        <v>1.5239</v>
      </c>
      <c r="I6542">
        <f>IFERROR(VLOOKUP($A6542,原始数据_利率互换_FR007_1年!$A$6:$C$4395,3,0),"")</f>
        <v>1.6383</v>
      </c>
    </row>
    <row r="6543" spans="1:9">
      <c r="A6543" s="6">
        <v>46036</v>
      </c>
      <c r="B6543">
        <f>IFERROR(VLOOKUP($A6543,原始数据_收盘!$A$4:$G$3460,2,0),"")</f>
        <v>1.5175</v>
      </c>
      <c r="C6543">
        <f>IFERROR(VLOOKUP($A6543,原始数据_收盘!$A$4:$G$3460,3,0),"")</f>
        <v>1.635</v>
      </c>
      <c r="D6543">
        <f>IFERROR(VLOOKUP($A6543,原始数据_收盘!$A$4:$G$3460,4,0),"")</f>
        <v>1.52</v>
      </c>
      <c r="E6543">
        <f>IFERROR(VLOOKUP($A6543,原始数据_收盘!$A$4:$G$3460,5,0),"")</f>
        <v>1.6375</v>
      </c>
      <c r="F6543">
        <f>IFERROR(VLOOKUP($A6543,原始数据_收盘!$A$4:$G$3460,6,0),"")</f>
        <v>1.5188</v>
      </c>
      <c r="G6543">
        <f>IFERROR(VLOOKUP($A6543,原始数据_收盘!$A$4:$G$3460,7,0),"")</f>
        <v>1.6363</v>
      </c>
      <c r="H6543">
        <f>IFERROR(VLOOKUP($A6543,原始数据_利率互换_FR007_1年!$A$6:$C$4395,2,0),"")</f>
        <v>1.5232</v>
      </c>
      <c r="I6543">
        <f>IFERROR(VLOOKUP($A6543,原始数据_利率互换_FR007_1年!$A$6:$C$4395,3,0),"")</f>
        <v>1.6422</v>
      </c>
    </row>
    <row r="6544" spans="1:9">
      <c r="A6544" s="6">
        <v>46037</v>
      </c>
      <c r="B6544">
        <f>IFERROR(VLOOKUP($A6544,原始数据_收盘!$A$4:$G$3460,2,0),"")</f>
        <v>1.51</v>
      </c>
      <c r="C6544">
        <f>IFERROR(VLOOKUP($A6544,原始数据_收盘!$A$4:$G$3460,3,0),"")</f>
        <v>1.6363</v>
      </c>
      <c r="D6544">
        <f>IFERROR(VLOOKUP($A6544,原始数据_收盘!$A$4:$G$3460,4,0),"")</f>
        <v>1.5125</v>
      </c>
      <c r="E6544">
        <f>IFERROR(VLOOKUP($A6544,原始数据_收盘!$A$4:$G$3460,5,0),"")</f>
        <v>1.6389</v>
      </c>
      <c r="F6544">
        <f>IFERROR(VLOOKUP($A6544,原始数据_收盘!$A$4:$G$3460,6,0),"")</f>
        <v>1.5113</v>
      </c>
      <c r="G6544">
        <f>IFERROR(VLOOKUP($A6544,原始数据_收盘!$A$4:$G$3460,7,0),"")</f>
        <v>1.6376</v>
      </c>
      <c r="H6544">
        <f>IFERROR(VLOOKUP($A6544,原始数据_利率互换_FR007_1年!$A$6:$C$4395,2,0),"")</f>
        <v>1.5104</v>
      </c>
      <c r="I6544">
        <f>IFERROR(VLOOKUP($A6544,原始数据_利率互换_FR007_1年!$A$6:$C$4395,3,0),"")</f>
        <v>1.6324</v>
      </c>
    </row>
    <row r="6545" spans="1:9">
      <c r="A6545" s="6">
        <v>46038</v>
      </c>
      <c r="B6545">
        <f>IFERROR(VLOOKUP($A6545,原始数据_收盘!$A$4:$G$3460,2,0),"")</f>
        <v>1.4975</v>
      </c>
      <c r="C6545">
        <f>IFERROR(VLOOKUP($A6545,原始数据_收盘!$A$4:$G$3460,3,0),"")</f>
        <v>1.63</v>
      </c>
      <c r="D6545">
        <f>IFERROR(VLOOKUP($A6545,原始数据_收盘!$A$4:$G$3460,4,0),"")</f>
        <v>1.5</v>
      </c>
      <c r="E6545">
        <f>IFERROR(VLOOKUP($A6545,原始数据_收盘!$A$4:$G$3460,5,0),"")</f>
        <v>1.6325</v>
      </c>
      <c r="F6545">
        <f>IFERROR(VLOOKUP($A6545,原始数据_收盘!$A$4:$G$3460,6,0),"")</f>
        <v>1.4988</v>
      </c>
      <c r="G6545">
        <f>IFERROR(VLOOKUP($A6545,原始数据_收盘!$A$4:$G$3460,7,0),"")</f>
        <v>1.6313</v>
      </c>
      <c r="H6545">
        <f>IFERROR(VLOOKUP($A6545,原始数据_利率互换_FR007_1年!$A$6:$C$4395,2,0),"")</f>
        <v>1.4988</v>
      </c>
      <c r="I6545">
        <f>IFERROR(VLOOKUP($A6545,原始数据_利率互换_FR007_1年!$A$6:$C$4395,3,0),"")</f>
        <v>1.6315</v>
      </c>
    </row>
    <row r="6546" spans="1:9">
      <c r="A6546" s="6">
        <v>46039</v>
      </c>
      <c r="B6546" t="str">
        <f>IFERROR(VLOOKUP($A6546,原始数据_收盘!$A$4:$G$3460,2,0),"")</f>
        <v/>
      </c>
      <c r="C6546" t="str">
        <f>IFERROR(VLOOKUP($A6546,原始数据_收盘!$A$4:$G$3460,3,0),"")</f>
        <v/>
      </c>
      <c r="D6546" t="str">
        <f>IFERROR(VLOOKUP($A6546,原始数据_收盘!$A$4:$G$3460,4,0),"")</f>
        <v/>
      </c>
      <c r="E6546" t="str">
        <f>IFERROR(VLOOKUP($A6546,原始数据_收盘!$A$4:$G$3460,5,0),"")</f>
        <v/>
      </c>
      <c r="F6546" t="str">
        <f>IFERROR(VLOOKUP($A6546,原始数据_收盘!$A$4:$G$3460,6,0),"")</f>
        <v/>
      </c>
      <c r="G6546" t="str">
        <f>IFERROR(VLOOKUP($A6546,原始数据_收盘!$A$4:$G$3460,7,0),"")</f>
        <v/>
      </c>
      <c r="H6546" t="str">
        <f>IFERROR(VLOOKUP($A6546,原始数据_利率互换_FR007_1年!$A$6:$C$4395,2,0),"")</f>
        <v/>
      </c>
      <c r="I6546" t="str">
        <f>IFERROR(VLOOKUP($A6546,原始数据_利率互换_FR007_1年!$A$6:$C$4395,3,0),"")</f>
        <v/>
      </c>
    </row>
    <row r="6547" spans="1:9">
      <c r="A6547" s="6">
        <v>46040</v>
      </c>
      <c r="B6547" t="str">
        <f>IFERROR(VLOOKUP($A6547,原始数据_收盘!$A$4:$G$3460,2,0),"")</f>
        <v/>
      </c>
      <c r="C6547" t="str">
        <f>IFERROR(VLOOKUP($A6547,原始数据_收盘!$A$4:$G$3460,3,0),"")</f>
        <v/>
      </c>
      <c r="D6547" t="str">
        <f>IFERROR(VLOOKUP($A6547,原始数据_收盘!$A$4:$G$3460,4,0),"")</f>
        <v/>
      </c>
      <c r="E6547" t="str">
        <f>IFERROR(VLOOKUP($A6547,原始数据_收盘!$A$4:$G$3460,5,0),"")</f>
        <v/>
      </c>
      <c r="F6547" t="str">
        <f>IFERROR(VLOOKUP($A6547,原始数据_收盘!$A$4:$G$3460,6,0),"")</f>
        <v/>
      </c>
      <c r="G6547" t="str">
        <f>IFERROR(VLOOKUP($A6547,原始数据_收盘!$A$4:$G$3460,7,0),"")</f>
        <v/>
      </c>
      <c r="H6547" t="str">
        <f>IFERROR(VLOOKUP($A6547,原始数据_利率互换_FR007_1年!$A$6:$C$4395,2,0),"")</f>
        <v/>
      </c>
      <c r="I6547" t="str">
        <f>IFERROR(VLOOKUP($A6547,原始数据_利率互换_FR007_1年!$A$6:$C$4395,3,0),"")</f>
        <v/>
      </c>
    </row>
    <row r="6548" spans="1:9">
      <c r="A6548" s="6">
        <v>46041</v>
      </c>
      <c r="B6548">
        <f>IFERROR(VLOOKUP($A6548,原始数据_收盘!$A$4:$G$3460,2,0),"")</f>
        <v>1.505</v>
      </c>
      <c r="C6548">
        <f>IFERROR(VLOOKUP($A6548,原始数据_收盘!$A$4:$G$3460,3,0),"")</f>
        <v>1.63</v>
      </c>
      <c r="D6548">
        <f>IFERROR(VLOOKUP($A6548,原始数据_收盘!$A$4:$G$3460,4,0),"")</f>
        <v>1.5075</v>
      </c>
      <c r="E6548">
        <f>IFERROR(VLOOKUP($A6548,原始数据_收盘!$A$4:$G$3460,5,0),"")</f>
        <v>1.6325</v>
      </c>
      <c r="F6548">
        <f>IFERROR(VLOOKUP($A6548,原始数据_收盘!$A$4:$G$3460,6,0),"")</f>
        <v>1.5063</v>
      </c>
      <c r="G6548">
        <f>IFERROR(VLOOKUP($A6548,原始数据_收盘!$A$4:$G$3460,7,0),"")</f>
        <v>1.6313</v>
      </c>
      <c r="H6548">
        <f>IFERROR(VLOOKUP($A6548,原始数据_利率互换_FR007_1年!$A$6:$C$4395,2,0),"")</f>
        <v>1.5039</v>
      </c>
      <c r="I6548">
        <f>IFERROR(VLOOKUP($A6548,原始数据_利率互换_FR007_1年!$A$6:$C$4395,3,0),"")</f>
        <v>1.631</v>
      </c>
    </row>
    <row r="6549" spans="1:9">
      <c r="A6549" s="6">
        <v>46042</v>
      </c>
      <c r="B6549">
        <f>IFERROR(VLOOKUP($A6549,原始数据_收盘!$A$4:$G$3460,2,0),"")</f>
        <v>1.5025</v>
      </c>
      <c r="C6549">
        <f>IFERROR(VLOOKUP($A6549,原始数据_收盘!$A$4:$G$3460,3,0),"")</f>
        <v>1.62</v>
      </c>
      <c r="D6549">
        <f>IFERROR(VLOOKUP($A6549,原始数据_收盘!$A$4:$G$3460,4,0),"")</f>
        <v>1.505</v>
      </c>
      <c r="E6549">
        <f>IFERROR(VLOOKUP($A6549,原始数据_收盘!$A$4:$G$3460,5,0),"")</f>
        <v>1.6225</v>
      </c>
      <c r="F6549">
        <f>IFERROR(VLOOKUP($A6549,原始数据_收盘!$A$4:$G$3460,6,0),"")</f>
        <v>1.5038</v>
      </c>
      <c r="G6549">
        <f>IFERROR(VLOOKUP($A6549,原始数据_收盘!$A$4:$G$3460,7,0),"")</f>
        <v>1.6213</v>
      </c>
      <c r="H6549">
        <f>IFERROR(VLOOKUP($A6549,原始数据_利率互换_FR007_1年!$A$6:$C$4395,2,0),"")</f>
        <v>1.5051</v>
      </c>
      <c r="I6549">
        <f>IFERROR(VLOOKUP($A6549,原始数据_利率互换_FR007_1年!$A$6:$C$4395,3,0),"")</f>
        <v>1.624</v>
      </c>
    </row>
    <row r="6550" spans="1:9">
      <c r="A6550" s="6">
        <v>46043</v>
      </c>
      <c r="B6550">
        <f>IFERROR(VLOOKUP($A6550,原始数据_收盘!$A$4:$G$3460,2,0),"")</f>
        <v>1.5025</v>
      </c>
      <c r="C6550">
        <f>IFERROR(VLOOKUP($A6550,原始数据_收盘!$A$4:$G$3460,3,0),"")</f>
        <v>1.62</v>
      </c>
      <c r="D6550">
        <f>IFERROR(VLOOKUP($A6550,原始数据_收盘!$A$4:$G$3460,4,0),"")</f>
        <v>1.505</v>
      </c>
      <c r="E6550">
        <f>IFERROR(VLOOKUP($A6550,原始数据_收盘!$A$4:$G$3460,5,0),"")</f>
        <v>1.6225</v>
      </c>
      <c r="F6550">
        <f>IFERROR(VLOOKUP($A6550,原始数据_收盘!$A$4:$G$3460,6,0),"")</f>
        <v>1.5038</v>
      </c>
      <c r="G6550">
        <f>IFERROR(VLOOKUP($A6550,原始数据_收盘!$A$4:$G$3460,7,0),"")</f>
        <v>1.6213</v>
      </c>
      <c r="H6550">
        <f>IFERROR(VLOOKUP($A6550,原始数据_利率互换_FR007_1年!$A$6:$C$4395,2,0),"")</f>
        <v>1.5037</v>
      </c>
      <c r="I6550">
        <f>IFERROR(VLOOKUP($A6550,原始数据_利率互换_FR007_1年!$A$6:$C$4395,3,0),"")</f>
        <v>1.6223</v>
      </c>
    </row>
    <row r="6551" spans="1:9">
      <c r="A6551" s="6">
        <v>46044</v>
      </c>
      <c r="B6551">
        <f>IFERROR(VLOOKUP($A6551,原始数据_收盘!$A$4:$G$3460,2,0),"")</f>
        <v>1.5075</v>
      </c>
      <c r="C6551">
        <f>IFERROR(VLOOKUP($A6551,原始数据_收盘!$A$4:$G$3460,3,0),"")</f>
        <v>1.6257</v>
      </c>
      <c r="D6551">
        <f>IFERROR(VLOOKUP($A6551,原始数据_收盘!$A$4:$G$3460,4,0),"")</f>
        <v>1.51</v>
      </c>
      <c r="E6551">
        <f>IFERROR(VLOOKUP($A6551,原始数据_收盘!$A$4:$G$3460,5,0),"")</f>
        <v>1.6282</v>
      </c>
      <c r="F6551">
        <f>IFERROR(VLOOKUP($A6551,原始数据_收盘!$A$4:$G$3460,6,0),"")</f>
        <v>1.5088</v>
      </c>
      <c r="G6551">
        <f>IFERROR(VLOOKUP($A6551,原始数据_收盘!$A$4:$G$3460,7,0),"")</f>
        <v>1.627</v>
      </c>
      <c r="H6551">
        <f>IFERROR(VLOOKUP($A6551,原始数据_利率互换_FR007_1年!$A$6:$C$4395,2,0),"")</f>
        <v>1.5087</v>
      </c>
      <c r="I6551">
        <f>IFERROR(VLOOKUP($A6551,原始数据_利率互换_FR007_1年!$A$6:$C$4395,3,0),"")</f>
        <v>1.6264</v>
      </c>
    </row>
    <row r="6552" spans="1:9">
      <c r="A6552" s="6">
        <v>46045</v>
      </c>
      <c r="B6552">
        <f>IFERROR(VLOOKUP($A6552,原始数据_收盘!$A$4:$G$3460,2,0),"")</f>
        <v>1.4975</v>
      </c>
      <c r="C6552">
        <f>IFERROR(VLOOKUP($A6552,原始数据_收盘!$A$4:$G$3460,3,0),"")</f>
        <v>1.6184</v>
      </c>
      <c r="D6552">
        <f>IFERROR(VLOOKUP($A6552,原始数据_收盘!$A$4:$G$3460,4,0),"")</f>
        <v>1.5</v>
      </c>
      <c r="E6552">
        <f>IFERROR(VLOOKUP($A6552,原始数据_收盘!$A$4:$G$3460,5,0),"")</f>
        <v>1.6209</v>
      </c>
      <c r="F6552">
        <f>IFERROR(VLOOKUP($A6552,原始数据_收盘!$A$4:$G$3460,6,0),"")</f>
        <v>1.4988</v>
      </c>
      <c r="G6552">
        <f>IFERROR(VLOOKUP($A6552,原始数据_收盘!$A$4:$G$3460,7,0),"")</f>
        <v>1.6196</v>
      </c>
      <c r="H6552">
        <f>IFERROR(VLOOKUP($A6552,原始数据_利率互换_FR007_1年!$A$6:$C$4395,2,0),"")</f>
        <v>1.5</v>
      </c>
      <c r="I6552">
        <f>IFERROR(VLOOKUP($A6552,原始数据_利率互换_FR007_1年!$A$6:$C$4395,3,0),"")</f>
        <v>1.621</v>
      </c>
    </row>
    <row r="6553" spans="1:9">
      <c r="A6553" s="6">
        <v>46046</v>
      </c>
      <c r="B6553" t="str">
        <f>IFERROR(VLOOKUP($A6553,原始数据_收盘!$A$4:$G$3460,2,0),"")</f>
        <v/>
      </c>
      <c r="C6553" t="str">
        <f>IFERROR(VLOOKUP($A6553,原始数据_收盘!$A$4:$G$3460,3,0),"")</f>
        <v/>
      </c>
      <c r="D6553" t="str">
        <f>IFERROR(VLOOKUP($A6553,原始数据_收盘!$A$4:$G$3460,4,0),"")</f>
        <v/>
      </c>
      <c r="E6553" t="str">
        <f>IFERROR(VLOOKUP($A6553,原始数据_收盘!$A$4:$G$3460,5,0),"")</f>
        <v/>
      </c>
      <c r="F6553" t="str">
        <f>IFERROR(VLOOKUP($A6553,原始数据_收盘!$A$4:$G$3460,6,0),"")</f>
        <v/>
      </c>
      <c r="G6553" t="str">
        <f>IFERROR(VLOOKUP($A6553,原始数据_收盘!$A$4:$G$3460,7,0),"")</f>
        <v/>
      </c>
      <c r="H6553" t="str">
        <f>IFERROR(VLOOKUP($A6553,原始数据_利率互换_FR007_1年!$A$6:$C$4395,2,0),"")</f>
        <v/>
      </c>
      <c r="I6553" t="str">
        <f>IFERROR(VLOOKUP($A6553,原始数据_利率互换_FR007_1年!$A$6:$C$4395,3,0),"")</f>
        <v/>
      </c>
    </row>
    <row r="6554" spans="1:9">
      <c r="A6554" s="6">
        <v>46047</v>
      </c>
      <c r="B6554" t="str">
        <f>IFERROR(VLOOKUP($A6554,原始数据_收盘!$A$4:$G$3460,2,0),"")</f>
        <v/>
      </c>
      <c r="C6554" t="str">
        <f>IFERROR(VLOOKUP($A6554,原始数据_收盘!$A$4:$G$3460,3,0),"")</f>
        <v/>
      </c>
      <c r="D6554" t="str">
        <f>IFERROR(VLOOKUP($A6554,原始数据_收盘!$A$4:$G$3460,4,0),"")</f>
        <v/>
      </c>
      <c r="E6554" t="str">
        <f>IFERROR(VLOOKUP($A6554,原始数据_收盘!$A$4:$G$3460,5,0),"")</f>
        <v/>
      </c>
      <c r="F6554" t="str">
        <f>IFERROR(VLOOKUP($A6554,原始数据_收盘!$A$4:$G$3460,6,0),"")</f>
        <v/>
      </c>
      <c r="G6554" t="str">
        <f>IFERROR(VLOOKUP($A6554,原始数据_收盘!$A$4:$G$3460,7,0),"")</f>
        <v/>
      </c>
      <c r="H6554" t="str">
        <f>IFERROR(VLOOKUP($A6554,原始数据_利率互换_FR007_1年!$A$6:$C$4395,2,0),"")</f>
        <v/>
      </c>
      <c r="I6554" t="str">
        <f>IFERROR(VLOOKUP($A6554,原始数据_利率互换_FR007_1年!$A$6:$C$4395,3,0),"")</f>
        <v/>
      </c>
    </row>
    <row r="6555" spans="1:9">
      <c r="A6555" s="6">
        <v>46048</v>
      </c>
      <c r="B6555">
        <f>IFERROR(VLOOKUP($A6555,原始数据_收盘!$A$4:$G$3460,2,0),"")</f>
        <v>1.5025</v>
      </c>
      <c r="C6555">
        <f>IFERROR(VLOOKUP($A6555,原始数据_收盘!$A$4:$G$3460,3,0),"")</f>
        <v>1.62</v>
      </c>
      <c r="D6555">
        <f>IFERROR(VLOOKUP($A6555,原始数据_收盘!$A$4:$G$3460,4,0),"")</f>
        <v>1.505</v>
      </c>
      <c r="E6555">
        <f>IFERROR(VLOOKUP($A6555,原始数据_收盘!$A$4:$G$3460,5,0),"")</f>
        <v>1.6225</v>
      </c>
      <c r="F6555">
        <f>IFERROR(VLOOKUP($A6555,原始数据_收盘!$A$4:$G$3460,6,0),"")</f>
        <v>1.5038</v>
      </c>
      <c r="G6555">
        <f>IFERROR(VLOOKUP($A6555,原始数据_收盘!$A$4:$G$3460,7,0),"")</f>
        <v>1.6213</v>
      </c>
      <c r="H6555">
        <f>IFERROR(VLOOKUP($A6555,原始数据_利率互换_FR007_1年!$A$6:$C$4395,2,0),"")</f>
        <v>1.503</v>
      </c>
      <c r="I6555">
        <f>IFERROR(VLOOKUP($A6555,原始数据_利率互换_FR007_1年!$A$6:$C$4395,3,0),"")</f>
        <v>1.6224</v>
      </c>
    </row>
    <row r="6556" spans="1:9">
      <c r="A6556" s="6">
        <v>46049</v>
      </c>
      <c r="B6556">
        <f>IFERROR(VLOOKUP($A6556,原始数据_收盘!$A$4:$G$3460,2,0),"")</f>
        <v>1.5082</v>
      </c>
      <c r="C6556">
        <f>IFERROR(VLOOKUP($A6556,原始数据_收盘!$A$4:$G$3460,3,0),"")</f>
        <v>1.6225</v>
      </c>
      <c r="D6556">
        <f>IFERROR(VLOOKUP($A6556,原始数据_收盘!$A$4:$G$3460,4,0),"")</f>
        <v>1.5108</v>
      </c>
      <c r="E6556">
        <f>IFERROR(VLOOKUP($A6556,原始数据_收盘!$A$4:$G$3460,5,0),"")</f>
        <v>1.625</v>
      </c>
      <c r="F6556">
        <f>IFERROR(VLOOKUP($A6556,原始数据_收盘!$A$4:$G$3460,6,0),"")</f>
        <v>1.5095</v>
      </c>
      <c r="G6556">
        <f>IFERROR(VLOOKUP($A6556,原始数据_收盘!$A$4:$G$3460,7,0),"")</f>
        <v>1.6238</v>
      </c>
      <c r="H6556">
        <f>IFERROR(VLOOKUP($A6556,原始数据_利率互换_FR007_1年!$A$6:$C$4395,2,0),"")</f>
        <v>1.5081</v>
      </c>
      <c r="I6556">
        <f>IFERROR(VLOOKUP($A6556,原始数据_利率互换_FR007_1年!$A$6:$C$4395,3,0),"")</f>
        <v>1.6229</v>
      </c>
    </row>
    <row r="6557" spans="1:9">
      <c r="A6557" s="6">
        <v>46050</v>
      </c>
      <c r="B6557">
        <f>IFERROR(VLOOKUP($A6557,原始数据_收盘!$A$4:$G$3460,2,0),"")</f>
        <v>1.5075</v>
      </c>
      <c r="C6557">
        <f>IFERROR(VLOOKUP($A6557,原始数据_收盘!$A$4:$G$3460,3,0),"")</f>
        <v>1.6192</v>
      </c>
      <c r="D6557">
        <f>IFERROR(VLOOKUP($A6557,原始数据_收盘!$A$4:$G$3460,4,0),"")</f>
        <v>1.51</v>
      </c>
      <c r="E6557">
        <f>IFERROR(VLOOKUP($A6557,原始数据_收盘!$A$4:$G$3460,5,0),"")</f>
        <v>1.6202</v>
      </c>
      <c r="F6557">
        <f>IFERROR(VLOOKUP($A6557,原始数据_收盘!$A$4:$G$3460,6,0),"")</f>
        <v>1.5088</v>
      </c>
      <c r="G6557">
        <f>IFERROR(VLOOKUP($A6557,原始数据_收盘!$A$4:$G$3460,7,0),"")</f>
        <v>1.6197</v>
      </c>
      <c r="H6557">
        <f>IFERROR(VLOOKUP($A6557,原始数据_利率互换_FR007_1年!$A$6:$C$4395,2,0),"")</f>
        <v>1.5113</v>
      </c>
      <c r="I6557">
        <f>IFERROR(VLOOKUP($A6557,原始数据_利率互换_FR007_1年!$A$6:$C$4395,3,0),"")</f>
        <v>1.6233</v>
      </c>
    </row>
    <row r="6558" spans="1:9">
      <c r="A6558" s="6">
        <v>46051</v>
      </c>
      <c r="B6558">
        <f>IFERROR(VLOOKUP($A6558,原始数据_收盘!$A$4:$G$3460,2,0),"")</f>
        <v>1.52</v>
      </c>
      <c r="C6558">
        <f>IFERROR(VLOOKUP($A6558,原始数据_收盘!$A$4:$G$3460,3,0),"")</f>
        <v>1.6275</v>
      </c>
      <c r="D6558">
        <f>IFERROR(VLOOKUP($A6558,原始数据_收盘!$A$4:$G$3460,4,0),"")</f>
        <v>1.5225</v>
      </c>
      <c r="E6558">
        <f>IFERROR(VLOOKUP($A6558,原始数据_收盘!$A$4:$G$3460,5,0),"")</f>
        <v>1.63</v>
      </c>
      <c r="F6558">
        <f>IFERROR(VLOOKUP($A6558,原始数据_收盘!$A$4:$G$3460,6,0),"")</f>
        <v>1.5213</v>
      </c>
      <c r="G6558">
        <f>IFERROR(VLOOKUP($A6558,原始数据_收盘!$A$4:$G$3460,7,0),"")</f>
        <v>1.6288</v>
      </c>
      <c r="H6558">
        <f>IFERROR(VLOOKUP($A6558,原始数据_利率互换_FR007_1年!$A$6:$C$4395,2,0),"")</f>
        <v>1.5133</v>
      </c>
      <c r="I6558">
        <f>IFERROR(VLOOKUP($A6558,原始数据_利率互换_FR007_1年!$A$6:$C$4395,3,0),"")</f>
        <v>1.6211</v>
      </c>
    </row>
    <row r="6559" spans="1:9">
      <c r="A6559" s="6">
        <v>46052</v>
      </c>
      <c r="B6559">
        <f>IFERROR(VLOOKUP($A6559,原始数据_收盘!$A$4:$G$3460,2,0),"")</f>
        <v>1.515</v>
      </c>
      <c r="C6559">
        <f>IFERROR(VLOOKUP($A6559,原始数据_收盘!$A$4:$G$3460,3,0),"")</f>
        <v>1.6425</v>
      </c>
      <c r="D6559">
        <f>IFERROR(VLOOKUP($A6559,原始数据_收盘!$A$4:$G$3460,4,0),"")</f>
        <v>1.5175</v>
      </c>
      <c r="E6559">
        <f>IFERROR(VLOOKUP($A6559,原始数据_收盘!$A$4:$G$3460,5,0),"")</f>
        <v>1.645</v>
      </c>
      <c r="F6559">
        <f>IFERROR(VLOOKUP($A6559,原始数据_收盘!$A$4:$G$3460,6,0),"")</f>
        <v>1.5163</v>
      </c>
      <c r="G6559">
        <f>IFERROR(VLOOKUP($A6559,原始数据_收盘!$A$4:$G$3460,7,0),"")</f>
        <v>1.6438</v>
      </c>
      <c r="H6559">
        <f>IFERROR(VLOOKUP($A6559,原始数据_利率互换_FR007_1年!$A$6:$C$4395,2,0),"")</f>
        <v>1.5157</v>
      </c>
      <c r="I6559">
        <f>IFERROR(VLOOKUP($A6559,原始数据_利率互换_FR007_1年!$A$6:$C$4395,3,0),"")</f>
        <v>1.6372</v>
      </c>
    </row>
    <row r="6560" spans="1:9">
      <c r="A6560" s="6">
        <v>46053</v>
      </c>
      <c r="B6560" t="str">
        <f>IFERROR(VLOOKUP($A6560,原始数据_收盘!$A$4:$G$3460,2,0),"")</f>
        <v/>
      </c>
      <c r="C6560" t="str">
        <f>IFERROR(VLOOKUP($A6560,原始数据_收盘!$A$4:$G$3460,3,0),"")</f>
        <v/>
      </c>
      <c r="D6560" t="str">
        <f>IFERROR(VLOOKUP($A6560,原始数据_收盘!$A$4:$G$3460,4,0),"")</f>
        <v/>
      </c>
      <c r="E6560" t="str">
        <f>IFERROR(VLOOKUP($A6560,原始数据_收盘!$A$4:$G$3460,5,0),"")</f>
        <v/>
      </c>
      <c r="F6560" t="str">
        <f>IFERROR(VLOOKUP($A6560,原始数据_收盘!$A$4:$G$3460,6,0),"")</f>
        <v/>
      </c>
      <c r="G6560" t="str">
        <f>IFERROR(VLOOKUP($A6560,原始数据_收盘!$A$4:$G$3460,7,0),"")</f>
        <v/>
      </c>
      <c r="H6560" t="str">
        <f>IFERROR(VLOOKUP($A6560,原始数据_利率互换_FR007_1年!$A$6:$C$4395,2,0),"")</f>
        <v/>
      </c>
      <c r="I6560" t="str">
        <f>IFERROR(VLOOKUP($A6560,原始数据_利率互换_FR007_1年!$A$6:$C$4395,3,0),"")</f>
        <v/>
      </c>
    </row>
    <row r="6561" spans="1:9">
      <c r="A6561" s="6">
        <v>46054</v>
      </c>
      <c r="B6561" t="str">
        <f>IFERROR(VLOOKUP($A6561,原始数据_收盘!$A$4:$G$3460,2,0),"")</f>
        <v/>
      </c>
      <c r="C6561" t="str">
        <f>IFERROR(VLOOKUP($A6561,原始数据_收盘!$A$4:$G$3460,3,0),"")</f>
        <v/>
      </c>
      <c r="D6561" t="str">
        <f>IFERROR(VLOOKUP($A6561,原始数据_收盘!$A$4:$G$3460,4,0),"")</f>
        <v/>
      </c>
      <c r="E6561" t="str">
        <f>IFERROR(VLOOKUP($A6561,原始数据_收盘!$A$4:$G$3460,5,0),"")</f>
        <v/>
      </c>
      <c r="F6561" t="str">
        <f>IFERROR(VLOOKUP($A6561,原始数据_收盘!$A$4:$G$3460,6,0),"")</f>
        <v/>
      </c>
      <c r="G6561" t="str">
        <f>IFERROR(VLOOKUP($A6561,原始数据_收盘!$A$4:$G$3460,7,0),"")</f>
        <v/>
      </c>
      <c r="H6561" t="str">
        <f>IFERROR(VLOOKUP($A6561,原始数据_利率互换_FR007_1年!$A$6:$C$4395,2,0),"")</f>
        <v/>
      </c>
      <c r="I6561" t="str">
        <f>IFERROR(VLOOKUP($A6561,原始数据_利率互换_FR007_1年!$A$6:$C$4395,3,0),"")</f>
        <v/>
      </c>
    </row>
    <row r="6562" spans="1:9">
      <c r="A6562" s="6">
        <v>46055</v>
      </c>
      <c r="B6562">
        <f>IFERROR(VLOOKUP($A6562,原始数据_收盘!$A$4:$G$3460,2,0),"")</f>
        <v>1.515</v>
      </c>
      <c r="C6562">
        <f>IFERROR(VLOOKUP($A6562,原始数据_收盘!$A$4:$G$3460,3,0),"")</f>
        <v>1.6425</v>
      </c>
      <c r="D6562">
        <f>IFERROR(VLOOKUP($A6562,原始数据_收盘!$A$4:$G$3460,4,0),"")</f>
        <v>1.5175</v>
      </c>
      <c r="E6562">
        <f>IFERROR(VLOOKUP($A6562,原始数据_收盘!$A$4:$G$3460,5,0),"")</f>
        <v>1.645</v>
      </c>
      <c r="F6562">
        <f>IFERROR(VLOOKUP($A6562,原始数据_收盘!$A$4:$G$3460,6,0),"")</f>
        <v>1.5163</v>
      </c>
      <c r="G6562">
        <f>IFERROR(VLOOKUP($A6562,原始数据_收盘!$A$4:$G$3460,7,0),"")</f>
        <v>1.6438</v>
      </c>
      <c r="H6562">
        <f>IFERROR(VLOOKUP($A6562,原始数据_利率互换_FR007_1年!$A$6:$C$4395,2,0),"")</f>
        <v>1.517</v>
      </c>
      <c r="I6562">
        <f>IFERROR(VLOOKUP($A6562,原始数据_利率互换_FR007_1年!$A$6:$C$4395,3,0),"")</f>
        <v>1.6446</v>
      </c>
    </row>
    <row r="6563" spans="1:9">
      <c r="A6563" s="6">
        <v>46056</v>
      </c>
      <c r="B6563">
        <f>IFERROR(VLOOKUP($A6563,原始数据_收盘!$A$4:$G$3460,2,0),"")</f>
        <v>1.5125</v>
      </c>
      <c r="C6563">
        <f>IFERROR(VLOOKUP($A6563,原始数据_收盘!$A$4:$G$3460,3,0),"")</f>
        <v>1.6375</v>
      </c>
      <c r="D6563">
        <f>IFERROR(VLOOKUP($A6563,原始数据_收盘!$A$4:$G$3460,4,0),"")</f>
        <v>1.515</v>
      </c>
      <c r="E6563">
        <f>IFERROR(VLOOKUP($A6563,原始数据_收盘!$A$4:$G$3460,5,0),"")</f>
        <v>1.64</v>
      </c>
      <c r="F6563">
        <f>IFERROR(VLOOKUP($A6563,原始数据_收盘!$A$4:$G$3460,6,0),"")</f>
        <v>1.5138</v>
      </c>
      <c r="G6563">
        <f>IFERROR(VLOOKUP($A6563,原始数据_收盘!$A$4:$G$3460,7,0),"")</f>
        <v>1.6388</v>
      </c>
      <c r="H6563">
        <f>IFERROR(VLOOKUP($A6563,原始数据_利率互换_FR007_1年!$A$6:$C$4395,2,0),"")</f>
        <v>1.5154</v>
      </c>
      <c r="I6563">
        <f>IFERROR(VLOOKUP($A6563,原始数据_利率互换_FR007_1年!$A$6:$C$4395,3,0),"")</f>
        <v>1.6444</v>
      </c>
    </row>
    <row r="6564" spans="1:9">
      <c r="A6564" s="6">
        <v>46057</v>
      </c>
      <c r="B6564">
        <f>IFERROR(VLOOKUP($A6564,原始数据_收盘!$A$4:$G$3460,2,0),"")</f>
        <v>1.5175</v>
      </c>
      <c r="C6564">
        <f>IFERROR(VLOOKUP($A6564,原始数据_收盘!$A$4:$G$3460,3,0),"")</f>
        <v>1.6425</v>
      </c>
      <c r="D6564">
        <f>IFERROR(VLOOKUP($A6564,原始数据_收盘!$A$4:$G$3460,4,0),"")</f>
        <v>1.52</v>
      </c>
      <c r="E6564">
        <f>IFERROR(VLOOKUP($A6564,原始数据_收盘!$A$4:$G$3460,5,0),"")</f>
        <v>1.645</v>
      </c>
      <c r="F6564">
        <f>IFERROR(VLOOKUP($A6564,原始数据_收盘!$A$4:$G$3460,6,0),"")</f>
        <v>1.5188</v>
      </c>
      <c r="G6564">
        <f>IFERROR(VLOOKUP($A6564,原始数据_收盘!$A$4:$G$3460,7,0),"")</f>
        <v>1.6438</v>
      </c>
      <c r="H6564">
        <f>IFERROR(VLOOKUP($A6564,原始数据_利率互换_FR007_1年!$A$6:$C$4395,2,0),"")</f>
        <v>1.516</v>
      </c>
      <c r="I6564">
        <f>IFERROR(VLOOKUP($A6564,原始数据_利率互换_FR007_1年!$A$6:$C$4395,3,0),"")</f>
        <v>1.6408</v>
      </c>
    </row>
    <row r="6565" spans="1:9">
      <c r="A6565" s="6">
        <v>46058</v>
      </c>
      <c r="B6565">
        <f>IFERROR(VLOOKUP($A6565,原始数据_收盘!$A$4:$G$3460,2,0),"")</f>
        <v>1.51</v>
      </c>
      <c r="C6565">
        <f>IFERROR(VLOOKUP($A6565,原始数据_收盘!$A$4:$G$3460,3,0),"")</f>
        <v>1.63</v>
      </c>
      <c r="D6565">
        <f>IFERROR(VLOOKUP($A6565,原始数据_收盘!$A$4:$G$3460,4,0),"")</f>
        <v>1.5126</v>
      </c>
      <c r="E6565">
        <f>IFERROR(VLOOKUP($A6565,原始数据_收盘!$A$4:$G$3460,5,0),"")</f>
        <v>1.6325</v>
      </c>
      <c r="F6565">
        <f>IFERROR(VLOOKUP($A6565,原始数据_收盘!$A$4:$G$3460,6,0),"")</f>
        <v>1.5113</v>
      </c>
      <c r="G6565">
        <f>IFERROR(VLOOKUP($A6565,原始数据_收盘!$A$4:$G$3460,7,0),"")</f>
        <v>1.6313</v>
      </c>
      <c r="H6565">
        <f>IFERROR(VLOOKUP($A6565,原始数据_利率互换_FR007_1年!$A$6:$C$4395,2,0),"")</f>
        <v>1.5142</v>
      </c>
      <c r="I6565">
        <f>IFERROR(VLOOKUP($A6565,原始数据_利率互换_FR007_1年!$A$6:$C$4395,3,0),"")</f>
        <v>1.6349</v>
      </c>
    </row>
    <row r="6566" spans="1:9">
      <c r="A6566" s="6">
        <v>46059</v>
      </c>
      <c r="B6566">
        <f>IFERROR(VLOOKUP($A6566,原始数据_收盘!$A$4:$G$3460,2,0),"")</f>
        <v>1.5025</v>
      </c>
      <c r="C6566">
        <f>IFERROR(VLOOKUP($A6566,原始数据_收盘!$A$4:$G$3460,3,0),"")</f>
        <v>1.6155</v>
      </c>
      <c r="D6566">
        <f>IFERROR(VLOOKUP($A6566,原始数据_收盘!$A$4:$G$3460,4,0),"")</f>
        <v>1.505</v>
      </c>
      <c r="E6566">
        <f>IFERROR(VLOOKUP($A6566,原始数据_收盘!$A$4:$G$3460,5,0),"")</f>
        <v>1.6184</v>
      </c>
      <c r="F6566">
        <f>IFERROR(VLOOKUP($A6566,原始数据_收盘!$A$4:$G$3460,6,0),"")</f>
        <v>1.5038</v>
      </c>
      <c r="G6566">
        <f>IFERROR(VLOOKUP($A6566,原始数据_收盘!$A$4:$G$3460,7,0),"")</f>
        <v>1.617</v>
      </c>
      <c r="H6566">
        <f>IFERROR(VLOOKUP($A6566,原始数据_利率互换_FR007_1年!$A$6:$C$4395,2,0),"")</f>
        <v>1.5054</v>
      </c>
      <c r="I6566">
        <f>IFERROR(VLOOKUP($A6566,原始数据_利率互换_FR007_1年!$A$6:$C$4395,3,0),"")</f>
        <v>1.6213</v>
      </c>
    </row>
    <row r="6567" spans="1:9">
      <c r="A6567" s="6">
        <v>46060</v>
      </c>
      <c r="B6567" t="str">
        <f>IFERROR(VLOOKUP($A6567,原始数据_收盘!$A$4:$G$3460,2,0),"")</f>
        <v/>
      </c>
      <c r="C6567" t="str">
        <f>IFERROR(VLOOKUP($A6567,原始数据_收盘!$A$4:$G$3460,3,0),"")</f>
        <v/>
      </c>
      <c r="D6567" t="str">
        <f>IFERROR(VLOOKUP($A6567,原始数据_收盘!$A$4:$G$3460,4,0),"")</f>
        <v/>
      </c>
      <c r="E6567" t="str">
        <f>IFERROR(VLOOKUP($A6567,原始数据_收盘!$A$4:$G$3460,5,0),"")</f>
        <v/>
      </c>
      <c r="F6567" t="str">
        <f>IFERROR(VLOOKUP($A6567,原始数据_收盘!$A$4:$G$3460,6,0),"")</f>
        <v/>
      </c>
      <c r="G6567" t="str">
        <f>IFERROR(VLOOKUP($A6567,原始数据_收盘!$A$4:$G$3460,7,0),"")</f>
        <v/>
      </c>
      <c r="H6567" t="str">
        <f>IFERROR(VLOOKUP($A6567,原始数据_利率互换_FR007_1年!$A$6:$C$4395,2,0),"")</f>
        <v/>
      </c>
      <c r="I6567" t="str">
        <f>IFERROR(VLOOKUP($A6567,原始数据_利率互换_FR007_1年!$A$6:$C$4395,3,0),"")</f>
        <v/>
      </c>
    </row>
    <row r="6568" spans="1:9">
      <c r="A6568" s="6">
        <v>46061</v>
      </c>
      <c r="B6568" t="str">
        <f>IFERROR(VLOOKUP($A6568,原始数据_收盘!$A$4:$G$3460,2,0),"")</f>
        <v/>
      </c>
      <c r="C6568" t="str">
        <f>IFERROR(VLOOKUP($A6568,原始数据_收盘!$A$4:$G$3460,3,0),"")</f>
        <v/>
      </c>
      <c r="D6568" t="str">
        <f>IFERROR(VLOOKUP($A6568,原始数据_收盘!$A$4:$G$3460,4,0),"")</f>
        <v/>
      </c>
      <c r="E6568" t="str">
        <f>IFERROR(VLOOKUP($A6568,原始数据_收盘!$A$4:$G$3460,5,0),"")</f>
        <v/>
      </c>
      <c r="F6568" t="str">
        <f>IFERROR(VLOOKUP($A6568,原始数据_收盘!$A$4:$G$3460,6,0),"")</f>
        <v/>
      </c>
      <c r="G6568" t="str">
        <f>IFERROR(VLOOKUP($A6568,原始数据_收盘!$A$4:$G$3460,7,0),"")</f>
        <v/>
      </c>
      <c r="H6568" t="str">
        <f>IFERROR(VLOOKUP($A6568,原始数据_利率互换_FR007_1年!$A$6:$C$4395,2,0),"")</f>
        <v/>
      </c>
      <c r="I6568" t="str">
        <f>IFERROR(VLOOKUP($A6568,原始数据_利率互换_FR007_1年!$A$6:$C$4395,3,0),"")</f>
        <v/>
      </c>
    </row>
    <row r="6569" spans="1:9">
      <c r="A6569" s="6">
        <v>46062</v>
      </c>
      <c r="B6569">
        <f>IFERROR(VLOOKUP($A6569,原始数据_收盘!$A$4:$G$3460,2,0),"")</f>
        <v>1.4973</v>
      </c>
      <c r="C6569">
        <f>IFERROR(VLOOKUP($A6569,原始数据_收盘!$A$4:$G$3460,3,0),"")</f>
        <v>1.605</v>
      </c>
      <c r="D6569">
        <f>IFERROR(VLOOKUP($A6569,原始数据_收盘!$A$4:$G$3460,4,0),"")</f>
        <v>1.4998</v>
      </c>
      <c r="E6569">
        <f>IFERROR(VLOOKUP($A6569,原始数据_收盘!$A$4:$G$3460,5,0),"")</f>
        <v>1.6075</v>
      </c>
      <c r="F6569">
        <f>IFERROR(VLOOKUP($A6569,原始数据_收盘!$A$4:$G$3460,6,0),"")</f>
        <v>1.4986</v>
      </c>
      <c r="G6569">
        <f>IFERROR(VLOOKUP($A6569,原始数据_收盘!$A$4:$G$3460,7,0),"")</f>
        <v>1.6063</v>
      </c>
      <c r="H6569">
        <f>IFERROR(VLOOKUP($A6569,原始数据_利率互换_FR007_1年!$A$6:$C$4395,2,0),"")</f>
        <v>1.4998</v>
      </c>
      <c r="I6569">
        <f>IFERROR(VLOOKUP($A6569,原始数据_利率互换_FR007_1年!$A$6:$C$4395,3,0),"")</f>
        <v>1.6111</v>
      </c>
    </row>
    <row r="6570" spans="1:9">
      <c r="A6570" s="6">
        <v>46063</v>
      </c>
      <c r="B6570">
        <f>IFERROR(VLOOKUP($A6570,原始数据_收盘!$A$4:$G$3460,2,0),"")</f>
        <v>1.495</v>
      </c>
      <c r="C6570">
        <f>IFERROR(VLOOKUP($A6570,原始数据_收盘!$A$4:$G$3460,3,0),"")</f>
        <v>1.6075</v>
      </c>
      <c r="D6570">
        <f>IFERROR(VLOOKUP($A6570,原始数据_收盘!$A$4:$G$3460,4,0),"")</f>
        <v>1.4975</v>
      </c>
      <c r="E6570">
        <f>IFERROR(VLOOKUP($A6570,原始数据_收盘!$A$4:$G$3460,5,0),"")</f>
        <v>1.61</v>
      </c>
      <c r="F6570">
        <f>IFERROR(VLOOKUP($A6570,原始数据_收盘!$A$4:$G$3460,6,0),"")</f>
        <v>1.4963</v>
      </c>
      <c r="G6570">
        <f>IFERROR(VLOOKUP($A6570,原始数据_收盘!$A$4:$G$3460,7,0),"")</f>
        <v>1.6088</v>
      </c>
      <c r="H6570">
        <f>IFERROR(VLOOKUP($A6570,原始数据_利率互换_FR007_1年!$A$6:$C$4395,2,0),"")</f>
        <v>1.4992</v>
      </c>
      <c r="I6570">
        <f>IFERROR(VLOOKUP($A6570,原始数据_利率互换_FR007_1年!$A$6:$C$4395,3,0),"")</f>
        <v>1.6068</v>
      </c>
    </row>
    <row r="6571" spans="1:9">
      <c r="A6571" s="6">
        <v>46064</v>
      </c>
      <c r="B6571">
        <f>IFERROR(VLOOKUP($A6571,原始数据_收盘!$A$4:$G$3460,2,0),"")</f>
        <v>1.5025</v>
      </c>
      <c r="C6571">
        <f>IFERROR(VLOOKUP($A6571,原始数据_收盘!$A$4:$G$3460,3,0),"")</f>
        <v>1.6025</v>
      </c>
      <c r="D6571">
        <f>IFERROR(VLOOKUP($A6571,原始数据_收盘!$A$4:$G$3460,4,0),"")</f>
        <v>1.505</v>
      </c>
      <c r="E6571">
        <f>IFERROR(VLOOKUP($A6571,原始数据_收盘!$A$4:$G$3460,5,0),"")</f>
        <v>1.605</v>
      </c>
      <c r="F6571">
        <f>IFERROR(VLOOKUP($A6571,原始数据_收盘!$A$4:$G$3460,6,0),"")</f>
        <v>1.5038</v>
      </c>
      <c r="G6571">
        <f>IFERROR(VLOOKUP($A6571,原始数据_收盘!$A$4:$G$3460,7,0),"")</f>
        <v>1.6038</v>
      </c>
      <c r="H6571">
        <f>IFERROR(VLOOKUP($A6571,原始数据_利率互换_FR007_1年!$A$6:$C$4395,2,0),"")</f>
        <v>1.497</v>
      </c>
      <c r="I6571">
        <f>IFERROR(VLOOKUP($A6571,原始数据_利率互换_FR007_1年!$A$6:$C$4395,3,0),"")</f>
        <v>1.5986</v>
      </c>
    </row>
    <row r="6572" spans="1:9">
      <c r="A6572" s="6">
        <v>46065</v>
      </c>
      <c r="B6572">
        <f>IFERROR(VLOOKUP($A6572,原始数据_收盘!$A$4:$G$3460,2,0),"")</f>
        <v>1.5</v>
      </c>
      <c r="C6572">
        <f>IFERROR(VLOOKUP($A6572,原始数据_收盘!$A$4:$G$3460,3,0),"")</f>
        <v>1.595</v>
      </c>
      <c r="D6572">
        <f>IFERROR(VLOOKUP($A6572,原始数据_收盘!$A$4:$G$3460,4,0),"")</f>
        <v>1.5025</v>
      </c>
      <c r="E6572">
        <f>IFERROR(VLOOKUP($A6572,原始数据_收盘!$A$4:$G$3460,5,0),"")</f>
        <v>1.5975</v>
      </c>
      <c r="F6572">
        <f>IFERROR(VLOOKUP($A6572,原始数据_收盘!$A$4:$G$3460,6,0),"")</f>
        <v>1.5013</v>
      </c>
      <c r="G6572">
        <f>IFERROR(VLOOKUP($A6572,原始数据_收盘!$A$4:$G$3460,7,0),"")</f>
        <v>1.5963</v>
      </c>
      <c r="H6572">
        <f>IFERROR(VLOOKUP($A6572,原始数据_利率互换_FR007_1年!$A$6:$C$4395,2,0),"")</f>
        <v>1.5013</v>
      </c>
      <c r="I6572">
        <f>IFERROR(VLOOKUP($A6572,原始数据_利率互换_FR007_1年!$A$6:$C$4395,3,0),"")</f>
        <v>1.5952</v>
      </c>
    </row>
    <row r="6573" spans="1:9">
      <c r="A6573" s="6">
        <v>46066</v>
      </c>
      <c r="B6573">
        <f>IFERROR(VLOOKUP($A6573,原始数据_收盘!$A$4:$G$3460,2,0),"")</f>
        <v>1.4975</v>
      </c>
      <c r="C6573">
        <f>IFERROR(VLOOKUP($A6573,原始数据_收盘!$A$4:$G$3460,3,0),"")</f>
        <v>1.595</v>
      </c>
      <c r="D6573">
        <f>IFERROR(VLOOKUP($A6573,原始数据_收盘!$A$4:$G$3460,4,0),"")</f>
        <v>1.5</v>
      </c>
      <c r="E6573">
        <f>IFERROR(VLOOKUP($A6573,原始数据_收盘!$A$4:$G$3460,5,0),"")</f>
        <v>1.5975</v>
      </c>
      <c r="F6573">
        <f>IFERROR(VLOOKUP($A6573,原始数据_收盘!$A$4:$G$3460,6,0),"")</f>
        <v>1.4988</v>
      </c>
      <c r="G6573">
        <f>IFERROR(VLOOKUP($A6573,原始数据_收盘!$A$4:$G$3460,7,0),"")</f>
        <v>1.5963</v>
      </c>
      <c r="H6573">
        <f>IFERROR(VLOOKUP($A6573,原始数据_利率互换_FR007_1年!$A$6:$C$4395,2,0),"")</f>
        <v>1.4971</v>
      </c>
      <c r="I6573">
        <f>IFERROR(VLOOKUP($A6573,原始数据_利率互换_FR007_1年!$A$6:$C$4395,3,0),"")</f>
        <v>1.5917</v>
      </c>
    </row>
    <row r="6574" spans="1:9">
      <c r="A6574" s="6">
        <v>46067</v>
      </c>
      <c r="B6574">
        <f>IFERROR(VLOOKUP($A6574,原始数据_收盘!$A$4:$G$3460,2,0),"")</f>
        <v>1.495</v>
      </c>
      <c r="C6574">
        <f>IFERROR(VLOOKUP($A6574,原始数据_收盘!$A$4:$G$3460,3,0),"")</f>
        <v>1.5925</v>
      </c>
      <c r="D6574">
        <f>IFERROR(VLOOKUP($A6574,原始数据_收盘!$A$4:$G$3460,4,0),"")</f>
        <v>1.5025</v>
      </c>
      <c r="E6574">
        <f>IFERROR(VLOOKUP($A6574,原始数据_收盘!$A$4:$G$3460,5,0),"")</f>
        <v>1.5975</v>
      </c>
      <c r="F6574">
        <f>IFERROR(VLOOKUP($A6574,原始数据_收盘!$A$4:$G$3460,6,0),"")</f>
        <v>1.4988</v>
      </c>
      <c r="G6574">
        <f>IFERROR(VLOOKUP($A6574,原始数据_收盘!$A$4:$G$3460,7,0),"")</f>
        <v>1.595</v>
      </c>
      <c r="H6574" t="str">
        <f>IFERROR(VLOOKUP($A6574,原始数据_利率互换_FR007_1年!$A$6:$C$4395,2,0),"")</f>
        <v/>
      </c>
      <c r="I6574" t="str">
        <f>IFERROR(VLOOKUP($A6574,原始数据_利率互换_FR007_1年!$A$6:$C$4395,3,0),"")</f>
        <v/>
      </c>
    </row>
    <row r="6575" spans="1:9">
      <c r="A6575" s="6">
        <v>46068</v>
      </c>
      <c r="B6575" t="str">
        <f>IFERROR(VLOOKUP($A6575,原始数据_收盘!$A$4:$G$3460,2,0),"")</f>
        <v/>
      </c>
      <c r="C6575" t="str">
        <f>IFERROR(VLOOKUP($A6575,原始数据_收盘!$A$4:$G$3460,3,0),"")</f>
        <v/>
      </c>
      <c r="D6575" t="str">
        <f>IFERROR(VLOOKUP($A6575,原始数据_收盘!$A$4:$G$3460,4,0),"")</f>
        <v/>
      </c>
      <c r="E6575" t="str">
        <f>IFERROR(VLOOKUP($A6575,原始数据_收盘!$A$4:$G$3460,5,0),"")</f>
        <v/>
      </c>
      <c r="F6575" t="str">
        <f>IFERROR(VLOOKUP($A6575,原始数据_收盘!$A$4:$G$3460,6,0),"")</f>
        <v/>
      </c>
      <c r="G6575" t="str">
        <f>IFERROR(VLOOKUP($A6575,原始数据_收盘!$A$4:$G$3460,7,0),"")</f>
        <v/>
      </c>
      <c r="H6575" t="str">
        <f>IFERROR(VLOOKUP($A6575,原始数据_利率互换_FR007_1年!$A$6:$C$4395,2,0),"")</f>
        <v/>
      </c>
      <c r="I6575" t="str">
        <f>IFERROR(VLOOKUP($A6575,原始数据_利率互换_FR007_1年!$A$6:$C$4395,3,0),"")</f>
        <v/>
      </c>
    </row>
    <row r="6576" spans="1:9">
      <c r="A6576" s="6">
        <v>46069</v>
      </c>
      <c r="B6576" t="str">
        <f>IFERROR(VLOOKUP($A6576,原始数据_收盘!$A$4:$G$3460,2,0),"")</f>
        <v/>
      </c>
      <c r="C6576" t="str">
        <f>IFERROR(VLOOKUP($A6576,原始数据_收盘!$A$4:$G$3460,3,0),"")</f>
        <v/>
      </c>
      <c r="D6576" t="str">
        <f>IFERROR(VLOOKUP($A6576,原始数据_收盘!$A$4:$G$3460,4,0),"")</f>
        <v/>
      </c>
      <c r="E6576" t="str">
        <f>IFERROR(VLOOKUP($A6576,原始数据_收盘!$A$4:$G$3460,5,0),"")</f>
        <v/>
      </c>
      <c r="F6576" t="str">
        <f>IFERROR(VLOOKUP($A6576,原始数据_收盘!$A$4:$G$3460,6,0),"")</f>
        <v/>
      </c>
      <c r="G6576" t="str">
        <f>IFERROR(VLOOKUP($A6576,原始数据_收盘!$A$4:$G$3460,7,0),"")</f>
        <v/>
      </c>
      <c r="H6576" t="str">
        <f>IFERROR(VLOOKUP($A6576,原始数据_利率互换_FR007_1年!$A$6:$C$4395,2,0),"")</f>
        <v/>
      </c>
      <c r="I6576" t="str">
        <f>IFERROR(VLOOKUP($A6576,原始数据_利率互换_FR007_1年!$A$6:$C$4395,3,0),"")</f>
        <v/>
      </c>
    </row>
    <row r="6577" spans="1:9">
      <c r="A6577" s="6">
        <v>46070</v>
      </c>
      <c r="B6577" t="str">
        <f>IFERROR(VLOOKUP($A6577,原始数据_收盘!$A$4:$G$3460,2,0),"")</f>
        <v/>
      </c>
      <c r="C6577" t="str">
        <f>IFERROR(VLOOKUP($A6577,原始数据_收盘!$A$4:$G$3460,3,0),"")</f>
        <v/>
      </c>
      <c r="D6577" t="str">
        <f>IFERROR(VLOOKUP($A6577,原始数据_收盘!$A$4:$G$3460,4,0),"")</f>
        <v/>
      </c>
      <c r="E6577" t="str">
        <f>IFERROR(VLOOKUP($A6577,原始数据_收盘!$A$4:$G$3460,5,0),"")</f>
        <v/>
      </c>
      <c r="F6577" t="str">
        <f>IFERROR(VLOOKUP($A6577,原始数据_收盘!$A$4:$G$3460,6,0),"")</f>
        <v/>
      </c>
      <c r="G6577" t="str">
        <f>IFERROR(VLOOKUP($A6577,原始数据_收盘!$A$4:$G$3460,7,0),"")</f>
        <v/>
      </c>
      <c r="H6577" t="str">
        <f>IFERROR(VLOOKUP($A6577,原始数据_利率互换_FR007_1年!$A$6:$C$4395,2,0),"")</f>
        <v/>
      </c>
      <c r="I6577" t="str">
        <f>IFERROR(VLOOKUP($A6577,原始数据_利率互换_FR007_1年!$A$6:$C$4395,3,0),"")</f>
        <v/>
      </c>
    </row>
    <row r="6578" spans="1:9">
      <c r="A6578" s="6">
        <v>46071</v>
      </c>
      <c r="B6578" t="str">
        <f>IFERROR(VLOOKUP($A6578,原始数据_收盘!$A$4:$G$3460,2,0),"")</f>
        <v/>
      </c>
      <c r="C6578" t="str">
        <f>IFERROR(VLOOKUP($A6578,原始数据_收盘!$A$4:$G$3460,3,0),"")</f>
        <v/>
      </c>
      <c r="D6578" t="str">
        <f>IFERROR(VLOOKUP($A6578,原始数据_收盘!$A$4:$G$3460,4,0),"")</f>
        <v/>
      </c>
      <c r="E6578" t="str">
        <f>IFERROR(VLOOKUP($A6578,原始数据_收盘!$A$4:$G$3460,5,0),"")</f>
        <v/>
      </c>
      <c r="F6578" t="str">
        <f>IFERROR(VLOOKUP($A6578,原始数据_收盘!$A$4:$G$3460,6,0),"")</f>
        <v/>
      </c>
      <c r="G6578" t="str">
        <f>IFERROR(VLOOKUP($A6578,原始数据_收盘!$A$4:$G$3460,7,0),"")</f>
        <v/>
      </c>
      <c r="H6578" t="str">
        <f>IFERROR(VLOOKUP($A6578,原始数据_利率互换_FR007_1年!$A$6:$C$4395,2,0),"")</f>
        <v/>
      </c>
      <c r="I6578" t="str">
        <f>IFERROR(VLOOKUP($A6578,原始数据_利率互换_FR007_1年!$A$6:$C$4395,3,0),"")</f>
        <v/>
      </c>
    </row>
    <row r="6579" spans="1:9">
      <c r="A6579" s="6">
        <v>46072</v>
      </c>
      <c r="B6579" t="str">
        <f>IFERROR(VLOOKUP($A6579,原始数据_收盘!$A$4:$G$3460,2,0),"")</f>
        <v/>
      </c>
      <c r="C6579" t="str">
        <f>IFERROR(VLOOKUP($A6579,原始数据_收盘!$A$4:$G$3460,3,0),"")</f>
        <v/>
      </c>
      <c r="D6579" t="str">
        <f>IFERROR(VLOOKUP($A6579,原始数据_收盘!$A$4:$G$3460,4,0),"")</f>
        <v/>
      </c>
      <c r="E6579" t="str">
        <f>IFERROR(VLOOKUP($A6579,原始数据_收盘!$A$4:$G$3460,5,0),"")</f>
        <v/>
      </c>
      <c r="F6579" t="str">
        <f>IFERROR(VLOOKUP($A6579,原始数据_收盘!$A$4:$G$3460,6,0),"")</f>
        <v/>
      </c>
      <c r="G6579" t="str">
        <f>IFERROR(VLOOKUP($A6579,原始数据_收盘!$A$4:$G$3460,7,0),"")</f>
        <v/>
      </c>
      <c r="H6579" t="str">
        <f>IFERROR(VLOOKUP($A6579,原始数据_利率互换_FR007_1年!$A$6:$C$4395,2,0),"")</f>
        <v/>
      </c>
      <c r="I6579" t="str">
        <f>IFERROR(VLOOKUP($A6579,原始数据_利率互换_FR007_1年!$A$6:$C$4395,3,0),"")</f>
        <v/>
      </c>
    </row>
    <row r="6580" spans="1:9">
      <c r="A6580" s="6">
        <v>46073</v>
      </c>
      <c r="B6580" t="str">
        <f>IFERROR(VLOOKUP($A6580,原始数据_收盘!$A$4:$G$3460,2,0),"")</f>
        <v/>
      </c>
      <c r="C6580" t="str">
        <f>IFERROR(VLOOKUP($A6580,原始数据_收盘!$A$4:$G$3460,3,0),"")</f>
        <v/>
      </c>
      <c r="D6580" t="str">
        <f>IFERROR(VLOOKUP($A6580,原始数据_收盘!$A$4:$G$3460,4,0),"")</f>
        <v/>
      </c>
      <c r="E6580" t="str">
        <f>IFERROR(VLOOKUP($A6580,原始数据_收盘!$A$4:$G$3460,5,0),"")</f>
        <v/>
      </c>
      <c r="F6580" t="str">
        <f>IFERROR(VLOOKUP($A6580,原始数据_收盘!$A$4:$G$3460,6,0),"")</f>
        <v/>
      </c>
      <c r="G6580" t="str">
        <f>IFERROR(VLOOKUP($A6580,原始数据_收盘!$A$4:$G$3460,7,0),"")</f>
        <v/>
      </c>
      <c r="H6580" t="str">
        <f>IFERROR(VLOOKUP($A6580,原始数据_利率互换_FR007_1年!$A$6:$C$4395,2,0),"")</f>
        <v/>
      </c>
      <c r="I6580" t="str">
        <f>IFERROR(VLOOKUP($A6580,原始数据_利率互换_FR007_1年!$A$6:$C$4395,3,0),"")</f>
        <v/>
      </c>
    </row>
    <row r="6581" spans="1:9">
      <c r="A6581" s="6">
        <v>46074</v>
      </c>
      <c r="B6581" t="str">
        <f>IFERROR(VLOOKUP($A6581,原始数据_收盘!$A$4:$G$3460,2,0),"")</f>
        <v/>
      </c>
      <c r="C6581" t="str">
        <f>IFERROR(VLOOKUP($A6581,原始数据_收盘!$A$4:$G$3460,3,0),"")</f>
        <v/>
      </c>
      <c r="D6581" t="str">
        <f>IFERROR(VLOOKUP($A6581,原始数据_收盘!$A$4:$G$3460,4,0),"")</f>
        <v/>
      </c>
      <c r="E6581" t="str">
        <f>IFERROR(VLOOKUP($A6581,原始数据_收盘!$A$4:$G$3460,5,0),"")</f>
        <v/>
      </c>
      <c r="F6581" t="str">
        <f>IFERROR(VLOOKUP($A6581,原始数据_收盘!$A$4:$G$3460,6,0),"")</f>
        <v/>
      </c>
      <c r="G6581" t="str">
        <f>IFERROR(VLOOKUP($A6581,原始数据_收盘!$A$4:$G$3460,7,0),"")</f>
        <v/>
      </c>
      <c r="H6581" t="str">
        <f>IFERROR(VLOOKUP($A6581,原始数据_利率互换_FR007_1年!$A$6:$C$4395,2,0),"")</f>
        <v/>
      </c>
      <c r="I6581" t="str">
        <f>IFERROR(VLOOKUP($A6581,原始数据_利率互换_FR007_1年!$A$6:$C$4395,3,0),"")</f>
        <v/>
      </c>
    </row>
    <row r="6582" spans="1:9">
      <c r="A6582" s="6">
        <v>46075</v>
      </c>
      <c r="B6582" t="str">
        <f>IFERROR(VLOOKUP($A6582,原始数据_收盘!$A$4:$G$3460,2,0),"")</f>
        <v/>
      </c>
      <c r="C6582" t="str">
        <f>IFERROR(VLOOKUP($A6582,原始数据_收盘!$A$4:$G$3460,3,0),"")</f>
        <v/>
      </c>
      <c r="D6582" t="str">
        <f>IFERROR(VLOOKUP($A6582,原始数据_收盘!$A$4:$G$3460,4,0),"")</f>
        <v/>
      </c>
      <c r="E6582" t="str">
        <f>IFERROR(VLOOKUP($A6582,原始数据_收盘!$A$4:$G$3460,5,0),"")</f>
        <v/>
      </c>
      <c r="F6582" t="str">
        <f>IFERROR(VLOOKUP($A6582,原始数据_收盘!$A$4:$G$3460,6,0),"")</f>
        <v/>
      </c>
      <c r="G6582" t="str">
        <f>IFERROR(VLOOKUP($A6582,原始数据_收盘!$A$4:$G$3460,7,0),"")</f>
        <v/>
      </c>
      <c r="H6582" t="str">
        <f>IFERROR(VLOOKUP($A6582,原始数据_利率互换_FR007_1年!$A$6:$C$4395,2,0),"")</f>
        <v/>
      </c>
      <c r="I6582" t="str">
        <f>IFERROR(VLOOKUP($A6582,原始数据_利率互换_FR007_1年!$A$6:$C$4395,3,0),"")</f>
        <v/>
      </c>
    </row>
    <row r="6583" spans="1:9">
      <c r="A6583" s="6">
        <v>46076</v>
      </c>
      <c r="B6583" t="str">
        <f>IFERROR(VLOOKUP($A6583,原始数据_收盘!$A$4:$G$3460,2,0),"")</f>
        <v/>
      </c>
      <c r="C6583" t="str">
        <f>IFERROR(VLOOKUP($A6583,原始数据_收盘!$A$4:$G$3460,3,0),"")</f>
        <v/>
      </c>
      <c r="D6583" t="str">
        <f>IFERROR(VLOOKUP($A6583,原始数据_收盘!$A$4:$G$3460,4,0),"")</f>
        <v/>
      </c>
      <c r="E6583" t="str">
        <f>IFERROR(VLOOKUP($A6583,原始数据_收盘!$A$4:$G$3460,5,0),"")</f>
        <v/>
      </c>
      <c r="F6583" t="str">
        <f>IFERROR(VLOOKUP($A6583,原始数据_收盘!$A$4:$G$3460,6,0),"")</f>
        <v/>
      </c>
      <c r="G6583" t="str">
        <f>IFERROR(VLOOKUP($A6583,原始数据_收盘!$A$4:$G$3460,7,0),"")</f>
        <v/>
      </c>
      <c r="H6583" t="str">
        <f>IFERROR(VLOOKUP($A6583,原始数据_利率互换_FR007_1年!$A$6:$C$4395,2,0),"")</f>
        <v/>
      </c>
      <c r="I6583" t="str">
        <f>IFERROR(VLOOKUP($A6583,原始数据_利率互换_FR007_1年!$A$6:$C$4395,3,0),"")</f>
        <v/>
      </c>
    </row>
    <row r="6584" spans="1:9">
      <c r="A6584" s="6">
        <v>46077</v>
      </c>
      <c r="B6584">
        <f>IFERROR(VLOOKUP($A6584,原始数据_收盘!$A$4:$G$3460,2,0),"")</f>
        <v>1.49</v>
      </c>
      <c r="C6584">
        <f>IFERROR(VLOOKUP($A6584,原始数据_收盘!$A$4:$G$3460,3,0),"")</f>
        <v>1.58</v>
      </c>
      <c r="D6584">
        <f>IFERROR(VLOOKUP($A6584,原始数据_收盘!$A$4:$G$3460,4,0),"")</f>
        <v>1.4925</v>
      </c>
      <c r="E6584">
        <f>IFERROR(VLOOKUP($A6584,原始数据_收盘!$A$4:$G$3460,5,0),"")</f>
        <v>1.5825</v>
      </c>
      <c r="F6584">
        <f>IFERROR(VLOOKUP($A6584,原始数据_收盘!$A$4:$G$3460,6,0),"")</f>
        <v>1.4913</v>
      </c>
      <c r="G6584">
        <f>IFERROR(VLOOKUP($A6584,原始数据_收盘!$A$4:$G$3460,7,0),"")</f>
        <v>1.5813</v>
      </c>
      <c r="H6584">
        <f>IFERROR(VLOOKUP($A6584,原始数据_利率互换_FR007_1年!$A$6:$C$4395,2,0),"")</f>
        <v>1.4935</v>
      </c>
      <c r="I6584">
        <f>IFERROR(VLOOKUP($A6584,原始数据_利率互换_FR007_1年!$A$6:$C$4395,3,0),"")</f>
        <v>1.584</v>
      </c>
    </row>
    <row r="6585" spans="1:9">
      <c r="A6585" s="6">
        <v>46078</v>
      </c>
      <c r="B6585">
        <f>IFERROR(VLOOKUP($A6585,原始数据_收盘!$A$4:$G$3460,2,0),"")</f>
        <v>1.4925</v>
      </c>
      <c r="C6585">
        <f>IFERROR(VLOOKUP($A6585,原始数据_收盘!$A$4:$G$3460,3,0),"")</f>
        <v>1.5886</v>
      </c>
      <c r="D6585">
        <f>IFERROR(VLOOKUP($A6585,原始数据_收盘!$A$4:$G$3460,4,0),"")</f>
        <v>1.495</v>
      </c>
      <c r="E6585">
        <f>IFERROR(VLOOKUP($A6585,原始数据_收盘!$A$4:$G$3460,5,0),"")</f>
        <v>1.5912</v>
      </c>
      <c r="F6585">
        <f>IFERROR(VLOOKUP($A6585,原始数据_收盘!$A$4:$G$3460,6,0),"")</f>
        <v>1.4938</v>
      </c>
      <c r="G6585">
        <f>IFERROR(VLOOKUP($A6585,原始数据_收盘!$A$4:$G$3460,7,0),"")</f>
        <v>1.5899</v>
      </c>
      <c r="H6585">
        <f>IFERROR(VLOOKUP($A6585,原始数据_利率互换_FR007_1年!$A$6:$C$4395,2,0),"")</f>
        <v>1.496</v>
      </c>
      <c r="I6585">
        <f>IFERROR(VLOOKUP($A6585,原始数据_利率互换_FR007_1年!$A$6:$C$4395,3,0),"")</f>
        <v>1.5887</v>
      </c>
    </row>
    <row r="6586" spans="1:9">
      <c r="A6586" s="6">
        <v>46079</v>
      </c>
      <c r="B6586">
        <f>IFERROR(VLOOKUP($A6586,原始数据_收盘!$A$4:$G$3460,2,0),"")</f>
        <v>1.495</v>
      </c>
      <c r="C6586">
        <f>IFERROR(VLOOKUP($A6586,原始数据_收盘!$A$4:$G$3460,3,0),"")</f>
        <v>1.6</v>
      </c>
      <c r="D6586">
        <f>IFERROR(VLOOKUP($A6586,原始数据_收盘!$A$4:$G$3460,4,0),"")</f>
        <v>1.4975</v>
      </c>
      <c r="E6586">
        <f>IFERROR(VLOOKUP($A6586,原始数据_收盘!$A$4:$G$3460,5,0),"")</f>
        <v>1.6025</v>
      </c>
      <c r="F6586">
        <f>IFERROR(VLOOKUP($A6586,原始数据_收盘!$A$4:$G$3460,6,0),"")</f>
        <v>1.4963</v>
      </c>
      <c r="G6586">
        <f>IFERROR(VLOOKUP($A6586,原始数据_收盘!$A$4:$G$3460,7,0),"")</f>
        <v>1.6013</v>
      </c>
      <c r="H6586">
        <f>IFERROR(VLOOKUP($A6586,原始数据_利率互换_FR007_1年!$A$6:$C$4395,2,0),"")</f>
        <v>1.498</v>
      </c>
      <c r="I6586">
        <f>IFERROR(VLOOKUP($A6586,原始数据_利率互换_FR007_1年!$A$6:$C$4395,3,0),"")</f>
        <v>1.6004</v>
      </c>
    </row>
    <row r="6587" spans="1:9">
      <c r="A6587" s="6">
        <v>46080</v>
      </c>
      <c r="B6587">
        <f>IFERROR(VLOOKUP($A6587,原始数据_收盘!$A$4:$G$3460,2,0),"")</f>
        <v>1.49</v>
      </c>
      <c r="C6587">
        <f>IFERROR(VLOOKUP($A6587,原始数据_收盘!$A$4:$G$3460,3,0),"")</f>
        <v>1.59</v>
      </c>
      <c r="D6587">
        <f>IFERROR(VLOOKUP($A6587,原始数据_收盘!$A$4:$G$3460,4,0),"")</f>
        <v>1.4925</v>
      </c>
      <c r="E6587">
        <f>IFERROR(VLOOKUP($A6587,原始数据_收盘!$A$4:$G$3460,5,0),"")</f>
        <v>1.5925</v>
      </c>
      <c r="F6587">
        <f>IFERROR(VLOOKUP($A6587,原始数据_收盘!$A$4:$G$3460,6,0),"")</f>
        <v>1.4913</v>
      </c>
      <c r="G6587">
        <f>IFERROR(VLOOKUP($A6587,原始数据_收盘!$A$4:$G$3460,7,0),"")</f>
        <v>1.5913</v>
      </c>
      <c r="H6587">
        <f>IFERROR(VLOOKUP($A6587,原始数据_利率互换_FR007_1年!$A$6:$C$4395,2,0),"")</f>
        <v>1.493</v>
      </c>
      <c r="I6587">
        <f>IFERROR(VLOOKUP($A6587,原始数据_利率互换_FR007_1年!$A$6:$C$4395,3,0),"")</f>
        <v>1.5935</v>
      </c>
    </row>
    <row r="6588" spans="1:9">
      <c r="A6588" s="6">
        <v>46081</v>
      </c>
      <c r="B6588">
        <f>IFERROR(VLOOKUP($A6588,原始数据_收盘!$A$4:$G$3460,2,0),"")</f>
        <v>1.485</v>
      </c>
      <c r="C6588">
        <f>IFERROR(VLOOKUP($A6588,原始数据_收盘!$A$4:$G$3460,3,0),"")</f>
        <v>1.5814</v>
      </c>
      <c r="D6588">
        <f>IFERROR(VLOOKUP($A6588,原始数据_收盘!$A$4:$G$3460,4,0),"")</f>
        <v>1.49</v>
      </c>
      <c r="E6588">
        <f>IFERROR(VLOOKUP($A6588,原始数据_收盘!$A$4:$G$3460,5,0),"")</f>
        <v>1.5854</v>
      </c>
      <c r="F6588">
        <f>IFERROR(VLOOKUP($A6588,原始数据_收盘!$A$4:$G$3460,6,0),"")</f>
        <v>1.4875</v>
      </c>
      <c r="G6588">
        <f>IFERROR(VLOOKUP($A6588,原始数据_收盘!$A$4:$G$3460,7,0),"")</f>
        <v>1.5834</v>
      </c>
      <c r="H6588">
        <f>IFERROR(VLOOKUP($A6588,原始数据_利率互换_FR007_1年!$A$6:$C$4395,2,0),"")</f>
        <v>1.4922</v>
      </c>
      <c r="I6588">
        <f>IFERROR(VLOOKUP($A6588,原始数据_利率互换_FR007_1年!$A$6:$C$4395,3,0),"")</f>
        <v>1.5899</v>
      </c>
    </row>
    <row r="6589" spans="1:9">
      <c r="A6589" s="6">
        <v>46082</v>
      </c>
      <c r="B6589" t="str">
        <f>IFERROR(VLOOKUP($A6589,原始数据_收盘!$A$4:$G$3460,2,0),"")</f>
        <v/>
      </c>
      <c r="C6589" t="str">
        <f>IFERROR(VLOOKUP($A6589,原始数据_收盘!$A$4:$G$3460,3,0),"")</f>
        <v/>
      </c>
      <c r="D6589" t="str">
        <f>IFERROR(VLOOKUP($A6589,原始数据_收盘!$A$4:$G$3460,4,0),"")</f>
        <v/>
      </c>
      <c r="E6589" t="str">
        <f>IFERROR(VLOOKUP($A6589,原始数据_收盘!$A$4:$G$3460,5,0),"")</f>
        <v/>
      </c>
      <c r="F6589" t="str">
        <f>IFERROR(VLOOKUP($A6589,原始数据_收盘!$A$4:$G$3460,6,0),"")</f>
        <v/>
      </c>
      <c r="G6589" t="str">
        <f>IFERROR(VLOOKUP($A6589,原始数据_收盘!$A$4:$G$3460,7,0),"")</f>
        <v/>
      </c>
      <c r="H6589" t="str">
        <f>IFERROR(VLOOKUP($A6589,原始数据_利率互换_FR007_1年!$A$6:$C$4395,2,0),"")</f>
        <v/>
      </c>
      <c r="I6589" t="str">
        <f>IFERROR(VLOOKUP($A6589,原始数据_利率互换_FR007_1年!$A$6:$C$4395,3,0),"")</f>
        <v/>
      </c>
    </row>
    <row r="6590" spans="1:9">
      <c r="A6590" s="6">
        <v>46083</v>
      </c>
      <c r="B6590">
        <f>IFERROR(VLOOKUP($A6590,原始数据_收盘!$A$4:$G$3460,2,0),"")</f>
        <v>1.475</v>
      </c>
      <c r="C6590">
        <f>IFERROR(VLOOKUP($A6590,原始数据_收盘!$A$4:$G$3460,3,0),"")</f>
        <v>1.5672</v>
      </c>
      <c r="D6590">
        <f>IFERROR(VLOOKUP($A6590,原始数据_收盘!$A$4:$G$3460,4,0),"")</f>
        <v>1.4775</v>
      </c>
      <c r="E6590">
        <f>IFERROR(VLOOKUP($A6590,原始数据_收盘!$A$4:$G$3460,5,0),"")</f>
        <v>1.57</v>
      </c>
      <c r="F6590">
        <f>IFERROR(VLOOKUP($A6590,原始数据_收盘!$A$4:$G$3460,6,0),"")</f>
        <v>1.4763</v>
      </c>
      <c r="G6590">
        <f>IFERROR(VLOOKUP($A6590,原始数据_收盘!$A$4:$G$3460,7,0),"")</f>
        <v>1.5686</v>
      </c>
      <c r="H6590">
        <f>IFERROR(VLOOKUP($A6590,原始数据_利率互换_FR007_1年!$A$6:$C$4395,2,0),"")</f>
        <v>1.4838</v>
      </c>
      <c r="I6590">
        <f>IFERROR(VLOOKUP($A6590,原始数据_利率互换_FR007_1年!$A$6:$C$4395,3,0),"")</f>
        <v>1.5713</v>
      </c>
    </row>
    <row r="6591" spans="1:9">
      <c r="A6591" s="6">
        <v>46084</v>
      </c>
      <c r="B6591">
        <f>IFERROR(VLOOKUP($A6591,原始数据_收盘!$A$4:$G$3460,2,0),"")</f>
        <v>1.48</v>
      </c>
      <c r="C6591">
        <f>IFERROR(VLOOKUP($A6591,原始数据_收盘!$A$4:$G$3460,3,0),"")</f>
        <v>1.5725</v>
      </c>
      <c r="D6591">
        <f>IFERROR(VLOOKUP($A6591,原始数据_收盘!$A$4:$G$3460,4,0),"")</f>
        <v>1.4825</v>
      </c>
      <c r="E6591">
        <f>IFERROR(VLOOKUP($A6591,原始数据_收盘!$A$4:$G$3460,5,0),"")</f>
        <v>1.575</v>
      </c>
      <c r="F6591">
        <f>IFERROR(VLOOKUP($A6591,原始数据_收盘!$A$4:$G$3460,6,0),"")</f>
        <v>1.4813</v>
      </c>
      <c r="G6591">
        <f>IFERROR(VLOOKUP($A6591,原始数据_收盘!$A$4:$G$3460,7,0),"")</f>
        <v>1.5738</v>
      </c>
      <c r="H6591">
        <f>IFERROR(VLOOKUP($A6591,原始数据_利率互换_FR007_1年!$A$6:$C$4395,2,0),"")</f>
        <v>1.4799</v>
      </c>
      <c r="I6591">
        <f>IFERROR(VLOOKUP($A6591,原始数据_利率互换_FR007_1年!$A$6:$C$4395,3,0),"")</f>
        <v>1.5731</v>
      </c>
    </row>
    <row r="6592" spans="1:9">
      <c r="A6592" s="6">
        <v>46085</v>
      </c>
      <c r="B6592">
        <f>IFERROR(VLOOKUP($A6592,原始数据_收盘!$A$4:$G$3460,2,0),"")</f>
        <v>1.4725</v>
      </c>
      <c r="C6592">
        <f>IFERROR(VLOOKUP($A6592,原始数据_收盘!$A$4:$G$3460,3,0),"")</f>
        <v>1.5675</v>
      </c>
      <c r="D6592">
        <f>IFERROR(VLOOKUP($A6592,原始数据_收盘!$A$4:$G$3460,4,0),"")</f>
        <v>1.475</v>
      </c>
      <c r="E6592">
        <f>IFERROR(VLOOKUP($A6592,原始数据_收盘!$A$4:$G$3460,5,0),"")</f>
        <v>1.57</v>
      </c>
      <c r="F6592">
        <f>IFERROR(VLOOKUP($A6592,原始数据_收盘!$A$4:$G$3460,6,0),"")</f>
        <v>1.4738</v>
      </c>
      <c r="G6592">
        <f>IFERROR(VLOOKUP($A6592,原始数据_收盘!$A$4:$G$3460,7,0),"")</f>
        <v>1.5688</v>
      </c>
      <c r="H6592">
        <f>IFERROR(VLOOKUP($A6592,原始数据_利率互换_FR007_1年!$A$6:$C$4395,2,0),"")</f>
        <v>1.4772</v>
      </c>
      <c r="I6592">
        <f>IFERROR(VLOOKUP($A6592,原始数据_利率互换_FR007_1年!$A$6:$C$4395,3,0),"")</f>
        <v>1.572</v>
      </c>
    </row>
    <row r="6593" spans="1:9">
      <c r="A6593" s="6">
        <v>46086</v>
      </c>
      <c r="B6593">
        <f>IFERROR(VLOOKUP($A6593,原始数据_收盘!$A$4:$G$3460,2,0),"")</f>
        <v>1.4727</v>
      </c>
      <c r="C6593">
        <f>IFERROR(VLOOKUP($A6593,原始数据_收盘!$A$4:$G$3460,3,0),"")</f>
        <v>1.565</v>
      </c>
      <c r="D6593">
        <f>IFERROR(VLOOKUP($A6593,原始数据_收盘!$A$4:$G$3460,4,0),"")</f>
        <v>1.4752</v>
      </c>
      <c r="E6593">
        <f>IFERROR(VLOOKUP($A6593,原始数据_收盘!$A$4:$G$3460,5,0),"")</f>
        <v>1.5675</v>
      </c>
      <c r="F6593">
        <f>IFERROR(VLOOKUP($A6593,原始数据_收盘!$A$4:$G$3460,6,0),"")</f>
        <v>1.4739</v>
      </c>
      <c r="G6593">
        <f>IFERROR(VLOOKUP($A6593,原始数据_收盘!$A$4:$G$3460,7,0),"")</f>
        <v>1.5663</v>
      </c>
      <c r="H6593">
        <f>IFERROR(VLOOKUP($A6593,原始数据_利率互换_FR007_1年!$A$6:$C$4395,2,0),"")</f>
        <v>1.4756</v>
      </c>
      <c r="I6593">
        <f>IFERROR(VLOOKUP($A6593,原始数据_利率互换_FR007_1年!$A$6:$C$4395,3,0),"")</f>
        <v>1.5683</v>
      </c>
    </row>
    <row r="6594" spans="1:9">
      <c r="A6594" s="6">
        <v>46087</v>
      </c>
      <c r="B6594">
        <f>IFERROR(VLOOKUP($A6594,原始数据_收盘!$A$4:$G$3460,2,0),"")</f>
        <v>1.4725</v>
      </c>
      <c r="C6594">
        <f>IFERROR(VLOOKUP($A6594,原始数据_收盘!$A$4:$G$3460,3,0),"")</f>
        <v>1.5675</v>
      </c>
      <c r="D6594">
        <f>IFERROR(VLOOKUP($A6594,原始数据_收盘!$A$4:$G$3460,4,0),"")</f>
        <v>1.4751</v>
      </c>
      <c r="E6594">
        <f>IFERROR(VLOOKUP($A6594,原始数据_收盘!$A$4:$G$3460,5,0),"")</f>
        <v>1.57</v>
      </c>
      <c r="F6594">
        <f>IFERROR(VLOOKUP($A6594,原始数据_收盘!$A$4:$G$3460,6,0),"")</f>
        <v>1.4738</v>
      </c>
      <c r="G6594">
        <f>IFERROR(VLOOKUP($A6594,原始数据_收盘!$A$4:$G$3460,7,0),"")</f>
        <v>1.5688</v>
      </c>
      <c r="H6594">
        <f>IFERROR(VLOOKUP($A6594,原始数据_利率互换_FR007_1年!$A$6:$C$4395,2,0),"")</f>
        <v>1.4687</v>
      </c>
      <c r="I6594">
        <f>IFERROR(VLOOKUP($A6594,原始数据_利率互换_FR007_1年!$A$6:$C$4395,3,0),"")</f>
        <v>1.5616</v>
      </c>
    </row>
    <row r="6595" spans="1:9">
      <c r="A6595" s="6">
        <v>46088</v>
      </c>
      <c r="B6595" t="str">
        <f>IFERROR(VLOOKUP($A6595,原始数据_收盘!$A$4:$G$3460,2,0),"")</f>
        <v/>
      </c>
      <c r="C6595" t="str">
        <f>IFERROR(VLOOKUP($A6595,原始数据_收盘!$A$4:$G$3460,3,0),"")</f>
        <v/>
      </c>
      <c r="D6595" t="str">
        <f>IFERROR(VLOOKUP($A6595,原始数据_收盘!$A$4:$G$3460,4,0),"")</f>
        <v/>
      </c>
      <c r="E6595" t="str">
        <f>IFERROR(VLOOKUP($A6595,原始数据_收盘!$A$4:$G$3460,5,0),"")</f>
        <v/>
      </c>
      <c r="F6595" t="str">
        <f>IFERROR(VLOOKUP($A6595,原始数据_收盘!$A$4:$G$3460,6,0),"")</f>
        <v/>
      </c>
      <c r="G6595" t="str">
        <f>IFERROR(VLOOKUP($A6595,原始数据_收盘!$A$4:$G$3460,7,0),"")</f>
        <v/>
      </c>
      <c r="H6595" t="str">
        <f>IFERROR(VLOOKUP($A6595,原始数据_利率互换_FR007_1年!$A$6:$C$4395,2,0),"")</f>
        <v/>
      </c>
      <c r="I6595" t="str">
        <f>IFERROR(VLOOKUP($A6595,原始数据_利率互换_FR007_1年!$A$6:$C$4395,3,0),"")</f>
        <v/>
      </c>
    </row>
    <row r="6596" spans="1:9">
      <c r="A6596" s="6">
        <v>46089</v>
      </c>
      <c r="B6596" t="str">
        <f>IFERROR(VLOOKUP($A6596,原始数据_收盘!$A$4:$G$3460,2,0),"")</f>
        <v/>
      </c>
      <c r="C6596" t="str">
        <f>IFERROR(VLOOKUP($A6596,原始数据_收盘!$A$4:$G$3460,3,0),"")</f>
        <v/>
      </c>
      <c r="D6596" t="str">
        <f>IFERROR(VLOOKUP($A6596,原始数据_收盘!$A$4:$G$3460,4,0),"")</f>
        <v/>
      </c>
      <c r="E6596" t="str">
        <f>IFERROR(VLOOKUP($A6596,原始数据_收盘!$A$4:$G$3460,5,0),"")</f>
        <v/>
      </c>
      <c r="F6596" t="str">
        <f>IFERROR(VLOOKUP($A6596,原始数据_收盘!$A$4:$G$3460,6,0),"")</f>
        <v/>
      </c>
      <c r="G6596" t="str">
        <f>IFERROR(VLOOKUP($A6596,原始数据_收盘!$A$4:$G$3460,7,0),"")</f>
        <v/>
      </c>
      <c r="H6596" t="str">
        <f>IFERROR(VLOOKUP($A6596,原始数据_利率互换_FR007_1年!$A$6:$C$4395,2,0),"")</f>
        <v/>
      </c>
      <c r="I6596" t="str">
        <f>IFERROR(VLOOKUP($A6596,原始数据_利率互换_FR007_1年!$A$6:$C$4395,3,0),"")</f>
        <v/>
      </c>
    </row>
    <row r="6597" spans="1:9">
      <c r="A6597" s="6">
        <v>46090</v>
      </c>
      <c r="B6597">
        <f>IFERROR(VLOOKUP($A6597,原始数据_收盘!$A$4:$G$3460,2,0),"")</f>
        <v>1.4963</v>
      </c>
      <c r="C6597">
        <f>IFERROR(VLOOKUP($A6597,原始数据_收盘!$A$4:$G$3460,3,0),"")</f>
        <v>1.5977</v>
      </c>
      <c r="D6597">
        <f>IFERROR(VLOOKUP($A6597,原始数据_收盘!$A$4:$G$3460,4,0),"")</f>
        <v>1.4988</v>
      </c>
      <c r="E6597">
        <f>IFERROR(VLOOKUP($A6597,原始数据_收盘!$A$4:$G$3460,5,0),"")</f>
        <v>1.6002</v>
      </c>
      <c r="F6597">
        <f>IFERROR(VLOOKUP($A6597,原始数据_收盘!$A$4:$G$3460,6,0),"")</f>
        <v>1.4975</v>
      </c>
      <c r="G6597">
        <f>IFERROR(VLOOKUP($A6597,原始数据_收盘!$A$4:$G$3460,7,0),"")</f>
        <v>1.5989</v>
      </c>
      <c r="H6597">
        <f>IFERROR(VLOOKUP($A6597,原始数据_利率互换_FR007_1年!$A$6:$C$4395,2,0),"")</f>
        <v>1.4932</v>
      </c>
      <c r="I6597">
        <f>IFERROR(VLOOKUP($A6597,原始数据_利率互换_FR007_1年!$A$6:$C$4395,3,0),"")</f>
        <v>1.596</v>
      </c>
    </row>
    <row r="6598" spans="1:9">
      <c r="A6598" s="6">
        <v>46091</v>
      </c>
      <c r="B6598">
        <f>IFERROR(VLOOKUP($A6598,原始数据_收盘!$A$4:$G$3460,2,0),"")</f>
        <v>1.4925</v>
      </c>
      <c r="C6598">
        <f>IFERROR(VLOOKUP($A6598,原始数据_收盘!$A$4:$G$3460,3,0),"")</f>
        <v>1.595</v>
      </c>
      <c r="D6598">
        <f>IFERROR(VLOOKUP($A6598,原始数据_收盘!$A$4:$G$3460,4,0),"")</f>
        <v>1.495</v>
      </c>
      <c r="E6598">
        <f>IFERROR(VLOOKUP($A6598,原始数据_收盘!$A$4:$G$3460,5,0),"")</f>
        <v>1.5975</v>
      </c>
      <c r="F6598">
        <f>IFERROR(VLOOKUP($A6598,原始数据_收盘!$A$4:$G$3460,6,0),"")</f>
        <v>1.4938</v>
      </c>
      <c r="G6598">
        <f>IFERROR(VLOOKUP($A6598,原始数据_收盘!$A$4:$G$3460,7,0),"")</f>
        <v>1.5963</v>
      </c>
      <c r="H6598">
        <f>IFERROR(VLOOKUP($A6598,原始数据_利率互换_FR007_1年!$A$6:$C$4395,2,0),"")</f>
        <v>1.4951</v>
      </c>
      <c r="I6598">
        <f>IFERROR(VLOOKUP($A6598,原始数据_利率互换_FR007_1年!$A$6:$C$4395,3,0),"")</f>
        <v>1.5963</v>
      </c>
    </row>
    <row r="6599" spans="1:9">
      <c r="A6599" s="6">
        <v>46092</v>
      </c>
      <c r="B6599">
        <f>IFERROR(VLOOKUP($A6599,原始数据_收盘!$A$4:$G$3460,2,0),"")</f>
        <v>1.5</v>
      </c>
      <c r="C6599">
        <f>IFERROR(VLOOKUP($A6599,原始数据_收盘!$A$4:$G$3460,3,0),"")</f>
        <v>1.605</v>
      </c>
      <c r="D6599">
        <f>IFERROR(VLOOKUP($A6599,原始数据_收盘!$A$4:$G$3460,4,0),"")</f>
        <v>1.5025</v>
      </c>
      <c r="E6599">
        <f>IFERROR(VLOOKUP($A6599,原始数据_收盘!$A$4:$G$3460,5,0),"")</f>
        <v>1.6075</v>
      </c>
      <c r="F6599">
        <f>IFERROR(VLOOKUP($A6599,原始数据_收盘!$A$4:$G$3460,6,0),"")</f>
        <v>1.5013</v>
      </c>
      <c r="G6599">
        <f>IFERROR(VLOOKUP($A6599,原始数据_收盘!$A$4:$G$3460,7,0),"")</f>
        <v>1.6063</v>
      </c>
      <c r="H6599">
        <f>IFERROR(VLOOKUP($A6599,原始数据_利率互换_FR007_1年!$A$6:$C$4395,2,0),"")</f>
        <v>1.4987</v>
      </c>
      <c r="I6599">
        <f>IFERROR(VLOOKUP($A6599,原始数据_利率互换_FR007_1年!$A$6:$C$4395,3,0),"")</f>
        <v>1.6031</v>
      </c>
    </row>
    <row r="6600" spans="1:9">
      <c r="A6600" s="6">
        <v>46093</v>
      </c>
      <c r="B6600">
        <f>IFERROR(VLOOKUP($A6600,原始数据_收盘!$A$4:$G$3460,2,0),"")</f>
        <v>1.4975</v>
      </c>
      <c r="C6600">
        <f>IFERROR(VLOOKUP($A6600,原始数据_收盘!$A$4:$G$3460,3,0),"")</f>
        <v>1.6025</v>
      </c>
      <c r="D6600">
        <f>IFERROR(VLOOKUP($A6600,原始数据_收盘!$A$4:$G$3460,4,0),"")</f>
        <v>1.5</v>
      </c>
      <c r="E6600">
        <f>IFERROR(VLOOKUP($A6600,原始数据_收盘!$A$4:$G$3460,5,0),"")</f>
        <v>1.6062</v>
      </c>
      <c r="F6600">
        <f>IFERROR(VLOOKUP($A6600,原始数据_收盘!$A$4:$G$3460,6,0),"")</f>
        <v>1.4988</v>
      </c>
      <c r="G6600">
        <f>IFERROR(VLOOKUP($A6600,原始数据_收盘!$A$4:$G$3460,7,0),"")</f>
        <v>1.6043</v>
      </c>
      <c r="H6600">
        <f>IFERROR(VLOOKUP($A6600,原始数据_利率互换_FR007_1年!$A$6:$C$4395,2,0),"")</f>
        <v>1.501</v>
      </c>
      <c r="I6600">
        <f>IFERROR(VLOOKUP($A6600,原始数据_利率互换_FR007_1年!$A$6:$C$4395,3,0),"")</f>
        <v>1.609</v>
      </c>
    </row>
    <row r="6601" spans="1:9">
      <c r="A6601" s="6">
        <v>46094</v>
      </c>
      <c r="B6601">
        <f>IFERROR(VLOOKUP($A6601,原始数据_收盘!$A$4:$G$3460,2,0),"")</f>
        <v>1.5</v>
      </c>
      <c r="C6601">
        <f>IFERROR(VLOOKUP($A6601,原始数据_收盘!$A$4:$G$3460,3,0),"")</f>
        <v>1.615</v>
      </c>
      <c r="D6601">
        <f>IFERROR(VLOOKUP($A6601,原始数据_收盘!$A$4:$G$3460,4,0),"")</f>
        <v>1.5025</v>
      </c>
      <c r="E6601">
        <f>IFERROR(VLOOKUP($A6601,原始数据_收盘!$A$4:$G$3460,5,0),"")</f>
        <v>1.6175</v>
      </c>
      <c r="F6601">
        <f>IFERROR(VLOOKUP($A6601,原始数据_收盘!$A$4:$G$3460,6,0),"")</f>
        <v>1.5013</v>
      </c>
      <c r="G6601">
        <f>IFERROR(VLOOKUP($A6601,原始数据_收盘!$A$4:$G$3460,7,0),"")</f>
        <v>1.6163</v>
      </c>
      <c r="H6601">
        <f>IFERROR(VLOOKUP($A6601,原始数据_利率互换_FR007_1年!$A$6:$C$4395,2,0),"")</f>
        <v>1.4998</v>
      </c>
      <c r="I6601">
        <f>IFERROR(VLOOKUP($A6601,原始数据_利率互换_FR007_1年!$A$6:$C$4395,3,0),"")</f>
        <v>1.6105</v>
      </c>
    </row>
    <row r="6602" spans="1:9">
      <c r="A6602" s="6">
        <v>46095</v>
      </c>
      <c r="B6602" t="str">
        <f>IFERROR(VLOOKUP($A6602,原始数据_收盘!$A$4:$G$3460,2,0),"")</f>
        <v/>
      </c>
      <c r="C6602" t="str">
        <f>IFERROR(VLOOKUP($A6602,原始数据_收盘!$A$4:$G$3460,3,0),"")</f>
        <v/>
      </c>
      <c r="D6602" t="str">
        <f>IFERROR(VLOOKUP($A6602,原始数据_收盘!$A$4:$G$3460,4,0),"")</f>
        <v/>
      </c>
      <c r="E6602" t="str">
        <f>IFERROR(VLOOKUP($A6602,原始数据_收盘!$A$4:$G$3460,5,0),"")</f>
        <v/>
      </c>
      <c r="F6602" t="str">
        <f>IFERROR(VLOOKUP($A6602,原始数据_收盘!$A$4:$G$3460,6,0),"")</f>
        <v/>
      </c>
      <c r="G6602" t="str">
        <f>IFERROR(VLOOKUP($A6602,原始数据_收盘!$A$4:$G$3460,7,0),"")</f>
        <v/>
      </c>
      <c r="H6602" t="str">
        <f>IFERROR(VLOOKUP($A6602,原始数据_利率互换_FR007_1年!$A$6:$C$4395,2,0),"")</f>
        <v/>
      </c>
      <c r="I6602" t="str">
        <f>IFERROR(VLOOKUP($A6602,原始数据_利率互换_FR007_1年!$A$6:$C$4395,3,0),"")</f>
        <v/>
      </c>
    </row>
    <row r="6603" spans="1:9">
      <c r="A6603" s="6">
        <v>46096</v>
      </c>
      <c r="B6603" t="str">
        <f>IFERROR(VLOOKUP($A6603,原始数据_收盘!$A$4:$G$3460,2,0),"")</f>
        <v/>
      </c>
      <c r="C6603" t="str">
        <f>IFERROR(VLOOKUP($A6603,原始数据_收盘!$A$4:$G$3460,3,0),"")</f>
        <v/>
      </c>
      <c r="D6603" t="str">
        <f>IFERROR(VLOOKUP($A6603,原始数据_收盘!$A$4:$G$3460,4,0),"")</f>
        <v/>
      </c>
      <c r="E6603" t="str">
        <f>IFERROR(VLOOKUP($A6603,原始数据_收盘!$A$4:$G$3460,5,0),"")</f>
        <v/>
      </c>
      <c r="F6603" t="str">
        <f>IFERROR(VLOOKUP($A6603,原始数据_收盘!$A$4:$G$3460,6,0),"")</f>
        <v/>
      </c>
      <c r="G6603" t="str">
        <f>IFERROR(VLOOKUP($A6603,原始数据_收盘!$A$4:$G$3460,7,0),"")</f>
        <v/>
      </c>
      <c r="H6603" t="str">
        <f>IFERROR(VLOOKUP($A6603,原始数据_利率互换_FR007_1年!$A$6:$C$4395,2,0),"")</f>
        <v/>
      </c>
      <c r="I6603" t="str">
        <f>IFERROR(VLOOKUP($A6603,原始数据_利率互换_FR007_1年!$A$6:$C$4395,3,0),"")</f>
        <v/>
      </c>
    </row>
    <row r="6604" spans="1:9">
      <c r="A6604" s="6">
        <v>46097</v>
      </c>
      <c r="B6604">
        <f>IFERROR(VLOOKUP($A6604,原始数据_收盘!$A$4:$G$3460,2,0),"")</f>
        <v>1.51</v>
      </c>
      <c r="C6604">
        <f>IFERROR(VLOOKUP($A6604,原始数据_收盘!$A$4:$G$3460,3,0),"")</f>
        <v>1.635</v>
      </c>
      <c r="D6604">
        <f>IFERROR(VLOOKUP($A6604,原始数据_收盘!$A$4:$G$3460,4,0),"")</f>
        <v>1.5125</v>
      </c>
      <c r="E6604">
        <f>IFERROR(VLOOKUP($A6604,原始数据_收盘!$A$4:$G$3460,5,0),"")</f>
        <v>1.6375</v>
      </c>
      <c r="F6604">
        <f>IFERROR(VLOOKUP($A6604,原始数据_收盘!$A$4:$G$3460,6,0),"")</f>
        <v>1.5113</v>
      </c>
      <c r="G6604">
        <f>IFERROR(VLOOKUP($A6604,原始数据_收盘!$A$4:$G$3460,7,0),"")</f>
        <v>1.6363</v>
      </c>
      <c r="H6604">
        <f>IFERROR(VLOOKUP($A6604,原始数据_利率互换_FR007_1年!$A$6:$C$4395,2,0),"")</f>
        <v>1.5083</v>
      </c>
      <c r="I6604">
        <f>IFERROR(VLOOKUP($A6604,原始数据_利率互换_FR007_1年!$A$6:$C$4395,3,0),"")</f>
        <v>1.6344</v>
      </c>
    </row>
    <row r="6605" spans="1:9">
      <c r="A6605" s="6">
        <v>46098</v>
      </c>
      <c r="B6605">
        <f>IFERROR(VLOOKUP($A6605,原始数据_收盘!$A$4:$G$3460,2,0),"")</f>
        <v>1.5025</v>
      </c>
      <c r="C6605">
        <f>IFERROR(VLOOKUP($A6605,原始数据_收盘!$A$4:$G$3460,3,0),"")</f>
        <v>1.6225</v>
      </c>
      <c r="D6605">
        <f>IFERROR(VLOOKUP($A6605,原始数据_收盘!$A$4:$G$3460,4,0),"")</f>
        <v>1.505</v>
      </c>
      <c r="E6605">
        <f>IFERROR(VLOOKUP($A6605,原始数据_收盘!$A$4:$G$3460,5,0),"")</f>
        <v>1.625</v>
      </c>
      <c r="F6605">
        <f>IFERROR(VLOOKUP($A6605,原始数据_收盘!$A$4:$G$3460,6,0),"")</f>
        <v>1.5038</v>
      </c>
      <c r="G6605">
        <f>IFERROR(VLOOKUP($A6605,原始数据_收盘!$A$4:$G$3460,7,0),"")</f>
        <v>1.6238</v>
      </c>
      <c r="H6605">
        <f>IFERROR(VLOOKUP($A6605,原始数据_利率互换_FR007_1年!$A$6:$C$4395,2,0),"")</f>
        <v>1.5046</v>
      </c>
      <c r="I6605">
        <f>IFERROR(VLOOKUP($A6605,原始数据_利率互换_FR007_1年!$A$6:$C$4395,3,0),"")</f>
        <v>1.6273</v>
      </c>
    </row>
    <row r="6606" spans="1:9">
      <c r="A6606" s="6">
        <v>46099</v>
      </c>
      <c r="B6606">
        <f>IFERROR(VLOOKUP($A6606,原始数据_收盘!$A$4:$G$3460,2,0),"")</f>
        <v>1.4975</v>
      </c>
      <c r="C6606">
        <f>IFERROR(VLOOKUP($A6606,原始数据_收盘!$A$4:$G$3460,3,0),"")</f>
        <v>1.61</v>
      </c>
      <c r="D6606">
        <f>IFERROR(VLOOKUP($A6606,原始数据_收盘!$A$4:$G$3460,4,0),"")</f>
        <v>1.5</v>
      </c>
      <c r="E6606">
        <f>IFERROR(VLOOKUP($A6606,原始数据_收盘!$A$4:$G$3460,5,0),"")</f>
        <v>1.6125</v>
      </c>
      <c r="F6606">
        <f>IFERROR(VLOOKUP($A6606,原始数据_收盘!$A$4:$G$3460,6,0),"")</f>
        <v>1.4988</v>
      </c>
      <c r="G6606">
        <f>IFERROR(VLOOKUP($A6606,原始数据_收盘!$A$4:$G$3460,7,0),"")</f>
        <v>1.6113</v>
      </c>
      <c r="H6606">
        <f>IFERROR(VLOOKUP($A6606,原始数据_利率互换_FR007_1年!$A$6:$C$4395,2,0),"")</f>
        <v>1.4996</v>
      </c>
      <c r="I6606">
        <f>IFERROR(VLOOKUP($A6606,原始数据_利率互换_FR007_1年!$A$6:$C$4395,3,0),"")</f>
        <v>1.6151</v>
      </c>
    </row>
    <row r="6607" spans="1:9">
      <c r="A6607" s="6">
        <v>46100</v>
      </c>
      <c r="B6607">
        <f>IFERROR(VLOOKUP($A6607,原始数据_收盘!$A$4:$G$3460,2,0),"")</f>
        <v>1.5059</v>
      </c>
      <c r="C6607">
        <f>IFERROR(VLOOKUP($A6607,原始数据_收盘!$A$4:$G$3460,3,0),"")</f>
        <v>1.63</v>
      </c>
      <c r="D6607">
        <f>IFERROR(VLOOKUP($A6607,原始数据_收盘!$A$4:$G$3460,4,0),"")</f>
        <v>1.51</v>
      </c>
      <c r="E6607">
        <f>IFERROR(VLOOKUP($A6607,原始数据_收盘!$A$4:$G$3460,5,0),"")</f>
        <v>1.6325</v>
      </c>
      <c r="F6607">
        <f>IFERROR(VLOOKUP($A6607,原始数据_收盘!$A$4:$G$3460,6,0),"")</f>
        <v>1.5079</v>
      </c>
      <c r="G6607">
        <f>IFERROR(VLOOKUP($A6607,原始数据_收盘!$A$4:$G$3460,7,0),"")</f>
        <v>1.6313</v>
      </c>
      <c r="H6607">
        <f>IFERROR(VLOOKUP($A6607,原始数据_利率互换_FR007_1年!$A$6:$C$4395,2,0),"")</f>
        <v>1.4999</v>
      </c>
      <c r="I6607">
        <f>IFERROR(VLOOKUP($A6607,原始数据_利率互换_FR007_1年!$A$6:$C$4395,3,0),"")</f>
        <v>1.6208</v>
      </c>
    </row>
    <row r="6608" spans="1:9">
      <c r="A6608" s="6">
        <v>46101</v>
      </c>
      <c r="B6608">
        <f>IFERROR(VLOOKUP($A6608,原始数据_收盘!$A$4:$G$3460,2,0),"")</f>
        <v>1.505</v>
      </c>
      <c r="C6608">
        <f>IFERROR(VLOOKUP($A6608,原始数据_收盘!$A$4:$G$3460,3,0),"")</f>
        <v>1.625</v>
      </c>
      <c r="D6608">
        <f>IFERROR(VLOOKUP($A6608,原始数据_收盘!$A$4:$G$3460,4,0),"")</f>
        <v>1.5075</v>
      </c>
      <c r="E6608">
        <f>IFERROR(VLOOKUP($A6608,原始数据_收盘!$A$4:$G$3460,5,0),"")</f>
        <v>1.6275</v>
      </c>
      <c r="F6608">
        <f>IFERROR(VLOOKUP($A6608,原始数据_收盘!$A$4:$G$3460,6,0),"")</f>
        <v>1.5063</v>
      </c>
      <c r="G6608">
        <f>IFERROR(VLOOKUP($A6608,原始数据_收盘!$A$4:$G$3460,7,0),"")</f>
        <v>1.6263</v>
      </c>
      <c r="H6608">
        <f>IFERROR(VLOOKUP($A6608,原始数据_利率互换_FR007_1年!$A$6:$C$4395,2,0),"")</f>
        <v>1.508</v>
      </c>
      <c r="I6608">
        <f>IFERROR(VLOOKUP($A6608,原始数据_利率互换_FR007_1年!$A$6:$C$4395,3,0),"")</f>
        <v>1.6327</v>
      </c>
    </row>
    <row r="6609" spans="1:9">
      <c r="A6609" s="6">
        <v>46102</v>
      </c>
      <c r="B6609" t="str">
        <f>IFERROR(VLOOKUP($A6609,原始数据_收盘!$A$4:$G$3460,2,0),"")</f>
        <v/>
      </c>
      <c r="C6609" t="str">
        <f>IFERROR(VLOOKUP($A6609,原始数据_收盘!$A$4:$G$3460,3,0),"")</f>
        <v/>
      </c>
      <c r="D6609" t="str">
        <f>IFERROR(VLOOKUP($A6609,原始数据_收盘!$A$4:$G$3460,4,0),"")</f>
        <v/>
      </c>
      <c r="E6609" t="str">
        <f>IFERROR(VLOOKUP($A6609,原始数据_收盘!$A$4:$G$3460,5,0),"")</f>
        <v/>
      </c>
      <c r="F6609" t="str">
        <f>IFERROR(VLOOKUP($A6609,原始数据_收盘!$A$4:$G$3460,6,0),"")</f>
        <v/>
      </c>
      <c r="G6609" t="str">
        <f>IFERROR(VLOOKUP($A6609,原始数据_收盘!$A$4:$G$3460,7,0),"")</f>
        <v/>
      </c>
      <c r="H6609" t="str">
        <f>IFERROR(VLOOKUP($A6609,原始数据_利率互换_FR007_1年!$A$6:$C$4395,2,0),"")</f>
        <v/>
      </c>
      <c r="I6609" t="str">
        <f>IFERROR(VLOOKUP($A6609,原始数据_利率互换_FR007_1年!$A$6:$C$4395,3,0),"")</f>
        <v/>
      </c>
    </row>
    <row r="6610" spans="1:9">
      <c r="A6610" s="6">
        <v>46103</v>
      </c>
      <c r="B6610" t="str">
        <f>IFERROR(VLOOKUP($A6610,原始数据_收盘!$A$4:$G$3460,2,0),"")</f>
        <v/>
      </c>
      <c r="C6610" t="str">
        <f>IFERROR(VLOOKUP($A6610,原始数据_收盘!$A$4:$G$3460,3,0),"")</f>
        <v/>
      </c>
      <c r="D6610" t="str">
        <f>IFERROR(VLOOKUP($A6610,原始数据_收盘!$A$4:$G$3460,4,0),"")</f>
        <v/>
      </c>
      <c r="E6610" t="str">
        <f>IFERROR(VLOOKUP($A6610,原始数据_收盘!$A$4:$G$3460,5,0),"")</f>
        <v/>
      </c>
      <c r="F6610" t="str">
        <f>IFERROR(VLOOKUP($A6610,原始数据_收盘!$A$4:$G$3460,6,0),"")</f>
        <v/>
      </c>
      <c r="G6610" t="str">
        <f>IFERROR(VLOOKUP($A6610,原始数据_收盘!$A$4:$G$3460,7,0),"")</f>
        <v/>
      </c>
      <c r="H6610" t="str">
        <f>IFERROR(VLOOKUP($A6610,原始数据_利率互换_FR007_1年!$A$6:$C$4395,2,0),"")</f>
        <v/>
      </c>
      <c r="I6610" t="str">
        <f>IFERROR(VLOOKUP($A6610,原始数据_利率互换_FR007_1年!$A$6:$C$4395,3,0),"")</f>
        <v/>
      </c>
    </row>
    <row r="6611" spans="1:9">
      <c r="A6611" s="6">
        <v>46104</v>
      </c>
      <c r="B6611">
        <f>IFERROR(VLOOKUP($A6611,原始数据_收盘!$A$4:$G$3460,2,0),"")</f>
        <v>1.52</v>
      </c>
      <c r="C6611">
        <f>IFERROR(VLOOKUP($A6611,原始数据_收盘!$A$4:$G$3460,3,0),"")</f>
        <v>1.6475</v>
      </c>
      <c r="D6611">
        <f>IFERROR(VLOOKUP($A6611,原始数据_收盘!$A$4:$G$3460,4,0),"")</f>
        <v>1.5225</v>
      </c>
      <c r="E6611">
        <f>IFERROR(VLOOKUP($A6611,原始数据_收盘!$A$4:$G$3460,5,0),"")</f>
        <v>1.65</v>
      </c>
      <c r="F6611">
        <f>IFERROR(VLOOKUP($A6611,原始数据_收盘!$A$4:$G$3460,6,0),"")</f>
        <v>1.5213</v>
      </c>
      <c r="G6611">
        <f>IFERROR(VLOOKUP($A6611,原始数据_收盘!$A$4:$G$3460,7,0),"")</f>
        <v>1.6488</v>
      </c>
      <c r="H6611">
        <f>IFERROR(VLOOKUP($A6611,原始数据_利率互换_FR007_1年!$A$6:$C$4395,2,0),"")</f>
        <v>1.5206</v>
      </c>
      <c r="I6611">
        <f>IFERROR(VLOOKUP($A6611,原始数据_利率互换_FR007_1年!$A$6:$C$4395,3,0),"")</f>
        <v>1.6476</v>
      </c>
    </row>
    <row r="6612" spans="1:9">
      <c r="A6612" s="6">
        <v>46105</v>
      </c>
      <c r="B6612">
        <f>IFERROR(VLOOKUP($A6612,原始数据_收盘!$A$4:$G$3460,2,0),"")</f>
        <v>1.5175</v>
      </c>
      <c r="C6612">
        <f>IFERROR(VLOOKUP($A6612,原始数据_收盘!$A$4:$G$3460,3,0),"")</f>
        <v>1.6375</v>
      </c>
      <c r="D6612">
        <f>IFERROR(VLOOKUP($A6612,原始数据_收盘!$A$4:$G$3460,4,0),"")</f>
        <v>1.52</v>
      </c>
      <c r="E6612">
        <f>IFERROR(VLOOKUP($A6612,原始数据_收盘!$A$4:$G$3460,5,0),"")</f>
        <v>1.64</v>
      </c>
      <c r="F6612">
        <f>IFERROR(VLOOKUP($A6612,原始数据_收盘!$A$4:$G$3460,6,0),"")</f>
        <v>1.5188</v>
      </c>
      <c r="G6612">
        <f>IFERROR(VLOOKUP($A6612,原始数据_收盘!$A$4:$G$3460,7,0),"")</f>
        <v>1.6388</v>
      </c>
      <c r="H6612">
        <f>IFERROR(VLOOKUP($A6612,原始数据_利率互换_FR007_1年!$A$6:$C$4395,2,0),"")</f>
        <v>1.5208</v>
      </c>
      <c r="I6612">
        <f>IFERROR(VLOOKUP($A6612,原始数据_利率互换_FR007_1年!$A$6:$C$4395,3,0),"")</f>
        <v>1.6452</v>
      </c>
    </row>
    <row r="6613" spans="1:9">
      <c r="A6613" s="6">
        <v>46106</v>
      </c>
      <c r="B6613">
        <f>IFERROR(VLOOKUP($A6613,原始数据_收盘!$A$4:$G$3460,2,0),"")</f>
        <v>1.5196</v>
      </c>
      <c r="C6613">
        <f>IFERROR(VLOOKUP($A6613,原始数据_收盘!$A$4:$G$3460,3,0),"")</f>
        <v>1.6375</v>
      </c>
      <c r="D6613">
        <f>IFERROR(VLOOKUP($A6613,原始数据_收盘!$A$4:$G$3460,4,0),"")</f>
        <v>1.5225</v>
      </c>
      <c r="E6613">
        <f>IFERROR(VLOOKUP($A6613,原始数据_收盘!$A$4:$G$3460,5,0),"")</f>
        <v>1.64</v>
      </c>
      <c r="F6613">
        <f>IFERROR(VLOOKUP($A6613,原始数据_收盘!$A$4:$G$3460,6,0),"")</f>
        <v>1.521</v>
      </c>
      <c r="G6613">
        <f>IFERROR(VLOOKUP($A6613,原始数据_收盘!$A$4:$G$3460,7,0),"")</f>
        <v>1.6388</v>
      </c>
      <c r="H6613">
        <f>IFERROR(VLOOKUP($A6613,原始数据_利率互换_FR007_1年!$A$6:$C$4395,2,0),"")</f>
        <v>1.5207</v>
      </c>
      <c r="I6613">
        <f>IFERROR(VLOOKUP($A6613,原始数据_利率互换_FR007_1年!$A$6:$C$4395,3,0),"")</f>
        <v>1.6363</v>
      </c>
    </row>
    <row r="6614" spans="1:9">
      <c r="A6614" s="6">
        <v>46107</v>
      </c>
      <c r="B6614">
        <f>IFERROR(VLOOKUP($A6614,原始数据_收盘!$A$4:$G$3460,2,0),"")</f>
        <v>1.515</v>
      </c>
      <c r="C6614">
        <f>IFERROR(VLOOKUP($A6614,原始数据_收盘!$A$4:$G$3460,3,0),"")</f>
        <v>1.635</v>
      </c>
      <c r="D6614">
        <f>IFERROR(VLOOKUP($A6614,原始数据_收盘!$A$4:$G$3460,4,0),"")</f>
        <v>1.5175</v>
      </c>
      <c r="E6614">
        <f>IFERROR(VLOOKUP($A6614,原始数据_收盘!$A$4:$G$3460,5,0),"")</f>
        <v>1.6375</v>
      </c>
      <c r="F6614">
        <f>IFERROR(VLOOKUP($A6614,原始数据_收盘!$A$4:$G$3460,6,0),"")</f>
        <v>1.5163</v>
      </c>
      <c r="G6614">
        <f>IFERROR(VLOOKUP($A6614,原始数据_收盘!$A$4:$G$3460,7,0),"")</f>
        <v>1.6363</v>
      </c>
      <c r="H6614">
        <f>IFERROR(VLOOKUP($A6614,原始数据_利率互换_FR007_1年!$A$6:$C$4395,2,0),"")</f>
        <v>1.5162</v>
      </c>
      <c r="I6614">
        <f>IFERROR(VLOOKUP($A6614,原始数据_利率互换_FR007_1年!$A$6:$C$4395,3,0),"")</f>
        <v>1.633</v>
      </c>
    </row>
    <row r="6615" spans="1:9">
      <c r="A6615" s="6">
        <v>46108</v>
      </c>
      <c r="B6615">
        <f>IFERROR(VLOOKUP($A6615,原始数据_收盘!$A$4:$G$3460,2,0),"")</f>
        <v>1.515</v>
      </c>
      <c r="C6615">
        <f>IFERROR(VLOOKUP($A6615,原始数据_收盘!$A$4:$G$3460,3,0),"")</f>
        <v>1.6375</v>
      </c>
      <c r="D6615">
        <f>IFERROR(VLOOKUP($A6615,原始数据_收盘!$A$4:$G$3460,4,0),"")</f>
        <v>1.5175</v>
      </c>
      <c r="E6615">
        <f>IFERROR(VLOOKUP($A6615,原始数据_收盘!$A$4:$G$3460,5,0),"")</f>
        <v>1.64</v>
      </c>
      <c r="F6615">
        <f>IFERROR(VLOOKUP($A6615,原始数据_收盘!$A$4:$G$3460,6,0),"")</f>
        <v>1.5163</v>
      </c>
      <c r="G6615">
        <f>IFERROR(VLOOKUP($A6615,原始数据_收盘!$A$4:$G$3460,7,0),"")</f>
        <v>1.6388</v>
      </c>
      <c r="H6615">
        <f>IFERROR(VLOOKUP($A6615,原始数据_利率互换_FR007_1年!$A$6:$C$4395,2,0),"")</f>
        <v>1.5154</v>
      </c>
      <c r="I6615">
        <f>IFERROR(VLOOKUP($A6615,原始数据_利率互换_FR007_1年!$A$6:$C$4395,3,0),"")</f>
        <v>1.6413</v>
      </c>
    </row>
  </sheetData>
  <autoFilter xmlns:etc="http://www.wps.cn/officeDocument/2017/etCustomData" ref="A3:I661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97"/>
  <sheetViews>
    <sheetView zoomScale="85" zoomScaleNormal="85" workbookViewId="0">
      <selection activeCell="F6" sqref="F6"/>
    </sheetView>
  </sheetViews>
  <sheetFormatPr defaultColWidth="9" defaultRowHeight="17.6" outlineLevelCol="2"/>
  <cols>
    <col min="1" max="1" width="15" customWidth="1"/>
    <col min="2" max="3" width="18" customWidth="1"/>
    <col min="4" max="4" width="11.4" customWidth="1"/>
  </cols>
  <sheetData>
    <row r="1" ht="17.65" spans="1:3">
      <c r="A1" t="s">
        <v>12</v>
      </c>
      <c r="B1" s="4" t="s">
        <v>6</v>
      </c>
      <c r="C1" s="4" t="s">
        <v>7</v>
      </c>
    </row>
    <row r="2" ht="17.65" spans="1:3">
      <c r="A2" t="s">
        <v>8</v>
      </c>
      <c r="B2" s="4" t="s">
        <v>9</v>
      </c>
      <c r="C2" s="4" t="s">
        <v>9</v>
      </c>
    </row>
    <row r="3" ht="17.65" spans="1:3">
      <c r="A3" t="s">
        <v>10</v>
      </c>
      <c r="B3" s="4" t="s">
        <v>11</v>
      </c>
      <c r="C3" s="4" t="s">
        <v>11</v>
      </c>
    </row>
    <row r="4" ht="17.65" spans="1:3">
      <c r="A4" t="s">
        <v>13</v>
      </c>
      <c r="B4" s="4" t="s">
        <v>14</v>
      </c>
      <c r="C4" s="4" t="s">
        <v>15</v>
      </c>
    </row>
    <row r="5" ht="17.65" spans="1:3">
      <c r="A5" t="s">
        <v>16</v>
      </c>
      <c r="B5" s="5" t="s">
        <v>17</v>
      </c>
      <c r="C5" s="5" t="s">
        <v>17</v>
      </c>
    </row>
    <row r="6" spans="1:3">
      <c r="A6" s="6">
        <v>39497</v>
      </c>
      <c r="B6" s="7"/>
      <c r="C6" s="7">
        <v>3.59</v>
      </c>
    </row>
    <row r="7" spans="1:3">
      <c r="A7" s="6">
        <v>39498</v>
      </c>
      <c r="B7" s="7">
        <v>3.11</v>
      </c>
      <c r="C7" s="7">
        <v>3.65</v>
      </c>
    </row>
    <row r="8" spans="1:3">
      <c r="A8" s="6">
        <v>39499</v>
      </c>
      <c r="B8" s="7"/>
      <c r="C8" s="7">
        <v>3.67</v>
      </c>
    </row>
    <row r="9" spans="1:3">
      <c r="A9" s="6">
        <v>39500</v>
      </c>
      <c r="B9" s="7">
        <v>3.2</v>
      </c>
      <c r="C9" s="7">
        <v>3.67</v>
      </c>
    </row>
    <row r="10" spans="1:3">
      <c r="A10" s="6">
        <v>39503</v>
      </c>
      <c r="B10" s="7"/>
      <c r="C10" s="7">
        <v>3.615</v>
      </c>
    </row>
    <row r="11" spans="1:3">
      <c r="A11" s="6">
        <v>39504</v>
      </c>
      <c r="B11" s="7">
        <v>3.17</v>
      </c>
      <c r="C11" s="7">
        <v>3.55</v>
      </c>
    </row>
    <row r="12" spans="1:3">
      <c r="A12" s="6">
        <v>39505</v>
      </c>
      <c r="B12" s="7">
        <v>3.1</v>
      </c>
      <c r="C12" s="7">
        <v>3.54</v>
      </c>
    </row>
    <row r="13" spans="1:3">
      <c r="A13" s="6">
        <v>39506</v>
      </c>
      <c r="B13" s="7">
        <v>3.1</v>
      </c>
      <c r="C13" s="7">
        <v>3.56</v>
      </c>
    </row>
    <row r="14" spans="1:3">
      <c r="A14" s="6">
        <v>39507</v>
      </c>
      <c r="B14" s="7"/>
      <c r="C14" s="7">
        <v>3.56</v>
      </c>
    </row>
    <row r="15" spans="1:3">
      <c r="A15" s="6">
        <v>39510</v>
      </c>
      <c r="B15" s="7">
        <v>3.16</v>
      </c>
      <c r="C15" s="7">
        <v>3.59</v>
      </c>
    </row>
    <row r="16" spans="1:3">
      <c r="A16" s="6">
        <v>39511</v>
      </c>
      <c r="B16" s="7">
        <v>3.15</v>
      </c>
      <c r="C16" s="7"/>
    </row>
    <row r="17" spans="1:3">
      <c r="A17" s="6">
        <v>39512</v>
      </c>
      <c r="B17" s="7">
        <v>3.14</v>
      </c>
      <c r="C17" s="7"/>
    </row>
    <row r="18" spans="1:3">
      <c r="A18" s="6">
        <v>39513</v>
      </c>
      <c r="B18" s="7">
        <v>3.15</v>
      </c>
      <c r="C18" s="7">
        <v>3.61</v>
      </c>
    </row>
    <row r="19" spans="1:3">
      <c r="A19" s="6">
        <v>39514</v>
      </c>
      <c r="B19" s="7">
        <v>3.14</v>
      </c>
      <c r="C19" s="7">
        <v>3.62</v>
      </c>
    </row>
    <row r="20" spans="1:3">
      <c r="A20" s="6">
        <v>39517</v>
      </c>
      <c r="B20" s="7"/>
      <c r="C20" s="7">
        <v>3.66</v>
      </c>
    </row>
    <row r="21" spans="1:3">
      <c r="A21" s="6">
        <v>39518</v>
      </c>
      <c r="B21" s="7">
        <v>3.12</v>
      </c>
      <c r="C21" s="7">
        <v>3.65</v>
      </c>
    </row>
    <row r="22" spans="1:3">
      <c r="A22" s="6">
        <v>39519</v>
      </c>
      <c r="B22" s="7"/>
      <c r="C22" s="7">
        <v>3.615</v>
      </c>
    </row>
    <row r="23" spans="1:3">
      <c r="A23" s="6">
        <v>39521</v>
      </c>
      <c r="B23" s="7">
        <v>3.16</v>
      </c>
      <c r="C23" s="7">
        <v>3.63</v>
      </c>
    </row>
    <row r="24" spans="1:3">
      <c r="A24" s="6">
        <v>39524</v>
      </c>
      <c r="B24" s="7">
        <v>3.16</v>
      </c>
      <c r="C24" s="7">
        <v>3.58</v>
      </c>
    </row>
    <row r="25" spans="1:3">
      <c r="A25" s="6">
        <v>39525</v>
      </c>
      <c r="B25" s="7">
        <v>3.11</v>
      </c>
      <c r="C25" s="7"/>
    </row>
    <row r="26" spans="1:3">
      <c r="A26" s="6">
        <v>39526</v>
      </c>
      <c r="B26" s="7"/>
      <c r="C26" s="7">
        <v>3.55</v>
      </c>
    </row>
    <row r="27" spans="1:3">
      <c r="A27" s="6">
        <v>39527</v>
      </c>
      <c r="B27" s="7">
        <v>3.09</v>
      </c>
      <c r="C27" s="7">
        <v>3.42</v>
      </c>
    </row>
    <row r="28" spans="1:3">
      <c r="A28" s="6">
        <v>39528</v>
      </c>
      <c r="B28" s="7">
        <v>3.08</v>
      </c>
      <c r="C28" s="7">
        <v>3.5</v>
      </c>
    </row>
    <row r="29" spans="1:3">
      <c r="A29" s="6">
        <v>39532</v>
      </c>
      <c r="B29" s="7">
        <v>3.08</v>
      </c>
      <c r="C29" s="7"/>
    </row>
    <row r="30" spans="1:3">
      <c r="A30" s="6">
        <v>39533</v>
      </c>
      <c r="B30" s="7">
        <v>3.07</v>
      </c>
      <c r="C30" s="7">
        <v>3.44</v>
      </c>
    </row>
    <row r="31" spans="1:3">
      <c r="A31" s="6">
        <v>39534</v>
      </c>
      <c r="B31" s="7">
        <v>3.06</v>
      </c>
      <c r="C31" s="7">
        <v>3.44</v>
      </c>
    </row>
    <row r="32" spans="1:3">
      <c r="A32" s="6">
        <v>39535</v>
      </c>
      <c r="B32" s="7">
        <v>3.09</v>
      </c>
      <c r="C32" s="7"/>
    </row>
    <row r="33" spans="1:3">
      <c r="A33" s="6">
        <v>39539</v>
      </c>
      <c r="B33" s="7">
        <v>3.1</v>
      </c>
      <c r="C33" s="7"/>
    </row>
    <row r="34" spans="1:3">
      <c r="A34" s="6">
        <v>39540</v>
      </c>
      <c r="B34" s="7">
        <v>3.1</v>
      </c>
      <c r="C34" s="7">
        <v>3.5</v>
      </c>
    </row>
    <row r="35" spans="1:3">
      <c r="A35" s="6">
        <v>39541</v>
      </c>
      <c r="B35" s="7">
        <v>3.1</v>
      </c>
      <c r="C35" s="7"/>
    </row>
    <row r="36" spans="1:3">
      <c r="A36" s="6">
        <v>39545</v>
      </c>
      <c r="B36" s="7">
        <v>3.12</v>
      </c>
      <c r="C36" s="7">
        <v>3.54</v>
      </c>
    </row>
    <row r="37" spans="1:3">
      <c r="A37" s="6">
        <v>39546</v>
      </c>
      <c r="B37" s="7"/>
      <c r="C37" s="7">
        <v>3.58</v>
      </c>
    </row>
    <row r="38" spans="1:3">
      <c r="A38" s="6">
        <v>39547</v>
      </c>
      <c r="B38" s="7"/>
      <c r="C38" s="7">
        <v>3.58</v>
      </c>
    </row>
    <row r="39" spans="1:3">
      <c r="A39" s="6">
        <v>39548</v>
      </c>
      <c r="B39" s="7">
        <v>3.08</v>
      </c>
      <c r="C39" s="7">
        <v>3.57</v>
      </c>
    </row>
    <row r="40" spans="1:3">
      <c r="A40" s="6">
        <v>39549</v>
      </c>
      <c r="B40" s="7">
        <v>3.05</v>
      </c>
      <c r="C40" s="7"/>
    </row>
    <row r="41" spans="1:3">
      <c r="A41" s="6">
        <v>39552</v>
      </c>
      <c r="B41" s="7">
        <v>3.05</v>
      </c>
      <c r="C41" s="7"/>
    </row>
    <row r="42" spans="1:3">
      <c r="A42" s="6">
        <v>39553</v>
      </c>
      <c r="B42" s="7">
        <v>3.05</v>
      </c>
      <c r="C42" s="7"/>
    </row>
    <row r="43" spans="1:3">
      <c r="A43" s="6">
        <v>39554</v>
      </c>
      <c r="B43" s="7">
        <v>3.07</v>
      </c>
      <c r="C43" s="7"/>
    </row>
    <row r="44" spans="1:3">
      <c r="A44" s="6">
        <v>39555</v>
      </c>
      <c r="B44" s="7"/>
      <c r="C44" s="7">
        <v>3.52</v>
      </c>
    </row>
    <row r="45" spans="1:3">
      <c r="A45" s="6">
        <v>39556</v>
      </c>
      <c r="B45" s="7"/>
      <c r="C45" s="7">
        <v>3.5</v>
      </c>
    </row>
    <row r="46" spans="1:3">
      <c r="A46" s="6">
        <v>39559</v>
      </c>
      <c r="B46" s="7">
        <v>3.05</v>
      </c>
      <c r="C46" s="7">
        <v>3.49</v>
      </c>
    </row>
    <row r="47" spans="1:3">
      <c r="A47" s="6">
        <v>39560</v>
      </c>
      <c r="B47" s="7">
        <v>3.03</v>
      </c>
      <c r="C47" s="7">
        <v>3.45</v>
      </c>
    </row>
    <row r="48" spans="1:3">
      <c r="A48" s="6">
        <v>39561</v>
      </c>
      <c r="B48" s="7">
        <v>3.02</v>
      </c>
      <c r="C48" s="7">
        <v>3.44</v>
      </c>
    </row>
    <row r="49" spans="1:3">
      <c r="A49" s="6">
        <v>39562</v>
      </c>
      <c r="B49" s="7"/>
      <c r="C49" s="7">
        <v>3.46</v>
      </c>
    </row>
    <row r="50" spans="1:3">
      <c r="A50" s="6">
        <v>39563</v>
      </c>
      <c r="B50" s="7"/>
      <c r="C50" s="7">
        <v>3.45</v>
      </c>
    </row>
    <row r="51" spans="1:3">
      <c r="A51" s="6">
        <v>39566</v>
      </c>
      <c r="B51" s="7"/>
      <c r="C51" s="7">
        <v>3.48</v>
      </c>
    </row>
    <row r="52" spans="1:3">
      <c r="A52" s="6">
        <v>39573</v>
      </c>
      <c r="B52" s="7">
        <v>3.07</v>
      </c>
      <c r="C52" s="7"/>
    </row>
    <row r="53" spans="1:3">
      <c r="A53" s="6">
        <v>39574</v>
      </c>
      <c r="B53" s="7"/>
      <c r="C53" s="7">
        <v>3.5</v>
      </c>
    </row>
    <row r="54" spans="1:3">
      <c r="A54" s="6">
        <v>39576</v>
      </c>
      <c r="B54" s="7">
        <v>3.1</v>
      </c>
      <c r="C54" s="7">
        <v>3.53</v>
      </c>
    </row>
    <row r="55" spans="1:3">
      <c r="A55" s="6">
        <v>39577</v>
      </c>
      <c r="B55" s="7"/>
      <c r="C55" s="7">
        <v>3.52</v>
      </c>
    </row>
    <row r="56" spans="1:3">
      <c r="A56" s="6">
        <v>39580</v>
      </c>
      <c r="B56" s="7">
        <v>3.12</v>
      </c>
      <c r="C56" s="7"/>
    </row>
    <row r="57" spans="1:3">
      <c r="A57" s="6">
        <v>39582</v>
      </c>
      <c r="B57" s="7">
        <v>3.18</v>
      </c>
      <c r="C57" s="7">
        <v>3.53</v>
      </c>
    </row>
    <row r="58" spans="1:3">
      <c r="A58" s="6">
        <v>39583</v>
      </c>
      <c r="B58" s="7">
        <v>3.2</v>
      </c>
      <c r="C58" s="7">
        <v>3.58</v>
      </c>
    </row>
    <row r="59" spans="1:3">
      <c r="A59" s="6">
        <v>39587</v>
      </c>
      <c r="B59" s="7">
        <v>3.26</v>
      </c>
      <c r="C59" s="7">
        <v>3.6</v>
      </c>
    </row>
    <row r="60" spans="1:3">
      <c r="A60" s="6">
        <v>39588</v>
      </c>
      <c r="B60" s="7">
        <v>3.25</v>
      </c>
      <c r="C60" s="7"/>
    </row>
    <row r="61" spans="1:3">
      <c r="A61" s="6">
        <v>39589</v>
      </c>
      <c r="B61" s="7"/>
      <c r="C61" s="7">
        <v>3.59</v>
      </c>
    </row>
    <row r="62" spans="1:3">
      <c r="A62" s="6">
        <v>39590</v>
      </c>
      <c r="B62" s="7">
        <v>3.25</v>
      </c>
      <c r="C62" s="7">
        <v>3.6</v>
      </c>
    </row>
    <row r="63" spans="1:3">
      <c r="A63" s="6">
        <v>39591</v>
      </c>
      <c r="B63" s="7">
        <v>3.26</v>
      </c>
      <c r="C63" s="7">
        <v>3.6</v>
      </c>
    </row>
    <row r="64" spans="1:3">
      <c r="A64" s="6">
        <v>39594</v>
      </c>
      <c r="B64" s="7">
        <v>3.25</v>
      </c>
      <c r="C64" s="7"/>
    </row>
    <row r="65" spans="1:3">
      <c r="A65" s="6">
        <v>39595</v>
      </c>
      <c r="B65" s="7">
        <v>3.25</v>
      </c>
      <c r="C65" s="7">
        <v>3.59</v>
      </c>
    </row>
    <row r="66" spans="1:3">
      <c r="A66" s="6">
        <v>39596</v>
      </c>
      <c r="B66" s="7">
        <v>3.23</v>
      </c>
      <c r="C66" s="7">
        <v>3.565</v>
      </c>
    </row>
    <row r="67" spans="1:3">
      <c r="A67" s="6">
        <v>39597</v>
      </c>
      <c r="B67" s="7">
        <v>3.24</v>
      </c>
      <c r="C67" s="7"/>
    </row>
    <row r="68" spans="1:3">
      <c r="A68" s="6">
        <v>39598</v>
      </c>
      <c r="B68" s="7">
        <v>3.27</v>
      </c>
      <c r="C68" s="7">
        <v>3.61</v>
      </c>
    </row>
    <row r="69" spans="1:3">
      <c r="A69" s="6">
        <v>39601</v>
      </c>
      <c r="B69" s="7">
        <v>3.32</v>
      </c>
      <c r="C69" s="7">
        <v>3.68</v>
      </c>
    </row>
    <row r="70" spans="1:3">
      <c r="A70" s="6">
        <v>39603</v>
      </c>
      <c r="B70" s="7">
        <v>3.44</v>
      </c>
      <c r="C70" s="7">
        <v>3.76</v>
      </c>
    </row>
    <row r="71" spans="1:3">
      <c r="A71" s="6">
        <v>39604</v>
      </c>
      <c r="B71" s="7">
        <v>3.5</v>
      </c>
      <c r="C71" s="7">
        <v>3.83</v>
      </c>
    </row>
    <row r="72" spans="1:3">
      <c r="A72" s="6">
        <v>39605</v>
      </c>
      <c r="B72" s="7">
        <v>3.47</v>
      </c>
      <c r="C72" s="7">
        <v>3.8</v>
      </c>
    </row>
    <row r="73" spans="1:3">
      <c r="A73" s="6">
        <v>39609</v>
      </c>
      <c r="B73" s="7">
        <v>3.91</v>
      </c>
      <c r="C73" s="7">
        <v>4.28</v>
      </c>
    </row>
    <row r="74" spans="1:3">
      <c r="A74" s="6">
        <v>39610</v>
      </c>
      <c r="B74" s="7">
        <v>3.92</v>
      </c>
      <c r="C74" s="7">
        <v>4.14</v>
      </c>
    </row>
    <row r="75" spans="1:3">
      <c r="A75" s="6">
        <v>39611</v>
      </c>
      <c r="B75" s="7">
        <v>3.85</v>
      </c>
      <c r="C75" s="7">
        <v>4.11</v>
      </c>
    </row>
    <row r="76" spans="1:3">
      <c r="A76" s="6">
        <v>39612</v>
      </c>
      <c r="B76" s="7">
        <v>3.83</v>
      </c>
      <c r="C76" s="7">
        <v>3.92</v>
      </c>
    </row>
    <row r="77" spans="1:3">
      <c r="A77" s="6">
        <v>39615</v>
      </c>
      <c r="B77" s="7">
        <v>3.88</v>
      </c>
      <c r="C77" s="7">
        <v>4.14</v>
      </c>
    </row>
    <row r="78" spans="1:3">
      <c r="A78" s="6">
        <v>39616</v>
      </c>
      <c r="B78" s="7">
        <v>3.81</v>
      </c>
      <c r="C78" s="7">
        <v>3.8</v>
      </c>
    </row>
    <row r="79" spans="1:3">
      <c r="A79" s="6">
        <v>39617</v>
      </c>
      <c r="B79" s="7">
        <v>3.79</v>
      </c>
      <c r="C79" s="7">
        <v>4.07</v>
      </c>
    </row>
    <row r="80" spans="1:3">
      <c r="A80" s="6">
        <v>39618</v>
      </c>
      <c r="B80" s="7">
        <v>3.78</v>
      </c>
      <c r="C80" s="7">
        <v>4.1</v>
      </c>
    </row>
    <row r="81" spans="1:3">
      <c r="A81" s="6">
        <v>39619</v>
      </c>
      <c r="B81" s="7">
        <v>3.83</v>
      </c>
      <c r="C81" s="7">
        <v>4.2</v>
      </c>
    </row>
    <row r="82" spans="1:3">
      <c r="A82" s="6">
        <v>39623</v>
      </c>
      <c r="B82" s="7">
        <v>3.77</v>
      </c>
      <c r="C82" s="7">
        <v>3.71</v>
      </c>
    </row>
    <row r="83" spans="1:3">
      <c r="A83" s="6">
        <v>39624</v>
      </c>
      <c r="B83" s="7">
        <v>3.81</v>
      </c>
      <c r="C83" s="7">
        <v>4.2</v>
      </c>
    </row>
    <row r="84" spans="1:3">
      <c r="A84" s="6">
        <v>39625</v>
      </c>
      <c r="B84" s="7">
        <v>3.82</v>
      </c>
      <c r="C84" s="7">
        <v>4.37</v>
      </c>
    </row>
    <row r="85" spans="1:3">
      <c r="A85" s="6">
        <v>39626</v>
      </c>
      <c r="B85" s="7">
        <v>3.83</v>
      </c>
      <c r="C85" s="7">
        <v>4.3</v>
      </c>
    </row>
    <row r="86" spans="1:3">
      <c r="A86" s="6">
        <v>39629</v>
      </c>
      <c r="B86" s="7">
        <v>3.805</v>
      </c>
      <c r="C86" s="7"/>
    </row>
    <row r="87" spans="1:3">
      <c r="A87" s="6">
        <v>39630</v>
      </c>
      <c r="B87" s="7">
        <v>3.72</v>
      </c>
      <c r="C87" s="7">
        <v>4.31</v>
      </c>
    </row>
    <row r="88" spans="1:3">
      <c r="A88" s="6">
        <v>39631</v>
      </c>
      <c r="B88" s="7">
        <v>3.76</v>
      </c>
      <c r="C88" s="7">
        <v>4.28</v>
      </c>
    </row>
    <row r="89" spans="1:3">
      <c r="A89" s="6">
        <v>39632</v>
      </c>
      <c r="B89" s="7">
        <v>3.78</v>
      </c>
      <c r="C89" s="7">
        <v>4.32</v>
      </c>
    </row>
    <row r="90" spans="1:3">
      <c r="A90" s="6">
        <v>39633</v>
      </c>
      <c r="B90" s="7">
        <v>3.72</v>
      </c>
      <c r="C90" s="7">
        <v>4.38</v>
      </c>
    </row>
    <row r="91" spans="1:3">
      <c r="A91" s="6">
        <v>39636</v>
      </c>
      <c r="B91" s="7">
        <v>3.68</v>
      </c>
      <c r="C91" s="7"/>
    </row>
    <row r="92" spans="1:3">
      <c r="A92" s="6">
        <v>39637</v>
      </c>
      <c r="B92" s="7">
        <v>3.56</v>
      </c>
      <c r="C92" s="7">
        <v>4.05</v>
      </c>
    </row>
    <row r="93" spans="1:3">
      <c r="A93" s="6">
        <v>39638</v>
      </c>
      <c r="B93" s="7">
        <v>3.56</v>
      </c>
      <c r="C93" s="7">
        <v>4</v>
      </c>
    </row>
    <row r="94" spans="1:3">
      <c r="A94" s="6">
        <v>39639</v>
      </c>
      <c r="B94" s="7">
        <v>3.51</v>
      </c>
      <c r="C94" s="7">
        <v>3.93</v>
      </c>
    </row>
    <row r="95" spans="1:3">
      <c r="A95" s="6">
        <v>39640</v>
      </c>
      <c r="B95" s="7">
        <v>3.46</v>
      </c>
      <c r="C95" s="7">
        <v>3.88</v>
      </c>
    </row>
    <row r="96" spans="1:3">
      <c r="A96" s="6">
        <v>39643</v>
      </c>
      <c r="B96" s="7">
        <v>3.49</v>
      </c>
      <c r="C96" s="7">
        <v>3.94</v>
      </c>
    </row>
    <row r="97" spans="1:3">
      <c r="A97" s="6">
        <v>39644</v>
      </c>
      <c r="B97" s="7">
        <v>3.46</v>
      </c>
      <c r="C97" s="7"/>
    </row>
    <row r="98" spans="1:3">
      <c r="A98" s="6">
        <v>39645</v>
      </c>
      <c r="B98" s="7">
        <v>3.45</v>
      </c>
      <c r="C98" s="7">
        <v>3.88</v>
      </c>
    </row>
    <row r="99" spans="1:3">
      <c r="A99" s="6">
        <v>39646</v>
      </c>
      <c r="B99" s="7">
        <v>3.44</v>
      </c>
      <c r="C99" s="7">
        <v>3.88</v>
      </c>
    </row>
    <row r="100" spans="1:3">
      <c r="A100" s="6">
        <v>39650</v>
      </c>
      <c r="B100" s="7">
        <v>3.43</v>
      </c>
      <c r="C100" s="7"/>
    </row>
    <row r="101" spans="1:3">
      <c r="A101" s="6">
        <v>39651</v>
      </c>
      <c r="B101" s="7">
        <v>3.44</v>
      </c>
      <c r="C101" s="7"/>
    </row>
    <row r="102" spans="1:3">
      <c r="A102" s="6">
        <v>39652</v>
      </c>
      <c r="B102" s="7">
        <v>3.46</v>
      </c>
      <c r="C102" s="7"/>
    </row>
    <row r="103" spans="1:3">
      <c r="A103" s="6">
        <v>39653</v>
      </c>
      <c r="B103" s="7">
        <v>3.43</v>
      </c>
      <c r="C103" s="7">
        <v>3.89</v>
      </c>
    </row>
    <row r="104" spans="1:3">
      <c r="A104" s="6">
        <v>39654</v>
      </c>
      <c r="B104" s="7">
        <v>3.39</v>
      </c>
      <c r="C104" s="7">
        <v>3.82</v>
      </c>
    </row>
    <row r="105" spans="1:3">
      <c r="A105" s="6">
        <v>39657</v>
      </c>
      <c r="B105" s="7">
        <v>3.45</v>
      </c>
      <c r="C105" s="7">
        <v>3.81</v>
      </c>
    </row>
    <row r="106" spans="1:3">
      <c r="A106" s="6">
        <v>39658</v>
      </c>
      <c r="B106" s="7">
        <v>3.46</v>
      </c>
      <c r="C106" s="7">
        <v>3.85</v>
      </c>
    </row>
    <row r="107" spans="1:3">
      <c r="A107" s="6">
        <v>39659</v>
      </c>
      <c r="B107" s="7">
        <v>3.455</v>
      </c>
      <c r="C107" s="7">
        <v>3.88</v>
      </c>
    </row>
    <row r="108" spans="1:3">
      <c r="A108" s="6">
        <v>39660</v>
      </c>
      <c r="B108" s="7">
        <v>3.46</v>
      </c>
      <c r="C108" s="7"/>
    </row>
    <row r="109" spans="1:3">
      <c r="A109" s="6">
        <v>39661</v>
      </c>
      <c r="B109" s="7">
        <v>3.46</v>
      </c>
      <c r="C109" s="7">
        <v>3.87</v>
      </c>
    </row>
    <row r="110" spans="1:3">
      <c r="A110" s="6">
        <v>39664</v>
      </c>
      <c r="B110" s="7">
        <v>3.45</v>
      </c>
      <c r="C110" s="7">
        <v>3.89</v>
      </c>
    </row>
    <row r="111" spans="1:3">
      <c r="A111" s="6">
        <v>39665</v>
      </c>
      <c r="B111" s="7">
        <v>3.43</v>
      </c>
      <c r="C111" s="7">
        <v>3.85</v>
      </c>
    </row>
    <row r="112" spans="1:3">
      <c r="A112" s="6">
        <v>39666</v>
      </c>
      <c r="B112" s="7">
        <v>3.415</v>
      </c>
      <c r="C112" s="7"/>
    </row>
    <row r="113" spans="1:3">
      <c r="A113" s="6">
        <v>39667</v>
      </c>
      <c r="B113" s="7">
        <v>3.39</v>
      </c>
      <c r="C113" s="7">
        <v>3.76</v>
      </c>
    </row>
    <row r="114" spans="1:3">
      <c r="A114" s="6">
        <v>39672</v>
      </c>
      <c r="B114" s="7">
        <v>3.37</v>
      </c>
      <c r="C114" s="7">
        <v>3.76</v>
      </c>
    </row>
    <row r="115" spans="1:3">
      <c r="A115" s="6">
        <v>39673</v>
      </c>
      <c r="B115" s="7">
        <v>3.365</v>
      </c>
      <c r="C115" s="7">
        <v>3.8</v>
      </c>
    </row>
    <row r="116" spans="1:3">
      <c r="A116" s="6">
        <v>39674</v>
      </c>
      <c r="B116" s="7">
        <v>3.385</v>
      </c>
      <c r="C116" s="7">
        <v>3.81</v>
      </c>
    </row>
    <row r="117" spans="1:3">
      <c r="A117" s="6">
        <v>39675</v>
      </c>
      <c r="B117" s="7">
        <v>3.34</v>
      </c>
      <c r="C117" s="7">
        <v>3.805</v>
      </c>
    </row>
    <row r="118" spans="1:3">
      <c r="A118" s="6">
        <v>39678</v>
      </c>
      <c r="B118" s="7">
        <v>3.35</v>
      </c>
      <c r="C118" s="7"/>
    </row>
    <row r="119" spans="1:3">
      <c r="A119" s="6">
        <v>39679</v>
      </c>
      <c r="B119" s="7">
        <v>3.31</v>
      </c>
      <c r="C119" s="7"/>
    </row>
    <row r="120" spans="1:3">
      <c r="A120" s="6">
        <v>39680</v>
      </c>
      <c r="B120" s="7">
        <v>3.29</v>
      </c>
      <c r="C120" s="7"/>
    </row>
    <row r="121" spans="1:3">
      <c r="A121" s="6">
        <v>39681</v>
      </c>
      <c r="B121" s="7">
        <v>3.26</v>
      </c>
      <c r="C121" s="7">
        <v>3.66</v>
      </c>
    </row>
    <row r="122" spans="1:3">
      <c r="A122" s="6">
        <v>39682</v>
      </c>
      <c r="B122" s="7">
        <v>3.22</v>
      </c>
      <c r="C122" s="7">
        <v>3.61</v>
      </c>
    </row>
    <row r="123" spans="1:3">
      <c r="A123" s="6">
        <v>39687</v>
      </c>
      <c r="B123" s="7">
        <v>3.22</v>
      </c>
      <c r="C123" s="7">
        <v>3.64</v>
      </c>
    </row>
    <row r="124" spans="1:3">
      <c r="A124" s="6">
        <v>39688</v>
      </c>
      <c r="B124" s="7">
        <v>3.24</v>
      </c>
      <c r="C124" s="7">
        <v>3.66</v>
      </c>
    </row>
    <row r="125" spans="1:3">
      <c r="A125" s="6">
        <v>39692</v>
      </c>
      <c r="B125" s="7">
        <v>3.23</v>
      </c>
      <c r="C125" s="7"/>
    </row>
    <row r="126" spans="1:3">
      <c r="A126" s="6">
        <v>39693</v>
      </c>
      <c r="B126" s="7">
        <v>3.22</v>
      </c>
      <c r="C126" s="7">
        <v>3.59</v>
      </c>
    </row>
    <row r="127" spans="1:3">
      <c r="A127" s="6">
        <v>39694</v>
      </c>
      <c r="B127" s="7">
        <v>3.2</v>
      </c>
      <c r="C127" s="7">
        <v>3.58</v>
      </c>
    </row>
    <row r="128" spans="1:3">
      <c r="A128" s="6">
        <v>39695</v>
      </c>
      <c r="B128" s="7">
        <v>3.2</v>
      </c>
      <c r="C128" s="7"/>
    </row>
    <row r="129" spans="1:3">
      <c r="A129" s="6">
        <v>39696</v>
      </c>
      <c r="B129" s="7">
        <v>3.21</v>
      </c>
      <c r="C129" s="7">
        <v>3.58</v>
      </c>
    </row>
    <row r="130" spans="1:3">
      <c r="A130" s="6">
        <v>39699</v>
      </c>
      <c r="B130" s="7"/>
      <c r="C130" s="7">
        <v>3.595</v>
      </c>
    </row>
    <row r="131" spans="1:3">
      <c r="A131" s="6">
        <v>39701</v>
      </c>
      <c r="B131" s="7">
        <v>3.185</v>
      </c>
      <c r="C131" s="7">
        <v>3.57</v>
      </c>
    </row>
    <row r="132" spans="1:3">
      <c r="A132" s="6">
        <v>39702</v>
      </c>
      <c r="B132" s="7">
        <v>3.18</v>
      </c>
      <c r="C132" s="7"/>
    </row>
    <row r="133" spans="1:3">
      <c r="A133" s="6">
        <v>39703</v>
      </c>
      <c r="B133" s="7">
        <v>3.185</v>
      </c>
      <c r="C133" s="7"/>
    </row>
    <row r="134" spans="1:3">
      <c r="A134" s="6">
        <v>39707</v>
      </c>
      <c r="B134" s="7"/>
      <c r="C134" s="7">
        <v>3.175</v>
      </c>
    </row>
    <row r="135" spans="1:3">
      <c r="A135" s="6">
        <v>39709</v>
      </c>
      <c r="B135" s="7">
        <v>3.04</v>
      </c>
      <c r="C135" s="7">
        <v>3.18</v>
      </c>
    </row>
    <row r="136" spans="1:3">
      <c r="A136" s="6">
        <v>39710</v>
      </c>
      <c r="B136" s="7">
        <v>3.018</v>
      </c>
      <c r="C136" s="7">
        <v>3.2</v>
      </c>
    </row>
    <row r="137" spans="1:3">
      <c r="A137" s="6">
        <v>39714</v>
      </c>
      <c r="B137" s="7">
        <v>3.03</v>
      </c>
      <c r="C137" s="7">
        <v>3.17</v>
      </c>
    </row>
    <row r="138" spans="1:3">
      <c r="A138" s="6">
        <v>39715</v>
      </c>
      <c r="B138" s="7">
        <v>2.99</v>
      </c>
      <c r="C138" s="7">
        <v>3.14</v>
      </c>
    </row>
    <row r="139" spans="1:3">
      <c r="A139" s="6">
        <v>39716</v>
      </c>
      <c r="B139" s="7">
        <v>2.985</v>
      </c>
      <c r="C139" s="7"/>
    </row>
    <row r="140" spans="1:3">
      <c r="A140" s="6">
        <v>39717</v>
      </c>
      <c r="B140" s="7">
        <v>2.95</v>
      </c>
      <c r="C140" s="7">
        <v>3.14</v>
      </c>
    </row>
    <row r="141" spans="1:3">
      <c r="A141" s="6">
        <v>39718</v>
      </c>
      <c r="B141" s="7">
        <v>2.97</v>
      </c>
      <c r="C141" s="7"/>
    </row>
    <row r="142" spans="1:3">
      <c r="A142" s="6">
        <v>39728</v>
      </c>
      <c r="B142" s="7">
        <v>3.01</v>
      </c>
      <c r="C142" s="7">
        <v>3.02</v>
      </c>
    </row>
    <row r="143" spans="1:3">
      <c r="A143" s="6">
        <v>39729</v>
      </c>
      <c r="B143" s="7">
        <v>2.805</v>
      </c>
      <c r="C143" s="7">
        <v>2.71</v>
      </c>
    </row>
    <row r="144" spans="1:3">
      <c r="A144" s="6">
        <v>39730</v>
      </c>
      <c r="B144" s="7">
        <v>2.638</v>
      </c>
      <c r="C144" s="7">
        <v>2.548</v>
      </c>
    </row>
    <row r="145" spans="1:3">
      <c r="A145" s="6">
        <v>39731</v>
      </c>
      <c r="B145" s="7">
        <v>2.62</v>
      </c>
      <c r="C145" s="7">
        <v>2.641</v>
      </c>
    </row>
    <row r="146" spans="1:3">
      <c r="A146" s="6">
        <v>39734</v>
      </c>
      <c r="B146" s="7">
        <v>2.65</v>
      </c>
      <c r="C146" s="7"/>
    </row>
    <row r="147" spans="1:3">
      <c r="A147" s="6">
        <v>39735</v>
      </c>
      <c r="B147" s="7">
        <v>2.67</v>
      </c>
      <c r="C147" s="7">
        <v>2.7</v>
      </c>
    </row>
    <row r="148" spans="1:3">
      <c r="A148" s="6">
        <v>39736</v>
      </c>
      <c r="B148" s="7">
        <v>2.66</v>
      </c>
      <c r="C148" s="7">
        <v>2.66</v>
      </c>
    </row>
    <row r="149" spans="1:3">
      <c r="A149" s="6">
        <v>39737</v>
      </c>
      <c r="B149" s="7"/>
      <c r="C149" s="7">
        <v>2.68</v>
      </c>
    </row>
    <row r="150" spans="1:3">
      <c r="A150" s="6">
        <v>39738</v>
      </c>
      <c r="B150" s="7">
        <v>2.66</v>
      </c>
      <c r="C150" s="7">
        <v>2.74</v>
      </c>
    </row>
    <row r="151" spans="1:3">
      <c r="A151" s="6">
        <v>39741</v>
      </c>
      <c r="B151" s="7">
        <v>2.66</v>
      </c>
      <c r="C151" s="7">
        <v>2.63</v>
      </c>
    </row>
    <row r="152" spans="1:3">
      <c r="A152" s="6">
        <v>39743</v>
      </c>
      <c r="B152" s="7">
        <v>2.64</v>
      </c>
      <c r="C152" s="7"/>
    </row>
    <row r="153" spans="1:3">
      <c r="A153" s="6">
        <v>39744</v>
      </c>
      <c r="B153" s="7">
        <v>2.59</v>
      </c>
      <c r="C153" s="7"/>
    </row>
    <row r="154" spans="1:3">
      <c r="A154" s="6">
        <v>39748</v>
      </c>
      <c r="B154" s="7">
        <v>2.52</v>
      </c>
      <c r="C154" s="7"/>
    </row>
    <row r="155" spans="1:3">
      <c r="A155" s="6">
        <v>39750</v>
      </c>
      <c r="B155" s="7">
        <v>2.4</v>
      </c>
      <c r="C155" s="7">
        <v>2.35</v>
      </c>
    </row>
    <row r="156" spans="1:3">
      <c r="A156" s="6">
        <v>39751</v>
      </c>
      <c r="B156" s="7">
        <v>2.38</v>
      </c>
      <c r="C156" s="7">
        <v>2.42</v>
      </c>
    </row>
    <row r="157" spans="1:3">
      <c r="A157" s="6">
        <v>39756</v>
      </c>
      <c r="B157" s="7">
        <v>2.38</v>
      </c>
      <c r="C157" s="7"/>
    </row>
    <row r="158" spans="1:3">
      <c r="A158" s="6">
        <v>39758</v>
      </c>
      <c r="B158" s="7">
        <v>2.35</v>
      </c>
      <c r="C158" s="7"/>
    </row>
    <row r="159" spans="1:3">
      <c r="A159" s="6">
        <v>39762</v>
      </c>
      <c r="B159" s="7">
        <v>2.29</v>
      </c>
      <c r="C159" s="7">
        <v>2.35</v>
      </c>
    </row>
    <row r="160" spans="1:3">
      <c r="A160" s="6">
        <v>39763</v>
      </c>
      <c r="B160" s="7">
        <v>2.16</v>
      </c>
      <c r="C160" s="7">
        <v>2.24</v>
      </c>
    </row>
    <row r="161" spans="1:3">
      <c r="A161" s="6">
        <v>39765</v>
      </c>
      <c r="B161" s="7">
        <v>1.92</v>
      </c>
      <c r="C161" s="7">
        <v>2</v>
      </c>
    </row>
    <row r="162" spans="1:3">
      <c r="A162" s="6">
        <v>39766</v>
      </c>
      <c r="B162" s="7">
        <v>1.84</v>
      </c>
      <c r="C162" s="7">
        <v>1.94</v>
      </c>
    </row>
    <row r="163" spans="1:3">
      <c r="A163" s="6">
        <v>39770</v>
      </c>
      <c r="B163" s="7"/>
      <c r="C163" s="7">
        <v>1.98</v>
      </c>
    </row>
    <row r="164" spans="1:3">
      <c r="A164" s="6">
        <v>39772</v>
      </c>
      <c r="B164" s="7">
        <v>1.81</v>
      </c>
      <c r="C164" s="7"/>
    </row>
    <row r="165" spans="1:3">
      <c r="A165" s="6">
        <v>39773</v>
      </c>
      <c r="B165" s="7">
        <v>1.775</v>
      </c>
      <c r="C165" s="7"/>
    </row>
    <row r="166" spans="1:3">
      <c r="A166" s="6">
        <v>39777</v>
      </c>
      <c r="B166" s="7">
        <v>1.79</v>
      </c>
      <c r="C166" s="7">
        <v>2.1</v>
      </c>
    </row>
    <row r="167" spans="1:3">
      <c r="A167" s="6">
        <v>39778</v>
      </c>
      <c r="B167" s="7"/>
      <c r="C167" s="7">
        <v>2.08</v>
      </c>
    </row>
    <row r="168" spans="1:3">
      <c r="A168" s="6">
        <v>39779</v>
      </c>
      <c r="B168" s="7">
        <v>1.45</v>
      </c>
      <c r="C168" s="7">
        <v>1.8</v>
      </c>
    </row>
    <row r="169" spans="1:3">
      <c r="A169" s="6">
        <v>39780</v>
      </c>
      <c r="B169" s="7"/>
      <c r="C169" s="7">
        <v>1.78</v>
      </c>
    </row>
    <row r="170" spans="1:3">
      <c r="A170" s="6">
        <v>39783</v>
      </c>
      <c r="B170" s="7">
        <v>1.46</v>
      </c>
      <c r="C170" s="7">
        <v>1.78</v>
      </c>
    </row>
    <row r="171" spans="1:3">
      <c r="A171" s="6">
        <v>39784</v>
      </c>
      <c r="B171" s="7">
        <v>1.4</v>
      </c>
      <c r="C171" s="7">
        <v>1.67</v>
      </c>
    </row>
    <row r="172" spans="1:3">
      <c r="A172" s="6">
        <v>39785</v>
      </c>
      <c r="B172" s="7"/>
      <c r="C172" s="7">
        <v>1.69</v>
      </c>
    </row>
    <row r="173" spans="1:3">
      <c r="A173" s="6">
        <v>39786</v>
      </c>
      <c r="B173" s="7">
        <v>1.35</v>
      </c>
      <c r="C173" s="7">
        <v>1.695</v>
      </c>
    </row>
    <row r="174" spans="1:3">
      <c r="A174" s="6">
        <v>39787</v>
      </c>
      <c r="B174" s="7">
        <v>1.36</v>
      </c>
      <c r="C174" s="7"/>
    </row>
    <row r="175" spans="1:3">
      <c r="A175" s="6">
        <v>39790</v>
      </c>
      <c r="B175" s="7">
        <v>1.39</v>
      </c>
      <c r="C175" s="7"/>
    </row>
    <row r="176" spans="1:3">
      <c r="A176" s="6">
        <v>39791</v>
      </c>
      <c r="B176" s="7">
        <v>1.33</v>
      </c>
      <c r="C176" s="7"/>
    </row>
    <row r="177" spans="1:3">
      <c r="A177" s="6">
        <v>39792</v>
      </c>
      <c r="B177" s="7">
        <v>1.285</v>
      </c>
      <c r="C177" s="7"/>
    </row>
    <row r="178" spans="1:3">
      <c r="A178" s="6">
        <v>39793</v>
      </c>
      <c r="B178" s="7">
        <v>1.25</v>
      </c>
      <c r="C178" s="7"/>
    </row>
    <row r="179" spans="1:3">
      <c r="A179" s="6">
        <v>39794</v>
      </c>
      <c r="B179" s="7">
        <v>1.205</v>
      </c>
      <c r="C179" s="7">
        <v>1.69</v>
      </c>
    </row>
    <row r="180" spans="1:3">
      <c r="A180" s="6">
        <v>39797</v>
      </c>
      <c r="B180" s="7">
        <v>1.02</v>
      </c>
      <c r="C180" s="7"/>
    </row>
    <row r="181" spans="1:3">
      <c r="A181" s="6">
        <v>39798</v>
      </c>
      <c r="B181" s="7">
        <v>0.99</v>
      </c>
      <c r="C181" s="7"/>
    </row>
    <row r="182" spans="1:3">
      <c r="A182" s="6">
        <v>39799</v>
      </c>
      <c r="B182" s="7">
        <v>0.94</v>
      </c>
      <c r="C182" s="7">
        <v>1.5</v>
      </c>
    </row>
    <row r="183" spans="1:3">
      <c r="A183" s="6">
        <v>39801</v>
      </c>
      <c r="B183" s="7"/>
      <c r="C183" s="7">
        <v>1.46</v>
      </c>
    </row>
    <row r="184" spans="1:3">
      <c r="A184" s="6">
        <v>39805</v>
      </c>
      <c r="B184" s="7">
        <v>0.86</v>
      </c>
      <c r="C184" s="7"/>
    </row>
    <row r="185" spans="1:3">
      <c r="A185" s="6">
        <v>39806</v>
      </c>
      <c r="B185" s="7">
        <v>0.875</v>
      </c>
      <c r="C185" s="7">
        <v>1.55</v>
      </c>
    </row>
    <row r="186" spans="1:3">
      <c r="A186" s="6">
        <v>39817</v>
      </c>
      <c r="B186" s="7">
        <v>0.88</v>
      </c>
      <c r="C186" s="7"/>
    </row>
    <row r="187" spans="1:3">
      <c r="A187" s="6">
        <v>39818</v>
      </c>
      <c r="B187" s="7">
        <v>0.874</v>
      </c>
      <c r="C187" s="7"/>
    </row>
    <row r="188" spans="1:3">
      <c r="A188" s="6">
        <v>39819</v>
      </c>
      <c r="B188" s="7">
        <v>0.83</v>
      </c>
      <c r="C188" s="7">
        <v>1.56</v>
      </c>
    </row>
    <row r="189" spans="1:3">
      <c r="A189" s="6">
        <v>39820</v>
      </c>
      <c r="B189" s="7">
        <v>0.85</v>
      </c>
      <c r="C189" s="7">
        <v>1.57</v>
      </c>
    </row>
    <row r="190" spans="1:3">
      <c r="A190" s="6">
        <v>39821</v>
      </c>
      <c r="B190" s="7">
        <v>0.83</v>
      </c>
      <c r="C190" s="7"/>
    </row>
    <row r="191" spans="1:3">
      <c r="A191" s="6">
        <v>39822</v>
      </c>
      <c r="B191" s="7"/>
      <c r="C191" s="7">
        <v>1.52</v>
      </c>
    </row>
    <row r="192" spans="1:3">
      <c r="A192" s="6">
        <v>39825</v>
      </c>
      <c r="B192" s="7">
        <v>0.85</v>
      </c>
      <c r="C192" s="7">
        <v>1.49</v>
      </c>
    </row>
    <row r="193" spans="1:3">
      <c r="A193" s="6">
        <v>39826</v>
      </c>
      <c r="B193" s="7">
        <v>0.79</v>
      </c>
      <c r="C193" s="7">
        <v>1.5</v>
      </c>
    </row>
    <row r="194" spans="1:3">
      <c r="A194" s="6">
        <v>39828</v>
      </c>
      <c r="B194" s="7">
        <v>0.845</v>
      </c>
      <c r="C194" s="7">
        <v>1.5175</v>
      </c>
    </row>
    <row r="195" spans="1:3">
      <c r="A195" s="6">
        <v>39829</v>
      </c>
      <c r="B195" s="7">
        <v>0.9</v>
      </c>
      <c r="C195" s="7"/>
    </row>
    <row r="196" spans="1:3">
      <c r="A196" s="6">
        <v>39832</v>
      </c>
      <c r="B196" s="7"/>
      <c r="C196" s="7">
        <v>1.645</v>
      </c>
    </row>
    <row r="197" spans="1:3">
      <c r="A197" s="6">
        <v>39833</v>
      </c>
      <c r="B197" s="7">
        <v>0.96</v>
      </c>
      <c r="C197" s="7">
        <v>1.7</v>
      </c>
    </row>
    <row r="198" spans="1:3">
      <c r="A198" s="6">
        <v>39834</v>
      </c>
      <c r="B198" s="7">
        <v>0.9</v>
      </c>
      <c r="C198" s="7">
        <v>1.66</v>
      </c>
    </row>
    <row r="199" spans="1:3">
      <c r="A199" s="6">
        <v>39835</v>
      </c>
      <c r="B199" s="7"/>
      <c r="C199" s="7">
        <v>1.68</v>
      </c>
    </row>
    <row r="200" spans="1:3">
      <c r="A200" s="6">
        <v>39846</v>
      </c>
      <c r="B200" s="7"/>
      <c r="C200" s="7">
        <v>1.77</v>
      </c>
    </row>
    <row r="201" spans="1:3">
      <c r="A201" s="6">
        <v>39847</v>
      </c>
      <c r="B201" s="7">
        <v>1</v>
      </c>
      <c r="C201" s="7">
        <v>1.99</v>
      </c>
    </row>
    <row r="202" spans="1:3">
      <c r="A202" s="6">
        <v>39848</v>
      </c>
      <c r="B202" s="7">
        <v>1.11</v>
      </c>
      <c r="C202" s="7">
        <v>2.09</v>
      </c>
    </row>
    <row r="203" spans="1:3">
      <c r="A203" s="6">
        <v>39849</v>
      </c>
      <c r="B203" s="7">
        <v>1.12</v>
      </c>
      <c r="C203" s="7">
        <v>2.22</v>
      </c>
    </row>
    <row r="204" spans="1:3">
      <c r="A204" s="6">
        <v>39850</v>
      </c>
      <c r="B204" s="7">
        <v>1.16</v>
      </c>
      <c r="C204" s="7">
        <v>2.34</v>
      </c>
    </row>
    <row r="205" spans="1:3">
      <c r="A205" s="6">
        <v>39853</v>
      </c>
      <c r="B205" s="7">
        <v>1.11</v>
      </c>
      <c r="C205" s="7">
        <v>2.36</v>
      </c>
    </row>
    <row r="206" spans="1:3">
      <c r="A206" s="6">
        <v>39854</v>
      </c>
      <c r="B206" s="7">
        <v>1.15</v>
      </c>
      <c r="C206" s="7"/>
    </row>
    <row r="207" spans="1:3">
      <c r="A207" s="6">
        <v>39855</v>
      </c>
      <c r="B207" s="7">
        <v>1.04</v>
      </c>
      <c r="C207" s="7">
        <v>2.1</v>
      </c>
    </row>
    <row r="208" spans="1:3">
      <c r="A208" s="6">
        <v>39856</v>
      </c>
      <c r="B208" s="7"/>
      <c r="C208" s="7">
        <v>2.03</v>
      </c>
    </row>
    <row r="209" spans="1:3">
      <c r="A209" s="6">
        <v>39857</v>
      </c>
      <c r="B209" s="7">
        <v>1.05</v>
      </c>
      <c r="C209" s="7">
        <v>2.05</v>
      </c>
    </row>
    <row r="210" spans="1:3">
      <c r="A210" s="6">
        <v>39860</v>
      </c>
      <c r="B210" s="7">
        <v>1.05</v>
      </c>
      <c r="C210" s="7">
        <v>2.11</v>
      </c>
    </row>
    <row r="211" spans="1:3">
      <c r="A211" s="6">
        <v>39861</v>
      </c>
      <c r="B211" s="7">
        <v>1.08</v>
      </c>
      <c r="C211" s="7"/>
    </row>
    <row r="212" spans="1:3">
      <c r="A212" s="6">
        <v>39862</v>
      </c>
      <c r="B212" s="7">
        <v>1.06</v>
      </c>
      <c r="C212" s="7"/>
    </row>
    <row r="213" spans="1:3">
      <c r="A213" s="6">
        <v>39863</v>
      </c>
      <c r="B213" s="7">
        <v>1.08</v>
      </c>
      <c r="C213" s="7"/>
    </row>
    <row r="214" spans="1:3">
      <c r="A214" s="6">
        <v>39864</v>
      </c>
      <c r="B214" s="7">
        <v>1.09</v>
      </c>
      <c r="C214" s="7"/>
    </row>
    <row r="215" spans="1:3">
      <c r="A215" s="6">
        <v>39867</v>
      </c>
      <c r="B215" s="7">
        <v>1.11</v>
      </c>
      <c r="C215" s="7"/>
    </row>
    <row r="216" spans="1:3">
      <c r="A216" s="6">
        <v>39868</v>
      </c>
      <c r="B216" s="7">
        <v>1.08</v>
      </c>
      <c r="C216" s="7">
        <v>2.02</v>
      </c>
    </row>
    <row r="217" spans="1:3">
      <c r="A217" s="6">
        <v>39869</v>
      </c>
      <c r="B217" s="7">
        <v>1.09</v>
      </c>
      <c r="C217" s="7"/>
    </row>
    <row r="218" spans="1:3">
      <c r="A218" s="6">
        <v>39870</v>
      </c>
      <c r="B218" s="7">
        <v>1.09</v>
      </c>
      <c r="C218" s="7">
        <v>2.03</v>
      </c>
    </row>
    <row r="219" spans="1:3">
      <c r="A219" s="6">
        <v>39871</v>
      </c>
      <c r="B219" s="7">
        <v>1.08</v>
      </c>
      <c r="C219" s="7"/>
    </row>
    <row r="220" spans="1:3">
      <c r="A220" s="6">
        <v>39874</v>
      </c>
      <c r="B220" s="7">
        <v>1.09</v>
      </c>
      <c r="C220" s="7">
        <v>2.03</v>
      </c>
    </row>
    <row r="221" spans="1:3">
      <c r="A221" s="6">
        <v>39875</v>
      </c>
      <c r="B221" s="7">
        <v>1.1</v>
      </c>
      <c r="C221" s="7">
        <v>2.08</v>
      </c>
    </row>
    <row r="222" spans="1:3">
      <c r="A222" s="6">
        <v>39876</v>
      </c>
      <c r="B222" s="7">
        <v>1.13</v>
      </c>
      <c r="C222" s="7">
        <v>2.15</v>
      </c>
    </row>
    <row r="223" spans="1:3">
      <c r="A223" s="6">
        <v>39877</v>
      </c>
      <c r="B223" s="7"/>
      <c r="C223" s="7">
        <v>2.17</v>
      </c>
    </row>
    <row r="224" spans="1:3">
      <c r="A224" s="6">
        <v>39878</v>
      </c>
      <c r="B224" s="7">
        <v>1.11</v>
      </c>
      <c r="C224" s="7"/>
    </row>
    <row r="225" spans="1:3">
      <c r="A225" s="6">
        <v>39881</v>
      </c>
      <c r="B225" s="7">
        <v>1.13</v>
      </c>
      <c r="C225" s="7"/>
    </row>
    <row r="226" spans="1:3">
      <c r="A226" s="6">
        <v>39882</v>
      </c>
      <c r="B226" s="7">
        <v>1.11</v>
      </c>
      <c r="C226" s="7">
        <v>2.14</v>
      </c>
    </row>
    <row r="227" spans="1:3">
      <c r="A227" s="6">
        <v>39883</v>
      </c>
      <c r="B227" s="7">
        <v>1.14</v>
      </c>
      <c r="C227" s="7">
        <v>2.19</v>
      </c>
    </row>
    <row r="228" spans="1:3">
      <c r="A228" s="6">
        <v>39884</v>
      </c>
      <c r="B228" s="7">
        <v>1.14</v>
      </c>
      <c r="C228" s="7">
        <v>2.19</v>
      </c>
    </row>
    <row r="229" spans="1:3">
      <c r="A229" s="6">
        <v>39885</v>
      </c>
      <c r="B229" s="7">
        <v>1.148</v>
      </c>
      <c r="C229" s="7">
        <v>2.19</v>
      </c>
    </row>
    <row r="230" spans="1:3">
      <c r="A230" s="6">
        <v>39888</v>
      </c>
      <c r="B230" s="7">
        <v>1.135</v>
      </c>
      <c r="C230" s="7"/>
    </row>
    <row r="231" spans="1:3">
      <c r="A231" s="6">
        <v>39889</v>
      </c>
      <c r="B231" s="7">
        <v>1.13</v>
      </c>
      <c r="C231" s="7"/>
    </row>
    <row r="232" spans="1:3">
      <c r="A232" s="6">
        <v>39891</v>
      </c>
      <c r="B232" s="7">
        <v>1.11</v>
      </c>
      <c r="C232" s="7">
        <v>2.135</v>
      </c>
    </row>
    <row r="233" spans="1:3">
      <c r="A233" s="6">
        <v>39895</v>
      </c>
      <c r="B233" s="7"/>
      <c r="C233" s="7">
        <v>2.18</v>
      </c>
    </row>
    <row r="234" spans="1:3">
      <c r="A234" s="6">
        <v>39896</v>
      </c>
      <c r="B234" s="7">
        <v>1.15</v>
      </c>
      <c r="C234" s="7">
        <v>2.28</v>
      </c>
    </row>
    <row r="235" spans="1:3">
      <c r="A235" s="6">
        <v>39897</v>
      </c>
      <c r="B235" s="7">
        <v>1.14</v>
      </c>
      <c r="C235" s="7"/>
    </row>
    <row r="236" spans="1:3">
      <c r="A236" s="6">
        <v>39898</v>
      </c>
      <c r="B236" s="7"/>
      <c r="C236" s="7">
        <v>2.295</v>
      </c>
    </row>
    <row r="237" spans="1:3">
      <c r="A237" s="6">
        <v>39899</v>
      </c>
      <c r="B237" s="7">
        <v>1.15</v>
      </c>
      <c r="C237" s="7">
        <v>2.32</v>
      </c>
    </row>
    <row r="238" spans="1:3">
      <c r="A238" s="6">
        <v>39902</v>
      </c>
      <c r="B238" s="7">
        <v>1.15</v>
      </c>
      <c r="C238" s="7">
        <v>2.33</v>
      </c>
    </row>
    <row r="239" spans="1:3">
      <c r="A239" s="6">
        <v>39903</v>
      </c>
      <c r="B239" s="7">
        <v>1.16</v>
      </c>
      <c r="C239" s="7">
        <v>2.29</v>
      </c>
    </row>
    <row r="240" spans="1:3">
      <c r="A240" s="6">
        <v>39904</v>
      </c>
      <c r="B240" s="7"/>
      <c r="C240" s="7">
        <v>2.3</v>
      </c>
    </row>
    <row r="241" spans="1:3">
      <c r="A241" s="6">
        <v>39905</v>
      </c>
      <c r="B241" s="7">
        <v>1.2</v>
      </c>
      <c r="C241" s="7">
        <v>2.35</v>
      </c>
    </row>
    <row r="242" spans="1:3">
      <c r="A242" s="6">
        <v>39906</v>
      </c>
      <c r="B242" s="7">
        <v>1.21</v>
      </c>
      <c r="C242" s="7">
        <v>2.47</v>
      </c>
    </row>
    <row r="243" spans="1:3">
      <c r="A243" s="6">
        <v>39910</v>
      </c>
      <c r="B243" s="7">
        <v>1.22</v>
      </c>
      <c r="C243" s="7">
        <v>2.46</v>
      </c>
    </row>
    <row r="244" spans="1:3">
      <c r="A244" s="6">
        <v>39911</v>
      </c>
      <c r="B244" s="7">
        <v>1.24</v>
      </c>
      <c r="C244" s="7">
        <v>2.48</v>
      </c>
    </row>
    <row r="245" spans="1:3">
      <c r="A245" s="6">
        <v>39912</v>
      </c>
      <c r="B245" s="7">
        <v>1.29</v>
      </c>
      <c r="C245" s="7">
        <v>2.53</v>
      </c>
    </row>
    <row r="246" spans="1:3">
      <c r="A246" s="6">
        <v>39913</v>
      </c>
      <c r="B246" s="7"/>
      <c r="C246" s="7">
        <v>2.56</v>
      </c>
    </row>
    <row r="247" spans="1:3">
      <c r="A247" s="6">
        <v>39916</v>
      </c>
      <c r="B247" s="7">
        <v>1.37</v>
      </c>
      <c r="C247" s="7">
        <v>2.7</v>
      </c>
    </row>
    <row r="248" spans="1:3">
      <c r="A248" s="6">
        <v>39917</v>
      </c>
      <c r="B248" s="7">
        <v>1.34</v>
      </c>
      <c r="C248" s="7"/>
    </row>
    <row r="249" spans="1:3">
      <c r="A249" s="6">
        <v>39918</v>
      </c>
      <c r="B249" s="7">
        <v>1.29</v>
      </c>
      <c r="C249" s="7"/>
    </row>
    <row r="250" spans="1:3">
      <c r="A250" s="6">
        <v>39919</v>
      </c>
      <c r="B250" s="7">
        <v>1.34</v>
      </c>
      <c r="C250" s="7"/>
    </row>
    <row r="251" spans="1:3">
      <c r="A251" s="6">
        <v>39923</v>
      </c>
      <c r="B251" s="7">
        <v>1.326</v>
      </c>
      <c r="C251" s="7">
        <v>2.5</v>
      </c>
    </row>
    <row r="252" spans="1:3">
      <c r="A252" s="6">
        <v>39924</v>
      </c>
      <c r="B252" s="7">
        <v>1.32</v>
      </c>
      <c r="C252" s="7"/>
    </row>
    <row r="253" spans="1:3">
      <c r="A253" s="6">
        <v>39926</v>
      </c>
      <c r="B253" s="7">
        <v>1.35</v>
      </c>
      <c r="C253" s="7">
        <v>2.58</v>
      </c>
    </row>
    <row r="254" spans="1:3">
      <c r="A254" s="6">
        <v>39930</v>
      </c>
      <c r="B254" s="7">
        <v>1.4</v>
      </c>
      <c r="C254" s="7">
        <v>2.6</v>
      </c>
    </row>
    <row r="255" spans="1:3">
      <c r="A255" s="6">
        <v>39931</v>
      </c>
      <c r="B255" s="7">
        <v>1.33</v>
      </c>
      <c r="C255" s="7">
        <v>2.5</v>
      </c>
    </row>
    <row r="256" spans="1:3">
      <c r="A256" s="6">
        <v>39932</v>
      </c>
      <c r="B256" s="7">
        <v>1.3</v>
      </c>
      <c r="C256" s="7">
        <v>2.34</v>
      </c>
    </row>
    <row r="257" spans="1:3">
      <c r="A257" s="6">
        <v>39933</v>
      </c>
      <c r="B257" s="7">
        <v>1.33</v>
      </c>
      <c r="C257" s="7"/>
    </row>
    <row r="258" spans="1:3">
      <c r="A258" s="6">
        <v>39937</v>
      </c>
      <c r="B258" s="7">
        <v>1.32</v>
      </c>
      <c r="C258" s="7"/>
    </row>
    <row r="259" spans="1:3">
      <c r="A259" s="6">
        <v>39938</v>
      </c>
      <c r="B259" s="7">
        <v>1.31</v>
      </c>
      <c r="C259" s="7"/>
    </row>
    <row r="260" spans="1:3">
      <c r="A260" s="6">
        <v>39940</v>
      </c>
      <c r="B260" s="7">
        <v>1.3</v>
      </c>
      <c r="C260" s="7">
        <v>2.52</v>
      </c>
    </row>
    <row r="261" spans="1:3">
      <c r="A261" s="6">
        <v>39941</v>
      </c>
      <c r="B261" s="7">
        <v>1.3</v>
      </c>
      <c r="C261" s="7"/>
    </row>
    <row r="262" spans="1:3">
      <c r="A262" s="6">
        <v>39944</v>
      </c>
      <c r="B262" s="7">
        <v>1.29</v>
      </c>
      <c r="C262" s="7">
        <v>2.5</v>
      </c>
    </row>
    <row r="263" spans="1:3">
      <c r="A263" s="6">
        <v>39945</v>
      </c>
      <c r="B263" s="7">
        <v>1.26</v>
      </c>
      <c r="C263" s="7">
        <v>2.48</v>
      </c>
    </row>
    <row r="264" spans="1:3">
      <c r="A264" s="6">
        <v>39946</v>
      </c>
      <c r="B264" s="7">
        <v>1.23</v>
      </c>
      <c r="C264" s="7">
        <v>2.39</v>
      </c>
    </row>
    <row r="265" spans="1:3">
      <c r="A265" s="6">
        <v>39947</v>
      </c>
      <c r="B265" s="7"/>
      <c r="C265" s="7">
        <v>2.4</v>
      </c>
    </row>
    <row r="266" spans="1:3">
      <c r="A266" s="6">
        <v>39948</v>
      </c>
      <c r="B266" s="7"/>
      <c r="C266" s="7">
        <v>2.39</v>
      </c>
    </row>
    <row r="267" spans="1:3">
      <c r="A267" s="6">
        <v>39952</v>
      </c>
      <c r="B267" s="7"/>
      <c r="C267" s="7">
        <v>2.41</v>
      </c>
    </row>
    <row r="268" spans="1:3">
      <c r="A268" s="6">
        <v>39954</v>
      </c>
      <c r="B268" s="7">
        <v>1.22</v>
      </c>
      <c r="C268" s="7"/>
    </row>
    <row r="269" spans="1:3">
      <c r="A269" s="6">
        <v>39955</v>
      </c>
      <c r="B269" s="7"/>
      <c r="C269" s="7">
        <v>2.42</v>
      </c>
    </row>
    <row r="270" spans="1:3">
      <c r="A270" s="6">
        <v>39958</v>
      </c>
      <c r="B270" s="7">
        <v>1.35</v>
      </c>
      <c r="C270" s="7">
        <v>2.46</v>
      </c>
    </row>
    <row r="271" spans="1:3">
      <c r="A271" s="6">
        <v>39959</v>
      </c>
      <c r="B271" s="7">
        <v>1.34</v>
      </c>
      <c r="C271" s="7">
        <v>2.46</v>
      </c>
    </row>
    <row r="272" spans="1:3">
      <c r="A272" s="6">
        <v>39965</v>
      </c>
      <c r="B272" s="7">
        <v>1.34</v>
      </c>
      <c r="C272" s="7"/>
    </row>
    <row r="273" spans="1:3">
      <c r="A273" s="6">
        <v>39966</v>
      </c>
      <c r="B273" s="7">
        <v>1.38</v>
      </c>
      <c r="C273" s="7">
        <v>2.53</v>
      </c>
    </row>
    <row r="274" spans="1:3">
      <c r="A274" s="6">
        <v>39967</v>
      </c>
      <c r="B274" s="7"/>
      <c r="C274" s="7">
        <v>2.56</v>
      </c>
    </row>
    <row r="275" spans="1:3">
      <c r="A275" s="6">
        <v>39969</v>
      </c>
      <c r="B275" s="7"/>
      <c r="C275" s="7">
        <v>2.51</v>
      </c>
    </row>
    <row r="276" spans="1:3">
      <c r="A276" s="6">
        <v>39972</v>
      </c>
      <c r="B276" s="7"/>
      <c r="C276" s="7">
        <v>2.564</v>
      </c>
    </row>
    <row r="277" spans="1:3">
      <c r="A277" s="6">
        <v>39973</v>
      </c>
      <c r="B277" s="7"/>
      <c r="C277" s="7">
        <v>2.585</v>
      </c>
    </row>
    <row r="278" spans="1:3">
      <c r="A278" s="6">
        <v>39974</v>
      </c>
      <c r="B278" s="7">
        <v>1.43</v>
      </c>
      <c r="C278" s="7">
        <v>2.686</v>
      </c>
    </row>
    <row r="279" spans="1:3">
      <c r="A279" s="6">
        <v>39975</v>
      </c>
      <c r="B279" s="7">
        <v>1.49</v>
      </c>
      <c r="C279" s="7">
        <v>2.72</v>
      </c>
    </row>
    <row r="280" spans="1:3">
      <c r="A280" s="6">
        <v>39976</v>
      </c>
      <c r="B280" s="7">
        <v>1.43</v>
      </c>
      <c r="C280" s="7"/>
    </row>
    <row r="281" spans="1:3">
      <c r="A281" s="6">
        <v>39979</v>
      </c>
      <c r="B281" s="7"/>
      <c r="C281" s="7">
        <v>2.69</v>
      </c>
    </row>
    <row r="282" spans="1:3">
      <c r="A282" s="6">
        <v>39980</v>
      </c>
      <c r="B282" s="7">
        <v>1.42</v>
      </c>
      <c r="C282" s="7">
        <v>2.66</v>
      </c>
    </row>
    <row r="283" spans="1:3">
      <c r="A283" s="6">
        <v>39982</v>
      </c>
      <c r="B283" s="7">
        <v>1.49</v>
      </c>
      <c r="C283" s="7"/>
    </row>
    <row r="284" spans="1:3">
      <c r="A284" s="6">
        <v>39983</v>
      </c>
      <c r="B284" s="7">
        <v>1.545</v>
      </c>
      <c r="C284" s="7">
        <v>2.81</v>
      </c>
    </row>
    <row r="285" spans="1:3">
      <c r="A285" s="6">
        <v>39986</v>
      </c>
      <c r="B285" s="7">
        <v>1.58</v>
      </c>
      <c r="C285" s="7"/>
    </row>
    <row r="286" spans="1:3">
      <c r="A286" s="6">
        <v>39987</v>
      </c>
      <c r="B286" s="7">
        <v>1.53</v>
      </c>
      <c r="C286" s="7">
        <v>2.76</v>
      </c>
    </row>
    <row r="287" spans="1:3">
      <c r="A287" s="6">
        <v>39988</v>
      </c>
      <c r="B287" s="7">
        <v>1.56</v>
      </c>
      <c r="C287" s="7"/>
    </row>
    <row r="288" spans="1:3">
      <c r="A288" s="6">
        <v>39989</v>
      </c>
      <c r="B288" s="7">
        <v>1.56</v>
      </c>
      <c r="C288" s="7">
        <v>2.795</v>
      </c>
    </row>
    <row r="289" spans="1:3">
      <c r="A289" s="6">
        <v>39990</v>
      </c>
      <c r="B289" s="7">
        <v>1.55</v>
      </c>
      <c r="C289" s="7"/>
    </row>
    <row r="290" spans="1:3">
      <c r="A290" s="6">
        <v>39994</v>
      </c>
      <c r="B290" s="7">
        <v>1.58</v>
      </c>
      <c r="C290" s="7">
        <v>2.825</v>
      </c>
    </row>
    <row r="291" spans="1:3">
      <c r="A291" s="6">
        <v>39995</v>
      </c>
      <c r="B291" s="7">
        <v>1.63</v>
      </c>
      <c r="C291" s="7">
        <v>2.89</v>
      </c>
    </row>
    <row r="292" spans="1:3">
      <c r="A292" s="6">
        <v>39996</v>
      </c>
      <c r="B292" s="7">
        <v>1.76</v>
      </c>
      <c r="C292" s="7"/>
    </row>
    <row r="293" spans="1:3">
      <c r="A293" s="6">
        <v>39997</v>
      </c>
      <c r="B293" s="7">
        <v>1.75</v>
      </c>
      <c r="C293" s="7"/>
    </row>
    <row r="294" spans="1:3">
      <c r="A294" s="6">
        <v>40000</v>
      </c>
      <c r="B294" s="7">
        <v>1.9</v>
      </c>
      <c r="C294" s="7">
        <v>3.1</v>
      </c>
    </row>
    <row r="295" spans="1:3">
      <c r="A295" s="6">
        <v>40001</v>
      </c>
      <c r="B295" s="7">
        <v>1.98</v>
      </c>
      <c r="C295" s="7">
        <v>3.06</v>
      </c>
    </row>
    <row r="296" spans="1:3">
      <c r="A296" s="6">
        <v>40002</v>
      </c>
      <c r="B296" s="7">
        <v>1.96</v>
      </c>
      <c r="C296" s="7">
        <v>3.05</v>
      </c>
    </row>
    <row r="297" spans="1:3">
      <c r="A297" s="6">
        <v>40003</v>
      </c>
      <c r="B297" s="7">
        <v>2.09</v>
      </c>
      <c r="C297" s="7">
        <v>3.13</v>
      </c>
    </row>
    <row r="298" spans="1:3">
      <c r="A298" s="6">
        <v>40004</v>
      </c>
      <c r="B298" s="7">
        <v>2.13</v>
      </c>
      <c r="C298" s="7">
        <v>3.2</v>
      </c>
    </row>
    <row r="299" spans="1:3">
      <c r="A299" s="6">
        <v>40007</v>
      </c>
      <c r="B299" s="7">
        <v>2.04</v>
      </c>
      <c r="C299" s="7">
        <v>3.14</v>
      </c>
    </row>
    <row r="300" spans="1:3">
      <c r="A300" s="6">
        <v>40008</v>
      </c>
      <c r="B300" s="7">
        <v>2.04</v>
      </c>
      <c r="C300" s="7">
        <v>3.21</v>
      </c>
    </row>
    <row r="301" spans="1:3">
      <c r="A301" s="6">
        <v>40009</v>
      </c>
      <c r="B301" s="7">
        <v>2.09</v>
      </c>
      <c r="C301" s="7">
        <v>3.26</v>
      </c>
    </row>
    <row r="302" spans="1:3">
      <c r="A302" s="6">
        <v>40010</v>
      </c>
      <c r="B302" s="7">
        <v>2.13</v>
      </c>
      <c r="C302" s="7">
        <v>3.36</v>
      </c>
    </row>
    <row r="303" spans="1:3">
      <c r="A303" s="6">
        <v>40011</v>
      </c>
      <c r="B303" s="7">
        <v>2.14</v>
      </c>
      <c r="C303" s="7">
        <v>3.44</v>
      </c>
    </row>
    <row r="304" spans="1:3">
      <c r="A304" s="6">
        <v>40014</v>
      </c>
      <c r="B304" s="7">
        <v>2.04</v>
      </c>
      <c r="C304" s="7"/>
    </row>
    <row r="305" spans="1:3">
      <c r="A305" s="6">
        <v>40015</v>
      </c>
      <c r="B305" s="7">
        <v>2.04</v>
      </c>
      <c r="C305" s="7">
        <v>3.34</v>
      </c>
    </row>
    <row r="306" spans="1:3">
      <c r="A306" s="6">
        <v>40016</v>
      </c>
      <c r="B306" s="7">
        <v>1.94</v>
      </c>
      <c r="C306" s="7">
        <v>3.26</v>
      </c>
    </row>
    <row r="307" spans="1:3">
      <c r="A307" s="6">
        <v>40017</v>
      </c>
      <c r="B307" s="7">
        <v>1.89</v>
      </c>
      <c r="C307" s="7">
        <v>3.2</v>
      </c>
    </row>
    <row r="308" spans="1:3">
      <c r="A308" s="6">
        <v>40018</v>
      </c>
      <c r="B308" s="7">
        <v>1.88</v>
      </c>
      <c r="C308" s="7"/>
    </row>
    <row r="309" spans="1:3">
      <c r="A309" s="6">
        <v>40021</v>
      </c>
      <c r="B309" s="7">
        <v>1.94</v>
      </c>
      <c r="C309" s="7"/>
    </row>
    <row r="310" spans="1:3">
      <c r="A310" s="6">
        <v>40022</v>
      </c>
      <c r="B310" s="7">
        <v>1.9875</v>
      </c>
      <c r="C310" s="7">
        <v>3.3275</v>
      </c>
    </row>
    <row r="311" spans="1:3">
      <c r="A311" s="6">
        <v>40023</v>
      </c>
      <c r="B311" s="7">
        <v>1.96</v>
      </c>
      <c r="C311" s="7">
        <v>3.29</v>
      </c>
    </row>
    <row r="312" spans="1:3">
      <c r="A312" s="6">
        <v>40024</v>
      </c>
      <c r="B312" s="7"/>
      <c r="C312" s="7">
        <v>3.29</v>
      </c>
    </row>
    <row r="313" spans="1:3">
      <c r="A313" s="6">
        <v>40025</v>
      </c>
      <c r="B313" s="7">
        <v>2</v>
      </c>
      <c r="C313" s="7">
        <v>3.33</v>
      </c>
    </row>
    <row r="314" spans="1:3">
      <c r="A314" s="6">
        <v>40028</v>
      </c>
      <c r="B314" s="7"/>
      <c r="C314" s="7">
        <v>3.33</v>
      </c>
    </row>
    <row r="315" spans="1:3">
      <c r="A315" s="6">
        <v>40029</v>
      </c>
      <c r="B315" s="7">
        <v>2.02</v>
      </c>
      <c r="C315" s="7"/>
    </row>
    <row r="316" spans="1:3">
      <c r="A316" s="6">
        <v>40030</v>
      </c>
      <c r="B316" s="7">
        <v>2</v>
      </c>
      <c r="C316" s="7">
        <v>3.34</v>
      </c>
    </row>
    <row r="317" spans="1:3">
      <c r="A317" s="6">
        <v>40031</v>
      </c>
      <c r="B317" s="7">
        <v>1.97</v>
      </c>
      <c r="C317" s="7">
        <v>3.34</v>
      </c>
    </row>
    <row r="318" spans="1:3">
      <c r="A318" s="6">
        <v>40032</v>
      </c>
      <c r="B318" s="7"/>
      <c r="C318" s="7">
        <v>3.37</v>
      </c>
    </row>
    <row r="319" spans="1:3">
      <c r="A319" s="6">
        <v>40035</v>
      </c>
      <c r="B319" s="7">
        <v>2</v>
      </c>
      <c r="C319" s="7"/>
    </row>
    <row r="320" spans="1:3">
      <c r="A320" s="6">
        <v>40036</v>
      </c>
      <c r="B320" s="7"/>
      <c r="C320" s="7">
        <v>3.38</v>
      </c>
    </row>
    <row r="321" spans="1:3">
      <c r="A321" s="6">
        <v>40037</v>
      </c>
      <c r="B321" s="7">
        <v>1.98</v>
      </c>
      <c r="C321" s="7"/>
    </row>
    <row r="322" spans="1:3">
      <c r="A322" s="6">
        <v>40038</v>
      </c>
      <c r="B322" s="7">
        <v>1.99</v>
      </c>
      <c r="C322" s="7"/>
    </row>
    <row r="323" spans="1:3">
      <c r="A323" s="6">
        <v>40039</v>
      </c>
      <c r="B323" s="7">
        <v>2</v>
      </c>
      <c r="C323" s="7"/>
    </row>
    <row r="324" spans="1:3">
      <c r="A324" s="6">
        <v>40043</v>
      </c>
      <c r="B324" s="7">
        <v>1.94</v>
      </c>
      <c r="C324" s="7"/>
    </row>
    <row r="325" spans="1:3">
      <c r="A325" s="6">
        <v>40044</v>
      </c>
      <c r="B325" s="7">
        <v>1.9</v>
      </c>
      <c r="C325" s="7"/>
    </row>
    <row r="326" spans="1:3">
      <c r="A326" s="6">
        <v>40045</v>
      </c>
      <c r="B326" s="7">
        <v>1.86</v>
      </c>
      <c r="C326" s="7"/>
    </row>
    <row r="327" spans="1:3">
      <c r="A327" s="6">
        <v>40046</v>
      </c>
      <c r="B327" s="7">
        <v>1.88</v>
      </c>
      <c r="C327" s="7">
        <v>3.27</v>
      </c>
    </row>
    <row r="328" spans="1:3">
      <c r="A328" s="6">
        <v>40049</v>
      </c>
      <c r="B328" s="7">
        <v>1.94</v>
      </c>
      <c r="C328" s="7">
        <v>3.34</v>
      </c>
    </row>
    <row r="329" spans="1:3">
      <c r="A329" s="6">
        <v>40050</v>
      </c>
      <c r="B329" s="7">
        <v>1.89</v>
      </c>
      <c r="C329" s="7">
        <v>3.32</v>
      </c>
    </row>
    <row r="330" spans="1:3">
      <c r="A330" s="6">
        <v>40051</v>
      </c>
      <c r="B330" s="7">
        <v>1.89</v>
      </c>
      <c r="C330" s="7">
        <v>3.33</v>
      </c>
    </row>
    <row r="331" spans="1:3">
      <c r="A331" s="6">
        <v>40052</v>
      </c>
      <c r="B331" s="7">
        <v>1.89</v>
      </c>
      <c r="C331" s="7">
        <v>3.33</v>
      </c>
    </row>
    <row r="332" spans="1:3">
      <c r="A332" s="6">
        <v>40053</v>
      </c>
      <c r="B332" s="7">
        <v>1.87</v>
      </c>
      <c r="C332" s="7">
        <v>3.24</v>
      </c>
    </row>
    <row r="333" spans="1:3">
      <c r="A333" s="6">
        <v>40056</v>
      </c>
      <c r="B333" s="7">
        <v>1.85</v>
      </c>
      <c r="C333" s="7"/>
    </row>
    <row r="334" spans="1:3">
      <c r="A334" s="6">
        <v>40057</v>
      </c>
      <c r="B334" s="7">
        <v>1.86</v>
      </c>
      <c r="C334" s="7">
        <v>3.22</v>
      </c>
    </row>
    <row r="335" spans="1:3">
      <c r="A335" s="6">
        <v>40058</v>
      </c>
      <c r="B335" s="7">
        <v>1.83</v>
      </c>
      <c r="C335" s="7">
        <v>3.2</v>
      </c>
    </row>
    <row r="336" spans="1:3">
      <c r="A336" s="6">
        <v>40059</v>
      </c>
      <c r="B336" s="7">
        <v>1.84</v>
      </c>
      <c r="C336" s="7">
        <v>3.17</v>
      </c>
    </row>
    <row r="337" spans="1:3">
      <c r="A337" s="6">
        <v>40060</v>
      </c>
      <c r="B337" s="7">
        <v>1.86</v>
      </c>
      <c r="C337" s="7">
        <v>3.23</v>
      </c>
    </row>
    <row r="338" spans="1:3">
      <c r="A338" s="6">
        <v>40063</v>
      </c>
      <c r="B338" s="7">
        <v>1.85</v>
      </c>
      <c r="C338" s="7">
        <v>3.22</v>
      </c>
    </row>
    <row r="339" spans="1:3">
      <c r="A339" s="6">
        <v>40064</v>
      </c>
      <c r="B339" s="7">
        <v>1.85</v>
      </c>
      <c r="C339" s="7">
        <v>3.21</v>
      </c>
    </row>
    <row r="340" spans="1:3">
      <c r="A340" s="6">
        <v>40065</v>
      </c>
      <c r="B340" s="7">
        <v>1.85</v>
      </c>
      <c r="C340" s="7"/>
    </row>
    <row r="341" spans="1:3">
      <c r="A341" s="6">
        <v>40066</v>
      </c>
      <c r="B341" s="7">
        <v>1.85</v>
      </c>
      <c r="C341" s="7"/>
    </row>
    <row r="342" spans="1:3">
      <c r="A342" s="6">
        <v>40070</v>
      </c>
      <c r="B342" s="7"/>
      <c r="C342" s="7">
        <v>3.22</v>
      </c>
    </row>
    <row r="343" spans="1:3">
      <c r="A343" s="6">
        <v>40071</v>
      </c>
      <c r="B343" s="7">
        <v>1.85</v>
      </c>
      <c r="C343" s="7">
        <v>3.26</v>
      </c>
    </row>
    <row r="344" spans="1:3">
      <c r="A344" s="6">
        <v>40073</v>
      </c>
      <c r="B344" s="7"/>
      <c r="C344" s="7">
        <v>3.31</v>
      </c>
    </row>
    <row r="345" spans="1:3">
      <c r="A345" s="6">
        <v>40077</v>
      </c>
      <c r="B345" s="7">
        <v>1.88</v>
      </c>
      <c r="C345" s="7">
        <v>3.33</v>
      </c>
    </row>
    <row r="346" spans="1:3">
      <c r="A346" s="6">
        <v>40078</v>
      </c>
      <c r="B346" s="7">
        <v>1.89</v>
      </c>
      <c r="C346" s="7">
        <v>3.34</v>
      </c>
    </row>
    <row r="347" spans="1:3">
      <c r="A347" s="6">
        <v>40079</v>
      </c>
      <c r="B347" s="7">
        <v>1.91</v>
      </c>
      <c r="C347" s="7">
        <v>3.37</v>
      </c>
    </row>
    <row r="348" spans="1:3">
      <c r="A348" s="6">
        <v>40080</v>
      </c>
      <c r="B348" s="7">
        <v>1.9</v>
      </c>
      <c r="C348" s="7">
        <v>3.35</v>
      </c>
    </row>
    <row r="349" spans="1:3">
      <c r="A349" s="6">
        <v>40081</v>
      </c>
      <c r="B349" s="7"/>
      <c r="C349" s="7">
        <v>3.34</v>
      </c>
    </row>
    <row r="350" spans="1:3">
      <c r="A350" s="6">
        <v>40083</v>
      </c>
      <c r="B350" s="7">
        <v>1.91</v>
      </c>
      <c r="C350" s="7"/>
    </row>
    <row r="351" spans="1:3">
      <c r="A351" s="6">
        <v>40084</v>
      </c>
      <c r="B351" s="7">
        <v>1.91</v>
      </c>
      <c r="C351" s="7"/>
    </row>
    <row r="352" spans="1:3">
      <c r="A352" s="6">
        <v>40086</v>
      </c>
      <c r="B352" s="7">
        <v>1.92</v>
      </c>
      <c r="C352" s="7"/>
    </row>
    <row r="353" spans="1:3">
      <c r="A353" s="6">
        <v>40095</v>
      </c>
      <c r="B353" s="7">
        <v>1.96</v>
      </c>
      <c r="C353" s="7"/>
    </row>
    <row r="354" spans="1:3">
      <c r="A354" s="6">
        <v>40098</v>
      </c>
      <c r="B354" s="7">
        <v>2.03</v>
      </c>
      <c r="C354" s="7">
        <v>3.46</v>
      </c>
    </row>
    <row r="355" spans="1:3">
      <c r="A355" s="6">
        <v>40099</v>
      </c>
      <c r="B355" s="7">
        <v>2.06</v>
      </c>
      <c r="C355" s="7">
        <v>3.46</v>
      </c>
    </row>
    <row r="356" spans="1:3">
      <c r="A356" s="6">
        <v>40100</v>
      </c>
      <c r="B356" s="7">
        <v>2.05</v>
      </c>
      <c r="C356" s="7"/>
    </row>
    <row r="357" spans="1:3">
      <c r="A357" s="6">
        <v>40101</v>
      </c>
      <c r="B357" s="7">
        <v>2.14</v>
      </c>
      <c r="C357" s="7">
        <v>3.58</v>
      </c>
    </row>
    <row r="358" spans="1:3">
      <c r="A358" s="6">
        <v>40102</v>
      </c>
      <c r="B358" s="7">
        <v>2.15</v>
      </c>
      <c r="C358" s="7">
        <v>3.61</v>
      </c>
    </row>
    <row r="359" spans="1:3">
      <c r="A359" s="6">
        <v>40105</v>
      </c>
      <c r="B359" s="7">
        <v>2.15</v>
      </c>
      <c r="C359" s="7">
        <v>3.61</v>
      </c>
    </row>
    <row r="360" spans="1:3">
      <c r="A360" s="6">
        <v>40106</v>
      </c>
      <c r="B360" s="7">
        <v>2.17</v>
      </c>
      <c r="C360" s="7">
        <v>3.61</v>
      </c>
    </row>
    <row r="361" spans="1:3">
      <c r="A361" s="6">
        <v>40107</v>
      </c>
      <c r="B361" s="7">
        <v>2.14</v>
      </c>
      <c r="C361" s="7">
        <v>3.58</v>
      </c>
    </row>
    <row r="362" spans="1:3">
      <c r="A362" s="6">
        <v>40108</v>
      </c>
      <c r="B362" s="7">
        <v>2.18</v>
      </c>
      <c r="C362" s="7">
        <v>3.63</v>
      </c>
    </row>
    <row r="363" spans="1:3">
      <c r="A363" s="6">
        <v>40109</v>
      </c>
      <c r="B363" s="7">
        <v>2.18</v>
      </c>
      <c r="C363" s="7">
        <v>3.71</v>
      </c>
    </row>
    <row r="364" spans="1:3">
      <c r="A364" s="6">
        <v>40112</v>
      </c>
      <c r="B364" s="7">
        <v>2.18</v>
      </c>
      <c r="C364" s="7">
        <v>3.73</v>
      </c>
    </row>
    <row r="365" spans="1:3">
      <c r="A365" s="6">
        <v>40113</v>
      </c>
      <c r="B365" s="7">
        <v>2.17</v>
      </c>
      <c r="C365" s="7">
        <v>3.73</v>
      </c>
    </row>
    <row r="366" spans="1:3">
      <c r="A366" s="6">
        <v>40114</v>
      </c>
      <c r="B366" s="7">
        <v>2.16</v>
      </c>
      <c r="C366" s="7">
        <v>3.72</v>
      </c>
    </row>
    <row r="367" spans="1:3">
      <c r="A367" s="6">
        <v>40115</v>
      </c>
      <c r="B367" s="7">
        <v>2.1</v>
      </c>
      <c r="C367" s="7">
        <v>3.65</v>
      </c>
    </row>
    <row r="368" spans="1:3">
      <c r="A368" s="6">
        <v>40116</v>
      </c>
      <c r="B368" s="7">
        <v>2.14</v>
      </c>
      <c r="C368" s="7"/>
    </row>
    <row r="369" spans="1:3">
      <c r="A369" s="6">
        <v>40119</v>
      </c>
      <c r="B369" s="7">
        <v>2.1</v>
      </c>
      <c r="C369" s="7">
        <v>3.64</v>
      </c>
    </row>
    <row r="370" spans="1:3">
      <c r="A370" s="6">
        <v>40120</v>
      </c>
      <c r="B370" s="7">
        <v>2.14</v>
      </c>
      <c r="C370" s="7">
        <v>3.65</v>
      </c>
    </row>
    <row r="371" spans="1:3">
      <c r="A371" s="6">
        <v>40121</v>
      </c>
      <c r="B371" s="7">
        <v>2.13</v>
      </c>
      <c r="C371" s="7"/>
    </row>
    <row r="372" spans="1:3">
      <c r="A372" s="6">
        <v>40122</v>
      </c>
      <c r="B372" s="7">
        <v>2.14</v>
      </c>
      <c r="C372" s="7">
        <v>3.69</v>
      </c>
    </row>
    <row r="373" spans="1:3">
      <c r="A373" s="6">
        <v>40123</v>
      </c>
      <c r="B373" s="7">
        <v>2.15</v>
      </c>
      <c r="C373" s="7"/>
    </row>
    <row r="374" spans="1:3">
      <c r="A374" s="6">
        <v>40126</v>
      </c>
      <c r="B374" s="7">
        <v>2.15</v>
      </c>
      <c r="C374" s="7">
        <v>3.67</v>
      </c>
    </row>
    <row r="375" spans="1:3">
      <c r="A375" s="6">
        <v>40127</v>
      </c>
      <c r="B375" s="7">
        <v>2.13</v>
      </c>
      <c r="C375" s="7">
        <v>3.63</v>
      </c>
    </row>
    <row r="376" spans="1:3">
      <c r="A376" s="6">
        <v>40128</v>
      </c>
      <c r="B376" s="7">
        <v>2.12</v>
      </c>
      <c r="C376" s="7">
        <v>3.65</v>
      </c>
    </row>
    <row r="377" spans="1:3">
      <c r="A377" s="6">
        <v>40129</v>
      </c>
      <c r="B377" s="7">
        <v>2.07</v>
      </c>
      <c r="C377" s="7">
        <v>3.6</v>
      </c>
    </row>
    <row r="378" spans="1:3">
      <c r="A378" s="6">
        <v>40130</v>
      </c>
      <c r="B378" s="7">
        <v>2.07</v>
      </c>
      <c r="C378" s="7">
        <v>3.56</v>
      </c>
    </row>
    <row r="379" spans="1:3">
      <c r="A379" s="6">
        <v>40133</v>
      </c>
      <c r="B379" s="7">
        <v>2.05</v>
      </c>
      <c r="C379" s="7">
        <v>3.58</v>
      </c>
    </row>
    <row r="380" spans="1:3">
      <c r="A380" s="6">
        <v>40134</v>
      </c>
      <c r="B380" s="7"/>
      <c r="C380" s="7">
        <v>3.61</v>
      </c>
    </row>
    <row r="381" spans="1:3">
      <c r="A381" s="6">
        <v>40135</v>
      </c>
      <c r="B381" s="7">
        <v>2.07</v>
      </c>
      <c r="C381" s="7"/>
    </row>
    <row r="382" spans="1:3">
      <c r="A382" s="6">
        <v>40136</v>
      </c>
      <c r="B382" s="7"/>
      <c r="C382" s="7">
        <v>3.57</v>
      </c>
    </row>
    <row r="383" spans="1:3">
      <c r="A383" s="6">
        <v>40137</v>
      </c>
      <c r="B383" s="7">
        <v>2.02</v>
      </c>
      <c r="C383" s="7">
        <v>3.57</v>
      </c>
    </row>
    <row r="384" spans="1:3">
      <c r="A384" s="6">
        <v>40140</v>
      </c>
      <c r="B384" s="7">
        <v>2.05</v>
      </c>
      <c r="C384" s="7">
        <v>3.53</v>
      </c>
    </row>
    <row r="385" spans="1:3">
      <c r="A385" s="6">
        <v>40141</v>
      </c>
      <c r="B385" s="7">
        <v>2.03</v>
      </c>
      <c r="C385" s="7">
        <v>3.55</v>
      </c>
    </row>
    <row r="386" spans="1:3">
      <c r="A386" s="6">
        <v>40143</v>
      </c>
      <c r="B386" s="7"/>
      <c r="C386" s="7">
        <v>3.5</v>
      </c>
    </row>
    <row r="387" spans="1:3">
      <c r="A387" s="6">
        <v>40144</v>
      </c>
      <c r="B387" s="7">
        <v>2.01</v>
      </c>
      <c r="C387" s="7">
        <v>3.42</v>
      </c>
    </row>
    <row r="388" spans="1:3">
      <c r="A388" s="6">
        <v>40147</v>
      </c>
      <c r="B388" s="7">
        <v>2</v>
      </c>
      <c r="C388" s="7"/>
    </row>
    <row r="389" spans="1:3">
      <c r="A389" s="6">
        <v>40150</v>
      </c>
      <c r="B389" s="7"/>
      <c r="C389" s="7">
        <v>3.55</v>
      </c>
    </row>
    <row r="390" spans="1:3">
      <c r="A390" s="6">
        <v>40154</v>
      </c>
      <c r="B390" s="7">
        <v>2.1</v>
      </c>
      <c r="C390" s="7">
        <v>3.61</v>
      </c>
    </row>
    <row r="391" spans="1:3">
      <c r="A391" s="6">
        <v>40155</v>
      </c>
      <c r="B391" s="7">
        <v>2.05</v>
      </c>
      <c r="C391" s="7">
        <v>3.59</v>
      </c>
    </row>
    <row r="392" spans="1:3">
      <c r="A392" s="6">
        <v>40156</v>
      </c>
      <c r="B392" s="7">
        <v>2.04</v>
      </c>
      <c r="C392" s="7">
        <v>3.55</v>
      </c>
    </row>
    <row r="393" spans="1:3">
      <c r="A393" s="6">
        <v>40157</v>
      </c>
      <c r="B393" s="7">
        <v>2.07</v>
      </c>
      <c r="C393" s="7">
        <v>3.58</v>
      </c>
    </row>
    <row r="394" spans="1:3">
      <c r="A394" s="6">
        <v>40158</v>
      </c>
      <c r="B394" s="7">
        <v>2.07</v>
      </c>
      <c r="C394" s="7">
        <v>3.55</v>
      </c>
    </row>
    <row r="395" spans="1:3">
      <c r="A395" s="6">
        <v>40161</v>
      </c>
      <c r="B395" s="7">
        <v>2.07</v>
      </c>
      <c r="C395" s="7"/>
    </row>
    <row r="396" spans="1:3">
      <c r="A396" s="6">
        <v>40163</v>
      </c>
      <c r="B396" s="7">
        <v>2.07</v>
      </c>
      <c r="C396" s="7">
        <v>3.6</v>
      </c>
    </row>
    <row r="397" spans="1:3">
      <c r="A397" s="6">
        <v>40165</v>
      </c>
      <c r="B397" s="7"/>
      <c r="C397" s="7">
        <v>3.58</v>
      </c>
    </row>
    <row r="398" spans="1:3">
      <c r="A398" s="6">
        <v>40169</v>
      </c>
      <c r="B398" s="7">
        <v>2.07</v>
      </c>
      <c r="C398" s="7">
        <v>3.62</v>
      </c>
    </row>
    <row r="399" spans="1:3">
      <c r="A399" s="6">
        <v>40172</v>
      </c>
      <c r="B399" s="7">
        <v>2.07</v>
      </c>
      <c r="C399" s="7"/>
    </row>
    <row r="400" spans="1:3">
      <c r="A400" s="6">
        <v>40175</v>
      </c>
      <c r="B400" s="7">
        <v>2.09</v>
      </c>
      <c r="C400" s="7">
        <v>3.67</v>
      </c>
    </row>
    <row r="401" spans="1:3">
      <c r="A401" s="6">
        <v>40176</v>
      </c>
      <c r="B401" s="7"/>
      <c r="C401" s="7">
        <v>3.67</v>
      </c>
    </row>
    <row r="402" spans="1:3">
      <c r="A402" s="6">
        <v>40182</v>
      </c>
      <c r="B402" s="7">
        <v>2.17</v>
      </c>
      <c r="C402" s="7">
        <v>3.78</v>
      </c>
    </row>
    <row r="403" spans="1:3">
      <c r="A403" s="6">
        <v>40183</v>
      </c>
      <c r="B403" s="7">
        <v>2.17</v>
      </c>
      <c r="C403" s="7"/>
    </row>
    <row r="404" spans="1:3">
      <c r="A404" s="6">
        <v>40184</v>
      </c>
      <c r="B404" s="7">
        <v>2.13</v>
      </c>
      <c r="C404" s="7">
        <v>3.77</v>
      </c>
    </row>
    <row r="405" spans="1:3">
      <c r="A405" s="6">
        <v>40185</v>
      </c>
      <c r="B405" s="7">
        <v>2.2</v>
      </c>
      <c r="C405" s="7">
        <v>3.95</v>
      </c>
    </row>
    <row r="406" spans="1:3">
      <c r="A406" s="6">
        <v>40186</v>
      </c>
      <c r="B406" s="7">
        <v>2.27</v>
      </c>
      <c r="C406" s="7">
        <v>4.06</v>
      </c>
    </row>
    <row r="407" spans="1:3">
      <c r="A407" s="6">
        <v>40189</v>
      </c>
      <c r="B407" s="7">
        <v>2.28</v>
      </c>
      <c r="C407" s="7">
        <v>4.07</v>
      </c>
    </row>
    <row r="408" spans="1:3">
      <c r="A408" s="6">
        <v>40190</v>
      </c>
      <c r="B408" s="7">
        <v>2.23</v>
      </c>
      <c r="C408" s="7">
        <v>4</v>
      </c>
    </row>
    <row r="409" spans="1:3">
      <c r="A409" s="6">
        <v>40191</v>
      </c>
      <c r="B409" s="7">
        <v>2.33</v>
      </c>
      <c r="C409" s="7"/>
    </row>
    <row r="410" spans="1:3">
      <c r="A410" s="6">
        <v>40192</v>
      </c>
      <c r="B410" s="7">
        <v>2.31</v>
      </c>
      <c r="C410" s="7">
        <v>3.9</v>
      </c>
    </row>
    <row r="411" spans="1:3">
      <c r="A411" s="6">
        <v>40193</v>
      </c>
      <c r="B411" s="7">
        <v>2.27</v>
      </c>
      <c r="C411" s="7"/>
    </row>
    <row r="412" spans="1:3">
      <c r="A412" s="6">
        <v>40196</v>
      </c>
      <c r="B412" s="7">
        <v>2.26</v>
      </c>
      <c r="C412" s="7"/>
    </row>
    <row r="413" spans="1:3">
      <c r="A413" s="6">
        <v>40197</v>
      </c>
      <c r="B413" s="7">
        <v>2.29</v>
      </c>
      <c r="C413" s="7">
        <v>3.99</v>
      </c>
    </row>
    <row r="414" spans="1:3">
      <c r="A414" s="6">
        <v>40198</v>
      </c>
      <c r="B414" s="7">
        <v>2.28</v>
      </c>
      <c r="C414" s="7"/>
    </row>
    <row r="415" spans="1:3">
      <c r="A415" s="6">
        <v>40199</v>
      </c>
      <c r="B415" s="7">
        <v>2.3</v>
      </c>
      <c r="C415" s="7">
        <v>3.93</v>
      </c>
    </row>
    <row r="416" spans="1:3">
      <c r="A416" s="6">
        <v>40200</v>
      </c>
      <c r="B416" s="7">
        <v>2.29</v>
      </c>
      <c r="C416" s="7"/>
    </row>
    <row r="417" spans="1:3">
      <c r="A417" s="6">
        <v>40203</v>
      </c>
      <c r="B417" s="7">
        <v>2.26</v>
      </c>
      <c r="C417" s="7">
        <v>3.9</v>
      </c>
    </row>
    <row r="418" spans="1:3">
      <c r="A418" s="6">
        <v>40204</v>
      </c>
      <c r="B418" s="7">
        <v>2.24</v>
      </c>
      <c r="C418" s="7">
        <v>3.87</v>
      </c>
    </row>
    <row r="419" spans="1:3">
      <c r="A419" s="6">
        <v>40205</v>
      </c>
      <c r="B419" s="7">
        <v>2.25</v>
      </c>
      <c r="C419" s="7">
        <v>3.86</v>
      </c>
    </row>
    <row r="420" spans="1:3">
      <c r="A420" s="6">
        <v>40206</v>
      </c>
      <c r="B420" s="7">
        <v>2.29</v>
      </c>
      <c r="C420" s="7">
        <v>3.87</v>
      </c>
    </row>
    <row r="421" spans="1:3">
      <c r="A421" s="6">
        <v>40207</v>
      </c>
      <c r="B421" s="7">
        <v>2.27</v>
      </c>
      <c r="C421" s="7">
        <v>3.81</v>
      </c>
    </row>
    <row r="422" spans="1:3">
      <c r="A422" s="6">
        <v>40210</v>
      </c>
      <c r="B422" s="7"/>
      <c r="C422" s="7">
        <v>3.83</v>
      </c>
    </row>
    <row r="423" spans="1:3">
      <c r="A423" s="6">
        <v>40211</v>
      </c>
      <c r="B423" s="7"/>
      <c r="C423" s="7">
        <v>3.85</v>
      </c>
    </row>
    <row r="424" spans="1:3">
      <c r="A424" s="6">
        <v>40212</v>
      </c>
      <c r="B424" s="7">
        <v>2.3</v>
      </c>
      <c r="C424" s="7">
        <v>3.9</v>
      </c>
    </row>
    <row r="425" spans="1:3">
      <c r="A425" s="6">
        <v>40213</v>
      </c>
      <c r="B425" s="7"/>
      <c r="C425" s="7">
        <v>3.88</v>
      </c>
    </row>
    <row r="426" spans="1:3">
      <c r="A426" s="6">
        <v>40214</v>
      </c>
      <c r="B426" s="7">
        <v>2.29</v>
      </c>
      <c r="C426" s="7">
        <v>3.83</v>
      </c>
    </row>
    <row r="427" spans="1:3">
      <c r="A427" s="6">
        <v>40217</v>
      </c>
      <c r="B427" s="7"/>
      <c r="C427" s="7">
        <v>3.81</v>
      </c>
    </row>
    <row r="428" spans="1:3">
      <c r="A428" s="6">
        <v>40218</v>
      </c>
      <c r="B428" s="7">
        <v>2.3</v>
      </c>
      <c r="C428" s="7">
        <v>3.83</v>
      </c>
    </row>
    <row r="429" spans="1:3">
      <c r="A429" s="6">
        <v>40219</v>
      </c>
      <c r="B429" s="7">
        <v>2.32</v>
      </c>
      <c r="C429" s="7">
        <v>3.82</v>
      </c>
    </row>
    <row r="430" spans="1:3">
      <c r="A430" s="6">
        <v>40220</v>
      </c>
      <c r="B430" s="7">
        <v>2.32</v>
      </c>
      <c r="C430" s="7"/>
    </row>
    <row r="431" spans="1:3">
      <c r="A431" s="6">
        <v>40229</v>
      </c>
      <c r="B431" s="7">
        <v>2.36</v>
      </c>
      <c r="C431" s="7">
        <v>3.92</v>
      </c>
    </row>
    <row r="432" spans="1:3">
      <c r="A432" s="6">
        <v>40231</v>
      </c>
      <c r="B432" s="7">
        <v>2.35</v>
      </c>
      <c r="C432" s="7">
        <v>3.92</v>
      </c>
    </row>
    <row r="433" spans="1:3">
      <c r="A433" s="6">
        <v>40232</v>
      </c>
      <c r="B433" s="7">
        <v>2.32</v>
      </c>
      <c r="C433" s="7">
        <v>3.84</v>
      </c>
    </row>
    <row r="434" spans="1:3">
      <c r="A434" s="6">
        <v>40234</v>
      </c>
      <c r="B434" s="7">
        <v>2.3</v>
      </c>
      <c r="C434" s="7"/>
    </row>
    <row r="435" spans="1:3">
      <c r="A435" s="6">
        <v>40235</v>
      </c>
      <c r="B435" s="7">
        <v>2.29</v>
      </c>
      <c r="C435" s="7">
        <v>3.75</v>
      </c>
    </row>
    <row r="436" spans="1:3">
      <c r="A436" s="6">
        <v>40238</v>
      </c>
      <c r="B436" s="7">
        <v>2.24</v>
      </c>
      <c r="C436" s="7"/>
    </row>
    <row r="437" spans="1:3">
      <c r="A437" s="6">
        <v>40239</v>
      </c>
      <c r="B437" s="7">
        <v>2.26</v>
      </c>
      <c r="C437" s="7">
        <v>3.72</v>
      </c>
    </row>
    <row r="438" spans="1:3">
      <c r="A438" s="6">
        <v>40240</v>
      </c>
      <c r="B438" s="7">
        <v>2.27</v>
      </c>
      <c r="C438" s="7">
        <v>3.76</v>
      </c>
    </row>
    <row r="439" spans="1:3">
      <c r="A439" s="6">
        <v>40241</v>
      </c>
      <c r="B439" s="7">
        <v>2.27</v>
      </c>
      <c r="C439" s="7"/>
    </row>
    <row r="440" spans="1:3">
      <c r="A440" s="6">
        <v>40242</v>
      </c>
      <c r="B440" s="7">
        <v>2.25</v>
      </c>
      <c r="C440" s="7"/>
    </row>
    <row r="441" spans="1:3">
      <c r="A441" s="6">
        <v>40245</v>
      </c>
      <c r="B441" s="7"/>
      <c r="C441" s="7">
        <v>3.7</v>
      </c>
    </row>
    <row r="442" spans="1:3">
      <c r="A442" s="6">
        <v>40246</v>
      </c>
      <c r="B442" s="7">
        <v>2.28</v>
      </c>
      <c r="C442" s="7">
        <v>3.75</v>
      </c>
    </row>
    <row r="443" spans="1:3">
      <c r="A443" s="6">
        <v>40247</v>
      </c>
      <c r="B443" s="7">
        <v>2.3</v>
      </c>
      <c r="C443" s="7">
        <v>3.79</v>
      </c>
    </row>
    <row r="444" spans="1:3">
      <c r="A444" s="6">
        <v>40248</v>
      </c>
      <c r="B444" s="7">
        <v>2.3</v>
      </c>
      <c r="C444" s="7">
        <v>3.79</v>
      </c>
    </row>
    <row r="445" spans="1:3">
      <c r="A445" s="6">
        <v>40249</v>
      </c>
      <c r="B445" s="7">
        <v>2.32</v>
      </c>
      <c r="C445" s="7">
        <v>3.77</v>
      </c>
    </row>
    <row r="446" spans="1:3">
      <c r="A446" s="6">
        <v>40252</v>
      </c>
      <c r="B446" s="7">
        <v>2.32</v>
      </c>
      <c r="C446" s="7">
        <v>3.71</v>
      </c>
    </row>
    <row r="447" spans="1:3">
      <c r="A447" s="6">
        <v>40253</v>
      </c>
      <c r="B447" s="7">
        <v>2.29</v>
      </c>
      <c r="C447" s="7">
        <v>3.68</v>
      </c>
    </row>
    <row r="448" spans="1:3">
      <c r="A448" s="6">
        <v>40254</v>
      </c>
      <c r="B448" s="7">
        <v>2.25</v>
      </c>
      <c r="C448" s="7">
        <v>3.61</v>
      </c>
    </row>
    <row r="449" spans="1:3">
      <c r="A449" s="6">
        <v>40255</v>
      </c>
      <c r="B449" s="7">
        <v>2.31</v>
      </c>
      <c r="C449" s="7">
        <v>3.59</v>
      </c>
    </row>
    <row r="450" spans="1:3">
      <c r="A450" s="6">
        <v>40256</v>
      </c>
      <c r="B450" s="7"/>
      <c r="C450" s="7">
        <v>3.56</v>
      </c>
    </row>
    <row r="451" spans="1:3">
      <c r="A451" s="6">
        <v>40259</v>
      </c>
      <c r="B451" s="7">
        <v>2.25</v>
      </c>
      <c r="C451" s="7">
        <v>3.63</v>
      </c>
    </row>
    <row r="452" spans="1:3">
      <c r="A452" s="6">
        <v>40260</v>
      </c>
      <c r="B452" s="7"/>
      <c r="C452" s="7">
        <v>3.63</v>
      </c>
    </row>
    <row r="453" spans="1:3">
      <c r="A453" s="6">
        <v>40262</v>
      </c>
      <c r="B453" s="7"/>
      <c r="C453" s="7">
        <v>3.67</v>
      </c>
    </row>
    <row r="454" spans="1:3">
      <c r="A454" s="6">
        <v>40263</v>
      </c>
      <c r="B454" s="7">
        <v>2.26</v>
      </c>
      <c r="C454" s="7">
        <v>3.66</v>
      </c>
    </row>
    <row r="455" spans="1:3">
      <c r="A455" s="6">
        <v>40266</v>
      </c>
      <c r="B455" s="7">
        <v>2.28</v>
      </c>
      <c r="C455" s="7">
        <v>3.72</v>
      </c>
    </row>
    <row r="456" spans="1:3">
      <c r="A456" s="6">
        <v>40267</v>
      </c>
      <c r="B456" s="7">
        <v>2.27</v>
      </c>
      <c r="C456" s="7">
        <v>3.7</v>
      </c>
    </row>
    <row r="457" spans="1:3">
      <c r="A457" s="6">
        <v>40268</v>
      </c>
      <c r="B457" s="7">
        <v>2.26</v>
      </c>
      <c r="C457" s="7">
        <v>3.71</v>
      </c>
    </row>
    <row r="458" spans="1:3">
      <c r="A458" s="6">
        <v>40269</v>
      </c>
      <c r="B458" s="7">
        <v>2.25</v>
      </c>
      <c r="C458" s="7">
        <v>3.75</v>
      </c>
    </row>
    <row r="459" spans="1:3">
      <c r="A459" s="6">
        <v>40270</v>
      </c>
      <c r="B459" s="7">
        <v>2.25</v>
      </c>
      <c r="C459" s="7">
        <v>3.74</v>
      </c>
    </row>
    <row r="460" spans="1:3">
      <c r="A460" s="6">
        <v>40274</v>
      </c>
      <c r="B460" s="7"/>
      <c r="C460" s="7">
        <v>3.76</v>
      </c>
    </row>
    <row r="461" spans="1:3">
      <c r="A461" s="6">
        <v>40275</v>
      </c>
      <c r="B461" s="7">
        <v>2.29</v>
      </c>
      <c r="C461" s="7">
        <v>3.77</v>
      </c>
    </row>
    <row r="462" spans="1:3">
      <c r="A462" s="6">
        <v>40276</v>
      </c>
      <c r="B462" s="7"/>
      <c r="C462" s="7">
        <v>3.73</v>
      </c>
    </row>
    <row r="463" spans="1:3">
      <c r="A463" s="6">
        <v>40277</v>
      </c>
      <c r="B463" s="7"/>
      <c r="C463" s="7">
        <v>3.69</v>
      </c>
    </row>
    <row r="464" spans="1:3">
      <c r="A464" s="6">
        <v>40280</v>
      </c>
      <c r="B464" s="7">
        <v>2.24</v>
      </c>
      <c r="C464" s="7">
        <v>3.64</v>
      </c>
    </row>
    <row r="465" spans="1:3">
      <c r="A465" s="6">
        <v>40281</v>
      </c>
      <c r="B465" s="7">
        <v>2.22</v>
      </c>
      <c r="C465" s="7"/>
    </row>
    <row r="466" spans="1:3">
      <c r="A466" s="6">
        <v>40282</v>
      </c>
      <c r="B466" s="7">
        <v>2.21</v>
      </c>
      <c r="C466" s="7">
        <v>3.59</v>
      </c>
    </row>
    <row r="467" spans="1:3">
      <c r="A467" s="6">
        <v>40283</v>
      </c>
      <c r="B467" s="7"/>
      <c r="C467" s="7">
        <v>3.55</v>
      </c>
    </row>
    <row r="468" spans="1:3">
      <c r="A468" s="6">
        <v>40287</v>
      </c>
      <c r="B468" s="7">
        <v>2.19</v>
      </c>
      <c r="C468" s="7">
        <v>3.51</v>
      </c>
    </row>
    <row r="469" spans="1:3">
      <c r="A469" s="6">
        <v>40288</v>
      </c>
      <c r="B469" s="7">
        <v>2.17</v>
      </c>
      <c r="C469" s="7">
        <v>3.48</v>
      </c>
    </row>
    <row r="470" spans="1:3">
      <c r="A470" s="6">
        <v>40289</v>
      </c>
      <c r="B470" s="7">
        <v>2.16</v>
      </c>
      <c r="C470" s="7"/>
    </row>
    <row r="471" spans="1:3">
      <c r="A471" s="6">
        <v>40290</v>
      </c>
      <c r="B471" s="7">
        <v>2.14</v>
      </c>
      <c r="C471" s="7">
        <v>3.42</v>
      </c>
    </row>
    <row r="472" spans="1:3">
      <c r="A472" s="6">
        <v>40291</v>
      </c>
      <c r="B472" s="7">
        <v>2.13</v>
      </c>
      <c r="C472" s="7"/>
    </row>
    <row r="473" spans="1:3">
      <c r="A473" s="6">
        <v>40294</v>
      </c>
      <c r="B473" s="7">
        <v>2.1</v>
      </c>
      <c r="C473" s="7">
        <v>3.32</v>
      </c>
    </row>
    <row r="474" spans="1:3">
      <c r="A474" s="6">
        <v>40295</v>
      </c>
      <c r="B474" s="7">
        <v>2.12</v>
      </c>
      <c r="C474" s="7"/>
    </row>
    <row r="475" spans="1:3">
      <c r="A475" s="6">
        <v>40296</v>
      </c>
      <c r="B475" s="7">
        <v>2.13</v>
      </c>
      <c r="C475" s="7">
        <v>3.37</v>
      </c>
    </row>
    <row r="476" spans="1:3">
      <c r="A476" s="6">
        <v>40297</v>
      </c>
      <c r="B476" s="7">
        <v>2.12</v>
      </c>
      <c r="C476" s="7">
        <v>3.37</v>
      </c>
    </row>
    <row r="477" spans="1:3">
      <c r="A477" s="6">
        <v>40298</v>
      </c>
      <c r="B477" s="7"/>
      <c r="C477" s="7">
        <v>3.41</v>
      </c>
    </row>
    <row r="478" spans="1:3">
      <c r="A478" s="6">
        <v>40302</v>
      </c>
      <c r="B478" s="7">
        <v>2.15</v>
      </c>
      <c r="C478" s="7">
        <v>3.41</v>
      </c>
    </row>
    <row r="479" spans="1:3">
      <c r="A479" s="6">
        <v>40303</v>
      </c>
      <c r="B479" s="7">
        <v>2.12</v>
      </c>
      <c r="C479" s="7">
        <v>3.37</v>
      </c>
    </row>
    <row r="480" spans="1:3">
      <c r="A480" s="6">
        <v>40304</v>
      </c>
      <c r="B480" s="7">
        <v>2.1</v>
      </c>
      <c r="C480" s="7">
        <v>3.24</v>
      </c>
    </row>
    <row r="481" spans="1:3">
      <c r="A481" s="6">
        <v>40305</v>
      </c>
      <c r="B481" s="7">
        <v>2.11</v>
      </c>
      <c r="C481" s="7">
        <v>3.07</v>
      </c>
    </row>
    <row r="482" spans="1:3">
      <c r="A482" s="6">
        <v>40308</v>
      </c>
      <c r="B482" s="7">
        <v>2.11</v>
      </c>
      <c r="C482" s="7">
        <v>3.17</v>
      </c>
    </row>
    <row r="483" spans="1:3">
      <c r="A483" s="6">
        <v>40309</v>
      </c>
      <c r="B483" s="7">
        <v>2.1</v>
      </c>
      <c r="C483" s="7">
        <v>3.19</v>
      </c>
    </row>
    <row r="484" spans="1:3">
      <c r="A484" s="6">
        <v>40310</v>
      </c>
      <c r="B484" s="7">
        <v>2.11</v>
      </c>
      <c r="C484" s="7">
        <v>3.16</v>
      </c>
    </row>
    <row r="485" spans="1:3">
      <c r="A485" s="6">
        <v>40311</v>
      </c>
      <c r="B485" s="7">
        <v>2.13</v>
      </c>
      <c r="C485" s="7">
        <v>3.14</v>
      </c>
    </row>
    <row r="486" spans="1:3">
      <c r="A486" s="6">
        <v>40312</v>
      </c>
      <c r="B486" s="7"/>
      <c r="C486" s="7">
        <v>3.17</v>
      </c>
    </row>
    <row r="487" spans="1:3">
      <c r="A487" s="6">
        <v>40315</v>
      </c>
      <c r="B487" s="7">
        <v>2.11</v>
      </c>
      <c r="C487" s="7">
        <v>3.11</v>
      </c>
    </row>
    <row r="488" spans="1:3">
      <c r="A488" s="6">
        <v>40316</v>
      </c>
      <c r="B488" s="7">
        <v>2.12</v>
      </c>
      <c r="C488" s="7">
        <v>3.13</v>
      </c>
    </row>
    <row r="489" spans="1:3">
      <c r="A489" s="6">
        <v>40317</v>
      </c>
      <c r="B489" s="7">
        <v>2.11</v>
      </c>
      <c r="C489" s="7">
        <v>3.07</v>
      </c>
    </row>
    <row r="490" spans="1:3">
      <c r="A490" s="6">
        <v>40318</v>
      </c>
      <c r="B490" s="7">
        <v>2.13</v>
      </c>
      <c r="C490" s="7">
        <v>3.08</v>
      </c>
    </row>
    <row r="491" spans="1:3">
      <c r="A491" s="6">
        <v>40319</v>
      </c>
      <c r="B491" s="7"/>
      <c r="C491" s="7">
        <v>3.03</v>
      </c>
    </row>
    <row r="492" spans="1:3">
      <c r="A492" s="6">
        <v>40322</v>
      </c>
      <c r="B492" s="7">
        <v>2.17</v>
      </c>
      <c r="C492" s="7">
        <v>3.08</v>
      </c>
    </row>
    <row r="493" spans="1:3">
      <c r="A493" s="6">
        <v>40323</v>
      </c>
      <c r="B493" s="7">
        <v>2.15</v>
      </c>
      <c r="C493" s="7">
        <v>3.01</v>
      </c>
    </row>
    <row r="494" spans="1:3">
      <c r="A494" s="6">
        <v>40324</v>
      </c>
      <c r="B494" s="7">
        <v>2.15</v>
      </c>
      <c r="C494" s="7">
        <v>2.97</v>
      </c>
    </row>
    <row r="495" spans="1:3">
      <c r="A495" s="6">
        <v>40325</v>
      </c>
      <c r="B495" s="7">
        <v>2.11</v>
      </c>
      <c r="C495" s="7">
        <v>3.03</v>
      </c>
    </row>
    <row r="496" spans="1:3">
      <c r="A496" s="6">
        <v>40326</v>
      </c>
      <c r="B496" s="7">
        <v>2.19</v>
      </c>
      <c r="C496" s="7">
        <v>3.06</v>
      </c>
    </row>
    <row r="497" spans="1:3">
      <c r="A497" s="6">
        <v>40329</v>
      </c>
      <c r="B497" s="7">
        <v>2.19</v>
      </c>
      <c r="C497" s="7">
        <v>3.04</v>
      </c>
    </row>
    <row r="498" spans="1:3">
      <c r="A498" s="6">
        <v>40330</v>
      </c>
      <c r="B498" s="7">
        <v>2.22</v>
      </c>
      <c r="C498" s="7">
        <v>3.09</v>
      </c>
    </row>
    <row r="499" spans="1:3">
      <c r="A499" s="6">
        <v>40331</v>
      </c>
      <c r="B499" s="7">
        <v>2.26</v>
      </c>
      <c r="C499" s="7">
        <v>3.14</v>
      </c>
    </row>
    <row r="500" spans="1:3">
      <c r="A500" s="6">
        <v>40332</v>
      </c>
      <c r="B500" s="7">
        <v>2.58</v>
      </c>
      <c r="C500" s="7">
        <v>3.16</v>
      </c>
    </row>
    <row r="501" spans="1:3">
      <c r="A501" s="6">
        <v>40333</v>
      </c>
      <c r="B501" s="7">
        <v>2.23</v>
      </c>
      <c r="C501" s="7">
        <v>3.11</v>
      </c>
    </row>
    <row r="502" spans="1:3">
      <c r="A502" s="6">
        <v>40336</v>
      </c>
      <c r="B502" s="7">
        <v>2.2</v>
      </c>
      <c r="C502" s="7">
        <v>3.02</v>
      </c>
    </row>
    <row r="503" spans="1:3">
      <c r="A503" s="6">
        <v>40337</v>
      </c>
      <c r="B503" s="7">
        <v>2.24</v>
      </c>
      <c r="C503" s="7"/>
    </row>
    <row r="504" spans="1:3">
      <c r="A504" s="6">
        <v>40338</v>
      </c>
      <c r="B504" s="7">
        <v>2.27</v>
      </c>
      <c r="C504" s="7">
        <v>3.08</v>
      </c>
    </row>
    <row r="505" spans="1:3">
      <c r="A505" s="6">
        <v>40339</v>
      </c>
      <c r="B505" s="7">
        <v>2.33</v>
      </c>
      <c r="C505" s="7">
        <v>3.12</v>
      </c>
    </row>
    <row r="506" spans="1:3">
      <c r="A506" s="6">
        <v>40340</v>
      </c>
      <c r="B506" s="7">
        <v>2.37</v>
      </c>
      <c r="C506" s="7">
        <v>3.12</v>
      </c>
    </row>
    <row r="507" spans="1:3">
      <c r="A507" s="6">
        <v>40341</v>
      </c>
      <c r="B507" s="7"/>
      <c r="C507" s="7">
        <v>3.17</v>
      </c>
    </row>
    <row r="508" spans="1:3">
      <c r="A508" s="6">
        <v>40342</v>
      </c>
      <c r="B508" s="7">
        <v>2.36</v>
      </c>
      <c r="C508" s="7">
        <v>3.22</v>
      </c>
    </row>
    <row r="509" spans="1:3">
      <c r="A509" s="6">
        <v>40346</v>
      </c>
      <c r="B509" s="7">
        <v>2.39</v>
      </c>
      <c r="C509" s="7">
        <v>3.2</v>
      </c>
    </row>
    <row r="510" spans="1:3">
      <c r="A510" s="6">
        <v>40347</v>
      </c>
      <c r="B510" s="7">
        <v>2.46</v>
      </c>
      <c r="C510" s="7">
        <v>3.25</v>
      </c>
    </row>
    <row r="511" spans="1:3">
      <c r="A511" s="6">
        <v>40350</v>
      </c>
      <c r="B511" s="7">
        <v>2.37</v>
      </c>
      <c r="C511" s="7">
        <v>3.15</v>
      </c>
    </row>
    <row r="512" spans="1:3">
      <c r="A512" s="6">
        <v>40351</v>
      </c>
      <c r="B512" s="7">
        <v>2.37</v>
      </c>
      <c r="C512" s="7">
        <v>3.2</v>
      </c>
    </row>
    <row r="513" spans="1:3">
      <c r="A513" s="6">
        <v>40352</v>
      </c>
      <c r="B513" s="7">
        <v>2.38</v>
      </c>
      <c r="C513" s="7">
        <v>3.2</v>
      </c>
    </row>
    <row r="514" spans="1:3">
      <c r="A514" s="6">
        <v>40353</v>
      </c>
      <c r="B514" s="7">
        <v>2.36</v>
      </c>
      <c r="C514" s="7">
        <v>3.16</v>
      </c>
    </row>
    <row r="515" spans="1:3">
      <c r="A515" s="6">
        <v>40354</v>
      </c>
      <c r="B515" s="7">
        <v>2.35</v>
      </c>
      <c r="C515" s="7">
        <v>3.15</v>
      </c>
    </row>
    <row r="516" spans="1:3">
      <c r="A516" s="6">
        <v>40358</v>
      </c>
      <c r="B516" s="7">
        <v>2.31</v>
      </c>
      <c r="C516" s="7">
        <v>3.07</v>
      </c>
    </row>
    <row r="517" spans="1:3">
      <c r="A517" s="6">
        <v>40359</v>
      </c>
      <c r="B517" s="7">
        <v>2.27</v>
      </c>
      <c r="C517" s="7">
        <v>3.03</v>
      </c>
    </row>
    <row r="518" spans="1:3">
      <c r="A518" s="6">
        <v>40360</v>
      </c>
      <c r="B518" s="7">
        <v>2.26</v>
      </c>
      <c r="C518" s="7">
        <v>3.04</v>
      </c>
    </row>
    <row r="519" spans="1:3">
      <c r="A519" s="6">
        <v>40361</v>
      </c>
      <c r="B519" s="7">
        <v>2.26</v>
      </c>
      <c r="C519" s="7">
        <v>2.97</v>
      </c>
    </row>
    <row r="520" spans="1:3">
      <c r="A520" s="6">
        <v>40364</v>
      </c>
      <c r="B520" s="7">
        <v>2.28</v>
      </c>
      <c r="C520" s="7">
        <v>3.02</v>
      </c>
    </row>
    <row r="521" spans="1:3">
      <c r="A521" s="6">
        <v>40365</v>
      </c>
      <c r="B521" s="7">
        <v>2.25</v>
      </c>
      <c r="C521" s="7">
        <v>3</v>
      </c>
    </row>
    <row r="522" spans="1:3">
      <c r="A522" s="6">
        <v>40366</v>
      </c>
      <c r="B522" s="7">
        <v>2.25</v>
      </c>
      <c r="C522" s="7">
        <v>3</v>
      </c>
    </row>
    <row r="523" spans="1:3">
      <c r="A523" s="6">
        <v>40367</v>
      </c>
      <c r="B523" s="7">
        <v>2.24</v>
      </c>
      <c r="C523" s="7">
        <v>3.01</v>
      </c>
    </row>
    <row r="524" spans="1:3">
      <c r="A524" s="6">
        <v>40368</v>
      </c>
      <c r="B524" s="7">
        <v>2.23</v>
      </c>
      <c r="C524" s="7"/>
    </row>
    <row r="525" spans="1:3">
      <c r="A525" s="6">
        <v>40371</v>
      </c>
      <c r="B525" s="7">
        <v>2.21</v>
      </c>
      <c r="C525" s="7">
        <v>2.99</v>
      </c>
    </row>
    <row r="526" spans="1:3">
      <c r="A526" s="6">
        <v>40372</v>
      </c>
      <c r="B526" s="7">
        <v>2.17</v>
      </c>
      <c r="C526" s="7">
        <v>2.91</v>
      </c>
    </row>
    <row r="527" spans="1:3">
      <c r="A527" s="6">
        <v>40373</v>
      </c>
      <c r="B527" s="7">
        <v>2.12</v>
      </c>
      <c r="C527" s="7">
        <v>2.92</v>
      </c>
    </row>
    <row r="528" spans="1:3">
      <c r="A528" s="6">
        <v>40374</v>
      </c>
      <c r="B528" s="7">
        <v>2.13</v>
      </c>
      <c r="C528" s="7">
        <v>2.89</v>
      </c>
    </row>
    <row r="529" spans="1:3">
      <c r="A529" s="6">
        <v>40375</v>
      </c>
      <c r="B529" s="7">
        <v>2.12</v>
      </c>
      <c r="C529" s="7">
        <v>2.87</v>
      </c>
    </row>
    <row r="530" spans="1:3">
      <c r="A530" s="6">
        <v>40378</v>
      </c>
      <c r="B530" s="7">
        <v>2.09</v>
      </c>
      <c r="C530" s="7">
        <v>2.77</v>
      </c>
    </row>
    <row r="531" spans="1:3">
      <c r="A531" s="6">
        <v>40379</v>
      </c>
      <c r="B531" s="7">
        <v>2.11</v>
      </c>
      <c r="C531" s="7">
        <v>2.82</v>
      </c>
    </row>
    <row r="532" spans="1:3">
      <c r="A532" s="6">
        <v>40380</v>
      </c>
      <c r="B532" s="7">
        <v>2.12</v>
      </c>
      <c r="C532" s="7">
        <v>2.85</v>
      </c>
    </row>
    <row r="533" spans="1:3">
      <c r="A533" s="6">
        <v>40381</v>
      </c>
      <c r="B533" s="7">
        <v>2.06</v>
      </c>
      <c r="C533" s="7">
        <v>2.84</v>
      </c>
    </row>
    <row r="534" spans="1:3">
      <c r="A534" s="6">
        <v>40382</v>
      </c>
      <c r="B534" s="7">
        <v>2.1</v>
      </c>
      <c r="C534" s="7">
        <v>2.89</v>
      </c>
    </row>
    <row r="535" spans="1:3">
      <c r="A535" s="6">
        <v>40385</v>
      </c>
      <c r="B535" s="7">
        <v>2.13</v>
      </c>
      <c r="C535" s="7">
        <v>2.92</v>
      </c>
    </row>
    <row r="536" spans="1:3">
      <c r="A536" s="6">
        <v>40386</v>
      </c>
      <c r="B536" s="7">
        <v>2.12</v>
      </c>
      <c r="C536" s="7">
        <v>2.92</v>
      </c>
    </row>
    <row r="537" spans="1:3">
      <c r="A537" s="6">
        <v>40387</v>
      </c>
      <c r="B537" s="7">
        <v>2.08</v>
      </c>
      <c r="C537" s="7">
        <v>2.85</v>
      </c>
    </row>
    <row r="538" spans="1:3">
      <c r="A538" s="6">
        <v>40388</v>
      </c>
      <c r="B538" s="7">
        <v>2.09</v>
      </c>
      <c r="C538" s="7">
        <v>2.89</v>
      </c>
    </row>
    <row r="539" spans="1:3">
      <c r="A539" s="6">
        <v>40389</v>
      </c>
      <c r="B539" s="7">
        <v>2.1</v>
      </c>
      <c r="C539" s="7">
        <v>2.89</v>
      </c>
    </row>
    <row r="540" spans="1:3">
      <c r="A540" s="6">
        <v>40392</v>
      </c>
      <c r="B540" s="7">
        <v>2.11</v>
      </c>
      <c r="C540" s="7">
        <v>2.91</v>
      </c>
    </row>
    <row r="541" spans="1:3">
      <c r="A541" s="6">
        <v>40393</v>
      </c>
      <c r="B541" s="7"/>
      <c r="C541" s="7">
        <v>2.92</v>
      </c>
    </row>
    <row r="542" spans="1:3">
      <c r="A542" s="6">
        <v>40394</v>
      </c>
      <c r="B542" s="7">
        <v>2.09</v>
      </c>
      <c r="C542" s="7">
        <v>2.88</v>
      </c>
    </row>
    <row r="543" spans="1:3">
      <c r="A543" s="6">
        <v>40395</v>
      </c>
      <c r="B543" s="7">
        <v>2.08</v>
      </c>
      <c r="C543" s="7">
        <v>2.87</v>
      </c>
    </row>
    <row r="544" spans="1:3">
      <c r="A544" s="6">
        <v>40396</v>
      </c>
      <c r="B544" s="7">
        <v>2.05</v>
      </c>
      <c r="C544" s="7"/>
    </row>
    <row r="545" spans="1:3">
      <c r="A545" s="6">
        <v>40399</v>
      </c>
      <c r="B545" s="7"/>
      <c r="C545" s="7">
        <v>2.85</v>
      </c>
    </row>
    <row r="546" spans="1:3">
      <c r="A546" s="6">
        <v>40400</v>
      </c>
      <c r="B546" s="7">
        <v>2.06</v>
      </c>
      <c r="C546" s="7">
        <v>2.82</v>
      </c>
    </row>
    <row r="547" spans="1:3">
      <c r="A547" s="6">
        <v>40401</v>
      </c>
      <c r="B547" s="7">
        <v>1.96</v>
      </c>
      <c r="C547" s="7">
        <v>2.74</v>
      </c>
    </row>
    <row r="548" spans="1:3">
      <c r="A548" s="6">
        <v>40402</v>
      </c>
      <c r="B548" s="7">
        <v>1.96</v>
      </c>
      <c r="C548" s="7">
        <v>2.69</v>
      </c>
    </row>
    <row r="549" spans="1:3">
      <c r="A549" s="6">
        <v>40403</v>
      </c>
      <c r="B549" s="7"/>
      <c r="C549" s="7">
        <v>2.7</v>
      </c>
    </row>
    <row r="550" spans="1:3">
      <c r="A550" s="6">
        <v>40406</v>
      </c>
      <c r="B550" s="7">
        <v>2</v>
      </c>
      <c r="C550" s="7">
        <v>2.7</v>
      </c>
    </row>
    <row r="551" spans="1:3">
      <c r="A551" s="6">
        <v>40407</v>
      </c>
      <c r="B551" s="7">
        <v>2.01</v>
      </c>
      <c r="C551" s="7">
        <v>2.71</v>
      </c>
    </row>
    <row r="552" spans="1:3">
      <c r="A552" s="6">
        <v>40408</v>
      </c>
      <c r="B552" s="7">
        <v>2.03</v>
      </c>
      <c r="C552" s="7">
        <v>2.74</v>
      </c>
    </row>
    <row r="553" spans="1:3">
      <c r="A553" s="6">
        <v>40409</v>
      </c>
      <c r="B553" s="7">
        <v>2.03</v>
      </c>
      <c r="C553" s="7">
        <v>2.77</v>
      </c>
    </row>
    <row r="554" spans="1:3">
      <c r="A554" s="6">
        <v>40410</v>
      </c>
      <c r="B554" s="7">
        <v>2.02</v>
      </c>
      <c r="C554" s="7">
        <v>2.74</v>
      </c>
    </row>
    <row r="555" spans="1:3">
      <c r="A555" s="6">
        <v>40413</v>
      </c>
      <c r="B555" s="7"/>
      <c r="C555" s="7">
        <v>2.73</v>
      </c>
    </row>
    <row r="556" spans="1:3">
      <c r="A556" s="6">
        <v>40414</v>
      </c>
      <c r="B556" s="7">
        <v>1.99</v>
      </c>
      <c r="C556" s="7">
        <v>2.71</v>
      </c>
    </row>
    <row r="557" spans="1:3">
      <c r="A557" s="6">
        <v>40415</v>
      </c>
      <c r="B557" s="7"/>
      <c r="C557" s="7">
        <v>2.7</v>
      </c>
    </row>
    <row r="558" spans="1:3">
      <c r="A558" s="6">
        <v>40416</v>
      </c>
      <c r="B558" s="7">
        <v>2.02</v>
      </c>
      <c r="C558" s="7">
        <v>2.72</v>
      </c>
    </row>
    <row r="559" spans="1:3">
      <c r="A559" s="6">
        <v>40417</v>
      </c>
      <c r="B559" s="7">
        <v>2.05</v>
      </c>
      <c r="C559" s="7">
        <v>2.74</v>
      </c>
    </row>
    <row r="560" spans="1:3">
      <c r="A560" s="6">
        <v>40420</v>
      </c>
      <c r="B560" s="7">
        <v>2.05</v>
      </c>
      <c r="C560" s="7">
        <v>2.76</v>
      </c>
    </row>
    <row r="561" spans="1:3">
      <c r="A561" s="6">
        <v>40421</v>
      </c>
      <c r="B561" s="7">
        <v>2.03</v>
      </c>
      <c r="C561" s="7">
        <v>2.7</v>
      </c>
    </row>
    <row r="562" spans="1:3">
      <c r="A562" s="6">
        <v>40422</v>
      </c>
      <c r="B562" s="7">
        <v>2.03</v>
      </c>
      <c r="C562" s="7">
        <v>2.72</v>
      </c>
    </row>
    <row r="563" spans="1:3">
      <c r="A563" s="6">
        <v>40423</v>
      </c>
      <c r="B563" s="7">
        <v>2.02</v>
      </c>
      <c r="C563" s="7">
        <v>2.73</v>
      </c>
    </row>
    <row r="564" spans="1:3">
      <c r="A564" s="6">
        <v>40424</v>
      </c>
      <c r="B564" s="7">
        <v>2.02</v>
      </c>
      <c r="C564" s="7">
        <v>2.74</v>
      </c>
    </row>
    <row r="565" spans="1:3">
      <c r="A565" s="6">
        <v>40427</v>
      </c>
      <c r="B565" s="7">
        <v>2.04</v>
      </c>
      <c r="C565" s="7">
        <v>2.76</v>
      </c>
    </row>
    <row r="566" spans="1:3">
      <c r="A566" s="6">
        <v>40428</v>
      </c>
      <c r="B566" s="7"/>
      <c r="C566" s="7">
        <v>2.75</v>
      </c>
    </row>
    <row r="567" spans="1:3">
      <c r="A567" s="6">
        <v>40429</v>
      </c>
      <c r="B567" s="7">
        <v>2.05</v>
      </c>
      <c r="C567" s="7">
        <v>2.74</v>
      </c>
    </row>
    <row r="568" spans="1:3">
      <c r="A568" s="6">
        <v>40430</v>
      </c>
      <c r="B568" s="7">
        <v>2.07</v>
      </c>
      <c r="C568" s="7">
        <v>2.76</v>
      </c>
    </row>
    <row r="569" spans="1:3">
      <c r="A569" s="6">
        <v>40431</v>
      </c>
      <c r="B569" s="7">
        <v>2.09</v>
      </c>
      <c r="C569" s="7">
        <v>2.8</v>
      </c>
    </row>
    <row r="570" spans="1:3">
      <c r="A570" s="6">
        <v>40434</v>
      </c>
      <c r="B570" s="7">
        <v>2.16</v>
      </c>
      <c r="C570" s="7">
        <v>2.85</v>
      </c>
    </row>
    <row r="571" spans="1:3">
      <c r="A571" s="6">
        <v>40435</v>
      </c>
      <c r="B571" s="7">
        <v>2.16</v>
      </c>
      <c r="C571" s="7">
        <v>2.86</v>
      </c>
    </row>
    <row r="572" spans="1:3">
      <c r="A572" s="6">
        <v>40437</v>
      </c>
      <c r="B572" s="7">
        <v>2.22</v>
      </c>
      <c r="C572" s="7">
        <v>2.8942</v>
      </c>
    </row>
    <row r="573" spans="1:3">
      <c r="A573" s="6">
        <v>40438</v>
      </c>
      <c r="B573" s="7">
        <v>2.2028</v>
      </c>
      <c r="C573" s="7">
        <v>2.9679</v>
      </c>
    </row>
    <row r="574" spans="1:3">
      <c r="A574" s="6">
        <v>40440</v>
      </c>
      <c r="B574" s="7"/>
      <c r="C574" s="7">
        <v>2.96</v>
      </c>
    </row>
    <row r="575" spans="1:3">
      <c r="A575" s="6">
        <v>40441</v>
      </c>
      <c r="B575" s="7">
        <v>2.19</v>
      </c>
      <c r="C575" s="7">
        <v>2.9991</v>
      </c>
    </row>
    <row r="576" spans="1:3">
      <c r="A576" s="6">
        <v>40442</v>
      </c>
      <c r="B576" s="7"/>
      <c r="C576" s="7">
        <v>2.9786</v>
      </c>
    </row>
    <row r="577" spans="1:3">
      <c r="A577" s="6">
        <v>40446</v>
      </c>
      <c r="B577" s="7"/>
      <c r="C577" s="7">
        <v>2.955</v>
      </c>
    </row>
    <row r="578" spans="1:3">
      <c r="A578" s="6">
        <v>40448</v>
      </c>
      <c r="B578" s="7"/>
      <c r="C578" s="7">
        <v>2.9567</v>
      </c>
    </row>
    <row r="579" spans="1:3">
      <c r="A579" s="6">
        <v>40449</v>
      </c>
      <c r="B579" s="7">
        <v>2.16</v>
      </c>
      <c r="C579" s="7">
        <v>2.9132</v>
      </c>
    </row>
    <row r="580" spans="1:3">
      <c r="A580" s="6">
        <v>40450</v>
      </c>
      <c r="B580" s="7">
        <v>2.182</v>
      </c>
      <c r="C580" s="7">
        <v>2.9056</v>
      </c>
    </row>
    <row r="581" spans="1:3">
      <c r="A581" s="6">
        <v>40451</v>
      </c>
      <c r="B581" s="7">
        <v>2.1678</v>
      </c>
      <c r="C581" s="7">
        <v>2.8969</v>
      </c>
    </row>
    <row r="582" spans="1:3">
      <c r="A582" s="6">
        <v>40459</v>
      </c>
      <c r="B582" s="7"/>
      <c r="C582" s="7">
        <v>2.96</v>
      </c>
    </row>
    <row r="583" spans="1:3">
      <c r="A583" s="6">
        <v>40462</v>
      </c>
      <c r="B583" s="7">
        <v>2.14</v>
      </c>
      <c r="C583" s="7">
        <v>2.9652</v>
      </c>
    </row>
    <row r="584" spans="1:3">
      <c r="A584" s="6">
        <v>40463</v>
      </c>
      <c r="B584" s="7">
        <v>2.15</v>
      </c>
      <c r="C584" s="7">
        <v>2.9942</v>
      </c>
    </row>
    <row r="585" spans="1:3">
      <c r="A585" s="6">
        <v>40464</v>
      </c>
      <c r="B585" s="7">
        <v>2.18</v>
      </c>
      <c r="C585" s="7">
        <v>3.0197</v>
      </c>
    </row>
    <row r="586" spans="1:3">
      <c r="A586" s="6">
        <v>40465</v>
      </c>
      <c r="B586" s="7">
        <v>2.1648</v>
      </c>
      <c r="C586" s="7">
        <v>3.0214</v>
      </c>
    </row>
    <row r="587" spans="1:3">
      <c r="A587" s="6">
        <v>40466</v>
      </c>
      <c r="B587" s="7">
        <v>2.1723</v>
      </c>
      <c r="C587" s="7">
        <v>3.0505</v>
      </c>
    </row>
    <row r="588" spans="1:3">
      <c r="A588" s="6">
        <v>40469</v>
      </c>
      <c r="B588" s="7">
        <v>2.1773</v>
      </c>
      <c r="C588" s="7">
        <v>3.1226</v>
      </c>
    </row>
    <row r="589" spans="1:3">
      <c r="A589" s="6">
        <v>40470</v>
      </c>
      <c r="B589" s="7">
        <v>2.18</v>
      </c>
      <c r="C589" s="7">
        <v>3.1226</v>
      </c>
    </row>
    <row r="590" spans="1:3">
      <c r="A590" s="6">
        <v>40471</v>
      </c>
      <c r="B590" s="7">
        <v>2.3656</v>
      </c>
      <c r="C590" s="7">
        <v>3.4239</v>
      </c>
    </row>
    <row r="591" spans="1:3">
      <c r="A591" s="6">
        <v>40472</v>
      </c>
      <c r="B591" s="7">
        <v>2.4044</v>
      </c>
      <c r="C591" s="7">
        <v>3.4688</v>
      </c>
    </row>
    <row r="592" spans="1:3">
      <c r="A592" s="6">
        <v>40473</v>
      </c>
      <c r="B592" s="7">
        <v>2.3643</v>
      </c>
      <c r="C592" s="7">
        <v>3.4227</v>
      </c>
    </row>
    <row r="593" spans="1:3">
      <c r="A593" s="6">
        <v>40476</v>
      </c>
      <c r="B593" s="7"/>
      <c r="C593" s="7">
        <v>3.4375</v>
      </c>
    </row>
    <row r="594" spans="1:3">
      <c r="A594" s="6">
        <v>40477</v>
      </c>
      <c r="B594" s="7">
        <v>2.38</v>
      </c>
      <c r="C594" s="7">
        <v>3.4656</v>
      </c>
    </row>
    <row r="595" spans="1:3">
      <c r="A595" s="6">
        <v>40478</v>
      </c>
      <c r="B595" s="7">
        <v>2.37</v>
      </c>
      <c r="C595" s="7">
        <v>3.4702</v>
      </c>
    </row>
    <row r="596" spans="1:3">
      <c r="A596" s="6">
        <v>40479</v>
      </c>
      <c r="B596" s="7">
        <v>2.345</v>
      </c>
      <c r="C596" s="7">
        <v>3.4569</v>
      </c>
    </row>
    <row r="597" spans="1:3">
      <c r="A597" s="6">
        <v>40480</v>
      </c>
      <c r="B597" s="7">
        <v>2.35</v>
      </c>
      <c r="C597" s="7">
        <v>3.4155</v>
      </c>
    </row>
    <row r="598" spans="1:3">
      <c r="A598" s="6">
        <v>40483</v>
      </c>
      <c r="B598" s="7"/>
      <c r="C598" s="7">
        <v>3.4716</v>
      </c>
    </row>
    <row r="599" spans="1:3">
      <c r="A599" s="6">
        <v>40484</v>
      </c>
      <c r="B599" s="7">
        <v>2.395</v>
      </c>
      <c r="C599" s="7">
        <v>3.602</v>
      </c>
    </row>
    <row r="600" spans="1:3">
      <c r="A600" s="6">
        <v>40485</v>
      </c>
      <c r="B600" s="7">
        <v>2.4268</v>
      </c>
      <c r="C600" s="7">
        <v>3.5916</v>
      </c>
    </row>
    <row r="601" spans="1:3">
      <c r="A601" s="6">
        <v>40486</v>
      </c>
      <c r="B601" s="7">
        <v>2.4969</v>
      </c>
      <c r="C601" s="7">
        <v>3.7713</v>
      </c>
    </row>
    <row r="602" spans="1:3">
      <c r="A602" s="6">
        <v>40487</v>
      </c>
      <c r="B602" s="7">
        <v>2.5245</v>
      </c>
      <c r="C602" s="7">
        <v>3.7931</v>
      </c>
    </row>
    <row r="603" spans="1:3">
      <c r="A603" s="6">
        <v>40490</v>
      </c>
      <c r="B603" s="7">
        <v>2.4565</v>
      </c>
      <c r="C603" s="7">
        <v>3.7209</v>
      </c>
    </row>
    <row r="604" spans="1:3">
      <c r="A604" s="6">
        <v>40491</v>
      </c>
      <c r="B604" s="7">
        <v>2.4466</v>
      </c>
      <c r="C604" s="7">
        <v>3.6835</v>
      </c>
    </row>
    <row r="605" spans="1:3">
      <c r="A605" s="6">
        <v>40492</v>
      </c>
      <c r="B605" s="7">
        <v>2.5663</v>
      </c>
      <c r="C605" s="7">
        <v>3.8363</v>
      </c>
    </row>
    <row r="606" spans="1:3">
      <c r="A606" s="6">
        <v>40493</v>
      </c>
      <c r="B606" s="7">
        <v>2.5958</v>
      </c>
      <c r="C606" s="7">
        <v>3.8696</v>
      </c>
    </row>
    <row r="607" spans="1:3">
      <c r="A607" s="6">
        <v>40494</v>
      </c>
      <c r="B607" s="7">
        <v>2.582</v>
      </c>
      <c r="C607" s="7">
        <v>3.845</v>
      </c>
    </row>
    <row r="608" spans="1:3">
      <c r="A608" s="6">
        <v>40497</v>
      </c>
      <c r="B608" s="7">
        <v>2.6041</v>
      </c>
      <c r="C608" s="7">
        <v>3.8212</v>
      </c>
    </row>
    <row r="609" spans="1:3">
      <c r="A609" s="6">
        <v>40498</v>
      </c>
      <c r="B609" s="7">
        <v>2.6267</v>
      </c>
      <c r="C609" s="7">
        <v>3.7873</v>
      </c>
    </row>
    <row r="610" spans="1:3">
      <c r="A610" s="6">
        <v>40499</v>
      </c>
      <c r="B610" s="7">
        <v>2.6609</v>
      </c>
      <c r="C610" s="7">
        <v>3.7375</v>
      </c>
    </row>
    <row r="611" spans="1:3">
      <c r="A611" s="6">
        <v>40500</v>
      </c>
      <c r="B611" s="7">
        <v>2.6826</v>
      </c>
      <c r="C611" s="7">
        <v>3.738</v>
      </c>
    </row>
    <row r="612" spans="1:3">
      <c r="A612" s="6">
        <v>40501</v>
      </c>
      <c r="B612" s="7">
        <v>2.7881</v>
      </c>
      <c r="C612" s="7">
        <v>3.7842</v>
      </c>
    </row>
    <row r="613" spans="1:3">
      <c r="A613" s="6">
        <v>40504</v>
      </c>
      <c r="B613" s="7">
        <v>2.9533</v>
      </c>
      <c r="C613" s="7">
        <v>3.862</v>
      </c>
    </row>
    <row r="614" spans="1:3">
      <c r="A614" s="6">
        <v>40505</v>
      </c>
      <c r="B614" s="7">
        <v>2.994</v>
      </c>
      <c r="C614" s="7">
        <v>3.8706</v>
      </c>
    </row>
    <row r="615" spans="1:3">
      <c r="A615" s="6">
        <v>40506</v>
      </c>
      <c r="B615" s="7">
        <v>2.9988</v>
      </c>
      <c r="C615" s="7">
        <v>3.8353</v>
      </c>
    </row>
    <row r="616" spans="1:3">
      <c r="A616" s="6">
        <v>40507</v>
      </c>
      <c r="B616" s="7">
        <v>3.1612</v>
      </c>
      <c r="C616" s="7">
        <v>3.8538</v>
      </c>
    </row>
    <row r="617" spans="1:3">
      <c r="A617" s="6">
        <v>40508</v>
      </c>
      <c r="B617" s="7">
        <v>3.2969</v>
      </c>
      <c r="C617" s="7">
        <v>3.9486</v>
      </c>
    </row>
    <row r="618" spans="1:3">
      <c r="A618" s="6">
        <v>40511</v>
      </c>
      <c r="B618" s="7">
        <v>3.3061</v>
      </c>
      <c r="C618" s="7">
        <v>3.9905</v>
      </c>
    </row>
    <row r="619" spans="1:3">
      <c r="A619" s="6">
        <v>40512</v>
      </c>
      <c r="B619" s="7">
        <v>3.6226</v>
      </c>
      <c r="C619" s="7">
        <v>3.9388</v>
      </c>
    </row>
    <row r="620" spans="1:3">
      <c r="A620" s="6">
        <v>40513</v>
      </c>
      <c r="B620" s="7">
        <v>3.1603</v>
      </c>
      <c r="C620" s="7">
        <v>3.9374</v>
      </c>
    </row>
    <row r="621" spans="1:3">
      <c r="A621" s="6">
        <v>40514</v>
      </c>
      <c r="B621" s="7">
        <v>3.1066</v>
      </c>
      <c r="C621" s="7">
        <v>3.8786</v>
      </c>
    </row>
    <row r="622" spans="1:3">
      <c r="A622" s="6">
        <v>40515</v>
      </c>
      <c r="B622" s="7">
        <v>3.1072</v>
      </c>
      <c r="C622" s="7">
        <v>3.8978</v>
      </c>
    </row>
    <row r="623" spans="1:3">
      <c r="A623" s="6">
        <v>40518</v>
      </c>
      <c r="B623" s="7">
        <v>3.0243</v>
      </c>
      <c r="C623" s="7">
        <v>3.7611</v>
      </c>
    </row>
    <row r="624" spans="1:3">
      <c r="A624" s="6">
        <v>40519</v>
      </c>
      <c r="B624" s="7">
        <v>2.9465</v>
      </c>
      <c r="C624" s="7">
        <v>3.7149</v>
      </c>
    </row>
    <row r="625" spans="1:3">
      <c r="A625" s="6">
        <v>40520</v>
      </c>
      <c r="B625" s="7">
        <v>3.0003</v>
      </c>
      <c r="C625" s="7">
        <v>3.8057</v>
      </c>
    </row>
    <row r="626" spans="1:3">
      <c r="A626" s="6">
        <v>40521</v>
      </c>
      <c r="B626" s="7">
        <v>3.0982</v>
      </c>
      <c r="C626" s="7">
        <v>3.9332</v>
      </c>
    </row>
    <row r="627" spans="1:3">
      <c r="A627" s="6">
        <v>40522</v>
      </c>
      <c r="B627" s="7">
        <v>3.1557</v>
      </c>
      <c r="C627" s="7">
        <v>3.9119</v>
      </c>
    </row>
    <row r="628" spans="1:3">
      <c r="A628" s="6">
        <v>40525</v>
      </c>
      <c r="B628" s="7">
        <v>3.1238</v>
      </c>
      <c r="C628" s="7">
        <v>3.825</v>
      </c>
    </row>
    <row r="629" spans="1:3">
      <c r="A629" s="6">
        <v>40526</v>
      </c>
      <c r="B629" s="7">
        <v>3.1015</v>
      </c>
      <c r="C629" s="7">
        <v>3.8563</v>
      </c>
    </row>
    <row r="630" spans="1:3">
      <c r="A630" s="6">
        <v>40527</v>
      </c>
      <c r="B630" s="7">
        <v>3.1338</v>
      </c>
      <c r="C630" s="7"/>
    </row>
    <row r="631" spans="1:3">
      <c r="A631" s="6">
        <v>40528</v>
      </c>
      <c r="B631" s="7">
        <v>3.15</v>
      </c>
      <c r="C631" s="7"/>
    </row>
    <row r="632" spans="1:3">
      <c r="A632" s="6">
        <v>40529</v>
      </c>
      <c r="B632" s="7">
        <v>3.1286</v>
      </c>
      <c r="C632" s="7">
        <v>3.831</v>
      </c>
    </row>
    <row r="633" spans="1:3">
      <c r="A633" s="6">
        <v>40532</v>
      </c>
      <c r="B633" s="7">
        <v>3.0517</v>
      </c>
      <c r="C633" s="7">
        <v>3.7436</v>
      </c>
    </row>
    <row r="634" spans="1:3">
      <c r="A634" s="6">
        <v>40533</v>
      </c>
      <c r="B634" s="7">
        <v>3.0451</v>
      </c>
      <c r="C634" s="7">
        <v>3.765</v>
      </c>
    </row>
    <row r="635" spans="1:3">
      <c r="A635" s="6">
        <v>40534</v>
      </c>
      <c r="B635" s="7">
        <v>3.08</v>
      </c>
      <c r="C635" s="7"/>
    </row>
    <row r="636" spans="1:3">
      <c r="A636" s="6">
        <v>40535</v>
      </c>
      <c r="B636" s="7">
        <v>3.1232</v>
      </c>
      <c r="C636" s="7">
        <v>3.82</v>
      </c>
    </row>
    <row r="637" spans="1:3">
      <c r="A637" s="6">
        <v>40536</v>
      </c>
      <c r="B637" s="7">
        <v>3.1956</v>
      </c>
      <c r="C637" s="7">
        <v>3.81</v>
      </c>
    </row>
    <row r="638" spans="1:3">
      <c r="A638" s="6">
        <v>40539</v>
      </c>
      <c r="B638" s="7">
        <v>3.2391</v>
      </c>
      <c r="C638" s="7"/>
    </row>
    <row r="639" spans="1:3">
      <c r="A639" s="6">
        <v>40540</v>
      </c>
      <c r="B639" s="7">
        <v>3.24</v>
      </c>
      <c r="C639" s="7"/>
    </row>
    <row r="640" spans="1:3">
      <c r="A640" s="6">
        <v>40541</v>
      </c>
      <c r="B640" s="7"/>
      <c r="C640" s="7">
        <v>3.84</v>
      </c>
    </row>
    <row r="641" spans="1:3">
      <c r="A641" s="6">
        <v>40542</v>
      </c>
      <c r="B641" s="7"/>
      <c r="C641" s="7">
        <v>3.84</v>
      </c>
    </row>
    <row r="642" spans="1:3">
      <c r="A642" s="6">
        <v>40543</v>
      </c>
      <c r="B642" s="7"/>
      <c r="C642" s="7">
        <v>3.7925</v>
      </c>
    </row>
    <row r="643" spans="1:3">
      <c r="A643" s="6">
        <v>40547</v>
      </c>
      <c r="B643" s="7">
        <v>3.1153</v>
      </c>
      <c r="C643" s="7">
        <v>3.7963</v>
      </c>
    </row>
    <row r="644" spans="1:3">
      <c r="A644" s="6">
        <v>40548</v>
      </c>
      <c r="B644" s="7">
        <v>3.128</v>
      </c>
      <c r="C644" s="7">
        <v>3.7973</v>
      </c>
    </row>
    <row r="645" spans="1:3">
      <c r="A645" s="6">
        <v>40549</v>
      </c>
      <c r="B645" s="7">
        <v>3.1575</v>
      </c>
      <c r="C645" s="7">
        <v>3.8716</v>
      </c>
    </row>
    <row r="646" spans="1:3">
      <c r="A646" s="6">
        <v>40550</v>
      </c>
      <c r="B646" s="7">
        <v>3.155</v>
      </c>
      <c r="C646" s="7">
        <v>3.892</v>
      </c>
    </row>
    <row r="647" spans="1:3">
      <c r="A647" s="6">
        <v>40553</v>
      </c>
      <c r="B647" s="7"/>
      <c r="C647" s="7">
        <v>3.8959</v>
      </c>
    </row>
    <row r="648" spans="1:3">
      <c r="A648" s="6">
        <v>40554</v>
      </c>
      <c r="B648" s="7">
        <v>3.1629</v>
      </c>
      <c r="C648" s="7">
        <v>4.0242</v>
      </c>
    </row>
    <row r="649" spans="1:3">
      <c r="A649" s="6">
        <v>40555</v>
      </c>
      <c r="B649" s="7">
        <v>3.1645</v>
      </c>
      <c r="C649" s="7">
        <v>3.9832</v>
      </c>
    </row>
    <row r="650" spans="1:3">
      <c r="A650" s="6">
        <v>40556</v>
      </c>
      <c r="B650" s="7">
        <v>3.2015</v>
      </c>
      <c r="C650" s="7">
        <v>4.0463</v>
      </c>
    </row>
    <row r="651" spans="1:3">
      <c r="A651" s="6">
        <v>40557</v>
      </c>
      <c r="B651" s="7">
        <v>3.251</v>
      </c>
      <c r="C651" s="7">
        <v>4.0355</v>
      </c>
    </row>
    <row r="652" spans="1:3">
      <c r="A652" s="6">
        <v>40560</v>
      </c>
      <c r="B652" s="7">
        <v>3.3636</v>
      </c>
      <c r="C652" s="7">
        <v>4.0793</v>
      </c>
    </row>
    <row r="653" spans="1:3">
      <c r="A653" s="6">
        <v>40561</v>
      </c>
      <c r="B653" s="7">
        <v>3.4301</v>
      </c>
      <c r="C653" s="7">
        <v>4.0633</v>
      </c>
    </row>
    <row r="654" spans="1:3">
      <c r="A654" s="6">
        <v>40562</v>
      </c>
      <c r="B654" s="7">
        <v>3.4839</v>
      </c>
      <c r="C654" s="7">
        <v>4.1063</v>
      </c>
    </row>
    <row r="655" spans="1:3">
      <c r="A655" s="6">
        <v>40563</v>
      </c>
      <c r="B655" s="7">
        <v>3.5805</v>
      </c>
      <c r="C655" s="7">
        <v>4.1145</v>
      </c>
    </row>
    <row r="656" spans="1:3">
      <c r="A656" s="6">
        <v>40564</v>
      </c>
      <c r="B656" s="7">
        <v>3.6318</v>
      </c>
      <c r="C656" s="7">
        <v>4.1258</v>
      </c>
    </row>
    <row r="657" spans="1:3">
      <c r="A657" s="6">
        <v>40567</v>
      </c>
      <c r="B657" s="7">
        <v>3.5942</v>
      </c>
      <c r="C657" s="7">
        <v>4.1</v>
      </c>
    </row>
    <row r="658" spans="1:3">
      <c r="A658" s="6">
        <v>40568</v>
      </c>
      <c r="B658" s="7">
        <v>3.6076</v>
      </c>
      <c r="C658" s="7">
        <v>4.1025</v>
      </c>
    </row>
    <row r="659" spans="1:3">
      <c r="A659" s="6">
        <v>40569</v>
      </c>
      <c r="B659" s="7">
        <v>3.6088</v>
      </c>
      <c r="C659" s="7">
        <v>4.094</v>
      </c>
    </row>
    <row r="660" spans="1:3">
      <c r="A660" s="6">
        <v>40570</v>
      </c>
      <c r="B660" s="7">
        <v>3.6391</v>
      </c>
      <c r="C660" s="7">
        <v>4.1748</v>
      </c>
    </row>
    <row r="661" spans="1:3">
      <c r="A661" s="6">
        <v>40571</v>
      </c>
      <c r="B661" s="7">
        <v>3.7169</v>
      </c>
      <c r="C661" s="7">
        <v>4.1906</v>
      </c>
    </row>
    <row r="662" spans="1:3">
      <c r="A662" s="6">
        <v>40574</v>
      </c>
      <c r="B662" s="7">
        <v>3.783</v>
      </c>
      <c r="C662" s="7">
        <v>4.224</v>
      </c>
    </row>
    <row r="663" spans="1:3">
      <c r="A663" s="6">
        <v>40575</v>
      </c>
      <c r="B663" s="7">
        <v>3.6702</v>
      </c>
      <c r="C663" s="7">
        <v>4.1617</v>
      </c>
    </row>
    <row r="664" spans="1:3">
      <c r="A664" s="6">
        <v>40583</v>
      </c>
      <c r="B664" s="7">
        <v>3.8831</v>
      </c>
      <c r="C664" s="7">
        <v>4.3713</v>
      </c>
    </row>
    <row r="665" spans="1:3">
      <c r="A665" s="6">
        <v>40584</v>
      </c>
      <c r="B665" s="7">
        <v>3.8717</v>
      </c>
      <c r="C665" s="7">
        <v>4.4126</v>
      </c>
    </row>
    <row r="666" spans="1:3">
      <c r="A666" s="6">
        <v>40585</v>
      </c>
      <c r="B666" s="7">
        <v>3.8401</v>
      </c>
      <c r="C666" s="7">
        <v>4.37</v>
      </c>
    </row>
    <row r="667" spans="1:3">
      <c r="A667" s="6">
        <v>40588</v>
      </c>
      <c r="B667" s="7">
        <v>3.755</v>
      </c>
      <c r="C667" s="7">
        <v>4.2922</v>
      </c>
    </row>
    <row r="668" spans="1:3">
      <c r="A668" s="6">
        <v>40589</v>
      </c>
      <c r="B668" s="7">
        <v>3.7841</v>
      </c>
      <c r="C668" s="7">
        <v>4.4069</v>
      </c>
    </row>
    <row r="669" spans="1:3">
      <c r="A669" s="6">
        <v>40590</v>
      </c>
      <c r="B669" s="7">
        <v>3.8493</v>
      </c>
      <c r="C669" s="7">
        <v>4.4894</v>
      </c>
    </row>
    <row r="670" spans="1:3">
      <c r="A670" s="6">
        <v>40591</v>
      </c>
      <c r="B670" s="7">
        <v>3.8464</v>
      </c>
      <c r="C670" s="7">
        <v>4.4638</v>
      </c>
    </row>
    <row r="671" spans="1:3">
      <c r="A671" s="6">
        <v>40592</v>
      </c>
      <c r="B671" s="7">
        <v>3.8332</v>
      </c>
      <c r="C671" s="7">
        <v>4.4175</v>
      </c>
    </row>
    <row r="672" spans="1:3">
      <c r="A672" s="6">
        <v>40595</v>
      </c>
      <c r="B672" s="7">
        <v>3.9855</v>
      </c>
      <c r="C672" s="7">
        <v>4.5257</v>
      </c>
    </row>
    <row r="673" spans="1:3">
      <c r="A673" s="6">
        <v>40596</v>
      </c>
      <c r="B673" s="7">
        <v>3.9536</v>
      </c>
      <c r="C673" s="7">
        <v>4.4413</v>
      </c>
    </row>
    <row r="674" spans="1:3">
      <c r="A674" s="6">
        <v>40597</v>
      </c>
      <c r="B674" s="7">
        <v>3.8377</v>
      </c>
      <c r="C674" s="7">
        <v>4.3224</v>
      </c>
    </row>
    <row r="675" spans="1:3">
      <c r="A675" s="6">
        <v>40598</v>
      </c>
      <c r="B675" s="7">
        <v>3.7513</v>
      </c>
      <c r="C675" s="7">
        <v>4.2391</v>
      </c>
    </row>
    <row r="676" spans="1:3">
      <c r="A676" s="6">
        <v>40599</v>
      </c>
      <c r="B676" s="7">
        <v>3.7129</v>
      </c>
      <c r="C676" s="7"/>
    </row>
    <row r="677" spans="1:3">
      <c r="A677" s="6">
        <v>40602</v>
      </c>
      <c r="B677" s="7">
        <v>3.7225</v>
      </c>
      <c r="C677" s="7">
        <v>4.1766</v>
      </c>
    </row>
    <row r="678" spans="1:3">
      <c r="A678" s="6">
        <v>40603</v>
      </c>
      <c r="B678" s="7"/>
      <c r="C678" s="7">
        <v>4.2226</v>
      </c>
    </row>
    <row r="679" spans="1:3">
      <c r="A679" s="6">
        <v>40604</v>
      </c>
      <c r="B679" s="7">
        <v>3.78</v>
      </c>
      <c r="C679" s="7">
        <v>4.2563</v>
      </c>
    </row>
    <row r="680" spans="1:3">
      <c r="A680" s="6">
        <v>40605</v>
      </c>
      <c r="B680" s="7">
        <v>3.772</v>
      </c>
      <c r="C680" s="7"/>
    </row>
    <row r="681" spans="1:3">
      <c r="A681" s="6">
        <v>40606</v>
      </c>
      <c r="B681" s="7">
        <v>3.7826</v>
      </c>
      <c r="C681" s="7">
        <v>4.23</v>
      </c>
    </row>
    <row r="682" spans="1:3">
      <c r="A682" s="6">
        <v>40609</v>
      </c>
      <c r="B682" s="7">
        <v>3.7086</v>
      </c>
      <c r="C682" s="7">
        <v>4.2033</v>
      </c>
    </row>
    <row r="683" spans="1:3">
      <c r="A683" s="6">
        <v>40610</v>
      </c>
      <c r="B683" s="7">
        <v>3.6003</v>
      </c>
      <c r="C683" s="7">
        <v>4.1084</v>
      </c>
    </row>
    <row r="684" spans="1:3">
      <c r="A684" s="6">
        <v>40611</v>
      </c>
      <c r="B684" s="7">
        <v>3.4498</v>
      </c>
      <c r="C684" s="7">
        <v>4.0275</v>
      </c>
    </row>
    <row r="685" spans="1:3">
      <c r="A685" s="6">
        <v>40612</v>
      </c>
      <c r="B685" s="7">
        <v>3.4703</v>
      </c>
      <c r="C685" s="7">
        <v>4.0576</v>
      </c>
    </row>
    <row r="686" spans="1:3">
      <c r="A686" s="6">
        <v>40613</v>
      </c>
      <c r="B686" s="7">
        <v>3.4194</v>
      </c>
      <c r="C686" s="7">
        <v>4.0997</v>
      </c>
    </row>
    <row r="687" spans="1:3">
      <c r="A687" s="6">
        <v>40616</v>
      </c>
      <c r="B687" s="7">
        <v>3.3207</v>
      </c>
      <c r="C687" s="7">
        <v>3.9884</v>
      </c>
    </row>
    <row r="688" spans="1:3">
      <c r="A688" s="6">
        <v>40617</v>
      </c>
      <c r="B688" s="7">
        <v>3.3237</v>
      </c>
      <c r="C688" s="7">
        <v>3.9124</v>
      </c>
    </row>
    <row r="689" spans="1:3">
      <c r="A689" s="6">
        <v>40618</v>
      </c>
      <c r="B689" s="7">
        <v>3.2595</v>
      </c>
      <c r="C689" s="7">
        <v>3.9234</v>
      </c>
    </row>
    <row r="690" spans="1:3">
      <c r="A690" s="6">
        <v>40619</v>
      </c>
      <c r="B690" s="7">
        <v>3.2352</v>
      </c>
      <c r="C690" s="7">
        <v>3.9045</v>
      </c>
    </row>
    <row r="691" spans="1:3">
      <c r="A691" s="6">
        <v>40620</v>
      </c>
      <c r="B691" s="7">
        <v>3.2108</v>
      </c>
      <c r="C691" s="7">
        <v>3.8855</v>
      </c>
    </row>
    <row r="692" spans="1:3">
      <c r="A692" s="6">
        <v>40623</v>
      </c>
      <c r="B692" s="7">
        <v>3.3453</v>
      </c>
      <c r="C692" s="7">
        <v>3.9906</v>
      </c>
    </row>
    <row r="693" spans="1:3">
      <c r="A693" s="6">
        <v>40624</v>
      </c>
      <c r="B693" s="7">
        <v>3.407</v>
      </c>
      <c r="C693" s="7">
        <v>4.0611</v>
      </c>
    </row>
    <row r="694" spans="1:3">
      <c r="A694" s="6">
        <v>40625</v>
      </c>
      <c r="B694" s="7">
        <v>3.3215</v>
      </c>
      <c r="C694" s="7">
        <v>4.016</v>
      </c>
    </row>
    <row r="695" spans="1:3">
      <c r="A695" s="6">
        <v>40626</v>
      </c>
      <c r="B695" s="7">
        <v>3.2689</v>
      </c>
      <c r="C695" s="7">
        <v>3.9643</v>
      </c>
    </row>
    <row r="696" spans="1:3">
      <c r="A696" s="6">
        <v>40627</v>
      </c>
      <c r="B696" s="7">
        <v>3.3216</v>
      </c>
      <c r="C696" s="7">
        <v>3.9518</v>
      </c>
    </row>
    <row r="697" spans="1:3">
      <c r="A697" s="6">
        <v>40630</v>
      </c>
      <c r="B697" s="7">
        <v>3.2573</v>
      </c>
      <c r="C697" s="7">
        <v>3.94</v>
      </c>
    </row>
    <row r="698" spans="1:3">
      <c r="A698" s="6">
        <v>40631</v>
      </c>
      <c r="B698" s="7">
        <v>3.2713</v>
      </c>
      <c r="C698" s="7">
        <v>4.0325</v>
      </c>
    </row>
    <row r="699" spans="1:3">
      <c r="A699" s="6">
        <v>40632</v>
      </c>
      <c r="B699" s="7">
        <v>3.3088</v>
      </c>
      <c r="C699" s="7">
        <v>4.0625</v>
      </c>
    </row>
    <row r="700" spans="1:3">
      <c r="A700" s="6">
        <v>40633</v>
      </c>
      <c r="B700" s="7">
        <v>3.3436</v>
      </c>
      <c r="C700" s="7">
        <v>4.1031</v>
      </c>
    </row>
    <row r="701" spans="1:3">
      <c r="A701" s="6">
        <v>40634</v>
      </c>
      <c r="B701" s="7">
        <v>3.3312</v>
      </c>
      <c r="C701" s="7">
        <v>4.0873</v>
      </c>
    </row>
    <row r="702" spans="1:3">
      <c r="A702" s="6">
        <v>40639</v>
      </c>
      <c r="B702" s="7">
        <v>3.4019</v>
      </c>
      <c r="C702" s="7">
        <v>4.1055</v>
      </c>
    </row>
    <row r="703" spans="1:3">
      <c r="A703" s="6">
        <v>40640</v>
      </c>
      <c r="B703" s="7">
        <v>3.3268</v>
      </c>
      <c r="C703" s="7">
        <v>4.0588</v>
      </c>
    </row>
    <row r="704" spans="1:3">
      <c r="A704" s="6">
        <v>40641</v>
      </c>
      <c r="B704" s="7">
        <v>3.3625</v>
      </c>
      <c r="C704" s="7">
        <v>4.1</v>
      </c>
    </row>
    <row r="705" spans="1:3">
      <c r="A705" s="6">
        <v>40644</v>
      </c>
      <c r="B705" s="7">
        <v>3.3517</v>
      </c>
      <c r="C705" s="7">
        <v>4.0775</v>
      </c>
    </row>
    <row r="706" spans="1:3">
      <c r="A706" s="6">
        <v>40645</v>
      </c>
      <c r="B706" s="7">
        <v>3.3281</v>
      </c>
      <c r="C706" s="7">
        <v>4.025</v>
      </c>
    </row>
    <row r="707" spans="1:3">
      <c r="A707" s="6">
        <v>40646</v>
      </c>
      <c r="B707" s="7">
        <v>3.3118</v>
      </c>
      <c r="C707" s="7">
        <v>4.024</v>
      </c>
    </row>
    <row r="708" spans="1:3">
      <c r="A708" s="6">
        <v>40647</v>
      </c>
      <c r="B708" s="7">
        <v>3.351</v>
      </c>
      <c r="C708" s="7">
        <v>3.9652</v>
      </c>
    </row>
    <row r="709" spans="1:3">
      <c r="A709" s="6">
        <v>40648</v>
      </c>
      <c r="B709" s="7">
        <v>3.37</v>
      </c>
      <c r="C709" s="7">
        <v>4.0697</v>
      </c>
    </row>
    <row r="710" spans="1:3">
      <c r="A710" s="6">
        <v>40651</v>
      </c>
      <c r="B710" s="7">
        <v>3.385</v>
      </c>
      <c r="C710" s="7">
        <v>4.01</v>
      </c>
    </row>
    <row r="711" spans="1:3">
      <c r="A711" s="6">
        <v>40652</v>
      </c>
      <c r="B711" s="7">
        <v>3.377</v>
      </c>
      <c r="C711" s="7">
        <v>4.0575</v>
      </c>
    </row>
    <row r="712" spans="1:3">
      <c r="A712" s="6">
        <v>40653</v>
      </c>
      <c r="B712" s="7">
        <v>3.4114</v>
      </c>
      <c r="C712" s="7">
        <v>4.0525</v>
      </c>
    </row>
    <row r="713" spans="1:3">
      <c r="A713" s="6">
        <v>40654</v>
      </c>
      <c r="B713" s="7">
        <v>3.4498</v>
      </c>
      <c r="C713" s="7">
        <v>4.0803</v>
      </c>
    </row>
    <row r="714" spans="1:3">
      <c r="A714" s="6">
        <v>40655</v>
      </c>
      <c r="B714" s="7">
        <v>3.4196</v>
      </c>
      <c r="C714" s="7">
        <v>4.0693</v>
      </c>
    </row>
    <row r="715" spans="1:3">
      <c r="A715" s="6">
        <v>40658</v>
      </c>
      <c r="B715" s="7">
        <v>3.4464</v>
      </c>
      <c r="C715" s="7">
        <v>4.0375</v>
      </c>
    </row>
    <row r="716" spans="1:3">
      <c r="A716" s="6">
        <v>40659</v>
      </c>
      <c r="B716" s="7">
        <v>3.4364</v>
      </c>
      <c r="C716" s="7">
        <v>4.0643</v>
      </c>
    </row>
    <row r="717" spans="1:3">
      <c r="A717" s="6">
        <v>40660</v>
      </c>
      <c r="B717" s="7">
        <v>3.4043</v>
      </c>
      <c r="C717" s="7"/>
    </row>
    <row r="718" spans="1:3">
      <c r="A718" s="6">
        <v>40661</v>
      </c>
      <c r="B718" s="7">
        <v>3.4126</v>
      </c>
      <c r="C718" s="7">
        <v>4.0413</v>
      </c>
    </row>
    <row r="719" spans="1:3">
      <c r="A719" s="6">
        <v>40662</v>
      </c>
      <c r="B719" s="7">
        <v>3.486</v>
      </c>
      <c r="C719" s="7">
        <v>4.0411</v>
      </c>
    </row>
    <row r="720" spans="1:3">
      <c r="A720" s="6">
        <v>40666</v>
      </c>
      <c r="B720" s="7">
        <v>3.4357</v>
      </c>
      <c r="C720" s="7">
        <v>4.035</v>
      </c>
    </row>
    <row r="721" spans="1:3">
      <c r="A721" s="6">
        <v>40667</v>
      </c>
      <c r="B721" s="7">
        <v>3.4436</v>
      </c>
      <c r="C721" s="7">
        <v>4.0375</v>
      </c>
    </row>
    <row r="722" spans="1:3">
      <c r="A722" s="6">
        <v>40668</v>
      </c>
      <c r="B722" s="7">
        <v>3.459</v>
      </c>
      <c r="C722" s="7">
        <v>4.0517</v>
      </c>
    </row>
    <row r="723" spans="1:3">
      <c r="A723" s="6">
        <v>40669</v>
      </c>
      <c r="B723" s="7">
        <v>3.4363</v>
      </c>
      <c r="C723" s="7">
        <v>4.0069</v>
      </c>
    </row>
    <row r="724" spans="1:3">
      <c r="A724" s="6">
        <v>40672</v>
      </c>
      <c r="B724" s="7">
        <v>3.425</v>
      </c>
      <c r="C724" s="7">
        <v>3.98</v>
      </c>
    </row>
    <row r="725" spans="1:3">
      <c r="A725" s="6">
        <v>40673</v>
      </c>
      <c r="B725" s="7">
        <v>3.421</v>
      </c>
      <c r="C725" s="7">
        <v>4.0057</v>
      </c>
    </row>
    <row r="726" spans="1:3">
      <c r="A726" s="6">
        <v>40674</v>
      </c>
      <c r="B726" s="7">
        <v>3.4353</v>
      </c>
      <c r="C726" s="7">
        <v>3.999</v>
      </c>
    </row>
    <row r="727" spans="1:3">
      <c r="A727" s="6">
        <v>40675</v>
      </c>
      <c r="B727" s="7">
        <v>3.4438</v>
      </c>
      <c r="C727" s="7">
        <v>3.9499</v>
      </c>
    </row>
    <row r="728" spans="1:3">
      <c r="A728" s="6">
        <v>40676</v>
      </c>
      <c r="B728" s="7">
        <v>3.4523</v>
      </c>
      <c r="C728" s="7">
        <v>3.9009</v>
      </c>
    </row>
    <row r="729" spans="1:3">
      <c r="A729" s="6">
        <v>40679</v>
      </c>
      <c r="B729" s="7">
        <v>3.495</v>
      </c>
      <c r="C729" s="7">
        <v>3.8688</v>
      </c>
    </row>
    <row r="730" spans="1:3">
      <c r="A730" s="6">
        <v>40680</v>
      </c>
      <c r="B730" s="7">
        <v>3.4777</v>
      </c>
      <c r="C730" s="7">
        <v>3.9025</v>
      </c>
    </row>
    <row r="731" spans="1:3">
      <c r="A731" s="6">
        <v>40681</v>
      </c>
      <c r="B731" s="7">
        <v>3.4574</v>
      </c>
      <c r="C731" s="7">
        <v>3.903</v>
      </c>
    </row>
    <row r="732" spans="1:3">
      <c r="A732" s="6">
        <v>40682</v>
      </c>
      <c r="B732" s="7">
        <v>3.4705</v>
      </c>
      <c r="C732" s="7">
        <v>3.9438</v>
      </c>
    </row>
    <row r="733" spans="1:3">
      <c r="A733" s="6">
        <v>40683</v>
      </c>
      <c r="B733" s="7">
        <v>3.5554</v>
      </c>
      <c r="C733" s="7">
        <v>3.9456</v>
      </c>
    </row>
    <row r="734" spans="1:3">
      <c r="A734" s="6">
        <v>40686</v>
      </c>
      <c r="B734" s="7">
        <v>3.5388</v>
      </c>
      <c r="C734" s="7">
        <v>3.881</v>
      </c>
    </row>
    <row r="735" spans="1:3">
      <c r="A735" s="6">
        <v>40687</v>
      </c>
      <c r="B735" s="7">
        <v>3.4905</v>
      </c>
      <c r="C735" s="7">
        <v>3.8516</v>
      </c>
    </row>
    <row r="736" spans="1:3">
      <c r="A736" s="6">
        <v>40688</v>
      </c>
      <c r="B736" s="7">
        <v>3.4993</v>
      </c>
      <c r="C736" s="7">
        <v>3.8278</v>
      </c>
    </row>
    <row r="737" spans="1:3">
      <c r="A737" s="6">
        <v>40689</v>
      </c>
      <c r="B737" s="7">
        <v>3.4896</v>
      </c>
      <c r="C737" s="7">
        <v>3.8444</v>
      </c>
    </row>
    <row r="738" spans="1:3">
      <c r="A738" s="6">
        <v>40690</v>
      </c>
      <c r="B738" s="7">
        <v>3.4421</v>
      </c>
      <c r="C738" s="7"/>
    </row>
    <row r="739" spans="1:3">
      <c r="A739" s="6">
        <v>40693</v>
      </c>
      <c r="B739" s="7">
        <v>3.4141</v>
      </c>
      <c r="C739" s="7">
        <v>3.81</v>
      </c>
    </row>
    <row r="740" spans="1:3">
      <c r="A740" s="6">
        <v>40694</v>
      </c>
      <c r="B740" s="7">
        <v>3.4588</v>
      </c>
      <c r="C740" s="7">
        <v>3.8663</v>
      </c>
    </row>
    <row r="741" spans="1:3">
      <c r="A741" s="6">
        <v>40695</v>
      </c>
      <c r="B741" s="7">
        <v>3.4617</v>
      </c>
      <c r="C741" s="7">
        <v>3.8715</v>
      </c>
    </row>
    <row r="742" spans="1:3">
      <c r="A742" s="6">
        <v>40696</v>
      </c>
      <c r="B742" s="7">
        <v>3.456</v>
      </c>
      <c r="C742" s="7">
        <v>3.8379</v>
      </c>
    </row>
    <row r="743" spans="1:3">
      <c r="A743" s="6">
        <v>40697</v>
      </c>
      <c r="B743" s="7">
        <v>3.43</v>
      </c>
      <c r="C743" s="7">
        <v>3.815</v>
      </c>
    </row>
    <row r="744" spans="1:3">
      <c r="A744" s="6">
        <v>40701</v>
      </c>
      <c r="B744" s="7">
        <v>3.4147</v>
      </c>
      <c r="C744" s="7">
        <v>3.8075</v>
      </c>
    </row>
    <row r="745" spans="1:3">
      <c r="A745" s="6">
        <v>40702</v>
      </c>
      <c r="B745" s="7">
        <v>3.4712</v>
      </c>
      <c r="C745" s="7">
        <v>3.8273</v>
      </c>
    </row>
    <row r="746" spans="1:3">
      <c r="A746" s="6">
        <v>40703</v>
      </c>
      <c r="B746" s="7">
        <v>3.4807</v>
      </c>
      <c r="C746" s="7">
        <v>3.8435</v>
      </c>
    </row>
    <row r="747" spans="1:3">
      <c r="A747" s="6">
        <v>40704</v>
      </c>
      <c r="B747" s="7">
        <v>3.4881</v>
      </c>
      <c r="C747" s="7">
        <v>3.8267</v>
      </c>
    </row>
    <row r="748" spans="1:3">
      <c r="A748" s="6">
        <v>40707</v>
      </c>
      <c r="B748" s="7">
        <v>3.4915</v>
      </c>
      <c r="C748" s="7">
        <v>3.7978</v>
      </c>
    </row>
    <row r="749" spans="1:3">
      <c r="A749" s="6">
        <v>40708</v>
      </c>
      <c r="B749" s="7">
        <v>3.5499</v>
      </c>
      <c r="C749" s="7">
        <v>3.79</v>
      </c>
    </row>
    <row r="750" spans="1:3">
      <c r="A750" s="6">
        <v>40709</v>
      </c>
      <c r="B750" s="7">
        <v>3.722</v>
      </c>
      <c r="C750" s="7">
        <v>3.9256</v>
      </c>
    </row>
    <row r="751" spans="1:3">
      <c r="A751" s="6">
        <v>40710</v>
      </c>
      <c r="B751" s="7">
        <v>3.841</v>
      </c>
      <c r="C751" s="7">
        <v>3.9722</v>
      </c>
    </row>
    <row r="752" spans="1:3">
      <c r="A752" s="6">
        <v>40711</v>
      </c>
      <c r="B752" s="7">
        <v>3.8149</v>
      </c>
      <c r="C752" s="7">
        <v>3.8927</v>
      </c>
    </row>
    <row r="753" spans="1:3">
      <c r="A753" s="6">
        <v>40714</v>
      </c>
      <c r="B753" s="7">
        <v>3.8001</v>
      </c>
      <c r="C753" s="7">
        <v>3.8895</v>
      </c>
    </row>
    <row r="754" spans="1:3">
      <c r="A754" s="6">
        <v>40715</v>
      </c>
      <c r="B754" s="7">
        <v>3.8184</v>
      </c>
      <c r="C754" s="7">
        <v>3.9342</v>
      </c>
    </row>
    <row r="755" spans="1:3">
      <c r="A755" s="6">
        <v>40716</v>
      </c>
      <c r="B755" s="7">
        <v>3.9166</v>
      </c>
      <c r="C755" s="7">
        <v>4.0014</v>
      </c>
    </row>
    <row r="756" spans="1:3">
      <c r="A756" s="6">
        <v>40717</v>
      </c>
      <c r="B756" s="7">
        <v>3.9808</v>
      </c>
      <c r="C756" s="7">
        <v>4.0513</v>
      </c>
    </row>
    <row r="757" spans="1:3">
      <c r="A757" s="6">
        <v>40718</v>
      </c>
      <c r="B757" s="7">
        <v>3.8624</v>
      </c>
      <c r="C757" s="7">
        <v>3.9509</v>
      </c>
    </row>
    <row r="758" spans="1:3">
      <c r="A758" s="6">
        <v>40721</v>
      </c>
      <c r="B758" s="7">
        <v>3.7602</v>
      </c>
      <c r="C758" s="7">
        <v>3.8758</v>
      </c>
    </row>
    <row r="759" spans="1:3">
      <c r="A759" s="6">
        <v>40722</v>
      </c>
      <c r="B759" s="7">
        <v>3.7509</v>
      </c>
      <c r="C759" s="7">
        <v>3.9216</v>
      </c>
    </row>
    <row r="760" spans="1:3">
      <c r="A760" s="6">
        <v>40723</v>
      </c>
      <c r="B760" s="7">
        <v>3.8032</v>
      </c>
      <c r="C760" s="7">
        <v>3.99</v>
      </c>
    </row>
    <row r="761" spans="1:3">
      <c r="A761" s="6">
        <v>40724</v>
      </c>
      <c r="B761" s="7">
        <v>3.856</v>
      </c>
      <c r="C761" s="7">
        <v>4.0689</v>
      </c>
    </row>
    <row r="762" spans="1:3">
      <c r="A762" s="6">
        <v>40725</v>
      </c>
      <c r="B762" s="7">
        <v>3.8008</v>
      </c>
      <c r="C762" s="7">
        <v>4.0469</v>
      </c>
    </row>
    <row r="763" spans="1:3">
      <c r="A763" s="6">
        <v>40728</v>
      </c>
      <c r="B763" s="7">
        <v>3.7765</v>
      </c>
      <c r="C763" s="7">
        <v>4.0671</v>
      </c>
    </row>
    <row r="764" spans="1:3">
      <c r="A764" s="6">
        <v>40729</v>
      </c>
      <c r="B764" s="7">
        <v>3.8351</v>
      </c>
      <c r="C764" s="7">
        <v>4.1075</v>
      </c>
    </row>
    <row r="765" spans="1:3">
      <c r="A765" s="6">
        <v>40730</v>
      </c>
      <c r="B765" s="7">
        <v>3.8698</v>
      </c>
      <c r="C765" s="7">
        <v>4.1284</v>
      </c>
    </row>
    <row r="766" spans="1:3">
      <c r="A766" s="6">
        <v>40731</v>
      </c>
      <c r="B766" s="7">
        <v>3.8956</v>
      </c>
      <c r="C766" s="7">
        <v>4.1494</v>
      </c>
    </row>
    <row r="767" spans="1:3">
      <c r="A767" s="6">
        <v>40732</v>
      </c>
      <c r="B767" s="7">
        <v>3.8414</v>
      </c>
      <c r="C767" s="7">
        <v>4.1203</v>
      </c>
    </row>
    <row r="768" spans="1:3">
      <c r="A768" s="6">
        <v>40735</v>
      </c>
      <c r="B768" s="7">
        <v>3.8023</v>
      </c>
      <c r="C768" s="7">
        <v>4.0429</v>
      </c>
    </row>
    <row r="769" spans="1:3">
      <c r="A769" s="6">
        <v>40736</v>
      </c>
      <c r="B769" s="7">
        <v>3.8121</v>
      </c>
      <c r="C769" s="7">
        <v>3.9824</v>
      </c>
    </row>
    <row r="770" spans="1:3">
      <c r="A770" s="6">
        <v>40737</v>
      </c>
      <c r="B770" s="7">
        <v>3.77</v>
      </c>
      <c r="C770" s="7">
        <v>3.9876</v>
      </c>
    </row>
    <row r="771" spans="1:3">
      <c r="A771" s="6">
        <v>40738</v>
      </c>
      <c r="B771" s="7">
        <v>3.8494</v>
      </c>
      <c r="C771" s="7">
        <v>4.0475</v>
      </c>
    </row>
    <row r="772" spans="1:3">
      <c r="A772" s="6">
        <v>40739</v>
      </c>
      <c r="B772" s="7">
        <v>3.8359</v>
      </c>
      <c r="C772" s="7">
        <v>4.0366</v>
      </c>
    </row>
    <row r="773" spans="1:3">
      <c r="A773" s="6">
        <v>40742</v>
      </c>
      <c r="B773" s="7">
        <v>3.8585</v>
      </c>
      <c r="C773" s="7">
        <v>4.0196</v>
      </c>
    </row>
    <row r="774" spans="1:3">
      <c r="A774" s="6">
        <v>40743</v>
      </c>
      <c r="B774" s="7">
        <v>3.9383</v>
      </c>
      <c r="C774" s="7">
        <v>4.0826</v>
      </c>
    </row>
    <row r="775" spans="1:3">
      <c r="A775" s="6">
        <v>40744</v>
      </c>
      <c r="B775" s="7">
        <v>4.0374</v>
      </c>
      <c r="C775" s="7">
        <v>4.1684</v>
      </c>
    </row>
    <row r="776" spans="1:3">
      <c r="A776" s="6">
        <v>40745</v>
      </c>
      <c r="B776" s="7">
        <v>4.1932</v>
      </c>
      <c r="C776" s="7">
        <v>4.2346</v>
      </c>
    </row>
    <row r="777" spans="1:3">
      <c r="A777" s="6">
        <v>40746</v>
      </c>
      <c r="B777" s="7">
        <v>4.2396</v>
      </c>
      <c r="C777" s="7">
        <v>4.2246</v>
      </c>
    </row>
    <row r="778" spans="1:3">
      <c r="A778" s="6">
        <v>40749</v>
      </c>
      <c r="B778" s="7">
        <v>4.1957</v>
      </c>
      <c r="C778" s="7">
        <v>4.2095</v>
      </c>
    </row>
    <row r="779" spans="1:3">
      <c r="A779" s="6">
        <v>40750</v>
      </c>
      <c r="B779" s="7">
        <v>4.2323</v>
      </c>
      <c r="C779" s="7"/>
    </row>
    <row r="780" spans="1:3">
      <c r="A780" s="6">
        <v>40751</v>
      </c>
      <c r="B780" s="7">
        <v>4.2417</v>
      </c>
      <c r="C780" s="7">
        <v>4.2486</v>
      </c>
    </row>
    <row r="781" spans="1:3">
      <c r="A781" s="6">
        <v>40752</v>
      </c>
      <c r="B781" s="7">
        <v>4.2255</v>
      </c>
      <c r="C781" s="7">
        <v>4.2333</v>
      </c>
    </row>
    <row r="782" spans="1:3">
      <c r="A782" s="6">
        <v>40753</v>
      </c>
      <c r="B782" s="7">
        <v>4.1809</v>
      </c>
      <c r="C782" s="7">
        <v>4.1815</v>
      </c>
    </row>
    <row r="783" spans="1:3">
      <c r="A783" s="6">
        <v>40756</v>
      </c>
      <c r="B783" s="7">
        <v>4.1699</v>
      </c>
      <c r="C783" s="7">
        <v>4.1726</v>
      </c>
    </row>
    <row r="784" spans="1:3">
      <c r="A784" s="6">
        <v>40757</v>
      </c>
      <c r="B784" s="7">
        <v>4.1533</v>
      </c>
      <c r="C784" s="7">
        <v>4.1637</v>
      </c>
    </row>
    <row r="785" spans="1:3">
      <c r="A785" s="6">
        <v>40758</v>
      </c>
      <c r="B785" s="7">
        <v>4.1156</v>
      </c>
      <c r="C785" s="7">
        <v>4.0846</v>
      </c>
    </row>
    <row r="786" spans="1:3">
      <c r="A786" s="6">
        <v>40759</v>
      </c>
      <c r="B786" s="7">
        <v>4.0054</v>
      </c>
      <c r="C786" s="7">
        <v>3.989</v>
      </c>
    </row>
    <row r="787" spans="1:3">
      <c r="A787" s="6">
        <v>40760</v>
      </c>
      <c r="B787" s="7">
        <v>3.8952</v>
      </c>
      <c r="C787" s="7">
        <v>3.8953</v>
      </c>
    </row>
    <row r="788" spans="1:3">
      <c r="A788" s="6">
        <v>40763</v>
      </c>
      <c r="B788" s="7">
        <v>3.7454</v>
      </c>
      <c r="C788" s="7">
        <v>3.8534</v>
      </c>
    </row>
    <row r="789" spans="1:3">
      <c r="A789" s="6">
        <v>40764</v>
      </c>
      <c r="B789" s="7">
        <v>3.68</v>
      </c>
      <c r="C789" s="7">
        <v>3.8194</v>
      </c>
    </row>
    <row r="790" spans="1:3">
      <c r="A790" s="6">
        <v>40765</v>
      </c>
      <c r="B790" s="7">
        <v>3.7246</v>
      </c>
      <c r="C790" s="7">
        <v>3.866</v>
      </c>
    </row>
    <row r="791" spans="1:3">
      <c r="A791" s="6">
        <v>40766</v>
      </c>
      <c r="B791" s="7">
        <v>3.5882</v>
      </c>
      <c r="C791" s="7">
        <v>3.7101</v>
      </c>
    </row>
    <row r="792" spans="1:3">
      <c r="A792" s="6">
        <v>40767</v>
      </c>
      <c r="B792" s="7">
        <v>3.6034</v>
      </c>
      <c r="C792" s="7">
        <v>3.7733</v>
      </c>
    </row>
    <row r="793" spans="1:3">
      <c r="A793" s="6">
        <v>40770</v>
      </c>
      <c r="B793" s="7">
        <v>3.6162</v>
      </c>
      <c r="C793" s="7">
        <v>3.7527</v>
      </c>
    </row>
    <row r="794" spans="1:3">
      <c r="A794" s="6">
        <v>40771</v>
      </c>
      <c r="B794" s="7">
        <v>3.7212</v>
      </c>
      <c r="C794" s="7">
        <v>3.8729</v>
      </c>
    </row>
    <row r="795" spans="1:3">
      <c r="A795" s="6">
        <v>40772</v>
      </c>
      <c r="B795" s="7">
        <v>3.7405</v>
      </c>
      <c r="C795" s="7">
        <v>3.8414</v>
      </c>
    </row>
    <row r="796" spans="1:3">
      <c r="A796" s="6">
        <v>40773</v>
      </c>
      <c r="B796" s="7">
        <v>3.7526</v>
      </c>
      <c r="C796" s="7">
        <v>3.8415</v>
      </c>
    </row>
    <row r="797" spans="1:3">
      <c r="A797" s="6">
        <v>40774</v>
      </c>
      <c r="B797" s="7">
        <v>3.7031</v>
      </c>
      <c r="C797" s="7">
        <v>3.6605</v>
      </c>
    </row>
    <row r="798" spans="1:3">
      <c r="A798" s="6">
        <v>40777</v>
      </c>
      <c r="B798" s="7">
        <v>3.7769</v>
      </c>
      <c r="C798" s="7">
        <v>3.7467</v>
      </c>
    </row>
    <row r="799" spans="1:3">
      <c r="A799" s="6">
        <v>40778</v>
      </c>
      <c r="B799" s="7">
        <v>3.8228</v>
      </c>
      <c r="C799" s="7">
        <v>3.7663</v>
      </c>
    </row>
    <row r="800" spans="1:3">
      <c r="A800" s="6">
        <v>40779</v>
      </c>
      <c r="B800" s="7">
        <v>3.8053</v>
      </c>
      <c r="C800" s="7">
        <v>3.7467</v>
      </c>
    </row>
    <row r="801" spans="1:3">
      <c r="A801" s="6">
        <v>40780</v>
      </c>
      <c r="B801" s="7">
        <v>3.8158</v>
      </c>
      <c r="C801" s="7">
        <v>3.7811</v>
      </c>
    </row>
    <row r="802" spans="1:3">
      <c r="A802" s="6">
        <v>40781</v>
      </c>
      <c r="B802" s="7">
        <v>3.8933</v>
      </c>
      <c r="C802" s="7">
        <v>3.8466</v>
      </c>
    </row>
    <row r="803" spans="1:3">
      <c r="A803" s="6">
        <v>40784</v>
      </c>
      <c r="B803" s="7">
        <v>4.1739</v>
      </c>
      <c r="C803" s="7">
        <v>4.01</v>
      </c>
    </row>
    <row r="804" spans="1:3">
      <c r="A804" s="6">
        <v>40785</v>
      </c>
      <c r="B804" s="7">
        <v>4.4228</v>
      </c>
      <c r="C804" s="7">
        <v>4.0819</v>
      </c>
    </row>
    <row r="805" spans="1:3">
      <c r="A805" s="6">
        <v>40786</v>
      </c>
      <c r="B805" s="7">
        <v>4.405</v>
      </c>
      <c r="C805" s="7">
        <v>4.0692</v>
      </c>
    </row>
    <row r="806" spans="1:3">
      <c r="A806" s="6">
        <v>40791</v>
      </c>
      <c r="B806" s="7">
        <v>4.3001</v>
      </c>
      <c r="C806" s="7">
        <v>3.8177</v>
      </c>
    </row>
    <row r="807" spans="1:3">
      <c r="A807" s="6">
        <v>40792</v>
      </c>
      <c r="B807" s="7">
        <v>4.2707</v>
      </c>
      <c r="C807" s="7">
        <v>3.7144</v>
      </c>
    </row>
    <row r="808" spans="1:3">
      <c r="A808" s="6">
        <v>40793</v>
      </c>
      <c r="B808" s="7">
        <v>4.2812</v>
      </c>
      <c r="C808" s="7">
        <v>3.7727</v>
      </c>
    </row>
    <row r="809" spans="1:3">
      <c r="A809" s="6">
        <v>40794</v>
      </c>
      <c r="B809" s="7">
        <v>4.3038</v>
      </c>
      <c r="C809" s="7">
        <v>3.8189</v>
      </c>
    </row>
    <row r="810" spans="1:3">
      <c r="A810" s="6">
        <v>40795</v>
      </c>
      <c r="B810" s="7">
        <v>4.2561</v>
      </c>
      <c r="C810" s="7"/>
    </row>
    <row r="811" spans="1:3">
      <c r="A811" s="6">
        <v>40799</v>
      </c>
      <c r="B811" s="7">
        <v>4.1557</v>
      </c>
      <c r="C811" s="7"/>
    </row>
    <row r="812" spans="1:3">
      <c r="A812" s="6">
        <v>40800</v>
      </c>
      <c r="B812" s="7">
        <v>4.0753</v>
      </c>
      <c r="C812" s="7">
        <v>3.7014</v>
      </c>
    </row>
    <row r="813" spans="1:3">
      <c r="A813" s="6">
        <v>40801</v>
      </c>
      <c r="B813" s="7">
        <v>4.1461</v>
      </c>
      <c r="C813" s="7">
        <v>3.724</v>
      </c>
    </row>
    <row r="814" spans="1:3">
      <c r="A814" s="6">
        <v>40802</v>
      </c>
      <c r="B814" s="7">
        <v>4.2298</v>
      </c>
      <c r="C814" s="7">
        <v>3.8125</v>
      </c>
    </row>
    <row r="815" spans="1:3">
      <c r="A815" s="6">
        <v>40805</v>
      </c>
      <c r="B815" s="7">
        <v>4.259</v>
      </c>
      <c r="C815" s="7">
        <v>3.7925</v>
      </c>
    </row>
    <row r="816" spans="1:3">
      <c r="A816" s="6">
        <v>40806</v>
      </c>
      <c r="B816" s="7">
        <v>4.214</v>
      </c>
      <c r="C816" s="7">
        <v>3.79</v>
      </c>
    </row>
    <row r="817" spans="1:3">
      <c r="A817" s="6">
        <v>40807</v>
      </c>
      <c r="B817" s="7">
        <v>4.1626</v>
      </c>
      <c r="C817" s="7">
        <v>3.76</v>
      </c>
    </row>
    <row r="818" spans="1:3">
      <c r="A818" s="6">
        <v>40808</v>
      </c>
      <c r="B818" s="7">
        <v>4.0673</v>
      </c>
      <c r="C818" s="7">
        <v>3.7003</v>
      </c>
    </row>
    <row r="819" spans="1:3">
      <c r="A819" s="6">
        <v>40809</v>
      </c>
      <c r="B819" s="7">
        <v>3.9146</v>
      </c>
      <c r="C819" s="7">
        <v>3.6763</v>
      </c>
    </row>
    <row r="820" spans="1:3">
      <c r="A820" s="6">
        <v>40812</v>
      </c>
      <c r="B820" s="7">
        <v>3.8224</v>
      </c>
      <c r="C820" s="7">
        <v>3.62</v>
      </c>
    </row>
    <row r="821" spans="1:3">
      <c r="A821" s="6">
        <v>40813</v>
      </c>
      <c r="B821" s="7">
        <v>3.8409</v>
      </c>
      <c r="C821" s="7">
        <v>3.6854</v>
      </c>
    </row>
    <row r="822" spans="1:3">
      <c r="A822" s="6">
        <v>40814</v>
      </c>
      <c r="B822" s="7">
        <v>3.9</v>
      </c>
      <c r="C822" s="7">
        <v>3.658</v>
      </c>
    </row>
    <row r="823" spans="1:3">
      <c r="A823" s="6">
        <v>40815</v>
      </c>
      <c r="B823" s="7"/>
      <c r="C823" s="7">
        <v>3.65</v>
      </c>
    </row>
    <row r="824" spans="1:3">
      <c r="A824" s="6">
        <v>40816</v>
      </c>
      <c r="B824" s="7">
        <v>3.7875</v>
      </c>
      <c r="C824" s="7">
        <v>3.5883</v>
      </c>
    </row>
    <row r="825" spans="1:3">
      <c r="A825" s="6">
        <v>40826</v>
      </c>
      <c r="B825" s="7">
        <v>3.7125</v>
      </c>
      <c r="C825" s="7">
        <v>3.5867</v>
      </c>
    </row>
    <row r="826" spans="1:3">
      <c r="A826" s="6">
        <v>40827</v>
      </c>
      <c r="B826" s="7">
        <v>3.7025</v>
      </c>
      <c r="C826" s="7">
        <v>3.5888</v>
      </c>
    </row>
    <row r="827" spans="1:3">
      <c r="A827" s="6">
        <v>40828</v>
      </c>
      <c r="B827" s="7">
        <v>3.5847</v>
      </c>
      <c r="C827" s="7">
        <v>3.57</v>
      </c>
    </row>
    <row r="828" spans="1:3">
      <c r="A828" s="6">
        <v>40829</v>
      </c>
      <c r="B828" s="7">
        <v>3.5532</v>
      </c>
      <c r="C828" s="7">
        <v>3.5972</v>
      </c>
    </row>
    <row r="829" spans="1:3">
      <c r="A829" s="6">
        <v>40830</v>
      </c>
      <c r="B829" s="7">
        <v>3.4664</v>
      </c>
      <c r="C829" s="7">
        <v>3.55</v>
      </c>
    </row>
    <row r="830" spans="1:3">
      <c r="A830" s="6">
        <v>40833</v>
      </c>
      <c r="B830" s="7">
        <v>3.4638</v>
      </c>
      <c r="C830" s="7"/>
    </row>
    <row r="831" spans="1:3">
      <c r="A831" s="6">
        <v>40834</v>
      </c>
      <c r="B831" s="7">
        <v>3.4785</v>
      </c>
      <c r="C831" s="7">
        <v>3.545</v>
      </c>
    </row>
    <row r="832" spans="1:3">
      <c r="A832" s="6">
        <v>40835</v>
      </c>
      <c r="B832" s="7">
        <v>3.485</v>
      </c>
      <c r="C832" s="7">
        <v>3.5388</v>
      </c>
    </row>
    <row r="833" spans="1:3">
      <c r="A833" s="6">
        <v>40836</v>
      </c>
      <c r="B833" s="7">
        <v>3.4803</v>
      </c>
      <c r="C833" s="7">
        <v>3.5359</v>
      </c>
    </row>
    <row r="834" spans="1:3">
      <c r="A834" s="6">
        <v>40837</v>
      </c>
      <c r="B834" s="7">
        <v>3.4775</v>
      </c>
      <c r="C834" s="7">
        <v>3.5658</v>
      </c>
    </row>
    <row r="835" spans="1:3">
      <c r="A835" s="6">
        <v>40840</v>
      </c>
      <c r="B835" s="7">
        <v>3.532</v>
      </c>
      <c r="C835" s="7">
        <v>3.6239</v>
      </c>
    </row>
    <row r="836" spans="1:3">
      <c r="A836" s="6">
        <v>40841</v>
      </c>
      <c r="B836" s="7">
        <v>3.6103</v>
      </c>
      <c r="C836" s="7">
        <v>3.6797</v>
      </c>
    </row>
    <row r="837" spans="1:3">
      <c r="A837" s="6">
        <v>40842</v>
      </c>
      <c r="B837" s="7">
        <v>3.6518</v>
      </c>
      <c r="C837" s="7">
        <v>3.6413</v>
      </c>
    </row>
    <row r="838" spans="1:3">
      <c r="A838" s="6">
        <v>40843</v>
      </c>
      <c r="B838" s="7">
        <v>3.6663</v>
      </c>
      <c r="C838" s="7">
        <v>3.6706</v>
      </c>
    </row>
    <row r="839" spans="1:3">
      <c r="A839" s="6">
        <v>40844</v>
      </c>
      <c r="B839" s="7">
        <v>3.6598</v>
      </c>
      <c r="C839" s="7">
        <v>3.6983</v>
      </c>
    </row>
    <row r="840" spans="1:3">
      <c r="A840" s="6">
        <v>40847</v>
      </c>
      <c r="B840" s="7">
        <v>3.6309</v>
      </c>
      <c r="C840" s="7">
        <v>3.65</v>
      </c>
    </row>
    <row r="841" spans="1:3">
      <c r="A841" s="6">
        <v>40848</v>
      </c>
      <c r="B841" s="7">
        <v>3.5717</v>
      </c>
      <c r="C841" s="7">
        <v>3.5965</v>
      </c>
    </row>
    <row r="842" spans="1:3">
      <c r="A842" s="6">
        <v>40849</v>
      </c>
      <c r="B842" s="7">
        <v>3.428</v>
      </c>
      <c r="C842" s="7">
        <v>3.5507</v>
      </c>
    </row>
    <row r="843" spans="1:3">
      <c r="A843" s="6">
        <v>40850</v>
      </c>
      <c r="B843" s="7">
        <v>3.3452</v>
      </c>
      <c r="C843" s="7">
        <v>3.4814</v>
      </c>
    </row>
    <row r="844" spans="1:3">
      <c r="A844" s="6">
        <v>40851</v>
      </c>
      <c r="B844" s="7"/>
      <c r="C844" s="7">
        <v>3.4032</v>
      </c>
    </row>
    <row r="845" spans="1:3">
      <c r="A845" s="6">
        <v>40854</v>
      </c>
      <c r="B845" s="7"/>
      <c r="C845" s="7">
        <v>3.402</v>
      </c>
    </row>
    <row r="846" spans="1:3">
      <c r="A846" s="6">
        <v>40855</v>
      </c>
      <c r="B846" s="7">
        <v>3.1782</v>
      </c>
      <c r="C846" s="7">
        <v>3.36</v>
      </c>
    </row>
    <row r="847" spans="1:3">
      <c r="A847" s="6">
        <v>40856</v>
      </c>
      <c r="B847" s="7">
        <v>3.1182</v>
      </c>
      <c r="C847" s="7">
        <v>3.2519</v>
      </c>
    </row>
    <row r="848" spans="1:3">
      <c r="A848" s="6">
        <v>40857</v>
      </c>
      <c r="B848" s="7">
        <v>2.9603</v>
      </c>
      <c r="C848" s="7">
        <v>3.1324</v>
      </c>
    </row>
    <row r="849" spans="1:3">
      <c r="A849" s="6">
        <v>40858</v>
      </c>
      <c r="B849" s="7">
        <v>2.9713</v>
      </c>
      <c r="C849" s="7">
        <v>3.1833</v>
      </c>
    </row>
    <row r="850" spans="1:3">
      <c r="A850" s="6">
        <v>40861</v>
      </c>
      <c r="B850" s="7">
        <v>2.9881</v>
      </c>
      <c r="C850" s="7">
        <v>3.2024</v>
      </c>
    </row>
    <row r="851" spans="1:3">
      <c r="A851" s="6">
        <v>40862</v>
      </c>
      <c r="B851" s="7">
        <v>3.02</v>
      </c>
      <c r="C851" s="7">
        <v>3.2252</v>
      </c>
    </row>
    <row r="852" spans="1:3">
      <c r="A852" s="6">
        <v>40863</v>
      </c>
      <c r="B852" s="7">
        <v>3.0496</v>
      </c>
      <c r="C852" s="7">
        <v>3.26</v>
      </c>
    </row>
    <row r="853" spans="1:3">
      <c r="A853" s="6">
        <v>40864</v>
      </c>
      <c r="B853" s="7">
        <v>3.0914</v>
      </c>
      <c r="C853" s="7">
        <v>3.26</v>
      </c>
    </row>
    <row r="854" spans="1:3">
      <c r="A854" s="6">
        <v>40865</v>
      </c>
      <c r="B854" s="7">
        <v>3.1096</v>
      </c>
      <c r="C854" s="7">
        <v>3.2838</v>
      </c>
    </row>
    <row r="855" spans="1:3">
      <c r="A855" s="6">
        <v>40868</v>
      </c>
      <c r="B855" s="7">
        <v>3.1713</v>
      </c>
      <c r="C855" s="7">
        <v>3.279</v>
      </c>
    </row>
    <row r="856" spans="1:3">
      <c r="A856" s="6">
        <v>40869</v>
      </c>
      <c r="B856" s="7">
        <v>3.1545</v>
      </c>
      <c r="C856" s="7">
        <v>3.1975</v>
      </c>
    </row>
    <row r="857" spans="1:3">
      <c r="A857" s="6">
        <v>40870</v>
      </c>
      <c r="B857" s="7">
        <v>3.0656</v>
      </c>
      <c r="C857" s="7">
        <v>3.0648</v>
      </c>
    </row>
    <row r="858" spans="1:3">
      <c r="A858" s="6">
        <v>40875</v>
      </c>
      <c r="B858" s="7"/>
      <c r="C858" s="7">
        <v>3.01</v>
      </c>
    </row>
    <row r="859" spans="1:3">
      <c r="A859" s="6">
        <v>40876</v>
      </c>
      <c r="B859" s="7">
        <v>3.01</v>
      </c>
      <c r="C859" s="7">
        <v>3.0189</v>
      </c>
    </row>
    <row r="860" spans="1:3">
      <c r="A860" s="6">
        <v>40877</v>
      </c>
      <c r="B860" s="7">
        <v>3.0035</v>
      </c>
      <c r="C860" s="7">
        <v>3.0188</v>
      </c>
    </row>
    <row r="861" spans="1:3">
      <c r="A861" s="6">
        <v>40878</v>
      </c>
      <c r="B861" s="7">
        <v>2.8495</v>
      </c>
      <c r="C861" s="7">
        <v>2.8715</v>
      </c>
    </row>
    <row r="862" spans="1:3">
      <c r="A862" s="6">
        <v>40879</v>
      </c>
      <c r="B862" s="7">
        <v>2.7344</v>
      </c>
      <c r="C862" s="7">
        <v>2.87</v>
      </c>
    </row>
    <row r="863" spans="1:3">
      <c r="A863" s="6">
        <v>40882</v>
      </c>
      <c r="B863" s="7">
        <v>2.6638</v>
      </c>
      <c r="C863" s="7"/>
    </row>
    <row r="864" spans="1:3">
      <c r="A864" s="6">
        <v>40883</v>
      </c>
      <c r="B864" s="7">
        <v>2.7013</v>
      </c>
      <c r="C864" s="7"/>
    </row>
    <row r="865" spans="1:3">
      <c r="A865" s="6">
        <v>40884</v>
      </c>
      <c r="B865" s="7">
        <v>2.7589</v>
      </c>
      <c r="C865" s="7">
        <v>2.93</v>
      </c>
    </row>
    <row r="866" spans="1:3">
      <c r="A866" s="6">
        <v>40886</v>
      </c>
      <c r="B866" s="7">
        <v>2.76</v>
      </c>
      <c r="C866" s="7">
        <v>2.94</v>
      </c>
    </row>
    <row r="867" spans="1:3">
      <c r="A867" s="6">
        <v>40889</v>
      </c>
      <c r="B867" s="7">
        <v>2.8067</v>
      </c>
      <c r="C867" s="7"/>
    </row>
    <row r="868" spans="1:3">
      <c r="A868" s="6">
        <v>40890</v>
      </c>
      <c r="B868" s="7">
        <v>2.895</v>
      </c>
      <c r="C868" s="7"/>
    </row>
    <row r="869" spans="1:3">
      <c r="A869" s="6">
        <v>40891</v>
      </c>
      <c r="B869" s="7">
        <v>2.8582</v>
      </c>
      <c r="C869" s="7"/>
    </row>
    <row r="870" spans="1:3">
      <c r="A870" s="6">
        <v>40892</v>
      </c>
      <c r="B870" s="7">
        <v>2.82</v>
      </c>
      <c r="C870" s="7">
        <v>2.92</v>
      </c>
    </row>
    <row r="871" spans="1:3">
      <c r="A871" s="6">
        <v>40893</v>
      </c>
      <c r="B871" s="7">
        <v>2.7829</v>
      </c>
      <c r="C871" s="7">
        <v>2.9192</v>
      </c>
    </row>
    <row r="872" spans="1:3">
      <c r="A872" s="6">
        <v>40896</v>
      </c>
      <c r="B872" s="7">
        <v>2.7111</v>
      </c>
      <c r="C872" s="7">
        <v>2.86</v>
      </c>
    </row>
    <row r="873" spans="1:3">
      <c r="A873" s="6">
        <v>40897</v>
      </c>
      <c r="B873" s="7">
        <v>2.7167</v>
      </c>
      <c r="C873" s="7"/>
    </row>
    <row r="874" spans="1:3">
      <c r="A874" s="6">
        <v>40898</v>
      </c>
      <c r="B874" s="7">
        <v>2.7757</v>
      </c>
      <c r="C874" s="7">
        <v>2.88</v>
      </c>
    </row>
    <row r="875" spans="1:3">
      <c r="A875" s="6">
        <v>40899</v>
      </c>
      <c r="B875" s="7">
        <v>2.7986</v>
      </c>
      <c r="C875" s="7"/>
    </row>
    <row r="876" spans="1:3">
      <c r="A876" s="6">
        <v>40900</v>
      </c>
      <c r="B876" s="7">
        <v>2.745</v>
      </c>
      <c r="C876" s="7"/>
    </row>
    <row r="877" spans="1:3">
      <c r="A877" s="6">
        <v>40904</v>
      </c>
      <c r="B877" s="7">
        <v>2.7941</v>
      </c>
      <c r="C877" s="7"/>
    </row>
    <row r="878" spans="1:3">
      <c r="A878" s="6">
        <v>40905</v>
      </c>
      <c r="B878" s="7">
        <v>2.7875</v>
      </c>
      <c r="C878" s="7"/>
    </row>
    <row r="879" spans="1:3">
      <c r="A879" s="6">
        <v>40906</v>
      </c>
      <c r="B879" s="7">
        <v>2.7957</v>
      </c>
      <c r="C879" s="7"/>
    </row>
    <row r="880" spans="1:3">
      <c r="A880" s="6">
        <v>40912</v>
      </c>
      <c r="B880" s="7">
        <v>2.8645</v>
      </c>
      <c r="C880" s="7">
        <v>2.9467</v>
      </c>
    </row>
    <row r="881" spans="1:3">
      <c r="A881" s="6">
        <v>40913</v>
      </c>
      <c r="B881" s="7">
        <v>2.9467</v>
      </c>
      <c r="C881" s="7">
        <v>2.9744</v>
      </c>
    </row>
    <row r="882" spans="1:3">
      <c r="A882" s="6">
        <v>40914</v>
      </c>
      <c r="B882" s="7">
        <v>2.9335</v>
      </c>
      <c r="C882" s="7">
        <v>2.935</v>
      </c>
    </row>
    <row r="883" spans="1:3">
      <c r="A883" s="6">
        <v>40917</v>
      </c>
      <c r="B883" s="7">
        <v>2.9874</v>
      </c>
      <c r="C883" s="7">
        <v>2.955</v>
      </c>
    </row>
    <row r="884" spans="1:3">
      <c r="A884" s="6">
        <v>40918</v>
      </c>
      <c r="B884" s="7">
        <v>2.99</v>
      </c>
      <c r="C884" s="7"/>
    </row>
    <row r="885" spans="1:3">
      <c r="A885" s="6">
        <v>40919</v>
      </c>
      <c r="B885" s="7">
        <v>3.0132</v>
      </c>
      <c r="C885" s="7">
        <v>3.0185</v>
      </c>
    </row>
    <row r="886" spans="1:3">
      <c r="A886" s="6">
        <v>40921</v>
      </c>
      <c r="B886" s="7">
        <v>3.0483</v>
      </c>
      <c r="C886" s="7"/>
    </row>
    <row r="887" spans="1:3">
      <c r="A887" s="6">
        <v>40924</v>
      </c>
      <c r="B887" s="7">
        <v>3.0653</v>
      </c>
      <c r="C887" s="7">
        <v>3.0286</v>
      </c>
    </row>
    <row r="888" spans="1:3">
      <c r="A888" s="6">
        <v>40925</v>
      </c>
      <c r="B888" s="7">
        <v>3.0797</v>
      </c>
      <c r="C888" s="7">
        <v>3.0303</v>
      </c>
    </row>
    <row r="889" spans="1:3">
      <c r="A889" s="6">
        <v>40926</v>
      </c>
      <c r="B889" s="7">
        <v>3.1429</v>
      </c>
      <c r="C889" s="7">
        <v>3.0475</v>
      </c>
    </row>
    <row r="890" spans="1:3">
      <c r="A890" s="6">
        <v>40927</v>
      </c>
      <c r="B890" s="7">
        <v>3.0525</v>
      </c>
      <c r="C890" s="7"/>
    </row>
    <row r="891" spans="1:3">
      <c r="A891" s="6">
        <v>40928</v>
      </c>
      <c r="B891" s="7">
        <v>2.9997</v>
      </c>
      <c r="C891" s="7">
        <v>2.9694</v>
      </c>
    </row>
    <row r="892" spans="1:3">
      <c r="A892" s="6">
        <v>40929</v>
      </c>
      <c r="B892" s="7">
        <v>3.0021</v>
      </c>
      <c r="C892" s="7"/>
    </row>
    <row r="893" spans="1:3">
      <c r="A893" s="6">
        <v>40937</v>
      </c>
      <c r="B893" s="7">
        <v>3.02</v>
      </c>
      <c r="C893" s="7"/>
    </row>
    <row r="894" spans="1:3">
      <c r="A894" s="6">
        <v>40938</v>
      </c>
      <c r="B894" s="7">
        <v>3.0609</v>
      </c>
      <c r="C894" s="7">
        <v>3.0613</v>
      </c>
    </row>
    <row r="895" spans="1:3">
      <c r="A895" s="6">
        <v>40939</v>
      </c>
      <c r="B895" s="7">
        <v>3.0772</v>
      </c>
      <c r="C895" s="7">
        <v>3.0598</v>
      </c>
    </row>
    <row r="896" spans="1:3">
      <c r="A896" s="6">
        <v>40940</v>
      </c>
      <c r="B896" s="7">
        <v>3.2158</v>
      </c>
      <c r="C896" s="7">
        <v>3.1731</v>
      </c>
    </row>
    <row r="897" spans="1:3">
      <c r="A897" s="6">
        <v>40941</v>
      </c>
      <c r="B897" s="7">
        <v>3.2123</v>
      </c>
      <c r="C897" s="7">
        <v>3.2218</v>
      </c>
    </row>
    <row r="898" spans="1:3">
      <c r="A898" s="6">
        <v>40942</v>
      </c>
      <c r="B898" s="7">
        <v>3.1113</v>
      </c>
      <c r="C898" s="7">
        <v>3.1142</v>
      </c>
    </row>
    <row r="899" spans="1:3">
      <c r="A899" s="6">
        <v>40945</v>
      </c>
      <c r="B899" s="7">
        <v>3.1647</v>
      </c>
      <c r="C899" s="7">
        <v>3.2519</v>
      </c>
    </row>
    <row r="900" spans="1:3">
      <c r="A900" s="6">
        <v>40946</v>
      </c>
      <c r="B900" s="7">
        <v>3.1904</v>
      </c>
      <c r="C900" s="7">
        <v>3.2992</v>
      </c>
    </row>
    <row r="901" spans="1:3">
      <c r="A901" s="6">
        <v>40947</v>
      </c>
      <c r="B901" s="7">
        <v>3.2331</v>
      </c>
      <c r="C901" s="7">
        <v>3.3863</v>
      </c>
    </row>
    <row r="902" spans="1:3">
      <c r="A902" s="6">
        <v>40948</v>
      </c>
      <c r="B902" s="7">
        <v>3.3399</v>
      </c>
      <c r="C902" s="7">
        <v>3.4529</v>
      </c>
    </row>
    <row r="903" spans="1:3">
      <c r="A903" s="6">
        <v>40949</v>
      </c>
      <c r="B903" s="7">
        <v>3.2907</v>
      </c>
      <c r="C903" s="7">
        <v>3.4271</v>
      </c>
    </row>
    <row r="904" spans="1:3">
      <c r="A904" s="6">
        <v>40952</v>
      </c>
      <c r="B904" s="7">
        <v>3.253</v>
      </c>
      <c r="C904" s="7">
        <v>3.3883</v>
      </c>
    </row>
    <row r="905" spans="1:3">
      <c r="A905" s="6">
        <v>40953</v>
      </c>
      <c r="B905" s="7">
        <v>3.2798</v>
      </c>
      <c r="C905" s="7">
        <v>3.41</v>
      </c>
    </row>
    <row r="906" spans="1:3">
      <c r="A906" s="6">
        <v>40954</v>
      </c>
      <c r="B906" s="7">
        <v>3.3245</v>
      </c>
      <c r="C906" s="7">
        <v>3.4264</v>
      </c>
    </row>
    <row r="907" spans="1:3">
      <c r="A907" s="6">
        <v>40955</v>
      </c>
      <c r="B907" s="7">
        <v>3.3724</v>
      </c>
      <c r="C907" s="7">
        <v>3.4444</v>
      </c>
    </row>
    <row r="908" spans="1:3">
      <c r="A908" s="6">
        <v>40956</v>
      </c>
      <c r="B908" s="7">
        <v>3.4111</v>
      </c>
      <c r="C908" s="7">
        <v>3.4345</v>
      </c>
    </row>
    <row r="909" spans="1:3">
      <c r="A909" s="6">
        <v>40959</v>
      </c>
      <c r="B909" s="7">
        <v>3.2442</v>
      </c>
      <c r="C909" s="7">
        <v>3.3862</v>
      </c>
    </row>
    <row r="910" spans="1:3">
      <c r="A910" s="6">
        <v>40960</v>
      </c>
      <c r="B910" s="7">
        <v>3.3372</v>
      </c>
      <c r="C910" s="7">
        <v>3.4206</v>
      </c>
    </row>
    <row r="911" spans="1:3">
      <c r="A911" s="6">
        <v>40961</v>
      </c>
      <c r="B911" s="7">
        <v>3.2857</v>
      </c>
      <c r="C911" s="7"/>
    </row>
    <row r="912" spans="1:3">
      <c r="A912" s="6">
        <v>40962</v>
      </c>
      <c r="B912" s="7">
        <v>3.3219</v>
      </c>
      <c r="C912" s="7">
        <v>3.385</v>
      </c>
    </row>
    <row r="913" spans="1:3">
      <c r="A913" s="6">
        <v>40963</v>
      </c>
      <c r="B913" s="7">
        <v>3.3184</v>
      </c>
      <c r="C913" s="7">
        <v>3.4064</v>
      </c>
    </row>
    <row r="914" spans="1:3">
      <c r="A914" s="6">
        <v>40966</v>
      </c>
      <c r="B914" s="7">
        <v>3.3245</v>
      </c>
      <c r="C914" s="7">
        <v>3.4336</v>
      </c>
    </row>
    <row r="915" spans="1:3">
      <c r="A915" s="6">
        <v>40967</v>
      </c>
      <c r="B915" s="7">
        <v>3.3292</v>
      </c>
      <c r="C915" s="7">
        <v>3.4556</v>
      </c>
    </row>
    <row r="916" spans="1:3">
      <c r="A916" s="6">
        <v>40968</v>
      </c>
      <c r="B916" s="7">
        <v>3.3333</v>
      </c>
      <c r="C916" s="7">
        <v>3.4259</v>
      </c>
    </row>
    <row r="917" spans="1:3">
      <c r="A917" s="6">
        <v>40969</v>
      </c>
      <c r="B917" s="7">
        <v>3.2944</v>
      </c>
      <c r="C917" s="7">
        <v>3.426</v>
      </c>
    </row>
    <row r="918" spans="1:3">
      <c r="A918" s="6">
        <v>40970</v>
      </c>
      <c r="B918" s="7">
        <v>3.3145</v>
      </c>
      <c r="C918" s="7">
        <v>3.4708</v>
      </c>
    </row>
    <row r="919" spans="1:3">
      <c r="A919" s="6">
        <v>40973</v>
      </c>
      <c r="B919" s="7">
        <v>3.3115</v>
      </c>
      <c r="C919" s="7">
        <v>3.4805</v>
      </c>
    </row>
    <row r="920" spans="1:3">
      <c r="A920" s="6">
        <v>40974</v>
      </c>
      <c r="B920" s="7">
        <v>3.273</v>
      </c>
      <c r="C920" s="7">
        <v>3.453</v>
      </c>
    </row>
    <row r="921" spans="1:3">
      <c r="A921" s="6">
        <v>40975</v>
      </c>
      <c r="B921" s="7">
        <v>3.2366</v>
      </c>
      <c r="C921" s="7">
        <v>3.3919</v>
      </c>
    </row>
    <row r="922" spans="1:3">
      <c r="A922" s="6">
        <v>40976</v>
      </c>
      <c r="B922" s="7">
        <v>3.1899</v>
      </c>
      <c r="C922" s="7">
        <v>3.3737</v>
      </c>
    </row>
    <row r="923" spans="1:3">
      <c r="A923" s="6">
        <v>40977</v>
      </c>
      <c r="B923" s="7">
        <v>3.1915</v>
      </c>
      <c r="C923" s="7">
        <v>3.3879</v>
      </c>
    </row>
    <row r="924" spans="1:3">
      <c r="A924" s="6">
        <v>40980</v>
      </c>
      <c r="B924" s="7">
        <v>3.1308</v>
      </c>
      <c r="C924" s="7">
        <v>3.3071</v>
      </c>
    </row>
    <row r="925" spans="1:3">
      <c r="A925" s="6">
        <v>40981</v>
      </c>
      <c r="B925" s="7">
        <v>3.1209</v>
      </c>
      <c r="C925" s="7">
        <v>3.3595</v>
      </c>
    </row>
    <row r="926" spans="1:3">
      <c r="A926" s="6">
        <v>40982</v>
      </c>
      <c r="B926" s="7">
        <v>3.1562</v>
      </c>
      <c r="C926" s="7">
        <v>3.3885</v>
      </c>
    </row>
    <row r="927" spans="1:3">
      <c r="A927" s="6">
        <v>40983</v>
      </c>
      <c r="B927" s="7">
        <v>3.1689</v>
      </c>
      <c r="C927" s="7">
        <v>3.433</v>
      </c>
    </row>
    <row r="928" spans="1:3">
      <c r="A928" s="6">
        <v>40984</v>
      </c>
      <c r="B928" s="7">
        <v>3.1327</v>
      </c>
      <c r="C928" s="7">
        <v>3.4314</v>
      </c>
    </row>
    <row r="929" spans="1:3">
      <c r="A929" s="6">
        <v>40987</v>
      </c>
      <c r="B929" s="7">
        <v>3.14</v>
      </c>
      <c r="C929" s="7">
        <v>3.4393</v>
      </c>
    </row>
    <row r="930" spans="1:3">
      <c r="A930" s="6">
        <v>40989</v>
      </c>
      <c r="B930" s="7">
        <v>3.2317</v>
      </c>
      <c r="C930" s="7">
        <v>3.455</v>
      </c>
    </row>
    <row r="931" spans="1:3">
      <c r="A931" s="6">
        <v>40990</v>
      </c>
      <c r="B931" s="7">
        <v>3.1933</v>
      </c>
      <c r="C931" s="7">
        <v>3.4046</v>
      </c>
    </row>
    <row r="932" spans="1:3">
      <c r="A932" s="6">
        <v>40994</v>
      </c>
      <c r="B932" s="7">
        <v>3.1615</v>
      </c>
      <c r="C932" s="7">
        <v>3.3775</v>
      </c>
    </row>
    <row r="933" spans="1:3">
      <c r="A933" s="6">
        <v>40995</v>
      </c>
      <c r="B933" s="7">
        <v>3.1666</v>
      </c>
      <c r="C933" s="7">
        <v>3.3817</v>
      </c>
    </row>
    <row r="934" spans="1:3">
      <c r="A934" s="6">
        <v>40996</v>
      </c>
      <c r="B934" s="7">
        <v>3.1393</v>
      </c>
      <c r="C934" s="7">
        <v>3.3508</v>
      </c>
    </row>
    <row r="935" spans="1:3">
      <c r="A935" s="6">
        <v>40997</v>
      </c>
      <c r="B935" s="7">
        <v>3.1197</v>
      </c>
      <c r="C935" s="7">
        <v>3.3255</v>
      </c>
    </row>
    <row r="936" spans="1:3">
      <c r="A936" s="6">
        <v>40998</v>
      </c>
      <c r="B936" s="7">
        <v>3.1275</v>
      </c>
      <c r="C936" s="7">
        <v>3.3241</v>
      </c>
    </row>
    <row r="937" spans="1:3">
      <c r="A937" s="6">
        <v>40999</v>
      </c>
      <c r="B937" s="7">
        <v>3.1275</v>
      </c>
      <c r="C937" s="7"/>
    </row>
    <row r="938" spans="1:3">
      <c r="A938" s="6">
        <v>41000</v>
      </c>
      <c r="B938" s="7">
        <v>3.1393</v>
      </c>
      <c r="C938" s="7">
        <v>3.3875</v>
      </c>
    </row>
    <row r="939" spans="1:3">
      <c r="A939" s="6">
        <v>41004</v>
      </c>
      <c r="B939" s="7">
        <v>3.1633</v>
      </c>
      <c r="C939" s="7">
        <v>3.3975</v>
      </c>
    </row>
    <row r="940" spans="1:3">
      <c r="A940" s="6">
        <v>41005</v>
      </c>
      <c r="B940" s="7">
        <v>3.1786</v>
      </c>
      <c r="C940" s="7"/>
    </row>
    <row r="941" spans="1:3">
      <c r="A941" s="6">
        <v>41008</v>
      </c>
      <c r="B941" s="7">
        <v>3.2959</v>
      </c>
      <c r="C941" s="7"/>
    </row>
    <row r="942" spans="1:3">
      <c r="A942" s="6">
        <v>41009</v>
      </c>
      <c r="B942" s="7">
        <v>3.1811</v>
      </c>
      <c r="C942" s="7">
        <v>3.4135</v>
      </c>
    </row>
    <row r="943" spans="1:3">
      <c r="A943" s="6">
        <v>41010</v>
      </c>
      <c r="B943" s="7">
        <v>3.19</v>
      </c>
      <c r="C943" s="7">
        <v>3.3992</v>
      </c>
    </row>
    <row r="944" spans="1:3">
      <c r="A944" s="6">
        <v>41011</v>
      </c>
      <c r="B944" s="7">
        <v>3.2272</v>
      </c>
      <c r="C944" s="7">
        <v>3.4402</v>
      </c>
    </row>
    <row r="945" spans="1:3">
      <c r="A945" s="6">
        <v>41012</v>
      </c>
      <c r="B945" s="7">
        <v>3.2458</v>
      </c>
      <c r="C945" s="7">
        <v>3.4618</v>
      </c>
    </row>
    <row r="946" spans="1:3">
      <c r="A946" s="6">
        <v>41015</v>
      </c>
      <c r="B946" s="7">
        <v>3.2145</v>
      </c>
      <c r="C946" s="7">
        <v>3.4279</v>
      </c>
    </row>
    <row r="947" spans="1:3">
      <c r="A947" s="6">
        <v>41016</v>
      </c>
      <c r="B947" s="7">
        <v>3.2021</v>
      </c>
      <c r="C947" s="7">
        <v>3.4267</v>
      </c>
    </row>
    <row r="948" spans="1:3">
      <c r="A948" s="6">
        <v>41017</v>
      </c>
      <c r="B948" s="7">
        <v>3.2488</v>
      </c>
      <c r="C948" s="7">
        <v>3.445</v>
      </c>
    </row>
    <row r="949" spans="1:3">
      <c r="A949" s="6">
        <v>41018</v>
      </c>
      <c r="B949" s="7">
        <v>3.2108</v>
      </c>
      <c r="C949" s="7">
        <v>3.43</v>
      </c>
    </row>
    <row r="950" spans="1:3">
      <c r="A950" s="6">
        <v>41019</v>
      </c>
      <c r="B950" s="7">
        <v>3.2147</v>
      </c>
      <c r="C950" s="7"/>
    </row>
    <row r="951" spans="1:3">
      <c r="A951" s="6">
        <v>41022</v>
      </c>
      <c r="B951" s="7">
        <v>3.2291</v>
      </c>
      <c r="C951" s="7">
        <v>3.42</v>
      </c>
    </row>
    <row r="952" spans="1:3">
      <c r="A952" s="6">
        <v>41023</v>
      </c>
      <c r="B952" s="7">
        <v>3.2043</v>
      </c>
      <c r="C952" s="7">
        <v>3.4014</v>
      </c>
    </row>
    <row r="953" spans="1:3">
      <c r="A953" s="6">
        <v>41024</v>
      </c>
      <c r="B953" s="7">
        <v>3.2267</v>
      </c>
      <c r="C953" s="7"/>
    </row>
    <row r="954" spans="1:3">
      <c r="A954" s="6">
        <v>41025</v>
      </c>
      <c r="B954" s="7">
        <v>3.2561</v>
      </c>
      <c r="C954" s="7">
        <v>3.43</v>
      </c>
    </row>
    <row r="955" spans="1:3">
      <c r="A955" s="6">
        <v>41026</v>
      </c>
      <c r="B955" s="7">
        <v>3.241</v>
      </c>
      <c r="C955" s="7"/>
    </row>
    <row r="956" spans="1:3">
      <c r="A956" s="6">
        <v>41031</v>
      </c>
      <c r="B956" s="7">
        <v>3.2705</v>
      </c>
      <c r="C956" s="7">
        <v>3.4362</v>
      </c>
    </row>
    <row r="957" spans="1:3">
      <c r="A957" s="6">
        <v>41032</v>
      </c>
      <c r="B957" s="7">
        <v>3.2808</v>
      </c>
      <c r="C957" s="7">
        <v>3.456</v>
      </c>
    </row>
    <row r="958" spans="1:3">
      <c r="A958" s="6">
        <v>41033</v>
      </c>
      <c r="B958" s="7">
        <v>3.3602</v>
      </c>
      <c r="C958" s="7">
        <v>3.5118</v>
      </c>
    </row>
    <row r="959" spans="1:3">
      <c r="A959" s="6">
        <v>41036</v>
      </c>
      <c r="B959" s="7">
        <v>3.3467</v>
      </c>
      <c r="C959" s="7">
        <v>3.4487</v>
      </c>
    </row>
    <row r="960" spans="1:3">
      <c r="A960" s="6">
        <v>41037</v>
      </c>
      <c r="B960" s="7">
        <v>3.3262</v>
      </c>
      <c r="C960" s="7">
        <v>3.4308</v>
      </c>
    </row>
    <row r="961" spans="1:3">
      <c r="A961" s="6">
        <v>41038</v>
      </c>
      <c r="B961" s="7">
        <v>3.2579</v>
      </c>
      <c r="C961" s="7">
        <v>3.3708</v>
      </c>
    </row>
    <row r="962" spans="1:3">
      <c r="A962" s="6">
        <v>41039</v>
      </c>
      <c r="B962" s="7">
        <v>3.195</v>
      </c>
      <c r="C962" s="7">
        <v>3.351</v>
      </c>
    </row>
    <row r="963" spans="1:3">
      <c r="A963" s="6">
        <v>41040</v>
      </c>
      <c r="B963" s="7">
        <v>3.1455</v>
      </c>
      <c r="C963" s="7">
        <v>3.3133</v>
      </c>
    </row>
    <row r="964" spans="1:3">
      <c r="A964" s="6">
        <v>41043</v>
      </c>
      <c r="B964" s="7">
        <v>2.94</v>
      </c>
      <c r="C964" s="7">
        <v>3.1962</v>
      </c>
    </row>
    <row r="965" spans="1:3">
      <c r="A965" s="6">
        <v>41044</v>
      </c>
      <c r="B965" s="7">
        <v>2.8566</v>
      </c>
      <c r="C965" s="7">
        <v>3.067</v>
      </c>
    </row>
    <row r="966" spans="1:3">
      <c r="A966" s="6">
        <v>41047</v>
      </c>
      <c r="B966" s="7">
        <v>2.7572</v>
      </c>
      <c r="C966" s="7">
        <v>2.98</v>
      </c>
    </row>
    <row r="967" spans="1:3">
      <c r="A967" s="6">
        <v>41050</v>
      </c>
      <c r="B967" s="7">
        <v>2.7518</v>
      </c>
      <c r="C967" s="7">
        <v>3.0289</v>
      </c>
    </row>
    <row r="968" spans="1:3">
      <c r="A968" s="6">
        <v>41051</v>
      </c>
      <c r="B968" s="7">
        <v>2.8153</v>
      </c>
      <c r="C968" s="7">
        <v>3.0779</v>
      </c>
    </row>
    <row r="969" spans="1:3">
      <c r="A969" s="6">
        <v>41052</v>
      </c>
      <c r="B969" s="7">
        <v>2.756</v>
      </c>
      <c r="C969" s="7">
        <v>3.0236</v>
      </c>
    </row>
    <row r="970" spans="1:3">
      <c r="A970" s="6">
        <v>41053</v>
      </c>
      <c r="B970" s="7">
        <v>2.5709</v>
      </c>
      <c r="C970" s="7">
        <v>2.8888</v>
      </c>
    </row>
    <row r="971" spans="1:3">
      <c r="A971" s="6">
        <v>41054</v>
      </c>
      <c r="B971" s="7">
        <v>2.5268</v>
      </c>
      <c r="C971" s="7">
        <v>2.818</v>
      </c>
    </row>
    <row r="972" spans="1:3">
      <c r="A972" s="6">
        <v>41057</v>
      </c>
      <c r="B972" s="7">
        <v>2.5579</v>
      </c>
      <c r="C972" s="7">
        <v>2.8817</v>
      </c>
    </row>
    <row r="973" spans="1:3">
      <c r="A973" s="6">
        <v>41058</v>
      </c>
      <c r="B973" s="7">
        <v>2.6212</v>
      </c>
      <c r="C973" s="7">
        <v>2.9257</v>
      </c>
    </row>
    <row r="974" spans="1:3">
      <c r="A974" s="6">
        <v>41059</v>
      </c>
      <c r="B974" s="7">
        <v>2.6338</v>
      </c>
      <c r="C974" s="7">
        <v>2.8659</v>
      </c>
    </row>
    <row r="975" spans="1:3">
      <c r="A975" s="6">
        <v>41060</v>
      </c>
      <c r="B975" s="7">
        <v>2.4622</v>
      </c>
      <c r="C975" s="7">
        <v>2.7808</v>
      </c>
    </row>
    <row r="976" spans="1:3">
      <c r="A976" s="6">
        <v>41061</v>
      </c>
      <c r="B976" s="7">
        <v>2.4118</v>
      </c>
      <c r="C976" s="7">
        <v>2.7261</v>
      </c>
    </row>
    <row r="977" spans="1:3">
      <c r="A977" s="6">
        <v>41064</v>
      </c>
      <c r="B977" s="7">
        <v>2.3858</v>
      </c>
      <c r="C977" s="7">
        <v>2.6851</v>
      </c>
    </row>
    <row r="978" spans="1:3">
      <c r="A978" s="6">
        <v>41065</v>
      </c>
      <c r="B978" s="7">
        <v>2.468</v>
      </c>
      <c r="C978" s="7">
        <v>2.7861</v>
      </c>
    </row>
    <row r="979" spans="1:3">
      <c r="A979" s="6">
        <v>41066</v>
      </c>
      <c r="B979" s="7">
        <v>2.533</v>
      </c>
      <c r="C979" s="7">
        <v>2.8343</v>
      </c>
    </row>
    <row r="980" spans="1:3">
      <c r="A980" s="6">
        <v>41067</v>
      </c>
      <c r="B980" s="7">
        <v>2.5579</v>
      </c>
      <c r="C980" s="7">
        <v>2.8712</v>
      </c>
    </row>
    <row r="981" spans="1:3">
      <c r="A981" s="6">
        <v>41068</v>
      </c>
      <c r="B981" s="7">
        <v>2.384</v>
      </c>
      <c r="C981" s="7">
        <v>2.6661</v>
      </c>
    </row>
    <row r="982" spans="1:3">
      <c r="A982" s="6">
        <v>41071</v>
      </c>
      <c r="B982" s="7">
        <v>2.4293</v>
      </c>
      <c r="C982" s="7">
        <v>2.7475</v>
      </c>
    </row>
    <row r="983" spans="1:3">
      <c r="A983" s="6">
        <v>41072</v>
      </c>
      <c r="B983" s="7">
        <v>2.4865</v>
      </c>
      <c r="C983" s="7">
        <v>2.7763</v>
      </c>
    </row>
    <row r="984" spans="1:3">
      <c r="A984" s="6">
        <v>41073</v>
      </c>
      <c r="B984" s="7">
        <v>2.5743</v>
      </c>
      <c r="C984" s="7">
        <v>2.8833</v>
      </c>
    </row>
    <row r="985" spans="1:3">
      <c r="A985" s="6">
        <v>41074</v>
      </c>
      <c r="B985" s="7">
        <v>2.5724</v>
      </c>
      <c r="C985" s="7">
        <v>2.8471</v>
      </c>
    </row>
    <row r="986" spans="1:3">
      <c r="A986" s="6">
        <v>41075</v>
      </c>
      <c r="B986" s="7">
        <v>2.5433</v>
      </c>
      <c r="C986" s="7"/>
    </row>
    <row r="987" spans="1:3">
      <c r="A987" s="6">
        <v>41078</v>
      </c>
      <c r="B987" s="7">
        <v>2.5948</v>
      </c>
      <c r="C987" s="7">
        <v>2.863</v>
      </c>
    </row>
    <row r="988" spans="1:3">
      <c r="A988" s="6">
        <v>41079</v>
      </c>
      <c r="B988" s="7">
        <v>2.6404</v>
      </c>
      <c r="C988" s="7">
        <v>2.8935</v>
      </c>
    </row>
    <row r="989" spans="1:3">
      <c r="A989" s="6">
        <v>41080</v>
      </c>
      <c r="B989" s="7">
        <v>2.6601</v>
      </c>
      <c r="C989" s="7">
        <v>2.8937</v>
      </c>
    </row>
    <row r="990" spans="1:3">
      <c r="A990" s="6">
        <v>41081</v>
      </c>
      <c r="B990" s="7">
        <v>2.6823</v>
      </c>
      <c r="C990" s="7">
        <v>2.8878</v>
      </c>
    </row>
    <row r="991" spans="1:3">
      <c r="A991" s="6">
        <v>41085</v>
      </c>
      <c r="B991" s="7">
        <v>2.6853</v>
      </c>
      <c r="C991" s="7">
        <v>2.9053</v>
      </c>
    </row>
    <row r="992" spans="1:3">
      <c r="A992" s="6">
        <v>41086</v>
      </c>
      <c r="B992" s="7">
        <v>2.6568</v>
      </c>
      <c r="C992" s="7">
        <v>2.8558</v>
      </c>
    </row>
    <row r="993" spans="1:3">
      <c r="A993" s="6">
        <v>41087</v>
      </c>
      <c r="B993" s="7">
        <v>2.6354</v>
      </c>
      <c r="C993" s="7">
        <v>2.8471</v>
      </c>
    </row>
    <row r="994" spans="1:3">
      <c r="A994" s="6">
        <v>41088</v>
      </c>
      <c r="B994" s="7">
        <v>2.5964</v>
      </c>
      <c r="C994" s="7">
        <v>2.8013</v>
      </c>
    </row>
    <row r="995" spans="1:3">
      <c r="A995" s="6">
        <v>41089</v>
      </c>
      <c r="B995" s="7">
        <v>2.5765</v>
      </c>
      <c r="C995" s="7">
        <v>2.79</v>
      </c>
    </row>
    <row r="996" spans="1:3">
      <c r="A996" s="6">
        <v>41092</v>
      </c>
      <c r="B996" s="7">
        <v>2.6305</v>
      </c>
      <c r="C996" s="7">
        <v>2.8356</v>
      </c>
    </row>
    <row r="997" spans="1:3">
      <c r="A997" s="6">
        <v>41093</v>
      </c>
      <c r="B997" s="7">
        <v>2.5872</v>
      </c>
      <c r="C997" s="7">
        <v>2.8142</v>
      </c>
    </row>
    <row r="998" spans="1:3">
      <c r="A998" s="6">
        <v>41094</v>
      </c>
      <c r="B998" s="7">
        <v>2.5783</v>
      </c>
      <c r="C998" s="7">
        <v>2.79</v>
      </c>
    </row>
    <row r="999" spans="1:3">
      <c r="A999" s="6">
        <v>41095</v>
      </c>
      <c r="B999" s="7">
        <v>2.5519</v>
      </c>
      <c r="C999" s="7">
        <v>2.7961</v>
      </c>
    </row>
    <row r="1000" spans="1:3">
      <c r="A1000" s="6">
        <v>41096</v>
      </c>
      <c r="B1000" s="7">
        <v>2.4624</v>
      </c>
      <c r="C1000" s="7">
        <v>2.7055</v>
      </c>
    </row>
    <row r="1001" spans="1:3">
      <c r="A1001" s="6">
        <v>41099</v>
      </c>
      <c r="B1001" s="7">
        <v>2.4165</v>
      </c>
      <c r="C1001" s="7">
        <v>2.6695</v>
      </c>
    </row>
    <row r="1002" spans="1:3">
      <c r="A1002" s="6">
        <v>41100</v>
      </c>
      <c r="B1002" s="7">
        <v>2.4225</v>
      </c>
      <c r="C1002" s="7">
        <v>2.6556</v>
      </c>
    </row>
    <row r="1003" spans="1:3">
      <c r="A1003" s="6">
        <v>41101</v>
      </c>
      <c r="B1003" s="7">
        <v>2.4193</v>
      </c>
      <c r="C1003" s="7">
        <v>2.6454</v>
      </c>
    </row>
    <row r="1004" spans="1:3">
      <c r="A1004" s="6">
        <v>41102</v>
      </c>
      <c r="B1004" s="7">
        <v>2.394</v>
      </c>
      <c r="C1004" s="7">
        <v>2.5982</v>
      </c>
    </row>
    <row r="1005" spans="1:3">
      <c r="A1005" s="6">
        <v>41103</v>
      </c>
      <c r="B1005" s="7">
        <v>2.4008</v>
      </c>
      <c r="C1005" s="7">
        <v>2.5867</v>
      </c>
    </row>
    <row r="1006" spans="1:3">
      <c r="A1006" s="6">
        <v>41106</v>
      </c>
      <c r="B1006" s="7">
        <v>2.4454</v>
      </c>
      <c r="C1006" s="7">
        <v>2.6565</v>
      </c>
    </row>
    <row r="1007" spans="1:3">
      <c r="A1007" s="6">
        <v>41107</v>
      </c>
      <c r="B1007" s="7">
        <v>2.4879</v>
      </c>
      <c r="C1007" s="7">
        <v>2.6877</v>
      </c>
    </row>
    <row r="1008" spans="1:3">
      <c r="A1008" s="6">
        <v>41108</v>
      </c>
      <c r="B1008" s="7">
        <v>2.5133</v>
      </c>
      <c r="C1008" s="7">
        <v>2.7007</v>
      </c>
    </row>
    <row r="1009" spans="1:3">
      <c r="A1009" s="6">
        <v>41109</v>
      </c>
      <c r="B1009" s="7">
        <v>2.5223</v>
      </c>
      <c r="C1009" s="7">
        <v>2.7025</v>
      </c>
    </row>
    <row r="1010" spans="1:3">
      <c r="A1010" s="6">
        <v>41110</v>
      </c>
      <c r="B1010" s="7">
        <v>2.5119</v>
      </c>
      <c r="C1010" s="7">
        <v>2.688</v>
      </c>
    </row>
    <row r="1011" spans="1:3">
      <c r="A1011" s="6">
        <v>41113</v>
      </c>
      <c r="B1011" s="7">
        <v>2.5508</v>
      </c>
      <c r="C1011" s="7">
        <v>2.7018</v>
      </c>
    </row>
    <row r="1012" spans="1:3">
      <c r="A1012" s="6">
        <v>41114</v>
      </c>
      <c r="B1012" s="7">
        <v>2.5404</v>
      </c>
      <c r="C1012" s="7">
        <v>2.6758</v>
      </c>
    </row>
    <row r="1013" spans="1:3">
      <c r="A1013" s="6">
        <v>41115</v>
      </c>
      <c r="B1013" s="7">
        <v>2.508</v>
      </c>
      <c r="C1013" s="7">
        <v>2.6718</v>
      </c>
    </row>
    <row r="1014" spans="1:3">
      <c r="A1014" s="6">
        <v>41116</v>
      </c>
      <c r="B1014" s="7">
        <v>2.539</v>
      </c>
      <c r="C1014" s="7">
        <v>2.685</v>
      </c>
    </row>
    <row r="1015" spans="1:3">
      <c r="A1015" s="6">
        <v>41117</v>
      </c>
      <c r="B1015" s="7">
        <v>2.5716</v>
      </c>
      <c r="C1015" s="7">
        <v>2.7263</v>
      </c>
    </row>
    <row r="1016" spans="1:3">
      <c r="A1016" s="6">
        <v>41120</v>
      </c>
      <c r="B1016" s="7">
        <v>2.6</v>
      </c>
      <c r="C1016" s="7">
        <v>2.7</v>
      </c>
    </row>
    <row r="1017" spans="1:3">
      <c r="A1017" s="6">
        <v>41121</v>
      </c>
      <c r="B1017" s="7">
        <v>2.5984</v>
      </c>
      <c r="C1017" s="7">
        <v>2.7334</v>
      </c>
    </row>
    <row r="1018" spans="1:3">
      <c r="A1018" s="6">
        <v>41122</v>
      </c>
      <c r="B1018" s="7">
        <v>2.5929</v>
      </c>
      <c r="C1018" s="7">
        <v>2.7231</v>
      </c>
    </row>
    <row r="1019" spans="1:3">
      <c r="A1019" s="6">
        <v>41123</v>
      </c>
      <c r="B1019" s="7">
        <v>2.6012</v>
      </c>
      <c r="C1019" s="7">
        <v>2.7296</v>
      </c>
    </row>
    <row r="1020" spans="1:3">
      <c r="A1020" s="6">
        <v>41124</v>
      </c>
      <c r="B1020" s="7">
        <v>2.605</v>
      </c>
      <c r="C1020" s="7">
        <v>2.7257</v>
      </c>
    </row>
    <row r="1021" spans="1:3">
      <c r="A1021" s="6">
        <v>41127</v>
      </c>
      <c r="B1021" s="7">
        <v>2.6799</v>
      </c>
      <c r="C1021" s="7">
        <v>2.8223</v>
      </c>
    </row>
    <row r="1022" spans="1:3">
      <c r="A1022" s="6">
        <v>41128</v>
      </c>
      <c r="B1022" s="7">
        <v>2.7754</v>
      </c>
      <c r="C1022" s="7">
        <v>2.8608</v>
      </c>
    </row>
    <row r="1023" spans="1:3">
      <c r="A1023" s="6">
        <v>41129</v>
      </c>
      <c r="B1023" s="7">
        <v>2.7843</v>
      </c>
      <c r="C1023" s="7">
        <v>2.8956</v>
      </c>
    </row>
    <row r="1024" spans="1:3">
      <c r="A1024" s="6">
        <v>41131</v>
      </c>
      <c r="B1024" s="7">
        <v>2.6889</v>
      </c>
      <c r="C1024" s="7">
        <v>2.8098</v>
      </c>
    </row>
    <row r="1025" spans="1:3">
      <c r="A1025" s="6">
        <v>41134</v>
      </c>
      <c r="B1025" s="7">
        <v>2.7641</v>
      </c>
      <c r="C1025" s="7">
        <v>2.8491</v>
      </c>
    </row>
    <row r="1026" spans="1:3">
      <c r="A1026" s="6">
        <v>41135</v>
      </c>
      <c r="B1026" s="7">
        <v>2.8031</v>
      </c>
      <c r="C1026" s="7">
        <v>2.884</v>
      </c>
    </row>
    <row r="1027" spans="1:3">
      <c r="A1027" s="6">
        <v>41136</v>
      </c>
      <c r="B1027" s="7">
        <v>2.8598</v>
      </c>
      <c r="C1027" s="7">
        <v>2.9447</v>
      </c>
    </row>
    <row r="1028" spans="1:3">
      <c r="A1028" s="6">
        <v>41137</v>
      </c>
      <c r="B1028" s="7">
        <v>2.8927</v>
      </c>
      <c r="C1028" s="7">
        <v>2.9317</v>
      </c>
    </row>
    <row r="1029" spans="1:3">
      <c r="A1029" s="6">
        <v>41138</v>
      </c>
      <c r="B1029" s="7">
        <v>2.8963</v>
      </c>
      <c r="C1029" s="7">
        <v>2.9226</v>
      </c>
    </row>
    <row r="1030" spans="1:3">
      <c r="A1030" s="6">
        <v>41141</v>
      </c>
      <c r="B1030" s="7">
        <v>3.0033</v>
      </c>
      <c r="C1030" s="7">
        <v>2.9572</v>
      </c>
    </row>
    <row r="1031" spans="1:3">
      <c r="A1031" s="6">
        <v>41142</v>
      </c>
      <c r="B1031" s="7">
        <v>3.0625</v>
      </c>
      <c r="C1031" s="7">
        <v>3.0482</v>
      </c>
    </row>
    <row r="1032" spans="1:3">
      <c r="A1032" s="6">
        <v>41143</v>
      </c>
      <c r="B1032" s="7">
        <v>3.1523</v>
      </c>
      <c r="C1032" s="7">
        <v>3.1393</v>
      </c>
    </row>
    <row r="1033" spans="1:3">
      <c r="A1033" s="6">
        <v>41144</v>
      </c>
      <c r="B1033" s="7">
        <v>3.1605</v>
      </c>
      <c r="C1033" s="7">
        <v>3.1399</v>
      </c>
    </row>
    <row r="1034" spans="1:3">
      <c r="A1034" s="6">
        <v>41145</v>
      </c>
      <c r="B1034" s="7">
        <v>3.0888</v>
      </c>
      <c r="C1034" s="7">
        <v>3.0848</v>
      </c>
    </row>
    <row r="1035" spans="1:3">
      <c r="A1035" s="6">
        <v>41148</v>
      </c>
      <c r="B1035" s="7">
        <v>3.1069</v>
      </c>
      <c r="C1035" s="7">
        <v>3.1089</v>
      </c>
    </row>
    <row r="1036" spans="1:3">
      <c r="A1036" s="6">
        <v>41149</v>
      </c>
      <c r="B1036" s="7">
        <v>3.0692</v>
      </c>
      <c r="C1036" s="7">
        <v>3.0664</v>
      </c>
    </row>
    <row r="1037" spans="1:3">
      <c r="A1037" s="6">
        <v>41150</v>
      </c>
      <c r="B1037" s="7">
        <v>3.0946</v>
      </c>
      <c r="C1037" s="7">
        <v>3.09</v>
      </c>
    </row>
    <row r="1038" spans="1:3">
      <c r="A1038" s="6">
        <v>41151</v>
      </c>
      <c r="B1038" s="7">
        <v>3.1078</v>
      </c>
      <c r="C1038" s="7">
        <v>3.0904</v>
      </c>
    </row>
    <row r="1039" spans="1:3">
      <c r="A1039" s="6">
        <v>41152</v>
      </c>
      <c r="B1039" s="7">
        <v>3.1044</v>
      </c>
      <c r="C1039" s="7">
        <v>3.0968</v>
      </c>
    </row>
    <row r="1040" spans="1:3">
      <c r="A1040" s="6">
        <v>41155</v>
      </c>
      <c r="B1040" s="7">
        <v>3.0636</v>
      </c>
      <c r="C1040" s="7">
        <v>3.0261</v>
      </c>
    </row>
    <row r="1041" spans="1:3">
      <c r="A1041" s="6">
        <v>41156</v>
      </c>
      <c r="B1041" s="7">
        <v>3.004</v>
      </c>
      <c r="C1041" s="7">
        <v>2.9736</v>
      </c>
    </row>
    <row r="1042" spans="1:3">
      <c r="A1042" s="6">
        <v>41157</v>
      </c>
      <c r="B1042" s="7">
        <v>3.0246</v>
      </c>
      <c r="C1042" s="7">
        <v>2.9971</v>
      </c>
    </row>
    <row r="1043" spans="1:3">
      <c r="A1043" s="6">
        <v>41158</v>
      </c>
      <c r="B1043" s="7">
        <v>3.0272</v>
      </c>
      <c r="C1043" s="7">
        <v>2.995</v>
      </c>
    </row>
    <row r="1044" spans="1:3">
      <c r="A1044" s="6">
        <v>41159</v>
      </c>
      <c r="B1044" s="7">
        <v>3.0754</v>
      </c>
      <c r="C1044" s="7">
        <v>3.086</v>
      </c>
    </row>
    <row r="1045" spans="1:3">
      <c r="A1045" s="6">
        <v>41162</v>
      </c>
      <c r="B1045" s="7">
        <v>3.0838</v>
      </c>
      <c r="C1045" s="7">
        <v>3.1085</v>
      </c>
    </row>
    <row r="1046" spans="1:3">
      <c r="A1046" s="6">
        <v>41163</v>
      </c>
      <c r="B1046" s="7">
        <v>3.0389</v>
      </c>
      <c r="C1046" s="7">
        <v>3.1248</v>
      </c>
    </row>
    <row r="1047" spans="1:3">
      <c r="A1047" s="6">
        <v>41164</v>
      </c>
      <c r="B1047" s="7">
        <v>3.0995</v>
      </c>
      <c r="C1047" s="7">
        <v>3.2072</v>
      </c>
    </row>
    <row r="1048" spans="1:3">
      <c r="A1048" s="6">
        <v>41165</v>
      </c>
      <c r="B1048" s="7">
        <v>3.1391</v>
      </c>
      <c r="C1048" s="7">
        <v>3.2414</v>
      </c>
    </row>
    <row r="1049" spans="1:3">
      <c r="A1049" s="6">
        <v>41166</v>
      </c>
      <c r="B1049" s="7">
        <v>3.2007</v>
      </c>
      <c r="C1049" s="7">
        <v>3.3398</v>
      </c>
    </row>
    <row r="1050" spans="1:3">
      <c r="A1050" s="6">
        <v>41169</v>
      </c>
      <c r="B1050" s="7">
        <v>3.2275</v>
      </c>
      <c r="C1050" s="7">
        <v>3.3769</v>
      </c>
    </row>
    <row r="1051" spans="1:3">
      <c r="A1051" s="6">
        <v>41170</v>
      </c>
      <c r="B1051" s="7">
        <v>3.1789</v>
      </c>
      <c r="C1051" s="7">
        <v>3.2952</v>
      </c>
    </row>
    <row r="1052" spans="1:3">
      <c r="A1052" s="6">
        <v>41171</v>
      </c>
      <c r="B1052" s="7">
        <v>3.2277</v>
      </c>
      <c r="C1052" s="7">
        <v>3.3008</v>
      </c>
    </row>
    <row r="1053" spans="1:3">
      <c r="A1053" s="6">
        <v>41172</v>
      </c>
      <c r="B1053" s="7">
        <v>3.2431</v>
      </c>
      <c r="C1053" s="7">
        <v>3.2605</v>
      </c>
    </row>
    <row r="1054" spans="1:3">
      <c r="A1054" s="6">
        <v>41173</v>
      </c>
      <c r="B1054" s="7">
        <v>3.239</v>
      </c>
      <c r="C1054" s="7">
        <v>3.2455</v>
      </c>
    </row>
    <row r="1055" spans="1:3">
      <c r="A1055" s="6">
        <v>41176</v>
      </c>
      <c r="B1055" s="7">
        <v>3.2542</v>
      </c>
      <c r="C1055" s="7">
        <v>3.2388</v>
      </c>
    </row>
    <row r="1056" spans="1:3">
      <c r="A1056" s="6">
        <v>41177</v>
      </c>
      <c r="B1056" s="7">
        <v>3.1857</v>
      </c>
      <c r="C1056" s="7">
        <v>3.1777</v>
      </c>
    </row>
    <row r="1057" spans="1:3">
      <c r="A1057" s="6">
        <v>41178</v>
      </c>
      <c r="B1057" s="7">
        <v>3.1222</v>
      </c>
      <c r="C1057" s="7">
        <v>3.1467</v>
      </c>
    </row>
    <row r="1058" spans="1:3">
      <c r="A1058" s="6">
        <v>41179</v>
      </c>
      <c r="B1058" s="7">
        <v>3.1123</v>
      </c>
      <c r="C1058" s="7">
        <v>3.1451</v>
      </c>
    </row>
    <row r="1059" spans="1:3">
      <c r="A1059" s="6">
        <v>41180</v>
      </c>
      <c r="B1059" s="7">
        <v>3.1143</v>
      </c>
      <c r="C1059" s="7">
        <v>3.1713</v>
      </c>
    </row>
    <row r="1060" spans="1:3">
      <c r="A1060" s="6">
        <v>41190</v>
      </c>
      <c r="B1060" s="7">
        <v>3.16</v>
      </c>
      <c r="C1060" s="7">
        <v>3.155</v>
      </c>
    </row>
    <row r="1061" spans="1:3">
      <c r="A1061" s="6">
        <v>41191</v>
      </c>
      <c r="B1061" s="7">
        <v>3.148</v>
      </c>
      <c r="C1061" s="7"/>
    </row>
    <row r="1062" spans="1:3">
      <c r="A1062" s="6">
        <v>41192</v>
      </c>
      <c r="B1062" s="7">
        <v>3.1525</v>
      </c>
      <c r="C1062" s="7">
        <v>3.2238</v>
      </c>
    </row>
    <row r="1063" spans="1:3">
      <c r="A1063" s="6">
        <v>41193</v>
      </c>
      <c r="B1063" s="7">
        <v>3.1428</v>
      </c>
      <c r="C1063" s="7">
        <v>3.2181</v>
      </c>
    </row>
    <row r="1064" spans="1:3">
      <c r="A1064" s="6">
        <v>41194</v>
      </c>
      <c r="B1064" s="7">
        <v>3.1217</v>
      </c>
      <c r="C1064" s="7">
        <v>3.2073</v>
      </c>
    </row>
    <row r="1065" spans="1:3">
      <c r="A1065" s="6">
        <v>41197</v>
      </c>
      <c r="B1065" s="7">
        <v>3.0954</v>
      </c>
      <c r="C1065" s="7">
        <v>3.1957</v>
      </c>
    </row>
    <row r="1066" spans="1:3">
      <c r="A1066" s="6">
        <v>41198</v>
      </c>
      <c r="B1066" s="7">
        <v>3.1067</v>
      </c>
      <c r="C1066" s="7">
        <v>3.2199</v>
      </c>
    </row>
    <row r="1067" spans="1:3">
      <c r="A1067" s="6">
        <v>41199</v>
      </c>
      <c r="B1067" s="7">
        <v>3.1121</v>
      </c>
      <c r="C1067" s="7">
        <v>3.2724</v>
      </c>
    </row>
    <row r="1068" spans="1:3">
      <c r="A1068" s="6">
        <v>41200</v>
      </c>
      <c r="B1068" s="7">
        <v>3.1091</v>
      </c>
      <c r="C1068" s="7">
        <v>3.3136</v>
      </c>
    </row>
    <row r="1069" spans="1:3">
      <c r="A1069" s="6">
        <v>41201</v>
      </c>
      <c r="B1069" s="7">
        <v>3.1006</v>
      </c>
      <c r="C1069" s="7"/>
    </row>
    <row r="1070" spans="1:3">
      <c r="A1070" s="6">
        <v>41204</v>
      </c>
      <c r="B1070" s="7">
        <v>3.0821</v>
      </c>
      <c r="C1070" s="7">
        <v>3.2786</v>
      </c>
    </row>
    <row r="1071" spans="1:3">
      <c r="A1071" s="6">
        <v>41205</v>
      </c>
      <c r="B1071" s="7">
        <v>3.1287</v>
      </c>
      <c r="C1071" s="7">
        <v>3.2973</v>
      </c>
    </row>
    <row r="1072" spans="1:3">
      <c r="A1072" s="6">
        <v>41206</v>
      </c>
      <c r="B1072" s="7">
        <v>3.1594</v>
      </c>
      <c r="C1072" s="7">
        <v>3.3</v>
      </c>
    </row>
    <row r="1073" spans="1:3">
      <c r="A1073" s="6">
        <v>41207</v>
      </c>
      <c r="B1073" s="7">
        <v>3.1652</v>
      </c>
      <c r="C1073" s="7">
        <v>3.3139</v>
      </c>
    </row>
    <row r="1074" spans="1:3">
      <c r="A1074" s="6">
        <v>41208</v>
      </c>
      <c r="B1074" s="7">
        <v>3.1933</v>
      </c>
      <c r="C1074" s="7">
        <v>3.3358</v>
      </c>
    </row>
    <row r="1075" spans="1:3">
      <c r="A1075" s="6">
        <v>41211</v>
      </c>
      <c r="B1075" s="7">
        <v>3.1819</v>
      </c>
      <c r="C1075" s="7">
        <v>3.335</v>
      </c>
    </row>
    <row r="1076" spans="1:3">
      <c r="A1076" s="6">
        <v>41212</v>
      </c>
      <c r="B1076" s="7">
        <v>3.1581</v>
      </c>
      <c r="C1076" s="7">
        <v>3.3318</v>
      </c>
    </row>
    <row r="1077" spans="1:3">
      <c r="A1077" s="6">
        <v>41213</v>
      </c>
      <c r="B1077" s="7">
        <v>3.1786</v>
      </c>
      <c r="C1077" s="7">
        <v>3.3674</v>
      </c>
    </row>
    <row r="1078" spans="1:3">
      <c r="A1078" s="6">
        <v>41214</v>
      </c>
      <c r="B1078" s="7">
        <v>3.2056</v>
      </c>
      <c r="C1078" s="7">
        <v>3.4075</v>
      </c>
    </row>
    <row r="1079" spans="1:3">
      <c r="A1079" s="6">
        <v>41215</v>
      </c>
      <c r="B1079" s="7">
        <v>3.1914</v>
      </c>
      <c r="C1079" s="7">
        <v>3.4368</v>
      </c>
    </row>
    <row r="1080" spans="1:3">
      <c r="A1080" s="6">
        <v>41218</v>
      </c>
      <c r="B1080" s="7">
        <v>3.2122</v>
      </c>
      <c r="C1080" s="7">
        <v>3.4352</v>
      </c>
    </row>
    <row r="1081" spans="1:3">
      <c r="A1081" s="6">
        <v>41219</v>
      </c>
      <c r="B1081" s="7">
        <v>3.1839</v>
      </c>
      <c r="C1081" s="7">
        <v>3.4064</v>
      </c>
    </row>
    <row r="1082" spans="1:3">
      <c r="A1082" s="6">
        <v>41220</v>
      </c>
      <c r="B1082" s="7">
        <v>3.1885</v>
      </c>
      <c r="C1082" s="7">
        <v>3.4</v>
      </c>
    </row>
    <row r="1083" spans="1:3">
      <c r="A1083" s="6">
        <v>41221</v>
      </c>
      <c r="B1083" s="7">
        <v>3.1971</v>
      </c>
      <c r="C1083" s="7">
        <v>3.4101</v>
      </c>
    </row>
    <row r="1084" spans="1:3">
      <c r="A1084" s="6">
        <v>41222</v>
      </c>
      <c r="B1084" s="7">
        <v>3.195</v>
      </c>
      <c r="C1084" s="7">
        <v>3.3983</v>
      </c>
    </row>
    <row r="1085" spans="1:3">
      <c r="A1085" s="6">
        <v>41225</v>
      </c>
      <c r="B1085" s="7">
        <v>3.1917</v>
      </c>
      <c r="C1085" s="7"/>
    </row>
    <row r="1086" spans="1:3">
      <c r="A1086" s="6">
        <v>41226</v>
      </c>
      <c r="B1086" s="7">
        <v>3.1798</v>
      </c>
      <c r="C1086" s="7">
        <v>3.4038</v>
      </c>
    </row>
    <row r="1087" spans="1:3">
      <c r="A1087" s="6">
        <v>41227</v>
      </c>
      <c r="B1087" s="7">
        <v>3.1997</v>
      </c>
      <c r="C1087" s="7">
        <v>3.408</v>
      </c>
    </row>
    <row r="1088" spans="1:3">
      <c r="A1088" s="6">
        <v>41228</v>
      </c>
      <c r="B1088" s="7">
        <v>3.2231</v>
      </c>
      <c r="C1088" s="7">
        <v>3.4409</v>
      </c>
    </row>
    <row r="1089" spans="1:3">
      <c r="A1089" s="6">
        <v>41229</v>
      </c>
      <c r="B1089" s="7">
        <v>3.2408</v>
      </c>
      <c r="C1089" s="7">
        <v>3.4535</v>
      </c>
    </row>
    <row r="1090" spans="1:3">
      <c r="A1090" s="6">
        <v>41232</v>
      </c>
      <c r="B1090" s="7"/>
      <c r="C1090" s="7">
        <v>3.4433</v>
      </c>
    </row>
    <row r="1091" spans="1:3">
      <c r="A1091" s="6">
        <v>41233</v>
      </c>
      <c r="B1091" s="7">
        <v>3.2743</v>
      </c>
      <c r="C1091" s="7">
        <v>3.4751</v>
      </c>
    </row>
    <row r="1092" spans="1:3">
      <c r="A1092" s="6">
        <v>41234</v>
      </c>
      <c r="B1092" s="7">
        <v>3.285</v>
      </c>
      <c r="C1092" s="7">
        <v>3.5123</v>
      </c>
    </row>
    <row r="1093" spans="1:3">
      <c r="A1093" s="6">
        <v>41235</v>
      </c>
      <c r="B1093" s="7">
        <v>3.3315</v>
      </c>
      <c r="C1093" s="7">
        <v>3.5552</v>
      </c>
    </row>
    <row r="1094" spans="1:3">
      <c r="A1094" s="6">
        <v>41236</v>
      </c>
      <c r="B1094" s="7">
        <v>3.3217</v>
      </c>
      <c r="C1094" s="7">
        <v>3.5681</v>
      </c>
    </row>
    <row r="1095" spans="1:3">
      <c r="A1095" s="6">
        <v>41239</v>
      </c>
      <c r="B1095" s="7">
        <v>3.3235</v>
      </c>
      <c r="C1095" s="7">
        <v>3.5752</v>
      </c>
    </row>
    <row r="1096" spans="1:3">
      <c r="A1096" s="6">
        <v>41240</v>
      </c>
      <c r="B1096" s="7">
        <v>3.348</v>
      </c>
      <c r="C1096" s="7">
        <v>3.6059</v>
      </c>
    </row>
    <row r="1097" spans="1:3">
      <c r="A1097" s="6">
        <v>41241</v>
      </c>
      <c r="B1097" s="7">
        <v>3.4034</v>
      </c>
      <c r="C1097" s="7">
        <v>3.64</v>
      </c>
    </row>
    <row r="1098" spans="1:3">
      <c r="A1098" s="6">
        <v>41242</v>
      </c>
      <c r="B1098" s="7">
        <v>3.4559</v>
      </c>
      <c r="C1098" s="7">
        <v>3.635</v>
      </c>
    </row>
    <row r="1099" spans="1:3">
      <c r="A1099" s="6">
        <v>41243</v>
      </c>
      <c r="B1099" s="7">
        <v>3.42</v>
      </c>
      <c r="C1099" s="7">
        <v>3.6475</v>
      </c>
    </row>
    <row r="1100" spans="1:3">
      <c r="A1100" s="6">
        <v>41246</v>
      </c>
      <c r="B1100" s="7">
        <v>3.4088</v>
      </c>
      <c r="C1100" s="7">
        <v>3.64</v>
      </c>
    </row>
    <row r="1101" spans="1:3">
      <c r="A1101" s="6">
        <v>41247</v>
      </c>
      <c r="B1101" s="7">
        <v>3.3947</v>
      </c>
      <c r="C1101" s="7">
        <v>3.6374</v>
      </c>
    </row>
    <row r="1102" spans="1:3">
      <c r="A1102" s="6">
        <v>41248</v>
      </c>
      <c r="B1102" s="7">
        <v>3.3529</v>
      </c>
      <c r="C1102" s="7">
        <v>3.5819</v>
      </c>
    </row>
    <row r="1103" spans="1:3">
      <c r="A1103" s="6">
        <v>41249</v>
      </c>
      <c r="B1103" s="7">
        <v>3.3486</v>
      </c>
      <c r="C1103" s="7">
        <v>3.5925</v>
      </c>
    </row>
    <row r="1104" spans="1:3">
      <c r="A1104" s="6">
        <v>41250</v>
      </c>
      <c r="B1104" s="7">
        <v>3.3613</v>
      </c>
      <c r="C1104" s="7">
        <v>3.5742</v>
      </c>
    </row>
    <row r="1105" spans="1:3">
      <c r="A1105" s="6">
        <v>41253</v>
      </c>
      <c r="B1105" s="7">
        <v>3.4066</v>
      </c>
      <c r="C1105" s="7">
        <v>3.6343</v>
      </c>
    </row>
    <row r="1106" spans="1:3">
      <c r="A1106" s="6">
        <v>41254</v>
      </c>
      <c r="B1106" s="7">
        <v>3.3725</v>
      </c>
      <c r="C1106" s="7">
        <v>3.63</v>
      </c>
    </row>
    <row r="1107" spans="1:3">
      <c r="A1107" s="6">
        <v>41255</v>
      </c>
      <c r="B1107" s="7">
        <v>3.3259</v>
      </c>
      <c r="C1107" s="7">
        <v>3.6121</v>
      </c>
    </row>
    <row r="1108" spans="1:3">
      <c r="A1108" s="6">
        <v>41256</v>
      </c>
      <c r="B1108" s="7">
        <v>3.3471</v>
      </c>
      <c r="C1108" s="7">
        <v>3.6529</v>
      </c>
    </row>
    <row r="1109" spans="1:3">
      <c r="A1109" s="6">
        <v>41257</v>
      </c>
      <c r="B1109" s="7">
        <v>3.342</v>
      </c>
      <c r="C1109" s="7">
        <v>3.6567</v>
      </c>
    </row>
    <row r="1110" spans="1:3">
      <c r="A1110" s="6">
        <v>41260</v>
      </c>
      <c r="B1110" s="7">
        <v>3.325</v>
      </c>
      <c r="C1110" s="7">
        <v>3.6589</v>
      </c>
    </row>
    <row r="1111" spans="1:3">
      <c r="A1111" s="6">
        <v>41261</v>
      </c>
      <c r="B1111" s="7">
        <v>3.3352</v>
      </c>
      <c r="C1111" s="7">
        <v>3.6529</v>
      </c>
    </row>
    <row r="1112" spans="1:3">
      <c r="A1112" s="6">
        <v>41262</v>
      </c>
      <c r="B1112" s="7">
        <v>3.3616</v>
      </c>
      <c r="C1112" s="7">
        <v>3.6991</v>
      </c>
    </row>
    <row r="1113" spans="1:3">
      <c r="A1113" s="6">
        <v>41263</v>
      </c>
      <c r="B1113" s="7">
        <v>3.3567</v>
      </c>
      <c r="C1113" s="7">
        <v>3.71</v>
      </c>
    </row>
    <row r="1114" spans="1:3">
      <c r="A1114" s="6">
        <v>41264</v>
      </c>
      <c r="B1114" s="7">
        <v>3.3482</v>
      </c>
      <c r="C1114" s="7">
        <v>3.6877</v>
      </c>
    </row>
    <row r="1115" spans="1:3">
      <c r="A1115" s="6">
        <v>41267</v>
      </c>
      <c r="B1115" s="7">
        <v>3.3452</v>
      </c>
      <c r="C1115" s="7">
        <v>3.6888</v>
      </c>
    </row>
    <row r="1116" spans="1:3">
      <c r="A1116" s="6">
        <v>41268</v>
      </c>
      <c r="B1116" s="7">
        <v>3.3455</v>
      </c>
      <c r="C1116" s="7">
        <v>3.6865</v>
      </c>
    </row>
    <row r="1117" spans="1:3">
      <c r="A1117" s="6">
        <v>41269</v>
      </c>
      <c r="B1117" s="7">
        <v>3.347</v>
      </c>
      <c r="C1117" s="7">
        <v>3.6875</v>
      </c>
    </row>
    <row r="1118" spans="1:3">
      <c r="A1118" s="6">
        <v>41270</v>
      </c>
      <c r="B1118" s="7">
        <v>3.345</v>
      </c>
      <c r="C1118" s="7">
        <v>3.6775</v>
      </c>
    </row>
    <row r="1119" spans="1:3">
      <c r="A1119" s="6">
        <v>41271</v>
      </c>
      <c r="B1119" s="7">
        <v>3.36</v>
      </c>
      <c r="C1119" s="7"/>
    </row>
    <row r="1120" spans="1:3">
      <c r="A1120" s="6">
        <v>41274</v>
      </c>
      <c r="B1120" s="7"/>
      <c r="C1120" s="7">
        <v>3.695</v>
      </c>
    </row>
    <row r="1121" spans="1:3">
      <c r="A1121" s="6">
        <v>41278</v>
      </c>
      <c r="B1121" s="7">
        <v>3.4358</v>
      </c>
      <c r="C1121" s="7">
        <v>3.7906</v>
      </c>
    </row>
    <row r="1122" spans="1:3">
      <c r="A1122" s="6">
        <v>41279</v>
      </c>
      <c r="B1122" s="7">
        <v>3.4088</v>
      </c>
      <c r="C1122" s="7">
        <v>3.7875</v>
      </c>
    </row>
    <row r="1123" spans="1:3">
      <c r="A1123" s="6">
        <v>41281</v>
      </c>
      <c r="B1123" s="7">
        <v>3.4049</v>
      </c>
      <c r="C1123" s="7">
        <v>3.792</v>
      </c>
    </row>
    <row r="1124" spans="1:3">
      <c r="A1124" s="6">
        <v>41282</v>
      </c>
      <c r="B1124" s="7">
        <v>3.3629</v>
      </c>
      <c r="C1124" s="7">
        <v>3.744</v>
      </c>
    </row>
    <row r="1125" spans="1:3">
      <c r="A1125" s="6">
        <v>41283</v>
      </c>
      <c r="B1125" s="7">
        <v>3.3404</v>
      </c>
      <c r="C1125" s="7">
        <v>3.7421</v>
      </c>
    </row>
    <row r="1126" spans="1:3">
      <c r="A1126" s="6">
        <v>41284</v>
      </c>
      <c r="B1126" s="7">
        <v>3.3556</v>
      </c>
      <c r="C1126" s="7">
        <v>3.7576</v>
      </c>
    </row>
    <row r="1127" spans="1:3">
      <c r="A1127" s="6">
        <v>41285</v>
      </c>
      <c r="B1127" s="7">
        <v>3.3535</v>
      </c>
      <c r="C1127" s="7">
        <v>3.8322</v>
      </c>
    </row>
    <row r="1128" spans="1:3">
      <c r="A1128" s="6">
        <v>41288</v>
      </c>
      <c r="B1128" s="7">
        <v>3.4757</v>
      </c>
      <c r="C1128" s="7">
        <v>3.8111</v>
      </c>
    </row>
    <row r="1129" spans="1:3">
      <c r="A1129" s="6">
        <v>41289</v>
      </c>
      <c r="B1129" s="7">
        <v>3.3413</v>
      </c>
      <c r="C1129" s="7">
        <v>3.8372</v>
      </c>
    </row>
    <row r="1130" spans="1:3">
      <c r="A1130" s="6">
        <v>41290</v>
      </c>
      <c r="B1130" s="7">
        <v>3.3355</v>
      </c>
      <c r="C1130" s="7">
        <v>3.8018</v>
      </c>
    </row>
    <row r="1131" spans="1:3">
      <c r="A1131" s="6">
        <v>41291</v>
      </c>
      <c r="B1131" s="7">
        <v>3.307</v>
      </c>
      <c r="C1131" s="7">
        <v>3.7545</v>
      </c>
    </row>
    <row r="1132" spans="1:3">
      <c r="A1132" s="6">
        <v>41292</v>
      </c>
      <c r="B1132" s="7">
        <v>3.2182</v>
      </c>
      <c r="C1132" s="7">
        <v>3.6844</v>
      </c>
    </row>
    <row r="1133" spans="1:3">
      <c r="A1133" s="6">
        <v>41295</v>
      </c>
      <c r="B1133" s="7">
        <v>3.1485</v>
      </c>
      <c r="C1133" s="7">
        <v>3.6052</v>
      </c>
    </row>
    <row r="1134" spans="1:3">
      <c r="A1134" s="6">
        <v>41296</v>
      </c>
      <c r="B1134" s="7">
        <v>3.1755</v>
      </c>
      <c r="C1134" s="7">
        <v>3.63</v>
      </c>
    </row>
    <row r="1135" spans="1:3">
      <c r="A1135" s="6">
        <v>41297</v>
      </c>
      <c r="B1135" s="7">
        <v>3.2099</v>
      </c>
      <c r="C1135" s="7">
        <v>3.6556</v>
      </c>
    </row>
    <row r="1136" spans="1:3">
      <c r="A1136" s="6">
        <v>41298</v>
      </c>
      <c r="B1136" s="7">
        <v>3.1968</v>
      </c>
      <c r="C1136" s="7">
        <v>3.6425</v>
      </c>
    </row>
    <row r="1137" spans="1:3">
      <c r="A1137" s="6">
        <v>41299</v>
      </c>
      <c r="B1137" s="7">
        <v>3.1551</v>
      </c>
      <c r="C1137" s="7">
        <v>3.6334</v>
      </c>
    </row>
    <row r="1138" spans="1:3">
      <c r="A1138" s="6">
        <v>41302</v>
      </c>
      <c r="B1138" s="7">
        <v>3.16</v>
      </c>
      <c r="C1138" s="7">
        <v>3.6894</v>
      </c>
    </row>
    <row r="1139" spans="1:3">
      <c r="A1139" s="6">
        <v>41303</v>
      </c>
      <c r="B1139" s="7">
        <v>3.1819</v>
      </c>
      <c r="C1139" s="7">
        <v>3.7175</v>
      </c>
    </row>
    <row r="1140" spans="1:3">
      <c r="A1140" s="6">
        <v>41304</v>
      </c>
      <c r="B1140" s="7">
        <v>3.195</v>
      </c>
      <c r="C1140" s="7">
        <v>3.7678</v>
      </c>
    </row>
    <row r="1141" spans="1:3">
      <c r="A1141" s="6">
        <v>41305</v>
      </c>
      <c r="B1141" s="7">
        <v>3.1697</v>
      </c>
      <c r="C1141" s="7">
        <v>3.7689</v>
      </c>
    </row>
    <row r="1142" spans="1:3">
      <c r="A1142" s="6">
        <v>41306</v>
      </c>
      <c r="B1142" s="7">
        <v>3.1798</v>
      </c>
      <c r="C1142" s="7">
        <v>3.7657</v>
      </c>
    </row>
    <row r="1143" spans="1:3">
      <c r="A1143" s="6">
        <v>41309</v>
      </c>
      <c r="B1143" s="7">
        <v>3.1798</v>
      </c>
      <c r="C1143" s="7">
        <v>3.812</v>
      </c>
    </row>
    <row r="1144" spans="1:3">
      <c r="A1144" s="6">
        <v>41310</v>
      </c>
      <c r="B1144" s="7">
        <v>3.1552</v>
      </c>
      <c r="C1144" s="7">
        <v>3.775</v>
      </c>
    </row>
    <row r="1145" spans="1:3">
      <c r="A1145" s="6">
        <v>41311</v>
      </c>
      <c r="B1145" s="7">
        <v>3.1647</v>
      </c>
      <c r="C1145" s="7">
        <v>3.7772</v>
      </c>
    </row>
    <row r="1146" spans="1:3">
      <c r="A1146" s="6">
        <v>41312</v>
      </c>
      <c r="B1146" s="7">
        <v>3.1635</v>
      </c>
      <c r="C1146" s="7">
        <v>3.7463</v>
      </c>
    </row>
    <row r="1147" spans="1:3">
      <c r="A1147" s="6">
        <v>41313</v>
      </c>
      <c r="B1147" s="7">
        <v>3.1324</v>
      </c>
      <c r="C1147" s="7">
        <v>3.7158</v>
      </c>
    </row>
    <row r="1148" spans="1:3">
      <c r="A1148" s="6">
        <v>41321</v>
      </c>
      <c r="B1148" s="7">
        <v>3.09</v>
      </c>
      <c r="C1148" s="7">
        <v>3.6975</v>
      </c>
    </row>
    <row r="1149" spans="1:3">
      <c r="A1149" s="6">
        <v>41322</v>
      </c>
      <c r="B1149" s="7">
        <v>3.0729</v>
      </c>
      <c r="C1149" s="7"/>
    </row>
    <row r="1150" spans="1:3">
      <c r="A1150" s="6">
        <v>41323</v>
      </c>
      <c r="B1150" s="7">
        <v>3.1103</v>
      </c>
      <c r="C1150" s="7">
        <v>3.7288</v>
      </c>
    </row>
    <row r="1151" spans="1:3">
      <c r="A1151" s="6">
        <v>41324</v>
      </c>
      <c r="B1151" s="7">
        <v>3.1135</v>
      </c>
      <c r="C1151" s="7">
        <v>3.7113</v>
      </c>
    </row>
    <row r="1152" spans="1:3">
      <c r="A1152" s="6">
        <v>41325</v>
      </c>
      <c r="B1152" s="7">
        <v>3.1317</v>
      </c>
      <c r="C1152" s="7">
        <v>3.6985</v>
      </c>
    </row>
    <row r="1153" spans="1:3">
      <c r="A1153" s="6">
        <v>41326</v>
      </c>
      <c r="B1153" s="7">
        <v>3.1522</v>
      </c>
      <c r="C1153" s="7">
        <v>3.6833</v>
      </c>
    </row>
    <row r="1154" spans="1:3">
      <c r="A1154" s="6">
        <v>41327</v>
      </c>
      <c r="B1154" s="7">
        <v>3.1843</v>
      </c>
      <c r="C1154" s="7">
        <v>3.6948</v>
      </c>
    </row>
    <row r="1155" spans="1:3">
      <c r="A1155" s="6">
        <v>41330</v>
      </c>
      <c r="B1155" s="7">
        <v>3.2407</v>
      </c>
      <c r="C1155" s="7">
        <v>3.69</v>
      </c>
    </row>
    <row r="1156" spans="1:3">
      <c r="A1156" s="6">
        <v>41331</v>
      </c>
      <c r="B1156" s="7">
        <v>3.267</v>
      </c>
      <c r="C1156" s="7">
        <v>3.6671</v>
      </c>
    </row>
    <row r="1157" spans="1:3">
      <c r="A1157" s="6">
        <v>41332</v>
      </c>
      <c r="B1157" s="7">
        <v>3.2129</v>
      </c>
      <c r="C1157" s="7">
        <v>3.6497</v>
      </c>
    </row>
    <row r="1158" spans="1:3">
      <c r="A1158" s="6">
        <v>41333</v>
      </c>
      <c r="B1158" s="7">
        <v>3.3794</v>
      </c>
      <c r="C1158" s="7">
        <v>3.6995</v>
      </c>
    </row>
    <row r="1159" spans="1:3">
      <c r="A1159" s="6">
        <v>41334</v>
      </c>
      <c r="B1159" s="7">
        <v>3.2676</v>
      </c>
      <c r="C1159" s="7">
        <v>3.7025</v>
      </c>
    </row>
    <row r="1160" spans="1:3">
      <c r="A1160" s="6">
        <v>41337</v>
      </c>
      <c r="B1160" s="7">
        <v>3.2597</v>
      </c>
      <c r="C1160" s="7">
        <v>3.6524</v>
      </c>
    </row>
    <row r="1161" spans="1:3">
      <c r="A1161" s="6">
        <v>41338</v>
      </c>
      <c r="B1161" s="7">
        <v>3.2438</v>
      </c>
      <c r="C1161" s="7">
        <v>3.6419</v>
      </c>
    </row>
    <row r="1162" spans="1:3">
      <c r="A1162" s="6">
        <v>41339</v>
      </c>
      <c r="B1162" s="7">
        <v>3.4113</v>
      </c>
      <c r="C1162" s="7">
        <v>3.6686</v>
      </c>
    </row>
    <row r="1163" spans="1:3">
      <c r="A1163" s="6">
        <v>41340</v>
      </c>
      <c r="B1163" s="7">
        <v>3.2274</v>
      </c>
      <c r="C1163" s="7">
        <v>3.6729</v>
      </c>
    </row>
    <row r="1164" spans="1:3">
      <c r="A1164" s="6">
        <v>41341</v>
      </c>
      <c r="B1164" s="7">
        <v>3.2917</v>
      </c>
      <c r="C1164" s="7">
        <v>3.6721</v>
      </c>
    </row>
    <row r="1165" spans="1:3">
      <c r="A1165" s="6">
        <v>41344</v>
      </c>
      <c r="B1165" s="7">
        <v>3.2325</v>
      </c>
      <c r="C1165" s="7">
        <v>3.7002</v>
      </c>
    </row>
    <row r="1166" spans="1:3">
      <c r="A1166" s="6">
        <v>41345</v>
      </c>
      <c r="B1166" s="7">
        <v>3.2659</v>
      </c>
      <c r="C1166" s="7">
        <v>3.6936</v>
      </c>
    </row>
    <row r="1167" spans="1:3">
      <c r="A1167" s="6">
        <v>41346</v>
      </c>
      <c r="B1167" s="7">
        <v>3.2657</v>
      </c>
      <c r="C1167" s="7">
        <v>3.6725</v>
      </c>
    </row>
    <row r="1168" spans="1:3">
      <c r="A1168" s="6">
        <v>41347</v>
      </c>
      <c r="B1168" s="7">
        <v>3.2713</v>
      </c>
      <c r="C1168" s="7">
        <v>3.68</v>
      </c>
    </row>
    <row r="1169" spans="1:3">
      <c r="A1169" s="6">
        <v>41348</v>
      </c>
      <c r="B1169" s="7">
        <v>3.2782</v>
      </c>
      <c r="C1169" s="7">
        <v>3.694</v>
      </c>
    </row>
    <row r="1170" spans="1:3">
      <c r="A1170" s="6">
        <v>41351</v>
      </c>
      <c r="B1170" s="7">
        <v>3.2639</v>
      </c>
      <c r="C1170" s="7">
        <v>3.6609</v>
      </c>
    </row>
    <row r="1171" spans="1:3">
      <c r="A1171" s="6">
        <v>41352</v>
      </c>
      <c r="B1171" s="7">
        <v>3.27</v>
      </c>
      <c r="C1171" s="7">
        <v>3.6656</v>
      </c>
    </row>
    <row r="1172" spans="1:3">
      <c r="A1172" s="6">
        <v>41353</v>
      </c>
      <c r="B1172" s="7">
        <v>3.2677</v>
      </c>
      <c r="C1172" s="7">
        <v>3.6736</v>
      </c>
    </row>
    <row r="1173" spans="1:3">
      <c r="A1173" s="6">
        <v>41354</v>
      </c>
      <c r="B1173" s="7">
        <v>3.293</v>
      </c>
      <c r="C1173" s="7">
        <v>3.7024</v>
      </c>
    </row>
    <row r="1174" spans="1:3">
      <c r="A1174" s="6">
        <v>41355</v>
      </c>
      <c r="B1174" s="7">
        <v>3.2747</v>
      </c>
      <c r="C1174" s="7">
        <v>3.69</v>
      </c>
    </row>
    <row r="1175" spans="1:3">
      <c r="A1175" s="6">
        <v>41358</v>
      </c>
      <c r="B1175" s="7">
        <v>3.2816</v>
      </c>
      <c r="C1175" s="7">
        <v>3.6825</v>
      </c>
    </row>
    <row r="1176" spans="1:3">
      <c r="A1176" s="6">
        <v>41359</v>
      </c>
      <c r="B1176" s="7">
        <v>3.2771</v>
      </c>
      <c r="C1176" s="7">
        <v>3.6825</v>
      </c>
    </row>
    <row r="1177" spans="1:3">
      <c r="A1177" s="6">
        <v>41360</v>
      </c>
      <c r="B1177" s="7">
        <v>3.2783</v>
      </c>
      <c r="C1177" s="7">
        <v>3.6975</v>
      </c>
    </row>
    <row r="1178" spans="1:3">
      <c r="A1178" s="6">
        <v>41361</v>
      </c>
      <c r="B1178" s="7">
        <v>3.2708</v>
      </c>
      <c r="C1178" s="7">
        <v>3.6713</v>
      </c>
    </row>
    <row r="1179" spans="1:3">
      <c r="A1179" s="6">
        <v>41362</v>
      </c>
      <c r="B1179" s="7"/>
      <c r="C1179" s="7">
        <v>3.6675</v>
      </c>
    </row>
    <row r="1180" spans="1:3">
      <c r="A1180" s="6">
        <v>41365</v>
      </c>
      <c r="B1180" s="7"/>
      <c r="C1180" s="7">
        <v>3.6525</v>
      </c>
    </row>
    <row r="1181" spans="1:3">
      <c r="A1181" s="6">
        <v>41366</v>
      </c>
      <c r="B1181" s="7">
        <v>3.2662</v>
      </c>
      <c r="C1181" s="7">
        <v>3.6305</v>
      </c>
    </row>
    <row r="1182" spans="1:3">
      <c r="A1182" s="6">
        <v>41367</v>
      </c>
      <c r="B1182" s="7">
        <v>3.2651</v>
      </c>
      <c r="C1182" s="7">
        <v>3.6222</v>
      </c>
    </row>
    <row r="1183" spans="1:3">
      <c r="A1183" s="6">
        <v>41371</v>
      </c>
      <c r="B1183" s="7">
        <v>3.255</v>
      </c>
      <c r="C1183" s="7">
        <v>3.5756</v>
      </c>
    </row>
    <row r="1184" spans="1:3">
      <c r="A1184" s="6">
        <v>41372</v>
      </c>
      <c r="B1184" s="7">
        <v>3.2685</v>
      </c>
      <c r="C1184" s="7">
        <v>3.5809</v>
      </c>
    </row>
    <row r="1185" spans="1:3">
      <c r="A1185" s="6">
        <v>41373</v>
      </c>
      <c r="B1185" s="7">
        <v>3.263</v>
      </c>
      <c r="C1185" s="7">
        <v>3.5903</v>
      </c>
    </row>
    <row r="1186" spans="1:3">
      <c r="A1186" s="6">
        <v>41374</v>
      </c>
      <c r="B1186" s="7">
        <v>3.2675</v>
      </c>
      <c r="C1186" s="7">
        <v>3.591</v>
      </c>
    </row>
    <row r="1187" spans="1:3">
      <c r="A1187" s="6">
        <v>41375</v>
      </c>
      <c r="B1187" s="7">
        <v>3.2731</v>
      </c>
      <c r="C1187" s="7">
        <v>3.6037</v>
      </c>
    </row>
    <row r="1188" spans="1:3">
      <c r="A1188" s="6">
        <v>41376</v>
      </c>
      <c r="B1188" s="7">
        <v>3.256</v>
      </c>
      <c r="C1188" s="7">
        <v>3.5888</v>
      </c>
    </row>
    <row r="1189" spans="1:3">
      <c r="A1189" s="6">
        <v>41379</v>
      </c>
      <c r="B1189" s="7">
        <v>3.2547</v>
      </c>
      <c r="C1189" s="7">
        <v>3.5701</v>
      </c>
    </row>
    <row r="1190" spans="1:3">
      <c r="A1190" s="6">
        <v>41380</v>
      </c>
      <c r="B1190" s="7">
        <v>3.2189</v>
      </c>
      <c r="C1190" s="7">
        <v>3.5208</v>
      </c>
    </row>
    <row r="1191" spans="1:3">
      <c r="A1191" s="6">
        <v>41381</v>
      </c>
      <c r="B1191" s="7">
        <v>3.2272</v>
      </c>
      <c r="C1191" s="7">
        <v>3.5313</v>
      </c>
    </row>
    <row r="1192" spans="1:3">
      <c r="A1192" s="6">
        <v>41382</v>
      </c>
      <c r="B1192" s="7">
        <v>3.2206</v>
      </c>
      <c r="C1192" s="7">
        <v>3.5176</v>
      </c>
    </row>
    <row r="1193" spans="1:3">
      <c r="A1193" s="6">
        <v>41383</v>
      </c>
      <c r="B1193" s="7">
        <v>3.2549</v>
      </c>
      <c r="C1193" s="7">
        <v>3.5483</v>
      </c>
    </row>
    <row r="1194" spans="1:3">
      <c r="A1194" s="6">
        <v>41386</v>
      </c>
      <c r="B1194" s="7">
        <v>3.2817</v>
      </c>
      <c r="C1194" s="7">
        <v>3.58</v>
      </c>
    </row>
    <row r="1195" spans="1:3">
      <c r="A1195" s="6">
        <v>41387</v>
      </c>
      <c r="B1195" s="7">
        <v>3.2893</v>
      </c>
      <c r="C1195" s="7">
        <v>3.5508</v>
      </c>
    </row>
    <row r="1196" spans="1:3">
      <c r="A1196" s="6">
        <v>41388</v>
      </c>
      <c r="B1196" s="7">
        <v>3.2979</v>
      </c>
      <c r="C1196" s="7">
        <v>3.5342</v>
      </c>
    </row>
    <row r="1197" spans="1:3">
      <c r="A1197" s="6">
        <v>41389</v>
      </c>
      <c r="B1197" s="7">
        <v>3.3073</v>
      </c>
      <c r="C1197" s="7">
        <v>3.5379</v>
      </c>
    </row>
    <row r="1198" spans="1:3">
      <c r="A1198" s="6">
        <v>41390</v>
      </c>
      <c r="B1198" s="7">
        <v>3.2673</v>
      </c>
      <c r="C1198" s="7">
        <v>3.5143</v>
      </c>
    </row>
    <row r="1199" spans="1:3">
      <c r="A1199" s="6">
        <v>41391</v>
      </c>
      <c r="B1199" s="7">
        <v>3.255</v>
      </c>
      <c r="C1199" s="7">
        <v>3.5125</v>
      </c>
    </row>
    <row r="1200" spans="1:3">
      <c r="A1200" s="6">
        <v>41392</v>
      </c>
      <c r="B1200" s="7">
        <v>3.24</v>
      </c>
      <c r="C1200" s="7"/>
    </row>
    <row r="1201" spans="1:3">
      <c r="A1201" s="6">
        <v>41396</v>
      </c>
      <c r="B1201" s="7">
        <v>3.2027</v>
      </c>
      <c r="C1201" s="7">
        <v>3.4446</v>
      </c>
    </row>
    <row r="1202" spans="1:3">
      <c r="A1202" s="6">
        <v>41397</v>
      </c>
      <c r="B1202" s="7">
        <v>3.1957</v>
      </c>
      <c r="C1202" s="7">
        <v>3.4245</v>
      </c>
    </row>
    <row r="1203" spans="1:3">
      <c r="A1203" s="6">
        <v>41400</v>
      </c>
      <c r="B1203" s="7">
        <v>3.263</v>
      </c>
      <c r="C1203" s="7">
        <v>3.4533</v>
      </c>
    </row>
    <row r="1204" spans="1:3">
      <c r="A1204" s="6">
        <v>41401</v>
      </c>
      <c r="B1204" s="7">
        <v>3.2515</v>
      </c>
      <c r="C1204" s="7">
        <v>3.435</v>
      </c>
    </row>
    <row r="1205" spans="1:3">
      <c r="A1205" s="6">
        <v>41402</v>
      </c>
      <c r="B1205" s="7">
        <v>3.2743</v>
      </c>
      <c r="C1205" s="7">
        <v>3.4395</v>
      </c>
    </row>
    <row r="1206" spans="1:3">
      <c r="A1206" s="6">
        <v>41403</v>
      </c>
      <c r="B1206" s="7">
        <v>3.2678</v>
      </c>
      <c r="C1206" s="7">
        <v>3.4536</v>
      </c>
    </row>
    <row r="1207" spans="1:3">
      <c r="A1207" s="6">
        <v>41404</v>
      </c>
      <c r="B1207" s="7">
        <v>3.2693</v>
      </c>
      <c r="C1207" s="7">
        <v>3.466</v>
      </c>
    </row>
    <row r="1208" spans="1:3">
      <c r="A1208" s="6">
        <v>41407</v>
      </c>
      <c r="B1208" s="7">
        <v>3.2604</v>
      </c>
      <c r="C1208" s="7">
        <v>3.5109</v>
      </c>
    </row>
    <row r="1209" spans="1:3">
      <c r="A1209" s="6">
        <v>41408</v>
      </c>
      <c r="B1209" s="7">
        <v>3.2545</v>
      </c>
      <c r="C1209" s="7">
        <v>3.4945</v>
      </c>
    </row>
    <row r="1210" spans="1:3">
      <c r="A1210" s="6">
        <v>41409</v>
      </c>
      <c r="B1210" s="7">
        <v>3.2409</v>
      </c>
      <c r="C1210" s="7">
        <v>3.5006</v>
      </c>
    </row>
    <row r="1211" spans="1:3">
      <c r="A1211" s="6">
        <v>41410</v>
      </c>
      <c r="B1211" s="7">
        <v>3.2508</v>
      </c>
      <c r="C1211" s="7">
        <v>3.495</v>
      </c>
    </row>
    <row r="1212" spans="1:3">
      <c r="A1212" s="6">
        <v>41411</v>
      </c>
      <c r="B1212" s="7">
        <v>3.2787</v>
      </c>
      <c r="C1212" s="7">
        <v>3.51</v>
      </c>
    </row>
    <row r="1213" spans="1:3">
      <c r="A1213" s="6">
        <v>41414</v>
      </c>
      <c r="B1213" s="7">
        <v>3.2836</v>
      </c>
      <c r="C1213" s="7">
        <v>3.5053</v>
      </c>
    </row>
    <row r="1214" spans="1:3">
      <c r="A1214" s="6">
        <v>41415</v>
      </c>
      <c r="B1214" s="7">
        <v>3.2742</v>
      </c>
      <c r="C1214" s="7">
        <v>3.5179</v>
      </c>
    </row>
    <row r="1215" spans="1:3">
      <c r="A1215" s="6">
        <v>41416</v>
      </c>
      <c r="B1215" s="7">
        <v>3.2707</v>
      </c>
      <c r="C1215" s="7">
        <v>3.5075</v>
      </c>
    </row>
    <row r="1216" spans="1:3">
      <c r="A1216" s="6">
        <v>41417</v>
      </c>
      <c r="B1216" s="7">
        <v>3.2706</v>
      </c>
      <c r="C1216" s="7">
        <v>3.5169</v>
      </c>
    </row>
    <row r="1217" spans="1:3">
      <c r="A1217" s="6">
        <v>41418</v>
      </c>
      <c r="B1217" s="7">
        <v>3.2729</v>
      </c>
      <c r="C1217" s="7">
        <v>3.5068</v>
      </c>
    </row>
    <row r="1218" spans="1:3">
      <c r="A1218" s="6">
        <v>41421</v>
      </c>
      <c r="B1218" s="7">
        <v>3.2765</v>
      </c>
      <c r="C1218" s="7">
        <v>3.5013</v>
      </c>
    </row>
    <row r="1219" spans="1:3">
      <c r="A1219" s="6">
        <v>41422</v>
      </c>
      <c r="B1219" s="7">
        <v>3.2852</v>
      </c>
      <c r="C1219" s="7">
        <v>3.4971</v>
      </c>
    </row>
    <row r="1220" spans="1:3">
      <c r="A1220" s="6">
        <v>41423</v>
      </c>
      <c r="B1220" s="7">
        <v>3.2762</v>
      </c>
      <c r="C1220" s="7">
        <v>3.5406</v>
      </c>
    </row>
    <row r="1221" spans="1:3">
      <c r="A1221" s="6">
        <v>41424</v>
      </c>
      <c r="B1221" s="7">
        <v>3.287</v>
      </c>
      <c r="C1221" s="7"/>
    </row>
    <row r="1222" spans="1:3">
      <c r="A1222" s="6">
        <v>41425</v>
      </c>
      <c r="B1222" s="7">
        <v>3.3113</v>
      </c>
      <c r="C1222" s="7">
        <v>3.5238</v>
      </c>
    </row>
    <row r="1223" spans="1:3">
      <c r="A1223" s="6">
        <v>41428</v>
      </c>
      <c r="B1223" s="7">
        <v>3.3341</v>
      </c>
      <c r="C1223" s="7">
        <v>3.5393</v>
      </c>
    </row>
    <row r="1224" spans="1:3">
      <c r="A1224" s="6">
        <v>41429</v>
      </c>
      <c r="B1224" s="7">
        <v>3.3737</v>
      </c>
      <c r="C1224" s="7">
        <v>3.5538</v>
      </c>
    </row>
    <row r="1225" spans="1:3">
      <c r="A1225" s="6">
        <v>41430</v>
      </c>
      <c r="B1225" s="7">
        <v>3.4132</v>
      </c>
      <c r="C1225" s="7">
        <v>3.5622</v>
      </c>
    </row>
    <row r="1226" spans="1:3">
      <c r="A1226" s="6">
        <v>41431</v>
      </c>
      <c r="B1226" s="7">
        <v>3.4905</v>
      </c>
      <c r="C1226" s="7">
        <v>3.5827</v>
      </c>
    </row>
    <row r="1227" spans="1:3">
      <c r="A1227" s="6">
        <v>41432</v>
      </c>
      <c r="B1227" s="7">
        <v>3.579</v>
      </c>
      <c r="C1227" s="7">
        <v>3.5914</v>
      </c>
    </row>
    <row r="1228" spans="1:3">
      <c r="A1228" s="6">
        <v>41433</v>
      </c>
      <c r="B1228" s="7">
        <v>3.6419</v>
      </c>
      <c r="C1228" s="7">
        <v>3.6085</v>
      </c>
    </row>
    <row r="1229" spans="1:3">
      <c r="A1229" s="6">
        <v>41434</v>
      </c>
      <c r="B1229" s="7">
        <v>3.5578</v>
      </c>
      <c r="C1229" s="7">
        <v>3.5521</v>
      </c>
    </row>
    <row r="1230" spans="1:3">
      <c r="A1230" s="6">
        <v>41438</v>
      </c>
      <c r="B1230" s="7">
        <v>3.6042</v>
      </c>
      <c r="C1230" s="7">
        <v>3.5527</v>
      </c>
    </row>
    <row r="1231" spans="1:3">
      <c r="A1231" s="6">
        <v>41439</v>
      </c>
      <c r="B1231" s="7">
        <v>3.7621</v>
      </c>
      <c r="C1231" s="7">
        <v>3.6622</v>
      </c>
    </row>
    <row r="1232" spans="1:3">
      <c r="A1232" s="6">
        <v>41442</v>
      </c>
      <c r="B1232" s="7">
        <v>3.7635</v>
      </c>
      <c r="C1232" s="7">
        <v>3.672</v>
      </c>
    </row>
    <row r="1233" spans="1:3">
      <c r="A1233" s="6">
        <v>41443</v>
      </c>
      <c r="B1233" s="7">
        <v>3.9431</v>
      </c>
      <c r="C1233" s="7">
        <v>3.7471</v>
      </c>
    </row>
    <row r="1234" spans="1:3">
      <c r="A1234" s="6">
        <v>41444</v>
      </c>
      <c r="B1234" s="7">
        <v>4.1927</v>
      </c>
      <c r="C1234" s="7">
        <v>3.9058</v>
      </c>
    </row>
    <row r="1235" spans="1:3">
      <c r="A1235" s="6">
        <v>41445</v>
      </c>
      <c r="B1235" s="7">
        <v>4.8238</v>
      </c>
      <c r="C1235" s="7">
        <v>4.2951</v>
      </c>
    </row>
    <row r="1236" spans="1:3">
      <c r="A1236" s="6">
        <v>41446</v>
      </c>
      <c r="B1236" s="7">
        <v>4.5219</v>
      </c>
      <c r="C1236" s="7">
        <v>4.0283</v>
      </c>
    </row>
    <row r="1237" spans="1:3">
      <c r="A1237" s="6">
        <v>41449</v>
      </c>
      <c r="B1237" s="7">
        <v>4.3699</v>
      </c>
      <c r="C1237" s="7">
        <v>4.02</v>
      </c>
    </row>
    <row r="1238" spans="1:3">
      <c r="A1238" s="6">
        <v>41450</v>
      </c>
      <c r="B1238" s="7">
        <v>4.1473</v>
      </c>
      <c r="C1238" s="7">
        <v>3.8735</v>
      </c>
    </row>
    <row r="1239" spans="1:3">
      <c r="A1239" s="6">
        <v>41451</v>
      </c>
      <c r="B1239" s="7">
        <v>3.8502</v>
      </c>
      <c r="C1239" s="7">
        <v>3.7349</v>
      </c>
    </row>
    <row r="1240" spans="1:3">
      <c r="A1240" s="6">
        <v>41453</v>
      </c>
      <c r="B1240" s="7">
        <v>3.9533</v>
      </c>
      <c r="C1240" s="7">
        <v>3.7989</v>
      </c>
    </row>
    <row r="1241" spans="1:3">
      <c r="A1241" s="6">
        <v>41456</v>
      </c>
      <c r="B1241" s="7">
        <v>3.9521</v>
      </c>
      <c r="C1241" s="7">
        <v>3.7867</v>
      </c>
    </row>
    <row r="1242" spans="1:3">
      <c r="A1242" s="6">
        <v>41457</v>
      </c>
      <c r="B1242" s="7">
        <v>3.9109</v>
      </c>
      <c r="C1242" s="7">
        <v>3.7817</v>
      </c>
    </row>
    <row r="1243" spans="1:3">
      <c r="A1243" s="6">
        <v>41458</v>
      </c>
      <c r="B1243" s="7">
        <v>3.8346</v>
      </c>
      <c r="C1243" s="7">
        <v>3.7529</v>
      </c>
    </row>
    <row r="1244" spans="1:3">
      <c r="A1244" s="6">
        <v>41459</v>
      </c>
      <c r="B1244" s="7">
        <v>3.7993</v>
      </c>
      <c r="C1244" s="7">
        <v>3.7378</v>
      </c>
    </row>
    <row r="1245" spans="1:3">
      <c r="A1245" s="6">
        <v>41460</v>
      </c>
      <c r="B1245" s="7">
        <v>3.7934</v>
      </c>
      <c r="C1245" s="7">
        <v>3.7755</v>
      </c>
    </row>
    <row r="1246" spans="1:3">
      <c r="A1246" s="6">
        <v>41463</v>
      </c>
      <c r="B1246" s="7">
        <v>3.7888</v>
      </c>
      <c r="C1246" s="7">
        <v>3.7983</v>
      </c>
    </row>
    <row r="1247" spans="1:3">
      <c r="A1247" s="6">
        <v>41464</v>
      </c>
      <c r="B1247" s="7">
        <v>3.7897</v>
      </c>
      <c r="C1247" s="7">
        <v>3.845</v>
      </c>
    </row>
    <row r="1248" spans="1:3">
      <c r="A1248" s="6">
        <v>41465</v>
      </c>
      <c r="B1248" s="7">
        <v>3.879</v>
      </c>
      <c r="C1248" s="7">
        <v>3.9078</v>
      </c>
    </row>
    <row r="1249" spans="1:3">
      <c r="A1249" s="6">
        <v>41466</v>
      </c>
      <c r="B1249" s="7">
        <v>3.9049</v>
      </c>
      <c r="C1249" s="7">
        <v>3.9521</v>
      </c>
    </row>
    <row r="1250" spans="1:3">
      <c r="A1250" s="6">
        <v>41467</v>
      </c>
      <c r="B1250" s="7">
        <v>3.9175</v>
      </c>
      <c r="C1250" s="7">
        <v>3.9907</v>
      </c>
    </row>
    <row r="1251" spans="1:3">
      <c r="A1251" s="6">
        <v>41470</v>
      </c>
      <c r="B1251" s="7">
        <v>3.9065</v>
      </c>
      <c r="C1251" s="7">
        <v>4.0155</v>
      </c>
    </row>
    <row r="1252" spans="1:3">
      <c r="A1252" s="6">
        <v>41471</v>
      </c>
      <c r="B1252" s="7">
        <v>3.878</v>
      </c>
      <c r="C1252" s="7">
        <v>4</v>
      </c>
    </row>
    <row r="1253" spans="1:3">
      <c r="A1253" s="6">
        <v>41472</v>
      </c>
      <c r="B1253" s="7">
        <v>3.8535</v>
      </c>
      <c r="C1253" s="7">
        <v>3.9991</v>
      </c>
    </row>
    <row r="1254" spans="1:3">
      <c r="A1254" s="6">
        <v>41473</v>
      </c>
      <c r="B1254" s="7">
        <v>3.9233</v>
      </c>
      <c r="C1254" s="7">
        <v>4.015</v>
      </c>
    </row>
    <row r="1255" spans="1:3">
      <c r="A1255" s="6">
        <v>41474</v>
      </c>
      <c r="B1255" s="7">
        <v>3.9505</v>
      </c>
      <c r="C1255" s="7">
        <v>4.015</v>
      </c>
    </row>
    <row r="1256" spans="1:3">
      <c r="A1256" s="6">
        <v>41477</v>
      </c>
      <c r="B1256" s="7">
        <v>4.0214</v>
      </c>
      <c r="C1256" s="7">
        <v>4.1185</v>
      </c>
    </row>
    <row r="1257" spans="1:3">
      <c r="A1257" s="6">
        <v>41478</v>
      </c>
      <c r="B1257" s="7">
        <v>4.147</v>
      </c>
      <c r="C1257" s="7">
        <v>4.1898</v>
      </c>
    </row>
    <row r="1258" spans="1:3">
      <c r="A1258" s="6">
        <v>41479</v>
      </c>
      <c r="B1258" s="7">
        <v>4.1362</v>
      </c>
      <c r="C1258" s="7">
        <v>4.1744</v>
      </c>
    </row>
    <row r="1259" spans="1:3">
      <c r="A1259" s="6">
        <v>41480</v>
      </c>
      <c r="B1259" s="7">
        <v>4.0557</v>
      </c>
      <c r="C1259" s="7">
        <v>4.1276</v>
      </c>
    </row>
    <row r="1260" spans="1:3">
      <c r="A1260" s="6">
        <v>41481</v>
      </c>
      <c r="B1260" s="7">
        <v>4.0655</v>
      </c>
      <c r="C1260" s="7">
        <v>4.1081</v>
      </c>
    </row>
    <row r="1261" spans="1:3">
      <c r="A1261" s="6">
        <v>41484</v>
      </c>
      <c r="B1261" s="7">
        <v>4.0756</v>
      </c>
      <c r="C1261" s="7">
        <v>4.1189</v>
      </c>
    </row>
    <row r="1262" spans="1:3">
      <c r="A1262" s="6">
        <v>41485</v>
      </c>
      <c r="B1262" s="7">
        <v>4.0241</v>
      </c>
      <c r="C1262" s="7">
        <v>4.0964</v>
      </c>
    </row>
    <row r="1263" spans="1:3">
      <c r="A1263" s="6">
        <v>41486</v>
      </c>
      <c r="B1263" s="7">
        <v>3.9958</v>
      </c>
      <c r="C1263" s="7">
        <v>4.067</v>
      </c>
    </row>
    <row r="1264" spans="1:3">
      <c r="A1264" s="6">
        <v>41487</v>
      </c>
      <c r="B1264" s="7">
        <v>3.9263</v>
      </c>
      <c r="C1264" s="7">
        <v>4.0234</v>
      </c>
    </row>
    <row r="1265" spans="1:3">
      <c r="A1265" s="6">
        <v>41488</v>
      </c>
      <c r="B1265" s="7">
        <v>3.88</v>
      </c>
      <c r="C1265" s="7">
        <v>4.0094</v>
      </c>
    </row>
    <row r="1266" spans="1:3">
      <c r="A1266" s="6">
        <v>41491</v>
      </c>
      <c r="B1266" s="7">
        <v>3.8953</v>
      </c>
      <c r="C1266" s="7">
        <v>4.0217</v>
      </c>
    </row>
    <row r="1267" spans="1:3">
      <c r="A1267" s="6">
        <v>41492</v>
      </c>
      <c r="B1267" s="7">
        <v>3.8994</v>
      </c>
      <c r="C1267" s="7">
        <v>4.02</v>
      </c>
    </row>
    <row r="1268" spans="1:3">
      <c r="A1268" s="6">
        <v>41493</v>
      </c>
      <c r="B1268" s="7">
        <v>3.8649</v>
      </c>
      <c r="C1268" s="7">
        <v>4.0257</v>
      </c>
    </row>
    <row r="1269" spans="1:3">
      <c r="A1269" s="6">
        <v>41494</v>
      </c>
      <c r="B1269" s="7">
        <v>3.8709</v>
      </c>
      <c r="C1269" s="7">
        <v>4.0623</v>
      </c>
    </row>
    <row r="1270" spans="1:3">
      <c r="A1270" s="6">
        <v>41495</v>
      </c>
      <c r="B1270" s="7">
        <v>3.8617</v>
      </c>
      <c r="C1270" s="7">
        <v>4.074</v>
      </c>
    </row>
    <row r="1271" spans="1:3">
      <c r="A1271" s="6">
        <v>41498</v>
      </c>
      <c r="B1271" s="7">
        <v>3.8891</v>
      </c>
      <c r="C1271" s="7">
        <v>4.1164</v>
      </c>
    </row>
    <row r="1272" spans="1:3">
      <c r="A1272" s="6">
        <v>41499</v>
      </c>
      <c r="B1272" s="7">
        <v>3.9438</v>
      </c>
      <c r="C1272" s="7">
        <v>4.2281</v>
      </c>
    </row>
    <row r="1273" spans="1:3">
      <c r="A1273" s="6">
        <v>41500</v>
      </c>
      <c r="B1273" s="7">
        <v>3.9972</v>
      </c>
      <c r="C1273" s="7">
        <v>4.2687</v>
      </c>
    </row>
    <row r="1274" spans="1:3">
      <c r="A1274" s="6">
        <v>41501</v>
      </c>
      <c r="B1274" s="7">
        <v>4.0344</v>
      </c>
      <c r="C1274" s="7">
        <v>4.2904</v>
      </c>
    </row>
    <row r="1275" spans="1:3">
      <c r="A1275" s="6">
        <v>41502</v>
      </c>
      <c r="B1275" s="7">
        <v>4.064</v>
      </c>
      <c r="C1275" s="7">
        <v>4.28</v>
      </c>
    </row>
    <row r="1276" spans="1:3">
      <c r="A1276" s="6">
        <v>41505</v>
      </c>
      <c r="B1276" s="7">
        <v>4.1476</v>
      </c>
      <c r="C1276" s="7">
        <v>4.3375</v>
      </c>
    </row>
    <row r="1277" spans="1:3">
      <c r="A1277" s="6">
        <v>41506</v>
      </c>
      <c r="B1277" s="7">
        <v>4.1986</v>
      </c>
      <c r="C1277" s="7">
        <v>4.3483</v>
      </c>
    </row>
    <row r="1278" spans="1:3">
      <c r="A1278" s="6">
        <v>41507</v>
      </c>
      <c r="B1278" s="7">
        <v>4.1389</v>
      </c>
      <c r="C1278" s="7">
        <v>4.2552</v>
      </c>
    </row>
    <row r="1279" spans="1:3">
      <c r="A1279" s="6">
        <v>41508</v>
      </c>
      <c r="B1279" s="7">
        <v>4.095</v>
      </c>
      <c r="C1279" s="7">
        <v>4.2504</v>
      </c>
    </row>
    <row r="1280" spans="1:3">
      <c r="A1280" s="6">
        <v>41509</v>
      </c>
      <c r="B1280" s="7">
        <v>4.0962</v>
      </c>
      <c r="C1280" s="7">
        <v>4.2911</v>
      </c>
    </row>
    <row r="1281" spans="1:3">
      <c r="A1281" s="6">
        <v>41512</v>
      </c>
      <c r="B1281" s="7">
        <v>4.0706</v>
      </c>
      <c r="C1281" s="7">
        <v>4.2521</v>
      </c>
    </row>
    <row r="1282" spans="1:3">
      <c r="A1282" s="6">
        <v>41513</v>
      </c>
      <c r="B1282" s="7">
        <v>4.0813</v>
      </c>
      <c r="C1282" s="7">
        <v>4.268</v>
      </c>
    </row>
    <row r="1283" spans="1:3">
      <c r="A1283" s="6">
        <v>41514</v>
      </c>
      <c r="B1283" s="7">
        <v>4.065</v>
      </c>
      <c r="C1283" s="7">
        <v>4.2586</v>
      </c>
    </row>
    <row r="1284" spans="1:3">
      <c r="A1284" s="6">
        <v>41515</v>
      </c>
      <c r="B1284" s="7">
        <v>4.1245</v>
      </c>
      <c r="C1284" s="7">
        <v>4.2969</v>
      </c>
    </row>
    <row r="1285" spans="1:3">
      <c r="A1285" s="6">
        <v>41516</v>
      </c>
      <c r="B1285" s="7">
        <v>4.1303</v>
      </c>
      <c r="C1285" s="7">
        <v>4.2827</v>
      </c>
    </row>
    <row r="1286" spans="1:3">
      <c r="A1286" s="6">
        <v>41519</v>
      </c>
      <c r="B1286" s="7">
        <v>4.1343</v>
      </c>
      <c r="C1286" s="7">
        <v>4.3089</v>
      </c>
    </row>
    <row r="1287" spans="1:3">
      <c r="A1287" s="6">
        <v>41520</v>
      </c>
      <c r="B1287" s="7">
        <v>4.1353</v>
      </c>
      <c r="C1287" s="7">
        <v>4.3141</v>
      </c>
    </row>
    <row r="1288" spans="1:3">
      <c r="A1288" s="6">
        <v>41521</v>
      </c>
      <c r="B1288" s="7">
        <v>4.1342</v>
      </c>
      <c r="C1288" s="7">
        <v>4.34</v>
      </c>
    </row>
    <row r="1289" spans="1:3">
      <c r="A1289" s="6">
        <v>41522</v>
      </c>
      <c r="B1289" s="7">
        <v>4.0894</v>
      </c>
      <c r="C1289" s="7">
        <v>4.3036</v>
      </c>
    </row>
    <row r="1290" spans="1:3">
      <c r="A1290" s="6">
        <v>41523</v>
      </c>
      <c r="B1290" s="7">
        <v>4.0848</v>
      </c>
      <c r="C1290" s="7">
        <v>4.3101</v>
      </c>
    </row>
    <row r="1291" spans="1:3">
      <c r="A1291" s="6">
        <v>41526</v>
      </c>
      <c r="B1291" s="7">
        <v>4.1088</v>
      </c>
      <c r="C1291" s="7">
        <v>4.3292</v>
      </c>
    </row>
    <row r="1292" spans="1:3">
      <c r="A1292" s="6">
        <v>41527</v>
      </c>
      <c r="B1292" s="7">
        <v>4.1373</v>
      </c>
      <c r="C1292" s="7">
        <v>4.34</v>
      </c>
    </row>
    <row r="1293" spans="1:3">
      <c r="A1293" s="6">
        <v>41528</v>
      </c>
      <c r="B1293" s="7">
        <v>4.1704</v>
      </c>
      <c r="C1293" s="7">
        <v>4.3814</v>
      </c>
    </row>
    <row r="1294" spans="1:3">
      <c r="A1294" s="6">
        <v>41529</v>
      </c>
      <c r="B1294" s="7">
        <v>4.1502</v>
      </c>
      <c r="C1294" s="7">
        <v>4.3648</v>
      </c>
    </row>
    <row r="1295" spans="1:3">
      <c r="A1295" s="6">
        <v>41530</v>
      </c>
      <c r="B1295" s="7">
        <v>4.0873</v>
      </c>
      <c r="C1295" s="7">
        <v>4.328</v>
      </c>
    </row>
    <row r="1296" spans="1:3">
      <c r="A1296" s="6">
        <v>41533</v>
      </c>
      <c r="B1296" s="7">
        <v>4.0517</v>
      </c>
      <c r="C1296" s="7">
        <v>4.2616</v>
      </c>
    </row>
    <row r="1297" spans="1:3">
      <c r="A1297" s="6">
        <v>41534</v>
      </c>
      <c r="B1297" s="7">
        <v>4.0349</v>
      </c>
      <c r="C1297" s="7">
        <v>4.1982</v>
      </c>
    </row>
    <row r="1298" spans="1:3">
      <c r="A1298" s="6">
        <v>41535</v>
      </c>
      <c r="B1298" s="7">
        <v>4.0315</v>
      </c>
      <c r="C1298" s="7">
        <v>4.1856</v>
      </c>
    </row>
    <row r="1299" spans="1:3">
      <c r="A1299" s="6">
        <v>41539</v>
      </c>
      <c r="B1299" s="7">
        <v>4.05</v>
      </c>
      <c r="C1299" s="7"/>
    </row>
    <row r="1300" spans="1:3">
      <c r="A1300" s="6">
        <v>41540</v>
      </c>
      <c r="B1300" s="7">
        <v>4.0888</v>
      </c>
      <c r="C1300" s="7">
        <v>4.2183</v>
      </c>
    </row>
    <row r="1301" spans="1:3">
      <c r="A1301" s="6">
        <v>41541</v>
      </c>
      <c r="B1301" s="7">
        <v>4.0557</v>
      </c>
      <c r="C1301" s="7">
        <v>4.2175</v>
      </c>
    </row>
    <row r="1302" spans="1:3">
      <c r="A1302" s="6">
        <v>41542</v>
      </c>
      <c r="B1302" s="7">
        <v>3.9979</v>
      </c>
      <c r="C1302" s="7"/>
    </row>
    <row r="1303" spans="1:3">
      <c r="A1303" s="6">
        <v>41543</v>
      </c>
      <c r="B1303" s="7">
        <v>3.9576</v>
      </c>
      <c r="C1303" s="7">
        <v>4.1433</v>
      </c>
    </row>
    <row r="1304" spans="1:3">
      <c r="A1304" s="6">
        <v>41544</v>
      </c>
      <c r="B1304" s="7">
        <v>3.9677</v>
      </c>
      <c r="C1304" s="7"/>
    </row>
    <row r="1305" spans="1:3">
      <c r="A1305" s="6">
        <v>41546</v>
      </c>
      <c r="B1305" s="7">
        <v>3.98</v>
      </c>
      <c r="C1305" s="7">
        <v>4.195</v>
      </c>
    </row>
    <row r="1306" spans="1:3">
      <c r="A1306" s="6">
        <v>41547</v>
      </c>
      <c r="B1306" s="7">
        <v>3.9747</v>
      </c>
      <c r="C1306" s="7">
        <v>4.19</v>
      </c>
    </row>
    <row r="1307" spans="1:3">
      <c r="A1307" s="6">
        <v>41555</v>
      </c>
      <c r="B1307" s="7">
        <v>3.9846</v>
      </c>
      <c r="C1307" s="7">
        <v>4.1825</v>
      </c>
    </row>
    <row r="1308" spans="1:3">
      <c r="A1308" s="6">
        <v>41556</v>
      </c>
      <c r="B1308" s="7">
        <v>4.01</v>
      </c>
      <c r="C1308" s="7">
        <v>4.1936</v>
      </c>
    </row>
    <row r="1309" spans="1:3">
      <c r="A1309" s="6">
        <v>41557</v>
      </c>
      <c r="B1309" s="7">
        <v>3.9918</v>
      </c>
      <c r="C1309" s="7">
        <v>4.175</v>
      </c>
    </row>
    <row r="1310" spans="1:3">
      <c r="A1310" s="6">
        <v>41558</v>
      </c>
      <c r="B1310" s="7">
        <v>3.9727</v>
      </c>
      <c r="C1310" s="7">
        <v>4.17</v>
      </c>
    </row>
    <row r="1311" spans="1:3">
      <c r="A1311" s="6">
        <v>41559</v>
      </c>
      <c r="B1311" s="7">
        <v>3.97</v>
      </c>
      <c r="C1311" s="7"/>
    </row>
    <row r="1312" spans="1:3">
      <c r="A1312" s="6">
        <v>41561</v>
      </c>
      <c r="B1312" s="7">
        <v>3.9703</v>
      </c>
      <c r="C1312" s="7">
        <v>4.21</v>
      </c>
    </row>
    <row r="1313" spans="1:3">
      <c r="A1313" s="6">
        <v>41562</v>
      </c>
      <c r="B1313" s="7">
        <v>3.9548</v>
      </c>
      <c r="C1313" s="7">
        <v>4.1982</v>
      </c>
    </row>
    <row r="1314" spans="1:3">
      <c r="A1314" s="6">
        <v>41563</v>
      </c>
      <c r="B1314" s="7">
        <v>3.8913</v>
      </c>
      <c r="C1314" s="7">
        <v>4.1509</v>
      </c>
    </row>
    <row r="1315" spans="1:3">
      <c r="A1315" s="6">
        <v>41564</v>
      </c>
      <c r="B1315" s="7">
        <v>3.9237</v>
      </c>
      <c r="C1315" s="7">
        <v>4.17</v>
      </c>
    </row>
    <row r="1316" spans="1:3">
      <c r="A1316" s="6">
        <v>41565</v>
      </c>
      <c r="B1316" s="7">
        <v>3.9471</v>
      </c>
      <c r="C1316" s="7">
        <v>4.1857</v>
      </c>
    </row>
    <row r="1317" spans="1:3">
      <c r="A1317" s="6">
        <v>41568</v>
      </c>
      <c r="B1317" s="7">
        <v>3.9996</v>
      </c>
      <c r="C1317" s="7">
        <v>4.2009</v>
      </c>
    </row>
    <row r="1318" spans="1:3">
      <c r="A1318" s="6">
        <v>41569</v>
      </c>
      <c r="B1318" s="7">
        <v>4.0275</v>
      </c>
      <c r="C1318" s="7">
        <v>4.2323</v>
      </c>
    </row>
    <row r="1319" spans="1:3">
      <c r="A1319" s="6">
        <v>41570</v>
      </c>
      <c r="B1319" s="7">
        <v>4.0597</v>
      </c>
      <c r="C1319" s="7">
        <v>4.2472</v>
      </c>
    </row>
    <row r="1320" spans="1:3">
      <c r="A1320" s="6">
        <v>41571</v>
      </c>
      <c r="B1320" s="7">
        <v>4.1196</v>
      </c>
      <c r="C1320" s="7">
        <v>4.2913</v>
      </c>
    </row>
    <row r="1321" spans="1:3">
      <c r="A1321" s="6">
        <v>41572</v>
      </c>
      <c r="B1321" s="7">
        <v>4.0976</v>
      </c>
      <c r="C1321" s="7">
        <v>4.255</v>
      </c>
    </row>
    <row r="1322" spans="1:3">
      <c r="A1322" s="6">
        <v>41575</v>
      </c>
      <c r="B1322" s="7">
        <v>4.1062</v>
      </c>
      <c r="C1322" s="7">
        <v>4.2538</v>
      </c>
    </row>
    <row r="1323" spans="1:3">
      <c r="A1323" s="6">
        <v>41576</v>
      </c>
      <c r="B1323" s="7">
        <v>4.1636</v>
      </c>
      <c r="C1323" s="7">
        <v>4.3353</v>
      </c>
    </row>
    <row r="1324" spans="1:3">
      <c r="A1324" s="6">
        <v>41577</v>
      </c>
      <c r="B1324" s="7">
        <v>4.2296</v>
      </c>
      <c r="C1324" s="7">
        <v>4.3794</v>
      </c>
    </row>
    <row r="1325" spans="1:3">
      <c r="A1325" s="6">
        <v>41578</v>
      </c>
      <c r="B1325" s="7">
        <v>4.1871</v>
      </c>
      <c r="C1325" s="7">
        <v>4.34</v>
      </c>
    </row>
    <row r="1326" spans="1:3">
      <c r="A1326" s="6">
        <v>41579</v>
      </c>
      <c r="B1326" s="7">
        <v>4.1384</v>
      </c>
      <c r="C1326" s="7">
        <v>4.32</v>
      </c>
    </row>
    <row r="1327" spans="1:3">
      <c r="A1327" s="6">
        <v>41582</v>
      </c>
      <c r="B1327" s="7">
        <v>4.1497</v>
      </c>
      <c r="C1327" s="7">
        <v>4.32</v>
      </c>
    </row>
    <row r="1328" spans="1:3">
      <c r="A1328" s="6">
        <v>41583</v>
      </c>
      <c r="B1328" s="7">
        <v>4.2011</v>
      </c>
      <c r="C1328" s="7">
        <v>4.39</v>
      </c>
    </row>
    <row r="1329" spans="1:3">
      <c r="A1329" s="6">
        <v>41584</v>
      </c>
      <c r="B1329" s="7">
        <v>4.2382</v>
      </c>
      <c r="C1329" s="7">
        <v>4.4317</v>
      </c>
    </row>
    <row r="1330" spans="1:3">
      <c r="A1330" s="6">
        <v>41585</v>
      </c>
      <c r="B1330" s="7">
        <v>4.3105</v>
      </c>
      <c r="C1330" s="7">
        <v>4.5428</v>
      </c>
    </row>
    <row r="1331" spans="1:3">
      <c r="A1331" s="6">
        <v>41586</v>
      </c>
      <c r="B1331" s="7">
        <v>4.3613</v>
      </c>
      <c r="C1331" s="7">
        <v>4.6757</v>
      </c>
    </row>
    <row r="1332" spans="1:3">
      <c r="A1332" s="6">
        <v>41589</v>
      </c>
      <c r="B1332" s="7">
        <v>4.3909</v>
      </c>
      <c r="C1332" s="7">
        <v>4.7501</v>
      </c>
    </row>
    <row r="1333" spans="1:3">
      <c r="A1333" s="6">
        <v>41590</v>
      </c>
      <c r="B1333" s="7">
        <v>4.3611</v>
      </c>
      <c r="C1333" s="7">
        <v>4.6957</v>
      </c>
    </row>
    <row r="1334" spans="1:3">
      <c r="A1334" s="6">
        <v>41591</v>
      </c>
      <c r="B1334" s="7">
        <v>4.3779</v>
      </c>
      <c r="C1334" s="7">
        <v>4.6947</v>
      </c>
    </row>
    <row r="1335" spans="1:3">
      <c r="A1335" s="6">
        <v>41592</v>
      </c>
      <c r="B1335" s="7">
        <v>4.4037</v>
      </c>
      <c r="C1335" s="7">
        <v>4.6793</v>
      </c>
    </row>
    <row r="1336" spans="1:3">
      <c r="A1336" s="6">
        <v>41593</v>
      </c>
      <c r="B1336" s="7">
        <v>4.5273</v>
      </c>
      <c r="C1336" s="7">
        <v>4.7621</v>
      </c>
    </row>
    <row r="1337" spans="1:3">
      <c r="A1337" s="6">
        <v>41596</v>
      </c>
      <c r="B1337" s="7">
        <v>4.537</v>
      </c>
      <c r="C1337" s="7">
        <v>4.7541</v>
      </c>
    </row>
    <row r="1338" spans="1:3">
      <c r="A1338" s="6">
        <v>41597</v>
      </c>
      <c r="B1338" s="7">
        <v>4.5432</v>
      </c>
      <c r="C1338" s="7">
        <v>4.7644</v>
      </c>
    </row>
    <row r="1339" spans="1:3">
      <c r="A1339" s="6">
        <v>41598</v>
      </c>
      <c r="B1339" s="7">
        <v>4.5945</v>
      </c>
      <c r="C1339" s="7">
        <v>4.8315</v>
      </c>
    </row>
    <row r="1340" spans="1:3">
      <c r="A1340" s="6">
        <v>41599</v>
      </c>
      <c r="B1340" s="7">
        <v>4.5549</v>
      </c>
      <c r="C1340" s="7">
        <v>4.7309</v>
      </c>
    </row>
    <row r="1341" spans="1:3">
      <c r="A1341" s="6">
        <v>41600</v>
      </c>
      <c r="B1341" s="7">
        <v>4.5353</v>
      </c>
      <c r="C1341" s="7">
        <v>4.6822</v>
      </c>
    </row>
    <row r="1342" spans="1:3">
      <c r="A1342" s="6">
        <v>41603</v>
      </c>
      <c r="B1342" s="7">
        <v>4.501</v>
      </c>
      <c r="C1342" s="7">
        <v>4.6575</v>
      </c>
    </row>
    <row r="1343" spans="1:3">
      <c r="A1343" s="6">
        <v>41604</v>
      </c>
      <c r="B1343" s="7"/>
      <c r="C1343" s="7">
        <v>4.6468</v>
      </c>
    </row>
    <row r="1344" spans="1:3">
      <c r="A1344" s="6">
        <v>41605</v>
      </c>
      <c r="B1344" s="7">
        <v>4.471</v>
      </c>
      <c r="C1344" s="7">
        <v>4.5768</v>
      </c>
    </row>
    <row r="1345" spans="1:3">
      <c r="A1345" s="6">
        <v>41606</v>
      </c>
      <c r="B1345" s="7">
        <v>4.5103</v>
      </c>
      <c r="C1345" s="7">
        <v>4.6158</v>
      </c>
    </row>
    <row r="1346" spans="1:3">
      <c r="A1346" s="6">
        <v>41607</v>
      </c>
      <c r="B1346" s="7">
        <v>4.4967</v>
      </c>
      <c r="C1346" s="7">
        <v>4.6188</v>
      </c>
    </row>
    <row r="1347" spans="1:3">
      <c r="A1347" s="6">
        <v>41610</v>
      </c>
      <c r="B1347" s="7">
        <v>4.5788</v>
      </c>
      <c r="C1347" s="7">
        <v>4.704</v>
      </c>
    </row>
    <row r="1348" spans="1:3">
      <c r="A1348" s="6">
        <v>41611</v>
      </c>
      <c r="B1348" s="7">
        <v>4.6224</v>
      </c>
      <c r="C1348" s="7">
        <v>4.758</v>
      </c>
    </row>
    <row r="1349" spans="1:3">
      <c r="A1349" s="6">
        <v>41612</v>
      </c>
      <c r="B1349" s="7">
        <v>4.6638</v>
      </c>
      <c r="C1349" s="7">
        <v>4.8135</v>
      </c>
    </row>
    <row r="1350" spans="1:3">
      <c r="A1350" s="6">
        <v>41613</v>
      </c>
      <c r="B1350" s="7">
        <v>4.7121</v>
      </c>
      <c r="C1350" s="7">
        <v>4.8678</v>
      </c>
    </row>
    <row r="1351" spans="1:3">
      <c r="A1351" s="6">
        <v>41614</v>
      </c>
      <c r="B1351" s="7">
        <v>4.7944</v>
      </c>
      <c r="C1351" s="7">
        <v>4.894</v>
      </c>
    </row>
    <row r="1352" spans="1:3">
      <c r="A1352" s="6">
        <v>41617</v>
      </c>
      <c r="B1352" s="7">
        <v>4.7561</v>
      </c>
      <c r="C1352" s="7">
        <v>4.8939</v>
      </c>
    </row>
    <row r="1353" spans="1:3">
      <c r="A1353" s="6">
        <v>41618</v>
      </c>
      <c r="B1353" s="7">
        <v>4.825</v>
      </c>
      <c r="C1353" s="7">
        <v>4.984</v>
      </c>
    </row>
    <row r="1354" spans="1:3">
      <c r="A1354" s="6">
        <v>41619</v>
      </c>
      <c r="B1354" s="7">
        <v>4.7929</v>
      </c>
      <c r="C1354" s="7">
        <v>4.9619</v>
      </c>
    </row>
    <row r="1355" spans="1:3">
      <c r="A1355" s="6">
        <v>41620</v>
      </c>
      <c r="B1355" s="7">
        <v>4.716</v>
      </c>
      <c r="C1355" s="7">
        <v>4.8499</v>
      </c>
    </row>
    <row r="1356" spans="1:3">
      <c r="A1356" s="6">
        <v>41621</v>
      </c>
      <c r="B1356" s="7">
        <v>4.7093</v>
      </c>
      <c r="C1356" s="7">
        <v>4.8932</v>
      </c>
    </row>
    <row r="1357" spans="1:3">
      <c r="A1357" s="6">
        <v>41624</v>
      </c>
      <c r="B1357" s="7">
        <v>4.7593</v>
      </c>
      <c r="C1357" s="7">
        <v>4.92</v>
      </c>
    </row>
    <row r="1358" spans="1:3">
      <c r="A1358" s="6">
        <v>41626</v>
      </c>
      <c r="B1358" s="7">
        <v>4.8945</v>
      </c>
      <c r="C1358" s="7">
        <v>5.0062</v>
      </c>
    </row>
    <row r="1359" spans="1:3">
      <c r="A1359" s="6">
        <v>41627</v>
      </c>
      <c r="B1359" s="7">
        <v>5.0209</v>
      </c>
      <c r="C1359" s="7">
        <v>5.0655</v>
      </c>
    </row>
    <row r="1360" spans="1:3">
      <c r="A1360" s="6">
        <v>41628</v>
      </c>
      <c r="B1360" s="7">
        <v>5.0295</v>
      </c>
      <c r="C1360" s="7">
        <v>5.0496</v>
      </c>
    </row>
    <row r="1361" spans="1:3">
      <c r="A1361" s="6">
        <v>41631</v>
      </c>
      <c r="B1361" s="7">
        <v>5.0912</v>
      </c>
      <c r="C1361" s="7">
        <v>5.0811</v>
      </c>
    </row>
    <row r="1362" spans="1:3">
      <c r="A1362" s="6">
        <v>41632</v>
      </c>
      <c r="B1362" s="7">
        <v>4.9795</v>
      </c>
      <c r="C1362" s="7">
        <v>5.0305</v>
      </c>
    </row>
    <row r="1363" spans="1:3">
      <c r="A1363" s="6">
        <v>41633</v>
      </c>
      <c r="B1363" s="7">
        <v>4.9836</v>
      </c>
      <c r="C1363" s="7"/>
    </row>
    <row r="1364" spans="1:3">
      <c r="A1364" s="6">
        <v>41634</v>
      </c>
      <c r="B1364" s="7">
        <v>5</v>
      </c>
      <c r="C1364" s="7">
        <v>5.06</v>
      </c>
    </row>
    <row r="1365" spans="1:3">
      <c r="A1365" s="6">
        <v>41635</v>
      </c>
      <c r="B1365" s="7">
        <v>5.0083</v>
      </c>
      <c r="C1365" s="7">
        <v>5.073</v>
      </c>
    </row>
    <row r="1366" spans="1:3">
      <c r="A1366" s="6">
        <v>41639</v>
      </c>
      <c r="B1366" s="7">
        <v>5.1815</v>
      </c>
      <c r="C1366" s="7">
        <v>5.2044</v>
      </c>
    </row>
    <row r="1367" spans="1:3">
      <c r="A1367" s="6">
        <v>41641</v>
      </c>
      <c r="B1367" s="7">
        <v>5.2264</v>
      </c>
      <c r="C1367" s="7">
        <v>5.2817</v>
      </c>
    </row>
    <row r="1368" spans="1:3">
      <c r="A1368" s="6">
        <v>41642</v>
      </c>
      <c r="B1368" s="7">
        <v>5.3091</v>
      </c>
      <c r="C1368" s="7">
        <v>5.3914</v>
      </c>
    </row>
    <row r="1369" spans="1:3">
      <c r="A1369" s="6">
        <v>41645</v>
      </c>
      <c r="B1369" s="7">
        <v>5.2239</v>
      </c>
      <c r="C1369" s="7">
        <v>5.2853</v>
      </c>
    </row>
    <row r="1370" spans="1:3">
      <c r="A1370" s="6">
        <v>41646</v>
      </c>
      <c r="B1370" s="7">
        <v>5.0673</v>
      </c>
      <c r="C1370" s="7">
        <v>5.153</v>
      </c>
    </row>
    <row r="1371" spans="1:3">
      <c r="A1371" s="6">
        <v>41647</v>
      </c>
      <c r="B1371" s="7">
        <v>5.0226</v>
      </c>
      <c r="C1371" s="7">
        <v>5.0967</v>
      </c>
    </row>
    <row r="1372" spans="1:3">
      <c r="A1372" s="6">
        <v>41648</v>
      </c>
      <c r="B1372" s="7">
        <v>5.0136</v>
      </c>
      <c r="C1372" s="7">
        <v>5.1124</v>
      </c>
    </row>
    <row r="1373" spans="1:3">
      <c r="A1373" s="6">
        <v>41649</v>
      </c>
      <c r="B1373" s="7">
        <v>5.0057</v>
      </c>
      <c r="C1373" s="7">
        <v>5.1367</v>
      </c>
    </row>
    <row r="1374" spans="1:3">
      <c r="A1374" s="6">
        <v>41652</v>
      </c>
      <c r="B1374" s="7">
        <v>5.029</v>
      </c>
      <c r="C1374" s="7">
        <v>5.1467</v>
      </c>
    </row>
    <row r="1375" spans="1:3">
      <c r="A1375" s="6">
        <v>41653</v>
      </c>
      <c r="B1375" s="7">
        <v>5.0614</v>
      </c>
      <c r="C1375" s="7">
        <v>5.1817</v>
      </c>
    </row>
    <row r="1376" spans="1:3">
      <c r="A1376" s="6">
        <v>41654</v>
      </c>
      <c r="B1376" s="7">
        <v>4.9727</v>
      </c>
      <c r="C1376" s="7">
        <v>5.1267</v>
      </c>
    </row>
    <row r="1377" spans="1:3">
      <c r="A1377" s="6">
        <v>41655</v>
      </c>
      <c r="B1377" s="7">
        <v>4.9536</v>
      </c>
      <c r="C1377" s="7">
        <v>5.083</v>
      </c>
    </row>
    <row r="1378" spans="1:3">
      <c r="A1378" s="6">
        <v>41656</v>
      </c>
      <c r="B1378" s="7">
        <v>5.0683</v>
      </c>
      <c r="C1378" s="7">
        <v>5.1969</v>
      </c>
    </row>
    <row r="1379" spans="1:3">
      <c r="A1379" s="6">
        <v>41659</v>
      </c>
      <c r="B1379" s="7">
        <v>5.0926</v>
      </c>
      <c r="C1379" s="7">
        <v>5.1839</v>
      </c>
    </row>
    <row r="1380" spans="1:3">
      <c r="A1380" s="6">
        <v>41660</v>
      </c>
      <c r="B1380" s="7">
        <v>4.9241</v>
      </c>
      <c r="C1380" s="7">
        <v>5.0606</v>
      </c>
    </row>
    <row r="1381" spans="1:3">
      <c r="A1381" s="6">
        <v>41661</v>
      </c>
      <c r="B1381" s="7">
        <v>4.8436</v>
      </c>
      <c r="C1381" s="7">
        <v>4.9874</v>
      </c>
    </row>
    <row r="1382" spans="1:3">
      <c r="A1382" s="6">
        <v>41662</v>
      </c>
      <c r="B1382" s="7">
        <v>4.853</v>
      </c>
      <c r="C1382" s="7">
        <v>5.0243</v>
      </c>
    </row>
    <row r="1383" spans="1:3">
      <c r="A1383" s="6">
        <v>41663</v>
      </c>
      <c r="B1383" s="7">
        <v>4.8878</v>
      </c>
      <c r="C1383" s="7">
        <v>5.002</v>
      </c>
    </row>
    <row r="1384" spans="1:3">
      <c r="A1384" s="6">
        <v>41665</v>
      </c>
      <c r="B1384" s="7">
        <v>4.8001</v>
      </c>
      <c r="C1384" s="7">
        <v>4.9363</v>
      </c>
    </row>
    <row r="1385" spans="1:3">
      <c r="A1385" s="6">
        <v>41666</v>
      </c>
      <c r="B1385" s="7">
        <v>4.7865</v>
      </c>
      <c r="C1385" s="7">
        <v>4.8999</v>
      </c>
    </row>
    <row r="1386" spans="1:3">
      <c r="A1386" s="6">
        <v>41667</v>
      </c>
      <c r="B1386" s="7">
        <v>4.8277</v>
      </c>
      <c r="C1386" s="7">
        <v>4.9564</v>
      </c>
    </row>
    <row r="1387" spans="1:3">
      <c r="A1387" s="6">
        <v>41668</v>
      </c>
      <c r="B1387" s="7">
        <v>4.8548</v>
      </c>
      <c r="C1387" s="7">
        <v>4.9679</v>
      </c>
    </row>
    <row r="1388" spans="1:3">
      <c r="A1388" s="6">
        <v>41669</v>
      </c>
      <c r="B1388" s="7">
        <v>4.8</v>
      </c>
      <c r="C1388" s="7">
        <v>4.945</v>
      </c>
    </row>
    <row r="1389" spans="1:3">
      <c r="A1389" s="6">
        <v>41677</v>
      </c>
      <c r="B1389" s="7">
        <v>4.8023</v>
      </c>
      <c r="C1389" s="7">
        <v>4.892</v>
      </c>
    </row>
    <row r="1390" spans="1:3">
      <c r="A1390" s="6">
        <v>41678</v>
      </c>
      <c r="B1390" s="7">
        <v>4.8108</v>
      </c>
      <c r="C1390" s="7">
        <v>4.8925</v>
      </c>
    </row>
    <row r="1391" spans="1:3">
      <c r="A1391" s="6">
        <v>41680</v>
      </c>
      <c r="B1391" s="7">
        <v>4.8488</v>
      </c>
      <c r="C1391" s="7">
        <v>4.9414</v>
      </c>
    </row>
    <row r="1392" spans="1:3">
      <c r="A1392" s="6">
        <v>41681</v>
      </c>
      <c r="B1392" s="7">
        <v>4.8664</v>
      </c>
      <c r="C1392" s="7"/>
    </row>
    <row r="1393" spans="1:3">
      <c r="A1393" s="6">
        <v>41682</v>
      </c>
      <c r="B1393" s="7">
        <v>4.8407</v>
      </c>
      <c r="C1393" s="7">
        <v>4.9459</v>
      </c>
    </row>
    <row r="1394" spans="1:3">
      <c r="A1394" s="6">
        <v>41683</v>
      </c>
      <c r="B1394" s="7">
        <v>4.8236</v>
      </c>
      <c r="C1394" s="7">
        <v>4.9301</v>
      </c>
    </row>
    <row r="1395" spans="1:3">
      <c r="A1395" s="6">
        <v>41684</v>
      </c>
      <c r="B1395" s="7">
        <v>4.7836</v>
      </c>
      <c r="C1395" s="7">
        <v>4.8983</v>
      </c>
    </row>
    <row r="1396" spans="1:3">
      <c r="A1396" s="6">
        <v>41687</v>
      </c>
      <c r="B1396" s="7">
        <v>4.8</v>
      </c>
      <c r="C1396" s="7">
        <v>4.9325</v>
      </c>
    </row>
    <row r="1397" spans="1:3">
      <c r="A1397" s="6">
        <v>41688</v>
      </c>
      <c r="B1397" s="7">
        <v>4.8447</v>
      </c>
      <c r="C1397" s="7">
        <v>4.9905</v>
      </c>
    </row>
    <row r="1398" spans="1:3">
      <c r="A1398" s="6">
        <v>41689</v>
      </c>
      <c r="B1398" s="7">
        <v>4.8164</v>
      </c>
      <c r="C1398" s="7">
        <v>4.9853</v>
      </c>
    </row>
    <row r="1399" spans="1:3">
      <c r="A1399" s="6">
        <v>41690</v>
      </c>
      <c r="B1399" s="7">
        <v>4.7969</v>
      </c>
      <c r="C1399" s="7">
        <v>4.9601</v>
      </c>
    </row>
    <row r="1400" spans="1:3">
      <c r="A1400" s="6">
        <v>41691</v>
      </c>
      <c r="B1400" s="7">
        <v>4.6928</v>
      </c>
      <c r="C1400" s="7">
        <v>4.9156</v>
      </c>
    </row>
    <row r="1401" spans="1:3">
      <c r="A1401" s="6">
        <v>41694</v>
      </c>
      <c r="B1401" s="7">
        <v>4.6607</v>
      </c>
      <c r="C1401" s="7">
        <v>4.841</v>
      </c>
    </row>
    <row r="1402" spans="1:3">
      <c r="A1402" s="6">
        <v>41695</v>
      </c>
      <c r="B1402" s="7">
        <v>4.5501</v>
      </c>
      <c r="C1402" s="7">
        <v>4.7304</v>
      </c>
    </row>
    <row r="1403" spans="1:3">
      <c r="A1403" s="6">
        <v>41696</v>
      </c>
      <c r="B1403" s="7">
        <v>4.5163</v>
      </c>
      <c r="C1403" s="7">
        <v>4.7092</v>
      </c>
    </row>
    <row r="1404" spans="1:3">
      <c r="A1404" s="6">
        <v>41697</v>
      </c>
      <c r="B1404" s="7">
        <v>4.3871</v>
      </c>
      <c r="C1404" s="7">
        <v>4.55</v>
      </c>
    </row>
    <row r="1405" spans="1:3">
      <c r="A1405" s="6">
        <v>41698</v>
      </c>
      <c r="B1405" s="7">
        <v>4.3876</v>
      </c>
      <c r="C1405" s="7">
        <v>4.5622</v>
      </c>
    </row>
    <row r="1406" spans="1:3">
      <c r="A1406" s="6">
        <v>41701</v>
      </c>
      <c r="B1406" s="7">
        <v>4.3633</v>
      </c>
      <c r="C1406" s="7">
        <v>4.5639</v>
      </c>
    </row>
    <row r="1407" spans="1:3">
      <c r="A1407" s="6">
        <v>41702</v>
      </c>
      <c r="B1407" s="7">
        <v>4.4561</v>
      </c>
      <c r="C1407" s="7">
        <v>4.7186</v>
      </c>
    </row>
    <row r="1408" spans="1:3">
      <c r="A1408" s="6">
        <v>41703</v>
      </c>
      <c r="B1408" s="7">
        <v>4.5184</v>
      </c>
      <c r="C1408" s="7">
        <v>4.7642</v>
      </c>
    </row>
    <row r="1409" spans="1:3">
      <c r="A1409" s="6">
        <v>41704</v>
      </c>
      <c r="B1409" s="7">
        <v>4.5262</v>
      </c>
      <c r="C1409" s="7">
        <v>4.7361</v>
      </c>
    </row>
    <row r="1410" spans="1:3">
      <c r="A1410" s="6">
        <v>41705</v>
      </c>
      <c r="B1410" s="7">
        <v>4.4033</v>
      </c>
      <c r="C1410" s="7">
        <v>4.6715</v>
      </c>
    </row>
    <row r="1411" spans="1:3">
      <c r="A1411" s="6">
        <v>41708</v>
      </c>
      <c r="B1411" s="7">
        <v>4.2967</v>
      </c>
      <c r="C1411" s="7">
        <v>4.5983</v>
      </c>
    </row>
    <row r="1412" spans="1:3">
      <c r="A1412" s="6">
        <v>41709</v>
      </c>
      <c r="B1412" s="7">
        <v>4.1549</v>
      </c>
      <c r="C1412" s="7">
        <v>4.4939</v>
      </c>
    </row>
    <row r="1413" spans="1:3">
      <c r="A1413" s="6">
        <v>41710</v>
      </c>
      <c r="B1413" s="7">
        <v>4.0979</v>
      </c>
      <c r="C1413" s="7">
        <v>4.4746</v>
      </c>
    </row>
    <row r="1414" spans="1:3">
      <c r="A1414" s="6">
        <v>41711</v>
      </c>
      <c r="B1414" s="7">
        <v>4.0696</v>
      </c>
      <c r="C1414" s="7">
        <v>4.4881</v>
      </c>
    </row>
    <row r="1415" spans="1:3">
      <c r="A1415" s="6">
        <v>41712</v>
      </c>
      <c r="B1415" s="7">
        <v>4.0977</v>
      </c>
      <c r="C1415" s="7">
        <v>4.4396</v>
      </c>
    </row>
    <row r="1416" spans="1:3">
      <c r="A1416" s="6">
        <v>41715</v>
      </c>
      <c r="B1416" s="7">
        <v>4.1317</v>
      </c>
      <c r="C1416" s="7">
        <v>4.44</v>
      </c>
    </row>
    <row r="1417" spans="1:3">
      <c r="A1417" s="6">
        <v>41716</v>
      </c>
      <c r="B1417" s="7">
        <v>4.2686</v>
      </c>
      <c r="C1417" s="7">
        <v>4.5526</v>
      </c>
    </row>
    <row r="1418" spans="1:3">
      <c r="A1418" s="6">
        <v>41717</v>
      </c>
      <c r="B1418" s="7">
        <v>4.3791</v>
      </c>
      <c r="C1418" s="7">
        <v>4.6161</v>
      </c>
    </row>
    <row r="1419" spans="1:3">
      <c r="A1419" s="6">
        <v>41718</v>
      </c>
      <c r="B1419" s="7">
        <v>4.307</v>
      </c>
      <c r="C1419" s="7">
        <v>4.5736</v>
      </c>
    </row>
    <row r="1420" spans="1:3">
      <c r="A1420" s="6">
        <v>41719</v>
      </c>
      <c r="B1420" s="7">
        <v>4.1967</v>
      </c>
      <c r="C1420" s="7">
        <v>4.513</v>
      </c>
    </row>
    <row r="1421" spans="1:3">
      <c r="A1421" s="6">
        <v>41722</v>
      </c>
      <c r="B1421" s="7">
        <v>4.1844</v>
      </c>
      <c r="C1421" s="7">
        <v>4.4846</v>
      </c>
    </row>
    <row r="1422" spans="1:3">
      <c r="A1422" s="6">
        <v>41723</v>
      </c>
      <c r="B1422" s="7">
        <v>4.2438</v>
      </c>
      <c r="C1422" s="7">
        <v>4.547</v>
      </c>
    </row>
    <row r="1423" spans="1:3">
      <c r="A1423" s="6">
        <v>41724</v>
      </c>
      <c r="B1423" s="7">
        <v>4.2711</v>
      </c>
      <c r="C1423" s="7">
        <v>4.5762</v>
      </c>
    </row>
    <row r="1424" spans="1:3">
      <c r="A1424" s="6">
        <v>41725</v>
      </c>
      <c r="B1424" s="7">
        <v>4.2996</v>
      </c>
      <c r="C1424" s="7">
        <v>4.5679</v>
      </c>
    </row>
    <row r="1425" spans="1:3">
      <c r="A1425" s="6">
        <v>41726</v>
      </c>
      <c r="B1425" s="7">
        <v>4.2614</v>
      </c>
      <c r="C1425" s="7">
        <v>4.5439</v>
      </c>
    </row>
    <row r="1426" spans="1:3">
      <c r="A1426" s="6">
        <v>41729</v>
      </c>
      <c r="B1426" s="7">
        <v>4.2697</v>
      </c>
      <c r="C1426" s="7">
        <v>4.5378</v>
      </c>
    </row>
    <row r="1427" spans="1:3">
      <c r="A1427" s="6">
        <v>41730</v>
      </c>
      <c r="B1427" s="7">
        <v>4.3223</v>
      </c>
      <c r="C1427" s="7">
        <v>4.622</v>
      </c>
    </row>
    <row r="1428" spans="1:3">
      <c r="A1428" s="6">
        <v>41731</v>
      </c>
      <c r="B1428" s="7">
        <v>4.3796</v>
      </c>
      <c r="C1428" s="7">
        <v>4.6715</v>
      </c>
    </row>
    <row r="1429" spans="1:3">
      <c r="A1429" s="6">
        <v>41732</v>
      </c>
      <c r="B1429" s="7">
        <v>4.4285</v>
      </c>
      <c r="C1429" s="7">
        <v>4.7349</v>
      </c>
    </row>
    <row r="1430" spans="1:3">
      <c r="A1430" s="6">
        <v>41733</v>
      </c>
      <c r="B1430" s="7">
        <v>4.3442</v>
      </c>
      <c r="C1430" s="7">
        <v>4.6946</v>
      </c>
    </row>
    <row r="1431" spans="1:3">
      <c r="A1431" s="6">
        <v>41737</v>
      </c>
      <c r="B1431" s="7">
        <v>4.2917</v>
      </c>
      <c r="C1431" s="7">
        <v>4.69</v>
      </c>
    </row>
    <row r="1432" spans="1:3">
      <c r="A1432" s="6">
        <v>41738</v>
      </c>
      <c r="B1432" s="7">
        <v>4.282</v>
      </c>
      <c r="C1432" s="7">
        <v>4.7025</v>
      </c>
    </row>
    <row r="1433" spans="1:3">
      <c r="A1433" s="6">
        <v>41739</v>
      </c>
      <c r="B1433" s="7">
        <v>4.2637</v>
      </c>
      <c r="C1433" s="7">
        <v>4.6477</v>
      </c>
    </row>
    <row r="1434" spans="1:3">
      <c r="A1434" s="6">
        <v>41740</v>
      </c>
      <c r="B1434" s="7">
        <v>4.2085</v>
      </c>
      <c r="C1434" s="7">
        <v>4.5611</v>
      </c>
    </row>
    <row r="1435" spans="1:3">
      <c r="A1435" s="6">
        <v>41743</v>
      </c>
      <c r="B1435" s="7">
        <v>4.1396</v>
      </c>
      <c r="C1435" s="7">
        <v>4.4965</v>
      </c>
    </row>
    <row r="1436" spans="1:3">
      <c r="A1436" s="6">
        <v>41744</v>
      </c>
      <c r="B1436" s="7">
        <v>4.0705</v>
      </c>
      <c r="C1436" s="7">
        <v>4.4454</v>
      </c>
    </row>
    <row r="1437" spans="1:3">
      <c r="A1437" s="6">
        <v>41745</v>
      </c>
      <c r="B1437" s="7">
        <v>4.0611</v>
      </c>
      <c r="C1437" s="7">
        <v>4.4801</v>
      </c>
    </row>
    <row r="1438" spans="1:3">
      <c r="A1438" s="6">
        <v>41746</v>
      </c>
      <c r="B1438" s="7">
        <v>3.8714</v>
      </c>
      <c r="C1438" s="7">
        <v>4.2957</v>
      </c>
    </row>
    <row r="1439" spans="1:3">
      <c r="A1439" s="6">
        <v>41747</v>
      </c>
      <c r="B1439" s="7">
        <v>3.7744</v>
      </c>
      <c r="C1439" s="7">
        <v>4.3078</v>
      </c>
    </row>
    <row r="1440" spans="1:3">
      <c r="A1440" s="6">
        <v>41750</v>
      </c>
      <c r="B1440" s="7">
        <v>3.7563</v>
      </c>
      <c r="C1440" s="7">
        <v>4.2721</v>
      </c>
    </row>
    <row r="1441" spans="1:3">
      <c r="A1441" s="6">
        <v>41751</v>
      </c>
      <c r="B1441" s="7">
        <v>3.8497</v>
      </c>
      <c r="C1441" s="7">
        <v>4.324</v>
      </c>
    </row>
    <row r="1442" spans="1:3">
      <c r="A1442" s="6">
        <v>41752</v>
      </c>
      <c r="B1442" s="7">
        <v>3.7728</v>
      </c>
      <c r="C1442" s="7">
        <v>4.2585</v>
      </c>
    </row>
    <row r="1443" spans="1:3">
      <c r="A1443" s="6">
        <v>41753</v>
      </c>
      <c r="B1443" s="7">
        <v>3.7917</v>
      </c>
      <c r="C1443" s="7">
        <v>4.253</v>
      </c>
    </row>
    <row r="1444" spans="1:3">
      <c r="A1444" s="6">
        <v>41754</v>
      </c>
      <c r="B1444" s="7">
        <v>3.8436</v>
      </c>
      <c r="C1444" s="7">
        <v>4.2541</v>
      </c>
    </row>
    <row r="1445" spans="1:3">
      <c r="A1445" s="6">
        <v>41757</v>
      </c>
      <c r="B1445" s="7">
        <v>3.8231</v>
      </c>
      <c r="C1445" s="7">
        <v>4.2265</v>
      </c>
    </row>
    <row r="1446" spans="1:3">
      <c r="A1446" s="6">
        <v>41758</v>
      </c>
      <c r="B1446" s="7">
        <v>3.8127</v>
      </c>
      <c r="C1446" s="7">
        <v>4.2158</v>
      </c>
    </row>
    <row r="1447" spans="1:3">
      <c r="A1447" s="6">
        <v>41759</v>
      </c>
      <c r="B1447" s="7">
        <v>3.7859</v>
      </c>
      <c r="C1447" s="7">
        <v>4.1754</v>
      </c>
    </row>
    <row r="1448" spans="1:3">
      <c r="A1448" s="6">
        <v>41763</v>
      </c>
      <c r="B1448" s="7">
        <v>3.7496</v>
      </c>
      <c r="C1448" s="7">
        <v>4.1067</v>
      </c>
    </row>
    <row r="1449" spans="1:3">
      <c r="A1449" s="6">
        <v>41764</v>
      </c>
      <c r="B1449" s="7">
        <v>3.6661</v>
      </c>
      <c r="C1449" s="7">
        <v>4.042</v>
      </c>
    </row>
    <row r="1450" spans="1:3">
      <c r="A1450" s="6">
        <v>41765</v>
      </c>
      <c r="B1450" s="7">
        <v>3.628</v>
      </c>
      <c r="C1450" s="7">
        <v>3.9992</v>
      </c>
    </row>
    <row r="1451" spans="1:3">
      <c r="A1451" s="6">
        <v>41766</v>
      </c>
      <c r="B1451" s="7">
        <v>3.6641</v>
      </c>
      <c r="C1451" s="7">
        <v>4.03</v>
      </c>
    </row>
    <row r="1452" spans="1:3">
      <c r="A1452" s="6">
        <v>41767</v>
      </c>
      <c r="B1452" s="7">
        <v>3.6573</v>
      </c>
      <c r="C1452" s="7">
        <v>4.0175</v>
      </c>
    </row>
    <row r="1453" spans="1:3">
      <c r="A1453" s="6">
        <v>41768</v>
      </c>
      <c r="B1453" s="7">
        <v>3.6473</v>
      </c>
      <c r="C1453" s="7">
        <v>3.9387</v>
      </c>
    </row>
    <row r="1454" spans="1:3">
      <c r="A1454" s="6">
        <v>41771</v>
      </c>
      <c r="B1454" s="7">
        <v>3.6795</v>
      </c>
      <c r="C1454" s="7">
        <v>3.99</v>
      </c>
    </row>
    <row r="1455" spans="1:3">
      <c r="A1455" s="6">
        <v>41772</v>
      </c>
      <c r="B1455" s="7">
        <v>3.6752</v>
      </c>
      <c r="C1455" s="7">
        <v>4.0235</v>
      </c>
    </row>
    <row r="1456" spans="1:3">
      <c r="A1456" s="6">
        <v>41773</v>
      </c>
      <c r="B1456" s="7">
        <v>3.7279</v>
      </c>
      <c r="C1456" s="7">
        <v>4.1107</v>
      </c>
    </row>
    <row r="1457" spans="1:3">
      <c r="A1457" s="6">
        <v>41774</v>
      </c>
      <c r="B1457" s="7">
        <v>3.7519</v>
      </c>
      <c r="C1457" s="7">
        <v>4.1227</v>
      </c>
    </row>
    <row r="1458" spans="1:3">
      <c r="A1458" s="6">
        <v>41775</v>
      </c>
      <c r="B1458" s="7">
        <v>3.7314</v>
      </c>
      <c r="C1458" s="7">
        <v>4.1047</v>
      </c>
    </row>
    <row r="1459" spans="1:3">
      <c r="A1459" s="6">
        <v>41778</v>
      </c>
      <c r="B1459" s="7">
        <v>3.7328</v>
      </c>
      <c r="C1459" s="7">
        <v>4.0854</v>
      </c>
    </row>
    <row r="1460" spans="1:3">
      <c r="A1460" s="6">
        <v>41779</v>
      </c>
      <c r="B1460" s="7">
        <v>3.7767</v>
      </c>
      <c r="C1460" s="7">
        <v>4.0986</v>
      </c>
    </row>
    <row r="1461" spans="1:3">
      <c r="A1461" s="6">
        <v>41780</v>
      </c>
      <c r="B1461" s="7">
        <v>3.7418</v>
      </c>
      <c r="C1461" s="7">
        <v>4.1507</v>
      </c>
    </row>
    <row r="1462" spans="1:3">
      <c r="A1462" s="6">
        <v>41781</v>
      </c>
      <c r="B1462" s="7">
        <v>3.667</v>
      </c>
      <c r="C1462" s="7">
        <v>4.0065</v>
      </c>
    </row>
    <row r="1463" spans="1:3">
      <c r="A1463" s="6">
        <v>41782</v>
      </c>
      <c r="B1463" s="7">
        <v>3.6545</v>
      </c>
      <c r="C1463" s="7">
        <v>4.004</v>
      </c>
    </row>
    <row r="1464" spans="1:3">
      <c r="A1464" s="6">
        <v>41785</v>
      </c>
      <c r="B1464" s="7">
        <v>3.6278</v>
      </c>
      <c r="C1464" s="7">
        <v>3.9939</v>
      </c>
    </row>
    <row r="1465" spans="1:3">
      <c r="A1465" s="6">
        <v>41786</v>
      </c>
      <c r="B1465" s="7">
        <v>3.5548</v>
      </c>
      <c r="C1465" s="7">
        <v>3.9391</v>
      </c>
    </row>
    <row r="1466" spans="1:3">
      <c r="A1466" s="6">
        <v>41787</v>
      </c>
      <c r="B1466" s="7">
        <v>3.5098</v>
      </c>
      <c r="C1466" s="7">
        <v>3.8899</v>
      </c>
    </row>
    <row r="1467" spans="1:3">
      <c r="A1467" s="6">
        <v>41788</v>
      </c>
      <c r="B1467" s="7">
        <v>3.4912</v>
      </c>
      <c r="C1467" s="7">
        <v>3.8547</v>
      </c>
    </row>
    <row r="1468" spans="1:3">
      <c r="A1468" s="6">
        <v>41789</v>
      </c>
      <c r="B1468" s="7">
        <v>3.5031</v>
      </c>
      <c r="C1468" s="7">
        <v>3.8775</v>
      </c>
    </row>
    <row r="1469" spans="1:3">
      <c r="A1469" s="6">
        <v>41793</v>
      </c>
      <c r="B1469" s="7">
        <v>3.3724</v>
      </c>
      <c r="C1469" s="7">
        <v>3.7703</v>
      </c>
    </row>
    <row r="1470" spans="1:3">
      <c r="A1470" s="6">
        <v>41794</v>
      </c>
      <c r="B1470" s="7">
        <v>3.4075</v>
      </c>
      <c r="C1470" s="7">
        <v>3.8143</v>
      </c>
    </row>
    <row r="1471" spans="1:3">
      <c r="A1471" s="6">
        <v>41795</v>
      </c>
      <c r="B1471" s="7">
        <v>3.4649</v>
      </c>
      <c r="C1471" s="7">
        <v>3.9261</v>
      </c>
    </row>
    <row r="1472" spans="1:3">
      <c r="A1472" s="6">
        <v>41796</v>
      </c>
      <c r="B1472" s="7">
        <v>3.4692</v>
      </c>
      <c r="C1472" s="7">
        <v>3.9063</v>
      </c>
    </row>
    <row r="1473" spans="1:3">
      <c r="A1473" s="6">
        <v>41799</v>
      </c>
      <c r="B1473" s="7">
        <v>3.5013</v>
      </c>
      <c r="C1473" s="7">
        <v>3.9382</v>
      </c>
    </row>
    <row r="1474" spans="1:3">
      <c r="A1474" s="6">
        <v>41800</v>
      </c>
      <c r="B1474" s="7">
        <v>3.4746</v>
      </c>
      <c r="C1474" s="7">
        <v>3.9167</v>
      </c>
    </row>
    <row r="1475" spans="1:3">
      <c r="A1475" s="6">
        <v>41801</v>
      </c>
      <c r="B1475" s="7">
        <v>3.472</v>
      </c>
      <c r="C1475" s="7">
        <v>3.9054</v>
      </c>
    </row>
    <row r="1476" spans="1:3">
      <c r="A1476" s="6">
        <v>41802</v>
      </c>
      <c r="B1476" s="7">
        <v>3.493</v>
      </c>
      <c r="C1476" s="7">
        <v>3.9381</v>
      </c>
    </row>
    <row r="1477" spans="1:3">
      <c r="A1477" s="6">
        <v>41803</v>
      </c>
      <c r="B1477" s="7">
        <v>3.5158</v>
      </c>
      <c r="C1477" s="7">
        <v>3.9737</v>
      </c>
    </row>
    <row r="1478" spans="1:3">
      <c r="A1478" s="6">
        <v>41806</v>
      </c>
      <c r="B1478" s="7">
        <v>3.4521</v>
      </c>
      <c r="C1478" s="7">
        <v>3.922</v>
      </c>
    </row>
    <row r="1479" spans="1:3">
      <c r="A1479" s="6">
        <v>41807</v>
      </c>
      <c r="B1479" s="7">
        <v>3.4</v>
      </c>
      <c r="C1479" s="7">
        <v>3.8529</v>
      </c>
    </row>
    <row r="1480" spans="1:3">
      <c r="A1480" s="6">
        <v>41808</v>
      </c>
      <c r="B1480" s="7">
        <v>3.4706</v>
      </c>
      <c r="C1480" s="7">
        <v>3.9236</v>
      </c>
    </row>
    <row r="1481" spans="1:3">
      <c r="A1481" s="6">
        <v>41809</v>
      </c>
      <c r="B1481" s="7">
        <v>3.4753</v>
      </c>
      <c r="C1481" s="7">
        <v>3.9279</v>
      </c>
    </row>
    <row r="1482" spans="1:3">
      <c r="A1482" s="6">
        <v>41810</v>
      </c>
      <c r="B1482" s="7">
        <v>3.4535</v>
      </c>
      <c r="C1482" s="7">
        <v>3.8951</v>
      </c>
    </row>
    <row r="1483" spans="1:3">
      <c r="A1483" s="6">
        <v>41813</v>
      </c>
      <c r="B1483" s="7">
        <v>3.4795</v>
      </c>
      <c r="C1483" s="7">
        <v>3.9402</v>
      </c>
    </row>
    <row r="1484" spans="1:3">
      <c r="A1484" s="6">
        <v>41814</v>
      </c>
      <c r="B1484" s="7">
        <v>3.4838</v>
      </c>
      <c r="C1484" s="7">
        <v>3.9484</v>
      </c>
    </row>
    <row r="1485" spans="1:3">
      <c r="A1485" s="6">
        <v>41815</v>
      </c>
      <c r="B1485" s="7">
        <v>3.5293</v>
      </c>
      <c r="C1485" s="7">
        <v>4.0055</v>
      </c>
    </row>
    <row r="1486" spans="1:3">
      <c r="A1486" s="6">
        <v>41816</v>
      </c>
      <c r="B1486" s="7">
        <v>3.5384</v>
      </c>
      <c r="C1486" s="7">
        <v>4.0434</v>
      </c>
    </row>
    <row r="1487" spans="1:3">
      <c r="A1487" s="6">
        <v>41817</v>
      </c>
      <c r="B1487" s="7">
        <v>3.5427</v>
      </c>
      <c r="C1487" s="7">
        <v>4.0488</v>
      </c>
    </row>
    <row r="1488" spans="1:3">
      <c r="A1488" s="6">
        <v>41820</v>
      </c>
      <c r="B1488" s="7">
        <v>3.5914</v>
      </c>
      <c r="C1488" s="7">
        <v>4.1072</v>
      </c>
    </row>
    <row r="1489" spans="1:3">
      <c r="A1489" s="6">
        <v>41821</v>
      </c>
      <c r="B1489" s="7">
        <v>3.7103</v>
      </c>
      <c r="C1489" s="7">
        <v>4.2014</v>
      </c>
    </row>
    <row r="1490" spans="1:3">
      <c r="A1490" s="6">
        <v>41822</v>
      </c>
      <c r="B1490" s="7">
        <v>3.7274</v>
      </c>
      <c r="C1490" s="7">
        <v>4.2045</v>
      </c>
    </row>
    <row r="1491" spans="1:3">
      <c r="A1491" s="6">
        <v>41823</v>
      </c>
      <c r="B1491" s="7">
        <v>3.7436</v>
      </c>
      <c r="C1491" s="7">
        <v>4.2364</v>
      </c>
    </row>
    <row r="1492" spans="1:3">
      <c r="A1492" s="6">
        <v>41824</v>
      </c>
      <c r="B1492" s="7">
        <v>3.7572</v>
      </c>
      <c r="C1492" s="7">
        <v>4.2709</v>
      </c>
    </row>
    <row r="1493" spans="1:3">
      <c r="A1493" s="6">
        <v>41827</v>
      </c>
      <c r="B1493" s="7">
        <v>3.6929</v>
      </c>
      <c r="C1493" s="7">
        <v>4.2018</v>
      </c>
    </row>
    <row r="1494" spans="1:3">
      <c r="A1494" s="6">
        <v>41828</v>
      </c>
      <c r="B1494" s="7">
        <v>3.7042</v>
      </c>
      <c r="C1494" s="7">
        <v>4.2209</v>
      </c>
    </row>
    <row r="1495" spans="1:3">
      <c r="A1495" s="6">
        <v>41829</v>
      </c>
      <c r="B1495" s="7">
        <v>3.7422</v>
      </c>
      <c r="C1495" s="7">
        <v>4.2613</v>
      </c>
    </row>
    <row r="1496" spans="1:3">
      <c r="A1496" s="6">
        <v>41830</v>
      </c>
      <c r="B1496" s="7">
        <v>3.7491</v>
      </c>
      <c r="C1496" s="7">
        <v>4.2504</v>
      </c>
    </row>
    <row r="1497" spans="1:3">
      <c r="A1497" s="6">
        <v>41831</v>
      </c>
      <c r="B1497" s="7">
        <v>3.7257</v>
      </c>
      <c r="C1497" s="7">
        <v>4.2181</v>
      </c>
    </row>
    <row r="1498" spans="1:3">
      <c r="A1498" s="6">
        <v>41834</v>
      </c>
      <c r="B1498" s="7">
        <v>3.7556</v>
      </c>
      <c r="C1498" s="7">
        <v>4.2457</v>
      </c>
    </row>
    <row r="1499" spans="1:3">
      <c r="A1499" s="6">
        <v>41835</v>
      </c>
      <c r="B1499" s="7">
        <v>3.8316</v>
      </c>
      <c r="C1499" s="7">
        <v>4.3368</v>
      </c>
    </row>
    <row r="1500" spans="1:3">
      <c r="A1500" s="6">
        <v>41836</v>
      </c>
      <c r="B1500" s="7">
        <v>3.8953</v>
      </c>
      <c r="C1500" s="7">
        <v>4.3729</v>
      </c>
    </row>
    <row r="1501" spans="1:3">
      <c r="A1501" s="6">
        <v>41837</v>
      </c>
      <c r="B1501" s="7">
        <v>3.9936</v>
      </c>
      <c r="C1501" s="7">
        <v>4.4598</v>
      </c>
    </row>
    <row r="1502" spans="1:3">
      <c r="A1502" s="6">
        <v>41838</v>
      </c>
      <c r="B1502" s="7">
        <v>4.144</v>
      </c>
      <c r="C1502" s="7">
        <v>4.4773</v>
      </c>
    </row>
    <row r="1503" spans="1:3">
      <c r="A1503" s="6">
        <v>41841</v>
      </c>
      <c r="B1503" s="7">
        <v>4.0378</v>
      </c>
      <c r="C1503" s="7">
        <v>4.3834</v>
      </c>
    </row>
    <row r="1504" spans="1:3">
      <c r="A1504" s="6">
        <v>41842</v>
      </c>
      <c r="B1504" s="7">
        <v>3.9575</v>
      </c>
      <c r="C1504" s="7">
        <v>4.3304</v>
      </c>
    </row>
    <row r="1505" spans="1:3">
      <c r="A1505" s="6">
        <v>41843</v>
      </c>
      <c r="B1505" s="7">
        <v>3.9631</v>
      </c>
      <c r="C1505" s="7">
        <v>4.3334</v>
      </c>
    </row>
    <row r="1506" spans="1:3">
      <c r="A1506" s="6">
        <v>41844</v>
      </c>
      <c r="B1506" s="7">
        <v>3.8917</v>
      </c>
      <c r="C1506" s="7">
        <v>4.2852</v>
      </c>
    </row>
    <row r="1507" spans="1:3">
      <c r="A1507" s="6">
        <v>41845</v>
      </c>
      <c r="B1507" s="7">
        <v>3.8273</v>
      </c>
      <c r="C1507" s="7">
        <v>4.2478</v>
      </c>
    </row>
    <row r="1508" spans="1:3">
      <c r="A1508" s="6">
        <v>41848</v>
      </c>
      <c r="B1508" s="7">
        <v>3.816</v>
      </c>
      <c r="C1508" s="7">
        <v>4.2335</v>
      </c>
    </row>
    <row r="1509" spans="1:3">
      <c r="A1509" s="6">
        <v>41849</v>
      </c>
      <c r="B1509" s="7">
        <v>3.8474</v>
      </c>
      <c r="C1509" s="7">
        <v>4.2785</v>
      </c>
    </row>
    <row r="1510" spans="1:3">
      <c r="A1510" s="6">
        <v>41850</v>
      </c>
      <c r="B1510" s="7">
        <v>3.862</v>
      </c>
      <c r="C1510" s="7">
        <v>4.3027</v>
      </c>
    </row>
    <row r="1511" spans="1:3">
      <c r="A1511" s="6">
        <v>41851</v>
      </c>
      <c r="B1511" s="7">
        <v>3.8491</v>
      </c>
      <c r="C1511" s="7">
        <v>4.2814</v>
      </c>
    </row>
    <row r="1512" spans="1:3">
      <c r="A1512" s="6">
        <v>41852</v>
      </c>
      <c r="B1512" s="7">
        <v>3.7868</v>
      </c>
      <c r="C1512" s="7">
        <v>4.2393</v>
      </c>
    </row>
    <row r="1513" spans="1:3">
      <c r="A1513" s="6">
        <v>41855</v>
      </c>
      <c r="B1513" s="7">
        <v>3.7831</v>
      </c>
      <c r="C1513" s="7">
        <v>4.2259</v>
      </c>
    </row>
    <row r="1514" spans="1:3">
      <c r="A1514" s="6">
        <v>41856</v>
      </c>
      <c r="B1514" s="7">
        <v>3.7702</v>
      </c>
      <c r="C1514" s="7">
        <v>4.2208</v>
      </c>
    </row>
    <row r="1515" spans="1:3">
      <c r="A1515" s="6">
        <v>41857</v>
      </c>
      <c r="B1515" s="7">
        <v>3.7343</v>
      </c>
      <c r="C1515" s="7">
        <v>4.1636</v>
      </c>
    </row>
    <row r="1516" spans="1:3">
      <c r="A1516" s="6">
        <v>41858</v>
      </c>
      <c r="B1516" s="7">
        <v>3.7297</v>
      </c>
      <c r="C1516" s="7">
        <v>4.1672</v>
      </c>
    </row>
    <row r="1517" spans="1:3">
      <c r="A1517" s="6">
        <v>41859</v>
      </c>
      <c r="B1517" s="7">
        <v>3.7065</v>
      </c>
      <c r="C1517" s="7">
        <v>4.1318</v>
      </c>
    </row>
    <row r="1518" spans="1:3">
      <c r="A1518" s="6">
        <v>41862</v>
      </c>
      <c r="B1518" s="7">
        <v>3.6881</v>
      </c>
      <c r="C1518" s="7">
        <v>4.1009</v>
      </c>
    </row>
    <row r="1519" spans="1:3">
      <c r="A1519" s="6">
        <v>41863</v>
      </c>
      <c r="B1519" s="7">
        <v>3.7252</v>
      </c>
      <c r="C1519" s="7">
        <v>4.1145</v>
      </c>
    </row>
    <row r="1520" spans="1:3">
      <c r="A1520" s="6">
        <v>41864</v>
      </c>
      <c r="B1520" s="7">
        <v>3.6951</v>
      </c>
      <c r="C1520" s="7">
        <v>4.0622</v>
      </c>
    </row>
    <row r="1521" spans="1:3">
      <c r="A1521" s="6">
        <v>41865</v>
      </c>
      <c r="B1521" s="7">
        <v>3.626</v>
      </c>
      <c r="C1521" s="7">
        <v>3.9596</v>
      </c>
    </row>
    <row r="1522" spans="1:3">
      <c r="A1522" s="6">
        <v>41866</v>
      </c>
      <c r="B1522" s="7">
        <v>3.6374</v>
      </c>
      <c r="C1522" s="7">
        <v>3.9625</v>
      </c>
    </row>
    <row r="1523" spans="1:3">
      <c r="A1523" s="6">
        <v>41869</v>
      </c>
      <c r="B1523" s="7">
        <v>3.6465</v>
      </c>
      <c r="C1523" s="7">
        <v>3.9867</v>
      </c>
    </row>
    <row r="1524" spans="1:3">
      <c r="A1524" s="6">
        <v>41870</v>
      </c>
      <c r="B1524" s="7">
        <v>3.6613</v>
      </c>
      <c r="C1524" s="7">
        <v>3.9998</v>
      </c>
    </row>
    <row r="1525" spans="1:3">
      <c r="A1525" s="6">
        <v>41871</v>
      </c>
      <c r="B1525" s="7">
        <v>3.697</v>
      </c>
      <c r="C1525" s="7">
        <v>4.0575</v>
      </c>
    </row>
    <row r="1526" spans="1:3">
      <c r="A1526" s="6">
        <v>41872</v>
      </c>
      <c r="B1526" s="7">
        <v>3.7003</v>
      </c>
      <c r="C1526" s="7">
        <v>4.0248</v>
      </c>
    </row>
    <row r="1527" spans="1:3">
      <c r="A1527" s="6">
        <v>41873</v>
      </c>
      <c r="B1527" s="7">
        <v>3.7023</v>
      </c>
      <c r="C1527" s="7">
        <v>4.0062</v>
      </c>
    </row>
    <row r="1528" spans="1:3">
      <c r="A1528" s="6">
        <v>41876</v>
      </c>
      <c r="B1528" s="7">
        <v>3.6924</v>
      </c>
      <c r="C1528" s="7">
        <v>3.9725</v>
      </c>
    </row>
    <row r="1529" spans="1:3">
      <c r="A1529" s="6">
        <v>41877</v>
      </c>
      <c r="B1529" s="7">
        <v>3.6517</v>
      </c>
      <c r="C1529" s="7">
        <v>3.9467</v>
      </c>
    </row>
    <row r="1530" spans="1:3">
      <c r="A1530" s="6">
        <v>41878</v>
      </c>
      <c r="B1530" s="7">
        <v>3.6078</v>
      </c>
      <c r="C1530" s="7">
        <v>3.9015</v>
      </c>
    </row>
    <row r="1531" spans="1:3">
      <c r="A1531" s="6">
        <v>41879</v>
      </c>
      <c r="B1531" s="7">
        <v>3.5757</v>
      </c>
      <c r="C1531" s="7">
        <v>3.8776</v>
      </c>
    </row>
    <row r="1532" spans="1:3">
      <c r="A1532" s="6">
        <v>41880</v>
      </c>
      <c r="B1532" s="7">
        <v>3.599</v>
      </c>
      <c r="C1532" s="7">
        <v>3.8987</v>
      </c>
    </row>
    <row r="1533" spans="1:3">
      <c r="A1533" s="6">
        <v>41883</v>
      </c>
      <c r="B1533" s="7">
        <v>3.588</v>
      </c>
      <c r="C1533" s="7">
        <v>3.8977</v>
      </c>
    </row>
    <row r="1534" spans="1:3">
      <c r="A1534" s="6">
        <v>41884</v>
      </c>
      <c r="B1534" s="7">
        <v>3.5741</v>
      </c>
      <c r="C1534" s="7">
        <v>3.909</v>
      </c>
    </row>
    <row r="1535" spans="1:3">
      <c r="A1535" s="6">
        <v>41885</v>
      </c>
      <c r="B1535" s="7">
        <v>3.6058</v>
      </c>
      <c r="C1535" s="7">
        <v>3.9413</v>
      </c>
    </row>
    <row r="1536" spans="1:3">
      <c r="A1536" s="6">
        <v>41886</v>
      </c>
      <c r="B1536" s="7">
        <v>3.6162</v>
      </c>
      <c r="C1536" s="7">
        <v>3.9849</v>
      </c>
    </row>
    <row r="1537" spans="1:3">
      <c r="A1537" s="6">
        <v>41887</v>
      </c>
      <c r="B1537" s="7">
        <v>3.5976</v>
      </c>
      <c r="C1537" s="7">
        <v>3.9823</v>
      </c>
    </row>
    <row r="1538" spans="1:3">
      <c r="A1538" s="6">
        <v>41891</v>
      </c>
      <c r="B1538" s="7">
        <v>3.602</v>
      </c>
      <c r="C1538" s="7">
        <v>3.9955</v>
      </c>
    </row>
    <row r="1539" spans="1:3">
      <c r="A1539" s="6">
        <v>41892</v>
      </c>
      <c r="B1539" s="7">
        <v>3.6256</v>
      </c>
      <c r="C1539" s="7">
        <v>3.9859</v>
      </c>
    </row>
    <row r="1540" spans="1:3">
      <c r="A1540" s="6">
        <v>41893</v>
      </c>
      <c r="B1540" s="7">
        <v>3.626</v>
      </c>
      <c r="C1540" s="7">
        <v>3.956</v>
      </c>
    </row>
    <row r="1541" spans="1:3">
      <c r="A1541" s="6">
        <v>41894</v>
      </c>
      <c r="B1541" s="7">
        <v>3.6131</v>
      </c>
      <c r="C1541" s="7">
        <v>3.9345</v>
      </c>
    </row>
    <row r="1542" spans="1:3">
      <c r="A1542" s="6">
        <v>41897</v>
      </c>
      <c r="B1542" s="7">
        <v>3.5821</v>
      </c>
      <c r="C1542" s="7">
        <v>3.8557</v>
      </c>
    </row>
    <row r="1543" spans="1:3">
      <c r="A1543" s="6">
        <v>41898</v>
      </c>
      <c r="B1543" s="7">
        <v>3.5896</v>
      </c>
      <c r="C1543" s="7">
        <v>3.8226</v>
      </c>
    </row>
    <row r="1544" spans="1:3">
      <c r="A1544" s="6">
        <v>41899</v>
      </c>
      <c r="B1544" s="7">
        <v>3.5061</v>
      </c>
      <c r="C1544" s="7">
        <v>3.7647</v>
      </c>
    </row>
    <row r="1545" spans="1:3">
      <c r="A1545" s="6">
        <v>41900</v>
      </c>
      <c r="B1545" s="7">
        <v>3.3941</v>
      </c>
      <c r="C1545" s="7">
        <v>3.7028</v>
      </c>
    </row>
    <row r="1546" spans="1:3">
      <c r="A1546" s="6">
        <v>41901</v>
      </c>
      <c r="B1546" s="7">
        <v>3.3773</v>
      </c>
      <c r="C1546" s="7">
        <v>3.6692</v>
      </c>
    </row>
    <row r="1547" spans="1:3">
      <c r="A1547" s="6">
        <v>41904</v>
      </c>
      <c r="B1547" s="7">
        <v>3.3696</v>
      </c>
      <c r="C1547" s="7">
        <v>3.6313</v>
      </c>
    </row>
    <row r="1548" spans="1:3">
      <c r="A1548" s="6">
        <v>41905</v>
      </c>
      <c r="B1548" s="7">
        <v>3.3051</v>
      </c>
      <c r="C1548" s="7">
        <v>3.6057</v>
      </c>
    </row>
    <row r="1549" spans="1:3">
      <c r="A1549" s="6">
        <v>41906</v>
      </c>
      <c r="B1549" s="7">
        <v>3.3807</v>
      </c>
      <c r="C1549" s="7">
        <v>3.7058</v>
      </c>
    </row>
    <row r="1550" spans="1:3">
      <c r="A1550" s="6">
        <v>41907</v>
      </c>
      <c r="B1550" s="7">
        <v>3.3927</v>
      </c>
      <c r="C1550" s="7">
        <v>3.7507</v>
      </c>
    </row>
    <row r="1551" spans="1:3">
      <c r="A1551" s="6">
        <v>41908</v>
      </c>
      <c r="B1551" s="7">
        <v>3.357</v>
      </c>
      <c r="C1551" s="7">
        <v>3.6934</v>
      </c>
    </row>
    <row r="1552" spans="1:3">
      <c r="A1552" s="6">
        <v>41910</v>
      </c>
      <c r="B1552" s="7">
        <v>3.33</v>
      </c>
      <c r="C1552" s="7">
        <v>3.62</v>
      </c>
    </row>
    <row r="1553" spans="1:3">
      <c r="A1553" s="6">
        <v>41911</v>
      </c>
      <c r="B1553" s="7">
        <v>3.2092</v>
      </c>
      <c r="C1553" s="7">
        <v>3.5048</v>
      </c>
    </row>
    <row r="1554" spans="1:3">
      <c r="A1554" s="6">
        <v>41912</v>
      </c>
      <c r="B1554" s="7">
        <v>3.2</v>
      </c>
      <c r="C1554" s="7">
        <v>3.4973</v>
      </c>
    </row>
    <row r="1555" spans="1:3">
      <c r="A1555" s="6">
        <v>41920</v>
      </c>
      <c r="B1555" s="7">
        <v>3.2352</v>
      </c>
      <c r="C1555" s="7">
        <v>3.5528</v>
      </c>
    </row>
    <row r="1556" spans="1:3">
      <c r="A1556" s="6">
        <v>41921</v>
      </c>
      <c r="B1556" s="7">
        <v>3.2482</v>
      </c>
      <c r="C1556" s="7">
        <v>3.5756</v>
      </c>
    </row>
    <row r="1557" spans="1:3">
      <c r="A1557" s="6">
        <v>41922</v>
      </c>
      <c r="B1557" s="7">
        <v>3.2523</v>
      </c>
      <c r="C1557" s="7">
        <v>3.5814</v>
      </c>
    </row>
    <row r="1558" spans="1:3">
      <c r="A1558" s="6">
        <v>41923</v>
      </c>
      <c r="B1558" s="7">
        <v>3.2489</v>
      </c>
      <c r="C1558" s="7">
        <v>3.575</v>
      </c>
    </row>
    <row r="1559" spans="1:3">
      <c r="A1559" s="6">
        <v>41925</v>
      </c>
      <c r="B1559" s="7">
        <v>3.2501</v>
      </c>
      <c r="C1559" s="7">
        <v>3.5715</v>
      </c>
    </row>
    <row r="1560" spans="1:3">
      <c r="A1560" s="6">
        <v>41926</v>
      </c>
      <c r="B1560" s="7">
        <v>3.1794</v>
      </c>
      <c r="C1560" s="7">
        <v>3.4713</v>
      </c>
    </row>
    <row r="1561" spans="1:3">
      <c r="A1561" s="6">
        <v>41927</v>
      </c>
      <c r="B1561" s="7">
        <v>3.0976</v>
      </c>
      <c r="C1561" s="7">
        <v>3.3983</v>
      </c>
    </row>
    <row r="1562" spans="1:3">
      <c r="A1562" s="6">
        <v>41928</v>
      </c>
      <c r="B1562" s="7">
        <v>3.0784</v>
      </c>
      <c r="C1562" s="7">
        <v>3.3709</v>
      </c>
    </row>
    <row r="1563" spans="1:3">
      <c r="A1563" s="6">
        <v>41929</v>
      </c>
      <c r="B1563" s="7">
        <v>3.1144</v>
      </c>
      <c r="C1563" s="7">
        <v>3.3791</v>
      </c>
    </row>
    <row r="1564" spans="1:3">
      <c r="A1564" s="6">
        <v>41932</v>
      </c>
      <c r="B1564" s="7">
        <v>3.0489</v>
      </c>
      <c r="C1564" s="7">
        <v>3.3212</v>
      </c>
    </row>
    <row r="1565" spans="1:3">
      <c r="A1565" s="6">
        <v>41933</v>
      </c>
      <c r="B1565" s="7">
        <v>3.0227</v>
      </c>
      <c r="C1565" s="7">
        <v>3.3145</v>
      </c>
    </row>
    <row r="1566" spans="1:3">
      <c r="A1566" s="6">
        <v>41934</v>
      </c>
      <c r="B1566" s="7">
        <v>3.0788</v>
      </c>
      <c r="C1566" s="7">
        <v>3.3756</v>
      </c>
    </row>
    <row r="1567" spans="1:3">
      <c r="A1567" s="6">
        <v>41935</v>
      </c>
      <c r="B1567" s="7">
        <v>3.1162</v>
      </c>
      <c r="C1567" s="7">
        <v>3.4129</v>
      </c>
    </row>
    <row r="1568" spans="1:3">
      <c r="A1568" s="6">
        <v>41936</v>
      </c>
      <c r="B1568" s="7">
        <v>3.1309</v>
      </c>
      <c r="C1568" s="7">
        <v>3.4254</v>
      </c>
    </row>
    <row r="1569" spans="1:3">
      <c r="A1569" s="6">
        <v>41939</v>
      </c>
      <c r="B1569" s="7">
        <v>3.1224</v>
      </c>
      <c r="C1569" s="7">
        <v>3.4201</v>
      </c>
    </row>
    <row r="1570" spans="1:3">
      <c r="A1570" s="6">
        <v>41940</v>
      </c>
      <c r="B1570" s="7">
        <v>3.0831</v>
      </c>
      <c r="C1570" s="7">
        <v>3.3996</v>
      </c>
    </row>
    <row r="1571" spans="1:3">
      <c r="A1571" s="6">
        <v>41941</v>
      </c>
      <c r="B1571" s="7">
        <v>3.0858</v>
      </c>
      <c r="C1571" s="7">
        <v>3.3682</v>
      </c>
    </row>
    <row r="1572" spans="1:3">
      <c r="A1572" s="6">
        <v>41942</v>
      </c>
      <c r="B1572" s="7">
        <v>3.122</v>
      </c>
      <c r="C1572" s="7">
        <v>3.4079</v>
      </c>
    </row>
    <row r="1573" spans="1:3">
      <c r="A1573" s="6">
        <v>41943</v>
      </c>
      <c r="B1573" s="7">
        <v>3.1127</v>
      </c>
      <c r="C1573" s="7">
        <v>3.4601</v>
      </c>
    </row>
    <row r="1574" spans="1:3">
      <c r="A1574" s="6">
        <v>41946</v>
      </c>
      <c r="B1574" s="7">
        <v>3.0784</v>
      </c>
      <c r="C1574" s="7">
        <v>3.3517</v>
      </c>
    </row>
    <row r="1575" spans="1:3">
      <c r="A1575" s="6">
        <v>41947</v>
      </c>
      <c r="B1575" s="7">
        <v>3.0383</v>
      </c>
      <c r="C1575" s="7">
        <v>3.2743</v>
      </c>
    </row>
    <row r="1576" spans="1:3">
      <c r="A1576" s="6">
        <v>41948</v>
      </c>
      <c r="B1576" s="7">
        <v>2.9786</v>
      </c>
      <c r="C1576" s="7">
        <v>3.1949</v>
      </c>
    </row>
    <row r="1577" spans="1:3">
      <c r="A1577" s="6">
        <v>41949</v>
      </c>
      <c r="B1577" s="7">
        <v>3.0115</v>
      </c>
      <c r="C1577" s="7">
        <v>3.236</v>
      </c>
    </row>
    <row r="1578" spans="1:3">
      <c r="A1578" s="6">
        <v>41950</v>
      </c>
      <c r="B1578" s="7">
        <v>2.9761</v>
      </c>
      <c r="C1578" s="7">
        <v>3.192</v>
      </c>
    </row>
    <row r="1579" spans="1:3">
      <c r="A1579" s="6">
        <v>41953</v>
      </c>
      <c r="B1579" s="7">
        <v>2.9403</v>
      </c>
      <c r="C1579" s="7">
        <v>3.1535</v>
      </c>
    </row>
    <row r="1580" spans="1:3">
      <c r="A1580" s="6">
        <v>41954</v>
      </c>
      <c r="B1580" s="7">
        <v>2.9271</v>
      </c>
      <c r="C1580" s="7">
        <v>3.1711</v>
      </c>
    </row>
    <row r="1581" spans="1:3">
      <c r="A1581" s="6">
        <v>41955</v>
      </c>
      <c r="B1581" s="7">
        <v>2.9678</v>
      </c>
      <c r="C1581" s="7">
        <v>3.212</v>
      </c>
    </row>
    <row r="1582" spans="1:3">
      <c r="A1582" s="6">
        <v>41956</v>
      </c>
      <c r="B1582" s="7">
        <v>3.0498</v>
      </c>
      <c r="C1582" s="7">
        <v>3.3007</v>
      </c>
    </row>
    <row r="1583" spans="1:3">
      <c r="A1583" s="6">
        <v>41957</v>
      </c>
      <c r="B1583" s="7">
        <v>3.0885</v>
      </c>
      <c r="C1583" s="7">
        <v>3.3651</v>
      </c>
    </row>
    <row r="1584" spans="1:3">
      <c r="A1584" s="6">
        <v>41960</v>
      </c>
      <c r="B1584" s="7">
        <v>3.1223</v>
      </c>
      <c r="C1584" s="7">
        <v>3.3953</v>
      </c>
    </row>
    <row r="1585" spans="1:3">
      <c r="A1585" s="6">
        <v>41961</v>
      </c>
      <c r="B1585" s="7">
        <v>3.1239</v>
      </c>
      <c r="C1585" s="7">
        <v>3.3619</v>
      </c>
    </row>
    <row r="1586" spans="1:3">
      <c r="A1586" s="6">
        <v>41962</v>
      </c>
      <c r="B1586" s="7">
        <v>3.1013</v>
      </c>
      <c r="C1586" s="7">
        <v>3.3412</v>
      </c>
    </row>
    <row r="1587" spans="1:3">
      <c r="A1587" s="6">
        <v>41963</v>
      </c>
      <c r="B1587" s="7">
        <v>3.0946</v>
      </c>
      <c r="C1587" s="7">
        <v>3.3256</v>
      </c>
    </row>
    <row r="1588" spans="1:3">
      <c r="A1588" s="6">
        <v>41964</v>
      </c>
      <c r="B1588" s="7">
        <v>3.1653</v>
      </c>
      <c r="C1588" s="7">
        <v>3.3785</v>
      </c>
    </row>
    <row r="1589" spans="1:3">
      <c r="A1589" s="6">
        <v>41967</v>
      </c>
      <c r="B1589" s="7">
        <v>2.9322</v>
      </c>
      <c r="C1589" s="7">
        <v>3.0839</v>
      </c>
    </row>
    <row r="1590" spans="1:3">
      <c r="A1590" s="6">
        <v>41968</v>
      </c>
      <c r="B1590" s="7">
        <v>2.8761</v>
      </c>
      <c r="C1590" s="7">
        <v>3.0613</v>
      </c>
    </row>
    <row r="1591" spans="1:3">
      <c r="A1591" s="6">
        <v>41969</v>
      </c>
      <c r="B1591" s="7">
        <v>2.8744</v>
      </c>
      <c r="C1591" s="7">
        <v>3.0888</v>
      </c>
    </row>
    <row r="1592" spans="1:3">
      <c r="A1592" s="6">
        <v>41970</v>
      </c>
      <c r="B1592" s="7">
        <v>2.8653</v>
      </c>
      <c r="C1592" s="7">
        <v>3.0639</v>
      </c>
    </row>
    <row r="1593" spans="1:3">
      <c r="A1593" s="6">
        <v>41971</v>
      </c>
      <c r="B1593" s="7">
        <v>2.8691</v>
      </c>
      <c r="C1593" s="7">
        <v>3.0788</v>
      </c>
    </row>
    <row r="1594" spans="1:3">
      <c r="A1594" s="6">
        <v>41974</v>
      </c>
      <c r="B1594" s="7">
        <v>2.8792</v>
      </c>
      <c r="C1594" s="7">
        <v>3.0791</v>
      </c>
    </row>
    <row r="1595" spans="1:3">
      <c r="A1595" s="6">
        <v>41975</v>
      </c>
      <c r="B1595" s="7">
        <v>2.9054</v>
      </c>
      <c r="C1595" s="7">
        <v>3.1051</v>
      </c>
    </row>
    <row r="1596" spans="1:3">
      <c r="A1596" s="6">
        <v>41976</v>
      </c>
      <c r="B1596" s="7">
        <v>3.0217</v>
      </c>
      <c r="C1596" s="7">
        <v>3.2381</v>
      </c>
    </row>
    <row r="1597" spans="1:3">
      <c r="A1597" s="6">
        <v>41977</v>
      </c>
      <c r="B1597" s="7">
        <v>3.0655</v>
      </c>
      <c r="C1597" s="7">
        <v>3.2945</v>
      </c>
    </row>
    <row r="1598" spans="1:3">
      <c r="A1598" s="6">
        <v>41978</v>
      </c>
      <c r="B1598" s="7">
        <v>3.2333</v>
      </c>
      <c r="C1598" s="7">
        <v>3.4479</v>
      </c>
    </row>
    <row r="1599" spans="1:3">
      <c r="A1599" s="6">
        <v>41981</v>
      </c>
      <c r="B1599" s="7">
        <v>3.3141</v>
      </c>
      <c r="C1599" s="7">
        <v>3.5318</v>
      </c>
    </row>
    <row r="1600" spans="1:3">
      <c r="A1600" s="6">
        <v>41982</v>
      </c>
      <c r="B1600" s="7">
        <v>3.4605</v>
      </c>
      <c r="C1600" s="7">
        <v>3.6936</v>
      </c>
    </row>
    <row r="1601" spans="1:3">
      <c r="A1601" s="6">
        <v>41983</v>
      </c>
      <c r="B1601" s="7">
        <v>3.35</v>
      </c>
      <c r="C1601" s="7">
        <v>3.5574</v>
      </c>
    </row>
    <row r="1602" spans="1:3">
      <c r="A1602" s="6">
        <v>41984</v>
      </c>
      <c r="B1602" s="7">
        <v>3.2997</v>
      </c>
      <c r="C1602" s="7">
        <v>3.4864</v>
      </c>
    </row>
    <row r="1603" spans="1:3">
      <c r="A1603" s="6">
        <v>41985</v>
      </c>
      <c r="B1603" s="7">
        <v>3.3584</v>
      </c>
      <c r="C1603" s="7">
        <v>3.5185</v>
      </c>
    </row>
    <row r="1604" spans="1:3">
      <c r="A1604" s="6">
        <v>41988</v>
      </c>
      <c r="B1604" s="7">
        <v>3.3806</v>
      </c>
      <c r="C1604" s="7">
        <v>3.546</v>
      </c>
    </row>
    <row r="1605" spans="1:3">
      <c r="A1605" s="6">
        <v>41989</v>
      </c>
      <c r="B1605" s="7">
        <v>3.354</v>
      </c>
      <c r="C1605" s="7">
        <v>3.5095</v>
      </c>
    </row>
    <row r="1606" spans="1:3">
      <c r="A1606" s="6">
        <v>41990</v>
      </c>
      <c r="B1606" s="7">
        <v>3.3703</v>
      </c>
      <c r="C1606" s="7">
        <v>3.4961</v>
      </c>
    </row>
    <row r="1607" spans="1:3">
      <c r="A1607" s="6">
        <v>41991</v>
      </c>
      <c r="B1607" s="7">
        <v>3.3801</v>
      </c>
      <c r="C1607" s="7">
        <v>3.47</v>
      </c>
    </row>
    <row r="1608" spans="1:3">
      <c r="A1608" s="6">
        <v>41992</v>
      </c>
      <c r="B1608" s="7">
        <v>3.4365</v>
      </c>
      <c r="C1608" s="7">
        <v>3.486</v>
      </c>
    </row>
    <row r="1609" spans="1:3">
      <c r="A1609" s="6">
        <v>41995</v>
      </c>
      <c r="B1609" s="7">
        <v>3.3985</v>
      </c>
      <c r="C1609" s="7">
        <v>3.4564</v>
      </c>
    </row>
    <row r="1610" spans="1:3">
      <c r="A1610" s="6">
        <v>41996</v>
      </c>
      <c r="B1610" s="7">
        <v>3.326</v>
      </c>
      <c r="C1610" s="7">
        <v>3.4164</v>
      </c>
    </row>
    <row r="1611" spans="1:3">
      <c r="A1611" s="6">
        <v>41997</v>
      </c>
      <c r="B1611" s="7">
        <v>3.2712</v>
      </c>
      <c r="C1611" s="7">
        <v>3.3788</v>
      </c>
    </row>
    <row r="1612" spans="1:3">
      <c r="A1612" s="6">
        <v>41998</v>
      </c>
      <c r="B1612" s="7">
        <v>3.2909</v>
      </c>
      <c r="C1612" s="7">
        <v>3.4067</v>
      </c>
    </row>
    <row r="1613" spans="1:3">
      <c r="A1613" s="6">
        <v>41999</v>
      </c>
      <c r="B1613" s="7">
        <v>3.2969</v>
      </c>
      <c r="C1613" s="7">
        <v>3.4311</v>
      </c>
    </row>
    <row r="1614" spans="1:3">
      <c r="A1614" s="6">
        <v>42002</v>
      </c>
      <c r="B1614" s="7">
        <v>3.357</v>
      </c>
      <c r="C1614" s="7">
        <v>3.4715</v>
      </c>
    </row>
    <row r="1615" spans="1:3">
      <c r="A1615" s="6">
        <v>42003</v>
      </c>
      <c r="B1615" s="7">
        <v>3.3975</v>
      </c>
      <c r="C1615" s="7">
        <v>3.5331</v>
      </c>
    </row>
    <row r="1616" spans="1:3">
      <c r="A1616" s="6">
        <v>42004</v>
      </c>
      <c r="B1616" s="7">
        <v>3.4172</v>
      </c>
      <c r="C1616" s="7">
        <v>3.54</v>
      </c>
    </row>
    <row r="1617" spans="1:3">
      <c r="A1617" s="6">
        <v>42008</v>
      </c>
      <c r="B1617" s="7">
        <v>3.4618</v>
      </c>
      <c r="C1617" s="7">
        <v>3.5571</v>
      </c>
    </row>
    <row r="1618" spans="1:3">
      <c r="A1618" s="6">
        <v>42009</v>
      </c>
      <c r="B1618" s="7">
        <v>3.433</v>
      </c>
      <c r="C1618" s="7">
        <v>3.5167</v>
      </c>
    </row>
    <row r="1619" spans="1:3">
      <c r="A1619" s="6">
        <v>42010</v>
      </c>
      <c r="B1619" s="7">
        <v>3.4158</v>
      </c>
      <c r="C1619" s="7">
        <v>3.4965</v>
      </c>
    </row>
    <row r="1620" spans="1:3">
      <c r="A1620" s="6">
        <v>42011</v>
      </c>
      <c r="B1620" s="7">
        <v>3.3878</v>
      </c>
      <c r="C1620" s="7">
        <v>3.4763</v>
      </c>
    </row>
    <row r="1621" spans="1:3">
      <c r="A1621" s="6">
        <v>42012</v>
      </c>
      <c r="B1621" s="7">
        <v>3.3864</v>
      </c>
      <c r="C1621" s="7">
        <v>3.4665</v>
      </c>
    </row>
    <row r="1622" spans="1:3">
      <c r="A1622" s="6">
        <v>42013</v>
      </c>
      <c r="B1622" s="7">
        <v>3.3877</v>
      </c>
      <c r="C1622" s="7">
        <v>3.4488</v>
      </c>
    </row>
    <row r="1623" spans="1:3">
      <c r="A1623" s="6">
        <v>42016</v>
      </c>
      <c r="B1623" s="7">
        <v>3.416</v>
      </c>
      <c r="C1623" s="7">
        <v>3.4557</v>
      </c>
    </row>
    <row r="1624" spans="1:3">
      <c r="A1624" s="6">
        <v>42017</v>
      </c>
      <c r="B1624" s="7">
        <v>3.357</v>
      </c>
      <c r="C1624" s="7">
        <v>3.3929</v>
      </c>
    </row>
    <row r="1625" spans="1:3">
      <c r="A1625" s="6">
        <v>42018</v>
      </c>
      <c r="B1625" s="7">
        <v>3.2761</v>
      </c>
      <c r="C1625" s="7">
        <v>3.2881</v>
      </c>
    </row>
    <row r="1626" spans="1:3">
      <c r="A1626" s="6">
        <v>42019</v>
      </c>
      <c r="B1626" s="7">
        <v>3.2886</v>
      </c>
      <c r="C1626" s="7">
        <v>3.3233</v>
      </c>
    </row>
    <row r="1627" spans="1:3">
      <c r="A1627" s="6">
        <v>42020</v>
      </c>
      <c r="B1627" s="7">
        <v>3.2634</v>
      </c>
      <c r="C1627" s="7">
        <v>3.2841</v>
      </c>
    </row>
    <row r="1628" spans="1:3">
      <c r="A1628" s="6">
        <v>42023</v>
      </c>
      <c r="B1628" s="7">
        <v>3.2528</v>
      </c>
      <c r="C1628" s="7">
        <v>3.2643</v>
      </c>
    </row>
    <row r="1629" spans="1:3">
      <c r="A1629" s="6">
        <v>42024</v>
      </c>
      <c r="B1629" s="7">
        <v>3.2308</v>
      </c>
      <c r="C1629" s="7">
        <v>3.2571</v>
      </c>
    </row>
    <row r="1630" spans="1:3">
      <c r="A1630" s="6">
        <v>42025</v>
      </c>
      <c r="B1630" s="7">
        <v>3.2231</v>
      </c>
      <c r="C1630" s="7">
        <v>3.24</v>
      </c>
    </row>
    <row r="1631" spans="1:3">
      <c r="A1631" s="6">
        <v>42026</v>
      </c>
      <c r="B1631" s="7">
        <v>3.206</v>
      </c>
      <c r="C1631" s="7">
        <v>3.2293</v>
      </c>
    </row>
    <row r="1632" spans="1:3">
      <c r="A1632" s="6">
        <v>42027</v>
      </c>
      <c r="B1632" s="7">
        <v>3.2608</v>
      </c>
      <c r="C1632" s="7">
        <v>3.276</v>
      </c>
    </row>
    <row r="1633" spans="1:3">
      <c r="A1633" s="6">
        <v>42030</v>
      </c>
      <c r="B1633" s="7">
        <v>3.2311</v>
      </c>
      <c r="C1633" s="7">
        <v>3.2495</v>
      </c>
    </row>
    <row r="1634" spans="1:3">
      <c r="A1634" s="6">
        <v>42031</v>
      </c>
      <c r="B1634" s="7">
        <v>3.2439</v>
      </c>
      <c r="C1634" s="7">
        <v>3.253</v>
      </c>
    </row>
    <row r="1635" spans="1:3">
      <c r="A1635" s="6">
        <v>42032</v>
      </c>
      <c r="B1635" s="7">
        <v>3.3095</v>
      </c>
      <c r="C1635" s="7">
        <v>3.3175</v>
      </c>
    </row>
    <row r="1636" spans="1:3">
      <c r="A1636" s="6">
        <v>42033</v>
      </c>
      <c r="B1636" s="7">
        <v>3.3672</v>
      </c>
      <c r="C1636" s="7">
        <v>3.3522</v>
      </c>
    </row>
    <row r="1637" spans="1:3">
      <c r="A1637" s="6">
        <v>42034</v>
      </c>
      <c r="B1637" s="7">
        <v>3.4307</v>
      </c>
      <c r="C1637" s="7">
        <v>3.3813</v>
      </c>
    </row>
    <row r="1638" spans="1:3">
      <c r="A1638" s="6">
        <v>42037</v>
      </c>
      <c r="B1638" s="7">
        <v>3.4176</v>
      </c>
      <c r="C1638" s="7">
        <v>3.3317</v>
      </c>
    </row>
    <row r="1639" spans="1:3">
      <c r="A1639" s="6">
        <v>42038</v>
      </c>
      <c r="B1639" s="7">
        <v>3.3746</v>
      </c>
      <c r="C1639" s="7">
        <v>3.2528</v>
      </c>
    </row>
    <row r="1640" spans="1:3">
      <c r="A1640" s="6">
        <v>42039</v>
      </c>
      <c r="B1640" s="7">
        <v>3.3583</v>
      </c>
      <c r="C1640" s="7">
        <v>3.2589</v>
      </c>
    </row>
    <row r="1641" spans="1:3">
      <c r="A1641" s="6">
        <v>42040</v>
      </c>
      <c r="B1641" s="7">
        <v>3.1883</v>
      </c>
      <c r="C1641" s="7">
        <v>3.1752</v>
      </c>
    </row>
    <row r="1642" spans="1:3">
      <c r="A1642" s="6">
        <v>42041</v>
      </c>
      <c r="B1642" s="7">
        <v>3.2688</v>
      </c>
      <c r="C1642" s="7">
        <v>3.2538</v>
      </c>
    </row>
    <row r="1643" spans="1:3">
      <c r="A1643" s="6">
        <v>42044</v>
      </c>
      <c r="B1643" s="7">
        <v>3.2297</v>
      </c>
      <c r="C1643" s="7">
        <v>3.197</v>
      </c>
    </row>
    <row r="1644" spans="1:3">
      <c r="A1644" s="6">
        <v>42045</v>
      </c>
      <c r="B1644" s="7">
        <v>3.2252</v>
      </c>
      <c r="C1644" s="7">
        <v>3.1735</v>
      </c>
    </row>
    <row r="1645" spans="1:3">
      <c r="A1645" s="6">
        <v>42046</v>
      </c>
      <c r="B1645" s="7">
        <v>3.195</v>
      </c>
      <c r="C1645" s="7">
        <v>3.1365</v>
      </c>
    </row>
    <row r="1646" spans="1:3">
      <c r="A1646" s="6">
        <v>42047</v>
      </c>
      <c r="B1646" s="7">
        <v>3.2032</v>
      </c>
      <c r="C1646" s="7">
        <v>3.1537</v>
      </c>
    </row>
    <row r="1647" spans="1:3">
      <c r="A1647" s="6">
        <v>42048</v>
      </c>
      <c r="B1647" s="7">
        <v>3.1952</v>
      </c>
      <c r="C1647" s="7">
        <v>3.1408</v>
      </c>
    </row>
    <row r="1648" spans="1:3">
      <c r="A1648" s="6">
        <v>42050</v>
      </c>
      <c r="B1648" s="7">
        <v>3.2053</v>
      </c>
      <c r="C1648" s="7">
        <v>3.13</v>
      </c>
    </row>
    <row r="1649" spans="1:3">
      <c r="A1649" s="6">
        <v>42051</v>
      </c>
      <c r="B1649" s="7">
        <v>3.1944</v>
      </c>
      <c r="C1649" s="7">
        <v>3.1332</v>
      </c>
    </row>
    <row r="1650" spans="1:3">
      <c r="A1650" s="6">
        <v>42052</v>
      </c>
      <c r="B1650" s="7">
        <v>3.1971</v>
      </c>
      <c r="C1650" s="7"/>
    </row>
    <row r="1651" spans="1:3">
      <c r="A1651" s="6">
        <v>42060</v>
      </c>
      <c r="B1651" s="7">
        <v>3.26</v>
      </c>
      <c r="C1651" s="7">
        <v>3.1981</v>
      </c>
    </row>
    <row r="1652" spans="1:3">
      <c r="A1652" s="6">
        <v>42061</v>
      </c>
      <c r="B1652" s="7">
        <v>3.3429</v>
      </c>
      <c r="C1652" s="7">
        <v>3.2862</v>
      </c>
    </row>
    <row r="1653" spans="1:3">
      <c r="A1653" s="6">
        <v>42062</v>
      </c>
      <c r="B1653" s="7">
        <v>3.389</v>
      </c>
      <c r="C1653" s="7">
        <v>3.2975</v>
      </c>
    </row>
    <row r="1654" spans="1:3">
      <c r="A1654" s="6">
        <v>42063</v>
      </c>
      <c r="B1654" s="7">
        <v>3.3787</v>
      </c>
      <c r="C1654" s="7">
        <v>3.28</v>
      </c>
    </row>
    <row r="1655" spans="1:3">
      <c r="A1655" s="6">
        <v>42065</v>
      </c>
      <c r="B1655" s="7">
        <v>3.374</v>
      </c>
      <c r="C1655" s="7">
        <v>3.2659</v>
      </c>
    </row>
    <row r="1656" spans="1:3">
      <c r="A1656" s="6">
        <v>42066</v>
      </c>
      <c r="B1656" s="7">
        <v>3.4501</v>
      </c>
      <c r="C1656" s="7">
        <v>3.3087</v>
      </c>
    </row>
    <row r="1657" spans="1:3">
      <c r="A1657" s="6">
        <v>42067</v>
      </c>
      <c r="B1657" s="7">
        <v>3.4403</v>
      </c>
      <c r="C1657" s="7">
        <v>3.2953</v>
      </c>
    </row>
    <row r="1658" spans="1:3">
      <c r="A1658" s="6">
        <v>42068</v>
      </c>
      <c r="B1658" s="7">
        <v>3.5196</v>
      </c>
      <c r="C1658" s="7">
        <v>3.3801</v>
      </c>
    </row>
    <row r="1659" spans="1:3">
      <c r="A1659" s="6">
        <v>42069</v>
      </c>
      <c r="B1659" s="7">
        <v>3.6192</v>
      </c>
      <c r="C1659" s="7">
        <v>3.4752</v>
      </c>
    </row>
    <row r="1660" spans="1:3">
      <c r="A1660" s="6">
        <v>42072</v>
      </c>
      <c r="B1660" s="7">
        <v>3.6581</v>
      </c>
      <c r="C1660" s="7">
        <v>3.5495</v>
      </c>
    </row>
    <row r="1661" spans="1:3">
      <c r="A1661" s="6">
        <v>42073</v>
      </c>
      <c r="B1661" s="7">
        <v>3.6973</v>
      </c>
      <c r="C1661" s="7">
        <v>3.5066</v>
      </c>
    </row>
    <row r="1662" spans="1:3">
      <c r="A1662" s="6">
        <v>42074</v>
      </c>
      <c r="B1662" s="7">
        <v>3.5413</v>
      </c>
      <c r="C1662" s="7">
        <v>3.4137</v>
      </c>
    </row>
    <row r="1663" spans="1:3">
      <c r="A1663" s="6">
        <v>42075</v>
      </c>
      <c r="B1663" s="7">
        <v>3.5299</v>
      </c>
      <c r="C1663" s="7">
        <v>3.4002</v>
      </c>
    </row>
    <row r="1664" spans="1:3">
      <c r="A1664" s="6">
        <v>42076</v>
      </c>
      <c r="B1664" s="7">
        <v>3.5864</v>
      </c>
      <c r="C1664" s="7">
        <v>3.439</v>
      </c>
    </row>
    <row r="1665" spans="1:3">
      <c r="A1665" s="6">
        <v>42079</v>
      </c>
      <c r="B1665" s="7">
        <v>3.7104</v>
      </c>
      <c r="C1665" s="7">
        <v>3.5449</v>
      </c>
    </row>
    <row r="1666" spans="1:3">
      <c r="A1666" s="6">
        <v>42080</v>
      </c>
      <c r="B1666" s="7">
        <v>3.6989</v>
      </c>
      <c r="C1666" s="7">
        <v>3.5555</v>
      </c>
    </row>
    <row r="1667" spans="1:3">
      <c r="A1667" s="6">
        <v>42081</v>
      </c>
      <c r="B1667" s="7">
        <v>3.6305</v>
      </c>
      <c r="C1667" s="7">
        <v>3.5015</v>
      </c>
    </row>
    <row r="1668" spans="1:3">
      <c r="A1668" s="6">
        <v>42082</v>
      </c>
      <c r="B1668" s="7">
        <v>3.5749</v>
      </c>
      <c r="C1668" s="7">
        <v>3.4741</v>
      </c>
    </row>
    <row r="1669" spans="1:3">
      <c r="A1669" s="6">
        <v>42083</v>
      </c>
      <c r="B1669" s="7">
        <v>3.4371</v>
      </c>
      <c r="C1669" s="7">
        <v>3.3797</v>
      </c>
    </row>
    <row r="1670" spans="1:3">
      <c r="A1670" s="6">
        <v>42086</v>
      </c>
      <c r="B1670" s="7">
        <v>3.4325</v>
      </c>
      <c r="C1670" s="7">
        <v>3.4179</v>
      </c>
    </row>
    <row r="1671" spans="1:3">
      <c r="A1671" s="6">
        <v>42087</v>
      </c>
      <c r="B1671" s="7">
        <v>3.4048</v>
      </c>
      <c r="C1671" s="7">
        <v>3.4104</v>
      </c>
    </row>
    <row r="1672" spans="1:3">
      <c r="A1672" s="6">
        <v>42088</v>
      </c>
      <c r="B1672" s="7">
        <v>3.3817</v>
      </c>
      <c r="C1672" s="7">
        <v>3.4273</v>
      </c>
    </row>
    <row r="1673" spans="1:3">
      <c r="A1673" s="6">
        <v>42089</v>
      </c>
      <c r="B1673" s="7">
        <v>3.4574</v>
      </c>
      <c r="C1673" s="7">
        <v>3.5185</v>
      </c>
    </row>
    <row r="1674" spans="1:3">
      <c r="A1674" s="6">
        <v>42090</v>
      </c>
      <c r="B1674" s="7">
        <v>3.555</v>
      </c>
      <c r="C1674" s="7">
        <v>3.6449</v>
      </c>
    </row>
    <row r="1675" spans="1:3">
      <c r="A1675" s="6">
        <v>42093</v>
      </c>
      <c r="B1675" s="7">
        <v>3.5741</v>
      </c>
      <c r="C1675" s="7">
        <v>3.6985</v>
      </c>
    </row>
    <row r="1676" spans="1:3">
      <c r="A1676" s="6">
        <v>42094</v>
      </c>
      <c r="B1676" s="7">
        <v>3.6076</v>
      </c>
      <c r="C1676" s="7">
        <v>3.7373</v>
      </c>
    </row>
    <row r="1677" spans="1:3">
      <c r="A1677" s="6">
        <v>42095</v>
      </c>
      <c r="B1677" s="7">
        <v>3.4181</v>
      </c>
      <c r="C1677" s="7">
        <v>3.5755</v>
      </c>
    </row>
    <row r="1678" spans="1:3">
      <c r="A1678" s="6">
        <v>42096</v>
      </c>
      <c r="B1678" s="7">
        <v>3.3304</v>
      </c>
      <c r="C1678" s="7">
        <v>3.4473</v>
      </c>
    </row>
    <row r="1679" spans="1:3">
      <c r="A1679" s="6">
        <v>42097</v>
      </c>
      <c r="B1679" s="7">
        <v>3.2685</v>
      </c>
      <c r="C1679" s="7">
        <v>3.4143</v>
      </c>
    </row>
    <row r="1680" spans="1:3">
      <c r="A1680" s="6">
        <v>42101</v>
      </c>
      <c r="B1680" s="7">
        <v>3.1923</v>
      </c>
      <c r="C1680" s="7">
        <v>3.3823</v>
      </c>
    </row>
    <row r="1681" spans="1:3">
      <c r="A1681" s="6">
        <v>42102</v>
      </c>
      <c r="B1681" s="7">
        <v>3.1499</v>
      </c>
      <c r="C1681" s="7">
        <v>3.3894</v>
      </c>
    </row>
    <row r="1682" spans="1:3">
      <c r="A1682" s="6">
        <v>42103</v>
      </c>
      <c r="B1682" s="7">
        <v>3.0985</v>
      </c>
      <c r="C1682" s="7">
        <v>3.362</v>
      </c>
    </row>
    <row r="1683" spans="1:3">
      <c r="A1683" s="6">
        <v>42104</v>
      </c>
      <c r="B1683" s="7">
        <v>3.0816</v>
      </c>
      <c r="C1683" s="7">
        <v>3.3126</v>
      </c>
    </row>
    <row r="1684" spans="1:3">
      <c r="A1684" s="6">
        <v>42108</v>
      </c>
      <c r="B1684" s="7">
        <v>3.0718</v>
      </c>
      <c r="C1684" s="7">
        <v>3.2399</v>
      </c>
    </row>
    <row r="1685" spans="1:3">
      <c r="A1685" s="6">
        <v>42109</v>
      </c>
      <c r="B1685" s="7">
        <v>3.0145</v>
      </c>
      <c r="C1685" s="7">
        <v>3.1725</v>
      </c>
    </row>
    <row r="1686" spans="1:3">
      <c r="A1686" s="6">
        <v>42110</v>
      </c>
      <c r="B1686" s="7">
        <v>3.0017</v>
      </c>
      <c r="C1686" s="7">
        <v>3.1423</v>
      </c>
    </row>
    <row r="1687" spans="1:3">
      <c r="A1687" s="6">
        <v>42111</v>
      </c>
      <c r="B1687" s="7">
        <v>3.0078</v>
      </c>
      <c r="C1687" s="7">
        <v>3.1612</v>
      </c>
    </row>
    <row r="1688" spans="1:3">
      <c r="A1688" s="6">
        <v>42114</v>
      </c>
      <c r="B1688" s="7">
        <v>2.8205</v>
      </c>
      <c r="C1688" s="7">
        <v>3.0198</v>
      </c>
    </row>
    <row r="1689" spans="1:3">
      <c r="A1689" s="6">
        <v>42115</v>
      </c>
      <c r="B1689" s="7">
        <v>2.645</v>
      </c>
      <c r="C1689" s="7">
        <v>2.897</v>
      </c>
    </row>
    <row r="1690" spans="1:3">
      <c r="A1690" s="6">
        <v>42116</v>
      </c>
      <c r="B1690" s="7">
        <v>2.6742</v>
      </c>
      <c r="C1690" s="7">
        <v>2.9743</v>
      </c>
    </row>
    <row r="1691" spans="1:3">
      <c r="A1691" s="6">
        <v>42117</v>
      </c>
      <c r="B1691" s="7">
        <v>2.7168</v>
      </c>
      <c r="C1691" s="7">
        <v>3.0184</v>
      </c>
    </row>
    <row r="1692" spans="1:3">
      <c r="A1692" s="6">
        <v>42118</v>
      </c>
      <c r="B1692" s="7">
        <v>2.6912</v>
      </c>
      <c r="C1692" s="7">
        <v>3.0079</v>
      </c>
    </row>
    <row r="1693" spans="1:3">
      <c r="A1693" s="6">
        <v>42121</v>
      </c>
      <c r="B1693" s="7">
        <v>2.5758</v>
      </c>
      <c r="C1693" s="7">
        <v>2.9316</v>
      </c>
    </row>
    <row r="1694" spans="1:3">
      <c r="A1694" s="6">
        <v>42122</v>
      </c>
      <c r="B1694" s="7">
        <v>2.5477</v>
      </c>
      <c r="C1694" s="7">
        <v>2.8244</v>
      </c>
    </row>
    <row r="1695" spans="1:3">
      <c r="A1695" s="6">
        <v>42123</v>
      </c>
      <c r="B1695" s="7">
        <v>2.5886</v>
      </c>
      <c r="C1695" s="7">
        <v>2.8684</v>
      </c>
    </row>
    <row r="1696" spans="1:3">
      <c r="A1696" s="6">
        <v>42124</v>
      </c>
      <c r="B1696" s="7">
        <v>2.5443</v>
      </c>
      <c r="C1696" s="7">
        <v>2.8003</v>
      </c>
    </row>
    <row r="1697" spans="1:3">
      <c r="A1697" s="6">
        <v>42128</v>
      </c>
      <c r="B1697" s="7">
        <v>2.4932</v>
      </c>
      <c r="C1697" s="7">
        <v>2.7686</v>
      </c>
    </row>
    <row r="1698" spans="1:3">
      <c r="A1698" s="6">
        <v>42129</v>
      </c>
      <c r="B1698" s="7">
        <v>2.5279</v>
      </c>
      <c r="C1698" s="7">
        <v>2.8802</v>
      </c>
    </row>
    <row r="1699" spans="1:3">
      <c r="A1699" s="6">
        <v>42130</v>
      </c>
      <c r="B1699" s="7">
        <v>2.5886</v>
      </c>
      <c r="C1699" s="7">
        <v>2.9126</v>
      </c>
    </row>
    <row r="1700" spans="1:3">
      <c r="A1700" s="6">
        <v>42131</v>
      </c>
      <c r="B1700" s="7">
        <v>2.5666</v>
      </c>
      <c r="C1700" s="7">
        <v>2.9077</v>
      </c>
    </row>
    <row r="1701" spans="1:3">
      <c r="A1701" s="6">
        <v>42132</v>
      </c>
      <c r="B1701" s="7">
        <v>2.5227</v>
      </c>
      <c r="C1701" s="7">
        <v>2.8594</v>
      </c>
    </row>
    <row r="1702" spans="1:3">
      <c r="A1702" s="6">
        <v>42135</v>
      </c>
      <c r="B1702" s="7">
        <v>2.4476</v>
      </c>
      <c r="C1702" s="7">
        <v>2.8133</v>
      </c>
    </row>
    <row r="1703" spans="1:3">
      <c r="A1703" s="6">
        <v>42136</v>
      </c>
      <c r="B1703" s="7">
        <v>2.3632</v>
      </c>
      <c r="C1703" s="7">
        <v>2.7931</v>
      </c>
    </row>
    <row r="1704" spans="1:3">
      <c r="A1704" s="6">
        <v>42137</v>
      </c>
      <c r="B1704" s="7">
        <v>2.2815</v>
      </c>
      <c r="C1704" s="7">
        <v>2.7045</v>
      </c>
    </row>
    <row r="1705" spans="1:3">
      <c r="A1705" s="6">
        <v>42138</v>
      </c>
      <c r="B1705" s="7">
        <v>2.2037</v>
      </c>
      <c r="C1705" s="7">
        <v>2.6017</v>
      </c>
    </row>
    <row r="1706" spans="1:3">
      <c r="A1706" s="6">
        <v>42139</v>
      </c>
      <c r="B1706" s="7">
        <v>2.1962</v>
      </c>
      <c r="C1706" s="7">
        <v>2.618</v>
      </c>
    </row>
    <row r="1707" spans="1:3">
      <c r="A1707" s="6">
        <v>42142</v>
      </c>
      <c r="B1707" s="7">
        <v>2.2463</v>
      </c>
      <c r="C1707" s="7">
        <v>2.6741</v>
      </c>
    </row>
    <row r="1708" spans="1:3">
      <c r="A1708" s="6">
        <v>42143</v>
      </c>
      <c r="B1708" s="7">
        <v>2.3114</v>
      </c>
      <c r="C1708" s="7">
        <v>2.7769</v>
      </c>
    </row>
    <row r="1709" spans="1:3">
      <c r="A1709" s="6">
        <v>42144</v>
      </c>
      <c r="B1709" s="7">
        <v>2.2903</v>
      </c>
      <c r="C1709" s="7">
        <v>2.7483</v>
      </c>
    </row>
    <row r="1710" spans="1:3">
      <c r="A1710" s="6">
        <v>42145</v>
      </c>
      <c r="B1710" s="7">
        <v>2.3142</v>
      </c>
      <c r="C1710" s="7">
        <v>2.7875</v>
      </c>
    </row>
    <row r="1711" spans="1:3">
      <c r="A1711" s="6">
        <v>42146</v>
      </c>
      <c r="B1711" s="7">
        <v>2.3198</v>
      </c>
      <c r="C1711" s="7">
        <v>2.7832</v>
      </c>
    </row>
    <row r="1712" spans="1:3">
      <c r="A1712" s="6">
        <v>42149</v>
      </c>
      <c r="B1712" s="7">
        <v>2.3403</v>
      </c>
      <c r="C1712" s="7">
        <v>2.8122</v>
      </c>
    </row>
    <row r="1713" spans="1:3">
      <c r="A1713" s="6">
        <v>42150</v>
      </c>
      <c r="B1713" s="7">
        <v>2.4014</v>
      </c>
      <c r="C1713" s="7">
        <v>2.8972</v>
      </c>
    </row>
    <row r="1714" spans="1:3">
      <c r="A1714" s="6">
        <v>42151</v>
      </c>
      <c r="B1714" s="7">
        <v>2.39</v>
      </c>
      <c r="C1714" s="7">
        <v>2.8807</v>
      </c>
    </row>
    <row r="1715" spans="1:3">
      <c r="A1715" s="6">
        <v>42152</v>
      </c>
      <c r="B1715" s="7">
        <v>2.4235</v>
      </c>
      <c r="C1715" s="7">
        <v>2.9015</v>
      </c>
    </row>
    <row r="1716" spans="1:3">
      <c r="A1716" s="6">
        <v>42153</v>
      </c>
      <c r="B1716" s="7">
        <v>2.4364</v>
      </c>
      <c r="C1716" s="7">
        <v>2.9089</v>
      </c>
    </row>
    <row r="1717" spans="1:3">
      <c r="A1717" s="6">
        <v>42156</v>
      </c>
      <c r="B1717" s="7">
        <v>2.3967</v>
      </c>
      <c r="C1717" s="7">
        <v>2.8941</v>
      </c>
    </row>
    <row r="1718" spans="1:3">
      <c r="A1718" s="6">
        <v>42157</v>
      </c>
      <c r="B1718" s="7">
        <v>2.3726</v>
      </c>
      <c r="C1718" s="7">
        <v>2.8242</v>
      </c>
    </row>
    <row r="1719" spans="1:3">
      <c r="A1719" s="6">
        <v>42158</v>
      </c>
      <c r="B1719" s="7">
        <v>2.4093</v>
      </c>
      <c r="C1719" s="7">
        <v>2.8596</v>
      </c>
    </row>
    <row r="1720" spans="1:3">
      <c r="A1720" s="6">
        <v>42159</v>
      </c>
      <c r="B1720" s="7">
        <v>2.4644</v>
      </c>
      <c r="C1720" s="7">
        <v>2.8793</v>
      </c>
    </row>
    <row r="1721" spans="1:3">
      <c r="A1721" s="6">
        <v>42160</v>
      </c>
      <c r="B1721" s="7">
        <v>2.391</v>
      </c>
      <c r="C1721" s="7">
        <v>2.8303</v>
      </c>
    </row>
    <row r="1722" spans="1:3">
      <c r="A1722" s="6">
        <v>42163</v>
      </c>
      <c r="B1722" s="7">
        <v>2.3581</v>
      </c>
      <c r="C1722" s="7">
        <v>2.8119</v>
      </c>
    </row>
    <row r="1723" spans="1:3">
      <c r="A1723" s="6">
        <v>42164</v>
      </c>
      <c r="B1723" s="7">
        <v>2.3667</v>
      </c>
      <c r="C1723" s="7">
        <v>2.8171</v>
      </c>
    </row>
    <row r="1724" spans="1:3">
      <c r="A1724" s="6">
        <v>42165</v>
      </c>
      <c r="B1724" s="7">
        <v>2.4053</v>
      </c>
      <c r="C1724" s="7">
        <v>2.8418</v>
      </c>
    </row>
    <row r="1725" spans="1:3">
      <c r="A1725" s="6">
        <v>42166</v>
      </c>
      <c r="B1725" s="7">
        <v>2.436</v>
      </c>
      <c r="C1725" s="7">
        <v>2.8558</v>
      </c>
    </row>
    <row r="1726" spans="1:3">
      <c r="A1726" s="6">
        <v>42167</v>
      </c>
      <c r="B1726" s="7">
        <v>2.4419</v>
      </c>
      <c r="C1726" s="7">
        <v>2.8731</v>
      </c>
    </row>
    <row r="1727" spans="1:3">
      <c r="A1727" s="6">
        <v>42170</v>
      </c>
      <c r="B1727" s="7">
        <v>2.4833</v>
      </c>
      <c r="C1727" s="7">
        <v>2.9005</v>
      </c>
    </row>
    <row r="1728" spans="1:3">
      <c r="A1728" s="6">
        <v>42171</v>
      </c>
      <c r="B1728" s="7">
        <v>2.5146</v>
      </c>
      <c r="C1728" s="7">
        <v>2.9082</v>
      </c>
    </row>
    <row r="1729" spans="1:3">
      <c r="A1729" s="6">
        <v>42172</v>
      </c>
      <c r="B1729" s="7">
        <v>2.5533</v>
      </c>
      <c r="C1729" s="7">
        <v>2.9187</v>
      </c>
    </row>
    <row r="1730" spans="1:3">
      <c r="A1730" s="6">
        <v>42173</v>
      </c>
      <c r="B1730" s="7">
        <v>2.5597</v>
      </c>
      <c r="C1730" s="7">
        <v>2.9075</v>
      </c>
    </row>
    <row r="1731" spans="1:3">
      <c r="A1731" s="6">
        <v>42174</v>
      </c>
      <c r="B1731" s="7">
        <v>2.5455</v>
      </c>
      <c r="C1731" s="7">
        <v>2.9005</v>
      </c>
    </row>
    <row r="1732" spans="1:3">
      <c r="A1732" s="6">
        <v>42178</v>
      </c>
      <c r="B1732" s="7">
        <v>2.5901</v>
      </c>
      <c r="C1732" s="7">
        <v>2.9237</v>
      </c>
    </row>
    <row r="1733" spans="1:3">
      <c r="A1733" s="6">
        <v>42179</v>
      </c>
      <c r="B1733" s="7">
        <v>2.6529</v>
      </c>
      <c r="C1733" s="7">
        <v>2.9447</v>
      </c>
    </row>
    <row r="1734" spans="1:3">
      <c r="A1734" s="6">
        <v>42180</v>
      </c>
      <c r="B1734" s="7">
        <v>2.5234</v>
      </c>
      <c r="C1734" s="7">
        <v>2.883</v>
      </c>
    </row>
    <row r="1735" spans="1:3">
      <c r="A1735" s="6">
        <v>42181</v>
      </c>
      <c r="B1735" s="7">
        <v>2.5086</v>
      </c>
      <c r="C1735" s="7">
        <v>2.8714</v>
      </c>
    </row>
    <row r="1736" spans="1:3">
      <c r="A1736" s="6">
        <v>42184</v>
      </c>
      <c r="B1736" s="7">
        <v>2.4329</v>
      </c>
      <c r="C1736" s="7">
        <v>2.8422</v>
      </c>
    </row>
    <row r="1737" spans="1:3">
      <c r="A1737" s="6">
        <v>42185</v>
      </c>
      <c r="B1737" s="7">
        <v>2.3855</v>
      </c>
      <c r="C1737" s="7">
        <v>2.8136</v>
      </c>
    </row>
    <row r="1738" spans="1:3">
      <c r="A1738" s="6">
        <v>42186</v>
      </c>
      <c r="B1738" s="7">
        <v>2.4163</v>
      </c>
      <c r="C1738" s="7">
        <v>2.8404</v>
      </c>
    </row>
    <row r="1739" spans="1:3">
      <c r="A1739" s="6">
        <v>42187</v>
      </c>
      <c r="B1739" s="7">
        <v>2.4659</v>
      </c>
      <c r="C1739" s="7">
        <v>2.8686</v>
      </c>
    </row>
    <row r="1740" spans="1:3">
      <c r="A1740" s="6">
        <v>42188</v>
      </c>
      <c r="B1740" s="7">
        <v>2.5022</v>
      </c>
      <c r="C1740" s="7">
        <v>2.8517</v>
      </c>
    </row>
    <row r="1741" spans="1:3">
      <c r="A1741" s="6">
        <v>42191</v>
      </c>
      <c r="B1741" s="7">
        <v>2.4231</v>
      </c>
      <c r="C1741" s="7">
        <v>2.7995</v>
      </c>
    </row>
    <row r="1742" spans="1:3">
      <c r="A1742" s="6">
        <v>42192</v>
      </c>
      <c r="B1742" s="7">
        <v>2.412</v>
      </c>
      <c r="C1742" s="7">
        <v>2.7668</v>
      </c>
    </row>
    <row r="1743" spans="1:3">
      <c r="A1743" s="6">
        <v>42193</v>
      </c>
      <c r="B1743" s="7">
        <v>2.416</v>
      </c>
      <c r="C1743" s="7">
        <v>2.7145</v>
      </c>
    </row>
    <row r="1744" spans="1:3">
      <c r="A1744" s="6">
        <v>42194</v>
      </c>
      <c r="B1744" s="7">
        <v>2.4454</v>
      </c>
      <c r="C1744" s="7">
        <v>2.7435</v>
      </c>
    </row>
    <row r="1745" spans="1:3">
      <c r="A1745" s="6">
        <v>42195</v>
      </c>
      <c r="B1745" s="7">
        <v>2.4661</v>
      </c>
      <c r="C1745" s="7">
        <v>2.7801</v>
      </c>
    </row>
    <row r="1746" spans="1:3">
      <c r="A1746" s="6">
        <v>42198</v>
      </c>
      <c r="B1746" s="7">
        <v>2.4745</v>
      </c>
      <c r="C1746" s="7">
        <v>2.7877</v>
      </c>
    </row>
    <row r="1747" spans="1:3">
      <c r="A1747" s="6">
        <v>42199</v>
      </c>
      <c r="B1747" s="7">
        <v>2.549</v>
      </c>
      <c r="C1747" s="7">
        <v>2.8725</v>
      </c>
    </row>
    <row r="1748" spans="1:3">
      <c r="A1748" s="6">
        <v>42200</v>
      </c>
      <c r="B1748" s="7">
        <v>2.5678</v>
      </c>
      <c r="C1748" s="7">
        <v>2.9267</v>
      </c>
    </row>
    <row r="1749" spans="1:3">
      <c r="A1749" s="6">
        <v>42201</v>
      </c>
      <c r="B1749" s="7">
        <v>2.4929</v>
      </c>
      <c r="C1749" s="7">
        <v>2.8778</v>
      </c>
    </row>
    <row r="1750" spans="1:3">
      <c r="A1750" s="6">
        <v>42202</v>
      </c>
      <c r="B1750" s="7">
        <v>2.4968</v>
      </c>
      <c r="C1750" s="7">
        <v>2.8786</v>
      </c>
    </row>
    <row r="1751" spans="1:3">
      <c r="A1751" s="6">
        <v>42205</v>
      </c>
      <c r="B1751" s="7">
        <v>2.4666</v>
      </c>
      <c r="C1751" s="7">
        <v>2.85</v>
      </c>
    </row>
    <row r="1752" spans="1:3">
      <c r="A1752" s="6">
        <v>42206</v>
      </c>
      <c r="B1752" s="7">
        <v>2.5142</v>
      </c>
      <c r="C1752" s="7">
        <v>2.889</v>
      </c>
    </row>
    <row r="1753" spans="1:3">
      <c r="A1753" s="6">
        <v>42207</v>
      </c>
      <c r="B1753" s="7">
        <v>2.5455</v>
      </c>
      <c r="C1753" s="7">
        <v>2.9411</v>
      </c>
    </row>
    <row r="1754" spans="1:3">
      <c r="A1754" s="6">
        <v>42208</v>
      </c>
      <c r="B1754" s="7">
        <v>2.5518</v>
      </c>
      <c r="C1754" s="7">
        <v>2.8919</v>
      </c>
    </row>
    <row r="1755" spans="1:3">
      <c r="A1755" s="6">
        <v>42209</v>
      </c>
      <c r="B1755" s="7">
        <v>2.541</v>
      </c>
      <c r="C1755" s="7">
        <v>2.8694</v>
      </c>
    </row>
    <row r="1756" spans="1:3">
      <c r="A1756" s="6">
        <v>42212</v>
      </c>
      <c r="B1756" s="7">
        <v>2.5475</v>
      </c>
      <c r="C1756" s="7">
        <v>2.8686</v>
      </c>
    </row>
    <row r="1757" spans="1:3">
      <c r="A1757" s="6">
        <v>42213</v>
      </c>
      <c r="B1757" s="7">
        <v>2.5092</v>
      </c>
      <c r="C1757" s="7">
        <v>2.8421</v>
      </c>
    </row>
    <row r="1758" spans="1:3">
      <c r="A1758" s="6">
        <v>42214</v>
      </c>
      <c r="B1758" s="7">
        <v>2.491</v>
      </c>
      <c r="C1758" s="7">
        <v>2.8203</v>
      </c>
    </row>
    <row r="1759" spans="1:3">
      <c r="A1759" s="6">
        <v>42215</v>
      </c>
      <c r="B1759" s="7">
        <v>2.5085</v>
      </c>
      <c r="C1759" s="7">
        <v>2.8421</v>
      </c>
    </row>
    <row r="1760" spans="1:3">
      <c r="A1760" s="6">
        <v>42216</v>
      </c>
      <c r="B1760" s="7">
        <v>2.5444</v>
      </c>
      <c r="C1760" s="7">
        <v>2.8814</v>
      </c>
    </row>
    <row r="1761" spans="1:3">
      <c r="A1761" s="6">
        <v>42219</v>
      </c>
      <c r="B1761" s="7">
        <v>2.5162</v>
      </c>
      <c r="C1761" s="7">
        <v>2.891</v>
      </c>
    </row>
    <row r="1762" spans="1:3">
      <c r="A1762" s="6">
        <v>42220</v>
      </c>
      <c r="B1762" s="7">
        <v>2.5125</v>
      </c>
      <c r="C1762" s="7">
        <v>2.8797</v>
      </c>
    </row>
    <row r="1763" spans="1:3">
      <c r="A1763" s="6">
        <v>42221</v>
      </c>
      <c r="B1763" s="7">
        <v>2.4979</v>
      </c>
      <c r="C1763" s="7">
        <v>2.8723</v>
      </c>
    </row>
    <row r="1764" spans="1:3">
      <c r="A1764" s="6">
        <v>42222</v>
      </c>
      <c r="B1764" s="7">
        <v>2.4643</v>
      </c>
      <c r="C1764" s="7">
        <v>2.8429</v>
      </c>
    </row>
    <row r="1765" spans="1:3">
      <c r="A1765" s="6">
        <v>42223</v>
      </c>
      <c r="B1765" s="7">
        <v>2.4724</v>
      </c>
      <c r="C1765" s="7">
        <v>2.844</v>
      </c>
    </row>
    <row r="1766" spans="1:3">
      <c r="A1766" s="6">
        <v>42226</v>
      </c>
      <c r="B1766" s="7">
        <v>2.4897</v>
      </c>
      <c r="C1766" s="7">
        <v>2.8565</v>
      </c>
    </row>
    <row r="1767" spans="1:3">
      <c r="A1767" s="6">
        <v>42227</v>
      </c>
      <c r="B1767" s="7">
        <v>2.5521</v>
      </c>
      <c r="C1767" s="7">
        <v>2.9447</v>
      </c>
    </row>
    <row r="1768" spans="1:3">
      <c r="A1768" s="6">
        <v>42228</v>
      </c>
      <c r="B1768" s="7">
        <v>2.5554</v>
      </c>
      <c r="C1768" s="7">
        <v>2.9197</v>
      </c>
    </row>
    <row r="1769" spans="1:3">
      <c r="A1769" s="6">
        <v>42229</v>
      </c>
      <c r="B1769" s="7">
        <v>2.5373</v>
      </c>
      <c r="C1769" s="7">
        <v>2.8955</v>
      </c>
    </row>
    <row r="1770" spans="1:3">
      <c r="A1770" s="6">
        <v>42230</v>
      </c>
      <c r="B1770" s="7">
        <v>2.5636</v>
      </c>
      <c r="C1770" s="7">
        <v>2.8717</v>
      </c>
    </row>
    <row r="1771" spans="1:3">
      <c r="A1771" s="6">
        <v>42233</v>
      </c>
      <c r="B1771" s="7">
        <v>2.577</v>
      </c>
      <c r="C1771" s="7">
        <v>2.8911</v>
      </c>
    </row>
    <row r="1772" spans="1:3">
      <c r="A1772" s="6">
        <v>42234</v>
      </c>
      <c r="B1772" s="7">
        <v>2.582</v>
      </c>
      <c r="C1772" s="7">
        <v>2.8861</v>
      </c>
    </row>
    <row r="1773" spans="1:3">
      <c r="A1773" s="6">
        <v>42235</v>
      </c>
      <c r="B1773" s="7">
        <v>2.5838</v>
      </c>
      <c r="C1773" s="7">
        <v>2.893</v>
      </c>
    </row>
    <row r="1774" spans="1:3">
      <c r="A1774" s="6">
        <v>42236</v>
      </c>
      <c r="B1774" s="7">
        <v>2.5947</v>
      </c>
      <c r="C1774" s="7">
        <v>2.9003</v>
      </c>
    </row>
    <row r="1775" spans="1:3">
      <c r="A1775" s="6">
        <v>42237</v>
      </c>
      <c r="B1775" s="7">
        <v>2.582</v>
      </c>
      <c r="C1775" s="7">
        <v>2.8706</v>
      </c>
    </row>
    <row r="1776" spans="1:3">
      <c r="A1776" s="6">
        <v>42240</v>
      </c>
      <c r="B1776" s="7">
        <v>2.5753</v>
      </c>
      <c r="C1776" s="7">
        <v>2.8457</v>
      </c>
    </row>
    <row r="1777" spans="1:3">
      <c r="A1777" s="6">
        <v>42241</v>
      </c>
      <c r="B1777" s="7">
        <v>2.5686</v>
      </c>
      <c r="C1777" s="7">
        <v>2.8134</v>
      </c>
    </row>
    <row r="1778" spans="1:3">
      <c r="A1778" s="6">
        <v>42242</v>
      </c>
      <c r="B1778" s="7">
        <v>2.4839</v>
      </c>
      <c r="C1778" s="7">
        <v>2.777</v>
      </c>
    </row>
    <row r="1779" spans="1:3">
      <c r="A1779" s="6">
        <v>42243</v>
      </c>
      <c r="B1779" s="7">
        <v>2.4101</v>
      </c>
      <c r="C1779" s="7">
        <v>2.7478</v>
      </c>
    </row>
    <row r="1780" spans="1:3">
      <c r="A1780" s="6">
        <v>42244</v>
      </c>
      <c r="B1780" s="7">
        <v>2.4231</v>
      </c>
      <c r="C1780" s="7">
        <v>2.7658</v>
      </c>
    </row>
    <row r="1781" spans="1:3">
      <c r="A1781" s="6">
        <v>42247</v>
      </c>
      <c r="B1781" s="7">
        <v>2.4168</v>
      </c>
      <c r="C1781" s="7">
        <v>2.7376</v>
      </c>
    </row>
    <row r="1782" spans="1:3">
      <c r="A1782" s="6">
        <v>42248</v>
      </c>
      <c r="B1782" s="7">
        <v>2.42</v>
      </c>
      <c r="C1782" s="7">
        <v>2.7184</v>
      </c>
    </row>
    <row r="1783" spans="1:3">
      <c r="A1783" s="6">
        <v>42249</v>
      </c>
      <c r="B1783" s="7">
        <v>2.4395</v>
      </c>
      <c r="C1783" s="7">
        <v>2.7386</v>
      </c>
    </row>
    <row r="1784" spans="1:3">
      <c r="A1784" s="6">
        <v>42253</v>
      </c>
      <c r="B1784" s="7">
        <v>2.4445</v>
      </c>
      <c r="C1784" s="7">
        <v>2.7425</v>
      </c>
    </row>
    <row r="1785" spans="1:3">
      <c r="A1785" s="6">
        <v>42254</v>
      </c>
      <c r="B1785" s="7">
        <v>2.4525</v>
      </c>
      <c r="C1785" s="7">
        <v>2.7644</v>
      </c>
    </row>
    <row r="1786" spans="1:3">
      <c r="A1786" s="6">
        <v>42255</v>
      </c>
      <c r="B1786" s="7">
        <v>2.4677</v>
      </c>
      <c r="C1786" s="7">
        <v>2.8016</v>
      </c>
    </row>
    <row r="1787" spans="1:3">
      <c r="A1787" s="6">
        <v>42256</v>
      </c>
      <c r="B1787" s="7">
        <v>2.466</v>
      </c>
      <c r="C1787" s="7">
        <v>2.8005</v>
      </c>
    </row>
    <row r="1788" spans="1:3">
      <c r="A1788" s="6">
        <v>42257</v>
      </c>
      <c r="B1788" s="7">
        <v>2.4755</v>
      </c>
      <c r="C1788" s="7">
        <v>2.8272</v>
      </c>
    </row>
    <row r="1789" spans="1:3">
      <c r="A1789" s="6">
        <v>42258</v>
      </c>
      <c r="B1789" s="7">
        <v>2.4706</v>
      </c>
      <c r="C1789" s="7">
        <v>2.8325</v>
      </c>
    </row>
    <row r="1790" spans="1:3">
      <c r="A1790" s="6">
        <v>42261</v>
      </c>
      <c r="B1790" s="7">
        <v>2.4451</v>
      </c>
      <c r="C1790" s="7">
        <v>2.8034</v>
      </c>
    </row>
    <row r="1791" spans="1:3">
      <c r="A1791" s="6">
        <v>42262</v>
      </c>
      <c r="B1791" s="7">
        <v>2.4572</v>
      </c>
      <c r="C1791" s="7">
        <v>2.7973</v>
      </c>
    </row>
    <row r="1792" spans="1:3">
      <c r="A1792" s="6">
        <v>42263</v>
      </c>
      <c r="B1792" s="7">
        <v>2.4627</v>
      </c>
      <c r="C1792" s="7">
        <v>2.8035</v>
      </c>
    </row>
    <row r="1793" spans="1:3">
      <c r="A1793" s="6">
        <v>42264</v>
      </c>
      <c r="B1793" s="7">
        <v>2.4876</v>
      </c>
      <c r="C1793" s="7">
        <v>2.8225</v>
      </c>
    </row>
    <row r="1794" spans="1:3">
      <c r="A1794" s="6">
        <v>42265</v>
      </c>
      <c r="B1794" s="7">
        <v>2.46</v>
      </c>
      <c r="C1794" s="7">
        <v>2.7979</v>
      </c>
    </row>
    <row r="1795" spans="1:3">
      <c r="A1795" s="6">
        <v>42268</v>
      </c>
      <c r="B1795" s="7">
        <v>2.4688</v>
      </c>
      <c r="C1795" s="7">
        <v>2.8084</v>
      </c>
    </row>
    <row r="1796" spans="1:3">
      <c r="A1796" s="6">
        <v>42269</v>
      </c>
      <c r="B1796" s="7">
        <v>2.4752</v>
      </c>
      <c r="C1796" s="7">
        <v>2.8077</v>
      </c>
    </row>
    <row r="1797" spans="1:3">
      <c r="A1797" s="6">
        <v>42270</v>
      </c>
      <c r="B1797" s="7">
        <v>2.4837</v>
      </c>
      <c r="C1797" s="7">
        <v>2.8011</v>
      </c>
    </row>
    <row r="1798" spans="1:3">
      <c r="A1798" s="6">
        <v>42271</v>
      </c>
      <c r="B1798" s="7">
        <v>2.4797</v>
      </c>
      <c r="C1798" s="7">
        <v>2.7985</v>
      </c>
    </row>
    <row r="1799" spans="1:3">
      <c r="A1799" s="6">
        <v>42272</v>
      </c>
      <c r="B1799" s="7">
        <v>2.4742</v>
      </c>
      <c r="C1799" s="7">
        <v>2.7945</v>
      </c>
    </row>
    <row r="1800" spans="1:3">
      <c r="A1800" s="6">
        <v>42275</v>
      </c>
      <c r="B1800" s="7">
        <v>2.4708</v>
      </c>
      <c r="C1800" s="7">
        <v>2.7885</v>
      </c>
    </row>
    <row r="1801" spans="1:3">
      <c r="A1801" s="6">
        <v>42276</v>
      </c>
      <c r="B1801" s="7">
        <v>2.4588</v>
      </c>
      <c r="C1801" s="7">
        <v>2.7579</v>
      </c>
    </row>
    <row r="1802" spans="1:3">
      <c r="A1802" s="6">
        <v>42277</v>
      </c>
      <c r="B1802" s="7">
        <v>2.4573</v>
      </c>
      <c r="C1802" s="7">
        <v>2.7695</v>
      </c>
    </row>
    <row r="1803" spans="1:3">
      <c r="A1803" s="6">
        <v>42285</v>
      </c>
      <c r="B1803" s="7">
        <v>2.4576</v>
      </c>
      <c r="C1803" s="7">
        <v>2.7679</v>
      </c>
    </row>
    <row r="1804" spans="1:3">
      <c r="A1804" s="6">
        <v>42286</v>
      </c>
      <c r="B1804" s="7">
        <v>2.4642</v>
      </c>
      <c r="C1804" s="7">
        <v>2.769</v>
      </c>
    </row>
    <row r="1805" spans="1:3">
      <c r="A1805" s="6">
        <v>42287</v>
      </c>
      <c r="B1805" s="7">
        <v>2.4576</v>
      </c>
      <c r="C1805" s="7">
        <v>2.75</v>
      </c>
    </row>
    <row r="1806" spans="1:3">
      <c r="A1806" s="6">
        <v>42289</v>
      </c>
      <c r="B1806" s="7">
        <v>2.434</v>
      </c>
      <c r="C1806" s="7">
        <v>2.7383</v>
      </c>
    </row>
    <row r="1807" spans="1:3">
      <c r="A1807" s="6">
        <v>42290</v>
      </c>
      <c r="B1807" s="7">
        <v>2.4298</v>
      </c>
      <c r="C1807" s="7">
        <v>2.7267</v>
      </c>
    </row>
    <row r="1808" spans="1:3">
      <c r="A1808" s="6">
        <v>42291</v>
      </c>
      <c r="B1808" s="7">
        <v>2.4007</v>
      </c>
      <c r="C1808" s="7">
        <v>2.6795</v>
      </c>
    </row>
    <row r="1809" spans="1:3">
      <c r="A1809" s="6">
        <v>42292</v>
      </c>
      <c r="B1809" s="7">
        <v>2.4302</v>
      </c>
      <c r="C1809" s="7">
        <v>2.7017</v>
      </c>
    </row>
    <row r="1810" spans="1:3">
      <c r="A1810" s="6">
        <v>42293</v>
      </c>
      <c r="B1810" s="7">
        <v>2.4231</v>
      </c>
      <c r="C1810" s="7">
        <v>2.7136</v>
      </c>
    </row>
    <row r="1811" spans="1:3">
      <c r="A1811" s="6">
        <v>42296</v>
      </c>
      <c r="B1811" s="7">
        <v>2.4185</v>
      </c>
      <c r="C1811" s="7">
        <v>2.7153</v>
      </c>
    </row>
    <row r="1812" spans="1:3">
      <c r="A1812" s="6">
        <v>42297</v>
      </c>
      <c r="B1812" s="7">
        <v>2.4032</v>
      </c>
      <c r="C1812" s="7">
        <v>2.692</v>
      </c>
    </row>
    <row r="1813" spans="1:3">
      <c r="A1813" s="6">
        <v>42298</v>
      </c>
      <c r="B1813" s="7">
        <v>2.3982</v>
      </c>
      <c r="C1813" s="7">
        <v>2.691</v>
      </c>
    </row>
    <row r="1814" spans="1:3">
      <c r="A1814" s="6">
        <v>42299</v>
      </c>
      <c r="B1814" s="7">
        <v>2.3962</v>
      </c>
      <c r="C1814" s="7">
        <v>2.6805</v>
      </c>
    </row>
    <row r="1815" spans="1:3">
      <c r="A1815" s="6">
        <v>42300</v>
      </c>
      <c r="B1815" s="7">
        <v>2.386</v>
      </c>
      <c r="C1815" s="7">
        <v>2.6721</v>
      </c>
    </row>
    <row r="1816" spans="1:3">
      <c r="A1816" s="6">
        <v>42303</v>
      </c>
      <c r="B1816" s="7">
        <v>2.3045</v>
      </c>
      <c r="C1816" s="7">
        <v>2.6079</v>
      </c>
    </row>
    <row r="1817" spans="1:3">
      <c r="A1817" s="6">
        <v>42304</v>
      </c>
      <c r="B1817" s="7">
        <v>2.2681</v>
      </c>
      <c r="C1817" s="7">
        <v>2.5582</v>
      </c>
    </row>
    <row r="1818" spans="1:3">
      <c r="A1818" s="6">
        <v>42305</v>
      </c>
      <c r="B1818" s="7">
        <v>2.2783</v>
      </c>
      <c r="C1818" s="7">
        <v>2.5633</v>
      </c>
    </row>
    <row r="1819" spans="1:3">
      <c r="A1819" s="6">
        <v>42306</v>
      </c>
      <c r="B1819" s="7">
        <v>2.3116</v>
      </c>
      <c r="C1819" s="7">
        <v>2.6081</v>
      </c>
    </row>
    <row r="1820" spans="1:3">
      <c r="A1820" s="6">
        <v>42307</v>
      </c>
      <c r="B1820" s="7">
        <v>2.3199</v>
      </c>
      <c r="C1820" s="7">
        <v>2.6303</v>
      </c>
    </row>
    <row r="1821" spans="1:3">
      <c r="A1821" s="6">
        <v>42310</v>
      </c>
      <c r="B1821" s="7">
        <v>2.386</v>
      </c>
      <c r="C1821" s="7">
        <v>2.6275</v>
      </c>
    </row>
    <row r="1822" spans="1:3">
      <c r="A1822" s="6">
        <v>42311</v>
      </c>
      <c r="B1822" s="7">
        <v>2.3476</v>
      </c>
      <c r="C1822" s="7">
        <v>2.6464</v>
      </c>
    </row>
    <row r="1823" spans="1:3">
      <c r="A1823" s="6">
        <v>42312</v>
      </c>
      <c r="B1823" s="7">
        <v>2.3752</v>
      </c>
      <c r="C1823" s="7">
        <v>2.6823</v>
      </c>
    </row>
    <row r="1824" spans="1:3">
      <c r="A1824" s="6">
        <v>42313</v>
      </c>
      <c r="B1824" s="7">
        <v>2.3667</v>
      </c>
      <c r="C1824" s="7">
        <v>2.675</v>
      </c>
    </row>
    <row r="1825" spans="1:3">
      <c r="A1825" s="6">
        <v>42314</v>
      </c>
      <c r="B1825" s="7">
        <v>2.356</v>
      </c>
      <c r="C1825" s="7">
        <v>2.6589</v>
      </c>
    </row>
    <row r="1826" spans="1:3">
      <c r="A1826" s="6">
        <v>42317</v>
      </c>
      <c r="B1826" s="7">
        <v>2.398</v>
      </c>
      <c r="C1826" s="7">
        <v>2.727</v>
      </c>
    </row>
    <row r="1827" spans="1:3">
      <c r="A1827" s="6">
        <v>42318</v>
      </c>
      <c r="B1827" s="7">
        <v>2.4036</v>
      </c>
      <c r="C1827" s="7">
        <v>2.7546</v>
      </c>
    </row>
    <row r="1828" spans="1:3">
      <c r="A1828" s="6">
        <v>42319</v>
      </c>
      <c r="B1828" s="7">
        <v>2.3895</v>
      </c>
      <c r="C1828" s="7">
        <v>2.7226</v>
      </c>
    </row>
    <row r="1829" spans="1:3">
      <c r="A1829" s="6">
        <v>42320</v>
      </c>
      <c r="B1829" s="7">
        <v>2.4022</v>
      </c>
      <c r="C1829" s="7">
        <v>2.7403</v>
      </c>
    </row>
    <row r="1830" spans="1:3">
      <c r="A1830" s="6">
        <v>42321</v>
      </c>
      <c r="B1830" s="7">
        <v>2.3937</v>
      </c>
      <c r="C1830" s="7">
        <v>2.7276</v>
      </c>
    </row>
    <row r="1831" spans="1:3">
      <c r="A1831" s="6">
        <v>42324</v>
      </c>
      <c r="B1831" s="7">
        <v>2.3989</v>
      </c>
      <c r="C1831" s="7">
        <v>2.7301</v>
      </c>
    </row>
    <row r="1832" spans="1:3">
      <c r="A1832" s="6">
        <v>42325</v>
      </c>
      <c r="B1832" s="7">
        <v>2.3976</v>
      </c>
      <c r="C1832" s="7">
        <v>2.7225</v>
      </c>
    </row>
    <row r="1833" spans="1:3">
      <c r="A1833" s="6">
        <v>42326</v>
      </c>
      <c r="B1833" s="7">
        <v>2.4073</v>
      </c>
      <c r="C1833" s="7">
        <v>2.7367</v>
      </c>
    </row>
    <row r="1834" spans="1:3">
      <c r="A1834" s="6">
        <v>42327</v>
      </c>
      <c r="B1834" s="7">
        <v>2.405</v>
      </c>
      <c r="C1834" s="7">
        <v>2.7358</v>
      </c>
    </row>
    <row r="1835" spans="1:3">
      <c r="A1835" s="6">
        <v>42328</v>
      </c>
      <c r="B1835" s="7">
        <v>2.3764</v>
      </c>
      <c r="C1835" s="7">
        <v>2.7095</v>
      </c>
    </row>
    <row r="1836" spans="1:3">
      <c r="A1836" s="6">
        <v>42331</v>
      </c>
      <c r="B1836" s="7">
        <v>2.3824</v>
      </c>
      <c r="C1836" s="7">
        <v>2.708</v>
      </c>
    </row>
    <row r="1837" spans="1:3">
      <c r="A1837" s="6">
        <v>42332</v>
      </c>
      <c r="B1837" s="7">
        <v>2.3748</v>
      </c>
      <c r="C1837" s="7">
        <v>2.7025</v>
      </c>
    </row>
    <row r="1838" spans="1:3">
      <c r="A1838" s="6">
        <v>42333</v>
      </c>
      <c r="B1838" s="7">
        <v>2.3782</v>
      </c>
      <c r="C1838" s="7">
        <v>2.7026</v>
      </c>
    </row>
    <row r="1839" spans="1:3">
      <c r="A1839" s="6">
        <v>42334</v>
      </c>
      <c r="B1839" s="7">
        <v>2.3732</v>
      </c>
      <c r="C1839" s="7">
        <v>2.6935</v>
      </c>
    </row>
    <row r="1840" spans="1:3">
      <c r="A1840" s="6">
        <v>42335</v>
      </c>
      <c r="B1840" s="7">
        <v>2.3743</v>
      </c>
      <c r="C1840" s="7">
        <v>2.6893</v>
      </c>
    </row>
    <row r="1841" spans="1:3">
      <c r="A1841" s="6">
        <v>42338</v>
      </c>
      <c r="B1841" s="7">
        <v>2.3699</v>
      </c>
      <c r="C1841" s="7">
        <v>2.6863</v>
      </c>
    </row>
    <row r="1842" spans="1:3">
      <c r="A1842" s="6">
        <v>42339</v>
      </c>
      <c r="B1842" s="7">
        <v>2.3603</v>
      </c>
      <c r="C1842" s="7">
        <v>2.6766</v>
      </c>
    </row>
    <row r="1843" spans="1:3">
      <c r="A1843" s="6">
        <v>42340</v>
      </c>
      <c r="B1843" s="7">
        <v>2.3537</v>
      </c>
      <c r="C1843" s="7">
        <v>2.6756</v>
      </c>
    </row>
    <row r="1844" spans="1:3">
      <c r="A1844" s="6">
        <v>42341</v>
      </c>
      <c r="B1844" s="7">
        <v>2.4044</v>
      </c>
      <c r="C1844" s="7">
        <v>2.6558</v>
      </c>
    </row>
    <row r="1845" spans="1:3">
      <c r="A1845" s="6">
        <v>42342</v>
      </c>
      <c r="B1845" s="7">
        <v>2.3088</v>
      </c>
      <c r="C1845" s="7">
        <v>2.6205</v>
      </c>
    </row>
    <row r="1846" spans="1:3">
      <c r="A1846" s="6">
        <v>42345</v>
      </c>
      <c r="B1846" s="7">
        <v>2.3168</v>
      </c>
      <c r="C1846" s="7">
        <v>2.6244</v>
      </c>
    </row>
    <row r="1847" spans="1:3">
      <c r="A1847" s="6">
        <v>42346</v>
      </c>
      <c r="B1847" s="7">
        <v>2.3082</v>
      </c>
      <c r="C1847" s="7">
        <v>2.6293</v>
      </c>
    </row>
    <row r="1848" spans="1:3">
      <c r="A1848" s="6">
        <v>42347</v>
      </c>
      <c r="B1848" s="7">
        <v>2.3086</v>
      </c>
      <c r="C1848" s="7">
        <v>2.6239</v>
      </c>
    </row>
    <row r="1849" spans="1:3">
      <c r="A1849" s="6">
        <v>42348</v>
      </c>
      <c r="B1849" s="7">
        <v>2.3083</v>
      </c>
      <c r="C1849" s="7">
        <v>2.6281</v>
      </c>
    </row>
    <row r="1850" spans="1:3">
      <c r="A1850" s="6">
        <v>42349</v>
      </c>
      <c r="B1850" s="7">
        <v>2.3079</v>
      </c>
      <c r="C1850" s="7">
        <v>2.6301</v>
      </c>
    </row>
    <row r="1851" spans="1:3">
      <c r="A1851" s="6">
        <v>42352</v>
      </c>
      <c r="B1851" s="7">
        <v>2.3256</v>
      </c>
      <c r="C1851" s="7">
        <v>2.6517</v>
      </c>
    </row>
    <row r="1852" spans="1:3">
      <c r="A1852" s="6">
        <v>42353</v>
      </c>
      <c r="B1852" s="7">
        <v>2.3311</v>
      </c>
      <c r="C1852" s="7">
        <v>2.66</v>
      </c>
    </row>
    <row r="1853" spans="1:3">
      <c r="A1853" s="6">
        <v>42354</v>
      </c>
      <c r="B1853" s="7">
        <v>2.3323</v>
      </c>
      <c r="C1853" s="7">
        <v>2.6461</v>
      </c>
    </row>
    <row r="1854" spans="1:3">
      <c r="A1854" s="6">
        <v>42355</v>
      </c>
      <c r="B1854" s="7">
        <v>2.3278</v>
      </c>
      <c r="C1854" s="7">
        <v>2.6344</v>
      </c>
    </row>
    <row r="1855" spans="1:3">
      <c r="A1855" s="6">
        <v>42356</v>
      </c>
      <c r="B1855" s="7">
        <v>2.3195</v>
      </c>
      <c r="C1855" s="7">
        <v>2.6116</v>
      </c>
    </row>
    <row r="1856" spans="1:3">
      <c r="A1856" s="6">
        <v>42359</v>
      </c>
      <c r="B1856" s="7">
        <v>2.3269</v>
      </c>
      <c r="C1856" s="7">
        <v>2.6069</v>
      </c>
    </row>
    <row r="1857" spans="1:3">
      <c r="A1857" s="6">
        <v>42360</v>
      </c>
      <c r="B1857" s="7">
        <v>2.3106</v>
      </c>
      <c r="C1857" s="7">
        <v>2.5683</v>
      </c>
    </row>
    <row r="1858" spans="1:3">
      <c r="A1858" s="6">
        <v>42361</v>
      </c>
      <c r="B1858" s="7">
        <v>2.3182</v>
      </c>
      <c r="C1858" s="7">
        <v>2.5758</v>
      </c>
    </row>
    <row r="1859" spans="1:3">
      <c r="A1859" s="6">
        <v>42363</v>
      </c>
      <c r="B1859" s="7">
        <v>2.2946</v>
      </c>
      <c r="C1859" s="7">
        <v>2.5424</v>
      </c>
    </row>
    <row r="1860" spans="1:3">
      <c r="A1860" s="6">
        <v>42366</v>
      </c>
      <c r="B1860" s="7">
        <v>2.2915</v>
      </c>
      <c r="C1860" s="7">
        <v>2.54</v>
      </c>
    </row>
    <row r="1861" spans="1:3">
      <c r="A1861" s="6">
        <v>42367</v>
      </c>
      <c r="B1861" s="7">
        <v>2.2964</v>
      </c>
      <c r="C1861" s="7">
        <v>2.5459</v>
      </c>
    </row>
    <row r="1862" spans="1:3">
      <c r="A1862" s="6">
        <v>42368</v>
      </c>
      <c r="B1862" s="7">
        <v>2.3198</v>
      </c>
      <c r="C1862" s="7">
        <v>2.5776</v>
      </c>
    </row>
    <row r="1863" spans="1:3">
      <c r="A1863" s="6">
        <v>42369</v>
      </c>
      <c r="B1863" s="7">
        <v>2.3343</v>
      </c>
      <c r="C1863" s="7">
        <v>2.5739</v>
      </c>
    </row>
    <row r="1864" spans="1:3">
      <c r="A1864" s="6">
        <v>42373</v>
      </c>
      <c r="B1864" s="7">
        <v>2.3439</v>
      </c>
      <c r="C1864" s="7">
        <v>2.6099</v>
      </c>
    </row>
    <row r="1865" spans="1:3">
      <c r="A1865" s="6">
        <v>42374</v>
      </c>
      <c r="B1865" s="7">
        <v>2.3442</v>
      </c>
      <c r="C1865" s="7">
        <v>2.6214</v>
      </c>
    </row>
    <row r="1866" spans="1:3">
      <c r="A1866" s="6">
        <v>42375</v>
      </c>
      <c r="B1866" s="7">
        <v>2.3374</v>
      </c>
      <c r="C1866" s="7">
        <v>2.6206</v>
      </c>
    </row>
    <row r="1867" spans="1:3">
      <c r="A1867" s="6">
        <v>42376</v>
      </c>
      <c r="B1867" s="7">
        <v>2.3255</v>
      </c>
      <c r="C1867" s="7">
        <v>2.5882</v>
      </c>
    </row>
    <row r="1868" spans="1:3">
      <c r="A1868" s="6">
        <v>42377</v>
      </c>
      <c r="B1868" s="7">
        <v>2.2815</v>
      </c>
      <c r="C1868" s="7">
        <v>2.5638</v>
      </c>
    </row>
    <row r="1869" spans="1:3">
      <c r="A1869" s="6">
        <v>42380</v>
      </c>
      <c r="B1869" s="7">
        <v>2.2607</v>
      </c>
      <c r="C1869" s="7">
        <v>2.5393</v>
      </c>
    </row>
    <row r="1870" spans="1:3">
      <c r="A1870" s="6">
        <v>42381</v>
      </c>
      <c r="B1870" s="7">
        <v>2.2412</v>
      </c>
      <c r="C1870" s="7">
        <v>2.5002</v>
      </c>
    </row>
    <row r="1871" spans="1:3">
      <c r="A1871" s="6">
        <v>42382</v>
      </c>
      <c r="B1871" s="7">
        <v>2.2232</v>
      </c>
      <c r="C1871" s="7">
        <v>2.4637</v>
      </c>
    </row>
    <row r="1872" spans="1:3">
      <c r="A1872" s="6">
        <v>42383</v>
      </c>
      <c r="B1872" s="7">
        <v>2.2321</v>
      </c>
      <c r="C1872" s="7">
        <v>2.4577</v>
      </c>
    </row>
    <row r="1873" spans="1:3">
      <c r="A1873" s="6">
        <v>42384</v>
      </c>
      <c r="B1873" s="7">
        <v>2.2473</v>
      </c>
      <c r="C1873" s="7">
        <v>2.4839</v>
      </c>
    </row>
    <row r="1874" spans="1:3">
      <c r="A1874" s="6">
        <v>42387</v>
      </c>
      <c r="B1874" s="7">
        <v>2.2703</v>
      </c>
      <c r="C1874" s="7">
        <v>2.496</v>
      </c>
    </row>
    <row r="1875" spans="1:3">
      <c r="A1875" s="6">
        <v>42388</v>
      </c>
      <c r="B1875" s="7">
        <v>2.2758</v>
      </c>
      <c r="C1875" s="7">
        <v>2.5013</v>
      </c>
    </row>
    <row r="1876" spans="1:3">
      <c r="A1876" s="6">
        <v>42389</v>
      </c>
      <c r="B1876" s="7">
        <v>2.3041</v>
      </c>
      <c r="C1876" s="7">
        <v>2.5271</v>
      </c>
    </row>
    <row r="1877" spans="1:3">
      <c r="A1877" s="6">
        <v>42390</v>
      </c>
      <c r="B1877" s="7">
        <v>2.3002</v>
      </c>
      <c r="C1877" s="7">
        <v>2.51</v>
      </c>
    </row>
    <row r="1878" spans="1:3">
      <c r="A1878" s="6">
        <v>42391</v>
      </c>
      <c r="B1878" s="7">
        <v>2.296</v>
      </c>
      <c r="C1878" s="7">
        <v>2.4952</v>
      </c>
    </row>
    <row r="1879" spans="1:3">
      <c r="A1879" s="6">
        <v>42394</v>
      </c>
      <c r="B1879" s="7">
        <v>2.3331</v>
      </c>
      <c r="C1879" s="7">
        <v>2.5582</v>
      </c>
    </row>
    <row r="1880" spans="1:3">
      <c r="A1880" s="6">
        <v>42395</v>
      </c>
      <c r="B1880" s="7">
        <v>2.3193</v>
      </c>
      <c r="C1880" s="7">
        <v>2.5712</v>
      </c>
    </row>
    <row r="1881" spans="1:3">
      <c r="A1881" s="6">
        <v>42396</v>
      </c>
      <c r="B1881" s="7">
        <v>2.3527</v>
      </c>
      <c r="C1881" s="7">
        <v>2.6228</v>
      </c>
    </row>
    <row r="1882" spans="1:3">
      <c r="A1882" s="6">
        <v>42397</v>
      </c>
      <c r="B1882" s="7">
        <v>2.3468</v>
      </c>
      <c r="C1882" s="7">
        <v>2.6267</v>
      </c>
    </row>
    <row r="1883" spans="1:3">
      <c r="A1883" s="6">
        <v>42398</v>
      </c>
      <c r="B1883" s="7">
        <v>2.2994</v>
      </c>
      <c r="C1883" s="7">
        <v>2.5853</v>
      </c>
    </row>
    <row r="1884" spans="1:3">
      <c r="A1884" s="6">
        <v>42401</v>
      </c>
      <c r="B1884" s="7">
        <v>2.2958</v>
      </c>
      <c r="C1884" s="7">
        <v>2.5803</v>
      </c>
    </row>
    <row r="1885" spans="1:3">
      <c r="A1885" s="6">
        <v>42402</v>
      </c>
      <c r="B1885" s="7">
        <v>2.322</v>
      </c>
      <c r="C1885" s="7">
        <v>2.6197</v>
      </c>
    </row>
    <row r="1886" spans="1:3">
      <c r="A1886" s="6">
        <v>42403</v>
      </c>
      <c r="B1886" s="7">
        <v>2.3362</v>
      </c>
      <c r="C1886" s="7">
        <v>2.6529</v>
      </c>
    </row>
    <row r="1887" spans="1:3">
      <c r="A1887" s="6">
        <v>42404</v>
      </c>
      <c r="B1887" s="7">
        <v>2.31</v>
      </c>
      <c r="C1887" s="7">
        <v>2.6142</v>
      </c>
    </row>
    <row r="1888" spans="1:3">
      <c r="A1888" s="6">
        <v>42405</v>
      </c>
      <c r="B1888" s="7">
        <v>2.2917</v>
      </c>
      <c r="C1888" s="7">
        <v>2.6</v>
      </c>
    </row>
    <row r="1889" spans="1:3">
      <c r="A1889" s="6">
        <v>42414</v>
      </c>
      <c r="B1889" s="7">
        <v>2.2893</v>
      </c>
      <c r="C1889" s="7">
        <v>2.5705</v>
      </c>
    </row>
    <row r="1890" spans="1:3">
      <c r="A1890" s="6">
        <v>42415</v>
      </c>
      <c r="B1890" s="7">
        <v>2.2955</v>
      </c>
      <c r="C1890" s="7">
        <v>2.5775</v>
      </c>
    </row>
    <row r="1891" spans="1:3">
      <c r="A1891" s="6">
        <v>42416</v>
      </c>
      <c r="B1891" s="7">
        <v>2.3084</v>
      </c>
      <c r="C1891" s="7">
        <v>2.602</v>
      </c>
    </row>
    <row r="1892" spans="1:3">
      <c r="A1892" s="6">
        <v>42417</v>
      </c>
      <c r="B1892" s="7">
        <v>2.3263</v>
      </c>
      <c r="C1892" s="7">
        <v>2.6267</v>
      </c>
    </row>
    <row r="1893" spans="1:3">
      <c r="A1893" s="6">
        <v>42418</v>
      </c>
      <c r="B1893" s="7">
        <v>2.3093</v>
      </c>
      <c r="C1893" s="7">
        <v>2.6186</v>
      </c>
    </row>
    <row r="1894" spans="1:3">
      <c r="A1894" s="6">
        <v>42419</v>
      </c>
      <c r="B1894" s="7">
        <v>2.2925</v>
      </c>
      <c r="C1894" s="7">
        <v>2.5904</v>
      </c>
    </row>
    <row r="1895" spans="1:3">
      <c r="A1895" s="6">
        <v>42422</v>
      </c>
      <c r="B1895" s="7">
        <v>2.3033</v>
      </c>
      <c r="C1895" s="7">
        <v>2.6067</v>
      </c>
    </row>
    <row r="1896" spans="1:3">
      <c r="A1896" s="6">
        <v>42423</v>
      </c>
      <c r="B1896" s="7">
        <v>2.3024</v>
      </c>
      <c r="C1896" s="7">
        <v>2.5975</v>
      </c>
    </row>
    <row r="1897" spans="1:3">
      <c r="A1897" s="6">
        <v>42424</v>
      </c>
      <c r="B1897" s="7">
        <v>2.3159</v>
      </c>
      <c r="C1897" s="7">
        <v>2.615</v>
      </c>
    </row>
    <row r="1898" spans="1:3">
      <c r="A1898" s="6">
        <v>42425</v>
      </c>
      <c r="B1898" s="7">
        <v>2.3228</v>
      </c>
      <c r="C1898" s="7">
        <v>2.6212</v>
      </c>
    </row>
    <row r="1899" spans="1:3">
      <c r="A1899" s="6">
        <v>42426</v>
      </c>
      <c r="B1899" s="7">
        <v>2.3196</v>
      </c>
      <c r="C1899" s="7">
        <v>2.6118</v>
      </c>
    </row>
    <row r="1900" spans="1:3">
      <c r="A1900" s="6">
        <v>42429</v>
      </c>
      <c r="B1900" s="7">
        <v>2.3102</v>
      </c>
      <c r="C1900" s="7">
        <v>2.6037</v>
      </c>
    </row>
    <row r="1901" spans="1:3">
      <c r="A1901" s="6">
        <v>42430</v>
      </c>
      <c r="B1901" s="7">
        <v>2.2798</v>
      </c>
      <c r="C1901" s="7">
        <v>2.5785</v>
      </c>
    </row>
    <row r="1902" spans="1:3">
      <c r="A1902" s="6">
        <v>42431</v>
      </c>
      <c r="B1902" s="7">
        <v>2.2972</v>
      </c>
      <c r="C1902" s="7">
        <v>2.6018</v>
      </c>
    </row>
    <row r="1903" spans="1:3">
      <c r="A1903" s="6">
        <v>42432</v>
      </c>
      <c r="B1903" s="7">
        <v>2.3034</v>
      </c>
      <c r="C1903" s="7">
        <v>2.6177</v>
      </c>
    </row>
    <row r="1904" spans="1:3">
      <c r="A1904" s="6">
        <v>42433</v>
      </c>
      <c r="B1904" s="7">
        <v>2.3014</v>
      </c>
      <c r="C1904" s="7">
        <v>2.6141</v>
      </c>
    </row>
    <row r="1905" spans="1:3">
      <c r="A1905" s="6">
        <v>42436</v>
      </c>
      <c r="B1905" s="7">
        <v>2.3099</v>
      </c>
      <c r="C1905" s="7">
        <v>2.6338</v>
      </c>
    </row>
    <row r="1906" spans="1:3">
      <c r="A1906" s="6">
        <v>42437</v>
      </c>
      <c r="B1906" s="7">
        <v>2.3101</v>
      </c>
      <c r="C1906" s="7">
        <v>2.6412</v>
      </c>
    </row>
    <row r="1907" spans="1:3">
      <c r="A1907" s="6">
        <v>42438</v>
      </c>
      <c r="B1907" s="7">
        <v>2.3033</v>
      </c>
      <c r="C1907" s="7">
        <v>2.6217</v>
      </c>
    </row>
    <row r="1908" spans="1:3">
      <c r="A1908" s="6">
        <v>42439</v>
      </c>
      <c r="B1908" s="7">
        <v>2.2928</v>
      </c>
      <c r="C1908" s="7">
        <v>2.607</v>
      </c>
    </row>
    <row r="1909" spans="1:3">
      <c r="A1909" s="6">
        <v>42440</v>
      </c>
      <c r="B1909" s="7">
        <v>2.2913</v>
      </c>
      <c r="C1909" s="7">
        <v>2.5885</v>
      </c>
    </row>
    <row r="1910" spans="1:3">
      <c r="A1910" s="6">
        <v>42443</v>
      </c>
      <c r="B1910" s="7">
        <v>2.2858</v>
      </c>
      <c r="C1910" s="7">
        <v>2.5819</v>
      </c>
    </row>
    <row r="1911" spans="1:3">
      <c r="A1911" s="6">
        <v>42444</v>
      </c>
      <c r="B1911" s="7">
        <v>2.2883</v>
      </c>
      <c r="C1911" s="7">
        <v>2.5874</v>
      </c>
    </row>
    <row r="1912" spans="1:3">
      <c r="A1912" s="6">
        <v>42445</v>
      </c>
      <c r="B1912" s="7">
        <v>2.2918</v>
      </c>
      <c r="C1912" s="7">
        <v>2.5544</v>
      </c>
    </row>
    <row r="1913" spans="1:3">
      <c r="A1913" s="6">
        <v>42446</v>
      </c>
      <c r="B1913" s="7">
        <v>2.2762</v>
      </c>
      <c r="C1913" s="7">
        <v>2.5594</v>
      </c>
    </row>
    <row r="1914" spans="1:3">
      <c r="A1914" s="6">
        <v>42447</v>
      </c>
      <c r="B1914" s="7">
        <v>2.279</v>
      </c>
      <c r="C1914" s="7">
        <v>2.5707</v>
      </c>
    </row>
    <row r="1915" spans="1:3">
      <c r="A1915" s="6">
        <v>42450</v>
      </c>
      <c r="B1915" s="7">
        <v>2.2854</v>
      </c>
      <c r="C1915" s="7">
        <v>2.5781</v>
      </c>
    </row>
    <row r="1916" spans="1:3">
      <c r="A1916" s="6">
        <v>42451</v>
      </c>
      <c r="B1916" s="7">
        <v>2.2907</v>
      </c>
      <c r="C1916" s="7">
        <v>2.5881</v>
      </c>
    </row>
    <row r="1917" spans="1:3">
      <c r="A1917" s="6">
        <v>42452</v>
      </c>
      <c r="B1917" s="7">
        <v>2.2888</v>
      </c>
      <c r="C1917" s="7">
        <v>2.5813</v>
      </c>
    </row>
    <row r="1918" spans="1:3">
      <c r="A1918" s="6">
        <v>42453</v>
      </c>
      <c r="B1918" s="7">
        <v>2.2931</v>
      </c>
      <c r="C1918" s="7">
        <v>2.584</v>
      </c>
    </row>
    <row r="1919" spans="1:3">
      <c r="A1919" s="6">
        <v>42454</v>
      </c>
      <c r="B1919" s="7">
        <v>2.2978</v>
      </c>
      <c r="C1919" s="7">
        <v>2.5922</v>
      </c>
    </row>
    <row r="1920" spans="1:3">
      <c r="A1920" s="6">
        <v>42457</v>
      </c>
      <c r="B1920" s="7">
        <v>2.3136</v>
      </c>
      <c r="C1920" s="7">
        <v>2.6113</v>
      </c>
    </row>
    <row r="1921" spans="1:3">
      <c r="A1921" s="6">
        <v>42458</v>
      </c>
      <c r="B1921" s="7">
        <v>2.3159</v>
      </c>
      <c r="C1921" s="7">
        <v>2.6169</v>
      </c>
    </row>
    <row r="1922" spans="1:3">
      <c r="A1922" s="6">
        <v>42459</v>
      </c>
      <c r="B1922" s="7">
        <v>2.3117</v>
      </c>
      <c r="C1922" s="7">
        <v>2.6087</v>
      </c>
    </row>
    <row r="1923" spans="1:3">
      <c r="A1923" s="6">
        <v>42460</v>
      </c>
      <c r="B1923" s="7">
        <v>2.3098</v>
      </c>
      <c r="C1923" s="7">
        <v>2.6083</v>
      </c>
    </row>
    <row r="1924" spans="1:3">
      <c r="A1924" s="6">
        <v>42461</v>
      </c>
      <c r="B1924" s="7">
        <v>2.3092</v>
      </c>
      <c r="C1924" s="7">
        <v>2.6134</v>
      </c>
    </row>
    <row r="1925" spans="1:3">
      <c r="A1925" s="6">
        <v>42465</v>
      </c>
      <c r="B1925" s="7">
        <v>2.3197</v>
      </c>
      <c r="C1925" s="7">
        <v>2.6289</v>
      </c>
    </row>
    <row r="1926" spans="1:3">
      <c r="A1926" s="6">
        <v>42466</v>
      </c>
      <c r="B1926" s="7">
        <v>2.3244</v>
      </c>
      <c r="C1926" s="7">
        <v>2.6394</v>
      </c>
    </row>
    <row r="1927" spans="1:3">
      <c r="A1927" s="6">
        <v>42467</v>
      </c>
      <c r="B1927" s="7">
        <v>2.3431</v>
      </c>
      <c r="C1927" s="7">
        <v>2.6605</v>
      </c>
    </row>
    <row r="1928" spans="1:3">
      <c r="A1928" s="6">
        <v>42468</v>
      </c>
      <c r="B1928" s="7">
        <v>2.365</v>
      </c>
      <c r="C1928" s="7">
        <v>2.6674</v>
      </c>
    </row>
    <row r="1929" spans="1:3">
      <c r="A1929" s="6">
        <v>42471</v>
      </c>
      <c r="B1929" s="7">
        <v>2.35</v>
      </c>
      <c r="C1929" s="7">
        <v>2.6673</v>
      </c>
    </row>
    <row r="1930" spans="1:3">
      <c r="A1930" s="6">
        <v>42472</v>
      </c>
      <c r="B1930" s="7">
        <v>2.3608</v>
      </c>
      <c r="C1930" s="7">
        <v>2.6754</v>
      </c>
    </row>
    <row r="1931" spans="1:3">
      <c r="A1931" s="6">
        <v>42473</v>
      </c>
      <c r="B1931" s="7">
        <v>2.3985</v>
      </c>
      <c r="C1931" s="7">
        <v>2.742</v>
      </c>
    </row>
    <row r="1932" spans="1:3">
      <c r="A1932" s="6">
        <v>42474</v>
      </c>
      <c r="B1932" s="7">
        <v>2.4144</v>
      </c>
      <c r="C1932" s="7">
        <v>2.7745</v>
      </c>
    </row>
    <row r="1933" spans="1:3">
      <c r="A1933" s="6">
        <v>42475</v>
      </c>
      <c r="B1933" s="7">
        <v>2.4159</v>
      </c>
      <c r="C1933" s="7">
        <v>2.7727</v>
      </c>
    </row>
    <row r="1934" spans="1:3">
      <c r="A1934" s="6">
        <v>42478</v>
      </c>
      <c r="B1934" s="7">
        <v>2.405</v>
      </c>
      <c r="C1934" s="7">
        <v>2.7596</v>
      </c>
    </row>
    <row r="1935" spans="1:3">
      <c r="A1935" s="6">
        <v>42479</v>
      </c>
      <c r="B1935" s="7">
        <v>2.4193</v>
      </c>
      <c r="C1935" s="7">
        <v>2.782</v>
      </c>
    </row>
    <row r="1936" spans="1:3">
      <c r="A1936" s="6">
        <v>42480</v>
      </c>
      <c r="B1936" s="7">
        <v>2.4786</v>
      </c>
      <c r="C1936" s="7">
        <v>2.8613</v>
      </c>
    </row>
    <row r="1937" spans="1:3">
      <c r="A1937" s="6">
        <v>42481</v>
      </c>
      <c r="B1937" s="7">
        <v>2.5124</v>
      </c>
      <c r="C1937" s="7">
        <v>2.9117</v>
      </c>
    </row>
    <row r="1938" spans="1:3">
      <c r="A1938" s="6">
        <v>42482</v>
      </c>
      <c r="B1938" s="7">
        <v>2.5112</v>
      </c>
      <c r="C1938" s="7">
        <v>2.8983</v>
      </c>
    </row>
    <row r="1939" spans="1:3">
      <c r="A1939" s="6">
        <v>42485</v>
      </c>
      <c r="B1939" s="7">
        <v>2.6231</v>
      </c>
      <c r="C1939" s="7">
        <v>2.9956</v>
      </c>
    </row>
    <row r="1940" spans="1:3">
      <c r="A1940" s="6">
        <v>42486</v>
      </c>
      <c r="B1940" s="7">
        <v>2.6219</v>
      </c>
      <c r="C1940" s="7">
        <v>2.975</v>
      </c>
    </row>
    <row r="1941" spans="1:3">
      <c r="A1941" s="6">
        <v>42487</v>
      </c>
      <c r="B1941" s="7">
        <v>2.5955</v>
      </c>
      <c r="C1941" s="7">
        <v>2.932</v>
      </c>
    </row>
    <row r="1942" spans="1:3">
      <c r="A1942" s="6">
        <v>42488</v>
      </c>
      <c r="B1942" s="7">
        <v>2.6466</v>
      </c>
      <c r="C1942" s="7">
        <v>2.9422</v>
      </c>
    </row>
    <row r="1943" spans="1:3">
      <c r="A1943" s="6">
        <v>42489</v>
      </c>
      <c r="B1943" s="7">
        <v>2.6833</v>
      </c>
      <c r="C1943" s="7">
        <v>2.9863</v>
      </c>
    </row>
    <row r="1944" spans="1:3">
      <c r="A1944" s="6">
        <v>42493</v>
      </c>
      <c r="B1944" s="7">
        <v>2.547</v>
      </c>
      <c r="C1944" s="7">
        <v>2.8891</v>
      </c>
    </row>
    <row r="1945" spans="1:3">
      <c r="A1945" s="6">
        <v>42494</v>
      </c>
      <c r="B1945" s="7">
        <v>2.5099</v>
      </c>
      <c r="C1945" s="7">
        <v>2.8628</v>
      </c>
    </row>
    <row r="1946" spans="1:3">
      <c r="A1946" s="6">
        <v>42495</v>
      </c>
      <c r="B1946" s="7">
        <v>2.5135</v>
      </c>
      <c r="C1946" s="7">
        <v>2.8609</v>
      </c>
    </row>
    <row r="1947" spans="1:3">
      <c r="A1947" s="6">
        <v>42496</v>
      </c>
      <c r="B1947" s="7">
        <v>2.5223</v>
      </c>
      <c r="C1947" s="7">
        <v>2.8679</v>
      </c>
    </row>
    <row r="1948" spans="1:3">
      <c r="A1948" s="6">
        <v>42499</v>
      </c>
      <c r="B1948" s="7">
        <v>2.4911</v>
      </c>
      <c r="C1948" s="7">
        <v>2.8211</v>
      </c>
    </row>
    <row r="1949" spans="1:3">
      <c r="A1949" s="6">
        <v>42500</v>
      </c>
      <c r="B1949" s="7">
        <v>2.4937</v>
      </c>
      <c r="C1949" s="7">
        <v>2.7939</v>
      </c>
    </row>
    <row r="1950" spans="1:3">
      <c r="A1950" s="6">
        <v>42501</v>
      </c>
      <c r="B1950" s="7">
        <v>2.5214</v>
      </c>
      <c r="C1950" s="7">
        <v>2.8134</v>
      </c>
    </row>
    <row r="1951" spans="1:3">
      <c r="A1951" s="6">
        <v>42502</v>
      </c>
      <c r="B1951" s="7">
        <v>2.5171</v>
      </c>
      <c r="C1951" s="7">
        <v>2.8095</v>
      </c>
    </row>
    <row r="1952" spans="1:3">
      <c r="A1952" s="6">
        <v>42503</v>
      </c>
      <c r="B1952" s="7">
        <v>2.5363</v>
      </c>
      <c r="C1952" s="7">
        <v>2.8199</v>
      </c>
    </row>
    <row r="1953" spans="1:3">
      <c r="A1953" s="6">
        <v>42506</v>
      </c>
      <c r="B1953" s="7">
        <v>2.5654</v>
      </c>
      <c r="C1953" s="7">
        <v>2.8528</v>
      </c>
    </row>
    <row r="1954" spans="1:3">
      <c r="A1954" s="6">
        <v>42507</v>
      </c>
      <c r="B1954" s="7">
        <v>2.5694</v>
      </c>
      <c r="C1954" s="7">
        <v>2.8815</v>
      </c>
    </row>
    <row r="1955" spans="1:3">
      <c r="A1955" s="6">
        <v>42508</v>
      </c>
      <c r="B1955" s="7">
        <v>2.5936</v>
      </c>
      <c r="C1955" s="7">
        <v>2.9317</v>
      </c>
    </row>
    <row r="1956" spans="1:3">
      <c r="A1956" s="6">
        <v>42509</v>
      </c>
      <c r="B1956" s="7">
        <v>2.6048</v>
      </c>
      <c r="C1956" s="7">
        <v>2.9401</v>
      </c>
    </row>
    <row r="1957" spans="1:3">
      <c r="A1957" s="6">
        <v>42510</v>
      </c>
      <c r="B1957" s="7">
        <v>2.5857</v>
      </c>
      <c r="C1957" s="7">
        <v>2.9338</v>
      </c>
    </row>
    <row r="1958" spans="1:3">
      <c r="A1958" s="6">
        <v>42513</v>
      </c>
      <c r="B1958" s="7">
        <v>2.5885</v>
      </c>
      <c r="C1958" s="7">
        <v>2.934</v>
      </c>
    </row>
    <row r="1959" spans="1:3">
      <c r="A1959" s="6">
        <v>42514</v>
      </c>
      <c r="B1959" s="7">
        <v>2.5725</v>
      </c>
      <c r="C1959" s="7">
        <v>2.9078</v>
      </c>
    </row>
    <row r="1960" spans="1:3">
      <c r="A1960" s="6">
        <v>42515</v>
      </c>
      <c r="B1960" s="7">
        <v>2.5684</v>
      </c>
      <c r="C1960" s="7">
        <v>2.8862</v>
      </c>
    </row>
    <row r="1961" spans="1:3">
      <c r="A1961" s="6">
        <v>42516</v>
      </c>
      <c r="B1961" s="7">
        <v>2.5946</v>
      </c>
      <c r="C1961" s="7">
        <v>2.9063</v>
      </c>
    </row>
    <row r="1962" spans="1:3">
      <c r="A1962" s="6">
        <v>42517</v>
      </c>
      <c r="B1962" s="7">
        <v>2.5924</v>
      </c>
      <c r="C1962" s="7">
        <v>2.923</v>
      </c>
    </row>
    <row r="1963" spans="1:3">
      <c r="A1963" s="6">
        <v>42520</v>
      </c>
      <c r="B1963" s="7">
        <v>2.5983</v>
      </c>
      <c r="C1963" s="7">
        <v>2.9288</v>
      </c>
    </row>
    <row r="1964" spans="1:3">
      <c r="A1964" s="6">
        <v>42521</v>
      </c>
      <c r="B1964" s="7">
        <v>2.5994</v>
      </c>
      <c r="C1964" s="7">
        <v>2.9368</v>
      </c>
    </row>
    <row r="1965" spans="1:3">
      <c r="A1965" s="6">
        <v>42522</v>
      </c>
      <c r="B1965" s="7">
        <v>2.5987</v>
      </c>
      <c r="C1965" s="7">
        <v>2.9363</v>
      </c>
    </row>
    <row r="1966" spans="1:3">
      <c r="A1966" s="6">
        <v>42523</v>
      </c>
      <c r="B1966" s="7">
        <v>2.6067</v>
      </c>
      <c r="C1966" s="7">
        <v>2.9471</v>
      </c>
    </row>
    <row r="1967" spans="1:3">
      <c r="A1967" s="6">
        <v>42524</v>
      </c>
      <c r="B1967" s="7">
        <v>2.6071</v>
      </c>
      <c r="C1967" s="7">
        <v>2.9505</v>
      </c>
    </row>
    <row r="1968" spans="1:3">
      <c r="A1968" s="6">
        <v>42527</v>
      </c>
      <c r="B1968" s="7">
        <v>2.5941</v>
      </c>
      <c r="C1968" s="7">
        <v>2.9213</v>
      </c>
    </row>
    <row r="1969" spans="1:3">
      <c r="A1969" s="6">
        <v>42528</v>
      </c>
      <c r="B1969" s="7">
        <v>2.586</v>
      </c>
      <c r="C1969" s="7">
        <v>2.9232</v>
      </c>
    </row>
    <row r="1970" spans="1:3">
      <c r="A1970" s="6">
        <v>42529</v>
      </c>
      <c r="B1970" s="7">
        <v>2.5913</v>
      </c>
      <c r="C1970" s="7">
        <v>2.9303</v>
      </c>
    </row>
    <row r="1971" spans="1:3">
      <c r="A1971" s="6">
        <v>42533</v>
      </c>
      <c r="B1971" s="7">
        <v>2.581</v>
      </c>
      <c r="C1971" s="7">
        <v>2.928</v>
      </c>
    </row>
    <row r="1972" spans="1:3">
      <c r="A1972" s="6">
        <v>42534</v>
      </c>
      <c r="B1972" s="7">
        <v>2.5791</v>
      </c>
      <c r="C1972" s="7">
        <v>2.9089</v>
      </c>
    </row>
    <row r="1973" spans="1:3">
      <c r="A1973" s="6">
        <v>42535</v>
      </c>
      <c r="B1973" s="7">
        <v>2.5449</v>
      </c>
      <c r="C1973" s="7">
        <v>2.8563</v>
      </c>
    </row>
    <row r="1974" spans="1:3">
      <c r="A1974" s="6">
        <v>42536</v>
      </c>
      <c r="B1974" s="7">
        <v>2.5278</v>
      </c>
      <c r="C1974" s="7">
        <v>2.8425</v>
      </c>
    </row>
    <row r="1975" spans="1:3">
      <c r="A1975" s="6">
        <v>42537</v>
      </c>
      <c r="B1975" s="7">
        <v>2.5265</v>
      </c>
      <c r="C1975" s="7">
        <v>2.823</v>
      </c>
    </row>
    <row r="1976" spans="1:3">
      <c r="A1976" s="6">
        <v>42538</v>
      </c>
      <c r="B1976" s="7">
        <v>2.5153</v>
      </c>
      <c r="C1976" s="7">
        <v>2.8254</v>
      </c>
    </row>
    <row r="1977" spans="1:3">
      <c r="A1977" s="6">
        <v>42541</v>
      </c>
      <c r="B1977" s="7">
        <v>2.5272</v>
      </c>
      <c r="C1977" s="7">
        <v>2.8394</v>
      </c>
    </row>
    <row r="1978" spans="1:3">
      <c r="A1978" s="6">
        <v>42542</v>
      </c>
      <c r="B1978" s="7">
        <v>2.5299</v>
      </c>
      <c r="C1978" s="7">
        <v>2.8506</v>
      </c>
    </row>
    <row r="1979" spans="1:3">
      <c r="A1979" s="6">
        <v>42543</v>
      </c>
      <c r="B1979" s="7">
        <v>2.5053</v>
      </c>
      <c r="C1979" s="7">
        <v>2.8111</v>
      </c>
    </row>
    <row r="1980" spans="1:3">
      <c r="A1980" s="6">
        <v>42544</v>
      </c>
      <c r="B1980" s="7">
        <v>2.5052</v>
      </c>
      <c r="C1980" s="7">
        <v>2.8106</v>
      </c>
    </row>
    <row r="1981" spans="1:3">
      <c r="A1981" s="6">
        <v>42545</v>
      </c>
      <c r="B1981" s="7">
        <v>2.4763</v>
      </c>
      <c r="C1981" s="7">
        <v>2.7473</v>
      </c>
    </row>
    <row r="1982" spans="1:3">
      <c r="A1982" s="6">
        <v>42548</v>
      </c>
      <c r="B1982" s="7">
        <v>2.4338</v>
      </c>
      <c r="C1982" s="7">
        <v>2.7061</v>
      </c>
    </row>
    <row r="1983" spans="1:3">
      <c r="A1983" s="6">
        <v>42549</v>
      </c>
      <c r="B1983" s="7">
        <v>2.442</v>
      </c>
      <c r="C1983" s="7">
        <v>2.7025</v>
      </c>
    </row>
    <row r="1984" spans="1:3">
      <c r="A1984" s="6">
        <v>42550</v>
      </c>
      <c r="B1984" s="7">
        <v>2.4508</v>
      </c>
      <c r="C1984" s="7">
        <v>2.7206</v>
      </c>
    </row>
    <row r="1985" spans="1:3">
      <c r="A1985" s="6">
        <v>42551</v>
      </c>
      <c r="B1985" s="7">
        <v>2.4403</v>
      </c>
      <c r="C1985" s="7">
        <v>2.709</v>
      </c>
    </row>
    <row r="1986" spans="1:3">
      <c r="A1986" s="6">
        <v>42552</v>
      </c>
      <c r="B1986" s="7">
        <v>2.4276</v>
      </c>
      <c r="C1986" s="7">
        <v>2.6861</v>
      </c>
    </row>
    <row r="1987" spans="1:3">
      <c r="A1987" s="6">
        <v>42555</v>
      </c>
      <c r="B1987" s="7">
        <v>2.4325</v>
      </c>
      <c r="C1987" s="7">
        <v>2.6942</v>
      </c>
    </row>
    <row r="1988" spans="1:3">
      <c r="A1988" s="6">
        <v>42556</v>
      </c>
      <c r="B1988" s="7">
        <v>2.4419</v>
      </c>
      <c r="C1988" s="7">
        <v>2.7285</v>
      </c>
    </row>
    <row r="1989" spans="1:3">
      <c r="A1989" s="6">
        <v>42557</v>
      </c>
      <c r="B1989" s="7">
        <v>2.4286</v>
      </c>
      <c r="C1989" s="7">
        <v>2.7041</v>
      </c>
    </row>
    <row r="1990" spans="1:3">
      <c r="A1990" s="6">
        <v>42558</v>
      </c>
      <c r="B1990" s="7">
        <v>2.4234</v>
      </c>
      <c r="C1990" s="7">
        <v>2.6954</v>
      </c>
    </row>
    <row r="1991" spans="1:3">
      <c r="A1991" s="6">
        <v>42559</v>
      </c>
      <c r="B1991" s="7">
        <v>2.4177</v>
      </c>
      <c r="C1991" s="7">
        <v>2.7088</v>
      </c>
    </row>
    <row r="1992" spans="1:3">
      <c r="A1992" s="6">
        <v>42562</v>
      </c>
      <c r="B1992" s="7">
        <v>2.4254</v>
      </c>
      <c r="C1992" s="7">
        <v>2.7078</v>
      </c>
    </row>
    <row r="1993" spans="1:3">
      <c r="A1993" s="6">
        <v>42563</v>
      </c>
      <c r="B1993" s="7">
        <v>2.4362</v>
      </c>
      <c r="C1993" s="7">
        <v>2.7325</v>
      </c>
    </row>
    <row r="1994" spans="1:3">
      <c r="A1994" s="6">
        <v>42564</v>
      </c>
      <c r="B1994" s="7">
        <v>2.4457</v>
      </c>
      <c r="C1994" s="7">
        <v>2.7495</v>
      </c>
    </row>
    <row r="1995" spans="1:3">
      <c r="A1995" s="6">
        <v>42565</v>
      </c>
      <c r="B1995" s="7">
        <v>2.4462</v>
      </c>
      <c r="C1995" s="7">
        <v>2.7481</v>
      </c>
    </row>
    <row r="1996" spans="1:3">
      <c r="A1996" s="6">
        <v>42566</v>
      </c>
      <c r="B1996" s="7">
        <v>2.4447</v>
      </c>
      <c r="C1996" s="7">
        <v>2.745</v>
      </c>
    </row>
    <row r="1997" spans="1:3">
      <c r="A1997" s="6">
        <v>42569</v>
      </c>
      <c r="B1997" s="7">
        <v>2.4342</v>
      </c>
      <c r="C1997" s="7">
        <v>2.7361</v>
      </c>
    </row>
    <row r="1998" spans="1:3">
      <c r="A1998" s="6">
        <v>42570</v>
      </c>
      <c r="B1998" s="7">
        <v>2.4293</v>
      </c>
      <c r="C1998" s="7">
        <v>2.7228</v>
      </c>
    </row>
    <row r="1999" spans="1:3">
      <c r="A1999" s="6">
        <v>42571</v>
      </c>
      <c r="B1999" s="7">
        <v>2.422</v>
      </c>
      <c r="C1999" s="7">
        <v>2.6999</v>
      </c>
    </row>
    <row r="2000" spans="1:3">
      <c r="A2000" s="6">
        <v>42572</v>
      </c>
      <c r="B2000" s="7">
        <v>2.4198</v>
      </c>
      <c r="C2000" s="7">
        <v>2.6812</v>
      </c>
    </row>
    <row r="2001" spans="1:3">
      <c r="A2001" s="6">
        <v>42573</v>
      </c>
      <c r="B2001" s="7">
        <v>2.4278</v>
      </c>
      <c r="C2001" s="7">
        <v>2.7003</v>
      </c>
    </row>
    <row r="2002" spans="1:3">
      <c r="A2002" s="6">
        <v>42576</v>
      </c>
      <c r="B2002" s="7">
        <v>2.4407</v>
      </c>
      <c r="C2002" s="7">
        <v>2.7208</v>
      </c>
    </row>
    <row r="2003" spans="1:3">
      <c r="A2003" s="6">
        <v>42577</v>
      </c>
      <c r="B2003" s="7">
        <v>2.4427</v>
      </c>
      <c r="C2003" s="7">
        <v>2.72</v>
      </c>
    </row>
    <row r="2004" spans="1:3">
      <c r="A2004" s="6">
        <v>42578</v>
      </c>
      <c r="B2004" s="7">
        <v>2.4462</v>
      </c>
      <c r="C2004" s="7">
        <v>2.7211</v>
      </c>
    </row>
    <row r="2005" spans="1:3">
      <c r="A2005" s="6">
        <v>42579</v>
      </c>
      <c r="B2005" s="7">
        <v>2.4436</v>
      </c>
      <c r="C2005" s="7">
        <v>2.7135</v>
      </c>
    </row>
    <row r="2006" spans="1:3">
      <c r="A2006" s="6">
        <v>42580</v>
      </c>
      <c r="B2006" s="7">
        <v>2.441</v>
      </c>
      <c r="C2006" s="7">
        <v>2.7029</v>
      </c>
    </row>
    <row r="2007" spans="1:3">
      <c r="A2007" s="6">
        <v>42583</v>
      </c>
      <c r="B2007" s="7">
        <v>2.438</v>
      </c>
      <c r="C2007" s="7">
        <v>2.6968</v>
      </c>
    </row>
    <row r="2008" spans="1:3">
      <c r="A2008" s="6">
        <v>42584</v>
      </c>
      <c r="B2008" s="7">
        <v>2.4373</v>
      </c>
      <c r="C2008" s="7">
        <v>2.7142</v>
      </c>
    </row>
    <row r="2009" spans="1:3">
      <c r="A2009" s="6">
        <v>42585</v>
      </c>
      <c r="B2009" s="7">
        <v>2.4344</v>
      </c>
      <c r="C2009" s="7">
        <v>2.7037</v>
      </c>
    </row>
    <row r="2010" spans="1:3">
      <c r="A2010" s="6">
        <v>42586</v>
      </c>
      <c r="B2010" s="7">
        <v>2.4299</v>
      </c>
      <c r="C2010" s="7">
        <v>2.701</v>
      </c>
    </row>
    <row r="2011" spans="1:3">
      <c r="A2011" s="6">
        <v>42587</v>
      </c>
      <c r="B2011" s="7">
        <v>2.4236</v>
      </c>
      <c r="C2011" s="7">
        <v>2.6869</v>
      </c>
    </row>
    <row r="2012" spans="1:3">
      <c r="A2012" s="6">
        <v>42590</v>
      </c>
      <c r="B2012" s="7">
        <v>2.43</v>
      </c>
      <c r="C2012" s="7">
        <v>2.6911</v>
      </c>
    </row>
    <row r="2013" spans="1:3">
      <c r="A2013" s="6">
        <v>42591</v>
      </c>
      <c r="B2013" s="7">
        <v>2.4269</v>
      </c>
      <c r="C2013" s="7">
        <v>2.6894</v>
      </c>
    </row>
    <row r="2014" spans="1:3">
      <c r="A2014" s="6">
        <v>42592</v>
      </c>
      <c r="B2014" s="7">
        <v>2.428</v>
      </c>
      <c r="C2014" s="7">
        <v>2.6792</v>
      </c>
    </row>
    <row r="2015" spans="1:3">
      <c r="A2015" s="6">
        <v>42593</v>
      </c>
      <c r="B2015" s="7">
        <v>2.4325</v>
      </c>
      <c r="C2015" s="7">
        <v>2.6843</v>
      </c>
    </row>
    <row r="2016" spans="1:3">
      <c r="A2016" s="6">
        <v>42594</v>
      </c>
      <c r="B2016" s="7">
        <v>2.43</v>
      </c>
      <c r="C2016" s="7">
        <v>2.6754</v>
      </c>
    </row>
    <row r="2017" spans="1:3">
      <c r="A2017" s="6">
        <v>42597</v>
      </c>
      <c r="B2017" s="7">
        <v>2.4175</v>
      </c>
      <c r="C2017" s="7">
        <v>2.6375</v>
      </c>
    </row>
    <row r="2018" spans="1:3">
      <c r="A2018" s="6">
        <v>42598</v>
      </c>
      <c r="B2018" s="7">
        <v>2.4209</v>
      </c>
      <c r="C2018" s="7">
        <v>2.6398</v>
      </c>
    </row>
    <row r="2019" spans="1:3">
      <c r="A2019" s="6">
        <v>42599</v>
      </c>
      <c r="B2019" s="7">
        <v>2.47</v>
      </c>
      <c r="C2019" s="7">
        <v>2.6531</v>
      </c>
    </row>
    <row r="2020" spans="1:3">
      <c r="A2020" s="6">
        <v>42600</v>
      </c>
      <c r="B2020" s="7">
        <v>2.4278</v>
      </c>
      <c r="C2020" s="7">
        <v>2.6527</v>
      </c>
    </row>
    <row r="2021" spans="1:3">
      <c r="A2021" s="6">
        <v>42601</v>
      </c>
      <c r="B2021" s="7">
        <v>2.4416</v>
      </c>
      <c r="C2021" s="7">
        <v>2.6706</v>
      </c>
    </row>
    <row r="2022" spans="1:3">
      <c r="A2022" s="6">
        <v>42604</v>
      </c>
      <c r="B2022" s="7">
        <v>2.4445</v>
      </c>
      <c r="C2022" s="7">
        <v>2.6742</v>
      </c>
    </row>
    <row r="2023" spans="1:3">
      <c r="A2023" s="6">
        <v>42605</v>
      </c>
      <c r="B2023" s="7">
        <v>2.4684</v>
      </c>
      <c r="C2023" s="7">
        <v>2.7092</v>
      </c>
    </row>
    <row r="2024" spans="1:3">
      <c r="A2024" s="6">
        <v>42606</v>
      </c>
      <c r="B2024" s="7">
        <v>2.5152</v>
      </c>
      <c r="C2024" s="7">
        <v>2.7515</v>
      </c>
    </row>
    <row r="2025" spans="1:3">
      <c r="A2025" s="6">
        <v>42607</v>
      </c>
      <c r="B2025" s="7">
        <v>2.5261</v>
      </c>
      <c r="C2025" s="7">
        <v>2.7532</v>
      </c>
    </row>
    <row r="2026" spans="1:3">
      <c r="A2026" s="6">
        <v>42608</v>
      </c>
      <c r="B2026" s="7">
        <v>2.5243</v>
      </c>
      <c r="C2026" s="7">
        <v>2.7482</v>
      </c>
    </row>
    <row r="2027" spans="1:3">
      <c r="A2027" s="6">
        <v>42611</v>
      </c>
      <c r="B2027" s="7">
        <v>2.5256</v>
      </c>
      <c r="C2027" s="7">
        <v>2.7572</v>
      </c>
    </row>
    <row r="2028" spans="1:3">
      <c r="A2028" s="6">
        <v>42612</v>
      </c>
      <c r="B2028" s="7">
        <v>2.5307</v>
      </c>
      <c r="C2028" s="7">
        <v>2.7691</v>
      </c>
    </row>
    <row r="2029" spans="1:3">
      <c r="A2029" s="6">
        <v>42613</v>
      </c>
      <c r="B2029" s="7">
        <v>2.5224</v>
      </c>
      <c r="C2029" s="7">
        <v>2.7695</v>
      </c>
    </row>
    <row r="2030" spans="1:3">
      <c r="A2030" s="6">
        <v>42614</v>
      </c>
      <c r="B2030" s="7">
        <v>2.5076</v>
      </c>
      <c r="C2030" s="7">
        <v>2.7627</v>
      </c>
    </row>
    <row r="2031" spans="1:3">
      <c r="A2031" s="6">
        <v>42615</v>
      </c>
      <c r="B2031" s="7">
        <v>2.493</v>
      </c>
      <c r="C2031" s="7">
        <v>2.7516</v>
      </c>
    </row>
    <row r="2032" spans="1:3">
      <c r="A2032" s="6">
        <v>42618</v>
      </c>
      <c r="B2032" s="7">
        <v>2.5016</v>
      </c>
      <c r="C2032" s="7">
        <v>2.7606</v>
      </c>
    </row>
    <row r="2033" spans="1:3">
      <c r="A2033" s="6">
        <v>42619</v>
      </c>
      <c r="B2033" s="7">
        <v>2.5035</v>
      </c>
      <c r="C2033" s="7">
        <v>2.7634</v>
      </c>
    </row>
    <row r="2034" spans="1:3">
      <c r="A2034" s="6">
        <v>42620</v>
      </c>
      <c r="B2034" s="7">
        <v>2.5078</v>
      </c>
      <c r="C2034" s="7">
        <v>2.7685</v>
      </c>
    </row>
    <row r="2035" spans="1:3">
      <c r="A2035" s="6">
        <v>42621</v>
      </c>
      <c r="B2035" s="7">
        <v>2.5077</v>
      </c>
      <c r="C2035" s="7">
        <v>2.7699</v>
      </c>
    </row>
    <row r="2036" spans="1:3">
      <c r="A2036" s="6">
        <v>42622</v>
      </c>
      <c r="B2036" s="7">
        <v>2.4967</v>
      </c>
      <c r="C2036" s="7">
        <v>2.7587</v>
      </c>
    </row>
    <row r="2037" spans="1:3">
      <c r="A2037" s="6">
        <v>42625</v>
      </c>
      <c r="B2037" s="7">
        <v>2.5102</v>
      </c>
      <c r="C2037" s="7">
        <v>2.7812</v>
      </c>
    </row>
    <row r="2038" spans="1:3">
      <c r="A2038" s="6">
        <v>42626</v>
      </c>
      <c r="B2038" s="7">
        <v>2.5059</v>
      </c>
      <c r="C2038" s="7">
        <v>2.7735</v>
      </c>
    </row>
    <row r="2039" spans="1:3">
      <c r="A2039" s="6">
        <v>42627</v>
      </c>
      <c r="B2039" s="7">
        <v>2.512</v>
      </c>
      <c r="C2039" s="7">
        <v>2.7727</v>
      </c>
    </row>
    <row r="2040" spans="1:3">
      <c r="A2040" s="6">
        <v>42631</v>
      </c>
      <c r="B2040" s="7">
        <v>2.5183</v>
      </c>
      <c r="C2040" s="7"/>
    </row>
    <row r="2041" spans="1:3">
      <c r="A2041" s="6">
        <v>42632</v>
      </c>
      <c r="B2041" s="7">
        <v>2.5223</v>
      </c>
      <c r="C2041" s="7">
        <v>2.7773</v>
      </c>
    </row>
    <row r="2042" spans="1:3">
      <c r="A2042" s="6">
        <v>42633</v>
      </c>
      <c r="B2042" s="7">
        <v>2.5235</v>
      </c>
      <c r="C2042" s="7">
        <v>2.7704</v>
      </c>
    </row>
    <row r="2043" spans="1:3">
      <c r="A2043" s="6">
        <v>42634</v>
      </c>
      <c r="B2043" s="7">
        <v>2.5516</v>
      </c>
      <c r="C2043" s="7">
        <v>2.7904</v>
      </c>
    </row>
    <row r="2044" spans="1:3">
      <c r="A2044" s="6">
        <v>42635</v>
      </c>
      <c r="B2044" s="7">
        <v>2.5376</v>
      </c>
      <c r="C2044" s="7">
        <v>2.7778</v>
      </c>
    </row>
    <row r="2045" spans="1:3">
      <c r="A2045" s="6">
        <v>42636</v>
      </c>
      <c r="B2045" s="7">
        <v>2.5255</v>
      </c>
      <c r="C2045" s="7">
        <v>2.7648</v>
      </c>
    </row>
    <row r="2046" spans="1:3">
      <c r="A2046" s="6">
        <v>42639</v>
      </c>
      <c r="B2046" s="7">
        <v>2.5266</v>
      </c>
      <c r="C2046" s="7">
        <v>2.7615</v>
      </c>
    </row>
    <row r="2047" spans="1:3">
      <c r="A2047" s="6">
        <v>42640</v>
      </c>
      <c r="B2047" s="7">
        <v>2.5308</v>
      </c>
      <c r="C2047" s="7">
        <v>2.7653</v>
      </c>
    </row>
    <row r="2048" spans="1:3">
      <c r="A2048" s="6">
        <v>42641</v>
      </c>
      <c r="B2048" s="7">
        <v>2.5409</v>
      </c>
      <c r="C2048" s="7">
        <v>2.773</v>
      </c>
    </row>
    <row r="2049" spans="1:3">
      <c r="A2049" s="6">
        <v>42642</v>
      </c>
      <c r="B2049" s="7">
        <v>2.5556</v>
      </c>
      <c r="C2049" s="7">
        <v>2.7813</v>
      </c>
    </row>
    <row r="2050" spans="1:3">
      <c r="A2050" s="6">
        <v>42643</v>
      </c>
      <c r="B2050" s="7">
        <v>2.5575</v>
      </c>
      <c r="C2050" s="7">
        <v>2.7754</v>
      </c>
    </row>
    <row r="2051" spans="1:3">
      <c r="A2051" s="6">
        <v>42651</v>
      </c>
      <c r="B2051" s="7"/>
      <c r="C2051" s="7">
        <v>2.7781</v>
      </c>
    </row>
    <row r="2052" spans="1:3">
      <c r="A2052" s="6">
        <v>42652</v>
      </c>
      <c r="B2052" s="7"/>
      <c r="C2052" s="7">
        <v>2.77</v>
      </c>
    </row>
    <row r="2053" spans="1:3">
      <c r="A2053" s="6">
        <v>42653</v>
      </c>
      <c r="B2053" s="7">
        <v>2.5353</v>
      </c>
      <c r="C2053" s="7">
        <v>2.7637</v>
      </c>
    </row>
    <row r="2054" spans="1:3">
      <c r="A2054" s="6">
        <v>42654</v>
      </c>
      <c r="B2054" s="7">
        <v>2.5455</v>
      </c>
      <c r="C2054" s="7">
        <v>2.7781</v>
      </c>
    </row>
    <row r="2055" spans="1:3">
      <c r="A2055" s="6">
        <v>42655</v>
      </c>
      <c r="B2055" s="7">
        <v>2.5541</v>
      </c>
      <c r="C2055" s="7">
        <v>2.7942</v>
      </c>
    </row>
    <row r="2056" spans="1:3">
      <c r="A2056" s="6">
        <v>42656</v>
      </c>
      <c r="B2056" s="7">
        <v>2.5529</v>
      </c>
      <c r="C2056" s="7">
        <v>2.7897</v>
      </c>
    </row>
    <row r="2057" spans="1:3">
      <c r="A2057" s="6">
        <v>42657</v>
      </c>
      <c r="B2057" s="7">
        <v>2.5484</v>
      </c>
      <c r="C2057" s="7">
        <v>2.7869</v>
      </c>
    </row>
    <row r="2058" spans="1:3">
      <c r="A2058" s="6">
        <v>42660</v>
      </c>
      <c r="B2058" s="7">
        <v>2.5572</v>
      </c>
      <c r="C2058" s="7">
        <v>2.7906</v>
      </c>
    </row>
    <row r="2059" spans="1:3">
      <c r="A2059" s="6">
        <v>42661</v>
      </c>
      <c r="B2059" s="7">
        <v>2.57</v>
      </c>
      <c r="C2059" s="7">
        <v>2.7981</v>
      </c>
    </row>
    <row r="2060" spans="1:3">
      <c r="A2060" s="6">
        <v>42662</v>
      </c>
      <c r="B2060" s="7">
        <v>2.5787</v>
      </c>
      <c r="C2060" s="7">
        <v>2.8016</v>
      </c>
    </row>
    <row r="2061" spans="1:3">
      <c r="A2061" s="6">
        <v>42663</v>
      </c>
      <c r="B2061" s="7">
        <v>2.5761</v>
      </c>
      <c r="C2061" s="7">
        <v>2.7953</v>
      </c>
    </row>
    <row r="2062" spans="1:3">
      <c r="A2062" s="6">
        <v>42664</v>
      </c>
      <c r="B2062" s="7">
        <v>2.5996</v>
      </c>
      <c r="C2062" s="7">
        <v>2.7804</v>
      </c>
    </row>
    <row r="2063" spans="1:3">
      <c r="A2063" s="6">
        <v>42667</v>
      </c>
      <c r="B2063" s="7">
        <v>2.6444</v>
      </c>
      <c r="C2063" s="7">
        <v>2.832</v>
      </c>
    </row>
    <row r="2064" spans="1:3">
      <c r="A2064" s="6">
        <v>42668</v>
      </c>
      <c r="B2064" s="7">
        <v>2.6554</v>
      </c>
      <c r="C2064" s="7">
        <v>2.8691</v>
      </c>
    </row>
    <row r="2065" spans="1:3">
      <c r="A2065" s="6">
        <v>42669</v>
      </c>
      <c r="B2065" s="7">
        <v>2.6865</v>
      </c>
      <c r="C2065" s="7">
        <v>2.9033</v>
      </c>
    </row>
    <row r="2066" spans="1:3">
      <c r="A2066" s="6">
        <v>42670</v>
      </c>
      <c r="B2066" s="7">
        <v>2.709</v>
      </c>
      <c r="C2066" s="7">
        <v>2.9106</v>
      </c>
    </row>
    <row r="2067" spans="1:3">
      <c r="A2067" s="6">
        <v>42671</v>
      </c>
      <c r="B2067" s="7">
        <v>2.709</v>
      </c>
      <c r="C2067" s="7">
        <v>2.9082</v>
      </c>
    </row>
    <row r="2068" spans="1:3">
      <c r="A2068" s="6">
        <v>42674</v>
      </c>
      <c r="B2068" s="7">
        <v>2.7458</v>
      </c>
      <c r="C2068" s="7">
        <v>2.9403</v>
      </c>
    </row>
    <row r="2069" spans="1:3">
      <c r="A2069" s="6">
        <v>42675</v>
      </c>
      <c r="B2069" s="7">
        <v>2.7501</v>
      </c>
      <c r="C2069" s="7">
        <v>2.9426</v>
      </c>
    </row>
    <row r="2070" spans="1:3">
      <c r="A2070" s="6">
        <v>42676</v>
      </c>
      <c r="B2070" s="7">
        <v>2.7143</v>
      </c>
      <c r="C2070" s="7">
        <v>2.9218</v>
      </c>
    </row>
    <row r="2071" spans="1:3">
      <c r="A2071" s="6">
        <v>42677</v>
      </c>
      <c r="B2071" s="7">
        <v>2.692</v>
      </c>
      <c r="C2071" s="7">
        <v>2.9064</v>
      </c>
    </row>
    <row r="2072" spans="1:3">
      <c r="A2072" s="6">
        <v>42678</v>
      </c>
      <c r="B2072" s="7">
        <v>2.7186</v>
      </c>
      <c r="C2072" s="7">
        <v>2.9172</v>
      </c>
    </row>
    <row r="2073" spans="1:3">
      <c r="A2073" s="6">
        <v>42681</v>
      </c>
      <c r="B2073" s="7">
        <v>2.7117</v>
      </c>
      <c r="C2073" s="7">
        <v>2.9359</v>
      </c>
    </row>
    <row r="2074" spans="1:3">
      <c r="A2074" s="6">
        <v>42682</v>
      </c>
      <c r="B2074" s="7">
        <v>2.7333</v>
      </c>
      <c r="C2074" s="7">
        <v>2.9689</v>
      </c>
    </row>
    <row r="2075" spans="1:3">
      <c r="A2075" s="6">
        <v>42683</v>
      </c>
      <c r="B2075" s="7">
        <v>2.7266</v>
      </c>
      <c r="C2075" s="7">
        <v>2.9647</v>
      </c>
    </row>
    <row r="2076" spans="1:3">
      <c r="A2076" s="6">
        <v>42684</v>
      </c>
      <c r="B2076" s="7">
        <v>2.7855</v>
      </c>
      <c r="C2076" s="7">
        <v>3.0333</v>
      </c>
    </row>
    <row r="2077" spans="1:3">
      <c r="A2077" s="6">
        <v>42685</v>
      </c>
      <c r="B2077" s="7">
        <v>2.8235</v>
      </c>
      <c r="C2077" s="7">
        <v>3.0905</v>
      </c>
    </row>
    <row r="2078" spans="1:3">
      <c r="A2078" s="6">
        <v>42688</v>
      </c>
      <c r="B2078" s="7">
        <v>2.8646</v>
      </c>
      <c r="C2078" s="7">
        <v>3.1405</v>
      </c>
    </row>
    <row r="2079" spans="1:3">
      <c r="A2079" s="6">
        <v>42689</v>
      </c>
      <c r="B2079" s="7">
        <v>2.9197</v>
      </c>
      <c r="C2079" s="7">
        <v>3.1833</v>
      </c>
    </row>
    <row r="2080" spans="1:3">
      <c r="A2080" s="6">
        <v>42690</v>
      </c>
      <c r="B2080" s="7">
        <v>2.9217</v>
      </c>
      <c r="C2080" s="7">
        <v>3.1897</v>
      </c>
    </row>
    <row r="2081" spans="1:3">
      <c r="A2081" s="6">
        <v>42691</v>
      </c>
      <c r="B2081" s="7">
        <v>3.0028</v>
      </c>
      <c r="C2081" s="7">
        <v>3.2722</v>
      </c>
    </row>
    <row r="2082" spans="1:3">
      <c r="A2082" s="6">
        <v>42692</v>
      </c>
      <c r="B2082" s="7">
        <v>2.9972</v>
      </c>
      <c r="C2082" s="7">
        <v>3.2631</v>
      </c>
    </row>
    <row r="2083" spans="1:3">
      <c r="A2083" s="6">
        <v>42695</v>
      </c>
      <c r="B2083" s="7">
        <v>2.9819</v>
      </c>
      <c r="C2083" s="7">
        <v>3.2585</v>
      </c>
    </row>
    <row r="2084" spans="1:3">
      <c r="A2084" s="6">
        <v>42696</v>
      </c>
      <c r="B2084" s="7">
        <v>2.9475</v>
      </c>
      <c r="C2084" s="7">
        <v>3.2066</v>
      </c>
    </row>
    <row r="2085" spans="1:3">
      <c r="A2085" s="6">
        <v>42697</v>
      </c>
      <c r="B2085" s="7">
        <v>2.9488</v>
      </c>
      <c r="C2085" s="7">
        <v>3.2072</v>
      </c>
    </row>
    <row r="2086" spans="1:3">
      <c r="A2086" s="6">
        <v>42698</v>
      </c>
      <c r="B2086" s="7">
        <v>2.9771</v>
      </c>
      <c r="C2086" s="7">
        <v>3.2275</v>
      </c>
    </row>
    <row r="2087" spans="1:3">
      <c r="A2087" s="6">
        <v>42699</v>
      </c>
      <c r="B2087" s="7">
        <v>3.0255</v>
      </c>
      <c r="C2087" s="7">
        <v>3.2619</v>
      </c>
    </row>
    <row r="2088" spans="1:3">
      <c r="A2088" s="6">
        <v>42702</v>
      </c>
      <c r="B2088" s="7">
        <v>3.0115</v>
      </c>
      <c r="C2088" s="7">
        <v>3.2574</v>
      </c>
    </row>
    <row r="2089" spans="1:3">
      <c r="A2089" s="6">
        <v>42703</v>
      </c>
      <c r="B2089" s="7">
        <v>3.1107</v>
      </c>
      <c r="C2089" s="7">
        <v>3.3576</v>
      </c>
    </row>
    <row r="2090" spans="1:3">
      <c r="A2090" s="6">
        <v>42704</v>
      </c>
      <c r="B2090" s="7">
        <v>3.2049</v>
      </c>
      <c r="C2090" s="7">
        <v>3.4585</v>
      </c>
    </row>
    <row r="2091" spans="1:3">
      <c r="A2091" s="6">
        <v>42705</v>
      </c>
      <c r="B2091" s="7">
        <v>3.26</v>
      </c>
      <c r="C2091" s="7">
        <v>3.5055</v>
      </c>
    </row>
    <row r="2092" spans="1:3">
      <c r="A2092" s="6">
        <v>42706</v>
      </c>
      <c r="B2092" s="7">
        <v>3.2635</v>
      </c>
      <c r="C2092" s="7">
        <v>3.5507</v>
      </c>
    </row>
    <row r="2093" spans="1:3">
      <c r="A2093" s="6">
        <v>42709</v>
      </c>
      <c r="B2093" s="7">
        <v>3.2432</v>
      </c>
      <c r="C2093" s="7">
        <v>3.545</v>
      </c>
    </row>
    <row r="2094" spans="1:3">
      <c r="A2094" s="6">
        <v>42710</v>
      </c>
      <c r="B2094" s="7">
        <v>3.2407</v>
      </c>
      <c r="C2094" s="7">
        <v>3.5862</v>
      </c>
    </row>
    <row r="2095" spans="1:3">
      <c r="A2095" s="6">
        <v>42711</v>
      </c>
      <c r="B2095" s="7">
        <v>3.2022</v>
      </c>
      <c r="C2095" s="7">
        <v>3.4711</v>
      </c>
    </row>
    <row r="2096" spans="1:3">
      <c r="A2096" s="6">
        <v>42712</v>
      </c>
      <c r="B2096" s="7">
        <v>3.1612</v>
      </c>
      <c r="C2096" s="7">
        <v>3.4605</v>
      </c>
    </row>
    <row r="2097" spans="1:3">
      <c r="A2097" s="6">
        <v>42713</v>
      </c>
      <c r="B2097" s="7">
        <v>3.175</v>
      </c>
      <c r="C2097" s="7">
        <v>3.4955</v>
      </c>
    </row>
    <row r="2098" spans="1:3">
      <c r="A2098" s="6">
        <v>42716</v>
      </c>
      <c r="B2098" s="7">
        <v>3.2586</v>
      </c>
      <c r="C2098" s="7">
        <v>3.5741</v>
      </c>
    </row>
    <row r="2099" spans="1:3">
      <c r="A2099" s="6">
        <v>42717</v>
      </c>
      <c r="B2099" s="7">
        <v>3.2954</v>
      </c>
      <c r="C2099" s="7">
        <v>3.6218</v>
      </c>
    </row>
    <row r="2100" spans="1:3">
      <c r="A2100" s="6">
        <v>42718</v>
      </c>
      <c r="B2100" s="7">
        <v>3.2998</v>
      </c>
      <c r="C2100" s="7">
        <v>3.6307</v>
      </c>
    </row>
    <row r="2101" spans="1:3">
      <c r="A2101" s="6">
        <v>42719</v>
      </c>
      <c r="B2101" s="7">
        <v>3.4682</v>
      </c>
      <c r="C2101" s="7">
        <v>3.8301</v>
      </c>
    </row>
    <row r="2102" spans="1:3">
      <c r="A2102" s="6">
        <v>42720</v>
      </c>
      <c r="B2102" s="7">
        <v>3.4422</v>
      </c>
      <c r="C2102" s="7">
        <v>3.856</v>
      </c>
    </row>
    <row r="2103" spans="1:3">
      <c r="A2103" s="6">
        <v>42723</v>
      </c>
      <c r="B2103" s="7">
        <v>3.4955</v>
      </c>
      <c r="C2103" s="7">
        <v>3.9105</v>
      </c>
    </row>
    <row r="2104" spans="1:3">
      <c r="A2104" s="6">
        <v>42724</v>
      </c>
      <c r="B2104" s="7">
        <v>3.5315</v>
      </c>
      <c r="C2104" s="7">
        <v>4.0157</v>
      </c>
    </row>
    <row r="2105" spans="1:3">
      <c r="A2105" s="6">
        <v>42725</v>
      </c>
      <c r="B2105" s="7">
        <v>3.4272</v>
      </c>
      <c r="C2105" s="7">
        <v>3.89</v>
      </c>
    </row>
    <row r="2106" spans="1:3">
      <c r="A2106" s="6">
        <v>42726</v>
      </c>
      <c r="B2106" s="7">
        <v>3.3422</v>
      </c>
      <c r="C2106" s="7">
        <v>3.7749</v>
      </c>
    </row>
    <row r="2107" spans="1:3">
      <c r="A2107" s="6">
        <v>42727</v>
      </c>
      <c r="B2107" s="7">
        <v>3.3397</v>
      </c>
      <c r="C2107" s="7">
        <v>3.7625</v>
      </c>
    </row>
    <row r="2108" spans="1:3">
      <c r="A2108" s="6">
        <v>42730</v>
      </c>
      <c r="B2108" s="7">
        <v>3.3667</v>
      </c>
      <c r="C2108" s="7">
        <v>3.8052</v>
      </c>
    </row>
    <row r="2109" spans="1:3">
      <c r="A2109" s="6">
        <v>42731</v>
      </c>
      <c r="B2109" s="7">
        <v>3.3907</v>
      </c>
      <c r="C2109" s="7">
        <v>3.8739</v>
      </c>
    </row>
    <row r="2110" spans="1:3">
      <c r="A2110" s="6">
        <v>42732</v>
      </c>
      <c r="B2110" s="7">
        <v>3.3985</v>
      </c>
      <c r="C2110" s="7">
        <v>3.8974</v>
      </c>
    </row>
    <row r="2111" spans="1:3">
      <c r="A2111" s="6">
        <v>42733</v>
      </c>
      <c r="B2111" s="7">
        <v>3.3482</v>
      </c>
      <c r="C2111" s="7">
        <v>3.8157</v>
      </c>
    </row>
    <row r="2112" spans="1:3">
      <c r="A2112" s="6">
        <v>42734</v>
      </c>
      <c r="B2112" s="7">
        <v>3.33</v>
      </c>
      <c r="C2112" s="7">
        <v>3.7888</v>
      </c>
    </row>
    <row r="2113" spans="1:3">
      <c r="A2113" s="6">
        <v>42738</v>
      </c>
      <c r="B2113" s="7">
        <v>3.381</v>
      </c>
      <c r="C2113" s="7">
        <v>3.8566</v>
      </c>
    </row>
    <row r="2114" spans="1:3">
      <c r="A2114" s="6">
        <v>42739</v>
      </c>
      <c r="B2114" s="7">
        <v>3.3772</v>
      </c>
      <c r="C2114" s="7">
        <v>3.8681</v>
      </c>
    </row>
    <row r="2115" spans="1:3">
      <c r="A2115" s="6">
        <v>42740</v>
      </c>
      <c r="B2115" s="7">
        <v>3.3934</v>
      </c>
      <c r="C2115" s="7">
        <v>3.8907</v>
      </c>
    </row>
    <row r="2116" spans="1:3">
      <c r="A2116" s="6">
        <v>42741</v>
      </c>
      <c r="B2116" s="7">
        <v>3.325</v>
      </c>
      <c r="C2116" s="7">
        <v>3.8222</v>
      </c>
    </row>
    <row r="2117" spans="1:3">
      <c r="A2117" s="6">
        <v>42744</v>
      </c>
      <c r="B2117" s="7">
        <v>3.2713</v>
      </c>
      <c r="C2117" s="7">
        <v>3.7594</v>
      </c>
    </row>
    <row r="2118" spans="1:3">
      <c r="A2118" s="6">
        <v>42745</v>
      </c>
      <c r="B2118" s="7">
        <v>3.1681</v>
      </c>
      <c r="C2118" s="7">
        <v>3.6436</v>
      </c>
    </row>
    <row r="2119" spans="1:3">
      <c r="A2119" s="6">
        <v>42746</v>
      </c>
      <c r="B2119" s="7">
        <v>3.1972</v>
      </c>
      <c r="C2119" s="7">
        <v>3.6633</v>
      </c>
    </row>
    <row r="2120" spans="1:3">
      <c r="A2120" s="6">
        <v>42747</v>
      </c>
      <c r="B2120" s="7">
        <v>3.1694</v>
      </c>
      <c r="C2120" s="7">
        <v>3.6382</v>
      </c>
    </row>
    <row r="2121" spans="1:3">
      <c r="A2121" s="6">
        <v>42748</v>
      </c>
      <c r="B2121" s="7">
        <v>3.142</v>
      </c>
      <c r="C2121" s="7">
        <v>3.5756</v>
      </c>
    </row>
    <row r="2122" spans="1:3">
      <c r="A2122" s="6">
        <v>42751</v>
      </c>
      <c r="B2122" s="7">
        <v>3.2086</v>
      </c>
      <c r="C2122" s="7">
        <v>3.6552</v>
      </c>
    </row>
    <row r="2123" spans="1:3">
      <c r="A2123" s="6">
        <v>42752</v>
      </c>
      <c r="B2123" s="7">
        <v>3.2471</v>
      </c>
      <c r="C2123" s="7">
        <v>3.7369</v>
      </c>
    </row>
    <row r="2124" spans="1:3">
      <c r="A2124" s="6">
        <v>42753</v>
      </c>
      <c r="B2124" s="7">
        <v>3.2168</v>
      </c>
      <c r="C2124" s="7">
        <v>3.6947</v>
      </c>
    </row>
    <row r="2125" spans="1:3">
      <c r="A2125" s="6">
        <v>42754</v>
      </c>
      <c r="B2125" s="7">
        <v>3.2047</v>
      </c>
      <c r="C2125" s="7">
        <v>3.6894</v>
      </c>
    </row>
    <row r="2126" spans="1:3">
      <c r="A2126" s="6">
        <v>42755</v>
      </c>
      <c r="B2126" s="7">
        <v>3.137</v>
      </c>
      <c r="C2126" s="7">
        <v>3.6402</v>
      </c>
    </row>
    <row r="2127" spans="1:3">
      <c r="A2127" s="6">
        <v>42757</v>
      </c>
      <c r="B2127" s="7">
        <v>3.145</v>
      </c>
      <c r="C2127" s="7">
        <v>3.6238</v>
      </c>
    </row>
    <row r="2128" spans="1:3">
      <c r="A2128" s="6">
        <v>42758</v>
      </c>
      <c r="B2128" s="7">
        <v>3.1293</v>
      </c>
      <c r="C2128" s="7">
        <v>3.6258</v>
      </c>
    </row>
    <row r="2129" spans="1:3">
      <c r="A2129" s="6">
        <v>42759</v>
      </c>
      <c r="B2129" s="7">
        <v>3.1577</v>
      </c>
      <c r="C2129" s="7">
        <v>3.6315</v>
      </c>
    </row>
    <row r="2130" spans="1:3">
      <c r="A2130" s="6">
        <v>42760</v>
      </c>
      <c r="B2130" s="7">
        <v>3.2607</v>
      </c>
      <c r="C2130" s="7">
        <v>3.7889</v>
      </c>
    </row>
    <row r="2131" spans="1:3">
      <c r="A2131" s="6">
        <v>42761</v>
      </c>
      <c r="B2131" s="7">
        <v>3.3</v>
      </c>
      <c r="C2131" s="7">
        <v>3.8358</v>
      </c>
    </row>
    <row r="2132" spans="1:3">
      <c r="A2132" s="6">
        <v>42769</v>
      </c>
      <c r="B2132" s="7">
        <v>3.4161</v>
      </c>
      <c r="C2132" s="7">
        <v>3.9611</v>
      </c>
    </row>
    <row r="2133" spans="1:3">
      <c r="A2133" s="6">
        <v>42770</v>
      </c>
      <c r="B2133" s="7"/>
      <c r="C2133" s="7">
        <v>3.96</v>
      </c>
    </row>
    <row r="2134" spans="1:3">
      <c r="A2134" s="6">
        <v>42772</v>
      </c>
      <c r="B2134" s="7">
        <v>3.3935</v>
      </c>
      <c r="C2134" s="7">
        <v>3.9798</v>
      </c>
    </row>
    <row r="2135" spans="1:3">
      <c r="A2135" s="6">
        <v>42773</v>
      </c>
      <c r="B2135" s="7">
        <v>3.3827</v>
      </c>
      <c r="C2135" s="7">
        <v>3.9868</v>
      </c>
    </row>
    <row r="2136" spans="1:3">
      <c r="A2136" s="6">
        <v>42774</v>
      </c>
      <c r="B2136" s="7">
        <v>3.3504</v>
      </c>
      <c r="C2136" s="7">
        <v>3.9376</v>
      </c>
    </row>
    <row r="2137" spans="1:3">
      <c r="A2137" s="6">
        <v>42775</v>
      </c>
      <c r="B2137" s="7">
        <v>3.3606</v>
      </c>
      <c r="C2137" s="7">
        <v>3.9117</v>
      </c>
    </row>
    <row r="2138" spans="1:3">
      <c r="A2138" s="6">
        <v>42776</v>
      </c>
      <c r="B2138" s="7">
        <v>3.3663</v>
      </c>
      <c r="C2138" s="7">
        <v>3.9322</v>
      </c>
    </row>
    <row r="2139" spans="1:3">
      <c r="A2139" s="6">
        <v>42779</v>
      </c>
      <c r="B2139" s="7">
        <v>3.3618</v>
      </c>
      <c r="C2139" s="7">
        <v>3.9447</v>
      </c>
    </row>
    <row r="2140" spans="1:3">
      <c r="A2140" s="6">
        <v>42780</v>
      </c>
      <c r="B2140" s="7">
        <v>3.3587</v>
      </c>
      <c r="C2140" s="7">
        <v>3.9523</v>
      </c>
    </row>
    <row r="2141" spans="1:3">
      <c r="A2141" s="6">
        <v>42781</v>
      </c>
      <c r="B2141" s="7">
        <v>3.3891</v>
      </c>
      <c r="C2141" s="7">
        <v>3.9713</v>
      </c>
    </row>
    <row r="2142" spans="1:3">
      <c r="A2142" s="6">
        <v>42782</v>
      </c>
      <c r="B2142" s="7">
        <v>3.3496</v>
      </c>
      <c r="C2142" s="7">
        <v>3.9409</v>
      </c>
    </row>
    <row r="2143" spans="1:3">
      <c r="A2143" s="6">
        <v>42783</v>
      </c>
      <c r="B2143" s="7">
        <v>3.3472</v>
      </c>
      <c r="C2143" s="7">
        <v>3.9058</v>
      </c>
    </row>
    <row r="2144" spans="1:3">
      <c r="A2144" s="6">
        <v>42786</v>
      </c>
      <c r="B2144" s="7">
        <v>3.3314</v>
      </c>
      <c r="C2144" s="7">
        <v>3.8614</v>
      </c>
    </row>
    <row r="2145" spans="1:3">
      <c r="A2145" s="6">
        <v>42787</v>
      </c>
      <c r="B2145" s="7">
        <v>3.3655</v>
      </c>
      <c r="C2145" s="7">
        <v>3.8835</v>
      </c>
    </row>
    <row r="2146" spans="1:3">
      <c r="A2146" s="6">
        <v>42788</v>
      </c>
      <c r="B2146" s="7">
        <v>3.3845</v>
      </c>
      <c r="C2146" s="7">
        <v>3.9139</v>
      </c>
    </row>
    <row r="2147" spans="1:3">
      <c r="A2147" s="6">
        <v>42789</v>
      </c>
      <c r="B2147" s="7">
        <v>3.3705</v>
      </c>
      <c r="C2147" s="7">
        <v>3.8769</v>
      </c>
    </row>
    <row r="2148" spans="1:3">
      <c r="A2148" s="6">
        <v>42790</v>
      </c>
      <c r="B2148" s="7">
        <v>3.3934</v>
      </c>
      <c r="C2148" s="7">
        <v>3.8879</v>
      </c>
    </row>
    <row r="2149" spans="1:3">
      <c r="A2149" s="6">
        <v>42793</v>
      </c>
      <c r="B2149" s="7">
        <v>3.3702</v>
      </c>
      <c r="C2149" s="7">
        <v>3.8697</v>
      </c>
    </row>
    <row r="2150" spans="1:3">
      <c r="A2150" s="6">
        <v>42794</v>
      </c>
      <c r="B2150" s="7">
        <v>3.3696</v>
      </c>
      <c r="C2150" s="7">
        <v>3.867</v>
      </c>
    </row>
    <row r="2151" spans="1:3">
      <c r="A2151" s="6">
        <v>42795</v>
      </c>
      <c r="B2151" s="7">
        <v>3.394</v>
      </c>
      <c r="C2151" s="7">
        <v>3.8914</v>
      </c>
    </row>
    <row r="2152" spans="1:3">
      <c r="A2152" s="6">
        <v>42796</v>
      </c>
      <c r="B2152" s="7">
        <v>3.4291</v>
      </c>
      <c r="C2152" s="7">
        <v>3.9265</v>
      </c>
    </row>
    <row r="2153" spans="1:3">
      <c r="A2153" s="6">
        <v>42797</v>
      </c>
      <c r="B2153" s="7">
        <v>3.4277</v>
      </c>
      <c r="C2153" s="7">
        <v>3.9474</v>
      </c>
    </row>
    <row r="2154" spans="1:3">
      <c r="A2154" s="6">
        <v>42800</v>
      </c>
      <c r="B2154" s="7">
        <v>3.4315</v>
      </c>
      <c r="C2154" s="7">
        <v>3.9426</v>
      </c>
    </row>
    <row r="2155" spans="1:3">
      <c r="A2155" s="6">
        <v>42801</v>
      </c>
      <c r="B2155" s="7">
        <v>3.4468</v>
      </c>
      <c r="C2155" s="7">
        <v>3.956</v>
      </c>
    </row>
    <row r="2156" spans="1:3">
      <c r="A2156" s="6">
        <v>42802</v>
      </c>
      <c r="B2156" s="7">
        <v>3.4964</v>
      </c>
      <c r="C2156" s="7">
        <v>4.01</v>
      </c>
    </row>
    <row r="2157" spans="1:3">
      <c r="A2157" s="6">
        <v>42803</v>
      </c>
      <c r="B2157" s="7">
        <v>3.5408</v>
      </c>
      <c r="C2157" s="7">
        <v>4.054</v>
      </c>
    </row>
    <row r="2158" spans="1:3">
      <c r="A2158" s="6">
        <v>42804</v>
      </c>
      <c r="B2158" s="7">
        <v>3.541</v>
      </c>
      <c r="C2158" s="7">
        <v>4.0587</v>
      </c>
    </row>
    <row r="2159" spans="1:3">
      <c r="A2159" s="6">
        <v>42807</v>
      </c>
      <c r="B2159" s="7">
        <v>3.5031</v>
      </c>
      <c r="C2159" s="7">
        <v>4.0092</v>
      </c>
    </row>
    <row r="2160" spans="1:3">
      <c r="A2160" s="6">
        <v>42808</v>
      </c>
      <c r="B2160" s="7">
        <v>3.4735</v>
      </c>
      <c r="C2160" s="7">
        <v>3.9754</v>
      </c>
    </row>
    <row r="2161" spans="1:3">
      <c r="A2161" s="6">
        <v>42809</v>
      </c>
      <c r="B2161" s="7">
        <v>3.4577</v>
      </c>
      <c r="C2161" s="7">
        <v>3.9422</v>
      </c>
    </row>
    <row r="2162" spans="1:3">
      <c r="A2162" s="6">
        <v>42810</v>
      </c>
      <c r="B2162" s="7">
        <v>3.5106</v>
      </c>
      <c r="C2162" s="7">
        <v>3.8977</v>
      </c>
    </row>
    <row r="2163" spans="1:3">
      <c r="A2163" s="6">
        <v>42811</v>
      </c>
      <c r="B2163" s="7">
        <v>3.5663</v>
      </c>
      <c r="C2163" s="7">
        <v>3.9566</v>
      </c>
    </row>
    <row r="2164" spans="1:3">
      <c r="A2164" s="6">
        <v>42814</v>
      </c>
      <c r="B2164" s="7">
        <v>3.6015</v>
      </c>
      <c r="C2164" s="7">
        <v>3.9782</v>
      </c>
    </row>
    <row r="2165" spans="1:3">
      <c r="A2165" s="6">
        <v>42815</v>
      </c>
      <c r="B2165" s="7">
        <v>3.6932</v>
      </c>
      <c r="C2165" s="7">
        <v>4.0053</v>
      </c>
    </row>
    <row r="2166" spans="1:3">
      <c r="A2166" s="6">
        <v>42816</v>
      </c>
      <c r="B2166" s="7">
        <v>3.6732</v>
      </c>
      <c r="C2166" s="7">
        <v>3.9635</v>
      </c>
    </row>
    <row r="2167" spans="1:3">
      <c r="A2167" s="6">
        <v>42817</v>
      </c>
      <c r="B2167" s="7">
        <v>3.6375</v>
      </c>
      <c r="C2167" s="7">
        <v>3.9457</v>
      </c>
    </row>
    <row r="2168" spans="1:3">
      <c r="A2168" s="6">
        <v>42818</v>
      </c>
      <c r="B2168" s="7">
        <v>3.5894</v>
      </c>
      <c r="C2168" s="7">
        <v>3.9048</v>
      </c>
    </row>
    <row r="2169" spans="1:3">
      <c r="A2169" s="6">
        <v>42821</v>
      </c>
      <c r="B2169" s="7">
        <v>3.5815</v>
      </c>
      <c r="C2169" s="7">
        <v>3.9019</v>
      </c>
    </row>
    <row r="2170" spans="1:3">
      <c r="A2170" s="6">
        <v>42822</v>
      </c>
      <c r="B2170" s="7">
        <v>3.5376</v>
      </c>
      <c r="C2170" s="7">
        <v>3.8647</v>
      </c>
    </row>
    <row r="2171" spans="1:3">
      <c r="A2171" s="6">
        <v>42823</v>
      </c>
      <c r="B2171" s="7">
        <v>3.5844</v>
      </c>
      <c r="C2171" s="7">
        <v>3.8985</v>
      </c>
    </row>
    <row r="2172" spans="1:3">
      <c r="A2172" s="6">
        <v>42824</v>
      </c>
      <c r="B2172" s="7">
        <v>3.6055</v>
      </c>
      <c r="C2172" s="7">
        <v>3.9111</v>
      </c>
    </row>
    <row r="2173" spans="1:3">
      <c r="A2173" s="6">
        <v>42825</v>
      </c>
      <c r="B2173" s="7">
        <v>3.6087</v>
      </c>
      <c r="C2173" s="7">
        <v>3.9044</v>
      </c>
    </row>
    <row r="2174" spans="1:3">
      <c r="A2174" s="6">
        <v>42826</v>
      </c>
      <c r="B2174" s="7">
        <v>3.6071</v>
      </c>
      <c r="C2174" s="7"/>
    </row>
    <row r="2175" spans="1:3">
      <c r="A2175" s="6">
        <v>42830</v>
      </c>
      <c r="B2175" s="7">
        <v>3.5667</v>
      </c>
      <c r="C2175" s="7">
        <v>3.8909</v>
      </c>
    </row>
    <row r="2176" spans="1:3">
      <c r="A2176" s="6">
        <v>42831</v>
      </c>
      <c r="B2176" s="7">
        <v>3.5808</v>
      </c>
      <c r="C2176" s="7">
        <v>3.8987</v>
      </c>
    </row>
    <row r="2177" spans="1:3">
      <c r="A2177" s="6">
        <v>42832</v>
      </c>
      <c r="B2177" s="7">
        <v>3.5556</v>
      </c>
      <c r="C2177" s="7">
        <v>3.8719</v>
      </c>
    </row>
    <row r="2178" spans="1:3">
      <c r="A2178" s="6">
        <v>42835</v>
      </c>
      <c r="B2178" s="7">
        <v>3.5596</v>
      </c>
      <c r="C2178" s="7">
        <v>3.8794</v>
      </c>
    </row>
    <row r="2179" spans="1:3">
      <c r="A2179" s="6">
        <v>42836</v>
      </c>
      <c r="B2179" s="7">
        <v>3.5681</v>
      </c>
      <c r="C2179" s="7">
        <v>3.8875</v>
      </c>
    </row>
    <row r="2180" spans="1:3">
      <c r="A2180" s="6">
        <v>42837</v>
      </c>
      <c r="B2180" s="7">
        <v>3.5614</v>
      </c>
      <c r="C2180" s="7">
        <v>3.8687</v>
      </c>
    </row>
    <row r="2181" spans="1:3">
      <c r="A2181" s="6">
        <v>42838</v>
      </c>
      <c r="B2181" s="7">
        <v>3.5771</v>
      </c>
      <c r="C2181" s="7">
        <v>3.8671</v>
      </c>
    </row>
    <row r="2182" spans="1:3">
      <c r="A2182" s="6">
        <v>42839</v>
      </c>
      <c r="B2182" s="7">
        <v>3.5846</v>
      </c>
      <c r="C2182" s="7">
        <v>3.8852</v>
      </c>
    </row>
    <row r="2183" spans="1:3">
      <c r="A2183" s="6">
        <v>42842</v>
      </c>
      <c r="B2183" s="7">
        <v>3.618</v>
      </c>
      <c r="C2183" s="7">
        <v>3.9201</v>
      </c>
    </row>
    <row r="2184" spans="1:3">
      <c r="A2184" s="6">
        <v>42843</v>
      </c>
      <c r="B2184" s="7">
        <v>3.6391</v>
      </c>
      <c r="C2184" s="7">
        <v>3.9495</v>
      </c>
    </row>
    <row r="2185" spans="1:3">
      <c r="A2185" s="6">
        <v>42844</v>
      </c>
      <c r="B2185" s="7">
        <v>3.6307</v>
      </c>
      <c r="C2185" s="7">
        <v>3.9271</v>
      </c>
    </row>
    <row r="2186" spans="1:3">
      <c r="A2186" s="6">
        <v>42845</v>
      </c>
      <c r="B2186" s="7">
        <v>3.6483</v>
      </c>
      <c r="C2186" s="7">
        <v>3.9473</v>
      </c>
    </row>
    <row r="2187" spans="1:3">
      <c r="A2187" s="6">
        <v>42846</v>
      </c>
      <c r="B2187" s="7">
        <v>3.6436</v>
      </c>
      <c r="C2187" s="7">
        <v>3.9604</v>
      </c>
    </row>
    <row r="2188" spans="1:3">
      <c r="A2188" s="6">
        <v>42849</v>
      </c>
      <c r="B2188" s="7">
        <v>3.6556</v>
      </c>
      <c r="C2188" s="7">
        <v>3.991</v>
      </c>
    </row>
    <row r="2189" spans="1:3">
      <c r="A2189" s="6">
        <v>42850</v>
      </c>
      <c r="B2189" s="7">
        <v>3.6276</v>
      </c>
      <c r="C2189" s="7">
        <v>3.9638</v>
      </c>
    </row>
    <row r="2190" spans="1:3">
      <c r="A2190" s="6">
        <v>42851</v>
      </c>
      <c r="B2190" s="7">
        <v>3.6173</v>
      </c>
      <c r="C2190" s="7">
        <v>3.9501</v>
      </c>
    </row>
    <row r="2191" spans="1:3">
      <c r="A2191" s="6">
        <v>42852</v>
      </c>
      <c r="B2191" s="7">
        <v>3.6359</v>
      </c>
      <c r="C2191" s="7">
        <v>3.9508</v>
      </c>
    </row>
    <row r="2192" spans="1:3">
      <c r="A2192" s="6">
        <v>42853</v>
      </c>
      <c r="B2192" s="7">
        <v>3.6695</v>
      </c>
      <c r="C2192" s="7">
        <v>3.9772</v>
      </c>
    </row>
    <row r="2193" spans="1:3">
      <c r="A2193" s="6">
        <v>42857</v>
      </c>
      <c r="B2193" s="7">
        <v>3.6783</v>
      </c>
      <c r="C2193" s="7">
        <v>3.9898</v>
      </c>
    </row>
    <row r="2194" spans="1:3">
      <c r="A2194" s="6">
        <v>42858</v>
      </c>
      <c r="B2194" s="7">
        <v>3.7499</v>
      </c>
      <c r="C2194" s="7">
        <v>4.0223</v>
      </c>
    </row>
    <row r="2195" spans="1:3">
      <c r="A2195" s="6">
        <v>42859</v>
      </c>
      <c r="B2195" s="7">
        <v>3.7688</v>
      </c>
      <c r="C2195" s="7">
        <v>4.051</v>
      </c>
    </row>
    <row r="2196" spans="1:3">
      <c r="A2196" s="6">
        <v>42860</v>
      </c>
      <c r="B2196" s="7">
        <v>3.7928</v>
      </c>
      <c r="C2196" s="7">
        <v>4.0777</v>
      </c>
    </row>
    <row r="2197" spans="1:3">
      <c r="A2197" s="6">
        <v>42863</v>
      </c>
      <c r="B2197" s="7">
        <v>3.7687</v>
      </c>
      <c r="C2197" s="7">
        <v>4.0611</v>
      </c>
    </row>
    <row r="2198" spans="1:3">
      <c r="A2198" s="6">
        <v>42864</v>
      </c>
      <c r="B2198" s="7">
        <v>3.7898</v>
      </c>
      <c r="C2198" s="7">
        <v>4.1082</v>
      </c>
    </row>
    <row r="2199" spans="1:3">
      <c r="A2199" s="6">
        <v>42865</v>
      </c>
      <c r="B2199" s="7">
        <v>3.8299</v>
      </c>
      <c r="C2199" s="7">
        <v>4.1503</v>
      </c>
    </row>
    <row r="2200" spans="1:3">
      <c r="A2200" s="6">
        <v>42866</v>
      </c>
      <c r="B2200" s="7">
        <v>3.8158</v>
      </c>
      <c r="C2200" s="7">
        <v>4.1387</v>
      </c>
    </row>
    <row r="2201" spans="1:3">
      <c r="A2201" s="6">
        <v>42867</v>
      </c>
      <c r="B2201" s="7">
        <v>3.7981</v>
      </c>
      <c r="C2201" s="7">
        <v>4.1132</v>
      </c>
    </row>
    <row r="2202" spans="1:3">
      <c r="A2202" s="6">
        <v>42870</v>
      </c>
      <c r="B2202" s="7">
        <v>3.7606</v>
      </c>
      <c r="C2202" s="7">
        <v>4.0837</v>
      </c>
    </row>
    <row r="2203" spans="1:3">
      <c r="A2203" s="6">
        <v>42871</v>
      </c>
      <c r="B2203" s="7">
        <v>3.7385</v>
      </c>
      <c r="C2203" s="7">
        <v>4.0596</v>
      </c>
    </row>
    <row r="2204" spans="1:3">
      <c r="A2204" s="6">
        <v>42872</v>
      </c>
      <c r="B2204" s="7">
        <v>3.7429</v>
      </c>
      <c r="C2204" s="7">
        <v>4.0402</v>
      </c>
    </row>
    <row r="2205" spans="1:3">
      <c r="A2205" s="6">
        <v>42873</v>
      </c>
      <c r="B2205" s="7">
        <v>3.702</v>
      </c>
      <c r="C2205" s="7">
        <v>3.9813</v>
      </c>
    </row>
    <row r="2206" spans="1:3">
      <c r="A2206" s="6">
        <v>42874</v>
      </c>
      <c r="B2206" s="7">
        <v>3.7165</v>
      </c>
      <c r="C2206" s="7">
        <v>4.0011</v>
      </c>
    </row>
    <row r="2207" spans="1:3">
      <c r="A2207" s="6">
        <v>42877</v>
      </c>
      <c r="B2207" s="7">
        <v>3.7249</v>
      </c>
      <c r="C2207" s="7">
        <v>4.0252</v>
      </c>
    </row>
    <row r="2208" spans="1:3">
      <c r="A2208" s="6">
        <v>42878</v>
      </c>
      <c r="B2208" s="7">
        <v>3.6776</v>
      </c>
      <c r="C2208" s="7">
        <v>4.0072</v>
      </c>
    </row>
    <row r="2209" spans="1:3">
      <c r="A2209" s="6">
        <v>42879</v>
      </c>
      <c r="B2209" s="7">
        <v>3.658</v>
      </c>
      <c r="C2209" s="7">
        <v>3.9918</v>
      </c>
    </row>
    <row r="2210" spans="1:3">
      <c r="A2210" s="6">
        <v>42880</v>
      </c>
      <c r="B2210" s="7">
        <v>3.6487</v>
      </c>
      <c r="C2210" s="7">
        <v>3.9547</v>
      </c>
    </row>
    <row r="2211" spans="1:3">
      <c r="A2211" s="6">
        <v>42881</v>
      </c>
      <c r="B2211" s="7">
        <v>3.6607</v>
      </c>
      <c r="C2211" s="7">
        <v>3.9635</v>
      </c>
    </row>
    <row r="2212" spans="1:3">
      <c r="A2212" s="6">
        <v>42882</v>
      </c>
      <c r="B2212" s="7">
        <v>3.6457</v>
      </c>
      <c r="C2212" s="7">
        <v>3.97</v>
      </c>
    </row>
    <row r="2213" spans="1:3">
      <c r="A2213" s="6">
        <v>42886</v>
      </c>
      <c r="B2213" s="7">
        <v>3.5925</v>
      </c>
      <c r="C2213" s="7">
        <v>3.8962</v>
      </c>
    </row>
    <row r="2214" spans="1:3">
      <c r="A2214" s="6">
        <v>42887</v>
      </c>
      <c r="B2214" s="7">
        <v>3.5915</v>
      </c>
      <c r="C2214" s="7">
        <v>3.8709</v>
      </c>
    </row>
    <row r="2215" spans="1:3">
      <c r="A2215" s="6">
        <v>42888</v>
      </c>
      <c r="B2215" s="7">
        <v>3.5914</v>
      </c>
      <c r="C2215" s="7">
        <v>3.8591</v>
      </c>
    </row>
    <row r="2216" spans="1:3">
      <c r="A2216" s="6">
        <v>42891</v>
      </c>
      <c r="B2216" s="7">
        <v>3.5885</v>
      </c>
      <c r="C2216" s="7">
        <v>3.8333</v>
      </c>
    </row>
    <row r="2217" spans="1:3">
      <c r="A2217" s="6">
        <v>42892</v>
      </c>
      <c r="B2217" s="7">
        <v>3.5966</v>
      </c>
      <c r="C2217" s="7">
        <v>3.8446</v>
      </c>
    </row>
    <row r="2218" spans="1:3">
      <c r="A2218" s="6">
        <v>42893</v>
      </c>
      <c r="B2218" s="7">
        <v>3.6153</v>
      </c>
      <c r="C2218" s="7">
        <v>3.8743</v>
      </c>
    </row>
    <row r="2219" spans="1:3">
      <c r="A2219" s="6">
        <v>42894</v>
      </c>
      <c r="B2219" s="7">
        <v>3.6051</v>
      </c>
      <c r="C2219" s="7">
        <v>3.8414</v>
      </c>
    </row>
    <row r="2220" spans="1:3">
      <c r="A2220" s="6">
        <v>42895</v>
      </c>
      <c r="B2220" s="7">
        <v>3.6095</v>
      </c>
      <c r="C2220" s="7">
        <v>3.8257</v>
      </c>
    </row>
    <row r="2221" spans="1:3">
      <c r="A2221" s="6">
        <v>42898</v>
      </c>
      <c r="B2221" s="7">
        <v>3.5759</v>
      </c>
      <c r="C2221" s="7">
        <v>3.7902</v>
      </c>
    </row>
    <row r="2222" spans="1:3">
      <c r="A2222" s="6">
        <v>42899</v>
      </c>
      <c r="B2222" s="7">
        <v>3.5655</v>
      </c>
      <c r="C2222" s="7">
        <v>3.7636</v>
      </c>
    </row>
    <row r="2223" spans="1:3">
      <c r="A2223" s="6">
        <v>42900</v>
      </c>
      <c r="B2223" s="7">
        <v>3.5669</v>
      </c>
      <c r="C2223" s="7">
        <v>3.7725</v>
      </c>
    </row>
    <row r="2224" spans="1:3">
      <c r="A2224" s="6">
        <v>42901</v>
      </c>
      <c r="B2224" s="7">
        <v>3.5553</v>
      </c>
      <c r="C2224" s="7">
        <v>3.764</v>
      </c>
    </row>
    <row r="2225" spans="1:3">
      <c r="A2225" s="6">
        <v>42902</v>
      </c>
      <c r="B2225" s="7">
        <v>3.5741</v>
      </c>
      <c r="C2225" s="7">
        <v>3.8088</v>
      </c>
    </row>
    <row r="2226" spans="1:3">
      <c r="A2226" s="6">
        <v>42905</v>
      </c>
      <c r="B2226" s="7">
        <v>3.5349</v>
      </c>
      <c r="C2226" s="7">
        <v>3.7762</v>
      </c>
    </row>
    <row r="2227" spans="1:3">
      <c r="A2227" s="6">
        <v>42906</v>
      </c>
      <c r="B2227" s="7">
        <v>3.5092</v>
      </c>
      <c r="C2227" s="7">
        <v>3.7514</v>
      </c>
    </row>
    <row r="2228" spans="1:3">
      <c r="A2228" s="6">
        <v>42907</v>
      </c>
      <c r="B2228" s="7">
        <v>3.5233</v>
      </c>
      <c r="C2228" s="7">
        <v>3.7693</v>
      </c>
    </row>
    <row r="2229" spans="1:3">
      <c r="A2229" s="6">
        <v>42908</v>
      </c>
      <c r="B2229" s="7">
        <v>3.5268</v>
      </c>
      <c r="C2229" s="7">
        <v>3.7888</v>
      </c>
    </row>
    <row r="2230" spans="1:3">
      <c r="A2230" s="6">
        <v>42909</v>
      </c>
      <c r="B2230" s="7">
        <v>3.496</v>
      </c>
      <c r="C2230" s="7">
        <v>3.7707</v>
      </c>
    </row>
    <row r="2231" spans="1:3">
      <c r="A2231" s="6">
        <v>42912</v>
      </c>
      <c r="B2231" s="7">
        <v>3.4366</v>
      </c>
      <c r="C2231" s="7">
        <v>3.7154</v>
      </c>
    </row>
    <row r="2232" spans="1:3">
      <c r="A2232" s="6">
        <v>42913</v>
      </c>
      <c r="B2232" s="7">
        <v>3.3922</v>
      </c>
      <c r="C2232" s="7">
        <v>3.6743</v>
      </c>
    </row>
    <row r="2233" spans="1:3">
      <c r="A2233" s="6">
        <v>42914</v>
      </c>
      <c r="B2233" s="7">
        <v>3.4144</v>
      </c>
      <c r="C2233" s="7">
        <v>3.7112</v>
      </c>
    </row>
    <row r="2234" spans="1:3">
      <c r="A2234" s="6">
        <v>42915</v>
      </c>
      <c r="B2234" s="7">
        <v>3.4425</v>
      </c>
      <c r="C2234" s="7">
        <v>3.7349</v>
      </c>
    </row>
    <row r="2235" spans="1:3">
      <c r="A2235" s="6">
        <v>42916</v>
      </c>
      <c r="B2235" s="7">
        <v>3.4737</v>
      </c>
      <c r="C2235" s="7">
        <v>3.7804</v>
      </c>
    </row>
    <row r="2236" spans="1:3">
      <c r="A2236" s="6">
        <v>42919</v>
      </c>
      <c r="B2236" s="7">
        <v>3.4981</v>
      </c>
      <c r="C2236" s="7">
        <v>3.7969</v>
      </c>
    </row>
    <row r="2237" spans="1:3">
      <c r="A2237" s="6">
        <v>42920</v>
      </c>
      <c r="B2237" s="7">
        <v>3.4893</v>
      </c>
      <c r="C2237" s="7">
        <v>3.8048</v>
      </c>
    </row>
    <row r="2238" spans="1:3">
      <c r="A2238" s="6">
        <v>42921</v>
      </c>
      <c r="B2238" s="7">
        <v>3.4392</v>
      </c>
      <c r="C2238" s="7">
        <v>3.764</v>
      </c>
    </row>
    <row r="2239" spans="1:3">
      <c r="A2239" s="6">
        <v>42922</v>
      </c>
      <c r="B2239" s="7">
        <v>3.419</v>
      </c>
      <c r="C2239" s="7">
        <v>3.7355</v>
      </c>
    </row>
    <row r="2240" spans="1:3">
      <c r="A2240" s="6">
        <v>42923</v>
      </c>
      <c r="B2240" s="7">
        <v>3.44</v>
      </c>
      <c r="C2240" s="7">
        <v>3.7713</v>
      </c>
    </row>
    <row r="2241" spans="1:3">
      <c r="A2241" s="6">
        <v>42926</v>
      </c>
      <c r="B2241" s="7">
        <v>3.444</v>
      </c>
      <c r="C2241" s="7">
        <v>3.7888</v>
      </c>
    </row>
    <row r="2242" spans="1:3">
      <c r="A2242" s="6">
        <v>42927</v>
      </c>
      <c r="B2242" s="7">
        <v>3.4654</v>
      </c>
      <c r="C2242" s="7">
        <v>3.7957</v>
      </c>
    </row>
    <row r="2243" spans="1:3">
      <c r="A2243" s="6">
        <v>42928</v>
      </c>
      <c r="B2243" s="7">
        <v>3.4364</v>
      </c>
      <c r="C2243" s="7">
        <v>3.7568</v>
      </c>
    </row>
    <row r="2244" spans="1:3">
      <c r="A2244" s="6">
        <v>42929</v>
      </c>
      <c r="B2244" s="7">
        <v>3.4093</v>
      </c>
      <c r="C2244" s="7">
        <v>3.7326</v>
      </c>
    </row>
    <row r="2245" spans="1:3">
      <c r="A2245" s="6">
        <v>42930</v>
      </c>
      <c r="B2245" s="7">
        <v>3.4056</v>
      </c>
      <c r="C2245" s="7">
        <v>3.7374</v>
      </c>
    </row>
    <row r="2246" spans="1:3">
      <c r="A2246" s="6">
        <v>42933</v>
      </c>
      <c r="B2246" s="7">
        <v>3.3804</v>
      </c>
      <c r="C2246" s="7">
        <v>3.7025</v>
      </c>
    </row>
    <row r="2247" spans="1:3">
      <c r="A2247" s="6">
        <v>42934</v>
      </c>
      <c r="B2247" s="7">
        <v>3.4123</v>
      </c>
      <c r="C2247" s="7">
        <v>3.7365</v>
      </c>
    </row>
    <row r="2248" spans="1:3">
      <c r="A2248" s="6">
        <v>42935</v>
      </c>
      <c r="B2248" s="7">
        <v>3.4132</v>
      </c>
      <c r="C2248" s="7">
        <v>3.7303</v>
      </c>
    </row>
    <row r="2249" spans="1:3">
      <c r="A2249" s="6">
        <v>42936</v>
      </c>
      <c r="B2249" s="7">
        <v>3.4005</v>
      </c>
      <c r="C2249" s="7">
        <v>3.7112</v>
      </c>
    </row>
    <row r="2250" spans="1:3">
      <c r="A2250" s="6">
        <v>42937</v>
      </c>
      <c r="B2250" s="7">
        <v>3.3961</v>
      </c>
      <c r="C2250" s="7">
        <v>3.699</v>
      </c>
    </row>
    <row r="2251" spans="1:3">
      <c r="A2251" s="6">
        <v>42940</v>
      </c>
      <c r="B2251" s="7">
        <v>3.3829</v>
      </c>
      <c r="C2251" s="7">
        <v>3.6936</v>
      </c>
    </row>
    <row r="2252" spans="1:3">
      <c r="A2252" s="6">
        <v>42941</v>
      </c>
      <c r="B2252" s="7">
        <v>3.3874</v>
      </c>
      <c r="C2252" s="7">
        <v>3.7038</v>
      </c>
    </row>
    <row r="2253" spans="1:3">
      <c r="A2253" s="6">
        <v>42942</v>
      </c>
      <c r="B2253" s="7">
        <v>3.4084</v>
      </c>
      <c r="C2253" s="7">
        <v>3.7285</v>
      </c>
    </row>
    <row r="2254" spans="1:3">
      <c r="A2254" s="6">
        <v>42943</v>
      </c>
      <c r="B2254" s="7">
        <v>3.3983</v>
      </c>
      <c r="C2254" s="7">
        <v>3.7218</v>
      </c>
    </row>
    <row r="2255" spans="1:3">
      <c r="A2255" s="6">
        <v>42944</v>
      </c>
      <c r="B2255" s="7">
        <v>3.3921</v>
      </c>
      <c r="C2255" s="7">
        <v>3.7171</v>
      </c>
    </row>
    <row r="2256" spans="1:3">
      <c r="A2256" s="6">
        <v>42947</v>
      </c>
      <c r="B2256" s="7">
        <v>3.4094</v>
      </c>
      <c r="C2256" s="7">
        <v>3.737</v>
      </c>
    </row>
    <row r="2257" spans="1:3">
      <c r="A2257" s="6">
        <v>42948</v>
      </c>
      <c r="B2257" s="7">
        <v>3.4394</v>
      </c>
      <c r="C2257" s="7">
        <v>3.7553</v>
      </c>
    </row>
    <row r="2258" spans="1:3">
      <c r="A2258" s="6">
        <v>42949</v>
      </c>
      <c r="B2258" s="7">
        <v>3.4381</v>
      </c>
      <c r="C2258" s="7">
        <v>3.7484</v>
      </c>
    </row>
    <row r="2259" spans="1:3">
      <c r="A2259" s="6">
        <v>42950</v>
      </c>
      <c r="B2259" s="7">
        <v>3.4266</v>
      </c>
      <c r="C2259" s="7">
        <v>3.7445</v>
      </c>
    </row>
    <row r="2260" spans="1:3">
      <c r="A2260" s="6">
        <v>42951</v>
      </c>
      <c r="B2260" s="7">
        <v>3.4123</v>
      </c>
      <c r="C2260" s="7">
        <v>3.7382</v>
      </c>
    </row>
    <row r="2261" spans="1:3">
      <c r="A2261" s="6">
        <v>42954</v>
      </c>
      <c r="B2261" s="7">
        <v>3.4365</v>
      </c>
      <c r="C2261" s="7">
        <v>3.7781</v>
      </c>
    </row>
    <row r="2262" spans="1:3">
      <c r="A2262" s="6">
        <v>42955</v>
      </c>
      <c r="B2262" s="7">
        <v>3.4495</v>
      </c>
      <c r="C2262" s="7">
        <v>3.7964</v>
      </c>
    </row>
    <row r="2263" spans="1:3">
      <c r="A2263" s="6">
        <v>42956</v>
      </c>
      <c r="B2263" s="7">
        <v>3.4516</v>
      </c>
      <c r="C2263" s="7">
        <v>3.7858</v>
      </c>
    </row>
    <row r="2264" spans="1:3">
      <c r="A2264" s="6">
        <v>42957</v>
      </c>
      <c r="B2264" s="7">
        <v>3.4398</v>
      </c>
      <c r="C2264" s="7">
        <v>3.7701</v>
      </c>
    </row>
    <row r="2265" spans="1:3">
      <c r="A2265" s="6">
        <v>42958</v>
      </c>
      <c r="B2265" s="7">
        <v>3.4252</v>
      </c>
      <c r="C2265" s="7">
        <v>3.7415</v>
      </c>
    </row>
    <row r="2266" spans="1:3">
      <c r="A2266" s="6">
        <v>42961</v>
      </c>
      <c r="B2266" s="7">
        <v>3.4277</v>
      </c>
      <c r="C2266" s="7">
        <v>3.7324</v>
      </c>
    </row>
    <row r="2267" spans="1:3">
      <c r="A2267" s="6">
        <v>42962</v>
      </c>
      <c r="B2267" s="7">
        <v>3.4354</v>
      </c>
      <c r="C2267" s="7">
        <v>3.7354</v>
      </c>
    </row>
    <row r="2268" spans="1:3">
      <c r="A2268" s="6">
        <v>42963</v>
      </c>
      <c r="B2268" s="7">
        <v>3.4568</v>
      </c>
      <c r="C2268" s="7">
        <v>3.7519</v>
      </c>
    </row>
    <row r="2269" spans="1:3">
      <c r="A2269" s="6">
        <v>42964</v>
      </c>
      <c r="B2269" s="7">
        <v>3.479</v>
      </c>
      <c r="C2269" s="7">
        <v>3.7656</v>
      </c>
    </row>
    <row r="2270" spans="1:3">
      <c r="A2270" s="6">
        <v>42965</v>
      </c>
      <c r="B2270" s="7">
        <v>3.4579</v>
      </c>
      <c r="C2270" s="7">
        <v>3.7381</v>
      </c>
    </row>
    <row r="2271" spans="1:3">
      <c r="A2271" s="6">
        <v>42968</v>
      </c>
      <c r="B2271" s="7">
        <v>3.4683</v>
      </c>
      <c r="C2271" s="7">
        <v>3.759</v>
      </c>
    </row>
    <row r="2272" spans="1:3">
      <c r="A2272" s="6">
        <v>42969</v>
      </c>
      <c r="B2272" s="7">
        <v>3.4869</v>
      </c>
      <c r="C2272" s="7">
        <v>3.7759</v>
      </c>
    </row>
    <row r="2273" spans="1:3">
      <c r="A2273" s="6">
        <v>42970</v>
      </c>
      <c r="B2273" s="7">
        <v>3.4854</v>
      </c>
      <c r="C2273" s="7">
        <v>3.77</v>
      </c>
    </row>
    <row r="2274" spans="1:3">
      <c r="A2274" s="6">
        <v>42971</v>
      </c>
      <c r="B2274" s="7">
        <v>3.5004</v>
      </c>
      <c r="C2274" s="7">
        <v>3.7816</v>
      </c>
    </row>
    <row r="2275" spans="1:3">
      <c r="A2275" s="6">
        <v>42972</v>
      </c>
      <c r="B2275" s="7">
        <v>3.4963</v>
      </c>
      <c r="C2275" s="7">
        <v>3.7887</v>
      </c>
    </row>
    <row r="2276" spans="1:3">
      <c r="A2276" s="6">
        <v>42975</v>
      </c>
      <c r="B2276" s="7">
        <v>3.5232</v>
      </c>
      <c r="C2276" s="7">
        <v>3.8189</v>
      </c>
    </row>
    <row r="2277" spans="1:3">
      <c r="A2277" s="6">
        <v>42976</v>
      </c>
      <c r="B2277" s="7">
        <v>3.5638</v>
      </c>
      <c r="C2277" s="7">
        <v>3.8601</v>
      </c>
    </row>
    <row r="2278" spans="1:3">
      <c r="A2278" s="6">
        <v>42977</v>
      </c>
      <c r="B2278" s="7">
        <v>3.5619</v>
      </c>
      <c r="C2278" s="7">
        <v>3.859</v>
      </c>
    </row>
    <row r="2279" spans="1:3">
      <c r="A2279" s="6">
        <v>42978</v>
      </c>
      <c r="B2279" s="7">
        <v>3.5474</v>
      </c>
      <c r="C2279" s="7">
        <v>3.8526</v>
      </c>
    </row>
    <row r="2280" spans="1:3">
      <c r="A2280" s="6">
        <v>42979</v>
      </c>
      <c r="B2280" s="7">
        <v>3.5503</v>
      </c>
      <c r="C2280" s="7">
        <v>3.8606</v>
      </c>
    </row>
    <row r="2281" spans="1:3">
      <c r="A2281" s="6">
        <v>42982</v>
      </c>
      <c r="B2281" s="7">
        <v>3.5828</v>
      </c>
      <c r="C2281" s="7">
        <v>3.886</v>
      </c>
    </row>
    <row r="2282" spans="1:3">
      <c r="A2282" s="6">
        <v>42983</v>
      </c>
      <c r="B2282" s="7">
        <v>3.5987</v>
      </c>
      <c r="C2282" s="7">
        <v>3.911</v>
      </c>
    </row>
    <row r="2283" spans="1:3">
      <c r="A2283" s="6">
        <v>42984</v>
      </c>
      <c r="B2283" s="7">
        <v>3.5708</v>
      </c>
      <c r="C2283" s="7">
        <v>3.8895</v>
      </c>
    </row>
    <row r="2284" spans="1:3">
      <c r="A2284" s="6">
        <v>42985</v>
      </c>
      <c r="B2284" s="7">
        <v>3.5263</v>
      </c>
      <c r="C2284" s="7">
        <v>3.8472</v>
      </c>
    </row>
    <row r="2285" spans="1:3">
      <c r="A2285" s="6">
        <v>42986</v>
      </c>
      <c r="B2285" s="7">
        <v>3.4758</v>
      </c>
      <c r="C2285" s="7">
        <v>3.7935</v>
      </c>
    </row>
    <row r="2286" spans="1:3">
      <c r="A2286" s="6">
        <v>42989</v>
      </c>
      <c r="B2286" s="7">
        <v>3.491</v>
      </c>
      <c r="C2286" s="7">
        <v>3.7977</v>
      </c>
    </row>
    <row r="2287" spans="1:3">
      <c r="A2287" s="6">
        <v>42990</v>
      </c>
      <c r="B2287" s="7">
        <v>3.4956</v>
      </c>
      <c r="C2287" s="7">
        <v>3.8112</v>
      </c>
    </row>
    <row r="2288" spans="1:3">
      <c r="A2288" s="6">
        <v>42991</v>
      </c>
      <c r="B2288" s="7">
        <v>3.5139</v>
      </c>
      <c r="C2288" s="7">
        <v>3.8174</v>
      </c>
    </row>
    <row r="2289" spans="1:3">
      <c r="A2289" s="6">
        <v>42992</v>
      </c>
      <c r="B2289" s="7">
        <v>3.5125</v>
      </c>
      <c r="C2289" s="7">
        <v>3.7944</v>
      </c>
    </row>
    <row r="2290" spans="1:3">
      <c r="A2290" s="6">
        <v>42993</v>
      </c>
      <c r="B2290" s="7">
        <v>3.4911</v>
      </c>
      <c r="C2290" s="7">
        <v>3.775</v>
      </c>
    </row>
    <row r="2291" spans="1:3">
      <c r="A2291" s="6">
        <v>42996</v>
      </c>
      <c r="B2291" s="7">
        <v>3.4958</v>
      </c>
      <c r="C2291" s="7">
        <v>3.7792</v>
      </c>
    </row>
    <row r="2292" spans="1:3">
      <c r="A2292" s="6">
        <v>42997</v>
      </c>
      <c r="B2292" s="7">
        <v>3.5009</v>
      </c>
      <c r="C2292" s="7">
        <v>3.7786</v>
      </c>
    </row>
    <row r="2293" spans="1:3">
      <c r="A2293" s="6">
        <v>42998</v>
      </c>
      <c r="B2293" s="7">
        <v>3.5087</v>
      </c>
      <c r="C2293" s="7">
        <v>3.7743</v>
      </c>
    </row>
    <row r="2294" spans="1:3">
      <c r="A2294" s="6">
        <v>42999</v>
      </c>
      <c r="B2294" s="7">
        <v>3.4983</v>
      </c>
      <c r="C2294" s="7">
        <v>3.7792</v>
      </c>
    </row>
    <row r="2295" spans="1:3">
      <c r="A2295" s="6">
        <v>43000</v>
      </c>
      <c r="B2295" s="7">
        <v>3.4913</v>
      </c>
      <c r="C2295" s="7">
        <v>3.7776</v>
      </c>
    </row>
    <row r="2296" spans="1:3">
      <c r="A2296" s="6">
        <v>43003</v>
      </c>
      <c r="B2296" s="7">
        <v>3.4777</v>
      </c>
      <c r="C2296" s="7">
        <v>3.7624</v>
      </c>
    </row>
    <row r="2297" spans="1:3">
      <c r="A2297" s="6">
        <v>43004</v>
      </c>
      <c r="B2297" s="7">
        <v>3.4864</v>
      </c>
      <c r="C2297" s="7">
        <v>3.7669</v>
      </c>
    </row>
    <row r="2298" spans="1:3">
      <c r="A2298" s="6">
        <v>43005</v>
      </c>
      <c r="B2298" s="7">
        <v>3.5053</v>
      </c>
      <c r="C2298" s="7">
        <v>3.7813</v>
      </c>
    </row>
    <row r="2299" spans="1:3">
      <c r="A2299" s="6">
        <v>43006</v>
      </c>
      <c r="B2299" s="7">
        <v>3.4972</v>
      </c>
      <c r="C2299" s="7">
        <v>3.7818</v>
      </c>
    </row>
    <row r="2300" spans="1:3">
      <c r="A2300" s="6">
        <v>43007</v>
      </c>
      <c r="B2300" s="7">
        <v>3.4967</v>
      </c>
      <c r="C2300" s="7">
        <v>3.7861</v>
      </c>
    </row>
    <row r="2301" spans="1:3">
      <c r="A2301" s="6">
        <v>43008</v>
      </c>
      <c r="B2301" s="7">
        <v>3.5</v>
      </c>
      <c r="C2301" s="7">
        <v>3.7958</v>
      </c>
    </row>
    <row r="2302" spans="1:3">
      <c r="A2302" s="6">
        <v>43017</v>
      </c>
      <c r="B2302" s="7">
        <v>3.5167</v>
      </c>
      <c r="C2302" s="7">
        <v>3.8106</v>
      </c>
    </row>
    <row r="2303" spans="1:3">
      <c r="A2303" s="6">
        <v>43018</v>
      </c>
      <c r="B2303" s="7">
        <v>3.5217</v>
      </c>
      <c r="C2303" s="7">
        <v>3.8187</v>
      </c>
    </row>
    <row r="2304" spans="1:3">
      <c r="A2304" s="6">
        <v>43019</v>
      </c>
      <c r="B2304" s="7">
        <v>3.5123</v>
      </c>
      <c r="C2304" s="7">
        <v>3.8151</v>
      </c>
    </row>
    <row r="2305" spans="1:3">
      <c r="A2305" s="6">
        <v>43020</v>
      </c>
      <c r="B2305" s="7">
        <v>3.5185</v>
      </c>
      <c r="C2305" s="7">
        <v>3.8251</v>
      </c>
    </row>
    <row r="2306" spans="1:3">
      <c r="A2306" s="6">
        <v>43021</v>
      </c>
      <c r="B2306" s="7">
        <v>3.5143</v>
      </c>
      <c r="C2306" s="7">
        <v>3.8305</v>
      </c>
    </row>
    <row r="2307" spans="1:3">
      <c r="A2307" s="6">
        <v>43024</v>
      </c>
      <c r="B2307" s="7">
        <v>3.5407</v>
      </c>
      <c r="C2307" s="7">
        <v>3.8722</v>
      </c>
    </row>
    <row r="2308" spans="1:3">
      <c r="A2308" s="6">
        <v>43025</v>
      </c>
      <c r="B2308" s="7">
        <v>3.5488</v>
      </c>
      <c r="C2308" s="7">
        <v>3.8939</v>
      </c>
    </row>
    <row r="2309" spans="1:3">
      <c r="A2309" s="6">
        <v>43026</v>
      </c>
      <c r="B2309" s="7">
        <v>3.5376</v>
      </c>
      <c r="C2309" s="7">
        <v>3.8832</v>
      </c>
    </row>
    <row r="2310" spans="1:3">
      <c r="A2310" s="6">
        <v>43027</v>
      </c>
      <c r="B2310" s="7">
        <v>3.5284</v>
      </c>
      <c r="C2310" s="7">
        <v>3.8647</v>
      </c>
    </row>
    <row r="2311" spans="1:3">
      <c r="A2311" s="6">
        <v>43028</v>
      </c>
      <c r="B2311" s="7">
        <v>3.5317</v>
      </c>
      <c r="C2311" s="7">
        <v>3.8671</v>
      </c>
    </row>
    <row r="2312" spans="1:3">
      <c r="A2312" s="6">
        <v>43031</v>
      </c>
      <c r="B2312" s="7">
        <v>3.5429</v>
      </c>
      <c r="C2312" s="7">
        <v>3.8823</v>
      </c>
    </row>
    <row r="2313" spans="1:3">
      <c r="A2313" s="6">
        <v>43032</v>
      </c>
      <c r="B2313" s="7">
        <v>3.5427</v>
      </c>
      <c r="C2313" s="7">
        <v>3.8822</v>
      </c>
    </row>
    <row r="2314" spans="1:3">
      <c r="A2314" s="6">
        <v>43033</v>
      </c>
      <c r="B2314" s="7">
        <v>3.591</v>
      </c>
      <c r="C2314" s="7">
        <v>3.9347</v>
      </c>
    </row>
    <row r="2315" spans="1:3">
      <c r="A2315" s="6">
        <v>43034</v>
      </c>
      <c r="B2315" s="7">
        <v>3.6025</v>
      </c>
      <c r="C2315" s="7">
        <v>3.9609</v>
      </c>
    </row>
    <row r="2316" spans="1:3">
      <c r="A2316" s="6">
        <v>43035</v>
      </c>
      <c r="B2316" s="7">
        <v>3.5992</v>
      </c>
      <c r="C2316" s="7">
        <v>3.9618</v>
      </c>
    </row>
    <row r="2317" spans="1:3">
      <c r="A2317" s="6">
        <v>43038</v>
      </c>
      <c r="B2317" s="7">
        <v>3.6375</v>
      </c>
      <c r="C2317" s="7">
        <v>4.0197</v>
      </c>
    </row>
    <row r="2318" spans="1:3">
      <c r="A2318" s="6">
        <v>43039</v>
      </c>
      <c r="B2318" s="7">
        <v>3.6096</v>
      </c>
      <c r="C2318" s="7">
        <v>3.985</v>
      </c>
    </row>
    <row r="2319" spans="1:3">
      <c r="A2319" s="6">
        <v>43040</v>
      </c>
      <c r="B2319" s="7">
        <v>3.589</v>
      </c>
      <c r="C2319" s="7">
        <v>3.9643</v>
      </c>
    </row>
    <row r="2320" spans="1:3">
      <c r="A2320" s="6">
        <v>43041</v>
      </c>
      <c r="B2320" s="7">
        <v>3.5903</v>
      </c>
      <c r="C2320" s="7">
        <v>3.9716</v>
      </c>
    </row>
    <row r="2321" spans="1:3">
      <c r="A2321" s="6">
        <v>43042</v>
      </c>
      <c r="B2321" s="7">
        <v>3.5907</v>
      </c>
      <c r="C2321" s="7">
        <v>3.9778</v>
      </c>
    </row>
    <row r="2322" spans="1:3">
      <c r="A2322" s="6">
        <v>43045</v>
      </c>
      <c r="B2322" s="7">
        <v>3.5866</v>
      </c>
      <c r="C2322" s="7">
        <v>3.9716</v>
      </c>
    </row>
    <row r="2323" spans="1:3">
      <c r="A2323" s="6">
        <v>43046</v>
      </c>
      <c r="B2323" s="7">
        <v>3.5828</v>
      </c>
      <c r="C2323" s="7">
        <v>3.9723</v>
      </c>
    </row>
    <row r="2324" spans="1:3">
      <c r="A2324" s="6">
        <v>43047</v>
      </c>
      <c r="B2324" s="7">
        <v>3.5906</v>
      </c>
      <c r="C2324" s="7">
        <v>3.9741</v>
      </c>
    </row>
    <row r="2325" spans="1:3">
      <c r="A2325" s="6">
        <v>43048</v>
      </c>
      <c r="B2325" s="7">
        <v>3.5972</v>
      </c>
      <c r="C2325" s="7">
        <v>3.9716</v>
      </c>
    </row>
    <row r="2326" spans="1:3">
      <c r="A2326" s="6">
        <v>43049</v>
      </c>
      <c r="B2326" s="7">
        <v>3.6214</v>
      </c>
      <c r="C2326" s="7">
        <v>3.9907</v>
      </c>
    </row>
    <row r="2327" spans="1:3">
      <c r="A2327" s="6">
        <v>43052</v>
      </c>
      <c r="B2327" s="7">
        <v>3.6546</v>
      </c>
      <c r="C2327" s="7">
        <v>4.035</v>
      </c>
    </row>
    <row r="2328" spans="1:3">
      <c r="A2328" s="6">
        <v>43053</v>
      </c>
      <c r="B2328" s="7">
        <v>3.6524</v>
      </c>
      <c r="C2328" s="7">
        <v>4.045</v>
      </c>
    </row>
    <row r="2329" spans="1:3">
      <c r="A2329" s="6">
        <v>43054</v>
      </c>
      <c r="B2329" s="7">
        <v>3.6273</v>
      </c>
      <c r="C2329" s="7">
        <v>3.9702</v>
      </c>
    </row>
    <row r="2330" spans="1:3">
      <c r="A2330" s="6">
        <v>43055</v>
      </c>
      <c r="B2330" s="7">
        <v>3.6126</v>
      </c>
      <c r="C2330" s="7">
        <v>3.937</v>
      </c>
    </row>
    <row r="2331" spans="1:3">
      <c r="A2331" s="6">
        <v>43056</v>
      </c>
      <c r="B2331" s="7">
        <v>3.6059</v>
      </c>
      <c r="C2331" s="7">
        <v>3.9796</v>
      </c>
    </row>
    <row r="2332" spans="1:3">
      <c r="A2332" s="6">
        <v>43059</v>
      </c>
      <c r="B2332" s="7">
        <v>3.5978</v>
      </c>
      <c r="C2332" s="7">
        <v>3.974</v>
      </c>
    </row>
    <row r="2333" spans="1:3">
      <c r="A2333" s="6">
        <v>43060</v>
      </c>
      <c r="B2333" s="7">
        <v>3.5958</v>
      </c>
      <c r="C2333" s="7">
        <v>3.9758</v>
      </c>
    </row>
    <row r="2334" spans="1:3">
      <c r="A2334" s="6">
        <v>43061</v>
      </c>
      <c r="B2334" s="7">
        <v>3.6173</v>
      </c>
      <c r="C2334" s="7">
        <v>3.9899</v>
      </c>
    </row>
    <row r="2335" spans="1:3">
      <c r="A2335" s="6">
        <v>43062</v>
      </c>
      <c r="B2335" s="7">
        <v>3.6203</v>
      </c>
      <c r="C2335" s="7">
        <v>3.9982</v>
      </c>
    </row>
    <row r="2336" spans="1:3">
      <c r="A2336" s="6">
        <v>43063</v>
      </c>
      <c r="B2336" s="7">
        <v>3.6066</v>
      </c>
      <c r="C2336" s="7">
        <v>3.9705</v>
      </c>
    </row>
    <row r="2337" spans="1:3">
      <c r="A2337" s="6">
        <v>43066</v>
      </c>
      <c r="B2337" s="7">
        <v>3.6075</v>
      </c>
      <c r="C2337" s="7">
        <v>3.9717</v>
      </c>
    </row>
    <row r="2338" spans="1:3">
      <c r="A2338" s="6">
        <v>43067</v>
      </c>
      <c r="B2338" s="7">
        <v>3.6183</v>
      </c>
      <c r="C2338" s="7">
        <v>3.9794</v>
      </c>
    </row>
    <row r="2339" spans="1:3">
      <c r="A2339" s="6">
        <v>43068</v>
      </c>
      <c r="B2339" s="7">
        <v>3.6327</v>
      </c>
      <c r="C2339" s="7">
        <v>3.9851</v>
      </c>
    </row>
    <row r="2340" spans="1:3">
      <c r="A2340" s="6">
        <v>43069</v>
      </c>
      <c r="B2340" s="7">
        <v>3.6258</v>
      </c>
      <c r="C2340" s="7">
        <v>3.9758</v>
      </c>
    </row>
    <row r="2341" spans="1:3">
      <c r="A2341" s="6">
        <v>43070</v>
      </c>
      <c r="B2341" s="7">
        <v>3.6175</v>
      </c>
      <c r="C2341" s="7">
        <v>3.9694</v>
      </c>
    </row>
    <row r="2342" spans="1:3">
      <c r="A2342" s="6">
        <v>43073</v>
      </c>
      <c r="B2342" s="7">
        <v>3.6143</v>
      </c>
      <c r="C2342" s="7">
        <v>3.971</v>
      </c>
    </row>
    <row r="2343" spans="1:3">
      <c r="A2343" s="6">
        <v>43074</v>
      </c>
      <c r="B2343" s="7">
        <v>3.6088</v>
      </c>
      <c r="C2343" s="7">
        <v>3.9699</v>
      </c>
    </row>
    <row r="2344" spans="1:3">
      <c r="A2344" s="6">
        <v>43075</v>
      </c>
      <c r="B2344" s="7">
        <v>3.6268</v>
      </c>
      <c r="C2344" s="7">
        <v>3.9823</v>
      </c>
    </row>
    <row r="2345" spans="1:3">
      <c r="A2345" s="6">
        <v>43076</v>
      </c>
      <c r="B2345" s="7">
        <v>3.6396</v>
      </c>
      <c r="C2345" s="7">
        <v>3.992</v>
      </c>
    </row>
    <row r="2346" spans="1:3">
      <c r="A2346" s="6">
        <v>43077</v>
      </c>
      <c r="B2346" s="7">
        <v>3.6655</v>
      </c>
      <c r="C2346" s="7">
        <v>4.0141</v>
      </c>
    </row>
    <row r="2347" spans="1:3">
      <c r="A2347" s="6">
        <v>43080</v>
      </c>
      <c r="B2347" s="7">
        <v>3.6949</v>
      </c>
      <c r="C2347" s="7">
        <v>4.0516</v>
      </c>
    </row>
    <row r="2348" spans="1:3">
      <c r="A2348" s="6">
        <v>43081</v>
      </c>
      <c r="B2348" s="7">
        <v>3.7181</v>
      </c>
      <c r="C2348" s="7">
        <v>4.0848</v>
      </c>
    </row>
    <row r="2349" spans="1:3">
      <c r="A2349" s="6">
        <v>43082</v>
      </c>
      <c r="B2349" s="7">
        <v>3.75</v>
      </c>
      <c r="C2349" s="7">
        <v>4.1121</v>
      </c>
    </row>
    <row r="2350" spans="1:3">
      <c r="A2350" s="6">
        <v>43083</v>
      </c>
      <c r="B2350" s="7">
        <v>3.6977</v>
      </c>
      <c r="C2350" s="7">
        <v>4.0607</v>
      </c>
    </row>
    <row r="2351" spans="1:3">
      <c r="A2351" s="6">
        <v>43084</v>
      </c>
      <c r="B2351" s="7">
        <v>3.6669</v>
      </c>
      <c r="C2351" s="7">
        <v>4.0294</v>
      </c>
    </row>
    <row r="2352" spans="1:3">
      <c r="A2352" s="6">
        <v>43087</v>
      </c>
      <c r="B2352" s="7">
        <v>3.6597</v>
      </c>
      <c r="C2352" s="7">
        <v>4.0184</v>
      </c>
    </row>
    <row r="2353" spans="1:3">
      <c r="A2353" s="6">
        <v>43088</v>
      </c>
      <c r="B2353" s="7">
        <v>3.6722</v>
      </c>
      <c r="C2353" s="7">
        <v>4.0358</v>
      </c>
    </row>
    <row r="2354" spans="1:3">
      <c r="A2354" s="6">
        <v>43089</v>
      </c>
      <c r="B2354" s="7">
        <v>3.6857</v>
      </c>
      <c r="C2354" s="7">
        <v>4.0486</v>
      </c>
    </row>
    <row r="2355" spans="1:3">
      <c r="A2355" s="6">
        <v>43090</v>
      </c>
      <c r="B2355" s="7">
        <v>3.6989</v>
      </c>
      <c r="C2355" s="7">
        <v>4.0676</v>
      </c>
    </row>
    <row r="2356" spans="1:3">
      <c r="A2356" s="6">
        <v>43091</v>
      </c>
      <c r="B2356" s="7">
        <v>3.6739</v>
      </c>
      <c r="C2356" s="7">
        <v>4.0498</v>
      </c>
    </row>
    <row r="2357" spans="1:3">
      <c r="A2357" s="6">
        <v>43094</v>
      </c>
      <c r="B2357" s="7">
        <v>3.6497</v>
      </c>
      <c r="C2357" s="7">
        <v>4.0283</v>
      </c>
    </row>
    <row r="2358" spans="1:3">
      <c r="A2358" s="6">
        <v>43095</v>
      </c>
      <c r="B2358" s="7">
        <v>3.6508</v>
      </c>
      <c r="C2358" s="7">
        <v>4.0351</v>
      </c>
    </row>
    <row r="2359" spans="1:3">
      <c r="A2359" s="6">
        <v>43096</v>
      </c>
      <c r="B2359" s="7">
        <v>3.672</v>
      </c>
      <c r="C2359" s="7">
        <v>4.0485</v>
      </c>
    </row>
    <row r="2360" spans="1:3">
      <c r="A2360" s="6">
        <v>43097</v>
      </c>
      <c r="B2360" s="7">
        <v>3.6811</v>
      </c>
      <c r="C2360" s="7">
        <v>4.0347</v>
      </c>
    </row>
    <row r="2361" spans="1:3">
      <c r="A2361" s="6">
        <v>43098</v>
      </c>
      <c r="B2361" s="7">
        <v>3.711</v>
      </c>
      <c r="C2361" s="7">
        <v>4.0476</v>
      </c>
    </row>
    <row r="2362" spans="1:3">
      <c r="A2362" s="6">
        <v>43102</v>
      </c>
      <c r="B2362" s="7">
        <v>3.6488</v>
      </c>
      <c r="C2362" s="7">
        <v>4.0275</v>
      </c>
    </row>
    <row r="2363" spans="1:3">
      <c r="A2363" s="6">
        <v>43103</v>
      </c>
      <c r="B2363" s="7">
        <v>3.6359</v>
      </c>
      <c r="C2363" s="7">
        <v>4.0356</v>
      </c>
    </row>
    <row r="2364" spans="1:3">
      <c r="A2364" s="6">
        <v>43104</v>
      </c>
      <c r="B2364" s="7">
        <v>3.6238</v>
      </c>
      <c r="C2364" s="7">
        <v>4.0417</v>
      </c>
    </row>
    <row r="2365" spans="1:3">
      <c r="A2365" s="6">
        <v>43105</v>
      </c>
      <c r="B2365" s="7">
        <v>3.5801</v>
      </c>
      <c r="C2365" s="7">
        <v>4.0096</v>
      </c>
    </row>
    <row r="2366" spans="1:3">
      <c r="A2366" s="6">
        <v>43108</v>
      </c>
      <c r="B2366" s="7">
        <v>3.5855</v>
      </c>
      <c r="C2366" s="7">
        <v>4.0031</v>
      </c>
    </row>
    <row r="2367" spans="1:3">
      <c r="A2367" s="6">
        <v>43109</v>
      </c>
      <c r="B2367" s="7">
        <v>3.5942</v>
      </c>
      <c r="C2367" s="7">
        <v>3.9982</v>
      </c>
    </row>
    <row r="2368" spans="1:3">
      <c r="A2368" s="6">
        <v>43110</v>
      </c>
      <c r="B2368" s="7">
        <v>3.631</v>
      </c>
      <c r="C2368" s="7">
        <v>4.0328</v>
      </c>
    </row>
    <row r="2369" spans="1:3">
      <c r="A2369" s="6">
        <v>43111</v>
      </c>
      <c r="B2369" s="7">
        <v>3.6549</v>
      </c>
      <c r="C2369" s="7">
        <v>4.0545</v>
      </c>
    </row>
    <row r="2370" spans="1:3">
      <c r="A2370" s="6">
        <v>43112</v>
      </c>
      <c r="B2370" s="7">
        <v>3.6343</v>
      </c>
      <c r="C2370" s="7">
        <v>4.0357</v>
      </c>
    </row>
    <row r="2371" spans="1:3">
      <c r="A2371" s="6">
        <v>43115</v>
      </c>
      <c r="B2371" s="7">
        <v>3.6191</v>
      </c>
      <c r="C2371" s="7">
        <v>4.0429</v>
      </c>
    </row>
    <row r="2372" spans="1:3">
      <c r="A2372" s="6">
        <v>43116</v>
      </c>
      <c r="B2372" s="7">
        <v>3.6009</v>
      </c>
      <c r="C2372" s="7">
        <v>4.028</v>
      </c>
    </row>
    <row r="2373" spans="1:3">
      <c r="A2373" s="6">
        <v>43117</v>
      </c>
      <c r="B2373" s="7">
        <v>3.6036</v>
      </c>
      <c r="C2373" s="7">
        <v>4.0379</v>
      </c>
    </row>
    <row r="2374" spans="1:3">
      <c r="A2374" s="6">
        <v>43118</v>
      </c>
      <c r="B2374" s="7">
        <v>3.6168</v>
      </c>
      <c r="C2374" s="7">
        <v>4.0544</v>
      </c>
    </row>
    <row r="2375" spans="1:3">
      <c r="A2375" s="6">
        <v>43119</v>
      </c>
      <c r="B2375" s="7">
        <v>3.6191</v>
      </c>
      <c r="C2375" s="7">
        <v>4.0689</v>
      </c>
    </row>
    <row r="2376" spans="1:3">
      <c r="A2376" s="6">
        <v>43122</v>
      </c>
      <c r="B2376" s="7">
        <v>3.5988</v>
      </c>
      <c r="C2376" s="7">
        <v>4.0554</v>
      </c>
    </row>
    <row r="2377" spans="1:3">
      <c r="A2377" s="6">
        <v>43123</v>
      </c>
      <c r="B2377" s="7">
        <v>3.5813</v>
      </c>
      <c r="C2377" s="7">
        <v>4.0427</v>
      </c>
    </row>
    <row r="2378" spans="1:3">
      <c r="A2378" s="6">
        <v>43124</v>
      </c>
      <c r="B2378" s="7">
        <v>3.5804</v>
      </c>
      <c r="C2378" s="7">
        <v>4.0178</v>
      </c>
    </row>
    <row r="2379" spans="1:3">
      <c r="A2379" s="6">
        <v>43125</v>
      </c>
      <c r="B2379" s="7">
        <v>3.5707</v>
      </c>
      <c r="C2379" s="7">
        <v>4.0059</v>
      </c>
    </row>
    <row r="2380" spans="1:3">
      <c r="A2380" s="6">
        <v>43126</v>
      </c>
      <c r="B2380" s="7">
        <v>3.5667</v>
      </c>
      <c r="C2380" s="7">
        <v>3.9984</v>
      </c>
    </row>
    <row r="2381" spans="1:3">
      <c r="A2381" s="6">
        <v>43129</v>
      </c>
      <c r="B2381" s="7">
        <v>3.5794</v>
      </c>
      <c r="C2381" s="7">
        <v>4.0089</v>
      </c>
    </row>
    <row r="2382" spans="1:3">
      <c r="A2382" s="6">
        <v>43130</v>
      </c>
      <c r="B2382" s="7">
        <v>3.5867</v>
      </c>
      <c r="C2382" s="7">
        <v>4.0238</v>
      </c>
    </row>
    <row r="2383" spans="1:3">
      <c r="A2383" s="6">
        <v>43131</v>
      </c>
      <c r="B2383" s="7">
        <v>3.5796</v>
      </c>
      <c r="C2383" s="7">
        <v>4.0248</v>
      </c>
    </row>
    <row r="2384" spans="1:3">
      <c r="A2384" s="6">
        <v>43132</v>
      </c>
      <c r="B2384" s="7">
        <v>3.5629</v>
      </c>
      <c r="C2384" s="7">
        <v>4.0051</v>
      </c>
    </row>
    <row r="2385" spans="1:3">
      <c r="A2385" s="6">
        <v>43133</v>
      </c>
      <c r="B2385" s="7">
        <v>3.561</v>
      </c>
      <c r="C2385" s="7">
        <v>3.9961</v>
      </c>
    </row>
    <row r="2386" spans="1:3">
      <c r="A2386" s="6">
        <v>43136</v>
      </c>
      <c r="B2386" s="7">
        <v>3.5521</v>
      </c>
      <c r="C2386" s="7">
        <v>4.0276</v>
      </c>
    </row>
    <row r="2387" spans="1:3">
      <c r="A2387" s="6">
        <v>43137</v>
      </c>
      <c r="B2387" s="7">
        <v>3.55</v>
      </c>
      <c r="C2387" s="7">
        <v>4.0027</v>
      </c>
    </row>
    <row r="2388" spans="1:3">
      <c r="A2388" s="6">
        <v>43138</v>
      </c>
      <c r="B2388" s="7">
        <v>3.5458</v>
      </c>
      <c r="C2388" s="7">
        <v>3.9997</v>
      </c>
    </row>
    <row r="2389" spans="1:3">
      <c r="A2389" s="6">
        <v>43139</v>
      </c>
      <c r="B2389" s="7">
        <v>3.5321</v>
      </c>
      <c r="C2389" s="7">
        <v>3.9819</v>
      </c>
    </row>
    <row r="2390" spans="1:3">
      <c r="A2390" s="6">
        <v>43140</v>
      </c>
      <c r="B2390" s="7">
        <v>3.5344</v>
      </c>
      <c r="C2390" s="7">
        <v>3.9908</v>
      </c>
    </row>
    <row r="2391" spans="1:3">
      <c r="A2391" s="6">
        <v>43142</v>
      </c>
      <c r="B2391" s="7"/>
      <c r="C2391" s="7">
        <v>3.9924</v>
      </c>
    </row>
    <row r="2392" spans="1:3">
      <c r="A2392" s="6">
        <v>43143</v>
      </c>
      <c r="B2392" s="7">
        <v>3.53</v>
      </c>
      <c r="C2392" s="7">
        <v>3.9796</v>
      </c>
    </row>
    <row r="2393" spans="1:3">
      <c r="A2393" s="6">
        <v>43144</v>
      </c>
      <c r="B2393" s="7">
        <v>3.5348</v>
      </c>
      <c r="C2393" s="7">
        <v>3.9842</v>
      </c>
    </row>
    <row r="2394" spans="1:3">
      <c r="A2394" s="6">
        <v>43145</v>
      </c>
      <c r="B2394" s="7">
        <v>3.5371</v>
      </c>
      <c r="C2394" s="7">
        <v>3.99</v>
      </c>
    </row>
    <row r="2395" spans="1:3">
      <c r="A2395" s="6">
        <v>43153</v>
      </c>
      <c r="B2395" s="7">
        <v>3.5532</v>
      </c>
      <c r="C2395" s="7">
        <v>4.011</v>
      </c>
    </row>
    <row r="2396" spans="1:3">
      <c r="A2396" s="6">
        <v>43154</v>
      </c>
      <c r="B2396" s="7">
        <v>3.5281</v>
      </c>
      <c r="C2396" s="7">
        <v>3.9959</v>
      </c>
    </row>
    <row r="2397" spans="1:3">
      <c r="A2397" s="6">
        <v>43155</v>
      </c>
      <c r="B2397" s="7">
        <v>3.5175</v>
      </c>
      <c r="C2397" s="7"/>
    </row>
    <row r="2398" spans="1:3">
      <c r="A2398" s="6">
        <v>43157</v>
      </c>
      <c r="B2398" s="7">
        <v>3.4834</v>
      </c>
      <c r="C2398" s="7">
        <v>3.9432</v>
      </c>
    </row>
    <row r="2399" spans="1:3">
      <c r="A2399" s="6">
        <v>43158</v>
      </c>
      <c r="B2399" s="7">
        <v>3.4725</v>
      </c>
      <c r="C2399" s="7">
        <v>3.9147</v>
      </c>
    </row>
    <row r="2400" spans="1:3">
      <c r="A2400" s="6">
        <v>43159</v>
      </c>
      <c r="B2400" s="7">
        <v>3.4988</v>
      </c>
      <c r="C2400" s="7">
        <v>3.9232</v>
      </c>
    </row>
    <row r="2401" spans="1:3">
      <c r="A2401" s="6">
        <v>43160</v>
      </c>
      <c r="B2401" s="7">
        <v>3.507</v>
      </c>
      <c r="C2401" s="7">
        <v>3.9259</v>
      </c>
    </row>
    <row r="2402" spans="1:3">
      <c r="A2402" s="6">
        <v>43161</v>
      </c>
      <c r="B2402" s="7">
        <v>3.5245</v>
      </c>
      <c r="C2402" s="7">
        <v>3.9455</v>
      </c>
    </row>
    <row r="2403" spans="1:3">
      <c r="A2403" s="6">
        <v>43164</v>
      </c>
      <c r="B2403" s="7">
        <v>3.5362</v>
      </c>
      <c r="C2403" s="7">
        <v>3.9546</v>
      </c>
    </row>
    <row r="2404" spans="1:3">
      <c r="A2404" s="6">
        <v>43165</v>
      </c>
      <c r="B2404" s="7">
        <v>3.5139</v>
      </c>
      <c r="C2404" s="7">
        <v>3.9338</v>
      </c>
    </row>
    <row r="2405" spans="1:3">
      <c r="A2405" s="6">
        <v>43166</v>
      </c>
      <c r="B2405" s="7">
        <v>3.5051</v>
      </c>
      <c r="C2405" s="7">
        <v>3.9206</v>
      </c>
    </row>
    <row r="2406" spans="1:3">
      <c r="A2406" s="6">
        <v>43167</v>
      </c>
      <c r="B2406" s="7">
        <v>3.4933</v>
      </c>
      <c r="C2406" s="7">
        <v>3.9075</v>
      </c>
    </row>
    <row r="2407" spans="1:3">
      <c r="A2407" s="6">
        <v>43168</v>
      </c>
      <c r="B2407" s="7">
        <v>3.4882</v>
      </c>
      <c r="C2407" s="7">
        <v>3.9208</v>
      </c>
    </row>
    <row r="2408" spans="1:3">
      <c r="A2408" s="6">
        <v>43171</v>
      </c>
      <c r="B2408" s="7">
        <v>3.4909</v>
      </c>
      <c r="C2408" s="7">
        <v>3.9156</v>
      </c>
    </row>
    <row r="2409" spans="1:3">
      <c r="A2409" s="6">
        <v>43172</v>
      </c>
      <c r="B2409" s="7">
        <v>3.5168</v>
      </c>
      <c r="C2409" s="7">
        <v>3.9329</v>
      </c>
    </row>
    <row r="2410" spans="1:3">
      <c r="A2410" s="6">
        <v>43173</v>
      </c>
      <c r="B2410" s="7">
        <v>3.5135</v>
      </c>
      <c r="C2410" s="7">
        <v>3.9337</v>
      </c>
    </row>
    <row r="2411" spans="1:3">
      <c r="A2411" s="6">
        <v>43174</v>
      </c>
      <c r="B2411" s="7">
        <v>3.5066</v>
      </c>
      <c r="C2411" s="7">
        <v>3.9212</v>
      </c>
    </row>
    <row r="2412" spans="1:3">
      <c r="A2412" s="6">
        <v>43175</v>
      </c>
      <c r="B2412" s="7">
        <v>3.4922</v>
      </c>
      <c r="C2412" s="7">
        <v>3.914</v>
      </c>
    </row>
    <row r="2413" spans="1:3">
      <c r="A2413" s="6">
        <v>43178</v>
      </c>
      <c r="B2413" s="7">
        <v>3.4918</v>
      </c>
      <c r="C2413" s="7">
        <v>3.9176</v>
      </c>
    </row>
    <row r="2414" spans="1:3">
      <c r="A2414" s="6">
        <v>43179</v>
      </c>
      <c r="B2414" s="7">
        <v>3.4787</v>
      </c>
      <c r="C2414" s="7">
        <v>3.9058</v>
      </c>
    </row>
    <row r="2415" spans="1:3">
      <c r="A2415" s="6">
        <v>43180</v>
      </c>
      <c r="B2415" s="7">
        <v>3.468</v>
      </c>
      <c r="C2415" s="7">
        <v>3.8871</v>
      </c>
    </row>
    <row r="2416" spans="1:3">
      <c r="A2416" s="6">
        <v>43181</v>
      </c>
      <c r="B2416" s="7">
        <v>3.4436</v>
      </c>
      <c r="C2416" s="7">
        <v>3.8455</v>
      </c>
    </row>
    <row r="2417" spans="1:3">
      <c r="A2417" s="6">
        <v>43182</v>
      </c>
      <c r="B2417" s="7">
        <v>3.3826</v>
      </c>
      <c r="C2417" s="7">
        <v>3.7457</v>
      </c>
    </row>
    <row r="2418" spans="1:3">
      <c r="A2418" s="6">
        <v>43185</v>
      </c>
      <c r="B2418" s="7">
        <v>3.4124</v>
      </c>
      <c r="C2418" s="7">
        <v>3.7677</v>
      </c>
    </row>
    <row r="2419" spans="1:3">
      <c r="A2419" s="6">
        <v>43186</v>
      </c>
      <c r="B2419" s="7">
        <v>3.4187</v>
      </c>
      <c r="C2419" s="7">
        <v>3.7815</v>
      </c>
    </row>
    <row r="2420" spans="1:3">
      <c r="A2420" s="6">
        <v>43187</v>
      </c>
      <c r="B2420" s="7">
        <v>3.3806</v>
      </c>
      <c r="C2420" s="7">
        <v>3.7529</v>
      </c>
    </row>
    <row r="2421" spans="1:3">
      <c r="A2421" s="6">
        <v>43188</v>
      </c>
      <c r="B2421" s="7">
        <v>3.3707</v>
      </c>
      <c r="C2421" s="7">
        <v>3.7373</v>
      </c>
    </row>
    <row r="2422" spans="1:3">
      <c r="A2422" s="6">
        <v>43189</v>
      </c>
      <c r="B2422" s="7">
        <v>3.3557</v>
      </c>
      <c r="C2422" s="7">
        <v>3.6953</v>
      </c>
    </row>
    <row r="2423" spans="1:3">
      <c r="A2423" s="6">
        <v>43192</v>
      </c>
      <c r="B2423" s="7">
        <v>3.3611</v>
      </c>
      <c r="C2423" s="7">
        <v>3.7101</v>
      </c>
    </row>
    <row r="2424" spans="1:3">
      <c r="A2424" s="6">
        <v>43193</v>
      </c>
      <c r="B2424" s="7">
        <v>3.3428</v>
      </c>
      <c r="C2424" s="7">
        <v>3.6943</v>
      </c>
    </row>
    <row r="2425" spans="1:3">
      <c r="A2425" s="6">
        <v>43194</v>
      </c>
      <c r="B2425" s="7">
        <v>3.3222</v>
      </c>
      <c r="C2425" s="7">
        <v>3.6751</v>
      </c>
    </row>
    <row r="2426" spans="1:3">
      <c r="A2426" s="6">
        <v>43198</v>
      </c>
      <c r="B2426" s="7">
        <v>3.3079</v>
      </c>
      <c r="C2426" s="7">
        <v>3.628</v>
      </c>
    </row>
    <row r="2427" spans="1:3">
      <c r="A2427" s="6">
        <v>43199</v>
      </c>
      <c r="B2427" s="7">
        <v>3.2725</v>
      </c>
      <c r="C2427" s="7">
        <v>3.6255</v>
      </c>
    </row>
    <row r="2428" spans="1:3">
      <c r="A2428" s="6">
        <v>43200</v>
      </c>
      <c r="B2428" s="7">
        <v>3.2908</v>
      </c>
      <c r="C2428" s="7">
        <v>3.6621</v>
      </c>
    </row>
    <row r="2429" spans="1:3">
      <c r="A2429" s="6">
        <v>43201</v>
      </c>
      <c r="B2429" s="7">
        <v>3.2922</v>
      </c>
      <c r="C2429" s="7">
        <v>3.6907</v>
      </c>
    </row>
    <row r="2430" spans="1:3">
      <c r="A2430" s="6">
        <v>43202</v>
      </c>
      <c r="B2430" s="7">
        <v>3.2759</v>
      </c>
      <c r="C2430" s="7">
        <v>3.67</v>
      </c>
    </row>
    <row r="2431" spans="1:3">
      <c r="A2431" s="6">
        <v>43203</v>
      </c>
      <c r="B2431" s="7">
        <v>3.3057</v>
      </c>
      <c r="C2431" s="7">
        <v>3.7079</v>
      </c>
    </row>
    <row r="2432" spans="1:3">
      <c r="A2432" s="6">
        <v>43206</v>
      </c>
      <c r="B2432" s="7">
        <v>3.282</v>
      </c>
      <c r="C2432" s="7">
        <v>3.6855</v>
      </c>
    </row>
    <row r="2433" spans="1:3">
      <c r="A2433" s="6">
        <v>43207</v>
      </c>
      <c r="B2433" s="7">
        <v>3.3014</v>
      </c>
      <c r="C2433" s="7">
        <v>3.6831</v>
      </c>
    </row>
    <row r="2434" spans="1:3">
      <c r="A2434" s="6">
        <v>43208</v>
      </c>
      <c r="B2434" s="7">
        <v>3.1884</v>
      </c>
      <c r="C2434" s="7">
        <v>3.5319</v>
      </c>
    </row>
    <row r="2435" spans="1:3">
      <c r="A2435" s="6">
        <v>43209</v>
      </c>
      <c r="B2435" s="7">
        <v>3.2165</v>
      </c>
      <c r="C2435" s="7">
        <v>3.559</v>
      </c>
    </row>
    <row r="2436" spans="1:3">
      <c r="A2436" s="6">
        <v>43210</v>
      </c>
      <c r="B2436" s="7">
        <v>3.2352</v>
      </c>
      <c r="C2436" s="7">
        <v>3.5729</v>
      </c>
    </row>
    <row r="2437" spans="1:3">
      <c r="A2437" s="6">
        <v>43213</v>
      </c>
      <c r="B2437" s="7">
        <v>3.2354</v>
      </c>
      <c r="C2437" s="7">
        <v>3.5984</v>
      </c>
    </row>
    <row r="2438" spans="1:3">
      <c r="A2438" s="6">
        <v>43214</v>
      </c>
      <c r="B2438" s="7">
        <v>3.2322</v>
      </c>
      <c r="C2438" s="7">
        <v>3.5969</v>
      </c>
    </row>
    <row r="2439" spans="1:3">
      <c r="A2439" s="6">
        <v>43215</v>
      </c>
      <c r="B2439" s="7">
        <v>3.2316</v>
      </c>
      <c r="C2439" s="7">
        <v>3.5912</v>
      </c>
    </row>
    <row r="2440" spans="1:3">
      <c r="A2440" s="6">
        <v>43216</v>
      </c>
      <c r="B2440" s="7">
        <v>3.2498</v>
      </c>
      <c r="C2440" s="7">
        <v>3.6273</v>
      </c>
    </row>
    <row r="2441" spans="1:3">
      <c r="A2441" s="6">
        <v>43217</v>
      </c>
      <c r="B2441" s="7">
        <v>3.2745</v>
      </c>
      <c r="C2441" s="7">
        <v>3.6361</v>
      </c>
    </row>
    <row r="2442" spans="1:3">
      <c r="A2442" s="6">
        <v>43218</v>
      </c>
      <c r="B2442" s="7">
        <v>3.2685</v>
      </c>
      <c r="C2442" s="7">
        <v>3.6275</v>
      </c>
    </row>
    <row r="2443" spans="1:3">
      <c r="A2443" s="6">
        <v>43222</v>
      </c>
      <c r="B2443" s="7">
        <v>3.2797</v>
      </c>
      <c r="C2443" s="7">
        <v>3.6523</v>
      </c>
    </row>
    <row r="2444" spans="1:3">
      <c r="A2444" s="6">
        <v>43223</v>
      </c>
      <c r="B2444" s="7">
        <v>3.242</v>
      </c>
      <c r="C2444" s="7">
        <v>3.6262</v>
      </c>
    </row>
    <row r="2445" spans="1:3">
      <c r="A2445" s="6">
        <v>43224</v>
      </c>
      <c r="B2445" s="7">
        <v>3.2093</v>
      </c>
      <c r="C2445" s="7">
        <v>3.5942</v>
      </c>
    </row>
    <row r="2446" spans="1:3">
      <c r="A2446" s="6">
        <v>43227</v>
      </c>
      <c r="B2446" s="7">
        <v>3.1995</v>
      </c>
      <c r="C2446" s="7">
        <v>3.5936</v>
      </c>
    </row>
    <row r="2447" spans="1:3">
      <c r="A2447" s="6">
        <v>43228</v>
      </c>
      <c r="B2447" s="7">
        <v>3.2018</v>
      </c>
      <c r="C2447" s="7">
        <v>3.6101</v>
      </c>
    </row>
    <row r="2448" spans="1:3">
      <c r="A2448" s="6">
        <v>43229</v>
      </c>
      <c r="B2448" s="7">
        <v>3.2201</v>
      </c>
      <c r="C2448" s="7">
        <v>3.6406</v>
      </c>
    </row>
    <row r="2449" spans="1:3">
      <c r="A2449" s="6">
        <v>43230</v>
      </c>
      <c r="B2449" s="7">
        <v>3.2274</v>
      </c>
      <c r="C2449" s="7">
        <v>3.6442</v>
      </c>
    </row>
    <row r="2450" spans="1:3">
      <c r="A2450" s="6">
        <v>43231</v>
      </c>
      <c r="B2450" s="7">
        <v>3.2144</v>
      </c>
      <c r="C2450" s="7">
        <v>3.6223</v>
      </c>
    </row>
    <row r="2451" spans="1:3">
      <c r="A2451" s="6">
        <v>43234</v>
      </c>
      <c r="B2451" s="7">
        <v>3.2202</v>
      </c>
      <c r="C2451" s="7">
        <v>3.6283</v>
      </c>
    </row>
    <row r="2452" spans="1:3">
      <c r="A2452" s="6">
        <v>43235</v>
      </c>
      <c r="B2452" s="7">
        <v>3.239</v>
      </c>
      <c r="C2452" s="7">
        <v>3.6509</v>
      </c>
    </row>
    <row r="2453" spans="1:3">
      <c r="A2453" s="6">
        <v>43236</v>
      </c>
      <c r="B2453" s="7">
        <v>3.2493</v>
      </c>
      <c r="C2453" s="7">
        <v>3.6626</v>
      </c>
    </row>
    <row r="2454" spans="1:3">
      <c r="A2454" s="6">
        <v>43237</v>
      </c>
      <c r="B2454" s="7">
        <v>3.2236</v>
      </c>
      <c r="C2454" s="7">
        <v>3.6507</v>
      </c>
    </row>
    <row r="2455" spans="1:3">
      <c r="A2455" s="6">
        <v>43238</v>
      </c>
      <c r="B2455" s="7">
        <v>3.2092</v>
      </c>
      <c r="C2455" s="7">
        <v>3.6571</v>
      </c>
    </row>
    <row r="2456" spans="1:3">
      <c r="A2456" s="6">
        <v>43241</v>
      </c>
      <c r="B2456" s="7">
        <v>3.2016</v>
      </c>
      <c r="C2456" s="7">
        <v>3.639</v>
      </c>
    </row>
    <row r="2457" spans="1:3">
      <c r="A2457" s="6">
        <v>43242</v>
      </c>
      <c r="B2457" s="7">
        <v>3.1977</v>
      </c>
      <c r="C2457" s="7">
        <v>3.6263</v>
      </c>
    </row>
    <row r="2458" spans="1:3">
      <c r="A2458" s="6">
        <v>43243</v>
      </c>
      <c r="B2458" s="7">
        <v>3.1962</v>
      </c>
      <c r="C2458" s="7">
        <v>3.6164</v>
      </c>
    </row>
    <row r="2459" spans="1:3">
      <c r="A2459" s="6">
        <v>43244</v>
      </c>
      <c r="B2459" s="7">
        <v>3.185</v>
      </c>
      <c r="C2459" s="7">
        <v>3.5992</v>
      </c>
    </row>
    <row r="2460" spans="1:3">
      <c r="A2460" s="6">
        <v>43245</v>
      </c>
      <c r="B2460" s="7">
        <v>3.1964</v>
      </c>
      <c r="C2460" s="7">
        <v>3.6039</v>
      </c>
    </row>
    <row r="2461" spans="1:3">
      <c r="A2461" s="6">
        <v>43248</v>
      </c>
      <c r="B2461" s="7">
        <v>3.1943</v>
      </c>
      <c r="C2461" s="7">
        <v>3.5964</v>
      </c>
    </row>
    <row r="2462" spans="1:3">
      <c r="A2462" s="6">
        <v>43249</v>
      </c>
      <c r="B2462" s="7">
        <v>3.2032</v>
      </c>
      <c r="C2462" s="7">
        <v>3.6105</v>
      </c>
    </row>
    <row r="2463" spans="1:3">
      <c r="A2463" s="6">
        <v>43250</v>
      </c>
      <c r="B2463" s="7">
        <v>3.2023</v>
      </c>
      <c r="C2463" s="7">
        <v>3.5996</v>
      </c>
    </row>
    <row r="2464" spans="1:3">
      <c r="A2464" s="6">
        <v>43251</v>
      </c>
      <c r="B2464" s="7">
        <v>3.1985</v>
      </c>
      <c r="C2464" s="7">
        <v>3.6021</v>
      </c>
    </row>
    <row r="2465" spans="1:3">
      <c r="A2465" s="6">
        <v>43252</v>
      </c>
      <c r="B2465" s="7">
        <v>3.1891</v>
      </c>
      <c r="C2465" s="7">
        <v>3.5981</v>
      </c>
    </row>
    <row r="2466" spans="1:3">
      <c r="A2466" s="6">
        <v>43255</v>
      </c>
      <c r="B2466" s="7">
        <v>3.1892</v>
      </c>
      <c r="C2466" s="7">
        <v>3.6093</v>
      </c>
    </row>
    <row r="2467" spans="1:3">
      <c r="A2467" s="6">
        <v>43256</v>
      </c>
      <c r="B2467" s="7">
        <v>3.1791</v>
      </c>
      <c r="C2467" s="7">
        <v>3.6014</v>
      </c>
    </row>
    <row r="2468" spans="1:3">
      <c r="A2468" s="6">
        <v>43257</v>
      </c>
      <c r="B2468" s="7">
        <v>3.1772</v>
      </c>
      <c r="C2468" s="7">
        <v>3.5933</v>
      </c>
    </row>
    <row r="2469" spans="1:3">
      <c r="A2469" s="6">
        <v>43258</v>
      </c>
      <c r="B2469" s="7">
        <v>3.1834</v>
      </c>
      <c r="C2469" s="7">
        <v>3.6019</v>
      </c>
    </row>
    <row r="2470" spans="1:3">
      <c r="A2470" s="6">
        <v>43259</v>
      </c>
      <c r="B2470" s="7">
        <v>3.1781</v>
      </c>
      <c r="C2470" s="7">
        <v>3.595</v>
      </c>
    </row>
    <row r="2471" spans="1:3">
      <c r="A2471" s="6">
        <v>43262</v>
      </c>
      <c r="B2471" s="7">
        <v>3.1706</v>
      </c>
      <c r="C2471" s="7">
        <v>3.5862</v>
      </c>
    </row>
    <row r="2472" spans="1:3">
      <c r="A2472" s="6">
        <v>43263</v>
      </c>
      <c r="B2472" s="7">
        <v>3.1813</v>
      </c>
      <c r="C2472" s="7">
        <v>3.5963</v>
      </c>
    </row>
    <row r="2473" spans="1:3">
      <c r="A2473" s="6">
        <v>43264</v>
      </c>
      <c r="B2473" s="7">
        <v>3.1775</v>
      </c>
      <c r="C2473" s="7">
        <v>3.5868</v>
      </c>
    </row>
    <row r="2474" spans="1:3">
      <c r="A2474" s="6">
        <v>43265</v>
      </c>
      <c r="B2474" s="7">
        <v>3.1605</v>
      </c>
      <c r="C2474" s="7">
        <v>3.553</v>
      </c>
    </row>
    <row r="2475" spans="1:3">
      <c r="A2475" s="6">
        <v>43266</v>
      </c>
      <c r="B2475" s="7">
        <v>3.1418</v>
      </c>
      <c r="C2475" s="7">
        <v>3.5126</v>
      </c>
    </row>
    <row r="2476" spans="1:3">
      <c r="A2476" s="6">
        <v>43270</v>
      </c>
      <c r="B2476" s="7">
        <v>3.1019</v>
      </c>
      <c r="C2476" s="7">
        <v>3.4597</v>
      </c>
    </row>
    <row r="2477" spans="1:3">
      <c r="A2477" s="6">
        <v>43271</v>
      </c>
      <c r="B2477" s="7">
        <v>3.1056</v>
      </c>
      <c r="C2477" s="7">
        <v>3.4387</v>
      </c>
    </row>
    <row r="2478" spans="1:3">
      <c r="A2478" s="6">
        <v>43272</v>
      </c>
      <c r="B2478" s="7">
        <v>3.0769</v>
      </c>
      <c r="C2478" s="7">
        <v>3.3684</v>
      </c>
    </row>
    <row r="2479" spans="1:3">
      <c r="A2479" s="6">
        <v>43273</v>
      </c>
      <c r="B2479" s="7">
        <v>3.0669</v>
      </c>
      <c r="C2479" s="7">
        <v>3.365</v>
      </c>
    </row>
    <row r="2480" spans="1:3">
      <c r="A2480" s="6">
        <v>43276</v>
      </c>
      <c r="B2480" s="7">
        <v>3.0529</v>
      </c>
      <c r="C2480" s="7">
        <v>3.3597</v>
      </c>
    </row>
    <row r="2481" spans="1:3">
      <c r="A2481" s="6">
        <v>43277</v>
      </c>
      <c r="B2481" s="7">
        <v>3.0416</v>
      </c>
      <c r="C2481" s="7">
        <v>3.3658</v>
      </c>
    </row>
    <row r="2482" spans="1:3">
      <c r="A2482" s="6">
        <v>43278</v>
      </c>
      <c r="B2482" s="7">
        <v>3.0455</v>
      </c>
      <c r="C2482" s="7">
        <v>3.3727</v>
      </c>
    </row>
    <row r="2483" spans="1:3">
      <c r="A2483" s="6">
        <v>43279</v>
      </c>
      <c r="B2483" s="7">
        <v>3.039</v>
      </c>
      <c r="C2483" s="7">
        <v>3.3463</v>
      </c>
    </row>
    <row r="2484" spans="1:3">
      <c r="A2484" s="6">
        <v>43280</v>
      </c>
      <c r="B2484" s="7">
        <v>3.0034</v>
      </c>
      <c r="C2484" s="7">
        <v>3.2982</v>
      </c>
    </row>
    <row r="2485" spans="1:3">
      <c r="A2485" s="6">
        <v>43283</v>
      </c>
      <c r="B2485" s="7">
        <v>2.9753</v>
      </c>
      <c r="C2485" s="7">
        <v>3.2963</v>
      </c>
    </row>
    <row r="2486" spans="1:3">
      <c r="A2486" s="6">
        <v>43284</v>
      </c>
      <c r="B2486" s="7">
        <v>2.9751</v>
      </c>
      <c r="C2486" s="7">
        <v>3.3002</v>
      </c>
    </row>
    <row r="2487" spans="1:3">
      <c r="A2487" s="6">
        <v>43285</v>
      </c>
      <c r="B2487" s="7">
        <v>2.9775</v>
      </c>
      <c r="C2487" s="7">
        <v>3.3089</v>
      </c>
    </row>
    <row r="2488" spans="1:3">
      <c r="A2488" s="6">
        <v>43286</v>
      </c>
      <c r="B2488" s="7">
        <v>2.9026</v>
      </c>
      <c r="C2488" s="7">
        <v>3.253</v>
      </c>
    </row>
    <row r="2489" spans="1:3">
      <c r="A2489" s="6">
        <v>43287</v>
      </c>
      <c r="B2489" s="7">
        <v>2.8288</v>
      </c>
      <c r="C2489" s="7">
        <v>3.2149</v>
      </c>
    </row>
    <row r="2490" spans="1:3">
      <c r="A2490" s="6">
        <v>43290</v>
      </c>
      <c r="B2490" s="7">
        <v>2.8705</v>
      </c>
      <c r="C2490" s="7">
        <v>3.2436</v>
      </c>
    </row>
    <row r="2491" spans="1:3">
      <c r="A2491" s="6">
        <v>43291</v>
      </c>
      <c r="B2491" s="7">
        <v>2.9149</v>
      </c>
      <c r="C2491" s="7">
        <v>3.2927</v>
      </c>
    </row>
    <row r="2492" spans="1:3">
      <c r="A2492" s="6">
        <v>43292</v>
      </c>
      <c r="B2492" s="7">
        <v>2.9108</v>
      </c>
      <c r="C2492" s="7">
        <v>3.268</v>
      </c>
    </row>
    <row r="2493" spans="1:3">
      <c r="A2493" s="6">
        <v>43293</v>
      </c>
      <c r="B2493" s="7">
        <v>2.899</v>
      </c>
      <c r="C2493" s="7">
        <v>3.2597</v>
      </c>
    </row>
    <row r="2494" spans="1:3">
      <c r="A2494" s="6">
        <v>43294</v>
      </c>
      <c r="B2494" s="7">
        <v>2.8793</v>
      </c>
      <c r="C2494" s="7">
        <v>3.2348</v>
      </c>
    </row>
    <row r="2495" spans="1:3">
      <c r="A2495" s="6">
        <v>43297</v>
      </c>
      <c r="B2495" s="7">
        <v>2.8621</v>
      </c>
      <c r="C2495" s="7">
        <v>3.1872</v>
      </c>
    </row>
    <row r="2496" spans="1:3">
      <c r="A2496" s="6">
        <v>43298</v>
      </c>
      <c r="B2496" s="7">
        <v>2.8725</v>
      </c>
      <c r="C2496" s="7">
        <v>3.1958</v>
      </c>
    </row>
    <row r="2497" spans="1:3">
      <c r="A2497" s="6">
        <v>43299</v>
      </c>
      <c r="B2497" s="7">
        <v>2.8515</v>
      </c>
      <c r="C2497" s="7">
        <v>3.1665</v>
      </c>
    </row>
    <row r="2498" spans="1:3">
      <c r="A2498" s="6">
        <v>43300</v>
      </c>
      <c r="B2498" s="7">
        <v>2.8043</v>
      </c>
      <c r="C2498" s="7">
        <v>3.1227</v>
      </c>
    </row>
    <row r="2499" spans="1:3">
      <c r="A2499" s="6">
        <v>43301</v>
      </c>
      <c r="B2499" s="7">
        <v>2.7926</v>
      </c>
      <c r="C2499" s="7">
        <v>3.0986</v>
      </c>
    </row>
    <row r="2500" spans="1:3">
      <c r="A2500" s="6">
        <v>43304</v>
      </c>
      <c r="B2500" s="7">
        <v>2.7935</v>
      </c>
      <c r="C2500" s="7">
        <v>3.1348</v>
      </c>
    </row>
    <row r="2501" spans="1:3">
      <c r="A2501" s="6">
        <v>43305</v>
      </c>
      <c r="B2501" s="7">
        <v>2.8011</v>
      </c>
      <c r="C2501" s="7">
        <v>3.1841</v>
      </c>
    </row>
    <row r="2502" spans="1:3">
      <c r="A2502" s="6">
        <v>43306</v>
      </c>
      <c r="B2502" s="7">
        <v>2.8122</v>
      </c>
      <c r="C2502" s="7">
        <v>3.1966</v>
      </c>
    </row>
    <row r="2503" spans="1:3">
      <c r="A2503" s="6">
        <v>43307</v>
      </c>
      <c r="B2503" s="7">
        <v>2.8234</v>
      </c>
      <c r="C2503" s="7">
        <v>3.2044</v>
      </c>
    </row>
    <row r="2504" spans="1:3">
      <c r="A2504" s="6">
        <v>43311</v>
      </c>
      <c r="B2504" s="7">
        <v>2.792</v>
      </c>
      <c r="C2504" s="7">
        <v>3.1715</v>
      </c>
    </row>
    <row r="2505" spans="1:3">
      <c r="A2505" s="6">
        <v>43312</v>
      </c>
      <c r="B2505" s="7">
        <v>2.7875</v>
      </c>
      <c r="C2505" s="7">
        <v>3.1521</v>
      </c>
    </row>
    <row r="2506" spans="1:3">
      <c r="A2506" s="6">
        <v>43314</v>
      </c>
      <c r="B2506" s="7">
        <v>2.7661</v>
      </c>
      <c r="C2506" s="7">
        <v>3.1406</v>
      </c>
    </row>
    <row r="2507" spans="1:3">
      <c r="A2507" s="6">
        <v>43315</v>
      </c>
      <c r="B2507" s="7">
        <v>2.6855</v>
      </c>
      <c r="C2507" s="7">
        <v>3.077</v>
      </c>
    </row>
    <row r="2508" spans="1:3">
      <c r="A2508" s="6">
        <v>43318</v>
      </c>
      <c r="B2508" s="7">
        <v>2.6364</v>
      </c>
      <c r="C2508" s="7">
        <v>3.0547</v>
      </c>
    </row>
    <row r="2509" spans="1:3">
      <c r="A2509" s="6">
        <v>43319</v>
      </c>
      <c r="B2509" s="7">
        <v>2.596</v>
      </c>
      <c r="C2509" s="7">
        <v>3.0184</v>
      </c>
    </row>
    <row r="2510" spans="1:3">
      <c r="A2510" s="6">
        <v>43320</v>
      </c>
      <c r="B2510" s="7">
        <v>2.6498</v>
      </c>
      <c r="C2510" s="7">
        <v>3.0619</v>
      </c>
    </row>
    <row r="2511" spans="1:3">
      <c r="A2511" s="6">
        <v>43321</v>
      </c>
      <c r="B2511" s="7">
        <v>2.7043</v>
      </c>
      <c r="C2511" s="7">
        <v>3.1484</v>
      </c>
    </row>
    <row r="2512" spans="1:3">
      <c r="A2512" s="6">
        <v>43322</v>
      </c>
      <c r="B2512" s="7">
        <v>2.763</v>
      </c>
      <c r="C2512" s="7">
        <v>3.1818</v>
      </c>
    </row>
    <row r="2513" spans="1:3">
      <c r="A2513" s="6">
        <v>43325</v>
      </c>
      <c r="B2513" s="7">
        <v>2.8267</v>
      </c>
      <c r="C2513" s="7">
        <v>3.2061</v>
      </c>
    </row>
    <row r="2514" spans="1:3">
      <c r="A2514" s="6">
        <v>43326</v>
      </c>
      <c r="B2514" s="7">
        <v>2.8007</v>
      </c>
      <c r="C2514" s="7">
        <v>3.1863</v>
      </c>
    </row>
    <row r="2515" spans="1:3">
      <c r="A2515" s="6">
        <v>43327</v>
      </c>
      <c r="B2515" s="7">
        <v>2.7645</v>
      </c>
      <c r="C2515" s="7">
        <v>3.1534</v>
      </c>
    </row>
    <row r="2516" spans="1:3">
      <c r="A2516" s="6">
        <v>43328</v>
      </c>
      <c r="B2516" s="7">
        <v>2.7631</v>
      </c>
      <c r="C2516" s="7">
        <v>3.1641</v>
      </c>
    </row>
    <row r="2517" spans="1:3">
      <c r="A2517" s="6">
        <v>43329</v>
      </c>
      <c r="B2517" s="7">
        <v>2.8065</v>
      </c>
      <c r="C2517" s="7">
        <v>3.2147</v>
      </c>
    </row>
    <row r="2518" spans="1:3">
      <c r="A2518" s="6">
        <v>43332</v>
      </c>
      <c r="B2518" s="7">
        <v>2.8385</v>
      </c>
      <c r="C2518" s="7">
        <v>3.2378</v>
      </c>
    </row>
    <row r="2519" spans="1:3">
      <c r="A2519" s="6">
        <v>43333</v>
      </c>
      <c r="B2519" s="7">
        <v>2.8671</v>
      </c>
      <c r="C2519" s="7">
        <v>3.2623</v>
      </c>
    </row>
    <row r="2520" spans="1:3">
      <c r="A2520" s="6">
        <v>43334</v>
      </c>
      <c r="B2520" s="7">
        <v>2.8433</v>
      </c>
      <c r="C2520" s="7">
        <v>3.2439</v>
      </c>
    </row>
    <row r="2521" spans="1:3">
      <c r="A2521" s="6">
        <v>43335</v>
      </c>
      <c r="B2521" s="7">
        <v>2.7882</v>
      </c>
      <c r="C2521" s="7">
        <v>3.1848</v>
      </c>
    </row>
    <row r="2522" spans="1:3">
      <c r="A2522" s="6">
        <v>43336</v>
      </c>
      <c r="B2522" s="7">
        <v>2.7723</v>
      </c>
      <c r="C2522" s="7">
        <v>3.171</v>
      </c>
    </row>
    <row r="2523" spans="1:3">
      <c r="A2523" s="6">
        <v>43339</v>
      </c>
      <c r="B2523" s="7">
        <v>2.8219</v>
      </c>
      <c r="C2523" s="7">
        <v>3.2189</v>
      </c>
    </row>
    <row r="2524" spans="1:3">
      <c r="A2524" s="6">
        <v>43340</v>
      </c>
      <c r="B2524" s="7">
        <v>2.823</v>
      </c>
      <c r="C2524" s="7">
        <v>3.2374</v>
      </c>
    </row>
    <row r="2525" spans="1:3">
      <c r="A2525" s="6">
        <v>43341</v>
      </c>
      <c r="B2525" s="7">
        <v>2.8189</v>
      </c>
      <c r="C2525" s="7">
        <v>3.2241</v>
      </c>
    </row>
    <row r="2526" spans="1:3">
      <c r="A2526" s="6">
        <v>43342</v>
      </c>
      <c r="B2526" s="7">
        <v>2.8031</v>
      </c>
      <c r="C2526" s="7">
        <v>3.2058</v>
      </c>
    </row>
    <row r="2527" spans="1:3">
      <c r="A2527" s="6">
        <v>43343</v>
      </c>
      <c r="B2527" s="7">
        <v>2.8045</v>
      </c>
      <c r="C2527" s="7">
        <v>3.2033</v>
      </c>
    </row>
    <row r="2528" spans="1:3">
      <c r="A2528" s="6">
        <v>43346</v>
      </c>
      <c r="B2528" s="7">
        <v>2.8181</v>
      </c>
      <c r="C2528" s="7">
        <v>3.2206</v>
      </c>
    </row>
    <row r="2529" spans="1:3">
      <c r="A2529" s="6">
        <v>43347</v>
      </c>
      <c r="B2529" s="7">
        <v>2.8134</v>
      </c>
      <c r="C2529" s="7">
        <v>3.2276</v>
      </c>
    </row>
    <row r="2530" spans="1:3">
      <c r="A2530" s="6">
        <v>43348</v>
      </c>
      <c r="B2530" s="7">
        <v>2.7939</v>
      </c>
      <c r="C2530" s="7">
        <v>3.2136</v>
      </c>
    </row>
    <row r="2531" spans="1:3">
      <c r="A2531" s="6">
        <v>43349</v>
      </c>
      <c r="B2531" s="7">
        <v>2.8204</v>
      </c>
      <c r="C2531" s="7">
        <v>3.2347</v>
      </c>
    </row>
    <row r="2532" spans="1:3">
      <c r="A2532" s="6">
        <v>43350</v>
      </c>
      <c r="B2532" s="7">
        <v>2.8388</v>
      </c>
      <c r="C2532" s="7">
        <v>3.2499</v>
      </c>
    </row>
    <row r="2533" spans="1:3">
      <c r="A2533" s="6">
        <v>43353</v>
      </c>
      <c r="B2533" s="7">
        <v>2.8522</v>
      </c>
      <c r="C2533" s="7">
        <v>3.2624</v>
      </c>
    </row>
    <row r="2534" spans="1:3">
      <c r="A2534" s="6">
        <v>43354</v>
      </c>
      <c r="B2534" s="7">
        <v>2.8702</v>
      </c>
      <c r="C2534" s="7">
        <v>3.2964</v>
      </c>
    </row>
    <row r="2535" spans="1:3">
      <c r="A2535" s="6">
        <v>43355</v>
      </c>
      <c r="B2535" s="7">
        <v>2.8681</v>
      </c>
      <c r="C2535" s="7">
        <v>3.2963</v>
      </c>
    </row>
    <row r="2536" spans="1:3">
      <c r="A2536" s="6">
        <v>43356</v>
      </c>
      <c r="B2536" s="7">
        <v>2.8711</v>
      </c>
      <c r="C2536" s="7">
        <v>3.3101</v>
      </c>
    </row>
    <row r="2537" spans="1:3">
      <c r="A2537" s="6">
        <v>43357</v>
      </c>
      <c r="B2537" s="7">
        <v>2.8637</v>
      </c>
      <c r="C2537" s="7">
        <v>3.2921</v>
      </c>
    </row>
    <row r="2538" spans="1:3">
      <c r="A2538" s="6">
        <v>43360</v>
      </c>
      <c r="B2538" s="7">
        <v>2.828</v>
      </c>
      <c r="C2538" s="7">
        <v>3.273</v>
      </c>
    </row>
    <row r="2539" spans="1:3">
      <c r="A2539" s="6">
        <v>43361</v>
      </c>
      <c r="B2539" s="7">
        <v>2.8456</v>
      </c>
      <c r="C2539" s="7">
        <v>3.2852</v>
      </c>
    </row>
    <row r="2540" spans="1:3">
      <c r="A2540" s="6">
        <v>43362</v>
      </c>
      <c r="B2540" s="7">
        <v>2.8483</v>
      </c>
      <c r="C2540" s="7">
        <v>3.305</v>
      </c>
    </row>
    <row r="2541" spans="1:3">
      <c r="A2541" s="6">
        <v>43363</v>
      </c>
      <c r="B2541" s="7">
        <v>2.8939</v>
      </c>
      <c r="C2541" s="7">
        <v>3.3497</v>
      </c>
    </row>
    <row r="2542" spans="1:3">
      <c r="A2542" s="6">
        <v>43364</v>
      </c>
      <c r="B2542" s="7">
        <v>2.8908</v>
      </c>
      <c r="C2542" s="7">
        <v>3.3597</v>
      </c>
    </row>
    <row r="2543" spans="1:3">
      <c r="A2543" s="6">
        <v>43368</v>
      </c>
      <c r="B2543" s="7">
        <v>2.879</v>
      </c>
      <c r="C2543" s="7">
        <v>3.349</v>
      </c>
    </row>
    <row r="2544" spans="1:3">
      <c r="A2544" s="6">
        <v>43369</v>
      </c>
      <c r="B2544" s="7">
        <v>2.8898</v>
      </c>
      <c r="C2544" s="7">
        <v>3.3179</v>
      </c>
    </row>
    <row r="2545" spans="1:3">
      <c r="A2545" s="6">
        <v>43370</v>
      </c>
      <c r="B2545" s="7">
        <v>2.8646</v>
      </c>
      <c r="C2545" s="7">
        <v>3.2792</v>
      </c>
    </row>
    <row r="2546" spans="1:3">
      <c r="A2546" s="6">
        <v>43371</v>
      </c>
      <c r="B2546" s="7">
        <v>2.8469</v>
      </c>
      <c r="C2546" s="7">
        <v>3.2746</v>
      </c>
    </row>
    <row r="2547" spans="1:3">
      <c r="A2547" s="6">
        <v>43372</v>
      </c>
      <c r="B2547" s="7">
        <v>2.8429</v>
      </c>
      <c r="C2547" s="7">
        <v>3.2685</v>
      </c>
    </row>
    <row r="2548" spans="1:3">
      <c r="A2548" s="6">
        <v>43381</v>
      </c>
      <c r="B2548" s="7">
        <v>2.8284</v>
      </c>
      <c r="C2548" s="7">
        <v>3.2632</v>
      </c>
    </row>
    <row r="2549" spans="1:3">
      <c r="A2549" s="6">
        <v>43382</v>
      </c>
      <c r="B2549" s="7">
        <v>2.8</v>
      </c>
      <c r="C2549" s="7">
        <v>3.2394</v>
      </c>
    </row>
    <row r="2550" spans="1:3">
      <c r="A2550" s="6">
        <v>43383</v>
      </c>
      <c r="B2550" s="7">
        <v>2.8002</v>
      </c>
      <c r="C2550" s="7">
        <v>3.2297</v>
      </c>
    </row>
    <row r="2551" spans="1:3">
      <c r="A2551" s="6">
        <v>43384</v>
      </c>
      <c r="B2551" s="7">
        <v>2.7978</v>
      </c>
      <c r="C2551" s="7">
        <v>3.2234</v>
      </c>
    </row>
    <row r="2552" spans="1:3">
      <c r="A2552" s="6">
        <v>43385</v>
      </c>
      <c r="B2552" s="7">
        <v>2.7932</v>
      </c>
      <c r="C2552" s="7">
        <v>3.2318</v>
      </c>
    </row>
    <row r="2553" spans="1:3">
      <c r="A2553" s="6">
        <v>43388</v>
      </c>
      <c r="B2553" s="7">
        <v>2.7949</v>
      </c>
      <c r="C2553" s="7">
        <v>3.2416</v>
      </c>
    </row>
    <row r="2554" spans="1:3">
      <c r="A2554" s="6">
        <v>43389</v>
      </c>
      <c r="B2554" s="7">
        <v>2.8036</v>
      </c>
      <c r="C2554" s="7">
        <v>3.2524</v>
      </c>
    </row>
    <row r="2555" spans="1:3">
      <c r="A2555" s="6">
        <v>43390</v>
      </c>
      <c r="B2555" s="7">
        <v>2.8019</v>
      </c>
      <c r="C2555" s="7">
        <v>3.2425</v>
      </c>
    </row>
    <row r="2556" spans="1:3">
      <c r="A2556" s="6">
        <v>43391</v>
      </c>
      <c r="B2556" s="7">
        <v>2.788</v>
      </c>
      <c r="C2556" s="7">
        <v>3.2235</v>
      </c>
    </row>
    <row r="2557" spans="1:3">
      <c r="A2557" s="6">
        <v>43392</v>
      </c>
      <c r="B2557" s="7">
        <v>2.7762</v>
      </c>
      <c r="C2557" s="7">
        <v>3.1989</v>
      </c>
    </row>
    <row r="2558" spans="1:3">
      <c r="A2558" s="6">
        <v>43395</v>
      </c>
      <c r="B2558" s="7">
        <v>2.7995</v>
      </c>
      <c r="C2558" s="7">
        <v>3.2252</v>
      </c>
    </row>
    <row r="2559" spans="1:3">
      <c r="A2559" s="6">
        <v>43396</v>
      </c>
      <c r="B2559" s="7">
        <v>2.7808</v>
      </c>
      <c r="C2559" s="7">
        <v>3.1964</v>
      </c>
    </row>
    <row r="2560" spans="1:3">
      <c r="A2560" s="6">
        <v>43397</v>
      </c>
      <c r="B2560" s="7">
        <v>2.7686</v>
      </c>
      <c r="C2560" s="7">
        <v>3.1689</v>
      </c>
    </row>
    <row r="2561" spans="1:3">
      <c r="A2561" s="6">
        <v>43398</v>
      </c>
      <c r="B2561" s="7">
        <v>2.7625</v>
      </c>
      <c r="C2561" s="7">
        <v>3.1541</v>
      </c>
    </row>
    <row r="2562" spans="1:3">
      <c r="A2562" s="6">
        <v>43399</v>
      </c>
      <c r="B2562" s="7">
        <v>2.7765</v>
      </c>
      <c r="C2562" s="7">
        <v>3.1507</v>
      </c>
    </row>
    <row r="2563" spans="1:3">
      <c r="A2563" s="6">
        <v>43402</v>
      </c>
      <c r="B2563" s="7">
        <v>2.7581</v>
      </c>
      <c r="C2563" s="7">
        <v>3.1381</v>
      </c>
    </row>
    <row r="2564" spans="1:3">
      <c r="A2564" s="6">
        <v>43403</v>
      </c>
      <c r="B2564" s="7">
        <v>2.7582</v>
      </c>
      <c r="C2564" s="7">
        <v>3.132</v>
      </c>
    </row>
    <row r="2565" spans="1:3">
      <c r="A2565" s="6">
        <v>43404</v>
      </c>
      <c r="B2565" s="7">
        <v>2.7608</v>
      </c>
      <c r="C2565" s="7">
        <v>3.1465</v>
      </c>
    </row>
    <row r="2566" spans="1:3">
      <c r="A2566" s="6">
        <v>43405</v>
      </c>
      <c r="B2566" s="7">
        <v>2.7619</v>
      </c>
      <c r="C2566" s="7">
        <v>3.1435</v>
      </c>
    </row>
    <row r="2567" spans="1:3">
      <c r="A2567" s="6">
        <v>43406</v>
      </c>
      <c r="B2567" s="7">
        <v>2.7913</v>
      </c>
      <c r="C2567" s="7">
        <v>3.1989</v>
      </c>
    </row>
    <row r="2568" spans="1:3">
      <c r="A2568" s="6">
        <v>43409</v>
      </c>
      <c r="B2568" s="7">
        <v>2.7958</v>
      </c>
      <c r="C2568" s="7">
        <v>3.2072</v>
      </c>
    </row>
    <row r="2569" spans="1:3">
      <c r="A2569" s="6">
        <v>43410</v>
      </c>
      <c r="B2569" s="7">
        <v>2.7684</v>
      </c>
      <c r="C2569" s="7">
        <v>3.1873</v>
      </c>
    </row>
    <row r="2570" spans="1:3">
      <c r="A2570" s="6">
        <v>43411</v>
      </c>
      <c r="B2570" s="7">
        <v>2.7626</v>
      </c>
      <c r="C2570" s="7">
        <v>3.1654</v>
      </c>
    </row>
    <row r="2571" spans="1:3">
      <c r="A2571" s="6">
        <v>43412</v>
      </c>
      <c r="B2571" s="7">
        <v>2.7648</v>
      </c>
      <c r="C2571" s="7">
        <v>3.1696</v>
      </c>
    </row>
    <row r="2572" spans="1:3">
      <c r="A2572" s="6">
        <v>43413</v>
      </c>
      <c r="B2572" s="7">
        <v>2.7826</v>
      </c>
      <c r="C2572" s="7">
        <v>3.1828</v>
      </c>
    </row>
    <row r="2573" spans="1:3">
      <c r="A2573" s="6">
        <v>43416</v>
      </c>
      <c r="B2573" s="7">
        <v>2.7945</v>
      </c>
      <c r="C2573" s="7">
        <v>3.1932</v>
      </c>
    </row>
    <row r="2574" spans="1:3">
      <c r="A2574" s="6">
        <v>43417</v>
      </c>
      <c r="B2574" s="7">
        <v>2.7818</v>
      </c>
      <c r="C2574" s="7">
        <v>3.181</v>
      </c>
    </row>
    <row r="2575" spans="1:3">
      <c r="A2575" s="6">
        <v>43418</v>
      </c>
      <c r="B2575" s="7">
        <v>2.7541</v>
      </c>
      <c r="C2575" s="7">
        <v>3.1435</v>
      </c>
    </row>
    <row r="2576" spans="1:3">
      <c r="A2576" s="6">
        <v>43419</v>
      </c>
      <c r="B2576" s="7">
        <v>2.7642</v>
      </c>
      <c r="C2576" s="7">
        <v>3.1466</v>
      </c>
    </row>
    <row r="2577" spans="1:3">
      <c r="A2577" s="6">
        <v>43420</v>
      </c>
      <c r="B2577" s="7">
        <v>2.7528</v>
      </c>
      <c r="C2577" s="7">
        <v>3.1287</v>
      </c>
    </row>
    <row r="2578" spans="1:3">
      <c r="A2578" s="6">
        <v>43423</v>
      </c>
      <c r="B2578" s="7">
        <v>2.7636</v>
      </c>
      <c r="C2578" s="7">
        <v>3.1409</v>
      </c>
    </row>
    <row r="2579" spans="1:3">
      <c r="A2579" s="6">
        <v>43424</v>
      </c>
      <c r="B2579" s="7">
        <v>2.7648</v>
      </c>
      <c r="C2579" s="7">
        <v>3.1544</v>
      </c>
    </row>
    <row r="2580" spans="1:3">
      <c r="A2580" s="6">
        <v>43425</v>
      </c>
      <c r="B2580" s="7">
        <v>2.7519</v>
      </c>
      <c r="C2580" s="7">
        <v>3.1409</v>
      </c>
    </row>
    <row r="2581" spans="1:3">
      <c r="A2581" s="6">
        <v>43426</v>
      </c>
      <c r="B2581" s="7">
        <v>2.7594</v>
      </c>
      <c r="C2581" s="7">
        <v>3.1523</v>
      </c>
    </row>
    <row r="2582" spans="1:3">
      <c r="A2582" s="6">
        <v>43427</v>
      </c>
      <c r="B2582" s="7">
        <v>2.7602</v>
      </c>
      <c r="C2582" s="7">
        <v>3.161</v>
      </c>
    </row>
    <row r="2583" spans="1:3">
      <c r="A2583" s="6">
        <v>43430</v>
      </c>
      <c r="B2583" s="7">
        <v>2.7629</v>
      </c>
      <c r="C2583" s="7">
        <v>3.1576</v>
      </c>
    </row>
    <row r="2584" spans="1:3">
      <c r="A2584" s="6">
        <v>43431</v>
      </c>
      <c r="B2584" s="7">
        <v>2.7821</v>
      </c>
      <c r="C2584" s="7">
        <v>3.1574</v>
      </c>
    </row>
    <row r="2585" spans="1:3">
      <c r="A2585" s="6">
        <v>43432</v>
      </c>
      <c r="B2585" s="7">
        <v>2.7679</v>
      </c>
      <c r="C2585" s="7">
        <v>3.1529</v>
      </c>
    </row>
    <row r="2586" spans="1:3">
      <c r="A2586" s="6">
        <v>43433</v>
      </c>
      <c r="B2586" s="7">
        <v>2.7596</v>
      </c>
      <c r="C2586" s="7">
        <v>3.1388</v>
      </c>
    </row>
    <row r="2587" spans="1:3">
      <c r="A2587" s="6">
        <v>43434</v>
      </c>
      <c r="B2587" s="7">
        <v>2.7626</v>
      </c>
      <c r="C2587" s="7">
        <v>3.1349</v>
      </c>
    </row>
    <row r="2588" spans="1:3">
      <c r="A2588" s="6">
        <v>43437</v>
      </c>
      <c r="B2588" s="7">
        <v>2.7532</v>
      </c>
      <c r="C2588" s="7">
        <v>3.1417</v>
      </c>
    </row>
    <row r="2589" spans="1:3">
      <c r="A2589" s="6">
        <v>43438</v>
      </c>
      <c r="B2589" s="7">
        <v>2.7323</v>
      </c>
      <c r="C2589" s="7">
        <v>3.0998</v>
      </c>
    </row>
    <row r="2590" spans="1:3">
      <c r="A2590" s="6">
        <v>43439</v>
      </c>
      <c r="B2590" s="7">
        <v>2.7021</v>
      </c>
      <c r="C2590" s="7">
        <v>3.0646</v>
      </c>
    </row>
    <row r="2591" spans="1:3">
      <c r="A2591" s="6">
        <v>43440</v>
      </c>
      <c r="B2591" s="7">
        <v>2.7112</v>
      </c>
      <c r="C2591" s="7">
        <v>3.0729</v>
      </c>
    </row>
    <row r="2592" spans="1:3">
      <c r="A2592" s="6">
        <v>43441</v>
      </c>
      <c r="B2592" s="7">
        <v>2.724</v>
      </c>
      <c r="C2592" s="7">
        <v>3.0777</v>
      </c>
    </row>
    <row r="2593" spans="1:3">
      <c r="A2593" s="6">
        <v>43444</v>
      </c>
      <c r="B2593" s="7">
        <v>2.6958</v>
      </c>
      <c r="C2593" s="7">
        <v>3.0441</v>
      </c>
    </row>
    <row r="2594" spans="1:3">
      <c r="A2594" s="6">
        <v>43445</v>
      </c>
      <c r="B2594" s="7">
        <v>2.7049</v>
      </c>
      <c r="C2594" s="7">
        <v>3.0473</v>
      </c>
    </row>
    <row r="2595" spans="1:3">
      <c r="A2595" s="6">
        <v>43446</v>
      </c>
      <c r="B2595" s="7">
        <v>2.709</v>
      </c>
      <c r="C2595" s="7">
        <v>3.0529</v>
      </c>
    </row>
    <row r="2596" spans="1:3">
      <c r="A2596" s="6">
        <v>43447</v>
      </c>
      <c r="B2596" s="7">
        <v>2.7335</v>
      </c>
      <c r="C2596" s="7">
        <v>3.1074</v>
      </c>
    </row>
    <row r="2597" spans="1:3">
      <c r="A2597" s="6">
        <v>43448</v>
      </c>
      <c r="B2597" s="7">
        <v>2.7521</v>
      </c>
      <c r="C2597" s="7">
        <v>3.115</v>
      </c>
    </row>
    <row r="2598" spans="1:3">
      <c r="A2598" s="6">
        <v>43451</v>
      </c>
      <c r="B2598" s="7">
        <v>2.737</v>
      </c>
      <c r="C2598" s="7">
        <v>3.121</v>
      </c>
    </row>
    <row r="2599" spans="1:3">
      <c r="A2599" s="6">
        <v>43452</v>
      </c>
      <c r="B2599" s="7">
        <v>2.7372</v>
      </c>
      <c r="C2599" s="7">
        <v>3.1038</v>
      </c>
    </row>
    <row r="2600" spans="1:3">
      <c r="A2600" s="6">
        <v>43453</v>
      </c>
      <c r="B2600" s="7">
        <v>2.7204</v>
      </c>
      <c r="C2600" s="7">
        <v>3.07</v>
      </c>
    </row>
    <row r="2601" spans="1:3">
      <c r="A2601" s="6">
        <v>43454</v>
      </c>
      <c r="B2601" s="7">
        <v>2.6883</v>
      </c>
      <c r="C2601" s="7">
        <v>3.0073</v>
      </c>
    </row>
    <row r="2602" spans="1:3">
      <c r="A2602" s="6">
        <v>43455</v>
      </c>
      <c r="B2602" s="7">
        <v>2.685</v>
      </c>
      <c r="C2602" s="7"/>
    </row>
    <row r="2603" spans="1:3">
      <c r="A2603" s="6">
        <v>43458</v>
      </c>
      <c r="B2603" s="7">
        <v>2.6922</v>
      </c>
      <c r="C2603" s="7">
        <v>3.0025</v>
      </c>
    </row>
    <row r="2604" spans="1:3">
      <c r="A2604" s="6">
        <v>43459</v>
      </c>
      <c r="B2604" s="7">
        <v>2.6779</v>
      </c>
      <c r="C2604" s="7">
        <v>2.9841</v>
      </c>
    </row>
    <row r="2605" spans="1:3">
      <c r="A2605" s="6">
        <v>43460</v>
      </c>
      <c r="B2605" s="7">
        <v>2.6716</v>
      </c>
      <c r="C2605" s="7">
        <v>2.9796</v>
      </c>
    </row>
    <row r="2606" spans="1:3">
      <c r="A2606" s="6">
        <v>43461</v>
      </c>
      <c r="B2606" s="7">
        <v>2.6672</v>
      </c>
      <c r="C2606" s="7">
        <v>2.9616</v>
      </c>
    </row>
    <row r="2607" spans="1:3">
      <c r="A2607" s="6">
        <v>43462</v>
      </c>
      <c r="B2607" s="7">
        <v>2.6537</v>
      </c>
      <c r="C2607" s="7">
        <v>2.9711</v>
      </c>
    </row>
    <row r="2608" spans="1:3">
      <c r="A2608" s="6">
        <v>43467</v>
      </c>
      <c r="B2608" s="7">
        <v>2.5915</v>
      </c>
      <c r="C2608" s="7">
        <v>2.8726</v>
      </c>
    </row>
    <row r="2609" spans="1:3">
      <c r="A2609" s="6">
        <v>43468</v>
      </c>
      <c r="B2609" s="7">
        <v>2.5813</v>
      </c>
      <c r="C2609" s="7">
        <v>2.8422</v>
      </c>
    </row>
    <row r="2610" spans="1:3">
      <c r="A2610" s="6">
        <v>43469</v>
      </c>
      <c r="B2610" s="7">
        <v>2.5845</v>
      </c>
      <c r="C2610" s="7">
        <v>2.8647</v>
      </c>
    </row>
    <row r="2611" spans="1:3">
      <c r="A2611" s="6">
        <v>43472</v>
      </c>
      <c r="B2611" s="7">
        <v>2.5448</v>
      </c>
      <c r="C2611" s="7">
        <v>2.871</v>
      </c>
    </row>
    <row r="2612" spans="1:3">
      <c r="A2612" s="6">
        <v>43473</v>
      </c>
      <c r="B2612" s="7">
        <v>2.4703</v>
      </c>
      <c r="C2612" s="7">
        <v>2.8288</v>
      </c>
    </row>
    <row r="2613" spans="1:3">
      <c r="A2613" s="6">
        <v>43474</v>
      </c>
      <c r="B2613" s="7">
        <v>2.4953</v>
      </c>
      <c r="C2613" s="7">
        <v>2.8266</v>
      </c>
    </row>
    <row r="2614" spans="1:3">
      <c r="A2614" s="6">
        <v>43475</v>
      </c>
      <c r="B2614" s="7">
        <v>2.5213</v>
      </c>
      <c r="C2614" s="7">
        <v>2.8415</v>
      </c>
    </row>
    <row r="2615" spans="1:3">
      <c r="A2615" s="6">
        <v>43476</v>
      </c>
      <c r="B2615" s="7">
        <v>2.5111</v>
      </c>
      <c r="C2615" s="7">
        <v>2.8414</v>
      </c>
    </row>
    <row r="2616" spans="1:3">
      <c r="A2616" s="6">
        <v>43479</v>
      </c>
      <c r="B2616" s="7">
        <v>2.5273</v>
      </c>
      <c r="C2616" s="7">
        <v>2.8411</v>
      </c>
    </row>
    <row r="2617" spans="1:3">
      <c r="A2617" s="6">
        <v>43480</v>
      </c>
      <c r="B2617" s="7">
        <v>2.5106</v>
      </c>
      <c r="C2617" s="7">
        <v>2.8345</v>
      </c>
    </row>
    <row r="2618" spans="1:3">
      <c r="A2618" s="6">
        <v>43481</v>
      </c>
      <c r="B2618" s="7">
        <v>2.476</v>
      </c>
      <c r="C2618" s="7">
        <v>2.7756</v>
      </c>
    </row>
    <row r="2619" spans="1:3">
      <c r="A2619" s="6">
        <v>43482</v>
      </c>
      <c r="B2619" s="7">
        <v>2.4809</v>
      </c>
      <c r="C2619" s="7">
        <v>2.7692</v>
      </c>
    </row>
    <row r="2620" spans="1:3">
      <c r="A2620" s="6">
        <v>43483</v>
      </c>
      <c r="B2620" s="7">
        <v>2.5076</v>
      </c>
      <c r="C2620" s="7">
        <v>2.8028</v>
      </c>
    </row>
    <row r="2621" spans="1:3">
      <c r="A2621" s="6">
        <v>43486</v>
      </c>
      <c r="B2621" s="7">
        <v>2.5284</v>
      </c>
      <c r="C2621" s="7">
        <v>2.8367</v>
      </c>
    </row>
    <row r="2622" spans="1:3">
      <c r="A2622" s="6">
        <v>43487</v>
      </c>
      <c r="B2622" s="7">
        <v>2.5412</v>
      </c>
      <c r="C2622" s="7">
        <v>2.8538</v>
      </c>
    </row>
    <row r="2623" spans="1:3">
      <c r="A2623" s="6">
        <v>43488</v>
      </c>
      <c r="B2623" s="7">
        <v>2.5314</v>
      </c>
      <c r="C2623" s="7">
        <v>2.8484</v>
      </c>
    </row>
    <row r="2624" spans="1:3">
      <c r="A2624" s="6">
        <v>43489</v>
      </c>
      <c r="B2624" s="7">
        <v>2.5419</v>
      </c>
      <c r="C2624" s="7">
        <v>2.8514</v>
      </c>
    </row>
    <row r="2625" spans="1:3">
      <c r="A2625" s="6">
        <v>43490</v>
      </c>
      <c r="B2625" s="7">
        <v>2.551</v>
      </c>
      <c r="C2625" s="7">
        <v>2.8778</v>
      </c>
    </row>
    <row r="2626" spans="1:3">
      <c r="A2626" s="6">
        <v>43493</v>
      </c>
      <c r="B2626" s="7">
        <v>2.5414</v>
      </c>
      <c r="C2626" s="7">
        <v>2.8764</v>
      </c>
    </row>
    <row r="2627" spans="1:3">
      <c r="A2627" s="6">
        <v>43494</v>
      </c>
      <c r="B2627" s="7">
        <v>2.5341</v>
      </c>
      <c r="C2627" s="7">
        <v>2.8503</v>
      </c>
    </row>
    <row r="2628" spans="1:3">
      <c r="A2628" s="6">
        <v>43495</v>
      </c>
      <c r="B2628" s="7">
        <v>2.5274</v>
      </c>
      <c r="C2628" s="7">
        <v>2.836</v>
      </c>
    </row>
    <row r="2629" spans="1:3">
      <c r="A2629" s="6">
        <v>43496</v>
      </c>
      <c r="B2629" s="7">
        <v>2.5254</v>
      </c>
      <c r="C2629" s="7">
        <v>2.8325</v>
      </c>
    </row>
    <row r="2630" spans="1:3">
      <c r="A2630" s="6">
        <v>43497</v>
      </c>
      <c r="B2630" s="7">
        <v>2.5444</v>
      </c>
      <c r="C2630" s="7">
        <v>2.8272</v>
      </c>
    </row>
    <row r="2631" spans="1:3">
      <c r="A2631" s="6">
        <v>43498</v>
      </c>
      <c r="B2631" s="7">
        <v>2.5156</v>
      </c>
      <c r="C2631" s="7">
        <v>2.835</v>
      </c>
    </row>
    <row r="2632" spans="1:3">
      <c r="A2632" s="6">
        <v>43507</v>
      </c>
      <c r="B2632" s="7">
        <v>2.4946</v>
      </c>
      <c r="C2632" s="7">
        <v>2.8014</v>
      </c>
    </row>
    <row r="2633" spans="1:3">
      <c r="A2633" s="6">
        <v>43508</v>
      </c>
      <c r="B2633" s="7">
        <v>2.4888</v>
      </c>
      <c r="C2633" s="7">
        <v>2.8013</v>
      </c>
    </row>
    <row r="2634" spans="1:3">
      <c r="A2634" s="6">
        <v>43509</v>
      </c>
      <c r="B2634" s="7">
        <v>2.4853</v>
      </c>
      <c r="C2634" s="7">
        <v>2.811</v>
      </c>
    </row>
    <row r="2635" spans="1:3">
      <c r="A2635" s="6">
        <v>43510</v>
      </c>
      <c r="B2635" s="7">
        <v>2.4711</v>
      </c>
      <c r="C2635" s="7">
        <v>2.8117</v>
      </c>
    </row>
    <row r="2636" spans="1:3">
      <c r="A2636" s="6">
        <v>43511</v>
      </c>
      <c r="B2636" s="7">
        <v>2.4726</v>
      </c>
      <c r="C2636" s="7">
        <v>2.8156</v>
      </c>
    </row>
    <row r="2637" spans="1:3">
      <c r="A2637" s="6">
        <v>43514</v>
      </c>
      <c r="B2637" s="7">
        <v>2.4895</v>
      </c>
      <c r="C2637" s="7">
        <v>2.8481</v>
      </c>
    </row>
    <row r="2638" spans="1:3">
      <c r="A2638" s="6">
        <v>43515</v>
      </c>
      <c r="B2638" s="7">
        <v>2.5019</v>
      </c>
      <c r="C2638" s="7">
        <v>2.8628</v>
      </c>
    </row>
    <row r="2639" spans="1:3">
      <c r="A2639" s="6">
        <v>43516</v>
      </c>
      <c r="B2639" s="7">
        <v>2.4913</v>
      </c>
      <c r="C2639" s="7">
        <v>2.8455</v>
      </c>
    </row>
    <row r="2640" spans="1:3">
      <c r="A2640" s="6">
        <v>43517</v>
      </c>
      <c r="B2640" s="7">
        <v>2.5029</v>
      </c>
      <c r="C2640" s="7">
        <v>2.8642</v>
      </c>
    </row>
    <row r="2641" spans="1:3">
      <c r="A2641" s="6">
        <v>43518</v>
      </c>
      <c r="B2641" s="7">
        <v>2.5172</v>
      </c>
      <c r="C2641" s="7">
        <v>2.8786</v>
      </c>
    </row>
    <row r="2642" spans="1:3">
      <c r="A2642" s="6">
        <v>43521</v>
      </c>
      <c r="B2642" s="7">
        <v>2.5565</v>
      </c>
      <c r="C2642" s="7">
        <v>2.9222</v>
      </c>
    </row>
    <row r="2643" spans="1:3">
      <c r="A2643" s="6">
        <v>43522</v>
      </c>
      <c r="B2643" s="7">
        <v>2.6151</v>
      </c>
      <c r="C2643" s="7">
        <v>2.9694</v>
      </c>
    </row>
    <row r="2644" spans="1:3">
      <c r="A2644" s="6">
        <v>43523</v>
      </c>
      <c r="B2644" s="7">
        <v>2.6019</v>
      </c>
      <c r="C2644" s="7">
        <v>2.9549</v>
      </c>
    </row>
    <row r="2645" spans="1:3">
      <c r="A2645" s="6">
        <v>43524</v>
      </c>
      <c r="B2645" s="7">
        <v>2.6111</v>
      </c>
      <c r="C2645" s="7">
        <v>2.9576</v>
      </c>
    </row>
    <row r="2646" spans="1:3">
      <c r="A2646" s="6">
        <v>43525</v>
      </c>
      <c r="B2646" s="7">
        <v>2.6265</v>
      </c>
      <c r="C2646" s="7">
        <v>2.9981</v>
      </c>
    </row>
    <row r="2647" spans="1:3">
      <c r="A2647" s="6">
        <v>43528</v>
      </c>
      <c r="B2647" s="7">
        <v>2.6389</v>
      </c>
      <c r="C2647" s="7">
        <v>3.035</v>
      </c>
    </row>
    <row r="2648" spans="1:3">
      <c r="A2648" s="6">
        <v>43529</v>
      </c>
      <c r="B2648" s="7">
        <v>2.6572</v>
      </c>
      <c r="C2648" s="7">
        <v>3.0563</v>
      </c>
    </row>
    <row r="2649" spans="1:3">
      <c r="A2649" s="6">
        <v>43530</v>
      </c>
      <c r="B2649" s="7">
        <v>2.6447</v>
      </c>
      <c r="C2649" s="7">
        <v>3.033</v>
      </c>
    </row>
    <row r="2650" spans="1:3">
      <c r="A2650" s="6">
        <v>43531</v>
      </c>
      <c r="B2650" s="7">
        <v>2.5963</v>
      </c>
      <c r="C2650" s="7">
        <v>2.979</v>
      </c>
    </row>
    <row r="2651" spans="1:3">
      <c r="A2651" s="6">
        <v>43532</v>
      </c>
      <c r="B2651" s="7">
        <v>2.5767</v>
      </c>
      <c r="C2651" s="7">
        <v>2.9332</v>
      </c>
    </row>
    <row r="2652" spans="1:3">
      <c r="A2652" s="6">
        <v>43535</v>
      </c>
      <c r="B2652" s="7">
        <v>2.5662</v>
      </c>
      <c r="C2652" s="7">
        <v>2.9233</v>
      </c>
    </row>
    <row r="2653" spans="1:3">
      <c r="A2653" s="6">
        <v>43536</v>
      </c>
      <c r="B2653" s="7">
        <v>2.6081</v>
      </c>
      <c r="C2653" s="7">
        <v>2.9676</v>
      </c>
    </row>
    <row r="2654" spans="1:3">
      <c r="A2654" s="6">
        <v>43537</v>
      </c>
      <c r="B2654" s="7">
        <v>2.6013</v>
      </c>
      <c r="C2654" s="7">
        <v>2.9592</v>
      </c>
    </row>
    <row r="2655" spans="1:3">
      <c r="A2655" s="6">
        <v>43538</v>
      </c>
      <c r="B2655" s="7">
        <v>2.6255</v>
      </c>
      <c r="C2655" s="7">
        <v>2.9794</v>
      </c>
    </row>
    <row r="2656" spans="1:3">
      <c r="A2656" s="6">
        <v>43539</v>
      </c>
      <c r="B2656" s="7">
        <v>2.6347</v>
      </c>
      <c r="C2656" s="7">
        <v>2.996</v>
      </c>
    </row>
    <row r="2657" spans="1:3">
      <c r="A2657" s="6">
        <v>43542</v>
      </c>
      <c r="B2657" s="7">
        <v>2.6278</v>
      </c>
      <c r="C2657" s="7">
        <v>2.9901</v>
      </c>
    </row>
    <row r="2658" spans="1:3">
      <c r="A2658" s="6">
        <v>43543</v>
      </c>
      <c r="B2658" s="7">
        <v>2.6288</v>
      </c>
      <c r="C2658" s="7">
        <v>2.9767</v>
      </c>
    </row>
    <row r="2659" spans="1:3">
      <c r="A2659" s="6">
        <v>43544</v>
      </c>
      <c r="B2659" s="7">
        <v>2.6226</v>
      </c>
      <c r="C2659" s="7">
        <v>2.9721</v>
      </c>
    </row>
    <row r="2660" spans="1:3">
      <c r="A2660" s="6">
        <v>43545</v>
      </c>
      <c r="B2660" s="7">
        <v>2.6059</v>
      </c>
      <c r="C2660" s="7">
        <v>2.9464</v>
      </c>
    </row>
    <row r="2661" spans="1:3">
      <c r="A2661" s="6">
        <v>43546</v>
      </c>
      <c r="B2661" s="7">
        <v>2.598</v>
      </c>
      <c r="C2661" s="7">
        <v>2.9358</v>
      </c>
    </row>
    <row r="2662" spans="1:3">
      <c r="A2662" s="6">
        <v>43549</v>
      </c>
      <c r="B2662" s="7">
        <v>2.5823</v>
      </c>
      <c r="C2662" s="7">
        <v>2.8942</v>
      </c>
    </row>
    <row r="2663" spans="1:3">
      <c r="A2663" s="6">
        <v>43550</v>
      </c>
      <c r="B2663" s="7">
        <v>2.5922</v>
      </c>
      <c r="C2663" s="7">
        <v>2.9017</v>
      </c>
    </row>
    <row r="2664" spans="1:3">
      <c r="A2664" s="6">
        <v>43551</v>
      </c>
      <c r="B2664" s="7">
        <v>2.6082</v>
      </c>
      <c r="C2664" s="7">
        <v>2.9147</v>
      </c>
    </row>
    <row r="2665" spans="1:3">
      <c r="A2665" s="6">
        <v>43552</v>
      </c>
      <c r="B2665" s="7">
        <v>2.6033</v>
      </c>
      <c r="C2665" s="7">
        <v>2.8996</v>
      </c>
    </row>
    <row r="2666" spans="1:3">
      <c r="A2666" s="6">
        <v>43553</v>
      </c>
      <c r="B2666" s="7">
        <v>2.6136</v>
      </c>
      <c r="C2666" s="7">
        <v>2.9297</v>
      </c>
    </row>
    <row r="2667" spans="1:3">
      <c r="A2667" s="6">
        <v>43556</v>
      </c>
      <c r="B2667" s="7">
        <v>2.6403</v>
      </c>
      <c r="C2667" s="7">
        <v>2.9869</v>
      </c>
    </row>
    <row r="2668" spans="1:3">
      <c r="A2668" s="6">
        <v>43557</v>
      </c>
      <c r="B2668" s="7">
        <v>2.6518</v>
      </c>
      <c r="C2668" s="7">
        <v>3.0228</v>
      </c>
    </row>
    <row r="2669" spans="1:3">
      <c r="A2669" s="6">
        <v>43558</v>
      </c>
      <c r="B2669" s="7">
        <v>2.6569</v>
      </c>
      <c r="C2669" s="7">
        <v>3.0519</v>
      </c>
    </row>
    <row r="2670" spans="1:3">
      <c r="A2670" s="6">
        <v>43559</v>
      </c>
      <c r="B2670" s="7">
        <v>2.6759</v>
      </c>
      <c r="C2670" s="7">
        <v>3.0736</v>
      </c>
    </row>
    <row r="2671" spans="1:3">
      <c r="A2671" s="6">
        <v>43563</v>
      </c>
      <c r="B2671" s="7">
        <v>2.6957</v>
      </c>
      <c r="C2671" s="7">
        <v>3.0829</v>
      </c>
    </row>
    <row r="2672" spans="1:3">
      <c r="A2672" s="6">
        <v>43564</v>
      </c>
      <c r="B2672" s="7">
        <v>2.7368</v>
      </c>
      <c r="C2672" s="7">
        <v>3.1133</v>
      </c>
    </row>
    <row r="2673" spans="1:3">
      <c r="A2673" s="6">
        <v>43565</v>
      </c>
      <c r="B2673" s="7">
        <v>2.7784</v>
      </c>
      <c r="C2673" s="7">
        <v>3.1436</v>
      </c>
    </row>
    <row r="2674" spans="1:3">
      <c r="A2674" s="6">
        <v>43566</v>
      </c>
      <c r="B2674" s="7">
        <v>2.7466</v>
      </c>
      <c r="C2674" s="7">
        <v>3.1011</v>
      </c>
    </row>
    <row r="2675" spans="1:3">
      <c r="A2675" s="6">
        <v>43567</v>
      </c>
      <c r="B2675" s="7">
        <v>2.7652</v>
      </c>
      <c r="C2675" s="7">
        <v>3.1233</v>
      </c>
    </row>
    <row r="2676" spans="1:3">
      <c r="A2676" s="6">
        <v>43570</v>
      </c>
      <c r="B2676" s="7">
        <v>2.8476</v>
      </c>
      <c r="C2676" s="7">
        <v>3.1984</v>
      </c>
    </row>
    <row r="2677" spans="1:3">
      <c r="A2677" s="6">
        <v>43571</v>
      </c>
      <c r="B2677" s="7">
        <v>2.8954</v>
      </c>
      <c r="C2677" s="7">
        <v>3.2374</v>
      </c>
    </row>
    <row r="2678" spans="1:3">
      <c r="A2678" s="6">
        <v>43572</v>
      </c>
      <c r="B2678" s="7">
        <v>2.8975</v>
      </c>
      <c r="C2678" s="7">
        <v>3.2596</v>
      </c>
    </row>
    <row r="2679" spans="1:3">
      <c r="A2679" s="6">
        <v>43573</v>
      </c>
      <c r="B2679" s="7">
        <v>2.8687</v>
      </c>
      <c r="C2679" s="7">
        <v>3.229</v>
      </c>
    </row>
    <row r="2680" spans="1:3">
      <c r="A2680" s="6">
        <v>43574</v>
      </c>
      <c r="B2680" s="7">
        <v>2.8329</v>
      </c>
      <c r="C2680" s="7">
        <v>3.19</v>
      </c>
    </row>
    <row r="2681" spans="1:3">
      <c r="A2681" s="6">
        <v>43577</v>
      </c>
      <c r="B2681" s="7">
        <v>2.887</v>
      </c>
      <c r="C2681" s="7">
        <v>3.2431</v>
      </c>
    </row>
    <row r="2682" spans="1:3">
      <c r="A2682" s="6">
        <v>43578</v>
      </c>
      <c r="B2682" s="7">
        <v>2.9355</v>
      </c>
      <c r="C2682" s="7">
        <v>3.2734</v>
      </c>
    </row>
    <row r="2683" spans="1:3">
      <c r="A2683" s="6">
        <v>43579</v>
      </c>
      <c r="B2683" s="7">
        <v>2.9491</v>
      </c>
      <c r="C2683" s="7">
        <v>3.3103</v>
      </c>
    </row>
    <row r="2684" spans="1:3">
      <c r="A2684" s="6">
        <v>43580</v>
      </c>
      <c r="B2684" s="7">
        <v>2.916</v>
      </c>
      <c r="C2684" s="7">
        <v>3.2705</v>
      </c>
    </row>
    <row r="2685" spans="1:3">
      <c r="A2685" s="6">
        <v>43581</v>
      </c>
      <c r="B2685" s="7">
        <v>2.8879</v>
      </c>
      <c r="C2685" s="7">
        <v>3.24</v>
      </c>
    </row>
    <row r="2686" spans="1:3">
      <c r="A2686" s="6">
        <v>43583</v>
      </c>
      <c r="B2686" s="7">
        <v>2.895</v>
      </c>
      <c r="C2686" s="7">
        <v>3.2121</v>
      </c>
    </row>
    <row r="2687" spans="1:3">
      <c r="A2687" s="6">
        <v>43584</v>
      </c>
      <c r="B2687" s="7">
        <v>2.8731</v>
      </c>
      <c r="C2687" s="7">
        <v>3.2175</v>
      </c>
    </row>
    <row r="2688" spans="1:3">
      <c r="A2688" s="6">
        <v>43585</v>
      </c>
      <c r="B2688" s="7">
        <v>2.8384</v>
      </c>
      <c r="C2688" s="7">
        <v>3.1739</v>
      </c>
    </row>
    <row r="2689" spans="1:3">
      <c r="A2689" s="6">
        <v>43590</v>
      </c>
      <c r="B2689" s="7">
        <v>2.84</v>
      </c>
      <c r="C2689" s="7">
        <v>3.18</v>
      </c>
    </row>
    <row r="2690" spans="1:3">
      <c r="A2690" s="6">
        <v>43591</v>
      </c>
      <c r="B2690" s="7">
        <v>2.7944</v>
      </c>
      <c r="C2690" s="7">
        <v>3.1152</v>
      </c>
    </row>
    <row r="2691" spans="1:3">
      <c r="A2691" s="6">
        <v>43592</v>
      </c>
      <c r="B2691" s="7">
        <v>2.7745</v>
      </c>
      <c r="C2691" s="7">
        <v>3.116</v>
      </c>
    </row>
    <row r="2692" spans="1:3">
      <c r="A2692" s="6">
        <v>43593</v>
      </c>
      <c r="B2692" s="7">
        <v>2.7413</v>
      </c>
      <c r="C2692" s="7">
        <v>3.0905</v>
      </c>
    </row>
    <row r="2693" spans="1:3">
      <c r="A2693" s="6">
        <v>43594</v>
      </c>
      <c r="B2693" s="7">
        <v>2.7236</v>
      </c>
      <c r="C2693" s="7">
        <v>3.0702</v>
      </c>
    </row>
    <row r="2694" spans="1:3">
      <c r="A2694" s="6">
        <v>43595</v>
      </c>
      <c r="B2694" s="7">
        <v>2.7364</v>
      </c>
      <c r="C2694" s="7">
        <v>3.0952</v>
      </c>
    </row>
    <row r="2695" spans="1:3">
      <c r="A2695" s="6">
        <v>43598</v>
      </c>
      <c r="B2695" s="7">
        <v>2.7078</v>
      </c>
      <c r="C2695" s="7">
        <v>3.0559</v>
      </c>
    </row>
    <row r="2696" spans="1:3">
      <c r="A2696" s="6">
        <v>43599</v>
      </c>
      <c r="B2696" s="7">
        <v>2.7229</v>
      </c>
      <c r="C2696" s="7">
        <v>3.0726</v>
      </c>
    </row>
    <row r="2697" spans="1:3">
      <c r="A2697" s="6">
        <v>43600</v>
      </c>
      <c r="B2697" s="7">
        <v>2.7234</v>
      </c>
      <c r="C2697" s="7">
        <v>3.0675</v>
      </c>
    </row>
    <row r="2698" spans="1:3">
      <c r="A2698" s="6">
        <v>43601</v>
      </c>
      <c r="B2698" s="7">
        <v>2.7065</v>
      </c>
      <c r="C2698" s="7">
        <v>3.0416</v>
      </c>
    </row>
    <row r="2699" spans="1:3">
      <c r="A2699" s="6">
        <v>43602</v>
      </c>
      <c r="B2699" s="7">
        <v>2.7111</v>
      </c>
      <c r="C2699" s="7">
        <v>3.0378</v>
      </c>
    </row>
    <row r="2700" spans="1:3">
      <c r="A2700" s="6">
        <v>43605</v>
      </c>
      <c r="B2700" s="7">
        <v>2.7358</v>
      </c>
      <c r="C2700" s="7">
        <v>3.0412</v>
      </c>
    </row>
    <row r="2701" spans="1:3">
      <c r="A2701" s="6">
        <v>43606</v>
      </c>
      <c r="B2701" s="7">
        <v>2.7538</v>
      </c>
      <c r="C2701" s="7">
        <v>3.0717</v>
      </c>
    </row>
    <row r="2702" spans="1:3">
      <c r="A2702" s="6">
        <v>43607</v>
      </c>
      <c r="B2702" s="7">
        <v>2.7626</v>
      </c>
      <c r="C2702" s="7">
        <v>3.0915</v>
      </c>
    </row>
    <row r="2703" spans="1:3">
      <c r="A2703" s="6">
        <v>43608</v>
      </c>
      <c r="B2703" s="7">
        <v>2.7476</v>
      </c>
      <c r="C2703" s="7">
        <v>3.0679</v>
      </c>
    </row>
    <row r="2704" spans="1:3">
      <c r="A2704" s="6">
        <v>43609</v>
      </c>
      <c r="B2704" s="7">
        <v>2.7403</v>
      </c>
      <c r="C2704" s="7">
        <v>3.0604</v>
      </c>
    </row>
    <row r="2705" spans="1:3">
      <c r="A2705" s="6">
        <v>43612</v>
      </c>
      <c r="B2705" s="7">
        <v>2.7941</v>
      </c>
      <c r="C2705" s="7">
        <v>3.1132</v>
      </c>
    </row>
    <row r="2706" spans="1:3">
      <c r="A2706" s="6">
        <v>43613</v>
      </c>
      <c r="B2706" s="7">
        <v>2.8176</v>
      </c>
      <c r="C2706" s="7">
        <v>3.1289</v>
      </c>
    </row>
    <row r="2707" spans="1:3">
      <c r="A2707" s="6">
        <v>43614</v>
      </c>
      <c r="B2707" s="7">
        <v>2.7625</v>
      </c>
      <c r="C2707" s="7">
        <v>3.0623</v>
      </c>
    </row>
    <row r="2708" spans="1:3">
      <c r="A2708" s="6">
        <v>43615</v>
      </c>
      <c r="B2708" s="7">
        <v>2.7648</v>
      </c>
      <c r="C2708" s="7">
        <v>3.0662</v>
      </c>
    </row>
    <row r="2709" spans="1:3">
      <c r="A2709" s="6">
        <v>43616</v>
      </c>
      <c r="B2709" s="7">
        <v>2.7656</v>
      </c>
      <c r="C2709" s="7">
        <v>3.0522</v>
      </c>
    </row>
    <row r="2710" spans="1:3">
      <c r="A2710" s="6">
        <v>43619</v>
      </c>
      <c r="B2710" s="7">
        <v>2.728</v>
      </c>
      <c r="C2710" s="7">
        <v>3.0017</v>
      </c>
    </row>
    <row r="2711" spans="1:3">
      <c r="A2711" s="6">
        <v>43620</v>
      </c>
      <c r="B2711" s="7">
        <v>2.7144</v>
      </c>
      <c r="C2711" s="7">
        <v>2.9662</v>
      </c>
    </row>
    <row r="2712" spans="1:3">
      <c r="A2712" s="6">
        <v>43621</v>
      </c>
      <c r="B2712" s="7">
        <v>2.7004</v>
      </c>
      <c r="C2712" s="7">
        <v>2.9506</v>
      </c>
    </row>
    <row r="2713" spans="1:3">
      <c r="A2713" s="6">
        <v>43622</v>
      </c>
      <c r="B2713" s="7">
        <v>2.6761</v>
      </c>
      <c r="C2713" s="7">
        <v>2.9384</v>
      </c>
    </row>
    <row r="2714" spans="1:3">
      <c r="A2714" s="6">
        <v>43626</v>
      </c>
      <c r="B2714" s="7">
        <v>2.6945</v>
      </c>
      <c r="C2714" s="7">
        <v>2.9631</v>
      </c>
    </row>
    <row r="2715" spans="1:3">
      <c r="A2715" s="6">
        <v>43627</v>
      </c>
      <c r="B2715" s="7">
        <v>2.721</v>
      </c>
      <c r="C2715" s="7">
        <v>3.0006</v>
      </c>
    </row>
    <row r="2716" spans="1:3">
      <c r="A2716" s="6">
        <v>43628</v>
      </c>
      <c r="B2716" s="7">
        <v>2.7207</v>
      </c>
      <c r="C2716" s="7">
        <v>3.0004</v>
      </c>
    </row>
    <row r="2717" spans="1:3">
      <c r="A2717" s="6">
        <v>43629</v>
      </c>
      <c r="B2717" s="7">
        <v>2.6914</v>
      </c>
      <c r="C2717" s="7">
        <v>2.9682</v>
      </c>
    </row>
    <row r="2718" spans="1:3">
      <c r="A2718" s="6">
        <v>43630</v>
      </c>
      <c r="B2718" s="7">
        <v>2.6746</v>
      </c>
      <c r="C2718" s="7">
        <v>2.9421</v>
      </c>
    </row>
    <row r="2719" spans="1:3">
      <c r="A2719" s="6">
        <v>43633</v>
      </c>
      <c r="B2719" s="7">
        <v>2.6432</v>
      </c>
      <c r="C2719" s="7">
        <v>2.9145</v>
      </c>
    </row>
    <row r="2720" spans="1:3">
      <c r="A2720" s="6">
        <v>43634</v>
      </c>
      <c r="B2720" s="7">
        <v>2.6362</v>
      </c>
      <c r="C2720" s="7">
        <v>2.9237</v>
      </c>
    </row>
    <row r="2721" spans="1:3">
      <c r="A2721" s="6">
        <v>43635</v>
      </c>
      <c r="B2721" s="7">
        <v>2.6189</v>
      </c>
      <c r="C2721" s="7">
        <v>2.9252</v>
      </c>
    </row>
    <row r="2722" spans="1:3">
      <c r="A2722" s="6">
        <v>43636</v>
      </c>
      <c r="B2722" s="7">
        <v>2.5897</v>
      </c>
      <c r="C2722" s="7">
        <v>2.9023</v>
      </c>
    </row>
    <row r="2723" spans="1:3">
      <c r="A2723" s="6">
        <v>43637</v>
      </c>
      <c r="B2723" s="7">
        <v>2.6054</v>
      </c>
      <c r="C2723" s="7">
        <v>2.914</v>
      </c>
    </row>
    <row r="2724" spans="1:3">
      <c r="A2724" s="6">
        <v>43640</v>
      </c>
      <c r="B2724" s="7">
        <v>2.6267</v>
      </c>
      <c r="C2724" s="7">
        <v>2.9289</v>
      </c>
    </row>
    <row r="2725" spans="1:3">
      <c r="A2725" s="6">
        <v>43641</v>
      </c>
      <c r="B2725" s="7">
        <v>2.6339</v>
      </c>
      <c r="C2725" s="7">
        <v>2.919</v>
      </c>
    </row>
    <row r="2726" spans="1:3">
      <c r="A2726" s="6">
        <v>43642</v>
      </c>
      <c r="B2726" s="7">
        <v>2.6481</v>
      </c>
      <c r="C2726" s="7">
        <v>2.9308</v>
      </c>
    </row>
    <row r="2727" spans="1:3">
      <c r="A2727" s="6">
        <v>43643</v>
      </c>
      <c r="B2727" s="7">
        <v>2.6533</v>
      </c>
      <c r="C2727" s="7">
        <v>2.94</v>
      </c>
    </row>
    <row r="2728" spans="1:3">
      <c r="A2728" s="6">
        <v>43644</v>
      </c>
      <c r="B2728" s="7">
        <v>2.6419</v>
      </c>
      <c r="C2728" s="7">
        <v>2.9328</v>
      </c>
    </row>
    <row r="2729" spans="1:3">
      <c r="A2729" s="6">
        <v>43647</v>
      </c>
      <c r="B2729" s="7">
        <v>2.6294</v>
      </c>
      <c r="C2729" s="7">
        <v>2.9352</v>
      </c>
    </row>
    <row r="2730" spans="1:3">
      <c r="A2730" s="6">
        <v>43648</v>
      </c>
      <c r="B2730" s="7">
        <v>2.5868</v>
      </c>
      <c r="C2730" s="7">
        <v>2.892</v>
      </c>
    </row>
    <row r="2731" spans="1:3">
      <c r="A2731" s="6">
        <v>43649</v>
      </c>
      <c r="B2731" s="7">
        <v>2.5595</v>
      </c>
      <c r="C2731" s="7">
        <v>2.8567</v>
      </c>
    </row>
    <row r="2732" spans="1:3">
      <c r="A2732" s="6">
        <v>43650</v>
      </c>
      <c r="B2732" s="7">
        <v>2.5608</v>
      </c>
      <c r="C2732" s="7">
        <v>2.8586</v>
      </c>
    </row>
    <row r="2733" spans="1:3">
      <c r="A2733" s="6">
        <v>43651</v>
      </c>
      <c r="B2733" s="7">
        <v>2.5828</v>
      </c>
      <c r="C2733" s="7">
        <v>2.8727</v>
      </c>
    </row>
    <row r="2734" spans="1:3">
      <c r="A2734" s="6">
        <v>43654</v>
      </c>
      <c r="B2734" s="7">
        <v>2.6124</v>
      </c>
      <c r="C2734" s="7">
        <v>2.8953</v>
      </c>
    </row>
    <row r="2735" spans="1:3">
      <c r="A2735" s="6">
        <v>43655</v>
      </c>
      <c r="B2735" s="7">
        <v>2.6157</v>
      </c>
      <c r="C2735" s="7">
        <v>2.902</v>
      </c>
    </row>
    <row r="2736" spans="1:3">
      <c r="A2736" s="6">
        <v>43656</v>
      </c>
      <c r="B2736" s="7">
        <v>2.6069</v>
      </c>
      <c r="C2736" s="7">
        <v>2.8941</v>
      </c>
    </row>
    <row r="2737" spans="1:3">
      <c r="A2737" s="6">
        <v>43657</v>
      </c>
      <c r="B2737" s="7">
        <v>2.5952</v>
      </c>
      <c r="C2737" s="7">
        <v>2.8832</v>
      </c>
    </row>
    <row r="2738" spans="1:3">
      <c r="A2738" s="6">
        <v>43658</v>
      </c>
      <c r="B2738" s="7">
        <v>2.6023</v>
      </c>
      <c r="C2738" s="7">
        <v>2.9006</v>
      </c>
    </row>
    <row r="2739" spans="1:3">
      <c r="A2739" s="6">
        <v>43661</v>
      </c>
      <c r="B2739" s="7">
        <v>2.6168</v>
      </c>
      <c r="C2739" s="7">
        <v>2.9004</v>
      </c>
    </row>
    <row r="2740" spans="1:3">
      <c r="A2740" s="6">
        <v>43662</v>
      </c>
      <c r="B2740" s="7">
        <v>2.6137</v>
      </c>
      <c r="C2740" s="7">
        <v>2.9054</v>
      </c>
    </row>
    <row r="2741" spans="1:3">
      <c r="A2741" s="6">
        <v>43663</v>
      </c>
      <c r="B2741" s="7">
        <v>2.6076</v>
      </c>
      <c r="C2741" s="7">
        <v>2.9009</v>
      </c>
    </row>
    <row r="2742" spans="1:3">
      <c r="A2742" s="6">
        <v>43664</v>
      </c>
      <c r="B2742" s="7">
        <v>2.5938</v>
      </c>
      <c r="C2742" s="7">
        <v>2.8839</v>
      </c>
    </row>
    <row r="2743" spans="1:3">
      <c r="A2743" s="6">
        <v>43665</v>
      </c>
      <c r="B2743" s="7">
        <v>2.5898</v>
      </c>
      <c r="C2743" s="7">
        <v>2.8775</v>
      </c>
    </row>
    <row r="2744" spans="1:3">
      <c r="A2744" s="6">
        <v>43668</v>
      </c>
      <c r="B2744" s="7">
        <v>2.5769</v>
      </c>
      <c r="C2744" s="7">
        <v>2.8707</v>
      </c>
    </row>
    <row r="2745" spans="1:3">
      <c r="A2745" s="6">
        <v>43669</v>
      </c>
      <c r="B2745" s="7">
        <v>2.5802</v>
      </c>
      <c r="C2745" s="7">
        <v>2.8731</v>
      </c>
    </row>
    <row r="2746" spans="1:3">
      <c r="A2746" s="6">
        <v>43670</v>
      </c>
      <c r="B2746" s="7">
        <v>2.6016</v>
      </c>
      <c r="C2746" s="7">
        <v>2.8981</v>
      </c>
    </row>
    <row r="2747" spans="1:3">
      <c r="A2747" s="6">
        <v>43671</v>
      </c>
      <c r="B2747" s="7">
        <v>2.6045</v>
      </c>
      <c r="C2747" s="7">
        <v>2.8956</v>
      </c>
    </row>
    <row r="2748" spans="1:3">
      <c r="A2748" s="6">
        <v>43672</v>
      </c>
      <c r="B2748" s="7">
        <v>2.612</v>
      </c>
      <c r="C2748" s="7">
        <v>2.9004</v>
      </c>
    </row>
    <row r="2749" spans="1:3">
      <c r="A2749" s="6">
        <v>43675</v>
      </c>
      <c r="B2749" s="7">
        <v>2.6324</v>
      </c>
      <c r="C2749" s="7">
        <v>2.9159</v>
      </c>
    </row>
    <row r="2750" spans="1:3">
      <c r="A2750" s="6">
        <v>43676</v>
      </c>
      <c r="B2750" s="7">
        <v>2.6372</v>
      </c>
      <c r="C2750" s="7">
        <v>2.9228</v>
      </c>
    </row>
    <row r="2751" spans="1:3">
      <c r="A2751" s="6">
        <v>43677</v>
      </c>
      <c r="B2751" s="7">
        <v>2.618</v>
      </c>
      <c r="C2751" s="7">
        <v>2.8983</v>
      </c>
    </row>
    <row r="2752" spans="1:3">
      <c r="A2752" s="6">
        <v>43678</v>
      </c>
      <c r="B2752" s="7">
        <v>2.6191</v>
      </c>
      <c r="C2752" s="7">
        <v>2.9015</v>
      </c>
    </row>
    <row r="2753" spans="1:3">
      <c r="A2753" s="6">
        <v>43679</v>
      </c>
      <c r="B2753" s="7">
        <v>2.5977</v>
      </c>
      <c r="C2753" s="7">
        <v>2.8578</v>
      </c>
    </row>
    <row r="2754" spans="1:3">
      <c r="A2754" s="6">
        <v>43682</v>
      </c>
      <c r="B2754" s="7">
        <v>2.5716</v>
      </c>
      <c r="C2754" s="7">
        <v>2.8313</v>
      </c>
    </row>
    <row r="2755" spans="1:3">
      <c r="A2755" s="6">
        <v>43683</v>
      </c>
      <c r="B2755" s="7">
        <v>2.5694</v>
      </c>
      <c r="C2755" s="7">
        <v>2.8123</v>
      </c>
    </row>
    <row r="2756" spans="1:3">
      <c r="A2756" s="6">
        <v>43684</v>
      </c>
      <c r="B2756" s="7">
        <v>2.5655</v>
      </c>
      <c r="C2756" s="7">
        <v>2.8112</v>
      </c>
    </row>
    <row r="2757" spans="1:3">
      <c r="A2757" s="6">
        <v>43685</v>
      </c>
      <c r="B2757" s="7">
        <v>2.5674</v>
      </c>
      <c r="C2757" s="7">
        <v>2.8145</v>
      </c>
    </row>
    <row r="2758" spans="1:3">
      <c r="A2758" s="6">
        <v>43686</v>
      </c>
      <c r="B2758" s="7">
        <v>2.5592</v>
      </c>
      <c r="C2758" s="7">
        <v>2.7957</v>
      </c>
    </row>
    <row r="2759" spans="1:3">
      <c r="A2759" s="6">
        <v>43689</v>
      </c>
      <c r="B2759" s="7">
        <v>2.5844</v>
      </c>
      <c r="C2759" s="7">
        <v>2.8099</v>
      </c>
    </row>
    <row r="2760" spans="1:3">
      <c r="A2760" s="6">
        <v>43690</v>
      </c>
      <c r="B2760" s="7">
        <v>2.5909</v>
      </c>
      <c r="C2760" s="7">
        <v>2.7955</v>
      </c>
    </row>
    <row r="2761" spans="1:3">
      <c r="A2761" s="6">
        <v>43691</v>
      </c>
      <c r="B2761" s="7">
        <v>2.6061</v>
      </c>
      <c r="C2761" s="7">
        <v>2.8131</v>
      </c>
    </row>
    <row r="2762" spans="1:3">
      <c r="A2762" s="6">
        <v>43692</v>
      </c>
      <c r="B2762" s="7">
        <v>2.6001</v>
      </c>
      <c r="C2762" s="7">
        <v>2.8134</v>
      </c>
    </row>
    <row r="2763" spans="1:3">
      <c r="A2763" s="6">
        <v>43693</v>
      </c>
      <c r="B2763" s="7">
        <v>2.6174</v>
      </c>
      <c r="C2763" s="7">
        <v>2.8347</v>
      </c>
    </row>
    <row r="2764" spans="1:3">
      <c r="A2764" s="6">
        <v>43696</v>
      </c>
      <c r="B2764" s="7">
        <v>2.6111</v>
      </c>
      <c r="C2764" s="7">
        <v>2.8316</v>
      </c>
    </row>
    <row r="2765" spans="1:3">
      <c r="A2765" s="6">
        <v>43697</v>
      </c>
      <c r="B2765" s="7">
        <v>2.6141</v>
      </c>
      <c r="C2765" s="7">
        <v>2.826</v>
      </c>
    </row>
    <row r="2766" spans="1:3">
      <c r="A2766" s="6">
        <v>43698</v>
      </c>
      <c r="B2766" s="7">
        <v>2.6296</v>
      </c>
      <c r="C2766" s="7">
        <v>2.8505</v>
      </c>
    </row>
    <row r="2767" spans="1:3">
      <c r="A2767" s="6">
        <v>43699</v>
      </c>
      <c r="B2767" s="7">
        <v>2.6318</v>
      </c>
      <c r="C2767" s="7">
        <v>2.858</v>
      </c>
    </row>
    <row r="2768" spans="1:3">
      <c r="A2768" s="6">
        <v>43700</v>
      </c>
      <c r="B2768" s="7">
        <v>2.6345</v>
      </c>
      <c r="C2768" s="7">
        <v>2.8657</v>
      </c>
    </row>
    <row r="2769" spans="1:3">
      <c r="A2769" s="6">
        <v>43703</v>
      </c>
      <c r="B2769" s="7">
        <v>2.629</v>
      </c>
      <c r="C2769" s="7">
        <v>2.8386</v>
      </c>
    </row>
    <row r="2770" spans="1:3">
      <c r="A2770" s="6">
        <v>43704</v>
      </c>
      <c r="B2770" s="7">
        <v>2.6545</v>
      </c>
      <c r="C2770" s="7">
        <v>2.863</v>
      </c>
    </row>
    <row r="2771" spans="1:3">
      <c r="A2771" s="6">
        <v>43705</v>
      </c>
      <c r="B2771" s="7">
        <v>2.6511</v>
      </c>
      <c r="C2771" s="7">
        <v>2.8546</v>
      </c>
    </row>
    <row r="2772" spans="1:3">
      <c r="A2772" s="6">
        <v>43706</v>
      </c>
      <c r="B2772" s="7">
        <v>2.6405</v>
      </c>
      <c r="C2772" s="7">
        <v>2.8525</v>
      </c>
    </row>
    <row r="2773" spans="1:3">
      <c r="A2773" s="6">
        <v>43707</v>
      </c>
      <c r="B2773" s="7">
        <v>2.6643</v>
      </c>
      <c r="C2773" s="7">
        <v>2.8845</v>
      </c>
    </row>
    <row r="2774" spans="1:3">
      <c r="A2774" s="6">
        <v>43710</v>
      </c>
      <c r="B2774" s="7">
        <v>2.67</v>
      </c>
      <c r="C2774" s="7">
        <v>2.9023</v>
      </c>
    </row>
    <row r="2775" spans="1:3">
      <c r="A2775" s="6">
        <v>43711</v>
      </c>
      <c r="B2775" s="7">
        <v>2.6628</v>
      </c>
      <c r="C2775" s="7">
        <v>2.9012</v>
      </c>
    </row>
    <row r="2776" spans="1:3">
      <c r="A2776" s="6">
        <v>43712</v>
      </c>
      <c r="B2776" s="7">
        <v>2.6544</v>
      </c>
      <c r="C2776" s="7">
        <v>2.8829</v>
      </c>
    </row>
    <row r="2777" spans="1:3">
      <c r="A2777" s="6">
        <v>43713</v>
      </c>
      <c r="B2777" s="7">
        <v>2.6103</v>
      </c>
      <c r="C2777" s="7">
        <v>2.8317</v>
      </c>
    </row>
    <row r="2778" spans="1:3">
      <c r="A2778" s="6">
        <v>43714</v>
      </c>
      <c r="B2778" s="7">
        <v>2.6008</v>
      </c>
      <c r="C2778" s="7">
        <v>2.8119</v>
      </c>
    </row>
    <row r="2779" spans="1:3">
      <c r="A2779" s="6">
        <v>43717</v>
      </c>
      <c r="B2779" s="7">
        <v>2.6113</v>
      </c>
      <c r="C2779" s="7">
        <v>2.8229</v>
      </c>
    </row>
    <row r="2780" spans="1:3">
      <c r="A2780" s="6">
        <v>43718</v>
      </c>
      <c r="B2780" s="7">
        <v>2.6382</v>
      </c>
      <c r="C2780" s="7">
        <v>2.8443</v>
      </c>
    </row>
    <row r="2781" spans="1:3">
      <c r="A2781" s="6">
        <v>43719</v>
      </c>
      <c r="B2781" s="7">
        <v>2.6464</v>
      </c>
      <c r="C2781" s="7">
        <v>2.8528</v>
      </c>
    </row>
    <row r="2782" spans="1:3">
      <c r="A2782" s="6">
        <v>43720</v>
      </c>
      <c r="B2782" s="7">
        <v>2.6598</v>
      </c>
      <c r="C2782" s="7">
        <v>2.8848</v>
      </c>
    </row>
    <row r="2783" spans="1:3">
      <c r="A2783" s="6">
        <v>43724</v>
      </c>
      <c r="B2783" s="7">
        <v>2.667</v>
      </c>
      <c r="C2783" s="7">
        <v>2.9028</v>
      </c>
    </row>
    <row r="2784" spans="1:3">
      <c r="A2784" s="6">
        <v>43725</v>
      </c>
      <c r="B2784" s="7">
        <v>2.6724</v>
      </c>
      <c r="C2784" s="7">
        <v>2.9032</v>
      </c>
    </row>
    <row r="2785" spans="1:3">
      <c r="A2785" s="6">
        <v>43726</v>
      </c>
      <c r="B2785" s="7">
        <v>2.7045</v>
      </c>
      <c r="C2785" s="7">
        <v>2.947</v>
      </c>
    </row>
    <row r="2786" spans="1:3">
      <c r="A2786" s="6">
        <v>43727</v>
      </c>
      <c r="B2786" s="7">
        <v>2.6996</v>
      </c>
      <c r="C2786" s="7">
        <v>2.9451</v>
      </c>
    </row>
    <row r="2787" spans="1:3">
      <c r="A2787" s="6">
        <v>43728</v>
      </c>
      <c r="B2787" s="7">
        <v>2.7058</v>
      </c>
      <c r="C2787" s="7">
        <v>2.9388</v>
      </c>
    </row>
    <row r="2788" spans="1:3">
      <c r="A2788" s="6">
        <v>43731</v>
      </c>
      <c r="B2788" s="7">
        <v>2.7036</v>
      </c>
      <c r="C2788" s="7">
        <v>2.9343</v>
      </c>
    </row>
    <row r="2789" spans="1:3">
      <c r="A2789" s="6">
        <v>43732</v>
      </c>
      <c r="B2789" s="7">
        <v>2.6929</v>
      </c>
      <c r="C2789" s="7">
        <v>2.9268</v>
      </c>
    </row>
    <row r="2790" spans="1:3">
      <c r="A2790" s="6">
        <v>43733</v>
      </c>
      <c r="B2790" s="7">
        <v>2.6936</v>
      </c>
      <c r="C2790" s="7">
        <v>2.9373</v>
      </c>
    </row>
    <row r="2791" spans="1:3">
      <c r="A2791" s="6">
        <v>43734</v>
      </c>
      <c r="B2791" s="7">
        <v>2.6899</v>
      </c>
      <c r="C2791" s="7">
        <v>2.9423</v>
      </c>
    </row>
    <row r="2792" spans="1:3">
      <c r="A2792" s="6">
        <v>43735</v>
      </c>
      <c r="B2792" s="7">
        <v>2.6908</v>
      </c>
      <c r="C2792" s="7">
        <v>2.9512</v>
      </c>
    </row>
    <row r="2793" spans="1:3">
      <c r="A2793" s="6">
        <v>43737</v>
      </c>
      <c r="B2793" s="7"/>
      <c r="C2793" s="7">
        <v>2.9625</v>
      </c>
    </row>
    <row r="2794" spans="1:3">
      <c r="A2794" s="6">
        <v>43738</v>
      </c>
      <c r="B2794" s="7">
        <v>2.7074</v>
      </c>
      <c r="C2794" s="7">
        <v>2.9766</v>
      </c>
    </row>
    <row r="2795" spans="1:3">
      <c r="A2795" s="6">
        <v>43746</v>
      </c>
      <c r="B2795" s="7">
        <v>2.6883</v>
      </c>
      <c r="C2795" s="7">
        <v>2.9363</v>
      </c>
    </row>
    <row r="2796" spans="1:3">
      <c r="A2796" s="6">
        <v>43747</v>
      </c>
      <c r="B2796" s="7">
        <v>2.6844</v>
      </c>
      <c r="C2796" s="7">
        <v>2.9251</v>
      </c>
    </row>
    <row r="2797" spans="1:3">
      <c r="A2797" s="6">
        <v>43748</v>
      </c>
      <c r="B2797" s="7">
        <v>2.6936</v>
      </c>
      <c r="C2797" s="7">
        <v>2.942</v>
      </c>
    </row>
    <row r="2798" spans="1:3">
      <c r="A2798" s="6">
        <v>43749</v>
      </c>
      <c r="B2798" s="7">
        <v>2.7068</v>
      </c>
      <c r="C2798" s="7">
        <v>2.9706</v>
      </c>
    </row>
    <row r="2799" spans="1:3">
      <c r="A2799" s="6">
        <v>43750</v>
      </c>
      <c r="B2799" s="7">
        <v>2.7193</v>
      </c>
      <c r="C2799" s="7">
        <v>2.98</v>
      </c>
    </row>
    <row r="2800" spans="1:3">
      <c r="A2800" s="6">
        <v>43752</v>
      </c>
      <c r="B2800" s="7">
        <v>2.726</v>
      </c>
      <c r="C2800" s="7">
        <v>2.9936</v>
      </c>
    </row>
    <row r="2801" spans="1:3">
      <c r="A2801" s="6">
        <v>43753</v>
      </c>
      <c r="B2801" s="7">
        <v>2.7335</v>
      </c>
      <c r="C2801" s="7">
        <v>2.9904</v>
      </c>
    </row>
    <row r="2802" spans="1:3">
      <c r="A2802" s="6">
        <v>43754</v>
      </c>
      <c r="B2802" s="7">
        <v>2.7275</v>
      </c>
      <c r="C2802" s="7">
        <v>2.9801</v>
      </c>
    </row>
    <row r="2803" spans="1:3">
      <c r="A2803" s="6">
        <v>43755</v>
      </c>
      <c r="B2803" s="7">
        <v>2.7238</v>
      </c>
      <c r="C2803" s="7">
        <v>2.9746</v>
      </c>
    </row>
    <row r="2804" spans="1:3">
      <c r="A2804" s="6">
        <v>43756</v>
      </c>
      <c r="B2804" s="7">
        <v>2.7337</v>
      </c>
      <c r="C2804" s="7">
        <v>2.9931</v>
      </c>
    </row>
    <row r="2805" spans="1:3">
      <c r="A2805" s="6">
        <v>43759</v>
      </c>
      <c r="B2805" s="7">
        <v>2.7669</v>
      </c>
      <c r="C2805" s="7">
        <v>3.0336</v>
      </c>
    </row>
    <row r="2806" spans="1:3">
      <c r="A2806" s="6">
        <v>43760</v>
      </c>
      <c r="B2806" s="7">
        <v>2.7913</v>
      </c>
      <c r="C2806" s="7">
        <v>3.0654</v>
      </c>
    </row>
    <row r="2807" spans="1:3">
      <c r="A2807" s="6">
        <v>43761</v>
      </c>
      <c r="B2807" s="7">
        <v>2.7736</v>
      </c>
      <c r="C2807" s="7">
        <v>3.0515</v>
      </c>
    </row>
    <row r="2808" spans="1:3">
      <c r="A2808" s="6">
        <v>43762</v>
      </c>
      <c r="B2808" s="7">
        <v>2.7685</v>
      </c>
      <c r="C2808" s="7">
        <v>3.0452</v>
      </c>
    </row>
    <row r="2809" spans="1:3">
      <c r="A2809" s="6">
        <v>43763</v>
      </c>
      <c r="B2809" s="7">
        <v>2.773</v>
      </c>
      <c r="C2809" s="7">
        <v>3.0512</v>
      </c>
    </row>
    <row r="2810" spans="1:3">
      <c r="A2810" s="6">
        <v>43766</v>
      </c>
      <c r="B2810" s="7">
        <v>2.8183</v>
      </c>
      <c r="C2810" s="7">
        <v>3.1027</v>
      </c>
    </row>
    <row r="2811" spans="1:3">
      <c r="A2811" s="6">
        <v>43767</v>
      </c>
      <c r="B2811" s="7">
        <v>2.8541</v>
      </c>
      <c r="C2811" s="7">
        <v>3.1449</v>
      </c>
    </row>
    <row r="2812" spans="1:3">
      <c r="A2812" s="6">
        <v>43768</v>
      </c>
      <c r="B2812" s="7">
        <v>2.8919</v>
      </c>
      <c r="C2812" s="7">
        <v>3.189</v>
      </c>
    </row>
    <row r="2813" spans="1:3">
      <c r="A2813" s="6">
        <v>43769</v>
      </c>
      <c r="B2813" s="7">
        <v>2.8813</v>
      </c>
      <c r="C2813" s="7">
        <v>3.1717</v>
      </c>
    </row>
    <row r="2814" spans="1:3">
      <c r="A2814" s="6">
        <v>43770</v>
      </c>
      <c r="B2814" s="7">
        <v>2.8563</v>
      </c>
      <c r="C2814" s="7">
        <v>3.1449</v>
      </c>
    </row>
    <row r="2815" spans="1:3">
      <c r="A2815" s="6">
        <v>43773</v>
      </c>
      <c r="B2815" s="7">
        <v>2.8703</v>
      </c>
      <c r="C2815" s="7">
        <v>3.1693</v>
      </c>
    </row>
    <row r="2816" spans="1:3">
      <c r="A2816" s="6">
        <v>43774</v>
      </c>
      <c r="B2816" s="7">
        <v>2.8361</v>
      </c>
      <c r="C2816" s="7">
        <v>3.1559</v>
      </c>
    </row>
    <row r="2817" spans="1:3">
      <c r="A2817" s="6">
        <v>43775</v>
      </c>
      <c r="B2817" s="7">
        <v>2.803</v>
      </c>
      <c r="C2817" s="7">
        <v>3.1082</v>
      </c>
    </row>
    <row r="2818" spans="1:3">
      <c r="A2818" s="6">
        <v>43776</v>
      </c>
      <c r="B2818" s="7">
        <v>2.8115</v>
      </c>
      <c r="C2818" s="7">
        <v>3.1199</v>
      </c>
    </row>
    <row r="2819" spans="1:3">
      <c r="A2819" s="6">
        <v>43777</v>
      </c>
      <c r="B2819" s="7">
        <v>2.8292</v>
      </c>
      <c r="C2819" s="7">
        <v>3.1518</v>
      </c>
    </row>
    <row r="2820" spans="1:3">
      <c r="A2820" s="6">
        <v>43780</v>
      </c>
      <c r="B2820" s="7">
        <v>2.8165</v>
      </c>
      <c r="C2820" s="7">
        <v>3.1336</v>
      </c>
    </row>
    <row r="2821" spans="1:3">
      <c r="A2821" s="6">
        <v>43781</v>
      </c>
      <c r="B2821" s="7">
        <v>2.8103</v>
      </c>
      <c r="C2821" s="7">
        <v>3.1166</v>
      </c>
    </row>
    <row r="2822" spans="1:3">
      <c r="A2822" s="6">
        <v>43782</v>
      </c>
      <c r="B2822" s="7">
        <v>2.8179</v>
      </c>
      <c r="C2822" s="7">
        <v>3.1222</v>
      </c>
    </row>
    <row r="2823" spans="1:3">
      <c r="A2823" s="6">
        <v>43783</v>
      </c>
      <c r="B2823" s="7">
        <v>2.8212</v>
      </c>
      <c r="C2823" s="7">
        <v>3.1179</v>
      </c>
    </row>
    <row r="2824" spans="1:3">
      <c r="A2824" s="6">
        <v>43784</v>
      </c>
      <c r="B2824" s="7">
        <v>2.8145</v>
      </c>
      <c r="C2824" s="7">
        <v>3.1116</v>
      </c>
    </row>
    <row r="2825" spans="1:3">
      <c r="A2825" s="6">
        <v>43787</v>
      </c>
      <c r="B2825" s="7">
        <v>2.7649</v>
      </c>
      <c r="C2825" s="7">
        <v>3.0522</v>
      </c>
    </row>
    <row r="2826" spans="1:3">
      <c r="A2826" s="6">
        <v>43788</v>
      </c>
      <c r="B2826" s="7">
        <v>2.6905</v>
      </c>
      <c r="C2826" s="7">
        <v>2.9854</v>
      </c>
    </row>
    <row r="2827" spans="1:3">
      <c r="A2827" s="6">
        <v>43789</v>
      </c>
      <c r="B2827" s="7">
        <v>2.6497</v>
      </c>
      <c r="C2827" s="7">
        <v>2.9454</v>
      </c>
    </row>
    <row r="2828" spans="1:3">
      <c r="A2828" s="6">
        <v>43790</v>
      </c>
      <c r="B2828" s="7">
        <v>2.6376</v>
      </c>
      <c r="C2828" s="7">
        <v>2.9283</v>
      </c>
    </row>
    <row r="2829" spans="1:3">
      <c r="A2829" s="6">
        <v>43791</v>
      </c>
      <c r="B2829" s="7">
        <v>2.6498</v>
      </c>
      <c r="C2829" s="7">
        <v>2.951</v>
      </c>
    </row>
    <row r="2830" spans="1:3">
      <c r="A2830" s="6">
        <v>43794</v>
      </c>
      <c r="B2830" s="7">
        <v>2.6741</v>
      </c>
      <c r="C2830" s="7">
        <v>2.9744</v>
      </c>
    </row>
    <row r="2831" spans="1:3">
      <c r="A2831" s="6">
        <v>43795</v>
      </c>
      <c r="B2831" s="7">
        <v>2.6881</v>
      </c>
      <c r="C2831" s="7">
        <v>2.9812</v>
      </c>
    </row>
    <row r="2832" spans="1:3">
      <c r="A2832" s="6">
        <v>43796</v>
      </c>
      <c r="B2832" s="7">
        <v>2.6859</v>
      </c>
      <c r="C2832" s="7">
        <v>2.9731</v>
      </c>
    </row>
    <row r="2833" spans="1:3">
      <c r="A2833" s="6">
        <v>43797</v>
      </c>
      <c r="B2833" s="7">
        <v>2.6901</v>
      </c>
      <c r="C2833" s="7">
        <v>2.9799</v>
      </c>
    </row>
    <row r="2834" spans="1:3">
      <c r="A2834" s="6">
        <v>43798</v>
      </c>
      <c r="B2834" s="7">
        <v>2.6805</v>
      </c>
      <c r="C2834" s="7">
        <v>2.9739</v>
      </c>
    </row>
    <row r="2835" spans="1:3">
      <c r="A2835" s="6">
        <v>43801</v>
      </c>
      <c r="B2835" s="7">
        <v>2.6979</v>
      </c>
      <c r="C2835" s="7">
        <v>3.0069</v>
      </c>
    </row>
    <row r="2836" spans="1:3">
      <c r="A2836" s="6">
        <v>43802</v>
      </c>
      <c r="B2836" s="7">
        <v>2.6928</v>
      </c>
      <c r="C2836" s="7">
        <v>3.0073</v>
      </c>
    </row>
    <row r="2837" spans="1:3">
      <c r="A2837" s="6">
        <v>43803</v>
      </c>
      <c r="B2837" s="7">
        <v>2.6753</v>
      </c>
      <c r="C2837" s="7">
        <v>2.9762</v>
      </c>
    </row>
    <row r="2838" spans="1:3">
      <c r="A2838" s="6">
        <v>43804</v>
      </c>
      <c r="B2838" s="7">
        <v>2.6746</v>
      </c>
      <c r="C2838" s="7">
        <v>2.9818</v>
      </c>
    </row>
    <row r="2839" spans="1:3">
      <c r="A2839" s="6">
        <v>43805</v>
      </c>
      <c r="B2839" s="7">
        <v>2.6853</v>
      </c>
      <c r="C2839" s="7">
        <v>2.999</v>
      </c>
    </row>
    <row r="2840" spans="1:3">
      <c r="A2840" s="6">
        <v>43808</v>
      </c>
      <c r="B2840" s="7">
        <v>2.7051</v>
      </c>
      <c r="C2840" s="7">
        <v>3.0191</v>
      </c>
    </row>
    <row r="2841" spans="1:3">
      <c r="A2841" s="6">
        <v>43809</v>
      </c>
      <c r="B2841" s="7">
        <v>2.697</v>
      </c>
      <c r="C2841" s="7">
        <v>3.0086</v>
      </c>
    </row>
    <row r="2842" spans="1:3">
      <c r="A2842" s="6">
        <v>43810</v>
      </c>
      <c r="B2842" s="7">
        <v>2.6814</v>
      </c>
      <c r="C2842" s="7">
        <v>2.9995</v>
      </c>
    </row>
    <row r="2843" spans="1:3">
      <c r="A2843" s="6">
        <v>43811</v>
      </c>
      <c r="B2843" s="7">
        <v>2.665</v>
      </c>
      <c r="C2843" s="7">
        <v>2.9815</v>
      </c>
    </row>
    <row r="2844" spans="1:3">
      <c r="A2844" s="6">
        <v>43812</v>
      </c>
      <c r="B2844" s="7">
        <v>2.6761</v>
      </c>
      <c r="C2844" s="7">
        <v>3.0065</v>
      </c>
    </row>
    <row r="2845" spans="1:3">
      <c r="A2845" s="6">
        <v>43815</v>
      </c>
      <c r="B2845" s="7">
        <v>2.6867</v>
      </c>
      <c r="C2845" s="7">
        <v>3.0102</v>
      </c>
    </row>
    <row r="2846" spans="1:3">
      <c r="A2846" s="6">
        <v>43816</v>
      </c>
      <c r="B2846" s="7">
        <v>2.7142</v>
      </c>
      <c r="C2846" s="7">
        <v>3.043</v>
      </c>
    </row>
    <row r="2847" spans="1:3">
      <c r="A2847" s="6">
        <v>43817</v>
      </c>
      <c r="B2847" s="7">
        <v>2.6968</v>
      </c>
      <c r="C2847" s="7">
        <v>3.0394</v>
      </c>
    </row>
    <row r="2848" spans="1:3">
      <c r="A2848" s="6">
        <v>43818</v>
      </c>
      <c r="B2848" s="7">
        <v>2.6878</v>
      </c>
      <c r="C2848" s="7">
        <v>3.037</v>
      </c>
    </row>
    <row r="2849" spans="1:3">
      <c r="A2849" s="6">
        <v>43819</v>
      </c>
      <c r="B2849" s="7">
        <v>2.6654</v>
      </c>
      <c r="C2849" s="7">
        <v>3.0138</v>
      </c>
    </row>
    <row r="2850" spans="1:3">
      <c r="A2850" s="6">
        <v>43822</v>
      </c>
      <c r="B2850" s="7">
        <v>2.6385</v>
      </c>
      <c r="C2850" s="7">
        <v>2.9876</v>
      </c>
    </row>
    <row r="2851" spans="1:3">
      <c r="A2851" s="6">
        <v>43823</v>
      </c>
      <c r="B2851" s="7">
        <v>2.6154</v>
      </c>
      <c r="C2851" s="7">
        <v>2.966</v>
      </c>
    </row>
    <row r="2852" spans="1:3">
      <c r="A2852" s="6">
        <v>43824</v>
      </c>
      <c r="B2852" s="7">
        <v>2.6303</v>
      </c>
      <c r="C2852" s="7">
        <v>2.9787</v>
      </c>
    </row>
    <row r="2853" spans="1:3">
      <c r="A2853" s="6">
        <v>43825</v>
      </c>
      <c r="B2853" s="7">
        <v>2.6261</v>
      </c>
      <c r="C2853" s="7">
        <v>2.9636</v>
      </c>
    </row>
    <row r="2854" spans="1:3">
      <c r="A2854" s="6">
        <v>43826</v>
      </c>
      <c r="B2854" s="7">
        <v>2.6342</v>
      </c>
      <c r="C2854" s="7">
        <v>2.9742</v>
      </c>
    </row>
    <row r="2855" spans="1:3">
      <c r="A2855" s="6">
        <v>43829</v>
      </c>
      <c r="B2855" s="7">
        <v>2.6403</v>
      </c>
      <c r="C2855" s="7">
        <v>2.9923</v>
      </c>
    </row>
    <row r="2856" spans="1:3">
      <c r="A2856" s="6">
        <v>43830</v>
      </c>
      <c r="B2856" s="7">
        <v>2.646</v>
      </c>
      <c r="C2856" s="7">
        <v>2.9873</v>
      </c>
    </row>
    <row r="2857" spans="1:3">
      <c r="A2857" s="6">
        <v>43832</v>
      </c>
      <c r="B2857" s="7">
        <v>2.6484</v>
      </c>
      <c r="C2857" s="7">
        <v>2.9993</v>
      </c>
    </row>
    <row r="2858" spans="1:3">
      <c r="A2858" s="6">
        <v>43833</v>
      </c>
      <c r="B2858" s="7">
        <v>2.6521</v>
      </c>
      <c r="C2858" s="7">
        <v>3.0222</v>
      </c>
    </row>
    <row r="2859" spans="1:3">
      <c r="A2859" s="6">
        <v>43836</v>
      </c>
      <c r="B2859" s="7">
        <v>2.6158</v>
      </c>
      <c r="C2859" s="7">
        <v>2.9834</v>
      </c>
    </row>
    <row r="2860" spans="1:3">
      <c r="A2860" s="6">
        <v>43837</v>
      </c>
      <c r="B2860" s="7">
        <v>2.6285</v>
      </c>
      <c r="C2860" s="7">
        <v>2.9877</v>
      </c>
    </row>
    <row r="2861" spans="1:3">
      <c r="A2861" s="6">
        <v>43838</v>
      </c>
      <c r="B2861" s="7">
        <v>2.6362</v>
      </c>
      <c r="C2861" s="7">
        <v>2.9772</v>
      </c>
    </row>
    <row r="2862" spans="1:3">
      <c r="A2862" s="6">
        <v>43839</v>
      </c>
      <c r="B2862" s="7">
        <v>2.638</v>
      </c>
      <c r="C2862" s="7">
        <v>2.9803</v>
      </c>
    </row>
    <row r="2863" spans="1:3">
      <c r="A2863" s="6">
        <v>43840</v>
      </c>
      <c r="B2863" s="7">
        <v>2.6219</v>
      </c>
      <c r="C2863" s="7">
        <v>2.9565</v>
      </c>
    </row>
    <row r="2864" spans="1:3">
      <c r="A2864" s="6">
        <v>43843</v>
      </c>
      <c r="B2864" s="7">
        <v>2.6338</v>
      </c>
      <c r="C2864" s="7">
        <v>2.9531</v>
      </c>
    </row>
    <row r="2865" spans="1:3">
      <c r="A2865" s="6">
        <v>43844</v>
      </c>
      <c r="B2865" s="7">
        <v>2.6459</v>
      </c>
      <c r="C2865" s="7">
        <v>2.9761</v>
      </c>
    </row>
    <row r="2866" spans="1:3">
      <c r="A2866" s="6">
        <v>43845</v>
      </c>
      <c r="B2866" s="7">
        <v>2.6469</v>
      </c>
      <c r="C2866" s="7">
        <v>2.9682</v>
      </c>
    </row>
    <row r="2867" spans="1:3">
      <c r="A2867" s="6">
        <v>43846</v>
      </c>
      <c r="B2867" s="7">
        <v>2.6405</v>
      </c>
      <c r="C2867" s="7">
        <v>2.9735</v>
      </c>
    </row>
    <row r="2868" spans="1:3">
      <c r="A2868" s="6">
        <v>43847</v>
      </c>
      <c r="B2868" s="7">
        <v>2.6299</v>
      </c>
      <c r="C2868" s="7">
        <v>2.968</v>
      </c>
    </row>
    <row r="2869" spans="1:3">
      <c r="A2869" s="6">
        <v>43849</v>
      </c>
      <c r="B2869" s="7"/>
      <c r="C2869" s="7">
        <v>2.9525</v>
      </c>
    </row>
    <row r="2870" spans="1:3">
      <c r="A2870" s="6">
        <v>43850</v>
      </c>
      <c r="B2870" s="7">
        <v>2.6076</v>
      </c>
      <c r="C2870" s="7">
        <v>2.9386</v>
      </c>
    </row>
    <row r="2871" spans="1:3">
      <c r="A2871" s="6">
        <v>43851</v>
      </c>
      <c r="B2871" s="7">
        <v>2.5993</v>
      </c>
      <c r="C2871" s="7">
        <v>2.9132</v>
      </c>
    </row>
    <row r="2872" spans="1:3">
      <c r="A2872" s="6">
        <v>43852</v>
      </c>
      <c r="B2872" s="7">
        <v>2.6061</v>
      </c>
      <c r="C2872" s="7">
        <v>2.9071</v>
      </c>
    </row>
    <row r="2873" spans="1:3">
      <c r="A2873" s="6">
        <v>43853</v>
      </c>
      <c r="B2873" s="7">
        <v>2.5867</v>
      </c>
      <c r="C2873" s="7">
        <v>2.8903</v>
      </c>
    </row>
    <row r="2874" spans="1:3">
      <c r="A2874" s="6">
        <v>43864</v>
      </c>
      <c r="B2874" s="7">
        <v>2.448</v>
      </c>
      <c r="C2874" s="7">
        <v>2.6976</v>
      </c>
    </row>
    <row r="2875" spans="1:3">
      <c r="A2875" s="6">
        <v>43865</v>
      </c>
      <c r="B2875" s="7">
        <v>2.4608</v>
      </c>
      <c r="C2875" s="7">
        <v>2.7238</v>
      </c>
    </row>
    <row r="2876" spans="1:3">
      <c r="A2876" s="6">
        <v>43866</v>
      </c>
      <c r="B2876" s="7">
        <v>2.458</v>
      </c>
      <c r="C2876" s="7">
        <v>2.7404</v>
      </c>
    </row>
    <row r="2877" spans="1:3">
      <c r="A2877" s="6">
        <v>43867</v>
      </c>
      <c r="B2877" s="7">
        <v>2.4396</v>
      </c>
      <c r="C2877" s="7">
        <v>2.7316</v>
      </c>
    </row>
    <row r="2878" spans="1:3">
      <c r="A2878" s="6">
        <v>43868</v>
      </c>
      <c r="B2878" s="7">
        <v>2.4088</v>
      </c>
      <c r="C2878" s="7">
        <v>2.6954</v>
      </c>
    </row>
    <row r="2879" spans="1:3">
      <c r="A2879" s="6">
        <v>43871</v>
      </c>
      <c r="B2879" s="7">
        <v>2.3758</v>
      </c>
      <c r="C2879" s="7">
        <v>2.6581</v>
      </c>
    </row>
    <row r="2880" spans="1:3">
      <c r="A2880" s="6">
        <v>43872</v>
      </c>
      <c r="B2880" s="7">
        <v>2.3956</v>
      </c>
      <c r="C2880" s="7">
        <v>2.6991</v>
      </c>
    </row>
    <row r="2881" spans="1:3">
      <c r="A2881" s="6">
        <v>43873</v>
      </c>
      <c r="B2881" s="7">
        <v>2.4062</v>
      </c>
      <c r="C2881" s="7">
        <v>2.7121</v>
      </c>
    </row>
    <row r="2882" spans="1:3">
      <c r="A2882" s="6">
        <v>43874</v>
      </c>
      <c r="B2882" s="7">
        <v>2.3902</v>
      </c>
      <c r="C2882" s="7">
        <v>2.6884</v>
      </c>
    </row>
    <row r="2883" spans="1:3">
      <c r="A2883" s="6">
        <v>43875</v>
      </c>
      <c r="B2883" s="7">
        <v>2.3895</v>
      </c>
      <c r="C2883" s="7">
        <v>2.6941</v>
      </c>
    </row>
    <row r="2884" spans="1:3">
      <c r="A2884" s="6">
        <v>43878</v>
      </c>
      <c r="B2884" s="7">
        <v>2.3945</v>
      </c>
      <c r="C2884" s="7">
        <v>2.7163</v>
      </c>
    </row>
    <row r="2885" spans="1:3">
      <c r="A2885" s="6">
        <v>43879</v>
      </c>
      <c r="B2885" s="7">
        <v>2.3983</v>
      </c>
      <c r="C2885" s="7">
        <v>2.7088</v>
      </c>
    </row>
    <row r="2886" spans="1:3">
      <c r="A2886" s="6">
        <v>43880</v>
      </c>
      <c r="B2886" s="7">
        <v>2.4036</v>
      </c>
      <c r="C2886" s="7">
        <v>2.7048</v>
      </c>
    </row>
    <row r="2887" spans="1:3">
      <c r="A2887" s="6">
        <v>43881</v>
      </c>
      <c r="B2887" s="7">
        <v>2.4183</v>
      </c>
      <c r="C2887" s="7">
        <v>2.7288</v>
      </c>
    </row>
    <row r="2888" spans="1:3">
      <c r="A2888" s="6">
        <v>43882</v>
      </c>
      <c r="B2888" s="7">
        <v>2.3911</v>
      </c>
      <c r="C2888" s="7">
        <v>2.7017</v>
      </c>
    </row>
    <row r="2889" spans="1:3">
      <c r="A2889" s="6">
        <v>43885</v>
      </c>
      <c r="B2889" s="7">
        <v>2.3578</v>
      </c>
      <c r="C2889" s="7">
        <v>2.6535</v>
      </c>
    </row>
    <row r="2890" spans="1:3">
      <c r="A2890" s="6">
        <v>43886</v>
      </c>
      <c r="B2890" s="7">
        <v>2.3485</v>
      </c>
      <c r="C2890" s="7">
        <v>2.6446</v>
      </c>
    </row>
    <row r="2891" spans="1:3">
      <c r="A2891" s="6">
        <v>43887</v>
      </c>
      <c r="B2891" s="7">
        <v>2.3327</v>
      </c>
      <c r="C2891" s="7">
        <v>2.6299</v>
      </c>
    </row>
    <row r="2892" spans="1:3">
      <c r="A2892" s="6">
        <v>43888</v>
      </c>
      <c r="B2892" s="7">
        <v>2.3083</v>
      </c>
      <c r="C2892" s="7">
        <v>2.5951</v>
      </c>
    </row>
    <row r="2893" spans="1:3">
      <c r="A2893" s="6">
        <v>43889</v>
      </c>
      <c r="B2893" s="7">
        <v>2.277</v>
      </c>
      <c r="C2893" s="7">
        <v>2.5355</v>
      </c>
    </row>
    <row r="2894" spans="1:3">
      <c r="A2894" s="6">
        <v>43892</v>
      </c>
      <c r="B2894" s="7">
        <v>2.2775</v>
      </c>
      <c r="C2894" s="7">
        <v>2.5525</v>
      </c>
    </row>
    <row r="2895" spans="1:3">
      <c r="A2895" s="6">
        <v>43893</v>
      </c>
      <c r="B2895" s="7">
        <v>2.2891</v>
      </c>
      <c r="C2895" s="7">
        <v>2.5863</v>
      </c>
    </row>
    <row r="2896" spans="1:3">
      <c r="A2896" s="6">
        <v>43894</v>
      </c>
      <c r="B2896" s="7">
        <v>2.2262</v>
      </c>
      <c r="C2896" s="7">
        <v>2.5093</v>
      </c>
    </row>
    <row r="2897" spans="1:3">
      <c r="A2897" s="6">
        <v>43895</v>
      </c>
      <c r="B2897" s="7">
        <v>2.2292</v>
      </c>
      <c r="C2897" s="7">
        <v>2.527</v>
      </c>
    </row>
    <row r="2898" spans="1:3">
      <c r="A2898" s="6">
        <v>43896</v>
      </c>
      <c r="B2898" s="7">
        <v>2.2002</v>
      </c>
      <c r="C2898" s="7">
        <v>2.5002</v>
      </c>
    </row>
    <row r="2899" spans="1:3">
      <c r="A2899" s="6">
        <v>43899</v>
      </c>
      <c r="B2899" s="7">
        <v>2.1457</v>
      </c>
      <c r="C2899" s="7">
        <v>2.4277</v>
      </c>
    </row>
    <row r="2900" spans="1:3">
      <c r="A2900" s="6">
        <v>43900</v>
      </c>
      <c r="B2900" s="7">
        <v>2.2072</v>
      </c>
      <c r="C2900" s="7">
        <v>2.505</v>
      </c>
    </row>
    <row r="2901" spans="1:3">
      <c r="A2901" s="6">
        <v>43901</v>
      </c>
      <c r="B2901" s="7">
        <v>2.2473</v>
      </c>
      <c r="C2901" s="7">
        <v>2.5379</v>
      </c>
    </row>
    <row r="2902" spans="1:3">
      <c r="A2902" s="6">
        <v>43902</v>
      </c>
      <c r="B2902" s="7">
        <v>2.2308</v>
      </c>
      <c r="C2902" s="7">
        <v>2.5255</v>
      </c>
    </row>
    <row r="2903" spans="1:3">
      <c r="A2903" s="6">
        <v>43903</v>
      </c>
      <c r="B2903" s="7">
        <v>2.2625</v>
      </c>
      <c r="C2903" s="7">
        <v>2.5677</v>
      </c>
    </row>
    <row r="2904" spans="1:3">
      <c r="A2904" s="6">
        <v>43906</v>
      </c>
      <c r="B2904" s="7">
        <v>2.2387</v>
      </c>
      <c r="C2904" s="7">
        <v>2.5595</v>
      </c>
    </row>
    <row r="2905" spans="1:3">
      <c r="A2905" s="6">
        <v>43907</v>
      </c>
      <c r="B2905" s="7">
        <v>2.2057</v>
      </c>
      <c r="C2905" s="7">
        <v>2.5563</v>
      </c>
    </row>
    <row r="2906" spans="1:3">
      <c r="A2906" s="6">
        <v>43908</v>
      </c>
      <c r="B2906" s="7">
        <v>2.1801</v>
      </c>
      <c r="C2906" s="7">
        <v>2.5492</v>
      </c>
    </row>
    <row r="2907" spans="1:3">
      <c r="A2907" s="6">
        <v>43909</v>
      </c>
      <c r="B2907" s="7">
        <v>2.1425</v>
      </c>
      <c r="C2907" s="7">
        <v>2.5402</v>
      </c>
    </row>
    <row r="2908" spans="1:3">
      <c r="A2908" s="6">
        <v>43910</v>
      </c>
      <c r="B2908" s="7">
        <v>2.1264</v>
      </c>
      <c r="C2908" s="7">
        <v>2.5284</v>
      </c>
    </row>
    <row r="2909" spans="1:3">
      <c r="A2909" s="6">
        <v>43913</v>
      </c>
      <c r="B2909" s="7">
        <v>2.057</v>
      </c>
      <c r="C2909" s="7">
        <v>2.4575</v>
      </c>
    </row>
    <row r="2910" spans="1:3">
      <c r="A2910" s="6">
        <v>43914</v>
      </c>
      <c r="B2910" s="7">
        <v>1.9924</v>
      </c>
      <c r="C2910" s="7">
        <v>2.3968</v>
      </c>
    </row>
    <row r="2911" spans="1:3">
      <c r="A2911" s="6">
        <v>43915</v>
      </c>
      <c r="B2911" s="7">
        <v>1.9768</v>
      </c>
      <c r="C2911" s="7">
        <v>2.3903</v>
      </c>
    </row>
    <row r="2912" spans="1:3">
      <c r="A2912" s="6">
        <v>43916</v>
      </c>
      <c r="B2912" s="7">
        <v>1.9237</v>
      </c>
      <c r="C2912" s="7">
        <v>2.344</v>
      </c>
    </row>
    <row r="2913" spans="1:3">
      <c r="A2913" s="6">
        <v>43917</v>
      </c>
      <c r="B2913" s="7">
        <v>1.9588</v>
      </c>
      <c r="C2913" s="7">
        <v>2.3703</v>
      </c>
    </row>
    <row r="2914" spans="1:3">
      <c r="A2914" s="6">
        <v>43920</v>
      </c>
      <c r="B2914" s="7">
        <v>1.9293</v>
      </c>
      <c r="C2914" s="7">
        <v>2.3506</v>
      </c>
    </row>
    <row r="2915" spans="1:3">
      <c r="A2915" s="6">
        <v>43921</v>
      </c>
      <c r="B2915" s="7">
        <v>1.9141</v>
      </c>
      <c r="C2915" s="7">
        <v>2.3294</v>
      </c>
    </row>
    <row r="2916" spans="1:3">
      <c r="A2916" s="6">
        <v>43922</v>
      </c>
      <c r="B2916" s="7">
        <v>1.8622</v>
      </c>
      <c r="C2916" s="7">
        <v>2.2636</v>
      </c>
    </row>
    <row r="2917" spans="1:3">
      <c r="A2917" s="6">
        <v>43923</v>
      </c>
      <c r="B2917" s="7">
        <v>1.8577</v>
      </c>
      <c r="C2917" s="7">
        <v>2.2595</v>
      </c>
    </row>
    <row r="2918" spans="1:3">
      <c r="A2918" s="6">
        <v>43924</v>
      </c>
      <c r="B2918" s="7">
        <v>1.8027</v>
      </c>
      <c r="C2918" s="7">
        <v>2.2336</v>
      </c>
    </row>
    <row r="2919" spans="1:3">
      <c r="A2919" s="6">
        <v>43928</v>
      </c>
      <c r="B2919" s="7">
        <v>1.5402</v>
      </c>
      <c r="C2919" s="7">
        <v>1.9894</v>
      </c>
    </row>
    <row r="2920" spans="1:3">
      <c r="A2920" s="6">
        <v>43929</v>
      </c>
      <c r="B2920" s="7">
        <v>1.4178</v>
      </c>
      <c r="C2920" s="7">
        <v>1.9133</v>
      </c>
    </row>
    <row r="2921" spans="1:3">
      <c r="A2921" s="6">
        <v>43930</v>
      </c>
      <c r="B2921" s="7">
        <v>1.4121</v>
      </c>
      <c r="C2921" s="7">
        <v>1.8565</v>
      </c>
    </row>
    <row r="2922" spans="1:3">
      <c r="A2922" s="6">
        <v>43931</v>
      </c>
      <c r="B2922" s="7">
        <v>1.5058</v>
      </c>
      <c r="C2922" s="7">
        <v>1.9368</v>
      </c>
    </row>
    <row r="2923" spans="1:3">
      <c r="A2923" s="6">
        <v>43934</v>
      </c>
      <c r="B2923" s="7">
        <v>1.5505</v>
      </c>
      <c r="C2923" s="7">
        <v>1.9865</v>
      </c>
    </row>
    <row r="2924" spans="1:3">
      <c r="A2924" s="6">
        <v>43935</v>
      </c>
      <c r="B2924" s="7">
        <v>1.4878</v>
      </c>
      <c r="C2924" s="7">
        <v>1.9285</v>
      </c>
    </row>
    <row r="2925" spans="1:3">
      <c r="A2925" s="6">
        <v>43936</v>
      </c>
      <c r="B2925" s="7">
        <v>1.4238</v>
      </c>
      <c r="C2925" s="7">
        <v>1.8701</v>
      </c>
    </row>
    <row r="2926" spans="1:3">
      <c r="A2926" s="6">
        <v>43937</v>
      </c>
      <c r="B2926" s="7">
        <v>1.4097</v>
      </c>
      <c r="C2926" s="7">
        <v>1.8515</v>
      </c>
    </row>
    <row r="2927" spans="1:3">
      <c r="A2927" s="6">
        <v>43938</v>
      </c>
      <c r="B2927" s="7">
        <v>1.4355</v>
      </c>
      <c r="C2927" s="7">
        <v>1.8906</v>
      </c>
    </row>
    <row r="2928" spans="1:3">
      <c r="A2928" s="6">
        <v>43941</v>
      </c>
      <c r="B2928" s="7">
        <v>1.4504</v>
      </c>
      <c r="C2928" s="7">
        <v>1.9215</v>
      </c>
    </row>
    <row r="2929" spans="1:3">
      <c r="A2929" s="6">
        <v>43942</v>
      </c>
      <c r="B2929" s="7">
        <v>1.4329</v>
      </c>
      <c r="C2929" s="7">
        <v>1.9162</v>
      </c>
    </row>
    <row r="2930" spans="1:3">
      <c r="A2930" s="6">
        <v>43943</v>
      </c>
      <c r="B2930" s="7">
        <v>1.4</v>
      </c>
      <c r="C2930" s="7">
        <v>1.849</v>
      </c>
    </row>
    <row r="2931" spans="1:3">
      <c r="A2931" s="6">
        <v>43944</v>
      </c>
      <c r="B2931" s="7">
        <v>1.4107</v>
      </c>
      <c r="C2931" s="7">
        <v>1.838</v>
      </c>
    </row>
    <row r="2932" spans="1:3">
      <c r="A2932" s="6">
        <v>43945</v>
      </c>
      <c r="B2932" s="7">
        <v>1.4388</v>
      </c>
      <c r="C2932" s="7">
        <v>1.858</v>
      </c>
    </row>
    <row r="2933" spans="1:3">
      <c r="A2933" s="6">
        <v>43947</v>
      </c>
      <c r="B2933" s="7">
        <v>1.4444</v>
      </c>
      <c r="C2933" s="7">
        <v>1.875</v>
      </c>
    </row>
    <row r="2934" spans="1:3">
      <c r="A2934" s="6">
        <v>43948</v>
      </c>
      <c r="B2934" s="7">
        <v>1.4461</v>
      </c>
      <c r="C2934" s="7">
        <v>1.8892</v>
      </c>
    </row>
    <row r="2935" spans="1:3">
      <c r="A2935" s="6">
        <v>43949</v>
      </c>
      <c r="B2935" s="7">
        <v>1.4436</v>
      </c>
      <c r="C2935" s="7">
        <v>1.8686</v>
      </c>
    </row>
    <row r="2936" spans="1:3">
      <c r="A2936" s="6">
        <v>43950</v>
      </c>
      <c r="B2936" s="7">
        <v>1.4183</v>
      </c>
      <c r="C2936" s="7">
        <v>1.8355</v>
      </c>
    </row>
    <row r="2937" spans="1:3">
      <c r="A2937" s="6">
        <v>43951</v>
      </c>
      <c r="B2937" s="7">
        <v>1.4229</v>
      </c>
      <c r="C2937" s="7">
        <v>1.8402</v>
      </c>
    </row>
    <row r="2938" spans="1:3">
      <c r="A2938" s="6">
        <v>43957</v>
      </c>
      <c r="B2938" s="7">
        <v>1.4463</v>
      </c>
      <c r="C2938" s="7">
        <v>1.8912</v>
      </c>
    </row>
    <row r="2939" spans="1:3">
      <c r="A2939" s="6">
        <v>43958</v>
      </c>
      <c r="B2939" s="7">
        <v>1.4886</v>
      </c>
      <c r="C2939" s="7">
        <v>1.9409</v>
      </c>
    </row>
    <row r="2940" spans="1:3">
      <c r="A2940" s="6">
        <v>43959</v>
      </c>
      <c r="B2940" s="7">
        <v>1.4831</v>
      </c>
      <c r="C2940" s="7">
        <v>1.9453</v>
      </c>
    </row>
    <row r="2941" spans="1:3">
      <c r="A2941" s="6">
        <v>43960</v>
      </c>
      <c r="B2941" s="7">
        <v>1.4839</v>
      </c>
      <c r="C2941" s="7">
        <v>1.9614</v>
      </c>
    </row>
    <row r="2942" spans="1:3">
      <c r="A2942" s="6">
        <v>43962</v>
      </c>
      <c r="B2942" s="7">
        <v>1.516</v>
      </c>
      <c r="C2942" s="7">
        <v>1.9947</v>
      </c>
    </row>
    <row r="2943" spans="1:3">
      <c r="A2943" s="6">
        <v>43963</v>
      </c>
      <c r="B2943" s="7">
        <v>1.4982</v>
      </c>
      <c r="C2943" s="7">
        <v>1.9809</v>
      </c>
    </row>
    <row r="2944" spans="1:3">
      <c r="A2944" s="6">
        <v>43964</v>
      </c>
      <c r="B2944" s="7">
        <v>1.4518</v>
      </c>
      <c r="C2944" s="7">
        <v>1.9396</v>
      </c>
    </row>
    <row r="2945" spans="1:3">
      <c r="A2945" s="6">
        <v>43965</v>
      </c>
      <c r="B2945" s="7">
        <v>1.4385</v>
      </c>
      <c r="C2945" s="7">
        <v>1.9147</v>
      </c>
    </row>
    <row r="2946" spans="1:3">
      <c r="A2946" s="6">
        <v>43966</v>
      </c>
      <c r="B2946" s="7">
        <v>1.4271</v>
      </c>
      <c r="C2946" s="7">
        <v>1.8923</v>
      </c>
    </row>
    <row r="2947" spans="1:3">
      <c r="A2947" s="6">
        <v>43969</v>
      </c>
      <c r="B2947" s="7">
        <v>1.4627</v>
      </c>
      <c r="C2947" s="7">
        <v>1.9344</v>
      </c>
    </row>
    <row r="2948" spans="1:3">
      <c r="A2948" s="6">
        <v>43970</v>
      </c>
      <c r="B2948" s="7">
        <v>1.51</v>
      </c>
      <c r="C2948" s="7">
        <v>1.9885</v>
      </c>
    </row>
    <row r="2949" spans="1:3">
      <c r="A2949" s="6">
        <v>43971</v>
      </c>
      <c r="B2949" s="7">
        <v>1.5156</v>
      </c>
      <c r="C2949" s="7">
        <v>1.9753</v>
      </c>
    </row>
    <row r="2950" spans="1:3">
      <c r="A2950" s="6">
        <v>43972</v>
      </c>
      <c r="B2950" s="7">
        <v>1.513</v>
      </c>
      <c r="C2950" s="7">
        <v>1.9694</v>
      </c>
    </row>
    <row r="2951" spans="1:3">
      <c r="A2951" s="6">
        <v>43973</v>
      </c>
      <c r="B2951" s="7">
        <v>1.4831</v>
      </c>
      <c r="C2951" s="7">
        <v>1.9271</v>
      </c>
    </row>
    <row r="2952" spans="1:3">
      <c r="A2952" s="6">
        <v>43976</v>
      </c>
      <c r="B2952" s="7">
        <v>1.5236</v>
      </c>
      <c r="C2952" s="7">
        <v>1.951</v>
      </c>
    </row>
    <row r="2953" spans="1:3">
      <c r="A2953" s="6">
        <v>43977</v>
      </c>
      <c r="B2953" s="7">
        <v>1.6505</v>
      </c>
      <c r="C2953" s="7">
        <v>2.0265</v>
      </c>
    </row>
    <row r="2954" spans="1:3">
      <c r="A2954" s="6">
        <v>43978</v>
      </c>
      <c r="B2954" s="7">
        <v>1.7502</v>
      </c>
      <c r="C2954" s="7">
        <v>2.1125</v>
      </c>
    </row>
    <row r="2955" spans="1:3">
      <c r="A2955" s="6">
        <v>43979</v>
      </c>
      <c r="B2955" s="7">
        <v>1.7611</v>
      </c>
      <c r="C2955" s="7">
        <v>2.0942</v>
      </c>
    </row>
    <row r="2956" spans="1:3">
      <c r="A2956" s="6">
        <v>43980</v>
      </c>
      <c r="B2956" s="7">
        <v>1.7455</v>
      </c>
      <c r="C2956" s="7">
        <v>2.0753</v>
      </c>
    </row>
    <row r="2957" spans="1:3">
      <c r="A2957" s="6">
        <v>43983</v>
      </c>
      <c r="B2957" s="7">
        <v>1.7004</v>
      </c>
      <c r="C2957" s="7">
        <v>2.0726</v>
      </c>
    </row>
    <row r="2958" spans="1:3">
      <c r="A2958" s="6">
        <v>43984</v>
      </c>
      <c r="B2958" s="7">
        <v>1.792</v>
      </c>
      <c r="C2958" s="7">
        <v>2.1656</v>
      </c>
    </row>
    <row r="2959" spans="1:3">
      <c r="A2959" s="6">
        <v>43985</v>
      </c>
      <c r="B2959" s="7">
        <v>1.9432</v>
      </c>
      <c r="C2959" s="7">
        <v>2.3015</v>
      </c>
    </row>
    <row r="2960" spans="1:3">
      <c r="A2960" s="6">
        <v>43986</v>
      </c>
      <c r="B2960" s="7">
        <v>1.9602</v>
      </c>
      <c r="C2960" s="7">
        <v>2.3098</v>
      </c>
    </row>
    <row r="2961" spans="1:3">
      <c r="A2961" s="6">
        <v>43987</v>
      </c>
      <c r="B2961" s="7">
        <v>2.0027</v>
      </c>
      <c r="C2961" s="7">
        <v>2.3931</v>
      </c>
    </row>
    <row r="2962" spans="1:3">
      <c r="A2962" s="6">
        <v>43990</v>
      </c>
      <c r="B2962" s="7">
        <v>1.9907</v>
      </c>
      <c r="C2962" s="7">
        <v>2.3886</v>
      </c>
    </row>
    <row r="2963" spans="1:3">
      <c r="A2963" s="6">
        <v>43991</v>
      </c>
      <c r="B2963" s="7">
        <v>1.9613</v>
      </c>
      <c r="C2963" s="7">
        <v>2.3255</v>
      </c>
    </row>
    <row r="2964" spans="1:3">
      <c r="A2964" s="6">
        <v>43992</v>
      </c>
      <c r="B2964" s="7">
        <v>1.9878</v>
      </c>
      <c r="C2964" s="7">
        <v>2.3452</v>
      </c>
    </row>
    <row r="2965" spans="1:3">
      <c r="A2965" s="6">
        <v>43993</v>
      </c>
      <c r="B2965" s="7">
        <v>1.9996</v>
      </c>
      <c r="C2965" s="7">
        <v>2.328</v>
      </c>
    </row>
    <row r="2966" spans="1:3">
      <c r="A2966" s="6">
        <v>43994</v>
      </c>
      <c r="B2966" s="7">
        <v>1.964</v>
      </c>
      <c r="C2966" s="7">
        <v>2.2724</v>
      </c>
    </row>
    <row r="2967" spans="1:3">
      <c r="A2967" s="6">
        <v>43997</v>
      </c>
      <c r="B2967" s="7">
        <v>1.9271</v>
      </c>
      <c r="C2967" s="7">
        <v>2.2571</v>
      </c>
    </row>
    <row r="2968" spans="1:3">
      <c r="A2968" s="6">
        <v>43998</v>
      </c>
      <c r="B2968" s="7">
        <v>1.9694</v>
      </c>
      <c r="C2968" s="7">
        <v>2.3251</v>
      </c>
    </row>
    <row r="2969" spans="1:3">
      <c r="A2969" s="6">
        <v>43999</v>
      </c>
      <c r="B2969" s="7">
        <v>2.0322</v>
      </c>
      <c r="C2969" s="7">
        <v>2.3558</v>
      </c>
    </row>
    <row r="2970" spans="1:3">
      <c r="A2970" s="6">
        <v>44000</v>
      </c>
      <c r="B2970" s="7">
        <v>2.0541</v>
      </c>
      <c r="C2970" s="7">
        <v>2.3532</v>
      </c>
    </row>
    <row r="2971" spans="1:3">
      <c r="A2971" s="6">
        <v>44001</v>
      </c>
      <c r="B2971" s="7">
        <v>2.0662</v>
      </c>
      <c r="C2971" s="7">
        <v>2.3758</v>
      </c>
    </row>
    <row r="2972" spans="1:3">
      <c r="A2972" s="6">
        <v>44004</v>
      </c>
      <c r="B2972" s="7">
        <v>2.1206</v>
      </c>
      <c r="C2972" s="7">
        <v>2.4159</v>
      </c>
    </row>
    <row r="2973" spans="1:3">
      <c r="A2973" s="6">
        <v>44005</v>
      </c>
      <c r="B2973" s="7">
        <v>2.1844</v>
      </c>
      <c r="C2973" s="7">
        <v>2.4998</v>
      </c>
    </row>
    <row r="2974" spans="1:3">
      <c r="A2974" s="6">
        <v>44006</v>
      </c>
      <c r="B2974" s="7">
        <v>2.1107</v>
      </c>
      <c r="C2974" s="7">
        <v>2.4272</v>
      </c>
    </row>
    <row r="2975" spans="1:3">
      <c r="A2975" s="6">
        <v>44010</v>
      </c>
      <c r="B2975" s="7"/>
      <c r="C2975" s="7">
        <v>2.404</v>
      </c>
    </row>
    <row r="2976" spans="1:3">
      <c r="A2976" s="6">
        <v>44011</v>
      </c>
      <c r="B2976" s="7">
        <v>2.1177</v>
      </c>
      <c r="C2976" s="7">
        <v>2.4105</v>
      </c>
    </row>
    <row r="2977" spans="1:3">
      <c r="A2977" s="6">
        <v>44012</v>
      </c>
      <c r="B2977" s="7">
        <v>2.1485</v>
      </c>
      <c r="C2977" s="7">
        <v>2.4358</v>
      </c>
    </row>
    <row r="2978" spans="1:3">
      <c r="A2978" s="6">
        <v>44013</v>
      </c>
      <c r="B2978" s="7">
        <v>2.1388</v>
      </c>
      <c r="C2978" s="7">
        <v>2.4297</v>
      </c>
    </row>
    <row r="2979" spans="1:3">
      <c r="A2979" s="6">
        <v>44014</v>
      </c>
      <c r="B2979" s="7">
        <v>2.1318</v>
      </c>
      <c r="C2979" s="7">
        <v>2.4301</v>
      </c>
    </row>
    <row r="2980" spans="1:3">
      <c r="A2980" s="6">
        <v>44015</v>
      </c>
      <c r="B2980" s="7">
        <v>2.132</v>
      </c>
      <c r="C2980" s="7">
        <v>2.4567</v>
      </c>
    </row>
    <row r="2981" spans="1:3">
      <c r="A2981" s="6">
        <v>44018</v>
      </c>
      <c r="B2981" s="7">
        <v>2.2226</v>
      </c>
      <c r="C2981" s="7">
        <v>2.5754</v>
      </c>
    </row>
    <row r="2982" spans="1:3">
      <c r="A2982" s="6">
        <v>44019</v>
      </c>
      <c r="B2982" s="7">
        <v>2.3184</v>
      </c>
      <c r="C2982" s="7">
        <v>2.6617</v>
      </c>
    </row>
    <row r="2983" spans="1:3">
      <c r="A2983" s="6">
        <v>44020</v>
      </c>
      <c r="B2983" s="7">
        <v>2.348</v>
      </c>
      <c r="C2983" s="7">
        <v>2.6808</v>
      </c>
    </row>
    <row r="2984" spans="1:3">
      <c r="A2984" s="6">
        <v>44021</v>
      </c>
      <c r="B2984" s="7">
        <v>2.4295</v>
      </c>
      <c r="C2984" s="7">
        <v>2.7794</v>
      </c>
    </row>
    <row r="2985" spans="1:3">
      <c r="A2985" s="6">
        <v>44022</v>
      </c>
      <c r="B2985" s="7">
        <v>2.4188</v>
      </c>
      <c r="C2985" s="7">
        <v>2.7565</v>
      </c>
    </row>
    <row r="2986" spans="1:3">
      <c r="A2986" s="6">
        <v>44025</v>
      </c>
      <c r="B2986" s="7">
        <v>2.4434</v>
      </c>
      <c r="C2986" s="7">
        <v>2.7868</v>
      </c>
    </row>
    <row r="2987" spans="1:3">
      <c r="A2987" s="6">
        <v>44026</v>
      </c>
      <c r="B2987" s="7">
        <v>2.4136</v>
      </c>
      <c r="C2987" s="7">
        <v>2.7576</v>
      </c>
    </row>
    <row r="2988" spans="1:3">
      <c r="A2988" s="6">
        <v>44027</v>
      </c>
      <c r="B2988" s="7">
        <v>2.3998</v>
      </c>
      <c r="C2988" s="7">
        <v>2.7305</v>
      </c>
    </row>
    <row r="2989" spans="1:3">
      <c r="A2989" s="6">
        <v>44028</v>
      </c>
      <c r="B2989" s="7">
        <v>2.3757</v>
      </c>
      <c r="C2989" s="7">
        <v>2.6833</v>
      </c>
    </row>
    <row r="2990" spans="1:3">
      <c r="A2990" s="6">
        <v>44029</v>
      </c>
      <c r="B2990" s="7">
        <v>2.3814</v>
      </c>
      <c r="C2990" s="7">
        <v>2.6904</v>
      </c>
    </row>
    <row r="2991" spans="1:3">
      <c r="A2991" s="6">
        <v>44032</v>
      </c>
      <c r="B2991" s="7">
        <v>2.3785</v>
      </c>
      <c r="C2991" s="7">
        <v>2.6903</v>
      </c>
    </row>
    <row r="2992" spans="1:3">
      <c r="A2992" s="6">
        <v>44033</v>
      </c>
      <c r="B2992" s="7">
        <v>2.32</v>
      </c>
      <c r="C2992" s="7">
        <v>2.6324</v>
      </c>
    </row>
    <row r="2993" spans="1:3">
      <c r="A2993" s="6">
        <v>44034</v>
      </c>
      <c r="B2993" s="7">
        <v>2.3191</v>
      </c>
      <c r="C2993" s="7">
        <v>2.6204</v>
      </c>
    </row>
    <row r="2994" spans="1:3">
      <c r="A2994" s="6">
        <v>44035</v>
      </c>
      <c r="B2994" s="7">
        <v>2.3318</v>
      </c>
      <c r="C2994" s="7">
        <v>2.623</v>
      </c>
    </row>
    <row r="2995" spans="1:3">
      <c r="A2995" s="6">
        <v>44036</v>
      </c>
      <c r="B2995" s="7">
        <v>2.3193</v>
      </c>
      <c r="C2995" s="7">
        <v>2.6156</v>
      </c>
    </row>
    <row r="2996" spans="1:3">
      <c r="A2996" s="6">
        <v>44039</v>
      </c>
      <c r="B2996" s="7">
        <v>2.3075</v>
      </c>
      <c r="C2996" s="7">
        <v>2.5997</v>
      </c>
    </row>
    <row r="2997" spans="1:3">
      <c r="A2997" s="6">
        <v>44040</v>
      </c>
      <c r="B2997" s="7">
        <v>2.3402</v>
      </c>
      <c r="C2997" s="7">
        <v>2.6369</v>
      </c>
    </row>
    <row r="2998" spans="1:3">
      <c r="A2998" s="6">
        <v>44041</v>
      </c>
      <c r="B2998" s="7">
        <v>2.3545</v>
      </c>
      <c r="C2998" s="7">
        <v>2.6619</v>
      </c>
    </row>
    <row r="2999" spans="1:3">
      <c r="A2999" s="6">
        <v>44042</v>
      </c>
      <c r="B2999" s="7">
        <v>2.3545</v>
      </c>
      <c r="C2999" s="7">
        <v>2.6695</v>
      </c>
    </row>
    <row r="3000" spans="1:3">
      <c r="A3000" s="6">
        <v>44043</v>
      </c>
      <c r="B3000" s="7">
        <v>2.376</v>
      </c>
      <c r="C3000" s="7">
        <v>2.6943</v>
      </c>
    </row>
    <row r="3001" spans="1:3">
      <c r="A3001" s="6">
        <v>44046</v>
      </c>
      <c r="B3001" s="7">
        <v>2.3872</v>
      </c>
      <c r="C3001" s="7">
        <v>2.7146</v>
      </c>
    </row>
    <row r="3002" spans="1:3">
      <c r="A3002" s="6">
        <v>44047</v>
      </c>
      <c r="B3002" s="7">
        <v>2.3828</v>
      </c>
      <c r="C3002" s="7">
        <v>2.7023</v>
      </c>
    </row>
    <row r="3003" spans="1:3">
      <c r="A3003" s="6">
        <v>44048</v>
      </c>
      <c r="B3003" s="7">
        <v>2.3813</v>
      </c>
      <c r="C3003" s="7">
        <v>2.6845</v>
      </c>
    </row>
    <row r="3004" spans="1:3">
      <c r="A3004" s="6">
        <v>44049</v>
      </c>
      <c r="B3004" s="7">
        <v>2.4026</v>
      </c>
      <c r="C3004" s="7">
        <v>2.7116</v>
      </c>
    </row>
    <row r="3005" spans="1:3">
      <c r="A3005" s="6">
        <v>44050</v>
      </c>
      <c r="B3005" s="7">
        <v>2.4166</v>
      </c>
      <c r="C3005" s="7">
        <v>2.7338</v>
      </c>
    </row>
    <row r="3006" spans="1:3">
      <c r="A3006" s="6">
        <v>44053</v>
      </c>
      <c r="B3006" s="7">
        <v>2.392</v>
      </c>
      <c r="C3006" s="7">
        <v>2.7041</v>
      </c>
    </row>
    <row r="3007" spans="1:3">
      <c r="A3007" s="6">
        <v>44054</v>
      </c>
      <c r="B3007" s="7">
        <v>2.3912</v>
      </c>
      <c r="C3007" s="7">
        <v>2.6947</v>
      </c>
    </row>
    <row r="3008" spans="1:3">
      <c r="A3008" s="6">
        <v>44055</v>
      </c>
      <c r="B3008" s="7">
        <v>2.4149</v>
      </c>
      <c r="C3008" s="7">
        <v>2.7119</v>
      </c>
    </row>
    <row r="3009" spans="1:3">
      <c r="A3009" s="6">
        <v>44056</v>
      </c>
      <c r="B3009" s="7">
        <v>2.4136</v>
      </c>
      <c r="C3009" s="7">
        <v>2.7209</v>
      </c>
    </row>
    <row r="3010" spans="1:3">
      <c r="A3010" s="6">
        <v>44057</v>
      </c>
      <c r="B3010" s="7">
        <v>2.3988</v>
      </c>
      <c r="C3010" s="7">
        <v>2.7073</v>
      </c>
    </row>
    <row r="3011" spans="1:3">
      <c r="A3011" s="6">
        <v>44060</v>
      </c>
      <c r="B3011" s="7">
        <v>2.3963</v>
      </c>
      <c r="C3011" s="7">
        <v>2.6893</v>
      </c>
    </row>
    <row r="3012" spans="1:3">
      <c r="A3012" s="6">
        <v>44061</v>
      </c>
      <c r="B3012" s="7">
        <v>2.3979</v>
      </c>
      <c r="C3012" s="7">
        <v>2.7037</v>
      </c>
    </row>
    <row r="3013" spans="1:3">
      <c r="A3013" s="6">
        <v>44062</v>
      </c>
      <c r="B3013" s="7">
        <v>2.4197</v>
      </c>
      <c r="C3013" s="7">
        <v>2.7327</v>
      </c>
    </row>
    <row r="3014" spans="1:3">
      <c r="A3014" s="6">
        <v>44063</v>
      </c>
      <c r="B3014" s="7">
        <v>2.4596</v>
      </c>
      <c r="C3014" s="7">
        <v>2.7664</v>
      </c>
    </row>
    <row r="3015" spans="1:3">
      <c r="A3015" s="6">
        <v>44064</v>
      </c>
      <c r="B3015" s="7">
        <v>2.4716</v>
      </c>
      <c r="C3015" s="7">
        <v>2.7673</v>
      </c>
    </row>
    <row r="3016" spans="1:3">
      <c r="A3016" s="6">
        <v>44067</v>
      </c>
      <c r="B3016" s="7">
        <v>2.4604</v>
      </c>
      <c r="C3016" s="7">
        <v>2.7628</v>
      </c>
    </row>
    <row r="3017" spans="1:3">
      <c r="A3017" s="6">
        <v>44068</v>
      </c>
      <c r="B3017" s="7">
        <v>2.4966</v>
      </c>
      <c r="C3017" s="7">
        <v>2.8172</v>
      </c>
    </row>
    <row r="3018" spans="1:3">
      <c r="A3018" s="6">
        <v>44069</v>
      </c>
      <c r="B3018" s="7">
        <v>2.5002</v>
      </c>
      <c r="C3018" s="7">
        <v>2.8177</v>
      </c>
    </row>
    <row r="3019" spans="1:3">
      <c r="A3019" s="6">
        <v>44070</v>
      </c>
      <c r="B3019" s="7">
        <v>2.5055</v>
      </c>
      <c r="C3019" s="7">
        <v>2.8334</v>
      </c>
    </row>
    <row r="3020" spans="1:3">
      <c r="A3020" s="6">
        <v>44071</v>
      </c>
      <c r="B3020" s="7">
        <v>2.5276</v>
      </c>
      <c r="C3020" s="7">
        <v>2.8655</v>
      </c>
    </row>
    <row r="3021" spans="1:3">
      <c r="A3021" s="6">
        <v>44074</v>
      </c>
      <c r="B3021" s="7">
        <v>2.5123</v>
      </c>
      <c r="C3021" s="7">
        <v>2.8437</v>
      </c>
    </row>
    <row r="3022" spans="1:3">
      <c r="A3022" s="6">
        <v>44075</v>
      </c>
      <c r="B3022" s="7">
        <v>2.5206</v>
      </c>
      <c r="C3022" s="7">
        <v>2.8428</v>
      </c>
    </row>
    <row r="3023" spans="1:3">
      <c r="A3023" s="6">
        <v>44076</v>
      </c>
      <c r="B3023" s="7">
        <v>2.5543</v>
      </c>
      <c r="C3023" s="7">
        <v>2.8951</v>
      </c>
    </row>
    <row r="3024" spans="1:3">
      <c r="A3024" s="6">
        <v>44077</v>
      </c>
      <c r="B3024" s="7">
        <v>2.5735</v>
      </c>
      <c r="C3024" s="7">
        <v>2.9214</v>
      </c>
    </row>
    <row r="3025" spans="1:3">
      <c r="A3025" s="6">
        <v>44078</v>
      </c>
      <c r="B3025" s="7">
        <v>2.5618</v>
      </c>
      <c r="C3025" s="7">
        <v>2.9049</v>
      </c>
    </row>
    <row r="3026" spans="1:3">
      <c r="A3026" s="6">
        <v>44081</v>
      </c>
      <c r="B3026" s="7">
        <v>2.5881</v>
      </c>
      <c r="C3026" s="7">
        <v>2.9528</v>
      </c>
    </row>
    <row r="3027" spans="1:3">
      <c r="A3027" s="6">
        <v>44082</v>
      </c>
      <c r="B3027" s="7">
        <v>2.5637</v>
      </c>
      <c r="C3027" s="7">
        <v>2.9205</v>
      </c>
    </row>
    <row r="3028" spans="1:3">
      <c r="A3028" s="6">
        <v>44083</v>
      </c>
      <c r="B3028" s="7">
        <v>2.5348</v>
      </c>
      <c r="C3028" s="7">
        <v>2.8813</v>
      </c>
    </row>
    <row r="3029" spans="1:3">
      <c r="A3029" s="6">
        <v>44084</v>
      </c>
      <c r="B3029" s="7">
        <v>2.505</v>
      </c>
      <c r="C3029" s="7">
        <v>2.8604</v>
      </c>
    </row>
    <row r="3030" spans="1:3">
      <c r="A3030" s="6">
        <v>44085</v>
      </c>
      <c r="B3030" s="7">
        <v>2.5145</v>
      </c>
      <c r="C3030" s="7">
        <v>2.8736</v>
      </c>
    </row>
    <row r="3031" spans="1:3">
      <c r="A3031" s="6">
        <v>44088</v>
      </c>
      <c r="B3031" s="7">
        <v>2.5362</v>
      </c>
      <c r="C3031" s="7">
        <v>2.9057</v>
      </c>
    </row>
    <row r="3032" spans="1:3">
      <c r="A3032" s="6">
        <v>44089</v>
      </c>
      <c r="B3032" s="7">
        <v>2.4829</v>
      </c>
      <c r="C3032" s="7">
        <v>2.8635</v>
      </c>
    </row>
    <row r="3033" spans="1:3">
      <c r="A3033" s="6">
        <v>44090</v>
      </c>
      <c r="B3033" s="7">
        <v>2.4235</v>
      </c>
      <c r="C3033" s="7">
        <v>2.8107</v>
      </c>
    </row>
    <row r="3034" spans="1:3">
      <c r="A3034" s="6">
        <v>44091</v>
      </c>
      <c r="B3034" s="7">
        <v>2.4503</v>
      </c>
      <c r="C3034" s="7">
        <v>2.8246</v>
      </c>
    </row>
    <row r="3035" spans="1:3">
      <c r="A3035" s="6">
        <v>44092</v>
      </c>
      <c r="B3035" s="7">
        <v>2.4539</v>
      </c>
      <c r="C3035" s="7">
        <v>2.8173</v>
      </c>
    </row>
    <row r="3036" spans="1:3">
      <c r="A3036" s="6">
        <v>44095</v>
      </c>
      <c r="B3036" s="7">
        <v>2.4303</v>
      </c>
      <c r="C3036" s="7">
        <v>2.781</v>
      </c>
    </row>
    <row r="3037" spans="1:3">
      <c r="A3037" s="6">
        <v>44096</v>
      </c>
      <c r="B3037" s="7">
        <v>2.4305</v>
      </c>
      <c r="C3037" s="7">
        <v>2.7651</v>
      </c>
    </row>
    <row r="3038" spans="1:3">
      <c r="A3038" s="6">
        <v>44097</v>
      </c>
      <c r="B3038" s="7">
        <v>2.4356</v>
      </c>
      <c r="C3038" s="7">
        <v>2.7802</v>
      </c>
    </row>
    <row r="3039" spans="1:3">
      <c r="A3039" s="6">
        <v>44098</v>
      </c>
      <c r="B3039" s="7">
        <v>2.4273</v>
      </c>
      <c r="C3039" s="7">
        <v>2.7799</v>
      </c>
    </row>
    <row r="3040" spans="1:3">
      <c r="A3040" s="6">
        <v>44099</v>
      </c>
      <c r="B3040" s="7">
        <v>2.4418</v>
      </c>
      <c r="C3040" s="7">
        <v>2.8114</v>
      </c>
    </row>
    <row r="3041" spans="1:3">
      <c r="A3041" s="6">
        <v>44101</v>
      </c>
      <c r="B3041" s="7"/>
      <c r="C3041" s="7">
        <v>2.8208</v>
      </c>
    </row>
    <row r="3042" spans="1:3">
      <c r="A3042" s="6">
        <v>44102</v>
      </c>
      <c r="B3042" s="7">
        <v>2.4435</v>
      </c>
      <c r="C3042" s="7">
        <v>2.8139</v>
      </c>
    </row>
    <row r="3043" spans="1:3">
      <c r="A3043" s="6">
        <v>44103</v>
      </c>
      <c r="B3043" s="7">
        <v>2.4505</v>
      </c>
      <c r="C3043" s="7">
        <v>2.8263</v>
      </c>
    </row>
    <row r="3044" spans="1:3">
      <c r="A3044" s="6">
        <v>44104</v>
      </c>
      <c r="B3044" s="7">
        <v>2.4765</v>
      </c>
      <c r="C3044" s="7">
        <v>2.8484</v>
      </c>
    </row>
    <row r="3045" spans="1:3">
      <c r="A3045" s="6">
        <v>44113</v>
      </c>
      <c r="B3045" s="7">
        <v>2.5125</v>
      </c>
      <c r="C3045" s="7">
        <v>2.9025</v>
      </c>
    </row>
    <row r="3046" spans="1:3">
      <c r="A3046" s="6">
        <v>44116</v>
      </c>
      <c r="B3046" s="7">
        <v>2.5187</v>
      </c>
      <c r="C3046" s="7">
        <v>2.9118</v>
      </c>
    </row>
    <row r="3047" spans="1:3">
      <c r="A3047" s="6">
        <v>44117</v>
      </c>
      <c r="B3047" s="7">
        <v>2.5069</v>
      </c>
      <c r="C3047" s="7">
        <v>2.8951</v>
      </c>
    </row>
    <row r="3048" spans="1:3">
      <c r="A3048" s="6">
        <v>44118</v>
      </c>
      <c r="B3048" s="7">
        <v>2.5249</v>
      </c>
      <c r="C3048" s="7">
        <v>2.9146</v>
      </c>
    </row>
    <row r="3049" spans="1:3">
      <c r="A3049" s="6">
        <v>44119</v>
      </c>
      <c r="B3049" s="7">
        <v>2.5346</v>
      </c>
      <c r="C3049" s="7">
        <v>2.9217</v>
      </c>
    </row>
    <row r="3050" spans="1:3">
      <c r="A3050" s="6">
        <v>44120</v>
      </c>
      <c r="B3050" s="7">
        <v>2.5356</v>
      </c>
      <c r="C3050" s="7">
        <v>2.9306</v>
      </c>
    </row>
    <row r="3051" spans="1:3">
      <c r="A3051" s="6">
        <v>44123</v>
      </c>
      <c r="B3051" s="7">
        <v>2.5257</v>
      </c>
      <c r="C3051" s="7">
        <v>2.8997</v>
      </c>
    </row>
    <row r="3052" spans="1:3">
      <c r="A3052" s="6">
        <v>44124</v>
      </c>
      <c r="B3052" s="7">
        <v>2.5181</v>
      </c>
      <c r="C3052" s="7">
        <v>2.8933</v>
      </c>
    </row>
    <row r="3053" spans="1:3">
      <c r="A3053" s="6">
        <v>44125</v>
      </c>
      <c r="B3053" s="7">
        <v>2.505</v>
      </c>
      <c r="C3053" s="7">
        <v>2.8669</v>
      </c>
    </row>
    <row r="3054" spans="1:3">
      <c r="A3054" s="6">
        <v>44126</v>
      </c>
      <c r="B3054" s="7">
        <v>2.4851</v>
      </c>
      <c r="C3054" s="7">
        <v>2.8424</v>
      </c>
    </row>
    <row r="3055" spans="1:3">
      <c r="A3055" s="6">
        <v>44127</v>
      </c>
      <c r="B3055" s="7">
        <v>2.4937</v>
      </c>
      <c r="C3055" s="7">
        <v>2.8564</v>
      </c>
    </row>
    <row r="3056" spans="1:3">
      <c r="A3056" s="6">
        <v>44130</v>
      </c>
      <c r="B3056" s="7">
        <v>2.5053</v>
      </c>
      <c r="C3056" s="7">
        <v>2.8683</v>
      </c>
    </row>
    <row r="3057" spans="1:3">
      <c r="A3057" s="6">
        <v>44131</v>
      </c>
      <c r="B3057" s="7">
        <v>2.5143</v>
      </c>
      <c r="C3057" s="7">
        <v>2.8577</v>
      </c>
    </row>
    <row r="3058" spans="1:3">
      <c r="A3058" s="6">
        <v>44132</v>
      </c>
      <c r="B3058" s="7">
        <v>2.4863</v>
      </c>
      <c r="C3058" s="7">
        <v>2.8354</v>
      </c>
    </row>
    <row r="3059" spans="1:3">
      <c r="A3059" s="6">
        <v>44133</v>
      </c>
      <c r="B3059" s="7">
        <v>2.4922</v>
      </c>
      <c r="C3059" s="7">
        <v>2.8255</v>
      </c>
    </row>
    <row r="3060" spans="1:3">
      <c r="A3060" s="6">
        <v>44134</v>
      </c>
      <c r="B3060" s="7">
        <v>2.4984</v>
      </c>
      <c r="C3060" s="7">
        <v>2.8367</v>
      </c>
    </row>
    <row r="3061" spans="1:3">
      <c r="A3061" s="6">
        <v>44137</v>
      </c>
      <c r="B3061" s="7">
        <v>2.4888</v>
      </c>
      <c r="C3061" s="7">
        <v>2.8349</v>
      </c>
    </row>
    <row r="3062" spans="1:3">
      <c r="A3062" s="6">
        <v>44138</v>
      </c>
      <c r="B3062" s="7">
        <v>2.4671</v>
      </c>
      <c r="C3062" s="7">
        <v>2.8222</v>
      </c>
    </row>
    <row r="3063" spans="1:3">
      <c r="A3063" s="6">
        <v>44139</v>
      </c>
      <c r="B3063" s="7">
        <v>2.4674</v>
      </c>
      <c r="C3063" s="7">
        <v>2.8275</v>
      </c>
    </row>
    <row r="3064" spans="1:3">
      <c r="A3064" s="6">
        <v>44140</v>
      </c>
      <c r="B3064" s="7">
        <v>2.4684</v>
      </c>
      <c r="C3064" s="7">
        <v>2.8242</v>
      </c>
    </row>
    <row r="3065" spans="1:3">
      <c r="A3065" s="6">
        <v>44141</v>
      </c>
      <c r="B3065" s="7">
        <v>2.4908</v>
      </c>
      <c r="C3065" s="7">
        <v>2.8452</v>
      </c>
    </row>
    <row r="3066" spans="1:3">
      <c r="A3066" s="6">
        <v>44144</v>
      </c>
      <c r="B3066" s="7">
        <v>2.5284</v>
      </c>
      <c r="C3066" s="7">
        <v>2.8775</v>
      </c>
    </row>
    <row r="3067" spans="1:3">
      <c r="A3067" s="6">
        <v>44145</v>
      </c>
      <c r="B3067" s="7">
        <v>2.536</v>
      </c>
      <c r="C3067" s="7">
        <v>2.8918</v>
      </c>
    </row>
    <row r="3068" spans="1:3">
      <c r="A3068" s="6">
        <v>44146</v>
      </c>
      <c r="B3068" s="7">
        <v>2.5521</v>
      </c>
      <c r="C3068" s="7">
        <v>2.8935</v>
      </c>
    </row>
    <row r="3069" spans="1:3">
      <c r="A3069" s="6">
        <v>44147</v>
      </c>
      <c r="B3069" s="7">
        <v>2.583</v>
      </c>
      <c r="C3069" s="7">
        <v>2.9215</v>
      </c>
    </row>
    <row r="3070" spans="1:3">
      <c r="A3070" s="6">
        <v>44148</v>
      </c>
      <c r="B3070" s="7">
        <v>2.6303</v>
      </c>
      <c r="C3070" s="7">
        <v>2.9547</v>
      </c>
    </row>
    <row r="3071" spans="1:3">
      <c r="A3071" s="6">
        <v>44151</v>
      </c>
      <c r="B3071" s="7">
        <v>2.603</v>
      </c>
      <c r="C3071" s="7">
        <v>2.9397</v>
      </c>
    </row>
    <row r="3072" spans="1:3">
      <c r="A3072" s="6">
        <v>44152</v>
      </c>
      <c r="B3072" s="7">
        <v>2.6055</v>
      </c>
      <c r="C3072" s="7">
        <v>2.943</v>
      </c>
    </row>
    <row r="3073" spans="1:3">
      <c r="A3073" s="6">
        <v>44153</v>
      </c>
      <c r="B3073" s="7">
        <v>2.6493</v>
      </c>
      <c r="C3073" s="7">
        <v>2.9779</v>
      </c>
    </row>
    <row r="3074" spans="1:3">
      <c r="A3074" s="6">
        <v>44154</v>
      </c>
      <c r="B3074" s="7">
        <v>2.6984</v>
      </c>
      <c r="C3074" s="7">
        <v>3.0282</v>
      </c>
    </row>
    <row r="3075" spans="1:3">
      <c r="A3075" s="6">
        <v>44155</v>
      </c>
      <c r="B3075" s="7">
        <v>2.7109</v>
      </c>
      <c r="C3075" s="7">
        <v>3.0702</v>
      </c>
    </row>
    <row r="3076" spans="1:3">
      <c r="A3076" s="6">
        <v>44158</v>
      </c>
      <c r="B3076" s="7">
        <v>2.6408</v>
      </c>
      <c r="C3076" s="7">
        <v>3.0111</v>
      </c>
    </row>
    <row r="3077" spans="1:3">
      <c r="A3077" s="6">
        <v>44159</v>
      </c>
      <c r="B3077" s="7">
        <v>2.6774</v>
      </c>
      <c r="C3077" s="7">
        <v>3.0293</v>
      </c>
    </row>
    <row r="3078" spans="1:3">
      <c r="A3078" s="6">
        <v>44160</v>
      </c>
      <c r="B3078" s="7">
        <v>2.6732</v>
      </c>
      <c r="C3078" s="7">
        <v>3.0255</v>
      </c>
    </row>
    <row r="3079" spans="1:3">
      <c r="A3079" s="6">
        <v>44161</v>
      </c>
      <c r="B3079" s="7">
        <v>2.6586</v>
      </c>
      <c r="C3079" s="7">
        <v>3.0091</v>
      </c>
    </row>
    <row r="3080" spans="1:3">
      <c r="A3080" s="6">
        <v>44162</v>
      </c>
      <c r="B3080" s="7">
        <v>2.6625</v>
      </c>
      <c r="C3080" s="7">
        <v>3.0142</v>
      </c>
    </row>
    <row r="3081" spans="1:3">
      <c r="A3081" s="6">
        <v>44165</v>
      </c>
      <c r="B3081" s="7">
        <v>2.6105</v>
      </c>
      <c r="C3081" s="7">
        <v>2.9653</v>
      </c>
    </row>
    <row r="3082" spans="1:3">
      <c r="A3082" s="6">
        <v>44166</v>
      </c>
      <c r="B3082" s="7">
        <v>2.6071</v>
      </c>
      <c r="C3082" s="7">
        <v>2.9592</v>
      </c>
    </row>
    <row r="3083" spans="1:3">
      <c r="A3083" s="6">
        <v>44167</v>
      </c>
      <c r="B3083" s="7">
        <v>2.6472</v>
      </c>
      <c r="C3083" s="7">
        <v>2.9997</v>
      </c>
    </row>
    <row r="3084" spans="1:3">
      <c r="A3084" s="6">
        <v>44168</v>
      </c>
      <c r="B3084" s="7">
        <v>2.664</v>
      </c>
      <c r="C3084" s="7">
        <v>3.0111</v>
      </c>
    </row>
    <row r="3085" spans="1:3">
      <c r="A3085" s="6">
        <v>44169</v>
      </c>
      <c r="B3085" s="7">
        <v>2.6587</v>
      </c>
      <c r="C3085" s="7">
        <v>3.004</v>
      </c>
    </row>
    <row r="3086" spans="1:3">
      <c r="A3086" s="6">
        <v>44172</v>
      </c>
      <c r="B3086" s="7">
        <v>2.6587</v>
      </c>
      <c r="C3086" s="7">
        <v>3.0103</v>
      </c>
    </row>
    <row r="3087" spans="1:3">
      <c r="A3087" s="6">
        <v>44173</v>
      </c>
      <c r="B3087" s="7">
        <v>2.6249</v>
      </c>
      <c r="C3087" s="7">
        <v>2.9825</v>
      </c>
    </row>
    <row r="3088" spans="1:3">
      <c r="A3088" s="6">
        <v>44174</v>
      </c>
      <c r="B3088" s="7">
        <v>2.6179</v>
      </c>
      <c r="C3088" s="7">
        <v>2.9793</v>
      </c>
    </row>
    <row r="3089" spans="1:3">
      <c r="A3089" s="6">
        <v>44175</v>
      </c>
      <c r="B3089" s="7">
        <v>2.5902</v>
      </c>
      <c r="C3089" s="7">
        <v>2.9541</v>
      </c>
    </row>
    <row r="3090" spans="1:3">
      <c r="A3090" s="6">
        <v>44176</v>
      </c>
      <c r="B3090" s="7">
        <v>2.6183</v>
      </c>
      <c r="C3090" s="7">
        <v>2.9755</v>
      </c>
    </row>
    <row r="3091" spans="1:3">
      <c r="A3091" s="6">
        <v>44179</v>
      </c>
      <c r="B3091" s="7">
        <v>2.6176</v>
      </c>
      <c r="C3091" s="7">
        <v>2.9801</v>
      </c>
    </row>
    <row r="3092" spans="1:3">
      <c r="A3092" s="6">
        <v>44180</v>
      </c>
      <c r="B3092" s="7">
        <v>2.5728</v>
      </c>
      <c r="C3092" s="7">
        <v>2.9445</v>
      </c>
    </row>
    <row r="3093" spans="1:3">
      <c r="A3093" s="6">
        <v>44181</v>
      </c>
      <c r="B3093" s="7">
        <v>2.5484</v>
      </c>
      <c r="C3093" s="7">
        <v>2.9282</v>
      </c>
    </row>
    <row r="3094" spans="1:3">
      <c r="A3094" s="6">
        <v>44182</v>
      </c>
      <c r="B3094" s="7">
        <v>2.5674</v>
      </c>
      <c r="C3094" s="7">
        <v>2.9459</v>
      </c>
    </row>
    <row r="3095" spans="1:3">
      <c r="A3095" s="6">
        <v>44183</v>
      </c>
      <c r="B3095" s="7">
        <v>2.5866</v>
      </c>
      <c r="C3095" s="7">
        <v>2.9638</v>
      </c>
    </row>
    <row r="3096" spans="1:3">
      <c r="A3096" s="6">
        <v>44186</v>
      </c>
      <c r="B3096" s="7">
        <v>2.5487</v>
      </c>
      <c r="C3096" s="7">
        <v>2.9326</v>
      </c>
    </row>
    <row r="3097" spans="1:3">
      <c r="A3097" s="6">
        <v>44187</v>
      </c>
      <c r="B3097" s="7">
        <v>2.5074</v>
      </c>
      <c r="C3097" s="7">
        <v>2.8902</v>
      </c>
    </row>
    <row r="3098" spans="1:3">
      <c r="A3098" s="6">
        <v>44188</v>
      </c>
      <c r="B3098" s="7">
        <v>2.4909</v>
      </c>
      <c r="C3098" s="7">
        <v>2.869</v>
      </c>
    </row>
    <row r="3099" spans="1:3">
      <c r="A3099" s="6">
        <v>44189</v>
      </c>
      <c r="B3099" s="7">
        <v>2.5102</v>
      </c>
      <c r="C3099" s="7">
        <v>2.886</v>
      </c>
    </row>
    <row r="3100" spans="1:3">
      <c r="A3100" s="6">
        <v>44190</v>
      </c>
      <c r="B3100" s="7">
        <v>2.5092</v>
      </c>
      <c r="C3100" s="7">
        <v>2.8809</v>
      </c>
    </row>
    <row r="3101" spans="1:3">
      <c r="A3101" s="6">
        <v>44193</v>
      </c>
      <c r="B3101" s="7">
        <v>2.497</v>
      </c>
      <c r="C3101" s="7">
        <v>2.8687</v>
      </c>
    </row>
    <row r="3102" spans="1:3">
      <c r="A3102" s="6">
        <v>44194</v>
      </c>
      <c r="B3102" s="7">
        <v>2.5057</v>
      </c>
      <c r="C3102" s="7">
        <v>2.8684</v>
      </c>
    </row>
    <row r="3103" spans="1:3">
      <c r="A3103" s="6">
        <v>44195</v>
      </c>
      <c r="B3103" s="7">
        <v>2.4892</v>
      </c>
      <c r="C3103" s="7">
        <v>2.8432</v>
      </c>
    </row>
    <row r="3104" spans="1:3">
      <c r="A3104" s="6">
        <v>44196</v>
      </c>
      <c r="B3104" s="7">
        <v>2.4688</v>
      </c>
      <c r="C3104" s="7">
        <v>2.8339</v>
      </c>
    </row>
    <row r="3105" spans="1:3">
      <c r="A3105" s="6">
        <v>44200</v>
      </c>
      <c r="B3105" s="7">
        <v>2.5073</v>
      </c>
      <c r="C3105" s="7">
        <v>2.8728</v>
      </c>
    </row>
    <row r="3106" spans="1:3">
      <c r="A3106" s="6">
        <v>44201</v>
      </c>
      <c r="B3106" s="7">
        <v>2.4861</v>
      </c>
      <c r="C3106" s="7">
        <v>2.8611</v>
      </c>
    </row>
    <row r="3107" spans="1:3">
      <c r="A3107" s="6">
        <v>44202</v>
      </c>
      <c r="B3107" s="7">
        <v>2.4622</v>
      </c>
      <c r="C3107" s="7">
        <v>2.8382</v>
      </c>
    </row>
    <row r="3108" spans="1:3">
      <c r="A3108" s="6">
        <v>44203</v>
      </c>
      <c r="B3108" s="7">
        <v>2.4455</v>
      </c>
      <c r="C3108" s="7">
        <v>2.8252</v>
      </c>
    </row>
    <row r="3109" spans="1:3">
      <c r="A3109" s="6">
        <v>44204</v>
      </c>
      <c r="B3109" s="7">
        <v>2.452</v>
      </c>
      <c r="C3109" s="7">
        <v>2.8386</v>
      </c>
    </row>
    <row r="3110" spans="1:3">
      <c r="A3110" s="6">
        <v>44207</v>
      </c>
      <c r="B3110" s="7">
        <v>2.4741</v>
      </c>
      <c r="C3110" s="7">
        <v>2.8643</v>
      </c>
    </row>
    <row r="3111" spans="1:3">
      <c r="A3111" s="6">
        <v>44208</v>
      </c>
      <c r="B3111" s="7">
        <v>2.461</v>
      </c>
      <c r="C3111" s="7">
        <v>2.844</v>
      </c>
    </row>
    <row r="3112" spans="1:3">
      <c r="A3112" s="6">
        <v>44209</v>
      </c>
      <c r="B3112" s="7">
        <v>2.4257</v>
      </c>
      <c r="C3112" s="7">
        <v>2.8111</v>
      </c>
    </row>
    <row r="3113" spans="1:3">
      <c r="A3113" s="6">
        <v>44210</v>
      </c>
      <c r="B3113" s="7">
        <v>2.4106</v>
      </c>
      <c r="C3113" s="7">
        <v>2.7779</v>
      </c>
    </row>
    <row r="3114" spans="1:3">
      <c r="A3114" s="6">
        <v>44211</v>
      </c>
      <c r="B3114" s="7">
        <v>2.4594</v>
      </c>
      <c r="C3114" s="7">
        <v>2.8295</v>
      </c>
    </row>
    <row r="3115" spans="1:3">
      <c r="A3115" s="6">
        <v>44214</v>
      </c>
      <c r="B3115" s="7">
        <v>2.498</v>
      </c>
      <c r="C3115" s="7">
        <v>2.8732</v>
      </c>
    </row>
    <row r="3116" spans="1:3">
      <c r="A3116" s="6">
        <v>44215</v>
      </c>
      <c r="B3116" s="7">
        <v>2.5125</v>
      </c>
      <c r="C3116" s="7">
        <v>2.8786</v>
      </c>
    </row>
    <row r="3117" spans="1:3">
      <c r="A3117" s="6">
        <v>44216</v>
      </c>
      <c r="B3117" s="7">
        <v>2.505</v>
      </c>
      <c r="C3117" s="7">
        <v>2.8643</v>
      </c>
    </row>
    <row r="3118" spans="1:3">
      <c r="A3118" s="6">
        <v>44217</v>
      </c>
      <c r="B3118" s="7">
        <v>2.4844</v>
      </c>
      <c r="C3118" s="7">
        <v>2.8487</v>
      </c>
    </row>
    <row r="3119" spans="1:3">
      <c r="A3119" s="6">
        <v>44218</v>
      </c>
      <c r="B3119" s="7">
        <v>2.4935</v>
      </c>
      <c r="C3119" s="7">
        <v>2.8515</v>
      </c>
    </row>
    <row r="3120" spans="1:3">
      <c r="A3120" s="6">
        <v>44221</v>
      </c>
      <c r="B3120" s="7">
        <v>2.504</v>
      </c>
      <c r="C3120" s="7">
        <v>2.8609</v>
      </c>
    </row>
    <row r="3121" spans="1:3">
      <c r="A3121" s="6">
        <v>44222</v>
      </c>
      <c r="B3121" s="7">
        <v>2.5747</v>
      </c>
      <c r="C3121" s="7">
        <v>2.915</v>
      </c>
    </row>
    <row r="3122" spans="1:3">
      <c r="A3122" s="6">
        <v>44223</v>
      </c>
      <c r="B3122" s="7">
        <v>2.5993</v>
      </c>
      <c r="C3122" s="7">
        <v>2.9361</v>
      </c>
    </row>
    <row r="3123" spans="1:3">
      <c r="A3123" s="6">
        <v>44224</v>
      </c>
      <c r="B3123" s="7">
        <v>2.6251</v>
      </c>
      <c r="C3123" s="7">
        <v>2.9552</v>
      </c>
    </row>
    <row r="3124" spans="1:3">
      <c r="A3124" s="6">
        <v>44225</v>
      </c>
      <c r="B3124" s="7">
        <v>2.6315</v>
      </c>
      <c r="C3124" s="7">
        <v>2.9543</v>
      </c>
    </row>
    <row r="3125" spans="1:3">
      <c r="A3125" s="6">
        <v>44228</v>
      </c>
      <c r="B3125" s="7">
        <v>2.6</v>
      </c>
      <c r="C3125" s="7">
        <v>2.9362</v>
      </c>
    </row>
    <row r="3126" spans="1:3">
      <c r="A3126" s="6">
        <v>44229</v>
      </c>
      <c r="B3126" s="7">
        <v>2.5818</v>
      </c>
      <c r="C3126" s="7">
        <v>2.9331</v>
      </c>
    </row>
    <row r="3127" spans="1:3">
      <c r="A3127" s="6">
        <v>44230</v>
      </c>
      <c r="B3127" s="7">
        <v>2.6249</v>
      </c>
      <c r="C3127" s="7">
        <v>2.9776</v>
      </c>
    </row>
    <row r="3128" spans="1:3">
      <c r="A3128" s="6">
        <v>44231</v>
      </c>
      <c r="B3128" s="7">
        <v>2.6764</v>
      </c>
      <c r="C3128" s="7">
        <v>3.0251</v>
      </c>
    </row>
    <row r="3129" spans="1:3">
      <c r="A3129" s="6">
        <v>44232</v>
      </c>
      <c r="B3129" s="7">
        <v>2.6846</v>
      </c>
      <c r="C3129" s="7">
        <v>3.038</v>
      </c>
    </row>
    <row r="3130" spans="1:3">
      <c r="A3130" s="6">
        <v>44235</v>
      </c>
      <c r="B3130" s="7">
        <v>2.6931</v>
      </c>
      <c r="C3130" s="7">
        <v>3.0552</v>
      </c>
    </row>
    <row r="3131" spans="1:3">
      <c r="A3131" s="6">
        <v>44236</v>
      </c>
      <c r="B3131" s="7">
        <v>2.6853</v>
      </c>
      <c r="C3131" s="7">
        <v>3.0549</v>
      </c>
    </row>
    <row r="3132" spans="1:3">
      <c r="A3132" s="6">
        <v>44237</v>
      </c>
      <c r="B3132" s="7">
        <v>2.6982</v>
      </c>
      <c r="C3132" s="7">
        <v>3.0697</v>
      </c>
    </row>
    <row r="3133" spans="1:3">
      <c r="A3133" s="6">
        <v>44245</v>
      </c>
      <c r="B3133" s="7">
        <v>2.7391</v>
      </c>
      <c r="C3133" s="7">
        <v>3.1301</v>
      </c>
    </row>
    <row r="3134" spans="1:3">
      <c r="A3134" s="6">
        <v>44246</v>
      </c>
      <c r="B3134" s="7">
        <v>2.6919</v>
      </c>
      <c r="C3134" s="7">
        <v>3.0817</v>
      </c>
    </row>
    <row r="3135" spans="1:3">
      <c r="A3135" s="6">
        <v>44247</v>
      </c>
      <c r="B3135" s="7">
        <v>2.6835</v>
      </c>
      <c r="C3135" s="7">
        <v>3.0721</v>
      </c>
    </row>
    <row r="3136" spans="1:3">
      <c r="A3136" s="6">
        <v>44249</v>
      </c>
      <c r="B3136" s="7">
        <v>2.6958</v>
      </c>
      <c r="C3136" s="7">
        <v>3.0845</v>
      </c>
    </row>
    <row r="3137" spans="1:3">
      <c r="A3137" s="6">
        <v>44250</v>
      </c>
      <c r="B3137" s="7">
        <v>2.6844</v>
      </c>
      <c r="C3137" s="7">
        <v>3.0738</v>
      </c>
    </row>
    <row r="3138" spans="1:3">
      <c r="A3138" s="6">
        <v>44251</v>
      </c>
      <c r="B3138" s="7">
        <v>2.6629</v>
      </c>
      <c r="C3138" s="7">
        <v>3.042</v>
      </c>
    </row>
    <row r="3139" spans="1:3">
      <c r="A3139" s="6">
        <v>44252</v>
      </c>
      <c r="B3139" s="7">
        <v>2.6779</v>
      </c>
      <c r="C3139" s="7">
        <v>3.0611</v>
      </c>
    </row>
    <row r="3140" spans="1:3">
      <c r="A3140" s="6">
        <v>44253</v>
      </c>
      <c r="B3140" s="7">
        <v>2.6749</v>
      </c>
      <c r="C3140" s="7">
        <v>3.0684</v>
      </c>
    </row>
    <row r="3141" spans="1:3">
      <c r="A3141" s="6">
        <v>44256</v>
      </c>
      <c r="B3141" s="7">
        <v>2.6598</v>
      </c>
      <c r="C3141" s="7">
        <v>3.0424</v>
      </c>
    </row>
    <row r="3142" spans="1:3">
      <c r="A3142" s="6">
        <v>44257</v>
      </c>
      <c r="B3142" s="7">
        <v>2.644</v>
      </c>
      <c r="C3142" s="7">
        <v>3.0075</v>
      </c>
    </row>
    <row r="3143" spans="1:3">
      <c r="A3143" s="6">
        <v>44258</v>
      </c>
      <c r="B3143" s="7">
        <v>2.6467</v>
      </c>
      <c r="C3143" s="7">
        <v>3.0262</v>
      </c>
    </row>
    <row r="3144" spans="1:3">
      <c r="A3144" s="6">
        <v>44259</v>
      </c>
      <c r="B3144" s="7">
        <v>2.6636</v>
      </c>
      <c r="C3144" s="7">
        <v>3.0435</v>
      </c>
    </row>
    <row r="3145" spans="1:3">
      <c r="A3145" s="6">
        <v>44260</v>
      </c>
      <c r="B3145" s="7">
        <v>2.643</v>
      </c>
      <c r="C3145" s="7">
        <v>3.0322</v>
      </c>
    </row>
    <row r="3146" spans="1:3">
      <c r="A3146" s="6">
        <v>44263</v>
      </c>
      <c r="B3146" s="7">
        <v>2.6292</v>
      </c>
      <c r="C3146" s="7">
        <v>3.0172</v>
      </c>
    </row>
    <row r="3147" spans="1:3">
      <c r="A3147" s="6">
        <v>44264</v>
      </c>
      <c r="B3147" s="7">
        <v>2.6447</v>
      </c>
      <c r="C3147" s="7">
        <v>3.0304</v>
      </c>
    </row>
    <row r="3148" spans="1:3">
      <c r="A3148" s="6">
        <v>44265</v>
      </c>
      <c r="B3148" s="7">
        <v>2.6364</v>
      </c>
      <c r="C3148" s="7">
        <v>3.0253</v>
      </c>
    </row>
    <row r="3149" spans="1:3">
      <c r="A3149" s="6">
        <v>44266</v>
      </c>
      <c r="B3149" s="7">
        <v>2.6435</v>
      </c>
      <c r="C3149" s="7">
        <v>3.0309</v>
      </c>
    </row>
    <row r="3150" spans="1:3">
      <c r="A3150" s="6">
        <v>44267</v>
      </c>
      <c r="B3150" s="7">
        <v>2.6463</v>
      </c>
      <c r="C3150" s="7">
        <v>3.0381</v>
      </c>
    </row>
    <row r="3151" spans="1:3">
      <c r="A3151" s="6">
        <v>44270</v>
      </c>
      <c r="B3151" s="7">
        <v>2.6728</v>
      </c>
      <c r="C3151" s="7">
        <v>3.0589</v>
      </c>
    </row>
    <row r="3152" spans="1:3">
      <c r="A3152" s="6">
        <v>44271</v>
      </c>
      <c r="B3152" s="7">
        <v>2.6626</v>
      </c>
      <c r="C3152" s="7">
        <v>3.0494</v>
      </c>
    </row>
    <row r="3153" spans="1:3">
      <c r="A3153" s="6">
        <v>44272</v>
      </c>
      <c r="B3153" s="7">
        <v>2.6447</v>
      </c>
      <c r="C3153" s="7">
        <v>3.0362</v>
      </c>
    </row>
    <row r="3154" spans="1:3">
      <c r="A3154" s="6">
        <v>44273</v>
      </c>
      <c r="B3154" s="7">
        <v>2.655</v>
      </c>
      <c r="C3154" s="7">
        <v>3.0496</v>
      </c>
    </row>
    <row r="3155" spans="1:3">
      <c r="A3155" s="6">
        <v>44274</v>
      </c>
      <c r="B3155" s="7">
        <v>2.6372</v>
      </c>
      <c r="C3155" s="7">
        <v>3.0293</v>
      </c>
    </row>
    <row r="3156" spans="1:3">
      <c r="A3156" s="6">
        <v>44277</v>
      </c>
      <c r="B3156" s="7">
        <v>2.6224</v>
      </c>
      <c r="C3156" s="7">
        <v>3.0168</v>
      </c>
    </row>
    <row r="3157" spans="1:3">
      <c r="A3157" s="6">
        <v>44278</v>
      </c>
      <c r="B3157" s="7">
        <v>2.6177</v>
      </c>
      <c r="C3157" s="7">
        <v>3.0112</v>
      </c>
    </row>
    <row r="3158" spans="1:3">
      <c r="A3158" s="6">
        <v>44279</v>
      </c>
      <c r="B3158" s="7">
        <v>2.5692</v>
      </c>
      <c r="C3158" s="7">
        <v>2.9552</v>
      </c>
    </row>
    <row r="3159" spans="1:3">
      <c r="A3159" s="6">
        <v>44280</v>
      </c>
      <c r="B3159" s="7">
        <v>2.5704</v>
      </c>
      <c r="C3159" s="7">
        <v>2.9466</v>
      </c>
    </row>
    <row r="3160" spans="1:3">
      <c r="A3160" s="6">
        <v>44281</v>
      </c>
      <c r="B3160" s="7">
        <v>2.5811</v>
      </c>
      <c r="C3160" s="7">
        <v>2.9532</v>
      </c>
    </row>
    <row r="3161" spans="1:3">
      <c r="A3161" s="6">
        <v>44284</v>
      </c>
      <c r="B3161" s="7">
        <v>2.5888</v>
      </c>
      <c r="C3161" s="7">
        <v>2.9669</v>
      </c>
    </row>
    <row r="3162" spans="1:3">
      <c r="A3162" s="6">
        <v>44285</v>
      </c>
      <c r="B3162" s="7">
        <v>2.5766</v>
      </c>
      <c r="C3162" s="7">
        <v>2.9589</v>
      </c>
    </row>
    <row r="3163" spans="1:3">
      <c r="A3163" s="6">
        <v>44286</v>
      </c>
      <c r="B3163" s="7">
        <v>2.5753</v>
      </c>
      <c r="C3163" s="7">
        <v>2.955</v>
      </c>
    </row>
    <row r="3164" spans="1:3">
      <c r="A3164" s="6">
        <v>44287</v>
      </c>
      <c r="B3164" s="7">
        <v>2.5739</v>
      </c>
      <c r="C3164" s="7">
        <v>2.9567</v>
      </c>
    </row>
    <row r="3165" spans="1:3">
      <c r="A3165" s="6">
        <v>44288</v>
      </c>
      <c r="B3165" s="7">
        <v>2.568</v>
      </c>
      <c r="C3165" s="7">
        <v>2.9566</v>
      </c>
    </row>
    <row r="3166" spans="1:3">
      <c r="A3166" s="6">
        <v>44292</v>
      </c>
      <c r="B3166" s="7">
        <v>2.5851</v>
      </c>
      <c r="C3166" s="7">
        <v>2.9743</v>
      </c>
    </row>
    <row r="3167" spans="1:3">
      <c r="A3167" s="6">
        <v>44293</v>
      </c>
      <c r="B3167" s="7">
        <v>2.5919</v>
      </c>
      <c r="C3167" s="7">
        <v>2.9866</v>
      </c>
    </row>
    <row r="3168" spans="1:3">
      <c r="A3168" s="6">
        <v>44294</v>
      </c>
      <c r="B3168" s="7">
        <v>2.5922</v>
      </c>
      <c r="C3168" s="7">
        <v>2.9904</v>
      </c>
    </row>
    <row r="3169" spans="1:3">
      <c r="A3169" s="6">
        <v>44295</v>
      </c>
      <c r="B3169" s="7">
        <v>2.5775</v>
      </c>
      <c r="C3169" s="7">
        <v>2.978</v>
      </c>
    </row>
    <row r="3170" spans="1:3">
      <c r="A3170" s="6">
        <v>44298</v>
      </c>
      <c r="B3170" s="7">
        <v>2.5602</v>
      </c>
      <c r="C3170" s="7">
        <v>2.957</v>
      </c>
    </row>
    <row r="3171" spans="1:3">
      <c r="A3171" s="6">
        <v>44299</v>
      </c>
      <c r="B3171" s="7">
        <v>2.5147</v>
      </c>
      <c r="C3171" s="7">
        <v>2.905</v>
      </c>
    </row>
    <row r="3172" spans="1:3">
      <c r="A3172" s="6">
        <v>44300</v>
      </c>
      <c r="B3172" s="7">
        <v>2.513</v>
      </c>
      <c r="C3172" s="7">
        <v>2.9029</v>
      </c>
    </row>
    <row r="3173" spans="1:3">
      <c r="A3173" s="6">
        <v>44301</v>
      </c>
      <c r="B3173" s="7">
        <v>2.5194</v>
      </c>
      <c r="C3173" s="7">
        <v>2.9109</v>
      </c>
    </row>
    <row r="3174" spans="1:3">
      <c r="A3174" s="6">
        <v>44302</v>
      </c>
      <c r="B3174" s="7">
        <v>2.5306</v>
      </c>
      <c r="C3174" s="7">
        <v>2.9139</v>
      </c>
    </row>
    <row r="3175" spans="1:3">
      <c r="A3175" s="6">
        <v>44305</v>
      </c>
      <c r="B3175" s="7">
        <v>2.5176</v>
      </c>
      <c r="C3175" s="7">
        <v>2.9008</v>
      </c>
    </row>
    <row r="3176" spans="1:3">
      <c r="A3176" s="6">
        <v>44306</v>
      </c>
      <c r="B3176" s="7">
        <v>2.5022</v>
      </c>
      <c r="C3176" s="7">
        <v>2.8837</v>
      </c>
    </row>
    <row r="3177" spans="1:3">
      <c r="A3177" s="6">
        <v>44307</v>
      </c>
      <c r="B3177" s="7">
        <v>2.4983</v>
      </c>
      <c r="C3177" s="7">
        <v>2.8857</v>
      </c>
    </row>
    <row r="3178" spans="1:3">
      <c r="A3178" s="6">
        <v>44308</v>
      </c>
      <c r="B3178" s="7">
        <v>2.503</v>
      </c>
      <c r="C3178" s="7">
        <v>2.8962</v>
      </c>
    </row>
    <row r="3179" spans="1:3">
      <c r="A3179" s="6">
        <v>44309</v>
      </c>
      <c r="B3179" s="7">
        <v>2.5015</v>
      </c>
      <c r="C3179" s="7">
        <v>2.9024</v>
      </c>
    </row>
    <row r="3180" spans="1:3">
      <c r="A3180" s="6">
        <v>44311</v>
      </c>
      <c r="B3180" s="7">
        <v>2.5358</v>
      </c>
      <c r="C3180" s="7">
        <v>2.9294</v>
      </c>
    </row>
    <row r="3181" spans="1:3">
      <c r="A3181" s="6">
        <v>44312</v>
      </c>
      <c r="B3181" s="7">
        <v>2.5407</v>
      </c>
      <c r="C3181" s="7">
        <v>2.9413</v>
      </c>
    </row>
    <row r="3182" spans="1:3">
      <c r="A3182" s="6">
        <v>44313</v>
      </c>
      <c r="B3182" s="7">
        <v>2.5335</v>
      </c>
      <c r="C3182" s="7">
        <v>2.9405</v>
      </c>
    </row>
    <row r="3183" spans="1:3">
      <c r="A3183" s="6">
        <v>44314</v>
      </c>
      <c r="B3183" s="7">
        <v>2.5285</v>
      </c>
      <c r="C3183" s="7">
        <v>2.935</v>
      </c>
    </row>
    <row r="3184" spans="1:3">
      <c r="A3184" s="6">
        <v>44315</v>
      </c>
      <c r="B3184" s="7">
        <v>2.523</v>
      </c>
      <c r="C3184" s="7">
        <v>2.9278</v>
      </c>
    </row>
    <row r="3185" spans="1:3">
      <c r="A3185" s="6">
        <v>44316</v>
      </c>
      <c r="B3185" s="7">
        <v>2.5199</v>
      </c>
      <c r="C3185" s="7">
        <v>2.9203</v>
      </c>
    </row>
    <row r="3186" spans="1:3">
      <c r="A3186" s="6">
        <v>44322</v>
      </c>
      <c r="B3186" s="7">
        <v>2.5096</v>
      </c>
      <c r="C3186" s="7">
        <v>2.905</v>
      </c>
    </row>
    <row r="3187" spans="1:3">
      <c r="A3187" s="6">
        <v>44323</v>
      </c>
      <c r="B3187" s="7">
        <v>2.4948</v>
      </c>
      <c r="C3187" s="7">
        <v>2.9004</v>
      </c>
    </row>
    <row r="3188" spans="1:3">
      <c r="A3188" s="6">
        <v>44324</v>
      </c>
      <c r="B3188" s="7">
        <v>2.4846</v>
      </c>
      <c r="C3188" s="7">
        <v>2.8998</v>
      </c>
    </row>
    <row r="3189" spans="1:3">
      <c r="A3189" s="6">
        <v>44326</v>
      </c>
      <c r="B3189" s="7">
        <v>2.4759</v>
      </c>
      <c r="C3189" s="7">
        <v>2.8973</v>
      </c>
    </row>
    <row r="3190" spans="1:3">
      <c r="A3190" s="6">
        <v>44327</v>
      </c>
      <c r="B3190" s="7">
        <v>2.4571</v>
      </c>
      <c r="C3190" s="7">
        <v>2.8689</v>
      </c>
    </row>
    <row r="3191" spans="1:3">
      <c r="A3191" s="6">
        <v>44328</v>
      </c>
      <c r="B3191" s="7">
        <v>2.459</v>
      </c>
      <c r="C3191" s="7">
        <v>2.8584</v>
      </c>
    </row>
    <row r="3192" spans="1:3">
      <c r="A3192" s="6">
        <v>44329</v>
      </c>
      <c r="B3192" s="7">
        <v>2.495</v>
      </c>
      <c r="C3192" s="7">
        <v>2.9013</v>
      </c>
    </row>
    <row r="3193" spans="1:3">
      <c r="A3193" s="6">
        <v>44330</v>
      </c>
      <c r="B3193" s="7">
        <v>2.4784</v>
      </c>
      <c r="C3193" s="7">
        <v>2.8864</v>
      </c>
    </row>
    <row r="3194" spans="1:3">
      <c r="A3194" s="6">
        <v>44333</v>
      </c>
      <c r="B3194" s="7">
        <v>2.5038</v>
      </c>
      <c r="C3194" s="7">
        <v>2.9066</v>
      </c>
    </row>
    <row r="3195" spans="1:3">
      <c r="A3195" s="6">
        <v>44334</v>
      </c>
      <c r="B3195" s="7">
        <v>2.498</v>
      </c>
      <c r="C3195" s="7">
        <v>2.9063</v>
      </c>
    </row>
    <row r="3196" spans="1:3">
      <c r="A3196" s="6">
        <v>44335</v>
      </c>
      <c r="B3196" s="7">
        <v>2.4784</v>
      </c>
      <c r="C3196" s="7">
        <v>2.8849</v>
      </c>
    </row>
    <row r="3197" spans="1:3">
      <c r="A3197" s="6">
        <v>44336</v>
      </c>
      <c r="B3197" s="7">
        <v>2.4624</v>
      </c>
      <c r="C3197" s="7">
        <v>2.8654</v>
      </c>
    </row>
    <row r="3198" spans="1:3">
      <c r="A3198" s="6">
        <v>44337</v>
      </c>
      <c r="B3198" s="7">
        <v>2.447</v>
      </c>
      <c r="C3198" s="7">
        <v>2.8479</v>
      </c>
    </row>
    <row r="3199" spans="1:3">
      <c r="A3199" s="6">
        <v>44340</v>
      </c>
      <c r="B3199" s="7">
        <v>2.4589</v>
      </c>
      <c r="C3199" s="7">
        <v>2.8546</v>
      </c>
    </row>
    <row r="3200" spans="1:3">
      <c r="A3200" s="6">
        <v>44341</v>
      </c>
      <c r="B3200" s="7">
        <v>2.4689</v>
      </c>
      <c r="C3200" s="7">
        <v>2.8664</v>
      </c>
    </row>
    <row r="3201" spans="1:3">
      <c r="A3201" s="6">
        <v>44342</v>
      </c>
      <c r="B3201" s="7">
        <v>2.4485</v>
      </c>
      <c r="C3201" s="7">
        <v>2.845</v>
      </c>
    </row>
    <row r="3202" spans="1:3">
      <c r="A3202" s="6">
        <v>44343</v>
      </c>
      <c r="B3202" s="7">
        <v>2.4657</v>
      </c>
      <c r="C3202" s="7">
        <v>2.8621</v>
      </c>
    </row>
    <row r="3203" spans="1:3">
      <c r="A3203" s="6">
        <v>44344</v>
      </c>
      <c r="B3203" s="7">
        <v>2.4864</v>
      </c>
      <c r="C3203" s="7">
        <v>2.8847</v>
      </c>
    </row>
    <row r="3204" spans="1:3">
      <c r="A3204" s="6">
        <v>44347</v>
      </c>
      <c r="B3204" s="7">
        <v>2.4925</v>
      </c>
      <c r="C3204" s="7">
        <v>2.8843</v>
      </c>
    </row>
    <row r="3205" spans="1:3">
      <c r="A3205" s="6">
        <v>44348</v>
      </c>
      <c r="B3205" s="7">
        <v>2.4757</v>
      </c>
      <c r="C3205" s="7">
        <v>2.8694</v>
      </c>
    </row>
    <row r="3206" spans="1:3">
      <c r="A3206" s="6">
        <v>44349</v>
      </c>
      <c r="B3206" s="7">
        <v>2.4795</v>
      </c>
      <c r="C3206" s="7">
        <v>2.8829</v>
      </c>
    </row>
    <row r="3207" spans="1:3">
      <c r="A3207" s="6">
        <v>44350</v>
      </c>
      <c r="B3207" s="7">
        <v>2.4698</v>
      </c>
      <c r="C3207" s="7">
        <v>2.8771</v>
      </c>
    </row>
    <row r="3208" spans="1:3">
      <c r="A3208" s="6">
        <v>44351</v>
      </c>
      <c r="B3208" s="7">
        <v>2.4934</v>
      </c>
      <c r="C3208" s="7">
        <v>2.9011</v>
      </c>
    </row>
    <row r="3209" spans="1:3">
      <c r="A3209" s="6">
        <v>44354</v>
      </c>
      <c r="B3209" s="7">
        <v>2.5349</v>
      </c>
      <c r="C3209" s="7">
        <v>2.9376</v>
      </c>
    </row>
    <row r="3210" spans="1:3">
      <c r="A3210" s="6">
        <v>44355</v>
      </c>
      <c r="B3210" s="7">
        <v>2.5322</v>
      </c>
      <c r="C3210" s="7">
        <v>2.9386</v>
      </c>
    </row>
    <row r="3211" spans="1:3">
      <c r="A3211" s="6">
        <v>44356</v>
      </c>
      <c r="B3211" s="7">
        <v>2.5395</v>
      </c>
      <c r="C3211" s="7">
        <v>2.948</v>
      </c>
    </row>
    <row r="3212" spans="1:3">
      <c r="A3212" s="6">
        <v>44357</v>
      </c>
      <c r="B3212" s="7">
        <v>2.5205</v>
      </c>
      <c r="C3212" s="7">
        <v>2.9308</v>
      </c>
    </row>
    <row r="3213" spans="1:3">
      <c r="A3213" s="6">
        <v>44358</v>
      </c>
      <c r="B3213" s="7">
        <v>2.5385</v>
      </c>
      <c r="C3213" s="7">
        <v>2.9471</v>
      </c>
    </row>
    <row r="3214" spans="1:3">
      <c r="A3214" s="6">
        <v>44362</v>
      </c>
      <c r="B3214" s="7">
        <v>2.5445</v>
      </c>
      <c r="C3214" s="7">
        <v>2.9568</v>
      </c>
    </row>
    <row r="3215" spans="1:3">
      <c r="A3215" s="6">
        <v>44363</v>
      </c>
      <c r="B3215" s="7">
        <v>2.545</v>
      </c>
      <c r="C3215" s="7">
        <v>2.9595</v>
      </c>
    </row>
    <row r="3216" spans="1:3">
      <c r="A3216" s="6">
        <v>44364</v>
      </c>
      <c r="B3216" s="7">
        <v>2.5514</v>
      </c>
      <c r="C3216" s="7">
        <v>2.9716</v>
      </c>
    </row>
    <row r="3217" spans="1:3">
      <c r="A3217" s="6">
        <v>44365</v>
      </c>
      <c r="B3217" s="7">
        <v>2.5499</v>
      </c>
      <c r="C3217" s="7">
        <v>2.9685</v>
      </c>
    </row>
    <row r="3218" spans="1:3">
      <c r="A3218" s="6">
        <v>44368</v>
      </c>
      <c r="B3218" s="7">
        <v>2.525</v>
      </c>
      <c r="C3218" s="7">
        <v>2.9283</v>
      </c>
    </row>
    <row r="3219" spans="1:3">
      <c r="A3219" s="6">
        <v>44369</v>
      </c>
      <c r="B3219" s="7">
        <v>2.5218</v>
      </c>
      <c r="C3219" s="7">
        <v>2.9273</v>
      </c>
    </row>
    <row r="3220" spans="1:3">
      <c r="A3220" s="6">
        <v>44370</v>
      </c>
      <c r="B3220" s="7">
        <v>2.5102</v>
      </c>
      <c r="C3220" s="7">
        <v>2.9148</v>
      </c>
    </row>
    <row r="3221" spans="1:3">
      <c r="A3221" s="6">
        <v>44371</v>
      </c>
      <c r="B3221" s="7">
        <v>2.4928</v>
      </c>
      <c r="C3221" s="7">
        <v>2.8961</v>
      </c>
    </row>
    <row r="3222" spans="1:3">
      <c r="A3222" s="6">
        <v>44372</v>
      </c>
      <c r="B3222" s="7">
        <v>2.492</v>
      </c>
      <c r="C3222" s="7">
        <v>2.9016</v>
      </c>
    </row>
    <row r="3223" spans="1:3">
      <c r="A3223" s="6">
        <v>44375</v>
      </c>
      <c r="B3223" s="7">
        <v>2.4924</v>
      </c>
      <c r="C3223" s="7">
        <v>2.904</v>
      </c>
    </row>
    <row r="3224" spans="1:3">
      <c r="A3224" s="6">
        <v>44376</v>
      </c>
      <c r="B3224" s="7">
        <v>2.5156</v>
      </c>
      <c r="C3224" s="7">
        <v>2.9166</v>
      </c>
    </row>
    <row r="3225" spans="1:3">
      <c r="A3225" s="6">
        <v>44377</v>
      </c>
      <c r="B3225" s="7">
        <v>2.5071</v>
      </c>
      <c r="C3225" s="7">
        <v>2.9031</v>
      </c>
    </row>
    <row r="3226" spans="1:3">
      <c r="A3226" s="6">
        <v>44378</v>
      </c>
      <c r="B3226" s="7">
        <v>2.4935</v>
      </c>
      <c r="C3226" s="7">
        <v>2.9014</v>
      </c>
    </row>
    <row r="3227" spans="1:3">
      <c r="A3227" s="6">
        <v>44379</v>
      </c>
      <c r="B3227" s="7">
        <v>2.4829</v>
      </c>
      <c r="C3227" s="7">
        <v>2.8944</v>
      </c>
    </row>
    <row r="3228" spans="1:3">
      <c r="A3228" s="6">
        <v>44382</v>
      </c>
      <c r="B3228" s="7">
        <v>2.4774</v>
      </c>
      <c r="C3228" s="7">
        <v>2.8907</v>
      </c>
    </row>
    <row r="3229" spans="1:3">
      <c r="A3229" s="6">
        <v>44383</v>
      </c>
      <c r="B3229" s="7">
        <v>2.4779</v>
      </c>
      <c r="C3229" s="7">
        <v>2.8962</v>
      </c>
    </row>
    <row r="3230" spans="1:3">
      <c r="A3230" s="6">
        <v>44384</v>
      </c>
      <c r="B3230" s="7">
        <v>2.4777</v>
      </c>
      <c r="C3230" s="7">
        <v>2.8895</v>
      </c>
    </row>
    <row r="3231" spans="1:3">
      <c r="A3231" s="6">
        <v>44385</v>
      </c>
      <c r="B3231" s="7">
        <v>2.4135</v>
      </c>
      <c r="C3231" s="7">
        <v>2.8028</v>
      </c>
    </row>
    <row r="3232" spans="1:3">
      <c r="A3232" s="6">
        <v>44386</v>
      </c>
      <c r="B3232" s="7">
        <v>2.4289</v>
      </c>
      <c r="C3232" s="7">
        <v>2.8029</v>
      </c>
    </row>
    <row r="3233" spans="1:3">
      <c r="A3233" s="6">
        <v>44389</v>
      </c>
      <c r="B3233" s="7">
        <v>2.3797</v>
      </c>
      <c r="C3233" s="7">
        <v>2.7606</v>
      </c>
    </row>
    <row r="3234" spans="1:3">
      <c r="A3234" s="6">
        <v>44391</v>
      </c>
      <c r="B3234" s="7">
        <v>2.3503</v>
      </c>
      <c r="C3234" s="7">
        <v>2.7226</v>
      </c>
    </row>
    <row r="3235" spans="1:3">
      <c r="A3235" s="6">
        <v>44392</v>
      </c>
      <c r="B3235" s="7">
        <v>2.3816</v>
      </c>
      <c r="C3235" s="7">
        <v>2.7555</v>
      </c>
    </row>
    <row r="3236" spans="1:3">
      <c r="A3236" s="6">
        <v>44393</v>
      </c>
      <c r="B3236" s="7">
        <v>2.3721</v>
      </c>
      <c r="C3236" s="7">
        <v>2.7518</v>
      </c>
    </row>
    <row r="3237" spans="1:3">
      <c r="A3237" s="6">
        <v>44396</v>
      </c>
      <c r="B3237" s="7">
        <v>2.3692</v>
      </c>
      <c r="C3237" s="7">
        <v>2.7431</v>
      </c>
    </row>
    <row r="3238" spans="1:3">
      <c r="A3238" s="6">
        <v>44397</v>
      </c>
      <c r="B3238" s="7">
        <v>2.3694</v>
      </c>
      <c r="C3238" s="7">
        <v>2.7326</v>
      </c>
    </row>
    <row r="3239" spans="1:3">
      <c r="A3239" s="6">
        <v>44398</v>
      </c>
      <c r="B3239" s="7">
        <v>2.3716</v>
      </c>
      <c r="C3239" s="7">
        <v>2.7326</v>
      </c>
    </row>
    <row r="3240" spans="1:3">
      <c r="A3240" s="6">
        <v>44399</v>
      </c>
      <c r="B3240" s="7">
        <v>2.3801</v>
      </c>
      <c r="C3240" s="7">
        <v>2.7457</v>
      </c>
    </row>
    <row r="3241" spans="1:3">
      <c r="A3241" s="6">
        <v>44400</v>
      </c>
      <c r="B3241" s="7">
        <v>2.3717</v>
      </c>
      <c r="C3241" s="7">
        <v>2.7363</v>
      </c>
    </row>
    <row r="3242" spans="1:3">
      <c r="A3242" s="6">
        <v>44403</v>
      </c>
      <c r="B3242" s="7">
        <v>2.3592</v>
      </c>
      <c r="C3242" s="7">
        <v>2.7147</v>
      </c>
    </row>
    <row r="3243" spans="1:3">
      <c r="A3243" s="6">
        <v>44404</v>
      </c>
      <c r="B3243" s="7">
        <v>2.3893</v>
      </c>
      <c r="C3243" s="7">
        <v>2.7461</v>
      </c>
    </row>
    <row r="3244" spans="1:3">
      <c r="A3244" s="6">
        <v>44405</v>
      </c>
      <c r="B3244" s="7">
        <v>2.4025</v>
      </c>
      <c r="C3244" s="7">
        <v>2.7578</v>
      </c>
    </row>
    <row r="3245" spans="1:3">
      <c r="A3245" s="6">
        <v>44406</v>
      </c>
      <c r="B3245" s="7">
        <v>2.3794</v>
      </c>
      <c r="C3245" s="7">
        <v>2.742</v>
      </c>
    </row>
    <row r="3246" spans="1:3">
      <c r="A3246" s="6">
        <v>44407</v>
      </c>
      <c r="B3246" s="7">
        <v>2.3479</v>
      </c>
      <c r="C3246" s="7">
        <v>2.7008</v>
      </c>
    </row>
    <row r="3247" spans="1:3">
      <c r="A3247" s="6">
        <v>44410</v>
      </c>
      <c r="B3247" s="7">
        <v>2.3246</v>
      </c>
      <c r="C3247" s="7">
        <v>2.6702</v>
      </c>
    </row>
    <row r="3248" spans="1:3">
      <c r="A3248" s="6">
        <v>44411</v>
      </c>
      <c r="B3248" s="7">
        <v>2.3287</v>
      </c>
      <c r="C3248" s="7">
        <v>2.6845</v>
      </c>
    </row>
    <row r="3249" spans="1:3">
      <c r="A3249" s="6">
        <v>44412</v>
      </c>
      <c r="B3249" s="7">
        <v>2.3203</v>
      </c>
      <c r="C3249" s="7">
        <v>2.681</v>
      </c>
    </row>
    <row r="3250" spans="1:3">
      <c r="A3250" s="6">
        <v>44413</v>
      </c>
      <c r="B3250" s="7">
        <v>2.2943</v>
      </c>
      <c r="C3250" s="7">
        <v>2.6522</v>
      </c>
    </row>
    <row r="3251" spans="1:3">
      <c r="A3251" s="6">
        <v>44414</v>
      </c>
      <c r="B3251" s="7">
        <v>2.2995</v>
      </c>
      <c r="C3251" s="7">
        <v>2.6539</v>
      </c>
    </row>
    <row r="3252" spans="1:3">
      <c r="A3252" s="6">
        <v>44417</v>
      </c>
      <c r="B3252" s="7">
        <v>2.342</v>
      </c>
      <c r="C3252" s="7">
        <v>2.6904</v>
      </c>
    </row>
    <row r="3253" spans="1:3">
      <c r="A3253" s="6">
        <v>44418</v>
      </c>
      <c r="B3253" s="7">
        <v>2.3534</v>
      </c>
      <c r="C3253" s="7">
        <v>2.712</v>
      </c>
    </row>
    <row r="3254" spans="1:3">
      <c r="A3254" s="6">
        <v>44419</v>
      </c>
      <c r="B3254" s="7">
        <v>2.3454</v>
      </c>
      <c r="C3254" s="7">
        <v>2.7126</v>
      </c>
    </row>
    <row r="3255" spans="1:3">
      <c r="A3255" s="6">
        <v>44420</v>
      </c>
      <c r="B3255" s="7">
        <v>2.3329</v>
      </c>
      <c r="C3255" s="7">
        <v>2.6941</v>
      </c>
    </row>
    <row r="3256" spans="1:3">
      <c r="A3256" s="6">
        <v>44421</v>
      </c>
      <c r="B3256" s="7">
        <v>2.3361</v>
      </c>
      <c r="C3256" s="7">
        <v>2.6981</v>
      </c>
    </row>
    <row r="3257" spans="1:3">
      <c r="A3257" s="6">
        <v>44424</v>
      </c>
      <c r="B3257" s="7">
        <v>2.3459</v>
      </c>
      <c r="C3257" s="7">
        <v>2.7096</v>
      </c>
    </row>
    <row r="3258" spans="1:3">
      <c r="A3258" s="6">
        <v>44425</v>
      </c>
      <c r="B3258" s="7">
        <v>2.344</v>
      </c>
      <c r="C3258" s="7">
        <v>2.7089</v>
      </c>
    </row>
    <row r="3259" spans="1:3">
      <c r="A3259" s="6">
        <v>44426</v>
      </c>
      <c r="B3259" s="7">
        <v>2.3183</v>
      </c>
      <c r="C3259" s="7">
        <v>2.683</v>
      </c>
    </row>
    <row r="3260" spans="1:3">
      <c r="A3260" s="6">
        <v>44427</v>
      </c>
      <c r="B3260" s="7">
        <v>2.3098</v>
      </c>
      <c r="C3260" s="7">
        <v>2.6706</v>
      </c>
    </row>
    <row r="3261" spans="1:3">
      <c r="A3261" s="6">
        <v>44428</v>
      </c>
      <c r="B3261" s="7">
        <v>2.3144</v>
      </c>
      <c r="C3261" s="7">
        <v>2.6744</v>
      </c>
    </row>
    <row r="3262" spans="1:3">
      <c r="A3262" s="6">
        <v>44431</v>
      </c>
      <c r="B3262" s="7">
        <v>2.3298</v>
      </c>
      <c r="C3262" s="7">
        <v>2.6968</v>
      </c>
    </row>
    <row r="3263" spans="1:3">
      <c r="A3263" s="6">
        <v>44432</v>
      </c>
      <c r="B3263" s="7">
        <v>2.3279</v>
      </c>
      <c r="C3263" s="7">
        <v>2.696</v>
      </c>
    </row>
    <row r="3264" spans="1:3">
      <c r="A3264" s="6">
        <v>44433</v>
      </c>
      <c r="B3264" s="7">
        <v>2.3126</v>
      </c>
      <c r="C3264" s="7">
        <v>2.6742</v>
      </c>
    </row>
    <row r="3265" spans="1:3">
      <c r="A3265" s="6">
        <v>44434</v>
      </c>
      <c r="B3265" s="7">
        <v>2.3316</v>
      </c>
      <c r="C3265" s="7">
        <v>2.6992</v>
      </c>
    </row>
    <row r="3266" spans="1:3">
      <c r="A3266" s="6">
        <v>44435</v>
      </c>
      <c r="B3266" s="7">
        <v>2.3191</v>
      </c>
      <c r="C3266" s="7">
        <v>2.6903</v>
      </c>
    </row>
    <row r="3267" spans="1:3">
      <c r="A3267" s="6">
        <v>44438</v>
      </c>
      <c r="B3267" s="7">
        <v>2.3097</v>
      </c>
      <c r="C3267" s="7">
        <v>2.6768</v>
      </c>
    </row>
    <row r="3268" spans="1:3">
      <c r="A3268" s="6">
        <v>44439</v>
      </c>
      <c r="B3268" s="7">
        <v>2.3048</v>
      </c>
      <c r="C3268" s="7">
        <v>2.6702</v>
      </c>
    </row>
    <row r="3269" spans="1:3">
      <c r="A3269" s="6">
        <v>44440</v>
      </c>
      <c r="B3269" s="7">
        <v>2.2893</v>
      </c>
      <c r="C3269" s="7">
        <v>2.6473</v>
      </c>
    </row>
    <row r="3270" spans="1:3">
      <c r="A3270" s="6">
        <v>44441</v>
      </c>
      <c r="B3270" s="7">
        <v>2.292</v>
      </c>
      <c r="C3270" s="7">
        <v>2.6508</v>
      </c>
    </row>
    <row r="3271" spans="1:3">
      <c r="A3271" s="6">
        <v>44442</v>
      </c>
      <c r="B3271" s="7">
        <v>2.2932</v>
      </c>
      <c r="C3271" s="7">
        <v>2.6541</v>
      </c>
    </row>
    <row r="3272" spans="1:3">
      <c r="A3272" s="6">
        <v>44445</v>
      </c>
      <c r="B3272" s="7">
        <v>2.3026</v>
      </c>
      <c r="C3272" s="7">
        <v>2.6608</v>
      </c>
    </row>
    <row r="3273" spans="1:3">
      <c r="A3273" s="6">
        <v>44446</v>
      </c>
      <c r="B3273" s="7">
        <v>2.3217</v>
      </c>
      <c r="C3273" s="7">
        <v>2.6855</v>
      </c>
    </row>
    <row r="3274" spans="1:3">
      <c r="A3274" s="6">
        <v>44447</v>
      </c>
      <c r="B3274" s="7">
        <v>2.3384</v>
      </c>
      <c r="C3274" s="7">
        <v>2.7022</v>
      </c>
    </row>
    <row r="3275" spans="1:3">
      <c r="A3275" s="6">
        <v>44448</v>
      </c>
      <c r="B3275" s="7">
        <v>2.3453</v>
      </c>
      <c r="C3275" s="7">
        <v>2.7058</v>
      </c>
    </row>
    <row r="3276" spans="1:3">
      <c r="A3276" s="6">
        <v>44449</v>
      </c>
      <c r="B3276" s="7">
        <v>2.3437</v>
      </c>
      <c r="C3276" s="7">
        <v>2.7077</v>
      </c>
    </row>
    <row r="3277" spans="1:3">
      <c r="A3277" s="6">
        <v>44452</v>
      </c>
      <c r="B3277" s="7">
        <v>2.354</v>
      </c>
      <c r="C3277" s="7">
        <v>2.7183</v>
      </c>
    </row>
    <row r="3278" spans="1:3">
      <c r="A3278" s="6">
        <v>44453</v>
      </c>
      <c r="B3278" s="7">
        <v>2.3781</v>
      </c>
      <c r="C3278" s="7">
        <v>2.7455</v>
      </c>
    </row>
    <row r="3279" spans="1:3">
      <c r="A3279" s="6">
        <v>44454</v>
      </c>
      <c r="B3279" s="7">
        <v>2.3658</v>
      </c>
      <c r="C3279" s="7">
        <v>2.7341</v>
      </c>
    </row>
    <row r="3280" spans="1:3">
      <c r="A3280" s="6">
        <v>44455</v>
      </c>
      <c r="B3280" s="7">
        <v>2.3781</v>
      </c>
      <c r="C3280" s="7">
        <v>2.7457</v>
      </c>
    </row>
    <row r="3281" spans="1:3">
      <c r="A3281" s="6">
        <v>44456</v>
      </c>
      <c r="B3281" s="7">
        <v>2.368</v>
      </c>
      <c r="C3281" s="7">
        <v>2.7213</v>
      </c>
    </row>
    <row r="3282" spans="1:3">
      <c r="A3282" s="6">
        <v>44457</v>
      </c>
      <c r="B3282" s="7"/>
      <c r="C3282" s="7">
        <v>2.7125</v>
      </c>
    </row>
    <row r="3283" spans="1:3">
      <c r="A3283" s="6">
        <v>44461</v>
      </c>
      <c r="B3283" s="7">
        <v>2.3455</v>
      </c>
      <c r="C3283" s="7">
        <v>2.6953</v>
      </c>
    </row>
    <row r="3284" spans="1:3">
      <c r="A3284" s="6">
        <v>44462</v>
      </c>
      <c r="B3284" s="7">
        <v>2.331</v>
      </c>
      <c r="C3284" s="7">
        <v>2.6881</v>
      </c>
    </row>
    <row r="3285" spans="1:3">
      <c r="A3285" s="6">
        <v>44463</v>
      </c>
      <c r="B3285" s="7">
        <v>2.332</v>
      </c>
      <c r="C3285" s="7">
        <v>2.6969</v>
      </c>
    </row>
    <row r="3286" spans="1:3">
      <c r="A3286" s="6">
        <v>44465</v>
      </c>
      <c r="B3286" s="7">
        <v>2.3311</v>
      </c>
      <c r="C3286" s="7">
        <v>2.7019</v>
      </c>
    </row>
    <row r="3287" spans="1:3">
      <c r="A3287" s="6">
        <v>44466</v>
      </c>
      <c r="B3287" s="7">
        <v>2.3283</v>
      </c>
      <c r="C3287" s="7">
        <v>2.6988</v>
      </c>
    </row>
    <row r="3288" spans="1:3">
      <c r="A3288" s="6">
        <v>44467</v>
      </c>
      <c r="B3288" s="7">
        <v>2.3475</v>
      </c>
      <c r="C3288" s="7">
        <v>2.7184</v>
      </c>
    </row>
    <row r="3289" spans="1:3">
      <c r="A3289" s="6">
        <v>44468</v>
      </c>
      <c r="B3289" s="7">
        <v>2.3566</v>
      </c>
      <c r="C3289" s="7">
        <v>2.7138</v>
      </c>
    </row>
    <row r="3290" spans="1:3">
      <c r="A3290" s="6">
        <v>44469</v>
      </c>
      <c r="B3290" s="7">
        <v>2.3373</v>
      </c>
      <c r="C3290" s="7">
        <v>2.7054</v>
      </c>
    </row>
    <row r="3291" spans="1:3">
      <c r="A3291" s="6">
        <v>44477</v>
      </c>
      <c r="B3291" s="7">
        <v>2.3584</v>
      </c>
      <c r="C3291" s="7">
        <v>2.7366</v>
      </c>
    </row>
    <row r="3292" spans="1:3">
      <c r="A3292" s="6">
        <v>44480</v>
      </c>
      <c r="B3292" s="7">
        <v>2.3857</v>
      </c>
      <c r="C3292" s="7">
        <v>2.7688</v>
      </c>
    </row>
    <row r="3293" spans="1:3">
      <c r="A3293" s="6">
        <v>44481</v>
      </c>
      <c r="B3293" s="7">
        <v>2.3833</v>
      </c>
      <c r="C3293" s="7">
        <v>2.779</v>
      </c>
    </row>
    <row r="3294" spans="1:3">
      <c r="A3294" s="6">
        <v>44482</v>
      </c>
      <c r="B3294" s="7">
        <v>2.3784</v>
      </c>
      <c r="C3294" s="7">
        <v>2.7716</v>
      </c>
    </row>
    <row r="3295" spans="1:3">
      <c r="A3295" s="6">
        <v>44483</v>
      </c>
      <c r="B3295" s="7">
        <v>2.3702</v>
      </c>
      <c r="C3295" s="7">
        <v>2.7618</v>
      </c>
    </row>
    <row r="3296" spans="1:3">
      <c r="A3296" s="6">
        <v>44484</v>
      </c>
      <c r="B3296" s="7">
        <v>2.3779</v>
      </c>
      <c r="C3296" s="7">
        <v>2.7757</v>
      </c>
    </row>
    <row r="3297" spans="1:3">
      <c r="A3297" s="6">
        <v>44487</v>
      </c>
      <c r="B3297" s="7">
        <v>2.4099</v>
      </c>
      <c r="C3297" s="7">
        <v>2.8297</v>
      </c>
    </row>
    <row r="3298" spans="1:3">
      <c r="A3298" s="6">
        <v>44488</v>
      </c>
      <c r="B3298" s="7">
        <v>2.4325</v>
      </c>
      <c r="C3298" s="7">
        <v>2.8378</v>
      </c>
    </row>
    <row r="3299" spans="1:3">
      <c r="A3299" s="6">
        <v>44489</v>
      </c>
      <c r="B3299" s="7">
        <v>2.4041</v>
      </c>
      <c r="C3299" s="7">
        <v>2.8178</v>
      </c>
    </row>
    <row r="3300" spans="1:3">
      <c r="A3300" s="6">
        <v>44490</v>
      </c>
      <c r="B3300" s="7">
        <v>2.3873</v>
      </c>
      <c r="C3300" s="7">
        <v>2.8008</v>
      </c>
    </row>
    <row r="3301" spans="1:3">
      <c r="A3301" s="6">
        <v>44491</v>
      </c>
      <c r="B3301" s="7">
        <v>2.3838</v>
      </c>
      <c r="C3301" s="7">
        <v>2.8066</v>
      </c>
    </row>
    <row r="3302" spans="1:3">
      <c r="A3302" s="6">
        <v>44494</v>
      </c>
      <c r="B3302" s="7">
        <v>2.3941</v>
      </c>
      <c r="C3302" s="7">
        <v>2.8133</v>
      </c>
    </row>
    <row r="3303" spans="1:3">
      <c r="A3303" s="6">
        <v>44495</v>
      </c>
      <c r="B3303" s="7">
        <v>2.3896</v>
      </c>
      <c r="C3303" s="7">
        <v>2.7995</v>
      </c>
    </row>
    <row r="3304" spans="1:3">
      <c r="A3304" s="6">
        <v>44496</v>
      </c>
      <c r="B3304" s="7">
        <v>2.3942</v>
      </c>
      <c r="C3304" s="7">
        <v>2.8089</v>
      </c>
    </row>
    <row r="3305" spans="1:3">
      <c r="A3305" s="6">
        <v>44497</v>
      </c>
      <c r="B3305" s="7">
        <v>2.3959</v>
      </c>
      <c r="C3305" s="7">
        <v>2.8075</v>
      </c>
    </row>
    <row r="3306" spans="1:3">
      <c r="A3306" s="6">
        <v>44498</v>
      </c>
      <c r="B3306" s="7">
        <v>2.3914</v>
      </c>
      <c r="C3306" s="7">
        <v>2.8003</v>
      </c>
    </row>
    <row r="3307" spans="1:3">
      <c r="A3307" s="6">
        <v>44501</v>
      </c>
      <c r="B3307" s="7">
        <v>2.3789</v>
      </c>
      <c r="C3307" s="7">
        <v>2.7876</v>
      </c>
    </row>
    <row r="3308" spans="1:3">
      <c r="A3308" s="6">
        <v>44502</v>
      </c>
      <c r="B3308" s="7">
        <v>2.3734</v>
      </c>
      <c r="C3308" s="7">
        <v>2.7691</v>
      </c>
    </row>
    <row r="3309" spans="1:3">
      <c r="A3309" s="6">
        <v>44503</v>
      </c>
      <c r="B3309" s="7">
        <v>2.36</v>
      </c>
      <c r="C3309" s="7">
        <v>2.7583</v>
      </c>
    </row>
    <row r="3310" spans="1:3">
      <c r="A3310" s="6">
        <v>44504</v>
      </c>
      <c r="B3310" s="7">
        <v>2.3562</v>
      </c>
      <c r="C3310" s="7">
        <v>2.7571</v>
      </c>
    </row>
    <row r="3311" spans="1:3">
      <c r="A3311" s="6">
        <v>44505</v>
      </c>
      <c r="B3311" s="7">
        <v>2.3239</v>
      </c>
      <c r="C3311" s="7">
        <v>2.7113</v>
      </c>
    </row>
    <row r="3312" spans="1:3">
      <c r="A3312" s="6">
        <v>44508</v>
      </c>
      <c r="B3312" s="7">
        <v>2.3213</v>
      </c>
      <c r="C3312" s="7">
        <v>2.7029</v>
      </c>
    </row>
    <row r="3313" spans="1:3">
      <c r="A3313" s="6">
        <v>44509</v>
      </c>
      <c r="B3313" s="7">
        <v>2.3224</v>
      </c>
      <c r="C3313" s="7">
        <v>2.7138</v>
      </c>
    </row>
    <row r="3314" spans="1:3">
      <c r="A3314" s="6">
        <v>44510</v>
      </c>
      <c r="B3314" s="7">
        <v>2.312</v>
      </c>
      <c r="C3314" s="7">
        <v>2.6996</v>
      </c>
    </row>
    <row r="3315" spans="1:3">
      <c r="A3315" s="6">
        <v>44511</v>
      </c>
      <c r="B3315" s="7">
        <v>2.333</v>
      </c>
      <c r="C3315" s="7">
        <v>2.7263</v>
      </c>
    </row>
    <row r="3316" spans="1:3">
      <c r="A3316" s="6">
        <v>44512</v>
      </c>
      <c r="B3316" s="7">
        <v>2.3319</v>
      </c>
      <c r="C3316" s="7">
        <v>2.7244</v>
      </c>
    </row>
    <row r="3317" spans="1:3">
      <c r="A3317" s="6">
        <v>44515</v>
      </c>
      <c r="B3317" s="7">
        <v>2.3264</v>
      </c>
      <c r="C3317" s="7">
        <v>2.7194</v>
      </c>
    </row>
    <row r="3318" spans="1:3">
      <c r="A3318" s="6">
        <v>44516</v>
      </c>
      <c r="B3318" s="7">
        <v>2.3232</v>
      </c>
      <c r="C3318" s="7">
        <v>2.7147</v>
      </c>
    </row>
    <row r="3319" spans="1:3">
      <c r="A3319" s="6">
        <v>44517</v>
      </c>
      <c r="B3319" s="7">
        <v>2.3346</v>
      </c>
      <c r="C3319" s="7">
        <v>2.7243</v>
      </c>
    </row>
    <row r="3320" spans="1:3">
      <c r="A3320" s="6">
        <v>44518</v>
      </c>
      <c r="B3320" s="7">
        <v>2.3282</v>
      </c>
      <c r="C3320" s="7">
        <v>2.7147</v>
      </c>
    </row>
    <row r="3321" spans="1:3">
      <c r="A3321" s="6">
        <v>44519</v>
      </c>
      <c r="B3321" s="7">
        <v>2.3347</v>
      </c>
      <c r="C3321" s="7">
        <v>2.726</v>
      </c>
    </row>
    <row r="3322" spans="1:3">
      <c r="A3322" s="6">
        <v>44522</v>
      </c>
      <c r="B3322" s="7">
        <v>2.3239</v>
      </c>
      <c r="C3322" s="7">
        <v>2.7155</v>
      </c>
    </row>
    <row r="3323" spans="1:3">
      <c r="A3323" s="6">
        <v>44523</v>
      </c>
      <c r="B3323" s="7">
        <v>2.3282</v>
      </c>
      <c r="C3323" s="7">
        <v>2.7224</v>
      </c>
    </row>
    <row r="3324" spans="1:3">
      <c r="A3324" s="6">
        <v>44524</v>
      </c>
      <c r="B3324" s="7">
        <v>2.3178</v>
      </c>
      <c r="C3324" s="7">
        <v>2.7008</v>
      </c>
    </row>
    <row r="3325" spans="1:3">
      <c r="A3325" s="6">
        <v>44525</v>
      </c>
      <c r="B3325" s="7">
        <v>2.3149</v>
      </c>
      <c r="C3325" s="7">
        <v>2.6909</v>
      </c>
    </row>
    <row r="3326" spans="1:3">
      <c r="A3326" s="6">
        <v>44526</v>
      </c>
      <c r="B3326" s="7">
        <v>2.2971</v>
      </c>
      <c r="C3326" s="7">
        <v>2.6681</v>
      </c>
    </row>
    <row r="3327" spans="1:3">
      <c r="A3327" s="6">
        <v>44529</v>
      </c>
      <c r="B3327" s="7">
        <v>2.3059</v>
      </c>
      <c r="C3327" s="7">
        <v>2.6758</v>
      </c>
    </row>
    <row r="3328" spans="1:3">
      <c r="A3328" s="6">
        <v>44530</v>
      </c>
      <c r="B3328" s="7">
        <v>2.3129</v>
      </c>
      <c r="C3328" s="7">
        <v>2.685</v>
      </c>
    </row>
    <row r="3329" spans="1:3">
      <c r="A3329" s="6">
        <v>44531</v>
      </c>
      <c r="B3329" s="7">
        <v>2.3139</v>
      </c>
      <c r="C3329" s="7">
        <v>2.6904</v>
      </c>
    </row>
    <row r="3330" spans="1:3">
      <c r="A3330" s="6">
        <v>44532</v>
      </c>
      <c r="B3330" s="7">
        <v>2.3157</v>
      </c>
      <c r="C3330" s="7">
        <v>2.6988</v>
      </c>
    </row>
    <row r="3331" spans="1:3">
      <c r="A3331" s="6">
        <v>44533</v>
      </c>
      <c r="B3331" s="7">
        <v>2.3265</v>
      </c>
      <c r="C3331" s="7">
        <v>2.7163</v>
      </c>
    </row>
    <row r="3332" spans="1:3">
      <c r="A3332" s="6">
        <v>44536</v>
      </c>
      <c r="B3332" s="7">
        <v>2.2916</v>
      </c>
      <c r="C3332" s="7">
        <v>2.6664</v>
      </c>
    </row>
    <row r="3333" spans="1:3">
      <c r="A3333" s="6">
        <v>44537</v>
      </c>
      <c r="B3333" s="7">
        <v>2.3021</v>
      </c>
      <c r="C3333" s="7">
        <v>2.6823</v>
      </c>
    </row>
    <row r="3334" spans="1:3">
      <c r="A3334" s="6">
        <v>44538</v>
      </c>
      <c r="B3334" s="7">
        <v>2.3137</v>
      </c>
      <c r="C3334" s="7">
        <v>2.6995</v>
      </c>
    </row>
    <row r="3335" spans="1:3">
      <c r="A3335" s="6">
        <v>44539</v>
      </c>
      <c r="B3335" s="7">
        <v>2.3096</v>
      </c>
      <c r="C3335" s="7">
        <v>2.6915</v>
      </c>
    </row>
    <row r="3336" spans="1:3">
      <c r="A3336" s="6">
        <v>44540</v>
      </c>
      <c r="B3336" s="7">
        <v>2.3116</v>
      </c>
      <c r="C3336" s="7">
        <v>2.6739</v>
      </c>
    </row>
    <row r="3337" spans="1:3">
      <c r="A3337" s="6">
        <v>44543</v>
      </c>
      <c r="B3337" s="7">
        <v>2.2994</v>
      </c>
      <c r="C3337" s="7">
        <v>2.6795</v>
      </c>
    </row>
    <row r="3338" spans="1:3">
      <c r="A3338" s="6">
        <v>44544</v>
      </c>
      <c r="B3338" s="7">
        <v>2.276</v>
      </c>
      <c r="C3338" s="7">
        <v>2.6534</v>
      </c>
    </row>
    <row r="3339" spans="1:3">
      <c r="A3339" s="6">
        <v>44545</v>
      </c>
      <c r="B3339" s="7">
        <v>2.2802</v>
      </c>
      <c r="C3339" s="7">
        <v>2.651</v>
      </c>
    </row>
    <row r="3340" spans="1:3">
      <c r="A3340" s="6">
        <v>44546</v>
      </c>
      <c r="B3340" s="7">
        <v>2.2855</v>
      </c>
      <c r="C3340" s="7">
        <v>2.6581</v>
      </c>
    </row>
    <row r="3341" spans="1:3">
      <c r="A3341" s="6">
        <v>44547</v>
      </c>
      <c r="B3341" s="7">
        <v>2.2823</v>
      </c>
      <c r="C3341" s="7">
        <v>2.6465</v>
      </c>
    </row>
    <row r="3342" spans="1:3">
      <c r="A3342" s="6">
        <v>44550</v>
      </c>
      <c r="B3342" s="7">
        <v>2.2969</v>
      </c>
      <c r="C3342" s="7">
        <v>2.6631</v>
      </c>
    </row>
    <row r="3343" spans="1:3">
      <c r="A3343" s="6">
        <v>44551</v>
      </c>
      <c r="B3343" s="7">
        <v>2.2957</v>
      </c>
      <c r="C3343" s="7">
        <v>2.668</v>
      </c>
    </row>
    <row r="3344" spans="1:3">
      <c r="A3344" s="6">
        <v>44552</v>
      </c>
      <c r="B3344" s="7">
        <v>2.2744</v>
      </c>
      <c r="C3344" s="7">
        <v>2.6473</v>
      </c>
    </row>
    <row r="3345" spans="1:3">
      <c r="A3345" s="6">
        <v>44553</v>
      </c>
      <c r="B3345" s="7">
        <v>2.2592</v>
      </c>
      <c r="C3345" s="7">
        <v>2.623</v>
      </c>
    </row>
    <row r="3346" spans="1:3">
      <c r="A3346" s="6">
        <v>44554</v>
      </c>
      <c r="B3346" s="7">
        <v>2.2574</v>
      </c>
      <c r="C3346" s="7">
        <v>2.6197</v>
      </c>
    </row>
    <row r="3347" spans="1:3">
      <c r="A3347" s="6">
        <v>44557</v>
      </c>
      <c r="B3347" s="7">
        <v>2.2424</v>
      </c>
      <c r="C3347" s="7">
        <v>2.5926</v>
      </c>
    </row>
    <row r="3348" spans="1:3">
      <c r="A3348" s="6">
        <v>44558</v>
      </c>
      <c r="B3348" s="7">
        <v>2.2418</v>
      </c>
      <c r="C3348" s="7">
        <v>2.5911</v>
      </c>
    </row>
    <row r="3349" spans="1:3">
      <c r="A3349" s="6">
        <v>44559</v>
      </c>
      <c r="B3349" s="7">
        <v>2.2231</v>
      </c>
      <c r="C3349" s="7">
        <v>2.5659</v>
      </c>
    </row>
    <row r="3350" spans="1:3">
      <c r="A3350" s="6">
        <v>44560</v>
      </c>
      <c r="B3350" s="7">
        <v>2.2137</v>
      </c>
      <c r="C3350" s="7">
        <v>2.5556</v>
      </c>
    </row>
    <row r="3351" spans="1:3">
      <c r="A3351" s="6">
        <v>44561</v>
      </c>
      <c r="B3351" s="7">
        <v>2.198</v>
      </c>
      <c r="C3351" s="7">
        <v>2.5593</v>
      </c>
    </row>
    <row r="3352" spans="1:3">
      <c r="A3352" s="6">
        <v>44565</v>
      </c>
      <c r="B3352" s="7">
        <v>2.2214</v>
      </c>
      <c r="C3352" s="7">
        <v>2.5802</v>
      </c>
    </row>
    <row r="3353" spans="1:3">
      <c r="A3353" s="6">
        <v>44566</v>
      </c>
      <c r="B3353" s="7">
        <v>2.2193</v>
      </c>
      <c r="C3353" s="7">
        <v>2.5808</v>
      </c>
    </row>
    <row r="3354" spans="1:3">
      <c r="A3354" s="6">
        <v>44567</v>
      </c>
      <c r="B3354" s="7">
        <v>2.2439</v>
      </c>
      <c r="C3354" s="7">
        <v>2.6052</v>
      </c>
    </row>
    <row r="3355" spans="1:3">
      <c r="A3355" s="6">
        <v>44568</v>
      </c>
      <c r="B3355" s="7">
        <v>2.2383</v>
      </c>
      <c r="C3355" s="7">
        <v>2.6027</v>
      </c>
    </row>
    <row r="3356" spans="1:3">
      <c r="A3356" s="6">
        <v>44571</v>
      </c>
      <c r="B3356" s="7">
        <v>2.2237</v>
      </c>
      <c r="C3356" s="7">
        <v>2.5829</v>
      </c>
    </row>
    <row r="3357" spans="1:3">
      <c r="A3357" s="6">
        <v>44572</v>
      </c>
      <c r="B3357" s="7">
        <v>2.2201</v>
      </c>
      <c r="C3357" s="7">
        <v>2.5742</v>
      </c>
    </row>
    <row r="3358" spans="1:3">
      <c r="A3358" s="6">
        <v>44573</v>
      </c>
      <c r="B3358" s="7">
        <v>2.216</v>
      </c>
      <c r="C3358" s="7">
        <v>2.5621</v>
      </c>
    </row>
    <row r="3359" spans="1:3">
      <c r="A3359" s="6">
        <v>44574</v>
      </c>
      <c r="B3359" s="7">
        <v>2.2202</v>
      </c>
      <c r="C3359" s="7">
        <v>2.5684</v>
      </c>
    </row>
    <row r="3360" spans="1:3">
      <c r="A3360" s="6">
        <v>44575</v>
      </c>
      <c r="B3360" s="7">
        <v>2.218</v>
      </c>
      <c r="C3360" s="7">
        <v>2.5686</v>
      </c>
    </row>
    <row r="3361" spans="1:3">
      <c r="A3361" s="6">
        <v>44578</v>
      </c>
      <c r="B3361" s="7">
        <v>2.1738</v>
      </c>
      <c r="C3361" s="7">
        <v>2.5396</v>
      </c>
    </row>
    <row r="3362" spans="1:3">
      <c r="A3362" s="6">
        <v>44579</v>
      </c>
      <c r="B3362" s="7">
        <v>2.1285</v>
      </c>
      <c r="C3362" s="7">
        <v>2.4914</v>
      </c>
    </row>
    <row r="3363" spans="1:3">
      <c r="A3363" s="6">
        <v>44580</v>
      </c>
      <c r="B3363" s="7">
        <v>2.1054</v>
      </c>
      <c r="C3363" s="7">
        <v>2.442</v>
      </c>
    </row>
    <row r="3364" spans="1:3">
      <c r="A3364" s="6">
        <v>44581</v>
      </c>
      <c r="B3364" s="7">
        <v>2.1155</v>
      </c>
      <c r="C3364" s="7">
        <v>2.4539</v>
      </c>
    </row>
    <row r="3365" spans="1:3">
      <c r="A3365" s="6">
        <v>44582</v>
      </c>
      <c r="B3365" s="7">
        <v>2.1074</v>
      </c>
      <c r="C3365" s="7">
        <v>2.4362</v>
      </c>
    </row>
    <row r="3366" spans="1:3">
      <c r="A3366" s="6">
        <v>44585</v>
      </c>
      <c r="B3366" s="7">
        <v>2.0868</v>
      </c>
      <c r="C3366" s="7">
        <v>2.4099</v>
      </c>
    </row>
    <row r="3367" spans="1:3">
      <c r="A3367" s="6">
        <v>44586</v>
      </c>
      <c r="B3367" s="7">
        <v>2.0952</v>
      </c>
      <c r="C3367" s="7">
        <v>2.4237</v>
      </c>
    </row>
    <row r="3368" spans="1:3">
      <c r="A3368" s="6">
        <v>44587</v>
      </c>
      <c r="B3368" s="7">
        <v>2.1104</v>
      </c>
      <c r="C3368" s="7">
        <v>2.4499</v>
      </c>
    </row>
    <row r="3369" spans="1:3">
      <c r="A3369" s="6">
        <v>44588</v>
      </c>
      <c r="B3369" s="7">
        <v>2.1138</v>
      </c>
      <c r="C3369" s="7">
        <v>2.4526</v>
      </c>
    </row>
    <row r="3370" spans="1:3">
      <c r="A3370" s="6">
        <v>44589</v>
      </c>
      <c r="B3370" s="7">
        <v>2.0964</v>
      </c>
      <c r="C3370" s="7">
        <v>2.4212</v>
      </c>
    </row>
    <row r="3371" spans="1:3">
      <c r="A3371" s="6">
        <v>44590</v>
      </c>
      <c r="B3371" s="7">
        <v>2.0888</v>
      </c>
      <c r="C3371" s="7">
        <v>2.4136</v>
      </c>
    </row>
    <row r="3372" spans="1:3">
      <c r="A3372" s="6">
        <v>44599</v>
      </c>
      <c r="B3372" s="7">
        <v>2.1051</v>
      </c>
      <c r="C3372" s="7">
        <v>2.4375</v>
      </c>
    </row>
    <row r="3373" spans="1:3">
      <c r="A3373" s="6">
        <v>44600</v>
      </c>
      <c r="B3373" s="7">
        <v>2.1001</v>
      </c>
      <c r="C3373" s="7">
        <v>2.4382</v>
      </c>
    </row>
    <row r="3374" spans="1:3">
      <c r="A3374" s="6">
        <v>44601</v>
      </c>
      <c r="B3374" s="7">
        <v>2.1084</v>
      </c>
      <c r="C3374" s="7">
        <v>2.4573</v>
      </c>
    </row>
    <row r="3375" spans="1:3">
      <c r="A3375" s="6">
        <v>44602</v>
      </c>
      <c r="B3375" s="7">
        <v>2.101</v>
      </c>
      <c r="C3375" s="7">
        <v>2.4526</v>
      </c>
    </row>
    <row r="3376" spans="1:3">
      <c r="A3376" s="6">
        <v>44603</v>
      </c>
      <c r="B3376" s="7">
        <v>2.1488</v>
      </c>
      <c r="C3376" s="7">
        <v>2.5211</v>
      </c>
    </row>
    <row r="3377" spans="1:3">
      <c r="A3377" s="6">
        <v>44606</v>
      </c>
      <c r="B3377" s="7">
        <v>2.1615</v>
      </c>
      <c r="C3377" s="7">
        <v>2.5396</v>
      </c>
    </row>
    <row r="3378" spans="1:3">
      <c r="A3378" s="6">
        <v>44607</v>
      </c>
      <c r="B3378" s="7">
        <v>2.1544</v>
      </c>
      <c r="C3378" s="7">
        <v>2.5291</v>
      </c>
    </row>
    <row r="3379" spans="1:3">
      <c r="A3379" s="6">
        <v>44608</v>
      </c>
      <c r="B3379" s="7">
        <v>2.1566</v>
      </c>
      <c r="C3379" s="7">
        <v>2.5121</v>
      </c>
    </row>
    <row r="3380" spans="1:3">
      <c r="A3380" s="6">
        <v>44609</v>
      </c>
      <c r="B3380" s="7">
        <v>2.1503</v>
      </c>
      <c r="C3380" s="7">
        <v>2.5158</v>
      </c>
    </row>
    <row r="3381" spans="1:3">
      <c r="A3381" s="6">
        <v>44610</v>
      </c>
      <c r="B3381" s="7">
        <v>2.1652</v>
      </c>
      <c r="C3381" s="7">
        <v>2.534</v>
      </c>
    </row>
    <row r="3382" spans="1:3">
      <c r="A3382" s="6">
        <v>44613</v>
      </c>
      <c r="B3382" s="7">
        <v>2.1936</v>
      </c>
      <c r="C3382" s="7">
        <v>2.5847</v>
      </c>
    </row>
    <row r="3383" spans="1:3">
      <c r="A3383" s="6">
        <v>44614</v>
      </c>
      <c r="B3383" s="7">
        <v>2.2197</v>
      </c>
      <c r="C3383" s="7">
        <v>2.6103</v>
      </c>
    </row>
    <row r="3384" spans="1:3">
      <c r="A3384" s="6">
        <v>44615</v>
      </c>
      <c r="B3384" s="7">
        <v>2.2006</v>
      </c>
      <c r="C3384" s="7">
        <v>2.5855</v>
      </c>
    </row>
    <row r="3385" spans="1:3">
      <c r="A3385" s="6">
        <v>44616</v>
      </c>
      <c r="B3385" s="7">
        <v>2.1969</v>
      </c>
      <c r="C3385" s="7">
        <v>2.5708</v>
      </c>
    </row>
    <row r="3386" spans="1:3">
      <c r="A3386" s="6">
        <v>44617</v>
      </c>
      <c r="B3386" s="7">
        <v>2.2024</v>
      </c>
      <c r="C3386" s="7">
        <v>2.5799</v>
      </c>
    </row>
    <row r="3387" spans="1:3">
      <c r="A3387" s="6">
        <v>44620</v>
      </c>
      <c r="B3387" s="7">
        <v>2.1757</v>
      </c>
      <c r="C3387" s="7">
        <v>2.5544</v>
      </c>
    </row>
    <row r="3388" spans="1:3">
      <c r="A3388" s="6">
        <v>44621</v>
      </c>
      <c r="B3388" s="7">
        <v>2.1958</v>
      </c>
      <c r="C3388" s="7">
        <v>2.5833</v>
      </c>
    </row>
    <row r="3389" spans="1:3">
      <c r="A3389" s="6">
        <v>44622</v>
      </c>
      <c r="B3389" s="7">
        <v>2.2072</v>
      </c>
      <c r="C3389" s="7">
        <v>2.6051</v>
      </c>
    </row>
    <row r="3390" spans="1:3">
      <c r="A3390" s="6">
        <v>44623</v>
      </c>
      <c r="B3390" s="7">
        <v>2.2319</v>
      </c>
      <c r="C3390" s="7">
        <v>2.6277</v>
      </c>
    </row>
    <row r="3391" spans="1:3">
      <c r="A3391" s="6">
        <v>44624</v>
      </c>
      <c r="B3391" s="7">
        <v>2.2268</v>
      </c>
      <c r="C3391" s="7">
        <v>2.6206</v>
      </c>
    </row>
    <row r="3392" spans="1:3">
      <c r="A3392" s="6">
        <v>44627</v>
      </c>
      <c r="B3392" s="7">
        <v>2.2155</v>
      </c>
      <c r="C3392" s="7">
        <v>2.6106</v>
      </c>
    </row>
    <row r="3393" spans="1:3">
      <c r="A3393" s="6">
        <v>44628</v>
      </c>
      <c r="B3393" s="7">
        <v>2.1978</v>
      </c>
      <c r="C3393" s="7">
        <v>2.5847</v>
      </c>
    </row>
    <row r="3394" spans="1:3">
      <c r="A3394" s="6">
        <v>44629</v>
      </c>
      <c r="B3394" s="7">
        <v>2.2253</v>
      </c>
      <c r="C3394" s="7">
        <v>2.6209</v>
      </c>
    </row>
    <row r="3395" spans="1:3">
      <c r="A3395" s="6">
        <v>44630</v>
      </c>
      <c r="B3395" s="7">
        <v>2.2326</v>
      </c>
      <c r="C3395" s="7">
        <v>2.6233</v>
      </c>
    </row>
    <row r="3396" spans="1:3">
      <c r="A3396" s="6">
        <v>44631</v>
      </c>
      <c r="B3396" s="7">
        <v>2.2122</v>
      </c>
      <c r="C3396" s="7">
        <v>2.6043</v>
      </c>
    </row>
    <row r="3397" spans="1:3">
      <c r="A3397" s="6">
        <v>44634</v>
      </c>
      <c r="B3397" s="7">
        <v>2.1373</v>
      </c>
      <c r="C3397" s="7">
        <v>2.5172</v>
      </c>
    </row>
    <row r="3398" spans="1:3">
      <c r="A3398" s="6">
        <v>44635</v>
      </c>
      <c r="B3398" s="7">
        <v>2.1889</v>
      </c>
      <c r="C3398" s="7">
        <v>2.5658</v>
      </c>
    </row>
    <row r="3399" spans="1:3">
      <c r="A3399" s="6">
        <v>44636</v>
      </c>
      <c r="B3399" s="7">
        <v>2.1912</v>
      </c>
      <c r="C3399" s="7">
        <v>2.5683</v>
      </c>
    </row>
    <row r="3400" spans="1:3">
      <c r="A3400" s="6">
        <v>44637</v>
      </c>
      <c r="B3400" s="7">
        <v>2.1587</v>
      </c>
      <c r="C3400" s="7">
        <v>2.5462</v>
      </c>
    </row>
    <row r="3401" spans="1:3">
      <c r="A3401" s="6">
        <v>44638</v>
      </c>
      <c r="B3401" s="7">
        <v>2.1618</v>
      </c>
      <c r="C3401" s="7">
        <v>2.5379</v>
      </c>
    </row>
    <row r="3402" spans="1:3">
      <c r="A3402" s="6">
        <v>44641</v>
      </c>
      <c r="B3402" s="7">
        <v>2.1816</v>
      </c>
      <c r="C3402" s="7">
        <v>2.5612</v>
      </c>
    </row>
    <row r="3403" spans="1:3">
      <c r="A3403" s="6">
        <v>44642</v>
      </c>
      <c r="B3403" s="7">
        <v>2.207</v>
      </c>
      <c r="C3403" s="7">
        <v>2.5916</v>
      </c>
    </row>
    <row r="3404" spans="1:3">
      <c r="A3404" s="6">
        <v>44643</v>
      </c>
      <c r="B3404" s="7">
        <v>2.2043</v>
      </c>
      <c r="C3404" s="7">
        <v>2.5848</v>
      </c>
    </row>
    <row r="3405" spans="1:3">
      <c r="A3405" s="6">
        <v>44644</v>
      </c>
      <c r="B3405" s="7">
        <v>2.2031</v>
      </c>
      <c r="C3405" s="7">
        <v>2.5806</v>
      </c>
    </row>
    <row r="3406" spans="1:3">
      <c r="A3406" s="6">
        <v>44645</v>
      </c>
      <c r="B3406" s="7">
        <v>2.2011</v>
      </c>
      <c r="C3406" s="7">
        <v>2.5682</v>
      </c>
    </row>
    <row r="3407" spans="1:3">
      <c r="A3407" s="6">
        <v>44648</v>
      </c>
      <c r="B3407" s="7">
        <v>2.2112</v>
      </c>
      <c r="C3407" s="7">
        <v>2.5712</v>
      </c>
    </row>
    <row r="3408" spans="1:3">
      <c r="A3408" s="6">
        <v>44649</v>
      </c>
      <c r="B3408" s="7">
        <v>2.2097</v>
      </c>
      <c r="C3408" s="7">
        <v>2.5772</v>
      </c>
    </row>
    <row r="3409" spans="1:3">
      <c r="A3409" s="6">
        <v>44650</v>
      </c>
      <c r="B3409" s="7">
        <v>2.197</v>
      </c>
      <c r="C3409" s="7">
        <v>2.5514</v>
      </c>
    </row>
    <row r="3410" spans="1:3">
      <c r="A3410" s="6">
        <v>44651</v>
      </c>
      <c r="B3410" s="7">
        <v>2.1907</v>
      </c>
      <c r="C3410" s="7">
        <v>2.5606</v>
      </c>
    </row>
    <row r="3411" spans="1:3">
      <c r="A3411" s="6">
        <v>44652</v>
      </c>
      <c r="B3411" s="7">
        <v>2.1765</v>
      </c>
      <c r="C3411" s="7">
        <v>2.5502</v>
      </c>
    </row>
    <row r="3412" spans="1:3">
      <c r="A3412" s="6">
        <v>44657</v>
      </c>
      <c r="B3412" s="7">
        <v>2.1646</v>
      </c>
      <c r="C3412" s="7">
        <v>2.5364</v>
      </c>
    </row>
    <row r="3413" spans="1:3">
      <c r="A3413" s="6">
        <v>44658</v>
      </c>
      <c r="B3413" s="7">
        <v>2.1617</v>
      </c>
      <c r="C3413" s="7">
        <v>2.5209</v>
      </c>
    </row>
    <row r="3414" spans="1:3">
      <c r="A3414" s="6">
        <v>44659</v>
      </c>
      <c r="B3414" s="7">
        <v>2.1598</v>
      </c>
      <c r="C3414" s="7">
        <v>2.518</v>
      </c>
    </row>
    <row r="3415" spans="1:3">
      <c r="A3415" s="6">
        <v>44662</v>
      </c>
      <c r="B3415" s="7">
        <v>2.1677</v>
      </c>
      <c r="C3415" s="7">
        <v>2.5394</v>
      </c>
    </row>
    <row r="3416" spans="1:3">
      <c r="A3416" s="6">
        <v>44663</v>
      </c>
      <c r="B3416" s="7">
        <v>2.1714</v>
      </c>
      <c r="C3416" s="7">
        <v>2.5421</v>
      </c>
    </row>
    <row r="3417" spans="1:3">
      <c r="A3417" s="6">
        <v>44664</v>
      </c>
      <c r="B3417" s="7">
        <v>2.1679</v>
      </c>
      <c r="C3417" s="7">
        <v>2.5337</v>
      </c>
    </row>
    <row r="3418" spans="1:3">
      <c r="A3418" s="6">
        <v>44665</v>
      </c>
      <c r="B3418" s="7">
        <v>2.148</v>
      </c>
      <c r="C3418" s="7">
        <v>2.5149</v>
      </c>
    </row>
    <row r="3419" spans="1:3">
      <c r="A3419" s="6">
        <v>44666</v>
      </c>
      <c r="B3419" s="7">
        <v>2.1345</v>
      </c>
      <c r="C3419" s="7">
        <v>2.5113</v>
      </c>
    </row>
    <row r="3420" spans="1:3">
      <c r="A3420" s="6">
        <v>44669</v>
      </c>
      <c r="B3420" s="7">
        <v>2.1704</v>
      </c>
      <c r="C3420" s="7">
        <v>2.5601</v>
      </c>
    </row>
    <row r="3421" spans="1:3">
      <c r="A3421" s="6">
        <v>44670</v>
      </c>
      <c r="B3421" s="7">
        <v>2.1672</v>
      </c>
      <c r="C3421" s="7">
        <v>2.5632</v>
      </c>
    </row>
    <row r="3422" spans="1:3">
      <c r="A3422" s="6">
        <v>44671</v>
      </c>
      <c r="B3422" s="7">
        <v>2.181</v>
      </c>
      <c r="C3422" s="7">
        <v>2.5817</v>
      </c>
    </row>
    <row r="3423" spans="1:3">
      <c r="A3423" s="6">
        <v>44672</v>
      </c>
      <c r="B3423" s="7">
        <v>2.1698</v>
      </c>
      <c r="C3423" s="7">
        <v>2.5703</v>
      </c>
    </row>
    <row r="3424" spans="1:3">
      <c r="A3424" s="6">
        <v>44673</v>
      </c>
      <c r="B3424" s="7">
        <v>2.1723</v>
      </c>
      <c r="C3424" s="7">
        <v>2.5833</v>
      </c>
    </row>
    <row r="3425" spans="1:3">
      <c r="A3425" s="6">
        <v>44675</v>
      </c>
      <c r="B3425" s="7">
        <v>2.1752</v>
      </c>
      <c r="C3425" s="7">
        <v>2.5894</v>
      </c>
    </row>
    <row r="3426" spans="1:3">
      <c r="A3426" s="6">
        <v>44676</v>
      </c>
      <c r="B3426" s="7">
        <v>2.1586</v>
      </c>
      <c r="C3426" s="7">
        <v>2.5699</v>
      </c>
    </row>
    <row r="3427" spans="1:3">
      <c r="A3427" s="6">
        <v>44677</v>
      </c>
      <c r="B3427" s="7">
        <v>2.1453</v>
      </c>
      <c r="C3427" s="7">
        <v>2.5594</v>
      </c>
    </row>
    <row r="3428" spans="1:3">
      <c r="A3428" s="6">
        <v>44678</v>
      </c>
      <c r="B3428" s="7">
        <v>2.1676</v>
      </c>
      <c r="C3428" s="7">
        <v>2.577</v>
      </c>
    </row>
    <row r="3429" spans="1:3">
      <c r="A3429" s="6">
        <v>44679</v>
      </c>
      <c r="B3429" s="7">
        <v>2.1894</v>
      </c>
      <c r="C3429" s="7">
        <v>2.605</v>
      </c>
    </row>
    <row r="3430" spans="1:3">
      <c r="A3430" s="6">
        <v>44680</v>
      </c>
      <c r="B3430" s="7">
        <v>2.1826</v>
      </c>
      <c r="C3430" s="7">
        <v>2.5868</v>
      </c>
    </row>
    <row r="3431" spans="1:3">
      <c r="A3431" s="6">
        <v>44686</v>
      </c>
      <c r="B3431" s="7">
        <v>2.1722</v>
      </c>
      <c r="C3431" s="7">
        <v>2.5774</v>
      </c>
    </row>
    <row r="3432" spans="1:3">
      <c r="A3432" s="6">
        <v>44687</v>
      </c>
      <c r="B3432" s="7">
        <v>2.1727</v>
      </c>
      <c r="C3432" s="7">
        <v>2.5885</v>
      </c>
    </row>
    <row r="3433" spans="1:3">
      <c r="A3433" s="6">
        <v>44690</v>
      </c>
      <c r="B3433" s="7">
        <v>2.1626</v>
      </c>
      <c r="C3433" s="7">
        <v>2.5786</v>
      </c>
    </row>
    <row r="3434" spans="1:3">
      <c r="A3434" s="6">
        <v>44691</v>
      </c>
      <c r="B3434" s="7">
        <v>2.1296</v>
      </c>
      <c r="C3434" s="7">
        <v>2.5474</v>
      </c>
    </row>
    <row r="3435" spans="1:3">
      <c r="A3435" s="6">
        <v>44692</v>
      </c>
      <c r="B3435" s="7">
        <v>2.1392</v>
      </c>
      <c r="C3435" s="7">
        <v>2.563</v>
      </c>
    </row>
    <row r="3436" spans="1:3">
      <c r="A3436" s="6">
        <v>44693</v>
      </c>
      <c r="B3436" s="7">
        <v>2.1186</v>
      </c>
      <c r="C3436" s="7">
        <v>2.5473</v>
      </c>
    </row>
    <row r="3437" spans="1:3">
      <c r="A3437" s="6">
        <v>44694</v>
      </c>
      <c r="B3437" s="7">
        <v>2.102</v>
      </c>
      <c r="C3437" s="7">
        <v>2.5392</v>
      </c>
    </row>
    <row r="3438" spans="1:3">
      <c r="A3438" s="6">
        <v>44697</v>
      </c>
      <c r="B3438" s="7">
        <v>2.1028</v>
      </c>
      <c r="C3438" s="7">
        <v>2.5503</v>
      </c>
    </row>
    <row r="3439" spans="1:3">
      <c r="A3439" s="6">
        <v>44698</v>
      </c>
      <c r="B3439" s="7">
        <v>2.0817</v>
      </c>
      <c r="C3439" s="7">
        <v>2.5327</v>
      </c>
    </row>
    <row r="3440" spans="1:3">
      <c r="A3440" s="6">
        <v>44699</v>
      </c>
      <c r="B3440" s="7">
        <v>2.0668</v>
      </c>
      <c r="C3440" s="7">
        <v>2.5083</v>
      </c>
    </row>
    <row r="3441" spans="1:3">
      <c r="A3441" s="6">
        <v>44700</v>
      </c>
      <c r="B3441" s="7">
        <v>2.0641</v>
      </c>
      <c r="C3441" s="7">
        <v>2.4973</v>
      </c>
    </row>
    <row r="3442" spans="1:3">
      <c r="A3442" s="6">
        <v>44701</v>
      </c>
      <c r="B3442" s="7">
        <v>2.0751</v>
      </c>
      <c r="C3442" s="7">
        <v>2.5124</v>
      </c>
    </row>
    <row r="3443" spans="1:3">
      <c r="A3443" s="6">
        <v>44704</v>
      </c>
      <c r="B3443" s="7">
        <v>2.0555</v>
      </c>
      <c r="C3443" s="7">
        <v>2.5069</v>
      </c>
    </row>
    <row r="3444" spans="1:3">
      <c r="A3444" s="6">
        <v>44705</v>
      </c>
      <c r="B3444" s="7">
        <v>2.0637</v>
      </c>
      <c r="C3444" s="7">
        <v>2.507</v>
      </c>
    </row>
    <row r="3445" spans="1:3">
      <c r="A3445" s="6">
        <v>44706</v>
      </c>
      <c r="B3445" s="7">
        <v>2.0763</v>
      </c>
      <c r="C3445" s="7">
        <v>2.5106</v>
      </c>
    </row>
    <row r="3446" spans="1:3">
      <c r="A3446" s="6">
        <v>44707</v>
      </c>
      <c r="B3446" s="7">
        <v>2.0425</v>
      </c>
      <c r="C3446" s="7">
        <v>2.4637</v>
      </c>
    </row>
    <row r="3447" spans="1:3">
      <c r="A3447" s="6">
        <v>44708</v>
      </c>
      <c r="B3447" s="7">
        <v>2.0372</v>
      </c>
      <c r="C3447" s="7">
        <v>2.4586</v>
      </c>
    </row>
    <row r="3448" spans="1:3">
      <c r="A3448" s="6">
        <v>44711</v>
      </c>
      <c r="B3448" s="7">
        <v>2.0583</v>
      </c>
      <c r="C3448" s="7">
        <v>2.4879</v>
      </c>
    </row>
    <row r="3449" spans="1:3">
      <c r="A3449" s="6">
        <v>44712</v>
      </c>
      <c r="B3449" s="7">
        <v>2.0897</v>
      </c>
      <c r="C3449" s="7">
        <v>2.5229</v>
      </c>
    </row>
    <row r="3450" spans="1:3">
      <c r="A3450" s="6">
        <v>44713</v>
      </c>
      <c r="B3450" s="7">
        <v>2.0815</v>
      </c>
      <c r="C3450" s="7">
        <v>2.5254</v>
      </c>
    </row>
    <row r="3451" spans="1:3">
      <c r="A3451" s="6">
        <v>44714</v>
      </c>
      <c r="B3451" s="7">
        <v>2.0917</v>
      </c>
      <c r="C3451" s="7">
        <v>2.5397</v>
      </c>
    </row>
    <row r="3452" spans="1:3">
      <c r="A3452" s="6">
        <v>44718</v>
      </c>
      <c r="B3452" s="7">
        <v>2.1125</v>
      </c>
      <c r="C3452" s="7">
        <v>2.5583</v>
      </c>
    </row>
    <row r="3453" spans="1:3">
      <c r="A3453" s="6">
        <v>44719</v>
      </c>
      <c r="B3453" s="7">
        <v>2.12</v>
      </c>
      <c r="C3453" s="7">
        <v>2.5627</v>
      </c>
    </row>
    <row r="3454" spans="1:3">
      <c r="A3454" s="6">
        <v>44720</v>
      </c>
      <c r="B3454" s="7">
        <v>2.1052</v>
      </c>
      <c r="C3454" s="7">
        <v>2.55</v>
      </c>
    </row>
    <row r="3455" spans="1:3">
      <c r="A3455" s="6">
        <v>44721</v>
      </c>
      <c r="B3455" s="7">
        <v>2.0984</v>
      </c>
      <c r="C3455" s="7">
        <v>2.5421</v>
      </c>
    </row>
    <row r="3456" spans="1:3">
      <c r="A3456" s="6">
        <v>44722</v>
      </c>
      <c r="B3456" s="7">
        <v>2.0934</v>
      </c>
      <c r="C3456" s="7">
        <v>2.5368</v>
      </c>
    </row>
    <row r="3457" spans="1:3">
      <c r="A3457" s="6">
        <v>44725</v>
      </c>
      <c r="B3457" s="7">
        <v>2.1035</v>
      </c>
      <c r="C3457" s="7">
        <v>2.5507</v>
      </c>
    </row>
    <row r="3458" spans="1:3">
      <c r="A3458" s="6">
        <v>44726</v>
      </c>
      <c r="B3458" s="7">
        <v>2.1193</v>
      </c>
      <c r="C3458" s="7">
        <v>2.5675</v>
      </c>
    </row>
    <row r="3459" spans="1:3">
      <c r="A3459" s="6">
        <v>44727</v>
      </c>
      <c r="B3459" s="7">
        <v>2.127</v>
      </c>
      <c r="C3459" s="7">
        <v>2.5755</v>
      </c>
    </row>
    <row r="3460" spans="1:3">
      <c r="A3460" s="6">
        <v>44728</v>
      </c>
      <c r="B3460" s="7">
        <v>2.1182</v>
      </c>
      <c r="C3460" s="7">
        <v>2.5698</v>
      </c>
    </row>
    <row r="3461" spans="1:3">
      <c r="A3461" s="6">
        <v>44729</v>
      </c>
      <c r="B3461" s="7">
        <v>2.1058</v>
      </c>
      <c r="C3461" s="7">
        <v>2.5594</v>
      </c>
    </row>
    <row r="3462" spans="1:3">
      <c r="A3462" s="6">
        <v>44732</v>
      </c>
      <c r="B3462" s="7">
        <v>2.1311</v>
      </c>
      <c r="C3462" s="7">
        <v>2.5829</v>
      </c>
    </row>
    <row r="3463" spans="1:3">
      <c r="A3463" s="6">
        <v>44733</v>
      </c>
      <c r="B3463" s="7">
        <v>2.1409</v>
      </c>
      <c r="C3463" s="7">
        <v>2.5907</v>
      </c>
    </row>
    <row r="3464" spans="1:3">
      <c r="A3464" s="6">
        <v>44734</v>
      </c>
      <c r="B3464" s="7">
        <v>2.1308</v>
      </c>
      <c r="C3464" s="7">
        <v>2.58</v>
      </c>
    </row>
    <row r="3465" spans="1:3">
      <c r="A3465" s="6">
        <v>44735</v>
      </c>
      <c r="B3465" s="7">
        <v>2.126</v>
      </c>
      <c r="C3465" s="7">
        <v>2.5744</v>
      </c>
    </row>
    <row r="3466" spans="1:3">
      <c r="A3466" s="6">
        <v>44736</v>
      </c>
      <c r="B3466" s="7">
        <v>2.1468</v>
      </c>
      <c r="C3466" s="7">
        <v>2.5956</v>
      </c>
    </row>
    <row r="3467" spans="1:3">
      <c r="A3467" s="6">
        <v>44739</v>
      </c>
      <c r="B3467" s="7">
        <v>2.1878</v>
      </c>
      <c r="C3467" s="7">
        <v>2.6396</v>
      </c>
    </row>
    <row r="3468" spans="1:3">
      <c r="A3468" s="6">
        <v>44740</v>
      </c>
      <c r="B3468" s="7">
        <v>2.1855</v>
      </c>
      <c r="C3468" s="7">
        <v>2.6508</v>
      </c>
    </row>
    <row r="3469" spans="1:3">
      <c r="A3469" s="6">
        <v>44741</v>
      </c>
      <c r="B3469" s="7">
        <v>2.1797</v>
      </c>
      <c r="C3469" s="7">
        <v>2.6478</v>
      </c>
    </row>
    <row r="3470" spans="1:3">
      <c r="A3470" s="6">
        <v>44742</v>
      </c>
      <c r="B3470" s="7">
        <v>2.1652</v>
      </c>
      <c r="C3470" s="7">
        <v>2.6323</v>
      </c>
    </row>
    <row r="3471" spans="1:3">
      <c r="A3471" s="6">
        <v>44743</v>
      </c>
      <c r="B3471" s="7">
        <v>2.1413</v>
      </c>
      <c r="C3471" s="7">
        <v>2.6202</v>
      </c>
    </row>
    <row r="3472" spans="1:3">
      <c r="A3472" s="6">
        <v>44746</v>
      </c>
      <c r="B3472" s="7">
        <v>2.2051</v>
      </c>
      <c r="C3472" s="7">
        <v>2.6656</v>
      </c>
    </row>
    <row r="3473" spans="1:3">
      <c r="A3473" s="6">
        <v>44747</v>
      </c>
      <c r="B3473" s="7">
        <v>2.2095</v>
      </c>
      <c r="C3473" s="7">
        <v>2.6858</v>
      </c>
    </row>
    <row r="3474" spans="1:3">
      <c r="A3474" s="6">
        <v>44748</v>
      </c>
      <c r="B3474" s="7">
        <v>2.1925</v>
      </c>
      <c r="C3474" s="7">
        <v>2.6684</v>
      </c>
    </row>
    <row r="3475" spans="1:3">
      <c r="A3475" s="6">
        <v>44749</v>
      </c>
      <c r="B3475" s="7">
        <v>2.1962</v>
      </c>
      <c r="C3475" s="7">
        <v>2.6721</v>
      </c>
    </row>
    <row r="3476" spans="1:3">
      <c r="A3476" s="6">
        <v>44750</v>
      </c>
      <c r="B3476" s="7">
        <v>2.1903</v>
      </c>
      <c r="C3476" s="7">
        <v>2.6721</v>
      </c>
    </row>
    <row r="3477" spans="1:3">
      <c r="A3477" s="6">
        <v>44753</v>
      </c>
      <c r="B3477" s="7">
        <v>2.1567</v>
      </c>
      <c r="C3477" s="7">
        <v>2.6447</v>
      </c>
    </row>
    <row r="3478" spans="1:3">
      <c r="A3478" s="6">
        <v>44754</v>
      </c>
      <c r="B3478" s="7">
        <v>2.1309</v>
      </c>
      <c r="C3478" s="7">
        <v>2.6147</v>
      </c>
    </row>
    <row r="3479" spans="1:3">
      <c r="A3479" s="6">
        <v>44755</v>
      </c>
      <c r="B3479" s="7">
        <v>2.1196</v>
      </c>
      <c r="C3479" s="7">
        <v>2.5962</v>
      </c>
    </row>
    <row r="3480" spans="1:3">
      <c r="A3480" s="6">
        <v>44756</v>
      </c>
      <c r="B3480" s="7">
        <v>2.1007</v>
      </c>
      <c r="C3480" s="7">
        <v>2.5832</v>
      </c>
    </row>
    <row r="3481" spans="1:3">
      <c r="A3481" s="6">
        <v>44757</v>
      </c>
      <c r="B3481" s="7">
        <v>2.0883</v>
      </c>
      <c r="C3481" s="7">
        <v>2.5674</v>
      </c>
    </row>
    <row r="3482" spans="1:3">
      <c r="A3482" s="6">
        <v>44760</v>
      </c>
      <c r="B3482" s="7">
        <v>2.0808</v>
      </c>
      <c r="C3482" s="7">
        <v>2.5641</v>
      </c>
    </row>
    <row r="3483" spans="1:3">
      <c r="A3483" s="6">
        <v>44761</v>
      </c>
      <c r="B3483" s="7">
        <v>2.0875</v>
      </c>
      <c r="C3483" s="7">
        <v>2.5735</v>
      </c>
    </row>
    <row r="3484" spans="1:3">
      <c r="A3484" s="6">
        <v>44762</v>
      </c>
      <c r="B3484" s="7">
        <v>2.0793</v>
      </c>
      <c r="C3484" s="7">
        <v>2.5611</v>
      </c>
    </row>
    <row r="3485" spans="1:3">
      <c r="A3485" s="6">
        <v>44763</v>
      </c>
      <c r="B3485" s="7">
        <v>2.0574</v>
      </c>
      <c r="C3485" s="7">
        <v>2.5315</v>
      </c>
    </row>
    <row r="3486" spans="1:3">
      <c r="A3486" s="6">
        <v>44764</v>
      </c>
      <c r="B3486" s="7">
        <v>2.0743</v>
      </c>
      <c r="C3486" s="7">
        <v>2.5499</v>
      </c>
    </row>
    <row r="3487" spans="1:3">
      <c r="A3487" s="6">
        <v>44767</v>
      </c>
      <c r="B3487" s="7">
        <v>2.0713</v>
      </c>
      <c r="C3487" s="7">
        <v>2.5459</v>
      </c>
    </row>
    <row r="3488" spans="1:3">
      <c r="A3488" s="6">
        <v>44768</v>
      </c>
      <c r="B3488" s="7">
        <v>2.0618</v>
      </c>
      <c r="C3488" s="7">
        <v>2.5338</v>
      </c>
    </row>
    <row r="3489" spans="1:3">
      <c r="A3489" s="6">
        <v>44769</v>
      </c>
      <c r="B3489" s="7">
        <v>2.056</v>
      </c>
      <c r="C3489" s="7">
        <v>2.5308</v>
      </c>
    </row>
    <row r="3490" spans="1:3">
      <c r="A3490" s="6">
        <v>44770</v>
      </c>
      <c r="B3490" s="7">
        <v>2.0695</v>
      </c>
      <c r="C3490" s="7">
        <v>2.5538</v>
      </c>
    </row>
    <row r="3491" spans="1:3">
      <c r="A3491" s="6">
        <v>44771</v>
      </c>
      <c r="B3491" s="7">
        <v>2.0388</v>
      </c>
      <c r="C3491" s="7">
        <v>2.5253</v>
      </c>
    </row>
    <row r="3492" spans="1:3">
      <c r="A3492" s="6">
        <v>44774</v>
      </c>
      <c r="B3492" s="7">
        <v>2.0158</v>
      </c>
      <c r="C3492" s="7">
        <v>2.5043</v>
      </c>
    </row>
    <row r="3493" spans="1:3">
      <c r="A3493" s="6">
        <v>44775</v>
      </c>
      <c r="B3493" s="7">
        <v>1.9994</v>
      </c>
      <c r="C3493" s="7">
        <v>2.4913</v>
      </c>
    </row>
    <row r="3494" spans="1:3">
      <c r="A3494" s="6">
        <v>44776</v>
      </c>
      <c r="B3494" s="7">
        <v>1.9672</v>
      </c>
      <c r="C3494" s="7">
        <v>2.4784</v>
      </c>
    </row>
    <row r="3495" spans="1:3">
      <c r="A3495" s="6">
        <v>44777</v>
      </c>
      <c r="B3495" s="7">
        <v>1.9063</v>
      </c>
      <c r="C3495" s="7">
        <v>2.4374</v>
      </c>
    </row>
    <row r="3496" spans="1:3">
      <c r="A3496" s="6">
        <v>44778</v>
      </c>
      <c r="B3496" s="7">
        <v>1.9325</v>
      </c>
      <c r="C3496" s="7">
        <v>2.4607</v>
      </c>
    </row>
    <row r="3497" spans="1:3">
      <c r="A3497" s="6">
        <v>44781</v>
      </c>
      <c r="B3497" s="7">
        <v>1.9384</v>
      </c>
      <c r="C3497" s="7">
        <v>2.4742</v>
      </c>
    </row>
    <row r="3498" spans="1:3">
      <c r="A3498" s="6">
        <v>44782</v>
      </c>
      <c r="B3498" s="7">
        <v>1.9788</v>
      </c>
      <c r="C3498" s="7">
        <v>2.5031</v>
      </c>
    </row>
    <row r="3499" spans="1:3">
      <c r="A3499" s="6">
        <v>44783</v>
      </c>
      <c r="B3499" s="7">
        <v>1.9872</v>
      </c>
      <c r="C3499" s="7">
        <v>2.4985</v>
      </c>
    </row>
    <row r="3500" spans="1:3">
      <c r="A3500" s="6">
        <v>44784</v>
      </c>
      <c r="B3500" s="7">
        <v>2.0097</v>
      </c>
      <c r="C3500" s="7">
        <v>2.515</v>
      </c>
    </row>
    <row r="3501" spans="1:3">
      <c r="A3501" s="6">
        <v>44785</v>
      </c>
      <c r="B3501" s="7">
        <v>2.0115</v>
      </c>
      <c r="C3501" s="7">
        <v>2.5156</v>
      </c>
    </row>
    <row r="3502" spans="1:3">
      <c r="A3502" s="6">
        <v>44788</v>
      </c>
      <c r="B3502" s="7">
        <v>1.9164</v>
      </c>
      <c r="C3502" s="7">
        <v>2.418</v>
      </c>
    </row>
    <row r="3503" spans="1:3">
      <c r="A3503" s="6">
        <v>44789</v>
      </c>
      <c r="B3503" s="7">
        <v>1.8897</v>
      </c>
      <c r="C3503" s="7">
        <v>2.393</v>
      </c>
    </row>
    <row r="3504" spans="1:3">
      <c r="A3504" s="6">
        <v>44790</v>
      </c>
      <c r="B3504" s="7">
        <v>1.9046</v>
      </c>
      <c r="C3504" s="7">
        <v>2.413</v>
      </c>
    </row>
    <row r="3505" spans="1:3">
      <c r="A3505" s="6">
        <v>44791</v>
      </c>
      <c r="B3505" s="7">
        <v>1.8854</v>
      </c>
      <c r="C3505" s="7">
        <v>2.3957</v>
      </c>
    </row>
    <row r="3506" spans="1:3">
      <c r="A3506" s="6">
        <v>44792</v>
      </c>
      <c r="B3506" s="7">
        <v>1.8879</v>
      </c>
      <c r="C3506" s="7">
        <v>2.3975</v>
      </c>
    </row>
    <row r="3507" spans="1:3">
      <c r="A3507" s="6">
        <v>44795</v>
      </c>
      <c r="B3507" s="7">
        <v>1.9004</v>
      </c>
      <c r="C3507" s="7">
        <v>2.4029</v>
      </c>
    </row>
    <row r="3508" spans="1:3">
      <c r="A3508" s="6">
        <v>44796</v>
      </c>
      <c r="B3508" s="7">
        <v>1.916</v>
      </c>
      <c r="C3508" s="7">
        <v>2.4221</v>
      </c>
    </row>
    <row r="3509" spans="1:3">
      <c r="A3509" s="6">
        <v>44797</v>
      </c>
      <c r="B3509" s="7">
        <v>1.9149</v>
      </c>
      <c r="C3509" s="7">
        <v>2.4222</v>
      </c>
    </row>
    <row r="3510" spans="1:3">
      <c r="A3510" s="6">
        <v>44798</v>
      </c>
      <c r="B3510" s="7">
        <v>1.9401</v>
      </c>
      <c r="C3510" s="7">
        <v>2.4443</v>
      </c>
    </row>
    <row r="3511" spans="1:3">
      <c r="A3511" s="6">
        <v>44799</v>
      </c>
      <c r="B3511" s="7">
        <v>1.9569</v>
      </c>
      <c r="C3511" s="7">
        <v>2.4536</v>
      </c>
    </row>
    <row r="3512" spans="1:3">
      <c r="A3512" s="6">
        <v>44802</v>
      </c>
      <c r="B3512" s="7">
        <v>1.941</v>
      </c>
      <c r="C3512" s="7">
        <v>2.4436</v>
      </c>
    </row>
    <row r="3513" spans="1:3">
      <c r="A3513" s="6">
        <v>44803</v>
      </c>
      <c r="B3513" s="7">
        <v>1.9261</v>
      </c>
      <c r="C3513" s="7">
        <v>2.4211</v>
      </c>
    </row>
    <row r="3514" spans="1:3">
      <c r="A3514" s="6">
        <v>44804</v>
      </c>
      <c r="B3514" s="7">
        <v>1.9138</v>
      </c>
      <c r="C3514" s="7">
        <v>2.4244</v>
      </c>
    </row>
    <row r="3515" spans="1:3">
      <c r="A3515" s="6">
        <v>44805</v>
      </c>
      <c r="B3515" s="7">
        <v>1.9044</v>
      </c>
      <c r="C3515" s="7">
        <v>2.415</v>
      </c>
    </row>
    <row r="3516" spans="1:3">
      <c r="A3516" s="6">
        <v>44806</v>
      </c>
      <c r="B3516" s="7">
        <v>1.894</v>
      </c>
      <c r="C3516" s="7">
        <v>2.4021</v>
      </c>
    </row>
    <row r="3517" spans="1:3">
      <c r="A3517" s="6">
        <v>44809</v>
      </c>
      <c r="B3517" s="7">
        <v>1.8845</v>
      </c>
      <c r="C3517" s="7">
        <v>2.3971</v>
      </c>
    </row>
    <row r="3518" spans="1:3">
      <c r="A3518" s="6">
        <v>44810</v>
      </c>
      <c r="B3518" s="7">
        <v>1.8845</v>
      </c>
      <c r="C3518" s="7">
        <v>2.3943</v>
      </c>
    </row>
    <row r="3519" spans="1:3">
      <c r="A3519" s="6">
        <v>44811</v>
      </c>
      <c r="B3519" s="7">
        <v>1.8898</v>
      </c>
      <c r="C3519" s="7">
        <v>2.3988</v>
      </c>
    </row>
    <row r="3520" spans="1:3">
      <c r="A3520" s="6">
        <v>44812</v>
      </c>
      <c r="B3520" s="7">
        <v>1.906</v>
      </c>
      <c r="C3520" s="7">
        <v>2.4122</v>
      </c>
    </row>
    <row r="3521" spans="1:3">
      <c r="A3521" s="6">
        <v>44813</v>
      </c>
      <c r="B3521" s="7">
        <v>1.9135</v>
      </c>
      <c r="C3521" s="7">
        <v>2.4202</v>
      </c>
    </row>
    <row r="3522" spans="1:3">
      <c r="A3522" s="6">
        <v>44817</v>
      </c>
      <c r="B3522" s="7">
        <v>1.9221</v>
      </c>
      <c r="C3522" s="7">
        <v>2.4356</v>
      </c>
    </row>
    <row r="3523" spans="1:3">
      <c r="A3523" s="6">
        <v>44818</v>
      </c>
      <c r="B3523" s="7">
        <v>1.935</v>
      </c>
      <c r="C3523" s="7">
        <v>2.4498</v>
      </c>
    </row>
    <row r="3524" spans="1:3">
      <c r="A3524" s="6">
        <v>44819</v>
      </c>
      <c r="B3524" s="7">
        <v>1.9439</v>
      </c>
      <c r="C3524" s="7">
        <v>2.4521</v>
      </c>
    </row>
    <row r="3525" spans="1:3">
      <c r="A3525" s="6">
        <v>44820</v>
      </c>
      <c r="B3525" s="7">
        <v>1.9756</v>
      </c>
      <c r="C3525" s="7">
        <v>2.479</v>
      </c>
    </row>
    <row r="3526" spans="1:3">
      <c r="A3526" s="6">
        <v>44823</v>
      </c>
      <c r="B3526" s="7">
        <v>1.9686</v>
      </c>
      <c r="C3526" s="7">
        <v>2.4685</v>
      </c>
    </row>
    <row r="3527" spans="1:3">
      <c r="A3527" s="6">
        <v>44824</v>
      </c>
      <c r="B3527" s="7">
        <v>1.9562</v>
      </c>
      <c r="C3527" s="7">
        <v>2.4554</v>
      </c>
    </row>
    <row r="3528" spans="1:3">
      <c r="A3528" s="6">
        <v>44825</v>
      </c>
      <c r="B3528" s="7">
        <v>1.9533</v>
      </c>
      <c r="C3528" s="7">
        <v>2.4465</v>
      </c>
    </row>
    <row r="3529" spans="1:3">
      <c r="A3529" s="6">
        <v>44826</v>
      </c>
      <c r="B3529" s="7">
        <v>1.9617</v>
      </c>
      <c r="C3529" s="7">
        <v>2.451</v>
      </c>
    </row>
    <row r="3530" spans="1:3">
      <c r="A3530" s="6">
        <v>44827</v>
      </c>
      <c r="B3530" s="7">
        <v>1.9687</v>
      </c>
      <c r="C3530" s="7">
        <v>2.4721</v>
      </c>
    </row>
    <row r="3531" spans="1:3">
      <c r="A3531" s="6">
        <v>44830</v>
      </c>
      <c r="B3531" s="7">
        <v>2.0095</v>
      </c>
      <c r="C3531" s="7">
        <v>2.5082</v>
      </c>
    </row>
    <row r="3532" spans="1:3">
      <c r="A3532" s="6">
        <v>44831</v>
      </c>
      <c r="B3532" s="7">
        <v>1.9974</v>
      </c>
      <c r="C3532" s="7">
        <v>2.5158</v>
      </c>
    </row>
    <row r="3533" spans="1:3">
      <c r="A3533" s="6">
        <v>44832</v>
      </c>
      <c r="B3533" s="7">
        <v>1.9991</v>
      </c>
      <c r="C3533" s="7">
        <v>2.5303</v>
      </c>
    </row>
    <row r="3534" spans="1:3">
      <c r="A3534" s="6">
        <v>44833</v>
      </c>
      <c r="B3534" s="7">
        <v>2.0235</v>
      </c>
      <c r="C3534" s="7">
        <v>2.5461</v>
      </c>
    </row>
    <row r="3535" spans="1:3">
      <c r="A3535" s="6">
        <v>44834</v>
      </c>
      <c r="B3535" s="7">
        <v>2.0235</v>
      </c>
      <c r="C3535" s="7">
        <v>2.5707</v>
      </c>
    </row>
    <row r="3536" spans="1:3">
      <c r="A3536" s="6">
        <v>44842</v>
      </c>
      <c r="B3536" s="7">
        <v>2.015</v>
      </c>
      <c r="C3536" s="7">
        <v>2.55</v>
      </c>
    </row>
    <row r="3537" spans="1:3">
      <c r="A3537" s="6">
        <v>44843</v>
      </c>
      <c r="B3537" s="7">
        <v>2.0033</v>
      </c>
      <c r="C3537" s="7">
        <v>2.5503</v>
      </c>
    </row>
    <row r="3538" spans="1:3">
      <c r="A3538" s="6">
        <v>44844</v>
      </c>
      <c r="B3538" s="7">
        <v>1.9757</v>
      </c>
      <c r="C3538" s="7">
        <v>2.5374</v>
      </c>
    </row>
    <row r="3539" spans="1:3">
      <c r="A3539" s="6">
        <v>44845</v>
      </c>
      <c r="B3539" s="7">
        <v>1.9723</v>
      </c>
      <c r="C3539" s="7">
        <v>2.5285</v>
      </c>
    </row>
    <row r="3540" spans="1:3">
      <c r="A3540" s="6">
        <v>44846</v>
      </c>
      <c r="B3540" s="7">
        <v>1.9716</v>
      </c>
      <c r="C3540" s="7">
        <v>2.5302</v>
      </c>
    </row>
    <row r="3541" spans="1:3">
      <c r="A3541" s="6">
        <v>44847</v>
      </c>
      <c r="B3541" s="7">
        <v>1.9607</v>
      </c>
      <c r="C3541" s="7">
        <v>2.5193</v>
      </c>
    </row>
    <row r="3542" spans="1:3">
      <c r="A3542" s="6">
        <v>44848</v>
      </c>
      <c r="B3542" s="7">
        <v>1.9555</v>
      </c>
      <c r="C3542" s="7">
        <v>2.5115</v>
      </c>
    </row>
    <row r="3543" spans="1:3">
      <c r="A3543" s="6">
        <v>44851</v>
      </c>
      <c r="B3543" s="7">
        <v>1.9473</v>
      </c>
      <c r="C3543" s="7">
        <v>2.499</v>
      </c>
    </row>
    <row r="3544" spans="1:3">
      <c r="A3544" s="6">
        <v>44852</v>
      </c>
      <c r="B3544" s="7">
        <v>1.9466</v>
      </c>
      <c r="C3544" s="7">
        <v>2.5018</v>
      </c>
    </row>
    <row r="3545" spans="1:3">
      <c r="A3545" s="6">
        <v>44853</v>
      </c>
      <c r="B3545" s="7">
        <v>1.9461</v>
      </c>
      <c r="C3545" s="7">
        <v>2.5002</v>
      </c>
    </row>
    <row r="3546" spans="1:3">
      <c r="A3546" s="6">
        <v>44854</v>
      </c>
      <c r="B3546" s="7">
        <v>1.9568</v>
      </c>
      <c r="C3546" s="7">
        <v>2.5167</v>
      </c>
    </row>
    <row r="3547" spans="1:3">
      <c r="A3547" s="6">
        <v>44855</v>
      </c>
      <c r="B3547" s="7">
        <v>1.9751</v>
      </c>
      <c r="C3547" s="7">
        <v>2.5251</v>
      </c>
    </row>
    <row r="3548" spans="1:3">
      <c r="A3548" s="6">
        <v>44858</v>
      </c>
      <c r="B3548" s="7">
        <v>1.9792</v>
      </c>
      <c r="C3548" s="7">
        <v>2.5198</v>
      </c>
    </row>
    <row r="3549" spans="1:3">
      <c r="A3549" s="6">
        <v>44859</v>
      </c>
      <c r="B3549" s="7">
        <v>1.9999</v>
      </c>
      <c r="C3549" s="7">
        <v>2.5276</v>
      </c>
    </row>
    <row r="3550" spans="1:3">
      <c r="A3550" s="6">
        <v>44860</v>
      </c>
      <c r="B3550" s="7">
        <v>1.9944</v>
      </c>
      <c r="C3550" s="7">
        <v>2.5217</v>
      </c>
    </row>
    <row r="3551" spans="1:3">
      <c r="A3551" s="6">
        <v>44861</v>
      </c>
      <c r="B3551" s="7">
        <v>1.9782</v>
      </c>
      <c r="C3551" s="7">
        <v>2.499</v>
      </c>
    </row>
    <row r="3552" spans="1:3">
      <c r="A3552" s="6">
        <v>44862</v>
      </c>
      <c r="B3552" s="7">
        <v>1.9619</v>
      </c>
      <c r="C3552" s="7">
        <v>2.4864</v>
      </c>
    </row>
    <row r="3553" spans="1:3">
      <c r="A3553" s="6">
        <v>44865</v>
      </c>
      <c r="B3553" s="7">
        <v>1.9516</v>
      </c>
      <c r="C3553" s="7">
        <v>2.4597</v>
      </c>
    </row>
    <row r="3554" spans="1:3">
      <c r="A3554" s="6">
        <v>44866</v>
      </c>
      <c r="B3554" s="7">
        <v>1.9781</v>
      </c>
      <c r="C3554" s="7">
        <v>2.4834</v>
      </c>
    </row>
    <row r="3555" spans="1:3">
      <c r="A3555" s="6">
        <v>44867</v>
      </c>
      <c r="B3555" s="7">
        <v>1.9851</v>
      </c>
      <c r="C3555" s="7">
        <v>2.4981</v>
      </c>
    </row>
    <row r="3556" spans="1:3">
      <c r="A3556" s="6">
        <v>44868</v>
      </c>
      <c r="B3556" s="7">
        <v>1.9866</v>
      </c>
      <c r="C3556" s="7">
        <v>2.5004</v>
      </c>
    </row>
    <row r="3557" spans="1:3">
      <c r="A3557" s="6">
        <v>44869</v>
      </c>
      <c r="B3557" s="7">
        <v>1.9992</v>
      </c>
      <c r="C3557" s="7">
        <v>2.5267</v>
      </c>
    </row>
    <row r="3558" spans="1:3">
      <c r="A3558" s="6">
        <v>44872</v>
      </c>
      <c r="B3558" s="7">
        <v>2.015</v>
      </c>
      <c r="C3558" s="7">
        <v>2.539</v>
      </c>
    </row>
    <row r="3559" spans="1:3">
      <c r="A3559" s="6">
        <v>44873</v>
      </c>
      <c r="B3559" s="7">
        <v>2.0413</v>
      </c>
      <c r="C3559" s="7">
        <v>2.5566</v>
      </c>
    </row>
    <row r="3560" spans="1:3">
      <c r="A3560" s="6">
        <v>44874</v>
      </c>
      <c r="B3560" s="7">
        <v>2.0456</v>
      </c>
      <c r="C3560" s="7">
        <v>2.5458</v>
      </c>
    </row>
    <row r="3561" spans="1:3">
      <c r="A3561" s="6">
        <v>44875</v>
      </c>
      <c r="B3561" s="7">
        <v>2.0662</v>
      </c>
      <c r="C3561" s="7">
        <v>2.5515</v>
      </c>
    </row>
    <row r="3562" spans="1:3">
      <c r="A3562" s="6">
        <v>44876</v>
      </c>
      <c r="B3562" s="7">
        <v>2.0819</v>
      </c>
      <c r="C3562" s="7">
        <v>2.5866</v>
      </c>
    </row>
    <row r="3563" spans="1:3">
      <c r="A3563" s="6">
        <v>44879</v>
      </c>
      <c r="B3563" s="7">
        <v>2.1809</v>
      </c>
      <c r="C3563" s="7">
        <v>2.7143</v>
      </c>
    </row>
    <row r="3564" spans="1:3">
      <c r="A3564" s="6">
        <v>44880</v>
      </c>
      <c r="B3564" s="7">
        <v>2.2251</v>
      </c>
      <c r="C3564" s="7">
        <v>2.7483</v>
      </c>
    </row>
    <row r="3565" spans="1:3">
      <c r="A3565" s="6">
        <v>44881</v>
      </c>
      <c r="B3565" s="7">
        <v>2.2874</v>
      </c>
      <c r="C3565" s="7">
        <v>2.7884</v>
      </c>
    </row>
    <row r="3566" spans="1:3">
      <c r="A3566" s="6">
        <v>44882</v>
      </c>
      <c r="B3566" s="7">
        <v>2.2745</v>
      </c>
      <c r="C3566" s="7">
        <v>2.7924</v>
      </c>
    </row>
    <row r="3567" spans="1:3">
      <c r="A3567" s="6">
        <v>44883</v>
      </c>
      <c r="B3567" s="7">
        <v>2.2353</v>
      </c>
      <c r="C3567" s="7">
        <v>2.7644</v>
      </c>
    </row>
    <row r="3568" spans="1:3">
      <c r="A3568" s="6">
        <v>44886</v>
      </c>
      <c r="B3568" s="7">
        <v>2.2123</v>
      </c>
      <c r="C3568" s="7">
        <v>2.7362</v>
      </c>
    </row>
    <row r="3569" spans="1:3">
      <c r="A3569" s="6">
        <v>44887</v>
      </c>
      <c r="B3569" s="7">
        <v>2.2187</v>
      </c>
      <c r="C3569" s="7">
        <v>2.7525</v>
      </c>
    </row>
    <row r="3570" spans="1:3">
      <c r="A3570" s="6">
        <v>44888</v>
      </c>
      <c r="B3570" s="7">
        <v>2.1915</v>
      </c>
      <c r="C3570" s="7">
        <v>2.7231</v>
      </c>
    </row>
    <row r="3571" spans="1:3">
      <c r="A3571" s="6">
        <v>44889</v>
      </c>
      <c r="B3571" s="7">
        <v>2.1409</v>
      </c>
      <c r="C3571" s="7">
        <v>2.6673</v>
      </c>
    </row>
    <row r="3572" spans="1:3">
      <c r="A3572" s="6">
        <v>44890</v>
      </c>
      <c r="B3572" s="7">
        <v>2.1792</v>
      </c>
      <c r="C3572" s="7">
        <v>2.707</v>
      </c>
    </row>
    <row r="3573" spans="1:3">
      <c r="A3573" s="6">
        <v>44893</v>
      </c>
      <c r="B3573" s="7">
        <v>2.2192</v>
      </c>
      <c r="C3573" s="7">
        <v>2.7538</v>
      </c>
    </row>
    <row r="3574" spans="1:3">
      <c r="A3574" s="6">
        <v>44894</v>
      </c>
      <c r="B3574" s="7">
        <v>2.2684</v>
      </c>
      <c r="C3574" s="7">
        <v>2.8334</v>
      </c>
    </row>
    <row r="3575" spans="1:3">
      <c r="A3575" s="6">
        <v>44895</v>
      </c>
      <c r="B3575" s="7">
        <v>2.2498</v>
      </c>
      <c r="C3575" s="7">
        <v>2.815</v>
      </c>
    </row>
    <row r="3576" spans="1:3">
      <c r="A3576" s="6">
        <v>44896</v>
      </c>
      <c r="B3576" s="7">
        <v>2.2383</v>
      </c>
      <c r="C3576" s="7">
        <v>2.8149</v>
      </c>
    </row>
    <row r="3577" spans="1:3">
      <c r="A3577" s="6">
        <v>44897</v>
      </c>
      <c r="B3577" s="7">
        <v>2.2187</v>
      </c>
      <c r="C3577" s="7">
        <v>2.7849</v>
      </c>
    </row>
    <row r="3578" spans="1:3">
      <c r="A3578" s="6">
        <v>44900</v>
      </c>
      <c r="B3578" s="7">
        <v>2.2316</v>
      </c>
      <c r="C3578" s="7">
        <v>2.807</v>
      </c>
    </row>
    <row r="3579" spans="1:3">
      <c r="A3579" s="6">
        <v>44901</v>
      </c>
      <c r="B3579" s="7">
        <v>2.2552</v>
      </c>
      <c r="C3579" s="7">
        <v>2.8505</v>
      </c>
    </row>
    <row r="3580" spans="1:3">
      <c r="A3580" s="6">
        <v>44902</v>
      </c>
      <c r="B3580" s="7">
        <v>2.279</v>
      </c>
      <c r="C3580" s="7">
        <v>2.8789</v>
      </c>
    </row>
    <row r="3581" spans="1:3">
      <c r="A3581" s="6">
        <v>44903</v>
      </c>
      <c r="B3581" s="7">
        <v>2.2443</v>
      </c>
      <c r="C3581" s="7">
        <v>2.8278</v>
      </c>
    </row>
    <row r="3582" spans="1:3">
      <c r="A3582" s="6">
        <v>44904</v>
      </c>
      <c r="B3582" s="7">
        <v>2.2579</v>
      </c>
      <c r="C3582" s="7">
        <v>2.8489</v>
      </c>
    </row>
    <row r="3583" spans="1:3">
      <c r="A3583" s="6">
        <v>44907</v>
      </c>
      <c r="B3583" s="7">
        <v>2.2464</v>
      </c>
      <c r="C3583" s="7">
        <v>2.8391</v>
      </c>
    </row>
    <row r="3584" spans="1:3">
      <c r="A3584" s="6">
        <v>44908</v>
      </c>
      <c r="B3584" s="7">
        <v>2.2655</v>
      </c>
      <c r="C3584" s="7">
        <v>2.8539</v>
      </c>
    </row>
    <row r="3585" spans="1:3">
      <c r="A3585" s="6">
        <v>44909</v>
      </c>
      <c r="B3585" s="7">
        <v>2.2333</v>
      </c>
      <c r="C3585" s="7">
        <v>2.8037</v>
      </c>
    </row>
    <row r="3586" spans="1:3">
      <c r="A3586" s="6">
        <v>44910</v>
      </c>
      <c r="B3586" s="7">
        <v>2.2343</v>
      </c>
      <c r="C3586" s="7">
        <v>2.7991</v>
      </c>
    </row>
    <row r="3587" spans="1:3">
      <c r="A3587" s="6">
        <v>44911</v>
      </c>
      <c r="B3587" s="7">
        <v>2.239</v>
      </c>
      <c r="C3587" s="7">
        <v>2.8139</v>
      </c>
    </row>
    <row r="3588" spans="1:3">
      <c r="A3588" s="6">
        <v>44914</v>
      </c>
      <c r="B3588" s="7">
        <v>2.1921</v>
      </c>
      <c r="C3588" s="7">
        <v>2.7663</v>
      </c>
    </row>
    <row r="3589" spans="1:3">
      <c r="A3589" s="6">
        <v>44915</v>
      </c>
      <c r="B3589" s="7">
        <v>2.2037</v>
      </c>
      <c r="C3589" s="7">
        <v>2.7745</v>
      </c>
    </row>
    <row r="3590" spans="1:3">
      <c r="A3590" s="6">
        <v>44916</v>
      </c>
      <c r="B3590" s="7">
        <v>2.2011</v>
      </c>
      <c r="C3590" s="7">
        <v>2.7808</v>
      </c>
    </row>
    <row r="3591" spans="1:3">
      <c r="A3591" s="6">
        <v>44917</v>
      </c>
      <c r="B3591" s="7">
        <v>2.1806</v>
      </c>
      <c r="C3591" s="7">
        <v>2.7535</v>
      </c>
    </row>
    <row r="3592" spans="1:3">
      <c r="A3592" s="6">
        <v>44918</v>
      </c>
      <c r="B3592" s="7">
        <v>2.1688</v>
      </c>
      <c r="C3592" s="7">
        <v>2.7376</v>
      </c>
    </row>
    <row r="3593" spans="1:3">
      <c r="A3593" s="6">
        <v>44922</v>
      </c>
      <c r="B3593" s="7">
        <v>2.2315</v>
      </c>
      <c r="C3593" s="7">
        <v>2.7833</v>
      </c>
    </row>
    <row r="3594" spans="1:3">
      <c r="A3594" s="6">
        <v>44923</v>
      </c>
      <c r="B3594" s="7">
        <v>2.2309</v>
      </c>
      <c r="C3594" s="7">
        <v>2.7813</v>
      </c>
    </row>
    <row r="3595" spans="1:3">
      <c r="A3595" s="6">
        <v>44924</v>
      </c>
      <c r="B3595" s="7">
        <v>2.2007</v>
      </c>
      <c r="C3595" s="7">
        <v>2.7574</v>
      </c>
    </row>
    <row r="3596" spans="1:3">
      <c r="A3596" s="6">
        <v>44925</v>
      </c>
      <c r="B3596" s="7">
        <v>2.1801</v>
      </c>
      <c r="C3596" s="7">
        <v>2.759</v>
      </c>
    </row>
    <row r="3597" spans="1:3">
      <c r="A3597" s="6">
        <v>44929</v>
      </c>
      <c r="B3597" s="7">
        <v>2.1752</v>
      </c>
      <c r="C3597" s="7">
        <v>2.7651</v>
      </c>
    </row>
    <row r="3598" spans="1:3">
      <c r="A3598" s="6">
        <v>44930</v>
      </c>
      <c r="B3598" s="7">
        <v>2.1469</v>
      </c>
      <c r="C3598" s="7">
        <v>2.7342</v>
      </c>
    </row>
    <row r="3599" spans="1:3">
      <c r="A3599" s="6">
        <v>44931</v>
      </c>
      <c r="B3599" s="7">
        <v>2.144</v>
      </c>
      <c r="C3599" s="7">
        <v>2.7366</v>
      </c>
    </row>
    <row r="3600" spans="1:3">
      <c r="A3600" s="6">
        <v>44932</v>
      </c>
      <c r="B3600" s="7">
        <v>2.1611</v>
      </c>
      <c r="C3600" s="7">
        <v>2.7604</v>
      </c>
    </row>
    <row r="3601" spans="1:3">
      <c r="A3601" s="6">
        <v>44935</v>
      </c>
      <c r="B3601" s="7">
        <v>2.1796</v>
      </c>
      <c r="C3601" s="7">
        <v>2.7701</v>
      </c>
    </row>
    <row r="3602" spans="1:3">
      <c r="A3602" s="6">
        <v>44936</v>
      </c>
      <c r="B3602" s="7">
        <v>2.2331</v>
      </c>
      <c r="C3602" s="7">
        <v>2.8136</v>
      </c>
    </row>
    <row r="3603" spans="1:3">
      <c r="A3603" s="6">
        <v>44937</v>
      </c>
      <c r="B3603" s="7">
        <v>2.2547</v>
      </c>
      <c r="C3603" s="7">
        <v>2.8284</v>
      </c>
    </row>
    <row r="3604" spans="1:3">
      <c r="A3604" s="6">
        <v>44938</v>
      </c>
      <c r="B3604" s="7">
        <v>2.2357</v>
      </c>
      <c r="C3604" s="7">
        <v>2.8169</v>
      </c>
    </row>
    <row r="3605" spans="1:3">
      <c r="A3605" s="6">
        <v>44939</v>
      </c>
      <c r="B3605" s="7">
        <v>2.2449</v>
      </c>
      <c r="C3605" s="7">
        <v>2.8414</v>
      </c>
    </row>
    <row r="3606" spans="1:3">
      <c r="A3606" s="6">
        <v>44942</v>
      </c>
      <c r="B3606" s="7">
        <v>2.2877</v>
      </c>
      <c r="C3606" s="7">
        <v>2.8972</v>
      </c>
    </row>
    <row r="3607" spans="1:3">
      <c r="A3607" s="6">
        <v>44943</v>
      </c>
      <c r="B3607" s="7">
        <v>2.297</v>
      </c>
      <c r="C3607" s="7">
        <v>2.8954</v>
      </c>
    </row>
    <row r="3608" spans="1:3">
      <c r="A3608" s="6">
        <v>44944</v>
      </c>
      <c r="B3608" s="7">
        <v>2.2933</v>
      </c>
      <c r="C3608" s="7">
        <v>2.8874</v>
      </c>
    </row>
    <row r="3609" spans="1:3">
      <c r="A3609" s="6">
        <v>44945</v>
      </c>
      <c r="B3609" s="7">
        <v>2.308</v>
      </c>
      <c r="C3609" s="7">
        <v>2.9123</v>
      </c>
    </row>
    <row r="3610" spans="1:3">
      <c r="A3610" s="6">
        <v>44946</v>
      </c>
      <c r="B3610" s="7">
        <v>2.2937</v>
      </c>
      <c r="C3610" s="7">
        <v>2.9066</v>
      </c>
    </row>
    <row r="3611" spans="1:3">
      <c r="A3611" s="6">
        <v>44954</v>
      </c>
      <c r="B3611" s="7"/>
      <c r="C3611" s="7">
        <v>2.9434</v>
      </c>
    </row>
    <row r="3612" spans="1:3">
      <c r="A3612" s="6">
        <v>44956</v>
      </c>
      <c r="B3612" s="7">
        <v>2.3007</v>
      </c>
      <c r="C3612" s="7">
        <v>2.9292</v>
      </c>
    </row>
    <row r="3613" spans="1:3">
      <c r="A3613" s="6">
        <v>44957</v>
      </c>
      <c r="B3613" s="7">
        <v>2.2868</v>
      </c>
      <c r="C3613" s="7">
        <v>2.9067</v>
      </c>
    </row>
    <row r="3614" spans="1:3">
      <c r="A3614" s="6">
        <v>44958</v>
      </c>
      <c r="B3614" s="7">
        <v>2.2814</v>
      </c>
      <c r="C3614" s="7">
        <v>2.9032</v>
      </c>
    </row>
    <row r="3615" spans="1:3">
      <c r="A3615" s="6">
        <v>44959</v>
      </c>
      <c r="B3615" s="7">
        <v>2.266</v>
      </c>
      <c r="C3615" s="7">
        <v>2.8845</v>
      </c>
    </row>
    <row r="3616" spans="1:3">
      <c r="A3616" s="6">
        <v>44960</v>
      </c>
      <c r="B3616" s="7">
        <v>2.2525</v>
      </c>
      <c r="C3616" s="7">
        <v>2.8571</v>
      </c>
    </row>
    <row r="3617" spans="1:3">
      <c r="A3617" s="6">
        <v>44963</v>
      </c>
      <c r="B3617" s="7">
        <v>2.2653</v>
      </c>
      <c r="C3617" s="7">
        <v>2.8654</v>
      </c>
    </row>
    <row r="3618" spans="1:3">
      <c r="A3618" s="6">
        <v>44964</v>
      </c>
      <c r="B3618" s="7">
        <v>2.2894</v>
      </c>
      <c r="C3618" s="7">
        <v>2.8793</v>
      </c>
    </row>
    <row r="3619" spans="1:3">
      <c r="A3619" s="6">
        <v>44965</v>
      </c>
      <c r="B3619" s="7">
        <v>2.2994</v>
      </c>
      <c r="C3619" s="7">
        <v>2.8748</v>
      </c>
    </row>
    <row r="3620" spans="1:3">
      <c r="A3620" s="6">
        <v>44966</v>
      </c>
      <c r="B3620" s="7">
        <v>2.2948</v>
      </c>
      <c r="C3620" s="7">
        <v>2.874</v>
      </c>
    </row>
    <row r="3621" spans="1:3">
      <c r="A3621" s="6">
        <v>44967</v>
      </c>
      <c r="B3621" s="7">
        <v>2.2805</v>
      </c>
      <c r="C3621" s="7">
        <v>2.8666</v>
      </c>
    </row>
    <row r="3622" spans="1:3">
      <c r="A3622" s="6">
        <v>44970</v>
      </c>
      <c r="B3622" s="7">
        <v>2.2771</v>
      </c>
      <c r="C3622" s="7">
        <v>2.8551</v>
      </c>
    </row>
    <row r="3623" spans="1:3">
      <c r="A3623" s="6">
        <v>44971</v>
      </c>
      <c r="B3623" s="7">
        <v>2.2895</v>
      </c>
      <c r="C3623" s="7">
        <v>2.8551</v>
      </c>
    </row>
    <row r="3624" spans="1:3">
      <c r="A3624" s="6">
        <v>44972</v>
      </c>
      <c r="B3624" s="7">
        <v>2.3081</v>
      </c>
      <c r="C3624" s="7">
        <v>2.8626</v>
      </c>
    </row>
    <row r="3625" spans="1:3">
      <c r="A3625" s="6">
        <v>44973</v>
      </c>
      <c r="B3625" s="7">
        <v>2.3165</v>
      </c>
      <c r="C3625" s="7">
        <v>2.8639</v>
      </c>
    </row>
    <row r="3626" spans="1:3">
      <c r="A3626" s="6">
        <v>44974</v>
      </c>
      <c r="B3626" s="7">
        <v>2.3192</v>
      </c>
      <c r="C3626" s="7">
        <v>2.8667</v>
      </c>
    </row>
    <row r="3627" spans="1:3">
      <c r="A3627" s="6">
        <v>44977</v>
      </c>
      <c r="B3627" s="7">
        <v>2.339</v>
      </c>
      <c r="C3627" s="7">
        <v>2.8947</v>
      </c>
    </row>
    <row r="3628" spans="1:3">
      <c r="A3628" s="6">
        <v>44978</v>
      </c>
      <c r="B3628" s="7">
        <v>2.3627</v>
      </c>
      <c r="C3628" s="7">
        <v>2.9356</v>
      </c>
    </row>
    <row r="3629" spans="1:3">
      <c r="A3629" s="6">
        <v>44979</v>
      </c>
      <c r="B3629" s="7">
        <v>2.3757</v>
      </c>
      <c r="C3629" s="7">
        <v>2.9193</v>
      </c>
    </row>
    <row r="3630" spans="1:3">
      <c r="A3630" s="6">
        <v>44980</v>
      </c>
      <c r="B3630" s="7">
        <v>2.4116</v>
      </c>
      <c r="C3630" s="7">
        <v>2.9359</v>
      </c>
    </row>
    <row r="3631" spans="1:3">
      <c r="A3631" s="6">
        <v>44981</v>
      </c>
      <c r="B3631" s="7">
        <v>2.4157</v>
      </c>
      <c r="C3631" s="7">
        <v>2.938</v>
      </c>
    </row>
    <row r="3632" spans="1:3">
      <c r="A3632" s="6">
        <v>44984</v>
      </c>
      <c r="B3632" s="7">
        <v>2.4226</v>
      </c>
      <c r="C3632" s="7">
        <v>2.9427</v>
      </c>
    </row>
    <row r="3633" spans="1:3">
      <c r="A3633" s="6">
        <v>44985</v>
      </c>
      <c r="B3633" s="7">
        <v>2.4549</v>
      </c>
      <c r="C3633" s="7">
        <v>2.9598</v>
      </c>
    </row>
    <row r="3634" spans="1:3">
      <c r="A3634" s="6">
        <v>44986</v>
      </c>
      <c r="B3634" s="7">
        <v>2.4229</v>
      </c>
      <c r="C3634" s="7">
        <v>2.9554</v>
      </c>
    </row>
    <row r="3635" spans="1:3">
      <c r="A3635" s="6">
        <v>44987</v>
      </c>
      <c r="B3635" s="7">
        <v>2.431</v>
      </c>
      <c r="C3635" s="7">
        <v>2.969</v>
      </c>
    </row>
    <row r="3636" spans="1:3">
      <c r="A3636" s="6">
        <v>44988</v>
      </c>
      <c r="B3636" s="7">
        <v>2.4585</v>
      </c>
      <c r="C3636" s="7">
        <v>2.9923</v>
      </c>
    </row>
    <row r="3637" spans="1:3">
      <c r="A3637" s="6">
        <v>44991</v>
      </c>
      <c r="B3637" s="7">
        <v>2.4212</v>
      </c>
      <c r="C3637" s="7">
        <v>2.9408</v>
      </c>
    </row>
    <row r="3638" spans="1:3">
      <c r="A3638" s="6">
        <v>44992</v>
      </c>
      <c r="B3638" s="7">
        <v>2.4198</v>
      </c>
      <c r="C3638" s="7">
        <v>2.9298</v>
      </c>
    </row>
    <row r="3639" spans="1:3">
      <c r="A3639" s="6">
        <v>44993</v>
      </c>
      <c r="B3639" s="7">
        <v>2.4237</v>
      </c>
      <c r="C3639" s="7">
        <v>2.9234</v>
      </c>
    </row>
    <row r="3640" spans="1:3">
      <c r="A3640" s="6">
        <v>44994</v>
      </c>
      <c r="B3640" s="7">
        <v>2.425</v>
      </c>
      <c r="C3640" s="7">
        <v>2.91</v>
      </c>
    </row>
    <row r="3641" spans="1:3">
      <c r="A3641" s="6">
        <v>44995</v>
      </c>
      <c r="B3641" s="7">
        <v>2.4083</v>
      </c>
      <c r="C3641" s="7">
        <v>2.8704</v>
      </c>
    </row>
    <row r="3642" spans="1:3">
      <c r="A3642" s="6">
        <v>44998</v>
      </c>
      <c r="B3642" s="7">
        <v>2.4078</v>
      </c>
      <c r="C3642" s="7">
        <v>2.8763</v>
      </c>
    </row>
    <row r="3643" spans="1:3">
      <c r="A3643" s="6">
        <v>44999</v>
      </c>
      <c r="B3643" s="7">
        <v>2.4021</v>
      </c>
      <c r="C3643" s="7">
        <v>2.8395</v>
      </c>
    </row>
    <row r="3644" spans="1:3">
      <c r="A3644" s="6">
        <v>45000</v>
      </c>
      <c r="B3644" s="7">
        <v>2.4229</v>
      </c>
      <c r="C3644" s="7">
        <v>2.8614</v>
      </c>
    </row>
    <row r="3645" spans="1:3">
      <c r="A3645" s="6">
        <v>45001</v>
      </c>
      <c r="B3645" s="7">
        <v>2.4104</v>
      </c>
      <c r="C3645" s="7">
        <v>2.8322</v>
      </c>
    </row>
    <row r="3646" spans="1:3">
      <c r="A3646" s="6">
        <v>45002</v>
      </c>
      <c r="B3646" s="7">
        <v>2.3992</v>
      </c>
      <c r="C3646" s="7">
        <v>2.8323</v>
      </c>
    </row>
    <row r="3647" spans="1:3">
      <c r="A3647" s="6">
        <v>45005</v>
      </c>
      <c r="B3647" s="7">
        <v>2.3431</v>
      </c>
      <c r="C3647" s="7">
        <v>2.8061</v>
      </c>
    </row>
    <row r="3648" spans="1:3">
      <c r="A3648" s="6">
        <v>45006</v>
      </c>
      <c r="B3648" s="7">
        <v>2.3723</v>
      </c>
      <c r="C3648" s="7">
        <v>2.8157</v>
      </c>
    </row>
    <row r="3649" spans="1:3">
      <c r="A3649" s="6">
        <v>45007</v>
      </c>
      <c r="B3649" s="7">
        <v>2.3812</v>
      </c>
      <c r="C3649" s="7">
        <v>2.8362</v>
      </c>
    </row>
    <row r="3650" spans="1:3">
      <c r="A3650" s="6">
        <v>45008</v>
      </c>
      <c r="B3650" s="7">
        <v>2.3687</v>
      </c>
      <c r="C3650" s="7">
        <v>2.8307</v>
      </c>
    </row>
    <row r="3651" spans="1:3">
      <c r="A3651" s="6">
        <v>45009</v>
      </c>
      <c r="B3651" s="7">
        <v>2.3804</v>
      </c>
      <c r="C3651" s="7">
        <v>2.8498</v>
      </c>
    </row>
    <row r="3652" spans="1:3">
      <c r="A3652" s="6">
        <v>45012</v>
      </c>
      <c r="B3652" s="7">
        <v>2.3633</v>
      </c>
      <c r="C3652" s="7">
        <v>2.8229</v>
      </c>
    </row>
    <row r="3653" spans="1:3">
      <c r="A3653" s="6">
        <v>45013</v>
      </c>
      <c r="B3653" s="7">
        <v>2.3752</v>
      </c>
      <c r="C3653" s="7">
        <v>2.8217</v>
      </c>
    </row>
    <row r="3654" spans="1:3">
      <c r="A3654" s="6">
        <v>45014</v>
      </c>
      <c r="B3654" s="7">
        <v>2.3715</v>
      </c>
      <c r="C3654" s="7">
        <v>2.8279</v>
      </c>
    </row>
    <row r="3655" spans="1:3">
      <c r="A3655" s="6">
        <v>45015</v>
      </c>
      <c r="B3655" s="7">
        <v>2.3631</v>
      </c>
      <c r="C3655" s="7">
        <v>2.8227</v>
      </c>
    </row>
    <row r="3656" spans="1:3">
      <c r="A3656" s="6">
        <v>45016</v>
      </c>
      <c r="B3656" s="7">
        <v>2.3523</v>
      </c>
      <c r="C3656" s="7">
        <v>2.8285</v>
      </c>
    </row>
    <row r="3657" spans="1:3">
      <c r="A3657" s="6">
        <v>45019</v>
      </c>
      <c r="B3657" s="7">
        <v>2.339</v>
      </c>
      <c r="C3657" s="7">
        <v>2.8303</v>
      </c>
    </row>
    <row r="3658" spans="1:3">
      <c r="A3658" s="6">
        <v>45020</v>
      </c>
      <c r="B3658" s="7">
        <v>2.3536</v>
      </c>
      <c r="C3658" s="7">
        <v>2.8412</v>
      </c>
    </row>
    <row r="3659" spans="1:3">
      <c r="A3659" s="6">
        <v>45022</v>
      </c>
      <c r="B3659" s="7">
        <v>2.3853</v>
      </c>
      <c r="C3659" s="7">
        <v>2.8576</v>
      </c>
    </row>
    <row r="3660" spans="1:3">
      <c r="A3660" s="6">
        <v>45023</v>
      </c>
      <c r="B3660" s="7">
        <v>2.3904</v>
      </c>
      <c r="C3660" s="7">
        <v>2.8625</v>
      </c>
    </row>
    <row r="3661" spans="1:3">
      <c r="A3661" s="6">
        <v>45026</v>
      </c>
      <c r="B3661" s="7">
        <v>2.3852</v>
      </c>
      <c r="C3661" s="7">
        <v>2.8525</v>
      </c>
    </row>
    <row r="3662" spans="1:3">
      <c r="A3662" s="6">
        <v>45027</v>
      </c>
      <c r="B3662" s="7">
        <v>2.3776</v>
      </c>
      <c r="C3662" s="7">
        <v>2.8301</v>
      </c>
    </row>
    <row r="3663" spans="1:3">
      <c r="A3663" s="6">
        <v>45028</v>
      </c>
      <c r="B3663" s="7">
        <v>2.3695</v>
      </c>
      <c r="C3663" s="7">
        <v>2.8144</v>
      </c>
    </row>
    <row r="3664" spans="1:3">
      <c r="A3664" s="6">
        <v>45029</v>
      </c>
      <c r="B3664" s="7">
        <v>2.3792</v>
      </c>
      <c r="C3664" s="7">
        <v>2.8284</v>
      </c>
    </row>
    <row r="3665" spans="1:3">
      <c r="A3665" s="6">
        <v>45030</v>
      </c>
      <c r="B3665" s="7">
        <v>2.3704</v>
      </c>
      <c r="C3665" s="7">
        <v>2.831</v>
      </c>
    </row>
    <row r="3666" spans="1:3">
      <c r="A3666" s="6">
        <v>45033</v>
      </c>
      <c r="B3666" s="7">
        <v>2.388</v>
      </c>
      <c r="C3666" s="7">
        <v>2.8465</v>
      </c>
    </row>
    <row r="3667" spans="1:3">
      <c r="A3667" s="6">
        <v>45034</v>
      </c>
      <c r="B3667" s="7">
        <v>2.3875</v>
      </c>
      <c r="C3667" s="7">
        <v>2.8487</v>
      </c>
    </row>
    <row r="3668" spans="1:3">
      <c r="A3668" s="6">
        <v>45035</v>
      </c>
      <c r="B3668" s="7">
        <v>2.379</v>
      </c>
      <c r="C3668" s="7">
        <v>2.8373</v>
      </c>
    </row>
    <row r="3669" spans="1:3">
      <c r="A3669" s="6">
        <v>45036</v>
      </c>
      <c r="B3669" s="7">
        <v>2.381</v>
      </c>
      <c r="C3669" s="7">
        <v>2.8465</v>
      </c>
    </row>
    <row r="3670" spans="1:3">
      <c r="A3670" s="6">
        <v>45037</v>
      </c>
      <c r="B3670" s="7">
        <v>2.387</v>
      </c>
      <c r="C3670" s="7">
        <v>2.8434</v>
      </c>
    </row>
    <row r="3671" spans="1:3">
      <c r="A3671" s="6">
        <v>45039</v>
      </c>
      <c r="B3671" s="7">
        <v>2.37</v>
      </c>
      <c r="C3671" s="7"/>
    </row>
    <row r="3672" spans="1:3">
      <c r="A3672" s="6">
        <v>45040</v>
      </c>
      <c r="B3672" s="7">
        <v>2.3791</v>
      </c>
      <c r="C3672" s="7">
        <v>2.8272</v>
      </c>
    </row>
    <row r="3673" spans="1:3">
      <c r="A3673" s="6">
        <v>45041</v>
      </c>
      <c r="B3673" s="7">
        <v>2.3815</v>
      </c>
      <c r="C3673" s="7">
        <v>2.8264</v>
      </c>
    </row>
    <row r="3674" spans="1:3">
      <c r="A3674" s="6">
        <v>45042</v>
      </c>
      <c r="B3674" s="7">
        <v>2.3632</v>
      </c>
      <c r="C3674" s="7">
        <v>2.8108</v>
      </c>
    </row>
    <row r="3675" spans="1:3">
      <c r="A3675" s="6">
        <v>45043</v>
      </c>
      <c r="B3675" s="7">
        <v>2.3338</v>
      </c>
      <c r="C3675" s="7">
        <v>2.7755</v>
      </c>
    </row>
    <row r="3676" spans="1:3">
      <c r="A3676" s="6">
        <v>45044</v>
      </c>
      <c r="B3676" s="7">
        <v>2.3372</v>
      </c>
      <c r="C3676" s="7">
        <v>2.7793</v>
      </c>
    </row>
    <row r="3677" spans="1:3">
      <c r="A3677" s="6">
        <v>45050</v>
      </c>
      <c r="B3677" s="7">
        <v>2.3003</v>
      </c>
      <c r="C3677" s="7">
        <v>2.7403</v>
      </c>
    </row>
    <row r="3678" spans="1:3">
      <c r="A3678" s="6">
        <v>45051</v>
      </c>
      <c r="B3678" s="7">
        <v>2.2637</v>
      </c>
      <c r="C3678" s="7">
        <v>2.7107</v>
      </c>
    </row>
    <row r="3679" spans="1:3">
      <c r="A3679" s="6">
        <v>45052</v>
      </c>
      <c r="B3679" s="7">
        <v>2.2339</v>
      </c>
      <c r="C3679" s="7">
        <v>2.682</v>
      </c>
    </row>
    <row r="3680" spans="1:3">
      <c r="A3680" s="6">
        <v>45054</v>
      </c>
      <c r="B3680" s="7">
        <v>2.2538</v>
      </c>
      <c r="C3680" s="7">
        <v>2.7032</v>
      </c>
    </row>
    <row r="3681" spans="1:3">
      <c r="A3681" s="6">
        <v>45055</v>
      </c>
      <c r="B3681" s="7">
        <v>2.2453</v>
      </c>
      <c r="C3681" s="7">
        <v>2.6888</v>
      </c>
    </row>
    <row r="3682" spans="1:3">
      <c r="A3682" s="6">
        <v>45056</v>
      </c>
      <c r="B3682" s="7">
        <v>2.2196</v>
      </c>
      <c r="C3682" s="7">
        <v>2.6612</v>
      </c>
    </row>
    <row r="3683" spans="1:3">
      <c r="A3683" s="6">
        <v>45057</v>
      </c>
      <c r="B3683" s="7">
        <v>2.1735</v>
      </c>
      <c r="C3683" s="7">
        <v>2.6194</v>
      </c>
    </row>
    <row r="3684" spans="1:3">
      <c r="A3684" s="6">
        <v>45058</v>
      </c>
      <c r="B3684" s="7">
        <v>2.1561</v>
      </c>
      <c r="C3684" s="7">
        <v>2.6243</v>
      </c>
    </row>
    <row r="3685" spans="1:3">
      <c r="A3685" s="6">
        <v>45061</v>
      </c>
      <c r="B3685" s="7">
        <v>2.1534</v>
      </c>
      <c r="C3685" s="7">
        <v>2.6218</v>
      </c>
    </row>
    <row r="3686" spans="1:3">
      <c r="A3686" s="6">
        <v>45062</v>
      </c>
      <c r="B3686" s="7">
        <v>2.1794</v>
      </c>
      <c r="C3686" s="7">
        <v>2.6344</v>
      </c>
    </row>
    <row r="3687" spans="1:3">
      <c r="A3687" s="6">
        <v>45063</v>
      </c>
      <c r="B3687" s="7">
        <v>2.1709</v>
      </c>
      <c r="C3687" s="7">
        <v>2.6348</v>
      </c>
    </row>
    <row r="3688" spans="1:3">
      <c r="A3688" s="6">
        <v>45064</v>
      </c>
      <c r="B3688" s="7">
        <v>2.177</v>
      </c>
      <c r="C3688" s="7">
        <v>2.6497</v>
      </c>
    </row>
    <row r="3689" spans="1:3">
      <c r="A3689" s="6">
        <v>45065</v>
      </c>
      <c r="B3689" s="7">
        <v>2.1478</v>
      </c>
      <c r="C3689" s="7">
        <v>2.6191</v>
      </c>
    </row>
    <row r="3690" spans="1:3">
      <c r="A3690" s="6">
        <v>45068</v>
      </c>
      <c r="B3690" s="7">
        <v>2.1126</v>
      </c>
      <c r="C3690" s="7">
        <v>2.5773</v>
      </c>
    </row>
    <row r="3691" spans="1:3">
      <c r="A3691" s="6">
        <v>45069</v>
      </c>
      <c r="B3691" s="7">
        <v>2.0731</v>
      </c>
      <c r="C3691" s="7">
        <v>2.5177</v>
      </c>
    </row>
    <row r="3692" spans="1:3">
      <c r="A3692" s="6">
        <v>45070</v>
      </c>
      <c r="B3692" s="7">
        <v>2.0947</v>
      </c>
      <c r="C3692" s="7">
        <v>2.534</v>
      </c>
    </row>
    <row r="3693" spans="1:3">
      <c r="A3693" s="6">
        <v>45071</v>
      </c>
      <c r="B3693" s="7">
        <v>2.1073</v>
      </c>
      <c r="C3693" s="7">
        <v>2.5491</v>
      </c>
    </row>
    <row r="3694" spans="1:3">
      <c r="A3694" s="6">
        <v>45072</v>
      </c>
      <c r="B3694" s="7">
        <v>2.1029</v>
      </c>
      <c r="C3694" s="7">
        <v>2.5494</v>
      </c>
    </row>
    <row r="3695" spans="1:3">
      <c r="A3695" s="6">
        <v>45075</v>
      </c>
      <c r="B3695" s="7">
        <v>2.101</v>
      </c>
      <c r="C3695" s="7">
        <v>2.5503</v>
      </c>
    </row>
    <row r="3696" spans="1:3">
      <c r="A3696" s="6">
        <v>45076</v>
      </c>
      <c r="B3696" s="7">
        <v>2.0926</v>
      </c>
      <c r="C3696" s="7">
        <v>2.5331</v>
      </c>
    </row>
    <row r="3697" spans="1:3">
      <c r="A3697" s="6">
        <v>45077</v>
      </c>
      <c r="B3697" s="7">
        <v>2.085</v>
      </c>
      <c r="C3697" s="7">
        <v>2.5349</v>
      </c>
    </row>
    <row r="3698" spans="1:3">
      <c r="A3698" s="6">
        <v>45078</v>
      </c>
      <c r="B3698" s="7">
        <v>2.0597</v>
      </c>
      <c r="C3698" s="7">
        <v>2.5028</v>
      </c>
    </row>
    <row r="3699" spans="1:3">
      <c r="A3699" s="6">
        <v>45079</v>
      </c>
      <c r="B3699" s="7">
        <v>2.0722</v>
      </c>
      <c r="C3699" s="7">
        <v>2.5305</v>
      </c>
    </row>
    <row r="3700" spans="1:3">
      <c r="A3700" s="6">
        <v>45082</v>
      </c>
      <c r="B3700" s="7">
        <v>2.0722</v>
      </c>
      <c r="C3700" s="7">
        <v>2.5394</v>
      </c>
    </row>
    <row r="3701" spans="1:3">
      <c r="A3701" s="6">
        <v>45083</v>
      </c>
      <c r="B3701" s="7">
        <v>2.0616</v>
      </c>
      <c r="C3701" s="7">
        <v>2.5193</v>
      </c>
    </row>
    <row r="3702" spans="1:3">
      <c r="A3702" s="6">
        <v>45084</v>
      </c>
      <c r="B3702" s="7">
        <v>2.0618</v>
      </c>
      <c r="C3702" s="7">
        <v>2.5089</v>
      </c>
    </row>
    <row r="3703" spans="1:3">
      <c r="A3703" s="6">
        <v>45085</v>
      </c>
      <c r="B3703" s="7">
        <v>2.0682</v>
      </c>
      <c r="C3703" s="7">
        <v>2.5251</v>
      </c>
    </row>
    <row r="3704" spans="1:3">
      <c r="A3704" s="6">
        <v>45086</v>
      </c>
      <c r="B3704" s="7">
        <v>2.0566</v>
      </c>
      <c r="C3704" s="7">
        <v>2.5078</v>
      </c>
    </row>
    <row r="3705" spans="1:3">
      <c r="A3705" s="6">
        <v>45089</v>
      </c>
      <c r="B3705" s="7">
        <v>2.049</v>
      </c>
      <c r="C3705" s="7">
        <v>2.4837</v>
      </c>
    </row>
    <row r="3706" spans="1:3">
      <c r="A3706" s="6">
        <v>45090</v>
      </c>
      <c r="B3706" s="7">
        <v>2.0248</v>
      </c>
      <c r="C3706" s="7">
        <v>2.4347</v>
      </c>
    </row>
    <row r="3707" spans="1:3">
      <c r="A3707" s="6">
        <v>45091</v>
      </c>
      <c r="B3707" s="7">
        <v>2.0254</v>
      </c>
      <c r="C3707" s="7">
        <v>2.4223</v>
      </c>
    </row>
    <row r="3708" spans="1:3">
      <c r="A3708" s="6">
        <v>45092</v>
      </c>
      <c r="B3708" s="7">
        <v>2.0461</v>
      </c>
      <c r="C3708" s="7">
        <v>2.4646</v>
      </c>
    </row>
    <row r="3709" spans="1:3">
      <c r="A3709" s="6">
        <v>45093</v>
      </c>
      <c r="B3709" s="7">
        <v>2.0862</v>
      </c>
      <c r="C3709" s="7">
        <v>2.5277</v>
      </c>
    </row>
    <row r="3710" spans="1:3">
      <c r="A3710" s="6">
        <v>45096</v>
      </c>
      <c r="B3710" s="7">
        <v>2.1031</v>
      </c>
      <c r="C3710" s="7">
        <v>2.5492</v>
      </c>
    </row>
    <row r="3711" spans="1:3">
      <c r="A3711" s="6">
        <v>45097</v>
      </c>
      <c r="B3711" s="7">
        <v>2.0909</v>
      </c>
      <c r="C3711" s="7">
        <v>2.533</v>
      </c>
    </row>
    <row r="3712" spans="1:3">
      <c r="A3712" s="6">
        <v>45098</v>
      </c>
      <c r="B3712" s="7">
        <v>2.0817</v>
      </c>
      <c r="C3712" s="7">
        <v>2.5138</v>
      </c>
    </row>
    <row r="3713" spans="1:3">
      <c r="A3713" s="6">
        <v>45102</v>
      </c>
      <c r="B3713" s="7">
        <v>2.03</v>
      </c>
      <c r="C3713" s="7">
        <v>2.51</v>
      </c>
    </row>
    <row r="3714" spans="1:3">
      <c r="A3714" s="6">
        <v>45103</v>
      </c>
      <c r="B3714" s="7">
        <v>2.0702</v>
      </c>
      <c r="C3714" s="7">
        <v>2.5051</v>
      </c>
    </row>
    <row r="3715" spans="1:3">
      <c r="A3715" s="6">
        <v>45104</v>
      </c>
      <c r="B3715" s="7">
        <v>2.0799</v>
      </c>
      <c r="C3715" s="7">
        <v>2.525</v>
      </c>
    </row>
    <row r="3716" spans="1:3">
      <c r="A3716" s="6">
        <v>45105</v>
      </c>
      <c r="B3716" s="7">
        <v>2.0701</v>
      </c>
      <c r="C3716" s="7">
        <v>2.503</v>
      </c>
    </row>
    <row r="3717" spans="1:3">
      <c r="A3717" s="6">
        <v>45106</v>
      </c>
      <c r="B3717" s="7">
        <v>2.0658</v>
      </c>
      <c r="C3717" s="7">
        <v>2.4965</v>
      </c>
    </row>
    <row r="3718" spans="1:3">
      <c r="A3718" s="6">
        <v>45107</v>
      </c>
      <c r="B3718" s="7">
        <v>2.0245</v>
      </c>
      <c r="C3718" s="7">
        <v>2.4626</v>
      </c>
    </row>
    <row r="3719" spans="1:3">
      <c r="A3719" s="6">
        <v>45110</v>
      </c>
      <c r="B3719" s="7">
        <v>2.0145</v>
      </c>
      <c r="C3719" s="7">
        <v>2.4583</v>
      </c>
    </row>
    <row r="3720" spans="1:3">
      <c r="A3720" s="6">
        <v>45111</v>
      </c>
      <c r="B3720" s="7">
        <v>2.0276</v>
      </c>
      <c r="C3720" s="7">
        <v>2.4656</v>
      </c>
    </row>
    <row r="3721" spans="1:3">
      <c r="A3721" s="6">
        <v>45112</v>
      </c>
      <c r="B3721" s="7">
        <v>2.0237</v>
      </c>
      <c r="C3721" s="7">
        <v>2.462</v>
      </c>
    </row>
    <row r="3722" spans="1:3">
      <c r="A3722" s="6">
        <v>45113</v>
      </c>
      <c r="B3722" s="7">
        <v>2.0188</v>
      </c>
      <c r="C3722" s="7">
        <v>2.4526</v>
      </c>
    </row>
    <row r="3723" spans="1:3">
      <c r="A3723" s="6">
        <v>45114</v>
      </c>
      <c r="B3723" s="7">
        <v>2.0195</v>
      </c>
      <c r="C3723" s="7">
        <v>2.4527</v>
      </c>
    </row>
    <row r="3724" spans="1:3">
      <c r="A3724" s="6">
        <v>45117</v>
      </c>
      <c r="B3724" s="7">
        <v>2.0265</v>
      </c>
      <c r="C3724" s="7">
        <v>2.462</v>
      </c>
    </row>
    <row r="3725" spans="1:3">
      <c r="A3725" s="6">
        <v>45118</v>
      </c>
      <c r="B3725" s="7">
        <v>2.0262</v>
      </c>
      <c r="C3725" s="7">
        <v>2.4504</v>
      </c>
    </row>
    <row r="3726" spans="1:3">
      <c r="A3726" s="6">
        <v>45119</v>
      </c>
      <c r="B3726" s="7">
        <v>2.0339</v>
      </c>
      <c r="C3726" s="7">
        <v>2.4635</v>
      </c>
    </row>
    <row r="3727" spans="1:3">
      <c r="A3727" s="6">
        <v>45120</v>
      </c>
      <c r="B3727" s="7">
        <v>2.0407</v>
      </c>
      <c r="C3727" s="7">
        <v>2.4721</v>
      </c>
    </row>
    <row r="3728" spans="1:3">
      <c r="A3728" s="6">
        <v>45121</v>
      </c>
      <c r="B3728" s="7">
        <v>2.0448</v>
      </c>
      <c r="C3728" s="7">
        <v>2.4807</v>
      </c>
    </row>
    <row r="3729" spans="1:3">
      <c r="A3729" s="6">
        <v>45124</v>
      </c>
      <c r="B3729" s="7">
        <v>2.037</v>
      </c>
      <c r="C3729" s="7">
        <v>2.462</v>
      </c>
    </row>
    <row r="3730" spans="1:3">
      <c r="A3730" s="6">
        <v>45125</v>
      </c>
      <c r="B3730" s="7">
        <v>2.0273</v>
      </c>
      <c r="C3730" s="7">
        <v>2.4495</v>
      </c>
    </row>
    <row r="3731" spans="1:3">
      <c r="A3731" s="6">
        <v>45126</v>
      </c>
      <c r="B3731" s="7">
        <v>2.0251</v>
      </c>
      <c r="C3731" s="7">
        <v>2.4482</v>
      </c>
    </row>
    <row r="3732" spans="1:3">
      <c r="A3732" s="6">
        <v>45127</v>
      </c>
      <c r="B3732" s="7">
        <v>2.0192</v>
      </c>
      <c r="C3732" s="7">
        <v>2.4538</v>
      </c>
    </row>
    <row r="3733" spans="1:3">
      <c r="A3733" s="6">
        <v>45128</v>
      </c>
      <c r="B3733" s="7">
        <v>2.0086</v>
      </c>
      <c r="C3733" s="7">
        <v>2.4352</v>
      </c>
    </row>
    <row r="3734" spans="1:3">
      <c r="A3734" s="6">
        <v>45131</v>
      </c>
      <c r="B3734" s="7">
        <v>2.0084</v>
      </c>
      <c r="C3734" s="7">
        <v>2.4377</v>
      </c>
    </row>
    <row r="3735" spans="1:3">
      <c r="A3735" s="6">
        <v>45132</v>
      </c>
      <c r="B3735" s="7">
        <v>2.0442</v>
      </c>
      <c r="C3735" s="7">
        <v>2.4898</v>
      </c>
    </row>
    <row r="3736" spans="1:3">
      <c r="A3736" s="6">
        <v>45133</v>
      </c>
      <c r="B3736" s="7">
        <v>2.044</v>
      </c>
      <c r="C3736" s="7">
        <v>2.5028</v>
      </c>
    </row>
    <row r="3737" spans="1:3">
      <c r="A3737" s="6">
        <v>45134</v>
      </c>
      <c r="B3737" s="7">
        <v>2.0224</v>
      </c>
      <c r="C3737" s="7">
        <v>2.478</v>
      </c>
    </row>
    <row r="3738" spans="1:3">
      <c r="A3738" s="6">
        <v>45135</v>
      </c>
      <c r="B3738" s="7">
        <v>2.0305</v>
      </c>
      <c r="C3738" s="7">
        <v>2.4967</v>
      </c>
    </row>
    <row r="3739" spans="1:3">
      <c r="A3739" s="6">
        <v>45138</v>
      </c>
      <c r="B3739" s="7">
        <v>2.045</v>
      </c>
      <c r="C3739" s="7">
        <v>2.524</v>
      </c>
    </row>
    <row r="3740" spans="1:3">
      <c r="A3740" s="6">
        <v>45139</v>
      </c>
      <c r="B3740" s="7">
        <v>2.0257</v>
      </c>
      <c r="C3740" s="7">
        <v>2.5033</v>
      </c>
    </row>
    <row r="3741" spans="1:3">
      <c r="A3741" s="6">
        <v>45140</v>
      </c>
      <c r="B3741" s="7">
        <v>2.0195</v>
      </c>
      <c r="C3741" s="7">
        <v>2.5</v>
      </c>
    </row>
    <row r="3742" spans="1:3">
      <c r="A3742" s="6">
        <v>45141</v>
      </c>
      <c r="B3742" s="7">
        <v>1.9928</v>
      </c>
      <c r="C3742" s="7">
        <v>2.4726</v>
      </c>
    </row>
    <row r="3743" spans="1:3">
      <c r="A3743" s="6">
        <v>45142</v>
      </c>
      <c r="B3743" s="7">
        <v>1.9783</v>
      </c>
      <c r="C3743" s="7">
        <v>2.4678</v>
      </c>
    </row>
    <row r="3744" spans="1:3">
      <c r="A3744" s="6">
        <v>45145</v>
      </c>
      <c r="B3744" s="7">
        <v>1.9977</v>
      </c>
      <c r="C3744" s="7">
        <v>2.4638</v>
      </c>
    </row>
    <row r="3745" spans="1:3">
      <c r="A3745" s="6">
        <v>45146</v>
      </c>
      <c r="B3745" s="7">
        <v>1.9855</v>
      </c>
      <c r="C3745" s="7">
        <v>2.4623</v>
      </c>
    </row>
    <row r="3746" spans="1:3">
      <c r="A3746" s="6">
        <v>45147</v>
      </c>
      <c r="B3746" s="7">
        <v>1.9891</v>
      </c>
      <c r="C3746" s="7">
        <v>2.4542</v>
      </c>
    </row>
    <row r="3747" spans="1:3">
      <c r="A3747" s="6">
        <v>45148</v>
      </c>
      <c r="B3747" s="7">
        <v>1.9893</v>
      </c>
      <c r="C3747" s="7">
        <v>2.4613</v>
      </c>
    </row>
    <row r="3748" spans="1:3">
      <c r="A3748" s="6">
        <v>45149</v>
      </c>
      <c r="B3748" s="7">
        <v>1.9756</v>
      </c>
      <c r="C3748" s="7">
        <v>2.4493</v>
      </c>
    </row>
    <row r="3749" spans="1:3">
      <c r="A3749" s="6">
        <v>45152</v>
      </c>
      <c r="B3749" s="7">
        <v>1.9521</v>
      </c>
      <c r="C3749" s="7">
        <v>2.408</v>
      </c>
    </row>
    <row r="3750" spans="1:3">
      <c r="A3750" s="6">
        <v>45153</v>
      </c>
      <c r="B3750" s="7">
        <v>1.9104</v>
      </c>
      <c r="C3750" s="7">
        <v>2.3412</v>
      </c>
    </row>
    <row r="3751" spans="1:3">
      <c r="A3751" s="6">
        <v>45154</v>
      </c>
      <c r="B3751" s="7">
        <v>1.9109</v>
      </c>
      <c r="C3751" s="7">
        <v>2.3408</v>
      </c>
    </row>
    <row r="3752" spans="1:3">
      <c r="A3752" s="6">
        <v>45155</v>
      </c>
      <c r="B3752" s="7">
        <v>1.9145</v>
      </c>
      <c r="C3752" s="7">
        <v>2.3517</v>
      </c>
    </row>
    <row r="3753" spans="1:3">
      <c r="A3753" s="6">
        <v>45156</v>
      </c>
      <c r="B3753" s="7">
        <v>1.9028</v>
      </c>
      <c r="C3753" s="7">
        <v>2.3346</v>
      </c>
    </row>
    <row r="3754" spans="1:3">
      <c r="A3754" s="6">
        <v>45159</v>
      </c>
      <c r="B3754" s="7">
        <v>1.8898</v>
      </c>
      <c r="C3754" s="7">
        <v>2.3018</v>
      </c>
    </row>
    <row r="3755" spans="1:3">
      <c r="A3755" s="6">
        <v>45160</v>
      </c>
      <c r="B3755" s="7">
        <v>1.9052</v>
      </c>
      <c r="C3755" s="7">
        <v>2.3178</v>
      </c>
    </row>
    <row r="3756" spans="1:3">
      <c r="A3756" s="6">
        <v>45161</v>
      </c>
      <c r="B3756" s="7">
        <v>1.9068</v>
      </c>
      <c r="C3756" s="7">
        <v>2.3306</v>
      </c>
    </row>
    <row r="3757" spans="1:3">
      <c r="A3757" s="6">
        <v>45162</v>
      </c>
      <c r="B3757" s="7">
        <v>1.8941</v>
      </c>
      <c r="C3757" s="7">
        <v>2.3216</v>
      </c>
    </row>
    <row r="3758" spans="1:3">
      <c r="A3758" s="6">
        <v>45163</v>
      </c>
      <c r="B3758" s="7">
        <v>1.916</v>
      </c>
      <c r="C3758" s="7">
        <v>2.3389</v>
      </c>
    </row>
    <row r="3759" spans="1:3">
      <c r="A3759" s="6">
        <v>45166</v>
      </c>
      <c r="B3759" s="7">
        <v>1.9401</v>
      </c>
      <c r="C3759" s="7">
        <v>2.3773</v>
      </c>
    </row>
    <row r="3760" spans="1:3">
      <c r="A3760" s="6">
        <v>45167</v>
      </c>
      <c r="B3760" s="7">
        <v>1.9459</v>
      </c>
      <c r="C3760" s="7">
        <v>2.3744</v>
      </c>
    </row>
    <row r="3761" spans="1:3">
      <c r="A3761" s="6">
        <v>45168</v>
      </c>
      <c r="B3761" s="7">
        <v>1.9393</v>
      </c>
      <c r="C3761" s="7">
        <v>2.363</v>
      </c>
    </row>
    <row r="3762" spans="1:3">
      <c r="A3762" s="6">
        <v>45169</v>
      </c>
      <c r="B3762" s="7">
        <v>1.9358</v>
      </c>
      <c r="C3762" s="7">
        <v>2.3583</v>
      </c>
    </row>
    <row r="3763" spans="1:3">
      <c r="A3763" s="6">
        <v>45170</v>
      </c>
      <c r="B3763" s="7">
        <v>1.9549</v>
      </c>
      <c r="C3763" s="7">
        <v>2.3989</v>
      </c>
    </row>
    <row r="3764" spans="1:3">
      <c r="A3764" s="6">
        <v>45173</v>
      </c>
      <c r="B3764" s="7">
        <v>1.9782</v>
      </c>
      <c r="C3764" s="7">
        <v>2.444</v>
      </c>
    </row>
    <row r="3765" spans="1:3">
      <c r="A3765" s="6">
        <v>45174</v>
      </c>
      <c r="B3765" s="7">
        <v>1.9762</v>
      </c>
      <c r="C3765" s="7">
        <v>2.4362</v>
      </c>
    </row>
    <row r="3766" spans="1:3">
      <c r="A3766" s="6">
        <v>45175</v>
      </c>
      <c r="B3766" s="7">
        <v>2.0075</v>
      </c>
      <c r="C3766" s="7">
        <v>2.4655</v>
      </c>
    </row>
    <row r="3767" spans="1:3">
      <c r="A3767" s="6">
        <v>45176</v>
      </c>
      <c r="B3767" s="7">
        <v>2.0472</v>
      </c>
      <c r="C3767" s="7">
        <v>2.4887</v>
      </c>
    </row>
    <row r="3768" spans="1:3">
      <c r="A3768" s="6">
        <v>45177</v>
      </c>
      <c r="B3768" s="7">
        <v>2.046</v>
      </c>
      <c r="C3768" s="7">
        <v>2.4867</v>
      </c>
    </row>
    <row r="3769" spans="1:3">
      <c r="A3769" s="6">
        <v>45180</v>
      </c>
      <c r="B3769" s="7">
        <v>2.0687</v>
      </c>
      <c r="C3769" s="7">
        <v>2.4962</v>
      </c>
    </row>
    <row r="3770" spans="1:3">
      <c r="A3770" s="6">
        <v>45181</v>
      </c>
      <c r="B3770" s="7">
        <v>2.0333</v>
      </c>
      <c r="C3770" s="7">
        <v>2.4618</v>
      </c>
    </row>
    <row r="3771" spans="1:3">
      <c r="A3771" s="6">
        <v>45182</v>
      </c>
      <c r="B3771" s="7">
        <v>2.0084</v>
      </c>
      <c r="C3771" s="7">
        <v>2.4391</v>
      </c>
    </row>
    <row r="3772" spans="1:3">
      <c r="A3772" s="6">
        <v>45183</v>
      </c>
      <c r="B3772" s="7">
        <v>2.0138</v>
      </c>
      <c r="C3772" s="7">
        <v>2.4341</v>
      </c>
    </row>
    <row r="3773" spans="1:3">
      <c r="A3773" s="6">
        <v>45184</v>
      </c>
      <c r="B3773" s="7">
        <v>2.0089</v>
      </c>
      <c r="C3773" s="7">
        <v>2.4423</v>
      </c>
    </row>
    <row r="3774" spans="1:3">
      <c r="A3774" s="6">
        <v>45187</v>
      </c>
      <c r="B3774" s="7">
        <v>2.0505</v>
      </c>
      <c r="C3774" s="7">
        <v>2.4858</v>
      </c>
    </row>
    <row r="3775" spans="1:3">
      <c r="A3775" s="6">
        <v>45188</v>
      </c>
      <c r="B3775" s="7">
        <v>2.0597</v>
      </c>
      <c r="C3775" s="7">
        <v>2.4778</v>
      </c>
    </row>
    <row r="3776" spans="1:3">
      <c r="A3776" s="6">
        <v>45189</v>
      </c>
      <c r="B3776" s="7">
        <v>2.0564</v>
      </c>
      <c r="C3776" s="7">
        <v>2.4757</v>
      </c>
    </row>
    <row r="3777" spans="1:3">
      <c r="A3777" s="6">
        <v>45190</v>
      </c>
      <c r="B3777" s="7">
        <v>2.0333</v>
      </c>
      <c r="C3777" s="7">
        <v>2.4506</v>
      </c>
    </row>
    <row r="3778" spans="1:3">
      <c r="A3778" s="6">
        <v>45191</v>
      </c>
      <c r="B3778" s="7">
        <v>2.0287</v>
      </c>
      <c r="C3778" s="7">
        <v>2.4663</v>
      </c>
    </row>
    <row r="3779" spans="1:3">
      <c r="A3779" s="6">
        <v>45194</v>
      </c>
      <c r="B3779" s="7">
        <v>2.0411</v>
      </c>
      <c r="C3779" s="7">
        <v>2.4764</v>
      </c>
    </row>
    <row r="3780" spans="1:3">
      <c r="A3780" s="6">
        <v>45195</v>
      </c>
      <c r="B3780" s="7">
        <v>2.0561</v>
      </c>
      <c r="C3780" s="7">
        <v>2.4884</v>
      </c>
    </row>
    <row r="3781" spans="1:3">
      <c r="A3781" s="6">
        <v>45196</v>
      </c>
      <c r="B3781" s="7">
        <v>2.0319</v>
      </c>
      <c r="C3781" s="7">
        <v>2.4758</v>
      </c>
    </row>
    <row r="3782" spans="1:3">
      <c r="A3782" s="6">
        <v>45197</v>
      </c>
      <c r="B3782" s="7">
        <v>2.018</v>
      </c>
      <c r="C3782" s="7">
        <v>2.4547</v>
      </c>
    </row>
    <row r="3783" spans="1:3">
      <c r="A3783" s="6">
        <v>45208</v>
      </c>
      <c r="B3783" s="7">
        <v>2.0345</v>
      </c>
      <c r="C3783" s="7">
        <v>2.4585</v>
      </c>
    </row>
    <row r="3784" spans="1:3">
      <c r="A3784" s="6">
        <v>45209</v>
      </c>
      <c r="B3784" s="7">
        <v>2.0616</v>
      </c>
      <c r="C3784" s="7">
        <v>2.481</v>
      </c>
    </row>
    <row r="3785" spans="1:3">
      <c r="A3785" s="6">
        <v>45210</v>
      </c>
      <c r="B3785" s="7">
        <v>2.0856</v>
      </c>
      <c r="C3785" s="7">
        <v>2.5085</v>
      </c>
    </row>
    <row r="3786" spans="1:3">
      <c r="A3786" s="6">
        <v>45211</v>
      </c>
      <c r="B3786" s="7">
        <v>2.0857</v>
      </c>
      <c r="C3786" s="7">
        <v>2.5174</v>
      </c>
    </row>
    <row r="3787" spans="1:3">
      <c r="A3787" s="6">
        <v>45212</v>
      </c>
      <c r="B3787" s="7">
        <v>2.0721</v>
      </c>
      <c r="C3787" s="7">
        <v>2.4907</v>
      </c>
    </row>
    <row r="3788" spans="1:3">
      <c r="A3788" s="6">
        <v>45215</v>
      </c>
      <c r="B3788" s="7">
        <v>2.0716</v>
      </c>
      <c r="C3788" s="7">
        <v>2.4864</v>
      </c>
    </row>
    <row r="3789" spans="1:3">
      <c r="A3789" s="6">
        <v>45216</v>
      </c>
      <c r="B3789" s="7">
        <v>2.0892</v>
      </c>
      <c r="C3789" s="7">
        <v>2.5047</v>
      </c>
    </row>
    <row r="3790" spans="1:3">
      <c r="A3790" s="6">
        <v>45217</v>
      </c>
      <c r="B3790" s="7">
        <v>2.0948</v>
      </c>
      <c r="C3790" s="7">
        <v>2.5093</v>
      </c>
    </row>
    <row r="3791" spans="1:3">
      <c r="A3791" s="6">
        <v>45218</v>
      </c>
      <c r="B3791" s="7">
        <v>2.1315</v>
      </c>
      <c r="C3791" s="7">
        <v>2.5373</v>
      </c>
    </row>
    <row r="3792" spans="1:3">
      <c r="A3792" s="6">
        <v>45219</v>
      </c>
      <c r="B3792" s="7">
        <v>2.1546</v>
      </c>
      <c r="C3792" s="7">
        <v>2.543</v>
      </c>
    </row>
    <row r="3793" spans="1:3">
      <c r="A3793" s="6">
        <v>45222</v>
      </c>
      <c r="B3793" s="7">
        <v>2.1248</v>
      </c>
      <c r="C3793" s="7">
        <v>2.5147</v>
      </c>
    </row>
    <row r="3794" spans="1:3">
      <c r="A3794" s="6">
        <v>45223</v>
      </c>
      <c r="B3794" s="7">
        <v>2.1514</v>
      </c>
      <c r="C3794" s="7">
        <v>2.5376</v>
      </c>
    </row>
    <row r="3795" spans="1:3">
      <c r="A3795" s="6">
        <v>45224</v>
      </c>
      <c r="B3795" s="7">
        <v>2.1161</v>
      </c>
      <c r="C3795" s="7">
        <v>2.5179</v>
      </c>
    </row>
    <row r="3796" spans="1:3">
      <c r="A3796" s="6">
        <v>45225</v>
      </c>
      <c r="B3796" s="7">
        <v>2.0937</v>
      </c>
      <c r="C3796" s="7">
        <v>2.493</v>
      </c>
    </row>
    <row r="3797" spans="1:3">
      <c r="A3797" s="6">
        <v>45226</v>
      </c>
      <c r="B3797" s="7">
        <v>2.0931</v>
      </c>
      <c r="C3797" s="7">
        <v>2.4967</v>
      </c>
    </row>
    <row r="3798" spans="1:3">
      <c r="A3798" s="6">
        <v>45229</v>
      </c>
      <c r="B3798" s="7">
        <v>2.0753</v>
      </c>
      <c r="C3798" s="7">
        <v>2.4802</v>
      </c>
    </row>
    <row r="3799" spans="1:3">
      <c r="A3799" s="6">
        <v>45230</v>
      </c>
      <c r="B3799" s="7">
        <v>2.0688</v>
      </c>
      <c r="C3799" s="7">
        <v>2.4624</v>
      </c>
    </row>
    <row r="3800" spans="1:3">
      <c r="A3800" s="6">
        <v>45231</v>
      </c>
      <c r="B3800" s="7">
        <v>2.086</v>
      </c>
      <c r="C3800" s="7">
        <v>2.4655</v>
      </c>
    </row>
    <row r="3801" spans="1:3">
      <c r="A3801" s="6">
        <v>45232</v>
      </c>
      <c r="B3801" s="7">
        <v>2.0516</v>
      </c>
      <c r="C3801" s="7">
        <v>2.4391</v>
      </c>
    </row>
    <row r="3802" spans="1:3">
      <c r="A3802" s="6">
        <v>45233</v>
      </c>
      <c r="B3802" s="7">
        <v>2.0484</v>
      </c>
      <c r="C3802" s="7">
        <v>2.4415</v>
      </c>
    </row>
    <row r="3803" spans="1:3">
      <c r="A3803" s="6">
        <v>45236</v>
      </c>
      <c r="B3803" s="7">
        <v>2.0545</v>
      </c>
      <c r="C3803" s="7">
        <v>2.4391</v>
      </c>
    </row>
    <row r="3804" spans="1:3">
      <c r="A3804" s="6">
        <v>45237</v>
      </c>
      <c r="B3804" s="7">
        <v>2.0692</v>
      </c>
      <c r="C3804" s="7">
        <v>2.4395</v>
      </c>
    </row>
    <row r="3805" spans="1:3">
      <c r="A3805" s="6">
        <v>45238</v>
      </c>
      <c r="B3805" s="7">
        <v>2.0783</v>
      </c>
      <c r="C3805" s="7">
        <v>2.4431</v>
      </c>
    </row>
    <row r="3806" spans="1:3">
      <c r="A3806" s="6">
        <v>45239</v>
      </c>
      <c r="B3806" s="7">
        <v>2.071</v>
      </c>
      <c r="C3806" s="7">
        <v>2.4228</v>
      </c>
    </row>
    <row r="3807" spans="1:3">
      <c r="A3807" s="6">
        <v>45240</v>
      </c>
      <c r="B3807" s="7">
        <v>2.0693</v>
      </c>
      <c r="C3807" s="7">
        <v>2.4223</v>
      </c>
    </row>
    <row r="3808" spans="1:3">
      <c r="A3808" s="6">
        <v>45243</v>
      </c>
      <c r="B3808" s="7">
        <v>2.0534</v>
      </c>
      <c r="C3808" s="7">
        <v>2.4036</v>
      </c>
    </row>
    <row r="3809" spans="1:3">
      <c r="A3809" s="6">
        <v>45244</v>
      </c>
      <c r="B3809" s="7">
        <v>2.0639</v>
      </c>
      <c r="C3809" s="7">
        <v>2.4125</v>
      </c>
    </row>
    <row r="3810" spans="1:3">
      <c r="A3810" s="6">
        <v>45245</v>
      </c>
      <c r="B3810" s="7">
        <v>2.0645</v>
      </c>
      <c r="C3810" s="7">
        <v>2.4214</v>
      </c>
    </row>
    <row r="3811" spans="1:3">
      <c r="A3811" s="6">
        <v>45246</v>
      </c>
      <c r="B3811" s="7">
        <v>2.0637</v>
      </c>
      <c r="C3811" s="7">
        <v>2.4097</v>
      </c>
    </row>
    <row r="3812" spans="1:3">
      <c r="A3812" s="6">
        <v>45247</v>
      </c>
      <c r="B3812" s="7">
        <v>2.0651</v>
      </c>
      <c r="C3812" s="7">
        <v>2.4087</v>
      </c>
    </row>
    <row r="3813" spans="1:3">
      <c r="A3813" s="6">
        <v>45250</v>
      </c>
      <c r="B3813" s="7">
        <v>2.0781</v>
      </c>
      <c r="C3813" s="7">
        <v>2.4187</v>
      </c>
    </row>
    <row r="3814" spans="1:3">
      <c r="A3814" s="6">
        <v>45251</v>
      </c>
      <c r="B3814" s="7">
        <v>2.096</v>
      </c>
      <c r="C3814" s="7">
        <v>2.4322</v>
      </c>
    </row>
    <row r="3815" spans="1:3">
      <c r="A3815" s="6">
        <v>45252</v>
      </c>
      <c r="B3815" s="7">
        <v>2.1167</v>
      </c>
      <c r="C3815" s="7">
        <v>2.4423</v>
      </c>
    </row>
    <row r="3816" spans="1:3">
      <c r="A3816" s="6">
        <v>45253</v>
      </c>
      <c r="B3816" s="7">
        <v>2.1343</v>
      </c>
      <c r="C3816" s="7">
        <v>2.4745</v>
      </c>
    </row>
    <row r="3817" spans="1:3">
      <c r="A3817" s="6">
        <v>45254</v>
      </c>
      <c r="B3817" s="7">
        <v>2.1393</v>
      </c>
      <c r="C3817" s="7">
        <v>2.4763</v>
      </c>
    </row>
    <row r="3818" spans="1:3">
      <c r="A3818" s="6">
        <v>45257</v>
      </c>
      <c r="B3818" s="7">
        <v>2.179</v>
      </c>
      <c r="C3818" s="7">
        <v>2.495</v>
      </c>
    </row>
    <row r="3819" spans="1:3">
      <c r="A3819" s="6">
        <v>45258</v>
      </c>
      <c r="B3819" s="7">
        <v>2.1637</v>
      </c>
      <c r="C3819" s="7">
        <v>2.4751</v>
      </c>
    </row>
    <row r="3820" spans="1:3">
      <c r="A3820" s="6">
        <v>45259</v>
      </c>
      <c r="B3820" s="7">
        <v>2.1634</v>
      </c>
      <c r="C3820" s="7">
        <v>2.4624</v>
      </c>
    </row>
    <row r="3821" spans="1:3">
      <c r="A3821" s="6">
        <v>45260</v>
      </c>
      <c r="B3821" s="7">
        <v>2.133</v>
      </c>
      <c r="C3821" s="7">
        <v>2.4491</v>
      </c>
    </row>
    <row r="3822" spans="1:3">
      <c r="A3822" s="6">
        <v>45261</v>
      </c>
      <c r="B3822" s="7">
        <v>2.1199</v>
      </c>
      <c r="C3822" s="7">
        <v>2.4516</v>
      </c>
    </row>
    <row r="3823" spans="1:3">
      <c r="A3823" s="6">
        <v>45264</v>
      </c>
      <c r="B3823" s="7">
        <v>2.1579</v>
      </c>
      <c r="C3823" s="7">
        <v>2.4602</v>
      </c>
    </row>
    <row r="3824" spans="1:3">
      <c r="A3824" s="6">
        <v>45265</v>
      </c>
      <c r="B3824" s="7">
        <v>2.1798</v>
      </c>
      <c r="C3824" s="7">
        <v>2.4677</v>
      </c>
    </row>
    <row r="3825" spans="1:3">
      <c r="A3825" s="6">
        <v>45266</v>
      </c>
      <c r="B3825" s="7">
        <v>2.1959</v>
      </c>
      <c r="C3825" s="7">
        <v>2.4696</v>
      </c>
    </row>
    <row r="3826" spans="1:3">
      <c r="A3826" s="6">
        <v>45267</v>
      </c>
      <c r="B3826" s="7">
        <v>2.1865</v>
      </c>
      <c r="C3826" s="7">
        <v>2.4673</v>
      </c>
    </row>
    <row r="3827" spans="1:3">
      <c r="A3827" s="6">
        <v>45268</v>
      </c>
      <c r="B3827" s="7">
        <v>2.1711</v>
      </c>
      <c r="C3827" s="7">
        <v>2.4532</v>
      </c>
    </row>
    <row r="3828" spans="1:3">
      <c r="A3828" s="6">
        <v>45271</v>
      </c>
      <c r="B3828" s="7">
        <v>2.1694</v>
      </c>
      <c r="C3828" s="7">
        <v>2.4233</v>
      </c>
    </row>
    <row r="3829" spans="1:3">
      <c r="A3829" s="6">
        <v>45272</v>
      </c>
      <c r="B3829" s="7">
        <v>2.1657</v>
      </c>
      <c r="C3829" s="7">
        <v>2.4199</v>
      </c>
    </row>
    <row r="3830" spans="1:3">
      <c r="A3830" s="6">
        <v>45273</v>
      </c>
      <c r="B3830" s="7">
        <v>2.1264</v>
      </c>
      <c r="C3830" s="7">
        <v>2.3908</v>
      </c>
    </row>
    <row r="3831" spans="1:3">
      <c r="A3831" s="6">
        <v>45274</v>
      </c>
      <c r="B3831" s="7">
        <v>2.0979</v>
      </c>
      <c r="C3831" s="7">
        <v>2.3744</v>
      </c>
    </row>
    <row r="3832" spans="1:3">
      <c r="A3832" s="6">
        <v>45275</v>
      </c>
      <c r="B3832" s="7">
        <v>2.082</v>
      </c>
      <c r="C3832" s="7">
        <v>2.3714</v>
      </c>
    </row>
    <row r="3833" spans="1:3">
      <c r="A3833" s="6">
        <v>45278</v>
      </c>
      <c r="B3833" s="7">
        <v>2.0943</v>
      </c>
      <c r="C3833" s="7">
        <v>2.363</v>
      </c>
    </row>
    <row r="3834" spans="1:3">
      <c r="A3834" s="6">
        <v>45279</v>
      </c>
      <c r="B3834" s="7">
        <v>2.1047</v>
      </c>
      <c r="C3834" s="7">
        <v>2.3641</v>
      </c>
    </row>
    <row r="3835" spans="1:3">
      <c r="A3835" s="6">
        <v>45280</v>
      </c>
      <c r="B3835" s="7">
        <v>2.1045</v>
      </c>
      <c r="C3835" s="7">
        <v>2.3639</v>
      </c>
    </row>
    <row r="3836" spans="1:3">
      <c r="A3836" s="6">
        <v>45281</v>
      </c>
      <c r="B3836" s="7">
        <v>2.1073</v>
      </c>
      <c r="C3836" s="7">
        <v>2.3622</v>
      </c>
    </row>
    <row r="3837" spans="1:3">
      <c r="A3837" s="6">
        <v>45282</v>
      </c>
      <c r="B3837" s="7">
        <v>2.0612</v>
      </c>
      <c r="C3837" s="7">
        <v>2.3331</v>
      </c>
    </row>
    <row r="3838" spans="1:3">
      <c r="A3838" s="6">
        <v>45285</v>
      </c>
      <c r="B3838" s="7">
        <v>2.0443</v>
      </c>
      <c r="C3838" s="7">
        <v>2.3162</v>
      </c>
    </row>
    <row r="3839" spans="1:3">
      <c r="A3839" s="6">
        <v>45286</v>
      </c>
      <c r="B3839" s="7">
        <v>2.0352</v>
      </c>
      <c r="C3839" s="7">
        <v>2.3104</v>
      </c>
    </row>
    <row r="3840" spans="1:3">
      <c r="A3840" s="6">
        <v>45287</v>
      </c>
      <c r="B3840" s="7">
        <v>2.0189</v>
      </c>
      <c r="C3840" s="7">
        <v>2.3184</v>
      </c>
    </row>
    <row r="3841" spans="1:3">
      <c r="A3841" s="6">
        <v>45288</v>
      </c>
      <c r="B3841" s="7">
        <v>1.9952</v>
      </c>
      <c r="C3841" s="7">
        <v>2.3223</v>
      </c>
    </row>
    <row r="3842" spans="1:3">
      <c r="A3842" s="6">
        <v>45289</v>
      </c>
      <c r="B3842" s="7">
        <v>1.9857</v>
      </c>
      <c r="C3842" s="7">
        <v>2.3245</v>
      </c>
    </row>
    <row r="3843" spans="1:3">
      <c r="A3843" s="6">
        <v>45293</v>
      </c>
      <c r="B3843" s="7">
        <v>2.0208</v>
      </c>
      <c r="C3843" s="7">
        <v>2.3324</v>
      </c>
    </row>
    <row r="3844" spans="1:3">
      <c r="A3844" s="6">
        <v>45294</v>
      </c>
      <c r="B3844" s="7">
        <v>2.0652</v>
      </c>
      <c r="C3844" s="7">
        <v>2.346</v>
      </c>
    </row>
    <row r="3845" spans="1:3">
      <c r="A3845" s="6">
        <v>45295</v>
      </c>
      <c r="B3845" s="7">
        <v>2.0672</v>
      </c>
      <c r="C3845" s="7">
        <v>2.3387</v>
      </c>
    </row>
    <row r="3846" spans="1:3">
      <c r="A3846" s="6">
        <v>45296</v>
      </c>
      <c r="B3846" s="7">
        <v>2.0512</v>
      </c>
      <c r="C3846" s="7">
        <v>2.3121</v>
      </c>
    </row>
    <row r="3847" spans="1:3">
      <c r="A3847" s="6">
        <v>45299</v>
      </c>
      <c r="B3847" s="7">
        <v>2.0606</v>
      </c>
      <c r="C3847" s="7">
        <v>2.3141</v>
      </c>
    </row>
    <row r="3848" spans="1:3">
      <c r="A3848" s="6">
        <v>45300</v>
      </c>
      <c r="B3848" s="7">
        <v>2.0431</v>
      </c>
      <c r="C3848" s="7">
        <v>2.2903</v>
      </c>
    </row>
    <row r="3849" spans="1:3">
      <c r="A3849" s="6">
        <v>45301</v>
      </c>
      <c r="B3849" s="7">
        <v>2.0585</v>
      </c>
      <c r="C3849" s="7">
        <v>2.2951</v>
      </c>
    </row>
    <row r="3850" spans="1:3">
      <c r="A3850" s="6">
        <v>45302</v>
      </c>
      <c r="B3850" s="7">
        <v>2.0534</v>
      </c>
      <c r="C3850" s="7">
        <v>2.2941</v>
      </c>
    </row>
    <row r="3851" spans="1:3">
      <c r="A3851" s="6">
        <v>45303</v>
      </c>
      <c r="B3851" s="7">
        <v>2.0402</v>
      </c>
      <c r="C3851" s="7">
        <v>2.2977</v>
      </c>
    </row>
    <row r="3852" spans="1:3">
      <c r="A3852" s="6">
        <v>45306</v>
      </c>
      <c r="B3852" s="7">
        <v>2.0704</v>
      </c>
      <c r="C3852" s="7">
        <v>2.2994</v>
      </c>
    </row>
    <row r="3853" spans="1:3">
      <c r="A3853" s="6">
        <v>45307</v>
      </c>
      <c r="B3853" s="7">
        <v>2.1048</v>
      </c>
      <c r="C3853" s="7">
        <v>2.317</v>
      </c>
    </row>
    <row r="3854" spans="1:3">
      <c r="A3854" s="6">
        <v>45308</v>
      </c>
      <c r="B3854" s="7">
        <v>2.103</v>
      </c>
      <c r="C3854" s="7">
        <v>2.305</v>
      </c>
    </row>
    <row r="3855" spans="1:3">
      <c r="A3855" s="6">
        <v>45309</v>
      </c>
      <c r="B3855" s="7">
        <v>2.0938</v>
      </c>
      <c r="C3855" s="7">
        <v>2.2987</v>
      </c>
    </row>
    <row r="3856" spans="1:3">
      <c r="A3856" s="6">
        <v>45310</v>
      </c>
      <c r="B3856" s="7">
        <v>2.0717</v>
      </c>
      <c r="C3856" s="7">
        <v>2.2965</v>
      </c>
    </row>
    <row r="3857" spans="1:3">
      <c r="A3857" s="6">
        <v>45313</v>
      </c>
      <c r="B3857" s="7">
        <v>2.0869</v>
      </c>
      <c r="C3857" s="7">
        <v>2.2916</v>
      </c>
    </row>
    <row r="3858" spans="1:3">
      <c r="A3858" s="6">
        <v>45314</v>
      </c>
      <c r="B3858" s="7">
        <v>2.085</v>
      </c>
      <c r="C3858" s="7">
        <v>2.3025</v>
      </c>
    </row>
    <row r="3859" spans="1:3">
      <c r="A3859" s="6">
        <v>45315</v>
      </c>
      <c r="B3859" s="7">
        <v>2.0613</v>
      </c>
      <c r="C3859" s="7">
        <v>2.2955</v>
      </c>
    </row>
    <row r="3860" spans="1:3">
      <c r="A3860" s="6">
        <v>45316</v>
      </c>
      <c r="B3860" s="7">
        <v>2.0223</v>
      </c>
      <c r="C3860" s="7">
        <v>2.2648</v>
      </c>
    </row>
    <row r="3861" spans="1:3">
      <c r="A3861" s="6">
        <v>45317</v>
      </c>
      <c r="B3861" s="7">
        <v>2.0028</v>
      </c>
      <c r="C3861" s="7">
        <v>2.2585</v>
      </c>
    </row>
    <row r="3862" spans="1:3">
      <c r="A3862" s="6">
        <v>45320</v>
      </c>
      <c r="B3862" s="7">
        <v>1.9965</v>
      </c>
      <c r="C3862" s="7">
        <v>2.2389</v>
      </c>
    </row>
    <row r="3863" spans="1:3">
      <c r="A3863" s="6">
        <v>45321</v>
      </c>
      <c r="B3863" s="7">
        <v>1.9438</v>
      </c>
      <c r="C3863" s="7">
        <v>2.1815</v>
      </c>
    </row>
    <row r="3864" spans="1:3">
      <c r="A3864" s="6">
        <v>45322</v>
      </c>
      <c r="B3864" s="7">
        <v>1.9714</v>
      </c>
      <c r="C3864" s="7">
        <v>2.1764</v>
      </c>
    </row>
    <row r="3865" spans="1:3">
      <c r="A3865" s="6">
        <v>45323</v>
      </c>
      <c r="B3865" s="7">
        <v>1.9749</v>
      </c>
      <c r="C3865" s="7">
        <v>2.1866</v>
      </c>
    </row>
    <row r="3866" spans="1:3">
      <c r="A3866" s="6">
        <v>45324</v>
      </c>
      <c r="B3866" s="7">
        <v>1.9718</v>
      </c>
      <c r="C3866" s="7">
        <v>2.1901</v>
      </c>
    </row>
    <row r="3867" spans="1:3">
      <c r="A3867" s="6">
        <v>45326</v>
      </c>
      <c r="B3867" s="7">
        <v>1.9572</v>
      </c>
      <c r="C3867" s="7">
        <v>2.1745</v>
      </c>
    </row>
    <row r="3868" spans="1:3">
      <c r="A3868" s="6">
        <v>45327</v>
      </c>
      <c r="B3868" s="7">
        <v>1.9676</v>
      </c>
      <c r="C3868" s="7">
        <v>2.1768</v>
      </c>
    </row>
    <row r="3869" spans="1:3">
      <c r="A3869" s="6">
        <v>45328</v>
      </c>
      <c r="B3869" s="7">
        <v>1.9814</v>
      </c>
      <c r="C3869" s="7">
        <v>2.2077</v>
      </c>
    </row>
    <row r="3870" spans="1:3">
      <c r="A3870" s="6">
        <v>45329</v>
      </c>
      <c r="B3870" s="7">
        <v>1.9721</v>
      </c>
      <c r="C3870" s="7">
        <v>2.2084</v>
      </c>
    </row>
    <row r="3871" spans="1:3">
      <c r="A3871" s="6">
        <v>45330</v>
      </c>
      <c r="B3871" s="7">
        <v>1.9469</v>
      </c>
      <c r="C3871" s="7">
        <v>2.1921</v>
      </c>
    </row>
    <row r="3872" spans="1:3">
      <c r="A3872" s="6">
        <v>45331</v>
      </c>
      <c r="B3872" s="7"/>
      <c r="C3872" s="7">
        <v>2.21</v>
      </c>
    </row>
    <row r="3873" spans="1:3">
      <c r="A3873" s="6">
        <v>45340</v>
      </c>
      <c r="B3873" s="7">
        <v>1.9608</v>
      </c>
      <c r="C3873" s="7">
        <v>2.2092</v>
      </c>
    </row>
    <row r="3874" spans="1:3">
      <c r="A3874" s="6">
        <v>45341</v>
      </c>
      <c r="B3874" s="7">
        <v>1.9744</v>
      </c>
      <c r="C3874" s="7">
        <v>2.2149</v>
      </c>
    </row>
    <row r="3875" spans="1:3">
      <c r="A3875" s="6">
        <v>45342</v>
      </c>
      <c r="B3875" s="7">
        <v>1.9593</v>
      </c>
      <c r="C3875" s="7">
        <v>2.1944</v>
      </c>
    </row>
    <row r="3876" spans="1:3">
      <c r="A3876" s="6">
        <v>45343</v>
      </c>
      <c r="B3876" s="7">
        <v>1.9506</v>
      </c>
      <c r="C3876" s="7">
        <v>2.1834</v>
      </c>
    </row>
    <row r="3877" spans="1:3">
      <c r="A3877" s="6">
        <v>45344</v>
      </c>
      <c r="B3877" s="7">
        <v>1.941</v>
      </c>
      <c r="C3877" s="7">
        <v>2.1718</v>
      </c>
    </row>
    <row r="3878" spans="1:3">
      <c r="A3878" s="6">
        <v>45345</v>
      </c>
      <c r="B3878" s="7">
        <v>1.9219</v>
      </c>
      <c r="C3878" s="7">
        <v>2.1423</v>
      </c>
    </row>
    <row r="3879" spans="1:3">
      <c r="A3879" s="6">
        <v>45348</v>
      </c>
      <c r="B3879" s="7">
        <v>1.9391</v>
      </c>
      <c r="C3879" s="7">
        <v>2.1468</v>
      </c>
    </row>
    <row r="3880" spans="1:3">
      <c r="A3880" s="6">
        <v>45349</v>
      </c>
      <c r="B3880" s="7">
        <v>1.9447</v>
      </c>
      <c r="C3880" s="7">
        <v>2.1433</v>
      </c>
    </row>
    <row r="3881" spans="1:3">
      <c r="A3881" s="6">
        <v>45350</v>
      </c>
      <c r="B3881" s="7">
        <v>1.944</v>
      </c>
      <c r="C3881" s="7">
        <v>2.1474</v>
      </c>
    </row>
    <row r="3882" spans="1:3">
      <c r="A3882" s="6">
        <v>45351</v>
      </c>
      <c r="B3882" s="7">
        <v>1.9267</v>
      </c>
      <c r="C3882" s="7">
        <v>2.1378</v>
      </c>
    </row>
    <row r="3883" spans="1:3">
      <c r="A3883" s="6">
        <v>45352</v>
      </c>
      <c r="B3883" s="7">
        <v>1.9451</v>
      </c>
      <c r="C3883" s="7">
        <v>2.1722</v>
      </c>
    </row>
    <row r="3884" spans="1:3">
      <c r="A3884" s="6">
        <v>45355</v>
      </c>
      <c r="B3884" s="7">
        <v>1.9476</v>
      </c>
      <c r="C3884" s="7">
        <v>2.1638</v>
      </c>
    </row>
    <row r="3885" spans="1:3">
      <c r="A3885" s="6">
        <v>45356</v>
      </c>
      <c r="B3885" s="7">
        <v>1.9557</v>
      </c>
      <c r="C3885" s="7">
        <v>2.1591</v>
      </c>
    </row>
    <row r="3886" spans="1:3">
      <c r="A3886" s="6">
        <v>45357</v>
      </c>
      <c r="B3886" s="7">
        <v>1.946</v>
      </c>
      <c r="C3886" s="7">
        <v>2.1318</v>
      </c>
    </row>
    <row r="3887" spans="1:3">
      <c r="A3887" s="6">
        <v>45358</v>
      </c>
      <c r="B3887" s="7">
        <v>1.9312</v>
      </c>
      <c r="C3887" s="7">
        <v>2.1139</v>
      </c>
    </row>
    <row r="3888" spans="1:3">
      <c r="A3888" s="6">
        <v>45359</v>
      </c>
      <c r="B3888" s="7">
        <v>1.9374</v>
      </c>
      <c r="C3888" s="7">
        <v>2.1309</v>
      </c>
    </row>
    <row r="3889" spans="1:3">
      <c r="A3889" s="6">
        <v>45362</v>
      </c>
      <c r="B3889" s="7">
        <v>1.9505</v>
      </c>
      <c r="C3889" s="7">
        <v>2.1394</v>
      </c>
    </row>
    <row r="3890" spans="1:3">
      <c r="A3890" s="6">
        <v>45363</v>
      </c>
      <c r="B3890" s="7">
        <v>1.9616</v>
      </c>
      <c r="C3890" s="7">
        <v>2.1642</v>
      </c>
    </row>
    <row r="3891" spans="1:3">
      <c r="A3891" s="6">
        <v>45364</v>
      </c>
      <c r="B3891" s="7">
        <v>1.9695</v>
      </c>
      <c r="C3891" s="7">
        <v>2.171</v>
      </c>
    </row>
    <row r="3892" spans="1:3">
      <c r="A3892" s="6">
        <v>45365</v>
      </c>
      <c r="B3892" s="7">
        <v>1.9735</v>
      </c>
      <c r="C3892" s="7">
        <v>2.1683</v>
      </c>
    </row>
    <row r="3893" spans="1:3">
      <c r="A3893" s="6">
        <v>45366</v>
      </c>
      <c r="B3893" s="7">
        <v>1.971</v>
      </c>
      <c r="C3893" s="7">
        <v>2.1632</v>
      </c>
    </row>
    <row r="3894" spans="1:3">
      <c r="A3894" s="6">
        <v>45369</v>
      </c>
      <c r="B3894" s="7">
        <v>1.9663</v>
      </c>
      <c r="C3894" s="7">
        <v>2.1543</v>
      </c>
    </row>
    <row r="3895" spans="1:3">
      <c r="A3895" s="6">
        <v>45370</v>
      </c>
      <c r="B3895" s="7">
        <v>1.9648</v>
      </c>
      <c r="C3895" s="7">
        <v>2.1438</v>
      </c>
    </row>
    <row r="3896" spans="1:3">
      <c r="A3896" s="6">
        <v>45371</v>
      </c>
      <c r="B3896" s="7">
        <v>1.9796</v>
      </c>
      <c r="C3896" s="7">
        <v>2.1643</v>
      </c>
    </row>
    <row r="3897" spans="1:3">
      <c r="A3897" s="6">
        <v>45372</v>
      </c>
      <c r="B3897" s="7">
        <v>1.9691</v>
      </c>
      <c r="C3897" s="7">
        <v>2.1557</v>
      </c>
    </row>
    <row r="3898" spans="1:3">
      <c r="A3898" s="6">
        <v>45373</v>
      </c>
      <c r="B3898" s="7">
        <v>1.973</v>
      </c>
      <c r="C3898" s="7">
        <v>2.1592</v>
      </c>
    </row>
    <row r="3899" spans="1:3">
      <c r="A3899" s="6">
        <v>45376</v>
      </c>
      <c r="B3899" s="7">
        <v>1.9905</v>
      </c>
      <c r="C3899" s="7">
        <v>2.1716</v>
      </c>
    </row>
    <row r="3900" spans="1:3">
      <c r="A3900" s="6">
        <v>45377</v>
      </c>
      <c r="B3900" s="7">
        <v>2.0019</v>
      </c>
      <c r="C3900" s="7">
        <v>2.1815</v>
      </c>
    </row>
    <row r="3901" spans="1:3">
      <c r="A3901" s="6">
        <v>45378</v>
      </c>
      <c r="B3901" s="7">
        <v>1.9926</v>
      </c>
      <c r="C3901" s="7">
        <v>2.1731</v>
      </c>
    </row>
    <row r="3902" spans="1:3">
      <c r="A3902" s="6">
        <v>45379</v>
      </c>
      <c r="B3902" s="7">
        <v>1.9808</v>
      </c>
      <c r="C3902" s="7">
        <v>2.1614</v>
      </c>
    </row>
    <row r="3903" spans="1:3">
      <c r="A3903" s="6">
        <v>45380</v>
      </c>
      <c r="B3903" s="7">
        <v>1.9564</v>
      </c>
      <c r="C3903" s="7">
        <v>2.1455</v>
      </c>
    </row>
    <row r="3904" spans="1:3">
      <c r="A3904" s="6">
        <v>45383</v>
      </c>
      <c r="B3904" s="7">
        <v>1.9632</v>
      </c>
      <c r="C3904" s="7">
        <v>2.1534</v>
      </c>
    </row>
    <row r="3905" spans="1:3">
      <c r="A3905" s="6">
        <v>45384</v>
      </c>
      <c r="B3905" s="7">
        <v>1.9717</v>
      </c>
      <c r="C3905" s="7">
        <v>2.1491</v>
      </c>
    </row>
    <row r="3906" spans="1:3">
      <c r="A3906" s="6">
        <v>45385</v>
      </c>
      <c r="B3906" s="7">
        <v>1.9649</v>
      </c>
      <c r="C3906" s="7">
        <v>2.1367</v>
      </c>
    </row>
    <row r="3907" spans="1:3">
      <c r="A3907" s="6">
        <v>45390</v>
      </c>
      <c r="B3907" s="7">
        <v>1.9583</v>
      </c>
      <c r="C3907" s="7">
        <v>2.1318</v>
      </c>
    </row>
    <row r="3908" spans="1:3">
      <c r="A3908" s="6">
        <v>45391</v>
      </c>
      <c r="B3908" s="7">
        <v>1.955</v>
      </c>
      <c r="C3908" s="7">
        <v>2.1281</v>
      </c>
    </row>
    <row r="3909" spans="1:3">
      <c r="A3909" s="6">
        <v>45392</v>
      </c>
      <c r="B3909" s="7">
        <v>1.9427</v>
      </c>
      <c r="C3909" s="7">
        <v>2.1292</v>
      </c>
    </row>
    <row r="3910" spans="1:3">
      <c r="A3910" s="6">
        <v>45393</v>
      </c>
      <c r="B3910" s="7">
        <v>1.9326</v>
      </c>
      <c r="C3910" s="7">
        <v>2.1242</v>
      </c>
    </row>
    <row r="3911" spans="1:3">
      <c r="A3911" s="6">
        <v>45394</v>
      </c>
      <c r="B3911" s="7">
        <v>1.9141</v>
      </c>
      <c r="C3911" s="7">
        <v>2.1039</v>
      </c>
    </row>
    <row r="3912" spans="1:3">
      <c r="A3912" s="6">
        <v>45397</v>
      </c>
      <c r="B3912" s="7">
        <v>1.9227</v>
      </c>
      <c r="C3912" s="7">
        <v>2.1043</v>
      </c>
    </row>
    <row r="3913" spans="1:3">
      <c r="A3913" s="6">
        <v>45398</v>
      </c>
      <c r="B3913" s="7">
        <v>1.9325</v>
      </c>
      <c r="C3913" s="7">
        <v>2.1094</v>
      </c>
    </row>
    <row r="3914" spans="1:3">
      <c r="A3914" s="6">
        <v>45399</v>
      </c>
      <c r="B3914" s="7">
        <v>1.9393</v>
      </c>
      <c r="C3914" s="7">
        <v>2.1077</v>
      </c>
    </row>
    <row r="3915" spans="1:3">
      <c r="A3915" s="6">
        <v>45400</v>
      </c>
      <c r="B3915" s="7">
        <v>1.9328</v>
      </c>
      <c r="C3915" s="7">
        <v>2.0938</v>
      </c>
    </row>
    <row r="3916" spans="1:3">
      <c r="A3916" s="6">
        <v>45401</v>
      </c>
      <c r="B3916" s="7">
        <v>1.9297</v>
      </c>
      <c r="C3916" s="7">
        <v>2.0869</v>
      </c>
    </row>
    <row r="3917" spans="1:3">
      <c r="A3917" s="6">
        <v>45404</v>
      </c>
      <c r="B3917" s="7">
        <v>1.9286</v>
      </c>
      <c r="C3917" s="7">
        <v>2.0846</v>
      </c>
    </row>
    <row r="3918" spans="1:3">
      <c r="A3918" s="6">
        <v>45405</v>
      </c>
      <c r="B3918" s="7">
        <v>1.9221</v>
      </c>
      <c r="C3918" s="7">
        <v>2.074</v>
      </c>
    </row>
    <row r="3919" spans="1:3">
      <c r="A3919" s="6">
        <v>45406</v>
      </c>
      <c r="B3919" s="7">
        <v>1.9291</v>
      </c>
      <c r="C3919" s="7">
        <v>2.0906</v>
      </c>
    </row>
    <row r="3920" spans="1:3">
      <c r="A3920" s="6">
        <v>45407</v>
      </c>
      <c r="B3920" s="7">
        <v>1.9361</v>
      </c>
      <c r="C3920" s="7">
        <v>2.0967</v>
      </c>
    </row>
    <row r="3921" spans="1:3">
      <c r="A3921" s="6">
        <v>45408</v>
      </c>
      <c r="B3921" s="7">
        <v>1.9539</v>
      </c>
      <c r="C3921" s="7">
        <v>2.1278</v>
      </c>
    </row>
    <row r="3922" spans="1:3">
      <c r="A3922" s="6">
        <v>45410</v>
      </c>
      <c r="B3922" s="7"/>
      <c r="C3922" s="7">
        <v>2.1575</v>
      </c>
    </row>
    <row r="3923" spans="1:3">
      <c r="A3923" s="6">
        <v>45411</v>
      </c>
      <c r="B3923" s="7">
        <v>2.0313</v>
      </c>
      <c r="C3923" s="7">
        <v>2.2056</v>
      </c>
    </row>
    <row r="3924" spans="1:3">
      <c r="A3924" s="6">
        <v>45412</v>
      </c>
      <c r="B3924" s="7">
        <v>2.0029</v>
      </c>
      <c r="C3924" s="7">
        <v>2.1781</v>
      </c>
    </row>
    <row r="3925" spans="1:3">
      <c r="A3925" s="6">
        <v>45418</v>
      </c>
      <c r="B3925" s="7">
        <v>1.9665</v>
      </c>
      <c r="C3925" s="7">
        <v>2.16</v>
      </c>
    </row>
    <row r="3926" spans="1:3">
      <c r="A3926" s="6">
        <v>45419</v>
      </c>
      <c r="B3926" s="7">
        <v>1.9347</v>
      </c>
      <c r="C3926" s="7">
        <v>2.1312</v>
      </c>
    </row>
    <row r="3927" spans="1:3">
      <c r="A3927" s="6">
        <v>45420</v>
      </c>
      <c r="B3927" s="7">
        <v>1.9272</v>
      </c>
      <c r="C3927" s="7">
        <v>2.1213</v>
      </c>
    </row>
    <row r="3928" spans="1:3">
      <c r="A3928" s="6">
        <v>45421</v>
      </c>
      <c r="B3928" s="7">
        <v>1.9384</v>
      </c>
      <c r="C3928" s="7">
        <v>2.1383</v>
      </c>
    </row>
    <row r="3929" spans="1:3">
      <c r="A3929" s="6">
        <v>45422</v>
      </c>
      <c r="B3929" s="7">
        <v>1.9312</v>
      </c>
      <c r="C3929" s="7">
        <v>2.1455</v>
      </c>
    </row>
    <row r="3930" spans="1:3">
      <c r="A3930" s="6">
        <v>45423</v>
      </c>
      <c r="B3930" s="7">
        <v>1.94</v>
      </c>
      <c r="C3930" s="7">
        <v>2.1686</v>
      </c>
    </row>
    <row r="3931" spans="1:3">
      <c r="A3931" s="6">
        <v>45425</v>
      </c>
      <c r="B3931" s="7">
        <v>1.886</v>
      </c>
      <c r="C3931" s="7">
        <v>2.1094</v>
      </c>
    </row>
    <row r="3932" spans="1:3">
      <c r="A3932" s="6">
        <v>45426</v>
      </c>
      <c r="B3932" s="7">
        <v>1.8673</v>
      </c>
      <c r="C3932" s="7">
        <v>2.0697</v>
      </c>
    </row>
    <row r="3933" spans="1:3">
      <c r="A3933" s="6">
        <v>45427</v>
      </c>
      <c r="B3933" s="7">
        <v>1.8813</v>
      </c>
      <c r="C3933" s="7">
        <v>2.0837</v>
      </c>
    </row>
    <row r="3934" spans="1:3">
      <c r="A3934" s="6">
        <v>45428</v>
      </c>
      <c r="B3934" s="7">
        <v>1.8841</v>
      </c>
      <c r="C3934" s="7">
        <v>2.1038</v>
      </c>
    </row>
    <row r="3935" spans="1:3">
      <c r="A3935" s="6">
        <v>45429</v>
      </c>
      <c r="B3935" s="7">
        <v>1.8693</v>
      </c>
      <c r="C3935" s="7">
        <v>2.1078</v>
      </c>
    </row>
    <row r="3936" spans="1:3">
      <c r="A3936" s="6">
        <v>45432</v>
      </c>
      <c r="B3936" s="7">
        <v>1.852</v>
      </c>
      <c r="C3936" s="7">
        <v>2.0762</v>
      </c>
    </row>
    <row r="3937" spans="1:3">
      <c r="A3937" s="6">
        <v>45433</v>
      </c>
      <c r="B3937" s="7">
        <v>1.8687</v>
      </c>
      <c r="C3937" s="7">
        <v>2.0846</v>
      </c>
    </row>
    <row r="3938" spans="1:3">
      <c r="A3938" s="6">
        <v>45434</v>
      </c>
      <c r="B3938" s="7">
        <v>1.8624</v>
      </c>
      <c r="C3938" s="7">
        <v>2.0692</v>
      </c>
    </row>
    <row r="3939" spans="1:3">
      <c r="A3939" s="6">
        <v>45435</v>
      </c>
      <c r="B3939" s="7">
        <v>1.8583</v>
      </c>
      <c r="C3939" s="7">
        <v>2.0618</v>
      </c>
    </row>
    <row r="3940" spans="1:3">
      <c r="A3940" s="6">
        <v>45436</v>
      </c>
      <c r="B3940" s="7">
        <v>1.8605</v>
      </c>
      <c r="C3940" s="7">
        <v>2.0674</v>
      </c>
    </row>
    <row r="3941" spans="1:3">
      <c r="A3941" s="6">
        <v>45439</v>
      </c>
      <c r="B3941" s="7">
        <v>1.876</v>
      </c>
      <c r="C3941" s="7">
        <v>2.0744</v>
      </c>
    </row>
    <row r="3942" spans="1:3">
      <c r="A3942" s="6">
        <v>45440</v>
      </c>
      <c r="B3942" s="7">
        <v>1.8631</v>
      </c>
      <c r="C3942" s="7">
        <v>2.0566</v>
      </c>
    </row>
    <row r="3943" spans="1:3">
      <c r="A3943" s="6">
        <v>45441</v>
      </c>
      <c r="B3943" s="7">
        <v>1.8542</v>
      </c>
      <c r="C3943" s="7">
        <v>2.0382</v>
      </c>
    </row>
    <row r="3944" spans="1:3">
      <c r="A3944" s="6">
        <v>45442</v>
      </c>
      <c r="B3944" s="7">
        <v>1.8482</v>
      </c>
      <c r="C3944" s="7">
        <v>2.0451</v>
      </c>
    </row>
    <row r="3945" spans="1:3">
      <c r="A3945" s="6">
        <v>45443</v>
      </c>
      <c r="B3945" s="7">
        <v>1.8437</v>
      </c>
      <c r="C3945" s="7">
        <v>2.051</v>
      </c>
    </row>
    <row r="3946" spans="1:3">
      <c r="A3946" s="6">
        <v>45446</v>
      </c>
      <c r="B3946" s="7">
        <v>1.8358</v>
      </c>
      <c r="C3946" s="7">
        <v>2.0455</v>
      </c>
    </row>
    <row r="3947" spans="1:3">
      <c r="A3947" s="6">
        <v>45447</v>
      </c>
      <c r="B3947" s="7">
        <v>1.8376</v>
      </c>
      <c r="C3947" s="7">
        <v>2.0397</v>
      </c>
    </row>
    <row r="3948" spans="1:3">
      <c r="A3948" s="6">
        <v>45448</v>
      </c>
      <c r="B3948" s="7">
        <v>1.8299</v>
      </c>
      <c r="C3948" s="7">
        <v>2.0254</v>
      </c>
    </row>
    <row r="3949" spans="1:3">
      <c r="A3949" s="6">
        <v>45449</v>
      </c>
      <c r="B3949" s="7">
        <v>1.828</v>
      </c>
      <c r="C3949" s="7">
        <v>2.0216</v>
      </c>
    </row>
    <row r="3950" spans="1:3">
      <c r="A3950" s="6">
        <v>45450</v>
      </c>
      <c r="B3950" s="7">
        <v>1.8267</v>
      </c>
      <c r="C3950" s="7">
        <v>2.0164</v>
      </c>
    </row>
    <row r="3951" spans="1:3">
      <c r="A3951" s="6">
        <v>45454</v>
      </c>
      <c r="B3951" s="7">
        <v>1.8255</v>
      </c>
      <c r="C3951" s="7">
        <v>2.0049</v>
      </c>
    </row>
    <row r="3952" spans="1:3">
      <c r="A3952" s="6">
        <v>45455</v>
      </c>
      <c r="B3952" s="7">
        <v>1.8313</v>
      </c>
      <c r="C3952" s="7">
        <v>2.0115</v>
      </c>
    </row>
    <row r="3953" spans="1:3">
      <c r="A3953" s="6">
        <v>45456</v>
      </c>
      <c r="B3953" s="7">
        <v>1.8439</v>
      </c>
      <c r="C3953" s="7">
        <v>2.0199</v>
      </c>
    </row>
    <row r="3954" spans="1:3">
      <c r="A3954" s="6">
        <v>45457</v>
      </c>
      <c r="B3954" s="7">
        <v>1.8423</v>
      </c>
      <c r="C3954" s="7">
        <v>2.0188</v>
      </c>
    </row>
    <row r="3955" spans="1:3">
      <c r="A3955" s="6">
        <v>45460</v>
      </c>
      <c r="B3955" s="7">
        <v>1.853</v>
      </c>
      <c r="C3955" s="7">
        <v>2.0252</v>
      </c>
    </row>
    <row r="3956" spans="1:3">
      <c r="A3956" s="6">
        <v>45461</v>
      </c>
      <c r="B3956" s="7">
        <v>1.8544</v>
      </c>
      <c r="C3956" s="7">
        <v>2.0206</v>
      </c>
    </row>
    <row r="3957" spans="1:3">
      <c r="A3957" s="6">
        <v>45462</v>
      </c>
      <c r="B3957" s="7">
        <v>1.8499</v>
      </c>
      <c r="C3957" s="7">
        <v>2.0109</v>
      </c>
    </row>
    <row r="3958" spans="1:3">
      <c r="A3958" s="6">
        <v>45463</v>
      </c>
      <c r="B3958" s="7">
        <v>1.8395</v>
      </c>
      <c r="C3958" s="7">
        <v>2.0009</v>
      </c>
    </row>
    <row r="3959" spans="1:3">
      <c r="A3959" s="6">
        <v>45464</v>
      </c>
      <c r="B3959" s="7">
        <v>1.8579</v>
      </c>
      <c r="C3959" s="7">
        <v>2.0119</v>
      </c>
    </row>
    <row r="3960" spans="1:3">
      <c r="A3960" s="6">
        <v>45467</v>
      </c>
      <c r="B3960" s="7">
        <v>1.861</v>
      </c>
      <c r="C3960" s="7">
        <v>2.0059</v>
      </c>
    </row>
    <row r="3961" spans="1:3">
      <c r="A3961" s="6">
        <v>45468</v>
      </c>
      <c r="B3961" s="7">
        <v>1.8433</v>
      </c>
      <c r="C3961" s="7">
        <v>1.9824</v>
      </c>
    </row>
    <row r="3962" spans="1:3">
      <c r="A3962" s="6">
        <v>45469</v>
      </c>
      <c r="B3962" s="7">
        <v>1.8474</v>
      </c>
      <c r="C3962" s="7">
        <v>1.9815</v>
      </c>
    </row>
    <row r="3963" spans="1:3">
      <c r="A3963" s="6">
        <v>45470</v>
      </c>
      <c r="B3963" s="7">
        <v>1.8306</v>
      </c>
      <c r="C3963" s="7">
        <v>1.9634</v>
      </c>
    </row>
    <row r="3964" spans="1:3">
      <c r="A3964" s="6">
        <v>45471</v>
      </c>
      <c r="B3964" s="7">
        <v>1.834</v>
      </c>
      <c r="C3964" s="7">
        <v>1.965</v>
      </c>
    </row>
    <row r="3965" spans="1:3">
      <c r="A3965" s="6">
        <v>45474</v>
      </c>
      <c r="B3965" s="7">
        <v>1.8448</v>
      </c>
      <c r="C3965" s="7">
        <v>1.991</v>
      </c>
    </row>
    <row r="3966" spans="1:3">
      <c r="A3966" s="6">
        <v>45475</v>
      </c>
      <c r="B3966" s="7">
        <v>1.8503</v>
      </c>
      <c r="C3966" s="7">
        <v>1.9934</v>
      </c>
    </row>
    <row r="3967" spans="1:3">
      <c r="A3967" s="6">
        <v>45476</v>
      </c>
      <c r="B3967" s="7">
        <v>1.8512</v>
      </c>
      <c r="C3967" s="7">
        <v>1.9784</v>
      </c>
    </row>
    <row r="3968" spans="1:3">
      <c r="A3968" s="6">
        <v>45477</v>
      </c>
      <c r="B3968" s="7">
        <v>1.8518</v>
      </c>
      <c r="C3968" s="7">
        <v>1.9887</v>
      </c>
    </row>
    <row r="3969" spans="1:3">
      <c r="A3969" s="6">
        <v>45478</v>
      </c>
      <c r="B3969" s="7">
        <v>1.8663</v>
      </c>
      <c r="C3969" s="7">
        <v>2.0092</v>
      </c>
    </row>
    <row r="3970" spans="1:3">
      <c r="A3970" s="6">
        <v>45481</v>
      </c>
      <c r="B3970" s="7">
        <v>1.8916</v>
      </c>
      <c r="C3970" s="7">
        <v>2.048</v>
      </c>
    </row>
    <row r="3971" spans="1:3">
      <c r="A3971" s="6">
        <v>45482</v>
      </c>
      <c r="B3971" s="7">
        <v>1.8726</v>
      </c>
      <c r="C3971" s="7">
        <v>2.0167</v>
      </c>
    </row>
    <row r="3972" spans="1:3">
      <c r="A3972" s="6">
        <v>45483</v>
      </c>
      <c r="B3972" s="7">
        <v>1.8636</v>
      </c>
      <c r="C3972" s="7">
        <v>2.0067</v>
      </c>
    </row>
    <row r="3973" spans="1:3">
      <c r="A3973" s="6">
        <v>45484</v>
      </c>
      <c r="B3973" s="7">
        <v>1.8532</v>
      </c>
      <c r="C3973" s="7">
        <v>1.9946</v>
      </c>
    </row>
    <row r="3974" spans="1:3">
      <c r="A3974" s="6">
        <v>45485</v>
      </c>
      <c r="B3974" s="7">
        <v>1.8421</v>
      </c>
      <c r="C3974" s="7">
        <v>1.9779</v>
      </c>
    </row>
    <row r="3975" spans="1:3">
      <c r="A3975" s="6">
        <v>45488</v>
      </c>
      <c r="B3975" s="7">
        <v>1.847</v>
      </c>
      <c r="C3975" s="7">
        <v>1.9757</v>
      </c>
    </row>
    <row r="3976" spans="1:3">
      <c r="A3976" s="6">
        <v>45489</v>
      </c>
      <c r="B3976" s="7">
        <v>1.8509</v>
      </c>
      <c r="C3976" s="7">
        <v>1.9846</v>
      </c>
    </row>
    <row r="3977" spans="1:3">
      <c r="A3977" s="6">
        <v>45490</v>
      </c>
      <c r="B3977" s="7">
        <v>1.849</v>
      </c>
      <c r="C3977" s="7">
        <v>1.9796</v>
      </c>
    </row>
    <row r="3978" spans="1:3">
      <c r="A3978" s="6">
        <v>45491</v>
      </c>
      <c r="B3978" s="7">
        <v>1.8456</v>
      </c>
      <c r="C3978" s="7">
        <v>1.9816</v>
      </c>
    </row>
    <row r="3979" spans="1:3">
      <c r="A3979" s="6">
        <v>45492</v>
      </c>
      <c r="B3979" s="7">
        <v>1.8365</v>
      </c>
      <c r="C3979" s="7">
        <v>1.9685</v>
      </c>
    </row>
    <row r="3980" spans="1:3">
      <c r="A3980" s="6">
        <v>45495</v>
      </c>
      <c r="B3980" s="7">
        <v>1.7721</v>
      </c>
      <c r="C3980" s="7">
        <v>1.918</v>
      </c>
    </row>
    <row r="3981" spans="1:3">
      <c r="A3981" s="6">
        <v>45496</v>
      </c>
      <c r="B3981" s="7">
        <v>1.7618</v>
      </c>
      <c r="C3981" s="7">
        <v>1.898</v>
      </c>
    </row>
    <row r="3982" spans="1:3">
      <c r="A3982" s="6">
        <v>45497</v>
      </c>
      <c r="B3982" s="7">
        <v>1.7576</v>
      </c>
      <c r="C3982" s="7">
        <v>1.8902</v>
      </c>
    </row>
    <row r="3983" spans="1:3">
      <c r="A3983" s="6">
        <v>45498</v>
      </c>
      <c r="B3983" s="7">
        <v>1.7528</v>
      </c>
      <c r="C3983" s="7">
        <v>1.8689</v>
      </c>
    </row>
    <row r="3984" spans="1:3">
      <c r="A3984" s="6">
        <v>45499</v>
      </c>
      <c r="B3984" s="7">
        <v>1.751</v>
      </c>
      <c r="C3984" s="7">
        <v>1.8687</v>
      </c>
    </row>
    <row r="3985" spans="1:3">
      <c r="A3985" s="6">
        <v>45502</v>
      </c>
      <c r="B3985" s="7">
        <v>1.7502</v>
      </c>
      <c r="C3985" s="7">
        <v>1.8661</v>
      </c>
    </row>
    <row r="3986" spans="1:3">
      <c r="A3986" s="6">
        <v>45503</v>
      </c>
      <c r="B3986" s="7">
        <v>1.7399</v>
      </c>
      <c r="C3986" s="7">
        <v>1.8586</v>
      </c>
    </row>
    <row r="3987" spans="1:3">
      <c r="A3987" s="6">
        <v>45504</v>
      </c>
      <c r="B3987" s="7">
        <v>1.7185</v>
      </c>
      <c r="C3987" s="7">
        <v>1.837</v>
      </c>
    </row>
    <row r="3988" spans="1:3">
      <c r="A3988" s="6">
        <v>45505</v>
      </c>
      <c r="B3988" s="7">
        <v>1.7188</v>
      </c>
      <c r="C3988" s="7">
        <v>1.8282</v>
      </c>
    </row>
    <row r="3989" spans="1:3">
      <c r="A3989" s="6">
        <v>45506</v>
      </c>
      <c r="B3989" s="7">
        <v>1.7135</v>
      </c>
      <c r="C3989" s="7">
        <v>1.8193</v>
      </c>
    </row>
    <row r="3990" spans="1:3">
      <c r="A3990" s="6">
        <v>45509</v>
      </c>
      <c r="B3990" s="7">
        <v>1.7122</v>
      </c>
      <c r="C3990" s="7">
        <v>1.8077</v>
      </c>
    </row>
    <row r="3991" spans="1:3">
      <c r="A3991" s="6">
        <v>45510</v>
      </c>
      <c r="B3991" s="7">
        <v>1.7265</v>
      </c>
      <c r="C3991" s="7">
        <v>1.835</v>
      </c>
    </row>
    <row r="3992" spans="1:3">
      <c r="A3992" s="6">
        <v>45511</v>
      </c>
      <c r="B3992" s="7">
        <v>1.7242</v>
      </c>
      <c r="C3992" s="7">
        <v>1.8221</v>
      </c>
    </row>
    <row r="3993" spans="1:3">
      <c r="A3993" s="6">
        <v>45512</v>
      </c>
      <c r="B3993" s="7">
        <v>1.743</v>
      </c>
      <c r="C3993" s="7">
        <v>1.848</v>
      </c>
    </row>
    <row r="3994" spans="1:3">
      <c r="A3994" s="6">
        <v>45513</v>
      </c>
      <c r="B3994" s="7">
        <v>1.7574</v>
      </c>
      <c r="C3994" s="7">
        <v>1.8676</v>
      </c>
    </row>
    <row r="3995" spans="1:3">
      <c r="A3995" s="6">
        <v>45516</v>
      </c>
      <c r="B3995" s="7">
        <v>1.7911</v>
      </c>
      <c r="C3995" s="7">
        <v>1.9009</v>
      </c>
    </row>
    <row r="3996" spans="1:3">
      <c r="A3996" s="6">
        <v>45517</v>
      </c>
      <c r="B3996" s="7">
        <v>1.7678</v>
      </c>
      <c r="C3996" s="7">
        <v>1.866</v>
      </c>
    </row>
    <row r="3997" spans="1:3">
      <c r="A3997" s="6">
        <v>45518</v>
      </c>
      <c r="B3997" s="7">
        <v>1.7389</v>
      </c>
      <c r="C3997" s="7">
        <v>1.8304</v>
      </c>
    </row>
    <row r="3998" spans="1:3">
      <c r="A3998" s="6">
        <v>45519</v>
      </c>
      <c r="B3998" s="7">
        <v>1.7524</v>
      </c>
      <c r="C3998" s="7">
        <v>1.8393</v>
      </c>
    </row>
    <row r="3999" spans="1:3">
      <c r="A3999" s="6">
        <v>45520</v>
      </c>
      <c r="B3999" s="7">
        <v>1.75</v>
      </c>
      <c r="C3999" s="7">
        <v>1.8353</v>
      </c>
    </row>
    <row r="4000" spans="1:3">
      <c r="A4000" s="6">
        <v>45523</v>
      </c>
      <c r="B4000" s="7">
        <v>1.7506</v>
      </c>
      <c r="C4000" s="7">
        <v>1.8315</v>
      </c>
    </row>
    <row r="4001" spans="1:3">
      <c r="A4001" s="6">
        <v>45524</v>
      </c>
      <c r="B4001" s="7">
        <v>1.7561</v>
      </c>
      <c r="C4001" s="7">
        <v>1.8253</v>
      </c>
    </row>
    <row r="4002" spans="1:3">
      <c r="A4002" s="6">
        <v>45525</v>
      </c>
      <c r="B4002" s="7">
        <v>1.7826</v>
      </c>
      <c r="C4002" s="7">
        <v>1.8453</v>
      </c>
    </row>
    <row r="4003" spans="1:3">
      <c r="A4003" s="6">
        <v>45526</v>
      </c>
      <c r="B4003" s="7">
        <v>1.7816</v>
      </c>
      <c r="C4003" s="7">
        <v>1.8302</v>
      </c>
    </row>
    <row r="4004" spans="1:3">
      <c r="A4004" s="6">
        <v>45527</v>
      </c>
      <c r="B4004" s="7">
        <v>1.784</v>
      </c>
      <c r="C4004" s="7">
        <v>1.8384</v>
      </c>
    </row>
    <row r="4005" spans="1:3">
      <c r="A4005" s="6">
        <v>45530</v>
      </c>
      <c r="B4005" s="7">
        <v>1.7584</v>
      </c>
      <c r="C4005" s="7">
        <v>1.8289</v>
      </c>
    </row>
    <row r="4006" spans="1:3">
      <c r="A4006" s="6">
        <v>45531</v>
      </c>
      <c r="B4006" s="7">
        <v>1.7676</v>
      </c>
      <c r="C4006" s="7">
        <v>1.8489</v>
      </c>
    </row>
    <row r="4007" spans="1:3">
      <c r="A4007" s="6">
        <v>45532</v>
      </c>
      <c r="B4007" s="7">
        <v>1.763</v>
      </c>
      <c r="C4007" s="7">
        <v>1.8466</v>
      </c>
    </row>
    <row r="4008" spans="1:3">
      <c r="A4008" s="6">
        <v>45533</v>
      </c>
      <c r="B4008" s="7">
        <v>1.7561</v>
      </c>
      <c r="C4008" s="7">
        <v>1.8398</v>
      </c>
    </row>
    <row r="4009" spans="1:3">
      <c r="A4009" s="6">
        <v>45534</v>
      </c>
      <c r="B4009" s="7">
        <v>1.7538</v>
      </c>
      <c r="C4009" s="7">
        <v>1.8548</v>
      </c>
    </row>
    <row r="4010" spans="1:3">
      <c r="A4010" s="6">
        <v>45537</v>
      </c>
      <c r="B4010" s="7">
        <v>1.7177</v>
      </c>
      <c r="C4010" s="7">
        <v>1.8088</v>
      </c>
    </row>
    <row r="4011" spans="1:3">
      <c r="A4011" s="6">
        <v>45538</v>
      </c>
      <c r="B4011" s="7">
        <v>1.7107</v>
      </c>
      <c r="C4011" s="7">
        <v>1.7886</v>
      </c>
    </row>
    <row r="4012" spans="1:3">
      <c r="A4012" s="6">
        <v>45539</v>
      </c>
      <c r="B4012" s="7">
        <v>1.7072</v>
      </c>
      <c r="C4012" s="7">
        <v>1.7663</v>
      </c>
    </row>
    <row r="4013" spans="1:3">
      <c r="A4013" s="6">
        <v>45540</v>
      </c>
      <c r="B4013" s="7">
        <v>1.6992</v>
      </c>
      <c r="C4013" s="7">
        <v>1.7473</v>
      </c>
    </row>
    <row r="4014" spans="1:3">
      <c r="A4014" s="6">
        <v>45541</v>
      </c>
      <c r="B4014" s="7">
        <v>1.6958</v>
      </c>
      <c r="C4014" s="7">
        <v>1.7519</v>
      </c>
    </row>
    <row r="4015" spans="1:3">
      <c r="A4015" s="6">
        <v>45544</v>
      </c>
      <c r="B4015" s="7">
        <v>1.7022</v>
      </c>
      <c r="C4015" s="7">
        <v>1.7408</v>
      </c>
    </row>
    <row r="4016" spans="1:3">
      <c r="A4016" s="6">
        <v>45545</v>
      </c>
      <c r="B4016" s="7">
        <v>1.6969</v>
      </c>
      <c r="C4016" s="7">
        <v>1.7191</v>
      </c>
    </row>
    <row r="4017" spans="1:3">
      <c r="A4017" s="6">
        <v>45546</v>
      </c>
      <c r="B4017" s="7">
        <v>1.6987</v>
      </c>
      <c r="C4017" s="7">
        <v>1.7101</v>
      </c>
    </row>
    <row r="4018" spans="1:3">
      <c r="A4018" s="6">
        <v>45547</v>
      </c>
      <c r="B4018" s="7">
        <v>1.7086</v>
      </c>
      <c r="C4018" s="7">
        <v>1.7218</v>
      </c>
    </row>
    <row r="4019" spans="1:3">
      <c r="A4019" s="6">
        <v>45548</v>
      </c>
      <c r="B4019" s="7">
        <v>1.7171</v>
      </c>
      <c r="C4019" s="7">
        <v>1.7174</v>
      </c>
    </row>
    <row r="4020" spans="1:3">
      <c r="A4020" s="6">
        <v>45549</v>
      </c>
      <c r="B4020" s="7">
        <v>1.71</v>
      </c>
      <c r="C4020" s="7"/>
    </row>
    <row r="4021" spans="1:3">
      <c r="A4021" s="6">
        <v>45553</v>
      </c>
      <c r="B4021" s="7">
        <v>1.7107</v>
      </c>
      <c r="C4021" s="7">
        <v>1.6963</v>
      </c>
    </row>
    <row r="4022" spans="1:3">
      <c r="A4022" s="6">
        <v>45554</v>
      </c>
      <c r="B4022" s="7">
        <v>1.7201</v>
      </c>
      <c r="C4022" s="7">
        <v>1.7055</v>
      </c>
    </row>
    <row r="4023" spans="1:3">
      <c r="A4023" s="6">
        <v>45555</v>
      </c>
      <c r="B4023" s="7">
        <v>1.7201</v>
      </c>
      <c r="C4023" s="7">
        <v>1.702</v>
      </c>
    </row>
    <row r="4024" spans="1:3">
      <c r="A4024" s="6">
        <v>45558</v>
      </c>
      <c r="B4024" s="7">
        <v>1.7273</v>
      </c>
      <c r="C4024" s="7">
        <v>1.7027</v>
      </c>
    </row>
    <row r="4025" spans="1:3">
      <c r="A4025" s="6">
        <v>45559</v>
      </c>
      <c r="B4025" s="7">
        <v>1.6675</v>
      </c>
      <c r="C4025" s="7">
        <v>1.6928</v>
      </c>
    </row>
    <row r="4026" spans="1:3">
      <c r="A4026" s="6">
        <v>45560</v>
      </c>
      <c r="B4026" s="7">
        <v>1.6255</v>
      </c>
      <c r="C4026" s="7">
        <v>1.683</v>
      </c>
    </row>
    <row r="4027" spans="1:3">
      <c r="A4027" s="6">
        <v>45561</v>
      </c>
      <c r="B4027" s="7">
        <v>1.6123</v>
      </c>
      <c r="C4027" s="7">
        <v>1.6764</v>
      </c>
    </row>
    <row r="4028" spans="1:3">
      <c r="A4028" s="6">
        <v>45562</v>
      </c>
      <c r="B4028" s="7">
        <v>1.6131</v>
      </c>
      <c r="C4028" s="7">
        <v>1.7623</v>
      </c>
    </row>
    <row r="4029" spans="1:3">
      <c r="A4029" s="6">
        <v>45564</v>
      </c>
      <c r="B4029" s="7">
        <v>1.6612</v>
      </c>
      <c r="C4029" s="7">
        <v>1.8893</v>
      </c>
    </row>
    <row r="4030" spans="1:3">
      <c r="A4030" s="6">
        <v>45565</v>
      </c>
      <c r="B4030" s="7">
        <v>1.6431</v>
      </c>
      <c r="C4030" s="7">
        <v>1.8394</v>
      </c>
    </row>
    <row r="4031" spans="1:3">
      <c r="A4031" s="6">
        <v>45573</v>
      </c>
      <c r="B4031" s="7">
        <v>1.6655</v>
      </c>
      <c r="C4031" s="7">
        <v>1.8396</v>
      </c>
    </row>
    <row r="4032" spans="1:3">
      <c r="A4032" s="6">
        <v>45574</v>
      </c>
      <c r="B4032" s="7">
        <v>1.7126</v>
      </c>
      <c r="C4032" s="7">
        <v>1.8454</v>
      </c>
    </row>
    <row r="4033" spans="1:3">
      <c r="A4033" s="6">
        <v>45575</v>
      </c>
      <c r="B4033" s="7">
        <v>1.6885</v>
      </c>
      <c r="C4033" s="7">
        <v>1.794</v>
      </c>
    </row>
    <row r="4034" spans="1:3">
      <c r="A4034" s="6">
        <v>45576</v>
      </c>
      <c r="B4034" s="7">
        <v>1.6549</v>
      </c>
      <c r="C4034" s="7">
        <v>1.7669</v>
      </c>
    </row>
    <row r="4035" spans="1:3">
      <c r="A4035" s="6">
        <v>45577</v>
      </c>
      <c r="B4035" s="7">
        <v>1.6637</v>
      </c>
      <c r="C4035" s="7">
        <v>1.7798</v>
      </c>
    </row>
    <row r="4036" spans="1:3">
      <c r="A4036" s="6">
        <v>45579</v>
      </c>
      <c r="B4036" s="7">
        <v>1.6561</v>
      </c>
      <c r="C4036" s="7">
        <v>1.7687</v>
      </c>
    </row>
    <row r="4037" spans="1:3">
      <c r="A4037" s="6">
        <v>45580</v>
      </c>
      <c r="B4037" s="7">
        <v>1.6666</v>
      </c>
      <c r="C4037" s="7">
        <v>1.7616</v>
      </c>
    </row>
    <row r="4038" spans="1:3">
      <c r="A4038" s="6">
        <v>45581</v>
      </c>
      <c r="B4038" s="7">
        <v>1.6801</v>
      </c>
      <c r="C4038" s="7">
        <v>1.7503</v>
      </c>
    </row>
    <row r="4039" spans="1:3">
      <c r="A4039" s="6">
        <v>45582</v>
      </c>
      <c r="B4039" s="7">
        <v>1.6891</v>
      </c>
      <c r="C4039" s="7">
        <v>1.7361</v>
      </c>
    </row>
    <row r="4040" spans="1:3">
      <c r="A4040" s="6">
        <v>45583</v>
      </c>
      <c r="B4040" s="7">
        <v>1.69</v>
      </c>
      <c r="C4040" s="7">
        <v>1.7382</v>
      </c>
    </row>
    <row r="4041" spans="1:3">
      <c r="A4041" s="6">
        <v>45586</v>
      </c>
      <c r="B4041" s="7">
        <v>1.696</v>
      </c>
      <c r="C4041" s="7">
        <v>1.7557</v>
      </c>
    </row>
    <row r="4042" spans="1:3">
      <c r="A4042" s="6">
        <v>45587</v>
      </c>
      <c r="B4042" s="7">
        <v>1.7191</v>
      </c>
      <c r="C4042" s="7">
        <v>1.7778</v>
      </c>
    </row>
    <row r="4043" spans="1:3">
      <c r="A4043" s="6">
        <v>45588</v>
      </c>
      <c r="B4043" s="7">
        <v>1.737</v>
      </c>
      <c r="C4043" s="7">
        <v>1.8105</v>
      </c>
    </row>
    <row r="4044" spans="1:3">
      <c r="A4044" s="6">
        <v>45589</v>
      </c>
      <c r="B4044" s="7">
        <v>1.7297</v>
      </c>
      <c r="C4044" s="7">
        <v>1.812</v>
      </c>
    </row>
    <row r="4045" spans="1:3">
      <c r="A4045" s="6">
        <v>45590</v>
      </c>
      <c r="B4045" s="7">
        <v>1.7315</v>
      </c>
      <c r="C4045" s="7">
        <v>1.8217</v>
      </c>
    </row>
    <row r="4046" spans="1:3">
      <c r="A4046" s="6">
        <v>45593</v>
      </c>
      <c r="B4046" s="7">
        <v>1.7142</v>
      </c>
      <c r="C4046" s="7">
        <v>1.8114</v>
      </c>
    </row>
    <row r="4047" spans="1:3">
      <c r="A4047" s="6">
        <v>45594</v>
      </c>
      <c r="B4047" s="7">
        <v>1.7064</v>
      </c>
      <c r="C4047" s="7">
        <v>1.7985</v>
      </c>
    </row>
    <row r="4048" spans="1:3">
      <c r="A4048" s="6">
        <v>45595</v>
      </c>
      <c r="B4048" s="7">
        <v>1.7115</v>
      </c>
      <c r="C4048" s="7">
        <v>1.7952</v>
      </c>
    </row>
    <row r="4049" spans="1:3">
      <c r="A4049" s="6">
        <v>45596</v>
      </c>
      <c r="B4049" s="7">
        <v>1.7156</v>
      </c>
      <c r="C4049" s="7">
        <v>1.7998</v>
      </c>
    </row>
    <row r="4050" spans="1:3">
      <c r="A4050" s="6">
        <v>45597</v>
      </c>
      <c r="B4050" s="7">
        <v>1.6841</v>
      </c>
      <c r="C4050" s="7">
        <v>1.7819</v>
      </c>
    </row>
    <row r="4051" spans="1:3">
      <c r="A4051" s="6">
        <v>45600</v>
      </c>
      <c r="B4051" s="7">
        <v>1.6728</v>
      </c>
      <c r="C4051" s="7">
        <v>1.7739</v>
      </c>
    </row>
    <row r="4052" spans="1:3">
      <c r="A4052" s="6">
        <v>45601</v>
      </c>
      <c r="B4052" s="7">
        <v>1.6725</v>
      </c>
      <c r="C4052" s="7">
        <v>1.77</v>
      </c>
    </row>
    <row r="4053" spans="1:3">
      <c r="A4053" s="6">
        <v>45602</v>
      </c>
      <c r="B4053" s="7">
        <v>1.669</v>
      </c>
      <c r="C4053" s="7">
        <v>1.7504</v>
      </c>
    </row>
    <row r="4054" spans="1:3">
      <c r="A4054" s="6">
        <v>45603</v>
      </c>
      <c r="B4054" s="7">
        <v>1.6471</v>
      </c>
      <c r="C4054" s="7">
        <v>1.7354</v>
      </c>
    </row>
    <row r="4055" spans="1:3">
      <c r="A4055" s="6">
        <v>45604</v>
      </c>
      <c r="B4055" s="7">
        <v>1.651</v>
      </c>
      <c r="C4055" s="7">
        <v>1.7244</v>
      </c>
    </row>
    <row r="4056" spans="1:3">
      <c r="A4056" s="6">
        <v>45607</v>
      </c>
      <c r="B4056" s="7">
        <v>1.6617</v>
      </c>
      <c r="C4056" s="7">
        <v>1.7164</v>
      </c>
    </row>
    <row r="4057" spans="1:3">
      <c r="A4057" s="6">
        <v>45608</v>
      </c>
      <c r="B4057" s="7">
        <v>1.6502</v>
      </c>
      <c r="C4057" s="7">
        <v>1.6915</v>
      </c>
    </row>
    <row r="4058" spans="1:3">
      <c r="A4058" s="6">
        <v>45609</v>
      </c>
      <c r="B4058" s="7">
        <v>1.6563</v>
      </c>
      <c r="C4058" s="7">
        <v>1.6934</v>
      </c>
    </row>
    <row r="4059" spans="1:3">
      <c r="A4059" s="6">
        <v>45610</v>
      </c>
      <c r="B4059" s="7">
        <v>1.6515</v>
      </c>
      <c r="C4059" s="7">
        <v>1.6958</v>
      </c>
    </row>
    <row r="4060" spans="1:3">
      <c r="A4060" s="6">
        <v>45611</v>
      </c>
      <c r="B4060" s="7">
        <v>1.6461</v>
      </c>
      <c r="C4060" s="7">
        <v>1.6859</v>
      </c>
    </row>
    <row r="4061" spans="1:3">
      <c r="A4061" s="6">
        <v>45614</v>
      </c>
      <c r="B4061" s="7">
        <v>1.6745</v>
      </c>
      <c r="C4061" s="7">
        <v>1.716</v>
      </c>
    </row>
    <row r="4062" spans="1:3">
      <c r="A4062" s="6">
        <v>45615</v>
      </c>
      <c r="B4062" s="7">
        <v>1.671</v>
      </c>
      <c r="C4062" s="7">
        <v>1.7123</v>
      </c>
    </row>
    <row r="4063" spans="1:3">
      <c r="A4063" s="6">
        <v>45616</v>
      </c>
      <c r="B4063" s="7">
        <v>1.6661</v>
      </c>
      <c r="C4063" s="7">
        <v>1.7044</v>
      </c>
    </row>
    <row r="4064" spans="1:3">
      <c r="A4064" s="6">
        <v>45617</v>
      </c>
      <c r="B4064" s="7">
        <v>1.6578</v>
      </c>
      <c r="C4064" s="7">
        <v>1.692</v>
      </c>
    </row>
    <row r="4065" spans="1:3">
      <c r="A4065" s="6">
        <v>45618</v>
      </c>
      <c r="B4065" s="7">
        <v>1.6567</v>
      </c>
      <c r="C4065" s="7">
        <v>1.6861</v>
      </c>
    </row>
    <row r="4066" spans="1:3">
      <c r="A4066" s="6">
        <v>45621</v>
      </c>
      <c r="B4066" s="7">
        <v>1.6373</v>
      </c>
      <c r="C4066" s="7">
        <v>1.6662</v>
      </c>
    </row>
    <row r="4067" spans="1:3">
      <c r="A4067" s="6">
        <v>45622</v>
      </c>
      <c r="B4067" s="7">
        <v>1.6318</v>
      </c>
      <c r="C4067" s="7">
        <v>1.6593</v>
      </c>
    </row>
    <row r="4068" spans="1:3">
      <c r="A4068" s="6">
        <v>45623</v>
      </c>
      <c r="B4068" s="7">
        <v>1.6305</v>
      </c>
      <c r="C4068" s="7">
        <v>1.6609</v>
      </c>
    </row>
    <row r="4069" spans="1:3">
      <c r="A4069" s="6">
        <v>45624</v>
      </c>
      <c r="B4069" s="7">
        <v>1.6328</v>
      </c>
      <c r="C4069" s="7">
        <v>1.6607</v>
      </c>
    </row>
    <row r="4070" spans="1:3">
      <c r="A4070" s="6">
        <v>45625</v>
      </c>
      <c r="B4070" s="7">
        <v>1.6024</v>
      </c>
      <c r="C4070" s="7">
        <v>1.6372</v>
      </c>
    </row>
    <row r="4071" spans="1:3">
      <c r="A4071" s="6">
        <v>45628</v>
      </c>
      <c r="B4071" s="7">
        <v>1.5374</v>
      </c>
      <c r="C4071" s="7">
        <v>1.5895</v>
      </c>
    </row>
    <row r="4072" spans="1:3">
      <c r="A4072" s="6">
        <v>45629</v>
      </c>
      <c r="B4072" s="7">
        <v>1.5441</v>
      </c>
      <c r="C4072" s="7">
        <v>1.5973</v>
      </c>
    </row>
    <row r="4073" spans="1:3">
      <c r="A4073" s="6">
        <v>45630</v>
      </c>
      <c r="B4073" s="7">
        <v>1.5501</v>
      </c>
      <c r="C4073" s="7">
        <v>1.5858</v>
      </c>
    </row>
    <row r="4074" spans="1:3">
      <c r="A4074" s="6">
        <v>45631</v>
      </c>
      <c r="B4074" s="7">
        <v>1.5684</v>
      </c>
      <c r="C4074" s="7">
        <v>1.5932</v>
      </c>
    </row>
    <row r="4075" spans="1:3">
      <c r="A4075" s="6">
        <v>45632</v>
      </c>
      <c r="B4075" s="7">
        <v>1.577</v>
      </c>
      <c r="C4075" s="7">
        <v>1.6002</v>
      </c>
    </row>
    <row r="4076" spans="1:3">
      <c r="A4076" s="6">
        <v>45635</v>
      </c>
      <c r="B4076" s="7">
        <v>1.5606</v>
      </c>
      <c r="C4076" s="7">
        <v>1.5898</v>
      </c>
    </row>
    <row r="4077" spans="1:3">
      <c r="A4077" s="6">
        <v>45636</v>
      </c>
      <c r="B4077" s="7">
        <v>1.4988</v>
      </c>
      <c r="C4077" s="7">
        <v>1.5296</v>
      </c>
    </row>
    <row r="4078" spans="1:3">
      <c r="A4078" s="6">
        <v>45637</v>
      </c>
      <c r="B4078" s="7">
        <v>1.5132</v>
      </c>
      <c r="C4078" s="7">
        <v>1.5404</v>
      </c>
    </row>
    <row r="4079" spans="1:3">
      <c r="A4079" s="6">
        <v>45638</v>
      </c>
      <c r="B4079" s="7">
        <v>1.5023</v>
      </c>
      <c r="C4079" s="7">
        <v>1.5236</v>
      </c>
    </row>
    <row r="4080" spans="1:3">
      <c r="A4080" s="6">
        <v>45639</v>
      </c>
      <c r="B4080" s="7">
        <v>1.4534</v>
      </c>
      <c r="C4080" s="7">
        <v>1.4724</v>
      </c>
    </row>
    <row r="4081" spans="1:3">
      <c r="A4081" s="6">
        <v>45642</v>
      </c>
      <c r="B4081" s="7">
        <v>1.4736</v>
      </c>
      <c r="C4081" s="7">
        <v>1.4694</v>
      </c>
    </row>
    <row r="4082" spans="1:3">
      <c r="A4082" s="6">
        <v>45643</v>
      </c>
      <c r="B4082" s="7">
        <v>1.5053</v>
      </c>
      <c r="C4082" s="7">
        <v>1.4937</v>
      </c>
    </row>
    <row r="4083" spans="1:3">
      <c r="A4083" s="6">
        <v>45644</v>
      </c>
      <c r="B4083" s="7">
        <v>1.4879</v>
      </c>
      <c r="C4083" s="7">
        <v>1.4821</v>
      </c>
    </row>
    <row r="4084" spans="1:3">
      <c r="A4084" s="6">
        <v>45645</v>
      </c>
      <c r="B4084" s="7">
        <v>1.4862</v>
      </c>
      <c r="C4084" s="7">
        <v>1.49</v>
      </c>
    </row>
    <row r="4085" spans="1:3">
      <c r="A4085" s="6">
        <v>45646</v>
      </c>
      <c r="B4085" s="7">
        <v>1.4428</v>
      </c>
      <c r="C4085" s="7">
        <v>1.4368</v>
      </c>
    </row>
    <row r="4086" spans="1:3">
      <c r="A4086" s="6">
        <v>45649</v>
      </c>
      <c r="B4086" s="7">
        <v>1.4234</v>
      </c>
      <c r="C4086" s="7">
        <v>1.4194</v>
      </c>
    </row>
    <row r="4087" spans="1:3">
      <c r="A4087" s="6">
        <v>45650</v>
      </c>
      <c r="B4087" s="7">
        <v>1.4296</v>
      </c>
      <c r="C4087" s="7">
        <v>1.4314</v>
      </c>
    </row>
    <row r="4088" spans="1:3">
      <c r="A4088" s="6">
        <v>45651</v>
      </c>
      <c r="B4088" s="7">
        <v>1.4555</v>
      </c>
      <c r="C4088" s="7">
        <v>1.4588</v>
      </c>
    </row>
    <row r="4089" spans="1:3">
      <c r="A4089" s="6">
        <v>45652</v>
      </c>
      <c r="B4089" s="7">
        <v>1.457</v>
      </c>
      <c r="C4089" s="7">
        <v>1.4578</v>
      </c>
    </row>
    <row r="4090" spans="1:3">
      <c r="A4090" s="6">
        <v>45653</v>
      </c>
      <c r="B4090" s="7">
        <v>1.4468</v>
      </c>
      <c r="C4090" s="7">
        <v>1.4356</v>
      </c>
    </row>
    <row r="4091" spans="1:3">
      <c r="A4091" s="6">
        <v>45656</v>
      </c>
      <c r="B4091" s="7">
        <v>1.4695</v>
      </c>
      <c r="C4091" s="7">
        <v>1.4536</v>
      </c>
    </row>
    <row r="4092" spans="1:3">
      <c r="A4092" s="6">
        <v>45657</v>
      </c>
      <c r="B4092" s="7">
        <v>1.4611</v>
      </c>
      <c r="C4092" s="7">
        <v>1.436</v>
      </c>
    </row>
    <row r="4093" spans="1:3">
      <c r="A4093" s="6">
        <v>45659</v>
      </c>
      <c r="B4093" s="7">
        <v>1.4659</v>
      </c>
      <c r="C4093" s="7">
        <v>1.4094</v>
      </c>
    </row>
    <row r="4094" spans="1:3">
      <c r="A4094" s="6">
        <v>45660</v>
      </c>
      <c r="B4094" s="7">
        <v>1.4626</v>
      </c>
      <c r="C4094" s="7">
        <v>1.3984</v>
      </c>
    </row>
    <row r="4095" spans="1:3">
      <c r="A4095" s="6">
        <v>45663</v>
      </c>
      <c r="B4095" s="7">
        <v>1.4567</v>
      </c>
      <c r="C4095" s="7">
        <v>1.4059</v>
      </c>
    </row>
    <row r="4096" spans="1:3">
      <c r="A4096" s="6">
        <v>45664</v>
      </c>
      <c r="B4096" s="7">
        <v>1.4696</v>
      </c>
      <c r="C4096" s="7">
        <v>1.4307</v>
      </c>
    </row>
    <row r="4097" spans="1:3">
      <c r="A4097" s="6">
        <v>45665</v>
      </c>
      <c r="B4097" s="7">
        <v>1.4831</v>
      </c>
      <c r="C4097" s="7">
        <v>1.4435</v>
      </c>
    </row>
    <row r="4098" spans="1:3">
      <c r="A4098" s="6">
        <v>45666</v>
      </c>
      <c r="B4098" s="7">
        <v>1.5055</v>
      </c>
      <c r="C4098" s="7">
        <v>1.4656</v>
      </c>
    </row>
    <row r="4099" spans="1:3">
      <c r="A4099" s="6">
        <v>45667</v>
      </c>
      <c r="B4099" s="7">
        <v>1.5389</v>
      </c>
      <c r="C4099" s="7">
        <v>1.5134</v>
      </c>
    </row>
    <row r="4100" spans="1:3">
      <c r="A4100" s="6">
        <v>45670</v>
      </c>
      <c r="B4100" s="7">
        <v>1.5861</v>
      </c>
      <c r="C4100" s="7">
        <v>1.5063</v>
      </c>
    </row>
    <row r="4101" spans="1:3">
      <c r="A4101" s="6">
        <v>45671</v>
      </c>
      <c r="B4101" s="7">
        <v>1.5852</v>
      </c>
      <c r="C4101" s="7">
        <v>1.4942</v>
      </c>
    </row>
    <row r="4102" spans="1:3">
      <c r="A4102" s="6">
        <v>45672</v>
      </c>
      <c r="B4102" s="7">
        <v>1.5647</v>
      </c>
      <c r="C4102" s="7">
        <v>1.4731</v>
      </c>
    </row>
    <row r="4103" spans="1:3">
      <c r="A4103" s="6">
        <v>45673</v>
      </c>
      <c r="B4103" s="7">
        <v>1.6018</v>
      </c>
      <c r="C4103" s="7">
        <v>1.4955</v>
      </c>
    </row>
    <row r="4104" spans="1:3">
      <c r="A4104" s="6">
        <v>45674</v>
      </c>
      <c r="B4104" s="7">
        <v>1.5922</v>
      </c>
      <c r="C4104" s="7">
        <v>1.5054</v>
      </c>
    </row>
    <row r="4105" spans="1:3">
      <c r="A4105" s="6">
        <v>45677</v>
      </c>
      <c r="B4105" s="7">
        <v>1.6042</v>
      </c>
      <c r="C4105" s="7">
        <v>1.5097</v>
      </c>
    </row>
    <row r="4106" spans="1:3">
      <c r="A4106" s="6">
        <v>45678</v>
      </c>
      <c r="B4106" s="7">
        <v>1.6101</v>
      </c>
      <c r="C4106" s="7">
        <v>1.5098</v>
      </c>
    </row>
    <row r="4107" spans="1:3">
      <c r="A4107" s="6">
        <v>45679</v>
      </c>
      <c r="B4107" s="7">
        <v>1.5939</v>
      </c>
      <c r="C4107" s="7">
        <v>1.4868</v>
      </c>
    </row>
    <row r="4108" spans="1:3">
      <c r="A4108" s="6">
        <v>45680</v>
      </c>
      <c r="B4108" s="7">
        <v>1.6433</v>
      </c>
      <c r="C4108" s="7">
        <v>1.5185</v>
      </c>
    </row>
    <row r="4109" spans="1:3">
      <c r="A4109" s="6">
        <v>45681</v>
      </c>
      <c r="B4109" s="7">
        <v>1.6819</v>
      </c>
      <c r="C4109" s="7">
        <v>1.5456</v>
      </c>
    </row>
    <row r="4110" spans="1:3">
      <c r="A4110" s="6">
        <v>45683</v>
      </c>
      <c r="B4110" s="7">
        <v>1.6469</v>
      </c>
      <c r="C4110" s="7">
        <v>1.515</v>
      </c>
    </row>
    <row r="4111" spans="1:3">
      <c r="A4111" s="6">
        <v>45684</v>
      </c>
      <c r="B4111" s="7">
        <v>1.629</v>
      </c>
      <c r="C4111" s="7">
        <v>1.4898</v>
      </c>
    </row>
    <row r="4112" spans="1:3">
      <c r="A4112" s="6">
        <v>45693</v>
      </c>
      <c r="B4112" s="7">
        <v>1.6447</v>
      </c>
      <c r="C4112" s="7">
        <v>1.4881</v>
      </c>
    </row>
    <row r="4113" spans="1:3">
      <c r="A4113" s="6">
        <v>45694</v>
      </c>
      <c r="B4113" s="7">
        <v>1.5912</v>
      </c>
      <c r="C4113" s="7">
        <v>1.4695</v>
      </c>
    </row>
    <row r="4114" spans="1:3">
      <c r="A4114" s="6">
        <v>45695</v>
      </c>
      <c r="B4114" s="7">
        <v>1.5766</v>
      </c>
      <c r="C4114" s="7">
        <v>1.4799</v>
      </c>
    </row>
    <row r="4115" spans="1:3">
      <c r="A4115" s="6">
        <v>45696</v>
      </c>
      <c r="B4115" s="7">
        <v>1.5987</v>
      </c>
      <c r="C4115" s="7">
        <v>1.5052</v>
      </c>
    </row>
    <row r="4116" spans="1:3">
      <c r="A4116" s="6">
        <v>45698</v>
      </c>
      <c r="B4116" s="7">
        <v>1.6332</v>
      </c>
      <c r="C4116" s="7">
        <v>1.5286</v>
      </c>
    </row>
    <row r="4117" spans="1:3">
      <c r="A4117" s="6">
        <v>45699</v>
      </c>
      <c r="B4117" s="7">
        <v>1.656</v>
      </c>
      <c r="C4117" s="7">
        <v>1.5319</v>
      </c>
    </row>
    <row r="4118" spans="1:3">
      <c r="A4118" s="6">
        <v>45700</v>
      </c>
      <c r="B4118" s="7">
        <v>1.6414</v>
      </c>
      <c r="C4118" s="7">
        <v>1.5324</v>
      </c>
    </row>
    <row r="4119" spans="1:3">
      <c r="A4119" s="6">
        <v>45701</v>
      </c>
      <c r="B4119" s="7">
        <v>1.65</v>
      </c>
      <c r="C4119" s="7">
        <v>1.5409</v>
      </c>
    </row>
    <row r="4120" spans="1:3">
      <c r="A4120" s="6">
        <v>45702</v>
      </c>
      <c r="B4120" s="7">
        <v>1.694</v>
      </c>
      <c r="C4120" s="7">
        <v>1.5721</v>
      </c>
    </row>
    <row r="4121" spans="1:3">
      <c r="A4121" s="6">
        <v>45705</v>
      </c>
      <c r="B4121" s="7">
        <v>1.7076</v>
      </c>
      <c r="C4121" s="7">
        <v>1.6</v>
      </c>
    </row>
    <row r="4122" spans="1:3">
      <c r="A4122" s="6">
        <v>45706</v>
      </c>
      <c r="B4122" s="7">
        <v>1.7553</v>
      </c>
      <c r="C4122" s="7">
        <v>1.6503</v>
      </c>
    </row>
    <row r="4123" spans="1:3">
      <c r="A4123" s="6">
        <v>45707</v>
      </c>
      <c r="B4123" s="7">
        <v>1.7267</v>
      </c>
      <c r="C4123" s="7">
        <v>1.6024</v>
      </c>
    </row>
    <row r="4124" spans="1:3">
      <c r="A4124" s="6">
        <v>45708</v>
      </c>
      <c r="B4124" s="7">
        <v>1.7617</v>
      </c>
      <c r="C4124" s="7">
        <v>1.6318</v>
      </c>
    </row>
    <row r="4125" spans="1:3">
      <c r="A4125" s="6">
        <v>45709</v>
      </c>
      <c r="B4125" s="7">
        <v>1.7663</v>
      </c>
      <c r="C4125" s="7">
        <v>1.6598</v>
      </c>
    </row>
    <row r="4126" spans="1:3">
      <c r="A4126" s="6">
        <v>45712</v>
      </c>
      <c r="B4126" s="7">
        <v>1.7742</v>
      </c>
      <c r="C4126" s="7">
        <v>1.6802</v>
      </c>
    </row>
    <row r="4127" spans="1:3">
      <c r="A4127" s="6">
        <v>45713</v>
      </c>
      <c r="B4127" s="7">
        <v>1.7641</v>
      </c>
      <c r="C4127" s="7">
        <v>1.6632</v>
      </c>
    </row>
    <row r="4128" spans="1:3">
      <c r="A4128" s="6">
        <v>45714</v>
      </c>
      <c r="B4128" s="7">
        <v>1.7659</v>
      </c>
      <c r="C4128" s="7">
        <v>1.6411</v>
      </c>
    </row>
    <row r="4129" spans="1:3">
      <c r="A4129" s="6">
        <v>45715</v>
      </c>
      <c r="B4129" s="7">
        <v>1.7867</v>
      </c>
      <c r="C4129" s="7">
        <v>1.6551</v>
      </c>
    </row>
    <row r="4130" spans="1:3">
      <c r="A4130" s="6">
        <v>45716</v>
      </c>
      <c r="B4130" s="7">
        <v>1.7872</v>
      </c>
      <c r="C4130" s="7">
        <v>1.6515</v>
      </c>
    </row>
    <row r="4131" spans="1:3">
      <c r="A4131" s="6">
        <v>45719</v>
      </c>
      <c r="B4131" s="7">
        <v>1.7409</v>
      </c>
      <c r="C4131" s="7">
        <v>1.6207</v>
      </c>
    </row>
    <row r="4132" spans="1:3">
      <c r="A4132" s="6">
        <v>45720</v>
      </c>
      <c r="B4132" s="7">
        <v>1.7388</v>
      </c>
      <c r="C4132" s="7">
        <v>1.6093</v>
      </c>
    </row>
    <row r="4133" spans="1:3">
      <c r="A4133" s="6">
        <v>45721</v>
      </c>
      <c r="B4133" s="7">
        <v>1.7328</v>
      </c>
      <c r="C4133" s="7">
        <v>1.6001</v>
      </c>
    </row>
    <row r="4134" spans="1:3">
      <c r="A4134" s="6">
        <v>45722</v>
      </c>
      <c r="B4134" s="7">
        <v>1.7477</v>
      </c>
      <c r="C4134" s="7">
        <v>1.6357</v>
      </c>
    </row>
    <row r="4135" spans="1:3">
      <c r="A4135" s="6">
        <v>45723</v>
      </c>
      <c r="B4135" s="7">
        <v>1.7801</v>
      </c>
      <c r="C4135" s="7">
        <v>1.6805</v>
      </c>
    </row>
    <row r="4136" spans="1:3">
      <c r="A4136" s="6">
        <v>45726</v>
      </c>
      <c r="B4136" s="7">
        <v>1.777</v>
      </c>
      <c r="C4136" s="7">
        <v>1.7003</v>
      </c>
    </row>
    <row r="4137" spans="1:3">
      <c r="A4137" s="6">
        <v>45727</v>
      </c>
      <c r="B4137" s="7">
        <v>1.7733</v>
      </c>
      <c r="C4137" s="7">
        <v>1.7111</v>
      </c>
    </row>
    <row r="4138" spans="1:3">
      <c r="A4138" s="6">
        <v>45728</v>
      </c>
      <c r="B4138" s="7">
        <v>1.741</v>
      </c>
      <c r="C4138" s="7">
        <v>1.6977</v>
      </c>
    </row>
    <row r="4139" spans="1:3">
      <c r="A4139" s="6">
        <v>45729</v>
      </c>
      <c r="B4139" s="7">
        <v>1.7163</v>
      </c>
      <c r="C4139" s="7">
        <v>1.6532</v>
      </c>
    </row>
    <row r="4140" spans="1:3">
      <c r="A4140" s="6">
        <v>45730</v>
      </c>
      <c r="B4140" s="7">
        <v>1.7247</v>
      </c>
      <c r="C4140" s="7">
        <v>1.6716</v>
      </c>
    </row>
    <row r="4141" spans="1:3">
      <c r="A4141" s="6">
        <v>45733</v>
      </c>
      <c r="B4141" s="7">
        <v>1.7395</v>
      </c>
      <c r="C4141" s="7">
        <v>1.6918</v>
      </c>
    </row>
    <row r="4142" spans="1:3">
      <c r="A4142" s="6">
        <v>45734</v>
      </c>
      <c r="B4142" s="7">
        <v>1.7345</v>
      </c>
      <c r="C4142" s="7">
        <v>1.6801</v>
      </c>
    </row>
    <row r="4143" spans="1:3">
      <c r="A4143" s="6">
        <v>45735</v>
      </c>
      <c r="B4143" s="7">
        <v>1.7427</v>
      </c>
      <c r="C4143" s="7">
        <v>1.6714</v>
      </c>
    </row>
    <row r="4144" spans="1:3">
      <c r="A4144" s="6">
        <v>45736</v>
      </c>
      <c r="B4144" s="7">
        <v>1.7199</v>
      </c>
      <c r="C4144" s="7">
        <v>1.6386</v>
      </c>
    </row>
    <row r="4145" spans="1:3">
      <c r="A4145" s="6">
        <v>45737</v>
      </c>
      <c r="B4145" s="7">
        <v>1.7256</v>
      </c>
      <c r="C4145" s="7">
        <v>1.6478</v>
      </c>
    </row>
    <row r="4146" spans="1:3">
      <c r="A4146" s="6">
        <v>45740</v>
      </c>
      <c r="B4146" s="7">
        <v>1.722</v>
      </c>
      <c r="C4146" s="7">
        <v>1.6468</v>
      </c>
    </row>
    <row r="4147" spans="1:3">
      <c r="A4147" s="6">
        <v>45741</v>
      </c>
      <c r="B4147" s="7">
        <v>1.7191</v>
      </c>
      <c r="C4147" s="7">
        <v>1.627</v>
      </c>
    </row>
    <row r="4148" spans="1:3">
      <c r="A4148" s="6">
        <v>45742</v>
      </c>
      <c r="B4148" s="7">
        <v>1.7129</v>
      </c>
      <c r="C4148" s="7">
        <v>1.6189</v>
      </c>
    </row>
    <row r="4149" spans="1:3">
      <c r="A4149" s="6">
        <v>45743</v>
      </c>
      <c r="B4149" s="7">
        <v>1.7036</v>
      </c>
      <c r="C4149" s="7">
        <v>1.6094</v>
      </c>
    </row>
    <row r="4150" spans="1:3">
      <c r="A4150" s="6">
        <v>45744</v>
      </c>
      <c r="B4150" s="7">
        <v>1.7028</v>
      </c>
      <c r="C4150" s="7">
        <v>1.6168</v>
      </c>
    </row>
    <row r="4151" spans="1:3">
      <c r="A4151" s="6">
        <v>45747</v>
      </c>
      <c r="B4151" s="7">
        <v>1.7053</v>
      </c>
      <c r="C4151" s="7">
        <v>1.6219</v>
      </c>
    </row>
    <row r="4152" spans="1:3">
      <c r="A4152" s="6">
        <v>45748</v>
      </c>
      <c r="B4152" s="7">
        <v>1.7136</v>
      </c>
      <c r="C4152" s="7">
        <v>1.6261</v>
      </c>
    </row>
    <row r="4153" spans="1:3">
      <c r="A4153" s="6">
        <v>45749</v>
      </c>
      <c r="B4153" s="7">
        <v>1.7066</v>
      </c>
      <c r="C4153" s="7">
        <v>1.62</v>
      </c>
    </row>
    <row r="4154" spans="1:3">
      <c r="A4154" s="6">
        <v>45750</v>
      </c>
      <c r="B4154" s="7">
        <v>1.6379</v>
      </c>
      <c r="C4154" s="7">
        <v>1.5502</v>
      </c>
    </row>
    <row r="4155" spans="1:3">
      <c r="A4155" s="6">
        <v>45754</v>
      </c>
      <c r="B4155" s="7">
        <v>1.5456</v>
      </c>
      <c r="C4155" s="7">
        <v>1.4394</v>
      </c>
    </row>
    <row r="4156" spans="1:3">
      <c r="A4156" s="6">
        <v>45755</v>
      </c>
      <c r="B4156" s="7">
        <v>1.5531</v>
      </c>
      <c r="C4156" s="7">
        <v>1.4527</v>
      </c>
    </row>
    <row r="4157" spans="1:3">
      <c r="A4157" s="6">
        <v>45756</v>
      </c>
      <c r="B4157" s="7">
        <v>1.5349</v>
      </c>
      <c r="C4157" s="7">
        <v>1.4346</v>
      </c>
    </row>
    <row r="4158" spans="1:3">
      <c r="A4158" s="6">
        <v>45757</v>
      </c>
      <c r="B4158" s="7">
        <v>1.5119</v>
      </c>
      <c r="C4158" s="7">
        <v>1.4298</v>
      </c>
    </row>
    <row r="4159" spans="1:3">
      <c r="A4159" s="6">
        <v>45758</v>
      </c>
      <c r="B4159" s="7">
        <v>1.466</v>
      </c>
      <c r="C4159" s="7">
        <v>1.4123</v>
      </c>
    </row>
    <row r="4160" spans="1:3">
      <c r="A4160" s="6">
        <v>45761</v>
      </c>
      <c r="B4160" s="7">
        <v>1.4896</v>
      </c>
      <c r="C4160" s="7">
        <v>1.4271</v>
      </c>
    </row>
    <row r="4161" spans="1:3">
      <c r="A4161" s="6">
        <v>45762</v>
      </c>
      <c r="B4161" s="7">
        <v>1.5248</v>
      </c>
      <c r="C4161" s="7">
        <v>1.4448</v>
      </c>
    </row>
    <row r="4162" spans="1:3">
      <c r="A4162" s="6">
        <v>45763</v>
      </c>
      <c r="B4162" s="7">
        <v>1.5206</v>
      </c>
      <c r="C4162" s="7">
        <v>1.4376</v>
      </c>
    </row>
    <row r="4163" spans="1:3">
      <c r="A4163" s="6">
        <v>45764</v>
      </c>
      <c r="B4163" s="7">
        <v>1.5229</v>
      </c>
      <c r="C4163" s="7">
        <v>1.4588</v>
      </c>
    </row>
    <row r="4164" spans="1:3">
      <c r="A4164" s="6">
        <v>45765</v>
      </c>
      <c r="B4164" s="7">
        <v>1.5262</v>
      </c>
      <c r="C4164" s="7">
        <v>1.4664</v>
      </c>
    </row>
    <row r="4165" spans="1:3">
      <c r="A4165" s="6">
        <v>45768</v>
      </c>
      <c r="B4165" s="7">
        <v>1.5421</v>
      </c>
      <c r="C4165" s="7">
        <v>1.479</v>
      </c>
    </row>
    <row r="4166" spans="1:3">
      <c r="A4166" s="6">
        <v>45769</v>
      </c>
      <c r="B4166" s="7">
        <v>1.5255</v>
      </c>
      <c r="C4166" s="7">
        <v>1.4575</v>
      </c>
    </row>
    <row r="4167" spans="1:3">
      <c r="A4167" s="6">
        <v>45770</v>
      </c>
      <c r="B4167" s="7">
        <v>1.532</v>
      </c>
      <c r="C4167" s="7">
        <v>1.4741</v>
      </c>
    </row>
    <row r="4168" spans="1:3">
      <c r="A4168" s="6">
        <v>45771</v>
      </c>
      <c r="B4168" s="7">
        <v>1.5295</v>
      </c>
      <c r="C4168" s="7">
        <v>1.4686</v>
      </c>
    </row>
    <row r="4169" spans="1:3">
      <c r="A4169" s="6">
        <v>45772</v>
      </c>
      <c r="B4169" s="7">
        <v>1.5172</v>
      </c>
      <c r="C4169" s="7">
        <v>1.4617</v>
      </c>
    </row>
    <row r="4170" spans="1:3">
      <c r="A4170" s="6">
        <v>45774</v>
      </c>
      <c r="B4170" s="7">
        <v>1.5155</v>
      </c>
      <c r="C4170" s="7"/>
    </row>
    <row r="4171" spans="1:3">
      <c r="A4171" s="6">
        <v>45775</v>
      </c>
      <c r="B4171" s="7">
        <v>1.5112</v>
      </c>
      <c r="C4171" s="7">
        <v>1.4514</v>
      </c>
    </row>
    <row r="4172" spans="1:3">
      <c r="A4172" s="6">
        <v>45776</v>
      </c>
      <c r="B4172" s="7">
        <v>1.5171</v>
      </c>
      <c r="C4172" s="7">
        <v>1.4385</v>
      </c>
    </row>
    <row r="4173" spans="1:3">
      <c r="A4173" s="6">
        <v>45777</v>
      </c>
      <c r="B4173" s="7">
        <v>1.5235</v>
      </c>
      <c r="C4173" s="7">
        <v>1.4368</v>
      </c>
    </row>
    <row r="4174" spans="1:3">
      <c r="A4174" s="6">
        <v>45783</v>
      </c>
      <c r="B4174" s="7">
        <v>1.5281</v>
      </c>
      <c r="C4174" s="7">
        <v>1.4446</v>
      </c>
    </row>
    <row r="4175" spans="1:3">
      <c r="A4175" s="6">
        <v>45784</v>
      </c>
      <c r="B4175" s="7">
        <v>1.515</v>
      </c>
      <c r="C4175" s="7">
        <v>1.4452</v>
      </c>
    </row>
    <row r="4176" spans="1:3">
      <c r="A4176" s="6">
        <v>45785</v>
      </c>
      <c r="B4176" s="7">
        <v>1.4905</v>
      </c>
      <c r="C4176" s="7">
        <v>1.4321</v>
      </c>
    </row>
    <row r="4177" spans="1:3">
      <c r="A4177" s="6">
        <v>45786</v>
      </c>
      <c r="B4177" s="7">
        <v>1.4846</v>
      </c>
      <c r="C4177" s="7">
        <v>1.4265</v>
      </c>
    </row>
    <row r="4178" spans="1:3">
      <c r="A4178" s="6">
        <v>45789</v>
      </c>
      <c r="B4178" s="7">
        <v>1.4938</v>
      </c>
      <c r="C4178" s="7">
        <v>1.4592</v>
      </c>
    </row>
    <row r="4179" spans="1:3">
      <c r="A4179" s="6">
        <v>45790</v>
      </c>
      <c r="B4179" s="7">
        <v>1.4992</v>
      </c>
      <c r="C4179" s="7">
        <v>1.477</v>
      </c>
    </row>
    <row r="4180" spans="1:3">
      <c r="A4180" s="6">
        <v>45791</v>
      </c>
      <c r="B4180" s="7">
        <v>1.5189</v>
      </c>
      <c r="C4180" s="7">
        <v>1.4898</v>
      </c>
    </row>
    <row r="4181" spans="1:3">
      <c r="A4181" s="6">
        <v>45792</v>
      </c>
      <c r="B4181" s="7">
        <v>1.5383</v>
      </c>
      <c r="C4181" s="7">
        <v>1.5023</v>
      </c>
    </row>
    <row r="4182" spans="1:3">
      <c r="A4182" s="6">
        <v>45793</v>
      </c>
      <c r="B4182" s="7">
        <v>1.572</v>
      </c>
      <c r="C4182" s="7">
        <v>1.5276</v>
      </c>
    </row>
    <row r="4183" spans="1:3">
      <c r="A4183" s="6">
        <v>45796</v>
      </c>
      <c r="B4183" s="7">
        <v>1.5555</v>
      </c>
      <c r="C4183" s="7">
        <v>1.4943</v>
      </c>
    </row>
    <row r="4184" spans="1:3">
      <c r="A4184" s="6">
        <v>45797</v>
      </c>
      <c r="B4184" s="7">
        <v>1.5552</v>
      </c>
      <c r="C4184" s="7">
        <v>1.4991</v>
      </c>
    </row>
    <row r="4185" spans="1:3">
      <c r="A4185" s="6">
        <v>45798</v>
      </c>
      <c r="B4185" s="7">
        <v>1.5581</v>
      </c>
      <c r="C4185" s="7">
        <v>1.5043</v>
      </c>
    </row>
    <row r="4186" spans="1:3">
      <c r="A4186" s="6">
        <v>45799</v>
      </c>
      <c r="B4186" s="7">
        <v>1.5501</v>
      </c>
      <c r="C4186" s="7">
        <v>1.4994</v>
      </c>
    </row>
    <row r="4187" spans="1:3">
      <c r="A4187" s="6">
        <v>45800</v>
      </c>
      <c r="B4187" s="7">
        <v>1.5575</v>
      </c>
      <c r="C4187" s="7">
        <v>1.5057</v>
      </c>
    </row>
    <row r="4188" spans="1:3">
      <c r="A4188" s="6">
        <v>45803</v>
      </c>
      <c r="B4188" s="7">
        <v>1.5543</v>
      </c>
      <c r="C4188" s="7">
        <v>1.4969</v>
      </c>
    </row>
    <row r="4189" spans="1:3">
      <c r="A4189" s="6">
        <v>45804</v>
      </c>
      <c r="B4189" s="7">
        <v>1.5559</v>
      </c>
      <c r="C4189" s="7">
        <v>1.5028</v>
      </c>
    </row>
    <row r="4190" spans="1:3">
      <c r="A4190" s="6">
        <v>45805</v>
      </c>
      <c r="B4190" s="7">
        <v>1.5515</v>
      </c>
      <c r="C4190" s="7">
        <v>1.5004</v>
      </c>
    </row>
    <row r="4191" spans="1:3">
      <c r="A4191" s="6">
        <v>45806</v>
      </c>
      <c r="B4191" s="7">
        <v>1.5675</v>
      </c>
      <c r="C4191" s="7">
        <v>1.5206</v>
      </c>
    </row>
    <row r="4192" spans="1:3">
      <c r="A4192" s="6">
        <v>45807</v>
      </c>
      <c r="B4192" s="7">
        <v>1.5525</v>
      </c>
      <c r="C4192" s="7">
        <v>1.5043</v>
      </c>
    </row>
    <row r="4193" spans="1:3">
      <c r="A4193" s="6">
        <v>45811</v>
      </c>
      <c r="B4193" s="7">
        <v>1.5556</v>
      </c>
      <c r="C4193" s="7">
        <v>1.4989</v>
      </c>
    </row>
    <row r="4194" spans="1:3">
      <c r="A4194" s="6">
        <v>45812</v>
      </c>
      <c r="B4194" s="7">
        <v>1.5516</v>
      </c>
      <c r="C4194" s="7">
        <v>1.4927</v>
      </c>
    </row>
    <row r="4195" spans="1:3">
      <c r="A4195" s="6">
        <v>45813</v>
      </c>
      <c r="B4195" s="7">
        <v>1.5385</v>
      </c>
      <c r="C4195" s="7">
        <v>1.4808</v>
      </c>
    </row>
    <row r="4196" spans="1:3">
      <c r="A4196" s="6">
        <v>45814</v>
      </c>
      <c r="B4196" s="7">
        <v>1.525</v>
      </c>
      <c r="C4196" s="7">
        <v>1.4724</v>
      </c>
    </row>
    <row r="4197" spans="1:3">
      <c r="A4197" s="6">
        <v>45817</v>
      </c>
      <c r="B4197" s="7">
        <v>1.5123</v>
      </c>
      <c r="C4197" s="7">
        <v>1.4664</v>
      </c>
    </row>
    <row r="4198" spans="1:3">
      <c r="A4198" s="6">
        <v>45818</v>
      </c>
      <c r="B4198" s="7">
        <v>1.5159</v>
      </c>
      <c r="C4198" s="7">
        <v>1.4741</v>
      </c>
    </row>
    <row r="4199" spans="1:3">
      <c r="A4199" s="6">
        <v>45819</v>
      </c>
      <c r="B4199" s="7">
        <v>1.5203</v>
      </c>
      <c r="C4199" s="7">
        <v>1.4788</v>
      </c>
    </row>
    <row r="4200" spans="1:3">
      <c r="A4200" s="6">
        <v>45820</v>
      </c>
      <c r="B4200" s="7">
        <v>1.5316</v>
      </c>
      <c r="C4200" s="7">
        <v>1.4813</v>
      </c>
    </row>
    <row r="4201" spans="1:3">
      <c r="A4201" s="6">
        <v>45821</v>
      </c>
      <c r="B4201" s="7">
        <v>1.5344</v>
      </c>
      <c r="C4201" s="7">
        <v>1.4818</v>
      </c>
    </row>
    <row r="4202" spans="1:3">
      <c r="A4202" s="6">
        <v>45824</v>
      </c>
      <c r="B4202" s="7">
        <v>1.5295</v>
      </c>
      <c r="C4202" s="7">
        <v>1.4755</v>
      </c>
    </row>
    <row r="4203" spans="1:3">
      <c r="A4203" s="6">
        <v>45825</v>
      </c>
      <c r="B4203" s="7">
        <v>1.5209</v>
      </c>
      <c r="C4203" s="7">
        <v>1.4722</v>
      </c>
    </row>
    <row r="4204" spans="1:3">
      <c r="A4204" s="6">
        <v>45826</v>
      </c>
      <c r="B4204" s="7">
        <v>1.5218</v>
      </c>
      <c r="C4204" s="7">
        <v>1.4725</v>
      </c>
    </row>
    <row r="4205" spans="1:3">
      <c r="A4205" s="6">
        <v>45827</v>
      </c>
      <c r="B4205" s="7">
        <v>1.5264</v>
      </c>
      <c r="C4205" s="7">
        <v>1.4742</v>
      </c>
    </row>
    <row r="4206" spans="1:3">
      <c r="A4206" s="6">
        <v>45828</v>
      </c>
      <c r="B4206" s="7">
        <v>1.5277</v>
      </c>
      <c r="C4206" s="7">
        <v>1.4746</v>
      </c>
    </row>
    <row r="4207" spans="1:3">
      <c r="A4207" s="6">
        <v>45831</v>
      </c>
      <c r="B4207" s="7">
        <v>1.534</v>
      </c>
      <c r="C4207" s="7">
        <v>1.4758</v>
      </c>
    </row>
    <row r="4208" spans="1:3">
      <c r="A4208" s="6">
        <v>45832</v>
      </c>
      <c r="B4208" s="7">
        <v>1.5398</v>
      </c>
      <c r="C4208" s="7">
        <v>1.4866</v>
      </c>
    </row>
    <row r="4209" spans="1:3">
      <c r="A4209" s="6">
        <v>45833</v>
      </c>
      <c r="B4209" s="7">
        <v>1.5401</v>
      </c>
      <c r="C4209" s="7">
        <v>1.4897</v>
      </c>
    </row>
    <row r="4210" spans="1:3">
      <c r="A4210" s="6">
        <v>45834</v>
      </c>
      <c r="B4210" s="7">
        <v>1.5364</v>
      </c>
      <c r="C4210" s="7">
        <v>1.494</v>
      </c>
    </row>
    <row r="4211" spans="1:3">
      <c r="A4211" s="6">
        <v>45835</v>
      </c>
      <c r="B4211" s="7">
        <v>1.5294</v>
      </c>
      <c r="C4211" s="7">
        <v>1.4865</v>
      </c>
    </row>
    <row r="4212" spans="1:3">
      <c r="A4212" s="6">
        <v>45838</v>
      </c>
      <c r="B4212" s="7">
        <v>1.5432</v>
      </c>
      <c r="C4212" s="7">
        <v>1.4996</v>
      </c>
    </row>
    <row r="4213" spans="1:3">
      <c r="A4213" s="6">
        <v>45839</v>
      </c>
      <c r="B4213" s="7">
        <v>1.5396</v>
      </c>
      <c r="C4213" s="7">
        <v>1.4925</v>
      </c>
    </row>
    <row r="4214" spans="1:3">
      <c r="A4214" s="6">
        <v>45840</v>
      </c>
      <c r="B4214" s="7">
        <v>1.5223</v>
      </c>
      <c r="C4214" s="7">
        <v>1.4772</v>
      </c>
    </row>
    <row r="4215" spans="1:3">
      <c r="A4215" s="6">
        <v>45841</v>
      </c>
      <c r="B4215" s="7">
        <v>1.5145</v>
      </c>
      <c r="C4215" s="7">
        <v>1.4713</v>
      </c>
    </row>
    <row r="4216" spans="1:3">
      <c r="A4216" s="6">
        <v>45842</v>
      </c>
      <c r="B4216" s="7">
        <v>1.5039</v>
      </c>
      <c r="C4216" s="7">
        <v>1.4634</v>
      </c>
    </row>
    <row r="4217" spans="1:3">
      <c r="A4217" s="6">
        <v>45845</v>
      </c>
      <c r="B4217" s="7">
        <v>1.5086</v>
      </c>
      <c r="C4217" s="7">
        <v>1.4709</v>
      </c>
    </row>
    <row r="4218" spans="1:3">
      <c r="A4218" s="6">
        <v>45846</v>
      </c>
      <c r="B4218" s="7">
        <v>1.5216</v>
      </c>
      <c r="C4218" s="7">
        <v>1.4864</v>
      </c>
    </row>
    <row r="4219" spans="1:3">
      <c r="A4219" s="6">
        <v>45847</v>
      </c>
      <c r="B4219" s="7">
        <v>1.5323</v>
      </c>
      <c r="C4219" s="7">
        <v>1.4922</v>
      </c>
    </row>
    <row r="4220" spans="1:3">
      <c r="A4220" s="6">
        <v>45848</v>
      </c>
      <c r="B4220" s="7">
        <v>1.5405</v>
      </c>
      <c r="C4220" s="7">
        <v>1.5053</v>
      </c>
    </row>
    <row r="4221" spans="1:3">
      <c r="A4221" s="6">
        <v>45849</v>
      </c>
      <c r="B4221" s="7">
        <v>1.5412</v>
      </c>
      <c r="C4221" s="7">
        <v>1.5187</v>
      </c>
    </row>
    <row r="4222" spans="1:3">
      <c r="A4222" s="6">
        <v>45852</v>
      </c>
      <c r="B4222" s="7">
        <v>1.5412</v>
      </c>
      <c r="C4222" s="7">
        <v>1.5364</v>
      </c>
    </row>
    <row r="4223" spans="1:3">
      <c r="A4223" s="6">
        <v>45853</v>
      </c>
      <c r="B4223" s="7">
        <v>1.5321</v>
      </c>
      <c r="C4223" s="7">
        <v>1.5224</v>
      </c>
    </row>
    <row r="4224" spans="1:3">
      <c r="A4224" s="6">
        <v>45854</v>
      </c>
      <c r="B4224" s="7">
        <v>1.5256</v>
      </c>
      <c r="C4224" s="7">
        <v>1.5129</v>
      </c>
    </row>
    <row r="4225" spans="1:3">
      <c r="A4225" s="6">
        <v>45855</v>
      </c>
      <c r="B4225" s="7">
        <v>1.5278</v>
      </c>
      <c r="C4225" s="7">
        <v>1.5224</v>
      </c>
    </row>
    <row r="4226" spans="1:3">
      <c r="A4226" s="6">
        <v>45856</v>
      </c>
      <c r="B4226" s="7">
        <v>1.5208</v>
      </c>
      <c r="C4226" s="7">
        <v>1.5349</v>
      </c>
    </row>
    <row r="4227" spans="1:3">
      <c r="A4227" s="6">
        <v>45859</v>
      </c>
      <c r="B4227" s="7">
        <v>1.5213</v>
      </c>
      <c r="C4227" s="7">
        <v>1.553</v>
      </c>
    </row>
    <row r="4228" spans="1:3">
      <c r="A4228" s="6">
        <v>45860</v>
      </c>
      <c r="B4228" s="7">
        <v>1.5072</v>
      </c>
      <c r="C4228" s="7">
        <v>1.5528</v>
      </c>
    </row>
    <row r="4229" spans="1:3">
      <c r="A4229" s="6">
        <v>45861</v>
      </c>
      <c r="B4229" s="7">
        <v>1.5198</v>
      </c>
      <c r="C4229" s="7">
        <v>1.577</v>
      </c>
    </row>
    <row r="4230" spans="1:3">
      <c r="A4230" s="6">
        <v>45862</v>
      </c>
      <c r="B4230" s="7">
        <v>1.5475</v>
      </c>
      <c r="C4230" s="7">
        <v>1.5923</v>
      </c>
    </row>
    <row r="4231" spans="1:3">
      <c r="A4231" s="6">
        <v>45863</v>
      </c>
      <c r="B4231" s="7">
        <v>1.541</v>
      </c>
      <c r="C4231" s="7">
        <v>1.5947</v>
      </c>
    </row>
    <row r="4232" spans="1:3">
      <c r="A4232" s="6">
        <v>45866</v>
      </c>
      <c r="B4232" s="7">
        <v>1.5329</v>
      </c>
      <c r="C4232" s="7">
        <v>1.5855</v>
      </c>
    </row>
    <row r="4233" spans="1:3">
      <c r="A4233" s="6">
        <v>45867</v>
      </c>
      <c r="B4233" s="7">
        <v>1.5427</v>
      </c>
      <c r="C4233" s="7">
        <v>1.606</v>
      </c>
    </row>
    <row r="4234" spans="1:3">
      <c r="A4234" s="6">
        <v>45868</v>
      </c>
      <c r="B4234" s="7">
        <v>1.5333</v>
      </c>
      <c r="C4234" s="7">
        <v>1.6025</v>
      </c>
    </row>
    <row r="4235" spans="1:3">
      <c r="A4235" s="6">
        <v>45869</v>
      </c>
      <c r="B4235" s="7">
        <v>1.5271</v>
      </c>
      <c r="C4235" s="7">
        <v>1.5745</v>
      </c>
    </row>
    <row r="4236" spans="1:3">
      <c r="A4236" s="6">
        <v>45870</v>
      </c>
      <c r="B4236" s="7">
        <v>1.5254</v>
      </c>
      <c r="C4236" s="7">
        <v>1.5703</v>
      </c>
    </row>
    <row r="4237" spans="1:3">
      <c r="A4237" s="6">
        <v>45873</v>
      </c>
      <c r="B4237" s="7">
        <v>1.5259</v>
      </c>
      <c r="C4237" s="7">
        <v>1.571</v>
      </c>
    </row>
    <row r="4238" spans="1:3">
      <c r="A4238" s="6">
        <v>45874</v>
      </c>
      <c r="B4238" s="7">
        <v>1.5263</v>
      </c>
      <c r="C4238" s="7">
        <v>1.5781</v>
      </c>
    </row>
    <row r="4239" spans="1:3">
      <c r="A4239" s="6">
        <v>45875</v>
      </c>
      <c r="B4239" s="7">
        <v>1.5222</v>
      </c>
      <c r="C4239" s="7">
        <v>1.5667</v>
      </c>
    </row>
    <row r="4240" spans="1:3">
      <c r="A4240" s="6">
        <v>45876</v>
      </c>
      <c r="B4240" s="7">
        <v>1.5205</v>
      </c>
      <c r="C4240" s="7">
        <v>1.5548</v>
      </c>
    </row>
    <row r="4241" spans="1:3">
      <c r="A4241" s="6">
        <v>45877</v>
      </c>
      <c r="B4241" s="7">
        <v>1.5177</v>
      </c>
      <c r="C4241" s="7">
        <v>1.5569</v>
      </c>
    </row>
    <row r="4242" spans="1:3">
      <c r="A4242" s="6">
        <v>45880</v>
      </c>
      <c r="B4242" s="7">
        <v>1.5203</v>
      </c>
      <c r="C4242" s="7">
        <v>1.5692</v>
      </c>
    </row>
    <row r="4243" spans="1:3">
      <c r="A4243" s="6">
        <v>45881</v>
      </c>
      <c r="B4243" s="7">
        <v>1.5236</v>
      </c>
      <c r="C4243" s="7">
        <v>1.5747</v>
      </c>
    </row>
    <row r="4244" spans="1:3">
      <c r="A4244" s="6">
        <v>45882</v>
      </c>
      <c r="B4244" s="7">
        <v>1.5144</v>
      </c>
      <c r="C4244" s="7">
        <v>1.5682</v>
      </c>
    </row>
    <row r="4245" spans="1:3">
      <c r="A4245" s="6">
        <v>45883</v>
      </c>
      <c r="B4245" s="7">
        <v>1.5124</v>
      </c>
      <c r="C4245" s="7">
        <v>1.573</v>
      </c>
    </row>
    <row r="4246" spans="1:3">
      <c r="A4246" s="6">
        <v>45884</v>
      </c>
      <c r="B4246" s="7">
        <v>1.5128</v>
      </c>
      <c r="C4246" s="7">
        <v>1.5781</v>
      </c>
    </row>
    <row r="4247" spans="1:3">
      <c r="A4247" s="6">
        <v>45887</v>
      </c>
      <c r="B4247" s="7">
        <v>1.5437</v>
      </c>
      <c r="C4247" s="7">
        <v>1.6273</v>
      </c>
    </row>
    <row r="4248" spans="1:3">
      <c r="A4248" s="6">
        <v>45888</v>
      </c>
      <c r="B4248" s="7">
        <v>1.5426</v>
      </c>
      <c r="C4248" s="7">
        <v>1.6255</v>
      </c>
    </row>
    <row r="4249" spans="1:3">
      <c r="A4249" s="6">
        <v>45889</v>
      </c>
      <c r="B4249" s="7">
        <v>1.5454</v>
      </c>
      <c r="C4249" s="7">
        <v>1.6242</v>
      </c>
    </row>
    <row r="4250" spans="1:3">
      <c r="A4250" s="6">
        <v>45890</v>
      </c>
      <c r="B4250" s="7">
        <v>1.5481</v>
      </c>
      <c r="C4250" s="7">
        <v>1.6302</v>
      </c>
    </row>
    <row r="4251" spans="1:3">
      <c r="A4251" s="6">
        <v>45891</v>
      </c>
      <c r="B4251" s="7">
        <v>1.5422</v>
      </c>
      <c r="C4251" s="7">
        <v>1.6277</v>
      </c>
    </row>
    <row r="4252" spans="1:3">
      <c r="A4252" s="6">
        <v>45894</v>
      </c>
      <c r="B4252" s="7">
        <v>1.5423</v>
      </c>
      <c r="C4252" s="7">
        <v>1.6276</v>
      </c>
    </row>
    <row r="4253" spans="1:3">
      <c r="A4253" s="6">
        <v>45895</v>
      </c>
      <c r="B4253" s="7">
        <v>1.5406</v>
      </c>
      <c r="C4253" s="7">
        <v>1.6207</v>
      </c>
    </row>
    <row r="4254" spans="1:3">
      <c r="A4254" s="6">
        <v>45896</v>
      </c>
      <c r="B4254" s="7">
        <v>1.5412</v>
      </c>
      <c r="C4254" s="7">
        <v>1.6177</v>
      </c>
    </row>
    <row r="4255" spans="1:3">
      <c r="A4255" s="6">
        <v>45897</v>
      </c>
      <c r="B4255" s="7">
        <v>1.5483</v>
      </c>
      <c r="C4255" s="7">
        <v>1.6346</v>
      </c>
    </row>
    <row r="4256" spans="1:3">
      <c r="A4256" s="6">
        <v>45898</v>
      </c>
      <c r="B4256" s="7">
        <v>1.5446</v>
      </c>
      <c r="C4256" s="7">
        <v>1.637</v>
      </c>
    </row>
    <row r="4257" spans="1:3">
      <c r="A4257" s="6">
        <v>45901</v>
      </c>
      <c r="B4257" s="7">
        <v>1.5423</v>
      </c>
      <c r="C4257" s="7">
        <v>1.6324</v>
      </c>
    </row>
    <row r="4258" spans="1:3">
      <c r="A4258" s="6">
        <v>45902</v>
      </c>
      <c r="B4258" s="7">
        <v>1.5398</v>
      </c>
      <c r="C4258" s="7">
        <v>1.6289</v>
      </c>
    </row>
    <row r="4259" spans="1:3">
      <c r="A4259" s="6">
        <v>45903</v>
      </c>
      <c r="B4259" s="7">
        <v>1.5324</v>
      </c>
      <c r="C4259" s="7">
        <v>1.6124</v>
      </c>
    </row>
    <row r="4260" spans="1:3">
      <c r="A4260" s="6">
        <v>45904</v>
      </c>
      <c r="B4260" s="7">
        <v>1.529</v>
      </c>
      <c r="C4260" s="7">
        <v>1.6049</v>
      </c>
    </row>
    <row r="4261" spans="1:3">
      <c r="A4261" s="6">
        <v>45905</v>
      </c>
      <c r="B4261" s="7">
        <v>1.5425</v>
      </c>
      <c r="C4261" s="7">
        <v>1.635</v>
      </c>
    </row>
    <row r="4262" spans="1:3">
      <c r="A4262" s="6">
        <v>45908</v>
      </c>
      <c r="B4262" s="7">
        <v>1.5501</v>
      </c>
      <c r="C4262" s="7">
        <v>1.6484</v>
      </c>
    </row>
    <row r="4263" spans="1:3">
      <c r="A4263" s="6">
        <v>45909</v>
      </c>
      <c r="B4263" s="7">
        <v>1.555</v>
      </c>
      <c r="C4263" s="7">
        <v>1.6504</v>
      </c>
    </row>
    <row r="4264" spans="1:3">
      <c r="A4264" s="6">
        <v>45910</v>
      </c>
      <c r="B4264" s="7">
        <v>1.5596</v>
      </c>
      <c r="C4264" s="7">
        <v>1.668</v>
      </c>
    </row>
    <row r="4265" spans="1:3">
      <c r="A4265" s="6">
        <v>45911</v>
      </c>
      <c r="B4265" s="7">
        <v>1.5668</v>
      </c>
      <c r="C4265" s="7">
        <v>1.6748</v>
      </c>
    </row>
    <row r="4266" spans="1:3">
      <c r="A4266" s="6">
        <v>45912</v>
      </c>
      <c r="B4266" s="7">
        <v>1.5577</v>
      </c>
      <c r="C4266" s="7">
        <v>1.6663</v>
      </c>
    </row>
    <row r="4267" spans="1:3">
      <c r="A4267" s="6">
        <v>45915</v>
      </c>
      <c r="B4267" s="7">
        <v>1.5528</v>
      </c>
      <c r="C4267" s="7">
        <v>1.6473</v>
      </c>
    </row>
    <row r="4268" spans="1:3">
      <c r="A4268" s="6">
        <v>45916</v>
      </c>
      <c r="B4268" s="7">
        <v>1.5511</v>
      </c>
      <c r="C4268" s="7">
        <v>1.65</v>
      </c>
    </row>
    <row r="4269" spans="1:3">
      <c r="A4269" s="6">
        <v>45917</v>
      </c>
      <c r="B4269" s="7">
        <v>1.5517</v>
      </c>
      <c r="C4269" s="7">
        <v>1.6355</v>
      </c>
    </row>
    <row r="4270" spans="1:3">
      <c r="A4270" s="6">
        <v>45918</v>
      </c>
      <c r="B4270" s="7">
        <v>1.5547</v>
      </c>
      <c r="C4270" s="7">
        <v>1.6362</v>
      </c>
    </row>
    <row r="4271" spans="1:3">
      <c r="A4271" s="6">
        <v>45919</v>
      </c>
      <c r="B4271" s="7">
        <v>1.556</v>
      </c>
      <c r="C4271" s="7">
        <v>1.6527</v>
      </c>
    </row>
    <row r="4272" spans="1:3">
      <c r="A4272" s="6">
        <v>45922</v>
      </c>
      <c r="B4272" s="7">
        <v>1.554</v>
      </c>
      <c r="C4272" s="7">
        <v>1.6474</v>
      </c>
    </row>
    <row r="4273" spans="1:3">
      <c r="A4273" s="6">
        <v>45923</v>
      </c>
      <c r="B4273" s="7">
        <v>1.5671</v>
      </c>
      <c r="C4273" s="7">
        <v>1.6645</v>
      </c>
    </row>
    <row r="4274" spans="1:3">
      <c r="A4274" s="6">
        <v>45924</v>
      </c>
      <c r="B4274" s="7">
        <v>1.5736</v>
      </c>
      <c r="C4274" s="7">
        <v>1.6701</v>
      </c>
    </row>
    <row r="4275" spans="1:3">
      <c r="A4275" s="6">
        <v>45925</v>
      </c>
      <c r="B4275" s="7">
        <v>1.5929</v>
      </c>
      <c r="C4275" s="7">
        <v>1.6888</v>
      </c>
    </row>
    <row r="4276" spans="1:3">
      <c r="A4276" s="6">
        <v>45926</v>
      </c>
      <c r="B4276" s="7">
        <v>1.576</v>
      </c>
      <c r="C4276" s="7">
        <v>1.6791</v>
      </c>
    </row>
    <row r="4277" spans="1:3">
      <c r="A4277" s="6">
        <v>45929</v>
      </c>
      <c r="B4277" s="7">
        <v>1.5822</v>
      </c>
      <c r="C4277" s="7">
        <v>1.6859</v>
      </c>
    </row>
    <row r="4278" spans="1:3">
      <c r="A4278" s="6">
        <v>45930</v>
      </c>
      <c r="B4278" s="7">
        <v>1.5743</v>
      </c>
      <c r="C4278" s="7">
        <v>1.6777</v>
      </c>
    </row>
    <row r="4279" spans="1:3">
      <c r="A4279" s="6">
        <v>45939</v>
      </c>
      <c r="B4279" s="7">
        <v>1.5539</v>
      </c>
      <c r="C4279" s="7">
        <v>1.6466</v>
      </c>
    </row>
    <row r="4280" spans="1:3">
      <c r="A4280" s="6">
        <v>45940</v>
      </c>
      <c r="B4280" s="7">
        <v>1.557</v>
      </c>
      <c r="C4280" s="7">
        <v>1.6507</v>
      </c>
    </row>
    <row r="4281" spans="1:3">
      <c r="A4281" s="6">
        <v>45941</v>
      </c>
      <c r="B4281" s="7">
        <v>1.5413</v>
      </c>
      <c r="C4281" s="7">
        <v>1.6263</v>
      </c>
    </row>
    <row r="4282" spans="1:3">
      <c r="A4282" s="6">
        <v>45943</v>
      </c>
      <c r="B4282" s="7">
        <v>1.5458</v>
      </c>
      <c r="C4282" s="7">
        <v>1.6335</v>
      </c>
    </row>
    <row r="4283" spans="1:3">
      <c r="A4283" s="6">
        <v>45944</v>
      </c>
      <c r="B4283" s="7">
        <v>1.5401</v>
      </c>
      <c r="C4283" s="7">
        <v>1.6296</v>
      </c>
    </row>
    <row r="4284" spans="1:3">
      <c r="A4284" s="6">
        <v>45945</v>
      </c>
      <c r="B4284" s="7">
        <v>1.539</v>
      </c>
      <c r="C4284" s="7">
        <v>1.6212</v>
      </c>
    </row>
    <row r="4285" spans="1:3">
      <c r="A4285" s="6">
        <v>45946</v>
      </c>
      <c r="B4285" s="7">
        <v>1.532</v>
      </c>
      <c r="C4285" s="7">
        <v>1.61</v>
      </c>
    </row>
    <row r="4286" spans="1:3">
      <c r="A4286" s="6">
        <v>45947</v>
      </c>
      <c r="B4286" s="7">
        <v>1.5266</v>
      </c>
      <c r="C4286" s="7">
        <v>1.6009</v>
      </c>
    </row>
    <row r="4287" spans="1:3">
      <c r="A4287" s="6">
        <v>45950</v>
      </c>
      <c r="B4287" s="7">
        <v>1.5395</v>
      </c>
      <c r="C4287" s="7">
        <v>1.6191</v>
      </c>
    </row>
    <row r="4288" spans="1:3">
      <c r="A4288" s="6">
        <v>45951</v>
      </c>
      <c r="B4288" s="7">
        <v>1.5424</v>
      </c>
      <c r="C4288" s="7">
        <v>1.6153</v>
      </c>
    </row>
    <row r="4289" spans="1:3">
      <c r="A4289" s="6">
        <v>45952</v>
      </c>
      <c r="B4289" s="7">
        <v>1.5393</v>
      </c>
      <c r="C4289" s="7">
        <v>1.6025</v>
      </c>
    </row>
    <row r="4290" spans="1:3">
      <c r="A4290" s="6">
        <v>45953</v>
      </c>
      <c r="B4290" s="7">
        <v>1.5438</v>
      </c>
      <c r="C4290" s="7">
        <v>1.6065</v>
      </c>
    </row>
    <row r="4291" spans="1:3">
      <c r="A4291" s="6">
        <v>45954</v>
      </c>
      <c r="B4291" s="7">
        <v>1.5463</v>
      </c>
      <c r="C4291" s="7">
        <v>1.6181</v>
      </c>
    </row>
    <row r="4292" spans="1:3">
      <c r="A4292" s="6">
        <v>45957</v>
      </c>
      <c r="B4292" s="7">
        <v>1.5456</v>
      </c>
      <c r="C4292" s="7">
        <v>1.6112</v>
      </c>
    </row>
    <row r="4293" spans="1:3">
      <c r="A4293" s="6">
        <v>45958</v>
      </c>
      <c r="B4293" s="7">
        <v>1.5349</v>
      </c>
      <c r="C4293" s="7">
        <v>1.5842</v>
      </c>
    </row>
    <row r="4294" spans="1:3">
      <c r="A4294" s="6">
        <v>45959</v>
      </c>
      <c r="B4294" s="7">
        <v>1.5342</v>
      </c>
      <c r="C4294" s="7">
        <v>1.5811</v>
      </c>
    </row>
    <row r="4295" spans="1:3">
      <c r="A4295" s="6">
        <v>45960</v>
      </c>
      <c r="B4295" s="7">
        <v>1.5382</v>
      </c>
      <c r="C4295" s="7">
        <v>1.5825</v>
      </c>
    </row>
    <row r="4296" spans="1:3">
      <c r="A4296" s="6">
        <v>45961</v>
      </c>
      <c r="B4296" s="7">
        <v>1.5302</v>
      </c>
      <c r="C4296" s="7">
        <v>1.5713</v>
      </c>
    </row>
    <row r="4297" spans="1:3">
      <c r="A4297" s="6">
        <v>45964</v>
      </c>
      <c r="B4297" s="7">
        <v>1.5341</v>
      </c>
      <c r="C4297" s="7">
        <v>1.5795</v>
      </c>
    </row>
    <row r="4298" spans="1:3">
      <c r="A4298" s="6">
        <v>45965</v>
      </c>
      <c r="B4298" s="7">
        <v>1.5391</v>
      </c>
      <c r="C4298" s="7">
        <v>1.588</v>
      </c>
    </row>
    <row r="4299" spans="1:3">
      <c r="A4299" s="6">
        <v>45966</v>
      </c>
      <c r="B4299" s="7">
        <v>1.5369</v>
      </c>
      <c r="C4299" s="7">
        <v>1.5825</v>
      </c>
    </row>
    <row r="4300" spans="1:3">
      <c r="A4300" s="6">
        <v>45967</v>
      </c>
      <c r="B4300" s="7">
        <v>1.542</v>
      </c>
      <c r="C4300" s="7">
        <v>1.5928</v>
      </c>
    </row>
    <row r="4301" spans="1:3">
      <c r="A4301" s="6">
        <v>45968</v>
      </c>
      <c r="B4301" s="7">
        <v>1.5378</v>
      </c>
      <c r="C4301" s="7">
        <v>1.5935</v>
      </c>
    </row>
    <row r="4302" spans="1:3">
      <c r="A4302" s="6">
        <v>45971</v>
      </c>
      <c r="B4302" s="7">
        <v>1.5384</v>
      </c>
      <c r="C4302" s="7">
        <v>1.5926</v>
      </c>
    </row>
    <row r="4303" spans="1:3">
      <c r="A4303" s="6">
        <v>45972</v>
      </c>
      <c r="B4303" s="7">
        <v>1.5353</v>
      </c>
      <c r="C4303" s="7">
        <v>1.5867</v>
      </c>
    </row>
    <row r="4304" spans="1:3">
      <c r="A4304" s="6">
        <v>45973</v>
      </c>
      <c r="B4304" s="7">
        <v>1.5402</v>
      </c>
      <c r="C4304" s="7">
        <v>1.5899</v>
      </c>
    </row>
    <row r="4305" spans="1:3">
      <c r="A4305" s="6">
        <v>45974</v>
      </c>
      <c r="B4305" s="7">
        <v>1.5438</v>
      </c>
      <c r="C4305" s="7">
        <v>1.5971</v>
      </c>
    </row>
    <row r="4306" spans="1:3">
      <c r="A4306" s="6">
        <v>45975</v>
      </c>
      <c r="B4306" s="7">
        <v>1.54</v>
      </c>
      <c r="C4306" s="7">
        <v>1.6009</v>
      </c>
    </row>
    <row r="4307" spans="1:3">
      <c r="A4307" s="6">
        <v>45978</v>
      </c>
      <c r="B4307" s="7">
        <v>1.5389</v>
      </c>
      <c r="C4307" s="7">
        <v>1.5951</v>
      </c>
    </row>
    <row r="4308" spans="1:3">
      <c r="A4308" s="6">
        <v>45979</v>
      </c>
      <c r="B4308" s="7">
        <v>1.545</v>
      </c>
      <c r="C4308" s="7">
        <v>1.5981</v>
      </c>
    </row>
    <row r="4309" spans="1:3">
      <c r="A4309" s="6">
        <v>45980</v>
      </c>
      <c r="B4309" s="7">
        <v>1.5443</v>
      </c>
      <c r="C4309" s="7">
        <v>1.6014</v>
      </c>
    </row>
    <row r="4310" spans="1:3">
      <c r="A4310" s="6">
        <v>45981</v>
      </c>
      <c r="B4310" s="7">
        <v>1.5406</v>
      </c>
      <c r="C4310" s="7">
        <v>1.5973</v>
      </c>
    </row>
    <row r="4311" spans="1:3">
      <c r="A4311" s="6">
        <v>45982</v>
      </c>
      <c r="B4311" s="7">
        <v>1.542</v>
      </c>
      <c r="C4311" s="7">
        <v>1.5931</v>
      </c>
    </row>
    <row r="4312" spans="1:3">
      <c r="A4312" s="6">
        <v>45985</v>
      </c>
      <c r="B4312" s="7">
        <v>1.5445</v>
      </c>
      <c r="C4312" s="7">
        <v>1.5946</v>
      </c>
    </row>
    <row r="4313" spans="1:3">
      <c r="A4313" s="6">
        <v>45986</v>
      </c>
      <c r="B4313" s="7">
        <v>1.5471</v>
      </c>
      <c r="C4313" s="7">
        <v>1.6003</v>
      </c>
    </row>
    <row r="4314" spans="1:3">
      <c r="A4314" s="6">
        <v>45987</v>
      </c>
      <c r="B4314" s="7">
        <v>1.5537</v>
      </c>
      <c r="C4314" s="7">
        <v>1.6144</v>
      </c>
    </row>
    <row r="4315" spans="1:3">
      <c r="A4315" s="6">
        <v>45988</v>
      </c>
      <c r="B4315" s="7">
        <v>1.5546</v>
      </c>
      <c r="C4315" s="7">
        <v>1.6201</v>
      </c>
    </row>
    <row r="4316" spans="1:3">
      <c r="A4316" s="6">
        <v>45989</v>
      </c>
      <c r="B4316" s="7">
        <v>1.5503</v>
      </c>
      <c r="C4316" s="7">
        <v>1.6161</v>
      </c>
    </row>
    <row r="4317" spans="1:3">
      <c r="A4317" s="6">
        <v>45992</v>
      </c>
      <c r="B4317" s="7">
        <v>1.5393</v>
      </c>
      <c r="C4317" s="7">
        <v>1.6049</v>
      </c>
    </row>
    <row r="4318" spans="1:3">
      <c r="A4318" s="6">
        <v>45993</v>
      </c>
      <c r="B4318" s="7">
        <v>1.5415</v>
      </c>
      <c r="C4318" s="7">
        <v>1.6135</v>
      </c>
    </row>
    <row r="4319" spans="1:3">
      <c r="A4319" s="6">
        <v>45994</v>
      </c>
      <c r="B4319" s="7">
        <v>1.5376</v>
      </c>
      <c r="C4319" s="7">
        <v>1.6098</v>
      </c>
    </row>
    <row r="4320" spans="1:3">
      <c r="A4320" s="6">
        <v>45995</v>
      </c>
      <c r="B4320" s="7">
        <v>1.5423</v>
      </c>
      <c r="C4320" s="7">
        <v>1.6307</v>
      </c>
    </row>
    <row r="4321" spans="1:3">
      <c r="A4321" s="6">
        <v>45996</v>
      </c>
      <c r="B4321" s="7">
        <v>1.5391</v>
      </c>
      <c r="C4321" s="7">
        <v>1.6327</v>
      </c>
    </row>
    <row r="4322" spans="1:3">
      <c r="A4322" s="6">
        <v>45999</v>
      </c>
      <c r="B4322" s="7">
        <v>1.5441</v>
      </c>
      <c r="C4322" s="7">
        <v>1.639</v>
      </c>
    </row>
    <row r="4323" spans="1:3">
      <c r="A4323" s="6">
        <v>46000</v>
      </c>
      <c r="B4323" s="7">
        <v>1.541</v>
      </c>
      <c r="C4323" s="7">
        <v>1.633</v>
      </c>
    </row>
    <row r="4324" spans="1:3">
      <c r="A4324" s="6">
        <v>46001</v>
      </c>
      <c r="B4324" s="7">
        <v>1.5407</v>
      </c>
      <c r="C4324" s="7">
        <v>1.6342</v>
      </c>
    </row>
    <row r="4325" spans="1:3">
      <c r="A4325" s="6">
        <v>46002</v>
      </c>
      <c r="B4325" s="7">
        <v>1.5401</v>
      </c>
      <c r="C4325" s="7">
        <v>1.622</v>
      </c>
    </row>
    <row r="4326" spans="1:3">
      <c r="A4326" s="6">
        <v>46003</v>
      </c>
      <c r="B4326" s="7">
        <v>1.5353</v>
      </c>
      <c r="C4326" s="7">
        <v>1.619</v>
      </c>
    </row>
    <row r="4327" spans="1:3">
      <c r="A4327" s="6">
        <v>46006</v>
      </c>
      <c r="B4327" s="7">
        <v>1.5401</v>
      </c>
      <c r="C4327" s="7">
        <v>1.633</v>
      </c>
    </row>
    <row r="4328" spans="1:3">
      <c r="A4328" s="6">
        <v>46007</v>
      </c>
      <c r="B4328" s="7">
        <v>1.5388</v>
      </c>
      <c r="C4328" s="7">
        <v>1.6321</v>
      </c>
    </row>
    <row r="4329" spans="1:3">
      <c r="A4329" s="6">
        <v>46008</v>
      </c>
      <c r="B4329" s="7">
        <v>1.5296</v>
      </c>
      <c r="C4329" s="7">
        <v>1.6246</v>
      </c>
    </row>
    <row r="4330" spans="1:3">
      <c r="A4330" s="6">
        <v>46009</v>
      </c>
      <c r="B4330" s="7">
        <v>1.5108</v>
      </c>
      <c r="C4330" s="7">
        <v>1.6144</v>
      </c>
    </row>
    <row r="4331" spans="1:3">
      <c r="A4331" s="6">
        <v>46010</v>
      </c>
      <c r="B4331" s="7">
        <v>1.4929</v>
      </c>
      <c r="C4331" s="7">
        <v>1.6003</v>
      </c>
    </row>
    <row r="4332" spans="1:3">
      <c r="A4332" s="6">
        <v>46013</v>
      </c>
      <c r="B4332" s="7">
        <v>1.493</v>
      </c>
      <c r="C4332" s="7">
        <v>1.5982</v>
      </c>
    </row>
    <row r="4333" spans="1:3">
      <c r="A4333" s="6">
        <v>46014</v>
      </c>
      <c r="B4333" s="7">
        <v>1.4857</v>
      </c>
      <c r="C4333" s="7">
        <v>1.5843</v>
      </c>
    </row>
    <row r="4334" spans="1:3">
      <c r="A4334" s="6">
        <v>46015</v>
      </c>
      <c r="B4334" s="7">
        <v>1.4885</v>
      </c>
      <c r="C4334" s="7">
        <v>1.5837</v>
      </c>
    </row>
    <row r="4335" spans="1:3">
      <c r="A4335" s="6">
        <v>46016</v>
      </c>
      <c r="B4335" s="7">
        <v>1.4875</v>
      </c>
      <c r="C4335" s="7">
        <v>1.5857</v>
      </c>
    </row>
    <row r="4336" spans="1:3">
      <c r="A4336" s="6">
        <v>46017</v>
      </c>
      <c r="B4336" s="7">
        <v>1.4828</v>
      </c>
      <c r="C4336" s="7">
        <v>1.581</v>
      </c>
    </row>
    <row r="4337" spans="1:3">
      <c r="A4337" s="6">
        <v>46020</v>
      </c>
      <c r="B4337" s="7">
        <v>1.4978</v>
      </c>
      <c r="C4337" s="7">
        <v>1.6086</v>
      </c>
    </row>
    <row r="4338" spans="1:3">
      <c r="A4338" s="6">
        <v>46021</v>
      </c>
      <c r="B4338" s="7">
        <v>1.5003</v>
      </c>
      <c r="C4338" s="7">
        <v>1.607</v>
      </c>
    </row>
    <row r="4339" spans="1:3">
      <c r="A4339" s="6">
        <v>46022</v>
      </c>
      <c r="B4339" s="7">
        <v>1.5029</v>
      </c>
      <c r="C4339" s="7">
        <v>1.6184</v>
      </c>
    </row>
    <row r="4340" spans="1:3">
      <c r="A4340" s="6">
        <v>46026</v>
      </c>
      <c r="B4340" s="7">
        <v>1.5025</v>
      </c>
      <c r="C4340" s="7">
        <v>1.6104</v>
      </c>
    </row>
    <row r="4341" spans="1:3">
      <c r="A4341" s="6">
        <v>46027</v>
      </c>
      <c r="B4341" s="7">
        <v>1.5043</v>
      </c>
      <c r="C4341" s="7">
        <v>1.6274</v>
      </c>
    </row>
    <row r="4342" spans="1:3">
      <c r="A4342" s="6">
        <v>46028</v>
      </c>
      <c r="B4342" s="7">
        <v>1.5096</v>
      </c>
      <c r="C4342" s="7">
        <v>1.6425</v>
      </c>
    </row>
    <row r="4343" spans="1:3">
      <c r="A4343" s="6">
        <v>46029</v>
      </c>
      <c r="B4343" s="7">
        <v>1.5115</v>
      </c>
      <c r="C4343" s="7">
        <v>1.6474</v>
      </c>
    </row>
    <row r="4344" spans="1:3">
      <c r="A4344" s="6">
        <v>46030</v>
      </c>
      <c r="B4344" s="7">
        <v>1.5105</v>
      </c>
      <c r="C4344" s="7">
        <v>1.6385</v>
      </c>
    </row>
    <row r="4345" spans="1:3">
      <c r="A4345" s="6">
        <v>46031</v>
      </c>
      <c r="B4345" s="7">
        <v>1.5073</v>
      </c>
      <c r="C4345" s="7">
        <v>1.6342</v>
      </c>
    </row>
    <row r="4346" spans="1:3">
      <c r="A4346" s="6">
        <v>46034</v>
      </c>
      <c r="B4346" s="7">
        <v>1.5115</v>
      </c>
      <c r="C4346" s="7">
        <v>1.6348</v>
      </c>
    </row>
    <row r="4347" spans="1:3">
      <c r="A4347" s="6">
        <v>46035</v>
      </c>
      <c r="B4347" s="7">
        <v>1.5239</v>
      </c>
      <c r="C4347" s="7">
        <v>1.6383</v>
      </c>
    </row>
    <row r="4348" spans="1:3">
      <c r="A4348" s="6">
        <v>46036</v>
      </c>
      <c r="B4348" s="7">
        <v>1.5232</v>
      </c>
      <c r="C4348" s="7">
        <v>1.6422</v>
      </c>
    </row>
    <row r="4349" spans="1:3">
      <c r="A4349" s="6">
        <v>46037</v>
      </c>
      <c r="B4349" s="7">
        <v>1.5104</v>
      </c>
      <c r="C4349" s="7">
        <v>1.6324</v>
      </c>
    </row>
    <row r="4350" spans="1:3">
      <c r="A4350" s="6">
        <v>46038</v>
      </c>
      <c r="B4350" s="7">
        <v>1.4988</v>
      </c>
      <c r="C4350" s="7">
        <v>1.6315</v>
      </c>
    </row>
    <row r="4351" spans="1:3">
      <c r="A4351" s="6">
        <v>46041</v>
      </c>
      <c r="B4351" s="7">
        <v>1.5039</v>
      </c>
      <c r="C4351" s="7">
        <v>1.631</v>
      </c>
    </row>
    <row r="4352" spans="1:3">
      <c r="A4352" s="6">
        <v>46042</v>
      </c>
      <c r="B4352" s="7">
        <v>1.5051</v>
      </c>
      <c r="C4352" s="7">
        <v>1.624</v>
      </c>
    </row>
    <row r="4353" spans="1:3">
      <c r="A4353" s="6">
        <v>46043</v>
      </c>
      <c r="B4353" s="7">
        <v>1.5037</v>
      </c>
      <c r="C4353" s="7">
        <v>1.6223</v>
      </c>
    </row>
    <row r="4354" spans="1:3">
      <c r="A4354" s="6">
        <v>46044</v>
      </c>
      <c r="B4354" s="7">
        <v>1.5087</v>
      </c>
      <c r="C4354" s="7">
        <v>1.6264</v>
      </c>
    </row>
    <row r="4355" spans="1:3">
      <c r="A4355" s="6">
        <v>46045</v>
      </c>
      <c r="B4355" s="7">
        <v>1.5</v>
      </c>
      <c r="C4355" s="7">
        <v>1.621</v>
      </c>
    </row>
    <row r="4356" spans="1:3">
      <c r="A4356" s="6">
        <v>46048</v>
      </c>
      <c r="B4356" s="7">
        <v>1.503</v>
      </c>
      <c r="C4356" s="7">
        <v>1.6224</v>
      </c>
    </row>
    <row r="4357" spans="1:3">
      <c r="A4357" s="6">
        <v>46049</v>
      </c>
      <c r="B4357" s="7">
        <v>1.5081</v>
      </c>
      <c r="C4357" s="7">
        <v>1.6229</v>
      </c>
    </row>
    <row r="4358" spans="1:3">
      <c r="A4358" s="6">
        <v>46050</v>
      </c>
      <c r="B4358" s="7">
        <v>1.5113</v>
      </c>
      <c r="C4358" s="7">
        <v>1.6233</v>
      </c>
    </row>
    <row r="4359" spans="1:3">
      <c r="A4359" s="6">
        <v>46051</v>
      </c>
      <c r="B4359" s="7">
        <v>1.5133</v>
      </c>
      <c r="C4359" s="7">
        <v>1.6211</v>
      </c>
    </row>
    <row r="4360" spans="1:3">
      <c r="A4360" s="6">
        <v>46052</v>
      </c>
      <c r="B4360" s="7">
        <v>1.5157</v>
      </c>
      <c r="C4360" s="7">
        <v>1.6372</v>
      </c>
    </row>
    <row r="4361" spans="1:3">
      <c r="A4361" s="6">
        <v>46055</v>
      </c>
      <c r="B4361" s="7">
        <v>1.517</v>
      </c>
      <c r="C4361" s="7">
        <v>1.6446</v>
      </c>
    </row>
    <row r="4362" spans="1:3">
      <c r="A4362" s="6">
        <v>46056</v>
      </c>
      <c r="B4362" s="7">
        <v>1.5154</v>
      </c>
      <c r="C4362" s="7">
        <v>1.6444</v>
      </c>
    </row>
    <row r="4363" spans="1:3">
      <c r="A4363" s="6">
        <v>46057</v>
      </c>
      <c r="B4363" s="7">
        <v>1.516</v>
      </c>
      <c r="C4363" s="7">
        <v>1.6408</v>
      </c>
    </row>
    <row r="4364" spans="1:3">
      <c r="A4364" s="6">
        <v>46058</v>
      </c>
      <c r="B4364" s="7">
        <v>1.5142</v>
      </c>
      <c r="C4364" s="7">
        <v>1.6349</v>
      </c>
    </row>
    <row r="4365" spans="1:3">
      <c r="A4365" s="6">
        <v>46059</v>
      </c>
      <c r="B4365" s="7">
        <v>1.5054</v>
      </c>
      <c r="C4365" s="7">
        <v>1.6213</v>
      </c>
    </row>
    <row r="4366" spans="1:3">
      <c r="A4366" s="6">
        <v>46062</v>
      </c>
      <c r="B4366" s="7">
        <v>1.4998</v>
      </c>
      <c r="C4366" s="7">
        <v>1.6111</v>
      </c>
    </row>
    <row r="4367" spans="1:3">
      <c r="A4367" s="6">
        <v>46063</v>
      </c>
      <c r="B4367" s="7">
        <v>1.4992</v>
      </c>
      <c r="C4367" s="7">
        <v>1.6068</v>
      </c>
    </row>
    <row r="4368" spans="1:3">
      <c r="A4368" s="6">
        <v>46064</v>
      </c>
      <c r="B4368" s="7">
        <v>1.497</v>
      </c>
      <c r="C4368" s="7">
        <v>1.5986</v>
      </c>
    </row>
    <row r="4369" spans="1:3">
      <c r="A4369" s="6">
        <v>46065</v>
      </c>
      <c r="B4369" s="7">
        <v>1.5013</v>
      </c>
      <c r="C4369" s="7">
        <v>1.5952</v>
      </c>
    </row>
    <row r="4370" spans="1:3">
      <c r="A4370" s="6">
        <v>46066</v>
      </c>
      <c r="B4370" s="7">
        <v>1.4971</v>
      </c>
      <c r="C4370" s="7">
        <v>1.5917</v>
      </c>
    </row>
    <row r="4371" spans="1:3">
      <c r="A4371" s="6">
        <v>46077</v>
      </c>
      <c r="B4371" s="7">
        <v>1.4935</v>
      </c>
      <c r="C4371" s="7">
        <v>1.584</v>
      </c>
    </row>
    <row r="4372" spans="1:3">
      <c r="A4372" s="6">
        <v>46078</v>
      </c>
      <c r="B4372" s="7">
        <v>1.496</v>
      </c>
      <c r="C4372" s="7">
        <v>1.5887</v>
      </c>
    </row>
    <row r="4373" spans="1:3">
      <c r="A4373" s="6">
        <v>46079</v>
      </c>
      <c r="B4373" s="7">
        <v>1.498</v>
      </c>
      <c r="C4373" s="7">
        <v>1.6004</v>
      </c>
    </row>
    <row r="4374" spans="1:3">
      <c r="A4374" s="6">
        <v>46080</v>
      </c>
      <c r="B4374" s="7">
        <v>1.493</v>
      </c>
      <c r="C4374" s="7">
        <v>1.5935</v>
      </c>
    </row>
    <row r="4375" spans="1:3">
      <c r="A4375" s="6">
        <v>46081</v>
      </c>
      <c r="B4375" s="7">
        <v>1.4922</v>
      </c>
      <c r="C4375" s="7">
        <v>1.5899</v>
      </c>
    </row>
    <row r="4376" spans="1:3">
      <c r="A4376" s="6">
        <v>46083</v>
      </c>
      <c r="B4376" s="7">
        <v>1.4838</v>
      </c>
      <c r="C4376" s="7">
        <v>1.5713</v>
      </c>
    </row>
    <row r="4377" spans="1:3">
      <c r="A4377" s="6">
        <v>46084</v>
      </c>
      <c r="B4377" s="7">
        <v>1.4799</v>
      </c>
      <c r="C4377" s="7">
        <v>1.5731</v>
      </c>
    </row>
    <row r="4378" spans="1:3">
      <c r="A4378" s="6">
        <v>46085</v>
      </c>
      <c r="B4378" s="7">
        <v>1.4772</v>
      </c>
      <c r="C4378" s="7">
        <v>1.572</v>
      </c>
    </row>
    <row r="4379" spans="1:3">
      <c r="A4379" s="6">
        <v>46086</v>
      </c>
      <c r="B4379" s="7">
        <v>1.4756</v>
      </c>
      <c r="C4379" s="7">
        <v>1.5683</v>
      </c>
    </row>
    <row r="4380" spans="1:3">
      <c r="A4380" s="6">
        <v>46087</v>
      </c>
      <c r="B4380" s="7">
        <v>1.4687</v>
      </c>
      <c r="C4380" s="7">
        <v>1.5616</v>
      </c>
    </row>
    <row r="4381" spans="1:3">
      <c r="A4381" s="6">
        <v>46090</v>
      </c>
      <c r="B4381" s="7">
        <v>1.4932</v>
      </c>
      <c r="C4381" s="7">
        <v>1.596</v>
      </c>
    </row>
    <row r="4382" spans="1:3">
      <c r="A4382" s="6">
        <v>46091</v>
      </c>
      <c r="B4382" s="7">
        <v>1.4951</v>
      </c>
      <c r="C4382" s="7">
        <v>1.5963</v>
      </c>
    </row>
    <row r="4383" spans="1:3">
      <c r="A4383" s="6">
        <v>46092</v>
      </c>
      <c r="B4383" s="7">
        <v>1.4987</v>
      </c>
      <c r="C4383" s="7">
        <v>1.6031</v>
      </c>
    </row>
    <row r="4384" spans="1:3">
      <c r="A4384" s="6">
        <v>46093</v>
      </c>
      <c r="B4384" s="7">
        <v>1.501</v>
      </c>
      <c r="C4384" s="7">
        <v>1.609</v>
      </c>
    </row>
    <row r="4385" spans="1:3">
      <c r="A4385" s="6">
        <v>46094</v>
      </c>
      <c r="B4385" s="7">
        <v>1.4998</v>
      </c>
      <c r="C4385" s="7">
        <v>1.6105</v>
      </c>
    </row>
    <row r="4386" spans="1:3">
      <c r="A4386" s="6">
        <v>46097</v>
      </c>
      <c r="B4386" s="7">
        <v>1.5083</v>
      </c>
      <c r="C4386" s="7">
        <v>1.6344</v>
      </c>
    </row>
    <row r="4387" spans="1:3">
      <c r="A4387" s="6">
        <v>46098</v>
      </c>
      <c r="B4387" s="7">
        <v>1.5046</v>
      </c>
      <c r="C4387" s="7">
        <v>1.6273</v>
      </c>
    </row>
    <row r="4388" spans="1:3">
      <c r="A4388" s="6">
        <v>46099</v>
      </c>
      <c r="B4388" s="7">
        <v>1.4996</v>
      </c>
      <c r="C4388" s="7">
        <v>1.6151</v>
      </c>
    </row>
    <row r="4389" spans="1:3">
      <c r="A4389" s="6">
        <v>46100</v>
      </c>
      <c r="B4389" s="7">
        <v>1.4999</v>
      </c>
      <c r="C4389" s="7">
        <v>1.6208</v>
      </c>
    </row>
    <row r="4390" spans="1:3">
      <c r="A4390" s="6">
        <v>46101</v>
      </c>
      <c r="B4390" s="7">
        <v>1.508</v>
      </c>
      <c r="C4390" s="7">
        <v>1.6327</v>
      </c>
    </row>
    <row r="4391" spans="1:3">
      <c r="A4391" s="6">
        <v>46104</v>
      </c>
      <c r="B4391" s="7">
        <v>1.5206</v>
      </c>
      <c r="C4391" s="7">
        <v>1.6476</v>
      </c>
    </row>
    <row r="4392" spans="1:3">
      <c r="A4392" s="6">
        <v>46105</v>
      </c>
      <c r="B4392" s="7">
        <v>1.5208</v>
      </c>
      <c r="C4392" s="7">
        <v>1.6452</v>
      </c>
    </row>
    <row r="4393" spans="1:3">
      <c r="A4393" s="6">
        <v>46106</v>
      </c>
      <c r="B4393" s="7">
        <v>1.5207</v>
      </c>
      <c r="C4393" s="7">
        <v>1.6363</v>
      </c>
    </row>
    <row r="4394" spans="1:3">
      <c r="A4394" s="6">
        <v>46107</v>
      </c>
      <c r="B4394" s="7">
        <v>1.5162</v>
      </c>
      <c r="C4394" s="7">
        <v>1.633</v>
      </c>
    </row>
    <row r="4395" spans="1:3">
      <c r="A4395" s="6">
        <v>46108</v>
      </c>
      <c r="B4395" s="7">
        <v>1.5154</v>
      </c>
      <c r="C4395" s="7">
        <v>1.6413</v>
      </c>
    </row>
    <row r="4397" spans="1:3">
      <c r="A4397" s="8" t="s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60"/>
  <sheetViews>
    <sheetView workbookViewId="0">
      <selection activeCell="G19" sqref="G19"/>
    </sheetView>
  </sheetViews>
  <sheetFormatPr defaultColWidth="8.96666666666667" defaultRowHeight="17.6" outlineLevelCol="6"/>
  <cols>
    <col min="1" max="1" width="27.1916666666667" customWidth="1"/>
  </cols>
  <sheetData>
    <row r="1" ht="70.5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7.65" spans="1:7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</row>
    <row r="3" ht="17.65" spans="1:7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</row>
    <row r="4" spans="1:7">
      <c r="A4" s="2">
        <v>41050</v>
      </c>
      <c r="B4" s="3">
        <v>2.7355</v>
      </c>
      <c r="C4" s="3">
        <v>2.9953</v>
      </c>
      <c r="D4" s="3">
        <v>2.7951</v>
      </c>
      <c r="E4" s="3">
        <v>3.0625</v>
      </c>
      <c r="F4" s="3">
        <v>2.7653</v>
      </c>
      <c r="G4" s="3">
        <v>3.0289</v>
      </c>
    </row>
    <row r="5" spans="1:7">
      <c r="A5" s="2">
        <v>41051</v>
      </c>
      <c r="B5" s="3">
        <v>2.7992</v>
      </c>
      <c r="C5" s="3">
        <v>3.0362</v>
      </c>
      <c r="D5" s="3">
        <v>2.8537</v>
      </c>
      <c r="E5" s="3">
        <v>3.0986</v>
      </c>
      <c r="F5" s="3">
        <v>2.8264</v>
      </c>
      <c r="G5" s="3">
        <v>3.0674</v>
      </c>
    </row>
    <row r="6" spans="1:7">
      <c r="A6" s="2">
        <v>41052</v>
      </c>
      <c r="B6" s="3">
        <v>2.6911</v>
      </c>
      <c r="C6" s="3">
        <v>2.9707</v>
      </c>
      <c r="D6" s="3">
        <v>2.7482</v>
      </c>
      <c r="E6" s="3">
        <v>3.0396</v>
      </c>
      <c r="F6" s="3">
        <v>2.7196</v>
      </c>
      <c r="G6" s="3">
        <v>3.0052</v>
      </c>
    </row>
    <row r="7" spans="1:7">
      <c r="A7" s="2">
        <v>41053</v>
      </c>
      <c r="B7" s="3">
        <v>2.4582</v>
      </c>
      <c r="C7" s="3">
        <v>2.7518</v>
      </c>
      <c r="D7" s="3">
        <v>2.5213</v>
      </c>
      <c r="E7" s="3">
        <v>2.8286</v>
      </c>
      <c r="F7" s="3">
        <v>2.4897</v>
      </c>
      <c r="G7" s="3">
        <v>2.7902</v>
      </c>
    </row>
    <row r="8" spans="1:7">
      <c r="A8" s="2">
        <v>41054</v>
      </c>
      <c r="B8" s="3">
        <v>2.4734</v>
      </c>
      <c r="C8" s="3">
        <v>2.7736</v>
      </c>
      <c r="D8" s="3">
        <v>2.5321</v>
      </c>
      <c r="E8" s="3">
        <v>2.8434</v>
      </c>
      <c r="F8" s="3">
        <v>2.5028</v>
      </c>
      <c r="G8" s="3">
        <v>2.8085</v>
      </c>
    </row>
    <row r="9" spans="1:7">
      <c r="A9" s="2">
        <v>41057</v>
      </c>
      <c r="B9" s="3">
        <v>2.5386</v>
      </c>
      <c r="C9" s="3">
        <v>2.8527</v>
      </c>
      <c r="D9" s="3">
        <v>2.6005</v>
      </c>
      <c r="E9" s="3">
        <v>2.9141</v>
      </c>
      <c r="F9" s="3">
        <v>2.5695</v>
      </c>
      <c r="G9" s="3">
        <v>2.8834</v>
      </c>
    </row>
    <row r="10" spans="1:7">
      <c r="A10" s="2">
        <v>41058</v>
      </c>
      <c r="B10" s="3">
        <v>2.5838</v>
      </c>
      <c r="C10" s="3">
        <v>2.8696</v>
      </c>
      <c r="D10" s="3">
        <v>2.6363</v>
      </c>
      <c r="E10" s="3">
        <v>2.935</v>
      </c>
      <c r="F10" s="3">
        <v>2.61</v>
      </c>
      <c r="G10" s="3">
        <v>2.9023</v>
      </c>
    </row>
    <row r="11" spans="1:7">
      <c r="A11" s="2">
        <v>41059</v>
      </c>
      <c r="B11" s="3">
        <v>2.5267</v>
      </c>
      <c r="C11" s="3">
        <v>2.833</v>
      </c>
      <c r="D11" s="3">
        <v>2.5881</v>
      </c>
      <c r="E11" s="3">
        <v>2.9016</v>
      </c>
      <c r="F11" s="3">
        <v>2.5574</v>
      </c>
      <c r="G11" s="3">
        <v>2.8673</v>
      </c>
    </row>
    <row r="12" spans="1:7">
      <c r="A12" s="2">
        <v>41060</v>
      </c>
      <c r="B12" s="3">
        <v>2.4289</v>
      </c>
      <c r="C12" s="3">
        <v>2.7371</v>
      </c>
      <c r="D12" s="3">
        <v>2.4846</v>
      </c>
      <c r="E12" s="3">
        <v>2.7988</v>
      </c>
      <c r="F12" s="3">
        <v>2.4567</v>
      </c>
      <c r="G12" s="3">
        <v>2.7679</v>
      </c>
    </row>
    <row r="13" spans="1:7">
      <c r="A13" s="2">
        <v>41061</v>
      </c>
      <c r="B13" s="3">
        <v>2.3969</v>
      </c>
      <c r="C13" s="3">
        <v>2.7158</v>
      </c>
      <c r="D13" s="3">
        <v>2.4558</v>
      </c>
      <c r="E13" s="3">
        <v>2.7796</v>
      </c>
      <c r="F13" s="3">
        <v>2.4263</v>
      </c>
      <c r="G13" s="3">
        <v>2.7477</v>
      </c>
    </row>
    <row r="14" spans="1:7">
      <c r="A14" s="2">
        <v>41064</v>
      </c>
      <c r="B14" s="3">
        <v>2.3846</v>
      </c>
      <c r="C14" s="3">
        <v>2.6873</v>
      </c>
      <c r="D14" s="3">
        <v>2.4435</v>
      </c>
      <c r="E14" s="3">
        <v>2.7496</v>
      </c>
      <c r="F14" s="3">
        <v>2.414</v>
      </c>
      <c r="G14" s="3">
        <v>2.7185</v>
      </c>
    </row>
    <row r="15" spans="1:7">
      <c r="A15" s="2">
        <v>41065</v>
      </c>
      <c r="B15" s="3">
        <v>2.4425</v>
      </c>
      <c r="C15" s="3">
        <v>2.7462</v>
      </c>
      <c r="D15" s="3">
        <v>2.4963</v>
      </c>
      <c r="E15" s="3">
        <v>2.8117</v>
      </c>
      <c r="F15" s="3">
        <v>2.4694</v>
      </c>
      <c r="G15" s="3">
        <v>2.7789</v>
      </c>
    </row>
    <row r="16" spans="1:7">
      <c r="A16" s="2">
        <v>41066</v>
      </c>
      <c r="B16" s="3">
        <v>2.5013</v>
      </c>
      <c r="C16" s="3">
        <v>2.7943</v>
      </c>
      <c r="D16" s="3">
        <v>2.557</v>
      </c>
      <c r="E16" s="3">
        <v>2.8561</v>
      </c>
      <c r="F16" s="3">
        <v>2.5292</v>
      </c>
      <c r="G16" s="3">
        <v>2.8252</v>
      </c>
    </row>
    <row r="17" spans="1:7">
      <c r="A17" s="2">
        <v>41067</v>
      </c>
      <c r="B17" s="3">
        <v>2.4961</v>
      </c>
      <c r="C17" s="3">
        <v>2.8042</v>
      </c>
      <c r="D17" s="3">
        <v>2.555</v>
      </c>
      <c r="E17" s="3">
        <v>2.8685</v>
      </c>
      <c r="F17" s="3">
        <v>2.5255</v>
      </c>
      <c r="G17" s="3">
        <v>2.8363</v>
      </c>
    </row>
    <row r="18" spans="1:7">
      <c r="A18" s="2">
        <v>41068</v>
      </c>
      <c r="B18" s="3">
        <v>2.3667</v>
      </c>
      <c r="C18" s="3">
        <v>2.6642</v>
      </c>
      <c r="D18" s="3">
        <v>2.4242</v>
      </c>
      <c r="E18" s="3">
        <v>2.7265</v>
      </c>
      <c r="F18" s="3">
        <v>2.3954</v>
      </c>
      <c r="G18" s="3">
        <v>2.6953</v>
      </c>
    </row>
    <row r="19" spans="1:7">
      <c r="A19" s="2">
        <v>41071</v>
      </c>
      <c r="B19" s="3">
        <v>2.4168</v>
      </c>
      <c r="C19" s="3">
        <v>2.7294</v>
      </c>
      <c r="D19" s="3">
        <v>2.4733</v>
      </c>
      <c r="E19" s="3">
        <v>2.7931</v>
      </c>
      <c r="F19" s="3">
        <v>2.4451</v>
      </c>
      <c r="G19" s="3">
        <v>2.7613</v>
      </c>
    </row>
    <row r="20" spans="1:7">
      <c r="A20" s="2">
        <v>41072</v>
      </c>
      <c r="B20" s="3">
        <v>2.4753</v>
      </c>
      <c r="C20" s="3">
        <v>2.7692</v>
      </c>
      <c r="D20" s="3">
        <v>2.5294</v>
      </c>
      <c r="E20" s="3">
        <v>2.8328</v>
      </c>
      <c r="F20" s="3">
        <v>2.5023</v>
      </c>
      <c r="G20" s="3">
        <v>2.801</v>
      </c>
    </row>
    <row r="21" spans="1:7">
      <c r="A21" s="2">
        <v>41073</v>
      </c>
      <c r="B21" s="3">
        <v>2.5717</v>
      </c>
      <c r="C21" s="3">
        <v>2.8493</v>
      </c>
      <c r="D21" s="3">
        <v>2.6253</v>
      </c>
      <c r="E21" s="3">
        <v>2.9095</v>
      </c>
      <c r="F21" s="3">
        <v>2.5985</v>
      </c>
      <c r="G21" s="3">
        <v>2.8794</v>
      </c>
    </row>
    <row r="22" spans="1:7">
      <c r="A22" s="2">
        <v>41074</v>
      </c>
      <c r="B22" s="3">
        <v>2.5416</v>
      </c>
      <c r="C22" s="3">
        <v>2.817</v>
      </c>
      <c r="D22" s="3">
        <v>2.5962</v>
      </c>
      <c r="E22" s="3">
        <v>2.8788</v>
      </c>
      <c r="F22" s="3">
        <v>2.5689</v>
      </c>
      <c r="G22" s="3">
        <v>2.8479</v>
      </c>
    </row>
    <row r="23" spans="1:7">
      <c r="A23" s="2">
        <v>41075</v>
      </c>
      <c r="B23" s="3">
        <v>2.5374</v>
      </c>
      <c r="C23" s="3">
        <v>2.8168</v>
      </c>
      <c r="D23" s="3">
        <v>2.592</v>
      </c>
      <c r="E23" s="3">
        <v>2.8789</v>
      </c>
      <c r="F23" s="3">
        <v>2.5647</v>
      </c>
      <c r="G23" s="3">
        <v>2.8479</v>
      </c>
    </row>
    <row r="24" spans="1:7">
      <c r="A24" s="2">
        <v>41078</v>
      </c>
      <c r="B24" s="3">
        <v>2.5668</v>
      </c>
      <c r="C24" s="3">
        <v>2.8409</v>
      </c>
      <c r="D24" s="3">
        <v>2.6247</v>
      </c>
      <c r="E24" s="3">
        <v>2.8992</v>
      </c>
      <c r="F24" s="3">
        <v>2.5957</v>
      </c>
      <c r="G24" s="3">
        <v>2.8701</v>
      </c>
    </row>
    <row r="25" spans="1:7">
      <c r="A25" s="2">
        <v>41079</v>
      </c>
      <c r="B25" s="3">
        <v>2.6309</v>
      </c>
      <c r="C25" s="3">
        <v>2.8614</v>
      </c>
      <c r="D25" s="3">
        <v>2.6773</v>
      </c>
      <c r="E25" s="3">
        <v>2.9264</v>
      </c>
      <c r="F25" s="3">
        <v>2.6541</v>
      </c>
      <c r="G25" s="3">
        <v>2.8939</v>
      </c>
    </row>
    <row r="26" spans="1:7">
      <c r="A26" s="2">
        <v>41080</v>
      </c>
      <c r="B26" s="3">
        <v>2.6437</v>
      </c>
      <c r="C26" s="3">
        <v>2.8641</v>
      </c>
      <c r="D26" s="3">
        <v>2.696</v>
      </c>
      <c r="E26" s="3">
        <v>2.9229</v>
      </c>
      <c r="F26" s="3">
        <v>2.6699</v>
      </c>
      <c r="G26" s="3">
        <v>2.8935</v>
      </c>
    </row>
    <row r="27" spans="1:7">
      <c r="A27" s="2">
        <v>41081</v>
      </c>
      <c r="B27" s="3">
        <v>2.6404</v>
      </c>
      <c r="C27" s="3">
        <v>2.8377</v>
      </c>
      <c r="D27" s="3">
        <v>2.6954</v>
      </c>
      <c r="E27" s="3">
        <v>2.8985</v>
      </c>
      <c r="F27" s="3">
        <v>2.6679</v>
      </c>
      <c r="G27" s="3">
        <v>2.8681</v>
      </c>
    </row>
    <row r="28" spans="1:7">
      <c r="A28" s="2">
        <v>41085</v>
      </c>
      <c r="B28" s="3">
        <v>2.6428</v>
      </c>
      <c r="C28" s="3">
        <v>2.8456</v>
      </c>
      <c r="D28" s="3">
        <v>2.6992</v>
      </c>
      <c r="E28" s="3">
        <v>2.8997</v>
      </c>
      <c r="F28" s="3">
        <v>2.671</v>
      </c>
      <c r="G28" s="3">
        <v>2.8726</v>
      </c>
    </row>
    <row r="29" spans="1:7">
      <c r="A29" s="2">
        <v>41086</v>
      </c>
      <c r="B29" s="3">
        <v>2.625</v>
      </c>
      <c r="C29" s="3">
        <v>2.8209</v>
      </c>
      <c r="D29" s="3">
        <v>2.6797</v>
      </c>
      <c r="E29" s="3">
        <v>2.8774</v>
      </c>
      <c r="F29" s="3">
        <v>2.6523</v>
      </c>
      <c r="G29" s="3">
        <v>2.8492</v>
      </c>
    </row>
    <row r="30" spans="1:7">
      <c r="A30" s="2">
        <v>41087</v>
      </c>
      <c r="B30" s="3">
        <v>2.6063</v>
      </c>
      <c r="C30" s="3">
        <v>2.8093</v>
      </c>
      <c r="D30" s="3">
        <v>2.6586</v>
      </c>
      <c r="E30" s="3">
        <v>2.8682</v>
      </c>
      <c r="F30" s="3">
        <v>2.6324</v>
      </c>
      <c r="G30" s="3">
        <v>2.8388</v>
      </c>
    </row>
    <row r="31" spans="1:7">
      <c r="A31" s="2">
        <v>41088</v>
      </c>
      <c r="B31" s="3">
        <v>2.563</v>
      </c>
      <c r="C31" s="3">
        <v>2.766</v>
      </c>
      <c r="D31" s="3">
        <v>2.6159</v>
      </c>
      <c r="E31" s="3">
        <v>2.8242</v>
      </c>
      <c r="F31" s="3">
        <v>2.5894</v>
      </c>
      <c r="G31" s="3">
        <v>2.7951</v>
      </c>
    </row>
    <row r="32" spans="1:7">
      <c r="A32" s="2">
        <v>41089</v>
      </c>
      <c r="B32" s="3">
        <v>2.5635</v>
      </c>
      <c r="C32" s="3">
        <v>2.7658</v>
      </c>
      <c r="D32" s="3">
        <v>2.6112</v>
      </c>
      <c r="E32" s="3">
        <v>2.8219</v>
      </c>
      <c r="F32" s="3">
        <v>2.5873</v>
      </c>
      <c r="G32" s="3">
        <v>2.7938</v>
      </c>
    </row>
    <row r="33" spans="1:7">
      <c r="A33" s="2">
        <v>41092</v>
      </c>
      <c r="B33" s="3">
        <v>2.598</v>
      </c>
      <c r="C33" s="3">
        <v>2.8135</v>
      </c>
      <c r="D33" s="3">
        <v>2.6499</v>
      </c>
      <c r="E33" s="3">
        <v>2.8693</v>
      </c>
      <c r="F33" s="3">
        <v>2.6239</v>
      </c>
      <c r="G33" s="3">
        <v>2.8414</v>
      </c>
    </row>
    <row r="34" spans="1:7">
      <c r="A34" s="2">
        <v>41093</v>
      </c>
      <c r="B34" s="3">
        <v>2.5586</v>
      </c>
      <c r="C34" s="3">
        <v>2.7747</v>
      </c>
      <c r="D34" s="3">
        <v>2.6096</v>
      </c>
      <c r="E34" s="3">
        <v>2.8264</v>
      </c>
      <c r="F34" s="3">
        <v>2.5841</v>
      </c>
      <c r="G34" s="3">
        <v>2.8005</v>
      </c>
    </row>
    <row r="35" spans="1:7">
      <c r="A35" s="2">
        <v>41094</v>
      </c>
      <c r="B35" s="3">
        <v>2.5496</v>
      </c>
      <c r="C35" s="3">
        <v>2.7605</v>
      </c>
      <c r="D35" s="3">
        <v>2.5986</v>
      </c>
      <c r="E35" s="3">
        <v>2.8155</v>
      </c>
      <c r="F35" s="3">
        <v>2.5741</v>
      </c>
      <c r="G35" s="3">
        <v>2.788</v>
      </c>
    </row>
    <row r="36" spans="1:7">
      <c r="A36" s="2">
        <v>41095</v>
      </c>
      <c r="B36" s="3">
        <v>2.5377</v>
      </c>
      <c r="C36" s="3">
        <v>2.7677</v>
      </c>
      <c r="D36" s="3">
        <v>2.585</v>
      </c>
      <c r="E36" s="3">
        <v>2.8218</v>
      </c>
      <c r="F36" s="3">
        <v>2.5614</v>
      </c>
      <c r="G36" s="3">
        <v>2.7948</v>
      </c>
    </row>
    <row r="37" spans="1:7">
      <c r="A37" s="2">
        <v>41096</v>
      </c>
      <c r="B37" s="3">
        <v>2.435</v>
      </c>
      <c r="C37" s="3">
        <v>2.6815</v>
      </c>
      <c r="D37" s="3">
        <v>2.4912</v>
      </c>
      <c r="E37" s="3">
        <v>2.7412</v>
      </c>
      <c r="F37" s="3">
        <v>2.4631</v>
      </c>
      <c r="G37" s="3">
        <v>2.7113</v>
      </c>
    </row>
    <row r="38" spans="1:7">
      <c r="A38" s="2">
        <v>41099</v>
      </c>
      <c r="B38" s="3">
        <v>2.4114</v>
      </c>
      <c r="C38" s="3">
        <v>2.6508</v>
      </c>
      <c r="D38" s="3">
        <v>2.4621</v>
      </c>
      <c r="E38" s="3">
        <v>2.7094</v>
      </c>
      <c r="F38" s="3">
        <v>2.4368</v>
      </c>
      <c r="G38" s="3">
        <v>2.6801</v>
      </c>
    </row>
    <row r="39" spans="1:7">
      <c r="A39" s="2">
        <v>41100</v>
      </c>
      <c r="B39" s="3">
        <v>2.4032</v>
      </c>
      <c r="C39" s="3">
        <v>2.6361</v>
      </c>
      <c r="D39" s="3">
        <v>2.4546</v>
      </c>
      <c r="E39" s="3">
        <v>2.6985</v>
      </c>
      <c r="F39" s="3">
        <v>2.4289</v>
      </c>
      <c r="G39" s="3">
        <v>2.6673</v>
      </c>
    </row>
    <row r="40" spans="1:7">
      <c r="A40" s="2">
        <v>41101</v>
      </c>
      <c r="B40" s="3">
        <v>2.4001</v>
      </c>
      <c r="C40" s="3">
        <v>2.6167</v>
      </c>
      <c r="D40" s="3">
        <v>2.4487</v>
      </c>
      <c r="E40" s="3">
        <v>2.6751</v>
      </c>
      <c r="F40" s="3">
        <v>2.4244</v>
      </c>
      <c r="G40" s="3">
        <v>2.6459</v>
      </c>
    </row>
    <row r="41" spans="1:7">
      <c r="A41" s="2">
        <v>41102</v>
      </c>
      <c r="B41" s="3">
        <v>2.3621</v>
      </c>
      <c r="C41" s="3">
        <v>2.5511</v>
      </c>
      <c r="D41" s="3">
        <v>2.4135</v>
      </c>
      <c r="E41" s="3">
        <v>2.6175</v>
      </c>
      <c r="F41" s="3">
        <v>2.3878</v>
      </c>
      <c r="G41" s="3">
        <v>2.5843</v>
      </c>
    </row>
    <row r="42" spans="1:7">
      <c r="A42" s="2">
        <v>41103</v>
      </c>
      <c r="B42" s="3">
        <v>2.3857</v>
      </c>
      <c r="C42" s="3">
        <v>2.5709</v>
      </c>
      <c r="D42" s="3">
        <v>2.4383</v>
      </c>
      <c r="E42" s="3">
        <v>2.6298</v>
      </c>
      <c r="F42" s="3">
        <v>2.412</v>
      </c>
      <c r="G42" s="3">
        <v>2.6003</v>
      </c>
    </row>
    <row r="43" spans="1:7">
      <c r="A43" s="2">
        <v>41106</v>
      </c>
      <c r="B43" s="3">
        <v>2.4237</v>
      </c>
      <c r="C43" s="3">
        <v>2.6173</v>
      </c>
      <c r="D43" s="3">
        <v>2.4757</v>
      </c>
      <c r="E43" s="3">
        <v>2.676</v>
      </c>
      <c r="F43" s="3">
        <v>2.4497</v>
      </c>
      <c r="G43" s="3">
        <v>2.6467</v>
      </c>
    </row>
    <row r="44" spans="1:7">
      <c r="A44" s="2">
        <v>41107</v>
      </c>
      <c r="B44" s="3">
        <v>2.4659</v>
      </c>
      <c r="C44" s="3">
        <v>2.6577</v>
      </c>
      <c r="D44" s="3">
        <v>2.5164</v>
      </c>
      <c r="E44" s="3">
        <v>2.716</v>
      </c>
      <c r="F44" s="3">
        <v>2.4911</v>
      </c>
      <c r="G44" s="3">
        <v>2.6869</v>
      </c>
    </row>
    <row r="45" spans="1:7">
      <c r="A45" s="2">
        <v>41108</v>
      </c>
      <c r="B45" s="3">
        <v>2.4801</v>
      </c>
      <c r="C45" s="3">
        <v>2.6607</v>
      </c>
      <c r="D45" s="3">
        <v>2.5295</v>
      </c>
      <c r="E45" s="3">
        <v>2.7148</v>
      </c>
      <c r="F45" s="3">
        <v>2.5048</v>
      </c>
      <c r="G45" s="3">
        <v>2.6878</v>
      </c>
    </row>
    <row r="46" spans="1:7">
      <c r="A46" s="2">
        <v>41109</v>
      </c>
      <c r="B46" s="3">
        <v>2.4897</v>
      </c>
      <c r="C46" s="3">
        <v>2.6628</v>
      </c>
      <c r="D46" s="3">
        <v>2.5392</v>
      </c>
      <c r="E46" s="3">
        <v>2.7184</v>
      </c>
      <c r="F46" s="3">
        <v>2.5144</v>
      </c>
      <c r="G46" s="3">
        <v>2.6906</v>
      </c>
    </row>
    <row r="47" spans="1:7">
      <c r="A47" s="2">
        <v>41110</v>
      </c>
      <c r="B47" s="3">
        <v>2.4866</v>
      </c>
      <c r="C47" s="3">
        <v>2.6658</v>
      </c>
      <c r="D47" s="3">
        <v>2.5341</v>
      </c>
      <c r="E47" s="3">
        <v>2.7171</v>
      </c>
      <c r="F47" s="3">
        <v>2.5103</v>
      </c>
      <c r="G47" s="3">
        <v>2.6914</v>
      </c>
    </row>
    <row r="48" spans="1:7">
      <c r="A48" s="2">
        <v>41113</v>
      </c>
      <c r="B48" s="3">
        <v>2.5351</v>
      </c>
      <c r="C48" s="3">
        <v>2.6656</v>
      </c>
      <c r="D48" s="3">
        <v>2.5823</v>
      </c>
      <c r="E48" s="3">
        <v>2.7266</v>
      </c>
      <c r="F48" s="3">
        <v>2.5587</v>
      </c>
      <c r="G48" s="3">
        <v>2.6961</v>
      </c>
    </row>
    <row r="49" spans="1:7">
      <c r="A49" s="2">
        <v>41114</v>
      </c>
      <c r="B49" s="3">
        <v>2.521</v>
      </c>
      <c r="C49" s="3">
        <v>2.654</v>
      </c>
      <c r="D49" s="3">
        <v>2.5677</v>
      </c>
      <c r="E49" s="3">
        <v>2.7118</v>
      </c>
      <c r="F49" s="3">
        <v>2.5443</v>
      </c>
      <c r="G49" s="3">
        <v>2.6829</v>
      </c>
    </row>
    <row r="50" spans="1:7">
      <c r="A50" s="2">
        <v>41115</v>
      </c>
      <c r="B50" s="3">
        <v>2.5019</v>
      </c>
      <c r="C50" s="3">
        <v>2.6474</v>
      </c>
      <c r="D50" s="3">
        <v>2.5532</v>
      </c>
      <c r="E50" s="3">
        <v>2.7087</v>
      </c>
      <c r="F50" s="3">
        <v>2.5276</v>
      </c>
      <c r="G50" s="3">
        <v>2.6781</v>
      </c>
    </row>
    <row r="51" spans="1:7">
      <c r="A51" s="2">
        <v>41116</v>
      </c>
      <c r="B51" s="3">
        <v>2.5154</v>
      </c>
      <c r="C51" s="3">
        <v>2.6564</v>
      </c>
      <c r="D51" s="3">
        <v>2.5696</v>
      </c>
      <c r="E51" s="3">
        <v>2.7114</v>
      </c>
      <c r="F51" s="3">
        <v>2.5425</v>
      </c>
      <c r="G51" s="3">
        <v>2.6839</v>
      </c>
    </row>
    <row r="52" spans="1:7">
      <c r="A52" s="2">
        <v>41117</v>
      </c>
      <c r="B52" s="3">
        <v>2.5396</v>
      </c>
      <c r="C52" s="3">
        <v>2.6808</v>
      </c>
      <c r="D52" s="3">
        <v>2.5918</v>
      </c>
      <c r="E52" s="3">
        <v>2.7371</v>
      </c>
      <c r="F52" s="3">
        <v>2.5657</v>
      </c>
      <c r="G52" s="3">
        <v>2.7089</v>
      </c>
    </row>
    <row r="53" spans="1:7">
      <c r="A53" s="2">
        <v>41120</v>
      </c>
      <c r="B53" s="3">
        <v>2.5518</v>
      </c>
      <c r="C53" s="3">
        <v>2.6883</v>
      </c>
      <c r="D53" s="3">
        <v>2.6021</v>
      </c>
      <c r="E53" s="3">
        <v>2.7474</v>
      </c>
      <c r="F53" s="3">
        <v>2.5769</v>
      </c>
      <c r="G53" s="3">
        <v>2.7178</v>
      </c>
    </row>
    <row r="54" spans="1:7">
      <c r="A54" s="2">
        <v>41121</v>
      </c>
      <c r="B54" s="3">
        <v>2.581</v>
      </c>
      <c r="C54" s="3">
        <v>2.712</v>
      </c>
      <c r="D54" s="3">
        <v>2.627</v>
      </c>
      <c r="E54" s="3">
        <v>2.7673</v>
      </c>
      <c r="F54" s="3">
        <v>2.604</v>
      </c>
      <c r="G54" s="3">
        <v>2.7397</v>
      </c>
    </row>
    <row r="55" spans="1:7">
      <c r="A55" s="2">
        <v>41122</v>
      </c>
      <c r="B55" s="3">
        <v>2.5703</v>
      </c>
      <c r="C55" s="3">
        <v>2.6993</v>
      </c>
      <c r="D55" s="3">
        <v>2.6177</v>
      </c>
      <c r="E55" s="3">
        <v>2.7561</v>
      </c>
      <c r="F55" s="3">
        <v>2.594</v>
      </c>
      <c r="G55" s="3">
        <v>2.7277</v>
      </c>
    </row>
    <row r="56" spans="1:7">
      <c r="A56" s="2">
        <v>41123</v>
      </c>
      <c r="B56" s="3">
        <v>2.5808</v>
      </c>
      <c r="C56" s="3">
        <v>2.6963</v>
      </c>
      <c r="D56" s="3">
        <v>2.6322</v>
      </c>
      <c r="E56" s="3">
        <v>2.7579</v>
      </c>
      <c r="F56" s="3">
        <v>2.6065</v>
      </c>
      <c r="G56" s="3">
        <v>2.7271</v>
      </c>
    </row>
    <row r="57" spans="1:7">
      <c r="A57" s="2">
        <v>41124</v>
      </c>
      <c r="B57" s="3">
        <v>2.5813</v>
      </c>
      <c r="C57" s="3">
        <v>2.6992</v>
      </c>
      <c r="D57" s="3">
        <v>2.6246</v>
      </c>
      <c r="E57" s="3">
        <v>2.7567</v>
      </c>
      <c r="F57" s="3">
        <v>2.6029</v>
      </c>
      <c r="G57" s="3">
        <v>2.7279</v>
      </c>
    </row>
    <row r="58" spans="1:7">
      <c r="A58" s="2">
        <v>41127</v>
      </c>
      <c r="B58" s="3">
        <v>2.6841</v>
      </c>
      <c r="C58" s="3">
        <v>2.7923</v>
      </c>
      <c r="D58" s="3">
        <v>2.7335</v>
      </c>
      <c r="E58" s="3">
        <v>2.8474</v>
      </c>
      <c r="F58" s="3">
        <v>2.7088</v>
      </c>
      <c r="G58" s="3">
        <v>2.8199</v>
      </c>
    </row>
    <row r="59" spans="1:7">
      <c r="A59" s="2">
        <v>41128</v>
      </c>
      <c r="B59" s="3">
        <v>2.7438</v>
      </c>
      <c r="C59" s="3">
        <v>2.8395</v>
      </c>
      <c r="D59" s="3">
        <v>2.7945</v>
      </c>
      <c r="E59" s="3">
        <v>2.8969</v>
      </c>
      <c r="F59" s="3">
        <v>2.7692</v>
      </c>
      <c r="G59" s="3">
        <v>2.8682</v>
      </c>
    </row>
    <row r="60" spans="1:7">
      <c r="A60" s="2">
        <v>41129</v>
      </c>
      <c r="B60" s="3">
        <v>2.7588</v>
      </c>
      <c r="C60" s="3">
        <v>2.8587</v>
      </c>
      <c r="D60" s="3">
        <v>2.804</v>
      </c>
      <c r="E60" s="3">
        <v>2.914</v>
      </c>
      <c r="F60" s="3">
        <v>2.7814</v>
      </c>
      <c r="G60" s="3">
        <v>2.8863</v>
      </c>
    </row>
    <row r="61" spans="1:7">
      <c r="A61" s="2">
        <v>41130</v>
      </c>
      <c r="B61" s="3">
        <v>2.7293</v>
      </c>
      <c r="C61" s="3">
        <v>2.839</v>
      </c>
      <c r="D61" s="3">
        <v>2.7767</v>
      </c>
      <c r="E61" s="3">
        <v>2.8942</v>
      </c>
      <c r="F61" s="3">
        <v>2.753</v>
      </c>
      <c r="G61" s="3">
        <v>2.8666</v>
      </c>
    </row>
    <row r="62" spans="1:7">
      <c r="A62" s="2">
        <v>41131</v>
      </c>
      <c r="B62" s="3">
        <v>2.6663</v>
      </c>
      <c r="C62" s="3">
        <v>2.7693</v>
      </c>
      <c r="D62" s="3">
        <v>2.7203</v>
      </c>
      <c r="E62" s="3">
        <v>2.8243</v>
      </c>
      <c r="F62" s="3">
        <v>2.6933</v>
      </c>
      <c r="G62" s="3">
        <v>2.7968</v>
      </c>
    </row>
    <row r="63" spans="1:7">
      <c r="A63" s="2">
        <v>41134</v>
      </c>
      <c r="B63" s="3">
        <v>2.7427</v>
      </c>
      <c r="C63" s="3">
        <v>2.8133</v>
      </c>
      <c r="D63" s="3">
        <v>2.7877</v>
      </c>
      <c r="E63" s="3">
        <v>2.8649</v>
      </c>
      <c r="F63" s="3">
        <v>2.7652</v>
      </c>
      <c r="G63" s="3">
        <v>2.8391</v>
      </c>
    </row>
    <row r="64" spans="1:7">
      <c r="A64" s="2">
        <v>41135</v>
      </c>
      <c r="B64" s="3">
        <v>2.7805</v>
      </c>
      <c r="C64" s="3">
        <v>2.8499</v>
      </c>
      <c r="D64" s="3">
        <v>2.829</v>
      </c>
      <c r="E64" s="3">
        <v>2.9069</v>
      </c>
      <c r="F64" s="3">
        <v>2.8047</v>
      </c>
      <c r="G64" s="3">
        <v>2.8784</v>
      </c>
    </row>
    <row r="65" spans="1:7">
      <c r="A65" s="2">
        <v>41136</v>
      </c>
      <c r="B65" s="3">
        <v>2.839</v>
      </c>
      <c r="C65" s="3">
        <v>2.903</v>
      </c>
      <c r="D65" s="3">
        <v>2.8886</v>
      </c>
      <c r="E65" s="3">
        <v>2.9567</v>
      </c>
      <c r="F65" s="3">
        <v>2.8638</v>
      </c>
      <c r="G65" s="3">
        <v>2.9298</v>
      </c>
    </row>
    <row r="66" spans="1:7">
      <c r="A66" s="2">
        <v>41137</v>
      </c>
      <c r="B66" s="3">
        <v>2.8714</v>
      </c>
      <c r="C66" s="3">
        <v>2.9073</v>
      </c>
      <c r="D66" s="3">
        <v>2.9105</v>
      </c>
      <c r="E66" s="3">
        <v>2.9562</v>
      </c>
      <c r="F66" s="3">
        <v>2.8909</v>
      </c>
      <c r="G66" s="3">
        <v>2.9317</v>
      </c>
    </row>
    <row r="67" spans="1:7">
      <c r="A67" s="2">
        <v>41138</v>
      </c>
      <c r="B67" s="3">
        <v>2.858</v>
      </c>
      <c r="C67" s="3">
        <v>2.8879</v>
      </c>
      <c r="D67" s="3">
        <v>2.9087</v>
      </c>
      <c r="E67" s="3">
        <v>2.9499</v>
      </c>
      <c r="F67" s="3">
        <v>2.8833</v>
      </c>
      <c r="G67" s="3">
        <v>2.9189</v>
      </c>
    </row>
    <row r="68" spans="1:7">
      <c r="A68" s="2">
        <v>41141</v>
      </c>
      <c r="B68" s="3">
        <v>2.9904</v>
      </c>
      <c r="C68" s="3">
        <v>2.9877</v>
      </c>
      <c r="D68" s="3">
        <v>3.0394</v>
      </c>
      <c r="E68" s="3">
        <v>3.041</v>
      </c>
      <c r="F68" s="3">
        <v>3.0149</v>
      </c>
      <c r="G68" s="3">
        <v>3.0144</v>
      </c>
    </row>
    <row r="69" spans="1:7">
      <c r="A69" s="2">
        <v>41142</v>
      </c>
      <c r="B69" s="3">
        <v>3.0786</v>
      </c>
      <c r="C69" s="3">
        <v>3.0571</v>
      </c>
      <c r="D69" s="3">
        <v>3.1291</v>
      </c>
      <c r="E69" s="3">
        <v>3.1156</v>
      </c>
      <c r="F69" s="3">
        <v>3.1038</v>
      </c>
      <c r="G69" s="3">
        <v>3.0864</v>
      </c>
    </row>
    <row r="70" spans="1:7">
      <c r="A70" s="2">
        <v>41143</v>
      </c>
      <c r="B70" s="3">
        <v>3.1696</v>
      </c>
      <c r="C70" s="3">
        <v>3.1564</v>
      </c>
      <c r="D70" s="3">
        <v>3.2232</v>
      </c>
      <c r="E70" s="3">
        <v>3.2183</v>
      </c>
      <c r="F70" s="3">
        <v>3.1964</v>
      </c>
      <c r="G70" s="3">
        <v>3.1874</v>
      </c>
    </row>
    <row r="71" spans="1:7">
      <c r="A71" s="2">
        <v>41144</v>
      </c>
      <c r="B71" s="3">
        <v>3.1165</v>
      </c>
      <c r="C71" s="3">
        <v>3.0837</v>
      </c>
      <c r="D71" s="3">
        <v>3.1642</v>
      </c>
      <c r="E71" s="3">
        <v>3.1425</v>
      </c>
      <c r="F71" s="3">
        <v>3.1403</v>
      </c>
      <c r="G71" s="3">
        <v>3.1131</v>
      </c>
    </row>
    <row r="72" spans="1:7">
      <c r="A72" s="2">
        <v>41145</v>
      </c>
      <c r="B72" s="3">
        <v>3.068</v>
      </c>
      <c r="C72" s="3">
        <v>3.0631</v>
      </c>
      <c r="D72" s="3">
        <v>3.1207</v>
      </c>
      <c r="E72" s="3">
        <v>3.1239</v>
      </c>
      <c r="F72" s="3">
        <v>3.0944</v>
      </c>
      <c r="G72" s="3">
        <v>3.0935</v>
      </c>
    </row>
    <row r="73" spans="1:7">
      <c r="A73" s="2">
        <v>41148</v>
      </c>
      <c r="B73" s="3">
        <v>3.0896</v>
      </c>
      <c r="C73" s="3">
        <v>3.0738</v>
      </c>
      <c r="D73" s="3">
        <v>3.1396</v>
      </c>
      <c r="E73" s="3">
        <v>3.1322</v>
      </c>
      <c r="F73" s="3">
        <v>3.1146</v>
      </c>
      <c r="G73" s="3">
        <v>3.103</v>
      </c>
    </row>
    <row r="74" spans="1:7">
      <c r="A74" s="2">
        <v>41149</v>
      </c>
      <c r="B74" s="3">
        <v>3.0475</v>
      </c>
      <c r="C74" s="3">
        <v>3.0379</v>
      </c>
      <c r="D74" s="3">
        <v>3.1032</v>
      </c>
      <c r="E74" s="3">
        <v>3.0986</v>
      </c>
      <c r="F74" s="3">
        <v>3.0754</v>
      </c>
      <c r="G74" s="3">
        <v>3.0682</v>
      </c>
    </row>
    <row r="75" spans="1:7">
      <c r="A75" s="2">
        <v>41150</v>
      </c>
      <c r="B75" s="3">
        <v>3.0732</v>
      </c>
      <c r="C75" s="3">
        <v>3.0611</v>
      </c>
      <c r="D75" s="3">
        <v>3.1239</v>
      </c>
      <c r="E75" s="3">
        <v>3.1198</v>
      </c>
      <c r="F75" s="3">
        <v>3.0986</v>
      </c>
      <c r="G75" s="3">
        <v>3.0904</v>
      </c>
    </row>
    <row r="76" spans="1:7">
      <c r="A76" s="2">
        <v>41151</v>
      </c>
      <c r="B76" s="3">
        <v>3.0854</v>
      </c>
      <c r="C76" s="3">
        <v>3.0589</v>
      </c>
      <c r="D76" s="3">
        <v>3.1349</v>
      </c>
      <c r="E76" s="3">
        <v>3.1181</v>
      </c>
      <c r="F76" s="3">
        <v>3.1101</v>
      </c>
      <c r="G76" s="3">
        <v>3.0885</v>
      </c>
    </row>
    <row r="77" spans="1:7">
      <c r="A77" s="2">
        <v>41152</v>
      </c>
      <c r="B77" s="3">
        <v>3.0909</v>
      </c>
      <c r="C77" s="3">
        <v>3.0663</v>
      </c>
      <c r="D77" s="3">
        <v>3.1394</v>
      </c>
      <c r="E77" s="3">
        <v>3.1182</v>
      </c>
      <c r="F77" s="3">
        <v>3.1152</v>
      </c>
      <c r="G77" s="3">
        <v>3.0923</v>
      </c>
    </row>
    <row r="78" spans="1:7">
      <c r="A78" s="2">
        <v>41155</v>
      </c>
      <c r="B78" s="3">
        <v>3.0486</v>
      </c>
      <c r="C78" s="3">
        <v>3.0116</v>
      </c>
      <c r="D78" s="3">
        <v>3.096</v>
      </c>
      <c r="E78" s="3">
        <v>3.0621</v>
      </c>
      <c r="F78" s="3">
        <v>3.0723</v>
      </c>
      <c r="G78" s="3">
        <v>3.0368</v>
      </c>
    </row>
    <row r="79" spans="1:7">
      <c r="A79" s="2">
        <v>41156</v>
      </c>
      <c r="B79" s="3">
        <v>2.9481</v>
      </c>
      <c r="C79" s="3">
        <v>2.9301</v>
      </c>
      <c r="D79" s="3">
        <v>2.9988</v>
      </c>
      <c r="E79" s="3">
        <v>2.9923</v>
      </c>
      <c r="F79" s="3">
        <v>2.9735</v>
      </c>
      <c r="G79" s="3">
        <v>2.9612</v>
      </c>
    </row>
    <row r="80" spans="1:7">
      <c r="A80" s="2">
        <v>41157</v>
      </c>
      <c r="B80" s="3">
        <v>3.0009</v>
      </c>
      <c r="C80" s="3">
        <v>2.97</v>
      </c>
      <c r="D80" s="3">
        <v>3.0488</v>
      </c>
      <c r="E80" s="3">
        <v>3.0241</v>
      </c>
      <c r="F80" s="3">
        <v>3.0249</v>
      </c>
      <c r="G80" s="3">
        <v>2.997</v>
      </c>
    </row>
    <row r="81" spans="1:7">
      <c r="A81" s="2">
        <v>41158</v>
      </c>
      <c r="B81" s="3">
        <v>3.0138</v>
      </c>
      <c r="C81" s="3">
        <v>2.981</v>
      </c>
      <c r="D81" s="3">
        <v>3.0588</v>
      </c>
      <c r="E81" s="3">
        <v>3.0333</v>
      </c>
      <c r="F81" s="3">
        <v>3.0363</v>
      </c>
      <c r="G81" s="3">
        <v>3.0072</v>
      </c>
    </row>
    <row r="82" spans="1:7">
      <c r="A82" s="2">
        <v>41159</v>
      </c>
      <c r="B82" s="3">
        <v>3.0732</v>
      </c>
      <c r="C82" s="3">
        <v>3.0685</v>
      </c>
      <c r="D82" s="3">
        <v>3.1192</v>
      </c>
      <c r="E82" s="3">
        <v>3.1277</v>
      </c>
      <c r="F82" s="3">
        <v>3.0962</v>
      </c>
      <c r="G82" s="3">
        <v>3.0981</v>
      </c>
    </row>
    <row r="83" spans="1:7">
      <c r="A83" s="2">
        <v>41162</v>
      </c>
      <c r="B83" s="3">
        <v>3.0561</v>
      </c>
      <c r="C83" s="3">
        <v>3.1029</v>
      </c>
      <c r="D83" s="3">
        <v>3.1039</v>
      </c>
      <c r="E83" s="3">
        <v>3.1571</v>
      </c>
      <c r="F83" s="3">
        <v>3.08</v>
      </c>
      <c r="G83" s="3">
        <v>3.13</v>
      </c>
    </row>
    <row r="84" spans="1:7">
      <c r="A84" s="2">
        <v>41163</v>
      </c>
      <c r="B84" s="3">
        <v>3.0381</v>
      </c>
      <c r="C84" s="3">
        <v>3.1196</v>
      </c>
      <c r="D84" s="3">
        <v>3.0781</v>
      </c>
      <c r="E84" s="3">
        <v>3.1679</v>
      </c>
      <c r="F84" s="3">
        <v>3.0581</v>
      </c>
      <c r="G84" s="3">
        <v>3.1438</v>
      </c>
    </row>
    <row r="85" spans="1:7">
      <c r="A85" s="2">
        <v>41164</v>
      </c>
      <c r="B85" s="3">
        <v>3.0954</v>
      </c>
      <c r="C85" s="3">
        <v>3.2088</v>
      </c>
      <c r="D85" s="3">
        <v>3.1446</v>
      </c>
      <c r="E85" s="3">
        <v>3.259</v>
      </c>
      <c r="F85" s="3">
        <v>3.12</v>
      </c>
      <c r="G85" s="3">
        <v>3.2339</v>
      </c>
    </row>
    <row r="86" spans="1:7">
      <c r="A86" s="2">
        <v>41165</v>
      </c>
      <c r="B86" s="3">
        <v>3.1014</v>
      </c>
      <c r="C86" s="3">
        <v>3.1937</v>
      </c>
      <c r="D86" s="3">
        <v>3.1529</v>
      </c>
      <c r="E86" s="3">
        <v>3.2497</v>
      </c>
      <c r="F86" s="3">
        <v>3.1271</v>
      </c>
      <c r="G86" s="3">
        <v>3.2217</v>
      </c>
    </row>
    <row r="87" spans="1:7">
      <c r="A87" s="2">
        <v>41166</v>
      </c>
      <c r="B87" s="3">
        <v>3.1786</v>
      </c>
      <c r="C87" s="3">
        <v>3.2871</v>
      </c>
      <c r="D87" s="3">
        <v>3.2296</v>
      </c>
      <c r="E87" s="3">
        <v>3.3404</v>
      </c>
      <c r="F87" s="3">
        <v>3.2041</v>
      </c>
      <c r="G87" s="3">
        <v>3.3137</v>
      </c>
    </row>
    <row r="88" spans="1:7">
      <c r="A88" s="2">
        <v>41169</v>
      </c>
      <c r="B88" s="3">
        <v>3.2101</v>
      </c>
      <c r="C88" s="3">
        <v>3.3368</v>
      </c>
      <c r="D88" s="3">
        <v>3.2582</v>
      </c>
      <c r="E88" s="3">
        <v>3.3933</v>
      </c>
      <c r="F88" s="3">
        <v>3.2342</v>
      </c>
      <c r="G88" s="3">
        <v>3.3651</v>
      </c>
    </row>
    <row r="89" spans="1:7">
      <c r="A89" s="2">
        <v>41170</v>
      </c>
      <c r="B89" s="3">
        <v>3.1521</v>
      </c>
      <c r="C89" s="3">
        <v>3.2417</v>
      </c>
      <c r="D89" s="3">
        <v>3.1988</v>
      </c>
      <c r="E89" s="3">
        <v>3.2946</v>
      </c>
      <c r="F89" s="3">
        <v>3.1754</v>
      </c>
      <c r="G89" s="3">
        <v>3.2681</v>
      </c>
    </row>
    <row r="90" spans="1:7">
      <c r="A90" s="2">
        <v>41171</v>
      </c>
      <c r="B90" s="3">
        <v>3.2067</v>
      </c>
      <c r="C90" s="3">
        <v>3.2625</v>
      </c>
      <c r="D90" s="3">
        <v>3.2632</v>
      </c>
      <c r="E90" s="3">
        <v>3.3278</v>
      </c>
      <c r="F90" s="3">
        <v>3.2349</v>
      </c>
      <c r="G90" s="3">
        <v>3.2951</v>
      </c>
    </row>
    <row r="91" spans="1:7">
      <c r="A91" s="2">
        <v>41172</v>
      </c>
      <c r="B91" s="3">
        <v>3.1963</v>
      </c>
      <c r="C91" s="3">
        <v>3.2364</v>
      </c>
      <c r="D91" s="3">
        <v>3.2538</v>
      </c>
      <c r="E91" s="3">
        <v>3.2954</v>
      </c>
      <c r="F91" s="3">
        <v>3.225</v>
      </c>
      <c r="G91" s="3">
        <v>3.2659</v>
      </c>
    </row>
    <row r="92" spans="1:7">
      <c r="A92" s="2">
        <v>41173</v>
      </c>
      <c r="B92" s="3">
        <v>3.2214</v>
      </c>
      <c r="C92" s="3">
        <v>3.2254</v>
      </c>
      <c r="D92" s="3">
        <v>3.2722</v>
      </c>
      <c r="E92" s="3">
        <v>3.2869</v>
      </c>
      <c r="F92" s="3">
        <v>3.2468</v>
      </c>
      <c r="G92" s="3">
        <v>3.2562</v>
      </c>
    </row>
    <row r="93" spans="1:7">
      <c r="A93" s="2">
        <v>41176</v>
      </c>
      <c r="B93" s="3">
        <v>3.2239</v>
      </c>
      <c r="C93" s="3">
        <v>3.2229</v>
      </c>
      <c r="D93" s="3">
        <v>3.2732</v>
      </c>
      <c r="E93" s="3">
        <v>3.2773</v>
      </c>
      <c r="F93" s="3">
        <v>3.2486</v>
      </c>
      <c r="G93" s="3">
        <v>3.2501</v>
      </c>
    </row>
    <row r="94" spans="1:7">
      <c r="A94" s="2">
        <v>41177</v>
      </c>
      <c r="B94" s="3">
        <v>3.1489</v>
      </c>
      <c r="C94" s="3">
        <v>3.1471</v>
      </c>
      <c r="D94" s="3">
        <v>3.2037</v>
      </c>
      <c r="E94" s="3">
        <v>3.2063</v>
      </c>
      <c r="F94" s="3">
        <v>3.1763</v>
      </c>
      <c r="G94" s="3">
        <v>3.1767</v>
      </c>
    </row>
    <row r="95" spans="1:7">
      <c r="A95" s="2">
        <v>41178</v>
      </c>
      <c r="B95" s="3">
        <v>3.1037</v>
      </c>
      <c r="C95" s="3">
        <v>3.1324</v>
      </c>
      <c r="D95" s="3">
        <v>3.152</v>
      </c>
      <c r="E95" s="3">
        <v>3.1857</v>
      </c>
      <c r="F95" s="3">
        <v>3.1279</v>
      </c>
      <c r="G95" s="3">
        <v>3.159</v>
      </c>
    </row>
    <row r="96" spans="1:7">
      <c r="A96" s="2">
        <v>41179</v>
      </c>
      <c r="B96" s="3">
        <v>3.0998</v>
      </c>
      <c r="C96" s="3">
        <v>3.1415</v>
      </c>
      <c r="D96" s="3">
        <v>3.1475</v>
      </c>
      <c r="E96" s="3">
        <v>3.191</v>
      </c>
      <c r="F96" s="3">
        <v>3.1237</v>
      </c>
      <c r="G96" s="3">
        <v>3.1663</v>
      </c>
    </row>
    <row r="97" spans="1:7">
      <c r="A97" s="2">
        <v>41180</v>
      </c>
      <c r="B97" s="3">
        <v>3.0942</v>
      </c>
      <c r="C97" s="3">
        <v>3.1458</v>
      </c>
      <c r="D97" s="3">
        <v>3.1412</v>
      </c>
      <c r="E97" s="3">
        <v>3.1985</v>
      </c>
      <c r="F97" s="3">
        <v>3.1177</v>
      </c>
      <c r="G97" s="3">
        <v>3.1721</v>
      </c>
    </row>
    <row r="98" spans="1:7">
      <c r="A98" s="2">
        <v>41181</v>
      </c>
      <c r="B98" s="3">
        <v>3.0906</v>
      </c>
      <c r="C98" s="3">
        <v>3.1382</v>
      </c>
      <c r="D98" s="3">
        <v>3.1413</v>
      </c>
      <c r="E98" s="3">
        <v>3.1969</v>
      </c>
      <c r="F98" s="3">
        <v>3.116</v>
      </c>
      <c r="G98" s="3">
        <v>3.1676</v>
      </c>
    </row>
    <row r="99" spans="1:7">
      <c r="A99" s="2">
        <v>41190</v>
      </c>
      <c r="B99" s="3">
        <v>3.1285</v>
      </c>
      <c r="C99" s="3">
        <v>3.1627</v>
      </c>
      <c r="D99" s="3">
        <v>3.1855</v>
      </c>
      <c r="E99" s="3">
        <v>3.2322</v>
      </c>
      <c r="F99" s="3">
        <v>3.157</v>
      </c>
      <c r="G99" s="3">
        <v>3.1974</v>
      </c>
    </row>
    <row r="100" spans="1:7">
      <c r="A100" s="2">
        <v>41191</v>
      </c>
      <c r="B100" s="3">
        <v>3.1216</v>
      </c>
      <c r="C100" s="3">
        <v>3.1635</v>
      </c>
      <c r="D100" s="3">
        <v>3.1746</v>
      </c>
      <c r="E100" s="3">
        <v>3.2244</v>
      </c>
      <c r="F100" s="3">
        <v>3.1481</v>
      </c>
      <c r="G100" s="3">
        <v>3.1939</v>
      </c>
    </row>
    <row r="101" spans="1:7">
      <c r="A101" s="2">
        <v>41192</v>
      </c>
      <c r="B101" s="3">
        <v>3.1403</v>
      </c>
      <c r="C101" s="3">
        <v>3.1992</v>
      </c>
      <c r="D101" s="3">
        <v>3.1947</v>
      </c>
      <c r="E101" s="3">
        <v>3.2546</v>
      </c>
      <c r="F101" s="3">
        <v>3.1675</v>
      </c>
      <c r="G101" s="3">
        <v>3.2269</v>
      </c>
    </row>
    <row r="102" spans="1:7">
      <c r="A102" s="2">
        <v>41193</v>
      </c>
      <c r="B102" s="3">
        <v>3.1188</v>
      </c>
      <c r="C102" s="3">
        <v>3.1901</v>
      </c>
      <c r="D102" s="3">
        <v>3.1696</v>
      </c>
      <c r="E102" s="3">
        <v>3.2474</v>
      </c>
      <c r="F102" s="3">
        <v>3.1442</v>
      </c>
      <c r="G102" s="3">
        <v>3.2188</v>
      </c>
    </row>
    <row r="103" spans="1:7">
      <c r="A103" s="2">
        <v>41194</v>
      </c>
      <c r="B103" s="3">
        <v>3.0931</v>
      </c>
      <c r="C103" s="3">
        <v>3.1767</v>
      </c>
      <c r="D103" s="3">
        <v>3.1462</v>
      </c>
      <c r="E103" s="3">
        <v>3.2335</v>
      </c>
      <c r="F103" s="3">
        <v>3.1196</v>
      </c>
      <c r="G103" s="3">
        <v>3.2051</v>
      </c>
    </row>
    <row r="104" spans="1:7">
      <c r="A104" s="2">
        <v>41197</v>
      </c>
      <c r="B104" s="3">
        <v>3.0839</v>
      </c>
      <c r="C104" s="3">
        <v>3.1837</v>
      </c>
      <c r="D104" s="3">
        <v>3.1318</v>
      </c>
      <c r="E104" s="3">
        <v>3.241</v>
      </c>
      <c r="F104" s="3">
        <v>3.1079</v>
      </c>
      <c r="G104" s="3">
        <v>3.2123</v>
      </c>
    </row>
    <row r="105" spans="1:7">
      <c r="A105" s="2">
        <v>41198</v>
      </c>
      <c r="B105" s="3">
        <v>3.0793</v>
      </c>
      <c r="C105" s="3">
        <v>3.2029</v>
      </c>
      <c r="D105" s="3">
        <v>3.1257</v>
      </c>
      <c r="E105" s="3">
        <v>3.2556</v>
      </c>
      <c r="F105" s="3">
        <v>3.1025</v>
      </c>
      <c r="G105" s="3">
        <v>3.2292</v>
      </c>
    </row>
    <row r="106" spans="1:7">
      <c r="A106" s="2">
        <v>41199</v>
      </c>
      <c r="B106" s="3">
        <v>3.0892</v>
      </c>
      <c r="C106" s="3">
        <v>3.2605</v>
      </c>
      <c r="D106" s="3">
        <v>3.133</v>
      </c>
      <c r="E106" s="3">
        <v>3.3141</v>
      </c>
      <c r="F106" s="3">
        <v>3.1111</v>
      </c>
      <c r="G106" s="3">
        <v>3.2873</v>
      </c>
    </row>
    <row r="107" spans="1:7">
      <c r="A107" s="2">
        <v>41200</v>
      </c>
      <c r="B107" s="3">
        <v>3.0777</v>
      </c>
      <c r="C107" s="3">
        <v>3.2829</v>
      </c>
      <c r="D107" s="3">
        <v>3.1266</v>
      </c>
      <c r="E107" s="3">
        <v>3.3429</v>
      </c>
      <c r="F107" s="3">
        <v>3.1021</v>
      </c>
      <c r="G107" s="3">
        <v>3.3129</v>
      </c>
    </row>
    <row r="108" spans="1:7">
      <c r="A108" s="2">
        <v>41201</v>
      </c>
      <c r="B108" s="3">
        <v>3.076</v>
      </c>
      <c r="C108" s="3">
        <v>3.2845</v>
      </c>
      <c r="D108" s="3">
        <v>3.1273</v>
      </c>
      <c r="E108" s="3">
        <v>3.3446</v>
      </c>
      <c r="F108" s="3">
        <v>3.1017</v>
      </c>
      <c r="G108" s="3">
        <v>3.3146</v>
      </c>
    </row>
    <row r="109" spans="1:7">
      <c r="A109" s="2">
        <v>41204</v>
      </c>
      <c r="B109" s="3">
        <v>3.0707</v>
      </c>
      <c r="C109" s="3">
        <v>3.2669</v>
      </c>
      <c r="D109" s="3">
        <v>3.1163</v>
      </c>
      <c r="E109" s="3">
        <v>3.3225</v>
      </c>
      <c r="F109" s="3">
        <v>3.0935</v>
      </c>
      <c r="G109" s="3">
        <v>3.2947</v>
      </c>
    </row>
    <row r="110" spans="1:7">
      <c r="A110" s="2">
        <v>41205</v>
      </c>
      <c r="B110" s="3">
        <v>3.0972</v>
      </c>
      <c r="C110" s="3">
        <v>3.2731</v>
      </c>
      <c r="D110" s="3">
        <v>3.1459</v>
      </c>
      <c r="E110" s="3">
        <v>3.326</v>
      </c>
      <c r="F110" s="3">
        <v>3.1216</v>
      </c>
      <c r="G110" s="3">
        <v>3.2996</v>
      </c>
    </row>
    <row r="111" spans="1:7">
      <c r="A111" s="2">
        <v>41206</v>
      </c>
      <c r="B111" s="3">
        <v>3.1378</v>
      </c>
      <c r="C111" s="3">
        <v>3.2842</v>
      </c>
      <c r="D111" s="3">
        <v>3.1824</v>
      </c>
      <c r="E111" s="3">
        <v>3.3342</v>
      </c>
      <c r="F111" s="3">
        <v>3.1601</v>
      </c>
      <c r="G111" s="3">
        <v>3.3092</v>
      </c>
    </row>
    <row r="112" spans="1:7">
      <c r="A112" s="2">
        <v>41207</v>
      </c>
      <c r="B112" s="3">
        <v>3.1485</v>
      </c>
      <c r="C112" s="3">
        <v>3.3046</v>
      </c>
      <c r="D112" s="3">
        <v>3.1968</v>
      </c>
      <c r="E112" s="3">
        <v>3.3589</v>
      </c>
      <c r="F112" s="3">
        <v>3.1726</v>
      </c>
      <c r="G112" s="3">
        <v>3.3317</v>
      </c>
    </row>
    <row r="113" spans="1:7">
      <c r="A113" s="2">
        <v>41208</v>
      </c>
      <c r="B113" s="3">
        <v>3.1644</v>
      </c>
      <c r="C113" s="3">
        <v>3.3086</v>
      </c>
      <c r="D113" s="3">
        <v>3.2118</v>
      </c>
      <c r="E113" s="3">
        <v>3.3619</v>
      </c>
      <c r="F113" s="3">
        <v>3.1881</v>
      </c>
      <c r="G113" s="3">
        <v>3.3352</v>
      </c>
    </row>
    <row r="114" spans="1:7">
      <c r="A114" s="2">
        <v>41211</v>
      </c>
      <c r="B114" s="3">
        <v>3.1554</v>
      </c>
      <c r="C114" s="3">
        <v>3.3004</v>
      </c>
      <c r="D114" s="3">
        <v>3.2038</v>
      </c>
      <c r="E114" s="3">
        <v>3.3517</v>
      </c>
      <c r="F114" s="3">
        <v>3.1796</v>
      </c>
      <c r="G114" s="3">
        <v>3.326</v>
      </c>
    </row>
    <row r="115" spans="1:7">
      <c r="A115" s="2">
        <v>41212</v>
      </c>
      <c r="B115" s="3">
        <v>3.1377</v>
      </c>
      <c r="C115" s="3">
        <v>3.307</v>
      </c>
      <c r="D115" s="3">
        <v>3.187</v>
      </c>
      <c r="E115" s="3">
        <v>3.3571</v>
      </c>
      <c r="F115" s="3">
        <v>3.1623</v>
      </c>
      <c r="G115" s="3">
        <v>3.3321</v>
      </c>
    </row>
    <row r="116" spans="1:7">
      <c r="A116" s="2">
        <v>41213</v>
      </c>
      <c r="B116" s="3">
        <v>3.1547</v>
      </c>
      <c r="C116" s="3">
        <v>3.3499</v>
      </c>
      <c r="D116" s="3">
        <v>3.206</v>
      </c>
      <c r="E116" s="3">
        <v>3.4031</v>
      </c>
      <c r="F116" s="3">
        <v>3.1804</v>
      </c>
      <c r="G116" s="3">
        <v>3.3765</v>
      </c>
    </row>
    <row r="117" spans="1:7">
      <c r="A117" s="2">
        <v>41214</v>
      </c>
      <c r="B117" s="3">
        <v>3.1732</v>
      </c>
      <c r="C117" s="3">
        <v>3.3776</v>
      </c>
      <c r="D117" s="3">
        <v>3.2239</v>
      </c>
      <c r="E117" s="3">
        <v>3.4399</v>
      </c>
      <c r="F117" s="3">
        <v>3.1986</v>
      </c>
      <c r="G117" s="3">
        <v>3.4087</v>
      </c>
    </row>
    <row r="118" spans="1:7">
      <c r="A118" s="2">
        <v>41215</v>
      </c>
      <c r="B118" s="3">
        <v>3.1976</v>
      </c>
      <c r="C118" s="3">
        <v>3.4228</v>
      </c>
      <c r="D118" s="3">
        <v>3.2472</v>
      </c>
      <c r="E118" s="3">
        <v>3.4852</v>
      </c>
      <c r="F118" s="3">
        <v>3.2224</v>
      </c>
      <c r="G118" s="3">
        <v>3.454</v>
      </c>
    </row>
    <row r="119" spans="1:7">
      <c r="A119" s="2">
        <v>41218</v>
      </c>
      <c r="B119" s="3">
        <v>3.1814</v>
      </c>
      <c r="C119" s="3">
        <v>3.3985</v>
      </c>
      <c r="D119" s="3">
        <v>3.2294</v>
      </c>
      <c r="E119" s="3">
        <v>3.4578</v>
      </c>
      <c r="F119" s="3">
        <v>3.2054</v>
      </c>
      <c r="G119" s="3">
        <v>3.4281</v>
      </c>
    </row>
    <row r="120" spans="1:7">
      <c r="A120" s="2">
        <v>41219</v>
      </c>
      <c r="B120" s="3">
        <v>3.1571</v>
      </c>
      <c r="C120" s="3">
        <v>3.3792</v>
      </c>
      <c r="D120" s="3">
        <v>3.2088</v>
      </c>
      <c r="E120" s="3">
        <v>3.4354</v>
      </c>
      <c r="F120" s="3">
        <v>3.1829</v>
      </c>
      <c r="G120" s="3">
        <v>3.4073</v>
      </c>
    </row>
    <row r="121" spans="1:7">
      <c r="A121" s="2">
        <v>41220</v>
      </c>
      <c r="B121" s="3">
        <v>3.1653</v>
      </c>
      <c r="C121" s="3">
        <v>3.3927</v>
      </c>
      <c r="D121" s="3">
        <v>3.2135</v>
      </c>
      <c r="E121" s="3">
        <v>3.4463</v>
      </c>
      <c r="F121" s="3">
        <v>3.1894</v>
      </c>
      <c r="G121" s="3">
        <v>3.4195</v>
      </c>
    </row>
    <row r="122" spans="1:7">
      <c r="A122" s="2">
        <v>41221</v>
      </c>
      <c r="B122" s="3">
        <v>3.1685</v>
      </c>
      <c r="C122" s="3">
        <v>3.3795</v>
      </c>
      <c r="D122" s="3">
        <v>3.2283</v>
      </c>
      <c r="E122" s="3">
        <v>3.4426</v>
      </c>
      <c r="F122" s="3">
        <v>3.1984</v>
      </c>
      <c r="G122" s="3">
        <v>3.4111</v>
      </c>
    </row>
    <row r="123" spans="1:7">
      <c r="A123" s="2">
        <v>41222</v>
      </c>
      <c r="B123" s="3">
        <v>3.1681</v>
      </c>
      <c r="C123" s="3">
        <v>3.3869</v>
      </c>
      <c r="D123" s="3">
        <v>3.2212</v>
      </c>
      <c r="E123" s="3">
        <v>3.4415</v>
      </c>
      <c r="F123" s="3">
        <v>3.1946</v>
      </c>
      <c r="G123" s="3">
        <v>3.4142</v>
      </c>
    </row>
    <row r="124" spans="1:7">
      <c r="A124" s="2">
        <v>41225</v>
      </c>
      <c r="B124" s="3">
        <v>3.1681</v>
      </c>
      <c r="C124" s="3">
        <v>3.3881</v>
      </c>
      <c r="D124" s="3">
        <v>3.2177</v>
      </c>
      <c r="E124" s="3">
        <v>3.4429</v>
      </c>
      <c r="F124" s="3">
        <v>3.1929</v>
      </c>
      <c r="G124" s="3">
        <v>3.4155</v>
      </c>
    </row>
    <row r="125" spans="1:7">
      <c r="A125" s="2">
        <v>41226</v>
      </c>
      <c r="B125" s="3">
        <v>3.1637</v>
      </c>
      <c r="C125" s="3">
        <v>3.3782</v>
      </c>
      <c r="D125" s="3">
        <v>3.2108</v>
      </c>
      <c r="E125" s="3">
        <v>3.4302</v>
      </c>
      <c r="F125" s="3">
        <v>3.1873</v>
      </c>
      <c r="G125" s="3">
        <v>3.4042</v>
      </c>
    </row>
    <row r="126" spans="1:7">
      <c r="A126" s="2">
        <v>41227</v>
      </c>
      <c r="B126" s="3">
        <v>3.1791</v>
      </c>
      <c r="C126" s="3">
        <v>3.3859</v>
      </c>
      <c r="D126" s="3">
        <v>3.2251</v>
      </c>
      <c r="E126" s="3">
        <v>3.439</v>
      </c>
      <c r="F126" s="3">
        <v>3.2021</v>
      </c>
      <c r="G126" s="3">
        <v>3.4124</v>
      </c>
    </row>
    <row r="127" spans="1:7">
      <c r="A127" s="2">
        <v>41228</v>
      </c>
      <c r="B127" s="3">
        <v>3.2055</v>
      </c>
      <c r="C127" s="3">
        <v>3.4169</v>
      </c>
      <c r="D127" s="3">
        <v>3.2514</v>
      </c>
      <c r="E127" s="3">
        <v>3.4692</v>
      </c>
      <c r="F127" s="3">
        <v>3.2285</v>
      </c>
      <c r="G127" s="3">
        <v>3.4431</v>
      </c>
    </row>
    <row r="128" spans="1:7">
      <c r="A128" s="2">
        <v>41229</v>
      </c>
      <c r="B128" s="3">
        <v>3.2005</v>
      </c>
      <c r="C128" s="3">
        <v>3.4141</v>
      </c>
      <c r="D128" s="3">
        <v>3.2453</v>
      </c>
      <c r="E128" s="3">
        <v>3.4612</v>
      </c>
      <c r="F128" s="3">
        <v>3.2229</v>
      </c>
      <c r="G128" s="3">
        <v>3.4377</v>
      </c>
    </row>
    <row r="129" spans="1:7">
      <c r="A129" s="2">
        <v>41232</v>
      </c>
      <c r="B129" s="3">
        <v>3.1995</v>
      </c>
      <c r="C129" s="3">
        <v>3.4128</v>
      </c>
      <c r="D129" s="3">
        <v>3.2495</v>
      </c>
      <c r="E129" s="3">
        <v>3.463</v>
      </c>
      <c r="F129" s="3">
        <v>3.2245</v>
      </c>
      <c r="G129" s="3">
        <v>3.4379</v>
      </c>
    </row>
    <row r="130" spans="1:7">
      <c r="A130" s="2">
        <v>41233</v>
      </c>
      <c r="B130" s="3">
        <v>3.2457</v>
      </c>
      <c r="C130" s="3">
        <v>3.4536</v>
      </c>
      <c r="D130" s="3">
        <v>3.2929</v>
      </c>
      <c r="E130" s="3">
        <v>3.4993</v>
      </c>
      <c r="F130" s="3">
        <v>3.2693</v>
      </c>
      <c r="G130" s="3">
        <v>3.4764</v>
      </c>
    </row>
    <row r="131" spans="1:7">
      <c r="A131" s="2">
        <v>41234</v>
      </c>
      <c r="B131" s="3">
        <v>3.2547</v>
      </c>
      <c r="C131" s="3">
        <v>3.4692</v>
      </c>
      <c r="D131" s="3">
        <v>3.2979</v>
      </c>
      <c r="E131" s="3">
        <v>3.5164</v>
      </c>
      <c r="F131" s="3">
        <v>3.2763</v>
      </c>
      <c r="G131" s="3">
        <v>3.4928</v>
      </c>
    </row>
    <row r="132" spans="1:7">
      <c r="A132" s="2">
        <v>41235</v>
      </c>
      <c r="B132" s="3">
        <v>3.3041</v>
      </c>
      <c r="C132" s="3">
        <v>3.5402</v>
      </c>
      <c r="D132" s="3">
        <v>3.3508</v>
      </c>
      <c r="E132" s="3">
        <v>3.5994</v>
      </c>
      <c r="F132" s="3">
        <v>3.3274</v>
      </c>
      <c r="G132" s="3">
        <v>3.5698</v>
      </c>
    </row>
    <row r="133" spans="1:7">
      <c r="A133" s="2">
        <v>41236</v>
      </c>
      <c r="B133" s="3">
        <v>3.2939</v>
      </c>
      <c r="C133" s="3">
        <v>3.5385</v>
      </c>
      <c r="D133" s="3">
        <v>3.3425</v>
      </c>
      <c r="E133" s="3">
        <v>3.5903</v>
      </c>
      <c r="F133" s="3">
        <v>3.3182</v>
      </c>
      <c r="G133" s="3">
        <v>3.5644</v>
      </c>
    </row>
    <row r="134" spans="1:7">
      <c r="A134" s="2">
        <v>41239</v>
      </c>
      <c r="B134" s="3">
        <v>3.2969</v>
      </c>
      <c r="C134" s="3">
        <v>3.5474</v>
      </c>
      <c r="D134" s="3">
        <v>3.3504</v>
      </c>
      <c r="E134" s="3">
        <v>3.6022</v>
      </c>
      <c r="F134" s="3">
        <v>3.3237</v>
      </c>
      <c r="G134" s="3">
        <v>3.5748</v>
      </c>
    </row>
    <row r="135" spans="1:7">
      <c r="A135" s="2">
        <v>41240</v>
      </c>
      <c r="B135" s="3">
        <v>3.3218</v>
      </c>
      <c r="C135" s="3">
        <v>3.5937</v>
      </c>
      <c r="D135" s="3">
        <v>3.3718</v>
      </c>
      <c r="E135" s="3">
        <v>3.6488</v>
      </c>
      <c r="F135" s="3">
        <v>3.3468</v>
      </c>
      <c r="G135" s="3">
        <v>3.6213</v>
      </c>
    </row>
    <row r="136" spans="1:7">
      <c r="A136" s="2">
        <v>41241</v>
      </c>
      <c r="B136" s="3">
        <v>3.3628</v>
      </c>
      <c r="C136" s="3">
        <v>3.6069</v>
      </c>
      <c r="D136" s="3">
        <v>3.4228</v>
      </c>
      <c r="E136" s="3">
        <v>3.669</v>
      </c>
      <c r="F136" s="3">
        <v>3.3928</v>
      </c>
      <c r="G136" s="3">
        <v>3.6379</v>
      </c>
    </row>
    <row r="137" spans="1:7">
      <c r="A137" s="2">
        <v>41242</v>
      </c>
      <c r="B137" s="3">
        <v>3.3723</v>
      </c>
      <c r="C137" s="3">
        <v>3.6103</v>
      </c>
      <c r="D137" s="3">
        <v>3.4196</v>
      </c>
      <c r="E137" s="3">
        <v>3.6608</v>
      </c>
      <c r="F137" s="3">
        <v>3.396</v>
      </c>
      <c r="G137" s="3">
        <v>3.6355</v>
      </c>
    </row>
    <row r="138" spans="1:7">
      <c r="A138" s="2">
        <v>41243</v>
      </c>
      <c r="B138" s="3">
        <v>3.3847</v>
      </c>
      <c r="C138" s="3">
        <v>3.6169</v>
      </c>
      <c r="D138" s="3">
        <v>3.4396</v>
      </c>
      <c r="E138" s="3">
        <v>3.6744</v>
      </c>
      <c r="F138" s="3">
        <v>3.4122</v>
      </c>
      <c r="G138" s="3">
        <v>3.6456</v>
      </c>
    </row>
    <row r="139" spans="1:7">
      <c r="A139" s="2">
        <v>41246</v>
      </c>
      <c r="B139" s="3">
        <v>3.3849</v>
      </c>
      <c r="C139" s="3">
        <v>3.609</v>
      </c>
      <c r="D139" s="3">
        <v>3.4303</v>
      </c>
      <c r="E139" s="3">
        <v>3.6591</v>
      </c>
      <c r="F139" s="3">
        <v>3.4076</v>
      </c>
      <c r="G139" s="3">
        <v>3.634</v>
      </c>
    </row>
    <row r="140" spans="1:7">
      <c r="A140" s="2">
        <v>41247</v>
      </c>
      <c r="B140" s="3">
        <v>3.3407</v>
      </c>
      <c r="C140" s="3">
        <v>3.5669</v>
      </c>
      <c r="D140" s="3">
        <v>3.3893</v>
      </c>
      <c r="E140" s="3">
        <v>3.6168</v>
      </c>
      <c r="F140" s="3">
        <v>3.365</v>
      </c>
      <c r="G140" s="3">
        <v>3.5919</v>
      </c>
    </row>
    <row r="141" spans="1:7">
      <c r="A141" s="2">
        <v>41248</v>
      </c>
      <c r="B141" s="3">
        <v>3.3276</v>
      </c>
      <c r="C141" s="3">
        <v>3.5533</v>
      </c>
      <c r="D141" s="3">
        <v>3.3791</v>
      </c>
      <c r="E141" s="3">
        <v>3.6036</v>
      </c>
      <c r="F141" s="3">
        <v>3.3533</v>
      </c>
      <c r="G141" s="3">
        <v>3.5785</v>
      </c>
    </row>
    <row r="142" spans="1:7">
      <c r="A142" s="2">
        <v>41249</v>
      </c>
      <c r="B142" s="3">
        <v>3.3245</v>
      </c>
      <c r="C142" s="3">
        <v>3.5503</v>
      </c>
      <c r="D142" s="3">
        <v>3.374</v>
      </c>
      <c r="E142" s="3">
        <v>3.6008</v>
      </c>
      <c r="F142" s="3">
        <v>3.3493</v>
      </c>
      <c r="G142" s="3">
        <v>3.5756</v>
      </c>
    </row>
    <row r="143" spans="1:7">
      <c r="A143" s="2">
        <v>41250</v>
      </c>
      <c r="B143" s="3">
        <v>3.3365</v>
      </c>
      <c r="C143" s="3">
        <v>3.5481</v>
      </c>
      <c r="D143" s="3">
        <v>3.3844</v>
      </c>
      <c r="E143" s="3">
        <v>3.6002</v>
      </c>
      <c r="F143" s="3">
        <v>3.3604</v>
      </c>
      <c r="G143" s="3">
        <v>3.5742</v>
      </c>
    </row>
    <row r="144" spans="1:7">
      <c r="A144" s="2">
        <v>41253</v>
      </c>
      <c r="B144" s="3">
        <v>3.3663</v>
      </c>
      <c r="C144" s="3">
        <v>3.6087</v>
      </c>
      <c r="D144" s="3">
        <v>3.4185</v>
      </c>
      <c r="E144" s="3">
        <v>3.6642</v>
      </c>
      <c r="F144" s="3">
        <v>3.3924</v>
      </c>
      <c r="G144" s="3">
        <v>3.6365</v>
      </c>
    </row>
    <row r="145" spans="1:7">
      <c r="A145" s="2">
        <v>41254</v>
      </c>
      <c r="B145" s="3">
        <v>3.3413</v>
      </c>
      <c r="C145" s="3">
        <v>3.6046</v>
      </c>
      <c r="D145" s="3">
        <v>3.3954</v>
      </c>
      <c r="E145" s="3">
        <v>3.6621</v>
      </c>
      <c r="F145" s="3">
        <v>3.3683</v>
      </c>
      <c r="G145" s="3">
        <v>3.6333</v>
      </c>
    </row>
    <row r="146" spans="1:7">
      <c r="A146" s="2">
        <v>41255</v>
      </c>
      <c r="B146" s="3">
        <v>3.3088</v>
      </c>
      <c r="C146" s="3">
        <v>3.5881</v>
      </c>
      <c r="D146" s="3">
        <v>3.355</v>
      </c>
      <c r="E146" s="3">
        <v>3.6451</v>
      </c>
      <c r="F146" s="3">
        <v>3.3319</v>
      </c>
      <c r="G146" s="3">
        <v>3.6166</v>
      </c>
    </row>
    <row r="147" spans="1:7">
      <c r="A147" s="2">
        <v>41256</v>
      </c>
      <c r="B147" s="3">
        <v>3.325</v>
      </c>
      <c r="C147" s="3">
        <v>3.6193</v>
      </c>
      <c r="D147" s="3">
        <v>3.373</v>
      </c>
      <c r="E147" s="3">
        <v>3.6691</v>
      </c>
      <c r="F147" s="3">
        <v>3.349</v>
      </c>
      <c r="G147" s="3">
        <v>3.6442</v>
      </c>
    </row>
    <row r="148" spans="1:7">
      <c r="A148" s="2">
        <v>41257</v>
      </c>
      <c r="B148" s="3">
        <v>3.3219</v>
      </c>
      <c r="C148" s="3">
        <v>3.6276</v>
      </c>
      <c r="D148" s="3">
        <v>3.3796</v>
      </c>
      <c r="E148" s="3">
        <v>3.6877</v>
      </c>
      <c r="F148" s="3">
        <v>3.3508</v>
      </c>
      <c r="G148" s="3">
        <v>3.6576</v>
      </c>
    </row>
    <row r="149" spans="1:7">
      <c r="A149" s="2">
        <v>41260</v>
      </c>
      <c r="B149" s="3">
        <v>3.3019</v>
      </c>
      <c r="C149" s="3">
        <v>3.63</v>
      </c>
      <c r="D149" s="3">
        <v>3.3545</v>
      </c>
      <c r="E149" s="3">
        <v>3.6869</v>
      </c>
      <c r="F149" s="3">
        <v>3.3282</v>
      </c>
      <c r="G149" s="3">
        <v>3.6585</v>
      </c>
    </row>
    <row r="150" spans="1:7">
      <c r="A150" s="2">
        <v>41261</v>
      </c>
      <c r="B150" s="3">
        <v>3.3184</v>
      </c>
      <c r="C150" s="3">
        <v>3.6336</v>
      </c>
      <c r="D150" s="3">
        <v>3.3687</v>
      </c>
      <c r="E150" s="3">
        <v>3.6883</v>
      </c>
      <c r="F150" s="3">
        <v>3.3436</v>
      </c>
      <c r="G150" s="3">
        <v>3.6609</v>
      </c>
    </row>
    <row r="151" spans="1:7">
      <c r="A151" s="2">
        <v>41262</v>
      </c>
      <c r="B151" s="3">
        <v>3.3404</v>
      </c>
      <c r="C151" s="3">
        <v>3.6835</v>
      </c>
      <c r="D151" s="3">
        <v>3.3965</v>
      </c>
      <c r="E151" s="3">
        <v>3.7405</v>
      </c>
      <c r="F151" s="3">
        <v>3.3685</v>
      </c>
      <c r="G151" s="3">
        <v>3.712</v>
      </c>
    </row>
    <row r="152" spans="1:7">
      <c r="A152" s="2">
        <v>41263</v>
      </c>
      <c r="B152" s="3">
        <v>3.331</v>
      </c>
      <c r="C152" s="3">
        <v>3.6786</v>
      </c>
      <c r="D152" s="3">
        <v>3.3823</v>
      </c>
      <c r="E152" s="3">
        <v>3.7331</v>
      </c>
      <c r="F152" s="3">
        <v>3.3567</v>
      </c>
      <c r="G152" s="3">
        <v>3.7058</v>
      </c>
    </row>
    <row r="153" spans="1:7">
      <c r="A153" s="2">
        <v>41264</v>
      </c>
      <c r="B153" s="3">
        <v>3.3309</v>
      </c>
      <c r="C153" s="3">
        <v>3.6668</v>
      </c>
      <c r="D153" s="3">
        <v>3.3809</v>
      </c>
      <c r="E153" s="3">
        <v>3.7209</v>
      </c>
      <c r="F153" s="3">
        <v>3.3559</v>
      </c>
      <c r="G153" s="3">
        <v>3.6939</v>
      </c>
    </row>
    <row r="154" spans="1:7">
      <c r="A154" s="2">
        <v>41267</v>
      </c>
      <c r="B154" s="3">
        <v>3.3259</v>
      </c>
      <c r="C154" s="3">
        <v>3.6662</v>
      </c>
      <c r="D154" s="3">
        <v>3.3746</v>
      </c>
      <c r="E154" s="3">
        <v>3.721</v>
      </c>
      <c r="F154" s="3">
        <v>3.3502</v>
      </c>
      <c r="G154" s="3">
        <v>3.6936</v>
      </c>
    </row>
    <row r="155" spans="1:7">
      <c r="A155" s="2">
        <v>41268</v>
      </c>
      <c r="B155" s="3">
        <v>3.3256</v>
      </c>
      <c r="C155" s="3">
        <v>3.6664</v>
      </c>
      <c r="D155" s="3">
        <v>3.3772</v>
      </c>
      <c r="E155" s="3">
        <v>3.7232</v>
      </c>
      <c r="F155" s="3">
        <v>3.3514</v>
      </c>
      <c r="G155" s="3">
        <v>3.6948</v>
      </c>
    </row>
    <row r="156" spans="1:7">
      <c r="A156" s="2">
        <v>41269</v>
      </c>
      <c r="B156" s="3">
        <v>3.3281</v>
      </c>
      <c r="C156" s="3">
        <v>3.6662</v>
      </c>
      <c r="D156" s="3">
        <v>3.377</v>
      </c>
      <c r="E156" s="3">
        <v>3.722</v>
      </c>
      <c r="F156" s="3">
        <v>3.3526</v>
      </c>
      <c r="G156" s="3">
        <v>3.6941</v>
      </c>
    </row>
    <row r="157" spans="1:7">
      <c r="A157" s="2">
        <v>41270</v>
      </c>
      <c r="B157" s="3">
        <v>3.325</v>
      </c>
      <c r="C157" s="3">
        <v>3.6621</v>
      </c>
      <c r="D157" s="3">
        <v>3.3723</v>
      </c>
      <c r="E157" s="3">
        <v>3.7151</v>
      </c>
      <c r="F157" s="3">
        <v>3.3487</v>
      </c>
      <c r="G157" s="3">
        <v>3.6886</v>
      </c>
    </row>
    <row r="158" spans="1:7">
      <c r="A158" s="2">
        <v>41271</v>
      </c>
      <c r="B158" s="3">
        <v>3.3254</v>
      </c>
      <c r="C158" s="3">
        <v>3.6535</v>
      </c>
      <c r="D158" s="3">
        <v>3.3779</v>
      </c>
      <c r="E158" s="3">
        <v>3.7107</v>
      </c>
      <c r="F158" s="3">
        <v>3.3516</v>
      </c>
      <c r="G158" s="3">
        <v>3.6821</v>
      </c>
    </row>
    <row r="159" spans="1:7">
      <c r="A159" s="2">
        <v>41274</v>
      </c>
      <c r="B159" s="3">
        <v>3.3246</v>
      </c>
      <c r="C159" s="3">
        <v>3.6511</v>
      </c>
      <c r="D159" s="3">
        <v>3.3775</v>
      </c>
      <c r="E159" s="3">
        <v>3.7092</v>
      </c>
      <c r="F159" s="3">
        <v>3.351</v>
      </c>
      <c r="G159" s="3">
        <v>3.6801</v>
      </c>
    </row>
    <row r="160" spans="1:7">
      <c r="A160" s="2">
        <v>41278</v>
      </c>
      <c r="B160" s="3">
        <v>3.4095</v>
      </c>
      <c r="C160" s="3">
        <v>3.7683</v>
      </c>
      <c r="D160" s="3">
        <v>3.4541</v>
      </c>
      <c r="E160" s="3">
        <v>3.8199</v>
      </c>
      <c r="F160" s="3">
        <v>3.4318</v>
      </c>
      <c r="G160" s="3">
        <v>3.7941</v>
      </c>
    </row>
    <row r="161" spans="1:7">
      <c r="A161" s="2">
        <v>41279</v>
      </c>
      <c r="B161" s="3">
        <v>3.3818</v>
      </c>
      <c r="C161" s="3">
        <v>3.7521</v>
      </c>
      <c r="D161" s="3">
        <v>3.4313</v>
      </c>
      <c r="E161" s="3">
        <v>3.8053</v>
      </c>
      <c r="F161" s="3">
        <v>3.4065</v>
      </c>
      <c r="G161" s="3">
        <v>3.7787</v>
      </c>
    </row>
    <row r="162" spans="1:7">
      <c r="A162" s="2">
        <v>41280</v>
      </c>
      <c r="B162" s="3">
        <v>3.3783</v>
      </c>
      <c r="C162" s="3">
        <v>3.7451</v>
      </c>
      <c r="D162" s="3">
        <v>3.4267</v>
      </c>
      <c r="E162" s="3">
        <v>3.7983</v>
      </c>
      <c r="F162" s="3">
        <v>3.4025</v>
      </c>
      <c r="G162" s="3">
        <v>3.7717</v>
      </c>
    </row>
    <row r="163" spans="1:7">
      <c r="A163" s="2">
        <v>41281</v>
      </c>
      <c r="B163" s="3">
        <v>3.3714</v>
      </c>
      <c r="C163" s="3">
        <v>3.7542</v>
      </c>
      <c r="D163" s="3">
        <v>3.4228</v>
      </c>
      <c r="E163" s="3">
        <v>3.8108</v>
      </c>
      <c r="F163" s="3">
        <v>3.3971</v>
      </c>
      <c r="G163" s="3">
        <v>3.7825</v>
      </c>
    </row>
    <row r="164" spans="1:7">
      <c r="A164" s="2">
        <v>41282</v>
      </c>
      <c r="B164" s="3">
        <v>3.3397</v>
      </c>
      <c r="C164" s="3">
        <v>3.7259</v>
      </c>
      <c r="D164" s="3">
        <v>3.3921</v>
      </c>
      <c r="E164" s="3">
        <v>3.7822</v>
      </c>
      <c r="F164" s="3">
        <v>3.3659</v>
      </c>
      <c r="G164" s="3">
        <v>3.754</v>
      </c>
    </row>
    <row r="165" spans="1:7">
      <c r="A165" s="2">
        <v>41283</v>
      </c>
      <c r="B165" s="3">
        <v>3.3285</v>
      </c>
      <c r="C165" s="3">
        <v>3.7227</v>
      </c>
      <c r="D165" s="3">
        <v>3.3744</v>
      </c>
      <c r="E165" s="3">
        <v>3.7741</v>
      </c>
      <c r="F165" s="3">
        <v>3.3514</v>
      </c>
      <c r="G165" s="3">
        <v>3.7484</v>
      </c>
    </row>
    <row r="166" spans="1:7">
      <c r="A166" s="2">
        <v>41284</v>
      </c>
      <c r="B166" s="3">
        <v>3.3464</v>
      </c>
      <c r="C166" s="3">
        <v>3.7573</v>
      </c>
      <c r="D166" s="3">
        <v>3.3909</v>
      </c>
      <c r="E166" s="3">
        <v>3.81</v>
      </c>
      <c r="F166" s="3">
        <v>3.3686</v>
      </c>
      <c r="G166" s="3">
        <v>3.7836</v>
      </c>
    </row>
    <row r="167" spans="1:7">
      <c r="A167" s="2">
        <v>41285</v>
      </c>
      <c r="B167" s="3">
        <v>3.3392</v>
      </c>
      <c r="C167" s="3">
        <v>3.7856</v>
      </c>
      <c r="D167" s="3">
        <v>3.3878</v>
      </c>
      <c r="E167" s="3">
        <v>3.8379</v>
      </c>
      <c r="F167" s="3">
        <v>3.3635</v>
      </c>
      <c r="G167" s="3">
        <v>3.8117</v>
      </c>
    </row>
    <row r="168" spans="1:7">
      <c r="A168" s="2">
        <v>41288</v>
      </c>
      <c r="B168" s="3">
        <v>3.3354</v>
      </c>
      <c r="C168" s="3">
        <v>3.7894</v>
      </c>
      <c r="D168" s="3">
        <v>3.3846</v>
      </c>
      <c r="E168" s="3">
        <v>3.8476</v>
      </c>
      <c r="F168" s="3">
        <v>3.36</v>
      </c>
      <c r="G168" s="3">
        <v>3.8185</v>
      </c>
    </row>
    <row r="169" spans="1:7">
      <c r="A169" s="2">
        <v>41289</v>
      </c>
      <c r="B169" s="3">
        <v>3.3238</v>
      </c>
      <c r="C169" s="3">
        <v>3.7958</v>
      </c>
      <c r="D169" s="3">
        <v>3.37</v>
      </c>
      <c r="E169" s="3">
        <v>3.85</v>
      </c>
      <c r="F169" s="3">
        <v>3.3469</v>
      </c>
      <c r="G169" s="3">
        <v>3.8229</v>
      </c>
    </row>
    <row r="170" spans="1:7">
      <c r="A170" s="2">
        <v>41290</v>
      </c>
      <c r="B170" s="3">
        <v>3.3079</v>
      </c>
      <c r="C170" s="3">
        <v>3.7719</v>
      </c>
      <c r="D170" s="3">
        <v>3.3574</v>
      </c>
      <c r="E170" s="3">
        <v>3.8223</v>
      </c>
      <c r="F170" s="3">
        <v>3.3327</v>
      </c>
      <c r="G170" s="3">
        <v>3.7971</v>
      </c>
    </row>
    <row r="171" spans="1:7">
      <c r="A171" s="2">
        <v>41291</v>
      </c>
      <c r="B171" s="3">
        <v>3.2718</v>
      </c>
      <c r="C171" s="3">
        <v>3.7137</v>
      </c>
      <c r="D171" s="3">
        <v>3.3213</v>
      </c>
      <c r="E171" s="3">
        <v>3.7667</v>
      </c>
      <c r="F171" s="3">
        <v>3.2965</v>
      </c>
      <c r="G171" s="3">
        <v>3.7402</v>
      </c>
    </row>
    <row r="172" spans="1:7">
      <c r="A172" s="2">
        <v>41292</v>
      </c>
      <c r="B172" s="3">
        <v>3.1468</v>
      </c>
      <c r="C172" s="3">
        <v>3.638</v>
      </c>
      <c r="D172" s="3">
        <v>3.1972</v>
      </c>
      <c r="E172" s="3">
        <v>3.6913</v>
      </c>
      <c r="F172" s="3">
        <v>3.172</v>
      </c>
      <c r="G172" s="3">
        <v>3.6647</v>
      </c>
    </row>
    <row r="173" spans="1:7">
      <c r="A173" s="2">
        <v>41295</v>
      </c>
      <c r="B173" s="3">
        <v>3.1179</v>
      </c>
      <c r="C173" s="3">
        <v>3.5746</v>
      </c>
      <c r="D173" s="3">
        <v>3.1705</v>
      </c>
      <c r="E173" s="3">
        <v>3.6306</v>
      </c>
      <c r="F173" s="3">
        <v>3.1442</v>
      </c>
      <c r="G173" s="3">
        <v>3.6026</v>
      </c>
    </row>
    <row r="174" spans="1:7">
      <c r="A174" s="2">
        <v>41296</v>
      </c>
      <c r="B174" s="3">
        <v>3.1571</v>
      </c>
      <c r="C174" s="3">
        <v>3.6093</v>
      </c>
      <c r="D174" s="3">
        <v>3.211</v>
      </c>
      <c r="E174" s="3">
        <v>3.662</v>
      </c>
      <c r="F174" s="3">
        <v>3.184</v>
      </c>
      <c r="G174" s="3">
        <v>3.6357</v>
      </c>
    </row>
    <row r="175" spans="1:7">
      <c r="A175" s="2">
        <v>41297</v>
      </c>
      <c r="B175" s="3">
        <v>3.1831</v>
      </c>
      <c r="C175" s="3">
        <v>3.6346</v>
      </c>
      <c r="D175" s="3">
        <v>3.2351</v>
      </c>
      <c r="E175" s="3">
        <v>3.6887</v>
      </c>
      <c r="F175" s="3">
        <v>3.2091</v>
      </c>
      <c r="G175" s="3">
        <v>3.6616</v>
      </c>
    </row>
    <row r="176" spans="1:7">
      <c r="A176" s="2">
        <v>41298</v>
      </c>
      <c r="B176" s="3">
        <v>3.1677</v>
      </c>
      <c r="C176" s="3">
        <v>3.6181</v>
      </c>
      <c r="D176" s="3">
        <v>3.2169</v>
      </c>
      <c r="E176" s="3">
        <v>3.6731</v>
      </c>
      <c r="F176" s="3">
        <v>3.1923</v>
      </c>
      <c r="G176" s="3">
        <v>3.6456</v>
      </c>
    </row>
    <row r="177" spans="1:7">
      <c r="A177" s="2">
        <v>41299</v>
      </c>
      <c r="B177" s="3">
        <v>3.1304</v>
      </c>
      <c r="C177" s="3">
        <v>3.6198</v>
      </c>
      <c r="D177" s="3">
        <v>3.18</v>
      </c>
      <c r="E177" s="3">
        <v>3.6717</v>
      </c>
      <c r="F177" s="3">
        <v>3.1552</v>
      </c>
      <c r="G177" s="3">
        <v>3.6457</v>
      </c>
    </row>
    <row r="178" spans="1:7">
      <c r="A178" s="2">
        <v>41302</v>
      </c>
      <c r="B178" s="3">
        <v>3.1588</v>
      </c>
      <c r="C178" s="3">
        <v>3.6915</v>
      </c>
      <c r="D178" s="3">
        <v>3.2058</v>
      </c>
      <c r="E178" s="3">
        <v>3.7417</v>
      </c>
      <c r="F178" s="3">
        <v>3.1823</v>
      </c>
      <c r="G178" s="3">
        <v>3.7166</v>
      </c>
    </row>
    <row r="179" spans="1:7">
      <c r="A179" s="2">
        <v>41303</v>
      </c>
      <c r="B179" s="3">
        <v>3.157</v>
      </c>
      <c r="C179" s="3">
        <v>3.6926</v>
      </c>
      <c r="D179" s="3">
        <v>3.2044</v>
      </c>
      <c r="E179" s="3">
        <v>3.7439</v>
      </c>
      <c r="F179" s="3">
        <v>3.1807</v>
      </c>
      <c r="G179" s="3">
        <v>3.7183</v>
      </c>
    </row>
    <row r="180" spans="1:7">
      <c r="A180" s="2">
        <v>41304</v>
      </c>
      <c r="B180" s="3">
        <v>3.1704</v>
      </c>
      <c r="C180" s="3">
        <v>3.7521</v>
      </c>
      <c r="D180" s="3">
        <v>3.2212</v>
      </c>
      <c r="E180" s="3">
        <v>3.8072</v>
      </c>
      <c r="F180" s="3">
        <v>3.1958</v>
      </c>
      <c r="G180" s="3">
        <v>3.7796</v>
      </c>
    </row>
    <row r="181" spans="1:7">
      <c r="A181" s="2">
        <v>41305</v>
      </c>
      <c r="B181" s="3">
        <v>3.1479</v>
      </c>
      <c r="C181" s="3">
        <v>3.7291</v>
      </c>
      <c r="D181" s="3">
        <v>3.1979</v>
      </c>
      <c r="E181" s="3">
        <v>3.7812</v>
      </c>
      <c r="F181" s="3">
        <v>3.1729</v>
      </c>
      <c r="G181" s="3">
        <v>3.7551</v>
      </c>
    </row>
    <row r="182" spans="1:7">
      <c r="A182" s="2">
        <v>41306</v>
      </c>
      <c r="B182" s="3">
        <v>3.1608</v>
      </c>
      <c r="C182" s="3">
        <v>3.7536</v>
      </c>
      <c r="D182" s="3">
        <v>3.2085</v>
      </c>
      <c r="E182" s="3">
        <v>3.8068</v>
      </c>
      <c r="F182" s="3">
        <v>3.1846</v>
      </c>
      <c r="G182" s="3">
        <v>3.7802</v>
      </c>
    </row>
    <row r="183" spans="1:7">
      <c r="A183" s="2">
        <v>41309</v>
      </c>
      <c r="B183" s="3">
        <v>3.1433</v>
      </c>
      <c r="C183" s="3">
        <v>3.7596</v>
      </c>
      <c r="D183" s="3">
        <v>3.1925</v>
      </c>
      <c r="E183" s="3">
        <v>3.8126</v>
      </c>
      <c r="F183" s="3">
        <v>3.1679</v>
      </c>
      <c r="G183" s="3">
        <v>3.7861</v>
      </c>
    </row>
    <row r="184" spans="1:7">
      <c r="A184" s="2">
        <v>41310</v>
      </c>
      <c r="B184" s="3">
        <v>3.14</v>
      </c>
      <c r="C184" s="3">
        <v>3.7539</v>
      </c>
      <c r="D184" s="3">
        <v>3.1879</v>
      </c>
      <c r="E184" s="3">
        <v>3.806</v>
      </c>
      <c r="F184" s="3">
        <v>3.1639</v>
      </c>
      <c r="G184" s="3">
        <v>3.7799</v>
      </c>
    </row>
    <row r="185" spans="1:7">
      <c r="A185" s="2">
        <v>41311</v>
      </c>
      <c r="B185" s="3">
        <v>3.141</v>
      </c>
      <c r="C185" s="3">
        <v>3.7542</v>
      </c>
      <c r="D185" s="3">
        <v>3.1862</v>
      </c>
      <c r="E185" s="3">
        <v>3.8032</v>
      </c>
      <c r="F185" s="3">
        <v>3.1636</v>
      </c>
      <c r="G185" s="3">
        <v>3.7787</v>
      </c>
    </row>
    <row r="186" spans="1:7">
      <c r="A186" s="2">
        <v>41312</v>
      </c>
      <c r="B186" s="3">
        <v>3.1414</v>
      </c>
      <c r="C186" s="3">
        <v>3.737</v>
      </c>
      <c r="D186" s="3">
        <v>3.1907</v>
      </c>
      <c r="E186" s="3">
        <v>3.7911</v>
      </c>
      <c r="F186" s="3">
        <v>3.1661</v>
      </c>
      <c r="G186" s="3">
        <v>3.764</v>
      </c>
    </row>
    <row r="187" spans="1:7">
      <c r="A187" s="2">
        <v>41313</v>
      </c>
      <c r="B187" s="3">
        <v>3.1056</v>
      </c>
      <c r="C187" s="3">
        <v>3.6944</v>
      </c>
      <c r="D187" s="3">
        <v>3.15</v>
      </c>
      <c r="E187" s="3">
        <v>3.7404</v>
      </c>
      <c r="F187" s="3">
        <v>3.1278</v>
      </c>
      <c r="G187" s="3">
        <v>3.7174</v>
      </c>
    </row>
    <row r="188" spans="1:7">
      <c r="A188" s="2">
        <v>41321</v>
      </c>
      <c r="B188" s="3">
        <v>3.0363</v>
      </c>
      <c r="C188" s="3">
        <v>3.6442</v>
      </c>
      <c r="D188" s="3">
        <v>3.0885</v>
      </c>
      <c r="E188" s="3">
        <v>3.7096</v>
      </c>
      <c r="F188" s="3">
        <v>3.0624</v>
      </c>
      <c r="G188" s="3">
        <v>3.6769</v>
      </c>
    </row>
    <row r="189" spans="1:7">
      <c r="A189" s="2">
        <v>41322</v>
      </c>
      <c r="B189" s="3">
        <v>3.0404</v>
      </c>
      <c r="C189" s="3">
        <v>3.6475</v>
      </c>
      <c r="D189" s="3">
        <v>3.0932</v>
      </c>
      <c r="E189" s="3">
        <v>3.7082</v>
      </c>
      <c r="F189" s="3">
        <v>3.0668</v>
      </c>
      <c r="G189" s="3">
        <v>3.6779</v>
      </c>
    </row>
    <row r="190" spans="1:7">
      <c r="A190" s="2">
        <v>41323</v>
      </c>
      <c r="B190" s="3">
        <v>3.1014</v>
      </c>
      <c r="C190" s="3">
        <v>3.7029</v>
      </c>
      <c r="D190" s="3">
        <v>3.1546</v>
      </c>
      <c r="E190" s="3">
        <v>3.7576</v>
      </c>
      <c r="F190" s="3">
        <v>3.128</v>
      </c>
      <c r="G190" s="3">
        <v>3.7303</v>
      </c>
    </row>
    <row r="191" spans="1:7">
      <c r="A191" s="2">
        <v>41324</v>
      </c>
      <c r="B191" s="3">
        <v>3.0795</v>
      </c>
      <c r="C191" s="3">
        <v>3.6677</v>
      </c>
      <c r="D191" s="3">
        <v>3.1298</v>
      </c>
      <c r="E191" s="3">
        <v>3.7204</v>
      </c>
      <c r="F191" s="3">
        <v>3.1046</v>
      </c>
      <c r="G191" s="3">
        <v>3.694</v>
      </c>
    </row>
    <row r="192" spans="1:7">
      <c r="A192" s="2">
        <v>41325</v>
      </c>
      <c r="B192" s="3">
        <v>3.1121</v>
      </c>
      <c r="C192" s="3">
        <v>3.69</v>
      </c>
      <c r="D192" s="3">
        <v>3.1592</v>
      </c>
      <c r="E192" s="3">
        <v>3.7396</v>
      </c>
      <c r="F192" s="3">
        <v>3.1356</v>
      </c>
      <c r="G192" s="3">
        <v>3.7148</v>
      </c>
    </row>
    <row r="193" spans="1:7">
      <c r="A193" s="2">
        <v>41326</v>
      </c>
      <c r="B193" s="3">
        <v>3.1333</v>
      </c>
      <c r="C193" s="3">
        <v>3.6629</v>
      </c>
      <c r="D193" s="3">
        <v>3.18</v>
      </c>
      <c r="E193" s="3">
        <v>3.715</v>
      </c>
      <c r="F193" s="3">
        <v>3.1567</v>
      </c>
      <c r="G193" s="3">
        <v>3.689</v>
      </c>
    </row>
    <row r="194" spans="1:7">
      <c r="A194" s="2">
        <v>41327</v>
      </c>
      <c r="B194" s="3">
        <v>3.1665</v>
      </c>
      <c r="C194" s="3">
        <v>3.6732</v>
      </c>
      <c r="D194" s="3">
        <v>3.2167</v>
      </c>
      <c r="E194" s="3">
        <v>3.7282</v>
      </c>
      <c r="F194" s="3">
        <v>3.1916</v>
      </c>
      <c r="G194" s="3">
        <v>3.7007</v>
      </c>
    </row>
    <row r="195" spans="1:7">
      <c r="A195" s="2">
        <v>41330</v>
      </c>
      <c r="B195" s="3">
        <v>3.2231</v>
      </c>
      <c r="C195" s="3">
        <v>3.6681</v>
      </c>
      <c r="D195" s="3">
        <v>3.2715</v>
      </c>
      <c r="E195" s="3">
        <v>3.7223</v>
      </c>
      <c r="F195" s="3">
        <v>3.2473</v>
      </c>
      <c r="G195" s="3">
        <v>3.6952</v>
      </c>
    </row>
    <row r="196" spans="1:7">
      <c r="A196" s="2">
        <v>41331</v>
      </c>
      <c r="B196" s="3">
        <v>3.2257</v>
      </c>
      <c r="C196" s="3">
        <v>3.6381</v>
      </c>
      <c r="D196" s="3">
        <v>3.2767</v>
      </c>
      <c r="E196" s="3">
        <v>3.6895</v>
      </c>
      <c r="F196" s="3">
        <v>3.2512</v>
      </c>
      <c r="G196" s="3">
        <v>3.6638</v>
      </c>
    </row>
    <row r="197" spans="1:7">
      <c r="A197" s="2">
        <v>41332</v>
      </c>
      <c r="B197" s="3">
        <v>3.182</v>
      </c>
      <c r="C197" s="3">
        <v>3.6297</v>
      </c>
      <c r="D197" s="3">
        <v>3.2353</v>
      </c>
      <c r="E197" s="3">
        <v>3.6827</v>
      </c>
      <c r="F197" s="3">
        <v>3.2087</v>
      </c>
      <c r="G197" s="3">
        <v>3.6562</v>
      </c>
    </row>
    <row r="198" spans="1:7">
      <c r="A198" s="2">
        <v>41333</v>
      </c>
      <c r="B198" s="3">
        <v>3.2425</v>
      </c>
      <c r="C198" s="3">
        <v>3.6721</v>
      </c>
      <c r="D198" s="3">
        <v>3.2918</v>
      </c>
      <c r="E198" s="3">
        <v>3.7245</v>
      </c>
      <c r="F198" s="3">
        <v>3.2671</v>
      </c>
      <c r="G198" s="3">
        <v>3.6983</v>
      </c>
    </row>
    <row r="199" spans="1:7">
      <c r="A199" s="2">
        <v>41334</v>
      </c>
      <c r="B199" s="3">
        <v>3.245</v>
      </c>
      <c r="C199" s="3">
        <v>3.66</v>
      </c>
      <c r="D199" s="3">
        <v>3.294</v>
      </c>
      <c r="E199" s="3">
        <v>3.7124</v>
      </c>
      <c r="F199" s="3">
        <v>3.2695</v>
      </c>
      <c r="G199" s="3">
        <v>3.6862</v>
      </c>
    </row>
    <row r="200" spans="1:7">
      <c r="A200" s="2">
        <v>41337</v>
      </c>
      <c r="B200" s="3">
        <v>3.2261</v>
      </c>
      <c r="C200" s="3">
        <v>3.6013</v>
      </c>
      <c r="D200" s="3">
        <v>3.2764</v>
      </c>
      <c r="E200" s="3">
        <v>3.6561</v>
      </c>
      <c r="F200" s="3">
        <v>3.2513</v>
      </c>
      <c r="G200" s="3">
        <v>3.6287</v>
      </c>
    </row>
    <row r="201" spans="1:7">
      <c r="A201" s="2">
        <v>41338</v>
      </c>
      <c r="B201" s="3">
        <v>3.2292</v>
      </c>
      <c r="C201" s="3">
        <v>3.6258</v>
      </c>
      <c r="D201" s="3">
        <v>3.2803</v>
      </c>
      <c r="E201" s="3">
        <v>3.6765</v>
      </c>
      <c r="F201" s="3">
        <v>3.2547</v>
      </c>
      <c r="G201" s="3">
        <v>3.6512</v>
      </c>
    </row>
    <row r="202" spans="1:7">
      <c r="A202" s="2">
        <v>41339</v>
      </c>
      <c r="B202" s="3">
        <v>3.2253</v>
      </c>
      <c r="C202" s="3">
        <v>3.6444</v>
      </c>
      <c r="D202" s="3">
        <v>3.2736</v>
      </c>
      <c r="E202" s="3">
        <v>3.6937</v>
      </c>
      <c r="F202" s="3">
        <v>3.2495</v>
      </c>
      <c r="G202" s="3">
        <v>3.669</v>
      </c>
    </row>
    <row r="203" spans="1:7">
      <c r="A203" s="2">
        <v>41340</v>
      </c>
      <c r="B203" s="3">
        <v>3.1976</v>
      </c>
      <c r="C203" s="3">
        <v>3.6446</v>
      </c>
      <c r="D203" s="3">
        <v>3.2498</v>
      </c>
      <c r="E203" s="3">
        <v>3.6996</v>
      </c>
      <c r="F203" s="3">
        <v>3.2237</v>
      </c>
      <c r="G203" s="3">
        <v>3.6721</v>
      </c>
    </row>
    <row r="204" spans="1:7">
      <c r="A204" s="2">
        <v>41341</v>
      </c>
      <c r="B204" s="3">
        <v>3.1966</v>
      </c>
      <c r="C204" s="3">
        <v>3.6577</v>
      </c>
      <c r="D204" s="3">
        <v>3.2488</v>
      </c>
      <c r="E204" s="3">
        <v>3.7118</v>
      </c>
      <c r="F204" s="3">
        <v>3.2227</v>
      </c>
      <c r="G204" s="3">
        <v>3.6847</v>
      </c>
    </row>
    <row r="205" spans="1:7">
      <c r="A205" s="2">
        <v>41344</v>
      </c>
      <c r="B205" s="3">
        <v>3.2171</v>
      </c>
      <c r="C205" s="3">
        <v>3.6654</v>
      </c>
      <c r="D205" s="3">
        <v>3.2702</v>
      </c>
      <c r="E205" s="3">
        <v>3.7218</v>
      </c>
      <c r="F205" s="3">
        <v>3.2437</v>
      </c>
      <c r="G205" s="3">
        <v>3.6936</v>
      </c>
    </row>
    <row r="206" spans="1:7">
      <c r="A206" s="2">
        <v>41345</v>
      </c>
      <c r="B206" s="3">
        <v>3.2249</v>
      </c>
      <c r="C206" s="3">
        <v>3.6559</v>
      </c>
      <c r="D206" s="3">
        <v>3.2767</v>
      </c>
      <c r="E206" s="3">
        <v>3.7104</v>
      </c>
      <c r="F206" s="3">
        <v>3.2508</v>
      </c>
      <c r="G206" s="3">
        <v>3.6832</v>
      </c>
    </row>
    <row r="207" spans="1:7">
      <c r="A207" s="2">
        <v>41346</v>
      </c>
      <c r="B207" s="3">
        <v>3.2388</v>
      </c>
      <c r="C207" s="3">
        <v>3.6489</v>
      </c>
      <c r="D207" s="3">
        <v>3.2891</v>
      </c>
      <c r="E207" s="3">
        <v>3.7044</v>
      </c>
      <c r="F207" s="3">
        <v>3.2639</v>
      </c>
      <c r="G207" s="3">
        <v>3.6767</v>
      </c>
    </row>
    <row r="208" spans="1:7">
      <c r="A208" s="2">
        <v>41347</v>
      </c>
      <c r="B208" s="3">
        <v>3.2469</v>
      </c>
      <c r="C208" s="3">
        <v>3.6553</v>
      </c>
      <c r="D208" s="3">
        <v>3.2931</v>
      </c>
      <c r="E208" s="3">
        <v>3.7056</v>
      </c>
      <c r="F208" s="3">
        <v>3.27</v>
      </c>
      <c r="G208" s="3">
        <v>3.6805</v>
      </c>
    </row>
    <row r="209" spans="1:7">
      <c r="A209" s="2">
        <v>41348</v>
      </c>
      <c r="B209" s="3">
        <v>3.2497</v>
      </c>
      <c r="C209" s="3">
        <v>3.67</v>
      </c>
      <c r="D209" s="3">
        <v>3.2929</v>
      </c>
      <c r="E209" s="3">
        <v>3.717</v>
      </c>
      <c r="F209" s="3">
        <v>3.2713</v>
      </c>
      <c r="G209" s="3">
        <v>3.6935</v>
      </c>
    </row>
    <row r="210" spans="1:7">
      <c r="A210" s="2">
        <v>41351</v>
      </c>
      <c r="B210" s="3">
        <v>3.2432</v>
      </c>
      <c r="C210" s="3">
        <v>3.6436</v>
      </c>
      <c r="D210" s="3">
        <v>3.2882</v>
      </c>
      <c r="E210" s="3">
        <v>3.6939</v>
      </c>
      <c r="F210" s="3">
        <v>3.2657</v>
      </c>
      <c r="G210" s="3">
        <v>3.6688</v>
      </c>
    </row>
    <row r="211" spans="1:7">
      <c r="A211" s="2">
        <v>41352</v>
      </c>
      <c r="B211" s="3">
        <v>3.241</v>
      </c>
      <c r="C211" s="3">
        <v>3.6478</v>
      </c>
      <c r="D211" s="3">
        <v>3.291</v>
      </c>
      <c r="E211" s="3">
        <v>3.7004</v>
      </c>
      <c r="F211" s="3">
        <v>3.266</v>
      </c>
      <c r="G211" s="3">
        <v>3.6741</v>
      </c>
    </row>
    <row r="212" spans="1:7">
      <c r="A212" s="2">
        <v>41353</v>
      </c>
      <c r="B212" s="3">
        <v>3.2479</v>
      </c>
      <c r="C212" s="3">
        <v>3.6533</v>
      </c>
      <c r="D212" s="3">
        <v>3.3005</v>
      </c>
      <c r="E212" s="3">
        <v>3.7104</v>
      </c>
      <c r="F212" s="3">
        <v>3.2742</v>
      </c>
      <c r="G212" s="3">
        <v>3.6818</v>
      </c>
    </row>
    <row r="213" spans="1:7">
      <c r="A213" s="2">
        <v>41354</v>
      </c>
      <c r="B213" s="3">
        <v>3.2494</v>
      </c>
      <c r="C213" s="3">
        <v>3.6646</v>
      </c>
      <c r="D213" s="3">
        <v>3.3025</v>
      </c>
      <c r="E213" s="3">
        <v>3.7237</v>
      </c>
      <c r="F213" s="3">
        <v>3.276</v>
      </c>
      <c r="G213" s="3">
        <v>3.6942</v>
      </c>
    </row>
    <row r="214" spans="1:7">
      <c r="A214" s="2">
        <v>41355</v>
      </c>
      <c r="B214" s="3">
        <v>3.244</v>
      </c>
      <c r="C214" s="3">
        <v>3.6559</v>
      </c>
      <c r="D214" s="3">
        <v>3.2962</v>
      </c>
      <c r="E214" s="3">
        <v>3.7136</v>
      </c>
      <c r="F214" s="3">
        <v>3.2701</v>
      </c>
      <c r="G214" s="3">
        <v>3.6847</v>
      </c>
    </row>
    <row r="215" spans="1:7">
      <c r="A215" s="2">
        <v>41358</v>
      </c>
      <c r="B215" s="3">
        <v>3.2476</v>
      </c>
      <c r="C215" s="3">
        <v>3.6564</v>
      </c>
      <c r="D215" s="3">
        <v>3.2988</v>
      </c>
      <c r="E215" s="3">
        <v>3.7119</v>
      </c>
      <c r="F215" s="3">
        <v>3.2732</v>
      </c>
      <c r="G215" s="3">
        <v>3.6842</v>
      </c>
    </row>
    <row r="216" spans="1:7">
      <c r="A216" s="2">
        <v>41359</v>
      </c>
      <c r="B216" s="3">
        <v>3.2484</v>
      </c>
      <c r="C216" s="3">
        <v>3.6554</v>
      </c>
      <c r="D216" s="3">
        <v>3.3026</v>
      </c>
      <c r="E216" s="3">
        <v>3.7149</v>
      </c>
      <c r="F216" s="3">
        <v>3.2755</v>
      </c>
      <c r="G216" s="3">
        <v>3.6852</v>
      </c>
    </row>
    <row r="217" spans="1:7">
      <c r="A217" s="2">
        <v>41360</v>
      </c>
      <c r="B217" s="3">
        <v>3.2507</v>
      </c>
      <c r="C217" s="3">
        <v>3.6629</v>
      </c>
      <c r="D217" s="3">
        <v>3.3028</v>
      </c>
      <c r="E217" s="3">
        <v>3.7195</v>
      </c>
      <c r="F217" s="3">
        <v>3.2768</v>
      </c>
      <c r="G217" s="3">
        <v>3.6912</v>
      </c>
    </row>
    <row r="218" spans="1:7">
      <c r="A218" s="2">
        <v>41361</v>
      </c>
      <c r="B218" s="3">
        <v>3.2504</v>
      </c>
      <c r="C218" s="3">
        <v>3.6507</v>
      </c>
      <c r="D218" s="3">
        <v>3.3011</v>
      </c>
      <c r="E218" s="3">
        <v>3.7044</v>
      </c>
      <c r="F218" s="3">
        <v>3.2757</v>
      </c>
      <c r="G218" s="3">
        <v>3.6776</v>
      </c>
    </row>
    <row r="219" spans="1:7">
      <c r="A219" s="2">
        <v>41362</v>
      </c>
      <c r="B219" s="3">
        <v>3.2517</v>
      </c>
      <c r="C219" s="3">
        <v>3.6474</v>
      </c>
      <c r="D219" s="3">
        <v>3.3035</v>
      </c>
      <c r="E219" s="3">
        <v>3.705</v>
      </c>
      <c r="F219" s="3">
        <v>3.2776</v>
      </c>
      <c r="G219" s="3">
        <v>3.6762</v>
      </c>
    </row>
    <row r="220" spans="1:7">
      <c r="A220" s="2">
        <v>41365</v>
      </c>
      <c r="B220" s="3">
        <v>3.2573</v>
      </c>
      <c r="C220" s="3">
        <v>3.6353</v>
      </c>
      <c r="D220" s="3">
        <v>3.3048</v>
      </c>
      <c r="E220" s="3">
        <v>3.6876</v>
      </c>
      <c r="F220" s="3">
        <v>3.2811</v>
      </c>
      <c r="G220" s="3">
        <v>3.6614</v>
      </c>
    </row>
    <row r="221" spans="1:7">
      <c r="A221" s="2">
        <v>41366</v>
      </c>
      <c r="B221" s="3">
        <v>3.2438</v>
      </c>
      <c r="C221" s="3">
        <v>3.6104</v>
      </c>
      <c r="D221" s="3">
        <v>3.2925</v>
      </c>
      <c r="E221" s="3">
        <v>3.6596</v>
      </c>
      <c r="F221" s="3">
        <v>3.2681</v>
      </c>
      <c r="G221" s="3">
        <v>3.635</v>
      </c>
    </row>
    <row r="222" spans="1:7">
      <c r="A222" s="2">
        <v>41367</v>
      </c>
      <c r="B222" s="3">
        <v>3.2453</v>
      </c>
      <c r="C222" s="3">
        <v>3.6119</v>
      </c>
      <c r="D222" s="3">
        <v>3.2956</v>
      </c>
      <c r="E222" s="3">
        <v>3.6611</v>
      </c>
      <c r="F222" s="3">
        <v>3.2704</v>
      </c>
      <c r="G222" s="3">
        <v>3.6365</v>
      </c>
    </row>
    <row r="223" spans="1:7">
      <c r="A223" s="2">
        <v>41371</v>
      </c>
      <c r="B223" s="3">
        <v>3.2393</v>
      </c>
      <c r="C223" s="3">
        <v>3.5568</v>
      </c>
      <c r="D223" s="3">
        <v>3.2869</v>
      </c>
      <c r="E223" s="3">
        <v>3.6085</v>
      </c>
      <c r="F223" s="3">
        <v>3.2631</v>
      </c>
      <c r="G223" s="3">
        <v>3.5826</v>
      </c>
    </row>
    <row r="224" spans="1:7">
      <c r="A224" s="2">
        <v>41372</v>
      </c>
      <c r="B224" s="3">
        <v>3.2421</v>
      </c>
      <c r="C224" s="3">
        <v>3.5613</v>
      </c>
      <c r="D224" s="3">
        <v>3.2967</v>
      </c>
      <c r="E224" s="3">
        <v>3.6191</v>
      </c>
      <c r="F224" s="3">
        <v>3.2694</v>
      </c>
      <c r="G224" s="3">
        <v>3.5902</v>
      </c>
    </row>
    <row r="225" spans="1:7">
      <c r="A225" s="2">
        <v>41373</v>
      </c>
      <c r="B225" s="3">
        <v>3.245</v>
      </c>
      <c r="C225" s="3">
        <v>3.5711</v>
      </c>
      <c r="D225" s="3">
        <v>3.295</v>
      </c>
      <c r="E225" s="3">
        <v>3.6233</v>
      </c>
      <c r="F225" s="3">
        <v>3.27</v>
      </c>
      <c r="G225" s="3">
        <v>3.5972</v>
      </c>
    </row>
    <row r="226" spans="1:7">
      <c r="A226" s="2">
        <v>41374</v>
      </c>
      <c r="B226" s="3">
        <v>3.2479</v>
      </c>
      <c r="C226" s="3">
        <v>3.5692</v>
      </c>
      <c r="D226" s="3">
        <v>3.2963</v>
      </c>
      <c r="E226" s="3">
        <v>3.6192</v>
      </c>
      <c r="F226" s="3">
        <v>3.2721</v>
      </c>
      <c r="G226" s="3">
        <v>3.5942</v>
      </c>
    </row>
    <row r="227" spans="1:7">
      <c r="A227" s="2">
        <v>41375</v>
      </c>
      <c r="B227" s="3">
        <v>3.2408</v>
      </c>
      <c r="C227" s="3">
        <v>3.5732</v>
      </c>
      <c r="D227" s="3">
        <v>3.2928</v>
      </c>
      <c r="E227" s="3">
        <v>3.6245</v>
      </c>
      <c r="F227" s="3">
        <v>3.2668</v>
      </c>
      <c r="G227" s="3">
        <v>3.5988</v>
      </c>
    </row>
    <row r="228" spans="1:7">
      <c r="A228" s="2">
        <v>41376</v>
      </c>
      <c r="B228" s="3">
        <v>3.2344</v>
      </c>
      <c r="C228" s="3">
        <v>3.5692</v>
      </c>
      <c r="D228" s="3">
        <v>3.2876</v>
      </c>
      <c r="E228" s="3">
        <v>3.6218</v>
      </c>
      <c r="F228" s="3">
        <v>3.261</v>
      </c>
      <c r="G228" s="3">
        <v>3.5955</v>
      </c>
    </row>
    <row r="229" spans="1:7">
      <c r="A229" s="2">
        <v>41379</v>
      </c>
      <c r="B229" s="3">
        <v>3.2204</v>
      </c>
      <c r="C229" s="3">
        <v>3.5431</v>
      </c>
      <c r="D229" s="3">
        <v>3.2757</v>
      </c>
      <c r="E229" s="3">
        <v>3.5981</v>
      </c>
      <c r="F229" s="3">
        <v>3.2481</v>
      </c>
      <c r="G229" s="3">
        <v>3.5706</v>
      </c>
    </row>
    <row r="230" spans="1:7">
      <c r="A230" s="2">
        <v>41380</v>
      </c>
      <c r="B230" s="3">
        <v>3.205</v>
      </c>
      <c r="C230" s="3">
        <v>3.4974</v>
      </c>
      <c r="D230" s="3">
        <v>3.2559</v>
      </c>
      <c r="E230" s="3">
        <v>3.551</v>
      </c>
      <c r="F230" s="3">
        <v>3.2305</v>
      </c>
      <c r="G230" s="3">
        <v>3.5242</v>
      </c>
    </row>
    <row r="231" spans="1:7">
      <c r="A231" s="2">
        <v>41381</v>
      </c>
      <c r="B231" s="3">
        <v>3.2075</v>
      </c>
      <c r="C231" s="3">
        <v>3.509</v>
      </c>
      <c r="D231" s="3">
        <v>3.2585</v>
      </c>
      <c r="E231" s="3">
        <v>3.5605</v>
      </c>
      <c r="F231" s="3">
        <v>3.233</v>
      </c>
      <c r="G231" s="3">
        <v>3.5348</v>
      </c>
    </row>
    <row r="232" spans="1:7">
      <c r="A232" s="2">
        <v>41382</v>
      </c>
      <c r="B232" s="3">
        <v>3.2033</v>
      </c>
      <c r="C232" s="3">
        <v>3.4971</v>
      </c>
      <c r="D232" s="3">
        <v>3.2507</v>
      </c>
      <c r="E232" s="3">
        <v>3.5463</v>
      </c>
      <c r="F232" s="3">
        <v>3.227</v>
      </c>
      <c r="G232" s="3">
        <v>3.5217</v>
      </c>
    </row>
    <row r="233" spans="1:7">
      <c r="A233" s="2">
        <v>41383</v>
      </c>
      <c r="B233" s="3">
        <v>3.2296</v>
      </c>
      <c r="C233" s="3">
        <v>3.5296</v>
      </c>
      <c r="D233" s="3">
        <v>3.2808</v>
      </c>
      <c r="E233" s="3">
        <v>3.58</v>
      </c>
      <c r="F233" s="3">
        <v>3.2552</v>
      </c>
      <c r="G233" s="3">
        <v>3.5548</v>
      </c>
    </row>
    <row r="234" spans="1:7">
      <c r="A234" s="2">
        <v>41386</v>
      </c>
      <c r="B234" s="3">
        <v>3.2495</v>
      </c>
      <c r="C234" s="3">
        <v>3.5511</v>
      </c>
      <c r="D234" s="3">
        <v>3.3023</v>
      </c>
      <c r="E234" s="3">
        <v>3.6073</v>
      </c>
      <c r="F234" s="3">
        <v>3.2759</v>
      </c>
      <c r="G234" s="3">
        <v>3.5792</v>
      </c>
    </row>
    <row r="235" spans="1:7">
      <c r="A235" s="2">
        <v>41387</v>
      </c>
      <c r="B235" s="3">
        <v>3.2541</v>
      </c>
      <c r="C235" s="3">
        <v>3.5115</v>
      </c>
      <c r="D235" s="3">
        <v>3.3059</v>
      </c>
      <c r="E235" s="3">
        <v>3.568</v>
      </c>
      <c r="F235" s="3">
        <v>3.28</v>
      </c>
      <c r="G235" s="3">
        <v>3.5398</v>
      </c>
    </row>
    <row r="236" spans="1:7">
      <c r="A236" s="2">
        <v>41388</v>
      </c>
      <c r="B236" s="3">
        <v>3.2596</v>
      </c>
      <c r="C236" s="3">
        <v>3.5136</v>
      </c>
      <c r="D236" s="3">
        <v>3.3114</v>
      </c>
      <c r="E236" s="3">
        <v>3.5682</v>
      </c>
      <c r="F236" s="3">
        <v>3.2855</v>
      </c>
      <c r="G236" s="3">
        <v>3.5409</v>
      </c>
    </row>
    <row r="237" spans="1:7">
      <c r="A237" s="2">
        <v>41389</v>
      </c>
      <c r="B237" s="3">
        <v>3.2797</v>
      </c>
      <c r="C237" s="3">
        <v>3.5114</v>
      </c>
      <c r="D237" s="3">
        <v>3.3308</v>
      </c>
      <c r="E237" s="3">
        <v>3.5627</v>
      </c>
      <c r="F237" s="3">
        <v>3.3053</v>
      </c>
      <c r="G237" s="3">
        <v>3.5371</v>
      </c>
    </row>
    <row r="238" spans="1:7">
      <c r="A238" s="2">
        <v>41390</v>
      </c>
      <c r="B238" s="3">
        <v>3.2335</v>
      </c>
      <c r="C238" s="3">
        <v>3.4927</v>
      </c>
      <c r="D238" s="3">
        <v>3.2877</v>
      </c>
      <c r="E238" s="3">
        <v>3.5446</v>
      </c>
      <c r="F238" s="3">
        <v>3.2606</v>
      </c>
      <c r="G238" s="3">
        <v>3.5187</v>
      </c>
    </row>
    <row r="239" spans="1:7">
      <c r="A239" s="2">
        <v>41391</v>
      </c>
      <c r="B239" s="3">
        <v>3.2339</v>
      </c>
      <c r="C239" s="3">
        <v>3.4936</v>
      </c>
      <c r="D239" s="3">
        <v>3.2875</v>
      </c>
      <c r="E239" s="3">
        <v>3.5477</v>
      </c>
      <c r="F239" s="3">
        <v>3.2607</v>
      </c>
      <c r="G239" s="3">
        <v>3.5206</v>
      </c>
    </row>
    <row r="240" spans="1:7">
      <c r="A240" s="2">
        <v>41392</v>
      </c>
      <c r="B240" s="3">
        <v>3.2265</v>
      </c>
      <c r="C240" s="3">
        <v>3.4923</v>
      </c>
      <c r="D240" s="3">
        <v>3.2788</v>
      </c>
      <c r="E240" s="3">
        <v>3.5475</v>
      </c>
      <c r="F240" s="3">
        <v>3.2527</v>
      </c>
      <c r="G240" s="3">
        <v>3.5199</v>
      </c>
    </row>
    <row r="241" spans="1:7">
      <c r="A241" s="2">
        <v>41396</v>
      </c>
      <c r="B241" s="3">
        <v>3.174</v>
      </c>
      <c r="C241" s="3">
        <v>3.4097</v>
      </c>
      <c r="D241" s="3">
        <v>3.2218</v>
      </c>
      <c r="E241" s="3">
        <v>3.4617</v>
      </c>
      <c r="F241" s="3">
        <v>3.1979</v>
      </c>
      <c r="G241" s="3">
        <v>3.4357</v>
      </c>
    </row>
    <row r="242" spans="1:7">
      <c r="A242" s="2">
        <v>41397</v>
      </c>
      <c r="B242" s="3">
        <v>3.1892</v>
      </c>
      <c r="C242" s="3">
        <v>3.4142</v>
      </c>
      <c r="D242" s="3">
        <v>3.2377</v>
      </c>
      <c r="E242" s="3">
        <v>3.4657</v>
      </c>
      <c r="F242" s="3">
        <v>3.2134</v>
      </c>
      <c r="G242" s="3">
        <v>3.4399</v>
      </c>
    </row>
    <row r="243" spans="1:7">
      <c r="A243" s="2">
        <v>41400</v>
      </c>
      <c r="B243" s="3">
        <v>3.2362</v>
      </c>
      <c r="C243" s="3">
        <v>3.4446</v>
      </c>
      <c r="D243" s="3">
        <v>3.285</v>
      </c>
      <c r="E243" s="3">
        <v>3.4971</v>
      </c>
      <c r="F243" s="3">
        <v>3.2606</v>
      </c>
      <c r="G243" s="3">
        <v>3.4709</v>
      </c>
    </row>
    <row r="244" spans="1:7">
      <c r="A244" s="2">
        <v>41401</v>
      </c>
      <c r="B244" s="3">
        <v>3.2168</v>
      </c>
      <c r="C244" s="3">
        <v>3.4112</v>
      </c>
      <c r="D244" s="3">
        <v>3.2671</v>
      </c>
      <c r="E244" s="3">
        <v>3.4672</v>
      </c>
      <c r="F244" s="3">
        <v>3.242</v>
      </c>
      <c r="G244" s="3">
        <v>3.4392</v>
      </c>
    </row>
    <row r="245" spans="1:7">
      <c r="A245" s="2">
        <v>41402</v>
      </c>
      <c r="B245" s="3">
        <v>3.241</v>
      </c>
      <c r="C245" s="3">
        <v>3.4328</v>
      </c>
      <c r="D245" s="3">
        <v>3.2936</v>
      </c>
      <c r="E245" s="3">
        <v>3.4881</v>
      </c>
      <c r="F245" s="3">
        <v>3.2673</v>
      </c>
      <c r="G245" s="3">
        <v>3.4605</v>
      </c>
    </row>
    <row r="246" spans="1:7">
      <c r="A246" s="2">
        <v>41403</v>
      </c>
      <c r="B246" s="3">
        <v>3.2453</v>
      </c>
      <c r="C246" s="3">
        <v>3.4317</v>
      </c>
      <c r="D246" s="3">
        <v>3.2939</v>
      </c>
      <c r="E246" s="3">
        <v>3.4814</v>
      </c>
      <c r="F246" s="3">
        <v>3.2696</v>
      </c>
      <c r="G246" s="3">
        <v>3.4565</v>
      </c>
    </row>
    <row r="247" spans="1:7">
      <c r="A247" s="2">
        <v>41404</v>
      </c>
      <c r="B247" s="3">
        <v>3.2467</v>
      </c>
      <c r="C247" s="3">
        <v>3.4415</v>
      </c>
      <c r="D247" s="3">
        <v>3.2956</v>
      </c>
      <c r="E247" s="3">
        <v>3.4913</v>
      </c>
      <c r="F247" s="3">
        <v>3.2711</v>
      </c>
      <c r="G247" s="3">
        <v>3.4664</v>
      </c>
    </row>
    <row r="248" spans="1:7">
      <c r="A248" s="2">
        <v>41407</v>
      </c>
      <c r="B248" s="3">
        <v>3.2391</v>
      </c>
      <c r="C248" s="3">
        <v>3.473</v>
      </c>
      <c r="D248" s="3">
        <v>3.2911</v>
      </c>
      <c r="E248" s="3">
        <v>3.5264</v>
      </c>
      <c r="F248" s="3">
        <v>3.2651</v>
      </c>
      <c r="G248" s="3">
        <v>3.4997</v>
      </c>
    </row>
    <row r="249" spans="1:7">
      <c r="A249" s="2">
        <v>41408</v>
      </c>
      <c r="B249" s="3">
        <v>3.2273</v>
      </c>
      <c r="C249" s="3">
        <v>3.47</v>
      </c>
      <c r="D249" s="3">
        <v>3.2799</v>
      </c>
      <c r="E249" s="3">
        <v>3.5235</v>
      </c>
      <c r="F249" s="3">
        <v>3.2536</v>
      </c>
      <c r="G249" s="3">
        <v>3.4967</v>
      </c>
    </row>
    <row r="250" spans="1:7">
      <c r="A250" s="2">
        <v>41409</v>
      </c>
      <c r="B250" s="3">
        <v>3.2274</v>
      </c>
      <c r="C250" s="3">
        <v>3.4704</v>
      </c>
      <c r="D250" s="3">
        <v>3.2762</v>
      </c>
      <c r="E250" s="3">
        <v>3.5221</v>
      </c>
      <c r="F250" s="3">
        <v>3.2518</v>
      </c>
      <c r="G250" s="3">
        <v>3.4962</v>
      </c>
    </row>
    <row r="251" spans="1:7">
      <c r="A251" s="2">
        <v>41410</v>
      </c>
      <c r="B251" s="3">
        <v>3.2386</v>
      </c>
      <c r="C251" s="3">
        <v>3.4736</v>
      </c>
      <c r="D251" s="3">
        <v>3.287</v>
      </c>
      <c r="E251" s="3">
        <v>3.5241</v>
      </c>
      <c r="F251" s="3">
        <v>3.2628</v>
      </c>
      <c r="G251" s="3">
        <v>3.4988</v>
      </c>
    </row>
    <row r="252" spans="1:7">
      <c r="A252" s="2">
        <v>41411</v>
      </c>
      <c r="B252" s="3">
        <v>3.2513</v>
      </c>
      <c r="C252" s="3">
        <v>3.4776</v>
      </c>
      <c r="D252" s="3">
        <v>3.2976</v>
      </c>
      <c r="E252" s="3">
        <v>3.5279</v>
      </c>
      <c r="F252" s="3">
        <v>3.2744</v>
      </c>
      <c r="G252" s="3">
        <v>3.5028</v>
      </c>
    </row>
    <row r="253" spans="1:7">
      <c r="A253" s="2">
        <v>41414</v>
      </c>
      <c r="B253" s="3">
        <v>3.2561</v>
      </c>
      <c r="C253" s="3">
        <v>3.4829</v>
      </c>
      <c r="D253" s="3">
        <v>3.3041</v>
      </c>
      <c r="E253" s="3">
        <v>3.533</v>
      </c>
      <c r="F253" s="3">
        <v>3.2801</v>
      </c>
      <c r="G253" s="3">
        <v>3.5079</v>
      </c>
    </row>
    <row r="254" spans="1:7">
      <c r="A254" s="2">
        <v>41415</v>
      </c>
      <c r="B254" s="3">
        <v>3.2538</v>
      </c>
      <c r="C254" s="3">
        <v>3.4923</v>
      </c>
      <c r="D254" s="3">
        <v>3.3</v>
      </c>
      <c r="E254" s="3">
        <v>3.5412</v>
      </c>
      <c r="F254" s="3">
        <v>3.2769</v>
      </c>
      <c r="G254" s="3">
        <v>3.5167</v>
      </c>
    </row>
    <row r="255" spans="1:7">
      <c r="A255" s="2">
        <v>41416</v>
      </c>
      <c r="B255" s="3">
        <v>3.2521</v>
      </c>
      <c r="C255" s="3">
        <v>3.4854</v>
      </c>
      <c r="D255" s="3">
        <v>3.3009</v>
      </c>
      <c r="E255" s="3">
        <v>3.5375</v>
      </c>
      <c r="F255" s="3">
        <v>3.2765</v>
      </c>
      <c r="G255" s="3">
        <v>3.5114</v>
      </c>
    </row>
    <row r="256" spans="1:7">
      <c r="A256" s="2">
        <v>41417</v>
      </c>
      <c r="B256" s="3">
        <v>3.2519</v>
      </c>
      <c r="C256" s="3">
        <v>3.4808</v>
      </c>
      <c r="D256" s="3">
        <v>3.2989</v>
      </c>
      <c r="E256" s="3">
        <v>3.531</v>
      </c>
      <c r="F256" s="3">
        <v>3.2754</v>
      </c>
      <c r="G256" s="3">
        <v>3.5059</v>
      </c>
    </row>
    <row r="257" spans="1:7">
      <c r="A257" s="2">
        <v>41418</v>
      </c>
      <c r="B257" s="3">
        <v>3.254</v>
      </c>
      <c r="C257" s="3">
        <v>3.4811</v>
      </c>
      <c r="D257" s="3">
        <v>3.3007</v>
      </c>
      <c r="E257" s="3">
        <v>3.5318</v>
      </c>
      <c r="F257" s="3">
        <v>3.2774</v>
      </c>
      <c r="G257" s="3">
        <v>3.5065</v>
      </c>
    </row>
    <row r="258" spans="1:7">
      <c r="A258" s="2">
        <v>41421</v>
      </c>
      <c r="B258" s="3">
        <v>3.254</v>
      </c>
      <c r="C258" s="3">
        <v>3.4833</v>
      </c>
      <c r="D258" s="3">
        <v>3.2981</v>
      </c>
      <c r="E258" s="3">
        <v>3.5322</v>
      </c>
      <c r="F258" s="3">
        <v>3.276</v>
      </c>
      <c r="G258" s="3">
        <v>3.5078</v>
      </c>
    </row>
    <row r="259" spans="1:7">
      <c r="A259" s="2">
        <v>41422</v>
      </c>
      <c r="B259" s="3">
        <v>3.2477</v>
      </c>
      <c r="C259" s="3">
        <v>3.4788</v>
      </c>
      <c r="D259" s="3">
        <v>3.2963</v>
      </c>
      <c r="E259" s="3">
        <v>3.5343</v>
      </c>
      <c r="F259" s="3">
        <v>3.272</v>
      </c>
      <c r="G259" s="3">
        <v>3.5066</v>
      </c>
    </row>
    <row r="260" spans="1:7">
      <c r="A260" s="2">
        <v>41423</v>
      </c>
      <c r="B260" s="3">
        <v>3.2528</v>
      </c>
      <c r="C260" s="3">
        <v>3.4971</v>
      </c>
      <c r="D260" s="3">
        <v>3.3021</v>
      </c>
      <c r="E260" s="3">
        <v>3.55</v>
      </c>
      <c r="F260" s="3">
        <v>3.2775</v>
      </c>
      <c r="G260" s="3">
        <v>3.5235</v>
      </c>
    </row>
    <row r="261" spans="1:7">
      <c r="A261" s="2">
        <v>41424</v>
      </c>
      <c r="B261" s="3">
        <v>3.2641</v>
      </c>
      <c r="C261" s="3">
        <v>3.505</v>
      </c>
      <c r="D261" s="3">
        <v>3.3118</v>
      </c>
      <c r="E261" s="3">
        <v>3.5518</v>
      </c>
      <c r="F261" s="3">
        <v>3.288</v>
      </c>
      <c r="G261" s="3">
        <v>3.5284</v>
      </c>
    </row>
    <row r="262" spans="1:7">
      <c r="A262" s="2">
        <v>41425</v>
      </c>
      <c r="B262" s="3">
        <v>3.2852</v>
      </c>
      <c r="C262" s="3">
        <v>3.4994</v>
      </c>
      <c r="D262" s="3">
        <v>3.335</v>
      </c>
      <c r="E262" s="3">
        <v>3.5517</v>
      </c>
      <c r="F262" s="3">
        <v>3.3101</v>
      </c>
      <c r="G262" s="3">
        <v>3.5255</v>
      </c>
    </row>
    <row r="263" spans="1:7">
      <c r="A263" s="2">
        <v>41428</v>
      </c>
      <c r="B263" s="3">
        <v>3.3151</v>
      </c>
      <c r="C263" s="3">
        <v>3.5149</v>
      </c>
      <c r="D263" s="3">
        <v>3.3669</v>
      </c>
      <c r="E263" s="3">
        <v>3.5649</v>
      </c>
      <c r="F263" s="3">
        <v>3.341</v>
      </c>
      <c r="G263" s="3">
        <v>3.5399</v>
      </c>
    </row>
    <row r="264" spans="1:7">
      <c r="A264" s="2">
        <v>41429</v>
      </c>
      <c r="B264" s="3">
        <v>3.3405</v>
      </c>
      <c r="C264" s="3">
        <v>3.522</v>
      </c>
      <c r="D264" s="3">
        <v>3.395</v>
      </c>
      <c r="E264" s="3">
        <v>3.5739</v>
      </c>
      <c r="F264" s="3">
        <v>3.3678</v>
      </c>
      <c r="G264" s="3">
        <v>3.5479</v>
      </c>
    </row>
    <row r="265" spans="1:7">
      <c r="A265" s="2">
        <v>41430</v>
      </c>
      <c r="B265" s="3">
        <v>3.3863</v>
      </c>
      <c r="C265" s="3">
        <v>3.5368</v>
      </c>
      <c r="D265" s="3">
        <v>3.4371</v>
      </c>
      <c r="E265" s="3">
        <v>3.5879</v>
      </c>
      <c r="F265" s="3">
        <v>3.4117</v>
      </c>
      <c r="G265" s="3">
        <v>3.5623</v>
      </c>
    </row>
    <row r="266" spans="1:7">
      <c r="A266" s="2">
        <v>41431</v>
      </c>
      <c r="B266" s="3">
        <v>3.4611</v>
      </c>
      <c r="C266" s="3">
        <v>3.5441</v>
      </c>
      <c r="D266" s="3">
        <v>3.5186</v>
      </c>
      <c r="E266" s="3">
        <v>3.5964</v>
      </c>
      <c r="F266" s="3">
        <v>3.4899</v>
      </c>
      <c r="G266" s="3">
        <v>3.5702</v>
      </c>
    </row>
    <row r="267" spans="1:7">
      <c r="A267" s="2">
        <v>41432</v>
      </c>
      <c r="B267" s="3">
        <v>3.5185</v>
      </c>
      <c r="C267" s="3">
        <v>3.5475</v>
      </c>
      <c r="D267" s="3">
        <v>3.5718</v>
      </c>
      <c r="E267" s="3">
        <v>3.6027</v>
      </c>
      <c r="F267" s="3">
        <v>3.5452</v>
      </c>
      <c r="G267" s="3">
        <v>3.5751</v>
      </c>
    </row>
    <row r="268" spans="1:7">
      <c r="A268" s="2">
        <v>41433</v>
      </c>
      <c r="B268" s="3">
        <v>3.6188</v>
      </c>
      <c r="C268" s="3">
        <v>3.5838</v>
      </c>
      <c r="D268" s="3">
        <v>3.6792</v>
      </c>
      <c r="E268" s="3">
        <v>3.6467</v>
      </c>
      <c r="F268" s="3">
        <v>3.649</v>
      </c>
      <c r="G268" s="3">
        <v>3.6152</v>
      </c>
    </row>
    <row r="269" spans="1:7">
      <c r="A269" s="2">
        <v>41434</v>
      </c>
      <c r="B269" s="3">
        <v>3.5178</v>
      </c>
      <c r="C269" s="3">
        <v>3.5035</v>
      </c>
      <c r="D269" s="3">
        <v>3.5712</v>
      </c>
      <c r="E269" s="3">
        <v>3.5599</v>
      </c>
      <c r="F269" s="3">
        <v>3.5445</v>
      </c>
      <c r="G269" s="3">
        <v>3.5317</v>
      </c>
    </row>
    <row r="270" spans="1:7">
      <c r="A270" s="2">
        <v>41438</v>
      </c>
      <c r="B270" s="3">
        <v>3.6126</v>
      </c>
      <c r="C270" s="3">
        <v>3.5588</v>
      </c>
      <c r="D270" s="3">
        <v>3.6625</v>
      </c>
      <c r="E270" s="3">
        <v>3.6147</v>
      </c>
      <c r="F270" s="3">
        <v>3.6376</v>
      </c>
      <c r="G270" s="3">
        <v>3.5867</v>
      </c>
    </row>
    <row r="271" spans="1:7">
      <c r="A271" s="2">
        <v>41439</v>
      </c>
      <c r="B271" s="3">
        <v>3.7609</v>
      </c>
      <c r="C271" s="3">
        <v>3.6421</v>
      </c>
      <c r="D271" s="3">
        <v>3.8161</v>
      </c>
      <c r="E271" s="3">
        <v>3.6936</v>
      </c>
      <c r="F271" s="3">
        <v>3.7885</v>
      </c>
      <c r="G271" s="3">
        <v>3.6679</v>
      </c>
    </row>
    <row r="272" spans="1:7">
      <c r="A272" s="2">
        <v>41442</v>
      </c>
      <c r="B272" s="3">
        <v>3.7568</v>
      </c>
      <c r="C272" s="3">
        <v>3.6395</v>
      </c>
      <c r="D272" s="3">
        <v>3.8139</v>
      </c>
      <c r="E272" s="3">
        <v>3.6939</v>
      </c>
      <c r="F272" s="3">
        <v>3.7853</v>
      </c>
      <c r="G272" s="3">
        <v>3.6667</v>
      </c>
    </row>
    <row r="273" spans="1:7">
      <c r="A273" s="2">
        <v>41443</v>
      </c>
      <c r="B273" s="3">
        <v>3.9548</v>
      </c>
      <c r="C273" s="3">
        <v>3.7259</v>
      </c>
      <c r="D273" s="3">
        <v>4.0091</v>
      </c>
      <c r="E273" s="3">
        <v>3.7805</v>
      </c>
      <c r="F273" s="3">
        <v>3.982</v>
      </c>
      <c r="G273" s="3">
        <v>3.7532</v>
      </c>
    </row>
    <row r="274" spans="1:7">
      <c r="A274" s="2">
        <v>41444</v>
      </c>
      <c r="B274" s="3">
        <v>4.3</v>
      </c>
      <c r="C274" s="3">
        <v>3.8801</v>
      </c>
      <c r="D274" s="3">
        <v>4.3566</v>
      </c>
      <c r="E274" s="3">
        <v>3.945</v>
      </c>
      <c r="F274" s="3">
        <v>4.3283</v>
      </c>
      <c r="G274" s="3">
        <v>3.9126</v>
      </c>
    </row>
    <row r="275" spans="1:7">
      <c r="A275" s="2">
        <v>41445</v>
      </c>
      <c r="B275" s="3">
        <v>4.7559</v>
      </c>
      <c r="C275" s="3">
        <v>4.1378</v>
      </c>
      <c r="D275" s="3">
        <v>4.8304</v>
      </c>
      <c r="E275" s="3">
        <v>4.2123</v>
      </c>
      <c r="F275" s="3">
        <v>4.7932</v>
      </c>
      <c r="G275" s="3">
        <v>4.175</v>
      </c>
    </row>
    <row r="276" spans="1:7">
      <c r="A276" s="2">
        <v>41446</v>
      </c>
      <c r="B276" s="3">
        <v>4.3536</v>
      </c>
      <c r="C276" s="3">
        <v>3.9409</v>
      </c>
      <c r="D276" s="3">
        <v>4.43</v>
      </c>
      <c r="E276" s="3">
        <v>4.0187</v>
      </c>
      <c r="F276" s="3">
        <v>4.3918</v>
      </c>
      <c r="G276" s="3">
        <v>3.9798</v>
      </c>
    </row>
    <row r="277" spans="1:7">
      <c r="A277" s="2">
        <v>41449</v>
      </c>
      <c r="B277" s="3">
        <v>4.2352</v>
      </c>
      <c r="C277" s="3">
        <v>3.9435</v>
      </c>
      <c r="D277" s="3">
        <v>4.2973</v>
      </c>
      <c r="E277" s="3">
        <v>4.016</v>
      </c>
      <c r="F277" s="3">
        <v>4.2663</v>
      </c>
      <c r="G277" s="3">
        <v>3.9797</v>
      </c>
    </row>
    <row r="278" spans="1:7">
      <c r="A278" s="2">
        <v>41450</v>
      </c>
      <c r="B278" s="3">
        <v>4.104</v>
      </c>
      <c r="C278" s="3">
        <v>3.8379</v>
      </c>
      <c r="D278" s="3">
        <v>4.1729</v>
      </c>
      <c r="E278" s="3">
        <v>3.9065</v>
      </c>
      <c r="F278" s="3">
        <v>4.1385</v>
      </c>
      <c r="G278" s="3">
        <v>3.8722</v>
      </c>
    </row>
    <row r="279" spans="1:7">
      <c r="A279" s="2">
        <v>41451</v>
      </c>
      <c r="B279" s="3">
        <v>3.869</v>
      </c>
      <c r="C279" s="3">
        <v>3.729</v>
      </c>
      <c r="D279" s="3">
        <v>3.9323</v>
      </c>
      <c r="E279" s="3">
        <v>3.7877</v>
      </c>
      <c r="F279" s="3">
        <v>3.9007</v>
      </c>
      <c r="G279" s="3">
        <v>3.7583</v>
      </c>
    </row>
    <row r="280" spans="1:7">
      <c r="A280" s="2">
        <v>41452</v>
      </c>
      <c r="B280" s="3">
        <v>3.8748</v>
      </c>
      <c r="C280" s="3">
        <v>3.7235</v>
      </c>
      <c r="D280" s="3">
        <v>3.9452</v>
      </c>
      <c r="E280" s="3">
        <v>3.7902</v>
      </c>
      <c r="F280" s="3">
        <v>3.91</v>
      </c>
      <c r="G280" s="3">
        <v>3.7568</v>
      </c>
    </row>
    <row r="281" spans="1:7">
      <c r="A281" s="2">
        <v>41453</v>
      </c>
      <c r="B281" s="3">
        <v>3.9366</v>
      </c>
      <c r="C281" s="3">
        <v>3.7624</v>
      </c>
      <c r="D281" s="3">
        <v>4.0031</v>
      </c>
      <c r="E281" s="3">
        <v>3.828</v>
      </c>
      <c r="F281" s="3">
        <v>3.9699</v>
      </c>
      <c r="G281" s="3">
        <v>3.7952</v>
      </c>
    </row>
    <row r="282" spans="1:7">
      <c r="A282" s="2">
        <v>41456</v>
      </c>
      <c r="B282" s="3">
        <v>3.9373</v>
      </c>
      <c r="C282" s="3">
        <v>3.7683</v>
      </c>
      <c r="D282" s="3">
        <v>3.9986</v>
      </c>
      <c r="E282" s="3">
        <v>3.8293</v>
      </c>
      <c r="F282" s="3">
        <v>3.9679</v>
      </c>
      <c r="G282" s="3">
        <v>3.7988</v>
      </c>
    </row>
    <row r="283" spans="1:7">
      <c r="A283" s="2">
        <v>41457</v>
      </c>
      <c r="B283" s="3">
        <v>3.8717</v>
      </c>
      <c r="C283" s="3">
        <v>3.7613</v>
      </c>
      <c r="D283" s="3">
        <v>3.9367</v>
      </c>
      <c r="E283" s="3">
        <v>3.8208</v>
      </c>
      <c r="F283" s="3">
        <v>3.9042</v>
      </c>
      <c r="G283" s="3">
        <v>3.791</v>
      </c>
    </row>
    <row r="284" spans="1:7">
      <c r="A284" s="2">
        <v>41458</v>
      </c>
      <c r="B284" s="3">
        <v>3.8035</v>
      </c>
      <c r="C284" s="3">
        <v>3.7282</v>
      </c>
      <c r="D284" s="3">
        <v>3.8701</v>
      </c>
      <c r="E284" s="3">
        <v>3.7962</v>
      </c>
      <c r="F284" s="3">
        <v>3.8368</v>
      </c>
      <c r="G284" s="3">
        <v>3.7622</v>
      </c>
    </row>
    <row r="285" spans="1:7">
      <c r="A285" s="2">
        <v>41459</v>
      </c>
      <c r="B285" s="3">
        <v>3.7604</v>
      </c>
      <c r="C285" s="3">
        <v>3.7079</v>
      </c>
      <c r="D285" s="3">
        <v>3.8261</v>
      </c>
      <c r="E285" s="3">
        <v>3.7714</v>
      </c>
      <c r="F285" s="3">
        <v>3.7933</v>
      </c>
      <c r="G285" s="3">
        <v>3.7397</v>
      </c>
    </row>
    <row r="286" spans="1:7">
      <c r="A286" s="2">
        <v>41460</v>
      </c>
      <c r="B286" s="3">
        <v>3.7906</v>
      </c>
      <c r="C286" s="3">
        <v>3.755</v>
      </c>
      <c r="D286" s="3">
        <v>3.8568</v>
      </c>
      <c r="E286" s="3">
        <v>3.8223</v>
      </c>
      <c r="F286" s="3">
        <v>3.8237</v>
      </c>
      <c r="G286" s="3">
        <v>3.7886</v>
      </c>
    </row>
    <row r="287" spans="1:7">
      <c r="A287" s="2">
        <v>41463</v>
      </c>
      <c r="B287" s="3">
        <v>3.7665</v>
      </c>
      <c r="C287" s="3">
        <v>3.775</v>
      </c>
      <c r="D287" s="3">
        <v>3.8317</v>
      </c>
      <c r="E287" s="3">
        <v>3.8392</v>
      </c>
      <c r="F287" s="3">
        <v>3.7991</v>
      </c>
      <c r="G287" s="3">
        <v>3.8071</v>
      </c>
    </row>
    <row r="288" spans="1:7">
      <c r="A288" s="2">
        <v>41464</v>
      </c>
      <c r="B288" s="3">
        <v>3.7968</v>
      </c>
      <c r="C288" s="3">
        <v>3.8073</v>
      </c>
      <c r="D288" s="3">
        <v>3.8559</v>
      </c>
      <c r="E288" s="3">
        <v>3.8759</v>
      </c>
      <c r="F288" s="3">
        <v>3.8264</v>
      </c>
      <c r="G288" s="3">
        <v>3.8416</v>
      </c>
    </row>
    <row r="289" spans="1:7">
      <c r="A289" s="2">
        <v>41465</v>
      </c>
      <c r="B289" s="3">
        <v>3.8536</v>
      </c>
      <c r="C289" s="3">
        <v>3.8657</v>
      </c>
      <c r="D289" s="3">
        <v>3.9125</v>
      </c>
      <c r="E289" s="3">
        <v>3.9267</v>
      </c>
      <c r="F289" s="3">
        <v>3.883</v>
      </c>
      <c r="G289" s="3">
        <v>3.8962</v>
      </c>
    </row>
    <row r="290" spans="1:7">
      <c r="A290" s="2">
        <v>41466</v>
      </c>
      <c r="B290" s="3">
        <v>3.8837</v>
      </c>
      <c r="C290" s="3">
        <v>3.927</v>
      </c>
      <c r="D290" s="3">
        <v>3.9471</v>
      </c>
      <c r="E290" s="3">
        <v>3.9866</v>
      </c>
      <c r="F290" s="3">
        <v>3.9154</v>
      </c>
      <c r="G290" s="3">
        <v>3.9568</v>
      </c>
    </row>
    <row r="291" spans="1:7">
      <c r="A291" s="2">
        <v>41467</v>
      </c>
      <c r="B291" s="3">
        <v>3.8782</v>
      </c>
      <c r="C291" s="3">
        <v>3.9426</v>
      </c>
      <c r="D291" s="3">
        <v>3.9394</v>
      </c>
      <c r="E291" s="3">
        <v>4.0045</v>
      </c>
      <c r="F291" s="3">
        <v>3.9088</v>
      </c>
      <c r="G291" s="3">
        <v>3.9736</v>
      </c>
    </row>
    <row r="292" spans="1:7">
      <c r="A292" s="2">
        <v>41470</v>
      </c>
      <c r="B292" s="3">
        <v>3.8755</v>
      </c>
      <c r="C292" s="3">
        <v>3.9724</v>
      </c>
      <c r="D292" s="3">
        <v>3.9426</v>
      </c>
      <c r="E292" s="3">
        <v>4.0435</v>
      </c>
      <c r="F292" s="3">
        <v>3.909</v>
      </c>
      <c r="G292" s="3">
        <v>4.008</v>
      </c>
    </row>
    <row r="293" spans="1:7">
      <c r="A293" s="2">
        <v>41471</v>
      </c>
      <c r="B293" s="3">
        <v>3.8408</v>
      </c>
      <c r="C293" s="3">
        <v>3.9592</v>
      </c>
      <c r="D293" s="3">
        <v>3.8961</v>
      </c>
      <c r="E293" s="3">
        <v>4.024</v>
      </c>
      <c r="F293" s="3">
        <v>3.8685</v>
      </c>
      <c r="G293" s="3">
        <v>3.9916</v>
      </c>
    </row>
    <row r="294" spans="1:7">
      <c r="A294" s="2">
        <v>41472</v>
      </c>
      <c r="B294" s="3">
        <v>3.8477</v>
      </c>
      <c r="C294" s="3">
        <v>3.9733</v>
      </c>
      <c r="D294" s="3">
        <v>3.9081</v>
      </c>
      <c r="E294" s="3">
        <v>4.0382</v>
      </c>
      <c r="F294" s="3">
        <v>3.8779</v>
      </c>
      <c r="G294" s="3">
        <v>4.0058</v>
      </c>
    </row>
    <row r="295" spans="1:7">
      <c r="A295" s="2">
        <v>41473</v>
      </c>
      <c r="B295" s="3">
        <v>3.9141</v>
      </c>
      <c r="C295" s="3">
        <v>3.9832</v>
      </c>
      <c r="D295" s="3">
        <v>3.9784</v>
      </c>
      <c r="E295" s="3">
        <v>4.0469</v>
      </c>
      <c r="F295" s="3">
        <v>3.9462</v>
      </c>
      <c r="G295" s="3">
        <v>4.0151</v>
      </c>
    </row>
    <row r="296" spans="1:7">
      <c r="A296" s="2">
        <v>41474</v>
      </c>
      <c r="B296" s="3">
        <v>3.9164</v>
      </c>
      <c r="C296" s="3">
        <v>3.9773</v>
      </c>
      <c r="D296" s="3">
        <v>3.9807</v>
      </c>
      <c r="E296" s="3">
        <v>4.0472</v>
      </c>
      <c r="F296" s="3">
        <v>3.9486</v>
      </c>
      <c r="G296" s="3">
        <v>4.0122</v>
      </c>
    </row>
    <row r="297" spans="1:7">
      <c r="A297" s="2">
        <v>41477</v>
      </c>
      <c r="B297" s="3">
        <v>4.0375</v>
      </c>
      <c r="C297" s="3">
        <v>4.1162</v>
      </c>
      <c r="D297" s="3">
        <v>4.1032</v>
      </c>
      <c r="E297" s="3">
        <v>4.1848</v>
      </c>
      <c r="F297" s="3">
        <v>4.0704</v>
      </c>
      <c r="G297" s="3">
        <v>4.1505</v>
      </c>
    </row>
    <row r="298" spans="1:7">
      <c r="A298" s="2">
        <v>41478</v>
      </c>
      <c r="B298" s="3">
        <v>4.089</v>
      </c>
      <c r="C298" s="3">
        <v>4.1445</v>
      </c>
      <c r="D298" s="3">
        <v>4.1502</v>
      </c>
      <c r="E298" s="3">
        <v>4.2069</v>
      </c>
      <c r="F298" s="3">
        <v>4.1196</v>
      </c>
      <c r="G298" s="3">
        <v>4.1757</v>
      </c>
    </row>
    <row r="299" spans="1:7">
      <c r="A299" s="2">
        <v>41479</v>
      </c>
      <c r="B299" s="3">
        <v>4.0928</v>
      </c>
      <c r="C299" s="3">
        <v>4.1414</v>
      </c>
      <c r="D299" s="3">
        <v>4.1526</v>
      </c>
      <c r="E299" s="3">
        <v>4.2006</v>
      </c>
      <c r="F299" s="3">
        <v>4.1227</v>
      </c>
      <c r="G299" s="3">
        <v>4.171</v>
      </c>
    </row>
    <row r="300" spans="1:7">
      <c r="A300" s="2">
        <v>41480</v>
      </c>
      <c r="B300" s="3">
        <v>4.0156</v>
      </c>
      <c r="C300" s="3">
        <v>4.0676</v>
      </c>
      <c r="D300" s="3">
        <v>4.0808</v>
      </c>
      <c r="E300" s="3">
        <v>4.1326</v>
      </c>
      <c r="F300" s="3">
        <v>4.0482</v>
      </c>
      <c r="G300" s="3">
        <v>4.1001</v>
      </c>
    </row>
    <row r="301" spans="1:7">
      <c r="A301" s="2">
        <v>41481</v>
      </c>
      <c r="B301" s="3">
        <v>4.0151</v>
      </c>
      <c r="C301" s="3">
        <v>4.0632</v>
      </c>
      <c r="D301" s="3">
        <v>4.075</v>
      </c>
      <c r="E301" s="3">
        <v>4.1293</v>
      </c>
      <c r="F301" s="3">
        <v>4.0451</v>
      </c>
      <c r="G301" s="3">
        <v>4.0962</v>
      </c>
    </row>
    <row r="302" spans="1:7">
      <c r="A302" s="2">
        <v>41484</v>
      </c>
      <c r="B302" s="3">
        <v>4.0534</v>
      </c>
      <c r="C302" s="3">
        <v>4.0912</v>
      </c>
      <c r="D302" s="3">
        <v>4.1076</v>
      </c>
      <c r="E302" s="3">
        <v>4.1544</v>
      </c>
      <c r="F302" s="3">
        <v>4.0805</v>
      </c>
      <c r="G302" s="3">
        <v>4.1228</v>
      </c>
    </row>
    <row r="303" spans="1:7">
      <c r="A303" s="2">
        <v>41485</v>
      </c>
      <c r="B303" s="3">
        <v>3.9932</v>
      </c>
      <c r="C303" s="3">
        <v>4.0603</v>
      </c>
      <c r="D303" s="3">
        <v>4.0566</v>
      </c>
      <c r="E303" s="3">
        <v>4.1296</v>
      </c>
      <c r="F303" s="3">
        <v>4.0249</v>
      </c>
      <c r="G303" s="3">
        <v>4.0949</v>
      </c>
    </row>
    <row r="304" spans="1:7">
      <c r="A304" s="2">
        <v>41486</v>
      </c>
      <c r="B304" s="3">
        <v>3.9614</v>
      </c>
      <c r="C304" s="3">
        <v>4.0412</v>
      </c>
      <c r="D304" s="3">
        <v>4.0284</v>
      </c>
      <c r="E304" s="3">
        <v>4.1094</v>
      </c>
      <c r="F304" s="3">
        <v>3.9949</v>
      </c>
      <c r="G304" s="3">
        <v>4.0753</v>
      </c>
    </row>
    <row r="305" spans="1:7">
      <c r="A305" s="2">
        <v>41487</v>
      </c>
      <c r="B305" s="3">
        <v>3.8849</v>
      </c>
      <c r="C305" s="3">
        <v>3.9775</v>
      </c>
      <c r="D305" s="3">
        <v>3.9433</v>
      </c>
      <c r="E305" s="3">
        <v>4.0433</v>
      </c>
      <c r="F305" s="3">
        <v>3.9141</v>
      </c>
      <c r="G305" s="3">
        <v>4.0104</v>
      </c>
    </row>
    <row r="306" spans="1:7">
      <c r="A306" s="2">
        <v>41488</v>
      </c>
      <c r="B306" s="3">
        <v>3.8635</v>
      </c>
      <c r="C306" s="3">
        <v>3.987</v>
      </c>
      <c r="D306" s="3">
        <v>3.9293</v>
      </c>
      <c r="E306" s="3">
        <v>4.0507</v>
      </c>
      <c r="F306" s="3">
        <v>3.8964</v>
      </c>
      <c r="G306" s="3">
        <v>4.0189</v>
      </c>
    </row>
    <row r="307" spans="1:7">
      <c r="A307" s="2">
        <v>41491</v>
      </c>
      <c r="B307" s="3">
        <v>3.8897</v>
      </c>
      <c r="C307" s="3">
        <v>4.0111</v>
      </c>
      <c r="D307" s="3">
        <v>3.947</v>
      </c>
      <c r="E307" s="3">
        <v>4.0755</v>
      </c>
      <c r="F307" s="3">
        <v>3.9184</v>
      </c>
      <c r="G307" s="3">
        <v>4.0433</v>
      </c>
    </row>
    <row r="308" spans="1:7">
      <c r="A308" s="2">
        <v>41492</v>
      </c>
      <c r="B308" s="3">
        <v>3.8468</v>
      </c>
      <c r="C308" s="3">
        <v>3.9833</v>
      </c>
      <c r="D308" s="3">
        <v>3.9078</v>
      </c>
      <c r="E308" s="3">
        <v>4.0463</v>
      </c>
      <c r="F308" s="3">
        <v>3.8773</v>
      </c>
      <c r="G308" s="3">
        <v>4.0148</v>
      </c>
    </row>
    <row r="309" spans="1:7">
      <c r="A309" s="2">
        <v>41493</v>
      </c>
      <c r="B309" s="3">
        <v>3.8471</v>
      </c>
      <c r="C309" s="3">
        <v>3.999</v>
      </c>
      <c r="D309" s="3">
        <v>3.9046</v>
      </c>
      <c r="E309" s="3">
        <v>4.0619</v>
      </c>
      <c r="F309" s="3">
        <v>3.8758</v>
      </c>
      <c r="G309" s="3">
        <v>4.0305</v>
      </c>
    </row>
    <row r="310" spans="1:7">
      <c r="A310" s="2">
        <v>41494</v>
      </c>
      <c r="B310" s="3">
        <v>3.8474</v>
      </c>
      <c r="C310" s="3">
        <v>4.0258</v>
      </c>
      <c r="D310" s="3">
        <v>3.9026</v>
      </c>
      <c r="E310" s="3">
        <v>4.0917</v>
      </c>
      <c r="F310" s="3">
        <v>3.875</v>
      </c>
      <c r="G310" s="3">
        <v>4.0588</v>
      </c>
    </row>
    <row r="311" spans="1:7">
      <c r="A311" s="2">
        <v>41495</v>
      </c>
      <c r="B311" s="3">
        <v>3.8414</v>
      </c>
      <c r="C311" s="3">
        <v>4.0523</v>
      </c>
      <c r="D311" s="3">
        <v>3.903</v>
      </c>
      <c r="E311" s="3">
        <v>4.1159</v>
      </c>
      <c r="F311" s="3">
        <v>3.8722</v>
      </c>
      <c r="G311" s="3">
        <v>4.0841</v>
      </c>
    </row>
    <row r="312" spans="1:7">
      <c r="A312" s="2">
        <v>41498</v>
      </c>
      <c r="B312" s="3">
        <v>3.8676</v>
      </c>
      <c r="C312" s="3">
        <v>4.0917</v>
      </c>
      <c r="D312" s="3">
        <v>3.9263</v>
      </c>
      <c r="E312" s="3">
        <v>4.1549</v>
      </c>
      <c r="F312" s="3">
        <v>3.897</v>
      </c>
      <c r="G312" s="3">
        <v>4.1233</v>
      </c>
    </row>
    <row r="313" spans="1:7">
      <c r="A313" s="2">
        <v>41499</v>
      </c>
      <c r="B313" s="3">
        <v>3.9216</v>
      </c>
      <c r="C313" s="3">
        <v>4.1963</v>
      </c>
      <c r="D313" s="3">
        <v>3.9861</v>
      </c>
      <c r="E313" s="3">
        <v>4.2607</v>
      </c>
      <c r="F313" s="3">
        <v>3.9538</v>
      </c>
      <c r="G313" s="3">
        <v>4.2285</v>
      </c>
    </row>
    <row r="314" spans="1:7">
      <c r="A314" s="2">
        <v>41500</v>
      </c>
      <c r="B314" s="3">
        <v>3.952</v>
      </c>
      <c r="C314" s="3">
        <v>4.2347</v>
      </c>
      <c r="D314" s="3">
        <v>4.0177</v>
      </c>
      <c r="E314" s="3">
        <v>4.2995</v>
      </c>
      <c r="F314" s="3">
        <v>3.9848</v>
      </c>
      <c r="G314" s="3">
        <v>4.2671</v>
      </c>
    </row>
    <row r="315" spans="1:7">
      <c r="A315" s="2">
        <v>41501</v>
      </c>
      <c r="B315" s="3">
        <v>4.0243</v>
      </c>
      <c r="C315" s="3">
        <v>4.2658</v>
      </c>
      <c r="D315" s="3">
        <v>4.0845</v>
      </c>
      <c r="E315" s="3">
        <v>4.3264</v>
      </c>
      <c r="F315" s="3">
        <v>4.0544</v>
      </c>
      <c r="G315" s="3">
        <v>4.2961</v>
      </c>
    </row>
    <row r="316" spans="1:7">
      <c r="A316" s="2">
        <v>41502</v>
      </c>
      <c r="B316" s="3">
        <v>4.0271</v>
      </c>
      <c r="C316" s="3">
        <v>4.2672</v>
      </c>
      <c r="D316" s="3">
        <v>4.0882</v>
      </c>
      <c r="E316" s="3">
        <v>4.3322</v>
      </c>
      <c r="F316" s="3">
        <v>4.0576</v>
      </c>
      <c r="G316" s="3">
        <v>4.2997</v>
      </c>
    </row>
    <row r="317" spans="1:7">
      <c r="A317" s="2">
        <v>41505</v>
      </c>
      <c r="B317" s="3">
        <v>4.1229</v>
      </c>
      <c r="C317" s="3">
        <v>4.3065</v>
      </c>
      <c r="D317" s="3">
        <v>4.1868</v>
      </c>
      <c r="E317" s="3">
        <v>4.3758</v>
      </c>
      <c r="F317" s="3">
        <v>4.1549</v>
      </c>
      <c r="G317" s="3">
        <v>4.3412</v>
      </c>
    </row>
    <row r="318" spans="1:7">
      <c r="A318" s="2">
        <v>41506</v>
      </c>
      <c r="B318" s="3">
        <v>4.162</v>
      </c>
      <c r="C318" s="3">
        <v>4.3143</v>
      </c>
      <c r="D318" s="3">
        <v>4.22</v>
      </c>
      <c r="E318" s="3">
        <v>4.3735</v>
      </c>
      <c r="F318" s="3">
        <v>4.191</v>
      </c>
      <c r="G318" s="3">
        <v>4.3439</v>
      </c>
    </row>
    <row r="319" spans="1:7">
      <c r="A319" s="2">
        <v>41507</v>
      </c>
      <c r="B319" s="3">
        <v>4.1041</v>
      </c>
      <c r="C319" s="3">
        <v>4.227</v>
      </c>
      <c r="D319" s="3">
        <v>4.1551</v>
      </c>
      <c r="E319" s="3">
        <v>4.2807</v>
      </c>
      <c r="F319" s="3">
        <v>4.1296</v>
      </c>
      <c r="G319" s="3">
        <v>4.2538</v>
      </c>
    </row>
    <row r="320" spans="1:7">
      <c r="A320" s="2">
        <v>41508</v>
      </c>
      <c r="B320" s="3">
        <v>4.0809</v>
      </c>
      <c r="C320" s="3">
        <v>4.2427</v>
      </c>
      <c r="D320" s="3">
        <v>4.1414</v>
      </c>
      <c r="E320" s="3">
        <v>4.3053</v>
      </c>
      <c r="F320" s="3">
        <v>4.1112</v>
      </c>
      <c r="G320" s="3">
        <v>4.274</v>
      </c>
    </row>
    <row r="321" spans="1:7">
      <c r="A321" s="2">
        <v>41509</v>
      </c>
      <c r="B321" s="3">
        <v>4.0739</v>
      </c>
      <c r="C321" s="3">
        <v>4.2398</v>
      </c>
      <c r="D321" s="3">
        <v>4.135</v>
      </c>
      <c r="E321" s="3">
        <v>4.2996</v>
      </c>
      <c r="F321" s="3">
        <v>4.1044</v>
      </c>
      <c r="G321" s="3">
        <v>4.2697</v>
      </c>
    </row>
    <row r="322" spans="1:7">
      <c r="A322" s="2">
        <v>41512</v>
      </c>
      <c r="B322" s="3">
        <v>4.0587</v>
      </c>
      <c r="C322" s="3">
        <v>4.2497</v>
      </c>
      <c r="D322" s="3">
        <v>4.1176</v>
      </c>
      <c r="E322" s="3">
        <v>4.3077</v>
      </c>
      <c r="F322" s="3">
        <v>4.0882</v>
      </c>
      <c r="G322" s="3">
        <v>4.2787</v>
      </c>
    </row>
    <row r="323" spans="1:7">
      <c r="A323" s="2">
        <v>41513</v>
      </c>
      <c r="B323" s="3">
        <v>4.0532</v>
      </c>
      <c r="C323" s="3">
        <v>4.2382</v>
      </c>
      <c r="D323" s="3">
        <v>4.1153</v>
      </c>
      <c r="E323" s="3">
        <v>4.2983</v>
      </c>
      <c r="F323" s="3">
        <v>4.0843</v>
      </c>
      <c r="G323" s="3">
        <v>4.2683</v>
      </c>
    </row>
    <row r="324" spans="1:7">
      <c r="A324" s="2">
        <v>41514</v>
      </c>
      <c r="B324" s="3">
        <v>4.0605</v>
      </c>
      <c r="C324" s="3">
        <v>4.2483</v>
      </c>
      <c r="D324" s="3">
        <v>4.1222</v>
      </c>
      <c r="E324" s="3">
        <v>4.3129</v>
      </c>
      <c r="F324" s="3">
        <v>4.0914</v>
      </c>
      <c r="G324" s="3">
        <v>4.2806</v>
      </c>
    </row>
    <row r="325" spans="1:7">
      <c r="A325" s="2">
        <v>41515</v>
      </c>
      <c r="B325" s="3">
        <v>4.1097</v>
      </c>
      <c r="C325" s="3">
        <v>4.2785</v>
      </c>
      <c r="D325" s="3">
        <v>4.1658</v>
      </c>
      <c r="E325" s="3">
        <v>4.3352</v>
      </c>
      <c r="F325" s="3">
        <v>4.1377</v>
      </c>
      <c r="G325" s="3">
        <v>4.3068</v>
      </c>
    </row>
    <row r="326" spans="1:7">
      <c r="A326" s="2">
        <v>41516</v>
      </c>
      <c r="B326" s="3">
        <v>4.0982</v>
      </c>
      <c r="C326" s="3">
        <v>4.2603</v>
      </c>
      <c r="D326" s="3">
        <v>4.1542</v>
      </c>
      <c r="E326" s="3">
        <v>4.3192</v>
      </c>
      <c r="F326" s="3">
        <v>4.1262</v>
      </c>
      <c r="G326" s="3">
        <v>4.2898</v>
      </c>
    </row>
    <row r="327" spans="1:7">
      <c r="A327" s="2">
        <v>41519</v>
      </c>
      <c r="B327" s="3">
        <v>4.1016</v>
      </c>
      <c r="C327" s="3">
        <v>4.2831</v>
      </c>
      <c r="D327" s="3">
        <v>4.1586</v>
      </c>
      <c r="E327" s="3">
        <v>4.3417</v>
      </c>
      <c r="F327" s="3">
        <v>4.1301</v>
      </c>
      <c r="G327" s="3">
        <v>4.3124</v>
      </c>
    </row>
    <row r="328" spans="1:7">
      <c r="A328" s="2">
        <v>41520</v>
      </c>
      <c r="B328" s="3">
        <v>4.1093</v>
      </c>
      <c r="C328" s="3">
        <v>4.2975</v>
      </c>
      <c r="D328" s="3">
        <v>4.1661</v>
      </c>
      <c r="E328" s="3">
        <v>4.3576</v>
      </c>
      <c r="F328" s="3">
        <v>4.1377</v>
      </c>
      <c r="G328" s="3">
        <v>4.3276</v>
      </c>
    </row>
    <row r="329" spans="1:7">
      <c r="A329" s="2">
        <v>41521</v>
      </c>
      <c r="B329" s="3">
        <v>4.095</v>
      </c>
      <c r="C329" s="3">
        <v>4.3014</v>
      </c>
      <c r="D329" s="3">
        <v>4.1536</v>
      </c>
      <c r="E329" s="3">
        <v>4.3565</v>
      </c>
      <c r="F329" s="3">
        <v>4.1243</v>
      </c>
      <c r="G329" s="3">
        <v>4.329</v>
      </c>
    </row>
    <row r="330" spans="1:7">
      <c r="A330" s="2">
        <v>41522</v>
      </c>
      <c r="B330" s="3">
        <v>4.0607</v>
      </c>
      <c r="C330" s="3">
        <v>4.2775</v>
      </c>
      <c r="D330" s="3">
        <v>4.1193</v>
      </c>
      <c r="E330" s="3">
        <v>4.3357</v>
      </c>
      <c r="F330" s="3">
        <v>4.09</v>
      </c>
      <c r="G330" s="3">
        <v>4.3066</v>
      </c>
    </row>
    <row r="331" spans="1:7">
      <c r="A331" s="2">
        <v>41523</v>
      </c>
      <c r="B331" s="3">
        <v>4.0608</v>
      </c>
      <c r="C331" s="3">
        <v>4.2827</v>
      </c>
      <c r="D331" s="3">
        <v>4.1135</v>
      </c>
      <c r="E331" s="3">
        <v>4.3377</v>
      </c>
      <c r="F331" s="3">
        <v>4.0871</v>
      </c>
      <c r="G331" s="3">
        <v>4.3102</v>
      </c>
    </row>
    <row r="332" spans="1:7">
      <c r="A332" s="2">
        <v>41526</v>
      </c>
      <c r="B332" s="3">
        <v>4.0878</v>
      </c>
      <c r="C332" s="3">
        <v>4.3011</v>
      </c>
      <c r="D332" s="3">
        <v>4.1425</v>
      </c>
      <c r="E332" s="3">
        <v>4.3643</v>
      </c>
      <c r="F332" s="3">
        <v>4.1151</v>
      </c>
      <c r="G332" s="3">
        <v>4.3327</v>
      </c>
    </row>
    <row r="333" spans="1:7">
      <c r="A333" s="2">
        <v>41527</v>
      </c>
      <c r="B333" s="3">
        <v>4.108</v>
      </c>
      <c r="C333" s="3">
        <v>4.3208</v>
      </c>
      <c r="D333" s="3">
        <v>4.1687</v>
      </c>
      <c r="E333" s="3">
        <v>4.3869</v>
      </c>
      <c r="F333" s="3">
        <v>4.1383</v>
      </c>
      <c r="G333" s="3">
        <v>4.3538</v>
      </c>
    </row>
    <row r="334" spans="1:7">
      <c r="A334" s="2">
        <v>41528</v>
      </c>
      <c r="B334" s="3">
        <v>4.1399</v>
      </c>
      <c r="C334" s="3">
        <v>4.3576</v>
      </c>
      <c r="D334" s="3">
        <v>4.2001</v>
      </c>
      <c r="E334" s="3">
        <v>4.4185</v>
      </c>
      <c r="F334" s="3">
        <v>4.17</v>
      </c>
      <c r="G334" s="3">
        <v>4.388</v>
      </c>
    </row>
    <row r="335" spans="1:7">
      <c r="A335" s="2">
        <v>41529</v>
      </c>
      <c r="B335" s="3">
        <v>4.1025</v>
      </c>
      <c r="C335" s="3">
        <v>4.3189</v>
      </c>
      <c r="D335" s="3">
        <v>4.1575</v>
      </c>
      <c r="E335" s="3">
        <v>4.3795</v>
      </c>
      <c r="F335" s="3">
        <v>4.13</v>
      </c>
      <c r="G335" s="3">
        <v>4.3492</v>
      </c>
    </row>
    <row r="336" spans="1:7">
      <c r="A336" s="2">
        <v>41530</v>
      </c>
      <c r="B336" s="3">
        <v>4.071</v>
      </c>
      <c r="C336" s="3">
        <v>4.3031</v>
      </c>
      <c r="D336" s="3">
        <v>4.1314</v>
      </c>
      <c r="E336" s="3">
        <v>4.3643</v>
      </c>
      <c r="F336" s="3">
        <v>4.1012</v>
      </c>
      <c r="G336" s="3">
        <v>4.3337</v>
      </c>
    </row>
    <row r="337" spans="1:7">
      <c r="A337" s="2">
        <v>41533</v>
      </c>
      <c r="B337" s="3">
        <v>4.0156</v>
      </c>
      <c r="C337" s="3">
        <v>4.2083</v>
      </c>
      <c r="D337" s="3">
        <v>4.0698</v>
      </c>
      <c r="E337" s="3">
        <v>4.2688</v>
      </c>
      <c r="F337" s="3">
        <v>4.0427</v>
      </c>
      <c r="G337" s="3">
        <v>4.2385</v>
      </c>
    </row>
    <row r="338" spans="1:7">
      <c r="A338" s="2">
        <v>41534</v>
      </c>
      <c r="B338" s="3">
        <v>4.0023</v>
      </c>
      <c r="C338" s="3">
        <v>4.1758</v>
      </c>
      <c r="D338" s="3">
        <v>4.0628</v>
      </c>
      <c r="E338" s="3">
        <v>4.2377</v>
      </c>
      <c r="F338" s="3">
        <v>4.0326</v>
      </c>
      <c r="G338" s="3">
        <v>4.2068</v>
      </c>
    </row>
    <row r="339" spans="1:7">
      <c r="A339" s="2">
        <v>41535</v>
      </c>
      <c r="B339" s="3">
        <v>4.0213</v>
      </c>
      <c r="C339" s="3">
        <v>4.1972</v>
      </c>
      <c r="D339" s="3">
        <v>4.0846</v>
      </c>
      <c r="E339" s="3">
        <v>4.2543</v>
      </c>
      <c r="F339" s="3">
        <v>4.0529</v>
      </c>
      <c r="G339" s="3">
        <v>4.2258</v>
      </c>
    </row>
    <row r="340" spans="1:7">
      <c r="A340" s="2">
        <v>41539</v>
      </c>
      <c r="B340" s="3">
        <v>4.0183</v>
      </c>
      <c r="C340" s="3">
        <v>4.1685</v>
      </c>
      <c r="D340" s="3">
        <v>4.0841</v>
      </c>
      <c r="E340" s="3">
        <v>4.2376</v>
      </c>
      <c r="F340" s="3">
        <v>4.0512</v>
      </c>
      <c r="G340" s="3">
        <v>4.203</v>
      </c>
    </row>
    <row r="341" spans="1:7">
      <c r="A341" s="2">
        <v>41540</v>
      </c>
      <c r="B341" s="3">
        <v>4.0477</v>
      </c>
      <c r="C341" s="3">
        <v>4.195</v>
      </c>
      <c r="D341" s="3">
        <v>4.1154</v>
      </c>
      <c r="E341" s="3">
        <v>4.2568</v>
      </c>
      <c r="F341" s="3">
        <v>4.0815</v>
      </c>
      <c r="G341" s="3">
        <v>4.2259</v>
      </c>
    </row>
    <row r="342" spans="1:7">
      <c r="A342" s="2">
        <v>41541</v>
      </c>
      <c r="B342" s="3">
        <v>4.0115</v>
      </c>
      <c r="C342" s="3">
        <v>4.1836</v>
      </c>
      <c r="D342" s="3">
        <v>4.0692</v>
      </c>
      <c r="E342" s="3">
        <v>4.2411</v>
      </c>
      <c r="F342" s="3">
        <v>4.0404</v>
      </c>
      <c r="G342" s="3">
        <v>4.2124</v>
      </c>
    </row>
    <row r="343" spans="1:7">
      <c r="A343" s="2">
        <v>41542</v>
      </c>
      <c r="B343" s="3">
        <v>3.948</v>
      </c>
      <c r="C343" s="3">
        <v>4.1362</v>
      </c>
      <c r="D343" s="3">
        <v>4.0094</v>
      </c>
      <c r="E343" s="3">
        <v>4.1985</v>
      </c>
      <c r="F343" s="3">
        <v>3.9787</v>
      </c>
      <c r="G343" s="3">
        <v>4.1674</v>
      </c>
    </row>
    <row r="344" spans="1:7">
      <c r="A344" s="2">
        <v>41543</v>
      </c>
      <c r="B344" s="3">
        <v>3.9388</v>
      </c>
      <c r="C344" s="3">
        <v>4.118</v>
      </c>
      <c r="D344" s="3">
        <v>4.0003</v>
      </c>
      <c r="E344" s="3">
        <v>4.1812</v>
      </c>
      <c r="F344" s="3">
        <v>3.9695</v>
      </c>
      <c r="G344" s="3">
        <v>4.1496</v>
      </c>
    </row>
    <row r="345" spans="1:7">
      <c r="A345" s="2">
        <v>41544</v>
      </c>
      <c r="B345" s="3">
        <v>3.9407</v>
      </c>
      <c r="C345" s="3">
        <v>4.1356</v>
      </c>
      <c r="D345" s="3">
        <v>3.9986</v>
      </c>
      <c r="E345" s="3">
        <v>4.1933</v>
      </c>
      <c r="F345" s="3">
        <v>3.9696</v>
      </c>
      <c r="G345" s="3">
        <v>4.1645</v>
      </c>
    </row>
    <row r="346" spans="1:7">
      <c r="A346" s="2">
        <v>41546</v>
      </c>
      <c r="B346" s="3">
        <v>3.944</v>
      </c>
      <c r="C346" s="3">
        <v>4.1418</v>
      </c>
      <c r="D346" s="3">
        <v>3.9991</v>
      </c>
      <c r="E346" s="3">
        <v>4.198</v>
      </c>
      <c r="F346" s="3">
        <v>3.9715</v>
      </c>
      <c r="G346" s="3">
        <v>4.1699</v>
      </c>
    </row>
    <row r="347" spans="1:7">
      <c r="A347" s="2">
        <v>41547</v>
      </c>
      <c r="B347" s="3">
        <v>3.9396</v>
      </c>
      <c r="C347" s="3">
        <v>4.1323</v>
      </c>
      <c r="D347" s="3">
        <v>3.9988</v>
      </c>
      <c r="E347" s="3">
        <v>4.1962</v>
      </c>
      <c r="F347" s="3">
        <v>3.9692</v>
      </c>
      <c r="G347" s="3">
        <v>4.1642</v>
      </c>
    </row>
    <row r="348" spans="1:7">
      <c r="A348" s="2">
        <v>41555</v>
      </c>
      <c r="B348" s="3">
        <v>3.9614</v>
      </c>
      <c r="C348" s="3">
        <v>4.1544</v>
      </c>
      <c r="D348" s="3">
        <v>4.0208</v>
      </c>
      <c r="E348" s="3">
        <v>4.2139</v>
      </c>
      <c r="F348" s="3">
        <v>3.9911</v>
      </c>
      <c r="G348" s="3">
        <v>4.1842</v>
      </c>
    </row>
    <row r="349" spans="1:7">
      <c r="A349" s="2">
        <v>41556</v>
      </c>
      <c r="B349" s="3">
        <v>3.9735</v>
      </c>
      <c r="C349" s="3">
        <v>4.1461</v>
      </c>
      <c r="D349" s="3">
        <v>4.036</v>
      </c>
      <c r="E349" s="3">
        <v>4.208</v>
      </c>
      <c r="F349" s="3">
        <v>4.0047</v>
      </c>
      <c r="G349" s="3">
        <v>4.1771</v>
      </c>
    </row>
    <row r="350" spans="1:7">
      <c r="A350" s="2">
        <v>41557</v>
      </c>
      <c r="B350" s="3">
        <v>3.9592</v>
      </c>
      <c r="C350" s="3">
        <v>4.1377</v>
      </c>
      <c r="D350" s="3">
        <v>4.0228</v>
      </c>
      <c r="E350" s="3">
        <v>4.2002</v>
      </c>
      <c r="F350" s="3">
        <v>3.991</v>
      </c>
      <c r="G350" s="3">
        <v>4.169</v>
      </c>
    </row>
    <row r="351" spans="1:7">
      <c r="A351" s="2">
        <v>41558</v>
      </c>
      <c r="B351" s="3">
        <v>3.9506</v>
      </c>
      <c r="C351" s="3">
        <v>4.1389</v>
      </c>
      <c r="D351" s="3">
        <v>4.0018</v>
      </c>
      <c r="E351" s="3">
        <v>4.1968</v>
      </c>
      <c r="F351" s="3">
        <v>3.9762</v>
      </c>
      <c r="G351" s="3">
        <v>4.1679</v>
      </c>
    </row>
    <row r="352" spans="1:7">
      <c r="A352" s="2">
        <v>41559</v>
      </c>
      <c r="B352" s="3">
        <v>3.9511</v>
      </c>
      <c r="C352" s="3">
        <v>4.1405</v>
      </c>
      <c r="D352" s="3">
        <v>4.0063</v>
      </c>
      <c r="E352" s="3">
        <v>4.2</v>
      </c>
      <c r="F352" s="3">
        <v>3.9787</v>
      </c>
      <c r="G352" s="3">
        <v>4.1702</v>
      </c>
    </row>
    <row r="353" spans="1:7">
      <c r="A353" s="2">
        <v>41561</v>
      </c>
      <c r="B353" s="3">
        <v>3.9466</v>
      </c>
      <c r="C353" s="3">
        <v>4.153</v>
      </c>
      <c r="D353" s="3">
        <v>3.9997</v>
      </c>
      <c r="E353" s="3">
        <v>4.214</v>
      </c>
      <c r="F353" s="3">
        <v>3.9731</v>
      </c>
      <c r="G353" s="3">
        <v>4.1835</v>
      </c>
    </row>
    <row r="354" spans="1:7">
      <c r="A354" s="2">
        <v>41562</v>
      </c>
      <c r="B354" s="3">
        <v>3.9259</v>
      </c>
      <c r="C354" s="3">
        <v>4.159</v>
      </c>
      <c r="D354" s="3">
        <v>3.9885</v>
      </c>
      <c r="E354" s="3">
        <v>4.2255</v>
      </c>
      <c r="F354" s="3">
        <v>3.9572</v>
      </c>
      <c r="G354" s="3">
        <v>4.1923</v>
      </c>
    </row>
    <row r="355" spans="1:7">
      <c r="A355" s="2">
        <v>41563</v>
      </c>
      <c r="B355" s="3">
        <v>3.8581</v>
      </c>
      <c r="C355" s="3">
        <v>4.1167</v>
      </c>
      <c r="D355" s="3">
        <v>3.9196</v>
      </c>
      <c r="E355" s="3">
        <v>4.1807</v>
      </c>
      <c r="F355" s="3">
        <v>3.8888</v>
      </c>
      <c r="G355" s="3">
        <v>4.1487</v>
      </c>
    </row>
    <row r="356" spans="1:7">
      <c r="A356" s="2">
        <v>41564</v>
      </c>
      <c r="B356" s="3">
        <v>3.8913</v>
      </c>
      <c r="C356" s="3">
        <v>4.1426</v>
      </c>
      <c r="D356" s="3">
        <v>3.9476</v>
      </c>
      <c r="E356" s="3">
        <v>4.2018</v>
      </c>
      <c r="F356" s="3">
        <v>3.9194</v>
      </c>
      <c r="G356" s="3">
        <v>4.1722</v>
      </c>
    </row>
    <row r="357" spans="1:7">
      <c r="A357" s="2">
        <v>41565</v>
      </c>
      <c r="B357" s="3">
        <v>3.9171</v>
      </c>
      <c r="C357" s="3">
        <v>4.1498</v>
      </c>
      <c r="D357" s="3">
        <v>3.9788</v>
      </c>
      <c r="E357" s="3">
        <v>4.2121</v>
      </c>
      <c r="F357" s="3">
        <v>3.948</v>
      </c>
      <c r="G357" s="3">
        <v>4.181</v>
      </c>
    </row>
    <row r="358" spans="1:7">
      <c r="A358" s="2">
        <v>41568</v>
      </c>
      <c r="B358" s="3">
        <v>3.9653</v>
      </c>
      <c r="C358" s="3">
        <v>4.1715</v>
      </c>
      <c r="D358" s="3">
        <v>4.0197</v>
      </c>
      <c r="E358" s="3">
        <v>4.2312</v>
      </c>
      <c r="F358" s="3">
        <v>3.9925</v>
      </c>
      <c r="G358" s="3">
        <v>4.2013</v>
      </c>
    </row>
    <row r="359" spans="1:7">
      <c r="A359" s="2">
        <v>41569</v>
      </c>
      <c r="B359" s="3">
        <v>3.9914</v>
      </c>
      <c r="C359" s="3">
        <v>4.1972</v>
      </c>
      <c r="D359" s="3">
        <v>4.0508</v>
      </c>
      <c r="E359" s="3">
        <v>4.2583</v>
      </c>
      <c r="F359" s="3">
        <v>4.0211</v>
      </c>
      <c r="G359" s="3">
        <v>4.2278</v>
      </c>
    </row>
    <row r="360" spans="1:7">
      <c r="A360" s="2">
        <v>41570</v>
      </c>
      <c r="B360" s="3">
        <v>4.0153</v>
      </c>
      <c r="C360" s="3">
        <v>4.2157</v>
      </c>
      <c r="D360" s="3">
        <v>4.0721</v>
      </c>
      <c r="E360" s="3">
        <v>4.2739</v>
      </c>
      <c r="F360" s="3">
        <v>4.0437</v>
      </c>
      <c r="G360" s="3">
        <v>4.2448</v>
      </c>
    </row>
    <row r="361" spans="1:7">
      <c r="A361" s="2">
        <v>41571</v>
      </c>
      <c r="B361" s="3">
        <v>4.0968</v>
      </c>
      <c r="C361" s="3">
        <v>4.2625</v>
      </c>
      <c r="D361" s="3">
        <v>4.1495</v>
      </c>
      <c r="E361" s="3">
        <v>4.3223</v>
      </c>
      <c r="F361" s="3">
        <v>4.1232</v>
      </c>
      <c r="G361" s="3">
        <v>4.2924</v>
      </c>
    </row>
    <row r="362" spans="1:7">
      <c r="A362" s="2">
        <v>41572</v>
      </c>
      <c r="B362" s="3">
        <v>4.0539</v>
      </c>
      <c r="C362" s="3">
        <v>4.2244</v>
      </c>
      <c r="D362" s="3">
        <v>4.1092</v>
      </c>
      <c r="E362" s="3">
        <v>4.2809</v>
      </c>
      <c r="F362" s="3">
        <v>4.0815</v>
      </c>
      <c r="G362" s="3">
        <v>4.2526</v>
      </c>
    </row>
    <row r="363" spans="1:7">
      <c r="A363" s="2">
        <v>41575</v>
      </c>
      <c r="B363" s="3">
        <v>4.0797</v>
      </c>
      <c r="C363" s="3">
        <v>4.2401</v>
      </c>
      <c r="D363" s="3">
        <v>4.1432</v>
      </c>
      <c r="E363" s="3">
        <v>4.2991</v>
      </c>
      <c r="F363" s="3">
        <v>4.1114</v>
      </c>
      <c r="G363" s="3">
        <v>4.2696</v>
      </c>
    </row>
    <row r="364" spans="1:7">
      <c r="A364" s="2">
        <v>41576</v>
      </c>
      <c r="B364" s="3">
        <v>4.1692</v>
      </c>
      <c r="C364" s="3">
        <v>4.3069</v>
      </c>
      <c r="D364" s="3">
        <v>4.2265</v>
      </c>
      <c r="E364" s="3">
        <v>4.3712</v>
      </c>
      <c r="F364" s="3">
        <v>4.1979</v>
      </c>
      <c r="G364" s="3">
        <v>4.3391</v>
      </c>
    </row>
    <row r="365" spans="1:7">
      <c r="A365" s="2">
        <v>41577</v>
      </c>
      <c r="B365" s="3">
        <v>4.1948</v>
      </c>
      <c r="C365" s="3">
        <v>4.3413</v>
      </c>
      <c r="D365" s="3">
        <v>4.259</v>
      </c>
      <c r="E365" s="3">
        <v>4.4065</v>
      </c>
      <c r="F365" s="3">
        <v>4.2269</v>
      </c>
      <c r="G365" s="3">
        <v>4.3739</v>
      </c>
    </row>
    <row r="366" spans="1:7">
      <c r="A366" s="2">
        <v>41578</v>
      </c>
      <c r="B366" s="3">
        <v>4.142</v>
      </c>
      <c r="C366" s="3">
        <v>4.3011</v>
      </c>
      <c r="D366" s="3">
        <v>4.2022</v>
      </c>
      <c r="E366" s="3">
        <v>4.3668</v>
      </c>
      <c r="F366" s="3">
        <v>4.1721</v>
      </c>
      <c r="G366" s="3">
        <v>4.334</v>
      </c>
    </row>
    <row r="367" spans="1:7">
      <c r="A367" s="2">
        <v>41579</v>
      </c>
      <c r="B367" s="3">
        <v>4.1163</v>
      </c>
      <c r="C367" s="3">
        <v>4.3</v>
      </c>
      <c r="D367" s="3">
        <v>4.1771</v>
      </c>
      <c r="E367" s="3">
        <v>4.3635</v>
      </c>
      <c r="F367" s="3">
        <v>4.1467</v>
      </c>
      <c r="G367" s="3">
        <v>4.3317</v>
      </c>
    </row>
    <row r="368" spans="1:7">
      <c r="A368" s="2">
        <v>41582</v>
      </c>
      <c r="B368" s="3">
        <v>4.1478</v>
      </c>
      <c r="C368" s="3">
        <v>4.3219</v>
      </c>
      <c r="D368" s="3">
        <v>4.2056</v>
      </c>
      <c r="E368" s="3">
        <v>4.3847</v>
      </c>
      <c r="F368" s="3">
        <v>4.1767</v>
      </c>
      <c r="G368" s="3">
        <v>4.3533</v>
      </c>
    </row>
    <row r="369" spans="1:7">
      <c r="A369" s="2">
        <v>41583</v>
      </c>
      <c r="B369" s="3">
        <v>4.1805</v>
      </c>
      <c r="C369" s="3">
        <v>4.3674</v>
      </c>
      <c r="D369" s="3">
        <v>4.2435</v>
      </c>
      <c r="E369" s="3">
        <v>4.4342</v>
      </c>
      <c r="F369" s="3">
        <v>4.212</v>
      </c>
      <c r="G369" s="3">
        <v>4.4008</v>
      </c>
    </row>
    <row r="370" spans="1:7">
      <c r="A370" s="2">
        <v>41584</v>
      </c>
      <c r="B370" s="3">
        <v>4.2037</v>
      </c>
      <c r="C370" s="3">
        <v>4.4087</v>
      </c>
      <c r="D370" s="3">
        <v>4.2668</v>
      </c>
      <c r="E370" s="3">
        <v>4.4745</v>
      </c>
      <c r="F370" s="3">
        <v>4.2352</v>
      </c>
      <c r="G370" s="3">
        <v>4.4416</v>
      </c>
    </row>
    <row r="371" spans="1:7">
      <c r="A371" s="2">
        <v>41585</v>
      </c>
      <c r="B371" s="3">
        <v>4.3092</v>
      </c>
      <c r="C371" s="3">
        <v>4.5738</v>
      </c>
      <c r="D371" s="3">
        <v>4.3778</v>
      </c>
      <c r="E371" s="3">
        <v>4.642</v>
      </c>
      <c r="F371" s="3">
        <v>4.3435</v>
      </c>
      <c r="G371" s="3">
        <v>4.6079</v>
      </c>
    </row>
    <row r="372" spans="1:7">
      <c r="A372" s="2">
        <v>41586</v>
      </c>
      <c r="B372" s="3">
        <v>4.3236</v>
      </c>
      <c r="C372" s="3">
        <v>4.6392</v>
      </c>
      <c r="D372" s="3">
        <v>4.3844</v>
      </c>
      <c r="E372" s="3">
        <v>4.6989</v>
      </c>
      <c r="F372" s="3">
        <v>4.354</v>
      </c>
      <c r="G372" s="3">
        <v>4.669</v>
      </c>
    </row>
    <row r="373" spans="1:7">
      <c r="A373" s="2">
        <v>41589</v>
      </c>
      <c r="B373" s="3">
        <v>4.3603</v>
      </c>
      <c r="C373" s="3">
        <v>4.7206</v>
      </c>
      <c r="D373" s="3">
        <v>4.4218</v>
      </c>
      <c r="E373" s="3">
        <v>4.7863</v>
      </c>
      <c r="F373" s="3">
        <v>4.3911</v>
      </c>
      <c r="G373" s="3">
        <v>4.7535</v>
      </c>
    </row>
    <row r="374" spans="1:7">
      <c r="A374" s="2">
        <v>41590</v>
      </c>
      <c r="B374" s="3">
        <v>4.3589</v>
      </c>
      <c r="C374" s="3">
        <v>4.6851</v>
      </c>
      <c r="D374" s="3">
        <v>4.424</v>
      </c>
      <c r="E374" s="3">
        <v>4.7536</v>
      </c>
      <c r="F374" s="3">
        <v>4.3915</v>
      </c>
      <c r="G374" s="3">
        <v>4.7194</v>
      </c>
    </row>
    <row r="375" spans="1:7">
      <c r="A375" s="2">
        <v>41591</v>
      </c>
      <c r="B375" s="3">
        <v>4.3348</v>
      </c>
      <c r="C375" s="3">
        <v>4.6442</v>
      </c>
      <c r="D375" s="3">
        <v>4.3975</v>
      </c>
      <c r="E375" s="3">
        <v>4.7088</v>
      </c>
      <c r="F375" s="3">
        <v>4.3662</v>
      </c>
      <c r="G375" s="3">
        <v>4.6765</v>
      </c>
    </row>
    <row r="376" spans="1:7">
      <c r="A376" s="2">
        <v>41592</v>
      </c>
      <c r="B376" s="3">
        <v>4.3873</v>
      </c>
      <c r="C376" s="3">
        <v>4.6677</v>
      </c>
      <c r="D376" s="3">
        <v>4.4483</v>
      </c>
      <c r="E376" s="3">
        <v>4.7364</v>
      </c>
      <c r="F376" s="3">
        <v>4.4178</v>
      </c>
      <c r="G376" s="3">
        <v>4.702</v>
      </c>
    </row>
    <row r="377" spans="1:7">
      <c r="A377" s="2">
        <v>41593</v>
      </c>
      <c r="B377" s="3">
        <v>4.4945</v>
      </c>
      <c r="C377" s="3">
        <v>4.7426</v>
      </c>
      <c r="D377" s="3">
        <v>4.562</v>
      </c>
      <c r="E377" s="3">
        <v>4.8082</v>
      </c>
      <c r="F377" s="3">
        <v>4.5283</v>
      </c>
      <c r="G377" s="3">
        <v>4.7754</v>
      </c>
    </row>
    <row r="378" spans="1:7">
      <c r="A378" s="2">
        <v>41596</v>
      </c>
      <c r="B378" s="3">
        <v>4.493</v>
      </c>
      <c r="C378" s="3">
        <v>4.7265</v>
      </c>
      <c r="D378" s="3">
        <v>4.557</v>
      </c>
      <c r="E378" s="3">
        <v>4.795</v>
      </c>
      <c r="F378" s="3">
        <v>4.525</v>
      </c>
      <c r="G378" s="3">
        <v>4.7608</v>
      </c>
    </row>
    <row r="379" spans="1:7">
      <c r="A379" s="2">
        <v>41597</v>
      </c>
      <c r="B379" s="3">
        <v>4.5436</v>
      </c>
      <c r="C379" s="3">
        <v>4.7568</v>
      </c>
      <c r="D379" s="3">
        <v>4.6068</v>
      </c>
      <c r="E379" s="3">
        <v>4.8212</v>
      </c>
      <c r="F379" s="3">
        <v>4.5752</v>
      </c>
      <c r="G379" s="3">
        <v>4.789</v>
      </c>
    </row>
    <row r="380" spans="1:7">
      <c r="A380" s="2">
        <v>41598</v>
      </c>
      <c r="B380" s="3">
        <v>4.5488</v>
      </c>
      <c r="C380" s="3">
        <v>4.7441</v>
      </c>
      <c r="D380" s="3">
        <v>4.6118</v>
      </c>
      <c r="E380" s="3">
        <v>4.807</v>
      </c>
      <c r="F380" s="3">
        <v>4.5803</v>
      </c>
      <c r="G380" s="3">
        <v>4.7755</v>
      </c>
    </row>
    <row r="381" spans="1:7">
      <c r="A381" s="2">
        <v>41599</v>
      </c>
      <c r="B381" s="3">
        <v>4.5236</v>
      </c>
      <c r="C381" s="3">
        <v>4.7022</v>
      </c>
      <c r="D381" s="3">
        <v>4.58</v>
      </c>
      <c r="E381" s="3">
        <v>4.7657</v>
      </c>
      <c r="F381" s="3">
        <v>4.5518</v>
      </c>
      <c r="G381" s="3">
        <v>4.734</v>
      </c>
    </row>
    <row r="382" spans="1:7">
      <c r="A382" s="2">
        <v>41600</v>
      </c>
      <c r="B382" s="3">
        <v>4.4795</v>
      </c>
      <c r="C382" s="3">
        <v>4.6343</v>
      </c>
      <c r="D382" s="3">
        <v>4.5478</v>
      </c>
      <c r="E382" s="3">
        <v>4.7032</v>
      </c>
      <c r="F382" s="3">
        <v>4.5136</v>
      </c>
      <c r="G382" s="3">
        <v>4.6687</v>
      </c>
    </row>
    <row r="383" spans="1:7">
      <c r="A383" s="2">
        <v>41603</v>
      </c>
      <c r="B383" s="3">
        <v>4.4873</v>
      </c>
      <c r="C383" s="3">
        <v>4.6351</v>
      </c>
      <c r="D383" s="3">
        <v>4.549</v>
      </c>
      <c r="E383" s="3">
        <v>4.6975</v>
      </c>
      <c r="F383" s="3">
        <v>4.5182</v>
      </c>
      <c r="G383" s="3">
        <v>4.6663</v>
      </c>
    </row>
    <row r="384" spans="1:7">
      <c r="A384" s="2">
        <v>41604</v>
      </c>
      <c r="B384" s="3">
        <v>4.4625</v>
      </c>
      <c r="C384" s="3">
        <v>4.5964</v>
      </c>
      <c r="D384" s="3">
        <v>4.5275</v>
      </c>
      <c r="E384" s="3">
        <v>4.6596</v>
      </c>
      <c r="F384" s="3">
        <v>4.495</v>
      </c>
      <c r="G384" s="3">
        <v>4.628</v>
      </c>
    </row>
    <row r="385" spans="1:7">
      <c r="A385" s="2">
        <v>41605</v>
      </c>
      <c r="B385" s="3">
        <v>4.4627</v>
      </c>
      <c r="C385" s="3">
        <v>4.581</v>
      </c>
      <c r="D385" s="3">
        <v>4.525</v>
      </c>
      <c r="E385" s="3">
        <v>4.6388</v>
      </c>
      <c r="F385" s="3">
        <v>4.4939</v>
      </c>
      <c r="G385" s="3">
        <v>4.6099</v>
      </c>
    </row>
    <row r="386" spans="1:7">
      <c r="A386" s="2">
        <v>41606</v>
      </c>
      <c r="B386" s="3">
        <v>4.4581</v>
      </c>
      <c r="C386" s="3">
        <v>4.5706</v>
      </c>
      <c r="D386" s="3">
        <v>4.525</v>
      </c>
      <c r="E386" s="3">
        <v>4.6317</v>
      </c>
      <c r="F386" s="3">
        <v>4.4915</v>
      </c>
      <c r="G386" s="3">
        <v>4.6012</v>
      </c>
    </row>
    <row r="387" spans="1:7">
      <c r="A387" s="2">
        <v>41607</v>
      </c>
      <c r="B387" s="3">
        <v>4.4793</v>
      </c>
      <c r="C387" s="3">
        <v>4.6003</v>
      </c>
      <c r="D387" s="3">
        <v>4.544</v>
      </c>
      <c r="E387" s="3">
        <v>4.6704</v>
      </c>
      <c r="F387" s="3">
        <v>4.5117</v>
      </c>
      <c r="G387" s="3">
        <v>4.6354</v>
      </c>
    </row>
    <row r="388" spans="1:7">
      <c r="A388" s="2">
        <v>41610</v>
      </c>
      <c r="B388" s="3">
        <v>4.5596</v>
      </c>
      <c r="C388" s="3">
        <v>4.7136</v>
      </c>
      <c r="D388" s="3">
        <v>4.6194</v>
      </c>
      <c r="E388" s="3">
        <v>4.7738</v>
      </c>
      <c r="F388" s="3">
        <v>4.5895</v>
      </c>
      <c r="G388" s="3">
        <v>4.7437</v>
      </c>
    </row>
    <row r="389" spans="1:7">
      <c r="A389" s="2">
        <v>41611</v>
      </c>
      <c r="B389" s="3">
        <v>4.5864</v>
      </c>
      <c r="C389" s="3">
        <v>4.7257</v>
      </c>
      <c r="D389" s="3">
        <v>4.6505</v>
      </c>
      <c r="E389" s="3">
        <v>4.786</v>
      </c>
      <c r="F389" s="3">
        <v>4.6184</v>
      </c>
      <c r="G389" s="3">
        <v>4.7559</v>
      </c>
    </row>
    <row r="390" spans="1:7">
      <c r="A390" s="2">
        <v>41612</v>
      </c>
      <c r="B390" s="3">
        <v>4.6452</v>
      </c>
      <c r="C390" s="3">
        <v>4.784</v>
      </c>
      <c r="D390" s="3">
        <v>4.71</v>
      </c>
      <c r="E390" s="3">
        <v>4.8559</v>
      </c>
      <c r="F390" s="3">
        <v>4.6776</v>
      </c>
      <c r="G390" s="3">
        <v>4.82</v>
      </c>
    </row>
    <row r="391" spans="1:7">
      <c r="A391" s="2">
        <v>41613</v>
      </c>
      <c r="B391" s="3">
        <v>4.7296</v>
      </c>
      <c r="C391" s="3">
        <v>4.8792</v>
      </c>
      <c r="D391" s="3">
        <v>4.7963</v>
      </c>
      <c r="E391" s="3">
        <v>4.955</v>
      </c>
      <c r="F391" s="3">
        <v>4.7629</v>
      </c>
      <c r="G391" s="3">
        <v>4.9171</v>
      </c>
    </row>
    <row r="392" spans="1:7">
      <c r="A392" s="2">
        <v>41614</v>
      </c>
      <c r="B392" s="3">
        <v>4.7376</v>
      </c>
      <c r="C392" s="3">
        <v>4.8808</v>
      </c>
      <c r="D392" s="3">
        <v>4.8035</v>
      </c>
      <c r="E392" s="3">
        <v>4.9557</v>
      </c>
      <c r="F392" s="3">
        <v>4.7706</v>
      </c>
      <c r="G392" s="3">
        <v>4.9183</v>
      </c>
    </row>
    <row r="393" spans="1:7">
      <c r="A393" s="2">
        <v>41617</v>
      </c>
      <c r="B393" s="3">
        <v>4.7341</v>
      </c>
      <c r="C393" s="3">
        <v>4.8699</v>
      </c>
      <c r="D393" s="3">
        <v>4.7968</v>
      </c>
      <c r="E393" s="3">
        <v>4.9399</v>
      </c>
      <c r="F393" s="3">
        <v>4.7655</v>
      </c>
      <c r="G393" s="3">
        <v>4.9049</v>
      </c>
    </row>
    <row r="394" spans="1:7">
      <c r="A394" s="2">
        <v>41618</v>
      </c>
      <c r="B394" s="3">
        <v>4.8</v>
      </c>
      <c r="C394" s="3">
        <v>4.9325</v>
      </c>
      <c r="D394" s="3">
        <v>4.8611</v>
      </c>
      <c r="E394" s="3">
        <v>5.0065</v>
      </c>
      <c r="F394" s="3">
        <v>4.8306</v>
      </c>
      <c r="G394" s="3">
        <v>4.9695</v>
      </c>
    </row>
    <row r="395" spans="1:7">
      <c r="A395" s="2">
        <v>41619</v>
      </c>
      <c r="B395" s="3">
        <v>4.751</v>
      </c>
      <c r="C395" s="3">
        <v>4.9097</v>
      </c>
      <c r="D395" s="3">
        <v>4.8123</v>
      </c>
      <c r="E395" s="3">
        <v>4.979</v>
      </c>
      <c r="F395" s="3">
        <v>4.7817</v>
      </c>
      <c r="G395" s="3">
        <v>4.9444</v>
      </c>
    </row>
    <row r="396" spans="1:7">
      <c r="A396" s="2">
        <v>41620</v>
      </c>
      <c r="B396" s="3">
        <v>4.711</v>
      </c>
      <c r="C396" s="3">
        <v>4.8539</v>
      </c>
      <c r="D396" s="3">
        <v>4.7714</v>
      </c>
      <c r="E396" s="3">
        <v>4.9201</v>
      </c>
      <c r="F396" s="3">
        <v>4.7412</v>
      </c>
      <c r="G396" s="3">
        <v>4.887</v>
      </c>
    </row>
    <row r="397" spans="1:7">
      <c r="A397" s="2">
        <v>41621</v>
      </c>
      <c r="B397" s="3">
        <v>4.7075</v>
      </c>
      <c r="C397" s="3">
        <v>4.8646</v>
      </c>
      <c r="D397" s="3">
        <v>4.7733</v>
      </c>
      <c r="E397" s="3">
        <v>4.9291</v>
      </c>
      <c r="F397" s="3">
        <v>4.7404</v>
      </c>
      <c r="G397" s="3">
        <v>4.8969</v>
      </c>
    </row>
    <row r="398" spans="1:7">
      <c r="A398" s="2">
        <v>41624</v>
      </c>
      <c r="B398" s="3">
        <v>4.7494</v>
      </c>
      <c r="C398" s="3">
        <v>4.9024</v>
      </c>
      <c r="D398" s="3">
        <v>4.8142</v>
      </c>
      <c r="E398" s="3">
        <v>4.9685</v>
      </c>
      <c r="F398" s="3">
        <v>4.7818</v>
      </c>
      <c r="G398" s="3">
        <v>4.9354</v>
      </c>
    </row>
    <row r="399" spans="1:7">
      <c r="A399" s="2">
        <v>41625</v>
      </c>
      <c r="B399" s="3">
        <v>4.8018</v>
      </c>
      <c r="C399" s="3">
        <v>4.9357</v>
      </c>
      <c r="D399" s="3">
        <v>4.8688</v>
      </c>
      <c r="E399" s="3">
        <v>5.0123</v>
      </c>
      <c r="F399" s="3">
        <v>4.8353</v>
      </c>
      <c r="G399" s="3">
        <v>4.974</v>
      </c>
    </row>
    <row r="400" spans="1:7">
      <c r="A400" s="2">
        <v>41626</v>
      </c>
      <c r="B400" s="3">
        <v>4.8632</v>
      </c>
      <c r="C400" s="3">
        <v>4.9776</v>
      </c>
      <c r="D400" s="3">
        <v>4.9255</v>
      </c>
      <c r="E400" s="3">
        <v>5.0424</v>
      </c>
      <c r="F400" s="3">
        <v>4.8944</v>
      </c>
      <c r="G400" s="3">
        <v>5.01</v>
      </c>
    </row>
    <row r="401" spans="1:7">
      <c r="A401" s="2">
        <v>41627</v>
      </c>
      <c r="B401" s="3">
        <v>4.9597</v>
      </c>
      <c r="C401" s="3">
        <v>4.9974</v>
      </c>
      <c r="D401" s="3">
        <v>5.0234</v>
      </c>
      <c r="E401" s="3">
        <v>5.0632</v>
      </c>
      <c r="F401" s="3">
        <v>4.9915</v>
      </c>
      <c r="G401" s="3">
        <v>5.0303</v>
      </c>
    </row>
    <row r="402" spans="1:7">
      <c r="A402" s="2">
        <v>41628</v>
      </c>
      <c r="B402" s="3">
        <v>4.9952</v>
      </c>
      <c r="C402" s="3">
        <v>5.019</v>
      </c>
      <c r="D402" s="3">
        <v>5.0582</v>
      </c>
      <c r="E402" s="3">
        <v>5.088</v>
      </c>
      <c r="F402" s="3">
        <v>5.0267</v>
      </c>
      <c r="G402" s="3">
        <v>5.0535</v>
      </c>
    </row>
    <row r="403" spans="1:7">
      <c r="A403" s="2">
        <v>41631</v>
      </c>
      <c r="B403" s="3">
        <v>5.0582</v>
      </c>
      <c r="C403" s="3">
        <v>5.0343</v>
      </c>
      <c r="D403" s="3">
        <v>5.1186</v>
      </c>
      <c r="E403" s="3">
        <v>5.1013</v>
      </c>
      <c r="F403" s="3">
        <v>5.0884</v>
      </c>
      <c r="G403" s="3">
        <v>5.0678</v>
      </c>
    </row>
    <row r="404" spans="1:7">
      <c r="A404" s="2">
        <v>41632</v>
      </c>
      <c r="B404" s="3">
        <v>4.9558</v>
      </c>
      <c r="C404" s="3">
        <v>4.9975</v>
      </c>
      <c r="D404" s="3">
        <v>5.0157</v>
      </c>
      <c r="E404" s="3">
        <v>5.067</v>
      </c>
      <c r="F404" s="3">
        <v>4.9858</v>
      </c>
      <c r="G404" s="3">
        <v>5.0323</v>
      </c>
    </row>
    <row r="405" spans="1:7">
      <c r="A405" s="2">
        <v>41633</v>
      </c>
      <c r="B405" s="3">
        <v>4.9646</v>
      </c>
      <c r="C405" s="3">
        <v>5.0102</v>
      </c>
      <c r="D405" s="3">
        <v>5.0248</v>
      </c>
      <c r="E405" s="3">
        <v>5.0789</v>
      </c>
      <c r="F405" s="3">
        <v>4.9947</v>
      </c>
      <c r="G405" s="3">
        <v>5.0446</v>
      </c>
    </row>
    <row r="406" spans="1:7">
      <c r="A406" s="2">
        <v>41634</v>
      </c>
      <c r="B406" s="3">
        <v>4.9675</v>
      </c>
      <c r="C406" s="3">
        <v>5.0161</v>
      </c>
      <c r="D406" s="3">
        <v>5.0303</v>
      </c>
      <c r="E406" s="3">
        <v>5.0897</v>
      </c>
      <c r="F406" s="3">
        <v>4.9989</v>
      </c>
      <c r="G406" s="3">
        <v>5.0529</v>
      </c>
    </row>
    <row r="407" spans="1:7">
      <c r="A407" s="2">
        <v>41635</v>
      </c>
      <c r="B407" s="3">
        <v>4.978</v>
      </c>
      <c r="C407" s="3">
        <v>5.0291</v>
      </c>
      <c r="D407" s="3">
        <v>5.037</v>
      </c>
      <c r="E407" s="3">
        <v>5.0998</v>
      </c>
      <c r="F407" s="3">
        <v>5.0075</v>
      </c>
      <c r="G407" s="3">
        <v>5.0645</v>
      </c>
    </row>
    <row r="408" spans="1:7">
      <c r="A408" s="2">
        <v>41638</v>
      </c>
      <c r="B408" s="3">
        <v>4.9803</v>
      </c>
      <c r="C408" s="3">
        <v>5.0315</v>
      </c>
      <c r="D408" s="3">
        <v>5.0408</v>
      </c>
      <c r="E408" s="3">
        <v>5.1043</v>
      </c>
      <c r="F408" s="3">
        <v>5.0105</v>
      </c>
      <c r="G408" s="3">
        <v>5.0679</v>
      </c>
    </row>
    <row r="409" spans="1:7">
      <c r="A409" s="2">
        <v>41639</v>
      </c>
      <c r="B409" s="3">
        <v>5.1938</v>
      </c>
      <c r="C409" s="3">
        <v>5.2004</v>
      </c>
      <c r="D409" s="3">
        <v>5.2567</v>
      </c>
      <c r="E409" s="3">
        <v>5.2798</v>
      </c>
      <c r="F409" s="3">
        <v>5.2252</v>
      </c>
      <c r="G409" s="3">
        <v>5.2401</v>
      </c>
    </row>
    <row r="410" spans="1:7">
      <c r="A410" s="2">
        <v>41641</v>
      </c>
      <c r="B410" s="3">
        <v>5.2598</v>
      </c>
      <c r="C410" s="3">
        <v>5.2983</v>
      </c>
      <c r="D410" s="3">
        <v>5.3254</v>
      </c>
      <c r="E410" s="3">
        <v>5.3689</v>
      </c>
      <c r="F410" s="3">
        <v>5.2926</v>
      </c>
      <c r="G410" s="3">
        <v>5.3336</v>
      </c>
    </row>
    <row r="411" spans="1:7">
      <c r="A411" s="2">
        <v>41642</v>
      </c>
      <c r="B411" s="3">
        <v>5.2576</v>
      </c>
      <c r="C411" s="3">
        <v>5.3116</v>
      </c>
      <c r="D411" s="3">
        <v>5.3193</v>
      </c>
      <c r="E411" s="3">
        <v>5.3845</v>
      </c>
      <c r="F411" s="3">
        <v>5.2885</v>
      </c>
      <c r="G411" s="3">
        <v>5.348</v>
      </c>
    </row>
    <row r="412" spans="1:7">
      <c r="A412" s="2">
        <v>41645</v>
      </c>
      <c r="B412" s="3">
        <v>5.1538</v>
      </c>
      <c r="C412" s="3">
        <v>5.2163</v>
      </c>
      <c r="D412" s="3">
        <v>5.2183</v>
      </c>
      <c r="E412" s="3">
        <v>5.2828</v>
      </c>
      <c r="F412" s="3">
        <v>5.1861</v>
      </c>
      <c r="G412" s="3">
        <v>5.2495</v>
      </c>
    </row>
    <row r="413" spans="1:7">
      <c r="A413" s="2">
        <v>41646</v>
      </c>
      <c r="B413" s="3">
        <v>5.0475</v>
      </c>
      <c r="C413" s="3">
        <v>5.1326</v>
      </c>
      <c r="D413" s="3">
        <v>5.1075</v>
      </c>
      <c r="E413" s="3">
        <v>5.1941</v>
      </c>
      <c r="F413" s="3">
        <v>5.0775</v>
      </c>
      <c r="G413" s="3">
        <v>5.1633</v>
      </c>
    </row>
    <row r="414" spans="1:7">
      <c r="A414" s="2">
        <v>41647</v>
      </c>
      <c r="B414" s="3">
        <v>5.0328</v>
      </c>
      <c r="C414" s="3">
        <v>5.1161</v>
      </c>
      <c r="D414" s="3">
        <v>5.0939</v>
      </c>
      <c r="E414" s="3">
        <v>5.1833</v>
      </c>
      <c r="F414" s="3">
        <v>5.0634</v>
      </c>
      <c r="G414" s="3">
        <v>5.1497</v>
      </c>
    </row>
    <row r="415" spans="1:7">
      <c r="A415" s="2">
        <v>41648</v>
      </c>
      <c r="B415" s="3">
        <v>5.0001</v>
      </c>
      <c r="C415" s="3">
        <v>5.1105</v>
      </c>
      <c r="D415" s="3">
        <v>5.0632</v>
      </c>
      <c r="E415" s="3">
        <v>5.1704</v>
      </c>
      <c r="F415" s="3">
        <v>5.0317</v>
      </c>
      <c r="G415" s="3">
        <v>5.1405</v>
      </c>
    </row>
    <row r="416" spans="1:7">
      <c r="A416" s="2">
        <v>41649</v>
      </c>
      <c r="B416" s="3">
        <v>5.0221</v>
      </c>
      <c r="C416" s="3">
        <v>5.1329</v>
      </c>
      <c r="D416" s="3">
        <v>5.0855</v>
      </c>
      <c r="E416" s="3">
        <v>5.1988</v>
      </c>
      <c r="F416" s="3">
        <v>5.0538</v>
      </c>
      <c r="G416" s="3">
        <v>5.1658</v>
      </c>
    </row>
    <row r="417" spans="1:7">
      <c r="A417" s="2">
        <v>41652</v>
      </c>
      <c r="B417" s="3">
        <v>5.0016</v>
      </c>
      <c r="C417" s="3">
        <v>5.1105</v>
      </c>
      <c r="D417" s="3">
        <v>5.063</v>
      </c>
      <c r="E417" s="3">
        <v>5.1754</v>
      </c>
      <c r="F417" s="3">
        <v>5.0323</v>
      </c>
      <c r="G417" s="3">
        <v>5.1429</v>
      </c>
    </row>
    <row r="418" spans="1:7">
      <c r="A418" s="2">
        <v>41653</v>
      </c>
      <c r="B418" s="3">
        <v>5.0312</v>
      </c>
      <c r="C418" s="3">
        <v>5.1433</v>
      </c>
      <c r="D418" s="3">
        <v>5.0876</v>
      </c>
      <c r="E418" s="3">
        <v>5.2</v>
      </c>
      <c r="F418" s="3">
        <v>5.0594</v>
      </c>
      <c r="G418" s="3">
        <v>5.1717</v>
      </c>
    </row>
    <row r="419" spans="1:7">
      <c r="A419" s="2">
        <v>41654</v>
      </c>
      <c r="B419" s="3">
        <v>4.8931</v>
      </c>
      <c r="C419" s="3">
        <v>5.0452</v>
      </c>
      <c r="D419" s="3">
        <v>4.9538</v>
      </c>
      <c r="E419" s="3">
        <v>5.0998</v>
      </c>
      <c r="F419" s="3">
        <v>4.9234</v>
      </c>
      <c r="G419" s="3">
        <v>5.0725</v>
      </c>
    </row>
    <row r="420" spans="1:7">
      <c r="A420" s="2">
        <v>41655</v>
      </c>
      <c r="B420" s="3">
        <v>4.9707</v>
      </c>
      <c r="C420" s="3">
        <v>5.1059</v>
      </c>
      <c r="D420" s="3">
        <v>5.0318</v>
      </c>
      <c r="E420" s="3">
        <v>5.1715</v>
      </c>
      <c r="F420" s="3">
        <v>5.0013</v>
      </c>
      <c r="G420" s="3">
        <v>5.1387</v>
      </c>
    </row>
    <row r="421" spans="1:7">
      <c r="A421" s="2">
        <v>41656</v>
      </c>
      <c r="B421" s="3">
        <v>5.0518</v>
      </c>
      <c r="C421" s="3">
        <v>5.1453</v>
      </c>
      <c r="D421" s="3">
        <v>5.1118</v>
      </c>
      <c r="E421" s="3">
        <v>5.2139</v>
      </c>
      <c r="F421" s="3">
        <v>5.0818</v>
      </c>
      <c r="G421" s="3">
        <v>5.1796</v>
      </c>
    </row>
    <row r="422" spans="1:7">
      <c r="A422" s="2">
        <v>41659</v>
      </c>
      <c r="B422" s="3">
        <v>5.0231</v>
      </c>
      <c r="C422" s="3">
        <v>5.1242</v>
      </c>
      <c r="D422" s="3">
        <v>5.0782</v>
      </c>
      <c r="E422" s="3">
        <v>5.1865</v>
      </c>
      <c r="F422" s="3">
        <v>5.0507</v>
      </c>
      <c r="G422" s="3">
        <v>5.1553</v>
      </c>
    </row>
    <row r="423" spans="1:7">
      <c r="A423" s="2">
        <v>41660</v>
      </c>
      <c r="B423" s="3">
        <v>4.8871</v>
      </c>
      <c r="C423" s="3">
        <v>5.0468</v>
      </c>
      <c r="D423" s="3">
        <v>4.9471</v>
      </c>
      <c r="E423" s="3">
        <v>5.1079</v>
      </c>
      <c r="F423" s="3">
        <v>4.9171</v>
      </c>
      <c r="G423" s="3">
        <v>5.0774</v>
      </c>
    </row>
    <row r="424" spans="1:7">
      <c r="A424" s="2">
        <v>41661</v>
      </c>
      <c r="B424" s="3">
        <v>4.8361</v>
      </c>
      <c r="C424" s="3">
        <v>4.9914</v>
      </c>
      <c r="D424" s="3">
        <v>4.8957</v>
      </c>
      <c r="E424" s="3">
        <v>5.0561</v>
      </c>
      <c r="F424" s="3">
        <v>4.8659</v>
      </c>
      <c r="G424" s="3">
        <v>5.0237</v>
      </c>
    </row>
    <row r="425" spans="1:7">
      <c r="A425" s="2">
        <v>41662</v>
      </c>
      <c r="B425" s="3">
        <v>4.8632</v>
      </c>
      <c r="C425" s="3">
        <v>5.0168</v>
      </c>
      <c r="D425" s="3">
        <v>4.929</v>
      </c>
      <c r="E425" s="3">
        <v>5.084</v>
      </c>
      <c r="F425" s="3">
        <v>4.8961</v>
      </c>
      <c r="G425" s="3">
        <v>5.0504</v>
      </c>
    </row>
    <row r="426" spans="1:7">
      <c r="A426" s="2">
        <v>41663</v>
      </c>
      <c r="B426" s="3">
        <v>4.8389</v>
      </c>
      <c r="C426" s="3">
        <v>4.9791</v>
      </c>
      <c r="D426" s="3">
        <v>4.8994</v>
      </c>
      <c r="E426" s="3">
        <v>5.0457</v>
      </c>
      <c r="F426" s="3">
        <v>4.8692</v>
      </c>
      <c r="G426" s="3">
        <v>5.0124</v>
      </c>
    </row>
    <row r="427" spans="1:7">
      <c r="A427" s="2">
        <v>41665</v>
      </c>
      <c r="B427" s="3">
        <v>4.7743</v>
      </c>
      <c r="C427" s="3">
        <v>4.8862</v>
      </c>
      <c r="D427" s="3">
        <v>4.837</v>
      </c>
      <c r="E427" s="3">
        <v>4.9462</v>
      </c>
      <c r="F427" s="3">
        <v>4.8057</v>
      </c>
      <c r="G427" s="3">
        <v>4.9162</v>
      </c>
    </row>
    <row r="428" spans="1:7">
      <c r="A428" s="2">
        <v>41666</v>
      </c>
      <c r="B428" s="3">
        <v>4.7453</v>
      </c>
      <c r="C428" s="3">
        <v>4.8607</v>
      </c>
      <c r="D428" s="3">
        <v>4.8131</v>
      </c>
      <c r="E428" s="3">
        <v>4.9339</v>
      </c>
      <c r="F428" s="3">
        <v>4.7792</v>
      </c>
      <c r="G428" s="3">
        <v>4.8973</v>
      </c>
    </row>
    <row r="429" spans="1:7">
      <c r="A429" s="2">
        <v>41667</v>
      </c>
      <c r="B429" s="3">
        <v>4.8282</v>
      </c>
      <c r="C429" s="3">
        <v>4.9322</v>
      </c>
      <c r="D429" s="3">
        <v>4.8926</v>
      </c>
      <c r="E429" s="3">
        <v>4.9899</v>
      </c>
      <c r="F429" s="3">
        <v>4.8604</v>
      </c>
      <c r="G429" s="3">
        <v>4.961</v>
      </c>
    </row>
    <row r="430" spans="1:7">
      <c r="A430" s="2">
        <v>41668</v>
      </c>
      <c r="B430" s="3">
        <v>4.8068</v>
      </c>
      <c r="C430" s="3">
        <v>4.9068</v>
      </c>
      <c r="D430" s="3">
        <v>4.8659</v>
      </c>
      <c r="E430" s="3">
        <v>4.9665</v>
      </c>
      <c r="F430" s="3">
        <v>4.8364</v>
      </c>
      <c r="G430" s="3">
        <v>4.9367</v>
      </c>
    </row>
    <row r="431" spans="1:7">
      <c r="A431" s="2">
        <v>41669</v>
      </c>
      <c r="B431" s="3">
        <v>4.7779</v>
      </c>
      <c r="C431" s="3">
        <v>4.8804</v>
      </c>
      <c r="D431" s="3">
        <v>4.8434</v>
      </c>
      <c r="E431" s="3">
        <v>4.9488</v>
      </c>
      <c r="F431" s="3">
        <v>4.8106</v>
      </c>
      <c r="G431" s="3">
        <v>4.9146</v>
      </c>
    </row>
    <row r="432" spans="1:7">
      <c r="A432" s="2">
        <v>41677</v>
      </c>
      <c r="B432" s="3">
        <v>4.7793</v>
      </c>
      <c r="C432" s="3">
        <v>4.8788</v>
      </c>
      <c r="D432" s="3">
        <v>4.8364</v>
      </c>
      <c r="E432" s="3">
        <v>4.9443</v>
      </c>
      <c r="F432" s="3">
        <v>4.8079</v>
      </c>
      <c r="G432" s="3">
        <v>4.9115</v>
      </c>
    </row>
    <row r="433" spans="1:7">
      <c r="A433" s="2">
        <v>41678</v>
      </c>
      <c r="B433" s="3">
        <v>4.7918</v>
      </c>
      <c r="C433" s="3">
        <v>4.881</v>
      </c>
      <c r="D433" s="3">
        <v>4.8471</v>
      </c>
      <c r="E433" s="3">
        <v>4.944</v>
      </c>
      <c r="F433" s="3">
        <v>4.8195</v>
      </c>
      <c r="G433" s="3">
        <v>4.9125</v>
      </c>
    </row>
    <row r="434" spans="1:7">
      <c r="A434" s="2">
        <v>41680</v>
      </c>
      <c r="B434" s="3">
        <v>4.833</v>
      </c>
      <c r="C434" s="3">
        <v>4.9244</v>
      </c>
      <c r="D434" s="3">
        <v>4.8967</v>
      </c>
      <c r="E434" s="3">
        <v>4.9929</v>
      </c>
      <c r="F434" s="3">
        <v>4.8649</v>
      </c>
      <c r="G434" s="3">
        <v>4.9587</v>
      </c>
    </row>
    <row r="435" spans="1:7">
      <c r="A435" s="2">
        <v>41681</v>
      </c>
      <c r="B435" s="3">
        <v>4.8286</v>
      </c>
      <c r="C435" s="3">
        <v>4.9247</v>
      </c>
      <c r="D435" s="3">
        <v>4.8911</v>
      </c>
      <c r="E435" s="3">
        <v>4.9931</v>
      </c>
      <c r="F435" s="3">
        <v>4.8599</v>
      </c>
      <c r="G435" s="3">
        <v>4.9589</v>
      </c>
    </row>
    <row r="436" spans="1:7">
      <c r="A436" s="2">
        <v>41682</v>
      </c>
      <c r="B436" s="3">
        <v>4.8259</v>
      </c>
      <c r="C436" s="3">
        <v>4.9189</v>
      </c>
      <c r="D436" s="3">
        <v>4.8816</v>
      </c>
      <c r="E436" s="3">
        <v>4.9768</v>
      </c>
      <c r="F436" s="3">
        <v>4.8537</v>
      </c>
      <c r="G436" s="3">
        <v>4.9479</v>
      </c>
    </row>
    <row r="437" spans="1:7">
      <c r="A437" s="2">
        <v>41683</v>
      </c>
      <c r="B437" s="3">
        <v>4.7875</v>
      </c>
      <c r="C437" s="3">
        <v>4.8935</v>
      </c>
      <c r="D437" s="3">
        <v>4.8438</v>
      </c>
      <c r="E437" s="3">
        <v>4.9513</v>
      </c>
      <c r="F437" s="3">
        <v>4.8156</v>
      </c>
      <c r="G437" s="3">
        <v>4.9224</v>
      </c>
    </row>
    <row r="438" spans="1:7">
      <c r="A438" s="2">
        <v>41684</v>
      </c>
      <c r="B438" s="3">
        <v>4.7428</v>
      </c>
      <c r="C438" s="3">
        <v>4.8591</v>
      </c>
      <c r="D438" s="3">
        <v>4.802</v>
      </c>
      <c r="E438" s="3">
        <v>4.9208</v>
      </c>
      <c r="F438" s="3">
        <v>4.7724</v>
      </c>
      <c r="G438" s="3">
        <v>4.8899</v>
      </c>
    </row>
    <row r="439" spans="1:7">
      <c r="A439" s="2">
        <v>41687</v>
      </c>
      <c r="B439" s="3">
        <v>4.7896</v>
      </c>
      <c r="C439" s="3">
        <v>4.9303</v>
      </c>
      <c r="D439" s="3">
        <v>4.8501</v>
      </c>
      <c r="E439" s="3">
        <v>4.9904</v>
      </c>
      <c r="F439" s="3">
        <v>4.8199</v>
      </c>
      <c r="G439" s="3">
        <v>4.9603</v>
      </c>
    </row>
    <row r="440" spans="1:7">
      <c r="A440" s="2">
        <v>41688</v>
      </c>
      <c r="B440" s="3">
        <v>4.8108</v>
      </c>
      <c r="C440" s="3">
        <v>4.9572</v>
      </c>
      <c r="D440" s="3">
        <v>4.8708</v>
      </c>
      <c r="E440" s="3">
        <v>5.0167</v>
      </c>
      <c r="F440" s="3">
        <v>4.8408</v>
      </c>
      <c r="G440" s="3">
        <v>4.987</v>
      </c>
    </row>
    <row r="441" spans="1:7">
      <c r="A441" s="2">
        <v>41689</v>
      </c>
      <c r="B441" s="3">
        <v>4.8026</v>
      </c>
      <c r="C441" s="3">
        <v>4.9656</v>
      </c>
      <c r="D441" s="3">
        <v>4.8629</v>
      </c>
      <c r="E441" s="3">
        <v>5.0282</v>
      </c>
      <c r="F441" s="3">
        <v>4.8327</v>
      </c>
      <c r="G441" s="3">
        <v>4.9969</v>
      </c>
    </row>
    <row r="442" spans="1:7">
      <c r="A442" s="2">
        <v>41690</v>
      </c>
      <c r="B442" s="3">
        <v>4.7518</v>
      </c>
      <c r="C442" s="3">
        <v>4.9183</v>
      </c>
      <c r="D442" s="3">
        <v>4.8046</v>
      </c>
      <c r="E442" s="3">
        <v>4.979</v>
      </c>
      <c r="F442" s="3">
        <v>4.7782</v>
      </c>
      <c r="G442" s="3">
        <v>4.9487</v>
      </c>
    </row>
    <row r="443" spans="1:7">
      <c r="A443" s="2">
        <v>41691</v>
      </c>
      <c r="B443" s="3">
        <v>4.664</v>
      </c>
      <c r="C443" s="3">
        <v>4.8725</v>
      </c>
      <c r="D443" s="3">
        <v>4.719</v>
      </c>
      <c r="E443" s="3">
        <v>4.9325</v>
      </c>
      <c r="F443" s="3">
        <v>4.6915</v>
      </c>
      <c r="G443" s="3">
        <v>4.9025</v>
      </c>
    </row>
    <row r="444" spans="1:7">
      <c r="A444" s="2">
        <v>41694</v>
      </c>
      <c r="B444" s="3">
        <v>4.6099</v>
      </c>
      <c r="C444" s="3">
        <v>4.8068</v>
      </c>
      <c r="D444" s="3">
        <v>4.673</v>
      </c>
      <c r="E444" s="3">
        <v>4.8729</v>
      </c>
      <c r="F444" s="3">
        <v>4.6414</v>
      </c>
      <c r="G444" s="3">
        <v>4.8399</v>
      </c>
    </row>
    <row r="445" spans="1:7">
      <c r="A445" s="2">
        <v>41695</v>
      </c>
      <c r="B445" s="3">
        <v>4.462</v>
      </c>
      <c r="C445" s="3">
        <v>4.671</v>
      </c>
      <c r="D445" s="3">
        <v>4.5294</v>
      </c>
      <c r="E445" s="3">
        <v>4.7382</v>
      </c>
      <c r="F445" s="3">
        <v>4.4957</v>
      </c>
      <c r="G445" s="3">
        <v>4.7046</v>
      </c>
    </row>
    <row r="446" spans="1:7">
      <c r="A446" s="2">
        <v>41696</v>
      </c>
      <c r="B446" s="3">
        <v>4.48</v>
      </c>
      <c r="C446" s="3">
        <v>4.6738</v>
      </c>
      <c r="D446" s="3">
        <v>4.5402</v>
      </c>
      <c r="E446" s="3">
        <v>4.7352</v>
      </c>
      <c r="F446" s="3">
        <v>4.5101</v>
      </c>
      <c r="G446" s="3">
        <v>4.7045</v>
      </c>
    </row>
    <row r="447" spans="1:7">
      <c r="A447" s="2">
        <v>41697</v>
      </c>
      <c r="B447" s="3">
        <v>4.3542</v>
      </c>
      <c r="C447" s="3">
        <v>4.5375</v>
      </c>
      <c r="D447" s="3">
        <v>4.4117</v>
      </c>
      <c r="E447" s="3">
        <v>4.6006</v>
      </c>
      <c r="F447" s="3">
        <v>4.3829</v>
      </c>
      <c r="G447" s="3">
        <v>4.5691</v>
      </c>
    </row>
    <row r="448" spans="1:7">
      <c r="A448" s="2">
        <v>41698</v>
      </c>
      <c r="B448" s="3">
        <v>4.3439</v>
      </c>
      <c r="C448" s="3">
        <v>4.5164</v>
      </c>
      <c r="D448" s="3">
        <v>4.4032</v>
      </c>
      <c r="E448" s="3">
        <v>4.5824</v>
      </c>
      <c r="F448" s="3">
        <v>4.3735</v>
      </c>
      <c r="G448" s="3">
        <v>4.5494</v>
      </c>
    </row>
    <row r="449" spans="1:7">
      <c r="A449" s="2">
        <v>41701</v>
      </c>
      <c r="B449" s="3">
        <v>4.3608</v>
      </c>
      <c r="C449" s="3">
        <v>4.5711</v>
      </c>
      <c r="D449" s="3">
        <v>4.4207</v>
      </c>
      <c r="E449" s="3">
        <v>4.6344</v>
      </c>
      <c r="F449" s="3">
        <v>4.3908</v>
      </c>
      <c r="G449" s="3">
        <v>4.6028</v>
      </c>
    </row>
    <row r="450" spans="1:7">
      <c r="A450" s="2">
        <v>41702</v>
      </c>
      <c r="B450" s="3">
        <v>4.4501</v>
      </c>
      <c r="C450" s="3">
        <v>4.7007</v>
      </c>
      <c r="D450" s="3">
        <v>4.5098</v>
      </c>
      <c r="E450" s="3">
        <v>4.7645</v>
      </c>
      <c r="F450" s="3">
        <v>4.48</v>
      </c>
      <c r="G450" s="3">
        <v>4.7326</v>
      </c>
    </row>
    <row r="451" spans="1:7">
      <c r="A451" s="2">
        <v>41703</v>
      </c>
      <c r="B451" s="3">
        <v>4.5165</v>
      </c>
      <c r="C451" s="3">
        <v>4.7514</v>
      </c>
      <c r="D451" s="3">
        <v>4.5738</v>
      </c>
      <c r="E451" s="3">
        <v>4.8111</v>
      </c>
      <c r="F451" s="3">
        <v>4.5451</v>
      </c>
      <c r="G451" s="3">
        <v>4.7813</v>
      </c>
    </row>
    <row r="452" spans="1:7">
      <c r="A452" s="2">
        <v>41704</v>
      </c>
      <c r="B452" s="3">
        <v>4.4396</v>
      </c>
      <c r="C452" s="3">
        <v>4.6841</v>
      </c>
      <c r="D452" s="3">
        <v>4.5042</v>
      </c>
      <c r="E452" s="3">
        <v>4.7469</v>
      </c>
      <c r="F452" s="3">
        <v>4.4719</v>
      </c>
      <c r="G452" s="3">
        <v>4.7155</v>
      </c>
    </row>
    <row r="453" spans="1:7">
      <c r="A453" s="2">
        <v>41705</v>
      </c>
      <c r="B453" s="3">
        <v>4.3852</v>
      </c>
      <c r="C453" s="3">
        <v>4.6463</v>
      </c>
      <c r="D453" s="3">
        <v>4.4447</v>
      </c>
      <c r="E453" s="3">
        <v>4.716</v>
      </c>
      <c r="F453" s="3">
        <v>4.4149</v>
      </c>
      <c r="G453" s="3">
        <v>4.6812</v>
      </c>
    </row>
    <row r="454" spans="1:7">
      <c r="A454" s="2">
        <v>41708</v>
      </c>
      <c r="B454" s="3">
        <v>4.2426</v>
      </c>
      <c r="C454" s="3">
        <v>4.534</v>
      </c>
      <c r="D454" s="3">
        <v>4.3077</v>
      </c>
      <c r="E454" s="3">
        <v>4.6043</v>
      </c>
      <c r="F454" s="3">
        <v>4.2752</v>
      </c>
      <c r="G454" s="3">
        <v>4.5692</v>
      </c>
    </row>
    <row r="455" spans="1:7">
      <c r="A455" s="2">
        <v>41709</v>
      </c>
      <c r="B455" s="3">
        <v>4.1169</v>
      </c>
      <c r="C455" s="3">
        <v>4.4517</v>
      </c>
      <c r="D455" s="3">
        <v>4.1766</v>
      </c>
      <c r="E455" s="3">
        <v>4.5118</v>
      </c>
      <c r="F455" s="3">
        <v>4.1468</v>
      </c>
      <c r="G455" s="3">
        <v>4.4817</v>
      </c>
    </row>
    <row r="456" spans="1:7">
      <c r="A456" s="2">
        <v>41710</v>
      </c>
      <c r="B456" s="3">
        <v>4.0492</v>
      </c>
      <c r="C456" s="3">
        <v>4.4353</v>
      </c>
      <c r="D456" s="3">
        <v>4.1082</v>
      </c>
      <c r="E456" s="3">
        <v>4.5006</v>
      </c>
      <c r="F456" s="3">
        <v>4.0787</v>
      </c>
      <c r="G456" s="3">
        <v>4.468</v>
      </c>
    </row>
    <row r="457" spans="1:7">
      <c r="A457" s="2">
        <v>41711</v>
      </c>
      <c r="B457" s="3">
        <v>4.0535</v>
      </c>
      <c r="C457" s="3">
        <v>4.4426</v>
      </c>
      <c r="D457" s="3">
        <v>4.1222</v>
      </c>
      <c r="E457" s="3">
        <v>4.5102</v>
      </c>
      <c r="F457" s="3">
        <v>4.0879</v>
      </c>
      <c r="G457" s="3">
        <v>4.4764</v>
      </c>
    </row>
    <row r="458" spans="1:7">
      <c r="A458" s="2">
        <v>41712</v>
      </c>
      <c r="B458" s="3">
        <v>4.0404</v>
      </c>
      <c r="C458" s="3">
        <v>4.3849</v>
      </c>
      <c r="D458" s="3">
        <v>4.1086</v>
      </c>
      <c r="E458" s="3">
        <v>4.4526</v>
      </c>
      <c r="F458" s="3">
        <v>4.0745</v>
      </c>
      <c r="G458" s="3">
        <v>4.4187</v>
      </c>
    </row>
    <row r="459" spans="1:7">
      <c r="A459" s="2">
        <v>41715</v>
      </c>
      <c r="B459" s="3">
        <v>4.121</v>
      </c>
      <c r="C459" s="3">
        <v>4.4306</v>
      </c>
      <c r="D459" s="3">
        <v>4.1841</v>
      </c>
      <c r="E459" s="3">
        <v>4.5004</v>
      </c>
      <c r="F459" s="3">
        <v>4.1526</v>
      </c>
      <c r="G459" s="3">
        <v>4.4655</v>
      </c>
    </row>
    <row r="460" spans="1:7">
      <c r="A460" s="2">
        <v>41716</v>
      </c>
      <c r="B460" s="3">
        <v>4.2509</v>
      </c>
      <c r="C460" s="3">
        <v>4.5285</v>
      </c>
      <c r="D460" s="3">
        <v>4.3145</v>
      </c>
      <c r="E460" s="3">
        <v>4.5982</v>
      </c>
      <c r="F460" s="3">
        <v>4.2827</v>
      </c>
      <c r="G460" s="3">
        <v>4.5634</v>
      </c>
    </row>
    <row r="461" spans="1:7">
      <c r="A461" s="2">
        <v>41717</v>
      </c>
      <c r="B461" s="3">
        <v>4.3453</v>
      </c>
      <c r="C461" s="3">
        <v>4.576</v>
      </c>
      <c r="D461" s="3">
        <v>4.4045</v>
      </c>
      <c r="E461" s="3">
        <v>4.6413</v>
      </c>
      <c r="F461" s="3">
        <v>4.3749</v>
      </c>
      <c r="G461" s="3">
        <v>4.6086</v>
      </c>
    </row>
    <row r="462" spans="1:7">
      <c r="A462" s="2">
        <v>41718</v>
      </c>
      <c r="B462" s="3">
        <v>4.2488</v>
      </c>
      <c r="C462" s="3">
        <v>4.5279</v>
      </c>
      <c r="D462" s="3">
        <v>4.3088</v>
      </c>
      <c r="E462" s="3">
        <v>4.5925</v>
      </c>
      <c r="F462" s="3">
        <v>4.2788</v>
      </c>
      <c r="G462" s="3">
        <v>4.5602</v>
      </c>
    </row>
    <row r="463" spans="1:7">
      <c r="A463" s="2">
        <v>41719</v>
      </c>
      <c r="B463" s="3">
        <v>4.1756</v>
      </c>
      <c r="C463" s="3">
        <v>4.4752</v>
      </c>
      <c r="D463" s="3">
        <v>4.2358</v>
      </c>
      <c r="E463" s="3">
        <v>4.5457</v>
      </c>
      <c r="F463" s="3">
        <v>4.2057</v>
      </c>
      <c r="G463" s="3">
        <v>4.5104</v>
      </c>
    </row>
    <row r="464" spans="1:7">
      <c r="A464" s="2">
        <v>41722</v>
      </c>
      <c r="B464" s="3">
        <v>4.1736</v>
      </c>
      <c r="C464" s="3">
        <v>4.4694</v>
      </c>
      <c r="D464" s="3">
        <v>4.2318</v>
      </c>
      <c r="E464" s="3">
        <v>4.5373</v>
      </c>
      <c r="F464" s="3">
        <v>4.2027</v>
      </c>
      <c r="G464" s="3">
        <v>4.5033</v>
      </c>
    </row>
    <row r="465" spans="1:7">
      <c r="A465" s="2">
        <v>41723</v>
      </c>
      <c r="B465" s="3">
        <v>4.2215</v>
      </c>
      <c r="C465" s="3">
        <v>4.5148</v>
      </c>
      <c r="D465" s="3">
        <v>4.2805</v>
      </c>
      <c r="E465" s="3">
        <v>4.5789</v>
      </c>
      <c r="F465" s="3">
        <v>4.251</v>
      </c>
      <c r="G465" s="3">
        <v>4.5468</v>
      </c>
    </row>
    <row r="466" spans="1:7">
      <c r="A466" s="2">
        <v>41724</v>
      </c>
      <c r="B466" s="3">
        <v>4.2401</v>
      </c>
      <c r="C466" s="3">
        <v>4.5251</v>
      </c>
      <c r="D466" s="3">
        <v>4.3008</v>
      </c>
      <c r="E466" s="3">
        <v>4.5919</v>
      </c>
      <c r="F466" s="3">
        <v>4.2705</v>
      </c>
      <c r="G466" s="3">
        <v>4.5585</v>
      </c>
    </row>
    <row r="467" spans="1:7">
      <c r="A467" s="2">
        <v>41725</v>
      </c>
      <c r="B467" s="3">
        <v>4.2709</v>
      </c>
      <c r="C467" s="3">
        <v>4.5353</v>
      </c>
      <c r="D467" s="3">
        <v>4.3332</v>
      </c>
      <c r="E467" s="3">
        <v>4.6011</v>
      </c>
      <c r="F467" s="3">
        <v>4.302</v>
      </c>
      <c r="G467" s="3">
        <v>4.5682</v>
      </c>
    </row>
    <row r="468" spans="1:7">
      <c r="A468" s="2">
        <v>41726</v>
      </c>
      <c r="B468" s="3">
        <v>4.2356</v>
      </c>
      <c r="C468" s="3">
        <v>4.507</v>
      </c>
      <c r="D468" s="3">
        <v>4.3034</v>
      </c>
      <c r="E468" s="3">
        <v>4.576</v>
      </c>
      <c r="F468" s="3">
        <v>4.2695</v>
      </c>
      <c r="G468" s="3">
        <v>4.5415</v>
      </c>
    </row>
    <row r="469" spans="1:7">
      <c r="A469" s="2">
        <v>41729</v>
      </c>
      <c r="B469" s="3">
        <v>4.2482</v>
      </c>
      <c r="C469" s="3">
        <v>4.5148</v>
      </c>
      <c r="D469" s="3">
        <v>4.3106</v>
      </c>
      <c r="E469" s="3">
        <v>4.5825</v>
      </c>
      <c r="F469" s="3">
        <v>4.2794</v>
      </c>
      <c r="G469" s="3">
        <v>4.5486</v>
      </c>
    </row>
    <row r="470" spans="1:7">
      <c r="A470" s="2">
        <v>41730</v>
      </c>
      <c r="B470" s="3">
        <v>4.3161</v>
      </c>
      <c r="C470" s="3">
        <v>4.6018</v>
      </c>
      <c r="D470" s="3">
        <v>4.377</v>
      </c>
      <c r="E470" s="3">
        <v>4.6697</v>
      </c>
      <c r="F470" s="3">
        <v>4.3465</v>
      </c>
      <c r="G470" s="3">
        <v>4.6358</v>
      </c>
    </row>
    <row r="471" spans="1:7">
      <c r="A471" s="2">
        <v>41731</v>
      </c>
      <c r="B471" s="3">
        <v>4.3441</v>
      </c>
      <c r="C471" s="3">
        <v>4.6317</v>
      </c>
      <c r="D471" s="3">
        <v>4.4036</v>
      </c>
      <c r="E471" s="3">
        <v>4.6969</v>
      </c>
      <c r="F471" s="3">
        <v>4.3738</v>
      </c>
      <c r="G471" s="3">
        <v>4.6643</v>
      </c>
    </row>
    <row r="472" spans="1:7">
      <c r="A472" s="2">
        <v>41732</v>
      </c>
      <c r="B472" s="3">
        <v>4.3778</v>
      </c>
      <c r="C472" s="3">
        <v>4.6817</v>
      </c>
      <c r="D472" s="3">
        <v>4.4402</v>
      </c>
      <c r="E472" s="3">
        <v>4.7481</v>
      </c>
      <c r="F472" s="3">
        <v>4.409</v>
      </c>
      <c r="G472" s="3">
        <v>4.7149</v>
      </c>
    </row>
    <row r="473" spans="1:7">
      <c r="A473" s="2">
        <v>41733</v>
      </c>
      <c r="B473" s="3">
        <v>4.3082</v>
      </c>
      <c r="C473" s="3">
        <v>4.6739</v>
      </c>
      <c r="D473" s="3">
        <v>4.3676</v>
      </c>
      <c r="E473" s="3">
        <v>4.7425</v>
      </c>
      <c r="F473" s="3">
        <v>4.3379</v>
      </c>
      <c r="G473" s="3">
        <v>4.7082</v>
      </c>
    </row>
    <row r="474" spans="1:7">
      <c r="A474" s="2">
        <v>41737</v>
      </c>
      <c r="B474" s="3">
        <v>4.2516</v>
      </c>
      <c r="C474" s="3">
        <v>4.6541</v>
      </c>
      <c r="D474" s="3">
        <v>4.3178</v>
      </c>
      <c r="E474" s="3">
        <v>4.7286</v>
      </c>
      <c r="F474" s="3">
        <v>4.2847</v>
      </c>
      <c r="G474" s="3">
        <v>4.6913</v>
      </c>
    </row>
    <row r="475" spans="1:7">
      <c r="A475" s="2">
        <v>41738</v>
      </c>
      <c r="B475" s="3">
        <v>4.2511</v>
      </c>
      <c r="C475" s="3">
        <v>4.6576</v>
      </c>
      <c r="D475" s="3">
        <v>4.3113</v>
      </c>
      <c r="E475" s="3">
        <v>4.7279</v>
      </c>
      <c r="F475" s="3">
        <v>4.2812</v>
      </c>
      <c r="G475" s="3">
        <v>4.6928</v>
      </c>
    </row>
    <row r="476" spans="1:7">
      <c r="A476" s="2">
        <v>41739</v>
      </c>
      <c r="B476" s="3">
        <v>4.2259</v>
      </c>
      <c r="C476" s="3">
        <v>4.5951</v>
      </c>
      <c r="D476" s="3">
        <v>4.2897</v>
      </c>
      <c r="E476" s="3">
        <v>4.6711</v>
      </c>
      <c r="F476" s="3">
        <v>4.2578</v>
      </c>
      <c r="G476" s="3">
        <v>4.6331</v>
      </c>
    </row>
    <row r="477" spans="1:7">
      <c r="A477" s="2">
        <v>41740</v>
      </c>
      <c r="B477" s="3">
        <v>4.1702</v>
      </c>
      <c r="C477" s="3">
        <v>4.5302</v>
      </c>
      <c r="D477" s="3">
        <v>4.2332</v>
      </c>
      <c r="E477" s="3">
        <v>4.5925</v>
      </c>
      <c r="F477" s="3">
        <v>4.2017</v>
      </c>
      <c r="G477" s="3">
        <v>4.5613</v>
      </c>
    </row>
    <row r="478" spans="1:7">
      <c r="A478" s="2">
        <v>41743</v>
      </c>
      <c r="B478" s="3">
        <v>4.0914</v>
      </c>
      <c r="C478" s="3">
        <v>4.4432</v>
      </c>
      <c r="D478" s="3">
        <v>4.1583</v>
      </c>
      <c r="E478" s="3">
        <v>4.5134</v>
      </c>
      <c r="F478" s="3">
        <v>4.1249</v>
      </c>
      <c r="G478" s="3">
        <v>4.4783</v>
      </c>
    </row>
    <row r="479" spans="1:7">
      <c r="A479" s="2">
        <v>41744</v>
      </c>
      <c r="B479" s="3">
        <v>4.0195</v>
      </c>
      <c r="C479" s="3">
        <v>4.4068</v>
      </c>
      <c r="D479" s="3">
        <v>4.09</v>
      </c>
      <c r="E479" s="3">
        <v>4.478</v>
      </c>
      <c r="F479" s="3">
        <v>4.0548</v>
      </c>
      <c r="G479" s="3">
        <v>4.4424</v>
      </c>
    </row>
    <row r="480" spans="1:7">
      <c r="A480" s="2">
        <v>41745</v>
      </c>
      <c r="B480" s="3">
        <v>4.0214</v>
      </c>
      <c r="C480" s="3">
        <v>4.4405</v>
      </c>
      <c r="D480" s="3">
        <v>4.0837</v>
      </c>
      <c r="E480" s="3">
        <v>4.503</v>
      </c>
      <c r="F480" s="3">
        <v>4.0525</v>
      </c>
      <c r="G480" s="3">
        <v>4.4717</v>
      </c>
    </row>
    <row r="481" spans="1:7">
      <c r="A481" s="2">
        <v>41746</v>
      </c>
      <c r="B481" s="3">
        <v>3.8462</v>
      </c>
      <c r="C481" s="3">
        <v>4.3261</v>
      </c>
      <c r="D481" s="3">
        <v>3.9082</v>
      </c>
      <c r="E481" s="3">
        <v>4.3897</v>
      </c>
      <c r="F481" s="3">
        <v>3.8772</v>
      </c>
      <c r="G481" s="3">
        <v>4.3579</v>
      </c>
    </row>
    <row r="482" spans="1:7">
      <c r="A482" s="2">
        <v>41747</v>
      </c>
      <c r="B482" s="3">
        <v>3.7364</v>
      </c>
      <c r="C482" s="3">
        <v>4.2212</v>
      </c>
      <c r="D482" s="3">
        <v>3.8086</v>
      </c>
      <c r="E482" s="3">
        <v>4.2916</v>
      </c>
      <c r="F482" s="3">
        <v>3.7725</v>
      </c>
      <c r="G482" s="3">
        <v>4.2564</v>
      </c>
    </row>
    <row r="483" spans="1:7">
      <c r="A483" s="2">
        <v>41750</v>
      </c>
      <c r="B483" s="3">
        <v>3.7494</v>
      </c>
      <c r="C483" s="3">
        <v>4.2306</v>
      </c>
      <c r="D483" s="3">
        <v>3.8036</v>
      </c>
      <c r="E483" s="3">
        <v>4.2906</v>
      </c>
      <c r="F483" s="3">
        <v>3.7765</v>
      </c>
      <c r="G483" s="3">
        <v>4.2606</v>
      </c>
    </row>
    <row r="484" spans="1:7">
      <c r="A484" s="2">
        <v>41751</v>
      </c>
      <c r="B484" s="3">
        <v>3.7639</v>
      </c>
      <c r="C484" s="3">
        <v>4.2495</v>
      </c>
      <c r="D484" s="3">
        <v>3.8182</v>
      </c>
      <c r="E484" s="3">
        <v>4.3178</v>
      </c>
      <c r="F484" s="3">
        <v>3.7911</v>
      </c>
      <c r="G484" s="3">
        <v>4.2837</v>
      </c>
    </row>
    <row r="485" spans="1:7">
      <c r="A485" s="2">
        <v>41752</v>
      </c>
      <c r="B485" s="3">
        <v>3.7286</v>
      </c>
      <c r="C485" s="3">
        <v>4.2288</v>
      </c>
      <c r="D485" s="3">
        <v>3.793</v>
      </c>
      <c r="E485" s="3">
        <v>4.2924</v>
      </c>
      <c r="F485" s="3">
        <v>3.7608</v>
      </c>
      <c r="G485" s="3">
        <v>4.2606</v>
      </c>
    </row>
    <row r="486" spans="1:7">
      <c r="A486" s="2">
        <v>41753</v>
      </c>
      <c r="B486" s="3">
        <v>3.7733</v>
      </c>
      <c r="C486" s="3">
        <v>4.2426</v>
      </c>
      <c r="D486" s="3">
        <v>3.8291</v>
      </c>
      <c r="E486" s="3">
        <v>4.2983</v>
      </c>
      <c r="F486" s="3">
        <v>3.8012</v>
      </c>
      <c r="G486" s="3">
        <v>4.2705</v>
      </c>
    </row>
    <row r="487" spans="1:7">
      <c r="A487" s="2">
        <v>41754</v>
      </c>
      <c r="B487" s="3">
        <v>3.7646</v>
      </c>
      <c r="C487" s="3">
        <v>4.2114</v>
      </c>
      <c r="D487" s="3">
        <v>3.8257</v>
      </c>
      <c r="E487" s="3">
        <v>4.2757</v>
      </c>
      <c r="F487" s="3">
        <v>3.7951</v>
      </c>
      <c r="G487" s="3">
        <v>4.2436</v>
      </c>
    </row>
    <row r="488" spans="1:7">
      <c r="A488" s="2">
        <v>41757</v>
      </c>
      <c r="B488" s="3">
        <v>3.796</v>
      </c>
      <c r="C488" s="3">
        <v>4.2243</v>
      </c>
      <c r="D488" s="3">
        <v>3.8588</v>
      </c>
      <c r="E488" s="3">
        <v>4.2892</v>
      </c>
      <c r="F488" s="3">
        <v>3.8274</v>
      </c>
      <c r="G488" s="3">
        <v>4.2567</v>
      </c>
    </row>
    <row r="489" spans="1:7">
      <c r="A489" s="2">
        <v>41758</v>
      </c>
      <c r="B489" s="3">
        <v>3.7686</v>
      </c>
      <c r="C489" s="3">
        <v>4.1808</v>
      </c>
      <c r="D489" s="3">
        <v>3.8342</v>
      </c>
      <c r="E489" s="3">
        <v>4.2431</v>
      </c>
      <c r="F489" s="3">
        <v>3.8014</v>
      </c>
      <c r="G489" s="3">
        <v>4.2119</v>
      </c>
    </row>
    <row r="490" spans="1:7">
      <c r="A490" s="2">
        <v>41759</v>
      </c>
      <c r="B490" s="3">
        <v>3.747</v>
      </c>
      <c r="C490" s="3">
        <v>4.1087</v>
      </c>
      <c r="D490" s="3">
        <v>3.8076</v>
      </c>
      <c r="E490" s="3">
        <v>4.1755</v>
      </c>
      <c r="F490" s="3">
        <v>3.7773</v>
      </c>
      <c r="G490" s="3">
        <v>4.1421</v>
      </c>
    </row>
    <row r="491" spans="1:7">
      <c r="A491" s="2">
        <v>41763</v>
      </c>
      <c r="B491" s="3">
        <v>3.72</v>
      </c>
      <c r="C491" s="3">
        <v>4.0845</v>
      </c>
      <c r="D491" s="3">
        <v>3.7892</v>
      </c>
      <c r="E491" s="3">
        <v>4.1548</v>
      </c>
      <c r="F491" s="3">
        <v>3.7546</v>
      </c>
      <c r="G491" s="3">
        <v>4.1196</v>
      </c>
    </row>
    <row r="492" spans="1:7">
      <c r="A492" s="2">
        <v>41764</v>
      </c>
      <c r="B492" s="3">
        <v>3.6118</v>
      </c>
      <c r="C492" s="3">
        <v>3.9857</v>
      </c>
      <c r="D492" s="3">
        <v>3.6755</v>
      </c>
      <c r="E492" s="3">
        <v>4.0541</v>
      </c>
      <c r="F492" s="3">
        <v>3.6436</v>
      </c>
      <c r="G492" s="3">
        <v>4.0199</v>
      </c>
    </row>
    <row r="493" spans="1:7">
      <c r="A493" s="2">
        <v>41765</v>
      </c>
      <c r="B493" s="3">
        <v>3.614</v>
      </c>
      <c r="C493" s="3">
        <v>3.9782</v>
      </c>
      <c r="D493" s="3">
        <v>3.6745</v>
      </c>
      <c r="E493" s="3">
        <v>4.0449</v>
      </c>
      <c r="F493" s="3">
        <v>3.6443</v>
      </c>
      <c r="G493" s="3">
        <v>4.0115</v>
      </c>
    </row>
    <row r="494" spans="1:7">
      <c r="A494" s="2">
        <v>41766</v>
      </c>
      <c r="B494" s="3">
        <v>3.6501</v>
      </c>
      <c r="C494" s="3">
        <v>4.0232</v>
      </c>
      <c r="D494" s="3">
        <v>3.7176</v>
      </c>
      <c r="E494" s="3">
        <v>4.0926</v>
      </c>
      <c r="F494" s="3">
        <v>3.6839</v>
      </c>
      <c r="G494" s="3">
        <v>4.0579</v>
      </c>
    </row>
    <row r="495" spans="1:7">
      <c r="A495" s="2">
        <v>41767</v>
      </c>
      <c r="B495" s="3">
        <v>3.6257</v>
      </c>
      <c r="C495" s="3">
        <v>3.9718</v>
      </c>
      <c r="D495" s="3">
        <v>3.6921</v>
      </c>
      <c r="E495" s="3">
        <v>4.0425</v>
      </c>
      <c r="F495" s="3">
        <v>3.6589</v>
      </c>
      <c r="G495" s="3">
        <v>4.0071</v>
      </c>
    </row>
    <row r="496" spans="1:7">
      <c r="A496" s="2">
        <v>41768</v>
      </c>
      <c r="B496" s="3">
        <v>3.6073</v>
      </c>
      <c r="C496" s="3">
        <v>3.8978</v>
      </c>
      <c r="D496" s="3">
        <v>3.6736</v>
      </c>
      <c r="E496" s="3">
        <v>3.9629</v>
      </c>
      <c r="F496" s="3">
        <v>3.6404</v>
      </c>
      <c r="G496" s="3">
        <v>3.9304</v>
      </c>
    </row>
    <row r="497" spans="1:7">
      <c r="A497" s="2">
        <v>41771</v>
      </c>
      <c r="B497" s="3">
        <v>3.637</v>
      </c>
      <c r="C497" s="3">
        <v>3.9475</v>
      </c>
      <c r="D497" s="3">
        <v>3.7013</v>
      </c>
      <c r="E497" s="3">
        <v>4.0163</v>
      </c>
      <c r="F497" s="3">
        <v>3.6692</v>
      </c>
      <c r="G497" s="3">
        <v>3.9819</v>
      </c>
    </row>
    <row r="498" spans="1:7">
      <c r="A498" s="2">
        <v>41772</v>
      </c>
      <c r="B498" s="3">
        <v>3.6529</v>
      </c>
      <c r="C498" s="3">
        <v>4.0035</v>
      </c>
      <c r="D498" s="3">
        <v>3.7219</v>
      </c>
      <c r="E498" s="3">
        <v>4.0753</v>
      </c>
      <c r="F498" s="3">
        <v>3.6874</v>
      </c>
      <c r="G498" s="3">
        <v>4.0394</v>
      </c>
    </row>
    <row r="499" spans="1:7">
      <c r="A499" s="2">
        <v>41773</v>
      </c>
      <c r="B499" s="3">
        <v>3.7185</v>
      </c>
      <c r="C499" s="3">
        <v>4.0986</v>
      </c>
      <c r="D499" s="3">
        <v>3.7824</v>
      </c>
      <c r="E499" s="3">
        <v>4.1576</v>
      </c>
      <c r="F499" s="3">
        <v>3.7504</v>
      </c>
      <c r="G499" s="3">
        <v>4.1281</v>
      </c>
    </row>
    <row r="500" spans="1:7">
      <c r="A500" s="2">
        <v>41774</v>
      </c>
      <c r="B500" s="3">
        <v>3.7104</v>
      </c>
      <c r="C500" s="3">
        <v>4.0855</v>
      </c>
      <c r="D500" s="3">
        <v>3.7775</v>
      </c>
      <c r="E500" s="3">
        <v>4.1518</v>
      </c>
      <c r="F500" s="3">
        <v>3.7439</v>
      </c>
      <c r="G500" s="3">
        <v>4.1186</v>
      </c>
    </row>
    <row r="501" spans="1:7">
      <c r="A501" s="2">
        <v>41775</v>
      </c>
      <c r="B501" s="3">
        <v>3.6994</v>
      </c>
      <c r="C501" s="3">
        <v>4.0616</v>
      </c>
      <c r="D501" s="3">
        <v>3.7617</v>
      </c>
      <c r="E501" s="3">
        <v>4.1282</v>
      </c>
      <c r="F501" s="3">
        <v>3.7305</v>
      </c>
      <c r="G501" s="3">
        <v>4.0949</v>
      </c>
    </row>
    <row r="502" spans="1:7">
      <c r="A502" s="2">
        <v>41778</v>
      </c>
      <c r="B502" s="3">
        <v>3.7139</v>
      </c>
      <c r="C502" s="3">
        <v>4.0582</v>
      </c>
      <c r="D502" s="3">
        <v>3.7809</v>
      </c>
      <c r="E502" s="3">
        <v>4.129</v>
      </c>
      <c r="F502" s="3">
        <v>3.7474</v>
      </c>
      <c r="G502" s="3">
        <v>4.0936</v>
      </c>
    </row>
    <row r="503" spans="1:7">
      <c r="A503" s="2">
        <v>41779</v>
      </c>
      <c r="B503" s="3">
        <v>3.7328</v>
      </c>
      <c r="C503" s="3">
        <v>4.0585</v>
      </c>
      <c r="D503" s="3">
        <v>3.7995</v>
      </c>
      <c r="E503" s="3">
        <v>4.1292</v>
      </c>
      <c r="F503" s="3">
        <v>3.7661</v>
      </c>
      <c r="G503" s="3">
        <v>4.0938</v>
      </c>
    </row>
    <row r="504" spans="1:7">
      <c r="A504" s="2">
        <v>41780</v>
      </c>
      <c r="B504" s="3">
        <v>3.6919</v>
      </c>
      <c r="C504" s="3">
        <v>4.0142</v>
      </c>
      <c r="D504" s="3">
        <v>3.7553</v>
      </c>
      <c r="E504" s="3">
        <v>4.0808</v>
      </c>
      <c r="F504" s="3">
        <v>3.7236</v>
      </c>
      <c r="G504" s="3">
        <v>4.0475</v>
      </c>
    </row>
    <row r="505" spans="1:7">
      <c r="A505" s="2">
        <v>41781</v>
      </c>
      <c r="B505" s="3">
        <v>3.6356</v>
      </c>
      <c r="C505" s="3">
        <v>3.9787</v>
      </c>
      <c r="D505" s="3">
        <v>3.6966</v>
      </c>
      <c r="E505" s="3">
        <v>4.044</v>
      </c>
      <c r="F505" s="3">
        <v>3.6661</v>
      </c>
      <c r="G505" s="3">
        <v>4.0114</v>
      </c>
    </row>
    <row r="506" spans="1:7">
      <c r="A506" s="2">
        <v>41782</v>
      </c>
      <c r="B506" s="3">
        <v>3.6335</v>
      </c>
      <c r="C506" s="3">
        <v>3.997</v>
      </c>
      <c r="D506" s="3">
        <v>3.6986</v>
      </c>
      <c r="E506" s="3">
        <v>4.0641</v>
      </c>
      <c r="F506" s="3">
        <v>3.6661</v>
      </c>
      <c r="G506" s="3">
        <v>4.0305</v>
      </c>
    </row>
    <row r="507" spans="1:7">
      <c r="A507" s="2">
        <v>41785</v>
      </c>
      <c r="B507" s="3">
        <v>3.5878</v>
      </c>
      <c r="C507" s="3">
        <v>3.9486</v>
      </c>
      <c r="D507" s="3">
        <v>3.6536</v>
      </c>
      <c r="E507" s="3">
        <v>4.0174</v>
      </c>
      <c r="F507" s="3">
        <v>3.6207</v>
      </c>
      <c r="G507" s="3">
        <v>3.983</v>
      </c>
    </row>
    <row r="508" spans="1:7">
      <c r="A508" s="2">
        <v>41786</v>
      </c>
      <c r="B508" s="3">
        <v>3.5051</v>
      </c>
      <c r="C508" s="3">
        <v>3.8868</v>
      </c>
      <c r="D508" s="3">
        <v>3.5692</v>
      </c>
      <c r="E508" s="3">
        <v>3.9536</v>
      </c>
      <c r="F508" s="3">
        <v>3.5372</v>
      </c>
      <c r="G508" s="3">
        <v>3.9202</v>
      </c>
    </row>
    <row r="509" spans="1:7">
      <c r="A509" s="2">
        <v>41787</v>
      </c>
      <c r="B509" s="3">
        <v>3.4879</v>
      </c>
      <c r="C509" s="3">
        <v>3.8644</v>
      </c>
      <c r="D509" s="3">
        <v>3.5661</v>
      </c>
      <c r="E509" s="3">
        <v>3.9316</v>
      </c>
      <c r="F509" s="3">
        <v>3.527</v>
      </c>
      <c r="G509" s="3">
        <v>3.898</v>
      </c>
    </row>
    <row r="510" spans="1:7">
      <c r="A510" s="2">
        <v>41788</v>
      </c>
      <c r="B510" s="3">
        <v>3.4889</v>
      </c>
      <c r="C510" s="3">
        <v>3.8668</v>
      </c>
      <c r="D510" s="3">
        <v>3.5511</v>
      </c>
      <c r="E510" s="3">
        <v>3.9309</v>
      </c>
      <c r="F510" s="3">
        <v>3.52</v>
      </c>
      <c r="G510" s="3">
        <v>3.8989</v>
      </c>
    </row>
    <row r="511" spans="1:7">
      <c r="A511" s="2">
        <v>41789</v>
      </c>
      <c r="B511" s="3">
        <v>3.4632</v>
      </c>
      <c r="C511" s="3">
        <v>3.8351</v>
      </c>
      <c r="D511" s="3">
        <v>3.5274</v>
      </c>
      <c r="E511" s="3">
        <v>3.9053</v>
      </c>
      <c r="F511" s="3">
        <v>3.4953</v>
      </c>
      <c r="G511" s="3">
        <v>3.8702</v>
      </c>
    </row>
    <row r="512" spans="1:7">
      <c r="A512" s="2">
        <v>41793</v>
      </c>
      <c r="B512" s="3">
        <v>3.3537</v>
      </c>
      <c r="C512" s="3">
        <v>3.7472</v>
      </c>
      <c r="D512" s="3">
        <v>3.4302</v>
      </c>
      <c r="E512" s="3">
        <v>3.8221</v>
      </c>
      <c r="F512" s="3">
        <v>3.392</v>
      </c>
      <c r="G512" s="3">
        <v>3.7846</v>
      </c>
    </row>
    <row r="513" spans="1:7">
      <c r="A513" s="2">
        <v>41794</v>
      </c>
      <c r="B513" s="3">
        <v>3.3879</v>
      </c>
      <c r="C513" s="3">
        <v>3.7753</v>
      </c>
      <c r="D513" s="3">
        <v>3.4563</v>
      </c>
      <c r="E513" s="3">
        <v>3.8545</v>
      </c>
      <c r="F513" s="3">
        <v>3.4221</v>
      </c>
      <c r="G513" s="3">
        <v>3.8149</v>
      </c>
    </row>
    <row r="514" spans="1:7">
      <c r="A514" s="2">
        <v>41795</v>
      </c>
      <c r="B514" s="3">
        <v>3.4435</v>
      </c>
      <c r="C514" s="3">
        <v>3.88</v>
      </c>
      <c r="D514" s="3">
        <v>3.5119</v>
      </c>
      <c r="E514" s="3">
        <v>3.9544</v>
      </c>
      <c r="F514" s="3">
        <v>3.4777</v>
      </c>
      <c r="G514" s="3">
        <v>3.9172</v>
      </c>
    </row>
    <row r="515" spans="1:7">
      <c r="A515" s="2">
        <v>41796</v>
      </c>
      <c r="B515" s="3">
        <v>3.448</v>
      </c>
      <c r="C515" s="3">
        <v>3.8782</v>
      </c>
      <c r="D515" s="3">
        <v>3.513</v>
      </c>
      <c r="E515" s="3">
        <v>3.9525</v>
      </c>
      <c r="F515" s="3">
        <v>3.4805</v>
      </c>
      <c r="G515" s="3">
        <v>3.9154</v>
      </c>
    </row>
    <row r="516" spans="1:7">
      <c r="A516" s="2">
        <v>41799</v>
      </c>
      <c r="B516" s="3">
        <v>3.4664</v>
      </c>
      <c r="C516" s="3">
        <v>3.8913</v>
      </c>
      <c r="D516" s="3">
        <v>3.5274</v>
      </c>
      <c r="E516" s="3">
        <v>3.9549</v>
      </c>
      <c r="F516" s="3">
        <v>3.4969</v>
      </c>
      <c r="G516" s="3">
        <v>3.9231</v>
      </c>
    </row>
    <row r="517" spans="1:7">
      <c r="A517" s="2">
        <v>41800</v>
      </c>
      <c r="B517" s="3">
        <v>3.4623</v>
      </c>
      <c r="C517" s="3">
        <v>3.8963</v>
      </c>
      <c r="D517" s="3">
        <v>3.5181</v>
      </c>
      <c r="E517" s="3">
        <v>3.9617</v>
      </c>
      <c r="F517" s="3">
        <v>3.4902</v>
      </c>
      <c r="G517" s="3">
        <v>3.929</v>
      </c>
    </row>
    <row r="518" spans="1:7">
      <c r="A518" s="2">
        <v>41801</v>
      </c>
      <c r="B518" s="3">
        <v>3.4491</v>
      </c>
      <c r="C518" s="3">
        <v>3.8789</v>
      </c>
      <c r="D518" s="3">
        <v>3.5115</v>
      </c>
      <c r="E518" s="3">
        <v>3.9481</v>
      </c>
      <c r="F518" s="3">
        <v>3.4803</v>
      </c>
      <c r="G518" s="3">
        <v>3.9135</v>
      </c>
    </row>
    <row r="519" spans="1:7">
      <c r="A519" s="2">
        <v>41802</v>
      </c>
      <c r="B519" s="3">
        <v>3.4727</v>
      </c>
      <c r="C519" s="3">
        <v>3.9041</v>
      </c>
      <c r="D519" s="3">
        <v>3.5307</v>
      </c>
      <c r="E519" s="3">
        <v>3.9662</v>
      </c>
      <c r="F519" s="3">
        <v>3.5017</v>
      </c>
      <c r="G519" s="3">
        <v>3.9352</v>
      </c>
    </row>
    <row r="520" spans="1:7">
      <c r="A520" s="2">
        <v>41803</v>
      </c>
      <c r="B520" s="3">
        <v>3.4618</v>
      </c>
      <c r="C520" s="3">
        <v>3.9175</v>
      </c>
      <c r="D520" s="3">
        <v>3.5215</v>
      </c>
      <c r="E520" s="3">
        <v>3.9738</v>
      </c>
      <c r="F520" s="3">
        <v>3.4917</v>
      </c>
      <c r="G520" s="3">
        <v>3.9457</v>
      </c>
    </row>
    <row r="521" spans="1:7">
      <c r="A521" s="2">
        <v>41806</v>
      </c>
      <c r="B521" s="3">
        <v>3.374</v>
      </c>
      <c r="C521" s="3">
        <v>3.8172</v>
      </c>
      <c r="D521" s="3">
        <v>3.4411</v>
      </c>
      <c r="E521" s="3">
        <v>3.8878</v>
      </c>
      <c r="F521" s="3">
        <v>3.4075</v>
      </c>
      <c r="G521" s="3">
        <v>3.8525</v>
      </c>
    </row>
    <row r="522" spans="1:7">
      <c r="A522" s="2">
        <v>41807</v>
      </c>
      <c r="B522" s="3">
        <v>3.3952</v>
      </c>
      <c r="C522" s="3">
        <v>3.8441</v>
      </c>
      <c r="D522" s="3">
        <v>3.4637</v>
      </c>
      <c r="E522" s="3">
        <v>3.9112</v>
      </c>
      <c r="F522" s="3">
        <v>3.4295</v>
      </c>
      <c r="G522" s="3">
        <v>3.8777</v>
      </c>
    </row>
    <row r="523" spans="1:7">
      <c r="A523" s="2">
        <v>41808</v>
      </c>
      <c r="B523" s="3">
        <v>3.4331</v>
      </c>
      <c r="C523" s="3">
        <v>3.8796</v>
      </c>
      <c r="D523" s="3">
        <v>3.4951</v>
      </c>
      <c r="E523" s="3">
        <v>3.9464</v>
      </c>
      <c r="F523" s="3">
        <v>3.4641</v>
      </c>
      <c r="G523" s="3">
        <v>3.913</v>
      </c>
    </row>
    <row r="524" spans="1:7">
      <c r="A524" s="2">
        <v>41809</v>
      </c>
      <c r="B524" s="3">
        <v>3.4338</v>
      </c>
      <c r="C524" s="3">
        <v>3.8866</v>
      </c>
      <c r="D524" s="3">
        <v>3.4972</v>
      </c>
      <c r="E524" s="3">
        <v>3.9504</v>
      </c>
      <c r="F524" s="3">
        <v>3.4655</v>
      </c>
      <c r="G524" s="3">
        <v>3.9185</v>
      </c>
    </row>
    <row r="525" spans="1:7">
      <c r="A525" s="2">
        <v>41810</v>
      </c>
      <c r="B525" s="3">
        <v>3.4207</v>
      </c>
      <c r="C525" s="3">
        <v>3.8745</v>
      </c>
      <c r="D525" s="3">
        <v>3.4883</v>
      </c>
      <c r="E525" s="3">
        <v>3.9409</v>
      </c>
      <c r="F525" s="3">
        <v>3.4545</v>
      </c>
      <c r="G525" s="3">
        <v>3.9077</v>
      </c>
    </row>
    <row r="526" spans="1:7">
      <c r="A526" s="2">
        <v>41813</v>
      </c>
      <c r="B526" s="3">
        <v>3.4411</v>
      </c>
      <c r="C526" s="3">
        <v>3.9034</v>
      </c>
      <c r="D526" s="3">
        <v>3.5056</v>
      </c>
      <c r="E526" s="3">
        <v>3.9737</v>
      </c>
      <c r="F526" s="3">
        <v>3.4734</v>
      </c>
      <c r="G526" s="3">
        <v>3.9385</v>
      </c>
    </row>
    <row r="527" spans="1:7">
      <c r="A527" s="2">
        <v>41814</v>
      </c>
      <c r="B527" s="3">
        <v>3.4616</v>
      </c>
      <c r="C527" s="3">
        <v>3.9257</v>
      </c>
      <c r="D527" s="3">
        <v>3.5246</v>
      </c>
      <c r="E527" s="3">
        <v>3.9952</v>
      </c>
      <c r="F527" s="3">
        <v>3.4931</v>
      </c>
      <c r="G527" s="3">
        <v>3.9605</v>
      </c>
    </row>
    <row r="528" spans="1:7">
      <c r="A528" s="2">
        <v>41815</v>
      </c>
      <c r="B528" s="3">
        <v>3.5168</v>
      </c>
      <c r="C528" s="3">
        <v>3.991</v>
      </c>
      <c r="D528" s="3">
        <v>3.5755</v>
      </c>
      <c r="E528" s="3">
        <v>4.0492</v>
      </c>
      <c r="F528" s="3">
        <v>3.5462</v>
      </c>
      <c r="G528" s="3">
        <v>4.0201</v>
      </c>
    </row>
    <row r="529" spans="1:7">
      <c r="A529" s="2">
        <v>41816</v>
      </c>
      <c r="B529" s="3">
        <v>3.5118</v>
      </c>
      <c r="C529" s="3">
        <v>3.9985</v>
      </c>
      <c r="D529" s="3">
        <v>3.5785</v>
      </c>
      <c r="E529" s="3">
        <v>4.0701</v>
      </c>
      <c r="F529" s="3">
        <v>3.5451</v>
      </c>
      <c r="G529" s="3">
        <v>4.0343</v>
      </c>
    </row>
    <row r="530" spans="1:7">
      <c r="A530" s="2">
        <v>41817</v>
      </c>
      <c r="B530" s="3">
        <v>3.5171</v>
      </c>
      <c r="C530" s="3">
        <v>4.0085</v>
      </c>
      <c r="D530" s="3">
        <v>3.5749</v>
      </c>
      <c r="E530" s="3">
        <v>4.0718</v>
      </c>
      <c r="F530" s="3">
        <v>3.546</v>
      </c>
      <c r="G530" s="3">
        <v>4.0402</v>
      </c>
    </row>
    <row r="531" spans="1:7">
      <c r="A531" s="2">
        <v>41820</v>
      </c>
      <c r="B531" s="3">
        <v>3.571</v>
      </c>
      <c r="C531" s="3">
        <v>4.0633</v>
      </c>
      <c r="D531" s="3">
        <v>3.6425</v>
      </c>
      <c r="E531" s="3">
        <v>4.1355</v>
      </c>
      <c r="F531" s="3">
        <v>3.6068</v>
      </c>
      <c r="G531" s="3">
        <v>4.0994</v>
      </c>
    </row>
    <row r="532" spans="1:7">
      <c r="A532" s="2">
        <v>41821</v>
      </c>
      <c r="B532" s="3">
        <v>3.7096</v>
      </c>
      <c r="C532" s="3">
        <v>4.1996</v>
      </c>
      <c r="D532" s="3">
        <v>3.775</v>
      </c>
      <c r="E532" s="3">
        <v>4.2638</v>
      </c>
      <c r="F532" s="3">
        <v>3.7423</v>
      </c>
      <c r="G532" s="3">
        <v>4.2317</v>
      </c>
    </row>
    <row r="533" spans="1:7">
      <c r="A533" s="2">
        <v>41822</v>
      </c>
      <c r="B533" s="3">
        <v>3.6797</v>
      </c>
      <c r="C533" s="3">
        <v>4.1663</v>
      </c>
      <c r="D533" s="3">
        <v>3.7453</v>
      </c>
      <c r="E533" s="3">
        <v>4.2323</v>
      </c>
      <c r="F533" s="3">
        <v>3.7125</v>
      </c>
      <c r="G533" s="3">
        <v>4.1993</v>
      </c>
    </row>
    <row r="534" spans="1:7">
      <c r="A534" s="2">
        <v>41823</v>
      </c>
      <c r="B534" s="3">
        <v>3.703</v>
      </c>
      <c r="C534" s="3">
        <v>4.212</v>
      </c>
      <c r="D534" s="3">
        <v>3.7617</v>
      </c>
      <c r="E534" s="3">
        <v>4.2735</v>
      </c>
      <c r="F534" s="3">
        <v>3.7323</v>
      </c>
      <c r="G534" s="3">
        <v>4.2428</v>
      </c>
    </row>
    <row r="535" spans="1:7">
      <c r="A535" s="2">
        <v>41824</v>
      </c>
      <c r="B535" s="3">
        <v>3.6982</v>
      </c>
      <c r="C535" s="3">
        <v>4.209</v>
      </c>
      <c r="D535" s="3">
        <v>3.76</v>
      </c>
      <c r="E535" s="3">
        <v>4.2768</v>
      </c>
      <c r="F535" s="3">
        <v>3.7291</v>
      </c>
      <c r="G535" s="3">
        <v>4.2429</v>
      </c>
    </row>
    <row r="536" spans="1:7">
      <c r="A536" s="2">
        <v>41827</v>
      </c>
      <c r="B536" s="3">
        <v>3.6688</v>
      </c>
      <c r="C536" s="3">
        <v>4.1825</v>
      </c>
      <c r="D536" s="3">
        <v>3.7378</v>
      </c>
      <c r="E536" s="3">
        <v>4.2533</v>
      </c>
      <c r="F536" s="3">
        <v>3.7033</v>
      </c>
      <c r="G536" s="3">
        <v>4.2179</v>
      </c>
    </row>
    <row r="537" spans="1:7">
      <c r="A537" s="2">
        <v>41828</v>
      </c>
      <c r="B537" s="3">
        <v>3.6853</v>
      </c>
      <c r="C537" s="3">
        <v>4.1979</v>
      </c>
      <c r="D537" s="3">
        <v>3.754</v>
      </c>
      <c r="E537" s="3">
        <v>4.2675</v>
      </c>
      <c r="F537" s="3">
        <v>3.7196</v>
      </c>
      <c r="G537" s="3">
        <v>4.2327</v>
      </c>
    </row>
    <row r="538" spans="1:7">
      <c r="A538" s="2">
        <v>41829</v>
      </c>
      <c r="B538" s="3">
        <v>3.7132</v>
      </c>
      <c r="C538" s="3">
        <v>4.2137</v>
      </c>
      <c r="D538" s="3">
        <v>3.7747</v>
      </c>
      <c r="E538" s="3">
        <v>4.2817</v>
      </c>
      <c r="F538" s="3">
        <v>3.744</v>
      </c>
      <c r="G538" s="3">
        <v>4.2477</v>
      </c>
    </row>
    <row r="539" spans="1:7">
      <c r="A539" s="2">
        <v>41830</v>
      </c>
      <c r="B539" s="3">
        <v>3.7115</v>
      </c>
      <c r="C539" s="3">
        <v>4.2085</v>
      </c>
      <c r="D539" s="3">
        <v>3.7732</v>
      </c>
      <c r="E539" s="3">
        <v>4.2755</v>
      </c>
      <c r="F539" s="3">
        <v>3.7423</v>
      </c>
      <c r="G539" s="3">
        <v>4.242</v>
      </c>
    </row>
    <row r="540" spans="1:7">
      <c r="A540" s="2">
        <v>41831</v>
      </c>
      <c r="B540" s="3">
        <v>3.6988</v>
      </c>
      <c r="C540" s="3">
        <v>4.1921</v>
      </c>
      <c r="D540" s="3">
        <v>3.7611</v>
      </c>
      <c r="E540" s="3">
        <v>4.254</v>
      </c>
      <c r="F540" s="3">
        <v>3.73</v>
      </c>
      <c r="G540" s="3">
        <v>4.2231</v>
      </c>
    </row>
    <row r="541" spans="1:7">
      <c r="A541" s="2">
        <v>41834</v>
      </c>
      <c r="B541" s="3">
        <v>3.7365</v>
      </c>
      <c r="C541" s="3">
        <v>4.2279</v>
      </c>
      <c r="D541" s="3">
        <v>3.7992</v>
      </c>
      <c r="E541" s="3">
        <v>4.3002</v>
      </c>
      <c r="F541" s="3">
        <v>3.7679</v>
      </c>
      <c r="G541" s="3">
        <v>4.264</v>
      </c>
    </row>
    <row r="542" spans="1:7">
      <c r="A542" s="2">
        <v>41835</v>
      </c>
      <c r="B542" s="3">
        <v>3.8373</v>
      </c>
      <c r="C542" s="3">
        <v>4.3308</v>
      </c>
      <c r="D542" s="3">
        <v>3.9084</v>
      </c>
      <c r="E542" s="3">
        <v>4.4058</v>
      </c>
      <c r="F542" s="3">
        <v>3.8728</v>
      </c>
      <c r="G542" s="3">
        <v>4.3683</v>
      </c>
    </row>
    <row r="543" spans="1:7">
      <c r="A543" s="2">
        <v>41836</v>
      </c>
      <c r="B543" s="3">
        <v>3.8715</v>
      </c>
      <c r="C543" s="3">
        <v>4.3528</v>
      </c>
      <c r="D543" s="3">
        <v>3.9372</v>
      </c>
      <c r="E543" s="3">
        <v>4.4212</v>
      </c>
      <c r="F543" s="3">
        <v>3.9044</v>
      </c>
      <c r="G543" s="3">
        <v>4.387</v>
      </c>
    </row>
    <row r="544" spans="1:7">
      <c r="A544" s="2">
        <v>41837</v>
      </c>
      <c r="B544" s="3">
        <v>4.0076</v>
      </c>
      <c r="C544" s="3">
        <v>4.4238</v>
      </c>
      <c r="D544" s="3">
        <v>4.0675</v>
      </c>
      <c r="E544" s="3">
        <v>4.4918</v>
      </c>
      <c r="F544" s="3">
        <v>4.0376</v>
      </c>
      <c r="G544" s="3">
        <v>4.4578</v>
      </c>
    </row>
    <row r="545" spans="1:7">
      <c r="A545" s="2">
        <v>41838</v>
      </c>
      <c r="B545" s="3">
        <v>4.0009</v>
      </c>
      <c r="C545" s="3">
        <v>4.3878</v>
      </c>
      <c r="D545" s="3">
        <v>4.0639</v>
      </c>
      <c r="E545" s="3">
        <v>4.4503</v>
      </c>
      <c r="F545" s="3">
        <v>4.0324</v>
      </c>
      <c r="G545" s="3">
        <v>4.4191</v>
      </c>
    </row>
    <row r="546" spans="1:7">
      <c r="A546" s="2">
        <v>41841</v>
      </c>
      <c r="B546" s="3">
        <v>3.9557</v>
      </c>
      <c r="C546" s="3">
        <v>4.3088</v>
      </c>
      <c r="D546" s="3">
        <v>4.0165</v>
      </c>
      <c r="E546" s="3">
        <v>4.3822</v>
      </c>
      <c r="F546" s="3">
        <v>3.9861</v>
      </c>
      <c r="G546" s="3">
        <v>4.3455</v>
      </c>
    </row>
    <row r="547" spans="1:7">
      <c r="A547" s="2">
        <v>41842</v>
      </c>
      <c r="B547" s="3">
        <v>3.93</v>
      </c>
      <c r="C547" s="3">
        <v>4.2933</v>
      </c>
      <c r="D547" s="3">
        <v>3.9922</v>
      </c>
      <c r="E547" s="3">
        <v>4.37</v>
      </c>
      <c r="F547" s="3">
        <v>3.9611</v>
      </c>
      <c r="G547" s="3">
        <v>4.3316</v>
      </c>
    </row>
    <row r="548" spans="1:7">
      <c r="A548" s="2">
        <v>41843</v>
      </c>
      <c r="B548" s="3">
        <v>3.9268</v>
      </c>
      <c r="C548" s="3">
        <v>4.2935</v>
      </c>
      <c r="D548" s="3">
        <v>3.986</v>
      </c>
      <c r="E548" s="3">
        <v>4.3585</v>
      </c>
      <c r="F548" s="3">
        <v>3.9564</v>
      </c>
      <c r="G548" s="3">
        <v>4.326</v>
      </c>
    </row>
    <row r="549" spans="1:7">
      <c r="A549" s="2">
        <v>41844</v>
      </c>
      <c r="B549" s="3">
        <v>3.8429</v>
      </c>
      <c r="C549" s="3">
        <v>4.2421</v>
      </c>
      <c r="D549" s="3">
        <v>3.9091</v>
      </c>
      <c r="E549" s="3">
        <v>4.3105</v>
      </c>
      <c r="F549" s="3">
        <v>3.876</v>
      </c>
      <c r="G549" s="3">
        <v>4.2763</v>
      </c>
    </row>
    <row r="550" spans="1:7">
      <c r="A550" s="2">
        <v>41845</v>
      </c>
      <c r="B550" s="3">
        <v>3.7946</v>
      </c>
      <c r="C550" s="3">
        <v>4.2108</v>
      </c>
      <c r="D550" s="3">
        <v>3.8497</v>
      </c>
      <c r="E550" s="3">
        <v>4.2789</v>
      </c>
      <c r="F550" s="3">
        <v>3.8221</v>
      </c>
      <c r="G550" s="3">
        <v>4.2448</v>
      </c>
    </row>
    <row r="551" spans="1:7">
      <c r="A551" s="2">
        <v>41848</v>
      </c>
      <c r="B551" s="3">
        <v>3.822</v>
      </c>
      <c r="C551" s="3">
        <v>4.2514</v>
      </c>
      <c r="D551" s="3">
        <v>3.878</v>
      </c>
      <c r="E551" s="3">
        <v>4.3086</v>
      </c>
      <c r="F551" s="3">
        <v>3.85</v>
      </c>
      <c r="G551" s="3">
        <v>4.28</v>
      </c>
    </row>
    <row r="552" spans="1:7">
      <c r="A552" s="2">
        <v>41849</v>
      </c>
      <c r="B552" s="3">
        <v>3.8189</v>
      </c>
      <c r="C552" s="3">
        <v>4.2475</v>
      </c>
      <c r="D552" s="3">
        <v>3.8799</v>
      </c>
      <c r="E552" s="3">
        <v>4.3099</v>
      </c>
      <c r="F552" s="3">
        <v>3.8494</v>
      </c>
      <c r="G552" s="3">
        <v>4.2787</v>
      </c>
    </row>
    <row r="553" spans="1:7">
      <c r="A553" s="2">
        <v>41850</v>
      </c>
      <c r="B553" s="3">
        <v>3.8322</v>
      </c>
      <c r="C553" s="3">
        <v>4.2732</v>
      </c>
      <c r="D553" s="3">
        <v>3.8932</v>
      </c>
      <c r="E553" s="3">
        <v>4.3368</v>
      </c>
      <c r="F553" s="3">
        <v>3.8627</v>
      </c>
      <c r="G553" s="3">
        <v>4.305</v>
      </c>
    </row>
    <row r="554" spans="1:7">
      <c r="A554" s="2">
        <v>41851</v>
      </c>
      <c r="B554" s="3">
        <v>3.7961</v>
      </c>
      <c r="C554" s="3">
        <v>4.2329</v>
      </c>
      <c r="D554" s="3">
        <v>3.8522</v>
      </c>
      <c r="E554" s="3">
        <v>4.293</v>
      </c>
      <c r="F554" s="3">
        <v>3.8241</v>
      </c>
      <c r="G554" s="3">
        <v>4.263</v>
      </c>
    </row>
    <row r="555" spans="1:7">
      <c r="A555" s="2">
        <v>41852</v>
      </c>
      <c r="B555" s="3">
        <v>3.7493</v>
      </c>
      <c r="C555" s="3">
        <v>4.1965</v>
      </c>
      <c r="D555" s="3">
        <v>3.8096</v>
      </c>
      <c r="E555" s="3">
        <v>4.2601</v>
      </c>
      <c r="F555" s="3">
        <v>3.7794</v>
      </c>
      <c r="G555" s="3">
        <v>4.2283</v>
      </c>
    </row>
    <row r="556" spans="1:7">
      <c r="A556" s="2">
        <v>41855</v>
      </c>
      <c r="B556" s="3">
        <v>3.752</v>
      </c>
      <c r="C556" s="3">
        <v>4.191</v>
      </c>
      <c r="D556" s="3">
        <v>3.815</v>
      </c>
      <c r="E556" s="3">
        <v>4.2623</v>
      </c>
      <c r="F556" s="3">
        <v>3.7835</v>
      </c>
      <c r="G556" s="3">
        <v>4.2267</v>
      </c>
    </row>
    <row r="557" spans="1:7">
      <c r="A557" s="2">
        <v>41856</v>
      </c>
      <c r="B557" s="3">
        <v>3.7485</v>
      </c>
      <c r="C557" s="3">
        <v>4.1875</v>
      </c>
      <c r="D557" s="3">
        <v>3.8087</v>
      </c>
      <c r="E557" s="3">
        <v>4.2543</v>
      </c>
      <c r="F557" s="3">
        <v>3.7786</v>
      </c>
      <c r="G557" s="3">
        <v>4.2209</v>
      </c>
    </row>
    <row r="558" spans="1:7">
      <c r="A558" s="2">
        <v>41857</v>
      </c>
      <c r="B558" s="3">
        <v>3.7037</v>
      </c>
      <c r="C558" s="3">
        <v>4.1385</v>
      </c>
      <c r="D558" s="3">
        <v>3.7664</v>
      </c>
      <c r="E558" s="3">
        <v>4.2036</v>
      </c>
      <c r="F558" s="3">
        <v>3.7351</v>
      </c>
      <c r="G558" s="3">
        <v>4.171</v>
      </c>
    </row>
    <row r="559" spans="1:7">
      <c r="A559" s="2">
        <v>41858</v>
      </c>
      <c r="B559" s="3">
        <v>3.7044</v>
      </c>
      <c r="C559" s="3">
        <v>4.1381</v>
      </c>
      <c r="D559" s="3">
        <v>3.7671</v>
      </c>
      <c r="E559" s="3">
        <v>4.2048</v>
      </c>
      <c r="F559" s="3">
        <v>3.7357</v>
      </c>
      <c r="G559" s="3">
        <v>4.1714</v>
      </c>
    </row>
    <row r="560" spans="1:7">
      <c r="A560" s="2">
        <v>41859</v>
      </c>
      <c r="B560" s="3">
        <v>3.687</v>
      </c>
      <c r="C560" s="3">
        <v>4.1033</v>
      </c>
      <c r="D560" s="3">
        <v>3.7456</v>
      </c>
      <c r="E560" s="3">
        <v>4.1703</v>
      </c>
      <c r="F560" s="3">
        <v>3.7163</v>
      </c>
      <c r="G560" s="3">
        <v>4.1368</v>
      </c>
    </row>
    <row r="561" spans="1:7">
      <c r="A561" s="2">
        <v>41862</v>
      </c>
      <c r="B561" s="3">
        <v>3.6645</v>
      </c>
      <c r="C561" s="3">
        <v>4.0614</v>
      </c>
      <c r="D561" s="3">
        <v>3.7272</v>
      </c>
      <c r="E561" s="3">
        <v>4.1285</v>
      </c>
      <c r="F561" s="3">
        <v>3.6959</v>
      </c>
      <c r="G561" s="3">
        <v>4.0949</v>
      </c>
    </row>
    <row r="562" spans="1:7">
      <c r="A562" s="2">
        <v>41863</v>
      </c>
      <c r="B562" s="3">
        <v>3.7162</v>
      </c>
      <c r="C562" s="3">
        <v>4.1109</v>
      </c>
      <c r="D562" s="3">
        <v>3.78</v>
      </c>
      <c r="E562" s="3">
        <v>4.1764</v>
      </c>
      <c r="F562" s="3">
        <v>3.7481</v>
      </c>
      <c r="G562" s="3">
        <v>4.1436</v>
      </c>
    </row>
    <row r="563" spans="1:7">
      <c r="A563" s="2">
        <v>41864</v>
      </c>
      <c r="B563" s="3">
        <v>3.6324</v>
      </c>
      <c r="C563" s="3">
        <v>3.9899</v>
      </c>
      <c r="D563" s="3">
        <v>3.6998</v>
      </c>
      <c r="E563" s="3">
        <v>4.0663</v>
      </c>
      <c r="F563" s="3">
        <v>3.6661</v>
      </c>
      <c r="G563" s="3">
        <v>4.0281</v>
      </c>
    </row>
    <row r="564" spans="1:7">
      <c r="A564" s="2">
        <v>41865</v>
      </c>
      <c r="B564" s="3">
        <v>3.5802</v>
      </c>
      <c r="C564" s="3">
        <v>3.9023</v>
      </c>
      <c r="D564" s="3">
        <v>3.639</v>
      </c>
      <c r="E564" s="3">
        <v>3.9626</v>
      </c>
      <c r="F564" s="3">
        <v>3.6096</v>
      </c>
      <c r="G564" s="3">
        <v>3.9325</v>
      </c>
    </row>
    <row r="565" spans="1:7">
      <c r="A565" s="2">
        <v>41866</v>
      </c>
      <c r="B565" s="3">
        <v>3.6171</v>
      </c>
      <c r="C565" s="3">
        <v>3.939</v>
      </c>
      <c r="D565" s="3">
        <v>3.6844</v>
      </c>
      <c r="E565" s="3">
        <v>4.0066</v>
      </c>
      <c r="F565" s="3">
        <v>3.6507</v>
      </c>
      <c r="G565" s="3">
        <v>3.9728</v>
      </c>
    </row>
    <row r="566" spans="1:7">
      <c r="A566" s="2">
        <v>41869</v>
      </c>
      <c r="B566" s="3">
        <v>3.626</v>
      </c>
      <c r="C566" s="3">
        <v>3.9513</v>
      </c>
      <c r="D566" s="3">
        <v>3.6847</v>
      </c>
      <c r="E566" s="3">
        <v>4.0146</v>
      </c>
      <c r="F566" s="3">
        <v>3.6553</v>
      </c>
      <c r="G566" s="3">
        <v>3.9829</v>
      </c>
    </row>
    <row r="567" spans="1:7">
      <c r="A567" s="2">
        <v>41870</v>
      </c>
      <c r="B567" s="3">
        <v>3.6249</v>
      </c>
      <c r="C567" s="3">
        <v>3.9714</v>
      </c>
      <c r="D567" s="3">
        <v>3.6939</v>
      </c>
      <c r="E567" s="3">
        <v>4.0411</v>
      </c>
      <c r="F567" s="3">
        <v>3.6594</v>
      </c>
      <c r="G567" s="3">
        <v>4.0062</v>
      </c>
    </row>
    <row r="568" spans="1:7">
      <c r="A568" s="2">
        <v>41871</v>
      </c>
      <c r="B568" s="3">
        <v>3.6536</v>
      </c>
      <c r="C568" s="3">
        <v>4.0024</v>
      </c>
      <c r="D568" s="3">
        <v>3.7185</v>
      </c>
      <c r="E568" s="3">
        <v>4.0707</v>
      </c>
      <c r="F568" s="3">
        <v>3.6861</v>
      </c>
      <c r="G568" s="3">
        <v>4.0365</v>
      </c>
    </row>
    <row r="569" spans="1:7">
      <c r="A569" s="2">
        <v>41872</v>
      </c>
      <c r="B569" s="3">
        <v>3.6541</v>
      </c>
      <c r="C569" s="3">
        <v>3.9944</v>
      </c>
      <c r="D569" s="3">
        <v>3.7191</v>
      </c>
      <c r="E569" s="3">
        <v>4.0587</v>
      </c>
      <c r="F569" s="3">
        <v>3.6866</v>
      </c>
      <c r="G569" s="3">
        <v>4.0265</v>
      </c>
    </row>
    <row r="570" spans="1:7">
      <c r="A570" s="2">
        <v>41873</v>
      </c>
      <c r="B570" s="3">
        <v>3.6635</v>
      </c>
      <c r="C570" s="3">
        <v>3.9654</v>
      </c>
      <c r="D570" s="3">
        <v>3.7234</v>
      </c>
      <c r="E570" s="3">
        <v>4.0215</v>
      </c>
      <c r="F570" s="3">
        <v>3.6935</v>
      </c>
      <c r="G570" s="3">
        <v>3.9935</v>
      </c>
    </row>
    <row r="571" spans="1:7">
      <c r="A571" s="2">
        <v>41876</v>
      </c>
      <c r="B571" s="3">
        <v>3.6531</v>
      </c>
      <c r="C571" s="3">
        <v>3.9548</v>
      </c>
      <c r="D571" s="3">
        <v>3.7123</v>
      </c>
      <c r="E571" s="3">
        <v>4.0204</v>
      </c>
      <c r="F571" s="3">
        <v>3.6827</v>
      </c>
      <c r="G571" s="3">
        <v>3.9876</v>
      </c>
    </row>
    <row r="572" spans="1:7">
      <c r="A572" s="2">
        <v>41877</v>
      </c>
      <c r="B572" s="3">
        <v>3.6085</v>
      </c>
      <c r="C572" s="3">
        <v>3.899</v>
      </c>
      <c r="D572" s="3">
        <v>3.6731</v>
      </c>
      <c r="E572" s="3">
        <v>3.9675</v>
      </c>
      <c r="F572" s="3">
        <v>3.6408</v>
      </c>
      <c r="G572" s="3">
        <v>3.9332</v>
      </c>
    </row>
    <row r="573" spans="1:7">
      <c r="A573" s="2">
        <v>41878</v>
      </c>
      <c r="B573" s="3">
        <v>3.5709</v>
      </c>
      <c r="C573" s="3">
        <v>3.8572</v>
      </c>
      <c r="D573" s="3">
        <v>3.6313</v>
      </c>
      <c r="E573" s="3">
        <v>3.9219</v>
      </c>
      <c r="F573" s="3">
        <v>3.6011</v>
      </c>
      <c r="G573" s="3">
        <v>3.8895</v>
      </c>
    </row>
    <row r="574" spans="1:7">
      <c r="A574" s="2">
        <v>41879</v>
      </c>
      <c r="B574" s="3">
        <v>3.5647</v>
      </c>
      <c r="C574" s="3">
        <v>3.8532</v>
      </c>
      <c r="D574" s="3">
        <v>3.6216</v>
      </c>
      <c r="E574" s="3">
        <v>3.9147</v>
      </c>
      <c r="F574" s="3">
        <v>3.5932</v>
      </c>
      <c r="G574" s="3">
        <v>3.8839</v>
      </c>
    </row>
    <row r="575" spans="1:7">
      <c r="A575" s="2">
        <v>41880</v>
      </c>
      <c r="B575" s="3">
        <v>3.5716</v>
      </c>
      <c r="C575" s="3">
        <v>3.8772</v>
      </c>
      <c r="D575" s="3">
        <v>3.6293</v>
      </c>
      <c r="E575" s="3">
        <v>3.9411</v>
      </c>
      <c r="F575" s="3">
        <v>3.6004</v>
      </c>
      <c r="G575" s="3">
        <v>3.9092</v>
      </c>
    </row>
    <row r="576" spans="1:7">
      <c r="A576" s="2">
        <v>41883</v>
      </c>
      <c r="B576" s="3">
        <v>3.5555</v>
      </c>
      <c r="C576" s="3">
        <v>3.865</v>
      </c>
      <c r="D576" s="3">
        <v>3.6195</v>
      </c>
      <c r="E576" s="3">
        <v>3.9324</v>
      </c>
      <c r="F576" s="3">
        <v>3.5875</v>
      </c>
      <c r="G576" s="3">
        <v>3.8987</v>
      </c>
    </row>
    <row r="577" spans="1:7">
      <c r="A577" s="2">
        <v>41884</v>
      </c>
      <c r="B577" s="3">
        <v>3.5554</v>
      </c>
      <c r="C577" s="3">
        <v>3.8683</v>
      </c>
      <c r="D577" s="3">
        <v>3.6115</v>
      </c>
      <c r="E577" s="3">
        <v>3.9281</v>
      </c>
      <c r="F577" s="3">
        <v>3.5834</v>
      </c>
      <c r="G577" s="3">
        <v>3.8982</v>
      </c>
    </row>
    <row r="578" spans="1:7">
      <c r="A578" s="2">
        <v>41885</v>
      </c>
      <c r="B578" s="3">
        <v>3.599</v>
      </c>
      <c r="C578" s="3">
        <v>3.9465</v>
      </c>
      <c r="D578" s="3">
        <v>3.6607</v>
      </c>
      <c r="E578" s="3">
        <v>4.0108</v>
      </c>
      <c r="F578" s="3">
        <v>3.6298</v>
      </c>
      <c r="G578" s="3">
        <v>3.9787</v>
      </c>
    </row>
    <row r="579" spans="1:7">
      <c r="A579" s="2">
        <v>41886</v>
      </c>
      <c r="B579" s="3">
        <v>3.5877</v>
      </c>
      <c r="C579" s="3">
        <v>3.9488</v>
      </c>
      <c r="D579" s="3">
        <v>3.6533</v>
      </c>
      <c r="E579" s="3">
        <v>4.0158</v>
      </c>
      <c r="F579" s="3">
        <v>3.6205</v>
      </c>
      <c r="G579" s="3">
        <v>3.9823</v>
      </c>
    </row>
    <row r="580" spans="1:7">
      <c r="A580" s="2">
        <v>41887</v>
      </c>
      <c r="B580" s="3">
        <v>3.575</v>
      </c>
      <c r="C580" s="3">
        <v>3.9658</v>
      </c>
      <c r="D580" s="3">
        <v>3.6353</v>
      </c>
      <c r="E580" s="3">
        <v>4.0254</v>
      </c>
      <c r="F580" s="3">
        <v>3.6051</v>
      </c>
      <c r="G580" s="3">
        <v>3.9956</v>
      </c>
    </row>
    <row r="581" spans="1:7">
      <c r="A581" s="2">
        <v>41891</v>
      </c>
      <c r="B581" s="3">
        <v>3.5772</v>
      </c>
      <c r="C581" s="3">
        <v>3.9633</v>
      </c>
      <c r="D581" s="3">
        <v>3.6428</v>
      </c>
      <c r="E581" s="3">
        <v>4.0282</v>
      </c>
      <c r="F581" s="3">
        <v>3.61</v>
      </c>
      <c r="G581" s="3">
        <v>3.9958</v>
      </c>
    </row>
    <row r="582" spans="1:7">
      <c r="A582" s="2">
        <v>41892</v>
      </c>
      <c r="B582" s="3">
        <v>3.5974</v>
      </c>
      <c r="C582" s="3">
        <v>3.9576</v>
      </c>
      <c r="D582" s="3">
        <v>3.6556</v>
      </c>
      <c r="E582" s="3">
        <v>4.0182</v>
      </c>
      <c r="F582" s="3">
        <v>3.6265</v>
      </c>
      <c r="G582" s="3">
        <v>3.9879</v>
      </c>
    </row>
    <row r="583" spans="1:7">
      <c r="A583" s="2">
        <v>41893</v>
      </c>
      <c r="B583" s="3">
        <v>3.5904</v>
      </c>
      <c r="C583" s="3">
        <v>3.9327</v>
      </c>
      <c r="D583" s="3">
        <v>3.6565</v>
      </c>
      <c r="E583" s="3">
        <v>4.0003</v>
      </c>
      <c r="F583" s="3">
        <v>3.6235</v>
      </c>
      <c r="G583" s="3">
        <v>3.9665</v>
      </c>
    </row>
    <row r="584" spans="1:7">
      <c r="A584" s="2">
        <v>41894</v>
      </c>
      <c r="B584" s="3">
        <v>3.5826</v>
      </c>
      <c r="C584" s="3">
        <v>3.9118</v>
      </c>
      <c r="D584" s="3">
        <v>3.6468</v>
      </c>
      <c r="E584" s="3">
        <v>3.976</v>
      </c>
      <c r="F584" s="3">
        <v>3.6147</v>
      </c>
      <c r="G584" s="3">
        <v>3.9439</v>
      </c>
    </row>
    <row r="585" spans="1:7">
      <c r="A585" s="2">
        <v>41897</v>
      </c>
      <c r="B585" s="3">
        <v>3.5638</v>
      </c>
      <c r="C585" s="3">
        <v>3.8446</v>
      </c>
      <c r="D585" s="3">
        <v>3.6229</v>
      </c>
      <c r="E585" s="3">
        <v>3.9038</v>
      </c>
      <c r="F585" s="3">
        <v>3.5933</v>
      </c>
      <c r="G585" s="3">
        <v>3.8742</v>
      </c>
    </row>
    <row r="586" spans="1:7">
      <c r="A586" s="2">
        <v>41898</v>
      </c>
      <c r="B586" s="3">
        <v>3.5217</v>
      </c>
      <c r="C586" s="3">
        <v>3.7707</v>
      </c>
      <c r="D586" s="3">
        <v>3.583</v>
      </c>
      <c r="E586" s="3">
        <v>3.8327</v>
      </c>
      <c r="F586" s="3">
        <v>3.5524</v>
      </c>
      <c r="G586" s="3">
        <v>3.8017</v>
      </c>
    </row>
    <row r="587" spans="1:7">
      <c r="A587" s="2">
        <v>41899</v>
      </c>
      <c r="B587" s="3">
        <v>3.4796</v>
      </c>
      <c r="C587" s="3">
        <v>3.7524</v>
      </c>
      <c r="D587" s="3">
        <v>3.5434</v>
      </c>
      <c r="E587" s="3">
        <v>3.8143</v>
      </c>
      <c r="F587" s="3">
        <v>3.5115</v>
      </c>
      <c r="G587" s="3">
        <v>3.7833</v>
      </c>
    </row>
    <row r="588" spans="1:7">
      <c r="A588" s="2">
        <v>41900</v>
      </c>
      <c r="B588" s="3">
        <v>3.3176</v>
      </c>
      <c r="C588" s="3">
        <v>3.625</v>
      </c>
      <c r="D588" s="3">
        <v>3.3818</v>
      </c>
      <c r="E588" s="3">
        <v>3.6941</v>
      </c>
      <c r="F588" s="3">
        <v>3.3497</v>
      </c>
      <c r="G588" s="3">
        <v>3.6596</v>
      </c>
    </row>
    <row r="589" spans="1:7">
      <c r="A589" s="2">
        <v>41901</v>
      </c>
      <c r="B589" s="3">
        <v>3.3593</v>
      </c>
      <c r="C589" s="3">
        <v>3.6432</v>
      </c>
      <c r="D589" s="3">
        <v>3.4256</v>
      </c>
      <c r="E589" s="3">
        <v>3.7135</v>
      </c>
      <c r="F589" s="3">
        <v>3.3924</v>
      </c>
      <c r="G589" s="3">
        <v>3.6783</v>
      </c>
    </row>
    <row r="590" spans="1:7">
      <c r="A590" s="2">
        <v>41904</v>
      </c>
      <c r="B590" s="3">
        <v>3.3311</v>
      </c>
      <c r="C590" s="3">
        <v>3.6011</v>
      </c>
      <c r="D590" s="3">
        <v>3.3956</v>
      </c>
      <c r="E590" s="3">
        <v>3.6628</v>
      </c>
      <c r="F590" s="3">
        <v>3.3633</v>
      </c>
      <c r="G590" s="3">
        <v>3.632</v>
      </c>
    </row>
    <row r="591" spans="1:7">
      <c r="A591" s="2">
        <v>41905</v>
      </c>
      <c r="B591" s="3">
        <v>3.3022</v>
      </c>
      <c r="C591" s="3">
        <v>3.5883</v>
      </c>
      <c r="D591" s="3">
        <v>3.3635</v>
      </c>
      <c r="E591" s="3">
        <v>3.6537</v>
      </c>
      <c r="F591" s="3">
        <v>3.3329</v>
      </c>
      <c r="G591" s="3">
        <v>3.621</v>
      </c>
    </row>
    <row r="592" spans="1:7">
      <c r="A592" s="2">
        <v>41906</v>
      </c>
      <c r="B592" s="3">
        <v>3.3608</v>
      </c>
      <c r="C592" s="3">
        <v>3.7115</v>
      </c>
      <c r="D592" s="3">
        <v>3.4385</v>
      </c>
      <c r="E592" s="3">
        <v>3.7896</v>
      </c>
      <c r="F592" s="3">
        <v>3.3997</v>
      </c>
      <c r="G592" s="3">
        <v>3.7505</v>
      </c>
    </row>
    <row r="593" spans="1:7">
      <c r="A593" s="2">
        <v>41907</v>
      </c>
      <c r="B593" s="3">
        <v>3.3327</v>
      </c>
      <c r="C593" s="3">
        <v>3.6611</v>
      </c>
      <c r="D593" s="3">
        <v>3.4013</v>
      </c>
      <c r="E593" s="3">
        <v>3.7411</v>
      </c>
      <c r="F593" s="3">
        <v>3.367</v>
      </c>
      <c r="G593" s="3">
        <v>3.7011</v>
      </c>
    </row>
    <row r="594" spans="1:7">
      <c r="A594" s="2">
        <v>41908</v>
      </c>
      <c r="B594" s="3">
        <v>3.3145</v>
      </c>
      <c r="C594" s="3">
        <v>3.6414</v>
      </c>
      <c r="D594" s="3">
        <v>3.3842</v>
      </c>
      <c r="E594" s="3">
        <v>3.7133</v>
      </c>
      <c r="F594" s="3">
        <v>3.3494</v>
      </c>
      <c r="G594" s="3">
        <v>3.6774</v>
      </c>
    </row>
    <row r="595" spans="1:7">
      <c r="A595" s="2">
        <v>41910</v>
      </c>
      <c r="B595" s="3">
        <v>3.2786</v>
      </c>
      <c r="C595" s="3">
        <v>3.5968</v>
      </c>
      <c r="D595" s="3">
        <v>3.3456</v>
      </c>
      <c r="E595" s="3">
        <v>3.6645</v>
      </c>
      <c r="F595" s="3">
        <v>3.3121</v>
      </c>
      <c r="G595" s="3">
        <v>3.6307</v>
      </c>
    </row>
    <row r="596" spans="1:7">
      <c r="A596" s="2">
        <v>41911</v>
      </c>
      <c r="B596" s="3">
        <v>3.1828</v>
      </c>
      <c r="C596" s="3">
        <v>3.487</v>
      </c>
      <c r="D596" s="3">
        <v>3.2445</v>
      </c>
      <c r="E596" s="3">
        <v>3.5497</v>
      </c>
      <c r="F596" s="3">
        <v>3.2137</v>
      </c>
      <c r="G596" s="3">
        <v>3.5184</v>
      </c>
    </row>
    <row r="597" spans="1:7">
      <c r="A597" s="2">
        <v>41912</v>
      </c>
      <c r="B597" s="3">
        <v>3.1795</v>
      </c>
      <c r="C597" s="3">
        <v>3.4805</v>
      </c>
      <c r="D597" s="3">
        <v>3.2429</v>
      </c>
      <c r="E597" s="3">
        <v>3.545</v>
      </c>
      <c r="F597" s="3">
        <v>3.2112</v>
      </c>
      <c r="G597" s="3">
        <v>3.5127</v>
      </c>
    </row>
    <row r="598" spans="1:7">
      <c r="A598" s="2">
        <v>41920</v>
      </c>
      <c r="B598" s="3">
        <v>3.2047</v>
      </c>
      <c r="C598" s="3">
        <v>3.5354</v>
      </c>
      <c r="D598" s="3">
        <v>3.2641</v>
      </c>
      <c r="E598" s="3">
        <v>3.5967</v>
      </c>
      <c r="F598" s="3">
        <v>3.2344</v>
      </c>
      <c r="G598" s="3">
        <v>3.566</v>
      </c>
    </row>
    <row r="599" spans="1:7">
      <c r="A599" s="2">
        <v>41921</v>
      </c>
      <c r="B599" s="3">
        <v>3.2194</v>
      </c>
      <c r="C599" s="3">
        <v>3.5429</v>
      </c>
      <c r="D599" s="3">
        <v>3.2718</v>
      </c>
      <c r="E599" s="3">
        <v>3.5977</v>
      </c>
      <c r="F599" s="3">
        <v>3.2456</v>
      </c>
      <c r="G599" s="3">
        <v>3.5703</v>
      </c>
    </row>
    <row r="600" spans="1:7">
      <c r="A600" s="2">
        <v>41922</v>
      </c>
      <c r="B600" s="3">
        <v>3.2239</v>
      </c>
      <c r="C600" s="3">
        <v>3.5513</v>
      </c>
      <c r="D600" s="3">
        <v>3.2786</v>
      </c>
      <c r="E600" s="3">
        <v>3.6057</v>
      </c>
      <c r="F600" s="3">
        <v>3.2513</v>
      </c>
      <c r="G600" s="3">
        <v>3.5785</v>
      </c>
    </row>
    <row r="601" spans="1:7">
      <c r="A601" s="2">
        <v>41923</v>
      </c>
      <c r="B601" s="3">
        <v>3.2182</v>
      </c>
      <c r="C601" s="3">
        <v>3.5476</v>
      </c>
      <c r="D601" s="3">
        <v>3.2707</v>
      </c>
      <c r="E601" s="3">
        <v>3.6024</v>
      </c>
      <c r="F601" s="3">
        <v>3.2445</v>
      </c>
      <c r="G601" s="3">
        <v>3.575</v>
      </c>
    </row>
    <row r="602" spans="1:7">
      <c r="A602" s="2">
        <v>41925</v>
      </c>
      <c r="B602" s="3">
        <v>3.2177</v>
      </c>
      <c r="C602" s="3">
        <v>3.5423</v>
      </c>
      <c r="D602" s="3">
        <v>3.2743</v>
      </c>
      <c r="E602" s="3">
        <v>3.6021</v>
      </c>
      <c r="F602" s="3">
        <v>3.246</v>
      </c>
      <c r="G602" s="3">
        <v>3.5722</v>
      </c>
    </row>
    <row r="603" spans="1:7">
      <c r="A603" s="2">
        <v>41926</v>
      </c>
      <c r="B603" s="3">
        <v>3.1215</v>
      </c>
      <c r="C603" s="3">
        <v>3.428</v>
      </c>
      <c r="D603" s="3">
        <v>3.1778</v>
      </c>
      <c r="E603" s="3">
        <v>3.4843</v>
      </c>
      <c r="F603" s="3">
        <v>3.1497</v>
      </c>
      <c r="G603" s="3">
        <v>3.4562</v>
      </c>
    </row>
    <row r="604" spans="1:7">
      <c r="A604" s="2">
        <v>41927</v>
      </c>
      <c r="B604" s="3">
        <v>3.0818</v>
      </c>
      <c r="C604" s="3">
        <v>3.3797</v>
      </c>
      <c r="D604" s="3">
        <v>3.1375</v>
      </c>
      <c r="E604" s="3">
        <v>3.4381</v>
      </c>
      <c r="F604" s="3">
        <v>3.1097</v>
      </c>
      <c r="G604" s="3">
        <v>3.4089</v>
      </c>
    </row>
    <row r="605" spans="1:7">
      <c r="A605" s="2">
        <v>41928</v>
      </c>
      <c r="B605" s="3">
        <v>3.0549</v>
      </c>
      <c r="C605" s="3">
        <v>3.345</v>
      </c>
      <c r="D605" s="3">
        <v>3.1205</v>
      </c>
      <c r="E605" s="3">
        <v>3.4118</v>
      </c>
      <c r="F605" s="3">
        <v>3.0877</v>
      </c>
      <c r="G605" s="3">
        <v>3.3784</v>
      </c>
    </row>
    <row r="606" spans="1:7">
      <c r="A606" s="2">
        <v>41929</v>
      </c>
      <c r="B606" s="3">
        <v>3.0596</v>
      </c>
      <c r="C606" s="3">
        <v>3.3421</v>
      </c>
      <c r="D606" s="3">
        <v>3.1221</v>
      </c>
      <c r="E606" s="3">
        <v>3.4033</v>
      </c>
      <c r="F606" s="3">
        <v>3.0908</v>
      </c>
      <c r="G606" s="3">
        <v>3.3727</v>
      </c>
    </row>
    <row r="607" spans="1:7">
      <c r="A607" s="2">
        <v>41932</v>
      </c>
      <c r="B607" s="3">
        <v>2.9972</v>
      </c>
      <c r="C607" s="3">
        <v>3.2575</v>
      </c>
      <c r="D607" s="3">
        <v>3.0612</v>
      </c>
      <c r="E607" s="3">
        <v>3.3333</v>
      </c>
      <c r="F607" s="3">
        <v>3.0292</v>
      </c>
      <c r="G607" s="3">
        <v>3.2954</v>
      </c>
    </row>
    <row r="608" spans="1:7">
      <c r="A608" s="2">
        <v>41933</v>
      </c>
      <c r="B608" s="3">
        <v>3.0131</v>
      </c>
      <c r="C608" s="3">
        <v>3.3023</v>
      </c>
      <c r="D608" s="3">
        <v>3.0756</v>
      </c>
      <c r="E608" s="3">
        <v>3.3681</v>
      </c>
      <c r="F608" s="3">
        <v>3.0444</v>
      </c>
      <c r="G608" s="3">
        <v>3.3352</v>
      </c>
    </row>
    <row r="609" spans="1:7">
      <c r="A609" s="2">
        <v>41934</v>
      </c>
      <c r="B609" s="3">
        <v>3.0754</v>
      </c>
      <c r="C609" s="3">
        <v>3.3657</v>
      </c>
      <c r="D609" s="3">
        <v>3.1284</v>
      </c>
      <c r="E609" s="3">
        <v>3.425</v>
      </c>
      <c r="F609" s="3">
        <v>3.1019</v>
      </c>
      <c r="G609" s="3">
        <v>3.3954</v>
      </c>
    </row>
    <row r="610" spans="1:7">
      <c r="A610" s="2">
        <v>41935</v>
      </c>
      <c r="B610" s="3">
        <v>3.0896</v>
      </c>
      <c r="C610" s="3">
        <v>3.3857</v>
      </c>
      <c r="D610" s="3">
        <v>3.1471</v>
      </c>
      <c r="E610" s="3">
        <v>3.4454</v>
      </c>
      <c r="F610" s="3">
        <v>3.1184</v>
      </c>
      <c r="G610" s="3">
        <v>3.4156</v>
      </c>
    </row>
    <row r="611" spans="1:7">
      <c r="A611" s="2">
        <v>41936</v>
      </c>
      <c r="B611" s="3">
        <v>3.0867</v>
      </c>
      <c r="C611" s="3">
        <v>3.3838</v>
      </c>
      <c r="D611" s="3">
        <v>3.1445</v>
      </c>
      <c r="E611" s="3">
        <v>3.4414</v>
      </c>
      <c r="F611" s="3">
        <v>3.1156</v>
      </c>
      <c r="G611" s="3">
        <v>3.4126</v>
      </c>
    </row>
    <row r="612" spans="1:7">
      <c r="A612" s="2">
        <v>41939</v>
      </c>
      <c r="B612" s="3">
        <v>3.0882</v>
      </c>
      <c r="C612" s="3">
        <v>3.3908</v>
      </c>
      <c r="D612" s="3">
        <v>3.1526</v>
      </c>
      <c r="E612" s="3">
        <v>3.4523</v>
      </c>
      <c r="F612" s="3">
        <v>3.1204</v>
      </c>
      <c r="G612" s="3">
        <v>3.4216</v>
      </c>
    </row>
    <row r="613" spans="1:7">
      <c r="A613" s="2">
        <v>41940</v>
      </c>
      <c r="B613" s="3">
        <v>3.0439</v>
      </c>
      <c r="C613" s="3">
        <v>3.3437</v>
      </c>
      <c r="D613" s="3">
        <v>3.1083</v>
      </c>
      <c r="E613" s="3">
        <v>3.4099</v>
      </c>
      <c r="F613" s="3">
        <v>3.0761</v>
      </c>
      <c r="G613" s="3">
        <v>3.3768</v>
      </c>
    </row>
    <row r="614" spans="1:7">
      <c r="A614" s="2">
        <v>41941</v>
      </c>
      <c r="B614" s="3">
        <v>3.0605</v>
      </c>
      <c r="C614" s="3">
        <v>3.3564</v>
      </c>
      <c r="D614" s="3">
        <v>3.1208</v>
      </c>
      <c r="E614" s="3">
        <v>3.4185</v>
      </c>
      <c r="F614" s="3">
        <v>3.0906</v>
      </c>
      <c r="G614" s="3">
        <v>3.3874</v>
      </c>
    </row>
    <row r="615" spans="1:7">
      <c r="A615" s="2">
        <v>41942</v>
      </c>
      <c r="B615" s="3">
        <v>3.0861</v>
      </c>
      <c r="C615" s="3">
        <v>3.3791</v>
      </c>
      <c r="D615" s="3">
        <v>3.1472</v>
      </c>
      <c r="E615" s="3">
        <v>3.4428</v>
      </c>
      <c r="F615" s="3">
        <v>3.1167</v>
      </c>
      <c r="G615" s="3">
        <v>3.4109</v>
      </c>
    </row>
    <row r="616" spans="1:7">
      <c r="A616" s="2">
        <v>41943</v>
      </c>
      <c r="B616" s="3">
        <v>3.0691</v>
      </c>
      <c r="C616" s="3">
        <v>3.3553</v>
      </c>
      <c r="D616" s="3">
        <v>3.1291</v>
      </c>
      <c r="E616" s="3">
        <v>3.4196</v>
      </c>
      <c r="F616" s="3">
        <v>3.0991</v>
      </c>
      <c r="G616" s="3">
        <v>3.3874</v>
      </c>
    </row>
    <row r="617" spans="1:7">
      <c r="A617" s="2">
        <v>41946</v>
      </c>
      <c r="B617" s="3">
        <v>3.0485</v>
      </c>
      <c r="C617" s="3">
        <v>3.3165</v>
      </c>
      <c r="D617" s="3">
        <v>3.1133</v>
      </c>
      <c r="E617" s="3">
        <v>3.3856</v>
      </c>
      <c r="F617" s="3">
        <v>3.0809</v>
      </c>
      <c r="G617" s="3">
        <v>3.351</v>
      </c>
    </row>
    <row r="618" spans="1:7">
      <c r="A618" s="2">
        <v>41947</v>
      </c>
      <c r="B618" s="3">
        <v>2.98</v>
      </c>
      <c r="C618" s="3">
        <v>3.2233</v>
      </c>
      <c r="D618" s="3">
        <v>3.0346</v>
      </c>
      <c r="E618" s="3">
        <v>3.2804</v>
      </c>
      <c r="F618" s="3">
        <v>3.0073</v>
      </c>
      <c r="G618" s="3">
        <v>3.2519</v>
      </c>
    </row>
    <row r="619" spans="1:7">
      <c r="A619" s="2">
        <v>41948</v>
      </c>
      <c r="B619" s="3">
        <v>2.9863</v>
      </c>
      <c r="C619" s="3">
        <v>3.2088</v>
      </c>
      <c r="D619" s="3">
        <v>3.0304</v>
      </c>
      <c r="E619" s="3">
        <v>3.2579</v>
      </c>
      <c r="F619" s="3">
        <v>3.0083</v>
      </c>
      <c r="G619" s="3">
        <v>3.2333</v>
      </c>
    </row>
    <row r="620" spans="1:7">
      <c r="A620" s="2">
        <v>41949</v>
      </c>
      <c r="B620" s="3">
        <v>2.9874</v>
      </c>
      <c r="C620" s="3">
        <v>3.2211</v>
      </c>
      <c r="D620" s="3">
        <v>3.0459</v>
      </c>
      <c r="E620" s="3">
        <v>3.2815</v>
      </c>
      <c r="F620" s="3">
        <v>3.0167</v>
      </c>
      <c r="G620" s="3">
        <v>3.2513</v>
      </c>
    </row>
    <row r="621" spans="1:7">
      <c r="A621" s="2">
        <v>41950</v>
      </c>
      <c r="B621" s="3">
        <v>2.9442</v>
      </c>
      <c r="C621" s="3">
        <v>3.1613</v>
      </c>
      <c r="D621" s="3">
        <v>2.9967</v>
      </c>
      <c r="E621" s="3">
        <v>3.2096</v>
      </c>
      <c r="F621" s="3">
        <v>2.9704</v>
      </c>
      <c r="G621" s="3">
        <v>3.1854</v>
      </c>
    </row>
    <row r="622" spans="1:7">
      <c r="A622" s="2">
        <v>41953</v>
      </c>
      <c r="B622" s="3">
        <v>2.915</v>
      </c>
      <c r="C622" s="3">
        <v>3.1263</v>
      </c>
      <c r="D622" s="3">
        <v>2.9721</v>
      </c>
      <c r="E622" s="3">
        <v>3.1871</v>
      </c>
      <c r="F622" s="3">
        <v>2.9436</v>
      </c>
      <c r="G622" s="3">
        <v>3.1567</v>
      </c>
    </row>
    <row r="623" spans="1:7">
      <c r="A623" s="2">
        <v>41954</v>
      </c>
      <c r="B623" s="3">
        <v>2.9284</v>
      </c>
      <c r="C623" s="3">
        <v>3.145</v>
      </c>
      <c r="D623" s="3">
        <v>2.9913</v>
      </c>
      <c r="E623" s="3">
        <v>3.215</v>
      </c>
      <c r="F623" s="3">
        <v>2.9598</v>
      </c>
      <c r="G623" s="3">
        <v>3.18</v>
      </c>
    </row>
    <row r="624" spans="1:7">
      <c r="A624" s="2">
        <v>41955</v>
      </c>
      <c r="B624" s="3">
        <v>2.9654</v>
      </c>
      <c r="C624" s="3">
        <v>3.1982</v>
      </c>
      <c r="D624" s="3">
        <v>3.0242</v>
      </c>
      <c r="E624" s="3">
        <v>3.2573</v>
      </c>
      <c r="F624" s="3">
        <v>2.9948</v>
      </c>
      <c r="G624" s="3">
        <v>3.2278</v>
      </c>
    </row>
    <row r="625" spans="1:7">
      <c r="A625" s="2">
        <v>41956</v>
      </c>
      <c r="B625" s="3">
        <v>3.0223</v>
      </c>
      <c r="C625" s="3">
        <v>3.287</v>
      </c>
      <c r="D625" s="3">
        <v>3.0826</v>
      </c>
      <c r="E625" s="3">
        <v>3.3519</v>
      </c>
      <c r="F625" s="3">
        <v>3.0524</v>
      </c>
      <c r="G625" s="3">
        <v>3.3194</v>
      </c>
    </row>
    <row r="626" spans="1:7">
      <c r="A626" s="2">
        <v>41957</v>
      </c>
      <c r="B626" s="3">
        <v>3.0566</v>
      </c>
      <c r="C626" s="3">
        <v>3.3325</v>
      </c>
      <c r="D626" s="3">
        <v>3.1225</v>
      </c>
      <c r="E626" s="3">
        <v>3.4006</v>
      </c>
      <c r="F626" s="3">
        <v>3.0896</v>
      </c>
      <c r="G626" s="3">
        <v>3.3666</v>
      </c>
    </row>
    <row r="627" spans="1:7">
      <c r="A627" s="2">
        <v>41960</v>
      </c>
      <c r="B627" s="3">
        <v>3.1098</v>
      </c>
      <c r="C627" s="3">
        <v>3.3755</v>
      </c>
      <c r="D627" s="3">
        <v>3.1661</v>
      </c>
      <c r="E627" s="3">
        <v>3.4344</v>
      </c>
      <c r="F627" s="3">
        <v>3.138</v>
      </c>
      <c r="G627" s="3">
        <v>3.405</v>
      </c>
    </row>
    <row r="628" spans="1:7">
      <c r="A628" s="2">
        <v>41961</v>
      </c>
      <c r="B628" s="3">
        <v>3.0463</v>
      </c>
      <c r="C628" s="3">
        <v>3.2888</v>
      </c>
      <c r="D628" s="3">
        <v>3.1155</v>
      </c>
      <c r="E628" s="3">
        <v>3.3546</v>
      </c>
      <c r="F628" s="3">
        <v>3.0809</v>
      </c>
      <c r="G628" s="3">
        <v>3.3217</v>
      </c>
    </row>
    <row r="629" spans="1:7">
      <c r="A629" s="2">
        <v>41962</v>
      </c>
      <c r="B629" s="3">
        <v>3.066</v>
      </c>
      <c r="C629" s="3">
        <v>3.306</v>
      </c>
      <c r="D629" s="3">
        <v>3.1307</v>
      </c>
      <c r="E629" s="3">
        <v>3.372</v>
      </c>
      <c r="F629" s="3">
        <v>3.0984</v>
      </c>
      <c r="G629" s="3">
        <v>3.339</v>
      </c>
    </row>
    <row r="630" spans="1:7">
      <c r="A630" s="2">
        <v>41963</v>
      </c>
      <c r="B630" s="3">
        <v>3.0854</v>
      </c>
      <c r="C630" s="3">
        <v>3.3244</v>
      </c>
      <c r="D630" s="3">
        <v>3.145</v>
      </c>
      <c r="E630" s="3">
        <v>3.39</v>
      </c>
      <c r="F630" s="3">
        <v>3.1152</v>
      </c>
      <c r="G630" s="3">
        <v>3.3572</v>
      </c>
    </row>
    <row r="631" spans="1:7">
      <c r="A631" s="2">
        <v>41964</v>
      </c>
      <c r="B631" s="3">
        <v>3.1006</v>
      </c>
      <c r="C631" s="3">
        <v>3.3025</v>
      </c>
      <c r="D631" s="3">
        <v>3.1566</v>
      </c>
      <c r="E631" s="3">
        <v>3.3721</v>
      </c>
      <c r="F631" s="3">
        <v>3.1286</v>
      </c>
      <c r="G631" s="3">
        <v>3.3373</v>
      </c>
    </row>
    <row r="632" spans="1:7">
      <c r="A632" s="2">
        <v>41967</v>
      </c>
      <c r="B632" s="3">
        <v>2.8967</v>
      </c>
      <c r="C632" s="3">
        <v>3.0556</v>
      </c>
      <c r="D632" s="3">
        <v>2.9648</v>
      </c>
      <c r="E632" s="3">
        <v>3.1255</v>
      </c>
      <c r="F632" s="3">
        <v>2.9307</v>
      </c>
      <c r="G632" s="3">
        <v>3.0905</v>
      </c>
    </row>
    <row r="633" spans="1:7">
      <c r="A633" s="2">
        <v>41968</v>
      </c>
      <c r="B633" s="3">
        <v>2.8588</v>
      </c>
      <c r="C633" s="3">
        <v>3.0442</v>
      </c>
      <c r="D633" s="3">
        <v>2.9208</v>
      </c>
      <c r="E633" s="3">
        <v>3.1062</v>
      </c>
      <c r="F633" s="3">
        <v>2.8898</v>
      </c>
      <c r="G633" s="3">
        <v>3.0752</v>
      </c>
    </row>
    <row r="634" spans="1:7">
      <c r="A634" s="2">
        <v>41969</v>
      </c>
      <c r="B634" s="3">
        <v>2.8188</v>
      </c>
      <c r="C634" s="3">
        <v>3.0275</v>
      </c>
      <c r="D634" s="3">
        <v>2.88</v>
      </c>
      <c r="E634" s="3">
        <v>3.0863</v>
      </c>
      <c r="F634" s="3">
        <v>2.8494</v>
      </c>
      <c r="G634" s="3">
        <v>3.0569</v>
      </c>
    </row>
    <row r="635" spans="1:7">
      <c r="A635" s="2">
        <v>41970</v>
      </c>
      <c r="B635" s="3">
        <v>2.8233</v>
      </c>
      <c r="C635" s="3">
        <v>3.0358</v>
      </c>
      <c r="D635" s="3">
        <v>2.881</v>
      </c>
      <c r="E635" s="3">
        <v>3.1015</v>
      </c>
      <c r="F635" s="3">
        <v>2.8522</v>
      </c>
      <c r="G635" s="3">
        <v>3.0687</v>
      </c>
    </row>
    <row r="636" spans="1:7">
      <c r="A636" s="2">
        <v>41971</v>
      </c>
      <c r="B636" s="3">
        <v>2.8256</v>
      </c>
      <c r="C636" s="3">
        <v>3.031</v>
      </c>
      <c r="D636" s="3">
        <v>2.8873</v>
      </c>
      <c r="E636" s="3">
        <v>3.1006</v>
      </c>
      <c r="F636" s="3">
        <v>2.8564</v>
      </c>
      <c r="G636" s="3">
        <v>3.0658</v>
      </c>
    </row>
    <row r="637" spans="1:7">
      <c r="A637" s="2">
        <v>41974</v>
      </c>
      <c r="B637" s="3">
        <v>2.8477</v>
      </c>
      <c r="C637" s="3">
        <v>3.0476</v>
      </c>
      <c r="D637" s="3">
        <v>2.9074</v>
      </c>
      <c r="E637" s="3">
        <v>3.1133</v>
      </c>
      <c r="F637" s="3">
        <v>2.8776</v>
      </c>
      <c r="G637" s="3">
        <v>3.0804</v>
      </c>
    </row>
    <row r="638" spans="1:7">
      <c r="A638" s="2">
        <v>41975</v>
      </c>
      <c r="B638" s="3">
        <v>2.9063</v>
      </c>
      <c r="C638" s="3">
        <v>3.1093</v>
      </c>
      <c r="D638" s="3">
        <v>2.9674</v>
      </c>
      <c r="E638" s="3">
        <v>3.1693</v>
      </c>
      <c r="F638" s="3">
        <v>2.9369</v>
      </c>
      <c r="G638" s="3">
        <v>3.1393</v>
      </c>
    </row>
    <row r="639" spans="1:7">
      <c r="A639" s="2">
        <v>41976</v>
      </c>
      <c r="B639" s="3">
        <v>3.0119</v>
      </c>
      <c r="C639" s="3">
        <v>3.2378</v>
      </c>
      <c r="D639" s="3">
        <v>3.0706</v>
      </c>
      <c r="E639" s="3">
        <v>3.3014</v>
      </c>
      <c r="F639" s="3">
        <v>3.0413</v>
      </c>
      <c r="G639" s="3">
        <v>3.2696</v>
      </c>
    </row>
    <row r="640" spans="1:7">
      <c r="A640" s="2">
        <v>41977</v>
      </c>
      <c r="B640" s="3">
        <v>3.0888</v>
      </c>
      <c r="C640" s="3">
        <v>3.3166</v>
      </c>
      <c r="D640" s="3">
        <v>3.1463</v>
      </c>
      <c r="E640" s="3">
        <v>3.3769</v>
      </c>
      <c r="F640" s="3">
        <v>3.1175</v>
      </c>
      <c r="G640" s="3">
        <v>3.3468</v>
      </c>
    </row>
    <row r="641" spans="1:7">
      <c r="A641" s="2">
        <v>41978</v>
      </c>
      <c r="B641" s="3">
        <v>3.2019</v>
      </c>
      <c r="C641" s="3">
        <v>3.4074</v>
      </c>
      <c r="D641" s="3">
        <v>3.2614</v>
      </c>
      <c r="E641" s="3">
        <v>3.4748</v>
      </c>
      <c r="F641" s="3">
        <v>3.2317</v>
      </c>
      <c r="G641" s="3">
        <v>3.4411</v>
      </c>
    </row>
    <row r="642" spans="1:7">
      <c r="A642" s="2">
        <v>41981</v>
      </c>
      <c r="B642" s="3">
        <v>3.3333</v>
      </c>
      <c r="C642" s="3">
        <v>3.5475</v>
      </c>
      <c r="D642" s="3">
        <v>3.3933</v>
      </c>
      <c r="E642" s="3">
        <v>3.605</v>
      </c>
      <c r="F642" s="3">
        <v>3.3633</v>
      </c>
      <c r="G642" s="3">
        <v>3.5763</v>
      </c>
    </row>
    <row r="643" spans="1:7">
      <c r="A643" s="2">
        <v>41982</v>
      </c>
      <c r="B643" s="3">
        <v>3.2971</v>
      </c>
      <c r="C643" s="3">
        <v>3.5254</v>
      </c>
      <c r="D643" s="3">
        <v>3.3566</v>
      </c>
      <c r="E643" s="3">
        <v>3.5942</v>
      </c>
      <c r="F643" s="3">
        <v>3.3269</v>
      </c>
      <c r="G643" s="3">
        <v>3.5598</v>
      </c>
    </row>
    <row r="644" spans="1:7">
      <c r="A644" s="2">
        <v>41983</v>
      </c>
      <c r="B644" s="3">
        <v>3.2413</v>
      </c>
      <c r="C644" s="3">
        <v>3.4238</v>
      </c>
      <c r="D644" s="3">
        <v>3.2963</v>
      </c>
      <c r="E644" s="3">
        <v>3.4925</v>
      </c>
      <c r="F644" s="3">
        <v>3.2688</v>
      </c>
      <c r="G644" s="3">
        <v>3.4581</v>
      </c>
    </row>
    <row r="645" spans="1:7">
      <c r="A645" s="2">
        <v>41984</v>
      </c>
      <c r="B645" s="3">
        <v>3.3275</v>
      </c>
      <c r="C645" s="3">
        <v>3.525</v>
      </c>
      <c r="D645" s="3">
        <v>3.3871</v>
      </c>
      <c r="E645" s="3">
        <v>3.5813</v>
      </c>
      <c r="F645" s="3">
        <v>3.3573</v>
      </c>
      <c r="G645" s="3">
        <v>3.5531</v>
      </c>
    </row>
    <row r="646" spans="1:7">
      <c r="A646" s="2">
        <v>41985</v>
      </c>
      <c r="B646" s="3">
        <v>3.3159</v>
      </c>
      <c r="C646" s="3">
        <v>3.4975</v>
      </c>
      <c r="D646" s="3">
        <v>3.3738</v>
      </c>
      <c r="E646" s="3">
        <v>3.5604</v>
      </c>
      <c r="F646" s="3">
        <v>3.3448</v>
      </c>
      <c r="G646" s="3">
        <v>3.5289</v>
      </c>
    </row>
    <row r="647" spans="1:7">
      <c r="A647" s="2">
        <v>41988</v>
      </c>
      <c r="B647" s="3">
        <v>3.3313</v>
      </c>
      <c r="C647" s="3">
        <v>3.5</v>
      </c>
      <c r="D647" s="3">
        <v>3.38</v>
      </c>
      <c r="E647" s="3">
        <v>3.5534</v>
      </c>
      <c r="F647" s="3">
        <v>3.3556</v>
      </c>
      <c r="G647" s="3">
        <v>3.5267</v>
      </c>
    </row>
    <row r="648" spans="1:7">
      <c r="A648" s="2">
        <v>41989</v>
      </c>
      <c r="B648" s="3">
        <v>3.3094</v>
      </c>
      <c r="C648" s="3">
        <v>3.4656</v>
      </c>
      <c r="D648" s="3">
        <v>3.361</v>
      </c>
      <c r="E648" s="3">
        <v>3.5235</v>
      </c>
      <c r="F648" s="3">
        <v>3.3352</v>
      </c>
      <c r="G648" s="3">
        <v>3.4946</v>
      </c>
    </row>
    <row r="649" spans="1:7">
      <c r="A649" s="2">
        <v>41990</v>
      </c>
      <c r="B649" s="3">
        <v>3.3234</v>
      </c>
      <c r="C649" s="3">
        <v>3.47</v>
      </c>
      <c r="D649" s="3">
        <v>3.3829</v>
      </c>
      <c r="E649" s="3">
        <v>3.5354</v>
      </c>
      <c r="F649" s="3">
        <v>3.3531</v>
      </c>
      <c r="G649" s="3">
        <v>3.5027</v>
      </c>
    </row>
    <row r="650" spans="1:7">
      <c r="A650" s="2">
        <v>41991</v>
      </c>
      <c r="B650" s="3">
        <v>3.3513</v>
      </c>
      <c r="C650" s="3">
        <v>3.4588</v>
      </c>
      <c r="D650" s="3">
        <v>3.405</v>
      </c>
      <c r="E650" s="3">
        <v>3.5179</v>
      </c>
      <c r="F650" s="3">
        <v>3.3781</v>
      </c>
      <c r="G650" s="3">
        <v>3.4883</v>
      </c>
    </row>
    <row r="651" spans="1:7">
      <c r="A651" s="2">
        <v>41992</v>
      </c>
      <c r="B651" s="3">
        <v>3.3571</v>
      </c>
      <c r="C651" s="3">
        <v>3.4338</v>
      </c>
      <c r="D651" s="3">
        <v>3.4216</v>
      </c>
      <c r="E651" s="3">
        <v>3.5016</v>
      </c>
      <c r="F651" s="3">
        <v>3.3894</v>
      </c>
      <c r="G651" s="3">
        <v>3.4677</v>
      </c>
    </row>
    <row r="652" spans="1:7">
      <c r="A652" s="2">
        <v>41995</v>
      </c>
      <c r="B652" s="3">
        <v>3.3538</v>
      </c>
      <c r="C652" s="3">
        <v>3.4425</v>
      </c>
      <c r="D652" s="3">
        <v>3.4063</v>
      </c>
      <c r="E652" s="3">
        <v>3.4963</v>
      </c>
      <c r="F652" s="3">
        <v>3.38</v>
      </c>
      <c r="G652" s="3">
        <v>3.4694</v>
      </c>
    </row>
    <row r="653" spans="1:7">
      <c r="A653" s="2">
        <v>41996</v>
      </c>
      <c r="B653" s="3">
        <v>3.3088</v>
      </c>
      <c r="C653" s="3">
        <v>3.3913</v>
      </c>
      <c r="D653" s="3">
        <v>3.3588</v>
      </c>
      <c r="E653" s="3">
        <v>3.4463</v>
      </c>
      <c r="F653" s="3">
        <v>3.3338</v>
      </c>
      <c r="G653" s="3">
        <v>3.4188</v>
      </c>
    </row>
    <row r="654" spans="1:7">
      <c r="A654" s="2">
        <v>41997</v>
      </c>
      <c r="B654" s="3">
        <v>3.2367</v>
      </c>
      <c r="C654" s="3">
        <v>3.3381</v>
      </c>
      <c r="D654" s="3">
        <v>3.297</v>
      </c>
      <c r="E654" s="3">
        <v>3.4003</v>
      </c>
      <c r="F654" s="3">
        <v>3.2668</v>
      </c>
      <c r="G654" s="3">
        <v>3.3692</v>
      </c>
    </row>
    <row r="655" spans="1:7">
      <c r="A655" s="2">
        <v>41998</v>
      </c>
      <c r="B655" s="3">
        <v>3.2884</v>
      </c>
      <c r="C655" s="3">
        <v>3.3963</v>
      </c>
      <c r="D655" s="3">
        <v>3.3529</v>
      </c>
      <c r="E655" s="3">
        <v>3.465</v>
      </c>
      <c r="F655" s="3">
        <v>3.3206</v>
      </c>
      <c r="G655" s="3">
        <v>3.4306</v>
      </c>
    </row>
    <row r="656" spans="1:7">
      <c r="A656" s="2">
        <v>41999</v>
      </c>
      <c r="B656" s="3">
        <v>3.2775</v>
      </c>
      <c r="C656" s="3">
        <v>3.3888</v>
      </c>
      <c r="D656" s="3">
        <v>3.3275</v>
      </c>
      <c r="E656" s="3">
        <v>3.4475</v>
      </c>
      <c r="F656" s="3">
        <v>3.3025</v>
      </c>
      <c r="G656" s="3">
        <v>3.4181</v>
      </c>
    </row>
    <row r="657" spans="1:7">
      <c r="A657" s="2">
        <v>42002</v>
      </c>
      <c r="B657" s="3">
        <v>3.3152</v>
      </c>
      <c r="C657" s="3">
        <v>3.4415</v>
      </c>
      <c r="D657" s="3">
        <v>3.3807</v>
      </c>
      <c r="E657" s="3">
        <v>3.5096</v>
      </c>
      <c r="F657" s="3">
        <v>3.348</v>
      </c>
      <c r="G657" s="3">
        <v>3.4756</v>
      </c>
    </row>
    <row r="658" spans="1:7">
      <c r="A658" s="2">
        <v>42003</v>
      </c>
      <c r="B658" s="3">
        <v>3.3841</v>
      </c>
      <c r="C658" s="3">
        <v>3.5075</v>
      </c>
      <c r="D658" s="3">
        <v>3.445</v>
      </c>
      <c r="E658" s="3">
        <v>3.5738</v>
      </c>
      <c r="F658" s="3">
        <v>3.4146</v>
      </c>
      <c r="G658" s="3">
        <v>3.5406</v>
      </c>
    </row>
    <row r="659" spans="1:7">
      <c r="A659" s="2">
        <v>42004</v>
      </c>
      <c r="B659" s="3">
        <v>3.3875</v>
      </c>
      <c r="C659" s="3">
        <v>3.505</v>
      </c>
      <c r="D659" s="3">
        <v>3.4413</v>
      </c>
      <c r="E659" s="3">
        <v>3.5588</v>
      </c>
      <c r="F659" s="3">
        <v>3.4144</v>
      </c>
      <c r="G659" s="3">
        <v>3.5319</v>
      </c>
    </row>
    <row r="660" spans="1:7">
      <c r="A660" s="2">
        <v>42008</v>
      </c>
      <c r="B660" s="3">
        <v>3.4385</v>
      </c>
      <c r="C660" s="3">
        <v>3.527</v>
      </c>
      <c r="D660" s="3">
        <v>3.4945</v>
      </c>
      <c r="E660" s="3">
        <v>3.5907</v>
      </c>
      <c r="F660" s="3">
        <v>3.4665</v>
      </c>
      <c r="G660" s="3">
        <v>3.5588</v>
      </c>
    </row>
    <row r="661" spans="1:7">
      <c r="A661" s="2">
        <v>42009</v>
      </c>
      <c r="B661" s="3">
        <v>3.4011</v>
      </c>
      <c r="C661" s="3">
        <v>3.4867</v>
      </c>
      <c r="D661" s="3">
        <v>3.46</v>
      </c>
      <c r="E661" s="3">
        <v>3.543</v>
      </c>
      <c r="F661" s="3">
        <v>3.4305</v>
      </c>
      <c r="G661" s="3">
        <v>3.5148</v>
      </c>
    </row>
    <row r="662" spans="1:7">
      <c r="A662" s="2">
        <v>42010</v>
      </c>
      <c r="B662" s="3">
        <v>3.3914</v>
      </c>
      <c r="C662" s="3">
        <v>3.4755</v>
      </c>
      <c r="D662" s="3">
        <v>3.4459</v>
      </c>
      <c r="E662" s="3">
        <v>3.5309</v>
      </c>
      <c r="F662" s="3">
        <v>3.4186</v>
      </c>
      <c r="G662" s="3">
        <v>3.5032</v>
      </c>
    </row>
    <row r="663" spans="1:7">
      <c r="A663" s="2">
        <v>42011</v>
      </c>
      <c r="B663" s="3">
        <v>3.3728</v>
      </c>
      <c r="C663" s="3">
        <v>3.4569</v>
      </c>
      <c r="D663" s="3">
        <v>3.431</v>
      </c>
      <c r="E663" s="3">
        <v>3.5152</v>
      </c>
      <c r="F663" s="3">
        <v>3.4019</v>
      </c>
      <c r="G663" s="3">
        <v>3.486</v>
      </c>
    </row>
    <row r="664" spans="1:7">
      <c r="A664" s="2">
        <v>42012</v>
      </c>
      <c r="B664" s="3">
        <v>3.3663</v>
      </c>
      <c r="C664" s="3">
        <v>3.44</v>
      </c>
      <c r="D664" s="3">
        <v>3.4167</v>
      </c>
      <c r="E664" s="3">
        <v>3.4942</v>
      </c>
      <c r="F664" s="3">
        <v>3.3915</v>
      </c>
      <c r="G664" s="3">
        <v>3.4671</v>
      </c>
    </row>
    <row r="665" spans="1:7">
      <c r="A665" s="2">
        <v>42013</v>
      </c>
      <c r="B665" s="3">
        <v>3.3677</v>
      </c>
      <c r="C665" s="3">
        <v>3.4385</v>
      </c>
      <c r="D665" s="3">
        <v>3.4272</v>
      </c>
      <c r="E665" s="3">
        <v>3.4987</v>
      </c>
      <c r="F665" s="3">
        <v>3.3974</v>
      </c>
      <c r="G665" s="3">
        <v>3.4686</v>
      </c>
    </row>
    <row r="666" spans="1:7">
      <c r="A666" s="2">
        <v>42016</v>
      </c>
      <c r="B666" s="3">
        <v>3.3937</v>
      </c>
      <c r="C666" s="3">
        <v>3.4381</v>
      </c>
      <c r="D666" s="3">
        <v>3.4533</v>
      </c>
      <c r="E666" s="3">
        <v>3.4996</v>
      </c>
      <c r="F666" s="3">
        <v>3.4235</v>
      </c>
      <c r="G666" s="3">
        <v>3.4689</v>
      </c>
    </row>
    <row r="667" spans="1:7">
      <c r="A667" s="2">
        <v>42017</v>
      </c>
      <c r="B667" s="3">
        <v>3.29</v>
      </c>
      <c r="C667" s="3">
        <v>3.321</v>
      </c>
      <c r="D667" s="3">
        <v>3.351</v>
      </c>
      <c r="E667" s="3">
        <v>3.386</v>
      </c>
      <c r="F667" s="3">
        <v>3.3205</v>
      </c>
      <c r="G667" s="3">
        <v>3.3535</v>
      </c>
    </row>
    <row r="668" spans="1:7">
      <c r="A668" s="2">
        <v>42018</v>
      </c>
      <c r="B668" s="3">
        <v>3.2478</v>
      </c>
      <c r="C668" s="3">
        <v>3.26</v>
      </c>
      <c r="D668" s="3">
        <v>3.306</v>
      </c>
      <c r="E668" s="3">
        <v>3.3222</v>
      </c>
      <c r="F668" s="3">
        <v>3.2769</v>
      </c>
      <c r="G668" s="3">
        <v>3.2911</v>
      </c>
    </row>
    <row r="669" spans="1:7">
      <c r="A669" s="2">
        <v>42019</v>
      </c>
      <c r="B669" s="3">
        <v>3.2791</v>
      </c>
      <c r="C669" s="3">
        <v>3.3155</v>
      </c>
      <c r="D669" s="3">
        <v>3.3348</v>
      </c>
      <c r="E669" s="3">
        <v>3.3739</v>
      </c>
      <c r="F669" s="3">
        <v>3.307</v>
      </c>
      <c r="G669" s="3">
        <v>3.3447</v>
      </c>
    </row>
    <row r="670" spans="1:7">
      <c r="A670" s="2">
        <v>42020</v>
      </c>
      <c r="B670" s="3">
        <v>3.23</v>
      </c>
      <c r="C670" s="3">
        <v>3.2467</v>
      </c>
      <c r="D670" s="3">
        <v>3.2854</v>
      </c>
      <c r="E670" s="3">
        <v>3.3046</v>
      </c>
      <c r="F670" s="3">
        <v>3.2577</v>
      </c>
      <c r="G670" s="3">
        <v>3.2756</v>
      </c>
    </row>
    <row r="671" spans="1:7">
      <c r="A671" s="2">
        <v>42023</v>
      </c>
      <c r="B671" s="3">
        <v>3.1978</v>
      </c>
      <c r="C671" s="3">
        <v>3.2078</v>
      </c>
      <c r="D671" s="3">
        <v>3.2603</v>
      </c>
      <c r="E671" s="3">
        <v>3.2737</v>
      </c>
      <c r="F671" s="3">
        <v>3.2291</v>
      </c>
      <c r="G671" s="3">
        <v>3.2407</v>
      </c>
    </row>
    <row r="672" spans="1:7">
      <c r="A672" s="2">
        <v>42024</v>
      </c>
      <c r="B672" s="3">
        <v>3.1978</v>
      </c>
      <c r="C672" s="3">
        <v>3.2137</v>
      </c>
      <c r="D672" s="3">
        <v>3.2511</v>
      </c>
      <c r="E672" s="3">
        <v>3.2744</v>
      </c>
      <c r="F672" s="3">
        <v>3.2244</v>
      </c>
      <c r="G672" s="3">
        <v>3.2441</v>
      </c>
    </row>
    <row r="673" spans="1:7">
      <c r="A673" s="2">
        <v>42025</v>
      </c>
      <c r="B673" s="3">
        <v>3.1663</v>
      </c>
      <c r="C673" s="3">
        <v>3.1779</v>
      </c>
      <c r="D673" s="3">
        <v>3.2384</v>
      </c>
      <c r="E673" s="3">
        <v>3.2546</v>
      </c>
      <c r="F673" s="3">
        <v>3.2023</v>
      </c>
      <c r="G673" s="3">
        <v>3.2163</v>
      </c>
    </row>
    <row r="674" spans="1:7">
      <c r="A674" s="2">
        <v>42026</v>
      </c>
      <c r="B674" s="3">
        <v>3.2188</v>
      </c>
      <c r="C674" s="3">
        <v>3.2354</v>
      </c>
      <c r="D674" s="3">
        <v>3.2738</v>
      </c>
      <c r="E674" s="3">
        <v>3.2963</v>
      </c>
      <c r="F674" s="3">
        <v>3.2463</v>
      </c>
      <c r="G674" s="3">
        <v>3.2658</v>
      </c>
    </row>
    <row r="675" spans="1:7">
      <c r="A675" s="2">
        <v>42027</v>
      </c>
      <c r="B675" s="3">
        <v>3.24</v>
      </c>
      <c r="C675" s="3">
        <v>3.2438</v>
      </c>
      <c r="D675" s="3">
        <v>3.2913</v>
      </c>
      <c r="E675" s="3">
        <v>3.3067</v>
      </c>
      <c r="F675" s="3">
        <v>3.2656</v>
      </c>
      <c r="G675" s="3">
        <v>3.2752</v>
      </c>
    </row>
    <row r="676" spans="1:7">
      <c r="A676" s="2">
        <v>42030</v>
      </c>
      <c r="B676" s="3">
        <v>3.193</v>
      </c>
      <c r="C676" s="3">
        <v>3.2</v>
      </c>
      <c r="D676" s="3">
        <v>3.2523</v>
      </c>
      <c r="E676" s="3">
        <v>3.264</v>
      </c>
      <c r="F676" s="3">
        <v>3.2227</v>
      </c>
      <c r="G676" s="3">
        <v>3.232</v>
      </c>
    </row>
    <row r="677" spans="1:7">
      <c r="A677" s="2">
        <v>42031</v>
      </c>
      <c r="B677" s="3">
        <v>3.2409</v>
      </c>
      <c r="C677" s="3">
        <v>3.2463</v>
      </c>
      <c r="D677" s="3">
        <v>3.295</v>
      </c>
      <c r="E677" s="3">
        <v>3.3063</v>
      </c>
      <c r="F677" s="3">
        <v>3.2679</v>
      </c>
      <c r="G677" s="3">
        <v>3.2763</v>
      </c>
    </row>
    <row r="678" spans="1:7">
      <c r="A678" s="2">
        <v>42032</v>
      </c>
      <c r="B678" s="3">
        <v>3.2891</v>
      </c>
      <c r="C678" s="3">
        <v>3.2846</v>
      </c>
      <c r="D678" s="3">
        <v>3.3371</v>
      </c>
      <c r="E678" s="3">
        <v>3.3454</v>
      </c>
      <c r="F678" s="3">
        <v>3.3131</v>
      </c>
      <c r="G678" s="3">
        <v>3.315</v>
      </c>
    </row>
    <row r="679" spans="1:7">
      <c r="A679" s="2">
        <v>42033</v>
      </c>
      <c r="B679" s="3">
        <v>3.3471</v>
      </c>
      <c r="C679" s="3">
        <v>3.3235</v>
      </c>
      <c r="D679" s="3">
        <v>3.4096</v>
      </c>
      <c r="E679" s="3">
        <v>3.3979</v>
      </c>
      <c r="F679" s="3">
        <v>3.3784</v>
      </c>
      <c r="G679" s="3">
        <v>3.3607</v>
      </c>
    </row>
    <row r="680" spans="1:7">
      <c r="A680" s="2">
        <v>42034</v>
      </c>
      <c r="B680" s="3">
        <v>3.3938</v>
      </c>
      <c r="C680" s="3">
        <v>3.3538</v>
      </c>
      <c r="D680" s="3">
        <v>3.4588</v>
      </c>
      <c r="E680" s="3">
        <v>3.4238</v>
      </c>
      <c r="F680" s="3">
        <v>3.4263</v>
      </c>
      <c r="G680" s="3">
        <v>3.3888</v>
      </c>
    </row>
    <row r="681" spans="1:7">
      <c r="A681" s="2">
        <v>42037</v>
      </c>
      <c r="B681" s="3">
        <v>3.3675</v>
      </c>
      <c r="C681" s="3">
        <v>3.275</v>
      </c>
      <c r="D681" s="3">
        <v>3.4138</v>
      </c>
      <c r="E681" s="3">
        <v>3.3304</v>
      </c>
      <c r="F681" s="3">
        <v>3.3906</v>
      </c>
      <c r="G681" s="3">
        <v>3.3027</v>
      </c>
    </row>
    <row r="682" spans="1:7">
      <c r="A682" s="2">
        <v>42038</v>
      </c>
      <c r="B682" s="3">
        <v>3.337</v>
      </c>
      <c r="C682" s="3">
        <v>3.213</v>
      </c>
      <c r="D682" s="3">
        <v>3.3927</v>
      </c>
      <c r="E682" s="3">
        <v>3.2724</v>
      </c>
      <c r="F682" s="3">
        <v>3.3648</v>
      </c>
      <c r="G682" s="3">
        <v>3.2427</v>
      </c>
    </row>
    <row r="683" spans="1:7">
      <c r="A683" s="2">
        <v>42039</v>
      </c>
      <c r="B683" s="3">
        <v>3.3275</v>
      </c>
      <c r="C683" s="3">
        <v>3.2375</v>
      </c>
      <c r="D683" s="3">
        <v>3.385</v>
      </c>
      <c r="E683" s="3">
        <v>3.295</v>
      </c>
      <c r="F683" s="3">
        <v>3.3563</v>
      </c>
      <c r="G683" s="3">
        <v>3.2663</v>
      </c>
    </row>
    <row r="684" spans="1:7">
      <c r="A684" s="2">
        <v>42040</v>
      </c>
      <c r="B684" s="3">
        <v>3.225</v>
      </c>
      <c r="C684" s="3">
        <v>3.2084</v>
      </c>
      <c r="D684" s="3">
        <v>3.275</v>
      </c>
      <c r="E684" s="3">
        <v>3.2575</v>
      </c>
      <c r="F684" s="3">
        <v>3.25</v>
      </c>
      <c r="G684" s="3">
        <v>3.2329</v>
      </c>
    </row>
    <row r="685" spans="1:7">
      <c r="A685" s="2">
        <v>42041</v>
      </c>
      <c r="B685" s="3">
        <v>3.245</v>
      </c>
      <c r="C685" s="3">
        <v>3.2141</v>
      </c>
      <c r="D685" s="3">
        <v>3.2938</v>
      </c>
      <c r="E685" s="3">
        <v>3.2704</v>
      </c>
      <c r="F685" s="3">
        <v>3.2694</v>
      </c>
      <c r="G685" s="3">
        <v>3.2423</v>
      </c>
    </row>
    <row r="686" spans="1:7">
      <c r="A686" s="2">
        <v>42044</v>
      </c>
      <c r="B686" s="3">
        <v>3.2075</v>
      </c>
      <c r="C686" s="3">
        <v>3.1563</v>
      </c>
      <c r="D686" s="3">
        <v>3.2596</v>
      </c>
      <c r="E686" s="3">
        <v>3.2104</v>
      </c>
      <c r="F686" s="3">
        <v>3.2336</v>
      </c>
      <c r="G686" s="3">
        <v>3.1833</v>
      </c>
    </row>
    <row r="687" spans="1:7">
      <c r="A687" s="2">
        <v>42045</v>
      </c>
      <c r="B687" s="3">
        <v>3.1958</v>
      </c>
      <c r="C687" s="3">
        <v>3.145</v>
      </c>
      <c r="D687" s="3">
        <v>3.2541</v>
      </c>
      <c r="E687" s="3">
        <v>3.21</v>
      </c>
      <c r="F687" s="3">
        <v>3.225</v>
      </c>
      <c r="G687" s="3">
        <v>3.1775</v>
      </c>
    </row>
    <row r="688" spans="1:7">
      <c r="A688" s="2">
        <v>42046</v>
      </c>
      <c r="B688" s="3">
        <v>3.1563</v>
      </c>
      <c r="C688" s="3">
        <v>3.0988</v>
      </c>
      <c r="D688" s="3">
        <v>3.2088</v>
      </c>
      <c r="E688" s="3">
        <v>3.1579</v>
      </c>
      <c r="F688" s="3">
        <v>3.1825</v>
      </c>
      <c r="G688" s="3">
        <v>3.1283</v>
      </c>
    </row>
    <row r="689" spans="1:7">
      <c r="A689" s="2">
        <v>42047</v>
      </c>
      <c r="B689" s="3">
        <v>3.1637</v>
      </c>
      <c r="C689" s="3">
        <v>3.1156</v>
      </c>
      <c r="D689" s="3">
        <v>3.2278</v>
      </c>
      <c r="E689" s="3">
        <v>3.1837</v>
      </c>
      <c r="F689" s="3">
        <v>3.1957</v>
      </c>
      <c r="G689" s="3">
        <v>3.1496</v>
      </c>
    </row>
    <row r="690" spans="1:7">
      <c r="A690" s="2">
        <v>42048</v>
      </c>
      <c r="B690" s="3">
        <v>3.1788</v>
      </c>
      <c r="C690" s="3">
        <v>3.12</v>
      </c>
      <c r="D690" s="3">
        <v>3.2284</v>
      </c>
      <c r="E690" s="3">
        <v>3.1746</v>
      </c>
      <c r="F690" s="3">
        <v>3.2036</v>
      </c>
      <c r="G690" s="3">
        <v>3.1473</v>
      </c>
    </row>
    <row r="691" spans="1:7">
      <c r="A691" s="2">
        <v>42050</v>
      </c>
      <c r="B691" s="3">
        <v>3.1688</v>
      </c>
      <c r="C691" s="3">
        <v>3.105</v>
      </c>
      <c r="D691" s="3">
        <v>3.2259</v>
      </c>
      <c r="E691" s="3">
        <v>3.1684</v>
      </c>
      <c r="F691" s="3">
        <v>3.1973</v>
      </c>
      <c r="G691" s="3">
        <v>3.1367</v>
      </c>
    </row>
    <row r="692" spans="1:7">
      <c r="A692" s="2">
        <v>42051</v>
      </c>
      <c r="B692" s="3">
        <v>3.1713</v>
      </c>
      <c r="C692" s="3">
        <v>3.1125</v>
      </c>
      <c r="D692" s="3">
        <v>3.2288</v>
      </c>
      <c r="E692" s="3">
        <v>3.1784</v>
      </c>
      <c r="F692" s="3">
        <v>3.2</v>
      </c>
      <c r="G692" s="3">
        <v>3.1454</v>
      </c>
    </row>
    <row r="693" spans="1:7">
      <c r="A693" s="2">
        <v>42052</v>
      </c>
      <c r="B693" s="3">
        <v>3.1654</v>
      </c>
      <c r="C693" s="3">
        <v>3.1046</v>
      </c>
      <c r="D693" s="3">
        <v>3.2334</v>
      </c>
      <c r="E693" s="3">
        <v>3.1809</v>
      </c>
      <c r="F693" s="3">
        <v>3.1994</v>
      </c>
      <c r="G693" s="3">
        <v>3.1428</v>
      </c>
    </row>
    <row r="694" spans="1:7">
      <c r="A694" s="2">
        <v>42060</v>
      </c>
      <c r="B694" s="3">
        <v>3.2421</v>
      </c>
      <c r="C694" s="3">
        <v>3.1825</v>
      </c>
      <c r="D694" s="3">
        <v>3.2954</v>
      </c>
      <c r="E694" s="3">
        <v>3.2379</v>
      </c>
      <c r="F694" s="3">
        <v>3.2688</v>
      </c>
      <c r="G694" s="3">
        <v>3.2102</v>
      </c>
    </row>
    <row r="695" spans="1:7">
      <c r="A695" s="2">
        <v>42061</v>
      </c>
      <c r="B695" s="3">
        <v>3.3296</v>
      </c>
      <c r="C695" s="3">
        <v>3.2596</v>
      </c>
      <c r="D695" s="3">
        <v>3.39</v>
      </c>
      <c r="E695" s="3">
        <v>3.3225</v>
      </c>
      <c r="F695" s="3">
        <v>3.3598</v>
      </c>
      <c r="G695" s="3">
        <v>3.291</v>
      </c>
    </row>
    <row r="696" spans="1:7">
      <c r="A696" s="2">
        <v>42062</v>
      </c>
      <c r="B696" s="3">
        <v>3.3541</v>
      </c>
      <c r="C696" s="3">
        <v>3.2638</v>
      </c>
      <c r="D696" s="3">
        <v>3.4079</v>
      </c>
      <c r="E696" s="3">
        <v>3.3216</v>
      </c>
      <c r="F696" s="3">
        <v>3.381</v>
      </c>
      <c r="G696" s="3">
        <v>3.2927</v>
      </c>
    </row>
    <row r="697" spans="1:7">
      <c r="A697" s="2">
        <v>42063</v>
      </c>
      <c r="B697" s="3">
        <v>3.3528</v>
      </c>
      <c r="C697" s="3">
        <v>3.265</v>
      </c>
      <c r="D697" s="3">
        <v>3.4081</v>
      </c>
      <c r="E697" s="3">
        <v>3.3216</v>
      </c>
      <c r="F697" s="3">
        <v>3.3804</v>
      </c>
      <c r="G697" s="3">
        <v>3.2933</v>
      </c>
    </row>
    <row r="698" spans="1:7">
      <c r="A698" s="2">
        <v>42065</v>
      </c>
      <c r="B698" s="3">
        <v>3.3638</v>
      </c>
      <c r="C698" s="3">
        <v>3.2563</v>
      </c>
      <c r="D698" s="3">
        <v>3.4191</v>
      </c>
      <c r="E698" s="3">
        <v>3.315</v>
      </c>
      <c r="F698" s="3">
        <v>3.3914</v>
      </c>
      <c r="G698" s="3">
        <v>3.2856</v>
      </c>
    </row>
    <row r="699" spans="1:7">
      <c r="A699" s="2">
        <v>42066</v>
      </c>
      <c r="B699" s="3">
        <v>3.4008</v>
      </c>
      <c r="C699" s="3">
        <v>3.2658</v>
      </c>
      <c r="D699" s="3">
        <v>3.4591</v>
      </c>
      <c r="E699" s="3">
        <v>3.3263</v>
      </c>
      <c r="F699" s="3">
        <v>3.43</v>
      </c>
      <c r="G699" s="3">
        <v>3.2961</v>
      </c>
    </row>
    <row r="700" spans="1:7">
      <c r="A700" s="2">
        <v>42067</v>
      </c>
      <c r="B700" s="3">
        <v>3.4138</v>
      </c>
      <c r="C700" s="3">
        <v>3.2691</v>
      </c>
      <c r="D700" s="3">
        <v>3.47</v>
      </c>
      <c r="E700" s="3">
        <v>3.3366</v>
      </c>
      <c r="F700" s="3">
        <v>3.4419</v>
      </c>
      <c r="G700" s="3">
        <v>3.3029</v>
      </c>
    </row>
    <row r="701" spans="1:7">
      <c r="A701" s="2">
        <v>42068</v>
      </c>
      <c r="B701" s="3">
        <v>3.5217</v>
      </c>
      <c r="C701" s="3">
        <v>3.3888</v>
      </c>
      <c r="D701" s="3">
        <v>3.5779</v>
      </c>
      <c r="E701" s="3">
        <v>3.4475</v>
      </c>
      <c r="F701" s="3">
        <v>3.5498</v>
      </c>
      <c r="G701" s="3">
        <v>3.4181</v>
      </c>
    </row>
    <row r="702" spans="1:7">
      <c r="A702" s="2">
        <v>42069</v>
      </c>
      <c r="B702" s="3">
        <v>3.5696</v>
      </c>
      <c r="C702" s="3">
        <v>3.4338</v>
      </c>
      <c r="D702" s="3">
        <v>3.62</v>
      </c>
      <c r="E702" s="3">
        <v>3.49</v>
      </c>
      <c r="F702" s="3">
        <v>3.5948</v>
      </c>
      <c r="G702" s="3">
        <v>3.4619</v>
      </c>
    </row>
    <row r="703" spans="1:7">
      <c r="A703" s="2">
        <v>42072</v>
      </c>
      <c r="B703" s="3">
        <v>3.6404</v>
      </c>
      <c r="C703" s="3">
        <v>3.5138</v>
      </c>
      <c r="D703" s="3">
        <v>3.6921</v>
      </c>
      <c r="E703" s="3">
        <v>3.57</v>
      </c>
      <c r="F703" s="3">
        <v>3.6663</v>
      </c>
      <c r="G703" s="3">
        <v>3.5419</v>
      </c>
    </row>
    <row r="704" spans="1:7">
      <c r="A704" s="2">
        <v>42073</v>
      </c>
      <c r="B704" s="3">
        <v>3.6071</v>
      </c>
      <c r="C704" s="3">
        <v>3.4763</v>
      </c>
      <c r="D704" s="3">
        <v>3.6634</v>
      </c>
      <c r="E704" s="3">
        <v>3.5363</v>
      </c>
      <c r="F704" s="3">
        <v>3.6353</v>
      </c>
      <c r="G704" s="3">
        <v>3.5063</v>
      </c>
    </row>
    <row r="705" spans="1:7">
      <c r="A705" s="2">
        <v>42074</v>
      </c>
      <c r="B705" s="3">
        <v>3.4983</v>
      </c>
      <c r="C705" s="3">
        <v>3.3625</v>
      </c>
      <c r="D705" s="3">
        <v>3.5612</v>
      </c>
      <c r="E705" s="3">
        <v>3.4263</v>
      </c>
      <c r="F705" s="3">
        <v>3.5298</v>
      </c>
      <c r="G705" s="3">
        <v>3.3944</v>
      </c>
    </row>
    <row r="706" spans="1:7">
      <c r="A706" s="2">
        <v>42075</v>
      </c>
      <c r="B706" s="3">
        <v>3.4955</v>
      </c>
      <c r="C706" s="3">
        <v>3.3513</v>
      </c>
      <c r="D706" s="3">
        <v>3.5615</v>
      </c>
      <c r="E706" s="3">
        <v>3.42</v>
      </c>
      <c r="F706" s="3">
        <v>3.5285</v>
      </c>
      <c r="G706" s="3">
        <v>3.3857</v>
      </c>
    </row>
    <row r="707" spans="1:7">
      <c r="A707" s="2">
        <v>42076</v>
      </c>
      <c r="B707" s="3">
        <v>3.5655</v>
      </c>
      <c r="C707" s="3">
        <v>3.4288</v>
      </c>
      <c r="D707" s="3">
        <v>3.6258</v>
      </c>
      <c r="E707" s="3">
        <v>3.48</v>
      </c>
      <c r="F707" s="3">
        <v>3.5957</v>
      </c>
      <c r="G707" s="3">
        <v>3.4544</v>
      </c>
    </row>
    <row r="708" spans="1:7">
      <c r="A708" s="2">
        <v>42079</v>
      </c>
      <c r="B708" s="3">
        <v>3.7238</v>
      </c>
      <c r="C708" s="3">
        <v>3.5592</v>
      </c>
      <c r="D708" s="3">
        <v>3.7725</v>
      </c>
      <c r="E708" s="3">
        <v>3.6221</v>
      </c>
      <c r="F708" s="3">
        <v>3.7481</v>
      </c>
      <c r="G708" s="3">
        <v>3.5906</v>
      </c>
    </row>
    <row r="709" spans="1:7">
      <c r="A709" s="2">
        <v>42080</v>
      </c>
      <c r="B709" s="3">
        <v>3.6219</v>
      </c>
      <c r="C709" s="3">
        <v>3.4811</v>
      </c>
      <c r="D709" s="3">
        <v>3.6814</v>
      </c>
      <c r="E709" s="3">
        <v>3.5411</v>
      </c>
      <c r="F709" s="3">
        <v>3.6517</v>
      </c>
      <c r="G709" s="3">
        <v>3.5111</v>
      </c>
    </row>
    <row r="710" spans="1:7">
      <c r="A710" s="2">
        <v>42081</v>
      </c>
      <c r="B710" s="3">
        <v>3.6345</v>
      </c>
      <c r="C710" s="3">
        <v>3.5063</v>
      </c>
      <c r="D710" s="3">
        <v>3.6838</v>
      </c>
      <c r="E710" s="3">
        <v>3.5638</v>
      </c>
      <c r="F710" s="3">
        <v>3.6591</v>
      </c>
      <c r="G710" s="3">
        <v>3.535</v>
      </c>
    </row>
    <row r="711" spans="1:7">
      <c r="A711" s="2">
        <v>42082</v>
      </c>
      <c r="B711" s="3">
        <v>3.5</v>
      </c>
      <c r="C711" s="3">
        <v>3.4108</v>
      </c>
      <c r="D711" s="3">
        <v>3.5605</v>
      </c>
      <c r="E711" s="3">
        <v>3.4795</v>
      </c>
      <c r="F711" s="3">
        <v>3.5302</v>
      </c>
      <c r="G711" s="3">
        <v>3.4452</v>
      </c>
    </row>
    <row r="712" spans="1:7">
      <c r="A712" s="2">
        <v>42083</v>
      </c>
      <c r="B712" s="3">
        <v>3.3913</v>
      </c>
      <c r="C712" s="3">
        <v>3.3471</v>
      </c>
      <c r="D712" s="3">
        <v>3.4463</v>
      </c>
      <c r="E712" s="3">
        <v>3.4</v>
      </c>
      <c r="F712" s="3">
        <v>3.4188</v>
      </c>
      <c r="G712" s="3">
        <v>3.3735</v>
      </c>
    </row>
    <row r="713" spans="1:7">
      <c r="A713" s="2">
        <v>42086</v>
      </c>
      <c r="B713" s="3">
        <v>3.4142</v>
      </c>
      <c r="C713" s="3">
        <v>3.3866</v>
      </c>
      <c r="D713" s="3">
        <v>3.4754</v>
      </c>
      <c r="E713" s="3">
        <v>3.4546</v>
      </c>
      <c r="F713" s="3">
        <v>3.4448</v>
      </c>
      <c r="G713" s="3">
        <v>3.4206</v>
      </c>
    </row>
    <row r="714" spans="1:7">
      <c r="A714" s="2">
        <v>42087</v>
      </c>
      <c r="B714" s="3">
        <v>3.385</v>
      </c>
      <c r="C714" s="3">
        <v>3.3779</v>
      </c>
      <c r="D714" s="3">
        <v>3.4412</v>
      </c>
      <c r="E714" s="3">
        <v>3.4509</v>
      </c>
      <c r="F714" s="3">
        <v>3.4131</v>
      </c>
      <c r="G714" s="3">
        <v>3.4144</v>
      </c>
    </row>
    <row r="715" spans="1:7">
      <c r="A715" s="2">
        <v>42088</v>
      </c>
      <c r="B715" s="3">
        <v>3.3817</v>
      </c>
      <c r="C715" s="3">
        <v>3.4033</v>
      </c>
      <c r="D715" s="3">
        <v>3.4345</v>
      </c>
      <c r="E715" s="3">
        <v>3.4692</v>
      </c>
      <c r="F715" s="3">
        <v>3.4081</v>
      </c>
      <c r="G715" s="3">
        <v>3.4362</v>
      </c>
    </row>
    <row r="716" spans="1:7">
      <c r="A716" s="2">
        <v>42089</v>
      </c>
      <c r="B716" s="3">
        <v>3.485</v>
      </c>
      <c r="C716" s="3">
        <v>3.5492</v>
      </c>
      <c r="D716" s="3">
        <v>3.545</v>
      </c>
      <c r="E716" s="3">
        <v>3.6167</v>
      </c>
      <c r="F716" s="3">
        <v>3.515</v>
      </c>
      <c r="G716" s="3">
        <v>3.5829</v>
      </c>
    </row>
    <row r="717" spans="1:7">
      <c r="A717" s="2">
        <v>42090</v>
      </c>
      <c r="B717" s="3">
        <v>3.503</v>
      </c>
      <c r="C717" s="3">
        <v>3.5913</v>
      </c>
      <c r="D717" s="3">
        <v>3.5616</v>
      </c>
      <c r="E717" s="3">
        <v>3.655</v>
      </c>
      <c r="F717" s="3">
        <v>3.5323</v>
      </c>
      <c r="G717" s="3">
        <v>3.6231</v>
      </c>
    </row>
    <row r="718" spans="1:7">
      <c r="A718" s="2">
        <v>42093</v>
      </c>
      <c r="B718" s="3">
        <v>3.5383</v>
      </c>
      <c r="C718" s="3">
        <v>3.6595</v>
      </c>
      <c r="D718" s="3">
        <v>3.5975</v>
      </c>
      <c r="E718" s="3">
        <v>3.7213</v>
      </c>
      <c r="F718" s="3">
        <v>3.5679</v>
      </c>
      <c r="G718" s="3">
        <v>3.6904</v>
      </c>
    </row>
    <row r="719" spans="1:7">
      <c r="A719" s="2">
        <v>42094</v>
      </c>
      <c r="B719" s="3">
        <v>3.5356</v>
      </c>
      <c r="C719" s="3">
        <v>3.64</v>
      </c>
      <c r="D719" s="3">
        <v>3.5963</v>
      </c>
      <c r="E719" s="3">
        <v>3.7111</v>
      </c>
      <c r="F719" s="3">
        <v>3.5659</v>
      </c>
      <c r="G719" s="3">
        <v>3.6756</v>
      </c>
    </row>
    <row r="720" spans="1:7">
      <c r="A720" s="2">
        <v>42095</v>
      </c>
      <c r="B720" s="3">
        <v>3.3479</v>
      </c>
      <c r="C720" s="3">
        <v>3.4871</v>
      </c>
      <c r="D720" s="3">
        <v>3.412</v>
      </c>
      <c r="E720" s="3">
        <v>3.5571</v>
      </c>
      <c r="F720" s="3">
        <v>3.38</v>
      </c>
      <c r="G720" s="3">
        <v>3.5221</v>
      </c>
    </row>
    <row r="721" spans="1:7">
      <c r="A721" s="2">
        <v>42096</v>
      </c>
      <c r="B721" s="3">
        <v>3.2987</v>
      </c>
      <c r="C721" s="3">
        <v>3.4071</v>
      </c>
      <c r="D721" s="3">
        <v>3.3605</v>
      </c>
      <c r="E721" s="3">
        <v>3.4725</v>
      </c>
      <c r="F721" s="3">
        <v>3.3296</v>
      </c>
      <c r="G721" s="3">
        <v>3.4398</v>
      </c>
    </row>
    <row r="722" spans="1:7">
      <c r="A722" s="2">
        <v>42097</v>
      </c>
      <c r="B722" s="3">
        <v>3.2475</v>
      </c>
      <c r="C722" s="3">
        <v>3.3866</v>
      </c>
      <c r="D722" s="3">
        <v>3.3066</v>
      </c>
      <c r="E722" s="3">
        <v>3.4575</v>
      </c>
      <c r="F722" s="3">
        <v>3.2771</v>
      </c>
      <c r="G722" s="3">
        <v>3.4221</v>
      </c>
    </row>
    <row r="723" spans="1:7">
      <c r="A723" s="2">
        <v>42101</v>
      </c>
      <c r="B723" s="3">
        <v>3.1523</v>
      </c>
      <c r="C723" s="3">
        <v>3.35</v>
      </c>
      <c r="D723" s="3">
        <v>3.2083</v>
      </c>
      <c r="E723" s="3">
        <v>3.4117</v>
      </c>
      <c r="F723" s="3">
        <v>3.1803</v>
      </c>
      <c r="G723" s="3">
        <v>3.3808</v>
      </c>
    </row>
    <row r="724" spans="1:7">
      <c r="A724" s="2">
        <v>42102</v>
      </c>
      <c r="B724" s="3">
        <v>3.1371</v>
      </c>
      <c r="C724" s="3">
        <v>3.3679</v>
      </c>
      <c r="D724" s="3">
        <v>3.1942</v>
      </c>
      <c r="E724" s="3">
        <v>3.4304</v>
      </c>
      <c r="F724" s="3">
        <v>3.1656</v>
      </c>
      <c r="G724" s="3">
        <v>3.3992</v>
      </c>
    </row>
    <row r="725" spans="1:7">
      <c r="A725" s="2">
        <v>42103</v>
      </c>
      <c r="B725" s="3">
        <v>3.0671</v>
      </c>
      <c r="C725" s="3">
        <v>3.3113</v>
      </c>
      <c r="D725" s="3">
        <v>3.1291</v>
      </c>
      <c r="E725" s="3">
        <v>3.3788</v>
      </c>
      <c r="F725" s="3">
        <v>3.0981</v>
      </c>
      <c r="G725" s="3">
        <v>3.345</v>
      </c>
    </row>
    <row r="726" spans="1:7">
      <c r="A726" s="2">
        <v>42104</v>
      </c>
      <c r="B726" s="3">
        <v>3.0541</v>
      </c>
      <c r="C726" s="3">
        <v>3.2683</v>
      </c>
      <c r="D726" s="3">
        <v>3.1129</v>
      </c>
      <c r="E726" s="3">
        <v>3.3375</v>
      </c>
      <c r="F726" s="3">
        <v>3.0835</v>
      </c>
      <c r="G726" s="3">
        <v>3.3029</v>
      </c>
    </row>
    <row r="727" spans="1:7">
      <c r="A727" s="2">
        <v>42107</v>
      </c>
      <c r="B727" s="3">
        <v>3.0677</v>
      </c>
      <c r="C727" s="3">
        <v>3.2519</v>
      </c>
      <c r="D727" s="3">
        <v>3.1285</v>
      </c>
      <c r="E727" s="3">
        <v>3.3163</v>
      </c>
      <c r="F727" s="3">
        <v>3.0981</v>
      </c>
      <c r="G727" s="3">
        <v>3.2841</v>
      </c>
    </row>
    <row r="728" spans="1:7">
      <c r="A728" s="2">
        <v>42108</v>
      </c>
      <c r="B728" s="3">
        <v>3.0489</v>
      </c>
      <c r="C728" s="3">
        <v>3.2293</v>
      </c>
      <c r="D728" s="3">
        <v>3.1081</v>
      </c>
      <c r="E728" s="3">
        <v>3.2985</v>
      </c>
      <c r="F728" s="3">
        <v>3.0785</v>
      </c>
      <c r="G728" s="3">
        <v>3.2639</v>
      </c>
    </row>
    <row r="729" spans="1:7">
      <c r="A729" s="2">
        <v>42109</v>
      </c>
      <c r="B729" s="3">
        <v>2.983</v>
      </c>
      <c r="C729" s="3">
        <v>3.1367</v>
      </c>
      <c r="D729" s="3">
        <v>3.0427</v>
      </c>
      <c r="E729" s="3">
        <v>3.1971</v>
      </c>
      <c r="F729" s="3">
        <v>3.0128</v>
      </c>
      <c r="G729" s="3">
        <v>3.1669</v>
      </c>
    </row>
    <row r="730" spans="1:7">
      <c r="A730" s="2">
        <v>42110</v>
      </c>
      <c r="B730" s="3">
        <v>2.9811</v>
      </c>
      <c r="C730" s="3">
        <v>3.1222</v>
      </c>
      <c r="D730" s="3">
        <v>3.0397</v>
      </c>
      <c r="E730" s="3">
        <v>3.1822</v>
      </c>
      <c r="F730" s="3">
        <v>3.0104</v>
      </c>
      <c r="G730" s="3">
        <v>3.1522</v>
      </c>
    </row>
    <row r="731" spans="1:7">
      <c r="A731" s="2">
        <v>42111</v>
      </c>
      <c r="B731" s="3">
        <v>2.98</v>
      </c>
      <c r="C731" s="3">
        <v>3.1338</v>
      </c>
      <c r="D731" s="3">
        <v>3.0341</v>
      </c>
      <c r="E731" s="3">
        <v>3.1913</v>
      </c>
      <c r="F731" s="3">
        <v>3.0071</v>
      </c>
      <c r="G731" s="3">
        <v>3.1625</v>
      </c>
    </row>
    <row r="732" spans="1:7">
      <c r="A732" s="2">
        <v>42114</v>
      </c>
      <c r="B732" s="3">
        <v>2.72</v>
      </c>
      <c r="C732" s="3">
        <v>2.9271</v>
      </c>
      <c r="D732" s="3">
        <v>2.7871</v>
      </c>
      <c r="E732" s="3">
        <v>2.996</v>
      </c>
      <c r="F732" s="3">
        <v>2.7536</v>
      </c>
      <c r="G732" s="3">
        <v>2.9616</v>
      </c>
    </row>
    <row r="733" spans="1:7">
      <c r="A733" s="2">
        <v>42115</v>
      </c>
      <c r="B733" s="3">
        <v>2.6198</v>
      </c>
      <c r="C733" s="3">
        <v>2.8902</v>
      </c>
      <c r="D733" s="3">
        <v>2.6721</v>
      </c>
      <c r="E733" s="3">
        <v>2.95</v>
      </c>
      <c r="F733" s="3">
        <v>2.6459</v>
      </c>
      <c r="G733" s="3">
        <v>2.9201</v>
      </c>
    </row>
    <row r="734" spans="1:7">
      <c r="A734" s="2">
        <v>42116</v>
      </c>
      <c r="B734" s="3">
        <v>2.6508</v>
      </c>
      <c r="C734" s="3">
        <v>2.9529</v>
      </c>
      <c r="D734" s="3">
        <v>2.7088</v>
      </c>
      <c r="E734" s="3">
        <v>3.0163</v>
      </c>
      <c r="F734" s="3">
        <v>2.6798</v>
      </c>
      <c r="G734" s="3">
        <v>2.9846</v>
      </c>
    </row>
    <row r="735" spans="1:7">
      <c r="A735" s="2">
        <v>42117</v>
      </c>
      <c r="B735" s="3">
        <v>2.6746</v>
      </c>
      <c r="C735" s="3">
        <v>2.9867</v>
      </c>
      <c r="D735" s="3">
        <v>2.7262</v>
      </c>
      <c r="E735" s="3">
        <v>3.0425</v>
      </c>
      <c r="F735" s="3">
        <v>2.7004</v>
      </c>
      <c r="G735" s="3">
        <v>3.0146</v>
      </c>
    </row>
    <row r="736" spans="1:7">
      <c r="A736" s="2">
        <v>42118</v>
      </c>
      <c r="B736" s="3">
        <v>2.6429</v>
      </c>
      <c r="C736" s="3">
        <v>2.9866</v>
      </c>
      <c r="D736" s="3">
        <v>2.7184</v>
      </c>
      <c r="E736" s="3">
        <v>3.0575</v>
      </c>
      <c r="F736" s="3">
        <v>2.6806</v>
      </c>
      <c r="G736" s="3">
        <v>3.0221</v>
      </c>
    </row>
    <row r="737" spans="1:7">
      <c r="A737" s="2">
        <v>42121</v>
      </c>
      <c r="B737" s="3">
        <v>2.5272</v>
      </c>
      <c r="C737" s="3">
        <v>2.8392</v>
      </c>
      <c r="D737" s="3">
        <v>2.6036</v>
      </c>
      <c r="E737" s="3">
        <v>2.9189</v>
      </c>
      <c r="F737" s="3">
        <v>2.5654</v>
      </c>
      <c r="G737" s="3">
        <v>2.8791</v>
      </c>
    </row>
    <row r="738" spans="1:7">
      <c r="A738" s="2">
        <v>42122</v>
      </c>
      <c r="B738" s="3">
        <v>2.5141</v>
      </c>
      <c r="C738" s="3">
        <v>2.7874</v>
      </c>
      <c r="D738" s="3">
        <v>2.5767</v>
      </c>
      <c r="E738" s="3">
        <v>2.8522</v>
      </c>
      <c r="F738" s="3">
        <v>2.5454</v>
      </c>
      <c r="G738" s="3">
        <v>2.8198</v>
      </c>
    </row>
    <row r="739" spans="1:7">
      <c r="A739" s="2">
        <v>42123</v>
      </c>
      <c r="B739" s="3">
        <v>2.5416</v>
      </c>
      <c r="C739" s="3">
        <v>2.8129</v>
      </c>
      <c r="D739" s="3">
        <v>2.6163</v>
      </c>
      <c r="E739" s="3">
        <v>2.8975</v>
      </c>
      <c r="F739" s="3">
        <v>2.5789</v>
      </c>
      <c r="G739" s="3">
        <v>2.8552</v>
      </c>
    </row>
    <row r="740" spans="1:7">
      <c r="A740" s="2">
        <v>42124</v>
      </c>
      <c r="B740" s="3">
        <v>2.5058</v>
      </c>
      <c r="C740" s="3">
        <v>2.7713</v>
      </c>
      <c r="D740" s="3">
        <v>2.5617</v>
      </c>
      <c r="E740" s="3">
        <v>2.8288</v>
      </c>
      <c r="F740" s="3">
        <v>2.5338</v>
      </c>
      <c r="G740" s="3">
        <v>2.8</v>
      </c>
    </row>
    <row r="741" spans="1:7">
      <c r="A741" s="2">
        <v>42128</v>
      </c>
      <c r="B741" s="3">
        <v>2.4748</v>
      </c>
      <c r="C741" s="3">
        <v>2.7469</v>
      </c>
      <c r="D741" s="3">
        <v>2.5374</v>
      </c>
      <c r="E741" s="3">
        <v>2.8148</v>
      </c>
      <c r="F741" s="3">
        <v>2.5061</v>
      </c>
      <c r="G741" s="3">
        <v>2.7808</v>
      </c>
    </row>
    <row r="742" spans="1:7">
      <c r="A742" s="2">
        <v>42129</v>
      </c>
      <c r="B742" s="3">
        <v>2.5088</v>
      </c>
      <c r="C742" s="3">
        <v>2.8206</v>
      </c>
      <c r="D742" s="3">
        <v>2.5654</v>
      </c>
      <c r="E742" s="3">
        <v>2.8778</v>
      </c>
      <c r="F742" s="3">
        <v>2.5371</v>
      </c>
      <c r="G742" s="3">
        <v>2.8492</v>
      </c>
    </row>
    <row r="743" spans="1:7">
      <c r="A743" s="2">
        <v>42130</v>
      </c>
      <c r="B743" s="3">
        <v>2.5614</v>
      </c>
      <c r="C743" s="3">
        <v>2.884</v>
      </c>
      <c r="D743" s="3">
        <v>2.6307</v>
      </c>
      <c r="E743" s="3">
        <v>2.9465</v>
      </c>
      <c r="F743" s="3">
        <v>2.596</v>
      </c>
      <c r="G743" s="3">
        <v>2.9153</v>
      </c>
    </row>
    <row r="744" spans="1:7">
      <c r="A744" s="2">
        <v>42131</v>
      </c>
      <c r="B744" s="3">
        <v>2.5267</v>
      </c>
      <c r="C744" s="3">
        <v>2.8511</v>
      </c>
      <c r="D744" s="3">
        <v>2.5914</v>
      </c>
      <c r="E744" s="3">
        <v>2.9156</v>
      </c>
      <c r="F744" s="3">
        <v>2.5591</v>
      </c>
      <c r="G744" s="3">
        <v>2.8833</v>
      </c>
    </row>
    <row r="745" spans="1:7">
      <c r="A745" s="2">
        <v>42132</v>
      </c>
      <c r="B745" s="3">
        <v>2.4617</v>
      </c>
      <c r="C745" s="3">
        <v>2.8075</v>
      </c>
      <c r="D745" s="3">
        <v>2.5338</v>
      </c>
      <c r="E745" s="3">
        <v>2.8725</v>
      </c>
      <c r="F745" s="3">
        <v>2.4977</v>
      </c>
      <c r="G745" s="3">
        <v>2.84</v>
      </c>
    </row>
    <row r="746" spans="1:7">
      <c r="A746" s="2">
        <v>42135</v>
      </c>
      <c r="B746" s="3">
        <v>2.4113</v>
      </c>
      <c r="C746" s="3">
        <v>2.7825</v>
      </c>
      <c r="D746" s="3">
        <v>2.4706</v>
      </c>
      <c r="E746" s="3">
        <v>2.845</v>
      </c>
      <c r="F746" s="3">
        <v>2.4409</v>
      </c>
      <c r="G746" s="3">
        <v>2.8138</v>
      </c>
    </row>
    <row r="747" spans="1:7">
      <c r="A747" s="2">
        <v>42136</v>
      </c>
      <c r="B747" s="3">
        <v>2.3102</v>
      </c>
      <c r="C747" s="3">
        <v>2.7561</v>
      </c>
      <c r="D747" s="3">
        <v>2.3755</v>
      </c>
      <c r="E747" s="3">
        <v>2.8157</v>
      </c>
      <c r="F747" s="3">
        <v>2.3429</v>
      </c>
      <c r="G747" s="3">
        <v>2.7859</v>
      </c>
    </row>
    <row r="748" spans="1:7">
      <c r="A748" s="2">
        <v>42137</v>
      </c>
      <c r="B748" s="3">
        <v>2.2233</v>
      </c>
      <c r="C748" s="3">
        <v>2.6229</v>
      </c>
      <c r="D748" s="3">
        <v>2.2932</v>
      </c>
      <c r="E748" s="3">
        <v>2.6958</v>
      </c>
      <c r="F748" s="3">
        <v>2.2583</v>
      </c>
      <c r="G748" s="3">
        <v>2.6593</v>
      </c>
    </row>
    <row r="749" spans="1:7">
      <c r="A749" s="2">
        <v>42138</v>
      </c>
      <c r="B749" s="3">
        <v>2.178</v>
      </c>
      <c r="C749" s="3">
        <v>2.5908</v>
      </c>
      <c r="D749" s="3">
        <v>2.2433</v>
      </c>
      <c r="E749" s="3">
        <v>2.6538</v>
      </c>
      <c r="F749" s="3">
        <v>2.2107</v>
      </c>
      <c r="G749" s="3">
        <v>2.6223</v>
      </c>
    </row>
    <row r="750" spans="1:7">
      <c r="A750" s="2">
        <v>42139</v>
      </c>
      <c r="B750" s="3">
        <v>2.1771</v>
      </c>
      <c r="C750" s="3">
        <v>2.5804</v>
      </c>
      <c r="D750" s="3">
        <v>2.2325</v>
      </c>
      <c r="E750" s="3">
        <v>2.6438</v>
      </c>
      <c r="F750" s="3">
        <v>2.2048</v>
      </c>
      <c r="G750" s="3">
        <v>2.6121</v>
      </c>
    </row>
    <row r="751" spans="1:7">
      <c r="A751" s="2">
        <v>42142</v>
      </c>
      <c r="B751" s="3">
        <v>2.233</v>
      </c>
      <c r="C751" s="3">
        <v>2.6603</v>
      </c>
      <c r="D751" s="3">
        <v>2.3003</v>
      </c>
      <c r="E751" s="3">
        <v>2.7244</v>
      </c>
      <c r="F751" s="3">
        <v>2.2667</v>
      </c>
      <c r="G751" s="3">
        <v>2.6924</v>
      </c>
    </row>
    <row r="752" spans="1:7">
      <c r="A752" s="2">
        <v>42143</v>
      </c>
      <c r="B752" s="3">
        <v>2.2759</v>
      </c>
      <c r="C752" s="3">
        <v>2.7309</v>
      </c>
      <c r="D752" s="3">
        <v>2.3463</v>
      </c>
      <c r="E752" s="3">
        <v>2.8016</v>
      </c>
      <c r="F752" s="3">
        <v>2.3111</v>
      </c>
      <c r="G752" s="3">
        <v>2.7663</v>
      </c>
    </row>
    <row r="753" spans="1:7">
      <c r="A753" s="2">
        <v>42144</v>
      </c>
      <c r="B753" s="3">
        <v>2.2589</v>
      </c>
      <c r="C753" s="3">
        <v>2.7111</v>
      </c>
      <c r="D753" s="3">
        <v>2.323</v>
      </c>
      <c r="E753" s="3">
        <v>2.7803</v>
      </c>
      <c r="F753" s="3">
        <v>2.2909</v>
      </c>
      <c r="G753" s="3">
        <v>2.7457</v>
      </c>
    </row>
    <row r="754" spans="1:7">
      <c r="A754" s="2">
        <v>42145</v>
      </c>
      <c r="B754" s="3">
        <v>2.2908</v>
      </c>
      <c r="C754" s="3">
        <v>2.75</v>
      </c>
      <c r="D754" s="3">
        <v>2.3538</v>
      </c>
      <c r="E754" s="3">
        <v>2.8088</v>
      </c>
      <c r="F754" s="3">
        <v>2.3223</v>
      </c>
      <c r="G754" s="3">
        <v>2.7794</v>
      </c>
    </row>
    <row r="755" spans="1:7">
      <c r="A755" s="2">
        <v>42146</v>
      </c>
      <c r="B755" s="3">
        <v>2.2696</v>
      </c>
      <c r="C755" s="3">
        <v>2.7338</v>
      </c>
      <c r="D755" s="3">
        <v>2.3408</v>
      </c>
      <c r="E755" s="3">
        <v>2.8008</v>
      </c>
      <c r="F755" s="3">
        <v>2.3052</v>
      </c>
      <c r="G755" s="3">
        <v>2.7673</v>
      </c>
    </row>
    <row r="756" spans="1:7">
      <c r="A756" s="2">
        <v>42149</v>
      </c>
      <c r="B756" s="3">
        <v>2.3288</v>
      </c>
      <c r="C756" s="3">
        <v>2.7798</v>
      </c>
      <c r="D756" s="3">
        <v>2.3869</v>
      </c>
      <c r="E756" s="3">
        <v>2.8473</v>
      </c>
      <c r="F756" s="3">
        <v>2.3578</v>
      </c>
      <c r="G756" s="3">
        <v>2.8135</v>
      </c>
    </row>
    <row r="757" spans="1:7">
      <c r="A757" s="2">
        <v>42150</v>
      </c>
      <c r="B757" s="3">
        <v>2.369</v>
      </c>
      <c r="C757" s="3">
        <v>2.8604</v>
      </c>
      <c r="D757" s="3">
        <v>2.4369</v>
      </c>
      <c r="E757" s="3">
        <v>2.9225</v>
      </c>
      <c r="F757" s="3">
        <v>2.4029</v>
      </c>
      <c r="G757" s="3">
        <v>2.8914</v>
      </c>
    </row>
    <row r="758" spans="1:7">
      <c r="A758" s="2">
        <v>42151</v>
      </c>
      <c r="B758" s="3">
        <v>2.3594</v>
      </c>
      <c r="C758" s="3">
        <v>2.8388</v>
      </c>
      <c r="D758" s="3">
        <v>2.416</v>
      </c>
      <c r="E758" s="3">
        <v>2.9029</v>
      </c>
      <c r="F758" s="3">
        <v>2.3877</v>
      </c>
      <c r="G758" s="3">
        <v>2.8708</v>
      </c>
    </row>
    <row r="759" spans="1:7">
      <c r="A759" s="2">
        <v>42152</v>
      </c>
      <c r="B759" s="3">
        <v>2.4075</v>
      </c>
      <c r="C759" s="3">
        <v>2.8875</v>
      </c>
      <c r="D759" s="3">
        <v>2.4596</v>
      </c>
      <c r="E759" s="3">
        <v>2.9525</v>
      </c>
      <c r="F759" s="3">
        <v>2.4336</v>
      </c>
      <c r="G759" s="3">
        <v>2.92</v>
      </c>
    </row>
    <row r="760" spans="1:7">
      <c r="A760" s="2">
        <v>42153</v>
      </c>
      <c r="B760" s="3">
        <v>2.4042</v>
      </c>
      <c r="C760" s="3">
        <v>2.8767</v>
      </c>
      <c r="D760" s="3">
        <v>2.4588</v>
      </c>
      <c r="E760" s="3">
        <v>2.9459</v>
      </c>
      <c r="F760" s="3">
        <v>2.4315</v>
      </c>
      <c r="G760" s="3">
        <v>2.9113</v>
      </c>
    </row>
    <row r="761" spans="1:7">
      <c r="A761" s="2">
        <v>42156</v>
      </c>
      <c r="B761" s="3">
        <v>2.3719</v>
      </c>
      <c r="C761" s="3">
        <v>2.8629</v>
      </c>
      <c r="D761" s="3">
        <v>2.441</v>
      </c>
      <c r="E761" s="3">
        <v>2.9288</v>
      </c>
      <c r="F761" s="3">
        <v>2.4064</v>
      </c>
      <c r="G761" s="3">
        <v>2.8958</v>
      </c>
    </row>
    <row r="762" spans="1:7">
      <c r="A762" s="2">
        <v>42157</v>
      </c>
      <c r="B762" s="3">
        <v>2.3425</v>
      </c>
      <c r="C762" s="3">
        <v>2.7854</v>
      </c>
      <c r="D762" s="3">
        <v>2.4034</v>
      </c>
      <c r="E762" s="3">
        <v>2.8517</v>
      </c>
      <c r="F762" s="3">
        <v>2.3729</v>
      </c>
      <c r="G762" s="3">
        <v>2.8185</v>
      </c>
    </row>
    <row r="763" spans="1:7">
      <c r="A763" s="2">
        <v>42158</v>
      </c>
      <c r="B763" s="3">
        <v>2.3782</v>
      </c>
      <c r="C763" s="3">
        <v>2.8222</v>
      </c>
      <c r="D763" s="3">
        <v>2.4375</v>
      </c>
      <c r="E763" s="3">
        <v>2.8863</v>
      </c>
      <c r="F763" s="3">
        <v>2.4078</v>
      </c>
      <c r="G763" s="3">
        <v>2.8543</v>
      </c>
    </row>
    <row r="764" spans="1:7">
      <c r="A764" s="2">
        <v>42159</v>
      </c>
      <c r="B764" s="3">
        <v>2.4229</v>
      </c>
      <c r="C764" s="3">
        <v>2.8413</v>
      </c>
      <c r="D764" s="3">
        <v>2.4821</v>
      </c>
      <c r="E764" s="3">
        <v>2.9025</v>
      </c>
      <c r="F764" s="3">
        <v>2.4525</v>
      </c>
      <c r="G764" s="3">
        <v>2.8719</v>
      </c>
    </row>
    <row r="765" spans="1:7">
      <c r="A765" s="2">
        <v>42160</v>
      </c>
      <c r="B765" s="3">
        <v>2.35</v>
      </c>
      <c r="C765" s="3">
        <v>2.7913</v>
      </c>
      <c r="D765" s="3">
        <v>2.407</v>
      </c>
      <c r="E765" s="3">
        <v>2.8538</v>
      </c>
      <c r="F765" s="3">
        <v>2.3785</v>
      </c>
      <c r="G765" s="3">
        <v>2.8225</v>
      </c>
    </row>
    <row r="766" spans="1:7">
      <c r="A766" s="2">
        <v>42163</v>
      </c>
      <c r="B766" s="3">
        <v>2.3413</v>
      </c>
      <c r="C766" s="3">
        <v>2.7809</v>
      </c>
      <c r="D766" s="3">
        <v>2.3859</v>
      </c>
      <c r="E766" s="3">
        <v>2.8388</v>
      </c>
      <c r="F766" s="3">
        <v>2.3636</v>
      </c>
      <c r="G766" s="3">
        <v>2.8098</v>
      </c>
    </row>
    <row r="767" spans="1:7">
      <c r="A767" s="2">
        <v>42164</v>
      </c>
      <c r="B767" s="3">
        <v>2.3456</v>
      </c>
      <c r="C767" s="3">
        <v>2.7891</v>
      </c>
      <c r="D767" s="3">
        <v>2.4037</v>
      </c>
      <c r="E767" s="3">
        <v>2.85</v>
      </c>
      <c r="F767" s="3">
        <v>2.3746</v>
      </c>
      <c r="G767" s="3">
        <v>2.8196</v>
      </c>
    </row>
    <row r="768" spans="1:7">
      <c r="A768" s="2">
        <v>42165</v>
      </c>
      <c r="B768" s="3">
        <v>2.3824</v>
      </c>
      <c r="C768" s="3">
        <v>2.8113</v>
      </c>
      <c r="D768" s="3">
        <v>2.4489</v>
      </c>
      <c r="E768" s="3">
        <v>2.8763</v>
      </c>
      <c r="F768" s="3">
        <v>2.4157</v>
      </c>
      <c r="G768" s="3">
        <v>2.8438</v>
      </c>
    </row>
    <row r="769" spans="1:7">
      <c r="A769" s="2">
        <v>42166</v>
      </c>
      <c r="B769" s="3">
        <v>2.395</v>
      </c>
      <c r="C769" s="3">
        <v>2.83</v>
      </c>
      <c r="D769" s="3">
        <v>2.455</v>
      </c>
      <c r="E769" s="3">
        <v>2.8938</v>
      </c>
      <c r="F769" s="3">
        <v>2.425</v>
      </c>
      <c r="G769" s="3">
        <v>2.8619</v>
      </c>
    </row>
    <row r="770" spans="1:7">
      <c r="A770" s="2">
        <v>42167</v>
      </c>
      <c r="B770" s="3">
        <v>2.3942</v>
      </c>
      <c r="C770" s="3">
        <v>2.8246</v>
      </c>
      <c r="D770" s="3">
        <v>2.4592</v>
      </c>
      <c r="E770" s="3">
        <v>2.8929</v>
      </c>
      <c r="F770" s="3">
        <v>2.4267</v>
      </c>
      <c r="G770" s="3">
        <v>2.8588</v>
      </c>
    </row>
    <row r="771" spans="1:7">
      <c r="A771" s="2">
        <v>42170</v>
      </c>
      <c r="B771" s="3">
        <v>2.48</v>
      </c>
      <c r="C771" s="3">
        <v>2.8914</v>
      </c>
      <c r="D771" s="3">
        <v>2.5447</v>
      </c>
      <c r="E771" s="3">
        <v>2.9567</v>
      </c>
      <c r="F771" s="3">
        <v>2.5124</v>
      </c>
      <c r="G771" s="3">
        <v>2.9241</v>
      </c>
    </row>
    <row r="772" spans="1:7">
      <c r="A772" s="2">
        <v>42171</v>
      </c>
      <c r="B772" s="3">
        <v>2.4819</v>
      </c>
      <c r="C772" s="3">
        <v>2.8663</v>
      </c>
      <c r="D772" s="3">
        <v>2.5481</v>
      </c>
      <c r="E772" s="3">
        <v>2.9388</v>
      </c>
      <c r="F772" s="3">
        <v>2.515</v>
      </c>
      <c r="G772" s="3">
        <v>2.9025</v>
      </c>
    </row>
    <row r="773" spans="1:7">
      <c r="A773" s="2">
        <v>42172</v>
      </c>
      <c r="B773" s="3">
        <v>2.5259</v>
      </c>
      <c r="C773" s="3">
        <v>2.8888</v>
      </c>
      <c r="D773" s="3">
        <v>2.5875</v>
      </c>
      <c r="E773" s="3">
        <v>2.9575</v>
      </c>
      <c r="F773" s="3">
        <v>2.5567</v>
      </c>
      <c r="G773" s="3">
        <v>2.9231</v>
      </c>
    </row>
    <row r="774" spans="1:7">
      <c r="A774" s="2">
        <v>42173</v>
      </c>
      <c r="B774" s="3">
        <v>2.4963</v>
      </c>
      <c r="C774" s="3">
        <v>2.8541</v>
      </c>
      <c r="D774" s="3">
        <v>2.5621</v>
      </c>
      <c r="E774" s="3">
        <v>2.92</v>
      </c>
      <c r="F774" s="3">
        <v>2.5292</v>
      </c>
      <c r="G774" s="3">
        <v>2.8871</v>
      </c>
    </row>
    <row r="775" spans="1:7">
      <c r="A775" s="2">
        <v>42174</v>
      </c>
      <c r="B775" s="3">
        <v>2.5091</v>
      </c>
      <c r="C775" s="3">
        <v>2.8588</v>
      </c>
      <c r="D775" s="3">
        <v>2.5788</v>
      </c>
      <c r="E775" s="3">
        <v>2.9359</v>
      </c>
      <c r="F775" s="3">
        <v>2.5439</v>
      </c>
      <c r="G775" s="3">
        <v>2.8973</v>
      </c>
    </row>
    <row r="776" spans="1:7">
      <c r="A776" s="2">
        <v>42178</v>
      </c>
      <c r="B776" s="3">
        <v>2.5638</v>
      </c>
      <c r="C776" s="3">
        <v>2.8921</v>
      </c>
      <c r="D776" s="3">
        <v>2.6288</v>
      </c>
      <c r="E776" s="3">
        <v>2.9663</v>
      </c>
      <c r="F776" s="3">
        <v>2.5963</v>
      </c>
      <c r="G776" s="3">
        <v>2.9292</v>
      </c>
    </row>
    <row r="777" spans="1:7">
      <c r="A777" s="2">
        <v>42179</v>
      </c>
      <c r="B777" s="3">
        <v>2.5822</v>
      </c>
      <c r="C777" s="3">
        <v>2.8963</v>
      </c>
      <c r="D777" s="3">
        <v>2.6492</v>
      </c>
      <c r="E777" s="3">
        <v>2.9625</v>
      </c>
      <c r="F777" s="3">
        <v>2.6157</v>
      </c>
      <c r="G777" s="3">
        <v>2.9294</v>
      </c>
    </row>
    <row r="778" spans="1:7">
      <c r="A778" s="2">
        <v>42180</v>
      </c>
      <c r="B778" s="3">
        <v>2.4884</v>
      </c>
      <c r="C778" s="3">
        <v>2.8575</v>
      </c>
      <c r="D778" s="3">
        <v>2.5554</v>
      </c>
      <c r="E778" s="3">
        <v>2.9309</v>
      </c>
      <c r="F778" s="3">
        <v>2.5219</v>
      </c>
      <c r="G778" s="3">
        <v>2.8942</v>
      </c>
    </row>
    <row r="779" spans="1:7">
      <c r="A779" s="2">
        <v>42181</v>
      </c>
      <c r="B779" s="3">
        <v>2.4828</v>
      </c>
      <c r="C779" s="3">
        <v>2.84</v>
      </c>
      <c r="D779" s="3">
        <v>2.5378</v>
      </c>
      <c r="E779" s="3">
        <v>2.9</v>
      </c>
      <c r="F779" s="3">
        <v>2.5103</v>
      </c>
      <c r="G779" s="3">
        <v>2.87</v>
      </c>
    </row>
    <row r="780" spans="1:7">
      <c r="A780" s="2">
        <v>42184</v>
      </c>
      <c r="B780" s="3">
        <v>2.4081</v>
      </c>
      <c r="C780" s="3">
        <v>2.8081</v>
      </c>
      <c r="D780" s="3">
        <v>2.4752</v>
      </c>
      <c r="E780" s="3">
        <v>2.8822</v>
      </c>
      <c r="F780" s="3">
        <v>2.4417</v>
      </c>
      <c r="G780" s="3">
        <v>2.8452</v>
      </c>
    </row>
    <row r="781" spans="1:7">
      <c r="A781" s="2">
        <v>42185</v>
      </c>
      <c r="B781" s="3">
        <v>2.3516</v>
      </c>
      <c r="C781" s="3">
        <v>2.7763</v>
      </c>
      <c r="D781" s="3">
        <v>2.4159</v>
      </c>
      <c r="E781" s="3">
        <v>2.8525</v>
      </c>
      <c r="F781" s="3">
        <v>2.3838</v>
      </c>
      <c r="G781" s="3">
        <v>2.8144</v>
      </c>
    </row>
    <row r="782" spans="1:7">
      <c r="A782" s="2">
        <v>42186</v>
      </c>
      <c r="B782" s="3">
        <v>2.41</v>
      </c>
      <c r="C782" s="3">
        <v>2.8216</v>
      </c>
      <c r="D782" s="3">
        <v>2.4725</v>
      </c>
      <c r="E782" s="3">
        <v>2.8863</v>
      </c>
      <c r="F782" s="3">
        <v>2.4413</v>
      </c>
      <c r="G782" s="3">
        <v>2.8539</v>
      </c>
    </row>
    <row r="783" spans="1:7">
      <c r="A783" s="2">
        <v>42187</v>
      </c>
      <c r="B783" s="3">
        <v>2.4475</v>
      </c>
      <c r="C783" s="3">
        <v>2.8363</v>
      </c>
      <c r="D783" s="3">
        <v>2.5113</v>
      </c>
      <c r="E783" s="3">
        <v>2.9071</v>
      </c>
      <c r="F783" s="3">
        <v>2.4794</v>
      </c>
      <c r="G783" s="3">
        <v>2.8717</v>
      </c>
    </row>
    <row r="784" spans="1:7">
      <c r="A784" s="2">
        <v>42188</v>
      </c>
      <c r="B784" s="3">
        <v>2.4463</v>
      </c>
      <c r="C784" s="3">
        <v>2.815</v>
      </c>
      <c r="D784" s="3">
        <v>2.5088</v>
      </c>
      <c r="E784" s="3">
        <v>2.8821</v>
      </c>
      <c r="F784" s="3">
        <v>2.4775</v>
      </c>
      <c r="G784" s="3">
        <v>2.8486</v>
      </c>
    </row>
    <row r="785" spans="1:7">
      <c r="A785" s="2">
        <v>42191</v>
      </c>
      <c r="B785" s="3">
        <v>2.3875</v>
      </c>
      <c r="C785" s="3">
        <v>2.7738</v>
      </c>
      <c r="D785" s="3">
        <v>2.4425</v>
      </c>
      <c r="E785" s="3">
        <v>2.8313</v>
      </c>
      <c r="F785" s="3">
        <v>2.415</v>
      </c>
      <c r="G785" s="3">
        <v>2.8025</v>
      </c>
    </row>
    <row r="786" spans="1:7">
      <c r="A786" s="2">
        <v>42192</v>
      </c>
      <c r="B786" s="3">
        <v>2.3666</v>
      </c>
      <c r="C786" s="3">
        <v>2.7125</v>
      </c>
      <c r="D786" s="3">
        <v>2.4316</v>
      </c>
      <c r="E786" s="3">
        <v>2.7841</v>
      </c>
      <c r="F786" s="3">
        <v>2.3991</v>
      </c>
      <c r="G786" s="3">
        <v>2.7483</v>
      </c>
    </row>
    <row r="787" spans="1:7">
      <c r="A787" s="2">
        <v>42193</v>
      </c>
      <c r="B787" s="3">
        <v>2.4238</v>
      </c>
      <c r="C787" s="3">
        <v>2.7375</v>
      </c>
      <c r="D787" s="3">
        <v>2.4763</v>
      </c>
      <c r="E787" s="3">
        <v>2.7988</v>
      </c>
      <c r="F787" s="3">
        <v>2.45</v>
      </c>
      <c r="G787" s="3">
        <v>2.7681</v>
      </c>
    </row>
    <row r="788" spans="1:7">
      <c r="A788" s="2">
        <v>42194</v>
      </c>
      <c r="B788" s="3">
        <v>2.4241</v>
      </c>
      <c r="C788" s="3">
        <v>2.7263</v>
      </c>
      <c r="D788" s="3">
        <v>2.4859</v>
      </c>
      <c r="E788" s="3">
        <v>2.7944</v>
      </c>
      <c r="F788" s="3">
        <v>2.455</v>
      </c>
      <c r="G788" s="3">
        <v>2.7603</v>
      </c>
    </row>
    <row r="789" spans="1:7">
      <c r="A789" s="2">
        <v>42195</v>
      </c>
      <c r="B789" s="3">
        <v>2.4288</v>
      </c>
      <c r="C789" s="3">
        <v>2.7425</v>
      </c>
      <c r="D789" s="3">
        <v>2.4875</v>
      </c>
      <c r="E789" s="3">
        <v>2.8088</v>
      </c>
      <c r="F789" s="3">
        <v>2.4581</v>
      </c>
      <c r="G789" s="3">
        <v>2.7756</v>
      </c>
    </row>
    <row r="790" spans="1:7">
      <c r="A790" s="2">
        <v>42198</v>
      </c>
      <c r="B790" s="3">
        <v>2.4475</v>
      </c>
      <c r="C790" s="3">
        <v>2.7675</v>
      </c>
      <c r="D790" s="3">
        <v>2.5097</v>
      </c>
      <c r="E790" s="3">
        <v>2.8327</v>
      </c>
      <c r="F790" s="3">
        <v>2.4786</v>
      </c>
      <c r="G790" s="3">
        <v>2.8001</v>
      </c>
    </row>
    <row r="791" spans="1:7">
      <c r="A791" s="2">
        <v>42199</v>
      </c>
      <c r="B791" s="3">
        <v>2.5413</v>
      </c>
      <c r="C791" s="3">
        <v>2.8646</v>
      </c>
      <c r="D791" s="3">
        <v>2.6016</v>
      </c>
      <c r="E791" s="3">
        <v>2.9241</v>
      </c>
      <c r="F791" s="3">
        <v>2.5714</v>
      </c>
      <c r="G791" s="3">
        <v>2.8944</v>
      </c>
    </row>
    <row r="792" spans="1:7">
      <c r="A792" s="2">
        <v>42200</v>
      </c>
      <c r="B792" s="3">
        <v>2.5253</v>
      </c>
      <c r="C792" s="3">
        <v>2.87</v>
      </c>
      <c r="D792" s="3">
        <v>2.5887</v>
      </c>
      <c r="E792" s="3">
        <v>2.938</v>
      </c>
      <c r="F792" s="3">
        <v>2.557</v>
      </c>
      <c r="G792" s="3">
        <v>2.904</v>
      </c>
    </row>
    <row r="793" spans="1:7">
      <c r="A793" s="2">
        <v>42201</v>
      </c>
      <c r="B793" s="3">
        <v>2.473</v>
      </c>
      <c r="C793" s="3">
        <v>2.8457</v>
      </c>
      <c r="D793" s="3">
        <v>2.5307</v>
      </c>
      <c r="E793" s="3">
        <v>2.91</v>
      </c>
      <c r="F793" s="3">
        <v>2.5019</v>
      </c>
      <c r="G793" s="3">
        <v>2.8779</v>
      </c>
    </row>
    <row r="794" spans="1:7">
      <c r="A794" s="2">
        <v>42202</v>
      </c>
      <c r="B794" s="3">
        <v>2.4675</v>
      </c>
      <c r="C794" s="3">
        <v>2.8409</v>
      </c>
      <c r="D794" s="3">
        <v>2.5175</v>
      </c>
      <c r="E794" s="3">
        <v>2.8988</v>
      </c>
      <c r="F794" s="3">
        <v>2.4925</v>
      </c>
      <c r="G794" s="3">
        <v>2.8698</v>
      </c>
    </row>
    <row r="795" spans="1:7">
      <c r="A795" s="2">
        <v>42205</v>
      </c>
      <c r="B795" s="3">
        <v>2.4433</v>
      </c>
      <c r="C795" s="3">
        <v>2.8133</v>
      </c>
      <c r="D795" s="3">
        <v>2.497</v>
      </c>
      <c r="E795" s="3">
        <v>2.8767</v>
      </c>
      <c r="F795" s="3">
        <v>2.4702</v>
      </c>
      <c r="G795" s="3">
        <v>2.845</v>
      </c>
    </row>
    <row r="796" spans="1:7">
      <c r="A796" s="2">
        <v>42206</v>
      </c>
      <c r="B796" s="3">
        <v>2.4911</v>
      </c>
      <c r="C796" s="3">
        <v>2.8533</v>
      </c>
      <c r="D796" s="3">
        <v>2.547</v>
      </c>
      <c r="E796" s="3">
        <v>2.9122</v>
      </c>
      <c r="F796" s="3">
        <v>2.5191</v>
      </c>
      <c r="G796" s="3">
        <v>2.8828</v>
      </c>
    </row>
    <row r="797" spans="1:7">
      <c r="A797" s="2">
        <v>42207</v>
      </c>
      <c r="B797" s="3">
        <v>2.5225</v>
      </c>
      <c r="C797" s="3">
        <v>2.8666</v>
      </c>
      <c r="D797" s="3">
        <v>2.5721</v>
      </c>
      <c r="E797" s="3">
        <v>2.92</v>
      </c>
      <c r="F797" s="3">
        <v>2.5473</v>
      </c>
      <c r="G797" s="3">
        <v>2.8933</v>
      </c>
    </row>
    <row r="798" spans="1:7">
      <c r="A798" s="2">
        <v>42208</v>
      </c>
      <c r="B798" s="3">
        <v>2.5143</v>
      </c>
      <c r="C798" s="3">
        <v>2.8453</v>
      </c>
      <c r="D798" s="3">
        <v>2.5727</v>
      </c>
      <c r="E798" s="3">
        <v>2.911</v>
      </c>
      <c r="F798" s="3">
        <v>2.5435</v>
      </c>
      <c r="G798" s="3">
        <v>2.8782</v>
      </c>
    </row>
    <row r="799" spans="1:7">
      <c r="A799" s="2">
        <v>42209</v>
      </c>
      <c r="B799" s="3">
        <v>2.513</v>
      </c>
      <c r="C799" s="3">
        <v>2.839</v>
      </c>
      <c r="D799" s="3">
        <v>2.57</v>
      </c>
      <c r="E799" s="3">
        <v>2.902</v>
      </c>
      <c r="F799" s="3">
        <v>2.5415</v>
      </c>
      <c r="G799" s="3">
        <v>2.8705</v>
      </c>
    </row>
    <row r="800" spans="1:7">
      <c r="A800" s="2">
        <v>42212</v>
      </c>
      <c r="B800" s="3">
        <v>2.514</v>
      </c>
      <c r="C800" s="3">
        <v>2.839</v>
      </c>
      <c r="D800" s="3">
        <v>2.569</v>
      </c>
      <c r="E800" s="3">
        <v>2.8997</v>
      </c>
      <c r="F800" s="3">
        <v>2.5415</v>
      </c>
      <c r="G800" s="3">
        <v>2.8694</v>
      </c>
    </row>
    <row r="801" spans="1:7">
      <c r="A801" s="2">
        <v>42213</v>
      </c>
      <c r="B801" s="3">
        <v>2.4775</v>
      </c>
      <c r="C801" s="3">
        <v>2.7979</v>
      </c>
      <c r="D801" s="3">
        <v>2.5379</v>
      </c>
      <c r="E801" s="3">
        <v>2.8613</v>
      </c>
      <c r="F801" s="3">
        <v>2.5077</v>
      </c>
      <c r="G801" s="3">
        <v>2.8296</v>
      </c>
    </row>
    <row r="802" spans="1:7">
      <c r="A802" s="2">
        <v>42214</v>
      </c>
      <c r="B802" s="3">
        <v>2.4692</v>
      </c>
      <c r="C802" s="3">
        <v>2.7978</v>
      </c>
      <c r="D802" s="3">
        <v>2.5297</v>
      </c>
      <c r="E802" s="3">
        <v>2.8611</v>
      </c>
      <c r="F802" s="3">
        <v>2.4994</v>
      </c>
      <c r="G802" s="3">
        <v>2.8294</v>
      </c>
    </row>
    <row r="803" spans="1:7">
      <c r="A803" s="2">
        <v>42215</v>
      </c>
      <c r="B803" s="3">
        <v>2.4829</v>
      </c>
      <c r="C803" s="3">
        <v>2.8075</v>
      </c>
      <c r="D803" s="3">
        <v>2.54</v>
      </c>
      <c r="E803" s="3">
        <v>2.8663</v>
      </c>
      <c r="F803" s="3">
        <v>2.5114</v>
      </c>
      <c r="G803" s="3">
        <v>2.8369</v>
      </c>
    </row>
    <row r="804" spans="1:7">
      <c r="A804" s="2">
        <v>42216</v>
      </c>
      <c r="B804" s="3">
        <v>2.5171</v>
      </c>
      <c r="C804" s="3">
        <v>2.8609</v>
      </c>
      <c r="D804" s="3">
        <v>2.565</v>
      </c>
      <c r="E804" s="3">
        <v>2.9225</v>
      </c>
      <c r="F804" s="3">
        <v>2.5411</v>
      </c>
      <c r="G804" s="3">
        <v>2.8917</v>
      </c>
    </row>
    <row r="805" spans="1:7">
      <c r="A805" s="2">
        <v>42219</v>
      </c>
      <c r="B805" s="3">
        <v>2.4938</v>
      </c>
      <c r="C805" s="3">
        <v>2.8584</v>
      </c>
      <c r="D805" s="3">
        <v>2.55</v>
      </c>
      <c r="E805" s="3">
        <v>2.92</v>
      </c>
      <c r="F805" s="3">
        <v>2.5219</v>
      </c>
      <c r="G805" s="3">
        <v>2.8892</v>
      </c>
    </row>
    <row r="806" spans="1:7">
      <c r="A806" s="2">
        <v>42220</v>
      </c>
      <c r="B806" s="3">
        <v>2.4896</v>
      </c>
      <c r="C806" s="3">
        <v>2.8425</v>
      </c>
      <c r="D806" s="3">
        <v>2.5479</v>
      </c>
      <c r="E806" s="3">
        <v>2.9075</v>
      </c>
      <c r="F806" s="3">
        <v>2.5188</v>
      </c>
      <c r="G806" s="3">
        <v>2.875</v>
      </c>
    </row>
    <row r="807" spans="1:7">
      <c r="A807" s="2">
        <v>42221</v>
      </c>
      <c r="B807" s="3">
        <v>2.4744</v>
      </c>
      <c r="C807" s="3">
        <v>2.8367</v>
      </c>
      <c r="D807" s="3">
        <v>2.533</v>
      </c>
      <c r="E807" s="3">
        <v>2.8956</v>
      </c>
      <c r="F807" s="3">
        <v>2.5037</v>
      </c>
      <c r="G807" s="3">
        <v>2.8661</v>
      </c>
    </row>
    <row r="808" spans="1:7">
      <c r="A808" s="2">
        <v>42222</v>
      </c>
      <c r="B808" s="3">
        <v>2.4313</v>
      </c>
      <c r="C808" s="3">
        <v>2.8125</v>
      </c>
      <c r="D808" s="3">
        <v>2.4719</v>
      </c>
      <c r="E808" s="3">
        <v>2.8638</v>
      </c>
      <c r="F808" s="3">
        <v>2.4516</v>
      </c>
      <c r="G808" s="3">
        <v>2.8381</v>
      </c>
    </row>
    <row r="809" spans="1:7">
      <c r="A809" s="2">
        <v>42223</v>
      </c>
      <c r="B809" s="3">
        <v>2.4531</v>
      </c>
      <c r="C809" s="3">
        <v>2.8191</v>
      </c>
      <c r="D809" s="3">
        <v>2.5013</v>
      </c>
      <c r="E809" s="3">
        <v>2.8788</v>
      </c>
      <c r="F809" s="3">
        <v>2.4772</v>
      </c>
      <c r="G809" s="3">
        <v>2.8489</v>
      </c>
    </row>
    <row r="810" spans="1:7">
      <c r="A810" s="2">
        <v>42226</v>
      </c>
      <c r="B810" s="3">
        <v>2.46</v>
      </c>
      <c r="C810" s="3">
        <v>2.835</v>
      </c>
      <c r="D810" s="3">
        <v>2.5179</v>
      </c>
      <c r="E810" s="3">
        <v>2.8938</v>
      </c>
      <c r="F810" s="3">
        <v>2.4889</v>
      </c>
      <c r="G810" s="3">
        <v>2.8644</v>
      </c>
    </row>
    <row r="811" spans="1:7">
      <c r="A811" s="2">
        <v>42227</v>
      </c>
      <c r="B811" s="3">
        <v>2.5159</v>
      </c>
      <c r="C811" s="3">
        <v>2.8879</v>
      </c>
      <c r="D811" s="3">
        <v>2.5775</v>
      </c>
      <c r="E811" s="3">
        <v>2.95</v>
      </c>
      <c r="F811" s="3">
        <v>2.5467</v>
      </c>
      <c r="G811" s="3">
        <v>2.9189</v>
      </c>
    </row>
    <row r="812" spans="1:7">
      <c r="A812" s="2">
        <v>42228</v>
      </c>
      <c r="B812" s="3">
        <v>2.5038</v>
      </c>
      <c r="C812" s="3">
        <v>2.8538</v>
      </c>
      <c r="D812" s="3">
        <v>2.57</v>
      </c>
      <c r="E812" s="3">
        <v>2.9284</v>
      </c>
      <c r="F812" s="3">
        <v>2.5369</v>
      </c>
      <c r="G812" s="3">
        <v>2.8911</v>
      </c>
    </row>
    <row r="813" spans="1:7">
      <c r="A813" s="2">
        <v>42229</v>
      </c>
      <c r="B813" s="3">
        <v>2.5125</v>
      </c>
      <c r="C813" s="3">
        <v>2.8588</v>
      </c>
      <c r="D813" s="3">
        <v>2.5688</v>
      </c>
      <c r="E813" s="3">
        <v>2.9213</v>
      </c>
      <c r="F813" s="3">
        <v>2.5406</v>
      </c>
      <c r="G813" s="3">
        <v>2.89</v>
      </c>
    </row>
    <row r="814" spans="1:7">
      <c r="A814" s="2">
        <v>42230</v>
      </c>
      <c r="B814" s="3">
        <v>2.5063</v>
      </c>
      <c r="C814" s="3">
        <v>2.8388</v>
      </c>
      <c r="D814" s="3">
        <v>2.56</v>
      </c>
      <c r="E814" s="3">
        <v>2.9</v>
      </c>
      <c r="F814" s="3">
        <v>2.5331</v>
      </c>
      <c r="G814" s="3">
        <v>2.8694</v>
      </c>
    </row>
    <row r="815" spans="1:7">
      <c r="A815" s="2">
        <v>42233</v>
      </c>
      <c r="B815" s="3">
        <v>2.5425</v>
      </c>
      <c r="C815" s="3">
        <v>2.86</v>
      </c>
      <c r="D815" s="3">
        <v>2.6025</v>
      </c>
      <c r="E815" s="3">
        <v>2.925</v>
      </c>
      <c r="F815" s="3">
        <v>2.5725</v>
      </c>
      <c r="G815" s="3">
        <v>2.8925</v>
      </c>
    </row>
    <row r="816" spans="1:7">
      <c r="A816" s="2">
        <v>42234</v>
      </c>
      <c r="B816" s="3">
        <v>2.5429</v>
      </c>
      <c r="C816" s="3">
        <v>2.855</v>
      </c>
      <c r="D816" s="3">
        <v>2.6</v>
      </c>
      <c r="E816" s="3">
        <v>2.9175</v>
      </c>
      <c r="F816" s="3">
        <v>2.5714</v>
      </c>
      <c r="G816" s="3">
        <v>2.8863</v>
      </c>
    </row>
    <row r="817" spans="1:7">
      <c r="A817" s="2">
        <v>42235</v>
      </c>
      <c r="B817" s="3">
        <v>2.5429</v>
      </c>
      <c r="C817" s="3">
        <v>2.86</v>
      </c>
      <c r="D817" s="3">
        <v>2.6</v>
      </c>
      <c r="E817" s="3">
        <v>2.92</v>
      </c>
      <c r="F817" s="3">
        <v>2.5714</v>
      </c>
      <c r="G817" s="3">
        <v>2.89</v>
      </c>
    </row>
    <row r="818" spans="1:7">
      <c r="A818" s="2">
        <v>42236</v>
      </c>
      <c r="B818" s="3">
        <v>2.563</v>
      </c>
      <c r="C818" s="3">
        <v>2.8511</v>
      </c>
      <c r="D818" s="3">
        <v>2.6256</v>
      </c>
      <c r="E818" s="3">
        <v>2.9156</v>
      </c>
      <c r="F818" s="3">
        <v>2.5943</v>
      </c>
      <c r="G818" s="3">
        <v>2.8833</v>
      </c>
    </row>
    <row r="819" spans="1:7">
      <c r="A819" s="2">
        <v>42237</v>
      </c>
      <c r="B819" s="3">
        <v>2.5409</v>
      </c>
      <c r="C819" s="3">
        <v>2.8325</v>
      </c>
      <c r="D819" s="3">
        <v>2.5971</v>
      </c>
      <c r="E819" s="3">
        <v>2.8979</v>
      </c>
      <c r="F819" s="3">
        <v>2.569</v>
      </c>
      <c r="G819" s="3">
        <v>2.8652</v>
      </c>
    </row>
    <row r="820" spans="1:7">
      <c r="A820" s="2">
        <v>42240</v>
      </c>
      <c r="B820" s="3">
        <v>2.5463</v>
      </c>
      <c r="C820" s="3">
        <v>2.8288</v>
      </c>
      <c r="D820" s="3">
        <v>2.605</v>
      </c>
      <c r="E820" s="3">
        <v>2.8896</v>
      </c>
      <c r="F820" s="3">
        <v>2.5756</v>
      </c>
      <c r="G820" s="3">
        <v>2.8592</v>
      </c>
    </row>
    <row r="821" spans="1:7">
      <c r="A821" s="2">
        <v>42241</v>
      </c>
      <c r="B821" s="3">
        <v>2.5406</v>
      </c>
      <c r="C821" s="3">
        <v>2.7873</v>
      </c>
      <c r="D821" s="3">
        <v>2.6</v>
      </c>
      <c r="E821" s="3">
        <v>2.8473</v>
      </c>
      <c r="F821" s="3">
        <v>2.5703</v>
      </c>
      <c r="G821" s="3">
        <v>2.8173</v>
      </c>
    </row>
    <row r="822" spans="1:7">
      <c r="A822" s="2">
        <v>42242</v>
      </c>
      <c r="B822" s="3">
        <v>2.4475</v>
      </c>
      <c r="C822" s="3">
        <v>2.7525</v>
      </c>
      <c r="D822" s="3">
        <v>2.4913</v>
      </c>
      <c r="E822" s="3">
        <v>2.8</v>
      </c>
      <c r="F822" s="3">
        <v>2.4694</v>
      </c>
      <c r="G822" s="3">
        <v>2.7763</v>
      </c>
    </row>
    <row r="823" spans="1:7">
      <c r="A823" s="2">
        <v>42243</v>
      </c>
      <c r="B823" s="3">
        <v>2.385</v>
      </c>
      <c r="C823" s="3">
        <v>2.7088</v>
      </c>
      <c r="D823" s="3">
        <v>2.4416</v>
      </c>
      <c r="E823" s="3">
        <v>2.7684</v>
      </c>
      <c r="F823" s="3">
        <v>2.4133</v>
      </c>
      <c r="G823" s="3">
        <v>2.7386</v>
      </c>
    </row>
    <row r="824" spans="1:7">
      <c r="A824" s="2">
        <v>42244</v>
      </c>
      <c r="B824" s="3">
        <v>2.3966</v>
      </c>
      <c r="C824" s="3">
        <v>2.7271</v>
      </c>
      <c r="D824" s="3">
        <v>2.4559</v>
      </c>
      <c r="E824" s="3">
        <v>2.7954</v>
      </c>
      <c r="F824" s="3">
        <v>2.4263</v>
      </c>
      <c r="G824" s="3">
        <v>2.7613</v>
      </c>
    </row>
    <row r="825" spans="1:7">
      <c r="A825" s="2">
        <v>42247</v>
      </c>
      <c r="B825" s="3">
        <v>2.395</v>
      </c>
      <c r="C825" s="3">
        <v>2.7063</v>
      </c>
      <c r="D825" s="3">
        <v>2.4438</v>
      </c>
      <c r="E825" s="3">
        <v>2.7613</v>
      </c>
      <c r="F825" s="3">
        <v>2.4194</v>
      </c>
      <c r="G825" s="3">
        <v>2.7338</v>
      </c>
    </row>
    <row r="826" spans="1:7">
      <c r="A826" s="2">
        <v>42248</v>
      </c>
      <c r="B826" s="3">
        <v>2.3959</v>
      </c>
      <c r="C826" s="3">
        <v>2.705</v>
      </c>
      <c r="D826" s="3">
        <v>2.4488</v>
      </c>
      <c r="E826" s="3">
        <v>2.7588</v>
      </c>
      <c r="F826" s="3">
        <v>2.4223</v>
      </c>
      <c r="G826" s="3">
        <v>2.7319</v>
      </c>
    </row>
    <row r="827" spans="1:7">
      <c r="A827" s="2">
        <v>42249</v>
      </c>
      <c r="B827" s="3">
        <v>2.4294</v>
      </c>
      <c r="C827" s="3">
        <v>2.7188</v>
      </c>
      <c r="D827" s="3">
        <v>2.4729</v>
      </c>
      <c r="E827" s="3">
        <v>2.7713</v>
      </c>
      <c r="F827" s="3">
        <v>2.4511</v>
      </c>
      <c r="G827" s="3">
        <v>2.745</v>
      </c>
    </row>
    <row r="828" spans="1:7">
      <c r="A828" s="2">
        <v>42253</v>
      </c>
      <c r="B828" s="3">
        <v>2.405</v>
      </c>
      <c r="C828" s="3">
        <v>2.705</v>
      </c>
      <c r="D828" s="3">
        <v>2.4613</v>
      </c>
      <c r="E828" s="3">
        <v>2.7694</v>
      </c>
      <c r="F828" s="3">
        <v>2.4331</v>
      </c>
      <c r="G828" s="3">
        <v>2.7372</v>
      </c>
    </row>
    <row r="829" spans="1:7">
      <c r="A829" s="2">
        <v>42254</v>
      </c>
      <c r="B829" s="3">
        <v>2.427</v>
      </c>
      <c r="C829" s="3">
        <v>2.7395</v>
      </c>
      <c r="D829" s="3">
        <v>2.487</v>
      </c>
      <c r="E829" s="3">
        <v>2.799</v>
      </c>
      <c r="F829" s="3">
        <v>2.457</v>
      </c>
      <c r="G829" s="3">
        <v>2.7693</v>
      </c>
    </row>
    <row r="830" spans="1:7">
      <c r="A830" s="2">
        <v>42255</v>
      </c>
      <c r="B830" s="3">
        <v>2.4397</v>
      </c>
      <c r="C830" s="3">
        <v>2.7535</v>
      </c>
      <c r="D830" s="3">
        <v>2.4918</v>
      </c>
      <c r="E830" s="3">
        <v>2.8109</v>
      </c>
      <c r="F830" s="3">
        <v>2.4658</v>
      </c>
      <c r="G830" s="3">
        <v>2.7822</v>
      </c>
    </row>
    <row r="831" spans="1:7">
      <c r="A831" s="2">
        <v>42256</v>
      </c>
      <c r="B831" s="3">
        <v>2.4367</v>
      </c>
      <c r="C831" s="3">
        <v>2.767</v>
      </c>
      <c r="D831" s="3">
        <v>2.492</v>
      </c>
      <c r="E831" s="3">
        <v>2.827</v>
      </c>
      <c r="F831" s="3">
        <v>2.4644</v>
      </c>
      <c r="G831" s="3">
        <v>2.797</v>
      </c>
    </row>
    <row r="832" spans="1:7">
      <c r="A832" s="2">
        <v>42257</v>
      </c>
      <c r="B832" s="3">
        <v>2.445</v>
      </c>
      <c r="C832" s="3">
        <v>2.7775</v>
      </c>
      <c r="D832" s="3">
        <v>2.4988</v>
      </c>
      <c r="E832" s="3">
        <v>2.835</v>
      </c>
      <c r="F832" s="3">
        <v>2.4719</v>
      </c>
      <c r="G832" s="3">
        <v>2.8063</v>
      </c>
    </row>
    <row r="833" spans="1:7">
      <c r="A833" s="2">
        <v>42258</v>
      </c>
      <c r="B833" s="3">
        <v>2.4329</v>
      </c>
      <c r="C833" s="3">
        <v>2.7704</v>
      </c>
      <c r="D833" s="3">
        <v>2.4938</v>
      </c>
      <c r="E833" s="3">
        <v>2.8375</v>
      </c>
      <c r="F833" s="3">
        <v>2.4633</v>
      </c>
      <c r="G833" s="3">
        <v>2.8039</v>
      </c>
    </row>
    <row r="834" spans="1:7">
      <c r="A834" s="2">
        <v>42261</v>
      </c>
      <c r="B834" s="3">
        <v>2.4263</v>
      </c>
      <c r="C834" s="3">
        <v>2.77</v>
      </c>
      <c r="D834" s="3">
        <v>2.4788</v>
      </c>
      <c r="E834" s="3">
        <v>2.8263</v>
      </c>
      <c r="F834" s="3">
        <v>2.4525</v>
      </c>
      <c r="G834" s="3">
        <v>2.7981</v>
      </c>
    </row>
    <row r="835" spans="1:7">
      <c r="A835" s="2">
        <v>42262</v>
      </c>
      <c r="B835" s="3">
        <v>2.4254</v>
      </c>
      <c r="C835" s="3">
        <v>2.7596</v>
      </c>
      <c r="D835" s="3">
        <v>2.4813</v>
      </c>
      <c r="E835" s="3">
        <v>2.82</v>
      </c>
      <c r="F835" s="3">
        <v>2.4533</v>
      </c>
      <c r="G835" s="3">
        <v>2.7898</v>
      </c>
    </row>
    <row r="836" spans="1:7">
      <c r="A836" s="2">
        <v>42263</v>
      </c>
      <c r="B836" s="3">
        <v>2.4357</v>
      </c>
      <c r="C836" s="3">
        <v>2.767</v>
      </c>
      <c r="D836" s="3">
        <v>2.491</v>
      </c>
      <c r="E836" s="3">
        <v>2.832</v>
      </c>
      <c r="F836" s="3">
        <v>2.4634</v>
      </c>
      <c r="G836" s="3">
        <v>2.7995</v>
      </c>
    </row>
    <row r="837" spans="1:7">
      <c r="A837" s="2">
        <v>42264</v>
      </c>
      <c r="B837" s="3">
        <v>2.4414</v>
      </c>
      <c r="C837" s="3">
        <v>2.7814</v>
      </c>
      <c r="D837" s="3">
        <v>2.4956</v>
      </c>
      <c r="E837" s="3">
        <v>2.84</v>
      </c>
      <c r="F837" s="3">
        <v>2.4685</v>
      </c>
      <c r="G837" s="3">
        <v>2.8107</v>
      </c>
    </row>
    <row r="838" spans="1:7">
      <c r="A838" s="2">
        <v>42265</v>
      </c>
      <c r="B838" s="3">
        <v>2.4425</v>
      </c>
      <c r="C838" s="3">
        <v>2.7763</v>
      </c>
      <c r="D838" s="3">
        <v>2.49</v>
      </c>
      <c r="E838" s="3">
        <v>2.8263</v>
      </c>
      <c r="F838" s="3">
        <v>2.4663</v>
      </c>
      <c r="G838" s="3">
        <v>2.8013</v>
      </c>
    </row>
    <row r="839" spans="1:7">
      <c r="A839" s="2">
        <v>42268</v>
      </c>
      <c r="B839" s="3">
        <v>2.4416</v>
      </c>
      <c r="C839" s="3">
        <v>2.775</v>
      </c>
      <c r="D839" s="3">
        <v>2.495</v>
      </c>
      <c r="E839" s="3">
        <v>2.8338</v>
      </c>
      <c r="F839" s="3">
        <v>2.4683</v>
      </c>
      <c r="G839" s="3">
        <v>2.8044</v>
      </c>
    </row>
    <row r="840" spans="1:7">
      <c r="A840" s="2">
        <v>42269</v>
      </c>
      <c r="B840" s="3">
        <v>2.4475</v>
      </c>
      <c r="C840" s="3">
        <v>2.7779</v>
      </c>
      <c r="D840" s="3">
        <v>2.4938</v>
      </c>
      <c r="E840" s="3">
        <v>2.8325</v>
      </c>
      <c r="F840" s="3">
        <v>2.4706</v>
      </c>
      <c r="G840" s="3">
        <v>2.8052</v>
      </c>
    </row>
    <row r="841" spans="1:7">
      <c r="A841" s="2">
        <v>42270</v>
      </c>
      <c r="B841" s="3">
        <v>2.4471</v>
      </c>
      <c r="C841" s="3">
        <v>2.7688</v>
      </c>
      <c r="D841" s="3">
        <v>2.4975</v>
      </c>
      <c r="E841" s="3">
        <v>2.8325</v>
      </c>
      <c r="F841" s="3">
        <v>2.4723</v>
      </c>
      <c r="G841" s="3">
        <v>2.8006</v>
      </c>
    </row>
    <row r="842" spans="1:7">
      <c r="A842" s="2">
        <v>42271</v>
      </c>
      <c r="B842" s="3">
        <v>2.4497</v>
      </c>
      <c r="C842" s="3">
        <v>2.7678</v>
      </c>
      <c r="D842" s="3">
        <v>2.4989</v>
      </c>
      <c r="E842" s="3">
        <v>2.83</v>
      </c>
      <c r="F842" s="3">
        <v>2.4743</v>
      </c>
      <c r="G842" s="3">
        <v>2.7989</v>
      </c>
    </row>
    <row r="843" spans="1:7">
      <c r="A843" s="2">
        <v>42272</v>
      </c>
      <c r="B843" s="3">
        <v>2.4463</v>
      </c>
      <c r="C843" s="3">
        <v>2.7644</v>
      </c>
      <c r="D843" s="3">
        <v>2.495</v>
      </c>
      <c r="E843" s="3">
        <v>2.8225</v>
      </c>
      <c r="F843" s="3">
        <v>2.4706</v>
      </c>
      <c r="G843" s="3">
        <v>2.7934</v>
      </c>
    </row>
    <row r="844" spans="1:7">
      <c r="A844" s="2">
        <v>42275</v>
      </c>
      <c r="B844" s="3">
        <v>2.4409</v>
      </c>
      <c r="C844" s="3">
        <v>2.76</v>
      </c>
      <c r="D844" s="3">
        <v>2.4988</v>
      </c>
      <c r="E844" s="3">
        <v>2.8213</v>
      </c>
      <c r="F844" s="3">
        <v>2.4698</v>
      </c>
      <c r="G844" s="3">
        <v>2.7906</v>
      </c>
    </row>
    <row r="845" spans="1:7">
      <c r="A845" s="2">
        <v>42276</v>
      </c>
      <c r="B845" s="3">
        <v>2.4321</v>
      </c>
      <c r="C845" s="3">
        <v>2.7288</v>
      </c>
      <c r="D845" s="3">
        <v>2.4879</v>
      </c>
      <c r="E845" s="3">
        <v>2.7925</v>
      </c>
      <c r="F845" s="3">
        <v>2.46</v>
      </c>
      <c r="G845" s="3">
        <v>2.7606</v>
      </c>
    </row>
    <row r="846" spans="1:7">
      <c r="A846" s="2">
        <v>42277</v>
      </c>
      <c r="B846" s="3">
        <v>2.435</v>
      </c>
      <c r="C846" s="3">
        <v>2.7388</v>
      </c>
      <c r="D846" s="3">
        <v>2.49</v>
      </c>
      <c r="E846" s="3">
        <v>2.7971</v>
      </c>
      <c r="F846" s="3">
        <v>2.4625</v>
      </c>
      <c r="G846" s="3">
        <v>2.7679</v>
      </c>
    </row>
    <row r="847" spans="1:7">
      <c r="A847" s="2">
        <v>42285</v>
      </c>
      <c r="B847" s="3">
        <v>2.435</v>
      </c>
      <c r="C847" s="3">
        <v>2.7438</v>
      </c>
      <c r="D847" s="3">
        <v>2.49</v>
      </c>
      <c r="E847" s="3">
        <v>2.8025</v>
      </c>
      <c r="F847" s="3">
        <v>2.4625</v>
      </c>
      <c r="G847" s="3">
        <v>2.7731</v>
      </c>
    </row>
    <row r="848" spans="1:7">
      <c r="A848" s="2">
        <v>42286</v>
      </c>
      <c r="B848" s="3">
        <v>2.4363</v>
      </c>
      <c r="C848" s="3">
        <v>2.74</v>
      </c>
      <c r="D848" s="3">
        <v>2.4941</v>
      </c>
      <c r="E848" s="3">
        <v>2.8013</v>
      </c>
      <c r="F848" s="3">
        <v>2.4652</v>
      </c>
      <c r="G848" s="3">
        <v>2.7706</v>
      </c>
    </row>
    <row r="849" spans="1:7">
      <c r="A849" s="2">
        <v>42287</v>
      </c>
      <c r="B849" s="3">
        <v>2.435</v>
      </c>
      <c r="C849" s="3">
        <v>2.7375</v>
      </c>
      <c r="D849" s="3">
        <v>2.4925</v>
      </c>
      <c r="E849" s="3">
        <v>2.8009</v>
      </c>
      <c r="F849" s="3">
        <v>2.4638</v>
      </c>
      <c r="G849" s="3">
        <v>2.7692</v>
      </c>
    </row>
    <row r="850" spans="1:7">
      <c r="A850" s="2">
        <v>42289</v>
      </c>
      <c r="B850" s="3">
        <v>2.4225</v>
      </c>
      <c r="C850" s="3">
        <v>2.7163</v>
      </c>
      <c r="D850" s="3">
        <v>2.4766</v>
      </c>
      <c r="E850" s="3">
        <v>2.7813</v>
      </c>
      <c r="F850" s="3">
        <v>2.4496</v>
      </c>
      <c r="G850" s="3">
        <v>2.7488</v>
      </c>
    </row>
    <row r="851" spans="1:7">
      <c r="A851" s="2">
        <v>42290</v>
      </c>
      <c r="B851" s="3">
        <v>2.3975</v>
      </c>
      <c r="C851" s="3">
        <v>2.6791</v>
      </c>
      <c r="D851" s="3">
        <v>2.4546</v>
      </c>
      <c r="E851" s="3">
        <v>2.7454</v>
      </c>
      <c r="F851" s="3">
        <v>2.4261</v>
      </c>
      <c r="G851" s="3">
        <v>2.7123</v>
      </c>
    </row>
    <row r="852" spans="1:7">
      <c r="A852" s="2">
        <v>42291</v>
      </c>
      <c r="B852" s="3">
        <v>2.3841</v>
      </c>
      <c r="C852" s="3">
        <v>2.6588</v>
      </c>
      <c r="D852" s="3">
        <v>2.4388</v>
      </c>
      <c r="E852" s="3">
        <v>2.7221</v>
      </c>
      <c r="F852" s="3">
        <v>2.4114</v>
      </c>
      <c r="G852" s="3">
        <v>2.6904</v>
      </c>
    </row>
    <row r="853" spans="1:7">
      <c r="A853" s="2">
        <v>42292</v>
      </c>
      <c r="B853" s="3">
        <v>2.3988</v>
      </c>
      <c r="C853" s="3">
        <v>2.6738</v>
      </c>
      <c r="D853" s="3">
        <v>2.4516</v>
      </c>
      <c r="E853" s="3">
        <v>2.7325</v>
      </c>
      <c r="F853" s="3">
        <v>2.4252</v>
      </c>
      <c r="G853" s="3">
        <v>2.7031</v>
      </c>
    </row>
    <row r="854" spans="1:7">
      <c r="A854" s="2">
        <v>42293</v>
      </c>
      <c r="B854" s="3">
        <v>2.4013</v>
      </c>
      <c r="C854" s="3">
        <v>2.6931</v>
      </c>
      <c r="D854" s="3">
        <v>2.4575</v>
      </c>
      <c r="E854" s="3">
        <v>2.7559</v>
      </c>
      <c r="F854" s="3">
        <v>2.4294</v>
      </c>
      <c r="G854" s="3">
        <v>2.7245</v>
      </c>
    </row>
    <row r="855" spans="1:7">
      <c r="A855" s="2">
        <v>42296</v>
      </c>
      <c r="B855" s="3">
        <v>2.3963</v>
      </c>
      <c r="C855" s="3">
        <v>2.6869</v>
      </c>
      <c r="D855" s="3">
        <v>2.45</v>
      </c>
      <c r="E855" s="3">
        <v>2.7425</v>
      </c>
      <c r="F855" s="3">
        <v>2.4231</v>
      </c>
      <c r="G855" s="3">
        <v>2.7147</v>
      </c>
    </row>
    <row r="856" spans="1:7">
      <c r="A856" s="2">
        <v>42297</v>
      </c>
      <c r="B856" s="3">
        <v>2.3875</v>
      </c>
      <c r="C856" s="3">
        <v>2.6638</v>
      </c>
      <c r="D856" s="3">
        <v>2.4416</v>
      </c>
      <c r="E856" s="3">
        <v>2.7259</v>
      </c>
      <c r="F856" s="3">
        <v>2.4146</v>
      </c>
      <c r="G856" s="3">
        <v>2.6948</v>
      </c>
    </row>
    <row r="857" spans="1:7">
      <c r="A857" s="2">
        <v>42298</v>
      </c>
      <c r="B857" s="3">
        <v>2.3788</v>
      </c>
      <c r="C857" s="3">
        <v>2.6688</v>
      </c>
      <c r="D857" s="3">
        <v>2.4338</v>
      </c>
      <c r="E857" s="3">
        <v>2.7238</v>
      </c>
      <c r="F857" s="3">
        <v>2.4063</v>
      </c>
      <c r="G857" s="3">
        <v>2.6963</v>
      </c>
    </row>
    <row r="858" spans="1:7">
      <c r="A858" s="2">
        <v>42299</v>
      </c>
      <c r="B858" s="3">
        <v>2.3775</v>
      </c>
      <c r="C858" s="3">
        <v>2.6638</v>
      </c>
      <c r="D858" s="3">
        <v>2.4346</v>
      </c>
      <c r="E858" s="3">
        <v>2.7241</v>
      </c>
      <c r="F858" s="3">
        <v>2.4061</v>
      </c>
      <c r="G858" s="3">
        <v>2.6939</v>
      </c>
    </row>
    <row r="859" spans="1:7">
      <c r="A859" s="2">
        <v>42300</v>
      </c>
      <c r="B859" s="3">
        <v>2.3775</v>
      </c>
      <c r="C859" s="3">
        <v>2.6563</v>
      </c>
      <c r="D859" s="3">
        <v>2.43</v>
      </c>
      <c r="E859" s="3">
        <v>2.7109</v>
      </c>
      <c r="F859" s="3">
        <v>2.4038</v>
      </c>
      <c r="G859" s="3">
        <v>2.6836</v>
      </c>
    </row>
    <row r="860" spans="1:7">
      <c r="A860" s="2">
        <v>42303</v>
      </c>
      <c r="B860" s="3">
        <v>2.2825</v>
      </c>
      <c r="C860" s="3">
        <v>2.575</v>
      </c>
      <c r="D860" s="3">
        <v>2.3366</v>
      </c>
      <c r="E860" s="3">
        <v>2.6371</v>
      </c>
      <c r="F860" s="3">
        <v>2.3096</v>
      </c>
      <c r="G860" s="3">
        <v>2.6061</v>
      </c>
    </row>
    <row r="861" spans="1:7">
      <c r="A861" s="2">
        <v>42304</v>
      </c>
      <c r="B861" s="3">
        <v>2.2475</v>
      </c>
      <c r="C861" s="3">
        <v>2.5338</v>
      </c>
      <c r="D861" s="3">
        <v>2.3034</v>
      </c>
      <c r="E861" s="3">
        <v>2.6013</v>
      </c>
      <c r="F861" s="3">
        <v>2.2754</v>
      </c>
      <c r="G861" s="3">
        <v>2.5675</v>
      </c>
    </row>
    <row r="862" spans="1:7">
      <c r="A862" s="2">
        <v>42305</v>
      </c>
      <c r="B862" s="3">
        <v>2.27</v>
      </c>
      <c r="C862" s="3">
        <v>2.5513</v>
      </c>
      <c r="D862" s="3">
        <v>2.32</v>
      </c>
      <c r="E862" s="3">
        <v>2.6113</v>
      </c>
      <c r="F862" s="3">
        <v>2.295</v>
      </c>
      <c r="G862" s="3">
        <v>2.5813</v>
      </c>
    </row>
    <row r="863" spans="1:7">
      <c r="A863" s="2">
        <v>42306</v>
      </c>
      <c r="B863" s="3">
        <v>2.2913</v>
      </c>
      <c r="C863" s="3">
        <v>2.5788</v>
      </c>
      <c r="D863" s="3">
        <v>2.3463</v>
      </c>
      <c r="E863" s="3">
        <v>2.6463</v>
      </c>
      <c r="F863" s="3">
        <v>2.3188</v>
      </c>
      <c r="G863" s="3">
        <v>2.6125</v>
      </c>
    </row>
    <row r="864" spans="1:7">
      <c r="A864" s="2">
        <v>42307</v>
      </c>
      <c r="B864" s="3">
        <v>2.2941</v>
      </c>
      <c r="C864" s="3">
        <v>2.5863</v>
      </c>
      <c r="D864" s="3">
        <v>2.3475</v>
      </c>
      <c r="E864" s="3">
        <v>2.65</v>
      </c>
      <c r="F864" s="3">
        <v>2.3208</v>
      </c>
      <c r="G864" s="3">
        <v>2.6181</v>
      </c>
    </row>
    <row r="865" spans="1:7">
      <c r="A865" s="2">
        <v>42310</v>
      </c>
      <c r="B865" s="3">
        <v>2.2989</v>
      </c>
      <c r="C865" s="3">
        <v>2.595</v>
      </c>
      <c r="D865" s="3">
        <v>2.3544</v>
      </c>
      <c r="E865" s="3">
        <v>2.6575</v>
      </c>
      <c r="F865" s="3">
        <v>2.3267</v>
      </c>
      <c r="G865" s="3">
        <v>2.6263</v>
      </c>
    </row>
    <row r="866" spans="1:7">
      <c r="A866" s="2">
        <v>42311</v>
      </c>
      <c r="B866" s="3">
        <v>2.3209</v>
      </c>
      <c r="C866" s="3">
        <v>2.6266</v>
      </c>
      <c r="D866" s="3">
        <v>2.3838</v>
      </c>
      <c r="E866" s="3">
        <v>2.6863</v>
      </c>
      <c r="F866" s="3">
        <v>2.3523</v>
      </c>
      <c r="G866" s="3">
        <v>2.6564</v>
      </c>
    </row>
    <row r="867" spans="1:7">
      <c r="A867" s="2">
        <v>42312</v>
      </c>
      <c r="B867" s="3">
        <v>2.3391</v>
      </c>
      <c r="C867" s="3">
        <v>2.6463</v>
      </c>
      <c r="D867" s="3">
        <v>2.3975</v>
      </c>
      <c r="E867" s="3">
        <v>2.7084</v>
      </c>
      <c r="F867" s="3">
        <v>2.3683</v>
      </c>
      <c r="G867" s="3">
        <v>2.6773</v>
      </c>
    </row>
    <row r="868" spans="1:7">
      <c r="A868" s="2">
        <v>42313</v>
      </c>
      <c r="B868" s="3">
        <v>2.3258</v>
      </c>
      <c r="C868" s="3">
        <v>2.629</v>
      </c>
      <c r="D868" s="3">
        <v>2.3887</v>
      </c>
      <c r="E868" s="3">
        <v>2.6947</v>
      </c>
      <c r="F868" s="3">
        <v>2.3573</v>
      </c>
      <c r="G868" s="3">
        <v>2.6619</v>
      </c>
    </row>
    <row r="869" spans="1:7">
      <c r="A869" s="2">
        <v>42314</v>
      </c>
      <c r="B869" s="3">
        <v>2.3275</v>
      </c>
      <c r="C869" s="3">
        <v>2.6388</v>
      </c>
      <c r="D869" s="3">
        <v>2.3838</v>
      </c>
      <c r="E869" s="3">
        <v>2.6984</v>
      </c>
      <c r="F869" s="3">
        <v>2.3556</v>
      </c>
      <c r="G869" s="3">
        <v>2.6686</v>
      </c>
    </row>
    <row r="870" spans="1:7">
      <c r="A870" s="2">
        <v>42317</v>
      </c>
      <c r="B870" s="3">
        <v>2.3725</v>
      </c>
      <c r="C870" s="3">
        <v>2.7059</v>
      </c>
      <c r="D870" s="3">
        <v>2.4325</v>
      </c>
      <c r="E870" s="3">
        <v>2.7688</v>
      </c>
      <c r="F870" s="3">
        <v>2.4025</v>
      </c>
      <c r="G870" s="3">
        <v>2.7373</v>
      </c>
    </row>
    <row r="871" spans="1:7">
      <c r="A871" s="2">
        <v>42318</v>
      </c>
      <c r="B871" s="3">
        <v>2.3741</v>
      </c>
      <c r="C871" s="3">
        <v>2.7078</v>
      </c>
      <c r="D871" s="3">
        <v>2.4322</v>
      </c>
      <c r="E871" s="3">
        <v>2.7733</v>
      </c>
      <c r="F871" s="3">
        <v>2.4032</v>
      </c>
      <c r="G871" s="3">
        <v>2.7406</v>
      </c>
    </row>
    <row r="872" spans="1:7">
      <c r="A872" s="2">
        <v>42319</v>
      </c>
      <c r="B872" s="3">
        <v>2.3638</v>
      </c>
      <c r="C872" s="3">
        <v>2.695</v>
      </c>
      <c r="D872" s="3">
        <v>2.4188</v>
      </c>
      <c r="E872" s="3">
        <v>2.7579</v>
      </c>
      <c r="F872" s="3">
        <v>2.3913</v>
      </c>
      <c r="G872" s="3">
        <v>2.7264</v>
      </c>
    </row>
    <row r="873" spans="1:7">
      <c r="A873" s="2">
        <v>42320</v>
      </c>
      <c r="B873" s="3">
        <v>2.375</v>
      </c>
      <c r="C873" s="3">
        <v>2.7075</v>
      </c>
      <c r="D873" s="3">
        <v>2.4263</v>
      </c>
      <c r="E873" s="3">
        <v>2.77</v>
      </c>
      <c r="F873" s="3">
        <v>2.4006</v>
      </c>
      <c r="G873" s="3">
        <v>2.7388</v>
      </c>
    </row>
    <row r="874" spans="1:7">
      <c r="A874" s="2">
        <v>42321</v>
      </c>
      <c r="B874" s="3">
        <v>2.3713</v>
      </c>
      <c r="C874" s="3">
        <v>2.7004</v>
      </c>
      <c r="D874" s="3">
        <v>2.4288</v>
      </c>
      <c r="E874" s="3">
        <v>2.7669</v>
      </c>
      <c r="F874" s="3">
        <v>2.4</v>
      </c>
      <c r="G874" s="3">
        <v>2.7336</v>
      </c>
    </row>
    <row r="875" spans="1:7">
      <c r="A875" s="2">
        <v>42324</v>
      </c>
      <c r="B875" s="3">
        <v>2.3697</v>
      </c>
      <c r="C875" s="3">
        <v>2.6963</v>
      </c>
      <c r="D875" s="3">
        <v>2.4313</v>
      </c>
      <c r="E875" s="3">
        <v>2.7595</v>
      </c>
      <c r="F875" s="3">
        <v>2.4005</v>
      </c>
      <c r="G875" s="3">
        <v>2.7279</v>
      </c>
    </row>
    <row r="876" spans="1:7">
      <c r="A876" s="2">
        <v>42325</v>
      </c>
      <c r="B876" s="3">
        <v>2.3686</v>
      </c>
      <c r="C876" s="3">
        <v>2.6959</v>
      </c>
      <c r="D876" s="3">
        <v>2.4259</v>
      </c>
      <c r="E876" s="3">
        <v>2.7578</v>
      </c>
      <c r="F876" s="3">
        <v>2.3972</v>
      </c>
      <c r="G876" s="3">
        <v>2.7268</v>
      </c>
    </row>
    <row r="877" spans="1:7">
      <c r="A877" s="2">
        <v>42326</v>
      </c>
      <c r="B877" s="3">
        <v>2.3725</v>
      </c>
      <c r="C877" s="3">
        <v>2.7016</v>
      </c>
      <c r="D877" s="3">
        <v>2.435</v>
      </c>
      <c r="E877" s="3">
        <v>2.7706</v>
      </c>
      <c r="F877" s="3">
        <v>2.4038</v>
      </c>
      <c r="G877" s="3">
        <v>2.7361</v>
      </c>
    </row>
    <row r="878" spans="1:7">
      <c r="A878" s="2">
        <v>42327</v>
      </c>
      <c r="B878" s="3">
        <v>2.3746</v>
      </c>
      <c r="C878" s="3">
        <v>2.7013</v>
      </c>
      <c r="D878" s="3">
        <v>2.4346</v>
      </c>
      <c r="E878" s="3">
        <v>2.7644</v>
      </c>
      <c r="F878" s="3">
        <v>2.4046</v>
      </c>
      <c r="G878" s="3">
        <v>2.7328</v>
      </c>
    </row>
    <row r="879" spans="1:7">
      <c r="A879" s="2">
        <v>42328</v>
      </c>
      <c r="B879" s="3">
        <v>2.3425</v>
      </c>
      <c r="C879" s="3">
        <v>2.6675</v>
      </c>
      <c r="D879" s="3">
        <v>2.3913</v>
      </c>
      <c r="E879" s="3">
        <v>2.7225</v>
      </c>
      <c r="F879" s="3">
        <v>2.3669</v>
      </c>
      <c r="G879" s="3">
        <v>2.695</v>
      </c>
    </row>
    <row r="880" spans="1:7">
      <c r="A880" s="2">
        <v>42331</v>
      </c>
      <c r="B880" s="3">
        <v>2.3539</v>
      </c>
      <c r="C880" s="3">
        <v>2.6868</v>
      </c>
      <c r="D880" s="3">
        <v>2.4097</v>
      </c>
      <c r="E880" s="3">
        <v>2.7482</v>
      </c>
      <c r="F880" s="3">
        <v>2.3818</v>
      </c>
      <c r="G880" s="3">
        <v>2.7175</v>
      </c>
    </row>
    <row r="881" spans="1:7">
      <c r="A881" s="2">
        <v>42332</v>
      </c>
      <c r="B881" s="3">
        <v>2.351</v>
      </c>
      <c r="C881" s="3">
        <v>2.6765</v>
      </c>
      <c r="D881" s="3">
        <v>2.4053</v>
      </c>
      <c r="E881" s="3">
        <v>2.7343</v>
      </c>
      <c r="F881" s="3">
        <v>2.3782</v>
      </c>
      <c r="G881" s="3">
        <v>2.7054</v>
      </c>
    </row>
    <row r="882" spans="1:7">
      <c r="A882" s="2">
        <v>42333</v>
      </c>
      <c r="B882" s="3">
        <v>2.3529</v>
      </c>
      <c r="C882" s="3">
        <v>2.6744</v>
      </c>
      <c r="D882" s="3">
        <v>2.4025</v>
      </c>
      <c r="E882" s="3">
        <v>2.735</v>
      </c>
      <c r="F882" s="3">
        <v>2.3777</v>
      </c>
      <c r="G882" s="3">
        <v>2.7047</v>
      </c>
    </row>
    <row r="883" spans="1:7">
      <c r="A883" s="2">
        <v>42334</v>
      </c>
      <c r="B883" s="3">
        <v>2.3463</v>
      </c>
      <c r="C883" s="3">
        <v>2.6731</v>
      </c>
      <c r="D883" s="3">
        <v>2.4025</v>
      </c>
      <c r="E883" s="3">
        <v>2.7275</v>
      </c>
      <c r="F883" s="3">
        <v>2.3744</v>
      </c>
      <c r="G883" s="3">
        <v>2.7003</v>
      </c>
    </row>
    <row r="884" spans="1:7">
      <c r="A884" s="2">
        <v>42335</v>
      </c>
      <c r="B884" s="3">
        <v>2.3475</v>
      </c>
      <c r="C884" s="3">
        <v>2.6656</v>
      </c>
      <c r="D884" s="3">
        <v>2.3988</v>
      </c>
      <c r="E884" s="3">
        <v>2.7238</v>
      </c>
      <c r="F884" s="3">
        <v>2.3731</v>
      </c>
      <c r="G884" s="3">
        <v>2.6947</v>
      </c>
    </row>
    <row r="885" spans="1:7">
      <c r="A885" s="2">
        <v>42338</v>
      </c>
      <c r="B885" s="3">
        <v>2.3475</v>
      </c>
      <c r="C885" s="3">
        <v>2.6575</v>
      </c>
      <c r="D885" s="3">
        <v>2.3988</v>
      </c>
      <c r="E885" s="3">
        <v>2.7213</v>
      </c>
      <c r="F885" s="3">
        <v>2.3731</v>
      </c>
      <c r="G885" s="3">
        <v>2.6894</v>
      </c>
    </row>
    <row r="886" spans="1:7">
      <c r="A886" s="2">
        <v>42339</v>
      </c>
      <c r="B886" s="3">
        <v>2.3413</v>
      </c>
      <c r="C886" s="3">
        <v>2.6581</v>
      </c>
      <c r="D886" s="3">
        <v>2.3929</v>
      </c>
      <c r="E886" s="3">
        <v>2.72</v>
      </c>
      <c r="F886" s="3">
        <v>2.3671</v>
      </c>
      <c r="G886" s="3">
        <v>2.6891</v>
      </c>
    </row>
    <row r="887" spans="1:7">
      <c r="A887" s="2">
        <v>42340</v>
      </c>
      <c r="B887" s="3">
        <v>2.3284</v>
      </c>
      <c r="C887" s="3">
        <v>2.64</v>
      </c>
      <c r="D887" s="3">
        <v>2.3841</v>
      </c>
      <c r="E887" s="3">
        <v>2.7063</v>
      </c>
      <c r="F887" s="3">
        <v>2.3563</v>
      </c>
      <c r="G887" s="3">
        <v>2.6731</v>
      </c>
    </row>
    <row r="888" spans="1:7">
      <c r="A888" s="2">
        <v>42341</v>
      </c>
      <c r="B888" s="3">
        <v>2.2991</v>
      </c>
      <c r="C888" s="3">
        <v>2.6013</v>
      </c>
      <c r="D888" s="3">
        <v>2.3584</v>
      </c>
      <c r="E888" s="3">
        <v>2.6704</v>
      </c>
      <c r="F888" s="3">
        <v>2.3288</v>
      </c>
      <c r="G888" s="3">
        <v>2.6358</v>
      </c>
    </row>
    <row r="889" spans="1:7">
      <c r="A889" s="2">
        <v>42342</v>
      </c>
      <c r="B889" s="3">
        <v>2.2975</v>
      </c>
      <c r="C889" s="3">
        <v>2.5954</v>
      </c>
      <c r="D889" s="3">
        <v>2.3479</v>
      </c>
      <c r="E889" s="3">
        <v>2.6454</v>
      </c>
      <c r="F889" s="3">
        <v>2.3227</v>
      </c>
      <c r="G889" s="3">
        <v>2.6204</v>
      </c>
    </row>
    <row r="890" spans="1:7">
      <c r="A890" s="2">
        <v>42345</v>
      </c>
      <c r="B890" s="3">
        <v>2.2938</v>
      </c>
      <c r="C890" s="3">
        <v>2.5938</v>
      </c>
      <c r="D890" s="3">
        <v>2.3521</v>
      </c>
      <c r="E890" s="3">
        <v>2.6591</v>
      </c>
      <c r="F890" s="3">
        <v>2.3229</v>
      </c>
      <c r="G890" s="3">
        <v>2.6264</v>
      </c>
    </row>
    <row r="891" spans="1:7">
      <c r="A891" s="2">
        <v>42346</v>
      </c>
      <c r="B891" s="3">
        <v>2.2975</v>
      </c>
      <c r="C891" s="3">
        <v>2.6025</v>
      </c>
      <c r="D891" s="3">
        <v>2.3441</v>
      </c>
      <c r="E891" s="3">
        <v>2.6588</v>
      </c>
      <c r="F891" s="3">
        <v>2.3208</v>
      </c>
      <c r="G891" s="3">
        <v>2.6306</v>
      </c>
    </row>
    <row r="892" spans="1:7">
      <c r="A892" s="2">
        <v>42347</v>
      </c>
      <c r="B892" s="3">
        <v>2.2925</v>
      </c>
      <c r="C892" s="3">
        <v>2.5975</v>
      </c>
      <c r="D892" s="3">
        <v>2.3429</v>
      </c>
      <c r="E892" s="3">
        <v>2.6579</v>
      </c>
      <c r="F892" s="3">
        <v>2.3177</v>
      </c>
      <c r="G892" s="3">
        <v>2.6277</v>
      </c>
    </row>
    <row r="893" spans="1:7">
      <c r="A893" s="2">
        <v>42348</v>
      </c>
      <c r="B893" s="3">
        <v>2.2938</v>
      </c>
      <c r="C893" s="3">
        <v>2.5975</v>
      </c>
      <c r="D893" s="3">
        <v>2.3441</v>
      </c>
      <c r="E893" s="3">
        <v>2.6584</v>
      </c>
      <c r="F893" s="3">
        <v>2.3189</v>
      </c>
      <c r="G893" s="3">
        <v>2.6279</v>
      </c>
    </row>
    <row r="894" spans="1:7">
      <c r="A894" s="2">
        <v>42349</v>
      </c>
      <c r="B894" s="3">
        <v>2.2913</v>
      </c>
      <c r="C894" s="3">
        <v>2.6013</v>
      </c>
      <c r="D894" s="3">
        <v>2.3416</v>
      </c>
      <c r="E894" s="3">
        <v>2.6554</v>
      </c>
      <c r="F894" s="3">
        <v>2.3164</v>
      </c>
      <c r="G894" s="3">
        <v>2.6283</v>
      </c>
    </row>
    <row r="895" spans="1:7">
      <c r="A895" s="2">
        <v>42352</v>
      </c>
      <c r="B895" s="3">
        <v>2.305</v>
      </c>
      <c r="C895" s="3">
        <v>2.625</v>
      </c>
      <c r="D895" s="3">
        <v>2.3563</v>
      </c>
      <c r="E895" s="3">
        <v>2.6838</v>
      </c>
      <c r="F895" s="3">
        <v>2.3306</v>
      </c>
      <c r="G895" s="3">
        <v>2.6544</v>
      </c>
    </row>
    <row r="896" spans="1:7">
      <c r="A896" s="2">
        <v>42353</v>
      </c>
      <c r="B896" s="3">
        <v>2.305</v>
      </c>
      <c r="C896" s="3">
        <v>2.6275</v>
      </c>
      <c r="D896" s="3">
        <v>2.3613</v>
      </c>
      <c r="E896" s="3">
        <v>2.6875</v>
      </c>
      <c r="F896" s="3">
        <v>2.3331</v>
      </c>
      <c r="G896" s="3">
        <v>2.6575</v>
      </c>
    </row>
    <row r="897" spans="1:7">
      <c r="A897" s="2">
        <v>42354</v>
      </c>
      <c r="B897" s="3">
        <v>2.3013</v>
      </c>
      <c r="C897" s="3">
        <v>2.6091</v>
      </c>
      <c r="D897" s="3">
        <v>2.3571</v>
      </c>
      <c r="E897" s="3">
        <v>2.6784</v>
      </c>
      <c r="F897" s="3">
        <v>2.3292</v>
      </c>
      <c r="G897" s="3">
        <v>2.6438</v>
      </c>
    </row>
    <row r="898" spans="1:7">
      <c r="A898" s="2">
        <v>42355</v>
      </c>
      <c r="B898" s="3">
        <v>2.305</v>
      </c>
      <c r="C898" s="3">
        <v>2.6125</v>
      </c>
      <c r="D898" s="3">
        <v>2.3563</v>
      </c>
      <c r="E898" s="3">
        <v>2.675</v>
      </c>
      <c r="F898" s="3">
        <v>2.3306</v>
      </c>
      <c r="G898" s="3">
        <v>2.6438</v>
      </c>
    </row>
    <row r="899" spans="1:7">
      <c r="A899" s="2">
        <v>42356</v>
      </c>
      <c r="B899" s="3">
        <v>2.2938</v>
      </c>
      <c r="C899" s="3">
        <v>2.5925</v>
      </c>
      <c r="D899" s="3">
        <v>2.3413</v>
      </c>
      <c r="E899" s="3">
        <v>2.6488</v>
      </c>
      <c r="F899" s="3">
        <v>2.3175</v>
      </c>
      <c r="G899" s="3">
        <v>2.6206</v>
      </c>
    </row>
    <row r="900" spans="1:7">
      <c r="A900" s="2">
        <v>42359</v>
      </c>
      <c r="B900" s="3">
        <v>2.295</v>
      </c>
      <c r="C900" s="3">
        <v>2.585</v>
      </c>
      <c r="D900" s="3">
        <v>2.3463</v>
      </c>
      <c r="E900" s="3">
        <v>2.6413</v>
      </c>
      <c r="F900" s="3">
        <v>2.3206</v>
      </c>
      <c r="G900" s="3">
        <v>2.6131</v>
      </c>
    </row>
    <row r="901" spans="1:7">
      <c r="A901" s="2">
        <v>42360</v>
      </c>
      <c r="B901" s="3">
        <v>2.2888</v>
      </c>
      <c r="C901" s="3">
        <v>2.555</v>
      </c>
      <c r="D901" s="3">
        <v>2.3413</v>
      </c>
      <c r="E901" s="3">
        <v>2.61</v>
      </c>
      <c r="F901" s="3">
        <v>2.315</v>
      </c>
      <c r="G901" s="3">
        <v>2.5825</v>
      </c>
    </row>
    <row r="902" spans="1:7">
      <c r="A902" s="2">
        <v>42361</v>
      </c>
      <c r="B902" s="3">
        <v>2.2913</v>
      </c>
      <c r="C902" s="3">
        <v>2.5463</v>
      </c>
      <c r="D902" s="3">
        <v>2.3425</v>
      </c>
      <c r="E902" s="3">
        <v>2.6106</v>
      </c>
      <c r="F902" s="3">
        <v>2.3169</v>
      </c>
      <c r="G902" s="3">
        <v>2.5784</v>
      </c>
    </row>
    <row r="903" spans="1:7">
      <c r="A903" s="2">
        <v>42362</v>
      </c>
      <c r="B903" s="3">
        <v>2.2731</v>
      </c>
      <c r="C903" s="3">
        <v>2.5244</v>
      </c>
      <c r="D903" s="3">
        <v>2.3284</v>
      </c>
      <c r="E903" s="3">
        <v>2.591</v>
      </c>
      <c r="F903" s="3">
        <v>2.3008</v>
      </c>
      <c r="G903" s="3">
        <v>2.5577</v>
      </c>
    </row>
    <row r="904" spans="1:7">
      <c r="A904" s="2">
        <v>42363</v>
      </c>
      <c r="B904" s="3">
        <v>2.2694</v>
      </c>
      <c r="C904" s="3">
        <v>2.5206</v>
      </c>
      <c r="D904" s="3">
        <v>2.3254</v>
      </c>
      <c r="E904" s="3">
        <v>2.58</v>
      </c>
      <c r="F904" s="3">
        <v>2.2974</v>
      </c>
      <c r="G904" s="3">
        <v>2.5503</v>
      </c>
    </row>
    <row r="905" spans="1:7">
      <c r="A905" s="2">
        <v>42366</v>
      </c>
      <c r="B905" s="3">
        <v>2.2746</v>
      </c>
      <c r="C905" s="3">
        <v>2.535</v>
      </c>
      <c r="D905" s="3">
        <v>2.3354</v>
      </c>
      <c r="E905" s="3">
        <v>2.6121</v>
      </c>
      <c r="F905" s="3">
        <v>2.305</v>
      </c>
      <c r="G905" s="3">
        <v>2.5736</v>
      </c>
    </row>
    <row r="906" spans="1:7">
      <c r="A906" s="2">
        <v>42367</v>
      </c>
      <c r="B906" s="3">
        <v>2.285</v>
      </c>
      <c r="C906" s="3">
        <v>2.53</v>
      </c>
      <c r="D906" s="3">
        <v>2.3319</v>
      </c>
      <c r="E906" s="3">
        <v>2.59</v>
      </c>
      <c r="F906" s="3">
        <v>2.3084</v>
      </c>
      <c r="G906" s="3">
        <v>2.56</v>
      </c>
    </row>
    <row r="907" spans="1:7">
      <c r="A907" s="2">
        <v>42368</v>
      </c>
      <c r="B907" s="3">
        <v>2.2925</v>
      </c>
      <c r="C907" s="3">
        <v>2.5488</v>
      </c>
      <c r="D907" s="3">
        <v>2.3463</v>
      </c>
      <c r="E907" s="3">
        <v>2.6138</v>
      </c>
      <c r="F907" s="3">
        <v>2.3194</v>
      </c>
      <c r="G907" s="3">
        <v>2.5813</v>
      </c>
    </row>
    <row r="908" spans="1:7">
      <c r="A908" s="2">
        <v>42369</v>
      </c>
      <c r="B908" s="3">
        <v>2.2909</v>
      </c>
      <c r="C908" s="3">
        <v>2.5466</v>
      </c>
      <c r="D908" s="3">
        <v>2.345</v>
      </c>
      <c r="E908" s="3">
        <v>2.6138</v>
      </c>
      <c r="F908" s="3">
        <v>2.3179</v>
      </c>
      <c r="G908" s="3">
        <v>2.5802</v>
      </c>
    </row>
    <row r="909" spans="1:7">
      <c r="A909" s="2">
        <v>42373</v>
      </c>
      <c r="B909" s="3">
        <v>2.3103</v>
      </c>
      <c r="C909" s="3">
        <v>2.5773</v>
      </c>
      <c r="D909" s="3">
        <v>2.3683</v>
      </c>
      <c r="E909" s="3">
        <v>2.647</v>
      </c>
      <c r="F909" s="3">
        <v>2.3393</v>
      </c>
      <c r="G909" s="3">
        <v>2.6122</v>
      </c>
    </row>
    <row r="910" spans="1:7">
      <c r="A910" s="2">
        <v>42374</v>
      </c>
      <c r="B910" s="3">
        <v>2.3175</v>
      </c>
      <c r="C910" s="3">
        <v>2.5888</v>
      </c>
      <c r="D910" s="3">
        <v>2.3663</v>
      </c>
      <c r="E910" s="3">
        <v>2.6488</v>
      </c>
      <c r="F910" s="3">
        <v>2.3419</v>
      </c>
      <c r="G910" s="3">
        <v>2.6188</v>
      </c>
    </row>
    <row r="911" spans="1:7">
      <c r="A911" s="2">
        <v>42375</v>
      </c>
      <c r="B911" s="3">
        <v>2.3075</v>
      </c>
      <c r="C911" s="3">
        <v>2.5788</v>
      </c>
      <c r="D911" s="3">
        <v>2.3588</v>
      </c>
      <c r="E911" s="3">
        <v>2.6425</v>
      </c>
      <c r="F911" s="3">
        <v>2.3331</v>
      </c>
      <c r="G911" s="3">
        <v>2.6106</v>
      </c>
    </row>
    <row r="912" spans="1:7">
      <c r="A912" s="2">
        <v>42376</v>
      </c>
      <c r="B912" s="3">
        <v>2.3025</v>
      </c>
      <c r="C912" s="3">
        <v>2.565</v>
      </c>
      <c r="D912" s="3">
        <v>2.3525</v>
      </c>
      <c r="E912" s="3">
        <v>2.6275</v>
      </c>
      <c r="F912" s="3">
        <v>2.3275</v>
      </c>
      <c r="G912" s="3">
        <v>2.5963</v>
      </c>
    </row>
    <row r="913" spans="1:7">
      <c r="A913" s="2">
        <v>42377</v>
      </c>
      <c r="B913" s="3">
        <v>2.255</v>
      </c>
      <c r="C913" s="3">
        <v>2.5263</v>
      </c>
      <c r="D913" s="3">
        <v>2.315</v>
      </c>
      <c r="E913" s="3">
        <v>2.5963</v>
      </c>
      <c r="F913" s="3">
        <v>2.285</v>
      </c>
      <c r="G913" s="3">
        <v>2.5613</v>
      </c>
    </row>
    <row r="914" spans="1:7">
      <c r="A914" s="2">
        <v>42380</v>
      </c>
      <c r="B914" s="3">
        <v>2.2344</v>
      </c>
      <c r="C914" s="3">
        <v>2.5075</v>
      </c>
      <c r="D914" s="3">
        <v>2.2873</v>
      </c>
      <c r="E914" s="3">
        <v>2.5706</v>
      </c>
      <c r="F914" s="3">
        <v>2.2608</v>
      </c>
      <c r="G914" s="3">
        <v>2.5391</v>
      </c>
    </row>
    <row r="915" spans="1:7">
      <c r="A915" s="2">
        <v>42381</v>
      </c>
      <c r="B915" s="3">
        <v>2.2044</v>
      </c>
      <c r="C915" s="3">
        <v>2.4511</v>
      </c>
      <c r="D915" s="3">
        <v>2.2608</v>
      </c>
      <c r="E915" s="3">
        <v>2.5197</v>
      </c>
      <c r="F915" s="3">
        <v>2.2326</v>
      </c>
      <c r="G915" s="3">
        <v>2.4854</v>
      </c>
    </row>
    <row r="916" spans="1:7">
      <c r="A916" s="2">
        <v>42382</v>
      </c>
      <c r="B916" s="3">
        <v>2.1978</v>
      </c>
      <c r="C916" s="3">
        <v>2.4344</v>
      </c>
      <c r="D916" s="3">
        <v>2.253</v>
      </c>
      <c r="E916" s="3">
        <v>2.4967</v>
      </c>
      <c r="F916" s="3">
        <v>2.2254</v>
      </c>
      <c r="G916" s="3">
        <v>2.4656</v>
      </c>
    </row>
    <row r="917" spans="1:7">
      <c r="A917" s="2">
        <v>42383</v>
      </c>
      <c r="B917" s="3">
        <v>2.2159</v>
      </c>
      <c r="C917" s="3">
        <v>2.4488</v>
      </c>
      <c r="D917" s="3">
        <v>2.265</v>
      </c>
      <c r="E917" s="3">
        <v>2.5063</v>
      </c>
      <c r="F917" s="3">
        <v>2.2404</v>
      </c>
      <c r="G917" s="3">
        <v>2.4775</v>
      </c>
    </row>
    <row r="918" spans="1:7">
      <c r="A918" s="2">
        <v>42384</v>
      </c>
      <c r="B918" s="3">
        <v>2.2213</v>
      </c>
      <c r="C918" s="3">
        <v>2.45</v>
      </c>
      <c r="D918" s="3">
        <v>2.2725</v>
      </c>
      <c r="E918" s="3">
        <v>2.5088</v>
      </c>
      <c r="F918" s="3">
        <v>2.2469</v>
      </c>
      <c r="G918" s="3">
        <v>2.4794</v>
      </c>
    </row>
    <row r="919" spans="1:7">
      <c r="A919" s="2">
        <v>42387</v>
      </c>
      <c r="B919" s="3">
        <v>2.2429</v>
      </c>
      <c r="C919" s="3">
        <v>2.4666</v>
      </c>
      <c r="D919" s="3">
        <v>2.2979</v>
      </c>
      <c r="E919" s="3">
        <v>2.5369</v>
      </c>
      <c r="F919" s="3">
        <v>2.2704</v>
      </c>
      <c r="G919" s="3">
        <v>2.5018</v>
      </c>
    </row>
    <row r="920" spans="1:7">
      <c r="A920" s="2">
        <v>42388</v>
      </c>
      <c r="B920" s="3">
        <v>2.2494</v>
      </c>
      <c r="C920" s="3">
        <v>2.4775</v>
      </c>
      <c r="D920" s="3">
        <v>2.305</v>
      </c>
      <c r="E920" s="3">
        <v>2.5444</v>
      </c>
      <c r="F920" s="3">
        <v>2.2772</v>
      </c>
      <c r="G920" s="3">
        <v>2.5109</v>
      </c>
    </row>
    <row r="921" spans="1:7">
      <c r="A921" s="2">
        <v>42389</v>
      </c>
      <c r="B921" s="3">
        <v>2.2694</v>
      </c>
      <c r="C921" s="3">
        <v>2.4888</v>
      </c>
      <c r="D921" s="3">
        <v>2.3238</v>
      </c>
      <c r="E921" s="3">
        <v>2.5519</v>
      </c>
      <c r="F921" s="3">
        <v>2.2966</v>
      </c>
      <c r="G921" s="3">
        <v>2.5203</v>
      </c>
    </row>
    <row r="922" spans="1:7">
      <c r="A922" s="2">
        <v>42390</v>
      </c>
      <c r="B922" s="3">
        <v>2.2738</v>
      </c>
      <c r="C922" s="3">
        <v>2.48</v>
      </c>
      <c r="D922" s="3">
        <v>2.33</v>
      </c>
      <c r="E922" s="3">
        <v>2.5479</v>
      </c>
      <c r="F922" s="3">
        <v>2.3019</v>
      </c>
      <c r="G922" s="3">
        <v>2.5139</v>
      </c>
    </row>
    <row r="923" spans="1:7">
      <c r="A923" s="2">
        <v>42391</v>
      </c>
      <c r="B923" s="3">
        <v>2.2691</v>
      </c>
      <c r="C923" s="3">
        <v>2.4719</v>
      </c>
      <c r="D923" s="3">
        <v>2.3271</v>
      </c>
      <c r="E923" s="3">
        <v>2.5391</v>
      </c>
      <c r="F923" s="3">
        <v>2.2981</v>
      </c>
      <c r="G923" s="3">
        <v>2.5055</v>
      </c>
    </row>
    <row r="924" spans="1:7">
      <c r="A924" s="2">
        <v>42394</v>
      </c>
      <c r="B924" s="3">
        <v>2.3096</v>
      </c>
      <c r="C924" s="3">
        <v>2.5463</v>
      </c>
      <c r="D924" s="3">
        <v>2.3638</v>
      </c>
      <c r="E924" s="3">
        <v>2.6106</v>
      </c>
      <c r="F924" s="3">
        <v>2.3367</v>
      </c>
      <c r="G924" s="3">
        <v>2.5784</v>
      </c>
    </row>
    <row r="925" spans="1:7">
      <c r="A925" s="2">
        <v>42395</v>
      </c>
      <c r="B925" s="3">
        <v>2.3</v>
      </c>
      <c r="C925" s="3">
        <v>2.545</v>
      </c>
      <c r="D925" s="3">
        <v>2.35</v>
      </c>
      <c r="E925" s="3">
        <v>2.608</v>
      </c>
      <c r="F925" s="3">
        <v>2.325</v>
      </c>
      <c r="G925" s="3">
        <v>2.5765</v>
      </c>
    </row>
    <row r="926" spans="1:7">
      <c r="A926" s="2">
        <v>42396</v>
      </c>
      <c r="B926" s="3">
        <v>2.3291</v>
      </c>
      <c r="C926" s="3">
        <v>2.6013</v>
      </c>
      <c r="D926" s="3">
        <v>2.3781</v>
      </c>
      <c r="E926" s="3">
        <v>2.655</v>
      </c>
      <c r="F926" s="3">
        <v>2.3536</v>
      </c>
      <c r="G926" s="3">
        <v>2.6281</v>
      </c>
    </row>
    <row r="927" spans="1:7">
      <c r="A927" s="2">
        <v>42397</v>
      </c>
      <c r="B927" s="3">
        <v>2.3238</v>
      </c>
      <c r="C927" s="3">
        <v>2.5963</v>
      </c>
      <c r="D927" s="3">
        <v>2.3688</v>
      </c>
      <c r="E927" s="3">
        <v>2.65</v>
      </c>
      <c r="F927" s="3">
        <v>2.3463</v>
      </c>
      <c r="G927" s="3">
        <v>2.6231</v>
      </c>
    </row>
    <row r="928" spans="1:7">
      <c r="A928" s="2">
        <v>42398</v>
      </c>
      <c r="B928" s="3">
        <v>2.2622</v>
      </c>
      <c r="C928" s="3">
        <v>2.5494</v>
      </c>
      <c r="D928" s="3">
        <v>2.3216</v>
      </c>
      <c r="E928" s="3">
        <v>2.6138</v>
      </c>
      <c r="F928" s="3">
        <v>2.2919</v>
      </c>
      <c r="G928" s="3">
        <v>2.5816</v>
      </c>
    </row>
    <row r="929" spans="1:7">
      <c r="A929" s="2">
        <v>42401</v>
      </c>
      <c r="B929" s="3">
        <v>2.2678</v>
      </c>
      <c r="C929" s="3">
        <v>2.5522</v>
      </c>
      <c r="D929" s="3">
        <v>2.3233</v>
      </c>
      <c r="E929" s="3">
        <v>2.6144</v>
      </c>
      <c r="F929" s="3">
        <v>2.2956</v>
      </c>
      <c r="G929" s="3">
        <v>2.5833</v>
      </c>
    </row>
    <row r="930" spans="1:7">
      <c r="A930" s="2">
        <v>42402</v>
      </c>
      <c r="B930" s="3">
        <v>2.3075</v>
      </c>
      <c r="C930" s="3">
        <v>2.5944</v>
      </c>
      <c r="D930" s="3">
        <v>2.3588</v>
      </c>
      <c r="E930" s="3">
        <v>2.65</v>
      </c>
      <c r="F930" s="3">
        <v>2.3331</v>
      </c>
      <c r="G930" s="3">
        <v>2.6222</v>
      </c>
    </row>
    <row r="931" spans="1:7">
      <c r="A931" s="2">
        <v>42403</v>
      </c>
      <c r="B931" s="3">
        <v>2.3025</v>
      </c>
      <c r="C931" s="3">
        <v>2.6016</v>
      </c>
      <c r="D931" s="3">
        <v>2.3475</v>
      </c>
      <c r="E931" s="3">
        <v>2.6638</v>
      </c>
      <c r="F931" s="3">
        <v>2.325</v>
      </c>
      <c r="G931" s="3">
        <v>2.6327</v>
      </c>
    </row>
    <row r="932" spans="1:7">
      <c r="A932" s="2">
        <v>42404</v>
      </c>
      <c r="B932" s="3">
        <v>2.285</v>
      </c>
      <c r="C932" s="3">
        <v>2.5813</v>
      </c>
      <c r="D932" s="3">
        <v>2.335</v>
      </c>
      <c r="E932" s="3">
        <v>2.6346</v>
      </c>
      <c r="F932" s="3">
        <v>2.31</v>
      </c>
      <c r="G932" s="3">
        <v>2.6079</v>
      </c>
    </row>
    <row r="933" spans="1:7">
      <c r="A933" s="2">
        <v>42405</v>
      </c>
      <c r="B933" s="3">
        <v>2.2781</v>
      </c>
      <c r="C933" s="3">
        <v>2.58</v>
      </c>
      <c r="D933" s="3">
        <v>2.3296</v>
      </c>
      <c r="E933" s="3">
        <v>2.6296</v>
      </c>
      <c r="F933" s="3">
        <v>2.3039</v>
      </c>
      <c r="G933" s="3">
        <v>2.6048</v>
      </c>
    </row>
    <row r="934" spans="1:7">
      <c r="A934" s="2">
        <v>42406</v>
      </c>
      <c r="B934" s="3">
        <v>2.2733</v>
      </c>
      <c r="C934" s="3">
        <v>2.575</v>
      </c>
      <c r="D934" s="3">
        <v>2.3267</v>
      </c>
      <c r="E934" s="3">
        <v>2.6267</v>
      </c>
      <c r="F934" s="3">
        <v>2.3</v>
      </c>
      <c r="G934" s="3">
        <v>2.6008</v>
      </c>
    </row>
    <row r="935" spans="1:7">
      <c r="A935" s="2">
        <v>42414</v>
      </c>
      <c r="B935" s="3">
        <v>2.2694</v>
      </c>
      <c r="C935" s="3">
        <v>2.55</v>
      </c>
      <c r="D935" s="3">
        <v>2.3163</v>
      </c>
      <c r="E935" s="3">
        <v>2.6063</v>
      </c>
      <c r="F935" s="3">
        <v>2.2928</v>
      </c>
      <c r="G935" s="3">
        <v>2.5781</v>
      </c>
    </row>
    <row r="936" spans="1:7">
      <c r="A936" s="2">
        <v>42415</v>
      </c>
      <c r="B936" s="3">
        <v>2.27</v>
      </c>
      <c r="C936" s="3">
        <v>2.5488</v>
      </c>
      <c r="D936" s="3">
        <v>2.3204</v>
      </c>
      <c r="E936" s="3">
        <v>2.6125</v>
      </c>
      <c r="F936" s="3">
        <v>2.2952</v>
      </c>
      <c r="G936" s="3">
        <v>2.5806</v>
      </c>
    </row>
    <row r="937" spans="1:7">
      <c r="A937" s="2">
        <v>42416</v>
      </c>
      <c r="B937" s="3">
        <v>2.2879</v>
      </c>
      <c r="C937" s="3">
        <v>2.575</v>
      </c>
      <c r="D937" s="3">
        <v>2.3375</v>
      </c>
      <c r="E937" s="3">
        <v>2.6313</v>
      </c>
      <c r="F937" s="3">
        <v>2.3127</v>
      </c>
      <c r="G937" s="3">
        <v>2.6031</v>
      </c>
    </row>
    <row r="938" spans="1:7">
      <c r="A938" s="2">
        <v>42417</v>
      </c>
      <c r="B938" s="3">
        <v>2.3004</v>
      </c>
      <c r="C938" s="3">
        <v>2.5894</v>
      </c>
      <c r="D938" s="3">
        <v>2.3513</v>
      </c>
      <c r="E938" s="3">
        <v>2.6525</v>
      </c>
      <c r="F938" s="3">
        <v>2.3258</v>
      </c>
      <c r="G938" s="3">
        <v>2.6209</v>
      </c>
    </row>
    <row r="939" spans="1:7">
      <c r="A939" s="2">
        <v>42418</v>
      </c>
      <c r="B939" s="3">
        <v>2.275</v>
      </c>
      <c r="C939" s="3">
        <v>2.5725</v>
      </c>
      <c r="D939" s="3">
        <v>2.33</v>
      </c>
      <c r="E939" s="3">
        <v>2.6313</v>
      </c>
      <c r="F939" s="3">
        <v>2.3025</v>
      </c>
      <c r="G939" s="3">
        <v>2.6019</v>
      </c>
    </row>
    <row r="940" spans="1:7">
      <c r="A940" s="2">
        <v>42419</v>
      </c>
      <c r="B940" s="3">
        <v>2.2775</v>
      </c>
      <c r="C940" s="3">
        <v>2.5713</v>
      </c>
      <c r="D940" s="3">
        <v>2.325</v>
      </c>
      <c r="E940" s="3">
        <v>2.6225</v>
      </c>
      <c r="F940" s="3">
        <v>2.3013</v>
      </c>
      <c r="G940" s="3">
        <v>2.5969</v>
      </c>
    </row>
    <row r="941" spans="1:7">
      <c r="A941" s="2">
        <v>42422</v>
      </c>
      <c r="B941" s="3">
        <v>2.2788</v>
      </c>
      <c r="C941" s="3">
        <v>2.5725</v>
      </c>
      <c r="D941" s="3">
        <v>2.3275</v>
      </c>
      <c r="E941" s="3">
        <v>2.6288</v>
      </c>
      <c r="F941" s="3">
        <v>2.3031</v>
      </c>
      <c r="G941" s="3">
        <v>2.6006</v>
      </c>
    </row>
    <row r="942" spans="1:7">
      <c r="A942" s="2">
        <v>42423</v>
      </c>
      <c r="B942" s="3">
        <v>2.28</v>
      </c>
      <c r="C942" s="3">
        <v>2.5738</v>
      </c>
      <c r="D942" s="3">
        <v>2.33</v>
      </c>
      <c r="E942" s="3">
        <v>2.6288</v>
      </c>
      <c r="F942" s="3">
        <v>2.305</v>
      </c>
      <c r="G942" s="3">
        <v>2.6013</v>
      </c>
    </row>
    <row r="943" spans="1:7">
      <c r="A943" s="2">
        <v>42424</v>
      </c>
      <c r="B943" s="3">
        <v>2.295</v>
      </c>
      <c r="C943" s="3">
        <v>2.5875</v>
      </c>
      <c r="D943" s="3">
        <v>2.3413</v>
      </c>
      <c r="E943" s="3">
        <v>2.6388</v>
      </c>
      <c r="F943" s="3">
        <v>2.3181</v>
      </c>
      <c r="G943" s="3">
        <v>2.6131</v>
      </c>
    </row>
    <row r="944" spans="1:7">
      <c r="A944" s="2">
        <v>42425</v>
      </c>
      <c r="B944" s="3">
        <v>2.2948</v>
      </c>
      <c r="C944" s="3">
        <v>2.59</v>
      </c>
      <c r="D944" s="3">
        <v>2.3467</v>
      </c>
      <c r="E944" s="3">
        <v>2.6456</v>
      </c>
      <c r="F944" s="3">
        <v>2.3207</v>
      </c>
      <c r="G944" s="3">
        <v>2.6178</v>
      </c>
    </row>
    <row r="945" spans="1:7">
      <c r="A945" s="2">
        <v>42426</v>
      </c>
      <c r="B945" s="3">
        <v>2.2875</v>
      </c>
      <c r="C945" s="3">
        <v>2.5831</v>
      </c>
      <c r="D945" s="3">
        <v>2.3388</v>
      </c>
      <c r="E945" s="3">
        <v>2.6413</v>
      </c>
      <c r="F945" s="3">
        <v>2.3131</v>
      </c>
      <c r="G945" s="3">
        <v>2.6122</v>
      </c>
    </row>
    <row r="946" spans="1:7">
      <c r="A946" s="2">
        <v>42429</v>
      </c>
      <c r="B946" s="3">
        <v>2.2925</v>
      </c>
      <c r="C946" s="3">
        <v>2.5844</v>
      </c>
      <c r="D946" s="3">
        <v>2.3375</v>
      </c>
      <c r="E946" s="3">
        <v>2.6375</v>
      </c>
      <c r="F946" s="3">
        <v>2.315</v>
      </c>
      <c r="G946" s="3">
        <v>2.6109</v>
      </c>
    </row>
    <row r="947" spans="1:7">
      <c r="A947" s="2">
        <v>42430</v>
      </c>
      <c r="B947" s="3">
        <v>2.2663</v>
      </c>
      <c r="C947" s="3">
        <v>2.5625</v>
      </c>
      <c r="D947" s="3">
        <v>2.3163</v>
      </c>
      <c r="E947" s="3">
        <v>2.6188</v>
      </c>
      <c r="F947" s="3">
        <v>2.2913</v>
      </c>
      <c r="G947" s="3">
        <v>2.5906</v>
      </c>
    </row>
    <row r="948" spans="1:7">
      <c r="A948" s="2">
        <v>42431</v>
      </c>
      <c r="B948" s="3">
        <v>2.2788</v>
      </c>
      <c r="C948" s="3">
        <v>2.58</v>
      </c>
      <c r="D948" s="3">
        <v>2.3291</v>
      </c>
      <c r="E948" s="3">
        <v>2.6375</v>
      </c>
      <c r="F948" s="3">
        <v>2.3039</v>
      </c>
      <c r="G948" s="3">
        <v>2.6088</v>
      </c>
    </row>
    <row r="949" spans="1:7">
      <c r="A949" s="2">
        <v>42432</v>
      </c>
      <c r="B949" s="3">
        <v>2.2791</v>
      </c>
      <c r="C949" s="3">
        <v>2.5838</v>
      </c>
      <c r="D949" s="3">
        <v>2.3316</v>
      </c>
      <c r="E949" s="3">
        <v>2.6438</v>
      </c>
      <c r="F949" s="3">
        <v>2.3054</v>
      </c>
      <c r="G949" s="3">
        <v>2.6138</v>
      </c>
    </row>
    <row r="950" spans="1:7">
      <c r="A950" s="2">
        <v>42433</v>
      </c>
      <c r="B950" s="3">
        <v>2.2794</v>
      </c>
      <c r="C950" s="3">
        <v>2.5828</v>
      </c>
      <c r="D950" s="3">
        <v>2.3303</v>
      </c>
      <c r="E950" s="3">
        <v>2.6433</v>
      </c>
      <c r="F950" s="3">
        <v>2.3049</v>
      </c>
      <c r="G950" s="3">
        <v>2.6131</v>
      </c>
    </row>
    <row r="951" spans="1:7">
      <c r="A951" s="2">
        <v>42436</v>
      </c>
      <c r="B951" s="3">
        <v>2.2813</v>
      </c>
      <c r="C951" s="3">
        <v>2.5988</v>
      </c>
      <c r="D951" s="3">
        <v>2.33</v>
      </c>
      <c r="E951" s="3">
        <v>2.655</v>
      </c>
      <c r="F951" s="3">
        <v>2.3056</v>
      </c>
      <c r="G951" s="3">
        <v>2.6269</v>
      </c>
    </row>
    <row r="952" spans="1:7">
      <c r="A952" s="2">
        <v>42437</v>
      </c>
      <c r="B952" s="3">
        <v>2.284</v>
      </c>
      <c r="C952" s="3">
        <v>2.6</v>
      </c>
      <c r="D952" s="3">
        <v>2.3363</v>
      </c>
      <c r="E952" s="3">
        <v>2.66</v>
      </c>
      <c r="F952" s="3">
        <v>2.3101</v>
      </c>
      <c r="G952" s="3">
        <v>2.63</v>
      </c>
    </row>
    <row r="953" spans="1:7">
      <c r="A953" s="2">
        <v>42438</v>
      </c>
      <c r="B953" s="3">
        <v>2.2713</v>
      </c>
      <c r="C953" s="3">
        <v>2.5825</v>
      </c>
      <c r="D953" s="3">
        <v>2.3275</v>
      </c>
      <c r="E953" s="3">
        <v>2.64</v>
      </c>
      <c r="F953" s="3">
        <v>2.2994</v>
      </c>
      <c r="G953" s="3">
        <v>2.6113</v>
      </c>
    </row>
    <row r="954" spans="1:7">
      <c r="A954" s="2">
        <v>42439</v>
      </c>
      <c r="B954" s="3">
        <v>2.2688</v>
      </c>
      <c r="C954" s="3">
        <v>2.5738</v>
      </c>
      <c r="D954" s="3">
        <v>2.3213</v>
      </c>
      <c r="E954" s="3">
        <v>2.6263</v>
      </c>
      <c r="F954" s="3">
        <v>2.295</v>
      </c>
      <c r="G954" s="3">
        <v>2.6</v>
      </c>
    </row>
    <row r="955" spans="1:7">
      <c r="A955" s="2">
        <v>42440</v>
      </c>
      <c r="B955" s="3">
        <v>2.2589</v>
      </c>
      <c r="C955" s="3">
        <v>2.5589</v>
      </c>
      <c r="D955" s="3">
        <v>2.3119</v>
      </c>
      <c r="E955" s="3">
        <v>2.6156</v>
      </c>
      <c r="F955" s="3">
        <v>2.2854</v>
      </c>
      <c r="G955" s="3">
        <v>2.5872</v>
      </c>
    </row>
    <row r="956" spans="1:7">
      <c r="A956" s="2">
        <v>42443</v>
      </c>
      <c r="B956" s="3">
        <v>2.26</v>
      </c>
      <c r="C956" s="3">
        <v>2.5575</v>
      </c>
      <c r="D956" s="3">
        <v>2.31</v>
      </c>
      <c r="E956" s="3">
        <v>2.6138</v>
      </c>
      <c r="F956" s="3">
        <v>2.285</v>
      </c>
      <c r="G956" s="3">
        <v>2.5856</v>
      </c>
    </row>
    <row r="957" spans="1:7">
      <c r="A957" s="2">
        <v>42444</v>
      </c>
      <c r="B957" s="3">
        <v>2.2625</v>
      </c>
      <c r="C957" s="3">
        <v>2.5613</v>
      </c>
      <c r="D957" s="3">
        <v>2.31</v>
      </c>
      <c r="E957" s="3">
        <v>2.615</v>
      </c>
      <c r="F957" s="3">
        <v>2.2863</v>
      </c>
      <c r="G957" s="3">
        <v>2.5881</v>
      </c>
    </row>
    <row r="958" spans="1:7">
      <c r="A958" s="2">
        <v>42445</v>
      </c>
      <c r="B958" s="3">
        <v>2.25</v>
      </c>
      <c r="C958" s="3">
        <v>2.5388</v>
      </c>
      <c r="D958" s="3">
        <v>2.3004</v>
      </c>
      <c r="E958" s="3">
        <v>2.5963</v>
      </c>
      <c r="F958" s="3">
        <v>2.2752</v>
      </c>
      <c r="G958" s="3">
        <v>2.5675</v>
      </c>
    </row>
    <row r="959" spans="1:7">
      <c r="A959" s="2">
        <v>42446</v>
      </c>
      <c r="B959" s="3">
        <v>2.2489</v>
      </c>
      <c r="C959" s="3">
        <v>2.5356</v>
      </c>
      <c r="D959" s="3">
        <v>2.3033</v>
      </c>
      <c r="E959" s="3">
        <v>2.6</v>
      </c>
      <c r="F959" s="3">
        <v>2.2761</v>
      </c>
      <c r="G959" s="3">
        <v>2.5678</v>
      </c>
    </row>
    <row r="960" spans="1:7">
      <c r="A960" s="2">
        <v>42447</v>
      </c>
      <c r="B960" s="3">
        <v>2.25</v>
      </c>
      <c r="C960" s="3">
        <v>2.5338</v>
      </c>
      <c r="D960" s="3">
        <v>2.3</v>
      </c>
      <c r="E960" s="3">
        <v>2.5963</v>
      </c>
      <c r="F960" s="3">
        <v>2.275</v>
      </c>
      <c r="G960" s="3">
        <v>2.565</v>
      </c>
    </row>
    <row r="961" spans="1:7">
      <c r="A961" s="2">
        <v>42450</v>
      </c>
      <c r="B961" s="3">
        <v>2.2588</v>
      </c>
      <c r="C961" s="3">
        <v>2.5525</v>
      </c>
      <c r="D961" s="3">
        <v>2.3063</v>
      </c>
      <c r="E961" s="3">
        <v>2.6038</v>
      </c>
      <c r="F961" s="3">
        <v>2.2825</v>
      </c>
      <c r="G961" s="3">
        <v>2.5781</v>
      </c>
    </row>
    <row r="962" spans="1:7">
      <c r="A962" s="2">
        <v>42451</v>
      </c>
      <c r="B962" s="3">
        <v>2.2625</v>
      </c>
      <c r="C962" s="3">
        <v>2.5638</v>
      </c>
      <c r="D962" s="3">
        <v>2.3075</v>
      </c>
      <c r="E962" s="3">
        <v>2.6113</v>
      </c>
      <c r="F962" s="3">
        <v>2.285</v>
      </c>
      <c r="G962" s="3">
        <v>2.5875</v>
      </c>
    </row>
    <row r="963" spans="1:7">
      <c r="A963" s="2">
        <v>42452</v>
      </c>
      <c r="B963" s="3">
        <v>2.2613</v>
      </c>
      <c r="C963" s="3">
        <v>2.5538</v>
      </c>
      <c r="D963" s="3">
        <v>2.3116</v>
      </c>
      <c r="E963" s="3">
        <v>2.6125</v>
      </c>
      <c r="F963" s="3">
        <v>2.2864</v>
      </c>
      <c r="G963" s="3">
        <v>2.5831</v>
      </c>
    </row>
    <row r="964" spans="1:7">
      <c r="A964" s="2">
        <v>42453</v>
      </c>
      <c r="B964" s="3">
        <v>2.261</v>
      </c>
      <c r="C964" s="3">
        <v>2.557</v>
      </c>
      <c r="D964" s="3">
        <v>2.312</v>
      </c>
      <c r="E964" s="3">
        <v>2.612</v>
      </c>
      <c r="F964" s="3">
        <v>2.2865</v>
      </c>
      <c r="G964" s="3">
        <v>2.5845</v>
      </c>
    </row>
    <row r="965" spans="1:7">
      <c r="A965" s="2">
        <v>42454</v>
      </c>
      <c r="B965" s="3">
        <v>2.2619</v>
      </c>
      <c r="C965" s="3">
        <v>2.5586</v>
      </c>
      <c r="D965" s="3">
        <v>2.3222</v>
      </c>
      <c r="E965" s="3">
        <v>2.6189</v>
      </c>
      <c r="F965" s="3">
        <v>2.2921</v>
      </c>
      <c r="G965" s="3">
        <v>2.5887</v>
      </c>
    </row>
    <row r="966" spans="1:7">
      <c r="A966" s="2">
        <v>42457</v>
      </c>
      <c r="B966" s="3">
        <v>2.2829</v>
      </c>
      <c r="C966" s="3">
        <v>2.58</v>
      </c>
      <c r="D966" s="3">
        <v>2.3363</v>
      </c>
      <c r="E966" s="3">
        <v>2.6388</v>
      </c>
      <c r="F966" s="3">
        <v>2.3096</v>
      </c>
      <c r="G966" s="3">
        <v>2.6094</v>
      </c>
    </row>
    <row r="967" spans="1:7">
      <c r="A967" s="2">
        <v>42458</v>
      </c>
      <c r="B967" s="3">
        <v>2.283</v>
      </c>
      <c r="C967" s="3">
        <v>2.581</v>
      </c>
      <c r="D967" s="3">
        <v>2.334</v>
      </c>
      <c r="E967" s="3">
        <v>2.636</v>
      </c>
      <c r="F967" s="3">
        <v>2.3085</v>
      </c>
      <c r="G967" s="3">
        <v>2.6085</v>
      </c>
    </row>
    <row r="968" spans="1:7">
      <c r="A968" s="2">
        <v>42459</v>
      </c>
      <c r="B968" s="3">
        <v>2.2834</v>
      </c>
      <c r="C968" s="3">
        <v>2.5788</v>
      </c>
      <c r="D968" s="3">
        <v>2.3338</v>
      </c>
      <c r="E968" s="3">
        <v>2.6375</v>
      </c>
      <c r="F968" s="3">
        <v>2.3086</v>
      </c>
      <c r="G968" s="3">
        <v>2.6081</v>
      </c>
    </row>
    <row r="969" spans="1:7">
      <c r="A969" s="2">
        <v>42460</v>
      </c>
      <c r="B969" s="3">
        <v>2.2888</v>
      </c>
      <c r="C969" s="3">
        <v>2.5825</v>
      </c>
      <c r="D969" s="3">
        <v>2.3325</v>
      </c>
      <c r="E969" s="3">
        <v>2.6288</v>
      </c>
      <c r="F969" s="3">
        <v>2.3106</v>
      </c>
      <c r="G969" s="3">
        <v>2.6056</v>
      </c>
    </row>
    <row r="970" spans="1:7">
      <c r="A970" s="2">
        <v>42461</v>
      </c>
      <c r="B970" s="3">
        <v>2.2859</v>
      </c>
      <c r="C970" s="3">
        <v>2.5813</v>
      </c>
      <c r="D970" s="3">
        <v>2.3366</v>
      </c>
      <c r="E970" s="3">
        <v>2.6375</v>
      </c>
      <c r="F970" s="3">
        <v>2.3113</v>
      </c>
      <c r="G970" s="3">
        <v>2.6094</v>
      </c>
    </row>
    <row r="971" spans="1:7">
      <c r="A971" s="2">
        <v>42465</v>
      </c>
      <c r="B971" s="3">
        <v>2.2888</v>
      </c>
      <c r="C971" s="3">
        <v>2.5988</v>
      </c>
      <c r="D971" s="3">
        <v>2.3413</v>
      </c>
      <c r="E971" s="3">
        <v>2.6613</v>
      </c>
      <c r="F971" s="3">
        <v>2.315</v>
      </c>
      <c r="G971" s="3">
        <v>2.63</v>
      </c>
    </row>
    <row r="972" spans="1:7">
      <c r="A972" s="2">
        <v>42466</v>
      </c>
      <c r="B972" s="3">
        <v>2.2971</v>
      </c>
      <c r="C972" s="3">
        <v>2.61</v>
      </c>
      <c r="D972" s="3">
        <v>2.3446</v>
      </c>
      <c r="E972" s="3">
        <v>2.6613</v>
      </c>
      <c r="F972" s="3">
        <v>2.3209</v>
      </c>
      <c r="G972" s="3">
        <v>2.6356</v>
      </c>
    </row>
    <row r="973" spans="1:7">
      <c r="A973" s="2">
        <v>42467</v>
      </c>
      <c r="B973" s="3">
        <v>2.3159</v>
      </c>
      <c r="C973" s="3">
        <v>2.63</v>
      </c>
      <c r="D973" s="3">
        <v>2.3663</v>
      </c>
      <c r="E973" s="3">
        <v>2.6875</v>
      </c>
      <c r="F973" s="3">
        <v>2.3411</v>
      </c>
      <c r="G973" s="3">
        <v>2.6588</v>
      </c>
    </row>
    <row r="974" spans="1:7">
      <c r="A974" s="2">
        <v>42468</v>
      </c>
      <c r="B974" s="3">
        <v>2.315</v>
      </c>
      <c r="C974" s="3">
        <v>2.6275</v>
      </c>
      <c r="D974" s="3">
        <v>2.3638</v>
      </c>
      <c r="E974" s="3">
        <v>2.6838</v>
      </c>
      <c r="F974" s="3">
        <v>2.3394</v>
      </c>
      <c r="G974" s="3">
        <v>2.6556</v>
      </c>
    </row>
    <row r="975" spans="1:7">
      <c r="A975" s="2">
        <v>42471</v>
      </c>
      <c r="B975" s="3">
        <v>2.3163</v>
      </c>
      <c r="C975" s="3">
        <v>2.6275</v>
      </c>
      <c r="D975" s="3">
        <v>2.3633</v>
      </c>
      <c r="E975" s="3">
        <v>2.6888</v>
      </c>
      <c r="F975" s="3">
        <v>2.3398</v>
      </c>
      <c r="G975" s="3">
        <v>2.6581</v>
      </c>
    </row>
    <row r="976" spans="1:7">
      <c r="A976" s="2">
        <v>42472</v>
      </c>
      <c r="B976" s="3">
        <v>2.3266</v>
      </c>
      <c r="C976" s="3">
        <v>2.6338</v>
      </c>
      <c r="D976" s="3">
        <v>2.3775</v>
      </c>
      <c r="E976" s="3">
        <v>2.6963</v>
      </c>
      <c r="F976" s="3">
        <v>2.3521</v>
      </c>
      <c r="G976" s="3">
        <v>2.665</v>
      </c>
    </row>
    <row r="977" spans="1:7">
      <c r="A977" s="2">
        <v>42473</v>
      </c>
      <c r="B977" s="3">
        <v>2.3766</v>
      </c>
      <c r="C977" s="3">
        <v>2.715</v>
      </c>
      <c r="D977" s="3">
        <v>2.4238</v>
      </c>
      <c r="E977" s="3">
        <v>2.7725</v>
      </c>
      <c r="F977" s="3">
        <v>2.4002</v>
      </c>
      <c r="G977" s="3">
        <v>2.7438</v>
      </c>
    </row>
    <row r="978" spans="1:7">
      <c r="A978" s="2">
        <v>42474</v>
      </c>
      <c r="B978" s="3">
        <v>2.3996</v>
      </c>
      <c r="C978" s="3">
        <v>2.7463</v>
      </c>
      <c r="D978" s="3">
        <v>2.4513</v>
      </c>
      <c r="E978" s="3">
        <v>2.8088</v>
      </c>
      <c r="F978" s="3">
        <v>2.4254</v>
      </c>
      <c r="G978" s="3">
        <v>2.7775</v>
      </c>
    </row>
    <row r="979" spans="1:7">
      <c r="A979" s="2">
        <v>42475</v>
      </c>
      <c r="B979" s="3">
        <v>2.3775</v>
      </c>
      <c r="C979" s="3">
        <v>2.7213</v>
      </c>
      <c r="D979" s="3">
        <v>2.4238</v>
      </c>
      <c r="E979" s="3">
        <v>2.7713</v>
      </c>
      <c r="F979" s="3">
        <v>2.4006</v>
      </c>
      <c r="G979" s="3">
        <v>2.7463</v>
      </c>
    </row>
    <row r="980" spans="1:7">
      <c r="A980" s="2">
        <v>42478</v>
      </c>
      <c r="B980" s="3">
        <v>2.3746</v>
      </c>
      <c r="C980" s="3">
        <v>2.7269</v>
      </c>
      <c r="D980" s="3">
        <v>2.435</v>
      </c>
      <c r="E980" s="3">
        <v>2.7925</v>
      </c>
      <c r="F980" s="3">
        <v>2.4048</v>
      </c>
      <c r="G980" s="3">
        <v>2.7597</v>
      </c>
    </row>
    <row r="981" spans="1:7">
      <c r="A981" s="2">
        <v>42479</v>
      </c>
      <c r="B981" s="3">
        <v>2.3913</v>
      </c>
      <c r="C981" s="3">
        <v>2.7484</v>
      </c>
      <c r="D981" s="3">
        <v>2.4475</v>
      </c>
      <c r="E981" s="3">
        <v>2.8138</v>
      </c>
      <c r="F981" s="3">
        <v>2.4194</v>
      </c>
      <c r="G981" s="3">
        <v>2.7811</v>
      </c>
    </row>
    <row r="982" spans="1:7">
      <c r="A982" s="2">
        <v>42480</v>
      </c>
      <c r="B982" s="3">
        <v>2.4479</v>
      </c>
      <c r="C982" s="3">
        <v>2.8129</v>
      </c>
      <c r="D982" s="3">
        <v>2.5075</v>
      </c>
      <c r="E982" s="3">
        <v>2.9075</v>
      </c>
      <c r="F982" s="3">
        <v>2.4777</v>
      </c>
      <c r="G982" s="3">
        <v>2.8602</v>
      </c>
    </row>
    <row r="983" spans="1:7">
      <c r="A983" s="2">
        <v>42481</v>
      </c>
      <c r="B983" s="3">
        <v>2.4688</v>
      </c>
      <c r="C983" s="3">
        <v>2.835</v>
      </c>
      <c r="D983" s="3">
        <v>2.5213</v>
      </c>
      <c r="E983" s="3">
        <v>2.9138</v>
      </c>
      <c r="F983" s="3">
        <v>2.495</v>
      </c>
      <c r="G983" s="3">
        <v>2.8744</v>
      </c>
    </row>
    <row r="984" spans="1:7">
      <c r="A984" s="2">
        <v>42482</v>
      </c>
      <c r="B984" s="3">
        <v>2.4913</v>
      </c>
      <c r="C984" s="3">
        <v>2.855</v>
      </c>
      <c r="D984" s="3">
        <v>2.5463</v>
      </c>
      <c r="E984" s="3">
        <v>2.9363</v>
      </c>
      <c r="F984" s="3">
        <v>2.5188</v>
      </c>
      <c r="G984" s="3">
        <v>2.8956</v>
      </c>
    </row>
    <row r="985" spans="1:7">
      <c r="A985" s="2">
        <v>42485</v>
      </c>
      <c r="B985" s="3">
        <v>2.5979</v>
      </c>
      <c r="C985" s="3">
        <v>2.9629</v>
      </c>
      <c r="D985" s="3">
        <v>2.65</v>
      </c>
      <c r="E985" s="3">
        <v>3.0288</v>
      </c>
      <c r="F985" s="3">
        <v>2.6239</v>
      </c>
      <c r="G985" s="3">
        <v>2.9958</v>
      </c>
    </row>
    <row r="986" spans="1:7">
      <c r="A986" s="2">
        <v>42486</v>
      </c>
      <c r="B986" s="3">
        <v>2.5775</v>
      </c>
      <c r="C986" s="3">
        <v>2.9291</v>
      </c>
      <c r="D986" s="3">
        <v>2.6341</v>
      </c>
      <c r="E986" s="3">
        <v>3.0021</v>
      </c>
      <c r="F986" s="3">
        <v>2.6058</v>
      </c>
      <c r="G986" s="3">
        <v>2.9656</v>
      </c>
    </row>
    <row r="987" spans="1:7">
      <c r="A987" s="2">
        <v>42487</v>
      </c>
      <c r="B987" s="3">
        <v>2.5884</v>
      </c>
      <c r="C987" s="3">
        <v>2.9113</v>
      </c>
      <c r="D987" s="3">
        <v>2.6425</v>
      </c>
      <c r="E987" s="3">
        <v>2.9759</v>
      </c>
      <c r="F987" s="3">
        <v>2.6154</v>
      </c>
      <c r="G987" s="3">
        <v>2.9436</v>
      </c>
    </row>
    <row r="988" spans="1:7">
      <c r="A988" s="2">
        <v>42488</v>
      </c>
      <c r="B988" s="3">
        <v>2.6196</v>
      </c>
      <c r="C988" s="3">
        <v>2.9175</v>
      </c>
      <c r="D988" s="3">
        <v>2.6575</v>
      </c>
      <c r="E988" s="3">
        <v>2.9763</v>
      </c>
      <c r="F988" s="3">
        <v>2.6386</v>
      </c>
      <c r="G988" s="3">
        <v>2.9469</v>
      </c>
    </row>
    <row r="989" spans="1:7">
      <c r="A989" s="2">
        <v>42489</v>
      </c>
      <c r="B989" s="3">
        <v>2.6425</v>
      </c>
      <c r="C989" s="3">
        <v>2.955</v>
      </c>
      <c r="D989" s="3">
        <v>2.6913</v>
      </c>
      <c r="E989" s="3">
        <v>3.0213</v>
      </c>
      <c r="F989" s="3">
        <v>2.6669</v>
      </c>
      <c r="G989" s="3">
        <v>2.9881</v>
      </c>
    </row>
    <row r="990" spans="1:7">
      <c r="A990" s="2">
        <v>42493</v>
      </c>
      <c r="B990" s="3">
        <v>2.5088</v>
      </c>
      <c r="C990" s="3">
        <v>2.8441</v>
      </c>
      <c r="D990" s="3">
        <v>2.5616</v>
      </c>
      <c r="E990" s="3">
        <v>2.9113</v>
      </c>
      <c r="F990" s="3">
        <v>2.5352</v>
      </c>
      <c r="G990" s="3">
        <v>2.8777</v>
      </c>
    </row>
    <row r="991" spans="1:7">
      <c r="A991" s="2">
        <v>42494</v>
      </c>
      <c r="B991" s="3">
        <v>2.4925</v>
      </c>
      <c r="C991" s="3">
        <v>2.8313</v>
      </c>
      <c r="D991" s="3">
        <v>2.5404</v>
      </c>
      <c r="E991" s="3">
        <v>2.895</v>
      </c>
      <c r="F991" s="3">
        <v>2.5164</v>
      </c>
      <c r="G991" s="3">
        <v>2.8631</v>
      </c>
    </row>
    <row r="992" spans="1:7">
      <c r="A992" s="2">
        <v>42495</v>
      </c>
      <c r="B992" s="3">
        <v>2.4963</v>
      </c>
      <c r="C992" s="3">
        <v>2.835</v>
      </c>
      <c r="D992" s="3">
        <v>2.5421</v>
      </c>
      <c r="E992" s="3">
        <v>2.8966</v>
      </c>
      <c r="F992" s="3">
        <v>2.5192</v>
      </c>
      <c r="G992" s="3">
        <v>2.8658</v>
      </c>
    </row>
    <row r="993" spans="1:7">
      <c r="A993" s="2">
        <v>42496</v>
      </c>
      <c r="B993" s="3">
        <v>2.4884</v>
      </c>
      <c r="C993" s="3">
        <v>2.8279</v>
      </c>
      <c r="D993" s="3">
        <v>2.5459</v>
      </c>
      <c r="E993" s="3">
        <v>2.8991</v>
      </c>
      <c r="F993" s="3">
        <v>2.5171</v>
      </c>
      <c r="G993" s="3">
        <v>2.8635</v>
      </c>
    </row>
    <row r="994" spans="1:7">
      <c r="A994" s="2">
        <v>42499</v>
      </c>
      <c r="B994" s="3">
        <v>2.4638</v>
      </c>
      <c r="C994" s="3">
        <v>2.7663</v>
      </c>
      <c r="D994" s="3">
        <v>2.5206</v>
      </c>
      <c r="E994" s="3">
        <v>2.8416</v>
      </c>
      <c r="F994" s="3">
        <v>2.4922</v>
      </c>
      <c r="G994" s="3">
        <v>2.8039</v>
      </c>
    </row>
    <row r="995" spans="1:7">
      <c r="A995" s="2">
        <v>42500</v>
      </c>
      <c r="B995" s="3">
        <v>2.4734</v>
      </c>
      <c r="C995" s="3">
        <v>2.7679</v>
      </c>
      <c r="D995" s="3">
        <v>2.5231</v>
      </c>
      <c r="E995" s="3">
        <v>2.8363</v>
      </c>
      <c r="F995" s="3">
        <v>2.4983</v>
      </c>
      <c r="G995" s="3">
        <v>2.8021</v>
      </c>
    </row>
    <row r="996" spans="1:7">
      <c r="A996" s="2">
        <v>42501</v>
      </c>
      <c r="B996" s="3">
        <v>2.4933</v>
      </c>
      <c r="C996" s="3">
        <v>2.7956</v>
      </c>
      <c r="D996" s="3">
        <v>2.5461</v>
      </c>
      <c r="E996" s="3">
        <v>2.8511</v>
      </c>
      <c r="F996" s="3">
        <v>2.5197</v>
      </c>
      <c r="G996" s="3">
        <v>2.8233</v>
      </c>
    </row>
    <row r="997" spans="1:7">
      <c r="A997" s="2">
        <v>42502</v>
      </c>
      <c r="B997" s="3">
        <v>2.495</v>
      </c>
      <c r="C997" s="3">
        <v>2.7938</v>
      </c>
      <c r="D997" s="3">
        <v>2.5369</v>
      </c>
      <c r="E997" s="3">
        <v>2.84</v>
      </c>
      <c r="F997" s="3">
        <v>2.5159</v>
      </c>
      <c r="G997" s="3">
        <v>2.8169</v>
      </c>
    </row>
    <row r="998" spans="1:7">
      <c r="A998" s="2">
        <v>42503</v>
      </c>
      <c r="B998" s="3">
        <v>2.5063</v>
      </c>
      <c r="C998" s="3">
        <v>2.7979</v>
      </c>
      <c r="D998" s="3">
        <v>2.56</v>
      </c>
      <c r="E998" s="3">
        <v>2.8588</v>
      </c>
      <c r="F998" s="3">
        <v>2.5331</v>
      </c>
      <c r="G998" s="3">
        <v>2.8283</v>
      </c>
    </row>
    <row r="999" spans="1:7">
      <c r="A999" s="2">
        <v>42506</v>
      </c>
      <c r="B999" s="3">
        <v>2.5438</v>
      </c>
      <c r="C999" s="3">
        <v>2.8538</v>
      </c>
      <c r="D999" s="3">
        <v>2.5938</v>
      </c>
      <c r="E999" s="3">
        <v>2.9013</v>
      </c>
      <c r="F999" s="3">
        <v>2.5688</v>
      </c>
      <c r="G999" s="3">
        <v>2.8775</v>
      </c>
    </row>
    <row r="1000" spans="1:7">
      <c r="A1000" s="2">
        <v>42507</v>
      </c>
      <c r="B1000" s="3">
        <v>2.5371</v>
      </c>
      <c r="C1000" s="3">
        <v>2.8454</v>
      </c>
      <c r="D1000" s="3">
        <v>2.59</v>
      </c>
      <c r="E1000" s="3">
        <v>2.905</v>
      </c>
      <c r="F1000" s="3">
        <v>2.5636</v>
      </c>
      <c r="G1000" s="3">
        <v>2.8752</v>
      </c>
    </row>
    <row r="1001" spans="1:7">
      <c r="A1001" s="2">
        <v>42508</v>
      </c>
      <c r="B1001" s="3">
        <v>2.5646</v>
      </c>
      <c r="C1001" s="3">
        <v>2.9038</v>
      </c>
      <c r="D1001" s="3">
        <v>2.6175</v>
      </c>
      <c r="E1001" s="3">
        <v>2.9575</v>
      </c>
      <c r="F1001" s="3">
        <v>2.5911</v>
      </c>
      <c r="G1001" s="3">
        <v>2.9306</v>
      </c>
    </row>
    <row r="1002" spans="1:7">
      <c r="A1002" s="2">
        <v>42509</v>
      </c>
      <c r="B1002" s="3">
        <v>2.5725</v>
      </c>
      <c r="C1002" s="3">
        <v>2.9213</v>
      </c>
      <c r="D1002" s="3">
        <v>2.6225</v>
      </c>
      <c r="E1002" s="3">
        <v>2.9788</v>
      </c>
      <c r="F1002" s="3">
        <v>2.5975</v>
      </c>
      <c r="G1002" s="3">
        <v>2.95</v>
      </c>
    </row>
    <row r="1003" spans="1:7">
      <c r="A1003" s="2">
        <v>42510</v>
      </c>
      <c r="B1003" s="3">
        <v>2.5525</v>
      </c>
      <c r="C1003" s="3">
        <v>2.8963</v>
      </c>
      <c r="D1003" s="3">
        <v>2.6038</v>
      </c>
      <c r="E1003" s="3">
        <v>2.9563</v>
      </c>
      <c r="F1003" s="3">
        <v>2.5781</v>
      </c>
      <c r="G1003" s="3">
        <v>2.9263</v>
      </c>
    </row>
    <row r="1004" spans="1:7">
      <c r="A1004" s="2">
        <v>42513</v>
      </c>
      <c r="B1004" s="3">
        <v>2.5526</v>
      </c>
      <c r="C1004" s="3">
        <v>2.8981</v>
      </c>
      <c r="D1004" s="3">
        <v>2.6033</v>
      </c>
      <c r="E1004" s="3">
        <v>2.9589</v>
      </c>
      <c r="F1004" s="3">
        <v>2.5779</v>
      </c>
      <c r="G1004" s="3">
        <v>2.9285</v>
      </c>
    </row>
    <row r="1005" spans="1:7">
      <c r="A1005" s="2">
        <v>42514</v>
      </c>
      <c r="B1005" s="3">
        <v>2.5488</v>
      </c>
      <c r="C1005" s="3">
        <v>2.88</v>
      </c>
      <c r="D1005" s="3">
        <v>2.5988</v>
      </c>
      <c r="E1005" s="3">
        <v>2.9375</v>
      </c>
      <c r="F1005" s="3">
        <v>2.5738</v>
      </c>
      <c r="G1005" s="3">
        <v>2.9088</v>
      </c>
    </row>
    <row r="1006" spans="1:7">
      <c r="A1006" s="2">
        <v>42515</v>
      </c>
      <c r="B1006" s="3">
        <v>2.5434</v>
      </c>
      <c r="C1006" s="3">
        <v>2.8645</v>
      </c>
      <c r="D1006" s="3">
        <v>2.5945</v>
      </c>
      <c r="E1006" s="3">
        <v>2.9185</v>
      </c>
      <c r="F1006" s="3">
        <v>2.569</v>
      </c>
      <c r="G1006" s="3">
        <v>2.8915</v>
      </c>
    </row>
    <row r="1007" spans="1:7">
      <c r="A1007" s="2">
        <v>42516</v>
      </c>
      <c r="B1007" s="3">
        <v>2.5625</v>
      </c>
      <c r="C1007" s="3">
        <v>2.8875</v>
      </c>
      <c r="D1007" s="3">
        <v>2.6088</v>
      </c>
      <c r="E1007" s="3">
        <v>2.9375</v>
      </c>
      <c r="F1007" s="3">
        <v>2.5856</v>
      </c>
      <c r="G1007" s="3">
        <v>2.9125</v>
      </c>
    </row>
    <row r="1008" spans="1:7">
      <c r="A1008" s="2">
        <v>42517</v>
      </c>
      <c r="B1008" s="3">
        <v>2.5613</v>
      </c>
      <c r="C1008" s="3">
        <v>2.885</v>
      </c>
      <c r="D1008" s="3">
        <v>2.6088</v>
      </c>
      <c r="E1008" s="3">
        <v>2.9388</v>
      </c>
      <c r="F1008" s="3">
        <v>2.585</v>
      </c>
      <c r="G1008" s="3">
        <v>2.9119</v>
      </c>
    </row>
    <row r="1009" spans="1:7">
      <c r="A1009" s="2">
        <v>42520</v>
      </c>
      <c r="B1009" s="3">
        <v>2.5734</v>
      </c>
      <c r="C1009" s="3">
        <v>2.9</v>
      </c>
      <c r="D1009" s="3">
        <v>2.6188</v>
      </c>
      <c r="E1009" s="3">
        <v>2.9538</v>
      </c>
      <c r="F1009" s="3">
        <v>2.5961</v>
      </c>
      <c r="G1009" s="3">
        <v>2.9269</v>
      </c>
    </row>
    <row r="1010" spans="1:7">
      <c r="A1010" s="2">
        <v>42521</v>
      </c>
      <c r="B1010" s="3">
        <v>2.5675</v>
      </c>
      <c r="C1010" s="3">
        <v>2.905</v>
      </c>
      <c r="D1010" s="3">
        <v>2.6163</v>
      </c>
      <c r="E1010" s="3">
        <v>2.9563</v>
      </c>
      <c r="F1010" s="3">
        <v>2.5919</v>
      </c>
      <c r="G1010" s="3">
        <v>2.9306</v>
      </c>
    </row>
    <row r="1011" spans="1:7">
      <c r="A1011" s="2">
        <v>42522</v>
      </c>
      <c r="B1011" s="3">
        <v>2.5659</v>
      </c>
      <c r="C1011" s="3">
        <v>2.9038</v>
      </c>
      <c r="D1011" s="3">
        <v>2.6225</v>
      </c>
      <c r="E1011" s="3">
        <v>2.9663</v>
      </c>
      <c r="F1011" s="3">
        <v>2.5942</v>
      </c>
      <c r="G1011" s="3">
        <v>2.935</v>
      </c>
    </row>
    <row r="1012" spans="1:7">
      <c r="A1012" s="2">
        <v>42523</v>
      </c>
      <c r="B1012" s="3">
        <v>2.5674</v>
      </c>
      <c r="C1012" s="3">
        <v>2.9105</v>
      </c>
      <c r="D1012" s="3">
        <v>2.6234</v>
      </c>
      <c r="E1012" s="3">
        <v>2.9675</v>
      </c>
      <c r="F1012" s="3">
        <v>2.5954</v>
      </c>
      <c r="G1012" s="3">
        <v>2.939</v>
      </c>
    </row>
    <row r="1013" spans="1:7">
      <c r="A1013" s="2">
        <v>42524</v>
      </c>
      <c r="B1013" s="3">
        <v>2.5643</v>
      </c>
      <c r="C1013" s="3">
        <v>2.9069</v>
      </c>
      <c r="D1013" s="3">
        <v>2.6259</v>
      </c>
      <c r="E1013" s="3">
        <v>2.9756</v>
      </c>
      <c r="F1013" s="3">
        <v>2.5951</v>
      </c>
      <c r="G1013" s="3">
        <v>2.9413</v>
      </c>
    </row>
    <row r="1014" spans="1:7">
      <c r="A1014" s="2">
        <v>42527</v>
      </c>
      <c r="B1014" s="3">
        <v>2.5665</v>
      </c>
      <c r="C1014" s="3">
        <v>2.9022</v>
      </c>
      <c r="D1014" s="3">
        <v>2.615</v>
      </c>
      <c r="E1014" s="3">
        <v>2.9507</v>
      </c>
      <c r="F1014" s="3">
        <v>2.5907</v>
      </c>
      <c r="G1014" s="3">
        <v>2.9265</v>
      </c>
    </row>
    <row r="1015" spans="1:7">
      <c r="A1015" s="2">
        <v>42528</v>
      </c>
      <c r="B1015" s="3">
        <v>2.5609</v>
      </c>
      <c r="C1015" s="3">
        <v>2.9</v>
      </c>
      <c r="D1015" s="3">
        <v>2.6138</v>
      </c>
      <c r="E1015" s="3">
        <v>2.9488</v>
      </c>
      <c r="F1015" s="3">
        <v>2.5873</v>
      </c>
      <c r="G1015" s="3">
        <v>2.9244</v>
      </c>
    </row>
    <row r="1016" spans="1:7">
      <c r="A1016" s="2">
        <v>42529</v>
      </c>
      <c r="B1016" s="3">
        <v>2.5644</v>
      </c>
      <c r="C1016" s="3">
        <v>2.9011</v>
      </c>
      <c r="D1016" s="3">
        <v>2.6144</v>
      </c>
      <c r="E1016" s="3">
        <v>2.9556</v>
      </c>
      <c r="F1016" s="3">
        <v>2.5894</v>
      </c>
      <c r="G1016" s="3">
        <v>2.9283</v>
      </c>
    </row>
    <row r="1017" spans="1:7">
      <c r="A1017" s="2">
        <v>42533</v>
      </c>
      <c r="B1017" s="3">
        <v>2.565</v>
      </c>
      <c r="C1017" s="3">
        <v>2.8975</v>
      </c>
      <c r="D1017" s="3">
        <v>2.6088</v>
      </c>
      <c r="E1017" s="3">
        <v>2.9475</v>
      </c>
      <c r="F1017" s="3">
        <v>2.5869</v>
      </c>
      <c r="G1017" s="3">
        <v>2.9225</v>
      </c>
    </row>
    <row r="1018" spans="1:7">
      <c r="A1018" s="2">
        <v>42534</v>
      </c>
      <c r="B1018" s="3">
        <v>2.5434</v>
      </c>
      <c r="C1018" s="3">
        <v>2.8613</v>
      </c>
      <c r="D1018" s="3">
        <v>2.5975</v>
      </c>
      <c r="E1018" s="3">
        <v>2.9175</v>
      </c>
      <c r="F1018" s="3">
        <v>2.5704</v>
      </c>
      <c r="G1018" s="3">
        <v>2.8894</v>
      </c>
    </row>
    <row r="1019" spans="1:7">
      <c r="A1019" s="2">
        <v>42535</v>
      </c>
      <c r="B1019" s="3">
        <v>2.5019</v>
      </c>
      <c r="C1019" s="3">
        <v>2.8178</v>
      </c>
      <c r="D1019" s="3">
        <v>2.5522</v>
      </c>
      <c r="E1019" s="3">
        <v>2.8689</v>
      </c>
      <c r="F1019" s="3">
        <v>2.5271</v>
      </c>
      <c r="G1019" s="3">
        <v>2.8433</v>
      </c>
    </row>
    <row r="1020" spans="1:7">
      <c r="A1020" s="2">
        <v>42536</v>
      </c>
      <c r="B1020" s="3">
        <v>2.5071</v>
      </c>
      <c r="C1020" s="3">
        <v>2.8184</v>
      </c>
      <c r="D1020" s="3">
        <v>2.5513</v>
      </c>
      <c r="E1020" s="3">
        <v>2.87</v>
      </c>
      <c r="F1020" s="3">
        <v>2.5292</v>
      </c>
      <c r="G1020" s="3">
        <v>2.8442</v>
      </c>
    </row>
    <row r="1021" spans="1:7">
      <c r="A1021" s="2">
        <v>42537</v>
      </c>
      <c r="B1021" s="3">
        <v>2.49</v>
      </c>
      <c r="C1021" s="3">
        <v>2.7966</v>
      </c>
      <c r="D1021" s="3">
        <v>2.5379</v>
      </c>
      <c r="E1021" s="3">
        <v>2.8525</v>
      </c>
      <c r="F1021" s="3">
        <v>2.5139</v>
      </c>
      <c r="G1021" s="3">
        <v>2.8246</v>
      </c>
    </row>
    <row r="1022" spans="1:7">
      <c r="A1022" s="2">
        <v>42538</v>
      </c>
      <c r="B1022" s="3">
        <v>2.4963</v>
      </c>
      <c r="C1022" s="3">
        <v>2.805</v>
      </c>
      <c r="D1022" s="3">
        <v>2.5513</v>
      </c>
      <c r="E1022" s="3">
        <v>2.8625</v>
      </c>
      <c r="F1022" s="3">
        <v>2.5238</v>
      </c>
      <c r="G1022" s="3">
        <v>2.8338</v>
      </c>
    </row>
    <row r="1023" spans="1:7">
      <c r="A1023" s="2">
        <v>42541</v>
      </c>
      <c r="B1023" s="3">
        <v>2.5013</v>
      </c>
      <c r="C1023" s="3">
        <v>2.8125</v>
      </c>
      <c r="D1023" s="3">
        <v>2.5488</v>
      </c>
      <c r="E1023" s="3">
        <v>2.8625</v>
      </c>
      <c r="F1023" s="3">
        <v>2.525</v>
      </c>
      <c r="G1023" s="3">
        <v>2.8375</v>
      </c>
    </row>
    <row r="1024" spans="1:7">
      <c r="A1024" s="2">
        <v>42542</v>
      </c>
      <c r="B1024" s="3">
        <v>2.5025</v>
      </c>
      <c r="C1024" s="3">
        <v>2.8184</v>
      </c>
      <c r="D1024" s="3">
        <v>2.5491</v>
      </c>
      <c r="E1024" s="3">
        <v>2.8713</v>
      </c>
      <c r="F1024" s="3">
        <v>2.5258</v>
      </c>
      <c r="G1024" s="3">
        <v>2.8448</v>
      </c>
    </row>
    <row r="1025" spans="1:7">
      <c r="A1025" s="2">
        <v>42543</v>
      </c>
      <c r="B1025" s="3">
        <v>2.4934</v>
      </c>
      <c r="C1025" s="3">
        <v>2.8063</v>
      </c>
      <c r="D1025" s="3">
        <v>2.5466</v>
      </c>
      <c r="E1025" s="3">
        <v>2.8613</v>
      </c>
      <c r="F1025" s="3">
        <v>2.52</v>
      </c>
      <c r="G1025" s="3">
        <v>2.8338</v>
      </c>
    </row>
    <row r="1026" spans="1:7">
      <c r="A1026" s="2">
        <v>42544</v>
      </c>
      <c r="B1026" s="3">
        <v>2.4846</v>
      </c>
      <c r="C1026" s="3">
        <v>2.7913</v>
      </c>
      <c r="D1026" s="3">
        <v>2.5338</v>
      </c>
      <c r="E1026" s="3">
        <v>2.85</v>
      </c>
      <c r="F1026" s="3">
        <v>2.5092</v>
      </c>
      <c r="G1026" s="3">
        <v>2.8206</v>
      </c>
    </row>
    <row r="1027" spans="1:7">
      <c r="A1027" s="2">
        <v>42545</v>
      </c>
      <c r="B1027" s="3">
        <v>2.4263</v>
      </c>
      <c r="C1027" s="3">
        <v>2.7013</v>
      </c>
      <c r="D1027" s="3">
        <v>2.475</v>
      </c>
      <c r="E1027" s="3">
        <v>2.7688</v>
      </c>
      <c r="F1027" s="3">
        <v>2.4506</v>
      </c>
      <c r="G1027" s="3">
        <v>2.735</v>
      </c>
    </row>
    <row r="1028" spans="1:7">
      <c r="A1028" s="2">
        <v>42548</v>
      </c>
      <c r="B1028" s="3">
        <v>2.4079</v>
      </c>
      <c r="C1028" s="3">
        <v>2.665</v>
      </c>
      <c r="D1028" s="3">
        <v>2.4525</v>
      </c>
      <c r="E1028" s="3">
        <v>2.7188</v>
      </c>
      <c r="F1028" s="3">
        <v>2.4302</v>
      </c>
      <c r="G1028" s="3">
        <v>2.6919</v>
      </c>
    </row>
    <row r="1029" spans="1:7">
      <c r="A1029" s="2">
        <v>42549</v>
      </c>
      <c r="B1029" s="3">
        <v>2.4213</v>
      </c>
      <c r="C1029" s="3">
        <v>2.6825</v>
      </c>
      <c r="D1029" s="3">
        <v>2.47</v>
      </c>
      <c r="E1029" s="3">
        <v>2.7363</v>
      </c>
      <c r="F1029" s="3">
        <v>2.4456</v>
      </c>
      <c r="G1029" s="3">
        <v>2.7094</v>
      </c>
    </row>
    <row r="1030" spans="1:7">
      <c r="A1030" s="2">
        <v>42550</v>
      </c>
      <c r="B1030" s="3">
        <v>2.4025</v>
      </c>
      <c r="C1030" s="3">
        <v>2.6763</v>
      </c>
      <c r="D1030" s="3">
        <v>2.4613</v>
      </c>
      <c r="E1030" s="3">
        <v>2.7388</v>
      </c>
      <c r="F1030" s="3">
        <v>2.4319</v>
      </c>
      <c r="G1030" s="3">
        <v>2.7075</v>
      </c>
    </row>
    <row r="1031" spans="1:7">
      <c r="A1031" s="2">
        <v>42551</v>
      </c>
      <c r="B1031" s="3">
        <v>2.4129</v>
      </c>
      <c r="C1031" s="3">
        <v>2.6863</v>
      </c>
      <c r="D1031" s="3">
        <v>2.4563</v>
      </c>
      <c r="E1031" s="3">
        <v>2.735</v>
      </c>
      <c r="F1031" s="3">
        <v>2.4346</v>
      </c>
      <c r="G1031" s="3">
        <v>2.7106</v>
      </c>
    </row>
    <row r="1032" spans="1:7">
      <c r="A1032" s="2">
        <v>42552</v>
      </c>
      <c r="B1032" s="3">
        <v>2.3975</v>
      </c>
      <c r="C1032" s="3">
        <v>2.6534</v>
      </c>
      <c r="D1032" s="3">
        <v>2.4475</v>
      </c>
      <c r="E1032" s="3">
        <v>2.7188</v>
      </c>
      <c r="F1032" s="3">
        <v>2.4225</v>
      </c>
      <c r="G1032" s="3">
        <v>2.6861</v>
      </c>
    </row>
    <row r="1033" spans="1:7">
      <c r="A1033" s="2">
        <v>42555</v>
      </c>
      <c r="B1033" s="3">
        <v>2.4066</v>
      </c>
      <c r="C1033" s="3">
        <v>2.6775</v>
      </c>
      <c r="D1033" s="3">
        <v>2.4575</v>
      </c>
      <c r="E1033" s="3">
        <v>2.7325</v>
      </c>
      <c r="F1033" s="3">
        <v>2.4321</v>
      </c>
      <c r="G1033" s="3">
        <v>2.705</v>
      </c>
    </row>
    <row r="1034" spans="1:7">
      <c r="A1034" s="2">
        <v>42556</v>
      </c>
      <c r="B1034" s="3">
        <v>2.4088</v>
      </c>
      <c r="C1034" s="3">
        <v>2.6879</v>
      </c>
      <c r="D1034" s="3">
        <v>2.4538</v>
      </c>
      <c r="E1034" s="3">
        <v>2.7413</v>
      </c>
      <c r="F1034" s="3">
        <v>2.4313</v>
      </c>
      <c r="G1034" s="3">
        <v>2.7146</v>
      </c>
    </row>
    <row r="1035" spans="1:7">
      <c r="A1035" s="2">
        <v>42557</v>
      </c>
      <c r="B1035" s="3">
        <v>2.4009</v>
      </c>
      <c r="C1035" s="3">
        <v>2.6775</v>
      </c>
      <c r="D1035" s="3">
        <v>2.4488</v>
      </c>
      <c r="E1035" s="3">
        <v>2.7338</v>
      </c>
      <c r="F1035" s="3">
        <v>2.4248</v>
      </c>
      <c r="G1035" s="3">
        <v>2.7056</v>
      </c>
    </row>
    <row r="1036" spans="1:7">
      <c r="A1036" s="2">
        <v>42558</v>
      </c>
      <c r="B1036" s="3">
        <v>2.4022</v>
      </c>
      <c r="C1036" s="3">
        <v>2.6748</v>
      </c>
      <c r="D1036" s="3">
        <v>2.4474</v>
      </c>
      <c r="E1036" s="3">
        <v>2.7256</v>
      </c>
      <c r="F1036" s="3">
        <v>2.4248</v>
      </c>
      <c r="G1036" s="3">
        <v>2.7002</v>
      </c>
    </row>
    <row r="1037" spans="1:7">
      <c r="A1037" s="2">
        <v>42559</v>
      </c>
      <c r="B1037" s="3">
        <v>2.395</v>
      </c>
      <c r="C1037" s="3">
        <v>2.6691</v>
      </c>
      <c r="D1037" s="3">
        <v>2.44</v>
      </c>
      <c r="E1037" s="3">
        <v>2.7263</v>
      </c>
      <c r="F1037" s="3">
        <v>2.4175</v>
      </c>
      <c r="G1037" s="3">
        <v>2.6977</v>
      </c>
    </row>
    <row r="1038" spans="1:7">
      <c r="A1038" s="2">
        <v>42562</v>
      </c>
      <c r="B1038" s="3">
        <v>2.4059</v>
      </c>
      <c r="C1038" s="3">
        <v>2.6804</v>
      </c>
      <c r="D1038" s="3">
        <v>2.4438</v>
      </c>
      <c r="E1038" s="3">
        <v>2.73</v>
      </c>
      <c r="F1038" s="3">
        <v>2.4248</v>
      </c>
      <c r="G1038" s="3">
        <v>2.7052</v>
      </c>
    </row>
    <row r="1039" spans="1:7">
      <c r="A1039" s="2">
        <v>42563</v>
      </c>
      <c r="B1039" s="3">
        <v>2.4129</v>
      </c>
      <c r="C1039" s="3">
        <v>2.6979</v>
      </c>
      <c r="D1039" s="3">
        <v>2.4538</v>
      </c>
      <c r="E1039" s="3">
        <v>2.7525</v>
      </c>
      <c r="F1039" s="3">
        <v>2.4333</v>
      </c>
      <c r="G1039" s="3">
        <v>2.7252</v>
      </c>
    </row>
    <row r="1040" spans="1:7">
      <c r="A1040" s="2">
        <v>42564</v>
      </c>
      <c r="B1040" s="3">
        <v>2.4137</v>
      </c>
      <c r="C1040" s="3">
        <v>2.7133</v>
      </c>
      <c r="D1040" s="3">
        <v>2.4656</v>
      </c>
      <c r="E1040" s="3">
        <v>2.7717</v>
      </c>
      <c r="F1040" s="3">
        <v>2.4396</v>
      </c>
      <c r="G1040" s="3">
        <v>2.7425</v>
      </c>
    </row>
    <row r="1041" spans="1:7">
      <c r="A1041" s="2">
        <v>42565</v>
      </c>
      <c r="B1041" s="3">
        <v>2.4197</v>
      </c>
      <c r="C1041" s="3">
        <v>2.7217</v>
      </c>
      <c r="D1041" s="3">
        <v>2.4705</v>
      </c>
      <c r="E1041" s="3">
        <v>2.7775</v>
      </c>
      <c r="F1041" s="3">
        <v>2.4451</v>
      </c>
      <c r="G1041" s="3">
        <v>2.7496</v>
      </c>
    </row>
    <row r="1042" spans="1:7">
      <c r="A1042" s="2">
        <v>42566</v>
      </c>
      <c r="B1042" s="3">
        <v>2.4146</v>
      </c>
      <c r="C1042" s="3">
        <v>2.705</v>
      </c>
      <c r="D1042" s="3">
        <v>2.4588</v>
      </c>
      <c r="E1042" s="3">
        <v>2.7588</v>
      </c>
      <c r="F1042" s="3">
        <v>2.4367</v>
      </c>
      <c r="G1042" s="3">
        <v>2.7319</v>
      </c>
    </row>
    <row r="1043" spans="1:7">
      <c r="A1043" s="2">
        <v>42569</v>
      </c>
      <c r="B1043" s="3">
        <v>2.4063</v>
      </c>
      <c r="C1043" s="3">
        <v>2.7025</v>
      </c>
      <c r="D1043" s="3">
        <v>2.4513</v>
      </c>
      <c r="E1043" s="3">
        <v>2.7563</v>
      </c>
      <c r="F1043" s="3">
        <v>2.4288</v>
      </c>
      <c r="G1043" s="3">
        <v>2.7294</v>
      </c>
    </row>
    <row r="1044" spans="1:7">
      <c r="A1044" s="2">
        <v>42570</v>
      </c>
      <c r="B1044" s="3">
        <v>2.4069</v>
      </c>
      <c r="C1044" s="3">
        <v>2.6919</v>
      </c>
      <c r="D1044" s="3">
        <v>2.4538</v>
      </c>
      <c r="E1044" s="3">
        <v>2.7519</v>
      </c>
      <c r="F1044" s="3">
        <v>2.4303</v>
      </c>
      <c r="G1044" s="3">
        <v>2.7219</v>
      </c>
    </row>
    <row r="1045" spans="1:7">
      <c r="A1045" s="2">
        <v>42571</v>
      </c>
      <c r="B1045" s="3">
        <v>2.4063</v>
      </c>
      <c r="C1045" s="3">
        <v>2.685</v>
      </c>
      <c r="D1045" s="3">
        <v>2.45</v>
      </c>
      <c r="E1045" s="3">
        <v>2.7325</v>
      </c>
      <c r="F1045" s="3">
        <v>2.4281</v>
      </c>
      <c r="G1045" s="3">
        <v>2.7088</v>
      </c>
    </row>
    <row r="1046" spans="1:7">
      <c r="A1046" s="2">
        <v>42572</v>
      </c>
      <c r="B1046" s="3">
        <v>2.3975</v>
      </c>
      <c r="C1046" s="3">
        <v>2.6709</v>
      </c>
      <c r="D1046" s="3">
        <v>2.4488</v>
      </c>
      <c r="E1046" s="3">
        <v>2.7338</v>
      </c>
      <c r="F1046" s="3">
        <v>2.4231</v>
      </c>
      <c r="G1046" s="3">
        <v>2.7023</v>
      </c>
    </row>
    <row r="1047" spans="1:7">
      <c r="A1047" s="2">
        <v>42573</v>
      </c>
      <c r="B1047" s="3">
        <v>2.4</v>
      </c>
      <c r="C1047" s="3">
        <v>2.675</v>
      </c>
      <c r="D1047" s="3">
        <v>2.4475</v>
      </c>
      <c r="E1047" s="3">
        <v>2.7313</v>
      </c>
      <c r="F1047" s="3">
        <v>2.4238</v>
      </c>
      <c r="G1047" s="3">
        <v>2.7031</v>
      </c>
    </row>
    <row r="1048" spans="1:7">
      <c r="A1048" s="2">
        <v>42576</v>
      </c>
      <c r="B1048" s="3">
        <v>2.4154</v>
      </c>
      <c r="C1048" s="3">
        <v>2.6963</v>
      </c>
      <c r="D1048" s="3">
        <v>2.4575</v>
      </c>
      <c r="E1048" s="3">
        <v>2.7463</v>
      </c>
      <c r="F1048" s="3">
        <v>2.4364</v>
      </c>
      <c r="G1048" s="3">
        <v>2.7213</v>
      </c>
    </row>
    <row r="1049" spans="1:7">
      <c r="A1049" s="2">
        <v>42577</v>
      </c>
      <c r="B1049" s="3">
        <v>2.4138</v>
      </c>
      <c r="C1049" s="3">
        <v>2.6875</v>
      </c>
      <c r="D1049" s="3">
        <v>2.4588</v>
      </c>
      <c r="E1049" s="3">
        <v>2.7425</v>
      </c>
      <c r="F1049" s="3">
        <v>2.4363</v>
      </c>
      <c r="G1049" s="3">
        <v>2.715</v>
      </c>
    </row>
    <row r="1050" spans="1:7">
      <c r="A1050" s="2">
        <v>42578</v>
      </c>
      <c r="B1050" s="3">
        <v>2.4184</v>
      </c>
      <c r="C1050" s="3">
        <v>2.6971</v>
      </c>
      <c r="D1050" s="3">
        <v>2.465</v>
      </c>
      <c r="E1050" s="3">
        <v>2.7513</v>
      </c>
      <c r="F1050" s="3">
        <v>2.4417</v>
      </c>
      <c r="G1050" s="3">
        <v>2.7242</v>
      </c>
    </row>
    <row r="1051" spans="1:7">
      <c r="A1051" s="2">
        <v>42579</v>
      </c>
      <c r="B1051" s="3">
        <v>2.4013</v>
      </c>
      <c r="C1051" s="3">
        <v>2.6775</v>
      </c>
      <c r="D1051" s="3">
        <v>2.4575</v>
      </c>
      <c r="E1051" s="3">
        <v>2.7363</v>
      </c>
      <c r="F1051" s="3">
        <v>2.4294</v>
      </c>
      <c r="G1051" s="3">
        <v>2.7069</v>
      </c>
    </row>
    <row r="1052" spans="1:7">
      <c r="A1052" s="2">
        <v>42580</v>
      </c>
      <c r="B1052" s="3">
        <v>2.4125</v>
      </c>
      <c r="C1052" s="3">
        <v>2.6825</v>
      </c>
      <c r="D1052" s="3">
        <v>2.455</v>
      </c>
      <c r="E1052" s="3">
        <v>2.735</v>
      </c>
      <c r="F1052" s="3">
        <v>2.4338</v>
      </c>
      <c r="G1052" s="3">
        <v>2.7088</v>
      </c>
    </row>
    <row r="1053" spans="1:7">
      <c r="A1053" s="2">
        <v>42583</v>
      </c>
      <c r="B1053" s="3">
        <v>2.4167</v>
      </c>
      <c r="C1053" s="3">
        <v>2.6867</v>
      </c>
      <c r="D1053" s="3">
        <v>2.4611</v>
      </c>
      <c r="E1053" s="3">
        <v>2.7394</v>
      </c>
      <c r="F1053" s="3">
        <v>2.4389</v>
      </c>
      <c r="G1053" s="3">
        <v>2.7131</v>
      </c>
    </row>
    <row r="1054" spans="1:7">
      <c r="A1054" s="2">
        <v>42584</v>
      </c>
      <c r="B1054" s="3">
        <v>2.4154</v>
      </c>
      <c r="C1054" s="3">
        <v>2.69</v>
      </c>
      <c r="D1054" s="3">
        <v>2.4588</v>
      </c>
      <c r="E1054" s="3">
        <v>2.7419</v>
      </c>
      <c r="F1054" s="3">
        <v>2.4371</v>
      </c>
      <c r="G1054" s="3">
        <v>2.7159</v>
      </c>
    </row>
    <row r="1055" spans="1:7">
      <c r="A1055" s="2">
        <v>42585</v>
      </c>
      <c r="B1055" s="3">
        <v>2.4125</v>
      </c>
      <c r="C1055" s="3">
        <v>2.6731</v>
      </c>
      <c r="D1055" s="3">
        <v>2.4613</v>
      </c>
      <c r="E1055" s="3">
        <v>2.74</v>
      </c>
      <c r="F1055" s="3">
        <v>2.4369</v>
      </c>
      <c r="G1055" s="3">
        <v>2.7066</v>
      </c>
    </row>
    <row r="1056" spans="1:7">
      <c r="A1056" s="2">
        <v>42586</v>
      </c>
      <c r="B1056" s="3">
        <v>2.3998</v>
      </c>
      <c r="C1056" s="3">
        <v>2.6744</v>
      </c>
      <c r="D1056" s="3">
        <v>2.4596</v>
      </c>
      <c r="E1056" s="3">
        <v>2.74</v>
      </c>
      <c r="F1056" s="3">
        <v>2.4297</v>
      </c>
      <c r="G1056" s="3">
        <v>2.7072</v>
      </c>
    </row>
    <row r="1057" spans="1:7">
      <c r="A1057" s="2">
        <v>42587</v>
      </c>
      <c r="B1057" s="3">
        <v>2.4</v>
      </c>
      <c r="C1057" s="3">
        <v>2.6685</v>
      </c>
      <c r="D1057" s="3">
        <v>2.4529</v>
      </c>
      <c r="E1057" s="3">
        <v>2.7325</v>
      </c>
      <c r="F1057" s="3">
        <v>2.4264</v>
      </c>
      <c r="G1057" s="3">
        <v>2.7005</v>
      </c>
    </row>
    <row r="1058" spans="1:7">
      <c r="A1058" s="2">
        <v>42590</v>
      </c>
      <c r="B1058" s="3">
        <v>2.4038</v>
      </c>
      <c r="C1058" s="3">
        <v>2.6709</v>
      </c>
      <c r="D1058" s="3">
        <v>2.45</v>
      </c>
      <c r="E1058" s="3">
        <v>2.7263</v>
      </c>
      <c r="F1058" s="3">
        <v>2.4269</v>
      </c>
      <c r="G1058" s="3">
        <v>2.6986</v>
      </c>
    </row>
    <row r="1059" spans="1:7">
      <c r="A1059" s="2">
        <v>42591</v>
      </c>
      <c r="B1059" s="3">
        <v>2.405</v>
      </c>
      <c r="C1059" s="3">
        <v>2.6696</v>
      </c>
      <c r="D1059" s="3">
        <v>2.4488</v>
      </c>
      <c r="E1059" s="3">
        <v>2.7238</v>
      </c>
      <c r="F1059" s="3">
        <v>2.4269</v>
      </c>
      <c r="G1059" s="3">
        <v>2.6967</v>
      </c>
    </row>
    <row r="1060" spans="1:7">
      <c r="A1060" s="2">
        <v>42592</v>
      </c>
      <c r="B1060" s="3">
        <v>2.4041</v>
      </c>
      <c r="C1060" s="3">
        <v>2.6609</v>
      </c>
      <c r="D1060" s="3">
        <v>2.455</v>
      </c>
      <c r="E1060" s="3">
        <v>2.7188</v>
      </c>
      <c r="F1060" s="3">
        <v>2.4296</v>
      </c>
      <c r="G1060" s="3">
        <v>2.6898</v>
      </c>
    </row>
    <row r="1061" spans="1:7">
      <c r="A1061" s="2">
        <v>42593</v>
      </c>
      <c r="B1061" s="3">
        <v>2.4096</v>
      </c>
      <c r="C1061" s="3">
        <v>2.66</v>
      </c>
      <c r="D1061" s="3">
        <v>2.4575</v>
      </c>
      <c r="E1061" s="3">
        <v>2.715</v>
      </c>
      <c r="F1061" s="3">
        <v>2.4336</v>
      </c>
      <c r="G1061" s="3">
        <v>2.6875</v>
      </c>
    </row>
    <row r="1062" spans="1:7">
      <c r="A1062" s="2">
        <v>42594</v>
      </c>
      <c r="B1062" s="3">
        <v>2.4088</v>
      </c>
      <c r="C1062" s="3">
        <v>2.6463</v>
      </c>
      <c r="D1062" s="3">
        <v>2.4538</v>
      </c>
      <c r="E1062" s="3">
        <v>2.7038</v>
      </c>
      <c r="F1062" s="3">
        <v>2.4313</v>
      </c>
      <c r="G1062" s="3">
        <v>2.675</v>
      </c>
    </row>
    <row r="1063" spans="1:7">
      <c r="A1063" s="2">
        <v>42597</v>
      </c>
      <c r="B1063" s="3">
        <v>2.395</v>
      </c>
      <c r="C1063" s="3">
        <v>2.6188</v>
      </c>
      <c r="D1063" s="3">
        <v>2.44</v>
      </c>
      <c r="E1063" s="3">
        <v>2.6725</v>
      </c>
      <c r="F1063" s="3">
        <v>2.4175</v>
      </c>
      <c r="G1063" s="3">
        <v>2.6456</v>
      </c>
    </row>
    <row r="1064" spans="1:7">
      <c r="A1064" s="2">
        <v>42598</v>
      </c>
      <c r="B1064" s="3">
        <v>2.4038</v>
      </c>
      <c r="C1064" s="3">
        <v>2.625</v>
      </c>
      <c r="D1064" s="3">
        <v>2.445</v>
      </c>
      <c r="E1064" s="3">
        <v>2.6688</v>
      </c>
      <c r="F1064" s="3">
        <v>2.4244</v>
      </c>
      <c r="G1064" s="3">
        <v>2.6469</v>
      </c>
    </row>
    <row r="1065" spans="1:7">
      <c r="A1065" s="2">
        <v>42599</v>
      </c>
      <c r="B1065" s="3">
        <v>2.4033</v>
      </c>
      <c r="C1065" s="3">
        <v>2.6333</v>
      </c>
      <c r="D1065" s="3">
        <v>2.4467</v>
      </c>
      <c r="E1065" s="3">
        <v>2.6844</v>
      </c>
      <c r="F1065" s="3">
        <v>2.425</v>
      </c>
      <c r="G1065" s="3">
        <v>2.6589</v>
      </c>
    </row>
    <row r="1066" spans="1:7">
      <c r="A1066" s="2">
        <v>42600</v>
      </c>
      <c r="B1066" s="3">
        <v>2.3975</v>
      </c>
      <c r="C1066" s="3">
        <v>2.635</v>
      </c>
      <c r="D1066" s="3">
        <v>2.45</v>
      </c>
      <c r="E1066" s="3">
        <v>2.6913</v>
      </c>
      <c r="F1066" s="3">
        <v>2.4238</v>
      </c>
      <c r="G1066" s="3">
        <v>2.6631</v>
      </c>
    </row>
    <row r="1067" spans="1:7">
      <c r="A1067" s="2">
        <v>42601</v>
      </c>
      <c r="B1067" s="3">
        <v>2.4134</v>
      </c>
      <c r="C1067" s="3">
        <v>2.64</v>
      </c>
      <c r="D1067" s="3">
        <v>2.46</v>
      </c>
      <c r="E1067" s="3">
        <v>2.6925</v>
      </c>
      <c r="F1067" s="3">
        <v>2.4367</v>
      </c>
      <c r="G1067" s="3">
        <v>2.6663</v>
      </c>
    </row>
    <row r="1068" spans="1:7">
      <c r="A1068" s="2">
        <v>42604</v>
      </c>
      <c r="B1068" s="3">
        <v>2.4238</v>
      </c>
      <c r="C1068" s="3">
        <v>2.6513</v>
      </c>
      <c r="D1068" s="3">
        <v>2.4625</v>
      </c>
      <c r="E1068" s="3">
        <v>2.6938</v>
      </c>
      <c r="F1068" s="3">
        <v>2.4431</v>
      </c>
      <c r="G1068" s="3">
        <v>2.6725</v>
      </c>
    </row>
    <row r="1069" spans="1:7">
      <c r="A1069" s="2">
        <v>42605</v>
      </c>
      <c r="B1069" s="3">
        <v>2.4588</v>
      </c>
      <c r="C1069" s="3">
        <v>2.6925</v>
      </c>
      <c r="D1069" s="3">
        <v>2.5013</v>
      </c>
      <c r="E1069" s="3">
        <v>2.7463</v>
      </c>
      <c r="F1069" s="3">
        <v>2.48</v>
      </c>
      <c r="G1069" s="3">
        <v>2.7194</v>
      </c>
    </row>
    <row r="1070" spans="1:7">
      <c r="A1070" s="2">
        <v>42606</v>
      </c>
      <c r="B1070" s="3">
        <v>2.4725</v>
      </c>
      <c r="C1070" s="3">
        <v>2.7125</v>
      </c>
      <c r="D1070" s="3">
        <v>2.53</v>
      </c>
      <c r="E1070" s="3">
        <v>2.78</v>
      </c>
      <c r="F1070" s="3">
        <v>2.5013</v>
      </c>
      <c r="G1070" s="3">
        <v>2.7463</v>
      </c>
    </row>
    <row r="1071" spans="1:7">
      <c r="A1071" s="2">
        <v>42607</v>
      </c>
      <c r="B1071" s="3">
        <v>2.4841</v>
      </c>
      <c r="C1071" s="3">
        <v>2.7225</v>
      </c>
      <c r="D1071" s="3">
        <v>2.54</v>
      </c>
      <c r="E1071" s="3">
        <v>2.7838</v>
      </c>
      <c r="F1071" s="3">
        <v>2.5121</v>
      </c>
      <c r="G1071" s="3">
        <v>2.7531</v>
      </c>
    </row>
    <row r="1072" spans="1:7">
      <c r="A1072" s="2">
        <v>42608</v>
      </c>
      <c r="B1072" s="3">
        <v>2.4879</v>
      </c>
      <c r="C1072" s="3">
        <v>2.7138</v>
      </c>
      <c r="D1072" s="3">
        <v>2.5313</v>
      </c>
      <c r="E1072" s="3">
        <v>2.7613</v>
      </c>
      <c r="F1072" s="3">
        <v>2.5096</v>
      </c>
      <c r="G1072" s="3">
        <v>2.7375</v>
      </c>
    </row>
    <row r="1073" spans="1:7">
      <c r="A1073" s="2">
        <v>42611</v>
      </c>
      <c r="B1073" s="3">
        <v>2.4929</v>
      </c>
      <c r="C1073" s="3">
        <v>2.7213</v>
      </c>
      <c r="D1073" s="3">
        <v>2.5363</v>
      </c>
      <c r="E1073" s="3">
        <v>2.7688</v>
      </c>
      <c r="F1073" s="3">
        <v>2.5146</v>
      </c>
      <c r="G1073" s="3">
        <v>2.745</v>
      </c>
    </row>
    <row r="1074" spans="1:7">
      <c r="A1074" s="2">
        <v>42612</v>
      </c>
      <c r="B1074" s="3">
        <v>2.5016</v>
      </c>
      <c r="C1074" s="3">
        <v>2.7388</v>
      </c>
      <c r="D1074" s="3">
        <v>2.545</v>
      </c>
      <c r="E1074" s="3">
        <v>2.7888</v>
      </c>
      <c r="F1074" s="3">
        <v>2.5233</v>
      </c>
      <c r="G1074" s="3">
        <v>2.7638</v>
      </c>
    </row>
    <row r="1075" spans="1:7">
      <c r="A1075" s="2">
        <v>42613</v>
      </c>
      <c r="B1075" s="3">
        <v>2.4916</v>
      </c>
      <c r="C1075" s="3">
        <v>2.7259</v>
      </c>
      <c r="D1075" s="3">
        <v>2.5363</v>
      </c>
      <c r="E1075" s="3">
        <v>2.7825</v>
      </c>
      <c r="F1075" s="3">
        <v>2.5139</v>
      </c>
      <c r="G1075" s="3">
        <v>2.7542</v>
      </c>
    </row>
    <row r="1076" spans="1:7">
      <c r="A1076" s="2">
        <v>42614</v>
      </c>
      <c r="B1076" s="3">
        <v>2.4825</v>
      </c>
      <c r="C1076" s="3">
        <v>2.7175</v>
      </c>
      <c r="D1076" s="3">
        <v>2.5275</v>
      </c>
      <c r="E1076" s="3">
        <v>2.78</v>
      </c>
      <c r="F1076" s="3">
        <v>2.505</v>
      </c>
      <c r="G1076" s="3">
        <v>2.7488</v>
      </c>
    </row>
    <row r="1077" spans="1:7">
      <c r="A1077" s="2">
        <v>42615</v>
      </c>
      <c r="B1077" s="3">
        <v>2.4666</v>
      </c>
      <c r="C1077" s="3">
        <v>2.7173</v>
      </c>
      <c r="D1077" s="3">
        <v>2.5113</v>
      </c>
      <c r="E1077" s="3">
        <v>2.7763</v>
      </c>
      <c r="F1077" s="3">
        <v>2.4889</v>
      </c>
      <c r="G1077" s="3">
        <v>2.7468</v>
      </c>
    </row>
    <row r="1078" spans="1:7">
      <c r="A1078" s="2">
        <v>42618</v>
      </c>
      <c r="B1078" s="3">
        <v>2.4759</v>
      </c>
      <c r="C1078" s="3">
        <v>2.7225</v>
      </c>
      <c r="D1078" s="3">
        <v>2.5238</v>
      </c>
      <c r="E1078" s="3">
        <v>2.785</v>
      </c>
      <c r="F1078" s="3">
        <v>2.4998</v>
      </c>
      <c r="G1078" s="3">
        <v>2.7538</v>
      </c>
    </row>
    <row r="1079" spans="1:7">
      <c r="A1079" s="2">
        <v>42619</v>
      </c>
      <c r="B1079" s="3">
        <v>2.4788</v>
      </c>
      <c r="C1079" s="3">
        <v>2.7269</v>
      </c>
      <c r="D1079" s="3">
        <v>2.5225</v>
      </c>
      <c r="E1079" s="3">
        <v>2.7781</v>
      </c>
      <c r="F1079" s="3">
        <v>2.5006</v>
      </c>
      <c r="G1079" s="3">
        <v>2.7525</v>
      </c>
    </row>
    <row r="1080" spans="1:7">
      <c r="A1080" s="2">
        <v>42620</v>
      </c>
      <c r="B1080" s="3">
        <v>2.4784</v>
      </c>
      <c r="C1080" s="3">
        <v>2.7256</v>
      </c>
      <c r="D1080" s="3">
        <v>2.5313</v>
      </c>
      <c r="E1080" s="3">
        <v>2.7894</v>
      </c>
      <c r="F1080" s="3">
        <v>2.5048</v>
      </c>
      <c r="G1080" s="3">
        <v>2.7575</v>
      </c>
    </row>
    <row r="1081" spans="1:7">
      <c r="A1081" s="2">
        <v>42621</v>
      </c>
      <c r="B1081" s="3">
        <v>2.4788</v>
      </c>
      <c r="C1081" s="3">
        <v>2.7259</v>
      </c>
      <c r="D1081" s="3">
        <v>2.5388</v>
      </c>
      <c r="E1081" s="3">
        <v>2.7931</v>
      </c>
      <c r="F1081" s="3">
        <v>2.5088</v>
      </c>
      <c r="G1081" s="3">
        <v>2.7595</v>
      </c>
    </row>
    <row r="1082" spans="1:7">
      <c r="A1082" s="2">
        <v>42622</v>
      </c>
      <c r="B1082" s="3">
        <v>2.4766</v>
      </c>
      <c r="C1082" s="3">
        <v>2.7244</v>
      </c>
      <c r="D1082" s="3">
        <v>2.5296</v>
      </c>
      <c r="E1082" s="3">
        <v>2.7844</v>
      </c>
      <c r="F1082" s="3">
        <v>2.5031</v>
      </c>
      <c r="G1082" s="3">
        <v>2.7544</v>
      </c>
    </row>
    <row r="1083" spans="1:7">
      <c r="A1083" s="2">
        <v>42625</v>
      </c>
      <c r="B1083" s="3">
        <v>2.4809</v>
      </c>
      <c r="C1083" s="3">
        <v>2.7456</v>
      </c>
      <c r="D1083" s="3">
        <v>2.5288</v>
      </c>
      <c r="E1083" s="3">
        <v>2.8019</v>
      </c>
      <c r="F1083" s="3">
        <v>2.5048</v>
      </c>
      <c r="G1083" s="3">
        <v>2.7738</v>
      </c>
    </row>
    <row r="1084" spans="1:7">
      <c r="A1084" s="2">
        <v>42626</v>
      </c>
      <c r="B1084" s="3">
        <v>2.4825</v>
      </c>
      <c r="C1084" s="3">
        <v>2.7328</v>
      </c>
      <c r="D1084" s="3">
        <v>2.5263</v>
      </c>
      <c r="E1084" s="3">
        <v>2.7944</v>
      </c>
      <c r="F1084" s="3">
        <v>2.5044</v>
      </c>
      <c r="G1084" s="3">
        <v>2.7636</v>
      </c>
    </row>
    <row r="1085" spans="1:7">
      <c r="A1085" s="2">
        <v>42627</v>
      </c>
      <c r="B1085" s="3">
        <v>2.4891</v>
      </c>
      <c r="C1085" s="3">
        <v>2.7438</v>
      </c>
      <c r="D1085" s="3">
        <v>2.5338</v>
      </c>
      <c r="E1085" s="3">
        <v>2.7925</v>
      </c>
      <c r="F1085" s="3">
        <v>2.5114</v>
      </c>
      <c r="G1085" s="3">
        <v>2.7681</v>
      </c>
    </row>
    <row r="1086" spans="1:7">
      <c r="A1086" s="2">
        <v>42631</v>
      </c>
      <c r="B1086" s="3">
        <v>2.485</v>
      </c>
      <c r="C1086" s="3">
        <v>2.7375</v>
      </c>
      <c r="D1086" s="3">
        <v>2.52</v>
      </c>
      <c r="E1086" s="3">
        <v>2.7788</v>
      </c>
      <c r="F1086" s="3">
        <v>2.5025</v>
      </c>
      <c r="G1086" s="3">
        <v>2.7581</v>
      </c>
    </row>
    <row r="1087" spans="1:7">
      <c r="A1087" s="2">
        <v>42632</v>
      </c>
      <c r="B1087" s="3">
        <v>2.4846</v>
      </c>
      <c r="C1087" s="3">
        <v>2.7381</v>
      </c>
      <c r="D1087" s="3">
        <v>2.53</v>
      </c>
      <c r="E1087" s="3">
        <v>2.7875</v>
      </c>
      <c r="F1087" s="3">
        <v>2.5073</v>
      </c>
      <c r="G1087" s="3">
        <v>2.7628</v>
      </c>
    </row>
    <row r="1088" spans="1:7">
      <c r="A1088" s="2">
        <v>42633</v>
      </c>
      <c r="B1088" s="3">
        <v>2.4896</v>
      </c>
      <c r="C1088" s="3">
        <v>2.7425</v>
      </c>
      <c r="D1088" s="3">
        <v>2.5363</v>
      </c>
      <c r="E1088" s="3">
        <v>2.7925</v>
      </c>
      <c r="F1088" s="3">
        <v>2.5129</v>
      </c>
      <c r="G1088" s="3">
        <v>2.7675</v>
      </c>
    </row>
    <row r="1089" spans="1:7">
      <c r="A1089" s="2">
        <v>42634</v>
      </c>
      <c r="B1089" s="3">
        <v>2.505</v>
      </c>
      <c r="C1089" s="3">
        <v>2.755</v>
      </c>
      <c r="D1089" s="3">
        <v>2.5675</v>
      </c>
      <c r="E1089" s="3">
        <v>2.8194</v>
      </c>
      <c r="F1089" s="3">
        <v>2.5363</v>
      </c>
      <c r="G1089" s="3">
        <v>2.7872</v>
      </c>
    </row>
    <row r="1090" spans="1:7">
      <c r="A1090" s="2">
        <v>42635</v>
      </c>
      <c r="B1090" s="3">
        <v>2.5046</v>
      </c>
      <c r="C1090" s="3">
        <v>2.7541</v>
      </c>
      <c r="D1090" s="3">
        <v>2.54</v>
      </c>
      <c r="E1090" s="3">
        <v>2.795</v>
      </c>
      <c r="F1090" s="3">
        <v>2.5223</v>
      </c>
      <c r="G1090" s="3">
        <v>2.7746</v>
      </c>
    </row>
    <row r="1091" spans="1:7">
      <c r="A1091" s="2">
        <v>42636</v>
      </c>
      <c r="B1091" s="3">
        <v>2.495</v>
      </c>
      <c r="C1091" s="3">
        <v>2.7438</v>
      </c>
      <c r="D1091" s="3">
        <v>2.5438</v>
      </c>
      <c r="E1091" s="3">
        <v>2.7925</v>
      </c>
      <c r="F1091" s="3">
        <v>2.5194</v>
      </c>
      <c r="G1091" s="3">
        <v>2.7681</v>
      </c>
    </row>
    <row r="1092" spans="1:7">
      <c r="A1092" s="2">
        <v>42639</v>
      </c>
      <c r="B1092" s="3">
        <v>2.4954</v>
      </c>
      <c r="C1092" s="3">
        <v>2.7406</v>
      </c>
      <c r="D1092" s="3">
        <v>2.5488</v>
      </c>
      <c r="E1092" s="3">
        <v>2.7963</v>
      </c>
      <c r="F1092" s="3">
        <v>2.5221</v>
      </c>
      <c r="G1092" s="3">
        <v>2.7684</v>
      </c>
    </row>
    <row r="1093" spans="1:7">
      <c r="A1093" s="2">
        <v>42640</v>
      </c>
      <c r="B1093" s="3">
        <v>2.4996</v>
      </c>
      <c r="C1093" s="3">
        <v>2.7425</v>
      </c>
      <c r="D1093" s="3">
        <v>2.55</v>
      </c>
      <c r="E1093" s="3">
        <v>2.7913</v>
      </c>
      <c r="F1093" s="3">
        <v>2.5248</v>
      </c>
      <c r="G1093" s="3">
        <v>2.7669</v>
      </c>
    </row>
    <row r="1094" spans="1:7">
      <c r="A1094" s="2">
        <v>42641</v>
      </c>
      <c r="B1094" s="3">
        <v>2.5038</v>
      </c>
      <c r="C1094" s="3">
        <v>2.7463</v>
      </c>
      <c r="D1094" s="3">
        <v>2.55</v>
      </c>
      <c r="E1094" s="3">
        <v>2.7938</v>
      </c>
      <c r="F1094" s="3">
        <v>2.5269</v>
      </c>
      <c r="G1094" s="3">
        <v>2.77</v>
      </c>
    </row>
    <row r="1095" spans="1:7">
      <c r="A1095" s="2">
        <v>42642</v>
      </c>
      <c r="B1095" s="3">
        <v>2.5041</v>
      </c>
      <c r="C1095" s="3">
        <v>2.7516</v>
      </c>
      <c r="D1095" s="3">
        <v>2.5525</v>
      </c>
      <c r="E1095" s="3">
        <v>2.8031</v>
      </c>
      <c r="F1095" s="3">
        <v>2.5283</v>
      </c>
      <c r="G1095" s="3">
        <v>2.7774</v>
      </c>
    </row>
    <row r="1096" spans="1:7">
      <c r="A1096" s="2">
        <v>42643</v>
      </c>
      <c r="B1096" s="3">
        <v>2.5084</v>
      </c>
      <c r="C1096" s="3">
        <v>2.7513</v>
      </c>
      <c r="D1096" s="3">
        <v>2.5625</v>
      </c>
      <c r="E1096" s="3">
        <v>2.8044</v>
      </c>
      <c r="F1096" s="3">
        <v>2.5354</v>
      </c>
      <c r="G1096" s="3">
        <v>2.7778</v>
      </c>
    </row>
    <row r="1097" spans="1:7">
      <c r="A1097" s="2">
        <v>42651</v>
      </c>
      <c r="B1097" s="3">
        <v>2.5063</v>
      </c>
      <c r="C1097" s="3">
        <v>2.7488</v>
      </c>
      <c r="D1097" s="3">
        <v>2.5625</v>
      </c>
      <c r="E1097" s="3">
        <v>2.8025</v>
      </c>
      <c r="F1097" s="3">
        <v>2.5344</v>
      </c>
      <c r="G1097" s="3">
        <v>2.7756</v>
      </c>
    </row>
    <row r="1098" spans="1:7">
      <c r="A1098" s="2">
        <v>42652</v>
      </c>
      <c r="B1098" s="3">
        <v>2.5063</v>
      </c>
      <c r="C1098" s="3">
        <v>2.7463</v>
      </c>
      <c r="D1098" s="3">
        <v>2.5575</v>
      </c>
      <c r="E1098" s="3">
        <v>2.7988</v>
      </c>
      <c r="F1098" s="3">
        <v>2.5319</v>
      </c>
      <c r="G1098" s="3">
        <v>2.7725</v>
      </c>
    </row>
    <row r="1099" spans="1:7">
      <c r="A1099" s="2">
        <v>42653</v>
      </c>
      <c r="B1099" s="3">
        <v>2.5091</v>
      </c>
      <c r="C1099" s="3">
        <v>2.7381</v>
      </c>
      <c r="D1099" s="3">
        <v>2.555</v>
      </c>
      <c r="E1099" s="3">
        <v>2.7913</v>
      </c>
      <c r="F1099" s="3">
        <v>2.5321</v>
      </c>
      <c r="G1099" s="3">
        <v>2.7647</v>
      </c>
    </row>
    <row r="1100" spans="1:7">
      <c r="A1100" s="2">
        <v>42654</v>
      </c>
      <c r="B1100" s="3">
        <v>2.5104</v>
      </c>
      <c r="C1100" s="3">
        <v>2.7488</v>
      </c>
      <c r="D1100" s="3">
        <v>2.5563</v>
      </c>
      <c r="E1100" s="3">
        <v>2.8025</v>
      </c>
      <c r="F1100" s="3">
        <v>2.5333</v>
      </c>
      <c r="G1100" s="3">
        <v>2.7756</v>
      </c>
    </row>
    <row r="1101" spans="1:7">
      <c r="A1101" s="2">
        <v>42655</v>
      </c>
      <c r="B1101" s="3">
        <v>2.5125</v>
      </c>
      <c r="C1101" s="3">
        <v>2.755</v>
      </c>
      <c r="D1101" s="3">
        <v>2.5638</v>
      </c>
      <c r="E1101" s="3">
        <v>2.8119</v>
      </c>
      <c r="F1101" s="3">
        <v>2.5381</v>
      </c>
      <c r="G1101" s="3">
        <v>2.7834</v>
      </c>
    </row>
    <row r="1102" spans="1:7">
      <c r="A1102" s="2">
        <v>42656</v>
      </c>
      <c r="B1102" s="3">
        <v>2.5221</v>
      </c>
      <c r="C1102" s="3">
        <v>2.7571</v>
      </c>
      <c r="D1102" s="3">
        <v>2.5625</v>
      </c>
      <c r="E1102" s="3">
        <v>2.8038</v>
      </c>
      <c r="F1102" s="3">
        <v>2.5423</v>
      </c>
      <c r="G1102" s="3">
        <v>2.7804</v>
      </c>
    </row>
    <row r="1103" spans="1:7">
      <c r="A1103" s="2">
        <v>42657</v>
      </c>
      <c r="B1103" s="3">
        <v>2.5188</v>
      </c>
      <c r="C1103" s="3">
        <v>2.7504</v>
      </c>
      <c r="D1103" s="3">
        <v>2.56</v>
      </c>
      <c r="E1103" s="3">
        <v>2.8013</v>
      </c>
      <c r="F1103" s="3">
        <v>2.5394</v>
      </c>
      <c r="G1103" s="3">
        <v>2.7758</v>
      </c>
    </row>
    <row r="1104" spans="1:7">
      <c r="A1104" s="2">
        <v>42660</v>
      </c>
      <c r="B1104" s="3">
        <v>2.5234</v>
      </c>
      <c r="C1104" s="3">
        <v>2.7575</v>
      </c>
      <c r="D1104" s="3">
        <v>2.5713</v>
      </c>
      <c r="E1104" s="3">
        <v>2.8063</v>
      </c>
      <c r="F1104" s="3">
        <v>2.5473</v>
      </c>
      <c r="G1104" s="3">
        <v>2.7819</v>
      </c>
    </row>
    <row r="1105" spans="1:7">
      <c r="A1105" s="2">
        <v>42661</v>
      </c>
      <c r="B1105" s="3">
        <v>2.5363</v>
      </c>
      <c r="C1105" s="3">
        <v>2.7663</v>
      </c>
      <c r="D1105" s="3">
        <v>2.5888</v>
      </c>
      <c r="E1105" s="3">
        <v>2.8188</v>
      </c>
      <c r="F1105" s="3">
        <v>2.5625</v>
      </c>
      <c r="G1105" s="3">
        <v>2.7925</v>
      </c>
    </row>
    <row r="1106" spans="1:7">
      <c r="A1106" s="2">
        <v>42662</v>
      </c>
      <c r="B1106" s="3">
        <v>2.5413</v>
      </c>
      <c r="C1106" s="3">
        <v>2.7675</v>
      </c>
      <c r="D1106" s="3">
        <v>2.5838</v>
      </c>
      <c r="E1106" s="3">
        <v>2.8125</v>
      </c>
      <c r="F1106" s="3">
        <v>2.5625</v>
      </c>
      <c r="G1106" s="3">
        <v>2.79</v>
      </c>
    </row>
    <row r="1107" spans="1:7">
      <c r="A1107" s="2">
        <v>42663</v>
      </c>
      <c r="B1107" s="3">
        <v>2.5275</v>
      </c>
      <c r="C1107" s="3">
        <v>2.7588</v>
      </c>
      <c r="D1107" s="3">
        <v>2.58</v>
      </c>
      <c r="E1107" s="3">
        <v>2.8113</v>
      </c>
      <c r="F1107" s="3">
        <v>2.5538</v>
      </c>
      <c r="G1107" s="3">
        <v>2.785</v>
      </c>
    </row>
    <row r="1108" spans="1:7">
      <c r="A1108" s="2">
        <v>42664</v>
      </c>
      <c r="B1108" s="3">
        <v>2.5609</v>
      </c>
      <c r="C1108" s="3">
        <v>2.7725</v>
      </c>
      <c r="D1108" s="3">
        <v>2.615</v>
      </c>
      <c r="E1108" s="3">
        <v>2.8281</v>
      </c>
      <c r="F1108" s="3">
        <v>2.5879</v>
      </c>
      <c r="G1108" s="3">
        <v>2.8003</v>
      </c>
    </row>
    <row r="1109" spans="1:7">
      <c r="A1109" s="2">
        <v>42667</v>
      </c>
      <c r="B1109" s="3">
        <v>2.6003</v>
      </c>
      <c r="C1109" s="3">
        <v>2.801</v>
      </c>
      <c r="D1109" s="3">
        <v>2.6525</v>
      </c>
      <c r="E1109" s="3">
        <v>2.8563</v>
      </c>
      <c r="F1109" s="3">
        <v>2.6264</v>
      </c>
      <c r="G1109" s="3">
        <v>2.8286</v>
      </c>
    </row>
    <row r="1110" spans="1:7">
      <c r="A1110" s="2">
        <v>42668</v>
      </c>
      <c r="B1110" s="3">
        <v>2.6084</v>
      </c>
      <c r="C1110" s="3">
        <v>2.8153</v>
      </c>
      <c r="D1110" s="3">
        <v>2.6463</v>
      </c>
      <c r="E1110" s="3">
        <v>2.8594</v>
      </c>
      <c r="F1110" s="3">
        <v>2.6273</v>
      </c>
      <c r="G1110" s="3">
        <v>2.8373</v>
      </c>
    </row>
    <row r="1111" spans="1:7">
      <c r="A1111" s="2">
        <v>42669</v>
      </c>
      <c r="B1111" s="3">
        <v>2.6366</v>
      </c>
      <c r="C1111" s="3">
        <v>2.8494</v>
      </c>
      <c r="D1111" s="3">
        <v>2.6975</v>
      </c>
      <c r="E1111" s="3">
        <v>2.9144</v>
      </c>
      <c r="F1111" s="3">
        <v>2.6671</v>
      </c>
      <c r="G1111" s="3">
        <v>2.8819</v>
      </c>
    </row>
    <row r="1112" spans="1:7">
      <c r="A1112" s="2">
        <v>42670</v>
      </c>
      <c r="B1112" s="3">
        <v>2.67</v>
      </c>
      <c r="C1112" s="3">
        <v>2.8688</v>
      </c>
      <c r="D1112" s="3">
        <v>2.7163</v>
      </c>
      <c r="E1112" s="3">
        <v>2.9225</v>
      </c>
      <c r="F1112" s="3">
        <v>2.6931</v>
      </c>
      <c r="G1112" s="3">
        <v>2.8956</v>
      </c>
    </row>
    <row r="1113" spans="1:7">
      <c r="A1113" s="2">
        <v>42671</v>
      </c>
      <c r="B1113" s="3">
        <v>2.6779</v>
      </c>
      <c r="C1113" s="3">
        <v>2.8775</v>
      </c>
      <c r="D1113" s="3">
        <v>2.7163</v>
      </c>
      <c r="E1113" s="3">
        <v>2.9163</v>
      </c>
      <c r="F1113" s="3">
        <v>2.6971</v>
      </c>
      <c r="G1113" s="3">
        <v>2.8969</v>
      </c>
    </row>
    <row r="1114" spans="1:7">
      <c r="A1114" s="2">
        <v>42674</v>
      </c>
      <c r="B1114" s="3">
        <v>2.7359</v>
      </c>
      <c r="C1114" s="3">
        <v>2.93</v>
      </c>
      <c r="D1114" s="3">
        <v>2.7934</v>
      </c>
      <c r="E1114" s="3">
        <v>2.995</v>
      </c>
      <c r="F1114" s="3">
        <v>2.7646</v>
      </c>
      <c r="G1114" s="3">
        <v>2.9625</v>
      </c>
    </row>
    <row r="1115" spans="1:7">
      <c r="A1115" s="2">
        <v>42675</v>
      </c>
      <c r="B1115" s="3">
        <v>2.7088</v>
      </c>
      <c r="C1115" s="3">
        <v>2.9096</v>
      </c>
      <c r="D1115" s="3">
        <v>2.7663</v>
      </c>
      <c r="E1115" s="3">
        <v>2.9725</v>
      </c>
      <c r="F1115" s="3">
        <v>2.7375</v>
      </c>
      <c r="G1115" s="3">
        <v>2.9411</v>
      </c>
    </row>
    <row r="1116" spans="1:7">
      <c r="A1116" s="2">
        <v>42676</v>
      </c>
      <c r="B1116" s="3">
        <v>2.6716</v>
      </c>
      <c r="C1116" s="3">
        <v>2.8875</v>
      </c>
      <c r="D1116" s="3">
        <v>2.7271</v>
      </c>
      <c r="E1116" s="3">
        <v>2.9513</v>
      </c>
      <c r="F1116" s="3">
        <v>2.6994</v>
      </c>
      <c r="G1116" s="3">
        <v>2.9194</v>
      </c>
    </row>
    <row r="1117" spans="1:7">
      <c r="A1117" s="2">
        <v>42677</v>
      </c>
      <c r="B1117" s="3">
        <v>2.6641</v>
      </c>
      <c r="C1117" s="3">
        <v>2.88</v>
      </c>
      <c r="D1117" s="3">
        <v>2.7163</v>
      </c>
      <c r="E1117" s="3">
        <v>2.9375</v>
      </c>
      <c r="F1117" s="3">
        <v>2.6902</v>
      </c>
      <c r="G1117" s="3">
        <v>2.9088</v>
      </c>
    </row>
    <row r="1118" spans="1:7">
      <c r="A1118" s="2">
        <v>42678</v>
      </c>
      <c r="B1118" s="3">
        <v>2.6754</v>
      </c>
      <c r="C1118" s="3">
        <v>2.8904</v>
      </c>
      <c r="D1118" s="3">
        <v>2.7284</v>
      </c>
      <c r="E1118" s="3">
        <v>2.9475</v>
      </c>
      <c r="F1118" s="3">
        <v>2.7019</v>
      </c>
      <c r="G1118" s="3">
        <v>2.9189</v>
      </c>
    </row>
    <row r="1119" spans="1:7">
      <c r="A1119" s="2">
        <v>42681</v>
      </c>
      <c r="B1119" s="3">
        <v>2.6984</v>
      </c>
      <c r="C1119" s="3">
        <v>2.9234</v>
      </c>
      <c r="D1119" s="3">
        <v>2.7521</v>
      </c>
      <c r="E1119" s="3">
        <v>2.9763</v>
      </c>
      <c r="F1119" s="3">
        <v>2.7253</v>
      </c>
      <c r="G1119" s="3">
        <v>2.9498</v>
      </c>
    </row>
    <row r="1120" spans="1:7">
      <c r="A1120" s="2">
        <v>42682</v>
      </c>
      <c r="B1120" s="3">
        <v>2.7004</v>
      </c>
      <c r="C1120" s="3">
        <v>2.9325</v>
      </c>
      <c r="D1120" s="3">
        <v>2.7588</v>
      </c>
      <c r="E1120" s="3">
        <v>2.9875</v>
      </c>
      <c r="F1120" s="3">
        <v>2.7296</v>
      </c>
      <c r="G1120" s="3">
        <v>2.96</v>
      </c>
    </row>
    <row r="1121" spans="1:7">
      <c r="A1121" s="2">
        <v>42683</v>
      </c>
      <c r="B1121" s="3">
        <v>2.7029</v>
      </c>
      <c r="C1121" s="3">
        <v>2.94</v>
      </c>
      <c r="D1121" s="3">
        <v>2.75</v>
      </c>
      <c r="E1121" s="3">
        <v>2.9825</v>
      </c>
      <c r="F1121" s="3">
        <v>2.7264</v>
      </c>
      <c r="G1121" s="3">
        <v>2.9613</v>
      </c>
    </row>
    <row r="1122" spans="1:7">
      <c r="A1122" s="2">
        <v>42684</v>
      </c>
      <c r="B1122" s="3">
        <v>2.7721</v>
      </c>
      <c r="C1122" s="3">
        <v>3.0138</v>
      </c>
      <c r="D1122" s="3">
        <v>2.8275</v>
      </c>
      <c r="E1122" s="3">
        <v>3.0788</v>
      </c>
      <c r="F1122" s="3">
        <v>2.7998</v>
      </c>
      <c r="G1122" s="3">
        <v>3.0463</v>
      </c>
    </row>
    <row r="1123" spans="1:7">
      <c r="A1123" s="2">
        <v>42685</v>
      </c>
      <c r="B1123" s="3">
        <v>2.8038</v>
      </c>
      <c r="C1123" s="3">
        <v>3.0588</v>
      </c>
      <c r="D1123" s="3">
        <v>2.85</v>
      </c>
      <c r="E1123" s="3">
        <v>3.1225</v>
      </c>
      <c r="F1123" s="3">
        <v>2.8269</v>
      </c>
      <c r="G1123" s="3">
        <v>3.0906</v>
      </c>
    </row>
    <row r="1124" spans="1:7">
      <c r="A1124" s="2">
        <v>42688</v>
      </c>
      <c r="B1124" s="3">
        <v>2.8591</v>
      </c>
      <c r="C1124" s="3">
        <v>3.1275</v>
      </c>
      <c r="D1124" s="3">
        <v>2.9063</v>
      </c>
      <c r="E1124" s="3">
        <v>3.1863</v>
      </c>
      <c r="F1124" s="3">
        <v>2.8827</v>
      </c>
      <c r="G1124" s="3">
        <v>3.1569</v>
      </c>
    </row>
    <row r="1125" spans="1:7">
      <c r="A1125" s="2">
        <v>42689</v>
      </c>
      <c r="B1125" s="3">
        <v>2.8641</v>
      </c>
      <c r="C1125" s="3">
        <v>3.13</v>
      </c>
      <c r="D1125" s="3">
        <v>2.9159</v>
      </c>
      <c r="E1125" s="3">
        <v>3.1825</v>
      </c>
      <c r="F1125" s="3">
        <v>2.89</v>
      </c>
      <c r="G1125" s="3">
        <v>3.1563</v>
      </c>
    </row>
    <row r="1126" spans="1:7">
      <c r="A1126" s="2">
        <v>42690</v>
      </c>
      <c r="B1126" s="3">
        <v>2.9259</v>
      </c>
      <c r="C1126" s="3">
        <v>3.1813</v>
      </c>
      <c r="D1126" s="3">
        <v>2.9713</v>
      </c>
      <c r="E1126" s="3">
        <v>3.2413</v>
      </c>
      <c r="F1126" s="3">
        <v>2.9486</v>
      </c>
      <c r="G1126" s="3">
        <v>3.2113</v>
      </c>
    </row>
    <row r="1127" spans="1:7">
      <c r="A1127" s="2">
        <v>42691</v>
      </c>
      <c r="B1127" s="3">
        <v>2.9825</v>
      </c>
      <c r="C1127" s="3">
        <v>3.2363</v>
      </c>
      <c r="D1127" s="3">
        <v>3.04</v>
      </c>
      <c r="E1127" s="3">
        <v>3.3075</v>
      </c>
      <c r="F1127" s="3">
        <v>3.0113</v>
      </c>
      <c r="G1127" s="3">
        <v>3.2719</v>
      </c>
    </row>
    <row r="1128" spans="1:7">
      <c r="A1128" s="2">
        <v>42692</v>
      </c>
      <c r="B1128" s="3">
        <v>2.9629</v>
      </c>
      <c r="C1128" s="3">
        <v>3.2278</v>
      </c>
      <c r="D1128" s="3">
        <v>3.0163</v>
      </c>
      <c r="E1128" s="3">
        <v>3.29</v>
      </c>
      <c r="F1128" s="3">
        <v>2.9896</v>
      </c>
      <c r="G1128" s="3">
        <v>3.2589</v>
      </c>
    </row>
    <row r="1129" spans="1:7">
      <c r="A1129" s="2">
        <v>42695</v>
      </c>
      <c r="B1129" s="3">
        <v>2.9566</v>
      </c>
      <c r="C1129" s="3">
        <v>3.2188</v>
      </c>
      <c r="D1129" s="3">
        <v>3.0038</v>
      </c>
      <c r="E1129" s="3">
        <v>3.275</v>
      </c>
      <c r="F1129" s="3">
        <v>2.9802</v>
      </c>
      <c r="G1129" s="3">
        <v>3.2469</v>
      </c>
    </row>
    <row r="1130" spans="1:7">
      <c r="A1130" s="2">
        <v>42696</v>
      </c>
      <c r="B1130" s="3">
        <v>2.92</v>
      </c>
      <c r="C1130" s="3">
        <v>3.1775</v>
      </c>
      <c r="D1130" s="3">
        <v>2.9638</v>
      </c>
      <c r="E1130" s="3">
        <v>3.2363</v>
      </c>
      <c r="F1130" s="3">
        <v>2.9419</v>
      </c>
      <c r="G1130" s="3">
        <v>3.2069</v>
      </c>
    </row>
    <row r="1131" spans="1:7">
      <c r="A1131" s="2">
        <v>42697</v>
      </c>
      <c r="B1131" s="3">
        <v>2.905</v>
      </c>
      <c r="C1131" s="3">
        <v>3.1613</v>
      </c>
      <c r="D1131" s="3">
        <v>2.9513</v>
      </c>
      <c r="E1131" s="3">
        <v>3.2175</v>
      </c>
      <c r="F1131" s="3">
        <v>2.9281</v>
      </c>
      <c r="G1131" s="3">
        <v>3.1894</v>
      </c>
    </row>
    <row r="1132" spans="1:7">
      <c r="A1132" s="2">
        <v>42698</v>
      </c>
      <c r="B1132" s="3">
        <v>2.9459</v>
      </c>
      <c r="C1132" s="3">
        <v>3.2063</v>
      </c>
      <c r="D1132" s="3">
        <v>2.9875</v>
      </c>
      <c r="E1132" s="3">
        <v>3.2563</v>
      </c>
      <c r="F1132" s="3">
        <v>2.9667</v>
      </c>
      <c r="G1132" s="3">
        <v>3.2313</v>
      </c>
    </row>
    <row r="1133" spans="1:7">
      <c r="A1133" s="2">
        <v>42699</v>
      </c>
      <c r="B1133" s="3">
        <v>2.97</v>
      </c>
      <c r="C1133" s="3">
        <v>3.2188</v>
      </c>
      <c r="D1133" s="3">
        <v>3.0238</v>
      </c>
      <c r="E1133" s="3">
        <v>3.2825</v>
      </c>
      <c r="F1133" s="3">
        <v>2.9969</v>
      </c>
      <c r="G1133" s="3">
        <v>3.2506</v>
      </c>
    </row>
    <row r="1134" spans="1:7">
      <c r="A1134" s="2">
        <v>42702</v>
      </c>
      <c r="B1134" s="3">
        <v>2.9767</v>
      </c>
      <c r="C1134" s="3">
        <v>3.225</v>
      </c>
      <c r="D1134" s="3">
        <v>3.0356</v>
      </c>
      <c r="E1134" s="3">
        <v>3.2856</v>
      </c>
      <c r="F1134" s="3">
        <v>3.0061</v>
      </c>
      <c r="G1134" s="3">
        <v>3.2553</v>
      </c>
    </row>
    <row r="1135" spans="1:7">
      <c r="A1135" s="2">
        <v>42703</v>
      </c>
      <c r="B1135" s="3">
        <v>3.12</v>
      </c>
      <c r="C1135" s="3">
        <v>3.3638</v>
      </c>
      <c r="D1135" s="3">
        <v>3.1763</v>
      </c>
      <c r="E1135" s="3">
        <v>3.4296</v>
      </c>
      <c r="F1135" s="3">
        <v>3.1481</v>
      </c>
      <c r="G1135" s="3">
        <v>3.3967</v>
      </c>
    </row>
    <row r="1136" spans="1:7">
      <c r="A1136" s="2">
        <v>42704</v>
      </c>
      <c r="B1136" s="3">
        <v>3.0963</v>
      </c>
      <c r="C1136" s="3">
        <v>3.365</v>
      </c>
      <c r="D1136" s="3">
        <v>3.1888</v>
      </c>
      <c r="E1136" s="3">
        <v>3.4275</v>
      </c>
      <c r="F1136" s="3">
        <v>3.1425</v>
      </c>
      <c r="G1136" s="3">
        <v>3.3963</v>
      </c>
    </row>
    <row r="1137" spans="1:7">
      <c r="A1137" s="2">
        <v>42705</v>
      </c>
      <c r="B1137" s="3">
        <v>3.255</v>
      </c>
      <c r="C1137" s="3">
        <v>3.5188</v>
      </c>
      <c r="D1137" s="3">
        <v>3.3213</v>
      </c>
      <c r="E1137" s="3">
        <v>3.5925</v>
      </c>
      <c r="F1137" s="3">
        <v>3.2881</v>
      </c>
      <c r="G1137" s="3">
        <v>3.5556</v>
      </c>
    </row>
    <row r="1138" spans="1:7">
      <c r="A1138" s="2">
        <v>42706</v>
      </c>
      <c r="B1138" s="3">
        <v>3.2146</v>
      </c>
      <c r="C1138" s="3">
        <v>3.5075</v>
      </c>
      <c r="D1138" s="3">
        <v>3.2829</v>
      </c>
      <c r="E1138" s="3">
        <v>3.5775</v>
      </c>
      <c r="F1138" s="3">
        <v>3.2488</v>
      </c>
      <c r="G1138" s="3">
        <v>3.5425</v>
      </c>
    </row>
    <row r="1139" spans="1:7">
      <c r="A1139" s="2">
        <v>42709</v>
      </c>
      <c r="B1139" s="3">
        <v>3.2181</v>
      </c>
      <c r="C1139" s="3">
        <v>3.5144</v>
      </c>
      <c r="D1139" s="3">
        <v>3.2696</v>
      </c>
      <c r="E1139" s="3">
        <v>3.5738</v>
      </c>
      <c r="F1139" s="3">
        <v>3.2439</v>
      </c>
      <c r="G1139" s="3">
        <v>3.5441</v>
      </c>
    </row>
    <row r="1140" spans="1:7">
      <c r="A1140" s="2">
        <v>42710</v>
      </c>
      <c r="B1140" s="3">
        <v>3.1875</v>
      </c>
      <c r="C1140" s="3">
        <v>3.4981</v>
      </c>
      <c r="D1140" s="3">
        <v>3.2463</v>
      </c>
      <c r="E1140" s="3">
        <v>3.565</v>
      </c>
      <c r="F1140" s="3">
        <v>3.2169</v>
      </c>
      <c r="G1140" s="3">
        <v>3.5316</v>
      </c>
    </row>
    <row r="1141" spans="1:7">
      <c r="A1141" s="2">
        <v>42711</v>
      </c>
      <c r="B1141" s="3">
        <v>3.1738</v>
      </c>
      <c r="C1141" s="3">
        <v>3.4731</v>
      </c>
      <c r="D1141" s="3">
        <v>3.225</v>
      </c>
      <c r="E1141" s="3">
        <v>3.535</v>
      </c>
      <c r="F1141" s="3">
        <v>3.1994</v>
      </c>
      <c r="G1141" s="3">
        <v>3.5041</v>
      </c>
    </row>
    <row r="1142" spans="1:7">
      <c r="A1142" s="2">
        <v>42712</v>
      </c>
      <c r="B1142" s="3">
        <v>3.1475</v>
      </c>
      <c r="C1142" s="3">
        <v>3.4454</v>
      </c>
      <c r="D1142" s="3">
        <v>3.19</v>
      </c>
      <c r="E1142" s="3">
        <v>3.5013</v>
      </c>
      <c r="F1142" s="3">
        <v>3.1688</v>
      </c>
      <c r="G1142" s="3">
        <v>3.4733</v>
      </c>
    </row>
    <row r="1143" spans="1:7">
      <c r="A1143" s="2">
        <v>42713</v>
      </c>
      <c r="B1143" s="3">
        <v>3.1669</v>
      </c>
      <c r="C1143" s="3">
        <v>3.4825</v>
      </c>
      <c r="D1143" s="3">
        <v>3.2225</v>
      </c>
      <c r="E1143" s="3">
        <v>3.5488</v>
      </c>
      <c r="F1143" s="3">
        <v>3.1947</v>
      </c>
      <c r="G1143" s="3">
        <v>3.5156</v>
      </c>
    </row>
    <row r="1144" spans="1:7">
      <c r="A1144" s="2">
        <v>42716</v>
      </c>
      <c r="B1144" s="3">
        <v>3.2488</v>
      </c>
      <c r="C1144" s="3">
        <v>3.5625</v>
      </c>
      <c r="D1144" s="3">
        <v>3.3161</v>
      </c>
      <c r="E1144" s="3">
        <v>3.6391</v>
      </c>
      <c r="F1144" s="3">
        <v>3.2824</v>
      </c>
      <c r="G1144" s="3">
        <v>3.6008</v>
      </c>
    </row>
    <row r="1145" spans="1:7">
      <c r="A1145" s="2">
        <v>42717</v>
      </c>
      <c r="B1145" s="3">
        <v>3.2759</v>
      </c>
      <c r="C1145" s="3">
        <v>3.6069</v>
      </c>
      <c r="D1145" s="3">
        <v>3.3363</v>
      </c>
      <c r="E1145" s="3">
        <v>3.6794</v>
      </c>
      <c r="F1145" s="3">
        <v>3.3061</v>
      </c>
      <c r="G1145" s="3">
        <v>3.6431</v>
      </c>
    </row>
    <row r="1146" spans="1:7">
      <c r="A1146" s="2">
        <v>42718</v>
      </c>
      <c r="B1146" s="3">
        <v>3.3</v>
      </c>
      <c r="C1146" s="3">
        <v>3.6206</v>
      </c>
      <c r="D1146" s="3">
        <v>3.36</v>
      </c>
      <c r="E1146" s="3">
        <v>3.6844</v>
      </c>
      <c r="F1146" s="3">
        <v>3.33</v>
      </c>
      <c r="G1146" s="3">
        <v>3.6525</v>
      </c>
    </row>
    <row r="1147" spans="1:7">
      <c r="A1147" s="2">
        <v>42719</v>
      </c>
      <c r="B1147" s="3">
        <v>3.4421</v>
      </c>
      <c r="C1147" s="3">
        <v>3.8288</v>
      </c>
      <c r="D1147" s="3">
        <v>3.5025</v>
      </c>
      <c r="E1147" s="3">
        <v>3.8991</v>
      </c>
      <c r="F1147" s="3">
        <v>3.4723</v>
      </c>
      <c r="G1147" s="3">
        <v>3.8639</v>
      </c>
    </row>
    <row r="1148" spans="1:7">
      <c r="A1148" s="2">
        <v>42720</v>
      </c>
      <c r="B1148" s="3">
        <v>3.3921</v>
      </c>
      <c r="C1148" s="3">
        <v>3.7688</v>
      </c>
      <c r="D1148" s="3">
        <v>3.4416</v>
      </c>
      <c r="E1148" s="3">
        <v>3.8338</v>
      </c>
      <c r="F1148" s="3">
        <v>3.4169</v>
      </c>
      <c r="G1148" s="3">
        <v>3.8013</v>
      </c>
    </row>
    <row r="1149" spans="1:7">
      <c r="A1149" s="2">
        <v>42723</v>
      </c>
      <c r="B1149" s="3">
        <v>3.4813</v>
      </c>
      <c r="C1149" s="3">
        <v>3.9019</v>
      </c>
      <c r="D1149" s="3">
        <v>3.5513</v>
      </c>
      <c r="E1149" s="3">
        <v>3.9805</v>
      </c>
      <c r="F1149" s="3">
        <v>3.5163</v>
      </c>
      <c r="G1149" s="3">
        <v>3.9412</v>
      </c>
    </row>
    <row r="1150" spans="1:7">
      <c r="A1150" s="2">
        <v>42724</v>
      </c>
      <c r="B1150" s="3">
        <v>3.4834</v>
      </c>
      <c r="C1150" s="3">
        <v>3.9625</v>
      </c>
      <c r="D1150" s="3">
        <v>3.5329</v>
      </c>
      <c r="E1150" s="3">
        <v>4.0181</v>
      </c>
      <c r="F1150" s="3">
        <v>3.5081</v>
      </c>
      <c r="G1150" s="3">
        <v>3.9903</v>
      </c>
    </row>
    <row r="1151" spans="1:7">
      <c r="A1151" s="2">
        <v>42725</v>
      </c>
      <c r="B1151" s="3">
        <v>3.3691</v>
      </c>
      <c r="C1151" s="3">
        <v>3.8313</v>
      </c>
      <c r="D1151" s="3">
        <v>3.4225</v>
      </c>
      <c r="E1151" s="3">
        <v>3.8856</v>
      </c>
      <c r="F1151" s="3">
        <v>3.3958</v>
      </c>
      <c r="G1151" s="3">
        <v>3.8584</v>
      </c>
    </row>
    <row r="1152" spans="1:7">
      <c r="A1152" s="2">
        <v>42726</v>
      </c>
      <c r="B1152" s="3">
        <v>3.285</v>
      </c>
      <c r="C1152" s="3">
        <v>3.6988</v>
      </c>
      <c r="D1152" s="3">
        <v>3.3388</v>
      </c>
      <c r="E1152" s="3">
        <v>3.77</v>
      </c>
      <c r="F1152" s="3">
        <v>3.3119</v>
      </c>
      <c r="G1152" s="3">
        <v>3.7344</v>
      </c>
    </row>
    <row r="1153" spans="1:7">
      <c r="A1153" s="2">
        <v>42727</v>
      </c>
      <c r="B1153" s="3">
        <v>3.3075</v>
      </c>
      <c r="C1153" s="3">
        <v>3.7336</v>
      </c>
      <c r="D1153" s="3">
        <v>3.3575</v>
      </c>
      <c r="E1153" s="3">
        <v>3.7888</v>
      </c>
      <c r="F1153" s="3">
        <v>3.3325</v>
      </c>
      <c r="G1153" s="3">
        <v>3.7612</v>
      </c>
    </row>
    <row r="1154" spans="1:7">
      <c r="A1154" s="2">
        <v>42730</v>
      </c>
      <c r="B1154" s="3">
        <v>3.3238</v>
      </c>
      <c r="C1154" s="3">
        <v>3.77</v>
      </c>
      <c r="D1154" s="3">
        <v>3.3838</v>
      </c>
      <c r="E1154" s="3">
        <v>3.8338</v>
      </c>
      <c r="F1154" s="3">
        <v>3.3538</v>
      </c>
      <c r="G1154" s="3">
        <v>3.8019</v>
      </c>
    </row>
    <row r="1155" spans="1:7">
      <c r="A1155" s="2">
        <v>42731</v>
      </c>
      <c r="B1155" s="3">
        <v>3.3496</v>
      </c>
      <c r="C1155" s="3">
        <v>3.8221</v>
      </c>
      <c r="D1155" s="3">
        <v>3.4175</v>
      </c>
      <c r="E1155" s="3">
        <v>3.8863</v>
      </c>
      <c r="F1155" s="3">
        <v>3.3836</v>
      </c>
      <c r="G1155" s="3">
        <v>3.8542</v>
      </c>
    </row>
    <row r="1156" spans="1:7">
      <c r="A1156" s="2">
        <v>42732</v>
      </c>
      <c r="B1156" s="3">
        <v>3.3494</v>
      </c>
      <c r="C1156" s="3">
        <v>3.8325</v>
      </c>
      <c r="D1156" s="3">
        <v>3.4169</v>
      </c>
      <c r="E1156" s="3">
        <v>3.885</v>
      </c>
      <c r="F1156" s="3">
        <v>3.3831</v>
      </c>
      <c r="G1156" s="3">
        <v>3.8588</v>
      </c>
    </row>
    <row r="1157" spans="1:7">
      <c r="A1157" s="2">
        <v>42733</v>
      </c>
      <c r="B1157" s="3">
        <v>3.3263</v>
      </c>
      <c r="C1157" s="3">
        <v>3.7863</v>
      </c>
      <c r="D1157" s="3">
        <v>3.3763</v>
      </c>
      <c r="E1157" s="3">
        <v>3.84</v>
      </c>
      <c r="F1157" s="3">
        <v>3.3513</v>
      </c>
      <c r="G1157" s="3">
        <v>3.8131</v>
      </c>
    </row>
    <row r="1158" spans="1:7">
      <c r="A1158" s="2">
        <v>42734</v>
      </c>
      <c r="B1158" s="3">
        <v>3.3229</v>
      </c>
      <c r="C1158" s="3">
        <v>3.7838</v>
      </c>
      <c r="D1158" s="3">
        <v>3.3775</v>
      </c>
      <c r="E1158" s="3">
        <v>3.8413</v>
      </c>
      <c r="F1158" s="3">
        <v>3.3502</v>
      </c>
      <c r="G1158" s="3">
        <v>3.8125</v>
      </c>
    </row>
    <row r="1159" spans="1:7">
      <c r="A1159" s="2">
        <v>42738</v>
      </c>
      <c r="B1159" s="3">
        <v>3.3659</v>
      </c>
      <c r="C1159" s="3">
        <v>3.8419</v>
      </c>
      <c r="D1159" s="3">
        <v>3.4131</v>
      </c>
      <c r="E1159" s="3">
        <v>3.9006</v>
      </c>
      <c r="F1159" s="3">
        <v>3.3895</v>
      </c>
      <c r="G1159" s="3">
        <v>3.8713</v>
      </c>
    </row>
    <row r="1160" spans="1:7">
      <c r="A1160" s="2">
        <v>42739</v>
      </c>
      <c r="B1160" s="3">
        <v>3.3713</v>
      </c>
      <c r="C1160" s="3">
        <v>3.855</v>
      </c>
      <c r="D1160" s="3">
        <v>3.4129</v>
      </c>
      <c r="E1160" s="3">
        <v>3.9038</v>
      </c>
      <c r="F1160" s="3">
        <v>3.3921</v>
      </c>
      <c r="G1160" s="3">
        <v>3.8794</v>
      </c>
    </row>
    <row r="1161" spans="1:7">
      <c r="A1161" s="2">
        <v>42740</v>
      </c>
      <c r="B1161" s="3">
        <v>3.3634</v>
      </c>
      <c r="C1161" s="3">
        <v>3.8513</v>
      </c>
      <c r="D1161" s="3">
        <v>3.4056</v>
      </c>
      <c r="E1161" s="3">
        <v>3.9013</v>
      </c>
      <c r="F1161" s="3">
        <v>3.3845</v>
      </c>
      <c r="G1161" s="3">
        <v>3.8763</v>
      </c>
    </row>
    <row r="1162" spans="1:7">
      <c r="A1162" s="2">
        <v>42741</v>
      </c>
      <c r="B1162" s="3">
        <v>3.3108</v>
      </c>
      <c r="C1162" s="3">
        <v>3.7989</v>
      </c>
      <c r="D1162" s="3">
        <v>3.3678</v>
      </c>
      <c r="E1162" s="3">
        <v>3.8678</v>
      </c>
      <c r="F1162" s="3">
        <v>3.3393</v>
      </c>
      <c r="G1162" s="3">
        <v>3.8333</v>
      </c>
    </row>
    <row r="1163" spans="1:7">
      <c r="A1163" s="2">
        <v>42744</v>
      </c>
      <c r="B1163" s="3">
        <v>3.1733</v>
      </c>
      <c r="C1163" s="3">
        <v>3.6592</v>
      </c>
      <c r="D1163" s="3">
        <v>3.2216</v>
      </c>
      <c r="E1163" s="3">
        <v>3.7288</v>
      </c>
      <c r="F1163" s="3">
        <v>3.1975</v>
      </c>
      <c r="G1163" s="3">
        <v>3.694</v>
      </c>
    </row>
    <row r="1164" spans="1:7">
      <c r="A1164" s="2">
        <v>42745</v>
      </c>
      <c r="B1164" s="3">
        <v>3.1616</v>
      </c>
      <c r="C1164" s="3">
        <v>3.6325</v>
      </c>
      <c r="D1164" s="3">
        <v>3.2063</v>
      </c>
      <c r="E1164" s="3">
        <v>3.69</v>
      </c>
      <c r="F1164" s="3">
        <v>3.1839</v>
      </c>
      <c r="G1164" s="3">
        <v>3.6613</v>
      </c>
    </row>
    <row r="1165" spans="1:7">
      <c r="A1165" s="2">
        <v>42746</v>
      </c>
      <c r="B1165" s="3">
        <v>3.1846</v>
      </c>
      <c r="C1165" s="3">
        <v>3.65</v>
      </c>
      <c r="D1165" s="3">
        <v>3.2338</v>
      </c>
      <c r="E1165" s="3">
        <v>3.7175</v>
      </c>
      <c r="F1165" s="3">
        <v>3.2092</v>
      </c>
      <c r="G1165" s="3">
        <v>3.6838</v>
      </c>
    </row>
    <row r="1166" spans="1:7">
      <c r="A1166" s="2">
        <v>42747</v>
      </c>
      <c r="B1166" s="3">
        <v>3.145</v>
      </c>
      <c r="C1166" s="3">
        <v>3.6125</v>
      </c>
      <c r="D1166" s="3">
        <v>3.2025</v>
      </c>
      <c r="E1166" s="3">
        <v>3.6788</v>
      </c>
      <c r="F1166" s="3">
        <v>3.1738</v>
      </c>
      <c r="G1166" s="3">
        <v>3.6456</v>
      </c>
    </row>
    <row r="1167" spans="1:7">
      <c r="A1167" s="2">
        <v>42748</v>
      </c>
      <c r="B1167" s="3">
        <v>3.1316</v>
      </c>
      <c r="C1167" s="3">
        <v>3.5825</v>
      </c>
      <c r="D1167" s="3">
        <v>3.1825</v>
      </c>
      <c r="E1167" s="3">
        <v>3.65</v>
      </c>
      <c r="F1167" s="3">
        <v>3.1571</v>
      </c>
      <c r="G1167" s="3">
        <v>3.6163</v>
      </c>
    </row>
    <row r="1168" spans="1:7">
      <c r="A1168" s="2">
        <v>42751</v>
      </c>
      <c r="B1168" s="3">
        <v>3.2325</v>
      </c>
      <c r="C1168" s="3">
        <v>3.7063</v>
      </c>
      <c r="D1168" s="3">
        <v>3.291</v>
      </c>
      <c r="E1168" s="3">
        <v>3.77</v>
      </c>
      <c r="F1168" s="3">
        <v>3.2618</v>
      </c>
      <c r="G1168" s="3">
        <v>3.7381</v>
      </c>
    </row>
    <row r="1169" spans="1:7">
      <c r="A1169" s="2">
        <v>42752</v>
      </c>
      <c r="B1169" s="3">
        <v>3.1929</v>
      </c>
      <c r="C1169" s="3">
        <v>3.6775</v>
      </c>
      <c r="D1169" s="3">
        <v>3.2388</v>
      </c>
      <c r="E1169" s="3">
        <v>3.7325</v>
      </c>
      <c r="F1169" s="3">
        <v>3.2158</v>
      </c>
      <c r="G1169" s="3">
        <v>3.705</v>
      </c>
    </row>
    <row r="1170" spans="1:7">
      <c r="A1170" s="2">
        <v>42753</v>
      </c>
      <c r="B1170" s="3">
        <v>3.2063</v>
      </c>
      <c r="C1170" s="3">
        <v>3.6813</v>
      </c>
      <c r="D1170" s="3">
        <v>3.2594</v>
      </c>
      <c r="E1170" s="3">
        <v>3.7394</v>
      </c>
      <c r="F1170" s="3">
        <v>3.2328</v>
      </c>
      <c r="G1170" s="3">
        <v>3.7103</v>
      </c>
    </row>
    <row r="1171" spans="1:7">
      <c r="A1171" s="2">
        <v>42754</v>
      </c>
      <c r="B1171" s="3">
        <v>3.1715</v>
      </c>
      <c r="C1171" s="3">
        <v>3.6513</v>
      </c>
      <c r="D1171" s="3">
        <v>3.2269</v>
      </c>
      <c r="E1171" s="3">
        <v>3.72</v>
      </c>
      <c r="F1171" s="3">
        <v>3.1992</v>
      </c>
      <c r="G1171" s="3">
        <v>3.6856</v>
      </c>
    </row>
    <row r="1172" spans="1:7">
      <c r="A1172" s="2">
        <v>42755</v>
      </c>
      <c r="B1172" s="3">
        <v>3.1278</v>
      </c>
      <c r="C1172" s="3">
        <v>3.6069</v>
      </c>
      <c r="D1172" s="3">
        <v>3.1729</v>
      </c>
      <c r="E1172" s="3">
        <v>3.6725</v>
      </c>
      <c r="F1172" s="3">
        <v>3.1503</v>
      </c>
      <c r="G1172" s="3">
        <v>3.6397</v>
      </c>
    </row>
    <row r="1173" spans="1:7">
      <c r="A1173" s="2">
        <v>42757</v>
      </c>
      <c r="B1173" s="3">
        <v>3.1188</v>
      </c>
      <c r="C1173" s="3">
        <v>3.6025</v>
      </c>
      <c r="D1173" s="3">
        <v>3.1688</v>
      </c>
      <c r="E1173" s="3">
        <v>3.6675</v>
      </c>
      <c r="F1173" s="3">
        <v>3.1438</v>
      </c>
      <c r="G1173" s="3">
        <v>3.635</v>
      </c>
    </row>
    <row r="1174" spans="1:7">
      <c r="A1174" s="2">
        <v>42758</v>
      </c>
      <c r="B1174" s="3">
        <v>3.1096</v>
      </c>
      <c r="C1174" s="3">
        <v>3.6088</v>
      </c>
      <c r="D1174" s="3">
        <v>3.1625</v>
      </c>
      <c r="E1174" s="3">
        <v>3.6694</v>
      </c>
      <c r="F1174" s="3">
        <v>3.1361</v>
      </c>
      <c r="G1174" s="3">
        <v>3.6391</v>
      </c>
    </row>
    <row r="1175" spans="1:7">
      <c r="A1175" s="2">
        <v>42759</v>
      </c>
      <c r="B1175" s="3">
        <v>3.17</v>
      </c>
      <c r="C1175" s="3">
        <v>3.6588</v>
      </c>
      <c r="D1175" s="3">
        <v>3.2175</v>
      </c>
      <c r="E1175" s="3">
        <v>3.7206</v>
      </c>
      <c r="F1175" s="3">
        <v>3.1938</v>
      </c>
      <c r="G1175" s="3">
        <v>3.6897</v>
      </c>
    </row>
    <row r="1176" spans="1:7">
      <c r="A1176" s="2">
        <v>42760</v>
      </c>
      <c r="B1176" s="3">
        <v>3.2596</v>
      </c>
      <c r="C1176" s="3">
        <v>3.795</v>
      </c>
      <c r="D1176" s="3">
        <v>3.3138</v>
      </c>
      <c r="E1176" s="3">
        <v>3.8575</v>
      </c>
      <c r="F1176" s="3">
        <v>3.2867</v>
      </c>
      <c r="G1176" s="3">
        <v>3.8263</v>
      </c>
    </row>
    <row r="1177" spans="1:7">
      <c r="A1177" s="2">
        <v>42761</v>
      </c>
      <c r="B1177" s="3">
        <v>3.27</v>
      </c>
      <c r="C1177" s="3">
        <v>3.805</v>
      </c>
      <c r="D1177" s="3">
        <v>3.33</v>
      </c>
      <c r="E1177" s="3">
        <v>3.8725</v>
      </c>
      <c r="F1177" s="3">
        <v>3.3</v>
      </c>
      <c r="G1177" s="3">
        <v>3.8388</v>
      </c>
    </row>
    <row r="1178" spans="1:7">
      <c r="A1178" s="2">
        <v>42769</v>
      </c>
      <c r="B1178" s="3">
        <v>3.3925</v>
      </c>
      <c r="C1178" s="3">
        <v>3.9388</v>
      </c>
      <c r="D1178" s="3">
        <v>3.4425</v>
      </c>
      <c r="E1178" s="3">
        <v>4.0069</v>
      </c>
      <c r="F1178" s="3">
        <v>3.4175</v>
      </c>
      <c r="G1178" s="3">
        <v>3.9728</v>
      </c>
    </row>
    <row r="1179" spans="1:7">
      <c r="A1179" s="2">
        <v>42770</v>
      </c>
      <c r="B1179" s="3">
        <v>3.395</v>
      </c>
      <c r="C1179" s="3">
        <v>3.9425</v>
      </c>
      <c r="D1179" s="3">
        <v>3.4563</v>
      </c>
      <c r="E1179" s="3">
        <v>4.0181</v>
      </c>
      <c r="F1179" s="3">
        <v>3.4256</v>
      </c>
      <c r="G1179" s="3">
        <v>3.9803</v>
      </c>
    </row>
    <row r="1180" spans="1:7">
      <c r="A1180" s="2">
        <v>42772</v>
      </c>
      <c r="B1180" s="3">
        <v>3.3913</v>
      </c>
      <c r="C1180" s="3">
        <v>3.97</v>
      </c>
      <c r="D1180" s="3">
        <v>3.4313</v>
      </c>
      <c r="E1180" s="3">
        <v>4.0181</v>
      </c>
      <c r="F1180" s="3">
        <v>3.4113</v>
      </c>
      <c r="G1180" s="3">
        <v>3.9941</v>
      </c>
    </row>
    <row r="1181" spans="1:7">
      <c r="A1181" s="2">
        <v>42773</v>
      </c>
      <c r="B1181" s="3">
        <v>3.3463</v>
      </c>
      <c r="C1181" s="3">
        <v>3.9269</v>
      </c>
      <c r="D1181" s="3">
        <v>3.4125</v>
      </c>
      <c r="E1181" s="3">
        <v>3.9981</v>
      </c>
      <c r="F1181" s="3">
        <v>3.3794</v>
      </c>
      <c r="G1181" s="3">
        <v>3.9625</v>
      </c>
    </row>
    <row r="1182" spans="1:7">
      <c r="A1182" s="2">
        <v>42774</v>
      </c>
      <c r="B1182" s="3">
        <v>3.345</v>
      </c>
      <c r="C1182" s="3">
        <v>3.9138</v>
      </c>
      <c r="D1182" s="3">
        <v>3.4075</v>
      </c>
      <c r="E1182" s="3">
        <v>3.97</v>
      </c>
      <c r="F1182" s="3">
        <v>3.3763</v>
      </c>
      <c r="G1182" s="3">
        <v>3.9419</v>
      </c>
    </row>
    <row r="1183" spans="1:7">
      <c r="A1183" s="2">
        <v>42775</v>
      </c>
      <c r="B1183" s="3">
        <v>3.3338</v>
      </c>
      <c r="C1183" s="3">
        <v>3.8788</v>
      </c>
      <c r="D1183" s="3">
        <v>3.3869</v>
      </c>
      <c r="E1183" s="3">
        <v>3.9488</v>
      </c>
      <c r="F1183" s="3">
        <v>3.3603</v>
      </c>
      <c r="G1183" s="3">
        <v>3.9138</v>
      </c>
    </row>
    <row r="1184" spans="1:7">
      <c r="A1184" s="2">
        <v>42776</v>
      </c>
      <c r="B1184" s="3">
        <v>3.3475</v>
      </c>
      <c r="C1184" s="3">
        <v>3.9181</v>
      </c>
      <c r="D1184" s="3">
        <v>3.405</v>
      </c>
      <c r="E1184" s="3">
        <v>3.98</v>
      </c>
      <c r="F1184" s="3">
        <v>3.3763</v>
      </c>
      <c r="G1184" s="3">
        <v>3.9491</v>
      </c>
    </row>
    <row r="1185" spans="1:7">
      <c r="A1185" s="2">
        <v>42779</v>
      </c>
      <c r="B1185" s="3">
        <v>3.334</v>
      </c>
      <c r="C1185" s="3">
        <v>3.902</v>
      </c>
      <c r="D1185" s="3">
        <v>3.3945</v>
      </c>
      <c r="E1185" s="3">
        <v>3.969</v>
      </c>
      <c r="F1185" s="3">
        <v>3.3643</v>
      </c>
      <c r="G1185" s="3">
        <v>3.9355</v>
      </c>
    </row>
    <row r="1186" spans="1:7">
      <c r="A1186" s="2">
        <v>42780</v>
      </c>
      <c r="B1186" s="3">
        <v>3.3375</v>
      </c>
      <c r="C1186" s="3">
        <v>3.9219</v>
      </c>
      <c r="D1186" s="3">
        <v>3.3956</v>
      </c>
      <c r="E1186" s="3">
        <v>3.9863</v>
      </c>
      <c r="F1186" s="3">
        <v>3.3666</v>
      </c>
      <c r="G1186" s="3">
        <v>3.9541</v>
      </c>
    </row>
    <row r="1187" spans="1:7">
      <c r="A1187" s="2">
        <v>42781</v>
      </c>
      <c r="B1187" s="3">
        <v>3.3588</v>
      </c>
      <c r="C1187" s="3">
        <v>3.93</v>
      </c>
      <c r="D1187" s="3">
        <v>3.4194</v>
      </c>
      <c r="E1187" s="3">
        <v>3.9963</v>
      </c>
      <c r="F1187" s="3">
        <v>3.3891</v>
      </c>
      <c r="G1187" s="3">
        <v>3.9631</v>
      </c>
    </row>
    <row r="1188" spans="1:7">
      <c r="A1188" s="2">
        <v>42782</v>
      </c>
      <c r="B1188" s="3">
        <v>3.3275</v>
      </c>
      <c r="C1188" s="3">
        <v>3.9013</v>
      </c>
      <c r="D1188" s="3">
        <v>3.3688</v>
      </c>
      <c r="E1188" s="3">
        <v>3.9488</v>
      </c>
      <c r="F1188" s="3">
        <v>3.3481</v>
      </c>
      <c r="G1188" s="3">
        <v>3.925</v>
      </c>
    </row>
    <row r="1189" spans="1:7">
      <c r="A1189" s="2">
        <v>42783</v>
      </c>
      <c r="B1189" s="3">
        <v>3.335</v>
      </c>
      <c r="C1189" s="3">
        <v>3.8919</v>
      </c>
      <c r="D1189" s="3">
        <v>3.3859</v>
      </c>
      <c r="E1189" s="3">
        <v>3.9494</v>
      </c>
      <c r="F1189" s="3">
        <v>3.3604</v>
      </c>
      <c r="G1189" s="3">
        <v>3.9206</v>
      </c>
    </row>
    <row r="1190" spans="1:7">
      <c r="A1190" s="2">
        <v>42786</v>
      </c>
      <c r="B1190" s="3">
        <v>3.3163</v>
      </c>
      <c r="C1190" s="3">
        <v>3.8338</v>
      </c>
      <c r="D1190" s="3">
        <v>3.3675</v>
      </c>
      <c r="E1190" s="3">
        <v>3.8869</v>
      </c>
      <c r="F1190" s="3">
        <v>3.3419</v>
      </c>
      <c r="G1190" s="3">
        <v>3.8603</v>
      </c>
    </row>
    <row r="1191" spans="1:7">
      <c r="A1191" s="2">
        <v>42787</v>
      </c>
      <c r="B1191" s="3">
        <v>3.3588</v>
      </c>
      <c r="C1191" s="3">
        <v>3.875</v>
      </c>
      <c r="D1191" s="3">
        <v>3.41</v>
      </c>
      <c r="E1191" s="3">
        <v>3.9413</v>
      </c>
      <c r="F1191" s="3">
        <v>3.3844</v>
      </c>
      <c r="G1191" s="3">
        <v>3.9081</v>
      </c>
    </row>
    <row r="1192" spans="1:7">
      <c r="A1192" s="2">
        <v>42788</v>
      </c>
      <c r="B1192" s="3">
        <v>3.3509</v>
      </c>
      <c r="C1192" s="3">
        <v>3.8706</v>
      </c>
      <c r="D1192" s="3">
        <v>3.4063</v>
      </c>
      <c r="E1192" s="3">
        <v>3.9313</v>
      </c>
      <c r="F1192" s="3">
        <v>3.3786</v>
      </c>
      <c r="G1192" s="3">
        <v>3.9009</v>
      </c>
    </row>
    <row r="1193" spans="1:7">
      <c r="A1193" s="2">
        <v>42789</v>
      </c>
      <c r="B1193" s="3">
        <v>3.3563</v>
      </c>
      <c r="C1193" s="3">
        <v>3.8575</v>
      </c>
      <c r="D1193" s="3">
        <v>3.4075</v>
      </c>
      <c r="E1193" s="3">
        <v>3.9238</v>
      </c>
      <c r="F1193" s="3">
        <v>3.3819</v>
      </c>
      <c r="G1193" s="3">
        <v>3.8906</v>
      </c>
    </row>
    <row r="1194" spans="1:7">
      <c r="A1194" s="2">
        <v>42790</v>
      </c>
      <c r="B1194" s="3">
        <v>3.3788</v>
      </c>
      <c r="C1194" s="3">
        <v>3.87</v>
      </c>
      <c r="D1194" s="3">
        <v>3.4213</v>
      </c>
      <c r="E1194" s="3">
        <v>3.9238</v>
      </c>
      <c r="F1194" s="3">
        <v>3.4</v>
      </c>
      <c r="G1194" s="3">
        <v>3.8969</v>
      </c>
    </row>
    <row r="1195" spans="1:7">
      <c r="A1195" s="2">
        <v>42793</v>
      </c>
      <c r="B1195" s="3">
        <v>3.3488</v>
      </c>
      <c r="C1195" s="3">
        <v>3.8488</v>
      </c>
      <c r="D1195" s="3">
        <v>3.4013</v>
      </c>
      <c r="E1195" s="3">
        <v>3.9063</v>
      </c>
      <c r="F1195" s="3">
        <v>3.375</v>
      </c>
      <c r="G1195" s="3">
        <v>3.8775</v>
      </c>
    </row>
    <row r="1196" spans="1:7">
      <c r="A1196" s="2">
        <v>42794</v>
      </c>
      <c r="B1196" s="3">
        <v>3.3513</v>
      </c>
      <c r="C1196" s="3">
        <v>3.8413</v>
      </c>
      <c r="D1196" s="3">
        <v>3.4025</v>
      </c>
      <c r="E1196" s="3">
        <v>3.9081</v>
      </c>
      <c r="F1196" s="3">
        <v>3.3769</v>
      </c>
      <c r="G1196" s="3">
        <v>3.8747</v>
      </c>
    </row>
    <row r="1197" spans="1:7">
      <c r="A1197" s="2">
        <v>42795</v>
      </c>
      <c r="B1197" s="3">
        <v>3.3813</v>
      </c>
      <c r="C1197" s="3">
        <v>3.8738</v>
      </c>
      <c r="D1197" s="3">
        <v>3.4275</v>
      </c>
      <c r="E1197" s="3">
        <v>3.9313</v>
      </c>
      <c r="F1197" s="3">
        <v>3.4044</v>
      </c>
      <c r="G1197" s="3">
        <v>3.9025</v>
      </c>
    </row>
    <row r="1198" spans="1:7">
      <c r="A1198" s="2">
        <v>42796</v>
      </c>
      <c r="B1198" s="3">
        <v>3.4113</v>
      </c>
      <c r="C1198" s="3">
        <v>3.9181</v>
      </c>
      <c r="D1198" s="3">
        <v>3.455</v>
      </c>
      <c r="E1198" s="3">
        <v>3.9769</v>
      </c>
      <c r="F1198" s="3">
        <v>3.4331</v>
      </c>
      <c r="G1198" s="3">
        <v>3.9475</v>
      </c>
    </row>
    <row r="1199" spans="1:7">
      <c r="A1199" s="2">
        <v>42797</v>
      </c>
      <c r="B1199" s="3">
        <v>3.41</v>
      </c>
      <c r="C1199" s="3">
        <v>3.9169</v>
      </c>
      <c r="D1199" s="3">
        <v>3.455</v>
      </c>
      <c r="E1199" s="3">
        <v>3.98</v>
      </c>
      <c r="F1199" s="3">
        <v>3.4325</v>
      </c>
      <c r="G1199" s="3">
        <v>3.9484</v>
      </c>
    </row>
    <row r="1200" spans="1:7">
      <c r="A1200" s="2">
        <v>42800</v>
      </c>
      <c r="B1200" s="3">
        <v>3.41</v>
      </c>
      <c r="C1200" s="3">
        <v>3.9206</v>
      </c>
      <c r="D1200" s="3">
        <v>3.455</v>
      </c>
      <c r="E1200" s="3">
        <v>3.9825</v>
      </c>
      <c r="F1200" s="3">
        <v>3.4325</v>
      </c>
      <c r="G1200" s="3">
        <v>3.9516</v>
      </c>
    </row>
    <row r="1201" spans="1:7">
      <c r="A1201" s="2">
        <v>42801</v>
      </c>
      <c r="B1201" s="3">
        <v>3.4169</v>
      </c>
      <c r="C1201" s="3">
        <v>3.9225</v>
      </c>
      <c r="D1201" s="3">
        <v>3.4731</v>
      </c>
      <c r="E1201" s="3">
        <v>3.9938</v>
      </c>
      <c r="F1201" s="3">
        <v>3.445</v>
      </c>
      <c r="G1201" s="3">
        <v>3.9581</v>
      </c>
    </row>
    <row r="1202" spans="1:7">
      <c r="A1202" s="2">
        <v>42802</v>
      </c>
      <c r="B1202" s="3">
        <v>3.5094</v>
      </c>
      <c r="C1202" s="3">
        <v>4.005</v>
      </c>
      <c r="D1202" s="3">
        <v>3.5633</v>
      </c>
      <c r="E1202" s="3">
        <v>4.0725</v>
      </c>
      <c r="F1202" s="3">
        <v>3.5363</v>
      </c>
      <c r="G1202" s="3">
        <v>4.0388</v>
      </c>
    </row>
    <row r="1203" spans="1:7">
      <c r="A1203" s="2">
        <v>42803</v>
      </c>
      <c r="B1203" s="3">
        <v>3.5138</v>
      </c>
      <c r="C1203" s="3">
        <v>4.0225</v>
      </c>
      <c r="D1203" s="3">
        <v>3.5744</v>
      </c>
      <c r="E1203" s="3">
        <v>4.0963</v>
      </c>
      <c r="F1203" s="3">
        <v>3.5441</v>
      </c>
      <c r="G1203" s="3">
        <v>4.0594</v>
      </c>
    </row>
    <row r="1204" spans="1:7">
      <c r="A1204" s="2">
        <v>42804</v>
      </c>
      <c r="B1204" s="3">
        <v>3.5006</v>
      </c>
      <c r="C1204" s="3">
        <v>4.0138</v>
      </c>
      <c r="D1204" s="3">
        <v>3.5581</v>
      </c>
      <c r="E1204" s="3">
        <v>4.0825</v>
      </c>
      <c r="F1204" s="3">
        <v>3.5294</v>
      </c>
      <c r="G1204" s="3">
        <v>4.0481</v>
      </c>
    </row>
    <row r="1205" spans="1:7">
      <c r="A1205" s="2">
        <v>42807</v>
      </c>
      <c r="B1205" s="3">
        <v>3.4575</v>
      </c>
      <c r="C1205" s="3">
        <v>3.9575</v>
      </c>
      <c r="D1205" s="3">
        <v>3.505</v>
      </c>
      <c r="E1205" s="3">
        <v>4.0106</v>
      </c>
      <c r="F1205" s="3">
        <v>3.4813</v>
      </c>
      <c r="G1205" s="3">
        <v>3.9841</v>
      </c>
    </row>
    <row r="1206" spans="1:7">
      <c r="A1206" s="2">
        <v>42808</v>
      </c>
      <c r="B1206" s="3">
        <v>3.4419</v>
      </c>
      <c r="C1206" s="3">
        <v>3.9381</v>
      </c>
      <c r="D1206" s="3">
        <v>3.5013</v>
      </c>
      <c r="E1206" s="3">
        <v>4.0025</v>
      </c>
      <c r="F1206" s="3">
        <v>3.4716</v>
      </c>
      <c r="G1206" s="3">
        <v>3.9703</v>
      </c>
    </row>
    <row r="1207" spans="1:7">
      <c r="A1207" s="2">
        <v>42809</v>
      </c>
      <c r="B1207" s="3">
        <v>3.415</v>
      </c>
      <c r="C1207" s="3">
        <v>3.9006</v>
      </c>
      <c r="D1207" s="3">
        <v>3.4638</v>
      </c>
      <c r="E1207" s="3">
        <v>3.95</v>
      </c>
      <c r="F1207" s="3">
        <v>3.4394</v>
      </c>
      <c r="G1207" s="3">
        <v>3.9253</v>
      </c>
    </row>
    <row r="1208" spans="1:7">
      <c r="A1208" s="2">
        <v>42810</v>
      </c>
      <c r="B1208" s="3">
        <v>3.5041</v>
      </c>
      <c r="C1208" s="3">
        <v>3.915</v>
      </c>
      <c r="D1208" s="3">
        <v>3.55</v>
      </c>
      <c r="E1208" s="3">
        <v>3.9744</v>
      </c>
      <c r="F1208" s="3">
        <v>3.5271</v>
      </c>
      <c r="G1208" s="3">
        <v>3.9447</v>
      </c>
    </row>
    <row r="1209" spans="1:7">
      <c r="A1209" s="2">
        <v>42811</v>
      </c>
      <c r="B1209" s="3">
        <v>3.5294</v>
      </c>
      <c r="C1209" s="3">
        <v>3.9531</v>
      </c>
      <c r="D1209" s="3">
        <v>3.5581</v>
      </c>
      <c r="E1209" s="3">
        <v>3.9944</v>
      </c>
      <c r="F1209" s="3">
        <v>3.5438</v>
      </c>
      <c r="G1209" s="3">
        <v>3.9738</v>
      </c>
    </row>
    <row r="1210" spans="1:7">
      <c r="A1210" s="2">
        <v>42814</v>
      </c>
      <c r="B1210" s="3">
        <v>3.5788</v>
      </c>
      <c r="C1210" s="3">
        <v>3.9513</v>
      </c>
      <c r="D1210" s="3">
        <v>3.6238</v>
      </c>
      <c r="E1210" s="3">
        <v>4.005</v>
      </c>
      <c r="F1210" s="3">
        <v>3.6013</v>
      </c>
      <c r="G1210" s="3">
        <v>3.9781</v>
      </c>
    </row>
    <row r="1211" spans="1:7">
      <c r="A1211" s="2">
        <v>42815</v>
      </c>
      <c r="B1211" s="3">
        <v>3.6513</v>
      </c>
      <c r="C1211" s="3">
        <v>3.9438</v>
      </c>
      <c r="D1211" s="3">
        <v>3.7144</v>
      </c>
      <c r="E1211" s="3">
        <v>4.0219</v>
      </c>
      <c r="F1211" s="3">
        <v>3.6828</v>
      </c>
      <c r="G1211" s="3">
        <v>3.9828</v>
      </c>
    </row>
    <row r="1212" spans="1:7">
      <c r="A1212" s="2">
        <v>42816</v>
      </c>
      <c r="B1212" s="3">
        <v>3.6448</v>
      </c>
      <c r="C1212" s="3">
        <v>3.9384</v>
      </c>
      <c r="D1212" s="3">
        <v>3.6935</v>
      </c>
      <c r="E1212" s="3">
        <v>4.0003</v>
      </c>
      <c r="F1212" s="3">
        <v>3.6691</v>
      </c>
      <c r="G1212" s="3">
        <v>3.9693</v>
      </c>
    </row>
    <row r="1213" spans="1:7">
      <c r="A1213" s="2">
        <v>42817</v>
      </c>
      <c r="B1213" s="3">
        <v>3.5979</v>
      </c>
      <c r="C1213" s="3">
        <v>3.9075</v>
      </c>
      <c r="D1213" s="3">
        <v>3.6471</v>
      </c>
      <c r="E1213" s="3">
        <v>3.9688</v>
      </c>
      <c r="F1213" s="3">
        <v>3.6225</v>
      </c>
      <c r="G1213" s="3">
        <v>3.9381</v>
      </c>
    </row>
    <row r="1214" spans="1:7">
      <c r="A1214" s="2">
        <v>42818</v>
      </c>
      <c r="B1214" s="3">
        <v>3.5579</v>
      </c>
      <c r="C1214" s="3">
        <v>3.8888</v>
      </c>
      <c r="D1214" s="3">
        <v>3.6113</v>
      </c>
      <c r="E1214" s="3">
        <v>3.96</v>
      </c>
      <c r="F1214" s="3">
        <v>3.5846</v>
      </c>
      <c r="G1214" s="3">
        <v>3.9244</v>
      </c>
    </row>
    <row r="1215" spans="1:7">
      <c r="A1215" s="2">
        <v>42821</v>
      </c>
      <c r="B1215" s="3">
        <v>3.5466</v>
      </c>
      <c r="C1215" s="3">
        <v>3.8694</v>
      </c>
      <c r="D1215" s="3">
        <v>3.6025</v>
      </c>
      <c r="E1215" s="3">
        <v>3.9381</v>
      </c>
      <c r="F1215" s="3">
        <v>3.5746</v>
      </c>
      <c r="G1215" s="3">
        <v>3.9038</v>
      </c>
    </row>
    <row r="1216" spans="1:7">
      <c r="A1216" s="2">
        <v>42822</v>
      </c>
      <c r="B1216" s="3">
        <v>3.5259</v>
      </c>
      <c r="C1216" s="3">
        <v>3.8638</v>
      </c>
      <c r="D1216" s="3">
        <v>3.5775</v>
      </c>
      <c r="E1216" s="3">
        <v>3.9213</v>
      </c>
      <c r="F1216" s="3">
        <v>3.5517</v>
      </c>
      <c r="G1216" s="3">
        <v>3.8925</v>
      </c>
    </row>
    <row r="1217" spans="1:7">
      <c r="A1217" s="2">
        <v>42823</v>
      </c>
      <c r="B1217" s="3">
        <v>3.5681</v>
      </c>
      <c r="C1217" s="3">
        <v>3.875</v>
      </c>
      <c r="D1217" s="3">
        <v>3.6169</v>
      </c>
      <c r="E1217" s="3">
        <v>3.9388</v>
      </c>
      <c r="F1217" s="3">
        <v>3.5925</v>
      </c>
      <c r="G1217" s="3">
        <v>3.9069</v>
      </c>
    </row>
    <row r="1218" spans="1:7">
      <c r="A1218" s="2">
        <v>42824</v>
      </c>
      <c r="B1218" s="3">
        <v>3.5675</v>
      </c>
      <c r="C1218" s="3">
        <v>3.8813</v>
      </c>
      <c r="D1218" s="3">
        <v>3.6231</v>
      </c>
      <c r="E1218" s="3">
        <v>3.9413</v>
      </c>
      <c r="F1218" s="3">
        <v>3.5953</v>
      </c>
      <c r="G1218" s="3">
        <v>3.9113</v>
      </c>
    </row>
    <row r="1219" spans="1:7">
      <c r="A1219" s="2">
        <v>42825</v>
      </c>
      <c r="B1219" s="3">
        <v>3.5771</v>
      </c>
      <c r="C1219" s="3">
        <v>3.8738</v>
      </c>
      <c r="D1219" s="3">
        <v>3.6363</v>
      </c>
      <c r="E1219" s="3">
        <v>3.9388</v>
      </c>
      <c r="F1219" s="3">
        <v>3.6067</v>
      </c>
      <c r="G1219" s="3">
        <v>3.9063</v>
      </c>
    </row>
    <row r="1220" spans="1:7">
      <c r="A1220" s="2">
        <v>42826</v>
      </c>
      <c r="B1220" s="3">
        <v>3.5525</v>
      </c>
      <c r="C1220" s="3">
        <v>3.8763</v>
      </c>
      <c r="D1220" s="3">
        <v>3.6075</v>
      </c>
      <c r="E1220" s="3">
        <v>3.9425</v>
      </c>
      <c r="F1220" s="3">
        <v>3.58</v>
      </c>
      <c r="G1220" s="3">
        <v>3.9094</v>
      </c>
    </row>
    <row r="1221" spans="1:7">
      <c r="A1221" s="2">
        <v>42830</v>
      </c>
      <c r="B1221" s="3">
        <v>3.5356</v>
      </c>
      <c r="C1221" s="3">
        <v>3.8629</v>
      </c>
      <c r="D1221" s="3">
        <v>3.5958</v>
      </c>
      <c r="E1221" s="3">
        <v>3.9288</v>
      </c>
      <c r="F1221" s="3">
        <v>3.5657</v>
      </c>
      <c r="G1221" s="3">
        <v>3.8958</v>
      </c>
    </row>
    <row r="1222" spans="1:7">
      <c r="A1222" s="2">
        <v>42831</v>
      </c>
      <c r="B1222" s="3">
        <v>3.552</v>
      </c>
      <c r="C1222" s="3">
        <v>3.87</v>
      </c>
      <c r="D1222" s="3">
        <v>3.604</v>
      </c>
      <c r="E1222" s="3">
        <v>3.928</v>
      </c>
      <c r="F1222" s="3">
        <v>3.578</v>
      </c>
      <c r="G1222" s="3">
        <v>3.899</v>
      </c>
    </row>
    <row r="1223" spans="1:7">
      <c r="A1223" s="2">
        <v>42832</v>
      </c>
      <c r="B1223" s="3">
        <v>3.533</v>
      </c>
      <c r="C1223" s="3">
        <v>3.8433</v>
      </c>
      <c r="D1223" s="3">
        <v>3.5789</v>
      </c>
      <c r="E1223" s="3">
        <v>3.8994</v>
      </c>
      <c r="F1223" s="3">
        <v>3.5559</v>
      </c>
      <c r="G1223" s="3">
        <v>3.8714</v>
      </c>
    </row>
    <row r="1224" spans="1:7">
      <c r="A1224" s="2">
        <v>42835</v>
      </c>
      <c r="B1224" s="3">
        <v>3.555</v>
      </c>
      <c r="C1224" s="3">
        <v>3.875</v>
      </c>
      <c r="D1224" s="3">
        <v>3.5643</v>
      </c>
      <c r="E1224" s="3">
        <v>3.8778</v>
      </c>
      <c r="F1224" s="3">
        <v>3.5597</v>
      </c>
      <c r="G1224" s="3">
        <v>3.8764</v>
      </c>
    </row>
    <row r="1225" spans="1:7">
      <c r="A1225" s="2">
        <v>42836</v>
      </c>
      <c r="B1225" s="3">
        <v>3.5575</v>
      </c>
      <c r="C1225" s="3">
        <v>3.87</v>
      </c>
      <c r="D1225" s="3">
        <v>3.5625</v>
      </c>
      <c r="E1225" s="3">
        <v>3.88</v>
      </c>
      <c r="F1225" s="3">
        <v>3.56</v>
      </c>
      <c r="G1225" s="3">
        <v>3.875</v>
      </c>
    </row>
    <row r="1226" spans="1:7">
      <c r="A1226" s="2">
        <v>42837</v>
      </c>
      <c r="B1226" s="3">
        <v>3.568</v>
      </c>
      <c r="C1226" s="3">
        <v>3.8813</v>
      </c>
      <c r="D1226" s="3">
        <v>3.5775</v>
      </c>
      <c r="E1226" s="3">
        <v>3.8875</v>
      </c>
      <c r="F1226" s="3">
        <v>3.5727</v>
      </c>
      <c r="G1226" s="3">
        <v>3.8844</v>
      </c>
    </row>
    <row r="1227" spans="1:7">
      <c r="A1227" s="2">
        <v>42838</v>
      </c>
      <c r="B1227" s="3">
        <v>3.575</v>
      </c>
      <c r="C1227" s="3">
        <v>3.8625</v>
      </c>
      <c r="D1227" s="3">
        <v>3.585</v>
      </c>
      <c r="E1227" s="3">
        <v>3.8651</v>
      </c>
      <c r="F1227" s="3">
        <v>3.58</v>
      </c>
      <c r="G1227" s="3">
        <v>3.8638</v>
      </c>
    </row>
    <row r="1228" spans="1:7">
      <c r="A1228" s="2">
        <v>42839</v>
      </c>
      <c r="B1228" s="3">
        <v>3.595</v>
      </c>
      <c r="C1228" s="3">
        <v>3.9028</v>
      </c>
      <c r="D1228" s="3">
        <v>3.6083</v>
      </c>
      <c r="E1228" s="3">
        <v>3.9057</v>
      </c>
      <c r="F1228" s="3">
        <v>3.6017</v>
      </c>
      <c r="G1228" s="3">
        <v>3.9043</v>
      </c>
    </row>
    <row r="1229" spans="1:7">
      <c r="A1229" s="2">
        <v>42842</v>
      </c>
      <c r="B1229" s="3">
        <v>3.6333</v>
      </c>
      <c r="C1229" s="3">
        <v>3.9381</v>
      </c>
      <c r="D1229" s="3">
        <v>3.6427</v>
      </c>
      <c r="E1229" s="3">
        <v>3.941</v>
      </c>
      <c r="F1229" s="3">
        <v>3.638</v>
      </c>
      <c r="G1229" s="3">
        <v>3.9395</v>
      </c>
    </row>
    <row r="1230" spans="1:7">
      <c r="A1230" s="2">
        <v>42843</v>
      </c>
      <c r="B1230" s="3">
        <v>3.6271</v>
      </c>
      <c r="C1230" s="3">
        <v>3.9345</v>
      </c>
      <c r="D1230" s="3">
        <v>3.6331</v>
      </c>
      <c r="E1230" s="3">
        <v>3.9372</v>
      </c>
      <c r="F1230" s="3">
        <v>3.6301</v>
      </c>
      <c r="G1230" s="3">
        <v>3.9359</v>
      </c>
    </row>
    <row r="1231" spans="1:7">
      <c r="A1231" s="2">
        <v>42844</v>
      </c>
      <c r="B1231" s="3">
        <v>3.637</v>
      </c>
      <c r="C1231" s="3">
        <v>3.9271</v>
      </c>
      <c r="D1231" s="3">
        <v>3.64</v>
      </c>
      <c r="E1231" s="3">
        <v>3.93</v>
      </c>
      <c r="F1231" s="3">
        <v>3.6385</v>
      </c>
      <c r="G1231" s="3">
        <v>3.9285</v>
      </c>
    </row>
    <row r="1232" spans="1:7">
      <c r="A1232" s="2">
        <v>42845</v>
      </c>
      <c r="B1232" s="3">
        <v>3.6451</v>
      </c>
      <c r="C1232" s="3">
        <v>3.948</v>
      </c>
      <c r="D1232" s="3">
        <v>3.65</v>
      </c>
      <c r="E1232" s="3">
        <v>3.9524</v>
      </c>
      <c r="F1232" s="3">
        <v>3.6476</v>
      </c>
      <c r="G1232" s="3">
        <v>3.9502</v>
      </c>
    </row>
    <row r="1233" spans="1:7">
      <c r="A1233" s="2">
        <v>42846</v>
      </c>
      <c r="B1233" s="3">
        <v>3.6458</v>
      </c>
      <c r="C1233" s="3">
        <v>3.9725</v>
      </c>
      <c r="D1233" s="3">
        <v>3.66</v>
      </c>
      <c r="E1233" s="3">
        <v>3.975</v>
      </c>
      <c r="F1233" s="3">
        <v>3.6529</v>
      </c>
      <c r="G1233" s="3">
        <v>3.9738</v>
      </c>
    </row>
    <row r="1234" spans="1:7">
      <c r="A1234" s="2">
        <v>42849</v>
      </c>
      <c r="B1234" s="3">
        <v>3.6441</v>
      </c>
      <c r="C1234" s="3">
        <v>3.9882</v>
      </c>
      <c r="D1234" s="3">
        <v>3.655</v>
      </c>
      <c r="E1234" s="3">
        <v>3.9918</v>
      </c>
      <c r="F1234" s="3">
        <v>3.6495</v>
      </c>
      <c r="G1234" s="3">
        <v>3.99</v>
      </c>
    </row>
    <row r="1235" spans="1:7">
      <c r="A1235" s="2">
        <v>42850</v>
      </c>
      <c r="B1235" s="3">
        <v>3.6046</v>
      </c>
      <c r="C1235" s="3">
        <v>3.9369</v>
      </c>
      <c r="D1235" s="3">
        <v>3.6096</v>
      </c>
      <c r="E1235" s="3">
        <v>3.941</v>
      </c>
      <c r="F1235" s="3">
        <v>3.6071</v>
      </c>
      <c r="G1235" s="3">
        <v>3.939</v>
      </c>
    </row>
    <row r="1236" spans="1:7">
      <c r="A1236" s="2">
        <v>42851</v>
      </c>
      <c r="B1236" s="3">
        <v>3.62</v>
      </c>
      <c r="C1236" s="3">
        <v>3.9525</v>
      </c>
      <c r="D1236" s="3">
        <v>3.6225</v>
      </c>
      <c r="E1236" s="3">
        <v>3.9554</v>
      </c>
      <c r="F1236" s="3">
        <v>3.6213</v>
      </c>
      <c r="G1236" s="3">
        <v>3.954</v>
      </c>
    </row>
    <row r="1237" spans="1:7">
      <c r="A1237" s="2">
        <v>42852</v>
      </c>
      <c r="B1237" s="3">
        <v>3.6375</v>
      </c>
      <c r="C1237" s="3">
        <v>3.9475</v>
      </c>
      <c r="D1237" s="3">
        <v>3.645</v>
      </c>
      <c r="E1237" s="3">
        <v>3.9525</v>
      </c>
      <c r="F1237" s="3">
        <v>3.6413</v>
      </c>
      <c r="G1237" s="3">
        <v>3.95</v>
      </c>
    </row>
    <row r="1238" spans="1:7">
      <c r="A1238" s="2">
        <v>42853</v>
      </c>
      <c r="B1238" s="3">
        <v>3.675</v>
      </c>
      <c r="C1238" s="3">
        <v>3.9725</v>
      </c>
      <c r="D1238" s="3">
        <v>3.68</v>
      </c>
      <c r="E1238" s="3">
        <v>3.9775</v>
      </c>
      <c r="F1238" s="3">
        <v>3.6775</v>
      </c>
      <c r="G1238" s="3">
        <v>3.975</v>
      </c>
    </row>
    <row r="1239" spans="1:7">
      <c r="A1239" s="2">
        <v>42857</v>
      </c>
      <c r="B1239" s="3">
        <v>3.7115</v>
      </c>
      <c r="C1239" s="3">
        <v>4</v>
      </c>
      <c r="D1239" s="3">
        <v>3.7167</v>
      </c>
      <c r="E1239" s="3">
        <v>4.0061</v>
      </c>
      <c r="F1239" s="3">
        <v>3.7141</v>
      </c>
      <c r="G1239" s="3">
        <v>4.003</v>
      </c>
    </row>
    <row r="1240" spans="1:7">
      <c r="A1240" s="2">
        <v>42858</v>
      </c>
      <c r="B1240" s="3">
        <v>3.755</v>
      </c>
      <c r="C1240" s="3">
        <v>4.0134</v>
      </c>
      <c r="D1240" s="3">
        <v>3.76</v>
      </c>
      <c r="E1240" s="3">
        <v>4.0219</v>
      </c>
      <c r="F1240" s="3">
        <v>3.7575</v>
      </c>
      <c r="G1240" s="3">
        <v>4.0176</v>
      </c>
    </row>
    <row r="1241" spans="1:7">
      <c r="A1241" s="2">
        <v>42859</v>
      </c>
      <c r="B1241" s="3">
        <v>3.8088</v>
      </c>
      <c r="C1241" s="3">
        <v>4.0835</v>
      </c>
      <c r="D1241" s="3">
        <v>3.8222</v>
      </c>
      <c r="E1241" s="3">
        <v>4.0941</v>
      </c>
      <c r="F1241" s="3">
        <v>3.8155</v>
      </c>
      <c r="G1241" s="3">
        <v>4.0888</v>
      </c>
    </row>
    <row r="1242" spans="1:7">
      <c r="A1242" s="2">
        <v>42860</v>
      </c>
      <c r="B1242" s="3">
        <v>3.76</v>
      </c>
      <c r="C1242" s="3">
        <v>4.0509</v>
      </c>
      <c r="D1242" s="3">
        <v>3.7725</v>
      </c>
      <c r="E1242" s="3">
        <v>4.057</v>
      </c>
      <c r="F1242" s="3">
        <v>3.7663</v>
      </c>
      <c r="G1242" s="3">
        <v>4.0539</v>
      </c>
    </row>
    <row r="1243" spans="1:7">
      <c r="A1243" s="2">
        <v>42863</v>
      </c>
      <c r="B1243" s="3">
        <v>3.77</v>
      </c>
      <c r="C1243" s="3">
        <v>4.0729</v>
      </c>
      <c r="D1243" s="3">
        <v>3.7756</v>
      </c>
      <c r="E1243" s="3">
        <v>4.0771</v>
      </c>
      <c r="F1243" s="3">
        <v>3.7728</v>
      </c>
      <c r="G1243" s="3">
        <v>4.075</v>
      </c>
    </row>
    <row r="1244" spans="1:7">
      <c r="A1244" s="2">
        <v>42864</v>
      </c>
      <c r="B1244" s="3">
        <v>3.8014</v>
      </c>
      <c r="C1244" s="3">
        <v>4.1356</v>
      </c>
      <c r="D1244" s="3">
        <v>3.8205</v>
      </c>
      <c r="E1244" s="3">
        <v>4.14</v>
      </c>
      <c r="F1244" s="3">
        <v>3.8109</v>
      </c>
      <c r="G1244" s="3">
        <v>4.1378</v>
      </c>
    </row>
    <row r="1245" spans="1:7">
      <c r="A1245" s="2">
        <v>42865</v>
      </c>
      <c r="B1245" s="3">
        <v>3.8366</v>
      </c>
      <c r="C1245" s="3">
        <v>4.1718</v>
      </c>
      <c r="D1245" s="3">
        <v>3.8402</v>
      </c>
      <c r="E1245" s="3">
        <v>4.1762</v>
      </c>
      <c r="F1245" s="3">
        <v>3.8384</v>
      </c>
      <c r="G1245" s="3">
        <v>4.174</v>
      </c>
    </row>
    <row r="1246" spans="1:7">
      <c r="A1246" s="2">
        <v>42866</v>
      </c>
      <c r="B1246" s="3">
        <v>3.7875</v>
      </c>
      <c r="C1246" s="3">
        <v>4.1045</v>
      </c>
      <c r="D1246" s="3">
        <v>3.7937</v>
      </c>
      <c r="E1246" s="3">
        <v>4.1073</v>
      </c>
      <c r="F1246" s="3">
        <v>3.7906</v>
      </c>
      <c r="G1246" s="3">
        <v>4.1059</v>
      </c>
    </row>
    <row r="1247" spans="1:7">
      <c r="A1247" s="2">
        <v>42867</v>
      </c>
      <c r="B1247" s="3">
        <v>3.8022</v>
      </c>
      <c r="C1247" s="3">
        <v>4.1267</v>
      </c>
      <c r="D1247" s="3">
        <v>3.8053</v>
      </c>
      <c r="E1247" s="3">
        <v>4.1302</v>
      </c>
      <c r="F1247" s="3">
        <v>3.8038</v>
      </c>
      <c r="G1247" s="3">
        <v>4.1284</v>
      </c>
    </row>
    <row r="1248" spans="1:7">
      <c r="A1248" s="2">
        <v>42870</v>
      </c>
      <c r="B1248" s="3">
        <v>3.7345</v>
      </c>
      <c r="C1248" s="3">
        <v>4.0641</v>
      </c>
      <c r="D1248" s="3">
        <v>3.74</v>
      </c>
      <c r="E1248" s="3">
        <v>4.0677</v>
      </c>
      <c r="F1248" s="3">
        <v>3.7372</v>
      </c>
      <c r="G1248" s="3">
        <v>4.0659</v>
      </c>
    </row>
    <row r="1249" spans="1:7">
      <c r="A1249" s="2">
        <v>42871</v>
      </c>
      <c r="B1249" s="3">
        <v>3.7375</v>
      </c>
      <c r="C1249" s="3">
        <v>4.057</v>
      </c>
      <c r="D1249" s="3">
        <v>3.7425</v>
      </c>
      <c r="E1249" s="3">
        <v>4.06</v>
      </c>
      <c r="F1249" s="3">
        <v>3.74</v>
      </c>
      <c r="G1249" s="3">
        <v>4.0585</v>
      </c>
    </row>
    <row r="1250" spans="1:7">
      <c r="A1250" s="2">
        <v>42872</v>
      </c>
      <c r="B1250" s="3">
        <v>3.71</v>
      </c>
      <c r="C1250" s="3">
        <v>4.01</v>
      </c>
      <c r="D1250" s="3">
        <v>3.72</v>
      </c>
      <c r="E1250" s="3">
        <v>4.015</v>
      </c>
      <c r="F1250" s="3">
        <v>3.715</v>
      </c>
      <c r="G1250" s="3">
        <v>4.0125</v>
      </c>
    </row>
    <row r="1251" spans="1:7">
      <c r="A1251" s="2">
        <v>42873</v>
      </c>
      <c r="B1251" s="3">
        <v>3.6994</v>
      </c>
      <c r="C1251" s="3">
        <v>3.98</v>
      </c>
      <c r="D1251" s="3">
        <v>3.7035</v>
      </c>
      <c r="E1251" s="3">
        <v>3.9829</v>
      </c>
      <c r="F1251" s="3">
        <v>3.7015</v>
      </c>
      <c r="G1251" s="3">
        <v>3.9815</v>
      </c>
    </row>
    <row r="1252" spans="1:7">
      <c r="A1252" s="2">
        <v>42874</v>
      </c>
      <c r="B1252" s="3">
        <v>3.715</v>
      </c>
      <c r="C1252" s="3">
        <v>4.0002</v>
      </c>
      <c r="D1252" s="3">
        <v>3.725</v>
      </c>
      <c r="E1252" s="3">
        <v>4.005</v>
      </c>
      <c r="F1252" s="3">
        <v>3.72</v>
      </c>
      <c r="G1252" s="3">
        <v>4.0026</v>
      </c>
    </row>
    <row r="1253" spans="1:7">
      <c r="A1253" s="2">
        <v>42877</v>
      </c>
      <c r="B1253" s="3">
        <v>3.71</v>
      </c>
      <c r="C1253" s="3">
        <v>4.0275</v>
      </c>
      <c r="D1253" s="3">
        <v>3.7231</v>
      </c>
      <c r="E1253" s="3">
        <v>4.035</v>
      </c>
      <c r="F1253" s="3">
        <v>3.7166</v>
      </c>
      <c r="G1253" s="3">
        <v>4.0313</v>
      </c>
    </row>
    <row r="1254" spans="1:7">
      <c r="A1254" s="2">
        <v>42878</v>
      </c>
      <c r="B1254" s="3">
        <v>3.643</v>
      </c>
      <c r="C1254" s="3">
        <v>3.98</v>
      </c>
      <c r="D1254" s="3">
        <v>3.65</v>
      </c>
      <c r="E1254" s="3">
        <v>3.99</v>
      </c>
      <c r="F1254" s="3">
        <v>3.6465</v>
      </c>
      <c r="G1254" s="3">
        <v>3.985</v>
      </c>
    </row>
    <row r="1255" spans="1:7">
      <c r="A1255" s="2">
        <v>42879</v>
      </c>
      <c r="B1255" s="3">
        <v>3.646</v>
      </c>
      <c r="C1255" s="3">
        <v>3.9725</v>
      </c>
      <c r="D1255" s="3">
        <v>3.65</v>
      </c>
      <c r="E1255" s="3">
        <v>3.9782</v>
      </c>
      <c r="F1255" s="3">
        <v>3.648</v>
      </c>
      <c r="G1255" s="3">
        <v>3.9753</v>
      </c>
    </row>
    <row r="1256" spans="1:7">
      <c r="A1256" s="2">
        <v>42880</v>
      </c>
      <c r="B1256" s="3">
        <v>3.6524</v>
      </c>
      <c r="C1256" s="3">
        <v>3.955</v>
      </c>
      <c r="D1256" s="3">
        <v>3.6575</v>
      </c>
      <c r="E1256" s="3">
        <v>3.9625</v>
      </c>
      <c r="F1256" s="3">
        <v>3.6549</v>
      </c>
      <c r="G1256" s="3">
        <v>3.9588</v>
      </c>
    </row>
    <row r="1257" spans="1:7">
      <c r="A1257" s="2">
        <v>42881</v>
      </c>
      <c r="B1257" s="3">
        <v>3.6415</v>
      </c>
      <c r="C1257" s="3">
        <v>3.9507</v>
      </c>
      <c r="D1257" s="3">
        <v>3.6599</v>
      </c>
      <c r="E1257" s="3">
        <v>3.96</v>
      </c>
      <c r="F1257" s="3">
        <v>3.6507</v>
      </c>
      <c r="G1257" s="3">
        <v>3.9553</v>
      </c>
    </row>
    <row r="1258" spans="1:7">
      <c r="A1258" s="2">
        <v>42882</v>
      </c>
      <c r="B1258" s="3">
        <v>3.6288</v>
      </c>
      <c r="C1258" s="3">
        <v>3.9413</v>
      </c>
      <c r="D1258" s="3">
        <v>3.6713</v>
      </c>
      <c r="E1258" s="3">
        <v>3.9959</v>
      </c>
      <c r="F1258" s="3">
        <v>3.65</v>
      </c>
      <c r="G1258" s="3">
        <v>3.9686</v>
      </c>
    </row>
    <row r="1259" spans="1:7">
      <c r="A1259" s="2">
        <v>42886</v>
      </c>
      <c r="B1259" s="3">
        <v>3.58</v>
      </c>
      <c r="C1259" s="3">
        <v>3.8875</v>
      </c>
      <c r="D1259" s="3">
        <v>3.585</v>
      </c>
      <c r="E1259" s="3">
        <v>3.89</v>
      </c>
      <c r="F1259" s="3">
        <v>3.5825</v>
      </c>
      <c r="G1259" s="3">
        <v>3.8888</v>
      </c>
    </row>
    <row r="1260" spans="1:7">
      <c r="A1260" s="2">
        <v>42887</v>
      </c>
      <c r="B1260" s="3">
        <v>3.56</v>
      </c>
      <c r="C1260" s="3">
        <v>3.836</v>
      </c>
      <c r="D1260" s="3">
        <v>3.5735</v>
      </c>
      <c r="E1260" s="3">
        <v>3.8438</v>
      </c>
      <c r="F1260" s="3">
        <v>3.5668</v>
      </c>
      <c r="G1260" s="3">
        <v>3.8399</v>
      </c>
    </row>
    <row r="1261" spans="1:7">
      <c r="A1261" s="2">
        <v>42888</v>
      </c>
      <c r="B1261" s="3">
        <v>3.5961</v>
      </c>
      <c r="C1261" s="3">
        <v>3.8628</v>
      </c>
      <c r="D1261" s="3">
        <v>3.605</v>
      </c>
      <c r="E1261" s="3">
        <v>3.8664</v>
      </c>
      <c r="F1261" s="3">
        <v>3.6005</v>
      </c>
      <c r="G1261" s="3">
        <v>3.8646</v>
      </c>
    </row>
    <row r="1262" spans="1:7">
      <c r="A1262" s="2">
        <v>42891</v>
      </c>
      <c r="B1262" s="3">
        <v>3.5835</v>
      </c>
      <c r="C1262" s="3">
        <v>3.8242</v>
      </c>
      <c r="D1262" s="3">
        <v>3.5916</v>
      </c>
      <c r="E1262" s="3">
        <v>3.8282</v>
      </c>
      <c r="F1262" s="3">
        <v>3.5875</v>
      </c>
      <c r="G1262" s="3">
        <v>3.8262</v>
      </c>
    </row>
    <row r="1263" spans="1:7">
      <c r="A1263" s="2">
        <v>42892</v>
      </c>
      <c r="B1263" s="3">
        <v>3.6076</v>
      </c>
      <c r="C1263" s="3">
        <v>3.8576</v>
      </c>
      <c r="D1263" s="3">
        <v>3.615</v>
      </c>
      <c r="E1263" s="3">
        <v>3.865</v>
      </c>
      <c r="F1263" s="3">
        <v>3.6113</v>
      </c>
      <c r="G1263" s="3">
        <v>3.8613</v>
      </c>
    </row>
    <row r="1264" spans="1:7">
      <c r="A1264" s="2">
        <v>42893</v>
      </c>
      <c r="B1264" s="3">
        <v>3.59</v>
      </c>
      <c r="C1264" s="3">
        <v>3.835</v>
      </c>
      <c r="D1264" s="3">
        <v>3.6087</v>
      </c>
      <c r="E1264" s="3">
        <v>3.8412</v>
      </c>
      <c r="F1264" s="3">
        <v>3.5993</v>
      </c>
      <c r="G1264" s="3">
        <v>3.8381</v>
      </c>
    </row>
    <row r="1265" spans="1:7">
      <c r="A1265" s="2">
        <v>42894</v>
      </c>
      <c r="B1265" s="3">
        <v>3.615</v>
      </c>
      <c r="C1265" s="3">
        <v>3.84</v>
      </c>
      <c r="D1265" s="3">
        <v>3.62</v>
      </c>
      <c r="E1265" s="3">
        <v>3.845</v>
      </c>
      <c r="F1265" s="3">
        <v>3.6175</v>
      </c>
      <c r="G1265" s="3">
        <v>3.8425</v>
      </c>
    </row>
    <row r="1266" spans="1:7">
      <c r="A1266" s="2">
        <v>42895</v>
      </c>
      <c r="B1266" s="3">
        <v>3.5842</v>
      </c>
      <c r="C1266" s="3">
        <v>3.81</v>
      </c>
      <c r="D1266" s="3">
        <v>3.595</v>
      </c>
      <c r="E1266" s="3">
        <v>3.815</v>
      </c>
      <c r="F1266" s="3">
        <v>3.5896</v>
      </c>
      <c r="G1266" s="3">
        <v>3.8125</v>
      </c>
    </row>
    <row r="1267" spans="1:7">
      <c r="A1267" s="2">
        <v>42898</v>
      </c>
      <c r="B1267" s="3">
        <v>3.57</v>
      </c>
      <c r="C1267" s="3">
        <v>3.7725</v>
      </c>
      <c r="D1267" s="3">
        <v>3.5793</v>
      </c>
      <c r="E1267" s="3">
        <v>3.7775</v>
      </c>
      <c r="F1267" s="3">
        <v>3.5747</v>
      </c>
      <c r="G1267" s="3">
        <v>3.775</v>
      </c>
    </row>
    <row r="1268" spans="1:7">
      <c r="A1268" s="2">
        <v>42899</v>
      </c>
      <c r="B1268" s="3">
        <v>3.57</v>
      </c>
      <c r="C1268" s="3">
        <v>3.785</v>
      </c>
      <c r="D1268" s="3">
        <v>3.58</v>
      </c>
      <c r="E1268" s="3">
        <v>3.8</v>
      </c>
      <c r="F1268" s="3">
        <v>3.575</v>
      </c>
      <c r="G1268" s="3">
        <v>3.7925</v>
      </c>
    </row>
    <row r="1269" spans="1:7">
      <c r="A1269" s="2">
        <v>42900</v>
      </c>
      <c r="B1269" s="3">
        <v>3.54</v>
      </c>
      <c r="C1269" s="3">
        <v>3.75</v>
      </c>
      <c r="D1269" s="3">
        <v>3.56</v>
      </c>
      <c r="E1269" s="3">
        <v>3.7598</v>
      </c>
      <c r="F1269" s="3">
        <v>3.55</v>
      </c>
      <c r="G1269" s="3">
        <v>3.7549</v>
      </c>
    </row>
    <row r="1270" spans="1:7">
      <c r="A1270" s="2">
        <v>42901</v>
      </c>
      <c r="B1270" s="3">
        <v>3.565</v>
      </c>
      <c r="C1270" s="3">
        <v>3.78</v>
      </c>
      <c r="D1270" s="3">
        <v>3.57</v>
      </c>
      <c r="E1270" s="3">
        <v>3.7853</v>
      </c>
      <c r="F1270" s="3">
        <v>3.5675</v>
      </c>
      <c r="G1270" s="3">
        <v>3.7826</v>
      </c>
    </row>
    <row r="1271" spans="1:7">
      <c r="A1271" s="2">
        <v>42902</v>
      </c>
      <c r="B1271" s="3">
        <v>3.57</v>
      </c>
      <c r="C1271" s="3">
        <v>3.8096</v>
      </c>
      <c r="D1271" s="3">
        <v>3.5775</v>
      </c>
      <c r="E1271" s="3">
        <v>3.8122</v>
      </c>
      <c r="F1271" s="3">
        <v>3.5738</v>
      </c>
      <c r="G1271" s="3">
        <v>3.8109</v>
      </c>
    </row>
    <row r="1272" spans="1:7">
      <c r="A1272" s="2">
        <v>42905</v>
      </c>
      <c r="B1272" s="3">
        <v>3.4904</v>
      </c>
      <c r="C1272" s="3">
        <v>3.73</v>
      </c>
      <c r="D1272" s="3">
        <v>3.5004</v>
      </c>
      <c r="E1272" s="3">
        <v>3.7431</v>
      </c>
      <c r="F1272" s="3">
        <v>3.4954</v>
      </c>
      <c r="G1272" s="3">
        <v>3.7366</v>
      </c>
    </row>
    <row r="1273" spans="1:7">
      <c r="A1273" s="2">
        <v>42906</v>
      </c>
      <c r="B1273" s="3">
        <v>3.505</v>
      </c>
      <c r="C1273" s="3">
        <v>3.75</v>
      </c>
      <c r="D1273" s="3">
        <v>3.5125</v>
      </c>
      <c r="E1273" s="3">
        <v>3.755</v>
      </c>
      <c r="F1273" s="3">
        <v>3.5088</v>
      </c>
      <c r="G1273" s="3">
        <v>3.7525</v>
      </c>
    </row>
    <row r="1274" spans="1:7">
      <c r="A1274" s="2">
        <v>42907</v>
      </c>
      <c r="B1274" s="3">
        <v>3.531</v>
      </c>
      <c r="C1274" s="3">
        <v>3.785</v>
      </c>
      <c r="D1274" s="3">
        <v>3.5395</v>
      </c>
      <c r="E1274" s="3">
        <v>3.794</v>
      </c>
      <c r="F1274" s="3">
        <v>3.5353</v>
      </c>
      <c r="G1274" s="3">
        <v>3.7895</v>
      </c>
    </row>
    <row r="1275" spans="1:7">
      <c r="A1275" s="2">
        <v>42908</v>
      </c>
      <c r="B1275" s="3">
        <v>3.52</v>
      </c>
      <c r="C1275" s="3">
        <v>3.785</v>
      </c>
      <c r="D1275" s="3">
        <v>3.53</v>
      </c>
      <c r="E1275" s="3">
        <v>3.7924</v>
      </c>
      <c r="F1275" s="3">
        <v>3.525</v>
      </c>
      <c r="G1275" s="3">
        <v>3.7887</v>
      </c>
    </row>
    <row r="1276" spans="1:7">
      <c r="A1276" s="2">
        <v>42909</v>
      </c>
      <c r="B1276" s="3">
        <v>3.475</v>
      </c>
      <c r="C1276" s="3">
        <v>3.7492</v>
      </c>
      <c r="D1276" s="3">
        <v>3.487</v>
      </c>
      <c r="E1276" s="3">
        <v>3.7598</v>
      </c>
      <c r="F1276" s="3">
        <v>3.481</v>
      </c>
      <c r="G1276" s="3">
        <v>3.7545</v>
      </c>
    </row>
    <row r="1277" spans="1:7">
      <c r="A1277" s="2">
        <v>42912</v>
      </c>
      <c r="B1277" s="3">
        <v>3.3925</v>
      </c>
      <c r="C1277" s="3">
        <v>3.675</v>
      </c>
      <c r="D1277" s="3">
        <v>3.4</v>
      </c>
      <c r="E1277" s="3">
        <v>3.6875</v>
      </c>
      <c r="F1277" s="3">
        <v>3.3963</v>
      </c>
      <c r="G1277" s="3">
        <v>3.6813</v>
      </c>
    </row>
    <row r="1278" spans="1:7">
      <c r="A1278" s="2">
        <v>42913</v>
      </c>
      <c r="B1278" s="3">
        <v>3.3875</v>
      </c>
      <c r="C1278" s="3">
        <v>3.6798</v>
      </c>
      <c r="D1278" s="3">
        <v>3.3972</v>
      </c>
      <c r="E1278" s="3">
        <v>3.685</v>
      </c>
      <c r="F1278" s="3">
        <v>3.3923</v>
      </c>
      <c r="G1278" s="3">
        <v>3.6824</v>
      </c>
    </row>
    <row r="1279" spans="1:7">
      <c r="A1279" s="2">
        <v>42914</v>
      </c>
      <c r="B1279" s="3">
        <v>3.4302</v>
      </c>
      <c r="C1279" s="3">
        <v>3.725</v>
      </c>
      <c r="D1279" s="3">
        <v>3.4367</v>
      </c>
      <c r="E1279" s="3">
        <v>3.735</v>
      </c>
      <c r="F1279" s="3">
        <v>3.4334</v>
      </c>
      <c r="G1279" s="3">
        <v>3.73</v>
      </c>
    </row>
    <row r="1280" spans="1:7">
      <c r="A1280" s="2">
        <v>42915</v>
      </c>
      <c r="B1280" s="3">
        <v>3.43</v>
      </c>
      <c r="C1280" s="3">
        <v>3.74</v>
      </c>
      <c r="D1280" s="3">
        <v>3.44</v>
      </c>
      <c r="E1280" s="3">
        <v>3.745</v>
      </c>
      <c r="F1280" s="3">
        <v>3.435</v>
      </c>
      <c r="G1280" s="3">
        <v>3.7425</v>
      </c>
    </row>
    <row r="1281" spans="1:7">
      <c r="A1281" s="2">
        <v>42916</v>
      </c>
      <c r="B1281" s="3">
        <v>3.48</v>
      </c>
      <c r="C1281" s="3">
        <v>3.78</v>
      </c>
      <c r="D1281" s="3">
        <v>3.49</v>
      </c>
      <c r="E1281" s="3">
        <v>3.79</v>
      </c>
      <c r="F1281" s="3">
        <v>3.485</v>
      </c>
      <c r="G1281" s="3">
        <v>3.785</v>
      </c>
    </row>
    <row r="1282" spans="1:7">
      <c r="A1282" s="2">
        <v>42919</v>
      </c>
      <c r="B1282" s="3">
        <v>3.5036</v>
      </c>
      <c r="C1282" s="3">
        <v>3.8161</v>
      </c>
      <c r="D1282" s="3">
        <v>3.5139</v>
      </c>
      <c r="E1282" s="3">
        <v>3.8205</v>
      </c>
      <c r="F1282" s="3">
        <v>3.5088</v>
      </c>
      <c r="G1282" s="3">
        <v>3.8183</v>
      </c>
    </row>
    <row r="1283" spans="1:7">
      <c r="A1283" s="2">
        <v>42920</v>
      </c>
      <c r="B1283" s="3">
        <v>3.475</v>
      </c>
      <c r="C1283" s="3">
        <v>3.79</v>
      </c>
      <c r="D1283" s="3">
        <v>3.485</v>
      </c>
      <c r="E1283" s="3">
        <v>3.7975</v>
      </c>
      <c r="F1283" s="3">
        <v>3.48</v>
      </c>
      <c r="G1283" s="3">
        <v>3.7938</v>
      </c>
    </row>
    <row r="1284" spans="1:7">
      <c r="A1284" s="2">
        <v>42921</v>
      </c>
      <c r="B1284" s="3">
        <v>3.41</v>
      </c>
      <c r="C1284" s="3">
        <v>3.7349</v>
      </c>
      <c r="D1284" s="3">
        <v>3.425</v>
      </c>
      <c r="E1284" s="3">
        <v>3.7375</v>
      </c>
      <c r="F1284" s="3">
        <v>3.4175</v>
      </c>
      <c r="G1284" s="3">
        <v>3.7362</v>
      </c>
    </row>
    <row r="1285" spans="1:7">
      <c r="A1285" s="2">
        <v>42922</v>
      </c>
      <c r="B1285" s="3">
        <v>3.42</v>
      </c>
      <c r="C1285" s="3">
        <v>3.74</v>
      </c>
      <c r="D1285" s="3">
        <v>3.4275</v>
      </c>
      <c r="E1285" s="3">
        <v>3.7479</v>
      </c>
      <c r="F1285" s="3">
        <v>3.4238</v>
      </c>
      <c r="G1285" s="3">
        <v>3.744</v>
      </c>
    </row>
    <row r="1286" spans="1:7">
      <c r="A1286" s="2">
        <v>42923</v>
      </c>
      <c r="B1286" s="3">
        <v>3.445</v>
      </c>
      <c r="C1286" s="3">
        <v>3.7903</v>
      </c>
      <c r="D1286" s="3">
        <v>3.45</v>
      </c>
      <c r="E1286" s="3">
        <v>3.794</v>
      </c>
      <c r="F1286" s="3">
        <v>3.4475</v>
      </c>
      <c r="G1286" s="3">
        <v>3.7921</v>
      </c>
    </row>
    <row r="1287" spans="1:7">
      <c r="A1287" s="2">
        <v>42926</v>
      </c>
      <c r="B1287" s="3">
        <v>3.46</v>
      </c>
      <c r="C1287" s="3">
        <v>3.795</v>
      </c>
      <c r="D1287" s="3">
        <v>3.4753</v>
      </c>
      <c r="E1287" s="3">
        <v>3.8039</v>
      </c>
      <c r="F1287" s="3">
        <v>3.4676</v>
      </c>
      <c r="G1287" s="3">
        <v>3.7995</v>
      </c>
    </row>
    <row r="1288" spans="1:7">
      <c r="A1288" s="2">
        <v>42927</v>
      </c>
      <c r="B1288" s="3">
        <v>3.455</v>
      </c>
      <c r="C1288" s="3">
        <v>3.785</v>
      </c>
      <c r="D1288" s="3">
        <v>3.46</v>
      </c>
      <c r="E1288" s="3">
        <v>3.7875</v>
      </c>
      <c r="F1288" s="3">
        <v>3.4575</v>
      </c>
      <c r="G1288" s="3">
        <v>3.7863</v>
      </c>
    </row>
    <row r="1289" spans="1:7">
      <c r="A1289" s="2">
        <v>42928</v>
      </c>
      <c r="B1289" s="3">
        <v>3.43</v>
      </c>
      <c r="C1289" s="3">
        <v>3.755</v>
      </c>
      <c r="D1289" s="3">
        <v>3.4325</v>
      </c>
      <c r="E1289" s="3">
        <v>3.76</v>
      </c>
      <c r="F1289" s="3">
        <v>3.4313</v>
      </c>
      <c r="G1289" s="3">
        <v>3.7575</v>
      </c>
    </row>
    <row r="1290" spans="1:7">
      <c r="A1290" s="2">
        <v>42929</v>
      </c>
      <c r="B1290" s="3">
        <v>3.405</v>
      </c>
      <c r="C1290" s="3">
        <v>3.73</v>
      </c>
      <c r="D1290" s="3">
        <v>3.41</v>
      </c>
      <c r="E1290" s="3">
        <v>3.7375</v>
      </c>
      <c r="F1290" s="3">
        <v>3.4075</v>
      </c>
      <c r="G1290" s="3">
        <v>3.7338</v>
      </c>
    </row>
    <row r="1291" spans="1:7">
      <c r="A1291" s="2">
        <v>42930</v>
      </c>
      <c r="B1291" s="3">
        <v>3.395</v>
      </c>
      <c r="C1291" s="3">
        <v>3.7226</v>
      </c>
      <c r="D1291" s="3">
        <v>3.4036</v>
      </c>
      <c r="E1291" s="3">
        <v>3.7337</v>
      </c>
      <c r="F1291" s="3">
        <v>3.3993</v>
      </c>
      <c r="G1291" s="3">
        <v>3.7282</v>
      </c>
    </row>
    <row r="1292" spans="1:7">
      <c r="A1292" s="2">
        <v>42933</v>
      </c>
      <c r="B1292" s="3">
        <v>3.3886</v>
      </c>
      <c r="C1292" s="3">
        <v>3.72</v>
      </c>
      <c r="D1292" s="3">
        <v>3.3975</v>
      </c>
      <c r="E1292" s="3">
        <v>3.7256</v>
      </c>
      <c r="F1292" s="3">
        <v>3.3931</v>
      </c>
      <c r="G1292" s="3">
        <v>3.7228</v>
      </c>
    </row>
    <row r="1293" spans="1:7">
      <c r="A1293" s="2">
        <v>42934</v>
      </c>
      <c r="B1293" s="3">
        <v>3.4077</v>
      </c>
      <c r="C1293" s="3">
        <v>3.7324</v>
      </c>
      <c r="D1293" s="3">
        <v>3.4152</v>
      </c>
      <c r="E1293" s="3">
        <v>3.735</v>
      </c>
      <c r="F1293" s="3">
        <v>3.4114</v>
      </c>
      <c r="G1293" s="3">
        <v>3.7337</v>
      </c>
    </row>
    <row r="1294" spans="1:7">
      <c r="A1294" s="2">
        <v>42935</v>
      </c>
      <c r="B1294" s="3">
        <v>3.4119</v>
      </c>
      <c r="C1294" s="3">
        <v>3.7347</v>
      </c>
      <c r="D1294" s="3">
        <v>3.4186</v>
      </c>
      <c r="E1294" s="3">
        <v>3.7384</v>
      </c>
      <c r="F1294" s="3">
        <v>3.4152</v>
      </c>
      <c r="G1294" s="3">
        <v>3.7366</v>
      </c>
    </row>
    <row r="1295" spans="1:7">
      <c r="A1295" s="2">
        <v>42936</v>
      </c>
      <c r="B1295" s="3">
        <v>3.39</v>
      </c>
      <c r="C1295" s="3">
        <v>3.6982</v>
      </c>
      <c r="D1295" s="3">
        <v>3.3975</v>
      </c>
      <c r="E1295" s="3">
        <v>3.7018</v>
      </c>
      <c r="F1295" s="3">
        <v>3.3938</v>
      </c>
      <c r="G1295" s="3">
        <v>3.7</v>
      </c>
    </row>
    <row r="1296" spans="1:7">
      <c r="A1296" s="2">
        <v>42937</v>
      </c>
      <c r="B1296" s="3">
        <v>3.3975</v>
      </c>
      <c r="C1296" s="3">
        <v>3.705</v>
      </c>
      <c r="D1296" s="3">
        <v>3.4</v>
      </c>
      <c r="E1296" s="3">
        <v>3.71</v>
      </c>
      <c r="F1296" s="3">
        <v>3.3988</v>
      </c>
      <c r="G1296" s="3">
        <v>3.7075</v>
      </c>
    </row>
    <row r="1297" spans="1:7">
      <c r="A1297" s="2">
        <v>42940</v>
      </c>
      <c r="B1297" s="3">
        <v>3.3725</v>
      </c>
      <c r="C1297" s="3">
        <v>3.69</v>
      </c>
      <c r="D1297" s="3">
        <v>3.3775</v>
      </c>
      <c r="E1297" s="3">
        <v>3.6925</v>
      </c>
      <c r="F1297" s="3">
        <v>3.375</v>
      </c>
      <c r="G1297" s="3">
        <v>3.6913</v>
      </c>
    </row>
    <row r="1298" spans="1:7">
      <c r="A1298" s="2">
        <v>42941</v>
      </c>
      <c r="B1298" s="3">
        <v>3.3847</v>
      </c>
      <c r="C1298" s="3">
        <v>3.7073</v>
      </c>
      <c r="D1298" s="3">
        <v>3.3891</v>
      </c>
      <c r="E1298" s="3">
        <v>3.7102</v>
      </c>
      <c r="F1298" s="3">
        <v>3.3869</v>
      </c>
      <c r="G1298" s="3">
        <v>3.7088</v>
      </c>
    </row>
    <row r="1299" spans="1:7">
      <c r="A1299" s="2">
        <v>42942</v>
      </c>
      <c r="B1299" s="3">
        <v>3.4075</v>
      </c>
      <c r="C1299" s="3">
        <v>3.7325</v>
      </c>
      <c r="D1299" s="3">
        <v>3.41</v>
      </c>
      <c r="E1299" s="3">
        <v>3.735</v>
      </c>
      <c r="F1299" s="3">
        <v>3.4088</v>
      </c>
      <c r="G1299" s="3">
        <v>3.7338</v>
      </c>
    </row>
    <row r="1300" spans="1:7">
      <c r="A1300" s="2">
        <v>42943</v>
      </c>
      <c r="B1300" s="3">
        <v>3.3925</v>
      </c>
      <c r="C1300" s="3">
        <v>3.7115</v>
      </c>
      <c r="D1300" s="3">
        <v>3.3952</v>
      </c>
      <c r="E1300" s="3">
        <v>3.715</v>
      </c>
      <c r="F1300" s="3">
        <v>3.3938</v>
      </c>
      <c r="G1300" s="3">
        <v>3.7133</v>
      </c>
    </row>
    <row r="1301" spans="1:7">
      <c r="A1301" s="2">
        <v>42944</v>
      </c>
      <c r="B1301" s="3">
        <v>3.39</v>
      </c>
      <c r="C1301" s="3">
        <v>3.7125</v>
      </c>
      <c r="D1301" s="3">
        <v>3.395</v>
      </c>
      <c r="E1301" s="3">
        <v>3.7166</v>
      </c>
      <c r="F1301" s="3">
        <v>3.3925</v>
      </c>
      <c r="G1301" s="3">
        <v>3.7146</v>
      </c>
    </row>
    <row r="1302" spans="1:7">
      <c r="A1302" s="2">
        <v>42947</v>
      </c>
      <c r="B1302" s="3">
        <v>3.4104</v>
      </c>
      <c r="C1302" s="3">
        <v>3.7386</v>
      </c>
      <c r="D1302" s="3">
        <v>3.4158</v>
      </c>
      <c r="E1302" s="3">
        <v>3.7425</v>
      </c>
      <c r="F1302" s="3">
        <v>3.4131</v>
      </c>
      <c r="G1302" s="3">
        <v>3.7406</v>
      </c>
    </row>
    <row r="1303" spans="1:7">
      <c r="A1303" s="2">
        <v>42948</v>
      </c>
      <c r="B1303" s="3">
        <v>3.44</v>
      </c>
      <c r="C1303" s="3">
        <v>3.755</v>
      </c>
      <c r="D1303" s="3">
        <v>3.45</v>
      </c>
      <c r="E1303" s="3">
        <v>3.7612</v>
      </c>
      <c r="F1303" s="3">
        <v>3.445</v>
      </c>
      <c r="G1303" s="3">
        <v>3.7581</v>
      </c>
    </row>
    <row r="1304" spans="1:7">
      <c r="A1304" s="2">
        <v>42949</v>
      </c>
      <c r="B1304" s="3">
        <v>3.4375</v>
      </c>
      <c r="C1304" s="3">
        <v>3.745</v>
      </c>
      <c r="D1304" s="3">
        <v>3.44</v>
      </c>
      <c r="E1304" s="3">
        <v>3.7487</v>
      </c>
      <c r="F1304" s="3">
        <v>3.4388</v>
      </c>
      <c r="G1304" s="3">
        <v>3.7468</v>
      </c>
    </row>
    <row r="1305" spans="1:7">
      <c r="A1305" s="2">
        <v>42950</v>
      </c>
      <c r="B1305" s="3">
        <v>3.425</v>
      </c>
      <c r="C1305" s="3">
        <v>3.745</v>
      </c>
      <c r="D1305" s="3">
        <v>3.43</v>
      </c>
      <c r="E1305" s="3">
        <v>3.75</v>
      </c>
      <c r="F1305" s="3">
        <v>3.4275</v>
      </c>
      <c r="G1305" s="3">
        <v>3.7475</v>
      </c>
    </row>
    <row r="1306" spans="1:7">
      <c r="A1306" s="2">
        <v>42951</v>
      </c>
      <c r="B1306" s="3">
        <v>3.4075</v>
      </c>
      <c r="C1306" s="3">
        <v>3.7375</v>
      </c>
      <c r="D1306" s="3">
        <v>3.4125</v>
      </c>
      <c r="E1306" s="3">
        <v>3.74</v>
      </c>
      <c r="F1306" s="3">
        <v>3.41</v>
      </c>
      <c r="G1306" s="3">
        <v>3.7388</v>
      </c>
    </row>
    <row r="1307" spans="1:7">
      <c r="A1307" s="2">
        <v>42954</v>
      </c>
      <c r="B1307" s="3">
        <v>3.4357</v>
      </c>
      <c r="C1307" s="3">
        <v>3.785</v>
      </c>
      <c r="D1307" s="3">
        <v>3.445</v>
      </c>
      <c r="E1307" s="3">
        <v>3.7875</v>
      </c>
      <c r="F1307" s="3">
        <v>3.4403</v>
      </c>
      <c r="G1307" s="3">
        <v>3.7863</v>
      </c>
    </row>
    <row r="1308" spans="1:7">
      <c r="A1308" s="2">
        <v>42955</v>
      </c>
      <c r="B1308" s="3">
        <v>3.44</v>
      </c>
      <c r="C1308" s="3">
        <v>3.7885</v>
      </c>
      <c r="D1308" s="3">
        <v>3.45</v>
      </c>
      <c r="E1308" s="3">
        <v>3.7901</v>
      </c>
      <c r="F1308" s="3">
        <v>3.445</v>
      </c>
      <c r="G1308" s="3">
        <v>3.7893</v>
      </c>
    </row>
    <row r="1309" spans="1:7">
      <c r="A1309" s="2">
        <v>42956</v>
      </c>
      <c r="B1309" s="3">
        <v>3.4475</v>
      </c>
      <c r="C1309" s="3">
        <v>3.7875</v>
      </c>
      <c r="D1309" s="3">
        <v>3.455</v>
      </c>
      <c r="E1309" s="3">
        <v>3.79</v>
      </c>
      <c r="F1309" s="3">
        <v>3.4513</v>
      </c>
      <c r="G1309" s="3">
        <v>3.7888</v>
      </c>
    </row>
    <row r="1310" spans="1:7">
      <c r="A1310" s="2">
        <v>42957</v>
      </c>
      <c r="B1310" s="3">
        <v>3.4343</v>
      </c>
      <c r="C1310" s="3">
        <v>3.7625</v>
      </c>
      <c r="D1310" s="3">
        <v>3.44</v>
      </c>
      <c r="E1310" s="3">
        <v>3.7666</v>
      </c>
      <c r="F1310" s="3">
        <v>3.4372</v>
      </c>
      <c r="G1310" s="3">
        <v>3.7646</v>
      </c>
    </row>
    <row r="1311" spans="1:7">
      <c r="A1311" s="2">
        <v>42958</v>
      </c>
      <c r="B1311" s="3">
        <v>3.4175</v>
      </c>
      <c r="C1311" s="3">
        <v>3.7425</v>
      </c>
      <c r="D1311" s="3">
        <v>3.4225</v>
      </c>
      <c r="E1311" s="3">
        <v>3.7475</v>
      </c>
      <c r="F1311" s="3">
        <v>3.42</v>
      </c>
      <c r="G1311" s="3">
        <v>3.745</v>
      </c>
    </row>
    <row r="1312" spans="1:7">
      <c r="A1312" s="2">
        <v>42961</v>
      </c>
      <c r="B1312" s="3">
        <v>3.4195</v>
      </c>
      <c r="C1312" s="3">
        <v>3.7304</v>
      </c>
      <c r="D1312" s="3">
        <v>3.4225</v>
      </c>
      <c r="E1312" s="3">
        <v>3.7328</v>
      </c>
      <c r="F1312" s="3">
        <v>3.421</v>
      </c>
      <c r="G1312" s="3">
        <v>3.7316</v>
      </c>
    </row>
    <row r="1313" spans="1:7">
      <c r="A1313" s="2">
        <v>42962</v>
      </c>
      <c r="B1313" s="3">
        <v>3.4407</v>
      </c>
      <c r="C1313" s="3">
        <v>3.7418</v>
      </c>
      <c r="D1313" s="3">
        <v>3.4445</v>
      </c>
      <c r="E1313" s="3">
        <v>3.7456</v>
      </c>
      <c r="F1313" s="3">
        <v>3.4426</v>
      </c>
      <c r="G1313" s="3">
        <v>3.7437</v>
      </c>
    </row>
    <row r="1314" spans="1:7">
      <c r="A1314" s="2">
        <v>42963</v>
      </c>
      <c r="B1314" s="3">
        <v>3.4671</v>
      </c>
      <c r="C1314" s="3">
        <v>3.755</v>
      </c>
      <c r="D1314" s="3">
        <v>3.4696</v>
      </c>
      <c r="E1314" s="3">
        <v>3.76</v>
      </c>
      <c r="F1314" s="3">
        <v>3.4684</v>
      </c>
      <c r="G1314" s="3">
        <v>3.7575</v>
      </c>
    </row>
    <row r="1315" spans="1:7">
      <c r="A1315" s="2">
        <v>42964</v>
      </c>
      <c r="B1315" s="3">
        <v>3.4728</v>
      </c>
      <c r="C1315" s="3">
        <v>3.7475</v>
      </c>
      <c r="D1315" s="3">
        <v>3.4756</v>
      </c>
      <c r="E1315" s="3">
        <v>3.75</v>
      </c>
      <c r="F1315" s="3">
        <v>3.4742</v>
      </c>
      <c r="G1315" s="3">
        <v>3.7488</v>
      </c>
    </row>
    <row r="1316" spans="1:7">
      <c r="A1316" s="2">
        <v>42965</v>
      </c>
      <c r="B1316" s="3">
        <v>3.4572</v>
      </c>
      <c r="C1316" s="3">
        <v>3.745</v>
      </c>
      <c r="D1316" s="3">
        <v>3.46</v>
      </c>
      <c r="E1316" s="3">
        <v>3.7505</v>
      </c>
      <c r="F1316" s="3">
        <v>3.4586</v>
      </c>
      <c r="G1316" s="3">
        <v>3.7478</v>
      </c>
    </row>
    <row r="1317" spans="1:7">
      <c r="A1317" s="2">
        <v>42968</v>
      </c>
      <c r="B1317" s="3">
        <v>3.47</v>
      </c>
      <c r="C1317" s="3">
        <v>3.765</v>
      </c>
      <c r="D1317" s="3">
        <v>3.4725</v>
      </c>
      <c r="E1317" s="3">
        <v>3.77</v>
      </c>
      <c r="F1317" s="3">
        <v>3.4713</v>
      </c>
      <c r="G1317" s="3">
        <v>3.7675</v>
      </c>
    </row>
    <row r="1318" spans="1:7">
      <c r="A1318" s="2">
        <v>42969</v>
      </c>
      <c r="B1318" s="3">
        <v>3.48</v>
      </c>
      <c r="C1318" s="3">
        <v>3.77</v>
      </c>
      <c r="D1318" s="3">
        <v>3.4875</v>
      </c>
      <c r="E1318" s="3">
        <v>3.775</v>
      </c>
      <c r="F1318" s="3">
        <v>3.4838</v>
      </c>
      <c r="G1318" s="3">
        <v>3.7725</v>
      </c>
    </row>
    <row r="1319" spans="1:7">
      <c r="A1319" s="2">
        <v>42970</v>
      </c>
      <c r="B1319" s="3">
        <v>3.49</v>
      </c>
      <c r="C1319" s="3">
        <v>3.7775</v>
      </c>
      <c r="D1319" s="3">
        <v>3.4925</v>
      </c>
      <c r="E1319" s="3">
        <v>3.7825</v>
      </c>
      <c r="F1319" s="3">
        <v>3.4913</v>
      </c>
      <c r="G1319" s="3">
        <v>3.78</v>
      </c>
    </row>
    <row r="1320" spans="1:7">
      <c r="A1320" s="2">
        <v>42971</v>
      </c>
      <c r="B1320" s="3">
        <v>3.4925</v>
      </c>
      <c r="C1320" s="3">
        <v>3.78</v>
      </c>
      <c r="D1320" s="3">
        <v>3.5</v>
      </c>
      <c r="E1320" s="3">
        <v>3.785</v>
      </c>
      <c r="F1320" s="3">
        <v>3.4963</v>
      </c>
      <c r="G1320" s="3">
        <v>3.7825</v>
      </c>
    </row>
    <row r="1321" spans="1:7">
      <c r="A1321" s="2">
        <v>42972</v>
      </c>
      <c r="B1321" s="3">
        <v>3.4946</v>
      </c>
      <c r="C1321" s="3">
        <v>3.7907</v>
      </c>
      <c r="D1321" s="3">
        <v>3.4986</v>
      </c>
      <c r="E1321" s="3">
        <v>3.7943</v>
      </c>
      <c r="F1321" s="3">
        <v>3.4966</v>
      </c>
      <c r="G1321" s="3">
        <v>3.7925</v>
      </c>
    </row>
    <row r="1322" spans="1:7">
      <c r="A1322" s="2">
        <v>42975</v>
      </c>
      <c r="B1322" s="3">
        <v>3.5538</v>
      </c>
      <c r="C1322" s="3">
        <v>3.8524</v>
      </c>
      <c r="D1322" s="3">
        <v>3.5581</v>
      </c>
      <c r="E1322" s="3">
        <v>3.8597</v>
      </c>
      <c r="F1322" s="3">
        <v>3.5559</v>
      </c>
      <c r="G1322" s="3">
        <v>3.856</v>
      </c>
    </row>
    <row r="1323" spans="1:7">
      <c r="A1323" s="2">
        <v>42976</v>
      </c>
      <c r="B1323" s="3">
        <v>3.55</v>
      </c>
      <c r="C1323" s="3">
        <v>3.845</v>
      </c>
      <c r="D1323" s="3">
        <v>3.56</v>
      </c>
      <c r="E1323" s="3">
        <v>3.85</v>
      </c>
      <c r="F1323" s="3">
        <v>3.555</v>
      </c>
      <c r="G1323" s="3">
        <v>3.8475</v>
      </c>
    </row>
    <row r="1324" spans="1:7">
      <c r="A1324" s="2">
        <v>42977</v>
      </c>
      <c r="B1324" s="3">
        <v>3.55</v>
      </c>
      <c r="C1324" s="3">
        <v>3.85</v>
      </c>
      <c r="D1324" s="3">
        <v>3.5525</v>
      </c>
      <c r="E1324" s="3">
        <v>3.8525</v>
      </c>
      <c r="F1324" s="3">
        <v>3.5513</v>
      </c>
      <c r="G1324" s="3">
        <v>3.8513</v>
      </c>
    </row>
    <row r="1325" spans="1:7">
      <c r="A1325" s="2">
        <v>42978</v>
      </c>
      <c r="B1325" s="3">
        <v>3.54</v>
      </c>
      <c r="C1325" s="3">
        <v>3.84</v>
      </c>
      <c r="D1325" s="3">
        <v>3.5475</v>
      </c>
      <c r="E1325" s="3">
        <v>3.845</v>
      </c>
      <c r="F1325" s="3">
        <v>3.5438</v>
      </c>
      <c r="G1325" s="3">
        <v>3.8425</v>
      </c>
    </row>
    <row r="1326" spans="1:7">
      <c r="A1326" s="2">
        <v>42979</v>
      </c>
      <c r="B1326" s="3">
        <v>3.5475</v>
      </c>
      <c r="C1326" s="3">
        <v>3.8623</v>
      </c>
      <c r="D1326" s="3">
        <v>3.5625</v>
      </c>
      <c r="E1326" s="3">
        <v>3.8712</v>
      </c>
      <c r="F1326" s="3">
        <v>3.555</v>
      </c>
      <c r="G1326" s="3">
        <v>3.8668</v>
      </c>
    </row>
    <row r="1327" spans="1:7">
      <c r="A1327" s="2">
        <v>42982</v>
      </c>
      <c r="B1327" s="3">
        <v>3.5846</v>
      </c>
      <c r="C1327" s="3">
        <v>3.8962</v>
      </c>
      <c r="D1327" s="3">
        <v>3.5925</v>
      </c>
      <c r="E1327" s="3">
        <v>3.9025</v>
      </c>
      <c r="F1327" s="3">
        <v>3.5885</v>
      </c>
      <c r="G1327" s="3">
        <v>3.8994</v>
      </c>
    </row>
    <row r="1328" spans="1:7">
      <c r="A1328" s="2">
        <v>42983</v>
      </c>
      <c r="B1328" s="3">
        <v>3.5975</v>
      </c>
      <c r="C1328" s="3">
        <v>3.915</v>
      </c>
      <c r="D1328" s="3">
        <v>3.6025</v>
      </c>
      <c r="E1328" s="3">
        <v>3.92</v>
      </c>
      <c r="F1328" s="3">
        <v>3.6</v>
      </c>
      <c r="G1328" s="3">
        <v>3.9175</v>
      </c>
    </row>
    <row r="1329" spans="1:7">
      <c r="A1329" s="2">
        <v>42984</v>
      </c>
      <c r="B1329" s="3">
        <v>3.5525</v>
      </c>
      <c r="C1329" s="3">
        <v>3.8725</v>
      </c>
      <c r="D1329" s="3">
        <v>3.555</v>
      </c>
      <c r="E1329" s="3">
        <v>3.8751</v>
      </c>
      <c r="F1329" s="3">
        <v>3.5538</v>
      </c>
      <c r="G1329" s="3">
        <v>3.8738</v>
      </c>
    </row>
    <row r="1330" spans="1:7">
      <c r="A1330" s="2">
        <v>42985</v>
      </c>
      <c r="B1330" s="3">
        <v>3.4939</v>
      </c>
      <c r="C1330" s="3">
        <v>3.82</v>
      </c>
      <c r="D1330" s="3">
        <v>3.5001</v>
      </c>
      <c r="E1330" s="3">
        <v>3.8225</v>
      </c>
      <c r="F1330" s="3">
        <v>3.497</v>
      </c>
      <c r="G1330" s="3">
        <v>3.8213</v>
      </c>
    </row>
    <row r="1331" spans="1:7">
      <c r="A1331" s="2">
        <v>42986</v>
      </c>
      <c r="B1331" s="3">
        <v>3.46</v>
      </c>
      <c r="C1331" s="3">
        <v>3.7775</v>
      </c>
      <c r="D1331" s="3">
        <v>3.4675</v>
      </c>
      <c r="E1331" s="3">
        <v>3.78</v>
      </c>
      <c r="F1331" s="3">
        <v>3.4638</v>
      </c>
      <c r="G1331" s="3">
        <v>3.7788</v>
      </c>
    </row>
    <row r="1332" spans="1:7">
      <c r="A1332" s="2">
        <v>42989</v>
      </c>
      <c r="B1332" s="3">
        <v>3.4925</v>
      </c>
      <c r="C1332" s="3">
        <v>3.8044</v>
      </c>
      <c r="D1332" s="3">
        <v>3.5</v>
      </c>
      <c r="E1332" s="3">
        <v>3.8125</v>
      </c>
      <c r="F1332" s="3">
        <v>3.4963</v>
      </c>
      <c r="G1332" s="3">
        <v>3.8085</v>
      </c>
    </row>
    <row r="1333" spans="1:7">
      <c r="A1333" s="2">
        <v>42990</v>
      </c>
      <c r="B1333" s="3">
        <v>3.495</v>
      </c>
      <c r="C1333" s="3">
        <v>3.8025</v>
      </c>
      <c r="D1333" s="3">
        <v>3.5</v>
      </c>
      <c r="E1333" s="3">
        <v>3.8072</v>
      </c>
      <c r="F1333" s="3">
        <v>3.4975</v>
      </c>
      <c r="G1333" s="3">
        <v>3.8048</v>
      </c>
    </row>
    <row r="1334" spans="1:7">
      <c r="A1334" s="2">
        <v>42991</v>
      </c>
      <c r="B1334" s="3">
        <v>3.5225</v>
      </c>
      <c r="C1334" s="3">
        <v>3.82</v>
      </c>
      <c r="D1334" s="3">
        <v>3.5275</v>
      </c>
      <c r="E1334" s="3">
        <v>3.8262</v>
      </c>
      <c r="F1334" s="3">
        <v>3.525</v>
      </c>
      <c r="G1334" s="3">
        <v>3.8231</v>
      </c>
    </row>
    <row r="1335" spans="1:7">
      <c r="A1335" s="2">
        <v>42992</v>
      </c>
      <c r="B1335" s="3">
        <v>3.4975</v>
      </c>
      <c r="C1335" s="3">
        <v>3.785</v>
      </c>
      <c r="D1335" s="3">
        <v>3.5025</v>
      </c>
      <c r="E1335" s="3">
        <v>3.7876</v>
      </c>
      <c r="F1335" s="3">
        <v>3.5</v>
      </c>
      <c r="G1335" s="3">
        <v>3.7863</v>
      </c>
    </row>
    <row r="1336" spans="1:7">
      <c r="A1336" s="2">
        <v>42993</v>
      </c>
      <c r="B1336" s="3">
        <v>3.49</v>
      </c>
      <c r="C1336" s="3">
        <v>3.7769</v>
      </c>
      <c r="D1336" s="3">
        <v>3.5</v>
      </c>
      <c r="E1336" s="3">
        <v>3.7806</v>
      </c>
      <c r="F1336" s="3">
        <v>3.495</v>
      </c>
      <c r="G1336" s="3">
        <v>3.7788</v>
      </c>
    </row>
    <row r="1337" spans="1:7">
      <c r="A1337" s="2">
        <v>42996</v>
      </c>
      <c r="B1337" s="3">
        <v>3.4969</v>
      </c>
      <c r="C1337" s="3">
        <v>3.7823</v>
      </c>
      <c r="D1337" s="3">
        <v>3.5006</v>
      </c>
      <c r="E1337" s="3">
        <v>3.785</v>
      </c>
      <c r="F1337" s="3">
        <v>3.4988</v>
      </c>
      <c r="G1337" s="3">
        <v>3.7837</v>
      </c>
    </row>
    <row r="1338" spans="1:7">
      <c r="A1338" s="2">
        <v>42997</v>
      </c>
      <c r="B1338" s="3">
        <v>3.49</v>
      </c>
      <c r="C1338" s="3">
        <v>3.77</v>
      </c>
      <c r="D1338" s="3">
        <v>3.4925</v>
      </c>
      <c r="E1338" s="3">
        <v>3.775</v>
      </c>
      <c r="F1338" s="3">
        <v>3.4913</v>
      </c>
      <c r="G1338" s="3">
        <v>3.7725</v>
      </c>
    </row>
    <row r="1339" spans="1:7">
      <c r="A1339" s="2">
        <v>42998</v>
      </c>
      <c r="B1339" s="3">
        <v>3.49</v>
      </c>
      <c r="C1339" s="3">
        <v>3.77</v>
      </c>
      <c r="D1339" s="3">
        <v>3.495</v>
      </c>
      <c r="E1339" s="3">
        <v>3.775</v>
      </c>
      <c r="F1339" s="3">
        <v>3.4925</v>
      </c>
      <c r="G1339" s="3">
        <v>3.7725</v>
      </c>
    </row>
    <row r="1340" spans="1:7">
      <c r="A1340" s="2">
        <v>42999</v>
      </c>
      <c r="B1340" s="3">
        <v>3.5</v>
      </c>
      <c r="C1340" s="3">
        <v>3.785</v>
      </c>
      <c r="D1340" s="3">
        <v>3.5068</v>
      </c>
      <c r="E1340" s="3">
        <v>3.79</v>
      </c>
      <c r="F1340" s="3">
        <v>3.5034</v>
      </c>
      <c r="G1340" s="3">
        <v>3.7875</v>
      </c>
    </row>
    <row r="1341" spans="1:7">
      <c r="A1341" s="2">
        <v>43000</v>
      </c>
      <c r="B1341" s="3">
        <v>3.485</v>
      </c>
      <c r="C1341" s="3">
        <v>3.7725</v>
      </c>
      <c r="D1341" s="3">
        <v>3.495</v>
      </c>
      <c r="E1341" s="3">
        <v>3.775</v>
      </c>
      <c r="F1341" s="3">
        <v>3.49</v>
      </c>
      <c r="G1341" s="3">
        <v>3.7738</v>
      </c>
    </row>
    <row r="1342" spans="1:7">
      <c r="A1342" s="2">
        <v>43003</v>
      </c>
      <c r="B1342" s="3">
        <v>3.4775</v>
      </c>
      <c r="C1342" s="3">
        <v>3.76</v>
      </c>
      <c r="D1342" s="3">
        <v>3.48</v>
      </c>
      <c r="E1342" s="3">
        <v>3.765</v>
      </c>
      <c r="F1342" s="3">
        <v>3.4788</v>
      </c>
      <c r="G1342" s="3">
        <v>3.7625</v>
      </c>
    </row>
    <row r="1343" spans="1:7">
      <c r="A1343" s="2">
        <v>43004</v>
      </c>
      <c r="B1343" s="3">
        <v>3.485</v>
      </c>
      <c r="C1343" s="3">
        <v>3.7675</v>
      </c>
      <c r="D1343" s="3">
        <v>3.4885</v>
      </c>
      <c r="E1343" s="3">
        <v>3.77</v>
      </c>
      <c r="F1343" s="3">
        <v>3.4868</v>
      </c>
      <c r="G1343" s="3">
        <v>3.7688</v>
      </c>
    </row>
    <row r="1344" spans="1:7">
      <c r="A1344" s="2">
        <v>43005</v>
      </c>
      <c r="B1344" s="3">
        <v>3.5096</v>
      </c>
      <c r="C1344" s="3">
        <v>3.7846</v>
      </c>
      <c r="D1344" s="3">
        <v>3.514</v>
      </c>
      <c r="E1344" s="3">
        <v>3.7856</v>
      </c>
      <c r="F1344" s="3">
        <v>3.5118</v>
      </c>
      <c r="G1344" s="3">
        <v>3.7851</v>
      </c>
    </row>
    <row r="1345" spans="1:7">
      <c r="A1345" s="2">
        <v>43006</v>
      </c>
      <c r="B1345" s="3">
        <v>3.4941</v>
      </c>
      <c r="C1345" s="3">
        <v>3.7873</v>
      </c>
      <c r="D1345" s="3">
        <v>3.4976</v>
      </c>
      <c r="E1345" s="3">
        <v>3.79</v>
      </c>
      <c r="F1345" s="3">
        <v>3.4959</v>
      </c>
      <c r="G1345" s="3">
        <v>3.7887</v>
      </c>
    </row>
    <row r="1346" spans="1:7">
      <c r="A1346" s="2">
        <v>43007</v>
      </c>
      <c r="B1346" s="3">
        <v>3.495</v>
      </c>
      <c r="C1346" s="3">
        <v>3.7825</v>
      </c>
      <c r="D1346" s="3">
        <v>3.4975</v>
      </c>
      <c r="E1346" s="3">
        <v>3.7925</v>
      </c>
      <c r="F1346" s="3">
        <v>3.4963</v>
      </c>
      <c r="G1346" s="3">
        <v>3.7875</v>
      </c>
    </row>
    <row r="1347" spans="1:7">
      <c r="A1347" s="2">
        <v>43008</v>
      </c>
      <c r="B1347" s="3">
        <v>3.4925</v>
      </c>
      <c r="C1347" s="3">
        <v>3.795</v>
      </c>
      <c r="D1347" s="3">
        <v>3.51</v>
      </c>
      <c r="E1347" s="3">
        <v>3.8</v>
      </c>
      <c r="F1347" s="3">
        <v>3.5013</v>
      </c>
      <c r="G1347" s="3">
        <v>3.7975</v>
      </c>
    </row>
    <row r="1348" spans="1:7">
      <c r="A1348" s="2">
        <v>43017</v>
      </c>
      <c r="B1348" s="3">
        <v>3.5175</v>
      </c>
      <c r="C1348" s="3">
        <v>3.8188</v>
      </c>
      <c r="D1348" s="3">
        <v>3.525</v>
      </c>
      <c r="E1348" s="3">
        <v>3.8225</v>
      </c>
      <c r="F1348" s="3">
        <v>3.5213</v>
      </c>
      <c r="G1348" s="3">
        <v>3.8207</v>
      </c>
    </row>
    <row r="1349" spans="1:7">
      <c r="A1349" s="2">
        <v>43018</v>
      </c>
      <c r="B1349" s="3">
        <v>3.5178</v>
      </c>
      <c r="C1349" s="3">
        <v>3.8225</v>
      </c>
      <c r="D1349" s="3">
        <v>3.5225</v>
      </c>
      <c r="E1349" s="3">
        <v>3.8275</v>
      </c>
      <c r="F1349" s="3">
        <v>3.5202</v>
      </c>
      <c r="G1349" s="3">
        <v>3.825</v>
      </c>
    </row>
    <row r="1350" spans="1:7">
      <c r="A1350" s="2">
        <v>43019</v>
      </c>
      <c r="B1350" s="3">
        <v>3.5125</v>
      </c>
      <c r="C1350" s="3">
        <v>3.8125</v>
      </c>
      <c r="D1350" s="3">
        <v>3.515</v>
      </c>
      <c r="E1350" s="3">
        <v>3.8175</v>
      </c>
      <c r="F1350" s="3">
        <v>3.5138</v>
      </c>
      <c r="G1350" s="3">
        <v>3.815</v>
      </c>
    </row>
    <row r="1351" spans="1:7">
      <c r="A1351" s="2">
        <v>43020</v>
      </c>
      <c r="B1351" s="3">
        <v>3.5199</v>
      </c>
      <c r="C1351" s="3">
        <v>3.8331</v>
      </c>
      <c r="D1351" s="3">
        <v>3.5229</v>
      </c>
      <c r="E1351" s="3">
        <v>3.8375</v>
      </c>
      <c r="F1351" s="3">
        <v>3.5214</v>
      </c>
      <c r="G1351" s="3">
        <v>3.8353</v>
      </c>
    </row>
    <row r="1352" spans="1:7">
      <c r="A1352" s="2">
        <v>43021</v>
      </c>
      <c r="B1352" s="3">
        <v>3.515</v>
      </c>
      <c r="C1352" s="3">
        <v>3.8372</v>
      </c>
      <c r="D1352" s="3">
        <v>3.525</v>
      </c>
      <c r="E1352" s="3">
        <v>3.84</v>
      </c>
      <c r="F1352" s="3">
        <v>3.52</v>
      </c>
      <c r="G1352" s="3">
        <v>3.8386</v>
      </c>
    </row>
    <row r="1353" spans="1:7">
      <c r="A1353" s="2">
        <v>43024</v>
      </c>
      <c r="B1353" s="3">
        <v>3.5359</v>
      </c>
      <c r="C1353" s="3">
        <v>3.875</v>
      </c>
      <c r="D1353" s="3">
        <v>3.5425</v>
      </c>
      <c r="E1353" s="3">
        <v>3.88</v>
      </c>
      <c r="F1353" s="3">
        <v>3.5392</v>
      </c>
      <c r="G1353" s="3">
        <v>3.8775</v>
      </c>
    </row>
    <row r="1354" spans="1:7">
      <c r="A1354" s="2">
        <v>43025</v>
      </c>
      <c r="B1354" s="3">
        <v>3.55</v>
      </c>
      <c r="C1354" s="3">
        <v>3.9023</v>
      </c>
      <c r="D1354" s="3">
        <v>3.5525</v>
      </c>
      <c r="E1354" s="3">
        <v>3.905</v>
      </c>
      <c r="F1354" s="3">
        <v>3.5513</v>
      </c>
      <c r="G1354" s="3">
        <v>3.9036</v>
      </c>
    </row>
    <row r="1355" spans="1:7">
      <c r="A1355" s="2">
        <v>43026</v>
      </c>
      <c r="B1355" s="3">
        <v>3.5275</v>
      </c>
      <c r="C1355" s="3">
        <v>3.8666</v>
      </c>
      <c r="D1355" s="3">
        <v>3.5325</v>
      </c>
      <c r="E1355" s="3">
        <v>3.8705</v>
      </c>
      <c r="F1355" s="3">
        <v>3.53</v>
      </c>
      <c r="G1355" s="3">
        <v>3.8685</v>
      </c>
    </row>
    <row r="1356" spans="1:7">
      <c r="A1356" s="2">
        <v>43027</v>
      </c>
      <c r="B1356" s="3">
        <v>3.5275</v>
      </c>
      <c r="C1356" s="3">
        <v>3.865</v>
      </c>
      <c r="D1356" s="3">
        <v>3.5325</v>
      </c>
      <c r="E1356" s="3">
        <v>3.8675</v>
      </c>
      <c r="F1356" s="3">
        <v>3.53</v>
      </c>
      <c r="G1356" s="3">
        <v>3.8663</v>
      </c>
    </row>
    <row r="1357" spans="1:7">
      <c r="A1357" s="2">
        <v>43028</v>
      </c>
      <c r="B1357" s="3">
        <v>3.536</v>
      </c>
      <c r="C1357" s="3">
        <v>3.877</v>
      </c>
      <c r="D1357" s="3">
        <v>3.5405</v>
      </c>
      <c r="E1357" s="3">
        <v>3.8805</v>
      </c>
      <c r="F1357" s="3">
        <v>3.5382</v>
      </c>
      <c r="G1357" s="3">
        <v>3.8788</v>
      </c>
    </row>
    <row r="1358" spans="1:7">
      <c r="A1358" s="2">
        <v>43031</v>
      </c>
      <c r="B1358" s="3">
        <v>3.5425</v>
      </c>
      <c r="C1358" s="3">
        <v>3.88</v>
      </c>
      <c r="D1358" s="3">
        <v>3.545</v>
      </c>
      <c r="E1358" s="3">
        <v>3.885</v>
      </c>
      <c r="F1358" s="3">
        <v>3.5438</v>
      </c>
      <c r="G1358" s="3">
        <v>3.8825</v>
      </c>
    </row>
    <row r="1359" spans="1:7">
      <c r="A1359" s="2">
        <v>43032</v>
      </c>
      <c r="B1359" s="3">
        <v>3.545</v>
      </c>
      <c r="C1359" s="3">
        <v>3.8825</v>
      </c>
      <c r="D1359" s="3">
        <v>3.5477</v>
      </c>
      <c r="E1359" s="3">
        <v>3.8875</v>
      </c>
      <c r="F1359" s="3">
        <v>3.5463</v>
      </c>
      <c r="G1359" s="3">
        <v>3.885</v>
      </c>
    </row>
    <row r="1360" spans="1:7">
      <c r="A1360" s="2">
        <v>43033</v>
      </c>
      <c r="B1360" s="3">
        <v>3.605</v>
      </c>
      <c r="C1360" s="3">
        <v>3.955</v>
      </c>
      <c r="D1360" s="3">
        <v>3.6125</v>
      </c>
      <c r="E1360" s="3">
        <v>3.9589</v>
      </c>
      <c r="F1360" s="3">
        <v>3.6088</v>
      </c>
      <c r="G1360" s="3">
        <v>3.9569</v>
      </c>
    </row>
    <row r="1361" spans="1:7">
      <c r="A1361" s="2">
        <v>43034</v>
      </c>
      <c r="B1361" s="3">
        <v>3.5815</v>
      </c>
      <c r="C1361" s="3">
        <v>3.935</v>
      </c>
      <c r="D1361" s="3">
        <v>3.5863</v>
      </c>
      <c r="E1361" s="3">
        <v>3.9425</v>
      </c>
      <c r="F1361" s="3">
        <v>3.5839</v>
      </c>
      <c r="G1361" s="3">
        <v>3.9388</v>
      </c>
    </row>
    <row r="1362" spans="1:7">
      <c r="A1362" s="2">
        <v>43035</v>
      </c>
      <c r="B1362" s="3">
        <v>3.602</v>
      </c>
      <c r="C1362" s="3">
        <v>3.9725</v>
      </c>
      <c r="D1362" s="3">
        <v>3.6078</v>
      </c>
      <c r="E1362" s="3">
        <v>3.9769</v>
      </c>
      <c r="F1362" s="3">
        <v>3.6049</v>
      </c>
      <c r="G1362" s="3">
        <v>3.9747</v>
      </c>
    </row>
    <row r="1363" spans="1:7">
      <c r="A1363" s="2">
        <v>43038</v>
      </c>
      <c r="B1363" s="3">
        <v>3.6383</v>
      </c>
      <c r="C1363" s="3">
        <v>4.0325</v>
      </c>
      <c r="D1363" s="3">
        <v>3.65</v>
      </c>
      <c r="E1363" s="3">
        <v>4.04</v>
      </c>
      <c r="F1363" s="3">
        <v>3.6442</v>
      </c>
      <c r="G1363" s="3">
        <v>4.0363</v>
      </c>
    </row>
    <row r="1364" spans="1:7">
      <c r="A1364" s="2">
        <v>43039</v>
      </c>
      <c r="B1364" s="3">
        <v>3.6</v>
      </c>
      <c r="C1364" s="3">
        <v>3.995</v>
      </c>
      <c r="D1364" s="3">
        <v>3.607</v>
      </c>
      <c r="E1364" s="3">
        <v>3.9975</v>
      </c>
      <c r="F1364" s="3">
        <v>3.6035</v>
      </c>
      <c r="G1364" s="3">
        <v>3.9963</v>
      </c>
    </row>
    <row r="1365" spans="1:7">
      <c r="A1365" s="2">
        <v>43040</v>
      </c>
      <c r="B1365" s="3">
        <v>3.5895</v>
      </c>
      <c r="C1365" s="3">
        <v>3.9579</v>
      </c>
      <c r="D1365" s="3">
        <v>3.595</v>
      </c>
      <c r="E1365" s="3">
        <v>3.9639</v>
      </c>
      <c r="F1365" s="3">
        <v>3.5922</v>
      </c>
      <c r="G1365" s="3">
        <v>3.9609</v>
      </c>
    </row>
    <row r="1366" spans="1:7">
      <c r="A1366" s="2">
        <v>43041</v>
      </c>
      <c r="B1366" s="3">
        <v>3.5914</v>
      </c>
      <c r="C1366" s="3">
        <v>3.9786</v>
      </c>
      <c r="D1366" s="3">
        <v>3.6</v>
      </c>
      <c r="E1366" s="3">
        <v>3.9826</v>
      </c>
      <c r="F1366" s="3">
        <v>3.5957</v>
      </c>
      <c r="G1366" s="3">
        <v>3.9806</v>
      </c>
    </row>
    <row r="1367" spans="1:7">
      <c r="A1367" s="2">
        <v>43042</v>
      </c>
      <c r="B1367" s="3">
        <v>3.5875</v>
      </c>
      <c r="C1367" s="3">
        <v>3.9725</v>
      </c>
      <c r="D1367" s="3">
        <v>3.59</v>
      </c>
      <c r="E1367" s="3">
        <v>3.9775</v>
      </c>
      <c r="F1367" s="3">
        <v>3.5888</v>
      </c>
      <c r="G1367" s="3">
        <v>3.975</v>
      </c>
    </row>
    <row r="1368" spans="1:7">
      <c r="A1368" s="2">
        <v>43045</v>
      </c>
      <c r="B1368" s="3">
        <v>3.5825</v>
      </c>
      <c r="C1368" s="3">
        <v>3.965</v>
      </c>
      <c r="D1368" s="3">
        <v>3.585</v>
      </c>
      <c r="E1368" s="3">
        <v>3.9679</v>
      </c>
      <c r="F1368" s="3">
        <v>3.5838</v>
      </c>
      <c r="G1368" s="3">
        <v>3.9665</v>
      </c>
    </row>
    <row r="1369" spans="1:7">
      <c r="A1369" s="2">
        <v>43046</v>
      </c>
      <c r="B1369" s="3">
        <v>3.585</v>
      </c>
      <c r="C1369" s="3">
        <v>3.9715</v>
      </c>
      <c r="D1369" s="3">
        <v>3.5875</v>
      </c>
      <c r="E1369" s="3">
        <v>3.975</v>
      </c>
      <c r="F1369" s="3">
        <v>3.5863</v>
      </c>
      <c r="G1369" s="3">
        <v>3.9733</v>
      </c>
    </row>
    <row r="1370" spans="1:7">
      <c r="A1370" s="2">
        <v>43047</v>
      </c>
      <c r="B1370" s="3">
        <v>3.59</v>
      </c>
      <c r="C1370" s="3">
        <v>3.965</v>
      </c>
      <c r="D1370" s="3">
        <v>3.5925</v>
      </c>
      <c r="E1370" s="3">
        <v>3.9697</v>
      </c>
      <c r="F1370" s="3">
        <v>3.5913</v>
      </c>
      <c r="G1370" s="3">
        <v>3.9673</v>
      </c>
    </row>
    <row r="1371" spans="1:7">
      <c r="A1371" s="2">
        <v>43048</v>
      </c>
      <c r="B1371" s="3">
        <v>3.6025</v>
      </c>
      <c r="C1371" s="3">
        <v>3.975</v>
      </c>
      <c r="D1371" s="3">
        <v>3.607</v>
      </c>
      <c r="E1371" s="3">
        <v>3.9775</v>
      </c>
      <c r="F1371" s="3">
        <v>3.6047</v>
      </c>
      <c r="G1371" s="3">
        <v>3.9763</v>
      </c>
    </row>
    <row r="1372" spans="1:7">
      <c r="A1372" s="2">
        <v>43049</v>
      </c>
      <c r="B1372" s="3">
        <v>3.6305</v>
      </c>
      <c r="C1372" s="3">
        <v>4.0005</v>
      </c>
      <c r="D1372" s="3">
        <v>3.633</v>
      </c>
      <c r="E1372" s="3">
        <v>4.0057</v>
      </c>
      <c r="F1372" s="3">
        <v>3.6318</v>
      </c>
      <c r="G1372" s="3">
        <v>4.0031</v>
      </c>
    </row>
    <row r="1373" spans="1:7">
      <c r="A1373" s="2">
        <v>43052</v>
      </c>
      <c r="B1373" s="3">
        <v>3.6504</v>
      </c>
      <c r="C1373" s="3">
        <v>4.046</v>
      </c>
      <c r="D1373" s="3">
        <v>3.6599</v>
      </c>
      <c r="E1373" s="3">
        <v>4.0519</v>
      </c>
      <c r="F1373" s="3">
        <v>3.6551</v>
      </c>
      <c r="G1373" s="3">
        <v>4.049</v>
      </c>
    </row>
    <row r="1374" spans="1:7">
      <c r="A1374" s="2">
        <v>43053</v>
      </c>
      <c r="B1374" s="3">
        <v>3.6433</v>
      </c>
      <c r="C1374" s="3">
        <v>4.034</v>
      </c>
      <c r="D1374" s="3">
        <v>3.65</v>
      </c>
      <c r="E1374" s="3">
        <v>4.0375</v>
      </c>
      <c r="F1374" s="3">
        <v>3.6467</v>
      </c>
      <c r="G1374" s="3">
        <v>4.0358</v>
      </c>
    </row>
    <row r="1375" spans="1:7">
      <c r="A1375" s="2">
        <v>43054</v>
      </c>
      <c r="B1375" s="3">
        <v>3.6275</v>
      </c>
      <c r="C1375" s="3">
        <v>3.995</v>
      </c>
      <c r="D1375" s="3">
        <v>3.6345</v>
      </c>
      <c r="E1375" s="3">
        <v>4</v>
      </c>
      <c r="F1375" s="3">
        <v>3.631</v>
      </c>
      <c r="G1375" s="3">
        <v>3.9975</v>
      </c>
    </row>
    <row r="1376" spans="1:7">
      <c r="A1376" s="2">
        <v>43055</v>
      </c>
      <c r="B1376" s="3">
        <v>3.6</v>
      </c>
      <c r="C1376" s="3">
        <v>3.975</v>
      </c>
      <c r="D1376" s="3">
        <v>3.605</v>
      </c>
      <c r="E1376" s="3">
        <v>3.9775</v>
      </c>
      <c r="F1376" s="3">
        <v>3.6025</v>
      </c>
      <c r="G1376" s="3">
        <v>3.9763</v>
      </c>
    </row>
    <row r="1377" spans="1:7">
      <c r="A1377" s="2">
        <v>43056</v>
      </c>
      <c r="B1377" s="3">
        <v>3.6025</v>
      </c>
      <c r="C1377" s="3">
        <v>3.9725</v>
      </c>
      <c r="D1377" s="3">
        <v>3.605</v>
      </c>
      <c r="E1377" s="3">
        <v>3.9775</v>
      </c>
      <c r="F1377" s="3">
        <v>3.6038</v>
      </c>
      <c r="G1377" s="3">
        <v>3.975</v>
      </c>
    </row>
    <row r="1378" spans="1:7">
      <c r="A1378" s="2">
        <v>43059</v>
      </c>
      <c r="B1378" s="3">
        <v>3.5875</v>
      </c>
      <c r="C1378" s="3">
        <v>3.9689</v>
      </c>
      <c r="D1378" s="3">
        <v>3.595</v>
      </c>
      <c r="E1378" s="3">
        <v>3.9744</v>
      </c>
      <c r="F1378" s="3">
        <v>3.5913</v>
      </c>
      <c r="G1378" s="3">
        <v>3.9716</v>
      </c>
    </row>
    <row r="1379" spans="1:7">
      <c r="A1379" s="2">
        <v>43060</v>
      </c>
      <c r="B1379" s="3">
        <v>3.5925</v>
      </c>
      <c r="C1379" s="3">
        <v>3.9631</v>
      </c>
      <c r="D1379" s="3">
        <v>3.5953</v>
      </c>
      <c r="E1379" s="3">
        <v>3.9683</v>
      </c>
      <c r="F1379" s="3">
        <v>3.5939</v>
      </c>
      <c r="G1379" s="3">
        <v>3.9657</v>
      </c>
    </row>
    <row r="1380" spans="1:7">
      <c r="A1380" s="2">
        <v>43061</v>
      </c>
      <c r="B1380" s="3">
        <v>3.6223</v>
      </c>
      <c r="C1380" s="3">
        <v>3.9958</v>
      </c>
      <c r="D1380" s="3">
        <v>3.6318</v>
      </c>
      <c r="E1380" s="3">
        <v>4.0003</v>
      </c>
      <c r="F1380" s="3">
        <v>3.6271</v>
      </c>
      <c r="G1380" s="3">
        <v>3.998</v>
      </c>
    </row>
    <row r="1381" spans="1:7">
      <c r="A1381" s="2">
        <v>43062</v>
      </c>
      <c r="B1381" s="3">
        <v>3.61</v>
      </c>
      <c r="C1381" s="3">
        <v>3.9911</v>
      </c>
      <c r="D1381" s="3">
        <v>3.6162</v>
      </c>
      <c r="E1381" s="3">
        <v>3.9939</v>
      </c>
      <c r="F1381" s="3">
        <v>3.6131</v>
      </c>
      <c r="G1381" s="3">
        <v>3.9925</v>
      </c>
    </row>
    <row r="1382" spans="1:7">
      <c r="A1382" s="2">
        <v>43063</v>
      </c>
      <c r="B1382" s="3">
        <v>3.5975</v>
      </c>
      <c r="C1382" s="3">
        <v>3.9656</v>
      </c>
      <c r="D1382" s="3">
        <v>3.605</v>
      </c>
      <c r="E1382" s="3">
        <v>3.97</v>
      </c>
      <c r="F1382" s="3">
        <v>3.6013</v>
      </c>
      <c r="G1382" s="3">
        <v>3.9678</v>
      </c>
    </row>
    <row r="1383" spans="1:7">
      <c r="A1383" s="2">
        <v>43066</v>
      </c>
      <c r="B1383" s="3">
        <v>3.6075</v>
      </c>
      <c r="C1383" s="3">
        <v>3.97</v>
      </c>
      <c r="D1383" s="3">
        <v>3.61</v>
      </c>
      <c r="E1383" s="3">
        <v>3.975</v>
      </c>
      <c r="F1383" s="3">
        <v>3.6088</v>
      </c>
      <c r="G1383" s="3">
        <v>3.9725</v>
      </c>
    </row>
    <row r="1384" spans="1:7">
      <c r="A1384" s="2">
        <v>43067</v>
      </c>
      <c r="B1384" s="3">
        <v>3.6275</v>
      </c>
      <c r="C1384" s="3">
        <v>3.9888</v>
      </c>
      <c r="D1384" s="3">
        <v>3.6313</v>
      </c>
      <c r="E1384" s="3">
        <v>3.9927</v>
      </c>
      <c r="F1384" s="3">
        <v>3.6294</v>
      </c>
      <c r="G1384" s="3">
        <v>3.9908</v>
      </c>
    </row>
    <row r="1385" spans="1:7">
      <c r="A1385" s="2">
        <v>43068</v>
      </c>
      <c r="B1385" s="3">
        <v>3.62</v>
      </c>
      <c r="C1385" s="3">
        <v>3.9675</v>
      </c>
      <c r="D1385" s="3">
        <v>3.625</v>
      </c>
      <c r="E1385" s="3">
        <v>3.9725</v>
      </c>
      <c r="F1385" s="3">
        <v>3.6225</v>
      </c>
      <c r="G1385" s="3">
        <v>3.97</v>
      </c>
    </row>
    <row r="1386" spans="1:7">
      <c r="A1386" s="2">
        <v>43069</v>
      </c>
      <c r="B1386" s="3">
        <v>3.62</v>
      </c>
      <c r="C1386" s="3">
        <v>3.965</v>
      </c>
      <c r="D1386" s="3">
        <v>3.6225</v>
      </c>
      <c r="E1386" s="3">
        <v>3.97</v>
      </c>
      <c r="F1386" s="3">
        <v>3.6213</v>
      </c>
      <c r="G1386" s="3">
        <v>3.9675</v>
      </c>
    </row>
    <row r="1387" spans="1:7">
      <c r="A1387" s="2">
        <v>43070</v>
      </c>
      <c r="B1387" s="3">
        <v>3.6125</v>
      </c>
      <c r="C1387" s="3">
        <v>3.97</v>
      </c>
      <c r="D1387" s="3">
        <v>3.6175</v>
      </c>
      <c r="E1387" s="3">
        <v>3.97</v>
      </c>
      <c r="F1387" s="3">
        <v>3.615</v>
      </c>
      <c r="G1387" s="3">
        <v>3.97</v>
      </c>
    </row>
    <row r="1388" spans="1:7">
      <c r="A1388" s="2">
        <v>43073</v>
      </c>
      <c r="B1388" s="3">
        <v>3.612</v>
      </c>
      <c r="C1388" s="3">
        <v>3.9725</v>
      </c>
      <c r="D1388" s="3">
        <v>3.615</v>
      </c>
      <c r="E1388" s="3">
        <v>3.975</v>
      </c>
      <c r="F1388" s="3">
        <v>3.6135</v>
      </c>
      <c r="G1388" s="3">
        <v>3.9738</v>
      </c>
    </row>
    <row r="1389" spans="1:7">
      <c r="A1389" s="2">
        <v>43074</v>
      </c>
      <c r="B1389" s="3">
        <v>3.6125</v>
      </c>
      <c r="C1389" s="3">
        <v>3.9711</v>
      </c>
      <c r="D1389" s="3">
        <v>3.6175</v>
      </c>
      <c r="E1389" s="3">
        <v>3.975</v>
      </c>
      <c r="F1389" s="3">
        <v>3.615</v>
      </c>
      <c r="G1389" s="3">
        <v>3.9731</v>
      </c>
    </row>
    <row r="1390" spans="1:7">
      <c r="A1390" s="2">
        <v>43075</v>
      </c>
      <c r="B1390" s="3">
        <v>3.6297</v>
      </c>
      <c r="C1390" s="3">
        <v>3.985</v>
      </c>
      <c r="D1390" s="3">
        <v>3.6325</v>
      </c>
      <c r="E1390" s="3">
        <v>3.9875</v>
      </c>
      <c r="F1390" s="3">
        <v>3.6311</v>
      </c>
      <c r="G1390" s="3">
        <v>3.9863</v>
      </c>
    </row>
    <row r="1391" spans="1:7">
      <c r="A1391" s="2">
        <v>43076</v>
      </c>
      <c r="B1391" s="3">
        <v>3.6397</v>
      </c>
      <c r="C1391" s="3">
        <v>3.9908</v>
      </c>
      <c r="D1391" s="3">
        <v>3.6428</v>
      </c>
      <c r="E1391" s="3">
        <v>3.9938</v>
      </c>
      <c r="F1391" s="3">
        <v>3.6413</v>
      </c>
      <c r="G1391" s="3">
        <v>3.9923</v>
      </c>
    </row>
    <row r="1392" spans="1:7">
      <c r="A1392" s="2">
        <v>43077</v>
      </c>
      <c r="B1392" s="3">
        <v>3.6625</v>
      </c>
      <c r="C1392" s="3">
        <v>4.0102</v>
      </c>
      <c r="D1392" s="3">
        <v>3.665</v>
      </c>
      <c r="E1392" s="3">
        <v>4.0131</v>
      </c>
      <c r="F1392" s="3">
        <v>3.6638</v>
      </c>
      <c r="G1392" s="3">
        <v>4.0116</v>
      </c>
    </row>
    <row r="1393" spans="1:7">
      <c r="A1393" s="2">
        <v>43080</v>
      </c>
      <c r="B1393" s="3">
        <v>3.695</v>
      </c>
      <c r="C1393" s="3">
        <v>4.0525</v>
      </c>
      <c r="D1393" s="3">
        <v>3.7</v>
      </c>
      <c r="E1393" s="3">
        <v>4.0575</v>
      </c>
      <c r="F1393" s="3">
        <v>3.6975</v>
      </c>
      <c r="G1393" s="3">
        <v>4.055</v>
      </c>
    </row>
    <row r="1394" spans="1:7">
      <c r="A1394" s="2">
        <v>43081</v>
      </c>
      <c r="B1394" s="3">
        <v>3.7223</v>
      </c>
      <c r="C1394" s="3">
        <v>4.085</v>
      </c>
      <c r="D1394" s="3">
        <v>3.7286</v>
      </c>
      <c r="E1394" s="3">
        <v>4.0908</v>
      </c>
      <c r="F1394" s="3">
        <v>3.7255</v>
      </c>
      <c r="G1394" s="3">
        <v>4.0879</v>
      </c>
    </row>
    <row r="1395" spans="1:7">
      <c r="A1395" s="2">
        <v>43082</v>
      </c>
      <c r="B1395" s="3">
        <v>3.7275</v>
      </c>
      <c r="C1395" s="3">
        <v>4.0854</v>
      </c>
      <c r="D1395" s="3">
        <v>3.7322</v>
      </c>
      <c r="E1395" s="3">
        <v>4.0913</v>
      </c>
      <c r="F1395" s="3">
        <v>3.7298</v>
      </c>
      <c r="G1395" s="3">
        <v>4.0883</v>
      </c>
    </row>
    <row r="1396" spans="1:7">
      <c r="A1396" s="2">
        <v>43083</v>
      </c>
      <c r="B1396" s="3">
        <v>3.6925</v>
      </c>
      <c r="C1396" s="3">
        <v>4.055</v>
      </c>
      <c r="D1396" s="3">
        <v>3.6953</v>
      </c>
      <c r="E1396" s="3">
        <v>4.0587</v>
      </c>
      <c r="F1396" s="3">
        <v>3.6939</v>
      </c>
      <c r="G1396" s="3">
        <v>4.0568</v>
      </c>
    </row>
    <row r="1397" spans="1:7">
      <c r="A1397" s="2">
        <v>43084</v>
      </c>
      <c r="B1397" s="3">
        <v>3.66</v>
      </c>
      <c r="C1397" s="3">
        <v>4.0175</v>
      </c>
      <c r="D1397" s="3">
        <v>3.665</v>
      </c>
      <c r="E1397" s="3">
        <v>4.0225</v>
      </c>
      <c r="F1397" s="3">
        <v>3.6625</v>
      </c>
      <c r="G1397" s="3">
        <v>4.02</v>
      </c>
    </row>
    <row r="1398" spans="1:7">
      <c r="A1398" s="2">
        <v>43087</v>
      </c>
      <c r="B1398" s="3">
        <v>3.6625</v>
      </c>
      <c r="C1398" s="3">
        <v>4.025</v>
      </c>
      <c r="D1398" s="3">
        <v>3.6675</v>
      </c>
      <c r="E1398" s="3">
        <v>4.0282</v>
      </c>
      <c r="F1398" s="3">
        <v>3.665</v>
      </c>
      <c r="G1398" s="3">
        <v>4.0266</v>
      </c>
    </row>
    <row r="1399" spans="1:7">
      <c r="A1399" s="2">
        <v>43088</v>
      </c>
      <c r="B1399" s="3">
        <v>3.675</v>
      </c>
      <c r="C1399" s="3">
        <v>4.045</v>
      </c>
      <c r="D1399" s="3">
        <v>3.685</v>
      </c>
      <c r="E1399" s="3">
        <v>4.0483</v>
      </c>
      <c r="F1399" s="3">
        <v>3.68</v>
      </c>
      <c r="G1399" s="3">
        <v>4.0467</v>
      </c>
    </row>
    <row r="1400" spans="1:7">
      <c r="A1400" s="2">
        <v>43089</v>
      </c>
      <c r="B1400" s="3">
        <v>3.6875</v>
      </c>
      <c r="C1400" s="3">
        <v>4.05</v>
      </c>
      <c r="D1400" s="3">
        <v>3.6925</v>
      </c>
      <c r="E1400" s="3">
        <v>4.055</v>
      </c>
      <c r="F1400" s="3">
        <v>3.69</v>
      </c>
      <c r="G1400" s="3">
        <v>4.0525</v>
      </c>
    </row>
    <row r="1401" spans="1:7">
      <c r="A1401" s="2">
        <v>43090</v>
      </c>
      <c r="B1401" s="3">
        <v>3.6907</v>
      </c>
      <c r="C1401" s="3">
        <v>4.0598</v>
      </c>
      <c r="D1401" s="3">
        <v>3.6934</v>
      </c>
      <c r="E1401" s="3">
        <v>4.0621</v>
      </c>
      <c r="F1401" s="3">
        <v>3.692</v>
      </c>
      <c r="G1401" s="3">
        <v>4.0609</v>
      </c>
    </row>
    <row r="1402" spans="1:7">
      <c r="A1402" s="2">
        <v>43091</v>
      </c>
      <c r="B1402" s="3">
        <v>3.66</v>
      </c>
      <c r="C1402" s="3">
        <v>4.04</v>
      </c>
      <c r="D1402" s="3">
        <v>3.6629</v>
      </c>
      <c r="E1402" s="3">
        <v>4.0425</v>
      </c>
      <c r="F1402" s="3">
        <v>3.6615</v>
      </c>
      <c r="G1402" s="3">
        <v>4.0413</v>
      </c>
    </row>
    <row r="1403" spans="1:7">
      <c r="A1403" s="2">
        <v>43094</v>
      </c>
      <c r="B1403" s="3">
        <v>3.6498</v>
      </c>
      <c r="C1403" s="3">
        <v>4.03</v>
      </c>
      <c r="D1403" s="3">
        <v>3.655</v>
      </c>
      <c r="E1403" s="3">
        <v>4.035</v>
      </c>
      <c r="F1403" s="3">
        <v>3.6524</v>
      </c>
      <c r="G1403" s="3">
        <v>4.0325</v>
      </c>
    </row>
    <row r="1404" spans="1:7">
      <c r="A1404" s="2">
        <v>43095</v>
      </c>
      <c r="B1404" s="3">
        <v>3.6575</v>
      </c>
      <c r="C1404" s="3">
        <v>4.04</v>
      </c>
      <c r="D1404" s="3">
        <v>3.6625</v>
      </c>
      <c r="E1404" s="3">
        <v>4.045</v>
      </c>
      <c r="F1404" s="3">
        <v>3.66</v>
      </c>
      <c r="G1404" s="3">
        <v>4.0425</v>
      </c>
    </row>
    <row r="1405" spans="1:7">
      <c r="A1405" s="2">
        <v>43096</v>
      </c>
      <c r="B1405" s="3">
        <v>3.67</v>
      </c>
      <c r="C1405" s="3">
        <v>4.045</v>
      </c>
      <c r="D1405" s="3">
        <v>3.6725</v>
      </c>
      <c r="E1405" s="3">
        <v>4.048</v>
      </c>
      <c r="F1405" s="3">
        <v>3.6713</v>
      </c>
      <c r="G1405" s="3">
        <v>4.0465</v>
      </c>
    </row>
    <row r="1406" spans="1:7">
      <c r="A1406" s="2">
        <v>43097</v>
      </c>
      <c r="B1406" s="3">
        <v>3.685</v>
      </c>
      <c r="C1406" s="3">
        <v>4.035</v>
      </c>
      <c r="D1406" s="3">
        <v>3.688</v>
      </c>
      <c r="E1406" s="3">
        <v>4.0425</v>
      </c>
      <c r="F1406" s="3">
        <v>3.6865</v>
      </c>
      <c r="G1406" s="3">
        <v>4.0388</v>
      </c>
    </row>
    <row r="1407" spans="1:7">
      <c r="A1407" s="2">
        <v>43098</v>
      </c>
      <c r="B1407" s="3">
        <v>3.6914</v>
      </c>
      <c r="C1407" s="3">
        <v>4.025</v>
      </c>
      <c r="D1407" s="3">
        <v>3.7025</v>
      </c>
      <c r="E1407" s="3">
        <v>4.045</v>
      </c>
      <c r="F1407" s="3">
        <v>3.6969</v>
      </c>
      <c r="G1407" s="3">
        <v>4.035</v>
      </c>
    </row>
    <row r="1408" spans="1:7">
      <c r="A1408" s="2">
        <v>43102</v>
      </c>
      <c r="B1408" s="3">
        <v>3.635</v>
      </c>
      <c r="C1408" s="3">
        <v>4.0349</v>
      </c>
      <c r="D1408" s="3">
        <v>3.645</v>
      </c>
      <c r="E1408" s="3">
        <v>4.0375</v>
      </c>
      <c r="F1408" s="3">
        <v>3.64</v>
      </c>
      <c r="G1408" s="3">
        <v>4.0362</v>
      </c>
    </row>
    <row r="1409" spans="1:7">
      <c r="A1409" s="2">
        <v>43103</v>
      </c>
      <c r="B1409" s="3">
        <v>3.63</v>
      </c>
      <c r="C1409" s="3">
        <v>4.0325</v>
      </c>
      <c r="D1409" s="3">
        <v>3.635</v>
      </c>
      <c r="E1409" s="3">
        <v>4.0366</v>
      </c>
      <c r="F1409" s="3">
        <v>3.6325</v>
      </c>
      <c r="G1409" s="3">
        <v>4.0346</v>
      </c>
    </row>
    <row r="1410" spans="1:7">
      <c r="A1410" s="2">
        <v>43104</v>
      </c>
      <c r="B1410" s="3">
        <v>3.6006</v>
      </c>
      <c r="C1410" s="3">
        <v>4.026</v>
      </c>
      <c r="D1410" s="3">
        <v>3.6092</v>
      </c>
      <c r="E1410" s="3">
        <v>4.0331</v>
      </c>
      <c r="F1410" s="3">
        <v>3.6049</v>
      </c>
      <c r="G1410" s="3">
        <v>4.0296</v>
      </c>
    </row>
    <row r="1411" spans="1:7">
      <c r="A1411" s="2">
        <v>43105</v>
      </c>
      <c r="B1411" s="3">
        <v>3.5651</v>
      </c>
      <c r="C1411" s="3">
        <v>3.9924</v>
      </c>
      <c r="D1411" s="3">
        <v>3.5702</v>
      </c>
      <c r="E1411" s="3">
        <v>4.0025</v>
      </c>
      <c r="F1411" s="3">
        <v>3.5677</v>
      </c>
      <c r="G1411" s="3">
        <v>3.9974</v>
      </c>
    </row>
    <row r="1412" spans="1:7">
      <c r="A1412" s="2">
        <v>43108</v>
      </c>
      <c r="B1412" s="3">
        <v>3.585</v>
      </c>
      <c r="C1412" s="3">
        <v>3.9974</v>
      </c>
      <c r="D1412" s="3">
        <v>3.59</v>
      </c>
      <c r="E1412" s="3">
        <v>4.0003</v>
      </c>
      <c r="F1412" s="3">
        <v>3.5875</v>
      </c>
      <c r="G1412" s="3">
        <v>3.9989</v>
      </c>
    </row>
    <row r="1413" spans="1:7">
      <c r="A1413" s="2">
        <v>43109</v>
      </c>
      <c r="B1413" s="3">
        <v>3.6</v>
      </c>
      <c r="C1413" s="3">
        <v>3.9975</v>
      </c>
      <c r="D1413" s="3">
        <v>3.6025</v>
      </c>
      <c r="E1413" s="3">
        <v>4.0025</v>
      </c>
      <c r="F1413" s="3">
        <v>3.6013</v>
      </c>
      <c r="G1413" s="3">
        <v>4</v>
      </c>
    </row>
    <row r="1414" spans="1:7">
      <c r="A1414" s="2">
        <v>43110</v>
      </c>
      <c r="B1414" s="3">
        <v>3.6418</v>
      </c>
      <c r="C1414" s="3">
        <v>4.0475</v>
      </c>
      <c r="D1414" s="3">
        <v>3.6479</v>
      </c>
      <c r="E1414" s="3">
        <v>4.053</v>
      </c>
      <c r="F1414" s="3">
        <v>3.6449</v>
      </c>
      <c r="G1414" s="3">
        <v>4.0503</v>
      </c>
    </row>
    <row r="1415" spans="1:7">
      <c r="A1415" s="2">
        <v>43111</v>
      </c>
      <c r="B1415" s="3">
        <v>3.6475</v>
      </c>
      <c r="C1415" s="3">
        <v>4.0469</v>
      </c>
      <c r="D1415" s="3">
        <v>3.6524</v>
      </c>
      <c r="E1415" s="3">
        <v>4.0504</v>
      </c>
      <c r="F1415" s="3">
        <v>3.65</v>
      </c>
      <c r="G1415" s="3">
        <v>4.0486</v>
      </c>
    </row>
    <row r="1416" spans="1:7">
      <c r="A1416" s="2">
        <v>43112</v>
      </c>
      <c r="B1416" s="3">
        <v>3.6206</v>
      </c>
      <c r="C1416" s="3">
        <v>4.0282</v>
      </c>
      <c r="D1416" s="3">
        <v>3.6325</v>
      </c>
      <c r="E1416" s="3">
        <v>4.0332</v>
      </c>
      <c r="F1416" s="3">
        <v>3.6266</v>
      </c>
      <c r="G1416" s="3">
        <v>4.0307</v>
      </c>
    </row>
    <row r="1417" spans="1:7">
      <c r="A1417" s="2">
        <v>43115</v>
      </c>
      <c r="B1417" s="3">
        <v>3.6102</v>
      </c>
      <c r="C1417" s="3">
        <v>4.0307</v>
      </c>
      <c r="D1417" s="3">
        <v>3.6181</v>
      </c>
      <c r="E1417" s="3">
        <v>4.0356</v>
      </c>
      <c r="F1417" s="3">
        <v>3.6142</v>
      </c>
      <c r="G1417" s="3">
        <v>4.0331</v>
      </c>
    </row>
    <row r="1418" spans="1:7">
      <c r="A1418" s="2">
        <v>43116</v>
      </c>
      <c r="B1418" s="3">
        <v>3.599</v>
      </c>
      <c r="C1418" s="3">
        <v>4.03</v>
      </c>
      <c r="D1418" s="3">
        <v>3.6021</v>
      </c>
      <c r="E1418" s="3">
        <v>4.0333</v>
      </c>
      <c r="F1418" s="3">
        <v>3.6006</v>
      </c>
      <c r="G1418" s="3">
        <v>4.0317</v>
      </c>
    </row>
    <row r="1419" spans="1:7">
      <c r="A1419" s="2">
        <v>43117</v>
      </c>
      <c r="B1419" s="3">
        <v>3.605</v>
      </c>
      <c r="C1419" s="3">
        <v>4.04</v>
      </c>
      <c r="D1419" s="3">
        <v>3.6075</v>
      </c>
      <c r="E1419" s="3">
        <v>4.045</v>
      </c>
      <c r="F1419" s="3">
        <v>3.6063</v>
      </c>
      <c r="G1419" s="3">
        <v>4.0425</v>
      </c>
    </row>
    <row r="1420" spans="1:7">
      <c r="A1420" s="2">
        <v>43118</v>
      </c>
      <c r="B1420" s="3">
        <v>3.615</v>
      </c>
      <c r="C1420" s="3">
        <v>4.0575</v>
      </c>
      <c r="D1420" s="3">
        <v>3.6225</v>
      </c>
      <c r="E1420" s="3">
        <v>4.0604</v>
      </c>
      <c r="F1420" s="3">
        <v>3.6188</v>
      </c>
      <c r="G1420" s="3">
        <v>4.059</v>
      </c>
    </row>
    <row r="1421" spans="1:7">
      <c r="A1421" s="2">
        <v>43119</v>
      </c>
      <c r="B1421" s="3">
        <v>3.605</v>
      </c>
      <c r="C1421" s="3">
        <v>4.066</v>
      </c>
      <c r="D1421" s="3">
        <v>3.6175</v>
      </c>
      <c r="E1421" s="3">
        <v>4.0705</v>
      </c>
      <c r="F1421" s="3">
        <v>3.6113</v>
      </c>
      <c r="G1421" s="3">
        <v>4.0683</v>
      </c>
    </row>
    <row r="1422" spans="1:7">
      <c r="A1422" s="2">
        <v>43122</v>
      </c>
      <c r="B1422" s="3">
        <v>3.585</v>
      </c>
      <c r="C1422" s="3">
        <v>4.045</v>
      </c>
      <c r="D1422" s="3">
        <v>3.5894</v>
      </c>
      <c r="E1422" s="3">
        <v>4.05</v>
      </c>
      <c r="F1422" s="3">
        <v>3.5872</v>
      </c>
      <c r="G1422" s="3">
        <v>4.0475</v>
      </c>
    </row>
    <row r="1423" spans="1:7">
      <c r="A1423" s="2">
        <v>43123</v>
      </c>
      <c r="B1423" s="3">
        <v>3.5679</v>
      </c>
      <c r="C1423" s="3">
        <v>4.0338</v>
      </c>
      <c r="D1423" s="3">
        <v>3.5777</v>
      </c>
      <c r="E1423" s="3">
        <v>4.0362</v>
      </c>
      <c r="F1423" s="3">
        <v>3.5728</v>
      </c>
      <c r="G1423" s="3">
        <v>4.035</v>
      </c>
    </row>
    <row r="1424" spans="1:7">
      <c r="A1424" s="2">
        <v>43124</v>
      </c>
      <c r="B1424" s="3">
        <v>3.565</v>
      </c>
      <c r="C1424" s="3">
        <v>4.0125</v>
      </c>
      <c r="D1424" s="3">
        <v>3.5675</v>
      </c>
      <c r="E1424" s="3">
        <v>4.015</v>
      </c>
      <c r="F1424" s="3">
        <v>3.5663</v>
      </c>
      <c r="G1424" s="3">
        <v>4.0138</v>
      </c>
    </row>
    <row r="1425" spans="1:7">
      <c r="A1425" s="2">
        <v>43125</v>
      </c>
      <c r="B1425" s="3">
        <v>3.5425</v>
      </c>
      <c r="C1425" s="3">
        <v>3.9838</v>
      </c>
      <c r="D1425" s="3">
        <v>3.5469</v>
      </c>
      <c r="E1425" s="3">
        <v>3.987</v>
      </c>
      <c r="F1425" s="3">
        <v>3.5447</v>
      </c>
      <c r="G1425" s="3">
        <v>3.9854</v>
      </c>
    </row>
    <row r="1426" spans="1:7">
      <c r="A1426" s="2">
        <v>43126</v>
      </c>
      <c r="B1426" s="3">
        <v>3.5844</v>
      </c>
      <c r="C1426" s="3">
        <v>4.0175</v>
      </c>
      <c r="D1426" s="3">
        <v>3.5991</v>
      </c>
      <c r="E1426" s="3">
        <v>4.03</v>
      </c>
      <c r="F1426" s="3">
        <v>3.5918</v>
      </c>
      <c r="G1426" s="3">
        <v>4.0238</v>
      </c>
    </row>
    <row r="1427" spans="1:7">
      <c r="A1427" s="2">
        <v>43129</v>
      </c>
      <c r="B1427" s="3">
        <v>3.58</v>
      </c>
      <c r="C1427" s="3">
        <v>4.0201</v>
      </c>
      <c r="D1427" s="3">
        <v>3.5853</v>
      </c>
      <c r="E1427" s="3">
        <v>4.025</v>
      </c>
      <c r="F1427" s="3">
        <v>3.5827</v>
      </c>
      <c r="G1427" s="3">
        <v>4.0225</v>
      </c>
    </row>
    <row r="1428" spans="1:7">
      <c r="A1428" s="2">
        <v>43130</v>
      </c>
      <c r="B1428" s="3">
        <v>3.5905</v>
      </c>
      <c r="C1428" s="3">
        <v>4.035</v>
      </c>
      <c r="D1428" s="3">
        <v>3.5932</v>
      </c>
      <c r="E1428" s="3">
        <v>4.04</v>
      </c>
      <c r="F1428" s="3">
        <v>3.5919</v>
      </c>
      <c r="G1428" s="3">
        <v>4.0375</v>
      </c>
    </row>
    <row r="1429" spans="1:7">
      <c r="A1429" s="2">
        <v>43131</v>
      </c>
      <c r="B1429" s="3">
        <v>3.575</v>
      </c>
      <c r="C1429" s="3">
        <v>4.0175</v>
      </c>
      <c r="D1429" s="3">
        <v>3.58</v>
      </c>
      <c r="E1429" s="3">
        <v>4.0225</v>
      </c>
      <c r="F1429" s="3">
        <v>3.5775</v>
      </c>
      <c r="G1429" s="3">
        <v>4.02</v>
      </c>
    </row>
    <row r="1430" spans="1:7">
      <c r="A1430" s="2">
        <v>43132</v>
      </c>
      <c r="B1430" s="3">
        <v>3.5575</v>
      </c>
      <c r="C1430" s="3">
        <v>4.0123</v>
      </c>
      <c r="D1430" s="3">
        <v>3.57</v>
      </c>
      <c r="E1430" s="3">
        <v>4.0158</v>
      </c>
      <c r="F1430" s="3">
        <v>3.5638</v>
      </c>
      <c r="G1430" s="3">
        <v>4.014</v>
      </c>
    </row>
    <row r="1431" spans="1:7">
      <c r="A1431" s="2">
        <v>43133</v>
      </c>
      <c r="B1431" s="3">
        <v>3.5561</v>
      </c>
      <c r="C1431" s="3">
        <v>4.015</v>
      </c>
      <c r="D1431" s="3">
        <v>3.5586</v>
      </c>
      <c r="E1431" s="3">
        <v>4.0202</v>
      </c>
      <c r="F1431" s="3">
        <v>3.5573</v>
      </c>
      <c r="G1431" s="3">
        <v>4.0176</v>
      </c>
    </row>
    <row r="1432" spans="1:7">
      <c r="A1432" s="2">
        <v>43136</v>
      </c>
      <c r="B1432" s="3">
        <v>3.5525</v>
      </c>
      <c r="C1432" s="3">
        <v>4.0275</v>
      </c>
      <c r="D1432" s="3">
        <v>3.5575</v>
      </c>
      <c r="E1432" s="3">
        <v>4.03</v>
      </c>
      <c r="F1432" s="3">
        <v>3.555</v>
      </c>
      <c r="G1432" s="3">
        <v>4.0288</v>
      </c>
    </row>
    <row r="1433" spans="1:7">
      <c r="A1433" s="2">
        <v>43137</v>
      </c>
      <c r="B1433" s="3">
        <v>3.5475</v>
      </c>
      <c r="C1433" s="3">
        <v>4.0025</v>
      </c>
      <c r="D1433" s="3">
        <v>3.55</v>
      </c>
      <c r="E1433" s="3">
        <v>4.005</v>
      </c>
      <c r="F1433" s="3">
        <v>3.5488</v>
      </c>
      <c r="G1433" s="3">
        <v>4.0038</v>
      </c>
    </row>
    <row r="1434" spans="1:7">
      <c r="A1434" s="2">
        <v>43138</v>
      </c>
      <c r="B1434" s="3">
        <v>3.5253</v>
      </c>
      <c r="C1434" s="3">
        <v>3.9847</v>
      </c>
      <c r="D1434" s="3">
        <v>3.5287</v>
      </c>
      <c r="E1434" s="3">
        <v>3.9892</v>
      </c>
      <c r="F1434" s="3">
        <v>3.527</v>
      </c>
      <c r="G1434" s="3">
        <v>3.987</v>
      </c>
    </row>
    <row r="1435" spans="1:7">
      <c r="A1435" s="2">
        <v>43139</v>
      </c>
      <c r="B1435" s="3">
        <v>3.5326</v>
      </c>
      <c r="C1435" s="3">
        <v>3.9933</v>
      </c>
      <c r="D1435" s="3">
        <v>3.5448</v>
      </c>
      <c r="E1435" s="3">
        <v>3.9992</v>
      </c>
      <c r="F1435" s="3">
        <v>3.5387</v>
      </c>
      <c r="G1435" s="3">
        <v>3.9963</v>
      </c>
    </row>
    <row r="1436" spans="1:7">
      <c r="A1436" s="2">
        <v>43140</v>
      </c>
      <c r="B1436" s="3">
        <v>3.53</v>
      </c>
      <c r="C1436" s="3">
        <v>3.9825</v>
      </c>
      <c r="D1436" s="3">
        <v>3.535</v>
      </c>
      <c r="E1436" s="3">
        <v>3.985</v>
      </c>
      <c r="F1436" s="3">
        <v>3.5325</v>
      </c>
      <c r="G1436" s="3">
        <v>3.9838</v>
      </c>
    </row>
    <row r="1437" spans="1:7">
      <c r="A1437" s="2">
        <v>43142</v>
      </c>
      <c r="B1437" s="3">
        <v>3.5262</v>
      </c>
      <c r="C1437" s="3">
        <v>3.9775</v>
      </c>
      <c r="D1437" s="3">
        <v>3.5363</v>
      </c>
      <c r="E1437" s="3">
        <v>3.9825</v>
      </c>
      <c r="F1437" s="3">
        <v>3.5313</v>
      </c>
      <c r="G1437" s="3">
        <v>3.98</v>
      </c>
    </row>
    <row r="1438" spans="1:7">
      <c r="A1438" s="2">
        <v>43143</v>
      </c>
      <c r="B1438" s="3">
        <v>3.5334</v>
      </c>
      <c r="C1438" s="3">
        <v>3.979</v>
      </c>
      <c r="D1438" s="3">
        <v>3.54</v>
      </c>
      <c r="E1438" s="3">
        <v>3.985</v>
      </c>
      <c r="F1438" s="3">
        <v>3.5367</v>
      </c>
      <c r="G1438" s="3">
        <v>3.982</v>
      </c>
    </row>
    <row r="1439" spans="1:7">
      <c r="A1439" s="2">
        <v>43144</v>
      </c>
      <c r="B1439" s="3">
        <v>3.535</v>
      </c>
      <c r="C1439" s="3">
        <v>3.9875</v>
      </c>
      <c r="D1439" s="3">
        <v>3.54</v>
      </c>
      <c r="E1439" s="3">
        <v>3.99</v>
      </c>
      <c r="F1439" s="3">
        <v>3.5375</v>
      </c>
      <c r="G1439" s="3">
        <v>3.9888</v>
      </c>
    </row>
    <row r="1440" spans="1:7">
      <c r="A1440" s="2">
        <v>43145</v>
      </c>
      <c r="B1440" s="3">
        <v>3.535</v>
      </c>
      <c r="C1440" s="3">
        <v>3.985</v>
      </c>
      <c r="D1440" s="3">
        <v>3.55</v>
      </c>
      <c r="E1440" s="3">
        <v>4.0025</v>
      </c>
      <c r="F1440" s="3">
        <v>3.5425</v>
      </c>
      <c r="G1440" s="3">
        <v>3.9938</v>
      </c>
    </row>
    <row r="1441" spans="1:7">
      <c r="A1441" s="2">
        <v>43153</v>
      </c>
      <c r="B1441" s="3">
        <v>3.5453</v>
      </c>
      <c r="C1441" s="3">
        <v>4.0047</v>
      </c>
      <c r="D1441" s="3">
        <v>3.5541</v>
      </c>
      <c r="E1441" s="3">
        <v>4.0095</v>
      </c>
      <c r="F1441" s="3">
        <v>3.5497</v>
      </c>
      <c r="G1441" s="3">
        <v>4.0071</v>
      </c>
    </row>
    <row r="1442" spans="1:7">
      <c r="A1442" s="2">
        <v>43154</v>
      </c>
      <c r="B1442" s="3">
        <v>3.5175</v>
      </c>
      <c r="C1442" s="3">
        <v>3.9825</v>
      </c>
      <c r="D1442" s="3">
        <v>3.52</v>
      </c>
      <c r="E1442" s="3">
        <v>3.985</v>
      </c>
      <c r="F1442" s="3">
        <v>3.5188</v>
      </c>
      <c r="G1442" s="3">
        <v>3.9838</v>
      </c>
    </row>
    <row r="1443" spans="1:7">
      <c r="A1443" s="2">
        <v>43155</v>
      </c>
      <c r="B1443" s="3">
        <v>3.5055</v>
      </c>
      <c r="C1443" s="3">
        <v>3.9677</v>
      </c>
      <c r="D1443" s="3">
        <v>3.5225</v>
      </c>
      <c r="E1443" s="3">
        <v>3.99</v>
      </c>
      <c r="F1443" s="3">
        <v>3.514</v>
      </c>
      <c r="G1443" s="3">
        <v>3.9788</v>
      </c>
    </row>
    <row r="1444" spans="1:7">
      <c r="A1444" s="2">
        <v>43157</v>
      </c>
      <c r="B1444" s="3">
        <v>3.4375</v>
      </c>
      <c r="C1444" s="3">
        <v>3.9051</v>
      </c>
      <c r="D1444" s="3">
        <v>3.4513</v>
      </c>
      <c r="E1444" s="3">
        <v>3.9136</v>
      </c>
      <c r="F1444" s="3">
        <v>3.4444</v>
      </c>
      <c r="G1444" s="3">
        <v>3.9093</v>
      </c>
    </row>
    <row r="1445" spans="1:7">
      <c r="A1445" s="2">
        <v>43158</v>
      </c>
      <c r="B1445" s="3">
        <v>3.4675</v>
      </c>
      <c r="C1445" s="3">
        <v>3.903</v>
      </c>
      <c r="D1445" s="3">
        <v>3.47</v>
      </c>
      <c r="E1445" s="3">
        <v>3.9075</v>
      </c>
      <c r="F1445" s="3">
        <v>3.4688</v>
      </c>
      <c r="G1445" s="3">
        <v>3.9053</v>
      </c>
    </row>
    <row r="1446" spans="1:7">
      <c r="A1446" s="2">
        <v>43159</v>
      </c>
      <c r="B1446" s="3">
        <v>3.5125</v>
      </c>
      <c r="C1446" s="3">
        <v>3.925</v>
      </c>
      <c r="D1446" s="3">
        <v>3.5175</v>
      </c>
      <c r="E1446" s="3">
        <v>3.93</v>
      </c>
      <c r="F1446" s="3">
        <v>3.515</v>
      </c>
      <c r="G1446" s="3">
        <v>3.9275</v>
      </c>
    </row>
    <row r="1447" spans="1:7">
      <c r="A1447" s="2">
        <v>43160</v>
      </c>
      <c r="B1447" s="3">
        <v>3.51</v>
      </c>
      <c r="C1447" s="3">
        <v>3.9332</v>
      </c>
      <c r="D1447" s="3">
        <v>3.515</v>
      </c>
      <c r="E1447" s="3">
        <v>3.9368</v>
      </c>
      <c r="F1447" s="3">
        <v>3.5125</v>
      </c>
      <c r="G1447" s="3">
        <v>3.935</v>
      </c>
    </row>
    <row r="1448" spans="1:7">
      <c r="A1448" s="2">
        <v>43161</v>
      </c>
      <c r="B1448" s="3">
        <v>3.5215</v>
      </c>
      <c r="C1448" s="3">
        <v>3.9426</v>
      </c>
      <c r="D1448" s="3">
        <v>3.5257</v>
      </c>
      <c r="E1448" s="3">
        <v>3.9469</v>
      </c>
      <c r="F1448" s="3">
        <v>3.5236</v>
      </c>
      <c r="G1448" s="3">
        <v>3.9447</v>
      </c>
    </row>
    <row r="1449" spans="1:7">
      <c r="A1449" s="2">
        <v>43164</v>
      </c>
      <c r="B1449" s="3">
        <v>3.5325</v>
      </c>
      <c r="C1449" s="3">
        <v>3.95</v>
      </c>
      <c r="D1449" s="3">
        <v>3.535</v>
      </c>
      <c r="E1449" s="3">
        <v>3.9525</v>
      </c>
      <c r="F1449" s="3">
        <v>3.5338</v>
      </c>
      <c r="G1449" s="3">
        <v>3.9513</v>
      </c>
    </row>
    <row r="1450" spans="1:7">
      <c r="A1450" s="2">
        <v>43165</v>
      </c>
      <c r="B1450" s="3">
        <v>3.49</v>
      </c>
      <c r="C1450" s="3">
        <v>3.915</v>
      </c>
      <c r="D1450" s="3">
        <v>3.4951</v>
      </c>
      <c r="E1450" s="3">
        <v>3.92</v>
      </c>
      <c r="F1450" s="3">
        <v>3.4926</v>
      </c>
      <c r="G1450" s="3">
        <v>3.9175</v>
      </c>
    </row>
    <row r="1451" spans="1:7">
      <c r="A1451" s="2">
        <v>43166</v>
      </c>
      <c r="B1451" s="3">
        <v>3.4925</v>
      </c>
      <c r="C1451" s="3">
        <v>3.9107</v>
      </c>
      <c r="D1451" s="3">
        <v>3.4975</v>
      </c>
      <c r="E1451" s="3">
        <v>3.9143</v>
      </c>
      <c r="F1451" s="3">
        <v>3.495</v>
      </c>
      <c r="G1451" s="3">
        <v>3.9125</v>
      </c>
    </row>
    <row r="1452" spans="1:7">
      <c r="A1452" s="2">
        <v>43167</v>
      </c>
      <c r="B1452" s="3">
        <v>3.4875</v>
      </c>
      <c r="C1452" s="3">
        <v>3.909</v>
      </c>
      <c r="D1452" s="3">
        <v>3.4908</v>
      </c>
      <c r="E1452" s="3">
        <v>3.9141</v>
      </c>
      <c r="F1452" s="3">
        <v>3.4892</v>
      </c>
      <c r="G1452" s="3">
        <v>3.9115</v>
      </c>
    </row>
    <row r="1453" spans="1:7">
      <c r="A1453" s="2">
        <v>43168</v>
      </c>
      <c r="B1453" s="3">
        <v>3.4875</v>
      </c>
      <c r="C1453" s="3">
        <v>3.92</v>
      </c>
      <c r="D1453" s="3">
        <v>3.4925</v>
      </c>
      <c r="E1453" s="3">
        <v>3.9272</v>
      </c>
      <c r="F1453" s="3">
        <v>3.49</v>
      </c>
      <c r="G1453" s="3">
        <v>3.9236</v>
      </c>
    </row>
    <row r="1454" spans="1:7">
      <c r="A1454" s="2">
        <v>43171</v>
      </c>
      <c r="B1454" s="3">
        <v>3.4915</v>
      </c>
      <c r="C1454" s="3">
        <v>3.915</v>
      </c>
      <c r="D1454" s="3">
        <v>3.495</v>
      </c>
      <c r="E1454" s="3">
        <v>3.92</v>
      </c>
      <c r="F1454" s="3">
        <v>3.4933</v>
      </c>
      <c r="G1454" s="3">
        <v>3.9175</v>
      </c>
    </row>
    <row r="1455" spans="1:7">
      <c r="A1455" s="2">
        <v>43172</v>
      </c>
      <c r="B1455" s="3">
        <v>3.5225</v>
      </c>
      <c r="C1455" s="3">
        <v>3.9384</v>
      </c>
      <c r="D1455" s="3">
        <v>3.525</v>
      </c>
      <c r="E1455" s="3">
        <v>3.9425</v>
      </c>
      <c r="F1455" s="3">
        <v>3.5238</v>
      </c>
      <c r="G1455" s="3">
        <v>3.9404</v>
      </c>
    </row>
    <row r="1456" spans="1:7">
      <c r="A1456" s="2">
        <v>43173</v>
      </c>
      <c r="B1456" s="3">
        <v>3.5025</v>
      </c>
      <c r="C1456" s="3">
        <v>3.925</v>
      </c>
      <c r="D1456" s="3">
        <v>3.505</v>
      </c>
      <c r="E1456" s="3">
        <v>3.93</v>
      </c>
      <c r="F1456" s="3">
        <v>3.5038</v>
      </c>
      <c r="G1456" s="3">
        <v>3.9275</v>
      </c>
    </row>
    <row r="1457" spans="1:7">
      <c r="A1457" s="2">
        <v>43174</v>
      </c>
      <c r="B1457" s="3">
        <v>3.505</v>
      </c>
      <c r="C1457" s="3">
        <v>3.92</v>
      </c>
      <c r="D1457" s="3">
        <v>3.51</v>
      </c>
      <c r="E1457" s="3">
        <v>3.9225</v>
      </c>
      <c r="F1457" s="3">
        <v>3.5075</v>
      </c>
      <c r="G1457" s="3">
        <v>3.9213</v>
      </c>
    </row>
    <row r="1458" spans="1:7">
      <c r="A1458" s="2">
        <v>43175</v>
      </c>
      <c r="B1458" s="3">
        <v>3.488</v>
      </c>
      <c r="C1458" s="3">
        <v>3.915</v>
      </c>
      <c r="D1458" s="3">
        <v>3.49</v>
      </c>
      <c r="E1458" s="3">
        <v>3.9175</v>
      </c>
      <c r="F1458" s="3">
        <v>3.489</v>
      </c>
      <c r="G1458" s="3">
        <v>3.9163</v>
      </c>
    </row>
    <row r="1459" spans="1:7">
      <c r="A1459" s="2">
        <v>43178</v>
      </c>
      <c r="B1459" s="3">
        <v>3.485</v>
      </c>
      <c r="C1459" s="3">
        <v>3.915</v>
      </c>
      <c r="D1459" s="3">
        <v>3.4875</v>
      </c>
      <c r="E1459" s="3">
        <v>3.92</v>
      </c>
      <c r="F1459" s="3">
        <v>3.4863</v>
      </c>
      <c r="G1459" s="3">
        <v>3.9175</v>
      </c>
    </row>
    <row r="1460" spans="1:7">
      <c r="A1460" s="2">
        <v>43179</v>
      </c>
      <c r="B1460" s="3">
        <v>3.4666</v>
      </c>
      <c r="C1460" s="3">
        <v>3.89</v>
      </c>
      <c r="D1460" s="3">
        <v>3.4709</v>
      </c>
      <c r="E1460" s="3">
        <v>3.895</v>
      </c>
      <c r="F1460" s="3">
        <v>3.4688</v>
      </c>
      <c r="G1460" s="3">
        <v>3.8925</v>
      </c>
    </row>
    <row r="1461" spans="1:7">
      <c r="A1461" s="2">
        <v>43180</v>
      </c>
      <c r="B1461" s="3">
        <v>3.465</v>
      </c>
      <c r="C1461" s="3">
        <v>3.8868</v>
      </c>
      <c r="D1461" s="3">
        <v>3.47</v>
      </c>
      <c r="E1461" s="3">
        <v>3.89</v>
      </c>
      <c r="F1461" s="3">
        <v>3.4675</v>
      </c>
      <c r="G1461" s="3">
        <v>3.8884</v>
      </c>
    </row>
    <row r="1462" spans="1:7">
      <c r="A1462" s="2">
        <v>43181</v>
      </c>
      <c r="B1462" s="3">
        <v>3.4241</v>
      </c>
      <c r="C1462" s="3">
        <v>3.8192</v>
      </c>
      <c r="D1462" s="3">
        <v>3.4305</v>
      </c>
      <c r="E1462" s="3">
        <v>3.8325</v>
      </c>
      <c r="F1462" s="3">
        <v>3.4273</v>
      </c>
      <c r="G1462" s="3">
        <v>3.8259</v>
      </c>
    </row>
    <row r="1463" spans="1:7">
      <c r="A1463" s="2">
        <v>43182</v>
      </c>
      <c r="B1463" s="3">
        <v>3.3994</v>
      </c>
      <c r="C1463" s="3">
        <v>3.755</v>
      </c>
      <c r="D1463" s="3">
        <v>3.4103</v>
      </c>
      <c r="E1463" s="3">
        <v>3.7675</v>
      </c>
      <c r="F1463" s="3">
        <v>3.4048</v>
      </c>
      <c r="G1463" s="3">
        <v>3.7613</v>
      </c>
    </row>
    <row r="1464" spans="1:7">
      <c r="A1464" s="2">
        <v>43185</v>
      </c>
      <c r="B1464" s="3">
        <v>3.4191</v>
      </c>
      <c r="C1464" s="3">
        <v>3.7739</v>
      </c>
      <c r="D1464" s="3">
        <v>3.4225</v>
      </c>
      <c r="E1464" s="3">
        <v>3.7788</v>
      </c>
      <c r="F1464" s="3">
        <v>3.4208</v>
      </c>
      <c r="G1464" s="3">
        <v>3.7763</v>
      </c>
    </row>
    <row r="1465" spans="1:7">
      <c r="A1465" s="2">
        <v>43186</v>
      </c>
      <c r="B1465" s="3">
        <v>3.3742</v>
      </c>
      <c r="C1465" s="3">
        <v>3.7404</v>
      </c>
      <c r="D1465" s="3">
        <v>3.3816</v>
      </c>
      <c r="E1465" s="3">
        <v>3.7546</v>
      </c>
      <c r="F1465" s="3">
        <v>3.3779</v>
      </c>
      <c r="G1465" s="3">
        <v>3.7475</v>
      </c>
    </row>
    <row r="1466" spans="1:7">
      <c r="A1466" s="2">
        <v>43187</v>
      </c>
      <c r="B1466" s="3">
        <v>3.3667</v>
      </c>
      <c r="C1466" s="3">
        <v>3.7242</v>
      </c>
      <c r="D1466" s="3">
        <v>3.3704</v>
      </c>
      <c r="E1466" s="3">
        <v>3.73</v>
      </c>
      <c r="F1466" s="3">
        <v>3.3686</v>
      </c>
      <c r="G1466" s="3">
        <v>3.7271</v>
      </c>
    </row>
    <row r="1467" spans="1:7">
      <c r="A1467" s="2">
        <v>43188</v>
      </c>
      <c r="B1467" s="3">
        <v>3.3516</v>
      </c>
      <c r="C1467" s="3">
        <v>3.7092</v>
      </c>
      <c r="D1467" s="3">
        <v>3.3553</v>
      </c>
      <c r="E1467" s="3">
        <v>3.7125</v>
      </c>
      <c r="F1467" s="3">
        <v>3.3534</v>
      </c>
      <c r="G1467" s="3">
        <v>3.7109</v>
      </c>
    </row>
    <row r="1468" spans="1:7">
      <c r="A1468" s="2">
        <v>43189</v>
      </c>
      <c r="B1468" s="3">
        <v>3.3544</v>
      </c>
      <c r="C1468" s="3">
        <v>3.7075</v>
      </c>
      <c r="D1468" s="3">
        <v>3.37</v>
      </c>
      <c r="E1468" s="3">
        <v>3.715</v>
      </c>
      <c r="F1468" s="3">
        <v>3.3622</v>
      </c>
      <c r="G1468" s="3">
        <v>3.7113</v>
      </c>
    </row>
    <row r="1469" spans="1:7">
      <c r="A1469" s="2">
        <v>43192</v>
      </c>
      <c r="B1469" s="3">
        <v>3.355</v>
      </c>
      <c r="C1469" s="3">
        <v>3.705</v>
      </c>
      <c r="D1469" s="3">
        <v>3.3577</v>
      </c>
      <c r="E1469" s="3">
        <v>3.7125</v>
      </c>
      <c r="F1469" s="3">
        <v>3.3563</v>
      </c>
      <c r="G1469" s="3">
        <v>3.7088</v>
      </c>
    </row>
    <row r="1470" spans="1:7">
      <c r="A1470" s="2">
        <v>43193</v>
      </c>
      <c r="B1470" s="3">
        <v>3.336</v>
      </c>
      <c r="C1470" s="3">
        <v>3.6816</v>
      </c>
      <c r="D1470" s="3">
        <v>3.3475</v>
      </c>
      <c r="E1470" s="3">
        <v>3.6913</v>
      </c>
      <c r="F1470" s="3">
        <v>3.3418</v>
      </c>
      <c r="G1470" s="3">
        <v>3.6864</v>
      </c>
    </row>
    <row r="1471" spans="1:7">
      <c r="A1471" s="2">
        <v>43194</v>
      </c>
      <c r="B1471" s="3">
        <v>3.2913</v>
      </c>
      <c r="C1471" s="3">
        <v>3.6274</v>
      </c>
      <c r="D1471" s="3">
        <v>3.345</v>
      </c>
      <c r="E1471" s="3">
        <v>3.6382</v>
      </c>
      <c r="F1471" s="3">
        <v>3.3181</v>
      </c>
      <c r="G1471" s="3">
        <v>3.6328</v>
      </c>
    </row>
    <row r="1472" spans="1:7">
      <c r="A1472" s="2">
        <v>43198</v>
      </c>
      <c r="B1472" s="3">
        <v>3.2488</v>
      </c>
      <c r="C1472" s="3">
        <v>3.59</v>
      </c>
      <c r="D1472" s="3">
        <v>3.3206</v>
      </c>
      <c r="E1472" s="3">
        <v>3.6065</v>
      </c>
      <c r="F1472" s="3">
        <v>3.2847</v>
      </c>
      <c r="G1472" s="3">
        <v>3.5982</v>
      </c>
    </row>
    <row r="1473" spans="1:7">
      <c r="A1473" s="2">
        <v>43199</v>
      </c>
      <c r="B1473" s="3">
        <v>3.275</v>
      </c>
      <c r="C1473" s="3">
        <v>3.634</v>
      </c>
      <c r="D1473" s="3">
        <v>3.2829</v>
      </c>
      <c r="E1473" s="3">
        <v>3.6381</v>
      </c>
      <c r="F1473" s="3">
        <v>3.2789</v>
      </c>
      <c r="G1473" s="3">
        <v>3.6361</v>
      </c>
    </row>
    <row r="1474" spans="1:7">
      <c r="A1474" s="2">
        <v>43200</v>
      </c>
      <c r="B1474" s="3">
        <v>3.29</v>
      </c>
      <c r="C1474" s="3">
        <v>3.68</v>
      </c>
      <c r="D1474" s="3">
        <v>3.2925</v>
      </c>
      <c r="E1474" s="3">
        <v>3.685</v>
      </c>
      <c r="F1474" s="3">
        <v>3.2913</v>
      </c>
      <c r="G1474" s="3">
        <v>3.6825</v>
      </c>
    </row>
    <row r="1475" spans="1:7">
      <c r="A1475" s="2">
        <v>43201</v>
      </c>
      <c r="B1475" s="3">
        <v>3.27</v>
      </c>
      <c r="C1475" s="3">
        <v>3.665</v>
      </c>
      <c r="D1475" s="3">
        <v>3.28</v>
      </c>
      <c r="E1475" s="3">
        <v>3.67</v>
      </c>
      <c r="F1475" s="3">
        <v>3.275</v>
      </c>
      <c r="G1475" s="3">
        <v>3.6675</v>
      </c>
    </row>
    <row r="1476" spans="1:7">
      <c r="A1476" s="2">
        <v>43202</v>
      </c>
      <c r="B1476" s="3">
        <v>3.2789</v>
      </c>
      <c r="C1476" s="3">
        <v>3.6753</v>
      </c>
      <c r="D1476" s="3">
        <v>3.2856</v>
      </c>
      <c r="E1476" s="3">
        <v>3.6849</v>
      </c>
      <c r="F1476" s="3">
        <v>3.2823</v>
      </c>
      <c r="G1476" s="3">
        <v>3.6801</v>
      </c>
    </row>
    <row r="1477" spans="1:7">
      <c r="A1477" s="2">
        <v>43203</v>
      </c>
      <c r="B1477" s="3">
        <v>3.2869</v>
      </c>
      <c r="C1477" s="3">
        <v>3.6952</v>
      </c>
      <c r="D1477" s="3">
        <v>3.2959</v>
      </c>
      <c r="E1477" s="3">
        <v>3.6998</v>
      </c>
      <c r="F1477" s="3">
        <v>3.2914</v>
      </c>
      <c r="G1477" s="3">
        <v>3.6975</v>
      </c>
    </row>
    <row r="1478" spans="1:7">
      <c r="A1478" s="2">
        <v>43206</v>
      </c>
      <c r="B1478" s="3">
        <v>3.285</v>
      </c>
      <c r="C1478" s="3">
        <v>3.68</v>
      </c>
      <c r="D1478" s="3">
        <v>3.2951</v>
      </c>
      <c r="E1478" s="3">
        <v>3.685</v>
      </c>
      <c r="F1478" s="3">
        <v>3.2901</v>
      </c>
      <c r="G1478" s="3">
        <v>3.6825</v>
      </c>
    </row>
    <row r="1479" spans="1:7">
      <c r="A1479" s="2">
        <v>43207</v>
      </c>
      <c r="B1479" s="3">
        <v>3.3001</v>
      </c>
      <c r="C1479" s="3">
        <v>3.6816</v>
      </c>
      <c r="D1479" s="3">
        <v>3.3043</v>
      </c>
      <c r="E1479" s="3">
        <v>3.6841</v>
      </c>
      <c r="F1479" s="3">
        <v>3.3022</v>
      </c>
      <c r="G1479" s="3">
        <v>3.6829</v>
      </c>
    </row>
    <row r="1480" spans="1:7">
      <c r="A1480" s="2">
        <v>43208</v>
      </c>
      <c r="B1480" s="3">
        <v>3.1925</v>
      </c>
      <c r="C1480" s="3">
        <v>3.5122</v>
      </c>
      <c r="D1480" s="3">
        <v>3.1975</v>
      </c>
      <c r="E1480" s="3">
        <v>3.5209</v>
      </c>
      <c r="F1480" s="3">
        <v>3.195</v>
      </c>
      <c r="G1480" s="3">
        <v>3.5166</v>
      </c>
    </row>
    <row r="1481" spans="1:7">
      <c r="A1481" s="2">
        <v>43209</v>
      </c>
      <c r="B1481" s="3">
        <v>3.2255</v>
      </c>
      <c r="C1481" s="3">
        <v>3.5668</v>
      </c>
      <c r="D1481" s="3">
        <v>3.2316</v>
      </c>
      <c r="E1481" s="3">
        <v>3.5791</v>
      </c>
      <c r="F1481" s="3">
        <v>3.2286</v>
      </c>
      <c r="G1481" s="3">
        <v>3.5729</v>
      </c>
    </row>
    <row r="1482" spans="1:7">
      <c r="A1482" s="2">
        <v>43210</v>
      </c>
      <c r="B1482" s="3">
        <v>3.233</v>
      </c>
      <c r="C1482" s="3">
        <v>3.5675</v>
      </c>
      <c r="D1482" s="3">
        <v>3.2375</v>
      </c>
      <c r="E1482" s="3">
        <v>3.5745</v>
      </c>
      <c r="F1482" s="3">
        <v>3.2352</v>
      </c>
      <c r="G1482" s="3">
        <v>3.571</v>
      </c>
    </row>
    <row r="1483" spans="1:7">
      <c r="A1483" s="2">
        <v>43213</v>
      </c>
      <c r="B1483" s="3">
        <v>3.238</v>
      </c>
      <c r="C1483" s="3">
        <v>3.6135</v>
      </c>
      <c r="D1483" s="3">
        <v>3.2426</v>
      </c>
      <c r="E1483" s="3">
        <v>3.6192</v>
      </c>
      <c r="F1483" s="3">
        <v>3.2403</v>
      </c>
      <c r="G1483" s="3">
        <v>3.6164</v>
      </c>
    </row>
    <row r="1484" spans="1:7">
      <c r="A1484" s="2">
        <v>43214</v>
      </c>
      <c r="B1484" s="3">
        <v>3.208</v>
      </c>
      <c r="C1484" s="3">
        <v>3.5688</v>
      </c>
      <c r="D1484" s="3">
        <v>3.2275</v>
      </c>
      <c r="E1484" s="3">
        <v>3.5788</v>
      </c>
      <c r="F1484" s="3">
        <v>3.2177</v>
      </c>
      <c r="G1484" s="3">
        <v>3.5738</v>
      </c>
    </row>
    <row r="1485" spans="1:7">
      <c r="A1485" s="2">
        <v>43215</v>
      </c>
      <c r="B1485" s="3">
        <v>3.2321</v>
      </c>
      <c r="C1485" s="3">
        <v>3.5934</v>
      </c>
      <c r="D1485" s="3">
        <v>3.238</v>
      </c>
      <c r="E1485" s="3">
        <v>3.6</v>
      </c>
      <c r="F1485" s="3">
        <v>3.2351</v>
      </c>
      <c r="G1485" s="3">
        <v>3.5967</v>
      </c>
    </row>
    <row r="1486" spans="1:7">
      <c r="A1486" s="2">
        <v>43216</v>
      </c>
      <c r="B1486" s="3">
        <v>3.2693</v>
      </c>
      <c r="C1486" s="3">
        <v>3.6357</v>
      </c>
      <c r="D1486" s="3">
        <v>3.275</v>
      </c>
      <c r="E1486" s="3">
        <v>3.645</v>
      </c>
      <c r="F1486" s="3">
        <v>3.2722</v>
      </c>
      <c r="G1486" s="3">
        <v>3.6403</v>
      </c>
    </row>
    <row r="1487" spans="1:7">
      <c r="A1487" s="2">
        <v>43217</v>
      </c>
      <c r="B1487" s="3">
        <v>3.2817</v>
      </c>
      <c r="C1487" s="3">
        <v>3.6446</v>
      </c>
      <c r="D1487" s="3">
        <v>3.2852</v>
      </c>
      <c r="E1487" s="3">
        <v>3.65</v>
      </c>
      <c r="F1487" s="3">
        <v>3.2834</v>
      </c>
      <c r="G1487" s="3">
        <v>3.6473</v>
      </c>
    </row>
    <row r="1488" spans="1:7">
      <c r="A1488" s="2">
        <v>43218</v>
      </c>
      <c r="B1488" s="3">
        <v>3.26</v>
      </c>
      <c r="C1488" s="3">
        <v>3.63</v>
      </c>
      <c r="D1488" s="3">
        <v>3.2775</v>
      </c>
      <c r="E1488" s="3">
        <v>3.635</v>
      </c>
      <c r="F1488" s="3">
        <v>3.2688</v>
      </c>
      <c r="G1488" s="3">
        <v>3.6325</v>
      </c>
    </row>
    <row r="1489" spans="1:7">
      <c r="A1489" s="2">
        <v>43222</v>
      </c>
      <c r="B1489" s="3">
        <v>3.2775</v>
      </c>
      <c r="C1489" s="3">
        <v>3.655</v>
      </c>
      <c r="D1489" s="3">
        <v>3.2825</v>
      </c>
      <c r="E1489" s="3">
        <v>3.66</v>
      </c>
      <c r="F1489" s="3">
        <v>3.28</v>
      </c>
      <c r="G1489" s="3">
        <v>3.6575</v>
      </c>
    </row>
    <row r="1490" spans="1:7">
      <c r="A1490" s="2">
        <v>43223</v>
      </c>
      <c r="B1490" s="3">
        <v>3.2303</v>
      </c>
      <c r="C1490" s="3">
        <v>3.62</v>
      </c>
      <c r="D1490" s="3">
        <v>3.235</v>
      </c>
      <c r="E1490" s="3">
        <v>3.625</v>
      </c>
      <c r="F1490" s="3">
        <v>3.2327</v>
      </c>
      <c r="G1490" s="3">
        <v>3.6225</v>
      </c>
    </row>
    <row r="1491" spans="1:7">
      <c r="A1491" s="2">
        <v>43224</v>
      </c>
      <c r="B1491" s="3">
        <v>3.1932</v>
      </c>
      <c r="C1491" s="3">
        <v>3.5796</v>
      </c>
      <c r="D1491" s="3">
        <v>3.2022</v>
      </c>
      <c r="E1491" s="3">
        <v>3.5854</v>
      </c>
      <c r="F1491" s="3">
        <v>3.1977</v>
      </c>
      <c r="G1491" s="3">
        <v>3.5825</v>
      </c>
    </row>
    <row r="1492" spans="1:7">
      <c r="A1492" s="2">
        <v>43227</v>
      </c>
      <c r="B1492" s="3">
        <v>3.205</v>
      </c>
      <c r="C1492" s="3">
        <v>3.605</v>
      </c>
      <c r="D1492" s="3">
        <v>3.2075</v>
      </c>
      <c r="E1492" s="3">
        <v>3.61</v>
      </c>
      <c r="F1492" s="3">
        <v>3.2063</v>
      </c>
      <c r="G1492" s="3">
        <v>3.6075</v>
      </c>
    </row>
    <row r="1493" spans="1:7">
      <c r="A1493" s="2">
        <v>43228</v>
      </c>
      <c r="B1493" s="3">
        <v>3.21</v>
      </c>
      <c r="C1493" s="3">
        <v>3.6155</v>
      </c>
      <c r="D1493" s="3">
        <v>3.2186</v>
      </c>
      <c r="E1493" s="3">
        <v>3.622</v>
      </c>
      <c r="F1493" s="3">
        <v>3.2143</v>
      </c>
      <c r="G1493" s="3">
        <v>3.6188</v>
      </c>
    </row>
    <row r="1494" spans="1:7">
      <c r="A1494" s="2">
        <v>43229</v>
      </c>
      <c r="B1494" s="3">
        <v>3.22</v>
      </c>
      <c r="C1494" s="3">
        <v>3.6409</v>
      </c>
      <c r="D1494" s="3">
        <v>3.225</v>
      </c>
      <c r="E1494" s="3">
        <v>3.645</v>
      </c>
      <c r="F1494" s="3">
        <v>3.2225</v>
      </c>
      <c r="G1494" s="3">
        <v>3.6429</v>
      </c>
    </row>
    <row r="1495" spans="1:7">
      <c r="A1495" s="2">
        <v>43230</v>
      </c>
      <c r="B1495" s="3">
        <v>3.22</v>
      </c>
      <c r="C1495" s="3">
        <v>3.6368</v>
      </c>
      <c r="D1495" s="3">
        <v>3.2237</v>
      </c>
      <c r="E1495" s="3">
        <v>3.6396</v>
      </c>
      <c r="F1495" s="3">
        <v>3.2218</v>
      </c>
      <c r="G1495" s="3">
        <v>3.6382</v>
      </c>
    </row>
    <row r="1496" spans="1:7">
      <c r="A1496" s="2">
        <v>43231</v>
      </c>
      <c r="B1496" s="3">
        <v>3.2148</v>
      </c>
      <c r="C1496" s="3">
        <v>3.6275</v>
      </c>
      <c r="D1496" s="3">
        <v>3.2171</v>
      </c>
      <c r="E1496" s="3">
        <v>3.6302</v>
      </c>
      <c r="F1496" s="3">
        <v>3.2159</v>
      </c>
      <c r="G1496" s="3">
        <v>3.6288</v>
      </c>
    </row>
    <row r="1497" spans="1:7">
      <c r="A1497" s="2">
        <v>43234</v>
      </c>
      <c r="B1497" s="3">
        <v>3.225</v>
      </c>
      <c r="C1497" s="3">
        <v>3.635</v>
      </c>
      <c r="D1497" s="3">
        <v>3.2275</v>
      </c>
      <c r="E1497" s="3">
        <v>3.64</v>
      </c>
      <c r="F1497" s="3">
        <v>3.2263</v>
      </c>
      <c r="G1497" s="3">
        <v>3.6375</v>
      </c>
    </row>
    <row r="1498" spans="1:7">
      <c r="A1498" s="2">
        <v>43235</v>
      </c>
      <c r="B1498" s="3">
        <v>3.2391</v>
      </c>
      <c r="C1498" s="3">
        <v>3.6494</v>
      </c>
      <c r="D1498" s="3">
        <v>3.2443</v>
      </c>
      <c r="E1498" s="3">
        <v>3.6538</v>
      </c>
      <c r="F1498" s="3">
        <v>3.2417</v>
      </c>
      <c r="G1498" s="3">
        <v>3.6516</v>
      </c>
    </row>
    <row r="1499" spans="1:7">
      <c r="A1499" s="2">
        <v>43236</v>
      </c>
      <c r="B1499" s="3">
        <v>3.2413</v>
      </c>
      <c r="C1499" s="3">
        <v>3.6436</v>
      </c>
      <c r="D1499" s="3">
        <v>3.2469</v>
      </c>
      <c r="E1499" s="3">
        <v>3.6508</v>
      </c>
      <c r="F1499" s="3">
        <v>3.2441</v>
      </c>
      <c r="G1499" s="3">
        <v>3.6472</v>
      </c>
    </row>
    <row r="1500" spans="1:7">
      <c r="A1500" s="2">
        <v>43237</v>
      </c>
      <c r="B1500" s="3">
        <v>3.22</v>
      </c>
      <c r="C1500" s="3">
        <v>3.6646</v>
      </c>
      <c r="D1500" s="3">
        <v>3.2251</v>
      </c>
      <c r="E1500" s="3">
        <v>3.67</v>
      </c>
      <c r="F1500" s="3">
        <v>3.2226</v>
      </c>
      <c r="G1500" s="3">
        <v>3.6673</v>
      </c>
    </row>
    <row r="1501" spans="1:7">
      <c r="A1501" s="2">
        <v>43238</v>
      </c>
      <c r="B1501" s="3">
        <v>3.2075</v>
      </c>
      <c r="C1501" s="3">
        <v>3.6531</v>
      </c>
      <c r="D1501" s="3">
        <v>3.21</v>
      </c>
      <c r="E1501" s="3">
        <v>3.6562</v>
      </c>
      <c r="F1501" s="3">
        <v>3.2088</v>
      </c>
      <c r="G1501" s="3">
        <v>3.6546</v>
      </c>
    </row>
    <row r="1502" spans="1:7">
      <c r="A1502" s="2">
        <v>43241</v>
      </c>
      <c r="B1502" s="3">
        <v>3.1975</v>
      </c>
      <c r="C1502" s="3">
        <v>3.6346</v>
      </c>
      <c r="D1502" s="3">
        <v>3.2</v>
      </c>
      <c r="E1502" s="3">
        <v>3.6375</v>
      </c>
      <c r="F1502" s="3">
        <v>3.1988</v>
      </c>
      <c r="G1502" s="3">
        <v>3.636</v>
      </c>
    </row>
    <row r="1503" spans="1:7">
      <c r="A1503" s="2">
        <v>43242</v>
      </c>
      <c r="B1503" s="3">
        <v>3.1903</v>
      </c>
      <c r="C1503" s="3">
        <v>3.6168</v>
      </c>
      <c r="D1503" s="3">
        <v>3.195</v>
      </c>
      <c r="E1503" s="3">
        <v>3.62</v>
      </c>
      <c r="F1503" s="3">
        <v>3.1927</v>
      </c>
      <c r="G1503" s="3">
        <v>3.6184</v>
      </c>
    </row>
    <row r="1504" spans="1:7">
      <c r="A1504" s="2">
        <v>43243</v>
      </c>
      <c r="B1504" s="3">
        <v>3.18</v>
      </c>
      <c r="C1504" s="3">
        <v>3.5934</v>
      </c>
      <c r="D1504" s="3">
        <v>3.1902</v>
      </c>
      <c r="E1504" s="3">
        <v>3.6</v>
      </c>
      <c r="F1504" s="3">
        <v>3.1851</v>
      </c>
      <c r="G1504" s="3">
        <v>3.5967</v>
      </c>
    </row>
    <row r="1505" spans="1:7">
      <c r="A1505" s="2">
        <v>43244</v>
      </c>
      <c r="B1505" s="3">
        <v>3.18</v>
      </c>
      <c r="C1505" s="3">
        <v>3.6</v>
      </c>
      <c r="D1505" s="3">
        <v>3.185</v>
      </c>
      <c r="E1505" s="3">
        <v>3.6025</v>
      </c>
      <c r="F1505" s="3">
        <v>3.1825</v>
      </c>
      <c r="G1505" s="3">
        <v>3.6013</v>
      </c>
    </row>
    <row r="1506" spans="1:7">
      <c r="A1506" s="2">
        <v>43245</v>
      </c>
      <c r="B1506" s="3">
        <v>3.185</v>
      </c>
      <c r="C1506" s="3">
        <v>3.585</v>
      </c>
      <c r="D1506" s="3">
        <v>3.19</v>
      </c>
      <c r="E1506" s="3">
        <v>3.59</v>
      </c>
      <c r="F1506" s="3">
        <v>3.1875</v>
      </c>
      <c r="G1506" s="3">
        <v>3.5875</v>
      </c>
    </row>
    <row r="1507" spans="1:7">
      <c r="A1507" s="2">
        <v>43248</v>
      </c>
      <c r="B1507" s="3">
        <v>3.1965</v>
      </c>
      <c r="C1507" s="3">
        <v>3.605</v>
      </c>
      <c r="D1507" s="3">
        <v>3.2</v>
      </c>
      <c r="E1507" s="3">
        <v>3.6075</v>
      </c>
      <c r="F1507" s="3">
        <v>3.1983</v>
      </c>
      <c r="G1507" s="3">
        <v>3.6063</v>
      </c>
    </row>
    <row r="1508" spans="1:7">
      <c r="A1508" s="2">
        <v>43249</v>
      </c>
      <c r="B1508" s="3">
        <v>3.1962</v>
      </c>
      <c r="C1508" s="3">
        <v>3.6018</v>
      </c>
      <c r="D1508" s="3">
        <v>3.2022</v>
      </c>
      <c r="E1508" s="3">
        <v>3.6038</v>
      </c>
      <c r="F1508" s="3">
        <v>3.1992</v>
      </c>
      <c r="G1508" s="3">
        <v>3.6028</v>
      </c>
    </row>
    <row r="1509" spans="1:7">
      <c r="A1509" s="2">
        <v>43250</v>
      </c>
      <c r="B1509" s="3">
        <v>3.2075</v>
      </c>
      <c r="C1509" s="3">
        <v>3.605</v>
      </c>
      <c r="D1509" s="3">
        <v>3.2175</v>
      </c>
      <c r="E1509" s="3">
        <v>3.6075</v>
      </c>
      <c r="F1509" s="3">
        <v>3.2125</v>
      </c>
      <c r="G1509" s="3">
        <v>3.6063</v>
      </c>
    </row>
    <row r="1510" spans="1:7">
      <c r="A1510" s="2">
        <v>43251</v>
      </c>
      <c r="B1510" s="3">
        <v>3.1949</v>
      </c>
      <c r="C1510" s="3">
        <v>3.605</v>
      </c>
      <c r="D1510" s="3">
        <v>3.1988</v>
      </c>
      <c r="E1510" s="3">
        <v>3.6103</v>
      </c>
      <c r="F1510" s="3">
        <v>3.1968</v>
      </c>
      <c r="G1510" s="3">
        <v>3.6076</v>
      </c>
    </row>
    <row r="1511" spans="1:7">
      <c r="A1511" s="2">
        <v>43252</v>
      </c>
      <c r="B1511" s="3">
        <v>3.1828</v>
      </c>
      <c r="C1511" s="3">
        <v>3.595</v>
      </c>
      <c r="D1511" s="3">
        <v>3.19</v>
      </c>
      <c r="E1511" s="3">
        <v>3.6005</v>
      </c>
      <c r="F1511" s="3">
        <v>3.1864</v>
      </c>
      <c r="G1511" s="3">
        <v>3.5978</v>
      </c>
    </row>
    <row r="1512" spans="1:7">
      <c r="A1512" s="2">
        <v>43255</v>
      </c>
      <c r="B1512" s="3">
        <v>3.1824</v>
      </c>
      <c r="C1512" s="3">
        <v>3.6075</v>
      </c>
      <c r="D1512" s="3">
        <v>3.185</v>
      </c>
      <c r="E1512" s="3">
        <v>3.61</v>
      </c>
      <c r="F1512" s="3">
        <v>3.1837</v>
      </c>
      <c r="G1512" s="3">
        <v>3.6088</v>
      </c>
    </row>
    <row r="1513" spans="1:7">
      <c r="A1513" s="2">
        <v>43256</v>
      </c>
      <c r="B1513" s="3">
        <v>3.18</v>
      </c>
      <c r="C1513" s="3">
        <v>3.6018</v>
      </c>
      <c r="D1513" s="3">
        <v>3.1864</v>
      </c>
      <c r="E1513" s="3">
        <v>3.6054</v>
      </c>
      <c r="F1513" s="3">
        <v>3.1832</v>
      </c>
      <c r="G1513" s="3">
        <v>3.6036</v>
      </c>
    </row>
    <row r="1514" spans="1:7">
      <c r="A1514" s="2">
        <v>43257</v>
      </c>
      <c r="B1514" s="3">
        <v>3.1695</v>
      </c>
      <c r="C1514" s="3">
        <v>3.589</v>
      </c>
      <c r="D1514" s="3">
        <v>3.1727</v>
      </c>
      <c r="E1514" s="3">
        <v>3.596</v>
      </c>
      <c r="F1514" s="3">
        <v>3.1711</v>
      </c>
      <c r="G1514" s="3">
        <v>3.5925</v>
      </c>
    </row>
    <row r="1515" spans="1:7">
      <c r="A1515" s="2">
        <v>43258</v>
      </c>
      <c r="B1515" s="3">
        <v>3.1825</v>
      </c>
      <c r="C1515" s="3">
        <v>3.6025</v>
      </c>
      <c r="D1515" s="3">
        <v>3.185</v>
      </c>
      <c r="E1515" s="3">
        <v>3.605</v>
      </c>
      <c r="F1515" s="3">
        <v>3.1838</v>
      </c>
      <c r="G1515" s="3">
        <v>3.6038</v>
      </c>
    </row>
    <row r="1516" spans="1:7">
      <c r="A1516" s="2">
        <v>43259</v>
      </c>
      <c r="B1516" s="3">
        <v>3.175</v>
      </c>
      <c r="C1516" s="3">
        <v>3.585</v>
      </c>
      <c r="D1516" s="3">
        <v>3.1775</v>
      </c>
      <c r="E1516" s="3">
        <v>3.59</v>
      </c>
      <c r="F1516" s="3">
        <v>3.1763</v>
      </c>
      <c r="G1516" s="3">
        <v>3.5875</v>
      </c>
    </row>
    <row r="1517" spans="1:7">
      <c r="A1517" s="2">
        <v>43262</v>
      </c>
      <c r="B1517" s="3">
        <v>3.1675</v>
      </c>
      <c r="C1517" s="3">
        <v>3.5825</v>
      </c>
      <c r="D1517" s="3">
        <v>3.17</v>
      </c>
      <c r="E1517" s="3">
        <v>3.585</v>
      </c>
      <c r="F1517" s="3">
        <v>3.1688</v>
      </c>
      <c r="G1517" s="3">
        <v>3.5838</v>
      </c>
    </row>
    <row r="1518" spans="1:7">
      <c r="A1518" s="2">
        <v>43263</v>
      </c>
      <c r="B1518" s="3">
        <v>3.1825</v>
      </c>
      <c r="C1518" s="3">
        <v>3.6008</v>
      </c>
      <c r="D1518" s="3">
        <v>3.1852</v>
      </c>
      <c r="E1518" s="3">
        <v>3.6055</v>
      </c>
      <c r="F1518" s="3">
        <v>3.1838</v>
      </c>
      <c r="G1518" s="3">
        <v>3.6032</v>
      </c>
    </row>
    <row r="1519" spans="1:7">
      <c r="A1519" s="2">
        <v>43264</v>
      </c>
      <c r="B1519" s="3">
        <v>3.175</v>
      </c>
      <c r="C1519" s="3">
        <v>3.5825</v>
      </c>
      <c r="D1519" s="3">
        <v>3.1775</v>
      </c>
      <c r="E1519" s="3">
        <v>3.585</v>
      </c>
      <c r="F1519" s="3">
        <v>3.1763</v>
      </c>
      <c r="G1519" s="3">
        <v>3.5838</v>
      </c>
    </row>
    <row r="1520" spans="1:7">
      <c r="A1520" s="2">
        <v>43265</v>
      </c>
      <c r="B1520" s="3">
        <v>3.1573</v>
      </c>
      <c r="C1520" s="3">
        <v>3.5472</v>
      </c>
      <c r="D1520" s="3">
        <v>3.16</v>
      </c>
      <c r="E1520" s="3">
        <v>3.5498</v>
      </c>
      <c r="F1520" s="3">
        <v>3.1587</v>
      </c>
      <c r="G1520" s="3">
        <v>3.5485</v>
      </c>
    </row>
    <row r="1521" spans="1:7">
      <c r="A1521" s="2">
        <v>43266</v>
      </c>
      <c r="B1521" s="3">
        <v>3.1381</v>
      </c>
      <c r="C1521" s="3">
        <v>3.5086</v>
      </c>
      <c r="D1521" s="3">
        <v>3.144</v>
      </c>
      <c r="E1521" s="3">
        <v>3.515</v>
      </c>
      <c r="F1521" s="3">
        <v>3.141</v>
      </c>
      <c r="G1521" s="3">
        <v>3.5118</v>
      </c>
    </row>
    <row r="1522" spans="1:7">
      <c r="A1522" s="2">
        <v>43270</v>
      </c>
      <c r="B1522" s="3">
        <v>3.0875</v>
      </c>
      <c r="C1522" s="3">
        <v>3.4295</v>
      </c>
      <c r="D1522" s="3">
        <v>3.0925</v>
      </c>
      <c r="E1522" s="3">
        <v>3.4325</v>
      </c>
      <c r="F1522" s="3">
        <v>3.09</v>
      </c>
      <c r="G1522" s="3">
        <v>3.431</v>
      </c>
    </row>
    <row r="1523" spans="1:7">
      <c r="A1523" s="2">
        <v>43271</v>
      </c>
      <c r="B1523" s="3">
        <v>3.1021</v>
      </c>
      <c r="C1523" s="3">
        <v>3.4294</v>
      </c>
      <c r="D1523" s="3">
        <v>3.1075</v>
      </c>
      <c r="E1523" s="3">
        <v>3.4368</v>
      </c>
      <c r="F1523" s="3">
        <v>3.1048</v>
      </c>
      <c r="G1523" s="3">
        <v>3.4331</v>
      </c>
    </row>
    <row r="1524" spans="1:7">
      <c r="A1524" s="2">
        <v>43272</v>
      </c>
      <c r="B1524" s="3">
        <v>3.074</v>
      </c>
      <c r="C1524" s="3">
        <v>3.3624</v>
      </c>
      <c r="D1524" s="3">
        <v>3.0775</v>
      </c>
      <c r="E1524" s="3">
        <v>3.3677</v>
      </c>
      <c r="F1524" s="3">
        <v>3.0758</v>
      </c>
      <c r="G1524" s="3">
        <v>3.3651</v>
      </c>
    </row>
    <row r="1525" spans="1:7">
      <c r="A1525" s="2">
        <v>43273</v>
      </c>
      <c r="B1525" s="3">
        <v>3.0612</v>
      </c>
      <c r="C1525" s="3">
        <v>3.3675</v>
      </c>
      <c r="D1525" s="3">
        <v>3.0666</v>
      </c>
      <c r="E1525" s="3">
        <v>3.37</v>
      </c>
      <c r="F1525" s="3">
        <v>3.0639</v>
      </c>
      <c r="G1525" s="3">
        <v>3.3688</v>
      </c>
    </row>
    <row r="1526" spans="1:7">
      <c r="A1526" s="2">
        <v>43276</v>
      </c>
      <c r="B1526" s="3">
        <v>3.0475</v>
      </c>
      <c r="C1526" s="3">
        <v>3.36</v>
      </c>
      <c r="D1526" s="3">
        <v>3.0525</v>
      </c>
      <c r="E1526" s="3">
        <v>3.3625</v>
      </c>
      <c r="F1526" s="3">
        <v>3.05</v>
      </c>
      <c r="G1526" s="3">
        <v>3.3613</v>
      </c>
    </row>
    <row r="1527" spans="1:7">
      <c r="A1527" s="2">
        <v>43277</v>
      </c>
      <c r="B1527" s="3">
        <v>3.035</v>
      </c>
      <c r="C1527" s="3">
        <v>3.36</v>
      </c>
      <c r="D1527" s="3">
        <v>3.04</v>
      </c>
      <c r="E1527" s="3">
        <v>3.365</v>
      </c>
      <c r="F1527" s="3">
        <v>3.0375</v>
      </c>
      <c r="G1527" s="3">
        <v>3.3625</v>
      </c>
    </row>
    <row r="1528" spans="1:7">
      <c r="A1528" s="2">
        <v>43278</v>
      </c>
      <c r="B1528" s="3">
        <v>3.042</v>
      </c>
      <c r="C1528" s="3">
        <v>3.355</v>
      </c>
      <c r="D1528" s="3">
        <v>3.0445</v>
      </c>
      <c r="E1528" s="3">
        <v>3.36</v>
      </c>
      <c r="F1528" s="3">
        <v>3.0432</v>
      </c>
      <c r="G1528" s="3">
        <v>3.3575</v>
      </c>
    </row>
    <row r="1529" spans="1:7">
      <c r="A1529" s="2">
        <v>43279</v>
      </c>
      <c r="B1529" s="3">
        <v>3.0425</v>
      </c>
      <c r="C1529" s="3">
        <v>3.35</v>
      </c>
      <c r="D1529" s="3">
        <v>3.0514</v>
      </c>
      <c r="E1529" s="3">
        <v>3.3539</v>
      </c>
      <c r="F1529" s="3">
        <v>3.047</v>
      </c>
      <c r="G1529" s="3">
        <v>3.3519</v>
      </c>
    </row>
    <row r="1530" spans="1:7">
      <c r="A1530" s="2">
        <v>43280</v>
      </c>
      <c r="B1530" s="3">
        <v>2.9975</v>
      </c>
      <c r="C1530" s="3">
        <v>3.2989</v>
      </c>
      <c r="D1530" s="3">
        <v>3.0025</v>
      </c>
      <c r="E1530" s="3">
        <v>3.3033</v>
      </c>
      <c r="F1530" s="3">
        <v>3</v>
      </c>
      <c r="G1530" s="3">
        <v>3.3011</v>
      </c>
    </row>
    <row r="1531" spans="1:7">
      <c r="A1531" s="2">
        <v>43283</v>
      </c>
      <c r="B1531" s="3">
        <v>2.9607</v>
      </c>
      <c r="C1531" s="3">
        <v>3.2809</v>
      </c>
      <c r="D1531" s="3">
        <v>2.97</v>
      </c>
      <c r="E1531" s="3">
        <v>3.285</v>
      </c>
      <c r="F1531" s="3">
        <v>2.9653</v>
      </c>
      <c r="G1531" s="3">
        <v>3.283</v>
      </c>
    </row>
    <row r="1532" spans="1:7">
      <c r="A1532" s="2">
        <v>43284</v>
      </c>
      <c r="B1532" s="3">
        <v>2.975</v>
      </c>
      <c r="C1532" s="3">
        <v>3.3075</v>
      </c>
      <c r="D1532" s="3">
        <v>2.98</v>
      </c>
      <c r="E1532" s="3">
        <v>3.3125</v>
      </c>
      <c r="F1532" s="3">
        <v>2.9775</v>
      </c>
      <c r="G1532" s="3">
        <v>3.31</v>
      </c>
    </row>
    <row r="1533" spans="1:7">
      <c r="A1533" s="2">
        <v>43285</v>
      </c>
      <c r="B1533" s="3">
        <v>2.965</v>
      </c>
      <c r="C1533" s="3">
        <v>3.3025</v>
      </c>
      <c r="D1533" s="3">
        <v>2.97</v>
      </c>
      <c r="E1533" s="3">
        <v>3.305</v>
      </c>
      <c r="F1533" s="3">
        <v>2.9675</v>
      </c>
      <c r="G1533" s="3">
        <v>3.3038</v>
      </c>
    </row>
    <row r="1534" spans="1:7">
      <c r="A1534" s="2">
        <v>43286</v>
      </c>
      <c r="B1534" s="3">
        <v>2.865</v>
      </c>
      <c r="C1534" s="3">
        <v>3.2325</v>
      </c>
      <c r="D1534" s="3">
        <v>2.8763</v>
      </c>
      <c r="E1534" s="3">
        <v>3.24</v>
      </c>
      <c r="F1534" s="3">
        <v>2.8706</v>
      </c>
      <c r="G1534" s="3">
        <v>3.2363</v>
      </c>
    </row>
    <row r="1535" spans="1:7">
      <c r="A1535" s="2">
        <v>43287</v>
      </c>
      <c r="B1535" s="3">
        <v>2.8164</v>
      </c>
      <c r="C1535" s="3">
        <v>3.2093</v>
      </c>
      <c r="D1535" s="3">
        <v>2.8344</v>
      </c>
      <c r="E1535" s="3">
        <v>3.217</v>
      </c>
      <c r="F1535" s="3">
        <v>2.8254</v>
      </c>
      <c r="G1535" s="3">
        <v>3.2131</v>
      </c>
    </row>
    <row r="1536" spans="1:7">
      <c r="A1536" s="2">
        <v>43290</v>
      </c>
      <c r="B1536" s="3">
        <v>2.89</v>
      </c>
      <c r="C1536" s="3">
        <v>3.275</v>
      </c>
      <c r="D1536" s="3">
        <v>2.9</v>
      </c>
      <c r="E1536" s="3">
        <v>3.28</v>
      </c>
      <c r="F1536" s="3">
        <v>2.895</v>
      </c>
      <c r="G1536" s="3">
        <v>3.2775</v>
      </c>
    </row>
    <row r="1537" spans="1:7">
      <c r="A1537" s="2">
        <v>43291</v>
      </c>
      <c r="B1537" s="3">
        <v>2.925</v>
      </c>
      <c r="C1537" s="3">
        <v>3.3045</v>
      </c>
      <c r="D1537" s="3">
        <v>2.9355</v>
      </c>
      <c r="E1537" s="3">
        <v>3.3116</v>
      </c>
      <c r="F1537" s="3">
        <v>2.9303</v>
      </c>
      <c r="G1537" s="3">
        <v>3.308</v>
      </c>
    </row>
    <row r="1538" spans="1:7">
      <c r="A1538" s="2">
        <v>43292</v>
      </c>
      <c r="B1538" s="3">
        <v>2.9132</v>
      </c>
      <c r="C1538" s="3">
        <v>3.262</v>
      </c>
      <c r="D1538" s="3">
        <v>2.9164</v>
      </c>
      <c r="E1538" s="3">
        <v>3.269</v>
      </c>
      <c r="F1538" s="3">
        <v>2.9148</v>
      </c>
      <c r="G1538" s="3">
        <v>3.2655</v>
      </c>
    </row>
    <row r="1539" spans="1:7">
      <c r="A1539" s="2">
        <v>43293</v>
      </c>
      <c r="B1539" s="3">
        <v>2.89</v>
      </c>
      <c r="C1539" s="3">
        <v>3.255</v>
      </c>
      <c r="D1539" s="3">
        <v>2.9</v>
      </c>
      <c r="E1539" s="3">
        <v>3.2681</v>
      </c>
      <c r="F1539" s="3">
        <v>2.895</v>
      </c>
      <c r="G1539" s="3">
        <v>3.2616</v>
      </c>
    </row>
    <row r="1540" spans="1:7">
      <c r="A1540" s="2">
        <v>43294</v>
      </c>
      <c r="B1540" s="3">
        <v>2.85</v>
      </c>
      <c r="C1540" s="3">
        <v>3.2075</v>
      </c>
      <c r="D1540" s="3">
        <v>2.865</v>
      </c>
      <c r="E1540" s="3">
        <v>3.2118</v>
      </c>
      <c r="F1540" s="3">
        <v>2.8575</v>
      </c>
      <c r="G1540" s="3">
        <v>3.2096</v>
      </c>
    </row>
    <row r="1541" spans="1:7">
      <c r="A1541" s="2">
        <v>43297</v>
      </c>
      <c r="B1541" s="3">
        <v>2.856</v>
      </c>
      <c r="C1541" s="3">
        <v>3.192</v>
      </c>
      <c r="D1541" s="3">
        <v>2.87</v>
      </c>
      <c r="E1541" s="3">
        <v>3.1975</v>
      </c>
      <c r="F1541" s="3">
        <v>2.863</v>
      </c>
      <c r="G1541" s="3">
        <v>3.1947</v>
      </c>
    </row>
    <row r="1542" spans="1:7">
      <c r="A1542" s="2">
        <v>43298</v>
      </c>
      <c r="B1542" s="3">
        <v>2.8691</v>
      </c>
      <c r="C1542" s="3">
        <v>3.1909</v>
      </c>
      <c r="D1542" s="3">
        <v>2.8756</v>
      </c>
      <c r="E1542" s="3">
        <v>3.195</v>
      </c>
      <c r="F1542" s="3">
        <v>2.8723</v>
      </c>
      <c r="G1542" s="3">
        <v>3.1929</v>
      </c>
    </row>
    <row r="1543" spans="1:7">
      <c r="A1543" s="2">
        <v>43299</v>
      </c>
      <c r="B1543" s="3">
        <v>2.8425</v>
      </c>
      <c r="C1543" s="3">
        <v>3.1622</v>
      </c>
      <c r="D1543" s="3">
        <v>2.845</v>
      </c>
      <c r="E1543" s="3">
        <v>3.165</v>
      </c>
      <c r="F1543" s="3">
        <v>2.8438</v>
      </c>
      <c r="G1543" s="3">
        <v>3.1636</v>
      </c>
    </row>
    <row r="1544" spans="1:7">
      <c r="A1544" s="2">
        <v>43300</v>
      </c>
      <c r="B1544" s="3">
        <v>2.7737</v>
      </c>
      <c r="C1544" s="3">
        <v>3.0841</v>
      </c>
      <c r="D1544" s="3">
        <v>2.7862</v>
      </c>
      <c r="E1544" s="3">
        <v>3.0903</v>
      </c>
      <c r="F1544" s="3">
        <v>2.7799</v>
      </c>
      <c r="G1544" s="3">
        <v>3.0872</v>
      </c>
    </row>
    <row r="1545" spans="1:7">
      <c r="A1545" s="2">
        <v>43301</v>
      </c>
      <c r="B1545" s="3">
        <v>2.8046</v>
      </c>
      <c r="C1545" s="3">
        <v>3.125</v>
      </c>
      <c r="D1545" s="3">
        <v>2.8174</v>
      </c>
      <c r="E1545" s="3">
        <v>3.1326</v>
      </c>
      <c r="F1545" s="3">
        <v>2.811</v>
      </c>
      <c r="G1545" s="3">
        <v>3.1288</v>
      </c>
    </row>
    <row r="1546" spans="1:7">
      <c r="A1546" s="2">
        <v>43304</v>
      </c>
      <c r="B1546" s="3">
        <v>2.7935</v>
      </c>
      <c r="C1546" s="3">
        <v>3.137</v>
      </c>
      <c r="D1546" s="3">
        <v>2.7975</v>
      </c>
      <c r="E1546" s="3">
        <v>3.14</v>
      </c>
      <c r="F1546" s="3">
        <v>2.7955</v>
      </c>
      <c r="G1546" s="3">
        <v>3.1385</v>
      </c>
    </row>
    <row r="1547" spans="1:7">
      <c r="A1547" s="2">
        <v>43305</v>
      </c>
      <c r="B1547" s="3">
        <v>2.795</v>
      </c>
      <c r="C1547" s="3">
        <v>3.18</v>
      </c>
      <c r="D1547" s="3">
        <v>2.8</v>
      </c>
      <c r="E1547" s="3">
        <v>3.1844</v>
      </c>
      <c r="F1547" s="3">
        <v>2.7975</v>
      </c>
      <c r="G1547" s="3">
        <v>3.1822</v>
      </c>
    </row>
    <row r="1548" spans="1:7">
      <c r="A1548" s="2">
        <v>43306</v>
      </c>
      <c r="B1548" s="3">
        <v>2.83</v>
      </c>
      <c r="C1548" s="3">
        <v>3.2232</v>
      </c>
      <c r="D1548" s="3">
        <v>2.8471</v>
      </c>
      <c r="E1548" s="3">
        <v>3.2332</v>
      </c>
      <c r="F1548" s="3">
        <v>2.8386</v>
      </c>
      <c r="G1548" s="3">
        <v>3.2282</v>
      </c>
    </row>
    <row r="1549" spans="1:7">
      <c r="A1549" s="2">
        <v>43307</v>
      </c>
      <c r="B1549" s="3">
        <v>2.8075</v>
      </c>
      <c r="C1549" s="3">
        <v>3.1956</v>
      </c>
      <c r="D1549" s="3">
        <v>2.815</v>
      </c>
      <c r="E1549" s="3">
        <v>3.1985</v>
      </c>
      <c r="F1549" s="3">
        <v>2.8113</v>
      </c>
      <c r="G1549" s="3">
        <v>3.197</v>
      </c>
    </row>
    <row r="1550" spans="1:7">
      <c r="A1550" s="2">
        <v>43308</v>
      </c>
      <c r="B1550" s="3">
        <v>2.7939</v>
      </c>
      <c r="C1550" s="3">
        <v>3.1673</v>
      </c>
      <c r="D1550" s="3">
        <v>2.8</v>
      </c>
      <c r="E1550" s="3">
        <v>3.1705</v>
      </c>
      <c r="F1550" s="3">
        <v>2.797</v>
      </c>
      <c r="G1550" s="3">
        <v>3.1689</v>
      </c>
    </row>
    <row r="1551" spans="1:7">
      <c r="A1551" s="2">
        <v>43311</v>
      </c>
      <c r="B1551" s="3">
        <v>2.7897</v>
      </c>
      <c r="C1551" s="3">
        <v>3.165</v>
      </c>
      <c r="D1551" s="3">
        <v>2.79</v>
      </c>
      <c r="E1551" s="3">
        <v>3.17</v>
      </c>
      <c r="F1551" s="3">
        <v>2.7899</v>
      </c>
      <c r="G1551" s="3">
        <v>3.1675</v>
      </c>
    </row>
    <row r="1552" spans="1:7">
      <c r="A1552" s="2">
        <v>43312</v>
      </c>
      <c r="B1552" s="3">
        <v>2.77</v>
      </c>
      <c r="C1552" s="3">
        <v>3.135</v>
      </c>
      <c r="D1552" s="3">
        <v>2.7811</v>
      </c>
      <c r="E1552" s="3">
        <v>3.145</v>
      </c>
      <c r="F1552" s="3">
        <v>2.7755</v>
      </c>
      <c r="G1552" s="3">
        <v>3.14</v>
      </c>
    </row>
    <row r="1553" spans="1:7">
      <c r="A1553" s="2">
        <v>43313</v>
      </c>
      <c r="B1553" s="3">
        <v>2.7751</v>
      </c>
      <c r="C1553" s="3">
        <v>3.1375</v>
      </c>
      <c r="D1553" s="3">
        <v>2.7774</v>
      </c>
      <c r="E1553" s="3">
        <v>3.1405</v>
      </c>
      <c r="F1553" s="3">
        <v>2.7763</v>
      </c>
      <c r="G1553" s="3">
        <v>3.139</v>
      </c>
    </row>
    <row r="1554" spans="1:7">
      <c r="A1554" s="2">
        <v>43314</v>
      </c>
      <c r="B1554" s="3">
        <v>2.75</v>
      </c>
      <c r="C1554" s="3">
        <v>3.1315</v>
      </c>
      <c r="D1554" s="3">
        <v>2.7593</v>
      </c>
      <c r="E1554" s="3">
        <v>3.135</v>
      </c>
      <c r="F1554" s="3">
        <v>2.7547</v>
      </c>
      <c r="G1554" s="3">
        <v>3.1333</v>
      </c>
    </row>
    <row r="1555" spans="1:7">
      <c r="A1555" s="2">
        <v>43315</v>
      </c>
      <c r="B1555" s="3">
        <v>2.6647</v>
      </c>
      <c r="C1555" s="3">
        <v>3.0598</v>
      </c>
      <c r="D1555" s="3">
        <v>2.6707</v>
      </c>
      <c r="E1555" s="3">
        <v>3.0667</v>
      </c>
      <c r="F1555" s="3">
        <v>2.6677</v>
      </c>
      <c r="G1555" s="3">
        <v>3.0632</v>
      </c>
    </row>
    <row r="1556" spans="1:7">
      <c r="A1556" s="2">
        <v>43318</v>
      </c>
      <c r="B1556" s="3">
        <v>2.615</v>
      </c>
      <c r="C1556" s="3">
        <v>3.03</v>
      </c>
      <c r="D1556" s="3">
        <v>2.6258</v>
      </c>
      <c r="E1556" s="3">
        <v>3.04</v>
      </c>
      <c r="F1556" s="3">
        <v>2.6204</v>
      </c>
      <c r="G1556" s="3">
        <v>3.035</v>
      </c>
    </row>
    <row r="1557" spans="1:7">
      <c r="A1557" s="2">
        <v>43319</v>
      </c>
      <c r="B1557" s="3">
        <v>2.6225</v>
      </c>
      <c r="C1557" s="3">
        <v>3.0524</v>
      </c>
      <c r="D1557" s="3">
        <v>2.6556</v>
      </c>
      <c r="E1557" s="3">
        <v>3.06</v>
      </c>
      <c r="F1557" s="3">
        <v>2.639</v>
      </c>
      <c r="G1557" s="3">
        <v>3.0562</v>
      </c>
    </row>
    <row r="1558" spans="1:7">
      <c r="A1558" s="2">
        <v>43320</v>
      </c>
      <c r="B1558" s="3">
        <v>2.6849</v>
      </c>
      <c r="C1558" s="3">
        <v>3.1098</v>
      </c>
      <c r="D1558" s="3">
        <v>2.6902</v>
      </c>
      <c r="E1558" s="3">
        <v>3.1189</v>
      </c>
      <c r="F1558" s="3">
        <v>2.6875</v>
      </c>
      <c r="G1558" s="3">
        <v>3.1143</v>
      </c>
    </row>
    <row r="1559" spans="1:7">
      <c r="A1559" s="2">
        <v>43321</v>
      </c>
      <c r="B1559" s="3">
        <v>2.7538</v>
      </c>
      <c r="C1559" s="3">
        <v>3.1765</v>
      </c>
      <c r="D1559" s="3">
        <v>2.7611</v>
      </c>
      <c r="E1559" s="3">
        <v>3.1853</v>
      </c>
      <c r="F1559" s="3">
        <v>2.7575</v>
      </c>
      <c r="G1559" s="3">
        <v>3.1809</v>
      </c>
    </row>
    <row r="1560" spans="1:7">
      <c r="A1560" s="2">
        <v>43322</v>
      </c>
      <c r="B1560" s="3">
        <v>2.76</v>
      </c>
      <c r="C1560" s="3">
        <v>3.1885</v>
      </c>
      <c r="D1560" s="3">
        <v>2.7725</v>
      </c>
      <c r="E1560" s="3">
        <v>3.1922</v>
      </c>
      <c r="F1560" s="3">
        <v>2.7663</v>
      </c>
      <c r="G1560" s="3">
        <v>3.1904</v>
      </c>
    </row>
    <row r="1561" spans="1:7">
      <c r="A1561" s="2">
        <v>43325</v>
      </c>
      <c r="B1561" s="3">
        <v>2.8011</v>
      </c>
      <c r="C1561" s="3">
        <v>3.2079</v>
      </c>
      <c r="D1561" s="3">
        <v>2.8183</v>
      </c>
      <c r="E1561" s="3">
        <v>3.2231</v>
      </c>
      <c r="F1561" s="3">
        <v>2.8097</v>
      </c>
      <c r="G1561" s="3">
        <v>3.2155</v>
      </c>
    </row>
    <row r="1562" spans="1:7">
      <c r="A1562" s="2">
        <v>43326</v>
      </c>
      <c r="B1562" s="3">
        <v>2.763</v>
      </c>
      <c r="C1562" s="3">
        <v>3.1475</v>
      </c>
      <c r="D1562" s="3">
        <v>2.7686</v>
      </c>
      <c r="E1562" s="3">
        <v>3.1525</v>
      </c>
      <c r="F1562" s="3">
        <v>2.7658</v>
      </c>
      <c r="G1562" s="3">
        <v>3.15</v>
      </c>
    </row>
    <row r="1563" spans="1:7">
      <c r="A1563" s="2">
        <v>43327</v>
      </c>
      <c r="B1563" s="3">
        <v>2.755</v>
      </c>
      <c r="C1563" s="3">
        <v>3.155</v>
      </c>
      <c r="D1563" s="3">
        <v>2.76</v>
      </c>
      <c r="E1563" s="3">
        <v>3.1591</v>
      </c>
      <c r="F1563" s="3">
        <v>2.7575</v>
      </c>
      <c r="G1563" s="3">
        <v>3.1571</v>
      </c>
    </row>
    <row r="1564" spans="1:7">
      <c r="A1564" s="2">
        <v>43328</v>
      </c>
      <c r="B1564" s="3">
        <v>2.7732</v>
      </c>
      <c r="C1564" s="3">
        <v>3.1695</v>
      </c>
      <c r="D1564" s="3">
        <v>2.78</v>
      </c>
      <c r="E1564" s="3">
        <v>3.1739</v>
      </c>
      <c r="F1564" s="3">
        <v>2.7766</v>
      </c>
      <c r="G1564" s="3">
        <v>3.1717</v>
      </c>
    </row>
    <row r="1565" spans="1:7">
      <c r="A1565" s="2">
        <v>43329</v>
      </c>
      <c r="B1565" s="3">
        <v>2.81</v>
      </c>
      <c r="C1565" s="3">
        <v>3.22</v>
      </c>
      <c r="D1565" s="3">
        <v>2.815</v>
      </c>
      <c r="E1565" s="3">
        <v>3.2268</v>
      </c>
      <c r="F1565" s="3">
        <v>2.8125</v>
      </c>
      <c r="G1565" s="3">
        <v>3.2234</v>
      </c>
    </row>
    <row r="1566" spans="1:7">
      <c r="A1566" s="2">
        <v>43332</v>
      </c>
      <c r="B1566" s="3">
        <v>2.8359</v>
      </c>
      <c r="C1566" s="3">
        <v>3.242</v>
      </c>
      <c r="D1566" s="3">
        <v>2.842</v>
      </c>
      <c r="E1566" s="3">
        <v>3.245</v>
      </c>
      <c r="F1566" s="3">
        <v>2.8389</v>
      </c>
      <c r="G1566" s="3">
        <v>3.2435</v>
      </c>
    </row>
    <row r="1567" spans="1:7">
      <c r="A1567" s="2">
        <v>43333</v>
      </c>
      <c r="B1567" s="3">
        <v>2.8698</v>
      </c>
      <c r="C1567" s="3">
        <v>3.2675</v>
      </c>
      <c r="D1567" s="3">
        <v>2.8758</v>
      </c>
      <c r="E1567" s="3">
        <v>3.27</v>
      </c>
      <c r="F1567" s="3">
        <v>2.8728</v>
      </c>
      <c r="G1567" s="3">
        <v>3.2688</v>
      </c>
    </row>
    <row r="1568" spans="1:7">
      <c r="A1568" s="2">
        <v>43334</v>
      </c>
      <c r="B1568" s="3">
        <v>2.8359</v>
      </c>
      <c r="C1568" s="3">
        <v>3.24</v>
      </c>
      <c r="D1568" s="3">
        <v>2.8441</v>
      </c>
      <c r="E1568" s="3">
        <v>3.2437</v>
      </c>
      <c r="F1568" s="3">
        <v>2.84</v>
      </c>
      <c r="G1568" s="3">
        <v>3.2418</v>
      </c>
    </row>
    <row r="1569" spans="1:7">
      <c r="A1569" s="2">
        <v>43335</v>
      </c>
      <c r="B1569" s="3">
        <v>2.7825</v>
      </c>
      <c r="C1569" s="3">
        <v>3.18</v>
      </c>
      <c r="D1569" s="3">
        <v>2.7862</v>
      </c>
      <c r="E1569" s="3">
        <v>3.1858</v>
      </c>
      <c r="F1569" s="3">
        <v>2.7843</v>
      </c>
      <c r="G1569" s="3">
        <v>3.1829</v>
      </c>
    </row>
    <row r="1570" spans="1:7">
      <c r="A1570" s="2">
        <v>43336</v>
      </c>
      <c r="B1570" s="3">
        <v>2.775</v>
      </c>
      <c r="C1570" s="3">
        <v>3.1818</v>
      </c>
      <c r="D1570" s="3">
        <v>2.785</v>
      </c>
      <c r="E1570" s="3">
        <v>3.185</v>
      </c>
      <c r="F1570" s="3">
        <v>2.78</v>
      </c>
      <c r="G1570" s="3">
        <v>3.1834</v>
      </c>
    </row>
    <row r="1571" spans="1:7">
      <c r="A1571" s="2">
        <v>43339</v>
      </c>
      <c r="B1571" s="3">
        <v>2.8312</v>
      </c>
      <c r="C1571" s="3">
        <v>3.2255</v>
      </c>
      <c r="D1571" s="3">
        <v>2.8394</v>
      </c>
      <c r="E1571" s="3">
        <v>3.235</v>
      </c>
      <c r="F1571" s="3">
        <v>2.8353</v>
      </c>
      <c r="G1571" s="3">
        <v>3.2302</v>
      </c>
    </row>
    <row r="1572" spans="1:7">
      <c r="A1572" s="2">
        <v>43340</v>
      </c>
      <c r="B1572" s="3">
        <v>2.815</v>
      </c>
      <c r="C1572" s="3">
        <v>3.2156</v>
      </c>
      <c r="D1572" s="3">
        <v>2.8211</v>
      </c>
      <c r="E1572" s="3">
        <v>3.22</v>
      </c>
      <c r="F1572" s="3">
        <v>2.818</v>
      </c>
      <c r="G1572" s="3">
        <v>3.2178</v>
      </c>
    </row>
    <row r="1573" spans="1:7">
      <c r="A1573" s="2">
        <v>43341</v>
      </c>
      <c r="B1573" s="3">
        <v>2.82</v>
      </c>
      <c r="C1573" s="3">
        <v>3.2225</v>
      </c>
      <c r="D1573" s="3">
        <v>2.825</v>
      </c>
      <c r="E1573" s="3">
        <v>3.2275</v>
      </c>
      <c r="F1573" s="3">
        <v>2.8225</v>
      </c>
      <c r="G1573" s="3">
        <v>3.225</v>
      </c>
    </row>
    <row r="1574" spans="1:7">
      <c r="A1574" s="2">
        <v>43342</v>
      </c>
      <c r="B1574" s="3">
        <v>2.8</v>
      </c>
      <c r="C1574" s="3">
        <v>3.1963</v>
      </c>
      <c r="D1574" s="3">
        <v>2.8044</v>
      </c>
      <c r="E1574" s="3">
        <v>3.2007</v>
      </c>
      <c r="F1574" s="3">
        <v>2.8022</v>
      </c>
      <c r="G1574" s="3">
        <v>3.1985</v>
      </c>
    </row>
    <row r="1575" spans="1:7">
      <c r="A1575" s="2">
        <v>43343</v>
      </c>
      <c r="B1575" s="3">
        <v>2.8025</v>
      </c>
      <c r="C1575" s="3">
        <v>3.205</v>
      </c>
      <c r="D1575" s="3">
        <v>2.8075</v>
      </c>
      <c r="E1575" s="3">
        <v>3.21</v>
      </c>
      <c r="F1575" s="3">
        <v>2.805</v>
      </c>
      <c r="G1575" s="3">
        <v>3.2075</v>
      </c>
    </row>
    <row r="1576" spans="1:7">
      <c r="A1576" s="2">
        <v>43346</v>
      </c>
      <c r="B1576" s="3">
        <v>2.8151</v>
      </c>
      <c r="C1576" s="3">
        <v>3.225</v>
      </c>
      <c r="D1576" s="3">
        <v>2.8206</v>
      </c>
      <c r="E1576" s="3">
        <v>3.23</v>
      </c>
      <c r="F1576" s="3">
        <v>2.8178</v>
      </c>
      <c r="G1576" s="3">
        <v>3.2275</v>
      </c>
    </row>
    <row r="1577" spans="1:7">
      <c r="A1577" s="2">
        <v>43347</v>
      </c>
      <c r="B1577" s="3">
        <v>2.8093</v>
      </c>
      <c r="C1577" s="3">
        <v>3.225</v>
      </c>
      <c r="D1577" s="3">
        <v>2.813</v>
      </c>
      <c r="E1577" s="3">
        <v>3.2289</v>
      </c>
      <c r="F1577" s="3">
        <v>2.8112</v>
      </c>
      <c r="G1577" s="3">
        <v>3.2269</v>
      </c>
    </row>
    <row r="1578" spans="1:7">
      <c r="A1578" s="2">
        <v>43348</v>
      </c>
      <c r="B1578" s="3">
        <v>2.7975</v>
      </c>
      <c r="C1578" s="3">
        <v>3.215</v>
      </c>
      <c r="D1578" s="3">
        <v>2.8</v>
      </c>
      <c r="E1578" s="3">
        <v>3.22</v>
      </c>
      <c r="F1578" s="3">
        <v>2.7988</v>
      </c>
      <c r="G1578" s="3">
        <v>3.2175</v>
      </c>
    </row>
    <row r="1579" spans="1:7">
      <c r="A1579" s="2">
        <v>43349</v>
      </c>
      <c r="B1579" s="3">
        <v>2.8275</v>
      </c>
      <c r="C1579" s="3">
        <v>3.2422</v>
      </c>
      <c r="D1579" s="3">
        <v>2.8325</v>
      </c>
      <c r="E1579" s="3">
        <v>3.245</v>
      </c>
      <c r="F1579" s="3">
        <v>2.83</v>
      </c>
      <c r="G1579" s="3">
        <v>3.2436</v>
      </c>
    </row>
    <row r="1580" spans="1:7">
      <c r="A1580" s="2">
        <v>43350</v>
      </c>
      <c r="B1580" s="3">
        <v>2.835</v>
      </c>
      <c r="C1580" s="3">
        <v>3.245</v>
      </c>
      <c r="D1580" s="3">
        <v>2.84</v>
      </c>
      <c r="E1580" s="3">
        <v>3.2471</v>
      </c>
      <c r="F1580" s="3">
        <v>2.8375</v>
      </c>
      <c r="G1580" s="3">
        <v>3.246</v>
      </c>
    </row>
    <row r="1581" spans="1:7">
      <c r="A1581" s="2">
        <v>43353</v>
      </c>
      <c r="B1581" s="3">
        <v>2.85</v>
      </c>
      <c r="C1581" s="3">
        <v>3.2718</v>
      </c>
      <c r="D1581" s="3">
        <v>2.86</v>
      </c>
      <c r="E1581" s="3">
        <v>3.2747</v>
      </c>
      <c r="F1581" s="3">
        <v>2.855</v>
      </c>
      <c r="G1581" s="3">
        <v>3.2732</v>
      </c>
    </row>
    <row r="1582" spans="1:7">
      <c r="A1582" s="2">
        <v>43354</v>
      </c>
      <c r="B1582" s="3">
        <v>2.865</v>
      </c>
      <c r="C1582" s="3">
        <v>3.3038</v>
      </c>
      <c r="D1582" s="3">
        <v>2.8694</v>
      </c>
      <c r="E1582" s="3">
        <v>3.3063</v>
      </c>
      <c r="F1582" s="3">
        <v>2.8672</v>
      </c>
      <c r="G1582" s="3">
        <v>3.305</v>
      </c>
    </row>
    <row r="1583" spans="1:7">
      <c r="A1583" s="2">
        <v>43355</v>
      </c>
      <c r="B1583" s="3">
        <v>2.865</v>
      </c>
      <c r="C1583" s="3">
        <v>3.2911</v>
      </c>
      <c r="D1583" s="3">
        <v>2.8675</v>
      </c>
      <c r="E1583" s="3">
        <v>3.2939</v>
      </c>
      <c r="F1583" s="3">
        <v>2.8663</v>
      </c>
      <c r="G1583" s="3">
        <v>3.2925</v>
      </c>
    </row>
    <row r="1584" spans="1:7">
      <c r="A1584" s="2">
        <v>43356</v>
      </c>
      <c r="B1584" s="3">
        <v>2.865</v>
      </c>
      <c r="C1584" s="3">
        <v>3.305</v>
      </c>
      <c r="D1584" s="3">
        <v>2.8725</v>
      </c>
      <c r="E1584" s="3">
        <v>3.31</v>
      </c>
      <c r="F1584" s="3">
        <v>2.8688</v>
      </c>
      <c r="G1584" s="3">
        <v>3.3075</v>
      </c>
    </row>
    <row r="1585" spans="1:7">
      <c r="A1585" s="2">
        <v>43357</v>
      </c>
      <c r="B1585" s="3">
        <v>2.8525</v>
      </c>
      <c r="C1585" s="3">
        <v>3.2925</v>
      </c>
      <c r="D1585" s="3">
        <v>2.8553</v>
      </c>
      <c r="E1585" s="3">
        <v>3.2993</v>
      </c>
      <c r="F1585" s="3">
        <v>2.8539</v>
      </c>
      <c r="G1585" s="3">
        <v>3.2959</v>
      </c>
    </row>
    <row r="1586" spans="1:7">
      <c r="A1586" s="2">
        <v>43360</v>
      </c>
      <c r="B1586" s="3">
        <v>2.8371</v>
      </c>
      <c r="C1586" s="3">
        <v>3.275</v>
      </c>
      <c r="D1586" s="3">
        <v>2.84</v>
      </c>
      <c r="E1586" s="3">
        <v>3.282</v>
      </c>
      <c r="F1586" s="3">
        <v>2.8385</v>
      </c>
      <c r="G1586" s="3">
        <v>3.2785</v>
      </c>
    </row>
    <row r="1587" spans="1:7">
      <c r="A1587" s="2">
        <v>43361</v>
      </c>
      <c r="B1587" s="3">
        <v>2.8488</v>
      </c>
      <c r="C1587" s="3">
        <v>3.2925</v>
      </c>
      <c r="D1587" s="3">
        <v>2.8525</v>
      </c>
      <c r="E1587" s="3">
        <v>3.295</v>
      </c>
      <c r="F1587" s="3">
        <v>2.8506</v>
      </c>
      <c r="G1587" s="3">
        <v>3.2938</v>
      </c>
    </row>
    <row r="1588" spans="1:7">
      <c r="A1588" s="2">
        <v>43362</v>
      </c>
      <c r="B1588" s="3">
        <v>2.865</v>
      </c>
      <c r="C1588" s="3">
        <v>3.31</v>
      </c>
      <c r="D1588" s="3">
        <v>2.87</v>
      </c>
      <c r="E1588" s="3">
        <v>3.3125</v>
      </c>
      <c r="F1588" s="3">
        <v>2.8675</v>
      </c>
      <c r="G1588" s="3">
        <v>3.3113</v>
      </c>
    </row>
    <row r="1589" spans="1:7">
      <c r="A1589" s="2">
        <v>43363</v>
      </c>
      <c r="B1589" s="3">
        <v>2.8981</v>
      </c>
      <c r="C1589" s="3">
        <v>3.3656</v>
      </c>
      <c r="D1589" s="3">
        <v>2.9016</v>
      </c>
      <c r="E1589" s="3">
        <v>3.3711</v>
      </c>
      <c r="F1589" s="3">
        <v>2.8998</v>
      </c>
      <c r="G1589" s="3">
        <v>3.3684</v>
      </c>
    </row>
    <row r="1590" spans="1:7">
      <c r="A1590" s="2">
        <v>43364</v>
      </c>
      <c r="B1590" s="3">
        <v>2.8768</v>
      </c>
      <c r="C1590" s="3">
        <v>3.3386</v>
      </c>
      <c r="D1590" s="3">
        <v>2.88</v>
      </c>
      <c r="E1590" s="3">
        <v>3.3476</v>
      </c>
      <c r="F1590" s="3">
        <v>2.8784</v>
      </c>
      <c r="G1590" s="3">
        <v>3.3431</v>
      </c>
    </row>
    <row r="1591" spans="1:7">
      <c r="A1591" s="2">
        <v>43368</v>
      </c>
      <c r="B1591" s="3">
        <v>2.885</v>
      </c>
      <c r="C1591" s="3">
        <v>3.3479</v>
      </c>
      <c r="D1591" s="3">
        <v>2.8875</v>
      </c>
      <c r="E1591" s="3">
        <v>3.35</v>
      </c>
      <c r="F1591" s="3">
        <v>2.8863</v>
      </c>
      <c r="G1591" s="3">
        <v>3.349</v>
      </c>
    </row>
    <row r="1592" spans="1:7">
      <c r="A1592" s="2">
        <v>43369</v>
      </c>
      <c r="B1592" s="3">
        <v>2.8675</v>
      </c>
      <c r="C1592" s="3">
        <v>3.2958</v>
      </c>
      <c r="D1592" s="3">
        <v>2.876</v>
      </c>
      <c r="E1592" s="3">
        <v>3.3068</v>
      </c>
      <c r="F1592" s="3">
        <v>2.8717</v>
      </c>
      <c r="G1592" s="3">
        <v>3.3013</v>
      </c>
    </row>
    <row r="1593" spans="1:7">
      <c r="A1593" s="2">
        <v>43370</v>
      </c>
      <c r="B1593" s="3">
        <v>2.8513</v>
      </c>
      <c r="C1593" s="3">
        <v>3.265</v>
      </c>
      <c r="D1593" s="3">
        <v>2.8538</v>
      </c>
      <c r="E1593" s="3">
        <v>3.27</v>
      </c>
      <c r="F1593" s="3">
        <v>2.8525</v>
      </c>
      <c r="G1593" s="3">
        <v>3.2675</v>
      </c>
    </row>
    <row r="1594" spans="1:7">
      <c r="A1594" s="2">
        <v>43371</v>
      </c>
      <c r="B1594" s="3">
        <v>2.84</v>
      </c>
      <c r="C1594" s="3">
        <v>3.27</v>
      </c>
      <c r="D1594" s="3">
        <v>2.845</v>
      </c>
      <c r="E1594" s="3">
        <v>3.275</v>
      </c>
      <c r="F1594" s="3">
        <v>2.8425</v>
      </c>
      <c r="G1594" s="3">
        <v>3.2725</v>
      </c>
    </row>
    <row r="1595" spans="1:7">
      <c r="A1595" s="2">
        <v>43372</v>
      </c>
      <c r="B1595" s="3">
        <v>2.8325</v>
      </c>
      <c r="C1595" s="3">
        <v>3.265</v>
      </c>
      <c r="D1595" s="3">
        <v>2.8391</v>
      </c>
      <c r="E1595" s="3">
        <v>3.27</v>
      </c>
      <c r="F1595" s="3">
        <v>2.8358</v>
      </c>
      <c r="G1595" s="3">
        <v>3.2675</v>
      </c>
    </row>
    <row r="1596" spans="1:7">
      <c r="A1596" s="2">
        <v>43373</v>
      </c>
      <c r="B1596" s="3">
        <v>2.835</v>
      </c>
      <c r="C1596" s="3">
        <v>3.2628</v>
      </c>
      <c r="D1596" s="3">
        <v>2.835</v>
      </c>
      <c r="E1596" s="3">
        <v>3.2652</v>
      </c>
      <c r="F1596" s="3">
        <v>2.835</v>
      </c>
      <c r="G1596" s="3">
        <v>3.264</v>
      </c>
    </row>
    <row r="1597" spans="1:7">
      <c r="A1597" s="2">
        <v>43381</v>
      </c>
      <c r="B1597" s="3">
        <v>2.815</v>
      </c>
      <c r="C1597" s="3">
        <v>3.257</v>
      </c>
      <c r="D1597" s="3">
        <v>2.82</v>
      </c>
      <c r="E1597" s="3">
        <v>3.2611</v>
      </c>
      <c r="F1597" s="3">
        <v>2.8175</v>
      </c>
      <c r="G1597" s="3">
        <v>3.2591</v>
      </c>
    </row>
    <row r="1598" spans="1:7">
      <c r="A1598" s="2">
        <v>43382</v>
      </c>
      <c r="B1598" s="3">
        <v>2.7991</v>
      </c>
      <c r="C1598" s="3">
        <v>3.235</v>
      </c>
      <c r="D1598" s="3">
        <v>2.8013</v>
      </c>
      <c r="E1598" s="3">
        <v>3.2428</v>
      </c>
      <c r="F1598" s="3">
        <v>2.8002</v>
      </c>
      <c r="G1598" s="3">
        <v>3.2389</v>
      </c>
    </row>
    <row r="1599" spans="1:7">
      <c r="A1599" s="2">
        <v>43383</v>
      </c>
      <c r="B1599" s="3">
        <v>2.8074</v>
      </c>
      <c r="C1599" s="3">
        <v>3.24</v>
      </c>
      <c r="D1599" s="3">
        <v>2.815</v>
      </c>
      <c r="E1599" s="3">
        <v>3.2468</v>
      </c>
      <c r="F1599" s="3">
        <v>2.8112</v>
      </c>
      <c r="G1599" s="3">
        <v>3.2434</v>
      </c>
    </row>
    <row r="1600" spans="1:7">
      <c r="A1600" s="2">
        <v>43384</v>
      </c>
      <c r="B1600" s="3">
        <v>2.7925</v>
      </c>
      <c r="C1600" s="3">
        <v>3.22</v>
      </c>
      <c r="D1600" s="3">
        <v>2.7975</v>
      </c>
      <c r="E1600" s="3">
        <v>3.225</v>
      </c>
      <c r="F1600" s="3">
        <v>2.795</v>
      </c>
      <c r="G1600" s="3">
        <v>3.2225</v>
      </c>
    </row>
    <row r="1601" spans="1:7">
      <c r="A1601" s="2">
        <v>43385</v>
      </c>
      <c r="B1601" s="3">
        <v>2.7947</v>
      </c>
      <c r="C1601" s="3">
        <v>3.2325</v>
      </c>
      <c r="D1601" s="3">
        <v>2.7959</v>
      </c>
      <c r="E1601" s="3">
        <v>3.235</v>
      </c>
      <c r="F1601" s="3">
        <v>2.7953</v>
      </c>
      <c r="G1601" s="3">
        <v>3.2338</v>
      </c>
    </row>
    <row r="1602" spans="1:7">
      <c r="A1602" s="2">
        <v>43388</v>
      </c>
      <c r="B1602" s="3">
        <v>2.798</v>
      </c>
      <c r="C1602" s="3">
        <v>3.245</v>
      </c>
      <c r="D1602" s="3">
        <v>2.8</v>
      </c>
      <c r="E1602" s="3">
        <v>3.25</v>
      </c>
      <c r="F1602" s="3">
        <v>2.799</v>
      </c>
      <c r="G1602" s="3">
        <v>3.2475</v>
      </c>
    </row>
    <row r="1603" spans="1:7">
      <c r="A1603" s="2">
        <v>43389</v>
      </c>
      <c r="B1603" s="3">
        <v>2.795</v>
      </c>
      <c r="C1603" s="3">
        <v>3.225</v>
      </c>
      <c r="D1603" s="3">
        <v>2.7975</v>
      </c>
      <c r="E1603" s="3">
        <v>3.23</v>
      </c>
      <c r="F1603" s="3">
        <v>2.7963</v>
      </c>
      <c r="G1603" s="3">
        <v>3.2275</v>
      </c>
    </row>
    <row r="1604" spans="1:7">
      <c r="A1604" s="2">
        <v>43390</v>
      </c>
      <c r="B1604" s="3">
        <v>2.8033</v>
      </c>
      <c r="C1604" s="3">
        <v>3.2444</v>
      </c>
      <c r="D1604" s="3">
        <v>2.8076</v>
      </c>
      <c r="E1604" s="3">
        <v>3.2473</v>
      </c>
      <c r="F1604" s="3">
        <v>2.8054</v>
      </c>
      <c r="G1604" s="3">
        <v>3.2458</v>
      </c>
    </row>
    <row r="1605" spans="1:7">
      <c r="A1605" s="2">
        <v>43391</v>
      </c>
      <c r="B1605" s="3">
        <v>2.7818</v>
      </c>
      <c r="C1605" s="3">
        <v>3.2165</v>
      </c>
      <c r="D1605" s="3">
        <v>2.7849</v>
      </c>
      <c r="E1605" s="3">
        <v>3.22</v>
      </c>
      <c r="F1605" s="3">
        <v>2.7834</v>
      </c>
      <c r="G1605" s="3">
        <v>3.2183</v>
      </c>
    </row>
    <row r="1606" spans="1:7">
      <c r="A1606" s="2">
        <v>43392</v>
      </c>
      <c r="B1606" s="3">
        <v>2.7775</v>
      </c>
      <c r="C1606" s="3">
        <v>3.205</v>
      </c>
      <c r="D1606" s="3">
        <v>2.7825</v>
      </c>
      <c r="E1606" s="3">
        <v>3.208</v>
      </c>
      <c r="F1606" s="3">
        <v>2.78</v>
      </c>
      <c r="G1606" s="3">
        <v>3.2065</v>
      </c>
    </row>
    <row r="1607" spans="1:7">
      <c r="A1607" s="2">
        <v>43395</v>
      </c>
      <c r="B1607" s="3">
        <v>2.795</v>
      </c>
      <c r="C1607" s="3">
        <v>3.2175</v>
      </c>
      <c r="D1607" s="3">
        <v>2.7975</v>
      </c>
      <c r="E1607" s="3">
        <v>3.2224</v>
      </c>
      <c r="F1607" s="3">
        <v>2.7963</v>
      </c>
      <c r="G1607" s="3">
        <v>3.22</v>
      </c>
    </row>
    <row r="1608" spans="1:7">
      <c r="A1608" s="2">
        <v>43396</v>
      </c>
      <c r="B1608" s="3">
        <v>2.7705</v>
      </c>
      <c r="C1608" s="3">
        <v>3.1825</v>
      </c>
      <c r="D1608" s="3">
        <v>2.7775</v>
      </c>
      <c r="E1608" s="3">
        <v>3.1852</v>
      </c>
      <c r="F1608" s="3">
        <v>2.774</v>
      </c>
      <c r="G1608" s="3">
        <v>3.1838</v>
      </c>
    </row>
    <row r="1609" spans="1:7">
      <c r="A1609" s="2">
        <v>43397</v>
      </c>
      <c r="B1609" s="3">
        <v>2.7575</v>
      </c>
      <c r="C1609" s="3">
        <v>3.1525</v>
      </c>
      <c r="D1609" s="3">
        <v>2.76</v>
      </c>
      <c r="E1609" s="3">
        <v>3.1575</v>
      </c>
      <c r="F1609" s="3">
        <v>2.7588</v>
      </c>
      <c r="G1609" s="3">
        <v>3.155</v>
      </c>
    </row>
    <row r="1610" spans="1:7">
      <c r="A1610" s="2">
        <v>43398</v>
      </c>
      <c r="B1610" s="3">
        <v>2.763</v>
      </c>
      <c r="C1610" s="3">
        <v>3.1589</v>
      </c>
      <c r="D1610" s="3">
        <v>2.7684</v>
      </c>
      <c r="E1610" s="3">
        <v>3.165</v>
      </c>
      <c r="F1610" s="3">
        <v>2.7657</v>
      </c>
      <c r="G1610" s="3">
        <v>3.162</v>
      </c>
    </row>
    <row r="1611" spans="1:7">
      <c r="A1611" s="2">
        <v>43399</v>
      </c>
      <c r="B1611" s="3">
        <v>2.7514</v>
      </c>
      <c r="C1611" s="3">
        <v>3.1465</v>
      </c>
      <c r="D1611" s="3">
        <v>2.755</v>
      </c>
      <c r="E1611" s="3">
        <v>3.1525</v>
      </c>
      <c r="F1611" s="3">
        <v>2.7532</v>
      </c>
      <c r="G1611" s="3">
        <v>3.1495</v>
      </c>
    </row>
    <row r="1612" spans="1:7">
      <c r="A1612" s="2">
        <v>43402</v>
      </c>
      <c r="B1612" s="3">
        <v>2.7481</v>
      </c>
      <c r="C1612" s="3">
        <v>3.1294</v>
      </c>
      <c r="D1612" s="3">
        <v>2.75</v>
      </c>
      <c r="E1612" s="3">
        <v>3.1319</v>
      </c>
      <c r="F1612" s="3">
        <v>2.7491</v>
      </c>
      <c r="G1612" s="3">
        <v>3.1306</v>
      </c>
    </row>
    <row r="1613" spans="1:7">
      <c r="A1613" s="2">
        <v>43403</v>
      </c>
      <c r="B1613" s="3">
        <v>2.7567</v>
      </c>
      <c r="C1613" s="3">
        <v>3.14</v>
      </c>
      <c r="D1613" s="3">
        <v>2.7619</v>
      </c>
      <c r="E1613" s="3">
        <v>3.1461</v>
      </c>
      <c r="F1613" s="3">
        <v>2.7593</v>
      </c>
      <c r="G1613" s="3">
        <v>3.143</v>
      </c>
    </row>
    <row r="1614" spans="1:7">
      <c r="A1614" s="2">
        <v>43404</v>
      </c>
      <c r="B1614" s="3">
        <v>2.7585</v>
      </c>
      <c r="C1614" s="3">
        <v>3.1383</v>
      </c>
      <c r="D1614" s="3">
        <v>2.76</v>
      </c>
      <c r="E1614" s="3">
        <v>3.145</v>
      </c>
      <c r="F1614" s="3">
        <v>2.7593</v>
      </c>
      <c r="G1614" s="3">
        <v>3.1417</v>
      </c>
    </row>
    <row r="1615" spans="1:7">
      <c r="A1615" s="2">
        <v>43405</v>
      </c>
      <c r="B1615" s="3">
        <v>2.7608</v>
      </c>
      <c r="C1615" s="3">
        <v>3.1456</v>
      </c>
      <c r="D1615" s="3">
        <v>2.77</v>
      </c>
      <c r="E1615" s="3">
        <v>3.15</v>
      </c>
      <c r="F1615" s="3">
        <v>2.7654</v>
      </c>
      <c r="G1615" s="3">
        <v>3.1478</v>
      </c>
    </row>
    <row r="1616" spans="1:7">
      <c r="A1616" s="2">
        <v>43406</v>
      </c>
      <c r="B1616" s="3">
        <v>2.795</v>
      </c>
      <c r="C1616" s="3">
        <v>3.2247</v>
      </c>
      <c r="D1616" s="3">
        <v>2.8004</v>
      </c>
      <c r="E1616" s="3">
        <v>3.2279</v>
      </c>
      <c r="F1616" s="3">
        <v>2.7977</v>
      </c>
      <c r="G1616" s="3">
        <v>3.2263</v>
      </c>
    </row>
    <row r="1617" spans="1:7">
      <c r="A1617" s="2">
        <v>43409</v>
      </c>
      <c r="B1617" s="3">
        <v>2.783</v>
      </c>
      <c r="C1617" s="3">
        <v>3.205</v>
      </c>
      <c r="D1617" s="3">
        <v>2.785</v>
      </c>
      <c r="E1617" s="3">
        <v>3.2075</v>
      </c>
      <c r="F1617" s="3">
        <v>2.784</v>
      </c>
      <c r="G1617" s="3">
        <v>3.2063</v>
      </c>
    </row>
    <row r="1618" spans="1:7">
      <c r="A1618" s="2">
        <v>43410</v>
      </c>
      <c r="B1618" s="3">
        <v>2.7625</v>
      </c>
      <c r="C1618" s="3">
        <v>3.1775</v>
      </c>
      <c r="D1618" s="3">
        <v>2.765</v>
      </c>
      <c r="E1618" s="3">
        <v>3.1825</v>
      </c>
      <c r="F1618" s="3">
        <v>2.7638</v>
      </c>
      <c r="G1618" s="3">
        <v>3.18</v>
      </c>
    </row>
    <row r="1619" spans="1:7">
      <c r="A1619" s="2">
        <v>43411</v>
      </c>
      <c r="B1619" s="3">
        <v>2.7551</v>
      </c>
      <c r="C1619" s="3">
        <v>3.155</v>
      </c>
      <c r="D1619" s="3">
        <v>2.7571</v>
      </c>
      <c r="E1619" s="3">
        <v>3.16</v>
      </c>
      <c r="F1619" s="3">
        <v>2.7561</v>
      </c>
      <c r="G1619" s="3">
        <v>3.1575</v>
      </c>
    </row>
    <row r="1620" spans="1:7">
      <c r="A1620" s="2">
        <v>43412</v>
      </c>
      <c r="B1620" s="3">
        <v>2.768</v>
      </c>
      <c r="C1620" s="3">
        <v>3.1698</v>
      </c>
      <c r="D1620" s="3">
        <v>2.7721</v>
      </c>
      <c r="E1620" s="3">
        <v>3.1725</v>
      </c>
      <c r="F1620" s="3">
        <v>2.7701</v>
      </c>
      <c r="G1620" s="3">
        <v>3.1712</v>
      </c>
    </row>
    <row r="1621" spans="1:7">
      <c r="A1621" s="2">
        <v>43413</v>
      </c>
      <c r="B1621" s="3">
        <v>2.79</v>
      </c>
      <c r="C1621" s="3">
        <v>3.1882</v>
      </c>
      <c r="D1621" s="3">
        <v>2.7925</v>
      </c>
      <c r="E1621" s="3">
        <v>3.1918</v>
      </c>
      <c r="F1621" s="3">
        <v>2.7913</v>
      </c>
      <c r="G1621" s="3">
        <v>3.19</v>
      </c>
    </row>
    <row r="1622" spans="1:7">
      <c r="A1622" s="2">
        <v>43416</v>
      </c>
      <c r="B1622" s="3">
        <v>2.7935</v>
      </c>
      <c r="C1622" s="3">
        <v>3.195</v>
      </c>
      <c r="D1622" s="3">
        <v>2.7946</v>
      </c>
      <c r="E1622" s="3">
        <v>3.1975</v>
      </c>
      <c r="F1622" s="3">
        <v>2.7941</v>
      </c>
      <c r="G1622" s="3">
        <v>3.1963</v>
      </c>
    </row>
    <row r="1623" spans="1:7">
      <c r="A1623" s="2">
        <v>43417</v>
      </c>
      <c r="B1623" s="3">
        <v>2.7825</v>
      </c>
      <c r="C1623" s="3">
        <v>3.1875</v>
      </c>
      <c r="D1623" s="3">
        <v>2.7845</v>
      </c>
      <c r="E1623" s="3">
        <v>3.19</v>
      </c>
      <c r="F1623" s="3">
        <v>2.7835</v>
      </c>
      <c r="G1623" s="3">
        <v>3.1888</v>
      </c>
    </row>
    <row r="1624" spans="1:7">
      <c r="A1624" s="2">
        <v>43418</v>
      </c>
      <c r="B1624" s="3">
        <v>2.755</v>
      </c>
      <c r="C1624" s="3">
        <v>3.1418</v>
      </c>
      <c r="D1624" s="3">
        <v>2.7567</v>
      </c>
      <c r="E1624" s="3">
        <v>3.1457</v>
      </c>
      <c r="F1624" s="3">
        <v>2.7558</v>
      </c>
      <c r="G1624" s="3">
        <v>3.1437</v>
      </c>
    </row>
    <row r="1625" spans="1:7">
      <c r="A1625" s="2">
        <v>43419</v>
      </c>
      <c r="B1625" s="3">
        <v>2.755</v>
      </c>
      <c r="C1625" s="3">
        <v>3.1409</v>
      </c>
      <c r="D1625" s="3">
        <v>2.7577</v>
      </c>
      <c r="E1625" s="3">
        <v>3.1443</v>
      </c>
      <c r="F1625" s="3">
        <v>2.7563</v>
      </c>
      <c r="G1625" s="3">
        <v>3.1426</v>
      </c>
    </row>
    <row r="1626" spans="1:7">
      <c r="A1626" s="2">
        <v>43420</v>
      </c>
      <c r="B1626" s="3">
        <v>2.7501</v>
      </c>
      <c r="C1626" s="3">
        <v>3.1196</v>
      </c>
      <c r="D1626" s="3">
        <v>2.755</v>
      </c>
      <c r="E1626" s="3">
        <v>3.1234</v>
      </c>
      <c r="F1626" s="3">
        <v>2.7525</v>
      </c>
      <c r="G1626" s="3">
        <v>3.1215</v>
      </c>
    </row>
    <row r="1627" spans="1:7">
      <c r="A1627" s="2">
        <v>43423</v>
      </c>
      <c r="B1627" s="3">
        <v>2.7679</v>
      </c>
      <c r="C1627" s="3">
        <v>3.1622</v>
      </c>
      <c r="D1627" s="3">
        <v>2.775</v>
      </c>
      <c r="E1627" s="3">
        <v>3.1678</v>
      </c>
      <c r="F1627" s="3">
        <v>2.7714</v>
      </c>
      <c r="G1627" s="3">
        <v>3.165</v>
      </c>
    </row>
    <row r="1628" spans="1:7">
      <c r="A1628" s="2">
        <v>43424</v>
      </c>
      <c r="B1628" s="3">
        <v>2.75</v>
      </c>
      <c r="C1628" s="3">
        <v>3.142</v>
      </c>
      <c r="D1628" s="3">
        <v>2.7575</v>
      </c>
      <c r="E1628" s="3">
        <v>3.145</v>
      </c>
      <c r="F1628" s="3">
        <v>2.7538</v>
      </c>
      <c r="G1628" s="3">
        <v>3.1435</v>
      </c>
    </row>
    <row r="1629" spans="1:7">
      <c r="A1629" s="2">
        <v>43425</v>
      </c>
      <c r="B1629" s="3">
        <v>2.755</v>
      </c>
      <c r="C1629" s="3">
        <v>3.145</v>
      </c>
      <c r="D1629" s="3">
        <v>2.76</v>
      </c>
      <c r="E1629" s="3">
        <v>3.1475</v>
      </c>
      <c r="F1629" s="3">
        <v>2.7575</v>
      </c>
      <c r="G1629" s="3">
        <v>3.1463</v>
      </c>
    </row>
    <row r="1630" spans="1:7">
      <c r="A1630" s="2">
        <v>43426</v>
      </c>
      <c r="B1630" s="3">
        <v>2.7628</v>
      </c>
      <c r="C1630" s="3">
        <v>3.1607</v>
      </c>
      <c r="D1630" s="3">
        <v>2.7672</v>
      </c>
      <c r="E1630" s="3">
        <v>3.1643</v>
      </c>
      <c r="F1630" s="3">
        <v>2.765</v>
      </c>
      <c r="G1630" s="3">
        <v>3.1625</v>
      </c>
    </row>
    <row r="1631" spans="1:7">
      <c r="A1631" s="2">
        <v>43427</v>
      </c>
      <c r="B1631" s="3">
        <v>2.755</v>
      </c>
      <c r="C1631" s="3">
        <v>3.155</v>
      </c>
      <c r="D1631" s="3">
        <v>2.7575</v>
      </c>
      <c r="E1631" s="3">
        <v>3.16</v>
      </c>
      <c r="F1631" s="3">
        <v>2.7563</v>
      </c>
      <c r="G1631" s="3">
        <v>3.1575</v>
      </c>
    </row>
    <row r="1632" spans="1:7">
      <c r="A1632" s="2">
        <v>43430</v>
      </c>
      <c r="B1632" s="3">
        <v>2.7675</v>
      </c>
      <c r="C1632" s="3">
        <v>3.16</v>
      </c>
      <c r="D1632" s="3">
        <v>2.77</v>
      </c>
      <c r="E1632" s="3">
        <v>3.1625</v>
      </c>
      <c r="F1632" s="3">
        <v>2.7688</v>
      </c>
      <c r="G1632" s="3">
        <v>3.1613</v>
      </c>
    </row>
    <row r="1633" spans="1:7">
      <c r="A1633" s="2">
        <v>43431</v>
      </c>
      <c r="B1633" s="3">
        <v>2.765</v>
      </c>
      <c r="C1633" s="3">
        <v>3.1525</v>
      </c>
      <c r="D1633" s="3">
        <v>2.7675</v>
      </c>
      <c r="E1633" s="3">
        <v>3.155</v>
      </c>
      <c r="F1633" s="3">
        <v>2.7663</v>
      </c>
      <c r="G1633" s="3">
        <v>3.1538</v>
      </c>
    </row>
    <row r="1634" spans="1:7">
      <c r="A1634" s="2">
        <v>43432</v>
      </c>
      <c r="B1634" s="3">
        <v>2.765</v>
      </c>
      <c r="C1634" s="3">
        <v>3.1525</v>
      </c>
      <c r="D1634" s="3">
        <v>2.7675</v>
      </c>
      <c r="E1634" s="3">
        <v>3.155</v>
      </c>
      <c r="F1634" s="3">
        <v>2.7663</v>
      </c>
      <c r="G1634" s="3">
        <v>3.1538</v>
      </c>
    </row>
    <row r="1635" spans="1:7">
      <c r="A1635" s="2">
        <v>43433</v>
      </c>
      <c r="B1635" s="3">
        <v>2.7575</v>
      </c>
      <c r="C1635" s="3">
        <v>3.1331</v>
      </c>
      <c r="D1635" s="3">
        <v>2.76</v>
      </c>
      <c r="E1635" s="3">
        <v>3.1375</v>
      </c>
      <c r="F1635" s="3">
        <v>2.7588</v>
      </c>
      <c r="G1635" s="3">
        <v>3.1353</v>
      </c>
    </row>
    <row r="1636" spans="1:7">
      <c r="A1636" s="2">
        <v>43434</v>
      </c>
      <c r="B1636" s="3">
        <v>2.7661</v>
      </c>
      <c r="C1636" s="3">
        <v>3.1359</v>
      </c>
      <c r="D1636" s="3">
        <v>2.77</v>
      </c>
      <c r="E1636" s="3">
        <v>3.1385</v>
      </c>
      <c r="F1636" s="3">
        <v>2.7681</v>
      </c>
      <c r="G1636" s="3">
        <v>3.1372</v>
      </c>
    </row>
    <row r="1637" spans="1:7">
      <c r="A1637" s="2">
        <v>43437</v>
      </c>
      <c r="B1637" s="3">
        <v>2.7575</v>
      </c>
      <c r="C1637" s="3">
        <v>3.1357</v>
      </c>
      <c r="D1637" s="3">
        <v>2.76</v>
      </c>
      <c r="E1637" s="3">
        <v>3.1393</v>
      </c>
      <c r="F1637" s="3">
        <v>2.7588</v>
      </c>
      <c r="G1637" s="3">
        <v>3.1375</v>
      </c>
    </row>
    <row r="1638" spans="1:7">
      <c r="A1638" s="2">
        <v>43438</v>
      </c>
      <c r="B1638" s="3">
        <v>2.722</v>
      </c>
      <c r="C1638" s="3">
        <v>3.085</v>
      </c>
      <c r="D1638" s="3">
        <v>2.7312</v>
      </c>
      <c r="E1638" s="3">
        <v>3.09</v>
      </c>
      <c r="F1638" s="3">
        <v>2.7266</v>
      </c>
      <c r="G1638" s="3">
        <v>3.0875</v>
      </c>
    </row>
    <row r="1639" spans="1:7">
      <c r="A1639" s="2">
        <v>43439</v>
      </c>
      <c r="B1639" s="3">
        <v>2.7075</v>
      </c>
      <c r="C1639" s="3">
        <v>3.075</v>
      </c>
      <c r="D1639" s="3">
        <v>2.715</v>
      </c>
      <c r="E1639" s="3">
        <v>3.0775</v>
      </c>
      <c r="F1639" s="3">
        <v>2.7113</v>
      </c>
      <c r="G1639" s="3">
        <v>3.0763</v>
      </c>
    </row>
    <row r="1640" spans="1:7">
      <c r="A1640" s="2">
        <v>43440</v>
      </c>
      <c r="B1640" s="3">
        <v>2.7073</v>
      </c>
      <c r="C1640" s="3">
        <v>3.0671</v>
      </c>
      <c r="D1640" s="3">
        <v>2.71</v>
      </c>
      <c r="E1640" s="3">
        <v>3.07</v>
      </c>
      <c r="F1640" s="3">
        <v>2.7087</v>
      </c>
      <c r="G1640" s="3">
        <v>3.0685</v>
      </c>
    </row>
    <row r="1641" spans="1:7">
      <c r="A1641" s="2">
        <v>43441</v>
      </c>
      <c r="B1641" s="3">
        <v>2.72</v>
      </c>
      <c r="C1641" s="3">
        <v>3.0775</v>
      </c>
      <c r="D1641" s="3">
        <v>2.7228</v>
      </c>
      <c r="E1641" s="3">
        <v>3.08</v>
      </c>
      <c r="F1641" s="3">
        <v>2.7214</v>
      </c>
      <c r="G1641" s="3">
        <v>3.0788</v>
      </c>
    </row>
    <row r="1642" spans="1:7">
      <c r="A1642" s="2">
        <v>43444</v>
      </c>
      <c r="B1642" s="3">
        <v>2.695</v>
      </c>
      <c r="C1642" s="3">
        <v>3.0429</v>
      </c>
      <c r="D1642" s="3">
        <v>2.6994</v>
      </c>
      <c r="E1642" s="3">
        <v>3.0451</v>
      </c>
      <c r="F1642" s="3">
        <v>2.6972</v>
      </c>
      <c r="G1642" s="3">
        <v>3.044</v>
      </c>
    </row>
    <row r="1643" spans="1:7">
      <c r="A1643" s="2">
        <v>43445</v>
      </c>
      <c r="B1643" s="3">
        <v>2.7</v>
      </c>
      <c r="C1643" s="3">
        <v>3.0478</v>
      </c>
      <c r="D1643" s="3">
        <v>2.7025</v>
      </c>
      <c r="E1643" s="3">
        <v>3.05</v>
      </c>
      <c r="F1643" s="3">
        <v>2.7013</v>
      </c>
      <c r="G1643" s="3">
        <v>3.0489</v>
      </c>
    </row>
    <row r="1644" spans="1:7">
      <c r="A1644" s="2">
        <v>43446</v>
      </c>
      <c r="B1644" s="3">
        <v>2.7075</v>
      </c>
      <c r="C1644" s="3">
        <v>3.055</v>
      </c>
      <c r="D1644" s="3">
        <v>2.7125</v>
      </c>
      <c r="E1644" s="3">
        <v>3.0585</v>
      </c>
      <c r="F1644" s="3">
        <v>2.71</v>
      </c>
      <c r="G1644" s="3">
        <v>3.0568</v>
      </c>
    </row>
    <row r="1645" spans="1:7">
      <c r="A1645" s="2">
        <v>43447</v>
      </c>
      <c r="B1645" s="3">
        <v>2.7369</v>
      </c>
      <c r="C1645" s="3">
        <v>3.12</v>
      </c>
      <c r="D1645" s="3">
        <v>2.7427</v>
      </c>
      <c r="E1645" s="3">
        <v>3.1275</v>
      </c>
      <c r="F1645" s="3">
        <v>2.7398</v>
      </c>
      <c r="G1645" s="3">
        <v>3.1238</v>
      </c>
    </row>
    <row r="1646" spans="1:7">
      <c r="A1646" s="2">
        <v>43448</v>
      </c>
      <c r="B1646" s="3">
        <v>2.74</v>
      </c>
      <c r="C1646" s="3">
        <v>3.11</v>
      </c>
      <c r="D1646" s="3">
        <v>2.745</v>
      </c>
      <c r="E1646" s="3">
        <v>3.1125</v>
      </c>
      <c r="F1646" s="3">
        <v>2.7425</v>
      </c>
      <c r="G1646" s="3">
        <v>3.1113</v>
      </c>
    </row>
    <row r="1647" spans="1:7">
      <c r="A1647" s="2">
        <v>43451</v>
      </c>
      <c r="B1647" s="3">
        <v>2.755</v>
      </c>
      <c r="C1647" s="3">
        <v>3.1356</v>
      </c>
      <c r="D1647" s="3">
        <v>2.7625</v>
      </c>
      <c r="E1647" s="3">
        <v>3.14</v>
      </c>
      <c r="F1647" s="3">
        <v>2.7588</v>
      </c>
      <c r="G1647" s="3">
        <v>3.1378</v>
      </c>
    </row>
    <row r="1648" spans="1:7">
      <c r="A1648" s="2">
        <v>43452</v>
      </c>
      <c r="B1648" s="3">
        <v>2.7325</v>
      </c>
      <c r="C1648" s="3">
        <v>3.1</v>
      </c>
      <c r="D1648" s="3">
        <v>2.7346</v>
      </c>
      <c r="E1648" s="3">
        <v>3.1025</v>
      </c>
      <c r="F1648" s="3">
        <v>2.7335</v>
      </c>
      <c r="G1648" s="3">
        <v>3.1013</v>
      </c>
    </row>
    <row r="1649" spans="1:7">
      <c r="A1649" s="2">
        <v>43453</v>
      </c>
      <c r="B1649" s="3">
        <v>2.715</v>
      </c>
      <c r="C1649" s="3">
        <v>3.0649</v>
      </c>
      <c r="D1649" s="3">
        <v>2.7187</v>
      </c>
      <c r="E1649" s="3">
        <v>3.0686</v>
      </c>
      <c r="F1649" s="3">
        <v>2.7168</v>
      </c>
      <c r="G1649" s="3">
        <v>3.0667</v>
      </c>
    </row>
    <row r="1650" spans="1:7">
      <c r="A1650" s="2">
        <v>43454</v>
      </c>
      <c r="B1650" s="3">
        <v>2.68</v>
      </c>
      <c r="C1650" s="3">
        <v>2.9964</v>
      </c>
      <c r="D1650" s="3">
        <v>2.6874</v>
      </c>
      <c r="E1650" s="3">
        <v>2.9979</v>
      </c>
      <c r="F1650" s="3">
        <v>2.6837</v>
      </c>
      <c r="G1650" s="3">
        <v>2.9971</v>
      </c>
    </row>
    <row r="1651" spans="1:7">
      <c r="A1651" s="2">
        <v>43455</v>
      </c>
      <c r="B1651" s="3">
        <v>2.685</v>
      </c>
      <c r="C1651" s="3">
        <v>3.0015</v>
      </c>
      <c r="D1651" s="3">
        <v>2.6897</v>
      </c>
      <c r="E1651" s="3">
        <v>3.0046</v>
      </c>
      <c r="F1651" s="3">
        <v>2.6873</v>
      </c>
      <c r="G1651" s="3">
        <v>3.003</v>
      </c>
    </row>
    <row r="1652" spans="1:7">
      <c r="A1652" s="2">
        <v>43458</v>
      </c>
      <c r="B1652" s="3">
        <v>2.6875</v>
      </c>
      <c r="C1652" s="3">
        <v>3.0089</v>
      </c>
      <c r="D1652" s="3">
        <v>2.69</v>
      </c>
      <c r="E1652" s="3">
        <v>3.0113</v>
      </c>
      <c r="F1652" s="3">
        <v>2.6888</v>
      </c>
      <c r="G1652" s="3">
        <v>3.0101</v>
      </c>
    </row>
    <row r="1653" spans="1:7">
      <c r="A1653" s="2">
        <v>43459</v>
      </c>
      <c r="B1653" s="3">
        <v>2.675</v>
      </c>
      <c r="C1653" s="3">
        <v>2.982</v>
      </c>
      <c r="D1653" s="3">
        <v>2.68</v>
      </c>
      <c r="E1653" s="3">
        <v>2.9852</v>
      </c>
      <c r="F1653" s="3">
        <v>2.6775</v>
      </c>
      <c r="G1653" s="3">
        <v>2.9836</v>
      </c>
    </row>
    <row r="1654" spans="1:7">
      <c r="A1654" s="2">
        <v>43460</v>
      </c>
      <c r="B1654" s="3">
        <v>2.66</v>
      </c>
      <c r="C1654" s="3">
        <v>2.9625</v>
      </c>
      <c r="D1654" s="3">
        <v>2.665</v>
      </c>
      <c r="E1654" s="3">
        <v>2.9675</v>
      </c>
      <c r="F1654" s="3">
        <v>2.6625</v>
      </c>
      <c r="G1654" s="3">
        <v>2.965</v>
      </c>
    </row>
    <row r="1655" spans="1:7">
      <c r="A1655" s="2">
        <v>43461</v>
      </c>
      <c r="B1655" s="3">
        <v>2.6541</v>
      </c>
      <c r="C1655" s="3">
        <v>2.9501</v>
      </c>
      <c r="D1655" s="3">
        <v>2.658</v>
      </c>
      <c r="E1655" s="3">
        <v>2.9528</v>
      </c>
      <c r="F1655" s="3">
        <v>2.656</v>
      </c>
      <c r="G1655" s="3">
        <v>2.9514</v>
      </c>
    </row>
    <row r="1656" spans="1:7">
      <c r="A1656" s="2">
        <v>43462</v>
      </c>
      <c r="B1656" s="3">
        <v>2.65</v>
      </c>
      <c r="C1656" s="3">
        <v>2.9127</v>
      </c>
      <c r="D1656" s="3">
        <v>2.6539</v>
      </c>
      <c r="E1656" s="3">
        <v>2.945</v>
      </c>
      <c r="F1656" s="3">
        <v>2.6519</v>
      </c>
      <c r="G1656" s="3">
        <v>2.9288</v>
      </c>
    </row>
    <row r="1657" spans="1:7">
      <c r="A1657" s="2">
        <v>43463</v>
      </c>
      <c r="B1657" s="3">
        <v>2.6175</v>
      </c>
      <c r="C1657" s="3">
        <v>2.92</v>
      </c>
      <c r="D1657" s="3">
        <v>2.625</v>
      </c>
      <c r="E1657" s="3">
        <v>2.94</v>
      </c>
      <c r="F1657" s="3">
        <v>2.6213</v>
      </c>
      <c r="G1657" s="3">
        <v>2.93</v>
      </c>
    </row>
    <row r="1658" spans="1:7">
      <c r="A1658" s="2">
        <v>43467</v>
      </c>
      <c r="B1658" s="3">
        <v>2.585</v>
      </c>
      <c r="C1658" s="3">
        <v>2.855</v>
      </c>
      <c r="D1658" s="3">
        <v>2.5925</v>
      </c>
      <c r="E1658" s="3">
        <v>2.86</v>
      </c>
      <c r="F1658" s="3">
        <v>2.5888</v>
      </c>
      <c r="G1658" s="3">
        <v>2.8575</v>
      </c>
    </row>
    <row r="1659" spans="1:7">
      <c r="A1659" s="2">
        <v>43468</v>
      </c>
      <c r="B1659" s="3">
        <v>2.5778</v>
      </c>
      <c r="C1659" s="3">
        <v>2.8475</v>
      </c>
      <c r="D1659" s="3">
        <v>2.585</v>
      </c>
      <c r="E1659" s="3">
        <v>2.8529</v>
      </c>
      <c r="F1659" s="3">
        <v>2.5814</v>
      </c>
      <c r="G1659" s="3">
        <v>2.8502</v>
      </c>
    </row>
    <row r="1660" spans="1:7">
      <c r="A1660" s="2">
        <v>43469</v>
      </c>
      <c r="B1660" s="3">
        <v>2.57</v>
      </c>
      <c r="C1660" s="3">
        <v>2.87</v>
      </c>
      <c r="D1660" s="3">
        <v>2.5728</v>
      </c>
      <c r="E1660" s="3">
        <v>2.8772</v>
      </c>
      <c r="F1660" s="3">
        <v>2.5714</v>
      </c>
      <c r="G1660" s="3">
        <v>2.8736</v>
      </c>
    </row>
    <row r="1661" spans="1:7">
      <c r="A1661" s="2">
        <v>43472</v>
      </c>
      <c r="B1661" s="3">
        <v>2.5229</v>
      </c>
      <c r="C1661" s="3">
        <v>2.8507</v>
      </c>
      <c r="D1661" s="3">
        <v>2.5291</v>
      </c>
      <c r="E1661" s="3">
        <v>2.8541</v>
      </c>
      <c r="F1661" s="3">
        <v>2.526</v>
      </c>
      <c r="G1661" s="3">
        <v>2.8524</v>
      </c>
    </row>
    <row r="1662" spans="1:7">
      <c r="A1662" s="2">
        <v>43473</v>
      </c>
      <c r="B1662" s="3">
        <v>2.4759</v>
      </c>
      <c r="C1662" s="3">
        <v>2.8278</v>
      </c>
      <c r="D1662" s="3">
        <v>2.4891</v>
      </c>
      <c r="E1662" s="3">
        <v>2.8305</v>
      </c>
      <c r="F1662" s="3">
        <v>2.4825</v>
      </c>
      <c r="G1662" s="3">
        <v>2.8292</v>
      </c>
    </row>
    <row r="1663" spans="1:7">
      <c r="A1663" s="2">
        <v>43474</v>
      </c>
      <c r="B1663" s="3">
        <v>2.4875</v>
      </c>
      <c r="C1663" s="3">
        <v>2.827</v>
      </c>
      <c r="D1663" s="3">
        <v>2.4975</v>
      </c>
      <c r="E1663" s="3">
        <v>2.828</v>
      </c>
      <c r="F1663" s="3">
        <v>2.4925</v>
      </c>
      <c r="G1663" s="3">
        <v>2.8275</v>
      </c>
    </row>
    <row r="1664" spans="1:7">
      <c r="A1664" s="2">
        <v>43475</v>
      </c>
      <c r="B1664" s="3">
        <v>2.5225</v>
      </c>
      <c r="C1664" s="3">
        <v>2.8575</v>
      </c>
      <c r="D1664" s="3">
        <v>2.5325</v>
      </c>
      <c r="E1664" s="3">
        <v>2.86</v>
      </c>
      <c r="F1664" s="3">
        <v>2.5275</v>
      </c>
      <c r="G1664" s="3">
        <v>2.8588</v>
      </c>
    </row>
    <row r="1665" spans="1:7">
      <c r="A1665" s="2">
        <v>43476</v>
      </c>
      <c r="B1665" s="3">
        <v>2.4949</v>
      </c>
      <c r="C1665" s="3">
        <v>2.8315</v>
      </c>
      <c r="D1665" s="3">
        <v>2.5077</v>
      </c>
      <c r="E1665" s="3">
        <v>2.8332</v>
      </c>
      <c r="F1665" s="3">
        <v>2.5013</v>
      </c>
      <c r="G1665" s="3">
        <v>2.8324</v>
      </c>
    </row>
    <row r="1666" spans="1:7">
      <c r="A1666" s="2">
        <v>43479</v>
      </c>
      <c r="B1666" s="3">
        <v>2.51</v>
      </c>
      <c r="C1666" s="3">
        <v>2.8325</v>
      </c>
      <c r="D1666" s="3">
        <v>2.5162</v>
      </c>
      <c r="E1666" s="3">
        <v>2.8375</v>
      </c>
      <c r="F1666" s="3">
        <v>2.5131</v>
      </c>
      <c r="G1666" s="3">
        <v>2.835</v>
      </c>
    </row>
    <row r="1667" spans="1:7">
      <c r="A1667" s="2">
        <v>43480</v>
      </c>
      <c r="B1667" s="3">
        <v>2.499</v>
      </c>
      <c r="C1667" s="3">
        <v>2.8219</v>
      </c>
      <c r="D1667" s="3">
        <v>2.5003</v>
      </c>
      <c r="E1667" s="3">
        <v>2.8254</v>
      </c>
      <c r="F1667" s="3">
        <v>2.4997</v>
      </c>
      <c r="G1667" s="3">
        <v>2.8236</v>
      </c>
    </row>
    <row r="1668" spans="1:7">
      <c r="A1668" s="2">
        <v>43481</v>
      </c>
      <c r="B1668" s="3">
        <v>2.485</v>
      </c>
      <c r="C1668" s="3">
        <v>2.7671</v>
      </c>
      <c r="D1668" s="3">
        <v>2.4914</v>
      </c>
      <c r="E1668" s="3">
        <v>2.7752</v>
      </c>
      <c r="F1668" s="3">
        <v>2.4882</v>
      </c>
      <c r="G1668" s="3">
        <v>2.7712</v>
      </c>
    </row>
    <row r="1669" spans="1:7">
      <c r="A1669" s="2">
        <v>43482</v>
      </c>
      <c r="B1669" s="3">
        <v>2.485</v>
      </c>
      <c r="C1669" s="3">
        <v>2.765</v>
      </c>
      <c r="D1669" s="3">
        <v>2.4889</v>
      </c>
      <c r="E1669" s="3">
        <v>2.77</v>
      </c>
      <c r="F1669" s="3">
        <v>2.4869</v>
      </c>
      <c r="G1669" s="3">
        <v>2.7675</v>
      </c>
    </row>
    <row r="1670" spans="1:7">
      <c r="A1670" s="2">
        <v>43483</v>
      </c>
      <c r="B1670" s="3">
        <v>2.5228</v>
      </c>
      <c r="C1670" s="3">
        <v>2.8218</v>
      </c>
      <c r="D1670" s="3">
        <v>2.5256</v>
      </c>
      <c r="E1670" s="3">
        <v>2.8244</v>
      </c>
      <c r="F1670" s="3">
        <v>2.5242</v>
      </c>
      <c r="G1670" s="3">
        <v>2.8231</v>
      </c>
    </row>
    <row r="1671" spans="1:7">
      <c r="A1671" s="2">
        <v>43486</v>
      </c>
      <c r="B1671" s="3">
        <v>2.5283</v>
      </c>
      <c r="C1671" s="3">
        <v>2.842</v>
      </c>
      <c r="D1671" s="3">
        <v>2.53</v>
      </c>
      <c r="E1671" s="3">
        <v>2.8441</v>
      </c>
      <c r="F1671" s="3">
        <v>2.5291</v>
      </c>
      <c r="G1671" s="3">
        <v>2.843</v>
      </c>
    </row>
    <row r="1672" spans="1:7">
      <c r="A1672" s="2">
        <v>43487</v>
      </c>
      <c r="B1672" s="3">
        <v>2.525</v>
      </c>
      <c r="C1672" s="3">
        <v>2.8423</v>
      </c>
      <c r="D1672" s="3">
        <v>2.5291</v>
      </c>
      <c r="E1672" s="3">
        <v>2.8473</v>
      </c>
      <c r="F1672" s="3">
        <v>2.5271</v>
      </c>
      <c r="G1672" s="3">
        <v>2.8448</v>
      </c>
    </row>
    <row r="1673" spans="1:7">
      <c r="A1673" s="2">
        <v>43488</v>
      </c>
      <c r="B1673" s="3">
        <v>2.53</v>
      </c>
      <c r="C1673" s="3">
        <v>2.8536</v>
      </c>
      <c r="D1673" s="3">
        <v>2.5375</v>
      </c>
      <c r="E1673" s="3">
        <v>2.8564</v>
      </c>
      <c r="F1673" s="3">
        <v>2.5338</v>
      </c>
      <c r="G1673" s="3">
        <v>2.855</v>
      </c>
    </row>
    <row r="1674" spans="1:7">
      <c r="A1674" s="2">
        <v>43489</v>
      </c>
      <c r="B1674" s="3">
        <v>2.5368</v>
      </c>
      <c r="C1674" s="3">
        <v>2.8525</v>
      </c>
      <c r="D1674" s="3">
        <v>2.545</v>
      </c>
      <c r="E1674" s="3">
        <v>2.855</v>
      </c>
      <c r="F1674" s="3">
        <v>2.5409</v>
      </c>
      <c r="G1674" s="3">
        <v>2.8538</v>
      </c>
    </row>
    <row r="1675" spans="1:7">
      <c r="A1675" s="2">
        <v>43490</v>
      </c>
      <c r="B1675" s="3">
        <v>2.545</v>
      </c>
      <c r="C1675" s="3">
        <v>2.875</v>
      </c>
      <c r="D1675" s="3">
        <v>2.5478</v>
      </c>
      <c r="E1675" s="3">
        <v>2.8797</v>
      </c>
      <c r="F1675" s="3">
        <v>2.5464</v>
      </c>
      <c r="G1675" s="3">
        <v>2.8773</v>
      </c>
    </row>
    <row r="1676" spans="1:7">
      <c r="A1676" s="2">
        <v>43493</v>
      </c>
      <c r="B1676" s="3">
        <v>2.5325</v>
      </c>
      <c r="C1676" s="3">
        <v>2.865</v>
      </c>
      <c r="D1676" s="3">
        <v>2.54</v>
      </c>
      <c r="E1676" s="3">
        <v>2.8675</v>
      </c>
      <c r="F1676" s="3">
        <v>2.5363</v>
      </c>
      <c r="G1676" s="3">
        <v>2.8663</v>
      </c>
    </row>
    <row r="1677" spans="1:7">
      <c r="A1677" s="2">
        <v>43494</v>
      </c>
      <c r="B1677" s="3">
        <v>2.5272</v>
      </c>
      <c r="C1677" s="3">
        <v>2.8417</v>
      </c>
      <c r="D1677" s="3">
        <v>2.5313</v>
      </c>
      <c r="E1677" s="3">
        <v>2.8433</v>
      </c>
      <c r="F1677" s="3">
        <v>2.5292</v>
      </c>
      <c r="G1677" s="3">
        <v>2.8425</v>
      </c>
    </row>
    <row r="1678" spans="1:7">
      <c r="A1678" s="2">
        <v>43495</v>
      </c>
      <c r="B1678" s="3">
        <v>2.5211</v>
      </c>
      <c r="C1678" s="3">
        <v>2.8293</v>
      </c>
      <c r="D1678" s="3">
        <v>2.5289</v>
      </c>
      <c r="E1678" s="3">
        <v>2.8325</v>
      </c>
      <c r="F1678" s="3">
        <v>2.525</v>
      </c>
      <c r="G1678" s="3">
        <v>2.8309</v>
      </c>
    </row>
    <row r="1679" spans="1:7">
      <c r="A1679" s="2">
        <v>43496</v>
      </c>
      <c r="B1679" s="3">
        <v>2.52</v>
      </c>
      <c r="C1679" s="3">
        <v>2.84</v>
      </c>
      <c r="D1679" s="3">
        <v>2.53</v>
      </c>
      <c r="E1679" s="3">
        <v>2.845</v>
      </c>
      <c r="F1679" s="3">
        <v>2.525</v>
      </c>
      <c r="G1679" s="3">
        <v>2.8425</v>
      </c>
    </row>
    <row r="1680" spans="1:7">
      <c r="A1680" s="2">
        <v>43497</v>
      </c>
      <c r="B1680" s="3">
        <v>2.5075</v>
      </c>
      <c r="C1680" s="3">
        <v>2.815</v>
      </c>
      <c r="D1680" s="3">
        <v>2.5114</v>
      </c>
      <c r="E1680" s="3">
        <v>2.82</v>
      </c>
      <c r="F1680" s="3">
        <v>2.5094</v>
      </c>
      <c r="G1680" s="3">
        <v>2.8175</v>
      </c>
    </row>
    <row r="1681" spans="1:7">
      <c r="A1681" s="2">
        <v>43498</v>
      </c>
      <c r="B1681" s="3">
        <v>2.49</v>
      </c>
      <c r="C1681" s="3">
        <v>2.81</v>
      </c>
      <c r="D1681" s="3">
        <v>2.51</v>
      </c>
      <c r="E1681" s="3">
        <v>2.8275</v>
      </c>
      <c r="F1681" s="3">
        <v>2.5</v>
      </c>
      <c r="G1681" s="3">
        <v>2.8188</v>
      </c>
    </row>
    <row r="1682" spans="1:7">
      <c r="A1682" s="2">
        <v>43499</v>
      </c>
      <c r="B1682" s="3">
        <v>2.485</v>
      </c>
      <c r="C1682" s="3">
        <v>2.81</v>
      </c>
      <c r="D1682" s="3">
        <v>2.52</v>
      </c>
      <c r="E1682" s="3">
        <v>2.8275</v>
      </c>
      <c r="F1682" s="3">
        <v>2.5025</v>
      </c>
      <c r="G1682" s="3">
        <v>2.8188</v>
      </c>
    </row>
    <row r="1683" spans="1:7">
      <c r="A1683" s="2">
        <v>43507</v>
      </c>
      <c r="B1683" s="3">
        <v>2.4925</v>
      </c>
      <c r="C1683" s="3">
        <v>2.7978</v>
      </c>
      <c r="D1683" s="3">
        <v>2.495</v>
      </c>
      <c r="E1683" s="3">
        <v>2.8025</v>
      </c>
      <c r="F1683" s="3">
        <v>2.4938</v>
      </c>
      <c r="G1683" s="3">
        <v>2.8002</v>
      </c>
    </row>
    <row r="1684" spans="1:7">
      <c r="A1684" s="2">
        <v>43508</v>
      </c>
      <c r="B1684" s="3">
        <v>2.4875</v>
      </c>
      <c r="C1684" s="3">
        <v>2.8025</v>
      </c>
      <c r="D1684" s="3">
        <v>2.49</v>
      </c>
      <c r="E1684" s="3">
        <v>2.81</v>
      </c>
      <c r="F1684" s="3">
        <v>2.4888</v>
      </c>
      <c r="G1684" s="3">
        <v>2.8063</v>
      </c>
    </row>
    <row r="1685" spans="1:7">
      <c r="A1685" s="2">
        <v>43509</v>
      </c>
      <c r="B1685" s="3">
        <v>2.475</v>
      </c>
      <c r="C1685" s="3">
        <v>2.805</v>
      </c>
      <c r="D1685" s="3">
        <v>2.48</v>
      </c>
      <c r="E1685" s="3">
        <v>2.808</v>
      </c>
      <c r="F1685" s="3">
        <v>2.4775</v>
      </c>
      <c r="G1685" s="3">
        <v>2.8065</v>
      </c>
    </row>
    <row r="1686" spans="1:7">
      <c r="A1686" s="2">
        <v>43510</v>
      </c>
      <c r="B1686" s="3">
        <v>2.4686</v>
      </c>
      <c r="C1686" s="3">
        <v>2.8146</v>
      </c>
      <c r="D1686" s="3">
        <v>2.4725</v>
      </c>
      <c r="E1686" s="3">
        <v>2.8175</v>
      </c>
      <c r="F1686" s="3">
        <v>2.4706</v>
      </c>
      <c r="G1686" s="3">
        <v>2.816</v>
      </c>
    </row>
    <row r="1687" spans="1:7">
      <c r="A1687" s="2">
        <v>43511</v>
      </c>
      <c r="B1687" s="3">
        <v>2.4675</v>
      </c>
      <c r="C1687" s="3">
        <v>2.815</v>
      </c>
      <c r="D1687" s="3">
        <v>2.4725</v>
      </c>
      <c r="E1687" s="3">
        <v>2.8175</v>
      </c>
      <c r="F1687" s="3">
        <v>2.47</v>
      </c>
      <c r="G1687" s="3">
        <v>2.8163</v>
      </c>
    </row>
    <row r="1688" spans="1:7">
      <c r="A1688" s="2">
        <v>43514</v>
      </c>
      <c r="B1688" s="3">
        <v>2.5019</v>
      </c>
      <c r="C1688" s="3">
        <v>2.8575</v>
      </c>
      <c r="D1688" s="3">
        <v>2.5054</v>
      </c>
      <c r="E1688" s="3">
        <v>2.8625</v>
      </c>
      <c r="F1688" s="3">
        <v>2.5036</v>
      </c>
      <c r="G1688" s="3">
        <v>2.86</v>
      </c>
    </row>
    <row r="1689" spans="1:7">
      <c r="A1689" s="2">
        <v>43515</v>
      </c>
      <c r="B1689" s="3">
        <v>2.4975</v>
      </c>
      <c r="C1689" s="3">
        <v>2.8529</v>
      </c>
      <c r="D1689" s="3">
        <v>2.5</v>
      </c>
      <c r="E1689" s="3">
        <v>2.8551</v>
      </c>
      <c r="F1689" s="3">
        <v>2.4988</v>
      </c>
      <c r="G1689" s="3">
        <v>2.854</v>
      </c>
    </row>
    <row r="1690" spans="1:7">
      <c r="A1690" s="2">
        <v>43516</v>
      </c>
      <c r="B1690" s="3">
        <v>2.4825</v>
      </c>
      <c r="C1690" s="3">
        <v>2.8474</v>
      </c>
      <c r="D1690" s="3">
        <v>2.4858</v>
      </c>
      <c r="E1690" s="3">
        <v>2.85</v>
      </c>
      <c r="F1690" s="3">
        <v>2.4841</v>
      </c>
      <c r="G1690" s="3">
        <v>2.8487</v>
      </c>
    </row>
    <row r="1691" spans="1:7">
      <c r="A1691" s="2">
        <v>43517</v>
      </c>
      <c r="B1691" s="3">
        <v>2.4999</v>
      </c>
      <c r="C1691" s="3">
        <v>2.8594</v>
      </c>
      <c r="D1691" s="3">
        <v>2.5025</v>
      </c>
      <c r="E1691" s="3">
        <v>2.8624</v>
      </c>
      <c r="F1691" s="3">
        <v>2.5012</v>
      </c>
      <c r="G1691" s="3">
        <v>2.8609</v>
      </c>
    </row>
    <row r="1692" spans="1:7">
      <c r="A1692" s="2">
        <v>43518</v>
      </c>
      <c r="B1692" s="3">
        <v>2.5225</v>
      </c>
      <c r="C1692" s="3">
        <v>2.885</v>
      </c>
      <c r="D1692" s="3">
        <v>2.5279</v>
      </c>
      <c r="E1692" s="3">
        <v>2.8867</v>
      </c>
      <c r="F1692" s="3">
        <v>2.5252</v>
      </c>
      <c r="G1692" s="3">
        <v>2.8858</v>
      </c>
    </row>
    <row r="1693" spans="1:7">
      <c r="A1693" s="2">
        <v>43521</v>
      </c>
      <c r="B1693" s="3">
        <v>2.5794</v>
      </c>
      <c r="C1693" s="3">
        <v>2.945</v>
      </c>
      <c r="D1693" s="3">
        <v>2.5805</v>
      </c>
      <c r="E1693" s="3">
        <v>2.95</v>
      </c>
      <c r="F1693" s="3">
        <v>2.5799</v>
      </c>
      <c r="G1693" s="3">
        <v>2.9475</v>
      </c>
    </row>
    <row r="1694" spans="1:7">
      <c r="A1694" s="2">
        <v>43522</v>
      </c>
      <c r="B1694" s="3">
        <v>2.5925</v>
      </c>
      <c r="C1694" s="3">
        <v>2.945</v>
      </c>
      <c r="D1694" s="3">
        <v>2.6</v>
      </c>
      <c r="E1694" s="3">
        <v>2.9516</v>
      </c>
      <c r="F1694" s="3">
        <v>2.5963</v>
      </c>
      <c r="G1694" s="3">
        <v>2.9483</v>
      </c>
    </row>
    <row r="1695" spans="1:7">
      <c r="A1695" s="2">
        <v>43523</v>
      </c>
      <c r="B1695" s="3">
        <v>2.6073</v>
      </c>
      <c r="C1695" s="3">
        <v>2.9518</v>
      </c>
      <c r="D1695" s="3">
        <v>2.61</v>
      </c>
      <c r="E1695" s="3">
        <v>2.9583</v>
      </c>
      <c r="F1695" s="3">
        <v>2.6087</v>
      </c>
      <c r="G1695" s="3">
        <v>2.9551</v>
      </c>
    </row>
    <row r="1696" spans="1:7">
      <c r="A1696" s="2">
        <v>43524</v>
      </c>
      <c r="B1696" s="3">
        <v>2.635</v>
      </c>
      <c r="C1696" s="3">
        <v>2.9906</v>
      </c>
      <c r="D1696" s="3">
        <v>2.6387</v>
      </c>
      <c r="E1696" s="3">
        <v>2.995</v>
      </c>
      <c r="F1696" s="3">
        <v>2.6369</v>
      </c>
      <c r="G1696" s="3">
        <v>2.9928</v>
      </c>
    </row>
    <row r="1697" spans="1:7">
      <c r="A1697" s="2">
        <v>43525</v>
      </c>
      <c r="B1697" s="3">
        <v>2.6343</v>
      </c>
      <c r="C1697" s="3">
        <v>3.0184</v>
      </c>
      <c r="D1697" s="3">
        <v>2.6515</v>
      </c>
      <c r="E1697" s="3">
        <v>3.0293</v>
      </c>
      <c r="F1697" s="3">
        <v>2.6429</v>
      </c>
      <c r="G1697" s="3">
        <v>3.0238</v>
      </c>
    </row>
    <row r="1698" spans="1:7">
      <c r="A1698" s="2">
        <v>43528</v>
      </c>
      <c r="B1698" s="3">
        <v>2.6436</v>
      </c>
      <c r="C1698" s="3">
        <v>3.0457</v>
      </c>
      <c r="D1698" s="3">
        <v>2.6493</v>
      </c>
      <c r="E1698" s="3">
        <v>3.0503</v>
      </c>
      <c r="F1698" s="3">
        <v>2.6464</v>
      </c>
      <c r="G1698" s="3">
        <v>3.048</v>
      </c>
    </row>
    <row r="1699" spans="1:7">
      <c r="A1699" s="2">
        <v>43529</v>
      </c>
      <c r="B1699" s="3">
        <v>2.665</v>
      </c>
      <c r="C1699" s="3">
        <v>3.0725</v>
      </c>
      <c r="D1699" s="3">
        <v>2.6798</v>
      </c>
      <c r="E1699" s="3">
        <v>3.0775</v>
      </c>
      <c r="F1699" s="3">
        <v>2.6724</v>
      </c>
      <c r="G1699" s="3">
        <v>3.075</v>
      </c>
    </row>
    <row r="1700" spans="1:7">
      <c r="A1700" s="2">
        <v>43530</v>
      </c>
      <c r="B1700" s="3">
        <v>2.6197</v>
      </c>
      <c r="C1700" s="3">
        <v>3.0121</v>
      </c>
      <c r="D1700" s="3">
        <v>2.6327</v>
      </c>
      <c r="E1700" s="3">
        <v>3.0127</v>
      </c>
      <c r="F1700" s="3">
        <v>2.6262</v>
      </c>
      <c r="G1700" s="3">
        <v>3.0124</v>
      </c>
    </row>
    <row r="1701" spans="1:7">
      <c r="A1701" s="2">
        <v>43531</v>
      </c>
      <c r="B1701" s="3">
        <v>2.5718</v>
      </c>
      <c r="C1701" s="3">
        <v>2.9473</v>
      </c>
      <c r="D1701" s="3">
        <v>2.58</v>
      </c>
      <c r="E1701" s="3">
        <v>2.9522</v>
      </c>
      <c r="F1701" s="3">
        <v>2.5759</v>
      </c>
      <c r="G1701" s="3">
        <v>2.9497</v>
      </c>
    </row>
    <row r="1702" spans="1:7">
      <c r="A1702" s="2">
        <v>43532</v>
      </c>
      <c r="B1702" s="3">
        <v>2.565</v>
      </c>
      <c r="C1702" s="3">
        <v>2.925</v>
      </c>
      <c r="D1702" s="3">
        <v>2.57</v>
      </c>
      <c r="E1702" s="3">
        <v>2.9285</v>
      </c>
      <c r="F1702" s="3">
        <v>2.5675</v>
      </c>
      <c r="G1702" s="3">
        <v>2.9268</v>
      </c>
    </row>
    <row r="1703" spans="1:7">
      <c r="A1703" s="2">
        <v>43535</v>
      </c>
      <c r="B1703" s="3">
        <v>2.5829</v>
      </c>
      <c r="C1703" s="3">
        <v>2.9461</v>
      </c>
      <c r="D1703" s="3">
        <v>2.5874</v>
      </c>
      <c r="E1703" s="3">
        <v>2.9487</v>
      </c>
      <c r="F1703" s="3">
        <v>2.5852</v>
      </c>
      <c r="G1703" s="3">
        <v>2.9474</v>
      </c>
    </row>
    <row r="1704" spans="1:7">
      <c r="A1704" s="2">
        <v>43536</v>
      </c>
      <c r="B1704" s="3">
        <v>2.605</v>
      </c>
      <c r="C1704" s="3">
        <v>2.965</v>
      </c>
      <c r="D1704" s="3">
        <v>2.615</v>
      </c>
      <c r="E1704" s="3">
        <v>2.9691</v>
      </c>
      <c r="F1704" s="3">
        <v>2.61</v>
      </c>
      <c r="G1704" s="3">
        <v>2.9671</v>
      </c>
    </row>
    <row r="1705" spans="1:7">
      <c r="A1705" s="2">
        <v>43537</v>
      </c>
      <c r="B1705" s="3">
        <v>2.599</v>
      </c>
      <c r="C1705" s="3">
        <v>2.9585</v>
      </c>
      <c r="D1705" s="3">
        <v>2.6025</v>
      </c>
      <c r="E1705" s="3">
        <v>2.9604</v>
      </c>
      <c r="F1705" s="3">
        <v>2.6008</v>
      </c>
      <c r="G1705" s="3">
        <v>2.9594</v>
      </c>
    </row>
    <row r="1706" spans="1:7">
      <c r="A1706" s="2">
        <v>43538</v>
      </c>
      <c r="B1706" s="3">
        <v>2.6325</v>
      </c>
      <c r="C1706" s="3">
        <v>2.99</v>
      </c>
      <c r="D1706" s="3">
        <v>2.64</v>
      </c>
      <c r="E1706" s="3">
        <v>2.995</v>
      </c>
      <c r="F1706" s="3">
        <v>2.6363</v>
      </c>
      <c r="G1706" s="3">
        <v>2.9925</v>
      </c>
    </row>
    <row r="1707" spans="1:7">
      <c r="A1707" s="2">
        <v>43539</v>
      </c>
      <c r="B1707" s="3">
        <v>2.6081</v>
      </c>
      <c r="C1707" s="3">
        <v>2.971</v>
      </c>
      <c r="D1707" s="3">
        <v>2.62</v>
      </c>
      <c r="E1707" s="3">
        <v>2.9757</v>
      </c>
      <c r="F1707" s="3">
        <v>2.6141</v>
      </c>
      <c r="G1707" s="3">
        <v>2.9734</v>
      </c>
    </row>
    <row r="1708" spans="1:7">
      <c r="A1708" s="2">
        <v>43542</v>
      </c>
      <c r="B1708" s="3">
        <v>2.635</v>
      </c>
      <c r="C1708" s="3">
        <v>2.995</v>
      </c>
      <c r="D1708" s="3">
        <v>2.64</v>
      </c>
      <c r="E1708" s="3">
        <v>2.9994</v>
      </c>
      <c r="F1708" s="3">
        <v>2.6375</v>
      </c>
      <c r="G1708" s="3">
        <v>2.9972</v>
      </c>
    </row>
    <row r="1709" spans="1:7">
      <c r="A1709" s="2">
        <v>43543</v>
      </c>
      <c r="B1709" s="3">
        <v>2.6323</v>
      </c>
      <c r="C1709" s="3">
        <v>2.9825</v>
      </c>
      <c r="D1709" s="3">
        <v>2.6367</v>
      </c>
      <c r="E1709" s="3">
        <v>2.9875</v>
      </c>
      <c r="F1709" s="3">
        <v>2.6345</v>
      </c>
      <c r="G1709" s="3">
        <v>2.985</v>
      </c>
    </row>
    <row r="1710" spans="1:7">
      <c r="A1710" s="2">
        <v>43544</v>
      </c>
      <c r="B1710" s="3">
        <v>2.6203</v>
      </c>
      <c r="C1710" s="3">
        <v>2.9673</v>
      </c>
      <c r="D1710" s="3">
        <v>2.6231</v>
      </c>
      <c r="E1710" s="3">
        <v>2.9725</v>
      </c>
      <c r="F1710" s="3">
        <v>2.6217</v>
      </c>
      <c r="G1710" s="3">
        <v>2.9699</v>
      </c>
    </row>
    <row r="1711" spans="1:7">
      <c r="A1711" s="2">
        <v>43545</v>
      </c>
      <c r="B1711" s="3">
        <v>2.5984</v>
      </c>
      <c r="C1711" s="3">
        <v>2.9375</v>
      </c>
      <c r="D1711" s="3">
        <v>2.605</v>
      </c>
      <c r="E1711" s="3">
        <v>2.94</v>
      </c>
      <c r="F1711" s="3">
        <v>2.6017</v>
      </c>
      <c r="G1711" s="3">
        <v>2.9388</v>
      </c>
    </row>
    <row r="1712" spans="1:7">
      <c r="A1712" s="2">
        <v>43546</v>
      </c>
      <c r="B1712" s="3">
        <v>2.5975</v>
      </c>
      <c r="C1712" s="3">
        <v>2.9325</v>
      </c>
      <c r="D1712" s="3">
        <v>2.6</v>
      </c>
      <c r="E1712" s="3">
        <v>2.935</v>
      </c>
      <c r="F1712" s="3">
        <v>2.5988</v>
      </c>
      <c r="G1712" s="3">
        <v>2.9338</v>
      </c>
    </row>
    <row r="1713" spans="1:7">
      <c r="A1713" s="2">
        <v>43549</v>
      </c>
      <c r="B1713" s="3">
        <v>2.5725</v>
      </c>
      <c r="C1713" s="3">
        <v>2.8844</v>
      </c>
      <c r="D1713" s="3">
        <v>2.5775</v>
      </c>
      <c r="E1713" s="3">
        <v>2.8875</v>
      </c>
      <c r="F1713" s="3">
        <v>2.575</v>
      </c>
      <c r="G1713" s="3">
        <v>2.886</v>
      </c>
    </row>
    <row r="1714" spans="1:7">
      <c r="A1714" s="2">
        <v>43550</v>
      </c>
      <c r="B1714" s="3">
        <v>2.6105</v>
      </c>
      <c r="C1714" s="3">
        <v>2.917</v>
      </c>
      <c r="D1714" s="3">
        <v>2.6175</v>
      </c>
      <c r="E1714" s="3">
        <v>2.9238</v>
      </c>
      <c r="F1714" s="3">
        <v>2.614</v>
      </c>
      <c r="G1714" s="3">
        <v>2.9204</v>
      </c>
    </row>
    <row r="1715" spans="1:7">
      <c r="A1715" s="2">
        <v>43551</v>
      </c>
      <c r="B1715" s="3">
        <v>2.6125</v>
      </c>
      <c r="C1715" s="3">
        <v>2.915</v>
      </c>
      <c r="D1715" s="3">
        <v>2.615</v>
      </c>
      <c r="E1715" s="3">
        <v>2.92</v>
      </c>
      <c r="F1715" s="3">
        <v>2.6138</v>
      </c>
      <c r="G1715" s="3">
        <v>2.9175</v>
      </c>
    </row>
    <row r="1716" spans="1:7">
      <c r="A1716" s="2">
        <v>43552</v>
      </c>
      <c r="B1716" s="3">
        <v>2.605</v>
      </c>
      <c r="C1716" s="3">
        <v>2.9066</v>
      </c>
      <c r="D1716" s="3">
        <v>2.61</v>
      </c>
      <c r="E1716" s="3">
        <v>2.9107</v>
      </c>
      <c r="F1716" s="3">
        <v>2.6075</v>
      </c>
      <c r="G1716" s="3">
        <v>2.9087</v>
      </c>
    </row>
    <row r="1717" spans="1:7">
      <c r="A1717" s="2">
        <v>43553</v>
      </c>
      <c r="B1717" s="3">
        <v>2.6125</v>
      </c>
      <c r="C1717" s="3">
        <v>2.935</v>
      </c>
      <c r="D1717" s="3">
        <v>2.6175</v>
      </c>
      <c r="E1717" s="3">
        <v>2.94</v>
      </c>
      <c r="F1717" s="3">
        <v>2.615</v>
      </c>
      <c r="G1717" s="3">
        <v>2.9375</v>
      </c>
    </row>
    <row r="1718" spans="1:7">
      <c r="A1718" s="2">
        <v>43556</v>
      </c>
      <c r="B1718" s="3">
        <v>2.6547</v>
      </c>
      <c r="C1718" s="3">
        <v>3.0098</v>
      </c>
      <c r="D1718" s="3">
        <v>2.6613</v>
      </c>
      <c r="E1718" s="3">
        <v>3.0147</v>
      </c>
      <c r="F1718" s="3">
        <v>2.658</v>
      </c>
      <c r="G1718" s="3">
        <v>3.0123</v>
      </c>
    </row>
    <row r="1719" spans="1:7">
      <c r="A1719" s="2">
        <v>43557</v>
      </c>
      <c r="B1719" s="3">
        <v>2.65</v>
      </c>
      <c r="C1719" s="3">
        <v>3.0275</v>
      </c>
      <c r="D1719" s="3">
        <v>2.655</v>
      </c>
      <c r="E1719" s="3">
        <v>3.0301</v>
      </c>
      <c r="F1719" s="3">
        <v>2.6525</v>
      </c>
      <c r="G1719" s="3">
        <v>3.0288</v>
      </c>
    </row>
    <row r="1720" spans="1:7">
      <c r="A1720" s="2">
        <v>43558</v>
      </c>
      <c r="B1720" s="3">
        <v>2.675</v>
      </c>
      <c r="C1720" s="3">
        <v>3.0704</v>
      </c>
      <c r="D1720" s="3">
        <v>2.6775</v>
      </c>
      <c r="E1720" s="3">
        <v>3.0729</v>
      </c>
      <c r="F1720" s="3">
        <v>2.6763</v>
      </c>
      <c r="G1720" s="3">
        <v>3.0717</v>
      </c>
    </row>
    <row r="1721" spans="1:7">
      <c r="A1721" s="2">
        <v>43559</v>
      </c>
      <c r="B1721" s="3">
        <v>2.7</v>
      </c>
      <c r="C1721" s="3">
        <v>3.092</v>
      </c>
      <c r="D1721" s="3">
        <v>2.705</v>
      </c>
      <c r="E1721" s="3">
        <v>3.0957</v>
      </c>
      <c r="F1721" s="3">
        <v>2.7025</v>
      </c>
      <c r="G1721" s="3">
        <v>3.0938</v>
      </c>
    </row>
    <row r="1722" spans="1:7">
      <c r="A1722" s="2">
        <v>43563</v>
      </c>
      <c r="B1722" s="3">
        <v>2.7015</v>
      </c>
      <c r="C1722" s="3">
        <v>3.08</v>
      </c>
      <c r="D1722" s="3">
        <v>2.7072</v>
      </c>
      <c r="E1722" s="3">
        <v>3.0825</v>
      </c>
      <c r="F1722" s="3">
        <v>2.7043</v>
      </c>
      <c r="G1722" s="3">
        <v>3.0813</v>
      </c>
    </row>
    <row r="1723" spans="1:7">
      <c r="A1723" s="2">
        <v>43564</v>
      </c>
      <c r="B1723" s="3">
        <v>2.7566</v>
      </c>
      <c r="C1723" s="3">
        <v>3.1331</v>
      </c>
      <c r="D1723" s="3">
        <v>2.7594</v>
      </c>
      <c r="E1723" s="3">
        <v>3.1355</v>
      </c>
      <c r="F1723" s="3">
        <v>2.758</v>
      </c>
      <c r="G1723" s="3">
        <v>3.1343</v>
      </c>
    </row>
    <row r="1724" spans="1:7">
      <c r="A1724" s="2">
        <v>43565</v>
      </c>
      <c r="B1724" s="3">
        <v>2.7411</v>
      </c>
      <c r="C1724" s="3">
        <v>3.1096</v>
      </c>
      <c r="D1724" s="3">
        <v>2.7516</v>
      </c>
      <c r="E1724" s="3">
        <v>3.1138</v>
      </c>
      <c r="F1724" s="3">
        <v>2.7463</v>
      </c>
      <c r="G1724" s="3">
        <v>3.1117</v>
      </c>
    </row>
    <row r="1725" spans="1:7">
      <c r="A1725" s="2">
        <v>43566</v>
      </c>
      <c r="B1725" s="3">
        <v>2.7311</v>
      </c>
      <c r="C1725" s="3">
        <v>3.0749</v>
      </c>
      <c r="D1725" s="3">
        <v>2.7363</v>
      </c>
      <c r="E1725" s="3">
        <v>3.0789</v>
      </c>
      <c r="F1725" s="3">
        <v>2.7337</v>
      </c>
      <c r="G1725" s="3">
        <v>3.0769</v>
      </c>
    </row>
    <row r="1726" spans="1:7">
      <c r="A1726" s="2">
        <v>43567</v>
      </c>
      <c r="B1726" s="3">
        <v>2.78</v>
      </c>
      <c r="C1726" s="3">
        <v>3.1514</v>
      </c>
      <c r="D1726" s="3">
        <v>2.8</v>
      </c>
      <c r="E1726" s="3">
        <v>3.1546</v>
      </c>
      <c r="F1726" s="3">
        <v>2.79</v>
      </c>
      <c r="G1726" s="3">
        <v>3.153</v>
      </c>
    </row>
    <row r="1727" spans="1:7">
      <c r="A1727" s="2">
        <v>43570</v>
      </c>
      <c r="B1727" s="3">
        <v>2.845</v>
      </c>
      <c r="C1727" s="3">
        <v>3.195</v>
      </c>
      <c r="D1727" s="3">
        <v>2.855</v>
      </c>
      <c r="E1727" s="3">
        <v>3.1987</v>
      </c>
      <c r="F1727" s="3">
        <v>2.85</v>
      </c>
      <c r="G1727" s="3">
        <v>3.1968</v>
      </c>
    </row>
    <row r="1728" spans="1:7">
      <c r="A1728" s="2">
        <v>43571</v>
      </c>
      <c r="B1728" s="3">
        <v>2.8814</v>
      </c>
      <c r="C1728" s="3">
        <v>3.2336</v>
      </c>
      <c r="D1728" s="3">
        <v>2.8885</v>
      </c>
      <c r="E1728" s="3">
        <v>3.2377</v>
      </c>
      <c r="F1728" s="3">
        <v>2.8849</v>
      </c>
      <c r="G1728" s="3">
        <v>3.2356</v>
      </c>
    </row>
    <row r="1729" spans="1:7">
      <c r="A1729" s="2">
        <v>43572</v>
      </c>
      <c r="B1729" s="3">
        <v>2.8921</v>
      </c>
      <c r="C1729" s="3">
        <v>3.245</v>
      </c>
      <c r="D1729" s="3">
        <v>2.898</v>
      </c>
      <c r="E1729" s="3">
        <v>3.2471</v>
      </c>
      <c r="F1729" s="3">
        <v>2.8951</v>
      </c>
      <c r="G1729" s="3">
        <v>3.246</v>
      </c>
    </row>
    <row r="1730" spans="1:7">
      <c r="A1730" s="2">
        <v>43573</v>
      </c>
      <c r="B1730" s="3">
        <v>2.8384</v>
      </c>
      <c r="C1730" s="3">
        <v>3.1911</v>
      </c>
      <c r="D1730" s="3">
        <v>2.845</v>
      </c>
      <c r="E1730" s="3">
        <v>3.1953</v>
      </c>
      <c r="F1730" s="3">
        <v>2.8417</v>
      </c>
      <c r="G1730" s="3">
        <v>3.1932</v>
      </c>
    </row>
    <row r="1731" spans="1:7">
      <c r="A1731" s="2">
        <v>43574</v>
      </c>
      <c r="B1731" s="3">
        <v>2.8392</v>
      </c>
      <c r="C1731" s="3">
        <v>3.1994</v>
      </c>
      <c r="D1731" s="3">
        <v>2.845</v>
      </c>
      <c r="E1731" s="3">
        <v>3.2033</v>
      </c>
      <c r="F1731" s="3">
        <v>2.8421</v>
      </c>
      <c r="G1731" s="3">
        <v>3.2014</v>
      </c>
    </row>
    <row r="1732" spans="1:7">
      <c r="A1732" s="2">
        <v>43577</v>
      </c>
      <c r="B1732" s="3">
        <v>2.9078</v>
      </c>
      <c r="C1732" s="3">
        <v>3.2609</v>
      </c>
      <c r="D1732" s="3">
        <v>2.915</v>
      </c>
      <c r="E1732" s="3">
        <v>3.2643</v>
      </c>
      <c r="F1732" s="3">
        <v>2.9114</v>
      </c>
      <c r="G1732" s="3">
        <v>3.2626</v>
      </c>
    </row>
    <row r="1733" spans="1:7">
      <c r="A1733" s="2">
        <v>43578</v>
      </c>
      <c r="B1733" s="3">
        <v>2.9176</v>
      </c>
      <c r="C1733" s="3">
        <v>3.2618</v>
      </c>
      <c r="D1733" s="3">
        <v>2.9237</v>
      </c>
      <c r="E1733" s="3">
        <v>3.2675</v>
      </c>
      <c r="F1733" s="3">
        <v>2.9207</v>
      </c>
      <c r="G1733" s="3">
        <v>3.2647</v>
      </c>
    </row>
    <row r="1734" spans="1:7">
      <c r="A1734" s="2">
        <v>43579</v>
      </c>
      <c r="B1734" s="3">
        <v>2.96</v>
      </c>
      <c r="C1734" s="3">
        <v>3.31</v>
      </c>
      <c r="D1734" s="3">
        <v>2.9626</v>
      </c>
      <c r="E1734" s="3">
        <v>3.315</v>
      </c>
      <c r="F1734" s="3">
        <v>2.9613</v>
      </c>
      <c r="G1734" s="3">
        <v>3.3125</v>
      </c>
    </row>
    <row r="1735" spans="1:7">
      <c r="A1735" s="2">
        <v>43580</v>
      </c>
      <c r="B1735" s="3">
        <v>2.9134</v>
      </c>
      <c r="C1735" s="3">
        <v>3.2691</v>
      </c>
      <c r="D1735" s="3">
        <v>2.9175</v>
      </c>
      <c r="E1735" s="3">
        <v>3.2725</v>
      </c>
      <c r="F1735" s="3">
        <v>2.9154</v>
      </c>
      <c r="G1735" s="3">
        <v>3.2708</v>
      </c>
    </row>
    <row r="1736" spans="1:7">
      <c r="A1736" s="2">
        <v>43581</v>
      </c>
      <c r="B1736" s="3">
        <v>2.8675</v>
      </c>
      <c r="C1736" s="3">
        <v>3.2113</v>
      </c>
      <c r="D1736" s="3">
        <v>2.87</v>
      </c>
      <c r="E1736" s="3">
        <v>3.215</v>
      </c>
      <c r="F1736" s="3">
        <v>2.8688</v>
      </c>
      <c r="G1736" s="3">
        <v>3.2132</v>
      </c>
    </row>
    <row r="1737" spans="1:7">
      <c r="A1737" s="2">
        <v>43583</v>
      </c>
      <c r="B1737" s="3">
        <v>2.865</v>
      </c>
      <c r="C1737" s="3">
        <v>3.21</v>
      </c>
      <c r="D1737" s="3">
        <v>2.875</v>
      </c>
      <c r="E1737" s="3">
        <v>3.2137</v>
      </c>
      <c r="F1737" s="3">
        <v>2.87</v>
      </c>
      <c r="G1737" s="3">
        <v>3.2118</v>
      </c>
    </row>
    <row r="1738" spans="1:7">
      <c r="A1738" s="2">
        <v>43584</v>
      </c>
      <c r="B1738" s="3">
        <v>2.875</v>
      </c>
      <c r="C1738" s="3">
        <v>3.2192</v>
      </c>
      <c r="D1738" s="3">
        <v>2.88</v>
      </c>
      <c r="E1738" s="3">
        <v>3.2229</v>
      </c>
      <c r="F1738" s="3">
        <v>2.8775</v>
      </c>
      <c r="G1738" s="3">
        <v>3.2211</v>
      </c>
    </row>
    <row r="1739" spans="1:7">
      <c r="A1739" s="2">
        <v>43585</v>
      </c>
      <c r="B1739" s="3">
        <v>2.8375</v>
      </c>
      <c r="C1739" s="3">
        <v>3.165</v>
      </c>
      <c r="D1739" s="3">
        <v>2.8425</v>
      </c>
      <c r="E1739" s="3">
        <v>3.17</v>
      </c>
      <c r="F1739" s="3">
        <v>2.84</v>
      </c>
      <c r="G1739" s="3">
        <v>3.1675</v>
      </c>
    </row>
    <row r="1740" spans="1:7">
      <c r="A1740" s="2">
        <v>43590</v>
      </c>
      <c r="B1740" s="3">
        <v>2.8375</v>
      </c>
      <c r="C1740" s="3">
        <v>3.1625</v>
      </c>
      <c r="D1740" s="3">
        <v>2.84</v>
      </c>
      <c r="E1740" s="3">
        <v>3.18</v>
      </c>
      <c r="F1740" s="3">
        <v>2.8388</v>
      </c>
      <c r="G1740" s="3">
        <v>3.1713</v>
      </c>
    </row>
    <row r="1741" spans="1:7">
      <c r="A1741" s="2">
        <v>43591</v>
      </c>
      <c r="B1741" s="3">
        <v>2.7878</v>
      </c>
      <c r="C1741" s="3">
        <v>3.12</v>
      </c>
      <c r="D1741" s="3">
        <v>2.7925</v>
      </c>
      <c r="E1741" s="3">
        <v>3.1225</v>
      </c>
      <c r="F1741" s="3">
        <v>2.7902</v>
      </c>
      <c r="G1741" s="3">
        <v>3.1213</v>
      </c>
    </row>
    <row r="1742" spans="1:7">
      <c r="A1742" s="2">
        <v>43592</v>
      </c>
      <c r="B1742" s="3">
        <v>2.76</v>
      </c>
      <c r="C1742" s="3">
        <v>3.115</v>
      </c>
      <c r="D1742" s="3">
        <v>2.765</v>
      </c>
      <c r="E1742" s="3">
        <v>3.12</v>
      </c>
      <c r="F1742" s="3">
        <v>2.7625</v>
      </c>
      <c r="G1742" s="3">
        <v>3.1175</v>
      </c>
    </row>
    <row r="1743" spans="1:7">
      <c r="A1743" s="2">
        <v>43593</v>
      </c>
      <c r="B1743" s="3">
        <v>2.745</v>
      </c>
      <c r="C1743" s="3">
        <v>3.0965</v>
      </c>
      <c r="D1743" s="3">
        <v>2.75</v>
      </c>
      <c r="E1743" s="3">
        <v>3.1</v>
      </c>
      <c r="F1743" s="3">
        <v>2.7475</v>
      </c>
      <c r="G1743" s="3">
        <v>3.0983</v>
      </c>
    </row>
    <row r="1744" spans="1:7">
      <c r="A1744" s="2">
        <v>43594</v>
      </c>
      <c r="B1744" s="3">
        <v>2.71</v>
      </c>
      <c r="C1744" s="3">
        <v>3.0525</v>
      </c>
      <c r="D1744" s="3">
        <v>2.7155</v>
      </c>
      <c r="E1744" s="3">
        <v>3.06</v>
      </c>
      <c r="F1744" s="3">
        <v>2.7128</v>
      </c>
      <c r="G1744" s="3">
        <v>3.0563</v>
      </c>
    </row>
    <row r="1745" spans="1:7">
      <c r="A1745" s="2">
        <v>43595</v>
      </c>
      <c r="B1745" s="3">
        <v>2.7275</v>
      </c>
      <c r="C1745" s="3">
        <v>3.0853</v>
      </c>
      <c r="D1745" s="3">
        <v>2.7325</v>
      </c>
      <c r="E1745" s="3">
        <v>3.09</v>
      </c>
      <c r="F1745" s="3">
        <v>2.73</v>
      </c>
      <c r="G1745" s="3">
        <v>3.0876</v>
      </c>
    </row>
    <row r="1746" spans="1:7">
      <c r="A1746" s="2">
        <v>43598</v>
      </c>
      <c r="B1746" s="3">
        <v>2.7025</v>
      </c>
      <c r="C1746" s="3">
        <v>3.0475</v>
      </c>
      <c r="D1746" s="3">
        <v>2.705</v>
      </c>
      <c r="E1746" s="3">
        <v>3.05</v>
      </c>
      <c r="F1746" s="3">
        <v>2.7038</v>
      </c>
      <c r="G1746" s="3">
        <v>3.0488</v>
      </c>
    </row>
    <row r="1747" spans="1:7">
      <c r="A1747" s="2">
        <v>43599</v>
      </c>
      <c r="B1747" s="3">
        <v>2.7225</v>
      </c>
      <c r="C1747" s="3">
        <v>3.065</v>
      </c>
      <c r="D1747" s="3">
        <v>2.7257</v>
      </c>
      <c r="E1747" s="3">
        <v>3.0682</v>
      </c>
      <c r="F1747" s="3">
        <v>2.7241</v>
      </c>
      <c r="G1747" s="3">
        <v>3.0666</v>
      </c>
    </row>
    <row r="1748" spans="1:7">
      <c r="A1748" s="2">
        <v>43600</v>
      </c>
      <c r="B1748" s="3">
        <v>2.72</v>
      </c>
      <c r="C1748" s="3">
        <v>3.0625</v>
      </c>
      <c r="D1748" s="3">
        <v>2.725</v>
      </c>
      <c r="E1748" s="3">
        <v>3.065</v>
      </c>
      <c r="F1748" s="3">
        <v>2.7225</v>
      </c>
      <c r="G1748" s="3">
        <v>3.0638</v>
      </c>
    </row>
    <row r="1749" spans="1:7">
      <c r="A1749" s="2">
        <v>43601</v>
      </c>
      <c r="B1749" s="3">
        <v>2.7125</v>
      </c>
      <c r="C1749" s="3">
        <v>3.0433</v>
      </c>
      <c r="D1749" s="3">
        <v>2.715</v>
      </c>
      <c r="E1749" s="3">
        <v>3.0469</v>
      </c>
      <c r="F1749" s="3">
        <v>2.7138</v>
      </c>
      <c r="G1749" s="3">
        <v>3.0451</v>
      </c>
    </row>
    <row r="1750" spans="1:7">
      <c r="A1750" s="2">
        <v>43602</v>
      </c>
      <c r="B1750" s="3">
        <v>2.7075</v>
      </c>
      <c r="C1750" s="3">
        <v>3.025</v>
      </c>
      <c r="D1750" s="3">
        <v>2.71</v>
      </c>
      <c r="E1750" s="3">
        <v>3.03</v>
      </c>
      <c r="F1750" s="3">
        <v>2.7088</v>
      </c>
      <c r="G1750" s="3">
        <v>3.0275</v>
      </c>
    </row>
    <row r="1751" spans="1:7">
      <c r="A1751" s="2">
        <v>43605</v>
      </c>
      <c r="B1751" s="3">
        <v>2.7375</v>
      </c>
      <c r="C1751" s="3">
        <v>3.05</v>
      </c>
      <c r="D1751" s="3">
        <v>2.7404</v>
      </c>
      <c r="E1751" s="3">
        <v>3.0525</v>
      </c>
      <c r="F1751" s="3">
        <v>2.739</v>
      </c>
      <c r="G1751" s="3">
        <v>3.0513</v>
      </c>
    </row>
    <row r="1752" spans="1:7">
      <c r="A1752" s="2">
        <v>43606</v>
      </c>
      <c r="B1752" s="3">
        <v>2.7545</v>
      </c>
      <c r="C1752" s="3">
        <v>3.0761</v>
      </c>
      <c r="D1752" s="3">
        <v>2.7575</v>
      </c>
      <c r="E1752" s="3">
        <v>3.0794</v>
      </c>
      <c r="F1752" s="3">
        <v>2.756</v>
      </c>
      <c r="G1752" s="3">
        <v>3.0777</v>
      </c>
    </row>
    <row r="1753" spans="1:7">
      <c r="A1753" s="2">
        <v>43607</v>
      </c>
      <c r="B1753" s="3">
        <v>2.765</v>
      </c>
      <c r="C1753" s="3">
        <v>3.0925</v>
      </c>
      <c r="D1753" s="3">
        <v>2.77</v>
      </c>
      <c r="E1753" s="3">
        <v>3.0964</v>
      </c>
      <c r="F1753" s="3">
        <v>2.7675</v>
      </c>
      <c r="G1753" s="3">
        <v>3.0944</v>
      </c>
    </row>
    <row r="1754" spans="1:7">
      <c r="A1754" s="2">
        <v>43608</v>
      </c>
      <c r="B1754" s="3">
        <v>2.735</v>
      </c>
      <c r="C1754" s="3">
        <v>3.0581</v>
      </c>
      <c r="D1754" s="3">
        <v>2.74</v>
      </c>
      <c r="E1754" s="3">
        <v>3.0625</v>
      </c>
      <c r="F1754" s="3">
        <v>2.7375</v>
      </c>
      <c r="G1754" s="3">
        <v>3.0603</v>
      </c>
    </row>
    <row r="1755" spans="1:7">
      <c r="A1755" s="2">
        <v>43609</v>
      </c>
      <c r="B1755" s="3">
        <v>2.74</v>
      </c>
      <c r="C1755" s="3">
        <v>3.0625</v>
      </c>
      <c r="D1755" s="3">
        <v>2.743</v>
      </c>
      <c r="E1755" s="3">
        <v>3.0675</v>
      </c>
      <c r="F1755" s="3">
        <v>2.7415</v>
      </c>
      <c r="G1755" s="3">
        <v>3.065</v>
      </c>
    </row>
    <row r="1756" spans="1:7">
      <c r="A1756" s="2">
        <v>43612</v>
      </c>
      <c r="B1756" s="3">
        <v>2.8175</v>
      </c>
      <c r="C1756" s="3">
        <v>3.135</v>
      </c>
      <c r="D1756" s="3">
        <v>2.82</v>
      </c>
      <c r="E1756" s="3">
        <v>3.1377</v>
      </c>
      <c r="F1756" s="3">
        <v>2.8188</v>
      </c>
      <c r="G1756" s="3">
        <v>3.1363</v>
      </c>
    </row>
    <row r="1757" spans="1:7">
      <c r="A1757" s="2">
        <v>43613</v>
      </c>
      <c r="B1757" s="3">
        <v>2.7725</v>
      </c>
      <c r="C1757" s="3">
        <v>3.085</v>
      </c>
      <c r="D1757" s="3">
        <v>2.78</v>
      </c>
      <c r="E1757" s="3">
        <v>3.09</v>
      </c>
      <c r="F1757" s="3">
        <v>2.7763</v>
      </c>
      <c r="G1757" s="3">
        <v>3.0875</v>
      </c>
    </row>
    <row r="1758" spans="1:7">
      <c r="A1758" s="2">
        <v>43614</v>
      </c>
      <c r="B1758" s="3">
        <v>2.7607</v>
      </c>
      <c r="C1758" s="3">
        <v>3.06</v>
      </c>
      <c r="D1758" s="3">
        <v>2.7643</v>
      </c>
      <c r="E1758" s="3">
        <v>3.0625</v>
      </c>
      <c r="F1758" s="3">
        <v>2.7625</v>
      </c>
      <c r="G1758" s="3">
        <v>3.0613</v>
      </c>
    </row>
    <row r="1759" spans="1:7">
      <c r="A1759" s="2">
        <v>43615</v>
      </c>
      <c r="B1759" s="3">
        <v>2.7625</v>
      </c>
      <c r="C1759" s="3">
        <v>3.0615</v>
      </c>
      <c r="D1759" s="3">
        <v>2.7675</v>
      </c>
      <c r="E1759" s="3">
        <v>3.065</v>
      </c>
      <c r="F1759" s="3">
        <v>2.765</v>
      </c>
      <c r="G1759" s="3">
        <v>3.0633</v>
      </c>
    </row>
    <row r="1760" spans="1:7">
      <c r="A1760" s="2">
        <v>43616</v>
      </c>
      <c r="B1760" s="3">
        <v>2.7539</v>
      </c>
      <c r="C1760" s="3">
        <v>3.0325</v>
      </c>
      <c r="D1760" s="3">
        <v>2.76</v>
      </c>
      <c r="E1760" s="3">
        <v>3.04</v>
      </c>
      <c r="F1760" s="3">
        <v>2.757</v>
      </c>
      <c r="G1760" s="3">
        <v>3.0363</v>
      </c>
    </row>
    <row r="1761" spans="1:7">
      <c r="A1761" s="2">
        <v>43619</v>
      </c>
      <c r="B1761" s="3">
        <v>2.7275</v>
      </c>
      <c r="C1761" s="3">
        <v>2.9875</v>
      </c>
      <c r="D1761" s="3">
        <v>2.735</v>
      </c>
      <c r="E1761" s="3">
        <v>2.9925</v>
      </c>
      <c r="F1761" s="3">
        <v>2.7313</v>
      </c>
      <c r="G1761" s="3">
        <v>2.99</v>
      </c>
    </row>
    <row r="1762" spans="1:7">
      <c r="A1762" s="2">
        <v>43620</v>
      </c>
      <c r="B1762" s="3">
        <v>2.6938</v>
      </c>
      <c r="C1762" s="3">
        <v>2.9402</v>
      </c>
      <c r="D1762" s="3">
        <v>2.6975</v>
      </c>
      <c r="E1762" s="3">
        <v>2.9439</v>
      </c>
      <c r="F1762" s="3">
        <v>2.6956</v>
      </c>
      <c r="G1762" s="3">
        <v>2.9421</v>
      </c>
    </row>
    <row r="1763" spans="1:7">
      <c r="A1763" s="2">
        <v>43621</v>
      </c>
      <c r="B1763" s="3">
        <v>2.695</v>
      </c>
      <c r="C1763" s="3">
        <v>2.9425</v>
      </c>
      <c r="D1763" s="3">
        <v>2.7</v>
      </c>
      <c r="E1763" s="3">
        <v>2.9475</v>
      </c>
      <c r="F1763" s="3">
        <v>2.6975</v>
      </c>
      <c r="G1763" s="3">
        <v>2.945</v>
      </c>
    </row>
    <row r="1764" spans="1:7">
      <c r="A1764" s="2">
        <v>43622</v>
      </c>
      <c r="B1764" s="3">
        <v>2.6831</v>
      </c>
      <c r="C1764" s="3">
        <v>2.9508</v>
      </c>
      <c r="D1764" s="3">
        <v>2.6875</v>
      </c>
      <c r="E1764" s="3">
        <v>2.9575</v>
      </c>
      <c r="F1764" s="3">
        <v>2.6853</v>
      </c>
      <c r="G1764" s="3">
        <v>2.9542</v>
      </c>
    </row>
    <row r="1765" spans="1:7">
      <c r="A1765" s="2">
        <v>43626</v>
      </c>
      <c r="B1765" s="3">
        <v>2.6968</v>
      </c>
      <c r="C1765" s="3">
        <v>2.9679</v>
      </c>
      <c r="D1765" s="3">
        <v>2.702</v>
      </c>
      <c r="E1765" s="3">
        <v>2.9709</v>
      </c>
      <c r="F1765" s="3">
        <v>2.6994</v>
      </c>
      <c r="G1765" s="3">
        <v>2.9694</v>
      </c>
    </row>
    <row r="1766" spans="1:7">
      <c r="A1766" s="2">
        <v>43627</v>
      </c>
      <c r="B1766" s="3">
        <v>2.7225</v>
      </c>
      <c r="C1766" s="3">
        <v>3.0175</v>
      </c>
      <c r="D1766" s="3">
        <v>2.73</v>
      </c>
      <c r="E1766" s="3">
        <v>3.0225</v>
      </c>
      <c r="F1766" s="3">
        <v>2.7263</v>
      </c>
      <c r="G1766" s="3">
        <v>3.02</v>
      </c>
    </row>
    <row r="1767" spans="1:7">
      <c r="A1767" s="2">
        <v>43628</v>
      </c>
      <c r="B1767" s="3">
        <v>2.717</v>
      </c>
      <c r="C1767" s="3">
        <v>2.995</v>
      </c>
      <c r="D1767" s="3">
        <v>2.72</v>
      </c>
      <c r="E1767" s="3">
        <v>2.9977</v>
      </c>
      <c r="F1767" s="3">
        <v>2.7185</v>
      </c>
      <c r="G1767" s="3">
        <v>2.9963</v>
      </c>
    </row>
    <row r="1768" spans="1:7">
      <c r="A1768" s="2">
        <v>43629</v>
      </c>
      <c r="B1768" s="3">
        <v>2.685</v>
      </c>
      <c r="C1768" s="3">
        <v>2.9575</v>
      </c>
      <c r="D1768" s="3">
        <v>2.69</v>
      </c>
      <c r="E1768" s="3">
        <v>2.96</v>
      </c>
      <c r="F1768" s="3">
        <v>2.6875</v>
      </c>
      <c r="G1768" s="3">
        <v>2.9588</v>
      </c>
    </row>
    <row r="1769" spans="1:7">
      <c r="A1769" s="2">
        <v>43630</v>
      </c>
      <c r="B1769" s="3">
        <v>2.665</v>
      </c>
      <c r="C1769" s="3">
        <v>2.9319</v>
      </c>
      <c r="D1769" s="3">
        <v>2.6725</v>
      </c>
      <c r="E1769" s="3">
        <v>2.9341</v>
      </c>
      <c r="F1769" s="3">
        <v>2.6688</v>
      </c>
      <c r="G1769" s="3">
        <v>2.933</v>
      </c>
    </row>
    <row r="1770" spans="1:7">
      <c r="A1770" s="2">
        <v>43633</v>
      </c>
      <c r="B1770" s="3">
        <v>2.643</v>
      </c>
      <c r="C1770" s="3">
        <v>2.9274</v>
      </c>
      <c r="D1770" s="3">
        <v>2.65</v>
      </c>
      <c r="E1770" s="3">
        <v>2.93</v>
      </c>
      <c r="F1770" s="3">
        <v>2.6465</v>
      </c>
      <c r="G1770" s="3">
        <v>2.9287</v>
      </c>
    </row>
    <row r="1771" spans="1:7">
      <c r="A1771" s="2">
        <v>43634</v>
      </c>
      <c r="B1771" s="3">
        <v>2.6223</v>
      </c>
      <c r="C1771" s="3">
        <v>2.9086</v>
      </c>
      <c r="D1771" s="3">
        <v>2.6268</v>
      </c>
      <c r="E1771" s="3">
        <v>2.915</v>
      </c>
      <c r="F1771" s="3">
        <v>2.6246</v>
      </c>
      <c r="G1771" s="3">
        <v>2.9118</v>
      </c>
    </row>
    <row r="1772" spans="1:7">
      <c r="A1772" s="2">
        <v>43635</v>
      </c>
      <c r="B1772" s="3">
        <v>2.6225</v>
      </c>
      <c r="C1772" s="3">
        <v>2.93</v>
      </c>
      <c r="D1772" s="3">
        <v>2.625</v>
      </c>
      <c r="E1772" s="3">
        <v>2.935</v>
      </c>
      <c r="F1772" s="3">
        <v>2.6238</v>
      </c>
      <c r="G1772" s="3">
        <v>2.9325</v>
      </c>
    </row>
    <row r="1773" spans="1:7">
      <c r="A1773" s="2">
        <v>43636</v>
      </c>
      <c r="B1773" s="3">
        <v>2.6072</v>
      </c>
      <c r="C1773" s="3">
        <v>2.92</v>
      </c>
      <c r="D1773" s="3">
        <v>2.61</v>
      </c>
      <c r="E1773" s="3">
        <v>2.9225</v>
      </c>
      <c r="F1773" s="3">
        <v>2.6086</v>
      </c>
      <c r="G1773" s="3">
        <v>2.9213</v>
      </c>
    </row>
    <row r="1774" spans="1:7">
      <c r="A1774" s="2">
        <v>43637</v>
      </c>
      <c r="B1774" s="3">
        <v>2.6075</v>
      </c>
      <c r="C1774" s="3">
        <v>2.92</v>
      </c>
      <c r="D1774" s="3">
        <v>2.615</v>
      </c>
      <c r="E1774" s="3">
        <v>2.9225</v>
      </c>
      <c r="F1774" s="3">
        <v>2.6113</v>
      </c>
      <c r="G1774" s="3">
        <v>2.9213</v>
      </c>
    </row>
    <row r="1775" spans="1:7">
      <c r="A1775" s="2">
        <v>43640</v>
      </c>
      <c r="B1775" s="3">
        <v>2.6372</v>
      </c>
      <c r="C1775" s="3">
        <v>2.9325</v>
      </c>
      <c r="D1775" s="3">
        <v>2.6398</v>
      </c>
      <c r="E1775" s="3">
        <v>2.94</v>
      </c>
      <c r="F1775" s="3">
        <v>2.6385</v>
      </c>
      <c r="G1775" s="3">
        <v>2.9363</v>
      </c>
    </row>
    <row r="1776" spans="1:7">
      <c r="A1776" s="2">
        <v>43641</v>
      </c>
      <c r="B1776" s="3">
        <v>2.64</v>
      </c>
      <c r="C1776" s="3">
        <v>2.917</v>
      </c>
      <c r="D1776" s="3">
        <v>2.645</v>
      </c>
      <c r="E1776" s="3">
        <v>2.9196</v>
      </c>
      <c r="F1776" s="3">
        <v>2.6425</v>
      </c>
      <c r="G1776" s="3">
        <v>2.9183</v>
      </c>
    </row>
    <row r="1777" spans="1:7">
      <c r="A1777" s="2">
        <v>43642</v>
      </c>
      <c r="B1777" s="3">
        <v>2.6479</v>
      </c>
      <c r="C1777" s="3">
        <v>2.934</v>
      </c>
      <c r="D1777" s="3">
        <v>2.653</v>
      </c>
      <c r="E1777" s="3">
        <v>2.9375</v>
      </c>
      <c r="F1777" s="3">
        <v>2.6504</v>
      </c>
      <c r="G1777" s="3">
        <v>2.9358</v>
      </c>
    </row>
    <row r="1778" spans="1:7">
      <c r="A1778" s="2">
        <v>43643</v>
      </c>
      <c r="B1778" s="3">
        <v>2.66</v>
      </c>
      <c r="C1778" s="3">
        <v>2.95</v>
      </c>
      <c r="D1778" s="3">
        <v>2.663</v>
      </c>
      <c r="E1778" s="3">
        <v>2.9525</v>
      </c>
      <c r="F1778" s="3">
        <v>2.6615</v>
      </c>
      <c r="G1778" s="3">
        <v>2.9513</v>
      </c>
    </row>
    <row r="1779" spans="1:7">
      <c r="A1779" s="2">
        <v>43644</v>
      </c>
      <c r="B1779" s="3">
        <v>2.635</v>
      </c>
      <c r="C1779" s="3">
        <v>2.93</v>
      </c>
      <c r="D1779" s="3">
        <v>2.64</v>
      </c>
      <c r="E1779" s="3">
        <v>2.9328</v>
      </c>
      <c r="F1779" s="3">
        <v>2.6375</v>
      </c>
      <c r="G1779" s="3">
        <v>2.9314</v>
      </c>
    </row>
    <row r="1780" spans="1:7">
      <c r="A1780" s="2">
        <v>43647</v>
      </c>
      <c r="B1780" s="3">
        <v>2.6125</v>
      </c>
      <c r="C1780" s="3">
        <v>2.92</v>
      </c>
      <c r="D1780" s="3">
        <v>2.62</v>
      </c>
      <c r="E1780" s="3">
        <v>2.9245</v>
      </c>
      <c r="F1780" s="3">
        <v>2.6163</v>
      </c>
      <c r="G1780" s="3">
        <v>2.9223</v>
      </c>
    </row>
    <row r="1781" spans="1:7">
      <c r="A1781" s="2">
        <v>43648</v>
      </c>
      <c r="B1781" s="3">
        <v>2.57</v>
      </c>
      <c r="C1781" s="3">
        <v>2.8689</v>
      </c>
      <c r="D1781" s="3">
        <v>2.5725</v>
      </c>
      <c r="E1781" s="3">
        <v>2.8715</v>
      </c>
      <c r="F1781" s="3">
        <v>2.5713</v>
      </c>
      <c r="G1781" s="3">
        <v>2.8702</v>
      </c>
    </row>
    <row r="1782" spans="1:7">
      <c r="A1782" s="2">
        <v>43649</v>
      </c>
      <c r="B1782" s="3">
        <v>2.555</v>
      </c>
      <c r="C1782" s="3">
        <v>2.86</v>
      </c>
      <c r="D1782" s="3">
        <v>2.56</v>
      </c>
      <c r="E1782" s="3">
        <v>2.8625</v>
      </c>
      <c r="F1782" s="3">
        <v>2.5575</v>
      </c>
      <c r="G1782" s="3">
        <v>2.8613</v>
      </c>
    </row>
    <row r="1783" spans="1:7">
      <c r="A1783" s="2">
        <v>43650</v>
      </c>
      <c r="B1783" s="3">
        <v>2.5536</v>
      </c>
      <c r="C1783" s="3">
        <v>2.8459</v>
      </c>
      <c r="D1783" s="3">
        <v>2.5575</v>
      </c>
      <c r="E1783" s="3">
        <v>2.8485</v>
      </c>
      <c r="F1783" s="3">
        <v>2.5556</v>
      </c>
      <c r="G1783" s="3">
        <v>2.8472</v>
      </c>
    </row>
    <row r="1784" spans="1:7">
      <c r="A1784" s="2">
        <v>43651</v>
      </c>
      <c r="B1784" s="3">
        <v>2.5925</v>
      </c>
      <c r="C1784" s="3">
        <v>2.88</v>
      </c>
      <c r="D1784" s="3">
        <v>2.5954</v>
      </c>
      <c r="E1784" s="3">
        <v>2.8875</v>
      </c>
      <c r="F1784" s="3">
        <v>2.594</v>
      </c>
      <c r="G1784" s="3">
        <v>2.8838</v>
      </c>
    </row>
    <row r="1785" spans="1:7">
      <c r="A1785" s="2">
        <v>43654</v>
      </c>
      <c r="B1785" s="3">
        <v>2.6125</v>
      </c>
      <c r="C1785" s="3">
        <v>2.9</v>
      </c>
      <c r="D1785" s="3">
        <v>2.6175</v>
      </c>
      <c r="E1785" s="3">
        <v>2.9025</v>
      </c>
      <c r="F1785" s="3">
        <v>2.615</v>
      </c>
      <c r="G1785" s="3">
        <v>2.9013</v>
      </c>
    </row>
    <row r="1786" spans="1:7">
      <c r="A1786" s="2">
        <v>43655</v>
      </c>
      <c r="B1786" s="3">
        <v>2.605</v>
      </c>
      <c r="C1786" s="3">
        <v>2.8875</v>
      </c>
      <c r="D1786" s="3">
        <v>2.6118</v>
      </c>
      <c r="E1786" s="3">
        <v>2.8933</v>
      </c>
      <c r="F1786" s="3">
        <v>2.6084</v>
      </c>
      <c r="G1786" s="3">
        <v>2.8904</v>
      </c>
    </row>
    <row r="1787" spans="1:7">
      <c r="A1787" s="2">
        <v>43656</v>
      </c>
      <c r="B1787" s="3">
        <v>2.6075</v>
      </c>
      <c r="C1787" s="3">
        <v>2.9011</v>
      </c>
      <c r="D1787" s="3">
        <v>2.6125</v>
      </c>
      <c r="E1787" s="3">
        <v>2.9037</v>
      </c>
      <c r="F1787" s="3">
        <v>2.61</v>
      </c>
      <c r="G1787" s="3">
        <v>2.9024</v>
      </c>
    </row>
    <row r="1788" spans="1:7">
      <c r="A1788" s="2">
        <v>43657</v>
      </c>
      <c r="B1788" s="3">
        <v>2.595</v>
      </c>
      <c r="C1788" s="3">
        <v>2.8925</v>
      </c>
      <c r="D1788" s="3">
        <v>2.6</v>
      </c>
      <c r="E1788" s="3">
        <v>2.895</v>
      </c>
      <c r="F1788" s="3">
        <v>2.5975</v>
      </c>
      <c r="G1788" s="3">
        <v>2.8938</v>
      </c>
    </row>
    <row r="1789" spans="1:7">
      <c r="A1789" s="2">
        <v>43658</v>
      </c>
      <c r="B1789" s="3">
        <v>2.595</v>
      </c>
      <c r="C1789" s="3">
        <v>2.8899</v>
      </c>
      <c r="D1789" s="3">
        <v>2.6</v>
      </c>
      <c r="E1789" s="3">
        <v>2.8932</v>
      </c>
      <c r="F1789" s="3">
        <v>2.5975</v>
      </c>
      <c r="G1789" s="3">
        <v>2.8915</v>
      </c>
    </row>
    <row r="1790" spans="1:7">
      <c r="A1790" s="2">
        <v>43661</v>
      </c>
      <c r="B1790" s="3">
        <v>2.625</v>
      </c>
      <c r="C1790" s="3">
        <v>2.915</v>
      </c>
      <c r="D1790" s="3">
        <v>2.6275</v>
      </c>
      <c r="E1790" s="3">
        <v>2.9182</v>
      </c>
      <c r="F1790" s="3">
        <v>2.6263</v>
      </c>
      <c r="G1790" s="3">
        <v>2.9166</v>
      </c>
    </row>
    <row r="1791" spans="1:7">
      <c r="A1791" s="2">
        <v>43662</v>
      </c>
      <c r="B1791" s="3">
        <v>2.61</v>
      </c>
      <c r="C1791" s="3">
        <v>2.9025</v>
      </c>
      <c r="D1791" s="3">
        <v>2.615</v>
      </c>
      <c r="E1791" s="3">
        <v>2.905</v>
      </c>
      <c r="F1791" s="3">
        <v>2.6125</v>
      </c>
      <c r="G1791" s="3">
        <v>2.9038</v>
      </c>
    </row>
    <row r="1792" spans="1:7">
      <c r="A1792" s="2">
        <v>43663</v>
      </c>
      <c r="B1792" s="3">
        <v>2.605</v>
      </c>
      <c r="C1792" s="3">
        <v>2.898</v>
      </c>
      <c r="D1792" s="3">
        <v>2.6075</v>
      </c>
      <c r="E1792" s="3">
        <v>2.9</v>
      </c>
      <c r="F1792" s="3">
        <v>2.6063</v>
      </c>
      <c r="G1792" s="3">
        <v>2.899</v>
      </c>
    </row>
    <row r="1793" spans="1:7">
      <c r="A1793" s="2">
        <v>43664</v>
      </c>
      <c r="B1793" s="3">
        <v>2.5925</v>
      </c>
      <c r="C1793" s="3">
        <v>2.8825</v>
      </c>
      <c r="D1793" s="3">
        <v>2.595</v>
      </c>
      <c r="E1793" s="3">
        <v>2.885</v>
      </c>
      <c r="F1793" s="3">
        <v>2.5938</v>
      </c>
      <c r="G1793" s="3">
        <v>2.8838</v>
      </c>
    </row>
    <row r="1794" spans="1:7">
      <c r="A1794" s="2">
        <v>43665</v>
      </c>
      <c r="B1794" s="3">
        <v>2.58</v>
      </c>
      <c r="C1794" s="3">
        <v>2.865</v>
      </c>
      <c r="D1794" s="3">
        <v>2.583</v>
      </c>
      <c r="E1794" s="3">
        <v>2.8677</v>
      </c>
      <c r="F1794" s="3">
        <v>2.5815</v>
      </c>
      <c r="G1794" s="3">
        <v>2.8663</v>
      </c>
    </row>
    <row r="1795" spans="1:7">
      <c r="A1795" s="2">
        <v>43668</v>
      </c>
      <c r="B1795" s="3">
        <v>2.5673</v>
      </c>
      <c r="C1795" s="3">
        <v>2.8575</v>
      </c>
      <c r="D1795" s="3">
        <v>2.5705</v>
      </c>
      <c r="E1795" s="3">
        <v>2.8625</v>
      </c>
      <c r="F1795" s="3">
        <v>2.5689</v>
      </c>
      <c r="G1795" s="3">
        <v>2.86</v>
      </c>
    </row>
    <row r="1796" spans="1:7">
      <c r="A1796" s="2">
        <v>43669</v>
      </c>
      <c r="B1796" s="3">
        <v>2.58</v>
      </c>
      <c r="C1796" s="3">
        <v>2.8776</v>
      </c>
      <c r="D1796" s="3">
        <v>2.585</v>
      </c>
      <c r="E1796" s="3">
        <v>2.8825</v>
      </c>
      <c r="F1796" s="3">
        <v>2.5825</v>
      </c>
      <c r="G1796" s="3">
        <v>2.8801</v>
      </c>
    </row>
    <row r="1797" spans="1:7">
      <c r="A1797" s="2">
        <v>43670</v>
      </c>
      <c r="B1797" s="3">
        <v>2.6025</v>
      </c>
      <c r="C1797" s="3">
        <v>2.8975</v>
      </c>
      <c r="D1797" s="3">
        <v>2.605</v>
      </c>
      <c r="E1797" s="3">
        <v>2.9</v>
      </c>
      <c r="F1797" s="3">
        <v>2.6038</v>
      </c>
      <c r="G1797" s="3">
        <v>2.8988</v>
      </c>
    </row>
    <row r="1798" spans="1:7">
      <c r="A1798" s="2">
        <v>43671</v>
      </c>
      <c r="B1798" s="3">
        <v>2.6025</v>
      </c>
      <c r="C1798" s="3">
        <v>2.8925</v>
      </c>
      <c r="D1798" s="3">
        <v>2.605</v>
      </c>
      <c r="E1798" s="3">
        <v>2.895</v>
      </c>
      <c r="F1798" s="3">
        <v>2.6038</v>
      </c>
      <c r="G1798" s="3">
        <v>2.8938</v>
      </c>
    </row>
    <row r="1799" spans="1:7">
      <c r="A1799" s="2">
        <v>43672</v>
      </c>
      <c r="B1799" s="3">
        <v>2.6175</v>
      </c>
      <c r="C1799" s="3">
        <v>2.9025</v>
      </c>
      <c r="D1799" s="3">
        <v>2.62</v>
      </c>
      <c r="E1799" s="3">
        <v>2.905</v>
      </c>
      <c r="F1799" s="3">
        <v>2.6188</v>
      </c>
      <c r="G1799" s="3">
        <v>2.9038</v>
      </c>
    </row>
    <row r="1800" spans="1:7">
      <c r="A1800" s="2">
        <v>43675</v>
      </c>
      <c r="B1800" s="3">
        <v>2.635</v>
      </c>
      <c r="C1800" s="3">
        <v>2.9175</v>
      </c>
      <c r="D1800" s="3">
        <v>2.64</v>
      </c>
      <c r="E1800" s="3">
        <v>2.92</v>
      </c>
      <c r="F1800" s="3">
        <v>2.6375</v>
      </c>
      <c r="G1800" s="3">
        <v>2.9188</v>
      </c>
    </row>
    <row r="1801" spans="1:7">
      <c r="A1801" s="2">
        <v>43676</v>
      </c>
      <c r="B1801" s="3">
        <v>2.63</v>
      </c>
      <c r="C1801" s="3">
        <v>2.915</v>
      </c>
      <c r="D1801" s="3">
        <v>2.635</v>
      </c>
      <c r="E1801" s="3">
        <v>2.9175</v>
      </c>
      <c r="F1801" s="3">
        <v>2.6325</v>
      </c>
      <c r="G1801" s="3">
        <v>2.9163</v>
      </c>
    </row>
    <row r="1802" spans="1:7">
      <c r="A1802" s="2">
        <v>43677</v>
      </c>
      <c r="B1802" s="3">
        <v>2.615</v>
      </c>
      <c r="C1802" s="3">
        <v>2.8946</v>
      </c>
      <c r="D1802" s="3">
        <v>2.6175</v>
      </c>
      <c r="E1802" s="3">
        <v>2.8975</v>
      </c>
      <c r="F1802" s="3">
        <v>2.6163</v>
      </c>
      <c r="G1802" s="3">
        <v>2.896</v>
      </c>
    </row>
    <row r="1803" spans="1:7">
      <c r="A1803" s="2">
        <v>43678</v>
      </c>
      <c r="B1803" s="3">
        <v>2.6196</v>
      </c>
      <c r="C1803" s="3">
        <v>2.8983</v>
      </c>
      <c r="D1803" s="3">
        <v>2.6225</v>
      </c>
      <c r="E1803" s="3">
        <v>2.9022</v>
      </c>
      <c r="F1803" s="3">
        <v>2.621</v>
      </c>
      <c r="G1803" s="3">
        <v>2.9003</v>
      </c>
    </row>
    <row r="1804" spans="1:7">
      <c r="A1804" s="2">
        <v>43679</v>
      </c>
      <c r="B1804" s="3">
        <v>2.585</v>
      </c>
      <c r="C1804" s="3">
        <v>2.8475</v>
      </c>
      <c r="D1804" s="3">
        <v>2.59</v>
      </c>
      <c r="E1804" s="3">
        <v>2.85</v>
      </c>
      <c r="F1804" s="3">
        <v>2.5875</v>
      </c>
      <c r="G1804" s="3">
        <v>2.8488</v>
      </c>
    </row>
    <row r="1805" spans="1:7">
      <c r="A1805" s="2">
        <v>43682</v>
      </c>
      <c r="B1805" s="3">
        <v>2.5625</v>
      </c>
      <c r="C1805" s="3">
        <v>2.81</v>
      </c>
      <c r="D1805" s="3">
        <v>2.5675</v>
      </c>
      <c r="E1805" s="3">
        <v>2.815</v>
      </c>
      <c r="F1805" s="3">
        <v>2.565</v>
      </c>
      <c r="G1805" s="3">
        <v>2.8125</v>
      </c>
    </row>
    <row r="1806" spans="1:7">
      <c r="A1806" s="2">
        <v>43683</v>
      </c>
      <c r="B1806" s="3">
        <v>2.5725</v>
      </c>
      <c r="C1806" s="3">
        <v>2.8219</v>
      </c>
      <c r="D1806" s="3">
        <v>2.575</v>
      </c>
      <c r="E1806" s="3">
        <v>2.825</v>
      </c>
      <c r="F1806" s="3">
        <v>2.5738</v>
      </c>
      <c r="G1806" s="3">
        <v>2.8235</v>
      </c>
    </row>
    <row r="1807" spans="1:7">
      <c r="A1807" s="2">
        <v>43684</v>
      </c>
      <c r="B1807" s="3">
        <v>2.5625</v>
      </c>
      <c r="C1807" s="3">
        <v>2.8031</v>
      </c>
      <c r="D1807" s="3">
        <v>2.565</v>
      </c>
      <c r="E1807" s="3">
        <v>2.8075</v>
      </c>
      <c r="F1807" s="3">
        <v>2.5638</v>
      </c>
      <c r="G1807" s="3">
        <v>2.8053</v>
      </c>
    </row>
    <row r="1808" spans="1:7">
      <c r="A1808" s="2">
        <v>43685</v>
      </c>
      <c r="B1808" s="3">
        <v>2.5625</v>
      </c>
      <c r="C1808" s="3">
        <v>2.8047</v>
      </c>
      <c r="D1808" s="3">
        <v>2.565</v>
      </c>
      <c r="E1808" s="3">
        <v>2.8103</v>
      </c>
      <c r="F1808" s="3">
        <v>2.5638</v>
      </c>
      <c r="G1808" s="3">
        <v>2.8075</v>
      </c>
    </row>
    <row r="1809" spans="1:7">
      <c r="A1809" s="2">
        <v>43686</v>
      </c>
      <c r="B1809" s="3">
        <v>2.565</v>
      </c>
      <c r="C1809" s="3">
        <v>2.79</v>
      </c>
      <c r="D1809" s="3">
        <v>2.5701</v>
      </c>
      <c r="E1809" s="3">
        <v>2.795</v>
      </c>
      <c r="F1809" s="3">
        <v>2.5676</v>
      </c>
      <c r="G1809" s="3">
        <v>2.7925</v>
      </c>
    </row>
    <row r="1810" spans="1:7">
      <c r="A1810" s="2">
        <v>43689</v>
      </c>
      <c r="B1810" s="3">
        <v>2.5867</v>
      </c>
      <c r="C1810" s="3">
        <v>2.8092</v>
      </c>
      <c r="D1810" s="3">
        <v>2.5925</v>
      </c>
      <c r="E1810" s="3">
        <v>2.8138</v>
      </c>
      <c r="F1810" s="3">
        <v>2.5896</v>
      </c>
      <c r="G1810" s="3">
        <v>2.8115</v>
      </c>
    </row>
    <row r="1811" spans="1:7">
      <c r="A1811" s="2">
        <v>43690</v>
      </c>
      <c r="B1811" s="3">
        <v>2.6</v>
      </c>
      <c r="C1811" s="3">
        <v>2.8</v>
      </c>
      <c r="D1811" s="3">
        <v>2.6025</v>
      </c>
      <c r="E1811" s="3">
        <v>2.8025</v>
      </c>
      <c r="F1811" s="3">
        <v>2.6013</v>
      </c>
      <c r="G1811" s="3">
        <v>2.8013</v>
      </c>
    </row>
    <row r="1812" spans="1:7">
      <c r="A1812" s="2">
        <v>43691</v>
      </c>
      <c r="B1812" s="3">
        <v>2.6097</v>
      </c>
      <c r="C1812" s="3">
        <v>2.8179</v>
      </c>
      <c r="D1812" s="3">
        <v>2.6126</v>
      </c>
      <c r="E1812" s="3">
        <v>2.8204</v>
      </c>
      <c r="F1812" s="3">
        <v>2.6111</v>
      </c>
      <c r="G1812" s="3">
        <v>2.8191</v>
      </c>
    </row>
    <row r="1813" spans="1:7">
      <c r="A1813" s="2">
        <v>43692</v>
      </c>
      <c r="B1813" s="3">
        <v>2.61</v>
      </c>
      <c r="C1813" s="3">
        <v>2.83</v>
      </c>
      <c r="D1813" s="3">
        <v>2.62</v>
      </c>
      <c r="E1813" s="3">
        <v>2.8325</v>
      </c>
      <c r="F1813" s="3">
        <v>2.615</v>
      </c>
      <c r="G1813" s="3">
        <v>2.8313</v>
      </c>
    </row>
    <row r="1814" spans="1:7">
      <c r="A1814" s="2">
        <v>43693</v>
      </c>
      <c r="B1814" s="3">
        <v>2.6175</v>
      </c>
      <c r="C1814" s="3">
        <v>2.8368</v>
      </c>
      <c r="D1814" s="3">
        <v>2.6225</v>
      </c>
      <c r="E1814" s="3">
        <v>2.84</v>
      </c>
      <c r="F1814" s="3">
        <v>2.62</v>
      </c>
      <c r="G1814" s="3">
        <v>2.8384</v>
      </c>
    </row>
    <row r="1815" spans="1:7">
      <c r="A1815" s="2">
        <v>43696</v>
      </c>
      <c r="B1815" s="3">
        <v>2.5975</v>
      </c>
      <c r="C1815" s="3">
        <v>2.815</v>
      </c>
      <c r="D1815" s="3">
        <v>2.605</v>
      </c>
      <c r="E1815" s="3">
        <v>2.8175</v>
      </c>
      <c r="F1815" s="3">
        <v>2.6013</v>
      </c>
      <c r="G1815" s="3">
        <v>2.8163</v>
      </c>
    </row>
    <row r="1816" spans="1:7">
      <c r="A1816" s="2">
        <v>43697</v>
      </c>
      <c r="B1816" s="3">
        <v>2.618</v>
      </c>
      <c r="C1816" s="3">
        <v>2.8325</v>
      </c>
      <c r="D1816" s="3">
        <v>2.625</v>
      </c>
      <c r="E1816" s="3">
        <v>2.8375</v>
      </c>
      <c r="F1816" s="3">
        <v>2.6215</v>
      </c>
      <c r="G1816" s="3">
        <v>2.835</v>
      </c>
    </row>
    <row r="1817" spans="1:7">
      <c r="A1817" s="2">
        <v>43698</v>
      </c>
      <c r="B1817" s="3">
        <v>2.63</v>
      </c>
      <c r="C1817" s="3">
        <v>2.855</v>
      </c>
      <c r="D1817" s="3">
        <v>2.635</v>
      </c>
      <c r="E1817" s="3">
        <v>2.8577</v>
      </c>
      <c r="F1817" s="3">
        <v>2.6325</v>
      </c>
      <c r="G1817" s="3">
        <v>2.8563</v>
      </c>
    </row>
    <row r="1818" spans="1:7">
      <c r="A1818" s="2">
        <v>43699</v>
      </c>
      <c r="B1818" s="3">
        <v>2.635</v>
      </c>
      <c r="C1818" s="3">
        <v>2.8625</v>
      </c>
      <c r="D1818" s="3">
        <v>2.6375</v>
      </c>
      <c r="E1818" s="3">
        <v>2.8651</v>
      </c>
      <c r="F1818" s="3">
        <v>2.6363</v>
      </c>
      <c r="G1818" s="3">
        <v>2.8638</v>
      </c>
    </row>
    <row r="1819" spans="1:7">
      <c r="A1819" s="2">
        <v>43700</v>
      </c>
      <c r="B1819" s="3">
        <v>2.635</v>
      </c>
      <c r="C1819" s="3">
        <v>2.8675</v>
      </c>
      <c r="D1819" s="3">
        <v>2.6375</v>
      </c>
      <c r="E1819" s="3">
        <v>2.87</v>
      </c>
      <c r="F1819" s="3">
        <v>2.6363</v>
      </c>
      <c r="G1819" s="3">
        <v>2.8688</v>
      </c>
    </row>
    <row r="1820" spans="1:7">
      <c r="A1820" s="2">
        <v>43703</v>
      </c>
      <c r="B1820" s="3">
        <v>2.6344</v>
      </c>
      <c r="C1820" s="3">
        <v>2.8425</v>
      </c>
      <c r="D1820" s="3">
        <v>2.6393</v>
      </c>
      <c r="E1820" s="3">
        <v>2.845</v>
      </c>
      <c r="F1820" s="3">
        <v>2.6369</v>
      </c>
      <c r="G1820" s="3">
        <v>2.8438</v>
      </c>
    </row>
    <row r="1821" spans="1:7">
      <c r="A1821" s="2">
        <v>43704</v>
      </c>
      <c r="B1821" s="3">
        <v>2.655</v>
      </c>
      <c r="C1821" s="3">
        <v>2.8575</v>
      </c>
      <c r="D1821" s="3">
        <v>2.66</v>
      </c>
      <c r="E1821" s="3">
        <v>2.86</v>
      </c>
      <c r="F1821" s="3">
        <v>2.6575</v>
      </c>
      <c r="G1821" s="3">
        <v>2.8588</v>
      </c>
    </row>
    <row r="1822" spans="1:7">
      <c r="A1822" s="2">
        <v>43705</v>
      </c>
      <c r="B1822" s="3">
        <v>2.649</v>
      </c>
      <c r="C1822" s="3">
        <v>2.8525</v>
      </c>
      <c r="D1822" s="3">
        <v>2.6525</v>
      </c>
      <c r="E1822" s="3">
        <v>2.855</v>
      </c>
      <c r="F1822" s="3">
        <v>2.6508</v>
      </c>
      <c r="G1822" s="3">
        <v>2.8538</v>
      </c>
    </row>
    <row r="1823" spans="1:7">
      <c r="A1823" s="2">
        <v>43706</v>
      </c>
      <c r="B1823" s="3">
        <v>2.649</v>
      </c>
      <c r="C1823" s="3">
        <v>2.8625</v>
      </c>
      <c r="D1823" s="3">
        <v>2.6597</v>
      </c>
      <c r="E1823" s="3">
        <v>2.8689</v>
      </c>
      <c r="F1823" s="3">
        <v>2.6544</v>
      </c>
      <c r="G1823" s="3">
        <v>2.8657</v>
      </c>
    </row>
    <row r="1824" spans="1:7">
      <c r="A1824" s="2">
        <v>43707</v>
      </c>
      <c r="B1824" s="3">
        <v>2.67</v>
      </c>
      <c r="C1824" s="3">
        <v>2.9039</v>
      </c>
      <c r="D1824" s="3">
        <v>2.683</v>
      </c>
      <c r="E1824" s="3">
        <v>2.908</v>
      </c>
      <c r="F1824" s="3">
        <v>2.6765</v>
      </c>
      <c r="G1824" s="3">
        <v>2.9059</v>
      </c>
    </row>
    <row r="1825" spans="1:7">
      <c r="A1825" s="2">
        <v>43710</v>
      </c>
      <c r="B1825" s="3">
        <v>2.67</v>
      </c>
      <c r="C1825" s="3">
        <v>2.9075</v>
      </c>
      <c r="D1825" s="3">
        <v>2.6775</v>
      </c>
      <c r="E1825" s="3">
        <v>2.9106</v>
      </c>
      <c r="F1825" s="3">
        <v>2.6738</v>
      </c>
      <c r="G1825" s="3">
        <v>2.909</v>
      </c>
    </row>
    <row r="1826" spans="1:7">
      <c r="A1826" s="2">
        <v>43711</v>
      </c>
      <c r="B1826" s="3">
        <v>2.66</v>
      </c>
      <c r="C1826" s="3">
        <v>2.8975</v>
      </c>
      <c r="D1826" s="3">
        <v>2.665</v>
      </c>
      <c r="E1826" s="3">
        <v>2.9</v>
      </c>
      <c r="F1826" s="3">
        <v>2.6625</v>
      </c>
      <c r="G1826" s="3">
        <v>2.8988</v>
      </c>
    </row>
    <row r="1827" spans="1:7">
      <c r="A1827" s="2">
        <v>43712</v>
      </c>
      <c r="B1827" s="3">
        <v>2.6325</v>
      </c>
      <c r="C1827" s="3">
        <v>2.8588</v>
      </c>
      <c r="D1827" s="3">
        <v>2.6405</v>
      </c>
      <c r="E1827" s="3">
        <v>2.8638</v>
      </c>
      <c r="F1827" s="3">
        <v>2.6365</v>
      </c>
      <c r="G1827" s="3">
        <v>2.8613</v>
      </c>
    </row>
    <row r="1828" spans="1:7">
      <c r="A1828" s="2">
        <v>43713</v>
      </c>
      <c r="B1828" s="3">
        <v>2.6046</v>
      </c>
      <c r="C1828" s="3">
        <v>2.8157</v>
      </c>
      <c r="D1828" s="3">
        <v>2.6085</v>
      </c>
      <c r="E1828" s="3">
        <v>2.8189</v>
      </c>
      <c r="F1828" s="3">
        <v>2.6065</v>
      </c>
      <c r="G1828" s="3">
        <v>2.8173</v>
      </c>
    </row>
    <row r="1829" spans="1:7">
      <c r="A1829" s="2">
        <v>43714</v>
      </c>
      <c r="B1829" s="3">
        <v>2.6</v>
      </c>
      <c r="C1829" s="3">
        <v>2.8175</v>
      </c>
      <c r="D1829" s="3">
        <v>2.605</v>
      </c>
      <c r="E1829" s="3">
        <v>2.82</v>
      </c>
      <c r="F1829" s="3">
        <v>2.6025</v>
      </c>
      <c r="G1829" s="3">
        <v>2.8188</v>
      </c>
    </row>
    <row r="1830" spans="1:7">
      <c r="A1830" s="2">
        <v>43717</v>
      </c>
      <c r="B1830" s="3">
        <v>2.6175</v>
      </c>
      <c r="C1830" s="3">
        <v>2.835</v>
      </c>
      <c r="D1830" s="3">
        <v>2.625</v>
      </c>
      <c r="E1830" s="3">
        <v>2.8375</v>
      </c>
      <c r="F1830" s="3">
        <v>2.6213</v>
      </c>
      <c r="G1830" s="3">
        <v>2.8363</v>
      </c>
    </row>
    <row r="1831" spans="1:7">
      <c r="A1831" s="2">
        <v>43718</v>
      </c>
      <c r="B1831" s="3">
        <v>2.6455</v>
      </c>
      <c r="C1831" s="3">
        <v>2.85</v>
      </c>
      <c r="D1831" s="3">
        <v>2.648</v>
      </c>
      <c r="E1831" s="3">
        <v>2.8525</v>
      </c>
      <c r="F1831" s="3">
        <v>2.6468</v>
      </c>
      <c r="G1831" s="3">
        <v>2.8513</v>
      </c>
    </row>
    <row r="1832" spans="1:7">
      <c r="A1832" s="2">
        <v>43719</v>
      </c>
      <c r="B1832" s="3">
        <v>2.6425</v>
      </c>
      <c r="C1832" s="3">
        <v>2.855</v>
      </c>
      <c r="D1832" s="3">
        <v>2.65</v>
      </c>
      <c r="E1832" s="3">
        <v>2.86</v>
      </c>
      <c r="F1832" s="3">
        <v>2.6463</v>
      </c>
      <c r="G1832" s="3">
        <v>2.8575</v>
      </c>
    </row>
    <row r="1833" spans="1:7">
      <c r="A1833" s="2">
        <v>43720</v>
      </c>
      <c r="B1833" s="3">
        <v>2.67</v>
      </c>
      <c r="C1833" s="3">
        <v>2.9025</v>
      </c>
      <c r="D1833" s="3">
        <v>2.6727</v>
      </c>
      <c r="E1833" s="3">
        <v>2.9054</v>
      </c>
      <c r="F1833" s="3">
        <v>2.6713</v>
      </c>
      <c r="G1833" s="3">
        <v>2.904</v>
      </c>
    </row>
    <row r="1834" spans="1:7">
      <c r="A1834" s="2">
        <v>43724</v>
      </c>
      <c r="B1834" s="3">
        <v>2.6625</v>
      </c>
      <c r="C1834" s="3">
        <v>2.8975</v>
      </c>
      <c r="D1834" s="3">
        <v>2.6675</v>
      </c>
      <c r="E1834" s="3">
        <v>2.9025</v>
      </c>
      <c r="F1834" s="3">
        <v>2.665</v>
      </c>
      <c r="G1834" s="3">
        <v>2.9</v>
      </c>
    </row>
    <row r="1835" spans="1:7">
      <c r="A1835" s="2">
        <v>43725</v>
      </c>
      <c r="B1835" s="3">
        <v>2.6869</v>
      </c>
      <c r="C1835" s="3">
        <v>2.9217</v>
      </c>
      <c r="D1835" s="3">
        <v>2.6894</v>
      </c>
      <c r="E1835" s="3">
        <v>2.9242</v>
      </c>
      <c r="F1835" s="3">
        <v>2.6881</v>
      </c>
      <c r="G1835" s="3">
        <v>2.923</v>
      </c>
    </row>
    <row r="1836" spans="1:7">
      <c r="A1836" s="2">
        <v>43726</v>
      </c>
      <c r="B1836" s="3">
        <v>2.72</v>
      </c>
      <c r="C1836" s="3">
        <v>2.964</v>
      </c>
      <c r="D1836" s="3">
        <v>2.7241</v>
      </c>
      <c r="E1836" s="3">
        <v>2.9675</v>
      </c>
      <c r="F1836" s="3">
        <v>2.7221</v>
      </c>
      <c r="G1836" s="3">
        <v>2.9658</v>
      </c>
    </row>
    <row r="1837" spans="1:7">
      <c r="A1837" s="2">
        <v>43727</v>
      </c>
      <c r="B1837" s="3">
        <v>2.695</v>
      </c>
      <c r="C1837" s="3">
        <v>2.936</v>
      </c>
      <c r="D1837" s="3">
        <v>2.7</v>
      </c>
      <c r="E1837" s="3">
        <v>2.9387</v>
      </c>
      <c r="F1837" s="3">
        <v>2.6975</v>
      </c>
      <c r="G1837" s="3">
        <v>2.9373</v>
      </c>
    </row>
    <row r="1838" spans="1:7">
      <c r="A1838" s="2">
        <v>43728</v>
      </c>
      <c r="B1838" s="3">
        <v>2.6972</v>
      </c>
      <c r="C1838" s="3">
        <v>2.9261</v>
      </c>
      <c r="D1838" s="3">
        <v>2.7038</v>
      </c>
      <c r="E1838" s="3">
        <v>2.9286</v>
      </c>
      <c r="F1838" s="3">
        <v>2.7005</v>
      </c>
      <c r="G1838" s="3">
        <v>2.9273</v>
      </c>
    </row>
    <row r="1839" spans="1:7">
      <c r="A1839" s="2">
        <v>43731</v>
      </c>
      <c r="B1839" s="3">
        <v>2.7032</v>
      </c>
      <c r="C1839" s="3">
        <v>2.9317</v>
      </c>
      <c r="D1839" s="3">
        <v>2.7058</v>
      </c>
      <c r="E1839" s="3">
        <v>2.935</v>
      </c>
      <c r="F1839" s="3">
        <v>2.7045</v>
      </c>
      <c r="G1839" s="3">
        <v>2.9333</v>
      </c>
    </row>
    <row r="1840" spans="1:7">
      <c r="A1840" s="2">
        <v>43732</v>
      </c>
      <c r="B1840" s="3">
        <v>2.7</v>
      </c>
      <c r="C1840" s="3">
        <v>2.9425</v>
      </c>
      <c r="D1840" s="3">
        <v>2.7025</v>
      </c>
      <c r="E1840" s="3">
        <v>2.945</v>
      </c>
      <c r="F1840" s="3">
        <v>2.7013</v>
      </c>
      <c r="G1840" s="3">
        <v>2.9438</v>
      </c>
    </row>
    <row r="1841" spans="1:7">
      <c r="A1841" s="2">
        <v>43733</v>
      </c>
      <c r="B1841" s="3">
        <v>2.6875</v>
      </c>
      <c r="C1841" s="3">
        <v>2.93</v>
      </c>
      <c r="D1841" s="3">
        <v>2.69</v>
      </c>
      <c r="E1841" s="3">
        <v>2.9326</v>
      </c>
      <c r="F1841" s="3">
        <v>2.6888</v>
      </c>
      <c r="G1841" s="3">
        <v>2.9313</v>
      </c>
    </row>
    <row r="1842" spans="1:7">
      <c r="A1842" s="2">
        <v>43734</v>
      </c>
      <c r="B1842" s="3">
        <v>2.6925</v>
      </c>
      <c r="C1842" s="3">
        <v>2.9527</v>
      </c>
      <c r="D1842" s="3">
        <v>2.6957</v>
      </c>
      <c r="E1842" s="3">
        <v>2.9556</v>
      </c>
      <c r="F1842" s="3">
        <v>2.6941</v>
      </c>
      <c r="G1842" s="3">
        <v>2.9542</v>
      </c>
    </row>
    <row r="1843" spans="1:7">
      <c r="A1843" s="2">
        <v>43735</v>
      </c>
      <c r="B1843" s="3">
        <v>2.69</v>
      </c>
      <c r="C1843" s="3">
        <v>2.9617</v>
      </c>
      <c r="D1843" s="3">
        <v>2.6975</v>
      </c>
      <c r="E1843" s="3">
        <v>2.965</v>
      </c>
      <c r="F1843" s="3">
        <v>2.6938</v>
      </c>
      <c r="G1843" s="3">
        <v>2.9633</v>
      </c>
    </row>
    <row r="1844" spans="1:7">
      <c r="A1844" s="2">
        <v>43737</v>
      </c>
      <c r="B1844" s="3">
        <v>2.68</v>
      </c>
      <c r="C1844" s="3">
        <v>2.96</v>
      </c>
      <c r="D1844" s="3">
        <v>2.705</v>
      </c>
      <c r="E1844" s="3">
        <v>2.9675</v>
      </c>
      <c r="F1844" s="3">
        <v>2.6925</v>
      </c>
      <c r="G1844" s="3">
        <v>2.9638</v>
      </c>
    </row>
    <row r="1845" spans="1:7">
      <c r="A1845" s="2">
        <v>43738</v>
      </c>
      <c r="B1845" s="3">
        <v>2.705</v>
      </c>
      <c r="C1845" s="3">
        <v>2.9557</v>
      </c>
      <c r="D1845" s="3">
        <v>2.71</v>
      </c>
      <c r="E1845" s="3">
        <v>2.965</v>
      </c>
      <c r="F1845" s="3">
        <v>2.7075</v>
      </c>
      <c r="G1845" s="3">
        <v>2.9603</v>
      </c>
    </row>
    <row r="1846" spans="1:7">
      <c r="A1846" s="2">
        <v>43746</v>
      </c>
      <c r="B1846" s="3">
        <v>2.6825</v>
      </c>
      <c r="C1846" s="3">
        <v>2.925</v>
      </c>
      <c r="D1846" s="3">
        <v>2.6875</v>
      </c>
      <c r="E1846" s="3">
        <v>2.9275</v>
      </c>
      <c r="F1846" s="3">
        <v>2.685</v>
      </c>
      <c r="G1846" s="3">
        <v>2.9263</v>
      </c>
    </row>
    <row r="1847" spans="1:7">
      <c r="A1847" s="2">
        <v>43747</v>
      </c>
      <c r="B1847" s="3">
        <v>2.685</v>
      </c>
      <c r="C1847" s="3">
        <v>2.9246</v>
      </c>
      <c r="D1847" s="3">
        <v>2.6945</v>
      </c>
      <c r="E1847" s="3">
        <v>2.9271</v>
      </c>
      <c r="F1847" s="3">
        <v>2.6898</v>
      </c>
      <c r="G1847" s="3">
        <v>2.9259</v>
      </c>
    </row>
    <row r="1848" spans="1:7">
      <c r="A1848" s="2">
        <v>43748</v>
      </c>
      <c r="B1848" s="3">
        <v>2.695</v>
      </c>
      <c r="C1848" s="3">
        <v>2.9425</v>
      </c>
      <c r="D1848" s="3">
        <v>2.7025</v>
      </c>
      <c r="E1848" s="3">
        <v>2.945</v>
      </c>
      <c r="F1848" s="3">
        <v>2.6988</v>
      </c>
      <c r="G1848" s="3">
        <v>2.9438</v>
      </c>
    </row>
    <row r="1849" spans="1:7">
      <c r="A1849" s="2">
        <v>43749</v>
      </c>
      <c r="B1849" s="3">
        <v>2.7</v>
      </c>
      <c r="C1849" s="3">
        <v>2.9659</v>
      </c>
      <c r="D1849" s="3">
        <v>2.705</v>
      </c>
      <c r="E1849" s="3">
        <v>2.97</v>
      </c>
      <c r="F1849" s="3">
        <v>2.7025</v>
      </c>
      <c r="G1849" s="3">
        <v>2.9679</v>
      </c>
    </row>
    <row r="1850" spans="1:7">
      <c r="A1850" s="2">
        <v>43750</v>
      </c>
      <c r="B1850" s="3">
        <v>2.71</v>
      </c>
      <c r="C1850" s="3">
        <v>2.98</v>
      </c>
      <c r="D1850" s="3">
        <v>2.7225</v>
      </c>
      <c r="E1850" s="3">
        <v>2.995</v>
      </c>
      <c r="F1850" s="3">
        <v>2.7163</v>
      </c>
      <c r="G1850" s="3">
        <v>2.9875</v>
      </c>
    </row>
    <row r="1851" spans="1:7">
      <c r="A1851" s="2">
        <v>43752</v>
      </c>
      <c r="B1851" s="3">
        <v>2.7225</v>
      </c>
      <c r="C1851" s="3">
        <v>2.985</v>
      </c>
      <c r="D1851" s="3">
        <v>2.725</v>
      </c>
      <c r="E1851" s="3">
        <v>2.9875</v>
      </c>
      <c r="F1851" s="3">
        <v>2.7238</v>
      </c>
      <c r="G1851" s="3">
        <v>2.9863</v>
      </c>
    </row>
    <row r="1852" spans="1:7">
      <c r="A1852" s="2">
        <v>43753</v>
      </c>
      <c r="B1852" s="3">
        <v>2.7374</v>
      </c>
      <c r="C1852" s="3">
        <v>2.995</v>
      </c>
      <c r="D1852" s="3">
        <v>2.74</v>
      </c>
      <c r="E1852" s="3">
        <v>2.9975</v>
      </c>
      <c r="F1852" s="3">
        <v>2.7387</v>
      </c>
      <c r="G1852" s="3">
        <v>2.9963</v>
      </c>
    </row>
    <row r="1853" spans="1:7">
      <c r="A1853" s="2">
        <v>43754</v>
      </c>
      <c r="B1853" s="3">
        <v>2.73</v>
      </c>
      <c r="C1853" s="3">
        <v>2.9825</v>
      </c>
      <c r="D1853" s="3">
        <v>2.7375</v>
      </c>
      <c r="E1853" s="3">
        <v>2.985</v>
      </c>
      <c r="F1853" s="3">
        <v>2.7338</v>
      </c>
      <c r="G1853" s="3">
        <v>2.9838</v>
      </c>
    </row>
    <row r="1854" spans="1:7">
      <c r="A1854" s="2">
        <v>43755</v>
      </c>
      <c r="B1854" s="3">
        <v>2.7225</v>
      </c>
      <c r="C1854" s="3">
        <v>2.9725</v>
      </c>
      <c r="D1854" s="3">
        <v>2.7251</v>
      </c>
      <c r="E1854" s="3">
        <v>2.975</v>
      </c>
      <c r="F1854" s="3">
        <v>2.7238</v>
      </c>
      <c r="G1854" s="3">
        <v>2.9738</v>
      </c>
    </row>
    <row r="1855" spans="1:7">
      <c r="A1855" s="2">
        <v>43756</v>
      </c>
      <c r="B1855" s="3">
        <v>2.7425</v>
      </c>
      <c r="C1855" s="3">
        <v>3.005</v>
      </c>
      <c r="D1855" s="3">
        <v>2.7525</v>
      </c>
      <c r="E1855" s="3">
        <v>3.01</v>
      </c>
      <c r="F1855" s="3">
        <v>2.7475</v>
      </c>
      <c r="G1855" s="3">
        <v>3.0075</v>
      </c>
    </row>
    <row r="1856" spans="1:7">
      <c r="A1856" s="2">
        <v>43759</v>
      </c>
      <c r="B1856" s="3">
        <v>2.775</v>
      </c>
      <c r="C1856" s="3">
        <v>3.0494</v>
      </c>
      <c r="D1856" s="3">
        <v>2.782</v>
      </c>
      <c r="E1856" s="3">
        <v>3.0538</v>
      </c>
      <c r="F1856" s="3">
        <v>2.7785</v>
      </c>
      <c r="G1856" s="3">
        <v>3.0516</v>
      </c>
    </row>
    <row r="1857" spans="1:7">
      <c r="A1857" s="2">
        <v>43760</v>
      </c>
      <c r="B1857" s="3">
        <v>2.78</v>
      </c>
      <c r="C1857" s="3">
        <v>3.0575</v>
      </c>
      <c r="D1857" s="3">
        <v>2.7866</v>
      </c>
      <c r="E1857" s="3">
        <v>3.06</v>
      </c>
      <c r="F1857" s="3">
        <v>2.7833</v>
      </c>
      <c r="G1857" s="3">
        <v>3.0588</v>
      </c>
    </row>
    <row r="1858" spans="1:7">
      <c r="A1858" s="2">
        <v>43761</v>
      </c>
      <c r="B1858" s="3">
        <v>2.765</v>
      </c>
      <c r="C1858" s="3">
        <v>3.0411</v>
      </c>
      <c r="D1858" s="3">
        <v>2.7675</v>
      </c>
      <c r="E1858" s="3">
        <v>3.045</v>
      </c>
      <c r="F1858" s="3">
        <v>2.7663</v>
      </c>
      <c r="G1858" s="3">
        <v>3.0431</v>
      </c>
    </row>
    <row r="1859" spans="1:7">
      <c r="A1859" s="2">
        <v>43762</v>
      </c>
      <c r="B1859" s="3">
        <v>2.7575</v>
      </c>
      <c r="C1859" s="3">
        <v>3.0359</v>
      </c>
      <c r="D1859" s="3">
        <v>2.762</v>
      </c>
      <c r="E1859" s="3">
        <v>3.04</v>
      </c>
      <c r="F1859" s="3">
        <v>2.7598</v>
      </c>
      <c r="G1859" s="3">
        <v>3.0379</v>
      </c>
    </row>
    <row r="1860" spans="1:7">
      <c r="A1860" s="2">
        <v>43763</v>
      </c>
      <c r="B1860" s="3">
        <v>2.7825</v>
      </c>
      <c r="C1860" s="3">
        <v>3.06</v>
      </c>
      <c r="D1860" s="3">
        <v>2.7855</v>
      </c>
      <c r="E1860" s="3">
        <v>3.065</v>
      </c>
      <c r="F1860" s="3">
        <v>2.784</v>
      </c>
      <c r="G1860" s="3">
        <v>3.0625</v>
      </c>
    </row>
    <row r="1861" spans="1:7">
      <c r="A1861" s="2">
        <v>43766</v>
      </c>
      <c r="B1861" s="3">
        <v>2.8325</v>
      </c>
      <c r="C1861" s="3">
        <v>3.1223</v>
      </c>
      <c r="D1861" s="3">
        <v>2.8425</v>
      </c>
      <c r="E1861" s="3">
        <v>3.1275</v>
      </c>
      <c r="F1861" s="3">
        <v>2.8375</v>
      </c>
      <c r="G1861" s="3">
        <v>3.1249</v>
      </c>
    </row>
    <row r="1862" spans="1:7">
      <c r="A1862" s="2">
        <v>43767</v>
      </c>
      <c r="B1862" s="3">
        <v>2.86</v>
      </c>
      <c r="C1862" s="3">
        <v>3.16</v>
      </c>
      <c r="D1862" s="3">
        <v>2.8675</v>
      </c>
      <c r="E1862" s="3">
        <v>3.1625</v>
      </c>
      <c r="F1862" s="3">
        <v>2.8638</v>
      </c>
      <c r="G1862" s="3">
        <v>3.1613</v>
      </c>
    </row>
    <row r="1863" spans="1:7">
      <c r="A1863" s="2">
        <v>43768</v>
      </c>
      <c r="B1863" s="3">
        <v>2.9</v>
      </c>
      <c r="C1863" s="3">
        <v>3.197</v>
      </c>
      <c r="D1863" s="3">
        <v>2.9032</v>
      </c>
      <c r="E1863" s="3">
        <v>3.1998</v>
      </c>
      <c r="F1863" s="3">
        <v>2.9016</v>
      </c>
      <c r="G1863" s="3">
        <v>3.1984</v>
      </c>
    </row>
    <row r="1864" spans="1:7">
      <c r="A1864" s="2">
        <v>43769</v>
      </c>
      <c r="B1864" s="3">
        <v>2.8625</v>
      </c>
      <c r="C1864" s="3">
        <v>3.145</v>
      </c>
      <c r="D1864" s="3">
        <v>2.8725</v>
      </c>
      <c r="E1864" s="3">
        <v>3.1501</v>
      </c>
      <c r="F1864" s="3">
        <v>2.8675</v>
      </c>
      <c r="G1864" s="3">
        <v>3.1476</v>
      </c>
    </row>
    <row r="1865" spans="1:7">
      <c r="A1865" s="2">
        <v>43770</v>
      </c>
      <c r="B1865" s="3">
        <v>2.85</v>
      </c>
      <c r="C1865" s="3">
        <v>3.1351</v>
      </c>
      <c r="D1865" s="3">
        <v>2.8575</v>
      </c>
      <c r="E1865" s="3">
        <v>3.1422</v>
      </c>
      <c r="F1865" s="3">
        <v>2.8538</v>
      </c>
      <c r="G1865" s="3">
        <v>3.1386</v>
      </c>
    </row>
    <row r="1866" spans="1:7">
      <c r="A1866" s="2">
        <v>43773</v>
      </c>
      <c r="B1866" s="3">
        <v>2.8675</v>
      </c>
      <c r="C1866" s="3">
        <v>3.1771</v>
      </c>
      <c r="D1866" s="3">
        <v>2.8725</v>
      </c>
      <c r="E1866" s="3">
        <v>3.18</v>
      </c>
      <c r="F1866" s="3">
        <v>2.87</v>
      </c>
      <c r="G1866" s="3">
        <v>3.1785</v>
      </c>
    </row>
    <row r="1867" spans="1:7">
      <c r="A1867" s="2">
        <v>43774</v>
      </c>
      <c r="B1867" s="3">
        <v>2.81</v>
      </c>
      <c r="C1867" s="3">
        <v>3.1275</v>
      </c>
      <c r="D1867" s="3">
        <v>2.815</v>
      </c>
      <c r="E1867" s="3">
        <v>3.13</v>
      </c>
      <c r="F1867" s="3">
        <v>2.8125</v>
      </c>
      <c r="G1867" s="3">
        <v>3.1288</v>
      </c>
    </row>
    <row r="1868" spans="1:7">
      <c r="A1868" s="2">
        <v>43775</v>
      </c>
      <c r="B1868" s="3">
        <v>2.8123</v>
      </c>
      <c r="C1868" s="3">
        <v>3.1188</v>
      </c>
      <c r="D1868" s="3">
        <v>2.8175</v>
      </c>
      <c r="E1868" s="3">
        <v>3.1214</v>
      </c>
      <c r="F1868" s="3">
        <v>2.8149</v>
      </c>
      <c r="G1868" s="3">
        <v>3.1201</v>
      </c>
    </row>
    <row r="1869" spans="1:7">
      <c r="A1869" s="2">
        <v>43776</v>
      </c>
      <c r="B1869" s="3">
        <v>2.8236</v>
      </c>
      <c r="C1869" s="3">
        <v>3.1425</v>
      </c>
      <c r="D1869" s="3">
        <v>2.8274</v>
      </c>
      <c r="E1869" s="3">
        <v>3.1452</v>
      </c>
      <c r="F1869" s="3">
        <v>2.8255</v>
      </c>
      <c r="G1869" s="3">
        <v>3.1439</v>
      </c>
    </row>
    <row r="1870" spans="1:7">
      <c r="A1870" s="2">
        <v>43777</v>
      </c>
      <c r="B1870" s="3">
        <v>2.8275</v>
      </c>
      <c r="C1870" s="3">
        <v>3.155</v>
      </c>
      <c r="D1870" s="3">
        <v>2.83</v>
      </c>
      <c r="E1870" s="3">
        <v>3.1579</v>
      </c>
      <c r="F1870" s="3">
        <v>2.8288</v>
      </c>
      <c r="G1870" s="3">
        <v>3.1565</v>
      </c>
    </row>
    <row r="1871" spans="1:7">
      <c r="A1871" s="2">
        <v>43780</v>
      </c>
      <c r="B1871" s="3">
        <v>2.8125</v>
      </c>
      <c r="C1871" s="3">
        <v>3.125</v>
      </c>
      <c r="D1871" s="3">
        <v>2.8175</v>
      </c>
      <c r="E1871" s="3">
        <v>3.1291</v>
      </c>
      <c r="F1871" s="3">
        <v>2.815</v>
      </c>
      <c r="G1871" s="3">
        <v>3.1271</v>
      </c>
    </row>
    <row r="1872" spans="1:7">
      <c r="A1872" s="2">
        <v>43781</v>
      </c>
      <c r="B1872" s="3">
        <v>2.82</v>
      </c>
      <c r="C1872" s="3">
        <v>3.135</v>
      </c>
      <c r="D1872" s="3">
        <v>2.825</v>
      </c>
      <c r="E1872" s="3">
        <v>3.1375</v>
      </c>
      <c r="F1872" s="3">
        <v>2.8225</v>
      </c>
      <c r="G1872" s="3">
        <v>3.1363</v>
      </c>
    </row>
    <row r="1873" spans="1:7">
      <c r="A1873" s="2">
        <v>43782</v>
      </c>
      <c r="B1873" s="3">
        <v>2.815</v>
      </c>
      <c r="C1873" s="3">
        <v>3.1162</v>
      </c>
      <c r="D1873" s="3">
        <v>2.82</v>
      </c>
      <c r="E1873" s="3">
        <v>3.12</v>
      </c>
      <c r="F1873" s="3">
        <v>2.8175</v>
      </c>
      <c r="G1873" s="3">
        <v>3.1181</v>
      </c>
    </row>
    <row r="1874" spans="1:7">
      <c r="A1874" s="2">
        <v>43783</v>
      </c>
      <c r="B1874" s="3">
        <v>2.8261</v>
      </c>
      <c r="C1874" s="3">
        <v>3.125</v>
      </c>
      <c r="D1874" s="3">
        <v>2.8291</v>
      </c>
      <c r="E1874" s="3">
        <v>3.1275</v>
      </c>
      <c r="F1874" s="3">
        <v>2.8276</v>
      </c>
      <c r="G1874" s="3">
        <v>3.1263</v>
      </c>
    </row>
    <row r="1875" spans="1:7">
      <c r="A1875" s="2">
        <v>43784</v>
      </c>
      <c r="B1875" s="3">
        <v>2.8019</v>
      </c>
      <c r="C1875" s="3">
        <v>3.1013</v>
      </c>
      <c r="D1875" s="3">
        <v>2.806</v>
      </c>
      <c r="E1875" s="3">
        <v>3.105</v>
      </c>
      <c r="F1875" s="3">
        <v>2.804</v>
      </c>
      <c r="G1875" s="3">
        <v>3.1032</v>
      </c>
    </row>
    <row r="1876" spans="1:7">
      <c r="A1876" s="2">
        <v>43787</v>
      </c>
      <c r="B1876" s="3">
        <v>2.735</v>
      </c>
      <c r="C1876" s="3">
        <v>3.025</v>
      </c>
      <c r="D1876" s="3">
        <v>2.7375</v>
      </c>
      <c r="E1876" s="3">
        <v>3.028</v>
      </c>
      <c r="F1876" s="3">
        <v>2.7363</v>
      </c>
      <c r="G1876" s="3">
        <v>3.0265</v>
      </c>
    </row>
    <row r="1877" spans="1:7">
      <c r="A1877" s="2">
        <v>43788</v>
      </c>
      <c r="B1877" s="3">
        <v>2.675</v>
      </c>
      <c r="C1877" s="3">
        <v>2.9525</v>
      </c>
      <c r="D1877" s="3">
        <v>2.6789</v>
      </c>
      <c r="E1877" s="3">
        <v>2.955</v>
      </c>
      <c r="F1877" s="3">
        <v>2.6769</v>
      </c>
      <c r="G1877" s="3">
        <v>2.9538</v>
      </c>
    </row>
    <row r="1878" spans="1:7">
      <c r="A1878" s="2">
        <v>43789</v>
      </c>
      <c r="B1878" s="3">
        <v>2.6406</v>
      </c>
      <c r="C1878" s="3">
        <v>2.9375</v>
      </c>
      <c r="D1878" s="3">
        <v>2.645</v>
      </c>
      <c r="E1878" s="3">
        <v>2.94</v>
      </c>
      <c r="F1878" s="3">
        <v>2.6428</v>
      </c>
      <c r="G1878" s="3">
        <v>2.9388</v>
      </c>
    </row>
    <row r="1879" spans="1:7">
      <c r="A1879" s="2">
        <v>43790</v>
      </c>
      <c r="B1879" s="3">
        <v>2.64</v>
      </c>
      <c r="C1879" s="3">
        <v>2.9375</v>
      </c>
      <c r="D1879" s="3">
        <v>2.6475</v>
      </c>
      <c r="E1879" s="3">
        <v>2.94</v>
      </c>
      <c r="F1879" s="3">
        <v>2.6438</v>
      </c>
      <c r="G1879" s="3">
        <v>2.9388</v>
      </c>
    </row>
    <row r="1880" spans="1:7">
      <c r="A1880" s="2">
        <v>43791</v>
      </c>
      <c r="B1880" s="3">
        <v>2.6417</v>
      </c>
      <c r="C1880" s="3">
        <v>2.9375</v>
      </c>
      <c r="D1880" s="3">
        <v>2.645</v>
      </c>
      <c r="E1880" s="3">
        <v>2.94</v>
      </c>
      <c r="F1880" s="3">
        <v>2.6433</v>
      </c>
      <c r="G1880" s="3">
        <v>2.9388</v>
      </c>
    </row>
    <row r="1881" spans="1:7">
      <c r="A1881" s="2">
        <v>43794</v>
      </c>
      <c r="B1881" s="3">
        <v>2.6825</v>
      </c>
      <c r="C1881" s="3">
        <v>2.9763</v>
      </c>
      <c r="D1881" s="3">
        <v>2.6852</v>
      </c>
      <c r="E1881" s="3">
        <v>2.98</v>
      </c>
      <c r="F1881" s="3">
        <v>2.6838</v>
      </c>
      <c r="G1881" s="3">
        <v>2.9782</v>
      </c>
    </row>
    <row r="1882" spans="1:7">
      <c r="A1882" s="2">
        <v>43795</v>
      </c>
      <c r="B1882" s="3">
        <v>2.675</v>
      </c>
      <c r="C1882" s="3">
        <v>2.97</v>
      </c>
      <c r="D1882" s="3">
        <v>2.68</v>
      </c>
      <c r="E1882" s="3">
        <v>2.975</v>
      </c>
      <c r="F1882" s="3">
        <v>2.6775</v>
      </c>
      <c r="G1882" s="3">
        <v>2.9725</v>
      </c>
    </row>
    <row r="1883" spans="1:7">
      <c r="A1883" s="2">
        <v>43796</v>
      </c>
      <c r="B1883" s="3">
        <v>2.6875</v>
      </c>
      <c r="C1883" s="3">
        <v>2.9775</v>
      </c>
      <c r="D1883" s="3">
        <v>2.6916</v>
      </c>
      <c r="E1883" s="3">
        <v>2.98</v>
      </c>
      <c r="F1883" s="3">
        <v>2.6896</v>
      </c>
      <c r="G1883" s="3">
        <v>2.9788</v>
      </c>
    </row>
    <row r="1884" spans="1:7">
      <c r="A1884" s="2">
        <v>43797</v>
      </c>
      <c r="B1884" s="3">
        <v>2.6875</v>
      </c>
      <c r="C1884" s="3">
        <v>2.975</v>
      </c>
      <c r="D1884" s="3">
        <v>2.69</v>
      </c>
      <c r="E1884" s="3">
        <v>2.98</v>
      </c>
      <c r="F1884" s="3">
        <v>2.6888</v>
      </c>
      <c r="G1884" s="3">
        <v>2.9775</v>
      </c>
    </row>
    <row r="1885" spans="1:7">
      <c r="A1885" s="2">
        <v>43798</v>
      </c>
      <c r="B1885" s="3">
        <v>2.6753</v>
      </c>
      <c r="C1885" s="3">
        <v>2.9675</v>
      </c>
      <c r="D1885" s="3">
        <v>2.68</v>
      </c>
      <c r="E1885" s="3">
        <v>2.9707</v>
      </c>
      <c r="F1885" s="3">
        <v>2.6777</v>
      </c>
      <c r="G1885" s="3">
        <v>2.9691</v>
      </c>
    </row>
    <row r="1886" spans="1:7">
      <c r="A1886" s="2">
        <v>43801</v>
      </c>
      <c r="B1886" s="3">
        <v>2.6967</v>
      </c>
      <c r="C1886" s="3">
        <v>3.0121</v>
      </c>
      <c r="D1886" s="3">
        <v>2.7</v>
      </c>
      <c r="E1886" s="3">
        <v>3.015</v>
      </c>
      <c r="F1886" s="3">
        <v>2.6983</v>
      </c>
      <c r="G1886" s="3">
        <v>3.0135</v>
      </c>
    </row>
    <row r="1887" spans="1:7">
      <c r="A1887" s="2">
        <v>43802</v>
      </c>
      <c r="B1887" s="3">
        <v>2.68</v>
      </c>
      <c r="C1887" s="3">
        <v>2.99</v>
      </c>
      <c r="D1887" s="3">
        <v>2.6875</v>
      </c>
      <c r="E1887" s="3">
        <v>2.9933</v>
      </c>
      <c r="F1887" s="3">
        <v>2.6838</v>
      </c>
      <c r="G1887" s="3">
        <v>2.9917</v>
      </c>
    </row>
    <row r="1888" spans="1:7">
      <c r="A1888" s="2">
        <v>43803</v>
      </c>
      <c r="B1888" s="3">
        <v>2.67</v>
      </c>
      <c r="C1888" s="3">
        <v>2.9722</v>
      </c>
      <c r="D1888" s="3">
        <v>2.675</v>
      </c>
      <c r="E1888" s="3">
        <v>2.975</v>
      </c>
      <c r="F1888" s="3">
        <v>2.6725</v>
      </c>
      <c r="G1888" s="3">
        <v>2.9736</v>
      </c>
    </row>
    <row r="1889" spans="1:7">
      <c r="A1889" s="2">
        <v>43804</v>
      </c>
      <c r="B1889" s="3">
        <v>2.675</v>
      </c>
      <c r="C1889" s="3">
        <v>2.9799</v>
      </c>
      <c r="D1889" s="3">
        <v>2.68</v>
      </c>
      <c r="E1889" s="3">
        <v>2.9825</v>
      </c>
      <c r="F1889" s="3">
        <v>2.6775</v>
      </c>
      <c r="G1889" s="3">
        <v>2.9812</v>
      </c>
    </row>
    <row r="1890" spans="1:7">
      <c r="A1890" s="2">
        <v>43805</v>
      </c>
      <c r="B1890" s="3">
        <v>2.6975</v>
      </c>
      <c r="C1890" s="3">
        <v>3.0075</v>
      </c>
      <c r="D1890" s="3">
        <v>2.7025</v>
      </c>
      <c r="E1890" s="3">
        <v>3.0125</v>
      </c>
      <c r="F1890" s="3">
        <v>2.7</v>
      </c>
      <c r="G1890" s="3">
        <v>3.01</v>
      </c>
    </row>
    <row r="1891" spans="1:7">
      <c r="A1891" s="2">
        <v>43808</v>
      </c>
      <c r="B1891" s="3">
        <v>2.7075</v>
      </c>
      <c r="C1891" s="3">
        <v>3.02</v>
      </c>
      <c r="D1891" s="3">
        <v>2.71</v>
      </c>
      <c r="E1891" s="3">
        <v>3.0225</v>
      </c>
      <c r="F1891" s="3">
        <v>2.7088</v>
      </c>
      <c r="G1891" s="3">
        <v>3.0213</v>
      </c>
    </row>
    <row r="1892" spans="1:7">
      <c r="A1892" s="2">
        <v>43809</v>
      </c>
      <c r="B1892" s="3">
        <v>2.6875</v>
      </c>
      <c r="C1892" s="3">
        <v>3</v>
      </c>
      <c r="D1892" s="3">
        <v>2.69</v>
      </c>
      <c r="E1892" s="3">
        <v>3.0025</v>
      </c>
      <c r="F1892" s="3">
        <v>2.6888</v>
      </c>
      <c r="G1892" s="3">
        <v>3.0013</v>
      </c>
    </row>
    <row r="1893" spans="1:7">
      <c r="A1893" s="2">
        <v>43810</v>
      </c>
      <c r="B1893" s="3">
        <v>2.6675</v>
      </c>
      <c r="C1893" s="3">
        <v>2.9825</v>
      </c>
      <c r="D1893" s="3">
        <v>2.675</v>
      </c>
      <c r="E1893" s="3">
        <v>2.9857</v>
      </c>
      <c r="F1893" s="3">
        <v>2.6713</v>
      </c>
      <c r="G1893" s="3">
        <v>2.9841</v>
      </c>
    </row>
    <row r="1894" spans="1:7">
      <c r="A1894" s="2">
        <v>43811</v>
      </c>
      <c r="B1894" s="3">
        <v>2.663</v>
      </c>
      <c r="C1894" s="3">
        <v>2.9825</v>
      </c>
      <c r="D1894" s="3">
        <v>2.6671</v>
      </c>
      <c r="E1894" s="3">
        <v>2.985</v>
      </c>
      <c r="F1894" s="3">
        <v>2.6651</v>
      </c>
      <c r="G1894" s="3">
        <v>2.9838</v>
      </c>
    </row>
    <row r="1895" spans="1:7">
      <c r="A1895" s="2">
        <v>43812</v>
      </c>
      <c r="B1895" s="3">
        <v>2.6774</v>
      </c>
      <c r="C1895" s="3">
        <v>3.005</v>
      </c>
      <c r="D1895" s="3">
        <v>2.68</v>
      </c>
      <c r="E1895" s="3">
        <v>3.0078</v>
      </c>
      <c r="F1895" s="3">
        <v>2.6787</v>
      </c>
      <c r="G1895" s="3">
        <v>3.0064</v>
      </c>
    </row>
    <row r="1896" spans="1:7">
      <c r="A1896" s="2">
        <v>43815</v>
      </c>
      <c r="B1896" s="3">
        <v>2.69</v>
      </c>
      <c r="C1896" s="3">
        <v>3.0175</v>
      </c>
      <c r="D1896" s="3">
        <v>2.692</v>
      </c>
      <c r="E1896" s="3">
        <v>3.02</v>
      </c>
      <c r="F1896" s="3">
        <v>2.691</v>
      </c>
      <c r="G1896" s="3">
        <v>3.0188</v>
      </c>
    </row>
    <row r="1897" spans="1:7">
      <c r="A1897" s="2">
        <v>43816</v>
      </c>
      <c r="B1897" s="3">
        <v>2.7125</v>
      </c>
      <c r="C1897" s="3">
        <v>3.045</v>
      </c>
      <c r="D1897" s="3">
        <v>2.715</v>
      </c>
      <c r="E1897" s="3">
        <v>3.0475</v>
      </c>
      <c r="F1897" s="3">
        <v>2.7138</v>
      </c>
      <c r="G1897" s="3">
        <v>3.0463</v>
      </c>
    </row>
    <row r="1898" spans="1:7">
      <c r="A1898" s="2">
        <v>43817</v>
      </c>
      <c r="B1898" s="3">
        <v>2.695</v>
      </c>
      <c r="C1898" s="3">
        <v>3.04</v>
      </c>
      <c r="D1898" s="3">
        <v>2.6975</v>
      </c>
      <c r="E1898" s="3">
        <v>3.0425</v>
      </c>
      <c r="F1898" s="3">
        <v>2.6963</v>
      </c>
      <c r="G1898" s="3">
        <v>3.0413</v>
      </c>
    </row>
    <row r="1899" spans="1:7">
      <c r="A1899" s="2">
        <v>43818</v>
      </c>
      <c r="B1899" s="3">
        <v>2.6825</v>
      </c>
      <c r="C1899" s="3">
        <v>3.0325</v>
      </c>
      <c r="D1899" s="3">
        <v>2.69</v>
      </c>
      <c r="E1899" s="3">
        <v>3.035</v>
      </c>
      <c r="F1899" s="3">
        <v>2.6863</v>
      </c>
      <c r="G1899" s="3">
        <v>3.0338</v>
      </c>
    </row>
    <row r="1900" spans="1:7">
      <c r="A1900" s="2">
        <v>43819</v>
      </c>
      <c r="B1900" s="3">
        <v>2.6517</v>
      </c>
      <c r="C1900" s="3">
        <v>2.9959</v>
      </c>
      <c r="D1900" s="3">
        <v>2.6545</v>
      </c>
      <c r="E1900" s="3">
        <v>3</v>
      </c>
      <c r="F1900" s="3">
        <v>2.6531</v>
      </c>
      <c r="G1900" s="3">
        <v>2.9979</v>
      </c>
    </row>
    <row r="1901" spans="1:7">
      <c r="A1901" s="2">
        <v>43822</v>
      </c>
      <c r="B1901" s="3">
        <v>2.6275</v>
      </c>
      <c r="C1901" s="3">
        <v>2.9725</v>
      </c>
      <c r="D1901" s="3">
        <v>2.6304</v>
      </c>
      <c r="E1901" s="3">
        <v>2.975</v>
      </c>
      <c r="F1901" s="3">
        <v>2.629</v>
      </c>
      <c r="G1901" s="3">
        <v>2.9738</v>
      </c>
    </row>
    <row r="1902" spans="1:7">
      <c r="A1902" s="2">
        <v>43823</v>
      </c>
      <c r="B1902" s="3">
        <v>2.62</v>
      </c>
      <c r="C1902" s="3">
        <v>2.9755</v>
      </c>
      <c r="D1902" s="3">
        <v>2.625</v>
      </c>
      <c r="E1902" s="3">
        <v>2.9775</v>
      </c>
      <c r="F1902" s="3">
        <v>2.6225</v>
      </c>
      <c r="G1902" s="3">
        <v>2.9765</v>
      </c>
    </row>
    <row r="1903" spans="1:7">
      <c r="A1903" s="2">
        <v>43824</v>
      </c>
      <c r="B1903" s="3">
        <v>2.62</v>
      </c>
      <c r="C1903" s="3">
        <v>2.97</v>
      </c>
      <c r="D1903" s="3">
        <v>2.6275</v>
      </c>
      <c r="E1903" s="3">
        <v>2.975</v>
      </c>
      <c r="F1903" s="3">
        <v>2.6238</v>
      </c>
      <c r="G1903" s="3">
        <v>2.9725</v>
      </c>
    </row>
    <row r="1904" spans="1:7">
      <c r="A1904" s="2">
        <v>43825</v>
      </c>
      <c r="B1904" s="3">
        <v>2.6211</v>
      </c>
      <c r="C1904" s="3">
        <v>2.963</v>
      </c>
      <c r="D1904" s="3">
        <v>2.63</v>
      </c>
      <c r="E1904" s="3">
        <v>2.965</v>
      </c>
      <c r="F1904" s="3">
        <v>2.6255</v>
      </c>
      <c r="G1904" s="3">
        <v>2.964</v>
      </c>
    </row>
    <row r="1905" spans="1:7">
      <c r="A1905" s="2">
        <v>43826</v>
      </c>
      <c r="B1905" s="3">
        <v>2.6325</v>
      </c>
      <c r="C1905" s="3">
        <v>2.975</v>
      </c>
      <c r="D1905" s="3">
        <v>2.6375</v>
      </c>
      <c r="E1905" s="3">
        <v>2.98</v>
      </c>
      <c r="F1905" s="3">
        <v>2.635</v>
      </c>
      <c r="G1905" s="3">
        <v>2.9775</v>
      </c>
    </row>
    <row r="1906" spans="1:7">
      <c r="A1906" s="2">
        <v>43829</v>
      </c>
      <c r="B1906" s="3">
        <v>2.6375</v>
      </c>
      <c r="C1906" s="3">
        <v>2.9825</v>
      </c>
      <c r="D1906" s="3">
        <v>2.645</v>
      </c>
      <c r="E1906" s="3">
        <v>2.99</v>
      </c>
      <c r="F1906" s="3">
        <v>2.6413</v>
      </c>
      <c r="G1906" s="3">
        <v>2.9863</v>
      </c>
    </row>
    <row r="1907" spans="1:7">
      <c r="A1907" s="2">
        <v>43830</v>
      </c>
      <c r="B1907" s="3">
        <v>2.645</v>
      </c>
      <c r="C1907" s="3">
        <v>2.9771</v>
      </c>
      <c r="D1907" s="3">
        <v>2.6475</v>
      </c>
      <c r="E1907" s="3">
        <v>2.9875</v>
      </c>
      <c r="F1907" s="3">
        <v>2.6463</v>
      </c>
      <c r="G1907" s="3">
        <v>2.9823</v>
      </c>
    </row>
    <row r="1908" spans="1:7">
      <c r="A1908" s="2">
        <v>43832</v>
      </c>
      <c r="B1908" s="3">
        <v>2.6525</v>
      </c>
      <c r="C1908" s="3">
        <v>3.0175</v>
      </c>
      <c r="D1908" s="3">
        <v>2.655</v>
      </c>
      <c r="E1908" s="3">
        <v>3.0225</v>
      </c>
      <c r="F1908" s="3">
        <v>2.6538</v>
      </c>
      <c r="G1908" s="3">
        <v>3.02</v>
      </c>
    </row>
    <row r="1909" spans="1:7">
      <c r="A1909" s="2">
        <v>43833</v>
      </c>
      <c r="B1909" s="3">
        <v>2.6361</v>
      </c>
      <c r="C1909" s="3">
        <v>3.0056</v>
      </c>
      <c r="D1909" s="3">
        <v>2.64</v>
      </c>
      <c r="E1909" s="3">
        <v>3.01</v>
      </c>
      <c r="F1909" s="3">
        <v>2.6381</v>
      </c>
      <c r="G1909" s="3">
        <v>3.0078</v>
      </c>
    </row>
    <row r="1910" spans="1:7">
      <c r="A1910" s="2">
        <v>43836</v>
      </c>
      <c r="B1910" s="3">
        <v>2.617</v>
      </c>
      <c r="C1910" s="3">
        <v>2.9822</v>
      </c>
      <c r="D1910" s="3">
        <v>2.6176</v>
      </c>
      <c r="E1910" s="3">
        <v>2.985</v>
      </c>
      <c r="F1910" s="3">
        <v>2.6173</v>
      </c>
      <c r="G1910" s="3">
        <v>2.9836</v>
      </c>
    </row>
    <row r="1911" spans="1:7">
      <c r="A1911" s="2">
        <v>43837</v>
      </c>
      <c r="B1911" s="3">
        <v>2.6325</v>
      </c>
      <c r="C1911" s="3">
        <v>2.99</v>
      </c>
      <c r="D1911" s="3">
        <v>2.64</v>
      </c>
      <c r="E1911" s="3">
        <v>2.9927</v>
      </c>
      <c r="F1911" s="3">
        <v>2.6363</v>
      </c>
      <c r="G1911" s="3">
        <v>2.9914</v>
      </c>
    </row>
    <row r="1912" spans="1:7">
      <c r="A1912" s="2">
        <v>43838</v>
      </c>
      <c r="B1912" s="3">
        <v>2.6325</v>
      </c>
      <c r="C1912" s="3">
        <v>2.975</v>
      </c>
      <c r="D1912" s="3">
        <v>2.6375</v>
      </c>
      <c r="E1912" s="3">
        <v>2.9775</v>
      </c>
      <c r="F1912" s="3">
        <v>2.635</v>
      </c>
      <c r="G1912" s="3">
        <v>2.9763</v>
      </c>
    </row>
    <row r="1913" spans="1:7">
      <c r="A1913" s="2">
        <v>43839</v>
      </c>
      <c r="B1913" s="3">
        <v>2.63</v>
      </c>
      <c r="C1913" s="3">
        <v>2.9725</v>
      </c>
      <c r="D1913" s="3">
        <v>2.6325</v>
      </c>
      <c r="E1913" s="3">
        <v>2.975</v>
      </c>
      <c r="F1913" s="3">
        <v>2.6313</v>
      </c>
      <c r="G1913" s="3">
        <v>2.9737</v>
      </c>
    </row>
    <row r="1914" spans="1:7">
      <c r="A1914" s="2">
        <v>43840</v>
      </c>
      <c r="B1914" s="3">
        <v>2.62</v>
      </c>
      <c r="C1914" s="3">
        <v>2.945</v>
      </c>
      <c r="D1914" s="3">
        <v>2.6275</v>
      </c>
      <c r="E1914" s="3">
        <v>2.95</v>
      </c>
      <c r="F1914" s="3">
        <v>2.6238</v>
      </c>
      <c r="G1914" s="3">
        <v>2.9475</v>
      </c>
    </row>
    <row r="1915" spans="1:7">
      <c r="A1915" s="2">
        <v>43843</v>
      </c>
      <c r="B1915" s="3">
        <v>2.6365</v>
      </c>
      <c r="C1915" s="3">
        <v>2.9588</v>
      </c>
      <c r="D1915" s="3">
        <v>2.64</v>
      </c>
      <c r="E1915" s="3">
        <v>2.9606</v>
      </c>
      <c r="F1915" s="3">
        <v>2.6383</v>
      </c>
      <c r="G1915" s="3">
        <v>2.9597</v>
      </c>
    </row>
    <row r="1916" spans="1:7">
      <c r="A1916" s="2">
        <v>43844</v>
      </c>
      <c r="B1916" s="3">
        <v>2.645</v>
      </c>
      <c r="C1916" s="3">
        <v>2.9725</v>
      </c>
      <c r="D1916" s="3">
        <v>2.6475</v>
      </c>
      <c r="E1916" s="3">
        <v>2.9775</v>
      </c>
      <c r="F1916" s="3">
        <v>2.6463</v>
      </c>
      <c r="G1916" s="3">
        <v>2.975</v>
      </c>
    </row>
    <row r="1917" spans="1:7">
      <c r="A1917" s="2">
        <v>43845</v>
      </c>
      <c r="B1917" s="3">
        <v>2.645</v>
      </c>
      <c r="C1917" s="3">
        <v>2.9701</v>
      </c>
      <c r="D1917" s="3">
        <v>2.6497</v>
      </c>
      <c r="E1917" s="3">
        <v>2.9725</v>
      </c>
      <c r="F1917" s="3">
        <v>2.6473</v>
      </c>
      <c r="G1917" s="3">
        <v>2.9713</v>
      </c>
    </row>
    <row r="1918" spans="1:7">
      <c r="A1918" s="2">
        <v>43846</v>
      </c>
      <c r="B1918" s="3">
        <v>2.6328</v>
      </c>
      <c r="C1918" s="3">
        <v>2.9725</v>
      </c>
      <c r="D1918" s="3">
        <v>2.6375</v>
      </c>
      <c r="E1918" s="3">
        <v>2.9749</v>
      </c>
      <c r="F1918" s="3">
        <v>2.6352</v>
      </c>
      <c r="G1918" s="3">
        <v>2.9737</v>
      </c>
    </row>
    <row r="1919" spans="1:7">
      <c r="A1919" s="2">
        <v>43847</v>
      </c>
      <c r="B1919" s="3">
        <v>2.6188</v>
      </c>
      <c r="C1919" s="3">
        <v>2.955</v>
      </c>
      <c r="D1919" s="3">
        <v>2.6275</v>
      </c>
      <c r="E1919" s="3">
        <v>2.96</v>
      </c>
      <c r="F1919" s="3">
        <v>2.6231</v>
      </c>
      <c r="G1919" s="3">
        <v>2.9575</v>
      </c>
    </row>
    <row r="1920" spans="1:7">
      <c r="A1920" s="2">
        <v>43849</v>
      </c>
      <c r="B1920" s="3">
        <v>2.6125</v>
      </c>
      <c r="C1920" s="3">
        <v>2.9475</v>
      </c>
      <c r="D1920" s="3">
        <v>2.63</v>
      </c>
      <c r="E1920" s="3">
        <v>2.965</v>
      </c>
      <c r="F1920" s="3">
        <v>2.6213</v>
      </c>
      <c r="G1920" s="3">
        <v>2.9563</v>
      </c>
    </row>
    <row r="1921" spans="1:7">
      <c r="A1921" s="2">
        <v>43850</v>
      </c>
      <c r="B1921" s="3">
        <v>2.6075</v>
      </c>
      <c r="C1921" s="3">
        <v>2.9347</v>
      </c>
      <c r="D1921" s="3">
        <v>2.61</v>
      </c>
      <c r="E1921" s="3">
        <v>2.9375</v>
      </c>
      <c r="F1921" s="3">
        <v>2.6088</v>
      </c>
      <c r="G1921" s="3">
        <v>2.9361</v>
      </c>
    </row>
    <row r="1922" spans="1:7">
      <c r="A1922" s="2">
        <v>43851</v>
      </c>
      <c r="B1922" s="3">
        <v>2.6015</v>
      </c>
      <c r="C1922" s="3">
        <v>2.9112</v>
      </c>
      <c r="D1922" s="3">
        <v>2.605</v>
      </c>
      <c r="E1922" s="3">
        <v>2.9147</v>
      </c>
      <c r="F1922" s="3">
        <v>2.6033</v>
      </c>
      <c r="G1922" s="3">
        <v>2.913</v>
      </c>
    </row>
    <row r="1923" spans="1:7">
      <c r="A1923" s="2">
        <v>43852</v>
      </c>
      <c r="B1923" s="3">
        <v>2.6117</v>
      </c>
      <c r="C1923" s="3">
        <v>2.923</v>
      </c>
      <c r="D1923" s="3">
        <v>2.615</v>
      </c>
      <c r="E1923" s="3">
        <v>2.925</v>
      </c>
      <c r="F1923" s="3">
        <v>2.6133</v>
      </c>
      <c r="G1923" s="3">
        <v>2.924</v>
      </c>
    </row>
    <row r="1924" spans="1:7">
      <c r="A1924" s="2">
        <v>43853</v>
      </c>
      <c r="B1924" s="3">
        <v>2.565</v>
      </c>
      <c r="C1924" s="3">
        <v>2.8825</v>
      </c>
      <c r="D1924" s="3">
        <v>2.6</v>
      </c>
      <c r="E1924" s="3">
        <v>2.885</v>
      </c>
      <c r="F1924" s="3">
        <v>2.5825</v>
      </c>
      <c r="G1924" s="3">
        <v>2.8838</v>
      </c>
    </row>
    <row r="1925" spans="1:7">
      <c r="A1925" s="2">
        <v>43864</v>
      </c>
      <c r="B1925" s="3">
        <v>2.4575</v>
      </c>
      <c r="C1925" s="3">
        <v>2.7175</v>
      </c>
      <c r="D1925" s="3">
        <v>2.46</v>
      </c>
      <c r="E1925" s="3">
        <v>2.72</v>
      </c>
      <c r="F1925" s="3">
        <v>2.4588</v>
      </c>
      <c r="G1925" s="3">
        <v>2.7188</v>
      </c>
    </row>
    <row r="1926" spans="1:7">
      <c r="A1926" s="2">
        <v>43865</v>
      </c>
      <c r="B1926" s="3">
        <v>2.46</v>
      </c>
      <c r="C1926" s="3">
        <v>2.7394</v>
      </c>
      <c r="D1926" s="3">
        <v>2.47</v>
      </c>
      <c r="E1926" s="3">
        <v>2.7427</v>
      </c>
      <c r="F1926" s="3">
        <v>2.465</v>
      </c>
      <c r="G1926" s="3">
        <v>2.7411</v>
      </c>
    </row>
    <row r="1927" spans="1:7">
      <c r="A1927" s="2">
        <v>43866</v>
      </c>
      <c r="B1927" s="3">
        <v>2.44</v>
      </c>
      <c r="C1927" s="3">
        <v>2.722</v>
      </c>
      <c r="D1927" s="3">
        <v>2.445</v>
      </c>
      <c r="E1927" s="3">
        <v>2.729</v>
      </c>
      <c r="F1927" s="3">
        <v>2.4425</v>
      </c>
      <c r="G1927" s="3">
        <v>2.7255</v>
      </c>
    </row>
    <row r="1928" spans="1:7">
      <c r="A1928" s="2">
        <v>43867</v>
      </c>
      <c r="B1928" s="3">
        <v>2.43</v>
      </c>
      <c r="C1928" s="3">
        <v>2.722</v>
      </c>
      <c r="D1928" s="3">
        <v>2.4375</v>
      </c>
      <c r="E1928" s="3">
        <v>2.725</v>
      </c>
      <c r="F1928" s="3">
        <v>2.4338</v>
      </c>
      <c r="G1928" s="3">
        <v>2.7235</v>
      </c>
    </row>
    <row r="1929" spans="1:7">
      <c r="A1929" s="2">
        <v>43868</v>
      </c>
      <c r="B1929" s="3">
        <v>2.3816</v>
      </c>
      <c r="C1929" s="3">
        <v>2.6638</v>
      </c>
      <c r="D1929" s="3">
        <v>2.3897</v>
      </c>
      <c r="E1929" s="3">
        <v>2.6681</v>
      </c>
      <c r="F1929" s="3">
        <v>2.3857</v>
      </c>
      <c r="G1929" s="3">
        <v>2.6659</v>
      </c>
    </row>
    <row r="1930" spans="1:7">
      <c r="A1930" s="2">
        <v>43871</v>
      </c>
      <c r="B1930" s="3">
        <v>2.3666</v>
      </c>
      <c r="C1930" s="3">
        <v>2.6592</v>
      </c>
      <c r="D1930" s="3">
        <v>2.3712</v>
      </c>
      <c r="E1930" s="3">
        <v>2.6658</v>
      </c>
      <c r="F1930" s="3">
        <v>2.3689</v>
      </c>
      <c r="G1930" s="3">
        <v>2.6625</v>
      </c>
    </row>
    <row r="1931" spans="1:7">
      <c r="A1931" s="2">
        <v>43872</v>
      </c>
      <c r="B1931" s="3">
        <v>2.3978</v>
      </c>
      <c r="C1931" s="3">
        <v>2.7075</v>
      </c>
      <c r="D1931" s="3">
        <v>2.4025</v>
      </c>
      <c r="E1931" s="3">
        <v>2.7125</v>
      </c>
      <c r="F1931" s="3">
        <v>2.4002</v>
      </c>
      <c r="G1931" s="3">
        <v>2.71</v>
      </c>
    </row>
    <row r="1932" spans="1:7">
      <c r="A1932" s="2">
        <v>43873</v>
      </c>
      <c r="B1932" s="3">
        <v>2.4049</v>
      </c>
      <c r="C1932" s="3">
        <v>2.7075</v>
      </c>
      <c r="D1932" s="3">
        <v>2.4075</v>
      </c>
      <c r="E1932" s="3">
        <v>2.71</v>
      </c>
      <c r="F1932" s="3">
        <v>2.4062</v>
      </c>
      <c r="G1932" s="3">
        <v>2.7088</v>
      </c>
    </row>
    <row r="1933" spans="1:7">
      <c r="A1933" s="2">
        <v>43874</v>
      </c>
      <c r="B1933" s="3">
        <v>2.385</v>
      </c>
      <c r="C1933" s="3">
        <v>2.6775</v>
      </c>
      <c r="D1933" s="3">
        <v>2.39</v>
      </c>
      <c r="E1933" s="3">
        <v>2.6808</v>
      </c>
      <c r="F1933" s="3">
        <v>2.3875</v>
      </c>
      <c r="G1933" s="3">
        <v>2.6792</v>
      </c>
    </row>
    <row r="1934" spans="1:7">
      <c r="A1934" s="2">
        <v>43875</v>
      </c>
      <c r="B1934" s="3">
        <v>2.395</v>
      </c>
      <c r="C1934" s="3">
        <v>2.7125</v>
      </c>
      <c r="D1934" s="3">
        <v>2.4</v>
      </c>
      <c r="E1934" s="3">
        <v>2.715</v>
      </c>
      <c r="F1934" s="3">
        <v>2.3975</v>
      </c>
      <c r="G1934" s="3">
        <v>2.7138</v>
      </c>
    </row>
    <row r="1935" spans="1:7">
      <c r="A1935" s="2">
        <v>43878</v>
      </c>
      <c r="B1935" s="3">
        <v>2.3925</v>
      </c>
      <c r="C1935" s="3">
        <v>2.7245</v>
      </c>
      <c r="D1935" s="3">
        <v>2.3975</v>
      </c>
      <c r="E1935" s="3">
        <v>2.7275</v>
      </c>
      <c r="F1935" s="3">
        <v>2.395</v>
      </c>
      <c r="G1935" s="3">
        <v>2.726</v>
      </c>
    </row>
    <row r="1936" spans="1:7">
      <c r="A1936" s="2">
        <v>43879</v>
      </c>
      <c r="B1936" s="3">
        <v>2.3925</v>
      </c>
      <c r="C1936" s="3">
        <v>2.7025</v>
      </c>
      <c r="D1936" s="3">
        <v>2.395</v>
      </c>
      <c r="E1936" s="3">
        <v>2.705</v>
      </c>
      <c r="F1936" s="3">
        <v>2.3938</v>
      </c>
      <c r="G1936" s="3">
        <v>2.7038</v>
      </c>
    </row>
    <row r="1937" spans="1:7">
      <c r="A1937" s="2">
        <v>43880</v>
      </c>
      <c r="B1937" s="3">
        <v>2.4025</v>
      </c>
      <c r="C1937" s="3">
        <v>2.7157</v>
      </c>
      <c r="D1937" s="3">
        <v>2.41</v>
      </c>
      <c r="E1937" s="3">
        <v>2.7189</v>
      </c>
      <c r="F1937" s="3">
        <v>2.4063</v>
      </c>
      <c r="G1937" s="3">
        <v>2.7173</v>
      </c>
    </row>
    <row r="1938" spans="1:7">
      <c r="A1938" s="2">
        <v>43881</v>
      </c>
      <c r="B1938" s="3">
        <v>2.4175</v>
      </c>
      <c r="C1938" s="3">
        <v>2.7275</v>
      </c>
      <c r="D1938" s="3">
        <v>2.4243</v>
      </c>
      <c r="E1938" s="3">
        <v>2.73</v>
      </c>
      <c r="F1938" s="3">
        <v>2.4209</v>
      </c>
      <c r="G1938" s="3">
        <v>2.7288</v>
      </c>
    </row>
    <row r="1939" spans="1:7">
      <c r="A1939" s="2">
        <v>43882</v>
      </c>
      <c r="B1939" s="3">
        <v>2.382</v>
      </c>
      <c r="C1939" s="3">
        <v>2.6893</v>
      </c>
      <c r="D1939" s="3">
        <v>2.3884</v>
      </c>
      <c r="E1939" s="3">
        <v>2.6937</v>
      </c>
      <c r="F1939" s="3">
        <v>2.3852</v>
      </c>
      <c r="G1939" s="3">
        <v>2.6915</v>
      </c>
    </row>
    <row r="1940" spans="1:7">
      <c r="A1940" s="2">
        <v>43885</v>
      </c>
      <c r="B1940" s="3">
        <v>2.345</v>
      </c>
      <c r="C1940" s="3">
        <v>2.635</v>
      </c>
      <c r="D1940" s="3">
        <v>2.3505</v>
      </c>
      <c r="E1940" s="3">
        <v>2.64</v>
      </c>
      <c r="F1940" s="3">
        <v>2.3478</v>
      </c>
      <c r="G1940" s="3">
        <v>2.6375</v>
      </c>
    </row>
    <row r="1941" spans="1:7">
      <c r="A1941" s="2">
        <v>43886</v>
      </c>
      <c r="B1941" s="3">
        <v>2.351</v>
      </c>
      <c r="C1941" s="3">
        <v>2.65</v>
      </c>
      <c r="D1941" s="3">
        <v>2.3545</v>
      </c>
      <c r="E1941" s="3">
        <v>2.655</v>
      </c>
      <c r="F1941" s="3">
        <v>2.3528</v>
      </c>
      <c r="G1941" s="3">
        <v>2.6525</v>
      </c>
    </row>
    <row r="1942" spans="1:7">
      <c r="A1942" s="2">
        <v>43887</v>
      </c>
      <c r="B1942" s="3">
        <v>2.3225</v>
      </c>
      <c r="C1942" s="3">
        <v>2.618</v>
      </c>
      <c r="D1942" s="3">
        <v>2.3275</v>
      </c>
      <c r="E1942" s="3">
        <v>2.62</v>
      </c>
      <c r="F1942" s="3">
        <v>2.325</v>
      </c>
      <c r="G1942" s="3">
        <v>2.619</v>
      </c>
    </row>
    <row r="1943" spans="1:7">
      <c r="A1943" s="2">
        <v>43888</v>
      </c>
      <c r="B1943" s="3">
        <v>2.2975</v>
      </c>
      <c r="C1943" s="3">
        <v>2.5722</v>
      </c>
      <c r="D1943" s="3">
        <v>2.3</v>
      </c>
      <c r="E1943" s="3">
        <v>2.58</v>
      </c>
      <c r="F1943" s="3">
        <v>2.2988</v>
      </c>
      <c r="G1943" s="3">
        <v>2.5761</v>
      </c>
    </row>
    <row r="1944" spans="1:7">
      <c r="A1944" s="2">
        <v>43889</v>
      </c>
      <c r="B1944" s="3">
        <v>2.2725</v>
      </c>
      <c r="C1944" s="3">
        <v>2.5382</v>
      </c>
      <c r="D1944" s="3">
        <v>2.2825</v>
      </c>
      <c r="E1944" s="3">
        <v>2.5434</v>
      </c>
      <c r="F1944" s="3">
        <v>2.2775</v>
      </c>
      <c r="G1944" s="3">
        <v>2.5408</v>
      </c>
    </row>
    <row r="1945" spans="1:7">
      <c r="A1945" s="2">
        <v>43892</v>
      </c>
      <c r="B1945" s="3">
        <v>2.2823</v>
      </c>
      <c r="C1945" s="3">
        <v>2.5862</v>
      </c>
      <c r="D1945" s="3">
        <v>2.291</v>
      </c>
      <c r="E1945" s="3">
        <v>2.5897</v>
      </c>
      <c r="F1945" s="3">
        <v>2.2866</v>
      </c>
      <c r="G1945" s="3">
        <v>2.588</v>
      </c>
    </row>
    <row r="1946" spans="1:7">
      <c r="A1946" s="2">
        <v>43893</v>
      </c>
      <c r="B1946" s="3">
        <v>2.2775</v>
      </c>
      <c r="C1946" s="3">
        <v>2.5625</v>
      </c>
      <c r="D1946" s="3">
        <v>2.28</v>
      </c>
      <c r="E1946" s="3">
        <v>2.5675</v>
      </c>
      <c r="F1946" s="3">
        <v>2.2788</v>
      </c>
      <c r="G1946" s="3">
        <v>2.565</v>
      </c>
    </row>
    <row r="1947" spans="1:7">
      <c r="A1947" s="2">
        <v>43894</v>
      </c>
      <c r="B1947" s="3">
        <v>2.22</v>
      </c>
      <c r="C1947" s="3">
        <v>2.505</v>
      </c>
      <c r="D1947" s="3">
        <v>2.2225</v>
      </c>
      <c r="E1947" s="3">
        <v>2.5085</v>
      </c>
      <c r="F1947" s="3">
        <v>2.2213</v>
      </c>
      <c r="G1947" s="3">
        <v>2.5068</v>
      </c>
    </row>
    <row r="1948" spans="1:7">
      <c r="A1948" s="2">
        <v>43895</v>
      </c>
      <c r="B1948" s="3">
        <v>2.2328</v>
      </c>
      <c r="C1948" s="3">
        <v>2.5432</v>
      </c>
      <c r="D1948" s="3">
        <v>2.2414</v>
      </c>
      <c r="E1948" s="3">
        <v>2.5447</v>
      </c>
      <c r="F1948" s="3">
        <v>2.2371</v>
      </c>
      <c r="G1948" s="3">
        <v>2.5439</v>
      </c>
    </row>
    <row r="1949" spans="1:7">
      <c r="A1949" s="2">
        <v>43896</v>
      </c>
      <c r="B1949" s="3">
        <v>2.1925</v>
      </c>
      <c r="C1949" s="3">
        <v>2.4972</v>
      </c>
      <c r="D1949" s="3">
        <v>2.195</v>
      </c>
      <c r="E1949" s="3">
        <v>2.5</v>
      </c>
      <c r="F1949" s="3">
        <v>2.1938</v>
      </c>
      <c r="G1949" s="3">
        <v>2.4986</v>
      </c>
    </row>
    <row r="1950" spans="1:7">
      <c r="A1950" s="2">
        <v>43899</v>
      </c>
      <c r="B1950" s="3">
        <v>2.1425</v>
      </c>
      <c r="C1950" s="3">
        <v>2.4178</v>
      </c>
      <c r="D1950" s="3">
        <v>2.1475</v>
      </c>
      <c r="E1950" s="3">
        <v>2.4225</v>
      </c>
      <c r="F1950" s="3">
        <v>2.145</v>
      </c>
      <c r="G1950" s="3">
        <v>2.4202</v>
      </c>
    </row>
    <row r="1951" spans="1:7">
      <c r="A1951" s="2">
        <v>43900</v>
      </c>
      <c r="B1951" s="3">
        <v>2.2358</v>
      </c>
      <c r="C1951" s="3">
        <v>2.5395</v>
      </c>
      <c r="D1951" s="3">
        <v>2.2415</v>
      </c>
      <c r="E1951" s="3">
        <v>2.5423</v>
      </c>
      <c r="F1951" s="3">
        <v>2.2386</v>
      </c>
      <c r="G1951" s="3">
        <v>2.5409</v>
      </c>
    </row>
    <row r="1952" spans="1:7">
      <c r="A1952" s="2">
        <v>43901</v>
      </c>
      <c r="B1952" s="3">
        <v>2.2414</v>
      </c>
      <c r="C1952" s="3">
        <v>2.5225</v>
      </c>
      <c r="D1952" s="3">
        <v>2.2498</v>
      </c>
      <c r="E1952" s="3">
        <v>2.5255</v>
      </c>
      <c r="F1952" s="3">
        <v>2.2456</v>
      </c>
      <c r="G1952" s="3">
        <v>2.524</v>
      </c>
    </row>
    <row r="1953" spans="1:7">
      <c r="A1953" s="2">
        <v>43902</v>
      </c>
      <c r="B1953" s="3">
        <v>2.2443</v>
      </c>
      <c r="C1953" s="3">
        <v>2.5489</v>
      </c>
      <c r="D1953" s="3">
        <v>2.2525</v>
      </c>
      <c r="E1953" s="3">
        <v>2.5518</v>
      </c>
      <c r="F1953" s="3">
        <v>2.2484</v>
      </c>
      <c r="G1953" s="3">
        <v>2.5503</v>
      </c>
    </row>
    <row r="1954" spans="1:7">
      <c r="A1954" s="2">
        <v>43903</v>
      </c>
      <c r="B1954" s="3">
        <v>2.2675</v>
      </c>
      <c r="C1954" s="3">
        <v>2.5975</v>
      </c>
      <c r="D1954" s="3">
        <v>2.2775</v>
      </c>
      <c r="E1954" s="3">
        <v>2.6001</v>
      </c>
      <c r="F1954" s="3">
        <v>2.2725</v>
      </c>
      <c r="G1954" s="3">
        <v>2.5988</v>
      </c>
    </row>
    <row r="1955" spans="1:7">
      <c r="A1955" s="2">
        <v>43906</v>
      </c>
      <c r="B1955" s="3">
        <v>2.22</v>
      </c>
      <c r="C1955" s="3">
        <v>2.555</v>
      </c>
      <c r="D1955" s="3">
        <v>2.225</v>
      </c>
      <c r="E1955" s="3">
        <v>2.5575</v>
      </c>
      <c r="F1955" s="3">
        <v>2.2225</v>
      </c>
      <c r="G1955" s="3">
        <v>2.5563</v>
      </c>
    </row>
    <row r="1956" spans="1:7">
      <c r="A1956" s="2">
        <v>43907</v>
      </c>
      <c r="B1956" s="3">
        <v>2.2058</v>
      </c>
      <c r="C1956" s="3">
        <v>2.5675</v>
      </c>
      <c r="D1956" s="3">
        <v>2.2132</v>
      </c>
      <c r="E1956" s="3">
        <v>2.57</v>
      </c>
      <c r="F1956" s="3">
        <v>2.2095</v>
      </c>
      <c r="G1956" s="3">
        <v>2.5688</v>
      </c>
    </row>
    <row r="1957" spans="1:7">
      <c r="A1957" s="2">
        <v>43908</v>
      </c>
      <c r="B1957" s="3">
        <v>2.165</v>
      </c>
      <c r="C1957" s="3">
        <v>2.5372</v>
      </c>
      <c r="D1957" s="3">
        <v>2.1687</v>
      </c>
      <c r="E1957" s="3">
        <v>2.54</v>
      </c>
      <c r="F1957" s="3">
        <v>2.1668</v>
      </c>
      <c r="G1957" s="3">
        <v>2.5386</v>
      </c>
    </row>
    <row r="1958" spans="1:7">
      <c r="A1958" s="2">
        <v>43909</v>
      </c>
      <c r="B1958" s="3">
        <v>2.1425</v>
      </c>
      <c r="C1958" s="3">
        <v>2.5475</v>
      </c>
      <c r="D1958" s="3">
        <v>2.15</v>
      </c>
      <c r="E1958" s="3">
        <v>2.55</v>
      </c>
      <c r="F1958" s="3">
        <v>2.1463</v>
      </c>
      <c r="G1958" s="3">
        <v>2.5488</v>
      </c>
    </row>
    <row r="1959" spans="1:7">
      <c r="A1959" s="2">
        <v>43910</v>
      </c>
      <c r="B1959" s="3">
        <v>2.1076</v>
      </c>
      <c r="C1959" s="3">
        <v>2.5079</v>
      </c>
      <c r="D1959" s="3">
        <v>2.1111</v>
      </c>
      <c r="E1959" s="3">
        <v>2.5094</v>
      </c>
      <c r="F1959" s="3">
        <v>2.1094</v>
      </c>
      <c r="G1959" s="3">
        <v>2.5086</v>
      </c>
    </row>
    <row r="1960" spans="1:7">
      <c r="A1960" s="2">
        <v>43913</v>
      </c>
      <c r="B1960" s="3">
        <v>2.0225</v>
      </c>
      <c r="C1960" s="3">
        <v>2.423</v>
      </c>
      <c r="D1960" s="3">
        <v>2.0272</v>
      </c>
      <c r="E1960" s="3">
        <v>2.4258</v>
      </c>
      <c r="F1960" s="3">
        <v>2.0248</v>
      </c>
      <c r="G1960" s="3">
        <v>2.4244</v>
      </c>
    </row>
    <row r="1961" spans="1:7">
      <c r="A1961" s="2">
        <v>43914</v>
      </c>
      <c r="B1961" s="3">
        <v>1.96</v>
      </c>
      <c r="C1961" s="3">
        <v>2.3896</v>
      </c>
      <c r="D1961" s="3">
        <v>1.97</v>
      </c>
      <c r="E1961" s="3">
        <v>2.393</v>
      </c>
      <c r="F1961" s="3">
        <v>1.965</v>
      </c>
      <c r="G1961" s="3">
        <v>2.3913</v>
      </c>
    </row>
    <row r="1962" spans="1:7">
      <c r="A1962" s="2">
        <v>43915</v>
      </c>
      <c r="B1962" s="3">
        <v>1.9349</v>
      </c>
      <c r="C1962" s="3">
        <v>2.36</v>
      </c>
      <c r="D1962" s="3">
        <v>1.9375</v>
      </c>
      <c r="E1962" s="3">
        <v>2.3625</v>
      </c>
      <c r="F1962" s="3">
        <v>1.9362</v>
      </c>
      <c r="G1962" s="3">
        <v>2.3613</v>
      </c>
    </row>
    <row r="1963" spans="1:7">
      <c r="A1963" s="2">
        <v>43916</v>
      </c>
      <c r="B1963" s="3">
        <v>1.9175</v>
      </c>
      <c r="C1963" s="3">
        <v>2.3375</v>
      </c>
      <c r="D1963" s="3">
        <v>1.9212</v>
      </c>
      <c r="E1963" s="3">
        <v>2.34</v>
      </c>
      <c r="F1963" s="3">
        <v>1.9193</v>
      </c>
      <c r="G1963" s="3">
        <v>2.3388</v>
      </c>
    </row>
    <row r="1964" spans="1:7">
      <c r="A1964" s="2">
        <v>43917</v>
      </c>
      <c r="B1964" s="3">
        <v>1.9692</v>
      </c>
      <c r="C1964" s="3">
        <v>2.38</v>
      </c>
      <c r="D1964" s="3">
        <v>1.9723</v>
      </c>
      <c r="E1964" s="3">
        <v>2.3825</v>
      </c>
      <c r="F1964" s="3">
        <v>1.9708</v>
      </c>
      <c r="G1964" s="3">
        <v>2.3813</v>
      </c>
    </row>
    <row r="1965" spans="1:7">
      <c r="A1965" s="2">
        <v>43920</v>
      </c>
      <c r="B1965" s="3">
        <v>1.9225</v>
      </c>
      <c r="C1965" s="3">
        <v>2.3411</v>
      </c>
      <c r="D1965" s="3">
        <v>1.925</v>
      </c>
      <c r="E1965" s="3">
        <v>2.345</v>
      </c>
      <c r="F1965" s="3">
        <v>1.9238</v>
      </c>
      <c r="G1965" s="3">
        <v>2.3431</v>
      </c>
    </row>
    <row r="1966" spans="1:7">
      <c r="A1966" s="2">
        <v>43921</v>
      </c>
      <c r="B1966" s="3">
        <v>1.9</v>
      </c>
      <c r="C1966" s="3">
        <v>2.305</v>
      </c>
      <c r="D1966" s="3">
        <v>1.9037</v>
      </c>
      <c r="E1966" s="3">
        <v>2.31</v>
      </c>
      <c r="F1966" s="3">
        <v>1.9018</v>
      </c>
      <c r="G1966" s="3">
        <v>2.3075</v>
      </c>
    </row>
    <row r="1967" spans="1:7">
      <c r="A1967" s="2">
        <v>43922</v>
      </c>
      <c r="B1967" s="3">
        <v>1.8561</v>
      </c>
      <c r="C1967" s="3">
        <v>2.2511</v>
      </c>
      <c r="D1967" s="3">
        <v>1.8625</v>
      </c>
      <c r="E1967" s="3">
        <v>2.2541</v>
      </c>
      <c r="F1967" s="3">
        <v>1.8593</v>
      </c>
      <c r="G1967" s="3">
        <v>2.2526</v>
      </c>
    </row>
    <row r="1968" spans="1:7">
      <c r="A1968" s="2">
        <v>43923</v>
      </c>
      <c r="B1968" s="3">
        <v>1.8525</v>
      </c>
      <c r="C1968" s="3">
        <v>2.2575</v>
      </c>
      <c r="D1968" s="3">
        <v>1.855</v>
      </c>
      <c r="E1968" s="3">
        <v>2.26</v>
      </c>
      <c r="F1968" s="3">
        <v>1.8538</v>
      </c>
      <c r="G1968" s="3">
        <v>2.2588</v>
      </c>
    </row>
    <row r="1969" spans="1:7">
      <c r="A1969" s="2">
        <v>43924</v>
      </c>
      <c r="B1969" s="3">
        <v>1.7942</v>
      </c>
      <c r="C1969" s="3">
        <v>2.2178</v>
      </c>
      <c r="D1969" s="3">
        <v>1.7986</v>
      </c>
      <c r="E1969" s="3">
        <v>2.2213</v>
      </c>
      <c r="F1969" s="3">
        <v>1.7964</v>
      </c>
      <c r="G1969" s="3">
        <v>2.2196</v>
      </c>
    </row>
    <row r="1970" spans="1:7">
      <c r="A1970" s="2">
        <v>43928</v>
      </c>
      <c r="B1970" s="3">
        <v>1.455</v>
      </c>
      <c r="C1970" s="3">
        <v>1.9619</v>
      </c>
      <c r="D1970" s="3">
        <v>1.4585</v>
      </c>
      <c r="E1970" s="3">
        <v>1.9661</v>
      </c>
      <c r="F1970" s="3">
        <v>1.4568</v>
      </c>
      <c r="G1970" s="3">
        <v>1.964</v>
      </c>
    </row>
    <row r="1971" spans="1:7">
      <c r="A1971" s="2">
        <v>43929</v>
      </c>
      <c r="B1971" s="3">
        <v>1.3693</v>
      </c>
      <c r="C1971" s="3">
        <v>1.8237</v>
      </c>
      <c r="D1971" s="3">
        <v>1.375</v>
      </c>
      <c r="E1971" s="3">
        <v>1.8295</v>
      </c>
      <c r="F1971" s="3">
        <v>1.3722</v>
      </c>
      <c r="G1971" s="3">
        <v>1.8266</v>
      </c>
    </row>
    <row r="1972" spans="1:7">
      <c r="A1972" s="2">
        <v>43930</v>
      </c>
      <c r="B1972" s="3">
        <v>1.425</v>
      </c>
      <c r="C1972" s="3">
        <v>1.8864</v>
      </c>
      <c r="D1972" s="3">
        <v>1.4379</v>
      </c>
      <c r="E1972" s="3">
        <v>1.8913</v>
      </c>
      <c r="F1972" s="3">
        <v>1.4314</v>
      </c>
      <c r="G1972" s="3">
        <v>1.8888</v>
      </c>
    </row>
    <row r="1973" spans="1:7">
      <c r="A1973" s="2">
        <v>43931</v>
      </c>
      <c r="B1973" s="3">
        <v>1.5039</v>
      </c>
      <c r="C1973" s="3">
        <v>1.9458</v>
      </c>
      <c r="D1973" s="3">
        <v>1.5076</v>
      </c>
      <c r="E1973" s="3">
        <v>1.9515</v>
      </c>
      <c r="F1973" s="3">
        <v>1.5058</v>
      </c>
      <c r="G1973" s="3">
        <v>1.9486</v>
      </c>
    </row>
    <row r="1974" spans="1:7">
      <c r="A1974" s="2">
        <v>43934</v>
      </c>
      <c r="B1974" s="3">
        <v>1.5475</v>
      </c>
      <c r="C1974" s="3">
        <v>1.9753</v>
      </c>
      <c r="D1974" s="3">
        <v>1.55</v>
      </c>
      <c r="E1974" s="3">
        <v>1.9789</v>
      </c>
      <c r="F1974" s="3">
        <v>1.5488</v>
      </c>
      <c r="G1974" s="3">
        <v>1.9771</v>
      </c>
    </row>
    <row r="1975" spans="1:7">
      <c r="A1975" s="2">
        <v>43935</v>
      </c>
      <c r="B1975" s="3">
        <v>1.475</v>
      </c>
      <c r="C1975" s="3">
        <v>1.92</v>
      </c>
      <c r="D1975" s="3">
        <v>1.48</v>
      </c>
      <c r="E1975" s="3">
        <v>1.9225</v>
      </c>
      <c r="F1975" s="3">
        <v>1.4775</v>
      </c>
      <c r="G1975" s="3">
        <v>1.9213</v>
      </c>
    </row>
    <row r="1976" spans="1:7">
      <c r="A1976" s="2">
        <v>43936</v>
      </c>
      <c r="B1976" s="3">
        <v>1.425</v>
      </c>
      <c r="C1976" s="3">
        <v>1.87</v>
      </c>
      <c r="D1976" s="3">
        <v>1.4294</v>
      </c>
      <c r="E1976" s="3">
        <v>1.875</v>
      </c>
      <c r="F1976" s="3">
        <v>1.4272</v>
      </c>
      <c r="G1976" s="3">
        <v>1.8725</v>
      </c>
    </row>
    <row r="1977" spans="1:7">
      <c r="A1977" s="2">
        <v>43937</v>
      </c>
      <c r="B1977" s="3">
        <v>1.4218</v>
      </c>
      <c r="C1977" s="3">
        <v>1.8647</v>
      </c>
      <c r="D1977" s="3">
        <v>1.425</v>
      </c>
      <c r="E1977" s="3">
        <v>1.8684</v>
      </c>
      <c r="F1977" s="3">
        <v>1.4234</v>
      </c>
      <c r="G1977" s="3">
        <v>1.8666</v>
      </c>
    </row>
    <row r="1978" spans="1:7">
      <c r="A1978" s="2">
        <v>43938</v>
      </c>
      <c r="B1978" s="3">
        <v>1.4696</v>
      </c>
      <c r="C1978" s="3">
        <v>1.9283</v>
      </c>
      <c r="D1978" s="3">
        <v>1.475</v>
      </c>
      <c r="E1978" s="3">
        <v>1.9318</v>
      </c>
      <c r="F1978" s="3">
        <v>1.4723</v>
      </c>
      <c r="G1978" s="3">
        <v>1.93</v>
      </c>
    </row>
    <row r="1979" spans="1:7">
      <c r="A1979" s="2">
        <v>43941</v>
      </c>
      <c r="B1979" s="3">
        <v>1.4525</v>
      </c>
      <c r="C1979" s="3">
        <v>1.9375</v>
      </c>
      <c r="D1979" s="3">
        <v>1.4575</v>
      </c>
      <c r="E1979" s="3">
        <v>1.94</v>
      </c>
      <c r="F1979" s="3">
        <v>1.455</v>
      </c>
      <c r="G1979" s="3">
        <v>1.9388</v>
      </c>
    </row>
    <row r="1980" spans="1:7">
      <c r="A1980" s="2">
        <v>43942</v>
      </c>
      <c r="B1980" s="3">
        <v>1.4075</v>
      </c>
      <c r="C1980" s="3">
        <v>1.873</v>
      </c>
      <c r="D1980" s="3">
        <v>1.4125</v>
      </c>
      <c r="E1980" s="3">
        <v>1.8754</v>
      </c>
      <c r="F1980" s="3">
        <v>1.41</v>
      </c>
      <c r="G1980" s="3">
        <v>1.8742</v>
      </c>
    </row>
    <row r="1981" spans="1:7">
      <c r="A1981" s="2">
        <v>43943</v>
      </c>
      <c r="B1981" s="3">
        <v>1.4</v>
      </c>
      <c r="C1981" s="3">
        <v>1.8375</v>
      </c>
      <c r="D1981" s="3">
        <v>1.4029</v>
      </c>
      <c r="E1981" s="3">
        <v>1.8425</v>
      </c>
      <c r="F1981" s="3">
        <v>1.4015</v>
      </c>
      <c r="G1981" s="3">
        <v>1.84</v>
      </c>
    </row>
    <row r="1982" spans="1:7">
      <c r="A1982" s="2">
        <v>43944</v>
      </c>
      <c r="B1982" s="3">
        <v>1.4125</v>
      </c>
      <c r="C1982" s="3">
        <v>1.8386</v>
      </c>
      <c r="D1982" s="3">
        <v>1.4164</v>
      </c>
      <c r="E1982" s="3">
        <v>1.8429</v>
      </c>
      <c r="F1982" s="3">
        <v>1.4144</v>
      </c>
      <c r="G1982" s="3">
        <v>1.8407</v>
      </c>
    </row>
    <row r="1983" spans="1:7">
      <c r="A1983" s="2">
        <v>43945</v>
      </c>
      <c r="B1983" s="3">
        <v>1.446</v>
      </c>
      <c r="C1983" s="3">
        <v>1.8761</v>
      </c>
      <c r="D1983" s="3">
        <v>1.4513</v>
      </c>
      <c r="E1983" s="3">
        <v>1.8787</v>
      </c>
      <c r="F1983" s="3">
        <v>1.4487</v>
      </c>
      <c r="G1983" s="3">
        <v>1.8774</v>
      </c>
    </row>
    <row r="1984" spans="1:7">
      <c r="A1984" s="2">
        <v>43947</v>
      </c>
      <c r="B1984" s="3">
        <v>1.4325</v>
      </c>
      <c r="C1984" s="3">
        <v>1.8575</v>
      </c>
      <c r="D1984" s="3">
        <v>1.4525</v>
      </c>
      <c r="E1984" s="3">
        <v>1.8875</v>
      </c>
      <c r="F1984" s="3">
        <v>1.4425</v>
      </c>
      <c r="G1984" s="3">
        <v>1.8725</v>
      </c>
    </row>
    <row r="1985" spans="1:7">
      <c r="A1985" s="2">
        <v>43948</v>
      </c>
      <c r="B1985" s="3">
        <v>1.445</v>
      </c>
      <c r="C1985" s="3">
        <v>1.8725</v>
      </c>
      <c r="D1985" s="3">
        <v>1.4475</v>
      </c>
      <c r="E1985" s="3">
        <v>1.8758</v>
      </c>
      <c r="F1985" s="3">
        <v>1.4463</v>
      </c>
      <c r="G1985" s="3">
        <v>1.8742</v>
      </c>
    </row>
    <row r="1986" spans="1:7">
      <c r="A1986" s="2">
        <v>43949</v>
      </c>
      <c r="B1986" s="3">
        <v>1.4375</v>
      </c>
      <c r="C1986" s="3">
        <v>1.8575</v>
      </c>
      <c r="D1986" s="3">
        <v>1.4425</v>
      </c>
      <c r="E1986" s="3">
        <v>1.86</v>
      </c>
      <c r="F1986" s="3">
        <v>1.44</v>
      </c>
      <c r="G1986" s="3">
        <v>1.8588</v>
      </c>
    </row>
    <row r="1987" spans="1:7">
      <c r="A1987" s="2">
        <v>43950</v>
      </c>
      <c r="B1987" s="3">
        <v>1.397</v>
      </c>
      <c r="C1987" s="3">
        <v>1.8064</v>
      </c>
      <c r="D1987" s="3">
        <v>1.4002</v>
      </c>
      <c r="E1987" s="3">
        <v>1.8092</v>
      </c>
      <c r="F1987" s="3">
        <v>1.3986</v>
      </c>
      <c r="G1987" s="3">
        <v>1.8078</v>
      </c>
    </row>
    <row r="1988" spans="1:7">
      <c r="A1988" s="2">
        <v>43951</v>
      </c>
      <c r="B1988" s="3">
        <v>1.4275</v>
      </c>
      <c r="C1988" s="3">
        <v>1.855</v>
      </c>
      <c r="D1988" s="3">
        <v>1.43</v>
      </c>
      <c r="E1988" s="3">
        <v>1.8587</v>
      </c>
      <c r="F1988" s="3">
        <v>1.4288</v>
      </c>
      <c r="G1988" s="3">
        <v>1.8568</v>
      </c>
    </row>
    <row r="1989" spans="1:7">
      <c r="A1989" s="2">
        <v>43957</v>
      </c>
      <c r="B1989" s="3">
        <v>1.46</v>
      </c>
      <c r="C1989" s="3">
        <v>1.9094</v>
      </c>
      <c r="D1989" s="3">
        <v>1.4675</v>
      </c>
      <c r="E1989" s="3">
        <v>1.9127</v>
      </c>
      <c r="F1989" s="3">
        <v>1.4638</v>
      </c>
      <c r="G1989" s="3">
        <v>1.9111</v>
      </c>
    </row>
    <row r="1990" spans="1:7">
      <c r="A1990" s="2">
        <v>43958</v>
      </c>
      <c r="B1990" s="3">
        <v>1.505</v>
      </c>
      <c r="C1990" s="3">
        <v>1.9725</v>
      </c>
      <c r="D1990" s="3">
        <v>1.51</v>
      </c>
      <c r="E1990" s="3">
        <v>1.973</v>
      </c>
      <c r="F1990" s="3">
        <v>1.5075</v>
      </c>
      <c r="G1990" s="3">
        <v>1.9727</v>
      </c>
    </row>
    <row r="1991" spans="1:7">
      <c r="A1991" s="2">
        <v>43959</v>
      </c>
      <c r="B1991" s="3">
        <v>1.475</v>
      </c>
      <c r="C1991" s="3">
        <v>1.93</v>
      </c>
      <c r="D1991" s="3">
        <v>1.4801</v>
      </c>
      <c r="E1991" s="3">
        <v>1.9325</v>
      </c>
      <c r="F1991" s="3">
        <v>1.4776</v>
      </c>
      <c r="G1991" s="3">
        <v>1.9313</v>
      </c>
    </row>
    <row r="1992" spans="1:7">
      <c r="A1992" s="2">
        <v>43960</v>
      </c>
      <c r="B1992" s="3">
        <v>1.4675</v>
      </c>
      <c r="C1992" s="3">
        <v>1.9525</v>
      </c>
      <c r="D1992" s="3">
        <v>1.495</v>
      </c>
      <c r="E1992" s="3">
        <v>1.9625</v>
      </c>
      <c r="F1992" s="3">
        <v>1.4813</v>
      </c>
      <c r="G1992" s="3">
        <v>1.9575</v>
      </c>
    </row>
    <row r="1993" spans="1:7">
      <c r="A1993" s="2">
        <v>43962</v>
      </c>
      <c r="B1993" s="3">
        <v>1.5161</v>
      </c>
      <c r="C1993" s="3">
        <v>2.005</v>
      </c>
      <c r="D1993" s="3">
        <v>1.5275</v>
      </c>
      <c r="E1993" s="3">
        <v>2.0075</v>
      </c>
      <c r="F1993" s="3">
        <v>1.5218</v>
      </c>
      <c r="G1993" s="3">
        <v>2.0063</v>
      </c>
    </row>
    <row r="1994" spans="1:7">
      <c r="A1994" s="2">
        <v>43963</v>
      </c>
      <c r="B1994" s="3">
        <v>1.4733</v>
      </c>
      <c r="C1994" s="3">
        <v>1.9599</v>
      </c>
      <c r="D1994" s="3">
        <v>1.4775</v>
      </c>
      <c r="E1994" s="3">
        <v>1.9604</v>
      </c>
      <c r="F1994" s="3">
        <v>1.4754</v>
      </c>
      <c r="G1994" s="3">
        <v>1.9601</v>
      </c>
    </row>
    <row r="1995" spans="1:7">
      <c r="A1995" s="2">
        <v>43964</v>
      </c>
      <c r="B1995" s="3">
        <v>1.444</v>
      </c>
      <c r="C1995" s="3">
        <v>1.9292</v>
      </c>
      <c r="D1995" s="3">
        <v>1.4475</v>
      </c>
      <c r="E1995" s="3">
        <v>1.9331</v>
      </c>
      <c r="F1995" s="3">
        <v>1.4458</v>
      </c>
      <c r="G1995" s="3">
        <v>1.9311</v>
      </c>
    </row>
    <row r="1996" spans="1:7">
      <c r="A1996" s="2">
        <v>43965</v>
      </c>
      <c r="B1996" s="3">
        <v>1.4125</v>
      </c>
      <c r="C1996" s="3">
        <v>1.8874</v>
      </c>
      <c r="D1996" s="3">
        <v>1.4175</v>
      </c>
      <c r="E1996" s="3">
        <v>1.89</v>
      </c>
      <c r="F1996" s="3">
        <v>1.415</v>
      </c>
      <c r="G1996" s="3">
        <v>1.8887</v>
      </c>
    </row>
    <row r="1997" spans="1:7">
      <c r="A1997" s="2">
        <v>43966</v>
      </c>
      <c r="B1997" s="3">
        <v>1.43</v>
      </c>
      <c r="C1997" s="3">
        <v>1.8975</v>
      </c>
      <c r="D1997" s="3">
        <v>1.435</v>
      </c>
      <c r="E1997" s="3">
        <v>1.9025</v>
      </c>
      <c r="F1997" s="3">
        <v>1.4325</v>
      </c>
      <c r="G1997" s="3">
        <v>1.9</v>
      </c>
    </row>
    <row r="1998" spans="1:7">
      <c r="A1998" s="2">
        <v>43969</v>
      </c>
      <c r="B1998" s="3">
        <v>1.4759</v>
      </c>
      <c r="C1998" s="3">
        <v>1.9545</v>
      </c>
      <c r="D1998" s="3">
        <v>1.48</v>
      </c>
      <c r="E1998" s="3">
        <v>1.9555</v>
      </c>
      <c r="F1998" s="3">
        <v>1.4779</v>
      </c>
      <c r="G1998" s="3">
        <v>1.955</v>
      </c>
    </row>
    <row r="1999" spans="1:7">
      <c r="A1999" s="2">
        <v>43970</v>
      </c>
      <c r="B1999" s="3">
        <v>1.5082</v>
      </c>
      <c r="C1999" s="3">
        <v>1.9812</v>
      </c>
      <c r="D1999" s="3">
        <v>1.5116</v>
      </c>
      <c r="E1999" s="3">
        <v>1.984</v>
      </c>
      <c r="F1999" s="3">
        <v>1.5099</v>
      </c>
      <c r="G1999" s="3">
        <v>1.9826</v>
      </c>
    </row>
    <row r="2000" spans="1:7">
      <c r="A2000" s="2">
        <v>43971</v>
      </c>
      <c r="B2000" s="3">
        <v>1.52</v>
      </c>
      <c r="C2000" s="3">
        <v>1.9797</v>
      </c>
      <c r="D2000" s="3">
        <v>1.525</v>
      </c>
      <c r="E2000" s="3">
        <v>1.9825</v>
      </c>
      <c r="F2000" s="3">
        <v>1.5225</v>
      </c>
      <c r="G2000" s="3">
        <v>1.9811</v>
      </c>
    </row>
    <row r="2001" spans="1:7">
      <c r="A2001" s="2">
        <v>43972</v>
      </c>
      <c r="B2001" s="3">
        <v>1.53</v>
      </c>
      <c r="C2001" s="3">
        <v>1.9883</v>
      </c>
      <c r="D2001" s="3">
        <v>1.5366</v>
      </c>
      <c r="E2001" s="3">
        <v>1.9903</v>
      </c>
      <c r="F2001" s="3">
        <v>1.5333</v>
      </c>
      <c r="G2001" s="3">
        <v>1.9893</v>
      </c>
    </row>
    <row r="2002" spans="1:7">
      <c r="A2002" s="2">
        <v>43973</v>
      </c>
      <c r="B2002" s="3">
        <v>1.4625</v>
      </c>
      <c r="C2002" s="3">
        <v>1.8863</v>
      </c>
      <c r="D2002" s="3">
        <v>1.4675</v>
      </c>
      <c r="E2002" s="3">
        <v>1.8901</v>
      </c>
      <c r="F2002" s="3">
        <v>1.465</v>
      </c>
      <c r="G2002" s="3">
        <v>1.8882</v>
      </c>
    </row>
    <row r="2003" spans="1:7">
      <c r="A2003" s="2">
        <v>43976</v>
      </c>
      <c r="B2003" s="3">
        <v>1.5425</v>
      </c>
      <c r="C2003" s="3">
        <v>1.975</v>
      </c>
      <c r="D2003" s="3">
        <v>1.5475</v>
      </c>
      <c r="E2003" s="3">
        <v>1.9775</v>
      </c>
      <c r="F2003" s="3">
        <v>1.545</v>
      </c>
      <c r="G2003" s="3">
        <v>1.9763</v>
      </c>
    </row>
    <row r="2004" spans="1:7">
      <c r="A2004" s="2">
        <v>43977</v>
      </c>
      <c r="B2004" s="3">
        <v>1.6804</v>
      </c>
      <c r="C2004" s="3">
        <v>2.0738</v>
      </c>
      <c r="D2004" s="3">
        <v>1.6925</v>
      </c>
      <c r="E2004" s="3">
        <v>2.0796</v>
      </c>
      <c r="F2004" s="3">
        <v>1.6865</v>
      </c>
      <c r="G2004" s="3">
        <v>2.0767</v>
      </c>
    </row>
    <row r="2005" spans="1:7">
      <c r="A2005" s="2">
        <v>43978</v>
      </c>
      <c r="B2005" s="3">
        <v>1.7725</v>
      </c>
      <c r="C2005" s="3">
        <v>2.14</v>
      </c>
      <c r="D2005" s="3">
        <v>1.78</v>
      </c>
      <c r="E2005" s="3">
        <v>2.145</v>
      </c>
      <c r="F2005" s="3">
        <v>1.7763</v>
      </c>
      <c r="G2005" s="3">
        <v>2.1425</v>
      </c>
    </row>
    <row r="2006" spans="1:7">
      <c r="A2006" s="2">
        <v>43979</v>
      </c>
      <c r="B2006" s="3">
        <v>1.75</v>
      </c>
      <c r="C2006" s="3">
        <v>2.083</v>
      </c>
      <c r="D2006" s="3">
        <v>1.7564</v>
      </c>
      <c r="E2006" s="3">
        <v>2.0883</v>
      </c>
      <c r="F2006" s="3">
        <v>1.7532</v>
      </c>
      <c r="G2006" s="3">
        <v>2.0856</v>
      </c>
    </row>
    <row r="2007" spans="1:7">
      <c r="A2007" s="2">
        <v>43980</v>
      </c>
      <c r="B2007" s="3">
        <v>1.7133</v>
      </c>
      <c r="C2007" s="3">
        <v>2.0625</v>
      </c>
      <c r="D2007" s="3">
        <v>1.7275</v>
      </c>
      <c r="E2007" s="3">
        <v>2.065</v>
      </c>
      <c r="F2007" s="3">
        <v>1.7204</v>
      </c>
      <c r="G2007" s="3">
        <v>2.0638</v>
      </c>
    </row>
    <row r="2008" spans="1:7">
      <c r="A2008" s="2">
        <v>43983</v>
      </c>
      <c r="B2008" s="3">
        <v>1.6971</v>
      </c>
      <c r="C2008" s="3">
        <v>2.0745</v>
      </c>
      <c r="D2008" s="3">
        <v>1.7086</v>
      </c>
      <c r="E2008" s="3">
        <v>2.0793</v>
      </c>
      <c r="F2008" s="3">
        <v>1.7028</v>
      </c>
      <c r="G2008" s="3">
        <v>2.0769</v>
      </c>
    </row>
    <row r="2009" spans="1:7">
      <c r="A2009" s="2">
        <v>43984</v>
      </c>
      <c r="B2009" s="3">
        <v>1.8534</v>
      </c>
      <c r="C2009" s="3">
        <v>2.2292</v>
      </c>
      <c r="D2009" s="3">
        <v>1.8577</v>
      </c>
      <c r="E2009" s="3">
        <v>2.2323</v>
      </c>
      <c r="F2009" s="3">
        <v>1.8556</v>
      </c>
      <c r="G2009" s="3">
        <v>2.2308</v>
      </c>
    </row>
    <row r="2010" spans="1:7">
      <c r="A2010" s="2">
        <v>43985</v>
      </c>
      <c r="B2010" s="3">
        <v>1.865</v>
      </c>
      <c r="C2010" s="3">
        <v>2.2374</v>
      </c>
      <c r="D2010" s="3">
        <v>1.8825</v>
      </c>
      <c r="E2010" s="3">
        <v>2.24</v>
      </c>
      <c r="F2010" s="3">
        <v>1.8738</v>
      </c>
      <c r="G2010" s="3">
        <v>2.2387</v>
      </c>
    </row>
    <row r="2011" spans="1:7">
      <c r="A2011" s="2">
        <v>43986</v>
      </c>
      <c r="B2011" s="3">
        <v>2.0076</v>
      </c>
      <c r="C2011" s="3">
        <v>2.3693</v>
      </c>
      <c r="D2011" s="3">
        <v>2.0181</v>
      </c>
      <c r="E2011" s="3">
        <v>2.3773</v>
      </c>
      <c r="F2011" s="3">
        <v>2.0128</v>
      </c>
      <c r="G2011" s="3">
        <v>2.3733</v>
      </c>
    </row>
    <row r="2012" spans="1:7">
      <c r="A2012" s="2">
        <v>43987</v>
      </c>
      <c r="B2012" s="3">
        <v>1.9953</v>
      </c>
      <c r="C2012" s="3">
        <v>2.395</v>
      </c>
      <c r="D2012" s="3">
        <v>2.0002</v>
      </c>
      <c r="E2012" s="3">
        <v>2.405</v>
      </c>
      <c r="F2012" s="3">
        <v>1.9978</v>
      </c>
      <c r="G2012" s="3">
        <v>2.4</v>
      </c>
    </row>
    <row r="2013" spans="1:7">
      <c r="A2013" s="2">
        <v>43990</v>
      </c>
      <c r="B2013" s="3">
        <v>1.9775</v>
      </c>
      <c r="C2013" s="3">
        <v>2.35</v>
      </c>
      <c r="D2013" s="3">
        <v>1.9825</v>
      </c>
      <c r="E2013" s="3">
        <v>2.3557</v>
      </c>
      <c r="F2013" s="3">
        <v>1.98</v>
      </c>
      <c r="G2013" s="3">
        <v>2.3528</v>
      </c>
    </row>
    <row r="2014" spans="1:7">
      <c r="A2014" s="2">
        <v>43991</v>
      </c>
      <c r="B2014" s="3">
        <v>1.9514</v>
      </c>
      <c r="C2014" s="3">
        <v>2.3315</v>
      </c>
      <c r="D2014" s="3">
        <v>1.9643</v>
      </c>
      <c r="E2014" s="3">
        <v>2.3344</v>
      </c>
      <c r="F2014" s="3">
        <v>1.9579</v>
      </c>
      <c r="G2014" s="3">
        <v>2.3329</v>
      </c>
    </row>
    <row r="2015" spans="1:7">
      <c r="A2015" s="2">
        <v>43992</v>
      </c>
      <c r="B2015" s="3">
        <v>2.0071</v>
      </c>
      <c r="C2015" s="3">
        <v>2.3604</v>
      </c>
      <c r="D2015" s="3">
        <v>2.0146</v>
      </c>
      <c r="E2015" s="3">
        <v>2.3656</v>
      </c>
      <c r="F2015" s="3">
        <v>2.0109</v>
      </c>
      <c r="G2015" s="3">
        <v>2.363</v>
      </c>
    </row>
    <row r="2016" spans="1:7">
      <c r="A2016" s="2">
        <v>43993</v>
      </c>
      <c r="B2016" s="3">
        <v>1.9848</v>
      </c>
      <c r="C2016" s="3">
        <v>2.3017</v>
      </c>
      <c r="D2016" s="3">
        <v>1.99</v>
      </c>
      <c r="E2016" s="3">
        <v>2.305</v>
      </c>
      <c r="F2016" s="3">
        <v>1.9874</v>
      </c>
      <c r="G2016" s="3">
        <v>2.3033</v>
      </c>
    </row>
    <row r="2017" spans="1:7">
      <c r="A2017" s="2">
        <v>43994</v>
      </c>
      <c r="B2017" s="3">
        <v>1.9613</v>
      </c>
      <c r="C2017" s="3">
        <v>2.28</v>
      </c>
      <c r="D2017" s="3">
        <v>1.965</v>
      </c>
      <c r="E2017" s="3">
        <v>2.2825</v>
      </c>
      <c r="F2017" s="3">
        <v>1.9632</v>
      </c>
      <c r="G2017" s="3">
        <v>2.2813</v>
      </c>
    </row>
    <row r="2018" spans="1:7">
      <c r="A2018" s="2">
        <v>43997</v>
      </c>
      <c r="B2018" s="3">
        <v>1.9273</v>
      </c>
      <c r="C2018" s="3">
        <v>2.2743</v>
      </c>
      <c r="D2018" s="3">
        <v>1.9361</v>
      </c>
      <c r="E2018" s="3">
        <v>2.2788</v>
      </c>
      <c r="F2018" s="3">
        <v>1.9317</v>
      </c>
      <c r="G2018" s="3">
        <v>2.2765</v>
      </c>
    </row>
    <row r="2019" spans="1:7">
      <c r="A2019" s="2">
        <v>43998</v>
      </c>
      <c r="B2019" s="3">
        <v>1.9743</v>
      </c>
      <c r="C2019" s="3">
        <v>2.3352</v>
      </c>
      <c r="D2019" s="3">
        <v>1.984</v>
      </c>
      <c r="E2019" s="3">
        <v>2.3395</v>
      </c>
      <c r="F2019" s="3">
        <v>1.9792</v>
      </c>
      <c r="G2019" s="3">
        <v>2.3373</v>
      </c>
    </row>
    <row r="2020" spans="1:7">
      <c r="A2020" s="2">
        <v>43999</v>
      </c>
      <c r="B2020" s="3">
        <v>2.0546</v>
      </c>
      <c r="C2020" s="3">
        <v>2.3784</v>
      </c>
      <c r="D2020" s="3">
        <v>2.0575</v>
      </c>
      <c r="E2020" s="3">
        <v>2.3828</v>
      </c>
      <c r="F2020" s="3">
        <v>2.056</v>
      </c>
      <c r="G2020" s="3">
        <v>2.3806</v>
      </c>
    </row>
    <row r="2021" spans="1:7">
      <c r="A2021" s="2">
        <v>44000</v>
      </c>
      <c r="B2021" s="3">
        <v>2.035</v>
      </c>
      <c r="C2021" s="3">
        <v>2.3525</v>
      </c>
      <c r="D2021" s="3">
        <v>2.055</v>
      </c>
      <c r="E2021" s="3">
        <v>2.3613</v>
      </c>
      <c r="F2021" s="3">
        <v>2.045</v>
      </c>
      <c r="G2021" s="3">
        <v>2.3569</v>
      </c>
    </row>
    <row r="2022" spans="1:7">
      <c r="A2022" s="2">
        <v>44001</v>
      </c>
      <c r="B2022" s="3">
        <v>2.0725</v>
      </c>
      <c r="C2022" s="3">
        <v>2.3792</v>
      </c>
      <c r="D2022" s="3">
        <v>2.0775</v>
      </c>
      <c r="E2022" s="3">
        <v>2.3825</v>
      </c>
      <c r="F2022" s="3">
        <v>2.075</v>
      </c>
      <c r="G2022" s="3">
        <v>2.3808</v>
      </c>
    </row>
    <row r="2023" spans="1:7">
      <c r="A2023" s="2">
        <v>44004</v>
      </c>
      <c r="B2023" s="3">
        <v>2.1625</v>
      </c>
      <c r="C2023" s="3">
        <v>2.4639</v>
      </c>
      <c r="D2023" s="3">
        <v>2.175</v>
      </c>
      <c r="E2023" s="3">
        <v>2.4676</v>
      </c>
      <c r="F2023" s="3">
        <v>2.1688</v>
      </c>
      <c r="G2023" s="3">
        <v>2.4658</v>
      </c>
    </row>
    <row r="2024" spans="1:7">
      <c r="A2024" s="2">
        <v>44005</v>
      </c>
      <c r="B2024" s="3">
        <v>2.1525</v>
      </c>
      <c r="C2024" s="3">
        <v>2.4583</v>
      </c>
      <c r="D2024" s="3">
        <v>2.1558</v>
      </c>
      <c r="E2024" s="3">
        <v>2.4635</v>
      </c>
      <c r="F2024" s="3">
        <v>2.1541</v>
      </c>
      <c r="G2024" s="3">
        <v>2.4609</v>
      </c>
    </row>
    <row r="2025" spans="1:7">
      <c r="A2025" s="2">
        <v>44006</v>
      </c>
      <c r="B2025" s="3">
        <v>2.1025</v>
      </c>
      <c r="C2025" s="3">
        <v>2.3995</v>
      </c>
      <c r="D2025" s="3">
        <v>2.105</v>
      </c>
      <c r="E2025" s="3">
        <v>2.402</v>
      </c>
      <c r="F2025" s="3">
        <v>2.1038</v>
      </c>
      <c r="G2025" s="3">
        <v>2.4007</v>
      </c>
    </row>
    <row r="2026" spans="1:7">
      <c r="A2026" s="2">
        <v>44010</v>
      </c>
      <c r="B2026" s="3">
        <v>2.075</v>
      </c>
      <c r="C2026" s="3">
        <v>2.375</v>
      </c>
      <c r="D2026" s="3">
        <v>2.11</v>
      </c>
      <c r="E2026" s="3">
        <v>2.4025</v>
      </c>
      <c r="F2026" s="3">
        <v>2.0925</v>
      </c>
      <c r="G2026" s="3">
        <v>2.3888</v>
      </c>
    </row>
    <row r="2027" spans="1:7">
      <c r="A2027" s="2">
        <v>44011</v>
      </c>
      <c r="B2027" s="3">
        <v>2.12</v>
      </c>
      <c r="C2027" s="3">
        <v>2.41</v>
      </c>
      <c r="D2027" s="3">
        <v>2.125</v>
      </c>
      <c r="E2027" s="3">
        <v>2.4125</v>
      </c>
      <c r="F2027" s="3">
        <v>2.1225</v>
      </c>
      <c r="G2027" s="3">
        <v>2.4113</v>
      </c>
    </row>
    <row r="2028" spans="1:7">
      <c r="A2028" s="2">
        <v>44012</v>
      </c>
      <c r="B2028" s="3">
        <v>2.1393</v>
      </c>
      <c r="C2028" s="3">
        <v>2.4127</v>
      </c>
      <c r="D2028" s="3">
        <v>2.145</v>
      </c>
      <c r="E2028" s="3">
        <v>2.4161</v>
      </c>
      <c r="F2028" s="3">
        <v>2.1421</v>
      </c>
      <c r="G2028" s="3">
        <v>2.4144</v>
      </c>
    </row>
    <row r="2029" spans="1:7">
      <c r="A2029" s="2">
        <v>44013</v>
      </c>
      <c r="B2029" s="3">
        <v>2.1475</v>
      </c>
      <c r="C2029" s="3">
        <v>2.445</v>
      </c>
      <c r="D2029" s="3">
        <v>2.15</v>
      </c>
      <c r="E2029" s="3">
        <v>2.4468</v>
      </c>
      <c r="F2029" s="3">
        <v>2.1488</v>
      </c>
      <c r="G2029" s="3">
        <v>2.4459</v>
      </c>
    </row>
    <row r="2030" spans="1:7">
      <c r="A2030" s="2">
        <v>44014</v>
      </c>
      <c r="B2030" s="3">
        <v>2.12</v>
      </c>
      <c r="C2030" s="3">
        <v>2.4225</v>
      </c>
      <c r="D2030" s="3">
        <v>2.1247</v>
      </c>
      <c r="E2030" s="3">
        <v>2.4262</v>
      </c>
      <c r="F2030" s="3">
        <v>2.1223</v>
      </c>
      <c r="G2030" s="3">
        <v>2.4243</v>
      </c>
    </row>
    <row r="2031" spans="1:7">
      <c r="A2031" s="2">
        <v>44015</v>
      </c>
      <c r="B2031" s="3">
        <v>2.1459</v>
      </c>
      <c r="C2031" s="3">
        <v>2.4811</v>
      </c>
      <c r="D2031" s="3">
        <v>2.151</v>
      </c>
      <c r="E2031" s="3">
        <v>2.485</v>
      </c>
      <c r="F2031" s="3">
        <v>2.1485</v>
      </c>
      <c r="G2031" s="3">
        <v>2.4831</v>
      </c>
    </row>
    <row r="2032" spans="1:7">
      <c r="A2032" s="2">
        <v>44018</v>
      </c>
      <c r="B2032" s="3">
        <v>2.2675</v>
      </c>
      <c r="C2032" s="3">
        <v>2.6273</v>
      </c>
      <c r="D2032" s="3">
        <v>2.2708</v>
      </c>
      <c r="E2032" s="3">
        <v>2.6303</v>
      </c>
      <c r="F2032" s="3">
        <v>2.2691</v>
      </c>
      <c r="G2032" s="3">
        <v>2.6288</v>
      </c>
    </row>
    <row r="2033" spans="1:7">
      <c r="A2033" s="2">
        <v>44019</v>
      </c>
      <c r="B2033" s="3">
        <v>2.2985</v>
      </c>
      <c r="C2033" s="3">
        <v>2.635</v>
      </c>
      <c r="D2033" s="3">
        <v>2.3012</v>
      </c>
      <c r="E2033" s="3">
        <v>2.6407</v>
      </c>
      <c r="F2033" s="3">
        <v>2.2998</v>
      </c>
      <c r="G2033" s="3">
        <v>2.6378</v>
      </c>
    </row>
    <row r="2034" spans="1:7">
      <c r="A2034" s="2">
        <v>44020</v>
      </c>
      <c r="B2034" s="3">
        <v>2.3739</v>
      </c>
      <c r="C2034" s="3">
        <v>2.7155</v>
      </c>
      <c r="D2034" s="3">
        <v>2.3854</v>
      </c>
      <c r="E2034" s="3">
        <v>2.7219</v>
      </c>
      <c r="F2034" s="3">
        <v>2.3797</v>
      </c>
      <c r="G2034" s="3">
        <v>2.7187</v>
      </c>
    </row>
    <row r="2035" spans="1:7">
      <c r="A2035" s="2">
        <v>44021</v>
      </c>
      <c r="B2035" s="3">
        <v>2.4252</v>
      </c>
      <c r="C2035" s="3">
        <v>2.7913</v>
      </c>
      <c r="D2035" s="3">
        <v>2.4316</v>
      </c>
      <c r="E2035" s="3">
        <v>2.7968</v>
      </c>
      <c r="F2035" s="3">
        <v>2.4284</v>
      </c>
      <c r="G2035" s="3">
        <v>2.7941</v>
      </c>
    </row>
    <row r="2036" spans="1:7">
      <c r="A2036" s="2">
        <v>44022</v>
      </c>
      <c r="B2036" s="3">
        <v>2.4027</v>
      </c>
      <c r="C2036" s="3">
        <v>2.7308</v>
      </c>
      <c r="D2036" s="3">
        <v>2.4107</v>
      </c>
      <c r="E2036" s="3">
        <v>2.7351</v>
      </c>
      <c r="F2036" s="3">
        <v>2.4067</v>
      </c>
      <c r="G2036" s="3">
        <v>2.7329</v>
      </c>
    </row>
    <row r="2037" spans="1:7">
      <c r="A2037" s="2">
        <v>44025</v>
      </c>
      <c r="B2037" s="3">
        <v>2.445</v>
      </c>
      <c r="C2037" s="3">
        <v>2.7963</v>
      </c>
      <c r="D2037" s="3">
        <v>2.4525</v>
      </c>
      <c r="E2037" s="3">
        <v>2.7998</v>
      </c>
      <c r="F2037" s="3">
        <v>2.4488</v>
      </c>
      <c r="G2037" s="3">
        <v>2.7981</v>
      </c>
    </row>
    <row r="2038" spans="1:7">
      <c r="A2038" s="2">
        <v>44026</v>
      </c>
      <c r="B2038" s="3">
        <v>2.4155</v>
      </c>
      <c r="C2038" s="3">
        <v>2.7518</v>
      </c>
      <c r="D2038" s="3">
        <v>2.419</v>
      </c>
      <c r="E2038" s="3">
        <v>2.755</v>
      </c>
      <c r="F2038" s="3">
        <v>2.4173</v>
      </c>
      <c r="G2038" s="3">
        <v>2.7534</v>
      </c>
    </row>
    <row r="2039" spans="1:7">
      <c r="A2039" s="2">
        <v>44027</v>
      </c>
      <c r="B2039" s="3">
        <v>2.3775</v>
      </c>
      <c r="C2039" s="3">
        <v>2.695</v>
      </c>
      <c r="D2039" s="3">
        <v>2.3864</v>
      </c>
      <c r="E2039" s="3">
        <v>2.7</v>
      </c>
      <c r="F2039" s="3">
        <v>2.382</v>
      </c>
      <c r="G2039" s="3">
        <v>2.6975</v>
      </c>
    </row>
    <row r="2040" spans="1:7">
      <c r="A2040" s="2">
        <v>44028</v>
      </c>
      <c r="B2040" s="3">
        <v>2.3834</v>
      </c>
      <c r="C2040" s="3">
        <v>2.6809</v>
      </c>
      <c r="D2040" s="3">
        <v>2.3878</v>
      </c>
      <c r="E2040" s="3">
        <v>2.6831</v>
      </c>
      <c r="F2040" s="3">
        <v>2.3856</v>
      </c>
      <c r="G2040" s="3">
        <v>2.682</v>
      </c>
    </row>
    <row r="2041" spans="1:7">
      <c r="A2041" s="2">
        <v>44029</v>
      </c>
      <c r="B2041" s="3">
        <v>2.38</v>
      </c>
      <c r="C2041" s="3">
        <v>2.69</v>
      </c>
      <c r="D2041" s="3">
        <v>2.385</v>
      </c>
      <c r="E2041" s="3">
        <v>2.695</v>
      </c>
      <c r="F2041" s="3">
        <v>2.3825</v>
      </c>
      <c r="G2041" s="3">
        <v>2.6925</v>
      </c>
    </row>
    <row r="2042" spans="1:7">
      <c r="A2042" s="2">
        <v>44032</v>
      </c>
      <c r="B2042" s="3">
        <v>2.342</v>
      </c>
      <c r="C2042" s="3">
        <v>2.6589</v>
      </c>
      <c r="D2042" s="3">
        <v>2.355</v>
      </c>
      <c r="E2042" s="3">
        <v>2.6628</v>
      </c>
      <c r="F2042" s="3">
        <v>2.3485</v>
      </c>
      <c r="G2042" s="3">
        <v>2.6609</v>
      </c>
    </row>
    <row r="2043" spans="1:7">
      <c r="A2043" s="2">
        <v>44033</v>
      </c>
      <c r="B2043" s="3">
        <v>2.3091</v>
      </c>
      <c r="C2043" s="3">
        <v>2.6121</v>
      </c>
      <c r="D2043" s="3">
        <v>2.3128</v>
      </c>
      <c r="E2043" s="3">
        <v>2.62</v>
      </c>
      <c r="F2043" s="3">
        <v>2.3109</v>
      </c>
      <c r="G2043" s="3">
        <v>2.616</v>
      </c>
    </row>
    <row r="2044" spans="1:7">
      <c r="A2044" s="2">
        <v>44034</v>
      </c>
      <c r="B2044" s="3">
        <v>2.3096</v>
      </c>
      <c r="C2044" s="3">
        <v>2.5967</v>
      </c>
      <c r="D2044" s="3">
        <v>2.3193</v>
      </c>
      <c r="E2044" s="3">
        <v>2.6032</v>
      </c>
      <c r="F2044" s="3">
        <v>2.3144</v>
      </c>
      <c r="G2044" s="3">
        <v>2.6</v>
      </c>
    </row>
    <row r="2045" spans="1:7">
      <c r="A2045" s="2">
        <v>44035</v>
      </c>
      <c r="B2045" s="3">
        <v>2.34</v>
      </c>
      <c r="C2045" s="3">
        <v>2.635</v>
      </c>
      <c r="D2045" s="3">
        <v>2.3425</v>
      </c>
      <c r="E2045" s="3">
        <v>2.6375</v>
      </c>
      <c r="F2045" s="3">
        <v>2.3413</v>
      </c>
      <c r="G2045" s="3">
        <v>2.6363</v>
      </c>
    </row>
    <row r="2046" spans="1:7">
      <c r="A2046" s="2">
        <v>44036</v>
      </c>
      <c r="B2046" s="3">
        <v>2.2913</v>
      </c>
      <c r="C2046" s="3">
        <v>2.5825</v>
      </c>
      <c r="D2046" s="3">
        <v>2.2994</v>
      </c>
      <c r="E2046" s="3">
        <v>2.5875</v>
      </c>
      <c r="F2046" s="3">
        <v>2.2954</v>
      </c>
      <c r="G2046" s="3">
        <v>2.585</v>
      </c>
    </row>
    <row r="2047" spans="1:7">
      <c r="A2047" s="2">
        <v>44039</v>
      </c>
      <c r="B2047" s="3">
        <v>2.3097</v>
      </c>
      <c r="C2047" s="3">
        <v>2.605</v>
      </c>
      <c r="D2047" s="3">
        <v>2.3193</v>
      </c>
      <c r="E2047" s="3">
        <v>2.6075</v>
      </c>
      <c r="F2047" s="3">
        <v>2.3145</v>
      </c>
      <c r="G2047" s="3">
        <v>2.6063</v>
      </c>
    </row>
    <row r="2048" spans="1:7">
      <c r="A2048" s="2">
        <v>44040</v>
      </c>
      <c r="B2048" s="3">
        <v>2.3428</v>
      </c>
      <c r="C2048" s="3">
        <v>2.6444</v>
      </c>
      <c r="D2048" s="3">
        <v>2.3475</v>
      </c>
      <c r="E2048" s="3">
        <v>2.6471</v>
      </c>
      <c r="F2048" s="3">
        <v>2.3452</v>
      </c>
      <c r="G2048" s="3">
        <v>2.6458</v>
      </c>
    </row>
    <row r="2049" spans="1:7">
      <c r="A2049" s="2">
        <v>44041</v>
      </c>
      <c r="B2049" s="3">
        <v>2.3493</v>
      </c>
      <c r="C2049" s="3">
        <v>2.6649</v>
      </c>
      <c r="D2049" s="3">
        <v>2.3543</v>
      </c>
      <c r="E2049" s="3">
        <v>2.6675</v>
      </c>
      <c r="F2049" s="3">
        <v>2.3518</v>
      </c>
      <c r="G2049" s="3">
        <v>2.6662</v>
      </c>
    </row>
    <row r="2050" spans="1:7">
      <c r="A2050" s="2">
        <v>44042</v>
      </c>
      <c r="B2050" s="3">
        <v>2.355</v>
      </c>
      <c r="C2050" s="3">
        <v>2.6672</v>
      </c>
      <c r="D2050" s="3">
        <v>2.36</v>
      </c>
      <c r="E2050" s="3">
        <v>2.67</v>
      </c>
      <c r="F2050" s="3">
        <v>2.3575</v>
      </c>
      <c r="G2050" s="3">
        <v>2.6686</v>
      </c>
    </row>
    <row r="2051" spans="1:7">
      <c r="A2051" s="2">
        <v>44043</v>
      </c>
      <c r="B2051" s="3">
        <v>2.3834</v>
      </c>
      <c r="C2051" s="3">
        <v>2.705</v>
      </c>
      <c r="D2051" s="3">
        <v>2.3859</v>
      </c>
      <c r="E2051" s="3">
        <v>2.7075</v>
      </c>
      <c r="F2051" s="3">
        <v>2.3846</v>
      </c>
      <c r="G2051" s="3">
        <v>2.7063</v>
      </c>
    </row>
    <row r="2052" spans="1:7">
      <c r="A2052" s="2">
        <v>44046</v>
      </c>
      <c r="B2052" s="3">
        <v>2.3775</v>
      </c>
      <c r="C2052" s="3">
        <v>2.695</v>
      </c>
      <c r="D2052" s="3">
        <v>2.3804</v>
      </c>
      <c r="E2052" s="3">
        <v>2.6985</v>
      </c>
      <c r="F2052" s="3">
        <v>2.379</v>
      </c>
      <c r="G2052" s="3">
        <v>2.6968</v>
      </c>
    </row>
    <row r="2053" spans="1:7">
      <c r="A2053" s="2">
        <v>44047</v>
      </c>
      <c r="B2053" s="3">
        <v>2.385</v>
      </c>
      <c r="C2053" s="3">
        <v>2.695</v>
      </c>
      <c r="D2053" s="3">
        <v>2.388</v>
      </c>
      <c r="E2053" s="3">
        <v>2.7</v>
      </c>
      <c r="F2053" s="3">
        <v>2.3865</v>
      </c>
      <c r="G2053" s="3">
        <v>2.6975</v>
      </c>
    </row>
    <row r="2054" spans="1:7">
      <c r="A2054" s="2">
        <v>44048</v>
      </c>
      <c r="B2054" s="3">
        <v>2.3875</v>
      </c>
      <c r="C2054" s="3">
        <v>2.7025</v>
      </c>
      <c r="D2054" s="3">
        <v>2.39</v>
      </c>
      <c r="E2054" s="3">
        <v>2.705</v>
      </c>
      <c r="F2054" s="3">
        <v>2.3888</v>
      </c>
      <c r="G2054" s="3">
        <v>2.7038</v>
      </c>
    </row>
    <row r="2055" spans="1:7">
      <c r="A2055" s="2">
        <v>44049</v>
      </c>
      <c r="B2055" s="3">
        <v>2.4073</v>
      </c>
      <c r="C2055" s="3">
        <v>2.7243</v>
      </c>
      <c r="D2055" s="3">
        <v>2.4125</v>
      </c>
      <c r="E2055" s="3">
        <v>2.7275</v>
      </c>
      <c r="F2055" s="3">
        <v>2.4099</v>
      </c>
      <c r="G2055" s="3">
        <v>2.7259</v>
      </c>
    </row>
    <row r="2056" spans="1:7">
      <c r="A2056" s="2">
        <v>44050</v>
      </c>
      <c r="B2056" s="3">
        <v>2.4175</v>
      </c>
      <c r="C2056" s="3">
        <v>2.735</v>
      </c>
      <c r="D2056" s="3">
        <v>2.4201</v>
      </c>
      <c r="E2056" s="3">
        <v>2.7375</v>
      </c>
      <c r="F2056" s="3">
        <v>2.4188</v>
      </c>
      <c r="G2056" s="3">
        <v>2.7363</v>
      </c>
    </row>
    <row r="2057" spans="1:7">
      <c r="A2057" s="2">
        <v>44053</v>
      </c>
      <c r="B2057" s="3">
        <v>2.3727</v>
      </c>
      <c r="C2057" s="3">
        <v>2.6825</v>
      </c>
      <c r="D2057" s="3">
        <v>2.3784</v>
      </c>
      <c r="E2057" s="3">
        <v>2.685</v>
      </c>
      <c r="F2057" s="3">
        <v>2.3755</v>
      </c>
      <c r="G2057" s="3">
        <v>2.6838</v>
      </c>
    </row>
    <row r="2058" spans="1:7">
      <c r="A2058" s="2">
        <v>44054</v>
      </c>
      <c r="B2058" s="3">
        <v>2.3875</v>
      </c>
      <c r="C2058" s="3">
        <v>2.6905</v>
      </c>
      <c r="D2058" s="3">
        <v>2.3935</v>
      </c>
      <c r="E2058" s="3">
        <v>2.6931</v>
      </c>
      <c r="F2058" s="3">
        <v>2.3905</v>
      </c>
      <c r="G2058" s="3">
        <v>2.6918</v>
      </c>
    </row>
    <row r="2059" spans="1:7">
      <c r="A2059" s="2">
        <v>44055</v>
      </c>
      <c r="B2059" s="3">
        <v>2.4296</v>
      </c>
      <c r="C2059" s="3">
        <v>2.73</v>
      </c>
      <c r="D2059" s="3">
        <v>2.4336</v>
      </c>
      <c r="E2059" s="3">
        <v>2.735</v>
      </c>
      <c r="F2059" s="3">
        <v>2.4316</v>
      </c>
      <c r="G2059" s="3">
        <v>2.7325</v>
      </c>
    </row>
    <row r="2060" spans="1:7">
      <c r="A2060" s="2">
        <v>44056</v>
      </c>
      <c r="B2060" s="3">
        <v>2.41</v>
      </c>
      <c r="C2060" s="3">
        <v>2.715</v>
      </c>
      <c r="D2060" s="3">
        <v>2.4125</v>
      </c>
      <c r="E2060" s="3">
        <v>2.7175</v>
      </c>
      <c r="F2060" s="3">
        <v>2.4113</v>
      </c>
      <c r="G2060" s="3">
        <v>2.7163</v>
      </c>
    </row>
    <row r="2061" spans="1:7">
      <c r="A2061" s="2">
        <v>44057</v>
      </c>
      <c r="B2061" s="3">
        <v>2.4025</v>
      </c>
      <c r="C2061" s="3">
        <v>2.7025</v>
      </c>
      <c r="D2061" s="3">
        <v>2.41</v>
      </c>
      <c r="E2061" s="3">
        <v>2.7075</v>
      </c>
      <c r="F2061" s="3">
        <v>2.4063</v>
      </c>
      <c r="G2061" s="3">
        <v>2.705</v>
      </c>
    </row>
    <row r="2062" spans="1:7">
      <c r="A2062" s="2">
        <v>44060</v>
      </c>
      <c r="B2062" s="3">
        <v>2.395</v>
      </c>
      <c r="C2062" s="3">
        <v>2.695</v>
      </c>
      <c r="D2062" s="3">
        <v>2.3975</v>
      </c>
      <c r="E2062" s="3">
        <v>2.6975</v>
      </c>
      <c r="F2062" s="3">
        <v>2.3963</v>
      </c>
      <c r="G2062" s="3">
        <v>2.6963</v>
      </c>
    </row>
    <row r="2063" spans="1:7">
      <c r="A2063" s="2">
        <v>44061</v>
      </c>
      <c r="B2063" s="3">
        <v>2.4047</v>
      </c>
      <c r="C2063" s="3">
        <v>2.715</v>
      </c>
      <c r="D2063" s="3">
        <v>2.415</v>
      </c>
      <c r="E2063" s="3">
        <v>2.7175</v>
      </c>
      <c r="F2063" s="3">
        <v>2.4099</v>
      </c>
      <c r="G2063" s="3">
        <v>2.7163</v>
      </c>
    </row>
    <row r="2064" spans="1:7">
      <c r="A2064" s="2">
        <v>44062</v>
      </c>
      <c r="B2064" s="3">
        <v>2.4325</v>
      </c>
      <c r="C2064" s="3">
        <v>2.7438</v>
      </c>
      <c r="D2064" s="3">
        <v>2.44</v>
      </c>
      <c r="E2064" s="3">
        <v>2.7464</v>
      </c>
      <c r="F2064" s="3">
        <v>2.4363</v>
      </c>
      <c r="G2064" s="3">
        <v>2.7451</v>
      </c>
    </row>
    <row r="2065" spans="1:7">
      <c r="A2065" s="2">
        <v>44063</v>
      </c>
      <c r="B2065" s="3">
        <v>2.465</v>
      </c>
      <c r="C2065" s="3">
        <v>2.774</v>
      </c>
      <c r="D2065" s="3">
        <v>2.4725</v>
      </c>
      <c r="E2065" s="3">
        <v>2.781</v>
      </c>
      <c r="F2065" s="3">
        <v>2.4688</v>
      </c>
      <c r="G2065" s="3">
        <v>2.7775</v>
      </c>
    </row>
    <row r="2066" spans="1:7">
      <c r="A2066" s="2">
        <v>44064</v>
      </c>
      <c r="B2066" s="3">
        <v>2.4472</v>
      </c>
      <c r="C2066" s="3">
        <v>2.7438</v>
      </c>
      <c r="D2066" s="3">
        <v>2.4511</v>
      </c>
      <c r="E2066" s="3">
        <v>2.7488</v>
      </c>
      <c r="F2066" s="3">
        <v>2.4492</v>
      </c>
      <c r="G2066" s="3">
        <v>2.7463</v>
      </c>
    </row>
    <row r="2067" spans="1:7">
      <c r="A2067" s="2">
        <v>44067</v>
      </c>
      <c r="B2067" s="3">
        <v>2.465</v>
      </c>
      <c r="C2067" s="3">
        <v>2.7753</v>
      </c>
      <c r="D2067" s="3">
        <v>2.4717</v>
      </c>
      <c r="E2067" s="3">
        <v>2.7788</v>
      </c>
      <c r="F2067" s="3">
        <v>2.4683</v>
      </c>
      <c r="G2067" s="3">
        <v>2.777</v>
      </c>
    </row>
    <row r="2068" spans="1:7">
      <c r="A2068" s="2">
        <v>44068</v>
      </c>
      <c r="B2068" s="3">
        <v>2.495</v>
      </c>
      <c r="C2068" s="3">
        <v>2.8173</v>
      </c>
      <c r="D2068" s="3">
        <v>2.4975</v>
      </c>
      <c r="E2068" s="3">
        <v>2.82</v>
      </c>
      <c r="F2068" s="3">
        <v>2.4963</v>
      </c>
      <c r="G2068" s="3">
        <v>2.8187</v>
      </c>
    </row>
    <row r="2069" spans="1:7">
      <c r="A2069" s="2">
        <v>44069</v>
      </c>
      <c r="B2069" s="3">
        <v>2.5</v>
      </c>
      <c r="C2069" s="3">
        <v>2.8325</v>
      </c>
      <c r="D2069" s="3">
        <v>2.5051</v>
      </c>
      <c r="E2069" s="3">
        <v>2.835</v>
      </c>
      <c r="F2069" s="3">
        <v>2.5026</v>
      </c>
      <c r="G2069" s="3">
        <v>2.8338</v>
      </c>
    </row>
    <row r="2070" spans="1:7">
      <c r="A2070" s="2">
        <v>44070</v>
      </c>
      <c r="B2070" s="3">
        <v>2.505</v>
      </c>
      <c r="C2070" s="3">
        <v>2.8325</v>
      </c>
      <c r="D2070" s="3">
        <v>2.515</v>
      </c>
      <c r="E2070" s="3">
        <v>2.8369</v>
      </c>
      <c r="F2070" s="3">
        <v>2.51</v>
      </c>
      <c r="G2070" s="3">
        <v>2.8347</v>
      </c>
    </row>
    <row r="2071" spans="1:7">
      <c r="A2071" s="2">
        <v>44071</v>
      </c>
      <c r="B2071" s="3">
        <v>2.5118</v>
      </c>
      <c r="C2071" s="3">
        <v>2.8569</v>
      </c>
      <c r="D2071" s="3">
        <v>2.5214</v>
      </c>
      <c r="E2071" s="3">
        <v>2.86</v>
      </c>
      <c r="F2071" s="3">
        <v>2.5166</v>
      </c>
      <c r="G2071" s="3">
        <v>2.8585</v>
      </c>
    </row>
    <row r="2072" spans="1:7">
      <c r="A2072" s="2">
        <v>44074</v>
      </c>
      <c r="B2072" s="3">
        <v>2.4965</v>
      </c>
      <c r="C2072" s="3">
        <v>2.8191</v>
      </c>
      <c r="D2072" s="3">
        <v>2.4994</v>
      </c>
      <c r="E2072" s="3">
        <v>2.822</v>
      </c>
      <c r="F2072" s="3">
        <v>2.4979</v>
      </c>
      <c r="G2072" s="3">
        <v>2.8205</v>
      </c>
    </row>
    <row r="2073" spans="1:7">
      <c r="A2073" s="2">
        <v>44075</v>
      </c>
      <c r="B2073" s="3">
        <v>2.5241</v>
      </c>
      <c r="C2073" s="3">
        <v>2.8613</v>
      </c>
      <c r="D2073" s="3">
        <v>2.5376</v>
      </c>
      <c r="E2073" s="3">
        <v>2.8668</v>
      </c>
      <c r="F2073" s="3">
        <v>2.5308</v>
      </c>
      <c r="G2073" s="3">
        <v>2.864</v>
      </c>
    </row>
    <row r="2074" spans="1:7">
      <c r="A2074" s="2">
        <v>44076</v>
      </c>
      <c r="B2074" s="3">
        <v>2.565</v>
      </c>
      <c r="C2074" s="3">
        <v>2.9165</v>
      </c>
      <c r="D2074" s="3">
        <v>2.5691</v>
      </c>
      <c r="E2074" s="3">
        <v>2.92</v>
      </c>
      <c r="F2074" s="3">
        <v>2.5671</v>
      </c>
      <c r="G2074" s="3">
        <v>2.9183</v>
      </c>
    </row>
    <row r="2075" spans="1:7">
      <c r="A2075" s="2">
        <v>44077</v>
      </c>
      <c r="B2075" s="3">
        <v>2.5544</v>
      </c>
      <c r="C2075" s="3">
        <v>2.904</v>
      </c>
      <c r="D2075" s="3">
        <v>2.5641</v>
      </c>
      <c r="E2075" s="3">
        <v>2.9075</v>
      </c>
      <c r="F2075" s="3">
        <v>2.5593</v>
      </c>
      <c r="G2075" s="3">
        <v>2.9058</v>
      </c>
    </row>
    <row r="2076" spans="1:7">
      <c r="A2076" s="2">
        <v>44078</v>
      </c>
      <c r="B2076" s="3">
        <v>2.5668</v>
      </c>
      <c r="C2076" s="3">
        <v>2.9221</v>
      </c>
      <c r="D2076" s="3">
        <v>2.5731</v>
      </c>
      <c r="E2076" s="3">
        <v>2.9245</v>
      </c>
      <c r="F2076" s="3">
        <v>2.57</v>
      </c>
      <c r="G2076" s="3">
        <v>2.9233</v>
      </c>
    </row>
    <row r="2077" spans="1:7">
      <c r="A2077" s="2">
        <v>44081</v>
      </c>
      <c r="B2077" s="3">
        <v>2.582</v>
      </c>
      <c r="C2077" s="3">
        <v>2.945</v>
      </c>
      <c r="D2077" s="3">
        <v>2.585</v>
      </c>
      <c r="E2077" s="3">
        <v>2.9477</v>
      </c>
      <c r="F2077" s="3">
        <v>2.5835</v>
      </c>
      <c r="G2077" s="3">
        <v>2.9463</v>
      </c>
    </row>
    <row r="2078" spans="1:7">
      <c r="A2078" s="2">
        <v>44082</v>
      </c>
      <c r="B2078" s="3">
        <v>2.5625</v>
      </c>
      <c r="C2078" s="3">
        <v>2.9175</v>
      </c>
      <c r="D2078" s="3">
        <v>2.565</v>
      </c>
      <c r="E2078" s="3">
        <v>2.92</v>
      </c>
      <c r="F2078" s="3">
        <v>2.5638</v>
      </c>
      <c r="G2078" s="3">
        <v>2.9188</v>
      </c>
    </row>
    <row r="2079" spans="1:7">
      <c r="A2079" s="2">
        <v>44083</v>
      </c>
      <c r="B2079" s="3">
        <v>2.5225</v>
      </c>
      <c r="C2079" s="3">
        <v>2.8697</v>
      </c>
      <c r="D2079" s="3">
        <v>2.53</v>
      </c>
      <c r="E2079" s="3">
        <v>2.8725</v>
      </c>
      <c r="F2079" s="3">
        <v>2.5263</v>
      </c>
      <c r="G2079" s="3">
        <v>2.8711</v>
      </c>
    </row>
    <row r="2080" spans="1:7">
      <c r="A2080" s="2">
        <v>44084</v>
      </c>
      <c r="B2080" s="3">
        <v>2.4988</v>
      </c>
      <c r="C2080" s="3">
        <v>2.8509</v>
      </c>
      <c r="D2080" s="3">
        <v>2.506</v>
      </c>
      <c r="E2080" s="3">
        <v>2.855</v>
      </c>
      <c r="F2080" s="3">
        <v>2.5024</v>
      </c>
      <c r="G2080" s="3">
        <v>2.8529</v>
      </c>
    </row>
    <row r="2081" spans="1:7">
      <c r="A2081" s="2">
        <v>44085</v>
      </c>
      <c r="B2081" s="3">
        <v>2.52</v>
      </c>
      <c r="C2081" s="3">
        <v>2.8775</v>
      </c>
      <c r="D2081" s="3">
        <v>2.5229</v>
      </c>
      <c r="E2081" s="3">
        <v>2.8825</v>
      </c>
      <c r="F2081" s="3">
        <v>2.5215</v>
      </c>
      <c r="G2081" s="3">
        <v>2.88</v>
      </c>
    </row>
    <row r="2082" spans="1:7">
      <c r="A2082" s="2">
        <v>44088</v>
      </c>
      <c r="B2082" s="3">
        <v>2.5299</v>
      </c>
      <c r="C2082" s="3">
        <v>2.895</v>
      </c>
      <c r="D2082" s="3">
        <v>2.5334</v>
      </c>
      <c r="E2082" s="3">
        <v>2.8985</v>
      </c>
      <c r="F2082" s="3">
        <v>2.5316</v>
      </c>
      <c r="G2082" s="3">
        <v>2.8968</v>
      </c>
    </row>
    <row r="2083" spans="1:7">
      <c r="A2083" s="2">
        <v>44089</v>
      </c>
      <c r="B2083" s="3">
        <v>2.46</v>
      </c>
      <c r="C2083" s="3">
        <v>2.8441</v>
      </c>
      <c r="D2083" s="3">
        <v>2.4646</v>
      </c>
      <c r="E2083" s="3">
        <v>2.8469</v>
      </c>
      <c r="F2083" s="3">
        <v>2.4623</v>
      </c>
      <c r="G2083" s="3">
        <v>2.8455</v>
      </c>
    </row>
    <row r="2084" spans="1:7">
      <c r="A2084" s="2">
        <v>44090</v>
      </c>
      <c r="B2084" s="3">
        <v>2.4475</v>
      </c>
      <c r="C2084" s="3">
        <v>2.8225</v>
      </c>
      <c r="D2084" s="3">
        <v>2.4525</v>
      </c>
      <c r="E2084" s="3">
        <v>2.825</v>
      </c>
      <c r="F2084" s="3">
        <v>2.45</v>
      </c>
      <c r="G2084" s="3">
        <v>2.8238</v>
      </c>
    </row>
    <row r="2085" spans="1:7">
      <c r="A2085" s="2">
        <v>44091</v>
      </c>
      <c r="B2085" s="3">
        <v>2.4725</v>
      </c>
      <c r="C2085" s="3">
        <v>2.8378</v>
      </c>
      <c r="D2085" s="3">
        <v>2.4775</v>
      </c>
      <c r="E2085" s="3">
        <v>2.8417</v>
      </c>
      <c r="F2085" s="3">
        <v>2.475</v>
      </c>
      <c r="G2085" s="3">
        <v>2.8397</v>
      </c>
    </row>
    <row r="2086" spans="1:7">
      <c r="A2086" s="2">
        <v>44092</v>
      </c>
      <c r="B2086" s="3">
        <v>2.4393</v>
      </c>
      <c r="C2086" s="3">
        <v>2.7971</v>
      </c>
      <c r="D2086" s="3">
        <v>2.4475</v>
      </c>
      <c r="E2086" s="3">
        <v>2.8</v>
      </c>
      <c r="F2086" s="3">
        <v>2.4434</v>
      </c>
      <c r="G2086" s="3">
        <v>2.7985</v>
      </c>
    </row>
    <row r="2087" spans="1:7">
      <c r="A2087" s="2">
        <v>44095</v>
      </c>
      <c r="B2087" s="3">
        <v>2.4275</v>
      </c>
      <c r="C2087" s="3">
        <v>2.7725</v>
      </c>
      <c r="D2087" s="3">
        <v>2.4301</v>
      </c>
      <c r="E2087" s="3">
        <v>2.775</v>
      </c>
      <c r="F2087" s="3">
        <v>2.4288</v>
      </c>
      <c r="G2087" s="3">
        <v>2.7738</v>
      </c>
    </row>
    <row r="2088" spans="1:7">
      <c r="A2088" s="2">
        <v>44096</v>
      </c>
      <c r="B2088" s="3">
        <v>2.4325</v>
      </c>
      <c r="C2088" s="3">
        <v>2.7686</v>
      </c>
      <c r="D2088" s="3">
        <v>2.435</v>
      </c>
      <c r="E2088" s="3">
        <v>2.7739</v>
      </c>
      <c r="F2088" s="3">
        <v>2.4338</v>
      </c>
      <c r="G2088" s="3">
        <v>2.7713</v>
      </c>
    </row>
    <row r="2089" spans="1:7">
      <c r="A2089" s="2">
        <v>44097</v>
      </c>
      <c r="B2089" s="3">
        <v>2.4392</v>
      </c>
      <c r="C2089" s="3">
        <v>2.791</v>
      </c>
      <c r="D2089" s="3">
        <v>2.444</v>
      </c>
      <c r="E2089" s="3">
        <v>2.7945</v>
      </c>
      <c r="F2089" s="3">
        <v>2.4416</v>
      </c>
      <c r="G2089" s="3">
        <v>2.7928</v>
      </c>
    </row>
    <row r="2090" spans="1:7">
      <c r="A2090" s="2">
        <v>44098</v>
      </c>
      <c r="B2090" s="3">
        <v>2.4275</v>
      </c>
      <c r="C2090" s="3">
        <v>2.78</v>
      </c>
      <c r="D2090" s="3">
        <v>2.43</v>
      </c>
      <c r="E2090" s="3">
        <v>2.7825</v>
      </c>
      <c r="F2090" s="3">
        <v>2.4288</v>
      </c>
      <c r="G2090" s="3">
        <v>2.7813</v>
      </c>
    </row>
    <row r="2091" spans="1:7">
      <c r="A2091" s="2">
        <v>44099</v>
      </c>
      <c r="B2091" s="3">
        <v>2.455</v>
      </c>
      <c r="C2091" s="3">
        <v>2.8297</v>
      </c>
      <c r="D2091" s="3">
        <v>2.46</v>
      </c>
      <c r="E2091" s="3">
        <v>2.8325</v>
      </c>
      <c r="F2091" s="3">
        <v>2.4575</v>
      </c>
      <c r="G2091" s="3">
        <v>2.8311</v>
      </c>
    </row>
    <row r="2092" spans="1:7">
      <c r="A2092" s="2">
        <v>44101</v>
      </c>
      <c r="B2092" s="3">
        <v>2.445</v>
      </c>
      <c r="C2092" s="3">
        <v>2.83</v>
      </c>
      <c r="D2092" s="3">
        <v>2.465</v>
      </c>
      <c r="E2092" s="3">
        <v>2.85</v>
      </c>
      <c r="F2092" s="3">
        <v>2.455</v>
      </c>
      <c r="G2092" s="3">
        <v>2.84</v>
      </c>
    </row>
    <row r="2093" spans="1:7">
      <c r="A2093" s="2">
        <v>44102</v>
      </c>
      <c r="B2093" s="3">
        <v>2.4375</v>
      </c>
      <c r="C2093" s="3">
        <v>2.8075</v>
      </c>
      <c r="D2093" s="3">
        <v>2.4401</v>
      </c>
      <c r="E2093" s="3">
        <v>2.81</v>
      </c>
      <c r="F2093" s="3">
        <v>2.4388</v>
      </c>
      <c r="G2093" s="3">
        <v>2.8088</v>
      </c>
    </row>
    <row r="2094" spans="1:7">
      <c r="A2094" s="2">
        <v>44103</v>
      </c>
      <c r="B2094" s="3">
        <v>2.4603</v>
      </c>
      <c r="C2094" s="3">
        <v>2.8379</v>
      </c>
      <c r="D2094" s="3">
        <v>2.4645</v>
      </c>
      <c r="E2094" s="3">
        <v>2.841</v>
      </c>
      <c r="F2094" s="3">
        <v>2.4624</v>
      </c>
      <c r="G2094" s="3">
        <v>2.8395</v>
      </c>
    </row>
    <row r="2095" spans="1:7">
      <c r="A2095" s="2">
        <v>44104</v>
      </c>
      <c r="B2095" s="3">
        <v>2.4786</v>
      </c>
      <c r="C2095" s="3">
        <v>2.8538</v>
      </c>
      <c r="D2095" s="3">
        <v>2.4826</v>
      </c>
      <c r="E2095" s="3">
        <v>2.8585</v>
      </c>
      <c r="F2095" s="3">
        <v>2.4806</v>
      </c>
      <c r="G2095" s="3">
        <v>2.8561</v>
      </c>
    </row>
    <row r="2096" spans="1:7">
      <c r="A2096" s="2">
        <v>44113</v>
      </c>
      <c r="B2096" s="3">
        <v>2.5125</v>
      </c>
      <c r="C2096" s="3">
        <v>2.9025</v>
      </c>
      <c r="D2096" s="3">
        <v>2.515</v>
      </c>
      <c r="E2096" s="3">
        <v>2.9075</v>
      </c>
      <c r="F2096" s="3">
        <v>2.5138</v>
      </c>
      <c r="G2096" s="3">
        <v>2.905</v>
      </c>
    </row>
    <row r="2097" spans="1:7">
      <c r="A2097" s="2">
        <v>44114</v>
      </c>
      <c r="B2097" s="3">
        <v>2.4975</v>
      </c>
      <c r="C2097" s="3">
        <v>2.9</v>
      </c>
      <c r="D2097" s="3">
        <v>2.51</v>
      </c>
      <c r="E2097" s="3">
        <v>2.91</v>
      </c>
      <c r="F2097" s="3">
        <v>2.5038</v>
      </c>
      <c r="G2097" s="3">
        <v>2.905</v>
      </c>
    </row>
    <row r="2098" spans="1:7">
      <c r="A2098" s="2">
        <v>44116</v>
      </c>
      <c r="B2098" s="3">
        <v>2.5149</v>
      </c>
      <c r="C2098" s="3">
        <v>2.8916</v>
      </c>
      <c r="D2098" s="3">
        <v>2.5175</v>
      </c>
      <c r="E2098" s="3">
        <v>2.8943</v>
      </c>
      <c r="F2098" s="3">
        <v>2.5162</v>
      </c>
      <c r="G2098" s="3">
        <v>2.8929</v>
      </c>
    </row>
    <row r="2099" spans="1:7">
      <c r="A2099" s="2">
        <v>44117</v>
      </c>
      <c r="B2099" s="3">
        <v>2.5075</v>
      </c>
      <c r="C2099" s="3">
        <v>2.8975</v>
      </c>
      <c r="D2099" s="3">
        <v>2.51</v>
      </c>
      <c r="E2099" s="3">
        <v>2.9</v>
      </c>
      <c r="F2099" s="3">
        <v>2.5088</v>
      </c>
      <c r="G2099" s="3">
        <v>2.8988</v>
      </c>
    </row>
    <row r="2100" spans="1:7">
      <c r="A2100" s="2">
        <v>44118</v>
      </c>
      <c r="B2100" s="3">
        <v>2.525</v>
      </c>
      <c r="C2100" s="3">
        <v>2.9124</v>
      </c>
      <c r="D2100" s="3">
        <v>2.5275</v>
      </c>
      <c r="E2100" s="3">
        <v>2.915</v>
      </c>
      <c r="F2100" s="3">
        <v>2.5263</v>
      </c>
      <c r="G2100" s="3">
        <v>2.9137</v>
      </c>
    </row>
    <row r="2101" spans="1:7">
      <c r="A2101" s="2">
        <v>44119</v>
      </c>
      <c r="B2101" s="3">
        <v>2.5375</v>
      </c>
      <c r="C2101" s="3">
        <v>2.925</v>
      </c>
      <c r="D2101" s="3">
        <v>2.54</v>
      </c>
      <c r="E2101" s="3">
        <v>2.9275</v>
      </c>
      <c r="F2101" s="3">
        <v>2.5388</v>
      </c>
      <c r="G2101" s="3">
        <v>2.9263</v>
      </c>
    </row>
    <row r="2102" spans="1:7">
      <c r="A2102" s="2">
        <v>44120</v>
      </c>
      <c r="B2102" s="3">
        <v>2.535</v>
      </c>
      <c r="C2102" s="3">
        <v>2.9175</v>
      </c>
      <c r="D2102" s="3">
        <v>2.5375</v>
      </c>
      <c r="E2102" s="3">
        <v>2.92</v>
      </c>
      <c r="F2102" s="3">
        <v>2.5363</v>
      </c>
      <c r="G2102" s="3">
        <v>2.9188</v>
      </c>
    </row>
    <row r="2103" spans="1:7">
      <c r="A2103" s="2">
        <v>44123</v>
      </c>
      <c r="B2103" s="3">
        <v>2.505</v>
      </c>
      <c r="C2103" s="3">
        <v>2.8821</v>
      </c>
      <c r="D2103" s="3">
        <v>2.51</v>
      </c>
      <c r="E2103" s="3">
        <v>2.885</v>
      </c>
      <c r="F2103" s="3">
        <v>2.5075</v>
      </c>
      <c r="G2103" s="3">
        <v>2.8835</v>
      </c>
    </row>
    <row r="2104" spans="1:7">
      <c r="A2104" s="2">
        <v>44124</v>
      </c>
      <c r="B2104" s="3">
        <v>2.5125</v>
      </c>
      <c r="C2104" s="3">
        <v>2.8825</v>
      </c>
      <c r="D2104" s="3">
        <v>2.515</v>
      </c>
      <c r="E2104" s="3">
        <v>2.8846</v>
      </c>
      <c r="F2104" s="3">
        <v>2.5138</v>
      </c>
      <c r="G2104" s="3">
        <v>2.8835</v>
      </c>
    </row>
    <row r="2105" spans="1:7">
      <c r="A2105" s="2">
        <v>44125</v>
      </c>
      <c r="B2105" s="3">
        <v>2.49</v>
      </c>
      <c r="C2105" s="3">
        <v>2.8556</v>
      </c>
      <c r="D2105" s="3">
        <v>2.5</v>
      </c>
      <c r="E2105" s="3">
        <v>2.8595</v>
      </c>
      <c r="F2105" s="3">
        <v>2.495</v>
      </c>
      <c r="G2105" s="3">
        <v>2.8575</v>
      </c>
    </row>
    <row r="2106" spans="1:7">
      <c r="A2106" s="2">
        <v>44126</v>
      </c>
      <c r="B2106" s="3">
        <v>2.4824</v>
      </c>
      <c r="C2106" s="3">
        <v>2.84</v>
      </c>
      <c r="D2106" s="3">
        <v>2.485</v>
      </c>
      <c r="E2106" s="3">
        <v>2.845</v>
      </c>
      <c r="F2106" s="3">
        <v>2.4837</v>
      </c>
      <c r="G2106" s="3">
        <v>2.8425</v>
      </c>
    </row>
    <row r="2107" spans="1:7">
      <c r="A2107" s="2">
        <v>44127</v>
      </c>
      <c r="B2107" s="3">
        <v>2.5025</v>
      </c>
      <c r="C2107" s="3">
        <v>2.865</v>
      </c>
      <c r="D2107" s="3">
        <v>2.505</v>
      </c>
      <c r="E2107" s="3">
        <v>2.87</v>
      </c>
      <c r="F2107" s="3">
        <v>2.5038</v>
      </c>
      <c r="G2107" s="3">
        <v>2.8675</v>
      </c>
    </row>
    <row r="2108" spans="1:7">
      <c r="A2108" s="2">
        <v>44130</v>
      </c>
      <c r="B2108" s="3">
        <v>2.52</v>
      </c>
      <c r="C2108" s="3">
        <v>2.8725</v>
      </c>
      <c r="D2108" s="3">
        <v>2.5225</v>
      </c>
      <c r="E2108" s="3">
        <v>2.8775</v>
      </c>
      <c r="F2108" s="3">
        <v>2.5213</v>
      </c>
      <c r="G2108" s="3">
        <v>2.875</v>
      </c>
    </row>
    <row r="2109" spans="1:7">
      <c r="A2109" s="2">
        <v>44131</v>
      </c>
      <c r="B2109" s="3">
        <v>2.4947</v>
      </c>
      <c r="C2109" s="3">
        <v>2.8392</v>
      </c>
      <c r="D2109" s="3">
        <v>2.4977</v>
      </c>
      <c r="E2109" s="3">
        <v>2.8431</v>
      </c>
      <c r="F2109" s="3">
        <v>2.4962</v>
      </c>
      <c r="G2109" s="3">
        <v>2.8411</v>
      </c>
    </row>
    <row r="2110" spans="1:7">
      <c r="A2110" s="2">
        <v>44132</v>
      </c>
      <c r="B2110" s="3">
        <v>2.4892</v>
      </c>
      <c r="C2110" s="3">
        <v>2.8325</v>
      </c>
      <c r="D2110" s="3">
        <v>2.4925</v>
      </c>
      <c r="E2110" s="3">
        <v>2.8375</v>
      </c>
      <c r="F2110" s="3">
        <v>2.4908</v>
      </c>
      <c r="G2110" s="3">
        <v>2.835</v>
      </c>
    </row>
    <row r="2111" spans="1:7">
      <c r="A2111" s="2">
        <v>44133</v>
      </c>
      <c r="B2111" s="3">
        <v>2.495</v>
      </c>
      <c r="C2111" s="3">
        <v>2.835</v>
      </c>
      <c r="D2111" s="3">
        <v>2.5025</v>
      </c>
      <c r="E2111" s="3">
        <v>2.8382</v>
      </c>
      <c r="F2111" s="3">
        <v>2.4988</v>
      </c>
      <c r="G2111" s="3">
        <v>2.8366</v>
      </c>
    </row>
    <row r="2112" spans="1:7">
      <c r="A2112" s="2">
        <v>44134</v>
      </c>
      <c r="B2112" s="3">
        <v>2.4875</v>
      </c>
      <c r="C2112" s="3">
        <v>2.825</v>
      </c>
      <c r="D2112" s="3">
        <v>2.4975</v>
      </c>
      <c r="E2112" s="3">
        <v>2.83</v>
      </c>
      <c r="F2112" s="3">
        <v>2.4925</v>
      </c>
      <c r="G2112" s="3">
        <v>2.8275</v>
      </c>
    </row>
    <row r="2113" spans="1:7">
      <c r="A2113" s="2">
        <v>44137</v>
      </c>
      <c r="B2113" s="3">
        <v>2.47</v>
      </c>
      <c r="C2113" s="3">
        <v>2.8238</v>
      </c>
      <c r="D2113" s="3">
        <v>2.4781</v>
      </c>
      <c r="E2113" s="3">
        <v>2.8279</v>
      </c>
      <c r="F2113" s="3">
        <v>2.474</v>
      </c>
      <c r="G2113" s="3">
        <v>2.8259</v>
      </c>
    </row>
    <row r="2114" spans="1:7">
      <c r="A2114" s="2">
        <v>44138</v>
      </c>
      <c r="B2114" s="3">
        <v>2.47</v>
      </c>
      <c r="C2114" s="3">
        <v>2.825</v>
      </c>
      <c r="D2114" s="3">
        <v>2.4725</v>
      </c>
      <c r="E2114" s="3">
        <v>2.8275</v>
      </c>
      <c r="F2114" s="3">
        <v>2.4713</v>
      </c>
      <c r="G2114" s="3">
        <v>2.8263</v>
      </c>
    </row>
    <row r="2115" spans="1:7">
      <c r="A2115" s="2">
        <v>44139</v>
      </c>
      <c r="B2115" s="3">
        <v>2.46</v>
      </c>
      <c r="C2115" s="3">
        <v>2.8198</v>
      </c>
      <c r="D2115" s="3">
        <v>2.465</v>
      </c>
      <c r="E2115" s="3">
        <v>2.8223</v>
      </c>
      <c r="F2115" s="3">
        <v>2.4625</v>
      </c>
      <c r="G2115" s="3">
        <v>2.8211</v>
      </c>
    </row>
    <row r="2116" spans="1:7">
      <c r="A2116" s="2">
        <v>44140</v>
      </c>
      <c r="B2116" s="3">
        <v>2.4775</v>
      </c>
      <c r="C2116" s="3">
        <v>2.835</v>
      </c>
      <c r="D2116" s="3">
        <v>2.48</v>
      </c>
      <c r="E2116" s="3">
        <v>2.84</v>
      </c>
      <c r="F2116" s="3">
        <v>2.4788</v>
      </c>
      <c r="G2116" s="3">
        <v>2.8375</v>
      </c>
    </row>
    <row r="2117" spans="1:7">
      <c r="A2117" s="2">
        <v>44141</v>
      </c>
      <c r="B2117" s="3">
        <v>2.5025</v>
      </c>
      <c r="C2117" s="3">
        <v>2.86</v>
      </c>
      <c r="D2117" s="3">
        <v>2.5075</v>
      </c>
      <c r="E2117" s="3">
        <v>2.8635</v>
      </c>
      <c r="F2117" s="3">
        <v>2.505</v>
      </c>
      <c r="G2117" s="3">
        <v>2.8618</v>
      </c>
    </row>
    <row r="2118" spans="1:7">
      <c r="A2118" s="2">
        <v>44144</v>
      </c>
      <c r="B2118" s="3">
        <v>2.53</v>
      </c>
      <c r="C2118" s="3">
        <v>2.8845</v>
      </c>
      <c r="D2118" s="3">
        <v>2.535</v>
      </c>
      <c r="E2118" s="3">
        <v>2.8875</v>
      </c>
      <c r="F2118" s="3">
        <v>2.5325</v>
      </c>
      <c r="G2118" s="3">
        <v>2.886</v>
      </c>
    </row>
    <row r="2119" spans="1:7">
      <c r="A2119" s="2">
        <v>44145</v>
      </c>
      <c r="B2119" s="3">
        <v>2.53</v>
      </c>
      <c r="C2119" s="3">
        <v>2.885</v>
      </c>
      <c r="D2119" s="3">
        <v>2.5325</v>
      </c>
      <c r="E2119" s="3">
        <v>2.8887</v>
      </c>
      <c r="F2119" s="3">
        <v>2.5313</v>
      </c>
      <c r="G2119" s="3">
        <v>2.8868</v>
      </c>
    </row>
    <row r="2120" spans="1:7">
      <c r="A2120" s="2">
        <v>44146</v>
      </c>
      <c r="B2120" s="3">
        <v>2.56</v>
      </c>
      <c r="C2120" s="3">
        <v>2.8975</v>
      </c>
      <c r="D2120" s="3">
        <v>2.57</v>
      </c>
      <c r="E2120" s="3">
        <v>2.9025</v>
      </c>
      <c r="F2120" s="3">
        <v>2.565</v>
      </c>
      <c r="G2120" s="3">
        <v>2.9</v>
      </c>
    </row>
    <row r="2121" spans="1:7">
      <c r="A2121" s="2">
        <v>44147</v>
      </c>
      <c r="B2121" s="3">
        <v>2.605</v>
      </c>
      <c r="C2121" s="3">
        <v>2.938</v>
      </c>
      <c r="D2121" s="3">
        <v>2.6116</v>
      </c>
      <c r="E2121" s="3">
        <v>2.9407</v>
      </c>
      <c r="F2121" s="3">
        <v>2.6083</v>
      </c>
      <c r="G2121" s="3">
        <v>2.9394</v>
      </c>
    </row>
    <row r="2122" spans="1:7">
      <c r="A2122" s="2">
        <v>44148</v>
      </c>
      <c r="B2122" s="3">
        <v>2.6153</v>
      </c>
      <c r="C2122" s="3">
        <v>2.945</v>
      </c>
      <c r="D2122" s="3">
        <v>2.62</v>
      </c>
      <c r="E2122" s="3">
        <v>2.95</v>
      </c>
      <c r="F2122" s="3">
        <v>2.6177</v>
      </c>
      <c r="G2122" s="3">
        <v>2.9475</v>
      </c>
    </row>
    <row r="2123" spans="1:7">
      <c r="A2123" s="2">
        <v>44151</v>
      </c>
      <c r="B2123" s="3">
        <v>2.604</v>
      </c>
      <c r="C2123" s="3">
        <v>2.9425</v>
      </c>
      <c r="D2123" s="3">
        <v>2.6093</v>
      </c>
      <c r="E2123" s="3">
        <v>2.9455</v>
      </c>
      <c r="F2123" s="3">
        <v>2.6066</v>
      </c>
      <c r="G2123" s="3">
        <v>2.944</v>
      </c>
    </row>
    <row r="2124" spans="1:7">
      <c r="A2124" s="2">
        <v>44152</v>
      </c>
      <c r="B2124" s="3">
        <v>2.6186</v>
      </c>
      <c r="C2124" s="3">
        <v>2.955</v>
      </c>
      <c r="D2124" s="3">
        <v>2.6214</v>
      </c>
      <c r="E2124" s="3">
        <v>2.9575</v>
      </c>
      <c r="F2124" s="3">
        <v>2.62</v>
      </c>
      <c r="G2124" s="3">
        <v>2.9563</v>
      </c>
    </row>
    <row r="2125" spans="1:7">
      <c r="A2125" s="2">
        <v>44153</v>
      </c>
      <c r="B2125" s="3">
        <v>2.6533</v>
      </c>
      <c r="C2125" s="3">
        <v>2.985</v>
      </c>
      <c r="D2125" s="3">
        <v>2.6561</v>
      </c>
      <c r="E2125" s="3">
        <v>2.988</v>
      </c>
      <c r="F2125" s="3">
        <v>2.6547</v>
      </c>
      <c r="G2125" s="3">
        <v>2.9865</v>
      </c>
    </row>
    <row r="2126" spans="1:7">
      <c r="A2126" s="2">
        <v>44154</v>
      </c>
      <c r="B2126" s="3">
        <v>2.7225</v>
      </c>
      <c r="C2126" s="3">
        <v>3.0625</v>
      </c>
      <c r="D2126" s="3">
        <v>2.725</v>
      </c>
      <c r="E2126" s="3">
        <v>3.0689</v>
      </c>
      <c r="F2126" s="3">
        <v>2.7238</v>
      </c>
      <c r="G2126" s="3">
        <v>3.0657</v>
      </c>
    </row>
    <row r="2127" spans="1:7">
      <c r="A2127" s="2">
        <v>44155</v>
      </c>
      <c r="B2127" s="3">
        <v>2.6942</v>
      </c>
      <c r="C2127" s="3">
        <v>3.0575</v>
      </c>
      <c r="D2127" s="3">
        <v>2.6975</v>
      </c>
      <c r="E2127" s="3">
        <v>3.06</v>
      </c>
      <c r="F2127" s="3">
        <v>2.6959</v>
      </c>
      <c r="G2127" s="3">
        <v>3.0588</v>
      </c>
    </row>
    <row r="2128" spans="1:7">
      <c r="A2128" s="2">
        <v>44158</v>
      </c>
      <c r="B2128" s="3">
        <v>2.6333</v>
      </c>
      <c r="C2128" s="3">
        <v>2.9963</v>
      </c>
      <c r="D2128" s="3">
        <v>2.638</v>
      </c>
      <c r="E2128" s="3">
        <v>3.0001</v>
      </c>
      <c r="F2128" s="3">
        <v>2.6357</v>
      </c>
      <c r="G2128" s="3">
        <v>2.9982</v>
      </c>
    </row>
    <row r="2129" spans="1:7">
      <c r="A2129" s="2">
        <v>44159</v>
      </c>
      <c r="B2129" s="3">
        <v>2.6999</v>
      </c>
      <c r="C2129" s="3">
        <v>3.0525</v>
      </c>
      <c r="D2129" s="3">
        <v>2.705</v>
      </c>
      <c r="E2129" s="3">
        <v>3.055</v>
      </c>
      <c r="F2129" s="3">
        <v>2.7024</v>
      </c>
      <c r="G2129" s="3">
        <v>3.0538</v>
      </c>
    </row>
    <row r="2130" spans="1:7">
      <c r="A2130" s="2">
        <v>44160</v>
      </c>
      <c r="B2130" s="3">
        <v>2.6582</v>
      </c>
      <c r="C2130" s="3">
        <v>3.0075</v>
      </c>
      <c r="D2130" s="3">
        <v>2.6618</v>
      </c>
      <c r="E2130" s="3">
        <v>3.0102</v>
      </c>
      <c r="F2130" s="3">
        <v>2.66</v>
      </c>
      <c r="G2130" s="3">
        <v>3.0088</v>
      </c>
    </row>
    <row r="2131" spans="1:7">
      <c r="A2131" s="2">
        <v>44161</v>
      </c>
      <c r="B2131" s="3">
        <v>2.6765</v>
      </c>
      <c r="C2131" s="3">
        <v>3.0198</v>
      </c>
      <c r="D2131" s="3">
        <v>2.6775</v>
      </c>
      <c r="E2131" s="3">
        <v>3.0225</v>
      </c>
      <c r="F2131" s="3">
        <v>2.677</v>
      </c>
      <c r="G2131" s="3">
        <v>3.0212</v>
      </c>
    </row>
    <row r="2132" spans="1:7">
      <c r="A2132" s="2">
        <v>44162</v>
      </c>
      <c r="B2132" s="3">
        <v>2.6707</v>
      </c>
      <c r="C2132" s="3">
        <v>3.024</v>
      </c>
      <c r="D2132" s="3">
        <v>2.6743</v>
      </c>
      <c r="E2132" s="3">
        <v>3.03</v>
      </c>
      <c r="F2132" s="3">
        <v>2.6725</v>
      </c>
      <c r="G2132" s="3">
        <v>3.027</v>
      </c>
    </row>
    <row r="2133" spans="1:7">
      <c r="A2133" s="2">
        <v>44165</v>
      </c>
      <c r="B2133" s="3">
        <v>2.6075</v>
      </c>
      <c r="C2133" s="3">
        <v>2.9475</v>
      </c>
      <c r="D2133" s="3">
        <v>2.609</v>
      </c>
      <c r="E2133" s="3">
        <v>2.9525</v>
      </c>
      <c r="F2133" s="3">
        <v>2.6082</v>
      </c>
      <c r="G2133" s="3">
        <v>2.95</v>
      </c>
    </row>
    <row r="2134" spans="1:7">
      <c r="A2134" s="2">
        <v>44166</v>
      </c>
      <c r="B2134" s="3">
        <v>2.6175</v>
      </c>
      <c r="C2134" s="3">
        <v>2.975</v>
      </c>
      <c r="D2134" s="3">
        <v>2.62</v>
      </c>
      <c r="E2134" s="3">
        <v>2.9775</v>
      </c>
      <c r="F2134" s="3">
        <v>2.6188</v>
      </c>
      <c r="G2134" s="3">
        <v>2.9763</v>
      </c>
    </row>
    <row r="2135" spans="1:7">
      <c r="A2135" s="2">
        <v>44167</v>
      </c>
      <c r="B2135" s="3">
        <v>2.6595</v>
      </c>
      <c r="C2135" s="3">
        <v>3.0075</v>
      </c>
      <c r="D2135" s="3">
        <v>2.6621</v>
      </c>
      <c r="E2135" s="3">
        <v>3.01</v>
      </c>
      <c r="F2135" s="3">
        <v>2.6608</v>
      </c>
      <c r="G2135" s="3">
        <v>3.0088</v>
      </c>
    </row>
    <row r="2136" spans="1:7">
      <c r="A2136" s="2">
        <v>44168</v>
      </c>
      <c r="B2136" s="3">
        <v>2.6675</v>
      </c>
      <c r="C2136" s="3">
        <v>3.01</v>
      </c>
      <c r="D2136" s="3">
        <v>2.67</v>
      </c>
      <c r="E2136" s="3">
        <v>3.015</v>
      </c>
      <c r="F2136" s="3">
        <v>2.6688</v>
      </c>
      <c r="G2136" s="3">
        <v>3.0125</v>
      </c>
    </row>
    <row r="2137" spans="1:7">
      <c r="A2137" s="2">
        <v>44169</v>
      </c>
      <c r="B2137" s="3">
        <v>2.655</v>
      </c>
      <c r="C2137" s="3">
        <v>2.9975</v>
      </c>
      <c r="D2137" s="3">
        <v>2.67</v>
      </c>
      <c r="E2137" s="3">
        <v>3.0025</v>
      </c>
      <c r="F2137" s="3">
        <v>2.6625</v>
      </c>
      <c r="G2137" s="3">
        <v>3</v>
      </c>
    </row>
    <row r="2138" spans="1:7">
      <c r="A2138" s="2">
        <v>44172</v>
      </c>
      <c r="B2138" s="3">
        <v>2.645</v>
      </c>
      <c r="C2138" s="3">
        <v>3.0009</v>
      </c>
      <c r="D2138" s="3">
        <v>2.6479</v>
      </c>
      <c r="E2138" s="3">
        <v>3.005</v>
      </c>
      <c r="F2138" s="3">
        <v>2.6465</v>
      </c>
      <c r="G2138" s="3">
        <v>3.0029</v>
      </c>
    </row>
    <row r="2139" spans="1:7">
      <c r="A2139" s="2">
        <v>44173</v>
      </c>
      <c r="B2139" s="3">
        <v>2.6182</v>
      </c>
      <c r="C2139" s="3">
        <v>2.9775</v>
      </c>
      <c r="D2139" s="3">
        <v>2.6211</v>
      </c>
      <c r="E2139" s="3">
        <v>2.98</v>
      </c>
      <c r="F2139" s="3">
        <v>2.6197</v>
      </c>
      <c r="G2139" s="3">
        <v>2.9788</v>
      </c>
    </row>
    <row r="2140" spans="1:7">
      <c r="A2140" s="2">
        <v>44174</v>
      </c>
      <c r="B2140" s="3">
        <v>2.6171</v>
      </c>
      <c r="C2140" s="3">
        <v>2.975</v>
      </c>
      <c r="D2140" s="3">
        <v>2.62</v>
      </c>
      <c r="E2140" s="3">
        <v>2.98</v>
      </c>
      <c r="F2140" s="3">
        <v>2.6185</v>
      </c>
      <c r="G2140" s="3">
        <v>2.9775</v>
      </c>
    </row>
    <row r="2141" spans="1:7">
      <c r="A2141" s="2">
        <v>44175</v>
      </c>
      <c r="B2141" s="3">
        <v>2.5975</v>
      </c>
      <c r="C2141" s="3">
        <v>2.9575</v>
      </c>
      <c r="D2141" s="3">
        <v>2.6012</v>
      </c>
      <c r="E2141" s="3">
        <v>2.9625</v>
      </c>
      <c r="F2141" s="3">
        <v>2.5993</v>
      </c>
      <c r="G2141" s="3">
        <v>2.96</v>
      </c>
    </row>
    <row r="2142" spans="1:7">
      <c r="A2142" s="2">
        <v>44176</v>
      </c>
      <c r="B2142" s="3">
        <v>2.6221</v>
      </c>
      <c r="C2142" s="3">
        <v>2.98</v>
      </c>
      <c r="D2142" s="3">
        <v>2.625</v>
      </c>
      <c r="E2142" s="3">
        <v>2.9825</v>
      </c>
      <c r="F2142" s="3">
        <v>2.6235</v>
      </c>
      <c r="G2142" s="3">
        <v>2.9813</v>
      </c>
    </row>
    <row r="2143" spans="1:7">
      <c r="A2143" s="2">
        <v>44179</v>
      </c>
      <c r="B2143" s="3">
        <v>2.595</v>
      </c>
      <c r="C2143" s="3">
        <v>2.9575</v>
      </c>
      <c r="D2143" s="3">
        <v>2.6012</v>
      </c>
      <c r="E2143" s="3">
        <v>2.9625</v>
      </c>
      <c r="F2143" s="3">
        <v>2.5981</v>
      </c>
      <c r="G2143" s="3">
        <v>2.96</v>
      </c>
    </row>
    <row r="2144" spans="1:7">
      <c r="A2144" s="2">
        <v>44180</v>
      </c>
      <c r="B2144" s="3">
        <v>2.5625</v>
      </c>
      <c r="C2144" s="3">
        <v>2.94</v>
      </c>
      <c r="D2144" s="3">
        <v>2.5675</v>
      </c>
      <c r="E2144" s="3">
        <v>2.943</v>
      </c>
      <c r="F2144" s="3">
        <v>2.565</v>
      </c>
      <c r="G2144" s="3">
        <v>2.9415</v>
      </c>
    </row>
    <row r="2145" spans="1:7">
      <c r="A2145" s="2">
        <v>44181</v>
      </c>
      <c r="B2145" s="3">
        <v>2.5475</v>
      </c>
      <c r="C2145" s="3">
        <v>2.925</v>
      </c>
      <c r="D2145" s="3">
        <v>2.5514</v>
      </c>
      <c r="E2145" s="3">
        <v>2.9285</v>
      </c>
      <c r="F2145" s="3">
        <v>2.5494</v>
      </c>
      <c r="G2145" s="3">
        <v>2.9268</v>
      </c>
    </row>
    <row r="2146" spans="1:7">
      <c r="A2146" s="2">
        <v>44182</v>
      </c>
      <c r="B2146" s="3">
        <v>2.5725</v>
      </c>
      <c r="C2146" s="3">
        <v>2.9507</v>
      </c>
      <c r="D2146" s="3">
        <v>2.5775</v>
      </c>
      <c r="E2146" s="3">
        <v>2.9543</v>
      </c>
      <c r="F2146" s="3">
        <v>2.575</v>
      </c>
      <c r="G2146" s="3">
        <v>2.9525</v>
      </c>
    </row>
    <row r="2147" spans="1:7">
      <c r="A2147" s="2">
        <v>44183</v>
      </c>
      <c r="B2147" s="3">
        <v>2.5673</v>
      </c>
      <c r="C2147" s="3">
        <v>2.95</v>
      </c>
      <c r="D2147" s="3">
        <v>2.5716</v>
      </c>
      <c r="E2147" s="3">
        <v>2.955</v>
      </c>
      <c r="F2147" s="3">
        <v>2.5694</v>
      </c>
      <c r="G2147" s="3">
        <v>2.9525</v>
      </c>
    </row>
    <row r="2148" spans="1:7">
      <c r="A2148" s="2">
        <v>44186</v>
      </c>
      <c r="B2148" s="3">
        <v>2.5384</v>
      </c>
      <c r="C2148" s="3">
        <v>2.92</v>
      </c>
      <c r="D2148" s="3">
        <v>2.5425</v>
      </c>
      <c r="E2148" s="3">
        <v>2.9225</v>
      </c>
      <c r="F2148" s="3">
        <v>2.5404</v>
      </c>
      <c r="G2148" s="3">
        <v>2.9213</v>
      </c>
    </row>
    <row r="2149" spans="1:7">
      <c r="A2149" s="2">
        <v>44187</v>
      </c>
      <c r="B2149" s="3">
        <v>2.503</v>
      </c>
      <c r="C2149" s="3">
        <v>2.8731</v>
      </c>
      <c r="D2149" s="3">
        <v>2.5055</v>
      </c>
      <c r="E2149" s="3">
        <v>2.8776</v>
      </c>
      <c r="F2149" s="3">
        <v>2.5043</v>
      </c>
      <c r="G2149" s="3">
        <v>2.8754</v>
      </c>
    </row>
    <row r="2150" spans="1:7">
      <c r="A2150" s="2">
        <v>44188</v>
      </c>
      <c r="B2150" s="3">
        <v>2.5</v>
      </c>
      <c r="C2150" s="3">
        <v>2.87</v>
      </c>
      <c r="D2150" s="3">
        <v>2.5025</v>
      </c>
      <c r="E2150" s="3">
        <v>2.875</v>
      </c>
      <c r="F2150" s="3">
        <v>2.5013</v>
      </c>
      <c r="G2150" s="3">
        <v>2.8725</v>
      </c>
    </row>
    <row r="2151" spans="1:7">
      <c r="A2151" s="2">
        <v>44189</v>
      </c>
      <c r="B2151" s="3">
        <v>2.5125</v>
      </c>
      <c r="C2151" s="3">
        <v>2.8925</v>
      </c>
      <c r="D2151" s="3">
        <v>2.515</v>
      </c>
      <c r="E2151" s="3">
        <v>2.8975</v>
      </c>
      <c r="F2151" s="3">
        <v>2.5138</v>
      </c>
      <c r="G2151" s="3">
        <v>2.895</v>
      </c>
    </row>
    <row r="2152" spans="1:7">
      <c r="A2152" s="2">
        <v>44190</v>
      </c>
      <c r="B2152" s="3">
        <v>2.49</v>
      </c>
      <c r="C2152" s="3">
        <v>2.8661</v>
      </c>
      <c r="D2152" s="3">
        <v>2.495</v>
      </c>
      <c r="E2152" s="3">
        <v>2.87</v>
      </c>
      <c r="F2152" s="3">
        <v>2.4925</v>
      </c>
      <c r="G2152" s="3">
        <v>2.8681</v>
      </c>
    </row>
    <row r="2153" spans="1:7">
      <c r="A2153" s="2">
        <v>44193</v>
      </c>
      <c r="B2153" s="3">
        <v>2.505</v>
      </c>
      <c r="C2153" s="3">
        <v>2.8725</v>
      </c>
      <c r="D2153" s="3">
        <v>2.5125</v>
      </c>
      <c r="E2153" s="3">
        <v>2.875</v>
      </c>
      <c r="F2153" s="3">
        <v>2.5088</v>
      </c>
      <c r="G2153" s="3">
        <v>2.8738</v>
      </c>
    </row>
    <row r="2154" spans="1:7">
      <c r="A2154" s="2">
        <v>44194</v>
      </c>
      <c r="B2154" s="3">
        <v>2.505</v>
      </c>
      <c r="C2154" s="3">
        <v>2.8675</v>
      </c>
      <c r="D2154" s="3">
        <v>2.5125</v>
      </c>
      <c r="E2154" s="3">
        <v>2.8725</v>
      </c>
      <c r="F2154" s="3">
        <v>2.5088</v>
      </c>
      <c r="G2154" s="3">
        <v>2.87</v>
      </c>
    </row>
    <row r="2155" spans="1:7">
      <c r="A2155" s="2">
        <v>44195</v>
      </c>
      <c r="B2155" s="3">
        <v>2.48</v>
      </c>
      <c r="C2155" s="3">
        <v>2.83</v>
      </c>
      <c r="D2155" s="3">
        <v>2.485</v>
      </c>
      <c r="E2155" s="3">
        <v>2.8327</v>
      </c>
      <c r="F2155" s="3">
        <v>2.4825</v>
      </c>
      <c r="G2155" s="3">
        <v>2.8313</v>
      </c>
    </row>
    <row r="2156" spans="1:7">
      <c r="A2156" s="2">
        <v>44196</v>
      </c>
      <c r="B2156" s="3">
        <v>2.475</v>
      </c>
      <c r="C2156" s="3">
        <v>2.8325</v>
      </c>
      <c r="D2156" s="3">
        <v>2.4825</v>
      </c>
      <c r="E2156" s="3">
        <v>2.835</v>
      </c>
      <c r="F2156" s="3">
        <v>2.4788</v>
      </c>
      <c r="G2156" s="3">
        <v>2.8338</v>
      </c>
    </row>
    <row r="2157" spans="1:7">
      <c r="A2157" s="2">
        <v>44200</v>
      </c>
      <c r="B2157" s="3">
        <v>2.5125</v>
      </c>
      <c r="C2157" s="3">
        <v>2.885</v>
      </c>
      <c r="D2157" s="3">
        <v>2.5225</v>
      </c>
      <c r="E2157" s="3">
        <v>2.8875</v>
      </c>
      <c r="F2157" s="3">
        <v>2.5175</v>
      </c>
      <c r="G2157" s="3">
        <v>2.8863</v>
      </c>
    </row>
    <row r="2158" spans="1:7">
      <c r="A2158" s="2">
        <v>44201</v>
      </c>
      <c r="B2158" s="3">
        <v>2.4596</v>
      </c>
      <c r="C2158" s="3">
        <v>2.8315</v>
      </c>
      <c r="D2158" s="3">
        <v>2.4638</v>
      </c>
      <c r="E2158" s="3">
        <v>2.8346</v>
      </c>
      <c r="F2158" s="3">
        <v>2.4617</v>
      </c>
      <c r="G2158" s="3">
        <v>2.833</v>
      </c>
    </row>
    <row r="2159" spans="1:7">
      <c r="A2159" s="2">
        <v>44202</v>
      </c>
      <c r="B2159" s="3">
        <v>2.4668</v>
      </c>
      <c r="C2159" s="3">
        <v>2.8411</v>
      </c>
      <c r="D2159" s="3">
        <v>2.47</v>
      </c>
      <c r="E2159" s="3">
        <v>2.8439</v>
      </c>
      <c r="F2159" s="3">
        <v>2.4684</v>
      </c>
      <c r="G2159" s="3">
        <v>2.8425</v>
      </c>
    </row>
    <row r="2160" spans="1:7">
      <c r="A2160" s="2">
        <v>44203</v>
      </c>
      <c r="B2160" s="3">
        <v>2.4425</v>
      </c>
      <c r="C2160" s="3">
        <v>2.8203</v>
      </c>
      <c r="D2160" s="3">
        <v>2.4469</v>
      </c>
      <c r="E2160" s="3">
        <v>2.825</v>
      </c>
      <c r="F2160" s="3">
        <v>2.4447</v>
      </c>
      <c r="G2160" s="3">
        <v>2.8227</v>
      </c>
    </row>
    <row r="2161" spans="1:7">
      <c r="A2161" s="2">
        <v>44204</v>
      </c>
      <c r="B2161" s="3">
        <v>2.4574</v>
      </c>
      <c r="C2161" s="3">
        <v>2.835</v>
      </c>
      <c r="D2161" s="3">
        <v>2.4603</v>
      </c>
      <c r="E2161" s="3">
        <v>2.84</v>
      </c>
      <c r="F2161" s="3">
        <v>2.4589</v>
      </c>
      <c r="G2161" s="3">
        <v>2.8375</v>
      </c>
    </row>
    <row r="2162" spans="1:7">
      <c r="A2162" s="2">
        <v>44207</v>
      </c>
      <c r="B2162" s="3">
        <v>2.465</v>
      </c>
      <c r="C2162" s="3">
        <v>2.8525</v>
      </c>
      <c r="D2162" s="3">
        <v>2.4675</v>
      </c>
      <c r="E2162" s="3">
        <v>2.855</v>
      </c>
      <c r="F2162" s="3">
        <v>2.4663</v>
      </c>
      <c r="G2162" s="3">
        <v>2.8538</v>
      </c>
    </row>
    <row r="2163" spans="1:7">
      <c r="A2163" s="2">
        <v>44208</v>
      </c>
      <c r="B2163" s="3">
        <v>2.4375</v>
      </c>
      <c r="C2163" s="3">
        <v>2.825</v>
      </c>
      <c r="D2163" s="3">
        <v>2.4425</v>
      </c>
      <c r="E2163" s="3">
        <v>2.8279</v>
      </c>
      <c r="F2163" s="3">
        <v>2.44</v>
      </c>
      <c r="G2163" s="3">
        <v>2.8265</v>
      </c>
    </row>
    <row r="2164" spans="1:7">
      <c r="A2164" s="2">
        <v>44209</v>
      </c>
      <c r="B2164" s="3">
        <v>2.41</v>
      </c>
      <c r="C2164" s="3">
        <v>2.785</v>
      </c>
      <c r="D2164" s="3">
        <v>2.415</v>
      </c>
      <c r="E2164" s="3">
        <v>2.788</v>
      </c>
      <c r="F2164" s="3">
        <v>2.4125</v>
      </c>
      <c r="G2164" s="3">
        <v>2.7865</v>
      </c>
    </row>
    <row r="2165" spans="1:7">
      <c r="A2165" s="2">
        <v>44210</v>
      </c>
      <c r="B2165" s="3">
        <v>2.4325</v>
      </c>
      <c r="C2165" s="3">
        <v>2.8025</v>
      </c>
      <c r="D2165" s="3">
        <v>2.4369</v>
      </c>
      <c r="E2165" s="3">
        <v>2.8046</v>
      </c>
      <c r="F2165" s="3">
        <v>2.4347</v>
      </c>
      <c r="G2165" s="3">
        <v>2.8035</v>
      </c>
    </row>
    <row r="2166" spans="1:7">
      <c r="A2166" s="2">
        <v>44211</v>
      </c>
      <c r="B2166" s="3">
        <v>2.4731</v>
      </c>
      <c r="C2166" s="3">
        <v>2.8528</v>
      </c>
      <c r="D2166" s="3">
        <v>2.4772</v>
      </c>
      <c r="E2166" s="3">
        <v>2.8564</v>
      </c>
      <c r="F2166" s="3">
        <v>2.4751</v>
      </c>
      <c r="G2166" s="3">
        <v>2.8546</v>
      </c>
    </row>
    <row r="2167" spans="1:7">
      <c r="A2167" s="2">
        <v>44214</v>
      </c>
      <c r="B2167" s="3">
        <v>2.5226</v>
      </c>
      <c r="C2167" s="3">
        <v>2.8909</v>
      </c>
      <c r="D2167" s="3">
        <v>2.5287</v>
      </c>
      <c r="E2167" s="3">
        <v>2.895</v>
      </c>
      <c r="F2167" s="3">
        <v>2.5257</v>
      </c>
      <c r="G2167" s="3">
        <v>2.8929</v>
      </c>
    </row>
    <row r="2168" spans="1:7">
      <c r="A2168" s="2">
        <v>44215</v>
      </c>
      <c r="B2168" s="3">
        <v>2.5175</v>
      </c>
      <c r="C2168" s="3">
        <v>2.88</v>
      </c>
      <c r="D2168" s="3">
        <v>2.52</v>
      </c>
      <c r="E2168" s="3">
        <v>2.885</v>
      </c>
      <c r="F2168" s="3">
        <v>2.5188</v>
      </c>
      <c r="G2168" s="3">
        <v>2.8825</v>
      </c>
    </row>
    <row r="2169" spans="1:7">
      <c r="A2169" s="2">
        <v>44216</v>
      </c>
      <c r="B2169" s="3">
        <v>2.4956</v>
      </c>
      <c r="C2169" s="3">
        <v>2.855</v>
      </c>
      <c r="D2169" s="3">
        <v>2.5</v>
      </c>
      <c r="E2169" s="3">
        <v>2.8575</v>
      </c>
      <c r="F2169" s="3">
        <v>2.4978</v>
      </c>
      <c r="G2169" s="3">
        <v>2.8563</v>
      </c>
    </row>
    <row r="2170" spans="1:7">
      <c r="A2170" s="2">
        <v>44217</v>
      </c>
      <c r="B2170" s="3">
        <v>2.4742</v>
      </c>
      <c r="C2170" s="3">
        <v>2.8348</v>
      </c>
      <c r="D2170" s="3">
        <v>2.4773</v>
      </c>
      <c r="E2170" s="3">
        <v>2.8376</v>
      </c>
      <c r="F2170" s="3">
        <v>2.4758</v>
      </c>
      <c r="G2170" s="3">
        <v>2.8362</v>
      </c>
    </row>
    <row r="2171" spans="1:7">
      <c r="A2171" s="2">
        <v>44218</v>
      </c>
      <c r="B2171" s="3">
        <v>2.485</v>
      </c>
      <c r="C2171" s="3">
        <v>2.8475</v>
      </c>
      <c r="D2171" s="3">
        <v>2.4879</v>
      </c>
      <c r="E2171" s="3">
        <v>2.85</v>
      </c>
      <c r="F2171" s="3">
        <v>2.4865</v>
      </c>
      <c r="G2171" s="3">
        <v>2.8488</v>
      </c>
    </row>
    <row r="2172" spans="1:7">
      <c r="A2172" s="2">
        <v>44221</v>
      </c>
      <c r="B2172" s="3">
        <v>2.5107</v>
      </c>
      <c r="C2172" s="3">
        <v>2.87</v>
      </c>
      <c r="D2172" s="3">
        <v>2.5143</v>
      </c>
      <c r="E2172" s="3">
        <v>2.8725</v>
      </c>
      <c r="F2172" s="3">
        <v>2.5125</v>
      </c>
      <c r="G2172" s="3">
        <v>2.8713</v>
      </c>
    </row>
    <row r="2173" spans="1:7">
      <c r="A2173" s="2">
        <v>44222</v>
      </c>
      <c r="B2173" s="3">
        <v>2.5702</v>
      </c>
      <c r="C2173" s="3">
        <v>2.9125</v>
      </c>
      <c r="D2173" s="3">
        <v>2.5744</v>
      </c>
      <c r="E2173" s="3">
        <v>2.9181</v>
      </c>
      <c r="F2173" s="3">
        <v>2.5723</v>
      </c>
      <c r="G2173" s="3">
        <v>2.9153</v>
      </c>
    </row>
    <row r="2174" spans="1:7">
      <c r="A2174" s="2">
        <v>44223</v>
      </c>
      <c r="B2174" s="3">
        <v>2.58</v>
      </c>
      <c r="C2174" s="3">
        <v>2.9175</v>
      </c>
      <c r="D2174" s="3">
        <v>2.5841</v>
      </c>
      <c r="E2174" s="3">
        <v>2.9225</v>
      </c>
      <c r="F2174" s="3">
        <v>2.5821</v>
      </c>
      <c r="G2174" s="3">
        <v>2.92</v>
      </c>
    </row>
    <row r="2175" spans="1:7">
      <c r="A2175" s="2">
        <v>44224</v>
      </c>
      <c r="B2175" s="3">
        <v>2.6361</v>
      </c>
      <c r="C2175" s="3">
        <v>2.9625</v>
      </c>
      <c r="D2175" s="3">
        <v>2.6389</v>
      </c>
      <c r="E2175" s="3">
        <v>2.9655</v>
      </c>
      <c r="F2175" s="3">
        <v>2.6375</v>
      </c>
      <c r="G2175" s="3">
        <v>2.964</v>
      </c>
    </row>
    <row r="2176" spans="1:7">
      <c r="A2176" s="2">
        <v>44225</v>
      </c>
      <c r="B2176" s="3">
        <v>2.6236</v>
      </c>
      <c r="C2176" s="3">
        <v>2.9478</v>
      </c>
      <c r="D2176" s="3">
        <v>2.63</v>
      </c>
      <c r="E2176" s="3">
        <v>2.9525</v>
      </c>
      <c r="F2176" s="3">
        <v>2.6268</v>
      </c>
      <c r="G2176" s="3">
        <v>2.9502</v>
      </c>
    </row>
    <row r="2177" spans="1:7">
      <c r="A2177" s="2">
        <v>44228</v>
      </c>
      <c r="B2177" s="3">
        <v>2.59</v>
      </c>
      <c r="C2177" s="3">
        <v>2.9299</v>
      </c>
      <c r="D2177" s="3">
        <v>2.5925</v>
      </c>
      <c r="E2177" s="3">
        <v>2.9325</v>
      </c>
      <c r="F2177" s="3">
        <v>2.5913</v>
      </c>
      <c r="G2177" s="3">
        <v>2.9312</v>
      </c>
    </row>
    <row r="2178" spans="1:7">
      <c r="A2178" s="2">
        <v>44229</v>
      </c>
      <c r="B2178" s="3">
        <v>2.59</v>
      </c>
      <c r="C2178" s="3">
        <v>2.9425</v>
      </c>
      <c r="D2178" s="3">
        <v>2.595</v>
      </c>
      <c r="E2178" s="3">
        <v>2.9458</v>
      </c>
      <c r="F2178" s="3">
        <v>2.5925</v>
      </c>
      <c r="G2178" s="3">
        <v>2.9442</v>
      </c>
    </row>
    <row r="2179" spans="1:7">
      <c r="A2179" s="2">
        <v>44230</v>
      </c>
      <c r="B2179" s="3">
        <v>2.6577</v>
      </c>
      <c r="C2179" s="3">
        <v>3.0095</v>
      </c>
      <c r="D2179" s="3">
        <v>2.6635</v>
      </c>
      <c r="E2179" s="3">
        <v>3.0127</v>
      </c>
      <c r="F2179" s="3">
        <v>2.6606</v>
      </c>
      <c r="G2179" s="3">
        <v>3.0111</v>
      </c>
    </row>
    <row r="2180" spans="1:7">
      <c r="A2180" s="2">
        <v>44231</v>
      </c>
      <c r="B2180" s="3">
        <v>2.6817</v>
      </c>
      <c r="C2180" s="3">
        <v>3.0356</v>
      </c>
      <c r="D2180" s="3">
        <v>2.6886</v>
      </c>
      <c r="E2180" s="3">
        <v>3.0385</v>
      </c>
      <c r="F2180" s="3">
        <v>2.6852</v>
      </c>
      <c r="G2180" s="3">
        <v>3.037</v>
      </c>
    </row>
    <row r="2181" spans="1:7">
      <c r="A2181" s="2">
        <v>44232</v>
      </c>
      <c r="B2181" s="3">
        <v>2.686</v>
      </c>
      <c r="C2181" s="3">
        <v>3.0465</v>
      </c>
      <c r="D2181" s="3">
        <v>2.689</v>
      </c>
      <c r="E2181" s="3">
        <v>3.0485</v>
      </c>
      <c r="F2181" s="3">
        <v>2.6875</v>
      </c>
      <c r="G2181" s="3">
        <v>3.0475</v>
      </c>
    </row>
    <row r="2182" spans="1:7">
      <c r="A2182" s="2">
        <v>44234</v>
      </c>
      <c r="B2182" s="3">
        <v>2.675</v>
      </c>
      <c r="C2182" s="3">
        <v>3.04</v>
      </c>
      <c r="D2182" s="3">
        <v>2.69</v>
      </c>
      <c r="E2182" s="3">
        <v>3.045</v>
      </c>
      <c r="F2182" s="3">
        <v>2.6825</v>
      </c>
      <c r="G2182" s="3">
        <v>3.0425</v>
      </c>
    </row>
    <row r="2183" spans="1:7">
      <c r="A2183" s="2">
        <v>44235</v>
      </c>
      <c r="B2183" s="3">
        <v>2.7038</v>
      </c>
      <c r="C2183" s="3">
        <v>3.0725</v>
      </c>
      <c r="D2183" s="3">
        <v>2.7085</v>
      </c>
      <c r="E2183" s="3">
        <v>3.0787</v>
      </c>
      <c r="F2183" s="3">
        <v>2.7062</v>
      </c>
      <c r="G2183" s="3">
        <v>3.0756</v>
      </c>
    </row>
    <row r="2184" spans="1:7">
      <c r="A2184" s="2">
        <v>44236</v>
      </c>
      <c r="B2184" s="3">
        <v>2.687</v>
      </c>
      <c r="C2184" s="3">
        <v>3.0571</v>
      </c>
      <c r="D2184" s="3">
        <v>2.6891</v>
      </c>
      <c r="E2184" s="3">
        <v>3.0587</v>
      </c>
      <c r="F2184" s="3">
        <v>2.6881</v>
      </c>
      <c r="G2184" s="3">
        <v>3.0579</v>
      </c>
    </row>
    <row r="2185" spans="1:7">
      <c r="A2185" s="2">
        <v>44237</v>
      </c>
      <c r="B2185" s="3">
        <v>2.705</v>
      </c>
      <c r="C2185" s="3">
        <v>3.0771</v>
      </c>
      <c r="D2185" s="3">
        <v>2.715</v>
      </c>
      <c r="E2185" s="3">
        <v>3.0842</v>
      </c>
      <c r="F2185" s="3">
        <v>2.71</v>
      </c>
      <c r="G2185" s="3">
        <v>3.0807</v>
      </c>
    </row>
    <row r="2186" spans="1:7">
      <c r="A2186" s="2">
        <v>44245</v>
      </c>
      <c r="B2186" s="3">
        <v>2.725</v>
      </c>
      <c r="C2186" s="3">
        <v>3.1125</v>
      </c>
      <c r="D2186" s="3">
        <v>2.7275</v>
      </c>
      <c r="E2186" s="3">
        <v>3.1175</v>
      </c>
      <c r="F2186" s="3">
        <v>2.7263</v>
      </c>
      <c r="G2186" s="3">
        <v>3.115</v>
      </c>
    </row>
    <row r="2187" spans="1:7">
      <c r="A2187" s="2">
        <v>44246</v>
      </c>
      <c r="B2187" s="3">
        <v>2.6875</v>
      </c>
      <c r="C2187" s="3">
        <v>3.075</v>
      </c>
      <c r="D2187" s="3">
        <v>2.69</v>
      </c>
      <c r="E2187" s="3">
        <v>3.0775</v>
      </c>
      <c r="F2187" s="3">
        <v>2.6888</v>
      </c>
      <c r="G2187" s="3">
        <v>3.0763</v>
      </c>
    </row>
    <row r="2188" spans="1:7">
      <c r="A2188" s="2">
        <v>44247</v>
      </c>
      <c r="B2188" s="3">
        <v>2.68</v>
      </c>
      <c r="C2188" s="3">
        <v>3.0696</v>
      </c>
      <c r="D2188" s="3">
        <v>2.685</v>
      </c>
      <c r="E2188" s="3">
        <v>3.0725</v>
      </c>
      <c r="F2188" s="3">
        <v>2.6825</v>
      </c>
      <c r="G2188" s="3">
        <v>3.071</v>
      </c>
    </row>
    <row r="2189" spans="1:7">
      <c r="A2189" s="2">
        <v>44249</v>
      </c>
      <c r="B2189" s="3">
        <v>2.6925</v>
      </c>
      <c r="C2189" s="3">
        <v>3.08</v>
      </c>
      <c r="D2189" s="3">
        <v>2.695</v>
      </c>
      <c r="E2189" s="3">
        <v>3.085</v>
      </c>
      <c r="F2189" s="3">
        <v>2.6938</v>
      </c>
      <c r="G2189" s="3">
        <v>3.0825</v>
      </c>
    </row>
    <row r="2190" spans="1:7">
      <c r="A2190" s="2">
        <v>44250</v>
      </c>
      <c r="B2190" s="3">
        <v>2.677</v>
      </c>
      <c r="C2190" s="3">
        <v>3.0623</v>
      </c>
      <c r="D2190" s="3">
        <v>2.68</v>
      </c>
      <c r="E2190" s="3">
        <v>3.065</v>
      </c>
      <c r="F2190" s="3">
        <v>2.6785</v>
      </c>
      <c r="G2190" s="3">
        <v>3.0637</v>
      </c>
    </row>
    <row r="2191" spans="1:7">
      <c r="A2191" s="2">
        <v>44251</v>
      </c>
      <c r="B2191" s="3">
        <v>2.6675</v>
      </c>
      <c r="C2191" s="3">
        <v>3.0475</v>
      </c>
      <c r="D2191" s="3">
        <v>2.6725</v>
      </c>
      <c r="E2191" s="3">
        <v>3.0505</v>
      </c>
      <c r="F2191" s="3">
        <v>2.67</v>
      </c>
      <c r="G2191" s="3">
        <v>3.049</v>
      </c>
    </row>
    <row r="2192" spans="1:7">
      <c r="A2192" s="2">
        <v>44252</v>
      </c>
      <c r="B2192" s="3">
        <v>2.6725</v>
      </c>
      <c r="C2192" s="3">
        <v>3.0599</v>
      </c>
      <c r="D2192" s="3">
        <v>2.6775</v>
      </c>
      <c r="E2192" s="3">
        <v>3.0625</v>
      </c>
      <c r="F2192" s="3">
        <v>2.675</v>
      </c>
      <c r="G2192" s="3">
        <v>3.0612</v>
      </c>
    </row>
    <row r="2193" spans="1:7">
      <c r="A2193" s="2">
        <v>44253</v>
      </c>
      <c r="B2193" s="3">
        <v>2.6825</v>
      </c>
      <c r="C2193" s="3">
        <v>3.0775</v>
      </c>
      <c r="D2193" s="3">
        <v>2.69</v>
      </c>
      <c r="E2193" s="3">
        <v>3.08</v>
      </c>
      <c r="F2193" s="3">
        <v>2.6863</v>
      </c>
      <c r="G2193" s="3">
        <v>3.0788</v>
      </c>
    </row>
    <row r="2194" spans="1:7">
      <c r="A2194" s="2">
        <v>44256</v>
      </c>
      <c r="B2194" s="3">
        <v>2.6525</v>
      </c>
      <c r="C2194" s="3">
        <v>3.0275</v>
      </c>
      <c r="D2194" s="3">
        <v>2.6554</v>
      </c>
      <c r="E2194" s="3">
        <v>3.0325</v>
      </c>
      <c r="F2194" s="3">
        <v>2.654</v>
      </c>
      <c r="G2194" s="3">
        <v>3.03</v>
      </c>
    </row>
    <row r="2195" spans="1:7">
      <c r="A2195" s="2">
        <v>44257</v>
      </c>
      <c r="B2195" s="3">
        <v>2.6513</v>
      </c>
      <c r="C2195" s="3">
        <v>3.03</v>
      </c>
      <c r="D2195" s="3">
        <v>2.655</v>
      </c>
      <c r="E2195" s="3">
        <v>3.035</v>
      </c>
      <c r="F2195" s="3">
        <v>2.6532</v>
      </c>
      <c r="G2195" s="3">
        <v>3.0325</v>
      </c>
    </row>
    <row r="2196" spans="1:7">
      <c r="A2196" s="2">
        <v>44258</v>
      </c>
      <c r="B2196" s="3">
        <v>2.65</v>
      </c>
      <c r="C2196" s="3">
        <v>3.03</v>
      </c>
      <c r="D2196" s="3">
        <v>2.6526</v>
      </c>
      <c r="E2196" s="3">
        <v>3.035</v>
      </c>
      <c r="F2196" s="3">
        <v>2.6513</v>
      </c>
      <c r="G2196" s="3">
        <v>3.0325</v>
      </c>
    </row>
    <row r="2197" spans="1:7">
      <c r="A2197" s="2">
        <v>44259</v>
      </c>
      <c r="B2197" s="3">
        <v>2.665</v>
      </c>
      <c r="C2197" s="3">
        <v>3.045</v>
      </c>
      <c r="D2197" s="3">
        <v>2.6675</v>
      </c>
      <c r="E2197" s="3">
        <v>3.0475</v>
      </c>
      <c r="F2197" s="3">
        <v>2.6663</v>
      </c>
      <c r="G2197" s="3">
        <v>3.0463</v>
      </c>
    </row>
    <row r="2198" spans="1:7">
      <c r="A2198" s="2">
        <v>44260</v>
      </c>
      <c r="B2198" s="3">
        <v>2.6275</v>
      </c>
      <c r="C2198" s="3">
        <v>3.015</v>
      </c>
      <c r="D2198" s="3">
        <v>2.63</v>
      </c>
      <c r="E2198" s="3">
        <v>3.0175</v>
      </c>
      <c r="F2198" s="3">
        <v>2.6288</v>
      </c>
      <c r="G2198" s="3">
        <v>3.0163</v>
      </c>
    </row>
    <row r="2199" spans="1:7">
      <c r="A2199" s="2">
        <v>44263</v>
      </c>
      <c r="B2199" s="3">
        <v>2.6248</v>
      </c>
      <c r="C2199" s="3">
        <v>3.0075</v>
      </c>
      <c r="D2199" s="3">
        <v>2.6314</v>
      </c>
      <c r="E2199" s="3">
        <v>3.0125</v>
      </c>
      <c r="F2199" s="3">
        <v>2.6281</v>
      </c>
      <c r="G2199" s="3">
        <v>3.01</v>
      </c>
    </row>
    <row r="2200" spans="1:7">
      <c r="A2200" s="2">
        <v>44264</v>
      </c>
      <c r="B2200" s="3">
        <v>2.6428</v>
      </c>
      <c r="C2200" s="3">
        <v>3.0325</v>
      </c>
      <c r="D2200" s="3">
        <v>2.6475</v>
      </c>
      <c r="E2200" s="3">
        <v>3.0375</v>
      </c>
      <c r="F2200" s="3">
        <v>2.6452</v>
      </c>
      <c r="G2200" s="3">
        <v>3.035</v>
      </c>
    </row>
    <row r="2201" spans="1:7">
      <c r="A2201" s="2">
        <v>44265</v>
      </c>
      <c r="B2201" s="3">
        <v>2.6275</v>
      </c>
      <c r="C2201" s="3">
        <v>3.015</v>
      </c>
      <c r="D2201" s="3">
        <v>2.63</v>
      </c>
      <c r="E2201" s="3">
        <v>3.0175</v>
      </c>
      <c r="F2201" s="3">
        <v>2.6288</v>
      </c>
      <c r="G2201" s="3">
        <v>3.0163</v>
      </c>
    </row>
    <row r="2202" spans="1:7">
      <c r="A2202" s="2">
        <v>44266</v>
      </c>
      <c r="B2202" s="3">
        <v>2.645</v>
      </c>
      <c r="C2202" s="3">
        <v>3.0325</v>
      </c>
      <c r="D2202" s="3">
        <v>2.6475</v>
      </c>
      <c r="E2202" s="3">
        <v>3.0375</v>
      </c>
      <c r="F2202" s="3">
        <v>2.6463</v>
      </c>
      <c r="G2202" s="3">
        <v>3.035</v>
      </c>
    </row>
    <row r="2203" spans="1:7">
      <c r="A2203" s="2">
        <v>44267</v>
      </c>
      <c r="B2203" s="3">
        <v>2.65</v>
      </c>
      <c r="C2203" s="3">
        <v>3.0413</v>
      </c>
      <c r="D2203" s="3">
        <v>2.655</v>
      </c>
      <c r="E2203" s="3">
        <v>3.045</v>
      </c>
      <c r="F2203" s="3">
        <v>2.6525</v>
      </c>
      <c r="G2203" s="3">
        <v>3.0432</v>
      </c>
    </row>
    <row r="2204" spans="1:7">
      <c r="A2204" s="2">
        <v>44270</v>
      </c>
      <c r="B2204" s="3">
        <v>2.6688</v>
      </c>
      <c r="C2204" s="3">
        <v>3.0567</v>
      </c>
      <c r="D2204" s="3">
        <v>2.6713</v>
      </c>
      <c r="E2204" s="3">
        <v>3.0593</v>
      </c>
      <c r="F2204" s="3">
        <v>2.67</v>
      </c>
      <c r="G2204" s="3">
        <v>3.058</v>
      </c>
    </row>
    <row r="2205" spans="1:7">
      <c r="A2205" s="2">
        <v>44271</v>
      </c>
      <c r="B2205" s="3">
        <v>2.66</v>
      </c>
      <c r="C2205" s="3">
        <v>3.0475</v>
      </c>
      <c r="D2205" s="3">
        <v>2.6625</v>
      </c>
      <c r="E2205" s="3">
        <v>3.05</v>
      </c>
      <c r="F2205" s="3">
        <v>2.6613</v>
      </c>
      <c r="G2205" s="3">
        <v>3.0488</v>
      </c>
    </row>
    <row r="2206" spans="1:7">
      <c r="A2206" s="2">
        <v>44272</v>
      </c>
      <c r="B2206" s="3">
        <v>2.645</v>
      </c>
      <c r="C2206" s="3">
        <v>3.035</v>
      </c>
      <c r="D2206" s="3">
        <v>2.6475</v>
      </c>
      <c r="E2206" s="3">
        <v>3.0375</v>
      </c>
      <c r="F2206" s="3">
        <v>2.6463</v>
      </c>
      <c r="G2206" s="3">
        <v>3.0363</v>
      </c>
    </row>
    <row r="2207" spans="1:7">
      <c r="A2207" s="2">
        <v>44273</v>
      </c>
      <c r="B2207" s="3">
        <v>2.6525</v>
      </c>
      <c r="C2207" s="3">
        <v>3.0488</v>
      </c>
      <c r="D2207" s="3">
        <v>2.6554</v>
      </c>
      <c r="E2207" s="3">
        <v>3.0525</v>
      </c>
      <c r="F2207" s="3">
        <v>2.654</v>
      </c>
      <c r="G2207" s="3">
        <v>3.0507</v>
      </c>
    </row>
    <row r="2208" spans="1:7">
      <c r="A2208" s="2">
        <v>44274</v>
      </c>
      <c r="B2208" s="3">
        <v>2.63</v>
      </c>
      <c r="C2208" s="3">
        <v>3.0225</v>
      </c>
      <c r="D2208" s="3">
        <v>2.6325</v>
      </c>
      <c r="E2208" s="3">
        <v>3.0266</v>
      </c>
      <c r="F2208" s="3">
        <v>2.6313</v>
      </c>
      <c r="G2208" s="3">
        <v>3.0246</v>
      </c>
    </row>
    <row r="2209" spans="1:7">
      <c r="A2209" s="2">
        <v>44277</v>
      </c>
      <c r="B2209" s="3">
        <v>2.6225</v>
      </c>
      <c r="C2209" s="3">
        <v>3.0175</v>
      </c>
      <c r="D2209" s="3">
        <v>2.625</v>
      </c>
      <c r="E2209" s="3">
        <v>3.02</v>
      </c>
      <c r="F2209" s="3">
        <v>2.6238</v>
      </c>
      <c r="G2209" s="3">
        <v>3.0188</v>
      </c>
    </row>
    <row r="2210" spans="1:7">
      <c r="A2210" s="2">
        <v>44278</v>
      </c>
      <c r="B2210" s="3">
        <v>2.6002</v>
      </c>
      <c r="C2210" s="3">
        <v>2.9917</v>
      </c>
      <c r="D2210" s="3">
        <v>2.6034</v>
      </c>
      <c r="E2210" s="3">
        <v>2.9944</v>
      </c>
      <c r="F2210" s="3">
        <v>2.6018</v>
      </c>
      <c r="G2210" s="3">
        <v>2.9931</v>
      </c>
    </row>
    <row r="2211" spans="1:7">
      <c r="A2211" s="2">
        <v>44279</v>
      </c>
      <c r="B2211" s="3">
        <v>2.5707</v>
      </c>
      <c r="C2211" s="3">
        <v>2.95</v>
      </c>
      <c r="D2211" s="3">
        <v>2.5743</v>
      </c>
      <c r="E2211" s="3">
        <v>2.9525</v>
      </c>
      <c r="F2211" s="3">
        <v>2.5725</v>
      </c>
      <c r="G2211" s="3">
        <v>2.9513</v>
      </c>
    </row>
    <row r="2212" spans="1:7">
      <c r="A2212" s="2">
        <v>44280</v>
      </c>
      <c r="B2212" s="3">
        <v>2.5625</v>
      </c>
      <c r="C2212" s="3">
        <v>2.935</v>
      </c>
      <c r="D2212" s="3">
        <v>2.5675</v>
      </c>
      <c r="E2212" s="3">
        <v>2.9375</v>
      </c>
      <c r="F2212" s="3">
        <v>2.565</v>
      </c>
      <c r="G2212" s="3">
        <v>2.9363</v>
      </c>
    </row>
    <row r="2213" spans="1:7">
      <c r="A2213" s="2">
        <v>44281</v>
      </c>
      <c r="B2213" s="3">
        <v>2.5825</v>
      </c>
      <c r="C2213" s="3">
        <v>2.955</v>
      </c>
      <c r="D2213" s="3">
        <v>2.585</v>
      </c>
      <c r="E2213" s="3">
        <v>2.9575</v>
      </c>
      <c r="F2213" s="3">
        <v>2.5838</v>
      </c>
      <c r="G2213" s="3">
        <v>2.9563</v>
      </c>
    </row>
    <row r="2214" spans="1:7">
      <c r="A2214" s="2">
        <v>44284</v>
      </c>
      <c r="B2214" s="3">
        <v>2.5775</v>
      </c>
      <c r="C2214" s="3">
        <v>2.9539</v>
      </c>
      <c r="D2214" s="3">
        <v>2.5825</v>
      </c>
      <c r="E2214" s="3">
        <v>2.957</v>
      </c>
      <c r="F2214" s="3">
        <v>2.58</v>
      </c>
      <c r="G2214" s="3">
        <v>2.9554</v>
      </c>
    </row>
    <row r="2215" spans="1:7">
      <c r="A2215" s="2">
        <v>44285</v>
      </c>
      <c r="B2215" s="3">
        <v>2.585</v>
      </c>
      <c r="C2215" s="3">
        <v>2.97</v>
      </c>
      <c r="D2215" s="3">
        <v>2.59</v>
      </c>
      <c r="E2215" s="3">
        <v>2.9725</v>
      </c>
      <c r="F2215" s="3">
        <v>2.5875</v>
      </c>
      <c r="G2215" s="3">
        <v>2.9713</v>
      </c>
    </row>
    <row r="2216" spans="1:7">
      <c r="A2216" s="2">
        <v>44286</v>
      </c>
      <c r="B2216" s="3">
        <v>2.5675</v>
      </c>
      <c r="C2216" s="3">
        <v>2.9475</v>
      </c>
      <c r="D2216" s="3">
        <v>2.57</v>
      </c>
      <c r="E2216" s="3">
        <v>2.95</v>
      </c>
      <c r="F2216" s="3">
        <v>2.5688</v>
      </c>
      <c r="G2216" s="3">
        <v>2.9488</v>
      </c>
    </row>
    <row r="2217" spans="1:7">
      <c r="A2217" s="2">
        <v>44287</v>
      </c>
      <c r="B2217" s="3">
        <v>2.5725</v>
      </c>
      <c r="C2217" s="3">
        <v>2.9575</v>
      </c>
      <c r="D2217" s="3">
        <v>2.5775</v>
      </c>
      <c r="E2217" s="3">
        <v>2.96</v>
      </c>
      <c r="F2217" s="3">
        <v>2.575</v>
      </c>
      <c r="G2217" s="3">
        <v>2.9588</v>
      </c>
    </row>
    <row r="2218" spans="1:7">
      <c r="A2218" s="2">
        <v>44288</v>
      </c>
      <c r="B2218" s="3">
        <v>2.5725</v>
      </c>
      <c r="C2218" s="3">
        <v>2.9625</v>
      </c>
      <c r="D2218" s="3">
        <v>2.575</v>
      </c>
      <c r="E2218" s="3">
        <v>2.965</v>
      </c>
      <c r="F2218" s="3">
        <v>2.5738</v>
      </c>
      <c r="G2218" s="3">
        <v>2.9638</v>
      </c>
    </row>
    <row r="2219" spans="1:7">
      <c r="A2219" s="2">
        <v>44292</v>
      </c>
      <c r="B2219" s="3">
        <v>2.585</v>
      </c>
      <c r="C2219" s="3">
        <v>2.9775</v>
      </c>
      <c r="D2219" s="3">
        <v>2.59</v>
      </c>
      <c r="E2219" s="3">
        <v>2.9801</v>
      </c>
      <c r="F2219" s="3">
        <v>2.5875</v>
      </c>
      <c r="G2219" s="3">
        <v>2.9788</v>
      </c>
    </row>
    <row r="2220" spans="1:7">
      <c r="A2220" s="2">
        <v>44293</v>
      </c>
      <c r="B2220" s="3">
        <v>2.5925</v>
      </c>
      <c r="C2220" s="3">
        <v>2.99</v>
      </c>
      <c r="D2220" s="3">
        <v>2.595</v>
      </c>
      <c r="E2220" s="3">
        <v>2.9925</v>
      </c>
      <c r="F2220" s="3">
        <v>2.5938</v>
      </c>
      <c r="G2220" s="3">
        <v>2.9913</v>
      </c>
    </row>
    <row r="2221" spans="1:7">
      <c r="A2221" s="2">
        <v>44294</v>
      </c>
      <c r="B2221" s="3">
        <v>2.5919</v>
      </c>
      <c r="C2221" s="3">
        <v>2.9884</v>
      </c>
      <c r="D2221" s="3">
        <v>2.5944</v>
      </c>
      <c r="E2221" s="3">
        <v>2.9909</v>
      </c>
      <c r="F2221" s="3">
        <v>2.5931</v>
      </c>
      <c r="G2221" s="3">
        <v>2.9896</v>
      </c>
    </row>
    <row r="2222" spans="1:7">
      <c r="A2222" s="2">
        <v>44295</v>
      </c>
      <c r="B2222" s="3">
        <v>2.5725</v>
      </c>
      <c r="C2222" s="3">
        <v>2.9725</v>
      </c>
      <c r="D2222" s="3">
        <v>2.575</v>
      </c>
      <c r="E2222" s="3">
        <v>2.975</v>
      </c>
      <c r="F2222" s="3">
        <v>2.5738</v>
      </c>
      <c r="G2222" s="3">
        <v>2.9738</v>
      </c>
    </row>
    <row r="2223" spans="1:7">
      <c r="A2223" s="2">
        <v>44298</v>
      </c>
      <c r="B2223" s="3">
        <v>2.56</v>
      </c>
      <c r="C2223" s="3">
        <v>2.9513</v>
      </c>
      <c r="D2223" s="3">
        <v>2.5625</v>
      </c>
      <c r="E2223" s="3">
        <v>2.9542</v>
      </c>
      <c r="F2223" s="3">
        <v>2.5613</v>
      </c>
      <c r="G2223" s="3">
        <v>2.9527</v>
      </c>
    </row>
    <row r="2224" spans="1:7">
      <c r="A2224" s="2">
        <v>44299</v>
      </c>
      <c r="B2224" s="3">
        <v>2.5075</v>
      </c>
      <c r="C2224" s="3">
        <v>2.895</v>
      </c>
      <c r="D2224" s="3">
        <v>2.5101</v>
      </c>
      <c r="E2224" s="3">
        <v>2.9</v>
      </c>
      <c r="F2224" s="3">
        <v>2.5088</v>
      </c>
      <c r="G2224" s="3">
        <v>2.8975</v>
      </c>
    </row>
    <row r="2225" spans="1:7">
      <c r="A2225" s="2">
        <v>44300</v>
      </c>
      <c r="B2225" s="3">
        <v>2.505</v>
      </c>
      <c r="C2225" s="3">
        <v>2.895</v>
      </c>
      <c r="D2225" s="3">
        <v>2.5075</v>
      </c>
      <c r="E2225" s="3">
        <v>2.8975</v>
      </c>
      <c r="F2225" s="3">
        <v>2.5063</v>
      </c>
      <c r="G2225" s="3">
        <v>2.8963</v>
      </c>
    </row>
    <row r="2226" spans="1:7">
      <c r="A2226" s="2">
        <v>44301</v>
      </c>
      <c r="B2226" s="3">
        <v>2.5225</v>
      </c>
      <c r="C2226" s="3">
        <v>2.915</v>
      </c>
      <c r="D2226" s="3">
        <v>2.525</v>
      </c>
      <c r="E2226" s="3">
        <v>2.9175</v>
      </c>
      <c r="F2226" s="3">
        <v>2.5238</v>
      </c>
      <c r="G2226" s="3">
        <v>2.9163</v>
      </c>
    </row>
    <row r="2227" spans="1:7">
      <c r="A2227" s="2">
        <v>44302</v>
      </c>
      <c r="B2227" s="3">
        <v>2.5225</v>
      </c>
      <c r="C2227" s="3">
        <v>2.9082</v>
      </c>
      <c r="D2227" s="3">
        <v>2.5251</v>
      </c>
      <c r="E2227" s="3">
        <v>2.9108</v>
      </c>
      <c r="F2227" s="3">
        <v>2.5238</v>
      </c>
      <c r="G2227" s="3">
        <v>2.9095</v>
      </c>
    </row>
    <row r="2228" spans="1:7">
      <c r="A2228" s="2">
        <v>44305</v>
      </c>
      <c r="B2228" s="3">
        <v>2.5075</v>
      </c>
      <c r="C2228" s="3">
        <v>2.8909</v>
      </c>
      <c r="D2228" s="3">
        <v>2.5114</v>
      </c>
      <c r="E2228" s="3">
        <v>2.895</v>
      </c>
      <c r="F2228" s="3">
        <v>2.5094</v>
      </c>
      <c r="G2228" s="3">
        <v>2.8929</v>
      </c>
    </row>
    <row r="2229" spans="1:7">
      <c r="A2229" s="2">
        <v>44306</v>
      </c>
      <c r="B2229" s="3">
        <v>2.4975</v>
      </c>
      <c r="C2229" s="3">
        <v>2.8825</v>
      </c>
      <c r="D2229" s="3">
        <v>2.5002</v>
      </c>
      <c r="E2229" s="3">
        <v>2.885</v>
      </c>
      <c r="F2229" s="3">
        <v>2.4988</v>
      </c>
      <c r="G2229" s="3">
        <v>2.8838</v>
      </c>
    </row>
    <row r="2230" spans="1:7">
      <c r="A2230" s="2">
        <v>44307</v>
      </c>
      <c r="B2230" s="3">
        <v>2.495</v>
      </c>
      <c r="C2230" s="3">
        <v>2.8868</v>
      </c>
      <c r="D2230" s="3">
        <v>2.5</v>
      </c>
      <c r="E2230" s="3">
        <v>2.8877</v>
      </c>
      <c r="F2230" s="3">
        <v>2.4975</v>
      </c>
      <c r="G2230" s="3">
        <v>2.8873</v>
      </c>
    </row>
    <row r="2231" spans="1:7">
      <c r="A2231" s="2">
        <v>44308</v>
      </c>
      <c r="B2231" s="3">
        <v>2.5</v>
      </c>
      <c r="C2231" s="3">
        <v>2.8925</v>
      </c>
      <c r="D2231" s="3">
        <v>2.5025</v>
      </c>
      <c r="E2231" s="3">
        <v>2.895</v>
      </c>
      <c r="F2231" s="3">
        <v>2.5013</v>
      </c>
      <c r="G2231" s="3">
        <v>2.8938</v>
      </c>
    </row>
    <row r="2232" spans="1:7">
      <c r="A2232" s="2">
        <v>44309</v>
      </c>
      <c r="B2232" s="3">
        <v>2.5106</v>
      </c>
      <c r="C2232" s="3">
        <v>2.9061</v>
      </c>
      <c r="D2232" s="3">
        <v>2.5144</v>
      </c>
      <c r="E2232" s="3">
        <v>2.91</v>
      </c>
      <c r="F2232" s="3">
        <v>2.5125</v>
      </c>
      <c r="G2232" s="3">
        <v>2.9081</v>
      </c>
    </row>
    <row r="2233" spans="1:7">
      <c r="A2233" s="2">
        <v>44311</v>
      </c>
      <c r="B2233" s="3">
        <v>2.535</v>
      </c>
      <c r="C2233" s="3">
        <v>2.9325</v>
      </c>
      <c r="D2233" s="3">
        <v>2.54</v>
      </c>
      <c r="E2233" s="3">
        <v>2.935</v>
      </c>
      <c r="F2233" s="3">
        <v>2.5375</v>
      </c>
      <c r="G2233" s="3">
        <v>2.9338</v>
      </c>
    </row>
    <row r="2234" spans="1:7">
      <c r="A2234" s="2">
        <v>44312</v>
      </c>
      <c r="B2234" s="3">
        <v>2.5425</v>
      </c>
      <c r="C2234" s="3">
        <v>2.9475</v>
      </c>
      <c r="D2234" s="3">
        <v>2.5475</v>
      </c>
      <c r="E2234" s="3">
        <v>2.95</v>
      </c>
      <c r="F2234" s="3">
        <v>2.545</v>
      </c>
      <c r="G2234" s="3">
        <v>2.9488</v>
      </c>
    </row>
    <row r="2235" spans="1:7">
      <c r="A2235" s="2">
        <v>44313</v>
      </c>
      <c r="B2235" s="3">
        <v>2.54</v>
      </c>
      <c r="C2235" s="3">
        <v>2.95</v>
      </c>
      <c r="D2235" s="3">
        <v>2.5425</v>
      </c>
      <c r="E2235" s="3">
        <v>2.9525</v>
      </c>
      <c r="F2235" s="3">
        <v>2.5413</v>
      </c>
      <c r="G2235" s="3">
        <v>2.9513</v>
      </c>
    </row>
    <row r="2236" spans="1:7">
      <c r="A2236" s="2">
        <v>44314</v>
      </c>
      <c r="B2236" s="3">
        <v>2.5225</v>
      </c>
      <c r="C2236" s="3">
        <v>2.9325</v>
      </c>
      <c r="D2236" s="3">
        <v>2.5275</v>
      </c>
      <c r="E2236" s="3">
        <v>2.935</v>
      </c>
      <c r="F2236" s="3">
        <v>2.525</v>
      </c>
      <c r="G2236" s="3">
        <v>2.9338</v>
      </c>
    </row>
    <row r="2237" spans="1:7">
      <c r="A2237" s="2">
        <v>44315</v>
      </c>
      <c r="B2237" s="3">
        <v>2.5261</v>
      </c>
      <c r="C2237" s="3">
        <v>2.9317</v>
      </c>
      <c r="D2237" s="3">
        <v>2.53</v>
      </c>
      <c r="E2237" s="3">
        <v>2.935</v>
      </c>
      <c r="F2237" s="3">
        <v>2.5281</v>
      </c>
      <c r="G2237" s="3">
        <v>2.9333</v>
      </c>
    </row>
    <row r="2238" spans="1:7">
      <c r="A2238" s="2">
        <v>44316</v>
      </c>
      <c r="B2238" s="3">
        <v>2.5154</v>
      </c>
      <c r="C2238" s="3">
        <v>2.9091</v>
      </c>
      <c r="D2238" s="3">
        <v>2.5178</v>
      </c>
      <c r="E2238" s="3">
        <v>2.9126</v>
      </c>
      <c r="F2238" s="3">
        <v>2.5166</v>
      </c>
      <c r="G2238" s="3">
        <v>2.9109</v>
      </c>
    </row>
    <row r="2239" spans="1:7">
      <c r="A2239" s="2">
        <v>44322</v>
      </c>
      <c r="B2239" s="3">
        <v>2.5046</v>
      </c>
      <c r="C2239" s="3">
        <v>2.9025</v>
      </c>
      <c r="D2239" s="3">
        <v>2.5075</v>
      </c>
      <c r="E2239" s="3">
        <v>2.906</v>
      </c>
      <c r="F2239" s="3">
        <v>2.506</v>
      </c>
      <c r="G2239" s="3">
        <v>2.9043</v>
      </c>
    </row>
    <row r="2240" spans="1:7">
      <c r="A2240" s="2">
        <v>44323</v>
      </c>
      <c r="B2240" s="3">
        <v>2.4925</v>
      </c>
      <c r="C2240" s="3">
        <v>2.9038</v>
      </c>
      <c r="D2240" s="3">
        <v>2.4975</v>
      </c>
      <c r="E2240" s="3">
        <v>2.9075</v>
      </c>
      <c r="F2240" s="3">
        <v>2.495</v>
      </c>
      <c r="G2240" s="3">
        <v>2.9057</v>
      </c>
    </row>
    <row r="2241" spans="1:7">
      <c r="A2241" s="2">
        <v>44324</v>
      </c>
      <c r="B2241" s="3">
        <v>2.48</v>
      </c>
      <c r="C2241" s="3">
        <v>2.9</v>
      </c>
      <c r="D2241" s="3">
        <v>2.485</v>
      </c>
      <c r="E2241" s="3">
        <v>2.9025</v>
      </c>
      <c r="F2241" s="3">
        <v>2.4825</v>
      </c>
      <c r="G2241" s="3">
        <v>2.9013</v>
      </c>
    </row>
    <row r="2242" spans="1:7">
      <c r="A2242" s="2">
        <v>44326</v>
      </c>
      <c r="B2242" s="3">
        <v>2.4575</v>
      </c>
      <c r="C2242" s="3">
        <v>2.8778</v>
      </c>
      <c r="D2242" s="3">
        <v>2.4622</v>
      </c>
      <c r="E2242" s="3">
        <v>2.8817</v>
      </c>
      <c r="F2242" s="3">
        <v>2.4598</v>
      </c>
      <c r="G2242" s="3">
        <v>2.8797</v>
      </c>
    </row>
    <row r="2243" spans="1:7">
      <c r="A2243" s="2">
        <v>44327</v>
      </c>
      <c r="B2243" s="3">
        <v>2.4528</v>
      </c>
      <c r="C2243" s="3">
        <v>2.8624</v>
      </c>
      <c r="D2243" s="3">
        <v>2.4575</v>
      </c>
      <c r="E2243" s="3">
        <v>2.8646</v>
      </c>
      <c r="F2243" s="3">
        <v>2.4552</v>
      </c>
      <c r="G2243" s="3">
        <v>2.8635</v>
      </c>
    </row>
    <row r="2244" spans="1:7">
      <c r="A2244" s="2">
        <v>44328</v>
      </c>
      <c r="B2244" s="3">
        <v>2.4675</v>
      </c>
      <c r="C2244" s="3">
        <v>2.8713</v>
      </c>
      <c r="D2244" s="3">
        <v>2.4703</v>
      </c>
      <c r="E2244" s="3">
        <v>2.875</v>
      </c>
      <c r="F2244" s="3">
        <v>2.4689</v>
      </c>
      <c r="G2244" s="3">
        <v>2.8732</v>
      </c>
    </row>
    <row r="2245" spans="1:7">
      <c r="A2245" s="2">
        <v>44329</v>
      </c>
      <c r="B2245" s="3">
        <v>2.4849</v>
      </c>
      <c r="C2245" s="3">
        <v>2.8899</v>
      </c>
      <c r="D2245" s="3">
        <v>2.4875</v>
      </c>
      <c r="E2245" s="3">
        <v>2.8912</v>
      </c>
      <c r="F2245" s="3">
        <v>2.4862</v>
      </c>
      <c r="G2245" s="3">
        <v>2.8905</v>
      </c>
    </row>
    <row r="2246" spans="1:7">
      <c r="A2246" s="2">
        <v>44330</v>
      </c>
      <c r="B2246" s="3">
        <v>2.4775</v>
      </c>
      <c r="C2246" s="3">
        <v>2.89</v>
      </c>
      <c r="D2246" s="3">
        <v>2.48</v>
      </c>
      <c r="E2246" s="3">
        <v>2.8925</v>
      </c>
      <c r="F2246" s="3">
        <v>2.4788</v>
      </c>
      <c r="G2246" s="3">
        <v>2.8913</v>
      </c>
    </row>
    <row r="2247" spans="1:7">
      <c r="A2247" s="2">
        <v>44333</v>
      </c>
      <c r="B2247" s="3">
        <v>2.5054</v>
      </c>
      <c r="C2247" s="3">
        <v>2.91</v>
      </c>
      <c r="D2247" s="3">
        <v>2.5081</v>
      </c>
      <c r="E2247" s="3">
        <v>2.9133</v>
      </c>
      <c r="F2247" s="3">
        <v>2.5067</v>
      </c>
      <c r="G2247" s="3">
        <v>2.9117</v>
      </c>
    </row>
    <row r="2248" spans="1:7">
      <c r="A2248" s="2">
        <v>44334</v>
      </c>
      <c r="B2248" s="3">
        <v>2.4916</v>
      </c>
      <c r="C2248" s="3">
        <v>2.8959</v>
      </c>
      <c r="D2248" s="3">
        <v>2.4943</v>
      </c>
      <c r="E2248" s="3">
        <v>2.9</v>
      </c>
      <c r="F2248" s="3">
        <v>2.4929</v>
      </c>
      <c r="G2248" s="3">
        <v>2.8979</v>
      </c>
    </row>
    <row r="2249" spans="1:7">
      <c r="A2249" s="2">
        <v>44335</v>
      </c>
      <c r="B2249" s="3">
        <v>2.4725</v>
      </c>
      <c r="C2249" s="3">
        <v>2.875</v>
      </c>
      <c r="D2249" s="3">
        <v>2.4775</v>
      </c>
      <c r="E2249" s="3">
        <v>2.8775</v>
      </c>
      <c r="F2249" s="3">
        <v>2.475</v>
      </c>
      <c r="G2249" s="3">
        <v>2.8763</v>
      </c>
    </row>
    <row r="2250" spans="1:7">
      <c r="A2250" s="2">
        <v>44336</v>
      </c>
      <c r="B2250" s="3">
        <v>2.4525</v>
      </c>
      <c r="C2250" s="3">
        <v>2.8546</v>
      </c>
      <c r="D2250" s="3">
        <v>2.4554</v>
      </c>
      <c r="E2250" s="3">
        <v>2.8553</v>
      </c>
      <c r="F2250" s="3">
        <v>2.454</v>
      </c>
      <c r="G2250" s="3">
        <v>2.8549</v>
      </c>
    </row>
    <row r="2251" spans="1:7">
      <c r="A2251" s="2">
        <v>44337</v>
      </c>
      <c r="B2251" s="3">
        <v>2.4422</v>
      </c>
      <c r="C2251" s="3">
        <v>2.8368</v>
      </c>
      <c r="D2251" s="3">
        <v>2.445</v>
      </c>
      <c r="E2251" s="3">
        <v>2.8391</v>
      </c>
      <c r="F2251" s="3">
        <v>2.4436</v>
      </c>
      <c r="G2251" s="3">
        <v>2.8379</v>
      </c>
    </row>
    <row r="2252" spans="1:7">
      <c r="A2252" s="2">
        <v>44340</v>
      </c>
      <c r="B2252" s="3">
        <v>2.4575</v>
      </c>
      <c r="C2252" s="3">
        <v>2.8575</v>
      </c>
      <c r="D2252" s="3">
        <v>2.46</v>
      </c>
      <c r="E2252" s="3">
        <v>2.8585</v>
      </c>
      <c r="F2252" s="3">
        <v>2.4588</v>
      </c>
      <c r="G2252" s="3">
        <v>2.858</v>
      </c>
    </row>
    <row r="2253" spans="1:7">
      <c r="A2253" s="2">
        <v>44341</v>
      </c>
      <c r="B2253" s="3">
        <v>2.455</v>
      </c>
      <c r="C2253" s="3">
        <v>2.8525</v>
      </c>
      <c r="D2253" s="3">
        <v>2.46</v>
      </c>
      <c r="E2253" s="3">
        <v>2.8562</v>
      </c>
      <c r="F2253" s="3">
        <v>2.4575</v>
      </c>
      <c r="G2253" s="3">
        <v>2.8543</v>
      </c>
    </row>
    <row r="2254" spans="1:7">
      <c r="A2254" s="2">
        <v>44342</v>
      </c>
      <c r="B2254" s="3">
        <v>2.4475</v>
      </c>
      <c r="C2254" s="3">
        <v>2.845</v>
      </c>
      <c r="D2254" s="3">
        <v>2.455</v>
      </c>
      <c r="E2254" s="3">
        <v>2.8475</v>
      </c>
      <c r="F2254" s="3">
        <v>2.4513</v>
      </c>
      <c r="G2254" s="3">
        <v>2.8463</v>
      </c>
    </row>
    <row r="2255" spans="1:7">
      <c r="A2255" s="2">
        <v>44343</v>
      </c>
      <c r="B2255" s="3">
        <v>2.4675</v>
      </c>
      <c r="C2255" s="3">
        <v>2.865</v>
      </c>
      <c r="D2255" s="3">
        <v>2.47</v>
      </c>
      <c r="E2255" s="3">
        <v>2.8675</v>
      </c>
      <c r="F2255" s="3">
        <v>2.4688</v>
      </c>
      <c r="G2255" s="3">
        <v>2.8663</v>
      </c>
    </row>
    <row r="2256" spans="1:7">
      <c r="A2256" s="2">
        <v>44344</v>
      </c>
      <c r="B2256" s="3">
        <v>2.4825</v>
      </c>
      <c r="C2256" s="3">
        <v>2.8795</v>
      </c>
      <c r="D2256" s="3">
        <v>2.485</v>
      </c>
      <c r="E2256" s="3">
        <v>2.8815</v>
      </c>
      <c r="F2256" s="3">
        <v>2.4838</v>
      </c>
      <c r="G2256" s="3">
        <v>2.8805</v>
      </c>
    </row>
    <row r="2257" spans="1:7">
      <c r="A2257" s="2">
        <v>44347</v>
      </c>
      <c r="B2257" s="3">
        <v>2.4854</v>
      </c>
      <c r="C2257" s="3">
        <v>2.875</v>
      </c>
      <c r="D2257" s="3">
        <v>2.4883</v>
      </c>
      <c r="E2257" s="3">
        <v>2.8775</v>
      </c>
      <c r="F2257" s="3">
        <v>2.4869</v>
      </c>
      <c r="G2257" s="3">
        <v>2.8763</v>
      </c>
    </row>
    <row r="2258" spans="1:7">
      <c r="A2258" s="2">
        <v>44348</v>
      </c>
      <c r="B2258" s="3">
        <v>2.475</v>
      </c>
      <c r="C2258" s="3">
        <v>2.8725</v>
      </c>
      <c r="D2258" s="3">
        <v>2.4775</v>
      </c>
      <c r="E2258" s="3">
        <v>2.8762</v>
      </c>
      <c r="F2258" s="3">
        <v>2.4763</v>
      </c>
      <c r="G2258" s="3">
        <v>2.8743</v>
      </c>
    </row>
    <row r="2259" spans="1:7">
      <c r="A2259" s="2">
        <v>44349</v>
      </c>
      <c r="B2259" s="3">
        <v>2.4875</v>
      </c>
      <c r="C2259" s="3">
        <v>2.89</v>
      </c>
      <c r="D2259" s="3">
        <v>2.49</v>
      </c>
      <c r="E2259" s="3">
        <v>2.8925</v>
      </c>
      <c r="F2259" s="3">
        <v>2.4888</v>
      </c>
      <c r="G2259" s="3">
        <v>2.8913</v>
      </c>
    </row>
    <row r="2260" spans="1:7">
      <c r="A2260" s="2">
        <v>44350</v>
      </c>
      <c r="B2260" s="3">
        <v>2.4675</v>
      </c>
      <c r="C2260" s="3">
        <v>2.8725</v>
      </c>
      <c r="D2260" s="3">
        <v>2.4725</v>
      </c>
      <c r="E2260" s="3">
        <v>2.875</v>
      </c>
      <c r="F2260" s="3">
        <v>2.47</v>
      </c>
      <c r="G2260" s="3">
        <v>2.8738</v>
      </c>
    </row>
    <row r="2261" spans="1:7">
      <c r="A2261" s="2">
        <v>44351</v>
      </c>
      <c r="B2261" s="3">
        <v>2.51</v>
      </c>
      <c r="C2261" s="3">
        <v>2.92</v>
      </c>
      <c r="D2261" s="3">
        <v>2.5133</v>
      </c>
      <c r="E2261" s="3">
        <v>2.9233</v>
      </c>
      <c r="F2261" s="3">
        <v>2.5117</v>
      </c>
      <c r="G2261" s="3">
        <v>2.9217</v>
      </c>
    </row>
    <row r="2262" spans="1:7">
      <c r="A2262" s="2">
        <v>44354</v>
      </c>
      <c r="B2262" s="3">
        <v>2.5325</v>
      </c>
      <c r="C2262" s="3">
        <v>2.9375</v>
      </c>
      <c r="D2262" s="3">
        <v>2.535</v>
      </c>
      <c r="E2262" s="3">
        <v>2.94</v>
      </c>
      <c r="F2262" s="3">
        <v>2.5338</v>
      </c>
      <c r="G2262" s="3">
        <v>2.9388</v>
      </c>
    </row>
    <row r="2263" spans="1:7">
      <c r="A2263" s="2">
        <v>44355</v>
      </c>
      <c r="B2263" s="3">
        <v>2.535</v>
      </c>
      <c r="C2263" s="3">
        <v>2.9433</v>
      </c>
      <c r="D2263" s="3">
        <v>2.54</v>
      </c>
      <c r="E2263" s="3">
        <v>2.9461</v>
      </c>
      <c r="F2263" s="3">
        <v>2.5375</v>
      </c>
      <c r="G2263" s="3">
        <v>2.9447</v>
      </c>
    </row>
    <row r="2264" spans="1:7">
      <c r="A2264" s="2">
        <v>44356</v>
      </c>
      <c r="B2264" s="3">
        <v>2.5315</v>
      </c>
      <c r="C2264" s="3">
        <v>2.9367</v>
      </c>
      <c r="D2264" s="3">
        <v>2.535</v>
      </c>
      <c r="E2264" s="3">
        <v>2.9394</v>
      </c>
      <c r="F2264" s="3">
        <v>2.5333</v>
      </c>
      <c r="G2264" s="3">
        <v>2.9381</v>
      </c>
    </row>
    <row r="2265" spans="1:7">
      <c r="A2265" s="2">
        <v>44357</v>
      </c>
      <c r="B2265" s="3">
        <v>2.5225</v>
      </c>
      <c r="C2265" s="3">
        <v>2.9325</v>
      </c>
      <c r="D2265" s="3">
        <v>2.53</v>
      </c>
      <c r="E2265" s="3">
        <v>2.9375</v>
      </c>
      <c r="F2265" s="3">
        <v>2.5263</v>
      </c>
      <c r="G2265" s="3">
        <v>2.935</v>
      </c>
    </row>
    <row r="2266" spans="1:7">
      <c r="A2266" s="2">
        <v>44358</v>
      </c>
      <c r="B2266" s="3">
        <v>2.5425</v>
      </c>
      <c r="C2266" s="3">
        <v>2.9575</v>
      </c>
      <c r="D2266" s="3">
        <v>2.545</v>
      </c>
      <c r="E2266" s="3">
        <v>2.96</v>
      </c>
      <c r="F2266" s="3">
        <v>2.5438</v>
      </c>
      <c r="G2266" s="3">
        <v>2.9588</v>
      </c>
    </row>
    <row r="2267" spans="1:7">
      <c r="A2267" s="2">
        <v>44362</v>
      </c>
      <c r="B2267" s="3">
        <v>2.5413</v>
      </c>
      <c r="C2267" s="3">
        <v>2.9549</v>
      </c>
      <c r="D2267" s="3">
        <v>2.545</v>
      </c>
      <c r="E2267" s="3">
        <v>2.9575</v>
      </c>
      <c r="F2267" s="3">
        <v>2.5432</v>
      </c>
      <c r="G2267" s="3">
        <v>2.9562</v>
      </c>
    </row>
    <row r="2268" spans="1:7">
      <c r="A2268" s="2">
        <v>44363</v>
      </c>
      <c r="B2268" s="3">
        <v>2.549</v>
      </c>
      <c r="C2268" s="3">
        <v>2.9666</v>
      </c>
      <c r="D2268" s="3">
        <v>2.5537</v>
      </c>
      <c r="E2268" s="3">
        <v>2.9716</v>
      </c>
      <c r="F2268" s="3">
        <v>2.5513</v>
      </c>
      <c r="G2268" s="3">
        <v>2.9691</v>
      </c>
    </row>
    <row r="2269" spans="1:7">
      <c r="A2269" s="2">
        <v>44364</v>
      </c>
      <c r="B2269" s="3">
        <v>2.555</v>
      </c>
      <c r="C2269" s="3">
        <v>2.9765</v>
      </c>
      <c r="D2269" s="3">
        <v>2.5578</v>
      </c>
      <c r="E2269" s="3">
        <v>2.98</v>
      </c>
      <c r="F2269" s="3">
        <v>2.5564</v>
      </c>
      <c r="G2269" s="3">
        <v>2.9783</v>
      </c>
    </row>
    <row r="2270" spans="1:7">
      <c r="A2270" s="2">
        <v>44365</v>
      </c>
      <c r="B2270" s="3">
        <v>2.5446</v>
      </c>
      <c r="C2270" s="3">
        <v>2.9575</v>
      </c>
      <c r="D2270" s="3">
        <v>2.5475</v>
      </c>
      <c r="E2270" s="3">
        <v>2.9605</v>
      </c>
      <c r="F2270" s="3">
        <v>2.546</v>
      </c>
      <c r="G2270" s="3">
        <v>2.959</v>
      </c>
    </row>
    <row r="2271" spans="1:7">
      <c r="A2271" s="2">
        <v>44368</v>
      </c>
      <c r="B2271" s="3">
        <v>2.515</v>
      </c>
      <c r="C2271" s="3">
        <v>2.9163</v>
      </c>
      <c r="D2271" s="3">
        <v>2.5175</v>
      </c>
      <c r="E2271" s="3">
        <v>2.92</v>
      </c>
      <c r="F2271" s="3">
        <v>2.5163</v>
      </c>
      <c r="G2271" s="3">
        <v>2.9182</v>
      </c>
    </row>
    <row r="2272" spans="1:7">
      <c r="A2272" s="2">
        <v>44369</v>
      </c>
      <c r="B2272" s="3">
        <v>2.5125</v>
      </c>
      <c r="C2272" s="3">
        <v>2.9142</v>
      </c>
      <c r="D2272" s="3">
        <v>2.515</v>
      </c>
      <c r="E2272" s="3">
        <v>2.9168</v>
      </c>
      <c r="F2272" s="3">
        <v>2.5138</v>
      </c>
      <c r="G2272" s="3">
        <v>2.9155</v>
      </c>
    </row>
    <row r="2273" spans="1:7">
      <c r="A2273" s="2">
        <v>44370</v>
      </c>
      <c r="B2273" s="3">
        <v>2.5025</v>
      </c>
      <c r="C2273" s="3">
        <v>2.9075</v>
      </c>
      <c r="D2273" s="3">
        <v>2.5075</v>
      </c>
      <c r="E2273" s="3">
        <v>2.9112</v>
      </c>
      <c r="F2273" s="3">
        <v>2.505</v>
      </c>
      <c r="G2273" s="3">
        <v>2.9093</v>
      </c>
    </row>
    <row r="2274" spans="1:7">
      <c r="A2274" s="2">
        <v>44371</v>
      </c>
      <c r="B2274" s="3">
        <v>2.4925</v>
      </c>
      <c r="C2274" s="3">
        <v>2.8962</v>
      </c>
      <c r="D2274" s="3">
        <v>2.4975</v>
      </c>
      <c r="E2274" s="3">
        <v>2.8986</v>
      </c>
      <c r="F2274" s="3">
        <v>2.495</v>
      </c>
      <c r="G2274" s="3">
        <v>2.8974</v>
      </c>
    </row>
    <row r="2275" spans="1:7">
      <c r="A2275" s="2">
        <v>44372</v>
      </c>
      <c r="B2275" s="3">
        <v>2.485</v>
      </c>
      <c r="C2275" s="3">
        <v>2.8942</v>
      </c>
      <c r="D2275" s="3">
        <v>2.49</v>
      </c>
      <c r="E2275" s="3">
        <v>2.8975</v>
      </c>
      <c r="F2275" s="3">
        <v>2.4875</v>
      </c>
      <c r="G2275" s="3">
        <v>2.8958</v>
      </c>
    </row>
    <row r="2276" spans="1:7">
      <c r="A2276" s="2">
        <v>44375</v>
      </c>
      <c r="B2276" s="3">
        <v>2.5125</v>
      </c>
      <c r="C2276" s="3">
        <v>2.9225</v>
      </c>
      <c r="D2276" s="3">
        <v>2.515</v>
      </c>
      <c r="E2276" s="3">
        <v>2.925</v>
      </c>
      <c r="F2276" s="3">
        <v>2.5138</v>
      </c>
      <c r="G2276" s="3">
        <v>2.9238</v>
      </c>
    </row>
    <row r="2277" spans="1:7">
      <c r="A2277" s="2">
        <v>44376</v>
      </c>
      <c r="B2277" s="3">
        <v>2.5075</v>
      </c>
      <c r="C2277" s="3">
        <v>2.905</v>
      </c>
      <c r="D2277" s="3">
        <v>2.5125</v>
      </c>
      <c r="E2277" s="3">
        <v>2.9075</v>
      </c>
      <c r="F2277" s="3">
        <v>2.51</v>
      </c>
      <c r="G2277" s="3">
        <v>2.9063</v>
      </c>
    </row>
    <row r="2278" spans="1:7">
      <c r="A2278" s="2">
        <v>44377</v>
      </c>
      <c r="B2278" s="3">
        <v>2.5025</v>
      </c>
      <c r="C2278" s="3">
        <v>2.9</v>
      </c>
      <c r="D2278" s="3">
        <v>2.5075</v>
      </c>
      <c r="E2278" s="3">
        <v>2.9025</v>
      </c>
      <c r="F2278" s="3">
        <v>2.505</v>
      </c>
      <c r="G2278" s="3">
        <v>2.9013</v>
      </c>
    </row>
    <row r="2279" spans="1:7">
      <c r="A2279" s="2">
        <v>44378</v>
      </c>
      <c r="B2279" s="3">
        <v>2.5</v>
      </c>
      <c r="C2279" s="3">
        <v>2.905</v>
      </c>
      <c r="D2279" s="3">
        <v>2.5025</v>
      </c>
      <c r="E2279" s="3">
        <v>2.9075</v>
      </c>
      <c r="F2279" s="3">
        <v>2.5013</v>
      </c>
      <c r="G2279" s="3">
        <v>2.9063</v>
      </c>
    </row>
    <row r="2280" spans="1:7">
      <c r="A2280" s="2">
        <v>44379</v>
      </c>
      <c r="B2280" s="3">
        <v>2.4775</v>
      </c>
      <c r="C2280" s="3">
        <v>2.8918</v>
      </c>
      <c r="D2280" s="3">
        <v>2.48</v>
      </c>
      <c r="E2280" s="3">
        <v>2.895</v>
      </c>
      <c r="F2280" s="3">
        <v>2.4788</v>
      </c>
      <c r="G2280" s="3">
        <v>2.8934</v>
      </c>
    </row>
    <row r="2281" spans="1:7">
      <c r="A2281" s="2">
        <v>44382</v>
      </c>
      <c r="B2281" s="3">
        <v>2.47</v>
      </c>
      <c r="C2281" s="3">
        <v>2.8875</v>
      </c>
      <c r="D2281" s="3">
        <v>2.473</v>
      </c>
      <c r="E2281" s="3">
        <v>2.89</v>
      </c>
      <c r="F2281" s="3">
        <v>2.4715</v>
      </c>
      <c r="G2281" s="3">
        <v>2.8888</v>
      </c>
    </row>
    <row r="2282" spans="1:7">
      <c r="A2282" s="2">
        <v>44383</v>
      </c>
      <c r="B2282" s="3">
        <v>2.48</v>
      </c>
      <c r="C2282" s="3">
        <v>2.9029</v>
      </c>
      <c r="D2282" s="3">
        <v>2.4832</v>
      </c>
      <c r="E2282" s="3">
        <v>2.9057</v>
      </c>
      <c r="F2282" s="3">
        <v>2.4816</v>
      </c>
      <c r="G2282" s="3">
        <v>2.9043</v>
      </c>
    </row>
    <row r="2283" spans="1:7">
      <c r="A2283" s="2">
        <v>44384</v>
      </c>
      <c r="B2283" s="3">
        <v>2.4625</v>
      </c>
      <c r="C2283" s="3">
        <v>2.8725</v>
      </c>
      <c r="D2283" s="3">
        <v>2.466</v>
      </c>
      <c r="E2283" s="3">
        <v>2.875</v>
      </c>
      <c r="F2283" s="3">
        <v>2.4643</v>
      </c>
      <c r="G2283" s="3">
        <v>2.8738</v>
      </c>
    </row>
    <row r="2284" spans="1:7">
      <c r="A2284" s="2">
        <v>44385</v>
      </c>
      <c r="B2284" s="3">
        <v>2.41</v>
      </c>
      <c r="C2284" s="3">
        <v>2.7925</v>
      </c>
      <c r="D2284" s="3">
        <v>2.415</v>
      </c>
      <c r="E2284" s="3">
        <v>2.795</v>
      </c>
      <c r="F2284" s="3">
        <v>2.4125</v>
      </c>
      <c r="G2284" s="3">
        <v>2.7938</v>
      </c>
    </row>
    <row r="2285" spans="1:7">
      <c r="A2285" s="2">
        <v>44386</v>
      </c>
      <c r="B2285" s="3">
        <v>2.4216</v>
      </c>
      <c r="C2285" s="3">
        <v>2.7975</v>
      </c>
      <c r="D2285" s="3">
        <v>2.4231</v>
      </c>
      <c r="E2285" s="3">
        <v>2.8</v>
      </c>
      <c r="F2285" s="3">
        <v>2.4223</v>
      </c>
      <c r="G2285" s="3">
        <v>2.7988</v>
      </c>
    </row>
    <row r="2286" spans="1:7">
      <c r="A2286" s="2">
        <v>44389</v>
      </c>
      <c r="B2286" s="3">
        <v>2.365</v>
      </c>
      <c r="C2286" s="3">
        <v>2.7348</v>
      </c>
      <c r="D2286" s="3">
        <v>2.37</v>
      </c>
      <c r="E2286" s="3">
        <v>2.7376</v>
      </c>
      <c r="F2286" s="3">
        <v>2.3675</v>
      </c>
      <c r="G2286" s="3">
        <v>2.7362</v>
      </c>
    </row>
    <row r="2287" spans="1:7">
      <c r="A2287" s="2">
        <v>44390</v>
      </c>
      <c r="B2287" s="3">
        <v>2.3425</v>
      </c>
      <c r="C2287" s="3">
        <v>2.7157</v>
      </c>
      <c r="D2287" s="3">
        <v>2.3495</v>
      </c>
      <c r="E2287" s="3">
        <v>2.7191</v>
      </c>
      <c r="F2287" s="3">
        <v>2.346</v>
      </c>
      <c r="G2287" s="3">
        <v>2.7174</v>
      </c>
    </row>
    <row r="2288" spans="1:7">
      <c r="A2288" s="2">
        <v>44391</v>
      </c>
      <c r="B2288" s="3">
        <v>2.35</v>
      </c>
      <c r="C2288" s="3">
        <v>2.7273</v>
      </c>
      <c r="D2288" s="3">
        <v>2.355</v>
      </c>
      <c r="E2288" s="3">
        <v>2.73</v>
      </c>
      <c r="F2288" s="3">
        <v>2.3525</v>
      </c>
      <c r="G2288" s="3">
        <v>2.7287</v>
      </c>
    </row>
    <row r="2289" spans="1:7">
      <c r="A2289" s="2">
        <v>44392</v>
      </c>
      <c r="B2289" s="3">
        <v>2.3808</v>
      </c>
      <c r="C2289" s="3">
        <v>2.7568</v>
      </c>
      <c r="D2289" s="3">
        <v>2.3842</v>
      </c>
      <c r="E2289" s="3">
        <v>2.7597</v>
      </c>
      <c r="F2289" s="3">
        <v>2.3825</v>
      </c>
      <c r="G2289" s="3">
        <v>2.7582</v>
      </c>
    </row>
    <row r="2290" spans="1:7">
      <c r="A2290" s="2">
        <v>44393</v>
      </c>
      <c r="B2290" s="3">
        <v>2.36</v>
      </c>
      <c r="C2290" s="3">
        <v>2.7353</v>
      </c>
      <c r="D2290" s="3">
        <v>2.3658</v>
      </c>
      <c r="E2290" s="3">
        <v>2.7397</v>
      </c>
      <c r="F2290" s="3">
        <v>2.3629</v>
      </c>
      <c r="G2290" s="3">
        <v>2.7375</v>
      </c>
    </row>
    <row r="2291" spans="1:7">
      <c r="A2291" s="2">
        <v>44396</v>
      </c>
      <c r="B2291" s="3">
        <v>2.3686</v>
      </c>
      <c r="C2291" s="3">
        <v>2.7425</v>
      </c>
      <c r="D2291" s="3">
        <v>2.3725</v>
      </c>
      <c r="E2291" s="3">
        <v>2.745</v>
      </c>
      <c r="F2291" s="3">
        <v>2.3706</v>
      </c>
      <c r="G2291" s="3">
        <v>2.7438</v>
      </c>
    </row>
    <row r="2292" spans="1:7">
      <c r="A2292" s="2">
        <v>44397</v>
      </c>
      <c r="B2292" s="3">
        <v>2.37</v>
      </c>
      <c r="C2292" s="3">
        <v>2.7325</v>
      </c>
      <c r="D2292" s="3">
        <v>2.375</v>
      </c>
      <c r="E2292" s="3">
        <v>2.7354</v>
      </c>
      <c r="F2292" s="3">
        <v>2.3725</v>
      </c>
      <c r="G2292" s="3">
        <v>2.734</v>
      </c>
    </row>
    <row r="2293" spans="1:7">
      <c r="A2293" s="2">
        <v>44398</v>
      </c>
      <c r="B2293" s="3">
        <v>2.37</v>
      </c>
      <c r="C2293" s="3">
        <v>2.73</v>
      </c>
      <c r="D2293" s="3">
        <v>2.3725</v>
      </c>
      <c r="E2293" s="3">
        <v>2.7325</v>
      </c>
      <c r="F2293" s="3">
        <v>2.3713</v>
      </c>
      <c r="G2293" s="3">
        <v>2.7313</v>
      </c>
    </row>
    <row r="2294" spans="1:7">
      <c r="A2294" s="2">
        <v>44399</v>
      </c>
      <c r="B2294" s="3">
        <v>2.3775</v>
      </c>
      <c r="C2294" s="3">
        <v>2.7475</v>
      </c>
      <c r="D2294" s="3">
        <v>2.38</v>
      </c>
      <c r="E2294" s="3">
        <v>2.75</v>
      </c>
      <c r="F2294" s="3">
        <v>2.3788</v>
      </c>
      <c r="G2294" s="3">
        <v>2.7488</v>
      </c>
    </row>
    <row r="2295" spans="1:7">
      <c r="A2295" s="2">
        <v>44400</v>
      </c>
      <c r="B2295" s="3">
        <v>2.3699</v>
      </c>
      <c r="C2295" s="3">
        <v>2.735</v>
      </c>
      <c r="D2295" s="3">
        <v>2.3725</v>
      </c>
      <c r="E2295" s="3">
        <v>2.7375</v>
      </c>
      <c r="F2295" s="3">
        <v>2.3712</v>
      </c>
      <c r="G2295" s="3">
        <v>2.7363</v>
      </c>
    </row>
    <row r="2296" spans="1:7">
      <c r="A2296" s="2">
        <v>44403</v>
      </c>
      <c r="B2296" s="3">
        <v>2.3585</v>
      </c>
      <c r="C2296" s="3">
        <v>2.7131</v>
      </c>
      <c r="D2296" s="3">
        <v>2.3612</v>
      </c>
      <c r="E2296" s="3">
        <v>2.7156</v>
      </c>
      <c r="F2296" s="3">
        <v>2.3598</v>
      </c>
      <c r="G2296" s="3">
        <v>2.7144</v>
      </c>
    </row>
    <row r="2297" spans="1:7">
      <c r="A2297" s="2">
        <v>44404</v>
      </c>
      <c r="B2297" s="3">
        <v>2.3933</v>
      </c>
      <c r="C2297" s="3">
        <v>2.7513</v>
      </c>
      <c r="D2297" s="3">
        <v>2.3969</v>
      </c>
      <c r="E2297" s="3">
        <v>2.755</v>
      </c>
      <c r="F2297" s="3">
        <v>2.3951</v>
      </c>
      <c r="G2297" s="3">
        <v>2.7532</v>
      </c>
    </row>
    <row r="2298" spans="1:7">
      <c r="A2298" s="2">
        <v>44405</v>
      </c>
      <c r="B2298" s="3">
        <v>2.4018</v>
      </c>
      <c r="C2298" s="3">
        <v>2.759</v>
      </c>
      <c r="D2298" s="3">
        <v>2.403</v>
      </c>
      <c r="E2298" s="3">
        <v>2.7611</v>
      </c>
      <c r="F2298" s="3">
        <v>2.4024</v>
      </c>
      <c r="G2298" s="3">
        <v>2.7601</v>
      </c>
    </row>
    <row r="2299" spans="1:7">
      <c r="A2299" s="2">
        <v>44406</v>
      </c>
      <c r="B2299" s="3">
        <v>2.365</v>
      </c>
      <c r="C2299" s="3">
        <v>2.7249</v>
      </c>
      <c r="D2299" s="3">
        <v>2.368</v>
      </c>
      <c r="E2299" s="3">
        <v>2.7275</v>
      </c>
      <c r="F2299" s="3">
        <v>2.3665</v>
      </c>
      <c r="G2299" s="3">
        <v>2.7262</v>
      </c>
    </row>
    <row r="2300" spans="1:7">
      <c r="A2300" s="2">
        <v>44407</v>
      </c>
      <c r="B2300" s="3">
        <v>2.3357</v>
      </c>
      <c r="C2300" s="3">
        <v>2.68</v>
      </c>
      <c r="D2300" s="3">
        <v>2.3393</v>
      </c>
      <c r="E2300" s="3">
        <v>2.685</v>
      </c>
      <c r="F2300" s="3">
        <v>2.3375</v>
      </c>
      <c r="G2300" s="3">
        <v>2.6825</v>
      </c>
    </row>
    <row r="2301" spans="1:7">
      <c r="A2301" s="2">
        <v>44410</v>
      </c>
      <c r="B2301" s="3">
        <v>2.33</v>
      </c>
      <c r="C2301" s="3">
        <v>2.6775</v>
      </c>
      <c r="D2301" s="3">
        <v>2.3325</v>
      </c>
      <c r="E2301" s="3">
        <v>2.68</v>
      </c>
      <c r="F2301" s="3">
        <v>2.3313</v>
      </c>
      <c r="G2301" s="3">
        <v>2.6788</v>
      </c>
    </row>
    <row r="2302" spans="1:7">
      <c r="A2302" s="2">
        <v>44411</v>
      </c>
      <c r="B2302" s="3">
        <v>2.3192</v>
      </c>
      <c r="C2302" s="3">
        <v>2.678</v>
      </c>
      <c r="D2302" s="3">
        <v>2.3225</v>
      </c>
      <c r="E2302" s="3">
        <v>2.6815</v>
      </c>
      <c r="F2302" s="3">
        <v>2.3208</v>
      </c>
      <c r="G2302" s="3">
        <v>2.6798</v>
      </c>
    </row>
    <row r="2303" spans="1:7">
      <c r="A2303" s="2">
        <v>44412</v>
      </c>
      <c r="B2303" s="3">
        <v>2.315</v>
      </c>
      <c r="C2303" s="3">
        <v>2.67</v>
      </c>
      <c r="D2303" s="3">
        <v>2.3175</v>
      </c>
      <c r="E2303" s="3">
        <v>2.675</v>
      </c>
      <c r="F2303" s="3">
        <v>2.3163</v>
      </c>
      <c r="G2303" s="3">
        <v>2.6725</v>
      </c>
    </row>
    <row r="2304" spans="1:7">
      <c r="A2304" s="2">
        <v>44413</v>
      </c>
      <c r="B2304" s="3">
        <v>2.2878</v>
      </c>
      <c r="C2304" s="3">
        <v>2.64</v>
      </c>
      <c r="D2304" s="3">
        <v>2.2925</v>
      </c>
      <c r="E2304" s="3">
        <v>2.6425</v>
      </c>
      <c r="F2304" s="3">
        <v>2.2902</v>
      </c>
      <c r="G2304" s="3">
        <v>2.6413</v>
      </c>
    </row>
    <row r="2305" spans="1:7">
      <c r="A2305" s="2">
        <v>44414</v>
      </c>
      <c r="B2305" s="3">
        <v>2.3025</v>
      </c>
      <c r="C2305" s="3">
        <v>2.6609</v>
      </c>
      <c r="D2305" s="3">
        <v>2.3075</v>
      </c>
      <c r="E2305" s="3">
        <v>2.6631</v>
      </c>
      <c r="F2305" s="3">
        <v>2.305</v>
      </c>
      <c r="G2305" s="3">
        <v>2.662</v>
      </c>
    </row>
    <row r="2306" spans="1:7">
      <c r="A2306" s="2">
        <v>44417</v>
      </c>
      <c r="B2306" s="3">
        <v>2.3503</v>
      </c>
      <c r="C2306" s="3">
        <v>2.7125</v>
      </c>
      <c r="D2306" s="3">
        <v>2.355</v>
      </c>
      <c r="E2306" s="3">
        <v>2.715</v>
      </c>
      <c r="F2306" s="3">
        <v>2.3527</v>
      </c>
      <c r="G2306" s="3">
        <v>2.7138</v>
      </c>
    </row>
    <row r="2307" spans="1:7">
      <c r="A2307" s="2">
        <v>44418</v>
      </c>
      <c r="B2307" s="3">
        <v>2.3425</v>
      </c>
      <c r="C2307" s="3">
        <v>2.7023</v>
      </c>
      <c r="D2307" s="3">
        <v>2.345</v>
      </c>
      <c r="E2307" s="3">
        <v>2.7035</v>
      </c>
      <c r="F2307" s="3">
        <v>2.3438</v>
      </c>
      <c r="G2307" s="3">
        <v>2.7029</v>
      </c>
    </row>
    <row r="2308" spans="1:7">
      <c r="A2308" s="2">
        <v>44419</v>
      </c>
      <c r="B2308" s="3">
        <v>2.3435</v>
      </c>
      <c r="C2308" s="3">
        <v>2.7116</v>
      </c>
      <c r="D2308" s="3">
        <v>2.3453</v>
      </c>
      <c r="E2308" s="3">
        <v>2.7132</v>
      </c>
      <c r="F2308" s="3">
        <v>2.3444</v>
      </c>
      <c r="G2308" s="3">
        <v>2.7124</v>
      </c>
    </row>
    <row r="2309" spans="1:7">
      <c r="A2309" s="2">
        <v>44420</v>
      </c>
      <c r="B2309" s="3">
        <v>2.3262</v>
      </c>
      <c r="C2309" s="3">
        <v>2.6833</v>
      </c>
      <c r="D2309" s="3">
        <v>2.3286</v>
      </c>
      <c r="E2309" s="3">
        <v>2.6859</v>
      </c>
      <c r="F2309" s="3">
        <v>2.3274</v>
      </c>
      <c r="G2309" s="3">
        <v>2.6846</v>
      </c>
    </row>
    <row r="2310" spans="1:7">
      <c r="A2310" s="2">
        <v>44421</v>
      </c>
      <c r="B2310" s="3">
        <v>2.3325</v>
      </c>
      <c r="C2310" s="3">
        <v>2.6936</v>
      </c>
      <c r="D2310" s="3">
        <v>2.3375</v>
      </c>
      <c r="E2310" s="3">
        <v>2.6962</v>
      </c>
      <c r="F2310" s="3">
        <v>2.335</v>
      </c>
      <c r="G2310" s="3">
        <v>2.6949</v>
      </c>
    </row>
    <row r="2311" spans="1:7">
      <c r="A2311" s="2">
        <v>44424</v>
      </c>
      <c r="B2311" s="3">
        <v>2.3498</v>
      </c>
      <c r="C2311" s="3">
        <v>2.7165</v>
      </c>
      <c r="D2311" s="3">
        <v>2.3521</v>
      </c>
      <c r="E2311" s="3">
        <v>2.7191</v>
      </c>
      <c r="F2311" s="3">
        <v>2.3509</v>
      </c>
      <c r="G2311" s="3">
        <v>2.7178</v>
      </c>
    </row>
    <row r="2312" spans="1:7">
      <c r="A2312" s="2">
        <v>44425</v>
      </c>
      <c r="B2312" s="3">
        <v>2.3375</v>
      </c>
      <c r="C2312" s="3">
        <v>2.705</v>
      </c>
      <c r="D2312" s="3">
        <v>2.341</v>
      </c>
      <c r="E2312" s="3">
        <v>2.7075</v>
      </c>
      <c r="F2312" s="3">
        <v>2.3393</v>
      </c>
      <c r="G2312" s="3">
        <v>2.7063</v>
      </c>
    </row>
    <row r="2313" spans="1:7">
      <c r="A2313" s="2">
        <v>44426</v>
      </c>
      <c r="B2313" s="3">
        <v>2.3125</v>
      </c>
      <c r="C2313" s="3">
        <v>2.6725</v>
      </c>
      <c r="D2313" s="3">
        <v>2.3187</v>
      </c>
      <c r="E2313" s="3">
        <v>2.675</v>
      </c>
      <c r="F2313" s="3">
        <v>2.3156</v>
      </c>
      <c r="G2313" s="3">
        <v>2.6738</v>
      </c>
    </row>
    <row r="2314" spans="1:7">
      <c r="A2314" s="2">
        <v>44427</v>
      </c>
      <c r="B2314" s="3">
        <v>2.31</v>
      </c>
      <c r="C2314" s="3">
        <v>2.67</v>
      </c>
      <c r="D2314" s="3">
        <v>2.3125</v>
      </c>
      <c r="E2314" s="3">
        <v>2.6725</v>
      </c>
      <c r="F2314" s="3">
        <v>2.3113</v>
      </c>
      <c r="G2314" s="3">
        <v>2.6713</v>
      </c>
    </row>
    <row r="2315" spans="1:7">
      <c r="A2315" s="2">
        <v>44428</v>
      </c>
      <c r="B2315" s="3">
        <v>2.3175</v>
      </c>
      <c r="C2315" s="3">
        <v>2.6825</v>
      </c>
      <c r="D2315" s="3">
        <v>2.32</v>
      </c>
      <c r="E2315" s="3">
        <v>2.685</v>
      </c>
      <c r="F2315" s="3">
        <v>2.3188</v>
      </c>
      <c r="G2315" s="3">
        <v>2.6838</v>
      </c>
    </row>
    <row r="2316" spans="1:7">
      <c r="A2316" s="2">
        <v>44431</v>
      </c>
      <c r="B2316" s="3">
        <v>2.3293</v>
      </c>
      <c r="C2316" s="3">
        <v>2.6954</v>
      </c>
      <c r="D2316" s="3">
        <v>2.3325</v>
      </c>
      <c r="E2316" s="3">
        <v>2.6975</v>
      </c>
      <c r="F2316" s="3">
        <v>2.3309</v>
      </c>
      <c r="G2316" s="3">
        <v>2.6965</v>
      </c>
    </row>
    <row r="2317" spans="1:7">
      <c r="A2317" s="2">
        <v>44432</v>
      </c>
      <c r="B2317" s="3">
        <v>2.3109</v>
      </c>
      <c r="C2317" s="3">
        <v>2.6774</v>
      </c>
      <c r="D2317" s="3">
        <v>2.315</v>
      </c>
      <c r="E2317" s="3">
        <v>2.68</v>
      </c>
      <c r="F2317" s="3">
        <v>2.3129</v>
      </c>
      <c r="G2317" s="3">
        <v>2.6787</v>
      </c>
    </row>
    <row r="2318" spans="1:7">
      <c r="A2318" s="2">
        <v>44433</v>
      </c>
      <c r="B2318" s="3">
        <v>2.3175</v>
      </c>
      <c r="C2318" s="3">
        <v>2.68</v>
      </c>
      <c r="D2318" s="3">
        <v>2.3202</v>
      </c>
      <c r="E2318" s="3">
        <v>2.6844</v>
      </c>
      <c r="F2318" s="3">
        <v>2.3188</v>
      </c>
      <c r="G2318" s="3">
        <v>2.6822</v>
      </c>
    </row>
    <row r="2319" spans="1:7">
      <c r="A2319" s="2">
        <v>44434</v>
      </c>
      <c r="B2319" s="3">
        <v>2.335</v>
      </c>
      <c r="C2319" s="3">
        <v>2.7025</v>
      </c>
      <c r="D2319" s="3">
        <v>2.3375</v>
      </c>
      <c r="E2319" s="3">
        <v>2.705</v>
      </c>
      <c r="F2319" s="3">
        <v>2.3363</v>
      </c>
      <c r="G2319" s="3">
        <v>2.7038</v>
      </c>
    </row>
    <row r="2320" spans="1:7">
      <c r="A2320" s="2">
        <v>44435</v>
      </c>
      <c r="B2320" s="3">
        <v>2.3175</v>
      </c>
      <c r="C2320" s="3">
        <v>2.6843</v>
      </c>
      <c r="D2320" s="3">
        <v>2.32</v>
      </c>
      <c r="E2320" s="3">
        <v>2.6875</v>
      </c>
      <c r="F2320" s="3">
        <v>2.3188</v>
      </c>
      <c r="G2320" s="3">
        <v>2.6859</v>
      </c>
    </row>
    <row r="2321" spans="1:7">
      <c r="A2321" s="2">
        <v>44438</v>
      </c>
      <c r="B2321" s="3">
        <v>2.305</v>
      </c>
      <c r="C2321" s="3">
        <v>2.6725</v>
      </c>
      <c r="D2321" s="3">
        <v>2.31</v>
      </c>
      <c r="E2321" s="3">
        <v>2.6743</v>
      </c>
      <c r="F2321" s="3">
        <v>2.3075</v>
      </c>
      <c r="G2321" s="3">
        <v>2.6734</v>
      </c>
    </row>
    <row r="2322" spans="1:7">
      <c r="A2322" s="2">
        <v>44439</v>
      </c>
      <c r="B2322" s="3">
        <v>2.3025</v>
      </c>
      <c r="C2322" s="3">
        <v>2.67</v>
      </c>
      <c r="D2322" s="3">
        <v>2.3055</v>
      </c>
      <c r="E2322" s="3">
        <v>2.6725</v>
      </c>
      <c r="F2322" s="3">
        <v>2.304</v>
      </c>
      <c r="G2322" s="3">
        <v>2.6713</v>
      </c>
    </row>
    <row r="2323" spans="1:7">
      <c r="A2323" s="2">
        <v>44440</v>
      </c>
      <c r="B2323" s="3">
        <v>2.2825</v>
      </c>
      <c r="C2323" s="3">
        <v>2.6381</v>
      </c>
      <c r="D2323" s="3">
        <v>2.2875</v>
      </c>
      <c r="E2323" s="3">
        <v>2.6425</v>
      </c>
      <c r="F2323" s="3">
        <v>2.285</v>
      </c>
      <c r="G2323" s="3">
        <v>2.6403</v>
      </c>
    </row>
    <row r="2324" spans="1:7">
      <c r="A2324" s="2">
        <v>44441</v>
      </c>
      <c r="B2324" s="3">
        <v>2.295</v>
      </c>
      <c r="C2324" s="3">
        <v>2.6543</v>
      </c>
      <c r="D2324" s="3">
        <v>2.2975</v>
      </c>
      <c r="E2324" s="3">
        <v>2.6575</v>
      </c>
      <c r="F2324" s="3">
        <v>2.2963</v>
      </c>
      <c r="G2324" s="3">
        <v>2.6559</v>
      </c>
    </row>
    <row r="2325" spans="1:7">
      <c r="A2325" s="2">
        <v>44442</v>
      </c>
      <c r="B2325" s="3">
        <v>2.295</v>
      </c>
      <c r="C2325" s="3">
        <v>2.6575</v>
      </c>
      <c r="D2325" s="3">
        <v>2.2975</v>
      </c>
      <c r="E2325" s="3">
        <v>2.66</v>
      </c>
      <c r="F2325" s="3">
        <v>2.2963</v>
      </c>
      <c r="G2325" s="3">
        <v>2.6588</v>
      </c>
    </row>
    <row r="2326" spans="1:7">
      <c r="A2326" s="2">
        <v>44445</v>
      </c>
      <c r="B2326" s="3">
        <v>2.3075</v>
      </c>
      <c r="C2326" s="3">
        <v>2.6675</v>
      </c>
      <c r="D2326" s="3">
        <v>2.31</v>
      </c>
      <c r="E2326" s="3">
        <v>2.67</v>
      </c>
      <c r="F2326" s="3">
        <v>2.3088</v>
      </c>
      <c r="G2326" s="3">
        <v>2.6688</v>
      </c>
    </row>
    <row r="2327" spans="1:7">
      <c r="A2327" s="2">
        <v>44446</v>
      </c>
      <c r="B2327" s="3">
        <v>2.33</v>
      </c>
      <c r="C2327" s="3">
        <v>2.69</v>
      </c>
      <c r="D2327" s="3">
        <v>2.3347</v>
      </c>
      <c r="E2327" s="3">
        <v>2.6925</v>
      </c>
      <c r="F2327" s="3">
        <v>2.3323</v>
      </c>
      <c r="G2327" s="3">
        <v>2.6913</v>
      </c>
    </row>
    <row r="2328" spans="1:7">
      <c r="A2328" s="2">
        <v>44447</v>
      </c>
      <c r="B2328" s="3">
        <v>2.34</v>
      </c>
      <c r="C2328" s="3">
        <v>2.705</v>
      </c>
      <c r="D2328" s="3">
        <v>2.345</v>
      </c>
      <c r="E2328" s="3">
        <v>2.7079</v>
      </c>
      <c r="F2328" s="3">
        <v>2.3425</v>
      </c>
      <c r="G2328" s="3">
        <v>2.7065</v>
      </c>
    </row>
    <row r="2329" spans="1:7">
      <c r="A2329" s="2">
        <v>44448</v>
      </c>
      <c r="B2329" s="3">
        <v>2.35</v>
      </c>
      <c r="C2329" s="3">
        <v>2.7125</v>
      </c>
      <c r="D2329" s="3">
        <v>2.3525</v>
      </c>
      <c r="E2329" s="3">
        <v>2.715</v>
      </c>
      <c r="F2329" s="3">
        <v>2.3513</v>
      </c>
      <c r="G2329" s="3">
        <v>2.7138</v>
      </c>
    </row>
    <row r="2330" spans="1:7">
      <c r="A2330" s="2">
        <v>44449</v>
      </c>
      <c r="B2330" s="3">
        <v>2.34</v>
      </c>
      <c r="C2330" s="3">
        <v>2.7025</v>
      </c>
      <c r="D2330" s="3">
        <v>2.3425</v>
      </c>
      <c r="E2330" s="3">
        <v>2.705</v>
      </c>
      <c r="F2330" s="3">
        <v>2.3413</v>
      </c>
      <c r="G2330" s="3">
        <v>2.7038</v>
      </c>
    </row>
    <row r="2331" spans="1:7">
      <c r="A2331" s="2">
        <v>44452</v>
      </c>
      <c r="B2331" s="3">
        <v>2.3693</v>
      </c>
      <c r="C2331" s="3">
        <v>2.74</v>
      </c>
      <c r="D2331" s="3">
        <v>2.3753</v>
      </c>
      <c r="E2331" s="3">
        <v>2.7427</v>
      </c>
      <c r="F2331" s="3">
        <v>2.3723</v>
      </c>
      <c r="G2331" s="3">
        <v>2.7413</v>
      </c>
    </row>
    <row r="2332" spans="1:7">
      <c r="A2332" s="2">
        <v>44453</v>
      </c>
      <c r="B2332" s="3">
        <v>2.3649</v>
      </c>
      <c r="C2332" s="3">
        <v>2.7325</v>
      </c>
      <c r="D2332" s="3">
        <v>2.3675</v>
      </c>
      <c r="E2332" s="3">
        <v>2.7351</v>
      </c>
      <c r="F2332" s="3">
        <v>2.3662</v>
      </c>
      <c r="G2332" s="3">
        <v>2.7338</v>
      </c>
    </row>
    <row r="2333" spans="1:7">
      <c r="A2333" s="2">
        <v>44454</v>
      </c>
      <c r="B2333" s="3">
        <v>2.3788</v>
      </c>
      <c r="C2333" s="3">
        <v>2.7554</v>
      </c>
      <c r="D2333" s="3">
        <v>2.385</v>
      </c>
      <c r="E2333" s="3">
        <v>2.758</v>
      </c>
      <c r="F2333" s="3">
        <v>2.3819</v>
      </c>
      <c r="G2333" s="3">
        <v>2.7567</v>
      </c>
    </row>
    <row r="2334" spans="1:7">
      <c r="A2334" s="2">
        <v>44455</v>
      </c>
      <c r="B2334" s="3">
        <v>2.3725</v>
      </c>
      <c r="C2334" s="3">
        <v>2.7375</v>
      </c>
      <c r="D2334" s="3">
        <v>2.375</v>
      </c>
      <c r="E2334" s="3">
        <v>2.74</v>
      </c>
      <c r="F2334" s="3">
        <v>2.3738</v>
      </c>
      <c r="G2334" s="3">
        <v>2.7388</v>
      </c>
    </row>
    <row r="2335" spans="1:7">
      <c r="A2335" s="2">
        <v>44456</v>
      </c>
      <c r="B2335" s="3">
        <v>2.365</v>
      </c>
      <c r="C2335" s="3">
        <v>2.715</v>
      </c>
      <c r="D2335" s="3">
        <v>2.37</v>
      </c>
      <c r="E2335" s="3">
        <v>2.7175</v>
      </c>
      <c r="F2335" s="3">
        <v>2.3675</v>
      </c>
      <c r="G2335" s="3">
        <v>2.7163</v>
      </c>
    </row>
    <row r="2336" spans="1:7">
      <c r="A2336" s="2">
        <v>44457</v>
      </c>
      <c r="B2336" s="3">
        <v>2.35</v>
      </c>
      <c r="C2336" s="3">
        <v>2.7075</v>
      </c>
      <c r="D2336" s="3">
        <v>2.4</v>
      </c>
      <c r="E2336" s="3">
        <v>2.7175</v>
      </c>
      <c r="F2336" s="3">
        <v>2.375</v>
      </c>
      <c r="G2336" s="3">
        <v>2.7125</v>
      </c>
    </row>
    <row r="2337" spans="1:7">
      <c r="A2337" s="2">
        <v>44461</v>
      </c>
      <c r="B2337" s="3">
        <v>2.3375</v>
      </c>
      <c r="C2337" s="3">
        <v>2.695</v>
      </c>
      <c r="D2337" s="3">
        <v>2.3407</v>
      </c>
      <c r="E2337" s="3">
        <v>2.6975</v>
      </c>
      <c r="F2337" s="3">
        <v>2.3391</v>
      </c>
      <c r="G2337" s="3">
        <v>2.6963</v>
      </c>
    </row>
    <row r="2338" spans="1:7">
      <c r="A2338" s="2">
        <v>44462</v>
      </c>
      <c r="B2338" s="3">
        <v>2.325</v>
      </c>
      <c r="C2338" s="3">
        <v>2.68</v>
      </c>
      <c r="D2338" s="3">
        <v>2.3275</v>
      </c>
      <c r="E2338" s="3">
        <v>2.6825</v>
      </c>
      <c r="F2338" s="3">
        <v>2.3263</v>
      </c>
      <c r="G2338" s="3">
        <v>2.6813</v>
      </c>
    </row>
    <row r="2339" spans="1:7">
      <c r="A2339" s="2">
        <v>44463</v>
      </c>
      <c r="B2339" s="3">
        <v>2.335</v>
      </c>
      <c r="C2339" s="3">
        <v>2.7025</v>
      </c>
      <c r="D2339" s="3">
        <v>2.34</v>
      </c>
      <c r="E2339" s="3">
        <v>2.705</v>
      </c>
      <c r="F2339" s="3">
        <v>2.3375</v>
      </c>
      <c r="G2339" s="3">
        <v>2.7038</v>
      </c>
    </row>
    <row r="2340" spans="1:7">
      <c r="A2340" s="2">
        <v>44465</v>
      </c>
      <c r="B2340" s="3">
        <v>2.33</v>
      </c>
      <c r="C2340" s="3">
        <v>2.7025</v>
      </c>
      <c r="D2340" s="3">
        <v>2.3325</v>
      </c>
      <c r="E2340" s="3">
        <v>2.705</v>
      </c>
      <c r="F2340" s="3">
        <v>2.3313</v>
      </c>
      <c r="G2340" s="3">
        <v>2.7038</v>
      </c>
    </row>
    <row r="2341" spans="1:7">
      <c r="A2341" s="2">
        <v>44466</v>
      </c>
      <c r="B2341" s="3">
        <v>2.335</v>
      </c>
      <c r="C2341" s="3">
        <v>2.705</v>
      </c>
      <c r="D2341" s="3">
        <v>2.3375</v>
      </c>
      <c r="E2341" s="3">
        <v>2.7075</v>
      </c>
      <c r="F2341" s="3">
        <v>2.3363</v>
      </c>
      <c r="G2341" s="3">
        <v>2.7063</v>
      </c>
    </row>
    <row r="2342" spans="1:7">
      <c r="A2342" s="2">
        <v>44467</v>
      </c>
      <c r="B2342" s="3">
        <v>2.345</v>
      </c>
      <c r="C2342" s="3">
        <v>2.7175</v>
      </c>
      <c r="D2342" s="3">
        <v>2.35</v>
      </c>
      <c r="E2342" s="3">
        <v>2.721</v>
      </c>
      <c r="F2342" s="3">
        <v>2.3475</v>
      </c>
      <c r="G2342" s="3">
        <v>2.7193</v>
      </c>
    </row>
    <row r="2343" spans="1:7">
      <c r="A2343" s="2">
        <v>44468</v>
      </c>
      <c r="B2343" s="3">
        <v>2.355</v>
      </c>
      <c r="C2343" s="3">
        <v>2.7025</v>
      </c>
      <c r="D2343" s="3">
        <v>2.36</v>
      </c>
      <c r="E2343" s="3">
        <v>2.7075</v>
      </c>
      <c r="F2343" s="3">
        <v>2.3575</v>
      </c>
      <c r="G2343" s="3">
        <v>2.705</v>
      </c>
    </row>
    <row r="2344" spans="1:7">
      <c r="A2344" s="2">
        <v>44469</v>
      </c>
      <c r="B2344" s="3">
        <v>2.335</v>
      </c>
      <c r="C2344" s="3">
        <v>2.71</v>
      </c>
      <c r="D2344" s="3">
        <v>2.3389</v>
      </c>
      <c r="E2344" s="3">
        <v>2.7125</v>
      </c>
      <c r="F2344" s="3">
        <v>2.3369</v>
      </c>
      <c r="G2344" s="3">
        <v>2.7113</v>
      </c>
    </row>
    <row r="2345" spans="1:7">
      <c r="A2345" s="2">
        <v>44477</v>
      </c>
      <c r="B2345" s="3">
        <v>2.362</v>
      </c>
      <c r="C2345" s="3">
        <v>2.7375</v>
      </c>
      <c r="D2345" s="3">
        <v>2.3645</v>
      </c>
      <c r="E2345" s="3">
        <v>2.74</v>
      </c>
      <c r="F2345" s="3">
        <v>2.3632</v>
      </c>
      <c r="G2345" s="3">
        <v>2.7388</v>
      </c>
    </row>
    <row r="2346" spans="1:7">
      <c r="A2346" s="2">
        <v>44478</v>
      </c>
      <c r="B2346" s="3">
        <v>2.3575</v>
      </c>
      <c r="C2346" s="3">
        <v>2.745</v>
      </c>
      <c r="D2346" s="3">
        <v>2.37</v>
      </c>
      <c r="E2346" s="3">
        <v>2.7575</v>
      </c>
      <c r="F2346" s="3">
        <v>2.3638</v>
      </c>
      <c r="G2346" s="3">
        <v>2.7513</v>
      </c>
    </row>
    <row r="2347" spans="1:7">
      <c r="A2347" s="2">
        <v>44480</v>
      </c>
      <c r="B2347" s="3">
        <v>2.385</v>
      </c>
      <c r="C2347" s="3">
        <v>2.7823</v>
      </c>
      <c r="D2347" s="3">
        <v>2.3875</v>
      </c>
      <c r="E2347" s="3">
        <v>2.785</v>
      </c>
      <c r="F2347" s="3">
        <v>2.3863</v>
      </c>
      <c r="G2347" s="3">
        <v>2.7837</v>
      </c>
    </row>
    <row r="2348" spans="1:7">
      <c r="A2348" s="2">
        <v>44481</v>
      </c>
      <c r="B2348" s="3">
        <v>2.3781</v>
      </c>
      <c r="C2348" s="3">
        <v>2.7729</v>
      </c>
      <c r="D2348" s="3">
        <v>2.3825</v>
      </c>
      <c r="E2348" s="3">
        <v>2.7755</v>
      </c>
      <c r="F2348" s="3">
        <v>2.3803</v>
      </c>
      <c r="G2348" s="3">
        <v>2.7742</v>
      </c>
    </row>
    <row r="2349" spans="1:7">
      <c r="A2349" s="2">
        <v>44482</v>
      </c>
      <c r="B2349" s="3">
        <v>2.37</v>
      </c>
      <c r="C2349" s="3">
        <v>2.76</v>
      </c>
      <c r="D2349" s="3">
        <v>2.3725</v>
      </c>
      <c r="E2349" s="3">
        <v>2.7629</v>
      </c>
      <c r="F2349" s="3">
        <v>2.3713</v>
      </c>
      <c r="G2349" s="3">
        <v>2.7615</v>
      </c>
    </row>
    <row r="2350" spans="1:7">
      <c r="A2350" s="2">
        <v>44483</v>
      </c>
      <c r="B2350" s="3">
        <v>2.3725</v>
      </c>
      <c r="C2350" s="3">
        <v>2.7675</v>
      </c>
      <c r="D2350" s="3">
        <v>2.3769</v>
      </c>
      <c r="E2350" s="3">
        <v>2.77</v>
      </c>
      <c r="F2350" s="3">
        <v>2.3747</v>
      </c>
      <c r="G2350" s="3">
        <v>2.7688</v>
      </c>
    </row>
    <row r="2351" spans="1:7">
      <c r="A2351" s="2">
        <v>44484</v>
      </c>
      <c r="B2351" s="3">
        <v>2.375</v>
      </c>
      <c r="C2351" s="3">
        <v>2.775</v>
      </c>
      <c r="D2351" s="3">
        <v>2.38</v>
      </c>
      <c r="E2351" s="3">
        <v>2.7779</v>
      </c>
      <c r="F2351" s="3">
        <v>2.3775</v>
      </c>
      <c r="G2351" s="3">
        <v>2.7765</v>
      </c>
    </row>
    <row r="2352" spans="1:7">
      <c r="A2352" s="2">
        <v>44487</v>
      </c>
      <c r="B2352" s="3">
        <v>2.42</v>
      </c>
      <c r="C2352" s="3">
        <v>2.8449</v>
      </c>
      <c r="D2352" s="3">
        <v>2.425</v>
      </c>
      <c r="E2352" s="3">
        <v>2.8481</v>
      </c>
      <c r="F2352" s="3">
        <v>2.4225</v>
      </c>
      <c r="G2352" s="3">
        <v>2.8465</v>
      </c>
    </row>
    <row r="2353" spans="1:7">
      <c r="A2353" s="2">
        <v>44488</v>
      </c>
      <c r="B2353" s="3">
        <v>2.4074</v>
      </c>
      <c r="C2353" s="3">
        <v>2.8175</v>
      </c>
      <c r="D2353" s="3">
        <v>2.4102</v>
      </c>
      <c r="E2353" s="3">
        <v>2.82</v>
      </c>
      <c r="F2353" s="3">
        <v>2.4088</v>
      </c>
      <c r="G2353" s="3">
        <v>2.8188</v>
      </c>
    </row>
    <row r="2354" spans="1:7">
      <c r="A2354" s="2">
        <v>44489</v>
      </c>
      <c r="B2354" s="3">
        <v>2.405</v>
      </c>
      <c r="C2354" s="3">
        <v>2.8247</v>
      </c>
      <c r="D2354" s="3">
        <v>2.41</v>
      </c>
      <c r="E2354" s="3">
        <v>2.8275</v>
      </c>
      <c r="F2354" s="3">
        <v>2.4075</v>
      </c>
      <c r="G2354" s="3">
        <v>2.8261</v>
      </c>
    </row>
    <row r="2355" spans="1:7">
      <c r="A2355" s="2">
        <v>44490</v>
      </c>
      <c r="B2355" s="3">
        <v>2.3844</v>
      </c>
      <c r="C2355" s="3">
        <v>2.7947</v>
      </c>
      <c r="D2355" s="3">
        <v>2.3869</v>
      </c>
      <c r="E2355" s="3">
        <v>2.7975</v>
      </c>
      <c r="F2355" s="3">
        <v>2.3856</v>
      </c>
      <c r="G2355" s="3">
        <v>2.7961</v>
      </c>
    </row>
    <row r="2356" spans="1:7">
      <c r="A2356" s="2">
        <v>44491</v>
      </c>
      <c r="B2356" s="3">
        <v>2.39</v>
      </c>
      <c r="C2356" s="3">
        <v>2.815</v>
      </c>
      <c r="D2356" s="3">
        <v>2.395</v>
      </c>
      <c r="E2356" s="3">
        <v>2.8175</v>
      </c>
      <c r="F2356" s="3">
        <v>2.3925</v>
      </c>
      <c r="G2356" s="3">
        <v>2.8163</v>
      </c>
    </row>
    <row r="2357" spans="1:7">
      <c r="A2357" s="2">
        <v>44494</v>
      </c>
      <c r="B2357" s="3">
        <v>2.395</v>
      </c>
      <c r="C2357" s="3">
        <v>2.8175</v>
      </c>
      <c r="D2357" s="3">
        <v>2.4</v>
      </c>
      <c r="E2357" s="3">
        <v>2.82</v>
      </c>
      <c r="F2357" s="3">
        <v>2.3975</v>
      </c>
      <c r="G2357" s="3">
        <v>2.8188</v>
      </c>
    </row>
    <row r="2358" spans="1:7">
      <c r="A2358" s="2">
        <v>44495</v>
      </c>
      <c r="B2358" s="3">
        <v>2.3875</v>
      </c>
      <c r="C2358" s="3">
        <v>2.8025</v>
      </c>
      <c r="D2358" s="3">
        <v>2.39</v>
      </c>
      <c r="E2358" s="3">
        <v>2.805</v>
      </c>
      <c r="F2358" s="3">
        <v>2.3888</v>
      </c>
      <c r="G2358" s="3">
        <v>2.8038</v>
      </c>
    </row>
    <row r="2359" spans="1:7">
      <c r="A2359" s="2">
        <v>44496</v>
      </c>
      <c r="B2359" s="3">
        <v>2.4</v>
      </c>
      <c r="C2359" s="3">
        <v>2.817</v>
      </c>
      <c r="D2359" s="3">
        <v>2.4066</v>
      </c>
      <c r="E2359" s="3">
        <v>2.8195</v>
      </c>
      <c r="F2359" s="3">
        <v>2.4033</v>
      </c>
      <c r="G2359" s="3">
        <v>2.8182</v>
      </c>
    </row>
    <row r="2360" spans="1:7">
      <c r="A2360" s="2">
        <v>44497</v>
      </c>
      <c r="B2360" s="3">
        <v>2.3867</v>
      </c>
      <c r="C2360" s="3">
        <v>2.795</v>
      </c>
      <c r="D2360" s="3">
        <v>2.39</v>
      </c>
      <c r="E2360" s="3">
        <v>2.7975</v>
      </c>
      <c r="F2360" s="3">
        <v>2.3884</v>
      </c>
      <c r="G2360" s="3">
        <v>2.7963</v>
      </c>
    </row>
    <row r="2361" spans="1:7">
      <c r="A2361" s="2">
        <v>44498</v>
      </c>
      <c r="B2361" s="3">
        <v>2.39</v>
      </c>
      <c r="C2361" s="3">
        <v>2.8</v>
      </c>
      <c r="D2361" s="3">
        <v>2.395</v>
      </c>
      <c r="E2361" s="3">
        <v>2.8026</v>
      </c>
      <c r="F2361" s="3">
        <v>2.3925</v>
      </c>
      <c r="G2361" s="3">
        <v>2.8013</v>
      </c>
    </row>
    <row r="2362" spans="1:7">
      <c r="A2362" s="2">
        <v>44501</v>
      </c>
      <c r="B2362" s="3">
        <v>2.37</v>
      </c>
      <c r="C2362" s="3">
        <v>2.7714</v>
      </c>
      <c r="D2362" s="3">
        <v>2.375</v>
      </c>
      <c r="E2362" s="3">
        <v>2.7739</v>
      </c>
      <c r="F2362" s="3">
        <v>2.3725</v>
      </c>
      <c r="G2362" s="3">
        <v>2.7727</v>
      </c>
    </row>
    <row r="2363" spans="1:7">
      <c r="A2363" s="2">
        <v>44502</v>
      </c>
      <c r="B2363" s="3">
        <v>2.365</v>
      </c>
      <c r="C2363" s="3">
        <v>2.755</v>
      </c>
      <c r="D2363" s="3">
        <v>2.3675</v>
      </c>
      <c r="E2363" s="3">
        <v>2.7576</v>
      </c>
      <c r="F2363" s="3">
        <v>2.3663</v>
      </c>
      <c r="G2363" s="3">
        <v>2.7563</v>
      </c>
    </row>
    <row r="2364" spans="1:7">
      <c r="A2364" s="2">
        <v>44503</v>
      </c>
      <c r="B2364" s="3">
        <v>2.365</v>
      </c>
      <c r="C2364" s="3">
        <v>2.77</v>
      </c>
      <c r="D2364" s="3">
        <v>2.37</v>
      </c>
      <c r="E2364" s="3">
        <v>2.7725</v>
      </c>
      <c r="F2364" s="3">
        <v>2.3675</v>
      </c>
      <c r="G2364" s="3">
        <v>2.7713</v>
      </c>
    </row>
    <row r="2365" spans="1:7">
      <c r="A2365" s="2">
        <v>44504</v>
      </c>
      <c r="B2365" s="3">
        <v>2.35</v>
      </c>
      <c r="C2365" s="3">
        <v>2.7458</v>
      </c>
      <c r="D2365" s="3">
        <v>2.3537</v>
      </c>
      <c r="E2365" s="3">
        <v>2.7486</v>
      </c>
      <c r="F2365" s="3">
        <v>2.3518</v>
      </c>
      <c r="G2365" s="3">
        <v>2.7472</v>
      </c>
    </row>
    <row r="2366" spans="1:7">
      <c r="A2366" s="2">
        <v>44505</v>
      </c>
      <c r="B2366" s="3">
        <v>2.32</v>
      </c>
      <c r="C2366" s="3">
        <v>2.6992</v>
      </c>
      <c r="D2366" s="3">
        <v>2.325</v>
      </c>
      <c r="E2366" s="3">
        <v>2.7025</v>
      </c>
      <c r="F2366" s="3">
        <v>2.3225</v>
      </c>
      <c r="G2366" s="3">
        <v>2.7008</v>
      </c>
    </row>
    <row r="2367" spans="1:7">
      <c r="A2367" s="2">
        <v>44508</v>
      </c>
      <c r="B2367" s="3">
        <v>2.3204</v>
      </c>
      <c r="C2367" s="3">
        <v>2.7049</v>
      </c>
      <c r="D2367" s="3">
        <v>2.3235</v>
      </c>
      <c r="E2367" s="3">
        <v>2.7075</v>
      </c>
      <c r="F2367" s="3">
        <v>2.322</v>
      </c>
      <c r="G2367" s="3">
        <v>2.7062</v>
      </c>
    </row>
    <row r="2368" spans="1:7">
      <c r="A2368" s="2">
        <v>44509</v>
      </c>
      <c r="B2368" s="3">
        <v>2.3124</v>
      </c>
      <c r="C2368" s="3">
        <v>2.6972</v>
      </c>
      <c r="D2368" s="3">
        <v>2.3177</v>
      </c>
      <c r="E2368" s="3">
        <v>2.6993</v>
      </c>
      <c r="F2368" s="3">
        <v>2.3151</v>
      </c>
      <c r="G2368" s="3">
        <v>2.6982</v>
      </c>
    </row>
    <row r="2369" spans="1:7">
      <c r="A2369" s="2">
        <v>44510</v>
      </c>
      <c r="B2369" s="3">
        <v>2.32</v>
      </c>
      <c r="C2369" s="3">
        <v>2.7125</v>
      </c>
      <c r="D2369" s="3">
        <v>2.3275</v>
      </c>
      <c r="E2369" s="3">
        <v>2.715</v>
      </c>
      <c r="F2369" s="3">
        <v>2.3238</v>
      </c>
      <c r="G2369" s="3">
        <v>2.7138</v>
      </c>
    </row>
    <row r="2370" spans="1:7">
      <c r="A2370" s="2">
        <v>44511</v>
      </c>
      <c r="B2370" s="3">
        <v>2.3317</v>
      </c>
      <c r="C2370" s="3">
        <v>2.725</v>
      </c>
      <c r="D2370" s="3">
        <v>2.335</v>
      </c>
      <c r="E2370" s="3">
        <v>2.7275</v>
      </c>
      <c r="F2370" s="3">
        <v>2.3333</v>
      </c>
      <c r="G2370" s="3">
        <v>2.7263</v>
      </c>
    </row>
    <row r="2371" spans="1:7">
      <c r="A2371" s="2">
        <v>44512</v>
      </c>
      <c r="B2371" s="3">
        <v>2.3325</v>
      </c>
      <c r="C2371" s="3">
        <v>2.725</v>
      </c>
      <c r="D2371" s="3">
        <v>2.335</v>
      </c>
      <c r="E2371" s="3">
        <v>2.7287</v>
      </c>
      <c r="F2371" s="3">
        <v>2.3338</v>
      </c>
      <c r="G2371" s="3">
        <v>2.7268</v>
      </c>
    </row>
    <row r="2372" spans="1:7">
      <c r="A2372" s="2">
        <v>44515</v>
      </c>
      <c r="B2372" s="3">
        <v>2.32</v>
      </c>
      <c r="C2372" s="3">
        <v>2.71</v>
      </c>
      <c r="D2372" s="3">
        <v>2.325</v>
      </c>
      <c r="E2372" s="3">
        <v>2.7125</v>
      </c>
      <c r="F2372" s="3">
        <v>2.3225</v>
      </c>
      <c r="G2372" s="3">
        <v>2.7113</v>
      </c>
    </row>
    <row r="2373" spans="1:7">
      <c r="A2373" s="2">
        <v>44516</v>
      </c>
      <c r="B2373" s="3">
        <v>2.3225</v>
      </c>
      <c r="C2373" s="3">
        <v>2.7142</v>
      </c>
      <c r="D2373" s="3">
        <v>2.325</v>
      </c>
      <c r="E2373" s="3">
        <v>2.7168</v>
      </c>
      <c r="F2373" s="3">
        <v>2.3238</v>
      </c>
      <c r="G2373" s="3">
        <v>2.7155</v>
      </c>
    </row>
    <row r="2374" spans="1:7">
      <c r="A2374" s="2">
        <v>44517</v>
      </c>
      <c r="B2374" s="3">
        <v>2.329</v>
      </c>
      <c r="C2374" s="3">
        <v>2.72</v>
      </c>
      <c r="D2374" s="3">
        <v>2.335</v>
      </c>
      <c r="E2374" s="3">
        <v>2.7237</v>
      </c>
      <c r="F2374" s="3">
        <v>2.332</v>
      </c>
      <c r="G2374" s="3">
        <v>2.7218</v>
      </c>
    </row>
    <row r="2375" spans="1:7">
      <c r="A2375" s="2">
        <v>44518</v>
      </c>
      <c r="B2375" s="3">
        <v>2.3275</v>
      </c>
      <c r="C2375" s="3">
        <v>2.7125</v>
      </c>
      <c r="D2375" s="3">
        <v>2.33</v>
      </c>
      <c r="E2375" s="3">
        <v>2.715</v>
      </c>
      <c r="F2375" s="3">
        <v>2.3288</v>
      </c>
      <c r="G2375" s="3">
        <v>2.7138</v>
      </c>
    </row>
    <row r="2376" spans="1:7">
      <c r="A2376" s="2">
        <v>44519</v>
      </c>
      <c r="B2376" s="3">
        <v>2.3375</v>
      </c>
      <c r="C2376" s="3">
        <v>2.7325</v>
      </c>
      <c r="D2376" s="3">
        <v>2.34</v>
      </c>
      <c r="E2376" s="3">
        <v>2.735</v>
      </c>
      <c r="F2376" s="3">
        <v>2.3388</v>
      </c>
      <c r="G2376" s="3">
        <v>2.7338</v>
      </c>
    </row>
    <row r="2377" spans="1:7">
      <c r="A2377" s="2">
        <v>44522</v>
      </c>
      <c r="B2377" s="3">
        <v>2.325</v>
      </c>
      <c r="C2377" s="3">
        <v>2.715</v>
      </c>
      <c r="D2377" s="3">
        <v>2.3275</v>
      </c>
      <c r="E2377" s="3">
        <v>2.7175</v>
      </c>
      <c r="F2377" s="3">
        <v>2.3263</v>
      </c>
      <c r="G2377" s="3">
        <v>2.7163</v>
      </c>
    </row>
    <row r="2378" spans="1:7">
      <c r="A2378" s="2">
        <v>44523</v>
      </c>
      <c r="B2378" s="3">
        <v>2.325</v>
      </c>
      <c r="C2378" s="3">
        <v>2.7186</v>
      </c>
      <c r="D2378" s="3">
        <v>2.3275</v>
      </c>
      <c r="E2378" s="3">
        <v>2.7225</v>
      </c>
      <c r="F2378" s="3">
        <v>2.3263</v>
      </c>
      <c r="G2378" s="3">
        <v>2.7206</v>
      </c>
    </row>
    <row r="2379" spans="1:7">
      <c r="A2379" s="2">
        <v>44524</v>
      </c>
      <c r="B2379" s="3">
        <v>2.3075</v>
      </c>
      <c r="C2379" s="3">
        <v>2.6822</v>
      </c>
      <c r="D2379" s="3">
        <v>2.3101</v>
      </c>
      <c r="E2379" s="3">
        <v>2.685</v>
      </c>
      <c r="F2379" s="3">
        <v>2.3088</v>
      </c>
      <c r="G2379" s="3">
        <v>2.6836</v>
      </c>
    </row>
    <row r="2380" spans="1:7">
      <c r="A2380" s="2">
        <v>44525</v>
      </c>
      <c r="B2380" s="3">
        <v>2.315</v>
      </c>
      <c r="C2380" s="3">
        <v>2.69</v>
      </c>
      <c r="D2380" s="3">
        <v>2.3175</v>
      </c>
      <c r="E2380" s="3">
        <v>2.6925</v>
      </c>
      <c r="F2380" s="3">
        <v>2.3163</v>
      </c>
      <c r="G2380" s="3">
        <v>2.6913</v>
      </c>
    </row>
    <row r="2381" spans="1:7">
      <c r="A2381" s="2">
        <v>44526</v>
      </c>
      <c r="B2381" s="3">
        <v>2.295</v>
      </c>
      <c r="C2381" s="3">
        <v>2.6604</v>
      </c>
      <c r="D2381" s="3">
        <v>2.2975</v>
      </c>
      <c r="E2381" s="3">
        <v>2.6625</v>
      </c>
      <c r="F2381" s="3">
        <v>2.2963</v>
      </c>
      <c r="G2381" s="3">
        <v>2.6615</v>
      </c>
    </row>
    <row r="2382" spans="1:7">
      <c r="A2382" s="2">
        <v>44529</v>
      </c>
      <c r="B2382" s="3">
        <v>2.3</v>
      </c>
      <c r="C2382" s="3">
        <v>2.6725</v>
      </c>
      <c r="D2382" s="3">
        <v>2.305</v>
      </c>
      <c r="E2382" s="3">
        <v>2.675</v>
      </c>
      <c r="F2382" s="3">
        <v>2.3025</v>
      </c>
      <c r="G2382" s="3">
        <v>2.6738</v>
      </c>
    </row>
    <row r="2383" spans="1:7">
      <c r="A2383" s="2">
        <v>44530</v>
      </c>
      <c r="B2383" s="3">
        <v>2.3025</v>
      </c>
      <c r="C2383" s="3">
        <v>2.6725</v>
      </c>
      <c r="D2383" s="3">
        <v>2.305</v>
      </c>
      <c r="E2383" s="3">
        <v>2.675</v>
      </c>
      <c r="F2383" s="3">
        <v>2.3038</v>
      </c>
      <c r="G2383" s="3">
        <v>2.6738</v>
      </c>
    </row>
    <row r="2384" spans="1:7">
      <c r="A2384" s="2">
        <v>44531</v>
      </c>
      <c r="B2384" s="3">
        <v>2.3125</v>
      </c>
      <c r="C2384" s="3">
        <v>2.6925</v>
      </c>
      <c r="D2384" s="3">
        <v>2.3155</v>
      </c>
      <c r="E2384" s="3">
        <v>2.6946</v>
      </c>
      <c r="F2384" s="3">
        <v>2.314</v>
      </c>
      <c r="G2384" s="3">
        <v>2.6935</v>
      </c>
    </row>
    <row r="2385" spans="1:7">
      <c r="A2385" s="2">
        <v>44532</v>
      </c>
      <c r="B2385" s="3">
        <v>2.3175</v>
      </c>
      <c r="C2385" s="3">
        <v>2.705</v>
      </c>
      <c r="D2385" s="3">
        <v>2.32</v>
      </c>
      <c r="E2385" s="3">
        <v>2.7075</v>
      </c>
      <c r="F2385" s="3">
        <v>2.3188</v>
      </c>
      <c r="G2385" s="3">
        <v>2.7063</v>
      </c>
    </row>
    <row r="2386" spans="1:7">
      <c r="A2386" s="2">
        <v>44533</v>
      </c>
      <c r="B2386" s="3">
        <v>2.325</v>
      </c>
      <c r="C2386" s="3">
        <v>2.7175</v>
      </c>
      <c r="D2386" s="3">
        <v>2.33</v>
      </c>
      <c r="E2386" s="3">
        <v>2.72</v>
      </c>
      <c r="F2386" s="3">
        <v>2.3275</v>
      </c>
      <c r="G2386" s="3">
        <v>2.7188</v>
      </c>
    </row>
    <row r="2387" spans="1:7">
      <c r="A2387" s="2">
        <v>44536</v>
      </c>
      <c r="B2387" s="3">
        <v>2.29</v>
      </c>
      <c r="C2387" s="3">
        <v>2.6648</v>
      </c>
      <c r="D2387" s="3">
        <v>2.2925</v>
      </c>
      <c r="E2387" s="3">
        <v>2.6673</v>
      </c>
      <c r="F2387" s="3">
        <v>2.2913</v>
      </c>
      <c r="G2387" s="3">
        <v>2.6661</v>
      </c>
    </row>
    <row r="2388" spans="1:7">
      <c r="A2388" s="2">
        <v>44537</v>
      </c>
      <c r="B2388" s="3">
        <v>2.3075</v>
      </c>
      <c r="C2388" s="3">
        <v>2.695</v>
      </c>
      <c r="D2388" s="3">
        <v>2.31</v>
      </c>
      <c r="E2388" s="3">
        <v>2.6975</v>
      </c>
      <c r="F2388" s="3">
        <v>2.3088</v>
      </c>
      <c r="G2388" s="3">
        <v>2.6963</v>
      </c>
    </row>
    <row r="2389" spans="1:7">
      <c r="A2389" s="2">
        <v>44538</v>
      </c>
      <c r="B2389" s="3">
        <v>2.31</v>
      </c>
      <c r="C2389" s="3">
        <v>2.695</v>
      </c>
      <c r="D2389" s="3">
        <v>2.3128</v>
      </c>
      <c r="E2389" s="3">
        <v>2.6989</v>
      </c>
      <c r="F2389" s="3">
        <v>2.3114</v>
      </c>
      <c r="G2389" s="3">
        <v>2.6969</v>
      </c>
    </row>
    <row r="2390" spans="1:7">
      <c r="A2390" s="2">
        <v>44539</v>
      </c>
      <c r="B2390" s="3">
        <v>2.3013</v>
      </c>
      <c r="C2390" s="3">
        <v>2.68</v>
      </c>
      <c r="D2390" s="3">
        <v>2.3037</v>
      </c>
      <c r="E2390" s="3">
        <v>2.6844</v>
      </c>
      <c r="F2390" s="3">
        <v>2.3025</v>
      </c>
      <c r="G2390" s="3">
        <v>2.6822</v>
      </c>
    </row>
    <row r="2391" spans="1:7">
      <c r="A2391" s="2">
        <v>44540</v>
      </c>
      <c r="B2391" s="3">
        <v>2.295</v>
      </c>
      <c r="C2391" s="3">
        <v>2.6725</v>
      </c>
      <c r="D2391" s="3">
        <v>2.3</v>
      </c>
      <c r="E2391" s="3">
        <v>2.675</v>
      </c>
      <c r="F2391" s="3">
        <v>2.2975</v>
      </c>
      <c r="G2391" s="3">
        <v>2.6738</v>
      </c>
    </row>
    <row r="2392" spans="1:7">
      <c r="A2392" s="2">
        <v>44543</v>
      </c>
      <c r="B2392" s="3">
        <v>2.295</v>
      </c>
      <c r="C2392" s="3">
        <v>2.675</v>
      </c>
      <c r="D2392" s="3">
        <v>2.2975</v>
      </c>
      <c r="E2392" s="3">
        <v>2.6775</v>
      </c>
      <c r="F2392" s="3">
        <v>2.2963</v>
      </c>
      <c r="G2392" s="3">
        <v>2.6763</v>
      </c>
    </row>
    <row r="2393" spans="1:7">
      <c r="A2393" s="2">
        <v>44544</v>
      </c>
      <c r="B2393" s="3">
        <v>2.2725</v>
      </c>
      <c r="C2393" s="3">
        <v>2.6475</v>
      </c>
      <c r="D2393" s="3">
        <v>2.275</v>
      </c>
      <c r="E2393" s="3">
        <v>2.65</v>
      </c>
      <c r="F2393" s="3">
        <v>2.2738</v>
      </c>
      <c r="G2393" s="3">
        <v>2.6488</v>
      </c>
    </row>
    <row r="2394" spans="1:7">
      <c r="A2394" s="2">
        <v>44545</v>
      </c>
      <c r="B2394" s="3">
        <v>2.27</v>
      </c>
      <c r="C2394" s="3">
        <v>2.6425</v>
      </c>
      <c r="D2394" s="3">
        <v>2.273</v>
      </c>
      <c r="E2394" s="3">
        <v>2.645</v>
      </c>
      <c r="F2394" s="3">
        <v>2.2715</v>
      </c>
      <c r="G2394" s="3">
        <v>2.6438</v>
      </c>
    </row>
    <row r="2395" spans="1:7">
      <c r="A2395" s="2">
        <v>44546</v>
      </c>
      <c r="B2395" s="3">
        <v>2.2825</v>
      </c>
      <c r="C2395" s="3">
        <v>2.6525</v>
      </c>
      <c r="D2395" s="3">
        <v>2.285</v>
      </c>
      <c r="E2395" s="3">
        <v>2.6557</v>
      </c>
      <c r="F2395" s="3">
        <v>2.2838</v>
      </c>
      <c r="G2395" s="3">
        <v>2.6541</v>
      </c>
    </row>
    <row r="2396" spans="1:7">
      <c r="A2396" s="2">
        <v>44547</v>
      </c>
      <c r="B2396" s="3">
        <v>2.2875</v>
      </c>
      <c r="C2396" s="3">
        <v>2.6542</v>
      </c>
      <c r="D2396" s="3">
        <v>2.2902</v>
      </c>
      <c r="E2396" s="3">
        <v>2.6581</v>
      </c>
      <c r="F2396" s="3">
        <v>2.2888</v>
      </c>
      <c r="G2396" s="3">
        <v>2.6561</v>
      </c>
    </row>
    <row r="2397" spans="1:7">
      <c r="A2397" s="2">
        <v>44550</v>
      </c>
      <c r="B2397" s="3">
        <v>2.3</v>
      </c>
      <c r="C2397" s="3">
        <v>2.6675</v>
      </c>
      <c r="D2397" s="3">
        <v>2.3</v>
      </c>
      <c r="E2397" s="3">
        <v>2.6725</v>
      </c>
      <c r="F2397" s="3">
        <v>2.3</v>
      </c>
      <c r="G2397" s="3">
        <v>2.67</v>
      </c>
    </row>
    <row r="2398" spans="1:7">
      <c r="A2398" s="2">
        <v>44551</v>
      </c>
      <c r="B2398" s="3">
        <v>2.285</v>
      </c>
      <c r="C2398" s="3">
        <v>2.655</v>
      </c>
      <c r="D2398" s="3">
        <v>2.2875</v>
      </c>
      <c r="E2398" s="3">
        <v>2.6575</v>
      </c>
      <c r="F2398" s="3">
        <v>2.2863</v>
      </c>
      <c r="G2398" s="3">
        <v>2.6563</v>
      </c>
    </row>
    <row r="2399" spans="1:7">
      <c r="A2399" s="2">
        <v>44552</v>
      </c>
      <c r="B2399" s="3">
        <v>2.2675</v>
      </c>
      <c r="C2399" s="3">
        <v>2.64</v>
      </c>
      <c r="D2399" s="3">
        <v>2.27</v>
      </c>
      <c r="E2399" s="3">
        <v>2.6425</v>
      </c>
      <c r="F2399" s="3">
        <v>2.2688</v>
      </c>
      <c r="G2399" s="3">
        <v>2.6413</v>
      </c>
    </row>
    <row r="2400" spans="1:7">
      <c r="A2400" s="2">
        <v>44553</v>
      </c>
      <c r="B2400" s="3">
        <v>2.255</v>
      </c>
      <c r="C2400" s="3">
        <v>2.615</v>
      </c>
      <c r="D2400" s="3">
        <v>2.26</v>
      </c>
      <c r="E2400" s="3">
        <v>2.6175</v>
      </c>
      <c r="F2400" s="3">
        <v>2.2575</v>
      </c>
      <c r="G2400" s="3">
        <v>2.6163</v>
      </c>
    </row>
    <row r="2401" spans="1:7">
      <c r="A2401" s="2">
        <v>44554</v>
      </c>
      <c r="B2401" s="3">
        <v>2.255</v>
      </c>
      <c r="C2401" s="3">
        <v>2.6175</v>
      </c>
      <c r="D2401" s="3">
        <v>2.2575</v>
      </c>
      <c r="E2401" s="3">
        <v>2.62</v>
      </c>
      <c r="F2401" s="3">
        <v>2.2563</v>
      </c>
      <c r="G2401" s="3">
        <v>2.6188</v>
      </c>
    </row>
    <row r="2402" spans="1:7">
      <c r="A2402" s="2">
        <v>44557</v>
      </c>
      <c r="B2402" s="3">
        <v>2.245</v>
      </c>
      <c r="C2402" s="3">
        <v>2.595</v>
      </c>
      <c r="D2402" s="3">
        <v>2.2486</v>
      </c>
      <c r="E2402" s="3">
        <v>2.5975</v>
      </c>
      <c r="F2402" s="3">
        <v>2.2468</v>
      </c>
      <c r="G2402" s="3">
        <v>2.5963</v>
      </c>
    </row>
    <row r="2403" spans="1:7">
      <c r="A2403" s="2">
        <v>44558</v>
      </c>
      <c r="B2403" s="3">
        <v>2.2391</v>
      </c>
      <c r="C2403" s="3">
        <v>2.5865</v>
      </c>
      <c r="D2403" s="3">
        <v>2.2416</v>
      </c>
      <c r="E2403" s="3">
        <v>2.5891</v>
      </c>
      <c r="F2403" s="3">
        <v>2.2404</v>
      </c>
      <c r="G2403" s="3">
        <v>2.5878</v>
      </c>
    </row>
    <row r="2404" spans="1:7">
      <c r="A2404" s="2">
        <v>44559</v>
      </c>
      <c r="B2404" s="3">
        <v>2.215</v>
      </c>
      <c r="C2404" s="3">
        <v>2.5568</v>
      </c>
      <c r="D2404" s="3">
        <v>2.2225</v>
      </c>
      <c r="E2404" s="3">
        <v>2.5618</v>
      </c>
      <c r="F2404" s="3">
        <v>2.2188</v>
      </c>
      <c r="G2404" s="3">
        <v>2.5593</v>
      </c>
    </row>
    <row r="2405" spans="1:7">
      <c r="A2405" s="2">
        <v>44560</v>
      </c>
      <c r="B2405" s="3">
        <v>2.2112</v>
      </c>
      <c r="C2405" s="3">
        <v>2.5379</v>
      </c>
      <c r="D2405" s="3">
        <v>2.2129</v>
      </c>
      <c r="E2405" s="3">
        <v>2.5404</v>
      </c>
      <c r="F2405" s="3">
        <v>2.2121</v>
      </c>
      <c r="G2405" s="3">
        <v>2.5391</v>
      </c>
    </row>
    <row r="2406" spans="1:7">
      <c r="A2406" s="2">
        <v>44561</v>
      </c>
      <c r="B2406" s="3">
        <v>2.2111</v>
      </c>
      <c r="C2406" s="3">
        <v>2.5536</v>
      </c>
      <c r="D2406" s="3">
        <v>2.215</v>
      </c>
      <c r="E2406" s="3">
        <v>2.56</v>
      </c>
      <c r="F2406" s="3">
        <v>2.2131</v>
      </c>
      <c r="G2406" s="3">
        <v>2.5568</v>
      </c>
    </row>
    <row r="2407" spans="1:7">
      <c r="A2407" s="2">
        <v>44565</v>
      </c>
      <c r="B2407" s="3">
        <v>2.21</v>
      </c>
      <c r="C2407" s="3">
        <v>2.5675</v>
      </c>
      <c r="D2407" s="3">
        <v>2.215</v>
      </c>
      <c r="E2407" s="3">
        <v>2.57</v>
      </c>
      <c r="F2407" s="3">
        <v>2.2125</v>
      </c>
      <c r="G2407" s="3">
        <v>2.5688</v>
      </c>
    </row>
    <row r="2408" spans="1:7">
      <c r="A2408" s="2">
        <v>44566</v>
      </c>
      <c r="B2408" s="3">
        <v>2.2275</v>
      </c>
      <c r="C2408" s="3">
        <v>2.5865</v>
      </c>
      <c r="D2408" s="3">
        <v>2.23</v>
      </c>
      <c r="E2408" s="3">
        <v>2.5904</v>
      </c>
      <c r="F2408" s="3">
        <v>2.2288</v>
      </c>
      <c r="G2408" s="3">
        <v>2.5885</v>
      </c>
    </row>
    <row r="2409" spans="1:7">
      <c r="A2409" s="2">
        <v>44567</v>
      </c>
      <c r="B2409" s="3">
        <v>2.24</v>
      </c>
      <c r="C2409" s="3">
        <v>2.6075</v>
      </c>
      <c r="D2409" s="3">
        <v>2.2425</v>
      </c>
      <c r="E2409" s="3">
        <v>2.61</v>
      </c>
      <c r="F2409" s="3">
        <v>2.2413</v>
      </c>
      <c r="G2409" s="3">
        <v>2.6088</v>
      </c>
    </row>
    <row r="2410" spans="1:7">
      <c r="A2410" s="2">
        <v>44568</v>
      </c>
      <c r="B2410" s="3">
        <v>2.2325</v>
      </c>
      <c r="C2410" s="3">
        <v>2.595</v>
      </c>
      <c r="D2410" s="3">
        <v>2.235</v>
      </c>
      <c r="E2410" s="3">
        <v>2.5975</v>
      </c>
      <c r="F2410" s="3">
        <v>2.2338</v>
      </c>
      <c r="G2410" s="3">
        <v>2.5963</v>
      </c>
    </row>
    <row r="2411" spans="1:7">
      <c r="A2411" s="2">
        <v>44571</v>
      </c>
      <c r="B2411" s="3">
        <v>2.2175</v>
      </c>
      <c r="C2411" s="3">
        <v>2.5731</v>
      </c>
      <c r="D2411" s="3">
        <v>2.22</v>
      </c>
      <c r="E2411" s="3">
        <v>2.5775</v>
      </c>
      <c r="F2411" s="3">
        <v>2.2188</v>
      </c>
      <c r="G2411" s="3">
        <v>2.5753</v>
      </c>
    </row>
    <row r="2412" spans="1:7">
      <c r="A2412" s="2">
        <v>44572</v>
      </c>
      <c r="B2412" s="3">
        <v>2.2125</v>
      </c>
      <c r="C2412" s="3">
        <v>2.5625</v>
      </c>
      <c r="D2412" s="3">
        <v>2.215</v>
      </c>
      <c r="E2412" s="3">
        <v>2.565</v>
      </c>
      <c r="F2412" s="3">
        <v>2.2138</v>
      </c>
      <c r="G2412" s="3">
        <v>2.5638</v>
      </c>
    </row>
    <row r="2413" spans="1:7">
      <c r="A2413" s="2">
        <v>44573</v>
      </c>
      <c r="B2413" s="3">
        <v>2.22</v>
      </c>
      <c r="C2413" s="3">
        <v>2.5717</v>
      </c>
      <c r="D2413" s="3">
        <v>2.2225</v>
      </c>
      <c r="E2413" s="3">
        <v>2.5737</v>
      </c>
      <c r="F2413" s="3">
        <v>2.2213</v>
      </c>
      <c r="G2413" s="3">
        <v>2.5727</v>
      </c>
    </row>
    <row r="2414" spans="1:7">
      <c r="A2414" s="2">
        <v>44574</v>
      </c>
      <c r="B2414" s="3">
        <v>2.2175</v>
      </c>
      <c r="C2414" s="3">
        <v>2.565</v>
      </c>
      <c r="D2414" s="3">
        <v>2.22</v>
      </c>
      <c r="E2414" s="3">
        <v>2.5675</v>
      </c>
      <c r="F2414" s="3">
        <v>2.2188</v>
      </c>
      <c r="G2414" s="3">
        <v>2.5663</v>
      </c>
    </row>
    <row r="2415" spans="1:7">
      <c r="A2415" s="2">
        <v>44575</v>
      </c>
      <c r="B2415" s="3">
        <v>2.2175</v>
      </c>
      <c r="C2415" s="3">
        <v>2.5679</v>
      </c>
      <c r="D2415" s="3">
        <v>2.22</v>
      </c>
      <c r="E2415" s="3">
        <v>2.5705</v>
      </c>
      <c r="F2415" s="3">
        <v>2.2188</v>
      </c>
      <c r="G2415" s="3">
        <v>2.5692</v>
      </c>
    </row>
    <row r="2416" spans="1:7">
      <c r="A2416" s="2">
        <v>44578</v>
      </c>
      <c r="B2416" s="3">
        <v>2.1677</v>
      </c>
      <c r="C2416" s="3">
        <v>2.5325</v>
      </c>
      <c r="D2416" s="3">
        <v>2.1703</v>
      </c>
      <c r="E2416" s="3">
        <v>2.535</v>
      </c>
      <c r="F2416" s="3">
        <v>2.169</v>
      </c>
      <c r="G2416" s="3">
        <v>2.5338</v>
      </c>
    </row>
    <row r="2417" spans="1:7">
      <c r="A2417" s="2">
        <v>44579</v>
      </c>
      <c r="B2417" s="3">
        <v>2.1197</v>
      </c>
      <c r="C2417" s="3">
        <v>2.4754</v>
      </c>
      <c r="D2417" s="3">
        <v>2.1226</v>
      </c>
      <c r="E2417" s="3">
        <v>2.4791</v>
      </c>
      <c r="F2417" s="3">
        <v>2.1211</v>
      </c>
      <c r="G2417" s="3">
        <v>2.4772</v>
      </c>
    </row>
    <row r="2418" spans="1:7">
      <c r="A2418" s="2">
        <v>44580</v>
      </c>
      <c r="B2418" s="3">
        <v>2.12</v>
      </c>
      <c r="C2418" s="3">
        <v>2.4598</v>
      </c>
      <c r="D2418" s="3">
        <v>2.125</v>
      </c>
      <c r="E2418" s="3">
        <v>2.4616</v>
      </c>
      <c r="F2418" s="3">
        <v>2.1225</v>
      </c>
      <c r="G2418" s="3">
        <v>2.4607</v>
      </c>
    </row>
    <row r="2419" spans="1:7">
      <c r="A2419" s="2">
        <v>44581</v>
      </c>
      <c r="B2419" s="3">
        <v>2.1175</v>
      </c>
      <c r="C2419" s="3">
        <v>2.45</v>
      </c>
      <c r="D2419" s="3">
        <v>2.12</v>
      </c>
      <c r="E2419" s="3">
        <v>2.4525</v>
      </c>
      <c r="F2419" s="3">
        <v>2.1188</v>
      </c>
      <c r="G2419" s="3">
        <v>2.4513</v>
      </c>
    </row>
    <row r="2420" spans="1:7">
      <c r="A2420" s="2">
        <v>44582</v>
      </c>
      <c r="B2420" s="3">
        <v>2.0955</v>
      </c>
      <c r="C2420" s="3">
        <v>2.425</v>
      </c>
      <c r="D2420" s="3">
        <v>2.102</v>
      </c>
      <c r="E2420" s="3">
        <v>2.4275</v>
      </c>
      <c r="F2420" s="3">
        <v>2.0988</v>
      </c>
      <c r="G2420" s="3">
        <v>2.4263</v>
      </c>
    </row>
    <row r="2421" spans="1:7">
      <c r="A2421" s="2">
        <v>44585</v>
      </c>
      <c r="B2421" s="3">
        <v>2.0825</v>
      </c>
      <c r="C2421" s="3">
        <v>2.4033</v>
      </c>
      <c r="D2421" s="3">
        <v>2.0851</v>
      </c>
      <c r="E2421" s="3">
        <v>2.406</v>
      </c>
      <c r="F2421" s="3">
        <v>2.0838</v>
      </c>
      <c r="G2421" s="3">
        <v>2.4046</v>
      </c>
    </row>
    <row r="2422" spans="1:7">
      <c r="A2422" s="2">
        <v>44586</v>
      </c>
      <c r="B2422" s="3">
        <v>2.1011</v>
      </c>
      <c r="C2422" s="3">
        <v>2.4352</v>
      </c>
      <c r="D2422" s="3">
        <v>2.105</v>
      </c>
      <c r="E2422" s="3">
        <v>2.4381</v>
      </c>
      <c r="F2422" s="3">
        <v>2.1031</v>
      </c>
      <c r="G2422" s="3">
        <v>2.4367</v>
      </c>
    </row>
    <row r="2423" spans="1:7">
      <c r="A2423" s="2">
        <v>44587</v>
      </c>
      <c r="B2423" s="3">
        <v>2.1045</v>
      </c>
      <c r="C2423" s="3">
        <v>2.445</v>
      </c>
      <c r="D2423" s="3">
        <v>2.1075</v>
      </c>
      <c r="E2423" s="3">
        <v>2.4475</v>
      </c>
      <c r="F2423" s="3">
        <v>2.106</v>
      </c>
      <c r="G2423" s="3">
        <v>2.4463</v>
      </c>
    </row>
    <row r="2424" spans="1:7">
      <c r="A2424" s="2">
        <v>44588</v>
      </c>
      <c r="B2424" s="3">
        <v>2.1175</v>
      </c>
      <c r="C2424" s="3">
        <v>2.4525</v>
      </c>
      <c r="D2424" s="3">
        <v>2.12</v>
      </c>
      <c r="E2424" s="3">
        <v>2.455</v>
      </c>
      <c r="F2424" s="3">
        <v>2.1188</v>
      </c>
      <c r="G2424" s="3">
        <v>2.4538</v>
      </c>
    </row>
    <row r="2425" spans="1:7">
      <c r="A2425" s="2">
        <v>44589</v>
      </c>
      <c r="B2425" s="3">
        <v>2.0925</v>
      </c>
      <c r="C2425" s="3">
        <v>2.41</v>
      </c>
      <c r="D2425" s="3">
        <v>2.095</v>
      </c>
      <c r="E2425" s="3">
        <v>2.415</v>
      </c>
      <c r="F2425" s="3">
        <v>2.0938</v>
      </c>
      <c r="G2425" s="3">
        <v>2.4125</v>
      </c>
    </row>
    <row r="2426" spans="1:7">
      <c r="A2426" s="2">
        <v>44590</v>
      </c>
      <c r="B2426" s="3">
        <v>2.09</v>
      </c>
      <c r="C2426" s="3">
        <v>2.41</v>
      </c>
      <c r="D2426" s="3">
        <v>2.0925</v>
      </c>
      <c r="E2426" s="3">
        <v>2.4175</v>
      </c>
      <c r="F2426" s="3">
        <v>2.0913</v>
      </c>
      <c r="G2426" s="3">
        <v>2.4138</v>
      </c>
    </row>
    <row r="2427" spans="1:7">
      <c r="A2427" s="2">
        <v>44591</v>
      </c>
      <c r="B2427" s="3">
        <v>2.0775</v>
      </c>
      <c r="C2427" s="3">
        <v>2.405</v>
      </c>
      <c r="D2427" s="3">
        <v>2.1025</v>
      </c>
      <c r="E2427" s="3">
        <v>2.425</v>
      </c>
      <c r="F2427" s="3">
        <v>2.09</v>
      </c>
      <c r="G2427" s="3">
        <v>2.415</v>
      </c>
    </row>
    <row r="2428" spans="1:7">
      <c r="A2428" s="2">
        <v>44599</v>
      </c>
      <c r="B2428" s="3">
        <v>2.1013</v>
      </c>
      <c r="C2428" s="3">
        <v>2.435</v>
      </c>
      <c r="D2428" s="3">
        <v>2.105</v>
      </c>
      <c r="E2428" s="3">
        <v>2.44</v>
      </c>
      <c r="F2428" s="3">
        <v>2.1032</v>
      </c>
      <c r="G2428" s="3">
        <v>2.4375</v>
      </c>
    </row>
    <row r="2429" spans="1:7">
      <c r="A2429" s="2">
        <v>44600</v>
      </c>
      <c r="B2429" s="3">
        <v>2.105</v>
      </c>
      <c r="C2429" s="3">
        <v>2.4475</v>
      </c>
      <c r="D2429" s="3">
        <v>2.1075</v>
      </c>
      <c r="E2429" s="3">
        <v>2.45</v>
      </c>
      <c r="F2429" s="3">
        <v>2.1063</v>
      </c>
      <c r="G2429" s="3">
        <v>2.4488</v>
      </c>
    </row>
    <row r="2430" spans="1:7">
      <c r="A2430" s="2">
        <v>44601</v>
      </c>
      <c r="B2430" s="3">
        <v>2.1075</v>
      </c>
      <c r="C2430" s="3">
        <v>2.46</v>
      </c>
      <c r="D2430" s="3">
        <v>2.1125</v>
      </c>
      <c r="E2430" s="3">
        <v>2.4625</v>
      </c>
      <c r="F2430" s="3">
        <v>2.11</v>
      </c>
      <c r="G2430" s="3">
        <v>2.4613</v>
      </c>
    </row>
    <row r="2431" spans="1:7">
      <c r="A2431" s="2">
        <v>44602</v>
      </c>
      <c r="B2431" s="3">
        <v>2.1</v>
      </c>
      <c r="C2431" s="3">
        <v>2.4525</v>
      </c>
      <c r="D2431" s="3">
        <v>2.1025</v>
      </c>
      <c r="E2431" s="3">
        <v>2.4569</v>
      </c>
      <c r="F2431" s="3">
        <v>2.1013</v>
      </c>
      <c r="G2431" s="3">
        <v>2.4547</v>
      </c>
    </row>
    <row r="2432" spans="1:7">
      <c r="A2432" s="2">
        <v>44603</v>
      </c>
      <c r="B2432" s="3">
        <v>2.152</v>
      </c>
      <c r="C2432" s="3">
        <v>2.5304</v>
      </c>
      <c r="D2432" s="3">
        <v>2.1565</v>
      </c>
      <c r="E2432" s="3">
        <v>2.5327</v>
      </c>
      <c r="F2432" s="3">
        <v>2.1542</v>
      </c>
      <c r="G2432" s="3">
        <v>2.5316</v>
      </c>
    </row>
    <row r="2433" spans="1:7">
      <c r="A2433" s="2">
        <v>44606</v>
      </c>
      <c r="B2433" s="3">
        <v>2.165</v>
      </c>
      <c r="C2433" s="3">
        <v>2.5425</v>
      </c>
      <c r="D2433" s="3">
        <v>2.1675</v>
      </c>
      <c r="E2433" s="3">
        <v>2.545</v>
      </c>
      <c r="F2433" s="3">
        <v>2.1663</v>
      </c>
      <c r="G2433" s="3">
        <v>2.5438</v>
      </c>
    </row>
    <row r="2434" spans="1:7">
      <c r="A2434" s="2">
        <v>44607</v>
      </c>
      <c r="B2434" s="3">
        <v>2.155</v>
      </c>
      <c r="C2434" s="3">
        <v>2.5388</v>
      </c>
      <c r="D2434" s="3">
        <v>2.16</v>
      </c>
      <c r="E2434" s="3">
        <v>2.5418</v>
      </c>
      <c r="F2434" s="3">
        <v>2.1575</v>
      </c>
      <c r="G2434" s="3">
        <v>2.5403</v>
      </c>
    </row>
    <row r="2435" spans="1:7">
      <c r="A2435" s="2">
        <v>44608</v>
      </c>
      <c r="B2435" s="3">
        <v>2.148</v>
      </c>
      <c r="C2435" s="3">
        <v>2.5225</v>
      </c>
      <c r="D2435" s="3">
        <v>2.1505</v>
      </c>
      <c r="E2435" s="3">
        <v>2.525</v>
      </c>
      <c r="F2435" s="3">
        <v>2.1492</v>
      </c>
      <c r="G2435" s="3">
        <v>2.5238</v>
      </c>
    </row>
    <row r="2436" spans="1:7">
      <c r="A2436" s="2">
        <v>44609</v>
      </c>
      <c r="B2436" s="3">
        <v>2.1525</v>
      </c>
      <c r="C2436" s="3">
        <v>2.52</v>
      </c>
      <c r="D2436" s="3">
        <v>2.155</v>
      </c>
      <c r="E2436" s="3">
        <v>2.5225</v>
      </c>
      <c r="F2436" s="3">
        <v>2.1538</v>
      </c>
      <c r="G2436" s="3">
        <v>2.5213</v>
      </c>
    </row>
    <row r="2437" spans="1:7">
      <c r="A2437" s="2">
        <v>44610</v>
      </c>
      <c r="B2437" s="3">
        <v>2.16</v>
      </c>
      <c r="C2437" s="3">
        <v>2.5425</v>
      </c>
      <c r="D2437" s="3">
        <v>2.165</v>
      </c>
      <c r="E2437" s="3">
        <v>2.545</v>
      </c>
      <c r="F2437" s="3">
        <v>2.1625</v>
      </c>
      <c r="G2437" s="3">
        <v>2.5438</v>
      </c>
    </row>
    <row r="2438" spans="1:7">
      <c r="A2438" s="2">
        <v>44613</v>
      </c>
      <c r="B2438" s="3">
        <v>2.2125</v>
      </c>
      <c r="C2438" s="3">
        <v>2.6124</v>
      </c>
      <c r="D2438" s="3">
        <v>2.2175</v>
      </c>
      <c r="E2438" s="3">
        <v>2.6146</v>
      </c>
      <c r="F2438" s="3">
        <v>2.215</v>
      </c>
      <c r="G2438" s="3">
        <v>2.6135</v>
      </c>
    </row>
    <row r="2439" spans="1:7">
      <c r="A2439" s="2">
        <v>44614</v>
      </c>
      <c r="B2439" s="3">
        <v>2.2242</v>
      </c>
      <c r="C2439" s="3">
        <v>2.618</v>
      </c>
      <c r="D2439" s="3">
        <v>2.23</v>
      </c>
      <c r="E2439" s="3">
        <v>2.6205</v>
      </c>
      <c r="F2439" s="3">
        <v>2.2271</v>
      </c>
      <c r="G2439" s="3">
        <v>2.6193</v>
      </c>
    </row>
    <row r="2440" spans="1:7">
      <c r="A2440" s="2">
        <v>44615</v>
      </c>
      <c r="B2440" s="3">
        <v>2.1997</v>
      </c>
      <c r="C2440" s="3">
        <v>2.5806</v>
      </c>
      <c r="D2440" s="3">
        <v>2.2025</v>
      </c>
      <c r="E2440" s="3">
        <v>2.585</v>
      </c>
      <c r="F2440" s="3">
        <v>2.2011</v>
      </c>
      <c r="G2440" s="3">
        <v>2.5828</v>
      </c>
    </row>
    <row r="2441" spans="1:7">
      <c r="A2441" s="2">
        <v>44616</v>
      </c>
      <c r="B2441" s="3">
        <v>2.2002</v>
      </c>
      <c r="C2441" s="3">
        <v>2.5793</v>
      </c>
      <c r="D2441" s="3">
        <v>2.2042</v>
      </c>
      <c r="E2441" s="3">
        <v>2.5825</v>
      </c>
      <c r="F2441" s="3">
        <v>2.2022</v>
      </c>
      <c r="G2441" s="3">
        <v>2.5809</v>
      </c>
    </row>
    <row r="2442" spans="1:7">
      <c r="A2442" s="2">
        <v>44617</v>
      </c>
      <c r="B2442" s="3">
        <v>2.1825</v>
      </c>
      <c r="C2442" s="3">
        <v>2.5576</v>
      </c>
      <c r="D2442" s="3">
        <v>2.1882</v>
      </c>
      <c r="E2442" s="3">
        <v>2.5617</v>
      </c>
      <c r="F2442" s="3">
        <v>2.1853</v>
      </c>
      <c r="G2442" s="3">
        <v>2.5596</v>
      </c>
    </row>
    <row r="2443" spans="1:7">
      <c r="A2443" s="2">
        <v>44620</v>
      </c>
      <c r="B2443" s="3">
        <v>2.18</v>
      </c>
      <c r="C2443" s="3">
        <v>2.5625</v>
      </c>
      <c r="D2443" s="3">
        <v>2.185</v>
      </c>
      <c r="E2443" s="3">
        <v>2.565</v>
      </c>
      <c r="F2443" s="3">
        <v>2.1825</v>
      </c>
      <c r="G2443" s="3">
        <v>2.5638</v>
      </c>
    </row>
    <row r="2444" spans="1:7">
      <c r="A2444" s="2">
        <v>44621</v>
      </c>
      <c r="B2444" s="3">
        <v>2.2036</v>
      </c>
      <c r="C2444" s="3">
        <v>2.5975</v>
      </c>
      <c r="D2444" s="3">
        <v>2.2061</v>
      </c>
      <c r="E2444" s="3">
        <v>2.6</v>
      </c>
      <c r="F2444" s="3">
        <v>2.2048</v>
      </c>
      <c r="G2444" s="3">
        <v>2.5988</v>
      </c>
    </row>
    <row r="2445" spans="1:7">
      <c r="A2445" s="2">
        <v>44622</v>
      </c>
      <c r="B2445" s="3">
        <v>2.205</v>
      </c>
      <c r="C2445" s="3">
        <v>2.5975</v>
      </c>
      <c r="D2445" s="3">
        <v>2.2089</v>
      </c>
      <c r="E2445" s="3">
        <v>2.6003</v>
      </c>
      <c r="F2445" s="3">
        <v>2.2069</v>
      </c>
      <c r="G2445" s="3">
        <v>2.5989</v>
      </c>
    </row>
    <row r="2446" spans="1:7">
      <c r="A2446" s="2">
        <v>44623</v>
      </c>
      <c r="B2446" s="3">
        <v>2.2325</v>
      </c>
      <c r="C2446" s="3">
        <v>2.63</v>
      </c>
      <c r="D2446" s="3">
        <v>2.2375</v>
      </c>
      <c r="E2446" s="3">
        <v>2.6325</v>
      </c>
      <c r="F2446" s="3">
        <v>2.235</v>
      </c>
      <c r="G2446" s="3">
        <v>2.6313</v>
      </c>
    </row>
    <row r="2447" spans="1:7">
      <c r="A2447" s="2">
        <v>44624</v>
      </c>
      <c r="B2447" s="3">
        <v>2.2115</v>
      </c>
      <c r="C2447" s="3">
        <v>2.6</v>
      </c>
      <c r="D2447" s="3">
        <v>2.215</v>
      </c>
      <c r="E2447" s="3">
        <v>2.6025</v>
      </c>
      <c r="F2447" s="3">
        <v>2.2133</v>
      </c>
      <c r="G2447" s="3">
        <v>2.6013</v>
      </c>
    </row>
    <row r="2448" spans="1:7">
      <c r="A2448" s="2">
        <v>44627</v>
      </c>
      <c r="B2448" s="3">
        <v>2.2025</v>
      </c>
      <c r="C2448" s="3">
        <v>2.595</v>
      </c>
      <c r="D2448" s="3">
        <v>2.2075</v>
      </c>
      <c r="E2448" s="3">
        <v>2.6</v>
      </c>
      <c r="F2448" s="3">
        <v>2.205</v>
      </c>
      <c r="G2448" s="3">
        <v>2.5975</v>
      </c>
    </row>
    <row r="2449" spans="1:7">
      <c r="A2449" s="2">
        <v>44628</v>
      </c>
      <c r="B2449" s="3">
        <v>2.2065</v>
      </c>
      <c r="C2449" s="3">
        <v>2.595</v>
      </c>
      <c r="D2449" s="3">
        <v>2.21</v>
      </c>
      <c r="E2449" s="3">
        <v>2.5977</v>
      </c>
      <c r="F2449" s="3">
        <v>2.2083</v>
      </c>
      <c r="G2449" s="3">
        <v>2.5963</v>
      </c>
    </row>
    <row r="2450" spans="1:7">
      <c r="A2450" s="2">
        <v>44629</v>
      </c>
      <c r="B2450" s="3">
        <v>2.225</v>
      </c>
      <c r="C2450" s="3">
        <v>2.62</v>
      </c>
      <c r="D2450" s="3">
        <v>2.2275</v>
      </c>
      <c r="E2450" s="3">
        <v>2.6225</v>
      </c>
      <c r="F2450" s="3">
        <v>2.2263</v>
      </c>
      <c r="G2450" s="3">
        <v>2.6213</v>
      </c>
    </row>
    <row r="2451" spans="1:7">
      <c r="A2451" s="2">
        <v>44630</v>
      </c>
      <c r="B2451" s="3">
        <v>2.2397</v>
      </c>
      <c r="C2451" s="3">
        <v>2.6332</v>
      </c>
      <c r="D2451" s="3">
        <v>2.2441</v>
      </c>
      <c r="E2451" s="3">
        <v>2.6368</v>
      </c>
      <c r="F2451" s="3">
        <v>2.2419</v>
      </c>
      <c r="G2451" s="3">
        <v>2.635</v>
      </c>
    </row>
    <row r="2452" spans="1:7">
      <c r="A2452" s="2">
        <v>44631</v>
      </c>
      <c r="B2452" s="3">
        <v>2.1719</v>
      </c>
      <c r="C2452" s="3">
        <v>2.5505</v>
      </c>
      <c r="D2452" s="3">
        <v>2.1773</v>
      </c>
      <c r="E2452" s="3">
        <v>2.5532</v>
      </c>
      <c r="F2452" s="3">
        <v>2.1746</v>
      </c>
      <c r="G2452" s="3">
        <v>2.5518</v>
      </c>
    </row>
    <row r="2453" spans="1:7">
      <c r="A2453" s="2">
        <v>44634</v>
      </c>
      <c r="B2453" s="3">
        <v>2.135</v>
      </c>
      <c r="C2453" s="3">
        <v>2.5175</v>
      </c>
      <c r="D2453" s="3">
        <v>2.1387</v>
      </c>
      <c r="E2453" s="3">
        <v>2.5225</v>
      </c>
      <c r="F2453" s="3">
        <v>2.1368</v>
      </c>
      <c r="G2453" s="3">
        <v>2.52</v>
      </c>
    </row>
    <row r="2454" spans="1:7">
      <c r="A2454" s="2">
        <v>44635</v>
      </c>
      <c r="B2454" s="3">
        <v>2.205</v>
      </c>
      <c r="C2454" s="3">
        <v>2.59</v>
      </c>
      <c r="D2454" s="3">
        <v>2.2097</v>
      </c>
      <c r="E2454" s="3">
        <v>2.5944</v>
      </c>
      <c r="F2454" s="3">
        <v>2.2073</v>
      </c>
      <c r="G2454" s="3">
        <v>2.5922</v>
      </c>
    </row>
    <row r="2455" spans="1:7">
      <c r="A2455" s="2">
        <v>44636</v>
      </c>
      <c r="B2455" s="3">
        <v>2.155</v>
      </c>
      <c r="C2455" s="3">
        <v>2.5352</v>
      </c>
      <c r="D2455" s="3">
        <v>2.1575</v>
      </c>
      <c r="E2455" s="3">
        <v>2.5375</v>
      </c>
      <c r="F2455" s="3">
        <v>2.1563</v>
      </c>
      <c r="G2455" s="3">
        <v>2.5363</v>
      </c>
    </row>
    <row r="2456" spans="1:7">
      <c r="A2456" s="2">
        <v>44637</v>
      </c>
      <c r="B2456" s="3">
        <v>2.1525</v>
      </c>
      <c r="C2456" s="3">
        <v>2.53</v>
      </c>
      <c r="D2456" s="3">
        <v>2.1555</v>
      </c>
      <c r="E2456" s="3">
        <v>2.5333</v>
      </c>
      <c r="F2456" s="3">
        <v>2.154</v>
      </c>
      <c r="G2456" s="3">
        <v>2.5317</v>
      </c>
    </row>
    <row r="2457" spans="1:7">
      <c r="A2457" s="2">
        <v>44638</v>
      </c>
      <c r="B2457" s="3">
        <v>2.1675</v>
      </c>
      <c r="C2457" s="3">
        <v>2.545</v>
      </c>
      <c r="D2457" s="3">
        <v>2.1707</v>
      </c>
      <c r="E2457" s="3">
        <v>2.5475</v>
      </c>
      <c r="F2457" s="3">
        <v>2.1691</v>
      </c>
      <c r="G2457" s="3">
        <v>2.5463</v>
      </c>
    </row>
    <row r="2458" spans="1:7">
      <c r="A2458" s="2">
        <v>44641</v>
      </c>
      <c r="B2458" s="3">
        <v>2.1775</v>
      </c>
      <c r="C2458" s="3">
        <v>2.5602</v>
      </c>
      <c r="D2458" s="3">
        <v>2.1805</v>
      </c>
      <c r="E2458" s="3">
        <v>2.5628</v>
      </c>
      <c r="F2458" s="3">
        <v>2.179</v>
      </c>
      <c r="G2458" s="3">
        <v>2.5615</v>
      </c>
    </row>
    <row r="2459" spans="1:7">
      <c r="A2459" s="2">
        <v>44642</v>
      </c>
      <c r="B2459" s="3">
        <v>2.2</v>
      </c>
      <c r="C2459" s="3">
        <v>2.5825</v>
      </c>
      <c r="D2459" s="3">
        <v>2.2075</v>
      </c>
      <c r="E2459" s="3">
        <v>2.585</v>
      </c>
      <c r="F2459" s="3">
        <v>2.2038</v>
      </c>
      <c r="G2459" s="3">
        <v>2.5838</v>
      </c>
    </row>
    <row r="2460" spans="1:7">
      <c r="A2460" s="2">
        <v>44643</v>
      </c>
      <c r="B2460" s="3">
        <v>2.205</v>
      </c>
      <c r="C2460" s="3">
        <v>2.5875</v>
      </c>
      <c r="D2460" s="3">
        <v>2.21</v>
      </c>
      <c r="E2460" s="3">
        <v>2.59</v>
      </c>
      <c r="F2460" s="3">
        <v>2.2075</v>
      </c>
      <c r="G2460" s="3">
        <v>2.5888</v>
      </c>
    </row>
    <row r="2461" spans="1:7">
      <c r="A2461" s="2">
        <v>44644</v>
      </c>
      <c r="B2461" s="3">
        <v>2.1929</v>
      </c>
      <c r="C2461" s="3">
        <v>2.565</v>
      </c>
      <c r="D2461" s="3">
        <v>2.1954</v>
      </c>
      <c r="E2461" s="3">
        <v>2.5677</v>
      </c>
      <c r="F2461" s="3">
        <v>2.1941</v>
      </c>
      <c r="G2461" s="3">
        <v>2.5663</v>
      </c>
    </row>
    <row r="2462" spans="1:7">
      <c r="A2462" s="2">
        <v>44645</v>
      </c>
      <c r="B2462" s="3">
        <v>2.205</v>
      </c>
      <c r="C2462" s="3">
        <v>2.5675</v>
      </c>
      <c r="D2462" s="3">
        <v>2.2085</v>
      </c>
      <c r="E2462" s="3">
        <v>2.5725</v>
      </c>
      <c r="F2462" s="3">
        <v>2.2068</v>
      </c>
      <c r="G2462" s="3">
        <v>2.57</v>
      </c>
    </row>
    <row r="2463" spans="1:7">
      <c r="A2463" s="2">
        <v>44648</v>
      </c>
      <c r="B2463" s="3">
        <v>2.215</v>
      </c>
      <c r="C2463" s="3">
        <v>2.58</v>
      </c>
      <c r="D2463" s="3">
        <v>2.2175</v>
      </c>
      <c r="E2463" s="3">
        <v>2.585</v>
      </c>
      <c r="F2463" s="3">
        <v>2.2163</v>
      </c>
      <c r="G2463" s="3">
        <v>2.5825</v>
      </c>
    </row>
    <row r="2464" spans="1:7">
      <c r="A2464" s="2">
        <v>44649</v>
      </c>
      <c r="B2464" s="3">
        <v>2.2075</v>
      </c>
      <c r="C2464" s="3">
        <v>2.5725</v>
      </c>
      <c r="D2464" s="3">
        <v>2.2125</v>
      </c>
      <c r="E2464" s="3">
        <v>2.575</v>
      </c>
      <c r="F2464" s="3">
        <v>2.21</v>
      </c>
      <c r="G2464" s="3">
        <v>2.5738</v>
      </c>
    </row>
    <row r="2465" spans="1:7">
      <c r="A2465" s="2">
        <v>44650</v>
      </c>
      <c r="B2465" s="3">
        <v>2.195</v>
      </c>
      <c r="C2465" s="3">
        <v>2.5475</v>
      </c>
      <c r="D2465" s="3">
        <v>2.2</v>
      </c>
      <c r="E2465" s="3">
        <v>2.55</v>
      </c>
      <c r="F2465" s="3">
        <v>2.1975</v>
      </c>
      <c r="G2465" s="3">
        <v>2.5488</v>
      </c>
    </row>
    <row r="2466" spans="1:7">
      <c r="A2466" s="2">
        <v>44651</v>
      </c>
      <c r="B2466" s="3">
        <v>2.19</v>
      </c>
      <c r="C2466" s="3">
        <v>2.565</v>
      </c>
      <c r="D2466" s="3">
        <v>2.1926</v>
      </c>
      <c r="E2466" s="3">
        <v>2.5675</v>
      </c>
      <c r="F2466" s="3">
        <v>2.1913</v>
      </c>
      <c r="G2466" s="3">
        <v>2.5663</v>
      </c>
    </row>
    <row r="2467" spans="1:7">
      <c r="A2467" s="2">
        <v>44652</v>
      </c>
      <c r="B2467" s="3">
        <v>2.1725</v>
      </c>
      <c r="C2467" s="3">
        <v>2.545</v>
      </c>
      <c r="D2467" s="3">
        <v>2.1775</v>
      </c>
      <c r="E2467" s="3">
        <v>2.5482</v>
      </c>
      <c r="F2467" s="3">
        <v>2.175</v>
      </c>
      <c r="G2467" s="3">
        <v>2.5466</v>
      </c>
    </row>
    <row r="2468" spans="1:7">
      <c r="A2468" s="2">
        <v>44653</v>
      </c>
      <c r="B2468" s="3">
        <v>2.155</v>
      </c>
      <c r="C2468" s="3">
        <v>2.5425</v>
      </c>
      <c r="D2468" s="3">
        <v>2.175</v>
      </c>
      <c r="E2468" s="3">
        <v>2.55</v>
      </c>
      <c r="F2468" s="3">
        <v>2.165</v>
      </c>
      <c r="G2468" s="3">
        <v>2.5463</v>
      </c>
    </row>
    <row r="2469" spans="1:7">
      <c r="A2469" s="2">
        <v>44657</v>
      </c>
      <c r="B2469" s="3">
        <v>2.1668</v>
      </c>
      <c r="C2469" s="3">
        <v>2.5325</v>
      </c>
      <c r="D2469" s="3">
        <v>2.17</v>
      </c>
      <c r="E2469" s="3">
        <v>2.535</v>
      </c>
      <c r="F2469" s="3">
        <v>2.1684</v>
      </c>
      <c r="G2469" s="3">
        <v>2.5338</v>
      </c>
    </row>
    <row r="2470" spans="1:7">
      <c r="A2470" s="2">
        <v>44658</v>
      </c>
      <c r="B2470" s="3">
        <v>2.155</v>
      </c>
      <c r="C2470" s="3">
        <v>2.5095</v>
      </c>
      <c r="D2470" s="3">
        <v>2.1587</v>
      </c>
      <c r="E2470" s="3">
        <v>2.5123</v>
      </c>
      <c r="F2470" s="3">
        <v>2.1568</v>
      </c>
      <c r="G2470" s="3">
        <v>2.5109</v>
      </c>
    </row>
    <row r="2471" spans="1:7">
      <c r="A2471" s="2">
        <v>44659</v>
      </c>
      <c r="B2471" s="3">
        <v>2.16</v>
      </c>
      <c r="C2471" s="3">
        <v>2.5193</v>
      </c>
      <c r="D2471" s="3">
        <v>2.1625</v>
      </c>
      <c r="E2471" s="3">
        <v>2.5225</v>
      </c>
      <c r="F2471" s="3">
        <v>2.1613</v>
      </c>
      <c r="G2471" s="3">
        <v>2.5209</v>
      </c>
    </row>
    <row r="2472" spans="1:7">
      <c r="A2472" s="2">
        <v>44662</v>
      </c>
      <c r="B2472" s="3">
        <v>2.1675</v>
      </c>
      <c r="C2472" s="3">
        <v>2.54</v>
      </c>
      <c r="D2472" s="3">
        <v>2.17</v>
      </c>
      <c r="E2472" s="3">
        <v>2.5425</v>
      </c>
      <c r="F2472" s="3">
        <v>2.1688</v>
      </c>
      <c r="G2472" s="3">
        <v>2.5413</v>
      </c>
    </row>
    <row r="2473" spans="1:7">
      <c r="A2473" s="2">
        <v>44663</v>
      </c>
      <c r="B2473" s="3">
        <v>2.17</v>
      </c>
      <c r="C2473" s="3">
        <v>2.5425</v>
      </c>
      <c r="D2473" s="3">
        <v>2.1725</v>
      </c>
      <c r="E2473" s="3">
        <v>2.545</v>
      </c>
      <c r="F2473" s="3">
        <v>2.1713</v>
      </c>
      <c r="G2473" s="3">
        <v>2.5438</v>
      </c>
    </row>
    <row r="2474" spans="1:7">
      <c r="A2474" s="2">
        <v>44664</v>
      </c>
      <c r="B2474" s="3">
        <v>2.165</v>
      </c>
      <c r="C2474" s="3">
        <v>2.5268</v>
      </c>
      <c r="D2474" s="3">
        <v>2.1675</v>
      </c>
      <c r="E2474" s="3">
        <v>2.5293</v>
      </c>
      <c r="F2474" s="3">
        <v>2.1663</v>
      </c>
      <c r="G2474" s="3">
        <v>2.528</v>
      </c>
    </row>
    <row r="2475" spans="1:7">
      <c r="A2475" s="2">
        <v>44665</v>
      </c>
      <c r="B2475" s="3">
        <v>2.15</v>
      </c>
      <c r="C2475" s="3">
        <v>2.5225</v>
      </c>
      <c r="D2475" s="3">
        <v>2.1541</v>
      </c>
      <c r="E2475" s="3">
        <v>2.5275</v>
      </c>
      <c r="F2475" s="3">
        <v>2.1521</v>
      </c>
      <c r="G2475" s="3">
        <v>2.525</v>
      </c>
    </row>
    <row r="2476" spans="1:7">
      <c r="A2476" s="2">
        <v>44666</v>
      </c>
      <c r="B2476" s="3">
        <v>2.125</v>
      </c>
      <c r="C2476" s="3">
        <v>2.505</v>
      </c>
      <c r="D2476" s="3">
        <v>2.1275</v>
      </c>
      <c r="E2476" s="3">
        <v>2.5075</v>
      </c>
      <c r="F2476" s="3">
        <v>2.1263</v>
      </c>
      <c r="G2476" s="3">
        <v>2.5063</v>
      </c>
    </row>
    <row r="2477" spans="1:7">
      <c r="A2477" s="2">
        <v>44669</v>
      </c>
      <c r="B2477" s="3">
        <v>2.175</v>
      </c>
      <c r="C2477" s="3">
        <v>2.5675</v>
      </c>
      <c r="D2477" s="3">
        <v>2.1775</v>
      </c>
      <c r="E2477" s="3">
        <v>2.57</v>
      </c>
      <c r="F2477" s="3">
        <v>2.1763</v>
      </c>
      <c r="G2477" s="3">
        <v>2.5688</v>
      </c>
    </row>
    <row r="2478" spans="1:7">
      <c r="A2478" s="2">
        <v>44670</v>
      </c>
      <c r="B2478" s="3">
        <v>2.17</v>
      </c>
      <c r="C2478" s="3">
        <v>2.5675</v>
      </c>
      <c r="D2478" s="3">
        <v>2.1725</v>
      </c>
      <c r="E2478" s="3">
        <v>2.57</v>
      </c>
      <c r="F2478" s="3">
        <v>2.1713</v>
      </c>
      <c r="G2478" s="3">
        <v>2.5688</v>
      </c>
    </row>
    <row r="2479" spans="1:7">
      <c r="A2479" s="2">
        <v>44671</v>
      </c>
      <c r="B2479" s="3">
        <v>2.1786</v>
      </c>
      <c r="C2479" s="3">
        <v>2.5785</v>
      </c>
      <c r="D2479" s="3">
        <v>2.1825</v>
      </c>
      <c r="E2479" s="3">
        <v>2.58</v>
      </c>
      <c r="F2479" s="3">
        <v>2.1806</v>
      </c>
      <c r="G2479" s="3">
        <v>2.5793</v>
      </c>
    </row>
    <row r="2480" spans="1:7">
      <c r="A2480" s="2">
        <v>44672</v>
      </c>
      <c r="B2480" s="3">
        <v>2.165</v>
      </c>
      <c r="C2480" s="3">
        <v>2.57</v>
      </c>
      <c r="D2480" s="3">
        <v>2.1675</v>
      </c>
      <c r="E2480" s="3">
        <v>2.5725</v>
      </c>
      <c r="F2480" s="3">
        <v>2.1663</v>
      </c>
      <c r="G2480" s="3">
        <v>2.5713</v>
      </c>
    </row>
    <row r="2481" spans="1:7">
      <c r="A2481" s="2">
        <v>44673</v>
      </c>
      <c r="B2481" s="3">
        <v>2.175</v>
      </c>
      <c r="C2481" s="3">
        <v>2.585</v>
      </c>
      <c r="D2481" s="3">
        <v>2.1775</v>
      </c>
      <c r="E2481" s="3">
        <v>2.5875</v>
      </c>
      <c r="F2481" s="3">
        <v>2.1763</v>
      </c>
      <c r="G2481" s="3">
        <v>2.5863</v>
      </c>
    </row>
    <row r="2482" spans="1:7">
      <c r="A2482" s="2">
        <v>44675</v>
      </c>
      <c r="B2482" s="3">
        <v>2.17</v>
      </c>
      <c r="C2482" s="3">
        <v>2.585</v>
      </c>
      <c r="D2482" s="3">
        <v>2.1775</v>
      </c>
      <c r="E2482" s="3">
        <v>2.5925</v>
      </c>
      <c r="F2482" s="3">
        <v>2.1738</v>
      </c>
      <c r="G2482" s="3">
        <v>2.5888</v>
      </c>
    </row>
    <row r="2483" spans="1:7">
      <c r="A2483" s="2">
        <v>44676</v>
      </c>
      <c r="B2483" s="3">
        <v>2.135</v>
      </c>
      <c r="C2483" s="3">
        <v>2.5525</v>
      </c>
      <c r="D2483" s="3">
        <v>2.14</v>
      </c>
      <c r="E2483" s="3">
        <v>2.555</v>
      </c>
      <c r="F2483" s="3">
        <v>2.1375</v>
      </c>
      <c r="G2483" s="3">
        <v>2.5538</v>
      </c>
    </row>
    <row r="2484" spans="1:7">
      <c r="A2484" s="2">
        <v>44677</v>
      </c>
      <c r="B2484" s="3">
        <v>2.1482</v>
      </c>
      <c r="C2484" s="3">
        <v>2.5575</v>
      </c>
      <c r="D2484" s="3">
        <v>2.1518</v>
      </c>
      <c r="E2484" s="3">
        <v>2.56</v>
      </c>
      <c r="F2484" s="3">
        <v>2.15</v>
      </c>
      <c r="G2484" s="3">
        <v>2.5588</v>
      </c>
    </row>
    <row r="2485" spans="1:7">
      <c r="A2485" s="2">
        <v>44678</v>
      </c>
      <c r="B2485" s="3">
        <v>2.1725</v>
      </c>
      <c r="C2485" s="3">
        <v>2.5825</v>
      </c>
      <c r="D2485" s="3">
        <v>2.1775</v>
      </c>
      <c r="E2485" s="3">
        <v>2.585</v>
      </c>
      <c r="F2485" s="3">
        <v>2.175</v>
      </c>
      <c r="G2485" s="3">
        <v>2.5838</v>
      </c>
    </row>
    <row r="2486" spans="1:7">
      <c r="A2486" s="2">
        <v>44679</v>
      </c>
      <c r="B2486" s="3">
        <v>2.1975</v>
      </c>
      <c r="C2486" s="3">
        <v>2.615</v>
      </c>
      <c r="D2486" s="3">
        <v>2.2</v>
      </c>
      <c r="E2486" s="3">
        <v>2.6175</v>
      </c>
      <c r="F2486" s="3">
        <v>2.1988</v>
      </c>
      <c r="G2486" s="3">
        <v>2.6163</v>
      </c>
    </row>
    <row r="2487" spans="1:7">
      <c r="A2487" s="2">
        <v>44680</v>
      </c>
      <c r="B2487" s="3">
        <v>2.18</v>
      </c>
      <c r="C2487" s="3">
        <v>2.5825</v>
      </c>
      <c r="D2487" s="3">
        <v>2.1825</v>
      </c>
      <c r="E2487" s="3">
        <v>2.585</v>
      </c>
      <c r="F2487" s="3">
        <v>2.1813</v>
      </c>
      <c r="G2487" s="3">
        <v>2.5838</v>
      </c>
    </row>
    <row r="2488" spans="1:7">
      <c r="A2488" s="2">
        <v>44686</v>
      </c>
      <c r="B2488" s="3">
        <v>2.17</v>
      </c>
      <c r="C2488" s="3">
        <v>2.5775</v>
      </c>
      <c r="D2488" s="3">
        <v>2.1725</v>
      </c>
      <c r="E2488" s="3">
        <v>2.58</v>
      </c>
      <c r="F2488" s="3">
        <v>2.1713</v>
      </c>
      <c r="G2488" s="3">
        <v>2.5788</v>
      </c>
    </row>
    <row r="2489" spans="1:7">
      <c r="A2489" s="2">
        <v>44687</v>
      </c>
      <c r="B2489" s="3">
        <v>2.17</v>
      </c>
      <c r="C2489" s="3">
        <v>2.5875</v>
      </c>
      <c r="D2489" s="3">
        <v>2.1725</v>
      </c>
      <c r="E2489" s="3">
        <v>2.59</v>
      </c>
      <c r="F2489" s="3">
        <v>2.1713</v>
      </c>
      <c r="G2489" s="3">
        <v>2.5888</v>
      </c>
    </row>
    <row r="2490" spans="1:7">
      <c r="A2490" s="2">
        <v>44688</v>
      </c>
      <c r="B2490" s="3">
        <v>2.155</v>
      </c>
      <c r="C2490" s="3">
        <v>2.5825</v>
      </c>
      <c r="D2490" s="3">
        <v>2.1775</v>
      </c>
      <c r="E2490" s="3">
        <v>2.59</v>
      </c>
      <c r="F2490" s="3">
        <v>2.1663</v>
      </c>
      <c r="G2490" s="3">
        <v>2.5863</v>
      </c>
    </row>
    <row r="2491" spans="1:7">
      <c r="A2491" s="2">
        <v>44690</v>
      </c>
      <c r="B2491" s="3">
        <v>2.1475</v>
      </c>
      <c r="C2491" s="3">
        <v>2.565</v>
      </c>
      <c r="D2491" s="3">
        <v>2.1525</v>
      </c>
      <c r="E2491" s="3">
        <v>2.5691</v>
      </c>
      <c r="F2491" s="3">
        <v>2.15</v>
      </c>
      <c r="G2491" s="3">
        <v>2.5671</v>
      </c>
    </row>
    <row r="2492" spans="1:7">
      <c r="A2492" s="2">
        <v>44691</v>
      </c>
      <c r="B2492" s="3">
        <v>2.124</v>
      </c>
      <c r="C2492" s="3">
        <v>2.54</v>
      </c>
      <c r="D2492" s="3">
        <v>2.1275</v>
      </c>
      <c r="E2492" s="3">
        <v>2.5425</v>
      </c>
      <c r="F2492" s="3">
        <v>2.1258</v>
      </c>
      <c r="G2492" s="3">
        <v>2.5413</v>
      </c>
    </row>
    <row r="2493" spans="1:7">
      <c r="A2493" s="2">
        <v>44692</v>
      </c>
      <c r="B2493" s="3">
        <v>2.1424</v>
      </c>
      <c r="C2493" s="3">
        <v>2.565</v>
      </c>
      <c r="D2493" s="3">
        <v>2.145</v>
      </c>
      <c r="E2493" s="3">
        <v>2.5675</v>
      </c>
      <c r="F2493" s="3">
        <v>2.1437</v>
      </c>
      <c r="G2493" s="3">
        <v>2.5663</v>
      </c>
    </row>
    <row r="2494" spans="1:7">
      <c r="A2494" s="2">
        <v>44693</v>
      </c>
      <c r="B2494" s="3">
        <v>2.1055</v>
      </c>
      <c r="C2494" s="3">
        <v>2.5397</v>
      </c>
      <c r="D2494" s="3">
        <v>2.1118</v>
      </c>
      <c r="E2494" s="3">
        <v>2.5425</v>
      </c>
      <c r="F2494" s="3">
        <v>2.1086</v>
      </c>
      <c r="G2494" s="3">
        <v>2.5411</v>
      </c>
    </row>
    <row r="2495" spans="1:7">
      <c r="A2495" s="2">
        <v>44694</v>
      </c>
      <c r="B2495" s="3">
        <v>2.1084</v>
      </c>
      <c r="C2495" s="3">
        <v>2.5461</v>
      </c>
      <c r="D2495" s="3">
        <v>2.1109</v>
      </c>
      <c r="E2495" s="3">
        <v>2.5486</v>
      </c>
      <c r="F2495" s="3">
        <v>2.1096</v>
      </c>
      <c r="G2495" s="3">
        <v>2.5473</v>
      </c>
    </row>
    <row r="2496" spans="1:7">
      <c r="A2496" s="2">
        <v>44697</v>
      </c>
      <c r="B2496" s="3">
        <v>2.0883</v>
      </c>
      <c r="C2496" s="3">
        <v>2.54</v>
      </c>
      <c r="D2496" s="3">
        <v>2.0918</v>
      </c>
      <c r="E2496" s="3">
        <v>2.5425</v>
      </c>
      <c r="F2496" s="3">
        <v>2.09</v>
      </c>
      <c r="G2496" s="3">
        <v>2.5413</v>
      </c>
    </row>
    <row r="2497" spans="1:7">
      <c r="A2497" s="2">
        <v>44698</v>
      </c>
      <c r="B2497" s="3">
        <v>2.0825</v>
      </c>
      <c r="C2497" s="3">
        <v>2.532</v>
      </c>
      <c r="D2497" s="3">
        <v>2.0875</v>
      </c>
      <c r="E2497" s="3">
        <v>2.5346</v>
      </c>
      <c r="F2497" s="3">
        <v>2.085</v>
      </c>
      <c r="G2497" s="3">
        <v>2.5333</v>
      </c>
    </row>
    <row r="2498" spans="1:7">
      <c r="A2498" s="2">
        <v>44699</v>
      </c>
      <c r="B2498" s="3">
        <v>2.065</v>
      </c>
      <c r="C2498" s="3">
        <v>2.5025</v>
      </c>
      <c r="D2498" s="3">
        <v>2.0675</v>
      </c>
      <c r="E2498" s="3">
        <v>2.505</v>
      </c>
      <c r="F2498" s="3">
        <v>2.0663</v>
      </c>
      <c r="G2498" s="3">
        <v>2.5038</v>
      </c>
    </row>
    <row r="2499" spans="1:7">
      <c r="A2499" s="2">
        <v>44700</v>
      </c>
      <c r="B2499" s="3">
        <v>2.0713</v>
      </c>
      <c r="C2499" s="3">
        <v>2.5075</v>
      </c>
      <c r="D2499" s="3">
        <v>2.0739</v>
      </c>
      <c r="E2499" s="3">
        <v>2.5125</v>
      </c>
      <c r="F2499" s="3">
        <v>2.0726</v>
      </c>
      <c r="G2499" s="3">
        <v>2.51</v>
      </c>
    </row>
    <row r="2500" spans="1:7">
      <c r="A2500" s="2">
        <v>44701</v>
      </c>
      <c r="B2500" s="3">
        <v>2.07</v>
      </c>
      <c r="C2500" s="3">
        <v>2.5191</v>
      </c>
      <c r="D2500" s="3">
        <v>2.0725</v>
      </c>
      <c r="E2500" s="3">
        <v>2.5214</v>
      </c>
      <c r="F2500" s="3">
        <v>2.0713</v>
      </c>
      <c r="G2500" s="3">
        <v>2.5203</v>
      </c>
    </row>
    <row r="2501" spans="1:7">
      <c r="A2501" s="2">
        <v>44704</v>
      </c>
      <c r="B2501" s="3">
        <v>2.0525</v>
      </c>
      <c r="C2501" s="3">
        <v>2.5025</v>
      </c>
      <c r="D2501" s="3">
        <v>2.055</v>
      </c>
      <c r="E2501" s="3">
        <v>2.505</v>
      </c>
      <c r="F2501" s="3">
        <v>2.0538</v>
      </c>
      <c r="G2501" s="3">
        <v>2.5038</v>
      </c>
    </row>
    <row r="2502" spans="1:7">
      <c r="A2502" s="2">
        <v>44705</v>
      </c>
      <c r="B2502" s="3">
        <v>2.0725</v>
      </c>
      <c r="C2502" s="3">
        <v>2.515</v>
      </c>
      <c r="D2502" s="3">
        <v>2.0769</v>
      </c>
      <c r="E2502" s="3">
        <v>2.5175</v>
      </c>
      <c r="F2502" s="3">
        <v>2.0747</v>
      </c>
      <c r="G2502" s="3">
        <v>2.5163</v>
      </c>
    </row>
    <row r="2503" spans="1:7">
      <c r="A2503" s="2">
        <v>44706</v>
      </c>
      <c r="B2503" s="3">
        <v>2.0752</v>
      </c>
      <c r="C2503" s="3">
        <v>2.515</v>
      </c>
      <c r="D2503" s="3">
        <v>2.0777</v>
      </c>
      <c r="E2503" s="3">
        <v>2.5177</v>
      </c>
      <c r="F2503" s="3">
        <v>2.0764</v>
      </c>
      <c r="G2503" s="3">
        <v>2.5163</v>
      </c>
    </row>
    <row r="2504" spans="1:7">
      <c r="A2504" s="2">
        <v>44707</v>
      </c>
      <c r="B2504" s="3">
        <v>2.0325</v>
      </c>
      <c r="C2504" s="3">
        <v>2.46</v>
      </c>
      <c r="D2504" s="3">
        <v>2.0503</v>
      </c>
      <c r="E2504" s="3">
        <v>2.465</v>
      </c>
      <c r="F2504" s="3">
        <v>2.0414</v>
      </c>
      <c r="G2504" s="3">
        <v>2.4625</v>
      </c>
    </row>
    <row r="2505" spans="1:7">
      <c r="A2505" s="2">
        <v>44708</v>
      </c>
      <c r="B2505" s="3">
        <v>2.025</v>
      </c>
      <c r="C2505" s="3">
        <v>2.45</v>
      </c>
      <c r="D2505" s="3">
        <v>2.0275</v>
      </c>
      <c r="E2505" s="3">
        <v>2.4525</v>
      </c>
      <c r="F2505" s="3">
        <v>2.0263</v>
      </c>
      <c r="G2505" s="3">
        <v>2.4513</v>
      </c>
    </row>
    <row r="2506" spans="1:7">
      <c r="A2506" s="2">
        <v>44711</v>
      </c>
      <c r="B2506" s="3">
        <v>2.0593</v>
      </c>
      <c r="C2506" s="3">
        <v>2.49</v>
      </c>
      <c r="D2506" s="3">
        <v>2.0625</v>
      </c>
      <c r="E2506" s="3">
        <v>2.4925</v>
      </c>
      <c r="F2506" s="3">
        <v>2.0609</v>
      </c>
      <c r="G2506" s="3">
        <v>2.4913</v>
      </c>
    </row>
    <row r="2507" spans="1:7">
      <c r="A2507" s="2">
        <v>44712</v>
      </c>
      <c r="B2507" s="3">
        <v>2.09</v>
      </c>
      <c r="C2507" s="3">
        <v>2.5228</v>
      </c>
      <c r="D2507" s="3">
        <v>2.0925</v>
      </c>
      <c r="E2507" s="3">
        <v>2.5267</v>
      </c>
      <c r="F2507" s="3">
        <v>2.0913</v>
      </c>
      <c r="G2507" s="3">
        <v>2.5247</v>
      </c>
    </row>
    <row r="2508" spans="1:7">
      <c r="A2508" s="2">
        <v>44713</v>
      </c>
      <c r="B2508" s="3">
        <v>2.0875</v>
      </c>
      <c r="C2508" s="3">
        <v>2.5325</v>
      </c>
      <c r="D2508" s="3">
        <v>2.0925</v>
      </c>
      <c r="E2508" s="3">
        <v>2.5357</v>
      </c>
      <c r="F2508" s="3">
        <v>2.09</v>
      </c>
      <c r="G2508" s="3">
        <v>2.5341</v>
      </c>
    </row>
    <row r="2509" spans="1:7">
      <c r="A2509" s="2">
        <v>44714</v>
      </c>
      <c r="B2509" s="3">
        <v>2.0938</v>
      </c>
      <c r="C2509" s="3">
        <v>2.5425</v>
      </c>
      <c r="D2509" s="3">
        <v>2.0996</v>
      </c>
      <c r="E2509" s="3">
        <v>2.545</v>
      </c>
      <c r="F2509" s="3">
        <v>2.0967</v>
      </c>
      <c r="G2509" s="3">
        <v>2.5438</v>
      </c>
    </row>
    <row r="2510" spans="1:7">
      <c r="A2510" s="2">
        <v>44718</v>
      </c>
      <c r="B2510" s="3">
        <v>2.12</v>
      </c>
      <c r="C2510" s="3">
        <v>2.5718</v>
      </c>
      <c r="D2510" s="3">
        <v>2.125</v>
      </c>
      <c r="E2510" s="3">
        <v>2.5743</v>
      </c>
      <c r="F2510" s="3">
        <v>2.1225</v>
      </c>
      <c r="G2510" s="3">
        <v>2.573</v>
      </c>
    </row>
    <row r="2511" spans="1:7">
      <c r="A2511" s="2">
        <v>44719</v>
      </c>
      <c r="B2511" s="3">
        <v>2.11</v>
      </c>
      <c r="C2511" s="3">
        <v>2.5475</v>
      </c>
      <c r="D2511" s="3">
        <v>2.1125</v>
      </c>
      <c r="E2511" s="3">
        <v>2.5516</v>
      </c>
      <c r="F2511" s="3">
        <v>2.1113</v>
      </c>
      <c r="G2511" s="3">
        <v>2.5496</v>
      </c>
    </row>
    <row r="2512" spans="1:7">
      <c r="A2512" s="2">
        <v>44720</v>
      </c>
      <c r="B2512" s="3">
        <v>2.1067</v>
      </c>
      <c r="C2512" s="3">
        <v>2.5521</v>
      </c>
      <c r="D2512" s="3">
        <v>2.11</v>
      </c>
      <c r="E2512" s="3">
        <v>2.5529</v>
      </c>
      <c r="F2512" s="3">
        <v>2.1083</v>
      </c>
      <c r="G2512" s="3">
        <v>2.5525</v>
      </c>
    </row>
    <row r="2513" spans="1:7">
      <c r="A2513" s="2">
        <v>44721</v>
      </c>
      <c r="B2513" s="3">
        <v>2.0925</v>
      </c>
      <c r="C2513" s="3">
        <v>2.537</v>
      </c>
      <c r="D2513" s="3">
        <v>2.096</v>
      </c>
      <c r="E2513" s="3">
        <v>2.5395</v>
      </c>
      <c r="F2513" s="3">
        <v>2.0943</v>
      </c>
      <c r="G2513" s="3">
        <v>2.5382</v>
      </c>
    </row>
    <row r="2514" spans="1:7">
      <c r="A2514" s="2">
        <v>44722</v>
      </c>
      <c r="B2514" s="3">
        <v>2.095</v>
      </c>
      <c r="C2514" s="3">
        <v>2.54</v>
      </c>
      <c r="D2514" s="3">
        <v>2.0975</v>
      </c>
      <c r="E2514" s="3">
        <v>2.5428</v>
      </c>
      <c r="F2514" s="3">
        <v>2.0963</v>
      </c>
      <c r="G2514" s="3">
        <v>2.5414</v>
      </c>
    </row>
    <row r="2515" spans="1:7">
      <c r="A2515" s="2">
        <v>44725</v>
      </c>
      <c r="B2515" s="3">
        <v>2.105</v>
      </c>
      <c r="C2515" s="3">
        <v>2.5525</v>
      </c>
      <c r="D2515" s="3">
        <v>2.1075</v>
      </c>
      <c r="E2515" s="3">
        <v>2.555</v>
      </c>
      <c r="F2515" s="3">
        <v>2.1063</v>
      </c>
      <c r="G2515" s="3">
        <v>2.5538</v>
      </c>
    </row>
    <row r="2516" spans="1:7">
      <c r="A2516" s="2">
        <v>44726</v>
      </c>
      <c r="B2516" s="3">
        <v>2.1125</v>
      </c>
      <c r="C2516" s="3">
        <v>2.5563</v>
      </c>
      <c r="D2516" s="3">
        <v>2.115</v>
      </c>
      <c r="E2516" s="3">
        <v>2.5587</v>
      </c>
      <c r="F2516" s="3">
        <v>2.1138</v>
      </c>
      <c r="G2516" s="3">
        <v>2.5575</v>
      </c>
    </row>
    <row r="2517" spans="1:7">
      <c r="A2517" s="2">
        <v>44727</v>
      </c>
      <c r="B2517" s="3">
        <v>2.1287</v>
      </c>
      <c r="C2517" s="3">
        <v>2.5775</v>
      </c>
      <c r="D2517" s="3">
        <v>2.1313</v>
      </c>
      <c r="E2517" s="3">
        <v>2.5807</v>
      </c>
      <c r="F2517" s="3">
        <v>2.13</v>
      </c>
      <c r="G2517" s="3">
        <v>2.5791</v>
      </c>
    </row>
    <row r="2518" spans="1:7">
      <c r="A2518" s="2">
        <v>44728</v>
      </c>
      <c r="B2518" s="3">
        <v>2.1125</v>
      </c>
      <c r="C2518" s="3">
        <v>2.5625</v>
      </c>
      <c r="D2518" s="3">
        <v>2.1154</v>
      </c>
      <c r="E2518" s="3">
        <v>2.565</v>
      </c>
      <c r="F2518" s="3">
        <v>2.114</v>
      </c>
      <c r="G2518" s="3">
        <v>2.5638</v>
      </c>
    </row>
    <row r="2519" spans="1:7">
      <c r="A2519" s="2">
        <v>44729</v>
      </c>
      <c r="B2519" s="3">
        <v>2.1121</v>
      </c>
      <c r="C2519" s="3">
        <v>2.5625</v>
      </c>
      <c r="D2519" s="3">
        <v>2.1175</v>
      </c>
      <c r="E2519" s="3">
        <v>2.565</v>
      </c>
      <c r="F2519" s="3">
        <v>2.1148</v>
      </c>
      <c r="G2519" s="3">
        <v>2.5638</v>
      </c>
    </row>
    <row r="2520" spans="1:7">
      <c r="A2520" s="2">
        <v>44732</v>
      </c>
      <c r="B2520" s="3">
        <v>2.14</v>
      </c>
      <c r="C2520" s="3">
        <v>2.59</v>
      </c>
      <c r="D2520" s="3">
        <v>2.14</v>
      </c>
      <c r="E2520" s="3">
        <v>2.595</v>
      </c>
      <c r="F2520" s="3">
        <v>2.14</v>
      </c>
      <c r="G2520" s="3">
        <v>2.5925</v>
      </c>
    </row>
    <row r="2521" spans="1:7">
      <c r="A2521" s="2">
        <v>44733</v>
      </c>
      <c r="B2521" s="3">
        <v>2.1399</v>
      </c>
      <c r="C2521" s="3">
        <v>2.5875</v>
      </c>
      <c r="D2521" s="3">
        <v>2.14</v>
      </c>
      <c r="E2521" s="3">
        <v>2.5904</v>
      </c>
      <c r="F2521" s="3">
        <v>2.14</v>
      </c>
      <c r="G2521" s="3">
        <v>2.589</v>
      </c>
    </row>
    <row r="2522" spans="1:7">
      <c r="A2522" s="2">
        <v>44734</v>
      </c>
      <c r="B2522" s="3">
        <v>2.125</v>
      </c>
      <c r="C2522" s="3">
        <v>2.575</v>
      </c>
      <c r="D2522" s="3">
        <v>2.1275</v>
      </c>
      <c r="E2522" s="3">
        <v>2.5775</v>
      </c>
      <c r="F2522" s="3">
        <v>2.1263</v>
      </c>
      <c r="G2522" s="3">
        <v>2.5763</v>
      </c>
    </row>
    <row r="2523" spans="1:7">
      <c r="A2523" s="2">
        <v>44735</v>
      </c>
      <c r="B2523" s="3">
        <v>2.1313</v>
      </c>
      <c r="C2523" s="3">
        <v>2.5824</v>
      </c>
      <c r="D2523" s="3">
        <v>2.135</v>
      </c>
      <c r="E2523" s="3">
        <v>2.585</v>
      </c>
      <c r="F2523" s="3">
        <v>2.1332</v>
      </c>
      <c r="G2523" s="3">
        <v>2.5837</v>
      </c>
    </row>
    <row r="2524" spans="1:7">
      <c r="A2524" s="2">
        <v>44736</v>
      </c>
      <c r="B2524" s="3">
        <v>2.1599</v>
      </c>
      <c r="C2524" s="3">
        <v>2.605</v>
      </c>
      <c r="D2524" s="3">
        <v>2.1626</v>
      </c>
      <c r="E2524" s="3">
        <v>2.6075</v>
      </c>
      <c r="F2524" s="3">
        <v>2.1613</v>
      </c>
      <c r="G2524" s="3">
        <v>2.6063</v>
      </c>
    </row>
    <row r="2525" spans="1:7">
      <c r="A2525" s="2">
        <v>44739</v>
      </c>
      <c r="B2525" s="3">
        <v>2.1911</v>
      </c>
      <c r="C2525" s="3">
        <v>2.6485</v>
      </c>
      <c r="D2525" s="3">
        <v>2.1928</v>
      </c>
      <c r="E2525" s="3">
        <v>2.6512</v>
      </c>
      <c r="F2525" s="3">
        <v>2.192</v>
      </c>
      <c r="G2525" s="3">
        <v>2.6498</v>
      </c>
    </row>
    <row r="2526" spans="1:7">
      <c r="A2526" s="2">
        <v>44740</v>
      </c>
      <c r="B2526" s="3">
        <v>2.1928</v>
      </c>
      <c r="C2526" s="3">
        <v>2.6638</v>
      </c>
      <c r="D2526" s="3">
        <v>2.1967</v>
      </c>
      <c r="E2526" s="3">
        <v>2.665</v>
      </c>
      <c r="F2526" s="3">
        <v>2.1947</v>
      </c>
      <c r="G2526" s="3">
        <v>2.6644</v>
      </c>
    </row>
    <row r="2527" spans="1:7">
      <c r="A2527" s="2">
        <v>44741</v>
      </c>
      <c r="B2527" s="3">
        <v>2.1775</v>
      </c>
      <c r="C2527" s="3">
        <v>2.6475</v>
      </c>
      <c r="D2527" s="3">
        <v>2.18</v>
      </c>
      <c r="E2527" s="3">
        <v>2.65</v>
      </c>
      <c r="F2527" s="3">
        <v>2.1788</v>
      </c>
      <c r="G2527" s="3">
        <v>2.6488</v>
      </c>
    </row>
    <row r="2528" spans="1:7">
      <c r="A2528" s="2">
        <v>44742</v>
      </c>
      <c r="B2528" s="3">
        <v>2.1643</v>
      </c>
      <c r="C2528" s="3">
        <v>2.6275</v>
      </c>
      <c r="D2528" s="3">
        <v>2.1675</v>
      </c>
      <c r="E2528" s="3">
        <v>2.6303</v>
      </c>
      <c r="F2528" s="3">
        <v>2.1659</v>
      </c>
      <c r="G2528" s="3">
        <v>2.6289</v>
      </c>
    </row>
    <row r="2529" spans="1:7">
      <c r="A2529" s="2">
        <v>44743</v>
      </c>
      <c r="B2529" s="3">
        <v>2.145</v>
      </c>
      <c r="C2529" s="3">
        <v>2.6238</v>
      </c>
      <c r="D2529" s="3">
        <v>2.1475</v>
      </c>
      <c r="E2529" s="3">
        <v>2.6264</v>
      </c>
      <c r="F2529" s="3">
        <v>2.1463</v>
      </c>
      <c r="G2529" s="3">
        <v>2.6251</v>
      </c>
    </row>
    <row r="2530" spans="1:7">
      <c r="A2530" s="2">
        <v>44746</v>
      </c>
      <c r="B2530" s="3">
        <v>2.2025</v>
      </c>
      <c r="C2530" s="3">
        <v>2.6725</v>
      </c>
      <c r="D2530" s="3">
        <v>2.2075</v>
      </c>
      <c r="E2530" s="3">
        <v>2.675</v>
      </c>
      <c r="F2530" s="3">
        <v>2.205</v>
      </c>
      <c r="G2530" s="3">
        <v>2.6738</v>
      </c>
    </row>
    <row r="2531" spans="1:7">
      <c r="A2531" s="2">
        <v>44747</v>
      </c>
      <c r="B2531" s="3">
        <v>2.2038</v>
      </c>
      <c r="C2531" s="3">
        <v>2.6777</v>
      </c>
      <c r="D2531" s="3">
        <v>2.2075</v>
      </c>
      <c r="E2531" s="3">
        <v>2.6804</v>
      </c>
      <c r="F2531" s="3">
        <v>2.2057</v>
      </c>
      <c r="G2531" s="3">
        <v>2.679</v>
      </c>
    </row>
    <row r="2532" spans="1:7">
      <c r="A2532" s="2">
        <v>44748</v>
      </c>
      <c r="B2532" s="3">
        <v>2.2</v>
      </c>
      <c r="C2532" s="3">
        <v>2.6775</v>
      </c>
      <c r="D2532" s="3">
        <v>2.205</v>
      </c>
      <c r="E2532" s="3">
        <v>2.68</v>
      </c>
      <c r="F2532" s="3">
        <v>2.2025</v>
      </c>
      <c r="G2532" s="3">
        <v>2.6788</v>
      </c>
    </row>
    <row r="2533" spans="1:7">
      <c r="A2533" s="2">
        <v>44749</v>
      </c>
      <c r="B2533" s="3">
        <v>2.195</v>
      </c>
      <c r="C2533" s="3">
        <v>2.6707</v>
      </c>
      <c r="D2533" s="3">
        <v>2.1975</v>
      </c>
      <c r="E2533" s="3">
        <v>2.6743</v>
      </c>
      <c r="F2533" s="3">
        <v>2.1963</v>
      </c>
      <c r="G2533" s="3">
        <v>2.6725</v>
      </c>
    </row>
    <row r="2534" spans="1:7">
      <c r="A2534" s="2">
        <v>44750</v>
      </c>
      <c r="B2534" s="3">
        <v>2.1874</v>
      </c>
      <c r="C2534" s="3">
        <v>2.6717</v>
      </c>
      <c r="D2534" s="3">
        <v>2.19</v>
      </c>
      <c r="E2534" s="3">
        <v>2.6738</v>
      </c>
      <c r="F2534" s="3">
        <v>2.1887</v>
      </c>
      <c r="G2534" s="3">
        <v>2.6727</v>
      </c>
    </row>
    <row r="2535" spans="1:7">
      <c r="A2535" s="2">
        <v>44753</v>
      </c>
      <c r="B2535" s="3">
        <v>2.1465</v>
      </c>
      <c r="C2535" s="3">
        <v>2.6328</v>
      </c>
      <c r="D2535" s="3">
        <v>2.1492</v>
      </c>
      <c r="E2535" s="3">
        <v>2.6367</v>
      </c>
      <c r="F2535" s="3">
        <v>2.1479</v>
      </c>
      <c r="G2535" s="3">
        <v>2.6347</v>
      </c>
    </row>
    <row r="2536" spans="1:7">
      <c r="A2536" s="2">
        <v>44754</v>
      </c>
      <c r="B2536" s="3">
        <v>2.12</v>
      </c>
      <c r="C2536" s="3">
        <v>2.6035</v>
      </c>
      <c r="D2536" s="3">
        <v>2.1275</v>
      </c>
      <c r="E2536" s="3">
        <v>2.6056</v>
      </c>
      <c r="F2536" s="3">
        <v>2.1238</v>
      </c>
      <c r="G2536" s="3">
        <v>2.6046</v>
      </c>
    </row>
    <row r="2537" spans="1:7">
      <c r="A2537" s="2">
        <v>44755</v>
      </c>
      <c r="B2537" s="3">
        <v>2.12</v>
      </c>
      <c r="C2537" s="3">
        <v>2.6</v>
      </c>
      <c r="D2537" s="3">
        <v>2.125</v>
      </c>
      <c r="E2537" s="3">
        <v>2.6025</v>
      </c>
      <c r="F2537" s="3">
        <v>2.1225</v>
      </c>
      <c r="G2537" s="3">
        <v>2.6013</v>
      </c>
    </row>
    <row r="2538" spans="1:7">
      <c r="A2538" s="2">
        <v>44756</v>
      </c>
      <c r="B2538" s="3">
        <v>2.0875</v>
      </c>
      <c r="C2538" s="3">
        <v>2.5699</v>
      </c>
      <c r="D2538" s="3">
        <v>2.0896</v>
      </c>
      <c r="E2538" s="3">
        <v>2.5725</v>
      </c>
      <c r="F2538" s="3">
        <v>2.0885</v>
      </c>
      <c r="G2538" s="3">
        <v>2.5712</v>
      </c>
    </row>
    <row r="2539" spans="1:7">
      <c r="A2539" s="2">
        <v>44757</v>
      </c>
      <c r="B2539" s="3">
        <v>2.0796</v>
      </c>
      <c r="C2539" s="3">
        <v>2.5609</v>
      </c>
      <c r="D2539" s="3">
        <v>2.0823</v>
      </c>
      <c r="E2539" s="3">
        <v>2.563</v>
      </c>
      <c r="F2539" s="3">
        <v>2.081</v>
      </c>
      <c r="G2539" s="3">
        <v>2.562</v>
      </c>
    </row>
    <row r="2540" spans="1:7">
      <c r="A2540" s="2">
        <v>44760</v>
      </c>
      <c r="B2540" s="3">
        <v>2.0775</v>
      </c>
      <c r="C2540" s="3">
        <v>2.56</v>
      </c>
      <c r="D2540" s="3">
        <v>2.08</v>
      </c>
      <c r="E2540" s="3">
        <v>2.5625</v>
      </c>
      <c r="F2540" s="3">
        <v>2.0788</v>
      </c>
      <c r="G2540" s="3">
        <v>2.5613</v>
      </c>
    </row>
    <row r="2541" spans="1:7">
      <c r="A2541" s="2">
        <v>44761</v>
      </c>
      <c r="B2541" s="3">
        <v>2.08</v>
      </c>
      <c r="C2541" s="3">
        <v>2.57</v>
      </c>
      <c r="D2541" s="3">
        <v>2.085</v>
      </c>
      <c r="E2541" s="3">
        <v>2.5725</v>
      </c>
      <c r="F2541" s="3">
        <v>2.0825</v>
      </c>
      <c r="G2541" s="3">
        <v>2.5713</v>
      </c>
    </row>
    <row r="2542" spans="1:7">
      <c r="A2542" s="2">
        <v>44762</v>
      </c>
      <c r="B2542" s="3">
        <v>2.0625</v>
      </c>
      <c r="C2542" s="3">
        <v>2.5381</v>
      </c>
      <c r="D2542" s="3">
        <v>2.0695</v>
      </c>
      <c r="E2542" s="3">
        <v>2.5408</v>
      </c>
      <c r="F2542" s="3">
        <v>2.066</v>
      </c>
      <c r="G2542" s="3">
        <v>2.5394</v>
      </c>
    </row>
    <row r="2543" spans="1:7">
      <c r="A2543" s="2">
        <v>44763</v>
      </c>
      <c r="B2543" s="3">
        <v>2.06</v>
      </c>
      <c r="C2543" s="3">
        <v>2.535</v>
      </c>
      <c r="D2543" s="3">
        <v>2.065</v>
      </c>
      <c r="E2543" s="3">
        <v>2.5375</v>
      </c>
      <c r="F2543" s="3">
        <v>2.0625</v>
      </c>
      <c r="G2543" s="3">
        <v>2.5363</v>
      </c>
    </row>
    <row r="2544" spans="1:7">
      <c r="A2544" s="2">
        <v>44764</v>
      </c>
      <c r="B2544" s="3">
        <v>2.075</v>
      </c>
      <c r="C2544" s="3">
        <v>2.555</v>
      </c>
      <c r="D2544" s="3">
        <v>2.08</v>
      </c>
      <c r="E2544" s="3">
        <v>2.5575</v>
      </c>
      <c r="F2544" s="3">
        <v>2.0775</v>
      </c>
      <c r="G2544" s="3">
        <v>2.5563</v>
      </c>
    </row>
    <row r="2545" spans="1:7">
      <c r="A2545" s="2">
        <v>44767</v>
      </c>
      <c r="B2545" s="3">
        <v>2.0743</v>
      </c>
      <c r="C2545" s="3">
        <v>2.5473</v>
      </c>
      <c r="D2545" s="3">
        <v>2.0768</v>
      </c>
      <c r="E2545" s="3">
        <v>2.5498</v>
      </c>
      <c r="F2545" s="3">
        <v>2.0755</v>
      </c>
      <c r="G2545" s="3">
        <v>2.5486</v>
      </c>
    </row>
    <row r="2546" spans="1:7">
      <c r="A2546" s="2">
        <v>44768</v>
      </c>
      <c r="B2546" s="3">
        <v>2.0525</v>
      </c>
      <c r="C2546" s="3">
        <v>2.5284</v>
      </c>
      <c r="D2546" s="3">
        <v>2.055</v>
      </c>
      <c r="E2546" s="3">
        <v>2.5307</v>
      </c>
      <c r="F2546" s="3">
        <v>2.0538</v>
      </c>
      <c r="G2546" s="3">
        <v>2.5296</v>
      </c>
    </row>
    <row r="2547" spans="1:7">
      <c r="A2547" s="2">
        <v>44769</v>
      </c>
      <c r="B2547" s="3">
        <v>2.0524</v>
      </c>
      <c r="C2547" s="3">
        <v>2.5325</v>
      </c>
      <c r="D2547" s="3">
        <v>2.055</v>
      </c>
      <c r="E2547" s="3">
        <v>2.5346</v>
      </c>
      <c r="F2547" s="3">
        <v>2.0537</v>
      </c>
      <c r="G2547" s="3">
        <v>2.5335</v>
      </c>
    </row>
    <row r="2548" spans="1:7">
      <c r="A2548" s="2">
        <v>44770</v>
      </c>
      <c r="B2548" s="3">
        <v>2.0743</v>
      </c>
      <c r="C2548" s="3">
        <v>2.5625</v>
      </c>
      <c r="D2548" s="3">
        <v>2.0775</v>
      </c>
      <c r="E2548" s="3">
        <v>2.565</v>
      </c>
      <c r="F2548" s="3">
        <v>2.0759</v>
      </c>
      <c r="G2548" s="3">
        <v>2.5638</v>
      </c>
    </row>
    <row r="2549" spans="1:7">
      <c r="A2549" s="2">
        <v>44771</v>
      </c>
      <c r="B2549" s="3">
        <v>2.03</v>
      </c>
      <c r="C2549" s="3">
        <v>2.52</v>
      </c>
      <c r="D2549" s="3">
        <v>2.0325</v>
      </c>
      <c r="E2549" s="3">
        <v>2.5225</v>
      </c>
      <c r="F2549" s="3">
        <v>2.0313</v>
      </c>
      <c r="G2549" s="3">
        <v>2.5213</v>
      </c>
    </row>
    <row r="2550" spans="1:7">
      <c r="A2550" s="2">
        <v>44774</v>
      </c>
      <c r="B2550" s="3">
        <v>2.0125</v>
      </c>
      <c r="C2550" s="3">
        <v>2.505</v>
      </c>
      <c r="D2550" s="3">
        <v>2.015</v>
      </c>
      <c r="E2550" s="3">
        <v>2.5075</v>
      </c>
      <c r="F2550" s="3">
        <v>2.0138</v>
      </c>
      <c r="G2550" s="3">
        <v>2.5063</v>
      </c>
    </row>
    <row r="2551" spans="1:7">
      <c r="A2551" s="2">
        <v>44775</v>
      </c>
      <c r="B2551" s="3">
        <v>1.9928</v>
      </c>
      <c r="C2551" s="3">
        <v>2.4923</v>
      </c>
      <c r="D2551" s="3">
        <v>1.9969</v>
      </c>
      <c r="E2551" s="3">
        <v>2.4944</v>
      </c>
      <c r="F2551" s="3">
        <v>1.9949</v>
      </c>
      <c r="G2551" s="3">
        <v>2.4934</v>
      </c>
    </row>
    <row r="2552" spans="1:7">
      <c r="A2552" s="2">
        <v>44776</v>
      </c>
      <c r="B2552" s="3">
        <v>1.925</v>
      </c>
      <c r="C2552" s="3">
        <v>2.45</v>
      </c>
      <c r="D2552" s="3">
        <v>1.93</v>
      </c>
      <c r="E2552" s="3">
        <v>2.4529</v>
      </c>
      <c r="F2552" s="3">
        <v>1.9275</v>
      </c>
      <c r="G2552" s="3">
        <v>2.4515</v>
      </c>
    </row>
    <row r="2553" spans="1:7">
      <c r="A2553" s="2">
        <v>44777</v>
      </c>
      <c r="B2553" s="3">
        <v>1.92</v>
      </c>
      <c r="C2553" s="3">
        <v>2.4422</v>
      </c>
      <c r="D2553" s="3">
        <v>1.9209</v>
      </c>
      <c r="E2553" s="3">
        <v>2.445</v>
      </c>
      <c r="F2553" s="3">
        <v>1.9204</v>
      </c>
      <c r="G2553" s="3">
        <v>2.4436</v>
      </c>
    </row>
    <row r="2554" spans="1:7">
      <c r="A2554" s="2">
        <v>44778</v>
      </c>
      <c r="B2554" s="3">
        <v>1.9375</v>
      </c>
      <c r="C2554" s="3">
        <v>2.4706</v>
      </c>
      <c r="D2554" s="3">
        <v>1.9402</v>
      </c>
      <c r="E2554" s="3">
        <v>2.4727</v>
      </c>
      <c r="F2554" s="3">
        <v>1.9388</v>
      </c>
      <c r="G2554" s="3">
        <v>2.4716</v>
      </c>
    </row>
    <row r="2555" spans="1:7">
      <c r="A2555" s="2">
        <v>44781</v>
      </c>
      <c r="B2555" s="3">
        <v>1.945</v>
      </c>
      <c r="C2555" s="3">
        <v>2.4825</v>
      </c>
      <c r="D2555" s="3">
        <v>1.95</v>
      </c>
      <c r="E2555" s="3">
        <v>2.485</v>
      </c>
      <c r="F2555" s="3">
        <v>1.9475</v>
      </c>
      <c r="G2555" s="3">
        <v>2.4838</v>
      </c>
    </row>
    <row r="2556" spans="1:7">
      <c r="A2556" s="2">
        <v>44782</v>
      </c>
      <c r="B2556" s="3">
        <v>1.9761</v>
      </c>
      <c r="C2556" s="3">
        <v>2.4975</v>
      </c>
      <c r="D2556" s="3">
        <v>1.9789</v>
      </c>
      <c r="E2556" s="3">
        <v>2.5</v>
      </c>
      <c r="F2556" s="3">
        <v>1.9775</v>
      </c>
      <c r="G2556" s="3">
        <v>2.4988</v>
      </c>
    </row>
    <row r="2557" spans="1:7">
      <c r="A2557" s="2">
        <v>44783</v>
      </c>
      <c r="B2557" s="3">
        <v>2.015</v>
      </c>
      <c r="C2557" s="3">
        <v>2.524</v>
      </c>
      <c r="D2557" s="3">
        <v>2.02</v>
      </c>
      <c r="E2557" s="3">
        <v>2.5258</v>
      </c>
      <c r="F2557" s="3">
        <v>2.0175</v>
      </c>
      <c r="G2557" s="3">
        <v>2.5249</v>
      </c>
    </row>
    <row r="2558" spans="1:7">
      <c r="A2558" s="2">
        <v>44784</v>
      </c>
      <c r="B2558" s="3">
        <v>2.01</v>
      </c>
      <c r="C2558" s="3">
        <v>2.5149</v>
      </c>
      <c r="D2558" s="3">
        <v>2.0125</v>
      </c>
      <c r="E2558" s="3">
        <v>2.5175</v>
      </c>
      <c r="F2558" s="3">
        <v>2.0113</v>
      </c>
      <c r="G2558" s="3">
        <v>2.5162</v>
      </c>
    </row>
    <row r="2559" spans="1:7">
      <c r="A2559" s="2">
        <v>44785</v>
      </c>
      <c r="B2559" s="3">
        <v>2.02</v>
      </c>
      <c r="C2559" s="3">
        <v>2.52</v>
      </c>
      <c r="D2559" s="3">
        <v>2.0225</v>
      </c>
      <c r="E2559" s="3">
        <v>2.5225</v>
      </c>
      <c r="F2559" s="3">
        <v>2.0213</v>
      </c>
      <c r="G2559" s="3">
        <v>2.5213</v>
      </c>
    </row>
    <row r="2560" spans="1:7">
      <c r="A2560" s="2">
        <v>44788</v>
      </c>
      <c r="B2560" s="3">
        <v>1.8975</v>
      </c>
      <c r="C2560" s="3">
        <v>2.405</v>
      </c>
      <c r="D2560" s="3">
        <v>1.899</v>
      </c>
      <c r="E2560" s="3">
        <v>2.4075</v>
      </c>
      <c r="F2560" s="3">
        <v>1.8982</v>
      </c>
      <c r="G2560" s="3">
        <v>2.4063</v>
      </c>
    </row>
    <row r="2561" spans="1:7">
      <c r="A2561" s="2">
        <v>44789</v>
      </c>
      <c r="B2561" s="3">
        <v>1.8937</v>
      </c>
      <c r="C2561" s="3">
        <v>2.4025</v>
      </c>
      <c r="D2561" s="3">
        <v>1.8957</v>
      </c>
      <c r="E2561" s="3">
        <v>2.405</v>
      </c>
      <c r="F2561" s="3">
        <v>1.8947</v>
      </c>
      <c r="G2561" s="3">
        <v>2.4038</v>
      </c>
    </row>
    <row r="2562" spans="1:7">
      <c r="A2562" s="2">
        <v>44790</v>
      </c>
      <c r="B2562" s="3">
        <v>1.8972</v>
      </c>
      <c r="C2562" s="3">
        <v>2.4048</v>
      </c>
      <c r="D2562" s="3">
        <v>1.8991</v>
      </c>
      <c r="E2562" s="3">
        <v>2.4092</v>
      </c>
      <c r="F2562" s="3">
        <v>1.8981</v>
      </c>
      <c r="G2562" s="3">
        <v>2.407</v>
      </c>
    </row>
    <row r="2563" spans="1:7">
      <c r="A2563" s="2">
        <v>44791</v>
      </c>
      <c r="B2563" s="3">
        <v>1.8779</v>
      </c>
      <c r="C2563" s="3">
        <v>2.39</v>
      </c>
      <c r="D2563" s="3">
        <v>1.8808</v>
      </c>
      <c r="E2563" s="3">
        <v>2.3925</v>
      </c>
      <c r="F2563" s="3">
        <v>1.8794</v>
      </c>
      <c r="G2563" s="3">
        <v>2.3913</v>
      </c>
    </row>
    <row r="2564" spans="1:7">
      <c r="A2564" s="2">
        <v>44792</v>
      </c>
      <c r="B2564" s="3">
        <v>1.885</v>
      </c>
      <c r="C2564" s="3">
        <v>2.395</v>
      </c>
      <c r="D2564" s="3">
        <v>1.89</v>
      </c>
      <c r="E2564" s="3">
        <v>2.3975</v>
      </c>
      <c r="F2564" s="3">
        <v>1.8875</v>
      </c>
      <c r="G2564" s="3">
        <v>2.3963</v>
      </c>
    </row>
    <row r="2565" spans="1:7">
      <c r="A2565" s="2">
        <v>44795</v>
      </c>
      <c r="B2565" s="3">
        <v>1.9</v>
      </c>
      <c r="C2565" s="3">
        <v>2.405</v>
      </c>
      <c r="D2565" s="3">
        <v>1.9033</v>
      </c>
      <c r="E2565" s="3">
        <v>2.4083</v>
      </c>
      <c r="F2565" s="3">
        <v>1.9017</v>
      </c>
      <c r="G2565" s="3">
        <v>2.4067</v>
      </c>
    </row>
    <row r="2566" spans="1:7">
      <c r="A2566" s="2">
        <v>44796</v>
      </c>
      <c r="B2566" s="3">
        <v>1.9175</v>
      </c>
      <c r="C2566" s="3">
        <v>2.4256</v>
      </c>
      <c r="D2566" s="3">
        <v>1.92</v>
      </c>
      <c r="E2566" s="3">
        <v>2.43</v>
      </c>
      <c r="F2566" s="3">
        <v>1.9188</v>
      </c>
      <c r="G2566" s="3">
        <v>2.4278</v>
      </c>
    </row>
    <row r="2567" spans="1:7">
      <c r="A2567" s="2">
        <v>44797</v>
      </c>
      <c r="B2567" s="3">
        <v>1.915</v>
      </c>
      <c r="C2567" s="3">
        <v>2.4225</v>
      </c>
      <c r="D2567" s="3">
        <v>1.9175</v>
      </c>
      <c r="E2567" s="3">
        <v>2.425</v>
      </c>
      <c r="F2567" s="3">
        <v>1.9163</v>
      </c>
      <c r="G2567" s="3">
        <v>2.4238</v>
      </c>
    </row>
    <row r="2568" spans="1:7">
      <c r="A2568" s="2">
        <v>44798</v>
      </c>
      <c r="B2568" s="3">
        <v>1.95</v>
      </c>
      <c r="C2568" s="3">
        <v>2.455</v>
      </c>
      <c r="D2568" s="3">
        <v>1.9525</v>
      </c>
      <c r="E2568" s="3">
        <v>2.46</v>
      </c>
      <c r="F2568" s="3">
        <v>1.9513</v>
      </c>
      <c r="G2568" s="3">
        <v>2.4575</v>
      </c>
    </row>
    <row r="2569" spans="1:7">
      <c r="A2569" s="2">
        <v>44799</v>
      </c>
      <c r="B2569" s="3">
        <v>1.9525</v>
      </c>
      <c r="C2569" s="3">
        <v>2.45</v>
      </c>
      <c r="D2569" s="3">
        <v>1.955</v>
      </c>
      <c r="E2569" s="3">
        <v>2.4525</v>
      </c>
      <c r="F2569" s="3">
        <v>1.9538</v>
      </c>
      <c r="G2569" s="3">
        <v>2.4513</v>
      </c>
    </row>
    <row r="2570" spans="1:7">
      <c r="A2570" s="2">
        <v>44802</v>
      </c>
      <c r="B2570" s="3">
        <v>1.9269</v>
      </c>
      <c r="C2570" s="3">
        <v>2.425</v>
      </c>
      <c r="D2570" s="3">
        <v>1.9292</v>
      </c>
      <c r="E2570" s="3">
        <v>2.4275</v>
      </c>
      <c r="F2570" s="3">
        <v>1.928</v>
      </c>
      <c r="G2570" s="3">
        <v>2.4263</v>
      </c>
    </row>
    <row r="2571" spans="1:7">
      <c r="A2571" s="2">
        <v>44803</v>
      </c>
      <c r="B2571" s="3">
        <v>1.9125</v>
      </c>
      <c r="C2571" s="3">
        <v>2.42</v>
      </c>
      <c r="D2571" s="3">
        <v>1.915</v>
      </c>
      <c r="E2571" s="3">
        <v>2.4225</v>
      </c>
      <c r="F2571" s="3">
        <v>1.9138</v>
      </c>
      <c r="G2571" s="3">
        <v>2.4213</v>
      </c>
    </row>
    <row r="2572" spans="1:7">
      <c r="A2572" s="2">
        <v>44804</v>
      </c>
      <c r="B2572" s="3">
        <v>1.9092</v>
      </c>
      <c r="C2572" s="3">
        <v>2.42</v>
      </c>
      <c r="D2572" s="3">
        <v>1.9108</v>
      </c>
      <c r="E2572" s="3">
        <v>2.4225</v>
      </c>
      <c r="F2572" s="3">
        <v>1.91</v>
      </c>
      <c r="G2572" s="3">
        <v>2.4213</v>
      </c>
    </row>
    <row r="2573" spans="1:7">
      <c r="A2573" s="2">
        <v>44805</v>
      </c>
      <c r="B2573" s="3">
        <v>1.8975</v>
      </c>
      <c r="C2573" s="3">
        <v>2.4025</v>
      </c>
      <c r="D2573" s="3">
        <v>1.9025</v>
      </c>
      <c r="E2573" s="3">
        <v>2.4069</v>
      </c>
      <c r="F2573" s="3">
        <v>1.9</v>
      </c>
      <c r="G2573" s="3">
        <v>2.4047</v>
      </c>
    </row>
    <row r="2574" spans="1:7">
      <c r="A2574" s="2">
        <v>44806</v>
      </c>
      <c r="B2574" s="3">
        <v>1.895</v>
      </c>
      <c r="C2574" s="3">
        <v>2.4056</v>
      </c>
      <c r="D2574" s="3">
        <v>1.9</v>
      </c>
      <c r="E2574" s="3">
        <v>2.41</v>
      </c>
      <c r="F2574" s="3">
        <v>1.8975</v>
      </c>
      <c r="G2574" s="3">
        <v>2.4078</v>
      </c>
    </row>
    <row r="2575" spans="1:7">
      <c r="A2575" s="2">
        <v>44809</v>
      </c>
      <c r="B2575" s="3">
        <v>1.8825</v>
      </c>
      <c r="C2575" s="3">
        <v>2.3956</v>
      </c>
      <c r="D2575" s="3">
        <v>1.8858</v>
      </c>
      <c r="E2575" s="3">
        <v>2.3985</v>
      </c>
      <c r="F2575" s="3">
        <v>1.8842</v>
      </c>
      <c r="G2575" s="3">
        <v>2.397</v>
      </c>
    </row>
    <row r="2576" spans="1:7">
      <c r="A2576" s="2">
        <v>44810</v>
      </c>
      <c r="B2576" s="3">
        <v>1.88</v>
      </c>
      <c r="C2576" s="3">
        <v>2.39</v>
      </c>
      <c r="D2576" s="3">
        <v>1.8825</v>
      </c>
      <c r="E2576" s="3">
        <v>2.3928</v>
      </c>
      <c r="F2576" s="3">
        <v>1.8813</v>
      </c>
      <c r="G2576" s="3">
        <v>2.3914</v>
      </c>
    </row>
    <row r="2577" spans="1:7">
      <c r="A2577" s="2">
        <v>44811</v>
      </c>
      <c r="B2577" s="3">
        <v>1.8925</v>
      </c>
      <c r="C2577" s="3">
        <v>2.4</v>
      </c>
      <c r="D2577" s="3">
        <v>1.895</v>
      </c>
      <c r="E2577" s="3">
        <v>2.4025</v>
      </c>
      <c r="F2577" s="3">
        <v>1.8938</v>
      </c>
      <c r="G2577" s="3">
        <v>2.4013</v>
      </c>
    </row>
    <row r="2578" spans="1:7">
      <c r="A2578" s="2">
        <v>44812</v>
      </c>
      <c r="B2578" s="3">
        <v>1.9</v>
      </c>
      <c r="C2578" s="3">
        <v>2.4049</v>
      </c>
      <c r="D2578" s="3">
        <v>1.9025</v>
      </c>
      <c r="E2578" s="3">
        <v>2.4075</v>
      </c>
      <c r="F2578" s="3">
        <v>1.9013</v>
      </c>
      <c r="G2578" s="3">
        <v>2.4062</v>
      </c>
    </row>
    <row r="2579" spans="1:7">
      <c r="A2579" s="2">
        <v>44813</v>
      </c>
      <c r="B2579" s="3">
        <v>1.9148</v>
      </c>
      <c r="C2579" s="3">
        <v>2.4257</v>
      </c>
      <c r="D2579" s="3">
        <v>1.9175</v>
      </c>
      <c r="E2579" s="3">
        <v>2.4275</v>
      </c>
      <c r="F2579" s="3">
        <v>1.9162</v>
      </c>
      <c r="G2579" s="3">
        <v>2.4266</v>
      </c>
    </row>
    <row r="2580" spans="1:7">
      <c r="A2580" s="2">
        <v>44817</v>
      </c>
      <c r="B2580" s="3">
        <v>1.92</v>
      </c>
      <c r="C2580" s="3">
        <v>2.4325</v>
      </c>
      <c r="D2580" s="3">
        <v>1.9225</v>
      </c>
      <c r="E2580" s="3">
        <v>2.4353</v>
      </c>
      <c r="F2580" s="3">
        <v>1.9213</v>
      </c>
      <c r="G2580" s="3">
        <v>2.4339</v>
      </c>
    </row>
    <row r="2581" spans="1:7">
      <c r="A2581" s="2">
        <v>44818</v>
      </c>
      <c r="B2581" s="3">
        <v>1.9375</v>
      </c>
      <c r="C2581" s="3">
        <v>2.45</v>
      </c>
      <c r="D2581" s="3">
        <v>1.9425</v>
      </c>
      <c r="E2581" s="3">
        <v>2.455</v>
      </c>
      <c r="F2581" s="3">
        <v>1.94</v>
      </c>
      <c r="G2581" s="3">
        <v>2.4525</v>
      </c>
    </row>
    <row r="2582" spans="1:7">
      <c r="A2582" s="2">
        <v>44819</v>
      </c>
      <c r="B2582" s="3">
        <v>1.955</v>
      </c>
      <c r="C2582" s="3">
        <v>2.4575</v>
      </c>
      <c r="D2582" s="3">
        <v>1.9575</v>
      </c>
      <c r="E2582" s="3">
        <v>2.46</v>
      </c>
      <c r="F2582" s="3">
        <v>1.9563</v>
      </c>
      <c r="G2582" s="3">
        <v>2.4588</v>
      </c>
    </row>
    <row r="2583" spans="1:7">
      <c r="A2583" s="2">
        <v>44820</v>
      </c>
      <c r="B2583" s="3">
        <v>1.965</v>
      </c>
      <c r="C2583" s="3">
        <v>2.4675</v>
      </c>
      <c r="D2583" s="3">
        <v>1.9694</v>
      </c>
      <c r="E2583" s="3">
        <v>2.4701</v>
      </c>
      <c r="F2583" s="3">
        <v>1.9672</v>
      </c>
      <c r="G2583" s="3">
        <v>2.4688</v>
      </c>
    </row>
    <row r="2584" spans="1:7">
      <c r="A2584" s="2">
        <v>44823</v>
      </c>
      <c r="B2584" s="3">
        <v>1.965</v>
      </c>
      <c r="C2584" s="3">
        <v>2.4625</v>
      </c>
      <c r="D2584" s="3">
        <v>1.9675</v>
      </c>
      <c r="E2584" s="3">
        <v>2.465</v>
      </c>
      <c r="F2584" s="3">
        <v>1.9663</v>
      </c>
      <c r="G2584" s="3">
        <v>2.4638</v>
      </c>
    </row>
    <row r="2585" spans="1:7">
      <c r="A2585" s="2">
        <v>44824</v>
      </c>
      <c r="B2585" s="3">
        <v>1.9475</v>
      </c>
      <c r="C2585" s="3">
        <v>2.445</v>
      </c>
      <c r="D2585" s="3">
        <v>1.95</v>
      </c>
      <c r="E2585" s="3">
        <v>2.4475</v>
      </c>
      <c r="F2585" s="3">
        <v>1.9488</v>
      </c>
      <c r="G2585" s="3">
        <v>2.4463</v>
      </c>
    </row>
    <row r="2586" spans="1:7">
      <c r="A2586" s="2">
        <v>44825</v>
      </c>
      <c r="B2586" s="3">
        <v>1.945</v>
      </c>
      <c r="C2586" s="3">
        <v>2.44</v>
      </c>
      <c r="D2586" s="3">
        <v>1.95</v>
      </c>
      <c r="E2586" s="3">
        <v>2.4425</v>
      </c>
      <c r="F2586" s="3">
        <v>1.9475</v>
      </c>
      <c r="G2586" s="3">
        <v>2.4413</v>
      </c>
    </row>
    <row r="2587" spans="1:7">
      <c r="A2587" s="2">
        <v>44826</v>
      </c>
      <c r="B2587" s="3">
        <v>1.9625</v>
      </c>
      <c r="C2587" s="3">
        <v>2.4525</v>
      </c>
      <c r="D2587" s="3">
        <v>1.965</v>
      </c>
      <c r="E2587" s="3">
        <v>2.455</v>
      </c>
      <c r="F2587" s="3">
        <v>1.9638</v>
      </c>
      <c r="G2587" s="3">
        <v>2.4538</v>
      </c>
    </row>
    <row r="2588" spans="1:7">
      <c r="A2588" s="2">
        <v>44827</v>
      </c>
      <c r="B2588" s="3">
        <v>1.9725</v>
      </c>
      <c r="C2588" s="3">
        <v>2.48</v>
      </c>
      <c r="D2588" s="3">
        <v>1.9754</v>
      </c>
      <c r="E2588" s="3">
        <v>2.4825</v>
      </c>
      <c r="F2588" s="3">
        <v>1.974</v>
      </c>
      <c r="G2588" s="3">
        <v>2.4813</v>
      </c>
    </row>
    <row r="2589" spans="1:7">
      <c r="A2589" s="2">
        <v>44830</v>
      </c>
      <c r="B2589" s="3">
        <v>2.015</v>
      </c>
      <c r="C2589" s="3">
        <v>2.5225</v>
      </c>
      <c r="D2589" s="3">
        <v>2.0175</v>
      </c>
      <c r="E2589" s="3">
        <v>2.525</v>
      </c>
      <c r="F2589" s="3">
        <v>2.0163</v>
      </c>
      <c r="G2589" s="3">
        <v>2.5238</v>
      </c>
    </row>
    <row r="2590" spans="1:7">
      <c r="A2590" s="2">
        <v>44831</v>
      </c>
      <c r="B2590" s="3">
        <v>1.9874</v>
      </c>
      <c r="C2590" s="3">
        <v>2.5096</v>
      </c>
      <c r="D2590" s="3">
        <v>1.9906</v>
      </c>
      <c r="E2590" s="3">
        <v>2.5125</v>
      </c>
      <c r="F2590" s="3">
        <v>1.989</v>
      </c>
      <c r="G2590" s="3">
        <v>2.511</v>
      </c>
    </row>
    <row r="2591" spans="1:7">
      <c r="A2591" s="2">
        <v>44832</v>
      </c>
      <c r="B2591" s="3">
        <v>2.0068</v>
      </c>
      <c r="C2591" s="3">
        <v>2.5393</v>
      </c>
      <c r="D2591" s="3">
        <v>2.0103</v>
      </c>
      <c r="E2591" s="3">
        <v>2.5421</v>
      </c>
      <c r="F2591" s="3">
        <v>2.0085</v>
      </c>
      <c r="G2591" s="3">
        <v>2.5407</v>
      </c>
    </row>
    <row r="2592" spans="1:7">
      <c r="A2592" s="2">
        <v>44833</v>
      </c>
      <c r="B2592" s="3">
        <v>2.035</v>
      </c>
      <c r="C2592" s="3">
        <v>2.565</v>
      </c>
      <c r="D2592" s="3">
        <v>2.04</v>
      </c>
      <c r="E2592" s="3">
        <v>2.57</v>
      </c>
      <c r="F2592" s="3">
        <v>2.0375</v>
      </c>
      <c r="G2592" s="3">
        <v>2.5675</v>
      </c>
    </row>
    <row r="2593" spans="1:7">
      <c r="A2593" s="2">
        <v>44834</v>
      </c>
      <c r="B2593" s="3">
        <v>2.0199</v>
      </c>
      <c r="C2593" s="3">
        <v>2.5675</v>
      </c>
      <c r="D2593" s="3">
        <v>2.0225</v>
      </c>
      <c r="E2593" s="3">
        <v>2.57</v>
      </c>
      <c r="F2593" s="3">
        <v>2.0212</v>
      </c>
      <c r="G2593" s="3">
        <v>2.5688</v>
      </c>
    </row>
    <row r="2594" spans="1:7">
      <c r="A2594" s="2">
        <v>44842</v>
      </c>
      <c r="B2594" s="3">
        <v>2.015</v>
      </c>
      <c r="C2594" s="3">
        <v>2.56</v>
      </c>
      <c r="D2594" s="3">
        <v>2.05</v>
      </c>
      <c r="E2594" s="3">
        <v>2.595</v>
      </c>
      <c r="F2594" s="3">
        <v>2.0325</v>
      </c>
      <c r="G2594" s="3">
        <v>2.5775</v>
      </c>
    </row>
    <row r="2595" spans="1:7">
      <c r="A2595" s="2">
        <v>44843</v>
      </c>
      <c r="B2595" s="3">
        <v>1.9925</v>
      </c>
      <c r="C2595" s="3">
        <v>2.5475</v>
      </c>
      <c r="D2595" s="3">
        <v>2.01</v>
      </c>
      <c r="E2595" s="3">
        <v>2.5525</v>
      </c>
      <c r="F2595" s="3">
        <v>2.0013</v>
      </c>
      <c r="G2595" s="3">
        <v>2.55</v>
      </c>
    </row>
    <row r="2596" spans="1:7">
      <c r="A2596" s="2">
        <v>44844</v>
      </c>
      <c r="B2596" s="3">
        <v>1.9725</v>
      </c>
      <c r="C2596" s="3">
        <v>2.5325</v>
      </c>
      <c r="D2596" s="3">
        <v>1.9775</v>
      </c>
      <c r="E2596" s="3">
        <v>2.535</v>
      </c>
      <c r="F2596" s="3">
        <v>1.975</v>
      </c>
      <c r="G2596" s="3">
        <v>2.5338</v>
      </c>
    </row>
    <row r="2597" spans="1:7">
      <c r="A2597" s="2">
        <v>44845</v>
      </c>
      <c r="B2597" s="3">
        <v>1.98</v>
      </c>
      <c r="C2597" s="3">
        <v>2.5425</v>
      </c>
      <c r="D2597" s="3">
        <v>1.9844</v>
      </c>
      <c r="E2597" s="3">
        <v>2.545</v>
      </c>
      <c r="F2597" s="3">
        <v>1.9822</v>
      </c>
      <c r="G2597" s="3">
        <v>2.5438</v>
      </c>
    </row>
    <row r="2598" spans="1:7">
      <c r="A2598" s="2">
        <v>44846</v>
      </c>
      <c r="B2598" s="3">
        <v>1.9652</v>
      </c>
      <c r="C2598" s="3">
        <v>2.526</v>
      </c>
      <c r="D2598" s="3">
        <v>1.9686</v>
      </c>
      <c r="E2598" s="3">
        <v>2.5276</v>
      </c>
      <c r="F2598" s="3">
        <v>1.9669</v>
      </c>
      <c r="G2598" s="3">
        <v>2.5268</v>
      </c>
    </row>
    <row r="2599" spans="1:7">
      <c r="A2599" s="2">
        <v>44847</v>
      </c>
      <c r="B2599" s="3">
        <v>1.9625</v>
      </c>
      <c r="C2599" s="3">
        <v>2.5175</v>
      </c>
      <c r="D2599" s="3">
        <v>1.9675</v>
      </c>
      <c r="E2599" s="3">
        <v>2.52</v>
      </c>
      <c r="F2599" s="3">
        <v>1.965</v>
      </c>
      <c r="G2599" s="3">
        <v>2.5188</v>
      </c>
    </row>
    <row r="2600" spans="1:7">
      <c r="A2600" s="2">
        <v>44848</v>
      </c>
      <c r="B2600" s="3">
        <v>1.9475</v>
      </c>
      <c r="C2600" s="3">
        <v>2.495</v>
      </c>
      <c r="D2600" s="3">
        <v>1.9475</v>
      </c>
      <c r="E2600" s="3">
        <v>2.4975</v>
      </c>
      <c r="F2600" s="3">
        <v>1.9475</v>
      </c>
      <c r="G2600" s="3">
        <v>2.4963</v>
      </c>
    </row>
    <row r="2601" spans="1:7">
      <c r="A2601" s="2">
        <v>44851</v>
      </c>
      <c r="B2601" s="3">
        <v>1.9425</v>
      </c>
      <c r="C2601" s="3">
        <v>2.4977</v>
      </c>
      <c r="D2601" s="3">
        <v>1.945</v>
      </c>
      <c r="E2601" s="3">
        <v>2.5005</v>
      </c>
      <c r="F2601" s="3">
        <v>1.9438</v>
      </c>
      <c r="G2601" s="3">
        <v>2.4991</v>
      </c>
    </row>
    <row r="2602" spans="1:7">
      <c r="A2602" s="2">
        <v>44852</v>
      </c>
      <c r="B2602" s="3">
        <v>1.9446</v>
      </c>
      <c r="C2602" s="3">
        <v>2.499</v>
      </c>
      <c r="D2602" s="3">
        <v>1.9475</v>
      </c>
      <c r="E2602" s="3">
        <v>2.5016</v>
      </c>
      <c r="F2602" s="3">
        <v>1.946</v>
      </c>
      <c r="G2602" s="3">
        <v>2.5003</v>
      </c>
    </row>
    <row r="2603" spans="1:7">
      <c r="A2603" s="2">
        <v>44853</v>
      </c>
      <c r="B2603" s="3">
        <v>1.9475</v>
      </c>
      <c r="C2603" s="3">
        <v>2.5</v>
      </c>
      <c r="D2603" s="3">
        <v>1.95</v>
      </c>
      <c r="E2603" s="3">
        <v>2.5025</v>
      </c>
      <c r="F2603" s="3">
        <v>1.9488</v>
      </c>
      <c r="G2603" s="3">
        <v>2.5013</v>
      </c>
    </row>
    <row r="2604" spans="1:7">
      <c r="A2604" s="2">
        <v>44854</v>
      </c>
      <c r="B2604" s="3">
        <v>1.9575</v>
      </c>
      <c r="C2604" s="3">
        <v>2.5171</v>
      </c>
      <c r="D2604" s="3">
        <v>1.96</v>
      </c>
      <c r="E2604" s="3">
        <v>2.5195</v>
      </c>
      <c r="F2604" s="3">
        <v>1.9588</v>
      </c>
      <c r="G2604" s="3">
        <v>2.5183</v>
      </c>
    </row>
    <row r="2605" spans="1:7">
      <c r="A2605" s="2">
        <v>44855</v>
      </c>
      <c r="B2605" s="3">
        <v>1.98</v>
      </c>
      <c r="C2605" s="3">
        <v>2.53</v>
      </c>
      <c r="D2605" s="3">
        <v>1.9825</v>
      </c>
      <c r="E2605" s="3">
        <v>2.5313</v>
      </c>
      <c r="F2605" s="3">
        <v>1.9813</v>
      </c>
      <c r="G2605" s="3">
        <v>2.5306</v>
      </c>
    </row>
    <row r="2606" spans="1:7">
      <c r="A2606" s="2">
        <v>44858</v>
      </c>
      <c r="B2606" s="3">
        <v>1.9742</v>
      </c>
      <c r="C2606" s="3">
        <v>2.5075</v>
      </c>
      <c r="D2606" s="3">
        <v>1.9765</v>
      </c>
      <c r="E2606" s="3">
        <v>2.51</v>
      </c>
      <c r="F2606" s="3">
        <v>1.9754</v>
      </c>
      <c r="G2606" s="3">
        <v>2.5088</v>
      </c>
    </row>
    <row r="2607" spans="1:7">
      <c r="A2607" s="2">
        <v>44859</v>
      </c>
      <c r="B2607" s="3">
        <v>2.0063</v>
      </c>
      <c r="C2607" s="3">
        <v>2.5343</v>
      </c>
      <c r="D2607" s="3">
        <v>2.0076</v>
      </c>
      <c r="E2607" s="3">
        <v>2.5358</v>
      </c>
      <c r="F2607" s="3">
        <v>2.0069</v>
      </c>
      <c r="G2607" s="3">
        <v>2.5351</v>
      </c>
    </row>
    <row r="2608" spans="1:7">
      <c r="A2608" s="2">
        <v>44860</v>
      </c>
      <c r="B2608" s="3">
        <v>1.985</v>
      </c>
      <c r="C2608" s="3">
        <v>2.51</v>
      </c>
      <c r="D2608" s="3">
        <v>1.9891</v>
      </c>
      <c r="E2608" s="3">
        <v>2.5125</v>
      </c>
      <c r="F2608" s="3">
        <v>1.9871</v>
      </c>
      <c r="G2608" s="3">
        <v>2.5113</v>
      </c>
    </row>
    <row r="2609" spans="1:7">
      <c r="A2609" s="2">
        <v>44861</v>
      </c>
      <c r="B2609" s="3">
        <v>1.9775</v>
      </c>
      <c r="C2609" s="3">
        <v>2.495</v>
      </c>
      <c r="D2609" s="3">
        <v>1.98</v>
      </c>
      <c r="E2609" s="3">
        <v>2.4975</v>
      </c>
      <c r="F2609" s="3">
        <v>1.9788</v>
      </c>
      <c r="G2609" s="3">
        <v>2.4963</v>
      </c>
    </row>
    <row r="2610" spans="1:7">
      <c r="A2610" s="2">
        <v>44862</v>
      </c>
      <c r="B2610" s="3">
        <v>1.9575</v>
      </c>
      <c r="C2610" s="3">
        <v>2.4775</v>
      </c>
      <c r="D2610" s="3">
        <v>1.96</v>
      </c>
      <c r="E2610" s="3">
        <v>2.4825</v>
      </c>
      <c r="F2610" s="3">
        <v>1.9588</v>
      </c>
      <c r="G2610" s="3">
        <v>2.48</v>
      </c>
    </row>
    <row r="2611" spans="1:7">
      <c r="A2611" s="2">
        <v>44865</v>
      </c>
      <c r="B2611" s="3">
        <v>1.9525</v>
      </c>
      <c r="C2611" s="3">
        <v>2.461</v>
      </c>
      <c r="D2611" s="3">
        <v>1.955</v>
      </c>
      <c r="E2611" s="3">
        <v>2.464</v>
      </c>
      <c r="F2611" s="3">
        <v>1.9538</v>
      </c>
      <c r="G2611" s="3">
        <v>2.4625</v>
      </c>
    </row>
    <row r="2612" spans="1:7">
      <c r="A2612" s="2">
        <v>44866</v>
      </c>
      <c r="B2612" s="3">
        <v>1.9756</v>
      </c>
      <c r="C2612" s="3">
        <v>2.485</v>
      </c>
      <c r="D2612" s="3">
        <v>1.9794</v>
      </c>
      <c r="E2612" s="3">
        <v>2.4875</v>
      </c>
      <c r="F2612" s="3">
        <v>1.9775</v>
      </c>
      <c r="G2612" s="3">
        <v>2.4863</v>
      </c>
    </row>
    <row r="2613" spans="1:7">
      <c r="A2613" s="2">
        <v>44867</v>
      </c>
      <c r="B2613" s="3">
        <v>1.9875</v>
      </c>
      <c r="C2613" s="3">
        <v>2.5025</v>
      </c>
      <c r="D2613" s="3">
        <v>1.99</v>
      </c>
      <c r="E2613" s="3">
        <v>2.505</v>
      </c>
      <c r="F2613" s="3">
        <v>1.9888</v>
      </c>
      <c r="G2613" s="3">
        <v>2.5038</v>
      </c>
    </row>
    <row r="2614" spans="1:7">
      <c r="A2614" s="2">
        <v>44868</v>
      </c>
      <c r="B2614" s="3">
        <v>1.995</v>
      </c>
      <c r="C2614" s="3">
        <v>2.505</v>
      </c>
      <c r="D2614" s="3">
        <v>1.9975</v>
      </c>
      <c r="E2614" s="3">
        <v>2.5079</v>
      </c>
      <c r="F2614" s="3">
        <v>1.9963</v>
      </c>
      <c r="G2614" s="3">
        <v>2.5065</v>
      </c>
    </row>
    <row r="2615" spans="1:7">
      <c r="A2615" s="2">
        <v>44869</v>
      </c>
      <c r="B2615" s="3">
        <v>1.9975</v>
      </c>
      <c r="C2615" s="3">
        <v>2.5325</v>
      </c>
      <c r="D2615" s="3">
        <v>2</v>
      </c>
      <c r="E2615" s="3">
        <v>2.535</v>
      </c>
      <c r="F2615" s="3">
        <v>1.9988</v>
      </c>
      <c r="G2615" s="3">
        <v>2.5338</v>
      </c>
    </row>
    <row r="2616" spans="1:7">
      <c r="A2616" s="2">
        <v>44872</v>
      </c>
      <c r="B2616" s="3">
        <v>2.0225</v>
      </c>
      <c r="C2616" s="3">
        <v>2.545</v>
      </c>
      <c r="D2616" s="3">
        <v>2.025</v>
      </c>
      <c r="E2616" s="3">
        <v>2.5475</v>
      </c>
      <c r="F2616" s="3">
        <v>2.0238</v>
      </c>
      <c r="G2616" s="3">
        <v>2.5463</v>
      </c>
    </row>
    <row r="2617" spans="1:7">
      <c r="A2617" s="2">
        <v>44873</v>
      </c>
      <c r="B2617" s="3">
        <v>2.0247</v>
      </c>
      <c r="C2617" s="3">
        <v>2.5338</v>
      </c>
      <c r="D2617" s="3">
        <v>2.0275</v>
      </c>
      <c r="E2617" s="3">
        <v>2.5364</v>
      </c>
      <c r="F2617" s="3">
        <v>2.0261</v>
      </c>
      <c r="G2617" s="3">
        <v>2.5351</v>
      </c>
    </row>
    <row r="2618" spans="1:7">
      <c r="A2618" s="2">
        <v>44874</v>
      </c>
      <c r="B2618" s="3">
        <v>2.055</v>
      </c>
      <c r="C2618" s="3">
        <v>2.55</v>
      </c>
      <c r="D2618" s="3">
        <v>2.0585</v>
      </c>
      <c r="E2618" s="3">
        <v>2.555</v>
      </c>
      <c r="F2618" s="3">
        <v>2.0568</v>
      </c>
      <c r="G2618" s="3">
        <v>2.5525</v>
      </c>
    </row>
    <row r="2619" spans="1:7">
      <c r="A2619" s="2">
        <v>44875</v>
      </c>
      <c r="B2619" s="3">
        <v>2.0831</v>
      </c>
      <c r="C2619" s="3">
        <v>2.5625</v>
      </c>
      <c r="D2619" s="3">
        <v>2.0859</v>
      </c>
      <c r="E2619" s="3">
        <v>2.565</v>
      </c>
      <c r="F2619" s="3">
        <v>2.0845</v>
      </c>
      <c r="G2619" s="3">
        <v>2.5638</v>
      </c>
    </row>
    <row r="2620" spans="1:7">
      <c r="A2620" s="2">
        <v>44876</v>
      </c>
      <c r="B2620" s="3">
        <v>2.0918</v>
      </c>
      <c r="C2620" s="3">
        <v>2.602</v>
      </c>
      <c r="D2620" s="3">
        <v>2.095</v>
      </c>
      <c r="E2620" s="3">
        <v>2.605</v>
      </c>
      <c r="F2620" s="3">
        <v>2.0934</v>
      </c>
      <c r="G2620" s="3">
        <v>2.6035</v>
      </c>
    </row>
    <row r="2621" spans="1:7">
      <c r="A2621" s="2">
        <v>44879</v>
      </c>
      <c r="B2621" s="3">
        <v>2.236</v>
      </c>
      <c r="C2621" s="3">
        <v>2.7765</v>
      </c>
      <c r="D2621" s="3">
        <v>2.2432</v>
      </c>
      <c r="E2621" s="3">
        <v>2.7804</v>
      </c>
      <c r="F2621" s="3">
        <v>2.2396</v>
      </c>
      <c r="G2621" s="3">
        <v>2.7784</v>
      </c>
    </row>
    <row r="2622" spans="1:7">
      <c r="A2622" s="2">
        <v>44880</v>
      </c>
      <c r="B2622" s="3">
        <v>2.245</v>
      </c>
      <c r="C2622" s="3">
        <v>2.7606</v>
      </c>
      <c r="D2622" s="3">
        <v>2.25</v>
      </c>
      <c r="E2622" s="3">
        <v>2.7637</v>
      </c>
      <c r="F2622" s="3">
        <v>2.2475</v>
      </c>
      <c r="G2622" s="3">
        <v>2.7621</v>
      </c>
    </row>
    <row r="2623" spans="1:7">
      <c r="A2623" s="2">
        <v>44881</v>
      </c>
      <c r="B2623" s="3">
        <v>2.3236</v>
      </c>
      <c r="C2623" s="3">
        <v>2.8225</v>
      </c>
      <c r="D2623" s="3">
        <v>2.3253</v>
      </c>
      <c r="E2623" s="3">
        <v>2.8287</v>
      </c>
      <c r="F2623" s="3">
        <v>2.3245</v>
      </c>
      <c r="G2623" s="3">
        <v>2.8256</v>
      </c>
    </row>
    <row r="2624" spans="1:7">
      <c r="A2624" s="2">
        <v>44882</v>
      </c>
      <c r="B2624" s="3">
        <v>2.2383</v>
      </c>
      <c r="C2624" s="3">
        <v>2.7592</v>
      </c>
      <c r="D2624" s="3">
        <v>2.242</v>
      </c>
      <c r="E2624" s="3">
        <v>2.7608</v>
      </c>
      <c r="F2624" s="3">
        <v>2.2401</v>
      </c>
      <c r="G2624" s="3">
        <v>2.76</v>
      </c>
    </row>
    <row r="2625" spans="1:7">
      <c r="A2625" s="2">
        <v>44883</v>
      </c>
      <c r="B2625" s="3">
        <v>2.239</v>
      </c>
      <c r="C2625" s="3">
        <v>2.7624</v>
      </c>
      <c r="D2625" s="3">
        <v>2.2412</v>
      </c>
      <c r="E2625" s="3">
        <v>2.7639</v>
      </c>
      <c r="F2625" s="3">
        <v>2.2401</v>
      </c>
      <c r="G2625" s="3">
        <v>2.7631</v>
      </c>
    </row>
    <row r="2626" spans="1:7">
      <c r="A2626" s="2">
        <v>44886</v>
      </c>
      <c r="B2626" s="3">
        <v>2.2294</v>
      </c>
      <c r="C2626" s="3">
        <v>2.7525</v>
      </c>
      <c r="D2626" s="3">
        <v>2.2321</v>
      </c>
      <c r="E2626" s="3">
        <v>2.7575</v>
      </c>
      <c r="F2626" s="3">
        <v>2.2308</v>
      </c>
      <c r="G2626" s="3">
        <v>2.755</v>
      </c>
    </row>
    <row r="2627" spans="1:7">
      <c r="A2627" s="2">
        <v>44887</v>
      </c>
      <c r="B2627" s="3">
        <v>2.2259</v>
      </c>
      <c r="C2627" s="3">
        <v>2.766</v>
      </c>
      <c r="D2627" s="3">
        <v>2.228</v>
      </c>
      <c r="E2627" s="3">
        <v>2.7675</v>
      </c>
      <c r="F2627" s="3">
        <v>2.227</v>
      </c>
      <c r="G2627" s="3">
        <v>2.7668</v>
      </c>
    </row>
    <row r="2628" spans="1:7">
      <c r="A2628" s="2">
        <v>44888</v>
      </c>
      <c r="B2628" s="3">
        <v>2.1841</v>
      </c>
      <c r="C2628" s="3">
        <v>2.7125</v>
      </c>
      <c r="D2628" s="3">
        <v>2.1882</v>
      </c>
      <c r="E2628" s="3">
        <v>2.7172</v>
      </c>
      <c r="F2628" s="3">
        <v>2.1862</v>
      </c>
      <c r="G2628" s="3">
        <v>2.7148</v>
      </c>
    </row>
    <row r="2629" spans="1:7">
      <c r="A2629" s="2">
        <v>44889</v>
      </c>
      <c r="B2629" s="3">
        <v>2.155</v>
      </c>
      <c r="C2629" s="3">
        <v>2.6796</v>
      </c>
      <c r="D2629" s="3">
        <v>2.1583</v>
      </c>
      <c r="E2629" s="3">
        <v>2.6825</v>
      </c>
      <c r="F2629" s="3">
        <v>2.1567</v>
      </c>
      <c r="G2629" s="3">
        <v>2.681</v>
      </c>
    </row>
    <row r="2630" spans="1:7">
      <c r="A2630" s="2">
        <v>44890</v>
      </c>
      <c r="B2630" s="3">
        <v>2.2143</v>
      </c>
      <c r="C2630" s="3">
        <v>2.7497</v>
      </c>
      <c r="D2630" s="3">
        <v>2.2157</v>
      </c>
      <c r="E2630" s="3">
        <v>2.7508</v>
      </c>
      <c r="F2630" s="3">
        <v>2.215</v>
      </c>
      <c r="G2630" s="3">
        <v>2.7503</v>
      </c>
    </row>
    <row r="2631" spans="1:7">
      <c r="A2631" s="2">
        <v>44893</v>
      </c>
      <c r="B2631" s="3">
        <v>2.237</v>
      </c>
      <c r="C2631" s="3">
        <v>2.785</v>
      </c>
      <c r="D2631" s="3">
        <v>2.2386</v>
      </c>
      <c r="E2631" s="3">
        <v>2.7875</v>
      </c>
      <c r="F2631" s="3">
        <v>2.2378</v>
      </c>
      <c r="G2631" s="3">
        <v>2.7863</v>
      </c>
    </row>
    <row r="2632" spans="1:7">
      <c r="A2632" s="2">
        <v>44894</v>
      </c>
      <c r="B2632" s="3">
        <v>2.2586</v>
      </c>
      <c r="C2632" s="3">
        <v>2.825</v>
      </c>
      <c r="D2632" s="3">
        <v>2.265</v>
      </c>
      <c r="E2632" s="3">
        <v>2.8278</v>
      </c>
      <c r="F2632" s="3">
        <v>2.2618</v>
      </c>
      <c r="G2632" s="3">
        <v>2.8264</v>
      </c>
    </row>
    <row r="2633" spans="1:7">
      <c r="A2633" s="2">
        <v>44895</v>
      </c>
      <c r="B2633" s="3">
        <v>2.25</v>
      </c>
      <c r="C2633" s="3">
        <v>2.8175</v>
      </c>
      <c r="D2633" s="3">
        <v>2.265</v>
      </c>
      <c r="E2633" s="3">
        <v>2.8232</v>
      </c>
      <c r="F2633" s="3">
        <v>2.2575</v>
      </c>
      <c r="G2633" s="3">
        <v>2.8203</v>
      </c>
    </row>
    <row r="2634" spans="1:7">
      <c r="A2634" s="2">
        <v>44896</v>
      </c>
      <c r="B2634" s="3">
        <v>2.2267</v>
      </c>
      <c r="C2634" s="3">
        <v>2.7911</v>
      </c>
      <c r="D2634" s="3">
        <v>2.2303</v>
      </c>
      <c r="E2634" s="3">
        <v>2.7939</v>
      </c>
      <c r="F2634" s="3">
        <v>2.2285</v>
      </c>
      <c r="G2634" s="3">
        <v>2.7925</v>
      </c>
    </row>
    <row r="2635" spans="1:7">
      <c r="A2635" s="2">
        <v>44897</v>
      </c>
      <c r="B2635" s="3">
        <v>2.2195</v>
      </c>
      <c r="C2635" s="3">
        <v>2.784</v>
      </c>
      <c r="D2635" s="3">
        <v>2.2225</v>
      </c>
      <c r="E2635" s="3">
        <v>2.7875</v>
      </c>
      <c r="F2635" s="3">
        <v>2.221</v>
      </c>
      <c r="G2635" s="3">
        <v>2.7858</v>
      </c>
    </row>
    <row r="2636" spans="1:7">
      <c r="A2636" s="2">
        <v>44900</v>
      </c>
      <c r="B2636" s="3">
        <v>2.2361</v>
      </c>
      <c r="C2636" s="3">
        <v>2.8138</v>
      </c>
      <c r="D2636" s="3">
        <v>2.2389</v>
      </c>
      <c r="E2636" s="3">
        <v>2.8165</v>
      </c>
      <c r="F2636" s="3">
        <v>2.2375</v>
      </c>
      <c r="G2636" s="3">
        <v>2.8151</v>
      </c>
    </row>
    <row r="2637" spans="1:7">
      <c r="A2637" s="2">
        <v>44901</v>
      </c>
      <c r="B2637" s="3">
        <v>2.27</v>
      </c>
      <c r="C2637" s="3">
        <v>2.8717</v>
      </c>
      <c r="D2637" s="3">
        <v>2.275</v>
      </c>
      <c r="E2637" s="3">
        <v>2.8744</v>
      </c>
      <c r="F2637" s="3">
        <v>2.2725</v>
      </c>
      <c r="G2637" s="3">
        <v>2.8731</v>
      </c>
    </row>
    <row r="2638" spans="1:7">
      <c r="A2638" s="2">
        <v>44902</v>
      </c>
      <c r="B2638" s="3">
        <v>2.234</v>
      </c>
      <c r="C2638" s="3">
        <v>2.8261</v>
      </c>
      <c r="D2638" s="3">
        <v>2.25</v>
      </c>
      <c r="E2638" s="3">
        <v>2.8296</v>
      </c>
      <c r="F2638" s="3">
        <v>2.242</v>
      </c>
      <c r="G2638" s="3">
        <v>2.8279</v>
      </c>
    </row>
    <row r="2639" spans="1:7">
      <c r="A2639" s="2">
        <v>44903</v>
      </c>
      <c r="B2639" s="3">
        <v>2.25</v>
      </c>
      <c r="C2639" s="3">
        <v>2.831</v>
      </c>
      <c r="D2639" s="3">
        <v>2.2536</v>
      </c>
      <c r="E2639" s="3">
        <v>2.835</v>
      </c>
      <c r="F2639" s="3">
        <v>2.2518</v>
      </c>
      <c r="G2639" s="3">
        <v>2.833</v>
      </c>
    </row>
    <row r="2640" spans="1:7">
      <c r="A2640" s="2">
        <v>44904</v>
      </c>
      <c r="B2640" s="3">
        <v>2.2625</v>
      </c>
      <c r="C2640" s="3">
        <v>2.8574</v>
      </c>
      <c r="D2640" s="3">
        <v>2.265</v>
      </c>
      <c r="E2640" s="3">
        <v>2.86</v>
      </c>
      <c r="F2640" s="3">
        <v>2.2638</v>
      </c>
      <c r="G2640" s="3">
        <v>2.8587</v>
      </c>
    </row>
    <row r="2641" spans="1:7">
      <c r="A2641" s="2">
        <v>44907</v>
      </c>
      <c r="B2641" s="3">
        <v>2.2549</v>
      </c>
      <c r="C2641" s="3">
        <v>2.8502</v>
      </c>
      <c r="D2641" s="3">
        <v>2.2569</v>
      </c>
      <c r="E2641" s="3">
        <v>2.8556</v>
      </c>
      <c r="F2641" s="3">
        <v>2.2559</v>
      </c>
      <c r="G2641" s="3">
        <v>2.8529</v>
      </c>
    </row>
    <row r="2642" spans="1:7">
      <c r="A2642" s="2">
        <v>44908</v>
      </c>
      <c r="B2642" s="3">
        <v>2.2659</v>
      </c>
      <c r="C2642" s="3">
        <v>2.8486</v>
      </c>
      <c r="D2642" s="3">
        <v>2.2681</v>
      </c>
      <c r="E2642" s="3">
        <v>2.8525</v>
      </c>
      <c r="F2642" s="3">
        <v>2.267</v>
      </c>
      <c r="G2642" s="3">
        <v>2.8506</v>
      </c>
    </row>
    <row r="2643" spans="1:7">
      <c r="A2643" s="2">
        <v>44909</v>
      </c>
      <c r="B2643" s="3">
        <v>2.2225</v>
      </c>
      <c r="C2643" s="3">
        <v>2.785</v>
      </c>
      <c r="D2643" s="3">
        <v>2.226</v>
      </c>
      <c r="E2643" s="3">
        <v>2.79</v>
      </c>
      <c r="F2643" s="3">
        <v>2.2243</v>
      </c>
      <c r="G2643" s="3">
        <v>2.7875</v>
      </c>
    </row>
    <row r="2644" spans="1:7">
      <c r="A2644" s="2">
        <v>44910</v>
      </c>
      <c r="B2644" s="3">
        <v>2.2349</v>
      </c>
      <c r="C2644" s="3">
        <v>2.8021</v>
      </c>
      <c r="D2644" s="3">
        <v>2.2375</v>
      </c>
      <c r="E2644" s="3">
        <v>2.805</v>
      </c>
      <c r="F2644" s="3">
        <v>2.2362</v>
      </c>
      <c r="G2644" s="3">
        <v>2.8035</v>
      </c>
    </row>
    <row r="2645" spans="1:7">
      <c r="A2645" s="2">
        <v>44911</v>
      </c>
      <c r="B2645" s="3">
        <v>2.2325</v>
      </c>
      <c r="C2645" s="3">
        <v>2.8109</v>
      </c>
      <c r="D2645" s="3">
        <v>2.2362</v>
      </c>
      <c r="E2645" s="3">
        <v>2.815</v>
      </c>
      <c r="F2645" s="3">
        <v>2.2343</v>
      </c>
      <c r="G2645" s="3">
        <v>2.8129</v>
      </c>
    </row>
    <row r="2646" spans="1:7">
      <c r="A2646" s="2">
        <v>44914</v>
      </c>
      <c r="B2646" s="3">
        <v>2.1925</v>
      </c>
      <c r="C2646" s="3">
        <v>2.7704</v>
      </c>
      <c r="D2646" s="3">
        <v>2.1975</v>
      </c>
      <c r="E2646" s="3">
        <v>2.7725</v>
      </c>
      <c r="F2646" s="3">
        <v>2.195</v>
      </c>
      <c r="G2646" s="3">
        <v>2.7715</v>
      </c>
    </row>
    <row r="2647" spans="1:7">
      <c r="A2647" s="2">
        <v>44915</v>
      </c>
      <c r="B2647" s="3">
        <v>2.2122</v>
      </c>
      <c r="C2647" s="3">
        <v>2.7872</v>
      </c>
      <c r="D2647" s="3">
        <v>2.215</v>
      </c>
      <c r="E2647" s="3">
        <v>2.7882</v>
      </c>
      <c r="F2647" s="3">
        <v>2.2136</v>
      </c>
      <c r="G2647" s="3">
        <v>2.7877</v>
      </c>
    </row>
    <row r="2648" spans="1:7">
      <c r="A2648" s="2">
        <v>44916</v>
      </c>
      <c r="B2648" s="3">
        <v>2.1975</v>
      </c>
      <c r="C2648" s="3">
        <v>2.77</v>
      </c>
      <c r="D2648" s="3">
        <v>2.2</v>
      </c>
      <c r="E2648" s="3">
        <v>2.7728</v>
      </c>
      <c r="F2648" s="3">
        <v>2.1988</v>
      </c>
      <c r="G2648" s="3">
        <v>2.7714</v>
      </c>
    </row>
    <row r="2649" spans="1:7">
      <c r="A2649" s="2">
        <v>44917</v>
      </c>
      <c r="B2649" s="3">
        <v>2.1734</v>
      </c>
      <c r="C2649" s="3">
        <v>2.7475</v>
      </c>
      <c r="D2649" s="3">
        <v>2.18</v>
      </c>
      <c r="E2649" s="3">
        <v>2.7503</v>
      </c>
      <c r="F2649" s="3">
        <v>2.1767</v>
      </c>
      <c r="G2649" s="3">
        <v>2.7489</v>
      </c>
    </row>
    <row r="2650" spans="1:7">
      <c r="A2650" s="2">
        <v>44918</v>
      </c>
      <c r="B2650" s="3">
        <v>2.16</v>
      </c>
      <c r="C2650" s="3">
        <v>2.73</v>
      </c>
      <c r="D2650" s="3">
        <v>2.17</v>
      </c>
      <c r="E2650" s="3">
        <v>2.7325</v>
      </c>
      <c r="F2650" s="3">
        <v>2.165</v>
      </c>
      <c r="G2650" s="3">
        <v>2.7313</v>
      </c>
    </row>
    <row r="2651" spans="1:7">
      <c r="A2651" s="2">
        <v>44921</v>
      </c>
      <c r="B2651" s="3">
        <v>2.18</v>
      </c>
      <c r="C2651" s="3">
        <v>2.7425</v>
      </c>
      <c r="D2651" s="3">
        <v>2.185</v>
      </c>
      <c r="E2651" s="3">
        <v>2.744</v>
      </c>
      <c r="F2651" s="3">
        <v>2.1825</v>
      </c>
      <c r="G2651" s="3">
        <v>2.7432</v>
      </c>
    </row>
    <row r="2652" spans="1:7">
      <c r="A2652" s="2">
        <v>44922</v>
      </c>
      <c r="B2652" s="3">
        <v>2.24</v>
      </c>
      <c r="C2652" s="3">
        <v>2.785</v>
      </c>
      <c r="D2652" s="3">
        <v>2.2425</v>
      </c>
      <c r="E2652" s="3">
        <v>2.7875</v>
      </c>
      <c r="F2652" s="3">
        <v>2.2413</v>
      </c>
      <c r="G2652" s="3">
        <v>2.7863</v>
      </c>
    </row>
    <row r="2653" spans="1:7">
      <c r="A2653" s="2">
        <v>44923</v>
      </c>
      <c r="B2653" s="3">
        <v>2.23</v>
      </c>
      <c r="C2653" s="3">
        <v>2.7825</v>
      </c>
      <c r="D2653" s="3">
        <v>2.24</v>
      </c>
      <c r="E2653" s="3">
        <v>2.7838</v>
      </c>
      <c r="F2653" s="3">
        <v>2.235</v>
      </c>
      <c r="G2653" s="3">
        <v>2.7831</v>
      </c>
    </row>
    <row r="2654" spans="1:7">
      <c r="A2654" s="2">
        <v>44924</v>
      </c>
      <c r="B2654" s="3">
        <v>2.1925</v>
      </c>
      <c r="C2654" s="3">
        <v>2.755</v>
      </c>
      <c r="D2654" s="3">
        <v>2.1975</v>
      </c>
      <c r="E2654" s="3">
        <v>2.7575</v>
      </c>
      <c r="F2654" s="3">
        <v>2.195</v>
      </c>
      <c r="G2654" s="3">
        <v>2.7563</v>
      </c>
    </row>
    <row r="2655" spans="1:7">
      <c r="A2655" s="2">
        <v>44925</v>
      </c>
      <c r="B2655" s="3">
        <v>2.1825</v>
      </c>
      <c r="C2655" s="3">
        <v>2.7628</v>
      </c>
      <c r="D2655" s="3">
        <v>2.1875</v>
      </c>
      <c r="E2655" s="3">
        <v>2.7675</v>
      </c>
      <c r="F2655" s="3">
        <v>2.185</v>
      </c>
      <c r="G2655" s="3">
        <v>2.7652</v>
      </c>
    </row>
    <row r="2656" spans="1:7">
      <c r="A2656" s="2">
        <v>44929</v>
      </c>
      <c r="B2656" s="3">
        <v>2.16</v>
      </c>
      <c r="C2656" s="3">
        <v>2.755</v>
      </c>
      <c r="D2656" s="3">
        <v>2.1625</v>
      </c>
      <c r="E2656" s="3">
        <v>2.7575</v>
      </c>
      <c r="F2656" s="3">
        <v>2.1613</v>
      </c>
      <c r="G2656" s="3">
        <v>2.7563</v>
      </c>
    </row>
    <row r="2657" spans="1:7">
      <c r="A2657" s="2">
        <v>44930</v>
      </c>
      <c r="B2657" s="3">
        <v>2.1399</v>
      </c>
      <c r="C2657" s="3">
        <v>2.7248</v>
      </c>
      <c r="D2657" s="3">
        <v>2.1425</v>
      </c>
      <c r="E2657" s="3">
        <v>2.7275</v>
      </c>
      <c r="F2657" s="3">
        <v>2.1412</v>
      </c>
      <c r="G2657" s="3">
        <v>2.7262</v>
      </c>
    </row>
    <row r="2658" spans="1:7">
      <c r="A2658" s="2">
        <v>44931</v>
      </c>
      <c r="B2658" s="3">
        <v>2.145</v>
      </c>
      <c r="C2658" s="3">
        <v>2.7375</v>
      </c>
      <c r="D2658" s="3">
        <v>2.15</v>
      </c>
      <c r="E2658" s="3">
        <v>2.74</v>
      </c>
      <c r="F2658" s="3">
        <v>2.1475</v>
      </c>
      <c r="G2658" s="3">
        <v>2.7388</v>
      </c>
    </row>
    <row r="2659" spans="1:7">
      <c r="A2659" s="2">
        <v>44932</v>
      </c>
      <c r="B2659" s="3">
        <v>2.1638</v>
      </c>
      <c r="C2659" s="3">
        <v>2.7608</v>
      </c>
      <c r="D2659" s="3">
        <v>2.1666</v>
      </c>
      <c r="E2659" s="3">
        <v>2.7635</v>
      </c>
      <c r="F2659" s="3">
        <v>2.1652</v>
      </c>
      <c r="G2659" s="3">
        <v>2.7621</v>
      </c>
    </row>
    <row r="2660" spans="1:7">
      <c r="A2660" s="2">
        <v>44935</v>
      </c>
      <c r="B2660" s="3">
        <v>2.1788</v>
      </c>
      <c r="C2660" s="3">
        <v>2.7704</v>
      </c>
      <c r="D2660" s="3">
        <v>2.1825</v>
      </c>
      <c r="E2660" s="3">
        <v>2.7728</v>
      </c>
      <c r="F2660" s="3">
        <v>2.1807</v>
      </c>
      <c r="G2660" s="3">
        <v>2.7716</v>
      </c>
    </row>
    <row r="2661" spans="1:7">
      <c r="A2661" s="2">
        <v>44936</v>
      </c>
      <c r="B2661" s="3">
        <v>2.245</v>
      </c>
      <c r="C2661" s="3">
        <v>2.8298</v>
      </c>
      <c r="D2661" s="3">
        <v>2.25</v>
      </c>
      <c r="E2661" s="3">
        <v>2.8325</v>
      </c>
      <c r="F2661" s="3">
        <v>2.2475</v>
      </c>
      <c r="G2661" s="3">
        <v>2.8312</v>
      </c>
    </row>
    <row r="2662" spans="1:7">
      <c r="A2662" s="2">
        <v>44937</v>
      </c>
      <c r="B2662" s="3">
        <v>2.245</v>
      </c>
      <c r="C2662" s="3">
        <v>2.8196</v>
      </c>
      <c r="D2662" s="3">
        <v>2.2475</v>
      </c>
      <c r="E2662" s="3">
        <v>2.8225</v>
      </c>
      <c r="F2662" s="3">
        <v>2.2463</v>
      </c>
      <c r="G2662" s="3">
        <v>2.821</v>
      </c>
    </row>
    <row r="2663" spans="1:7">
      <c r="A2663" s="2">
        <v>44938</v>
      </c>
      <c r="B2663" s="3">
        <v>2.24</v>
      </c>
      <c r="C2663" s="3">
        <v>2.8263</v>
      </c>
      <c r="D2663" s="3">
        <v>2.245</v>
      </c>
      <c r="E2663" s="3">
        <v>2.8294</v>
      </c>
      <c r="F2663" s="3">
        <v>2.2425</v>
      </c>
      <c r="G2663" s="3">
        <v>2.8279</v>
      </c>
    </row>
    <row r="2664" spans="1:7">
      <c r="A2664" s="2">
        <v>44939</v>
      </c>
      <c r="B2664" s="3">
        <v>2.25</v>
      </c>
      <c r="C2664" s="3">
        <v>2.852</v>
      </c>
      <c r="D2664" s="3">
        <v>2.2531</v>
      </c>
      <c r="E2664" s="3">
        <v>2.8554</v>
      </c>
      <c r="F2664" s="3">
        <v>2.2515</v>
      </c>
      <c r="G2664" s="3">
        <v>2.8537</v>
      </c>
    </row>
    <row r="2665" spans="1:7">
      <c r="A2665" s="2">
        <v>44942</v>
      </c>
      <c r="B2665" s="3">
        <v>2.2941</v>
      </c>
      <c r="C2665" s="3">
        <v>2.9075</v>
      </c>
      <c r="D2665" s="3">
        <v>2.2993</v>
      </c>
      <c r="E2665" s="3">
        <v>2.9102</v>
      </c>
      <c r="F2665" s="3">
        <v>2.2967</v>
      </c>
      <c r="G2665" s="3">
        <v>2.9088</v>
      </c>
    </row>
    <row r="2666" spans="1:7">
      <c r="A2666" s="2">
        <v>44943</v>
      </c>
      <c r="B2666" s="3">
        <v>2.2825</v>
      </c>
      <c r="C2666" s="3">
        <v>2.8783</v>
      </c>
      <c r="D2666" s="3">
        <v>2.29</v>
      </c>
      <c r="E2666" s="3">
        <v>2.881</v>
      </c>
      <c r="F2666" s="3">
        <v>2.2863</v>
      </c>
      <c r="G2666" s="3">
        <v>2.8796</v>
      </c>
    </row>
    <row r="2667" spans="1:7">
      <c r="A2667" s="2">
        <v>44944</v>
      </c>
      <c r="B2667" s="3">
        <v>2.3075</v>
      </c>
      <c r="C2667" s="3">
        <v>2.9075</v>
      </c>
      <c r="D2667" s="3">
        <v>2.315</v>
      </c>
      <c r="E2667" s="3">
        <v>2.91</v>
      </c>
      <c r="F2667" s="3">
        <v>2.3113</v>
      </c>
      <c r="G2667" s="3">
        <v>2.9088</v>
      </c>
    </row>
    <row r="2668" spans="1:7">
      <c r="A2668" s="2">
        <v>44945</v>
      </c>
      <c r="B2668" s="3">
        <v>2.2925</v>
      </c>
      <c r="C2668" s="3">
        <v>2.905</v>
      </c>
      <c r="D2668" s="3">
        <v>2.3013</v>
      </c>
      <c r="E2668" s="3">
        <v>2.9075</v>
      </c>
      <c r="F2668" s="3">
        <v>2.2969</v>
      </c>
      <c r="G2668" s="3">
        <v>2.9063</v>
      </c>
    </row>
    <row r="2669" spans="1:7">
      <c r="A2669" s="2">
        <v>44946</v>
      </c>
      <c r="B2669" s="3">
        <v>2.305</v>
      </c>
      <c r="C2669" s="3">
        <v>2.9273</v>
      </c>
      <c r="D2669" s="3">
        <v>2.3107</v>
      </c>
      <c r="E2669" s="3">
        <v>2.933</v>
      </c>
      <c r="F2669" s="3">
        <v>2.3078</v>
      </c>
      <c r="G2669" s="3">
        <v>2.9301</v>
      </c>
    </row>
    <row r="2670" spans="1:7">
      <c r="A2670" s="2">
        <v>44954</v>
      </c>
      <c r="B2670" s="3">
        <v>2.295</v>
      </c>
      <c r="C2670" s="3">
        <v>2.92</v>
      </c>
      <c r="D2670" s="3">
        <v>2.31</v>
      </c>
      <c r="E2670" s="3">
        <v>2.94</v>
      </c>
      <c r="F2670" s="3">
        <v>2.3025</v>
      </c>
      <c r="G2670" s="3">
        <v>2.93</v>
      </c>
    </row>
    <row r="2671" spans="1:7">
      <c r="A2671" s="2">
        <v>44955</v>
      </c>
      <c r="B2671" s="3">
        <v>2.28</v>
      </c>
      <c r="C2671" s="3">
        <v>2.92</v>
      </c>
      <c r="D2671" s="3">
        <v>2.32</v>
      </c>
      <c r="E2671" s="3">
        <v>2.935</v>
      </c>
      <c r="F2671" s="3">
        <v>2.3</v>
      </c>
      <c r="G2671" s="3">
        <v>2.9275</v>
      </c>
    </row>
    <row r="2672" spans="1:7">
      <c r="A2672" s="2">
        <v>44956</v>
      </c>
      <c r="B2672" s="3">
        <v>2.2975</v>
      </c>
      <c r="C2672" s="3">
        <v>2.925</v>
      </c>
      <c r="D2672" s="3">
        <v>2.3016</v>
      </c>
      <c r="E2672" s="3">
        <v>2.93</v>
      </c>
      <c r="F2672" s="3">
        <v>2.2996</v>
      </c>
      <c r="G2672" s="3">
        <v>2.9275</v>
      </c>
    </row>
    <row r="2673" spans="1:7">
      <c r="A2673" s="2">
        <v>44957</v>
      </c>
      <c r="B2673" s="3">
        <v>2.28</v>
      </c>
      <c r="C2673" s="3">
        <v>2.8925</v>
      </c>
      <c r="D2673" s="3">
        <v>2.2825</v>
      </c>
      <c r="E2673" s="3">
        <v>2.895</v>
      </c>
      <c r="F2673" s="3">
        <v>2.2813</v>
      </c>
      <c r="G2673" s="3">
        <v>2.8938</v>
      </c>
    </row>
    <row r="2674" spans="1:7">
      <c r="A2674" s="2">
        <v>44958</v>
      </c>
      <c r="B2674" s="3">
        <v>2.28</v>
      </c>
      <c r="C2674" s="3">
        <v>2.9006</v>
      </c>
      <c r="D2674" s="3">
        <v>2.2835</v>
      </c>
      <c r="E2674" s="3">
        <v>2.9034</v>
      </c>
      <c r="F2674" s="3">
        <v>2.2818</v>
      </c>
      <c r="G2674" s="3">
        <v>2.902</v>
      </c>
    </row>
    <row r="2675" spans="1:7">
      <c r="A2675" s="2">
        <v>44959</v>
      </c>
      <c r="B2675" s="3">
        <v>2.2572</v>
      </c>
      <c r="C2675" s="3">
        <v>2.8625</v>
      </c>
      <c r="D2675" s="3">
        <v>2.2598</v>
      </c>
      <c r="E2675" s="3">
        <v>2.865</v>
      </c>
      <c r="F2675" s="3">
        <v>2.2585</v>
      </c>
      <c r="G2675" s="3">
        <v>2.8638</v>
      </c>
    </row>
    <row r="2676" spans="1:7">
      <c r="A2676" s="2">
        <v>44960</v>
      </c>
      <c r="B2676" s="3">
        <v>2.25</v>
      </c>
      <c r="C2676" s="3">
        <v>2.855</v>
      </c>
      <c r="D2676" s="3">
        <v>2.2525</v>
      </c>
      <c r="E2676" s="3">
        <v>2.86</v>
      </c>
      <c r="F2676" s="3">
        <v>2.2513</v>
      </c>
      <c r="G2676" s="3">
        <v>2.8575</v>
      </c>
    </row>
    <row r="2677" spans="1:7">
      <c r="A2677" s="2">
        <v>44963</v>
      </c>
      <c r="B2677" s="3">
        <v>2.2811</v>
      </c>
      <c r="C2677" s="3">
        <v>2.8804</v>
      </c>
      <c r="D2677" s="3">
        <v>2.2829</v>
      </c>
      <c r="E2677" s="3">
        <v>2.8825</v>
      </c>
      <c r="F2677" s="3">
        <v>2.282</v>
      </c>
      <c r="G2677" s="3">
        <v>2.8815</v>
      </c>
    </row>
    <row r="2678" spans="1:7">
      <c r="A2678" s="2">
        <v>44964</v>
      </c>
      <c r="B2678" s="3">
        <v>2.285</v>
      </c>
      <c r="C2678" s="3">
        <v>2.8675</v>
      </c>
      <c r="D2678" s="3">
        <v>2.2889</v>
      </c>
      <c r="E2678" s="3">
        <v>2.8725</v>
      </c>
      <c r="F2678" s="3">
        <v>2.2869</v>
      </c>
      <c r="G2678" s="3">
        <v>2.87</v>
      </c>
    </row>
    <row r="2679" spans="1:7">
      <c r="A2679" s="2">
        <v>44965</v>
      </c>
      <c r="B2679" s="3">
        <v>2.3067</v>
      </c>
      <c r="C2679" s="3">
        <v>2.879</v>
      </c>
      <c r="D2679" s="3">
        <v>2.3094</v>
      </c>
      <c r="E2679" s="3">
        <v>2.8824</v>
      </c>
      <c r="F2679" s="3">
        <v>2.3081</v>
      </c>
      <c r="G2679" s="3">
        <v>2.8807</v>
      </c>
    </row>
    <row r="2680" spans="1:7">
      <c r="A2680" s="2">
        <v>44966</v>
      </c>
      <c r="B2680" s="3">
        <v>2.2956</v>
      </c>
      <c r="C2680" s="3">
        <v>2.87</v>
      </c>
      <c r="D2680" s="3">
        <v>2.3</v>
      </c>
      <c r="E2680" s="3">
        <v>2.8725</v>
      </c>
      <c r="F2680" s="3">
        <v>2.2978</v>
      </c>
      <c r="G2680" s="3">
        <v>2.8713</v>
      </c>
    </row>
    <row r="2681" spans="1:7">
      <c r="A2681" s="2">
        <v>44967</v>
      </c>
      <c r="B2681" s="3">
        <v>2.28</v>
      </c>
      <c r="C2681" s="3">
        <v>2.8675</v>
      </c>
      <c r="D2681" s="3">
        <v>2.2875</v>
      </c>
      <c r="E2681" s="3">
        <v>2.8703</v>
      </c>
      <c r="F2681" s="3">
        <v>2.2838</v>
      </c>
      <c r="G2681" s="3">
        <v>2.8689</v>
      </c>
    </row>
    <row r="2682" spans="1:7">
      <c r="A2682" s="2">
        <v>44970</v>
      </c>
      <c r="B2682" s="3">
        <v>2.275</v>
      </c>
      <c r="C2682" s="3">
        <v>2.8504</v>
      </c>
      <c r="D2682" s="3">
        <v>2.2775</v>
      </c>
      <c r="E2682" s="3">
        <v>2.8528</v>
      </c>
      <c r="F2682" s="3">
        <v>2.2763</v>
      </c>
      <c r="G2682" s="3">
        <v>2.8516</v>
      </c>
    </row>
    <row r="2683" spans="1:7">
      <c r="A2683" s="2">
        <v>44971</v>
      </c>
      <c r="B2683" s="3">
        <v>2.285</v>
      </c>
      <c r="C2683" s="3">
        <v>2.8475</v>
      </c>
      <c r="D2683" s="3">
        <v>2.2875</v>
      </c>
      <c r="E2683" s="3">
        <v>2.8514</v>
      </c>
      <c r="F2683" s="3">
        <v>2.2863</v>
      </c>
      <c r="G2683" s="3">
        <v>2.8494</v>
      </c>
    </row>
    <row r="2684" spans="1:7">
      <c r="A2684" s="2">
        <v>44972</v>
      </c>
      <c r="B2684" s="3">
        <v>2.3</v>
      </c>
      <c r="C2684" s="3">
        <v>2.855</v>
      </c>
      <c r="D2684" s="3">
        <v>2.3025</v>
      </c>
      <c r="E2684" s="3">
        <v>2.8575</v>
      </c>
      <c r="F2684" s="3">
        <v>2.3013</v>
      </c>
      <c r="G2684" s="3">
        <v>2.8563</v>
      </c>
    </row>
    <row r="2685" spans="1:7">
      <c r="A2685" s="2">
        <v>44973</v>
      </c>
      <c r="B2685" s="3">
        <v>2.31</v>
      </c>
      <c r="C2685" s="3">
        <v>2.859</v>
      </c>
      <c r="D2685" s="3">
        <v>2.315</v>
      </c>
      <c r="E2685" s="3">
        <v>2.8604</v>
      </c>
      <c r="F2685" s="3">
        <v>2.3125</v>
      </c>
      <c r="G2685" s="3">
        <v>2.8597</v>
      </c>
    </row>
    <row r="2686" spans="1:7">
      <c r="A2686" s="2">
        <v>44974</v>
      </c>
      <c r="B2686" s="3">
        <v>2.3092</v>
      </c>
      <c r="C2686" s="3">
        <v>2.86</v>
      </c>
      <c r="D2686" s="3">
        <v>2.3125</v>
      </c>
      <c r="E2686" s="3">
        <v>2.8632</v>
      </c>
      <c r="F2686" s="3">
        <v>2.3108</v>
      </c>
      <c r="G2686" s="3">
        <v>2.8616</v>
      </c>
    </row>
    <row r="2687" spans="1:7">
      <c r="A2687" s="2">
        <v>44977</v>
      </c>
      <c r="B2687" s="3">
        <v>2.355</v>
      </c>
      <c r="C2687" s="3">
        <v>2.9157</v>
      </c>
      <c r="D2687" s="3">
        <v>2.3585</v>
      </c>
      <c r="E2687" s="3">
        <v>2.9174</v>
      </c>
      <c r="F2687" s="3">
        <v>2.3568</v>
      </c>
      <c r="G2687" s="3">
        <v>2.9165</v>
      </c>
    </row>
    <row r="2688" spans="1:7">
      <c r="A2688" s="2">
        <v>44978</v>
      </c>
      <c r="B2688" s="3">
        <v>2.36</v>
      </c>
      <c r="C2688" s="3">
        <v>2.925</v>
      </c>
      <c r="D2688" s="3">
        <v>2.3625</v>
      </c>
      <c r="E2688" s="3">
        <v>2.9275</v>
      </c>
      <c r="F2688" s="3">
        <v>2.3613</v>
      </c>
      <c r="G2688" s="3">
        <v>2.9263</v>
      </c>
    </row>
    <row r="2689" spans="1:7">
      <c r="A2689" s="2">
        <v>44979</v>
      </c>
      <c r="B2689" s="3">
        <v>2.385</v>
      </c>
      <c r="C2689" s="3">
        <v>2.9175</v>
      </c>
      <c r="D2689" s="3">
        <v>2.39</v>
      </c>
      <c r="E2689" s="3">
        <v>2.9201</v>
      </c>
      <c r="F2689" s="3">
        <v>2.3875</v>
      </c>
      <c r="G2689" s="3">
        <v>2.9188</v>
      </c>
    </row>
    <row r="2690" spans="1:7">
      <c r="A2690" s="2">
        <v>44980</v>
      </c>
      <c r="B2690" s="3">
        <v>2.425</v>
      </c>
      <c r="C2690" s="3">
        <v>2.9453</v>
      </c>
      <c r="D2690" s="3">
        <v>2.4276</v>
      </c>
      <c r="E2690" s="3">
        <v>2.9478</v>
      </c>
      <c r="F2690" s="3">
        <v>2.4263</v>
      </c>
      <c r="G2690" s="3">
        <v>2.9465</v>
      </c>
    </row>
    <row r="2691" spans="1:7">
      <c r="A2691" s="2">
        <v>44981</v>
      </c>
      <c r="B2691" s="3">
        <v>2.4171</v>
      </c>
      <c r="C2691" s="3">
        <v>2.9343</v>
      </c>
      <c r="D2691" s="3">
        <v>2.42</v>
      </c>
      <c r="E2691" s="3">
        <v>2.9368</v>
      </c>
      <c r="F2691" s="3">
        <v>2.4185</v>
      </c>
      <c r="G2691" s="3">
        <v>2.9355</v>
      </c>
    </row>
    <row r="2692" spans="1:7">
      <c r="A2692" s="2">
        <v>44984</v>
      </c>
      <c r="B2692" s="3">
        <v>2.425</v>
      </c>
      <c r="C2692" s="3">
        <v>2.945</v>
      </c>
      <c r="D2692" s="3">
        <v>2.4275</v>
      </c>
      <c r="E2692" s="3">
        <v>2.9475</v>
      </c>
      <c r="F2692" s="3">
        <v>2.4263</v>
      </c>
      <c r="G2692" s="3">
        <v>2.9463</v>
      </c>
    </row>
    <row r="2693" spans="1:7">
      <c r="A2693" s="2">
        <v>44985</v>
      </c>
      <c r="B2693" s="3">
        <v>2.435</v>
      </c>
      <c r="C2693" s="3">
        <v>2.945</v>
      </c>
      <c r="D2693" s="3">
        <v>2.4375</v>
      </c>
      <c r="E2693" s="3">
        <v>2.9475</v>
      </c>
      <c r="F2693" s="3">
        <v>2.4363</v>
      </c>
      <c r="G2693" s="3">
        <v>2.9463</v>
      </c>
    </row>
    <row r="2694" spans="1:7">
      <c r="A2694" s="2">
        <v>44986</v>
      </c>
      <c r="B2694" s="3">
        <v>2.4175</v>
      </c>
      <c r="C2694" s="3">
        <v>2.9475</v>
      </c>
      <c r="D2694" s="3">
        <v>2.42</v>
      </c>
      <c r="E2694" s="3">
        <v>2.95</v>
      </c>
      <c r="F2694" s="3">
        <v>2.4188</v>
      </c>
      <c r="G2694" s="3">
        <v>2.9488</v>
      </c>
    </row>
    <row r="2695" spans="1:7">
      <c r="A2695" s="2">
        <v>44987</v>
      </c>
      <c r="B2695" s="3">
        <v>2.455</v>
      </c>
      <c r="C2695" s="3">
        <v>2.9855</v>
      </c>
      <c r="D2695" s="3">
        <v>2.46</v>
      </c>
      <c r="E2695" s="3">
        <v>2.9882</v>
      </c>
      <c r="F2695" s="3">
        <v>2.4575</v>
      </c>
      <c r="G2695" s="3">
        <v>2.9869</v>
      </c>
    </row>
    <row r="2696" spans="1:7">
      <c r="A2696" s="2">
        <v>44988</v>
      </c>
      <c r="B2696" s="3">
        <v>2.4525</v>
      </c>
      <c r="C2696" s="3">
        <v>2.9775</v>
      </c>
      <c r="D2696" s="3">
        <v>2.455</v>
      </c>
      <c r="E2696" s="3">
        <v>2.98</v>
      </c>
      <c r="F2696" s="3">
        <v>2.4538</v>
      </c>
      <c r="G2696" s="3">
        <v>2.9788</v>
      </c>
    </row>
    <row r="2697" spans="1:7">
      <c r="A2697" s="2">
        <v>44991</v>
      </c>
      <c r="B2697" s="3">
        <v>2.41</v>
      </c>
      <c r="C2697" s="3">
        <v>2.9271</v>
      </c>
      <c r="D2697" s="3">
        <v>2.4125</v>
      </c>
      <c r="E2697" s="3">
        <v>2.9296</v>
      </c>
      <c r="F2697" s="3">
        <v>2.4113</v>
      </c>
      <c r="G2697" s="3">
        <v>2.9284</v>
      </c>
    </row>
    <row r="2698" spans="1:7">
      <c r="A2698" s="2">
        <v>44992</v>
      </c>
      <c r="B2698" s="3">
        <v>2.4123</v>
      </c>
      <c r="C2698" s="3">
        <v>2.9173</v>
      </c>
      <c r="D2698" s="3">
        <v>2.4146</v>
      </c>
      <c r="E2698" s="3">
        <v>2.92</v>
      </c>
      <c r="F2698" s="3">
        <v>2.4134</v>
      </c>
      <c r="G2698" s="3">
        <v>2.9187</v>
      </c>
    </row>
    <row r="2699" spans="1:7">
      <c r="A2699" s="2">
        <v>44993</v>
      </c>
      <c r="B2699" s="3">
        <v>2.4317</v>
      </c>
      <c r="C2699" s="3">
        <v>2.9344</v>
      </c>
      <c r="D2699" s="3">
        <v>2.435</v>
      </c>
      <c r="E2699" s="3">
        <v>2.9362</v>
      </c>
      <c r="F2699" s="3">
        <v>2.4333</v>
      </c>
      <c r="G2699" s="3">
        <v>2.9353</v>
      </c>
    </row>
    <row r="2700" spans="1:7">
      <c r="A2700" s="2">
        <v>44994</v>
      </c>
      <c r="B2700" s="3">
        <v>2.43</v>
      </c>
      <c r="C2700" s="3">
        <v>2.9059</v>
      </c>
      <c r="D2700" s="3">
        <v>2.4341</v>
      </c>
      <c r="E2700" s="3">
        <v>2.9084</v>
      </c>
      <c r="F2700" s="3">
        <v>2.4321</v>
      </c>
      <c r="G2700" s="3">
        <v>2.9071</v>
      </c>
    </row>
    <row r="2701" spans="1:7">
      <c r="A2701" s="2">
        <v>44995</v>
      </c>
      <c r="B2701" s="3">
        <v>2.4009</v>
      </c>
      <c r="C2701" s="3">
        <v>2.8603</v>
      </c>
      <c r="D2701" s="3">
        <v>2.4031</v>
      </c>
      <c r="E2701" s="3">
        <v>2.8638</v>
      </c>
      <c r="F2701" s="3">
        <v>2.402</v>
      </c>
      <c r="G2701" s="3">
        <v>2.862</v>
      </c>
    </row>
    <row r="2702" spans="1:7">
      <c r="A2702" s="2">
        <v>44998</v>
      </c>
      <c r="B2702" s="3">
        <v>2.41</v>
      </c>
      <c r="C2702" s="3">
        <v>2.8735</v>
      </c>
      <c r="D2702" s="3">
        <v>2.4125</v>
      </c>
      <c r="E2702" s="3">
        <v>2.8758</v>
      </c>
      <c r="F2702" s="3">
        <v>2.4113</v>
      </c>
      <c r="G2702" s="3">
        <v>2.8746</v>
      </c>
    </row>
    <row r="2703" spans="1:7">
      <c r="A2703" s="2">
        <v>44999</v>
      </c>
      <c r="B2703" s="3">
        <v>2.3994</v>
      </c>
      <c r="C2703" s="3">
        <v>2.8375</v>
      </c>
      <c r="D2703" s="3">
        <v>2.4023</v>
      </c>
      <c r="E2703" s="3">
        <v>2.84</v>
      </c>
      <c r="F2703" s="3">
        <v>2.4008</v>
      </c>
      <c r="G2703" s="3">
        <v>2.8388</v>
      </c>
    </row>
    <row r="2704" spans="1:7">
      <c r="A2704" s="2">
        <v>45000</v>
      </c>
      <c r="B2704" s="3">
        <v>2.4225</v>
      </c>
      <c r="C2704" s="3">
        <v>2.8575</v>
      </c>
      <c r="D2704" s="3">
        <v>2.425</v>
      </c>
      <c r="E2704" s="3">
        <v>2.86</v>
      </c>
      <c r="F2704" s="3">
        <v>2.4238</v>
      </c>
      <c r="G2704" s="3">
        <v>2.8588</v>
      </c>
    </row>
    <row r="2705" spans="1:7">
      <c r="A2705" s="2">
        <v>45001</v>
      </c>
      <c r="B2705" s="3">
        <v>2.4</v>
      </c>
      <c r="C2705" s="3">
        <v>2.8225</v>
      </c>
      <c r="D2705" s="3">
        <v>2.4044</v>
      </c>
      <c r="E2705" s="3">
        <v>2.825</v>
      </c>
      <c r="F2705" s="3">
        <v>2.4022</v>
      </c>
      <c r="G2705" s="3">
        <v>2.8238</v>
      </c>
    </row>
    <row r="2706" spans="1:7">
      <c r="A2706" s="2">
        <v>45002</v>
      </c>
      <c r="B2706" s="3">
        <v>2.3975</v>
      </c>
      <c r="C2706" s="3">
        <v>2.8388</v>
      </c>
      <c r="D2706" s="3">
        <v>2.4</v>
      </c>
      <c r="E2706" s="3">
        <v>2.8415</v>
      </c>
      <c r="F2706" s="3">
        <v>2.3988</v>
      </c>
      <c r="G2706" s="3">
        <v>2.8402</v>
      </c>
    </row>
    <row r="2707" spans="1:7">
      <c r="A2707" s="2">
        <v>45005</v>
      </c>
      <c r="B2707" s="3">
        <v>2.3421</v>
      </c>
      <c r="C2707" s="3">
        <v>2.79</v>
      </c>
      <c r="D2707" s="3">
        <v>2.345</v>
      </c>
      <c r="E2707" s="3">
        <v>2.7925</v>
      </c>
      <c r="F2707" s="3">
        <v>2.3435</v>
      </c>
      <c r="G2707" s="3">
        <v>2.7913</v>
      </c>
    </row>
    <row r="2708" spans="1:7">
      <c r="A2708" s="2">
        <v>45006</v>
      </c>
      <c r="B2708" s="3">
        <v>2.38</v>
      </c>
      <c r="C2708" s="3">
        <v>2.8275</v>
      </c>
      <c r="D2708" s="3">
        <v>2.3825</v>
      </c>
      <c r="E2708" s="3">
        <v>2.83</v>
      </c>
      <c r="F2708" s="3">
        <v>2.3813</v>
      </c>
      <c r="G2708" s="3">
        <v>2.8288</v>
      </c>
    </row>
    <row r="2709" spans="1:7">
      <c r="A2709" s="2">
        <v>45007</v>
      </c>
      <c r="B2709" s="3">
        <v>2.3725</v>
      </c>
      <c r="C2709" s="3">
        <v>2.8225</v>
      </c>
      <c r="D2709" s="3">
        <v>2.375</v>
      </c>
      <c r="E2709" s="3">
        <v>2.8252</v>
      </c>
      <c r="F2709" s="3">
        <v>2.3738</v>
      </c>
      <c r="G2709" s="3">
        <v>2.8238</v>
      </c>
    </row>
    <row r="2710" spans="1:7">
      <c r="A2710" s="2">
        <v>45008</v>
      </c>
      <c r="B2710" s="3">
        <v>2.3725</v>
      </c>
      <c r="C2710" s="3">
        <v>2.84</v>
      </c>
      <c r="D2710" s="3">
        <v>2.375</v>
      </c>
      <c r="E2710" s="3">
        <v>2.8425</v>
      </c>
      <c r="F2710" s="3">
        <v>2.3738</v>
      </c>
      <c r="G2710" s="3">
        <v>2.8413</v>
      </c>
    </row>
    <row r="2711" spans="1:7">
      <c r="A2711" s="2">
        <v>45009</v>
      </c>
      <c r="B2711" s="3">
        <v>2.3775</v>
      </c>
      <c r="C2711" s="3">
        <v>2.8448</v>
      </c>
      <c r="D2711" s="3">
        <v>2.38</v>
      </c>
      <c r="E2711" s="3">
        <v>2.8477</v>
      </c>
      <c r="F2711" s="3">
        <v>2.3788</v>
      </c>
      <c r="G2711" s="3">
        <v>2.8463</v>
      </c>
    </row>
    <row r="2712" spans="1:7">
      <c r="A2712" s="2">
        <v>45012</v>
      </c>
      <c r="B2712" s="3">
        <v>2.3604</v>
      </c>
      <c r="C2712" s="3">
        <v>2.8125</v>
      </c>
      <c r="D2712" s="3">
        <v>2.3627</v>
      </c>
      <c r="E2712" s="3">
        <v>2.815</v>
      </c>
      <c r="F2712" s="3">
        <v>2.3616</v>
      </c>
      <c r="G2712" s="3">
        <v>2.8138</v>
      </c>
    </row>
    <row r="2713" spans="1:7">
      <c r="A2713" s="2">
        <v>45013</v>
      </c>
      <c r="B2713" s="3">
        <v>2.37</v>
      </c>
      <c r="C2713" s="3">
        <v>2.8225</v>
      </c>
      <c r="D2713" s="3">
        <v>2.3735</v>
      </c>
      <c r="E2713" s="3">
        <v>2.825</v>
      </c>
      <c r="F2713" s="3">
        <v>2.3718</v>
      </c>
      <c r="G2713" s="3">
        <v>2.8238</v>
      </c>
    </row>
    <row r="2714" spans="1:7">
      <c r="A2714" s="2">
        <v>45014</v>
      </c>
      <c r="B2714" s="3">
        <v>2.3625</v>
      </c>
      <c r="C2714" s="3">
        <v>2.8175</v>
      </c>
      <c r="D2714" s="3">
        <v>2.365</v>
      </c>
      <c r="E2714" s="3">
        <v>2.82</v>
      </c>
      <c r="F2714" s="3">
        <v>2.3638</v>
      </c>
      <c r="G2714" s="3">
        <v>2.8188</v>
      </c>
    </row>
    <row r="2715" spans="1:7">
      <c r="A2715" s="2">
        <v>45015</v>
      </c>
      <c r="B2715" s="3">
        <v>2.3634</v>
      </c>
      <c r="C2715" s="3">
        <v>2.8286</v>
      </c>
      <c r="D2715" s="3">
        <v>2.366</v>
      </c>
      <c r="E2715" s="3">
        <v>2.8303</v>
      </c>
      <c r="F2715" s="3">
        <v>2.3647</v>
      </c>
      <c r="G2715" s="3">
        <v>2.8295</v>
      </c>
    </row>
    <row r="2716" spans="1:7">
      <c r="A2716" s="2">
        <v>45016</v>
      </c>
      <c r="B2716" s="3">
        <v>2.335</v>
      </c>
      <c r="C2716" s="3">
        <v>2.82</v>
      </c>
      <c r="D2716" s="3">
        <v>2.3375</v>
      </c>
      <c r="E2716" s="3">
        <v>2.8225</v>
      </c>
      <c r="F2716" s="3">
        <v>2.3363</v>
      </c>
      <c r="G2716" s="3">
        <v>2.8213</v>
      </c>
    </row>
    <row r="2717" spans="1:7">
      <c r="A2717" s="2">
        <v>45019</v>
      </c>
      <c r="B2717" s="3">
        <v>2.3475</v>
      </c>
      <c r="C2717" s="3">
        <v>2.835</v>
      </c>
      <c r="D2717" s="3">
        <v>2.35</v>
      </c>
      <c r="E2717" s="3">
        <v>2.8383</v>
      </c>
      <c r="F2717" s="3">
        <v>2.3488</v>
      </c>
      <c r="G2717" s="3">
        <v>2.8367</v>
      </c>
    </row>
    <row r="2718" spans="1:7">
      <c r="A2718" s="2">
        <v>45020</v>
      </c>
      <c r="B2718" s="3">
        <v>2.36</v>
      </c>
      <c r="C2718" s="3">
        <v>2.845</v>
      </c>
      <c r="D2718" s="3">
        <v>2.3625</v>
      </c>
      <c r="E2718" s="3">
        <v>2.8475</v>
      </c>
      <c r="F2718" s="3">
        <v>2.3613</v>
      </c>
      <c r="G2718" s="3">
        <v>2.8463</v>
      </c>
    </row>
    <row r="2719" spans="1:7">
      <c r="A2719" s="2">
        <v>45022</v>
      </c>
      <c r="B2719" s="3">
        <v>2.3875</v>
      </c>
      <c r="C2719" s="3">
        <v>2.8579</v>
      </c>
      <c r="D2719" s="3">
        <v>2.3925</v>
      </c>
      <c r="E2719" s="3">
        <v>2.8607</v>
      </c>
      <c r="F2719" s="3">
        <v>2.39</v>
      </c>
      <c r="G2719" s="3">
        <v>2.8593</v>
      </c>
    </row>
    <row r="2720" spans="1:7">
      <c r="A2720" s="2">
        <v>45023</v>
      </c>
      <c r="B2720" s="3">
        <v>2.3725</v>
      </c>
      <c r="C2720" s="3">
        <v>2.8431</v>
      </c>
      <c r="D2720" s="3">
        <v>2.375</v>
      </c>
      <c r="E2720" s="3">
        <v>2.8475</v>
      </c>
      <c r="F2720" s="3">
        <v>2.3738</v>
      </c>
      <c r="G2720" s="3">
        <v>2.8453</v>
      </c>
    </row>
    <row r="2721" spans="1:7">
      <c r="A2721" s="2">
        <v>45026</v>
      </c>
      <c r="B2721" s="3">
        <v>2.3875</v>
      </c>
      <c r="C2721" s="3">
        <v>2.8525</v>
      </c>
      <c r="D2721" s="3">
        <v>2.39</v>
      </c>
      <c r="E2721" s="3">
        <v>2.855</v>
      </c>
      <c r="F2721" s="3">
        <v>2.3888</v>
      </c>
      <c r="G2721" s="3">
        <v>2.8538</v>
      </c>
    </row>
    <row r="2722" spans="1:7">
      <c r="A2722" s="2">
        <v>45027</v>
      </c>
      <c r="B2722" s="3">
        <v>2.37</v>
      </c>
      <c r="C2722" s="3">
        <v>2.8209</v>
      </c>
      <c r="D2722" s="3">
        <v>2.375</v>
      </c>
      <c r="E2722" s="3">
        <v>2.825</v>
      </c>
      <c r="F2722" s="3">
        <v>2.3725</v>
      </c>
      <c r="G2722" s="3">
        <v>2.8229</v>
      </c>
    </row>
    <row r="2723" spans="1:7">
      <c r="A2723" s="2">
        <v>45028</v>
      </c>
      <c r="B2723" s="3">
        <v>2.3675</v>
      </c>
      <c r="C2723" s="3">
        <v>2.815</v>
      </c>
      <c r="D2723" s="3">
        <v>2.37</v>
      </c>
      <c r="E2723" s="3">
        <v>2.8175</v>
      </c>
      <c r="F2723" s="3">
        <v>2.3688</v>
      </c>
      <c r="G2723" s="3">
        <v>2.8163</v>
      </c>
    </row>
    <row r="2724" spans="1:7">
      <c r="A2724" s="2">
        <v>45029</v>
      </c>
      <c r="B2724" s="3">
        <v>2.38</v>
      </c>
      <c r="C2724" s="3">
        <v>2.83</v>
      </c>
      <c r="D2724" s="3">
        <v>2.385</v>
      </c>
      <c r="E2724" s="3">
        <v>2.8325</v>
      </c>
      <c r="F2724" s="3">
        <v>2.3825</v>
      </c>
      <c r="G2724" s="3">
        <v>2.8313</v>
      </c>
    </row>
    <row r="2725" spans="1:7">
      <c r="A2725" s="2">
        <v>45030</v>
      </c>
      <c r="B2725" s="3">
        <v>2.3675</v>
      </c>
      <c r="C2725" s="3">
        <v>2.83</v>
      </c>
      <c r="D2725" s="3">
        <v>2.37</v>
      </c>
      <c r="E2725" s="3">
        <v>2.8325</v>
      </c>
      <c r="F2725" s="3">
        <v>2.3688</v>
      </c>
      <c r="G2725" s="3">
        <v>2.8313</v>
      </c>
    </row>
    <row r="2726" spans="1:7">
      <c r="A2726" s="2">
        <v>45033</v>
      </c>
      <c r="B2726" s="3">
        <v>2.39</v>
      </c>
      <c r="C2726" s="3">
        <v>2.85</v>
      </c>
      <c r="D2726" s="3">
        <v>2.3925</v>
      </c>
      <c r="E2726" s="3">
        <v>2.8525</v>
      </c>
      <c r="F2726" s="3">
        <v>2.3913</v>
      </c>
      <c r="G2726" s="3">
        <v>2.8513</v>
      </c>
    </row>
    <row r="2727" spans="1:7">
      <c r="A2727" s="2">
        <v>45034</v>
      </c>
      <c r="B2727" s="3">
        <v>2.385</v>
      </c>
      <c r="C2727" s="3">
        <v>2.8425</v>
      </c>
      <c r="D2727" s="3">
        <v>2.3875</v>
      </c>
      <c r="E2727" s="3">
        <v>2.845</v>
      </c>
      <c r="F2727" s="3">
        <v>2.3863</v>
      </c>
      <c r="G2727" s="3">
        <v>2.8438</v>
      </c>
    </row>
    <row r="2728" spans="1:7">
      <c r="A2728" s="2">
        <v>45035</v>
      </c>
      <c r="B2728" s="3">
        <v>2.3795</v>
      </c>
      <c r="C2728" s="3">
        <v>2.8422</v>
      </c>
      <c r="D2728" s="3">
        <v>2.3825</v>
      </c>
      <c r="E2728" s="3">
        <v>2.8441</v>
      </c>
      <c r="F2728" s="3">
        <v>2.381</v>
      </c>
      <c r="G2728" s="3">
        <v>2.8431</v>
      </c>
    </row>
    <row r="2729" spans="1:7">
      <c r="A2729" s="2">
        <v>45036</v>
      </c>
      <c r="B2729" s="3">
        <v>2.385</v>
      </c>
      <c r="C2729" s="3">
        <v>2.8475</v>
      </c>
      <c r="D2729" s="3">
        <v>2.3875</v>
      </c>
      <c r="E2729" s="3">
        <v>2.85</v>
      </c>
      <c r="F2729" s="3">
        <v>2.3863</v>
      </c>
      <c r="G2729" s="3">
        <v>2.8488</v>
      </c>
    </row>
    <row r="2730" spans="1:7">
      <c r="A2730" s="2">
        <v>45037</v>
      </c>
      <c r="B2730" s="3">
        <v>2.385</v>
      </c>
      <c r="C2730" s="3">
        <v>2.84</v>
      </c>
      <c r="D2730" s="3">
        <v>2.3875</v>
      </c>
      <c r="E2730" s="3">
        <v>2.8425</v>
      </c>
      <c r="F2730" s="3">
        <v>2.3863</v>
      </c>
      <c r="G2730" s="3">
        <v>2.8413</v>
      </c>
    </row>
    <row r="2731" spans="1:7">
      <c r="A2731" s="2">
        <v>45039</v>
      </c>
      <c r="B2731" s="3">
        <v>2.37</v>
      </c>
      <c r="C2731" s="3">
        <v>2.8275</v>
      </c>
      <c r="D2731" s="3">
        <v>2.3875</v>
      </c>
      <c r="E2731" s="3">
        <v>2.8377</v>
      </c>
      <c r="F2731" s="3">
        <v>2.3788</v>
      </c>
      <c r="G2731" s="3">
        <v>2.8326</v>
      </c>
    </row>
    <row r="2732" spans="1:7">
      <c r="A2732" s="2">
        <v>45040</v>
      </c>
      <c r="B2732" s="3">
        <v>2.385</v>
      </c>
      <c r="C2732" s="3">
        <v>2.8294</v>
      </c>
      <c r="D2732" s="3">
        <v>2.3875</v>
      </c>
      <c r="E2732" s="3">
        <v>2.8319</v>
      </c>
      <c r="F2732" s="3">
        <v>2.3863</v>
      </c>
      <c r="G2732" s="3">
        <v>2.8306</v>
      </c>
    </row>
    <row r="2733" spans="1:7">
      <c r="A2733" s="2">
        <v>45041</v>
      </c>
      <c r="B2733" s="3">
        <v>2.377</v>
      </c>
      <c r="C2733" s="3">
        <v>2.8222</v>
      </c>
      <c r="D2733" s="3">
        <v>2.3791</v>
      </c>
      <c r="E2733" s="3">
        <v>2.824</v>
      </c>
      <c r="F2733" s="3">
        <v>2.378</v>
      </c>
      <c r="G2733" s="3">
        <v>2.8231</v>
      </c>
    </row>
    <row r="2734" spans="1:7">
      <c r="A2734" s="2">
        <v>45042</v>
      </c>
      <c r="B2734" s="3">
        <v>2.3508</v>
      </c>
      <c r="C2734" s="3">
        <v>2.8011</v>
      </c>
      <c r="D2734" s="3">
        <v>2.3527</v>
      </c>
      <c r="E2734" s="3">
        <v>2.8026</v>
      </c>
      <c r="F2734" s="3">
        <v>2.3517</v>
      </c>
      <c r="G2734" s="3">
        <v>2.8019</v>
      </c>
    </row>
    <row r="2735" spans="1:7">
      <c r="A2735" s="2">
        <v>45043</v>
      </c>
      <c r="B2735" s="3">
        <v>2.3275</v>
      </c>
      <c r="C2735" s="3">
        <v>2.765</v>
      </c>
      <c r="D2735" s="3">
        <v>2.3325</v>
      </c>
      <c r="E2735" s="3">
        <v>2.77</v>
      </c>
      <c r="F2735" s="3">
        <v>2.33</v>
      </c>
      <c r="G2735" s="3">
        <v>2.7675</v>
      </c>
    </row>
    <row r="2736" spans="1:7">
      <c r="A2736" s="2">
        <v>45044</v>
      </c>
      <c r="B2736" s="3">
        <v>2.3225</v>
      </c>
      <c r="C2736" s="3">
        <v>2.7625</v>
      </c>
      <c r="D2736" s="3">
        <v>2.3276</v>
      </c>
      <c r="E2736" s="3">
        <v>2.765</v>
      </c>
      <c r="F2736" s="3">
        <v>2.3251</v>
      </c>
      <c r="G2736" s="3">
        <v>2.7638</v>
      </c>
    </row>
    <row r="2737" spans="1:7">
      <c r="A2737" s="2">
        <v>45050</v>
      </c>
      <c r="B2737" s="3">
        <v>2.29</v>
      </c>
      <c r="C2737" s="3">
        <v>2.735</v>
      </c>
      <c r="D2737" s="3">
        <v>2.2925</v>
      </c>
      <c r="E2737" s="3">
        <v>2.7375</v>
      </c>
      <c r="F2737" s="3">
        <v>2.2913</v>
      </c>
      <c r="G2737" s="3">
        <v>2.7363</v>
      </c>
    </row>
    <row r="2738" spans="1:7">
      <c r="A2738" s="2">
        <v>45051</v>
      </c>
      <c r="B2738" s="3">
        <v>2.2374</v>
      </c>
      <c r="C2738" s="3">
        <v>2.6838</v>
      </c>
      <c r="D2738" s="3">
        <v>2.2411</v>
      </c>
      <c r="E2738" s="3">
        <v>2.6867</v>
      </c>
      <c r="F2738" s="3">
        <v>2.2392</v>
      </c>
      <c r="G2738" s="3">
        <v>2.6852</v>
      </c>
    </row>
    <row r="2739" spans="1:7">
      <c r="A2739" s="2">
        <v>45052</v>
      </c>
      <c r="B2739" s="3">
        <v>2.2275</v>
      </c>
      <c r="C2739" s="3">
        <v>2.6765</v>
      </c>
      <c r="D2739" s="3">
        <v>2.2339</v>
      </c>
      <c r="E2739" s="3">
        <v>2.6825</v>
      </c>
      <c r="F2739" s="3">
        <v>2.2307</v>
      </c>
      <c r="G2739" s="3">
        <v>2.6795</v>
      </c>
    </row>
    <row r="2740" spans="1:7">
      <c r="A2740" s="2">
        <v>45054</v>
      </c>
      <c r="B2740" s="3">
        <v>2.2548</v>
      </c>
      <c r="C2740" s="3">
        <v>2.7025</v>
      </c>
      <c r="D2740" s="3">
        <v>2.2575</v>
      </c>
      <c r="E2740" s="3">
        <v>2.705</v>
      </c>
      <c r="F2740" s="3">
        <v>2.2562</v>
      </c>
      <c r="G2740" s="3">
        <v>2.7038</v>
      </c>
    </row>
    <row r="2741" spans="1:7">
      <c r="A2741" s="2">
        <v>45055</v>
      </c>
      <c r="B2741" s="3">
        <v>2.245</v>
      </c>
      <c r="C2741" s="3">
        <v>2.6913</v>
      </c>
      <c r="D2741" s="3">
        <v>2.2494</v>
      </c>
      <c r="E2741" s="3">
        <v>2.6939</v>
      </c>
      <c r="F2741" s="3">
        <v>2.2472</v>
      </c>
      <c r="G2741" s="3">
        <v>2.6926</v>
      </c>
    </row>
    <row r="2742" spans="1:7">
      <c r="A2742" s="2">
        <v>45056</v>
      </c>
      <c r="B2742" s="3">
        <v>2.2175</v>
      </c>
      <c r="C2742" s="3">
        <v>2.655</v>
      </c>
      <c r="D2742" s="3">
        <v>2.22</v>
      </c>
      <c r="E2742" s="3">
        <v>2.6578</v>
      </c>
      <c r="F2742" s="3">
        <v>2.2188</v>
      </c>
      <c r="G2742" s="3">
        <v>2.6564</v>
      </c>
    </row>
    <row r="2743" spans="1:7">
      <c r="A2743" s="2">
        <v>45057</v>
      </c>
      <c r="B2743" s="3">
        <v>2.1575</v>
      </c>
      <c r="C2743" s="3">
        <v>2.6125</v>
      </c>
      <c r="D2743" s="3">
        <v>2.16</v>
      </c>
      <c r="E2743" s="3">
        <v>2.615</v>
      </c>
      <c r="F2743" s="3">
        <v>2.1588</v>
      </c>
      <c r="G2743" s="3">
        <v>2.6138</v>
      </c>
    </row>
    <row r="2744" spans="1:7">
      <c r="A2744" s="2">
        <v>45058</v>
      </c>
      <c r="B2744" s="3">
        <v>2.1342</v>
      </c>
      <c r="C2744" s="3">
        <v>2.6089</v>
      </c>
      <c r="D2744" s="3">
        <v>2.1379</v>
      </c>
      <c r="E2744" s="3">
        <v>2.6139</v>
      </c>
      <c r="F2744" s="3">
        <v>2.1361</v>
      </c>
      <c r="G2744" s="3">
        <v>2.6114</v>
      </c>
    </row>
    <row r="2745" spans="1:7">
      <c r="A2745" s="2">
        <v>45061</v>
      </c>
      <c r="B2745" s="3">
        <v>2.1625</v>
      </c>
      <c r="C2745" s="3">
        <v>2.6275</v>
      </c>
      <c r="D2745" s="3">
        <v>2.165</v>
      </c>
      <c r="E2745" s="3">
        <v>2.63</v>
      </c>
      <c r="F2745" s="3">
        <v>2.1638</v>
      </c>
      <c r="G2745" s="3">
        <v>2.6288</v>
      </c>
    </row>
    <row r="2746" spans="1:7">
      <c r="A2746" s="2">
        <v>45062</v>
      </c>
      <c r="B2746" s="3">
        <v>2.1725</v>
      </c>
      <c r="C2746" s="3">
        <v>2.6265</v>
      </c>
      <c r="D2746" s="3">
        <v>2.1775</v>
      </c>
      <c r="E2746" s="3">
        <v>2.6294</v>
      </c>
      <c r="F2746" s="3">
        <v>2.175</v>
      </c>
      <c r="G2746" s="3">
        <v>2.6279</v>
      </c>
    </row>
    <row r="2747" spans="1:7">
      <c r="A2747" s="2">
        <v>45063</v>
      </c>
      <c r="B2747" s="3">
        <v>2.1825</v>
      </c>
      <c r="C2747" s="3">
        <v>2.6457</v>
      </c>
      <c r="D2747" s="3">
        <v>2.1846</v>
      </c>
      <c r="E2747" s="3">
        <v>2.6482</v>
      </c>
      <c r="F2747" s="3">
        <v>2.1835</v>
      </c>
      <c r="G2747" s="3">
        <v>2.647</v>
      </c>
    </row>
    <row r="2748" spans="1:7">
      <c r="A2748" s="2">
        <v>45064</v>
      </c>
      <c r="B2748" s="3">
        <v>2.1624</v>
      </c>
      <c r="C2748" s="3">
        <v>2.6325</v>
      </c>
      <c r="D2748" s="3">
        <v>2.165</v>
      </c>
      <c r="E2748" s="3">
        <v>2.6375</v>
      </c>
      <c r="F2748" s="3">
        <v>2.1637</v>
      </c>
      <c r="G2748" s="3">
        <v>2.635</v>
      </c>
    </row>
    <row r="2749" spans="1:7">
      <c r="A2749" s="2">
        <v>45065</v>
      </c>
      <c r="B2749" s="3">
        <v>2.1325</v>
      </c>
      <c r="C2749" s="3">
        <v>2.6025</v>
      </c>
      <c r="D2749" s="3">
        <v>2.1364</v>
      </c>
      <c r="E2749" s="3">
        <v>2.6075</v>
      </c>
      <c r="F2749" s="3">
        <v>2.1344</v>
      </c>
      <c r="G2749" s="3">
        <v>2.605</v>
      </c>
    </row>
    <row r="2750" spans="1:7">
      <c r="A2750" s="2">
        <v>45068</v>
      </c>
      <c r="B2750" s="3">
        <v>2.1075</v>
      </c>
      <c r="C2750" s="3">
        <v>2.565</v>
      </c>
      <c r="D2750" s="3">
        <v>2.11</v>
      </c>
      <c r="E2750" s="3">
        <v>2.5675</v>
      </c>
      <c r="F2750" s="3">
        <v>2.1088</v>
      </c>
      <c r="G2750" s="3">
        <v>2.5663</v>
      </c>
    </row>
    <row r="2751" spans="1:7">
      <c r="A2751" s="2">
        <v>45069</v>
      </c>
      <c r="B2751" s="3">
        <v>2.0875</v>
      </c>
      <c r="C2751" s="3">
        <v>2.5225</v>
      </c>
      <c r="D2751" s="3">
        <v>2.09</v>
      </c>
      <c r="E2751" s="3">
        <v>2.525</v>
      </c>
      <c r="F2751" s="3">
        <v>2.0888</v>
      </c>
      <c r="G2751" s="3">
        <v>2.5238</v>
      </c>
    </row>
    <row r="2752" spans="1:7">
      <c r="A2752" s="2">
        <v>45070</v>
      </c>
      <c r="B2752" s="3">
        <v>2.1067</v>
      </c>
      <c r="C2752" s="3">
        <v>2.5492</v>
      </c>
      <c r="D2752" s="3">
        <v>2.1102</v>
      </c>
      <c r="E2752" s="3">
        <v>2.5525</v>
      </c>
      <c r="F2752" s="3">
        <v>2.1084</v>
      </c>
      <c r="G2752" s="3">
        <v>2.5508</v>
      </c>
    </row>
    <row r="2753" spans="1:7">
      <c r="A2753" s="2">
        <v>45071</v>
      </c>
      <c r="B2753" s="3">
        <v>2.0975</v>
      </c>
      <c r="C2753" s="3">
        <v>2.5413</v>
      </c>
      <c r="D2753" s="3">
        <v>2.1025</v>
      </c>
      <c r="E2753" s="3">
        <v>2.545</v>
      </c>
      <c r="F2753" s="3">
        <v>2.1</v>
      </c>
      <c r="G2753" s="3">
        <v>2.5432</v>
      </c>
    </row>
    <row r="2754" spans="1:7">
      <c r="A2754" s="2">
        <v>45072</v>
      </c>
      <c r="B2754" s="3">
        <v>2.11</v>
      </c>
      <c r="C2754" s="3">
        <v>2.5619</v>
      </c>
      <c r="D2754" s="3">
        <v>2.1125</v>
      </c>
      <c r="E2754" s="3">
        <v>2.5641</v>
      </c>
      <c r="F2754" s="3">
        <v>2.1113</v>
      </c>
      <c r="G2754" s="3">
        <v>2.563</v>
      </c>
    </row>
    <row r="2755" spans="1:7">
      <c r="A2755" s="2">
        <v>45075</v>
      </c>
      <c r="B2755" s="3">
        <v>2.095</v>
      </c>
      <c r="C2755" s="3">
        <v>2.5375</v>
      </c>
      <c r="D2755" s="3">
        <v>2.0985</v>
      </c>
      <c r="E2755" s="3">
        <v>2.54</v>
      </c>
      <c r="F2755" s="3">
        <v>2.0968</v>
      </c>
      <c r="G2755" s="3">
        <v>2.5388</v>
      </c>
    </row>
    <row r="2756" spans="1:7">
      <c r="A2756" s="2">
        <v>45076</v>
      </c>
      <c r="B2756" s="3">
        <v>2.1013</v>
      </c>
      <c r="C2756" s="3">
        <v>2.55</v>
      </c>
      <c r="D2756" s="3">
        <v>2.105</v>
      </c>
      <c r="E2756" s="3">
        <v>2.5525</v>
      </c>
      <c r="F2756" s="3">
        <v>2.1032</v>
      </c>
      <c r="G2756" s="3">
        <v>2.5513</v>
      </c>
    </row>
    <row r="2757" spans="1:7">
      <c r="A2757" s="2">
        <v>45077</v>
      </c>
      <c r="B2757" s="3">
        <v>2.0664</v>
      </c>
      <c r="C2757" s="3">
        <v>2.5139</v>
      </c>
      <c r="D2757" s="3">
        <v>2.069</v>
      </c>
      <c r="E2757" s="3">
        <v>2.517</v>
      </c>
      <c r="F2757" s="3">
        <v>2.0677</v>
      </c>
      <c r="G2757" s="3">
        <v>2.5155</v>
      </c>
    </row>
    <row r="2758" spans="1:7">
      <c r="A2758" s="2">
        <v>45078</v>
      </c>
      <c r="B2758" s="3">
        <v>2.05</v>
      </c>
      <c r="C2758" s="3">
        <v>2.4932</v>
      </c>
      <c r="D2758" s="3">
        <v>2.0529</v>
      </c>
      <c r="E2758" s="3">
        <v>2.4957</v>
      </c>
      <c r="F2758" s="3">
        <v>2.0515</v>
      </c>
      <c r="G2758" s="3">
        <v>2.4945</v>
      </c>
    </row>
    <row r="2759" spans="1:7">
      <c r="A2759" s="2">
        <v>45079</v>
      </c>
      <c r="B2759" s="3">
        <v>2.0825</v>
      </c>
      <c r="C2759" s="3">
        <v>2.5475</v>
      </c>
      <c r="D2759" s="3">
        <v>2.0875</v>
      </c>
      <c r="E2759" s="3">
        <v>2.55</v>
      </c>
      <c r="F2759" s="3">
        <v>2.085</v>
      </c>
      <c r="G2759" s="3">
        <v>2.5488</v>
      </c>
    </row>
    <row r="2760" spans="1:7">
      <c r="A2760" s="2">
        <v>45082</v>
      </c>
      <c r="B2760" s="3">
        <v>2.0725</v>
      </c>
      <c r="C2760" s="3">
        <v>2.5365</v>
      </c>
      <c r="D2760" s="3">
        <v>2.0762</v>
      </c>
      <c r="E2760" s="3">
        <v>2.54</v>
      </c>
      <c r="F2760" s="3">
        <v>2.0743</v>
      </c>
      <c r="G2760" s="3">
        <v>2.5383</v>
      </c>
    </row>
    <row r="2761" spans="1:7">
      <c r="A2761" s="2">
        <v>45083</v>
      </c>
      <c r="B2761" s="3">
        <v>2.055</v>
      </c>
      <c r="C2761" s="3">
        <v>2.5054</v>
      </c>
      <c r="D2761" s="3">
        <v>2.058</v>
      </c>
      <c r="E2761" s="3">
        <v>2.5085</v>
      </c>
      <c r="F2761" s="3">
        <v>2.0565</v>
      </c>
      <c r="G2761" s="3">
        <v>2.507</v>
      </c>
    </row>
    <row r="2762" spans="1:7">
      <c r="A2762" s="2">
        <v>45084</v>
      </c>
      <c r="B2762" s="3">
        <v>2.0676</v>
      </c>
      <c r="C2762" s="3">
        <v>2.5122</v>
      </c>
      <c r="D2762" s="3">
        <v>2.0707</v>
      </c>
      <c r="E2762" s="3">
        <v>2.5151</v>
      </c>
      <c r="F2762" s="3">
        <v>2.0691</v>
      </c>
      <c r="G2762" s="3">
        <v>2.5136</v>
      </c>
    </row>
    <row r="2763" spans="1:7">
      <c r="A2763" s="2">
        <v>45085</v>
      </c>
      <c r="B2763" s="3">
        <v>2.065</v>
      </c>
      <c r="C2763" s="3">
        <v>2.522</v>
      </c>
      <c r="D2763" s="3">
        <v>2.0675</v>
      </c>
      <c r="E2763" s="3">
        <v>2.525</v>
      </c>
      <c r="F2763" s="3">
        <v>2.0663</v>
      </c>
      <c r="G2763" s="3">
        <v>2.5235</v>
      </c>
    </row>
    <row r="2764" spans="1:7">
      <c r="A2764" s="2">
        <v>45086</v>
      </c>
      <c r="B2764" s="3">
        <v>2.0475</v>
      </c>
      <c r="C2764" s="3">
        <v>2.4942</v>
      </c>
      <c r="D2764" s="3">
        <v>2.05</v>
      </c>
      <c r="E2764" s="3">
        <v>2.4975</v>
      </c>
      <c r="F2764" s="3">
        <v>2.0488</v>
      </c>
      <c r="G2764" s="3">
        <v>2.4958</v>
      </c>
    </row>
    <row r="2765" spans="1:7">
      <c r="A2765" s="2">
        <v>45089</v>
      </c>
      <c r="B2765" s="3">
        <v>2.0543</v>
      </c>
      <c r="C2765" s="3">
        <v>2.4873</v>
      </c>
      <c r="D2765" s="3">
        <v>2.0575</v>
      </c>
      <c r="E2765" s="3">
        <v>2.4896</v>
      </c>
      <c r="F2765" s="3">
        <v>2.0559</v>
      </c>
      <c r="G2765" s="3">
        <v>2.4884</v>
      </c>
    </row>
    <row r="2766" spans="1:7">
      <c r="A2766" s="2">
        <v>45090</v>
      </c>
      <c r="B2766" s="3">
        <v>2.025</v>
      </c>
      <c r="C2766" s="3">
        <v>2.4325</v>
      </c>
      <c r="D2766" s="3">
        <v>2.0277</v>
      </c>
      <c r="E2766" s="3">
        <v>2.4366</v>
      </c>
      <c r="F2766" s="3">
        <v>2.0263</v>
      </c>
      <c r="G2766" s="3">
        <v>2.4346</v>
      </c>
    </row>
    <row r="2767" spans="1:7">
      <c r="A2767" s="2">
        <v>45091</v>
      </c>
      <c r="B2767" s="3">
        <v>2.0375</v>
      </c>
      <c r="C2767" s="3">
        <v>2.4393</v>
      </c>
      <c r="D2767" s="3">
        <v>2.04</v>
      </c>
      <c r="E2767" s="3">
        <v>2.442</v>
      </c>
      <c r="F2767" s="3">
        <v>2.0388</v>
      </c>
      <c r="G2767" s="3">
        <v>2.4406</v>
      </c>
    </row>
    <row r="2768" spans="1:7">
      <c r="A2768" s="2">
        <v>45092</v>
      </c>
      <c r="B2768" s="3">
        <v>2.05</v>
      </c>
      <c r="C2768" s="3">
        <v>2.4775</v>
      </c>
      <c r="D2768" s="3">
        <v>2.0537</v>
      </c>
      <c r="E2768" s="3">
        <v>2.48</v>
      </c>
      <c r="F2768" s="3">
        <v>2.0518</v>
      </c>
      <c r="G2768" s="3">
        <v>2.4788</v>
      </c>
    </row>
    <row r="2769" spans="1:7">
      <c r="A2769" s="2">
        <v>45093</v>
      </c>
      <c r="B2769" s="3">
        <v>2.0696</v>
      </c>
      <c r="C2769" s="3">
        <v>2.5217</v>
      </c>
      <c r="D2769" s="3">
        <v>2.0731</v>
      </c>
      <c r="E2769" s="3">
        <v>2.524</v>
      </c>
      <c r="F2769" s="3">
        <v>2.0714</v>
      </c>
      <c r="G2769" s="3">
        <v>2.5229</v>
      </c>
    </row>
    <row r="2770" spans="1:7">
      <c r="A2770" s="2">
        <v>45096</v>
      </c>
      <c r="B2770" s="3">
        <v>2.105</v>
      </c>
      <c r="C2770" s="3">
        <v>2.5525</v>
      </c>
      <c r="D2770" s="3">
        <v>2.1097</v>
      </c>
      <c r="E2770" s="3">
        <v>2.5575</v>
      </c>
      <c r="F2770" s="3">
        <v>2.1073</v>
      </c>
      <c r="G2770" s="3">
        <v>2.555</v>
      </c>
    </row>
    <row r="2771" spans="1:7">
      <c r="A2771" s="2">
        <v>45097</v>
      </c>
      <c r="B2771" s="3">
        <v>2.0925</v>
      </c>
      <c r="C2771" s="3">
        <v>2.53</v>
      </c>
      <c r="D2771" s="3">
        <v>2.095</v>
      </c>
      <c r="E2771" s="3">
        <v>2.5325</v>
      </c>
      <c r="F2771" s="3">
        <v>2.0938</v>
      </c>
      <c r="G2771" s="3">
        <v>2.5313</v>
      </c>
    </row>
    <row r="2772" spans="1:7">
      <c r="A2772" s="2">
        <v>45098</v>
      </c>
      <c r="B2772" s="3">
        <v>2.0775</v>
      </c>
      <c r="C2772" s="3">
        <v>2.5148</v>
      </c>
      <c r="D2772" s="3">
        <v>2.08</v>
      </c>
      <c r="E2772" s="3">
        <v>2.5175</v>
      </c>
      <c r="F2772" s="3">
        <v>2.0788</v>
      </c>
      <c r="G2772" s="3">
        <v>2.5162</v>
      </c>
    </row>
    <row r="2773" spans="1:7">
      <c r="A2773" s="2">
        <v>45102</v>
      </c>
      <c r="B2773" s="3">
        <v>2.0725</v>
      </c>
      <c r="C2773" s="3">
        <v>2.5025</v>
      </c>
      <c r="D2773" s="3">
        <v>2.0819</v>
      </c>
      <c r="E2773" s="3">
        <v>2.51</v>
      </c>
      <c r="F2773" s="3">
        <v>2.0772</v>
      </c>
      <c r="G2773" s="3">
        <v>2.5063</v>
      </c>
    </row>
    <row r="2774" spans="1:7">
      <c r="A2774" s="2">
        <v>45103</v>
      </c>
      <c r="B2774" s="3">
        <v>2.0675</v>
      </c>
      <c r="C2774" s="3">
        <v>2.513</v>
      </c>
      <c r="D2774" s="3">
        <v>2.07</v>
      </c>
      <c r="E2774" s="3">
        <v>2.5155</v>
      </c>
      <c r="F2774" s="3">
        <v>2.0688</v>
      </c>
      <c r="G2774" s="3">
        <v>2.5143</v>
      </c>
    </row>
    <row r="2775" spans="1:7">
      <c r="A2775" s="2">
        <v>45104</v>
      </c>
      <c r="B2775" s="3">
        <v>2.075</v>
      </c>
      <c r="C2775" s="3">
        <v>2.5122</v>
      </c>
      <c r="D2775" s="3">
        <v>2.0778</v>
      </c>
      <c r="E2775" s="3">
        <v>2.5146</v>
      </c>
      <c r="F2775" s="3">
        <v>2.0764</v>
      </c>
      <c r="G2775" s="3">
        <v>2.5134</v>
      </c>
    </row>
    <row r="2776" spans="1:7">
      <c r="A2776" s="2">
        <v>45105</v>
      </c>
      <c r="B2776" s="3">
        <v>2.0675</v>
      </c>
      <c r="C2776" s="3">
        <v>2.5</v>
      </c>
      <c r="D2776" s="3">
        <v>2.0702</v>
      </c>
      <c r="E2776" s="3">
        <v>2.505</v>
      </c>
      <c r="F2776" s="3">
        <v>2.0688</v>
      </c>
      <c r="G2776" s="3">
        <v>2.5025</v>
      </c>
    </row>
    <row r="2777" spans="1:7">
      <c r="A2777" s="2">
        <v>45106</v>
      </c>
      <c r="B2777" s="3">
        <v>2.062</v>
      </c>
      <c r="C2777" s="3">
        <v>2.4895</v>
      </c>
      <c r="D2777" s="3">
        <v>2.0645</v>
      </c>
      <c r="E2777" s="3">
        <v>2.4925</v>
      </c>
      <c r="F2777" s="3">
        <v>2.0633</v>
      </c>
      <c r="G2777" s="3">
        <v>2.491</v>
      </c>
    </row>
    <row r="2778" spans="1:7">
      <c r="A2778" s="2">
        <v>45107</v>
      </c>
      <c r="B2778" s="3">
        <v>2.0123</v>
      </c>
      <c r="C2778" s="3">
        <v>2.4449</v>
      </c>
      <c r="D2778" s="3">
        <v>2.0148</v>
      </c>
      <c r="E2778" s="3">
        <v>2.4475</v>
      </c>
      <c r="F2778" s="3">
        <v>2.0136</v>
      </c>
      <c r="G2778" s="3">
        <v>2.4462</v>
      </c>
    </row>
    <row r="2779" spans="1:7">
      <c r="A2779" s="2">
        <v>45110</v>
      </c>
      <c r="B2779" s="3">
        <v>2.015</v>
      </c>
      <c r="C2779" s="3">
        <v>2.4525</v>
      </c>
      <c r="D2779" s="3">
        <v>2.0175</v>
      </c>
      <c r="E2779" s="3">
        <v>2.455</v>
      </c>
      <c r="F2779" s="3">
        <v>2.0163</v>
      </c>
      <c r="G2779" s="3">
        <v>2.4538</v>
      </c>
    </row>
    <row r="2780" spans="1:7">
      <c r="A2780" s="2">
        <v>45111</v>
      </c>
      <c r="B2780" s="3">
        <v>2.0396</v>
      </c>
      <c r="C2780" s="3">
        <v>2.4819</v>
      </c>
      <c r="D2780" s="3">
        <v>2.0437</v>
      </c>
      <c r="E2780" s="3">
        <v>2.4846</v>
      </c>
      <c r="F2780" s="3">
        <v>2.0416</v>
      </c>
      <c r="G2780" s="3">
        <v>2.4833</v>
      </c>
    </row>
    <row r="2781" spans="1:7">
      <c r="A2781" s="2">
        <v>45112</v>
      </c>
      <c r="B2781" s="3">
        <v>2.02</v>
      </c>
      <c r="C2781" s="3">
        <v>2.4525</v>
      </c>
      <c r="D2781" s="3">
        <v>2.0225</v>
      </c>
      <c r="E2781" s="3">
        <v>2.4551</v>
      </c>
      <c r="F2781" s="3">
        <v>2.0213</v>
      </c>
      <c r="G2781" s="3">
        <v>2.4538</v>
      </c>
    </row>
    <row r="2782" spans="1:7">
      <c r="A2782" s="2">
        <v>45113</v>
      </c>
      <c r="B2782" s="3">
        <v>2.0175</v>
      </c>
      <c r="C2782" s="3">
        <v>2.455</v>
      </c>
      <c r="D2782" s="3">
        <v>2.02</v>
      </c>
      <c r="E2782" s="3">
        <v>2.4585</v>
      </c>
      <c r="F2782" s="3">
        <v>2.0188</v>
      </c>
      <c r="G2782" s="3">
        <v>2.4568</v>
      </c>
    </row>
    <row r="2783" spans="1:7">
      <c r="A2783" s="2">
        <v>45114</v>
      </c>
      <c r="B2783" s="3">
        <v>2.02</v>
      </c>
      <c r="C2783" s="3">
        <v>2.4525</v>
      </c>
      <c r="D2783" s="3">
        <v>2.0225</v>
      </c>
      <c r="E2783" s="3">
        <v>2.455</v>
      </c>
      <c r="F2783" s="3">
        <v>2.0213</v>
      </c>
      <c r="G2783" s="3">
        <v>2.4538</v>
      </c>
    </row>
    <row r="2784" spans="1:7">
      <c r="A2784" s="2">
        <v>45117</v>
      </c>
      <c r="B2784" s="3">
        <v>2.025</v>
      </c>
      <c r="C2784" s="3">
        <v>2.4525</v>
      </c>
      <c r="D2784" s="3">
        <v>2.0275</v>
      </c>
      <c r="E2784" s="3">
        <v>2.455</v>
      </c>
      <c r="F2784" s="3">
        <v>2.0263</v>
      </c>
      <c r="G2784" s="3">
        <v>2.4538</v>
      </c>
    </row>
    <row r="2785" spans="1:7">
      <c r="A2785" s="2">
        <v>45118</v>
      </c>
      <c r="B2785" s="3">
        <v>2.03</v>
      </c>
      <c r="C2785" s="3">
        <v>2.4575</v>
      </c>
      <c r="D2785" s="3">
        <v>2.0341</v>
      </c>
      <c r="E2785" s="3">
        <v>2.46</v>
      </c>
      <c r="F2785" s="3">
        <v>2.0321</v>
      </c>
      <c r="G2785" s="3">
        <v>2.4588</v>
      </c>
    </row>
    <row r="2786" spans="1:7">
      <c r="A2786" s="2">
        <v>45119</v>
      </c>
      <c r="B2786" s="3">
        <v>2.0325</v>
      </c>
      <c r="C2786" s="3">
        <v>2.46</v>
      </c>
      <c r="D2786" s="3">
        <v>2.0375</v>
      </c>
      <c r="E2786" s="3">
        <v>2.4625</v>
      </c>
      <c r="F2786" s="3">
        <v>2.035</v>
      </c>
      <c r="G2786" s="3">
        <v>2.4613</v>
      </c>
    </row>
    <row r="2787" spans="1:7">
      <c r="A2787" s="2">
        <v>45120</v>
      </c>
      <c r="B2787" s="3">
        <v>2.0475</v>
      </c>
      <c r="C2787" s="3">
        <v>2.4812</v>
      </c>
      <c r="D2787" s="3">
        <v>2.0501</v>
      </c>
      <c r="E2787" s="3">
        <v>2.4833</v>
      </c>
      <c r="F2787" s="3">
        <v>2.0488</v>
      </c>
      <c r="G2787" s="3">
        <v>2.4823</v>
      </c>
    </row>
    <row r="2788" spans="1:7">
      <c r="A2788" s="2">
        <v>45121</v>
      </c>
      <c r="B2788" s="3">
        <v>2.0375</v>
      </c>
      <c r="C2788" s="3">
        <v>2.4675</v>
      </c>
      <c r="D2788" s="3">
        <v>2.04</v>
      </c>
      <c r="E2788" s="3">
        <v>2.47</v>
      </c>
      <c r="F2788" s="3">
        <v>2.0388</v>
      </c>
      <c r="G2788" s="3">
        <v>2.4688</v>
      </c>
    </row>
    <row r="2789" spans="1:7">
      <c r="A2789" s="2">
        <v>45124</v>
      </c>
      <c r="B2789" s="3">
        <v>2.0325</v>
      </c>
      <c r="C2789" s="3">
        <v>2.4575</v>
      </c>
      <c r="D2789" s="3">
        <v>2.035</v>
      </c>
      <c r="E2789" s="3">
        <v>2.46</v>
      </c>
      <c r="F2789" s="3">
        <v>2.0338</v>
      </c>
      <c r="G2789" s="3">
        <v>2.4588</v>
      </c>
    </row>
    <row r="2790" spans="1:7">
      <c r="A2790" s="2">
        <v>45125</v>
      </c>
      <c r="B2790" s="3">
        <v>2.0268</v>
      </c>
      <c r="C2790" s="3">
        <v>2.445</v>
      </c>
      <c r="D2790" s="3">
        <v>2.03</v>
      </c>
      <c r="E2790" s="3">
        <v>2.4475</v>
      </c>
      <c r="F2790" s="3">
        <v>2.0284</v>
      </c>
      <c r="G2790" s="3">
        <v>2.4463</v>
      </c>
    </row>
    <row r="2791" spans="1:7">
      <c r="A2791" s="2">
        <v>45126</v>
      </c>
      <c r="B2791" s="3">
        <v>2.025</v>
      </c>
      <c r="C2791" s="3">
        <v>2.4525</v>
      </c>
      <c r="D2791" s="3">
        <v>2.0275</v>
      </c>
      <c r="E2791" s="3">
        <v>2.455</v>
      </c>
      <c r="F2791" s="3">
        <v>2.0263</v>
      </c>
      <c r="G2791" s="3">
        <v>2.4538</v>
      </c>
    </row>
    <row r="2792" spans="1:7">
      <c r="A2792" s="2">
        <v>45127</v>
      </c>
      <c r="B2792" s="3">
        <v>2.015</v>
      </c>
      <c r="C2792" s="3">
        <v>2.4475</v>
      </c>
      <c r="D2792" s="3">
        <v>2.0175</v>
      </c>
      <c r="E2792" s="3">
        <v>2.45</v>
      </c>
      <c r="F2792" s="3">
        <v>2.0163</v>
      </c>
      <c r="G2792" s="3">
        <v>2.4488</v>
      </c>
    </row>
    <row r="2793" spans="1:7">
      <c r="A2793" s="2">
        <v>45128</v>
      </c>
      <c r="B2793" s="3">
        <v>2.0018</v>
      </c>
      <c r="C2793" s="3">
        <v>2.425</v>
      </c>
      <c r="D2793" s="3">
        <v>2.005</v>
      </c>
      <c r="E2793" s="3">
        <v>2.4275</v>
      </c>
      <c r="F2793" s="3">
        <v>2.0034</v>
      </c>
      <c r="G2793" s="3">
        <v>2.4263</v>
      </c>
    </row>
    <row r="2794" spans="1:7">
      <c r="A2794" s="2">
        <v>45131</v>
      </c>
      <c r="B2794" s="3">
        <v>2</v>
      </c>
      <c r="C2794" s="3">
        <v>2.4275</v>
      </c>
      <c r="D2794" s="3">
        <v>2.0025</v>
      </c>
      <c r="E2794" s="3">
        <v>2.43</v>
      </c>
      <c r="F2794" s="3">
        <v>2.0013</v>
      </c>
      <c r="G2794" s="3">
        <v>2.4288</v>
      </c>
    </row>
    <row r="2795" spans="1:7">
      <c r="A2795" s="2">
        <v>45132</v>
      </c>
      <c r="B2795" s="3">
        <v>2.0588</v>
      </c>
      <c r="C2795" s="3">
        <v>2.5125</v>
      </c>
      <c r="D2795" s="3">
        <v>2.065</v>
      </c>
      <c r="E2795" s="3">
        <v>2.5155</v>
      </c>
      <c r="F2795" s="3">
        <v>2.0619</v>
      </c>
      <c r="G2795" s="3">
        <v>2.514</v>
      </c>
    </row>
    <row r="2796" spans="1:7">
      <c r="A2796" s="2">
        <v>45133</v>
      </c>
      <c r="B2796" s="3">
        <v>2.035</v>
      </c>
      <c r="C2796" s="3">
        <v>2.4898</v>
      </c>
      <c r="D2796" s="3">
        <v>2.0375</v>
      </c>
      <c r="E2796" s="3">
        <v>2.4928</v>
      </c>
      <c r="F2796" s="3">
        <v>2.0363</v>
      </c>
      <c r="G2796" s="3">
        <v>2.4913</v>
      </c>
    </row>
    <row r="2797" spans="1:7">
      <c r="A2797" s="2">
        <v>45134</v>
      </c>
      <c r="B2797" s="3">
        <v>2.02</v>
      </c>
      <c r="C2797" s="3">
        <v>2.475</v>
      </c>
      <c r="D2797" s="3">
        <v>2.0225</v>
      </c>
      <c r="E2797" s="3">
        <v>2.4775</v>
      </c>
      <c r="F2797" s="3">
        <v>2.0213</v>
      </c>
      <c r="G2797" s="3">
        <v>2.4763</v>
      </c>
    </row>
    <row r="2798" spans="1:7">
      <c r="A2798" s="2">
        <v>45135</v>
      </c>
      <c r="B2798" s="3">
        <v>2.0297</v>
      </c>
      <c r="C2798" s="3">
        <v>2.4975</v>
      </c>
      <c r="D2798" s="3">
        <v>2.0325</v>
      </c>
      <c r="E2798" s="3">
        <v>2.5</v>
      </c>
      <c r="F2798" s="3">
        <v>2.0311</v>
      </c>
      <c r="G2798" s="3">
        <v>2.4988</v>
      </c>
    </row>
    <row r="2799" spans="1:7">
      <c r="A2799" s="2">
        <v>45138</v>
      </c>
      <c r="B2799" s="3">
        <v>2.0328</v>
      </c>
      <c r="C2799" s="3">
        <v>2.512</v>
      </c>
      <c r="D2799" s="3">
        <v>2.0362</v>
      </c>
      <c r="E2799" s="3">
        <v>2.5142</v>
      </c>
      <c r="F2799" s="3">
        <v>2.0345</v>
      </c>
      <c r="G2799" s="3">
        <v>2.5131</v>
      </c>
    </row>
    <row r="2800" spans="1:7">
      <c r="A2800" s="2">
        <v>45139</v>
      </c>
      <c r="B2800" s="3">
        <v>2.03</v>
      </c>
      <c r="C2800" s="3">
        <v>2.51</v>
      </c>
      <c r="D2800" s="3">
        <v>2.0325</v>
      </c>
      <c r="E2800" s="3">
        <v>2.5109</v>
      </c>
      <c r="F2800" s="3">
        <v>2.0313</v>
      </c>
      <c r="G2800" s="3">
        <v>2.5104</v>
      </c>
    </row>
    <row r="2801" spans="1:7">
      <c r="A2801" s="2">
        <v>45140</v>
      </c>
      <c r="B2801" s="3">
        <v>2.017</v>
      </c>
      <c r="C2801" s="3">
        <v>2.4974</v>
      </c>
      <c r="D2801" s="3">
        <v>2.0195</v>
      </c>
      <c r="E2801" s="3">
        <v>2.5</v>
      </c>
      <c r="F2801" s="3">
        <v>2.0182</v>
      </c>
      <c r="G2801" s="3">
        <v>2.4987</v>
      </c>
    </row>
    <row r="2802" spans="1:7">
      <c r="A2802" s="2">
        <v>45141</v>
      </c>
      <c r="B2802" s="3">
        <v>1.985</v>
      </c>
      <c r="C2802" s="3">
        <v>2.465</v>
      </c>
      <c r="D2802" s="3">
        <v>1.9875</v>
      </c>
      <c r="E2802" s="3">
        <v>2.4675</v>
      </c>
      <c r="F2802" s="3">
        <v>1.9863</v>
      </c>
      <c r="G2802" s="3">
        <v>2.4663</v>
      </c>
    </row>
    <row r="2803" spans="1:7">
      <c r="A2803" s="2">
        <v>45142</v>
      </c>
      <c r="B2803" s="3">
        <v>1.975</v>
      </c>
      <c r="C2803" s="3">
        <v>2.4625</v>
      </c>
      <c r="D2803" s="3">
        <v>1.978</v>
      </c>
      <c r="E2803" s="3">
        <v>2.465</v>
      </c>
      <c r="F2803" s="3">
        <v>1.9765</v>
      </c>
      <c r="G2803" s="3">
        <v>2.4638</v>
      </c>
    </row>
    <row r="2804" spans="1:7">
      <c r="A2804" s="2">
        <v>45145</v>
      </c>
      <c r="B2804" s="3">
        <v>1.9775</v>
      </c>
      <c r="C2804" s="3">
        <v>2.4573</v>
      </c>
      <c r="D2804" s="3">
        <v>1.9825</v>
      </c>
      <c r="E2804" s="3">
        <v>2.46</v>
      </c>
      <c r="F2804" s="3">
        <v>1.98</v>
      </c>
      <c r="G2804" s="3">
        <v>2.4587</v>
      </c>
    </row>
    <row r="2805" spans="1:7">
      <c r="A2805" s="2">
        <v>45146</v>
      </c>
      <c r="B2805" s="3">
        <v>1.9771</v>
      </c>
      <c r="C2805" s="3">
        <v>2.4509</v>
      </c>
      <c r="D2805" s="3">
        <v>1.9817</v>
      </c>
      <c r="E2805" s="3">
        <v>2.4531</v>
      </c>
      <c r="F2805" s="3">
        <v>1.9794</v>
      </c>
      <c r="G2805" s="3">
        <v>2.452</v>
      </c>
    </row>
    <row r="2806" spans="1:7">
      <c r="A2806" s="2">
        <v>45147</v>
      </c>
      <c r="B2806" s="3">
        <v>1.9836</v>
      </c>
      <c r="C2806" s="3">
        <v>2.4475</v>
      </c>
      <c r="D2806" s="3">
        <v>1.9875</v>
      </c>
      <c r="E2806" s="3">
        <v>2.45</v>
      </c>
      <c r="F2806" s="3">
        <v>1.9856</v>
      </c>
      <c r="G2806" s="3">
        <v>2.4488</v>
      </c>
    </row>
    <row r="2807" spans="1:7">
      <c r="A2807" s="2">
        <v>45148</v>
      </c>
      <c r="B2807" s="3">
        <v>1.9825</v>
      </c>
      <c r="C2807" s="3">
        <v>2.4557</v>
      </c>
      <c r="D2807" s="3">
        <v>1.9855</v>
      </c>
      <c r="E2807" s="3">
        <v>2.4578</v>
      </c>
      <c r="F2807" s="3">
        <v>1.984</v>
      </c>
      <c r="G2807" s="3">
        <v>2.4568</v>
      </c>
    </row>
    <row r="2808" spans="1:7">
      <c r="A2808" s="2">
        <v>45149</v>
      </c>
      <c r="B2808" s="3">
        <v>1.9725</v>
      </c>
      <c r="C2808" s="3">
        <v>2.445</v>
      </c>
      <c r="D2808" s="3">
        <v>1.9754</v>
      </c>
      <c r="E2808" s="3">
        <v>2.4475</v>
      </c>
      <c r="F2808" s="3">
        <v>1.974</v>
      </c>
      <c r="G2808" s="3">
        <v>2.4463</v>
      </c>
    </row>
    <row r="2809" spans="1:7">
      <c r="A2809" s="2">
        <v>45152</v>
      </c>
      <c r="B2809" s="3">
        <v>1.9467</v>
      </c>
      <c r="C2809" s="3">
        <v>2.3985</v>
      </c>
      <c r="D2809" s="3">
        <v>1.9496</v>
      </c>
      <c r="E2809" s="3">
        <v>2.4007</v>
      </c>
      <c r="F2809" s="3">
        <v>1.9481</v>
      </c>
      <c r="G2809" s="3">
        <v>2.3996</v>
      </c>
    </row>
    <row r="2810" spans="1:7">
      <c r="A2810" s="2">
        <v>45153</v>
      </c>
      <c r="B2810" s="3">
        <v>1.915</v>
      </c>
      <c r="C2810" s="3">
        <v>2.3474</v>
      </c>
      <c r="D2810" s="3">
        <v>1.9175</v>
      </c>
      <c r="E2810" s="3">
        <v>2.3484</v>
      </c>
      <c r="F2810" s="3">
        <v>1.9163</v>
      </c>
      <c r="G2810" s="3">
        <v>2.3479</v>
      </c>
    </row>
    <row r="2811" spans="1:7">
      <c r="A2811" s="2">
        <v>45154</v>
      </c>
      <c r="B2811" s="3">
        <v>1.9079</v>
      </c>
      <c r="C2811" s="3">
        <v>2.335</v>
      </c>
      <c r="D2811" s="3">
        <v>1.9102</v>
      </c>
      <c r="E2811" s="3">
        <v>2.3375</v>
      </c>
      <c r="F2811" s="3">
        <v>1.9091</v>
      </c>
      <c r="G2811" s="3">
        <v>2.3363</v>
      </c>
    </row>
    <row r="2812" spans="1:7">
      <c r="A2812" s="2">
        <v>45155</v>
      </c>
      <c r="B2812" s="3">
        <v>1.905</v>
      </c>
      <c r="C2812" s="3">
        <v>2.3429</v>
      </c>
      <c r="D2812" s="3">
        <v>1.91</v>
      </c>
      <c r="E2812" s="3">
        <v>2.345</v>
      </c>
      <c r="F2812" s="3">
        <v>1.9075</v>
      </c>
      <c r="G2812" s="3">
        <v>2.344</v>
      </c>
    </row>
    <row r="2813" spans="1:7">
      <c r="A2813" s="2">
        <v>45156</v>
      </c>
      <c r="B2813" s="3">
        <v>1.8928</v>
      </c>
      <c r="C2813" s="3">
        <v>2.3242</v>
      </c>
      <c r="D2813" s="3">
        <v>1.8975</v>
      </c>
      <c r="E2813" s="3">
        <v>2.3275</v>
      </c>
      <c r="F2813" s="3">
        <v>1.8952</v>
      </c>
      <c r="G2813" s="3">
        <v>2.3258</v>
      </c>
    </row>
    <row r="2814" spans="1:7">
      <c r="A2814" s="2">
        <v>45159</v>
      </c>
      <c r="B2814" s="3">
        <v>1.8925</v>
      </c>
      <c r="C2814" s="3">
        <v>2.2975</v>
      </c>
      <c r="D2814" s="3">
        <v>1.895</v>
      </c>
      <c r="E2814" s="3">
        <v>2.3</v>
      </c>
      <c r="F2814" s="3">
        <v>1.8938</v>
      </c>
      <c r="G2814" s="3">
        <v>2.2988</v>
      </c>
    </row>
    <row r="2815" spans="1:7">
      <c r="A2815" s="2">
        <v>45160</v>
      </c>
      <c r="B2815" s="3">
        <v>1.905</v>
      </c>
      <c r="C2815" s="3">
        <v>2.3275</v>
      </c>
      <c r="D2815" s="3">
        <v>1.9075</v>
      </c>
      <c r="E2815" s="3">
        <v>2.33</v>
      </c>
      <c r="F2815" s="3">
        <v>1.9063</v>
      </c>
      <c r="G2815" s="3">
        <v>2.3288</v>
      </c>
    </row>
    <row r="2816" spans="1:7">
      <c r="A2816" s="2">
        <v>45161</v>
      </c>
      <c r="B2816" s="3">
        <v>1.9</v>
      </c>
      <c r="C2816" s="3">
        <v>2.325</v>
      </c>
      <c r="D2816" s="3">
        <v>1.905</v>
      </c>
      <c r="E2816" s="3">
        <v>2.3275</v>
      </c>
      <c r="F2816" s="3">
        <v>1.9025</v>
      </c>
      <c r="G2816" s="3">
        <v>2.3263</v>
      </c>
    </row>
    <row r="2817" spans="1:7">
      <c r="A2817" s="2">
        <v>45162</v>
      </c>
      <c r="B2817" s="3">
        <v>1.8892</v>
      </c>
      <c r="C2817" s="3">
        <v>2.3148</v>
      </c>
      <c r="D2817" s="3">
        <v>1.8925</v>
      </c>
      <c r="E2817" s="3">
        <v>2.3175</v>
      </c>
      <c r="F2817" s="3">
        <v>1.8908</v>
      </c>
      <c r="G2817" s="3">
        <v>2.3162</v>
      </c>
    </row>
    <row r="2818" spans="1:7">
      <c r="A2818" s="2">
        <v>45163</v>
      </c>
      <c r="B2818" s="3">
        <v>1.925</v>
      </c>
      <c r="C2818" s="3">
        <v>2.3475</v>
      </c>
      <c r="D2818" s="3">
        <v>1.93</v>
      </c>
      <c r="E2818" s="3">
        <v>2.35</v>
      </c>
      <c r="F2818" s="3">
        <v>1.9275</v>
      </c>
      <c r="G2818" s="3">
        <v>2.3488</v>
      </c>
    </row>
    <row r="2819" spans="1:7">
      <c r="A2819" s="2">
        <v>45166</v>
      </c>
      <c r="B2819" s="3">
        <v>1.935</v>
      </c>
      <c r="C2819" s="3">
        <v>2.36</v>
      </c>
      <c r="D2819" s="3">
        <v>1.9375</v>
      </c>
      <c r="E2819" s="3">
        <v>2.3625</v>
      </c>
      <c r="F2819" s="3">
        <v>1.9363</v>
      </c>
      <c r="G2819" s="3">
        <v>2.3613</v>
      </c>
    </row>
    <row r="2820" spans="1:7">
      <c r="A2820" s="2">
        <v>45167</v>
      </c>
      <c r="B2820" s="3">
        <v>1.945</v>
      </c>
      <c r="C2820" s="3">
        <v>2.37</v>
      </c>
      <c r="D2820" s="3">
        <v>1.9475</v>
      </c>
      <c r="E2820" s="3">
        <v>2.3725</v>
      </c>
      <c r="F2820" s="3">
        <v>1.9463</v>
      </c>
      <c r="G2820" s="3">
        <v>2.3713</v>
      </c>
    </row>
    <row r="2821" spans="1:7">
      <c r="A2821" s="2">
        <v>45168</v>
      </c>
      <c r="B2821" s="3">
        <v>1.935</v>
      </c>
      <c r="C2821" s="3">
        <v>2.355</v>
      </c>
      <c r="D2821" s="3">
        <v>1.9375</v>
      </c>
      <c r="E2821" s="3">
        <v>2.3575</v>
      </c>
      <c r="F2821" s="3">
        <v>1.9363</v>
      </c>
      <c r="G2821" s="3">
        <v>2.3563</v>
      </c>
    </row>
    <row r="2822" spans="1:7">
      <c r="A2822" s="2">
        <v>45169</v>
      </c>
      <c r="B2822" s="3">
        <v>1.9398</v>
      </c>
      <c r="C2822" s="3">
        <v>2.3575</v>
      </c>
      <c r="D2822" s="3">
        <v>1.9422</v>
      </c>
      <c r="E2822" s="3">
        <v>2.36</v>
      </c>
      <c r="F2822" s="3">
        <v>1.941</v>
      </c>
      <c r="G2822" s="3">
        <v>2.3588</v>
      </c>
    </row>
    <row r="2823" spans="1:7">
      <c r="A2823" s="2">
        <v>45170</v>
      </c>
      <c r="B2823" s="3">
        <v>1.9675</v>
      </c>
      <c r="C2823" s="3">
        <v>2.4207</v>
      </c>
      <c r="D2823" s="3">
        <v>1.9701</v>
      </c>
      <c r="E2823" s="3">
        <v>2.4237</v>
      </c>
      <c r="F2823" s="3">
        <v>1.9688</v>
      </c>
      <c r="G2823" s="3">
        <v>2.4222</v>
      </c>
    </row>
    <row r="2824" spans="1:7">
      <c r="A2824" s="2">
        <v>45173</v>
      </c>
      <c r="B2824" s="3">
        <v>1.98</v>
      </c>
      <c r="C2824" s="3">
        <v>2.4437</v>
      </c>
      <c r="D2824" s="3">
        <v>1.9825</v>
      </c>
      <c r="E2824" s="3">
        <v>2.4455</v>
      </c>
      <c r="F2824" s="3">
        <v>1.9813</v>
      </c>
      <c r="G2824" s="3">
        <v>2.4446</v>
      </c>
    </row>
    <row r="2825" spans="1:7">
      <c r="A2825" s="2">
        <v>45174</v>
      </c>
      <c r="B2825" s="3">
        <v>1.98</v>
      </c>
      <c r="C2825" s="3">
        <v>2.4425</v>
      </c>
      <c r="D2825" s="3">
        <v>1.985</v>
      </c>
      <c r="E2825" s="3">
        <v>2.445</v>
      </c>
      <c r="F2825" s="3">
        <v>1.9825</v>
      </c>
      <c r="G2825" s="3">
        <v>2.4438</v>
      </c>
    </row>
    <row r="2826" spans="1:7">
      <c r="A2826" s="2">
        <v>45175</v>
      </c>
      <c r="B2826" s="3">
        <v>2.0325</v>
      </c>
      <c r="C2826" s="3">
        <v>2.4857</v>
      </c>
      <c r="D2826" s="3">
        <v>2.035</v>
      </c>
      <c r="E2826" s="3">
        <v>2.4882</v>
      </c>
      <c r="F2826" s="3">
        <v>2.0338</v>
      </c>
      <c r="G2826" s="3">
        <v>2.4869</v>
      </c>
    </row>
    <row r="2827" spans="1:7">
      <c r="A2827" s="2">
        <v>45176</v>
      </c>
      <c r="B2827" s="3">
        <v>2.0513</v>
      </c>
      <c r="C2827" s="3">
        <v>2.4875</v>
      </c>
      <c r="D2827" s="3">
        <v>2.0526</v>
      </c>
      <c r="E2827" s="3">
        <v>2.49</v>
      </c>
      <c r="F2827" s="3">
        <v>2.0519</v>
      </c>
      <c r="G2827" s="3">
        <v>2.4888</v>
      </c>
    </row>
    <row r="2828" spans="1:7">
      <c r="A2828" s="2">
        <v>45177</v>
      </c>
      <c r="B2828" s="3">
        <v>2.0515</v>
      </c>
      <c r="C2828" s="3">
        <v>2.485</v>
      </c>
      <c r="D2828" s="3">
        <v>2.055</v>
      </c>
      <c r="E2828" s="3">
        <v>2.4863</v>
      </c>
      <c r="F2828" s="3">
        <v>2.0533</v>
      </c>
      <c r="G2828" s="3">
        <v>2.4856</v>
      </c>
    </row>
    <row r="2829" spans="1:7">
      <c r="A2829" s="2">
        <v>45180</v>
      </c>
      <c r="B2829" s="3">
        <v>2.0575</v>
      </c>
      <c r="C2829" s="3">
        <v>2.4775</v>
      </c>
      <c r="D2829" s="3">
        <v>2.06</v>
      </c>
      <c r="E2829" s="3">
        <v>2.48</v>
      </c>
      <c r="F2829" s="3">
        <v>2.0588</v>
      </c>
      <c r="G2829" s="3">
        <v>2.4788</v>
      </c>
    </row>
    <row r="2830" spans="1:7">
      <c r="A2830" s="2">
        <v>45181</v>
      </c>
      <c r="B2830" s="3">
        <v>2.0313</v>
      </c>
      <c r="C2830" s="3">
        <v>2.46</v>
      </c>
      <c r="D2830" s="3">
        <v>2.035</v>
      </c>
      <c r="E2830" s="3">
        <v>2.4625</v>
      </c>
      <c r="F2830" s="3">
        <v>2.0332</v>
      </c>
      <c r="G2830" s="3">
        <v>2.4613</v>
      </c>
    </row>
    <row r="2831" spans="1:7">
      <c r="A2831" s="2">
        <v>45182</v>
      </c>
      <c r="B2831" s="3">
        <v>2.01</v>
      </c>
      <c r="C2831" s="3">
        <v>2.435</v>
      </c>
      <c r="D2831" s="3">
        <v>2.0125</v>
      </c>
      <c r="E2831" s="3">
        <v>2.4375</v>
      </c>
      <c r="F2831" s="3">
        <v>2.0113</v>
      </c>
      <c r="G2831" s="3">
        <v>2.4363</v>
      </c>
    </row>
    <row r="2832" spans="1:7">
      <c r="A2832" s="2">
        <v>45183</v>
      </c>
      <c r="B2832" s="3">
        <v>2.005</v>
      </c>
      <c r="C2832" s="3">
        <v>2.4173</v>
      </c>
      <c r="D2832" s="3">
        <v>2.0075</v>
      </c>
      <c r="E2832" s="3">
        <v>2.4198</v>
      </c>
      <c r="F2832" s="3">
        <v>2.0063</v>
      </c>
      <c r="G2832" s="3">
        <v>2.4186</v>
      </c>
    </row>
    <row r="2833" spans="1:7">
      <c r="A2833" s="2">
        <v>45184</v>
      </c>
      <c r="B2833" s="3">
        <v>2.01</v>
      </c>
      <c r="C2833" s="3">
        <v>2.4475</v>
      </c>
      <c r="D2833" s="3">
        <v>2.015</v>
      </c>
      <c r="E2833" s="3">
        <v>2.45</v>
      </c>
      <c r="F2833" s="3">
        <v>2.0125</v>
      </c>
      <c r="G2833" s="3">
        <v>2.4488</v>
      </c>
    </row>
    <row r="2834" spans="1:7">
      <c r="A2834" s="2">
        <v>45187</v>
      </c>
      <c r="B2834" s="3">
        <v>2.0478</v>
      </c>
      <c r="C2834" s="3">
        <v>2.4775</v>
      </c>
      <c r="D2834" s="3">
        <v>2.0496</v>
      </c>
      <c r="E2834" s="3">
        <v>2.4807</v>
      </c>
      <c r="F2834" s="3">
        <v>2.0487</v>
      </c>
      <c r="G2834" s="3">
        <v>2.4791</v>
      </c>
    </row>
    <row r="2835" spans="1:7">
      <c r="A2835" s="2">
        <v>45188</v>
      </c>
      <c r="B2835" s="3">
        <v>2.057</v>
      </c>
      <c r="C2835" s="3">
        <v>2.4796</v>
      </c>
      <c r="D2835" s="3">
        <v>2.0596</v>
      </c>
      <c r="E2835" s="3">
        <v>2.4821</v>
      </c>
      <c r="F2835" s="3">
        <v>2.0583</v>
      </c>
      <c r="G2835" s="3">
        <v>2.4809</v>
      </c>
    </row>
    <row r="2836" spans="1:7">
      <c r="A2836" s="2">
        <v>45189</v>
      </c>
      <c r="B2836" s="3">
        <v>2.0475</v>
      </c>
      <c r="C2836" s="3">
        <v>2.4625</v>
      </c>
      <c r="D2836" s="3">
        <v>2.05</v>
      </c>
      <c r="E2836" s="3">
        <v>2.465</v>
      </c>
      <c r="F2836" s="3">
        <v>2.0488</v>
      </c>
      <c r="G2836" s="3">
        <v>2.4638</v>
      </c>
    </row>
    <row r="2837" spans="1:7">
      <c r="A2837" s="2">
        <v>45190</v>
      </c>
      <c r="B2837" s="3">
        <v>2.03</v>
      </c>
      <c r="C2837" s="3">
        <v>2.4475</v>
      </c>
      <c r="D2837" s="3">
        <v>2.0325</v>
      </c>
      <c r="E2837" s="3">
        <v>2.45</v>
      </c>
      <c r="F2837" s="3">
        <v>2.0313</v>
      </c>
      <c r="G2837" s="3">
        <v>2.4488</v>
      </c>
    </row>
    <row r="2838" spans="1:7">
      <c r="A2838" s="2">
        <v>45191</v>
      </c>
      <c r="B2838" s="3">
        <v>2.0296</v>
      </c>
      <c r="C2838" s="3">
        <v>2.4654</v>
      </c>
      <c r="D2838" s="3">
        <v>2.0304</v>
      </c>
      <c r="E2838" s="3">
        <v>2.4675</v>
      </c>
      <c r="F2838" s="3">
        <v>2.03</v>
      </c>
      <c r="G2838" s="3">
        <v>2.4665</v>
      </c>
    </row>
    <row r="2839" spans="1:7">
      <c r="A2839" s="2">
        <v>45194</v>
      </c>
      <c r="B2839" s="3">
        <v>2.055</v>
      </c>
      <c r="C2839" s="3">
        <v>2.49</v>
      </c>
      <c r="D2839" s="3">
        <v>2.0575</v>
      </c>
      <c r="E2839" s="3">
        <v>2.4925</v>
      </c>
      <c r="F2839" s="3">
        <v>2.0563</v>
      </c>
      <c r="G2839" s="3">
        <v>2.4913</v>
      </c>
    </row>
    <row r="2840" spans="1:7">
      <c r="A2840" s="2">
        <v>45195</v>
      </c>
      <c r="B2840" s="3">
        <v>2.0525</v>
      </c>
      <c r="C2840" s="3">
        <v>2.4825</v>
      </c>
      <c r="D2840" s="3">
        <v>2.055</v>
      </c>
      <c r="E2840" s="3">
        <v>2.4851</v>
      </c>
      <c r="F2840" s="3">
        <v>2.0538</v>
      </c>
      <c r="G2840" s="3">
        <v>2.4838</v>
      </c>
    </row>
    <row r="2841" spans="1:7">
      <c r="A2841" s="2">
        <v>45196</v>
      </c>
      <c r="B2841" s="3">
        <v>2.015</v>
      </c>
      <c r="C2841" s="3">
        <v>2.4625</v>
      </c>
      <c r="D2841" s="3">
        <v>2.02</v>
      </c>
      <c r="E2841" s="3">
        <v>2.465</v>
      </c>
      <c r="F2841" s="3">
        <v>2.0175</v>
      </c>
      <c r="G2841" s="3">
        <v>2.4638</v>
      </c>
    </row>
    <row r="2842" spans="1:7">
      <c r="A2842" s="2">
        <v>45197</v>
      </c>
      <c r="B2842" s="3">
        <v>2.0325</v>
      </c>
      <c r="C2842" s="3">
        <v>2.46</v>
      </c>
      <c r="D2842" s="3">
        <v>2.035</v>
      </c>
      <c r="E2842" s="3">
        <v>2.4625</v>
      </c>
      <c r="F2842" s="3">
        <v>2.0338</v>
      </c>
      <c r="G2842" s="3">
        <v>2.4613</v>
      </c>
    </row>
    <row r="2843" spans="1:7">
      <c r="A2843" s="2">
        <v>45206</v>
      </c>
      <c r="B2843" s="3">
        <v>2</v>
      </c>
      <c r="C2843" s="3">
        <v>2.45</v>
      </c>
      <c r="D2843" s="3">
        <v>2.03</v>
      </c>
      <c r="E2843" s="3">
        <v>2.46</v>
      </c>
      <c r="F2843" s="3">
        <v>2.015</v>
      </c>
      <c r="G2843" s="3">
        <v>2.455</v>
      </c>
    </row>
    <row r="2844" spans="1:7">
      <c r="A2844" s="2">
        <v>45207</v>
      </c>
      <c r="B2844" s="3">
        <v>2</v>
      </c>
      <c r="C2844" s="3">
        <v>2.45</v>
      </c>
      <c r="D2844" s="3">
        <v>2.03</v>
      </c>
      <c r="E2844" s="3">
        <v>2.465</v>
      </c>
      <c r="F2844" s="3">
        <v>2.015</v>
      </c>
      <c r="G2844" s="3">
        <v>2.4575</v>
      </c>
    </row>
    <row r="2845" spans="1:7">
      <c r="A2845" s="2">
        <v>45208</v>
      </c>
      <c r="B2845" s="3">
        <v>2.0425</v>
      </c>
      <c r="C2845" s="3">
        <v>2.46</v>
      </c>
      <c r="D2845" s="3">
        <v>2.045</v>
      </c>
      <c r="E2845" s="3">
        <v>2.4625</v>
      </c>
      <c r="F2845" s="3">
        <v>2.0438</v>
      </c>
      <c r="G2845" s="3">
        <v>2.4613</v>
      </c>
    </row>
    <row r="2846" spans="1:7">
      <c r="A2846" s="2">
        <v>45209</v>
      </c>
      <c r="B2846" s="3">
        <v>2.065</v>
      </c>
      <c r="C2846" s="3">
        <v>2.487</v>
      </c>
      <c r="D2846" s="3">
        <v>2.0675</v>
      </c>
      <c r="E2846" s="3">
        <v>2.4898</v>
      </c>
      <c r="F2846" s="3">
        <v>2.0663</v>
      </c>
      <c r="G2846" s="3">
        <v>2.4884</v>
      </c>
    </row>
    <row r="2847" spans="1:7">
      <c r="A2847" s="2">
        <v>45210</v>
      </c>
      <c r="B2847" s="3">
        <v>2.0875</v>
      </c>
      <c r="C2847" s="3">
        <v>2.5113</v>
      </c>
      <c r="D2847" s="3">
        <v>2.09</v>
      </c>
      <c r="E2847" s="3">
        <v>2.5138</v>
      </c>
      <c r="F2847" s="3">
        <v>2.0888</v>
      </c>
      <c r="G2847" s="3">
        <v>2.5125</v>
      </c>
    </row>
    <row r="2848" spans="1:7">
      <c r="A2848" s="2">
        <v>45211</v>
      </c>
      <c r="B2848" s="3">
        <v>2.0722</v>
      </c>
      <c r="C2848" s="3">
        <v>2.4979</v>
      </c>
      <c r="D2848" s="3">
        <v>2.075</v>
      </c>
      <c r="E2848" s="3">
        <v>2.5005</v>
      </c>
      <c r="F2848" s="3">
        <v>2.0736</v>
      </c>
      <c r="G2848" s="3">
        <v>2.4992</v>
      </c>
    </row>
    <row r="2849" spans="1:7">
      <c r="A2849" s="2">
        <v>45212</v>
      </c>
      <c r="B2849" s="3">
        <v>2.07</v>
      </c>
      <c r="C2849" s="3">
        <v>2.4913</v>
      </c>
      <c r="D2849" s="3">
        <v>2.075</v>
      </c>
      <c r="E2849" s="3">
        <v>2.4932</v>
      </c>
      <c r="F2849" s="3">
        <v>2.0725</v>
      </c>
      <c r="G2849" s="3">
        <v>2.4922</v>
      </c>
    </row>
    <row r="2850" spans="1:7">
      <c r="A2850" s="2">
        <v>45215</v>
      </c>
      <c r="B2850" s="3">
        <v>2.0775</v>
      </c>
      <c r="C2850" s="3">
        <v>2.49</v>
      </c>
      <c r="D2850" s="3">
        <v>2.08</v>
      </c>
      <c r="E2850" s="3">
        <v>2.4941</v>
      </c>
      <c r="F2850" s="3">
        <v>2.0788</v>
      </c>
      <c r="G2850" s="3">
        <v>2.4921</v>
      </c>
    </row>
    <row r="2851" spans="1:7">
      <c r="A2851" s="2">
        <v>45216</v>
      </c>
      <c r="B2851" s="3">
        <v>2.0875</v>
      </c>
      <c r="C2851" s="3">
        <v>2.505</v>
      </c>
      <c r="D2851" s="3">
        <v>2.0896</v>
      </c>
      <c r="E2851" s="3">
        <v>2.5075</v>
      </c>
      <c r="F2851" s="3">
        <v>2.0885</v>
      </c>
      <c r="G2851" s="3">
        <v>2.5063</v>
      </c>
    </row>
    <row r="2852" spans="1:7">
      <c r="A2852" s="2">
        <v>45217</v>
      </c>
      <c r="B2852" s="3">
        <v>2.106</v>
      </c>
      <c r="C2852" s="3">
        <v>2.515</v>
      </c>
      <c r="D2852" s="3">
        <v>2.1075</v>
      </c>
      <c r="E2852" s="3">
        <v>2.5175</v>
      </c>
      <c r="F2852" s="3">
        <v>2.1068</v>
      </c>
      <c r="G2852" s="3">
        <v>2.5163</v>
      </c>
    </row>
    <row r="2853" spans="1:7">
      <c r="A2853" s="2">
        <v>45218</v>
      </c>
      <c r="B2853" s="3">
        <v>2.1375</v>
      </c>
      <c r="C2853" s="3">
        <v>2.535</v>
      </c>
      <c r="D2853" s="3">
        <v>2.1404</v>
      </c>
      <c r="E2853" s="3">
        <v>2.5385</v>
      </c>
      <c r="F2853" s="3">
        <v>2.139</v>
      </c>
      <c r="G2853" s="3">
        <v>2.5368</v>
      </c>
    </row>
    <row r="2854" spans="1:7">
      <c r="A2854" s="2">
        <v>45219</v>
      </c>
      <c r="B2854" s="3">
        <v>2.1442</v>
      </c>
      <c r="C2854" s="3">
        <v>2.5275</v>
      </c>
      <c r="D2854" s="3">
        <v>2.1473</v>
      </c>
      <c r="E2854" s="3">
        <v>2.5308</v>
      </c>
      <c r="F2854" s="3">
        <v>2.1458</v>
      </c>
      <c r="G2854" s="3">
        <v>2.5292</v>
      </c>
    </row>
    <row r="2855" spans="1:7">
      <c r="A2855" s="2">
        <v>45222</v>
      </c>
      <c r="B2855" s="3">
        <v>2.128</v>
      </c>
      <c r="C2855" s="3">
        <v>2.5175</v>
      </c>
      <c r="D2855" s="3">
        <v>2.1315</v>
      </c>
      <c r="E2855" s="3">
        <v>2.5201</v>
      </c>
      <c r="F2855" s="3">
        <v>2.1298</v>
      </c>
      <c r="G2855" s="3">
        <v>2.5188</v>
      </c>
    </row>
    <row r="2856" spans="1:7">
      <c r="A2856" s="2">
        <v>45223</v>
      </c>
      <c r="B2856" s="3">
        <v>2.135</v>
      </c>
      <c r="C2856" s="3">
        <v>2.5267</v>
      </c>
      <c r="D2856" s="3">
        <v>2.1391</v>
      </c>
      <c r="E2856" s="3">
        <v>2.5293</v>
      </c>
      <c r="F2856" s="3">
        <v>2.1371</v>
      </c>
      <c r="G2856" s="3">
        <v>2.528</v>
      </c>
    </row>
    <row r="2857" spans="1:7">
      <c r="A2857" s="2">
        <v>45224</v>
      </c>
      <c r="B2857" s="3">
        <v>2.0936</v>
      </c>
      <c r="C2857" s="3">
        <v>2.4833</v>
      </c>
      <c r="D2857" s="3">
        <v>2.0961</v>
      </c>
      <c r="E2857" s="3">
        <v>2.4872</v>
      </c>
      <c r="F2857" s="3">
        <v>2.0948</v>
      </c>
      <c r="G2857" s="3">
        <v>2.4853</v>
      </c>
    </row>
    <row r="2858" spans="1:7">
      <c r="A2858" s="2">
        <v>45225</v>
      </c>
      <c r="B2858" s="3">
        <v>2.1042</v>
      </c>
      <c r="C2858" s="3">
        <v>2.5025</v>
      </c>
      <c r="D2858" s="3">
        <v>2.1075</v>
      </c>
      <c r="E2858" s="3">
        <v>2.5051</v>
      </c>
      <c r="F2858" s="3">
        <v>2.1058</v>
      </c>
      <c r="G2858" s="3">
        <v>2.5038</v>
      </c>
    </row>
    <row r="2859" spans="1:7">
      <c r="A2859" s="2">
        <v>45226</v>
      </c>
      <c r="B2859" s="3">
        <v>2.0788</v>
      </c>
      <c r="C2859" s="3">
        <v>2.4825</v>
      </c>
      <c r="D2859" s="3">
        <v>2.0825</v>
      </c>
      <c r="E2859" s="3">
        <v>2.485</v>
      </c>
      <c r="F2859" s="3">
        <v>2.0807</v>
      </c>
      <c r="G2859" s="3">
        <v>2.4838</v>
      </c>
    </row>
    <row r="2860" spans="1:7">
      <c r="A2860" s="2">
        <v>45229</v>
      </c>
      <c r="B2860" s="3">
        <v>2.075</v>
      </c>
      <c r="C2860" s="3">
        <v>2.4775</v>
      </c>
      <c r="D2860" s="3">
        <v>2.08</v>
      </c>
      <c r="E2860" s="3">
        <v>2.4814</v>
      </c>
      <c r="F2860" s="3">
        <v>2.0775</v>
      </c>
      <c r="G2860" s="3">
        <v>2.4794</v>
      </c>
    </row>
    <row r="2861" spans="1:7">
      <c r="A2861" s="2">
        <v>45230</v>
      </c>
      <c r="B2861" s="3">
        <v>2.075</v>
      </c>
      <c r="C2861" s="3">
        <v>2.4625</v>
      </c>
      <c r="D2861" s="3">
        <v>2.0775</v>
      </c>
      <c r="E2861" s="3">
        <v>2.4643</v>
      </c>
      <c r="F2861" s="3">
        <v>2.0763</v>
      </c>
      <c r="G2861" s="3">
        <v>2.4634</v>
      </c>
    </row>
    <row r="2862" spans="1:7">
      <c r="A2862" s="2">
        <v>45231</v>
      </c>
      <c r="B2862" s="3">
        <v>2.075</v>
      </c>
      <c r="C2862" s="3">
        <v>2.46</v>
      </c>
      <c r="D2862" s="3">
        <v>2.0775</v>
      </c>
      <c r="E2862" s="3">
        <v>2.4625</v>
      </c>
      <c r="F2862" s="3">
        <v>2.0763</v>
      </c>
      <c r="G2862" s="3">
        <v>2.4613</v>
      </c>
    </row>
    <row r="2863" spans="1:7">
      <c r="A2863" s="2">
        <v>45232</v>
      </c>
      <c r="B2863" s="3">
        <v>2.04</v>
      </c>
      <c r="C2863" s="3">
        <v>2.4245</v>
      </c>
      <c r="D2863" s="3">
        <v>2.0441</v>
      </c>
      <c r="E2863" s="3">
        <v>2.4275</v>
      </c>
      <c r="F2863" s="3">
        <v>2.0421</v>
      </c>
      <c r="G2863" s="3">
        <v>2.426</v>
      </c>
    </row>
    <row r="2864" spans="1:7">
      <c r="A2864" s="2">
        <v>45233</v>
      </c>
      <c r="B2864" s="3">
        <v>2.0475</v>
      </c>
      <c r="C2864" s="3">
        <v>2.4375</v>
      </c>
      <c r="D2864" s="3">
        <v>2.05</v>
      </c>
      <c r="E2864" s="3">
        <v>2.44</v>
      </c>
      <c r="F2864" s="3">
        <v>2.0488</v>
      </c>
      <c r="G2864" s="3">
        <v>2.4388</v>
      </c>
    </row>
    <row r="2865" spans="1:7">
      <c r="A2865" s="2">
        <v>45236</v>
      </c>
      <c r="B2865" s="3">
        <v>2.0525</v>
      </c>
      <c r="C2865" s="3">
        <v>2.4324</v>
      </c>
      <c r="D2865" s="3">
        <v>2.055</v>
      </c>
      <c r="E2865" s="3">
        <v>2.4346</v>
      </c>
      <c r="F2865" s="3">
        <v>2.0538</v>
      </c>
      <c r="G2865" s="3">
        <v>2.4335</v>
      </c>
    </row>
    <row r="2866" spans="1:7">
      <c r="A2866" s="2">
        <v>45237</v>
      </c>
      <c r="B2866" s="3">
        <v>2.075</v>
      </c>
      <c r="C2866" s="3">
        <v>2.4465</v>
      </c>
      <c r="D2866" s="3">
        <v>2.08</v>
      </c>
      <c r="E2866" s="3">
        <v>2.45</v>
      </c>
      <c r="F2866" s="3">
        <v>2.0775</v>
      </c>
      <c r="G2866" s="3">
        <v>2.4483</v>
      </c>
    </row>
    <row r="2867" spans="1:7">
      <c r="A2867" s="2">
        <v>45238</v>
      </c>
      <c r="B2867" s="3">
        <v>2.0688</v>
      </c>
      <c r="C2867" s="3">
        <v>2.4275</v>
      </c>
      <c r="D2867" s="3">
        <v>2.0725</v>
      </c>
      <c r="E2867" s="3">
        <v>2.4302</v>
      </c>
      <c r="F2867" s="3">
        <v>2.0707</v>
      </c>
      <c r="G2867" s="3">
        <v>2.4288</v>
      </c>
    </row>
    <row r="2868" spans="1:7">
      <c r="A2868" s="2">
        <v>45239</v>
      </c>
      <c r="B2868" s="3">
        <v>2.07</v>
      </c>
      <c r="C2868" s="3">
        <v>2.42</v>
      </c>
      <c r="D2868" s="3">
        <v>2.075</v>
      </c>
      <c r="E2868" s="3">
        <v>2.4225</v>
      </c>
      <c r="F2868" s="3">
        <v>2.0725</v>
      </c>
      <c r="G2868" s="3">
        <v>2.4213</v>
      </c>
    </row>
    <row r="2869" spans="1:7">
      <c r="A2869" s="2">
        <v>45240</v>
      </c>
      <c r="B2869" s="3">
        <v>2.0519</v>
      </c>
      <c r="C2869" s="3">
        <v>2.405</v>
      </c>
      <c r="D2869" s="3">
        <v>2.0548</v>
      </c>
      <c r="E2869" s="3">
        <v>2.41</v>
      </c>
      <c r="F2869" s="3">
        <v>2.0533</v>
      </c>
      <c r="G2869" s="3">
        <v>2.4075</v>
      </c>
    </row>
    <row r="2870" spans="1:7">
      <c r="A2870" s="2">
        <v>45243</v>
      </c>
      <c r="B2870" s="3">
        <v>2.05</v>
      </c>
      <c r="C2870" s="3">
        <v>2.3975</v>
      </c>
      <c r="D2870" s="3">
        <v>2.0537</v>
      </c>
      <c r="E2870" s="3">
        <v>2.4007</v>
      </c>
      <c r="F2870" s="3">
        <v>2.0518</v>
      </c>
      <c r="G2870" s="3">
        <v>2.3991</v>
      </c>
    </row>
    <row r="2871" spans="1:7">
      <c r="A2871" s="2">
        <v>45244</v>
      </c>
      <c r="B2871" s="3">
        <v>2.0575</v>
      </c>
      <c r="C2871" s="3">
        <v>2.4075</v>
      </c>
      <c r="D2871" s="3">
        <v>2.06</v>
      </c>
      <c r="E2871" s="3">
        <v>2.41</v>
      </c>
      <c r="F2871" s="3">
        <v>2.0588</v>
      </c>
      <c r="G2871" s="3">
        <v>2.4088</v>
      </c>
    </row>
    <row r="2872" spans="1:7">
      <c r="A2872" s="2">
        <v>45245</v>
      </c>
      <c r="B2872" s="3">
        <v>2.06</v>
      </c>
      <c r="C2872" s="3">
        <v>2.4145</v>
      </c>
      <c r="D2872" s="3">
        <v>2.065</v>
      </c>
      <c r="E2872" s="3">
        <v>2.4175</v>
      </c>
      <c r="F2872" s="3">
        <v>2.0625</v>
      </c>
      <c r="G2872" s="3">
        <v>2.416</v>
      </c>
    </row>
    <row r="2873" spans="1:7">
      <c r="A2873" s="2">
        <v>45246</v>
      </c>
      <c r="B2873" s="3">
        <v>2.0625</v>
      </c>
      <c r="C2873" s="3">
        <v>2.4075</v>
      </c>
      <c r="D2873" s="3">
        <v>2.065</v>
      </c>
      <c r="E2873" s="3">
        <v>2.41</v>
      </c>
      <c r="F2873" s="3">
        <v>2.0638</v>
      </c>
      <c r="G2873" s="3">
        <v>2.4088</v>
      </c>
    </row>
    <row r="2874" spans="1:7">
      <c r="A2874" s="2">
        <v>45247</v>
      </c>
      <c r="B2874" s="3">
        <v>2.065</v>
      </c>
      <c r="C2874" s="3">
        <v>2.4075</v>
      </c>
      <c r="D2874" s="3">
        <v>2.0675</v>
      </c>
      <c r="E2874" s="3">
        <v>2.41</v>
      </c>
      <c r="F2874" s="3">
        <v>2.0663</v>
      </c>
      <c r="G2874" s="3">
        <v>2.4088</v>
      </c>
    </row>
    <row r="2875" spans="1:7">
      <c r="A2875" s="2">
        <v>45250</v>
      </c>
      <c r="B2875" s="3">
        <v>2.0775</v>
      </c>
      <c r="C2875" s="3">
        <v>2.4127</v>
      </c>
      <c r="D2875" s="3">
        <v>2.0812</v>
      </c>
      <c r="E2875" s="3">
        <v>2.4152</v>
      </c>
      <c r="F2875" s="3">
        <v>2.0793</v>
      </c>
      <c r="G2875" s="3">
        <v>2.4139</v>
      </c>
    </row>
    <row r="2876" spans="1:7">
      <c r="A2876" s="2">
        <v>45251</v>
      </c>
      <c r="B2876" s="3">
        <v>2.0975</v>
      </c>
      <c r="C2876" s="3">
        <v>2.43</v>
      </c>
      <c r="D2876" s="3">
        <v>2.1</v>
      </c>
      <c r="E2876" s="3">
        <v>2.4325</v>
      </c>
      <c r="F2876" s="3">
        <v>2.0988</v>
      </c>
      <c r="G2876" s="3">
        <v>2.4313</v>
      </c>
    </row>
    <row r="2877" spans="1:7">
      <c r="A2877" s="2">
        <v>45252</v>
      </c>
      <c r="B2877" s="3">
        <v>2.1175</v>
      </c>
      <c r="C2877" s="3">
        <v>2.4425</v>
      </c>
      <c r="D2877" s="3">
        <v>2.12</v>
      </c>
      <c r="E2877" s="3">
        <v>2.445</v>
      </c>
      <c r="F2877" s="3">
        <v>2.1188</v>
      </c>
      <c r="G2877" s="3">
        <v>2.4438</v>
      </c>
    </row>
    <row r="2878" spans="1:7">
      <c r="A2878" s="2">
        <v>45253</v>
      </c>
      <c r="B2878" s="3">
        <v>2.1355</v>
      </c>
      <c r="C2878" s="3">
        <v>2.4775</v>
      </c>
      <c r="D2878" s="3">
        <v>2.1388</v>
      </c>
      <c r="E2878" s="3">
        <v>2.4808</v>
      </c>
      <c r="F2878" s="3">
        <v>2.1371</v>
      </c>
      <c r="G2878" s="3">
        <v>2.4792</v>
      </c>
    </row>
    <row r="2879" spans="1:7">
      <c r="A2879" s="2">
        <v>45254</v>
      </c>
      <c r="B2879" s="3">
        <v>2.1531</v>
      </c>
      <c r="C2879" s="3">
        <v>2.4803</v>
      </c>
      <c r="D2879" s="3">
        <v>2.1575</v>
      </c>
      <c r="E2879" s="3">
        <v>2.485</v>
      </c>
      <c r="F2879" s="3">
        <v>2.1553</v>
      </c>
      <c r="G2879" s="3">
        <v>2.4827</v>
      </c>
    </row>
    <row r="2880" spans="1:7">
      <c r="A2880" s="2">
        <v>45257</v>
      </c>
      <c r="B2880" s="3">
        <v>2.193</v>
      </c>
      <c r="C2880" s="3">
        <v>2.5021</v>
      </c>
      <c r="D2880" s="3">
        <v>2.1963</v>
      </c>
      <c r="E2880" s="3">
        <v>2.5046</v>
      </c>
      <c r="F2880" s="3">
        <v>2.1946</v>
      </c>
      <c r="G2880" s="3">
        <v>2.5034</v>
      </c>
    </row>
    <row r="2881" spans="1:7">
      <c r="A2881" s="2">
        <v>45258</v>
      </c>
      <c r="B2881" s="3">
        <v>2.1556</v>
      </c>
      <c r="C2881" s="3">
        <v>2.4675</v>
      </c>
      <c r="D2881" s="3">
        <v>2.16</v>
      </c>
      <c r="E2881" s="3">
        <v>2.47</v>
      </c>
      <c r="F2881" s="3">
        <v>2.1578</v>
      </c>
      <c r="G2881" s="3">
        <v>2.4688</v>
      </c>
    </row>
    <row r="2882" spans="1:7">
      <c r="A2882" s="2">
        <v>45259</v>
      </c>
      <c r="B2882" s="3">
        <v>2.165</v>
      </c>
      <c r="C2882" s="3">
        <v>2.46</v>
      </c>
      <c r="D2882" s="3">
        <v>2.1675</v>
      </c>
      <c r="E2882" s="3">
        <v>2.4625</v>
      </c>
      <c r="F2882" s="3">
        <v>2.1663</v>
      </c>
      <c r="G2882" s="3">
        <v>2.4613</v>
      </c>
    </row>
    <row r="2883" spans="1:7">
      <c r="A2883" s="2">
        <v>45260</v>
      </c>
      <c r="B2883" s="3">
        <v>2.13</v>
      </c>
      <c r="C2883" s="3">
        <v>2.4524</v>
      </c>
      <c r="D2883" s="3">
        <v>2.1326</v>
      </c>
      <c r="E2883" s="3">
        <v>2.455</v>
      </c>
      <c r="F2883" s="3">
        <v>2.1313</v>
      </c>
      <c r="G2883" s="3">
        <v>2.4537</v>
      </c>
    </row>
    <row r="2884" spans="1:7">
      <c r="A2884" s="2">
        <v>45261</v>
      </c>
      <c r="B2884" s="3">
        <v>2.12</v>
      </c>
      <c r="C2884" s="3">
        <v>2.4475</v>
      </c>
      <c r="D2884" s="3">
        <v>2.1235</v>
      </c>
      <c r="E2884" s="3">
        <v>2.45</v>
      </c>
      <c r="F2884" s="3">
        <v>2.1218</v>
      </c>
      <c r="G2884" s="3">
        <v>2.4488</v>
      </c>
    </row>
    <row r="2885" spans="1:7">
      <c r="A2885" s="2">
        <v>45264</v>
      </c>
      <c r="B2885" s="3">
        <v>2.1699</v>
      </c>
      <c r="C2885" s="3">
        <v>2.466</v>
      </c>
      <c r="D2885" s="3">
        <v>2.1715</v>
      </c>
      <c r="E2885" s="3">
        <v>2.4683</v>
      </c>
      <c r="F2885" s="3">
        <v>2.1707</v>
      </c>
      <c r="G2885" s="3">
        <v>2.4671</v>
      </c>
    </row>
    <row r="2886" spans="1:7">
      <c r="A2886" s="2">
        <v>45265</v>
      </c>
      <c r="B2886" s="3">
        <v>2.1752</v>
      </c>
      <c r="C2886" s="3">
        <v>2.4575</v>
      </c>
      <c r="D2886" s="3">
        <v>2.1783</v>
      </c>
      <c r="E2886" s="3">
        <v>2.46</v>
      </c>
      <c r="F2886" s="3">
        <v>2.1767</v>
      </c>
      <c r="G2886" s="3">
        <v>2.4588</v>
      </c>
    </row>
    <row r="2887" spans="1:7">
      <c r="A2887" s="2">
        <v>45266</v>
      </c>
      <c r="B2887" s="3">
        <v>2.2</v>
      </c>
      <c r="C2887" s="3">
        <v>2.4725</v>
      </c>
      <c r="D2887" s="3">
        <v>2.205</v>
      </c>
      <c r="E2887" s="3">
        <v>2.475</v>
      </c>
      <c r="F2887" s="3">
        <v>2.2025</v>
      </c>
      <c r="G2887" s="3">
        <v>2.4738</v>
      </c>
    </row>
    <row r="2888" spans="1:7">
      <c r="A2888" s="2">
        <v>45267</v>
      </c>
      <c r="B2888" s="3">
        <v>2.1747</v>
      </c>
      <c r="C2888" s="3">
        <v>2.4511</v>
      </c>
      <c r="D2888" s="3">
        <v>2.1771</v>
      </c>
      <c r="E2888" s="3">
        <v>2.455</v>
      </c>
      <c r="F2888" s="3">
        <v>2.1759</v>
      </c>
      <c r="G2888" s="3">
        <v>2.4531</v>
      </c>
    </row>
    <row r="2889" spans="1:7">
      <c r="A2889" s="2">
        <v>45268</v>
      </c>
      <c r="B2889" s="3">
        <v>2.1743</v>
      </c>
      <c r="C2889" s="3">
        <v>2.455</v>
      </c>
      <c r="D2889" s="3">
        <v>2.1776</v>
      </c>
      <c r="E2889" s="3">
        <v>2.4577</v>
      </c>
      <c r="F2889" s="3">
        <v>2.176</v>
      </c>
      <c r="G2889" s="3">
        <v>2.4563</v>
      </c>
    </row>
    <row r="2890" spans="1:7">
      <c r="A2890" s="2">
        <v>45271</v>
      </c>
      <c r="B2890" s="3">
        <v>2.1775</v>
      </c>
      <c r="C2890" s="3">
        <v>2.4225</v>
      </c>
      <c r="D2890" s="3">
        <v>2.18</v>
      </c>
      <c r="E2890" s="3">
        <v>2.425</v>
      </c>
      <c r="F2890" s="3">
        <v>2.1788</v>
      </c>
      <c r="G2890" s="3">
        <v>2.4238</v>
      </c>
    </row>
    <row r="2891" spans="1:7">
      <c r="A2891" s="2">
        <v>45272</v>
      </c>
      <c r="B2891" s="3">
        <v>2.1671</v>
      </c>
      <c r="C2891" s="3">
        <v>2.4214</v>
      </c>
      <c r="D2891" s="3">
        <v>2.17</v>
      </c>
      <c r="E2891" s="3">
        <v>2.4239</v>
      </c>
      <c r="F2891" s="3">
        <v>2.1685</v>
      </c>
      <c r="G2891" s="3">
        <v>2.4227</v>
      </c>
    </row>
    <row r="2892" spans="1:7">
      <c r="A2892" s="2">
        <v>45273</v>
      </c>
      <c r="B2892" s="3">
        <v>2.115</v>
      </c>
      <c r="C2892" s="3">
        <v>2.3839</v>
      </c>
      <c r="D2892" s="3">
        <v>2.1175</v>
      </c>
      <c r="E2892" s="3">
        <v>2.3856</v>
      </c>
      <c r="F2892" s="3">
        <v>2.1163</v>
      </c>
      <c r="G2892" s="3">
        <v>2.3848</v>
      </c>
    </row>
    <row r="2893" spans="1:7">
      <c r="A2893" s="2">
        <v>45274</v>
      </c>
      <c r="B2893" s="3">
        <v>2.1025</v>
      </c>
      <c r="C2893" s="3">
        <v>2.37</v>
      </c>
      <c r="D2893" s="3">
        <v>2.105</v>
      </c>
      <c r="E2893" s="3">
        <v>2.3725</v>
      </c>
      <c r="F2893" s="3">
        <v>2.1038</v>
      </c>
      <c r="G2893" s="3">
        <v>2.3713</v>
      </c>
    </row>
    <row r="2894" spans="1:7">
      <c r="A2894" s="2">
        <v>45275</v>
      </c>
      <c r="B2894" s="3">
        <v>2.0794</v>
      </c>
      <c r="C2894" s="3">
        <v>2.3575</v>
      </c>
      <c r="D2894" s="3">
        <v>2.0823</v>
      </c>
      <c r="E2894" s="3">
        <v>2.3608</v>
      </c>
      <c r="F2894" s="3">
        <v>2.0808</v>
      </c>
      <c r="G2894" s="3">
        <v>2.3592</v>
      </c>
    </row>
    <row r="2895" spans="1:7">
      <c r="A2895" s="2">
        <v>45278</v>
      </c>
      <c r="B2895" s="3">
        <v>2.0925</v>
      </c>
      <c r="C2895" s="3">
        <v>2.3525</v>
      </c>
      <c r="D2895" s="3">
        <v>2.0975</v>
      </c>
      <c r="E2895" s="3">
        <v>2.3575</v>
      </c>
      <c r="F2895" s="3">
        <v>2.095</v>
      </c>
      <c r="G2895" s="3">
        <v>2.355</v>
      </c>
    </row>
    <row r="2896" spans="1:7">
      <c r="A2896" s="2">
        <v>45279</v>
      </c>
      <c r="B2896" s="3">
        <v>2.0975</v>
      </c>
      <c r="C2896" s="3">
        <v>2.36</v>
      </c>
      <c r="D2896" s="3">
        <v>2.1</v>
      </c>
      <c r="E2896" s="3">
        <v>2.3629</v>
      </c>
      <c r="F2896" s="3">
        <v>2.0988</v>
      </c>
      <c r="G2896" s="3">
        <v>2.3615</v>
      </c>
    </row>
    <row r="2897" spans="1:7">
      <c r="A2897" s="2">
        <v>45280</v>
      </c>
      <c r="B2897" s="3">
        <v>2.1075</v>
      </c>
      <c r="C2897" s="3">
        <v>2.365</v>
      </c>
      <c r="D2897" s="3">
        <v>2.11</v>
      </c>
      <c r="E2897" s="3">
        <v>2.3694</v>
      </c>
      <c r="F2897" s="3">
        <v>2.1088</v>
      </c>
      <c r="G2897" s="3">
        <v>2.3672</v>
      </c>
    </row>
    <row r="2898" spans="1:7">
      <c r="A2898" s="2">
        <v>45281</v>
      </c>
      <c r="B2898" s="3">
        <v>2.085</v>
      </c>
      <c r="C2898" s="3">
        <v>2.3425</v>
      </c>
      <c r="D2898" s="3">
        <v>2.0875</v>
      </c>
      <c r="E2898" s="3">
        <v>2.3475</v>
      </c>
      <c r="F2898" s="3">
        <v>2.0863</v>
      </c>
      <c r="G2898" s="3">
        <v>2.345</v>
      </c>
    </row>
    <row r="2899" spans="1:7">
      <c r="A2899" s="2">
        <v>45282</v>
      </c>
      <c r="B2899" s="3">
        <v>2.0575</v>
      </c>
      <c r="C2899" s="3">
        <v>2.335</v>
      </c>
      <c r="D2899" s="3">
        <v>2.0614</v>
      </c>
      <c r="E2899" s="3">
        <v>2.3375</v>
      </c>
      <c r="F2899" s="3">
        <v>2.0594</v>
      </c>
      <c r="G2899" s="3">
        <v>2.3363</v>
      </c>
    </row>
    <row r="2900" spans="1:7">
      <c r="A2900" s="2">
        <v>45285</v>
      </c>
      <c r="B2900" s="3">
        <v>2.0175</v>
      </c>
      <c r="C2900" s="3">
        <v>2.31</v>
      </c>
      <c r="D2900" s="3">
        <v>2.02</v>
      </c>
      <c r="E2900" s="3">
        <v>2.3125</v>
      </c>
      <c r="F2900" s="3">
        <v>2.0188</v>
      </c>
      <c r="G2900" s="3">
        <v>2.3113</v>
      </c>
    </row>
    <row r="2901" spans="1:7">
      <c r="A2901" s="2">
        <v>45286</v>
      </c>
      <c r="B2901" s="3">
        <v>2.0375</v>
      </c>
      <c r="C2901" s="3">
        <v>2.32</v>
      </c>
      <c r="D2901" s="3">
        <v>2.04</v>
      </c>
      <c r="E2901" s="3">
        <v>2.3241</v>
      </c>
      <c r="F2901" s="3">
        <v>2.0388</v>
      </c>
      <c r="G2901" s="3">
        <v>2.3221</v>
      </c>
    </row>
    <row r="2902" spans="1:7">
      <c r="A2902" s="2">
        <v>45287</v>
      </c>
      <c r="B2902" s="3">
        <v>2.0125</v>
      </c>
      <c r="C2902" s="3">
        <v>2.3147</v>
      </c>
      <c r="D2902" s="3">
        <v>2.0151</v>
      </c>
      <c r="E2902" s="3">
        <v>2.3171</v>
      </c>
      <c r="F2902" s="3">
        <v>2.0138</v>
      </c>
      <c r="G2902" s="3">
        <v>2.3159</v>
      </c>
    </row>
    <row r="2903" spans="1:7">
      <c r="A2903" s="2">
        <v>45288</v>
      </c>
      <c r="B2903" s="3">
        <v>1.9925</v>
      </c>
      <c r="C2903" s="3">
        <v>2.3275</v>
      </c>
      <c r="D2903" s="3">
        <v>1.995</v>
      </c>
      <c r="E2903" s="3">
        <v>2.3314</v>
      </c>
      <c r="F2903" s="3">
        <v>1.9938</v>
      </c>
      <c r="G2903" s="3">
        <v>2.3294</v>
      </c>
    </row>
    <row r="2904" spans="1:7">
      <c r="A2904" s="2">
        <v>45289</v>
      </c>
      <c r="B2904" s="3">
        <v>1.99</v>
      </c>
      <c r="C2904" s="3">
        <v>2.315</v>
      </c>
      <c r="D2904" s="3">
        <v>1.9925</v>
      </c>
      <c r="E2904" s="3">
        <v>2.32</v>
      </c>
      <c r="F2904" s="3">
        <v>1.9913</v>
      </c>
      <c r="G2904" s="3">
        <v>2.3175</v>
      </c>
    </row>
    <row r="2905" spans="1:7">
      <c r="A2905" s="2">
        <v>45293</v>
      </c>
      <c r="B2905" s="3">
        <v>2.042</v>
      </c>
      <c r="C2905" s="3">
        <v>2.3392</v>
      </c>
      <c r="D2905" s="3">
        <v>2.0451</v>
      </c>
      <c r="E2905" s="3">
        <v>2.3431</v>
      </c>
      <c r="F2905" s="3">
        <v>2.0436</v>
      </c>
      <c r="G2905" s="3">
        <v>2.3411</v>
      </c>
    </row>
    <row r="2906" spans="1:7">
      <c r="A2906" s="2">
        <v>45294</v>
      </c>
      <c r="B2906" s="3">
        <v>2.054</v>
      </c>
      <c r="C2906" s="3">
        <v>2.3325</v>
      </c>
      <c r="D2906" s="3">
        <v>2.0567</v>
      </c>
      <c r="E2906" s="3">
        <v>2.335</v>
      </c>
      <c r="F2906" s="3">
        <v>2.0554</v>
      </c>
      <c r="G2906" s="3">
        <v>2.3338</v>
      </c>
    </row>
    <row r="2907" spans="1:7">
      <c r="A2907" s="2">
        <v>45295</v>
      </c>
      <c r="B2907" s="3">
        <v>2.0775</v>
      </c>
      <c r="C2907" s="3">
        <v>2.3424</v>
      </c>
      <c r="D2907" s="3">
        <v>2.08</v>
      </c>
      <c r="E2907" s="3">
        <v>2.345</v>
      </c>
      <c r="F2907" s="3">
        <v>2.0788</v>
      </c>
      <c r="G2907" s="3">
        <v>2.3437</v>
      </c>
    </row>
    <row r="2908" spans="1:7">
      <c r="A2908" s="2">
        <v>45296</v>
      </c>
      <c r="B2908" s="3">
        <v>2.0425</v>
      </c>
      <c r="C2908" s="3">
        <v>2.31</v>
      </c>
      <c r="D2908" s="3">
        <v>2.045</v>
      </c>
      <c r="E2908" s="3">
        <v>2.3125</v>
      </c>
      <c r="F2908" s="3">
        <v>2.0438</v>
      </c>
      <c r="G2908" s="3">
        <v>2.3113</v>
      </c>
    </row>
    <row r="2909" spans="1:7">
      <c r="A2909" s="2">
        <v>45299</v>
      </c>
      <c r="B2909" s="3">
        <v>2.0624</v>
      </c>
      <c r="C2909" s="3">
        <v>2.3125</v>
      </c>
      <c r="D2909" s="3">
        <v>2.064</v>
      </c>
      <c r="E2909" s="3">
        <v>2.3152</v>
      </c>
      <c r="F2909" s="3">
        <v>2.0632</v>
      </c>
      <c r="G2909" s="3">
        <v>2.3138</v>
      </c>
    </row>
    <row r="2910" spans="1:7">
      <c r="A2910" s="2">
        <v>45300</v>
      </c>
      <c r="B2910" s="3">
        <v>2.045</v>
      </c>
      <c r="C2910" s="3">
        <v>2.2808</v>
      </c>
      <c r="D2910" s="3">
        <v>2.0476</v>
      </c>
      <c r="E2910" s="3">
        <v>2.2835</v>
      </c>
      <c r="F2910" s="3">
        <v>2.0463</v>
      </c>
      <c r="G2910" s="3">
        <v>2.2821</v>
      </c>
    </row>
    <row r="2911" spans="1:7">
      <c r="A2911" s="2">
        <v>45301</v>
      </c>
      <c r="B2911" s="3">
        <v>2.0613</v>
      </c>
      <c r="C2911" s="3">
        <v>2.3006</v>
      </c>
      <c r="D2911" s="3">
        <v>2.0626</v>
      </c>
      <c r="E2911" s="3">
        <v>2.3037</v>
      </c>
      <c r="F2911" s="3">
        <v>2.0619</v>
      </c>
      <c r="G2911" s="3">
        <v>2.3021</v>
      </c>
    </row>
    <row r="2912" spans="1:7">
      <c r="A2912" s="2">
        <v>45302</v>
      </c>
      <c r="B2912" s="3">
        <v>2.045</v>
      </c>
      <c r="C2912" s="3">
        <v>2.2825</v>
      </c>
      <c r="D2912" s="3">
        <v>2.0475</v>
      </c>
      <c r="E2912" s="3">
        <v>2.2875</v>
      </c>
      <c r="F2912" s="3">
        <v>2.0463</v>
      </c>
      <c r="G2912" s="3">
        <v>2.285</v>
      </c>
    </row>
    <row r="2913" spans="1:7">
      <c r="A2913" s="2">
        <v>45303</v>
      </c>
      <c r="B2913" s="3">
        <v>2.04</v>
      </c>
      <c r="C2913" s="3">
        <v>2.2975</v>
      </c>
      <c r="D2913" s="3">
        <v>2.0437</v>
      </c>
      <c r="E2913" s="3">
        <v>2.3</v>
      </c>
      <c r="F2913" s="3">
        <v>2.0418</v>
      </c>
      <c r="G2913" s="3">
        <v>2.2988</v>
      </c>
    </row>
    <row r="2914" spans="1:7">
      <c r="A2914" s="2">
        <v>45306</v>
      </c>
      <c r="B2914" s="3">
        <v>2.085</v>
      </c>
      <c r="C2914" s="3">
        <v>2.305</v>
      </c>
      <c r="D2914" s="3">
        <v>2.0875</v>
      </c>
      <c r="E2914" s="3">
        <v>2.3075</v>
      </c>
      <c r="F2914" s="3">
        <v>2.0863</v>
      </c>
      <c r="G2914" s="3">
        <v>2.3063</v>
      </c>
    </row>
    <row r="2915" spans="1:7">
      <c r="A2915" s="2">
        <v>45307</v>
      </c>
      <c r="B2915" s="3">
        <v>2.108</v>
      </c>
      <c r="C2915" s="3">
        <v>2.3155</v>
      </c>
      <c r="D2915" s="3">
        <v>2.1109</v>
      </c>
      <c r="E2915" s="3">
        <v>2.3182</v>
      </c>
      <c r="F2915" s="3">
        <v>2.1095</v>
      </c>
      <c r="G2915" s="3">
        <v>2.3169</v>
      </c>
    </row>
    <row r="2916" spans="1:7">
      <c r="A2916" s="2">
        <v>45308</v>
      </c>
      <c r="B2916" s="3">
        <v>2.0975</v>
      </c>
      <c r="C2916" s="3">
        <v>2.2908</v>
      </c>
      <c r="D2916" s="3">
        <v>2.1</v>
      </c>
      <c r="E2916" s="3">
        <v>2.2929</v>
      </c>
      <c r="F2916" s="3">
        <v>2.0988</v>
      </c>
      <c r="G2916" s="3">
        <v>2.2919</v>
      </c>
    </row>
    <row r="2917" spans="1:7">
      <c r="A2917" s="2">
        <v>45309</v>
      </c>
      <c r="B2917" s="3">
        <v>2.09</v>
      </c>
      <c r="C2917" s="3">
        <v>2.3025</v>
      </c>
      <c r="D2917" s="3">
        <v>2.0925</v>
      </c>
      <c r="E2917" s="3">
        <v>2.305</v>
      </c>
      <c r="F2917" s="3">
        <v>2.0913</v>
      </c>
      <c r="G2917" s="3">
        <v>2.3038</v>
      </c>
    </row>
    <row r="2918" spans="1:7">
      <c r="A2918" s="2">
        <v>45310</v>
      </c>
      <c r="B2918" s="3">
        <v>2.07</v>
      </c>
      <c r="C2918" s="3">
        <v>2.292</v>
      </c>
      <c r="D2918" s="3">
        <v>2.0725</v>
      </c>
      <c r="E2918" s="3">
        <v>2.2945</v>
      </c>
      <c r="F2918" s="3">
        <v>2.0713</v>
      </c>
      <c r="G2918" s="3">
        <v>2.2932</v>
      </c>
    </row>
    <row r="2919" spans="1:7">
      <c r="A2919" s="2">
        <v>45313</v>
      </c>
      <c r="B2919" s="3">
        <v>2.0825</v>
      </c>
      <c r="C2919" s="3">
        <v>2.2875</v>
      </c>
      <c r="D2919" s="3">
        <v>2.085</v>
      </c>
      <c r="E2919" s="3">
        <v>2.29</v>
      </c>
      <c r="F2919" s="3">
        <v>2.0838</v>
      </c>
      <c r="G2919" s="3">
        <v>2.2888</v>
      </c>
    </row>
    <row r="2920" spans="1:7">
      <c r="A2920" s="2">
        <v>45314</v>
      </c>
      <c r="B2920" s="3">
        <v>2.08</v>
      </c>
      <c r="C2920" s="3">
        <v>2.3066</v>
      </c>
      <c r="D2920" s="3">
        <v>2.0825</v>
      </c>
      <c r="E2920" s="3">
        <v>2.309</v>
      </c>
      <c r="F2920" s="3">
        <v>2.0813</v>
      </c>
      <c r="G2920" s="3">
        <v>2.3078</v>
      </c>
    </row>
    <row r="2921" spans="1:7">
      <c r="A2921" s="2">
        <v>45315</v>
      </c>
      <c r="B2921" s="3">
        <v>2.0445</v>
      </c>
      <c r="C2921" s="3">
        <v>2.2903</v>
      </c>
      <c r="D2921" s="3">
        <v>2.0479</v>
      </c>
      <c r="E2921" s="3">
        <v>2.293</v>
      </c>
      <c r="F2921" s="3">
        <v>2.0462</v>
      </c>
      <c r="G2921" s="3">
        <v>2.2916</v>
      </c>
    </row>
    <row r="2922" spans="1:7">
      <c r="A2922" s="2">
        <v>45316</v>
      </c>
      <c r="B2922" s="3">
        <v>2.0175</v>
      </c>
      <c r="C2922" s="3">
        <v>2.2575</v>
      </c>
      <c r="D2922" s="3">
        <v>2.0225</v>
      </c>
      <c r="E2922" s="3">
        <v>2.26</v>
      </c>
      <c r="F2922" s="3">
        <v>2.02</v>
      </c>
      <c r="G2922" s="3">
        <v>2.2588</v>
      </c>
    </row>
    <row r="2923" spans="1:7">
      <c r="A2923" s="2">
        <v>45317</v>
      </c>
      <c r="B2923" s="3">
        <v>2</v>
      </c>
      <c r="C2923" s="3">
        <v>2.255</v>
      </c>
      <c r="D2923" s="3">
        <v>2.0025</v>
      </c>
      <c r="E2923" s="3">
        <v>2.2575</v>
      </c>
      <c r="F2923" s="3">
        <v>2.0013</v>
      </c>
      <c r="G2923" s="3">
        <v>2.2563</v>
      </c>
    </row>
    <row r="2924" spans="1:7">
      <c r="A2924" s="2">
        <v>45320</v>
      </c>
      <c r="B2924" s="3">
        <v>1.9825</v>
      </c>
      <c r="C2924" s="3">
        <v>2.2225</v>
      </c>
      <c r="D2924" s="3">
        <v>1.985</v>
      </c>
      <c r="E2924" s="3">
        <v>2.225</v>
      </c>
      <c r="F2924" s="3">
        <v>1.9838</v>
      </c>
      <c r="G2924" s="3">
        <v>2.2238</v>
      </c>
    </row>
    <row r="2925" spans="1:7">
      <c r="A2925" s="2">
        <v>45321</v>
      </c>
      <c r="B2925" s="3">
        <v>1.9507</v>
      </c>
      <c r="C2925" s="3">
        <v>2.1775</v>
      </c>
      <c r="D2925" s="3">
        <v>1.9539</v>
      </c>
      <c r="E2925" s="3">
        <v>2.18</v>
      </c>
      <c r="F2925" s="3">
        <v>1.9523</v>
      </c>
      <c r="G2925" s="3">
        <v>2.1788</v>
      </c>
    </row>
    <row r="2926" spans="1:7">
      <c r="A2926" s="2">
        <v>45322</v>
      </c>
      <c r="B2926" s="3">
        <v>1.9625</v>
      </c>
      <c r="C2926" s="3">
        <v>2.175</v>
      </c>
      <c r="D2926" s="3">
        <v>1.965</v>
      </c>
      <c r="E2926" s="3">
        <v>2.1775</v>
      </c>
      <c r="F2926" s="3">
        <v>1.9638</v>
      </c>
      <c r="G2926" s="3">
        <v>2.1763</v>
      </c>
    </row>
    <row r="2927" spans="1:7">
      <c r="A2927" s="2">
        <v>45323</v>
      </c>
      <c r="B2927" s="3">
        <v>1.9675</v>
      </c>
      <c r="C2927" s="3">
        <v>2.19</v>
      </c>
      <c r="D2927" s="3">
        <v>1.97</v>
      </c>
      <c r="E2927" s="3">
        <v>2.1947</v>
      </c>
      <c r="F2927" s="3">
        <v>1.9688</v>
      </c>
      <c r="G2927" s="3">
        <v>2.1923</v>
      </c>
    </row>
    <row r="2928" spans="1:7">
      <c r="A2928" s="2">
        <v>45324</v>
      </c>
      <c r="B2928" s="3">
        <v>1.96</v>
      </c>
      <c r="C2928" s="3">
        <v>2.1768</v>
      </c>
      <c r="D2928" s="3">
        <v>1.9682</v>
      </c>
      <c r="E2928" s="3">
        <v>2.1825</v>
      </c>
      <c r="F2928" s="3">
        <v>1.9641</v>
      </c>
      <c r="G2928" s="3">
        <v>2.1797</v>
      </c>
    </row>
    <row r="2929" spans="1:7">
      <c r="A2929" s="2">
        <v>45326</v>
      </c>
      <c r="B2929" s="3">
        <v>1.9525</v>
      </c>
      <c r="C2929" s="3">
        <v>2.1725</v>
      </c>
      <c r="D2929" s="3">
        <v>1.9575</v>
      </c>
      <c r="E2929" s="3">
        <v>2.175</v>
      </c>
      <c r="F2929" s="3">
        <v>1.955</v>
      </c>
      <c r="G2929" s="3">
        <v>2.1738</v>
      </c>
    </row>
    <row r="2930" spans="1:7">
      <c r="A2930" s="2">
        <v>45327</v>
      </c>
      <c r="B2930" s="3">
        <v>1.9582</v>
      </c>
      <c r="C2930" s="3">
        <v>2.1675</v>
      </c>
      <c r="D2930" s="3">
        <v>1.9618</v>
      </c>
      <c r="E2930" s="3">
        <v>2.1702</v>
      </c>
      <c r="F2930" s="3">
        <v>1.96</v>
      </c>
      <c r="G2930" s="3">
        <v>2.1688</v>
      </c>
    </row>
    <row r="2931" spans="1:7">
      <c r="A2931" s="2">
        <v>45328</v>
      </c>
      <c r="B2931" s="3">
        <v>1.9985</v>
      </c>
      <c r="C2931" s="3">
        <v>2.2342</v>
      </c>
      <c r="D2931" s="3">
        <v>2.0009</v>
      </c>
      <c r="E2931" s="3">
        <v>2.2368</v>
      </c>
      <c r="F2931" s="3">
        <v>1.9997</v>
      </c>
      <c r="G2931" s="3">
        <v>2.2355</v>
      </c>
    </row>
    <row r="2932" spans="1:7">
      <c r="A2932" s="2">
        <v>45329</v>
      </c>
      <c r="B2932" s="3">
        <v>1.95</v>
      </c>
      <c r="C2932" s="3">
        <v>2.1802</v>
      </c>
      <c r="D2932" s="3">
        <v>1.9537</v>
      </c>
      <c r="E2932" s="3">
        <v>2.1831</v>
      </c>
      <c r="F2932" s="3">
        <v>1.9518</v>
      </c>
      <c r="G2932" s="3">
        <v>2.1817</v>
      </c>
    </row>
    <row r="2933" spans="1:7">
      <c r="A2933" s="2">
        <v>45330</v>
      </c>
      <c r="B2933" s="3">
        <v>1.9546</v>
      </c>
      <c r="C2933" s="3">
        <v>2.2</v>
      </c>
      <c r="D2933" s="3">
        <v>1.9575</v>
      </c>
      <c r="E2933" s="3">
        <v>2.203</v>
      </c>
      <c r="F2933" s="3">
        <v>1.956</v>
      </c>
      <c r="G2933" s="3">
        <v>2.2015</v>
      </c>
    </row>
    <row r="2934" spans="1:7">
      <c r="A2934" s="2">
        <v>45331</v>
      </c>
      <c r="B2934" s="3">
        <v>1.95</v>
      </c>
      <c r="C2934" s="3">
        <v>2.2025</v>
      </c>
      <c r="D2934" s="3">
        <v>1.965</v>
      </c>
      <c r="E2934" s="3">
        <v>2.21</v>
      </c>
      <c r="F2934" s="3">
        <v>1.9575</v>
      </c>
      <c r="G2934" s="3">
        <v>2.2063</v>
      </c>
    </row>
    <row r="2935" spans="1:7">
      <c r="A2935" s="2">
        <v>45340</v>
      </c>
      <c r="B2935" s="3">
        <v>1.955</v>
      </c>
      <c r="C2935" s="3">
        <v>2.2</v>
      </c>
      <c r="D2935" s="3">
        <v>1.9613</v>
      </c>
      <c r="E2935" s="3">
        <v>2.21</v>
      </c>
      <c r="F2935" s="3">
        <v>1.9581</v>
      </c>
      <c r="G2935" s="3">
        <v>2.205</v>
      </c>
    </row>
    <row r="2936" spans="1:7">
      <c r="A2936" s="2">
        <v>45341</v>
      </c>
      <c r="B2936" s="3">
        <v>1.9725</v>
      </c>
      <c r="C2936" s="3">
        <v>2.205</v>
      </c>
      <c r="D2936" s="3">
        <v>1.975</v>
      </c>
      <c r="E2936" s="3">
        <v>2.2076</v>
      </c>
      <c r="F2936" s="3">
        <v>1.9738</v>
      </c>
      <c r="G2936" s="3">
        <v>2.2063</v>
      </c>
    </row>
    <row r="2937" spans="1:7">
      <c r="A2937" s="2">
        <v>45342</v>
      </c>
      <c r="B2937" s="3">
        <v>1.945</v>
      </c>
      <c r="C2937" s="3">
        <v>2.1775</v>
      </c>
      <c r="D2937" s="3">
        <v>1.9475</v>
      </c>
      <c r="E2937" s="3">
        <v>2.18</v>
      </c>
      <c r="F2937" s="3">
        <v>1.9463</v>
      </c>
      <c r="G2937" s="3">
        <v>2.1788</v>
      </c>
    </row>
    <row r="2938" spans="1:7">
      <c r="A2938" s="2">
        <v>45343</v>
      </c>
      <c r="B2938" s="3">
        <v>1.9475</v>
      </c>
      <c r="C2938" s="3">
        <v>2.1771</v>
      </c>
      <c r="D2938" s="3">
        <v>1.95</v>
      </c>
      <c r="E2938" s="3">
        <v>2.18</v>
      </c>
      <c r="F2938" s="3">
        <v>1.9488</v>
      </c>
      <c r="G2938" s="3">
        <v>2.1785</v>
      </c>
    </row>
    <row r="2939" spans="1:7">
      <c r="A2939" s="2">
        <v>45344</v>
      </c>
      <c r="B2939" s="3">
        <v>1.9275</v>
      </c>
      <c r="C2939" s="3">
        <v>2.15</v>
      </c>
      <c r="D2939" s="3">
        <v>1.93</v>
      </c>
      <c r="E2939" s="3">
        <v>2.155</v>
      </c>
      <c r="F2939" s="3">
        <v>1.9288</v>
      </c>
      <c r="G2939" s="3">
        <v>2.1525</v>
      </c>
    </row>
    <row r="2940" spans="1:7">
      <c r="A2940" s="2">
        <v>45345</v>
      </c>
      <c r="B2940" s="3">
        <v>1.9325</v>
      </c>
      <c r="C2940" s="3">
        <v>2.1525</v>
      </c>
      <c r="D2940" s="3">
        <v>1.935</v>
      </c>
      <c r="E2940" s="3">
        <v>2.155</v>
      </c>
      <c r="F2940" s="3">
        <v>1.9338</v>
      </c>
      <c r="G2940" s="3">
        <v>2.1538</v>
      </c>
    </row>
    <row r="2941" spans="1:7">
      <c r="A2941" s="2">
        <v>45348</v>
      </c>
      <c r="B2941" s="3">
        <v>1.935</v>
      </c>
      <c r="C2941" s="3">
        <v>2.1375</v>
      </c>
      <c r="D2941" s="3">
        <v>1.9375</v>
      </c>
      <c r="E2941" s="3">
        <v>2.14</v>
      </c>
      <c r="F2941" s="3">
        <v>1.9363</v>
      </c>
      <c r="G2941" s="3">
        <v>2.1388</v>
      </c>
    </row>
    <row r="2942" spans="1:7">
      <c r="A2942" s="2">
        <v>45349</v>
      </c>
      <c r="B2942" s="3">
        <v>1.955</v>
      </c>
      <c r="C2942" s="3">
        <v>2.1598</v>
      </c>
      <c r="D2942" s="3">
        <v>1.9575</v>
      </c>
      <c r="E2942" s="3">
        <v>2.1625</v>
      </c>
      <c r="F2942" s="3">
        <v>1.9563</v>
      </c>
      <c r="G2942" s="3">
        <v>2.1612</v>
      </c>
    </row>
    <row r="2943" spans="1:7">
      <c r="A2943" s="2">
        <v>45350</v>
      </c>
      <c r="B2943" s="3">
        <v>1.9325</v>
      </c>
      <c r="C2943" s="3">
        <v>2.1325</v>
      </c>
      <c r="D2943" s="3">
        <v>1.935</v>
      </c>
      <c r="E2943" s="3">
        <v>2.135</v>
      </c>
      <c r="F2943" s="3">
        <v>1.9338</v>
      </c>
      <c r="G2943" s="3">
        <v>2.1338</v>
      </c>
    </row>
    <row r="2944" spans="1:7">
      <c r="A2944" s="2">
        <v>45351</v>
      </c>
      <c r="B2944" s="3">
        <v>1.9319</v>
      </c>
      <c r="C2944" s="3">
        <v>2.1473</v>
      </c>
      <c r="D2944" s="3">
        <v>1.935</v>
      </c>
      <c r="E2944" s="3">
        <v>2.1492</v>
      </c>
      <c r="F2944" s="3">
        <v>1.9334</v>
      </c>
      <c r="G2944" s="3">
        <v>2.1482</v>
      </c>
    </row>
    <row r="2945" spans="1:7">
      <c r="A2945" s="2">
        <v>45352</v>
      </c>
      <c r="B2945" s="3">
        <v>1.9525</v>
      </c>
      <c r="C2945" s="3">
        <v>2.1875</v>
      </c>
      <c r="D2945" s="3">
        <v>1.955</v>
      </c>
      <c r="E2945" s="3">
        <v>2.1908</v>
      </c>
      <c r="F2945" s="3">
        <v>1.9538</v>
      </c>
      <c r="G2945" s="3">
        <v>2.1892</v>
      </c>
    </row>
    <row r="2946" spans="1:7">
      <c r="A2946" s="2">
        <v>45355</v>
      </c>
      <c r="B2946" s="3">
        <v>1.9546</v>
      </c>
      <c r="C2946" s="3">
        <v>2.1655</v>
      </c>
      <c r="D2946" s="3">
        <v>1.9575</v>
      </c>
      <c r="E2946" s="3">
        <v>2.168</v>
      </c>
      <c r="F2946" s="3">
        <v>1.956</v>
      </c>
      <c r="G2946" s="3">
        <v>2.1668</v>
      </c>
    </row>
    <row r="2947" spans="1:7">
      <c r="A2947" s="2">
        <v>45356</v>
      </c>
      <c r="B2947" s="3">
        <v>1.9572</v>
      </c>
      <c r="C2947" s="3">
        <v>2.1559</v>
      </c>
      <c r="D2947" s="3">
        <v>1.96</v>
      </c>
      <c r="E2947" s="3">
        <v>2.158</v>
      </c>
      <c r="F2947" s="3">
        <v>1.9586</v>
      </c>
      <c r="G2947" s="3">
        <v>2.1569</v>
      </c>
    </row>
    <row r="2948" spans="1:7">
      <c r="A2948" s="2">
        <v>45357</v>
      </c>
      <c r="B2948" s="3">
        <v>1.9296</v>
      </c>
      <c r="C2948" s="3">
        <v>2.1155</v>
      </c>
      <c r="D2948" s="3">
        <v>1.9331</v>
      </c>
      <c r="E2948" s="3">
        <v>2.1186</v>
      </c>
      <c r="F2948" s="3">
        <v>1.9313</v>
      </c>
      <c r="G2948" s="3">
        <v>2.117</v>
      </c>
    </row>
    <row r="2949" spans="1:7">
      <c r="A2949" s="2">
        <v>45358</v>
      </c>
      <c r="B2949" s="3">
        <v>1.9359</v>
      </c>
      <c r="C2949" s="3">
        <v>2.1215</v>
      </c>
      <c r="D2949" s="3">
        <v>1.94</v>
      </c>
      <c r="E2949" s="3">
        <v>2.1242</v>
      </c>
      <c r="F2949" s="3">
        <v>1.9379</v>
      </c>
      <c r="G2949" s="3">
        <v>2.1229</v>
      </c>
    </row>
    <row r="2950" spans="1:7">
      <c r="A2950" s="2">
        <v>45359</v>
      </c>
      <c r="B2950" s="3">
        <v>1.9403</v>
      </c>
      <c r="C2950" s="3">
        <v>2.1412</v>
      </c>
      <c r="D2950" s="3">
        <v>1.945</v>
      </c>
      <c r="E2950" s="3">
        <v>2.1445</v>
      </c>
      <c r="F2950" s="3">
        <v>1.9427</v>
      </c>
      <c r="G2950" s="3">
        <v>2.1429</v>
      </c>
    </row>
    <row r="2951" spans="1:7">
      <c r="A2951" s="2">
        <v>45362</v>
      </c>
      <c r="B2951" s="3">
        <v>1.9575</v>
      </c>
      <c r="C2951" s="3">
        <v>2.1503</v>
      </c>
      <c r="D2951" s="3">
        <v>1.96</v>
      </c>
      <c r="E2951" s="3">
        <v>2.1538</v>
      </c>
      <c r="F2951" s="3">
        <v>1.9588</v>
      </c>
      <c r="G2951" s="3">
        <v>2.152</v>
      </c>
    </row>
    <row r="2952" spans="1:7">
      <c r="A2952" s="2">
        <v>45363</v>
      </c>
      <c r="B2952" s="3">
        <v>1.9674</v>
      </c>
      <c r="C2952" s="3">
        <v>2.1689</v>
      </c>
      <c r="D2952" s="3">
        <v>1.9701</v>
      </c>
      <c r="E2952" s="3">
        <v>2.1723</v>
      </c>
      <c r="F2952" s="3">
        <v>1.9688</v>
      </c>
      <c r="G2952" s="3">
        <v>2.1706</v>
      </c>
    </row>
    <row r="2953" spans="1:7">
      <c r="A2953" s="2">
        <v>45364</v>
      </c>
      <c r="B2953" s="3">
        <v>1.965</v>
      </c>
      <c r="C2953" s="3">
        <v>2.1575</v>
      </c>
      <c r="D2953" s="3">
        <v>1.9675</v>
      </c>
      <c r="E2953" s="3">
        <v>2.1601</v>
      </c>
      <c r="F2953" s="3">
        <v>1.9663</v>
      </c>
      <c r="G2953" s="3">
        <v>2.1588</v>
      </c>
    </row>
    <row r="2954" spans="1:7">
      <c r="A2954" s="2">
        <v>45365</v>
      </c>
      <c r="B2954" s="3">
        <v>1.9725</v>
      </c>
      <c r="C2954" s="3">
        <v>2.165</v>
      </c>
      <c r="D2954" s="3">
        <v>1.975</v>
      </c>
      <c r="E2954" s="3">
        <v>2.1675</v>
      </c>
      <c r="F2954" s="3">
        <v>1.9738</v>
      </c>
      <c r="G2954" s="3">
        <v>2.1663</v>
      </c>
    </row>
    <row r="2955" spans="1:7">
      <c r="A2955" s="2">
        <v>45366</v>
      </c>
      <c r="B2955" s="3">
        <v>1.968</v>
      </c>
      <c r="C2955" s="3">
        <v>2.1573</v>
      </c>
      <c r="D2955" s="3">
        <v>1.9705</v>
      </c>
      <c r="E2955" s="3">
        <v>2.16</v>
      </c>
      <c r="F2955" s="3">
        <v>1.9693</v>
      </c>
      <c r="G2955" s="3">
        <v>2.1587</v>
      </c>
    </row>
    <row r="2956" spans="1:7">
      <c r="A2956" s="2">
        <v>45369</v>
      </c>
      <c r="B2956" s="3">
        <v>1.9591</v>
      </c>
      <c r="C2956" s="3">
        <v>2.1445</v>
      </c>
      <c r="D2956" s="3">
        <v>1.9619</v>
      </c>
      <c r="E2956" s="3">
        <v>2.1473</v>
      </c>
      <c r="F2956" s="3">
        <v>1.9605</v>
      </c>
      <c r="G2956" s="3">
        <v>2.1459</v>
      </c>
    </row>
    <row r="2957" spans="1:7">
      <c r="A2957" s="2">
        <v>45370</v>
      </c>
      <c r="B2957" s="3">
        <v>1.9625</v>
      </c>
      <c r="C2957" s="3">
        <v>2.1409</v>
      </c>
      <c r="D2957" s="3">
        <v>1.9653</v>
      </c>
      <c r="E2957" s="3">
        <v>2.1434</v>
      </c>
      <c r="F2957" s="3">
        <v>1.9639</v>
      </c>
      <c r="G2957" s="3">
        <v>2.1421</v>
      </c>
    </row>
    <row r="2958" spans="1:7">
      <c r="A2958" s="2">
        <v>45371</v>
      </c>
      <c r="B2958" s="3">
        <v>1.9871</v>
      </c>
      <c r="C2958" s="3">
        <v>2.1768</v>
      </c>
      <c r="D2958" s="3">
        <v>1.9889</v>
      </c>
      <c r="E2958" s="3">
        <v>2.1803</v>
      </c>
      <c r="F2958" s="3">
        <v>1.988</v>
      </c>
      <c r="G2958" s="3">
        <v>2.1785</v>
      </c>
    </row>
    <row r="2959" spans="1:7">
      <c r="A2959" s="2">
        <v>45372</v>
      </c>
      <c r="B2959" s="3">
        <v>1.965</v>
      </c>
      <c r="C2959" s="3">
        <v>2.145</v>
      </c>
      <c r="D2959" s="3">
        <v>1.9675</v>
      </c>
      <c r="E2959" s="3">
        <v>2.1479</v>
      </c>
      <c r="F2959" s="3">
        <v>1.9663</v>
      </c>
      <c r="G2959" s="3">
        <v>2.1465</v>
      </c>
    </row>
    <row r="2960" spans="1:7">
      <c r="A2960" s="2">
        <v>45373</v>
      </c>
      <c r="B2960" s="3">
        <v>1.975</v>
      </c>
      <c r="C2960" s="3">
        <v>2.1575</v>
      </c>
      <c r="D2960" s="3">
        <v>1.98</v>
      </c>
      <c r="E2960" s="3">
        <v>2.16</v>
      </c>
      <c r="F2960" s="3">
        <v>1.9775</v>
      </c>
      <c r="G2960" s="3">
        <v>2.1588</v>
      </c>
    </row>
    <row r="2961" spans="1:7">
      <c r="A2961" s="2">
        <v>45376</v>
      </c>
      <c r="B2961" s="3">
        <v>1.9945</v>
      </c>
      <c r="C2961" s="3">
        <v>2.1725</v>
      </c>
      <c r="D2961" s="3">
        <v>1.9975</v>
      </c>
      <c r="E2961" s="3">
        <v>2.1751</v>
      </c>
      <c r="F2961" s="3">
        <v>1.996</v>
      </c>
      <c r="G2961" s="3">
        <v>2.1738</v>
      </c>
    </row>
    <row r="2962" spans="1:7">
      <c r="A2962" s="2">
        <v>45377</v>
      </c>
      <c r="B2962" s="3">
        <v>2.0043</v>
      </c>
      <c r="C2962" s="3">
        <v>2.185</v>
      </c>
      <c r="D2962" s="3">
        <v>2.005</v>
      </c>
      <c r="E2962" s="3">
        <v>2.1875</v>
      </c>
      <c r="F2962" s="3">
        <v>2.0046</v>
      </c>
      <c r="G2962" s="3">
        <v>2.1863</v>
      </c>
    </row>
    <row r="2963" spans="1:7">
      <c r="A2963" s="2">
        <v>45378</v>
      </c>
      <c r="B2963" s="3">
        <v>1.99</v>
      </c>
      <c r="C2963" s="3">
        <v>2.1671</v>
      </c>
      <c r="D2963" s="3">
        <v>1.9925</v>
      </c>
      <c r="E2963" s="3">
        <v>2.1696</v>
      </c>
      <c r="F2963" s="3">
        <v>1.9913</v>
      </c>
      <c r="G2963" s="3">
        <v>2.1684</v>
      </c>
    </row>
    <row r="2964" spans="1:7">
      <c r="A2964" s="2">
        <v>45379</v>
      </c>
      <c r="B2964" s="3">
        <v>1.9806</v>
      </c>
      <c r="C2964" s="3">
        <v>2.1625</v>
      </c>
      <c r="D2964" s="3">
        <v>1.9827</v>
      </c>
      <c r="E2964" s="3">
        <v>2.165</v>
      </c>
      <c r="F2964" s="3">
        <v>1.9816</v>
      </c>
      <c r="G2964" s="3">
        <v>2.1638</v>
      </c>
    </row>
    <row r="2965" spans="1:7">
      <c r="A2965" s="2">
        <v>45380</v>
      </c>
      <c r="B2965" s="3">
        <v>1.94</v>
      </c>
      <c r="C2965" s="3">
        <v>2.1299</v>
      </c>
      <c r="D2965" s="3">
        <v>1.9426</v>
      </c>
      <c r="E2965" s="3">
        <v>2.1325</v>
      </c>
      <c r="F2965" s="3">
        <v>1.9413</v>
      </c>
      <c r="G2965" s="3">
        <v>2.1312</v>
      </c>
    </row>
    <row r="2966" spans="1:7">
      <c r="A2966" s="2">
        <v>45383</v>
      </c>
      <c r="B2966" s="3">
        <v>1.9647</v>
      </c>
      <c r="C2966" s="3">
        <v>2.1549</v>
      </c>
      <c r="D2966" s="3">
        <v>1.9675</v>
      </c>
      <c r="E2966" s="3">
        <v>2.1575</v>
      </c>
      <c r="F2966" s="3">
        <v>1.9661</v>
      </c>
      <c r="G2966" s="3">
        <v>2.1562</v>
      </c>
    </row>
    <row r="2967" spans="1:7">
      <c r="A2967" s="2">
        <v>45384</v>
      </c>
      <c r="B2967" s="3">
        <v>1.9725</v>
      </c>
      <c r="C2967" s="3">
        <v>2.1448</v>
      </c>
      <c r="D2967" s="3">
        <v>1.975</v>
      </c>
      <c r="E2967" s="3">
        <v>2.1473</v>
      </c>
      <c r="F2967" s="3">
        <v>1.9738</v>
      </c>
      <c r="G2967" s="3">
        <v>2.1461</v>
      </c>
    </row>
    <row r="2968" spans="1:7">
      <c r="A2968" s="2">
        <v>45385</v>
      </c>
      <c r="B2968" s="3">
        <v>1.965</v>
      </c>
      <c r="C2968" s="3">
        <v>2.135</v>
      </c>
      <c r="D2968" s="3">
        <v>1.9675</v>
      </c>
      <c r="E2968" s="3">
        <v>2.1375</v>
      </c>
      <c r="F2968" s="3">
        <v>1.9663</v>
      </c>
      <c r="G2968" s="3">
        <v>2.1363</v>
      </c>
    </row>
    <row r="2969" spans="1:7">
      <c r="A2969" s="2">
        <v>45389</v>
      </c>
      <c r="B2969" s="3">
        <v>1.955</v>
      </c>
      <c r="C2969" s="3">
        <v>2.1325</v>
      </c>
      <c r="D2969" s="3">
        <v>1.975</v>
      </c>
      <c r="E2969" s="3">
        <v>2.1425</v>
      </c>
      <c r="F2969" s="3">
        <v>1.965</v>
      </c>
      <c r="G2969" s="3">
        <v>2.1375</v>
      </c>
    </row>
    <row r="2970" spans="1:7">
      <c r="A2970" s="2">
        <v>45390</v>
      </c>
      <c r="B2970" s="3">
        <v>1.955</v>
      </c>
      <c r="C2970" s="3">
        <v>2.1321</v>
      </c>
      <c r="D2970" s="3">
        <v>1.9575</v>
      </c>
      <c r="E2970" s="3">
        <v>2.1346</v>
      </c>
      <c r="F2970" s="3">
        <v>1.9563</v>
      </c>
      <c r="G2970" s="3">
        <v>2.1334</v>
      </c>
    </row>
    <row r="2971" spans="1:7">
      <c r="A2971" s="2">
        <v>45391</v>
      </c>
      <c r="B2971" s="3">
        <v>1.955</v>
      </c>
      <c r="C2971" s="3">
        <v>2.125</v>
      </c>
      <c r="D2971" s="3">
        <v>1.9575</v>
      </c>
      <c r="E2971" s="3">
        <v>2.1275</v>
      </c>
      <c r="F2971" s="3">
        <v>1.9563</v>
      </c>
      <c r="G2971" s="3">
        <v>2.1263</v>
      </c>
    </row>
    <row r="2972" spans="1:7">
      <c r="A2972" s="2">
        <v>45392</v>
      </c>
      <c r="B2972" s="3">
        <v>1.93</v>
      </c>
      <c r="C2972" s="3">
        <v>2.12</v>
      </c>
      <c r="D2972" s="3">
        <v>1.9325</v>
      </c>
      <c r="E2972" s="3">
        <v>2.1225</v>
      </c>
      <c r="F2972" s="3">
        <v>1.9313</v>
      </c>
      <c r="G2972" s="3">
        <v>2.1213</v>
      </c>
    </row>
    <row r="2973" spans="1:7">
      <c r="A2973" s="2">
        <v>45393</v>
      </c>
      <c r="B2973" s="3">
        <v>1.933</v>
      </c>
      <c r="C2973" s="3">
        <v>2.125</v>
      </c>
      <c r="D2973" s="3">
        <v>1.9363</v>
      </c>
      <c r="E2973" s="3">
        <v>2.1275</v>
      </c>
      <c r="F2973" s="3">
        <v>1.9346</v>
      </c>
      <c r="G2973" s="3">
        <v>2.1263</v>
      </c>
    </row>
    <row r="2974" spans="1:7">
      <c r="A2974" s="2">
        <v>45394</v>
      </c>
      <c r="B2974" s="3">
        <v>1.915</v>
      </c>
      <c r="C2974" s="3">
        <v>2.1</v>
      </c>
      <c r="D2974" s="3">
        <v>1.9175</v>
      </c>
      <c r="E2974" s="3">
        <v>2.1025</v>
      </c>
      <c r="F2974" s="3">
        <v>1.9163</v>
      </c>
      <c r="G2974" s="3">
        <v>2.1013</v>
      </c>
    </row>
    <row r="2975" spans="1:7">
      <c r="A2975" s="2">
        <v>45397</v>
      </c>
      <c r="B2975" s="3">
        <v>1.9308</v>
      </c>
      <c r="C2975" s="3">
        <v>2.11</v>
      </c>
      <c r="D2975" s="3">
        <v>1.9335</v>
      </c>
      <c r="E2975" s="3">
        <v>2.1132</v>
      </c>
      <c r="F2975" s="3">
        <v>1.9321</v>
      </c>
      <c r="G2975" s="3">
        <v>2.1116</v>
      </c>
    </row>
    <row r="2976" spans="1:7">
      <c r="A2976" s="2">
        <v>45398</v>
      </c>
      <c r="B2976" s="3">
        <v>1.93</v>
      </c>
      <c r="C2976" s="3">
        <v>2.1048</v>
      </c>
      <c r="D2976" s="3">
        <v>1.9325</v>
      </c>
      <c r="E2976" s="3">
        <v>2.1075</v>
      </c>
      <c r="F2976" s="3">
        <v>1.9313</v>
      </c>
      <c r="G2976" s="3">
        <v>2.1062</v>
      </c>
    </row>
    <row r="2977" spans="1:7">
      <c r="A2977" s="2">
        <v>45399</v>
      </c>
      <c r="B2977" s="3">
        <v>1.94</v>
      </c>
      <c r="C2977" s="3">
        <v>2.1075</v>
      </c>
      <c r="D2977" s="3">
        <v>1.9425</v>
      </c>
      <c r="E2977" s="3">
        <v>2.11</v>
      </c>
      <c r="F2977" s="3">
        <v>1.9413</v>
      </c>
      <c r="G2977" s="3">
        <v>2.1088</v>
      </c>
    </row>
    <row r="2978" spans="1:7">
      <c r="A2978" s="2">
        <v>45400</v>
      </c>
      <c r="B2978" s="3">
        <v>1.93</v>
      </c>
      <c r="C2978" s="3">
        <v>2.0875</v>
      </c>
      <c r="D2978" s="3">
        <v>1.9326</v>
      </c>
      <c r="E2978" s="3">
        <v>2.0925</v>
      </c>
      <c r="F2978" s="3">
        <v>1.9313</v>
      </c>
      <c r="G2978" s="3">
        <v>2.09</v>
      </c>
    </row>
    <row r="2979" spans="1:7">
      <c r="A2979" s="2">
        <v>45401</v>
      </c>
      <c r="B2979" s="3">
        <v>1.9325</v>
      </c>
      <c r="C2979" s="3">
        <v>2.09</v>
      </c>
      <c r="D2979" s="3">
        <v>1.935</v>
      </c>
      <c r="E2979" s="3">
        <v>2.0925</v>
      </c>
      <c r="F2979" s="3">
        <v>1.9338</v>
      </c>
      <c r="G2979" s="3">
        <v>2.0913</v>
      </c>
    </row>
    <row r="2980" spans="1:7">
      <c r="A2980" s="2">
        <v>45404</v>
      </c>
      <c r="B2980" s="3">
        <v>1.9282</v>
      </c>
      <c r="C2980" s="3">
        <v>2.085</v>
      </c>
      <c r="D2980" s="3">
        <v>1.9308</v>
      </c>
      <c r="E2980" s="3">
        <v>2.0875</v>
      </c>
      <c r="F2980" s="3">
        <v>1.9295</v>
      </c>
      <c r="G2980" s="3">
        <v>2.0863</v>
      </c>
    </row>
    <row r="2981" spans="1:7">
      <c r="A2981" s="2">
        <v>45405</v>
      </c>
      <c r="B2981" s="3">
        <v>1.9175</v>
      </c>
      <c r="C2981" s="3">
        <v>2.0675</v>
      </c>
      <c r="D2981" s="3">
        <v>1.92</v>
      </c>
      <c r="E2981" s="3">
        <v>2.07</v>
      </c>
      <c r="F2981" s="3">
        <v>1.9188</v>
      </c>
      <c r="G2981" s="3">
        <v>2.0688</v>
      </c>
    </row>
    <row r="2982" spans="1:7">
      <c r="A2982" s="2">
        <v>45406</v>
      </c>
      <c r="B2982" s="3">
        <v>1.935</v>
      </c>
      <c r="C2982" s="3">
        <v>2.1024</v>
      </c>
      <c r="D2982" s="3">
        <v>1.9375</v>
      </c>
      <c r="E2982" s="3">
        <v>2.105</v>
      </c>
      <c r="F2982" s="3">
        <v>1.9363</v>
      </c>
      <c r="G2982" s="3">
        <v>2.1037</v>
      </c>
    </row>
    <row r="2983" spans="1:7">
      <c r="A2983" s="2">
        <v>45407</v>
      </c>
      <c r="B2983" s="3">
        <v>1.935</v>
      </c>
      <c r="C2983" s="3">
        <v>2.095</v>
      </c>
      <c r="D2983" s="3">
        <v>1.9375</v>
      </c>
      <c r="E2983" s="3">
        <v>2.0975</v>
      </c>
      <c r="F2983" s="3">
        <v>1.9363</v>
      </c>
      <c r="G2983" s="3">
        <v>2.0963</v>
      </c>
    </row>
    <row r="2984" spans="1:7">
      <c r="A2984" s="2">
        <v>45408</v>
      </c>
      <c r="B2984" s="3">
        <v>1.9712</v>
      </c>
      <c r="C2984" s="3">
        <v>2.1474</v>
      </c>
      <c r="D2984" s="3">
        <v>1.9738</v>
      </c>
      <c r="E2984" s="3">
        <v>2.1503</v>
      </c>
      <c r="F2984" s="3">
        <v>1.9725</v>
      </c>
      <c r="G2984" s="3">
        <v>2.1489</v>
      </c>
    </row>
    <row r="2985" spans="1:7">
      <c r="A2985" s="2">
        <v>45410</v>
      </c>
      <c r="B2985" s="3">
        <v>1.98</v>
      </c>
      <c r="C2985" s="3">
        <v>2.17</v>
      </c>
      <c r="D2985" s="3">
        <v>2</v>
      </c>
      <c r="E2985" s="3">
        <v>2.18</v>
      </c>
      <c r="F2985" s="3">
        <v>1.99</v>
      </c>
      <c r="G2985" s="3">
        <v>2.175</v>
      </c>
    </row>
    <row r="2986" spans="1:7">
      <c r="A2986" s="2">
        <v>45411</v>
      </c>
      <c r="B2986" s="3">
        <v>2.0225</v>
      </c>
      <c r="C2986" s="3">
        <v>2.2073</v>
      </c>
      <c r="D2986" s="3">
        <v>2.025</v>
      </c>
      <c r="E2986" s="3">
        <v>2.21</v>
      </c>
      <c r="F2986" s="3">
        <v>2.0238</v>
      </c>
      <c r="G2986" s="3">
        <v>2.2087</v>
      </c>
    </row>
    <row r="2987" spans="1:7">
      <c r="A2987" s="2">
        <v>45412</v>
      </c>
      <c r="B2987" s="3">
        <v>1.9769</v>
      </c>
      <c r="C2987" s="3">
        <v>2.1615</v>
      </c>
      <c r="D2987" s="3">
        <v>1.981</v>
      </c>
      <c r="E2987" s="3">
        <v>2.165</v>
      </c>
      <c r="F2987" s="3">
        <v>1.9789</v>
      </c>
      <c r="G2987" s="3">
        <v>2.1633</v>
      </c>
    </row>
    <row r="2988" spans="1:7">
      <c r="A2988" s="2">
        <v>45418</v>
      </c>
      <c r="B2988" s="3">
        <v>1.96</v>
      </c>
      <c r="C2988" s="3">
        <v>2.1519</v>
      </c>
      <c r="D2988" s="3">
        <v>1.9625</v>
      </c>
      <c r="E2988" s="3">
        <v>2.1546</v>
      </c>
      <c r="F2988" s="3">
        <v>1.9613</v>
      </c>
      <c r="G2988" s="3">
        <v>2.1533</v>
      </c>
    </row>
    <row r="2989" spans="1:7">
      <c r="A2989" s="2">
        <v>45419</v>
      </c>
      <c r="B2989" s="3">
        <v>1.9275</v>
      </c>
      <c r="C2989" s="3">
        <v>2.125</v>
      </c>
      <c r="D2989" s="3">
        <v>1.93</v>
      </c>
      <c r="E2989" s="3">
        <v>2.1275</v>
      </c>
      <c r="F2989" s="3">
        <v>1.9288</v>
      </c>
      <c r="G2989" s="3">
        <v>2.1263</v>
      </c>
    </row>
    <row r="2990" spans="1:7">
      <c r="A2990" s="2">
        <v>45420</v>
      </c>
      <c r="B2990" s="3">
        <v>1.9272</v>
      </c>
      <c r="C2990" s="3">
        <v>2.1192</v>
      </c>
      <c r="D2990" s="3">
        <v>1.9303</v>
      </c>
      <c r="E2990" s="3">
        <v>2.1225</v>
      </c>
      <c r="F2990" s="3">
        <v>1.9288</v>
      </c>
      <c r="G2990" s="3">
        <v>2.1208</v>
      </c>
    </row>
    <row r="2991" spans="1:7">
      <c r="A2991" s="2">
        <v>45421</v>
      </c>
      <c r="B2991" s="3">
        <v>1.945</v>
      </c>
      <c r="C2991" s="3">
        <v>2.152</v>
      </c>
      <c r="D2991" s="3">
        <v>1.95</v>
      </c>
      <c r="E2991" s="3">
        <v>2.1548</v>
      </c>
      <c r="F2991" s="3">
        <v>1.9475</v>
      </c>
      <c r="G2991" s="3">
        <v>2.1534</v>
      </c>
    </row>
    <row r="2992" spans="1:7">
      <c r="A2992" s="2">
        <v>45422</v>
      </c>
      <c r="B2992" s="3">
        <v>1.924</v>
      </c>
      <c r="C2992" s="3">
        <v>2.1448</v>
      </c>
      <c r="D2992" s="3">
        <v>1.9255</v>
      </c>
      <c r="E2992" s="3">
        <v>2.1475</v>
      </c>
      <c r="F2992" s="3">
        <v>1.9248</v>
      </c>
      <c r="G2992" s="3">
        <v>2.1462</v>
      </c>
    </row>
    <row r="2993" spans="1:7">
      <c r="A2993" s="2">
        <v>45423</v>
      </c>
      <c r="B2993" s="3">
        <v>1.93</v>
      </c>
      <c r="C2993" s="3">
        <v>2.1725</v>
      </c>
      <c r="D2993" s="3">
        <v>1.95</v>
      </c>
      <c r="E2993" s="3">
        <v>2.18</v>
      </c>
      <c r="F2993" s="3">
        <v>1.94</v>
      </c>
      <c r="G2993" s="3">
        <v>2.1763</v>
      </c>
    </row>
    <row r="2994" spans="1:7">
      <c r="A2994" s="2">
        <v>45425</v>
      </c>
      <c r="B2994" s="3">
        <v>1.875</v>
      </c>
      <c r="C2994" s="3">
        <v>2.09</v>
      </c>
      <c r="D2994" s="3">
        <v>1.8775</v>
      </c>
      <c r="E2994" s="3">
        <v>2.0925</v>
      </c>
      <c r="F2994" s="3">
        <v>1.8763</v>
      </c>
      <c r="G2994" s="3">
        <v>2.0913</v>
      </c>
    </row>
    <row r="2995" spans="1:7">
      <c r="A2995" s="2">
        <v>45426</v>
      </c>
      <c r="B2995" s="3">
        <v>1.8704</v>
      </c>
      <c r="C2995" s="3">
        <v>2.075</v>
      </c>
      <c r="D2995" s="3">
        <v>1.8725</v>
      </c>
      <c r="E2995" s="3">
        <v>2.0775</v>
      </c>
      <c r="F2995" s="3">
        <v>1.8715</v>
      </c>
      <c r="G2995" s="3">
        <v>2.0763</v>
      </c>
    </row>
    <row r="2996" spans="1:7">
      <c r="A2996" s="2">
        <v>45427</v>
      </c>
      <c r="B2996" s="3">
        <v>1.8775</v>
      </c>
      <c r="C2996" s="3">
        <v>2.09</v>
      </c>
      <c r="D2996" s="3">
        <v>1.8825</v>
      </c>
      <c r="E2996" s="3">
        <v>2.0925</v>
      </c>
      <c r="F2996" s="3">
        <v>1.88</v>
      </c>
      <c r="G2996" s="3">
        <v>2.0913</v>
      </c>
    </row>
    <row r="2997" spans="1:7">
      <c r="A2997" s="2">
        <v>45428</v>
      </c>
      <c r="B2997" s="3">
        <v>1.8775</v>
      </c>
      <c r="C2997" s="3">
        <v>2.1046</v>
      </c>
      <c r="D2997" s="3">
        <v>1.8801</v>
      </c>
      <c r="E2997" s="3">
        <v>2.1071</v>
      </c>
      <c r="F2997" s="3">
        <v>1.8788</v>
      </c>
      <c r="G2997" s="3">
        <v>2.1059</v>
      </c>
    </row>
    <row r="2998" spans="1:7">
      <c r="A2998" s="2">
        <v>45429</v>
      </c>
      <c r="B2998" s="3">
        <v>1.8505</v>
      </c>
      <c r="C2998" s="3">
        <v>2.085</v>
      </c>
      <c r="D2998" s="3">
        <v>1.8536</v>
      </c>
      <c r="E2998" s="3">
        <v>2.0887</v>
      </c>
      <c r="F2998" s="3">
        <v>1.852</v>
      </c>
      <c r="G2998" s="3">
        <v>2.0868</v>
      </c>
    </row>
    <row r="2999" spans="1:7">
      <c r="A2999" s="2">
        <v>45432</v>
      </c>
      <c r="B2999" s="3">
        <v>1.855</v>
      </c>
      <c r="C2999" s="3">
        <v>2.0775</v>
      </c>
      <c r="D2999" s="3">
        <v>1.8575</v>
      </c>
      <c r="E2999" s="3">
        <v>2.08</v>
      </c>
      <c r="F2999" s="3">
        <v>1.8563</v>
      </c>
      <c r="G2999" s="3">
        <v>2.0788</v>
      </c>
    </row>
    <row r="3000" spans="1:7">
      <c r="A3000" s="2">
        <v>45433</v>
      </c>
      <c r="B3000" s="3">
        <v>1.8625</v>
      </c>
      <c r="C3000" s="3">
        <v>2.0765</v>
      </c>
      <c r="D3000" s="3">
        <v>1.8675</v>
      </c>
      <c r="E3000" s="3">
        <v>2.08</v>
      </c>
      <c r="F3000" s="3">
        <v>1.865</v>
      </c>
      <c r="G3000" s="3">
        <v>2.0783</v>
      </c>
    </row>
    <row r="3001" spans="1:7">
      <c r="A3001" s="2">
        <v>45434</v>
      </c>
      <c r="B3001" s="3">
        <v>1.8675</v>
      </c>
      <c r="C3001" s="3">
        <v>2.07</v>
      </c>
      <c r="D3001" s="3">
        <v>1.8681</v>
      </c>
      <c r="E3001" s="3">
        <v>2.075</v>
      </c>
      <c r="F3001" s="3">
        <v>1.8678</v>
      </c>
      <c r="G3001" s="3">
        <v>2.0725</v>
      </c>
    </row>
    <row r="3002" spans="1:7">
      <c r="A3002" s="2">
        <v>45435</v>
      </c>
      <c r="B3002" s="3">
        <v>1.8575</v>
      </c>
      <c r="C3002" s="3">
        <v>2.0634</v>
      </c>
      <c r="D3002" s="3">
        <v>1.86</v>
      </c>
      <c r="E3002" s="3">
        <v>2.066</v>
      </c>
      <c r="F3002" s="3">
        <v>1.8588</v>
      </c>
      <c r="G3002" s="3">
        <v>2.0647</v>
      </c>
    </row>
    <row r="3003" spans="1:7">
      <c r="A3003" s="2">
        <v>45436</v>
      </c>
      <c r="B3003" s="3">
        <v>1.865</v>
      </c>
      <c r="C3003" s="3">
        <v>2.0727</v>
      </c>
      <c r="D3003" s="3">
        <v>1.8675</v>
      </c>
      <c r="E3003" s="3">
        <v>2.0752</v>
      </c>
      <c r="F3003" s="3">
        <v>1.8663</v>
      </c>
      <c r="G3003" s="3">
        <v>2.0739</v>
      </c>
    </row>
    <row r="3004" spans="1:7">
      <c r="A3004" s="2">
        <v>45439</v>
      </c>
      <c r="B3004" s="3">
        <v>1.865</v>
      </c>
      <c r="C3004" s="3">
        <v>2.065</v>
      </c>
      <c r="D3004" s="3">
        <v>1.8675</v>
      </c>
      <c r="E3004" s="3">
        <v>2.0675</v>
      </c>
      <c r="F3004" s="3">
        <v>1.8663</v>
      </c>
      <c r="G3004" s="3">
        <v>2.0663</v>
      </c>
    </row>
    <row r="3005" spans="1:7">
      <c r="A3005" s="2">
        <v>45440</v>
      </c>
      <c r="B3005" s="3">
        <v>1.857</v>
      </c>
      <c r="C3005" s="3">
        <v>2.0438</v>
      </c>
      <c r="D3005" s="3">
        <v>1.8578</v>
      </c>
      <c r="E3005" s="3">
        <v>2.0464</v>
      </c>
      <c r="F3005" s="3">
        <v>1.8574</v>
      </c>
      <c r="G3005" s="3">
        <v>2.0451</v>
      </c>
    </row>
    <row r="3006" spans="1:7">
      <c r="A3006" s="2">
        <v>45441</v>
      </c>
      <c r="B3006" s="3">
        <v>1.855</v>
      </c>
      <c r="C3006" s="3">
        <v>2.0399</v>
      </c>
      <c r="D3006" s="3">
        <v>1.8575</v>
      </c>
      <c r="E3006" s="3">
        <v>2.0425</v>
      </c>
      <c r="F3006" s="3">
        <v>1.8563</v>
      </c>
      <c r="G3006" s="3">
        <v>2.0412</v>
      </c>
    </row>
    <row r="3007" spans="1:7">
      <c r="A3007" s="2">
        <v>45442</v>
      </c>
      <c r="B3007" s="3">
        <v>1.845</v>
      </c>
      <c r="C3007" s="3">
        <v>2.0425</v>
      </c>
      <c r="D3007" s="3">
        <v>1.8487</v>
      </c>
      <c r="E3007" s="3">
        <v>2.0454</v>
      </c>
      <c r="F3007" s="3">
        <v>1.8468</v>
      </c>
      <c r="G3007" s="3">
        <v>2.044</v>
      </c>
    </row>
    <row r="3008" spans="1:7">
      <c r="A3008" s="2">
        <v>45443</v>
      </c>
      <c r="B3008" s="3">
        <v>1.845</v>
      </c>
      <c r="C3008" s="3">
        <v>2.0569</v>
      </c>
      <c r="D3008" s="3">
        <v>1.8477</v>
      </c>
      <c r="E3008" s="3">
        <v>2.0594</v>
      </c>
      <c r="F3008" s="3">
        <v>1.8463</v>
      </c>
      <c r="G3008" s="3">
        <v>2.0581</v>
      </c>
    </row>
    <row r="3009" spans="1:7">
      <c r="A3009" s="2">
        <v>45446</v>
      </c>
      <c r="B3009" s="3">
        <v>1.8307</v>
      </c>
      <c r="C3009" s="3">
        <v>2.035</v>
      </c>
      <c r="D3009" s="3">
        <v>1.8333</v>
      </c>
      <c r="E3009" s="3">
        <v>2.0375</v>
      </c>
      <c r="F3009" s="3">
        <v>1.832</v>
      </c>
      <c r="G3009" s="3">
        <v>2.0363</v>
      </c>
    </row>
    <row r="3010" spans="1:7">
      <c r="A3010" s="2">
        <v>45447</v>
      </c>
      <c r="B3010" s="3">
        <v>1.8317</v>
      </c>
      <c r="C3010" s="3">
        <v>2.0324</v>
      </c>
      <c r="D3010" s="3">
        <v>1.835</v>
      </c>
      <c r="E3010" s="3">
        <v>2.0356</v>
      </c>
      <c r="F3010" s="3">
        <v>1.8333</v>
      </c>
      <c r="G3010" s="3">
        <v>2.034</v>
      </c>
    </row>
    <row r="3011" spans="1:7">
      <c r="A3011" s="2">
        <v>45448</v>
      </c>
      <c r="B3011" s="3">
        <v>1.8275</v>
      </c>
      <c r="C3011" s="3">
        <v>2.0175</v>
      </c>
      <c r="D3011" s="3">
        <v>1.83</v>
      </c>
      <c r="E3011" s="3">
        <v>2.0225</v>
      </c>
      <c r="F3011" s="3">
        <v>1.8288</v>
      </c>
      <c r="G3011" s="3">
        <v>2.02</v>
      </c>
    </row>
    <row r="3012" spans="1:7">
      <c r="A3012" s="2">
        <v>45449</v>
      </c>
      <c r="B3012" s="3">
        <v>1.8264</v>
      </c>
      <c r="C3012" s="3">
        <v>2.02</v>
      </c>
      <c r="D3012" s="3">
        <v>1.8289</v>
      </c>
      <c r="E3012" s="3">
        <v>2.0225</v>
      </c>
      <c r="F3012" s="3">
        <v>1.8277</v>
      </c>
      <c r="G3012" s="3">
        <v>2.0213</v>
      </c>
    </row>
    <row r="3013" spans="1:7">
      <c r="A3013" s="2">
        <v>45450</v>
      </c>
      <c r="B3013" s="3">
        <v>1.825</v>
      </c>
      <c r="C3013" s="3">
        <v>2.01</v>
      </c>
      <c r="D3013" s="3">
        <v>1.8275</v>
      </c>
      <c r="E3013" s="3">
        <v>2.0125</v>
      </c>
      <c r="F3013" s="3">
        <v>1.8263</v>
      </c>
      <c r="G3013" s="3">
        <v>2.0113</v>
      </c>
    </row>
    <row r="3014" spans="1:7">
      <c r="A3014" s="2">
        <v>45454</v>
      </c>
      <c r="B3014" s="3">
        <v>1.8225</v>
      </c>
      <c r="C3014" s="3">
        <v>2</v>
      </c>
      <c r="D3014" s="3">
        <v>1.8275</v>
      </c>
      <c r="E3014" s="3">
        <v>2.0025</v>
      </c>
      <c r="F3014" s="3">
        <v>1.825</v>
      </c>
      <c r="G3014" s="3">
        <v>2.0013</v>
      </c>
    </row>
    <row r="3015" spans="1:7">
      <c r="A3015" s="2">
        <v>45455</v>
      </c>
      <c r="B3015" s="3">
        <v>1.8375</v>
      </c>
      <c r="C3015" s="3">
        <v>2.0175</v>
      </c>
      <c r="D3015" s="3">
        <v>1.84</v>
      </c>
      <c r="E3015" s="3">
        <v>2.02</v>
      </c>
      <c r="F3015" s="3">
        <v>1.8388</v>
      </c>
      <c r="G3015" s="3">
        <v>2.0188</v>
      </c>
    </row>
    <row r="3016" spans="1:7">
      <c r="A3016" s="2">
        <v>45456</v>
      </c>
      <c r="B3016" s="3">
        <v>1.8475</v>
      </c>
      <c r="C3016" s="3">
        <v>2.0225</v>
      </c>
      <c r="D3016" s="3">
        <v>1.85</v>
      </c>
      <c r="E3016" s="3">
        <v>2.025</v>
      </c>
      <c r="F3016" s="3">
        <v>1.8488</v>
      </c>
      <c r="G3016" s="3">
        <v>2.0238</v>
      </c>
    </row>
    <row r="3017" spans="1:7">
      <c r="A3017" s="2">
        <v>45457</v>
      </c>
      <c r="B3017" s="3">
        <v>1.83</v>
      </c>
      <c r="C3017" s="3">
        <v>2.0075</v>
      </c>
      <c r="D3017" s="3">
        <v>1.835</v>
      </c>
      <c r="E3017" s="3">
        <v>2.0105</v>
      </c>
      <c r="F3017" s="3">
        <v>1.8325</v>
      </c>
      <c r="G3017" s="3">
        <v>2.009</v>
      </c>
    </row>
    <row r="3018" spans="1:7">
      <c r="A3018" s="2">
        <v>45460</v>
      </c>
      <c r="B3018" s="3">
        <v>1.855</v>
      </c>
      <c r="C3018" s="3">
        <v>2.03</v>
      </c>
      <c r="D3018" s="3">
        <v>1.86</v>
      </c>
      <c r="E3018" s="3">
        <v>2.0325</v>
      </c>
      <c r="F3018" s="3">
        <v>1.8575</v>
      </c>
      <c r="G3018" s="3">
        <v>2.0313</v>
      </c>
    </row>
    <row r="3019" spans="1:7">
      <c r="A3019" s="2">
        <v>45461</v>
      </c>
      <c r="B3019" s="3">
        <v>1.855</v>
      </c>
      <c r="C3019" s="3">
        <v>2.0215</v>
      </c>
      <c r="D3019" s="3">
        <v>1.8575</v>
      </c>
      <c r="E3019" s="3">
        <v>2.0233</v>
      </c>
      <c r="F3019" s="3">
        <v>1.8563</v>
      </c>
      <c r="G3019" s="3">
        <v>2.0224</v>
      </c>
    </row>
    <row r="3020" spans="1:7">
      <c r="A3020" s="2">
        <v>45462</v>
      </c>
      <c r="B3020" s="3">
        <v>1.8396</v>
      </c>
      <c r="C3020" s="3">
        <v>2</v>
      </c>
      <c r="D3020" s="3">
        <v>1.8421</v>
      </c>
      <c r="E3020" s="3">
        <v>2.0025</v>
      </c>
      <c r="F3020" s="3">
        <v>1.8409</v>
      </c>
      <c r="G3020" s="3">
        <v>2.0013</v>
      </c>
    </row>
    <row r="3021" spans="1:7">
      <c r="A3021" s="2">
        <v>45463</v>
      </c>
      <c r="B3021" s="3">
        <v>1.84</v>
      </c>
      <c r="C3021" s="3">
        <v>1.995</v>
      </c>
      <c r="D3021" s="3">
        <v>1.8425</v>
      </c>
      <c r="E3021" s="3">
        <v>1.9975</v>
      </c>
      <c r="F3021" s="3">
        <v>1.8413</v>
      </c>
      <c r="G3021" s="3">
        <v>1.9963</v>
      </c>
    </row>
    <row r="3022" spans="1:7">
      <c r="A3022" s="2">
        <v>45464</v>
      </c>
      <c r="B3022" s="3">
        <v>1.8525</v>
      </c>
      <c r="C3022" s="3">
        <v>2.0068</v>
      </c>
      <c r="D3022" s="3">
        <v>1.8553</v>
      </c>
      <c r="E3022" s="3">
        <v>2.01</v>
      </c>
      <c r="F3022" s="3">
        <v>1.8539</v>
      </c>
      <c r="G3022" s="3">
        <v>2.0084</v>
      </c>
    </row>
    <row r="3023" spans="1:7">
      <c r="A3023" s="2">
        <v>45467</v>
      </c>
      <c r="B3023" s="3">
        <v>1.855</v>
      </c>
      <c r="C3023" s="3">
        <v>1.9982</v>
      </c>
      <c r="D3023" s="3">
        <v>1.8582</v>
      </c>
      <c r="E3023" s="3">
        <v>2.0008</v>
      </c>
      <c r="F3023" s="3">
        <v>1.8566</v>
      </c>
      <c r="G3023" s="3">
        <v>1.9995</v>
      </c>
    </row>
    <row r="3024" spans="1:7">
      <c r="A3024" s="2">
        <v>45468</v>
      </c>
      <c r="B3024" s="3">
        <v>1.845</v>
      </c>
      <c r="C3024" s="3">
        <v>1.9823</v>
      </c>
      <c r="D3024" s="3">
        <v>1.848</v>
      </c>
      <c r="E3024" s="3">
        <v>1.985</v>
      </c>
      <c r="F3024" s="3">
        <v>1.8465</v>
      </c>
      <c r="G3024" s="3">
        <v>1.9837</v>
      </c>
    </row>
    <row r="3025" spans="1:7">
      <c r="A3025" s="2">
        <v>45469</v>
      </c>
      <c r="B3025" s="3">
        <v>1.84</v>
      </c>
      <c r="C3025" s="3">
        <v>1.975</v>
      </c>
      <c r="D3025" s="3">
        <v>1.8425</v>
      </c>
      <c r="E3025" s="3">
        <v>1.9775</v>
      </c>
      <c r="F3025" s="3">
        <v>1.8413</v>
      </c>
      <c r="G3025" s="3">
        <v>1.9763</v>
      </c>
    </row>
    <row r="3026" spans="1:7">
      <c r="A3026" s="2">
        <v>45470</v>
      </c>
      <c r="B3026" s="3">
        <v>1.83</v>
      </c>
      <c r="C3026" s="3">
        <v>1.9599</v>
      </c>
      <c r="D3026" s="3">
        <v>1.8325</v>
      </c>
      <c r="E3026" s="3">
        <v>1.9625</v>
      </c>
      <c r="F3026" s="3">
        <v>1.8313</v>
      </c>
      <c r="G3026" s="3">
        <v>1.9612</v>
      </c>
    </row>
    <row r="3027" spans="1:7">
      <c r="A3027" s="2">
        <v>45471</v>
      </c>
      <c r="B3027" s="3">
        <v>1.835</v>
      </c>
      <c r="C3027" s="3">
        <v>1.9625</v>
      </c>
      <c r="D3027" s="3">
        <v>1.8375</v>
      </c>
      <c r="E3027" s="3">
        <v>1.965</v>
      </c>
      <c r="F3027" s="3">
        <v>1.8363</v>
      </c>
      <c r="G3027" s="3">
        <v>1.9638</v>
      </c>
    </row>
    <row r="3028" spans="1:7">
      <c r="A3028" s="2">
        <v>45474</v>
      </c>
      <c r="B3028" s="3">
        <v>1.855</v>
      </c>
      <c r="C3028" s="3">
        <v>2.005</v>
      </c>
      <c r="D3028" s="3">
        <v>1.8575</v>
      </c>
      <c r="E3028" s="3">
        <v>2.0075</v>
      </c>
      <c r="F3028" s="3">
        <v>1.8563</v>
      </c>
      <c r="G3028" s="3">
        <v>2.0063</v>
      </c>
    </row>
    <row r="3029" spans="1:7">
      <c r="A3029" s="2">
        <v>45475</v>
      </c>
      <c r="B3029" s="3">
        <v>1.8475</v>
      </c>
      <c r="C3029" s="3">
        <v>1.9809</v>
      </c>
      <c r="D3029" s="3">
        <v>1.85</v>
      </c>
      <c r="E3029" s="3">
        <v>1.9834</v>
      </c>
      <c r="F3029" s="3">
        <v>1.8488</v>
      </c>
      <c r="G3029" s="3">
        <v>1.9821</v>
      </c>
    </row>
    <row r="3030" spans="1:7">
      <c r="A3030" s="2">
        <v>45476</v>
      </c>
      <c r="B3030" s="3">
        <v>1.8481</v>
      </c>
      <c r="C3030" s="3">
        <v>1.9775</v>
      </c>
      <c r="D3030" s="3">
        <v>1.8525</v>
      </c>
      <c r="E3030" s="3">
        <v>1.98</v>
      </c>
      <c r="F3030" s="3">
        <v>1.8503</v>
      </c>
      <c r="G3030" s="3">
        <v>1.9788</v>
      </c>
    </row>
    <row r="3031" spans="1:7">
      <c r="A3031" s="2">
        <v>45477</v>
      </c>
      <c r="B3031" s="3">
        <v>1.8525</v>
      </c>
      <c r="C3031" s="3">
        <v>1.9925</v>
      </c>
      <c r="D3031" s="3">
        <v>1.855</v>
      </c>
      <c r="E3031" s="3">
        <v>1.9964</v>
      </c>
      <c r="F3031" s="3">
        <v>1.8538</v>
      </c>
      <c r="G3031" s="3">
        <v>1.9944</v>
      </c>
    </row>
    <row r="3032" spans="1:7">
      <c r="A3032" s="2">
        <v>45478</v>
      </c>
      <c r="B3032" s="3">
        <v>1.8656</v>
      </c>
      <c r="C3032" s="3">
        <v>2.01</v>
      </c>
      <c r="D3032" s="3">
        <v>1.8687</v>
      </c>
      <c r="E3032" s="3">
        <v>2.0125</v>
      </c>
      <c r="F3032" s="3">
        <v>1.8671</v>
      </c>
      <c r="G3032" s="3">
        <v>2.0113</v>
      </c>
    </row>
    <row r="3033" spans="1:7">
      <c r="A3033" s="2">
        <v>45481</v>
      </c>
      <c r="B3033" s="3">
        <v>1.8868</v>
      </c>
      <c r="C3033" s="3">
        <v>2.0425</v>
      </c>
      <c r="D3033" s="3">
        <v>1.8878</v>
      </c>
      <c r="E3033" s="3">
        <v>2.045</v>
      </c>
      <c r="F3033" s="3">
        <v>1.8873</v>
      </c>
      <c r="G3033" s="3">
        <v>2.0438</v>
      </c>
    </row>
    <row r="3034" spans="1:7">
      <c r="A3034" s="2">
        <v>45482</v>
      </c>
      <c r="B3034" s="3">
        <v>1.8675</v>
      </c>
      <c r="C3034" s="3">
        <v>2.009</v>
      </c>
      <c r="D3034" s="3">
        <v>1.87</v>
      </c>
      <c r="E3034" s="3">
        <v>2.0116</v>
      </c>
      <c r="F3034" s="3">
        <v>1.8688</v>
      </c>
      <c r="G3034" s="3">
        <v>2.0103</v>
      </c>
    </row>
    <row r="3035" spans="1:7">
      <c r="A3035" s="2">
        <v>45483</v>
      </c>
      <c r="B3035" s="3">
        <v>1.8575</v>
      </c>
      <c r="C3035" s="3">
        <v>2</v>
      </c>
      <c r="D3035" s="3">
        <v>1.86</v>
      </c>
      <c r="E3035" s="3">
        <v>2.0025</v>
      </c>
      <c r="F3035" s="3">
        <v>1.8588</v>
      </c>
      <c r="G3035" s="3">
        <v>2.0013</v>
      </c>
    </row>
    <row r="3036" spans="1:7">
      <c r="A3036" s="2">
        <v>45484</v>
      </c>
      <c r="B3036" s="3">
        <v>1.8515</v>
      </c>
      <c r="C3036" s="3">
        <v>1.9916</v>
      </c>
      <c r="D3036" s="3">
        <v>1.8541</v>
      </c>
      <c r="E3036" s="3">
        <v>1.9941</v>
      </c>
      <c r="F3036" s="3">
        <v>1.8528</v>
      </c>
      <c r="G3036" s="3">
        <v>1.9929</v>
      </c>
    </row>
    <row r="3037" spans="1:7">
      <c r="A3037" s="2">
        <v>45485</v>
      </c>
      <c r="B3037" s="3">
        <v>1.845</v>
      </c>
      <c r="C3037" s="3">
        <v>1.98</v>
      </c>
      <c r="D3037" s="3">
        <v>1.8475</v>
      </c>
      <c r="E3037" s="3">
        <v>1.9825</v>
      </c>
      <c r="F3037" s="3">
        <v>1.8463</v>
      </c>
      <c r="G3037" s="3">
        <v>1.9813</v>
      </c>
    </row>
    <row r="3038" spans="1:7">
      <c r="A3038" s="2">
        <v>45488</v>
      </c>
      <c r="B3038" s="3">
        <v>1.8489</v>
      </c>
      <c r="C3038" s="3">
        <v>1.98</v>
      </c>
      <c r="D3038" s="3">
        <v>1.8514</v>
      </c>
      <c r="E3038" s="3">
        <v>1.9825</v>
      </c>
      <c r="F3038" s="3">
        <v>1.8502</v>
      </c>
      <c r="G3038" s="3">
        <v>1.9813</v>
      </c>
    </row>
    <row r="3039" spans="1:7">
      <c r="A3039" s="2">
        <v>45489</v>
      </c>
      <c r="B3039" s="3">
        <v>1.85</v>
      </c>
      <c r="C3039" s="3">
        <v>1.9825</v>
      </c>
      <c r="D3039" s="3">
        <v>1.8525</v>
      </c>
      <c r="E3039" s="3">
        <v>1.985</v>
      </c>
      <c r="F3039" s="3">
        <v>1.8513</v>
      </c>
      <c r="G3039" s="3">
        <v>1.9838</v>
      </c>
    </row>
    <row r="3040" spans="1:7">
      <c r="A3040" s="2">
        <v>45490</v>
      </c>
      <c r="B3040" s="3">
        <v>1.8425</v>
      </c>
      <c r="C3040" s="3">
        <v>1.975</v>
      </c>
      <c r="D3040" s="3">
        <v>1.845</v>
      </c>
      <c r="E3040" s="3">
        <v>1.9775</v>
      </c>
      <c r="F3040" s="3">
        <v>1.8438</v>
      </c>
      <c r="G3040" s="3">
        <v>1.9763</v>
      </c>
    </row>
    <row r="3041" spans="1:7">
      <c r="A3041" s="2">
        <v>45491</v>
      </c>
      <c r="B3041" s="3">
        <v>1.8425</v>
      </c>
      <c r="C3041" s="3">
        <v>1.98</v>
      </c>
      <c r="D3041" s="3">
        <v>1.845</v>
      </c>
      <c r="E3041" s="3">
        <v>1.9825</v>
      </c>
      <c r="F3041" s="3">
        <v>1.8438</v>
      </c>
      <c r="G3041" s="3">
        <v>1.9813</v>
      </c>
    </row>
    <row r="3042" spans="1:7">
      <c r="A3042" s="2">
        <v>45492</v>
      </c>
      <c r="B3042" s="3">
        <v>1.83</v>
      </c>
      <c r="C3042" s="3">
        <v>1.9625</v>
      </c>
      <c r="D3042" s="3">
        <v>1.8325</v>
      </c>
      <c r="E3042" s="3">
        <v>1.965</v>
      </c>
      <c r="F3042" s="3">
        <v>1.8313</v>
      </c>
      <c r="G3042" s="3">
        <v>1.9638</v>
      </c>
    </row>
    <row r="3043" spans="1:7">
      <c r="A3043" s="2">
        <v>45495</v>
      </c>
      <c r="B3043" s="3">
        <v>1.7725</v>
      </c>
      <c r="C3043" s="3">
        <v>1.915</v>
      </c>
      <c r="D3043" s="3">
        <v>1.775</v>
      </c>
      <c r="E3043" s="3">
        <v>1.9175</v>
      </c>
      <c r="F3043" s="3">
        <v>1.7738</v>
      </c>
      <c r="G3043" s="3">
        <v>1.9163</v>
      </c>
    </row>
    <row r="3044" spans="1:7">
      <c r="A3044" s="2">
        <v>45496</v>
      </c>
      <c r="B3044" s="3">
        <v>1.755</v>
      </c>
      <c r="C3044" s="3">
        <v>1.887</v>
      </c>
      <c r="D3044" s="3">
        <v>1.7575</v>
      </c>
      <c r="E3044" s="3">
        <v>1.89</v>
      </c>
      <c r="F3044" s="3">
        <v>1.7563</v>
      </c>
      <c r="G3044" s="3">
        <v>1.8885</v>
      </c>
    </row>
    <row r="3045" spans="1:7">
      <c r="A3045" s="2">
        <v>45497</v>
      </c>
      <c r="B3045" s="3">
        <v>1.7575</v>
      </c>
      <c r="C3045" s="3">
        <v>1.8864</v>
      </c>
      <c r="D3045" s="3">
        <v>1.76</v>
      </c>
      <c r="E3045" s="3">
        <v>1.8889</v>
      </c>
      <c r="F3045" s="3">
        <v>1.7588</v>
      </c>
      <c r="G3045" s="3">
        <v>1.8877</v>
      </c>
    </row>
    <row r="3046" spans="1:7">
      <c r="A3046" s="2">
        <v>45498</v>
      </c>
      <c r="B3046" s="3">
        <v>1.7525</v>
      </c>
      <c r="C3046" s="3">
        <v>1.87</v>
      </c>
      <c r="D3046" s="3">
        <v>1.755</v>
      </c>
      <c r="E3046" s="3">
        <v>1.875</v>
      </c>
      <c r="F3046" s="3">
        <v>1.7538</v>
      </c>
      <c r="G3046" s="3">
        <v>1.8725</v>
      </c>
    </row>
    <row r="3047" spans="1:7">
      <c r="A3047" s="2">
        <v>45499</v>
      </c>
      <c r="B3047" s="3">
        <v>1.7545</v>
      </c>
      <c r="C3047" s="3">
        <v>1.8725</v>
      </c>
      <c r="D3047" s="3">
        <v>1.7575</v>
      </c>
      <c r="E3047" s="3">
        <v>1.875</v>
      </c>
      <c r="F3047" s="3">
        <v>1.756</v>
      </c>
      <c r="G3047" s="3">
        <v>1.8738</v>
      </c>
    </row>
    <row r="3048" spans="1:7">
      <c r="A3048" s="2">
        <v>45502</v>
      </c>
      <c r="B3048" s="3">
        <v>1.7471</v>
      </c>
      <c r="C3048" s="3">
        <v>1.8625</v>
      </c>
      <c r="D3048" s="3">
        <v>1.75</v>
      </c>
      <c r="E3048" s="3">
        <v>1.865</v>
      </c>
      <c r="F3048" s="3">
        <v>1.7485</v>
      </c>
      <c r="G3048" s="3">
        <v>1.8638</v>
      </c>
    </row>
    <row r="3049" spans="1:7">
      <c r="A3049" s="2">
        <v>45503</v>
      </c>
      <c r="B3049" s="3">
        <v>1.735</v>
      </c>
      <c r="C3049" s="3">
        <v>1.8525</v>
      </c>
      <c r="D3049" s="3">
        <v>1.7375</v>
      </c>
      <c r="E3049" s="3">
        <v>1.855</v>
      </c>
      <c r="F3049" s="3">
        <v>1.7363</v>
      </c>
      <c r="G3049" s="3">
        <v>1.8538</v>
      </c>
    </row>
    <row r="3050" spans="1:7">
      <c r="A3050" s="2">
        <v>45504</v>
      </c>
      <c r="B3050" s="3">
        <v>1.72</v>
      </c>
      <c r="C3050" s="3">
        <v>1.835</v>
      </c>
      <c r="D3050" s="3">
        <v>1.7225</v>
      </c>
      <c r="E3050" s="3">
        <v>1.8375</v>
      </c>
      <c r="F3050" s="3">
        <v>1.7213</v>
      </c>
      <c r="G3050" s="3">
        <v>1.8363</v>
      </c>
    </row>
    <row r="3051" spans="1:7">
      <c r="A3051" s="2">
        <v>45505</v>
      </c>
      <c r="B3051" s="3">
        <v>1.72</v>
      </c>
      <c r="C3051" s="3">
        <v>1.825</v>
      </c>
      <c r="D3051" s="3">
        <v>1.7225</v>
      </c>
      <c r="E3051" s="3">
        <v>1.8275</v>
      </c>
      <c r="F3051" s="3">
        <v>1.7213</v>
      </c>
      <c r="G3051" s="3">
        <v>1.8263</v>
      </c>
    </row>
    <row r="3052" spans="1:7">
      <c r="A3052" s="2">
        <v>45506</v>
      </c>
      <c r="B3052" s="3">
        <v>1.7125</v>
      </c>
      <c r="C3052" s="3">
        <v>1.815</v>
      </c>
      <c r="D3052" s="3">
        <v>1.7175</v>
      </c>
      <c r="E3052" s="3">
        <v>1.8175</v>
      </c>
      <c r="F3052" s="3">
        <v>1.715</v>
      </c>
      <c r="G3052" s="3">
        <v>1.8163</v>
      </c>
    </row>
    <row r="3053" spans="1:7">
      <c r="A3053" s="2">
        <v>45509</v>
      </c>
      <c r="B3053" s="3">
        <v>1.7124</v>
      </c>
      <c r="C3053" s="3">
        <v>1.81</v>
      </c>
      <c r="D3053" s="3">
        <v>1.715</v>
      </c>
      <c r="E3053" s="3">
        <v>1.8125</v>
      </c>
      <c r="F3053" s="3">
        <v>1.7137</v>
      </c>
      <c r="G3053" s="3">
        <v>1.8113</v>
      </c>
    </row>
    <row r="3054" spans="1:7">
      <c r="A3054" s="2">
        <v>45510</v>
      </c>
      <c r="B3054" s="3">
        <v>1.72</v>
      </c>
      <c r="C3054" s="3">
        <v>1.8284</v>
      </c>
      <c r="D3054" s="3">
        <v>1.725</v>
      </c>
      <c r="E3054" s="3">
        <v>1.8316</v>
      </c>
      <c r="F3054" s="3">
        <v>1.7225</v>
      </c>
      <c r="G3054" s="3">
        <v>1.83</v>
      </c>
    </row>
    <row r="3055" spans="1:7">
      <c r="A3055" s="2">
        <v>45511</v>
      </c>
      <c r="B3055" s="3">
        <v>1.7225</v>
      </c>
      <c r="C3055" s="3">
        <v>1.8175</v>
      </c>
      <c r="D3055" s="3">
        <v>1.725</v>
      </c>
      <c r="E3055" s="3">
        <v>1.82</v>
      </c>
      <c r="F3055" s="3">
        <v>1.7238</v>
      </c>
      <c r="G3055" s="3">
        <v>1.8188</v>
      </c>
    </row>
    <row r="3056" spans="1:7">
      <c r="A3056" s="2">
        <v>45512</v>
      </c>
      <c r="B3056" s="3">
        <v>1.7425</v>
      </c>
      <c r="C3056" s="3">
        <v>1.8475</v>
      </c>
      <c r="D3056" s="3">
        <v>1.745</v>
      </c>
      <c r="E3056" s="3">
        <v>1.85</v>
      </c>
      <c r="F3056" s="3">
        <v>1.7438</v>
      </c>
      <c r="G3056" s="3">
        <v>1.8488</v>
      </c>
    </row>
    <row r="3057" spans="1:7">
      <c r="A3057" s="2">
        <v>45513</v>
      </c>
      <c r="B3057" s="3">
        <v>1.76</v>
      </c>
      <c r="C3057" s="3">
        <v>1.865</v>
      </c>
      <c r="D3057" s="3">
        <v>1.7647</v>
      </c>
      <c r="E3057" s="3">
        <v>1.8675</v>
      </c>
      <c r="F3057" s="3">
        <v>1.7623</v>
      </c>
      <c r="G3057" s="3">
        <v>1.8663</v>
      </c>
    </row>
    <row r="3058" spans="1:7">
      <c r="A3058" s="2">
        <v>45516</v>
      </c>
      <c r="B3058" s="3">
        <v>1.7939</v>
      </c>
      <c r="C3058" s="3">
        <v>1.9036</v>
      </c>
      <c r="D3058" s="3">
        <v>1.7964</v>
      </c>
      <c r="E3058" s="3">
        <v>1.9066</v>
      </c>
      <c r="F3058" s="3">
        <v>1.7952</v>
      </c>
      <c r="G3058" s="3">
        <v>1.9051</v>
      </c>
    </row>
    <row r="3059" spans="1:7">
      <c r="A3059" s="2">
        <v>45517</v>
      </c>
      <c r="B3059" s="3">
        <v>1.755</v>
      </c>
      <c r="C3059" s="3">
        <v>1.8467</v>
      </c>
      <c r="D3059" s="3">
        <v>1.76</v>
      </c>
      <c r="E3059" s="3">
        <v>1.8494</v>
      </c>
      <c r="F3059" s="3">
        <v>1.7575</v>
      </c>
      <c r="G3059" s="3">
        <v>1.8481</v>
      </c>
    </row>
    <row r="3060" spans="1:7">
      <c r="A3060" s="2">
        <v>45518</v>
      </c>
      <c r="B3060" s="3">
        <v>1.7488</v>
      </c>
      <c r="C3060" s="3">
        <v>1.84</v>
      </c>
      <c r="D3060" s="3">
        <v>1.7513</v>
      </c>
      <c r="E3060" s="3">
        <v>1.8421</v>
      </c>
      <c r="F3060" s="3">
        <v>1.75</v>
      </c>
      <c r="G3060" s="3">
        <v>1.841</v>
      </c>
    </row>
    <row r="3061" spans="1:7">
      <c r="A3061" s="2">
        <v>45519</v>
      </c>
      <c r="B3061" s="3">
        <v>1.7575</v>
      </c>
      <c r="C3061" s="3">
        <v>1.8455</v>
      </c>
      <c r="D3061" s="3">
        <v>1.76</v>
      </c>
      <c r="E3061" s="3">
        <v>1.8482</v>
      </c>
      <c r="F3061" s="3">
        <v>1.7588</v>
      </c>
      <c r="G3061" s="3">
        <v>1.8469</v>
      </c>
    </row>
    <row r="3062" spans="1:7">
      <c r="A3062" s="2">
        <v>45520</v>
      </c>
      <c r="B3062" s="3">
        <v>1.7575</v>
      </c>
      <c r="C3062" s="3">
        <v>1.8425</v>
      </c>
      <c r="D3062" s="3">
        <v>1.76</v>
      </c>
      <c r="E3062" s="3">
        <v>1.845</v>
      </c>
      <c r="F3062" s="3">
        <v>1.7588</v>
      </c>
      <c r="G3062" s="3">
        <v>1.8438</v>
      </c>
    </row>
    <row r="3063" spans="1:7">
      <c r="A3063" s="2">
        <v>45523</v>
      </c>
      <c r="B3063" s="3">
        <v>1.75</v>
      </c>
      <c r="C3063" s="3">
        <v>1.825</v>
      </c>
      <c r="D3063" s="3">
        <v>1.7525</v>
      </c>
      <c r="E3063" s="3">
        <v>1.8275</v>
      </c>
      <c r="F3063" s="3">
        <v>1.7513</v>
      </c>
      <c r="G3063" s="3">
        <v>1.8263</v>
      </c>
    </row>
    <row r="3064" spans="1:7">
      <c r="A3064" s="2">
        <v>45524</v>
      </c>
      <c r="B3064" s="3">
        <v>1.7595</v>
      </c>
      <c r="C3064" s="3">
        <v>1.8295</v>
      </c>
      <c r="D3064" s="3">
        <v>1.7621</v>
      </c>
      <c r="E3064" s="3">
        <v>1.8321</v>
      </c>
      <c r="F3064" s="3">
        <v>1.7608</v>
      </c>
      <c r="G3064" s="3">
        <v>1.8308</v>
      </c>
    </row>
    <row r="3065" spans="1:7">
      <c r="A3065" s="2">
        <v>45525</v>
      </c>
      <c r="B3065" s="3">
        <v>1.775</v>
      </c>
      <c r="C3065" s="3">
        <v>1.8375</v>
      </c>
      <c r="D3065" s="3">
        <v>1.78</v>
      </c>
      <c r="E3065" s="3">
        <v>1.84</v>
      </c>
      <c r="F3065" s="3">
        <v>1.7775</v>
      </c>
      <c r="G3065" s="3">
        <v>1.8388</v>
      </c>
    </row>
    <row r="3066" spans="1:7">
      <c r="A3066" s="2">
        <v>45526</v>
      </c>
      <c r="B3066" s="3">
        <v>1.78</v>
      </c>
      <c r="C3066" s="3">
        <v>1.83</v>
      </c>
      <c r="D3066" s="3">
        <v>1.785</v>
      </c>
      <c r="E3066" s="3">
        <v>1.8325</v>
      </c>
      <c r="F3066" s="3">
        <v>1.7825</v>
      </c>
      <c r="G3066" s="3">
        <v>1.8313</v>
      </c>
    </row>
    <row r="3067" spans="1:7">
      <c r="A3067" s="2">
        <v>45527</v>
      </c>
      <c r="B3067" s="3">
        <v>1.7725</v>
      </c>
      <c r="C3067" s="3">
        <v>1.83</v>
      </c>
      <c r="D3067" s="3">
        <v>1.775</v>
      </c>
      <c r="E3067" s="3">
        <v>1.8325</v>
      </c>
      <c r="F3067" s="3">
        <v>1.7738</v>
      </c>
      <c r="G3067" s="3">
        <v>1.8313</v>
      </c>
    </row>
    <row r="3068" spans="1:7">
      <c r="A3068" s="2">
        <v>45530</v>
      </c>
      <c r="B3068" s="3">
        <v>1.76</v>
      </c>
      <c r="C3068" s="3">
        <v>1.825</v>
      </c>
      <c r="D3068" s="3">
        <v>1.7625</v>
      </c>
      <c r="E3068" s="3">
        <v>1.83</v>
      </c>
      <c r="F3068" s="3">
        <v>1.7613</v>
      </c>
      <c r="G3068" s="3">
        <v>1.8275</v>
      </c>
    </row>
    <row r="3069" spans="1:7">
      <c r="A3069" s="2">
        <v>45531</v>
      </c>
      <c r="B3069" s="3">
        <v>1.775</v>
      </c>
      <c r="C3069" s="3">
        <v>1.8573</v>
      </c>
      <c r="D3069" s="3">
        <v>1.7775</v>
      </c>
      <c r="E3069" s="3">
        <v>1.8579</v>
      </c>
      <c r="F3069" s="3">
        <v>1.7763</v>
      </c>
      <c r="G3069" s="3">
        <v>1.8576</v>
      </c>
    </row>
    <row r="3070" spans="1:7">
      <c r="A3070" s="2">
        <v>45532</v>
      </c>
      <c r="B3070" s="3">
        <v>1.7586</v>
      </c>
      <c r="C3070" s="3">
        <v>1.8361</v>
      </c>
      <c r="D3070" s="3">
        <v>1.7625</v>
      </c>
      <c r="E3070" s="3">
        <v>1.84</v>
      </c>
      <c r="F3070" s="3">
        <v>1.7606</v>
      </c>
      <c r="G3070" s="3">
        <v>1.8381</v>
      </c>
    </row>
    <row r="3071" spans="1:7">
      <c r="A3071" s="2">
        <v>45533</v>
      </c>
      <c r="B3071" s="3">
        <v>1.752</v>
      </c>
      <c r="C3071" s="3">
        <v>1.8352</v>
      </c>
      <c r="D3071" s="3">
        <v>1.755</v>
      </c>
      <c r="E3071" s="3">
        <v>1.8377</v>
      </c>
      <c r="F3071" s="3">
        <v>1.7535</v>
      </c>
      <c r="G3071" s="3">
        <v>1.8364</v>
      </c>
    </row>
    <row r="3072" spans="1:7">
      <c r="A3072" s="2">
        <v>45534</v>
      </c>
      <c r="B3072" s="3">
        <v>1.7473</v>
      </c>
      <c r="C3072" s="3">
        <v>1.8475</v>
      </c>
      <c r="D3072" s="3">
        <v>1.75</v>
      </c>
      <c r="E3072" s="3">
        <v>1.85</v>
      </c>
      <c r="F3072" s="3">
        <v>1.7487</v>
      </c>
      <c r="G3072" s="3">
        <v>1.8488</v>
      </c>
    </row>
    <row r="3073" spans="1:7">
      <c r="A3073" s="2">
        <v>45537</v>
      </c>
      <c r="B3073" s="3">
        <v>1.71</v>
      </c>
      <c r="C3073" s="3">
        <v>1.7975</v>
      </c>
      <c r="D3073" s="3">
        <v>1.7125</v>
      </c>
      <c r="E3073" s="3">
        <v>1.8</v>
      </c>
      <c r="F3073" s="3">
        <v>1.7113</v>
      </c>
      <c r="G3073" s="3">
        <v>1.7988</v>
      </c>
    </row>
    <row r="3074" spans="1:7">
      <c r="A3074" s="2">
        <v>45538</v>
      </c>
      <c r="B3074" s="3">
        <v>1.7025</v>
      </c>
      <c r="C3074" s="3">
        <v>1.7756</v>
      </c>
      <c r="D3074" s="3">
        <v>1.705</v>
      </c>
      <c r="E3074" s="3">
        <v>1.7787</v>
      </c>
      <c r="F3074" s="3">
        <v>1.7038</v>
      </c>
      <c r="G3074" s="3">
        <v>1.7771</v>
      </c>
    </row>
    <row r="3075" spans="1:7">
      <c r="A3075" s="2">
        <v>45539</v>
      </c>
      <c r="B3075" s="3">
        <v>1.715</v>
      </c>
      <c r="C3075" s="3">
        <v>1.7696</v>
      </c>
      <c r="D3075" s="3">
        <v>1.7194</v>
      </c>
      <c r="E3075" s="3">
        <v>1.7721</v>
      </c>
      <c r="F3075" s="3">
        <v>1.7172</v>
      </c>
      <c r="G3075" s="3">
        <v>1.7709</v>
      </c>
    </row>
    <row r="3076" spans="1:7">
      <c r="A3076" s="2">
        <v>45540</v>
      </c>
      <c r="B3076" s="3">
        <v>1.69</v>
      </c>
      <c r="C3076" s="3">
        <v>1.7492</v>
      </c>
      <c r="D3076" s="3">
        <v>1.6976</v>
      </c>
      <c r="E3076" s="3">
        <v>1.7525</v>
      </c>
      <c r="F3076" s="3">
        <v>1.6938</v>
      </c>
      <c r="G3076" s="3">
        <v>1.7508</v>
      </c>
    </row>
    <row r="3077" spans="1:7">
      <c r="A3077" s="2">
        <v>45541</v>
      </c>
      <c r="B3077" s="3">
        <v>1.7</v>
      </c>
      <c r="C3077" s="3">
        <v>1.7493</v>
      </c>
      <c r="D3077" s="3">
        <v>1.7025</v>
      </c>
      <c r="E3077" s="3">
        <v>1.7525</v>
      </c>
      <c r="F3077" s="3">
        <v>1.7013</v>
      </c>
      <c r="G3077" s="3">
        <v>1.7509</v>
      </c>
    </row>
    <row r="3078" spans="1:7">
      <c r="A3078" s="2">
        <v>45544</v>
      </c>
      <c r="B3078" s="3">
        <v>1.6975</v>
      </c>
      <c r="C3078" s="3">
        <v>1.7325</v>
      </c>
      <c r="D3078" s="3">
        <v>1.7</v>
      </c>
      <c r="E3078" s="3">
        <v>1.735</v>
      </c>
      <c r="F3078" s="3">
        <v>1.6988</v>
      </c>
      <c r="G3078" s="3">
        <v>1.7338</v>
      </c>
    </row>
    <row r="3079" spans="1:7">
      <c r="A3079" s="2">
        <v>45545</v>
      </c>
      <c r="B3079" s="3">
        <v>1.7</v>
      </c>
      <c r="C3079" s="3">
        <v>1.715</v>
      </c>
      <c r="D3079" s="3">
        <v>1.7025</v>
      </c>
      <c r="E3079" s="3">
        <v>1.7175</v>
      </c>
      <c r="F3079" s="3">
        <v>1.7013</v>
      </c>
      <c r="G3079" s="3">
        <v>1.7163</v>
      </c>
    </row>
    <row r="3080" spans="1:7">
      <c r="A3080" s="2">
        <v>45546</v>
      </c>
      <c r="B3080" s="3">
        <v>1.7004</v>
      </c>
      <c r="C3080" s="3">
        <v>1.71</v>
      </c>
      <c r="D3080" s="3">
        <v>1.703</v>
      </c>
      <c r="E3080" s="3">
        <v>1.7125</v>
      </c>
      <c r="F3080" s="3">
        <v>1.7017</v>
      </c>
      <c r="G3080" s="3">
        <v>1.7113</v>
      </c>
    </row>
    <row r="3081" spans="1:7">
      <c r="A3081" s="2">
        <v>45547</v>
      </c>
      <c r="B3081" s="3">
        <v>1.7075</v>
      </c>
      <c r="C3081" s="3">
        <v>1.7135</v>
      </c>
      <c r="D3081" s="3">
        <v>1.7096</v>
      </c>
      <c r="E3081" s="3">
        <v>1.7162</v>
      </c>
      <c r="F3081" s="3">
        <v>1.7085</v>
      </c>
      <c r="G3081" s="3">
        <v>1.7148</v>
      </c>
    </row>
    <row r="3082" spans="1:7">
      <c r="A3082" s="2">
        <v>45548</v>
      </c>
      <c r="B3082" s="3">
        <v>1.72</v>
      </c>
      <c r="C3082" s="3">
        <v>1.7124</v>
      </c>
      <c r="D3082" s="3">
        <v>1.725</v>
      </c>
      <c r="E3082" s="3">
        <v>1.715</v>
      </c>
      <c r="F3082" s="3">
        <v>1.7225</v>
      </c>
      <c r="G3082" s="3">
        <v>1.7137</v>
      </c>
    </row>
    <row r="3083" spans="1:7">
      <c r="A3083" s="2">
        <v>45549</v>
      </c>
      <c r="B3083" s="3">
        <v>1.705</v>
      </c>
      <c r="C3083" s="3">
        <v>1.7</v>
      </c>
      <c r="D3083" s="3">
        <v>1.72</v>
      </c>
      <c r="E3083" s="3">
        <v>1.71</v>
      </c>
      <c r="F3083" s="3">
        <v>1.7125</v>
      </c>
      <c r="G3083" s="3">
        <v>1.705</v>
      </c>
    </row>
    <row r="3084" spans="1:7">
      <c r="A3084" s="2">
        <v>45553</v>
      </c>
      <c r="B3084" s="3">
        <v>1.7175</v>
      </c>
      <c r="C3084" s="3">
        <v>1.695</v>
      </c>
      <c r="D3084" s="3">
        <v>1.72</v>
      </c>
      <c r="E3084" s="3">
        <v>1.6975</v>
      </c>
      <c r="F3084" s="3">
        <v>1.7188</v>
      </c>
      <c r="G3084" s="3">
        <v>1.6963</v>
      </c>
    </row>
    <row r="3085" spans="1:7">
      <c r="A3085" s="2">
        <v>45554</v>
      </c>
      <c r="B3085" s="3">
        <v>1.7175</v>
      </c>
      <c r="C3085" s="3">
        <v>1.705</v>
      </c>
      <c r="D3085" s="3">
        <v>1.72</v>
      </c>
      <c r="E3085" s="3">
        <v>1.7075</v>
      </c>
      <c r="F3085" s="3">
        <v>1.7188</v>
      </c>
      <c r="G3085" s="3">
        <v>1.7063</v>
      </c>
    </row>
    <row r="3086" spans="1:7">
      <c r="A3086" s="2">
        <v>45555</v>
      </c>
      <c r="B3086" s="3">
        <v>1.7175</v>
      </c>
      <c r="C3086" s="3">
        <v>1.6958</v>
      </c>
      <c r="D3086" s="3">
        <v>1.72</v>
      </c>
      <c r="E3086" s="3">
        <v>1.6993</v>
      </c>
      <c r="F3086" s="3">
        <v>1.7188</v>
      </c>
      <c r="G3086" s="3">
        <v>1.6975</v>
      </c>
    </row>
    <row r="3087" spans="1:7">
      <c r="A3087" s="2">
        <v>45558</v>
      </c>
      <c r="B3087" s="3">
        <v>1.7309</v>
      </c>
      <c r="C3087" s="3">
        <v>1.7059</v>
      </c>
      <c r="D3087" s="3">
        <v>1.7334</v>
      </c>
      <c r="E3087" s="3">
        <v>1.7084</v>
      </c>
      <c r="F3087" s="3">
        <v>1.7321</v>
      </c>
      <c r="G3087" s="3">
        <v>1.7071</v>
      </c>
    </row>
    <row r="3088" spans="1:7">
      <c r="A3088" s="2">
        <v>45559</v>
      </c>
      <c r="B3088" s="3">
        <v>1.6625</v>
      </c>
      <c r="C3088" s="3">
        <v>1.7115</v>
      </c>
      <c r="D3088" s="3">
        <v>1.6675</v>
      </c>
      <c r="E3088" s="3">
        <v>1.7125</v>
      </c>
      <c r="F3088" s="3">
        <v>1.665</v>
      </c>
      <c r="G3088" s="3">
        <v>1.712</v>
      </c>
    </row>
    <row r="3089" spans="1:7">
      <c r="A3089" s="2">
        <v>45560</v>
      </c>
      <c r="B3089" s="3">
        <v>1.6059</v>
      </c>
      <c r="C3089" s="3">
        <v>1.6554</v>
      </c>
      <c r="D3089" s="3">
        <v>1.6086</v>
      </c>
      <c r="E3089" s="3">
        <v>1.6575</v>
      </c>
      <c r="F3089" s="3">
        <v>1.6072</v>
      </c>
      <c r="G3089" s="3">
        <v>1.6565</v>
      </c>
    </row>
    <row r="3090" spans="1:7">
      <c r="A3090" s="2">
        <v>45561</v>
      </c>
      <c r="B3090" s="3">
        <v>1.5984</v>
      </c>
      <c r="C3090" s="3">
        <v>1.68</v>
      </c>
      <c r="D3090" s="3">
        <v>1.6025</v>
      </c>
      <c r="E3090" s="3">
        <v>1.685</v>
      </c>
      <c r="F3090" s="3">
        <v>1.6004</v>
      </c>
      <c r="G3090" s="3">
        <v>1.6825</v>
      </c>
    </row>
    <row r="3091" spans="1:7">
      <c r="A3091" s="2">
        <v>45562</v>
      </c>
      <c r="B3091" s="3">
        <v>1.62</v>
      </c>
      <c r="C3091" s="3">
        <v>1.7955</v>
      </c>
      <c r="D3091" s="3">
        <v>1.6275</v>
      </c>
      <c r="E3091" s="3">
        <v>1.7986</v>
      </c>
      <c r="F3091" s="3">
        <v>1.6238</v>
      </c>
      <c r="G3091" s="3">
        <v>1.797</v>
      </c>
    </row>
    <row r="3092" spans="1:7">
      <c r="A3092" s="2">
        <v>45564</v>
      </c>
      <c r="B3092" s="3">
        <v>1.652</v>
      </c>
      <c r="C3092" s="3">
        <v>1.89</v>
      </c>
      <c r="D3092" s="3">
        <v>1.665</v>
      </c>
      <c r="E3092" s="3">
        <v>1.8964</v>
      </c>
      <c r="F3092" s="3">
        <v>1.6585</v>
      </c>
      <c r="G3092" s="3">
        <v>1.8932</v>
      </c>
    </row>
    <row r="3093" spans="1:7">
      <c r="A3093" s="2">
        <v>45565</v>
      </c>
      <c r="B3093" s="3">
        <v>1.6321</v>
      </c>
      <c r="C3093" s="3">
        <v>1.819</v>
      </c>
      <c r="D3093" s="3">
        <v>1.6375</v>
      </c>
      <c r="E3093" s="3">
        <v>1.8212</v>
      </c>
      <c r="F3093" s="3">
        <v>1.6348</v>
      </c>
      <c r="G3093" s="3">
        <v>1.8201</v>
      </c>
    </row>
    <row r="3094" spans="1:7">
      <c r="A3094" s="2">
        <v>45573</v>
      </c>
      <c r="B3094" s="3">
        <v>1.6912</v>
      </c>
      <c r="C3094" s="3">
        <v>1.8602</v>
      </c>
      <c r="D3094" s="3">
        <v>1.6949</v>
      </c>
      <c r="E3094" s="3">
        <v>1.8627</v>
      </c>
      <c r="F3094" s="3">
        <v>1.693</v>
      </c>
      <c r="G3094" s="3">
        <v>1.8614</v>
      </c>
    </row>
    <row r="3095" spans="1:7">
      <c r="A3095" s="2">
        <v>45574</v>
      </c>
      <c r="B3095" s="3">
        <v>1.71</v>
      </c>
      <c r="C3095" s="3">
        <v>1.83</v>
      </c>
      <c r="D3095" s="3">
        <v>1.715</v>
      </c>
      <c r="E3095" s="3">
        <v>1.835</v>
      </c>
      <c r="F3095" s="3">
        <v>1.7125</v>
      </c>
      <c r="G3095" s="3">
        <v>1.8325</v>
      </c>
    </row>
    <row r="3096" spans="1:7">
      <c r="A3096" s="2">
        <v>45575</v>
      </c>
      <c r="B3096" s="3">
        <v>1.6825</v>
      </c>
      <c r="C3096" s="3">
        <v>1.7775</v>
      </c>
      <c r="D3096" s="3">
        <v>1.6875</v>
      </c>
      <c r="E3096" s="3">
        <v>1.78</v>
      </c>
      <c r="F3096" s="3">
        <v>1.685</v>
      </c>
      <c r="G3096" s="3">
        <v>1.7788</v>
      </c>
    </row>
    <row r="3097" spans="1:7">
      <c r="A3097" s="2">
        <v>45576</v>
      </c>
      <c r="B3097" s="3">
        <v>1.665</v>
      </c>
      <c r="C3097" s="3">
        <v>1.7767</v>
      </c>
      <c r="D3097" s="3">
        <v>1.6689</v>
      </c>
      <c r="E3097" s="3">
        <v>1.7793</v>
      </c>
      <c r="F3097" s="3">
        <v>1.6669</v>
      </c>
      <c r="G3097" s="3">
        <v>1.778</v>
      </c>
    </row>
    <row r="3098" spans="1:7">
      <c r="A3098" s="2">
        <v>45577</v>
      </c>
      <c r="B3098" s="3">
        <v>1.6625</v>
      </c>
      <c r="C3098" s="3">
        <v>1.78</v>
      </c>
      <c r="D3098" s="3">
        <v>1.67</v>
      </c>
      <c r="E3098" s="3">
        <v>1.79</v>
      </c>
      <c r="F3098" s="3">
        <v>1.6663</v>
      </c>
      <c r="G3098" s="3">
        <v>1.785</v>
      </c>
    </row>
    <row r="3099" spans="1:7">
      <c r="A3099" s="2">
        <v>45579</v>
      </c>
      <c r="B3099" s="3">
        <v>1.66</v>
      </c>
      <c r="C3099" s="3">
        <v>1.765</v>
      </c>
      <c r="D3099" s="3">
        <v>1.6625</v>
      </c>
      <c r="E3099" s="3">
        <v>1.7675</v>
      </c>
      <c r="F3099" s="3">
        <v>1.6613</v>
      </c>
      <c r="G3099" s="3">
        <v>1.7663</v>
      </c>
    </row>
    <row r="3100" spans="1:7">
      <c r="A3100" s="2">
        <v>45580</v>
      </c>
      <c r="B3100" s="3">
        <v>1.6633</v>
      </c>
      <c r="C3100" s="3">
        <v>1.7481</v>
      </c>
      <c r="D3100" s="3">
        <v>1.667</v>
      </c>
      <c r="E3100" s="3">
        <v>1.7506</v>
      </c>
      <c r="F3100" s="3">
        <v>1.6651</v>
      </c>
      <c r="G3100" s="3">
        <v>1.7494</v>
      </c>
    </row>
    <row r="3101" spans="1:7">
      <c r="A3101" s="2">
        <v>45581</v>
      </c>
      <c r="B3101" s="3">
        <v>1.69</v>
      </c>
      <c r="C3101" s="3">
        <v>1.755</v>
      </c>
      <c r="D3101" s="3">
        <v>1.6925</v>
      </c>
      <c r="E3101" s="3">
        <v>1.7575</v>
      </c>
      <c r="F3101" s="3">
        <v>1.6913</v>
      </c>
      <c r="G3101" s="3">
        <v>1.7563</v>
      </c>
    </row>
    <row r="3102" spans="1:7">
      <c r="A3102" s="2">
        <v>45582</v>
      </c>
      <c r="B3102" s="3">
        <v>1.6925</v>
      </c>
      <c r="C3102" s="3">
        <v>1.725</v>
      </c>
      <c r="D3102" s="3">
        <v>1.6955</v>
      </c>
      <c r="E3102" s="3">
        <v>1.7275</v>
      </c>
      <c r="F3102" s="3">
        <v>1.694</v>
      </c>
      <c r="G3102" s="3">
        <v>1.7263</v>
      </c>
    </row>
    <row r="3103" spans="1:7">
      <c r="A3103" s="2">
        <v>45583</v>
      </c>
      <c r="B3103" s="3">
        <v>1.6875</v>
      </c>
      <c r="C3103" s="3">
        <v>1.7512</v>
      </c>
      <c r="D3103" s="3">
        <v>1.6925</v>
      </c>
      <c r="E3103" s="3">
        <v>1.7545</v>
      </c>
      <c r="F3103" s="3">
        <v>1.69</v>
      </c>
      <c r="G3103" s="3">
        <v>1.7529</v>
      </c>
    </row>
    <row r="3104" spans="1:7">
      <c r="A3104" s="2">
        <v>45586</v>
      </c>
      <c r="B3104" s="3">
        <v>1.6995</v>
      </c>
      <c r="C3104" s="3">
        <v>1.76</v>
      </c>
      <c r="D3104" s="3">
        <v>1.7025</v>
      </c>
      <c r="E3104" s="3">
        <v>1.7641</v>
      </c>
      <c r="F3104" s="3">
        <v>1.701</v>
      </c>
      <c r="G3104" s="3">
        <v>1.7621</v>
      </c>
    </row>
    <row r="3105" spans="1:7">
      <c r="A3105" s="2">
        <v>45587</v>
      </c>
      <c r="B3105" s="3">
        <v>1.7333</v>
      </c>
      <c r="C3105" s="3">
        <v>1.7946</v>
      </c>
      <c r="D3105" s="3">
        <v>1.7352</v>
      </c>
      <c r="E3105" s="3">
        <v>1.7987</v>
      </c>
      <c r="F3105" s="3">
        <v>1.7342</v>
      </c>
      <c r="G3105" s="3">
        <v>1.7966</v>
      </c>
    </row>
    <row r="3106" spans="1:7">
      <c r="A3106" s="2">
        <v>45588</v>
      </c>
      <c r="B3106" s="3">
        <v>1.7325</v>
      </c>
      <c r="C3106" s="3">
        <v>1.8125</v>
      </c>
      <c r="D3106" s="3">
        <v>1.735</v>
      </c>
      <c r="E3106" s="3">
        <v>1.8125</v>
      </c>
      <c r="F3106" s="3">
        <v>1.7338</v>
      </c>
      <c r="G3106" s="3">
        <v>1.8125</v>
      </c>
    </row>
    <row r="3107" spans="1:7">
      <c r="A3107" s="2">
        <v>45589</v>
      </c>
      <c r="B3107" s="3">
        <v>1.745</v>
      </c>
      <c r="C3107" s="3">
        <v>1.8369</v>
      </c>
      <c r="D3107" s="3">
        <v>1.7489</v>
      </c>
      <c r="E3107" s="3">
        <v>1.8387</v>
      </c>
      <c r="F3107" s="3">
        <v>1.7469</v>
      </c>
      <c r="G3107" s="3">
        <v>1.8378</v>
      </c>
    </row>
    <row r="3108" spans="1:7">
      <c r="A3108" s="2">
        <v>45590</v>
      </c>
      <c r="B3108" s="3">
        <v>1.7275</v>
      </c>
      <c r="C3108" s="3">
        <v>1.8158</v>
      </c>
      <c r="D3108" s="3">
        <v>1.73</v>
      </c>
      <c r="E3108" s="3">
        <v>1.8179</v>
      </c>
      <c r="F3108" s="3">
        <v>1.7288</v>
      </c>
      <c r="G3108" s="3">
        <v>1.8168</v>
      </c>
    </row>
    <row r="3109" spans="1:7">
      <c r="A3109" s="2">
        <v>45593</v>
      </c>
      <c r="B3109" s="3">
        <v>1.71</v>
      </c>
      <c r="C3109" s="3">
        <v>1.805</v>
      </c>
      <c r="D3109" s="3">
        <v>1.713</v>
      </c>
      <c r="E3109" s="3">
        <v>1.81</v>
      </c>
      <c r="F3109" s="3">
        <v>1.7115</v>
      </c>
      <c r="G3109" s="3">
        <v>1.8075</v>
      </c>
    </row>
    <row r="3110" spans="1:7">
      <c r="A3110" s="2">
        <v>45594</v>
      </c>
      <c r="B3110" s="3">
        <v>1.705</v>
      </c>
      <c r="C3110" s="3">
        <v>1.79</v>
      </c>
      <c r="D3110" s="3">
        <v>1.7075</v>
      </c>
      <c r="E3110" s="3">
        <v>1.7944</v>
      </c>
      <c r="F3110" s="3">
        <v>1.7063</v>
      </c>
      <c r="G3110" s="3">
        <v>1.7922</v>
      </c>
    </row>
    <row r="3111" spans="1:7">
      <c r="A3111" s="2">
        <v>45595</v>
      </c>
      <c r="B3111" s="3">
        <v>1.7173</v>
      </c>
      <c r="C3111" s="3">
        <v>1.8025</v>
      </c>
      <c r="D3111" s="3">
        <v>1.72</v>
      </c>
      <c r="E3111" s="3">
        <v>1.8057</v>
      </c>
      <c r="F3111" s="3">
        <v>1.7187</v>
      </c>
      <c r="G3111" s="3">
        <v>1.8041</v>
      </c>
    </row>
    <row r="3112" spans="1:7">
      <c r="A3112" s="2">
        <v>45596</v>
      </c>
      <c r="B3112" s="3">
        <v>1.7</v>
      </c>
      <c r="C3112" s="3">
        <v>1.7825</v>
      </c>
      <c r="D3112" s="3">
        <v>1.7025</v>
      </c>
      <c r="E3112" s="3">
        <v>1.7875</v>
      </c>
      <c r="F3112" s="3">
        <v>1.7013</v>
      </c>
      <c r="G3112" s="3">
        <v>1.785</v>
      </c>
    </row>
    <row r="3113" spans="1:7">
      <c r="A3113" s="2">
        <v>45597</v>
      </c>
      <c r="B3113" s="3">
        <v>1.6678</v>
      </c>
      <c r="C3113" s="3">
        <v>1.7685</v>
      </c>
      <c r="D3113" s="3">
        <v>1.6725</v>
      </c>
      <c r="E3113" s="3">
        <v>1.7705</v>
      </c>
      <c r="F3113" s="3">
        <v>1.6702</v>
      </c>
      <c r="G3113" s="3">
        <v>1.7695</v>
      </c>
    </row>
    <row r="3114" spans="1:7">
      <c r="A3114" s="2">
        <v>45600</v>
      </c>
      <c r="B3114" s="3">
        <v>1.6725</v>
      </c>
      <c r="C3114" s="3">
        <v>1.775</v>
      </c>
      <c r="D3114" s="3">
        <v>1.675</v>
      </c>
      <c r="E3114" s="3">
        <v>1.7775</v>
      </c>
      <c r="F3114" s="3">
        <v>1.6738</v>
      </c>
      <c r="G3114" s="3">
        <v>1.7763</v>
      </c>
    </row>
    <row r="3115" spans="1:7">
      <c r="A3115" s="2">
        <v>45601</v>
      </c>
      <c r="B3115" s="3">
        <v>1.6675</v>
      </c>
      <c r="C3115" s="3">
        <v>1.76</v>
      </c>
      <c r="D3115" s="3">
        <v>1.6716</v>
      </c>
      <c r="E3115" s="3">
        <v>1.7625</v>
      </c>
      <c r="F3115" s="3">
        <v>1.6696</v>
      </c>
      <c r="G3115" s="3">
        <v>1.7613</v>
      </c>
    </row>
    <row r="3116" spans="1:7">
      <c r="A3116" s="2">
        <v>45602</v>
      </c>
      <c r="B3116" s="3">
        <v>1.6761</v>
      </c>
      <c r="C3116" s="3">
        <v>1.7554</v>
      </c>
      <c r="D3116" s="3">
        <v>1.68</v>
      </c>
      <c r="E3116" s="3">
        <v>1.7577</v>
      </c>
      <c r="F3116" s="3">
        <v>1.6781</v>
      </c>
      <c r="G3116" s="3">
        <v>1.7566</v>
      </c>
    </row>
    <row r="3117" spans="1:7">
      <c r="A3117" s="2">
        <v>45603</v>
      </c>
      <c r="B3117" s="3">
        <v>1.64</v>
      </c>
      <c r="C3117" s="3">
        <v>1.735</v>
      </c>
      <c r="D3117" s="3">
        <v>1.643</v>
      </c>
      <c r="E3117" s="3">
        <v>1.7375</v>
      </c>
      <c r="F3117" s="3">
        <v>1.6415</v>
      </c>
      <c r="G3117" s="3">
        <v>1.7363</v>
      </c>
    </row>
    <row r="3118" spans="1:7">
      <c r="A3118" s="2">
        <v>45604</v>
      </c>
      <c r="B3118" s="3">
        <v>1.6392</v>
      </c>
      <c r="C3118" s="3">
        <v>1.7128</v>
      </c>
      <c r="D3118" s="3">
        <v>1.6441</v>
      </c>
      <c r="E3118" s="3">
        <v>1.7141</v>
      </c>
      <c r="F3118" s="3">
        <v>1.6417</v>
      </c>
      <c r="G3118" s="3">
        <v>1.7134</v>
      </c>
    </row>
    <row r="3119" spans="1:7">
      <c r="A3119" s="2">
        <v>45607</v>
      </c>
      <c r="B3119" s="3">
        <v>1.66</v>
      </c>
      <c r="C3119" s="3">
        <v>1.715</v>
      </c>
      <c r="D3119" s="3">
        <v>1.6625</v>
      </c>
      <c r="E3119" s="3">
        <v>1.72</v>
      </c>
      <c r="F3119" s="3">
        <v>1.6613</v>
      </c>
      <c r="G3119" s="3">
        <v>1.7175</v>
      </c>
    </row>
    <row r="3120" spans="1:7">
      <c r="A3120" s="2">
        <v>45608</v>
      </c>
      <c r="B3120" s="3">
        <v>1.6461</v>
      </c>
      <c r="C3120" s="3">
        <v>1.6778</v>
      </c>
      <c r="D3120" s="3">
        <v>1.65</v>
      </c>
      <c r="E3120" s="3">
        <v>1.6809</v>
      </c>
      <c r="F3120" s="3">
        <v>1.6481</v>
      </c>
      <c r="G3120" s="3">
        <v>1.6793</v>
      </c>
    </row>
    <row r="3121" spans="1:7">
      <c r="A3121" s="2">
        <v>45609</v>
      </c>
      <c r="B3121" s="3">
        <v>1.66</v>
      </c>
      <c r="C3121" s="3">
        <v>1.7044</v>
      </c>
      <c r="D3121" s="3">
        <v>1.665</v>
      </c>
      <c r="E3121" s="3">
        <v>1.7063</v>
      </c>
      <c r="F3121" s="3">
        <v>1.6625</v>
      </c>
      <c r="G3121" s="3">
        <v>1.7053</v>
      </c>
    </row>
    <row r="3122" spans="1:7">
      <c r="A3122" s="2">
        <v>45610</v>
      </c>
      <c r="B3122" s="3">
        <v>1.6511</v>
      </c>
      <c r="C3122" s="3">
        <v>1.6825</v>
      </c>
      <c r="D3122" s="3">
        <v>1.6526</v>
      </c>
      <c r="E3122" s="3">
        <v>1.685</v>
      </c>
      <c r="F3122" s="3">
        <v>1.6519</v>
      </c>
      <c r="G3122" s="3">
        <v>1.6838</v>
      </c>
    </row>
    <row r="3123" spans="1:7">
      <c r="A3123" s="2">
        <v>45611</v>
      </c>
      <c r="B3123" s="3">
        <v>1.6525</v>
      </c>
      <c r="C3123" s="3">
        <v>1.695</v>
      </c>
      <c r="D3123" s="3">
        <v>1.66</v>
      </c>
      <c r="E3123" s="3">
        <v>1.6975</v>
      </c>
      <c r="F3123" s="3">
        <v>1.6563</v>
      </c>
      <c r="G3123" s="3">
        <v>1.6963</v>
      </c>
    </row>
    <row r="3124" spans="1:7">
      <c r="A3124" s="2">
        <v>45614</v>
      </c>
      <c r="B3124" s="3">
        <v>1.6825</v>
      </c>
      <c r="C3124" s="3">
        <v>1.725</v>
      </c>
      <c r="D3124" s="3">
        <v>1.685</v>
      </c>
      <c r="E3124" s="3">
        <v>1.7275</v>
      </c>
      <c r="F3124" s="3">
        <v>1.6838</v>
      </c>
      <c r="G3124" s="3">
        <v>1.7263</v>
      </c>
    </row>
    <row r="3125" spans="1:7">
      <c r="A3125" s="2">
        <v>45615</v>
      </c>
      <c r="B3125" s="3">
        <v>1.6625</v>
      </c>
      <c r="C3125" s="3">
        <v>1.7025</v>
      </c>
      <c r="D3125" s="3">
        <v>1.665</v>
      </c>
      <c r="E3125" s="3">
        <v>1.705</v>
      </c>
      <c r="F3125" s="3">
        <v>1.6638</v>
      </c>
      <c r="G3125" s="3">
        <v>1.7038</v>
      </c>
    </row>
    <row r="3126" spans="1:7">
      <c r="A3126" s="2">
        <v>45616</v>
      </c>
      <c r="B3126" s="3">
        <v>1.6625</v>
      </c>
      <c r="C3126" s="3">
        <v>1.7</v>
      </c>
      <c r="D3126" s="3">
        <v>1.665</v>
      </c>
      <c r="E3126" s="3">
        <v>1.7028</v>
      </c>
      <c r="F3126" s="3">
        <v>1.6638</v>
      </c>
      <c r="G3126" s="3">
        <v>1.7014</v>
      </c>
    </row>
    <row r="3127" spans="1:7">
      <c r="A3127" s="2">
        <v>45617</v>
      </c>
      <c r="B3127" s="3">
        <v>1.6475</v>
      </c>
      <c r="C3127" s="3">
        <v>1.6825</v>
      </c>
      <c r="D3127" s="3">
        <v>1.65</v>
      </c>
      <c r="E3127" s="3">
        <v>1.685</v>
      </c>
      <c r="F3127" s="3">
        <v>1.6488</v>
      </c>
      <c r="G3127" s="3">
        <v>1.6838</v>
      </c>
    </row>
    <row r="3128" spans="1:7">
      <c r="A3128" s="2">
        <v>45618</v>
      </c>
      <c r="B3128" s="3">
        <v>1.64</v>
      </c>
      <c r="C3128" s="3">
        <v>1.6825</v>
      </c>
      <c r="D3128" s="3">
        <v>1.6425</v>
      </c>
      <c r="E3128" s="3">
        <v>1.685</v>
      </c>
      <c r="F3128" s="3">
        <v>1.6413</v>
      </c>
      <c r="G3128" s="3">
        <v>1.6838</v>
      </c>
    </row>
    <row r="3129" spans="1:7">
      <c r="A3129" s="2">
        <v>45621</v>
      </c>
      <c r="B3129" s="3">
        <v>1.6359</v>
      </c>
      <c r="C3129" s="3">
        <v>1.6646</v>
      </c>
      <c r="D3129" s="3">
        <v>1.6393</v>
      </c>
      <c r="E3129" s="3">
        <v>1.6675</v>
      </c>
      <c r="F3129" s="3">
        <v>1.6376</v>
      </c>
      <c r="G3129" s="3">
        <v>1.666</v>
      </c>
    </row>
    <row r="3130" spans="1:7">
      <c r="A3130" s="2">
        <v>45622</v>
      </c>
      <c r="B3130" s="3">
        <v>1.6302</v>
      </c>
      <c r="C3130" s="3">
        <v>1.6582</v>
      </c>
      <c r="D3130" s="3">
        <v>1.6328</v>
      </c>
      <c r="E3130" s="3">
        <v>1.6607</v>
      </c>
      <c r="F3130" s="3">
        <v>1.6315</v>
      </c>
      <c r="G3130" s="3">
        <v>1.6595</v>
      </c>
    </row>
    <row r="3131" spans="1:7">
      <c r="A3131" s="2">
        <v>45623</v>
      </c>
      <c r="B3131" s="3">
        <v>1.6375</v>
      </c>
      <c r="C3131" s="3">
        <v>1.6693</v>
      </c>
      <c r="D3131" s="3">
        <v>1.6408</v>
      </c>
      <c r="E3131" s="3">
        <v>1.6725</v>
      </c>
      <c r="F3131" s="3">
        <v>1.6392</v>
      </c>
      <c r="G3131" s="3">
        <v>1.6709</v>
      </c>
    </row>
    <row r="3132" spans="1:7">
      <c r="A3132" s="2">
        <v>45624</v>
      </c>
      <c r="B3132" s="3">
        <v>1.6222</v>
      </c>
      <c r="C3132" s="3">
        <v>1.6444</v>
      </c>
      <c r="D3132" s="3">
        <v>1.625</v>
      </c>
      <c r="E3132" s="3">
        <v>1.6481</v>
      </c>
      <c r="F3132" s="3">
        <v>1.6236</v>
      </c>
      <c r="G3132" s="3">
        <v>1.6463</v>
      </c>
    </row>
    <row r="3133" spans="1:7">
      <c r="A3133" s="2">
        <v>45625</v>
      </c>
      <c r="B3133" s="3">
        <v>1.5874</v>
      </c>
      <c r="C3133" s="3">
        <v>1.6275</v>
      </c>
      <c r="D3133" s="3">
        <v>1.5939</v>
      </c>
      <c r="E3133" s="3">
        <v>1.6308</v>
      </c>
      <c r="F3133" s="3">
        <v>1.5907</v>
      </c>
      <c r="G3133" s="3">
        <v>1.6292</v>
      </c>
    </row>
    <row r="3134" spans="1:7">
      <c r="A3134" s="2">
        <v>45628</v>
      </c>
      <c r="B3134" s="3">
        <v>1.5275</v>
      </c>
      <c r="C3134" s="3">
        <v>1.5736</v>
      </c>
      <c r="D3134" s="3">
        <v>1.5325</v>
      </c>
      <c r="E3134" s="3">
        <v>1.5775</v>
      </c>
      <c r="F3134" s="3">
        <v>1.53</v>
      </c>
      <c r="G3134" s="3">
        <v>1.5756</v>
      </c>
    </row>
    <row r="3135" spans="1:7">
      <c r="A3135" s="2">
        <v>45629</v>
      </c>
      <c r="B3135" s="3">
        <v>1.5375</v>
      </c>
      <c r="C3135" s="3">
        <v>1.595</v>
      </c>
      <c r="D3135" s="3">
        <v>1.5403</v>
      </c>
      <c r="E3135" s="3">
        <v>1.5975</v>
      </c>
      <c r="F3135" s="3">
        <v>1.5389</v>
      </c>
      <c r="G3135" s="3">
        <v>1.5963</v>
      </c>
    </row>
    <row r="3136" spans="1:7">
      <c r="A3136" s="2">
        <v>45630</v>
      </c>
      <c r="B3136" s="3">
        <v>1.555</v>
      </c>
      <c r="C3136" s="3">
        <v>1.5825</v>
      </c>
      <c r="D3136" s="3">
        <v>1.5575</v>
      </c>
      <c r="E3136" s="3">
        <v>1.585</v>
      </c>
      <c r="F3136" s="3">
        <v>1.5563</v>
      </c>
      <c r="G3136" s="3">
        <v>1.5838</v>
      </c>
    </row>
    <row r="3137" spans="1:7">
      <c r="A3137" s="2">
        <v>45631</v>
      </c>
      <c r="B3137" s="3">
        <v>1.5675</v>
      </c>
      <c r="C3137" s="3">
        <v>1.59</v>
      </c>
      <c r="D3137" s="3">
        <v>1.57</v>
      </c>
      <c r="E3137" s="3">
        <v>1.5925</v>
      </c>
      <c r="F3137" s="3">
        <v>1.5688</v>
      </c>
      <c r="G3137" s="3">
        <v>1.5913</v>
      </c>
    </row>
    <row r="3138" spans="1:7">
      <c r="A3138" s="2">
        <v>45632</v>
      </c>
      <c r="B3138" s="3">
        <v>1.5775</v>
      </c>
      <c r="C3138" s="3">
        <v>1.6025</v>
      </c>
      <c r="D3138" s="3">
        <v>1.58</v>
      </c>
      <c r="E3138" s="3">
        <v>1.605</v>
      </c>
      <c r="F3138" s="3">
        <v>1.5788</v>
      </c>
      <c r="G3138" s="3">
        <v>1.6038</v>
      </c>
    </row>
    <row r="3139" spans="1:7">
      <c r="A3139" s="2">
        <v>45635</v>
      </c>
      <c r="B3139" s="3">
        <v>1.5422</v>
      </c>
      <c r="C3139" s="3">
        <v>1.5763</v>
      </c>
      <c r="D3139" s="3">
        <v>1.5463</v>
      </c>
      <c r="E3139" s="3">
        <v>1.5789</v>
      </c>
      <c r="F3139" s="3">
        <v>1.5443</v>
      </c>
      <c r="G3139" s="3">
        <v>1.5776</v>
      </c>
    </row>
    <row r="3140" spans="1:7">
      <c r="A3140" s="2">
        <v>45636</v>
      </c>
      <c r="B3140" s="3">
        <v>1.5078</v>
      </c>
      <c r="C3140" s="3">
        <v>1.5344</v>
      </c>
      <c r="D3140" s="3">
        <v>1.5094</v>
      </c>
      <c r="E3140" s="3">
        <v>1.5375</v>
      </c>
      <c r="F3140" s="3">
        <v>1.5086</v>
      </c>
      <c r="G3140" s="3">
        <v>1.536</v>
      </c>
    </row>
    <row r="3141" spans="1:7">
      <c r="A3141" s="2">
        <v>45637</v>
      </c>
      <c r="B3141" s="3">
        <v>1.4992</v>
      </c>
      <c r="C3141" s="3">
        <v>1.5233</v>
      </c>
      <c r="D3141" s="3">
        <v>1.5026</v>
      </c>
      <c r="E3141" s="3">
        <v>1.5259</v>
      </c>
      <c r="F3141" s="3">
        <v>1.5009</v>
      </c>
      <c r="G3141" s="3">
        <v>1.5246</v>
      </c>
    </row>
    <row r="3142" spans="1:7">
      <c r="A3142" s="2">
        <v>45638</v>
      </c>
      <c r="B3142" s="3">
        <v>1.4925</v>
      </c>
      <c r="C3142" s="3">
        <v>1.5117</v>
      </c>
      <c r="D3142" s="3">
        <v>1.4953</v>
      </c>
      <c r="E3142" s="3">
        <v>1.515</v>
      </c>
      <c r="F3142" s="3">
        <v>1.4939</v>
      </c>
      <c r="G3142" s="3">
        <v>1.5133</v>
      </c>
    </row>
    <row r="3143" spans="1:7">
      <c r="A3143" s="2">
        <v>45639</v>
      </c>
      <c r="B3143" s="3">
        <v>1.4725</v>
      </c>
      <c r="C3143" s="3">
        <v>1.4836</v>
      </c>
      <c r="D3143" s="3">
        <v>1.4743</v>
      </c>
      <c r="E3143" s="3">
        <v>1.4886</v>
      </c>
      <c r="F3143" s="3">
        <v>1.4734</v>
      </c>
      <c r="G3143" s="3">
        <v>1.4861</v>
      </c>
    </row>
    <row r="3144" spans="1:7">
      <c r="A3144" s="2">
        <v>45642</v>
      </c>
      <c r="B3144" s="3">
        <v>1.49</v>
      </c>
      <c r="C3144" s="3">
        <v>1.48</v>
      </c>
      <c r="D3144" s="3">
        <v>1.4925</v>
      </c>
      <c r="E3144" s="3">
        <v>1.4825</v>
      </c>
      <c r="F3144" s="3">
        <v>1.4913</v>
      </c>
      <c r="G3144" s="3">
        <v>1.4813</v>
      </c>
    </row>
    <row r="3145" spans="1:7">
      <c r="A3145" s="2">
        <v>45643</v>
      </c>
      <c r="B3145" s="3">
        <v>1.5</v>
      </c>
      <c r="C3145" s="3">
        <v>1.4825</v>
      </c>
      <c r="D3145" s="3">
        <v>1.5025</v>
      </c>
      <c r="E3145" s="3">
        <v>1.485</v>
      </c>
      <c r="F3145" s="3">
        <v>1.5013</v>
      </c>
      <c r="G3145" s="3">
        <v>1.4838</v>
      </c>
    </row>
    <row r="3146" spans="1:7">
      <c r="A3146" s="2">
        <v>45644</v>
      </c>
      <c r="B3146" s="3">
        <v>1.4886</v>
      </c>
      <c r="C3146" s="3">
        <v>1.4861</v>
      </c>
      <c r="D3146" s="3">
        <v>1.4911</v>
      </c>
      <c r="E3146" s="3">
        <v>1.4886</v>
      </c>
      <c r="F3146" s="3">
        <v>1.4898</v>
      </c>
      <c r="G3146" s="3">
        <v>1.4873</v>
      </c>
    </row>
    <row r="3147" spans="1:7">
      <c r="A3147" s="2">
        <v>45645</v>
      </c>
      <c r="B3147" s="3">
        <v>1.4688</v>
      </c>
      <c r="C3147" s="3">
        <v>1.4691</v>
      </c>
      <c r="D3147" s="3">
        <v>1.4718</v>
      </c>
      <c r="E3147" s="3">
        <v>1.4716</v>
      </c>
      <c r="F3147" s="3">
        <v>1.4703</v>
      </c>
      <c r="G3147" s="3">
        <v>1.4704</v>
      </c>
    </row>
    <row r="3148" spans="1:7">
      <c r="A3148" s="2">
        <v>45646</v>
      </c>
      <c r="B3148" s="3">
        <v>1.413</v>
      </c>
      <c r="C3148" s="3">
        <v>1.4055</v>
      </c>
      <c r="D3148" s="3">
        <v>1.4155</v>
      </c>
      <c r="E3148" s="3">
        <v>1.409</v>
      </c>
      <c r="F3148" s="3">
        <v>1.4143</v>
      </c>
      <c r="G3148" s="3">
        <v>1.4073</v>
      </c>
    </row>
    <row r="3149" spans="1:7">
      <c r="A3149" s="2">
        <v>45649</v>
      </c>
      <c r="B3149" s="3">
        <v>1.4225</v>
      </c>
      <c r="C3149" s="3">
        <v>1.4218</v>
      </c>
      <c r="D3149" s="3">
        <v>1.425</v>
      </c>
      <c r="E3149" s="3">
        <v>1.425</v>
      </c>
      <c r="F3149" s="3">
        <v>1.4238</v>
      </c>
      <c r="G3149" s="3">
        <v>1.4234</v>
      </c>
    </row>
    <row r="3150" spans="1:7">
      <c r="A3150" s="2">
        <v>45650</v>
      </c>
      <c r="B3150" s="3">
        <v>1.44</v>
      </c>
      <c r="C3150" s="3">
        <v>1.445</v>
      </c>
      <c r="D3150" s="3">
        <v>1.4447</v>
      </c>
      <c r="E3150" s="3">
        <v>1.45</v>
      </c>
      <c r="F3150" s="3">
        <v>1.4423</v>
      </c>
      <c r="G3150" s="3">
        <v>1.4475</v>
      </c>
    </row>
    <row r="3151" spans="1:7">
      <c r="A3151" s="2">
        <v>45651</v>
      </c>
      <c r="B3151" s="3">
        <v>1.4575</v>
      </c>
      <c r="C3151" s="3">
        <v>1.46</v>
      </c>
      <c r="D3151" s="3">
        <v>1.46</v>
      </c>
      <c r="E3151" s="3">
        <v>1.465</v>
      </c>
      <c r="F3151" s="3">
        <v>1.4588</v>
      </c>
      <c r="G3151" s="3">
        <v>1.4625</v>
      </c>
    </row>
    <row r="3152" spans="1:7">
      <c r="A3152" s="2">
        <v>45652</v>
      </c>
      <c r="B3152" s="3">
        <v>1.4513</v>
      </c>
      <c r="C3152" s="3">
        <v>1.4491</v>
      </c>
      <c r="D3152" s="3">
        <v>1.4545</v>
      </c>
      <c r="E3152" s="3">
        <v>1.4523</v>
      </c>
      <c r="F3152" s="3">
        <v>1.4529</v>
      </c>
      <c r="G3152" s="3">
        <v>1.4507</v>
      </c>
    </row>
    <row r="3153" spans="1:7">
      <c r="A3153" s="2">
        <v>45653</v>
      </c>
      <c r="B3153" s="3">
        <v>1.4425</v>
      </c>
      <c r="C3153" s="3">
        <v>1.4296</v>
      </c>
      <c r="D3153" s="3">
        <v>1.4458</v>
      </c>
      <c r="E3153" s="3">
        <v>1.4325</v>
      </c>
      <c r="F3153" s="3">
        <v>1.4442</v>
      </c>
      <c r="G3153" s="3">
        <v>1.431</v>
      </c>
    </row>
    <row r="3154" spans="1:7">
      <c r="A3154" s="2">
        <v>45656</v>
      </c>
      <c r="B3154" s="3">
        <v>1.47</v>
      </c>
      <c r="C3154" s="3">
        <v>1.4575</v>
      </c>
      <c r="D3154" s="3">
        <v>1.4726</v>
      </c>
      <c r="E3154" s="3">
        <v>1.4625</v>
      </c>
      <c r="F3154" s="3">
        <v>1.4713</v>
      </c>
      <c r="G3154" s="3">
        <v>1.46</v>
      </c>
    </row>
    <row r="3155" spans="1:7">
      <c r="A3155" s="2">
        <v>45657</v>
      </c>
      <c r="B3155" s="3">
        <v>1.4625</v>
      </c>
      <c r="C3155" s="3">
        <v>1.4324</v>
      </c>
      <c r="D3155" s="3">
        <v>1.465</v>
      </c>
      <c r="E3155" s="3">
        <v>1.435</v>
      </c>
      <c r="F3155" s="3">
        <v>1.4638</v>
      </c>
      <c r="G3155" s="3">
        <v>1.4337</v>
      </c>
    </row>
    <row r="3156" spans="1:7">
      <c r="A3156" s="2">
        <v>45659</v>
      </c>
      <c r="B3156" s="3">
        <v>1.47</v>
      </c>
      <c r="C3156" s="3">
        <v>1.4075</v>
      </c>
      <c r="D3156" s="3">
        <v>1.4725</v>
      </c>
      <c r="E3156" s="3">
        <v>1.41</v>
      </c>
      <c r="F3156" s="3">
        <v>1.4713</v>
      </c>
      <c r="G3156" s="3">
        <v>1.4088</v>
      </c>
    </row>
    <row r="3157" spans="1:7">
      <c r="A3157" s="2">
        <v>45660</v>
      </c>
      <c r="B3157" s="3">
        <v>1.4375</v>
      </c>
      <c r="C3157" s="3">
        <v>1.39</v>
      </c>
      <c r="D3157" s="3">
        <v>1.44</v>
      </c>
      <c r="E3157" s="3">
        <v>1.3925</v>
      </c>
      <c r="F3157" s="3">
        <v>1.4388</v>
      </c>
      <c r="G3157" s="3">
        <v>1.3913</v>
      </c>
    </row>
    <row r="3158" spans="1:7">
      <c r="A3158" s="2">
        <v>45663</v>
      </c>
      <c r="B3158" s="3">
        <v>1.4561</v>
      </c>
      <c r="C3158" s="3">
        <v>1.405</v>
      </c>
      <c r="D3158" s="3">
        <v>1.4594</v>
      </c>
      <c r="E3158" s="3">
        <v>1.4075</v>
      </c>
      <c r="F3158" s="3">
        <v>1.4578</v>
      </c>
      <c r="G3158" s="3">
        <v>1.4063</v>
      </c>
    </row>
    <row r="3159" spans="1:7">
      <c r="A3159" s="2">
        <v>45664</v>
      </c>
      <c r="B3159" s="3">
        <v>1.482</v>
      </c>
      <c r="C3159" s="3">
        <v>1.4487</v>
      </c>
      <c r="D3159" s="3">
        <v>1.4856</v>
      </c>
      <c r="E3159" s="3">
        <v>1.451</v>
      </c>
      <c r="F3159" s="3">
        <v>1.4838</v>
      </c>
      <c r="G3159" s="3">
        <v>1.4498</v>
      </c>
    </row>
    <row r="3160" spans="1:7">
      <c r="A3160" s="2">
        <v>45665</v>
      </c>
      <c r="B3160" s="3">
        <v>1.485</v>
      </c>
      <c r="C3160" s="3">
        <v>1.4488</v>
      </c>
      <c r="D3160" s="3">
        <v>1.49</v>
      </c>
      <c r="E3160" s="3">
        <v>1.4525</v>
      </c>
      <c r="F3160" s="3">
        <v>1.4875</v>
      </c>
      <c r="G3160" s="3">
        <v>1.4507</v>
      </c>
    </row>
    <row r="3161" spans="1:7">
      <c r="A3161" s="2">
        <v>45666</v>
      </c>
      <c r="B3161" s="3">
        <v>1.5209</v>
      </c>
      <c r="C3161" s="3">
        <v>1.485</v>
      </c>
      <c r="D3161" s="3">
        <v>1.5243</v>
      </c>
      <c r="E3161" s="3">
        <v>1.4875</v>
      </c>
      <c r="F3161" s="3">
        <v>1.5226</v>
      </c>
      <c r="G3161" s="3">
        <v>1.4863</v>
      </c>
    </row>
    <row r="3162" spans="1:7">
      <c r="A3162" s="2">
        <v>45667</v>
      </c>
      <c r="B3162" s="3">
        <v>1.525</v>
      </c>
      <c r="C3162" s="3">
        <v>1.4713</v>
      </c>
      <c r="D3162" s="3">
        <v>1.528</v>
      </c>
      <c r="E3162" s="3">
        <v>1.4756</v>
      </c>
      <c r="F3162" s="3">
        <v>1.5265</v>
      </c>
      <c r="G3162" s="3">
        <v>1.4734</v>
      </c>
    </row>
    <row r="3163" spans="1:7">
      <c r="A3163" s="2">
        <v>45670</v>
      </c>
      <c r="B3163" s="3">
        <v>1.5959</v>
      </c>
      <c r="C3163" s="3">
        <v>1.5125</v>
      </c>
      <c r="D3163" s="3">
        <v>1.6</v>
      </c>
      <c r="E3163" s="3">
        <v>1.515</v>
      </c>
      <c r="F3163" s="3">
        <v>1.5979</v>
      </c>
      <c r="G3163" s="3">
        <v>1.5138</v>
      </c>
    </row>
    <row r="3164" spans="1:7">
      <c r="A3164" s="2">
        <v>45671</v>
      </c>
      <c r="B3164" s="3">
        <v>1.5525</v>
      </c>
      <c r="C3164" s="3">
        <v>1.4684</v>
      </c>
      <c r="D3164" s="3">
        <v>1.5557</v>
      </c>
      <c r="E3164" s="3">
        <v>1.4707</v>
      </c>
      <c r="F3164" s="3">
        <v>1.5541</v>
      </c>
      <c r="G3164" s="3">
        <v>1.4696</v>
      </c>
    </row>
    <row r="3165" spans="1:7">
      <c r="A3165" s="2">
        <v>45672</v>
      </c>
      <c r="B3165" s="3">
        <v>1.5825</v>
      </c>
      <c r="C3165" s="3">
        <v>1.4838</v>
      </c>
      <c r="D3165" s="3">
        <v>1.585</v>
      </c>
      <c r="E3165" s="3">
        <v>1.485</v>
      </c>
      <c r="F3165" s="3">
        <v>1.5838</v>
      </c>
      <c r="G3165" s="3">
        <v>1.4844</v>
      </c>
    </row>
    <row r="3166" spans="1:7">
      <c r="A3166" s="2">
        <v>45673</v>
      </c>
      <c r="B3166" s="3">
        <v>1.6071</v>
      </c>
      <c r="C3166" s="3">
        <v>1.4986</v>
      </c>
      <c r="D3166" s="3">
        <v>1.6096</v>
      </c>
      <c r="E3166" s="3">
        <v>1.5001</v>
      </c>
      <c r="F3166" s="3">
        <v>1.6084</v>
      </c>
      <c r="G3166" s="3">
        <v>1.4994</v>
      </c>
    </row>
    <row r="3167" spans="1:7">
      <c r="A3167" s="2">
        <v>45674</v>
      </c>
      <c r="B3167" s="3">
        <v>1.59</v>
      </c>
      <c r="C3167" s="3">
        <v>1.5093</v>
      </c>
      <c r="D3167" s="3">
        <v>1.591</v>
      </c>
      <c r="E3167" s="3">
        <v>1.5125</v>
      </c>
      <c r="F3167" s="3">
        <v>1.5905</v>
      </c>
      <c r="G3167" s="3">
        <v>1.5109</v>
      </c>
    </row>
    <row r="3168" spans="1:7">
      <c r="A3168" s="2">
        <v>45677</v>
      </c>
      <c r="B3168" s="3">
        <v>1.6225</v>
      </c>
      <c r="C3168" s="3">
        <v>1.5228</v>
      </c>
      <c r="D3168" s="3">
        <v>1.625</v>
      </c>
      <c r="E3168" s="3">
        <v>1.5256</v>
      </c>
      <c r="F3168" s="3">
        <v>1.6238</v>
      </c>
      <c r="G3168" s="3">
        <v>1.5242</v>
      </c>
    </row>
    <row r="3169" spans="1:7">
      <c r="A3169" s="2">
        <v>45678</v>
      </c>
      <c r="B3169" s="3">
        <v>1.5924</v>
      </c>
      <c r="C3169" s="3">
        <v>1.4857</v>
      </c>
      <c r="D3169" s="3">
        <v>1.5933</v>
      </c>
      <c r="E3169" s="3">
        <v>1.4903</v>
      </c>
      <c r="F3169" s="3">
        <v>1.5928</v>
      </c>
      <c r="G3169" s="3">
        <v>1.488</v>
      </c>
    </row>
    <row r="3170" spans="1:7">
      <c r="A3170" s="2">
        <v>45679</v>
      </c>
      <c r="B3170" s="3">
        <v>1.5966</v>
      </c>
      <c r="C3170" s="3">
        <v>1.4903</v>
      </c>
      <c r="D3170" s="3">
        <v>1.5991</v>
      </c>
      <c r="E3170" s="3">
        <v>1.4931</v>
      </c>
      <c r="F3170" s="3">
        <v>1.5979</v>
      </c>
      <c r="G3170" s="3">
        <v>1.4917</v>
      </c>
    </row>
    <row r="3171" spans="1:7">
      <c r="A3171" s="2">
        <v>45680</v>
      </c>
      <c r="B3171" s="3">
        <v>1.665</v>
      </c>
      <c r="C3171" s="3">
        <v>1.53</v>
      </c>
      <c r="D3171" s="3">
        <v>1.6675</v>
      </c>
      <c r="E3171" s="3">
        <v>1.536</v>
      </c>
      <c r="F3171" s="3">
        <v>1.6663</v>
      </c>
      <c r="G3171" s="3">
        <v>1.533</v>
      </c>
    </row>
    <row r="3172" spans="1:7">
      <c r="A3172" s="2">
        <v>45681</v>
      </c>
      <c r="B3172" s="3">
        <v>1.6625</v>
      </c>
      <c r="C3172" s="3">
        <v>1.5181</v>
      </c>
      <c r="D3172" s="3">
        <v>1.665</v>
      </c>
      <c r="E3172" s="3">
        <v>1.5225</v>
      </c>
      <c r="F3172" s="3">
        <v>1.6638</v>
      </c>
      <c r="G3172" s="3">
        <v>1.5203</v>
      </c>
    </row>
    <row r="3173" spans="1:7">
      <c r="A3173" s="2">
        <v>45683</v>
      </c>
      <c r="B3173" s="3">
        <v>1.645</v>
      </c>
      <c r="C3173" s="3">
        <v>1.5125</v>
      </c>
      <c r="D3173" s="3">
        <v>1.65</v>
      </c>
      <c r="E3173" s="3">
        <v>1.5206</v>
      </c>
      <c r="F3173" s="3">
        <v>1.6475</v>
      </c>
      <c r="G3173" s="3">
        <v>1.5165</v>
      </c>
    </row>
    <row r="3174" spans="1:7">
      <c r="A3174" s="2">
        <v>45684</v>
      </c>
      <c r="B3174" s="3">
        <v>1.63</v>
      </c>
      <c r="C3174" s="3">
        <v>1.49</v>
      </c>
      <c r="D3174" s="3">
        <v>1.6347</v>
      </c>
      <c r="E3174" s="3">
        <v>1.4947</v>
      </c>
      <c r="F3174" s="3">
        <v>1.6323</v>
      </c>
      <c r="G3174" s="3">
        <v>1.4923</v>
      </c>
    </row>
    <row r="3175" spans="1:7">
      <c r="A3175" s="2">
        <v>45693</v>
      </c>
      <c r="B3175" s="3">
        <v>1.6379</v>
      </c>
      <c r="C3175" s="3">
        <v>1.485</v>
      </c>
      <c r="D3175" s="3">
        <v>1.6403</v>
      </c>
      <c r="E3175" s="3">
        <v>1.4875</v>
      </c>
      <c r="F3175" s="3">
        <v>1.6391</v>
      </c>
      <c r="G3175" s="3">
        <v>1.4863</v>
      </c>
    </row>
    <row r="3176" spans="1:7">
      <c r="A3176" s="2">
        <v>45694</v>
      </c>
      <c r="B3176" s="3">
        <v>1.5734</v>
      </c>
      <c r="C3176" s="3">
        <v>1.4606</v>
      </c>
      <c r="D3176" s="3">
        <v>1.5755</v>
      </c>
      <c r="E3176" s="3">
        <v>1.4631</v>
      </c>
      <c r="F3176" s="3">
        <v>1.5744</v>
      </c>
      <c r="G3176" s="3">
        <v>1.4619</v>
      </c>
    </row>
    <row r="3177" spans="1:7">
      <c r="A3177" s="2">
        <v>45695</v>
      </c>
      <c r="B3177" s="3">
        <v>1.5819</v>
      </c>
      <c r="C3177" s="3">
        <v>1.4814</v>
      </c>
      <c r="D3177" s="3">
        <v>1.5845</v>
      </c>
      <c r="E3177" s="3">
        <v>1.4839</v>
      </c>
      <c r="F3177" s="3">
        <v>1.5832</v>
      </c>
      <c r="G3177" s="3">
        <v>1.4827</v>
      </c>
    </row>
    <row r="3178" spans="1:7">
      <c r="A3178" s="2">
        <v>45696</v>
      </c>
      <c r="B3178" s="3">
        <v>1.595</v>
      </c>
      <c r="C3178" s="3">
        <v>1.5025</v>
      </c>
      <c r="D3178" s="3">
        <v>1.5975</v>
      </c>
      <c r="E3178" s="3">
        <v>1.5075</v>
      </c>
      <c r="F3178" s="3">
        <v>1.5963</v>
      </c>
      <c r="G3178" s="3">
        <v>1.505</v>
      </c>
    </row>
    <row r="3179" spans="1:7">
      <c r="A3179" s="2">
        <v>45698</v>
      </c>
      <c r="B3179" s="3">
        <v>1.6391</v>
      </c>
      <c r="C3179" s="3">
        <v>1.5365</v>
      </c>
      <c r="D3179" s="3">
        <v>1.6455</v>
      </c>
      <c r="E3179" s="3">
        <v>1.5403</v>
      </c>
      <c r="F3179" s="3">
        <v>1.6423</v>
      </c>
      <c r="G3179" s="3">
        <v>1.5384</v>
      </c>
    </row>
    <row r="3180" spans="1:7">
      <c r="A3180" s="2">
        <v>45699</v>
      </c>
      <c r="B3180" s="3">
        <v>1.6475</v>
      </c>
      <c r="C3180" s="3">
        <v>1.5229</v>
      </c>
      <c r="D3180" s="3">
        <v>1.65</v>
      </c>
      <c r="E3180" s="3">
        <v>1.5257</v>
      </c>
      <c r="F3180" s="3">
        <v>1.6488</v>
      </c>
      <c r="G3180" s="3">
        <v>1.5243</v>
      </c>
    </row>
    <row r="3181" spans="1:7">
      <c r="A3181" s="2">
        <v>45700</v>
      </c>
      <c r="B3181" s="3">
        <v>1.6525</v>
      </c>
      <c r="C3181" s="3">
        <v>1.5417</v>
      </c>
      <c r="D3181" s="3">
        <v>1.6575</v>
      </c>
      <c r="E3181" s="3">
        <v>1.545</v>
      </c>
      <c r="F3181" s="3">
        <v>1.655</v>
      </c>
      <c r="G3181" s="3">
        <v>1.5433</v>
      </c>
    </row>
    <row r="3182" spans="1:7">
      <c r="A3182" s="2">
        <v>45701</v>
      </c>
      <c r="B3182" s="3">
        <v>1.66</v>
      </c>
      <c r="C3182" s="3">
        <v>1.54</v>
      </c>
      <c r="D3182" s="3">
        <v>1.6625</v>
      </c>
      <c r="E3182" s="3">
        <v>1.5429</v>
      </c>
      <c r="F3182" s="3">
        <v>1.6613</v>
      </c>
      <c r="G3182" s="3">
        <v>1.5415</v>
      </c>
    </row>
    <row r="3183" spans="1:7">
      <c r="A3183" s="2">
        <v>45702</v>
      </c>
      <c r="B3183" s="3">
        <v>1.7</v>
      </c>
      <c r="C3183" s="3">
        <v>1.585</v>
      </c>
      <c r="D3183" s="3">
        <v>1.705</v>
      </c>
      <c r="E3183" s="3">
        <v>1.5897</v>
      </c>
      <c r="F3183" s="3">
        <v>1.7025</v>
      </c>
      <c r="G3183" s="3">
        <v>1.5873</v>
      </c>
    </row>
    <row r="3184" spans="1:7">
      <c r="A3184" s="2">
        <v>45705</v>
      </c>
      <c r="B3184" s="3">
        <v>1.7239</v>
      </c>
      <c r="C3184" s="3">
        <v>1.6206</v>
      </c>
      <c r="D3184" s="3">
        <v>1.7264</v>
      </c>
      <c r="E3184" s="3">
        <v>1.6231</v>
      </c>
      <c r="F3184" s="3">
        <v>1.7252</v>
      </c>
      <c r="G3184" s="3">
        <v>1.6218</v>
      </c>
    </row>
    <row r="3185" spans="1:7">
      <c r="A3185" s="2">
        <v>45706</v>
      </c>
      <c r="B3185" s="3">
        <v>1.7539</v>
      </c>
      <c r="C3185" s="3">
        <v>1.64</v>
      </c>
      <c r="D3185" s="3">
        <v>1.7564</v>
      </c>
      <c r="E3185" s="3">
        <v>1.6425</v>
      </c>
      <c r="F3185" s="3">
        <v>1.7552</v>
      </c>
      <c r="G3185" s="3">
        <v>1.6413</v>
      </c>
    </row>
    <row r="3186" spans="1:7">
      <c r="A3186" s="2">
        <v>45707</v>
      </c>
      <c r="B3186" s="3">
        <v>1.7329</v>
      </c>
      <c r="C3186" s="3">
        <v>1.6014</v>
      </c>
      <c r="D3186" s="3">
        <v>1.7352</v>
      </c>
      <c r="E3186" s="3">
        <v>1.6044</v>
      </c>
      <c r="F3186" s="3">
        <v>1.7341</v>
      </c>
      <c r="G3186" s="3">
        <v>1.6029</v>
      </c>
    </row>
    <row r="3187" spans="1:7">
      <c r="A3187" s="2">
        <v>45708</v>
      </c>
      <c r="B3187" s="3">
        <v>1.7824</v>
      </c>
      <c r="C3187" s="3">
        <v>1.6568</v>
      </c>
      <c r="D3187" s="3">
        <v>1.785</v>
      </c>
      <c r="E3187" s="3">
        <v>1.66</v>
      </c>
      <c r="F3187" s="3">
        <v>1.7837</v>
      </c>
      <c r="G3187" s="3">
        <v>1.6584</v>
      </c>
    </row>
    <row r="3188" spans="1:7">
      <c r="A3188" s="2">
        <v>45709</v>
      </c>
      <c r="B3188" s="3">
        <v>1.7725</v>
      </c>
      <c r="C3188" s="3">
        <v>1.6676</v>
      </c>
      <c r="D3188" s="3">
        <v>1.775</v>
      </c>
      <c r="E3188" s="3">
        <v>1.6699</v>
      </c>
      <c r="F3188" s="3">
        <v>1.7738</v>
      </c>
      <c r="G3188" s="3">
        <v>1.6688</v>
      </c>
    </row>
    <row r="3189" spans="1:7">
      <c r="A3189" s="2">
        <v>45712</v>
      </c>
      <c r="B3189" s="3">
        <v>1.7797</v>
      </c>
      <c r="C3189" s="3">
        <v>1.6975</v>
      </c>
      <c r="D3189" s="3">
        <v>1.7823</v>
      </c>
      <c r="E3189" s="3">
        <v>1.7</v>
      </c>
      <c r="F3189" s="3">
        <v>1.781</v>
      </c>
      <c r="G3189" s="3">
        <v>1.6988</v>
      </c>
    </row>
    <row r="3190" spans="1:7">
      <c r="A3190" s="2">
        <v>45713</v>
      </c>
      <c r="B3190" s="3">
        <v>1.7608</v>
      </c>
      <c r="C3190" s="3">
        <v>1.6458</v>
      </c>
      <c r="D3190" s="3">
        <v>1.7655</v>
      </c>
      <c r="E3190" s="3">
        <v>1.6495</v>
      </c>
      <c r="F3190" s="3">
        <v>1.7632</v>
      </c>
      <c r="G3190" s="3">
        <v>1.6476</v>
      </c>
    </row>
    <row r="3191" spans="1:7">
      <c r="A3191" s="2">
        <v>45714</v>
      </c>
      <c r="B3191" s="3">
        <v>1.77</v>
      </c>
      <c r="C3191" s="3">
        <v>1.6463</v>
      </c>
      <c r="D3191" s="3">
        <v>1.7725</v>
      </c>
      <c r="E3191" s="3">
        <v>1.6475</v>
      </c>
      <c r="F3191" s="3">
        <v>1.7713</v>
      </c>
      <c r="G3191" s="3">
        <v>1.6469</v>
      </c>
    </row>
    <row r="3192" spans="1:7">
      <c r="A3192" s="2">
        <v>45715</v>
      </c>
      <c r="B3192" s="3">
        <v>1.7997</v>
      </c>
      <c r="C3192" s="3">
        <v>1.6636</v>
      </c>
      <c r="D3192" s="3">
        <v>1.8014</v>
      </c>
      <c r="E3192" s="3">
        <v>1.6664</v>
      </c>
      <c r="F3192" s="3">
        <v>1.8005</v>
      </c>
      <c r="G3192" s="3">
        <v>1.665</v>
      </c>
    </row>
    <row r="3193" spans="1:7">
      <c r="A3193" s="2">
        <v>45716</v>
      </c>
      <c r="B3193" s="3">
        <v>1.7754</v>
      </c>
      <c r="C3193" s="3">
        <v>1.645</v>
      </c>
      <c r="D3193" s="3">
        <v>1.7771</v>
      </c>
      <c r="E3193" s="3">
        <v>1.6475</v>
      </c>
      <c r="F3193" s="3">
        <v>1.7763</v>
      </c>
      <c r="G3193" s="3">
        <v>1.6463</v>
      </c>
    </row>
    <row r="3194" spans="1:7">
      <c r="A3194" s="2">
        <v>45719</v>
      </c>
      <c r="B3194" s="3">
        <v>1.735</v>
      </c>
      <c r="C3194" s="3">
        <v>1.6125</v>
      </c>
      <c r="D3194" s="3">
        <v>1.74</v>
      </c>
      <c r="E3194" s="3">
        <v>1.615</v>
      </c>
      <c r="F3194" s="3">
        <v>1.7375</v>
      </c>
      <c r="G3194" s="3">
        <v>1.6138</v>
      </c>
    </row>
    <row r="3195" spans="1:7">
      <c r="A3195" s="2">
        <v>45720</v>
      </c>
      <c r="B3195" s="3">
        <v>1.74</v>
      </c>
      <c r="C3195" s="3">
        <v>1.61</v>
      </c>
      <c r="D3195" s="3">
        <v>1.7429</v>
      </c>
      <c r="E3195" s="3">
        <v>1.615</v>
      </c>
      <c r="F3195" s="3">
        <v>1.7415</v>
      </c>
      <c r="G3195" s="3">
        <v>1.6125</v>
      </c>
    </row>
    <row r="3196" spans="1:7">
      <c r="A3196" s="2">
        <v>45721</v>
      </c>
      <c r="B3196" s="3">
        <v>1.725</v>
      </c>
      <c r="C3196" s="3">
        <v>1.5969</v>
      </c>
      <c r="D3196" s="3">
        <v>1.7285</v>
      </c>
      <c r="E3196" s="3">
        <v>1.599</v>
      </c>
      <c r="F3196" s="3">
        <v>1.7268</v>
      </c>
      <c r="G3196" s="3">
        <v>1.5979</v>
      </c>
    </row>
    <row r="3197" spans="1:7">
      <c r="A3197" s="2">
        <v>45722</v>
      </c>
      <c r="B3197" s="3">
        <v>1.755</v>
      </c>
      <c r="C3197" s="3">
        <v>1.64</v>
      </c>
      <c r="D3197" s="3">
        <v>1.7589</v>
      </c>
      <c r="E3197" s="3">
        <v>1.6426</v>
      </c>
      <c r="F3197" s="3">
        <v>1.7569</v>
      </c>
      <c r="G3197" s="3">
        <v>1.6413</v>
      </c>
    </row>
    <row r="3198" spans="1:7">
      <c r="A3198" s="2">
        <v>45723</v>
      </c>
      <c r="B3198" s="3">
        <v>1.7875</v>
      </c>
      <c r="C3198" s="3">
        <v>1.6957</v>
      </c>
      <c r="D3198" s="3">
        <v>1.791</v>
      </c>
      <c r="E3198" s="3">
        <v>1.6983</v>
      </c>
      <c r="F3198" s="3">
        <v>1.7893</v>
      </c>
      <c r="G3198" s="3">
        <v>1.697</v>
      </c>
    </row>
    <row r="3199" spans="1:7">
      <c r="A3199" s="2">
        <v>45726</v>
      </c>
      <c r="B3199" s="3">
        <v>1.7725</v>
      </c>
      <c r="C3199" s="3">
        <v>1.6998</v>
      </c>
      <c r="D3199" s="3">
        <v>1.775</v>
      </c>
      <c r="E3199" s="3">
        <v>1.7019</v>
      </c>
      <c r="F3199" s="3">
        <v>1.7738</v>
      </c>
      <c r="G3199" s="3">
        <v>1.7009</v>
      </c>
    </row>
    <row r="3200" spans="1:7">
      <c r="A3200" s="2">
        <v>45727</v>
      </c>
      <c r="B3200" s="3">
        <v>1.7875</v>
      </c>
      <c r="C3200" s="3">
        <v>1.7359</v>
      </c>
      <c r="D3200" s="3">
        <v>1.7925</v>
      </c>
      <c r="E3200" s="3">
        <v>1.738</v>
      </c>
      <c r="F3200" s="3">
        <v>1.79</v>
      </c>
      <c r="G3200" s="3">
        <v>1.7369</v>
      </c>
    </row>
    <row r="3201" spans="1:7">
      <c r="A3201" s="2">
        <v>45728</v>
      </c>
      <c r="B3201" s="3">
        <v>1.7292</v>
      </c>
      <c r="C3201" s="3">
        <v>1.6746</v>
      </c>
      <c r="D3201" s="3">
        <v>1.7325</v>
      </c>
      <c r="E3201" s="3">
        <v>1.6769</v>
      </c>
      <c r="F3201" s="3">
        <v>1.7308</v>
      </c>
      <c r="G3201" s="3">
        <v>1.6757</v>
      </c>
    </row>
    <row r="3202" spans="1:7">
      <c r="A3202" s="2">
        <v>45729</v>
      </c>
      <c r="B3202" s="3">
        <v>1.735</v>
      </c>
      <c r="C3202" s="3">
        <v>1.6646</v>
      </c>
      <c r="D3202" s="3">
        <v>1.7375</v>
      </c>
      <c r="E3202" s="3">
        <v>1.6687</v>
      </c>
      <c r="F3202" s="3">
        <v>1.7363</v>
      </c>
      <c r="G3202" s="3">
        <v>1.6666</v>
      </c>
    </row>
    <row r="3203" spans="1:7">
      <c r="A3203" s="2">
        <v>45730</v>
      </c>
      <c r="B3203" s="3">
        <v>1.7075</v>
      </c>
      <c r="C3203" s="3">
        <v>1.652</v>
      </c>
      <c r="D3203" s="3">
        <v>1.7103</v>
      </c>
      <c r="E3203" s="3">
        <v>1.6561</v>
      </c>
      <c r="F3203" s="3">
        <v>1.7089</v>
      </c>
      <c r="G3203" s="3">
        <v>1.654</v>
      </c>
    </row>
    <row r="3204" spans="1:7">
      <c r="A3204" s="2">
        <v>45733</v>
      </c>
      <c r="B3204" s="3">
        <v>1.7406</v>
      </c>
      <c r="C3204" s="3">
        <v>1.6998</v>
      </c>
      <c r="D3204" s="3">
        <v>1.7419</v>
      </c>
      <c r="E3204" s="3">
        <v>1.7021</v>
      </c>
      <c r="F3204" s="3">
        <v>1.7413</v>
      </c>
      <c r="G3204" s="3">
        <v>1.7009</v>
      </c>
    </row>
    <row r="3205" spans="1:7">
      <c r="A3205" s="2">
        <v>45734</v>
      </c>
      <c r="B3205" s="3">
        <v>1.7375</v>
      </c>
      <c r="C3205" s="3">
        <v>1.675</v>
      </c>
      <c r="D3205" s="3">
        <v>1.7404</v>
      </c>
      <c r="E3205" s="3">
        <v>1.678</v>
      </c>
      <c r="F3205" s="3">
        <v>1.739</v>
      </c>
      <c r="G3205" s="3">
        <v>1.6765</v>
      </c>
    </row>
    <row r="3206" spans="1:7">
      <c r="A3206" s="2">
        <v>45735</v>
      </c>
      <c r="B3206" s="3">
        <v>1.7425</v>
      </c>
      <c r="C3206" s="3">
        <v>1.6725</v>
      </c>
      <c r="D3206" s="3">
        <v>1.745</v>
      </c>
      <c r="E3206" s="3">
        <v>1.6752</v>
      </c>
      <c r="F3206" s="3">
        <v>1.7438</v>
      </c>
      <c r="G3206" s="3">
        <v>1.6738</v>
      </c>
    </row>
    <row r="3207" spans="1:7">
      <c r="A3207" s="2">
        <v>45736</v>
      </c>
      <c r="B3207" s="3">
        <v>1.72</v>
      </c>
      <c r="C3207" s="3">
        <v>1.6375</v>
      </c>
      <c r="D3207" s="3">
        <v>1.7225</v>
      </c>
      <c r="E3207" s="3">
        <v>1.64</v>
      </c>
      <c r="F3207" s="3">
        <v>1.7213</v>
      </c>
      <c r="G3207" s="3">
        <v>1.6388</v>
      </c>
    </row>
    <row r="3208" spans="1:7">
      <c r="A3208" s="2">
        <v>45737</v>
      </c>
      <c r="B3208" s="3">
        <v>1.7255</v>
      </c>
      <c r="C3208" s="3">
        <v>1.6529</v>
      </c>
      <c r="D3208" s="3">
        <v>1.7279</v>
      </c>
      <c r="E3208" s="3">
        <v>1.6558</v>
      </c>
      <c r="F3208" s="3">
        <v>1.7267</v>
      </c>
      <c r="G3208" s="3">
        <v>1.6544</v>
      </c>
    </row>
    <row r="3209" spans="1:7">
      <c r="A3209" s="2">
        <v>45740</v>
      </c>
      <c r="B3209" s="3">
        <v>1.7118</v>
      </c>
      <c r="C3209" s="3">
        <v>1.635</v>
      </c>
      <c r="D3209" s="3">
        <v>1.7143</v>
      </c>
      <c r="E3209" s="3">
        <v>1.6375</v>
      </c>
      <c r="F3209" s="3">
        <v>1.713</v>
      </c>
      <c r="G3209" s="3">
        <v>1.6363</v>
      </c>
    </row>
    <row r="3210" spans="1:7">
      <c r="A3210" s="2">
        <v>45741</v>
      </c>
      <c r="B3210" s="3">
        <v>1.7225</v>
      </c>
      <c r="C3210" s="3">
        <v>1.63</v>
      </c>
      <c r="D3210" s="3">
        <v>1.725</v>
      </c>
      <c r="E3210" s="3">
        <v>1.6325</v>
      </c>
      <c r="F3210" s="3">
        <v>1.7238</v>
      </c>
      <c r="G3210" s="3">
        <v>1.6313</v>
      </c>
    </row>
    <row r="3211" spans="1:7">
      <c r="A3211" s="2">
        <v>45742</v>
      </c>
      <c r="B3211" s="3">
        <v>1.695</v>
      </c>
      <c r="C3211" s="3">
        <v>1.6025</v>
      </c>
      <c r="D3211" s="3">
        <v>1.6975</v>
      </c>
      <c r="E3211" s="3">
        <v>1.605</v>
      </c>
      <c r="F3211" s="3">
        <v>1.6963</v>
      </c>
      <c r="G3211" s="3">
        <v>1.6038</v>
      </c>
    </row>
    <row r="3212" spans="1:7">
      <c r="A3212" s="2">
        <v>45743</v>
      </c>
      <c r="B3212" s="3">
        <v>1.71</v>
      </c>
      <c r="C3212" s="3">
        <v>1.6175</v>
      </c>
      <c r="D3212" s="3">
        <v>1.7125</v>
      </c>
      <c r="E3212" s="3">
        <v>1.62</v>
      </c>
      <c r="F3212" s="3">
        <v>1.7113</v>
      </c>
      <c r="G3212" s="3">
        <v>1.6188</v>
      </c>
    </row>
    <row r="3213" spans="1:7">
      <c r="A3213" s="2">
        <v>45744</v>
      </c>
      <c r="B3213" s="3">
        <v>1.705</v>
      </c>
      <c r="C3213" s="3">
        <v>1.6238</v>
      </c>
      <c r="D3213" s="3">
        <v>1.7077</v>
      </c>
      <c r="E3213" s="3">
        <v>1.6263</v>
      </c>
      <c r="F3213" s="3">
        <v>1.7063</v>
      </c>
      <c r="G3213" s="3">
        <v>1.625</v>
      </c>
    </row>
    <row r="3214" spans="1:7">
      <c r="A3214" s="2">
        <v>45747</v>
      </c>
      <c r="B3214" s="3">
        <v>1.7071</v>
      </c>
      <c r="C3214" s="3">
        <v>1.6247</v>
      </c>
      <c r="D3214" s="3">
        <v>1.7096</v>
      </c>
      <c r="E3214" s="3">
        <v>1.6255</v>
      </c>
      <c r="F3214" s="3">
        <v>1.7084</v>
      </c>
      <c r="G3214" s="3">
        <v>1.6251</v>
      </c>
    </row>
    <row r="3215" spans="1:7">
      <c r="A3215" s="2">
        <v>45748</v>
      </c>
      <c r="B3215" s="3">
        <v>1.7175</v>
      </c>
      <c r="C3215" s="3">
        <v>1.6281</v>
      </c>
      <c r="D3215" s="3">
        <v>1.72</v>
      </c>
      <c r="E3215" s="3">
        <v>1.6312</v>
      </c>
      <c r="F3215" s="3">
        <v>1.7188</v>
      </c>
      <c r="G3215" s="3">
        <v>1.6296</v>
      </c>
    </row>
    <row r="3216" spans="1:7">
      <c r="A3216" s="2">
        <v>45749</v>
      </c>
      <c r="B3216" s="3">
        <v>1.6972</v>
      </c>
      <c r="C3216" s="3">
        <v>1.6099</v>
      </c>
      <c r="D3216" s="3">
        <v>1.6998</v>
      </c>
      <c r="E3216" s="3">
        <v>1.6125</v>
      </c>
      <c r="F3216" s="3">
        <v>1.6985</v>
      </c>
      <c r="G3216" s="3">
        <v>1.6112</v>
      </c>
    </row>
    <row r="3217" spans="1:7">
      <c r="A3217" s="2">
        <v>45750</v>
      </c>
      <c r="B3217" s="3">
        <v>1.6125</v>
      </c>
      <c r="C3217" s="3">
        <v>1.53</v>
      </c>
      <c r="D3217" s="3">
        <v>1.615</v>
      </c>
      <c r="E3217" s="3">
        <v>1.5325</v>
      </c>
      <c r="F3217" s="3">
        <v>1.6138</v>
      </c>
      <c r="G3217" s="3">
        <v>1.5313</v>
      </c>
    </row>
    <row r="3218" spans="1:7">
      <c r="A3218" s="2">
        <v>45754</v>
      </c>
      <c r="B3218" s="3">
        <v>1.53</v>
      </c>
      <c r="C3218" s="3">
        <v>1.425</v>
      </c>
      <c r="D3218" s="3">
        <v>1.5325</v>
      </c>
      <c r="E3218" s="3">
        <v>1.4276</v>
      </c>
      <c r="F3218" s="3">
        <v>1.5313</v>
      </c>
      <c r="G3218" s="3">
        <v>1.4263</v>
      </c>
    </row>
    <row r="3219" spans="1:7">
      <c r="A3219" s="2">
        <v>45755</v>
      </c>
      <c r="B3219" s="3">
        <v>1.575</v>
      </c>
      <c r="C3219" s="3">
        <v>1.4766</v>
      </c>
      <c r="D3219" s="3">
        <v>1.5807</v>
      </c>
      <c r="E3219" s="3">
        <v>1.4795</v>
      </c>
      <c r="F3219" s="3">
        <v>1.5778</v>
      </c>
      <c r="G3219" s="3">
        <v>1.478</v>
      </c>
    </row>
    <row r="3220" spans="1:7">
      <c r="A3220" s="2">
        <v>45756</v>
      </c>
      <c r="B3220" s="3">
        <v>1.5238</v>
      </c>
      <c r="C3220" s="3">
        <v>1.4398</v>
      </c>
      <c r="D3220" s="3">
        <v>1.5289</v>
      </c>
      <c r="E3220" s="3">
        <v>1.4421</v>
      </c>
      <c r="F3220" s="3">
        <v>1.5263</v>
      </c>
      <c r="G3220" s="3">
        <v>1.441</v>
      </c>
    </row>
    <row r="3221" spans="1:7">
      <c r="A3221" s="2">
        <v>45757</v>
      </c>
      <c r="B3221" s="3">
        <v>1.4917</v>
      </c>
      <c r="C3221" s="3">
        <v>1.4245</v>
      </c>
      <c r="D3221" s="3">
        <v>1.495</v>
      </c>
      <c r="E3221" s="3">
        <v>1.4275</v>
      </c>
      <c r="F3221" s="3">
        <v>1.4933</v>
      </c>
      <c r="G3221" s="3">
        <v>1.426</v>
      </c>
    </row>
    <row r="3222" spans="1:7">
      <c r="A3222" s="2">
        <v>45758</v>
      </c>
      <c r="B3222" s="3">
        <v>1.4621</v>
      </c>
      <c r="C3222" s="3">
        <v>1.4152</v>
      </c>
      <c r="D3222" s="3">
        <v>1.4647</v>
      </c>
      <c r="E3222" s="3">
        <v>1.4178</v>
      </c>
      <c r="F3222" s="3">
        <v>1.4634</v>
      </c>
      <c r="G3222" s="3">
        <v>1.4165</v>
      </c>
    </row>
    <row r="3223" spans="1:7">
      <c r="A3223" s="2">
        <v>45761</v>
      </c>
      <c r="B3223" s="3">
        <v>1.4975</v>
      </c>
      <c r="C3223" s="3">
        <v>1.43</v>
      </c>
      <c r="D3223" s="3">
        <v>1.5</v>
      </c>
      <c r="E3223" s="3">
        <v>1.4325</v>
      </c>
      <c r="F3223" s="3">
        <v>1.4988</v>
      </c>
      <c r="G3223" s="3">
        <v>1.4313</v>
      </c>
    </row>
    <row r="3224" spans="1:7">
      <c r="A3224" s="2">
        <v>45762</v>
      </c>
      <c r="B3224" s="3">
        <v>1.5275</v>
      </c>
      <c r="C3224" s="3">
        <v>1.445</v>
      </c>
      <c r="D3224" s="3">
        <v>1.53</v>
      </c>
      <c r="E3224" s="3">
        <v>1.4475</v>
      </c>
      <c r="F3224" s="3">
        <v>1.5288</v>
      </c>
      <c r="G3224" s="3">
        <v>1.4463</v>
      </c>
    </row>
    <row r="3225" spans="1:7">
      <c r="A3225" s="2">
        <v>45763</v>
      </c>
      <c r="B3225" s="3">
        <v>1.515</v>
      </c>
      <c r="C3225" s="3">
        <v>1.4375</v>
      </c>
      <c r="D3225" s="3">
        <v>1.5175</v>
      </c>
      <c r="E3225" s="3">
        <v>1.44</v>
      </c>
      <c r="F3225" s="3">
        <v>1.5163</v>
      </c>
      <c r="G3225" s="3">
        <v>1.4388</v>
      </c>
    </row>
    <row r="3226" spans="1:7">
      <c r="A3226" s="2">
        <v>45764</v>
      </c>
      <c r="B3226" s="3">
        <v>1.53</v>
      </c>
      <c r="C3226" s="3">
        <v>1.47</v>
      </c>
      <c r="D3226" s="3">
        <v>1.535</v>
      </c>
      <c r="E3226" s="3">
        <v>1.4725</v>
      </c>
      <c r="F3226" s="3">
        <v>1.5325</v>
      </c>
      <c r="G3226" s="3">
        <v>1.4713</v>
      </c>
    </row>
    <row r="3227" spans="1:7">
      <c r="A3227" s="2">
        <v>45765</v>
      </c>
      <c r="B3227" s="3">
        <v>1.5266</v>
      </c>
      <c r="C3227" s="3">
        <v>1.4625</v>
      </c>
      <c r="D3227" s="3">
        <v>1.5291</v>
      </c>
      <c r="E3227" s="3">
        <v>1.4651</v>
      </c>
      <c r="F3227" s="3">
        <v>1.5279</v>
      </c>
      <c r="G3227" s="3">
        <v>1.4638</v>
      </c>
    </row>
    <row r="3228" spans="1:7">
      <c r="A3228" s="2">
        <v>45768</v>
      </c>
      <c r="B3228" s="3">
        <v>1.54</v>
      </c>
      <c r="C3228" s="3">
        <v>1.4775</v>
      </c>
      <c r="D3228" s="3">
        <v>1.5425</v>
      </c>
      <c r="E3228" s="3">
        <v>1.48</v>
      </c>
      <c r="F3228" s="3">
        <v>1.5413</v>
      </c>
      <c r="G3228" s="3">
        <v>1.4788</v>
      </c>
    </row>
    <row r="3229" spans="1:7">
      <c r="A3229" s="2">
        <v>45769</v>
      </c>
      <c r="B3229" s="3">
        <v>1.525</v>
      </c>
      <c r="C3229" s="3">
        <v>1.45</v>
      </c>
      <c r="D3229" s="3">
        <v>1.5275</v>
      </c>
      <c r="E3229" s="3">
        <v>1.455</v>
      </c>
      <c r="F3229" s="3">
        <v>1.5263</v>
      </c>
      <c r="G3229" s="3">
        <v>1.4525</v>
      </c>
    </row>
    <row r="3230" spans="1:7">
      <c r="A3230" s="2">
        <v>45770</v>
      </c>
      <c r="B3230" s="3">
        <v>1.5305</v>
      </c>
      <c r="C3230" s="3">
        <v>1.4702</v>
      </c>
      <c r="D3230" s="3">
        <v>1.533</v>
      </c>
      <c r="E3230" s="3">
        <v>1.4727</v>
      </c>
      <c r="F3230" s="3">
        <v>1.5318</v>
      </c>
      <c r="G3230" s="3">
        <v>1.4714</v>
      </c>
    </row>
    <row r="3231" spans="1:7">
      <c r="A3231" s="2">
        <v>45771</v>
      </c>
      <c r="B3231" s="3">
        <v>1.535</v>
      </c>
      <c r="C3231" s="3">
        <v>1.475</v>
      </c>
      <c r="D3231" s="3">
        <v>1.5375</v>
      </c>
      <c r="E3231" s="3">
        <v>1.4775</v>
      </c>
      <c r="F3231" s="3">
        <v>1.5363</v>
      </c>
      <c r="G3231" s="3">
        <v>1.4763</v>
      </c>
    </row>
    <row r="3232" spans="1:7">
      <c r="A3232" s="2">
        <v>45772</v>
      </c>
      <c r="B3232" s="3">
        <v>1.515</v>
      </c>
      <c r="C3232" s="3">
        <v>1.46</v>
      </c>
      <c r="D3232" s="3">
        <v>1.5175</v>
      </c>
      <c r="E3232" s="3">
        <v>1.4625</v>
      </c>
      <c r="F3232" s="3">
        <v>1.5163</v>
      </c>
      <c r="G3232" s="3">
        <v>1.4613</v>
      </c>
    </row>
    <row r="3233" spans="1:7">
      <c r="A3233" s="2">
        <v>45774</v>
      </c>
      <c r="B3233" s="3">
        <v>1.5125</v>
      </c>
      <c r="C3233" s="3">
        <v>1.4525</v>
      </c>
      <c r="D3233" s="3">
        <v>1.52</v>
      </c>
      <c r="E3233" s="3">
        <v>1.4675</v>
      </c>
      <c r="F3233" s="3">
        <v>1.5163</v>
      </c>
      <c r="G3233" s="3">
        <v>1.46</v>
      </c>
    </row>
    <row r="3234" spans="1:7">
      <c r="A3234" s="2">
        <v>45775</v>
      </c>
      <c r="B3234" s="3">
        <v>1.515</v>
      </c>
      <c r="C3234" s="3">
        <v>1.4502</v>
      </c>
      <c r="D3234" s="3">
        <v>1.5175</v>
      </c>
      <c r="E3234" s="3">
        <v>1.4527</v>
      </c>
      <c r="F3234" s="3">
        <v>1.5163</v>
      </c>
      <c r="G3234" s="3">
        <v>1.4514</v>
      </c>
    </row>
    <row r="3235" spans="1:7">
      <c r="A3235" s="2">
        <v>45776</v>
      </c>
      <c r="B3235" s="3">
        <v>1.52</v>
      </c>
      <c r="C3235" s="3">
        <v>1.43</v>
      </c>
      <c r="D3235" s="3">
        <v>1.5225</v>
      </c>
      <c r="E3235" s="3">
        <v>1.4339</v>
      </c>
      <c r="F3235" s="3">
        <v>1.5213</v>
      </c>
      <c r="G3235" s="3">
        <v>1.4319</v>
      </c>
    </row>
    <row r="3236" spans="1:7">
      <c r="A3236" s="2">
        <v>45777</v>
      </c>
      <c r="B3236" s="3">
        <v>1.52</v>
      </c>
      <c r="C3236" s="3">
        <v>1.435</v>
      </c>
      <c r="D3236" s="3">
        <v>1.5225</v>
      </c>
      <c r="E3236" s="3">
        <v>1.4365</v>
      </c>
      <c r="F3236" s="3">
        <v>1.5213</v>
      </c>
      <c r="G3236" s="3">
        <v>1.4357</v>
      </c>
    </row>
    <row r="3237" spans="1:7">
      <c r="A3237" s="2">
        <v>45783</v>
      </c>
      <c r="B3237" s="3">
        <v>1.5297</v>
      </c>
      <c r="C3237" s="3">
        <v>1.445</v>
      </c>
      <c r="D3237" s="3">
        <v>1.5323</v>
      </c>
      <c r="E3237" s="3">
        <v>1.4475</v>
      </c>
      <c r="F3237" s="3">
        <v>1.531</v>
      </c>
      <c r="G3237" s="3">
        <v>1.4463</v>
      </c>
    </row>
    <row r="3238" spans="1:7">
      <c r="A3238" s="2">
        <v>45784</v>
      </c>
      <c r="B3238" s="3">
        <v>1.5225</v>
      </c>
      <c r="C3238" s="3">
        <v>1.455</v>
      </c>
      <c r="D3238" s="3">
        <v>1.525</v>
      </c>
      <c r="E3238" s="3">
        <v>1.4575</v>
      </c>
      <c r="F3238" s="3">
        <v>1.5238</v>
      </c>
      <c r="G3238" s="3">
        <v>1.4563</v>
      </c>
    </row>
    <row r="3239" spans="1:7">
      <c r="A3239" s="2">
        <v>45785</v>
      </c>
      <c r="B3239" s="3">
        <v>1.49</v>
      </c>
      <c r="C3239" s="3">
        <v>1.43</v>
      </c>
      <c r="D3239" s="3">
        <v>1.4925</v>
      </c>
      <c r="E3239" s="3">
        <v>1.4325</v>
      </c>
      <c r="F3239" s="3">
        <v>1.4913</v>
      </c>
      <c r="G3239" s="3">
        <v>1.4313</v>
      </c>
    </row>
    <row r="3240" spans="1:7">
      <c r="A3240" s="2">
        <v>45786</v>
      </c>
      <c r="B3240" s="3">
        <v>1.4925</v>
      </c>
      <c r="C3240" s="3">
        <v>1.4325</v>
      </c>
      <c r="D3240" s="3">
        <v>1.495</v>
      </c>
      <c r="E3240" s="3">
        <v>1.435</v>
      </c>
      <c r="F3240" s="3">
        <v>1.4938</v>
      </c>
      <c r="G3240" s="3">
        <v>1.4338</v>
      </c>
    </row>
    <row r="3241" spans="1:7">
      <c r="A3241" s="2">
        <v>45789</v>
      </c>
      <c r="B3241" s="3">
        <v>1.5034</v>
      </c>
      <c r="C3241" s="3">
        <v>1.485</v>
      </c>
      <c r="D3241" s="3">
        <v>1.5075</v>
      </c>
      <c r="E3241" s="3">
        <v>1.4875</v>
      </c>
      <c r="F3241" s="3">
        <v>1.5054</v>
      </c>
      <c r="G3241" s="3">
        <v>1.4863</v>
      </c>
    </row>
    <row r="3242" spans="1:7">
      <c r="A3242" s="2">
        <v>45790</v>
      </c>
      <c r="B3242" s="3">
        <v>1.5009</v>
      </c>
      <c r="C3242" s="3">
        <v>1.47</v>
      </c>
      <c r="D3242" s="3">
        <v>1.5034</v>
      </c>
      <c r="E3242" s="3">
        <v>1.4725</v>
      </c>
      <c r="F3242" s="3">
        <v>1.5021</v>
      </c>
      <c r="G3242" s="3">
        <v>1.4713</v>
      </c>
    </row>
    <row r="3243" spans="1:7">
      <c r="A3243" s="2">
        <v>45791</v>
      </c>
      <c r="B3243" s="3">
        <v>1.5247</v>
      </c>
      <c r="C3243" s="3">
        <v>1.4925</v>
      </c>
      <c r="D3243" s="3">
        <v>1.5275</v>
      </c>
      <c r="E3243" s="3">
        <v>1.4955</v>
      </c>
      <c r="F3243" s="3">
        <v>1.5261</v>
      </c>
      <c r="G3243" s="3">
        <v>1.494</v>
      </c>
    </row>
    <row r="3244" spans="1:7">
      <c r="A3244" s="2">
        <v>45792</v>
      </c>
      <c r="B3244" s="3">
        <v>1.5518</v>
      </c>
      <c r="C3244" s="3">
        <v>1.5186</v>
      </c>
      <c r="D3244" s="3">
        <v>1.555</v>
      </c>
      <c r="E3244" s="3">
        <v>1.5208</v>
      </c>
      <c r="F3244" s="3">
        <v>1.5534</v>
      </c>
      <c r="G3244" s="3">
        <v>1.5197</v>
      </c>
    </row>
    <row r="3245" spans="1:7">
      <c r="A3245" s="2">
        <v>45793</v>
      </c>
      <c r="B3245" s="3">
        <v>1.565</v>
      </c>
      <c r="C3245" s="3">
        <v>1.5175</v>
      </c>
      <c r="D3245" s="3">
        <v>1.5675</v>
      </c>
      <c r="E3245" s="3">
        <v>1.5193</v>
      </c>
      <c r="F3245" s="3">
        <v>1.5663</v>
      </c>
      <c r="G3245" s="3">
        <v>1.5184</v>
      </c>
    </row>
    <row r="3246" spans="1:7">
      <c r="A3246" s="2">
        <v>45796</v>
      </c>
      <c r="B3246" s="3">
        <v>1.555</v>
      </c>
      <c r="C3246" s="3">
        <v>1.49</v>
      </c>
      <c r="D3246" s="3">
        <v>1.56</v>
      </c>
      <c r="E3246" s="3">
        <v>1.4925</v>
      </c>
      <c r="F3246" s="3">
        <v>1.5575</v>
      </c>
      <c r="G3246" s="3">
        <v>1.4913</v>
      </c>
    </row>
    <row r="3247" spans="1:7">
      <c r="A3247" s="2">
        <v>45797</v>
      </c>
      <c r="B3247" s="3">
        <v>1.5624</v>
      </c>
      <c r="C3247" s="3">
        <v>1.5025</v>
      </c>
      <c r="D3247" s="3">
        <v>1.565</v>
      </c>
      <c r="E3247" s="3">
        <v>1.505</v>
      </c>
      <c r="F3247" s="3">
        <v>1.5637</v>
      </c>
      <c r="G3247" s="3">
        <v>1.5038</v>
      </c>
    </row>
    <row r="3248" spans="1:7">
      <c r="A3248" s="2">
        <v>45798</v>
      </c>
      <c r="B3248" s="3">
        <v>1.5563</v>
      </c>
      <c r="C3248" s="3">
        <v>1.505</v>
      </c>
      <c r="D3248" s="3">
        <v>1.5601</v>
      </c>
      <c r="E3248" s="3">
        <v>1.5075</v>
      </c>
      <c r="F3248" s="3">
        <v>1.5582</v>
      </c>
      <c r="G3248" s="3">
        <v>1.5063</v>
      </c>
    </row>
    <row r="3249" spans="1:7">
      <c r="A3249" s="2">
        <v>45799</v>
      </c>
      <c r="B3249" s="3">
        <v>1.55</v>
      </c>
      <c r="C3249" s="3">
        <v>1.5</v>
      </c>
      <c r="D3249" s="3">
        <v>1.5525</v>
      </c>
      <c r="E3249" s="3">
        <v>1.5025</v>
      </c>
      <c r="F3249" s="3">
        <v>1.5513</v>
      </c>
      <c r="G3249" s="3">
        <v>1.5013</v>
      </c>
    </row>
    <row r="3250" spans="1:7">
      <c r="A3250" s="2">
        <v>45800</v>
      </c>
      <c r="B3250" s="3">
        <v>1.555</v>
      </c>
      <c r="C3250" s="3">
        <v>1.5025</v>
      </c>
      <c r="D3250" s="3">
        <v>1.5575</v>
      </c>
      <c r="E3250" s="3">
        <v>1.505</v>
      </c>
      <c r="F3250" s="3">
        <v>1.5563</v>
      </c>
      <c r="G3250" s="3">
        <v>1.5038</v>
      </c>
    </row>
    <row r="3251" spans="1:7">
      <c r="A3251" s="2">
        <v>45803</v>
      </c>
      <c r="B3251" s="3">
        <v>1.555</v>
      </c>
      <c r="C3251" s="3">
        <v>1.497</v>
      </c>
      <c r="D3251" s="3">
        <v>1.5568</v>
      </c>
      <c r="E3251" s="3">
        <v>1.5</v>
      </c>
      <c r="F3251" s="3">
        <v>1.5559</v>
      </c>
      <c r="G3251" s="3">
        <v>1.4985</v>
      </c>
    </row>
    <row r="3252" spans="1:7">
      <c r="A3252" s="2">
        <v>45804</v>
      </c>
      <c r="B3252" s="3">
        <v>1.56</v>
      </c>
      <c r="C3252" s="3">
        <v>1.5075</v>
      </c>
      <c r="D3252" s="3">
        <v>1.5625</v>
      </c>
      <c r="E3252" s="3">
        <v>1.51</v>
      </c>
      <c r="F3252" s="3">
        <v>1.5613</v>
      </c>
      <c r="G3252" s="3">
        <v>1.5088</v>
      </c>
    </row>
    <row r="3253" spans="1:7">
      <c r="A3253" s="2">
        <v>45805</v>
      </c>
      <c r="B3253" s="3">
        <v>1.555</v>
      </c>
      <c r="C3253" s="3">
        <v>1.5025</v>
      </c>
      <c r="D3253" s="3">
        <v>1.558</v>
      </c>
      <c r="E3253" s="3">
        <v>1.505</v>
      </c>
      <c r="F3253" s="3">
        <v>1.5565</v>
      </c>
      <c r="G3253" s="3">
        <v>1.5038</v>
      </c>
    </row>
    <row r="3254" spans="1:7">
      <c r="A3254" s="2">
        <v>45806</v>
      </c>
      <c r="B3254" s="3">
        <v>1.5645</v>
      </c>
      <c r="C3254" s="3">
        <v>1.52</v>
      </c>
      <c r="D3254" s="3">
        <v>1.5675</v>
      </c>
      <c r="E3254" s="3">
        <v>1.5225</v>
      </c>
      <c r="F3254" s="3">
        <v>1.566</v>
      </c>
      <c r="G3254" s="3">
        <v>1.5213</v>
      </c>
    </row>
    <row r="3255" spans="1:7">
      <c r="A3255" s="2">
        <v>45807</v>
      </c>
      <c r="B3255" s="3">
        <v>1.55</v>
      </c>
      <c r="C3255" s="3">
        <v>1.4975</v>
      </c>
      <c r="D3255" s="3">
        <v>1.5525</v>
      </c>
      <c r="E3255" s="3">
        <v>1.5</v>
      </c>
      <c r="F3255" s="3">
        <v>1.5513</v>
      </c>
      <c r="G3255" s="3">
        <v>1.4988</v>
      </c>
    </row>
    <row r="3256" spans="1:7">
      <c r="A3256" s="2">
        <v>45811</v>
      </c>
      <c r="B3256" s="3">
        <v>1.555</v>
      </c>
      <c r="C3256" s="3">
        <v>1.5</v>
      </c>
      <c r="D3256" s="3">
        <v>1.5575</v>
      </c>
      <c r="E3256" s="3">
        <v>1.5025</v>
      </c>
      <c r="F3256" s="3">
        <v>1.5563</v>
      </c>
      <c r="G3256" s="3">
        <v>1.5013</v>
      </c>
    </row>
    <row r="3257" spans="1:7">
      <c r="A3257" s="2">
        <v>45812</v>
      </c>
      <c r="B3257" s="3">
        <v>1.5475</v>
      </c>
      <c r="C3257" s="3">
        <v>1.4875</v>
      </c>
      <c r="D3257" s="3">
        <v>1.5512</v>
      </c>
      <c r="E3257" s="3">
        <v>1.49</v>
      </c>
      <c r="F3257" s="3">
        <v>1.5493</v>
      </c>
      <c r="G3257" s="3">
        <v>1.4888</v>
      </c>
    </row>
    <row r="3258" spans="1:7">
      <c r="A3258" s="2">
        <v>45813</v>
      </c>
      <c r="B3258" s="3">
        <v>1.54</v>
      </c>
      <c r="C3258" s="3">
        <v>1.4825</v>
      </c>
      <c r="D3258" s="3">
        <v>1.5425</v>
      </c>
      <c r="E3258" s="3">
        <v>1.485</v>
      </c>
      <c r="F3258" s="3">
        <v>1.5413</v>
      </c>
      <c r="G3258" s="3">
        <v>1.4838</v>
      </c>
    </row>
    <row r="3259" spans="1:7">
      <c r="A3259" s="2">
        <v>45814</v>
      </c>
      <c r="B3259" s="3">
        <v>1.5225</v>
      </c>
      <c r="C3259" s="3">
        <v>1.4675</v>
      </c>
      <c r="D3259" s="3">
        <v>1.525</v>
      </c>
      <c r="E3259" s="3">
        <v>1.47</v>
      </c>
      <c r="F3259" s="3">
        <v>1.5238</v>
      </c>
      <c r="G3259" s="3">
        <v>1.4688</v>
      </c>
    </row>
    <row r="3260" spans="1:7">
      <c r="A3260" s="2">
        <v>45817</v>
      </c>
      <c r="B3260" s="3">
        <v>1.5125</v>
      </c>
      <c r="C3260" s="3">
        <v>1.47</v>
      </c>
      <c r="D3260" s="3">
        <v>1.515</v>
      </c>
      <c r="E3260" s="3">
        <v>1.4725</v>
      </c>
      <c r="F3260" s="3">
        <v>1.5138</v>
      </c>
      <c r="G3260" s="3">
        <v>1.4713</v>
      </c>
    </row>
    <row r="3261" spans="1:7">
      <c r="A3261" s="2">
        <v>45818</v>
      </c>
      <c r="B3261" s="3">
        <v>1.525</v>
      </c>
      <c r="C3261" s="3">
        <v>1.48</v>
      </c>
      <c r="D3261" s="3">
        <v>1.5275</v>
      </c>
      <c r="E3261" s="3">
        <v>1.4825</v>
      </c>
      <c r="F3261" s="3">
        <v>1.5263</v>
      </c>
      <c r="G3261" s="3">
        <v>1.4813</v>
      </c>
    </row>
    <row r="3262" spans="1:7">
      <c r="A3262" s="2">
        <v>45819</v>
      </c>
      <c r="B3262" s="3">
        <v>1.5191</v>
      </c>
      <c r="C3262" s="3">
        <v>1.475</v>
      </c>
      <c r="D3262" s="3">
        <v>1.52</v>
      </c>
      <c r="E3262" s="3">
        <v>1.4775</v>
      </c>
      <c r="F3262" s="3">
        <v>1.5196</v>
      </c>
      <c r="G3262" s="3">
        <v>1.4763</v>
      </c>
    </row>
    <row r="3263" spans="1:7">
      <c r="A3263" s="2">
        <v>45820</v>
      </c>
      <c r="B3263" s="3">
        <v>1.5325</v>
      </c>
      <c r="C3263" s="3">
        <v>1.4825</v>
      </c>
      <c r="D3263" s="3">
        <v>1.5375</v>
      </c>
      <c r="E3263" s="3">
        <v>1.485</v>
      </c>
      <c r="F3263" s="3">
        <v>1.535</v>
      </c>
      <c r="G3263" s="3">
        <v>1.4838</v>
      </c>
    </row>
    <row r="3264" spans="1:7">
      <c r="A3264" s="2">
        <v>45821</v>
      </c>
      <c r="B3264" s="3">
        <v>1.5315</v>
      </c>
      <c r="C3264" s="3">
        <v>1.4775</v>
      </c>
      <c r="D3264" s="3">
        <v>1.5341</v>
      </c>
      <c r="E3264" s="3">
        <v>1.4808</v>
      </c>
      <c r="F3264" s="3">
        <v>1.5328</v>
      </c>
      <c r="G3264" s="3">
        <v>1.4792</v>
      </c>
    </row>
    <row r="3265" spans="1:7">
      <c r="A3265" s="2">
        <v>45824</v>
      </c>
      <c r="B3265" s="3">
        <v>1.53</v>
      </c>
      <c r="C3265" s="3">
        <v>1.4775</v>
      </c>
      <c r="D3265" s="3">
        <v>1.5325</v>
      </c>
      <c r="E3265" s="3">
        <v>1.48</v>
      </c>
      <c r="F3265" s="3">
        <v>1.5313</v>
      </c>
      <c r="G3265" s="3">
        <v>1.4788</v>
      </c>
    </row>
    <row r="3266" spans="1:7">
      <c r="A3266" s="2">
        <v>45825</v>
      </c>
      <c r="B3266" s="3">
        <v>1.52</v>
      </c>
      <c r="C3266" s="3">
        <v>1.4693</v>
      </c>
      <c r="D3266" s="3">
        <v>1.5221</v>
      </c>
      <c r="E3266" s="3">
        <v>1.4725</v>
      </c>
      <c r="F3266" s="3">
        <v>1.521</v>
      </c>
      <c r="G3266" s="3">
        <v>1.4709</v>
      </c>
    </row>
    <row r="3267" spans="1:7">
      <c r="A3267" s="2">
        <v>45826</v>
      </c>
      <c r="B3267" s="3">
        <v>1.5225</v>
      </c>
      <c r="C3267" s="3">
        <v>1.4725</v>
      </c>
      <c r="D3267" s="3">
        <v>1.525</v>
      </c>
      <c r="E3267" s="3">
        <v>1.475</v>
      </c>
      <c r="F3267" s="3">
        <v>1.5238</v>
      </c>
      <c r="G3267" s="3">
        <v>1.4738</v>
      </c>
    </row>
    <row r="3268" spans="1:7">
      <c r="A3268" s="2">
        <v>45827</v>
      </c>
      <c r="B3268" s="3">
        <v>1.53</v>
      </c>
      <c r="C3268" s="3">
        <v>1.475</v>
      </c>
      <c r="D3268" s="3">
        <v>1.5325</v>
      </c>
      <c r="E3268" s="3">
        <v>1.4775</v>
      </c>
      <c r="F3268" s="3">
        <v>1.5313</v>
      </c>
      <c r="G3268" s="3">
        <v>1.4763</v>
      </c>
    </row>
    <row r="3269" spans="1:7">
      <c r="A3269" s="2">
        <v>45828</v>
      </c>
      <c r="B3269" s="3">
        <v>1.5275</v>
      </c>
      <c r="C3269" s="3">
        <v>1.475</v>
      </c>
      <c r="D3269" s="3">
        <v>1.53</v>
      </c>
      <c r="E3269" s="3">
        <v>1.4775</v>
      </c>
      <c r="F3269" s="3">
        <v>1.5288</v>
      </c>
      <c r="G3269" s="3">
        <v>1.4763</v>
      </c>
    </row>
    <row r="3270" spans="1:7">
      <c r="A3270" s="2">
        <v>45831</v>
      </c>
      <c r="B3270" s="3">
        <v>1.535</v>
      </c>
      <c r="C3270" s="3">
        <v>1.4775</v>
      </c>
      <c r="D3270" s="3">
        <v>1.5375</v>
      </c>
      <c r="E3270" s="3">
        <v>1.48</v>
      </c>
      <c r="F3270" s="3">
        <v>1.5363</v>
      </c>
      <c r="G3270" s="3">
        <v>1.4788</v>
      </c>
    </row>
    <row r="3271" spans="1:7">
      <c r="A3271" s="2">
        <v>45832</v>
      </c>
      <c r="B3271" s="3">
        <v>1.54</v>
      </c>
      <c r="C3271" s="3">
        <v>1.4875</v>
      </c>
      <c r="D3271" s="3">
        <v>1.5425</v>
      </c>
      <c r="E3271" s="3">
        <v>1.49</v>
      </c>
      <c r="F3271" s="3">
        <v>1.5413</v>
      </c>
      <c r="G3271" s="3">
        <v>1.4888</v>
      </c>
    </row>
    <row r="3272" spans="1:7">
      <c r="A3272" s="2">
        <v>45833</v>
      </c>
      <c r="B3272" s="3">
        <v>1.5425</v>
      </c>
      <c r="C3272" s="3">
        <v>1.4975</v>
      </c>
      <c r="D3272" s="3">
        <v>1.545</v>
      </c>
      <c r="E3272" s="3">
        <v>1.5</v>
      </c>
      <c r="F3272" s="3">
        <v>1.5438</v>
      </c>
      <c r="G3272" s="3">
        <v>1.4988</v>
      </c>
    </row>
    <row r="3273" spans="1:7">
      <c r="A3273" s="2">
        <v>45834</v>
      </c>
      <c r="B3273" s="3">
        <v>1.53</v>
      </c>
      <c r="C3273" s="3">
        <v>1.4922</v>
      </c>
      <c r="D3273" s="3">
        <v>1.533</v>
      </c>
      <c r="E3273" s="3">
        <v>1.495</v>
      </c>
      <c r="F3273" s="3">
        <v>1.5315</v>
      </c>
      <c r="G3273" s="3">
        <v>1.4936</v>
      </c>
    </row>
    <row r="3274" spans="1:7">
      <c r="A3274" s="2">
        <v>45835</v>
      </c>
      <c r="B3274" s="3">
        <v>1.53</v>
      </c>
      <c r="C3274" s="3">
        <v>1.4875</v>
      </c>
      <c r="D3274" s="3">
        <v>1.5325</v>
      </c>
      <c r="E3274" s="3">
        <v>1.49</v>
      </c>
      <c r="F3274" s="3">
        <v>1.5313</v>
      </c>
      <c r="G3274" s="3">
        <v>1.4888</v>
      </c>
    </row>
    <row r="3275" spans="1:7">
      <c r="A3275" s="2">
        <v>45838</v>
      </c>
      <c r="B3275" s="3">
        <v>1.5425</v>
      </c>
      <c r="C3275" s="3">
        <v>1.4975</v>
      </c>
      <c r="D3275" s="3">
        <v>1.545</v>
      </c>
      <c r="E3275" s="3">
        <v>1.5001</v>
      </c>
      <c r="F3275" s="3">
        <v>1.5438</v>
      </c>
      <c r="G3275" s="3">
        <v>1.4988</v>
      </c>
    </row>
    <row r="3276" spans="1:7">
      <c r="A3276" s="2">
        <v>45839</v>
      </c>
      <c r="B3276" s="3">
        <v>1.54</v>
      </c>
      <c r="C3276" s="3">
        <v>1.49</v>
      </c>
      <c r="D3276" s="3">
        <v>1.5425</v>
      </c>
      <c r="E3276" s="3">
        <v>1.4925</v>
      </c>
      <c r="F3276" s="3">
        <v>1.5413</v>
      </c>
      <c r="G3276" s="3">
        <v>1.4913</v>
      </c>
    </row>
    <row r="3277" spans="1:7">
      <c r="A3277" s="2">
        <v>45840</v>
      </c>
      <c r="B3277" s="3">
        <v>1.515</v>
      </c>
      <c r="C3277" s="3">
        <v>1.4725</v>
      </c>
      <c r="D3277" s="3">
        <v>1.5175</v>
      </c>
      <c r="E3277" s="3">
        <v>1.475</v>
      </c>
      <c r="F3277" s="3">
        <v>1.5163</v>
      </c>
      <c r="G3277" s="3">
        <v>1.4738</v>
      </c>
    </row>
    <row r="3278" spans="1:7">
      <c r="A3278" s="2">
        <v>45841</v>
      </c>
      <c r="B3278" s="3">
        <v>1.5085</v>
      </c>
      <c r="C3278" s="3">
        <v>1.468</v>
      </c>
      <c r="D3278" s="3">
        <v>1.51</v>
      </c>
      <c r="E3278" s="3">
        <v>1.4705</v>
      </c>
      <c r="F3278" s="3">
        <v>1.5093</v>
      </c>
      <c r="G3278" s="3">
        <v>1.4693</v>
      </c>
    </row>
    <row r="3279" spans="1:7">
      <c r="A3279" s="2">
        <v>45842</v>
      </c>
      <c r="B3279" s="3">
        <v>1.5025</v>
      </c>
      <c r="C3279" s="3">
        <v>1.465</v>
      </c>
      <c r="D3279" s="3">
        <v>1.505</v>
      </c>
      <c r="E3279" s="3">
        <v>1.4675</v>
      </c>
      <c r="F3279" s="3">
        <v>1.5038</v>
      </c>
      <c r="G3279" s="3">
        <v>1.4663</v>
      </c>
    </row>
    <row r="3280" spans="1:7">
      <c r="A3280" s="2">
        <v>45845</v>
      </c>
      <c r="B3280" s="3">
        <v>1.5125</v>
      </c>
      <c r="C3280" s="3">
        <v>1.475</v>
      </c>
      <c r="D3280" s="3">
        <v>1.515</v>
      </c>
      <c r="E3280" s="3">
        <v>1.4775</v>
      </c>
      <c r="F3280" s="3">
        <v>1.5138</v>
      </c>
      <c r="G3280" s="3">
        <v>1.4763</v>
      </c>
    </row>
    <row r="3281" spans="1:7">
      <c r="A3281" s="2">
        <v>45846</v>
      </c>
      <c r="B3281" s="3">
        <v>1.5227</v>
      </c>
      <c r="C3281" s="3">
        <v>1.4852</v>
      </c>
      <c r="D3281" s="3">
        <v>1.5252</v>
      </c>
      <c r="E3281" s="3">
        <v>1.4883</v>
      </c>
      <c r="F3281" s="3">
        <v>1.5239</v>
      </c>
      <c r="G3281" s="3">
        <v>1.4867</v>
      </c>
    </row>
    <row r="3282" spans="1:7">
      <c r="A3282" s="2">
        <v>45847</v>
      </c>
      <c r="B3282" s="3">
        <v>1.53</v>
      </c>
      <c r="C3282" s="3">
        <v>1.4875</v>
      </c>
      <c r="D3282" s="3">
        <v>1.5325</v>
      </c>
      <c r="E3282" s="3">
        <v>1.49</v>
      </c>
      <c r="F3282" s="3">
        <v>1.5313</v>
      </c>
      <c r="G3282" s="3">
        <v>1.4888</v>
      </c>
    </row>
    <row r="3283" spans="1:7">
      <c r="A3283" s="2">
        <v>45848</v>
      </c>
      <c r="B3283" s="3">
        <v>1.5425</v>
      </c>
      <c r="C3283" s="3">
        <v>1.51</v>
      </c>
      <c r="D3283" s="3">
        <v>1.545</v>
      </c>
      <c r="E3283" s="3">
        <v>1.5113</v>
      </c>
      <c r="F3283" s="3">
        <v>1.5438</v>
      </c>
      <c r="G3283" s="3">
        <v>1.5106</v>
      </c>
    </row>
    <row r="3284" spans="1:7">
      <c r="A3284" s="2">
        <v>45849</v>
      </c>
      <c r="B3284" s="3">
        <v>1.5275</v>
      </c>
      <c r="C3284" s="3">
        <v>1.5127</v>
      </c>
      <c r="D3284" s="3">
        <v>1.5307</v>
      </c>
      <c r="E3284" s="3">
        <v>1.5158</v>
      </c>
      <c r="F3284" s="3">
        <v>1.5291</v>
      </c>
      <c r="G3284" s="3">
        <v>1.5142</v>
      </c>
    </row>
    <row r="3285" spans="1:7">
      <c r="A3285" s="2">
        <v>45852</v>
      </c>
      <c r="B3285" s="3">
        <v>1.5375</v>
      </c>
      <c r="C3285" s="3">
        <v>1.5381</v>
      </c>
      <c r="D3285" s="3">
        <v>1.5425</v>
      </c>
      <c r="E3285" s="3">
        <v>1.5409</v>
      </c>
      <c r="F3285" s="3">
        <v>1.54</v>
      </c>
      <c r="G3285" s="3">
        <v>1.5395</v>
      </c>
    </row>
    <row r="3286" spans="1:7">
      <c r="A3286" s="2">
        <v>45853</v>
      </c>
      <c r="B3286" s="3">
        <v>1.525</v>
      </c>
      <c r="C3286" s="3">
        <v>1.5025</v>
      </c>
      <c r="D3286" s="3">
        <v>1.5275</v>
      </c>
      <c r="E3286" s="3">
        <v>1.505</v>
      </c>
      <c r="F3286" s="3">
        <v>1.5263</v>
      </c>
      <c r="G3286" s="3">
        <v>1.5038</v>
      </c>
    </row>
    <row r="3287" spans="1:7">
      <c r="A3287" s="2">
        <v>45854</v>
      </c>
      <c r="B3287" s="3">
        <v>1.5289</v>
      </c>
      <c r="C3287" s="3">
        <v>1.5175</v>
      </c>
      <c r="D3287" s="3">
        <v>1.5314</v>
      </c>
      <c r="E3287" s="3">
        <v>1.5202</v>
      </c>
      <c r="F3287" s="3">
        <v>1.5302</v>
      </c>
      <c r="G3287" s="3">
        <v>1.5188</v>
      </c>
    </row>
    <row r="3288" spans="1:7">
      <c r="A3288" s="2">
        <v>45855</v>
      </c>
      <c r="B3288" s="3">
        <v>1.5225</v>
      </c>
      <c r="C3288" s="3">
        <v>1.5225</v>
      </c>
      <c r="D3288" s="3">
        <v>1.525</v>
      </c>
      <c r="E3288" s="3">
        <v>1.525</v>
      </c>
      <c r="F3288" s="3">
        <v>1.5238</v>
      </c>
      <c r="G3288" s="3">
        <v>1.5238</v>
      </c>
    </row>
    <row r="3289" spans="1:7">
      <c r="A3289" s="2">
        <v>45856</v>
      </c>
      <c r="B3289" s="3">
        <v>1.515</v>
      </c>
      <c r="C3289" s="3">
        <v>1.5325</v>
      </c>
      <c r="D3289" s="3">
        <v>1.5175</v>
      </c>
      <c r="E3289" s="3">
        <v>1.535</v>
      </c>
      <c r="F3289" s="3">
        <v>1.5163</v>
      </c>
      <c r="G3289" s="3">
        <v>1.5338</v>
      </c>
    </row>
    <row r="3290" spans="1:7">
      <c r="A3290" s="2">
        <v>45859</v>
      </c>
      <c r="B3290" s="3">
        <v>1.515</v>
      </c>
      <c r="C3290" s="3">
        <v>1.5459</v>
      </c>
      <c r="D3290" s="3">
        <v>1.5175</v>
      </c>
      <c r="E3290" s="3">
        <v>1.55</v>
      </c>
      <c r="F3290" s="3">
        <v>1.5163</v>
      </c>
      <c r="G3290" s="3">
        <v>1.5479</v>
      </c>
    </row>
    <row r="3291" spans="1:7">
      <c r="A3291" s="2">
        <v>45860</v>
      </c>
      <c r="B3291" s="3">
        <v>1.5075</v>
      </c>
      <c r="C3291" s="3">
        <v>1.56</v>
      </c>
      <c r="D3291" s="3">
        <v>1.5122</v>
      </c>
      <c r="E3291" s="3">
        <v>1.5625</v>
      </c>
      <c r="F3291" s="3">
        <v>1.5098</v>
      </c>
      <c r="G3291" s="3">
        <v>1.5613</v>
      </c>
    </row>
    <row r="3292" spans="1:7">
      <c r="A3292" s="2">
        <v>45861</v>
      </c>
      <c r="B3292" s="3">
        <v>1.5227</v>
      </c>
      <c r="C3292" s="3">
        <v>1.5699</v>
      </c>
      <c r="D3292" s="3">
        <v>1.5252</v>
      </c>
      <c r="E3292" s="3">
        <v>1.5734</v>
      </c>
      <c r="F3292" s="3">
        <v>1.5239</v>
      </c>
      <c r="G3292" s="3">
        <v>1.5716</v>
      </c>
    </row>
    <row r="3293" spans="1:7">
      <c r="A3293" s="2">
        <v>45862</v>
      </c>
      <c r="B3293" s="3">
        <v>1.55</v>
      </c>
      <c r="C3293" s="3">
        <v>1.5989</v>
      </c>
      <c r="D3293" s="3">
        <v>1.5525</v>
      </c>
      <c r="E3293" s="3">
        <v>1.602</v>
      </c>
      <c r="F3293" s="3">
        <v>1.5513</v>
      </c>
      <c r="G3293" s="3">
        <v>1.6005</v>
      </c>
    </row>
    <row r="3294" spans="1:7">
      <c r="A3294" s="2">
        <v>45863</v>
      </c>
      <c r="B3294" s="3">
        <v>1.54</v>
      </c>
      <c r="C3294" s="3">
        <v>1.5975</v>
      </c>
      <c r="D3294" s="3">
        <v>1.5425</v>
      </c>
      <c r="E3294" s="3">
        <v>1.6</v>
      </c>
      <c r="F3294" s="3">
        <v>1.5413</v>
      </c>
      <c r="G3294" s="3">
        <v>1.5988</v>
      </c>
    </row>
    <row r="3295" spans="1:7">
      <c r="A3295" s="2">
        <v>45866</v>
      </c>
      <c r="B3295" s="3">
        <v>1.53</v>
      </c>
      <c r="C3295" s="3">
        <v>1.5812</v>
      </c>
      <c r="D3295" s="3">
        <v>1.5325</v>
      </c>
      <c r="E3295" s="3">
        <v>1.5833</v>
      </c>
      <c r="F3295" s="3">
        <v>1.5313</v>
      </c>
      <c r="G3295" s="3">
        <v>1.5823</v>
      </c>
    </row>
    <row r="3296" spans="1:7">
      <c r="A3296" s="2">
        <v>45867</v>
      </c>
      <c r="B3296" s="3">
        <v>1.545</v>
      </c>
      <c r="C3296" s="3">
        <v>1.6166</v>
      </c>
      <c r="D3296" s="3">
        <v>1.5475</v>
      </c>
      <c r="E3296" s="3">
        <v>1.6194</v>
      </c>
      <c r="F3296" s="3">
        <v>1.5463</v>
      </c>
      <c r="G3296" s="3">
        <v>1.618</v>
      </c>
    </row>
    <row r="3297" spans="1:7">
      <c r="A3297" s="2">
        <v>45868</v>
      </c>
      <c r="B3297" s="3">
        <v>1.53</v>
      </c>
      <c r="C3297" s="3">
        <v>1.5875</v>
      </c>
      <c r="D3297" s="3">
        <v>1.5325</v>
      </c>
      <c r="E3297" s="3">
        <v>1.5907</v>
      </c>
      <c r="F3297" s="3">
        <v>1.5313</v>
      </c>
      <c r="G3297" s="3">
        <v>1.5891</v>
      </c>
    </row>
    <row r="3298" spans="1:7">
      <c r="A3298" s="2">
        <v>45869</v>
      </c>
      <c r="B3298" s="3">
        <v>1.525</v>
      </c>
      <c r="C3298" s="3">
        <v>1.5725</v>
      </c>
      <c r="D3298" s="3">
        <v>1.5275</v>
      </c>
      <c r="E3298" s="3">
        <v>1.575</v>
      </c>
      <c r="F3298" s="3">
        <v>1.5263</v>
      </c>
      <c r="G3298" s="3">
        <v>1.5738</v>
      </c>
    </row>
    <row r="3299" spans="1:7">
      <c r="A3299" s="2">
        <v>45870</v>
      </c>
      <c r="B3299" s="3">
        <v>1.5269</v>
      </c>
      <c r="C3299" s="3">
        <v>1.5675</v>
      </c>
      <c r="D3299" s="3">
        <v>1.5294</v>
      </c>
      <c r="E3299" s="3">
        <v>1.57</v>
      </c>
      <c r="F3299" s="3">
        <v>1.5281</v>
      </c>
      <c r="G3299" s="3">
        <v>1.5688</v>
      </c>
    </row>
    <row r="3300" spans="1:7">
      <c r="A3300" s="2">
        <v>45873</v>
      </c>
      <c r="B3300" s="3">
        <v>1.53</v>
      </c>
      <c r="C3300" s="3">
        <v>1.5825</v>
      </c>
      <c r="D3300" s="3">
        <v>1.5325</v>
      </c>
      <c r="E3300" s="3">
        <v>1.585</v>
      </c>
      <c r="F3300" s="3">
        <v>1.5313</v>
      </c>
      <c r="G3300" s="3">
        <v>1.5838</v>
      </c>
    </row>
    <row r="3301" spans="1:7">
      <c r="A3301" s="2">
        <v>45874</v>
      </c>
      <c r="B3301" s="3">
        <v>1.525</v>
      </c>
      <c r="C3301" s="3">
        <v>1.5725</v>
      </c>
      <c r="D3301" s="3">
        <v>1.5275</v>
      </c>
      <c r="E3301" s="3">
        <v>1.5769</v>
      </c>
      <c r="F3301" s="3">
        <v>1.5263</v>
      </c>
      <c r="G3301" s="3">
        <v>1.5747</v>
      </c>
    </row>
    <row r="3302" spans="1:7">
      <c r="A3302" s="2">
        <v>45875</v>
      </c>
      <c r="B3302" s="3">
        <v>1.5225</v>
      </c>
      <c r="C3302" s="3">
        <v>1.5649</v>
      </c>
      <c r="D3302" s="3">
        <v>1.525</v>
      </c>
      <c r="E3302" s="3">
        <v>1.5675</v>
      </c>
      <c r="F3302" s="3">
        <v>1.5238</v>
      </c>
      <c r="G3302" s="3">
        <v>1.5662</v>
      </c>
    </row>
    <row r="3303" spans="1:7">
      <c r="A3303" s="2">
        <v>45876</v>
      </c>
      <c r="B3303" s="3">
        <v>1.52</v>
      </c>
      <c r="C3303" s="3">
        <v>1.5541</v>
      </c>
      <c r="D3303" s="3">
        <v>1.5225</v>
      </c>
      <c r="E3303" s="3">
        <v>1.5569</v>
      </c>
      <c r="F3303" s="3">
        <v>1.5213</v>
      </c>
      <c r="G3303" s="3">
        <v>1.5555</v>
      </c>
    </row>
    <row r="3304" spans="1:7">
      <c r="A3304" s="2">
        <v>45877</v>
      </c>
      <c r="B3304" s="3">
        <v>1.5125</v>
      </c>
      <c r="C3304" s="3">
        <v>1.5525</v>
      </c>
      <c r="D3304" s="3">
        <v>1.515</v>
      </c>
      <c r="E3304" s="3">
        <v>1.555</v>
      </c>
      <c r="F3304" s="3">
        <v>1.5138</v>
      </c>
      <c r="G3304" s="3">
        <v>1.5538</v>
      </c>
    </row>
    <row r="3305" spans="1:7">
      <c r="A3305" s="2">
        <v>45880</v>
      </c>
      <c r="B3305" s="3">
        <v>1.52</v>
      </c>
      <c r="C3305" s="3">
        <v>1.57</v>
      </c>
      <c r="D3305" s="3">
        <v>1.5225</v>
      </c>
      <c r="E3305" s="3">
        <v>1.5725</v>
      </c>
      <c r="F3305" s="3">
        <v>1.5213</v>
      </c>
      <c r="G3305" s="3">
        <v>1.5713</v>
      </c>
    </row>
    <row r="3306" spans="1:7">
      <c r="A3306" s="2">
        <v>45881</v>
      </c>
      <c r="B3306" s="3">
        <v>1.5225</v>
      </c>
      <c r="C3306" s="3">
        <v>1.575</v>
      </c>
      <c r="D3306" s="3">
        <v>1.525</v>
      </c>
      <c r="E3306" s="3">
        <v>1.5775</v>
      </c>
      <c r="F3306" s="3">
        <v>1.5238</v>
      </c>
      <c r="G3306" s="3">
        <v>1.5763</v>
      </c>
    </row>
    <row r="3307" spans="1:7">
      <c r="A3307" s="2">
        <v>45882</v>
      </c>
      <c r="B3307" s="3">
        <v>1.5075</v>
      </c>
      <c r="C3307" s="3">
        <v>1.5625</v>
      </c>
      <c r="D3307" s="3">
        <v>1.51</v>
      </c>
      <c r="E3307" s="3">
        <v>1.565</v>
      </c>
      <c r="F3307" s="3">
        <v>1.5088</v>
      </c>
      <c r="G3307" s="3">
        <v>1.5638</v>
      </c>
    </row>
    <row r="3308" spans="1:7">
      <c r="A3308" s="2">
        <v>45883</v>
      </c>
      <c r="B3308" s="3">
        <v>1.5181</v>
      </c>
      <c r="C3308" s="3">
        <v>1.5775</v>
      </c>
      <c r="D3308" s="3">
        <v>1.5219</v>
      </c>
      <c r="E3308" s="3">
        <v>1.58</v>
      </c>
      <c r="F3308" s="3">
        <v>1.52</v>
      </c>
      <c r="G3308" s="3">
        <v>1.5788</v>
      </c>
    </row>
    <row r="3309" spans="1:7">
      <c r="A3309" s="2">
        <v>45884</v>
      </c>
      <c r="B3309" s="3">
        <v>1.5208</v>
      </c>
      <c r="C3309" s="3">
        <v>1.5955</v>
      </c>
      <c r="D3309" s="3">
        <v>1.5243</v>
      </c>
      <c r="E3309" s="3">
        <v>1.5982</v>
      </c>
      <c r="F3309" s="3">
        <v>1.5225</v>
      </c>
      <c r="G3309" s="3">
        <v>1.5969</v>
      </c>
    </row>
    <row r="3310" spans="1:7">
      <c r="A3310" s="2">
        <v>45887</v>
      </c>
      <c r="B3310" s="3">
        <v>1.5545</v>
      </c>
      <c r="C3310" s="3">
        <v>1.6437</v>
      </c>
      <c r="D3310" s="3">
        <v>1.557</v>
      </c>
      <c r="E3310" s="3">
        <v>1.6458</v>
      </c>
      <c r="F3310" s="3">
        <v>1.5558</v>
      </c>
      <c r="G3310" s="3">
        <v>1.6448</v>
      </c>
    </row>
    <row r="3311" spans="1:7">
      <c r="A3311" s="2">
        <v>45888</v>
      </c>
      <c r="B3311" s="3">
        <v>1.5418</v>
      </c>
      <c r="C3311" s="3">
        <v>1.625</v>
      </c>
      <c r="D3311" s="3">
        <v>1.5443</v>
      </c>
      <c r="E3311" s="3">
        <v>1.6276</v>
      </c>
      <c r="F3311" s="3">
        <v>1.543</v>
      </c>
      <c r="G3311" s="3">
        <v>1.6263</v>
      </c>
    </row>
    <row r="3312" spans="1:7">
      <c r="A3312" s="2">
        <v>45889</v>
      </c>
      <c r="B3312" s="3">
        <v>1.555</v>
      </c>
      <c r="C3312" s="3">
        <v>1.6389</v>
      </c>
      <c r="D3312" s="3">
        <v>1.5575</v>
      </c>
      <c r="E3312" s="3">
        <v>1.6414</v>
      </c>
      <c r="F3312" s="3">
        <v>1.5563</v>
      </c>
      <c r="G3312" s="3">
        <v>1.6402</v>
      </c>
    </row>
    <row r="3313" spans="1:7">
      <c r="A3313" s="2">
        <v>45890</v>
      </c>
      <c r="B3313" s="3">
        <v>1.545</v>
      </c>
      <c r="C3313" s="3">
        <v>1.6204</v>
      </c>
      <c r="D3313" s="3">
        <v>1.5475</v>
      </c>
      <c r="E3313" s="3">
        <v>1.6226</v>
      </c>
      <c r="F3313" s="3">
        <v>1.5463</v>
      </c>
      <c r="G3313" s="3">
        <v>1.6215</v>
      </c>
    </row>
    <row r="3314" spans="1:7">
      <c r="A3314" s="2">
        <v>45891</v>
      </c>
      <c r="B3314" s="3">
        <v>1.545</v>
      </c>
      <c r="C3314" s="3">
        <v>1.6325</v>
      </c>
      <c r="D3314" s="3">
        <v>1.5475</v>
      </c>
      <c r="E3314" s="3">
        <v>1.635</v>
      </c>
      <c r="F3314" s="3">
        <v>1.5463</v>
      </c>
      <c r="G3314" s="3">
        <v>1.6338</v>
      </c>
    </row>
    <row r="3315" spans="1:7">
      <c r="A3315" s="2">
        <v>45894</v>
      </c>
      <c r="B3315" s="3">
        <v>1.5425</v>
      </c>
      <c r="C3315" s="3">
        <v>1.62</v>
      </c>
      <c r="D3315" s="3">
        <v>1.545</v>
      </c>
      <c r="E3315" s="3">
        <v>1.6225</v>
      </c>
      <c r="F3315" s="3">
        <v>1.5438</v>
      </c>
      <c r="G3315" s="3">
        <v>1.6213</v>
      </c>
    </row>
    <row r="3316" spans="1:7">
      <c r="A3316" s="2">
        <v>45895</v>
      </c>
      <c r="B3316" s="3">
        <v>1.535</v>
      </c>
      <c r="C3316" s="3">
        <v>1.6125</v>
      </c>
      <c r="D3316" s="3">
        <v>1.54</v>
      </c>
      <c r="E3316" s="3">
        <v>1.615</v>
      </c>
      <c r="F3316" s="3">
        <v>1.5375</v>
      </c>
      <c r="G3316" s="3">
        <v>1.6138</v>
      </c>
    </row>
    <row r="3317" spans="1:7">
      <c r="A3317" s="2">
        <v>45896</v>
      </c>
      <c r="B3317" s="3">
        <v>1.5425</v>
      </c>
      <c r="C3317" s="3">
        <v>1.6175</v>
      </c>
      <c r="D3317" s="3">
        <v>1.5425</v>
      </c>
      <c r="E3317" s="3">
        <v>1.62</v>
      </c>
      <c r="F3317" s="3">
        <v>1.5425</v>
      </c>
      <c r="G3317" s="3">
        <v>1.6188</v>
      </c>
    </row>
    <row r="3318" spans="1:7">
      <c r="A3318" s="2">
        <v>45897</v>
      </c>
      <c r="B3318" s="3">
        <v>1.5509</v>
      </c>
      <c r="C3318" s="3">
        <v>1.6405</v>
      </c>
      <c r="D3318" s="3">
        <v>1.5534</v>
      </c>
      <c r="E3318" s="3">
        <v>1.643</v>
      </c>
      <c r="F3318" s="3">
        <v>1.5521</v>
      </c>
      <c r="G3318" s="3">
        <v>1.6418</v>
      </c>
    </row>
    <row r="3319" spans="1:7">
      <c r="A3319" s="2">
        <v>45898</v>
      </c>
      <c r="B3319" s="3">
        <v>1.5443</v>
      </c>
      <c r="C3319" s="3">
        <v>1.6357</v>
      </c>
      <c r="D3319" s="3">
        <v>1.5468</v>
      </c>
      <c r="E3319" s="3">
        <v>1.6387</v>
      </c>
      <c r="F3319" s="3">
        <v>1.5455</v>
      </c>
      <c r="G3319" s="3">
        <v>1.6372</v>
      </c>
    </row>
    <row r="3320" spans="1:7">
      <c r="A3320" s="2">
        <v>45901</v>
      </c>
      <c r="B3320" s="3">
        <v>1.54</v>
      </c>
      <c r="C3320" s="3">
        <v>1.63</v>
      </c>
      <c r="D3320" s="3">
        <v>1.5425</v>
      </c>
      <c r="E3320" s="3">
        <v>1.6325</v>
      </c>
      <c r="F3320" s="3">
        <v>1.5413</v>
      </c>
      <c r="G3320" s="3">
        <v>1.6313</v>
      </c>
    </row>
    <row r="3321" spans="1:7">
      <c r="A3321" s="2">
        <v>45902</v>
      </c>
      <c r="B3321" s="3">
        <v>1.535</v>
      </c>
      <c r="C3321" s="3">
        <v>1.621</v>
      </c>
      <c r="D3321" s="3">
        <v>1.5375</v>
      </c>
      <c r="E3321" s="3">
        <v>1.6231</v>
      </c>
      <c r="F3321" s="3">
        <v>1.5363</v>
      </c>
      <c r="G3321" s="3">
        <v>1.6221</v>
      </c>
    </row>
    <row r="3322" spans="1:7">
      <c r="A3322" s="2">
        <v>45903</v>
      </c>
      <c r="B3322" s="3">
        <v>1.5294</v>
      </c>
      <c r="C3322" s="3">
        <v>1.605</v>
      </c>
      <c r="D3322" s="3">
        <v>1.5319</v>
      </c>
      <c r="E3322" s="3">
        <v>1.6075</v>
      </c>
      <c r="F3322" s="3">
        <v>1.5306</v>
      </c>
      <c r="G3322" s="3">
        <v>1.6063</v>
      </c>
    </row>
    <row r="3323" spans="1:7">
      <c r="A3323" s="2">
        <v>45904</v>
      </c>
      <c r="B3323" s="3">
        <v>1.5364</v>
      </c>
      <c r="C3323" s="3">
        <v>1.6148</v>
      </c>
      <c r="D3323" s="3">
        <v>1.5389</v>
      </c>
      <c r="E3323" s="3">
        <v>1.6175</v>
      </c>
      <c r="F3323" s="3">
        <v>1.5377</v>
      </c>
      <c r="G3323" s="3">
        <v>1.6162</v>
      </c>
    </row>
    <row r="3324" spans="1:7">
      <c r="A3324" s="2">
        <v>45905</v>
      </c>
      <c r="B3324" s="3">
        <v>1.54</v>
      </c>
      <c r="C3324" s="3">
        <v>1.635</v>
      </c>
      <c r="D3324" s="3">
        <v>1.5425</v>
      </c>
      <c r="E3324" s="3">
        <v>1.6397</v>
      </c>
      <c r="F3324" s="3">
        <v>1.5413</v>
      </c>
      <c r="G3324" s="3">
        <v>1.6373</v>
      </c>
    </row>
    <row r="3325" spans="1:7">
      <c r="A3325" s="2">
        <v>45908</v>
      </c>
      <c r="B3325" s="3">
        <v>1.55</v>
      </c>
      <c r="C3325" s="3">
        <v>1.6498</v>
      </c>
      <c r="D3325" s="3">
        <v>1.5525</v>
      </c>
      <c r="E3325" s="3">
        <v>1.6513</v>
      </c>
      <c r="F3325" s="3">
        <v>1.5513</v>
      </c>
      <c r="G3325" s="3">
        <v>1.6506</v>
      </c>
    </row>
    <row r="3326" spans="1:7">
      <c r="A3326" s="2">
        <v>45909</v>
      </c>
      <c r="B3326" s="3">
        <v>1.5575</v>
      </c>
      <c r="C3326" s="3">
        <v>1.6558</v>
      </c>
      <c r="D3326" s="3">
        <v>1.56</v>
      </c>
      <c r="E3326" s="3">
        <v>1.6588</v>
      </c>
      <c r="F3326" s="3">
        <v>1.5588</v>
      </c>
      <c r="G3326" s="3">
        <v>1.6573</v>
      </c>
    </row>
    <row r="3327" spans="1:7">
      <c r="A3327" s="2">
        <v>45910</v>
      </c>
      <c r="B3327" s="3">
        <v>1.57</v>
      </c>
      <c r="C3327" s="3">
        <v>1.6849</v>
      </c>
      <c r="D3327" s="3">
        <v>1.575</v>
      </c>
      <c r="E3327" s="3">
        <v>1.6879</v>
      </c>
      <c r="F3327" s="3">
        <v>1.5725</v>
      </c>
      <c r="G3327" s="3">
        <v>1.6864</v>
      </c>
    </row>
    <row r="3328" spans="1:7">
      <c r="A3328" s="2">
        <v>45911</v>
      </c>
      <c r="B3328" s="3">
        <v>1.5726</v>
      </c>
      <c r="C3328" s="3">
        <v>1.68</v>
      </c>
      <c r="D3328" s="3">
        <v>1.5764</v>
      </c>
      <c r="E3328" s="3">
        <v>1.6804</v>
      </c>
      <c r="F3328" s="3">
        <v>1.5745</v>
      </c>
      <c r="G3328" s="3">
        <v>1.6802</v>
      </c>
    </row>
    <row r="3329" spans="1:7">
      <c r="A3329" s="2">
        <v>45912</v>
      </c>
      <c r="B3329" s="3">
        <v>1.555</v>
      </c>
      <c r="C3329" s="3">
        <v>1.66</v>
      </c>
      <c r="D3329" s="3">
        <v>1.5578</v>
      </c>
      <c r="E3329" s="3">
        <v>1.6625</v>
      </c>
      <c r="F3329" s="3">
        <v>1.5564</v>
      </c>
      <c r="G3329" s="3">
        <v>1.6613</v>
      </c>
    </row>
    <row r="3330" spans="1:7">
      <c r="A3330" s="2">
        <v>45915</v>
      </c>
      <c r="B3330" s="3">
        <v>1.555</v>
      </c>
      <c r="C3330" s="3">
        <v>1.6593</v>
      </c>
      <c r="D3330" s="3">
        <v>1.5575</v>
      </c>
      <c r="E3330" s="3">
        <v>1.6625</v>
      </c>
      <c r="F3330" s="3">
        <v>1.5563</v>
      </c>
      <c r="G3330" s="3">
        <v>1.6609</v>
      </c>
    </row>
    <row r="3331" spans="1:7">
      <c r="A3331" s="2">
        <v>45916</v>
      </c>
      <c r="B3331" s="3">
        <v>1.5475</v>
      </c>
      <c r="C3331" s="3">
        <v>1.64</v>
      </c>
      <c r="D3331" s="3">
        <v>1.55</v>
      </c>
      <c r="E3331" s="3">
        <v>1.6425</v>
      </c>
      <c r="F3331" s="3">
        <v>1.5488</v>
      </c>
      <c r="G3331" s="3">
        <v>1.6413</v>
      </c>
    </row>
    <row r="3332" spans="1:7">
      <c r="A3332" s="2">
        <v>45917</v>
      </c>
      <c r="B3332" s="3">
        <v>1.5475</v>
      </c>
      <c r="C3332" s="3">
        <v>1.6274</v>
      </c>
      <c r="D3332" s="3">
        <v>1.5493</v>
      </c>
      <c r="E3332" s="3">
        <v>1.6301</v>
      </c>
      <c r="F3332" s="3">
        <v>1.5484</v>
      </c>
      <c r="G3332" s="3">
        <v>1.6288</v>
      </c>
    </row>
    <row r="3333" spans="1:7">
      <c r="A3333" s="2">
        <v>45918</v>
      </c>
      <c r="B3333" s="3">
        <v>1.555</v>
      </c>
      <c r="C3333" s="3">
        <v>1.64</v>
      </c>
      <c r="D3333" s="3">
        <v>1.5575</v>
      </c>
      <c r="E3333" s="3">
        <v>1.6425</v>
      </c>
      <c r="F3333" s="3">
        <v>1.5563</v>
      </c>
      <c r="G3333" s="3">
        <v>1.6413</v>
      </c>
    </row>
    <row r="3334" spans="1:7">
      <c r="A3334" s="2">
        <v>45919</v>
      </c>
      <c r="B3334" s="3">
        <v>1.565</v>
      </c>
      <c r="C3334" s="3">
        <v>1.6653</v>
      </c>
      <c r="D3334" s="3">
        <v>1.5675</v>
      </c>
      <c r="E3334" s="3">
        <v>1.6683</v>
      </c>
      <c r="F3334" s="3">
        <v>1.5663</v>
      </c>
      <c r="G3334" s="3">
        <v>1.6668</v>
      </c>
    </row>
    <row r="3335" spans="1:7">
      <c r="A3335" s="2">
        <v>45922</v>
      </c>
      <c r="B3335" s="3">
        <v>1.56</v>
      </c>
      <c r="C3335" s="3">
        <v>1.6525</v>
      </c>
      <c r="D3335" s="3">
        <v>1.5633</v>
      </c>
      <c r="E3335" s="3">
        <v>1.6554</v>
      </c>
      <c r="F3335" s="3">
        <v>1.5617</v>
      </c>
      <c r="G3335" s="3">
        <v>1.654</v>
      </c>
    </row>
    <row r="3336" spans="1:7">
      <c r="A3336" s="2">
        <v>45923</v>
      </c>
      <c r="B3336" s="3">
        <v>1.5679</v>
      </c>
      <c r="C3336" s="3">
        <v>1.665</v>
      </c>
      <c r="D3336" s="3">
        <v>1.5704</v>
      </c>
      <c r="E3336" s="3">
        <v>1.6675</v>
      </c>
      <c r="F3336" s="3">
        <v>1.5691</v>
      </c>
      <c r="G3336" s="3">
        <v>1.6663</v>
      </c>
    </row>
    <row r="3337" spans="1:7">
      <c r="A3337" s="2">
        <v>45924</v>
      </c>
      <c r="B3337" s="3">
        <v>1.58</v>
      </c>
      <c r="C3337" s="3">
        <v>1.6796</v>
      </c>
      <c r="D3337" s="3">
        <v>1.585</v>
      </c>
      <c r="E3337" s="3">
        <v>1.6825</v>
      </c>
      <c r="F3337" s="3">
        <v>1.5825</v>
      </c>
      <c r="G3337" s="3">
        <v>1.681</v>
      </c>
    </row>
    <row r="3338" spans="1:7">
      <c r="A3338" s="2">
        <v>45925</v>
      </c>
      <c r="B3338" s="3">
        <v>1.59</v>
      </c>
      <c r="C3338" s="3">
        <v>1.685</v>
      </c>
      <c r="D3338" s="3">
        <v>1.5925</v>
      </c>
      <c r="E3338" s="3">
        <v>1.6875</v>
      </c>
      <c r="F3338" s="3">
        <v>1.5913</v>
      </c>
      <c r="G3338" s="3">
        <v>1.6863</v>
      </c>
    </row>
    <row r="3339" spans="1:7">
      <c r="A3339" s="2">
        <v>45926</v>
      </c>
      <c r="B3339" s="3">
        <v>1.5775</v>
      </c>
      <c r="C3339" s="3">
        <v>1.6796</v>
      </c>
      <c r="D3339" s="3">
        <v>1.58</v>
      </c>
      <c r="E3339" s="3">
        <v>1.6802</v>
      </c>
      <c r="F3339" s="3">
        <v>1.5788</v>
      </c>
      <c r="G3339" s="3">
        <v>1.6799</v>
      </c>
    </row>
    <row r="3340" spans="1:7">
      <c r="A3340" s="2">
        <v>45928</v>
      </c>
      <c r="B3340" s="3">
        <v>1.565</v>
      </c>
      <c r="C3340" s="3">
        <v>1.675</v>
      </c>
      <c r="D3340" s="3">
        <v>1.5975</v>
      </c>
      <c r="E3340" s="3">
        <v>1.69</v>
      </c>
      <c r="F3340" s="3">
        <v>1.5813</v>
      </c>
      <c r="G3340" s="3">
        <v>1.6825</v>
      </c>
    </row>
    <row r="3341" spans="1:7">
      <c r="A3341" s="2">
        <v>45929</v>
      </c>
      <c r="B3341" s="3">
        <v>1.5925</v>
      </c>
      <c r="C3341" s="3">
        <v>1.6975</v>
      </c>
      <c r="D3341" s="3">
        <v>1.5966</v>
      </c>
      <c r="E3341" s="3">
        <v>1.7</v>
      </c>
      <c r="F3341" s="3">
        <v>1.5946</v>
      </c>
      <c r="G3341" s="3">
        <v>1.6988</v>
      </c>
    </row>
    <row r="3342" spans="1:7">
      <c r="A3342" s="2">
        <v>45930</v>
      </c>
      <c r="B3342" s="3">
        <v>1.57</v>
      </c>
      <c r="C3342" s="3">
        <v>1.6641</v>
      </c>
      <c r="D3342" s="3">
        <v>1.575</v>
      </c>
      <c r="E3342" s="3">
        <v>1.6669</v>
      </c>
      <c r="F3342" s="3">
        <v>1.5725</v>
      </c>
      <c r="G3342" s="3">
        <v>1.6655</v>
      </c>
    </row>
    <row r="3343" spans="1:7">
      <c r="A3343" s="2">
        <v>45939</v>
      </c>
      <c r="B3343" s="3">
        <v>1.5575</v>
      </c>
      <c r="C3343" s="3">
        <v>1.6475</v>
      </c>
      <c r="D3343" s="3">
        <v>1.56</v>
      </c>
      <c r="E3343" s="3">
        <v>1.65</v>
      </c>
      <c r="F3343" s="3">
        <v>1.5588</v>
      </c>
      <c r="G3343" s="3">
        <v>1.6488</v>
      </c>
    </row>
    <row r="3344" spans="1:7">
      <c r="A3344" s="2">
        <v>45940</v>
      </c>
      <c r="B3344" s="3">
        <v>1.56</v>
      </c>
      <c r="C3344" s="3">
        <v>1.6525</v>
      </c>
      <c r="D3344" s="3">
        <v>1.5625</v>
      </c>
      <c r="E3344" s="3">
        <v>1.655</v>
      </c>
      <c r="F3344" s="3">
        <v>1.5613</v>
      </c>
      <c r="G3344" s="3">
        <v>1.6538</v>
      </c>
    </row>
    <row r="3345" spans="1:7">
      <c r="A3345" s="2">
        <v>45941</v>
      </c>
      <c r="B3345" s="3">
        <v>1.5375</v>
      </c>
      <c r="C3345" s="3">
        <v>1.6225</v>
      </c>
      <c r="D3345" s="3">
        <v>1.54</v>
      </c>
      <c r="E3345" s="3">
        <v>1.625</v>
      </c>
      <c r="F3345" s="3">
        <v>1.5388</v>
      </c>
      <c r="G3345" s="3">
        <v>1.6238</v>
      </c>
    </row>
    <row r="3346" spans="1:7">
      <c r="A3346" s="2">
        <v>45943</v>
      </c>
      <c r="B3346" s="3">
        <v>1.5478</v>
      </c>
      <c r="C3346" s="3">
        <v>1.635</v>
      </c>
      <c r="D3346" s="3">
        <v>1.5525</v>
      </c>
      <c r="E3346" s="3">
        <v>1.64</v>
      </c>
      <c r="F3346" s="3">
        <v>1.5502</v>
      </c>
      <c r="G3346" s="3">
        <v>1.6375</v>
      </c>
    </row>
    <row r="3347" spans="1:7">
      <c r="A3347" s="2">
        <v>45944</v>
      </c>
      <c r="B3347" s="3">
        <v>1.5325</v>
      </c>
      <c r="C3347" s="3">
        <v>1.6175</v>
      </c>
      <c r="D3347" s="3">
        <v>1.5372</v>
      </c>
      <c r="E3347" s="3">
        <v>1.6196</v>
      </c>
      <c r="F3347" s="3">
        <v>1.5348</v>
      </c>
      <c r="G3347" s="3">
        <v>1.6185</v>
      </c>
    </row>
    <row r="3348" spans="1:7">
      <c r="A3348" s="2">
        <v>45945</v>
      </c>
      <c r="B3348" s="3">
        <v>1.5375</v>
      </c>
      <c r="C3348" s="3">
        <v>1.62</v>
      </c>
      <c r="D3348" s="3">
        <v>1.54</v>
      </c>
      <c r="E3348" s="3">
        <v>1.6225</v>
      </c>
      <c r="F3348" s="3">
        <v>1.5388</v>
      </c>
      <c r="G3348" s="3">
        <v>1.6213</v>
      </c>
    </row>
    <row r="3349" spans="1:7">
      <c r="A3349" s="2">
        <v>45946</v>
      </c>
      <c r="B3349" s="3">
        <v>1.535</v>
      </c>
      <c r="C3349" s="3">
        <v>1.612</v>
      </c>
      <c r="D3349" s="3">
        <v>1.5375</v>
      </c>
      <c r="E3349" s="3">
        <v>1.6145</v>
      </c>
      <c r="F3349" s="3">
        <v>1.5363</v>
      </c>
      <c r="G3349" s="3">
        <v>1.6132</v>
      </c>
    </row>
    <row r="3350" spans="1:7">
      <c r="A3350" s="2">
        <v>45947</v>
      </c>
      <c r="B3350" s="3">
        <v>1.5225</v>
      </c>
      <c r="C3350" s="3">
        <v>1.5975</v>
      </c>
      <c r="D3350" s="3">
        <v>1.525</v>
      </c>
      <c r="E3350" s="3">
        <v>1.6</v>
      </c>
      <c r="F3350" s="3">
        <v>1.5238</v>
      </c>
      <c r="G3350" s="3">
        <v>1.5988</v>
      </c>
    </row>
    <row r="3351" spans="1:7">
      <c r="A3351" s="2">
        <v>45950</v>
      </c>
      <c r="B3351" s="3">
        <v>1.5438</v>
      </c>
      <c r="C3351" s="3">
        <v>1.625</v>
      </c>
      <c r="D3351" s="3">
        <v>1.5468</v>
      </c>
      <c r="E3351" s="3">
        <v>1.6275</v>
      </c>
      <c r="F3351" s="3">
        <v>1.5453</v>
      </c>
      <c r="G3351" s="3">
        <v>1.6263</v>
      </c>
    </row>
    <row r="3352" spans="1:7">
      <c r="A3352" s="2">
        <v>45951</v>
      </c>
      <c r="B3352" s="3">
        <v>1.54</v>
      </c>
      <c r="C3352" s="3">
        <v>1.6075</v>
      </c>
      <c r="D3352" s="3">
        <v>1.545</v>
      </c>
      <c r="E3352" s="3">
        <v>1.6112</v>
      </c>
      <c r="F3352" s="3">
        <v>1.5425</v>
      </c>
      <c r="G3352" s="3">
        <v>1.6093</v>
      </c>
    </row>
    <row r="3353" spans="1:7">
      <c r="A3353" s="2">
        <v>45952</v>
      </c>
      <c r="B3353" s="3">
        <v>1.5375</v>
      </c>
      <c r="C3353" s="3">
        <v>1.6</v>
      </c>
      <c r="D3353" s="3">
        <v>1.54</v>
      </c>
      <c r="E3353" s="3">
        <v>1.6025</v>
      </c>
      <c r="F3353" s="3">
        <v>1.5388</v>
      </c>
      <c r="G3353" s="3">
        <v>1.6013</v>
      </c>
    </row>
    <row r="3354" spans="1:7">
      <c r="A3354" s="2">
        <v>45953</v>
      </c>
      <c r="B3354" s="3">
        <v>1.545</v>
      </c>
      <c r="C3354" s="3">
        <v>1.6116</v>
      </c>
      <c r="D3354" s="3">
        <v>1.5475</v>
      </c>
      <c r="E3354" s="3">
        <v>1.6145</v>
      </c>
      <c r="F3354" s="3">
        <v>1.5463</v>
      </c>
      <c r="G3354" s="3">
        <v>1.613</v>
      </c>
    </row>
    <row r="3355" spans="1:7">
      <c r="A3355" s="2">
        <v>45954</v>
      </c>
      <c r="B3355" s="3">
        <v>1.55</v>
      </c>
      <c r="C3355" s="3">
        <v>1.6225</v>
      </c>
      <c r="D3355" s="3">
        <v>1.5533</v>
      </c>
      <c r="E3355" s="3">
        <v>1.6262</v>
      </c>
      <c r="F3355" s="3">
        <v>1.5517</v>
      </c>
      <c r="G3355" s="3">
        <v>1.6243</v>
      </c>
    </row>
    <row r="3356" spans="1:7">
      <c r="A3356" s="2">
        <v>45957</v>
      </c>
      <c r="B3356" s="3">
        <v>1.545</v>
      </c>
      <c r="C3356" s="3">
        <v>1.6125</v>
      </c>
      <c r="D3356" s="3">
        <v>1.5475</v>
      </c>
      <c r="E3356" s="3">
        <v>1.615</v>
      </c>
      <c r="F3356" s="3">
        <v>1.5463</v>
      </c>
      <c r="G3356" s="3">
        <v>1.6138</v>
      </c>
    </row>
    <row r="3357" spans="1:7">
      <c r="A3357" s="2">
        <v>45958</v>
      </c>
      <c r="B3357" s="3">
        <v>1.54</v>
      </c>
      <c r="C3357" s="3">
        <v>1.5925</v>
      </c>
      <c r="D3357" s="3">
        <v>1.5425</v>
      </c>
      <c r="E3357" s="3">
        <v>1.595</v>
      </c>
      <c r="F3357" s="3">
        <v>1.5413</v>
      </c>
      <c r="G3357" s="3">
        <v>1.5938</v>
      </c>
    </row>
    <row r="3358" spans="1:7">
      <c r="A3358" s="2">
        <v>45959</v>
      </c>
      <c r="B3358" s="3">
        <v>1.5355</v>
      </c>
      <c r="C3358" s="3">
        <v>1.5825</v>
      </c>
      <c r="D3358" s="3">
        <v>1.5381</v>
      </c>
      <c r="E3358" s="3">
        <v>1.585</v>
      </c>
      <c r="F3358" s="3">
        <v>1.5368</v>
      </c>
      <c r="G3358" s="3">
        <v>1.5838</v>
      </c>
    </row>
    <row r="3359" spans="1:7">
      <c r="A3359" s="2">
        <v>45960</v>
      </c>
      <c r="B3359" s="3">
        <v>1.5375</v>
      </c>
      <c r="C3359" s="3">
        <v>1.5825</v>
      </c>
      <c r="D3359" s="3">
        <v>1.54</v>
      </c>
      <c r="E3359" s="3">
        <v>1.585</v>
      </c>
      <c r="F3359" s="3">
        <v>1.5388</v>
      </c>
      <c r="G3359" s="3">
        <v>1.5838</v>
      </c>
    </row>
    <row r="3360" spans="1:7">
      <c r="A3360" s="2">
        <v>45961</v>
      </c>
      <c r="B3360" s="3">
        <v>1.525</v>
      </c>
      <c r="C3360" s="3">
        <v>1.5675</v>
      </c>
      <c r="D3360" s="3">
        <v>1.5275</v>
      </c>
      <c r="E3360" s="3">
        <v>1.57</v>
      </c>
      <c r="F3360" s="3">
        <v>1.5263</v>
      </c>
      <c r="G3360" s="3">
        <v>1.5688</v>
      </c>
    </row>
    <row r="3361" spans="1:7">
      <c r="A3361" s="2">
        <v>45964</v>
      </c>
      <c r="B3361" s="3">
        <v>1.5329</v>
      </c>
      <c r="C3361" s="3">
        <v>1.579</v>
      </c>
      <c r="D3361" s="3">
        <v>1.5351</v>
      </c>
      <c r="E3361" s="3">
        <v>1.5825</v>
      </c>
      <c r="F3361" s="3">
        <v>1.534</v>
      </c>
      <c r="G3361" s="3">
        <v>1.5808</v>
      </c>
    </row>
    <row r="3362" spans="1:7">
      <c r="A3362" s="2">
        <v>45965</v>
      </c>
      <c r="B3362" s="3">
        <v>1.5405</v>
      </c>
      <c r="C3362" s="3">
        <v>1.5916</v>
      </c>
      <c r="D3362" s="3">
        <v>1.5436</v>
      </c>
      <c r="E3362" s="3">
        <v>1.5944</v>
      </c>
      <c r="F3362" s="3">
        <v>1.542</v>
      </c>
      <c r="G3362" s="3">
        <v>1.593</v>
      </c>
    </row>
    <row r="3363" spans="1:7">
      <c r="A3363" s="2">
        <v>45966</v>
      </c>
      <c r="B3363" s="3">
        <v>1.5378</v>
      </c>
      <c r="C3363" s="3">
        <v>1.5875</v>
      </c>
      <c r="D3363" s="3">
        <v>1.5419</v>
      </c>
      <c r="E3363" s="3">
        <v>1.59</v>
      </c>
      <c r="F3363" s="3">
        <v>1.5399</v>
      </c>
      <c r="G3363" s="3">
        <v>1.5888</v>
      </c>
    </row>
    <row r="3364" spans="1:7">
      <c r="A3364" s="2">
        <v>45967</v>
      </c>
      <c r="B3364" s="3">
        <v>1.5425</v>
      </c>
      <c r="C3364" s="3">
        <v>1.595</v>
      </c>
      <c r="D3364" s="3">
        <v>1.545</v>
      </c>
      <c r="E3364" s="3">
        <v>1.5975</v>
      </c>
      <c r="F3364" s="3">
        <v>1.5438</v>
      </c>
      <c r="G3364" s="3">
        <v>1.5963</v>
      </c>
    </row>
    <row r="3365" spans="1:7">
      <c r="A3365" s="2">
        <v>45968</v>
      </c>
      <c r="B3365" s="3">
        <v>1.5375</v>
      </c>
      <c r="C3365" s="3">
        <v>1.595</v>
      </c>
      <c r="D3365" s="3">
        <v>1.54</v>
      </c>
      <c r="E3365" s="3">
        <v>1.5975</v>
      </c>
      <c r="F3365" s="3">
        <v>1.5388</v>
      </c>
      <c r="G3365" s="3">
        <v>1.5963</v>
      </c>
    </row>
    <row r="3366" spans="1:7">
      <c r="A3366" s="2">
        <v>45971</v>
      </c>
      <c r="B3366" s="3">
        <v>1.5375</v>
      </c>
      <c r="C3366" s="3">
        <v>1.5925</v>
      </c>
      <c r="D3366" s="3">
        <v>1.54</v>
      </c>
      <c r="E3366" s="3">
        <v>1.595</v>
      </c>
      <c r="F3366" s="3">
        <v>1.5388</v>
      </c>
      <c r="G3366" s="3">
        <v>1.5938</v>
      </c>
    </row>
    <row r="3367" spans="1:7">
      <c r="A3367" s="2">
        <v>45972</v>
      </c>
      <c r="B3367" s="3">
        <v>1.54</v>
      </c>
      <c r="C3367" s="3">
        <v>1.5925</v>
      </c>
      <c r="D3367" s="3">
        <v>1.5425</v>
      </c>
      <c r="E3367" s="3">
        <v>1.595</v>
      </c>
      <c r="F3367" s="3">
        <v>1.5413</v>
      </c>
      <c r="G3367" s="3">
        <v>1.5938</v>
      </c>
    </row>
    <row r="3368" spans="1:7">
      <c r="A3368" s="2">
        <v>45973</v>
      </c>
      <c r="B3368" s="3">
        <v>1.54</v>
      </c>
      <c r="C3368" s="3">
        <v>1.59</v>
      </c>
      <c r="D3368" s="3">
        <v>1.5425</v>
      </c>
      <c r="E3368" s="3">
        <v>1.5925</v>
      </c>
      <c r="F3368" s="3">
        <v>1.5413</v>
      </c>
      <c r="G3368" s="3">
        <v>1.5913</v>
      </c>
    </row>
    <row r="3369" spans="1:7">
      <c r="A3369" s="2">
        <v>45974</v>
      </c>
      <c r="B3369" s="3">
        <v>1.5425</v>
      </c>
      <c r="C3369" s="3">
        <v>1.5994</v>
      </c>
      <c r="D3369" s="3">
        <v>1.545</v>
      </c>
      <c r="E3369" s="3">
        <v>1.602</v>
      </c>
      <c r="F3369" s="3">
        <v>1.5438</v>
      </c>
      <c r="G3369" s="3">
        <v>1.6007</v>
      </c>
    </row>
    <row r="3370" spans="1:7">
      <c r="A3370" s="2">
        <v>45975</v>
      </c>
      <c r="B3370" s="3">
        <v>1.54</v>
      </c>
      <c r="C3370" s="3">
        <v>1.6025</v>
      </c>
      <c r="D3370" s="3">
        <v>1.5425</v>
      </c>
      <c r="E3370" s="3">
        <v>1.605</v>
      </c>
      <c r="F3370" s="3">
        <v>1.5413</v>
      </c>
      <c r="G3370" s="3">
        <v>1.6038</v>
      </c>
    </row>
    <row r="3371" spans="1:7">
      <c r="A3371" s="2">
        <v>45978</v>
      </c>
      <c r="B3371" s="3">
        <v>1.5425</v>
      </c>
      <c r="C3371" s="3">
        <v>1.5975</v>
      </c>
      <c r="D3371" s="3">
        <v>1.545</v>
      </c>
      <c r="E3371" s="3">
        <v>1.6</v>
      </c>
      <c r="F3371" s="3">
        <v>1.5438</v>
      </c>
      <c r="G3371" s="3">
        <v>1.5988</v>
      </c>
    </row>
    <row r="3372" spans="1:7">
      <c r="A3372" s="2">
        <v>45979</v>
      </c>
      <c r="B3372" s="3">
        <v>1.545</v>
      </c>
      <c r="C3372" s="3">
        <v>1.5975</v>
      </c>
      <c r="D3372" s="3">
        <v>1.5475</v>
      </c>
      <c r="E3372" s="3">
        <v>1.6</v>
      </c>
      <c r="F3372" s="3">
        <v>1.5463</v>
      </c>
      <c r="G3372" s="3">
        <v>1.5988</v>
      </c>
    </row>
    <row r="3373" spans="1:7">
      <c r="A3373" s="2">
        <v>45980</v>
      </c>
      <c r="B3373" s="3">
        <v>1.545</v>
      </c>
      <c r="C3373" s="3">
        <v>1.602</v>
      </c>
      <c r="D3373" s="3">
        <v>1.5475</v>
      </c>
      <c r="E3373" s="3">
        <v>1.605</v>
      </c>
      <c r="F3373" s="3">
        <v>1.5463</v>
      </c>
      <c r="G3373" s="3">
        <v>1.6035</v>
      </c>
    </row>
    <row r="3374" spans="1:7">
      <c r="A3374" s="2">
        <v>45981</v>
      </c>
      <c r="B3374" s="3">
        <v>1.54</v>
      </c>
      <c r="C3374" s="3">
        <v>1.5954</v>
      </c>
      <c r="D3374" s="3">
        <v>1.5425</v>
      </c>
      <c r="E3374" s="3">
        <v>1.5979</v>
      </c>
      <c r="F3374" s="3">
        <v>1.5413</v>
      </c>
      <c r="G3374" s="3">
        <v>1.5966</v>
      </c>
    </row>
    <row r="3375" spans="1:7">
      <c r="A3375" s="2">
        <v>45982</v>
      </c>
      <c r="B3375" s="3">
        <v>1.5413</v>
      </c>
      <c r="C3375" s="3">
        <v>1.5925</v>
      </c>
      <c r="D3375" s="3">
        <v>1.545</v>
      </c>
      <c r="E3375" s="3">
        <v>1.595</v>
      </c>
      <c r="F3375" s="3">
        <v>1.5432</v>
      </c>
      <c r="G3375" s="3">
        <v>1.5938</v>
      </c>
    </row>
    <row r="3376" spans="1:7">
      <c r="A3376" s="2">
        <v>45985</v>
      </c>
      <c r="B3376" s="3">
        <v>1.5425</v>
      </c>
      <c r="C3376" s="3">
        <v>1.5948</v>
      </c>
      <c r="D3376" s="3">
        <v>1.5464</v>
      </c>
      <c r="E3376" s="3">
        <v>1.5975</v>
      </c>
      <c r="F3376" s="3">
        <v>1.5444</v>
      </c>
      <c r="G3376" s="3">
        <v>1.5962</v>
      </c>
    </row>
    <row r="3377" spans="1:7">
      <c r="A3377" s="2">
        <v>45986</v>
      </c>
      <c r="B3377" s="3">
        <v>1.5475</v>
      </c>
      <c r="C3377" s="3">
        <v>1.6025</v>
      </c>
      <c r="D3377" s="3">
        <v>1.55</v>
      </c>
      <c r="E3377" s="3">
        <v>1.605</v>
      </c>
      <c r="F3377" s="3">
        <v>1.5488</v>
      </c>
      <c r="G3377" s="3">
        <v>1.6038</v>
      </c>
    </row>
    <row r="3378" spans="1:7">
      <c r="A3378" s="2">
        <v>45987</v>
      </c>
      <c r="B3378" s="3">
        <v>1.5525</v>
      </c>
      <c r="C3378" s="3">
        <v>1.6174</v>
      </c>
      <c r="D3378" s="3">
        <v>1.555</v>
      </c>
      <c r="E3378" s="3">
        <v>1.6196</v>
      </c>
      <c r="F3378" s="3">
        <v>1.5538</v>
      </c>
      <c r="G3378" s="3">
        <v>1.6185</v>
      </c>
    </row>
    <row r="3379" spans="1:7">
      <c r="A3379" s="2">
        <v>45988</v>
      </c>
      <c r="B3379" s="3">
        <v>1.555</v>
      </c>
      <c r="C3379" s="3">
        <v>1.6225</v>
      </c>
      <c r="D3379" s="3">
        <v>1.5575</v>
      </c>
      <c r="E3379" s="3">
        <v>1.625</v>
      </c>
      <c r="F3379" s="3">
        <v>1.5563</v>
      </c>
      <c r="G3379" s="3">
        <v>1.6238</v>
      </c>
    </row>
    <row r="3380" spans="1:7">
      <c r="A3380" s="2">
        <v>45989</v>
      </c>
      <c r="B3380" s="3">
        <v>1.5475</v>
      </c>
      <c r="C3380" s="3">
        <v>1.615</v>
      </c>
      <c r="D3380" s="3">
        <v>1.55</v>
      </c>
      <c r="E3380" s="3">
        <v>1.6175</v>
      </c>
      <c r="F3380" s="3">
        <v>1.5488</v>
      </c>
      <c r="G3380" s="3">
        <v>1.6163</v>
      </c>
    </row>
    <row r="3381" spans="1:7">
      <c r="A3381" s="2">
        <v>45992</v>
      </c>
      <c r="B3381" s="3">
        <v>1.54</v>
      </c>
      <c r="C3381" s="3">
        <v>1.605</v>
      </c>
      <c r="D3381" s="3">
        <v>1.5425</v>
      </c>
      <c r="E3381" s="3">
        <v>1.6075</v>
      </c>
      <c r="F3381" s="3">
        <v>1.5413</v>
      </c>
      <c r="G3381" s="3">
        <v>1.6063</v>
      </c>
    </row>
    <row r="3382" spans="1:7">
      <c r="A3382" s="2">
        <v>45993</v>
      </c>
      <c r="B3382" s="3">
        <v>1.5404</v>
      </c>
      <c r="C3382" s="3">
        <v>1.615</v>
      </c>
      <c r="D3382" s="3">
        <v>1.5429</v>
      </c>
      <c r="E3382" s="3">
        <v>1.6175</v>
      </c>
      <c r="F3382" s="3">
        <v>1.5416</v>
      </c>
      <c r="G3382" s="3">
        <v>1.6163</v>
      </c>
    </row>
    <row r="3383" spans="1:7">
      <c r="A3383" s="2">
        <v>45994</v>
      </c>
      <c r="B3383" s="3">
        <v>1.535</v>
      </c>
      <c r="C3383" s="3">
        <v>1.6099</v>
      </c>
      <c r="D3383" s="3">
        <v>1.5375</v>
      </c>
      <c r="E3383" s="3">
        <v>1.6125</v>
      </c>
      <c r="F3383" s="3">
        <v>1.5363</v>
      </c>
      <c r="G3383" s="3">
        <v>1.6112</v>
      </c>
    </row>
    <row r="3384" spans="1:7">
      <c r="A3384" s="2">
        <v>45995</v>
      </c>
      <c r="B3384" s="3">
        <v>1.545</v>
      </c>
      <c r="C3384" s="3">
        <v>1.6375</v>
      </c>
      <c r="D3384" s="3">
        <v>1.5475</v>
      </c>
      <c r="E3384" s="3">
        <v>1.64</v>
      </c>
      <c r="F3384" s="3">
        <v>1.5463</v>
      </c>
      <c r="G3384" s="3">
        <v>1.6388</v>
      </c>
    </row>
    <row r="3385" spans="1:7">
      <c r="A3385" s="2">
        <v>45996</v>
      </c>
      <c r="B3385" s="3">
        <v>1.5392</v>
      </c>
      <c r="C3385" s="3">
        <v>1.6339</v>
      </c>
      <c r="D3385" s="3">
        <v>1.5418</v>
      </c>
      <c r="E3385" s="3">
        <v>1.636</v>
      </c>
      <c r="F3385" s="3">
        <v>1.5405</v>
      </c>
      <c r="G3385" s="3">
        <v>1.6349</v>
      </c>
    </row>
    <row r="3386" spans="1:7">
      <c r="A3386" s="2">
        <v>45999</v>
      </c>
      <c r="B3386" s="3">
        <v>1.5425</v>
      </c>
      <c r="C3386" s="3">
        <v>1.635</v>
      </c>
      <c r="D3386" s="3">
        <v>1.545</v>
      </c>
      <c r="E3386" s="3">
        <v>1.6375</v>
      </c>
      <c r="F3386" s="3">
        <v>1.5438</v>
      </c>
      <c r="G3386" s="3">
        <v>1.6363</v>
      </c>
    </row>
    <row r="3387" spans="1:7">
      <c r="A3387" s="2">
        <v>46000</v>
      </c>
      <c r="B3387" s="3">
        <v>1.5413</v>
      </c>
      <c r="C3387" s="3">
        <v>1.6325</v>
      </c>
      <c r="D3387" s="3">
        <v>1.5425</v>
      </c>
      <c r="E3387" s="3">
        <v>1.635</v>
      </c>
      <c r="F3387" s="3">
        <v>1.5419</v>
      </c>
      <c r="G3387" s="3">
        <v>1.6338</v>
      </c>
    </row>
    <row r="3388" spans="1:7">
      <c r="A3388" s="2">
        <v>46001</v>
      </c>
      <c r="B3388" s="3">
        <v>1.5419</v>
      </c>
      <c r="C3388" s="3">
        <v>1.6325</v>
      </c>
      <c r="D3388" s="3">
        <v>1.5425</v>
      </c>
      <c r="E3388" s="3">
        <v>1.635</v>
      </c>
      <c r="F3388" s="3">
        <v>1.5422</v>
      </c>
      <c r="G3388" s="3">
        <v>1.6338</v>
      </c>
    </row>
    <row r="3389" spans="1:7">
      <c r="A3389" s="2">
        <v>46002</v>
      </c>
      <c r="B3389" s="3">
        <v>1.54</v>
      </c>
      <c r="C3389" s="3">
        <v>1.6175</v>
      </c>
      <c r="D3389" s="3">
        <v>1.5425</v>
      </c>
      <c r="E3389" s="3">
        <v>1.62</v>
      </c>
      <c r="F3389" s="3">
        <v>1.5413</v>
      </c>
      <c r="G3389" s="3">
        <v>1.6188</v>
      </c>
    </row>
    <row r="3390" spans="1:7">
      <c r="A3390" s="2">
        <v>46003</v>
      </c>
      <c r="B3390" s="3">
        <v>1.5375</v>
      </c>
      <c r="C3390" s="3">
        <v>1.6325</v>
      </c>
      <c r="D3390" s="3">
        <v>1.54</v>
      </c>
      <c r="E3390" s="3">
        <v>1.635</v>
      </c>
      <c r="F3390" s="3">
        <v>1.5388</v>
      </c>
      <c r="G3390" s="3">
        <v>1.6338</v>
      </c>
    </row>
    <row r="3391" spans="1:7">
      <c r="A3391" s="2">
        <v>46006</v>
      </c>
      <c r="B3391" s="3">
        <v>1.54</v>
      </c>
      <c r="C3391" s="3">
        <v>1.6325</v>
      </c>
      <c r="D3391" s="3">
        <v>1.5425</v>
      </c>
      <c r="E3391" s="3">
        <v>1.635</v>
      </c>
      <c r="F3391" s="3">
        <v>1.5413</v>
      </c>
      <c r="G3391" s="3">
        <v>1.6338</v>
      </c>
    </row>
    <row r="3392" spans="1:7">
      <c r="A3392" s="2">
        <v>46007</v>
      </c>
      <c r="B3392" s="3">
        <v>1.5375</v>
      </c>
      <c r="C3392" s="3">
        <v>1.63</v>
      </c>
      <c r="D3392" s="3">
        <v>1.54</v>
      </c>
      <c r="E3392" s="3">
        <v>1.6325</v>
      </c>
      <c r="F3392" s="3">
        <v>1.5388</v>
      </c>
      <c r="G3392" s="3">
        <v>1.6313</v>
      </c>
    </row>
    <row r="3393" spans="1:7">
      <c r="A3393" s="2">
        <v>46008</v>
      </c>
      <c r="B3393" s="3">
        <v>1.5238</v>
      </c>
      <c r="C3393" s="3">
        <v>1.6175</v>
      </c>
      <c r="D3393" s="3">
        <v>1.525</v>
      </c>
      <c r="E3393" s="3">
        <v>1.6203</v>
      </c>
      <c r="F3393" s="3">
        <v>1.5244</v>
      </c>
      <c r="G3393" s="3">
        <v>1.6189</v>
      </c>
    </row>
    <row r="3394" spans="1:7">
      <c r="A3394" s="2">
        <v>46009</v>
      </c>
      <c r="B3394" s="3">
        <v>1.505</v>
      </c>
      <c r="C3394" s="3">
        <v>1.61</v>
      </c>
      <c r="D3394" s="3">
        <v>1.5075</v>
      </c>
      <c r="E3394" s="3">
        <v>1.6125</v>
      </c>
      <c r="F3394" s="3">
        <v>1.5063</v>
      </c>
      <c r="G3394" s="3">
        <v>1.6113</v>
      </c>
    </row>
    <row r="3395" spans="1:7">
      <c r="A3395" s="2">
        <v>46010</v>
      </c>
      <c r="B3395" s="3">
        <v>1.485</v>
      </c>
      <c r="C3395" s="3">
        <v>1.595</v>
      </c>
      <c r="D3395" s="3">
        <v>1.4875</v>
      </c>
      <c r="E3395" s="3">
        <v>1.5975</v>
      </c>
      <c r="F3395" s="3">
        <v>1.4863</v>
      </c>
      <c r="G3395" s="3">
        <v>1.5963</v>
      </c>
    </row>
    <row r="3396" spans="1:7">
      <c r="A3396" s="2">
        <v>46013</v>
      </c>
      <c r="B3396" s="3">
        <v>1.49</v>
      </c>
      <c r="C3396" s="3">
        <v>1.5925</v>
      </c>
      <c r="D3396" s="3">
        <v>1.4925</v>
      </c>
      <c r="E3396" s="3">
        <v>1.595</v>
      </c>
      <c r="F3396" s="3">
        <v>1.4913</v>
      </c>
      <c r="G3396" s="3">
        <v>1.5938</v>
      </c>
    </row>
    <row r="3397" spans="1:7">
      <c r="A3397" s="2">
        <v>46014</v>
      </c>
      <c r="B3397" s="3">
        <v>1.49</v>
      </c>
      <c r="C3397" s="3">
        <v>1.585</v>
      </c>
      <c r="D3397" s="3">
        <v>1.4925</v>
      </c>
      <c r="E3397" s="3">
        <v>1.5875</v>
      </c>
      <c r="F3397" s="3">
        <v>1.4913</v>
      </c>
      <c r="G3397" s="3">
        <v>1.5863</v>
      </c>
    </row>
    <row r="3398" spans="1:7">
      <c r="A3398" s="2">
        <v>46015</v>
      </c>
      <c r="B3398" s="3">
        <v>1.485</v>
      </c>
      <c r="C3398" s="3">
        <v>1.58</v>
      </c>
      <c r="D3398" s="3">
        <v>1.4875</v>
      </c>
      <c r="E3398" s="3">
        <v>1.5825</v>
      </c>
      <c r="F3398" s="3">
        <v>1.4863</v>
      </c>
      <c r="G3398" s="3">
        <v>1.5813</v>
      </c>
    </row>
    <row r="3399" spans="1:7">
      <c r="A3399" s="2">
        <v>46016</v>
      </c>
      <c r="B3399" s="3">
        <v>1.4875</v>
      </c>
      <c r="C3399" s="3">
        <v>1.5863</v>
      </c>
      <c r="D3399" s="3">
        <v>1.49</v>
      </c>
      <c r="E3399" s="3">
        <v>1.5893</v>
      </c>
      <c r="F3399" s="3">
        <v>1.4888</v>
      </c>
      <c r="G3399" s="3">
        <v>1.5878</v>
      </c>
    </row>
    <row r="3400" spans="1:7">
      <c r="A3400" s="2">
        <v>46017</v>
      </c>
      <c r="B3400" s="3">
        <v>1.4825</v>
      </c>
      <c r="C3400" s="3">
        <v>1.5825</v>
      </c>
      <c r="D3400" s="3">
        <v>1.4866</v>
      </c>
      <c r="E3400" s="3">
        <v>1.585</v>
      </c>
      <c r="F3400" s="3">
        <v>1.4846</v>
      </c>
      <c r="G3400" s="3">
        <v>1.5838</v>
      </c>
    </row>
    <row r="3401" spans="1:7">
      <c r="A3401" s="2">
        <v>46020</v>
      </c>
      <c r="B3401" s="3">
        <v>1.4975</v>
      </c>
      <c r="C3401" s="3">
        <v>1.605</v>
      </c>
      <c r="D3401" s="3">
        <v>1.5</v>
      </c>
      <c r="E3401" s="3">
        <v>1.6075</v>
      </c>
      <c r="F3401" s="3">
        <v>1.4988</v>
      </c>
      <c r="G3401" s="3">
        <v>1.6063</v>
      </c>
    </row>
    <row r="3402" spans="1:7">
      <c r="A3402" s="2">
        <v>46021</v>
      </c>
      <c r="B3402" s="3">
        <v>1.5</v>
      </c>
      <c r="C3402" s="3">
        <v>1.6125</v>
      </c>
      <c r="D3402" s="3">
        <v>1.5025</v>
      </c>
      <c r="E3402" s="3">
        <v>1.615</v>
      </c>
      <c r="F3402" s="3">
        <v>1.5013</v>
      </c>
      <c r="G3402" s="3">
        <v>1.6138</v>
      </c>
    </row>
    <row r="3403" spans="1:7">
      <c r="A3403" s="2">
        <v>46022</v>
      </c>
      <c r="B3403" s="3">
        <v>1.497</v>
      </c>
      <c r="C3403" s="3">
        <v>1.6106</v>
      </c>
      <c r="D3403" s="3">
        <v>1.5</v>
      </c>
      <c r="E3403" s="3">
        <v>1.6127</v>
      </c>
      <c r="F3403" s="3">
        <v>1.4985</v>
      </c>
      <c r="G3403" s="3">
        <v>1.6116</v>
      </c>
    </row>
    <row r="3404" spans="1:7">
      <c r="A3404" s="2">
        <v>46026</v>
      </c>
      <c r="B3404" s="3">
        <v>1.495</v>
      </c>
      <c r="C3404" s="3">
        <v>1.605</v>
      </c>
      <c r="D3404" s="3">
        <v>1.5</v>
      </c>
      <c r="E3404" s="3">
        <v>1.615</v>
      </c>
      <c r="F3404" s="3">
        <v>1.4975</v>
      </c>
      <c r="G3404" s="3">
        <v>1.61</v>
      </c>
    </row>
    <row r="3405" spans="1:7">
      <c r="A3405" s="2">
        <v>46027</v>
      </c>
      <c r="B3405" s="3">
        <v>1.5025</v>
      </c>
      <c r="C3405" s="3">
        <v>1.6275</v>
      </c>
      <c r="D3405" s="3">
        <v>1.505</v>
      </c>
      <c r="E3405" s="3">
        <v>1.63</v>
      </c>
      <c r="F3405" s="3">
        <v>1.5038</v>
      </c>
      <c r="G3405" s="3">
        <v>1.6288</v>
      </c>
    </row>
    <row r="3406" spans="1:7">
      <c r="A3406" s="2">
        <v>46028</v>
      </c>
      <c r="B3406" s="3">
        <v>1.51</v>
      </c>
      <c r="C3406" s="3">
        <v>1.645</v>
      </c>
      <c r="D3406" s="3">
        <v>1.5125</v>
      </c>
      <c r="E3406" s="3">
        <v>1.6475</v>
      </c>
      <c r="F3406" s="3">
        <v>1.5113</v>
      </c>
      <c r="G3406" s="3">
        <v>1.6463</v>
      </c>
    </row>
    <row r="3407" spans="1:7">
      <c r="A3407" s="2">
        <v>46029</v>
      </c>
      <c r="B3407" s="3">
        <v>1.515</v>
      </c>
      <c r="C3407" s="3">
        <v>1.65</v>
      </c>
      <c r="D3407" s="3">
        <v>1.5175</v>
      </c>
      <c r="E3407" s="3">
        <v>1.6525</v>
      </c>
      <c r="F3407" s="3">
        <v>1.5163</v>
      </c>
      <c r="G3407" s="3">
        <v>1.6513</v>
      </c>
    </row>
    <row r="3408" spans="1:7">
      <c r="A3408" s="2">
        <v>46030</v>
      </c>
      <c r="B3408" s="3">
        <v>1.5097</v>
      </c>
      <c r="C3408" s="3">
        <v>1.6373</v>
      </c>
      <c r="D3408" s="3">
        <v>1.5123</v>
      </c>
      <c r="E3408" s="3">
        <v>1.6398</v>
      </c>
      <c r="F3408" s="3">
        <v>1.511</v>
      </c>
      <c r="G3408" s="3">
        <v>1.6386</v>
      </c>
    </row>
    <row r="3409" spans="1:7">
      <c r="A3409" s="2">
        <v>46031</v>
      </c>
      <c r="B3409" s="3">
        <v>1.5075</v>
      </c>
      <c r="C3409" s="3">
        <v>1.635</v>
      </c>
      <c r="D3409" s="3">
        <v>1.51</v>
      </c>
      <c r="E3409" s="3">
        <v>1.638</v>
      </c>
      <c r="F3409" s="3">
        <v>1.5088</v>
      </c>
      <c r="G3409" s="3">
        <v>1.6365</v>
      </c>
    </row>
    <row r="3410" spans="1:7">
      <c r="A3410" s="2">
        <v>46034</v>
      </c>
      <c r="B3410" s="3">
        <v>1.5125</v>
      </c>
      <c r="C3410" s="3">
        <v>1.6338</v>
      </c>
      <c r="D3410" s="3">
        <v>1.515</v>
      </c>
      <c r="E3410" s="3">
        <v>1.6367</v>
      </c>
      <c r="F3410" s="3">
        <v>1.5138</v>
      </c>
      <c r="G3410" s="3">
        <v>1.6352</v>
      </c>
    </row>
    <row r="3411" spans="1:7">
      <c r="A3411" s="2">
        <v>46035</v>
      </c>
      <c r="B3411" s="3">
        <v>1.5225</v>
      </c>
      <c r="C3411" s="3">
        <v>1.6325</v>
      </c>
      <c r="D3411" s="3">
        <v>1.525</v>
      </c>
      <c r="E3411" s="3">
        <v>1.635</v>
      </c>
      <c r="F3411" s="3">
        <v>1.5238</v>
      </c>
      <c r="G3411" s="3">
        <v>1.6338</v>
      </c>
    </row>
    <row r="3412" spans="1:7">
      <c r="A3412" s="2">
        <v>46036</v>
      </c>
      <c r="B3412" s="3">
        <v>1.5175</v>
      </c>
      <c r="C3412" s="3">
        <v>1.635</v>
      </c>
      <c r="D3412" s="3">
        <v>1.52</v>
      </c>
      <c r="E3412" s="3">
        <v>1.6375</v>
      </c>
      <c r="F3412" s="3">
        <v>1.5188</v>
      </c>
      <c r="G3412" s="3">
        <v>1.6363</v>
      </c>
    </row>
    <row r="3413" spans="1:7">
      <c r="A3413" s="2">
        <v>46037</v>
      </c>
      <c r="B3413" s="3">
        <v>1.51</v>
      </c>
      <c r="C3413" s="3">
        <v>1.6363</v>
      </c>
      <c r="D3413" s="3">
        <v>1.5125</v>
      </c>
      <c r="E3413" s="3">
        <v>1.6389</v>
      </c>
      <c r="F3413" s="3">
        <v>1.5113</v>
      </c>
      <c r="G3413" s="3">
        <v>1.6376</v>
      </c>
    </row>
    <row r="3414" spans="1:7">
      <c r="A3414" s="2">
        <v>46038</v>
      </c>
      <c r="B3414" s="3">
        <v>1.4975</v>
      </c>
      <c r="C3414" s="3">
        <v>1.63</v>
      </c>
      <c r="D3414" s="3">
        <v>1.5</v>
      </c>
      <c r="E3414" s="3">
        <v>1.6325</v>
      </c>
      <c r="F3414" s="3">
        <v>1.4988</v>
      </c>
      <c r="G3414" s="3">
        <v>1.6313</v>
      </c>
    </row>
    <row r="3415" spans="1:7">
      <c r="A3415" s="2">
        <v>46041</v>
      </c>
      <c r="B3415" s="3">
        <v>1.505</v>
      </c>
      <c r="C3415" s="3">
        <v>1.63</v>
      </c>
      <c r="D3415" s="3">
        <v>1.5075</v>
      </c>
      <c r="E3415" s="3">
        <v>1.6325</v>
      </c>
      <c r="F3415" s="3">
        <v>1.5063</v>
      </c>
      <c r="G3415" s="3">
        <v>1.6313</v>
      </c>
    </row>
    <row r="3416" spans="1:7">
      <c r="A3416" s="2">
        <v>46042</v>
      </c>
      <c r="B3416" s="3">
        <v>1.5025</v>
      </c>
      <c r="C3416" s="3">
        <v>1.62</v>
      </c>
      <c r="D3416" s="3">
        <v>1.505</v>
      </c>
      <c r="E3416" s="3">
        <v>1.6225</v>
      </c>
      <c r="F3416" s="3">
        <v>1.5038</v>
      </c>
      <c r="G3416" s="3">
        <v>1.6213</v>
      </c>
    </row>
    <row r="3417" spans="1:7">
      <c r="A3417" s="2">
        <v>46043</v>
      </c>
      <c r="B3417" s="3">
        <v>1.5025</v>
      </c>
      <c r="C3417" s="3">
        <v>1.62</v>
      </c>
      <c r="D3417" s="3">
        <v>1.505</v>
      </c>
      <c r="E3417" s="3">
        <v>1.6225</v>
      </c>
      <c r="F3417" s="3">
        <v>1.5038</v>
      </c>
      <c r="G3417" s="3">
        <v>1.6213</v>
      </c>
    </row>
    <row r="3418" spans="1:7">
      <c r="A3418" s="2">
        <v>46044</v>
      </c>
      <c r="B3418" s="3">
        <v>1.5075</v>
      </c>
      <c r="C3418" s="3">
        <v>1.6257</v>
      </c>
      <c r="D3418" s="3">
        <v>1.51</v>
      </c>
      <c r="E3418" s="3">
        <v>1.6282</v>
      </c>
      <c r="F3418" s="3">
        <v>1.5088</v>
      </c>
      <c r="G3418" s="3">
        <v>1.627</v>
      </c>
    </row>
    <row r="3419" spans="1:7">
      <c r="A3419" s="2">
        <v>46045</v>
      </c>
      <c r="B3419" s="3">
        <v>1.4975</v>
      </c>
      <c r="C3419" s="3">
        <v>1.6184</v>
      </c>
      <c r="D3419" s="3">
        <v>1.5</v>
      </c>
      <c r="E3419" s="3">
        <v>1.6209</v>
      </c>
      <c r="F3419" s="3">
        <v>1.4988</v>
      </c>
      <c r="G3419" s="3">
        <v>1.6196</v>
      </c>
    </row>
    <row r="3420" spans="1:7">
      <c r="A3420" s="2">
        <v>46048</v>
      </c>
      <c r="B3420" s="3">
        <v>1.5025</v>
      </c>
      <c r="C3420" s="3">
        <v>1.62</v>
      </c>
      <c r="D3420" s="3">
        <v>1.505</v>
      </c>
      <c r="E3420" s="3">
        <v>1.6225</v>
      </c>
      <c r="F3420" s="3">
        <v>1.5038</v>
      </c>
      <c r="G3420" s="3">
        <v>1.6213</v>
      </c>
    </row>
    <row r="3421" spans="1:7">
      <c r="A3421" s="2">
        <v>46049</v>
      </c>
      <c r="B3421" s="3">
        <v>1.5082</v>
      </c>
      <c r="C3421" s="3">
        <v>1.6225</v>
      </c>
      <c r="D3421" s="3">
        <v>1.5108</v>
      </c>
      <c r="E3421" s="3">
        <v>1.625</v>
      </c>
      <c r="F3421" s="3">
        <v>1.5095</v>
      </c>
      <c r="G3421" s="3">
        <v>1.6238</v>
      </c>
    </row>
    <row r="3422" spans="1:7">
      <c r="A3422" s="2">
        <v>46050</v>
      </c>
      <c r="B3422" s="3">
        <v>1.5075</v>
      </c>
      <c r="C3422" s="3">
        <v>1.6192</v>
      </c>
      <c r="D3422" s="3">
        <v>1.51</v>
      </c>
      <c r="E3422" s="3">
        <v>1.6202</v>
      </c>
      <c r="F3422" s="3">
        <v>1.5088</v>
      </c>
      <c r="G3422" s="3">
        <v>1.6197</v>
      </c>
    </row>
    <row r="3423" spans="1:7">
      <c r="A3423" s="2">
        <v>46051</v>
      </c>
      <c r="B3423" s="3">
        <v>1.52</v>
      </c>
      <c r="C3423" s="3">
        <v>1.6275</v>
      </c>
      <c r="D3423" s="3">
        <v>1.5225</v>
      </c>
      <c r="E3423" s="3">
        <v>1.63</v>
      </c>
      <c r="F3423" s="3">
        <v>1.5213</v>
      </c>
      <c r="G3423" s="3">
        <v>1.6288</v>
      </c>
    </row>
    <row r="3424" spans="1:7">
      <c r="A3424" s="2">
        <v>46052</v>
      </c>
      <c r="B3424" s="3">
        <v>1.515</v>
      </c>
      <c r="C3424" s="3">
        <v>1.6425</v>
      </c>
      <c r="D3424" s="3">
        <v>1.5175</v>
      </c>
      <c r="E3424" s="3">
        <v>1.645</v>
      </c>
      <c r="F3424" s="3">
        <v>1.5163</v>
      </c>
      <c r="G3424" s="3">
        <v>1.6438</v>
      </c>
    </row>
    <row r="3425" spans="1:7">
      <c r="A3425" s="2">
        <v>46055</v>
      </c>
      <c r="B3425" s="3">
        <v>1.515</v>
      </c>
      <c r="C3425" s="3">
        <v>1.6425</v>
      </c>
      <c r="D3425" s="3">
        <v>1.5175</v>
      </c>
      <c r="E3425" s="3">
        <v>1.645</v>
      </c>
      <c r="F3425" s="3">
        <v>1.5163</v>
      </c>
      <c r="G3425" s="3">
        <v>1.6438</v>
      </c>
    </row>
    <row r="3426" spans="1:7">
      <c r="A3426" s="2">
        <v>46056</v>
      </c>
      <c r="B3426" s="3">
        <v>1.5125</v>
      </c>
      <c r="C3426" s="3">
        <v>1.6375</v>
      </c>
      <c r="D3426" s="3">
        <v>1.515</v>
      </c>
      <c r="E3426" s="3">
        <v>1.64</v>
      </c>
      <c r="F3426" s="3">
        <v>1.5138</v>
      </c>
      <c r="G3426" s="3">
        <v>1.6388</v>
      </c>
    </row>
    <row r="3427" spans="1:7">
      <c r="A3427" s="2">
        <v>46057</v>
      </c>
      <c r="B3427" s="3">
        <v>1.5175</v>
      </c>
      <c r="C3427" s="3">
        <v>1.6425</v>
      </c>
      <c r="D3427" s="3">
        <v>1.52</v>
      </c>
      <c r="E3427" s="3">
        <v>1.645</v>
      </c>
      <c r="F3427" s="3">
        <v>1.5188</v>
      </c>
      <c r="G3427" s="3">
        <v>1.6438</v>
      </c>
    </row>
    <row r="3428" spans="1:7">
      <c r="A3428" s="2">
        <v>46058</v>
      </c>
      <c r="B3428" s="3">
        <v>1.51</v>
      </c>
      <c r="C3428" s="3">
        <v>1.63</v>
      </c>
      <c r="D3428" s="3">
        <v>1.5126</v>
      </c>
      <c r="E3428" s="3">
        <v>1.6325</v>
      </c>
      <c r="F3428" s="3">
        <v>1.5113</v>
      </c>
      <c r="G3428" s="3">
        <v>1.6313</v>
      </c>
    </row>
    <row r="3429" spans="1:7">
      <c r="A3429" s="2">
        <v>46059</v>
      </c>
      <c r="B3429" s="3">
        <v>1.5025</v>
      </c>
      <c r="C3429" s="3">
        <v>1.6155</v>
      </c>
      <c r="D3429" s="3">
        <v>1.505</v>
      </c>
      <c r="E3429" s="3">
        <v>1.6184</v>
      </c>
      <c r="F3429" s="3">
        <v>1.5038</v>
      </c>
      <c r="G3429" s="3">
        <v>1.617</v>
      </c>
    </row>
    <row r="3430" spans="1:7">
      <c r="A3430" s="2">
        <v>46062</v>
      </c>
      <c r="B3430" s="3">
        <v>1.4973</v>
      </c>
      <c r="C3430" s="3">
        <v>1.605</v>
      </c>
      <c r="D3430" s="3">
        <v>1.4998</v>
      </c>
      <c r="E3430" s="3">
        <v>1.6075</v>
      </c>
      <c r="F3430" s="3">
        <v>1.4986</v>
      </c>
      <c r="G3430" s="3">
        <v>1.6063</v>
      </c>
    </row>
    <row r="3431" spans="1:7">
      <c r="A3431" s="2">
        <v>46063</v>
      </c>
      <c r="B3431" s="3">
        <v>1.495</v>
      </c>
      <c r="C3431" s="3">
        <v>1.6075</v>
      </c>
      <c r="D3431" s="3">
        <v>1.4975</v>
      </c>
      <c r="E3431" s="3">
        <v>1.61</v>
      </c>
      <c r="F3431" s="3">
        <v>1.4963</v>
      </c>
      <c r="G3431" s="3">
        <v>1.6088</v>
      </c>
    </row>
    <row r="3432" spans="1:7">
      <c r="A3432" s="2">
        <v>46064</v>
      </c>
      <c r="B3432" s="3">
        <v>1.5025</v>
      </c>
      <c r="C3432" s="3">
        <v>1.6025</v>
      </c>
      <c r="D3432" s="3">
        <v>1.505</v>
      </c>
      <c r="E3432" s="3">
        <v>1.605</v>
      </c>
      <c r="F3432" s="3">
        <v>1.5038</v>
      </c>
      <c r="G3432" s="3">
        <v>1.6038</v>
      </c>
    </row>
    <row r="3433" spans="1:7">
      <c r="A3433" s="2">
        <v>46065</v>
      </c>
      <c r="B3433" s="3">
        <v>1.5</v>
      </c>
      <c r="C3433" s="3">
        <v>1.595</v>
      </c>
      <c r="D3433" s="3">
        <v>1.5025</v>
      </c>
      <c r="E3433" s="3">
        <v>1.5975</v>
      </c>
      <c r="F3433" s="3">
        <v>1.5013</v>
      </c>
      <c r="G3433" s="3">
        <v>1.5963</v>
      </c>
    </row>
    <row r="3434" spans="1:7">
      <c r="A3434" s="2">
        <v>46066</v>
      </c>
      <c r="B3434" s="3">
        <v>1.4975</v>
      </c>
      <c r="C3434" s="3">
        <v>1.595</v>
      </c>
      <c r="D3434" s="3">
        <v>1.5</v>
      </c>
      <c r="E3434" s="3">
        <v>1.5975</v>
      </c>
      <c r="F3434" s="3">
        <v>1.4988</v>
      </c>
      <c r="G3434" s="3">
        <v>1.5963</v>
      </c>
    </row>
    <row r="3435" spans="1:7">
      <c r="A3435" s="2">
        <v>46067</v>
      </c>
      <c r="B3435" s="3">
        <v>1.495</v>
      </c>
      <c r="C3435" s="3">
        <v>1.5925</v>
      </c>
      <c r="D3435" s="3">
        <v>1.5025</v>
      </c>
      <c r="E3435" s="3">
        <v>1.5975</v>
      </c>
      <c r="F3435" s="3">
        <v>1.4988</v>
      </c>
      <c r="G3435" s="3">
        <v>1.595</v>
      </c>
    </row>
    <row r="3436" spans="1:7">
      <c r="A3436" s="2">
        <v>46077</v>
      </c>
      <c r="B3436" s="3">
        <v>1.49</v>
      </c>
      <c r="C3436" s="3">
        <v>1.58</v>
      </c>
      <c r="D3436" s="3">
        <v>1.4925</v>
      </c>
      <c r="E3436" s="3">
        <v>1.5825</v>
      </c>
      <c r="F3436" s="3">
        <v>1.4913</v>
      </c>
      <c r="G3436" s="3">
        <v>1.5813</v>
      </c>
    </row>
    <row r="3437" spans="1:7">
      <c r="A3437" s="2">
        <v>46078</v>
      </c>
      <c r="B3437" s="3">
        <v>1.4925</v>
      </c>
      <c r="C3437" s="3">
        <v>1.5886</v>
      </c>
      <c r="D3437" s="3">
        <v>1.495</v>
      </c>
      <c r="E3437" s="3">
        <v>1.5912</v>
      </c>
      <c r="F3437" s="3">
        <v>1.4938</v>
      </c>
      <c r="G3437" s="3">
        <v>1.5899</v>
      </c>
    </row>
    <row r="3438" spans="1:7">
      <c r="A3438" s="2">
        <v>46079</v>
      </c>
      <c r="B3438" s="3">
        <v>1.495</v>
      </c>
      <c r="C3438" s="3">
        <v>1.6</v>
      </c>
      <c r="D3438" s="3">
        <v>1.4975</v>
      </c>
      <c r="E3438" s="3">
        <v>1.6025</v>
      </c>
      <c r="F3438" s="3">
        <v>1.4963</v>
      </c>
      <c r="G3438" s="3">
        <v>1.6013</v>
      </c>
    </row>
    <row r="3439" spans="1:7">
      <c r="A3439" s="2">
        <v>46080</v>
      </c>
      <c r="B3439" s="3">
        <v>1.49</v>
      </c>
      <c r="C3439" s="3">
        <v>1.59</v>
      </c>
      <c r="D3439" s="3">
        <v>1.4925</v>
      </c>
      <c r="E3439" s="3">
        <v>1.5925</v>
      </c>
      <c r="F3439" s="3">
        <v>1.4913</v>
      </c>
      <c r="G3439" s="3">
        <v>1.5913</v>
      </c>
    </row>
    <row r="3440" spans="1:7">
      <c r="A3440" s="2">
        <v>46081</v>
      </c>
      <c r="B3440" s="3">
        <v>1.485</v>
      </c>
      <c r="C3440" s="3">
        <v>1.5814</v>
      </c>
      <c r="D3440" s="3">
        <v>1.49</v>
      </c>
      <c r="E3440" s="3">
        <v>1.5854</v>
      </c>
      <c r="F3440" s="3">
        <v>1.4875</v>
      </c>
      <c r="G3440" s="3">
        <v>1.5834</v>
      </c>
    </row>
    <row r="3441" spans="1:7">
      <c r="A3441" s="2">
        <v>46083</v>
      </c>
      <c r="B3441" s="3">
        <v>1.475</v>
      </c>
      <c r="C3441" s="3">
        <v>1.5672</v>
      </c>
      <c r="D3441" s="3">
        <v>1.4775</v>
      </c>
      <c r="E3441" s="3">
        <v>1.57</v>
      </c>
      <c r="F3441" s="3">
        <v>1.4763</v>
      </c>
      <c r="G3441" s="3">
        <v>1.5686</v>
      </c>
    </row>
    <row r="3442" spans="1:7">
      <c r="A3442" s="2">
        <v>46084</v>
      </c>
      <c r="B3442" s="3">
        <v>1.48</v>
      </c>
      <c r="C3442" s="3">
        <v>1.5725</v>
      </c>
      <c r="D3442" s="3">
        <v>1.4825</v>
      </c>
      <c r="E3442" s="3">
        <v>1.575</v>
      </c>
      <c r="F3442" s="3">
        <v>1.4813</v>
      </c>
      <c r="G3442" s="3">
        <v>1.5738</v>
      </c>
    </row>
    <row r="3443" spans="1:7">
      <c r="A3443" s="2">
        <v>46085</v>
      </c>
      <c r="B3443" s="3">
        <v>1.4725</v>
      </c>
      <c r="C3443" s="3">
        <v>1.5675</v>
      </c>
      <c r="D3443" s="3">
        <v>1.475</v>
      </c>
      <c r="E3443" s="3">
        <v>1.57</v>
      </c>
      <c r="F3443" s="3">
        <v>1.4738</v>
      </c>
      <c r="G3443" s="3">
        <v>1.5688</v>
      </c>
    </row>
    <row r="3444" spans="1:7">
      <c r="A3444" s="2">
        <v>46086</v>
      </c>
      <c r="B3444" s="3">
        <v>1.4727</v>
      </c>
      <c r="C3444" s="3">
        <v>1.565</v>
      </c>
      <c r="D3444" s="3">
        <v>1.4752</v>
      </c>
      <c r="E3444" s="3">
        <v>1.5675</v>
      </c>
      <c r="F3444" s="3">
        <v>1.4739</v>
      </c>
      <c r="G3444" s="3">
        <v>1.5663</v>
      </c>
    </row>
    <row r="3445" spans="1:7">
      <c r="A3445" s="2">
        <v>46087</v>
      </c>
      <c r="B3445" s="3">
        <v>1.4725</v>
      </c>
      <c r="C3445" s="3">
        <v>1.5675</v>
      </c>
      <c r="D3445" s="3">
        <v>1.4751</v>
      </c>
      <c r="E3445" s="3">
        <v>1.57</v>
      </c>
      <c r="F3445" s="3">
        <v>1.4738</v>
      </c>
      <c r="G3445" s="3">
        <v>1.5688</v>
      </c>
    </row>
    <row r="3446" spans="1:7">
      <c r="A3446" s="2">
        <v>46090</v>
      </c>
      <c r="B3446" s="3">
        <v>1.4963</v>
      </c>
      <c r="C3446" s="3">
        <v>1.5977</v>
      </c>
      <c r="D3446" s="3">
        <v>1.4988</v>
      </c>
      <c r="E3446" s="3">
        <v>1.6002</v>
      </c>
      <c r="F3446" s="3">
        <v>1.4975</v>
      </c>
      <c r="G3446" s="3">
        <v>1.5989</v>
      </c>
    </row>
    <row r="3447" spans="1:7">
      <c r="A3447" s="2">
        <v>46091</v>
      </c>
      <c r="B3447" s="3">
        <v>1.4925</v>
      </c>
      <c r="C3447" s="3">
        <v>1.595</v>
      </c>
      <c r="D3447" s="3">
        <v>1.495</v>
      </c>
      <c r="E3447" s="3">
        <v>1.5975</v>
      </c>
      <c r="F3447" s="3">
        <v>1.4938</v>
      </c>
      <c r="G3447" s="3">
        <v>1.5963</v>
      </c>
    </row>
    <row r="3448" spans="1:7">
      <c r="A3448" s="2">
        <v>46092</v>
      </c>
      <c r="B3448" s="3">
        <v>1.5</v>
      </c>
      <c r="C3448" s="3">
        <v>1.605</v>
      </c>
      <c r="D3448" s="3">
        <v>1.5025</v>
      </c>
      <c r="E3448" s="3">
        <v>1.6075</v>
      </c>
      <c r="F3448" s="3">
        <v>1.5013</v>
      </c>
      <c r="G3448" s="3">
        <v>1.6063</v>
      </c>
    </row>
    <row r="3449" spans="1:7">
      <c r="A3449" s="2">
        <v>46093</v>
      </c>
      <c r="B3449" s="3">
        <v>1.4975</v>
      </c>
      <c r="C3449" s="3">
        <v>1.6025</v>
      </c>
      <c r="D3449" s="3">
        <v>1.5</v>
      </c>
      <c r="E3449" s="3">
        <v>1.6062</v>
      </c>
      <c r="F3449" s="3">
        <v>1.4988</v>
      </c>
      <c r="G3449" s="3">
        <v>1.6043</v>
      </c>
    </row>
    <row r="3450" spans="1:7">
      <c r="A3450" s="2">
        <v>46094</v>
      </c>
      <c r="B3450" s="3">
        <v>1.5</v>
      </c>
      <c r="C3450" s="3">
        <v>1.615</v>
      </c>
      <c r="D3450" s="3">
        <v>1.5025</v>
      </c>
      <c r="E3450" s="3">
        <v>1.6175</v>
      </c>
      <c r="F3450" s="3">
        <v>1.5013</v>
      </c>
      <c r="G3450" s="3">
        <v>1.6163</v>
      </c>
    </row>
    <row r="3451" spans="1:7">
      <c r="A3451" s="2">
        <v>46097</v>
      </c>
      <c r="B3451" s="3">
        <v>1.51</v>
      </c>
      <c r="C3451" s="3">
        <v>1.635</v>
      </c>
      <c r="D3451" s="3">
        <v>1.5125</v>
      </c>
      <c r="E3451" s="3">
        <v>1.6375</v>
      </c>
      <c r="F3451" s="3">
        <v>1.5113</v>
      </c>
      <c r="G3451" s="3">
        <v>1.6363</v>
      </c>
    </row>
    <row r="3452" spans="1:7">
      <c r="A3452" s="2">
        <v>46098</v>
      </c>
      <c r="B3452" s="3">
        <v>1.5025</v>
      </c>
      <c r="C3452" s="3">
        <v>1.6225</v>
      </c>
      <c r="D3452" s="3">
        <v>1.505</v>
      </c>
      <c r="E3452" s="3">
        <v>1.625</v>
      </c>
      <c r="F3452" s="3">
        <v>1.5038</v>
      </c>
      <c r="G3452" s="3">
        <v>1.6238</v>
      </c>
    </row>
    <row r="3453" spans="1:7">
      <c r="A3453" s="2">
        <v>46099</v>
      </c>
      <c r="B3453" s="3">
        <v>1.4975</v>
      </c>
      <c r="C3453" s="3">
        <v>1.61</v>
      </c>
      <c r="D3453" s="3">
        <v>1.5</v>
      </c>
      <c r="E3453" s="3">
        <v>1.6125</v>
      </c>
      <c r="F3453" s="3">
        <v>1.4988</v>
      </c>
      <c r="G3453" s="3">
        <v>1.6113</v>
      </c>
    </row>
    <row r="3454" spans="1:7">
      <c r="A3454" s="2">
        <v>46100</v>
      </c>
      <c r="B3454" s="3">
        <v>1.5059</v>
      </c>
      <c r="C3454" s="3">
        <v>1.63</v>
      </c>
      <c r="D3454" s="3">
        <v>1.51</v>
      </c>
      <c r="E3454" s="3">
        <v>1.6325</v>
      </c>
      <c r="F3454" s="3">
        <v>1.5079</v>
      </c>
      <c r="G3454" s="3">
        <v>1.6313</v>
      </c>
    </row>
    <row r="3455" spans="1:7">
      <c r="A3455" s="2">
        <v>46101</v>
      </c>
      <c r="B3455" s="3">
        <v>1.505</v>
      </c>
      <c r="C3455" s="3">
        <v>1.625</v>
      </c>
      <c r="D3455" s="3">
        <v>1.5075</v>
      </c>
      <c r="E3455" s="3">
        <v>1.6275</v>
      </c>
      <c r="F3455" s="3">
        <v>1.5063</v>
      </c>
      <c r="G3455" s="3">
        <v>1.6263</v>
      </c>
    </row>
    <row r="3456" spans="1:7">
      <c r="A3456" s="2">
        <v>46104</v>
      </c>
      <c r="B3456" s="3">
        <v>1.52</v>
      </c>
      <c r="C3456" s="3">
        <v>1.6475</v>
      </c>
      <c r="D3456" s="3">
        <v>1.5225</v>
      </c>
      <c r="E3456" s="3">
        <v>1.65</v>
      </c>
      <c r="F3456" s="3">
        <v>1.5213</v>
      </c>
      <c r="G3456" s="3">
        <v>1.6488</v>
      </c>
    </row>
    <row r="3457" spans="1:7">
      <c r="A3457" s="2">
        <v>46105</v>
      </c>
      <c r="B3457" s="3">
        <v>1.5175</v>
      </c>
      <c r="C3457" s="3">
        <v>1.6375</v>
      </c>
      <c r="D3457" s="3">
        <v>1.52</v>
      </c>
      <c r="E3457" s="3">
        <v>1.64</v>
      </c>
      <c r="F3457" s="3">
        <v>1.5188</v>
      </c>
      <c r="G3457" s="3">
        <v>1.6388</v>
      </c>
    </row>
    <row r="3458" spans="1:7">
      <c r="A3458" s="2">
        <v>46106</v>
      </c>
      <c r="B3458" s="3">
        <v>1.5196</v>
      </c>
      <c r="C3458" s="3">
        <v>1.6375</v>
      </c>
      <c r="D3458" s="3">
        <v>1.5225</v>
      </c>
      <c r="E3458" s="3">
        <v>1.64</v>
      </c>
      <c r="F3458" s="3">
        <v>1.521</v>
      </c>
      <c r="G3458" s="3">
        <v>1.6388</v>
      </c>
    </row>
    <row r="3459" spans="1:7">
      <c r="A3459" s="2">
        <v>46107</v>
      </c>
      <c r="B3459" s="3">
        <v>1.515</v>
      </c>
      <c r="C3459" s="3">
        <v>1.635</v>
      </c>
      <c r="D3459" s="3">
        <v>1.5175</v>
      </c>
      <c r="E3459" s="3">
        <v>1.6375</v>
      </c>
      <c r="F3459" s="3">
        <v>1.5163</v>
      </c>
      <c r="G3459" s="3">
        <v>1.6363</v>
      </c>
    </row>
    <row r="3460" spans="1:7">
      <c r="A3460" s="2">
        <v>46108</v>
      </c>
      <c r="B3460" s="3">
        <v>1.515</v>
      </c>
      <c r="C3460" s="3">
        <v>1.6375</v>
      </c>
      <c r="D3460" s="3">
        <v>1.5175</v>
      </c>
      <c r="E3460" s="3">
        <v>1.64</v>
      </c>
      <c r="F3460" s="3">
        <v>1.5163</v>
      </c>
      <c r="G3460" s="3">
        <v>1.6388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21" sqref="D21"/>
    </sheetView>
  </sheetViews>
  <sheetFormatPr defaultColWidth="8.96666666666667" defaultRowHeight="17.6"/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10" spans="1:1">
      <c r="A10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原始数据_利率互换_FR007_1年</vt:lpstr>
      <vt:lpstr>原始数据_收盘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ssary</cp:lastModifiedBy>
  <dcterms:created xsi:type="dcterms:W3CDTF">2026-03-30T17:30:00Z</dcterms:created>
  <dcterms:modified xsi:type="dcterms:W3CDTF">2026-03-30T10:18:54Z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673FAE8B4750959082DDC969BFA03140_42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